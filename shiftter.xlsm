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5" codeName="{51196F13-6AD0-C1B8-E2B4-A1F9AE17003E}"/>
  <workbookPr codeName="ThisWorkbook"/>
  <mc:AlternateContent xmlns:mc="http://schemas.openxmlformats.org/markup-compatibility/2006">
    <mc:Choice Requires="x15">
      <x15ac:absPath xmlns:x15ac="http://schemas.microsoft.com/office/spreadsheetml/2010/11/ac" url="/Users/ebiyuu1121/projects/shiftter/"/>
    </mc:Choice>
  </mc:AlternateContent>
  <xr:revisionPtr revIDLastSave="0" documentId="13_ncr:1_{2C3CC630-8456-C64E-8086-7221862A0E51}" xr6:coauthVersionLast="36" xr6:coauthVersionMax="36" xr10:uidLastSave="{00000000-0000-0000-0000-000000000000}"/>
  <bookViews>
    <workbookView xWindow="0" yWindow="460" windowWidth="28800" windowHeight="16240" activeTab="7" xr2:uid="{8E6D9EEE-75D6-D84C-88E8-ECB6523258A4}"/>
  </bookViews>
  <sheets>
    <sheet name="使いかた" sheetId="9" r:id="rId1"/>
    <sheet name="時間帯一覧" sheetId="3" r:id="rId2"/>
    <sheet name="役職一覧" sheetId="2" r:id="rId3"/>
    <sheet name="時間希望調査" sheetId="1" r:id="rId4"/>
    <sheet name="役職希望調査 ・備考" sheetId="5" r:id="rId5"/>
    <sheet name="書式" sheetId="6" state="hidden" r:id="rId6"/>
    <sheet name="シフト組み" sheetId="4" r:id="rId7"/>
    <sheet name="コマンド" sheetId="10" r:id="rId8"/>
    <sheet name="共有用1" sheetId="11" state="hidden" r:id="rId9"/>
  </sheets>
  <definedNames>
    <definedName name="シフト組み時間帯">シフト組み!$D$1:$BA$1</definedName>
    <definedName name="シフト組み入力">シフト組み!$D$32:$BA$314</definedName>
    <definedName name="シフト組み役職横">シフト組み!$BI$1:$CL$1</definedName>
    <definedName name="シフト組み役職縦">シフト組み!$B$2:$B$31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11" l="1"/>
  <c r="E3" i="11"/>
  <c r="F3" i="11"/>
  <c r="G3" i="11"/>
  <c r="H3" i="11"/>
  <c r="I3" i="11"/>
  <c r="J3" i="11"/>
  <c r="K3" i="11"/>
  <c r="L3" i="11"/>
  <c r="M3" i="11"/>
  <c r="N3" i="11"/>
  <c r="O3" i="11"/>
  <c r="P3" i="11"/>
  <c r="Q3" i="11"/>
  <c r="R3" i="11"/>
  <c r="S3" i="11"/>
  <c r="T3" i="11"/>
  <c r="U3" i="11"/>
  <c r="V3" i="11"/>
  <c r="W3" i="11"/>
  <c r="X3" i="11"/>
  <c r="Y3" i="11"/>
  <c r="Z3" i="11"/>
  <c r="AA3" i="11"/>
  <c r="AB3" i="11"/>
  <c r="AC3" i="11"/>
  <c r="AD3" i="11"/>
  <c r="AE3" i="11"/>
  <c r="AF3" i="11"/>
  <c r="AG3" i="11"/>
  <c r="AH3" i="11"/>
  <c r="AI3" i="11"/>
  <c r="AJ3" i="11"/>
  <c r="AK3" i="11"/>
  <c r="AL3" i="11"/>
  <c r="AM3" i="11"/>
  <c r="AN3" i="11"/>
  <c r="AO3" i="11"/>
  <c r="AP3" i="11"/>
  <c r="AQ3" i="11"/>
  <c r="AR3" i="11"/>
  <c r="AS3" i="11"/>
  <c r="AT3" i="11"/>
  <c r="AU3" i="11"/>
  <c r="AV3" i="11"/>
  <c r="AW3" i="11"/>
  <c r="AX3" i="11"/>
  <c r="AY3" i="11"/>
  <c r="AZ3" i="11"/>
  <c r="BA3" i="11"/>
  <c r="D4" i="11"/>
  <c r="E4" i="11"/>
  <c r="F4" i="11"/>
  <c r="G4" i="11"/>
  <c r="H4" i="11"/>
  <c r="I4" i="11"/>
  <c r="J4" i="11"/>
  <c r="K4" i="11"/>
  <c r="L4" i="11"/>
  <c r="M4" i="11"/>
  <c r="N4" i="11"/>
  <c r="O4" i="11"/>
  <c r="P4" i="11"/>
  <c r="Q4" i="11"/>
  <c r="R4" i="11"/>
  <c r="S4" i="11"/>
  <c r="T4" i="11"/>
  <c r="U4" i="11"/>
  <c r="V4" i="11"/>
  <c r="W4" i="11"/>
  <c r="X4" i="11"/>
  <c r="Y4" i="11"/>
  <c r="Z4" i="11"/>
  <c r="AA4" i="11"/>
  <c r="AB4" i="11"/>
  <c r="AC4" i="11"/>
  <c r="AD4" i="11"/>
  <c r="AE4" i="11"/>
  <c r="AF4" i="11"/>
  <c r="AG4" i="11"/>
  <c r="AH4" i="11"/>
  <c r="AI4" i="11"/>
  <c r="AJ4" i="11"/>
  <c r="AK4" i="11"/>
  <c r="AL4" i="11"/>
  <c r="AM4" i="11"/>
  <c r="AN4" i="11"/>
  <c r="AO4" i="11"/>
  <c r="AP4" i="11"/>
  <c r="AQ4" i="11"/>
  <c r="AR4" i="11"/>
  <c r="AS4" i="11"/>
  <c r="AT4" i="11"/>
  <c r="AU4" i="11"/>
  <c r="AV4" i="11"/>
  <c r="AW4" i="11"/>
  <c r="AX4" i="11"/>
  <c r="AY4" i="11"/>
  <c r="AZ4" i="11"/>
  <c r="BA4" i="11"/>
  <c r="D5" i="11"/>
  <c r="E5" i="11"/>
  <c r="F5" i="11"/>
  <c r="G5" i="11"/>
  <c r="H5" i="11"/>
  <c r="I5" i="11"/>
  <c r="J5" i="11"/>
  <c r="K5" i="11"/>
  <c r="L5" i="11"/>
  <c r="M5" i="11"/>
  <c r="N5" i="11"/>
  <c r="O5" i="11"/>
  <c r="P5" i="11"/>
  <c r="Q5" i="11"/>
  <c r="R5" i="11"/>
  <c r="S5" i="11"/>
  <c r="T5" i="11"/>
  <c r="U5" i="11"/>
  <c r="V5" i="11"/>
  <c r="W5" i="11"/>
  <c r="X5" i="11"/>
  <c r="Y5" i="11"/>
  <c r="Z5" i="11"/>
  <c r="AA5" i="11"/>
  <c r="AB5" i="11"/>
  <c r="AC5" i="11"/>
  <c r="AD5" i="11"/>
  <c r="AE5" i="11"/>
  <c r="AF5" i="11"/>
  <c r="AG5" i="11"/>
  <c r="AH5" i="11"/>
  <c r="AI5" i="11"/>
  <c r="AJ5" i="11"/>
  <c r="AK5" i="11"/>
  <c r="AL5" i="11"/>
  <c r="AM5" i="11"/>
  <c r="AN5" i="11"/>
  <c r="AO5" i="11"/>
  <c r="AP5" i="11"/>
  <c r="AQ5" i="11"/>
  <c r="AR5" i="11"/>
  <c r="AS5" i="11"/>
  <c r="AT5" i="11"/>
  <c r="AU5" i="11"/>
  <c r="AV5" i="11"/>
  <c r="AW5" i="11"/>
  <c r="AX5" i="11"/>
  <c r="AY5" i="11"/>
  <c r="AZ5" i="11"/>
  <c r="BA5" i="11"/>
  <c r="D6" i="11"/>
  <c r="E6" i="11"/>
  <c r="F6" i="11"/>
  <c r="G6" i="11"/>
  <c r="H6" i="11"/>
  <c r="I6" i="11"/>
  <c r="J6" i="11"/>
  <c r="K6" i="11"/>
  <c r="L6" i="11"/>
  <c r="M6" i="11"/>
  <c r="N6" i="11"/>
  <c r="O6" i="11"/>
  <c r="P6" i="11"/>
  <c r="Q6" i="11"/>
  <c r="R6" i="11"/>
  <c r="S6" i="11"/>
  <c r="T6" i="11"/>
  <c r="U6" i="11"/>
  <c r="V6" i="11"/>
  <c r="W6" i="11"/>
  <c r="X6" i="11"/>
  <c r="Y6" i="11"/>
  <c r="Z6" i="11"/>
  <c r="AA6" i="11"/>
  <c r="AB6" i="11"/>
  <c r="AC6" i="11"/>
  <c r="AD6" i="11"/>
  <c r="AE6" i="11"/>
  <c r="AF6" i="11"/>
  <c r="AG6" i="11"/>
  <c r="AH6" i="11"/>
  <c r="AI6" i="11"/>
  <c r="AJ6" i="11"/>
  <c r="AK6" i="11"/>
  <c r="AL6" i="11"/>
  <c r="AM6" i="11"/>
  <c r="AN6" i="11"/>
  <c r="AO6" i="11"/>
  <c r="AP6" i="11"/>
  <c r="AQ6" i="11"/>
  <c r="AR6" i="11"/>
  <c r="AS6" i="11"/>
  <c r="AT6" i="11"/>
  <c r="AU6" i="11"/>
  <c r="AV6" i="11"/>
  <c r="AW6" i="11"/>
  <c r="AX6" i="11"/>
  <c r="AY6" i="11"/>
  <c r="AZ6" i="11"/>
  <c r="BA6" i="11"/>
  <c r="D7" i="11"/>
  <c r="E7" i="11"/>
  <c r="F7" i="11"/>
  <c r="G7" i="11"/>
  <c r="H7" i="11"/>
  <c r="I7" i="11"/>
  <c r="J7" i="11"/>
  <c r="K7" i="11"/>
  <c r="L7" i="11"/>
  <c r="M7" i="11"/>
  <c r="N7" i="11"/>
  <c r="O7" i="11"/>
  <c r="P7" i="11"/>
  <c r="Q7" i="11"/>
  <c r="R7" i="11"/>
  <c r="S7" i="11"/>
  <c r="T7" i="11"/>
  <c r="U7" i="11"/>
  <c r="V7" i="11"/>
  <c r="W7" i="11"/>
  <c r="X7" i="11"/>
  <c r="Y7" i="11"/>
  <c r="Z7" i="11"/>
  <c r="AA7" i="11"/>
  <c r="AB7" i="11"/>
  <c r="AC7" i="11"/>
  <c r="AD7" i="11"/>
  <c r="AE7" i="11"/>
  <c r="AF7" i="11"/>
  <c r="AG7" i="11"/>
  <c r="AH7" i="11"/>
  <c r="AI7" i="11"/>
  <c r="AJ7" i="11"/>
  <c r="AK7" i="11"/>
  <c r="AL7" i="11"/>
  <c r="AM7" i="11"/>
  <c r="AN7" i="11"/>
  <c r="AO7" i="11"/>
  <c r="AP7" i="11"/>
  <c r="AQ7" i="11"/>
  <c r="AR7" i="11"/>
  <c r="AS7" i="11"/>
  <c r="AT7" i="11"/>
  <c r="AU7" i="11"/>
  <c r="AV7" i="11"/>
  <c r="AW7" i="11"/>
  <c r="AX7" i="11"/>
  <c r="AY7" i="11"/>
  <c r="AZ7" i="11"/>
  <c r="BA7" i="11"/>
  <c r="D8" i="11"/>
  <c r="E8" i="11"/>
  <c r="F8" i="11"/>
  <c r="G8" i="11"/>
  <c r="H8" i="11"/>
  <c r="I8" i="11"/>
  <c r="J8" i="11"/>
  <c r="K8" i="11"/>
  <c r="L8" i="11"/>
  <c r="M8" i="11"/>
  <c r="N8" i="11"/>
  <c r="O8" i="11"/>
  <c r="P8" i="11"/>
  <c r="Q8" i="11"/>
  <c r="R8" i="11"/>
  <c r="S8" i="11"/>
  <c r="T8" i="11"/>
  <c r="U8" i="11"/>
  <c r="V8" i="11"/>
  <c r="W8" i="11"/>
  <c r="X8" i="11"/>
  <c r="Y8" i="11"/>
  <c r="Z8" i="11"/>
  <c r="AA8" i="11"/>
  <c r="AB8" i="11"/>
  <c r="AC8" i="11"/>
  <c r="AD8" i="11"/>
  <c r="AE8" i="11"/>
  <c r="AF8" i="11"/>
  <c r="AG8" i="11"/>
  <c r="AH8" i="11"/>
  <c r="AI8" i="11"/>
  <c r="AJ8" i="11"/>
  <c r="AK8" i="11"/>
  <c r="AL8" i="11"/>
  <c r="AM8" i="11"/>
  <c r="AN8" i="11"/>
  <c r="AO8" i="11"/>
  <c r="AP8" i="11"/>
  <c r="AQ8" i="11"/>
  <c r="AR8" i="11"/>
  <c r="AS8" i="11"/>
  <c r="AT8" i="11"/>
  <c r="AU8" i="11"/>
  <c r="AV8" i="11"/>
  <c r="AW8" i="11"/>
  <c r="AX8" i="11"/>
  <c r="AY8" i="11"/>
  <c r="AZ8" i="11"/>
  <c r="BA8" i="11"/>
  <c r="D9" i="11"/>
  <c r="E9" i="11"/>
  <c r="F9" i="11"/>
  <c r="G9" i="11"/>
  <c r="H9" i="11"/>
  <c r="I9" i="11"/>
  <c r="J9" i="11"/>
  <c r="K9" i="11"/>
  <c r="L9" i="11"/>
  <c r="M9" i="11"/>
  <c r="N9" i="11"/>
  <c r="O9" i="11"/>
  <c r="P9" i="11"/>
  <c r="Q9" i="11"/>
  <c r="R9" i="11"/>
  <c r="S9" i="11"/>
  <c r="T9" i="11"/>
  <c r="U9" i="11"/>
  <c r="V9" i="11"/>
  <c r="W9" i="11"/>
  <c r="X9" i="11"/>
  <c r="Y9" i="11"/>
  <c r="Z9" i="11"/>
  <c r="AA9" i="11"/>
  <c r="AB9" i="11"/>
  <c r="AC9" i="11"/>
  <c r="AD9" i="11"/>
  <c r="AE9" i="11"/>
  <c r="AF9" i="11"/>
  <c r="AG9" i="11"/>
  <c r="AH9" i="11"/>
  <c r="AI9" i="11"/>
  <c r="AJ9" i="11"/>
  <c r="AK9" i="11"/>
  <c r="AL9" i="11"/>
  <c r="AM9" i="11"/>
  <c r="AN9" i="11"/>
  <c r="AO9" i="11"/>
  <c r="AP9" i="11"/>
  <c r="AQ9" i="11"/>
  <c r="AR9" i="11"/>
  <c r="AS9" i="11"/>
  <c r="AT9" i="11"/>
  <c r="AU9" i="11"/>
  <c r="AV9" i="11"/>
  <c r="AW9" i="11"/>
  <c r="AX9" i="11"/>
  <c r="AY9" i="11"/>
  <c r="AZ9" i="11"/>
  <c r="BA9" i="11"/>
  <c r="D10" i="11"/>
  <c r="E10" i="11"/>
  <c r="F10" i="11"/>
  <c r="G10" i="11"/>
  <c r="H10" i="11"/>
  <c r="I10" i="11"/>
  <c r="J10" i="11"/>
  <c r="K10" i="11"/>
  <c r="L10" i="11"/>
  <c r="M10" i="11"/>
  <c r="N10" i="11"/>
  <c r="O10" i="11"/>
  <c r="P10" i="11"/>
  <c r="Q10" i="11"/>
  <c r="R10" i="11"/>
  <c r="S10" i="11"/>
  <c r="T10" i="11"/>
  <c r="U10" i="11"/>
  <c r="V10" i="11"/>
  <c r="W10" i="11"/>
  <c r="X10" i="11"/>
  <c r="Y10" i="11"/>
  <c r="Z10" i="11"/>
  <c r="AA10" i="11"/>
  <c r="AB10" i="11"/>
  <c r="AC10" i="11"/>
  <c r="AD10" i="11"/>
  <c r="AE10" i="11"/>
  <c r="AF10" i="11"/>
  <c r="AG10" i="11"/>
  <c r="AH10" i="11"/>
  <c r="AI10" i="11"/>
  <c r="AJ10" i="11"/>
  <c r="AK10" i="11"/>
  <c r="AL10" i="11"/>
  <c r="AM10" i="11"/>
  <c r="AN10" i="11"/>
  <c r="AO10" i="11"/>
  <c r="AP10" i="11"/>
  <c r="AQ10" i="11"/>
  <c r="AR10" i="11"/>
  <c r="AS10" i="11"/>
  <c r="AT10" i="11"/>
  <c r="AU10" i="11"/>
  <c r="AV10" i="11"/>
  <c r="AW10" i="11"/>
  <c r="AX10" i="11"/>
  <c r="AY10" i="11"/>
  <c r="AZ10" i="11"/>
  <c r="BA10" i="11"/>
  <c r="D11" i="11"/>
  <c r="E11" i="11"/>
  <c r="F11" i="11"/>
  <c r="G11" i="11"/>
  <c r="H11" i="11"/>
  <c r="I11" i="11"/>
  <c r="J11" i="11"/>
  <c r="K11" i="11"/>
  <c r="L11" i="11"/>
  <c r="M11" i="11"/>
  <c r="N11" i="11"/>
  <c r="O11" i="11"/>
  <c r="P11" i="11"/>
  <c r="Q11" i="11"/>
  <c r="R11" i="11"/>
  <c r="S11" i="11"/>
  <c r="T11" i="11"/>
  <c r="U11" i="11"/>
  <c r="V11" i="11"/>
  <c r="W11" i="11"/>
  <c r="X11" i="11"/>
  <c r="Y11" i="11"/>
  <c r="Z11" i="11"/>
  <c r="AA11" i="11"/>
  <c r="AB11" i="11"/>
  <c r="AC11" i="11"/>
  <c r="AD11" i="11"/>
  <c r="AE11" i="11"/>
  <c r="AF11" i="11"/>
  <c r="AG11" i="11"/>
  <c r="AH11" i="11"/>
  <c r="AI11" i="11"/>
  <c r="AJ11" i="11"/>
  <c r="AK11" i="11"/>
  <c r="AL11" i="11"/>
  <c r="AM11" i="11"/>
  <c r="AN11" i="11"/>
  <c r="AO11" i="11"/>
  <c r="AP11" i="11"/>
  <c r="AQ11" i="11"/>
  <c r="AR11" i="11"/>
  <c r="AS11" i="11"/>
  <c r="AT11" i="11"/>
  <c r="AU11" i="11"/>
  <c r="AV11" i="11"/>
  <c r="AW11" i="11"/>
  <c r="AX11" i="11"/>
  <c r="AY11" i="11"/>
  <c r="AZ11" i="11"/>
  <c r="BA11" i="11"/>
  <c r="D12" i="11"/>
  <c r="E12" i="11"/>
  <c r="F12" i="11"/>
  <c r="G12" i="11"/>
  <c r="H12" i="11"/>
  <c r="I12" i="11"/>
  <c r="J12" i="11"/>
  <c r="K12" i="11"/>
  <c r="L12" i="11"/>
  <c r="M12" i="11"/>
  <c r="N12" i="11"/>
  <c r="O12" i="11"/>
  <c r="P12" i="11"/>
  <c r="Q12" i="11"/>
  <c r="R12" i="11"/>
  <c r="S12" i="11"/>
  <c r="T12" i="11"/>
  <c r="U12" i="11"/>
  <c r="V12" i="11"/>
  <c r="W12" i="11"/>
  <c r="X12" i="11"/>
  <c r="Y12" i="11"/>
  <c r="Z12" i="11"/>
  <c r="AA12" i="11"/>
  <c r="AB12" i="11"/>
  <c r="AC12" i="11"/>
  <c r="AD12" i="11"/>
  <c r="AE12" i="11"/>
  <c r="AF12" i="11"/>
  <c r="AG12" i="11"/>
  <c r="AH12" i="11"/>
  <c r="AI12" i="11"/>
  <c r="AJ12" i="11"/>
  <c r="AK12" i="11"/>
  <c r="AL12" i="11"/>
  <c r="AM12" i="11"/>
  <c r="AN12" i="11"/>
  <c r="AO12" i="11"/>
  <c r="AP12" i="11"/>
  <c r="AQ12" i="11"/>
  <c r="AR12" i="11"/>
  <c r="AS12" i="11"/>
  <c r="AT12" i="11"/>
  <c r="AU12" i="11"/>
  <c r="AV12" i="11"/>
  <c r="AW12" i="11"/>
  <c r="AX12" i="11"/>
  <c r="AY12" i="11"/>
  <c r="AZ12" i="11"/>
  <c r="BA12" i="11"/>
  <c r="D13" i="11"/>
  <c r="E13" i="11"/>
  <c r="F13" i="11"/>
  <c r="G13" i="11"/>
  <c r="H13" i="11"/>
  <c r="I13" i="11"/>
  <c r="J13" i="11"/>
  <c r="K1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AP13" i="11"/>
  <c r="AQ13" i="11"/>
  <c r="AR13" i="11"/>
  <c r="AS13" i="11"/>
  <c r="AT13" i="11"/>
  <c r="AU13" i="11"/>
  <c r="AV13" i="11"/>
  <c r="AW13" i="11"/>
  <c r="AX13" i="11"/>
  <c r="AY13" i="11"/>
  <c r="AZ13" i="11"/>
  <c r="BA13" i="11"/>
  <c r="D14" i="11"/>
  <c r="E14" i="11"/>
  <c r="F14" i="11"/>
  <c r="G14" i="11"/>
  <c r="H14" i="11"/>
  <c r="I14" i="11"/>
  <c r="J14" i="11"/>
  <c r="K14" i="11"/>
  <c r="L14" i="11"/>
  <c r="M14" i="11"/>
  <c r="N14" i="11"/>
  <c r="O14" i="11"/>
  <c r="P14" i="11"/>
  <c r="Q14" i="11"/>
  <c r="R14" i="11"/>
  <c r="S14" i="11"/>
  <c r="T14" i="11"/>
  <c r="U14" i="11"/>
  <c r="V14" i="11"/>
  <c r="W14" i="11"/>
  <c r="X14" i="11"/>
  <c r="Y14" i="11"/>
  <c r="Z14" i="11"/>
  <c r="AA14" i="11"/>
  <c r="AB14" i="11"/>
  <c r="AC14" i="11"/>
  <c r="AD14" i="11"/>
  <c r="AE14" i="11"/>
  <c r="AF14" i="11"/>
  <c r="AG14" i="11"/>
  <c r="AH14" i="11"/>
  <c r="AI14" i="11"/>
  <c r="AJ14" i="11"/>
  <c r="AK14" i="11"/>
  <c r="AL14" i="11"/>
  <c r="AM14" i="11"/>
  <c r="AN14" i="11"/>
  <c r="AO14" i="11"/>
  <c r="AP14" i="11"/>
  <c r="AQ14" i="11"/>
  <c r="AR14" i="11"/>
  <c r="AS14" i="11"/>
  <c r="AT14" i="11"/>
  <c r="AU14" i="11"/>
  <c r="AV14" i="11"/>
  <c r="AW14" i="11"/>
  <c r="AX14" i="11"/>
  <c r="AY14" i="11"/>
  <c r="AZ14" i="11"/>
  <c r="BA14" i="11"/>
  <c r="D15" i="11"/>
  <c r="E15" i="11"/>
  <c r="F15" i="11"/>
  <c r="G15" i="11"/>
  <c r="H15" i="11"/>
  <c r="I15" i="11"/>
  <c r="J15" i="11"/>
  <c r="K15" i="11"/>
  <c r="L15" i="11"/>
  <c r="M15" i="11"/>
  <c r="N15" i="11"/>
  <c r="O15" i="11"/>
  <c r="P15" i="11"/>
  <c r="Q15" i="11"/>
  <c r="R15" i="11"/>
  <c r="S15" i="11"/>
  <c r="T15" i="11"/>
  <c r="U15" i="11"/>
  <c r="V15" i="11"/>
  <c r="W15" i="11"/>
  <c r="X15" i="11"/>
  <c r="Y15" i="11"/>
  <c r="Z15" i="11"/>
  <c r="AA15" i="11"/>
  <c r="AB15" i="11"/>
  <c r="AC15" i="11"/>
  <c r="AD15" i="11"/>
  <c r="AE15" i="11"/>
  <c r="AF15" i="11"/>
  <c r="AG15" i="11"/>
  <c r="AH15" i="11"/>
  <c r="AI15" i="11"/>
  <c r="AJ15" i="11"/>
  <c r="AK15" i="11"/>
  <c r="AL15" i="11"/>
  <c r="AM15" i="11"/>
  <c r="AN15" i="11"/>
  <c r="AO15" i="11"/>
  <c r="AP15" i="11"/>
  <c r="AQ15" i="11"/>
  <c r="AR15" i="11"/>
  <c r="AS15" i="11"/>
  <c r="AT15" i="11"/>
  <c r="AU15" i="11"/>
  <c r="AV15" i="11"/>
  <c r="AW15" i="11"/>
  <c r="AX15" i="11"/>
  <c r="AY15" i="11"/>
  <c r="AZ15" i="11"/>
  <c r="BA15" i="11"/>
  <c r="D16" i="11"/>
  <c r="E16" i="11"/>
  <c r="F16" i="11"/>
  <c r="G16" i="11"/>
  <c r="H16" i="11"/>
  <c r="I16" i="11"/>
  <c r="J16" i="11"/>
  <c r="K16" i="11"/>
  <c r="L16" i="11"/>
  <c r="M16" i="11"/>
  <c r="N16" i="11"/>
  <c r="O16" i="11"/>
  <c r="P16" i="11"/>
  <c r="Q16" i="11"/>
  <c r="R16" i="11"/>
  <c r="S16" i="11"/>
  <c r="T16" i="11"/>
  <c r="U16" i="11"/>
  <c r="V16" i="11"/>
  <c r="W16" i="11"/>
  <c r="X16" i="11"/>
  <c r="Y16" i="11"/>
  <c r="Z16" i="11"/>
  <c r="AA16" i="11"/>
  <c r="AB16" i="11"/>
  <c r="AC16" i="11"/>
  <c r="AD16" i="11"/>
  <c r="AE16" i="11"/>
  <c r="AF16" i="11"/>
  <c r="AG16" i="11"/>
  <c r="AH16" i="11"/>
  <c r="AI16" i="11"/>
  <c r="AJ16" i="11"/>
  <c r="AK16" i="11"/>
  <c r="AL16" i="11"/>
  <c r="AM16" i="11"/>
  <c r="AN16" i="11"/>
  <c r="AO16" i="11"/>
  <c r="AP16" i="11"/>
  <c r="AQ16" i="11"/>
  <c r="AR16" i="11"/>
  <c r="AS16" i="11"/>
  <c r="AT16" i="11"/>
  <c r="AU16" i="11"/>
  <c r="AV16" i="11"/>
  <c r="AW16" i="11"/>
  <c r="AX16" i="11"/>
  <c r="AY16" i="11"/>
  <c r="AZ16" i="11"/>
  <c r="BA16" i="11"/>
  <c r="D17" i="11"/>
  <c r="E17" i="11"/>
  <c r="F17" i="11"/>
  <c r="G17" i="11"/>
  <c r="H17" i="11"/>
  <c r="I17" i="11"/>
  <c r="J17" i="11"/>
  <c r="K17" i="11"/>
  <c r="L17" i="11"/>
  <c r="M17" i="11"/>
  <c r="N17" i="11"/>
  <c r="O17" i="11"/>
  <c r="P17" i="11"/>
  <c r="Q17" i="11"/>
  <c r="R17" i="11"/>
  <c r="S17" i="11"/>
  <c r="T17" i="11"/>
  <c r="U17" i="11"/>
  <c r="V17" i="11"/>
  <c r="W17" i="11"/>
  <c r="X17" i="11"/>
  <c r="Y17" i="11"/>
  <c r="Z17" i="11"/>
  <c r="AA17" i="11"/>
  <c r="AB17" i="11"/>
  <c r="AC17" i="11"/>
  <c r="AD17" i="11"/>
  <c r="AE17" i="11"/>
  <c r="AF17" i="11"/>
  <c r="AG17" i="11"/>
  <c r="AH17" i="11"/>
  <c r="AI17" i="11"/>
  <c r="AJ17" i="11"/>
  <c r="AK17" i="11"/>
  <c r="AL17" i="11"/>
  <c r="AM17" i="11"/>
  <c r="AN17" i="11"/>
  <c r="AO17" i="11"/>
  <c r="AP17" i="11"/>
  <c r="AQ17" i="11"/>
  <c r="AR17" i="11"/>
  <c r="AS17" i="11"/>
  <c r="AT17" i="11"/>
  <c r="AU17" i="11"/>
  <c r="AV17" i="11"/>
  <c r="AW17" i="11"/>
  <c r="AX17" i="11"/>
  <c r="AY17" i="11"/>
  <c r="AZ17" i="11"/>
  <c r="BA17" i="11"/>
  <c r="D18" i="11"/>
  <c r="E18" i="11"/>
  <c r="F18" i="11"/>
  <c r="G18" i="11"/>
  <c r="H18" i="11"/>
  <c r="I18" i="11"/>
  <c r="J18" i="11"/>
  <c r="K18"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M18" i="11"/>
  <c r="AN18" i="11"/>
  <c r="AO18" i="11"/>
  <c r="AP18" i="11"/>
  <c r="AQ18" i="11"/>
  <c r="AR18" i="11"/>
  <c r="AS18" i="11"/>
  <c r="AT18" i="11"/>
  <c r="AU18" i="11"/>
  <c r="AV18" i="11"/>
  <c r="AW18" i="11"/>
  <c r="AX18" i="11"/>
  <c r="AY18" i="11"/>
  <c r="AZ18" i="11"/>
  <c r="BA18" i="11"/>
  <c r="D19" i="11"/>
  <c r="E19"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D20" i="11"/>
  <c r="E20" i="11"/>
  <c r="F20" i="11"/>
  <c r="G20" i="11"/>
  <c r="H20" i="11"/>
  <c r="I20" i="11"/>
  <c r="J20" i="11"/>
  <c r="K20" i="11"/>
  <c r="L20"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D21" i="11"/>
  <c r="E21" i="11"/>
  <c r="F21" i="11"/>
  <c r="G21" i="11"/>
  <c r="H21" i="11"/>
  <c r="I21" i="11"/>
  <c r="J21" i="11"/>
  <c r="K21" i="11"/>
  <c r="L21" i="11"/>
  <c r="M21" i="11"/>
  <c r="N21" i="11"/>
  <c r="O21" i="11"/>
  <c r="P21" i="11"/>
  <c r="Q21" i="11"/>
  <c r="R21" i="11"/>
  <c r="S21" i="11"/>
  <c r="T21" i="11"/>
  <c r="U21" i="11"/>
  <c r="V21" i="11"/>
  <c r="W21" i="11"/>
  <c r="X21" i="11"/>
  <c r="Y21" i="11"/>
  <c r="Z21" i="11"/>
  <c r="AA21" i="11"/>
  <c r="AB21" i="11"/>
  <c r="AC21" i="11"/>
  <c r="AD21" i="11"/>
  <c r="AE21" i="11"/>
  <c r="AF21" i="11"/>
  <c r="AG21" i="11"/>
  <c r="AH21" i="11"/>
  <c r="AI21" i="11"/>
  <c r="AJ21" i="11"/>
  <c r="AK21" i="11"/>
  <c r="AL21" i="11"/>
  <c r="AM21" i="11"/>
  <c r="AN21" i="11"/>
  <c r="AO21" i="11"/>
  <c r="AP21" i="11"/>
  <c r="AQ21" i="11"/>
  <c r="AR21" i="11"/>
  <c r="AS21" i="11"/>
  <c r="AT21" i="11"/>
  <c r="AU21" i="11"/>
  <c r="AV21" i="11"/>
  <c r="AW21" i="11"/>
  <c r="AX21" i="11"/>
  <c r="AY21" i="11"/>
  <c r="AZ21" i="11"/>
  <c r="BA21" i="11"/>
  <c r="D22" i="11"/>
  <c r="E22"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D23" i="11"/>
  <c r="E23" i="11"/>
  <c r="F23" i="11"/>
  <c r="G23" i="11"/>
  <c r="H23" i="11"/>
  <c r="I23" i="11"/>
  <c r="J23" i="11"/>
  <c r="K23" i="11"/>
  <c r="L23" i="11"/>
  <c r="M23" i="11"/>
  <c r="N23" i="11"/>
  <c r="O23" i="11"/>
  <c r="P23" i="11"/>
  <c r="Q23" i="11"/>
  <c r="R23" i="11"/>
  <c r="S23" i="11"/>
  <c r="T23" i="11"/>
  <c r="U23" i="11"/>
  <c r="V23" i="11"/>
  <c r="W23" i="11"/>
  <c r="X23" i="11"/>
  <c r="Y23" i="11"/>
  <c r="Z23" i="11"/>
  <c r="AA23" i="11"/>
  <c r="AB23" i="11"/>
  <c r="AC23" i="11"/>
  <c r="AD23" i="11"/>
  <c r="AE23" i="11"/>
  <c r="AF23" i="11"/>
  <c r="AG23" i="11"/>
  <c r="AH23" i="11"/>
  <c r="AI23" i="11"/>
  <c r="AJ23" i="11"/>
  <c r="AK23" i="11"/>
  <c r="AL23" i="11"/>
  <c r="AM23" i="11"/>
  <c r="AN23" i="11"/>
  <c r="AO23" i="11"/>
  <c r="AP23" i="11"/>
  <c r="AQ23" i="11"/>
  <c r="AR23" i="11"/>
  <c r="AS23" i="11"/>
  <c r="AT23" i="11"/>
  <c r="AU23" i="11"/>
  <c r="AV23" i="11"/>
  <c r="AW23" i="11"/>
  <c r="AX23" i="11"/>
  <c r="AY23" i="11"/>
  <c r="AZ23" i="11"/>
  <c r="BA23" i="11"/>
  <c r="D24" i="11"/>
  <c r="E24" i="11"/>
  <c r="F24" i="11"/>
  <c r="G24" i="11"/>
  <c r="H24" i="11"/>
  <c r="I24" i="11"/>
  <c r="J24" i="11"/>
  <c r="K24" i="11"/>
  <c r="L24"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AU24" i="11"/>
  <c r="AV24" i="11"/>
  <c r="AW24" i="11"/>
  <c r="AX24" i="11"/>
  <c r="AY24" i="11"/>
  <c r="AZ24" i="11"/>
  <c r="BA24" i="11"/>
  <c r="D25" i="11"/>
  <c r="E25" i="11"/>
  <c r="F25" i="11"/>
  <c r="G25" i="11"/>
  <c r="H25" i="11"/>
  <c r="I25" i="11"/>
  <c r="J25" i="11"/>
  <c r="K25"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AM25" i="11"/>
  <c r="AN25" i="11"/>
  <c r="AO25" i="11"/>
  <c r="AP25" i="11"/>
  <c r="AQ25" i="11"/>
  <c r="AR25" i="11"/>
  <c r="AS25" i="11"/>
  <c r="AT25" i="11"/>
  <c r="AU25" i="11"/>
  <c r="AV25" i="11"/>
  <c r="AW25" i="11"/>
  <c r="AX25" i="11"/>
  <c r="AY25" i="11"/>
  <c r="AZ25" i="11"/>
  <c r="BA25" i="11"/>
  <c r="D26" i="11"/>
  <c r="E26" i="11"/>
  <c r="F26" i="11"/>
  <c r="G26" i="11"/>
  <c r="H26" i="11"/>
  <c r="I26" i="11"/>
  <c r="J26" i="11"/>
  <c r="K26"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AQ26" i="11"/>
  <c r="AR26" i="11"/>
  <c r="AS26" i="11"/>
  <c r="AT26" i="11"/>
  <c r="AU26" i="11"/>
  <c r="AV26" i="11"/>
  <c r="AW26" i="11"/>
  <c r="AX26" i="11"/>
  <c r="AY26" i="11"/>
  <c r="AZ26" i="11"/>
  <c r="BA26" i="11"/>
  <c r="D27" i="11"/>
  <c r="E27" i="11"/>
  <c r="F27" i="11"/>
  <c r="G27" i="11"/>
  <c r="H27" i="11"/>
  <c r="I27" i="11"/>
  <c r="J27" i="11"/>
  <c r="K27"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AR27" i="11"/>
  <c r="AS27" i="11"/>
  <c r="AT27" i="11"/>
  <c r="AU27" i="11"/>
  <c r="AV27" i="11"/>
  <c r="AW27" i="11"/>
  <c r="AX27" i="11"/>
  <c r="AY27" i="11"/>
  <c r="AZ27" i="11"/>
  <c r="BA27" i="11"/>
  <c r="D28" i="11"/>
  <c r="E28" i="11"/>
  <c r="F28" i="11"/>
  <c r="G28" i="11"/>
  <c r="H28" i="11"/>
  <c r="I28" i="11"/>
  <c r="J28" i="11"/>
  <c r="K28" i="11"/>
  <c r="L28" i="11"/>
  <c r="M28" i="11"/>
  <c r="N28" i="11"/>
  <c r="O28" i="11"/>
  <c r="P28" i="11"/>
  <c r="Q28" i="11"/>
  <c r="R28" i="11"/>
  <c r="S28" i="11"/>
  <c r="T28" i="11"/>
  <c r="U28" i="11"/>
  <c r="V28" i="11"/>
  <c r="W28" i="11"/>
  <c r="X28" i="11"/>
  <c r="Y28" i="11"/>
  <c r="Z28" i="11"/>
  <c r="AA28" i="11"/>
  <c r="AB28" i="11"/>
  <c r="AC28" i="11"/>
  <c r="AD28" i="11"/>
  <c r="AE28" i="11"/>
  <c r="AF28" i="11"/>
  <c r="AG28" i="11"/>
  <c r="AH28" i="11"/>
  <c r="AI28" i="11"/>
  <c r="AJ28" i="11"/>
  <c r="AK28" i="11"/>
  <c r="AL28" i="11"/>
  <c r="AM28" i="11"/>
  <c r="AN28" i="11"/>
  <c r="AO28" i="11"/>
  <c r="AP28" i="11"/>
  <c r="AQ28" i="11"/>
  <c r="AR28" i="11"/>
  <c r="AS28" i="11"/>
  <c r="AT28" i="11"/>
  <c r="AU28" i="11"/>
  <c r="AV28" i="11"/>
  <c r="AW28" i="11"/>
  <c r="AX28" i="11"/>
  <c r="AY28" i="11"/>
  <c r="AZ28" i="11"/>
  <c r="BA28" i="11"/>
  <c r="D29" i="11"/>
  <c r="E29" i="11"/>
  <c r="F29" i="11"/>
  <c r="G29" i="11"/>
  <c r="H29" i="11"/>
  <c r="I29" i="11"/>
  <c r="J29" i="11"/>
  <c r="K29" i="11"/>
  <c r="L29" i="11"/>
  <c r="M29" i="11"/>
  <c r="N29" i="11"/>
  <c r="O29" i="11"/>
  <c r="P29" i="11"/>
  <c r="Q29" i="11"/>
  <c r="R29" i="11"/>
  <c r="S29" i="11"/>
  <c r="T29" i="11"/>
  <c r="U29" i="11"/>
  <c r="V29" i="11"/>
  <c r="W29" i="11"/>
  <c r="X29" i="11"/>
  <c r="Y29" i="11"/>
  <c r="Z29" i="11"/>
  <c r="AA29" i="11"/>
  <c r="AB29" i="11"/>
  <c r="AC29" i="11"/>
  <c r="AD29" i="11"/>
  <c r="AE29" i="11"/>
  <c r="AF29" i="11"/>
  <c r="AG29" i="11"/>
  <c r="AH29" i="11"/>
  <c r="AI29" i="11"/>
  <c r="AJ29" i="11"/>
  <c r="AK29" i="11"/>
  <c r="AL29" i="11"/>
  <c r="AM29" i="11"/>
  <c r="AN29" i="11"/>
  <c r="AO29" i="11"/>
  <c r="AP29" i="11"/>
  <c r="AQ29" i="11"/>
  <c r="AR29" i="11"/>
  <c r="AS29" i="11"/>
  <c r="AT29" i="11"/>
  <c r="AU29" i="11"/>
  <c r="AV29" i="11"/>
  <c r="AW29" i="11"/>
  <c r="AX29" i="11"/>
  <c r="AY29" i="11"/>
  <c r="AZ29" i="11"/>
  <c r="BA29" i="11"/>
  <c r="D30" i="11"/>
  <c r="E30" i="11"/>
  <c r="F30" i="11"/>
  <c r="G30" i="11"/>
  <c r="H30" i="11"/>
  <c r="I30" i="11"/>
  <c r="J30" i="11"/>
  <c r="K30" i="11"/>
  <c r="L30" i="11"/>
  <c r="M30" i="11"/>
  <c r="N30" i="11"/>
  <c r="O30" i="11"/>
  <c r="P30" i="11"/>
  <c r="Q30" i="11"/>
  <c r="R30" i="11"/>
  <c r="S30" i="11"/>
  <c r="T30" i="11"/>
  <c r="U30" i="11"/>
  <c r="V30" i="11"/>
  <c r="W30" i="11"/>
  <c r="X30" i="11"/>
  <c r="Y30" i="11"/>
  <c r="Z30" i="11"/>
  <c r="AA30" i="11"/>
  <c r="AB30" i="11"/>
  <c r="AC30" i="11"/>
  <c r="AD30" i="11"/>
  <c r="AE30" i="11"/>
  <c r="AF30" i="11"/>
  <c r="AG30" i="11"/>
  <c r="AH30" i="11"/>
  <c r="AI30" i="11"/>
  <c r="AJ30" i="11"/>
  <c r="AK30" i="11"/>
  <c r="AL30" i="11"/>
  <c r="AM30" i="11"/>
  <c r="AN30" i="11"/>
  <c r="AO30" i="11"/>
  <c r="AP30" i="11"/>
  <c r="AQ30" i="11"/>
  <c r="AR30" i="11"/>
  <c r="AS30" i="11"/>
  <c r="AT30" i="11"/>
  <c r="AU30" i="11"/>
  <c r="AV30" i="11"/>
  <c r="AW30" i="11"/>
  <c r="AX30" i="11"/>
  <c r="AY30" i="11"/>
  <c r="AZ30" i="11"/>
  <c r="BA30" i="11"/>
  <c r="D31" i="11"/>
  <c r="E31" i="11"/>
  <c r="F31" i="11"/>
  <c r="G31" i="11"/>
  <c r="H31" i="11"/>
  <c r="I31" i="11"/>
  <c r="J31" i="11"/>
  <c r="K31" i="11"/>
  <c r="L31" i="11"/>
  <c r="M31" i="11"/>
  <c r="N31" i="11"/>
  <c r="O31" i="11"/>
  <c r="P31" i="11"/>
  <c r="Q31" i="11"/>
  <c r="R31" i="11"/>
  <c r="S31" i="11"/>
  <c r="T31" i="11"/>
  <c r="U31" i="11"/>
  <c r="V31" i="11"/>
  <c r="W31" i="11"/>
  <c r="X31" i="11"/>
  <c r="Y31" i="11"/>
  <c r="Z31" i="11"/>
  <c r="AA31" i="11"/>
  <c r="AB31" i="11"/>
  <c r="AC31" i="11"/>
  <c r="AD31" i="11"/>
  <c r="AE31" i="11"/>
  <c r="AF31" i="11"/>
  <c r="AG31" i="11"/>
  <c r="AH31" i="11"/>
  <c r="AI31" i="11"/>
  <c r="AJ31" i="11"/>
  <c r="AK31" i="11"/>
  <c r="AL31" i="11"/>
  <c r="AM31" i="11"/>
  <c r="AN31" i="11"/>
  <c r="AO31" i="11"/>
  <c r="AP31" i="11"/>
  <c r="AQ31" i="11"/>
  <c r="AR31" i="11"/>
  <c r="AS31" i="11"/>
  <c r="AT31" i="11"/>
  <c r="AU31" i="11"/>
  <c r="AV31" i="11"/>
  <c r="AW31" i="11"/>
  <c r="AX31" i="11"/>
  <c r="AY31" i="11"/>
  <c r="AZ31" i="11"/>
  <c r="BA31" i="11"/>
  <c r="D32" i="11"/>
  <c r="E32" i="11"/>
  <c r="F32" i="11"/>
  <c r="G32" i="11"/>
  <c r="H32" i="11"/>
  <c r="I32" i="11"/>
  <c r="J32" i="11"/>
  <c r="K32"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AK32" i="11"/>
  <c r="AL32" i="11"/>
  <c r="AM32" i="11"/>
  <c r="AN32" i="11"/>
  <c r="AO32" i="11"/>
  <c r="AP32" i="11"/>
  <c r="AQ32" i="11"/>
  <c r="AR32" i="11"/>
  <c r="AS32" i="11"/>
  <c r="AT32" i="11"/>
  <c r="AU32" i="11"/>
  <c r="AV32" i="11"/>
  <c r="AW32" i="11"/>
  <c r="AX32" i="11"/>
  <c r="AY32" i="11"/>
  <c r="AZ32" i="11"/>
  <c r="BA32" i="11"/>
  <c r="D33" i="11"/>
  <c r="E33" i="11"/>
  <c r="F33" i="11"/>
  <c r="G33" i="11"/>
  <c r="H33" i="11"/>
  <c r="I33" i="11"/>
  <c r="J33" i="11"/>
  <c r="K33" i="11"/>
  <c r="L33" i="11"/>
  <c r="M33" i="11"/>
  <c r="N33" i="11"/>
  <c r="O33" i="11"/>
  <c r="P33" i="11"/>
  <c r="Q33" i="11"/>
  <c r="R33" i="11"/>
  <c r="S33" i="11"/>
  <c r="T33" i="11"/>
  <c r="U33" i="11"/>
  <c r="V33" i="11"/>
  <c r="W33" i="11"/>
  <c r="X33" i="11"/>
  <c r="Y33" i="11"/>
  <c r="Z33" i="11"/>
  <c r="AA33" i="11"/>
  <c r="AB33" i="11"/>
  <c r="AC33" i="11"/>
  <c r="AD33" i="11"/>
  <c r="AE33" i="11"/>
  <c r="AF33" i="11"/>
  <c r="AG33" i="11"/>
  <c r="AH33" i="11"/>
  <c r="AI33" i="11"/>
  <c r="AJ33" i="11"/>
  <c r="AK33" i="11"/>
  <c r="AL33" i="11"/>
  <c r="AM33" i="11"/>
  <c r="AN33" i="11"/>
  <c r="AO33" i="11"/>
  <c r="AP33" i="11"/>
  <c r="AQ33" i="11"/>
  <c r="AR33" i="11"/>
  <c r="AS33" i="11"/>
  <c r="AT33" i="11"/>
  <c r="AU33" i="11"/>
  <c r="AV33" i="11"/>
  <c r="AW33" i="11"/>
  <c r="AX33" i="11"/>
  <c r="AY33" i="11"/>
  <c r="AZ33" i="11"/>
  <c r="BA33" i="11"/>
  <c r="D34" i="11"/>
  <c r="E34" i="11"/>
  <c r="F34" i="11"/>
  <c r="G34" i="11"/>
  <c r="H34" i="11"/>
  <c r="I34" i="11"/>
  <c r="J34" i="11"/>
  <c r="K34"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R34" i="11"/>
  <c r="AS34" i="11"/>
  <c r="AT34" i="11"/>
  <c r="AU34" i="11"/>
  <c r="AV34" i="11"/>
  <c r="AW34" i="11"/>
  <c r="AX34" i="11"/>
  <c r="AY34" i="11"/>
  <c r="AZ34" i="11"/>
  <c r="BA34" i="11"/>
  <c r="D35" i="11"/>
  <c r="E35" i="11"/>
  <c r="F35" i="11"/>
  <c r="G35" i="11"/>
  <c r="H35" i="11"/>
  <c r="I35" i="11"/>
  <c r="J35" i="11"/>
  <c r="K35"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AR35" i="11"/>
  <c r="AS35" i="11"/>
  <c r="AT35" i="11"/>
  <c r="AU35" i="11"/>
  <c r="AV35" i="11"/>
  <c r="AW35" i="11"/>
  <c r="AX35" i="11"/>
  <c r="AY35" i="11"/>
  <c r="AZ35" i="11"/>
  <c r="BA35" i="11"/>
  <c r="D36" i="11"/>
  <c r="E36" i="11"/>
  <c r="F36" i="11"/>
  <c r="G36" i="11"/>
  <c r="H36" i="11"/>
  <c r="I36" i="11"/>
  <c r="J36" i="11"/>
  <c r="K36" i="11"/>
  <c r="L36" i="11"/>
  <c r="M36" i="11"/>
  <c r="N36" i="11"/>
  <c r="O36" i="11"/>
  <c r="P36" i="11"/>
  <c r="Q36" i="11"/>
  <c r="R36" i="11"/>
  <c r="S36" i="11"/>
  <c r="T36" i="11"/>
  <c r="U36" i="11"/>
  <c r="V36" i="11"/>
  <c r="W36" i="11"/>
  <c r="X36" i="11"/>
  <c r="Y36" i="11"/>
  <c r="Z36" i="11"/>
  <c r="AA36" i="11"/>
  <c r="AB36" i="11"/>
  <c r="AC36" i="11"/>
  <c r="AD36" i="11"/>
  <c r="AE36" i="11"/>
  <c r="AF36" i="11"/>
  <c r="AG36" i="11"/>
  <c r="AH36" i="11"/>
  <c r="AI36" i="11"/>
  <c r="AJ36" i="11"/>
  <c r="AK36" i="11"/>
  <c r="AL36" i="11"/>
  <c r="AM36" i="11"/>
  <c r="AN36" i="11"/>
  <c r="AO36" i="11"/>
  <c r="AP36" i="11"/>
  <c r="AQ36" i="11"/>
  <c r="AR36" i="11"/>
  <c r="AS36" i="11"/>
  <c r="AT36" i="11"/>
  <c r="AU36" i="11"/>
  <c r="AV36" i="11"/>
  <c r="AW36" i="11"/>
  <c r="AX36" i="11"/>
  <c r="AY36" i="11"/>
  <c r="AZ36" i="11"/>
  <c r="BA36" i="11"/>
  <c r="D37" i="11"/>
  <c r="E37" i="11"/>
  <c r="F37" i="11"/>
  <c r="G37" i="11"/>
  <c r="H37" i="11"/>
  <c r="I37" i="11"/>
  <c r="J37" i="11"/>
  <c r="K37" i="11"/>
  <c r="L37" i="11"/>
  <c r="M37" i="11"/>
  <c r="N37" i="11"/>
  <c r="O37" i="11"/>
  <c r="P37" i="11"/>
  <c r="Q37" i="11"/>
  <c r="R37" i="11"/>
  <c r="S37" i="11"/>
  <c r="T37" i="11"/>
  <c r="U37" i="11"/>
  <c r="V37" i="11"/>
  <c r="W37" i="11"/>
  <c r="X37" i="11"/>
  <c r="Y37" i="11"/>
  <c r="Z37" i="11"/>
  <c r="AA37" i="11"/>
  <c r="AB37" i="11"/>
  <c r="AC37" i="11"/>
  <c r="AD37" i="11"/>
  <c r="AE37" i="11"/>
  <c r="AF37" i="11"/>
  <c r="AG37" i="11"/>
  <c r="AH37" i="11"/>
  <c r="AI37" i="11"/>
  <c r="AJ37" i="11"/>
  <c r="AK37" i="11"/>
  <c r="AL37" i="11"/>
  <c r="AM37" i="11"/>
  <c r="AN37" i="11"/>
  <c r="AO37" i="11"/>
  <c r="AP37" i="11"/>
  <c r="AQ37" i="11"/>
  <c r="AR37" i="11"/>
  <c r="AS37" i="11"/>
  <c r="AT37" i="11"/>
  <c r="AU37" i="11"/>
  <c r="AV37" i="11"/>
  <c r="AW37" i="11"/>
  <c r="AX37" i="11"/>
  <c r="AY37" i="11"/>
  <c r="AZ37" i="11"/>
  <c r="BA37" i="11"/>
  <c r="D38" i="11"/>
  <c r="E38" i="11"/>
  <c r="F38" i="11"/>
  <c r="G38" i="11"/>
  <c r="H38" i="11"/>
  <c r="I38" i="11"/>
  <c r="J38" i="11"/>
  <c r="K38" i="11"/>
  <c r="L38" i="11"/>
  <c r="M38" i="11"/>
  <c r="N38" i="11"/>
  <c r="O38" i="11"/>
  <c r="P38" i="11"/>
  <c r="Q38" i="11"/>
  <c r="R38" i="11"/>
  <c r="S38" i="11"/>
  <c r="T38" i="11"/>
  <c r="U38" i="11"/>
  <c r="V38" i="11"/>
  <c r="W38" i="11"/>
  <c r="X38" i="11"/>
  <c r="Y38" i="11"/>
  <c r="Z38" i="11"/>
  <c r="AA38" i="11"/>
  <c r="AB38" i="11"/>
  <c r="AC38" i="11"/>
  <c r="AD38" i="11"/>
  <c r="AE38" i="11"/>
  <c r="AF38" i="11"/>
  <c r="AG38" i="11"/>
  <c r="AH38" i="11"/>
  <c r="AI38" i="11"/>
  <c r="AJ38" i="11"/>
  <c r="AK38" i="11"/>
  <c r="AL38" i="11"/>
  <c r="AM38" i="11"/>
  <c r="AN38" i="11"/>
  <c r="AO38" i="11"/>
  <c r="AP38" i="11"/>
  <c r="AQ38" i="11"/>
  <c r="AR38" i="11"/>
  <c r="AS38" i="11"/>
  <c r="AT38" i="11"/>
  <c r="AU38" i="11"/>
  <c r="AV38" i="11"/>
  <c r="AW38" i="11"/>
  <c r="AX38" i="11"/>
  <c r="AY38" i="11"/>
  <c r="AZ38" i="11"/>
  <c r="BA38" i="11"/>
  <c r="D39" i="11"/>
  <c r="E39" i="11"/>
  <c r="F39" i="11"/>
  <c r="G39" i="11"/>
  <c r="H39" i="11"/>
  <c r="I39" i="11"/>
  <c r="J39" i="11"/>
  <c r="K39" i="11"/>
  <c r="L39" i="11"/>
  <c r="M39" i="11"/>
  <c r="N39" i="11"/>
  <c r="O39" i="11"/>
  <c r="P39" i="11"/>
  <c r="Q39" i="11"/>
  <c r="R39" i="11"/>
  <c r="S39" i="11"/>
  <c r="T39" i="11"/>
  <c r="U39" i="11"/>
  <c r="V39" i="11"/>
  <c r="W39" i="11"/>
  <c r="X39" i="11"/>
  <c r="Y39" i="11"/>
  <c r="Z39" i="11"/>
  <c r="AA39" i="11"/>
  <c r="AB39" i="11"/>
  <c r="AC39" i="11"/>
  <c r="AD39" i="11"/>
  <c r="AE39" i="11"/>
  <c r="AF39" i="11"/>
  <c r="AG39" i="11"/>
  <c r="AH39" i="11"/>
  <c r="AI39" i="11"/>
  <c r="AJ39" i="11"/>
  <c r="AK39" i="11"/>
  <c r="AL39" i="11"/>
  <c r="AM39" i="11"/>
  <c r="AN39" i="11"/>
  <c r="AO39" i="11"/>
  <c r="AP39" i="11"/>
  <c r="AQ39" i="11"/>
  <c r="AR39" i="11"/>
  <c r="AS39" i="11"/>
  <c r="AT39" i="11"/>
  <c r="AU39" i="11"/>
  <c r="AV39" i="11"/>
  <c r="AW39" i="11"/>
  <c r="AX39" i="11"/>
  <c r="AY39" i="11"/>
  <c r="AZ39" i="11"/>
  <c r="BA39" i="11"/>
  <c r="D40" i="11"/>
  <c r="E40" i="11"/>
  <c r="F40" i="11"/>
  <c r="G40" i="11"/>
  <c r="H40" i="11"/>
  <c r="I40" i="11"/>
  <c r="J40" i="11"/>
  <c r="K40" i="11"/>
  <c r="L40" i="11"/>
  <c r="M40" i="11"/>
  <c r="N40" i="11"/>
  <c r="O40" i="11"/>
  <c r="P40" i="11"/>
  <c r="Q40" i="11"/>
  <c r="R40" i="11"/>
  <c r="S40" i="11"/>
  <c r="T40" i="11"/>
  <c r="U40" i="11"/>
  <c r="V40" i="11"/>
  <c r="W40" i="11"/>
  <c r="X40" i="11"/>
  <c r="Y40" i="11"/>
  <c r="Z40" i="11"/>
  <c r="AA40" i="11"/>
  <c r="AB40" i="11"/>
  <c r="AC40" i="11"/>
  <c r="AD40" i="11"/>
  <c r="AE40" i="11"/>
  <c r="AF40" i="11"/>
  <c r="AG40" i="11"/>
  <c r="AH40" i="11"/>
  <c r="AI40" i="11"/>
  <c r="AJ40" i="11"/>
  <c r="AK40" i="11"/>
  <c r="AL40" i="11"/>
  <c r="AM40" i="11"/>
  <c r="AN40" i="11"/>
  <c r="AO40" i="11"/>
  <c r="AP40" i="11"/>
  <c r="AQ40" i="11"/>
  <c r="AR40" i="11"/>
  <c r="AS40" i="11"/>
  <c r="AT40" i="11"/>
  <c r="AU40" i="11"/>
  <c r="AV40" i="11"/>
  <c r="AW40" i="11"/>
  <c r="AX40" i="11"/>
  <c r="AY40" i="11"/>
  <c r="AZ40" i="11"/>
  <c r="BA40" i="11"/>
  <c r="D41" i="11"/>
  <c r="E41" i="11"/>
  <c r="F41" i="11"/>
  <c r="G41" i="11"/>
  <c r="H41" i="11"/>
  <c r="I41" i="11"/>
  <c r="J41" i="11"/>
  <c r="K41" i="11"/>
  <c r="L41" i="11"/>
  <c r="M41" i="11"/>
  <c r="N41" i="11"/>
  <c r="O41" i="11"/>
  <c r="P41" i="11"/>
  <c r="Q41" i="11"/>
  <c r="R41" i="11"/>
  <c r="S41" i="11"/>
  <c r="T41" i="11"/>
  <c r="U41" i="11"/>
  <c r="V41" i="11"/>
  <c r="W41" i="11"/>
  <c r="X41" i="11"/>
  <c r="Y41" i="11"/>
  <c r="Z41" i="11"/>
  <c r="AA41" i="11"/>
  <c r="AB41" i="11"/>
  <c r="AC41" i="11"/>
  <c r="AD41" i="11"/>
  <c r="AE41" i="11"/>
  <c r="AF41" i="11"/>
  <c r="AG41" i="11"/>
  <c r="AH41" i="11"/>
  <c r="AI41" i="11"/>
  <c r="AJ41" i="11"/>
  <c r="AK41" i="11"/>
  <c r="AL41" i="11"/>
  <c r="AM41" i="11"/>
  <c r="AN41" i="11"/>
  <c r="AO41" i="11"/>
  <c r="AP41" i="11"/>
  <c r="AQ41" i="11"/>
  <c r="AR41" i="11"/>
  <c r="AS41" i="11"/>
  <c r="AT41" i="11"/>
  <c r="AU41" i="11"/>
  <c r="AV41" i="11"/>
  <c r="AW41" i="11"/>
  <c r="AX41" i="11"/>
  <c r="AY41" i="11"/>
  <c r="AZ41" i="11"/>
  <c r="BA41" i="11"/>
  <c r="D42" i="11"/>
  <c r="E42" i="11"/>
  <c r="F42" i="11"/>
  <c r="G42" i="11"/>
  <c r="H42" i="11"/>
  <c r="I42" i="11"/>
  <c r="J42" i="11"/>
  <c r="K42" i="11"/>
  <c r="L42" i="11"/>
  <c r="M42" i="11"/>
  <c r="N42" i="11"/>
  <c r="O42" i="11"/>
  <c r="P42" i="11"/>
  <c r="Q42" i="11"/>
  <c r="R42" i="11"/>
  <c r="S42" i="11"/>
  <c r="T42" i="11"/>
  <c r="U42" i="11"/>
  <c r="V42" i="11"/>
  <c r="W42" i="11"/>
  <c r="X42" i="11"/>
  <c r="Y42" i="11"/>
  <c r="Z42" i="11"/>
  <c r="AA42" i="11"/>
  <c r="AB42" i="11"/>
  <c r="AC42" i="11"/>
  <c r="AD42" i="11"/>
  <c r="AE42" i="11"/>
  <c r="AF42" i="11"/>
  <c r="AG42" i="11"/>
  <c r="AH42" i="11"/>
  <c r="AI42" i="11"/>
  <c r="AJ42" i="11"/>
  <c r="AK42" i="11"/>
  <c r="AL42" i="11"/>
  <c r="AM42" i="11"/>
  <c r="AN42" i="11"/>
  <c r="AO42" i="11"/>
  <c r="AP42" i="11"/>
  <c r="AQ42" i="11"/>
  <c r="AR42" i="11"/>
  <c r="AS42" i="11"/>
  <c r="AT42" i="11"/>
  <c r="AU42" i="11"/>
  <c r="AV42" i="11"/>
  <c r="AW42" i="11"/>
  <c r="AX42" i="11"/>
  <c r="AY42" i="11"/>
  <c r="AZ42" i="11"/>
  <c r="BA42" i="11"/>
  <c r="D43" i="11"/>
  <c r="E43" i="11"/>
  <c r="F43" i="11"/>
  <c r="G43" i="11"/>
  <c r="H43" i="11"/>
  <c r="I43" i="11"/>
  <c r="J43" i="11"/>
  <c r="K43" i="11"/>
  <c r="L43" i="11"/>
  <c r="M43" i="11"/>
  <c r="N43" i="11"/>
  <c r="O43" i="11"/>
  <c r="P43" i="11"/>
  <c r="Q43" i="11"/>
  <c r="R43" i="11"/>
  <c r="S43" i="11"/>
  <c r="T43" i="11"/>
  <c r="U43" i="11"/>
  <c r="V43" i="11"/>
  <c r="W43" i="11"/>
  <c r="X43" i="11"/>
  <c r="Y43" i="11"/>
  <c r="Z43" i="11"/>
  <c r="AA43" i="11"/>
  <c r="AB43" i="11"/>
  <c r="AC43" i="11"/>
  <c r="AD43" i="11"/>
  <c r="AE43" i="11"/>
  <c r="AF43" i="11"/>
  <c r="AG43" i="11"/>
  <c r="AH43" i="11"/>
  <c r="AI43" i="11"/>
  <c r="AJ43" i="11"/>
  <c r="AK43" i="11"/>
  <c r="AL43" i="11"/>
  <c r="AM43" i="11"/>
  <c r="AN43" i="11"/>
  <c r="AO43" i="11"/>
  <c r="AP43" i="11"/>
  <c r="AQ43" i="11"/>
  <c r="AR43" i="11"/>
  <c r="AS43" i="11"/>
  <c r="AT43" i="11"/>
  <c r="AU43" i="11"/>
  <c r="AV43" i="11"/>
  <c r="AW43" i="11"/>
  <c r="AX43" i="11"/>
  <c r="AY43" i="11"/>
  <c r="AZ43" i="11"/>
  <c r="BA43" i="11"/>
  <c r="D44" i="11"/>
  <c r="E44" i="11"/>
  <c r="F44" i="11"/>
  <c r="G44" i="11"/>
  <c r="H44" i="11"/>
  <c r="I44" i="11"/>
  <c r="J44" i="11"/>
  <c r="K44" i="11"/>
  <c r="L44" i="11"/>
  <c r="M44" i="11"/>
  <c r="N44" i="11"/>
  <c r="O44" i="11"/>
  <c r="P44" i="11"/>
  <c r="Q44" i="11"/>
  <c r="R44" i="11"/>
  <c r="S44" i="11"/>
  <c r="T44" i="11"/>
  <c r="U44" i="11"/>
  <c r="V44" i="11"/>
  <c r="W44" i="11"/>
  <c r="X44" i="11"/>
  <c r="Y44" i="11"/>
  <c r="Z44" i="11"/>
  <c r="AA44" i="11"/>
  <c r="AB44" i="11"/>
  <c r="AC44" i="11"/>
  <c r="AD44" i="11"/>
  <c r="AE44" i="11"/>
  <c r="AF44" i="11"/>
  <c r="AG44" i="11"/>
  <c r="AH44" i="11"/>
  <c r="AI44" i="11"/>
  <c r="AJ44" i="11"/>
  <c r="AK44" i="11"/>
  <c r="AL44" i="11"/>
  <c r="AM44" i="11"/>
  <c r="AN44" i="11"/>
  <c r="AO44" i="11"/>
  <c r="AP44" i="11"/>
  <c r="AQ44" i="11"/>
  <c r="AR44" i="11"/>
  <c r="AS44" i="11"/>
  <c r="AT44" i="11"/>
  <c r="AU44" i="11"/>
  <c r="AV44" i="11"/>
  <c r="AW44" i="11"/>
  <c r="AX44" i="11"/>
  <c r="AY44" i="11"/>
  <c r="AZ44" i="11"/>
  <c r="BA44" i="11"/>
  <c r="D45" i="11"/>
  <c r="E45" i="11"/>
  <c r="F45" i="11"/>
  <c r="G45" i="11"/>
  <c r="H45" i="11"/>
  <c r="I45" i="11"/>
  <c r="J45" i="11"/>
  <c r="K45" i="11"/>
  <c r="L45" i="11"/>
  <c r="M45" i="11"/>
  <c r="N45" i="11"/>
  <c r="O45" i="11"/>
  <c r="P45" i="11"/>
  <c r="Q45" i="11"/>
  <c r="R45" i="11"/>
  <c r="S45" i="11"/>
  <c r="T45" i="11"/>
  <c r="U45" i="11"/>
  <c r="V45" i="11"/>
  <c r="W45" i="11"/>
  <c r="X45" i="11"/>
  <c r="Y45" i="11"/>
  <c r="Z45" i="11"/>
  <c r="AA45" i="11"/>
  <c r="AB45" i="11"/>
  <c r="AC45" i="11"/>
  <c r="AD45" i="11"/>
  <c r="AE45" i="11"/>
  <c r="AF45" i="11"/>
  <c r="AG45" i="11"/>
  <c r="AH45" i="11"/>
  <c r="AI45" i="11"/>
  <c r="AJ45" i="11"/>
  <c r="AK45" i="11"/>
  <c r="AL45" i="11"/>
  <c r="AM45" i="11"/>
  <c r="AN45" i="11"/>
  <c r="AO45" i="11"/>
  <c r="AP45" i="11"/>
  <c r="AQ45" i="11"/>
  <c r="AR45" i="11"/>
  <c r="AS45" i="11"/>
  <c r="AT45" i="11"/>
  <c r="AU45" i="11"/>
  <c r="AV45" i="11"/>
  <c r="AW45" i="11"/>
  <c r="AX45" i="11"/>
  <c r="AY45" i="11"/>
  <c r="AZ45" i="11"/>
  <c r="BA45" i="11"/>
  <c r="D46" i="11"/>
  <c r="E46" i="11"/>
  <c r="F46" i="11"/>
  <c r="G46" i="11"/>
  <c r="H46" i="11"/>
  <c r="I46" i="11"/>
  <c r="J46" i="11"/>
  <c r="K46" i="11"/>
  <c r="L46"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D47" i="11"/>
  <c r="E47" i="11"/>
  <c r="F47" i="11"/>
  <c r="G47" i="11"/>
  <c r="H47" i="11"/>
  <c r="I47" i="11"/>
  <c r="J47" i="11"/>
  <c r="K47" i="11"/>
  <c r="L47" i="11"/>
  <c r="M47" i="11"/>
  <c r="N47" i="11"/>
  <c r="O47" i="11"/>
  <c r="P47" i="11"/>
  <c r="Q47" i="11"/>
  <c r="R47" i="11"/>
  <c r="S47" i="11"/>
  <c r="T47" i="11"/>
  <c r="U47" i="11"/>
  <c r="V47" i="11"/>
  <c r="W47" i="11"/>
  <c r="X47" i="11"/>
  <c r="Y47" i="11"/>
  <c r="Z47" i="11"/>
  <c r="AA47" i="11"/>
  <c r="AB47" i="11"/>
  <c r="AC47" i="11"/>
  <c r="AD47" i="11"/>
  <c r="AE47" i="11"/>
  <c r="AF47" i="11"/>
  <c r="AG47" i="11"/>
  <c r="AH47" i="11"/>
  <c r="AI47" i="11"/>
  <c r="AJ47" i="11"/>
  <c r="AK47" i="11"/>
  <c r="AL47" i="11"/>
  <c r="AM47" i="11"/>
  <c r="AN47" i="11"/>
  <c r="AO47" i="11"/>
  <c r="AP47" i="11"/>
  <c r="AQ47" i="11"/>
  <c r="AR47" i="11"/>
  <c r="AS47" i="11"/>
  <c r="AT47" i="11"/>
  <c r="AU47" i="11"/>
  <c r="AV47" i="11"/>
  <c r="AW47" i="11"/>
  <c r="AX47" i="11"/>
  <c r="AY47" i="11"/>
  <c r="AZ47" i="11"/>
  <c r="BA47" i="11"/>
  <c r="D48" i="11"/>
  <c r="E48" i="11"/>
  <c r="F48" i="11"/>
  <c r="G48" i="11"/>
  <c r="H48" i="11"/>
  <c r="I48" i="11"/>
  <c r="J48" i="11"/>
  <c r="K48" i="11"/>
  <c r="L48" i="11"/>
  <c r="M48" i="11"/>
  <c r="N48" i="11"/>
  <c r="O48" i="11"/>
  <c r="P48" i="11"/>
  <c r="Q48" i="11"/>
  <c r="R48" i="11"/>
  <c r="S48" i="11"/>
  <c r="T48" i="11"/>
  <c r="U48" i="11"/>
  <c r="V48" i="11"/>
  <c r="W48" i="11"/>
  <c r="X48" i="11"/>
  <c r="Y48" i="11"/>
  <c r="Z48" i="11"/>
  <c r="AA48" i="11"/>
  <c r="AB48" i="11"/>
  <c r="AC48" i="11"/>
  <c r="AD48" i="11"/>
  <c r="AE48" i="11"/>
  <c r="AF48" i="11"/>
  <c r="AG48" i="11"/>
  <c r="AH48" i="11"/>
  <c r="AI48" i="11"/>
  <c r="AJ48" i="11"/>
  <c r="AK48" i="11"/>
  <c r="AL48" i="11"/>
  <c r="AM48" i="11"/>
  <c r="AN48" i="11"/>
  <c r="AO48" i="11"/>
  <c r="AP48" i="11"/>
  <c r="AQ48" i="11"/>
  <c r="AR48" i="11"/>
  <c r="AS48" i="11"/>
  <c r="AT48" i="11"/>
  <c r="AU48" i="11"/>
  <c r="AV48" i="11"/>
  <c r="AW48" i="11"/>
  <c r="AX48" i="11"/>
  <c r="AY48" i="11"/>
  <c r="AZ48" i="11"/>
  <c r="BA48" i="11"/>
  <c r="D49" i="11"/>
  <c r="E49" i="11"/>
  <c r="F49" i="11"/>
  <c r="G49" i="11"/>
  <c r="H49" i="11"/>
  <c r="I49" i="11"/>
  <c r="J49" i="11"/>
  <c r="K49" i="11"/>
  <c r="L49" i="11"/>
  <c r="M49" i="11"/>
  <c r="N49" i="11"/>
  <c r="O49" i="11"/>
  <c r="P49" i="11"/>
  <c r="Q49" i="11"/>
  <c r="R49" i="11"/>
  <c r="S49" i="11"/>
  <c r="T49" i="11"/>
  <c r="U49" i="11"/>
  <c r="V49" i="11"/>
  <c r="W49" i="11"/>
  <c r="X49" i="11"/>
  <c r="Y49" i="11"/>
  <c r="Z49" i="11"/>
  <c r="AA49" i="11"/>
  <c r="AB49" i="11"/>
  <c r="AC49" i="11"/>
  <c r="AD49" i="11"/>
  <c r="AE49" i="11"/>
  <c r="AF49" i="11"/>
  <c r="AG49" i="11"/>
  <c r="AH49" i="11"/>
  <c r="AI49" i="11"/>
  <c r="AJ49" i="11"/>
  <c r="AK49" i="11"/>
  <c r="AL49" i="11"/>
  <c r="AM49" i="11"/>
  <c r="AN49" i="11"/>
  <c r="AO49" i="11"/>
  <c r="AP49" i="11"/>
  <c r="AQ49" i="11"/>
  <c r="AR49" i="11"/>
  <c r="AS49" i="11"/>
  <c r="AT49" i="11"/>
  <c r="AU49" i="11"/>
  <c r="AV49" i="11"/>
  <c r="AW49" i="11"/>
  <c r="AX49" i="11"/>
  <c r="AY49" i="11"/>
  <c r="AZ49" i="11"/>
  <c r="BA49" i="11"/>
  <c r="D50" i="11"/>
  <c r="E50" i="11"/>
  <c r="F50" i="11"/>
  <c r="G50" i="11"/>
  <c r="H50" i="11"/>
  <c r="I50" i="11"/>
  <c r="J50" i="11"/>
  <c r="K50" i="11"/>
  <c r="L50"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AP50" i="11"/>
  <c r="AQ50" i="11"/>
  <c r="AR50" i="11"/>
  <c r="AS50" i="11"/>
  <c r="AT50" i="11"/>
  <c r="AU50" i="11"/>
  <c r="AV50" i="11"/>
  <c r="AW50" i="11"/>
  <c r="AX50" i="11"/>
  <c r="AY50" i="11"/>
  <c r="AZ50" i="11"/>
  <c r="BA50" i="11"/>
  <c r="D51" i="11"/>
  <c r="E51" i="11"/>
  <c r="F51" i="11"/>
  <c r="G51" i="11"/>
  <c r="H51" i="11"/>
  <c r="I51" i="11"/>
  <c r="J51" i="11"/>
  <c r="K51" i="11"/>
  <c r="L51" i="11"/>
  <c r="M51" i="11"/>
  <c r="N51" i="11"/>
  <c r="O51" i="11"/>
  <c r="P51" i="11"/>
  <c r="Q51" i="11"/>
  <c r="R51" i="11"/>
  <c r="S51" i="11"/>
  <c r="T51" i="11"/>
  <c r="U51" i="11"/>
  <c r="V51" i="11"/>
  <c r="W51" i="11"/>
  <c r="X51" i="11"/>
  <c r="Y51" i="11"/>
  <c r="Z51" i="11"/>
  <c r="AA51" i="11"/>
  <c r="AB51" i="11"/>
  <c r="AC51" i="11"/>
  <c r="AD51" i="11"/>
  <c r="AE51" i="11"/>
  <c r="AF51" i="11"/>
  <c r="AG51" i="11"/>
  <c r="AH51" i="11"/>
  <c r="AI51" i="11"/>
  <c r="AJ51" i="11"/>
  <c r="AK51" i="11"/>
  <c r="AL51" i="11"/>
  <c r="AM51" i="11"/>
  <c r="AN51" i="11"/>
  <c r="AO51" i="11"/>
  <c r="AP51" i="11"/>
  <c r="AQ51" i="11"/>
  <c r="AR51" i="11"/>
  <c r="AS51" i="11"/>
  <c r="AT51" i="11"/>
  <c r="AU51" i="11"/>
  <c r="AV51" i="11"/>
  <c r="AW51" i="11"/>
  <c r="AX51" i="11"/>
  <c r="AY51" i="11"/>
  <c r="AZ51" i="11"/>
  <c r="BA51" i="11"/>
  <c r="D52" i="11"/>
  <c r="E52" i="11"/>
  <c r="F52" i="11"/>
  <c r="G52" i="11"/>
  <c r="H52" i="11"/>
  <c r="I52" i="11"/>
  <c r="J52" i="11"/>
  <c r="K52" i="11"/>
  <c r="L52" i="11"/>
  <c r="M52" i="11"/>
  <c r="N52" i="11"/>
  <c r="O52" i="11"/>
  <c r="P52" i="11"/>
  <c r="Q52" i="11"/>
  <c r="R52" i="11"/>
  <c r="S52" i="11"/>
  <c r="T52" i="11"/>
  <c r="U52" i="11"/>
  <c r="V52" i="11"/>
  <c r="W52" i="11"/>
  <c r="X52" i="11"/>
  <c r="Y52" i="11"/>
  <c r="Z52" i="11"/>
  <c r="AA52" i="11"/>
  <c r="AB52" i="11"/>
  <c r="AC52" i="11"/>
  <c r="AD52" i="11"/>
  <c r="AE52" i="11"/>
  <c r="AF52" i="11"/>
  <c r="AG52" i="11"/>
  <c r="AH52" i="11"/>
  <c r="AI52" i="11"/>
  <c r="AJ52" i="11"/>
  <c r="AK52" i="11"/>
  <c r="AL52" i="11"/>
  <c r="AM52" i="11"/>
  <c r="AN52" i="11"/>
  <c r="AO52" i="11"/>
  <c r="AP52" i="11"/>
  <c r="AQ52" i="11"/>
  <c r="AR52" i="11"/>
  <c r="AS52" i="11"/>
  <c r="AT52" i="11"/>
  <c r="AU52" i="11"/>
  <c r="AV52" i="11"/>
  <c r="AW52" i="11"/>
  <c r="AX52" i="11"/>
  <c r="AY52" i="11"/>
  <c r="AZ52" i="11"/>
  <c r="BA52" i="11"/>
  <c r="D53" i="11"/>
  <c r="E53" i="11"/>
  <c r="F53" i="11"/>
  <c r="G53" i="11"/>
  <c r="H53" i="11"/>
  <c r="I53" i="11"/>
  <c r="J53" i="11"/>
  <c r="K53" i="11"/>
  <c r="L53" i="11"/>
  <c r="M53" i="11"/>
  <c r="N53" i="11"/>
  <c r="O53" i="11"/>
  <c r="P53" i="11"/>
  <c r="Q53" i="11"/>
  <c r="R53" i="11"/>
  <c r="S53" i="11"/>
  <c r="T53" i="11"/>
  <c r="U53" i="11"/>
  <c r="V53" i="11"/>
  <c r="W53" i="11"/>
  <c r="X53" i="11"/>
  <c r="Y53" i="11"/>
  <c r="Z53" i="11"/>
  <c r="AA53" i="11"/>
  <c r="AB53" i="11"/>
  <c r="AC53" i="11"/>
  <c r="AD53" i="11"/>
  <c r="AE53" i="11"/>
  <c r="AF53" i="11"/>
  <c r="AG53" i="11"/>
  <c r="AH53" i="11"/>
  <c r="AI53" i="11"/>
  <c r="AJ53" i="11"/>
  <c r="AK53" i="11"/>
  <c r="AL53" i="11"/>
  <c r="AM53" i="11"/>
  <c r="AN53" i="11"/>
  <c r="AO53" i="11"/>
  <c r="AP53" i="11"/>
  <c r="AQ53" i="11"/>
  <c r="AR53" i="11"/>
  <c r="AS53" i="11"/>
  <c r="AT53" i="11"/>
  <c r="AU53" i="11"/>
  <c r="AV53" i="11"/>
  <c r="AW53" i="11"/>
  <c r="AX53" i="11"/>
  <c r="AY53" i="11"/>
  <c r="AZ53" i="11"/>
  <c r="BA53" i="11"/>
  <c r="D54" i="11"/>
  <c r="E54" i="11"/>
  <c r="F54" i="11"/>
  <c r="G54" i="11"/>
  <c r="H54" i="11"/>
  <c r="I54" i="11"/>
  <c r="J54" i="11"/>
  <c r="K54" i="11"/>
  <c r="L54" i="11"/>
  <c r="M54" i="11"/>
  <c r="N54" i="11"/>
  <c r="O54" i="11"/>
  <c r="P54" i="11"/>
  <c r="Q54" i="11"/>
  <c r="R54" i="11"/>
  <c r="S54" i="11"/>
  <c r="T54" i="11"/>
  <c r="U54" i="11"/>
  <c r="V54" i="11"/>
  <c r="W54" i="11"/>
  <c r="X54" i="11"/>
  <c r="Y54" i="11"/>
  <c r="Z54" i="11"/>
  <c r="AA54" i="11"/>
  <c r="AB54" i="11"/>
  <c r="AC54" i="11"/>
  <c r="AD54" i="11"/>
  <c r="AE54" i="11"/>
  <c r="AF54" i="11"/>
  <c r="AG54" i="11"/>
  <c r="AH54" i="11"/>
  <c r="AI54" i="11"/>
  <c r="AJ54" i="11"/>
  <c r="AK54" i="11"/>
  <c r="AL54" i="11"/>
  <c r="AM54" i="11"/>
  <c r="AN54" i="11"/>
  <c r="AO54" i="11"/>
  <c r="AP54" i="11"/>
  <c r="AQ54" i="11"/>
  <c r="AR54" i="11"/>
  <c r="AS54" i="11"/>
  <c r="AT54" i="11"/>
  <c r="AU54" i="11"/>
  <c r="AV54" i="11"/>
  <c r="AW54" i="11"/>
  <c r="AX54" i="11"/>
  <c r="AY54" i="11"/>
  <c r="AZ54" i="11"/>
  <c r="BA54" i="11"/>
  <c r="D55" i="11"/>
  <c r="E55" i="11"/>
  <c r="F55" i="11"/>
  <c r="G55" i="11"/>
  <c r="H55" i="11"/>
  <c r="I55" i="11"/>
  <c r="J55" i="11"/>
  <c r="K55" i="11"/>
  <c r="L55" i="11"/>
  <c r="M55" i="11"/>
  <c r="N55" i="11"/>
  <c r="O55" i="11"/>
  <c r="P55" i="11"/>
  <c r="Q55" i="11"/>
  <c r="R55" i="11"/>
  <c r="S55" i="11"/>
  <c r="T55" i="11"/>
  <c r="U55" i="11"/>
  <c r="V55" i="11"/>
  <c r="W55" i="11"/>
  <c r="X55" i="11"/>
  <c r="Y55" i="11"/>
  <c r="Z55" i="11"/>
  <c r="AA55" i="11"/>
  <c r="AB55" i="11"/>
  <c r="AC55" i="11"/>
  <c r="AD55" i="11"/>
  <c r="AE55" i="11"/>
  <c r="AF55" i="11"/>
  <c r="AG55" i="11"/>
  <c r="AH55" i="11"/>
  <c r="AI55" i="11"/>
  <c r="AJ55" i="11"/>
  <c r="AK55" i="11"/>
  <c r="AL55" i="11"/>
  <c r="AM55" i="11"/>
  <c r="AN55" i="11"/>
  <c r="AO55" i="11"/>
  <c r="AP55" i="11"/>
  <c r="AQ55" i="11"/>
  <c r="AR55" i="11"/>
  <c r="AS55" i="11"/>
  <c r="AT55" i="11"/>
  <c r="AU55" i="11"/>
  <c r="AV55" i="11"/>
  <c r="AW55" i="11"/>
  <c r="AX55" i="11"/>
  <c r="AY55" i="11"/>
  <c r="AZ55" i="11"/>
  <c r="BA55" i="11"/>
  <c r="D56" i="11"/>
  <c r="E56" i="11"/>
  <c r="F56" i="11"/>
  <c r="G56" i="11"/>
  <c r="H56" i="11"/>
  <c r="I56" i="11"/>
  <c r="J56" i="11"/>
  <c r="K56" i="11"/>
  <c r="L56" i="11"/>
  <c r="M56" i="11"/>
  <c r="N56" i="11"/>
  <c r="O56" i="11"/>
  <c r="P56" i="11"/>
  <c r="Q56" i="11"/>
  <c r="R56" i="11"/>
  <c r="S56" i="11"/>
  <c r="T56" i="11"/>
  <c r="U56" i="11"/>
  <c r="V56" i="11"/>
  <c r="W56" i="11"/>
  <c r="X56" i="11"/>
  <c r="Y56" i="11"/>
  <c r="Z56" i="11"/>
  <c r="AA56" i="11"/>
  <c r="AB56" i="11"/>
  <c r="AC56" i="11"/>
  <c r="AD56" i="11"/>
  <c r="AE56" i="11"/>
  <c r="AF56" i="11"/>
  <c r="AG56" i="11"/>
  <c r="AH56" i="11"/>
  <c r="AI56" i="11"/>
  <c r="AJ56" i="11"/>
  <c r="AK56" i="11"/>
  <c r="AL56" i="11"/>
  <c r="AM56" i="11"/>
  <c r="AN56" i="11"/>
  <c r="AO56" i="11"/>
  <c r="AP56" i="11"/>
  <c r="AQ56" i="11"/>
  <c r="AR56" i="11"/>
  <c r="AS56" i="11"/>
  <c r="AT56" i="11"/>
  <c r="AU56" i="11"/>
  <c r="AV56" i="11"/>
  <c r="AW56" i="11"/>
  <c r="AX56" i="11"/>
  <c r="AY56" i="11"/>
  <c r="AZ56" i="11"/>
  <c r="BA56" i="11"/>
  <c r="D57" i="11"/>
  <c r="E57" i="11"/>
  <c r="F57" i="11"/>
  <c r="G57" i="11"/>
  <c r="H57" i="11"/>
  <c r="I57" i="11"/>
  <c r="J57" i="11"/>
  <c r="K57" i="11"/>
  <c r="L57" i="11"/>
  <c r="M57" i="11"/>
  <c r="N57" i="11"/>
  <c r="O57" i="11"/>
  <c r="P57" i="11"/>
  <c r="Q57" i="11"/>
  <c r="R57" i="11"/>
  <c r="S57" i="11"/>
  <c r="T57" i="11"/>
  <c r="U57" i="11"/>
  <c r="V57" i="11"/>
  <c r="W57" i="11"/>
  <c r="X57" i="11"/>
  <c r="Y57" i="11"/>
  <c r="Z57" i="11"/>
  <c r="AA57" i="11"/>
  <c r="AB57" i="11"/>
  <c r="AC57" i="11"/>
  <c r="AD57" i="11"/>
  <c r="AE57" i="11"/>
  <c r="AF57" i="11"/>
  <c r="AG57" i="11"/>
  <c r="AH57" i="11"/>
  <c r="AI57" i="11"/>
  <c r="AJ57" i="11"/>
  <c r="AK57" i="11"/>
  <c r="AL57" i="11"/>
  <c r="AM57" i="11"/>
  <c r="AN57" i="11"/>
  <c r="AO57" i="11"/>
  <c r="AP57" i="11"/>
  <c r="AQ57" i="11"/>
  <c r="AR57" i="11"/>
  <c r="AS57" i="11"/>
  <c r="AT57" i="11"/>
  <c r="AU57" i="11"/>
  <c r="AV57" i="11"/>
  <c r="AW57" i="11"/>
  <c r="AX57" i="11"/>
  <c r="AY57" i="11"/>
  <c r="AZ57" i="11"/>
  <c r="BA57" i="11"/>
  <c r="D58" i="11"/>
  <c r="E58" i="11"/>
  <c r="F58" i="11"/>
  <c r="G58" i="11"/>
  <c r="H58" i="11"/>
  <c r="I58" i="11"/>
  <c r="J58" i="11"/>
  <c r="K58" i="11"/>
  <c r="L58" i="11"/>
  <c r="M58" i="11"/>
  <c r="N58" i="11"/>
  <c r="O58" i="11"/>
  <c r="P58" i="11"/>
  <c r="Q58" i="11"/>
  <c r="R58" i="11"/>
  <c r="S58" i="11"/>
  <c r="T58" i="11"/>
  <c r="U58" i="11"/>
  <c r="V58" i="11"/>
  <c r="W58" i="11"/>
  <c r="X58" i="11"/>
  <c r="Y58" i="11"/>
  <c r="Z58" i="11"/>
  <c r="AA58" i="11"/>
  <c r="AB58" i="11"/>
  <c r="AC58" i="11"/>
  <c r="AD58" i="11"/>
  <c r="AE58" i="11"/>
  <c r="AF58" i="11"/>
  <c r="AG58" i="11"/>
  <c r="AH58" i="11"/>
  <c r="AI58" i="11"/>
  <c r="AJ58" i="11"/>
  <c r="AK58" i="11"/>
  <c r="AL58" i="11"/>
  <c r="AM58" i="11"/>
  <c r="AN58" i="11"/>
  <c r="AO58" i="11"/>
  <c r="AP58" i="11"/>
  <c r="AQ58" i="11"/>
  <c r="AR58" i="11"/>
  <c r="AS58" i="11"/>
  <c r="AT58" i="11"/>
  <c r="AU58" i="11"/>
  <c r="AV58" i="11"/>
  <c r="AW58" i="11"/>
  <c r="AX58" i="11"/>
  <c r="AY58" i="11"/>
  <c r="AZ58" i="11"/>
  <c r="BA58" i="11"/>
  <c r="D59" i="11"/>
  <c r="E59" i="11"/>
  <c r="F59" i="11"/>
  <c r="G59" i="11"/>
  <c r="H59" i="11"/>
  <c r="I59" i="11"/>
  <c r="J59" i="11"/>
  <c r="K59" i="11"/>
  <c r="L59" i="11"/>
  <c r="M59" i="11"/>
  <c r="N59" i="11"/>
  <c r="O59" i="11"/>
  <c r="P59" i="11"/>
  <c r="Q59" i="11"/>
  <c r="R59" i="11"/>
  <c r="S59" i="11"/>
  <c r="T59" i="11"/>
  <c r="U59" i="11"/>
  <c r="V59" i="11"/>
  <c r="W59" i="11"/>
  <c r="X59" i="11"/>
  <c r="Y59" i="11"/>
  <c r="Z59" i="11"/>
  <c r="AA59" i="11"/>
  <c r="AB59" i="11"/>
  <c r="AC59" i="11"/>
  <c r="AD59" i="11"/>
  <c r="AE59" i="11"/>
  <c r="AF59" i="11"/>
  <c r="AG59" i="11"/>
  <c r="AH59" i="11"/>
  <c r="AI59" i="11"/>
  <c r="AJ59" i="11"/>
  <c r="AK59" i="11"/>
  <c r="AL59" i="11"/>
  <c r="AM59" i="11"/>
  <c r="AN59" i="11"/>
  <c r="AO59" i="11"/>
  <c r="AP59" i="11"/>
  <c r="AQ59" i="11"/>
  <c r="AR59" i="11"/>
  <c r="AS59" i="11"/>
  <c r="AT59" i="11"/>
  <c r="AU59" i="11"/>
  <c r="AV59" i="11"/>
  <c r="AW59" i="11"/>
  <c r="AX59" i="11"/>
  <c r="AY59" i="11"/>
  <c r="AZ59" i="11"/>
  <c r="BA59" i="11"/>
  <c r="D60" i="11"/>
  <c r="E60" i="11"/>
  <c r="F60" i="11"/>
  <c r="G60" i="11"/>
  <c r="H60" i="11"/>
  <c r="I60" i="11"/>
  <c r="J60" i="11"/>
  <c r="K60" i="11"/>
  <c r="L60" i="11"/>
  <c r="M60" i="11"/>
  <c r="N60" i="11"/>
  <c r="O60" i="11"/>
  <c r="P60" i="11"/>
  <c r="Q60" i="11"/>
  <c r="R60" i="11"/>
  <c r="S60" i="11"/>
  <c r="T60" i="11"/>
  <c r="U60" i="11"/>
  <c r="V60" i="11"/>
  <c r="W60" i="11"/>
  <c r="X60" i="11"/>
  <c r="Y60" i="11"/>
  <c r="Z60" i="11"/>
  <c r="AA60" i="11"/>
  <c r="AB60" i="11"/>
  <c r="AC60" i="11"/>
  <c r="AD60" i="11"/>
  <c r="AE60" i="11"/>
  <c r="AF60" i="11"/>
  <c r="AG60" i="11"/>
  <c r="AH60" i="11"/>
  <c r="AI60" i="11"/>
  <c r="AJ60" i="11"/>
  <c r="AK60" i="11"/>
  <c r="AL60" i="11"/>
  <c r="AM60" i="11"/>
  <c r="AN60" i="11"/>
  <c r="AO60" i="11"/>
  <c r="AP60" i="11"/>
  <c r="AQ60" i="11"/>
  <c r="AR60" i="11"/>
  <c r="AS60" i="11"/>
  <c r="AT60" i="11"/>
  <c r="AU60" i="11"/>
  <c r="AV60" i="11"/>
  <c r="AW60" i="11"/>
  <c r="AX60" i="11"/>
  <c r="AY60" i="11"/>
  <c r="AZ60" i="11"/>
  <c r="BA60" i="11"/>
  <c r="D61" i="11"/>
  <c r="E61" i="11"/>
  <c r="F61" i="11"/>
  <c r="G61" i="11"/>
  <c r="H61" i="11"/>
  <c r="I61" i="11"/>
  <c r="J61" i="11"/>
  <c r="K61" i="11"/>
  <c r="L61" i="11"/>
  <c r="M61" i="11"/>
  <c r="N61" i="11"/>
  <c r="O61" i="11"/>
  <c r="P61" i="11"/>
  <c r="Q61" i="11"/>
  <c r="R61" i="11"/>
  <c r="S61" i="11"/>
  <c r="T61" i="11"/>
  <c r="U61" i="11"/>
  <c r="V61" i="11"/>
  <c r="W61" i="11"/>
  <c r="X61" i="11"/>
  <c r="Y61" i="11"/>
  <c r="Z61" i="11"/>
  <c r="AA61" i="11"/>
  <c r="AB61" i="11"/>
  <c r="AC61" i="11"/>
  <c r="AD61" i="11"/>
  <c r="AE61" i="11"/>
  <c r="AF61" i="11"/>
  <c r="AG61" i="11"/>
  <c r="AH61" i="11"/>
  <c r="AI61" i="11"/>
  <c r="AJ61" i="11"/>
  <c r="AK61" i="11"/>
  <c r="AL61" i="11"/>
  <c r="AM61" i="11"/>
  <c r="AN61" i="11"/>
  <c r="AO61" i="11"/>
  <c r="AP61" i="11"/>
  <c r="AQ61" i="11"/>
  <c r="AR61" i="11"/>
  <c r="AS61" i="11"/>
  <c r="AT61" i="11"/>
  <c r="AU61" i="11"/>
  <c r="AV61" i="11"/>
  <c r="AW61" i="11"/>
  <c r="AX61" i="11"/>
  <c r="AY61" i="11"/>
  <c r="AZ61" i="11"/>
  <c r="BA61" i="11"/>
  <c r="D62" i="11"/>
  <c r="E62" i="11"/>
  <c r="F62" i="11"/>
  <c r="G62" i="11"/>
  <c r="H62" i="11"/>
  <c r="I62" i="11"/>
  <c r="J62" i="11"/>
  <c r="K62" i="11"/>
  <c r="L62" i="11"/>
  <c r="M62" i="11"/>
  <c r="N62" i="11"/>
  <c r="O62" i="11"/>
  <c r="P62" i="11"/>
  <c r="Q62" i="11"/>
  <c r="R62" i="11"/>
  <c r="S62" i="11"/>
  <c r="T62" i="11"/>
  <c r="U62" i="11"/>
  <c r="V62" i="11"/>
  <c r="W62" i="11"/>
  <c r="X62" i="11"/>
  <c r="Y62" i="11"/>
  <c r="Z62" i="11"/>
  <c r="AA62" i="11"/>
  <c r="AB62" i="11"/>
  <c r="AC62" i="11"/>
  <c r="AD62" i="11"/>
  <c r="AE62" i="11"/>
  <c r="AF62" i="11"/>
  <c r="AG62" i="11"/>
  <c r="AH62" i="11"/>
  <c r="AI62" i="11"/>
  <c r="AJ62" i="11"/>
  <c r="AK62" i="11"/>
  <c r="AL62" i="11"/>
  <c r="AM62" i="11"/>
  <c r="AN62" i="11"/>
  <c r="AO62" i="11"/>
  <c r="AP62" i="11"/>
  <c r="AQ62" i="11"/>
  <c r="AR62" i="11"/>
  <c r="AS62" i="11"/>
  <c r="AT62" i="11"/>
  <c r="AU62" i="11"/>
  <c r="AV62" i="11"/>
  <c r="AW62" i="11"/>
  <c r="AX62" i="11"/>
  <c r="AY62" i="11"/>
  <c r="AZ62" i="11"/>
  <c r="BA62" i="11"/>
  <c r="D63" i="11"/>
  <c r="E63" i="11"/>
  <c r="F63" i="11"/>
  <c r="G63" i="11"/>
  <c r="H63" i="11"/>
  <c r="I63" i="11"/>
  <c r="J63" i="11"/>
  <c r="K63" i="11"/>
  <c r="L63" i="11"/>
  <c r="M63" i="11"/>
  <c r="N63" i="11"/>
  <c r="O63" i="11"/>
  <c r="P63" i="11"/>
  <c r="Q63" i="11"/>
  <c r="R63" i="11"/>
  <c r="S63" i="11"/>
  <c r="T63" i="11"/>
  <c r="U63" i="11"/>
  <c r="V63" i="11"/>
  <c r="W63" i="11"/>
  <c r="X63" i="11"/>
  <c r="Y63" i="11"/>
  <c r="Z63" i="11"/>
  <c r="AA63" i="11"/>
  <c r="AB63" i="11"/>
  <c r="AC63" i="11"/>
  <c r="AD63" i="11"/>
  <c r="AE63" i="11"/>
  <c r="AF63" i="11"/>
  <c r="AG63" i="11"/>
  <c r="AH63" i="11"/>
  <c r="AI63" i="11"/>
  <c r="AJ63" i="11"/>
  <c r="AK63" i="11"/>
  <c r="AL63" i="11"/>
  <c r="AM63" i="11"/>
  <c r="AN63" i="11"/>
  <c r="AO63" i="11"/>
  <c r="AP63" i="11"/>
  <c r="AQ63" i="11"/>
  <c r="AR63" i="11"/>
  <c r="AS63" i="11"/>
  <c r="AT63" i="11"/>
  <c r="AU63" i="11"/>
  <c r="AV63" i="11"/>
  <c r="AW63" i="11"/>
  <c r="AX63" i="11"/>
  <c r="AY63" i="11"/>
  <c r="AZ63" i="11"/>
  <c r="BA63" i="11"/>
  <c r="D64" i="11"/>
  <c r="E64" i="11"/>
  <c r="F64" i="11"/>
  <c r="G64" i="11"/>
  <c r="H64" i="11"/>
  <c r="I64" i="11"/>
  <c r="J64" i="11"/>
  <c r="K64" i="11"/>
  <c r="L64" i="11"/>
  <c r="M64" i="11"/>
  <c r="N64" i="11"/>
  <c r="O64" i="11"/>
  <c r="P64" i="11"/>
  <c r="Q64" i="11"/>
  <c r="R64" i="11"/>
  <c r="S64" i="11"/>
  <c r="T64" i="11"/>
  <c r="U64" i="11"/>
  <c r="V64" i="11"/>
  <c r="W64" i="11"/>
  <c r="X64" i="11"/>
  <c r="Y64" i="11"/>
  <c r="Z64" i="11"/>
  <c r="AA64" i="11"/>
  <c r="AB64" i="11"/>
  <c r="AC64" i="11"/>
  <c r="AD64" i="11"/>
  <c r="AE64" i="11"/>
  <c r="AF64" i="11"/>
  <c r="AG64" i="11"/>
  <c r="AH64" i="11"/>
  <c r="AI64" i="11"/>
  <c r="AJ64" i="11"/>
  <c r="AK64" i="11"/>
  <c r="AL64" i="11"/>
  <c r="AM64" i="11"/>
  <c r="AN64" i="11"/>
  <c r="AO64" i="11"/>
  <c r="AP64" i="11"/>
  <c r="AQ64" i="11"/>
  <c r="AR64" i="11"/>
  <c r="AS64" i="11"/>
  <c r="AT64" i="11"/>
  <c r="AU64" i="11"/>
  <c r="AV64" i="11"/>
  <c r="AW64" i="11"/>
  <c r="AX64" i="11"/>
  <c r="AY64" i="11"/>
  <c r="AZ64" i="11"/>
  <c r="BA64" i="11"/>
  <c r="D65" i="11"/>
  <c r="E65" i="11"/>
  <c r="F65" i="11"/>
  <c r="G65" i="11"/>
  <c r="H65" i="11"/>
  <c r="I65" i="11"/>
  <c r="J65" i="11"/>
  <c r="K65" i="11"/>
  <c r="L65" i="11"/>
  <c r="M65" i="11"/>
  <c r="N65" i="11"/>
  <c r="O65" i="11"/>
  <c r="P65" i="11"/>
  <c r="Q65" i="11"/>
  <c r="R65" i="11"/>
  <c r="S65" i="11"/>
  <c r="T65" i="11"/>
  <c r="U65" i="11"/>
  <c r="V65" i="11"/>
  <c r="W65" i="11"/>
  <c r="X65" i="11"/>
  <c r="Y65" i="11"/>
  <c r="Z65" i="11"/>
  <c r="AA65" i="11"/>
  <c r="AB65" i="11"/>
  <c r="AC65" i="11"/>
  <c r="AD65" i="11"/>
  <c r="AE65" i="11"/>
  <c r="AF65" i="11"/>
  <c r="AG65" i="11"/>
  <c r="AH65" i="11"/>
  <c r="AI65" i="11"/>
  <c r="AJ65" i="11"/>
  <c r="AK65" i="11"/>
  <c r="AL65" i="11"/>
  <c r="AM65" i="11"/>
  <c r="AN65" i="11"/>
  <c r="AO65" i="11"/>
  <c r="AP65" i="11"/>
  <c r="AQ65" i="11"/>
  <c r="AR65" i="11"/>
  <c r="AS65" i="11"/>
  <c r="AT65" i="11"/>
  <c r="AU65" i="11"/>
  <c r="AV65" i="11"/>
  <c r="AW65" i="11"/>
  <c r="AX65" i="11"/>
  <c r="AY65" i="11"/>
  <c r="AZ65" i="11"/>
  <c r="BA65" i="11"/>
  <c r="D66" i="11"/>
  <c r="E66" i="11"/>
  <c r="F66" i="11"/>
  <c r="G66" i="11"/>
  <c r="H66" i="11"/>
  <c r="I66" i="11"/>
  <c r="J66" i="11"/>
  <c r="K66" i="11"/>
  <c r="L66" i="11"/>
  <c r="M66" i="11"/>
  <c r="N66" i="11"/>
  <c r="O66" i="11"/>
  <c r="P66" i="11"/>
  <c r="Q66" i="11"/>
  <c r="R66" i="11"/>
  <c r="S66" i="11"/>
  <c r="T66" i="11"/>
  <c r="U66" i="11"/>
  <c r="V66" i="11"/>
  <c r="W66" i="11"/>
  <c r="X66" i="11"/>
  <c r="Y66" i="11"/>
  <c r="Z66" i="11"/>
  <c r="AA66" i="11"/>
  <c r="AB66" i="11"/>
  <c r="AC66" i="11"/>
  <c r="AD66" i="11"/>
  <c r="AE66" i="11"/>
  <c r="AF66" i="11"/>
  <c r="AG66" i="11"/>
  <c r="AH66" i="11"/>
  <c r="AI66" i="11"/>
  <c r="AJ66" i="11"/>
  <c r="AK66" i="11"/>
  <c r="AL66" i="11"/>
  <c r="AM66" i="11"/>
  <c r="AN66" i="11"/>
  <c r="AO66" i="11"/>
  <c r="AP66" i="11"/>
  <c r="AQ66" i="11"/>
  <c r="AR66" i="11"/>
  <c r="AS66" i="11"/>
  <c r="AT66" i="11"/>
  <c r="AU66" i="11"/>
  <c r="AV66" i="11"/>
  <c r="AW66" i="11"/>
  <c r="AX66" i="11"/>
  <c r="AY66" i="11"/>
  <c r="AZ66" i="11"/>
  <c r="BA66" i="11"/>
  <c r="D67" i="11"/>
  <c r="E67" i="11"/>
  <c r="F67" i="11"/>
  <c r="G67" i="11"/>
  <c r="H67" i="11"/>
  <c r="I67" i="11"/>
  <c r="J67" i="11"/>
  <c r="K67" i="11"/>
  <c r="L67" i="11"/>
  <c r="M67" i="11"/>
  <c r="N67" i="11"/>
  <c r="O67" i="11"/>
  <c r="P67" i="11"/>
  <c r="Q67" i="11"/>
  <c r="R67" i="11"/>
  <c r="S67" i="11"/>
  <c r="T67" i="11"/>
  <c r="U67" i="11"/>
  <c r="V67" i="11"/>
  <c r="W67" i="11"/>
  <c r="X67" i="11"/>
  <c r="Y67" i="11"/>
  <c r="Z67" i="11"/>
  <c r="AA67" i="11"/>
  <c r="AB67" i="11"/>
  <c r="AC67" i="11"/>
  <c r="AD67" i="11"/>
  <c r="AE67" i="11"/>
  <c r="AF67" i="11"/>
  <c r="AG67" i="11"/>
  <c r="AH67" i="11"/>
  <c r="AI67" i="11"/>
  <c r="AJ67" i="11"/>
  <c r="AK67" i="11"/>
  <c r="AL67" i="11"/>
  <c r="AM67" i="11"/>
  <c r="AN67" i="11"/>
  <c r="AO67" i="11"/>
  <c r="AP67" i="11"/>
  <c r="AQ67" i="11"/>
  <c r="AR67" i="11"/>
  <c r="AS67" i="11"/>
  <c r="AT67" i="11"/>
  <c r="AU67" i="11"/>
  <c r="AV67" i="11"/>
  <c r="AW67" i="11"/>
  <c r="AX67" i="11"/>
  <c r="AY67" i="11"/>
  <c r="AZ67" i="11"/>
  <c r="BA67" i="11"/>
  <c r="D68" i="11"/>
  <c r="E68" i="11"/>
  <c r="F68" i="11"/>
  <c r="G68" i="11"/>
  <c r="H68" i="11"/>
  <c r="I68" i="11"/>
  <c r="J68" i="11"/>
  <c r="K68" i="11"/>
  <c r="L68" i="11"/>
  <c r="M68" i="11"/>
  <c r="N68" i="11"/>
  <c r="O68" i="11"/>
  <c r="P68" i="11"/>
  <c r="Q68" i="11"/>
  <c r="R68" i="11"/>
  <c r="S68" i="11"/>
  <c r="T68" i="11"/>
  <c r="U68" i="11"/>
  <c r="V68" i="11"/>
  <c r="W68" i="11"/>
  <c r="X68" i="11"/>
  <c r="Y68" i="11"/>
  <c r="Z68" i="11"/>
  <c r="AA68" i="11"/>
  <c r="AB68" i="11"/>
  <c r="AC68" i="11"/>
  <c r="AD68" i="11"/>
  <c r="AE68" i="11"/>
  <c r="AF68" i="11"/>
  <c r="AG68" i="11"/>
  <c r="AH68" i="11"/>
  <c r="AI68" i="11"/>
  <c r="AJ68" i="11"/>
  <c r="AK68" i="11"/>
  <c r="AL68" i="11"/>
  <c r="AM68" i="11"/>
  <c r="AN68" i="11"/>
  <c r="AO68" i="11"/>
  <c r="AP68" i="11"/>
  <c r="AQ68" i="11"/>
  <c r="AR68" i="11"/>
  <c r="AS68" i="11"/>
  <c r="AT68" i="11"/>
  <c r="AU68" i="11"/>
  <c r="AV68" i="11"/>
  <c r="AW68" i="11"/>
  <c r="AX68" i="11"/>
  <c r="AY68" i="11"/>
  <c r="AZ68" i="11"/>
  <c r="BA68" i="11"/>
  <c r="D69" i="11"/>
  <c r="E69" i="11"/>
  <c r="F69" i="11"/>
  <c r="G69" i="11"/>
  <c r="H69" i="11"/>
  <c r="I69" i="11"/>
  <c r="J69" i="11"/>
  <c r="K69" i="11"/>
  <c r="L69" i="11"/>
  <c r="M69" i="11"/>
  <c r="N69" i="11"/>
  <c r="O69" i="11"/>
  <c r="P69" i="11"/>
  <c r="Q69" i="11"/>
  <c r="R69" i="11"/>
  <c r="S69" i="11"/>
  <c r="T69" i="11"/>
  <c r="U69" i="11"/>
  <c r="V69" i="11"/>
  <c r="W69" i="11"/>
  <c r="X69" i="11"/>
  <c r="Y69" i="11"/>
  <c r="Z69" i="11"/>
  <c r="AA69" i="11"/>
  <c r="AB69" i="11"/>
  <c r="AC69" i="11"/>
  <c r="AD69" i="11"/>
  <c r="AE69" i="11"/>
  <c r="AF69" i="11"/>
  <c r="AG69" i="11"/>
  <c r="AH69" i="11"/>
  <c r="AI69" i="11"/>
  <c r="AJ69" i="11"/>
  <c r="AK69" i="11"/>
  <c r="AL69" i="11"/>
  <c r="AM69" i="11"/>
  <c r="AN69" i="11"/>
  <c r="AO69" i="11"/>
  <c r="AP69" i="11"/>
  <c r="AQ69" i="11"/>
  <c r="AR69" i="11"/>
  <c r="AS69" i="11"/>
  <c r="AT69" i="11"/>
  <c r="AU69" i="11"/>
  <c r="AV69" i="11"/>
  <c r="AW69" i="11"/>
  <c r="AX69" i="11"/>
  <c r="AY69" i="11"/>
  <c r="AZ69" i="11"/>
  <c r="BA69" i="11"/>
  <c r="D70" i="11"/>
  <c r="E70" i="11"/>
  <c r="F70" i="11"/>
  <c r="G70" i="11"/>
  <c r="H70" i="11"/>
  <c r="I70" i="11"/>
  <c r="J70" i="11"/>
  <c r="K70" i="11"/>
  <c r="L70" i="11"/>
  <c r="M70" i="11"/>
  <c r="N70" i="11"/>
  <c r="O70" i="11"/>
  <c r="P70" i="11"/>
  <c r="Q70" i="11"/>
  <c r="R70" i="11"/>
  <c r="S70" i="11"/>
  <c r="T70" i="11"/>
  <c r="U70" i="11"/>
  <c r="V70" i="11"/>
  <c r="W70" i="11"/>
  <c r="X70" i="11"/>
  <c r="Y70" i="11"/>
  <c r="Z70" i="11"/>
  <c r="AA70" i="11"/>
  <c r="AB70" i="11"/>
  <c r="AC70" i="11"/>
  <c r="AD70" i="11"/>
  <c r="AE70" i="11"/>
  <c r="AF70" i="11"/>
  <c r="AG70" i="11"/>
  <c r="AH70" i="11"/>
  <c r="AI70" i="11"/>
  <c r="AJ70" i="11"/>
  <c r="AK70" i="11"/>
  <c r="AL70" i="11"/>
  <c r="AM70" i="11"/>
  <c r="AN70" i="11"/>
  <c r="AO70" i="11"/>
  <c r="AP70" i="11"/>
  <c r="AQ70" i="11"/>
  <c r="AR70" i="11"/>
  <c r="AS70" i="11"/>
  <c r="AT70" i="11"/>
  <c r="AU70" i="11"/>
  <c r="AV70" i="11"/>
  <c r="AW70" i="11"/>
  <c r="AX70" i="11"/>
  <c r="AY70" i="11"/>
  <c r="AZ70" i="11"/>
  <c r="BA70" i="11"/>
  <c r="D71" i="11"/>
  <c r="E71" i="11"/>
  <c r="F71" i="11"/>
  <c r="G71" i="11"/>
  <c r="H71" i="11"/>
  <c r="I71" i="11"/>
  <c r="J71" i="11"/>
  <c r="K71" i="11"/>
  <c r="L71" i="11"/>
  <c r="M71" i="11"/>
  <c r="N71" i="11"/>
  <c r="O71" i="11"/>
  <c r="P71" i="11"/>
  <c r="Q71" i="11"/>
  <c r="R71" i="11"/>
  <c r="S71" i="11"/>
  <c r="T71" i="11"/>
  <c r="U71" i="11"/>
  <c r="V71" i="11"/>
  <c r="W71" i="11"/>
  <c r="X71" i="1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AZ71" i="11"/>
  <c r="BA71" i="11"/>
  <c r="D72" i="11"/>
  <c r="E72" i="11"/>
  <c r="F72" i="11"/>
  <c r="G72" i="11"/>
  <c r="H72" i="11"/>
  <c r="I72" i="11"/>
  <c r="J72" i="11"/>
  <c r="K72" i="11"/>
  <c r="L72" i="11"/>
  <c r="M72" i="11"/>
  <c r="N72" i="11"/>
  <c r="O72" i="11"/>
  <c r="P72" i="11"/>
  <c r="Q72" i="11"/>
  <c r="R72" i="11"/>
  <c r="S72" i="11"/>
  <c r="T72" i="11"/>
  <c r="U72" i="11"/>
  <c r="V72" i="11"/>
  <c r="W72" i="11"/>
  <c r="X72" i="11"/>
  <c r="Y72" i="11"/>
  <c r="Z72" i="11"/>
  <c r="AA72" i="11"/>
  <c r="AB72" i="11"/>
  <c r="AC72" i="11"/>
  <c r="AD72" i="11"/>
  <c r="AE72" i="11"/>
  <c r="AF72" i="11"/>
  <c r="AG72" i="11"/>
  <c r="AH72" i="11"/>
  <c r="AI72" i="11"/>
  <c r="AJ72" i="11"/>
  <c r="AK72" i="11"/>
  <c r="AL72" i="11"/>
  <c r="AM72" i="11"/>
  <c r="AN72" i="11"/>
  <c r="AO72" i="11"/>
  <c r="AP72" i="11"/>
  <c r="AQ72" i="11"/>
  <c r="AR72" i="11"/>
  <c r="AS72" i="11"/>
  <c r="AT72" i="11"/>
  <c r="AU72" i="11"/>
  <c r="AV72" i="11"/>
  <c r="AW72" i="11"/>
  <c r="AX72" i="11"/>
  <c r="AY72" i="11"/>
  <c r="AZ72" i="11"/>
  <c r="BA72" i="11"/>
  <c r="D73" i="11"/>
  <c r="E73" i="11"/>
  <c r="F73" i="11"/>
  <c r="G73" i="11"/>
  <c r="H73" i="11"/>
  <c r="I73" i="11"/>
  <c r="J73" i="11"/>
  <c r="K73" i="11"/>
  <c r="L73" i="11"/>
  <c r="M73" i="11"/>
  <c r="N73" i="11"/>
  <c r="O73" i="11"/>
  <c r="P73" i="11"/>
  <c r="Q73" i="11"/>
  <c r="R73" i="11"/>
  <c r="S73" i="11"/>
  <c r="T73" i="11"/>
  <c r="U73" i="11"/>
  <c r="V73" i="11"/>
  <c r="W73" i="11"/>
  <c r="X73" i="11"/>
  <c r="Y73" i="11"/>
  <c r="Z73" i="11"/>
  <c r="AA73" i="11"/>
  <c r="AB73" i="11"/>
  <c r="AC73" i="11"/>
  <c r="AD73" i="11"/>
  <c r="AE73" i="11"/>
  <c r="AF73" i="11"/>
  <c r="AG73" i="11"/>
  <c r="AH73" i="11"/>
  <c r="AI73" i="11"/>
  <c r="AJ73" i="11"/>
  <c r="AK73" i="11"/>
  <c r="AL73" i="11"/>
  <c r="AM73" i="11"/>
  <c r="AN73" i="11"/>
  <c r="AO73" i="11"/>
  <c r="AP73" i="11"/>
  <c r="AQ73" i="11"/>
  <c r="AR73" i="11"/>
  <c r="AS73" i="11"/>
  <c r="AT73" i="11"/>
  <c r="AU73" i="11"/>
  <c r="AV73" i="11"/>
  <c r="AW73" i="11"/>
  <c r="AX73" i="11"/>
  <c r="AY73" i="11"/>
  <c r="AZ73" i="11"/>
  <c r="BA73" i="11"/>
  <c r="D74" i="11"/>
  <c r="E74" i="11"/>
  <c r="F74" i="11"/>
  <c r="G74" i="11"/>
  <c r="H74" i="11"/>
  <c r="I74" i="11"/>
  <c r="J74" i="11"/>
  <c r="K74" i="11"/>
  <c r="L74" i="11"/>
  <c r="M74" i="11"/>
  <c r="N74" i="11"/>
  <c r="O74" i="11"/>
  <c r="P74" i="11"/>
  <c r="Q74" i="11"/>
  <c r="R74" i="11"/>
  <c r="S74" i="11"/>
  <c r="T74" i="11"/>
  <c r="U74" i="11"/>
  <c r="V74" i="11"/>
  <c r="W74" i="11"/>
  <c r="X74" i="11"/>
  <c r="Y74" i="11"/>
  <c r="Z74" i="11"/>
  <c r="AA74" i="11"/>
  <c r="AB74" i="11"/>
  <c r="AC74" i="11"/>
  <c r="AD74" i="11"/>
  <c r="AE74" i="11"/>
  <c r="AF74" i="11"/>
  <c r="AG74" i="11"/>
  <c r="AH74" i="11"/>
  <c r="AI74" i="11"/>
  <c r="AJ74" i="11"/>
  <c r="AK74" i="11"/>
  <c r="AL74" i="11"/>
  <c r="AM74" i="11"/>
  <c r="AN74" i="11"/>
  <c r="AO74" i="11"/>
  <c r="AP74" i="11"/>
  <c r="AQ74" i="11"/>
  <c r="AR74" i="11"/>
  <c r="AS74" i="11"/>
  <c r="AT74" i="11"/>
  <c r="AU74" i="11"/>
  <c r="AV74" i="11"/>
  <c r="AW74" i="11"/>
  <c r="AX74" i="11"/>
  <c r="AY74" i="11"/>
  <c r="AZ74" i="11"/>
  <c r="BA74" i="11"/>
  <c r="D75" i="11"/>
  <c r="E75" i="11"/>
  <c r="F75" i="11"/>
  <c r="G75" i="11"/>
  <c r="H75" i="11"/>
  <c r="I75" i="11"/>
  <c r="J75" i="11"/>
  <c r="K75" i="11"/>
  <c r="L75" i="11"/>
  <c r="M75" i="11"/>
  <c r="N75" i="11"/>
  <c r="O75" i="11"/>
  <c r="P75" i="11"/>
  <c r="Q75" i="11"/>
  <c r="R75" i="11"/>
  <c r="S75" i="11"/>
  <c r="T75" i="11"/>
  <c r="U75" i="11"/>
  <c r="V75" i="11"/>
  <c r="W75" i="11"/>
  <c r="X75" i="11"/>
  <c r="Y75" i="11"/>
  <c r="Z75" i="11"/>
  <c r="AA75" i="11"/>
  <c r="AB75" i="11"/>
  <c r="AC75" i="11"/>
  <c r="AD75" i="11"/>
  <c r="AE75" i="11"/>
  <c r="AF75" i="11"/>
  <c r="AG75" i="11"/>
  <c r="AH75" i="11"/>
  <c r="AI75" i="11"/>
  <c r="AJ75" i="11"/>
  <c r="AK75" i="11"/>
  <c r="AL75" i="11"/>
  <c r="AM75" i="11"/>
  <c r="AN75" i="11"/>
  <c r="AO75" i="11"/>
  <c r="AP75" i="11"/>
  <c r="AQ75" i="11"/>
  <c r="AR75" i="11"/>
  <c r="AS75" i="11"/>
  <c r="AT75" i="11"/>
  <c r="AU75" i="11"/>
  <c r="AV75" i="11"/>
  <c r="AW75" i="11"/>
  <c r="AX75" i="11"/>
  <c r="AY75" i="11"/>
  <c r="AZ75" i="11"/>
  <c r="BA75" i="11"/>
  <c r="D76" i="11"/>
  <c r="E76" i="11"/>
  <c r="F76" i="11"/>
  <c r="G76" i="11"/>
  <c r="H76" i="11"/>
  <c r="I76" i="11"/>
  <c r="J76" i="11"/>
  <c r="K76" i="11"/>
  <c r="L76" i="11"/>
  <c r="M76" i="11"/>
  <c r="N76" i="11"/>
  <c r="O76" i="11"/>
  <c r="P76" i="11"/>
  <c r="Q76" i="11"/>
  <c r="R76" i="11"/>
  <c r="S76" i="11"/>
  <c r="T76" i="11"/>
  <c r="U76" i="11"/>
  <c r="V76" i="11"/>
  <c r="W76" i="11"/>
  <c r="X76" i="11"/>
  <c r="Y76" i="11"/>
  <c r="Z76" i="11"/>
  <c r="AA76" i="11"/>
  <c r="AB76" i="11"/>
  <c r="AC76" i="11"/>
  <c r="AD76" i="11"/>
  <c r="AE76" i="11"/>
  <c r="AF76" i="11"/>
  <c r="AG76" i="11"/>
  <c r="AH76" i="11"/>
  <c r="AI76" i="11"/>
  <c r="AJ76" i="11"/>
  <c r="AK76" i="11"/>
  <c r="AL76" i="11"/>
  <c r="AM76" i="11"/>
  <c r="AN76" i="11"/>
  <c r="AO76" i="11"/>
  <c r="AP76" i="11"/>
  <c r="AQ76" i="11"/>
  <c r="AR76" i="11"/>
  <c r="AS76" i="11"/>
  <c r="AT76" i="11"/>
  <c r="AU76" i="11"/>
  <c r="AV76" i="11"/>
  <c r="AW76" i="11"/>
  <c r="AX76" i="11"/>
  <c r="AY76" i="11"/>
  <c r="AZ76" i="11"/>
  <c r="BA76" i="11"/>
  <c r="D77" i="11"/>
  <c r="E77" i="11"/>
  <c r="F77" i="11"/>
  <c r="G77" i="11"/>
  <c r="H77" i="11"/>
  <c r="I77" i="11"/>
  <c r="J77" i="11"/>
  <c r="K77" i="11"/>
  <c r="L77" i="11"/>
  <c r="M77" i="11"/>
  <c r="N77" i="11"/>
  <c r="O77" i="11"/>
  <c r="P77" i="11"/>
  <c r="Q77" i="11"/>
  <c r="R77" i="11"/>
  <c r="S77" i="11"/>
  <c r="T77" i="11"/>
  <c r="U77" i="11"/>
  <c r="V77" i="11"/>
  <c r="W77" i="11"/>
  <c r="X77" i="11"/>
  <c r="Y77" i="11"/>
  <c r="Z77" i="11"/>
  <c r="AA77" i="11"/>
  <c r="AB77" i="11"/>
  <c r="AC77" i="11"/>
  <c r="AD77" i="11"/>
  <c r="AE77" i="11"/>
  <c r="AF77" i="11"/>
  <c r="AG77" i="11"/>
  <c r="AH77" i="11"/>
  <c r="AI77" i="11"/>
  <c r="AJ77" i="11"/>
  <c r="AK77" i="11"/>
  <c r="AL77" i="11"/>
  <c r="AM77" i="11"/>
  <c r="AN77" i="11"/>
  <c r="AO77" i="11"/>
  <c r="AP77" i="11"/>
  <c r="AQ77" i="11"/>
  <c r="AR77" i="11"/>
  <c r="AS77" i="11"/>
  <c r="AT77" i="11"/>
  <c r="AU77" i="11"/>
  <c r="AV77" i="11"/>
  <c r="AW77" i="11"/>
  <c r="AX77" i="11"/>
  <c r="AY77" i="11"/>
  <c r="AZ77" i="11"/>
  <c r="BA77" i="11"/>
  <c r="D78" i="11"/>
  <c r="E78" i="11"/>
  <c r="F78" i="11"/>
  <c r="G78" i="11"/>
  <c r="H78" i="11"/>
  <c r="I78" i="11"/>
  <c r="J78" i="11"/>
  <c r="K78" i="11"/>
  <c r="L78" i="11"/>
  <c r="M78" i="11"/>
  <c r="N78" i="11"/>
  <c r="O78" i="11"/>
  <c r="P78" i="11"/>
  <c r="Q78" i="11"/>
  <c r="R78" i="11"/>
  <c r="S78" i="11"/>
  <c r="T78" i="11"/>
  <c r="U78" i="11"/>
  <c r="V78" i="11"/>
  <c r="W78" i="11"/>
  <c r="X78" i="11"/>
  <c r="Y78" i="11"/>
  <c r="Z78" i="11"/>
  <c r="AA78" i="11"/>
  <c r="AB78" i="11"/>
  <c r="AC78" i="11"/>
  <c r="AD78" i="11"/>
  <c r="AE78" i="11"/>
  <c r="AF78" i="11"/>
  <c r="AG78" i="11"/>
  <c r="AH78" i="11"/>
  <c r="AI78" i="11"/>
  <c r="AJ78" i="11"/>
  <c r="AK78" i="11"/>
  <c r="AL78" i="11"/>
  <c r="AM78" i="11"/>
  <c r="AN78" i="11"/>
  <c r="AO78" i="11"/>
  <c r="AP78" i="11"/>
  <c r="AQ78" i="11"/>
  <c r="AR78" i="11"/>
  <c r="AS78" i="11"/>
  <c r="AT78" i="11"/>
  <c r="AU78" i="11"/>
  <c r="AV78" i="11"/>
  <c r="AW78" i="11"/>
  <c r="AX78" i="11"/>
  <c r="AY78" i="11"/>
  <c r="AZ78" i="11"/>
  <c r="BA78" i="11"/>
  <c r="D79" i="11"/>
  <c r="E79" i="11"/>
  <c r="F79" i="11"/>
  <c r="G79" i="11"/>
  <c r="H79" i="11"/>
  <c r="I79" i="11"/>
  <c r="J79" i="11"/>
  <c r="K79" i="11"/>
  <c r="L79" i="11"/>
  <c r="M79" i="11"/>
  <c r="N79" i="11"/>
  <c r="O79" i="11"/>
  <c r="P79" i="11"/>
  <c r="Q79" i="11"/>
  <c r="R79" i="11"/>
  <c r="S79" i="11"/>
  <c r="T79" i="11"/>
  <c r="U79" i="11"/>
  <c r="V79" i="11"/>
  <c r="W79" i="11"/>
  <c r="X79" i="11"/>
  <c r="Y79" i="11"/>
  <c r="Z79" i="11"/>
  <c r="AA79" i="11"/>
  <c r="AB79" i="11"/>
  <c r="AC79" i="11"/>
  <c r="AD79" i="11"/>
  <c r="AE79" i="11"/>
  <c r="AF79" i="11"/>
  <c r="AG79" i="11"/>
  <c r="AH79" i="11"/>
  <c r="AI79" i="11"/>
  <c r="AJ79" i="11"/>
  <c r="AK79" i="11"/>
  <c r="AL79" i="11"/>
  <c r="AM79" i="11"/>
  <c r="AN79" i="11"/>
  <c r="AO79" i="11"/>
  <c r="AP79" i="11"/>
  <c r="AQ79" i="11"/>
  <c r="AR79" i="11"/>
  <c r="AS79" i="11"/>
  <c r="AT79" i="11"/>
  <c r="AU79" i="11"/>
  <c r="AV79" i="11"/>
  <c r="AW79" i="11"/>
  <c r="AX79" i="11"/>
  <c r="AY79" i="11"/>
  <c r="AZ79" i="11"/>
  <c r="BA79" i="11"/>
  <c r="D80" i="11"/>
  <c r="E80" i="11"/>
  <c r="F80" i="11"/>
  <c r="G80" i="11"/>
  <c r="H80" i="11"/>
  <c r="I80" i="11"/>
  <c r="J80" i="11"/>
  <c r="K80" i="11"/>
  <c r="L80" i="11"/>
  <c r="M80" i="11"/>
  <c r="N80" i="11"/>
  <c r="O80" i="11"/>
  <c r="P80" i="11"/>
  <c r="Q80" i="11"/>
  <c r="R80" i="11"/>
  <c r="S80" i="11"/>
  <c r="T80" i="11"/>
  <c r="U80" i="11"/>
  <c r="V80" i="11"/>
  <c r="W80" i="11"/>
  <c r="X80" i="11"/>
  <c r="Y80" i="11"/>
  <c r="Z80" i="11"/>
  <c r="AA80" i="11"/>
  <c r="AB80" i="11"/>
  <c r="AC80" i="11"/>
  <c r="AD80" i="11"/>
  <c r="AE80" i="11"/>
  <c r="AF80" i="11"/>
  <c r="AG80" i="11"/>
  <c r="AH80" i="11"/>
  <c r="AI80" i="11"/>
  <c r="AJ80" i="11"/>
  <c r="AK80" i="11"/>
  <c r="AL80" i="11"/>
  <c r="AM80" i="11"/>
  <c r="AN80" i="11"/>
  <c r="AO80" i="11"/>
  <c r="AP80" i="11"/>
  <c r="AQ80" i="11"/>
  <c r="AR80" i="11"/>
  <c r="AS80" i="11"/>
  <c r="AT80" i="11"/>
  <c r="AU80" i="11"/>
  <c r="AV80" i="11"/>
  <c r="AW80" i="11"/>
  <c r="AX80" i="11"/>
  <c r="AY80" i="11"/>
  <c r="AZ80" i="11"/>
  <c r="BA80" i="11"/>
  <c r="D81" i="11"/>
  <c r="E81"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S81" i="11"/>
  <c r="AT81" i="11"/>
  <c r="AU81" i="11"/>
  <c r="AV81" i="11"/>
  <c r="AW81" i="11"/>
  <c r="AX81" i="11"/>
  <c r="AY81" i="11"/>
  <c r="AZ81" i="11"/>
  <c r="BA81" i="11"/>
  <c r="D82" i="11"/>
  <c r="E82" i="11"/>
  <c r="F82" i="11"/>
  <c r="G82" i="11"/>
  <c r="H82" i="11"/>
  <c r="I82" i="11"/>
  <c r="J82" i="11"/>
  <c r="K82" i="11"/>
  <c r="L82" i="11"/>
  <c r="M82" i="11"/>
  <c r="N82" i="11"/>
  <c r="O82" i="11"/>
  <c r="P82" i="11"/>
  <c r="Q82" i="11"/>
  <c r="R82" i="11"/>
  <c r="S82" i="11"/>
  <c r="T82" i="11"/>
  <c r="U82" i="11"/>
  <c r="V82" i="11"/>
  <c r="W82" i="11"/>
  <c r="X82" i="11"/>
  <c r="Y82" i="11"/>
  <c r="Z82" i="11"/>
  <c r="AA82" i="11"/>
  <c r="AB82" i="11"/>
  <c r="AC82" i="11"/>
  <c r="AD82" i="11"/>
  <c r="AE82" i="11"/>
  <c r="AF82" i="11"/>
  <c r="AG82" i="11"/>
  <c r="AH82" i="11"/>
  <c r="AI82" i="11"/>
  <c r="AJ82" i="11"/>
  <c r="AK82" i="11"/>
  <c r="AL82" i="11"/>
  <c r="AM82" i="11"/>
  <c r="AN82" i="11"/>
  <c r="AO82" i="11"/>
  <c r="AP82" i="11"/>
  <c r="AQ82" i="11"/>
  <c r="AR82" i="11"/>
  <c r="AS82" i="11"/>
  <c r="AT82" i="11"/>
  <c r="AU82" i="11"/>
  <c r="AV82" i="11"/>
  <c r="AW82" i="11"/>
  <c r="AX82" i="11"/>
  <c r="AY82" i="11"/>
  <c r="AZ82" i="11"/>
  <c r="BA82" i="11"/>
  <c r="D83" i="11"/>
  <c r="E83" i="11"/>
  <c r="F83" i="11"/>
  <c r="G83" i="11"/>
  <c r="H83" i="11"/>
  <c r="I83" i="11"/>
  <c r="J83" i="11"/>
  <c r="K83" i="11"/>
  <c r="L83" i="11"/>
  <c r="M83" i="11"/>
  <c r="N83" i="11"/>
  <c r="O83" i="11"/>
  <c r="P83" i="11"/>
  <c r="Q83" i="11"/>
  <c r="R83" i="11"/>
  <c r="S83" i="11"/>
  <c r="T83" i="11"/>
  <c r="U83" i="11"/>
  <c r="V83" i="11"/>
  <c r="W83" i="11"/>
  <c r="X83" i="11"/>
  <c r="Y83" i="11"/>
  <c r="Z83" i="11"/>
  <c r="AA83" i="11"/>
  <c r="AB83" i="11"/>
  <c r="AC83" i="11"/>
  <c r="AD83" i="11"/>
  <c r="AE83" i="11"/>
  <c r="AF83" i="11"/>
  <c r="AG83" i="11"/>
  <c r="AH83" i="11"/>
  <c r="AI83" i="11"/>
  <c r="AJ83" i="11"/>
  <c r="AK83" i="11"/>
  <c r="AL83" i="11"/>
  <c r="AM83" i="11"/>
  <c r="AN83" i="11"/>
  <c r="AO83" i="11"/>
  <c r="AP83" i="11"/>
  <c r="AQ83" i="11"/>
  <c r="AR83" i="11"/>
  <c r="AS83" i="11"/>
  <c r="AT83" i="11"/>
  <c r="AU83" i="11"/>
  <c r="AV83" i="11"/>
  <c r="AW83" i="11"/>
  <c r="AX83" i="11"/>
  <c r="AY83" i="11"/>
  <c r="AZ83" i="11"/>
  <c r="BA83" i="11"/>
  <c r="D84" i="11"/>
  <c r="E84"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D85" i="11"/>
  <c r="E85" i="11"/>
  <c r="F85" i="11"/>
  <c r="G85" i="11"/>
  <c r="H85" i="11"/>
  <c r="I85" i="11"/>
  <c r="J85" i="11"/>
  <c r="K85" i="11"/>
  <c r="L85" i="11"/>
  <c r="M85" i="11"/>
  <c r="N85" i="11"/>
  <c r="O85" i="11"/>
  <c r="P85" i="11"/>
  <c r="Q85" i="11"/>
  <c r="R85" i="11"/>
  <c r="S85" i="11"/>
  <c r="T85" i="11"/>
  <c r="U85" i="11"/>
  <c r="V85" i="11"/>
  <c r="W85" i="11"/>
  <c r="X85" i="11"/>
  <c r="Y85" i="11"/>
  <c r="Z85" i="11"/>
  <c r="AA85" i="11"/>
  <c r="AB85" i="11"/>
  <c r="AC85" i="11"/>
  <c r="AD85" i="11"/>
  <c r="AE85" i="11"/>
  <c r="AF85" i="11"/>
  <c r="AG85" i="11"/>
  <c r="AH85" i="11"/>
  <c r="AI85" i="11"/>
  <c r="AJ85" i="11"/>
  <c r="AK85" i="11"/>
  <c r="AL85" i="11"/>
  <c r="AM85" i="11"/>
  <c r="AN85" i="11"/>
  <c r="AO85" i="11"/>
  <c r="AP85" i="11"/>
  <c r="AQ85" i="11"/>
  <c r="AR85" i="11"/>
  <c r="AS85" i="11"/>
  <c r="AT85" i="11"/>
  <c r="AU85" i="11"/>
  <c r="AV85" i="11"/>
  <c r="AW85" i="11"/>
  <c r="AX85" i="11"/>
  <c r="AY85" i="11"/>
  <c r="AZ85" i="11"/>
  <c r="BA85" i="11"/>
  <c r="D86" i="11"/>
  <c r="E86"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D87" i="11"/>
  <c r="E87" i="11"/>
  <c r="F87" i="11"/>
  <c r="G87" i="11"/>
  <c r="H87" i="11"/>
  <c r="I87" i="11"/>
  <c r="J87" i="11"/>
  <c r="K87" i="11"/>
  <c r="L87" i="11"/>
  <c r="M87" i="11"/>
  <c r="N87" i="11"/>
  <c r="O87" i="11"/>
  <c r="P87" i="11"/>
  <c r="Q87" i="11"/>
  <c r="R87" i="11"/>
  <c r="S87" i="11"/>
  <c r="T87" i="11"/>
  <c r="U87" i="11"/>
  <c r="V87" i="11"/>
  <c r="W87" i="11"/>
  <c r="X87" i="11"/>
  <c r="Y87" i="11"/>
  <c r="Z87" i="11"/>
  <c r="AA87" i="11"/>
  <c r="AB87" i="11"/>
  <c r="AC87" i="11"/>
  <c r="AD87" i="11"/>
  <c r="AE87" i="11"/>
  <c r="AF87" i="11"/>
  <c r="AG87" i="11"/>
  <c r="AH87" i="11"/>
  <c r="AI87" i="11"/>
  <c r="AJ87" i="11"/>
  <c r="AK87" i="11"/>
  <c r="AL87" i="11"/>
  <c r="AM87" i="11"/>
  <c r="AN87" i="11"/>
  <c r="AO87" i="11"/>
  <c r="AP87" i="11"/>
  <c r="AQ87" i="11"/>
  <c r="AR87" i="11"/>
  <c r="AS87" i="11"/>
  <c r="AT87" i="11"/>
  <c r="AU87" i="11"/>
  <c r="AV87" i="11"/>
  <c r="AW87" i="11"/>
  <c r="AX87" i="11"/>
  <c r="AY87" i="11"/>
  <c r="AZ87" i="11"/>
  <c r="BA87" i="11"/>
  <c r="D88" i="11"/>
  <c r="E88"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D89" i="11"/>
  <c r="E89"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D90" i="11"/>
  <c r="E90"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D91" i="11"/>
  <c r="E91"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D92" i="11"/>
  <c r="E92"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D93" i="11"/>
  <c r="E93" i="11"/>
  <c r="F93" i="11"/>
  <c r="G93" i="11"/>
  <c r="H93" i="11"/>
  <c r="I93" i="11"/>
  <c r="J93" i="11"/>
  <c r="K93" i="11"/>
  <c r="L93" i="11"/>
  <c r="M93" i="11"/>
  <c r="N93" i="11"/>
  <c r="O93" i="11"/>
  <c r="P93" i="11"/>
  <c r="Q93" i="11"/>
  <c r="R93" i="11"/>
  <c r="S93" i="11"/>
  <c r="T93" i="11"/>
  <c r="U93" i="11"/>
  <c r="V93" i="11"/>
  <c r="W93" i="11"/>
  <c r="X93" i="11"/>
  <c r="Y93" i="11"/>
  <c r="Z93" i="11"/>
  <c r="AA93" i="11"/>
  <c r="AB93" i="11"/>
  <c r="AC93" i="11"/>
  <c r="AD93" i="11"/>
  <c r="AE93" i="11"/>
  <c r="AF93" i="11"/>
  <c r="AG93" i="11"/>
  <c r="AH93" i="11"/>
  <c r="AI93" i="11"/>
  <c r="AJ93" i="11"/>
  <c r="AK93" i="11"/>
  <c r="AL93" i="11"/>
  <c r="AM93" i="11"/>
  <c r="AN93" i="11"/>
  <c r="AO93" i="11"/>
  <c r="AP93" i="11"/>
  <c r="AQ93" i="11"/>
  <c r="AR93" i="11"/>
  <c r="AS93" i="11"/>
  <c r="AT93" i="11"/>
  <c r="AU93" i="11"/>
  <c r="AV93" i="11"/>
  <c r="AW93" i="11"/>
  <c r="AX93" i="11"/>
  <c r="AY93" i="11"/>
  <c r="AZ93" i="11"/>
  <c r="BA93" i="11"/>
  <c r="D94" i="11"/>
  <c r="E94"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D95" i="11"/>
  <c r="E95"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D96" i="11"/>
  <c r="E96"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D97" i="11"/>
  <c r="E97"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D98" i="11"/>
  <c r="E98"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D99" i="11"/>
  <c r="E99" i="11"/>
  <c r="F99" i="1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D100" i="11"/>
  <c r="E100" i="11"/>
  <c r="F100" i="11"/>
  <c r="G100" i="11"/>
  <c r="H100" i="11"/>
  <c r="I100" i="11"/>
  <c r="J100" i="11"/>
  <c r="K100" i="11"/>
  <c r="L100"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D101" i="11"/>
  <c r="E101" i="11"/>
  <c r="F101" i="11"/>
  <c r="G101" i="11"/>
  <c r="H101" i="11"/>
  <c r="I101" i="11"/>
  <c r="J101" i="11"/>
  <c r="K101" i="11"/>
  <c r="L101"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D102" i="11"/>
  <c r="E102" i="11"/>
  <c r="F102" i="11"/>
  <c r="G102" i="11"/>
  <c r="H102" i="11"/>
  <c r="I102" i="11"/>
  <c r="J102" i="11"/>
  <c r="K102" i="11"/>
  <c r="L102" i="11"/>
  <c r="M102" i="11"/>
  <c r="N102" i="11"/>
  <c r="O102" i="11"/>
  <c r="P102" i="11"/>
  <c r="Q102" i="11"/>
  <c r="R102" i="11"/>
  <c r="S102" i="11"/>
  <c r="T102" i="11"/>
  <c r="U102" i="11"/>
  <c r="V102" i="11"/>
  <c r="W102" i="11"/>
  <c r="X102" i="11"/>
  <c r="Y102" i="11"/>
  <c r="Z102" i="11"/>
  <c r="AA102" i="11"/>
  <c r="AB102" i="11"/>
  <c r="AC102" i="11"/>
  <c r="AD102" i="11"/>
  <c r="AE102" i="11"/>
  <c r="AF102" i="11"/>
  <c r="AG102" i="11"/>
  <c r="AH102" i="11"/>
  <c r="AI102" i="11"/>
  <c r="AJ102" i="11"/>
  <c r="AK102" i="11"/>
  <c r="AL102" i="11"/>
  <c r="AM102" i="11"/>
  <c r="AN102" i="11"/>
  <c r="AO102" i="11"/>
  <c r="AP102" i="11"/>
  <c r="AQ102" i="11"/>
  <c r="AR102" i="11"/>
  <c r="AS102" i="11"/>
  <c r="AT102" i="11"/>
  <c r="AU102" i="11"/>
  <c r="AV102" i="11"/>
  <c r="AW102" i="11"/>
  <c r="AX102" i="11"/>
  <c r="AY102" i="11"/>
  <c r="AZ102" i="11"/>
  <c r="BA102" i="11"/>
  <c r="D103" i="11"/>
  <c r="E103" i="11"/>
  <c r="F103" i="11"/>
  <c r="G103" i="11"/>
  <c r="H103" i="11"/>
  <c r="I103" i="11"/>
  <c r="J103" i="11"/>
  <c r="K103" i="11"/>
  <c r="L103" i="11"/>
  <c r="M103" i="11"/>
  <c r="N103" i="11"/>
  <c r="O103" i="11"/>
  <c r="P103" i="11"/>
  <c r="Q103" i="11"/>
  <c r="R103" i="11"/>
  <c r="S103" i="11"/>
  <c r="T103" i="11"/>
  <c r="U103" i="11"/>
  <c r="V103" i="11"/>
  <c r="W103" i="11"/>
  <c r="X103" i="11"/>
  <c r="Y103" i="11"/>
  <c r="Z103" i="11"/>
  <c r="AA103" i="11"/>
  <c r="AB103" i="11"/>
  <c r="AC103" i="11"/>
  <c r="AD103" i="11"/>
  <c r="AE103" i="11"/>
  <c r="AF103" i="11"/>
  <c r="AG103" i="11"/>
  <c r="AH103" i="11"/>
  <c r="AI103" i="11"/>
  <c r="AJ103" i="11"/>
  <c r="AK103" i="11"/>
  <c r="AL103" i="11"/>
  <c r="AM103" i="11"/>
  <c r="AN103" i="11"/>
  <c r="AO103" i="11"/>
  <c r="AP103" i="11"/>
  <c r="AQ103" i="11"/>
  <c r="AR103" i="11"/>
  <c r="AS103" i="11"/>
  <c r="AT103" i="11"/>
  <c r="AU103" i="11"/>
  <c r="AV103" i="11"/>
  <c r="AW103" i="11"/>
  <c r="AX103" i="11"/>
  <c r="AY103" i="11"/>
  <c r="AZ103" i="11"/>
  <c r="BA103" i="11"/>
  <c r="D104" i="11"/>
  <c r="E104" i="11"/>
  <c r="F104" i="11"/>
  <c r="G104" i="11"/>
  <c r="H104" i="11"/>
  <c r="I104" i="11"/>
  <c r="J104" i="11"/>
  <c r="K104" i="11"/>
  <c r="L104" i="11"/>
  <c r="M104" i="11"/>
  <c r="N104" i="11"/>
  <c r="O104" i="11"/>
  <c r="P104" i="11"/>
  <c r="Q104" i="11"/>
  <c r="R104" i="11"/>
  <c r="S104" i="11"/>
  <c r="T104" i="11"/>
  <c r="U104" i="11"/>
  <c r="V104" i="11"/>
  <c r="W104" i="11"/>
  <c r="X104" i="11"/>
  <c r="Y104" i="11"/>
  <c r="Z104" i="11"/>
  <c r="AA104" i="11"/>
  <c r="AB104" i="11"/>
  <c r="AC104" i="11"/>
  <c r="AD104" i="11"/>
  <c r="AE104" i="11"/>
  <c r="AF104" i="11"/>
  <c r="AG104" i="11"/>
  <c r="AH104" i="11"/>
  <c r="AI104" i="11"/>
  <c r="AJ104" i="11"/>
  <c r="AK104" i="11"/>
  <c r="AL104" i="11"/>
  <c r="AM104" i="11"/>
  <c r="AN104" i="11"/>
  <c r="AO104" i="11"/>
  <c r="AP104" i="11"/>
  <c r="AQ104" i="11"/>
  <c r="AR104" i="11"/>
  <c r="AS104" i="11"/>
  <c r="AT104" i="11"/>
  <c r="AU104" i="11"/>
  <c r="AV104" i="11"/>
  <c r="AW104" i="11"/>
  <c r="AX104" i="11"/>
  <c r="AY104" i="11"/>
  <c r="AZ104" i="11"/>
  <c r="BA104" i="11"/>
  <c r="D105" i="11"/>
  <c r="E105" i="11"/>
  <c r="F105" i="11"/>
  <c r="G105" i="11"/>
  <c r="H105" i="11"/>
  <c r="I105" i="11"/>
  <c r="J105" i="11"/>
  <c r="K105" i="11"/>
  <c r="L105" i="11"/>
  <c r="M105" i="11"/>
  <c r="N105" i="11"/>
  <c r="O105" i="11"/>
  <c r="P105" i="11"/>
  <c r="Q105" i="11"/>
  <c r="R105" i="11"/>
  <c r="S105" i="11"/>
  <c r="T105" i="11"/>
  <c r="U105" i="11"/>
  <c r="V105" i="11"/>
  <c r="W105" i="11"/>
  <c r="X105" i="11"/>
  <c r="Y105" i="11"/>
  <c r="Z105" i="11"/>
  <c r="AA105" i="11"/>
  <c r="AB105" i="11"/>
  <c r="AC105" i="11"/>
  <c r="AD105" i="11"/>
  <c r="AE105" i="11"/>
  <c r="AF105" i="11"/>
  <c r="AG105" i="11"/>
  <c r="AH105" i="11"/>
  <c r="AI105" i="11"/>
  <c r="AJ105" i="11"/>
  <c r="AK105" i="11"/>
  <c r="AL105" i="11"/>
  <c r="AM105" i="11"/>
  <c r="AN105" i="11"/>
  <c r="AO105" i="11"/>
  <c r="AP105" i="11"/>
  <c r="AQ105" i="11"/>
  <c r="AR105" i="11"/>
  <c r="AS105" i="11"/>
  <c r="AT105" i="11"/>
  <c r="AU105" i="11"/>
  <c r="AV105" i="11"/>
  <c r="AW105" i="11"/>
  <c r="AX105" i="11"/>
  <c r="AY105" i="11"/>
  <c r="AZ105" i="11"/>
  <c r="BA105" i="11"/>
  <c r="D106" i="11"/>
  <c r="E106" i="11"/>
  <c r="F106" i="11"/>
  <c r="G106" i="11"/>
  <c r="H106" i="11"/>
  <c r="I106" i="11"/>
  <c r="J106" i="11"/>
  <c r="K106" i="11"/>
  <c r="L106" i="11"/>
  <c r="M106" i="11"/>
  <c r="N106" i="11"/>
  <c r="O106" i="11"/>
  <c r="P106" i="11"/>
  <c r="Q106" i="11"/>
  <c r="R106" i="11"/>
  <c r="S106" i="11"/>
  <c r="T106" i="11"/>
  <c r="U106" i="11"/>
  <c r="V106" i="11"/>
  <c r="W106" i="11"/>
  <c r="X106" i="11"/>
  <c r="Y106" i="11"/>
  <c r="Z106" i="11"/>
  <c r="AA106" i="11"/>
  <c r="AB106" i="11"/>
  <c r="AC106" i="11"/>
  <c r="AD106" i="11"/>
  <c r="AE106" i="11"/>
  <c r="AF106" i="11"/>
  <c r="AG106" i="11"/>
  <c r="AH106" i="11"/>
  <c r="AI106" i="11"/>
  <c r="AJ106" i="11"/>
  <c r="AK106" i="11"/>
  <c r="AL106" i="11"/>
  <c r="AM106" i="11"/>
  <c r="AN106" i="11"/>
  <c r="AO106" i="11"/>
  <c r="AP106" i="11"/>
  <c r="AQ106" i="11"/>
  <c r="AR106" i="11"/>
  <c r="AS106" i="11"/>
  <c r="AT106" i="11"/>
  <c r="AU106" i="11"/>
  <c r="AV106" i="11"/>
  <c r="AW106" i="11"/>
  <c r="AX106" i="11"/>
  <c r="AY106" i="11"/>
  <c r="AZ106" i="11"/>
  <c r="BA106" i="11"/>
  <c r="D107" i="11"/>
  <c r="E107" i="11"/>
  <c r="F107" i="11"/>
  <c r="G107" i="11"/>
  <c r="H107" i="11"/>
  <c r="I107" i="11"/>
  <c r="J107" i="11"/>
  <c r="K107" i="11"/>
  <c r="L107" i="11"/>
  <c r="M107" i="11"/>
  <c r="N107" i="11"/>
  <c r="O107" i="11"/>
  <c r="P107" i="11"/>
  <c r="Q107" i="11"/>
  <c r="R107" i="11"/>
  <c r="S107" i="11"/>
  <c r="T107" i="11"/>
  <c r="U107" i="11"/>
  <c r="V107" i="11"/>
  <c r="W107" i="11"/>
  <c r="X107" i="11"/>
  <c r="Y107" i="11"/>
  <c r="Z107" i="11"/>
  <c r="AA107" i="11"/>
  <c r="AB107" i="11"/>
  <c r="AC107" i="11"/>
  <c r="AD107" i="11"/>
  <c r="AE107" i="11"/>
  <c r="AF107" i="11"/>
  <c r="AG107" i="11"/>
  <c r="AH107" i="11"/>
  <c r="AI107" i="11"/>
  <c r="AJ107" i="11"/>
  <c r="AK107" i="11"/>
  <c r="AL107" i="11"/>
  <c r="AM107" i="11"/>
  <c r="AN107" i="11"/>
  <c r="AO107" i="11"/>
  <c r="AP107" i="11"/>
  <c r="AQ107" i="11"/>
  <c r="AR107" i="11"/>
  <c r="AS107" i="11"/>
  <c r="AT107" i="11"/>
  <c r="AU107" i="11"/>
  <c r="AV107" i="11"/>
  <c r="AW107" i="11"/>
  <c r="AX107" i="11"/>
  <c r="AY107" i="11"/>
  <c r="AZ107" i="11"/>
  <c r="BA107" i="11"/>
  <c r="D108" i="11"/>
  <c r="E108" i="11"/>
  <c r="F108" i="11"/>
  <c r="G108" i="11"/>
  <c r="H108" i="11"/>
  <c r="I108" i="11"/>
  <c r="J108" i="11"/>
  <c r="K108" i="11"/>
  <c r="L108" i="11"/>
  <c r="M108" i="11"/>
  <c r="N108" i="11"/>
  <c r="O108" i="11"/>
  <c r="P108" i="11"/>
  <c r="Q108" i="11"/>
  <c r="R108" i="11"/>
  <c r="S108" i="11"/>
  <c r="T108" i="11"/>
  <c r="U108" i="11"/>
  <c r="V108" i="11"/>
  <c r="W108" i="11"/>
  <c r="X108" i="11"/>
  <c r="Y108" i="11"/>
  <c r="Z108" i="11"/>
  <c r="AA108" i="11"/>
  <c r="AB108" i="11"/>
  <c r="AC108" i="11"/>
  <c r="AD108" i="11"/>
  <c r="AE108" i="11"/>
  <c r="AF108" i="11"/>
  <c r="AG108" i="11"/>
  <c r="AH108" i="11"/>
  <c r="AI108" i="11"/>
  <c r="AJ108" i="11"/>
  <c r="AK108" i="11"/>
  <c r="AL108" i="11"/>
  <c r="AM108" i="11"/>
  <c r="AN108" i="11"/>
  <c r="AO108" i="11"/>
  <c r="AP108" i="11"/>
  <c r="AQ108" i="11"/>
  <c r="AR108" i="11"/>
  <c r="AS108" i="11"/>
  <c r="AT108" i="11"/>
  <c r="AU108" i="11"/>
  <c r="AV108" i="11"/>
  <c r="AW108" i="11"/>
  <c r="AX108" i="11"/>
  <c r="AY108" i="11"/>
  <c r="AZ108" i="11"/>
  <c r="BA108" i="11"/>
  <c r="D109" i="11"/>
  <c r="E109" i="11"/>
  <c r="F109" i="11"/>
  <c r="G109" i="11"/>
  <c r="H109" i="11"/>
  <c r="I109" i="11"/>
  <c r="J109" i="11"/>
  <c r="K109" i="11"/>
  <c r="L109" i="11"/>
  <c r="M109" i="11"/>
  <c r="N109" i="11"/>
  <c r="O109" i="11"/>
  <c r="P109" i="11"/>
  <c r="Q109" i="11"/>
  <c r="R109" i="11"/>
  <c r="S109" i="11"/>
  <c r="T109" i="11"/>
  <c r="U109" i="11"/>
  <c r="V109" i="11"/>
  <c r="W109" i="11"/>
  <c r="X109" i="11"/>
  <c r="Y109" i="11"/>
  <c r="Z109" i="11"/>
  <c r="AA109" i="11"/>
  <c r="AB109" i="11"/>
  <c r="AC109" i="11"/>
  <c r="AD109" i="11"/>
  <c r="AE109" i="11"/>
  <c r="AF109" i="11"/>
  <c r="AG109" i="11"/>
  <c r="AH109" i="11"/>
  <c r="AI109" i="11"/>
  <c r="AJ109" i="11"/>
  <c r="AK109" i="11"/>
  <c r="AL109" i="11"/>
  <c r="AM109" i="11"/>
  <c r="AN109" i="11"/>
  <c r="AO109" i="11"/>
  <c r="AP109" i="11"/>
  <c r="AQ109" i="11"/>
  <c r="AR109" i="11"/>
  <c r="AS109" i="11"/>
  <c r="AT109" i="11"/>
  <c r="AU109" i="11"/>
  <c r="AV109" i="11"/>
  <c r="AW109" i="11"/>
  <c r="AX109" i="11"/>
  <c r="AY109" i="11"/>
  <c r="AZ109" i="11"/>
  <c r="BA109" i="11"/>
  <c r="D110" i="11"/>
  <c r="E110" i="11"/>
  <c r="F110" i="11"/>
  <c r="G110" i="11"/>
  <c r="H110" i="11"/>
  <c r="I110" i="11"/>
  <c r="J110" i="11"/>
  <c r="K110" i="11"/>
  <c r="L110" i="11"/>
  <c r="M110" i="11"/>
  <c r="N110" i="11"/>
  <c r="O110" i="11"/>
  <c r="P110" i="11"/>
  <c r="Q110" i="11"/>
  <c r="R110" i="11"/>
  <c r="S110" i="11"/>
  <c r="T110" i="11"/>
  <c r="U110" i="11"/>
  <c r="V110" i="11"/>
  <c r="W110" i="11"/>
  <c r="X110" i="11"/>
  <c r="Y110" i="11"/>
  <c r="Z110" i="11"/>
  <c r="AA110" i="11"/>
  <c r="AB110" i="11"/>
  <c r="AC110" i="11"/>
  <c r="AD110" i="11"/>
  <c r="AE110" i="11"/>
  <c r="AF110" i="11"/>
  <c r="AG110" i="11"/>
  <c r="AH110" i="11"/>
  <c r="AI110" i="11"/>
  <c r="AJ110" i="11"/>
  <c r="AK110" i="11"/>
  <c r="AL110" i="11"/>
  <c r="AM110" i="11"/>
  <c r="AN110" i="11"/>
  <c r="AO110" i="11"/>
  <c r="AP110" i="11"/>
  <c r="AQ110" i="11"/>
  <c r="AR110" i="11"/>
  <c r="AS110" i="11"/>
  <c r="AT110" i="11"/>
  <c r="AU110" i="11"/>
  <c r="AV110" i="11"/>
  <c r="AW110" i="11"/>
  <c r="AX110" i="11"/>
  <c r="AY110" i="11"/>
  <c r="AZ110" i="11"/>
  <c r="BA110" i="11"/>
  <c r="D111" i="11"/>
  <c r="E111" i="11"/>
  <c r="F111" i="11"/>
  <c r="G111" i="11"/>
  <c r="H111" i="11"/>
  <c r="I111" i="11"/>
  <c r="J111" i="11"/>
  <c r="K111" i="11"/>
  <c r="L111" i="11"/>
  <c r="M111" i="11"/>
  <c r="N111" i="11"/>
  <c r="O111" i="11"/>
  <c r="P111" i="11"/>
  <c r="Q111" i="11"/>
  <c r="R111" i="11"/>
  <c r="S111" i="11"/>
  <c r="T111" i="11"/>
  <c r="U111" i="11"/>
  <c r="V111" i="11"/>
  <c r="W111" i="11"/>
  <c r="X111" i="11"/>
  <c r="Y111" i="11"/>
  <c r="Z111" i="11"/>
  <c r="AA111" i="11"/>
  <c r="AB111" i="11"/>
  <c r="AC111" i="11"/>
  <c r="AD111" i="11"/>
  <c r="AE111" i="11"/>
  <c r="AF111" i="11"/>
  <c r="AG111" i="11"/>
  <c r="AH111" i="11"/>
  <c r="AI111" i="11"/>
  <c r="AJ111" i="11"/>
  <c r="AK111" i="11"/>
  <c r="AL111" i="11"/>
  <c r="AM111" i="11"/>
  <c r="AN111" i="11"/>
  <c r="AO111" i="11"/>
  <c r="AP111" i="11"/>
  <c r="AQ111" i="11"/>
  <c r="AR111" i="11"/>
  <c r="AS111" i="11"/>
  <c r="AT111" i="11"/>
  <c r="AU111" i="11"/>
  <c r="AV111" i="11"/>
  <c r="AW111" i="11"/>
  <c r="AX111" i="11"/>
  <c r="AY111" i="11"/>
  <c r="AZ111" i="11"/>
  <c r="BA111" i="11"/>
  <c r="D112" i="11"/>
  <c r="E112" i="11"/>
  <c r="F112" i="11"/>
  <c r="G112" i="11"/>
  <c r="H112" i="11"/>
  <c r="I112" i="11"/>
  <c r="J112" i="11"/>
  <c r="K112" i="11"/>
  <c r="L112" i="11"/>
  <c r="M112" i="11"/>
  <c r="N112" i="11"/>
  <c r="O112" i="11"/>
  <c r="P112" i="11"/>
  <c r="Q112" i="11"/>
  <c r="R112" i="11"/>
  <c r="S112" i="11"/>
  <c r="T112" i="11"/>
  <c r="U112" i="11"/>
  <c r="V112" i="11"/>
  <c r="W112" i="11"/>
  <c r="X112" i="11"/>
  <c r="Y112" i="11"/>
  <c r="Z112" i="11"/>
  <c r="AA112" i="11"/>
  <c r="AB112" i="11"/>
  <c r="AC112" i="11"/>
  <c r="AD112" i="11"/>
  <c r="AE112" i="11"/>
  <c r="AF112" i="11"/>
  <c r="AG112" i="11"/>
  <c r="AH112" i="11"/>
  <c r="AI112" i="11"/>
  <c r="AJ112" i="11"/>
  <c r="AK112" i="11"/>
  <c r="AL112" i="11"/>
  <c r="AM112" i="11"/>
  <c r="AN112" i="11"/>
  <c r="AO112" i="11"/>
  <c r="AP112" i="11"/>
  <c r="AQ112" i="11"/>
  <c r="AR112" i="11"/>
  <c r="AS112" i="11"/>
  <c r="AT112" i="11"/>
  <c r="AU112" i="11"/>
  <c r="AV112" i="11"/>
  <c r="AW112" i="11"/>
  <c r="AX112" i="11"/>
  <c r="AY112" i="11"/>
  <c r="AZ112" i="11"/>
  <c r="BA112" i="11"/>
  <c r="D113" i="11"/>
  <c r="E113" i="11"/>
  <c r="F113" i="11"/>
  <c r="G113" i="11"/>
  <c r="H113" i="11"/>
  <c r="I113" i="11"/>
  <c r="J113" i="11"/>
  <c r="K113" i="11"/>
  <c r="L113" i="11"/>
  <c r="M113" i="11"/>
  <c r="N113" i="11"/>
  <c r="O113" i="11"/>
  <c r="P113" i="11"/>
  <c r="Q113" i="11"/>
  <c r="R113" i="11"/>
  <c r="S113" i="11"/>
  <c r="T113" i="11"/>
  <c r="U113" i="11"/>
  <c r="V113" i="11"/>
  <c r="W113" i="11"/>
  <c r="X113" i="11"/>
  <c r="Y113" i="11"/>
  <c r="Z113" i="11"/>
  <c r="AA113" i="11"/>
  <c r="AB113" i="11"/>
  <c r="AC113" i="11"/>
  <c r="AD113" i="11"/>
  <c r="AE113" i="11"/>
  <c r="AF113" i="11"/>
  <c r="AG113" i="11"/>
  <c r="AH113" i="11"/>
  <c r="AI113" i="11"/>
  <c r="AJ113" i="11"/>
  <c r="AK113" i="11"/>
  <c r="AL113" i="11"/>
  <c r="AM113" i="11"/>
  <c r="AN113" i="11"/>
  <c r="AO113" i="11"/>
  <c r="AP113" i="11"/>
  <c r="AQ113" i="11"/>
  <c r="AR113" i="11"/>
  <c r="AS113" i="11"/>
  <c r="AT113" i="11"/>
  <c r="AU113" i="11"/>
  <c r="AV113" i="11"/>
  <c r="AW113" i="11"/>
  <c r="AX113" i="11"/>
  <c r="AY113" i="11"/>
  <c r="AZ113" i="11"/>
  <c r="BA113" i="11"/>
  <c r="D114" i="11"/>
  <c r="E114" i="11"/>
  <c r="F114" i="11"/>
  <c r="G114" i="11"/>
  <c r="H114" i="11"/>
  <c r="I114" i="11"/>
  <c r="J114" i="11"/>
  <c r="K114" i="11"/>
  <c r="L114" i="11"/>
  <c r="M114" i="11"/>
  <c r="N114" i="11"/>
  <c r="O114" i="11"/>
  <c r="P114" i="11"/>
  <c r="Q114" i="11"/>
  <c r="R114" i="11"/>
  <c r="S114" i="11"/>
  <c r="T114" i="11"/>
  <c r="U114" i="11"/>
  <c r="V114" i="11"/>
  <c r="W114" i="11"/>
  <c r="X114" i="11"/>
  <c r="Y114" i="11"/>
  <c r="Z114" i="11"/>
  <c r="AA114" i="11"/>
  <c r="AB114" i="11"/>
  <c r="AC114" i="11"/>
  <c r="AD114" i="11"/>
  <c r="AE114" i="11"/>
  <c r="AF114" i="11"/>
  <c r="AG114" i="11"/>
  <c r="AH114" i="11"/>
  <c r="AI114" i="11"/>
  <c r="AJ114" i="11"/>
  <c r="AK114" i="11"/>
  <c r="AL114" i="11"/>
  <c r="AM114" i="11"/>
  <c r="AN114" i="11"/>
  <c r="AO114" i="11"/>
  <c r="AP114" i="11"/>
  <c r="AQ114" i="11"/>
  <c r="AR114" i="11"/>
  <c r="AS114" i="11"/>
  <c r="AT114" i="11"/>
  <c r="AU114" i="11"/>
  <c r="AV114" i="11"/>
  <c r="AW114" i="11"/>
  <c r="AX114" i="11"/>
  <c r="AY114" i="11"/>
  <c r="AZ114" i="11"/>
  <c r="BA114" i="11"/>
  <c r="D115" i="11"/>
  <c r="E115" i="11"/>
  <c r="F115" i="11"/>
  <c r="G115" i="11"/>
  <c r="H115" i="11"/>
  <c r="I115" i="11"/>
  <c r="J115" i="11"/>
  <c r="K115" i="11"/>
  <c r="L115" i="11"/>
  <c r="M115" i="11"/>
  <c r="N115" i="11"/>
  <c r="O115" i="11"/>
  <c r="P115" i="11"/>
  <c r="Q115" i="11"/>
  <c r="R115" i="11"/>
  <c r="S115" i="11"/>
  <c r="T115" i="11"/>
  <c r="U115" i="11"/>
  <c r="V115" i="11"/>
  <c r="W115" i="11"/>
  <c r="X115" i="11"/>
  <c r="Y115" i="11"/>
  <c r="Z115" i="11"/>
  <c r="AA115" i="11"/>
  <c r="AB115" i="11"/>
  <c r="AC115" i="11"/>
  <c r="AD115" i="11"/>
  <c r="AE115" i="11"/>
  <c r="AF115" i="11"/>
  <c r="AG115" i="11"/>
  <c r="AH115" i="11"/>
  <c r="AI115" i="11"/>
  <c r="AJ115" i="11"/>
  <c r="AK115" i="11"/>
  <c r="AL115" i="11"/>
  <c r="AM115" i="11"/>
  <c r="AN115" i="11"/>
  <c r="AO115" i="11"/>
  <c r="AP115" i="11"/>
  <c r="AQ115" i="11"/>
  <c r="AR115" i="11"/>
  <c r="AS115" i="11"/>
  <c r="AT115" i="11"/>
  <c r="AU115" i="11"/>
  <c r="AV115" i="11"/>
  <c r="AW115" i="11"/>
  <c r="AX115" i="11"/>
  <c r="AY115" i="11"/>
  <c r="AZ115" i="11"/>
  <c r="BA115" i="11"/>
  <c r="D116" i="11"/>
  <c r="E116" i="11"/>
  <c r="F116" i="11"/>
  <c r="G116" i="11"/>
  <c r="H116" i="11"/>
  <c r="I116" i="11"/>
  <c r="J116" i="11"/>
  <c r="K116" i="11"/>
  <c r="L116" i="11"/>
  <c r="M116" i="11"/>
  <c r="N116" i="11"/>
  <c r="O116" i="11"/>
  <c r="P116" i="11"/>
  <c r="Q116" i="11"/>
  <c r="R116" i="11"/>
  <c r="S116" i="11"/>
  <c r="T116" i="11"/>
  <c r="U116" i="11"/>
  <c r="V116" i="11"/>
  <c r="W116" i="11"/>
  <c r="X116" i="11"/>
  <c r="Y116" i="11"/>
  <c r="Z116" i="11"/>
  <c r="AA116" i="11"/>
  <c r="AB116" i="11"/>
  <c r="AC116" i="11"/>
  <c r="AD116" i="11"/>
  <c r="AE116" i="11"/>
  <c r="AF116" i="11"/>
  <c r="AG116" i="11"/>
  <c r="AH116" i="11"/>
  <c r="AI116" i="11"/>
  <c r="AJ116" i="11"/>
  <c r="AK116" i="11"/>
  <c r="AL116" i="11"/>
  <c r="AM116" i="11"/>
  <c r="AN116" i="11"/>
  <c r="AO116" i="11"/>
  <c r="AP116" i="11"/>
  <c r="AQ116" i="11"/>
  <c r="AR116" i="11"/>
  <c r="AS116" i="11"/>
  <c r="AT116" i="11"/>
  <c r="AU116" i="11"/>
  <c r="AV116" i="11"/>
  <c r="AW116" i="11"/>
  <c r="AX116" i="11"/>
  <c r="AY116" i="11"/>
  <c r="AZ116" i="11"/>
  <c r="BA116" i="11"/>
  <c r="D117" i="11"/>
  <c r="E117" i="11"/>
  <c r="F117" i="11"/>
  <c r="G117" i="11"/>
  <c r="H117" i="11"/>
  <c r="I117" i="11"/>
  <c r="J117" i="11"/>
  <c r="K117" i="11"/>
  <c r="L117" i="11"/>
  <c r="M117" i="11"/>
  <c r="N117" i="11"/>
  <c r="O117" i="11"/>
  <c r="P117" i="11"/>
  <c r="Q117" i="11"/>
  <c r="R117" i="11"/>
  <c r="S117" i="11"/>
  <c r="T117" i="11"/>
  <c r="U117" i="11"/>
  <c r="V117" i="11"/>
  <c r="W117" i="11"/>
  <c r="X117" i="11"/>
  <c r="Y117" i="11"/>
  <c r="Z117" i="11"/>
  <c r="AA117" i="11"/>
  <c r="AB117" i="11"/>
  <c r="AC117" i="11"/>
  <c r="AD117" i="11"/>
  <c r="AE117" i="11"/>
  <c r="AF117" i="11"/>
  <c r="AG117" i="11"/>
  <c r="AH117" i="11"/>
  <c r="AI117" i="11"/>
  <c r="AJ117" i="11"/>
  <c r="AK117" i="11"/>
  <c r="AL117" i="11"/>
  <c r="AM117" i="11"/>
  <c r="AN117" i="11"/>
  <c r="AO117" i="11"/>
  <c r="AP117" i="11"/>
  <c r="AQ117" i="11"/>
  <c r="AR117" i="11"/>
  <c r="AS117" i="11"/>
  <c r="AT117" i="11"/>
  <c r="AU117" i="11"/>
  <c r="AV117" i="11"/>
  <c r="AW117" i="11"/>
  <c r="AX117" i="11"/>
  <c r="AY117" i="11"/>
  <c r="AZ117" i="11"/>
  <c r="BA117" i="11"/>
  <c r="D118" i="11"/>
  <c r="E118" i="11"/>
  <c r="F118" i="11"/>
  <c r="G118" i="11"/>
  <c r="H118" i="11"/>
  <c r="I118" i="11"/>
  <c r="J118" i="11"/>
  <c r="K118" i="11"/>
  <c r="L118" i="11"/>
  <c r="M118" i="11"/>
  <c r="N118" i="11"/>
  <c r="O118" i="11"/>
  <c r="P118" i="11"/>
  <c r="Q118" i="11"/>
  <c r="R118" i="11"/>
  <c r="S118" i="11"/>
  <c r="T118" i="11"/>
  <c r="U118" i="11"/>
  <c r="V118" i="11"/>
  <c r="W118" i="11"/>
  <c r="X118" i="11"/>
  <c r="Y118" i="11"/>
  <c r="Z118" i="11"/>
  <c r="AA118" i="11"/>
  <c r="AB118" i="11"/>
  <c r="AC118" i="11"/>
  <c r="AD118" i="11"/>
  <c r="AE118" i="11"/>
  <c r="AF118" i="11"/>
  <c r="AG118" i="11"/>
  <c r="AH118" i="11"/>
  <c r="AI118" i="11"/>
  <c r="AJ118" i="11"/>
  <c r="AK118" i="11"/>
  <c r="AL118" i="11"/>
  <c r="AM118" i="11"/>
  <c r="AN118" i="11"/>
  <c r="AO118" i="11"/>
  <c r="AP118" i="11"/>
  <c r="AQ118" i="11"/>
  <c r="AR118" i="11"/>
  <c r="AS118" i="11"/>
  <c r="AT118" i="11"/>
  <c r="AU118" i="11"/>
  <c r="AV118" i="11"/>
  <c r="AW118" i="11"/>
  <c r="AX118" i="11"/>
  <c r="AY118" i="11"/>
  <c r="AZ118" i="11"/>
  <c r="BA118" i="11"/>
  <c r="D119" i="11"/>
  <c r="E119" i="11"/>
  <c r="F119" i="11"/>
  <c r="G119" i="11"/>
  <c r="H119" i="11"/>
  <c r="I119" i="11"/>
  <c r="J119" i="11"/>
  <c r="K119" i="11"/>
  <c r="L119" i="11"/>
  <c r="M119" i="11"/>
  <c r="N119" i="11"/>
  <c r="O119" i="11"/>
  <c r="P119" i="11"/>
  <c r="Q119" i="11"/>
  <c r="R119" i="11"/>
  <c r="S119" i="11"/>
  <c r="T119" i="11"/>
  <c r="U119" i="11"/>
  <c r="V119" i="11"/>
  <c r="W119" i="11"/>
  <c r="X119" i="11"/>
  <c r="Y119" i="11"/>
  <c r="Z119" i="11"/>
  <c r="AA119" i="11"/>
  <c r="AB119" i="11"/>
  <c r="AC119" i="11"/>
  <c r="AD119" i="11"/>
  <c r="AE119" i="11"/>
  <c r="AF119" i="11"/>
  <c r="AG119" i="11"/>
  <c r="AH119" i="11"/>
  <c r="AI119" i="11"/>
  <c r="AJ119" i="11"/>
  <c r="AK119" i="11"/>
  <c r="AL119" i="11"/>
  <c r="AM119" i="11"/>
  <c r="AN119" i="11"/>
  <c r="AO119" i="11"/>
  <c r="AP119" i="11"/>
  <c r="AQ119" i="11"/>
  <c r="AR119" i="11"/>
  <c r="AS119" i="11"/>
  <c r="AT119" i="11"/>
  <c r="AU119" i="11"/>
  <c r="AV119" i="11"/>
  <c r="AW119" i="11"/>
  <c r="AX119" i="11"/>
  <c r="AY119" i="11"/>
  <c r="AZ119" i="11"/>
  <c r="BA119" i="11"/>
  <c r="D120" i="11"/>
  <c r="E120" i="11"/>
  <c r="F120" i="11"/>
  <c r="G120" i="11"/>
  <c r="H120" i="11"/>
  <c r="I120" i="11"/>
  <c r="J120" i="11"/>
  <c r="K120" i="11"/>
  <c r="L120" i="11"/>
  <c r="M120" i="11"/>
  <c r="N120" i="11"/>
  <c r="O120" i="11"/>
  <c r="P120" i="11"/>
  <c r="Q120" i="11"/>
  <c r="R120" i="11"/>
  <c r="S120" i="11"/>
  <c r="T120" i="11"/>
  <c r="U120" i="11"/>
  <c r="V120" i="11"/>
  <c r="W120" i="11"/>
  <c r="X120" i="11"/>
  <c r="Y120" i="11"/>
  <c r="Z120" i="11"/>
  <c r="AA120" i="11"/>
  <c r="AB120" i="11"/>
  <c r="AC120" i="11"/>
  <c r="AD120" i="11"/>
  <c r="AE120" i="11"/>
  <c r="AF120" i="11"/>
  <c r="AG120" i="11"/>
  <c r="AH120" i="11"/>
  <c r="AI120" i="11"/>
  <c r="AJ120" i="11"/>
  <c r="AK120" i="11"/>
  <c r="AL120" i="11"/>
  <c r="AM120" i="11"/>
  <c r="AN120" i="11"/>
  <c r="AO120" i="11"/>
  <c r="AP120" i="11"/>
  <c r="AQ120" i="11"/>
  <c r="AR120" i="11"/>
  <c r="AS120" i="11"/>
  <c r="AT120" i="11"/>
  <c r="AU120" i="11"/>
  <c r="AV120" i="11"/>
  <c r="AW120" i="11"/>
  <c r="AX120" i="11"/>
  <c r="AY120" i="11"/>
  <c r="AZ120" i="11"/>
  <c r="BA120" i="11"/>
  <c r="D121" i="11"/>
  <c r="E121" i="11"/>
  <c r="F121" i="11"/>
  <c r="G121" i="11"/>
  <c r="H121" i="11"/>
  <c r="I121" i="11"/>
  <c r="J121" i="11"/>
  <c r="K121" i="11"/>
  <c r="L121" i="11"/>
  <c r="M121" i="11"/>
  <c r="N121" i="11"/>
  <c r="O121" i="11"/>
  <c r="P121" i="11"/>
  <c r="Q121" i="11"/>
  <c r="R121" i="11"/>
  <c r="S121" i="11"/>
  <c r="T121" i="11"/>
  <c r="U121" i="11"/>
  <c r="V121" i="11"/>
  <c r="W121" i="11"/>
  <c r="X121" i="11"/>
  <c r="Y121" i="11"/>
  <c r="Z121" i="11"/>
  <c r="AA121" i="11"/>
  <c r="AB121" i="11"/>
  <c r="AC121" i="11"/>
  <c r="AD121" i="11"/>
  <c r="AE121" i="11"/>
  <c r="AF121" i="11"/>
  <c r="AG121" i="11"/>
  <c r="AH121" i="11"/>
  <c r="AI121" i="11"/>
  <c r="AJ121" i="11"/>
  <c r="AK121" i="11"/>
  <c r="AL121" i="11"/>
  <c r="AM121" i="11"/>
  <c r="AN121" i="11"/>
  <c r="AO121" i="11"/>
  <c r="AP121" i="11"/>
  <c r="AQ121" i="11"/>
  <c r="AR121" i="11"/>
  <c r="AS121" i="11"/>
  <c r="AT121" i="11"/>
  <c r="AU121" i="11"/>
  <c r="AV121" i="11"/>
  <c r="AW121" i="11"/>
  <c r="AX121" i="11"/>
  <c r="AY121" i="11"/>
  <c r="AZ121" i="11"/>
  <c r="BA121" i="11"/>
  <c r="D122" i="11"/>
  <c r="E122" i="11"/>
  <c r="F122" i="11"/>
  <c r="G122" i="11"/>
  <c r="H122" i="11"/>
  <c r="I122" i="11"/>
  <c r="J122" i="11"/>
  <c r="K122" i="11"/>
  <c r="L122" i="11"/>
  <c r="M122" i="11"/>
  <c r="N122" i="11"/>
  <c r="O122" i="11"/>
  <c r="P122" i="11"/>
  <c r="Q122" i="11"/>
  <c r="R122" i="11"/>
  <c r="S122" i="11"/>
  <c r="T122" i="11"/>
  <c r="U122" i="11"/>
  <c r="V122" i="11"/>
  <c r="W122" i="11"/>
  <c r="X122" i="11"/>
  <c r="Y122" i="11"/>
  <c r="Z122" i="11"/>
  <c r="AA122" i="11"/>
  <c r="AB122" i="11"/>
  <c r="AC122" i="11"/>
  <c r="AD122" i="11"/>
  <c r="AE122" i="11"/>
  <c r="AF122" i="11"/>
  <c r="AG122" i="11"/>
  <c r="AH122" i="11"/>
  <c r="AI122" i="11"/>
  <c r="AJ122" i="11"/>
  <c r="AK122" i="11"/>
  <c r="AL122" i="11"/>
  <c r="AM122" i="11"/>
  <c r="AN122" i="11"/>
  <c r="AO122" i="11"/>
  <c r="AP122" i="11"/>
  <c r="AQ122" i="11"/>
  <c r="AR122" i="11"/>
  <c r="AS122" i="11"/>
  <c r="AT122" i="11"/>
  <c r="AU122" i="11"/>
  <c r="AV122" i="11"/>
  <c r="AW122" i="11"/>
  <c r="AX122" i="11"/>
  <c r="AY122" i="11"/>
  <c r="AZ122" i="11"/>
  <c r="BA122" i="11"/>
  <c r="D123" i="11"/>
  <c r="E123" i="11"/>
  <c r="F123" i="11"/>
  <c r="G123" i="11"/>
  <c r="H123" i="11"/>
  <c r="I123" i="11"/>
  <c r="J123" i="11"/>
  <c r="K123" i="11"/>
  <c r="L123" i="11"/>
  <c r="M123" i="11"/>
  <c r="N123" i="11"/>
  <c r="O123" i="11"/>
  <c r="P123" i="11"/>
  <c r="Q123" i="11"/>
  <c r="R123" i="11"/>
  <c r="S123" i="11"/>
  <c r="T123" i="11"/>
  <c r="U123" i="11"/>
  <c r="V123" i="11"/>
  <c r="W123" i="11"/>
  <c r="X123" i="11"/>
  <c r="Y123" i="11"/>
  <c r="Z123" i="11"/>
  <c r="AA123" i="11"/>
  <c r="AB123" i="11"/>
  <c r="AC123" i="11"/>
  <c r="AD123" i="11"/>
  <c r="AE123" i="11"/>
  <c r="AF123" i="11"/>
  <c r="AG123" i="11"/>
  <c r="AH123" i="11"/>
  <c r="AI123" i="11"/>
  <c r="AJ123" i="11"/>
  <c r="AK123" i="11"/>
  <c r="AL123" i="11"/>
  <c r="AM123" i="11"/>
  <c r="AN123" i="11"/>
  <c r="AO123" i="11"/>
  <c r="AP123" i="11"/>
  <c r="AQ123" i="11"/>
  <c r="AR123" i="11"/>
  <c r="AS123" i="11"/>
  <c r="AT123" i="11"/>
  <c r="AU123" i="11"/>
  <c r="AV123" i="11"/>
  <c r="AW123" i="11"/>
  <c r="AX123" i="11"/>
  <c r="AY123" i="11"/>
  <c r="AZ123" i="11"/>
  <c r="BA123" i="11"/>
  <c r="D124" i="11"/>
  <c r="E124" i="11"/>
  <c r="F124" i="11"/>
  <c r="G124" i="11"/>
  <c r="H124" i="11"/>
  <c r="I124" i="11"/>
  <c r="J124" i="11"/>
  <c r="K124" i="11"/>
  <c r="L124" i="11"/>
  <c r="M124" i="11"/>
  <c r="N124" i="11"/>
  <c r="O124" i="11"/>
  <c r="P124" i="11"/>
  <c r="Q124" i="11"/>
  <c r="R124" i="11"/>
  <c r="S124" i="11"/>
  <c r="T124" i="11"/>
  <c r="U124" i="11"/>
  <c r="V124" i="11"/>
  <c r="W124" i="11"/>
  <c r="X124" i="11"/>
  <c r="Y124" i="11"/>
  <c r="Z124" i="11"/>
  <c r="AA124" i="11"/>
  <c r="AB124" i="11"/>
  <c r="AC124" i="11"/>
  <c r="AD124" i="11"/>
  <c r="AE124" i="11"/>
  <c r="AF124" i="11"/>
  <c r="AG124" i="11"/>
  <c r="AH124" i="11"/>
  <c r="AI124" i="11"/>
  <c r="AJ124" i="11"/>
  <c r="AK124" i="11"/>
  <c r="AL124" i="11"/>
  <c r="AM124" i="11"/>
  <c r="AN124" i="11"/>
  <c r="AO124" i="11"/>
  <c r="AP124" i="11"/>
  <c r="AQ124" i="11"/>
  <c r="AR124" i="11"/>
  <c r="AS124" i="11"/>
  <c r="AT124" i="11"/>
  <c r="AU124" i="11"/>
  <c r="AV124" i="11"/>
  <c r="AW124" i="11"/>
  <c r="AX124" i="11"/>
  <c r="AY124" i="11"/>
  <c r="AZ124" i="11"/>
  <c r="BA124" i="11"/>
  <c r="D125" i="11"/>
  <c r="E125" i="11"/>
  <c r="F125" i="11"/>
  <c r="G125" i="11"/>
  <c r="H125" i="11"/>
  <c r="I125" i="11"/>
  <c r="J125" i="11"/>
  <c r="K125" i="11"/>
  <c r="L125" i="11"/>
  <c r="M125" i="11"/>
  <c r="N125" i="11"/>
  <c r="O125" i="11"/>
  <c r="P125" i="11"/>
  <c r="Q125" i="11"/>
  <c r="R125" i="11"/>
  <c r="S125" i="11"/>
  <c r="T125" i="11"/>
  <c r="U125" i="11"/>
  <c r="V125" i="11"/>
  <c r="W125" i="11"/>
  <c r="X125" i="11"/>
  <c r="Y125" i="11"/>
  <c r="Z125" i="11"/>
  <c r="AA125" i="11"/>
  <c r="AB125" i="11"/>
  <c r="AC125" i="11"/>
  <c r="AD125" i="11"/>
  <c r="AE125" i="11"/>
  <c r="AF125" i="11"/>
  <c r="AG125" i="11"/>
  <c r="AH125" i="11"/>
  <c r="AI125" i="11"/>
  <c r="AJ125" i="11"/>
  <c r="AK125" i="11"/>
  <c r="AL125" i="11"/>
  <c r="AM125" i="11"/>
  <c r="AN125" i="11"/>
  <c r="AO125" i="11"/>
  <c r="AP125" i="11"/>
  <c r="AQ125" i="11"/>
  <c r="AR125" i="11"/>
  <c r="AS125" i="11"/>
  <c r="AT125" i="11"/>
  <c r="AU125" i="11"/>
  <c r="AV125" i="11"/>
  <c r="AW125" i="11"/>
  <c r="AX125" i="11"/>
  <c r="AY125" i="11"/>
  <c r="AZ125" i="11"/>
  <c r="BA125" i="11"/>
  <c r="D126" i="11"/>
  <c r="E126" i="11"/>
  <c r="F126" i="11"/>
  <c r="G126" i="11"/>
  <c r="H126" i="11"/>
  <c r="I126" i="11"/>
  <c r="J126" i="11"/>
  <c r="K126" i="11"/>
  <c r="L126" i="11"/>
  <c r="M126" i="11"/>
  <c r="N126" i="11"/>
  <c r="O126" i="11"/>
  <c r="P126" i="11"/>
  <c r="Q126" i="11"/>
  <c r="R126" i="11"/>
  <c r="S126" i="11"/>
  <c r="T126" i="11"/>
  <c r="U126" i="11"/>
  <c r="V126" i="11"/>
  <c r="W126" i="11"/>
  <c r="X126" i="11"/>
  <c r="Y126" i="11"/>
  <c r="Z126" i="11"/>
  <c r="AA126" i="11"/>
  <c r="AB126" i="11"/>
  <c r="AC126" i="11"/>
  <c r="AD126" i="11"/>
  <c r="AE126" i="11"/>
  <c r="AF126" i="11"/>
  <c r="AG126" i="11"/>
  <c r="AH126" i="11"/>
  <c r="AI126" i="11"/>
  <c r="AJ126" i="11"/>
  <c r="AK126" i="11"/>
  <c r="AL126" i="11"/>
  <c r="AM126" i="11"/>
  <c r="AN126" i="11"/>
  <c r="AO126" i="11"/>
  <c r="AP126" i="11"/>
  <c r="AQ126" i="11"/>
  <c r="AR126" i="11"/>
  <c r="AS126" i="11"/>
  <c r="AT126" i="11"/>
  <c r="AU126" i="11"/>
  <c r="AV126" i="11"/>
  <c r="AW126" i="11"/>
  <c r="AX126" i="11"/>
  <c r="AY126" i="11"/>
  <c r="AZ126" i="11"/>
  <c r="BA126" i="11"/>
  <c r="D127" i="11"/>
  <c r="E127" i="11"/>
  <c r="F127" i="11"/>
  <c r="G127" i="11"/>
  <c r="H127" i="11"/>
  <c r="I127" i="11"/>
  <c r="J127" i="11"/>
  <c r="K127" i="11"/>
  <c r="L127" i="11"/>
  <c r="M127" i="11"/>
  <c r="N127" i="11"/>
  <c r="O127" i="11"/>
  <c r="P127" i="11"/>
  <c r="Q127" i="11"/>
  <c r="R127" i="11"/>
  <c r="S127" i="11"/>
  <c r="T127" i="11"/>
  <c r="U127" i="11"/>
  <c r="V127" i="11"/>
  <c r="W127" i="11"/>
  <c r="X127" i="11"/>
  <c r="Y127" i="11"/>
  <c r="Z127" i="11"/>
  <c r="AA127" i="11"/>
  <c r="AB127" i="11"/>
  <c r="AC127" i="11"/>
  <c r="AD127" i="11"/>
  <c r="AE127" i="11"/>
  <c r="AF127" i="11"/>
  <c r="AG127" i="11"/>
  <c r="AH127" i="11"/>
  <c r="AI127" i="11"/>
  <c r="AJ127" i="11"/>
  <c r="AK127" i="11"/>
  <c r="AL127" i="11"/>
  <c r="AM127" i="11"/>
  <c r="AN127" i="11"/>
  <c r="AO127" i="11"/>
  <c r="AP127" i="11"/>
  <c r="AQ127" i="11"/>
  <c r="AR127" i="11"/>
  <c r="AS127" i="11"/>
  <c r="AT127" i="11"/>
  <c r="AU127" i="11"/>
  <c r="AV127" i="11"/>
  <c r="AW127" i="11"/>
  <c r="AX127" i="11"/>
  <c r="AY127" i="11"/>
  <c r="AZ127" i="11"/>
  <c r="BA127" i="11"/>
  <c r="D128" i="11"/>
  <c r="E128" i="11"/>
  <c r="F128" i="11"/>
  <c r="G128" i="11"/>
  <c r="H128" i="11"/>
  <c r="I128" i="11"/>
  <c r="J128" i="11"/>
  <c r="K128" i="11"/>
  <c r="L128" i="11"/>
  <c r="M128" i="11"/>
  <c r="N128" i="11"/>
  <c r="O128" i="11"/>
  <c r="P128" i="11"/>
  <c r="Q128" i="11"/>
  <c r="R128" i="11"/>
  <c r="S128" i="11"/>
  <c r="T128" i="11"/>
  <c r="U128" i="11"/>
  <c r="V128" i="11"/>
  <c r="W128" i="11"/>
  <c r="X128" i="11"/>
  <c r="Y128" i="11"/>
  <c r="Z128" i="11"/>
  <c r="AA128" i="11"/>
  <c r="AB128" i="11"/>
  <c r="AC128" i="11"/>
  <c r="AD128" i="11"/>
  <c r="AE128" i="11"/>
  <c r="AF128" i="11"/>
  <c r="AG128" i="11"/>
  <c r="AH128" i="11"/>
  <c r="AI128" i="11"/>
  <c r="AJ128" i="11"/>
  <c r="AK128" i="11"/>
  <c r="AL128" i="11"/>
  <c r="AM128" i="11"/>
  <c r="AN128" i="11"/>
  <c r="AO128" i="11"/>
  <c r="AP128" i="11"/>
  <c r="AQ128" i="11"/>
  <c r="AR128" i="11"/>
  <c r="AS128" i="11"/>
  <c r="AT128" i="11"/>
  <c r="AU128" i="11"/>
  <c r="AV128" i="11"/>
  <c r="AW128" i="11"/>
  <c r="AX128" i="11"/>
  <c r="AY128" i="11"/>
  <c r="AZ128" i="11"/>
  <c r="BA128" i="11"/>
  <c r="D129" i="11"/>
  <c r="E129" i="11"/>
  <c r="F129" i="11"/>
  <c r="G129" i="11"/>
  <c r="H129" i="11"/>
  <c r="I129" i="11"/>
  <c r="J129" i="11"/>
  <c r="K129" i="11"/>
  <c r="L129" i="11"/>
  <c r="M129" i="11"/>
  <c r="N129" i="11"/>
  <c r="O129" i="11"/>
  <c r="P129" i="11"/>
  <c r="Q129" i="11"/>
  <c r="R129" i="11"/>
  <c r="S129" i="11"/>
  <c r="T129" i="11"/>
  <c r="U129" i="11"/>
  <c r="V129" i="11"/>
  <c r="W129" i="11"/>
  <c r="X129" i="11"/>
  <c r="Y129" i="11"/>
  <c r="Z129" i="11"/>
  <c r="AA129" i="11"/>
  <c r="AB129" i="11"/>
  <c r="AC129" i="11"/>
  <c r="AD129" i="11"/>
  <c r="AE129" i="11"/>
  <c r="AF129" i="11"/>
  <c r="AG129" i="11"/>
  <c r="AH129" i="11"/>
  <c r="AI129" i="11"/>
  <c r="AJ129" i="11"/>
  <c r="AK129" i="11"/>
  <c r="AL129" i="11"/>
  <c r="AM129" i="11"/>
  <c r="AN129" i="11"/>
  <c r="AO129" i="11"/>
  <c r="AP129" i="11"/>
  <c r="AQ129" i="11"/>
  <c r="AR129" i="11"/>
  <c r="AS129" i="11"/>
  <c r="AT129" i="11"/>
  <c r="AU129" i="11"/>
  <c r="AV129" i="11"/>
  <c r="AW129" i="11"/>
  <c r="AX129" i="11"/>
  <c r="AY129" i="11"/>
  <c r="AZ129" i="11"/>
  <c r="BA129" i="11"/>
  <c r="D130" i="11"/>
  <c r="E130" i="11"/>
  <c r="F130" i="11"/>
  <c r="G130" i="11"/>
  <c r="H130" i="11"/>
  <c r="I130" i="11"/>
  <c r="J130" i="11"/>
  <c r="K130" i="11"/>
  <c r="L130" i="11"/>
  <c r="M130" i="11"/>
  <c r="N130" i="11"/>
  <c r="O130" i="11"/>
  <c r="P130" i="11"/>
  <c r="Q130" i="11"/>
  <c r="R130" i="11"/>
  <c r="S130" i="11"/>
  <c r="T130" i="11"/>
  <c r="U130" i="11"/>
  <c r="V130" i="11"/>
  <c r="W130" i="11"/>
  <c r="X130" i="11"/>
  <c r="Y130" i="11"/>
  <c r="Z130" i="11"/>
  <c r="AA130" i="11"/>
  <c r="AB130" i="11"/>
  <c r="AC130" i="11"/>
  <c r="AD130" i="11"/>
  <c r="AE130" i="11"/>
  <c r="AF130" i="11"/>
  <c r="AG130" i="11"/>
  <c r="AH130" i="11"/>
  <c r="AI130" i="11"/>
  <c r="AJ130" i="11"/>
  <c r="AK130" i="11"/>
  <c r="AL130" i="11"/>
  <c r="AM130" i="11"/>
  <c r="AN130" i="11"/>
  <c r="AO130" i="11"/>
  <c r="AP130" i="11"/>
  <c r="AQ130" i="11"/>
  <c r="AR130" i="11"/>
  <c r="AS130" i="11"/>
  <c r="AT130" i="11"/>
  <c r="AU130" i="11"/>
  <c r="AV130" i="11"/>
  <c r="AW130" i="11"/>
  <c r="AX130" i="11"/>
  <c r="AY130" i="11"/>
  <c r="AZ130" i="11"/>
  <c r="BA130" i="11"/>
  <c r="D131" i="11"/>
  <c r="E131" i="11"/>
  <c r="F131" i="11"/>
  <c r="G131" i="11"/>
  <c r="H131" i="11"/>
  <c r="I131" i="11"/>
  <c r="J131" i="11"/>
  <c r="K131" i="11"/>
  <c r="L131" i="11"/>
  <c r="M131" i="11"/>
  <c r="N131" i="11"/>
  <c r="O131" i="11"/>
  <c r="P131" i="11"/>
  <c r="Q131" i="11"/>
  <c r="R131" i="11"/>
  <c r="S131" i="11"/>
  <c r="T131" i="11"/>
  <c r="U131" i="11"/>
  <c r="V131" i="11"/>
  <c r="W131" i="11"/>
  <c r="X131" i="11"/>
  <c r="Y131" i="11"/>
  <c r="Z131" i="11"/>
  <c r="AA131" i="11"/>
  <c r="AB131" i="11"/>
  <c r="AC131" i="11"/>
  <c r="AD131" i="11"/>
  <c r="AE131" i="11"/>
  <c r="AF131" i="11"/>
  <c r="AG131" i="11"/>
  <c r="AH131" i="11"/>
  <c r="AI131" i="11"/>
  <c r="AJ131" i="11"/>
  <c r="AK131" i="11"/>
  <c r="AL131" i="11"/>
  <c r="AM131" i="11"/>
  <c r="AN131" i="11"/>
  <c r="AO131" i="11"/>
  <c r="AP131" i="11"/>
  <c r="AQ131" i="11"/>
  <c r="AR131" i="11"/>
  <c r="AS131" i="11"/>
  <c r="AT131" i="11"/>
  <c r="AU131" i="11"/>
  <c r="AV131" i="11"/>
  <c r="AW131" i="11"/>
  <c r="AX131" i="11"/>
  <c r="AY131" i="11"/>
  <c r="AZ131" i="11"/>
  <c r="BA131" i="11"/>
  <c r="D132" i="11"/>
  <c r="E132" i="11"/>
  <c r="F132" i="11"/>
  <c r="G132" i="11"/>
  <c r="H132" i="11"/>
  <c r="I132" i="11"/>
  <c r="J132" i="11"/>
  <c r="K132" i="11"/>
  <c r="L132" i="11"/>
  <c r="M132" i="11"/>
  <c r="N132" i="11"/>
  <c r="O132" i="11"/>
  <c r="P132" i="11"/>
  <c r="Q132" i="11"/>
  <c r="R132" i="11"/>
  <c r="S132" i="11"/>
  <c r="T132" i="11"/>
  <c r="U132" i="11"/>
  <c r="V132" i="11"/>
  <c r="W132" i="11"/>
  <c r="X132" i="11"/>
  <c r="Y132" i="11"/>
  <c r="Z132" i="11"/>
  <c r="AA132" i="11"/>
  <c r="AB132" i="11"/>
  <c r="AC132" i="11"/>
  <c r="AD132" i="11"/>
  <c r="AE132" i="11"/>
  <c r="AF132" i="11"/>
  <c r="AG132" i="11"/>
  <c r="AH132" i="11"/>
  <c r="AI132" i="11"/>
  <c r="AJ132" i="11"/>
  <c r="AK132" i="11"/>
  <c r="AL132" i="11"/>
  <c r="AM132" i="11"/>
  <c r="AN132" i="11"/>
  <c r="AO132" i="11"/>
  <c r="AP132" i="11"/>
  <c r="AQ132" i="11"/>
  <c r="AR132" i="11"/>
  <c r="AS132" i="11"/>
  <c r="AT132" i="11"/>
  <c r="AU132" i="11"/>
  <c r="AV132" i="11"/>
  <c r="AW132" i="11"/>
  <c r="AX132" i="11"/>
  <c r="AY132" i="11"/>
  <c r="AZ132" i="11"/>
  <c r="BA132" i="11"/>
  <c r="D133" i="11"/>
  <c r="E133" i="11"/>
  <c r="F133" i="11"/>
  <c r="G133" i="11"/>
  <c r="H133" i="11"/>
  <c r="I133" i="11"/>
  <c r="J133" i="11"/>
  <c r="K133" i="11"/>
  <c r="L133" i="11"/>
  <c r="M133" i="11"/>
  <c r="N133" i="11"/>
  <c r="O133" i="11"/>
  <c r="P133" i="11"/>
  <c r="Q133" i="11"/>
  <c r="R133" i="11"/>
  <c r="S133" i="11"/>
  <c r="T133" i="11"/>
  <c r="U133" i="11"/>
  <c r="V133" i="11"/>
  <c r="W133" i="11"/>
  <c r="X133" i="11"/>
  <c r="Y133" i="11"/>
  <c r="Z133" i="11"/>
  <c r="AA133" i="11"/>
  <c r="AB133" i="11"/>
  <c r="AC133" i="11"/>
  <c r="AD133" i="11"/>
  <c r="AE133" i="11"/>
  <c r="AF133" i="11"/>
  <c r="AG133" i="11"/>
  <c r="AH133" i="11"/>
  <c r="AI133" i="11"/>
  <c r="AJ133" i="11"/>
  <c r="AK133" i="11"/>
  <c r="AL133" i="11"/>
  <c r="AM133" i="11"/>
  <c r="AN133" i="11"/>
  <c r="AO133" i="11"/>
  <c r="AP133" i="11"/>
  <c r="AQ133" i="11"/>
  <c r="AR133" i="11"/>
  <c r="AS133" i="11"/>
  <c r="AT133" i="11"/>
  <c r="AU133" i="11"/>
  <c r="AV133" i="11"/>
  <c r="AW133" i="11"/>
  <c r="AX133" i="11"/>
  <c r="AY133" i="11"/>
  <c r="AZ133" i="11"/>
  <c r="BA133" i="11"/>
  <c r="D134" i="11"/>
  <c r="E134" i="11"/>
  <c r="F134" i="11"/>
  <c r="G134" i="11"/>
  <c r="H134" i="11"/>
  <c r="I134" i="11"/>
  <c r="J134" i="11"/>
  <c r="K134" i="11"/>
  <c r="L134" i="11"/>
  <c r="M134" i="11"/>
  <c r="N134" i="11"/>
  <c r="O134" i="11"/>
  <c r="P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D135" i="11"/>
  <c r="E135" i="11"/>
  <c r="F135" i="11"/>
  <c r="G135" i="11"/>
  <c r="H135" i="11"/>
  <c r="I135" i="11"/>
  <c r="J135" i="11"/>
  <c r="K135" i="11"/>
  <c r="L135" i="11"/>
  <c r="M135" i="11"/>
  <c r="N135" i="11"/>
  <c r="O135" i="11"/>
  <c r="P135" i="11"/>
  <c r="Q135" i="11"/>
  <c r="R135" i="11"/>
  <c r="S135" i="11"/>
  <c r="T135" i="11"/>
  <c r="U135" i="11"/>
  <c r="V135" i="11"/>
  <c r="W135" i="11"/>
  <c r="X135" i="11"/>
  <c r="Y135" i="11"/>
  <c r="Z135" i="11"/>
  <c r="AA135" i="11"/>
  <c r="AB135" i="11"/>
  <c r="AC135" i="11"/>
  <c r="AD135" i="11"/>
  <c r="AE135" i="11"/>
  <c r="AF135" i="11"/>
  <c r="AG135" i="11"/>
  <c r="AH135" i="11"/>
  <c r="AI135" i="11"/>
  <c r="AJ135" i="11"/>
  <c r="AK135" i="11"/>
  <c r="AL135" i="11"/>
  <c r="AM135" i="11"/>
  <c r="AN135" i="11"/>
  <c r="AO135" i="11"/>
  <c r="AP135" i="11"/>
  <c r="AQ135" i="11"/>
  <c r="AR135" i="11"/>
  <c r="AS135" i="11"/>
  <c r="AT135" i="11"/>
  <c r="AU135" i="11"/>
  <c r="AV135" i="11"/>
  <c r="AW135" i="11"/>
  <c r="AX135" i="11"/>
  <c r="AY135" i="11"/>
  <c r="AZ135" i="11"/>
  <c r="BA135" i="11"/>
  <c r="D136" i="11"/>
  <c r="E136" i="11"/>
  <c r="F136" i="11"/>
  <c r="G136" i="11"/>
  <c r="H136" i="11"/>
  <c r="I136" i="11"/>
  <c r="J136" i="11"/>
  <c r="K136" i="11"/>
  <c r="L136" i="11"/>
  <c r="M136" i="11"/>
  <c r="N136" i="11"/>
  <c r="O136" i="11"/>
  <c r="P136" i="11"/>
  <c r="Q136" i="11"/>
  <c r="R136" i="11"/>
  <c r="S136" i="11"/>
  <c r="T136" i="11"/>
  <c r="U136" i="11"/>
  <c r="V136" i="11"/>
  <c r="W136" i="11"/>
  <c r="X136" i="11"/>
  <c r="Y136" i="11"/>
  <c r="Z136" i="11"/>
  <c r="AA136" i="11"/>
  <c r="AB136" i="11"/>
  <c r="AC136" i="11"/>
  <c r="AD136" i="11"/>
  <c r="AE136" i="11"/>
  <c r="AF136" i="11"/>
  <c r="AG136" i="11"/>
  <c r="AH136" i="11"/>
  <c r="AI136" i="11"/>
  <c r="AJ136" i="11"/>
  <c r="AK136" i="11"/>
  <c r="AL136" i="11"/>
  <c r="AM136" i="11"/>
  <c r="AN136" i="11"/>
  <c r="AO136" i="11"/>
  <c r="AP136" i="11"/>
  <c r="AQ136" i="11"/>
  <c r="AR136" i="11"/>
  <c r="AS136" i="11"/>
  <c r="AT136" i="11"/>
  <c r="AU136" i="11"/>
  <c r="AV136" i="11"/>
  <c r="AW136" i="11"/>
  <c r="AX136" i="11"/>
  <c r="AY136" i="11"/>
  <c r="AZ136" i="11"/>
  <c r="BA136" i="11"/>
  <c r="D137" i="11"/>
  <c r="E137" i="11"/>
  <c r="F137" i="11"/>
  <c r="G137" i="11"/>
  <c r="H137" i="11"/>
  <c r="I137" i="11"/>
  <c r="J137" i="11"/>
  <c r="K137" i="11"/>
  <c r="L137" i="11"/>
  <c r="M137" i="11"/>
  <c r="N137" i="11"/>
  <c r="O137" i="11"/>
  <c r="P137" i="11"/>
  <c r="Q137" i="11"/>
  <c r="R137" i="11"/>
  <c r="S137" i="11"/>
  <c r="T137" i="11"/>
  <c r="U137" i="11"/>
  <c r="V137" i="11"/>
  <c r="W137" i="11"/>
  <c r="X137" i="11"/>
  <c r="Y137" i="11"/>
  <c r="Z137" i="11"/>
  <c r="AA137" i="11"/>
  <c r="AB137" i="11"/>
  <c r="AC137" i="11"/>
  <c r="AD137" i="11"/>
  <c r="AE137" i="11"/>
  <c r="AF137" i="11"/>
  <c r="AG137" i="11"/>
  <c r="AH137" i="11"/>
  <c r="AI137" i="11"/>
  <c r="AJ137" i="11"/>
  <c r="AK137" i="11"/>
  <c r="AL137" i="11"/>
  <c r="AM137" i="11"/>
  <c r="AN137" i="11"/>
  <c r="AO137" i="11"/>
  <c r="AP137" i="11"/>
  <c r="AQ137" i="11"/>
  <c r="AR137" i="11"/>
  <c r="AS137" i="11"/>
  <c r="AT137" i="11"/>
  <c r="AU137" i="11"/>
  <c r="AV137" i="11"/>
  <c r="AW137" i="11"/>
  <c r="AX137" i="11"/>
  <c r="AY137" i="11"/>
  <c r="AZ137" i="11"/>
  <c r="BA137" i="11"/>
  <c r="D138" i="11"/>
  <c r="E138" i="11"/>
  <c r="F138" i="11"/>
  <c r="G138" i="11"/>
  <c r="H138" i="11"/>
  <c r="I138" i="11"/>
  <c r="J138" i="11"/>
  <c r="K138" i="11"/>
  <c r="L138" i="11"/>
  <c r="M138" i="11"/>
  <c r="N138" i="11"/>
  <c r="O138" i="11"/>
  <c r="P138" i="11"/>
  <c r="Q138" i="11"/>
  <c r="R138" i="11"/>
  <c r="S138" i="11"/>
  <c r="T138" i="11"/>
  <c r="U138" i="11"/>
  <c r="V138" i="11"/>
  <c r="W138" i="11"/>
  <c r="X138" i="11"/>
  <c r="Y138" i="11"/>
  <c r="Z138" i="11"/>
  <c r="AA138" i="11"/>
  <c r="AB138" i="11"/>
  <c r="AC138" i="11"/>
  <c r="AD138" i="11"/>
  <c r="AE138" i="11"/>
  <c r="AF138" i="11"/>
  <c r="AG138" i="11"/>
  <c r="AH138" i="11"/>
  <c r="AI138" i="11"/>
  <c r="AJ138" i="11"/>
  <c r="AK138" i="11"/>
  <c r="AL138" i="11"/>
  <c r="AM138" i="11"/>
  <c r="AN138" i="11"/>
  <c r="AO138" i="11"/>
  <c r="AP138" i="11"/>
  <c r="AQ138" i="11"/>
  <c r="AR138" i="11"/>
  <c r="AS138" i="11"/>
  <c r="AT138" i="11"/>
  <c r="AU138" i="11"/>
  <c r="AV138" i="11"/>
  <c r="AW138" i="11"/>
  <c r="AX138" i="11"/>
  <c r="AY138" i="11"/>
  <c r="AZ138" i="11"/>
  <c r="BA138" i="11"/>
  <c r="D139" i="11"/>
  <c r="E139" i="11"/>
  <c r="F139" i="11"/>
  <c r="G139" i="11"/>
  <c r="H139" i="11"/>
  <c r="I139" i="11"/>
  <c r="J139" i="11"/>
  <c r="K139" i="11"/>
  <c r="L139" i="11"/>
  <c r="M139" i="11"/>
  <c r="N139" i="11"/>
  <c r="O139" i="11"/>
  <c r="P139" i="11"/>
  <c r="Q139" i="11"/>
  <c r="R139" i="11"/>
  <c r="S139" i="11"/>
  <c r="T139" i="11"/>
  <c r="U139" i="11"/>
  <c r="V139" i="11"/>
  <c r="W139" i="11"/>
  <c r="X139" i="11"/>
  <c r="Y139" i="11"/>
  <c r="Z139" i="11"/>
  <c r="AA139" i="11"/>
  <c r="AB139" i="11"/>
  <c r="AC139" i="11"/>
  <c r="AD139" i="11"/>
  <c r="AE139" i="11"/>
  <c r="AF139" i="11"/>
  <c r="AG139" i="11"/>
  <c r="AH139" i="11"/>
  <c r="AI139" i="11"/>
  <c r="AJ139" i="11"/>
  <c r="AK139" i="11"/>
  <c r="AL139" i="11"/>
  <c r="AM139" i="11"/>
  <c r="AN139" i="11"/>
  <c r="AO139" i="11"/>
  <c r="AP139" i="11"/>
  <c r="AQ139" i="11"/>
  <c r="AR139" i="11"/>
  <c r="AS139" i="11"/>
  <c r="AT139" i="11"/>
  <c r="AU139" i="11"/>
  <c r="AV139" i="11"/>
  <c r="AW139" i="11"/>
  <c r="AX139" i="11"/>
  <c r="AY139" i="11"/>
  <c r="AZ139" i="11"/>
  <c r="BA139" i="11"/>
  <c r="D140" i="11"/>
  <c r="E140" i="11"/>
  <c r="F140" i="11"/>
  <c r="G140" i="11"/>
  <c r="H140" i="11"/>
  <c r="I140" i="11"/>
  <c r="J140" i="11"/>
  <c r="K140" i="11"/>
  <c r="L140" i="11"/>
  <c r="M140" i="11"/>
  <c r="N140" i="11"/>
  <c r="O140" i="11"/>
  <c r="P140" i="11"/>
  <c r="Q140" i="11"/>
  <c r="R140" i="11"/>
  <c r="S140" i="11"/>
  <c r="T140" i="11"/>
  <c r="U140" i="11"/>
  <c r="V140" i="11"/>
  <c r="W140" i="11"/>
  <c r="X140" i="11"/>
  <c r="Y140" i="11"/>
  <c r="Z140" i="11"/>
  <c r="AA140" i="11"/>
  <c r="AB140" i="11"/>
  <c r="AC140" i="11"/>
  <c r="AD140" i="11"/>
  <c r="AE140" i="11"/>
  <c r="AF140" i="11"/>
  <c r="AG140" i="11"/>
  <c r="AH140" i="11"/>
  <c r="AI140" i="11"/>
  <c r="AJ140" i="11"/>
  <c r="AK140" i="11"/>
  <c r="AL140" i="11"/>
  <c r="AM140" i="11"/>
  <c r="AN140" i="11"/>
  <c r="AO140" i="11"/>
  <c r="AP140" i="11"/>
  <c r="AQ140" i="11"/>
  <c r="AR140" i="11"/>
  <c r="AS140" i="11"/>
  <c r="AT140" i="11"/>
  <c r="AU140" i="11"/>
  <c r="AV140" i="11"/>
  <c r="AW140" i="11"/>
  <c r="AX140" i="11"/>
  <c r="AY140" i="11"/>
  <c r="AZ140" i="11"/>
  <c r="BA140" i="11"/>
  <c r="D141" i="11"/>
  <c r="E141" i="11"/>
  <c r="F141" i="11"/>
  <c r="G141" i="11"/>
  <c r="H141" i="11"/>
  <c r="I141" i="11"/>
  <c r="J141" i="11"/>
  <c r="K141" i="11"/>
  <c r="L141" i="11"/>
  <c r="M141" i="11"/>
  <c r="N141" i="11"/>
  <c r="O141" i="11"/>
  <c r="P141" i="11"/>
  <c r="Q141" i="11"/>
  <c r="R141" i="11"/>
  <c r="S141" i="11"/>
  <c r="T141" i="11"/>
  <c r="U141" i="11"/>
  <c r="V141" i="11"/>
  <c r="W141" i="11"/>
  <c r="X141" i="11"/>
  <c r="Y141" i="11"/>
  <c r="Z141" i="11"/>
  <c r="AA141" i="11"/>
  <c r="AB141" i="11"/>
  <c r="AC141" i="11"/>
  <c r="AD141" i="11"/>
  <c r="AE141" i="11"/>
  <c r="AF141" i="11"/>
  <c r="AG141" i="11"/>
  <c r="AH141" i="11"/>
  <c r="AI141" i="11"/>
  <c r="AJ141" i="11"/>
  <c r="AK141" i="11"/>
  <c r="AL141" i="11"/>
  <c r="AM141" i="11"/>
  <c r="AN141" i="11"/>
  <c r="AO141" i="11"/>
  <c r="AP141" i="11"/>
  <c r="AQ141" i="11"/>
  <c r="AR141" i="11"/>
  <c r="AS141" i="11"/>
  <c r="AT141" i="11"/>
  <c r="AU141" i="11"/>
  <c r="AV141" i="11"/>
  <c r="AW141" i="11"/>
  <c r="AX141" i="11"/>
  <c r="AY141" i="11"/>
  <c r="AZ141" i="11"/>
  <c r="BA141" i="11"/>
  <c r="D142" i="11"/>
  <c r="E142" i="11"/>
  <c r="F142" i="11"/>
  <c r="G142" i="11"/>
  <c r="H142" i="11"/>
  <c r="I142" i="11"/>
  <c r="J142" i="11"/>
  <c r="K142" i="11"/>
  <c r="L142" i="11"/>
  <c r="M142" i="11"/>
  <c r="N142" i="11"/>
  <c r="O142" i="11"/>
  <c r="P142" i="11"/>
  <c r="Q142" i="11"/>
  <c r="R142" i="11"/>
  <c r="S142" i="11"/>
  <c r="T142" i="11"/>
  <c r="U142" i="11"/>
  <c r="V142" i="11"/>
  <c r="W142" i="11"/>
  <c r="X142" i="11"/>
  <c r="Y142" i="11"/>
  <c r="Z142" i="11"/>
  <c r="AA142" i="11"/>
  <c r="AB142" i="11"/>
  <c r="AC142" i="11"/>
  <c r="AD142" i="11"/>
  <c r="AE142" i="11"/>
  <c r="AF142" i="11"/>
  <c r="AG142" i="11"/>
  <c r="AH142" i="11"/>
  <c r="AI142" i="11"/>
  <c r="AJ142" i="11"/>
  <c r="AK142" i="11"/>
  <c r="AL142" i="11"/>
  <c r="AM142" i="11"/>
  <c r="AN142" i="11"/>
  <c r="AO142" i="11"/>
  <c r="AP142" i="11"/>
  <c r="AQ142" i="11"/>
  <c r="AR142" i="11"/>
  <c r="AS142" i="11"/>
  <c r="AT142" i="11"/>
  <c r="AU142" i="11"/>
  <c r="AV142" i="11"/>
  <c r="AW142" i="11"/>
  <c r="AX142" i="11"/>
  <c r="AY142" i="11"/>
  <c r="AZ142" i="11"/>
  <c r="BA142" i="11"/>
  <c r="D143" i="11"/>
  <c r="E143" i="11"/>
  <c r="F143" i="11"/>
  <c r="G143" i="11"/>
  <c r="H143" i="11"/>
  <c r="I143" i="11"/>
  <c r="J143" i="11"/>
  <c r="K143" i="11"/>
  <c r="L143" i="11"/>
  <c r="M143" i="11"/>
  <c r="N143" i="11"/>
  <c r="O143" i="11"/>
  <c r="P143" i="11"/>
  <c r="Q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D144" i="11"/>
  <c r="E144" i="11"/>
  <c r="F144" i="11"/>
  <c r="G144" i="11"/>
  <c r="H144" i="11"/>
  <c r="I144" i="11"/>
  <c r="J144" i="11"/>
  <c r="K144" i="11"/>
  <c r="L144" i="11"/>
  <c r="M144" i="11"/>
  <c r="N144" i="11"/>
  <c r="O144" i="11"/>
  <c r="P144" i="11"/>
  <c r="Q144" i="11"/>
  <c r="R144" i="11"/>
  <c r="S144" i="11"/>
  <c r="T144" i="11"/>
  <c r="U144" i="11"/>
  <c r="V144" i="11"/>
  <c r="W144" i="11"/>
  <c r="X144" i="11"/>
  <c r="Y144" i="11"/>
  <c r="Z144" i="11"/>
  <c r="AA144" i="11"/>
  <c r="AB144" i="11"/>
  <c r="AC144" i="11"/>
  <c r="AD144" i="11"/>
  <c r="AE144" i="11"/>
  <c r="AF144" i="11"/>
  <c r="AG144" i="11"/>
  <c r="AH144" i="11"/>
  <c r="AI144" i="11"/>
  <c r="AJ144" i="11"/>
  <c r="AK144" i="11"/>
  <c r="AL144" i="11"/>
  <c r="AM144" i="11"/>
  <c r="AN144" i="11"/>
  <c r="AO144" i="11"/>
  <c r="AP144" i="11"/>
  <c r="AQ144" i="11"/>
  <c r="AR144" i="11"/>
  <c r="AS144" i="11"/>
  <c r="AT144" i="11"/>
  <c r="AU144" i="11"/>
  <c r="AV144" i="11"/>
  <c r="AW144" i="11"/>
  <c r="AX144" i="11"/>
  <c r="AY144" i="11"/>
  <c r="AZ144" i="11"/>
  <c r="BA144" i="11"/>
  <c r="D145" i="11"/>
  <c r="E145" i="11"/>
  <c r="F145" i="11"/>
  <c r="G145" i="11"/>
  <c r="H145" i="11"/>
  <c r="I145" i="11"/>
  <c r="J145" i="11"/>
  <c r="K145" i="11"/>
  <c r="L145" i="11"/>
  <c r="M145" i="11"/>
  <c r="N145" i="11"/>
  <c r="O145" i="11"/>
  <c r="P145" i="11"/>
  <c r="Q145" i="11"/>
  <c r="R145" i="11"/>
  <c r="S145" i="11"/>
  <c r="T145" i="11"/>
  <c r="U145" i="11"/>
  <c r="V145" i="11"/>
  <c r="W145" i="11"/>
  <c r="X145" i="11"/>
  <c r="Y145" i="11"/>
  <c r="Z145" i="11"/>
  <c r="AA145" i="11"/>
  <c r="AB145" i="11"/>
  <c r="AC145" i="11"/>
  <c r="AD145" i="11"/>
  <c r="AE145" i="11"/>
  <c r="AF145" i="11"/>
  <c r="AG145" i="11"/>
  <c r="AH145" i="11"/>
  <c r="AI145" i="11"/>
  <c r="AJ145" i="11"/>
  <c r="AK145" i="11"/>
  <c r="AL145" i="11"/>
  <c r="AM145" i="11"/>
  <c r="AN145" i="11"/>
  <c r="AO145" i="11"/>
  <c r="AP145" i="11"/>
  <c r="AQ145" i="11"/>
  <c r="AR145" i="11"/>
  <c r="AS145" i="11"/>
  <c r="AT145" i="11"/>
  <c r="AU145" i="11"/>
  <c r="AV145" i="11"/>
  <c r="AW145" i="11"/>
  <c r="AX145" i="11"/>
  <c r="AY145" i="11"/>
  <c r="AZ145" i="11"/>
  <c r="BA145" i="11"/>
  <c r="D146" i="11"/>
  <c r="E146" i="11"/>
  <c r="F146" i="11"/>
  <c r="G146" i="11"/>
  <c r="H146" i="11"/>
  <c r="I146" i="11"/>
  <c r="J146" i="11"/>
  <c r="K146" i="11"/>
  <c r="L146" i="11"/>
  <c r="M146" i="11"/>
  <c r="N146" i="11"/>
  <c r="O146" i="11"/>
  <c r="P146" i="11"/>
  <c r="Q146" i="11"/>
  <c r="R146" i="11"/>
  <c r="S146" i="11"/>
  <c r="T146" i="11"/>
  <c r="U146" i="11"/>
  <c r="V146" i="11"/>
  <c r="W146" i="11"/>
  <c r="X146" i="11"/>
  <c r="Y146" i="11"/>
  <c r="Z146" i="11"/>
  <c r="AA146" i="11"/>
  <c r="AB146" i="11"/>
  <c r="AC146" i="11"/>
  <c r="AD146" i="11"/>
  <c r="AE146" i="11"/>
  <c r="AF146" i="11"/>
  <c r="AG146" i="11"/>
  <c r="AH146" i="11"/>
  <c r="AI146" i="11"/>
  <c r="AJ146" i="11"/>
  <c r="AK146" i="11"/>
  <c r="AL146" i="11"/>
  <c r="AM146" i="11"/>
  <c r="AN146" i="11"/>
  <c r="AO146" i="11"/>
  <c r="AP146" i="11"/>
  <c r="AQ146" i="11"/>
  <c r="AR146" i="11"/>
  <c r="AS146" i="11"/>
  <c r="AT146" i="11"/>
  <c r="AU146" i="11"/>
  <c r="AV146" i="11"/>
  <c r="AW146" i="11"/>
  <c r="AX146" i="11"/>
  <c r="AY146" i="11"/>
  <c r="AZ146" i="11"/>
  <c r="BA146" i="11"/>
  <c r="D147" i="11"/>
  <c r="E147" i="11"/>
  <c r="F147" i="11"/>
  <c r="G147" i="11"/>
  <c r="H147" i="11"/>
  <c r="I147" i="11"/>
  <c r="J147" i="11"/>
  <c r="K147" i="11"/>
  <c r="L147" i="11"/>
  <c r="M147" i="11"/>
  <c r="N147" i="11"/>
  <c r="O147" i="11"/>
  <c r="P147" i="11"/>
  <c r="Q147" i="11"/>
  <c r="R147" i="11"/>
  <c r="S147" i="11"/>
  <c r="T147" i="11"/>
  <c r="U147" i="11"/>
  <c r="V147" i="11"/>
  <c r="W147" i="11"/>
  <c r="X147" i="11"/>
  <c r="Y147" i="11"/>
  <c r="Z147" i="11"/>
  <c r="AA147" i="11"/>
  <c r="AB147" i="11"/>
  <c r="AC147" i="11"/>
  <c r="AD147" i="11"/>
  <c r="AE147" i="11"/>
  <c r="AF147" i="11"/>
  <c r="AG147" i="11"/>
  <c r="AH147" i="11"/>
  <c r="AI147" i="11"/>
  <c r="AJ147" i="11"/>
  <c r="AK147" i="11"/>
  <c r="AL147" i="11"/>
  <c r="AM147" i="11"/>
  <c r="AN147" i="11"/>
  <c r="AO147" i="11"/>
  <c r="AP147" i="11"/>
  <c r="AQ147" i="11"/>
  <c r="AR147" i="11"/>
  <c r="AS147" i="11"/>
  <c r="AT147" i="11"/>
  <c r="AU147" i="11"/>
  <c r="AV147" i="11"/>
  <c r="AW147" i="11"/>
  <c r="AX147" i="11"/>
  <c r="AY147" i="11"/>
  <c r="AZ147" i="11"/>
  <c r="BA147" i="11"/>
  <c r="D148" i="11"/>
  <c r="E148" i="11"/>
  <c r="F148" i="11"/>
  <c r="G148" i="11"/>
  <c r="H148" i="11"/>
  <c r="I148" i="11"/>
  <c r="J148" i="11"/>
  <c r="K148" i="11"/>
  <c r="L148" i="11"/>
  <c r="M148" i="11"/>
  <c r="N148" i="11"/>
  <c r="O148" i="11"/>
  <c r="P148" i="11"/>
  <c r="Q148" i="11"/>
  <c r="R148" i="11"/>
  <c r="S148" i="11"/>
  <c r="T148" i="11"/>
  <c r="U148" i="11"/>
  <c r="V148" i="11"/>
  <c r="W148" i="11"/>
  <c r="X148" i="11"/>
  <c r="Y148" i="11"/>
  <c r="Z148" i="11"/>
  <c r="AA148" i="11"/>
  <c r="AB148" i="11"/>
  <c r="AC148" i="11"/>
  <c r="AD148" i="11"/>
  <c r="AE148" i="11"/>
  <c r="AF148" i="11"/>
  <c r="AG148" i="11"/>
  <c r="AH148" i="11"/>
  <c r="AI148" i="11"/>
  <c r="AJ148" i="11"/>
  <c r="AK148" i="11"/>
  <c r="AL148" i="11"/>
  <c r="AM148" i="11"/>
  <c r="AN148" i="11"/>
  <c r="AO148" i="11"/>
  <c r="AP148" i="11"/>
  <c r="AQ148" i="11"/>
  <c r="AR148" i="11"/>
  <c r="AS148" i="11"/>
  <c r="AT148" i="11"/>
  <c r="AU148" i="11"/>
  <c r="AV148" i="11"/>
  <c r="AW148" i="11"/>
  <c r="AX148" i="11"/>
  <c r="AY148" i="11"/>
  <c r="AZ148" i="11"/>
  <c r="BA148" i="11"/>
  <c r="D149" i="11"/>
  <c r="E149" i="11"/>
  <c r="F149" i="11"/>
  <c r="G149" i="11"/>
  <c r="H149" i="11"/>
  <c r="I149" i="11"/>
  <c r="J149" i="11"/>
  <c r="K149" i="11"/>
  <c r="L149" i="11"/>
  <c r="M149" i="11"/>
  <c r="N149" i="11"/>
  <c r="O149" i="11"/>
  <c r="P149" i="11"/>
  <c r="Q149" i="11"/>
  <c r="R149" i="11"/>
  <c r="S149" i="11"/>
  <c r="T149" i="11"/>
  <c r="U149" i="11"/>
  <c r="V149" i="11"/>
  <c r="W149" i="11"/>
  <c r="X149" i="11"/>
  <c r="Y149" i="11"/>
  <c r="Z149" i="11"/>
  <c r="AA149" i="11"/>
  <c r="AB149" i="11"/>
  <c r="AC149" i="11"/>
  <c r="AD149" i="11"/>
  <c r="AE149" i="11"/>
  <c r="AF149" i="11"/>
  <c r="AG149" i="11"/>
  <c r="AH149" i="11"/>
  <c r="AI149" i="11"/>
  <c r="AJ149" i="11"/>
  <c r="AK149" i="11"/>
  <c r="AL149" i="11"/>
  <c r="AM149" i="11"/>
  <c r="AN149" i="11"/>
  <c r="AO149" i="11"/>
  <c r="AP149" i="11"/>
  <c r="AQ149" i="11"/>
  <c r="AR149" i="11"/>
  <c r="AS149" i="11"/>
  <c r="AT149" i="11"/>
  <c r="AU149" i="11"/>
  <c r="AV149" i="11"/>
  <c r="AW149" i="11"/>
  <c r="AX149" i="11"/>
  <c r="AY149" i="11"/>
  <c r="AZ149" i="11"/>
  <c r="BA149" i="11"/>
  <c r="D150" i="11"/>
  <c r="E150" i="11"/>
  <c r="F150" i="11"/>
  <c r="G150" i="11"/>
  <c r="H150" i="11"/>
  <c r="I150" i="11"/>
  <c r="J150" i="11"/>
  <c r="K150" i="11"/>
  <c r="L150" i="11"/>
  <c r="M150" i="11"/>
  <c r="N150" i="11"/>
  <c r="O150" i="11"/>
  <c r="P150" i="11"/>
  <c r="Q150" i="11"/>
  <c r="R150" i="11"/>
  <c r="S150" i="11"/>
  <c r="T150" i="11"/>
  <c r="U150" i="11"/>
  <c r="V150" i="11"/>
  <c r="W150" i="11"/>
  <c r="X150" i="11"/>
  <c r="Y150" i="11"/>
  <c r="Z150" i="11"/>
  <c r="AA150" i="11"/>
  <c r="AB150" i="11"/>
  <c r="AC150" i="11"/>
  <c r="AD150" i="11"/>
  <c r="AE150" i="11"/>
  <c r="AF150" i="11"/>
  <c r="AG150" i="11"/>
  <c r="AH150" i="11"/>
  <c r="AI150" i="11"/>
  <c r="AJ150" i="11"/>
  <c r="AK150" i="11"/>
  <c r="AL150" i="11"/>
  <c r="AM150" i="11"/>
  <c r="AN150" i="11"/>
  <c r="AO150" i="11"/>
  <c r="AP150" i="11"/>
  <c r="AQ150" i="11"/>
  <c r="AR150" i="11"/>
  <c r="AS150" i="11"/>
  <c r="AT150" i="11"/>
  <c r="AU150" i="11"/>
  <c r="AV150" i="11"/>
  <c r="AW150" i="11"/>
  <c r="AX150" i="11"/>
  <c r="AY150" i="11"/>
  <c r="AZ150" i="11"/>
  <c r="BA150" i="11"/>
  <c r="D151" i="11"/>
  <c r="E151" i="11"/>
  <c r="F151" i="11"/>
  <c r="G151" i="11"/>
  <c r="H151" i="11"/>
  <c r="I151" i="11"/>
  <c r="J151" i="11"/>
  <c r="K151" i="11"/>
  <c r="L151" i="11"/>
  <c r="M151" i="11"/>
  <c r="N151" i="11"/>
  <c r="O151" i="11"/>
  <c r="P151" i="11"/>
  <c r="Q151" i="11"/>
  <c r="R151" i="11"/>
  <c r="S151" i="11"/>
  <c r="T151" i="11"/>
  <c r="U151" i="11"/>
  <c r="V151" i="11"/>
  <c r="W151" i="11"/>
  <c r="X151" i="11"/>
  <c r="Y151" i="11"/>
  <c r="Z151" i="11"/>
  <c r="AA151" i="11"/>
  <c r="AB151" i="11"/>
  <c r="AC151" i="11"/>
  <c r="AD151" i="11"/>
  <c r="AE151" i="11"/>
  <c r="AF151" i="11"/>
  <c r="AG151" i="11"/>
  <c r="AH151" i="11"/>
  <c r="AI151" i="11"/>
  <c r="AJ151" i="11"/>
  <c r="AK151" i="11"/>
  <c r="AL151" i="11"/>
  <c r="AM151" i="11"/>
  <c r="AN151" i="11"/>
  <c r="AO151" i="11"/>
  <c r="AP151" i="11"/>
  <c r="AQ151" i="11"/>
  <c r="AR151" i="11"/>
  <c r="AS151" i="11"/>
  <c r="AT151" i="11"/>
  <c r="AU151" i="11"/>
  <c r="AV151" i="11"/>
  <c r="AW151" i="11"/>
  <c r="AX151" i="11"/>
  <c r="AY151" i="11"/>
  <c r="AZ151" i="11"/>
  <c r="BA151" i="11"/>
  <c r="D152" i="11"/>
  <c r="E152" i="11"/>
  <c r="F152" i="11"/>
  <c r="G152" i="11"/>
  <c r="H152" i="11"/>
  <c r="I152" i="11"/>
  <c r="J152" i="11"/>
  <c r="K152" i="11"/>
  <c r="L152" i="11"/>
  <c r="M152" i="11"/>
  <c r="N152" i="11"/>
  <c r="O152" i="11"/>
  <c r="P152" i="11"/>
  <c r="Q152" i="11"/>
  <c r="R152" i="11"/>
  <c r="S152" i="11"/>
  <c r="T152" i="11"/>
  <c r="U152" i="11"/>
  <c r="V152" i="11"/>
  <c r="W152" i="11"/>
  <c r="X152" i="11"/>
  <c r="Y152" i="11"/>
  <c r="Z152" i="11"/>
  <c r="AA152" i="11"/>
  <c r="AB152" i="11"/>
  <c r="AC152" i="11"/>
  <c r="AD152" i="11"/>
  <c r="AE152" i="11"/>
  <c r="AF152" i="11"/>
  <c r="AG152" i="11"/>
  <c r="AH152" i="11"/>
  <c r="AI152" i="11"/>
  <c r="AJ152" i="11"/>
  <c r="AK152" i="11"/>
  <c r="AL152" i="11"/>
  <c r="AM152" i="11"/>
  <c r="AN152" i="11"/>
  <c r="AO152" i="11"/>
  <c r="AP152" i="11"/>
  <c r="AQ152" i="11"/>
  <c r="AR152" i="11"/>
  <c r="AS152" i="11"/>
  <c r="AT152" i="11"/>
  <c r="AU152" i="11"/>
  <c r="AV152" i="11"/>
  <c r="AW152" i="11"/>
  <c r="AX152" i="11"/>
  <c r="AY152" i="11"/>
  <c r="AZ152" i="11"/>
  <c r="BA152" i="11"/>
  <c r="D153" i="11"/>
  <c r="E153" i="11"/>
  <c r="F153" i="11"/>
  <c r="G153" i="11"/>
  <c r="H153" i="11"/>
  <c r="I153" i="11"/>
  <c r="J153" i="11"/>
  <c r="K153" i="11"/>
  <c r="L153" i="11"/>
  <c r="M153" i="11"/>
  <c r="N153" i="11"/>
  <c r="O153" i="11"/>
  <c r="P153" i="11"/>
  <c r="Q153" i="11"/>
  <c r="R153" i="11"/>
  <c r="S153" i="11"/>
  <c r="T153" i="11"/>
  <c r="U153" i="11"/>
  <c r="V153" i="11"/>
  <c r="W153" i="11"/>
  <c r="X153" i="11"/>
  <c r="Y153" i="11"/>
  <c r="Z153" i="11"/>
  <c r="AA153" i="11"/>
  <c r="AB153" i="11"/>
  <c r="AC153" i="11"/>
  <c r="AD153" i="11"/>
  <c r="AE153" i="11"/>
  <c r="AF153" i="11"/>
  <c r="AG153" i="11"/>
  <c r="AH153" i="11"/>
  <c r="AI153" i="11"/>
  <c r="AJ153" i="11"/>
  <c r="AK153" i="11"/>
  <c r="AL153" i="11"/>
  <c r="AM153" i="11"/>
  <c r="AN153" i="11"/>
  <c r="AO153" i="11"/>
  <c r="AP153" i="11"/>
  <c r="AQ153" i="11"/>
  <c r="AR153" i="11"/>
  <c r="AS153" i="11"/>
  <c r="AT153" i="11"/>
  <c r="AU153" i="11"/>
  <c r="AV153" i="11"/>
  <c r="AW153" i="11"/>
  <c r="AX153" i="11"/>
  <c r="AY153" i="11"/>
  <c r="AZ153" i="11"/>
  <c r="BA153" i="11"/>
  <c r="D154" i="11"/>
  <c r="E154" i="11"/>
  <c r="F154" i="11"/>
  <c r="G154" i="11"/>
  <c r="H154" i="11"/>
  <c r="I154" i="11"/>
  <c r="J154" i="11"/>
  <c r="K154" i="11"/>
  <c r="L154" i="11"/>
  <c r="M154" i="11"/>
  <c r="N154" i="11"/>
  <c r="O154" i="11"/>
  <c r="P154" i="11"/>
  <c r="Q154" i="11"/>
  <c r="R154" i="11"/>
  <c r="S154" i="11"/>
  <c r="T154" i="11"/>
  <c r="U154" i="11"/>
  <c r="V154" i="11"/>
  <c r="W154" i="11"/>
  <c r="X154" i="11"/>
  <c r="Y154" i="11"/>
  <c r="Z154" i="11"/>
  <c r="AA154" i="11"/>
  <c r="AB154" i="11"/>
  <c r="AC154" i="11"/>
  <c r="AD154" i="11"/>
  <c r="AE154" i="11"/>
  <c r="AF154" i="11"/>
  <c r="AG154" i="11"/>
  <c r="AH154" i="11"/>
  <c r="AI154" i="11"/>
  <c r="AJ154" i="11"/>
  <c r="AK154" i="11"/>
  <c r="AL154" i="11"/>
  <c r="AM154" i="11"/>
  <c r="AN154" i="11"/>
  <c r="AO154" i="11"/>
  <c r="AP154" i="11"/>
  <c r="AQ154" i="11"/>
  <c r="AR154" i="11"/>
  <c r="AS154" i="11"/>
  <c r="AT154" i="11"/>
  <c r="AU154" i="11"/>
  <c r="AV154" i="11"/>
  <c r="AW154" i="11"/>
  <c r="AX154" i="11"/>
  <c r="AY154" i="11"/>
  <c r="AZ154" i="11"/>
  <c r="BA154" i="11"/>
  <c r="D155" i="11"/>
  <c r="E155" i="11"/>
  <c r="F155" i="11"/>
  <c r="G155" i="11"/>
  <c r="H155" i="11"/>
  <c r="I155" i="11"/>
  <c r="J155" i="11"/>
  <c r="K155" i="11"/>
  <c r="L155" i="11"/>
  <c r="M155" i="11"/>
  <c r="N155" i="11"/>
  <c r="O155" i="11"/>
  <c r="P155" i="11"/>
  <c r="Q155" i="11"/>
  <c r="R155" i="11"/>
  <c r="S155" i="11"/>
  <c r="T155" i="11"/>
  <c r="U155" i="11"/>
  <c r="V155" i="11"/>
  <c r="W155" i="11"/>
  <c r="X155" i="11"/>
  <c r="Y155" i="11"/>
  <c r="Z155" i="11"/>
  <c r="AA155" i="11"/>
  <c r="AB155" i="11"/>
  <c r="AC155" i="11"/>
  <c r="AD155" i="11"/>
  <c r="AE155" i="11"/>
  <c r="AF155" i="11"/>
  <c r="AG155" i="11"/>
  <c r="AH155" i="11"/>
  <c r="AI155" i="11"/>
  <c r="AJ155" i="11"/>
  <c r="AK155" i="11"/>
  <c r="AL155" i="11"/>
  <c r="AM155" i="11"/>
  <c r="AN155" i="11"/>
  <c r="AO155" i="11"/>
  <c r="AP155" i="11"/>
  <c r="AQ155" i="11"/>
  <c r="AR155" i="11"/>
  <c r="AS155" i="11"/>
  <c r="AT155" i="11"/>
  <c r="AU155" i="11"/>
  <c r="AV155" i="11"/>
  <c r="AW155" i="11"/>
  <c r="AX155" i="11"/>
  <c r="AY155" i="11"/>
  <c r="AZ155" i="11"/>
  <c r="BA155" i="11"/>
  <c r="D156" i="11"/>
  <c r="E156" i="11"/>
  <c r="F156" i="11"/>
  <c r="G156" i="11"/>
  <c r="H156" i="11"/>
  <c r="I156" i="11"/>
  <c r="J156" i="11"/>
  <c r="K156" i="11"/>
  <c r="L156" i="11"/>
  <c r="M156" i="11"/>
  <c r="N156" i="11"/>
  <c r="O156" i="11"/>
  <c r="P156" i="11"/>
  <c r="Q156" i="11"/>
  <c r="R156" i="11"/>
  <c r="S156" i="11"/>
  <c r="T156" i="11"/>
  <c r="U156" i="11"/>
  <c r="V156" i="11"/>
  <c r="W156" i="11"/>
  <c r="X156" i="11"/>
  <c r="Y156" i="11"/>
  <c r="Z156" i="11"/>
  <c r="AA156" i="11"/>
  <c r="AB156" i="11"/>
  <c r="AC156" i="11"/>
  <c r="AD156" i="11"/>
  <c r="AE156" i="11"/>
  <c r="AF156" i="11"/>
  <c r="AG156" i="11"/>
  <c r="AH156" i="11"/>
  <c r="AI156" i="11"/>
  <c r="AJ156" i="11"/>
  <c r="AK156" i="11"/>
  <c r="AL156" i="11"/>
  <c r="AM156" i="11"/>
  <c r="AN156" i="11"/>
  <c r="AO156" i="11"/>
  <c r="AP156" i="11"/>
  <c r="AQ156" i="11"/>
  <c r="AR156" i="11"/>
  <c r="AS156" i="11"/>
  <c r="AT156" i="11"/>
  <c r="AU156" i="11"/>
  <c r="AV156" i="11"/>
  <c r="AW156" i="11"/>
  <c r="AX156" i="11"/>
  <c r="AY156" i="11"/>
  <c r="AZ156" i="11"/>
  <c r="BA156" i="11"/>
  <c r="D157" i="11"/>
  <c r="E157" i="11"/>
  <c r="F157" i="11"/>
  <c r="G157" i="11"/>
  <c r="H157" i="11"/>
  <c r="I157" i="11"/>
  <c r="J157" i="11"/>
  <c r="K157" i="11"/>
  <c r="L157" i="11"/>
  <c r="M157" i="11"/>
  <c r="N157" i="11"/>
  <c r="O157" i="11"/>
  <c r="P157" i="11"/>
  <c r="Q157" i="11"/>
  <c r="R157" i="11"/>
  <c r="S157" i="11"/>
  <c r="T157" i="11"/>
  <c r="U157" i="11"/>
  <c r="V157" i="11"/>
  <c r="W157" i="11"/>
  <c r="X157" i="11"/>
  <c r="Y157" i="11"/>
  <c r="Z157" i="11"/>
  <c r="AA157" i="11"/>
  <c r="AB157" i="11"/>
  <c r="AC157" i="11"/>
  <c r="AD157" i="11"/>
  <c r="AE157" i="11"/>
  <c r="AF157" i="11"/>
  <c r="AG157" i="11"/>
  <c r="AH157" i="11"/>
  <c r="AI157" i="11"/>
  <c r="AJ157" i="11"/>
  <c r="AK157" i="11"/>
  <c r="AL157" i="11"/>
  <c r="AM157" i="11"/>
  <c r="AN157" i="11"/>
  <c r="AO157" i="11"/>
  <c r="AP157" i="11"/>
  <c r="AQ157" i="11"/>
  <c r="AR157" i="11"/>
  <c r="AS157" i="11"/>
  <c r="AT157" i="11"/>
  <c r="AU157" i="11"/>
  <c r="AV157" i="11"/>
  <c r="AW157" i="11"/>
  <c r="AX157" i="11"/>
  <c r="AY157" i="11"/>
  <c r="AZ157" i="11"/>
  <c r="BA157" i="11"/>
  <c r="D158" i="11"/>
  <c r="E158" i="11"/>
  <c r="F158" i="11"/>
  <c r="G158" i="11"/>
  <c r="H158" i="11"/>
  <c r="I158" i="11"/>
  <c r="J158" i="11"/>
  <c r="K158" i="11"/>
  <c r="L158" i="11"/>
  <c r="M158" i="11"/>
  <c r="N158" i="11"/>
  <c r="O158" i="11"/>
  <c r="P158" i="11"/>
  <c r="Q158" i="11"/>
  <c r="R158" i="11"/>
  <c r="S158" i="11"/>
  <c r="T158" i="11"/>
  <c r="U158" i="11"/>
  <c r="V158" i="11"/>
  <c r="W158" i="11"/>
  <c r="X158" i="11"/>
  <c r="Y158" i="11"/>
  <c r="Z158" i="11"/>
  <c r="AA158" i="11"/>
  <c r="AB158" i="11"/>
  <c r="AC158" i="11"/>
  <c r="AD158" i="11"/>
  <c r="AE158" i="11"/>
  <c r="AF158" i="11"/>
  <c r="AG158" i="11"/>
  <c r="AH158" i="11"/>
  <c r="AI158" i="11"/>
  <c r="AJ158" i="11"/>
  <c r="AK158" i="11"/>
  <c r="AL158" i="11"/>
  <c r="AM158" i="11"/>
  <c r="AN158" i="11"/>
  <c r="AO158" i="11"/>
  <c r="AP158" i="11"/>
  <c r="AQ158" i="11"/>
  <c r="AR158" i="11"/>
  <c r="AS158" i="11"/>
  <c r="AT158" i="11"/>
  <c r="AU158" i="11"/>
  <c r="AV158" i="11"/>
  <c r="AW158" i="11"/>
  <c r="AX158" i="11"/>
  <c r="AY158" i="11"/>
  <c r="AZ158" i="11"/>
  <c r="BA158" i="11"/>
  <c r="D159" i="11"/>
  <c r="E159" i="11"/>
  <c r="F159" i="11"/>
  <c r="G159" i="11"/>
  <c r="H159" i="11"/>
  <c r="I159" i="11"/>
  <c r="J159" i="11"/>
  <c r="K159" i="11"/>
  <c r="L159" i="11"/>
  <c r="M159" i="11"/>
  <c r="N159" i="11"/>
  <c r="O159" i="11"/>
  <c r="P159" i="11"/>
  <c r="Q159" i="11"/>
  <c r="R159" i="11"/>
  <c r="S159" i="11"/>
  <c r="T159" i="11"/>
  <c r="U159" i="11"/>
  <c r="V159" i="11"/>
  <c r="W159" i="11"/>
  <c r="X159" i="11"/>
  <c r="Y159" i="11"/>
  <c r="Z159" i="11"/>
  <c r="AA159" i="11"/>
  <c r="AB159" i="11"/>
  <c r="AC159" i="11"/>
  <c r="AD159" i="11"/>
  <c r="AE159" i="11"/>
  <c r="AF159" i="11"/>
  <c r="AG159" i="11"/>
  <c r="AH159" i="11"/>
  <c r="AI159" i="11"/>
  <c r="AJ159" i="11"/>
  <c r="AK159" i="11"/>
  <c r="AL159" i="11"/>
  <c r="AM159" i="11"/>
  <c r="AN159" i="11"/>
  <c r="AO159" i="11"/>
  <c r="AP159" i="11"/>
  <c r="AQ159" i="11"/>
  <c r="AR159" i="11"/>
  <c r="AS159" i="11"/>
  <c r="AT159" i="11"/>
  <c r="AU159" i="11"/>
  <c r="AV159" i="11"/>
  <c r="AW159" i="11"/>
  <c r="AX159" i="11"/>
  <c r="AY159" i="11"/>
  <c r="AZ159" i="11"/>
  <c r="BA159" i="11"/>
  <c r="D160" i="11"/>
  <c r="E160" i="11"/>
  <c r="F160" i="11"/>
  <c r="G160" i="11"/>
  <c r="H160" i="11"/>
  <c r="I160" i="11"/>
  <c r="J160" i="11"/>
  <c r="K160" i="11"/>
  <c r="L160" i="11"/>
  <c r="M160" i="11"/>
  <c r="N160" i="11"/>
  <c r="O160" i="11"/>
  <c r="P160" i="11"/>
  <c r="Q160" i="11"/>
  <c r="R160" i="11"/>
  <c r="S160" i="11"/>
  <c r="T160" i="11"/>
  <c r="U160" i="11"/>
  <c r="V160" i="11"/>
  <c r="W160" i="11"/>
  <c r="X160" i="11"/>
  <c r="Y160" i="11"/>
  <c r="Z160" i="11"/>
  <c r="AA160" i="11"/>
  <c r="AB160" i="11"/>
  <c r="AC160" i="11"/>
  <c r="AD160" i="11"/>
  <c r="AE160" i="11"/>
  <c r="AF160" i="11"/>
  <c r="AG160" i="11"/>
  <c r="AH160" i="11"/>
  <c r="AI160" i="11"/>
  <c r="AJ160" i="11"/>
  <c r="AK160" i="11"/>
  <c r="AL160" i="11"/>
  <c r="AM160" i="11"/>
  <c r="AN160" i="11"/>
  <c r="AO160" i="11"/>
  <c r="AP160" i="11"/>
  <c r="AQ160" i="11"/>
  <c r="AR160" i="11"/>
  <c r="AS160" i="11"/>
  <c r="AT160" i="11"/>
  <c r="AU160" i="11"/>
  <c r="AV160" i="11"/>
  <c r="AW160" i="11"/>
  <c r="AX160" i="11"/>
  <c r="AY160" i="11"/>
  <c r="AZ160" i="11"/>
  <c r="BA160" i="11"/>
  <c r="D161" i="11"/>
  <c r="E161" i="11"/>
  <c r="F161" i="11"/>
  <c r="G161" i="11"/>
  <c r="H161" i="11"/>
  <c r="I161" i="11"/>
  <c r="J161" i="11"/>
  <c r="K161" i="11"/>
  <c r="L161" i="11"/>
  <c r="M161" i="11"/>
  <c r="N161" i="11"/>
  <c r="O161" i="11"/>
  <c r="P161" i="11"/>
  <c r="Q161" i="11"/>
  <c r="R161" i="11"/>
  <c r="S161" i="11"/>
  <c r="T161" i="11"/>
  <c r="U161" i="11"/>
  <c r="V161" i="11"/>
  <c r="W161" i="11"/>
  <c r="X161" i="11"/>
  <c r="Y161" i="11"/>
  <c r="Z161" i="11"/>
  <c r="AA161" i="11"/>
  <c r="AB161" i="11"/>
  <c r="AC161" i="11"/>
  <c r="AD161" i="11"/>
  <c r="AE161" i="11"/>
  <c r="AF161" i="11"/>
  <c r="AG161" i="11"/>
  <c r="AH161" i="11"/>
  <c r="AI161" i="11"/>
  <c r="AJ161" i="11"/>
  <c r="AK161" i="11"/>
  <c r="AL161" i="11"/>
  <c r="AM161" i="11"/>
  <c r="AN161" i="11"/>
  <c r="AO161" i="11"/>
  <c r="AP161" i="11"/>
  <c r="AQ161" i="11"/>
  <c r="AR161" i="11"/>
  <c r="AS161" i="11"/>
  <c r="AT161" i="11"/>
  <c r="AU161" i="11"/>
  <c r="AV161" i="11"/>
  <c r="AW161" i="11"/>
  <c r="AX161" i="11"/>
  <c r="AY161" i="11"/>
  <c r="AZ161" i="11"/>
  <c r="BA161" i="11"/>
  <c r="D162" i="11"/>
  <c r="E162" i="11"/>
  <c r="F162" i="11"/>
  <c r="G162" i="11"/>
  <c r="H162" i="11"/>
  <c r="I162" i="11"/>
  <c r="J162" i="11"/>
  <c r="K162" i="11"/>
  <c r="L162" i="11"/>
  <c r="M162" i="11"/>
  <c r="N162" i="11"/>
  <c r="O162" i="11"/>
  <c r="P162" i="11"/>
  <c r="Q162" i="11"/>
  <c r="R162" i="11"/>
  <c r="S162" i="11"/>
  <c r="T162" i="11"/>
  <c r="U162" i="11"/>
  <c r="V162" i="11"/>
  <c r="W162" i="11"/>
  <c r="X162" i="11"/>
  <c r="Y162" i="11"/>
  <c r="Z162" i="11"/>
  <c r="AA162" i="11"/>
  <c r="AB162" i="11"/>
  <c r="AC162" i="11"/>
  <c r="AD162" i="11"/>
  <c r="AE162" i="11"/>
  <c r="AF162" i="11"/>
  <c r="AG162" i="11"/>
  <c r="AH162" i="11"/>
  <c r="AI162" i="11"/>
  <c r="AJ162" i="11"/>
  <c r="AK162" i="11"/>
  <c r="AL162" i="11"/>
  <c r="AM162" i="11"/>
  <c r="AN162" i="11"/>
  <c r="AO162" i="11"/>
  <c r="AP162" i="11"/>
  <c r="AQ162" i="11"/>
  <c r="AR162" i="11"/>
  <c r="AS162" i="11"/>
  <c r="AT162" i="11"/>
  <c r="AU162" i="11"/>
  <c r="AV162" i="11"/>
  <c r="AW162" i="11"/>
  <c r="AX162" i="11"/>
  <c r="AY162" i="11"/>
  <c r="AZ162" i="11"/>
  <c r="BA162" i="11"/>
  <c r="D163" i="11"/>
  <c r="E163" i="11"/>
  <c r="F163" i="11"/>
  <c r="G163" i="11"/>
  <c r="H163" i="11"/>
  <c r="I163" i="11"/>
  <c r="J163" i="11"/>
  <c r="K163" i="11"/>
  <c r="L163" i="11"/>
  <c r="M163" i="11"/>
  <c r="N163" i="11"/>
  <c r="O163" i="11"/>
  <c r="P163" i="11"/>
  <c r="Q163" i="11"/>
  <c r="R163" i="11"/>
  <c r="S163" i="11"/>
  <c r="T163" i="11"/>
  <c r="U163" i="11"/>
  <c r="V163" i="11"/>
  <c r="W163" i="11"/>
  <c r="X163" i="11"/>
  <c r="Y163" i="11"/>
  <c r="Z163" i="11"/>
  <c r="AA163" i="11"/>
  <c r="AB163" i="11"/>
  <c r="AC163" i="11"/>
  <c r="AD163" i="11"/>
  <c r="AE163" i="11"/>
  <c r="AF163" i="11"/>
  <c r="AG163" i="11"/>
  <c r="AH163" i="11"/>
  <c r="AI163" i="11"/>
  <c r="AJ163" i="11"/>
  <c r="AK163" i="11"/>
  <c r="AL163" i="11"/>
  <c r="AM163" i="11"/>
  <c r="AN163" i="11"/>
  <c r="AO163" i="11"/>
  <c r="AP163" i="11"/>
  <c r="AQ163" i="11"/>
  <c r="AR163" i="11"/>
  <c r="AS163" i="11"/>
  <c r="AT163" i="11"/>
  <c r="AU163" i="11"/>
  <c r="AV163" i="11"/>
  <c r="AW163" i="11"/>
  <c r="AX163" i="11"/>
  <c r="AY163" i="11"/>
  <c r="AZ163" i="11"/>
  <c r="BA163" i="11"/>
  <c r="D164" i="11"/>
  <c r="E164" i="11"/>
  <c r="F164" i="11"/>
  <c r="G164" i="11"/>
  <c r="H164" i="11"/>
  <c r="I164" i="11"/>
  <c r="J164" i="11"/>
  <c r="K164" i="11"/>
  <c r="L164" i="11"/>
  <c r="M164" i="11"/>
  <c r="N164" i="11"/>
  <c r="O164" i="11"/>
  <c r="P164" i="11"/>
  <c r="Q164" i="11"/>
  <c r="R164" i="11"/>
  <c r="S164" i="11"/>
  <c r="T164" i="11"/>
  <c r="U164" i="11"/>
  <c r="V164" i="11"/>
  <c r="W164" i="11"/>
  <c r="X164" i="11"/>
  <c r="Y164" i="11"/>
  <c r="Z164" i="11"/>
  <c r="AA164" i="11"/>
  <c r="AB164" i="11"/>
  <c r="AC164" i="11"/>
  <c r="AD164" i="11"/>
  <c r="AE164" i="11"/>
  <c r="AF164" i="11"/>
  <c r="AG164" i="11"/>
  <c r="AH164" i="11"/>
  <c r="AI164" i="11"/>
  <c r="AJ164" i="11"/>
  <c r="AK164" i="11"/>
  <c r="AL164" i="11"/>
  <c r="AM164" i="11"/>
  <c r="AN164" i="11"/>
  <c r="AO164" i="11"/>
  <c r="AP164" i="11"/>
  <c r="AQ164" i="11"/>
  <c r="AR164" i="11"/>
  <c r="AS164" i="11"/>
  <c r="AT164" i="11"/>
  <c r="AU164" i="11"/>
  <c r="AV164" i="11"/>
  <c r="AW164" i="11"/>
  <c r="AX164" i="11"/>
  <c r="AY164" i="11"/>
  <c r="AZ164" i="11"/>
  <c r="BA164" i="11"/>
  <c r="D165" i="11"/>
  <c r="E165" i="11"/>
  <c r="F165" i="11"/>
  <c r="G165" i="11"/>
  <c r="H165" i="11"/>
  <c r="I165" i="11"/>
  <c r="J165" i="11"/>
  <c r="K165" i="11"/>
  <c r="L165" i="11"/>
  <c r="M165" i="11"/>
  <c r="N165" i="11"/>
  <c r="O165" i="11"/>
  <c r="P165" i="11"/>
  <c r="Q165" i="11"/>
  <c r="R165" i="11"/>
  <c r="S165" i="11"/>
  <c r="T165" i="11"/>
  <c r="U165" i="11"/>
  <c r="V165" i="11"/>
  <c r="W165" i="11"/>
  <c r="X165" i="11"/>
  <c r="Y165" i="11"/>
  <c r="Z165" i="11"/>
  <c r="AA165" i="11"/>
  <c r="AB165" i="11"/>
  <c r="AC165" i="11"/>
  <c r="AD165" i="11"/>
  <c r="AE165" i="11"/>
  <c r="AF165" i="11"/>
  <c r="AG165" i="11"/>
  <c r="AH165" i="11"/>
  <c r="AI165" i="11"/>
  <c r="AJ165" i="11"/>
  <c r="AK165" i="11"/>
  <c r="AL165" i="11"/>
  <c r="AM165" i="11"/>
  <c r="AN165" i="11"/>
  <c r="AO165" i="11"/>
  <c r="AP165" i="11"/>
  <c r="AQ165" i="11"/>
  <c r="AR165" i="11"/>
  <c r="AS165" i="11"/>
  <c r="AT165" i="11"/>
  <c r="AU165" i="11"/>
  <c r="AV165" i="11"/>
  <c r="AW165" i="11"/>
  <c r="AX165" i="11"/>
  <c r="AY165" i="11"/>
  <c r="AZ165" i="11"/>
  <c r="BA165" i="11"/>
  <c r="D166" i="11"/>
  <c r="E166" i="11"/>
  <c r="F166" i="11"/>
  <c r="G166" i="11"/>
  <c r="H166" i="11"/>
  <c r="I166" i="11"/>
  <c r="J166" i="11"/>
  <c r="K166" i="11"/>
  <c r="L166" i="11"/>
  <c r="M166" i="11"/>
  <c r="N166" i="11"/>
  <c r="O166" i="11"/>
  <c r="P166" i="11"/>
  <c r="Q166" i="11"/>
  <c r="R166" i="11"/>
  <c r="S166" i="11"/>
  <c r="T166" i="11"/>
  <c r="U166" i="11"/>
  <c r="V166" i="11"/>
  <c r="W166" i="11"/>
  <c r="X166" i="11"/>
  <c r="Y166" i="11"/>
  <c r="Z166" i="11"/>
  <c r="AA166" i="11"/>
  <c r="AB166" i="11"/>
  <c r="AC166" i="11"/>
  <c r="AD166" i="11"/>
  <c r="AE166" i="11"/>
  <c r="AF166" i="11"/>
  <c r="AG166" i="11"/>
  <c r="AH166" i="11"/>
  <c r="AI166" i="11"/>
  <c r="AJ166" i="11"/>
  <c r="AK166" i="11"/>
  <c r="AL166" i="11"/>
  <c r="AM166" i="11"/>
  <c r="AN166" i="11"/>
  <c r="AO166" i="11"/>
  <c r="AP166" i="11"/>
  <c r="AQ166" i="11"/>
  <c r="AR166" i="11"/>
  <c r="AS166" i="11"/>
  <c r="AT166" i="11"/>
  <c r="AU166" i="11"/>
  <c r="AV166" i="11"/>
  <c r="AW166" i="11"/>
  <c r="AX166" i="11"/>
  <c r="AY166" i="11"/>
  <c r="AZ166" i="11"/>
  <c r="BA166" i="11"/>
  <c r="D167" i="11"/>
  <c r="E167" i="11"/>
  <c r="F167" i="11"/>
  <c r="G167" i="11"/>
  <c r="H167" i="11"/>
  <c r="I167" i="11"/>
  <c r="J167" i="11"/>
  <c r="K167" i="11"/>
  <c r="L167" i="11"/>
  <c r="M167" i="11"/>
  <c r="N167" i="11"/>
  <c r="O167" i="11"/>
  <c r="P167" i="11"/>
  <c r="Q167" i="11"/>
  <c r="R167" i="11"/>
  <c r="S167" i="11"/>
  <c r="T167" i="11"/>
  <c r="U167" i="11"/>
  <c r="V167" i="11"/>
  <c r="W167" i="11"/>
  <c r="X167" i="11"/>
  <c r="Y167" i="11"/>
  <c r="Z167" i="11"/>
  <c r="AA167" i="11"/>
  <c r="AB167" i="11"/>
  <c r="AC167" i="11"/>
  <c r="AD167" i="11"/>
  <c r="AE167" i="11"/>
  <c r="AF167" i="11"/>
  <c r="AG167" i="11"/>
  <c r="AH167" i="11"/>
  <c r="AI167" i="11"/>
  <c r="AJ167" i="11"/>
  <c r="AK167" i="11"/>
  <c r="AL167" i="11"/>
  <c r="AM167" i="11"/>
  <c r="AN167" i="11"/>
  <c r="AO167" i="11"/>
  <c r="AP167" i="11"/>
  <c r="AQ167" i="11"/>
  <c r="AR167" i="11"/>
  <c r="AS167" i="11"/>
  <c r="AT167" i="11"/>
  <c r="AU167" i="11"/>
  <c r="AV167" i="11"/>
  <c r="AW167" i="11"/>
  <c r="AX167" i="11"/>
  <c r="AY167" i="11"/>
  <c r="AZ167" i="11"/>
  <c r="BA167" i="11"/>
  <c r="D168" i="11"/>
  <c r="E168" i="11"/>
  <c r="F168" i="11"/>
  <c r="G168" i="11"/>
  <c r="H168" i="11"/>
  <c r="I168" i="11"/>
  <c r="J168" i="11"/>
  <c r="K168" i="11"/>
  <c r="L168" i="11"/>
  <c r="M168" i="11"/>
  <c r="N168" i="11"/>
  <c r="O168" i="11"/>
  <c r="P168" i="11"/>
  <c r="Q168" i="11"/>
  <c r="R168" i="11"/>
  <c r="S168" i="11"/>
  <c r="T168" i="11"/>
  <c r="U168" i="11"/>
  <c r="V168" i="11"/>
  <c r="W168" i="11"/>
  <c r="X168" i="11"/>
  <c r="Y168" i="11"/>
  <c r="Z168" i="11"/>
  <c r="AA168" i="11"/>
  <c r="AB168" i="11"/>
  <c r="AC168" i="11"/>
  <c r="AD168" i="11"/>
  <c r="AE168" i="11"/>
  <c r="AF168" i="11"/>
  <c r="AG168" i="11"/>
  <c r="AH168" i="11"/>
  <c r="AI168" i="11"/>
  <c r="AJ168" i="11"/>
  <c r="AK168" i="11"/>
  <c r="AL168" i="11"/>
  <c r="AM168" i="11"/>
  <c r="AN168" i="11"/>
  <c r="AO168" i="11"/>
  <c r="AP168" i="11"/>
  <c r="AQ168" i="11"/>
  <c r="AR168" i="11"/>
  <c r="AS168" i="11"/>
  <c r="AT168" i="11"/>
  <c r="AU168" i="11"/>
  <c r="AV168" i="11"/>
  <c r="AW168" i="11"/>
  <c r="AX168" i="11"/>
  <c r="AY168" i="11"/>
  <c r="AZ168" i="11"/>
  <c r="BA168" i="11"/>
  <c r="D169" i="11"/>
  <c r="E169" i="11"/>
  <c r="F169" i="11"/>
  <c r="G169" i="11"/>
  <c r="H169" i="11"/>
  <c r="I169" i="11"/>
  <c r="J169" i="11"/>
  <c r="K169" i="11"/>
  <c r="L169" i="11"/>
  <c r="M169" i="11"/>
  <c r="N169" i="11"/>
  <c r="O169" i="11"/>
  <c r="P169" i="11"/>
  <c r="Q169" i="11"/>
  <c r="R169" i="11"/>
  <c r="S169" i="11"/>
  <c r="T169" i="11"/>
  <c r="U169" i="11"/>
  <c r="V169" i="11"/>
  <c r="W169" i="11"/>
  <c r="X169" i="11"/>
  <c r="Y169" i="11"/>
  <c r="Z169" i="11"/>
  <c r="AA169" i="11"/>
  <c r="AB169" i="11"/>
  <c r="AC169" i="11"/>
  <c r="AD169" i="11"/>
  <c r="AE169" i="11"/>
  <c r="AF169" i="11"/>
  <c r="AG169" i="11"/>
  <c r="AH169" i="11"/>
  <c r="AI169" i="11"/>
  <c r="AJ169" i="11"/>
  <c r="AK169" i="11"/>
  <c r="AL169" i="11"/>
  <c r="AM169" i="11"/>
  <c r="AN169" i="11"/>
  <c r="AO169" i="11"/>
  <c r="AP169" i="11"/>
  <c r="AQ169" i="11"/>
  <c r="AR169" i="11"/>
  <c r="AS169" i="11"/>
  <c r="AT169" i="11"/>
  <c r="AU169" i="11"/>
  <c r="AV169" i="11"/>
  <c r="AW169" i="11"/>
  <c r="AX169" i="11"/>
  <c r="AY169" i="11"/>
  <c r="AZ169" i="11"/>
  <c r="BA169" i="11"/>
  <c r="E2" i="11"/>
  <c r="F2" i="11"/>
  <c r="G2" i="11"/>
  <c r="H2" i="11"/>
  <c r="I2" i="11"/>
  <c r="J2" i="11"/>
  <c r="K2" i="11"/>
  <c r="L2" i="11"/>
  <c r="M2" i="11"/>
  <c r="N2" i="11"/>
  <c r="O2" i="11"/>
  <c r="P2" i="11"/>
  <c r="Q2" i="11"/>
  <c r="R2" i="11"/>
  <c r="S2" i="11"/>
  <c r="T2" i="11"/>
  <c r="U2" i="11"/>
  <c r="V2" i="11"/>
  <c r="W2" i="11"/>
  <c r="X2" i="11"/>
  <c r="Y2" i="11"/>
  <c r="Z2" i="11"/>
  <c r="AA2" i="11"/>
  <c r="AB2" i="11"/>
  <c r="AC2" i="11"/>
  <c r="AD2" i="11"/>
  <c r="AE2" i="11"/>
  <c r="AF2" i="11"/>
  <c r="AG2" i="11"/>
  <c r="AH2" i="11"/>
  <c r="AI2" i="11"/>
  <c r="AJ2" i="11"/>
  <c r="AK2" i="11"/>
  <c r="AL2" i="11"/>
  <c r="AM2" i="11"/>
  <c r="AN2" i="11"/>
  <c r="AO2" i="11"/>
  <c r="AP2" i="11"/>
  <c r="AQ2" i="11"/>
  <c r="AR2" i="11"/>
  <c r="AS2" i="11"/>
  <c r="AT2" i="11"/>
  <c r="AU2" i="11"/>
  <c r="AV2" i="11"/>
  <c r="AW2" i="11"/>
  <c r="AX2" i="11"/>
  <c r="AY2" i="11"/>
  <c r="AZ2" i="11"/>
  <c r="BA2" i="11"/>
  <c r="D2" i="11"/>
  <c r="A12" i="5" l="1"/>
  <c r="B12" i="5"/>
  <c r="C12" i="5"/>
  <c r="A13" i="5"/>
  <c r="B13" i="5"/>
  <c r="C13" i="5"/>
  <c r="A14" i="5"/>
  <c r="B14" i="5"/>
  <c r="C14" i="5"/>
  <c r="A15" i="5"/>
  <c r="B15" i="5"/>
  <c r="C15" i="5"/>
  <c r="A16" i="5"/>
  <c r="B16" i="5"/>
  <c r="C16" i="5"/>
  <c r="A17" i="5"/>
  <c r="B17" i="5"/>
  <c r="C17" i="5"/>
  <c r="A18" i="5"/>
  <c r="B18" i="5"/>
  <c r="C18" i="5"/>
  <c r="A19" i="5"/>
  <c r="B19" i="5"/>
  <c r="C19" i="5"/>
  <c r="A20" i="5"/>
  <c r="B20" i="5"/>
  <c r="C20" i="5"/>
  <c r="A21" i="5"/>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41" i="5"/>
  <c r="B41" i="5"/>
  <c r="C41" i="5"/>
  <c r="A42" i="5"/>
  <c r="B42" i="5"/>
  <c r="C42" i="5"/>
  <c r="A43" i="5"/>
  <c r="B43" i="5"/>
  <c r="C43" i="5"/>
  <c r="A44" i="5"/>
  <c r="B44" i="5"/>
  <c r="C44" i="5"/>
  <c r="A45" i="5"/>
  <c r="B45" i="5"/>
  <c r="C45" i="5"/>
  <c r="A46" i="5"/>
  <c r="B46" i="5"/>
  <c r="C46" i="5"/>
  <c r="A47" i="5"/>
  <c r="B47" i="5"/>
  <c r="C47" i="5"/>
  <c r="A48" i="5"/>
  <c r="B48" i="5"/>
  <c r="C48" i="5"/>
  <c r="A49" i="5"/>
  <c r="B49" i="5"/>
  <c r="C49" i="5"/>
  <c r="A50" i="5"/>
  <c r="B50" i="5"/>
  <c r="C50" i="5"/>
  <c r="A51" i="5"/>
  <c r="B51" i="5"/>
  <c r="C51" i="5"/>
  <c r="A52" i="5"/>
  <c r="B52" i="5"/>
  <c r="C52" i="5"/>
  <c r="A53" i="5"/>
  <c r="B53" i="5"/>
  <c r="C53" i="5"/>
  <c r="A54" i="5"/>
  <c r="B54" i="5"/>
  <c r="C54" i="5"/>
  <c r="A55" i="5"/>
  <c r="B55" i="5"/>
  <c r="C55" i="5"/>
  <c r="A56" i="5"/>
  <c r="B56" i="5"/>
  <c r="C56" i="5"/>
  <c r="A57" i="5"/>
  <c r="B57" i="5"/>
  <c r="C57" i="5"/>
  <c r="A58" i="5"/>
  <c r="B58" i="5"/>
  <c r="C58" i="5"/>
  <c r="A59" i="5"/>
  <c r="B59" i="5"/>
  <c r="C59" i="5"/>
  <c r="A60" i="5"/>
  <c r="B60" i="5"/>
  <c r="C60" i="5"/>
  <c r="A61" i="5"/>
  <c r="B61" i="5"/>
  <c r="C61" i="5"/>
  <c r="A62" i="5"/>
  <c r="B62" i="5"/>
  <c r="C62" i="5"/>
  <c r="A63" i="5"/>
  <c r="B63" i="5"/>
  <c r="C63" i="5"/>
  <c r="A64" i="5"/>
  <c r="B64" i="5"/>
  <c r="C64" i="5"/>
  <c r="A65" i="5"/>
  <c r="B65" i="5"/>
  <c r="C65" i="5"/>
  <c r="A66" i="5"/>
  <c r="B66" i="5"/>
  <c r="C66" i="5"/>
  <c r="A67" i="5"/>
  <c r="B67" i="5"/>
  <c r="C67" i="5"/>
  <c r="A68" i="5"/>
  <c r="B68" i="5"/>
  <c r="C68" i="5"/>
  <c r="A69" i="5"/>
  <c r="B69" i="5"/>
  <c r="C69" i="5"/>
  <c r="A70" i="5"/>
  <c r="B70" i="5"/>
  <c r="C70" i="5"/>
  <c r="A71" i="5"/>
  <c r="B71" i="5"/>
  <c r="C71" i="5"/>
  <c r="A72" i="5"/>
  <c r="B72" i="5"/>
  <c r="C72" i="5"/>
  <c r="A73" i="5"/>
  <c r="B73" i="5"/>
  <c r="C73" i="5"/>
  <c r="A74" i="5"/>
  <c r="B74" i="5"/>
  <c r="C74" i="5"/>
  <c r="A75" i="5"/>
  <c r="B75" i="5"/>
  <c r="C75" i="5"/>
  <c r="A76" i="5"/>
  <c r="B76" i="5"/>
  <c r="C76" i="5"/>
  <c r="A77" i="5"/>
  <c r="B77" i="5"/>
  <c r="C77" i="5"/>
  <c r="A78" i="5"/>
  <c r="B78" i="5"/>
  <c r="C78" i="5"/>
  <c r="A79" i="5"/>
  <c r="B79" i="5"/>
  <c r="C79" i="5"/>
  <c r="A80" i="5"/>
  <c r="B80" i="5"/>
  <c r="C80" i="5"/>
  <c r="A81" i="5"/>
  <c r="B81" i="5"/>
  <c r="C81" i="5"/>
  <c r="A82" i="5"/>
  <c r="B82" i="5"/>
  <c r="C82" i="5"/>
  <c r="A83" i="5"/>
  <c r="B83" i="5"/>
  <c r="C83" i="5"/>
  <c r="A84" i="5"/>
  <c r="B84" i="5"/>
  <c r="C84" i="5"/>
  <c r="A85" i="5"/>
  <c r="B85" i="5"/>
  <c r="C85" i="5"/>
  <c r="A86" i="5"/>
  <c r="B86" i="5"/>
  <c r="C86" i="5"/>
  <c r="A87" i="5"/>
  <c r="B87" i="5"/>
  <c r="C87" i="5"/>
  <c r="A88" i="5"/>
  <c r="B88" i="5"/>
  <c r="C88" i="5"/>
  <c r="A89" i="5"/>
  <c r="B89" i="5"/>
  <c r="C89" i="5"/>
  <c r="A90" i="5"/>
  <c r="B90" i="5"/>
  <c r="C90" i="5"/>
  <c r="A91" i="5"/>
  <c r="B91" i="5"/>
  <c r="C91" i="5"/>
  <c r="A92" i="5"/>
  <c r="B92" i="5"/>
  <c r="C92" i="5"/>
  <c r="A93" i="5"/>
  <c r="B93" i="5"/>
  <c r="C93" i="5"/>
  <c r="A94" i="5"/>
  <c r="B94" i="5"/>
  <c r="C94" i="5"/>
  <c r="A95" i="5"/>
  <c r="B95" i="5"/>
  <c r="C95" i="5"/>
  <c r="A96" i="5"/>
  <c r="B96" i="5"/>
  <c r="C96" i="5"/>
  <c r="A97" i="5"/>
  <c r="B97" i="5"/>
  <c r="C97" i="5"/>
  <c r="A98" i="5"/>
  <c r="B98" i="5"/>
  <c r="C98" i="5"/>
  <c r="A99" i="5"/>
  <c r="B99" i="5"/>
  <c r="C99" i="5"/>
  <c r="A100" i="5"/>
  <c r="B100" i="5"/>
  <c r="C100" i="5"/>
  <c r="A101" i="5"/>
  <c r="B101" i="5"/>
  <c r="C101" i="5"/>
  <c r="A102" i="5"/>
  <c r="B102" i="5"/>
  <c r="C102" i="5"/>
  <c r="A103" i="5"/>
  <c r="B103" i="5"/>
  <c r="C103" i="5"/>
  <c r="A104" i="5"/>
  <c r="B104" i="5"/>
  <c r="C104" i="5"/>
  <c r="A105" i="5"/>
  <c r="B105" i="5"/>
  <c r="C105" i="5"/>
  <c r="A106" i="5"/>
  <c r="B106" i="5"/>
  <c r="C106" i="5"/>
  <c r="A107" i="5"/>
  <c r="B107" i="5"/>
  <c r="C107" i="5"/>
  <c r="A108" i="5"/>
  <c r="B108" i="5"/>
  <c r="C108" i="5"/>
  <c r="A109" i="5"/>
  <c r="B109" i="5"/>
  <c r="C109" i="5"/>
  <c r="A110" i="5"/>
  <c r="B110" i="5"/>
  <c r="C110" i="5"/>
  <c r="A111" i="5"/>
  <c r="B111" i="5"/>
  <c r="C111" i="5"/>
  <c r="A112" i="5"/>
  <c r="B112" i="5"/>
  <c r="C112" i="5"/>
  <c r="A113" i="5"/>
  <c r="B113" i="5"/>
  <c r="C113" i="5"/>
  <c r="A114" i="5"/>
  <c r="B114" i="5"/>
  <c r="C114" i="5"/>
  <c r="A115" i="5"/>
  <c r="B115" i="5"/>
  <c r="C115" i="5"/>
  <c r="A116" i="5"/>
  <c r="B116" i="5"/>
  <c r="C116" i="5"/>
  <c r="A117" i="5"/>
  <c r="B117" i="5"/>
  <c r="C117" i="5"/>
  <c r="A118" i="5"/>
  <c r="B118" i="5"/>
  <c r="C118" i="5"/>
  <c r="A119" i="5"/>
  <c r="B119" i="5"/>
  <c r="C119" i="5"/>
  <c r="A120" i="5"/>
  <c r="B120" i="5"/>
  <c r="C120" i="5"/>
  <c r="A121" i="5"/>
  <c r="B121" i="5"/>
  <c r="C121" i="5"/>
  <c r="A122" i="5"/>
  <c r="B122" i="5"/>
  <c r="C122" i="5"/>
  <c r="A123" i="5"/>
  <c r="B123" i="5"/>
  <c r="C123" i="5"/>
  <c r="A124" i="5"/>
  <c r="B124" i="5"/>
  <c r="C124" i="5"/>
  <c r="A125" i="5"/>
  <c r="B125" i="5"/>
  <c r="C125" i="5"/>
  <c r="A126" i="5"/>
  <c r="B126" i="5"/>
  <c r="C126" i="5"/>
  <c r="A127" i="5"/>
  <c r="B127" i="5"/>
  <c r="C127" i="5"/>
  <c r="A128" i="5"/>
  <c r="B128" i="5"/>
  <c r="C128" i="5"/>
  <c r="A129" i="5"/>
  <c r="B129" i="5"/>
  <c r="C129" i="5"/>
  <c r="A130" i="5"/>
  <c r="B130" i="5"/>
  <c r="C130" i="5"/>
  <c r="A131" i="5"/>
  <c r="B131" i="5"/>
  <c r="C131" i="5"/>
  <c r="A132" i="5"/>
  <c r="B132" i="5"/>
  <c r="C132" i="5"/>
  <c r="A133" i="5"/>
  <c r="B133" i="5"/>
  <c r="C133" i="5"/>
  <c r="A134" i="5"/>
  <c r="B134" i="5"/>
  <c r="C134" i="5"/>
  <c r="A135" i="5"/>
  <c r="B135" i="5"/>
  <c r="C135" i="5"/>
  <c r="A136" i="5"/>
  <c r="B136" i="5"/>
  <c r="C136" i="5"/>
  <c r="A137" i="5"/>
  <c r="B137" i="5"/>
  <c r="C137" i="5"/>
  <c r="A138" i="5"/>
  <c r="B138" i="5"/>
  <c r="C138" i="5"/>
  <c r="A139" i="5"/>
  <c r="B139" i="5"/>
  <c r="C139" i="5"/>
  <c r="A140" i="5"/>
  <c r="B140" i="5"/>
  <c r="C140" i="5"/>
  <c r="A141" i="5"/>
  <c r="B141" i="5"/>
  <c r="C141" i="5"/>
  <c r="A142" i="5"/>
  <c r="B142" i="5"/>
  <c r="C142" i="5"/>
  <c r="A143" i="5"/>
  <c r="B143" i="5"/>
  <c r="C143" i="5"/>
  <c r="A144" i="5"/>
  <c r="B144" i="5"/>
  <c r="C144" i="5"/>
  <c r="A145" i="5"/>
  <c r="B145" i="5"/>
  <c r="C145" i="5"/>
  <c r="A146" i="5"/>
  <c r="B146" i="5"/>
  <c r="C146" i="5"/>
  <c r="A147" i="5"/>
  <c r="B147" i="5"/>
  <c r="C147" i="5"/>
  <c r="A148" i="5"/>
  <c r="B148" i="5"/>
  <c r="C148" i="5"/>
  <c r="A149" i="5"/>
  <c r="B149" i="5"/>
  <c r="C149" i="5"/>
  <c r="A150" i="5"/>
  <c r="B150" i="5"/>
  <c r="C150" i="5"/>
  <c r="A151" i="5"/>
  <c r="B151" i="5"/>
  <c r="C151" i="5"/>
  <c r="A152" i="5"/>
  <c r="B152" i="5"/>
  <c r="C152" i="5"/>
  <c r="A153" i="5"/>
  <c r="B153" i="5"/>
  <c r="C153" i="5"/>
  <c r="A154" i="5"/>
  <c r="B154" i="5"/>
  <c r="C154" i="5"/>
  <c r="A155" i="5"/>
  <c r="B155" i="5"/>
  <c r="C155" i="5"/>
  <c r="A156" i="5"/>
  <c r="B156" i="5"/>
  <c r="C156" i="5"/>
  <c r="A157" i="5"/>
  <c r="B157" i="5"/>
  <c r="C157" i="5"/>
  <c r="A158" i="5"/>
  <c r="B158" i="5"/>
  <c r="C158" i="5"/>
  <c r="A159" i="5"/>
  <c r="B159" i="5"/>
  <c r="C159" i="5"/>
  <c r="A160" i="5"/>
  <c r="B160" i="5"/>
  <c r="C160" i="5"/>
  <c r="A161" i="5"/>
  <c r="B161" i="5"/>
  <c r="C161" i="5"/>
  <c r="A162" i="5"/>
  <c r="B162" i="5"/>
  <c r="C162" i="5"/>
  <c r="A163" i="5"/>
  <c r="B163" i="5"/>
  <c r="C163" i="5"/>
  <c r="A164" i="5"/>
  <c r="B164" i="5"/>
  <c r="C164" i="5"/>
  <c r="A165" i="5"/>
  <c r="B165" i="5"/>
  <c r="C165" i="5"/>
  <c r="A166" i="5"/>
  <c r="B166" i="5"/>
  <c r="C166" i="5"/>
  <c r="A167" i="5"/>
  <c r="B167" i="5"/>
  <c r="C167" i="5"/>
  <c r="A168" i="5"/>
  <c r="B168" i="5"/>
  <c r="C168" i="5"/>
  <c r="A169" i="5"/>
  <c r="B169" i="5"/>
  <c r="C169" i="5"/>
  <c r="A170" i="5"/>
  <c r="B170" i="5"/>
  <c r="C170" i="5"/>
  <c r="A171" i="5"/>
  <c r="B171" i="5"/>
  <c r="C171" i="5"/>
  <c r="A172" i="5"/>
  <c r="B172" i="5"/>
  <c r="C172" i="5"/>
  <c r="A173" i="5"/>
  <c r="B173" i="5"/>
  <c r="C173" i="5"/>
  <c r="A174" i="5"/>
  <c r="B174" i="5"/>
  <c r="C174" i="5"/>
  <c r="A175" i="5"/>
  <c r="B175" i="5"/>
  <c r="C175" i="5"/>
  <c r="A176" i="5"/>
  <c r="B176" i="5"/>
  <c r="C176" i="5"/>
  <c r="A177" i="5"/>
  <c r="B177" i="5"/>
  <c r="C177" i="5"/>
  <c r="A178" i="5"/>
  <c r="B178" i="5"/>
  <c r="C178" i="5"/>
  <c r="A179" i="5"/>
  <c r="B179" i="5"/>
  <c r="C179" i="5"/>
  <c r="A180" i="5"/>
  <c r="B180" i="5"/>
  <c r="C180" i="5"/>
  <c r="A181" i="5"/>
  <c r="B181" i="5"/>
  <c r="C181" i="5"/>
  <c r="A182" i="5"/>
  <c r="B182" i="5"/>
  <c r="C182" i="5"/>
  <c r="A183" i="5"/>
  <c r="B183" i="5"/>
  <c r="C183" i="5"/>
  <c r="A184" i="5"/>
  <c r="B184" i="5"/>
  <c r="C184" i="5"/>
  <c r="A185" i="5"/>
  <c r="B185" i="5"/>
  <c r="C185" i="5"/>
  <c r="A186" i="5"/>
  <c r="B186" i="5"/>
  <c r="C186" i="5"/>
  <c r="A187" i="5"/>
  <c r="B187" i="5"/>
  <c r="C187" i="5"/>
  <c r="A188" i="5"/>
  <c r="B188" i="5"/>
  <c r="C188" i="5"/>
  <c r="A189" i="5"/>
  <c r="B189" i="5"/>
  <c r="C189" i="5"/>
  <c r="A190" i="5"/>
  <c r="B190" i="5"/>
  <c r="C190" i="5"/>
  <c r="A191" i="5"/>
  <c r="B191" i="5"/>
  <c r="C191" i="5"/>
  <c r="A192" i="5"/>
  <c r="B192" i="5"/>
  <c r="C192" i="5"/>
  <c r="A193" i="5"/>
  <c r="B193" i="5"/>
  <c r="C193" i="5"/>
  <c r="A194" i="5"/>
  <c r="B194" i="5"/>
  <c r="C194" i="5"/>
  <c r="A195" i="5"/>
  <c r="B195" i="5"/>
  <c r="C195" i="5"/>
  <c r="A196" i="5"/>
  <c r="B196" i="5"/>
  <c r="C196" i="5"/>
  <c r="A197" i="5"/>
  <c r="B197" i="5"/>
  <c r="C197" i="5"/>
  <c r="A198" i="5"/>
  <c r="B198" i="5"/>
  <c r="C198" i="5"/>
  <c r="A199" i="5"/>
  <c r="B199" i="5"/>
  <c r="C199" i="5"/>
  <c r="A200" i="5"/>
  <c r="B200" i="5"/>
  <c r="C200" i="5"/>
  <c r="A201" i="5"/>
  <c r="B201" i="5"/>
  <c r="C201" i="5"/>
  <c r="A202" i="5"/>
  <c r="B202" i="5"/>
  <c r="C202" i="5"/>
  <c r="A203" i="5"/>
  <c r="B203" i="5"/>
  <c r="C203" i="5"/>
  <c r="A204" i="5"/>
  <c r="B204" i="5"/>
  <c r="C204" i="5"/>
  <c r="A205" i="5"/>
  <c r="B205" i="5"/>
  <c r="C205" i="5"/>
  <c r="A206" i="5"/>
  <c r="B206" i="5"/>
  <c r="C206" i="5"/>
  <c r="A207" i="5"/>
  <c r="B207" i="5"/>
  <c r="C207" i="5"/>
  <c r="A208" i="5"/>
  <c r="B208" i="5"/>
  <c r="C208" i="5"/>
  <c r="A209" i="5"/>
  <c r="B209" i="5"/>
  <c r="C209" i="5"/>
  <c r="A210" i="5"/>
  <c r="B210" i="5"/>
  <c r="C210" i="5"/>
  <c r="A211" i="5"/>
  <c r="B211" i="5"/>
  <c r="C211" i="5"/>
  <c r="A212" i="5"/>
  <c r="B212" i="5"/>
  <c r="C212" i="5"/>
  <c r="A213" i="5"/>
  <c r="B213" i="5"/>
  <c r="C213" i="5"/>
  <c r="A214" i="5"/>
  <c r="B214" i="5"/>
  <c r="C214" i="5"/>
  <c r="A215" i="5"/>
  <c r="B215" i="5"/>
  <c r="C215" i="5"/>
  <c r="A216" i="5"/>
  <c r="B216" i="5"/>
  <c r="C216" i="5"/>
  <c r="A217" i="5"/>
  <c r="B217" i="5"/>
  <c r="C217" i="5"/>
  <c r="A218" i="5"/>
  <c r="B218" i="5"/>
  <c r="C218" i="5"/>
  <c r="A219" i="5"/>
  <c r="B219" i="5"/>
  <c r="C219" i="5"/>
  <c r="A220" i="5"/>
  <c r="B220" i="5"/>
  <c r="C220" i="5"/>
  <c r="A221" i="5"/>
  <c r="B221" i="5"/>
  <c r="C221" i="5"/>
  <c r="A222" i="5"/>
  <c r="B222" i="5"/>
  <c r="C222" i="5"/>
  <c r="A223" i="5"/>
  <c r="B223" i="5"/>
  <c r="C223" i="5"/>
  <c r="A224" i="5"/>
  <c r="B224" i="5"/>
  <c r="C224" i="5"/>
  <c r="A225" i="5"/>
  <c r="B225" i="5"/>
  <c r="C225" i="5"/>
  <c r="A226" i="5"/>
  <c r="B226" i="5"/>
  <c r="C226" i="5"/>
  <c r="A227" i="5"/>
  <c r="B227" i="5"/>
  <c r="C227" i="5"/>
  <c r="A228" i="5"/>
  <c r="B228" i="5"/>
  <c r="C228" i="5"/>
  <c r="A229" i="5"/>
  <c r="B229" i="5"/>
  <c r="C229" i="5"/>
  <c r="A230" i="5"/>
  <c r="B230" i="5"/>
  <c r="C230" i="5"/>
  <c r="A231" i="5"/>
  <c r="B231" i="5"/>
  <c r="C231" i="5"/>
  <c r="A232" i="5"/>
  <c r="B232" i="5"/>
  <c r="C232" i="5"/>
  <c r="A233" i="5"/>
  <c r="B233" i="5"/>
  <c r="C233" i="5"/>
  <c r="A234" i="5"/>
  <c r="B234" i="5"/>
  <c r="C234" i="5"/>
  <c r="A235" i="5"/>
  <c r="B235" i="5"/>
  <c r="C235" i="5"/>
  <c r="A236" i="5"/>
  <c r="B236" i="5"/>
  <c r="C236" i="5"/>
  <c r="A237" i="5"/>
  <c r="B237" i="5"/>
  <c r="C237" i="5"/>
  <c r="A238" i="5"/>
  <c r="B238" i="5"/>
  <c r="C238" i="5"/>
  <c r="A239" i="5"/>
  <c r="B239" i="5"/>
  <c r="C239" i="5"/>
  <c r="A240" i="5"/>
  <c r="B240" i="5"/>
  <c r="C240" i="5"/>
  <c r="A241" i="5"/>
  <c r="B241" i="5"/>
  <c r="C241" i="5"/>
  <c r="A242" i="5"/>
  <c r="B242" i="5"/>
  <c r="C242" i="5"/>
  <c r="A243" i="5"/>
  <c r="B243" i="5"/>
  <c r="C243" i="5"/>
  <c r="A244" i="5"/>
  <c r="B244" i="5"/>
  <c r="C244" i="5"/>
  <c r="A245" i="5"/>
  <c r="B245" i="5"/>
  <c r="C245" i="5"/>
  <c r="A246" i="5"/>
  <c r="B246" i="5"/>
  <c r="C246" i="5"/>
  <c r="A247" i="5"/>
  <c r="B247" i="5"/>
  <c r="C247" i="5"/>
  <c r="A248" i="5"/>
  <c r="B248" i="5"/>
  <c r="C248" i="5"/>
  <c r="A249" i="5"/>
  <c r="B249" i="5"/>
  <c r="C249" i="5"/>
  <c r="A250" i="5"/>
  <c r="B250" i="5"/>
  <c r="C250" i="5"/>
  <c r="A251" i="5"/>
  <c r="B251" i="5"/>
  <c r="C251" i="5"/>
  <c r="A252" i="5"/>
  <c r="B252" i="5"/>
  <c r="C252" i="5"/>
  <c r="A253" i="5"/>
  <c r="B253" i="5"/>
  <c r="C253" i="5"/>
  <c r="A254" i="5"/>
  <c r="B254" i="5"/>
  <c r="C254" i="5"/>
  <c r="A255" i="5"/>
  <c r="B255" i="5"/>
  <c r="C255" i="5"/>
  <c r="A256" i="5"/>
  <c r="B256" i="5"/>
  <c r="C256" i="5"/>
  <c r="A257" i="5"/>
  <c r="B257" i="5"/>
  <c r="C257" i="5"/>
  <c r="A258" i="5"/>
  <c r="B258" i="5"/>
  <c r="C258" i="5"/>
  <c r="A259" i="5"/>
  <c r="B259" i="5"/>
  <c r="C259" i="5"/>
  <c r="A260" i="5"/>
  <c r="B260" i="5"/>
  <c r="C260" i="5"/>
  <c r="A261" i="5"/>
  <c r="B261" i="5"/>
  <c r="C261" i="5"/>
  <c r="A262" i="5"/>
  <c r="B262" i="5"/>
  <c r="C262" i="5"/>
  <c r="A263" i="5"/>
  <c r="B263" i="5"/>
  <c r="C263" i="5"/>
  <c r="A264" i="5"/>
  <c r="B264" i="5"/>
  <c r="C264" i="5"/>
  <c r="A265" i="5"/>
  <c r="B265" i="5"/>
  <c r="C265" i="5"/>
  <c r="A266" i="5"/>
  <c r="B266" i="5"/>
  <c r="C266" i="5"/>
  <c r="A267" i="5"/>
  <c r="B267" i="5"/>
  <c r="C267" i="5"/>
  <c r="A268" i="5"/>
  <c r="B268" i="5"/>
  <c r="C268" i="5"/>
  <c r="A269" i="5"/>
  <c r="B269" i="5"/>
  <c r="C269" i="5"/>
  <c r="A270" i="5"/>
  <c r="B270" i="5"/>
  <c r="C270" i="5"/>
  <c r="A271" i="5"/>
  <c r="B271" i="5"/>
  <c r="C271" i="5"/>
  <c r="A272" i="5"/>
  <c r="B272" i="5"/>
  <c r="C272" i="5"/>
  <c r="A273" i="5"/>
  <c r="B273" i="5"/>
  <c r="C273" i="5"/>
  <c r="A274" i="5"/>
  <c r="B274" i="5"/>
  <c r="C274" i="5"/>
  <c r="A275" i="5"/>
  <c r="B275" i="5"/>
  <c r="C275" i="5"/>
  <c r="A276" i="5"/>
  <c r="B276" i="5"/>
  <c r="C276" i="5"/>
  <c r="A277" i="5"/>
  <c r="B277" i="5"/>
  <c r="C277" i="5"/>
  <c r="A278" i="5"/>
  <c r="B278" i="5"/>
  <c r="C278" i="5"/>
  <c r="A279" i="5"/>
  <c r="B279" i="5"/>
  <c r="C279" i="5"/>
  <c r="A280" i="5"/>
  <c r="B280" i="5"/>
  <c r="C280" i="5"/>
  <c r="A281" i="5"/>
  <c r="B281" i="5"/>
  <c r="C281" i="5"/>
  <c r="A282" i="5"/>
  <c r="B282" i="5"/>
  <c r="C282" i="5"/>
  <c r="A283" i="5"/>
  <c r="B283" i="5"/>
  <c r="C283" i="5"/>
  <c r="A284" i="5"/>
  <c r="B284" i="5"/>
  <c r="C284" i="5"/>
  <c r="A285" i="5"/>
  <c r="B285" i="5"/>
  <c r="C285" i="5"/>
  <c r="A286" i="5"/>
  <c r="B286" i="5"/>
  <c r="C286" i="5"/>
  <c r="A287" i="5"/>
  <c r="B287" i="5"/>
  <c r="C287" i="5"/>
  <c r="A288" i="5"/>
  <c r="B288" i="5"/>
  <c r="C288" i="5"/>
  <c r="A289" i="5"/>
  <c r="B289" i="5"/>
  <c r="C289" i="5"/>
  <c r="A290" i="5"/>
  <c r="B290" i="5"/>
  <c r="C290" i="5"/>
  <c r="A291" i="5"/>
  <c r="B291" i="5"/>
  <c r="C291" i="5"/>
  <c r="A292" i="5"/>
  <c r="B292" i="5"/>
  <c r="C292" i="5"/>
  <c r="B166" i="11" l="1"/>
  <c r="C166" i="11"/>
  <c r="B167" i="11"/>
  <c r="C167" i="11"/>
  <c r="B168" i="11"/>
  <c r="C168" i="11"/>
  <c r="B169" i="11"/>
  <c r="C169" i="11"/>
  <c r="A169" i="11"/>
  <c r="A167" i="11"/>
  <c r="A168" i="11"/>
  <c r="A3" i="11"/>
  <c r="B3" i="11"/>
  <c r="C3" i="11"/>
  <c r="A4" i="11"/>
  <c r="B4" i="11"/>
  <c r="C4" i="11"/>
  <c r="A5" i="11"/>
  <c r="B5" i="11"/>
  <c r="C5" i="11"/>
  <c r="A6" i="11"/>
  <c r="B6" i="11"/>
  <c r="C6" i="11"/>
  <c r="A7" i="11"/>
  <c r="B7" i="11"/>
  <c r="C7" i="11"/>
  <c r="A8" i="11"/>
  <c r="B8" i="11"/>
  <c r="C8" i="11"/>
  <c r="A9" i="11"/>
  <c r="B9" i="11"/>
  <c r="C9" i="11"/>
  <c r="A10" i="11"/>
  <c r="B10" i="11"/>
  <c r="C10" i="11"/>
  <c r="A11" i="11"/>
  <c r="B11" i="11"/>
  <c r="C11" i="11"/>
  <c r="A12" i="11"/>
  <c r="B12" i="11"/>
  <c r="C12" i="11"/>
  <c r="A13" i="11"/>
  <c r="B13" i="11"/>
  <c r="C13" i="11"/>
  <c r="A14" i="11"/>
  <c r="B14" i="11"/>
  <c r="C14" i="11"/>
  <c r="A15" i="11"/>
  <c r="B15" i="11"/>
  <c r="C15" i="11"/>
  <c r="A16" i="11"/>
  <c r="B16" i="11"/>
  <c r="C16" i="11"/>
  <c r="A17" i="11"/>
  <c r="B17" i="11"/>
  <c r="C17" i="11"/>
  <c r="A18" i="11"/>
  <c r="B18" i="11"/>
  <c r="C18" i="11"/>
  <c r="A19" i="11"/>
  <c r="B19" i="11"/>
  <c r="C19" i="11"/>
  <c r="A20" i="11"/>
  <c r="B20" i="11"/>
  <c r="C20" i="11"/>
  <c r="A21" i="11"/>
  <c r="B21" i="11"/>
  <c r="C21" i="11"/>
  <c r="A22" i="11"/>
  <c r="B22" i="11"/>
  <c r="C22" i="11"/>
  <c r="A23" i="11"/>
  <c r="B23" i="11"/>
  <c r="C23" i="11"/>
  <c r="A24" i="11"/>
  <c r="B24" i="11"/>
  <c r="C24" i="11"/>
  <c r="A25" i="11"/>
  <c r="B25" i="11"/>
  <c r="C25" i="11"/>
  <c r="A26" i="11"/>
  <c r="B26" i="11"/>
  <c r="C26" i="11"/>
  <c r="A27" i="11"/>
  <c r="B27" i="11"/>
  <c r="C27" i="11"/>
  <c r="A28" i="11"/>
  <c r="B28" i="11"/>
  <c r="C28" i="11"/>
  <c r="A29" i="11"/>
  <c r="B29" i="11"/>
  <c r="C29" i="11"/>
  <c r="A30" i="11"/>
  <c r="B30" i="11"/>
  <c r="C30" i="11"/>
  <c r="A31" i="11"/>
  <c r="B31" i="11"/>
  <c r="C31" i="11"/>
  <c r="A32" i="11"/>
  <c r="B32" i="11"/>
  <c r="C32" i="11"/>
  <c r="A33" i="11"/>
  <c r="B33" i="11"/>
  <c r="C33" i="11"/>
  <c r="A34" i="11"/>
  <c r="B34" i="11"/>
  <c r="C34" i="11"/>
  <c r="A35" i="11"/>
  <c r="B35" i="11"/>
  <c r="C35" i="11"/>
  <c r="A36" i="11"/>
  <c r="B36" i="11"/>
  <c r="C36" i="11"/>
  <c r="A37" i="11"/>
  <c r="B37" i="11"/>
  <c r="C37" i="11"/>
  <c r="A38" i="11"/>
  <c r="B38" i="11"/>
  <c r="C38" i="11"/>
  <c r="A39" i="11"/>
  <c r="B39" i="11"/>
  <c r="C39" i="11"/>
  <c r="A40" i="11"/>
  <c r="B40" i="11"/>
  <c r="C40" i="11"/>
  <c r="A41" i="11"/>
  <c r="B41" i="11"/>
  <c r="C41" i="11"/>
  <c r="A42" i="11"/>
  <c r="B42" i="11"/>
  <c r="C42" i="11"/>
  <c r="A43" i="11"/>
  <c r="B43" i="11"/>
  <c r="C43" i="11"/>
  <c r="A44" i="11"/>
  <c r="B44" i="11"/>
  <c r="C44" i="11"/>
  <c r="A45" i="11"/>
  <c r="B45" i="11"/>
  <c r="C45" i="11"/>
  <c r="A46" i="11"/>
  <c r="B46" i="11"/>
  <c r="C46" i="11"/>
  <c r="A47" i="11"/>
  <c r="B47" i="11"/>
  <c r="C47" i="11"/>
  <c r="A48" i="11"/>
  <c r="B48" i="11"/>
  <c r="C48" i="11"/>
  <c r="A49" i="11"/>
  <c r="B49" i="11"/>
  <c r="C49" i="11"/>
  <c r="A50" i="11"/>
  <c r="B50" i="11"/>
  <c r="C50" i="11"/>
  <c r="A51" i="11"/>
  <c r="B51" i="11"/>
  <c r="C51" i="11"/>
  <c r="A52" i="11"/>
  <c r="B52" i="11"/>
  <c r="C52" i="11"/>
  <c r="A53" i="11"/>
  <c r="B53" i="11"/>
  <c r="C53" i="11"/>
  <c r="A54" i="11"/>
  <c r="B54" i="11"/>
  <c r="C54" i="11"/>
  <c r="A55" i="11"/>
  <c r="B55" i="11"/>
  <c r="C55" i="11"/>
  <c r="A56" i="11"/>
  <c r="B56" i="11"/>
  <c r="C56" i="11"/>
  <c r="A57" i="11"/>
  <c r="B57" i="11"/>
  <c r="C57" i="11"/>
  <c r="A58" i="11"/>
  <c r="B58" i="11"/>
  <c r="C58" i="11"/>
  <c r="A59" i="11"/>
  <c r="B59" i="11"/>
  <c r="C59" i="11"/>
  <c r="A60" i="11"/>
  <c r="B60" i="11"/>
  <c r="C60" i="11"/>
  <c r="A61" i="11"/>
  <c r="B61" i="11"/>
  <c r="C61" i="11"/>
  <c r="A62" i="11"/>
  <c r="B62" i="11"/>
  <c r="C62" i="11"/>
  <c r="A63" i="11"/>
  <c r="B63" i="11"/>
  <c r="C63" i="11"/>
  <c r="A64" i="11"/>
  <c r="B64" i="11"/>
  <c r="C64" i="11"/>
  <c r="A65" i="11"/>
  <c r="B65" i="11"/>
  <c r="C65" i="11"/>
  <c r="A66" i="11"/>
  <c r="B66" i="11"/>
  <c r="C66" i="11"/>
  <c r="A67" i="11"/>
  <c r="B67" i="11"/>
  <c r="C67" i="11"/>
  <c r="A68" i="11"/>
  <c r="B68" i="11"/>
  <c r="C68" i="11"/>
  <c r="A69" i="11"/>
  <c r="B69" i="11"/>
  <c r="C69" i="11"/>
  <c r="A70" i="11"/>
  <c r="B70" i="11"/>
  <c r="C70" i="11"/>
  <c r="A71" i="11"/>
  <c r="B71" i="11"/>
  <c r="C71" i="11"/>
  <c r="A72" i="11"/>
  <c r="B72" i="11"/>
  <c r="C72" i="11"/>
  <c r="A73" i="11"/>
  <c r="B73" i="11"/>
  <c r="C73" i="11"/>
  <c r="A74" i="11"/>
  <c r="B74" i="11"/>
  <c r="C74" i="11"/>
  <c r="A75" i="11"/>
  <c r="B75" i="11"/>
  <c r="C75" i="11"/>
  <c r="A76" i="11"/>
  <c r="B76" i="11"/>
  <c r="C76" i="11"/>
  <c r="A77" i="11"/>
  <c r="B77" i="11"/>
  <c r="C77" i="11"/>
  <c r="A78" i="11"/>
  <c r="B78" i="11"/>
  <c r="C78" i="11"/>
  <c r="A79" i="11"/>
  <c r="B79" i="11"/>
  <c r="C79" i="11"/>
  <c r="A80" i="11"/>
  <c r="B80" i="11"/>
  <c r="C80" i="11"/>
  <c r="A81" i="11"/>
  <c r="B81" i="11"/>
  <c r="C81" i="11"/>
  <c r="A82" i="11"/>
  <c r="B82" i="11"/>
  <c r="C82" i="11"/>
  <c r="A83" i="11"/>
  <c r="B83" i="11"/>
  <c r="C83" i="11"/>
  <c r="A84" i="11"/>
  <c r="B84" i="11"/>
  <c r="C84" i="11"/>
  <c r="A85" i="11"/>
  <c r="B85" i="11"/>
  <c r="C85" i="11"/>
  <c r="A86" i="11"/>
  <c r="B86" i="11"/>
  <c r="C86" i="11"/>
  <c r="A87" i="11"/>
  <c r="B87" i="11"/>
  <c r="C87" i="11"/>
  <c r="A88" i="11"/>
  <c r="B88" i="11"/>
  <c r="C88" i="11"/>
  <c r="A89" i="11"/>
  <c r="B89" i="11"/>
  <c r="C89" i="11"/>
  <c r="A90" i="11"/>
  <c r="B90" i="11"/>
  <c r="C90" i="11"/>
  <c r="A91" i="11"/>
  <c r="B91" i="11"/>
  <c r="C91" i="11"/>
  <c r="A92" i="11"/>
  <c r="B92" i="11"/>
  <c r="C92" i="11"/>
  <c r="A93" i="11"/>
  <c r="B93" i="11"/>
  <c r="C93" i="11"/>
  <c r="A94" i="11"/>
  <c r="B94" i="11"/>
  <c r="C94" i="11"/>
  <c r="A95" i="11"/>
  <c r="B95" i="11"/>
  <c r="C95" i="11"/>
  <c r="A96" i="11"/>
  <c r="B96" i="11"/>
  <c r="C96" i="11"/>
  <c r="A97" i="11"/>
  <c r="B97" i="11"/>
  <c r="C97" i="11"/>
  <c r="A98" i="11"/>
  <c r="B98" i="11"/>
  <c r="C98" i="11"/>
  <c r="A99" i="11"/>
  <c r="B99" i="11"/>
  <c r="C99" i="11"/>
  <c r="A100" i="11"/>
  <c r="B100" i="11"/>
  <c r="C100" i="11"/>
  <c r="A101" i="11"/>
  <c r="B101" i="11"/>
  <c r="C101" i="11"/>
  <c r="A102" i="11"/>
  <c r="B102" i="11"/>
  <c r="C102" i="11"/>
  <c r="A103" i="11"/>
  <c r="B103" i="11"/>
  <c r="C103" i="11"/>
  <c r="A104" i="11"/>
  <c r="B104" i="11"/>
  <c r="C104" i="11"/>
  <c r="A105" i="11"/>
  <c r="B105" i="11"/>
  <c r="C105" i="11"/>
  <c r="A106" i="11"/>
  <c r="B106" i="11"/>
  <c r="C106" i="11"/>
  <c r="A107" i="11"/>
  <c r="B107" i="11"/>
  <c r="C107" i="11"/>
  <c r="A108" i="11"/>
  <c r="B108" i="11"/>
  <c r="C108" i="11"/>
  <c r="A109" i="11"/>
  <c r="B109" i="11"/>
  <c r="C109" i="11"/>
  <c r="A110" i="11"/>
  <c r="B110" i="11"/>
  <c r="C110" i="11"/>
  <c r="A111" i="11"/>
  <c r="B111" i="11"/>
  <c r="C111" i="11"/>
  <c r="A112" i="11"/>
  <c r="B112" i="11"/>
  <c r="C112" i="11"/>
  <c r="A113" i="11"/>
  <c r="B113" i="11"/>
  <c r="C113" i="11"/>
  <c r="A114" i="11"/>
  <c r="B114" i="11"/>
  <c r="C114" i="11"/>
  <c r="A115" i="11"/>
  <c r="B115" i="11"/>
  <c r="C115" i="11"/>
  <c r="A116" i="11"/>
  <c r="B116" i="11"/>
  <c r="C116" i="11"/>
  <c r="A117" i="11"/>
  <c r="B117" i="11"/>
  <c r="C117" i="11"/>
  <c r="A118" i="11"/>
  <c r="B118" i="11"/>
  <c r="C118" i="11"/>
  <c r="A119" i="11"/>
  <c r="B119" i="11"/>
  <c r="C119" i="11"/>
  <c r="A120" i="11"/>
  <c r="B120" i="11"/>
  <c r="C120" i="11"/>
  <c r="A121" i="11"/>
  <c r="B121" i="11"/>
  <c r="C121" i="11"/>
  <c r="A122" i="11"/>
  <c r="B122" i="11"/>
  <c r="C122" i="11"/>
  <c r="A123" i="11"/>
  <c r="B123" i="11"/>
  <c r="C123" i="11"/>
  <c r="A124" i="11"/>
  <c r="B124" i="11"/>
  <c r="C124" i="11"/>
  <c r="A125" i="11"/>
  <c r="B125" i="11"/>
  <c r="C125" i="11"/>
  <c r="A126" i="11"/>
  <c r="B126" i="11"/>
  <c r="C126" i="11"/>
  <c r="A127" i="11"/>
  <c r="B127" i="11"/>
  <c r="C127" i="11"/>
  <c r="A128" i="11"/>
  <c r="B128" i="11"/>
  <c r="C128" i="11"/>
  <c r="A129" i="11"/>
  <c r="B129" i="11"/>
  <c r="C129" i="11"/>
  <c r="A130" i="11"/>
  <c r="B130" i="11"/>
  <c r="C130" i="11"/>
  <c r="A131" i="11"/>
  <c r="B131" i="11"/>
  <c r="C131" i="11"/>
  <c r="A132" i="11"/>
  <c r="B132" i="11"/>
  <c r="C132" i="11"/>
  <c r="A133" i="11"/>
  <c r="B133" i="11"/>
  <c r="C133" i="11"/>
  <c r="A134" i="11"/>
  <c r="B134" i="11"/>
  <c r="C134" i="11"/>
  <c r="A135" i="11"/>
  <c r="B135" i="11"/>
  <c r="C135" i="11"/>
  <c r="A136" i="11"/>
  <c r="B136" i="11"/>
  <c r="C136" i="11"/>
  <c r="A137" i="11"/>
  <c r="B137" i="11"/>
  <c r="C137" i="11"/>
  <c r="A138" i="11"/>
  <c r="B138" i="11"/>
  <c r="C138" i="11"/>
  <c r="A139" i="11"/>
  <c r="B139" i="11"/>
  <c r="C139" i="11"/>
  <c r="A140" i="11"/>
  <c r="B140" i="11"/>
  <c r="C140" i="11"/>
  <c r="A141" i="11"/>
  <c r="B141" i="11"/>
  <c r="C141" i="11"/>
  <c r="A142" i="11"/>
  <c r="B142" i="11"/>
  <c r="C142" i="11"/>
  <c r="A143" i="11"/>
  <c r="B143" i="11"/>
  <c r="C143" i="11"/>
  <c r="A144" i="11"/>
  <c r="B144" i="11"/>
  <c r="C144" i="11"/>
  <c r="A145" i="11"/>
  <c r="B145" i="11"/>
  <c r="C145" i="11"/>
  <c r="A146" i="11"/>
  <c r="B146" i="11"/>
  <c r="C146" i="11"/>
  <c r="A147" i="11"/>
  <c r="B147" i="11"/>
  <c r="C147" i="11"/>
  <c r="A148" i="11"/>
  <c r="B148" i="11"/>
  <c r="C148" i="11"/>
  <c r="A149" i="11"/>
  <c r="B149" i="11"/>
  <c r="C149" i="11"/>
  <c r="A150" i="11"/>
  <c r="B150" i="11"/>
  <c r="C150" i="11"/>
  <c r="A151" i="11"/>
  <c r="B151" i="11"/>
  <c r="C151" i="11"/>
  <c r="A152" i="11"/>
  <c r="B152" i="11"/>
  <c r="C152" i="11"/>
  <c r="A153" i="11"/>
  <c r="B153" i="11"/>
  <c r="C153" i="11"/>
  <c r="A154" i="11"/>
  <c r="B154" i="11"/>
  <c r="C154" i="11"/>
  <c r="A155" i="11"/>
  <c r="B155" i="11"/>
  <c r="C155" i="11"/>
  <c r="A156" i="11"/>
  <c r="B156" i="11"/>
  <c r="C156" i="11"/>
  <c r="A157" i="11"/>
  <c r="B157" i="11"/>
  <c r="C157" i="11"/>
  <c r="A158" i="11"/>
  <c r="B158" i="11"/>
  <c r="C158" i="11"/>
  <c r="A159" i="11"/>
  <c r="B159" i="11"/>
  <c r="C159" i="11"/>
  <c r="A160" i="11"/>
  <c r="B160" i="11"/>
  <c r="C160" i="11"/>
  <c r="A161" i="11"/>
  <c r="B161" i="11"/>
  <c r="C161" i="11"/>
  <c r="A162" i="11"/>
  <c r="B162" i="11"/>
  <c r="C162" i="11"/>
  <c r="A163" i="11"/>
  <c r="B163" i="11"/>
  <c r="C163" i="11"/>
  <c r="A164" i="11"/>
  <c r="B164" i="11"/>
  <c r="C164" i="11"/>
  <c r="A165" i="11"/>
  <c r="B165" i="11"/>
  <c r="C165" i="11"/>
  <c r="A166" i="11"/>
  <c r="B2" i="11"/>
  <c r="C2" i="11"/>
  <c r="A2" i="11"/>
  <c r="AQ1" i="11"/>
  <c r="AR1" i="11"/>
  <c r="AS1" i="11"/>
  <c r="AT1" i="11"/>
  <c r="AU1" i="11"/>
  <c r="AV1" i="11"/>
  <c r="AW1" i="11"/>
  <c r="AX1" i="11"/>
  <c r="AY1" i="11"/>
  <c r="AZ1" i="11"/>
  <c r="BA1" i="11"/>
  <c r="AB1" i="11"/>
  <c r="AC1" i="11"/>
  <c r="AD1" i="11"/>
  <c r="AE1" i="11"/>
  <c r="AF1" i="11"/>
  <c r="AG1" i="11"/>
  <c r="AH1" i="11"/>
  <c r="AI1" i="11"/>
  <c r="AJ1" i="11"/>
  <c r="AK1" i="11"/>
  <c r="AL1" i="11"/>
  <c r="AM1" i="11"/>
  <c r="AN1" i="11"/>
  <c r="AO1" i="11"/>
  <c r="AP1" i="11"/>
  <c r="Q1" i="11"/>
  <c r="R1" i="11"/>
  <c r="S1" i="11"/>
  <c r="T1" i="11"/>
  <c r="U1" i="11"/>
  <c r="V1" i="11"/>
  <c r="W1" i="11"/>
  <c r="X1" i="11"/>
  <c r="Y1" i="11"/>
  <c r="Z1" i="11"/>
  <c r="AA1" i="11"/>
  <c r="D1" i="11"/>
  <c r="E1" i="11"/>
  <c r="F1" i="11"/>
  <c r="G1" i="11"/>
  <c r="H1" i="11"/>
  <c r="I1" i="11"/>
  <c r="J1" i="11"/>
  <c r="K1" i="11"/>
  <c r="L1" i="11"/>
  <c r="M1" i="11"/>
  <c r="N1" i="11"/>
  <c r="O1" i="11"/>
  <c r="P1" i="11"/>
  <c r="CM33" i="4" l="1"/>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CM62" i="4"/>
  <c r="CM63" i="4"/>
  <c r="CM64" i="4"/>
  <c r="CM65" i="4"/>
  <c r="CM66" i="4"/>
  <c r="CM67" i="4"/>
  <c r="CM68" i="4"/>
  <c r="CM69" i="4"/>
  <c r="CM70" i="4"/>
  <c r="CM71" i="4"/>
  <c r="CM72" i="4"/>
  <c r="CM73" i="4"/>
  <c r="CM74" i="4"/>
  <c r="CM75" i="4"/>
  <c r="CM76" i="4"/>
  <c r="CM77" i="4"/>
  <c r="CM78" i="4"/>
  <c r="CM79" i="4"/>
  <c r="CM80" i="4"/>
  <c r="CM81" i="4"/>
  <c r="CM82" i="4"/>
  <c r="CM83" i="4"/>
  <c r="CM84" i="4"/>
  <c r="CM85" i="4"/>
  <c r="CM86" i="4"/>
  <c r="CM87" i="4"/>
  <c r="CM88" i="4"/>
  <c r="CM89" i="4"/>
  <c r="CM90" i="4"/>
  <c r="CM91" i="4"/>
  <c r="CM92" i="4"/>
  <c r="CM93" i="4"/>
  <c r="CM94" i="4"/>
  <c r="CM95" i="4"/>
  <c r="CM96" i="4"/>
  <c r="CM97" i="4"/>
  <c r="CM98" i="4"/>
  <c r="CM99" i="4"/>
  <c r="CM100" i="4"/>
  <c r="CM101" i="4"/>
  <c r="CM102" i="4"/>
  <c r="CM103" i="4"/>
  <c r="CM104" i="4"/>
  <c r="CM105" i="4"/>
  <c r="CM106" i="4"/>
  <c r="CM107" i="4"/>
  <c r="CM108" i="4"/>
  <c r="CM109" i="4"/>
  <c r="CM110" i="4"/>
  <c r="CM111" i="4"/>
  <c r="CM112" i="4"/>
  <c r="CM113" i="4"/>
  <c r="CM114" i="4"/>
  <c r="CM115" i="4"/>
  <c r="CM116" i="4"/>
  <c r="CM117" i="4"/>
  <c r="CM118" i="4"/>
  <c r="CM119" i="4"/>
  <c r="CM120" i="4"/>
  <c r="CM121" i="4"/>
  <c r="CM122" i="4"/>
  <c r="CM123" i="4"/>
  <c r="CM124" i="4"/>
  <c r="CM125" i="4"/>
  <c r="CM126" i="4"/>
  <c r="CM127" i="4"/>
  <c r="CM128" i="4"/>
  <c r="CM129" i="4"/>
  <c r="CM130" i="4"/>
  <c r="CM131" i="4"/>
  <c r="CM132" i="4"/>
  <c r="CM133" i="4"/>
  <c r="CM134" i="4"/>
  <c r="CM135" i="4"/>
  <c r="CM136" i="4"/>
  <c r="CM137" i="4"/>
  <c r="CM138" i="4"/>
  <c r="CM139" i="4"/>
  <c r="CM140" i="4"/>
  <c r="CM141" i="4"/>
  <c r="CM142" i="4"/>
  <c r="CM143" i="4"/>
  <c r="CM144" i="4"/>
  <c r="CM145" i="4"/>
  <c r="CM146" i="4"/>
  <c r="CM147" i="4"/>
  <c r="CM148" i="4"/>
  <c r="CM149" i="4"/>
  <c r="CM150" i="4"/>
  <c r="CM151" i="4"/>
  <c r="CM152" i="4"/>
  <c r="CM153" i="4"/>
  <c r="CM154" i="4"/>
  <c r="CM155" i="4"/>
  <c r="CM156" i="4"/>
  <c r="CM157" i="4"/>
  <c r="CM158" i="4"/>
  <c r="CM159" i="4"/>
  <c r="CM160" i="4"/>
  <c r="CM161" i="4"/>
  <c r="CM162" i="4"/>
  <c r="CM163" i="4"/>
  <c r="CM164" i="4"/>
  <c r="CM165" i="4"/>
  <c r="CM166" i="4"/>
  <c r="CM167" i="4"/>
  <c r="CM168" i="4"/>
  <c r="CM169" i="4"/>
  <c r="CM170" i="4"/>
  <c r="CM171" i="4"/>
  <c r="CM172" i="4"/>
  <c r="CM173" i="4"/>
  <c r="CM174" i="4"/>
  <c r="CM175" i="4"/>
  <c r="CM176" i="4"/>
  <c r="CM177" i="4"/>
  <c r="CM178" i="4"/>
  <c r="CM179" i="4"/>
  <c r="CM180" i="4"/>
  <c r="CM181" i="4"/>
  <c r="CM182" i="4"/>
  <c r="CM183" i="4"/>
  <c r="CM184" i="4"/>
  <c r="CM185" i="4"/>
  <c r="CM186" i="4"/>
  <c r="CM187" i="4"/>
  <c r="CM188" i="4"/>
  <c r="CM189" i="4"/>
  <c r="CM190" i="4"/>
  <c r="CM191" i="4"/>
  <c r="CM192" i="4"/>
  <c r="CM193" i="4"/>
  <c r="CM194" i="4"/>
  <c r="CM195" i="4"/>
  <c r="CM196" i="4"/>
  <c r="CM197" i="4"/>
  <c r="CM198" i="4"/>
  <c r="CM199" i="4"/>
  <c r="CM32" i="4"/>
  <c r="BB32" i="4" l="1"/>
  <c r="B7" i="4"/>
  <c r="G7" i="4" s="1"/>
  <c r="C7" i="4"/>
  <c r="H7" i="4"/>
  <c r="Q7" i="4"/>
  <c r="X7" i="4"/>
  <c r="AB7" i="4"/>
  <c r="AN7" i="4"/>
  <c r="AR7" i="4"/>
  <c r="AW7" i="4"/>
  <c r="B8" i="4"/>
  <c r="Z8" i="4" s="1"/>
  <c r="C8" i="4"/>
  <c r="B9" i="4"/>
  <c r="AG9" i="4" s="1"/>
  <c r="C9" i="4"/>
  <c r="L9" i="4"/>
  <c r="V9" i="4"/>
  <c r="X9" i="4"/>
  <c r="AH9" i="4"/>
  <c r="AR9" i="4"/>
  <c r="AS9" i="4"/>
  <c r="B10" i="4"/>
  <c r="C10" i="4"/>
  <c r="B11" i="4"/>
  <c r="V11" i="4" s="1"/>
  <c r="C11" i="4"/>
  <c r="U11" i="4"/>
  <c r="AL11" i="4"/>
  <c r="BA11" i="4"/>
  <c r="B12" i="4"/>
  <c r="C12" i="4"/>
  <c r="T12" i="4"/>
  <c r="AC12" i="4"/>
  <c r="B13" i="4"/>
  <c r="K13" i="4" s="1"/>
  <c r="C13" i="4"/>
  <c r="F13" i="4"/>
  <c r="G13" i="4"/>
  <c r="J13" i="4"/>
  <c r="N13" i="4"/>
  <c r="O13" i="4"/>
  <c r="R13" i="4"/>
  <c r="V13" i="4"/>
  <c r="W13" i="4"/>
  <c r="Y13" i="4"/>
  <c r="AA13" i="4"/>
  <c r="AC13" i="4"/>
  <c r="AD13" i="4"/>
  <c r="AG13" i="4"/>
  <c r="AH13" i="4"/>
  <c r="AI13" i="4"/>
  <c r="AL13" i="4"/>
  <c r="AM13" i="4"/>
  <c r="AO13" i="4"/>
  <c r="AQ13" i="4"/>
  <c r="AS13" i="4"/>
  <c r="AT13" i="4"/>
  <c r="AW13" i="4"/>
  <c r="AX13" i="4"/>
  <c r="AY13" i="4"/>
  <c r="B14" i="4"/>
  <c r="R14" i="4" s="1"/>
  <c r="C14" i="4"/>
  <c r="B15" i="4"/>
  <c r="C15" i="4"/>
  <c r="G15" i="4"/>
  <c r="B16" i="4"/>
  <c r="Z16" i="4" s="1"/>
  <c r="C16" i="4"/>
  <c r="B17" i="4"/>
  <c r="Z17" i="4" s="1"/>
  <c r="C17" i="4"/>
  <c r="B18" i="4"/>
  <c r="L18" i="4" s="1"/>
  <c r="C18" i="4"/>
  <c r="U18" i="4"/>
  <c r="AB18" i="4"/>
  <c r="AV18" i="4"/>
  <c r="AZ18" i="4"/>
  <c r="B19" i="4"/>
  <c r="J19" i="4" s="1"/>
  <c r="C19" i="4"/>
  <c r="I19" i="4"/>
  <c r="Q19" i="4"/>
  <c r="Y19" i="4"/>
  <c r="AG19" i="4"/>
  <c r="AO19" i="4"/>
  <c r="AW19" i="4"/>
  <c r="B20" i="4"/>
  <c r="C20" i="4"/>
  <c r="G20" i="4"/>
  <c r="J20" i="4"/>
  <c r="R20" i="4"/>
  <c r="T20" i="4"/>
  <c r="AB20" i="4"/>
  <c r="AE20" i="4"/>
  <c r="AM20" i="4"/>
  <c r="AP20" i="4"/>
  <c r="AX20" i="4"/>
  <c r="AZ20" i="4"/>
  <c r="B21" i="4"/>
  <c r="C21" i="4"/>
  <c r="I21" i="4"/>
  <c r="K21" i="4"/>
  <c r="Q21" i="4"/>
  <c r="R21" i="4"/>
  <c r="W21" i="4"/>
  <c r="Y21" i="4"/>
  <c r="AD21" i="4"/>
  <c r="AG21" i="4"/>
  <c r="AL21" i="4"/>
  <c r="AM21" i="4"/>
  <c r="AS21" i="4"/>
  <c r="AT21" i="4"/>
  <c r="AY21" i="4"/>
  <c r="B22" i="4"/>
  <c r="E22" i="4" s="1"/>
  <c r="C22" i="4"/>
  <c r="B23" i="4"/>
  <c r="J23" i="4" s="1"/>
  <c r="C23" i="4"/>
  <c r="AO23" i="4"/>
  <c r="BA23" i="4"/>
  <c r="B24" i="4"/>
  <c r="R24" i="4" s="1"/>
  <c r="C24" i="4"/>
  <c r="AX24" i="4"/>
  <c r="B25" i="4"/>
  <c r="N25" i="4" s="1"/>
  <c r="C25" i="4"/>
  <c r="B26" i="4"/>
  <c r="L26" i="4" s="1"/>
  <c r="C26" i="4"/>
  <c r="I26" i="4"/>
  <c r="T26" i="4"/>
  <c r="AB26" i="4"/>
  <c r="AK26" i="4"/>
  <c r="AV26" i="4"/>
  <c r="B27" i="4"/>
  <c r="S27" i="4" s="1"/>
  <c r="C27" i="4"/>
  <c r="B28" i="4"/>
  <c r="S28" i="4" s="1"/>
  <c r="C28" i="4"/>
  <c r="B29" i="4"/>
  <c r="I29" i="4" s="1"/>
  <c r="C29" i="4"/>
  <c r="AL29" i="4"/>
  <c r="AR29" i="4"/>
  <c r="B30" i="4"/>
  <c r="G30" i="4" s="1"/>
  <c r="C30" i="4"/>
  <c r="D30" i="4"/>
  <c r="F30" i="4"/>
  <c r="I30" i="4"/>
  <c r="L30" i="4"/>
  <c r="N30" i="4"/>
  <c r="Q30" i="4"/>
  <c r="T30" i="4"/>
  <c r="V30" i="4"/>
  <c r="Y30" i="4"/>
  <c r="AB30" i="4"/>
  <c r="AD30" i="4"/>
  <c r="AG30" i="4"/>
  <c r="AJ30" i="4"/>
  <c r="AL30" i="4"/>
  <c r="AO30" i="4"/>
  <c r="AR30" i="4"/>
  <c r="AT30" i="4"/>
  <c r="AW30" i="4"/>
  <c r="AZ30" i="4"/>
  <c r="BC35" i="4"/>
  <c r="BI1" i="4" a="1"/>
  <c r="BI1" i="4" s="1"/>
  <c r="BI129" i="4" s="1"/>
  <c r="W25" i="4" l="1"/>
  <c r="Z23" i="4"/>
  <c r="AO18" i="4"/>
  <c r="N18" i="4"/>
  <c r="AH17" i="4"/>
  <c r="BA13" i="4"/>
  <c r="AU13" i="4"/>
  <c r="AP13" i="4"/>
  <c r="AK13" i="4"/>
  <c r="AE13" i="4"/>
  <c r="Z13" i="4"/>
  <c r="S13" i="4"/>
  <c r="AS11" i="4"/>
  <c r="AC11" i="4"/>
  <c r="J11" i="4"/>
  <c r="AR26" i="4"/>
  <c r="AJ26" i="4"/>
  <c r="Z26" i="4"/>
  <c r="P26" i="4"/>
  <c r="F26" i="4"/>
  <c r="AX25" i="4"/>
  <c r="AU11" i="4"/>
  <c r="AE11" i="4"/>
  <c r="M11" i="4"/>
  <c r="W29" i="4"/>
  <c r="AZ26" i="4"/>
  <c r="AP26" i="4"/>
  <c r="AG26" i="4"/>
  <c r="V26" i="4"/>
  <c r="N26" i="4"/>
  <c r="E26" i="4"/>
  <c r="AW26" i="4"/>
  <c r="AO26" i="4"/>
  <c r="AD26" i="4"/>
  <c r="U26" i="4"/>
  <c r="BA18" i="4"/>
  <c r="AJ18" i="4"/>
  <c r="AM14" i="4"/>
  <c r="AM11" i="4"/>
  <c r="AH27" i="4"/>
  <c r="O27" i="4"/>
  <c r="M23" i="4"/>
  <c r="Y23" i="4"/>
  <c r="AH23" i="4"/>
  <c r="AS23" i="4"/>
  <c r="AD27" i="4"/>
  <c r="AS25" i="4"/>
  <c r="R25" i="4"/>
  <c r="J17" i="4"/>
  <c r="N17" i="4"/>
  <c r="AP17" i="4"/>
  <c r="AB14" i="4"/>
  <c r="L10" i="4"/>
  <c r="AJ10" i="4"/>
  <c r="G9" i="4"/>
  <c r="D9" i="4"/>
  <c r="I9" i="4"/>
  <c r="N9" i="4"/>
  <c r="T9" i="4"/>
  <c r="Y9" i="4"/>
  <c r="AD9" i="4"/>
  <c r="AJ9" i="4"/>
  <c r="AO9" i="4"/>
  <c r="AT9" i="4"/>
  <c r="AZ9" i="4"/>
  <c r="E9" i="4"/>
  <c r="J9" i="4"/>
  <c r="P9" i="4"/>
  <c r="U9" i="4"/>
  <c r="Z9" i="4"/>
  <c r="AF9" i="4"/>
  <c r="AK9" i="4"/>
  <c r="AP9" i="4"/>
  <c r="AV9" i="4"/>
  <c r="BA9" i="4"/>
  <c r="K29" i="4"/>
  <c r="AD29" i="4"/>
  <c r="AS27" i="4"/>
  <c r="Z27" i="4"/>
  <c r="E27" i="4"/>
  <c r="AI25" i="4"/>
  <c r="AW23" i="4"/>
  <c r="AG23" i="4"/>
  <c r="R23" i="4"/>
  <c r="E23" i="4"/>
  <c r="AG22" i="4"/>
  <c r="E18" i="4"/>
  <c r="F18" i="4"/>
  <c r="Z18" i="4"/>
  <c r="AP18" i="4"/>
  <c r="V17" i="4"/>
  <c r="D13" i="4"/>
  <c r="H13" i="4"/>
  <c r="L13" i="4"/>
  <c r="P13" i="4"/>
  <c r="T13" i="4"/>
  <c r="X13" i="4"/>
  <c r="AB13" i="4"/>
  <c r="AF13" i="4"/>
  <c r="AJ13" i="4"/>
  <c r="AN13" i="4"/>
  <c r="AR13" i="4"/>
  <c r="AV13" i="4"/>
  <c r="AZ13" i="4"/>
  <c r="E13" i="4"/>
  <c r="I13" i="4"/>
  <c r="M13" i="4"/>
  <c r="Q13" i="4"/>
  <c r="U13" i="4"/>
  <c r="D12" i="4"/>
  <c r="AL12" i="4"/>
  <c r="I12" i="4"/>
  <c r="AW12" i="4"/>
  <c r="AX9" i="4"/>
  <c r="AN9" i="4"/>
  <c r="AC9" i="4"/>
  <c r="R9" i="4"/>
  <c r="H9" i="4"/>
  <c r="I25" i="4"/>
  <c r="AC25" i="4"/>
  <c r="AT25" i="4"/>
  <c r="AU27" i="4"/>
  <c r="M27" i="4"/>
  <c r="AX23" i="4"/>
  <c r="AK23" i="4"/>
  <c r="U23" i="4"/>
  <c r="I23" i="4"/>
  <c r="AW22" i="4"/>
  <c r="AW29" i="4"/>
  <c r="Q29" i="4"/>
  <c r="AO27" i="4"/>
  <c r="D26" i="4"/>
  <c r="J26" i="4"/>
  <c r="Q26" i="4"/>
  <c r="Y26" i="4"/>
  <c r="AF26" i="4"/>
  <c r="AL26" i="4"/>
  <c r="AT26" i="4"/>
  <c r="BA26" i="4"/>
  <c r="AH25" i="4"/>
  <c r="AP23" i="4"/>
  <c r="AC23" i="4"/>
  <c r="Q23" i="4"/>
  <c r="AW17" i="4"/>
  <c r="F17" i="4"/>
  <c r="AC15" i="4"/>
  <c r="AK15" i="4"/>
  <c r="E11" i="4"/>
  <c r="F11" i="4"/>
  <c r="O11" i="4"/>
  <c r="W11" i="4"/>
  <c r="AH11" i="4"/>
  <c r="AP11" i="4"/>
  <c r="AW11" i="4"/>
  <c r="G11" i="4"/>
  <c r="Q11" i="4"/>
  <c r="AA11" i="4"/>
  <c r="AK11" i="4"/>
  <c r="AQ11" i="4"/>
  <c r="AX11" i="4"/>
  <c r="AW9" i="4"/>
  <c r="AL9" i="4"/>
  <c r="AB9" i="4"/>
  <c r="Q9" i="4"/>
  <c r="F9" i="4"/>
  <c r="G27" i="4"/>
  <c r="I27" i="4"/>
  <c r="W27" i="4"/>
  <c r="AK27" i="4"/>
  <c r="AY27" i="4"/>
  <c r="AF16" i="4"/>
  <c r="AU16" i="4"/>
  <c r="W14" i="4"/>
  <c r="G14" i="4"/>
  <c r="AX14" i="4"/>
  <c r="M9" i="4"/>
  <c r="AG7" i="4"/>
  <c r="L7" i="4"/>
  <c r="AV7" i="4"/>
  <c r="AJ7" i="4"/>
  <c r="Y7" i="4"/>
  <c r="P7" i="4"/>
  <c r="AZ7" i="4"/>
  <c r="AO7" i="4"/>
  <c r="AF7" i="4"/>
  <c r="T7" i="4"/>
  <c r="I7" i="4"/>
  <c r="AX30" i="4"/>
  <c r="AS30" i="4"/>
  <c r="AN30" i="4"/>
  <c r="AH30" i="4"/>
  <c r="AC30" i="4"/>
  <c r="X30" i="4"/>
  <c r="R30" i="4"/>
  <c r="M30" i="4"/>
  <c r="H30" i="4"/>
  <c r="AS29" i="4"/>
  <c r="AG29" i="4"/>
  <c r="R29" i="4"/>
  <c r="BA27" i="4"/>
  <c r="AT27" i="4"/>
  <c r="AM27" i="4"/>
  <c r="AE27" i="4"/>
  <c r="Y27" i="4"/>
  <c r="R27" i="4"/>
  <c r="J27" i="4"/>
  <c r="AM25" i="4"/>
  <c r="Y25" i="4"/>
  <c r="AB24" i="4"/>
  <c r="AT18" i="4"/>
  <c r="AG18" i="4"/>
  <c r="T18" i="4"/>
  <c r="AT17" i="4"/>
  <c r="AG17" i="4"/>
  <c r="Q17" i="4"/>
  <c r="AN16" i="4"/>
  <c r="X16" i="4"/>
  <c r="AX15" i="4"/>
  <c r="AS12" i="4"/>
  <c r="AJ12" i="4"/>
  <c r="AB12" i="4"/>
  <c r="Q12" i="4"/>
  <c r="H12" i="4"/>
  <c r="BA7" i="4"/>
  <c r="AS7" i="4"/>
  <c r="AK7" i="4"/>
  <c r="AC7" i="4"/>
  <c r="U7" i="4"/>
  <c r="M7" i="4"/>
  <c r="AL16" i="4"/>
  <c r="P16" i="4"/>
  <c r="AZ12" i="4"/>
  <c r="AR12" i="4"/>
  <c r="AH12" i="4"/>
  <c r="X12" i="4"/>
  <c r="N12" i="4"/>
  <c r="F12" i="4"/>
  <c r="BA30" i="4"/>
  <c r="AV30" i="4"/>
  <c r="AP30" i="4"/>
  <c r="AK30" i="4"/>
  <c r="AF30" i="4"/>
  <c r="Z30" i="4"/>
  <c r="U30" i="4"/>
  <c r="P30" i="4"/>
  <c r="J30" i="4"/>
  <c r="E30" i="4"/>
  <c r="AY29" i="4"/>
  <c r="AM29" i="4"/>
  <c r="Y29" i="4"/>
  <c r="AX27" i="4"/>
  <c r="AP27" i="4"/>
  <c r="AI27" i="4"/>
  <c r="AC27" i="4"/>
  <c r="U27" i="4"/>
  <c r="N27" i="4"/>
  <c r="AR22" i="4"/>
  <c r="AL17" i="4"/>
  <c r="Y17" i="4"/>
  <c r="AZ16" i="4"/>
  <c r="V15" i="4"/>
  <c r="AX12" i="4"/>
  <c r="AO12" i="4"/>
  <c r="AD12" i="4"/>
  <c r="V12" i="4"/>
  <c r="M12" i="4"/>
  <c r="AX28" i="4"/>
  <c r="AI28" i="4"/>
  <c r="H28" i="4"/>
  <c r="W28" i="4"/>
  <c r="AH28" i="4"/>
  <c r="AR28" i="4"/>
  <c r="X28" i="4"/>
  <c r="AM28" i="4"/>
  <c r="AY28" i="4"/>
  <c r="N28" i="4"/>
  <c r="AB28" i="4"/>
  <c r="AN28" i="4"/>
  <c r="R28" i="4"/>
  <c r="AD28" i="4"/>
  <c r="AT28" i="4"/>
  <c r="W24" i="4"/>
  <c r="AR24" i="4"/>
  <c r="AT19" i="4"/>
  <c r="AL19" i="4"/>
  <c r="AD19" i="4"/>
  <c r="V19" i="4"/>
  <c r="N19" i="4"/>
  <c r="F19" i="4"/>
  <c r="H16" i="4"/>
  <c r="E16" i="4"/>
  <c r="L16" i="4"/>
  <c r="R16" i="4"/>
  <c r="W16" i="4"/>
  <c r="AB16" i="4"/>
  <c r="AH16" i="4"/>
  <c r="AM16" i="4"/>
  <c r="AR16" i="4"/>
  <c r="AX16" i="4"/>
  <c r="J16" i="4"/>
  <c r="S16" i="4"/>
  <c r="D16" i="4"/>
  <c r="N16" i="4"/>
  <c r="T16" i="4"/>
  <c r="AA16" i="4"/>
  <c r="AI16" i="4"/>
  <c r="AP16" i="4"/>
  <c r="AV16" i="4"/>
  <c r="F16" i="4"/>
  <c r="O16" i="4"/>
  <c r="V16" i="4"/>
  <c r="AD16" i="4"/>
  <c r="AJ16" i="4"/>
  <c r="AQ16" i="4"/>
  <c r="AY16" i="4"/>
  <c r="E29" i="4"/>
  <c r="J29" i="4"/>
  <c r="O29" i="4"/>
  <c r="U29" i="4"/>
  <c r="Z29" i="4"/>
  <c r="AE29" i="4"/>
  <c r="AK29" i="4"/>
  <c r="AP29" i="4"/>
  <c r="AT29" i="4"/>
  <c r="AX29" i="4"/>
  <c r="AV29" i="4"/>
  <c r="D27" i="4"/>
  <c r="H27" i="4"/>
  <c r="L27" i="4"/>
  <c r="P27" i="4"/>
  <c r="T27" i="4"/>
  <c r="X27" i="4"/>
  <c r="AB27" i="4"/>
  <c r="AF27" i="4"/>
  <c r="AJ27" i="4"/>
  <c r="AN27" i="4"/>
  <c r="AR27" i="4"/>
  <c r="AV27" i="4"/>
  <c r="AZ27" i="4"/>
  <c r="AM24" i="4"/>
  <c r="L24" i="4"/>
  <c r="G23" i="4"/>
  <c r="K23" i="4"/>
  <c r="O23" i="4"/>
  <c r="S23" i="4"/>
  <c r="W23" i="4"/>
  <c r="AA23" i="4"/>
  <c r="AE23" i="4"/>
  <c r="AI23" i="4"/>
  <c r="AM23" i="4"/>
  <c r="AQ23" i="4"/>
  <c r="AU23" i="4"/>
  <c r="AY23" i="4"/>
  <c r="D23" i="4"/>
  <c r="H23" i="4"/>
  <c r="L23" i="4"/>
  <c r="P23" i="4"/>
  <c r="T23" i="4"/>
  <c r="X23" i="4"/>
  <c r="AB23" i="4"/>
  <c r="AF23" i="4"/>
  <c r="AJ23" i="4"/>
  <c r="AN23" i="4"/>
  <c r="AR23" i="4"/>
  <c r="AV23" i="4"/>
  <c r="AZ23" i="4"/>
  <c r="BA19" i="4"/>
  <c r="AS19" i="4"/>
  <c r="AK19" i="4"/>
  <c r="AC19" i="4"/>
  <c r="U19" i="4"/>
  <c r="M19" i="4"/>
  <c r="E19" i="4"/>
  <c r="I15" i="4"/>
  <c r="N15" i="4"/>
  <c r="S15" i="4"/>
  <c r="Y15" i="4"/>
  <c r="AD15" i="4"/>
  <c r="AI15" i="4"/>
  <c r="AO15" i="4"/>
  <c r="AT15" i="4"/>
  <c r="AY15" i="4"/>
  <c r="J15" i="4"/>
  <c r="Q15" i="4"/>
  <c r="W15" i="4"/>
  <c r="AE15" i="4"/>
  <c r="AL15" i="4"/>
  <c r="AS15" i="4"/>
  <c r="BA15" i="4"/>
  <c r="E15" i="4"/>
  <c r="K15" i="4"/>
  <c r="R15" i="4"/>
  <c r="Z15" i="4"/>
  <c r="AG15" i="4"/>
  <c r="AM15" i="4"/>
  <c r="AU15" i="4"/>
  <c r="F15" i="4"/>
  <c r="M15" i="4"/>
  <c r="U15" i="4"/>
  <c r="AA15" i="4"/>
  <c r="AH15" i="4"/>
  <c r="AP15" i="4"/>
  <c r="AW15" i="4"/>
  <c r="BA29" i="4"/>
  <c r="AQ29" i="4"/>
  <c r="AI29" i="4"/>
  <c r="AC29" i="4"/>
  <c r="V29" i="4"/>
  <c r="N29" i="4"/>
  <c r="G29" i="4"/>
  <c r="AZ29" i="4"/>
  <c r="AU29" i="4"/>
  <c r="AO29" i="4"/>
  <c r="AH29" i="4"/>
  <c r="AA29" i="4"/>
  <c r="S29" i="4"/>
  <c r="M29" i="4"/>
  <c r="F29" i="4"/>
  <c r="AW27" i="4"/>
  <c r="AQ27" i="4"/>
  <c r="AL27" i="4"/>
  <c r="AG27" i="4"/>
  <c r="AA27" i="4"/>
  <c r="V27" i="4"/>
  <c r="Q27" i="4"/>
  <c r="K27" i="4"/>
  <c r="F27" i="4"/>
  <c r="H26" i="4"/>
  <c r="M26" i="4"/>
  <c r="R26" i="4"/>
  <c r="X26" i="4"/>
  <c r="AC26" i="4"/>
  <c r="AH26" i="4"/>
  <c r="AN26" i="4"/>
  <c r="AS26" i="4"/>
  <c r="AX26" i="4"/>
  <c r="S25" i="4"/>
  <c r="AD25" i="4"/>
  <c r="AO25" i="4"/>
  <c r="AY25" i="4"/>
  <c r="AH24" i="4"/>
  <c r="G24" i="4"/>
  <c r="AT23" i="4"/>
  <c r="AL23" i="4"/>
  <c r="AD23" i="4"/>
  <c r="V23" i="4"/>
  <c r="N23" i="4"/>
  <c r="F23" i="4"/>
  <c r="E21" i="4"/>
  <c r="F21" i="4"/>
  <c r="M21" i="4"/>
  <c r="S21" i="4"/>
  <c r="AA21" i="4"/>
  <c r="AH21" i="4"/>
  <c r="AO21" i="4"/>
  <c r="AW21" i="4"/>
  <c r="G21" i="4"/>
  <c r="N21" i="4"/>
  <c r="V21" i="4"/>
  <c r="AC21" i="4"/>
  <c r="AI21" i="4"/>
  <c r="AQ21" i="4"/>
  <c r="AX21" i="4"/>
  <c r="H20" i="4"/>
  <c r="L20" i="4"/>
  <c r="W20" i="4"/>
  <c r="AH20" i="4"/>
  <c r="AR20" i="4"/>
  <c r="D20" i="4"/>
  <c r="O20" i="4"/>
  <c r="Z20" i="4"/>
  <c r="AJ20" i="4"/>
  <c r="AU20" i="4"/>
  <c r="AX19" i="4"/>
  <c r="AP19" i="4"/>
  <c r="AH19" i="4"/>
  <c r="Z19" i="4"/>
  <c r="R19" i="4"/>
  <c r="G18" i="4"/>
  <c r="H18" i="4"/>
  <c r="M18" i="4"/>
  <c r="R18" i="4"/>
  <c r="X18" i="4"/>
  <c r="AC18" i="4"/>
  <c r="AH18" i="4"/>
  <c r="AN18" i="4"/>
  <c r="I18" i="4"/>
  <c r="P18" i="4"/>
  <c r="V18" i="4"/>
  <c r="AD18" i="4"/>
  <c r="AK18" i="4"/>
  <c r="AR18" i="4"/>
  <c r="AW18" i="4"/>
  <c r="D18" i="4"/>
  <c r="J18" i="4"/>
  <c r="Q18" i="4"/>
  <c r="Y18" i="4"/>
  <c r="AF18" i="4"/>
  <c r="AL18" i="4"/>
  <c r="AS18" i="4"/>
  <c r="AX18" i="4"/>
  <c r="AT16" i="4"/>
  <c r="AE16" i="4"/>
  <c r="I16" i="4"/>
  <c r="AQ15" i="4"/>
  <c r="O15" i="4"/>
  <c r="G19" i="4"/>
  <c r="K19" i="4"/>
  <c r="O19" i="4"/>
  <c r="S19" i="4"/>
  <c r="W19" i="4"/>
  <c r="AA19" i="4"/>
  <c r="AE19" i="4"/>
  <c r="AI19" i="4"/>
  <c r="AM19" i="4"/>
  <c r="AQ19" i="4"/>
  <c r="AU19" i="4"/>
  <c r="AY19" i="4"/>
  <c r="D19" i="4"/>
  <c r="H19" i="4"/>
  <c r="L19" i="4"/>
  <c r="P19" i="4"/>
  <c r="T19" i="4"/>
  <c r="X19" i="4"/>
  <c r="AB19" i="4"/>
  <c r="AF19" i="4"/>
  <c r="AJ19" i="4"/>
  <c r="AN19" i="4"/>
  <c r="AR19" i="4"/>
  <c r="AV19" i="4"/>
  <c r="AZ19" i="4"/>
  <c r="J10" i="4"/>
  <c r="P10" i="4"/>
  <c r="AF10" i="4"/>
  <c r="AV10" i="4"/>
  <c r="E17" i="4"/>
  <c r="M17" i="4"/>
  <c r="U17" i="4"/>
  <c r="AC17" i="4"/>
  <c r="AK17" i="4"/>
  <c r="AS17" i="4"/>
  <c r="BA17" i="4"/>
  <c r="AT12" i="4"/>
  <c r="AN12" i="4"/>
  <c r="AG12" i="4"/>
  <c r="Y12" i="4"/>
  <c r="R12" i="4"/>
  <c r="L12" i="4"/>
  <c r="AG11" i="4"/>
  <c r="Z11" i="4"/>
  <c r="R11" i="4"/>
  <c r="K11" i="4"/>
  <c r="AZ10" i="4"/>
  <c r="AB10" i="4"/>
  <c r="H10" i="4"/>
  <c r="AL22" i="4"/>
  <c r="AX17" i="4"/>
  <c r="AO17" i="4"/>
  <c r="AD17" i="4"/>
  <c r="R17" i="4"/>
  <c r="I17" i="4"/>
  <c r="AR10" i="4"/>
  <c r="X10" i="4"/>
  <c r="D10" i="4"/>
  <c r="E12" i="4"/>
  <c r="J12" i="4"/>
  <c r="P12" i="4"/>
  <c r="U12" i="4"/>
  <c r="Z12" i="4"/>
  <c r="AF12" i="4"/>
  <c r="AK12" i="4"/>
  <c r="AP12" i="4"/>
  <c r="AV12" i="4"/>
  <c r="BA12" i="4"/>
  <c r="D11" i="4"/>
  <c r="I11" i="4"/>
  <c r="N11" i="4"/>
  <c r="S11" i="4"/>
  <c r="Y11" i="4"/>
  <c r="AD11" i="4"/>
  <c r="AI11" i="4"/>
  <c r="AO11" i="4"/>
  <c r="AT11" i="4"/>
  <c r="AY11" i="4"/>
  <c r="AN10" i="4"/>
  <c r="T10" i="4"/>
  <c r="AY9" i="4"/>
  <c r="AU9" i="4"/>
  <c r="AQ9" i="4"/>
  <c r="AM9" i="4"/>
  <c r="AI9" i="4"/>
  <c r="AE9" i="4"/>
  <c r="AA9" i="4"/>
  <c r="W9" i="4"/>
  <c r="S9" i="4"/>
  <c r="O9" i="4"/>
  <c r="K9" i="4"/>
  <c r="AY7" i="4"/>
  <c r="AU7" i="4"/>
  <c r="AQ7" i="4"/>
  <c r="AM7" i="4"/>
  <c r="AI7" i="4"/>
  <c r="AE7" i="4"/>
  <c r="AA7" i="4"/>
  <c r="W7" i="4"/>
  <c r="S7" i="4"/>
  <c r="O7" i="4"/>
  <c r="K7" i="4"/>
  <c r="F7" i="4"/>
  <c r="AX7" i="4"/>
  <c r="AT7" i="4"/>
  <c r="AP7" i="4"/>
  <c r="AL7" i="4"/>
  <c r="AH7" i="4"/>
  <c r="AD7" i="4"/>
  <c r="Z7" i="4"/>
  <c r="V7" i="4"/>
  <c r="R7" i="4"/>
  <c r="N7" i="4"/>
  <c r="J7" i="4"/>
  <c r="E7" i="4"/>
  <c r="BI170" i="4"/>
  <c r="BI153" i="4"/>
  <c r="BI142" i="4"/>
  <c r="BI133" i="4"/>
  <c r="BI36" i="4"/>
  <c r="BI45" i="4"/>
  <c r="BI46" i="4"/>
  <c r="BI47" i="4"/>
  <c r="BI48" i="4"/>
  <c r="BI50" i="4"/>
  <c r="BI57" i="4"/>
  <c r="BI58" i="4"/>
  <c r="BI63" i="4"/>
  <c r="BI33" i="4"/>
  <c r="BI37" i="4"/>
  <c r="BI39" i="4"/>
  <c r="BI41" i="4"/>
  <c r="BI43" i="4"/>
  <c r="BI44" i="4"/>
  <c r="BI49" i="4"/>
  <c r="BI53" i="4"/>
  <c r="BI55" i="4"/>
  <c r="BI56" i="4"/>
  <c r="BI60" i="4"/>
  <c r="BI51" i="4"/>
  <c r="BI64" i="4"/>
  <c r="BI67" i="4"/>
  <c r="BI68" i="4"/>
  <c r="BI69" i="4"/>
  <c r="BI72" i="4"/>
  <c r="BI73" i="4"/>
  <c r="BI34" i="4"/>
  <c r="BI52" i="4"/>
  <c r="BI54" i="4"/>
  <c r="BI40" i="4"/>
  <c r="BI65" i="4"/>
  <c r="BI70" i="4"/>
  <c r="BI75" i="4"/>
  <c r="BI80" i="4"/>
  <c r="BI35" i="4"/>
  <c r="BI66" i="4"/>
  <c r="BI71" i="4"/>
  <c r="BI76" i="4"/>
  <c r="BI85" i="4"/>
  <c r="BI86" i="4"/>
  <c r="BI99" i="4"/>
  <c r="BI103" i="4"/>
  <c r="BI108" i="4"/>
  <c r="BI112" i="4"/>
  <c r="BI114" i="4"/>
  <c r="BI116" i="4"/>
  <c r="BI118" i="4"/>
  <c r="BI62" i="4"/>
  <c r="BI78" i="4"/>
  <c r="BI79" i="4"/>
  <c r="BI82" i="4"/>
  <c r="BI88" i="4"/>
  <c r="BI90" i="4"/>
  <c r="BI92" i="4"/>
  <c r="BI94" i="4"/>
  <c r="BI98" i="4"/>
  <c r="BI100" i="4"/>
  <c r="BI101" i="4"/>
  <c r="BI102" i="4"/>
  <c r="BI38" i="4"/>
  <c r="BI59" i="4"/>
  <c r="BI61" i="4"/>
  <c r="BI83" i="4"/>
  <c r="BI74" i="4"/>
  <c r="BI81" i="4"/>
  <c r="BI87" i="4"/>
  <c r="BI89" i="4"/>
  <c r="BI91" i="4"/>
  <c r="BI93" i="4"/>
  <c r="BI96" i="4"/>
  <c r="BI105" i="4"/>
  <c r="BI106" i="4"/>
  <c r="BI107" i="4"/>
  <c r="BI95" i="4"/>
  <c r="BI113" i="4"/>
  <c r="BI135" i="4"/>
  <c r="BI138" i="4"/>
  <c r="BI139" i="4"/>
  <c r="BI146" i="4"/>
  <c r="BI147" i="4"/>
  <c r="BI164" i="4"/>
  <c r="BI165" i="4"/>
  <c r="BI166" i="4"/>
  <c r="BI77" i="4"/>
  <c r="BI97" i="4"/>
  <c r="BI119" i="4"/>
  <c r="BI120" i="4"/>
  <c r="BI123" i="4"/>
  <c r="BI124" i="4"/>
  <c r="BI127" i="4"/>
  <c r="BI128" i="4"/>
  <c r="BI130" i="4"/>
  <c r="BI131" i="4"/>
  <c r="BI132" i="4"/>
  <c r="BI136" i="4"/>
  <c r="BI137" i="4"/>
  <c r="BI144" i="4"/>
  <c r="BI145" i="4"/>
  <c r="BI161" i="4"/>
  <c r="BI162" i="4"/>
  <c r="BI163" i="4"/>
  <c r="BI183" i="4"/>
  <c r="BI184" i="4"/>
  <c r="BI187" i="4"/>
  <c r="BI188" i="4"/>
  <c r="BI191" i="4"/>
  <c r="BI192" i="4"/>
  <c r="BI195" i="4"/>
  <c r="BI196" i="4"/>
  <c r="BI198" i="4"/>
  <c r="BI109" i="4"/>
  <c r="BI111" i="4"/>
  <c r="BI117" i="4"/>
  <c r="BI121" i="4"/>
  <c r="BI122" i="4"/>
  <c r="BI134" i="4"/>
  <c r="BI140" i="4"/>
  <c r="BI149" i="4"/>
  <c r="BI171" i="4"/>
  <c r="BI175" i="4"/>
  <c r="BI179" i="4"/>
  <c r="BI189" i="4"/>
  <c r="BI194" i="4"/>
  <c r="BI197" i="4"/>
  <c r="BI32" i="4"/>
  <c r="BI42" i="4"/>
  <c r="BI84" i="4"/>
  <c r="BI104" i="4"/>
  <c r="BI115" i="4"/>
  <c r="BI143" i="4"/>
  <c r="BI150" i="4"/>
  <c r="BI152" i="4"/>
  <c r="BI154" i="4"/>
  <c r="BI156" i="4"/>
  <c r="BI158" i="4"/>
  <c r="BI167" i="4"/>
  <c r="BI168" i="4"/>
  <c r="BI172" i="4"/>
  <c r="BI176" i="4"/>
  <c r="BI180" i="4"/>
  <c r="BI185" i="4"/>
  <c r="BI190" i="4"/>
  <c r="BI110" i="4"/>
  <c r="BI125" i="4"/>
  <c r="BI126" i="4"/>
  <c r="BI141" i="4"/>
  <c r="BI148" i="4"/>
  <c r="BI160" i="4"/>
  <c r="BI169" i="4"/>
  <c r="BI173" i="4"/>
  <c r="BI177" i="4"/>
  <c r="BI181" i="4"/>
  <c r="BI186" i="4"/>
  <c r="BI174" i="4"/>
  <c r="BI151" i="4"/>
  <c r="BI199" i="4"/>
  <c r="BI182" i="4"/>
  <c r="BI155" i="4"/>
  <c r="BI159" i="4"/>
  <c r="BI193" i="4"/>
  <c r="BI178" i="4"/>
  <c r="BI157" i="4"/>
  <c r="E24" i="4"/>
  <c r="I24" i="4"/>
  <c r="M24" i="4"/>
  <c r="Q24" i="4"/>
  <c r="U24" i="4"/>
  <c r="Y24" i="4"/>
  <c r="AC24" i="4"/>
  <c r="AG24" i="4"/>
  <c r="AK24" i="4"/>
  <c r="AO24" i="4"/>
  <c r="AS24" i="4"/>
  <c r="AW24" i="4"/>
  <c r="BA24" i="4"/>
  <c r="E28" i="4"/>
  <c r="I28" i="4"/>
  <c r="M28" i="4"/>
  <c r="Q28" i="4"/>
  <c r="U28" i="4"/>
  <c r="Y28" i="4"/>
  <c r="AC28" i="4"/>
  <c r="AG28" i="4"/>
  <c r="AK28" i="4"/>
  <c r="AO28" i="4"/>
  <c r="AS28" i="4"/>
  <c r="AW28" i="4"/>
  <c r="BA28" i="4"/>
  <c r="D25" i="4"/>
  <c r="H25" i="4"/>
  <c r="L25" i="4"/>
  <c r="P25" i="4"/>
  <c r="T25" i="4"/>
  <c r="X25" i="4"/>
  <c r="AB25" i="4"/>
  <c r="AF25" i="4"/>
  <c r="AJ25" i="4"/>
  <c r="AN25" i="4"/>
  <c r="AR25" i="4"/>
  <c r="AV25" i="4"/>
  <c r="AZ25" i="4"/>
  <c r="AF24" i="4"/>
  <c r="AB22" i="4"/>
  <c r="V22" i="4"/>
  <c r="Q22" i="4"/>
  <c r="L22" i="4"/>
  <c r="F22" i="4"/>
  <c r="E8" i="4"/>
  <c r="I8" i="4"/>
  <c r="M8" i="4"/>
  <c r="Q8" i="4"/>
  <c r="U8" i="4"/>
  <c r="Y8" i="4"/>
  <c r="AC8" i="4"/>
  <c r="AG8" i="4"/>
  <c r="AK8" i="4"/>
  <c r="AO8" i="4"/>
  <c r="AS8" i="4"/>
  <c r="AW8" i="4"/>
  <c r="BA8" i="4"/>
  <c r="G8" i="4"/>
  <c r="K8" i="4"/>
  <c r="O8" i="4"/>
  <c r="S8" i="4"/>
  <c r="W8" i="4"/>
  <c r="AA8" i="4"/>
  <c r="AE8" i="4"/>
  <c r="AI8" i="4"/>
  <c r="AM8" i="4"/>
  <c r="AQ8" i="4"/>
  <c r="AU8" i="4"/>
  <c r="AY8" i="4"/>
  <c r="D8" i="4"/>
  <c r="L8" i="4"/>
  <c r="T8" i="4"/>
  <c r="AB8" i="4"/>
  <c r="AJ8" i="4"/>
  <c r="AR8" i="4"/>
  <c r="AZ8" i="4"/>
  <c r="F8" i="4"/>
  <c r="N8" i="4"/>
  <c r="V8" i="4"/>
  <c r="AD8" i="4"/>
  <c r="AL8" i="4"/>
  <c r="AT8" i="4"/>
  <c r="H8" i="4"/>
  <c r="P8" i="4"/>
  <c r="X8" i="4"/>
  <c r="AF8" i="4"/>
  <c r="AN8" i="4"/>
  <c r="AV8" i="4"/>
  <c r="AY30" i="4"/>
  <c r="AU30" i="4"/>
  <c r="AQ30" i="4"/>
  <c r="AM30" i="4"/>
  <c r="AI30" i="4"/>
  <c r="AE30" i="4"/>
  <c r="AA30" i="4"/>
  <c r="W30" i="4"/>
  <c r="S30" i="4"/>
  <c r="O30" i="4"/>
  <c r="K30" i="4"/>
  <c r="D29" i="4"/>
  <c r="H29" i="4"/>
  <c r="L29" i="4"/>
  <c r="P29" i="4"/>
  <c r="T29" i="4"/>
  <c r="X29" i="4"/>
  <c r="AB29" i="4"/>
  <c r="AF29" i="4"/>
  <c r="AJ29" i="4"/>
  <c r="AN29" i="4"/>
  <c r="AV28" i="4"/>
  <c r="AQ28" i="4"/>
  <c r="AL28" i="4"/>
  <c r="AF28" i="4"/>
  <c r="AA28" i="4"/>
  <c r="V28" i="4"/>
  <c r="P28" i="4"/>
  <c r="K28" i="4"/>
  <c r="F28" i="4"/>
  <c r="G26" i="4"/>
  <c r="K26" i="4"/>
  <c r="O26" i="4"/>
  <c r="S26" i="4"/>
  <c r="W26" i="4"/>
  <c r="AA26" i="4"/>
  <c r="AE26" i="4"/>
  <c r="AI26" i="4"/>
  <c r="AM26" i="4"/>
  <c r="AQ26" i="4"/>
  <c r="AU26" i="4"/>
  <c r="AY26" i="4"/>
  <c r="AW25" i="4"/>
  <c r="AQ25" i="4"/>
  <c r="AL25" i="4"/>
  <c r="AG25" i="4"/>
  <c r="AA25" i="4"/>
  <c r="V25" i="4"/>
  <c r="Q25" i="4"/>
  <c r="K25" i="4"/>
  <c r="F25" i="4"/>
  <c r="AZ24" i="4"/>
  <c r="AU24" i="4"/>
  <c r="AP24" i="4"/>
  <c r="AJ24" i="4"/>
  <c r="AE24" i="4"/>
  <c r="Z24" i="4"/>
  <c r="T24" i="4"/>
  <c r="O24" i="4"/>
  <c r="J24" i="4"/>
  <c r="D24" i="4"/>
  <c r="BA22" i="4"/>
  <c r="AV22" i="4"/>
  <c r="AP22" i="4"/>
  <c r="AK22" i="4"/>
  <c r="AF22" i="4"/>
  <c r="Z22" i="4"/>
  <c r="U22" i="4"/>
  <c r="P22" i="4"/>
  <c r="J22" i="4"/>
  <c r="BA21" i="4"/>
  <c r="AU21" i="4"/>
  <c r="AP21" i="4"/>
  <c r="AK21" i="4"/>
  <c r="AE21" i="4"/>
  <c r="Z21" i="4"/>
  <c r="U21" i="4"/>
  <c r="O21" i="4"/>
  <c r="J21" i="4"/>
  <c r="AY20" i="4"/>
  <c r="AT20" i="4"/>
  <c r="AN20" i="4"/>
  <c r="AI20" i="4"/>
  <c r="AD20" i="4"/>
  <c r="X20" i="4"/>
  <c r="S20" i="4"/>
  <c r="N20" i="4"/>
  <c r="G17" i="4"/>
  <c r="K17" i="4"/>
  <c r="O17" i="4"/>
  <c r="S17" i="4"/>
  <c r="W17" i="4"/>
  <c r="AA17" i="4"/>
  <c r="AE17" i="4"/>
  <c r="AI17" i="4"/>
  <c r="AM17" i="4"/>
  <c r="AQ17" i="4"/>
  <c r="AU17" i="4"/>
  <c r="AY17" i="4"/>
  <c r="D17" i="4"/>
  <c r="H17" i="4"/>
  <c r="L17" i="4"/>
  <c r="P17" i="4"/>
  <c r="T17" i="4"/>
  <c r="X17" i="4"/>
  <c r="AB17" i="4"/>
  <c r="AF17" i="4"/>
  <c r="AJ17" i="4"/>
  <c r="AN17" i="4"/>
  <c r="AR17" i="4"/>
  <c r="AV17" i="4"/>
  <c r="AZ17" i="4"/>
  <c r="AR14" i="4"/>
  <c r="AX8" i="4"/>
  <c r="R8" i="4"/>
  <c r="L28" i="4"/>
  <c r="G28" i="4"/>
  <c r="M25" i="4"/>
  <c r="G25" i="4"/>
  <c r="AV24" i="4"/>
  <c r="AQ24" i="4"/>
  <c r="AL24" i="4"/>
  <c r="AA24" i="4"/>
  <c r="V24" i="4"/>
  <c r="P24" i="4"/>
  <c r="K24" i="4"/>
  <c r="F24" i="4"/>
  <c r="G22" i="4"/>
  <c r="K22" i="4"/>
  <c r="O22" i="4"/>
  <c r="S22" i="4"/>
  <c r="W22" i="4"/>
  <c r="AA22" i="4"/>
  <c r="AE22" i="4"/>
  <c r="AI22" i="4"/>
  <c r="AM22" i="4"/>
  <c r="AQ22" i="4"/>
  <c r="AU22" i="4"/>
  <c r="AY22" i="4"/>
  <c r="AZ28" i="4"/>
  <c r="AU28" i="4"/>
  <c r="AP28" i="4"/>
  <c r="AJ28" i="4"/>
  <c r="AE28" i="4"/>
  <c r="Z28" i="4"/>
  <c r="T28" i="4"/>
  <c r="O28" i="4"/>
  <c r="J28" i="4"/>
  <c r="D28" i="4"/>
  <c r="BA25" i="4"/>
  <c r="AU25" i="4"/>
  <c r="AP25" i="4"/>
  <c r="AK25" i="4"/>
  <c r="AE25" i="4"/>
  <c r="Z25" i="4"/>
  <c r="U25" i="4"/>
  <c r="O25" i="4"/>
  <c r="J25" i="4"/>
  <c r="E25" i="4"/>
  <c r="AY24" i="4"/>
  <c r="AT24" i="4"/>
  <c r="AN24" i="4"/>
  <c r="AI24" i="4"/>
  <c r="AD24" i="4"/>
  <c r="X24" i="4"/>
  <c r="S24" i="4"/>
  <c r="N24" i="4"/>
  <c r="H24" i="4"/>
  <c r="AZ22" i="4"/>
  <c r="AT22" i="4"/>
  <c r="AO22" i="4"/>
  <c r="AJ22" i="4"/>
  <c r="AD22" i="4"/>
  <c r="Y22" i="4"/>
  <c r="T22" i="4"/>
  <c r="N22" i="4"/>
  <c r="I22" i="4"/>
  <c r="D22" i="4"/>
  <c r="E20" i="4"/>
  <c r="I20" i="4"/>
  <c r="M20" i="4"/>
  <c r="Q20" i="4"/>
  <c r="U20" i="4"/>
  <c r="Y20" i="4"/>
  <c r="AC20" i="4"/>
  <c r="AG20" i="4"/>
  <c r="AK20" i="4"/>
  <c r="AO20" i="4"/>
  <c r="AS20" i="4"/>
  <c r="AW20" i="4"/>
  <c r="BA20" i="4"/>
  <c r="E14" i="4"/>
  <c r="I14" i="4"/>
  <c r="M14" i="4"/>
  <c r="Q14" i="4"/>
  <c r="U14" i="4"/>
  <c r="Y14" i="4"/>
  <c r="AC14" i="4"/>
  <c r="AG14" i="4"/>
  <c r="AK14" i="4"/>
  <c r="AO14" i="4"/>
  <c r="AS14" i="4"/>
  <c r="AW14" i="4"/>
  <c r="BA14" i="4"/>
  <c r="H14" i="4"/>
  <c r="N14" i="4"/>
  <c r="S14" i="4"/>
  <c r="X14" i="4"/>
  <c r="AD14" i="4"/>
  <c r="AI14" i="4"/>
  <c r="AN14" i="4"/>
  <c r="AT14" i="4"/>
  <c r="AY14" i="4"/>
  <c r="D14" i="4"/>
  <c r="J14" i="4"/>
  <c r="O14" i="4"/>
  <c r="T14" i="4"/>
  <c r="Z14" i="4"/>
  <c r="AE14" i="4"/>
  <c r="AJ14" i="4"/>
  <c r="AP14" i="4"/>
  <c r="AU14" i="4"/>
  <c r="AZ14" i="4"/>
  <c r="F14" i="4"/>
  <c r="K14" i="4"/>
  <c r="P14" i="4"/>
  <c r="V14" i="4"/>
  <c r="AA14" i="4"/>
  <c r="AF14" i="4"/>
  <c r="AL14" i="4"/>
  <c r="AQ14" i="4"/>
  <c r="AV14" i="4"/>
  <c r="AP8" i="4"/>
  <c r="J8" i="4"/>
  <c r="AX22" i="4"/>
  <c r="AS22" i="4"/>
  <c r="AN22" i="4"/>
  <c r="AH22" i="4"/>
  <c r="AC22" i="4"/>
  <c r="X22" i="4"/>
  <c r="R22" i="4"/>
  <c r="M22" i="4"/>
  <c r="H22" i="4"/>
  <c r="D21" i="4"/>
  <c r="H21" i="4"/>
  <c r="L21" i="4"/>
  <c r="P21" i="4"/>
  <c r="T21" i="4"/>
  <c r="X21" i="4"/>
  <c r="AB21" i="4"/>
  <c r="AF21" i="4"/>
  <c r="AJ21" i="4"/>
  <c r="AN21" i="4"/>
  <c r="AR21" i="4"/>
  <c r="AV21" i="4"/>
  <c r="AZ21" i="4"/>
  <c r="AV20" i="4"/>
  <c r="AQ20" i="4"/>
  <c r="AL20" i="4"/>
  <c r="AF20" i="4"/>
  <c r="AA20" i="4"/>
  <c r="V20" i="4"/>
  <c r="P20" i="4"/>
  <c r="K20" i="4"/>
  <c r="F20" i="4"/>
  <c r="AH14" i="4"/>
  <c r="L14" i="4"/>
  <c r="AH8" i="4"/>
  <c r="AY18" i="4"/>
  <c r="AU18" i="4"/>
  <c r="AQ18" i="4"/>
  <c r="AM18" i="4"/>
  <c r="AI18" i="4"/>
  <c r="AE18" i="4"/>
  <c r="AA18" i="4"/>
  <c r="W18" i="4"/>
  <c r="S18" i="4"/>
  <c r="O18" i="4"/>
  <c r="K18" i="4"/>
  <c r="BA16" i="4"/>
  <c r="AW16" i="4"/>
  <c r="AS16" i="4"/>
  <c r="AO16" i="4"/>
  <c r="AK16" i="4"/>
  <c r="AG16" i="4"/>
  <c r="AC16" i="4"/>
  <c r="Y16" i="4"/>
  <c r="U16" i="4"/>
  <c r="Q16" i="4"/>
  <c r="M16" i="4"/>
  <c r="D15" i="4"/>
  <c r="H15" i="4"/>
  <c r="L15" i="4"/>
  <c r="P15" i="4"/>
  <c r="T15" i="4"/>
  <c r="X15" i="4"/>
  <c r="AB15" i="4"/>
  <c r="AF15" i="4"/>
  <c r="AJ15" i="4"/>
  <c r="AN15" i="4"/>
  <c r="AR15" i="4"/>
  <c r="AV15" i="4"/>
  <c r="AZ15" i="4"/>
  <c r="G12" i="4"/>
  <c r="K12" i="4"/>
  <c r="O12" i="4"/>
  <c r="S12" i="4"/>
  <c r="W12" i="4"/>
  <c r="AA12" i="4"/>
  <c r="AE12" i="4"/>
  <c r="AI12" i="4"/>
  <c r="AM12" i="4"/>
  <c r="AQ12" i="4"/>
  <c r="AU12" i="4"/>
  <c r="AY12" i="4"/>
  <c r="AX10" i="4"/>
  <c r="AP10" i="4"/>
  <c r="AH10" i="4"/>
  <c r="Z10" i="4"/>
  <c r="R10" i="4"/>
  <c r="G16" i="4"/>
  <c r="K16" i="4"/>
  <c r="G10" i="4"/>
  <c r="K10" i="4"/>
  <c r="O10" i="4"/>
  <c r="S10" i="4"/>
  <c r="W10" i="4"/>
  <c r="AA10" i="4"/>
  <c r="AE10" i="4"/>
  <c r="AI10" i="4"/>
  <c r="AM10" i="4"/>
  <c r="AQ10" i="4"/>
  <c r="AU10" i="4"/>
  <c r="AY10" i="4"/>
  <c r="E10" i="4"/>
  <c r="I10" i="4"/>
  <c r="M10" i="4"/>
  <c r="Q10" i="4"/>
  <c r="U10" i="4"/>
  <c r="Y10" i="4"/>
  <c r="AC10" i="4"/>
  <c r="AG10" i="4"/>
  <c r="AK10" i="4"/>
  <c r="AO10" i="4"/>
  <c r="AS10" i="4"/>
  <c r="AW10" i="4"/>
  <c r="BA10" i="4"/>
  <c r="AT10" i="4"/>
  <c r="AL10" i="4"/>
  <c r="AD10" i="4"/>
  <c r="V10" i="4"/>
  <c r="N10" i="4"/>
  <c r="F10" i="4"/>
  <c r="AZ11" i="4"/>
  <c r="AV11" i="4"/>
  <c r="AR11" i="4"/>
  <c r="AN11" i="4"/>
  <c r="AJ11" i="4"/>
  <c r="AF11" i="4"/>
  <c r="AB11" i="4"/>
  <c r="X11" i="4"/>
  <c r="T11" i="4"/>
  <c r="P11" i="4"/>
  <c r="L11" i="4"/>
  <c r="H11" i="4"/>
  <c r="D7" i="4"/>
  <c r="CJ1" i="4"/>
  <c r="CF1" i="4"/>
  <c r="CB1" i="4"/>
  <c r="BX1" i="4"/>
  <c r="BT1" i="4"/>
  <c r="BP1" i="4"/>
  <c r="BL1" i="4"/>
  <c r="CI1" i="4"/>
  <c r="CE1" i="4"/>
  <c r="CA1" i="4"/>
  <c r="BW1" i="4"/>
  <c r="BS1" i="4"/>
  <c r="BO1" i="4"/>
  <c r="BK1" i="4"/>
  <c r="CL1" i="4"/>
  <c r="CH1" i="4"/>
  <c r="CD1" i="4"/>
  <c r="BZ1" i="4"/>
  <c r="BV1" i="4"/>
  <c r="BR1" i="4"/>
  <c r="BN1" i="4"/>
  <c r="BJ1" i="4"/>
  <c r="CK1" i="4"/>
  <c r="CG1" i="4"/>
  <c r="CC1" i="4"/>
  <c r="BY1" i="4"/>
  <c r="BU1" i="4"/>
  <c r="BQ1" i="4"/>
  <c r="BM1"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E32" i="4"/>
  <c r="BF32" i="4"/>
  <c r="BG32" i="4"/>
  <c r="BH32" i="4"/>
  <c r="BD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C33" i="4"/>
  <c r="BC34"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32" i="4"/>
  <c r="F2" i="2"/>
  <c r="G2" i="2"/>
  <c r="H2" i="2"/>
  <c r="I2" i="2"/>
  <c r="M2" i="2"/>
  <c r="N2" i="2"/>
  <c r="O2" i="2"/>
  <c r="P2" i="2"/>
  <c r="Q2" i="2"/>
  <c r="E1" i="1"/>
  <c r="F1" i="1"/>
  <c r="G1" i="1"/>
  <c r="H1" i="1"/>
  <c r="I1" i="1"/>
  <c r="J1" i="1"/>
  <c r="K1" i="1"/>
  <c r="L1" i="1"/>
  <c r="M1" i="1"/>
  <c r="N1" i="1"/>
  <c r="O1" i="1"/>
  <c r="P1" i="1"/>
  <c r="Q1" i="1"/>
  <c r="R1" i="1"/>
  <c r="S1" i="1"/>
  <c r="T1" i="1"/>
  <c r="U1" i="1"/>
  <c r="V1" i="1"/>
  <c r="W1" i="1"/>
  <c r="X1" i="1"/>
  <c r="Y1" i="1"/>
  <c r="Z1" i="1"/>
  <c r="AA1" i="1"/>
  <c r="AB1" i="1"/>
  <c r="AC1" i="1"/>
  <c r="AD1" i="1"/>
  <c r="AE1" i="1"/>
  <c r="AF1" i="1"/>
  <c r="AG1" i="1"/>
  <c r="AH1" i="1"/>
  <c r="AI1" i="1"/>
  <c r="AJ1" i="1"/>
  <c r="AK1" i="1"/>
  <c r="AL1" i="1"/>
  <c r="AM1" i="1"/>
  <c r="AN1" i="1"/>
  <c r="AO1" i="1"/>
  <c r="AP1" i="1"/>
  <c r="AQ1" i="1"/>
  <c r="AR1" i="1"/>
  <c r="AS1" i="1"/>
  <c r="AT1" i="1"/>
  <c r="AU1" i="1"/>
  <c r="AV1" i="1"/>
  <c r="AW1" i="1"/>
  <c r="AX1" i="1"/>
  <c r="AY1" i="1"/>
  <c r="AZ1" i="1"/>
  <c r="BA1" i="1"/>
  <c r="BB1" i="1"/>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C32" i="4"/>
  <c r="C3" i="4"/>
  <c r="C4" i="4"/>
  <c r="C5" i="4"/>
  <c r="C6" i="4"/>
  <c r="C31" i="4"/>
  <c r="C2" i="4"/>
  <c r="B31" i="4"/>
  <c r="B2" i="4"/>
  <c r="BF2" i="4" l="1"/>
  <c r="BE28" i="4"/>
  <c r="BH31" i="4"/>
  <c r="BH15" i="4"/>
  <c r="BG21" i="4"/>
  <c r="BF15" i="4"/>
  <c r="BH21" i="4"/>
  <c r="BF25" i="4"/>
  <c r="BG10" i="4"/>
  <c r="BE12" i="4"/>
  <c r="BF21" i="4"/>
  <c r="BF24" i="4"/>
  <c r="BG2" i="4"/>
  <c r="BF13" i="4"/>
  <c r="BF10" i="4"/>
  <c r="BF27" i="4"/>
  <c r="BF30" i="4"/>
  <c r="BF29" i="4"/>
  <c r="BF26" i="4"/>
  <c r="BD28" i="4"/>
  <c r="BE10" i="4"/>
  <c r="BH10" i="4"/>
  <c r="BF22" i="4"/>
  <c r="BH14" i="4"/>
  <c r="BH25" i="4"/>
  <c r="BE22" i="4"/>
  <c r="BF17" i="4"/>
  <c r="BE26" i="4"/>
  <c r="BF8" i="4"/>
  <c r="BE8" i="4"/>
  <c r="BF12" i="4"/>
  <c r="BG19" i="4"/>
  <c r="BG18" i="4"/>
  <c r="BE20" i="4"/>
  <c r="BE23" i="4"/>
  <c r="BG27" i="4"/>
  <c r="BE19" i="4"/>
  <c r="BG24" i="4"/>
  <c r="BH11" i="4"/>
  <c r="BF18" i="4"/>
  <c r="BF23" i="4"/>
  <c r="BH16" i="4"/>
  <c r="E2" i="4"/>
  <c r="I2" i="4"/>
  <c r="M2" i="4"/>
  <c r="Q2" i="4"/>
  <c r="U2" i="4"/>
  <c r="Y2" i="4"/>
  <c r="AC2" i="4"/>
  <c r="AG2" i="4"/>
  <c r="AK2" i="4"/>
  <c r="AO2" i="4"/>
  <c r="AS2" i="4"/>
  <c r="AW2" i="4"/>
  <c r="BA2" i="4"/>
  <c r="F2" i="4"/>
  <c r="N2" i="4"/>
  <c r="V2" i="4"/>
  <c r="AD2" i="4"/>
  <c r="AL2" i="4"/>
  <c r="AT2" i="4"/>
  <c r="D2" i="4"/>
  <c r="J2" i="4"/>
  <c r="R2" i="4"/>
  <c r="Z2" i="4"/>
  <c r="AH2" i="4"/>
  <c r="AP2" i="4"/>
  <c r="AX2" i="4"/>
  <c r="K2" i="4"/>
  <c r="O2" i="4"/>
  <c r="P2" i="4"/>
  <c r="X2" i="4"/>
  <c r="AF2" i="4"/>
  <c r="AN2" i="4"/>
  <c r="AV2" i="4"/>
  <c r="G2" i="4"/>
  <c r="S2" i="4"/>
  <c r="AA2" i="4"/>
  <c r="AI2" i="4"/>
  <c r="AQ2" i="4"/>
  <c r="AY2" i="4"/>
  <c r="L2" i="4"/>
  <c r="W2" i="4"/>
  <c r="AE2" i="4"/>
  <c r="AU2" i="4"/>
  <c r="AM2" i="4"/>
  <c r="H2" i="4"/>
  <c r="T2" i="4"/>
  <c r="AB2" i="4"/>
  <c r="AJ2" i="4"/>
  <c r="AR2" i="4"/>
  <c r="AZ2" i="4"/>
  <c r="BE7" i="4"/>
  <c r="BE13" i="4"/>
  <c r="BE9" i="4"/>
  <c r="BE11" i="4"/>
  <c r="BE16" i="4"/>
  <c r="BE21" i="4"/>
  <c r="BE24" i="4"/>
  <c r="BE25" i="4"/>
  <c r="BG14" i="4"/>
  <c r="BG8" i="4"/>
  <c r="BD2" i="4"/>
  <c r="BE17" i="4"/>
  <c r="BH24" i="4"/>
  <c r="BF7" i="4"/>
  <c r="BF9" i="4"/>
  <c r="BF19" i="4"/>
  <c r="BH20" i="4"/>
  <c r="BE27" i="4"/>
  <c r="BF28" i="4"/>
  <c r="BH12" i="4"/>
  <c r="BH9" i="4"/>
  <c r="BH7" i="4"/>
  <c r="BH8" i="4"/>
  <c r="BH17" i="4"/>
  <c r="BH19" i="4"/>
  <c r="BH26" i="4"/>
  <c r="BH27" i="4"/>
  <c r="BH13" i="4"/>
  <c r="BH23" i="4"/>
  <c r="BH18" i="4"/>
  <c r="BH30" i="4"/>
  <c r="BE2" i="4"/>
  <c r="BH2" i="4"/>
  <c r="BG7" i="4"/>
  <c r="BG9" i="4"/>
  <c r="BG13" i="4"/>
  <c r="BG17" i="4"/>
  <c r="BG11" i="4"/>
  <c r="BG12" i="4"/>
  <c r="BG25" i="4"/>
  <c r="BG30" i="4"/>
  <c r="BG29" i="4"/>
  <c r="BF11" i="4"/>
  <c r="BG16" i="4"/>
  <c r="BE18" i="4"/>
  <c r="BE14" i="4"/>
  <c r="BF14" i="4"/>
  <c r="BG20" i="4"/>
  <c r="BG22" i="4"/>
  <c r="BH28" i="4"/>
  <c r="BF20" i="4"/>
  <c r="BH22" i="4"/>
  <c r="BE30" i="4"/>
  <c r="BG28" i="4"/>
  <c r="BG26" i="4"/>
  <c r="BH29" i="4"/>
  <c r="BG15" i="4"/>
  <c r="BE15" i="4"/>
  <c r="BG23" i="4"/>
  <c r="BE29" i="4"/>
  <c r="BF16" i="4"/>
  <c r="BD14" i="4"/>
  <c r="BD8" i="4"/>
  <c r="BD10" i="4"/>
  <c r="BD20" i="4"/>
  <c r="BD7" i="4"/>
  <c r="BD15" i="4"/>
  <c r="BD18" i="4"/>
  <c r="BD19" i="4"/>
  <c r="BD26" i="4"/>
  <c r="BD27" i="4"/>
  <c r="BD30" i="4"/>
  <c r="BD22" i="4"/>
  <c r="BD9" i="4"/>
  <c r="BD11" i="4"/>
  <c r="BD12" i="4"/>
  <c r="BD13" i="4"/>
  <c r="BD17" i="4"/>
  <c r="BD21" i="4"/>
  <c r="BD16" i="4"/>
  <c r="BD23" i="4"/>
  <c r="BD29" i="4"/>
  <c r="BD24" i="4"/>
  <c r="BD25" i="4"/>
  <c r="G31" i="4"/>
  <c r="K31" i="4"/>
  <c r="O31" i="4"/>
  <c r="S31" i="4"/>
  <c r="W31" i="4"/>
  <c r="AA31" i="4"/>
  <c r="AE31" i="4"/>
  <c r="AI31" i="4"/>
  <c r="E31" i="4"/>
  <c r="J31" i="4"/>
  <c r="P31" i="4"/>
  <c r="U31" i="4"/>
  <c r="Z31" i="4"/>
  <c r="AF31" i="4"/>
  <c r="AK31" i="4"/>
  <c r="AO31" i="4"/>
  <c r="AS31" i="4"/>
  <c r="AW31" i="4"/>
  <c r="BA31" i="4"/>
  <c r="F31" i="4"/>
  <c r="Q31" i="4"/>
  <c r="V31" i="4"/>
  <c r="AB31" i="4"/>
  <c r="AL31" i="4"/>
  <c r="AP31" i="4"/>
  <c r="AX31" i="4"/>
  <c r="M31" i="4"/>
  <c r="AC31" i="4"/>
  <c r="AH31" i="4"/>
  <c r="AQ31" i="4"/>
  <c r="AY31" i="4"/>
  <c r="D31" i="4"/>
  <c r="AJ31" i="4"/>
  <c r="AR31" i="4"/>
  <c r="AZ31" i="4"/>
  <c r="L31" i="4"/>
  <c r="AG31" i="4"/>
  <c r="AT31" i="4"/>
  <c r="H31" i="4"/>
  <c r="X31" i="4"/>
  <c r="AM31" i="4"/>
  <c r="AU31" i="4"/>
  <c r="I31" i="4"/>
  <c r="T31" i="4"/>
  <c r="AD31" i="4"/>
  <c r="AV31" i="4"/>
  <c r="R31" i="4"/>
  <c r="N31" i="4"/>
  <c r="Y31" i="4"/>
  <c r="AN31" i="4"/>
  <c r="BE31" i="4"/>
  <c r="BL39" i="4"/>
  <c r="BL41" i="4"/>
  <c r="BL43" i="4"/>
  <c r="BL44" i="4"/>
  <c r="BL49" i="4"/>
  <c r="BL53" i="4"/>
  <c r="BL55" i="4"/>
  <c r="BL56" i="4"/>
  <c r="BL60" i="4"/>
  <c r="BL38" i="4"/>
  <c r="BL40" i="4"/>
  <c r="BL42" i="4"/>
  <c r="BL52" i="4"/>
  <c r="BL54" i="4"/>
  <c r="BL61" i="4"/>
  <c r="BL62" i="4"/>
  <c r="BL65" i="4"/>
  <c r="BL66" i="4"/>
  <c r="BL46" i="4"/>
  <c r="BL48" i="4"/>
  <c r="BL50" i="4"/>
  <c r="BL57" i="4"/>
  <c r="BL63" i="4"/>
  <c r="BL79" i="4"/>
  <c r="BL80" i="4"/>
  <c r="BL51" i="4"/>
  <c r="BL69" i="4"/>
  <c r="BL77" i="4"/>
  <c r="BL85" i="4"/>
  <c r="BL86" i="4"/>
  <c r="BL47" i="4"/>
  <c r="BL64" i="4"/>
  <c r="BL74" i="4"/>
  <c r="BL78" i="4"/>
  <c r="BL83" i="4"/>
  <c r="BL84" i="4"/>
  <c r="BL102" i="4"/>
  <c r="BL107" i="4"/>
  <c r="BL111" i="4"/>
  <c r="BL113" i="4"/>
  <c r="BL115" i="4"/>
  <c r="BL117" i="4"/>
  <c r="BL45" i="4"/>
  <c r="BL58" i="4"/>
  <c r="BL71" i="4"/>
  <c r="BL76" i="4"/>
  <c r="BL96" i="4"/>
  <c r="BL105" i="4"/>
  <c r="BL106" i="4"/>
  <c r="BL114" i="4"/>
  <c r="BL118" i="4"/>
  <c r="BL132" i="4"/>
  <c r="BL133" i="4"/>
  <c r="BL134" i="4"/>
  <c r="BL135" i="4"/>
  <c r="BL67" i="4"/>
  <c r="BL72" i="4"/>
  <c r="BL82" i="4"/>
  <c r="BL88" i="4"/>
  <c r="BL59" i="4"/>
  <c r="BL68" i="4"/>
  <c r="BL73" i="4"/>
  <c r="BL94" i="4"/>
  <c r="BL98" i="4"/>
  <c r="BL99" i="4"/>
  <c r="BL100" i="4"/>
  <c r="BL101" i="4"/>
  <c r="BL90" i="4"/>
  <c r="BL108" i="4"/>
  <c r="BL109" i="4"/>
  <c r="BL110" i="4"/>
  <c r="BL129" i="4"/>
  <c r="BL136" i="4"/>
  <c r="BL137" i="4"/>
  <c r="BL144" i="4"/>
  <c r="BL145" i="4"/>
  <c r="BL161" i="4"/>
  <c r="BL162" i="4"/>
  <c r="BL163" i="4"/>
  <c r="BL70" i="4"/>
  <c r="BL93" i="4"/>
  <c r="BL95" i="4"/>
  <c r="BL121" i="4"/>
  <c r="BL122" i="4"/>
  <c r="BL125" i="4"/>
  <c r="BL126" i="4"/>
  <c r="BL142" i="4"/>
  <c r="BL143" i="4"/>
  <c r="BL150" i="4"/>
  <c r="BL151" i="4"/>
  <c r="BL152" i="4"/>
  <c r="BL153" i="4"/>
  <c r="BL154" i="4"/>
  <c r="BL155" i="4"/>
  <c r="BL156" i="4"/>
  <c r="BL157" i="4"/>
  <c r="BL158" i="4"/>
  <c r="BL159" i="4"/>
  <c r="BL199" i="4"/>
  <c r="BL75" i="4"/>
  <c r="BL87" i="4"/>
  <c r="BL91" i="4"/>
  <c r="BL103" i="4"/>
  <c r="BL112" i="4"/>
  <c r="BL119" i="4"/>
  <c r="BL120" i="4"/>
  <c r="BL127" i="4"/>
  <c r="BL128" i="4"/>
  <c r="BL130" i="4"/>
  <c r="BL131" i="4"/>
  <c r="BL139" i="4"/>
  <c r="BL146" i="4"/>
  <c r="BL165" i="4"/>
  <c r="BL169" i="4"/>
  <c r="BL173" i="4"/>
  <c r="BL177" i="4"/>
  <c r="BL181" i="4"/>
  <c r="BL183" i="4"/>
  <c r="BL186" i="4"/>
  <c r="BL188" i="4"/>
  <c r="BL89" i="4"/>
  <c r="BL92" i="4"/>
  <c r="BL116" i="4"/>
  <c r="BL140" i="4"/>
  <c r="BL149" i="4"/>
  <c r="BL170" i="4"/>
  <c r="BL174" i="4"/>
  <c r="BL178" i="4"/>
  <c r="BL182" i="4"/>
  <c r="BL184" i="4"/>
  <c r="BL193" i="4"/>
  <c r="BL195" i="4"/>
  <c r="BL104" i="4"/>
  <c r="BL123" i="4"/>
  <c r="BL124" i="4"/>
  <c r="BL138" i="4"/>
  <c r="BL147" i="4"/>
  <c r="BL164" i="4"/>
  <c r="BL166" i="4"/>
  <c r="BL171" i="4"/>
  <c r="BL175" i="4"/>
  <c r="BL179" i="4"/>
  <c r="BL189" i="4"/>
  <c r="BL191" i="4"/>
  <c r="BL194" i="4"/>
  <c r="BL196" i="4"/>
  <c r="BL197" i="4"/>
  <c r="BL81" i="4"/>
  <c r="BL167" i="4"/>
  <c r="BL176" i="4"/>
  <c r="BL148" i="4"/>
  <c r="BL172" i="4"/>
  <c r="BL198" i="4"/>
  <c r="BL97" i="4"/>
  <c r="BL141" i="4"/>
  <c r="BL160" i="4"/>
  <c r="BL180" i="4"/>
  <c r="BL185" i="4"/>
  <c r="BL190" i="4"/>
  <c r="BL168" i="4"/>
  <c r="BL187" i="4"/>
  <c r="BL192" i="4"/>
  <c r="BG31" i="4"/>
  <c r="BF31" i="4"/>
  <c r="BD31" i="4"/>
  <c r="BM45" i="4"/>
  <c r="BM46" i="4"/>
  <c r="BM47" i="4"/>
  <c r="BM48" i="4"/>
  <c r="BM50" i="4"/>
  <c r="BM57" i="4"/>
  <c r="BM58" i="4"/>
  <c r="BM63" i="4"/>
  <c r="BM39" i="4"/>
  <c r="BM41" i="4"/>
  <c r="BM43" i="4"/>
  <c r="BM44" i="4"/>
  <c r="BM49" i="4"/>
  <c r="BM53" i="4"/>
  <c r="BM55" i="4"/>
  <c r="BM56" i="4"/>
  <c r="BM60" i="4"/>
  <c r="BM59" i="4"/>
  <c r="BM67" i="4"/>
  <c r="BM68" i="4"/>
  <c r="BM69" i="4"/>
  <c r="BM72" i="4"/>
  <c r="BM73" i="4"/>
  <c r="BM38" i="4"/>
  <c r="BM40" i="4"/>
  <c r="BM42" i="4"/>
  <c r="BM52" i="4"/>
  <c r="BM61" i="4"/>
  <c r="BM62" i="4"/>
  <c r="BM71" i="4"/>
  <c r="BM76" i="4"/>
  <c r="BM51" i="4"/>
  <c r="BM77" i="4"/>
  <c r="BM85" i="4"/>
  <c r="BM86" i="4"/>
  <c r="BM99" i="4"/>
  <c r="BM103" i="4"/>
  <c r="BM108" i="4"/>
  <c r="BM112" i="4"/>
  <c r="BM114" i="4"/>
  <c r="BM116" i="4"/>
  <c r="BM118" i="4"/>
  <c r="BM70" i="4"/>
  <c r="BM75" i="4"/>
  <c r="BM81" i="4"/>
  <c r="BM87" i="4"/>
  <c r="BM89" i="4"/>
  <c r="BM91" i="4"/>
  <c r="BM93" i="4"/>
  <c r="BM95" i="4"/>
  <c r="BM104" i="4"/>
  <c r="BM113" i="4"/>
  <c r="BM117" i="4"/>
  <c r="BM54" i="4"/>
  <c r="BM64" i="4"/>
  <c r="BM66" i="4"/>
  <c r="BM78" i="4"/>
  <c r="BM79" i="4"/>
  <c r="BM84" i="4"/>
  <c r="BM80" i="4"/>
  <c r="BM82" i="4"/>
  <c r="BM88" i="4"/>
  <c r="BM90" i="4"/>
  <c r="BM92" i="4"/>
  <c r="BM97" i="4"/>
  <c r="BM109" i="4"/>
  <c r="BM110" i="4"/>
  <c r="BM65" i="4"/>
  <c r="BM105" i="4"/>
  <c r="BM106" i="4"/>
  <c r="BM107" i="4"/>
  <c r="BM115" i="4"/>
  <c r="BM119" i="4"/>
  <c r="BM120" i="4"/>
  <c r="BM123" i="4"/>
  <c r="BM124" i="4"/>
  <c r="BM127" i="4"/>
  <c r="BM128" i="4"/>
  <c r="BM130" i="4"/>
  <c r="BM131" i="4"/>
  <c r="BM132" i="4"/>
  <c r="BM138" i="4"/>
  <c r="BM139" i="4"/>
  <c r="BM146" i="4"/>
  <c r="BM147" i="4"/>
  <c r="BM164" i="4"/>
  <c r="BM165" i="4"/>
  <c r="BM83" i="4"/>
  <c r="BM94" i="4"/>
  <c r="BM111" i="4"/>
  <c r="BM129" i="4"/>
  <c r="BM133" i="4"/>
  <c r="BM136" i="4"/>
  <c r="BM137" i="4"/>
  <c r="BM144" i="4"/>
  <c r="BM145" i="4"/>
  <c r="BM161" i="4"/>
  <c r="BM162" i="4"/>
  <c r="BM163" i="4"/>
  <c r="BM183" i="4"/>
  <c r="BM184" i="4"/>
  <c r="BM187" i="4"/>
  <c r="BM188" i="4"/>
  <c r="BM191" i="4"/>
  <c r="BM192" i="4"/>
  <c r="BM195" i="4"/>
  <c r="BM196" i="4"/>
  <c r="BM198" i="4"/>
  <c r="BM101" i="4"/>
  <c r="BM141" i="4"/>
  <c r="BM148" i="4"/>
  <c r="BM160" i="4"/>
  <c r="BM167" i="4"/>
  <c r="BM168" i="4"/>
  <c r="BM172" i="4"/>
  <c r="BM176" i="4"/>
  <c r="BM180" i="4"/>
  <c r="BM185" i="4"/>
  <c r="BM190" i="4"/>
  <c r="BM199" i="4"/>
  <c r="BM96" i="4"/>
  <c r="BM121" i="4"/>
  <c r="BM122" i="4"/>
  <c r="BM134" i="4"/>
  <c r="BM142" i="4"/>
  <c r="BM151" i="4"/>
  <c r="BM153" i="4"/>
  <c r="BM155" i="4"/>
  <c r="BM157" i="4"/>
  <c r="BM159" i="4"/>
  <c r="BM169" i="4"/>
  <c r="BM173" i="4"/>
  <c r="BM177" i="4"/>
  <c r="BM181" i="4"/>
  <c r="BM186" i="4"/>
  <c r="BM98" i="4"/>
  <c r="BM100" i="4"/>
  <c r="BM102" i="4"/>
  <c r="BM135" i="4"/>
  <c r="BM140" i="4"/>
  <c r="BM149" i="4"/>
  <c r="BM170" i="4"/>
  <c r="BM174" i="4"/>
  <c r="BM178" i="4"/>
  <c r="BM182" i="4"/>
  <c r="BM193" i="4"/>
  <c r="BM143" i="4"/>
  <c r="BM154" i="4"/>
  <c r="BM197" i="4"/>
  <c r="BM179" i="4"/>
  <c r="BM189" i="4"/>
  <c r="BM152" i="4"/>
  <c r="BM171" i="4"/>
  <c r="BM74" i="4"/>
  <c r="BM126" i="4"/>
  <c r="BM156" i="4"/>
  <c r="BM194" i="4"/>
  <c r="BM125" i="4"/>
  <c r="BM150" i="4"/>
  <c r="BM158" i="4"/>
  <c r="BM166" i="4"/>
  <c r="BM175" i="4"/>
  <c r="BN51" i="4"/>
  <c r="BN59" i="4"/>
  <c r="BN64" i="4"/>
  <c r="BN45" i="4"/>
  <c r="BN46" i="4"/>
  <c r="BN47" i="4"/>
  <c r="BN48" i="4"/>
  <c r="BN50" i="4"/>
  <c r="BN57" i="4"/>
  <c r="BN58" i="4"/>
  <c r="BN63" i="4"/>
  <c r="BN52" i="4"/>
  <c r="BN54" i="4"/>
  <c r="BN61" i="4"/>
  <c r="BN65" i="4"/>
  <c r="BN44" i="4"/>
  <c r="BN53" i="4"/>
  <c r="BN55" i="4"/>
  <c r="BN41" i="4"/>
  <c r="BN49" i="4"/>
  <c r="BN56" i="4"/>
  <c r="BN68" i="4"/>
  <c r="BN70" i="4"/>
  <c r="BN73" i="4"/>
  <c r="BN75" i="4"/>
  <c r="BN80" i="4"/>
  <c r="BN81" i="4"/>
  <c r="BN82" i="4"/>
  <c r="BN87" i="4"/>
  <c r="BN88" i="4"/>
  <c r="BN89" i="4"/>
  <c r="BN90" i="4"/>
  <c r="BN91" i="4"/>
  <c r="BN92" i="4"/>
  <c r="BN93" i="4"/>
  <c r="BN40" i="4"/>
  <c r="BN62" i="4"/>
  <c r="BN69" i="4"/>
  <c r="BN71" i="4"/>
  <c r="BN76" i="4"/>
  <c r="BN100" i="4"/>
  <c r="BN104" i="4"/>
  <c r="BN105" i="4"/>
  <c r="BN109" i="4"/>
  <c r="BN42" i="4"/>
  <c r="BN60" i="4"/>
  <c r="BN74" i="4"/>
  <c r="BN83" i="4"/>
  <c r="BN94" i="4"/>
  <c r="BN98" i="4"/>
  <c r="BN101" i="4"/>
  <c r="BN102" i="4"/>
  <c r="BN103" i="4"/>
  <c r="BN119" i="4"/>
  <c r="BN121" i="4"/>
  <c r="BN123" i="4"/>
  <c r="BN125" i="4"/>
  <c r="BN127" i="4"/>
  <c r="BN130" i="4"/>
  <c r="BN43" i="4"/>
  <c r="BN77" i="4"/>
  <c r="BN86" i="4"/>
  <c r="BN38" i="4"/>
  <c r="BN66" i="4"/>
  <c r="BN67" i="4"/>
  <c r="BN72" i="4"/>
  <c r="BN78" i="4"/>
  <c r="BN79" i="4"/>
  <c r="BN84" i="4"/>
  <c r="BN96" i="4"/>
  <c r="BN106" i="4"/>
  <c r="BN107" i="4"/>
  <c r="BN108" i="4"/>
  <c r="BN85" i="4"/>
  <c r="BN112" i="4"/>
  <c r="BN118" i="4"/>
  <c r="BN135" i="4"/>
  <c r="BN140" i="4"/>
  <c r="BN141" i="4"/>
  <c r="BN148" i="4"/>
  <c r="BN149" i="4"/>
  <c r="BN160" i="4"/>
  <c r="BN39" i="4"/>
  <c r="BN110" i="4"/>
  <c r="BN114" i="4"/>
  <c r="BN115" i="4"/>
  <c r="BN120" i="4"/>
  <c r="BN124" i="4"/>
  <c r="BN128" i="4"/>
  <c r="BN131" i="4"/>
  <c r="BN132" i="4"/>
  <c r="BN138" i="4"/>
  <c r="BN139" i="4"/>
  <c r="BN146" i="4"/>
  <c r="BN147" i="4"/>
  <c r="BN164" i="4"/>
  <c r="BN165" i="4"/>
  <c r="BN166" i="4"/>
  <c r="BN167" i="4"/>
  <c r="BN197" i="4"/>
  <c r="BN97" i="4"/>
  <c r="BN99" i="4"/>
  <c r="BN113" i="4"/>
  <c r="BN126" i="4"/>
  <c r="BN143" i="4"/>
  <c r="BN150" i="4"/>
  <c r="BN152" i="4"/>
  <c r="BN154" i="4"/>
  <c r="BN156" i="4"/>
  <c r="BN158" i="4"/>
  <c r="BN171" i="4"/>
  <c r="BN175" i="4"/>
  <c r="BN179" i="4"/>
  <c r="BN187" i="4"/>
  <c r="BN189" i="4"/>
  <c r="BN192" i="4"/>
  <c r="BN194" i="4"/>
  <c r="BN111" i="4"/>
  <c r="BN117" i="4"/>
  <c r="BN129" i="4"/>
  <c r="BN133" i="4"/>
  <c r="BN137" i="4"/>
  <c r="BN144" i="4"/>
  <c r="BN161" i="4"/>
  <c r="BN163" i="4"/>
  <c r="BN168" i="4"/>
  <c r="BN172" i="4"/>
  <c r="BN176" i="4"/>
  <c r="BN180" i="4"/>
  <c r="BN183" i="4"/>
  <c r="BN185" i="4"/>
  <c r="BN188" i="4"/>
  <c r="BN190" i="4"/>
  <c r="BN116" i="4"/>
  <c r="BN122" i="4"/>
  <c r="BN134" i="4"/>
  <c r="BN142" i="4"/>
  <c r="BN151" i="4"/>
  <c r="BN153" i="4"/>
  <c r="BN155" i="4"/>
  <c r="BN157" i="4"/>
  <c r="BN159" i="4"/>
  <c r="BN169" i="4"/>
  <c r="BN173" i="4"/>
  <c r="BN177" i="4"/>
  <c r="BN181" i="4"/>
  <c r="BN184" i="4"/>
  <c r="BN186" i="4"/>
  <c r="BN195" i="4"/>
  <c r="BN198" i="4"/>
  <c r="BN95" i="4"/>
  <c r="BN162" i="4"/>
  <c r="BN174" i="4"/>
  <c r="BN191" i="4"/>
  <c r="BN196" i="4"/>
  <c r="BN178" i="4"/>
  <c r="BN193" i="4"/>
  <c r="BN145" i="4"/>
  <c r="BN170" i="4"/>
  <c r="BN199" i="4"/>
  <c r="BN136" i="4"/>
  <c r="BN182" i="4"/>
  <c r="BO38" i="4"/>
  <c r="BO40" i="4"/>
  <c r="BO42" i="4"/>
  <c r="BO52" i="4"/>
  <c r="BO54" i="4"/>
  <c r="BO61" i="4"/>
  <c r="BO62" i="4"/>
  <c r="BO65" i="4"/>
  <c r="BO66" i="4"/>
  <c r="BO51" i="4"/>
  <c r="BO59" i="4"/>
  <c r="BO64" i="4"/>
  <c r="BO39" i="4"/>
  <c r="BO41" i="4"/>
  <c r="BO43" i="4"/>
  <c r="BO49" i="4"/>
  <c r="BO56" i="4"/>
  <c r="BO70" i="4"/>
  <c r="BO71" i="4"/>
  <c r="BO74" i="4"/>
  <c r="BO75" i="4"/>
  <c r="BO76" i="4"/>
  <c r="BO77" i="4"/>
  <c r="BO78" i="4"/>
  <c r="BO46" i="4"/>
  <c r="BO48" i="4"/>
  <c r="BO50" i="4"/>
  <c r="BO45" i="4"/>
  <c r="BO58" i="4"/>
  <c r="BO60" i="4"/>
  <c r="BO67" i="4"/>
  <c r="BO72" i="4"/>
  <c r="BO79" i="4"/>
  <c r="BO83" i="4"/>
  <c r="BO84" i="4"/>
  <c r="BO44" i="4"/>
  <c r="BO55" i="4"/>
  <c r="BO68" i="4"/>
  <c r="BO73" i="4"/>
  <c r="BO80" i="4"/>
  <c r="BO81" i="4"/>
  <c r="BO82" i="4"/>
  <c r="BO87" i="4"/>
  <c r="BO88" i="4"/>
  <c r="BO89" i="4"/>
  <c r="BO90" i="4"/>
  <c r="BO91" i="4"/>
  <c r="BO92" i="4"/>
  <c r="BO93" i="4"/>
  <c r="BO94" i="4"/>
  <c r="BO95" i="4"/>
  <c r="BO96" i="4"/>
  <c r="BO97" i="4"/>
  <c r="BO98" i="4"/>
  <c r="BO101" i="4"/>
  <c r="BO106" i="4"/>
  <c r="BO110" i="4"/>
  <c r="BO53" i="4"/>
  <c r="BO85" i="4"/>
  <c r="BO99" i="4"/>
  <c r="BO100" i="4"/>
  <c r="BO111" i="4"/>
  <c r="BO112" i="4"/>
  <c r="BO115" i="4"/>
  <c r="BO116" i="4"/>
  <c r="BO120" i="4"/>
  <c r="BO122" i="4"/>
  <c r="BO124" i="4"/>
  <c r="BO126" i="4"/>
  <c r="BO128" i="4"/>
  <c r="BO129" i="4"/>
  <c r="BO131" i="4"/>
  <c r="BO57" i="4"/>
  <c r="BO86" i="4"/>
  <c r="BO105" i="4"/>
  <c r="BO47" i="4"/>
  <c r="BO69" i="4"/>
  <c r="BO102" i="4"/>
  <c r="BO103" i="4"/>
  <c r="BO104" i="4"/>
  <c r="BO113" i="4"/>
  <c r="BO134" i="4"/>
  <c r="BO142" i="4"/>
  <c r="BO143" i="4"/>
  <c r="BO150" i="4"/>
  <c r="BO151" i="4"/>
  <c r="BO152" i="4"/>
  <c r="BO153" i="4"/>
  <c r="BO154" i="4"/>
  <c r="BO155" i="4"/>
  <c r="BO156" i="4"/>
  <c r="BO157" i="4"/>
  <c r="BO158" i="4"/>
  <c r="BO159" i="4"/>
  <c r="BO107" i="4"/>
  <c r="BO108" i="4"/>
  <c r="BO109" i="4"/>
  <c r="BO118" i="4"/>
  <c r="BO119" i="4"/>
  <c r="BO123" i="4"/>
  <c r="BO127" i="4"/>
  <c r="BO130" i="4"/>
  <c r="BO135" i="4"/>
  <c r="BO140" i="4"/>
  <c r="BO141" i="4"/>
  <c r="BO148" i="4"/>
  <c r="BO149" i="4"/>
  <c r="BO160" i="4"/>
  <c r="BO168" i="4"/>
  <c r="BO169" i="4"/>
  <c r="BO170" i="4"/>
  <c r="BO171" i="4"/>
  <c r="BO172" i="4"/>
  <c r="BO173" i="4"/>
  <c r="BO174" i="4"/>
  <c r="BO175" i="4"/>
  <c r="BO176" i="4"/>
  <c r="BO177" i="4"/>
  <c r="BO178" i="4"/>
  <c r="BO179" i="4"/>
  <c r="BO180" i="4"/>
  <c r="BO181" i="4"/>
  <c r="BO182" i="4"/>
  <c r="BO185" i="4"/>
  <c r="BO186" i="4"/>
  <c r="BO189" i="4"/>
  <c r="BO190" i="4"/>
  <c r="BO193" i="4"/>
  <c r="BO194" i="4"/>
  <c r="BO125" i="4"/>
  <c r="BO136" i="4"/>
  <c r="BO145" i="4"/>
  <c r="BO162" i="4"/>
  <c r="BO166" i="4"/>
  <c r="BO191" i="4"/>
  <c r="BO196" i="4"/>
  <c r="BO197" i="4"/>
  <c r="BO132" i="4"/>
  <c r="BO139" i="4"/>
  <c r="BO146" i="4"/>
  <c r="BO165" i="4"/>
  <c r="BO167" i="4"/>
  <c r="BO187" i="4"/>
  <c r="BO192" i="4"/>
  <c r="BO63" i="4"/>
  <c r="BO117" i="4"/>
  <c r="BO121" i="4"/>
  <c r="BO133" i="4"/>
  <c r="BO137" i="4"/>
  <c r="BO144" i="4"/>
  <c r="BO161" i="4"/>
  <c r="BO163" i="4"/>
  <c r="BO183" i="4"/>
  <c r="BO188" i="4"/>
  <c r="BO199" i="4"/>
  <c r="BO198" i="4"/>
  <c r="BO164" i="4"/>
  <c r="BO138" i="4"/>
  <c r="BO114" i="4"/>
  <c r="BO184" i="4"/>
  <c r="BO147" i="4"/>
  <c r="BO195" i="4"/>
  <c r="BJ51" i="4"/>
  <c r="BJ59" i="4"/>
  <c r="BJ64" i="4"/>
  <c r="BJ45" i="4"/>
  <c r="BJ46" i="4"/>
  <c r="BJ47" i="4"/>
  <c r="BS47" i="4" s="1"/>
  <c r="BJ48" i="4"/>
  <c r="BJ50" i="4"/>
  <c r="BJ57" i="4"/>
  <c r="BJ58" i="4"/>
  <c r="BJ63" i="4"/>
  <c r="BJ38" i="4"/>
  <c r="BJ40" i="4"/>
  <c r="BJ42" i="4"/>
  <c r="BJ62" i="4"/>
  <c r="BJ66" i="4"/>
  <c r="BJ39" i="4"/>
  <c r="BJ41" i="4"/>
  <c r="BJ43" i="4"/>
  <c r="BJ49" i="4"/>
  <c r="BJ56" i="4"/>
  <c r="BJ44" i="4"/>
  <c r="BJ55" i="4"/>
  <c r="BJ67" i="4"/>
  <c r="BJ72" i="4"/>
  <c r="BJ74" i="4"/>
  <c r="BJ78" i="4"/>
  <c r="BJ79" i="4"/>
  <c r="BJ81" i="4"/>
  <c r="BJ82" i="4"/>
  <c r="BJ87" i="4"/>
  <c r="BJ88" i="4"/>
  <c r="BJ89" i="4"/>
  <c r="BJ90" i="4"/>
  <c r="BJ91" i="4"/>
  <c r="BJ92" i="4"/>
  <c r="BJ93" i="4"/>
  <c r="BJ54" i="4"/>
  <c r="BJ65" i="4"/>
  <c r="BR65" i="4" s="1"/>
  <c r="BJ68" i="4"/>
  <c r="BJ70" i="4"/>
  <c r="BJ73" i="4"/>
  <c r="BJ75" i="4"/>
  <c r="BJ80" i="4"/>
  <c r="BJ100" i="4"/>
  <c r="BJ104" i="4"/>
  <c r="BJ105" i="4"/>
  <c r="BJ109" i="4"/>
  <c r="BJ77" i="4"/>
  <c r="BJ84" i="4"/>
  <c r="BJ97" i="4"/>
  <c r="BJ99" i="4"/>
  <c r="BJ110" i="4"/>
  <c r="BJ111" i="4"/>
  <c r="BJ112" i="4"/>
  <c r="BJ115" i="4"/>
  <c r="BJ116" i="4"/>
  <c r="BJ119" i="4"/>
  <c r="BJ121" i="4"/>
  <c r="BJ123" i="4"/>
  <c r="BJ125" i="4"/>
  <c r="BJ127" i="4"/>
  <c r="BJ130" i="4"/>
  <c r="BJ69" i="4"/>
  <c r="BJ85" i="4"/>
  <c r="BJ52" i="4"/>
  <c r="BJ61" i="4"/>
  <c r="BJ83" i="4"/>
  <c r="BJ95" i="4"/>
  <c r="BJ76" i="4"/>
  <c r="BJ94" i="4"/>
  <c r="BJ117" i="4"/>
  <c r="BJ122" i="4"/>
  <c r="BJ126" i="4"/>
  <c r="BJ134" i="4"/>
  <c r="BJ140" i="4"/>
  <c r="BJ141" i="4"/>
  <c r="BJ148" i="4"/>
  <c r="BJ149" i="4"/>
  <c r="BJ160" i="4"/>
  <c r="BJ60" i="4"/>
  <c r="BJ86" i="4"/>
  <c r="BJ96" i="4"/>
  <c r="BJ113" i="4"/>
  <c r="BJ135" i="4"/>
  <c r="BJ138" i="4"/>
  <c r="BJ139" i="4"/>
  <c r="BJ146" i="4"/>
  <c r="BJ147" i="4"/>
  <c r="BJ164" i="4"/>
  <c r="BJ165" i="4"/>
  <c r="BJ166" i="4"/>
  <c r="BJ167" i="4"/>
  <c r="BJ197" i="4"/>
  <c r="BJ107" i="4"/>
  <c r="BJ129" i="4"/>
  <c r="BJ133" i="4"/>
  <c r="BJ142" i="4"/>
  <c r="BJ151" i="4"/>
  <c r="BJ153" i="4"/>
  <c r="BJ155" i="4"/>
  <c r="BJ157" i="4"/>
  <c r="BJ159" i="4"/>
  <c r="BJ170" i="4"/>
  <c r="BJ174" i="4"/>
  <c r="BJ178" i="4"/>
  <c r="BJ182" i="4"/>
  <c r="BJ191" i="4"/>
  <c r="BJ193" i="4"/>
  <c r="BJ196" i="4"/>
  <c r="BJ71" i="4"/>
  <c r="BJ98" i="4"/>
  <c r="BJ102" i="4"/>
  <c r="BJ124" i="4"/>
  <c r="BJ136" i="4"/>
  <c r="BJ145" i="4"/>
  <c r="BJ162" i="4"/>
  <c r="BJ171" i="4"/>
  <c r="BJ175" i="4"/>
  <c r="BJ179" i="4"/>
  <c r="BJ187" i="4"/>
  <c r="BJ189" i="4"/>
  <c r="BJ192" i="4"/>
  <c r="BJ194" i="4"/>
  <c r="BJ106" i="4"/>
  <c r="BJ108" i="4"/>
  <c r="BJ114" i="4"/>
  <c r="BJ143" i="4"/>
  <c r="BJ150" i="4"/>
  <c r="BJ152" i="4"/>
  <c r="BJ154" i="4"/>
  <c r="BJ156" i="4"/>
  <c r="BJ158" i="4"/>
  <c r="BJ168" i="4"/>
  <c r="BJ172" i="4"/>
  <c r="BJ176" i="4"/>
  <c r="BJ180" i="4"/>
  <c r="BJ183" i="4"/>
  <c r="BJ185" i="4"/>
  <c r="BJ188" i="4"/>
  <c r="BJ190" i="4"/>
  <c r="BJ199" i="4"/>
  <c r="BJ103" i="4"/>
  <c r="BJ120" i="4"/>
  <c r="BJ131" i="4"/>
  <c r="BJ169" i="4"/>
  <c r="BJ137" i="4"/>
  <c r="BJ186" i="4"/>
  <c r="BJ53" i="4"/>
  <c r="BJ128" i="4"/>
  <c r="BJ132" i="4"/>
  <c r="BJ144" i="4"/>
  <c r="BJ163" i="4"/>
  <c r="BJ173" i="4"/>
  <c r="BJ195" i="4"/>
  <c r="BJ181" i="4"/>
  <c r="BJ118" i="4"/>
  <c r="BJ161" i="4"/>
  <c r="BJ177" i="4"/>
  <c r="BJ184" i="4"/>
  <c r="BJ198" i="4"/>
  <c r="BJ101" i="4"/>
  <c r="BK38" i="4"/>
  <c r="BK40" i="4"/>
  <c r="BK42" i="4"/>
  <c r="BK52" i="4"/>
  <c r="BK54" i="4"/>
  <c r="BK61" i="4"/>
  <c r="BK62" i="4"/>
  <c r="BK65" i="4"/>
  <c r="BU65" i="4" s="1"/>
  <c r="BK66" i="4"/>
  <c r="BK51" i="4"/>
  <c r="BU51" i="4" s="1"/>
  <c r="BK59" i="4"/>
  <c r="BK64" i="4"/>
  <c r="BK44" i="4"/>
  <c r="BK53" i="4"/>
  <c r="BK55" i="4"/>
  <c r="BK60" i="4"/>
  <c r="BK70" i="4"/>
  <c r="BK71" i="4"/>
  <c r="BK74" i="4"/>
  <c r="BK75" i="4"/>
  <c r="BK76" i="4"/>
  <c r="BK77" i="4"/>
  <c r="BK78" i="4"/>
  <c r="BK45" i="4"/>
  <c r="BV45" i="4" s="1"/>
  <c r="BK47" i="4"/>
  <c r="BK48" i="4"/>
  <c r="BK83" i="4"/>
  <c r="BK84" i="4"/>
  <c r="BK39" i="4"/>
  <c r="BV39" i="4" s="1"/>
  <c r="BK43" i="4"/>
  <c r="BK63" i="4"/>
  <c r="BK67" i="4"/>
  <c r="BU67" i="4" s="1"/>
  <c r="BK72" i="4"/>
  <c r="BK79" i="4"/>
  <c r="BK81" i="4"/>
  <c r="BK82" i="4"/>
  <c r="BK87" i="4"/>
  <c r="BK88" i="4"/>
  <c r="BK89" i="4"/>
  <c r="BK90" i="4"/>
  <c r="BK91" i="4"/>
  <c r="BK92" i="4"/>
  <c r="BK93" i="4"/>
  <c r="BK94" i="4"/>
  <c r="BK95" i="4"/>
  <c r="BK96" i="4"/>
  <c r="BK97" i="4"/>
  <c r="BK98" i="4"/>
  <c r="BK101" i="4"/>
  <c r="BK106" i="4"/>
  <c r="BU106" i="4" s="1"/>
  <c r="BK110" i="4"/>
  <c r="BU110" i="4" s="1"/>
  <c r="BK56" i="4"/>
  <c r="BK86" i="4"/>
  <c r="BK107" i="4"/>
  <c r="BK108" i="4"/>
  <c r="BU108" i="4" s="1"/>
  <c r="BK109" i="4"/>
  <c r="BK120" i="4"/>
  <c r="BV120" i="4" s="1"/>
  <c r="BK122" i="4"/>
  <c r="BV122" i="4" s="1"/>
  <c r="BK124" i="4"/>
  <c r="BV124" i="4" s="1"/>
  <c r="BK126" i="4"/>
  <c r="BV126" i="4" s="1"/>
  <c r="BK128" i="4"/>
  <c r="BV128" i="4" s="1"/>
  <c r="BK129" i="4"/>
  <c r="BK131" i="4"/>
  <c r="BK46" i="4"/>
  <c r="BK57" i="4"/>
  <c r="BK68" i="4"/>
  <c r="BK73" i="4"/>
  <c r="BU73" i="4" s="1"/>
  <c r="BK80" i="4"/>
  <c r="BK41" i="4"/>
  <c r="BV41" i="4" s="1"/>
  <c r="BK49" i="4"/>
  <c r="BK69" i="4"/>
  <c r="BU69" i="4" s="1"/>
  <c r="BK85" i="4"/>
  <c r="BK102" i="4"/>
  <c r="BK103" i="4"/>
  <c r="BK104" i="4"/>
  <c r="BK58" i="4"/>
  <c r="BK111" i="4"/>
  <c r="BK114" i="4"/>
  <c r="BU114" i="4" s="1"/>
  <c r="BK121" i="4"/>
  <c r="BK125" i="4"/>
  <c r="BK133" i="4"/>
  <c r="BK142" i="4"/>
  <c r="BK143" i="4"/>
  <c r="BK150" i="4"/>
  <c r="BK151" i="4"/>
  <c r="BK152" i="4"/>
  <c r="BK153" i="4"/>
  <c r="BK154" i="4"/>
  <c r="BK155" i="4"/>
  <c r="BS155" i="4" s="1"/>
  <c r="BK156" i="4"/>
  <c r="BK157" i="4"/>
  <c r="BS157" i="4" s="1"/>
  <c r="BK158" i="4"/>
  <c r="BK159" i="4"/>
  <c r="BK50" i="4"/>
  <c r="BK116" i="4"/>
  <c r="BU116" i="4" s="1"/>
  <c r="BK117" i="4"/>
  <c r="BK134" i="4"/>
  <c r="BK140" i="4"/>
  <c r="BK141" i="4"/>
  <c r="BS141" i="4" s="1"/>
  <c r="BK148" i="4"/>
  <c r="BK149" i="4"/>
  <c r="BS149" i="4" s="1"/>
  <c r="BK160" i="4"/>
  <c r="BK168" i="4"/>
  <c r="BK169" i="4"/>
  <c r="BK170" i="4"/>
  <c r="BS170" i="4" s="1"/>
  <c r="BK171" i="4"/>
  <c r="BK172" i="4"/>
  <c r="BS172" i="4" s="1"/>
  <c r="BK173" i="4"/>
  <c r="BK174" i="4"/>
  <c r="BK175" i="4"/>
  <c r="BK176" i="4"/>
  <c r="BK177" i="4"/>
  <c r="BK178" i="4"/>
  <c r="BS178" i="4" s="1"/>
  <c r="BK179" i="4"/>
  <c r="BK180" i="4"/>
  <c r="BS180" i="4" s="1"/>
  <c r="BK181" i="4"/>
  <c r="BK182" i="4"/>
  <c r="BK185" i="4"/>
  <c r="BK186" i="4"/>
  <c r="BV186" i="4" s="1"/>
  <c r="BK189" i="4"/>
  <c r="BK190" i="4"/>
  <c r="BV190" i="4" s="1"/>
  <c r="BK193" i="4"/>
  <c r="BK194" i="4"/>
  <c r="BV194" i="4" s="1"/>
  <c r="BK105" i="4"/>
  <c r="BK118" i="4"/>
  <c r="BU118" i="4" s="1"/>
  <c r="BK132" i="4"/>
  <c r="BK137" i="4"/>
  <c r="BK144" i="4"/>
  <c r="BK161" i="4"/>
  <c r="BK163" i="4"/>
  <c r="BS163" i="4" s="1"/>
  <c r="BK184" i="4"/>
  <c r="BV184" i="4" s="1"/>
  <c r="BK195" i="4"/>
  <c r="BK198" i="4"/>
  <c r="BK100" i="4"/>
  <c r="BK123" i="4"/>
  <c r="BK135" i="4"/>
  <c r="BK138" i="4"/>
  <c r="BK147" i="4"/>
  <c r="BK164" i="4"/>
  <c r="BS164" i="4" s="1"/>
  <c r="BK166" i="4"/>
  <c r="BK191" i="4"/>
  <c r="BS191" i="4" s="1"/>
  <c r="BK196" i="4"/>
  <c r="BV196" i="4" s="1"/>
  <c r="BK115" i="4"/>
  <c r="BS115" i="4" s="1"/>
  <c r="BK136" i="4"/>
  <c r="BK145" i="4"/>
  <c r="BS145" i="4" s="1"/>
  <c r="BK162" i="4"/>
  <c r="BS162" i="4" s="1"/>
  <c r="BK167" i="4"/>
  <c r="BK187" i="4"/>
  <c r="BK192" i="4"/>
  <c r="BV192" i="4" s="1"/>
  <c r="BK127" i="4"/>
  <c r="BS127" i="4" s="1"/>
  <c r="BK146" i="4"/>
  <c r="BK165" i="4"/>
  <c r="BK183" i="4"/>
  <c r="BS183" i="4" s="1"/>
  <c r="BK188" i="4"/>
  <c r="BV188" i="4" s="1"/>
  <c r="BK130" i="4"/>
  <c r="BS130" i="4" s="1"/>
  <c r="BK112" i="4"/>
  <c r="BU112" i="4" s="1"/>
  <c r="BK119" i="4"/>
  <c r="BS119" i="4" s="1"/>
  <c r="BK197" i="4"/>
  <c r="BK99" i="4"/>
  <c r="BK113" i="4"/>
  <c r="BK139" i="4"/>
  <c r="BK199" i="4"/>
  <c r="BP39" i="4"/>
  <c r="BP41" i="4"/>
  <c r="BP43" i="4"/>
  <c r="BP44" i="4"/>
  <c r="BX44" i="4" s="1"/>
  <c r="BP49" i="4"/>
  <c r="BP53" i="4"/>
  <c r="BX53" i="4" s="1"/>
  <c r="BP55" i="4"/>
  <c r="BX55" i="4" s="1"/>
  <c r="BP56" i="4"/>
  <c r="BP60" i="4"/>
  <c r="BP38" i="4"/>
  <c r="BP40" i="4"/>
  <c r="BP42" i="4"/>
  <c r="BP52" i="4"/>
  <c r="BP54" i="4"/>
  <c r="BP61" i="4"/>
  <c r="BX61" i="4" s="1"/>
  <c r="BP62" i="4"/>
  <c r="BP65" i="4"/>
  <c r="BX65" i="4" s="1"/>
  <c r="BP45" i="4"/>
  <c r="BP47" i="4"/>
  <c r="BP58" i="4"/>
  <c r="BX58" i="4" s="1"/>
  <c r="BP79" i="4"/>
  <c r="BX79" i="4" s="1"/>
  <c r="BP57" i="4"/>
  <c r="BX57" i="4" s="1"/>
  <c r="BP59" i="4"/>
  <c r="BX59" i="4" s="1"/>
  <c r="BP66" i="4"/>
  <c r="BX66" i="4" s="1"/>
  <c r="BP74" i="4"/>
  <c r="BX74" i="4" s="1"/>
  <c r="BP78" i="4"/>
  <c r="BP85" i="4"/>
  <c r="BX85" i="4" s="1"/>
  <c r="BP86" i="4"/>
  <c r="BX86" i="4" s="1"/>
  <c r="BP48" i="4"/>
  <c r="BP67" i="4"/>
  <c r="BP70" i="4"/>
  <c r="BX70" i="4" s="1"/>
  <c r="BP72" i="4"/>
  <c r="BP75" i="4"/>
  <c r="BX75" i="4" s="1"/>
  <c r="BP83" i="4"/>
  <c r="BP84" i="4"/>
  <c r="BX84" i="4" s="1"/>
  <c r="BP102" i="4"/>
  <c r="BX102" i="4" s="1"/>
  <c r="BP107" i="4"/>
  <c r="BP111" i="4"/>
  <c r="BP113" i="4"/>
  <c r="BP115" i="4"/>
  <c r="BP117" i="4"/>
  <c r="BX117" i="4" s="1"/>
  <c r="BP50" i="4"/>
  <c r="BP63" i="4"/>
  <c r="BX63" i="4" s="1"/>
  <c r="BP69" i="4"/>
  <c r="BX69" i="4" s="1"/>
  <c r="BP97" i="4"/>
  <c r="BP108" i="4"/>
  <c r="BP109" i="4"/>
  <c r="BP110" i="4"/>
  <c r="BP132" i="4"/>
  <c r="BP133" i="4"/>
  <c r="BP134" i="4"/>
  <c r="BX134" i="4" s="1"/>
  <c r="BP135" i="4"/>
  <c r="BX135" i="4" s="1"/>
  <c r="BP51" i="4"/>
  <c r="BX51" i="4" s="1"/>
  <c r="BP71" i="4"/>
  <c r="BP76" i="4"/>
  <c r="BX76" i="4" s="1"/>
  <c r="BP81" i="4"/>
  <c r="BX81" i="4" s="1"/>
  <c r="BP87" i="4"/>
  <c r="BX87" i="4" s="1"/>
  <c r="BP89" i="4"/>
  <c r="BP46" i="4"/>
  <c r="BX46" i="4" s="1"/>
  <c r="BP64" i="4"/>
  <c r="BX64" i="4" s="1"/>
  <c r="BP77" i="4"/>
  <c r="BX77" i="4" s="1"/>
  <c r="BP95" i="4"/>
  <c r="BP103" i="4"/>
  <c r="BP104" i="4"/>
  <c r="BP82" i="4"/>
  <c r="BX82" i="4" s="1"/>
  <c r="BP91" i="4"/>
  <c r="BP98" i="4"/>
  <c r="BX98" i="4" s="1"/>
  <c r="BP99" i="4"/>
  <c r="BP100" i="4"/>
  <c r="BP101" i="4"/>
  <c r="BP116" i="4"/>
  <c r="BP121" i="4"/>
  <c r="BP122" i="4"/>
  <c r="BP125" i="4"/>
  <c r="BP126" i="4"/>
  <c r="BP136" i="4"/>
  <c r="BP137" i="4"/>
  <c r="BP144" i="4"/>
  <c r="BP145" i="4"/>
  <c r="BP161" i="4"/>
  <c r="BX161" i="4" s="1"/>
  <c r="BP162" i="4"/>
  <c r="BP163" i="4"/>
  <c r="BP73" i="4"/>
  <c r="BX73" i="4" s="1"/>
  <c r="BP80" i="4"/>
  <c r="BP88" i="4"/>
  <c r="BP90" i="4"/>
  <c r="BP105" i="4"/>
  <c r="BP106" i="4"/>
  <c r="BP112" i="4"/>
  <c r="BP142" i="4"/>
  <c r="BX142" i="4" s="1"/>
  <c r="BP143" i="4"/>
  <c r="BX143" i="4" s="1"/>
  <c r="BP150" i="4"/>
  <c r="BX150" i="4" s="1"/>
  <c r="BP151" i="4"/>
  <c r="BP152" i="4"/>
  <c r="BP153" i="4"/>
  <c r="BX153" i="4" s="1"/>
  <c r="BP154" i="4"/>
  <c r="BP155" i="4"/>
  <c r="BP156" i="4"/>
  <c r="BP157" i="4"/>
  <c r="BX157" i="4" s="1"/>
  <c r="BP158" i="4"/>
  <c r="BX158" i="4" s="1"/>
  <c r="BP159" i="4"/>
  <c r="BP199" i="4"/>
  <c r="BP68" i="4"/>
  <c r="BP114" i="4"/>
  <c r="BX114" i="4" s="1"/>
  <c r="BP138" i="4"/>
  <c r="BP147" i="4"/>
  <c r="BP164" i="4"/>
  <c r="BP170" i="4"/>
  <c r="BP174" i="4"/>
  <c r="BP178" i="4"/>
  <c r="BP182" i="4"/>
  <c r="BX182" i="4" s="1"/>
  <c r="BP184" i="4"/>
  <c r="BP193" i="4"/>
  <c r="BP195" i="4"/>
  <c r="BP198" i="4"/>
  <c r="BX198" i="4" s="1"/>
  <c r="BP94" i="4"/>
  <c r="BP118" i="4"/>
  <c r="BP119" i="4"/>
  <c r="BP120" i="4"/>
  <c r="BX120" i="4" s="1"/>
  <c r="BP127" i="4"/>
  <c r="BP128" i="4"/>
  <c r="BP130" i="4"/>
  <c r="BP131" i="4"/>
  <c r="BX131" i="4" s="1"/>
  <c r="BP141" i="4"/>
  <c r="BP148" i="4"/>
  <c r="BX148" i="4" s="1"/>
  <c r="BP160" i="4"/>
  <c r="BP166" i="4"/>
  <c r="BP171" i="4"/>
  <c r="BX171" i="4" s="1"/>
  <c r="BP175" i="4"/>
  <c r="BP179" i="4"/>
  <c r="BX179" i="4" s="1"/>
  <c r="BP189" i="4"/>
  <c r="BX189" i="4" s="1"/>
  <c r="BP191" i="4"/>
  <c r="BP194" i="4"/>
  <c r="BX194" i="4" s="1"/>
  <c r="BP92" i="4"/>
  <c r="BP96" i="4"/>
  <c r="BP129" i="4"/>
  <c r="BX129" i="4" s="1"/>
  <c r="BP139" i="4"/>
  <c r="BP146" i="4"/>
  <c r="BP165" i="4"/>
  <c r="BP167" i="4"/>
  <c r="BP168" i="4"/>
  <c r="BX168" i="4" s="1"/>
  <c r="BP172" i="4"/>
  <c r="BP176" i="4"/>
  <c r="BP180" i="4"/>
  <c r="BP185" i="4"/>
  <c r="BP187" i="4"/>
  <c r="BP190" i="4"/>
  <c r="BP192" i="4"/>
  <c r="BP123" i="4"/>
  <c r="BP140" i="4"/>
  <c r="BX140" i="4" s="1"/>
  <c r="BP181" i="4"/>
  <c r="BX181" i="4" s="1"/>
  <c r="BP186" i="4"/>
  <c r="BP93" i="4"/>
  <c r="BX93" i="4" s="1"/>
  <c r="BP124" i="4"/>
  <c r="BX124" i="4" s="1"/>
  <c r="BP149" i="4"/>
  <c r="BX149" i="4" s="1"/>
  <c r="BP169" i="4"/>
  <c r="BX169" i="4" s="1"/>
  <c r="BP183" i="4"/>
  <c r="BP188" i="4"/>
  <c r="BP196" i="4"/>
  <c r="BP197" i="4"/>
  <c r="BP177" i="4"/>
  <c r="BX177" i="4" s="1"/>
  <c r="BP173" i="4"/>
  <c r="BX40" i="4"/>
  <c r="BX42" i="4"/>
  <c r="BR38" i="4"/>
  <c r="BS49" i="4"/>
  <c r="BS50" i="4"/>
  <c r="BS52" i="4"/>
  <c r="BS54" i="4"/>
  <c r="BS55" i="4"/>
  <c r="BS75" i="4"/>
  <c r="BS80" i="4"/>
  <c r="BS88" i="4"/>
  <c r="BS90" i="4"/>
  <c r="BX90" i="4"/>
  <c r="BR109" i="4"/>
  <c r="BR121" i="4"/>
  <c r="BX156" i="4"/>
  <c r="BR129" i="4"/>
  <c r="BS129" i="4"/>
  <c r="BS173" i="4"/>
  <c r="BR141" i="4"/>
  <c r="BR143" i="4"/>
  <c r="BS42" i="4"/>
  <c r="BS189" i="4"/>
  <c r="BR149" i="4"/>
  <c r="BR145" i="4"/>
  <c r="BR139" i="4"/>
  <c r="BS96" i="4"/>
  <c r="BS76" i="4"/>
  <c r="BS40" i="4"/>
  <c r="BR67" i="4"/>
  <c r="BR56" i="4"/>
  <c r="BS44" i="4"/>
  <c r="BS169" i="4"/>
  <c r="BS185" i="4"/>
  <c r="BS179" i="4"/>
  <c r="BS117" i="4"/>
  <c r="BT131" i="4"/>
  <c r="BS107" i="4"/>
  <c r="BS78" i="4"/>
  <c r="BT114" i="4"/>
  <c r="BR54" i="4"/>
  <c r="BS72" i="4"/>
  <c r="BR50" i="4"/>
  <c r="CA50" i="4" s="1"/>
  <c r="BS153" i="4"/>
  <c r="BQ45" i="4"/>
  <c r="BQ46" i="4"/>
  <c r="BQ47" i="4"/>
  <c r="BQ48" i="4"/>
  <c r="BQ50" i="4"/>
  <c r="BQ57" i="4"/>
  <c r="BQ58" i="4"/>
  <c r="BQ63" i="4"/>
  <c r="BQ39" i="4"/>
  <c r="BQ41" i="4"/>
  <c r="BQ43" i="4"/>
  <c r="BQ44" i="4"/>
  <c r="BQ49" i="4"/>
  <c r="BQ53" i="4"/>
  <c r="BQ55" i="4"/>
  <c r="BQ56" i="4"/>
  <c r="BQ60" i="4"/>
  <c r="BQ51" i="4"/>
  <c r="BQ64" i="4"/>
  <c r="BQ66" i="4"/>
  <c r="BQ67" i="4"/>
  <c r="BY67" i="4" s="1"/>
  <c r="BQ68" i="4"/>
  <c r="BQ69" i="4"/>
  <c r="BQ72" i="4"/>
  <c r="BQ73" i="4"/>
  <c r="BQ52" i="4"/>
  <c r="BQ54" i="4"/>
  <c r="BQ38" i="4"/>
  <c r="BQ42" i="4"/>
  <c r="BQ77" i="4"/>
  <c r="BQ59" i="4"/>
  <c r="BQ61" i="4"/>
  <c r="BQ74" i="4"/>
  <c r="BQ78" i="4"/>
  <c r="BQ79" i="4"/>
  <c r="BQ85" i="4"/>
  <c r="BQ86" i="4"/>
  <c r="BQ99" i="4"/>
  <c r="BQ103" i="4"/>
  <c r="BQ108" i="4"/>
  <c r="BQ112" i="4"/>
  <c r="BQ114" i="4"/>
  <c r="BQ116" i="4"/>
  <c r="BQ118" i="4"/>
  <c r="BQ65" i="4"/>
  <c r="BQ80" i="4"/>
  <c r="BQ82" i="4"/>
  <c r="BQ88" i="4"/>
  <c r="BQ90" i="4"/>
  <c r="BQ92" i="4"/>
  <c r="BQ96" i="4"/>
  <c r="BQ105" i="4"/>
  <c r="BQ106" i="4"/>
  <c r="BQ107" i="4"/>
  <c r="BQ40" i="4"/>
  <c r="BQ62" i="4"/>
  <c r="BQ70" i="4"/>
  <c r="BQ75" i="4"/>
  <c r="BQ83" i="4"/>
  <c r="BQ71" i="4"/>
  <c r="BQ76" i="4"/>
  <c r="BQ81" i="4"/>
  <c r="BQ87" i="4"/>
  <c r="BQ89" i="4"/>
  <c r="BQ91" i="4"/>
  <c r="BQ93" i="4"/>
  <c r="BQ94" i="4"/>
  <c r="BQ98" i="4"/>
  <c r="BQ100" i="4"/>
  <c r="BQ101" i="4"/>
  <c r="BQ102" i="4"/>
  <c r="BQ97" i="4"/>
  <c r="BQ117" i="4"/>
  <c r="BQ129" i="4"/>
  <c r="BQ133" i="4"/>
  <c r="BQ138" i="4"/>
  <c r="BQ139" i="4"/>
  <c r="BQ146" i="4"/>
  <c r="BQ147" i="4"/>
  <c r="BQ164" i="4"/>
  <c r="BQ165" i="4"/>
  <c r="BQ104" i="4"/>
  <c r="BQ113" i="4"/>
  <c r="BQ121" i="4"/>
  <c r="BQ122" i="4"/>
  <c r="BQ125" i="4"/>
  <c r="BQ126" i="4"/>
  <c r="BQ134" i="4"/>
  <c r="BQ136" i="4"/>
  <c r="BQ137" i="4"/>
  <c r="BQ144" i="4"/>
  <c r="BQ145" i="4"/>
  <c r="BQ161" i="4"/>
  <c r="BQ162" i="4"/>
  <c r="BQ163" i="4"/>
  <c r="BQ183" i="4"/>
  <c r="BQ184" i="4"/>
  <c r="BQ187" i="4"/>
  <c r="BQ188" i="4"/>
  <c r="BQ191" i="4"/>
  <c r="BQ192" i="4"/>
  <c r="BQ195" i="4"/>
  <c r="BQ196" i="4"/>
  <c r="BQ198" i="4"/>
  <c r="BQ95" i="4"/>
  <c r="BY95" i="4" s="1"/>
  <c r="BQ123" i="4"/>
  <c r="BQ124" i="4"/>
  <c r="BQ140" i="4"/>
  <c r="BQ149" i="4"/>
  <c r="BQ169" i="4"/>
  <c r="BQ173" i="4"/>
  <c r="BQ177" i="4"/>
  <c r="BQ181" i="4"/>
  <c r="BQ186" i="4"/>
  <c r="BQ109" i="4"/>
  <c r="BQ143" i="4"/>
  <c r="BQ150" i="4"/>
  <c r="BQ152" i="4"/>
  <c r="BQ154" i="4"/>
  <c r="BQ156" i="4"/>
  <c r="BQ158" i="4"/>
  <c r="BQ170" i="4"/>
  <c r="BQ174" i="4"/>
  <c r="BQ178" i="4"/>
  <c r="BQ182" i="4"/>
  <c r="BQ193" i="4"/>
  <c r="BQ84" i="4"/>
  <c r="BQ111" i="4"/>
  <c r="BQ119" i="4"/>
  <c r="BQ120" i="4"/>
  <c r="BQ127" i="4"/>
  <c r="BQ128" i="4"/>
  <c r="BQ130" i="4"/>
  <c r="BQ131" i="4"/>
  <c r="BQ132" i="4"/>
  <c r="BQ141" i="4"/>
  <c r="BQ148" i="4"/>
  <c r="BQ160" i="4"/>
  <c r="BQ166" i="4"/>
  <c r="BQ171" i="4"/>
  <c r="BQ175" i="4"/>
  <c r="BQ179" i="4"/>
  <c r="BQ189" i="4"/>
  <c r="BQ194" i="4"/>
  <c r="BQ197" i="4"/>
  <c r="BQ110" i="4"/>
  <c r="BQ115" i="4"/>
  <c r="BQ151" i="4"/>
  <c r="BQ159" i="4"/>
  <c r="BQ172" i="4"/>
  <c r="BQ199" i="4"/>
  <c r="BQ142" i="4"/>
  <c r="BQ153" i="4"/>
  <c r="BQ168" i="4"/>
  <c r="BQ135" i="4"/>
  <c r="BQ157" i="4"/>
  <c r="BQ167" i="4"/>
  <c r="BQ176" i="4"/>
  <c r="BQ155" i="4"/>
  <c r="BQ180" i="4"/>
  <c r="BQ185" i="4"/>
  <c r="BQ190" i="4"/>
  <c r="BR59" i="4"/>
  <c r="BR64" i="4"/>
  <c r="BR45" i="4"/>
  <c r="BR47" i="4"/>
  <c r="BR48" i="4"/>
  <c r="BR57" i="4"/>
  <c r="BR63" i="4"/>
  <c r="BR62" i="4"/>
  <c r="BR39" i="4"/>
  <c r="BR43" i="4"/>
  <c r="BR49" i="4"/>
  <c r="BR53" i="4"/>
  <c r="BR69" i="4"/>
  <c r="BR71" i="4"/>
  <c r="BR76" i="4"/>
  <c r="BR80" i="4"/>
  <c r="BR81" i="4"/>
  <c r="BR87" i="4"/>
  <c r="BR88" i="4"/>
  <c r="BR89" i="4"/>
  <c r="BR90" i="4"/>
  <c r="BR91" i="4"/>
  <c r="BR92" i="4"/>
  <c r="BR93" i="4"/>
  <c r="BR60" i="4"/>
  <c r="BR66" i="4"/>
  <c r="BR77" i="4"/>
  <c r="BR100" i="4"/>
  <c r="BR104" i="4"/>
  <c r="BR68" i="4"/>
  <c r="BR73" i="4"/>
  <c r="BR95" i="4"/>
  <c r="BR114" i="4"/>
  <c r="BR118" i="4"/>
  <c r="BR130" i="4"/>
  <c r="BR74" i="4"/>
  <c r="BR85" i="4"/>
  <c r="BR70" i="4"/>
  <c r="BR75" i="4"/>
  <c r="BR83" i="4"/>
  <c r="BR97" i="4"/>
  <c r="BR99" i="4"/>
  <c r="BR72" i="4"/>
  <c r="BR79" i="4"/>
  <c r="BR96" i="4"/>
  <c r="BR120" i="4"/>
  <c r="BR124" i="4"/>
  <c r="BR128" i="4"/>
  <c r="BR132" i="4"/>
  <c r="BR140" i="4"/>
  <c r="BR148" i="4"/>
  <c r="BR160" i="4"/>
  <c r="BR98" i="4"/>
  <c r="BR101" i="4"/>
  <c r="BR102" i="4"/>
  <c r="BR103" i="4"/>
  <c r="BR116" i="4"/>
  <c r="BR138" i="4"/>
  <c r="BR146" i="4"/>
  <c r="BR164" i="4"/>
  <c r="BR165" i="4"/>
  <c r="BR166" i="4"/>
  <c r="BR55" i="4"/>
  <c r="BR142" i="4"/>
  <c r="BR151" i="4"/>
  <c r="BR153" i="4"/>
  <c r="BR155" i="4"/>
  <c r="BR157" i="4"/>
  <c r="BR159" i="4"/>
  <c r="BR168" i="4"/>
  <c r="BR172" i="4"/>
  <c r="BR176" i="4"/>
  <c r="BR180" i="4"/>
  <c r="BR183" i="4"/>
  <c r="BR185" i="4"/>
  <c r="BR188" i="4"/>
  <c r="BR190" i="4"/>
  <c r="BR61" i="4"/>
  <c r="BR112" i="4"/>
  <c r="BR126" i="4"/>
  <c r="BR136" i="4"/>
  <c r="BR162" i="4"/>
  <c r="BR169" i="4"/>
  <c r="BR173" i="4"/>
  <c r="BR177" i="4"/>
  <c r="BR181" i="4"/>
  <c r="BR184" i="4"/>
  <c r="BR186" i="4"/>
  <c r="BR195" i="4"/>
  <c r="BR78" i="4"/>
  <c r="BR94" i="4"/>
  <c r="BR150" i="4"/>
  <c r="BR152" i="4"/>
  <c r="BR154" i="4"/>
  <c r="BR156" i="4"/>
  <c r="BR158" i="4"/>
  <c r="BR170" i="4"/>
  <c r="BR174" i="4"/>
  <c r="BR178" i="4"/>
  <c r="BR182" i="4"/>
  <c r="BR191" i="4"/>
  <c r="BR193" i="4"/>
  <c r="BR196" i="4"/>
  <c r="BR134" i="4"/>
  <c r="BR179" i="4"/>
  <c r="BR189" i="4"/>
  <c r="BR194" i="4"/>
  <c r="BR122" i="4"/>
  <c r="BR175" i="4"/>
  <c r="BR192" i="4"/>
  <c r="BR86" i="4"/>
  <c r="BR161" i="4"/>
  <c r="BR187" i="4"/>
  <c r="BR144" i="4"/>
  <c r="BR163" i="4"/>
  <c r="BR171" i="4"/>
  <c r="BS51" i="4"/>
  <c r="BS53" i="4"/>
  <c r="BS71" i="4"/>
  <c r="BS45" i="4"/>
  <c r="BS65" i="4"/>
  <c r="BS73" i="4"/>
  <c r="BS69" i="4"/>
  <c r="BS39" i="4"/>
  <c r="BS120" i="4"/>
  <c r="BS122" i="4"/>
  <c r="BS124" i="4"/>
  <c r="BS126" i="4"/>
  <c r="BS128" i="4"/>
  <c r="BS110" i="4"/>
  <c r="BS114" i="4"/>
  <c r="BS182" i="4"/>
  <c r="BS190" i="4"/>
  <c r="BS194" i="4"/>
  <c r="BS192" i="4"/>
  <c r="BS188" i="4"/>
  <c r="BS112" i="4"/>
  <c r="BS118" i="4"/>
  <c r="BS108" i="4"/>
  <c r="BS116" i="4"/>
  <c r="BS67" i="4"/>
  <c r="BS106" i="4"/>
  <c r="BS196" i="4"/>
  <c r="BX54" i="4"/>
  <c r="BX67" i="4"/>
  <c r="BX56" i="4"/>
  <c r="BX95" i="4"/>
  <c r="BX91" i="4"/>
  <c r="BX97" i="4"/>
  <c r="BX163" i="4"/>
  <c r="BX147" i="4"/>
  <c r="BX172" i="4"/>
  <c r="BX71" i="4"/>
  <c r="BX89" i="4"/>
  <c r="BX190" i="4"/>
  <c r="BX178" i="4"/>
  <c r="BR42" i="4"/>
  <c r="BR44" i="4"/>
  <c r="BX45" i="4"/>
  <c r="BX50" i="4"/>
  <c r="BX52" i="4"/>
  <c r="BS59" i="4"/>
  <c r="BX62" i="4"/>
  <c r="BX78" i="4"/>
  <c r="BS64" i="4"/>
  <c r="BS84" i="4"/>
  <c r="BX94" i="4"/>
  <c r="BS99" i="4"/>
  <c r="BS100" i="4"/>
  <c r="BS103" i="4"/>
  <c r="BX104" i="4"/>
  <c r="BX109" i="4"/>
  <c r="BR105" i="4"/>
  <c r="BX106" i="4"/>
  <c r="BX108" i="4"/>
  <c r="BR113" i="4"/>
  <c r="BR115" i="4"/>
  <c r="BR125" i="4"/>
  <c r="BX132" i="4"/>
  <c r="BX173" i="4"/>
  <c r="BX185" i="4"/>
  <c r="BX197" i="4"/>
  <c r="BS160" i="4"/>
  <c r="BS198" i="4"/>
  <c r="BS193" i="4"/>
  <c r="BS199" i="4"/>
  <c r="BS181" i="4"/>
  <c r="BS125" i="4"/>
  <c r="BR167" i="4"/>
  <c r="BS197" i="4"/>
  <c r="BS175" i="4"/>
  <c r="BS111" i="4"/>
  <c r="BS195" i="4"/>
  <c r="BS187" i="4"/>
  <c r="BR137" i="4"/>
  <c r="BS123" i="4"/>
  <c r="BR147" i="4"/>
  <c r="BR135" i="4"/>
  <c r="BR106" i="4"/>
  <c r="BS74" i="4"/>
  <c r="BS38" i="4"/>
  <c r="BS98" i="4"/>
  <c r="BT112" i="4"/>
  <c r="BS86" i="4"/>
  <c r="BS66" i="4"/>
  <c r="BS70" i="4"/>
  <c r="BR52" i="4"/>
  <c r="BT51" i="4"/>
  <c r="BM37" i="4"/>
  <c r="BQ37" i="4"/>
  <c r="BJ37" i="4"/>
  <c r="BN37" i="4"/>
  <c r="BK37" i="4"/>
  <c r="BO37" i="4"/>
  <c r="BL37" i="4"/>
  <c r="BP37" i="4"/>
  <c r="BM33" i="4"/>
  <c r="BQ33" i="4"/>
  <c r="BJ33" i="4"/>
  <c r="BN33" i="4"/>
  <c r="BK33" i="4"/>
  <c r="BO33" i="4"/>
  <c r="BL33" i="4"/>
  <c r="BP33" i="4"/>
  <c r="BM34" i="4"/>
  <c r="BQ34" i="4"/>
  <c r="BJ34" i="4"/>
  <c r="BR34" i="4" s="1"/>
  <c r="BN34" i="4"/>
  <c r="BK34" i="4"/>
  <c r="BO34" i="4"/>
  <c r="BL34" i="4"/>
  <c r="BP34" i="4"/>
  <c r="BJ32" i="4"/>
  <c r="BN32" i="4"/>
  <c r="BK32" i="4"/>
  <c r="BO32" i="4"/>
  <c r="BL32" i="4"/>
  <c r="BP32" i="4"/>
  <c r="BM32" i="4"/>
  <c r="BQ32" i="4"/>
  <c r="BL36" i="4"/>
  <c r="BP36" i="4"/>
  <c r="BM36" i="4"/>
  <c r="BQ36" i="4"/>
  <c r="BJ36" i="4"/>
  <c r="BN36" i="4"/>
  <c r="BK36" i="4"/>
  <c r="BO36" i="4"/>
  <c r="BM35" i="4"/>
  <c r="BQ35" i="4"/>
  <c r="BJ35" i="4"/>
  <c r="BR35" i="4" s="1"/>
  <c r="BN35" i="4"/>
  <c r="BK35" i="4"/>
  <c r="BO35" i="4"/>
  <c r="BL35" i="4"/>
  <c r="BP35" i="4"/>
  <c r="CA129"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B32" i="4"/>
  <c r="A32" i="4"/>
  <c r="B3" i="4"/>
  <c r="B4" i="4"/>
  <c r="B5" i="4"/>
  <c r="B6"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H1" i="4"/>
  <c r="G1" i="4"/>
  <c r="F1" i="4"/>
  <c r="E1" i="4"/>
  <c r="D1" i="4"/>
  <c r="BY106" i="4" l="1"/>
  <c r="BY156" i="4"/>
  <c r="BY71" i="4"/>
  <c r="BY108" i="4"/>
  <c r="CA64" i="4"/>
  <c r="BY124" i="4"/>
  <c r="BX193" i="4"/>
  <c r="BX100" i="4"/>
  <c r="BY128" i="4"/>
  <c r="BZ121" i="4"/>
  <c r="BY66" i="4"/>
  <c r="BX188" i="4"/>
  <c r="BX199" i="4"/>
  <c r="BZ42" i="4"/>
  <c r="BX167" i="4"/>
  <c r="BX137" i="4"/>
  <c r="BS137" i="4"/>
  <c r="BX186" i="4"/>
  <c r="BS184" i="4"/>
  <c r="BY81" i="4"/>
  <c r="BY114" i="4"/>
  <c r="BX112" i="4"/>
  <c r="BX176" i="4"/>
  <c r="BX164" i="4"/>
  <c r="BX105" i="4"/>
  <c r="BX184" i="4"/>
  <c r="CA178" i="4"/>
  <c r="CA88" i="4"/>
  <c r="CA49" i="4"/>
  <c r="BY112" i="4"/>
  <c r="BZ109" i="4"/>
  <c r="J4" i="4"/>
  <c r="E4" i="4"/>
  <c r="I4" i="4"/>
  <c r="N4" i="4"/>
  <c r="R4" i="4"/>
  <c r="V4" i="4"/>
  <c r="Z4" i="4"/>
  <c r="AD4" i="4"/>
  <c r="AH4" i="4"/>
  <c r="AL4" i="4"/>
  <c r="AP4" i="4"/>
  <c r="AT4" i="4"/>
  <c r="AX4" i="4"/>
  <c r="F4" i="4"/>
  <c r="K4" i="4"/>
  <c r="O4" i="4"/>
  <c r="S4" i="4"/>
  <c r="W4" i="4"/>
  <c r="AA4" i="4"/>
  <c r="AE4" i="4"/>
  <c r="AI4" i="4"/>
  <c r="AM4" i="4"/>
  <c r="AU4" i="4"/>
  <c r="AY4" i="4"/>
  <c r="AQ4" i="4"/>
  <c r="G4" i="4"/>
  <c r="P4" i="4"/>
  <c r="X4" i="4"/>
  <c r="AF4" i="4"/>
  <c r="AN4" i="4"/>
  <c r="AV4" i="4"/>
  <c r="L4" i="4"/>
  <c r="T4" i="4"/>
  <c r="AB4" i="4"/>
  <c r="AJ4" i="4"/>
  <c r="AR4" i="4"/>
  <c r="AZ4" i="4"/>
  <c r="H4" i="4"/>
  <c r="Y4" i="4"/>
  <c r="AO4" i="4"/>
  <c r="M4" i="4"/>
  <c r="AC4" i="4"/>
  <c r="AS4" i="4"/>
  <c r="D4" i="4"/>
  <c r="U4" i="4"/>
  <c r="AK4" i="4"/>
  <c r="BA4" i="4"/>
  <c r="Q4" i="4"/>
  <c r="AG4" i="4"/>
  <c r="AW4" i="4"/>
  <c r="BF4" i="4"/>
  <c r="BG4" i="4"/>
  <c r="BD4" i="4"/>
  <c r="BE4" i="4"/>
  <c r="BH4" i="4"/>
  <c r="BX113" i="4"/>
  <c r="CA145" i="4"/>
  <c r="BX133" i="4"/>
  <c r="G3" i="4"/>
  <c r="K3" i="4"/>
  <c r="O3" i="4"/>
  <c r="S3" i="4"/>
  <c r="W3" i="4"/>
  <c r="AA3" i="4"/>
  <c r="AE3" i="4"/>
  <c r="AI3" i="4"/>
  <c r="AM3" i="4"/>
  <c r="AQ3" i="4"/>
  <c r="AU3" i="4"/>
  <c r="AY3" i="4"/>
  <c r="D3" i="4"/>
  <c r="H3" i="4"/>
  <c r="L3" i="4"/>
  <c r="P3" i="4"/>
  <c r="T3" i="4"/>
  <c r="X3" i="4"/>
  <c r="AB3" i="4"/>
  <c r="AF3" i="4"/>
  <c r="AJ3" i="4"/>
  <c r="AN3" i="4"/>
  <c r="AR3" i="4"/>
  <c r="AV3" i="4"/>
  <c r="AZ3" i="4"/>
  <c r="AG3" i="4"/>
  <c r="AO3" i="4"/>
  <c r="AW3" i="4"/>
  <c r="E3" i="4"/>
  <c r="I3" i="4"/>
  <c r="M3" i="4"/>
  <c r="Q3" i="4"/>
  <c r="U3" i="4"/>
  <c r="Y3" i="4"/>
  <c r="AC3" i="4"/>
  <c r="AK3" i="4"/>
  <c r="AS3" i="4"/>
  <c r="BA3" i="4"/>
  <c r="J3" i="4"/>
  <c r="Z3" i="4"/>
  <c r="AP3" i="4"/>
  <c r="N3" i="4"/>
  <c r="AD3" i="4"/>
  <c r="AT3" i="4"/>
  <c r="F3" i="4"/>
  <c r="V3" i="4"/>
  <c r="AL3" i="4"/>
  <c r="R3" i="4"/>
  <c r="AH3" i="4"/>
  <c r="AX3" i="4"/>
  <c r="BG3" i="4"/>
  <c r="BD3" i="4"/>
  <c r="BH3" i="4"/>
  <c r="BF3" i="4"/>
  <c r="BE3" i="4"/>
  <c r="F6" i="4"/>
  <c r="J6" i="4"/>
  <c r="N6" i="4"/>
  <c r="R6" i="4"/>
  <c r="V6" i="4"/>
  <c r="Z6" i="4"/>
  <c r="AD6" i="4"/>
  <c r="AH6" i="4"/>
  <c r="AL6" i="4"/>
  <c r="AP6" i="4"/>
  <c r="AT6" i="4"/>
  <c r="AX6" i="4"/>
  <c r="G6" i="4"/>
  <c r="O6" i="4"/>
  <c r="W6" i="4"/>
  <c r="AA6" i="4"/>
  <c r="AI6" i="4"/>
  <c r="AQ6" i="4"/>
  <c r="AU6" i="4"/>
  <c r="AB6" i="4"/>
  <c r="K6" i="4"/>
  <c r="S6" i="4"/>
  <c r="AE6" i="4"/>
  <c r="AM6" i="4"/>
  <c r="AY6" i="4"/>
  <c r="D6" i="4"/>
  <c r="L6" i="4"/>
  <c r="T6" i="4"/>
  <c r="X6" i="4"/>
  <c r="AJ6" i="4"/>
  <c r="AR6" i="4"/>
  <c r="AZ6" i="4"/>
  <c r="H6" i="4"/>
  <c r="P6" i="4"/>
  <c r="AF6" i="4"/>
  <c r="AN6" i="4"/>
  <c r="AV6" i="4"/>
  <c r="E6" i="4"/>
  <c r="U6" i="4"/>
  <c r="AK6" i="4"/>
  <c r="BA6" i="4"/>
  <c r="I6" i="4"/>
  <c r="Y6" i="4"/>
  <c r="AO6" i="4"/>
  <c r="AG6" i="4"/>
  <c r="AW6" i="4"/>
  <c r="Q6" i="4"/>
  <c r="M6" i="4"/>
  <c r="AC6" i="4"/>
  <c r="AS6" i="4"/>
  <c r="BD6" i="4"/>
  <c r="BH6" i="4"/>
  <c r="BE6" i="4"/>
  <c r="BG6" i="4"/>
  <c r="BF6" i="4"/>
  <c r="D5" i="4"/>
  <c r="H5" i="4"/>
  <c r="L5" i="4"/>
  <c r="P5" i="4"/>
  <c r="T5" i="4"/>
  <c r="X5" i="4"/>
  <c r="AB5" i="4"/>
  <c r="AF5" i="4"/>
  <c r="AJ5" i="4"/>
  <c r="AN5" i="4"/>
  <c r="AR5" i="4"/>
  <c r="AV5" i="4"/>
  <c r="AZ5" i="4"/>
  <c r="E5" i="4"/>
  <c r="I5" i="4"/>
  <c r="M5" i="4"/>
  <c r="Q5" i="4"/>
  <c r="U5" i="4"/>
  <c r="Y5" i="4"/>
  <c r="AG5" i="4"/>
  <c r="AK5" i="4"/>
  <c r="AO5" i="4"/>
  <c r="AW5" i="4"/>
  <c r="Z5" i="4"/>
  <c r="AC5" i="4"/>
  <c r="AS5" i="4"/>
  <c r="BA5" i="4"/>
  <c r="F5" i="4"/>
  <c r="R5" i="4"/>
  <c r="AD5" i="4"/>
  <c r="AL5" i="4"/>
  <c r="AT5" i="4"/>
  <c r="J5" i="4"/>
  <c r="N5" i="4"/>
  <c r="V5" i="4"/>
  <c r="AH5" i="4"/>
  <c r="AP5" i="4"/>
  <c r="AX5" i="4"/>
  <c r="G5" i="4"/>
  <c r="W5" i="4"/>
  <c r="AM5" i="4"/>
  <c r="K5" i="4"/>
  <c r="AA5" i="4"/>
  <c r="AQ5" i="4"/>
  <c r="S5" i="4"/>
  <c r="AI5" i="4"/>
  <c r="AY5" i="4"/>
  <c r="O5" i="4"/>
  <c r="AE5" i="4"/>
  <c r="AU5" i="4"/>
  <c r="BE5" i="4"/>
  <c r="BF5" i="4"/>
  <c r="BG5" i="4"/>
  <c r="BD5" i="4"/>
  <c r="BH5" i="4"/>
  <c r="BY120" i="4"/>
  <c r="BY152" i="4"/>
  <c r="BY187" i="4"/>
  <c r="CA137" i="4"/>
  <c r="BZ129" i="4"/>
  <c r="BY101" i="4"/>
  <c r="BY75" i="4"/>
  <c r="CA99" i="4"/>
  <c r="BY78" i="4"/>
  <c r="BY77" i="4"/>
  <c r="CA52" i="4"/>
  <c r="BY57" i="4"/>
  <c r="CA149" i="4"/>
  <c r="CA55" i="4"/>
  <c r="BY161" i="4"/>
  <c r="BS41" i="4"/>
  <c r="BX192" i="4"/>
  <c r="BY118" i="4"/>
  <c r="BY61" i="4"/>
  <c r="BX139" i="4"/>
  <c r="BX159" i="4"/>
  <c r="BX155" i="4"/>
  <c r="BX151" i="4"/>
  <c r="BS33" i="4"/>
  <c r="CA160" i="4"/>
  <c r="BZ113" i="4"/>
  <c r="BX183" i="4"/>
  <c r="BV71" i="4"/>
  <c r="BR41" i="4"/>
  <c r="CA190" i="4"/>
  <c r="BZ160" i="4"/>
  <c r="BZ186" i="4"/>
  <c r="BZ125" i="4"/>
  <c r="BZ93" i="4"/>
  <c r="BZ53" i="4"/>
  <c r="CA162" i="4"/>
  <c r="CA122" i="4"/>
  <c r="CA164" i="4"/>
  <c r="BX180" i="4"/>
  <c r="BX121" i="4"/>
  <c r="BS60" i="4"/>
  <c r="BX162" i="4"/>
  <c r="BX33" i="4"/>
  <c r="CA126" i="4"/>
  <c r="BY116" i="4"/>
  <c r="CA103" i="4"/>
  <c r="BY55" i="4"/>
  <c r="BX145" i="4"/>
  <c r="BX191" i="4"/>
  <c r="BX174" i="4"/>
  <c r="CA141" i="4"/>
  <c r="BZ180" i="4"/>
  <c r="CA72" i="4"/>
  <c r="BZ44" i="4"/>
  <c r="BZ149" i="4"/>
  <c r="BY176" i="4"/>
  <c r="CA120" i="4"/>
  <c r="CA47" i="4"/>
  <c r="BV36" i="4"/>
  <c r="BX141" i="4"/>
  <c r="BS186" i="4"/>
  <c r="BZ115" i="4"/>
  <c r="BY154" i="4"/>
  <c r="BZ163" i="4"/>
  <c r="BZ147" i="4"/>
  <c r="BY102" i="4"/>
  <c r="CA59" i="4"/>
  <c r="BZ54" i="4"/>
  <c r="BT116" i="4"/>
  <c r="BS121" i="4"/>
  <c r="BX47" i="4"/>
  <c r="BX41" i="4"/>
  <c r="CA53" i="4"/>
  <c r="BZ187" i="4"/>
  <c r="BZ136" i="4"/>
  <c r="BZ166" i="4"/>
  <c r="BZ195" i="4"/>
  <c r="BZ144" i="4"/>
  <c r="BZ189" i="4"/>
  <c r="BZ181" i="4"/>
  <c r="BZ177" i="4"/>
  <c r="BZ173" i="4"/>
  <c r="BZ148" i="4"/>
  <c r="BZ158" i="4"/>
  <c r="BZ154" i="4"/>
  <c r="BZ150" i="4"/>
  <c r="BZ85" i="4"/>
  <c r="BZ80" i="4"/>
  <c r="BZ94" i="4"/>
  <c r="BZ90" i="4"/>
  <c r="CA73" i="4"/>
  <c r="BZ169" i="4"/>
  <c r="CA41" i="4"/>
  <c r="CA112" i="4"/>
  <c r="BZ146" i="4"/>
  <c r="BZ168" i="4"/>
  <c r="BZ104" i="4"/>
  <c r="BZ81" i="4"/>
  <c r="BZ83" i="4"/>
  <c r="BZ74" i="4"/>
  <c r="BZ55" i="4"/>
  <c r="BZ62" i="4"/>
  <c r="BT118" i="4"/>
  <c r="CB118" i="4" s="1"/>
  <c r="BT158" i="4"/>
  <c r="BW162" i="4"/>
  <c r="BT155" i="4"/>
  <c r="CB155" i="4" s="1"/>
  <c r="BT167" i="4"/>
  <c r="BT122" i="4"/>
  <c r="BY125" i="4"/>
  <c r="BT72" i="4"/>
  <c r="CB72" i="4" s="1"/>
  <c r="BT46" i="4"/>
  <c r="BX37" i="4"/>
  <c r="CA186" i="4"/>
  <c r="BY122" i="4"/>
  <c r="BY100" i="4"/>
  <c r="CA39" i="4"/>
  <c r="CA45" i="4"/>
  <c r="CA114" i="4"/>
  <c r="BZ162" i="4"/>
  <c r="BZ132" i="4"/>
  <c r="BZ193" i="4"/>
  <c r="BZ185" i="4"/>
  <c r="BZ179" i="4"/>
  <c r="BZ175" i="4"/>
  <c r="BZ140" i="4"/>
  <c r="BZ156" i="4"/>
  <c r="BZ152" i="4"/>
  <c r="BZ142" i="4"/>
  <c r="BZ68" i="4"/>
  <c r="BZ96" i="4"/>
  <c r="BZ92" i="4"/>
  <c r="BZ88" i="4"/>
  <c r="BZ43" i="4"/>
  <c r="BT53" i="4"/>
  <c r="BT184" i="4"/>
  <c r="CB184" i="4" s="1"/>
  <c r="BT120" i="4"/>
  <c r="BT176" i="4"/>
  <c r="BT143" i="4"/>
  <c r="BT194" i="4"/>
  <c r="CB194" i="4" s="1"/>
  <c r="BT153" i="4"/>
  <c r="BY113" i="4"/>
  <c r="BT117" i="4"/>
  <c r="BT69" i="4"/>
  <c r="CB69" i="4" s="1"/>
  <c r="BT123" i="4"/>
  <c r="BY115" i="4"/>
  <c r="BW99" i="4"/>
  <c r="BT80" i="4"/>
  <c r="CB80" i="4" s="1"/>
  <c r="BS68" i="4"/>
  <c r="CA68" i="4" s="1"/>
  <c r="BT92" i="4"/>
  <c r="BT88" i="4"/>
  <c r="CB88" i="4" s="1"/>
  <c r="BT67" i="4"/>
  <c r="BT49" i="4"/>
  <c r="BT50" i="4"/>
  <c r="BZ98" i="4"/>
  <c r="BZ191" i="4"/>
  <c r="BZ138" i="4"/>
  <c r="BZ170" i="4"/>
  <c r="BZ134" i="4"/>
  <c r="BZ57" i="4"/>
  <c r="BZ86" i="4"/>
  <c r="BZ72" i="4"/>
  <c r="BZ70" i="4"/>
  <c r="BZ66" i="4"/>
  <c r="BT195" i="4"/>
  <c r="BU132" i="4"/>
  <c r="BT137" i="4"/>
  <c r="BW103" i="4"/>
  <c r="BT154" i="4"/>
  <c r="CB114" i="4"/>
  <c r="BT136" i="4"/>
  <c r="BT151" i="4"/>
  <c r="BT165" i="4"/>
  <c r="BT139" i="4"/>
  <c r="BT96" i="4"/>
  <c r="CB96" i="4" s="1"/>
  <c r="BT130" i="4"/>
  <c r="CB130" i="4" s="1"/>
  <c r="BY121" i="4"/>
  <c r="BT97" i="4"/>
  <c r="BS105" i="4"/>
  <c r="BT91" i="4"/>
  <c r="BT43" i="4"/>
  <c r="BY62" i="4"/>
  <c r="BT63" i="4"/>
  <c r="BY48" i="4"/>
  <c r="CB49" i="4"/>
  <c r="CB50" i="4"/>
  <c r="CB137" i="4"/>
  <c r="BY33" i="4"/>
  <c r="BY37" i="4"/>
  <c r="BY195" i="4"/>
  <c r="BY177" i="4"/>
  <c r="BY132" i="4"/>
  <c r="CA100" i="4"/>
  <c r="BZ77" i="4"/>
  <c r="BT101" i="4"/>
  <c r="BS101" i="4"/>
  <c r="BX101" i="4"/>
  <c r="BV101" i="4"/>
  <c r="BW101" i="4"/>
  <c r="BU101" i="4"/>
  <c r="BZ161" i="4"/>
  <c r="BV161" i="4"/>
  <c r="BW161" i="4"/>
  <c r="BU161" i="4"/>
  <c r="BT173" i="4"/>
  <c r="CA173" i="4"/>
  <c r="BY173" i="4"/>
  <c r="BW173" i="4"/>
  <c r="CB173" i="4"/>
  <c r="BU173" i="4"/>
  <c r="BV173" i="4"/>
  <c r="BU128" i="4"/>
  <c r="BX128" i="4"/>
  <c r="BZ128" i="4"/>
  <c r="BW128" i="4"/>
  <c r="BY169" i="4"/>
  <c r="CA169" i="4"/>
  <c r="BU169" i="4"/>
  <c r="BW169" i="4"/>
  <c r="BY199" i="4"/>
  <c r="BR199" i="4"/>
  <c r="BV199" i="4"/>
  <c r="BU199" i="4"/>
  <c r="BW199" i="4"/>
  <c r="CA183" i="4"/>
  <c r="BZ183" i="4"/>
  <c r="BU183" i="4"/>
  <c r="BW183" i="4"/>
  <c r="BT168" i="4"/>
  <c r="BY168" i="4"/>
  <c r="BS168" i="4"/>
  <c r="CA168" i="4" s="1"/>
  <c r="BU168" i="4"/>
  <c r="BV168" i="4"/>
  <c r="BW168" i="4"/>
  <c r="BS152" i="4"/>
  <c r="CA152" i="4" s="1"/>
  <c r="BX152" i="4"/>
  <c r="BV152" i="4"/>
  <c r="BW152" i="4"/>
  <c r="BU152" i="4"/>
  <c r="BV108" i="4"/>
  <c r="BW108" i="4"/>
  <c r="BU189" i="4"/>
  <c r="CA189" i="4"/>
  <c r="BY189" i="4"/>
  <c r="BV189" i="4"/>
  <c r="BW189" i="4"/>
  <c r="BU171" i="4"/>
  <c r="BY171" i="4"/>
  <c r="BZ171" i="4"/>
  <c r="BW171" i="4"/>
  <c r="BU124" i="4"/>
  <c r="CF124" i="4" s="1"/>
  <c r="BZ124" i="4"/>
  <c r="BT124" i="4"/>
  <c r="BW124" i="4"/>
  <c r="BU196" i="4"/>
  <c r="CA196" i="4"/>
  <c r="BY196" i="4"/>
  <c r="BZ196" i="4"/>
  <c r="BW196" i="4"/>
  <c r="BU178" i="4"/>
  <c r="BZ178" i="4"/>
  <c r="BY178" i="4"/>
  <c r="BW178" i="4"/>
  <c r="BU157" i="4"/>
  <c r="CA157" i="4"/>
  <c r="BZ157" i="4"/>
  <c r="BY157" i="4"/>
  <c r="BW157" i="4"/>
  <c r="BT157" i="4"/>
  <c r="BS142" i="4"/>
  <c r="CA142" i="4" s="1"/>
  <c r="BY142" i="4"/>
  <c r="BW142" i="4"/>
  <c r="BT142" i="4"/>
  <c r="BU142" i="4"/>
  <c r="BV142" i="4"/>
  <c r="BY197" i="4"/>
  <c r="BU197" i="4"/>
  <c r="BW197" i="4"/>
  <c r="BV197" i="4"/>
  <c r="BT164" i="4"/>
  <c r="CB164" i="4" s="1"/>
  <c r="BY164" i="4"/>
  <c r="BU164" i="4"/>
  <c r="BV164" i="4"/>
  <c r="BS138" i="4"/>
  <c r="CA138" i="4" s="1"/>
  <c r="BY138" i="4"/>
  <c r="BX138" i="4"/>
  <c r="BU138" i="4"/>
  <c r="BW138" i="4"/>
  <c r="BV138" i="4"/>
  <c r="CA86" i="4"/>
  <c r="BY86" i="4"/>
  <c r="BV86" i="4"/>
  <c r="BW86" i="4"/>
  <c r="BS148" i="4"/>
  <c r="CA148" i="4" s="1"/>
  <c r="BY148" i="4"/>
  <c r="BV148" i="4"/>
  <c r="BU148" i="4"/>
  <c r="BW148" i="4"/>
  <c r="BU126" i="4"/>
  <c r="BZ126" i="4"/>
  <c r="BX126" i="4"/>
  <c r="BW126" i="4"/>
  <c r="BU76" i="4"/>
  <c r="BZ76" i="4"/>
  <c r="CA76" i="4"/>
  <c r="BY76" i="4"/>
  <c r="BW76" i="4"/>
  <c r="BZ52" i="4"/>
  <c r="BT52" i="4"/>
  <c r="BV52" i="4"/>
  <c r="BU52" i="4"/>
  <c r="BX127" i="4"/>
  <c r="BR127" i="4"/>
  <c r="BZ127" i="4" s="1"/>
  <c r="BU127" i="4"/>
  <c r="BV127" i="4"/>
  <c r="BW127" i="4"/>
  <c r="BX119" i="4"/>
  <c r="BR119" i="4"/>
  <c r="CA119" i="4" s="1"/>
  <c r="BU119" i="4"/>
  <c r="BV119" i="4"/>
  <c r="BW119" i="4"/>
  <c r="BR111" i="4"/>
  <c r="BZ111" i="4" s="1"/>
  <c r="BX111" i="4"/>
  <c r="BU111" i="4"/>
  <c r="BV111" i="4"/>
  <c r="BW111" i="4"/>
  <c r="BY84" i="4"/>
  <c r="BW84" i="4"/>
  <c r="BS104" i="4"/>
  <c r="CA104" i="4" s="1"/>
  <c r="BY104" i="4"/>
  <c r="BV104" i="4"/>
  <c r="BU104" i="4"/>
  <c r="BY73" i="4"/>
  <c r="BZ73" i="4"/>
  <c r="BV73" i="4"/>
  <c r="BT73" i="4"/>
  <c r="CB73" i="4" s="1"/>
  <c r="CA54" i="4"/>
  <c r="BY54" i="4"/>
  <c r="BV54" i="4"/>
  <c r="BW54" i="4"/>
  <c r="BU90" i="4"/>
  <c r="CA90" i="4"/>
  <c r="BY90" i="4"/>
  <c r="BV90" i="4"/>
  <c r="BT90" i="4"/>
  <c r="CC90" i="4" s="1"/>
  <c r="BY82" i="4"/>
  <c r="BS82" i="4"/>
  <c r="BV82" i="4"/>
  <c r="BW82" i="4"/>
  <c r="BT74" i="4"/>
  <c r="CB74" i="4" s="1"/>
  <c r="BY74" i="4"/>
  <c r="CA74" i="4"/>
  <c r="BV74" i="4"/>
  <c r="BW74" i="4"/>
  <c r="BY44" i="4"/>
  <c r="CA44" i="4"/>
  <c r="BV44" i="4"/>
  <c r="BW44" i="4"/>
  <c r="BU41" i="4"/>
  <c r="BZ41" i="4"/>
  <c r="BT41" i="4"/>
  <c r="BY41" i="4"/>
  <c r="BW41" i="4"/>
  <c r="BT42" i="4"/>
  <c r="CA42" i="4"/>
  <c r="BW42" i="4"/>
  <c r="BV42" i="4"/>
  <c r="BU42" i="4"/>
  <c r="BY58" i="4"/>
  <c r="BS58" i="4"/>
  <c r="BV58" i="4"/>
  <c r="BW58" i="4"/>
  <c r="BT58" i="4"/>
  <c r="BY47" i="4"/>
  <c r="BT47" i="4"/>
  <c r="BU47" i="4"/>
  <c r="BW47" i="4"/>
  <c r="BT59" i="4"/>
  <c r="BY59" i="4"/>
  <c r="BW59" i="4"/>
  <c r="BZ59" i="4"/>
  <c r="BU59" i="4"/>
  <c r="BY117" i="4"/>
  <c r="BY119" i="4"/>
  <c r="BY46" i="4"/>
  <c r="BY40" i="4"/>
  <c r="BR84" i="4"/>
  <c r="BS159" i="4"/>
  <c r="CA159" i="4" s="1"/>
  <c r="CB124" i="4"/>
  <c r="BW90" i="4"/>
  <c r="BU74" i="4"/>
  <c r="BW80" i="4"/>
  <c r="BV47" i="4"/>
  <c r="BT191" i="4"/>
  <c r="BT115" i="4"/>
  <c r="BT126" i="4"/>
  <c r="CB126" i="4" s="1"/>
  <c r="BT183" i="4"/>
  <c r="BT148" i="4"/>
  <c r="BT197" i="4"/>
  <c r="BT152" i="4"/>
  <c r="BT54" i="4"/>
  <c r="BT84" i="4"/>
  <c r="BT82" i="4"/>
  <c r="CE101" i="4"/>
  <c r="BZ172" i="4"/>
  <c r="CA124" i="4"/>
  <c r="CA118" i="4"/>
  <c r="BU198" i="4"/>
  <c r="BR198" i="4"/>
  <c r="BY198" i="4"/>
  <c r="BV198" i="4"/>
  <c r="BW198" i="4"/>
  <c r="BX118" i="4"/>
  <c r="BZ118" i="4"/>
  <c r="BV118" i="4"/>
  <c r="BW118" i="4"/>
  <c r="BU163" i="4"/>
  <c r="CA163" i="4"/>
  <c r="BY163" i="4"/>
  <c r="BV163" i="4"/>
  <c r="BW163" i="4"/>
  <c r="BY53" i="4"/>
  <c r="BU53" i="4"/>
  <c r="BW53" i="4"/>
  <c r="CB53" i="4"/>
  <c r="BV53" i="4"/>
  <c r="BS131" i="4"/>
  <c r="BR131" i="4"/>
  <c r="BU131" i="4"/>
  <c r="BV131" i="4"/>
  <c r="BW131" i="4"/>
  <c r="BU190" i="4"/>
  <c r="BZ190" i="4"/>
  <c r="BY190" i="4"/>
  <c r="BU180" i="4"/>
  <c r="BY180" i="4"/>
  <c r="BW180" i="4"/>
  <c r="BT180" i="4"/>
  <c r="BS158" i="4"/>
  <c r="CA158" i="4" s="1"/>
  <c r="BY158" i="4"/>
  <c r="BW158" i="4"/>
  <c r="BU158" i="4"/>
  <c r="BV158" i="4"/>
  <c r="BS150" i="4"/>
  <c r="CA150" i="4" s="1"/>
  <c r="BY150" i="4"/>
  <c r="BU150" i="4"/>
  <c r="BW150" i="4"/>
  <c r="BV150" i="4"/>
  <c r="BZ106" i="4"/>
  <c r="CA106" i="4"/>
  <c r="BT106" i="4"/>
  <c r="BV106" i="4"/>
  <c r="BW106" i="4"/>
  <c r="BU187" i="4"/>
  <c r="CA187" i="4"/>
  <c r="BX187" i="4"/>
  <c r="BW187" i="4"/>
  <c r="BV187" i="4"/>
  <c r="BY162" i="4"/>
  <c r="BV162" i="4"/>
  <c r="BU162" i="4"/>
  <c r="BT102" i="4"/>
  <c r="BS102" i="4"/>
  <c r="BU102" i="4"/>
  <c r="BV102" i="4"/>
  <c r="BW102" i="4"/>
  <c r="BU193" i="4"/>
  <c r="CA193" i="4"/>
  <c r="BY193" i="4"/>
  <c r="BW193" i="4"/>
  <c r="BV193" i="4"/>
  <c r="BU174" i="4"/>
  <c r="BZ174" i="4"/>
  <c r="BY174" i="4"/>
  <c r="BW174" i="4"/>
  <c r="BU155" i="4"/>
  <c r="CA155" i="4"/>
  <c r="BZ155" i="4"/>
  <c r="BY155" i="4"/>
  <c r="BW155" i="4"/>
  <c r="BS133" i="4"/>
  <c r="BU133" i="4"/>
  <c r="BW133" i="4"/>
  <c r="BY167" i="4"/>
  <c r="BZ167" i="4"/>
  <c r="BU167" i="4"/>
  <c r="BS167" i="4"/>
  <c r="BW167" i="4"/>
  <c r="BV167" i="4"/>
  <c r="BY147" i="4"/>
  <c r="BS147" i="4"/>
  <c r="CA147" i="4" s="1"/>
  <c r="BV147" i="4"/>
  <c r="BW147" i="4"/>
  <c r="BT147" i="4"/>
  <c r="BS135" i="4"/>
  <c r="BZ135" i="4"/>
  <c r="BY135" i="4"/>
  <c r="BV135" i="4"/>
  <c r="BW135" i="4"/>
  <c r="CA60" i="4"/>
  <c r="BZ60" i="4"/>
  <c r="BY60" i="4"/>
  <c r="BU60" i="4"/>
  <c r="BW60" i="4"/>
  <c r="BT60" i="4"/>
  <c r="CB60" i="4" s="1"/>
  <c r="BV60" i="4"/>
  <c r="BZ141" i="4"/>
  <c r="BY141" i="4"/>
  <c r="BV141" i="4"/>
  <c r="BW141" i="4"/>
  <c r="BU122" i="4"/>
  <c r="CC122" i="4" s="1"/>
  <c r="BZ122" i="4"/>
  <c r="BX122" i="4"/>
  <c r="CB122" i="4"/>
  <c r="CD122" i="4"/>
  <c r="BW122" i="4"/>
  <c r="BS95" i="4"/>
  <c r="CA95" i="4" s="1"/>
  <c r="BZ95" i="4"/>
  <c r="BU95" i="4"/>
  <c r="BW95" i="4"/>
  <c r="BS85" i="4"/>
  <c r="BY85" i="4"/>
  <c r="BT85" i="4"/>
  <c r="BU85" i="4"/>
  <c r="BW85" i="4"/>
  <c r="BV85" i="4"/>
  <c r="CA125" i="4"/>
  <c r="BX125" i="4"/>
  <c r="BV125" i="4"/>
  <c r="BW125" i="4"/>
  <c r="BU125" i="4"/>
  <c r="BZ116" i="4"/>
  <c r="BX116" i="4"/>
  <c r="CC116" i="4"/>
  <c r="BW116" i="4"/>
  <c r="CB116" i="4"/>
  <c r="BV116" i="4"/>
  <c r="BX110" i="4"/>
  <c r="BV110" i="4"/>
  <c r="BW110" i="4"/>
  <c r="BU77" i="4"/>
  <c r="BS77" i="4"/>
  <c r="BW77" i="4"/>
  <c r="BT77" i="4"/>
  <c r="BT100" i="4"/>
  <c r="BV100" i="4"/>
  <c r="BW100" i="4"/>
  <c r="BU70" i="4"/>
  <c r="CA70" i="4"/>
  <c r="BT70" i="4"/>
  <c r="BV70" i="4"/>
  <c r="BS93" i="4"/>
  <c r="BY93" i="4"/>
  <c r="BW93" i="4"/>
  <c r="BT93" i="4"/>
  <c r="BS89" i="4"/>
  <c r="BZ89" i="4"/>
  <c r="BY89" i="4"/>
  <c r="BU89" i="4"/>
  <c r="BW89" i="4"/>
  <c r="BS81" i="4"/>
  <c r="CA81" i="4" s="1"/>
  <c r="BU81" i="4"/>
  <c r="BW81" i="4"/>
  <c r="BV81" i="4"/>
  <c r="BU72" i="4"/>
  <c r="BX72" i="4"/>
  <c r="BY72" i="4"/>
  <c r="BV72" i="4"/>
  <c r="BW72" i="4"/>
  <c r="BY56" i="4"/>
  <c r="BZ56" i="4"/>
  <c r="BS56" i="4"/>
  <c r="BV56" i="4"/>
  <c r="BW56" i="4"/>
  <c r="BU39" i="4"/>
  <c r="BX39" i="4"/>
  <c r="BZ39" i="4"/>
  <c r="BY39" i="4"/>
  <c r="BW39" i="4"/>
  <c r="BR40" i="4"/>
  <c r="BT40" i="4"/>
  <c r="BU40" i="4"/>
  <c r="BW40" i="4"/>
  <c r="BV40" i="4"/>
  <c r="BT57" i="4"/>
  <c r="BS57" i="4"/>
  <c r="BU57" i="4"/>
  <c r="BV57" i="4"/>
  <c r="BW57" i="4"/>
  <c r="BR46" i="4"/>
  <c r="BZ46" i="4" s="1"/>
  <c r="BS46" i="4"/>
  <c r="BU46" i="4"/>
  <c r="BV46" i="4"/>
  <c r="BW46" i="4"/>
  <c r="BY51" i="4"/>
  <c r="BR51" i="4"/>
  <c r="BV51" i="4"/>
  <c r="BW51" i="4"/>
  <c r="BY111" i="4"/>
  <c r="BY133" i="4"/>
  <c r="BY52" i="4"/>
  <c r="BY38" i="4"/>
  <c r="BR82" i="4"/>
  <c r="BS161" i="4"/>
  <c r="CB161" i="4" s="1"/>
  <c r="BR110" i="4"/>
  <c r="BR197" i="4"/>
  <c r="BW164" i="4"/>
  <c r="BV121" i="4"/>
  <c r="CC106" i="4"/>
  <c r="BU87" i="4"/>
  <c r="BW52" i="4"/>
  <c r="BT193" i="4"/>
  <c r="BT150" i="4"/>
  <c r="BT199" i="4"/>
  <c r="BT111" i="4"/>
  <c r="BT128" i="4"/>
  <c r="BT187" i="4"/>
  <c r="BT44" i="4"/>
  <c r="BT161" i="4"/>
  <c r="BT174" i="4"/>
  <c r="BT89" i="4"/>
  <c r="BT56" i="4"/>
  <c r="BT65" i="4"/>
  <c r="CB65" i="4" s="1"/>
  <c r="BZ35" i="4"/>
  <c r="BZ34" i="4"/>
  <c r="CA170" i="4"/>
  <c r="BY126" i="4"/>
  <c r="BY110" i="4"/>
  <c r="BY70" i="4"/>
  <c r="CA116" i="4"/>
  <c r="BZ47" i="4"/>
  <c r="BU184" i="4"/>
  <c r="BY184" i="4"/>
  <c r="CA184" i="4"/>
  <c r="BZ184" i="4"/>
  <c r="BT181" i="4"/>
  <c r="CA181" i="4"/>
  <c r="BY181" i="4"/>
  <c r="BU181" i="4"/>
  <c r="BV181" i="4"/>
  <c r="BW181" i="4"/>
  <c r="BS144" i="4"/>
  <c r="CA144" i="4" s="1"/>
  <c r="BY144" i="4"/>
  <c r="BX144" i="4"/>
  <c r="BV144" i="4"/>
  <c r="BW144" i="4"/>
  <c r="BU144" i="4"/>
  <c r="BU186" i="4"/>
  <c r="BY186" i="4"/>
  <c r="BU120" i="4"/>
  <c r="BZ120" i="4"/>
  <c r="BW120" i="4"/>
  <c r="CB120" i="4"/>
  <c r="BU188" i="4"/>
  <c r="CA188" i="4"/>
  <c r="BZ188" i="4"/>
  <c r="BY188" i="4"/>
  <c r="BU176" i="4"/>
  <c r="BZ176" i="4"/>
  <c r="BW176" i="4"/>
  <c r="BS156" i="4"/>
  <c r="BW156" i="4"/>
  <c r="BV156" i="4"/>
  <c r="BT156" i="4"/>
  <c r="BS143" i="4"/>
  <c r="CA143" i="4" s="1"/>
  <c r="BZ143" i="4"/>
  <c r="BY143" i="4"/>
  <c r="BW143" i="4"/>
  <c r="BV143" i="4"/>
  <c r="BU194" i="4"/>
  <c r="CA194" i="4"/>
  <c r="BZ194" i="4"/>
  <c r="BY194" i="4"/>
  <c r="BT179" i="4"/>
  <c r="CB179" i="4" s="1"/>
  <c r="BY179" i="4"/>
  <c r="CA179" i="4"/>
  <c r="BU179" i="4"/>
  <c r="BV179" i="4"/>
  <c r="BW179" i="4"/>
  <c r="BZ145" i="4"/>
  <c r="BY145" i="4"/>
  <c r="BV145" i="4"/>
  <c r="BW145" i="4"/>
  <c r="BT145" i="4"/>
  <c r="BU98" i="4"/>
  <c r="BY98" i="4"/>
  <c r="CA98" i="4"/>
  <c r="BT98" i="4"/>
  <c r="BW98" i="4"/>
  <c r="BU191" i="4"/>
  <c r="BY191" i="4"/>
  <c r="CA191" i="4"/>
  <c r="BV191" i="4"/>
  <c r="BW191" i="4"/>
  <c r="BT170" i="4"/>
  <c r="BY170" i="4"/>
  <c r="BX170" i="4"/>
  <c r="BW170" i="4"/>
  <c r="BV170" i="4"/>
  <c r="BU170" i="4"/>
  <c r="CA153" i="4"/>
  <c r="BZ153" i="4"/>
  <c r="BY153" i="4"/>
  <c r="BW153" i="4"/>
  <c r="BV153" i="4"/>
  <c r="CB153" i="4"/>
  <c r="BY129" i="4"/>
  <c r="BW129" i="4"/>
  <c r="BU129" i="4"/>
  <c r="BT166" i="4"/>
  <c r="BY166" i="4"/>
  <c r="BS166" i="4"/>
  <c r="BX166" i="4"/>
  <c r="BU166" i="4"/>
  <c r="BV166" i="4"/>
  <c r="BW166" i="4"/>
  <c r="BS146" i="4"/>
  <c r="CA146" i="4" s="1"/>
  <c r="BY146" i="4"/>
  <c r="BX146" i="4"/>
  <c r="BU146" i="4"/>
  <c r="BV146" i="4"/>
  <c r="BW146" i="4"/>
  <c r="BU113" i="4"/>
  <c r="BW113" i="4"/>
  <c r="BV113" i="4"/>
  <c r="BT113" i="4"/>
  <c r="BY160" i="4"/>
  <c r="BX160" i="4"/>
  <c r="BU160" i="4"/>
  <c r="BV160" i="4"/>
  <c r="BW160" i="4"/>
  <c r="BS140" i="4"/>
  <c r="CA140" i="4" s="1"/>
  <c r="BY140" i="4"/>
  <c r="BW140" i="4"/>
  <c r="BU140" i="4"/>
  <c r="BV140" i="4"/>
  <c r="BT140" i="4"/>
  <c r="BR117" i="4"/>
  <c r="CA117" i="4" s="1"/>
  <c r="BV117" i="4"/>
  <c r="BW117" i="4"/>
  <c r="BU117" i="4"/>
  <c r="BS83" i="4"/>
  <c r="CA83" i="4" s="1"/>
  <c r="BY83" i="4"/>
  <c r="BX83" i="4"/>
  <c r="BU83" i="4"/>
  <c r="BW83" i="4"/>
  <c r="BV83" i="4"/>
  <c r="BY69" i="4"/>
  <c r="BZ69" i="4"/>
  <c r="CA69" i="4"/>
  <c r="CC69" i="4"/>
  <c r="BV69" i="4"/>
  <c r="CD69" i="4" s="1"/>
  <c r="BX123" i="4"/>
  <c r="BR123" i="4"/>
  <c r="CA123" i="4" s="1"/>
  <c r="BV123" i="4"/>
  <c r="BW123" i="4"/>
  <c r="BU123" i="4"/>
  <c r="BX115" i="4"/>
  <c r="BV115" i="4"/>
  <c r="CA115" i="4"/>
  <c r="BW115" i="4"/>
  <c r="BU115" i="4"/>
  <c r="BY99" i="4"/>
  <c r="BX99" i="4"/>
  <c r="BU99" i="4"/>
  <c r="BV99" i="4"/>
  <c r="BW109" i="4"/>
  <c r="BU109" i="4"/>
  <c r="BT109" i="4"/>
  <c r="BV109" i="4"/>
  <c r="BV80" i="4"/>
  <c r="BY80" i="4"/>
  <c r="CA80" i="4"/>
  <c r="BU80" i="4"/>
  <c r="BU68" i="4"/>
  <c r="BY68" i="4"/>
  <c r="BX68" i="4"/>
  <c r="BW68" i="4"/>
  <c r="BV68" i="4"/>
  <c r="BU92" i="4"/>
  <c r="BS92" i="4"/>
  <c r="BY92" i="4"/>
  <c r="BX92" i="4"/>
  <c r="BV92" i="4"/>
  <c r="BW92" i="4"/>
  <c r="BU88" i="4"/>
  <c r="BX88" i="4"/>
  <c r="BY88" i="4"/>
  <c r="BV88" i="4"/>
  <c r="BW88" i="4"/>
  <c r="BY79" i="4"/>
  <c r="BS79" i="4"/>
  <c r="BW79" i="4"/>
  <c r="BV79" i="4"/>
  <c r="BU79" i="4"/>
  <c r="BT79" i="4"/>
  <c r="CA67" i="4"/>
  <c r="BZ67" i="4"/>
  <c r="CB67" i="4"/>
  <c r="BV67" i="4"/>
  <c r="BY49" i="4"/>
  <c r="BX49" i="4"/>
  <c r="BZ49" i="4"/>
  <c r="BU49" i="4"/>
  <c r="CC49" i="4" s="1"/>
  <c r="BV49" i="4"/>
  <c r="BW49" i="4"/>
  <c r="BU66" i="4"/>
  <c r="CA66" i="4"/>
  <c r="BV66" i="4"/>
  <c r="BW66" i="4"/>
  <c r="CA38" i="4"/>
  <c r="BX38" i="4"/>
  <c r="BW38" i="4"/>
  <c r="BV38" i="4"/>
  <c r="BU38" i="4"/>
  <c r="BZ50" i="4"/>
  <c r="BU50" i="4"/>
  <c r="BV50" i="4"/>
  <c r="BW50" i="4"/>
  <c r="BU45" i="4"/>
  <c r="BY45" i="4"/>
  <c r="BT45" i="4"/>
  <c r="BZ45" i="4"/>
  <c r="BW45" i="4"/>
  <c r="BY105" i="4"/>
  <c r="BY127" i="4"/>
  <c r="BY109" i="4"/>
  <c r="BY131" i="4"/>
  <c r="BR133" i="4"/>
  <c r="BS109" i="4"/>
  <c r="BS177" i="4"/>
  <c r="BS176" i="4"/>
  <c r="CA176" i="4" s="1"/>
  <c r="BV129" i="4"/>
  <c r="CC118" i="4"/>
  <c r="BV84" i="4"/>
  <c r="BT66" i="4"/>
  <c r="BW70" i="4"/>
  <c r="CB57" i="4"/>
  <c r="BT125" i="4"/>
  <c r="BT144" i="4"/>
  <c r="BT160" i="4"/>
  <c r="CC160" i="4" s="1"/>
  <c r="BT163" i="4"/>
  <c r="CE163" i="4" s="1"/>
  <c r="BT38" i="4"/>
  <c r="CB38" i="4" s="1"/>
  <c r="BT68" i="4"/>
  <c r="BT119" i="4"/>
  <c r="CB119" i="4" s="1"/>
  <c r="BT129" i="4"/>
  <c r="BT196" i="4"/>
  <c r="CC196" i="4" s="1"/>
  <c r="BT188" i="4"/>
  <c r="BT192" i="4"/>
  <c r="CB192" i="4" s="1"/>
  <c r="BT135" i="4"/>
  <c r="BT171" i="4"/>
  <c r="BT133" i="4"/>
  <c r="BT104" i="4"/>
  <c r="CB104" i="4" s="1"/>
  <c r="BT87" i="4"/>
  <c r="BT76" i="4"/>
  <c r="BU32" i="4"/>
  <c r="CA180" i="4"/>
  <c r="BZ105" i="4"/>
  <c r="BZ38" i="4"/>
  <c r="BT177" i="4"/>
  <c r="BW177" i="4"/>
  <c r="BV177" i="4"/>
  <c r="BU177" i="4"/>
  <c r="BU195" i="4"/>
  <c r="CC195" i="4" s="1"/>
  <c r="CA195" i="4"/>
  <c r="BW195" i="4"/>
  <c r="BX195" i="4"/>
  <c r="BV195" i="4"/>
  <c r="CB195" i="4"/>
  <c r="BS132" i="4"/>
  <c r="BW132" i="4"/>
  <c r="BV132" i="4"/>
  <c r="BT132" i="4"/>
  <c r="BZ137" i="4"/>
  <c r="BW137" i="4"/>
  <c r="BY137" i="4"/>
  <c r="BV137" i="4"/>
  <c r="BT103" i="4"/>
  <c r="BX103" i="4"/>
  <c r="BY103" i="4"/>
  <c r="BU103" i="4"/>
  <c r="BV103" i="4"/>
  <c r="BU185" i="4"/>
  <c r="CA185" i="4"/>
  <c r="BY185" i="4"/>
  <c r="BV185" i="4"/>
  <c r="BW185" i="4"/>
  <c r="BU172" i="4"/>
  <c r="CA172" i="4"/>
  <c r="BY172" i="4"/>
  <c r="BW172" i="4"/>
  <c r="BT172" i="4"/>
  <c r="BS154" i="4"/>
  <c r="CA154" i="4" s="1"/>
  <c r="BX154" i="4"/>
  <c r="BV154" i="4"/>
  <c r="BW154" i="4"/>
  <c r="BU154" i="4"/>
  <c r="BZ114" i="4"/>
  <c r="BW114" i="4"/>
  <c r="BV114" i="4"/>
  <c r="BU192" i="4"/>
  <c r="BZ192" i="4"/>
  <c r="BY192" i="4"/>
  <c r="CA192" i="4"/>
  <c r="BT175" i="4"/>
  <c r="BY175" i="4"/>
  <c r="CA175" i="4"/>
  <c r="BX175" i="4"/>
  <c r="BV175" i="4"/>
  <c r="BW175" i="4"/>
  <c r="BU175" i="4"/>
  <c r="BS136" i="4"/>
  <c r="CA136" i="4" s="1"/>
  <c r="BY136" i="4"/>
  <c r="BX136" i="4"/>
  <c r="BV136" i="4"/>
  <c r="BU136" i="4"/>
  <c r="BW136" i="4"/>
  <c r="BU71" i="4"/>
  <c r="BZ71" i="4"/>
  <c r="CA71" i="4"/>
  <c r="BU182" i="4"/>
  <c r="BZ182" i="4"/>
  <c r="BY182" i="4"/>
  <c r="CA182" i="4"/>
  <c r="BW182" i="4"/>
  <c r="BU159" i="4"/>
  <c r="BZ159" i="4"/>
  <c r="BY159" i="4"/>
  <c r="BW159" i="4"/>
  <c r="BZ151" i="4"/>
  <c r="BY151" i="4"/>
  <c r="BW151" i="4"/>
  <c r="BV151" i="4"/>
  <c r="BX107" i="4"/>
  <c r="BR107" i="4"/>
  <c r="CA107" i="4" s="1"/>
  <c r="BV107" i="4"/>
  <c r="BW107" i="4"/>
  <c r="BU107" i="4"/>
  <c r="BS165" i="4"/>
  <c r="BZ165" i="4"/>
  <c r="BX165" i="4"/>
  <c r="BU165" i="4"/>
  <c r="BW165" i="4"/>
  <c r="BZ139" i="4"/>
  <c r="BY139" i="4"/>
  <c r="BS139" i="4"/>
  <c r="BW139" i="4"/>
  <c r="BV139" i="4"/>
  <c r="BU96" i="4"/>
  <c r="BX96" i="4"/>
  <c r="CA96" i="4"/>
  <c r="BY96" i="4"/>
  <c r="BW96" i="4"/>
  <c r="BV96" i="4"/>
  <c r="BY149" i="4"/>
  <c r="BV149" i="4"/>
  <c r="BW149" i="4"/>
  <c r="BT149" i="4"/>
  <c r="BS134" i="4"/>
  <c r="CA134" i="4" s="1"/>
  <c r="BY134" i="4"/>
  <c r="BU134" i="4"/>
  <c r="BW134" i="4"/>
  <c r="BV134" i="4"/>
  <c r="BU94" i="4"/>
  <c r="BY94" i="4"/>
  <c r="BS94" i="4"/>
  <c r="BT94" i="4"/>
  <c r="BW94" i="4"/>
  <c r="BV94" i="4"/>
  <c r="BS61" i="4"/>
  <c r="BV61" i="4"/>
  <c r="BW61" i="4"/>
  <c r="BT61" i="4"/>
  <c r="BY130" i="4"/>
  <c r="BZ130" i="4"/>
  <c r="BX130" i="4"/>
  <c r="CA130" i="4"/>
  <c r="BV130" i="4"/>
  <c r="BU130" i="4"/>
  <c r="CC130" i="4" s="1"/>
  <c r="CA121" i="4"/>
  <c r="BT121" i="4"/>
  <c r="BU121" i="4"/>
  <c r="BW121" i="4"/>
  <c r="BZ112" i="4"/>
  <c r="BV112" i="4"/>
  <c r="CD112" i="4" s="1"/>
  <c r="BW112" i="4"/>
  <c r="CB112" i="4"/>
  <c r="CC112" i="4"/>
  <c r="BS97" i="4"/>
  <c r="CA97" i="4" s="1"/>
  <c r="BZ97" i="4"/>
  <c r="BY97" i="4"/>
  <c r="BW97" i="4"/>
  <c r="BU97" i="4"/>
  <c r="CA105" i="4"/>
  <c r="BV105" i="4"/>
  <c r="BT105" i="4"/>
  <c r="CB105" i="4" s="1"/>
  <c r="BU105" i="4"/>
  <c r="BW105" i="4"/>
  <c r="BU75" i="4"/>
  <c r="CA75" i="4"/>
  <c r="BZ75" i="4"/>
  <c r="BW75" i="4"/>
  <c r="BY65" i="4"/>
  <c r="CA65" i="4"/>
  <c r="BZ65" i="4"/>
  <c r="CC65" i="4"/>
  <c r="BV65" i="4"/>
  <c r="BS91" i="4"/>
  <c r="BZ91" i="4"/>
  <c r="BY91" i="4"/>
  <c r="BW91" i="4"/>
  <c r="BU91" i="4"/>
  <c r="CC91" i="4" s="1"/>
  <c r="BS87" i="4"/>
  <c r="CC87" i="4" s="1"/>
  <c r="BY87" i="4"/>
  <c r="BZ87" i="4"/>
  <c r="BW87" i="4"/>
  <c r="BT78" i="4"/>
  <c r="CB78" i="4" s="1"/>
  <c r="CA78" i="4"/>
  <c r="BZ78" i="4"/>
  <c r="BU78" i="4"/>
  <c r="BW78" i="4"/>
  <c r="BT55" i="4"/>
  <c r="BW55" i="4"/>
  <c r="BU55" i="4"/>
  <c r="CI55" i="4" s="1"/>
  <c r="BV55" i="4"/>
  <c r="BU43" i="4"/>
  <c r="BX43" i="4"/>
  <c r="BY43" i="4"/>
  <c r="BS43" i="4"/>
  <c r="BV43" i="4"/>
  <c r="BW43" i="4"/>
  <c r="BV62" i="4"/>
  <c r="BS62" i="4"/>
  <c r="CA62" i="4" s="1"/>
  <c r="BW62" i="4"/>
  <c r="BT62" i="4"/>
  <c r="BU62" i="4"/>
  <c r="BZ63" i="4"/>
  <c r="BS63" i="4"/>
  <c r="BV63" i="4"/>
  <c r="BY63" i="4"/>
  <c r="BW63" i="4"/>
  <c r="BU63" i="4"/>
  <c r="BS48" i="4"/>
  <c r="CA48" i="4" s="1"/>
  <c r="BZ48" i="4"/>
  <c r="BV48" i="4"/>
  <c r="BW48" i="4"/>
  <c r="BU48" i="4"/>
  <c r="BT48" i="4"/>
  <c r="BV64" i="4"/>
  <c r="BY64" i="4"/>
  <c r="BZ64" i="4"/>
  <c r="BU64" i="4"/>
  <c r="BW64" i="4"/>
  <c r="BY183" i="4"/>
  <c r="BY165" i="4"/>
  <c r="BY123" i="4"/>
  <c r="BY107" i="4"/>
  <c r="BY50" i="4"/>
  <c r="BY42" i="4"/>
  <c r="BR58" i="4"/>
  <c r="BZ58" i="4" s="1"/>
  <c r="BR108" i="4"/>
  <c r="BS113" i="4"/>
  <c r="BS171" i="4"/>
  <c r="BS151" i="4"/>
  <c r="CA151" i="4" s="1"/>
  <c r="BS174" i="4"/>
  <c r="BU156" i="4"/>
  <c r="BW130" i="4"/>
  <c r="BT108" i="4"/>
  <c r="BT99" i="4"/>
  <c r="CC114" i="4"/>
  <c r="BU100" i="4"/>
  <c r="CC100" i="4" s="1"/>
  <c r="BU93" i="4"/>
  <c r="BT81" i="4"/>
  <c r="CC81" i="4" s="1"/>
  <c r="BU61" i="4"/>
  <c r="CC67" i="4"/>
  <c r="CB51" i="4"/>
  <c r="BT189" i="4"/>
  <c r="BT64" i="4"/>
  <c r="BT107" i="4"/>
  <c r="BT127" i="4"/>
  <c r="CD127" i="4" s="1"/>
  <c r="BT146" i="4"/>
  <c r="CC146" i="4" s="1"/>
  <c r="BT134" i="4"/>
  <c r="BT185" i="4"/>
  <c r="BT39" i="4"/>
  <c r="BT83" i="4"/>
  <c r="CE83" i="4" s="1"/>
  <c r="BT110" i="4"/>
  <c r="BT138" i="4"/>
  <c r="CD138" i="4" s="1"/>
  <c r="BT162" i="4"/>
  <c r="CC162" i="4" s="1"/>
  <c r="BT182" i="4"/>
  <c r="CB182" i="4" s="1"/>
  <c r="BT186" i="4"/>
  <c r="CB186" i="4" s="1"/>
  <c r="BT190" i="4"/>
  <c r="BT178" i="4"/>
  <c r="BT169" i="4"/>
  <c r="BT159" i="4"/>
  <c r="BT141" i="4"/>
  <c r="BT86" i="4"/>
  <c r="CB86" i="4" s="1"/>
  <c r="BT95" i="4"/>
  <c r="BT71" i="4"/>
  <c r="BT75" i="4"/>
  <c r="CE150" i="4"/>
  <c r="CE152" i="4"/>
  <c r="BW190" i="4"/>
  <c r="BU141" i="4"/>
  <c r="BV174" i="4"/>
  <c r="BW186" i="4"/>
  <c r="BU139" i="4"/>
  <c r="BZ103" i="4"/>
  <c r="BZ101" i="4"/>
  <c r="BU135" i="4"/>
  <c r="BW69" i="4"/>
  <c r="BZ61" i="4"/>
  <c r="CA128" i="4"/>
  <c r="BV183" i="4"/>
  <c r="BX48" i="4"/>
  <c r="BW192" i="4"/>
  <c r="BV97" i="4"/>
  <c r="BV176" i="4"/>
  <c r="CE176" i="4" s="1"/>
  <c r="BX196" i="4"/>
  <c r="BZ164" i="4"/>
  <c r="BW184" i="4"/>
  <c r="BV169" i="4"/>
  <c r="BV91" i="4"/>
  <c r="BV159" i="4"/>
  <c r="BV155" i="4"/>
  <c r="CG155" i="4" s="1"/>
  <c r="BU151" i="4"/>
  <c r="BV95" i="4"/>
  <c r="BU137" i="4"/>
  <c r="BZ100" i="4"/>
  <c r="BW73" i="4"/>
  <c r="BU82" i="4"/>
  <c r="BV76" i="4"/>
  <c r="BU86" i="4"/>
  <c r="CC86" i="4" s="1"/>
  <c r="BU54" i="4"/>
  <c r="CG54" i="4" s="1"/>
  <c r="BV78" i="4"/>
  <c r="BV165" i="4"/>
  <c r="BV180" i="4"/>
  <c r="BT198" i="4"/>
  <c r="BW194" i="4"/>
  <c r="BU147" i="4"/>
  <c r="BW104" i="4"/>
  <c r="BV182" i="4"/>
  <c r="BU149" i="4"/>
  <c r="BV89" i="4"/>
  <c r="BV87" i="4"/>
  <c r="BV93" i="4"/>
  <c r="BZ99" i="4"/>
  <c r="BV133" i="4"/>
  <c r="BW71" i="4"/>
  <c r="BZ102" i="4"/>
  <c r="BX80" i="4"/>
  <c r="BW65" i="4"/>
  <c r="BX60" i="4"/>
  <c r="BV98" i="4"/>
  <c r="BV59" i="4"/>
  <c r="BV172" i="4"/>
  <c r="BV171" i="4"/>
  <c r="BV178" i="4"/>
  <c r="BW188" i="4"/>
  <c r="BV75" i="4"/>
  <c r="BV157" i="4"/>
  <c r="CE157" i="4" s="1"/>
  <c r="BU153" i="4"/>
  <c r="BU143" i="4"/>
  <c r="BU145" i="4"/>
  <c r="CG145" i="4" s="1"/>
  <c r="BW67" i="4"/>
  <c r="BU58" i="4"/>
  <c r="BU84" i="4"/>
  <c r="BV77" i="4"/>
  <c r="BZ79" i="4"/>
  <c r="BU56" i="4"/>
  <c r="BU44" i="4"/>
  <c r="BT35" i="4"/>
  <c r="BY34" i="4"/>
  <c r="BS37" i="4"/>
  <c r="BT37" i="4"/>
  <c r="BV37" i="4"/>
  <c r="BU36" i="4"/>
  <c r="BV35" i="4"/>
  <c r="BW36" i="4"/>
  <c r="BV34" i="4"/>
  <c r="BU34" i="4"/>
  <c r="BY35" i="4"/>
  <c r="BU33" i="4"/>
  <c r="BT33" i="4"/>
  <c r="BS34" i="4"/>
  <c r="BS36" i="4"/>
  <c r="BW33" i="4"/>
  <c r="BT32" i="4"/>
  <c r="BY32" i="4"/>
  <c r="BR37" i="4"/>
  <c r="BR33" i="4"/>
  <c r="BR36" i="4"/>
  <c r="BS35" i="4"/>
  <c r="BV32" i="4"/>
  <c r="BS32" i="4"/>
  <c r="BX35" i="4"/>
  <c r="BX36" i="4"/>
  <c r="BW35" i="4"/>
  <c r="BU35" i="4"/>
  <c r="BY36" i="4"/>
  <c r="BR32" i="4"/>
  <c r="BT36" i="4"/>
  <c r="BW34" i="4"/>
  <c r="BT34" i="4"/>
  <c r="BX34" i="4"/>
  <c r="BX32" i="4"/>
  <c r="BV33" i="4"/>
  <c r="BW37" i="4"/>
  <c r="BU37" i="4"/>
  <c r="BW32" i="4"/>
  <c r="CI42" i="4"/>
  <c r="CI88" i="4"/>
  <c r="CI129" i="4"/>
  <c r="A3" i="5"/>
  <c r="B3" i="5"/>
  <c r="C3" i="5"/>
  <c r="A4" i="5"/>
  <c r="B4" i="5"/>
  <c r="C4" i="5"/>
  <c r="A5" i="5"/>
  <c r="B5" i="5"/>
  <c r="C5" i="5"/>
  <c r="A6" i="5"/>
  <c r="B6" i="5"/>
  <c r="C6" i="5"/>
  <c r="A7" i="5"/>
  <c r="B7" i="5"/>
  <c r="C7" i="5"/>
  <c r="A8" i="5"/>
  <c r="B8" i="5"/>
  <c r="C8" i="5"/>
  <c r="A9" i="5"/>
  <c r="B9" i="5"/>
  <c r="C9" i="5"/>
  <c r="A10" i="5"/>
  <c r="B10" i="5"/>
  <c r="C10" i="5"/>
  <c r="A11" i="5"/>
  <c r="B11" i="5"/>
  <c r="C11" i="5"/>
  <c r="B2" i="5"/>
  <c r="C2" i="5"/>
  <c r="A2" i="5"/>
  <c r="D1" i="5"/>
  <c r="E1" i="5"/>
  <c r="F1" i="5"/>
  <c r="G1" i="5"/>
  <c r="H1" i="5"/>
  <c r="A51" i="3"/>
  <c r="A42" i="3"/>
  <c r="A43" i="3"/>
  <c r="A44" i="3"/>
  <c r="A45" i="3"/>
  <c r="A46" i="3"/>
  <c r="A47" i="3"/>
  <c r="A48" i="3"/>
  <c r="A49" i="3"/>
  <c r="A50" i="3"/>
  <c r="A32" i="3"/>
  <c r="A33" i="3"/>
  <c r="A34" i="3"/>
  <c r="A35" i="3"/>
  <c r="A36" i="3"/>
  <c r="A37" i="3"/>
  <c r="A38" i="3"/>
  <c r="A39" i="3"/>
  <c r="A40" i="3"/>
  <c r="A41" i="3"/>
  <c r="CJ88" i="4" l="1"/>
  <c r="CE181" i="4"/>
  <c r="CI145" i="4"/>
  <c r="CC71" i="4"/>
  <c r="CH125" i="4"/>
  <c r="CG57" i="4"/>
  <c r="CE148" i="4"/>
  <c r="CE172" i="4"/>
  <c r="CK65" i="4"/>
  <c r="CD44" i="4"/>
  <c r="CF84" i="4"/>
  <c r="CG143" i="4"/>
  <c r="CE89" i="4"/>
  <c r="CI185" i="4"/>
  <c r="CD65" i="4"/>
  <c r="CC96" i="4"/>
  <c r="CF70" i="4"/>
  <c r="CI187" i="4"/>
  <c r="CB150" i="4"/>
  <c r="CE197" i="4"/>
  <c r="CD148" i="4"/>
  <c r="CG90" i="4"/>
  <c r="CG153" i="4"/>
  <c r="CI178" i="4"/>
  <c r="CC149" i="4"/>
  <c r="CG194" i="4"/>
  <c r="CJ69" i="4"/>
  <c r="CC139" i="4"/>
  <c r="CC134" i="4"/>
  <c r="CD144" i="4"/>
  <c r="CC128" i="4"/>
  <c r="CC180" i="4"/>
  <c r="CC124" i="4"/>
  <c r="CB109" i="4"/>
  <c r="CC181" i="4"/>
  <c r="CK67" i="4"/>
  <c r="CB166" i="4"/>
  <c r="CB35" i="4"/>
  <c r="CD192" i="4"/>
  <c r="CI66" i="4"/>
  <c r="CC45" i="4"/>
  <c r="CB181" i="4"/>
  <c r="CB89" i="4"/>
  <c r="CC60" i="4"/>
  <c r="CF90" i="4"/>
  <c r="CE42" i="4"/>
  <c r="CB93" i="4"/>
  <c r="CF168" i="4"/>
  <c r="CD74" i="4"/>
  <c r="CC94" i="4"/>
  <c r="CE80" i="4"/>
  <c r="CF33" i="4"/>
  <c r="CC101" i="4"/>
  <c r="CF123" i="4"/>
  <c r="CE55" i="4"/>
  <c r="CC57" i="4"/>
  <c r="CB177" i="4"/>
  <c r="CB142" i="4"/>
  <c r="CE173" i="4"/>
  <c r="CD159" i="4"/>
  <c r="CH136" i="4"/>
  <c r="CD85" i="4"/>
  <c r="CE118" i="4"/>
  <c r="CC157" i="4"/>
  <c r="CG192" i="4"/>
  <c r="CB133" i="4"/>
  <c r="CG120" i="4"/>
  <c r="CJ53" i="4"/>
  <c r="CA111" i="4"/>
  <c r="CC142" i="4"/>
  <c r="CB108" i="4"/>
  <c r="CC43" i="4"/>
  <c r="CB66" i="4"/>
  <c r="CH140" i="4"/>
  <c r="CI181" i="4"/>
  <c r="CE158" i="4"/>
  <c r="CJ72" i="4"/>
  <c r="CE93" i="4"/>
  <c r="CA43" i="4"/>
  <c r="CI149" i="4"/>
  <c r="CF88" i="4"/>
  <c r="CE140" i="4"/>
  <c r="CI81" i="4"/>
  <c r="CL122" i="4"/>
  <c r="CF197" i="4"/>
  <c r="CG84" i="4"/>
  <c r="CD126" i="4"/>
  <c r="CE183" i="4"/>
  <c r="CI118" i="4"/>
  <c r="CH75" i="4"/>
  <c r="CG141" i="4"/>
  <c r="CG96" i="4"/>
  <c r="CG182" i="4"/>
  <c r="CE71" i="4"/>
  <c r="CE129" i="4"/>
  <c r="CG45" i="4"/>
  <c r="CG50" i="4"/>
  <c r="CK49" i="4"/>
  <c r="CC92" i="4"/>
  <c r="CI80" i="4"/>
  <c r="CG166" i="4"/>
  <c r="CF65" i="4"/>
  <c r="CC110" i="4"/>
  <c r="BZ110" i="4"/>
  <c r="CD60" i="4"/>
  <c r="CL60" i="4" s="1"/>
  <c r="CD163" i="4"/>
  <c r="CE90" i="4"/>
  <c r="BZ119" i="4"/>
  <c r="CB127" i="4"/>
  <c r="CE142" i="4"/>
  <c r="CD124" i="4"/>
  <c r="CD173" i="4"/>
  <c r="CJ173" i="4"/>
  <c r="CF118" i="4"/>
  <c r="CG159" i="4"/>
  <c r="CE175" i="4"/>
  <c r="CE192" i="4"/>
  <c r="CH50" i="4"/>
  <c r="CL69" i="4"/>
  <c r="CG179" i="4"/>
  <c r="CE120" i="4"/>
  <c r="CJ181" i="4"/>
  <c r="CF184" i="4"/>
  <c r="CC80" i="4"/>
  <c r="CK80" i="4" s="1"/>
  <c r="CD56" i="4"/>
  <c r="CC44" i="4"/>
  <c r="CE72" i="4"/>
  <c r="CH72" i="4"/>
  <c r="CI125" i="4"/>
  <c r="CD147" i="4"/>
  <c r="CG180" i="4"/>
  <c r="CH183" i="4"/>
  <c r="CG164" i="4"/>
  <c r="CG157" i="4"/>
  <c r="CB168" i="4"/>
  <c r="CA110" i="4"/>
  <c r="CD34" i="4"/>
  <c r="CE33" i="4"/>
  <c r="CE95" i="4"/>
  <c r="CG65" i="4"/>
  <c r="CH112" i="4"/>
  <c r="CG94" i="4"/>
  <c r="CB149" i="4"/>
  <c r="CF96" i="4"/>
  <c r="CC133" i="4"/>
  <c r="CD117" i="4"/>
  <c r="CI160" i="4"/>
  <c r="CC143" i="4"/>
  <c r="CB95" i="4"/>
  <c r="CG147" i="4"/>
  <c r="CE187" i="4"/>
  <c r="CC150" i="4"/>
  <c r="CJ80" i="4"/>
  <c r="CA127" i="4"/>
  <c r="CI173" i="4"/>
  <c r="CH34" i="4"/>
  <c r="CH190" i="4"/>
  <c r="CI190" i="4"/>
  <c r="CC151" i="4"/>
  <c r="CI175" i="4"/>
  <c r="CG171" i="4"/>
  <c r="CI48" i="4"/>
  <c r="CD91" i="4"/>
  <c r="CH91" i="4"/>
  <c r="CG91" i="4"/>
  <c r="CG165" i="4"/>
  <c r="CF165" i="4"/>
  <c r="CC165" i="4"/>
  <c r="CH165" i="4"/>
  <c r="CB165" i="4"/>
  <c r="CD165" i="4"/>
  <c r="CE165" i="4"/>
  <c r="CJ96" i="4"/>
  <c r="CE91" i="4"/>
  <c r="CI182" i="4"/>
  <c r="CJ182" i="4"/>
  <c r="CF182" i="4"/>
  <c r="CG43" i="4"/>
  <c r="CC78" i="4"/>
  <c r="CD78" i="4"/>
  <c r="CF78" i="4"/>
  <c r="CJ78" i="4"/>
  <c r="CE78" i="4"/>
  <c r="CF91" i="4"/>
  <c r="CL65" i="4"/>
  <c r="CD75" i="4"/>
  <c r="CF105" i="4"/>
  <c r="CC61" i="4"/>
  <c r="CD61" i="4"/>
  <c r="CA61" i="4"/>
  <c r="CB61" i="4"/>
  <c r="CG61" i="4"/>
  <c r="CE61" i="4"/>
  <c r="CH61" i="4"/>
  <c r="CE96" i="4"/>
  <c r="CA165" i="4"/>
  <c r="CB107" i="4"/>
  <c r="CE107" i="4"/>
  <c r="CD107" i="4"/>
  <c r="CG107" i="4"/>
  <c r="BZ107" i="4"/>
  <c r="CC107" i="4"/>
  <c r="CC159" i="4"/>
  <c r="CE182" i="4"/>
  <c r="CF154" i="4"/>
  <c r="CH172" i="4"/>
  <c r="CG132" i="4"/>
  <c r="CH132" i="4"/>
  <c r="CF132" i="4"/>
  <c r="CD132" i="4"/>
  <c r="CE132" i="4"/>
  <c r="CC132" i="4"/>
  <c r="CB132" i="4"/>
  <c r="CI188" i="4"/>
  <c r="CH188" i="4"/>
  <c r="CH177" i="4"/>
  <c r="CG177" i="4"/>
  <c r="CD177" i="4"/>
  <c r="CB83" i="4"/>
  <c r="CC170" i="4"/>
  <c r="CE170" i="4"/>
  <c r="CH170" i="4"/>
  <c r="CD170" i="4"/>
  <c r="CI170" i="4"/>
  <c r="CG170" i="4"/>
  <c r="CD98" i="4"/>
  <c r="CH98" i="4"/>
  <c r="CE98" i="4"/>
  <c r="CF98" i="4"/>
  <c r="CB98" i="4"/>
  <c r="CC156" i="4"/>
  <c r="CF156" i="4"/>
  <c r="CB156" i="4"/>
  <c r="CH156" i="4"/>
  <c r="CD156" i="4"/>
  <c r="CC188" i="4"/>
  <c r="CE186" i="4"/>
  <c r="CE144" i="4"/>
  <c r="CI184" i="4"/>
  <c r="CE171" i="4"/>
  <c r="CH193" i="4"/>
  <c r="CD193" i="4"/>
  <c r="CC193" i="4"/>
  <c r="CG193" i="4"/>
  <c r="CG161" i="4"/>
  <c r="CF161" i="4"/>
  <c r="CF40" i="4"/>
  <c r="BZ40" i="4"/>
  <c r="CD40" i="4"/>
  <c r="CC40" i="4"/>
  <c r="CG40" i="4"/>
  <c r="CB40" i="4"/>
  <c r="CI70" i="4"/>
  <c r="CF100" i="4"/>
  <c r="CB100" i="4"/>
  <c r="CI100" i="4"/>
  <c r="CD100" i="4"/>
  <c r="CE77" i="4"/>
  <c r="CH77" i="4"/>
  <c r="CB77" i="4"/>
  <c r="CG77" i="4"/>
  <c r="CF77" i="4"/>
  <c r="CA77" i="4"/>
  <c r="CF110" i="4"/>
  <c r="CG116" i="4"/>
  <c r="CE116" i="4"/>
  <c r="CK116" i="4"/>
  <c r="CJ116" i="4"/>
  <c r="CI116" i="4"/>
  <c r="CF116" i="4"/>
  <c r="CK60" i="4"/>
  <c r="CB135" i="4"/>
  <c r="CE135" i="4"/>
  <c r="CH135" i="4"/>
  <c r="CF135" i="4"/>
  <c r="CF167" i="4"/>
  <c r="CH167" i="4"/>
  <c r="CB167" i="4"/>
  <c r="CG167" i="4"/>
  <c r="CE167" i="4"/>
  <c r="CC167" i="4"/>
  <c r="CF155" i="4"/>
  <c r="CJ155" i="4"/>
  <c r="CI155" i="4"/>
  <c r="CE155" i="4"/>
  <c r="CG174" i="4"/>
  <c r="CB193" i="4"/>
  <c r="CB190" i="4"/>
  <c r="CJ190" i="4" s="1"/>
  <c r="CE198" i="4"/>
  <c r="CD198" i="4"/>
  <c r="CA198" i="4"/>
  <c r="CF198" i="4"/>
  <c r="BZ198" i="4"/>
  <c r="CG198" i="4"/>
  <c r="CF115" i="4"/>
  <c r="CB115" i="4"/>
  <c r="CJ115" i="4" s="1"/>
  <c r="CH115" i="4"/>
  <c r="CE115" i="4"/>
  <c r="CG115" i="4"/>
  <c r="CC115" i="4"/>
  <c r="CD115" i="4"/>
  <c r="CC59" i="4"/>
  <c r="CH59" i="4"/>
  <c r="CI59" i="4"/>
  <c r="CG59" i="4"/>
  <c r="CF59" i="4"/>
  <c r="CD59" i="4"/>
  <c r="CF41" i="4"/>
  <c r="CH41" i="4"/>
  <c r="CE41" i="4"/>
  <c r="CI41" i="4"/>
  <c r="CJ74" i="4"/>
  <c r="CI74" i="4"/>
  <c r="CF82" i="4"/>
  <c r="CF104" i="4"/>
  <c r="CD52" i="4"/>
  <c r="CF52" i="4"/>
  <c r="CB52" i="4"/>
  <c r="CJ52" i="4" s="1"/>
  <c r="CH52" i="4"/>
  <c r="CE52" i="4"/>
  <c r="CG52" i="4"/>
  <c r="CI52" i="4"/>
  <c r="CH76" i="4"/>
  <c r="CE138" i="4"/>
  <c r="CF157" i="4"/>
  <c r="CH178" i="4"/>
  <c r="CF171" i="4"/>
  <c r="CD199" i="4"/>
  <c r="CG199" i="4"/>
  <c r="CC199" i="4"/>
  <c r="CF199" i="4"/>
  <c r="CH161" i="4"/>
  <c r="CC52" i="4"/>
  <c r="CE65" i="4"/>
  <c r="CC75" i="4"/>
  <c r="CD105" i="4"/>
  <c r="CG130" i="4"/>
  <c r="CK96" i="4"/>
  <c r="CI183" i="4"/>
  <c r="CH171" i="4"/>
  <c r="CJ50" i="4"/>
  <c r="CJ49" i="4"/>
  <c r="CI67" i="4"/>
  <c r="CE67" i="4"/>
  <c r="CE88" i="4"/>
  <c r="CE153" i="4"/>
  <c r="CH194" i="4"/>
  <c r="CH120" i="4"/>
  <c r="CK130" i="4"/>
  <c r="CG72" i="4"/>
  <c r="CF72" i="4"/>
  <c r="CE60" i="4"/>
  <c r="CG60" i="4"/>
  <c r="CI195" i="4"/>
  <c r="CD58" i="4"/>
  <c r="CB58" i="4"/>
  <c r="CH58" i="4"/>
  <c r="CE58" i="4"/>
  <c r="CC58" i="4"/>
  <c r="CG58" i="4"/>
  <c r="CG97" i="4"/>
  <c r="CF97" i="4"/>
  <c r="CC97" i="4"/>
  <c r="CD97" i="4"/>
  <c r="CH134" i="4"/>
  <c r="CI134" i="4"/>
  <c r="CF134" i="4"/>
  <c r="CD134" i="4"/>
  <c r="CH139" i="4"/>
  <c r="CF139" i="4"/>
  <c r="CE139" i="4"/>
  <c r="CB139" i="4"/>
  <c r="CG71" i="4"/>
  <c r="CH71" i="4"/>
  <c r="CG87" i="4"/>
  <c r="CH87" i="4"/>
  <c r="CF87" i="4"/>
  <c r="CD87" i="4"/>
  <c r="CB134" i="4"/>
  <c r="CK134" i="4" s="1"/>
  <c r="CF149" i="4"/>
  <c r="CE149" i="4"/>
  <c r="CD149" i="4"/>
  <c r="CL149" i="4" s="1"/>
  <c r="CG169" i="4"/>
  <c r="CI169" i="4"/>
  <c r="CF169" i="4"/>
  <c r="CE169" i="4"/>
  <c r="CC169" i="4"/>
  <c r="CF189" i="4"/>
  <c r="CG189" i="4"/>
  <c r="CD189" i="4"/>
  <c r="CC189" i="4"/>
  <c r="CB189" i="4"/>
  <c r="CH189" i="4"/>
  <c r="CE113" i="4"/>
  <c r="CF113" i="4"/>
  <c r="CG113" i="4"/>
  <c r="CC113" i="4"/>
  <c r="CH113" i="4"/>
  <c r="CB48" i="4"/>
  <c r="CJ48" i="4" s="1"/>
  <c r="CG48" i="4"/>
  <c r="CE48" i="4"/>
  <c r="CC48" i="4"/>
  <c r="CH48" i="4"/>
  <c r="CD48" i="4"/>
  <c r="CF48" i="4"/>
  <c r="CG78" i="4"/>
  <c r="CA91" i="4"/>
  <c r="CB97" i="4"/>
  <c r="CL97" i="4" s="1"/>
  <c r="CE121" i="4"/>
  <c r="CF121" i="4"/>
  <c r="CD121" i="4"/>
  <c r="CC121" i="4"/>
  <c r="CG121" i="4"/>
  <c r="CH121" i="4"/>
  <c r="CA94" i="4"/>
  <c r="CH149" i="4"/>
  <c r="CA139" i="4"/>
  <c r="CI139" i="4" s="1"/>
  <c r="CC182" i="4"/>
  <c r="CK182" i="4" s="1"/>
  <c r="CF71" i="4"/>
  <c r="CG175" i="4"/>
  <c r="CE154" i="4"/>
  <c r="CB172" i="4"/>
  <c r="CI172" i="4"/>
  <c r="CF172" i="4"/>
  <c r="CF185" i="4"/>
  <c r="CD68" i="4"/>
  <c r="CC68" i="4"/>
  <c r="CH79" i="4"/>
  <c r="CD79" i="4"/>
  <c r="CA79" i="4"/>
  <c r="CI79" i="4" s="1"/>
  <c r="CB79" i="4"/>
  <c r="CJ79" i="4" s="1"/>
  <c r="CG79" i="4"/>
  <c r="CE79" i="4"/>
  <c r="CG69" i="4"/>
  <c r="CG146" i="4"/>
  <c r="CE194" i="4"/>
  <c r="CF186" i="4"/>
  <c r="CE184" i="4"/>
  <c r="CJ149" i="4"/>
  <c r="CE128" i="4"/>
  <c r="CG128" i="4"/>
  <c r="CB128" i="4"/>
  <c r="CF128" i="4"/>
  <c r="CI128" i="4"/>
  <c r="CI198" i="4"/>
  <c r="CH40" i="4"/>
  <c r="CK149" i="4"/>
  <c r="CB33" i="4"/>
  <c r="CC37" i="4"/>
  <c r="CH137" i="4"/>
  <c r="CI137" i="4"/>
  <c r="CD137" i="4"/>
  <c r="CE137" i="4"/>
  <c r="CE177" i="4"/>
  <c r="CF86" i="4"/>
  <c r="CJ86" i="4"/>
  <c r="CH86" i="4"/>
  <c r="CB178" i="4"/>
  <c r="CJ178" i="4" s="1"/>
  <c r="CF178" i="4"/>
  <c r="CD162" i="4"/>
  <c r="CE162" i="4"/>
  <c r="CG162" i="4"/>
  <c r="CH162" i="4"/>
  <c r="CB162" i="4"/>
  <c r="CI39" i="4"/>
  <c r="CH39" i="4"/>
  <c r="CE39" i="4"/>
  <c r="CF39" i="4"/>
  <c r="CD99" i="4"/>
  <c r="CE99" i="4"/>
  <c r="CH99" i="4"/>
  <c r="CG99" i="4"/>
  <c r="CF99" i="4"/>
  <c r="CC99" i="4"/>
  <c r="CB99" i="4"/>
  <c r="CE174" i="4"/>
  <c r="CB174" i="4"/>
  <c r="CA174" i="4"/>
  <c r="CF174" i="4"/>
  <c r="CG108" i="4"/>
  <c r="CE108" i="4"/>
  <c r="CF108" i="4"/>
  <c r="CA63" i="4"/>
  <c r="CI63" i="4" s="1"/>
  <c r="CB63" i="4"/>
  <c r="CG63" i="4"/>
  <c r="CH63" i="4"/>
  <c r="CE63" i="4"/>
  <c r="CF63" i="4"/>
  <c r="CD63" i="4"/>
  <c r="CC63" i="4"/>
  <c r="CI62" i="4"/>
  <c r="CD43" i="4"/>
  <c r="CB43" i="4"/>
  <c r="CK43" i="4" s="1"/>
  <c r="CH43" i="4"/>
  <c r="CI43" i="4"/>
  <c r="CF43" i="4"/>
  <c r="CE43" i="4"/>
  <c r="CB55" i="4"/>
  <c r="CH78" i="4"/>
  <c r="CB87" i="4"/>
  <c r="CA87" i="4"/>
  <c r="CB91" i="4"/>
  <c r="CE75" i="4"/>
  <c r="CI105" i="4"/>
  <c r="CH97" i="4"/>
  <c r="CB121" i="4"/>
  <c r="CE94" i="4"/>
  <c r="CG134" i="4"/>
  <c r="CG149" i="4"/>
  <c r="CG139" i="4"/>
  <c r="CF107" i="4"/>
  <c r="CB151" i="4"/>
  <c r="CF159" i="4"/>
  <c r="CD182" i="4"/>
  <c r="CB71" i="4"/>
  <c r="CK71" i="4" s="1"/>
  <c r="CI136" i="4"/>
  <c r="CD136" i="4"/>
  <c r="CF136" i="4"/>
  <c r="CB136" i="4"/>
  <c r="CC136" i="4"/>
  <c r="CG136" i="4"/>
  <c r="CC192" i="4"/>
  <c r="CK192" i="4" s="1"/>
  <c r="CF192" i="4"/>
  <c r="CH114" i="4"/>
  <c r="CE114" i="4"/>
  <c r="CJ114" i="4"/>
  <c r="CG114" i="4"/>
  <c r="CI114" i="4"/>
  <c r="CD114" i="4"/>
  <c r="CL114" i="4" s="1"/>
  <c r="CF114" i="4"/>
  <c r="CB154" i="4"/>
  <c r="CD172" i="4"/>
  <c r="CE185" i="4"/>
  <c r="CE195" i="4"/>
  <c r="CC177" i="4"/>
  <c r="CF177" i="4"/>
  <c r="CE146" i="4"/>
  <c r="CE76" i="4"/>
  <c r="CG76" i="4"/>
  <c r="CI76" i="4"/>
  <c r="CF76" i="4"/>
  <c r="CB196" i="4"/>
  <c r="CK196" i="4" s="1"/>
  <c r="CI196" i="4"/>
  <c r="CD38" i="4"/>
  <c r="CG38" i="4"/>
  <c r="CF38" i="4"/>
  <c r="CH38" i="4"/>
  <c r="CJ38" i="4"/>
  <c r="CC38" i="4"/>
  <c r="CB125" i="4"/>
  <c r="CJ125" i="4" s="1"/>
  <c r="CD125" i="4"/>
  <c r="CE125" i="4"/>
  <c r="CC125" i="4"/>
  <c r="CG125" i="4"/>
  <c r="CE66" i="4"/>
  <c r="CJ66" i="4"/>
  <c r="CG66" i="4"/>
  <c r="CD66" i="4"/>
  <c r="CC66" i="4"/>
  <c r="CH66" i="4"/>
  <c r="CB113" i="4"/>
  <c r="CF109" i="4"/>
  <c r="CC109" i="4"/>
  <c r="CH109" i="4"/>
  <c r="CE109" i="4"/>
  <c r="CG109" i="4"/>
  <c r="CD109" i="4"/>
  <c r="CD45" i="4"/>
  <c r="CI38" i="4"/>
  <c r="CF66" i="4"/>
  <c r="CF67" i="4"/>
  <c r="CC79" i="4"/>
  <c r="CK79" i="4" s="1"/>
  <c r="CA109" i="4"/>
  <c r="CG83" i="4"/>
  <c r="CH83" i="4"/>
  <c r="CJ83" i="4"/>
  <c r="CD83" i="4"/>
  <c r="CF83" i="4"/>
  <c r="CC83" i="4"/>
  <c r="CK83" i="4" s="1"/>
  <c r="CB117" i="4"/>
  <c r="CC166" i="4"/>
  <c r="CC153" i="4"/>
  <c r="CK153" i="4" s="1"/>
  <c r="CH153" i="4"/>
  <c r="CB170" i="4"/>
  <c r="CK170" i="4" s="1"/>
  <c r="CG98" i="4"/>
  <c r="CF145" i="4"/>
  <c r="CB145" i="4"/>
  <c r="CD145" i="4"/>
  <c r="CE145" i="4"/>
  <c r="CH145" i="4"/>
  <c r="CC194" i="4"/>
  <c r="CK194" i="4" s="1"/>
  <c r="CG156" i="4"/>
  <c r="CD176" i="4"/>
  <c r="CE188" i="4"/>
  <c r="CD120" i="4"/>
  <c r="CD186" i="4"/>
  <c r="CG186" i="4"/>
  <c r="CF181" i="4"/>
  <c r="CD184" i="4"/>
  <c r="CG184" i="4"/>
  <c r="CG53" i="4"/>
  <c r="CI99" i="4"/>
  <c r="CE82" i="4"/>
  <c r="CB82" i="4"/>
  <c r="CD51" i="4"/>
  <c r="BZ51" i="4"/>
  <c r="CG51" i="4"/>
  <c r="CA51" i="4"/>
  <c r="CE51" i="4"/>
  <c r="CF51" i="4"/>
  <c r="CA46" i="4"/>
  <c r="CI46" i="4" s="1"/>
  <c r="CB46" i="4"/>
  <c r="CH46" i="4"/>
  <c r="CF46" i="4"/>
  <c r="CG46" i="4"/>
  <c r="CD46" i="4"/>
  <c r="CA57" i="4"/>
  <c r="CJ57" i="4" s="1"/>
  <c r="CD57" i="4"/>
  <c r="CL57" i="4" s="1"/>
  <c r="CH57" i="4"/>
  <c r="CK57" i="4"/>
  <c r="CE57" i="4"/>
  <c r="CF57" i="4"/>
  <c r="CB39" i="4"/>
  <c r="CJ39" i="4" s="1"/>
  <c r="CC56" i="4"/>
  <c r="CA56" i="4"/>
  <c r="CF56" i="4"/>
  <c r="CE56" i="4"/>
  <c r="CH56" i="4"/>
  <c r="CG56" i="4"/>
  <c r="CB56" i="4"/>
  <c r="CD93" i="4"/>
  <c r="CC93" i="4"/>
  <c r="CG93" i="4"/>
  <c r="CH93" i="4"/>
  <c r="CF93" i="4"/>
  <c r="CG70" i="4"/>
  <c r="CE70" i="4"/>
  <c r="CH70" i="4"/>
  <c r="CC70" i="4"/>
  <c r="CD70" i="4"/>
  <c r="CB85" i="4"/>
  <c r="CF85" i="4"/>
  <c r="CH85" i="4"/>
  <c r="CC85" i="4"/>
  <c r="CG85" i="4"/>
  <c r="CJ122" i="4"/>
  <c r="CE122" i="4"/>
  <c r="CH141" i="4"/>
  <c r="CH60" i="4"/>
  <c r="CC135" i="4"/>
  <c r="CG135" i="4"/>
  <c r="CD133" i="4"/>
  <c r="CC155" i="4"/>
  <c r="CK155" i="4" s="1"/>
  <c r="CH155" i="4"/>
  <c r="CC174" i="4"/>
  <c r="CH174" i="4"/>
  <c r="CB187" i="4"/>
  <c r="CB106" i="4"/>
  <c r="CK106" i="4" s="1"/>
  <c r="CI106" i="4"/>
  <c r="CG106" i="4"/>
  <c r="CD106" i="4"/>
  <c r="CH106" i="4"/>
  <c r="CE106" i="4"/>
  <c r="CF106" i="4"/>
  <c r="CI158" i="4"/>
  <c r="CH158" i="4"/>
  <c r="CD158" i="4"/>
  <c r="CG158" i="4"/>
  <c r="CC158" i="4"/>
  <c r="CB158" i="4"/>
  <c r="CJ158" i="4" s="1"/>
  <c r="CF158" i="4"/>
  <c r="CE190" i="4"/>
  <c r="CC190" i="4"/>
  <c r="CC198" i="4"/>
  <c r="CG55" i="4"/>
  <c r="CE86" i="4"/>
  <c r="CD191" i="4"/>
  <c r="CC191" i="4"/>
  <c r="CB191" i="4"/>
  <c r="CF191" i="4"/>
  <c r="CH191" i="4"/>
  <c r="CG191" i="4"/>
  <c r="CJ191" i="4"/>
  <c r="CI159" i="4"/>
  <c r="CH159" i="4"/>
  <c r="CF58" i="4"/>
  <c r="CD42" i="4"/>
  <c r="CF42" i="4"/>
  <c r="CC42" i="4"/>
  <c r="CB42" i="4"/>
  <c r="CJ42" i="4" s="1"/>
  <c r="CG42" i="4"/>
  <c r="CC41" i="4"/>
  <c r="CD82" i="4"/>
  <c r="CG82" i="4"/>
  <c r="CI90" i="4"/>
  <c r="CB90" i="4"/>
  <c r="CH90" i="4"/>
  <c r="CD90" i="4"/>
  <c r="CD54" i="4"/>
  <c r="CE73" i="4"/>
  <c r="CI73" i="4"/>
  <c r="CG73" i="4"/>
  <c r="CF73" i="4"/>
  <c r="CD73" i="4"/>
  <c r="CC73" i="4"/>
  <c r="CG104" i="4"/>
  <c r="CJ104" i="4"/>
  <c r="CE104" i="4"/>
  <c r="CI104" i="4"/>
  <c r="CC104" i="4"/>
  <c r="CD104" i="4"/>
  <c r="CH104" i="4"/>
  <c r="CF111" i="4"/>
  <c r="CD111" i="4"/>
  <c r="CH111" i="4"/>
  <c r="CB111" i="4"/>
  <c r="CJ111" i="4" s="1"/>
  <c r="CE111" i="4"/>
  <c r="CG111" i="4"/>
  <c r="CC111" i="4"/>
  <c r="CB76" i="4"/>
  <c r="CI148" i="4"/>
  <c r="CC148" i="4"/>
  <c r="CF148" i="4"/>
  <c r="CH148" i="4"/>
  <c r="CG148" i="4"/>
  <c r="CB148" i="4"/>
  <c r="CL148" i="4" s="1"/>
  <c r="CB138" i="4"/>
  <c r="CJ138" i="4" s="1"/>
  <c r="CC138" i="4"/>
  <c r="CD142" i="4"/>
  <c r="CH142" i="4"/>
  <c r="CI142" i="4"/>
  <c r="CJ142" i="4"/>
  <c r="CL142" i="4"/>
  <c r="CF142" i="4"/>
  <c r="CK142" i="4"/>
  <c r="CB157" i="4"/>
  <c r="CH196" i="4"/>
  <c r="CD171" i="4"/>
  <c r="CD108" i="4"/>
  <c r="CA108" i="4"/>
  <c r="CG168" i="4"/>
  <c r="CH168" i="4"/>
  <c r="CD168" i="4"/>
  <c r="CI168" i="4"/>
  <c r="CE168" i="4"/>
  <c r="CB183" i="4"/>
  <c r="BZ199" i="4"/>
  <c r="CH199" i="4" s="1"/>
  <c r="CB169" i="4"/>
  <c r="CJ169" i="4" s="1"/>
  <c r="CH169" i="4"/>
  <c r="CC173" i="4"/>
  <c r="CD161" i="4"/>
  <c r="CA161" i="4"/>
  <c r="CJ161" i="4" s="1"/>
  <c r="CB101" i="4"/>
  <c r="CF101" i="4"/>
  <c r="CG101" i="4"/>
  <c r="CD101" i="4"/>
  <c r="CH101" i="4"/>
  <c r="CI78" i="4"/>
  <c r="CI121" i="4"/>
  <c r="CI65" i="4"/>
  <c r="CH105" i="4"/>
  <c r="CE105" i="4"/>
  <c r="CE134" i="4"/>
  <c r="CH96" i="4"/>
  <c r="CJ137" i="4"/>
  <c r="CF61" i="4"/>
  <c r="CI191" i="4"/>
  <c r="CI50" i="4"/>
  <c r="CD50" i="4"/>
  <c r="CF49" i="4"/>
  <c r="CI49" i="4"/>
  <c r="CH67" i="4"/>
  <c r="CH88" i="4"/>
  <c r="CB68" i="4"/>
  <c r="CJ68" i="4" s="1"/>
  <c r="CG68" i="4"/>
  <c r="CD80" i="4"/>
  <c r="CE69" i="4"/>
  <c r="CI120" i="4"/>
  <c r="CH100" i="4"/>
  <c r="CC72" i="4"/>
  <c r="CK72" i="4" s="1"/>
  <c r="CG122" i="4"/>
  <c r="CJ60" i="4"/>
  <c r="CF60" i="4"/>
  <c r="CG118" i="4"/>
  <c r="CK114" i="4"/>
  <c r="CI193" i="4"/>
  <c r="CG172" i="4"/>
  <c r="CF55" i="4"/>
  <c r="CC175" i="4"/>
  <c r="CF175" i="4"/>
  <c r="CH175" i="4"/>
  <c r="CI192" i="4"/>
  <c r="CC172" i="4"/>
  <c r="CD103" i="4"/>
  <c r="CC103" i="4"/>
  <c r="CE103" i="4"/>
  <c r="CB103" i="4"/>
  <c r="CJ103" i="4" s="1"/>
  <c r="CG103" i="4"/>
  <c r="CF103" i="4"/>
  <c r="CH103" i="4"/>
  <c r="CF137" i="4"/>
  <c r="CE85" i="4"/>
  <c r="CG129" i="4"/>
  <c r="CF129" i="4"/>
  <c r="CC129" i="4"/>
  <c r="CD129" i="4"/>
  <c r="CB129" i="4"/>
  <c r="CB163" i="4"/>
  <c r="CI163" i="4"/>
  <c r="CF163" i="4"/>
  <c r="CH163" i="4"/>
  <c r="CE84" i="4"/>
  <c r="CG133" i="4"/>
  <c r="CE133" i="4"/>
  <c r="CF133" i="4"/>
  <c r="CC88" i="4"/>
  <c r="CK88" i="4" s="1"/>
  <c r="CG88" i="4"/>
  <c r="CE92" i="4"/>
  <c r="CD92" i="4"/>
  <c r="CH92" i="4"/>
  <c r="CF92" i="4"/>
  <c r="CB92" i="4"/>
  <c r="CA92" i="4"/>
  <c r="CI68" i="4"/>
  <c r="CF69" i="4"/>
  <c r="CD113" i="4"/>
  <c r="CA113" i="4"/>
  <c r="CK113" i="4" s="1"/>
  <c r="CB146" i="4"/>
  <c r="CA166" i="4"/>
  <c r="CJ166" i="4" s="1"/>
  <c r="CH166" i="4"/>
  <c r="CD166" i="4"/>
  <c r="CE166" i="4"/>
  <c r="CI166" i="4"/>
  <c r="CJ170" i="4"/>
  <c r="CF170" i="4"/>
  <c r="CC98" i="4"/>
  <c r="CH179" i="4"/>
  <c r="CF194" i="4"/>
  <c r="CI194" i="4"/>
  <c r="CB143" i="4"/>
  <c r="CK143" i="4" s="1"/>
  <c r="CE143" i="4"/>
  <c r="CH143" i="4"/>
  <c r="CI143" i="4"/>
  <c r="CJ143" i="4"/>
  <c r="CF143" i="4"/>
  <c r="CE156" i="4"/>
  <c r="CG176" i="4"/>
  <c r="CD188" i="4"/>
  <c r="CG188" i="4"/>
  <c r="CF188" i="4"/>
  <c r="CF120" i="4"/>
  <c r="CJ186" i="4"/>
  <c r="CH184" i="4"/>
  <c r="CE59" i="4"/>
  <c r="CE136" i="4"/>
  <c r="CH44" i="4"/>
  <c r="CG44" i="4"/>
  <c r="CB44" i="4"/>
  <c r="CJ44" i="4" s="1"/>
  <c r="CI44" i="4"/>
  <c r="CF44" i="4"/>
  <c r="CD197" i="4"/>
  <c r="CC197" i="4"/>
  <c r="BZ197" i="4"/>
  <c r="CB197" i="4"/>
  <c r="CG197" i="4"/>
  <c r="CE46" i="4"/>
  <c r="CD39" i="4"/>
  <c r="CE81" i="4"/>
  <c r="CH89" i="4"/>
  <c r="CG89" i="4"/>
  <c r="CC89" i="4"/>
  <c r="CD89" i="4"/>
  <c r="CF89" i="4"/>
  <c r="CE100" i="4"/>
  <c r="CI95" i="4"/>
  <c r="CA135" i="4"/>
  <c r="CI135" i="4" s="1"/>
  <c r="CB147" i="4"/>
  <c r="CH147" i="4"/>
  <c r="CE147" i="4"/>
  <c r="CI147" i="4"/>
  <c r="CF147" i="4"/>
  <c r="BZ133" i="4"/>
  <c r="CH133" i="4" s="1"/>
  <c r="CD155" i="4"/>
  <c r="CL155" i="4" s="1"/>
  <c r="CD174" i="4"/>
  <c r="CF193" i="4"/>
  <c r="CB102" i="4"/>
  <c r="CG102" i="4"/>
  <c r="CC102" i="4"/>
  <c r="CH102" i="4"/>
  <c r="CD102" i="4"/>
  <c r="CA102" i="4"/>
  <c r="CI102" i="4" s="1"/>
  <c r="CF102" i="4"/>
  <c r="CE102" i="4"/>
  <c r="CG150" i="4"/>
  <c r="CI150" i="4"/>
  <c r="CJ150" i="4"/>
  <c r="CH150" i="4"/>
  <c r="CK150" i="4"/>
  <c r="CD150" i="4"/>
  <c r="CL150" i="4" s="1"/>
  <c r="CF150" i="4"/>
  <c r="CF180" i="4"/>
  <c r="CB180" i="4"/>
  <c r="CJ180" i="4" s="1"/>
  <c r="CI180" i="4"/>
  <c r="CE180" i="4"/>
  <c r="CK190" i="4"/>
  <c r="CG190" i="4"/>
  <c r="CE131" i="4"/>
  <c r="CC131" i="4"/>
  <c r="CB131" i="4"/>
  <c r="CA131" i="4"/>
  <c r="CF131" i="4"/>
  <c r="CD131" i="4"/>
  <c r="BZ131" i="4"/>
  <c r="CG131" i="4"/>
  <c r="CJ163" i="4"/>
  <c r="CI103" i="4"/>
  <c r="CE196" i="4"/>
  <c r="CE54" i="4"/>
  <c r="CB54" i="4"/>
  <c r="CI54" i="4"/>
  <c r="CF54" i="4"/>
  <c r="CC54" i="4"/>
  <c r="CG183" i="4"/>
  <c r="CC183" i="4"/>
  <c r="CK183" i="4" s="1"/>
  <c r="CF183" i="4"/>
  <c r="CD84" i="4"/>
  <c r="CA84" i="4"/>
  <c r="CB84" i="4"/>
  <c r="CA58" i="4"/>
  <c r="CK58" i="4" s="1"/>
  <c r="CD41" i="4"/>
  <c r="CC82" i="4"/>
  <c r="CA82" i="4"/>
  <c r="CC84" i="4"/>
  <c r="BZ84" i="4"/>
  <c r="CH84" i="4" s="1"/>
  <c r="CF127" i="4"/>
  <c r="CD76" i="4"/>
  <c r="CI86" i="4"/>
  <c r="CK86" i="4"/>
  <c r="CI138" i="4"/>
  <c r="CL138" i="4"/>
  <c r="CH138" i="4"/>
  <c r="CF138" i="4"/>
  <c r="CF164" i="4"/>
  <c r="CJ164" i="4"/>
  <c r="CE164" i="4"/>
  <c r="CC164" i="4"/>
  <c r="CK164" i="4" s="1"/>
  <c r="CH164" i="4"/>
  <c r="CD164" i="4"/>
  <c r="CA197" i="4"/>
  <c r="CG142" i="4"/>
  <c r="CK157" i="4"/>
  <c r="CH157" i="4"/>
  <c r="CJ157" i="4"/>
  <c r="CD157" i="4"/>
  <c r="CL157" i="4" s="1"/>
  <c r="CC178" i="4"/>
  <c r="CK178" i="4" s="1"/>
  <c r="CG196" i="4"/>
  <c r="CG124" i="4"/>
  <c r="CK124" i="4"/>
  <c r="CI124" i="4"/>
  <c r="CJ124" i="4"/>
  <c r="CH124" i="4"/>
  <c r="CE124" i="4"/>
  <c r="CC171" i="4"/>
  <c r="CA171" i="4"/>
  <c r="CJ168" i="4"/>
  <c r="CD183" i="4"/>
  <c r="CJ183" i="4"/>
  <c r="CD128" i="4"/>
  <c r="CL173" i="4"/>
  <c r="CG173" i="4"/>
  <c r="CH173" i="4"/>
  <c r="CK173" i="4"/>
  <c r="CC161" i="4"/>
  <c r="CE87" i="4"/>
  <c r="CH65" i="4"/>
  <c r="CJ105" i="4"/>
  <c r="CC105" i="4"/>
  <c r="CL105" i="4" s="1"/>
  <c r="CI96" i="4"/>
  <c r="CD96" i="4"/>
  <c r="CL96" i="4" s="1"/>
  <c r="CI165" i="4"/>
  <c r="CH118" i="4"/>
  <c r="CA177" i="4"/>
  <c r="CI177" i="4" s="1"/>
  <c r="CL80" i="4"/>
  <c r="CC50" i="4"/>
  <c r="CK50" i="4" s="1"/>
  <c r="CE50" i="4"/>
  <c r="CH49" i="4"/>
  <c r="CD49" i="4"/>
  <c r="CL49" i="4" s="1"/>
  <c r="CG67" i="4"/>
  <c r="CD88" i="4"/>
  <c r="CL88" i="4" s="1"/>
  <c r="CE68" i="4"/>
  <c r="CF80" i="4"/>
  <c r="CG80" i="4"/>
  <c r="CH69" i="4"/>
  <c r="CE191" i="4"/>
  <c r="CJ120" i="4"/>
  <c r="CJ184" i="4"/>
  <c r="CH129" i="4"/>
  <c r="BZ82" i="4"/>
  <c r="CD72" i="4"/>
  <c r="CI122" i="4"/>
  <c r="CI60" i="4"/>
  <c r="CG178" i="4"/>
  <c r="CL124" i="4"/>
  <c r="CD153" i="4"/>
  <c r="CL153" i="4" s="1"/>
  <c r="CI153" i="4"/>
  <c r="CG75" i="4"/>
  <c r="CF75" i="4"/>
  <c r="CI75" i="4"/>
  <c r="CB75" i="4"/>
  <c r="CK75" i="4" s="1"/>
  <c r="CE141" i="4"/>
  <c r="CB141" i="4"/>
  <c r="CI141" i="4"/>
  <c r="CD141" i="4"/>
  <c r="CH185" i="4"/>
  <c r="CD185" i="4"/>
  <c r="CC185" i="4"/>
  <c r="CG185" i="4"/>
  <c r="CI151" i="4"/>
  <c r="CF151" i="4"/>
  <c r="CD151" i="4"/>
  <c r="CL151" i="4" s="1"/>
  <c r="CK151" i="4"/>
  <c r="CH151" i="4"/>
  <c r="CE151" i="4"/>
  <c r="CD55" i="4"/>
  <c r="CC55" i="4"/>
  <c r="CH55" i="4"/>
  <c r="CI97" i="4"/>
  <c r="CI130" i="4"/>
  <c r="CJ130" i="4"/>
  <c r="CE130" i="4"/>
  <c r="CD130" i="4"/>
  <c r="CL130" i="4" s="1"/>
  <c r="CF130" i="4"/>
  <c r="CB94" i="4"/>
  <c r="CJ94" i="4" s="1"/>
  <c r="CD94" i="4"/>
  <c r="CH94" i="4"/>
  <c r="CF94" i="4"/>
  <c r="CI94" i="4"/>
  <c r="CD175" i="4"/>
  <c r="CH186" i="4"/>
  <c r="CI186" i="4"/>
  <c r="CD64" i="4"/>
  <c r="CF64" i="4"/>
  <c r="CH64" i="4"/>
  <c r="CG64" i="4"/>
  <c r="CE64" i="4"/>
  <c r="CC64" i="4"/>
  <c r="CB64" i="4"/>
  <c r="CH62" i="4"/>
  <c r="CE62" i="4"/>
  <c r="CG62" i="4"/>
  <c r="CF62" i="4"/>
  <c r="CB62" i="4"/>
  <c r="CJ62" i="4" s="1"/>
  <c r="CC62" i="4"/>
  <c r="CD62" i="4"/>
  <c r="CI91" i="4"/>
  <c r="CE97" i="4"/>
  <c r="CG112" i="4"/>
  <c r="CF112" i="4"/>
  <c r="CL112" i="4"/>
  <c r="CJ112" i="4"/>
  <c r="CE112" i="4"/>
  <c r="CI112" i="4"/>
  <c r="CK112" i="4"/>
  <c r="CD139" i="4"/>
  <c r="CJ151" i="4"/>
  <c r="CG151" i="4"/>
  <c r="CB159" i="4"/>
  <c r="CL159" i="4" s="1"/>
  <c r="CH182" i="4"/>
  <c r="CD71" i="4"/>
  <c r="CB175" i="4"/>
  <c r="CK175" i="4" s="1"/>
  <c r="CI154" i="4"/>
  <c r="CJ154" i="4"/>
  <c r="CG154" i="4"/>
  <c r="CH154" i="4"/>
  <c r="CC154" i="4"/>
  <c r="CB185" i="4"/>
  <c r="CC137" i="4"/>
  <c r="CK137" i="4" s="1"/>
  <c r="CG137" i="4"/>
  <c r="CH195" i="4"/>
  <c r="CK195" i="4"/>
  <c r="CJ195" i="4"/>
  <c r="CG195" i="4"/>
  <c r="CD195" i="4"/>
  <c r="CL195" i="4" s="1"/>
  <c r="CE178" i="4"/>
  <c r="CI64" i="4"/>
  <c r="CE199" i="4"/>
  <c r="CH192" i="4"/>
  <c r="CL192" i="4"/>
  <c r="CJ192" i="4"/>
  <c r="CF119" i="4"/>
  <c r="CG160" i="4"/>
  <c r="CF160" i="4"/>
  <c r="CD160" i="4"/>
  <c r="CE160" i="4"/>
  <c r="CH160" i="4"/>
  <c r="CB160" i="4"/>
  <c r="CK160" i="4" s="1"/>
  <c r="CC95" i="4"/>
  <c r="CK95" i="4" s="1"/>
  <c r="CI176" i="4"/>
  <c r="CB176" i="4"/>
  <c r="CF176" i="4"/>
  <c r="CE45" i="4"/>
  <c r="CI45" i="4"/>
  <c r="CF45" i="4"/>
  <c r="CB45" i="4"/>
  <c r="CH45" i="4"/>
  <c r="CF79" i="4"/>
  <c r="CG92" i="4"/>
  <c r="CF68" i="4"/>
  <c r="CI115" i="4"/>
  <c r="CD123" i="4"/>
  <c r="CB123" i="4"/>
  <c r="CE123" i="4"/>
  <c r="BZ123" i="4"/>
  <c r="CH123" i="4" s="1"/>
  <c r="CG123" i="4"/>
  <c r="CC123" i="4"/>
  <c r="CK69" i="4"/>
  <c r="CI83" i="4"/>
  <c r="BZ117" i="4"/>
  <c r="CE117" i="4"/>
  <c r="CF117" i="4"/>
  <c r="CG117" i="4"/>
  <c r="CC117" i="4"/>
  <c r="CC140" i="4"/>
  <c r="CG140" i="4"/>
  <c r="CI140" i="4"/>
  <c r="CD140" i="4"/>
  <c r="CF140" i="4"/>
  <c r="CB140" i="4"/>
  <c r="CK146" i="4"/>
  <c r="CI146" i="4"/>
  <c r="CJ146" i="4"/>
  <c r="CD146" i="4"/>
  <c r="CL146" i="4" s="1"/>
  <c r="CF146" i="4"/>
  <c r="CH146" i="4"/>
  <c r="CF166" i="4"/>
  <c r="CF153" i="4"/>
  <c r="CI98" i="4"/>
  <c r="CC145" i="4"/>
  <c r="CL145" i="4" s="1"/>
  <c r="CE179" i="4"/>
  <c r="CC179" i="4"/>
  <c r="CK179" i="4" s="1"/>
  <c r="CD179" i="4"/>
  <c r="CF179" i="4"/>
  <c r="CD194" i="4"/>
  <c r="CL194" i="4" s="1"/>
  <c r="CJ194" i="4"/>
  <c r="CD143" i="4"/>
  <c r="CA156" i="4"/>
  <c r="CL156" i="4" s="1"/>
  <c r="CC176" i="4"/>
  <c r="CB188" i="4"/>
  <c r="CL188" i="4" s="1"/>
  <c r="CC120" i="4"/>
  <c r="CL120" i="4" s="1"/>
  <c r="CC186" i="4"/>
  <c r="CL186" i="4" s="1"/>
  <c r="CI144" i="4"/>
  <c r="CB144" i="4"/>
  <c r="CJ144" i="4" s="1"/>
  <c r="CG144" i="4"/>
  <c r="CF144" i="4"/>
  <c r="CH144" i="4"/>
  <c r="CC144" i="4"/>
  <c r="CL144" i="4" s="1"/>
  <c r="CD181" i="4"/>
  <c r="CK181" i="4"/>
  <c r="CG181" i="4"/>
  <c r="CH181" i="4"/>
  <c r="CL181" i="4"/>
  <c r="CC184" i="4"/>
  <c r="CL184" i="4" s="1"/>
  <c r="CI162" i="4"/>
  <c r="CE44" i="4"/>
  <c r="CH187" i="4"/>
  <c r="CJ187" i="4"/>
  <c r="CD187" i="4"/>
  <c r="CC187" i="4"/>
  <c r="CG187" i="4"/>
  <c r="CF187" i="4"/>
  <c r="CD77" i="4"/>
  <c r="CD110" i="4"/>
  <c r="CH110" i="4"/>
  <c r="CE110" i="4"/>
  <c r="CI110" i="4"/>
  <c r="CG110" i="4"/>
  <c r="CC51" i="4"/>
  <c r="CC46" i="4"/>
  <c r="CA40" i="4"/>
  <c r="CL40" i="4" s="1"/>
  <c r="CC39" i="4"/>
  <c r="CG39" i="4"/>
  <c r="CI72" i="4"/>
  <c r="CD81" i="4"/>
  <c r="CB81" i="4"/>
  <c r="CK81" i="4" s="1"/>
  <c r="CF81" i="4"/>
  <c r="CG81" i="4"/>
  <c r="CH81" i="4"/>
  <c r="CA89" i="4"/>
  <c r="CK89" i="4" s="1"/>
  <c r="CA93" i="4"/>
  <c r="CK93" i="4" s="1"/>
  <c r="CB70" i="4"/>
  <c r="CK70" i="4" s="1"/>
  <c r="CG100" i="4"/>
  <c r="CC77" i="4"/>
  <c r="CB110" i="4"/>
  <c r="CK110" i="4" s="1"/>
  <c r="CD116" i="4"/>
  <c r="CL116" i="4" s="1"/>
  <c r="CF125" i="4"/>
  <c r="CA85" i="4"/>
  <c r="CL85" i="4" s="1"/>
  <c r="CF95" i="4"/>
  <c r="CD95" i="4"/>
  <c r="CH95" i="4"/>
  <c r="CJ95" i="4"/>
  <c r="CG95" i="4"/>
  <c r="CC141" i="4"/>
  <c r="CD135" i="4"/>
  <c r="CC147" i="4"/>
  <c r="CD167" i="4"/>
  <c r="CA167" i="4"/>
  <c r="CK167" i="4" s="1"/>
  <c r="CA133" i="4"/>
  <c r="CE193" i="4"/>
  <c r="CD180" i="4"/>
  <c r="CH180" i="4"/>
  <c r="CD190" i="4"/>
  <c r="CF190" i="4"/>
  <c r="CE53" i="4"/>
  <c r="CF53" i="4"/>
  <c r="CC53" i="4"/>
  <c r="CD53" i="4"/>
  <c r="CI53" i="4"/>
  <c r="CH53" i="4"/>
  <c r="CC163" i="4"/>
  <c r="CK163" i="4" s="1"/>
  <c r="CG163" i="4"/>
  <c r="CD118" i="4"/>
  <c r="CJ118" i="4"/>
  <c r="CB198" i="4"/>
  <c r="CF141" i="4"/>
  <c r="CL52" i="4"/>
  <c r="CE189" i="4"/>
  <c r="CH152" i="4"/>
  <c r="CF126" i="4"/>
  <c r="CG126" i="4"/>
  <c r="CH126" i="4"/>
  <c r="CJ126" i="4"/>
  <c r="CE126" i="4"/>
  <c r="CI126" i="4"/>
  <c r="CC126" i="4"/>
  <c r="CK126" i="4" s="1"/>
  <c r="CB59" i="4"/>
  <c r="CL59" i="4" s="1"/>
  <c r="CC47" i="4"/>
  <c r="CI47" i="4"/>
  <c r="CE47" i="4"/>
  <c r="CF47" i="4"/>
  <c r="CB47" i="4"/>
  <c r="CD47" i="4"/>
  <c r="CG47" i="4"/>
  <c r="CH47" i="4"/>
  <c r="CB41" i="4"/>
  <c r="CG41" i="4"/>
  <c r="CC74" i="4"/>
  <c r="CK74" i="4" s="1"/>
  <c r="CF74" i="4"/>
  <c r="CG74" i="4"/>
  <c r="CE74" i="4"/>
  <c r="CH74" i="4"/>
  <c r="CH54" i="4"/>
  <c r="CJ73" i="4"/>
  <c r="CH73" i="4"/>
  <c r="CI111" i="4"/>
  <c r="CI119" i="4"/>
  <c r="CJ119" i="4"/>
  <c r="CH119" i="4"/>
  <c r="CE119" i="4"/>
  <c r="CG119" i="4"/>
  <c r="CD119" i="4"/>
  <c r="CC119" i="4"/>
  <c r="CK119" i="4" s="1"/>
  <c r="CH127" i="4"/>
  <c r="CI127" i="4"/>
  <c r="CE127" i="4"/>
  <c r="CJ127" i="4"/>
  <c r="CG127" i="4"/>
  <c r="CC127" i="4"/>
  <c r="CK127" i="4" s="1"/>
  <c r="CC76" i="4"/>
  <c r="CK76" i="4" s="1"/>
  <c r="CD86" i="4"/>
  <c r="CL86" i="4" s="1"/>
  <c r="CG86" i="4"/>
  <c r="CG138" i="4"/>
  <c r="CI157" i="4"/>
  <c r="CD178" i="4"/>
  <c r="CD196" i="4"/>
  <c r="CL196" i="4" s="1"/>
  <c r="CF196" i="4"/>
  <c r="CB171" i="4"/>
  <c r="CL171" i="4" s="1"/>
  <c r="CC108" i="4"/>
  <c r="BZ108" i="4"/>
  <c r="CJ108" i="4" s="1"/>
  <c r="CI152" i="4"/>
  <c r="CB152" i="4"/>
  <c r="CD152" i="4"/>
  <c r="CF152" i="4"/>
  <c r="CG152" i="4"/>
  <c r="CC152" i="4"/>
  <c r="CC168" i="4"/>
  <c r="CK168" i="4" s="1"/>
  <c r="CB199" i="4"/>
  <c r="CA199" i="4"/>
  <c r="CD169" i="4"/>
  <c r="CF173" i="4"/>
  <c r="CE161" i="4"/>
  <c r="CL161" i="4"/>
  <c r="CA101" i="4"/>
  <c r="CI101" i="4" s="1"/>
  <c r="CG49" i="4"/>
  <c r="CH42" i="4"/>
  <c r="CJ65" i="4"/>
  <c r="CG105" i="4"/>
  <c r="CH130" i="4"/>
  <c r="CE159" i="4"/>
  <c r="CD154" i="4"/>
  <c r="CF195" i="4"/>
  <c r="CH116" i="4"/>
  <c r="CH176" i="4"/>
  <c r="CI71" i="4"/>
  <c r="CH128" i="4"/>
  <c r="CL125" i="4"/>
  <c r="CF50" i="4"/>
  <c r="CE38" i="4"/>
  <c r="CE49" i="4"/>
  <c r="CD67" i="4"/>
  <c r="CL67" i="4" s="1"/>
  <c r="CJ67" i="4"/>
  <c r="CH68" i="4"/>
  <c r="CH80" i="4"/>
  <c r="CI69" i="4"/>
  <c r="CJ153" i="4"/>
  <c r="CJ179" i="4"/>
  <c r="CK120" i="4"/>
  <c r="CH122" i="4"/>
  <c r="CI164" i="4"/>
  <c r="CA132" i="4"/>
  <c r="CE40" i="4"/>
  <c r="CK122" i="4"/>
  <c r="CF122" i="4"/>
  <c r="CL118" i="4"/>
  <c r="CK118" i="4"/>
  <c r="CF162" i="4"/>
  <c r="CI179" i="4"/>
  <c r="CK129" i="4"/>
  <c r="CI189" i="4"/>
  <c r="CA36" i="4"/>
  <c r="CF36" i="4"/>
  <c r="BZ36" i="4"/>
  <c r="CH36" i="4" s="1"/>
  <c r="CC35" i="4"/>
  <c r="CC34" i="4"/>
  <c r="CG34" i="4"/>
  <c r="CB34" i="4"/>
  <c r="CE34" i="4"/>
  <c r="CA33" i="4"/>
  <c r="BZ33" i="4"/>
  <c r="CB36" i="4"/>
  <c r="BZ32" i="4"/>
  <c r="CH32" i="4" s="1"/>
  <c r="CC32" i="4"/>
  <c r="CD32" i="4"/>
  <c r="CE32" i="4"/>
  <c r="CB32" i="4"/>
  <c r="CA32" i="4"/>
  <c r="CG35" i="4"/>
  <c r="CF35" i="4"/>
  <c r="CF34" i="4"/>
  <c r="CG32" i="4"/>
  <c r="CE35" i="4"/>
  <c r="CH35" i="4"/>
  <c r="CG37" i="4"/>
  <c r="BZ37" i="4"/>
  <c r="CH37" i="4" s="1"/>
  <c r="CD37" i="4"/>
  <c r="CB37" i="4"/>
  <c r="CE37" i="4"/>
  <c r="CE36" i="4"/>
  <c r="CA37" i="4"/>
  <c r="CA35" i="4"/>
  <c r="CF32" i="4"/>
  <c r="CD35" i="4"/>
  <c r="CA34" i="4"/>
  <c r="CJ35" i="4"/>
  <c r="CD36" i="4"/>
  <c r="CC36" i="4"/>
  <c r="CG36" i="4"/>
  <c r="CG33" i="4"/>
  <c r="CC33" i="4"/>
  <c r="CF37" i="4"/>
  <c r="CD33" i="4"/>
  <c r="M31" i="2"/>
  <c r="M29" i="2"/>
  <c r="M27" i="2"/>
  <c r="M25" i="2"/>
  <c r="M30" i="2"/>
  <c r="M26" i="2"/>
  <c r="M21" i="2"/>
  <c r="M20" i="2"/>
  <c r="M17" i="2"/>
  <c r="M15" i="2"/>
  <c r="M13" i="2"/>
  <c r="M11" i="2"/>
  <c r="M9" i="2"/>
  <c r="M7" i="2"/>
  <c r="M5" i="2"/>
  <c r="M23" i="2"/>
  <c r="M22" i="2"/>
  <c r="M28" i="2"/>
  <c r="M24" i="2"/>
  <c r="M16" i="2"/>
  <c r="M14" i="2"/>
  <c r="M12" i="2"/>
  <c r="M10" i="2"/>
  <c r="M8" i="2"/>
  <c r="M6" i="2"/>
  <c r="M4" i="2"/>
  <c r="M19" i="2"/>
  <c r="M18" i="2"/>
  <c r="M3" i="2"/>
  <c r="P30" i="2"/>
  <c r="P28" i="2"/>
  <c r="P26" i="2"/>
  <c r="P24" i="2"/>
  <c r="P22" i="2"/>
  <c r="P20" i="2"/>
  <c r="P18" i="2"/>
  <c r="P31" i="2"/>
  <c r="P27" i="2"/>
  <c r="P19" i="2"/>
  <c r="P17" i="2"/>
  <c r="P15" i="2"/>
  <c r="P13" i="2"/>
  <c r="P11" i="2"/>
  <c r="P9" i="2"/>
  <c r="P7" i="2"/>
  <c r="P5" i="2"/>
  <c r="P3" i="2"/>
  <c r="P21" i="2"/>
  <c r="P29" i="2"/>
  <c r="P25" i="2"/>
  <c r="P23" i="2"/>
  <c r="P16" i="2"/>
  <c r="P14" i="2"/>
  <c r="P12" i="2"/>
  <c r="P10" i="2"/>
  <c r="P8" i="2"/>
  <c r="P6" i="2"/>
  <c r="P4" i="2"/>
  <c r="O30" i="2"/>
  <c r="O28" i="2"/>
  <c r="O26" i="2"/>
  <c r="O24" i="2"/>
  <c r="O29" i="2"/>
  <c r="O25" i="2"/>
  <c r="O23" i="2"/>
  <c r="O16" i="2"/>
  <c r="O14" i="2"/>
  <c r="O12" i="2"/>
  <c r="O10" i="2"/>
  <c r="O8" i="2"/>
  <c r="O6" i="2"/>
  <c r="O4" i="2"/>
  <c r="O18" i="2"/>
  <c r="O31" i="2"/>
  <c r="O27" i="2"/>
  <c r="O20" i="2"/>
  <c r="O19" i="2"/>
  <c r="O17" i="2"/>
  <c r="O15" i="2"/>
  <c r="O13" i="2"/>
  <c r="O11" i="2"/>
  <c r="O9" i="2"/>
  <c r="O7" i="2"/>
  <c r="O5" i="2"/>
  <c r="O3" i="2"/>
  <c r="O22" i="2"/>
  <c r="O21" i="2"/>
  <c r="Q31" i="2"/>
  <c r="Q29" i="2"/>
  <c r="Q27" i="2"/>
  <c r="Q25" i="2"/>
  <c r="Q28" i="2"/>
  <c r="Q24" i="2"/>
  <c r="Q19" i="2"/>
  <c r="Q18" i="2"/>
  <c r="Q17" i="2"/>
  <c r="Q15" i="2"/>
  <c r="Q13" i="2"/>
  <c r="Q11" i="2"/>
  <c r="Q9" i="2"/>
  <c r="Q7" i="2"/>
  <c r="Q5" i="2"/>
  <c r="Q3" i="2"/>
  <c r="Q21" i="2"/>
  <c r="Q20" i="2"/>
  <c r="Q30" i="2"/>
  <c r="Q26" i="2"/>
  <c r="Q23" i="2"/>
  <c r="Q22" i="2"/>
  <c r="Q16" i="2"/>
  <c r="Q14" i="2"/>
  <c r="Q12" i="2"/>
  <c r="Q10" i="2"/>
  <c r="Q8" i="2"/>
  <c r="Q6" i="2"/>
  <c r="Q4" i="2"/>
  <c r="N31" i="2"/>
  <c r="N29" i="2"/>
  <c r="N27" i="2"/>
  <c r="N25" i="2"/>
  <c r="N23" i="2"/>
  <c r="N21" i="2"/>
  <c r="N19" i="2"/>
  <c r="N22" i="2"/>
  <c r="N28" i="2"/>
  <c r="N24" i="2"/>
  <c r="N16" i="2"/>
  <c r="N14" i="2"/>
  <c r="N12" i="2"/>
  <c r="N10" i="2"/>
  <c r="N8" i="2"/>
  <c r="N6" i="2"/>
  <c r="N4" i="2"/>
  <c r="N18" i="2"/>
  <c r="N30" i="2"/>
  <c r="N26" i="2"/>
  <c r="N20" i="2"/>
  <c r="N17" i="2"/>
  <c r="N15" i="2"/>
  <c r="N13" i="2"/>
  <c r="N11" i="2"/>
  <c r="N9" i="2"/>
  <c r="N7" i="2"/>
  <c r="N5" i="2"/>
  <c r="N3" i="2"/>
  <c r="A12" i="2"/>
  <c r="A13" i="2"/>
  <c r="A14" i="2"/>
  <c r="A15" i="2"/>
  <c r="A16" i="2"/>
  <c r="A17" i="2"/>
  <c r="A18" i="2"/>
  <c r="A19" i="2"/>
  <c r="A20" i="2"/>
  <c r="A21" i="2"/>
  <c r="A22" i="2"/>
  <c r="A23" i="2"/>
  <c r="A24" i="2"/>
  <c r="A25" i="2"/>
  <c r="A26" i="2"/>
  <c r="A27" i="2"/>
  <c r="A28" i="2"/>
  <c r="A29" i="2"/>
  <c r="A30" i="2"/>
  <c r="A31" i="2"/>
  <c r="A3" i="2"/>
  <c r="A4" i="2"/>
  <c r="A5" i="2"/>
  <c r="A6" i="2"/>
  <c r="A7" i="2"/>
  <c r="A8" i="2"/>
  <c r="A9" i="2"/>
  <c r="A10" i="2"/>
  <c r="A11" i="2"/>
  <c r="A2" i="2"/>
  <c r="CL75" i="4" l="1"/>
  <c r="CK136" i="4"/>
  <c r="CJ136" i="4"/>
  <c r="CL136" i="4"/>
  <c r="CL74" i="4"/>
  <c r="CL185" i="4"/>
  <c r="CK138" i="4"/>
  <c r="CL90" i="4"/>
  <c r="CI57" i="4"/>
  <c r="CJ165" i="4"/>
  <c r="CL94" i="4"/>
  <c r="CL182" i="4"/>
  <c r="CL193" i="4"/>
  <c r="CL166" i="4"/>
  <c r="CI36" i="4"/>
  <c r="CJ34" i="4"/>
  <c r="CK111" i="4"/>
  <c r="CL38" i="4"/>
  <c r="CL121" i="4"/>
  <c r="CK144" i="4"/>
  <c r="CL179" i="4"/>
  <c r="CL100" i="4"/>
  <c r="CK140" i="4"/>
  <c r="CK62" i="4"/>
  <c r="CL73" i="4"/>
  <c r="CK41" i="4"/>
  <c r="CJ33" i="4"/>
  <c r="CK176" i="4"/>
  <c r="CK148" i="4"/>
  <c r="CL126" i="4"/>
  <c r="CK117" i="4"/>
  <c r="CL78" i="4"/>
  <c r="CL152" i="4"/>
  <c r="CL66" i="4"/>
  <c r="CJ110" i="4"/>
  <c r="CL110" i="4"/>
  <c r="CL187" i="4"/>
  <c r="CJ84" i="4"/>
  <c r="CJ36" i="4"/>
  <c r="CK152" i="4"/>
  <c r="CK186" i="4"/>
  <c r="CL140" i="4"/>
  <c r="CJ140" i="4"/>
  <c r="CK123" i="4"/>
  <c r="CJ75" i="4"/>
  <c r="CK82" i="4"/>
  <c r="CL183" i="4"/>
  <c r="CK147" i="4"/>
  <c r="CI199" i="4"/>
  <c r="CL104" i="4"/>
  <c r="CK191" i="4"/>
  <c r="CK125" i="4"/>
  <c r="CJ196" i="4"/>
  <c r="CK87" i="4"/>
  <c r="CK139" i="4"/>
  <c r="CJ139" i="4"/>
  <c r="CL190" i="4"/>
  <c r="CJ152" i="4"/>
  <c r="CL141" i="4"/>
  <c r="CL76" i="4"/>
  <c r="CK109" i="4"/>
  <c r="CJ97" i="4"/>
  <c r="CI87" i="4"/>
  <c r="CH117" i="4"/>
  <c r="CL154" i="4"/>
  <c r="CJ185" i="4"/>
  <c r="CK171" i="4"/>
  <c r="CI133" i="4"/>
  <c r="CJ148" i="4"/>
  <c r="CK99" i="4"/>
  <c r="CK94" i="4"/>
  <c r="CJ91" i="4"/>
  <c r="CJ198" i="4"/>
  <c r="CL61" i="4"/>
  <c r="CL64" i="4"/>
  <c r="CI84" i="4"/>
  <c r="CK55" i="4"/>
  <c r="CJ87" i="4"/>
  <c r="J2" i="2"/>
  <c r="CI32" i="4"/>
  <c r="K2" i="2"/>
  <c r="CJ32" i="4"/>
  <c r="CL32" i="4"/>
  <c r="CL119" i="4"/>
  <c r="CL81" i="4"/>
  <c r="CK187" i="4"/>
  <c r="CJ117" i="4"/>
  <c r="CI117" i="4"/>
  <c r="CJ160" i="4"/>
  <c r="CL160" i="4"/>
  <c r="CK154" i="4"/>
  <c r="CL137" i="4"/>
  <c r="CL50" i="4"/>
  <c r="CJ131" i="4"/>
  <c r="CK102" i="4"/>
  <c r="CL102" i="4"/>
  <c r="CJ147" i="4"/>
  <c r="CK133" i="4"/>
  <c r="CL163" i="4"/>
  <c r="CL129" i="4"/>
  <c r="CJ129" i="4"/>
  <c r="CL175" i="4"/>
  <c r="CL168" i="4"/>
  <c r="CK90" i="4"/>
  <c r="CJ90" i="4"/>
  <c r="CL191" i="4"/>
  <c r="CK85" i="4"/>
  <c r="CI51" i="4"/>
  <c r="CL51" i="4"/>
  <c r="CJ51" i="4"/>
  <c r="CI82" i="4"/>
  <c r="CI171" i="4"/>
  <c r="CK188" i="4"/>
  <c r="CK145" i="4"/>
  <c r="CL174" i="4"/>
  <c r="CI174" i="4"/>
  <c r="CK174" i="4"/>
  <c r="CL39" i="4"/>
  <c r="CK39" i="4"/>
  <c r="CJ176" i="4"/>
  <c r="CK100" i="4"/>
  <c r="CI40" i="4"/>
  <c r="CK128" i="4"/>
  <c r="CL128" i="4"/>
  <c r="CL79" i="4"/>
  <c r="CL68" i="4"/>
  <c r="CL48" i="4"/>
  <c r="CK169" i="4"/>
  <c r="CJ134" i="4"/>
  <c r="CI58" i="4"/>
  <c r="CJ199" i="4"/>
  <c r="CJ41" i="4"/>
  <c r="CK59" i="4"/>
  <c r="CJ167" i="4"/>
  <c r="CI167" i="4"/>
  <c r="CI85" i="4"/>
  <c r="CI161" i="4"/>
  <c r="CK193" i="4"/>
  <c r="CL83" i="4"/>
  <c r="CJ132" i="4"/>
  <c r="CL91" i="4"/>
  <c r="CJ64" i="4"/>
  <c r="CL43" i="4"/>
  <c r="CL176" i="4"/>
  <c r="CL35" i="4"/>
  <c r="CJ101" i="4"/>
  <c r="CK101" i="4"/>
  <c r="CK53" i="4"/>
  <c r="CL53" i="4"/>
  <c r="CJ81" i="4"/>
  <c r="CJ188" i="4"/>
  <c r="CL117" i="4"/>
  <c r="CI123" i="4"/>
  <c r="CJ123" i="4"/>
  <c r="CL62" i="4"/>
  <c r="CK185" i="4"/>
  <c r="CJ59" i="4"/>
  <c r="CJ175" i="4"/>
  <c r="CH131" i="4"/>
  <c r="CK131" i="4"/>
  <c r="CI131" i="4"/>
  <c r="CL131" i="4"/>
  <c r="CK180" i="4"/>
  <c r="CL180" i="4"/>
  <c r="CL147" i="4"/>
  <c r="CL143" i="4"/>
  <c r="CJ133" i="4"/>
  <c r="CL72" i="4"/>
  <c r="CL101" i="4"/>
  <c r="CJ159" i="4"/>
  <c r="CJ85" i="4"/>
  <c r="CL70" i="4"/>
  <c r="CL93" i="4"/>
  <c r="CI93" i="4"/>
  <c r="CK56" i="4"/>
  <c r="CH82" i="4"/>
  <c r="CK38" i="4"/>
  <c r="CJ76" i="4"/>
  <c r="CJ63" i="4"/>
  <c r="CK108" i="4"/>
  <c r="CK162" i="4"/>
  <c r="CJ162" i="4"/>
  <c r="CL162" i="4"/>
  <c r="CL169" i="4"/>
  <c r="CK68" i="4"/>
  <c r="CJ145" i="4"/>
  <c r="CJ128" i="4"/>
  <c r="CK121" i="4"/>
  <c r="CL113" i="4"/>
  <c r="CL139" i="4"/>
  <c r="CJ71" i="4"/>
  <c r="CL56" i="4"/>
  <c r="CJ58" i="4"/>
  <c r="CL199" i="4"/>
  <c r="CL41" i="4"/>
  <c r="CK115" i="4"/>
  <c r="CK77" i="4"/>
  <c r="CJ77" i="4"/>
  <c r="CL77" i="4"/>
  <c r="CI77" i="4"/>
  <c r="CJ100" i="4"/>
  <c r="CJ40" i="4"/>
  <c r="CK40" i="4"/>
  <c r="CK156" i="4"/>
  <c r="CK98" i="4"/>
  <c r="CJ98" i="4"/>
  <c r="CK177" i="4"/>
  <c r="CJ107" i="4"/>
  <c r="CK64" i="4"/>
  <c r="CK165" i="4"/>
  <c r="CJ171" i="4"/>
  <c r="CK73" i="4"/>
  <c r="CJ109" i="4"/>
  <c r="CL127" i="4"/>
  <c r="CL63" i="4"/>
  <c r="CK132" i="4"/>
  <c r="CL132" i="4"/>
  <c r="CK141" i="4"/>
  <c r="CL108" i="4"/>
  <c r="CL164" i="4"/>
  <c r="CK84" i="4"/>
  <c r="CL54" i="4"/>
  <c r="CK54" i="4"/>
  <c r="CJ54" i="4"/>
  <c r="CL89" i="4"/>
  <c r="CJ89" i="4"/>
  <c r="CK44" i="4"/>
  <c r="CL44" i="4"/>
  <c r="CK159" i="4"/>
  <c r="CL158" i="4"/>
  <c r="CK158" i="4"/>
  <c r="CJ93" i="4"/>
  <c r="CI89" i="4"/>
  <c r="CK46" i="4"/>
  <c r="CJ82" i="4"/>
  <c r="CL109" i="4"/>
  <c r="CL55" i="4"/>
  <c r="CJ55" i="4"/>
  <c r="CI108" i="4"/>
  <c r="CK172" i="4"/>
  <c r="CL172" i="4"/>
  <c r="CJ177" i="4"/>
  <c r="CL167" i="4"/>
  <c r="CJ135" i="4"/>
  <c r="CJ193" i="4"/>
  <c r="CL177" i="4"/>
  <c r="CL107" i="4"/>
  <c r="CH107" i="4"/>
  <c r="CK105" i="4"/>
  <c r="CL165" i="4"/>
  <c r="CK91" i="4"/>
  <c r="CH51" i="4"/>
  <c r="CI107" i="4"/>
  <c r="CJ174" i="4"/>
  <c r="CK184" i="4"/>
  <c r="CL36" i="4"/>
  <c r="CL47" i="4"/>
  <c r="CJ47" i="4"/>
  <c r="CK47" i="4"/>
  <c r="CL95" i="4"/>
  <c r="CK45" i="4"/>
  <c r="CL45" i="4"/>
  <c r="CJ45" i="4"/>
  <c r="CJ141" i="4"/>
  <c r="CL84" i="4"/>
  <c r="CJ102" i="4"/>
  <c r="CK135" i="4"/>
  <c r="CL135" i="4"/>
  <c r="CI197" i="4"/>
  <c r="CJ197" i="4"/>
  <c r="CL197" i="4"/>
  <c r="CK197" i="4"/>
  <c r="CH197" i="4"/>
  <c r="CK166" i="4"/>
  <c r="CJ92" i="4"/>
  <c r="CL92" i="4"/>
  <c r="CI92" i="4"/>
  <c r="CK92" i="4"/>
  <c r="CL133" i="4"/>
  <c r="CL103" i="4"/>
  <c r="CK103" i="4"/>
  <c r="CH108" i="4"/>
  <c r="CK199" i="4"/>
  <c r="CL111" i="4"/>
  <c r="CK104" i="4"/>
  <c r="CK42" i="4"/>
  <c r="CL42" i="4"/>
  <c r="CL106" i="4"/>
  <c r="CJ106" i="4"/>
  <c r="CJ70" i="4"/>
  <c r="CI56" i="4"/>
  <c r="CJ46" i="4"/>
  <c r="CL46" i="4"/>
  <c r="CL82" i="4"/>
  <c r="CK66" i="4"/>
  <c r="CJ43" i="4"/>
  <c r="CK63" i="4"/>
  <c r="CJ99" i="4"/>
  <c r="CL99" i="4"/>
  <c r="CL178" i="4"/>
  <c r="CJ156" i="4"/>
  <c r="CK51" i="4"/>
  <c r="CJ172" i="4"/>
  <c r="CK48" i="4"/>
  <c r="CJ113" i="4"/>
  <c r="CJ189" i="4"/>
  <c r="CL189" i="4"/>
  <c r="CK189" i="4"/>
  <c r="CL87" i="4"/>
  <c r="CL71" i="4"/>
  <c r="CL134" i="4"/>
  <c r="CK97" i="4"/>
  <c r="CL58" i="4"/>
  <c r="CK161" i="4"/>
  <c r="CK52" i="4"/>
  <c r="CL115" i="4"/>
  <c r="CK198" i="4"/>
  <c r="CL198" i="4"/>
  <c r="CI156" i="4"/>
  <c r="CL98" i="4"/>
  <c r="CL170" i="4"/>
  <c r="CI113" i="4"/>
  <c r="CI132" i="4"/>
  <c r="CK107" i="4"/>
  <c r="CI61" i="4"/>
  <c r="CJ61" i="4"/>
  <c r="CK61" i="4"/>
  <c r="CK78" i="4"/>
  <c r="CH198" i="4"/>
  <c r="CJ121" i="4"/>
  <c r="CL123" i="4"/>
  <c r="CI109" i="4"/>
  <c r="CJ56" i="4"/>
  <c r="CI34" i="4"/>
  <c r="CL37" i="4"/>
  <c r="CI37" i="4"/>
  <c r="CL34" i="4"/>
  <c r="CK34" i="4"/>
  <c r="CH33" i="4"/>
  <c r="CK36" i="4"/>
  <c r="CK33" i="4"/>
  <c r="CI33" i="4"/>
  <c r="CL33" i="4"/>
  <c r="CK37" i="4"/>
  <c r="CK35" i="4"/>
  <c r="CK32" i="4"/>
  <c r="CI35" i="4"/>
  <c r="CJ37" i="4"/>
  <c r="F3" i="2"/>
  <c r="I3" i="2"/>
  <c r="F4" i="2"/>
  <c r="I4" i="2"/>
  <c r="F5" i="2"/>
  <c r="I5" i="2"/>
  <c r="F6" i="2"/>
  <c r="I6" i="2"/>
  <c r="F7" i="2"/>
  <c r="I7" i="2"/>
  <c r="F8" i="2"/>
  <c r="I8" i="2"/>
  <c r="F9" i="2"/>
  <c r="I9" i="2"/>
  <c r="F10" i="2"/>
  <c r="I10" i="2"/>
  <c r="F11" i="2"/>
  <c r="I11" i="2"/>
  <c r="F12" i="2"/>
  <c r="I12" i="2"/>
  <c r="G3" i="2"/>
  <c r="J3" i="2"/>
  <c r="G4" i="2"/>
  <c r="J4" i="2"/>
  <c r="G5" i="2"/>
  <c r="J5" i="2"/>
  <c r="G6" i="2"/>
  <c r="J6" i="2"/>
  <c r="G7" i="2"/>
  <c r="J7" i="2"/>
  <c r="G8" i="2"/>
  <c r="J8" i="2"/>
  <c r="G9" i="2"/>
  <c r="J9" i="2"/>
  <c r="G10" i="2"/>
  <c r="J10" i="2"/>
  <c r="G11" i="2"/>
  <c r="J11" i="2"/>
  <c r="G12" i="2"/>
  <c r="J12" i="2"/>
  <c r="G13" i="2"/>
  <c r="J13" i="2"/>
  <c r="G14" i="2"/>
  <c r="J14" i="2"/>
  <c r="G15" i="2"/>
  <c r="J15" i="2"/>
  <c r="G16" i="2"/>
  <c r="J16" i="2"/>
  <c r="G17" i="2"/>
  <c r="J17" i="2"/>
  <c r="G18" i="2"/>
  <c r="J18" i="2"/>
  <c r="G19" i="2"/>
  <c r="J19" i="2"/>
  <c r="G20" i="2"/>
  <c r="J20" i="2"/>
  <c r="G21" i="2"/>
  <c r="J21" i="2"/>
  <c r="G22" i="2"/>
  <c r="J22" i="2"/>
  <c r="G23" i="2"/>
  <c r="J23" i="2"/>
  <c r="G24" i="2"/>
  <c r="J24" i="2"/>
  <c r="G25" i="2"/>
  <c r="J25" i="2"/>
  <c r="G26" i="2"/>
  <c r="J26" i="2"/>
  <c r="G27" i="2"/>
  <c r="J27" i="2"/>
  <c r="G28" i="2"/>
  <c r="J28" i="2"/>
  <c r="G29" i="2"/>
  <c r="J29" i="2"/>
  <c r="G30" i="2"/>
  <c r="J30" i="2"/>
  <c r="G31" i="2"/>
  <c r="J31" i="2"/>
  <c r="H3" i="2"/>
  <c r="H4" i="2"/>
  <c r="H5" i="2"/>
  <c r="H6" i="2"/>
  <c r="H7" i="2"/>
  <c r="H8" i="2"/>
  <c r="H9" i="2"/>
  <c r="H10" i="2"/>
  <c r="H11" i="2"/>
  <c r="H12" i="2"/>
  <c r="F13" i="2"/>
  <c r="F15" i="2"/>
  <c r="F17" i="2"/>
  <c r="F19" i="2"/>
  <c r="F21" i="2"/>
  <c r="F23" i="2"/>
  <c r="F25" i="2"/>
  <c r="F27" i="2"/>
  <c r="F29" i="2"/>
  <c r="F31" i="2"/>
  <c r="K4" i="2"/>
  <c r="K6" i="2"/>
  <c r="K9" i="2"/>
  <c r="K12" i="2"/>
  <c r="K14" i="2"/>
  <c r="K16" i="2"/>
  <c r="H13" i="2"/>
  <c r="K13" i="2"/>
  <c r="I14" i="2"/>
  <c r="H15" i="2"/>
  <c r="K15" i="2"/>
  <c r="I16" i="2"/>
  <c r="H17" i="2"/>
  <c r="K17" i="2"/>
  <c r="I18" i="2"/>
  <c r="H19" i="2"/>
  <c r="K19" i="2"/>
  <c r="I20" i="2"/>
  <c r="H21" i="2"/>
  <c r="K21" i="2"/>
  <c r="I22" i="2"/>
  <c r="H23" i="2"/>
  <c r="K23" i="2"/>
  <c r="I24" i="2"/>
  <c r="H25" i="2"/>
  <c r="K25" i="2"/>
  <c r="I26" i="2"/>
  <c r="H27" i="2"/>
  <c r="K27" i="2"/>
  <c r="I28" i="2"/>
  <c r="H29" i="2"/>
  <c r="K29" i="2"/>
  <c r="I30" i="2"/>
  <c r="H31" i="2"/>
  <c r="K31" i="2"/>
  <c r="K5" i="2"/>
  <c r="K8" i="2"/>
  <c r="K11" i="2"/>
  <c r="H14" i="2"/>
  <c r="H16" i="2"/>
  <c r="H18" i="2"/>
  <c r="F14" i="2"/>
  <c r="F16" i="2"/>
  <c r="F18" i="2"/>
  <c r="F20" i="2"/>
  <c r="F22" i="2"/>
  <c r="F24" i="2"/>
  <c r="F26" i="2"/>
  <c r="F28" i="2"/>
  <c r="F30" i="2"/>
  <c r="K3" i="2"/>
  <c r="K7" i="2"/>
  <c r="K10" i="2"/>
  <c r="I13" i="2"/>
  <c r="I15" i="2"/>
  <c r="I17" i="2"/>
  <c r="K18" i="2"/>
  <c r="I19" i="2"/>
  <c r="H22" i="2"/>
  <c r="K24" i="2"/>
  <c r="I27" i="2"/>
  <c r="H30" i="2"/>
  <c r="H26" i="2"/>
  <c r="K28" i="2"/>
  <c r="H20" i="2"/>
  <c r="K22" i="2"/>
  <c r="I25" i="2"/>
  <c r="H28" i="2"/>
  <c r="K30" i="2"/>
  <c r="K20" i="2"/>
  <c r="I23" i="2"/>
  <c r="I31" i="2"/>
  <c r="I21" i="2"/>
  <c r="H24" i="2"/>
  <c r="K26" i="2"/>
  <c r="I29" i="2"/>
  <c r="A31" i="3"/>
  <c r="A27" i="3"/>
  <c r="A28" i="3"/>
  <c r="A29" i="3"/>
  <c r="A30" i="3"/>
  <c r="A22" i="3"/>
  <c r="A23" i="3"/>
  <c r="A24" i="3"/>
  <c r="A25" i="3"/>
  <c r="A26" i="3"/>
  <c r="A21" i="3" l="1"/>
  <c r="A5" i="3"/>
  <c r="A6" i="3"/>
  <c r="A7" i="3"/>
  <c r="A8" i="3"/>
  <c r="A9" i="3"/>
  <c r="A10" i="3"/>
  <c r="A11" i="3"/>
  <c r="A12" i="3"/>
  <c r="A13" i="3"/>
  <c r="A14" i="3"/>
  <c r="A15" i="3"/>
  <c r="A16" i="3"/>
  <c r="A17" i="3"/>
  <c r="A18" i="3"/>
  <c r="A19" i="3"/>
  <c r="A20" i="3"/>
  <c r="A3" i="3"/>
  <c r="A4" i="3"/>
  <c r="A2" i="3"/>
</calcChain>
</file>

<file path=xl/sharedStrings.xml><?xml version="1.0" encoding="utf-8"?>
<sst xmlns="http://schemas.openxmlformats.org/spreadsheetml/2006/main" count="105" uniqueCount="88">
  <si>
    <t>記号</t>
    <rPh sb="0" eb="2">
      <t>キゴ</t>
    </rPh>
    <phoneticPr fontId="1"/>
  </si>
  <si>
    <t>役職名</t>
    <rPh sb="0" eb="2">
      <t>ヤクショク</t>
    </rPh>
    <phoneticPr fontId="1"/>
  </si>
  <si>
    <t>氏名</t>
    <rPh sb="0" eb="2">
      <t>シメ</t>
    </rPh>
    <phoneticPr fontId="1"/>
  </si>
  <si>
    <t>No.</t>
    <phoneticPr fontId="1"/>
  </si>
  <si>
    <t>時間帯名</t>
    <rPh sb="0" eb="2">
      <t>ジカンタ</t>
    </rPh>
    <phoneticPr fontId="1"/>
  </si>
  <si>
    <t>10:00</t>
    <phoneticPr fontId="1"/>
  </si>
  <si>
    <t>10:30</t>
    <phoneticPr fontId="1"/>
  </si>
  <si>
    <t>11:00</t>
    <phoneticPr fontId="1"/>
  </si>
  <si>
    <t>11:30</t>
    <phoneticPr fontId="1"/>
  </si>
  <si>
    <t>12:00</t>
    <phoneticPr fontId="1"/>
  </si>
  <si>
    <t>12:30</t>
    <phoneticPr fontId="1"/>
  </si>
  <si>
    <t>オレンジ</t>
    <phoneticPr fontId="1"/>
  </si>
  <si>
    <t>赤</t>
    <rPh sb="0" eb="1">
      <t>アk</t>
    </rPh>
    <phoneticPr fontId="1"/>
  </si>
  <si>
    <t>色</t>
    <rPh sb="0" eb="1">
      <t>イロ</t>
    </rPh>
    <phoneticPr fontId="1"/>
  </si>
  <si>
    <t>あ</t>
    <phoneticPr fontId="1"/>
  </si>
  <si>
    <t>い</t>
    <phoneticPr fontId="1"/>
  </si>
  <si>
    <t>所属</t>
    <rPh sb="0" eb="2">
      <t>ショゾk</t>
    </rPh>
    <phoneticPr fontId="1"/>
  </si>
  <si>
    <t>13:00</t>
    <phoneticPr fontId="1"/>
  </si>
  <si>
    <t>13:30</t>
    <phoneticPr fontId="1"/>
  </si>
  <si>
    <t>14:00</t>
    <phoneticPr fontId="1"/>
  </si>
  <si>
    <t>キズナアイ</t>
    <rPh sb="0" eb="2">
      <t>キズn</t>
    </rPh>
    <phoneticPr fontId="1"/>
  </si>
  <si>
    <t>輝夜月</t>
    <rPh sb="0" eb="2">
      <t>カグy</t>
    </rPh>
    <phoneticPr fontId="1"/>
  </si>
  <si>
    <t>ときのそら</t>
    <rPh sb="0" eb="1">
      <t>トキn</t>
    </rPh>
    <phoneticPr fontId="1"/>
  </si>
  <si>
    <t>第1希望</t>
    <rPh sb="0" eb="1">
      <t>ダイ</t>
    </rPh>
    <phoneticPr fontId="1"/>
  </si>
  <si>
    <t>第2希望</t>
    <rPh sb="0" eb="1">
      <t>ダイ</t>
    </rPh>
    <phoneticPr fontId="1"/>
  </si>
  <si>
    <t>第3希望</t>
    <rPh sb="0" eb="1">
      <t>ダイ</t>
    </rPh>
    <phoneticPr fontId="1"/>
  </si>
  <si>
    <t>第4希望</t>
    <rPh sb="0" eb="1">
      <t>ダイ</t>
    </rPh>
    <phoneticPr fontId="1"/>
  </si>
  <si>
    <t>第5希望</t>
    <rPh sb="0" eb="1">
      <t>ダイ</t>
    </rPh>
    <phoneticPr fontId="1"/>
  </si>
  <si>
    <t>役職</t>
    <rPh sb="0" eb="2">
      <t>ヤk</t>
    </rPh>
    <phoneticPr fontId="1"/>
  </si>
  <si>
    <t>オレンジ</t>
  </si>
  <si>
    <t>黄色</t>
  </si>
  <si>
    <t>黄色</t>
    <rPh sb="0" eb="2">
      <t>キイr</t>
    </rPh>
    <phoneticPr fontId="1"/>
  </si>
  <si>
    <t>緑</t>
  </si>
  <si>
    <t>緑</t>
    <rPh sb="0" eb="1">
      <t>ミドr</t>
    </rPh>
    <phoneticPr fontId="1"/>
  </si>
  <si>
    <t>青</t>
  </si>
  <si>
    <t>青</t>
    <rPh sb="0" eb="1">
      <t>ア</t>
    </rPh>
    <phoneticPr fontId="1"/>
  </si>
  <si>
    <t>紫</t>
    <rPh sb="0" eb="1">
      <t>ムラサk</t>
    </rPh>
    <phoneticPr fontId="1"/>
  </si>
  <si>
    <t>定員</t>
    <rPh sb="0" eb="2">
      <t>テイイn</t>
    </rPh>
    <phoneticPr fontId="1"/>
  </si>
  <si>
    <t>x</t>
    <phoneticPr fontId="1"/>
  </si>
  <si>
    <t>o</t>
    <phoneticPr fontId="1"/>
  </si>
  <si>
    <t>う</t>
    <phoneticPr fontId="1"/>
  </si>
  <si>
    <t>え</t>
    <phoneticPr fontId="1"/>
  </si>
  <si>
    <t>お</t>
    <phoneticPr fontId="1"/>
  </si>
  <si>
    <t>色分け書式</t>
    <rPh sb="0" eb="2">
      <t>イロワk</t>
    </rPh>
    <phoneticPr fontId="1"/>
  </si>
  <si>
    <t>A</t>
  </si>
  <si>
    <t>A</t>
    <phoneticPr fontId="1"/>
  </si>
  <si>
    <t>B</t>
    <phoneticPr fontId="1"/>
  </si>
  <si>
    <t>C</t>
  </si>
  <si>
    <t>C</t>
    <phoneticPr fontId="1"/>
  </si>
  <si>
    <t>D</t>
    <phoneticPr fontId="1"/>
  </si>
  <si>
    <t>E</t>
    <phoneticPr fontId="1"/>
  </si>
  <si>
    <t>はじめしゃちょー</t>
    <phoneticPr fontId="1"/>
  </si>
  <si>
    <t>コマ数</t>
    <phoneticPr fontId="1"/>
  </si>
  <si>
    <t>役職数</t>
    <rPh sb="0" eb="2">
      <t>ヤクショク</t>
    </rPh>
    <phoneticPr fontId="1"/>
  </si>
  <si>
    <t>希望役職数</t>
    <rPh sb="0" eb="2">
      <t>キボ</t>
    </rPh>
    <phoneticPr fontId="1"/>
  </si>
  <si>
    <t>時間帯数</t>
    <rPh sb="0" eb="2">
      <t>ジカンタ</t>
    </rPh>
    <phoneticPr fontId="1"/>
  </si>
  <si>
    <t>色数</t>
    <rPh sb="0" eb="2">
      <t>イロk</t>
    </rPh>
    <phoneticPr fontId="1"/>
  </si>
  <si>
    <t>第1</t>
    <rPh sb="0" eb="1">
      <t>ダイ</t>
    </rPh>
    <phoneticPr fontId="1"/>
  </si>
  <si>
    <t>第2</t>
    <rPh sb="0" eb="1">
      <t>ダイ</t>
    </rPh>
    <phoneticPr fontId="1"/>
  </si>
  <si>
    <t>第3</t>
    <rPh sb="0" eb="1">
      <t>ダイ</t>
    </rPh>
    <phoneticPr fontId="1"/>
  </si>
  <si>
    <t>第4</t>
    <rPh sb="0" eb="1">
      <t>ダイ</t>
    </rPh>
    <phoneticPr fontId="1"/>
  </si>
  <si>
    <t>第5</t>
    <rPh sb="0" eb="1">
      <t>ダイ</t>
    </rPh>
    <phoneticPr fontId="1"/>
  </si>
  <si>
    <t>Shiftterはシフト組みを効率化するためのツールです。</t>
    <phoneticPr fontId="1"/>
  </si>
  <si>
    <t>1.まず、シフトを組む時間帯(コマ)を「時間帯一覧」に入力します。</t>
    <rPh sb="0" eb="1">
      <t>j</t>
    </rPh>
    <phoneticPr fontId="1"/>
  </si>
  <si>
    <t>手順</t>
    <rPh sb="0" eb="2">
      <t>テジュn</t>
    </rPh>
    <phoneticPr fontId="1"/>
  </si>
  <si>
    <t>基本的に灰色のセルはロックがかかっていて文字が入力できません。白のマスに文字を入力して行くことになります。</t>
    <rPh sb="0" eb="2">
      <t>キホンテキ</t>
    </rPh>
    <phoneticPr fontId="1"/>
  </si>
  <si>
    <t>3.次に、「時間希望調査」の右3行に名簿を入力します。「No」「所属」は単にわかりやすくするものなので特にソフト上の決まりはありません。</t>
    <rPh sb="0" eb="1">
      <t>ツg</t>
    </rPh>
    <phoneticPr fontId="1"/>
  </si>
  <si>
    <t>6.これで情報は揃いました。シフト組みの作業に入ります。「シフト組み」のシートを使います。</t>
    <rPh sb="0" eb="2">
      <t>ジョウホ</t>
    </rPh>
    <phoneticPr fontId="1"/>
  </si>
  <si>
    <t>4.その後に「時間希望調査」にシフトに入ってもいい時間を調査したものを入力します。「o(オー)」「?」「x(エックス)」で入力してください。リストから選択もできます。「x」のマスは黒く塗りつぶされます。</t>
    <rPh sb="0" eb="1">
      <t>ツg</t>
    </rPh>
    <phoneticPr fontId="1"/>
  </si>
  <si>
    <t>?</t>
  </si>
  <si>
    <t>2.次に、シフトを組まなければいけない役職を「役職一覧」に入力します。「記号」はこれから作業して行く際に用いるもので、短ければ作業を効率化できます。「色」は表などに表示される色です(リストから洗濯してください)。「人数」にはコマごとに必要な人数を入れてください。</t>
    <rPh sb="0" eb="1">
      <t>ツg</t>
    </rPh>
    <phoneticPr fontId="1"/>
  </si>
  <si>
    <t>8.次に、表の白い部分に役職を記号で入力して行きます。時間帯希望調査が「x」のマスは黒塗りになっていて、「?」のマスは灰色になっています。上にはコマごとに役職についている人数が表示されます。また、右には人ごとに入っているコマの数が役職別/合計で表示されます。</t>
    <rPh sb="0" eb="1">
      <t>ツg</t>
    </rPh>
    <phoneticPr fontId="1"/>
  </si>
  <si>
    <t>このファイルについて(上級者向け)</t>
    <rPh sb="0" eb="1">
      <t>ジョ</t>
    </rPh>
    <phoneticPr fontId="1"/>
  </si>
  <si>
    <t>このファイルは基本的に関数と条件付き書式、入力規則で構成されています。ボタンを押した時の処理はマクロを用いていますが、マクロイベントは用いていません(undoができなくなるため)。</t>
    <rPh sb="0" eb="2">
      <t>キホンt</t>
    </rPh>
    <phoneticPr fontId="1"/>
  </si>
  <si>
    <t>注意事項</t>
    <rPh sb="0" eb="2">
      <t>チュ</t>
    </rPh>
    <phoneticPr fontId="1"/>
  </si>
  <si>
    <t>・ボタン操作をすると操作履歴が消え、「元に戻す」ができなくなります。気をつけてください。(Excelの仕様)</t>
    <rPh sb="0" eb="1">
      <t>ブt</t>
    </rPh>
    <phoneticPr fontId="1"/>
  </si>
  <si>
    <t>また、シートの保護をかけていますが、パスワードはかけていません。</t>
    <rPh sb="0" eb="2">
      <t>シートノホゴw</t>
    </rPh>
    <phoneticPr fontId="1"/>
  </si>
  <si>
    <t>5.あと、各人がやりたい役職の希望を「役職希望調査」に入力してください。これはなくても構いません。各役職に関して、希望した人数は「役職一覧」で見ることができます。</t>
    <rPh sb="0" eb="2">
      <t>ドウj</t>
    </rPh>
    <phoneticPr fontId="1"/>
  </si>
  <si>
    <t>仕様</t>
    <rPh sb="0" eb="2">
      <t>シヨ</t>
    </rPh>
    <phoneticPr fontId="1"/>
  </si>
  <si>
    <t>注意事項</t>
  </si>
  <si>
    <t>・ボタン操作をすると操作履歴が消え、「元に戻す」ができなくなります。気をつけてください。(Excelの仕様)</t>
  </si>
  <si>
    <t>7.まず、役職や時間帯の枠をmaxまでは使い切ってないと思うので、使ってない行/列を非表示にします。「コマンド」の「非表示行更新」を押してください。</t>
    <rPh sb="0" eb="2">
      <t>ヤクsh</t>
    </rPh>
    <phoneticPr fontId="1"/>
  </si>
  <si>
    <t>F</t>
    <phoneticPr fontId="1"/>
  </si>
  <si>
    <t>ka</t>
    <phoneticPr fontId="1"/>
  </si>
  <si>
    <t>Shiftter ver.1.0.0</t>
    <phoneticPr fontId="1"/>
  </si>
  <si>
    <t>備考</t>
    <rPh sb="0" eb="2">
      <t>ビコ</t>
    </rPh>
    <phoneticPr fontId="1"/>
  </si>
  <si>
    <t>No</t>
    <phoneticPr fontId="1"/>
  </si>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</sst>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游ゴシック"/>
      <family val="2"/>
      <charset val="128"/>
      <scheme val="minor"/>
    </font>
    <font>
      <sz val="6"/>
      <name val="游ゴシック"/>
      <family val="2"/>
      <charset val="128"/>
      <scheme val="minor"/>
    </font>
    <font>
      <sz val="14"/>
      <color rgb="FFFF0000"/>
      <name val="游ゴシック"/>
      <family val="3"/>
      <charset val="128"/>
      <scheme val="minor"/>
    </font>
    <font>
      <sz val="12"/>
      <color rgb="FF000000"/>
      <name val="Yu Gothic"/>
      <family val="3"/>
      <charset val="128"/>
    </font>
    <font>
      <sz val="12"/>
      <color rgb="FF000000"/>
      <name val="游ゴシック"/>
      <family val="3"/>
      <charset val="128"/>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00"/>
        <bgColor rgb="FF000000"/>
      </patternFill>
    </fill>
    <fill>
      <patternFill patternType="solid">
        <fgColor theme="0"/>
        <bgColor indexed="64"/>
      </patternFill>
    </fill>
    <fill>
      <patternFill patternType="solid">
        <fgColor theme="0" tint="-0.14996795556505021"/>
        <bgColor indexed="64"/>
      </patternFill>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0" fontId="0" fillId="2" borderId="0" xfId="0" applyFill="1">
      <alignment vertical="center"/>
    </xf>
    <xf numFmtId="0" fontId="0" fillId="0" borderId="0" xfId="0" applyFill="1">
      <alignment vertical="center"/>
    </xf>
    <xf numFmtId="49" fontId="0" fillId="2" borderId="0" xfId="0" applyNumberFormat="1" applyFill="1">
      <alignment vertical="center"/>
    </xf>
    <xf numFmtId="0" fontId="0" fillId="0" borderId="0" xfId="0" applyFill="1" applyProtection="1">
      <alignment vertical="center"/>
      <protection locked="0"/>
    </xf>
    <xf numFmtId="0" fontId="0" fillId="2" borderId="0" xfId="0" applyFill="1" applyProtection="1">
      <alignment vertical="center"/>
    </xf>
    <xf numFmtId="49" fontId="0" fillId="0" borderId="0" xfId="0" applyNumberFormat="1" applyFill="1" applyProtection="1">
      <alignment vertical="center"/>
      <protection locked="0"/>
    </xf>
    <xf numFmtId="49" fontId="0" fillId="0" borderId="0" xfId="0" quotePrefix="1" applyNumberFormat="1" applyFill="1" applyProtection="1">
      <alignment vertical="center"/>
      <protection locked="0"/>
    </xf>
    <xf numFmtId="0" fontId="0" fillId="2" borderId="0" xfId="0" applyFill="1" applyAlignment="1">
      <alignment vertical="center" wrapText="1"/>
    </xf>
    <xf numFmtId="0" fontId="2" fillId="3" borderId="0" xfId="0" applyFont="1" applyFill="1" applyAlignment="1">
      <alignment vertical="center" wrapText="1"/>
    </xf>
    <xf numFmtId="0" fontId="0" fillId="2" borderId="0" xfId="0" applyFill="1" applyProtection="1">
      <alignment vertical="center"/>
      <protection hidden="1"/>
    </xf>
    <xf numFmtId="0" fontId="0" fillId="0" borderId="0" xfId="0" applyFill="1" applyProtection="1">
      <alignment vertical="center"/>
      <protection locked="0" hidden="1"/>
    </xf>
    <xf numFmtId="0" fontId="0" fillId="2" borderId="0" xfId="0" applyFill="1" applyProtection="1">
      <alignment vertical="center"/>
      <protection locked="0" hidden="1"/>
    </xf>
    <xf numFmtId="0" fontId="2" fillId="4" borderId="0" xfId="0" applyFont="1" applyFill="1" applyAlignment="1">
      <alignment vertical="center" wrapText="1"/>
    </xf>
    <xf numFmtId="0" fontId="0" fillId="5" borderId="0" xfId="0" applyFill="1" applyProtection="1">
      <alignment vertical="center"/>
      <protection hidden="1"/>
    </xf>
    <xf numFmtId="0" fontId="0" fillId="0" borderId="0" xfId="0" applyNumberFormat="1" applyFont="1" applyFill="1" applyAlignment="1" applyProtection="1">
      <alignment vertical="center"/>
      <protection locked="0"/>
    </xf>
    <xf numFmtId="0" fontId="0" fillId="6" borderId="0" xfId="0" applyNumberFormat="1" applyFont="1" applyFill="1" applyAlignment="1" applyProtection="1">
      <alignment vertical="center"/>
    </xf>
    <xf numFmtId="0" fontId="0" fillId="0" borderId="0" xfId="0" applyFill="1" applyProtection="1">
      <alignment vertical="center"/>
    </xf>
    <xf numFmtId="0" fontId="0" fillId="2" borderId="0" xfId="0" applyFill="1" applyAlignment="1" applyProtection="1">
      <alignment horizontal="center" vertical="center"/>
      <protection hidden="1"/>
    </xf>
  </cellXfs>
  <cellStyles count="1">
    <cellStyle name="標準" xfId="0" builtinId="0"/>
  </cellStyles>
  <dxfs count="74">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F0"/>
        </patternFill>
      </fill>
    </dxf>
    <dxf>
      <fill>
        <patternFill>
          <bgColor rgb="FF0070C0"/>
        </patternFill>
      </fill>
    </dxf>
    <dxf>
      <fill>
        <patternFill>
          <bgColor rgb="FF7030A0"/>
        </patternFill>
      </fill>
    </dxf>
    <dxf>
      <font>
        <color auto="1"/>
      </font>
      <fill>
        <patternFill patternType="solid">
          <bgColor theme="0" tint="-0.14996795556505021"/>
        </patternFill>
      </fill>
    </dxf>
    <dxf>
      <font>
        <b/>
        <i val="0"/>
        <color theme="9"/>
      </font>
      <fill>
        <patternFill>
          <fgColor auto="1"/>
          <bgColor theme="1"/>
        </patternFill>
      </fill>
    </dxf>
    <dxf>
      <font>
        <color rgb="FF0070C0"/>
      </font>
    </dxf>
    <dxf>
      <font>
        <b/>
        <i val="0"/>
        <color theme="9"/>
      </font>
    </dxf>
    <dxf>
      <font>
        <color rgb="FF0070C0"/>
      </font>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strike/>
      </font>
      <fill>
        <patternFill>
          <bgColor theme="0" tint="-0.499984740745262"/>
        </patternFill>
      </fill>
    </dxf>
    <dxf>
      <font>
        <b val="0"/>
        <i/>
        <strike/>
      </font>
      <fill>
        <patternFill>
          <bgColor theme="0" tint="-0.499984740745262"/>
        </patternFill>
      </fill>
    </dxf>
    <dxf>
      <font>
        <b/>
        <i val="0"/>
        <color theme="9"/>
      </font>
      <fill>
        <patternFill>
          <bgColor theme="1"/>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s>
  <tableStyles count="0" defaultTableStyle="TableStyleMedium2" defaultPivotStyle="PivotStyleLight16"/>
  <colors>
    <mruColors>
      <color rgb="FFFFD965"/>
      <color rgb="FFFFF690"/>
      <color rgb="FF95FF6C"/>
      <color rgb="FF7FCAFF"/>
      <color rgb="FF3EA23D"/>
      <color rgb="FFFFFF98"/>
      <color rgb="FFE1B9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1</xdr:col>
          <xdr:colOff>1371600</xdr:colOff>
          <xdr:row>6</xdr:row>
          <xdr:rowOff>127000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Yu Gothic" charset="-128"/>
                  <a:ea typeface="Yu Gothic" charset="-128"/>
                </a:rPr>
                <a:t>非表示行更新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1905000</xdr:colOff>
          <xdr:row>5</xdr:row>
          <xdr:rowOff>12700</xdr:rowOff>
        </xdr:from>
        <xdr:to>
          <xdr:col>1</xdr:col>
          <xdr:colOff>4165600</xdr:colOff>
          <xdr:row>6</xdr:row>
          <xdr:rowOff>139700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共有用ファイル書き出し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スリップストリーム">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22FC-67AD-7241-A4B0-53E1B8269BB9}">
  <sheetPr codeName="readme"/>
  <dimension ref="A1:D23"/>
  <sheetViews>
    <sheetView workbookViewId="0">
      <selection activeCell="A16" sqref="A16"/>
    </sheetView>
  </sheetViews>
  <sheetFormatPr baseColWidth="10" defaultRowHeight="20"/>
  <cols>
    <col min="1" max="1" width="166.140625" style="8" customWidth="1"/>
    <col min="2" max="16384" width="10.7109375" style="1"/>
  </cols>
  <sheetData>
    <row r="1" spans="1:4" ht="21">
      <c r="A1" s="8" t="s">
        <v>84</v>
      </c>
      <c r="C1" s="1" t="s">
        <v>78</v>
      </c>
    </row>
    <row r="2" spans="1:4">
      <c r="C2" s="1" t="s">
        <v>53</v>
      </c>
      <c r="D2" s="1">
        <v>30</v>
      </c>
    </row>
    <row r="3" spans="1:4" ht="21">
      <c r="A3" s="8" t="s">
        <v>62</v>
      </c>
      <c r="C3" s="1" t="s">
        <v>54</v>
      </c>
      <c r="D3" s="1">
        <v>5</v>
      </c>
    </row>
    <row r="4" spans="1:4">
      <c r="C4" s="1" t="s">
        <v>55</v>
      </c>
      <c r="D4" s="1">
        <v>50</v>
      </c>
    </row>
    <row r="5" spans="1:4" ht="21">
      <c r="A5" s="8" t="s">
        <v>65</v>
      </c>
      <c r="C5" s="1" t="s">
        <v>56</v>
      </c>
      <c r="D5" s="1">
        <v>6</v>
      </c>
    </row>
    <row r="7" spans="1:4" ht="21">
      <c r="A7" s="8" t="s">
        <v>64</v>
      </c>
    </row>
    <row r="8" spans="1:4" ht="21">
      <c r="A8" s="8" t="s">
        <v>63</v>
      </c>
    </row>
    <row r="9" spans="1:4" ht="42">
      <c r="A9" s="8" t="s">
        <v>70</v>
      </c>
    </row>
    <row r="10" spans="1:4" ht="21">
      <c r="A10" s="8" t="s">
        <v>66</v>
      </c>
    </row>
    <row r="11" spans="1:4" ht="21">
      <c r="A11" s="8" t="s">
        <v>68</v>
      </c>
    </row>
    <row r="12" spans="1:4" ht="21">
      <c r="A12" s="8" t="s">
        <v>77</v>
      </c>
    </row>
    <row r="13" spans="1:4" ht="21">
      <c r="A13" s="8" t="s">
        <v>67</v>
      </c>
    </row>
    <row r="14" spans="1:4" ht="21">
      <c r="A14" s="8" t="s">
        <v>81</v>
      </c>
    </row>
    <row r="15" spans="1:4" ht="42">
      <c r="A15" s="8" t="s">
        <v>71</v>
      </c>
    </row>
    <row r="18" spans="1:1" ht="25">
      <c r="A18" s="9" t="s">
        <v>74</v>
      </c>
    </row>
    <row r="19" spans="1:1" ht="25">
      <c r="A19" s="9" t="s">
        <v>75</v>
      </c>
    </row>
    <row r="21" spans="1:1" ht="21">
      <c r="A21" s="8" t="s">
        <v>72</v>
      </c>
    </row>
    <row r="22" spans="1:1" ht="21">
      <c r="A22" s="8" t="s">
        <v>73</v>
      </c>
    </row>
    <row r="23" spans="1:1" ht="21">
      <c r="A23" s="8" t="s">
        <v>76</v>
      </c>
    </row>
  </sheetData>
  <sheetProtection sheet="1" objects="1" scenarios="1" selectLockedCells="1"/>
  <phoneticPr fontId="1"/>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B8BA-7717-8547-857C-7C036572439D}">
  <sheetPr codeName="TimeList"/>
  <dimension ref="A1:B51"/>
  <sheetViews>
    <sheetView workbookViewId="0">
      <selection activeCell="B51" sqref="B51"/>
    </sheetView>
  </sheetViews>
  <sheetFormatPr baseColWidth="10" defaultRowHeight="20"/>
  <cols>
    <col min="1" max="1" width="10.7109375" style="1"/>
    <col min="2" max="2" width="10.7109375" style="3"/>
    <col min="3" max="16384" width="10.7109375" style="1"/>
  </cols>
  <sheetData>
    <row r="1" spans="1:2">
      <c r="A1" s="1" t="s">
        <v>3</v>
      </c>
      <c r="B1" s="3" t="s">
        <v>4</v>
      </c>
    </row>
    <row r="2" spans="1:2">
      <c r="A2" s="1">
        <f>ROW()-1</f>
        <v>1</v>
      </c>
      <c r="B2" s="6" t="s">
        <v>5</v>
      </c>
    </row>
    <row r="3" spans="1:2">
      <c r="A3" s="1">
        <f t="shared" ref="A3:A51" si="0">ROW()-1</f>
        <v>2</v>
      </c>
      <c r="B3" s="6" t="s">
        <v>6</v>
      </c>
    </row>
    <row r="4" spans="1:2">
      <c r="A4" s="1">
        <f t="shared" si="0"/>
        <v>3</v>
      </c>
      <c r="B4" s="6" t="s">
        <v>7</v>
      </c>
    </row>
    <row r="5" spans="1:2">
      <c r="A5" s="1">
        <f t="shared" si="0"/>
        <v>4</v>
      </c>
      <c r="B5" s="6" t="s">
        <v>8</v>
      </c>
    </row>
    <row r="6" spans="1:2">
      <c r="A6" s="1">
        <f t="shared" si="0"/>
        <v>5</v>
      </c>
      <c r="B6" s="6" t="s">
        <v>9</v>
      </c>
    </row>
    <row r="7" spans="1:2">
      <c r="A7" s="1">
        <f t="shared" si="0"/>
        <v>6</v>
      </c>
      <c r="B7" s="7" t="s">
        <v>10</v>
      </c>
    </row>
    <row r="8" spans="1:2">
      <c r="A8" s="1">
        <f t="shared" si="0"/>
        <v>7</v>
      </c>
      <c r="B8" s="7" t="s">
        <v>17</v>
      </c>
    </row>
    <row r="9" spans="1:2">
      <c r="A9" s="1">
        <f t="shared" si="0"/>
        <v>8</v>
      </c>
      <c r="B9" s="7" t="s">
        <v>18</v>
      </c>
    </row>
    <row r="10" spans="1:2">
      <c r="A10" s="1">
        <f t="shared" si="0"/>
        <v>9</v>
      </c>
      <c r="B10" s="7" t="s">
        <v>19</v>
      </c>
    </row>
    <row r="11" spans="1:2">
      <c r="A11" s="1">
        <f t="shared" si="0"/>
        <v>10</v>
      </c>
      <c r="B11" s="7"/>
    </row>
    <row r="12" spans="1:2">
      <c r="A12" s="1">
        <f t="shared" si="0"/>
        <v>11</v>
      </c>
      <c r="B12" s="7"/>
    </row>
    <row r="13" spans="1:2">
      <c r="A13" s="1">
        <f t="shared" si="0"/>
        <v>12</v>
      </c>
      <c r="B13" s="7"/>
    </row>
    <row r="14" spans="1:2">
      <c r="A14" s="1">
        <f t="shared" si="0"/>
        <v>13</v>
      </c>
      <c r="B14" s="7"/>
    </row>
    <row r="15" spans="1:2">
      <c r="A15" s="1">
        <f t="shared" si="0"/>
        <v>14</v>
      </c>
      <c r="B15" s="7"/>
    </row>
    <row r="16" spans="1:2">
      <c r="A16" s="1">
        <f t="shared" si="0"/>
        <v>15</v>
      </c>
      <c r="B16" s="7"/>
    </row>
    <row r="17" spans="1:2">
      <c r="A17" s="1">
        <f t="shared" si="0"/>
        <v>16</v>
      </c>
      <c r="B17" s="7"/>
    </row>
    <row r="18" spans="1:2">
      <c r="A18" s="1">
        <f t="shared" si="0"/>
        <v>17</v>
      </c>
      <c r="B18" s="7"/>
    </row>
    <row r="19" spans="1:2">
      <c r="A19" s="1">
        <f t="shared" si="0"/>
        <v>18</v>
      </c>
      <c r="B19" s="7"/>
    </row>
    <row r="20" spans="1:2">
      <c r="A20" s="1">
        <f t="shared" si="0"/>
        <v>19</v>
      </c>
      <c r="B20" s="7"/>
    </row>
    <row r="21" spans="1:2">
      <c r="A21" s="1">
        <f t="shared" si="0"/>
        <v>20</v>
      </c>
      <c r="B21" s="7"/>
    </row>
    <row r="22" spans="1:2">
      <c r="A22" s="1">
        <f t="shared" si="0"/>
        <v>21</v>
      </c>
      <c r="B22" s="6"/>
    </row>
    <row r="23" spans="1:2">
      <c r="A23" s="1">
        <f t="shared" si="0"/>
        <v>22</v>
      </c>
      <c r="B23" s="6"/>
    </row>
    <row r="24" spans="1:2">
      <c r="A24" s="1">
        <f t="shared" si="0"/>
        <v>23</v>
      </c>
      <c r="B24" s="6"/>
    </row>
    <row r="25" spans="1:2">
      <c r="A25" s="1">
        <f t="shared" si="0"/>
        <v>24</v>
      </c>
      <c r="B25" s="6"/>
    </row>
    <row r="26" spans="1:2">
      <c r="A26" s="1">
        <f t="shared" si="0"/>
        <v>25</v>
      </c>
      <c r="B26" s="6"/>
    </row>
    <row r="27" spans="1:2">
      <c r="A27" s="1">
        <f t="shared" si="0"/>
        <v>26</v>
      </c>
      <c r="B27" s="6"/>
    </row>
    <row r="28" spans="1:2">
      <c r="A28" s="1">
        <f t="shared" si="0"/>
        <v>27</v>
      </c>
      <c r="B28" s="6"/>
    </row>
    <row r="29" spans="1:2">
      <c r="A29" s="1">
        <f t="shared" si="0"/>
        <v>28</v>
      </c>
      <c r="B29" s="6"/>
    </row>
    <row r="30" spans="1:2">
      <c r="A30" s="1">
        <f t="shared" si="0"/>
        <v>29</v>
      </c>
      <c r="B30" s="6"/>
    </row>
    <row r="31" spans="1:2">
      <c r="A31" s="1">
        <f t="shared" si="0"/>
        <v>30</v>
      </c>
      <c r="B31" s="6"/>
    </row>
    <row r="32" spans="1:2">
      <c r="A32" s="1">
        <f t="shared" si="0"/>
        <v>31</v>
      </c>
      <c r="B32" s="6"/>
    </row>
    <row r="33" spans="1:2">
      <c r="A33" s="1">
        <f t="shared" si="0"/>
        <v>32</v>
      </c>
      <c r="B33" s="6"/>
    </row>
    <row r="34" spans="1:2">
      <c r="A34" s="1">
        <f t="shared" si="0"/>
        <v>33</v>
      </c>
      <c r="B34" s="6"/>
    </row>
    <row r="35" spans="1:2">
      <c r="A35" s="1">
        <f t="shared" si="0"/>
        <v>34</v>
      </c>
      <c r="B35" s="6"/>
    </row>
    <row r="36" spans="1:2">
      <c r="A36" s="1">
        <f t="shared" si="0"/>
        <v>35</v>
      </c>
      <c r="B36" s="6"/>
    </row>
    <row r="37" spans="1:2">
      <c r="A37" s="1">
        <f t="shared" si="0"/>
        <v>36</v>
      </c>
      <c r="B37" s="6"/>
    </row>
    <row r="38" spans="1:2">
      <c r="A38" s="1">
        <f t="shared" si="0"/>
        <v>37</v>
      </c>
      <c r="B38" s="6"/>
    </row>
    <row r="39" spans="1:2">
      <c r="A39" s="1">
        <f t="shared" si="0"/>
        <v>38</v>
      </c>
      <c r="B39" s="6"/>
    </row>
    <row r="40" spans="1:2">
      <c r="A40" s="1">
        <f t="shared" si="0"/>
        <v>39</v>
      </c>
      <c r="B40" s="6"/>
    </row>
    <row r="41" spans="1:2">
      <c r="A41" s="1">
        <f t="shared" si="0"/>
        <v>40</v>
      </c>
      <c r="B41" s="6"/>
    </row>
    <row r="42" spans="1:2">
      <c r="A42" s="1">
        <f t="shared" si="0"/>
        <v>41</v>
      </c>
      <c r="B42" s="6"/>
    </row>
    <row r="43" spans="1:2">
      <c r="A43" s="1">
        <f t="shared" si="0"/>
        <v>42</v>
      </c>
      <c r="B43" s="6"/>
    </row>
    <row r="44" spans="1:2">
      <c r="A44" s="1">
        <f t="shared" si="0"/>
        <v>43</v>
      </c>
      <c r="B44" s="6"/>
    </row>
    <row r="45" spans="1:2">
      <c r="A45" s="1">
        <f t="shared" si="0"/>
        <v>44</v>
      </c>
      <c r="B45" s="6"/>
    </row>
    <row r="46" spans="1:2">
      <c r="A46" s="1">
        <f t="shared" si="0"/>
        <v>45</v>
      </c>
      <c r="B46" s="6"/>
    </row>
    <row r="47" spans="1:2">
      <c r="A47" s="1">
        <f t="shared" si="0"/>
        <v>46</v>
      </c>
      <c r="B47" s="6"/>
    </row>
    <row r="48" spans="1:2">
      <c r="A48" s="1">
        <f t="shared" si="0"/>
        <v>47</v>
      </c>
      <c r="B48" s="6"/>
    </row>
    <row r="49" spans="1:2">
      <c r="A49" s="1">
        <f t="shared" si="0"/>
        <v>48</v>
      </c>
      <c r="B49" s="6"/>
    </row>
    <row r="50" spans="1:2">
      <c r="A50" s="1">
        <f t="shared" si="0"/>
        <v>49</v>
      </c>
      <c r="B50" s="6"/>
    </row>
    <row r="51" spans="1:2">
      <c r="A51" s="1">
        <f t="shared" si="0"/>
        <v>50</v>
      </c>
      <c r="B51" s="6"/>
    </row>
  </sheetData>
  <sheetProtection sheet="1" objects="1" scenarios="1" selectLockedCells="1"/>
  <phoneticPr fontId="1"/>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4D041-65C5-954E-AE0A-7ED37018D2F0}">
  <sheetPr codeName="JobList"/>
  <dimension ref="A1:Q31"/>
  <sheetViews>
    <sheetView topLeftCell="B2" workbookViewId="0">
      <selection activeCell="C9" sqref="C9"/>
    </sheetView>
  </sheetViews>
  <sheetFormatPr baseColWidth="10" defaultRowHeight="20"/>
  <cols>
    <col min="1" max="1" width="0" style="1" hidden="1" customWidth="1"/>
    <col min="2" max="2" width="10" style="1" customWidth="1"/>
    <col min="3" max="3" width="15.42578125" style="1" customWidth="1"/>
    <col min="4" max="5" width="12.7109375" style="1" customWidth="1"/>
    <col min="6" max="12" width="12.7109375" style="1" hidden="1" customWidth="1"/>
    <col min="13" max="16384" width="10.7109375" style="1"/>
  </cols>
  <sheetData>
    <row r="1" spans="1:17">
      <c r="B1" s="1" t="s">
        <v>0</v>
      </c>
      <c r="C1" s="1" t="s">
        <v>1</v>
      </c>
      <c r="D1" s="1" t="s">
        <v>13</v>
      </c>
      <c r="E1" s="1" t="s">
        <v>37</v>
      </c>
      <c r="F1" s="1" t="s">
        <v>12</v>
      </c>
      <c r="G1" s="1" t="s">
        <v>11</v>
      </c>
      <c r="H1" s="1" t="s">
        <v>31</v>
      </c>
      <c r="I1" s="1" t="s">
        <v>33</v>
      </c>
      <c r="J1" s="1" t="s">
        <v>35</v>
      </c>
      <c r="K1" s="1" t="s">
        <v>36</v>
      </c>
      <c r="M1" s="1" t="s">
        <v>23</v>
      </c>
      <c r="N1" s="1" t="s">
        <v>24</v>
      </c>
      <c r="O1" s="1" t="s">
        <v>25</v>
      </c>
      <c r="P1" s="1" t="s">
        <v>26</v>
      </c>
      <c r="Q1" s="1" t="s">
        <v>27</v>
      </c>
    </row>
    <row r="2" spans="1:17">
      <c r="A2" s="1" t="str">
        <f>D2&amp;COUNTIF($D$2:D2,D2)&amp;""</f>
        <v>赤1</v>
      </c>
      <c r="B2" s="4" t="s">
        <v>45</v>
      </c>
      <c r="C2" s="4" t="s">
        <v>14</v>
      </c>
      <c r="D2" s="4" t="s">
        <v>12</v>
      </c>
      <c r="E2" s="4">
        <v>2</v>
      </c>
      <c r="F2" s="1" t="str">
        <f t="shared" ref="F2:K11" si="0">IFERROR(VLOOKUP(F$1&amp;ROW()-1,$A:$B,2,FALSE),"")</f>
        <v>A</v>
      </c>
      <c r="G2" s="1" t="str">
        <f t="shared" si="0"/>
        <v>D</v>
      </c>
      <c r="H2" s="1" t="str">
        <f t="shared" si="0"/>
        <v>B</v>
      </c>
      <c r="I2" s="1" t="str">
        <f t="shared" si="0"/>
        <v>C</v>
      </c>
      <c r="J2" s="1" t="str">
        <f t="shared" si="0"/>
        <v>E</v>
      </c>
      <c r="K2" s="1" t="str">
        <f t="shared" si="0"/>
        <v/>
      </c>
      <c r="M2" s="1">
        <f>COUNTIF('役職希望調査 ・備考'!D:D,$B2)</f>
        <v>1</v>
      </c>
      <c r="N2" s="1">
        <f>COUNTIF('役職希望調査 ・備考'!E:E,$B2)</f>
        <v>0</v>
      </c>
      <c r="O2" s="1">
        <f>COUNTIF('役職希望調査 ・備考'!F:F,$B2)</f>
        <v>0</v>
      </c>
      <c r="P2" s="1">
        <f>COUNTIF('役職希望調査 ・備考'!G:G,$B2)</f>
        <v>0</v>
      </c>
      <c r="Q2" s="1">
        <f>COUNTIF('役職希望調査 ・備考'!H:H,$B2)</f>
        <v>0</v>
      </c>
    </row>
    <row r="3" spans="1:17">
      <c r="A3" s="1" t="str">
        <f>D3&amp;COUNTIF($D$2:D3,D3)</f>
        <v>黄色1</v>
      </c>
      <c r="B3" s="4" t="s">
        <v>46</v>
      </c>
      <c r="C3" s="4" t="s">
        <v>15</v>
      </c>
      <c r="D3" s="4" t="s">
        <v>30</v>
      </c>
      <c r="E3" s="4">
        <v>3</v>
      </c>
      <c r="F3" s="1" t="str">
        <f t="shared" si="0"/>
        <v/>
      </c>
      <c r="G3" s="1" t="str">
        <f t="shared" si="0"/>
        <v/>
      </c>
      <c r="H3" s="1" t="str">
        <f t="shared" si="0"/>
        <v/>
      </c>
      <c r="I3" s="1" t="str">
        <f t="shared" si="0"/>
        <v/>
      </c>
      <c r="J3" s="1" t="str">
        <f t="shared" si="0"/>
        <v/>
      </c>
      <c r="K3" s="1" t="str">
        <f t="shared" si="0"/>
        <v/>
      </c>
      <c r="M3" s="1">
        <f>COUNTIF('役職希望調査 ・備考'!D:D,$B3)</f>
        <v>0</v>
      </c>
      <c r="N3" s="1">
        <f>COUNTIF('役職希望調査 ・備考'!E:E,$B3)</f>
        <v>0</v>
      </c>
      <c r="O3" s="1">
        <f>COUNTIF('役職希望調査 ・備考'!F:F,$B3)</f>
        <v>0</v>
      </c>
      <c r="P3" s="1">
        <f>COUNTIF('役職希望調査 ・備考'!G:G,$B3)</f>
        <v>0</v>
      </c>
      <c r="Q3" s="1">
        <f>COUNTIF('役職希望調査 ・備考'!H:H,$B3)</f>
        <v>0</v>
      </c>
    </row>
    <row r="4" spans="1:17">
      <c r="A4" s="1" t="str">
        <f>D4&amp;COUNTIF($D$2:D4,D4)</f>
        <v>緑1</v>
      </c>
      <c r="B4" s="4" t="s">
        <v>48</v>
      </c>
      <c r="C4" s="4" t="s">
        <v>40</v>
      </c>
      <c r="D4" s="4" t="s">
        <v>32</v>
      </c>
      <c r="E4" s="4">
        <v>4</v>
      </c>
      <c r="F4" s="1" t="str">
        <f t="shared" si="0"/>
        <v/>
      </c>
      <c r="G4" s="1" t="str">
        <f t="shared" si="0"/>
        <v/>
      </c>
      <c r="H4" s="1" t="str">
        <f t="shared" si="0"/>
        <v/>
      </c>
      <c r="I4" s="1" t="str">
        <f t="shared" si="0"/>
        <v/>
      </c>
      <c r="J4" s="1" t="str">
        <f t="shared" si="0"/>
        <v/>
      </c>
      <c r="K4" s="1" t="str">
        <f t="shared" si="0"/>
        <v/>
      </c>
      <c r="M4" s="1">
        <f>COUNTIF('役職希望調査 ・備考'!D:D,$B4)</f>
        <v>0</v>
      </c>
      <c r="N4" s="1">
        <f>COUNTIF('役職希望調査 ・備考'!E:E,$B4)</f>
        <v>1</v>
      </c>
      <c r="O4" s="1">
        <f>COUNTIF('役職希望調査 ・備考'!F:F,$B4)</f>
        <v>0</v>
      </c>
      <c r="P4" s="1">
        <f>COUNTIF('役職希望調査 ・備考'!G:G,$B4)</f>
        <v>0</v>
      </c>
      <c r="Q4" s="1">
        <f>COUNTIF('役職希望調査 ・備考'!H:H,$B4)</f>
        <v>0</v>
      </c>
    </row>
    <row r="5" spans="1:17">
      <c r="A5" s="1" t="str">
        <f>D5&amp;COUNTIF($D$2:D5,D5)</f>
        <v>オレンジ1</v>
      </c>
      <c r="B5" s="4" t="s">
        <v>49</v>
      </c>
      <c r="C5" s="4" t="s">
        <v>41</v>
      </c>
      <c r="D5" s="4" t="s">
        <v>29</v>
      </c>
      <c r="E5" s="4">
        <v>1</v>
      </c>
      <c r="F5" s="1" t="str">
        <f t="shared" si="0"/>
        <v/>
      </c>
      <c r="G5" s="1" t="str">
        <f t="shared" si="0"/>
        <v/>
      </c>
      <c r="H5" s="1" t="str">
        <f t="shared" si="0"/>
        <v/>
      </c>
      <c r="I5" s="1" t="str">
        <f t="shared" si="0"/>
        <v/>
      </c>
      <c r="J5" s="1" t="str">
        <f t="shared" si="0"/>
        <v/>
      </c>
      <c r="K5" s="1" t="str">
        <f t="shared" si="0"/>
        <v/>
      </c>
      <c r="M5" s="1">
        <f>COUNTIF('役職希望調査 ・備考'!D:D,$B5)</f>
        <v>0</v>
      </c>
      <c r="N5" s="1">
        <f>COUNTIF('役職希望調査 ・備考'!E:E,$B5)</f>
        <v>0</v>
      </c>
      <c r="O5" s="1">
        <f>COUNTIF('役職希望調査 ・備考'!F:F,$B5)</f>
        <v>0</v>
      </c>
      <c r="P5" s="1">
        <f>COUNTIF('役職希望調査 ・備考'!G:G,$B5)</f>
        <v>0</v>
      </c>
      <c r="Q5" s="1">
        <f>COUNTIF('役職希望調査 ・備考'!H:H,$B5)</f>
        <v>0</v>
      </c>
    </row>
    <row r="6" spans="1:17">
      <c r="A6" s="1" t="str">
        <f>D6&amp;COUNTIF($D$2:D6,D6)</f>
        <v>青1</v>
      </c>
      <c r="B6" s="4" t="s">
        <v>50</v>
      </c>
      <c r="C6" s="4" t="s">
        <v>42</v>
      </c>
      <c r="D6" s="4" t="s">
        <v>34</v>
      </c>
      <c r="E6" s="4">
        <v>6</v>
      </c>
      <c r="F6" s="1" t="str">
        <f t="shared" si="0"/>
        <v/>
      </c>
      <c r="G6" s="1" t="str">
        <f t="shared" si="0"/>
        <v/>
      </c>
      <c r="H6" s="1" t="str">
        <f t="shared" si="0"/>
        <v/>
      </c>
      <c r="I6" s="1" t="str">
        <f t="shared" si="0"/>
        <v/>
      </c>
      <c r="J6" s="1" t="str">
        <f t="shared" si="0"/>
        <v/>
      </c>
      <c r="K6" s="1" t="str">
        <f t="shared" si="0"/>
        <v/>
      </c>
      <c r="M6" s="1">
        <f>COUNTIF('役職希望調査 ・備考'!D:D,$B6)</f>
        <v>0</v>
      </c>
      <c r="N6" s="1">
        <f>COUNTIF('役職希望調査 ・備考'!E:E,$B6)</f>
        <v>0</v>
      </c>
      <c r="O6" s="1">
        <f>COUNTIF('役職希望調査 ・備考'!F:F,$B6)</f>
        <v>0</v>
      </c>
      <c r="P6" s="1">
        <f>COUNTIF('役職希望調査 ・備考'!G:G,$B6)</f>
        <v>0</v>
      </c>
      <c r="Q6" s="1">
        <f>COUNTIF('役職希望調査 ・備考'!H:H,$B6)</f>
        <v>0</v>
      </c>
    </row>
    <row r="7" spans="1:17">
      <c r="A7" s="1" t="str">
        <f>D7&amp;COUNTIF($D$2:D7,D7)</f>
        <v>0</v>
      </c>
      <c r="B7" s="4" t="s">
        <v>82</v>
      </c>
      <c r="C7" s="4" t="s">
        <v>83</v>
      </c>
      <c r="D7" s="4"/>
      <c r="E7" s="4"/>
      <c r="F7" s="1" t="str">
        <f t="shared" si="0"/>
        <v/>
      </c>
      <c r="G7" s="1" t="str">
        <f t="shared" si="0"/>
        <v/>
      </c>
      <c r="H7" s="1" t="str">
        <f t="shared" si="0"/>
        <v/>
      </c>
      <c r="I7" s="1" t="str">
        <f t="shared" si="0"/>
        <v/>
      </c>
      <c r="J7" s="1" t="str">
        <f t="shared" si="0"/>
        <v/>
      </c>
      <c r="K7" s="1" t="str">
        <f t="shared" si="0"/>
        <v/>
      </c>
      <c r="M7" s="1">
        <f>COUNTIF('役職希望調査 ・備考'!D:D,$B7)</f>
        <v>0</v>
      </c>
      <c r="N7" s="1">
        <f>COUNTIF('役職希望調査 ・備考'!E:E,$B7)</f>
        <v>0</v>
      </c>
      <c r="O7" s="1">
        <f>COUNTIF('役職希望調査 ・備考'!F:F,$B7)</f>
        <v>0</v>
      </c>
      <c r="P7" s="1">
        <f>COUNTIF('役職希望調査 ・備考'!G:G,$B7)</f>
        <v>0</v>
      </c>
      <c r="Q7" s="1">
        <f>COUNTIF('役職希望調査 ・備考'!H:H,$B7)</f>
        <v>0</v>
      </c>
    </row>
    <row r="8" spans="1:17">
      <c r="A8" s="1" t="str">
        <f>D8&amp;COUNTIF($D$2:D8,D8)</f>
        <v>0</v>
      </c>
      <c r="B8" s="4"/>
      <c r="C8" s="4"/>
      <c r="D8" s="4"/>
      <c r="E8" s="4"/>
      <c r="F8" s="1" t="str">
        <f t="shared" si="0"/>
        <v/>
      </c>
      <c r="G8" s="1" t="str">
        <f t="shared" si="0"/>
        <v/>
      </c>
      <c r="H8" s="1" t="str">
        <f t="shared" si="0"/>
        <v/>
      </c>
      <c r="I8" s="1" t="str">
        <f t="shared" si="0"/>
        <v/>
      </c>
      <c r="J8" s="1" t="str">
        <f t="shared" si="0"/>
        <v/>
      </c>
      <c r="K8" s="1" t="str">
        <f t="shared" si="0"/>
        <v/>
      </c>
      <c r="M8" s="1">
        <f>COUNTIF('役職希望調査 ・備考'!D:D,$B8)</f>
        <v>0</v>
      </c>
      <c r="N8" s="1">
        <f>COUNTIF('役職希望調査 ・備考'!E:E,$B8)</f>
        <v>0</v>
      </c>
      <c r="O8" s="1">
        <f>COUNTIF('役職希望調査 ・備考'!F:F,$B8)</f>
        <v>0</v>
      </c>
      <c r="P8" s="1">
        <f>COUNTIF('役職希望調査 ・備考'!G:G,$B8)</f>
        <v>0</v>
      </c>
      <c r="Q8" s="1">
        <f>COUNTIF('役職希望調査 ・備考'!H:H,$B8)</f>
        <v>0</v>
      </c>
    </row>
    <row r="9" spans="1:17">
      <c r="A9" s="1" t="str">
        <f>D9&amp;COUNTIF($D$2:D9,D9)</f>
        <v>0</v>
      </c>
      <c r="B9" s="4"/>
      <c r="C9" s="4"/>
      <c r="D9" s="4"/>
      <c r="E9" s="4"/>
      <c r="F9" s="1" t="str">
        <f t="shared" si="0"/>
        <v/>
      </c>
      <c r="G9" s="1" t="str">
        <f t="shared" si="0"/>
        <v/>
      </c>
      <c r="H9" s="1" t="str">
        <f t="shared" si="0"/>
        <v/>
      </c>
      <c r="I9" s="1" t="str">
        <f t="shared" si="0"/>
        <v/>
      </c>
      <c r="J9" s="1" t="str">
        <f t="shared" si="0"/>
        <v/>
      </c>
      <c r="K9" s="1" t="str">
        <f t="shared" si="0"/>
        <v/>
      </c>
      <c r="M9" s="1">
        <f>COUNTIF('役職希望調査 ・備考'!D:D,$B9)</f>
        <v>0</v>
      </c>
      <c r="N9" s="1">
        <f>COUNTIF('役職希望調査 ・備考'!E:E,$B9)</f>
        <v>0</v>
      </c>
      <c r="O9" s="1">
        <f>COUNTIF('役職希望調査 ・備考'!F:F,$B9)</f>
        <v>0</v>
      </c>
      <c r="P9" s="1">
        <f>COUNTIF('役職希望調査 ・備考'!G:G,$B9)</f>
        <v>0</v>
      </c>
      <c r="Q9" s="1">
        <f>COUNTIF('役職希望調査 ・備考'!H:H,$B9)</f>
        <v>0</v>
      </c>
    </row>
    <row r="10" spans="1:17">
      <c r="A10" s="1" t="str">
        <f>D10&amp;COUNTIF($D$2:D10,D10)</f>
        <v>0</v>
      </c>
      <c r="B10" s="4"/>
      <c r="C10" s="4"/>
      <c r="D10" s="4"/>
      <c r="E10" s="4"/>
      <c r="F10" s="1" t="str">
        <f t="shared" si="0"/>
        <v/>
      </c>
      <c r="G10" s="1" t="str">
        <f t="shared" si="0"/>
        <v/>
      </c>
      <c r="H10" s="1" t="str">
        <f t="shared" si="0"/>
        <v/>
      </c>
      <c r="I10" s="1" t="str">
        <f t="shared" si="0"/>
        <v/>
      </c>
      <c r="J10" s="1" t="str">
        <f t="shared" si="0"/>
        <v/>
      </c>
      <c r="K10" s="1" t="str">
        <f t="shared" si="0"/>
        <v/>
      </c>
      <c r="M10" s="1">
        <f>COUNTIF('役職希望調査 ・備考'!D:D,$B10)</f>
        <v>0</v>
      </c>
      <c r="N10" s="1">
        <f>COUNTIF('役職希望調査 ・備考'!E:E,$B10)</f>
        <v>0</v>
      </c>
      <c r="O10" s="1">
        <f>COUNTIF('役職希望調査 ・備考'!F:F,$B10)</f>
        <v>0</v>
      </c>
      <c r="P10" s="1">
        <f>COUNTIF('役職希望調査 ・備考'!G:G,$B10)</f>
        <v>0</v>
      </c>
      <c r="Q10" s="1">
        <f>COUNTIF('役職希望調査 ・備考'!H:H,$B10)</f>
        <v>0</v>
      </c>
    </row>
    <row r="11" spans="1:17">
      <c r="A11" s="1" t="str">
        <f>D11&amp;COUNTIF($D$2:D11,D11)</f>
        <v>0</v>
      </c>
      <c r="B11" s="4"/>
      <c r="C11" s="4"/>
      <c r="D11" s="4"/>
      <c r="E11" s="4"/>
      <c r="F11" s="1" t="str">
        <f t="shared" si="0"/>
        <v/>
      </c>
      <c r="G11" s="1" t="str">
        <f t="shared" si="0"/>
        <v/>
      </c>
      <c r="H11" s="1" t="str">
        <f t="shared" si="0"/>
        <v/>
      </c>
      <c r="I11" s="1" t="str">
        <f t="shared" si="0"/>
        <v/>
      </c>
      <c r="J11" s="1" t="str">
        <f t="shared" si="0"/>
        <v/>
      </c>
      <c r="K11" s="1" t="str">
        <f t="shared" si="0"/>
        <v/>
      </c>
      <c r="M11" s="1">
        <f>COUNTIF('役職希望調査 ・備考'!D:D,$B11)</f>
        <v>0</v>
      </c>
      <c r="N11" s="1">
        <f>COUNTIF('役職希望調査 ・備考'!E:E,$B11)</f>
        <v>0</v>
      </c>
      <c r="O11" s="1">
        <f>COUNTIF('役職希望調査 ・備考'!F:F,$B11)</f>
        <v>0</v>
      </c>
      <c r="P11" s="1">
        <f>COUNTIF('役職希望調査 ・備考'!G:G,$B11)</f>
        <v>0</v>
      </c>
      <c r="Q11" s="1">
        <f>COUNTIF('役職希望調査 ・備考'!H:H,$B11)</f>
        <v>0</v>
      </c>
    </row>
    <row r="12" spans="1:17">
      <c r="A12" s="1" t="str">
        <f>D12&amp;COUNTIF($D$2:D12,D12)</f>
        <v>0</v>
      </c>
      <c r="B12" s="4"/>
      <c r="C12" s="4"/>
      <c r="D12" s="4"/>
      <c r="E12" s="4"/>
      <c r="F12" s="1" t="str">
        <f t="shared" ref="F12:K21" si="1">IFERROR(VLOOKUP(F$1&amp;ROW()-1,$A:$B,2,FALSE),"")</f>
        <v/>
      </c>
      <c r="G12" s="1" t="str">
        <f t="shared" si="1"/>
        <v/>
      </c>
      <c r="H12" s="1" t="str">
        <f t="shared" si="1"/>
        <v/>
      </c>
      <c r="I12" s="1" t="str">
        <f t="shared" si="1"/>
        <v/>
      </c>
      <c r="J12" s="1" t="str">
        <f t="shared" si="1"/>
        <v/>
      </c>
      <c r="K12" s="1" t="str">
        <f t="shared" si="1"/>
        <v/>
      </c>
      <c r="M12" s="1">
        <f>COUNTIF('役職希望調査 ・備考'!D:D,$B12)</f>
        <v>0</v>
      </c>
      <c r="N12" s="1">
        <f>COUNTIF('役職希望調査 ・備考'!E:E,$B12)</f>
        <v>0</v>
      </c>
      <c r="O12" s="1">
        <f>COUNTIF('役職希望調査 ・備考'!F:F,$B12)</f>
        <v>0</v>
      </c>
      <c r="P12" s="1">
        <f>COUNTIF('役職希望調査 ・備考'!G:G,$B12)</f>
        <v>0</v>
      </c>
      <c r="Q12" s="1">
        <f>COUNTIF('役職希望調査 ・備考'!H:H,$B12)</f>
        <v>0</v>
      </c>
    </row>
    <row r="13" spans="1:17">
      <c r="A13" s="1" t="str">
        <f>D13&amp;COUNTIF($D$2:D13,D13)</f>
        <v>0</v>
      </c>
      <c r="B13" s="4"/>
      <c r="C13" s="4"/>
      <c r="D13" s="4"/>
      <c r="E13" s="4"/>
      <c r="F13" s="1" t="str">
        <f t="shared" si="1"/>
        <v/>
      </c>
      <c r="G13" s="1" t="str">
        <f t="shared" si="1"/>
        <v/>
      </c>
      <c r="H13" s="1" t="str">
        <f t="shared" si="1"/>
        <v/>
      </c>
      <c r="I13" s="1" t="str">
        <f t="shared" si="1"/>
        <v/>
      </c>
      <c r="J13" s="1" t="str">
        <f t="shared" si="1"/>
        <v/>
      </c>
      <c r="K13" s="1" t="str">
        <f t="shared" si="1"/>
        <v/>
      </c>
      <c r="M13" s="1">
        <f>COUNTIF('役職希望調査 ・備考'!D:D,$B13)</f>
        <v>0</v>
      </c>
      <c r="N13" s="1">
        <f>COUNTIF('役職希望調査 ・備考'!E:E,$B13)</f>
        <v>0</v>
      </c>
      <c r="O13" s="1">
        <f>COUNTIF('役職希望調査 ・備考'!F:F,$B13)</f>
        <v>0</v>
      </c>
      <c r="P13" s="1">
        <f>COUNTIF('役職希望調査 ・備考'!G:G,$B13)</f>
        <v>0</v>
      </c>
      <c r="Q13" s="1">
        <f>COUNTIF('役職希望調査 ・備考'!H:H,$B13)</f>
        <v>0</v>
      </c>
    </row>
    <row r="14" spans="1:17">
      <c r="A14" s="1" t="str">
        <f>D14&amp;COUNTIF($D$2:D14,D14)</f>
        <v>0</v>
      </c>
      <c r="B14" s="4"/>
      <c r="C14" s="4"/>
      <c r="D14" s="4"/>
      <c r="E14" s="4"/>
      <c r="F14" s="1" t="str">
        <f t="shared" si="1"/>
        <v/>
      </c>
      <c r="G14" s="1" t="str">
        <f t="shared" si="1"/>
        <v/>
      </c>
      <c r="H14" s="1" t="str">
        <f t="shared" si="1"/>
        <v/>
      </c>
      <c r="I14" s="1" t="str">
        <f t="shared" si="1"/>
        <v/>
      </c>
      <c r="J14" s="1" t="str">
        <f t="shared" si="1"/>
        <v/>
      </c>
      <c r="K14" s="1" t="str">
        <f t="shared" si="1"/>
        <v/>
      </c>
      <c r="M14" s="1">
        <f>COUNTIF('役職希望調査 ・備考'!D:D,$B14)</f>
        <v>0</v>
      </c>
      <c r="N14" s="1">
        <f>COUNTIF('役職希望調査 ・備考'!E:E,$B14)</f>
        <v>0</v>
      </c>
      <c r="O14" s="1">
        <f>COUNTIF('役職希望調査 ・備考'!F:F,$B14)</f>
        <v>0</v>
      </c>
      <c r="P14" s="1">
        <f>COUNTIF('役職希望調査 ・備考'!G:G,$B14)</f>
        <v>0</v>
      </c>
      <c r="Q14" s="1">
        <f>COUNTIF('役職希望調査 ・備考'!H:H,$B14)</f>
        <v>0</v>
      </c>
    </row>
    <row r="15" spans="1:17">
      <c r="A15" s="1" t="str">
        <f>D15&amp;COUNTIF($D$2:D15,D15)</f>
        <v>0</v>
      </c>
      <c r="B15" s="4"/>
      <c r="C15" s="4"/>
      <c r="D15" s="4"/>
      <c r="E15" s="4"/>
      <c r="F15" s="1" t="str">
        <f t="shared" si="1"/>
        <v/>
      </c>
      <c r="G15" s="1" t="str">
        <f t="shared" si="1"/>
        <v/>
      </c>
      <c r="H15" s="1" t="str">
        <f t="shared" si="1"/>
        <v/>
      </c>
      <c r="I15" s="1" t="str">
        <f t="shared" si="1"/>
        <v/>
      </c>
      <c r="J15" s="1" t="str">
        <f t="shared" si="1"/>
        <v/>
      </c>
      <c r="K15" s="1" t="str">
        <f t="shared" si="1"/>
        <v/>
      </c>
      <c r="M15" s="1">
        <f>COUNTIF('役職希望調査 ・備考'!D:D,$B15)</f>
        <v>0</v>
      </c>
      <c r="N15" s="1">
        <f>COUNTIF('役職希望調査 ・備考'!E:E,$B15)</f>
        <v>0</v>
      </c>
      <c r="O15" s="1">
        <f>COUNTIF('役職希望調査 ・備考'!F:F,$B15)</f>
        <v>0</v>
      </c>
      <c r="P15" s="1">
        <f>COUNTIF('役職希望調査 ・備考'!G:G,$B15)</f>
        <v>0</v>
      </c>
      <c r="Q15" s="1">
        <f>COUNTIF('役職希望調査 ・備考'!H:H,$B15)</f>
        <v>0</v>
      </c>
    </row>
    <row r="16" spans="1:17">
      <c r="A16" s="1" t="str">
        <f>D16&amp;COUNTIF($D$2:D16,D16)</f>
        <v>0</v>
      </c>
      <c r="B16" s="4"/>
      <c r="C16" s="4"/>
      <c r="D16" s="4"/>
      <c r="E16" s="4"/>
      <c r="F16" s="1" t="str">
        <f t="shared" si="1"/>
        <v/>
      </c>
      <c r="G16" s="1" t="str">
        <f t="shared" si="1"/>
        <v/>
      </c>
      <c r="H16" s="1" t="str">
        <f t="shared" si="1"/>
        <v/>
      </c>
      <c r="I16" s="1" t="str">
        <f t="shared" si="1"/>
        <v/>
      </c>
      <c r="J16" s="1" t="str">
        <f t="shared" si="1"/>
        <v/>
      </c>
      <c r="K16" s="1" t="str">
        <f t="shared" si="1"/>
        <v/>
      </c>
      <c r="M16" s="1">
        <f>COUNTIF('役職希望調査 ・備考'!D:D,$B16)</f>
        <v>0</v>
      </c>
      <c r="N16" s="1">
        <f>COUNTIF('役職希望調査 ・備考'!E:E,$B16)</f>
        <v>0</v>
      </c>
      <c r="O16" s="1">
        <f>COUNTIF('役職希望調査 ・備考'!F:F,$B16)</f>
        <v>0</v>
      </c>
      <c r="P16" s="1">
        <f>COUNTIF('役職希望調査 ・備考'!G:G,$B16)</f>
        <v>0</v>
      </c>
      <c r="Q16" s="1">
        <f>COUNTIF('役職希望調査 ・備考'!H:H,$B16)</f>
        <v>0</v>
      </c>
    </row>
    <row r="17" spans="1:17">
      <c r="A17" s="1" t="str">
        <f>D17&amp;COUNTIF($D$2:D17,D17)</f>
        <v>0</v>
      </c>
      <c r="B17" s="4"/>
      <c r="C17" s="4"/>
      <c r="D17" s="4"/>
      <c r="E17" s="4"/>
      <c r="F17" s="1" t="str">
        <f t="shared" si="1"/>
        <v/>
      </c>
      <c r="G17" s="1" t="str">
        <f t="shared" si="1"/>
        <v/>
      </c>
      <c r="H17" s="1" t="str">
        <f t="shared" si="1"/>
        <v/>
      </c>
      <c r="I17" s="1" t="str">
        <f t="shared" si="1"/>
        <v/>
      </c>
      <c r="J17" s="1" t="str">
        <f t="shared" si="1"/>
        <v/>
      </c>
      <c r="K17" s="1" t="str">
        <f t="shared" si="1"/>
        <v/>
      </c>
      <c r="M17" s="1">
        <f>COUNTIF('役職希望調査 ・備考'!D:D,$B17)</f>
        <v>0</v>
      </c>
      <c r="N17" s="1">
        <f>COUNTIF('役職希望調査 ・備考'!E:E,$B17)</f>
        <v>0</v>
      </c>
      <c r="O17" s="1">
        <f>COUNTIF('役職希望調査 ・備考'!F:F,$B17)</f>
        <v>0</v>
      </c>
      <c r="P17" s="1">
        <f>COUNTIF('役職希望調査 ・備考'!G:G,$B17)</f>
        <v>0</v>
      </c>
      <c r="Q17" s="1">
        <f>COUNTIF('役職希望調査 ・備考'!H:H,$B17)</f>
        <v>0</v>
      </c>
    </row>
    <row r="18" spans="1:17">
      <c r="A18" s="1" t="str">
        <f>D18&amp;COUNTIF($D$2:D18,D18)</f>
        <v>0</v>
      </c>
      <c r="B18" s="4"/>
      <c r="C18" s="4"/>
      <c r="D18" s="4"/>
      <c r="E18" s="4"/>
      <c r="F18" s="1" t="str">
        <f t="shared" si="1"/>
        <v/>
      </c>
      <c r="G18" s="1" t="str">
        <f t="shared" si="1"/>
        <v/>
      </c>
      <c r="H18" s="1" t="str">
        <f t="shared" si="1"/>
        <v/>
      </c>
      <c r="I18" s="1" t="str">
        <f t="shared" si="1"/>
        <v/>
      </c>
      <c r="J18" s="1" t="str">
        <f t="shared" si="1"/>
        <v/>
      </c>
      <c r="K18" s="1" t="str">
        <f t="shared" si="1"/>
        <v/>
      </c>
      <c r="M18" s="1">
        <f>COUNTIF('役職希望調査 ・備考'!D:D,$B18)</f>
        <v>0</v>
      </c>
      <c r="N18" s="1">
        <f>COUNTIF('役職希望調査 ・備考'!E:E,$B18)</f>
        <v>0</v>
      </c>
      <c r="O18" s="1">
        <f>COUNTIF('役職希望調査 ・備考'!F:F,$B18)</f>
        <v>0</v>
      </c>
      <c r="P18" s="1">
        <f>COUNTIF('役職希望調査 ・備考'!G:G,$B18)</f>
        <v>0</v>
      </c>
      <c r="Q18" s="1">
        <f>COUNTIF('役職希望調査 ・備考'!H:H,$B18)</f>
        <v>0</v>
      </c>
    </row>
    <row r="19" spans="1:17">
      <c r="A19" s="1" t="str">
        <f>D19&amp;COUNTIF($D$2:D19,D19)</f>
        <v>0</v>
      </c>
      <c r="B19" s="4"/>
      <c r="C19" s="4"/>
      <c r="D19" s="4"/>
      <c r="E19" s="4"/>
      <c r="F19" s="1" t="str">
        <f t="shared" si="1"/>
        <v/>
      </c>
      <c r="G19" s="1" t="str">
        <f t="shared" si="1"/>
        <v/>
      </c>
      <c r="H19" s="1" t="str">
        <f t="shared" si="1"/>
        <v/>
      </c>
      <c r="I19" s="1" t="str">
        <f t="shared" si="1"/>
        <v/>
      </c>
      <c r="J19" s="1" t="str">
        <f t="shared" si="1"/>
        <v/>
      </c>
      <c r="K19" s="1" t="str">
        <f t="shared" si="1"/>
        <v/>
      </c>
      <c r="M19" s="1">
        <f>COUNTIF('役職希望調査 ・備考'!D:D,$B19)</f>
        <v>0</v>
      </c>
      <c r="N19" s="1">
        <f>COUNTIF('役職希望調査 ・備考'!E:E,$B19)</f>
        <v>0</v>
      </c>
      <c r="O19" s="1">
        <f>COUNTIF('役職希望調査 ・備考'!F:F,$B19)</f>
        <v>0</v>
      </c>
      <c r="P19" s="1">
        <f>COUNTIF('役職希望調査 ・備考'!G:G,$B19)</f>
        <v>0</v>
      </c>
      <c r="Q19" s="1">
        <f>COUNTIF('役職希望調査 ・備考'!H:H,$B19)</f>
        <v>0</v>
      </c>
    </row>
    <row r="20" spans="1:17">
      <c r="A20" s="1" t="str">
        <f>D20&amp;COUNTIF($D$2:D20,D20)</f>
        <v>0</v>
      </c>
      <c r="B20" s="4"/>
      <c r="C20" s="4"/>
      <c r="D20" s="4"/>
      <c r="E20" s="4"/>
      <c r="F20" s="1" t="str">
        <f t="shared" si="1"/>
        <v/>
      </c>
      <c r="G20" s="1" t="str">
        <f t="shared" si="1"/>
        <v/>
      </c>
      <c r="H20" s="1" t="str">
        <f t="shared" si="1"/>
        <v/>
      </c>
      <c r="I20" s="1" t="str">
        <f t="shared" si="1"/>
        <v/>
      </c>
      <c r="J20" s="1" t="str">
        <f t="shared" si="1"/>
        <v/>
      </c>
      <c r="K20" s="1" t="str">
        <f t="shared" si="1"/>
        <v/>
      </c>
      <c r="M20" s="1">
        <f>COUNTIF('役職希望調査 ・備考'!D:D,$B20)</f>
        <v>0</v>
      </c>
      <c r="N20" s="1">
        <f>COUNTIF('役職希望調査 ・備考'!E:E,$B20)</f>
        <v>0</v>
      </c>
      <c r="O20" s="1">
        <f>COUNTIF('役職希望調査 ・備考'!F:F,$B20)</f>
        <v>0</v>
      </c>
      <c r="P20" s="1">
        <f>COUNTIF('役職希望調査 ・備考'!G:G,$B20)</f>
        <v>0</v>
      </c>
      <c r="Q20" s="1">
        <f>COUNTIF('役職希望調査 ・備考'!H:H,$B20)</f>
        <v>0</v>
      </c>
    </row>
    <row r="21" spans="1:17">
      <c r="A21" s="1" t="str">
        <f>D21&amp;COUNTIF($D$2:D21,D21)</f>
        <v>0</v>
      </c>
      <c r="B21" s="4"/>
      <c r="C21" s="4"/>
      <c r="D21" s="4"/>
      <c r="E21" s="4"/>
      <c r="F21" s="1" t="str">
        <f t="shared" si="1"/>
        <v/>
      </c>
      <c r="G21" s="1" t="str">
        <f t="shared" si="1"/>
        <v/>
      </c>
      <c r="H21" s="1" t="str">
        <f t="shared" si="1"/>
        <v/>
      </c>
      <c r="I21" s="1" t="str">
        <f t="shared" si="1"/>
        <v/>
      </c>
      <c r="J21" s="1" t="str">
        <f t="shared" si="1"/>
        <v/>
      </c>
      <c r="K21" s="1" t="str">
        <f t="shared" si="1"/>
        <v/>
      </c>
      <c r="M21" s="1">
        <f>COUNTIF('役職希望調査 ・備考'!D:D,$B21)</f>
        <v>0</v>
      </c>
      <c r="N21" s="1">
        <f>COUNTIF('役職希望調査 ・備考'!E:E,$B21)</f>
        <v>0</v>
      </c>
      <c r="O21" s="1">
        <f>COUNTIF('役職希望調査 ・備考'!F:F,$B21)</f>
        <v>0</v>
      </c>
      <c r="P21" s="1">
        <f>COUNTIF('役職希望調査 ・備考'!G:G,$B21)</f>
        <v>0</v>
      </c>
      <c r="Q21" s="1">
        <f>COUNTIF('役職希望調査 ・備考'!H:H,$B21)</f>
        <v>0</v>
      </c>
    </row>
    <row r="22" spans="1:17">
      <c r="A22" s="1" t="str">
        <f>D22&amp;COUNTIF($D$2:D22,D22)</f>
        <v>0</v>
      </c>
      <c r="B22" s="4"/>
      <c r="C22" s="4"/>
      <c r="D22" s="4"/>
      <c r="E22" s="4"/>
      <c r="F22" s="1" t="str">
        <f t="shared" ref="F22:K31" si="2">IFERROR(VLOOKUP(F$1&amp;ROW()-1,$A:$B,2,FALSE),"")</f>
        <v/>
      </c>
      <c r="G22" s="1" t="str">
        <f t="shared" si="2"/>
        <v/>
      </c>
      <c r="H22" s="1" t="str">
        <f t="shared" si="2"/>
        <v/>
      </c>
      <c r="I22" s="1" t="str">
        <f t="shared" si="2"/>
        <v/>
      </c>
      <c r="J22" s="1" t="str">
        <f t="shared" si="2"/>
        <v/>
      </c>
      <c r="K22" s="1" t="str">
        <f t="shared" si="2"/>
        <v/>
      </c>
      <c r="M22" s="1">
        <f>COUNTIF('役職希望調査 ・備考'!D:D,$B22)</f>
        <v>0</v>
      </c>
      <c r="N22" s="1">
        <f>COUNTIF('役職希望調査 ・備考'!E:E,$B22)</f>
        <v>0</v>
      </c>
      <c r="O22" s="1">
        <f>COUNTIF('役職希望調査 ・備考'!F:F,$B22)</f>
        <v>0</v>
      </c>
      <c r="P22" s="1">
        <f>COUNTIF('役職希望調査 ・備考'!G:G,$B22)</f>
        <v>0</v>
      </c>
      <c r="Q22" s="1">
        <f>COUNTIF('役職希望調査 ・備考'!H:H,$B22)</f>
        <v>0</v>
      </c>
    </row>
    <row r="23" spans="1:17">
      <c r="A23" s="1" t="str">
        <f>D23&amp;COUNTIF($D$2:D23,D23)</f>
        <v>0</v>
      </c>
      <c r="B23" s="4"/>
      <c r="C23" s="4"/>
      <c r="D23" s="4"/>
      <c r="E23" s="4"/>
      <c r="F23" s="1" t="str">
        <f t="shared" si="2"/>
        <v/>
      </c>
      <c r="G23" s="1" t="str">
        <f t="shared" si="2"/>
        <v/>
      </c>
      <c r="H23" s="1" t="str">
        <f t="shared" si="2"/>
        <v/>
      </c>
      <c r="I23" s="1" t="str">
        <f t="shared" si="2"/>
        <v/>
      </c>
      <c r="J23" s="1" t="str">
        <f t="shared" si="2"/>
        <v/>
      </c>
      <c r="K23" s="1" t="str">
        <f t="shared" si="2"/>
        <v/>
      </c>
      <c r="M23" s="1">
        <f>COUNTIF('役職希望調査 ・備考'!D:D,$B23)</f>
        <v>0</v>
      </c>
      <c r="N23" s="1">
        <f>COUNTIF('役職希望調査 ・備考'!E:E,$B23)</f>
        <v>0</v>
      </c>
      <c r="O23" s="1">
        <f>COUNTIF('役職希望調査 ・備考'!F:F,$B23)</f>
        <v>0</v>
      </c>
      <c r="P23" s="1">
        <f>COUNTIF('役職希望調査 ・備考'!G:G,$B23)</f>
        <v>0</v>
      </c>
      <c r="Q23" s="1">
        <f>COUNTIF('役職希望調査 ・備考'!H:H,$B23)</f>
        <v>0</v>
      </c>
    </row>
    <row r="24" spans="1:17">
      <c r="A24" s="1" t="str">
        <f>D24&amp;COUNTIF($D$2:D24,D24)</f>
        <v>0</v>
      </c>
      <c r="B24" s="4"/>
      <c r="C24" s="4"/>
      <c r="D24" s="4"/>
      <c r="E24" s="4"/>
      <c r="F24" s="1" t="str">
        <f t="shared" si="2"/>
        <v/>
      </c>
      <c r="G24" s="1" t="str">
        <f t="shared" si="2"/>
        <v/>
      </c>
      <c r="H24" s="1" t="str">
        <f t="shared" si="2"/>
        <v/>
      </c>
      <c r="I24" s="1" t="str">
        <f t="shared" si="2"/>
        <v/>
      </c>
      <c r="J24" s="1" t="str">
        <f t="shared" si="2"/>
        <v/>
      </c>
      <c r="K24" s="1" t="str">
        <f t="shared" si="2"/>
        <v/>
      </c>
      <c r="M24" s="1">
        <f>COUNTIF('役職希望調査 ・備考'!D:D,$B24)</f>
        <v>0</v>
      </c>
      <c r="N24" s="1">
        <f>COUNTIF('役職希望調査 ・備考'!E:E,$B24)</f>
        <v>0</v>
      </c>
      <c r="O24" s="1">
        <f>COUNTIF('役職希望調査 ・備考'!F:F,$B24)</f>
        <v>0</v>
      </c>
      <c r="P24" s="1">
        <f>COUNTIF('役職希望調査 ・備考'!G:G,$B24)</f>
        <v>0</v>
      </c>
      <c r="Q24" s="1">
        <f>COUNTIF('役職希望調査 ・備考'!H:H,$B24)</f>
        <v>0</v>
      </c>
    </row>
    <row r="25" spans="1:17">
      <c r="A25" s="1" t="str">
        <f>D25&amp;COUNTIF($D$2:D25,D25)</f>
        <v>0</v>
      </c>
      <c r="B25" s="4"/>
      <c r="C25" s="4"/>
      <c r="D25" s="4"/>
      <c r="E25" s="4"/>
      <c r="F25" s="1" t="str">
        <f t="shared" si="2"/>
        <v/>
      </c>
      <c r="G25" s="1" t="str">
        <f t="shared" si="2"/>
        <v/>
      </c>
      <c r="H25" s="1" t="str">
        <f t="shared" si="2"/>
        <v/>
      </c>
      <c r="I25" s="1" t="str">
        <f t="shared" si="2"/>
        <v/>
      </c>
      <c r="J25" s="1" t="str">
        <f t="shared" si="2"/>
        <v/>
      </c>
      <c r="K25" s="1" t="str">
        <f t="shared" si="2"/>
        <v/>
      </c>
      <c r="M25" s="1">
        <f>COUNTIF('役職希望調査 ・備考'!D:D,$B25)</f>
        <v>0</v>
      </c>
      <c r="N25" s="1">
        <f>COUNTIF('役職希望調査 ・備考'!E:E,$B25)</f>
        <v>0</v>
      </c>
      <c r="O25" s="1">
        <f>COUNTIF('役職希望調査 ・備考'!F:F,$B25)</f>
        <v>0</v>
      </c>
      <c r="P25" s="1">
        <f>COUNTIF('役職希望調査 ・備考'!G:G,$B25)</f>
        <v>0</v>
      </c>
      <c r="Q25" s="1">
        <f>COUNTIF('役職希望調査 ・備考'!H:H,$B25)</f>
        <v>0</v>
      </c>
    </row>
    <row r="26" spans="1:17">
      <c r="A26" s="1" t="str">
        <f>D26&amp;COUNTIF($D$2:D26,D26)</f>
        <v>0</v>
      </c>
      <c r="B26" s="4"/>
      <c r="C26" s="4"/>
      <c r="D26" s="4"/>
      <c r="E26" s="4"/>
      <c r="F26" s="1" t="str">
        <f t="shared" si="2"/>
        <v/>
      </c>
      <c r="G26" s="1" t="str">
        <f t="shared" si="2"/>
        <v/>
      </c>
      <c r="H26" s="1" t="str">
        <f t="shared" si="2"/>
        <v/>
      </c>
      <c r="I26" s="1" t="str">
        <f t="shared" si="2"/>
        <v/>
      </c>
      <c r="J26" s="1" t="str">
        <f t="shared" si="2"/>
        <v/>
      </c>
      <c r="K26" s="1" t="str">
        <f t="shared" si="2"/>
        <v/>
      </c>
      <c r="M26" s="1">
        <f>COUNTIF('役職希望調査 ・備考'!D:D,$B26)</f>
        <v>0</v>
      </c>
      <c r="N26" s="1">
        <f>COUNTIF('役職希望調査 ・備考'!E:E,$B26)</f>
        <v>0</v>
      </c>
      <c r="O26" s="1">
        <f>COUNTIF('役職希望調査 ・備考'!F:F,$B26)</f>
        <v>0</v>
      </c>
      <c r="P26" s="1">
        <f>COUNTIF('役職希望調査 ・備考'!G:G,$B26)</f>
        <v>0</v>
      </c>
      <c r="Q26" s="1">
        <f>COUNTIF('役職希望調査 ・備考'!H:H,$B26)</f>
        <v>0</v>
      </c>
    </row>
    <row r="27" spans="1:17">
      <c r="A27" s="1" t="str">
        <f>D27&amp;COUNTIF($D$2:D27,D27)</f>
        <v>0</v>
      </c>
      <c r="B27" s="4"/>
      <c r="C27" s="4"/>
      <c r="D27" s="4"/>
      <c r="E27" s="4"/>
      <c r="F27" s="1" t="str">
        <f t="shared" si="2"/>
        <v/>
      </c>
      <c r="G27" s="1" t="str">
        <f t="shared" si="2"/>
        <v/>
      </c>
      <c r="H27" s="1" t="str">
        <f t="shared" si="2"/>
        <v/>
      </c>
      <c r="I27" s="1" t="str">
        <f t="shared" si="2"/>
        <v/>
      </c>
      <c r="J27" s="1" t="str">
        <f t="shared" si="2"/>
        <v/>
      </c>
      <c r="K27" s="1" t="str">
        <f t="shared" si="2"/>
        <v/>
      </c>
      <c r="M27" s="1">
        <f>COUNTIF('役職希望調査 ・備考'!D:D,$B27)</f>
        <v>0</v>
      </c>
      <c r="N27" s="1">
        <f>COUNTIF('役職希望調査 ・備考'!E:E,$B27)</f>
        <v>0</v>
      </c>
      <c r="O27" s="1">
        <f>COUNTIF('役職希望調査 ・備考'!F:F,$B27)</f>
        <v>0</v>
      </c>
      <c r="P27" s="1">
        <f>COUNTIF('役職希望調査 ・備考'!G:G,$B27)</f>
        <v>0</v>
      </c>
      <c r="Q27" s="1">
        <f>COUNTIF('役職希望調査 ・備考'!H:H,$B27)</f>
        <v>0</v>
      </c>
    </row>
    <row r="28" spans="1:17">
      <c r="A28" s="1" t="str">
        <f>D28&amp;COUNTIF($D$2:D28,D28)</f>
        <v>0</v>
      </c>
      <c r="B28" s="4"/>
      <c r="C28" s="4"/>
      <c r="D28" s="4"/>
      <c r="E28" s="4"/>
      <c r="F28" s="1" t="str">
        <f t="shared" si="2"/>
        <v/>
      </c>
      <c r="G28" s="1" t="str">
        <f t="shared" si="2"/>
        <v/>
      </c>
      <c r="H28" s="1" t="str">
        <f t="shared" si="2"/>
        <v/>
      </c>
      <c r="I28" s="1" t="str">
        <f t="shared" si="2"/>
        <v/>
      </c>
      <c r="J28" s="1" t="str">
        <f t="shared" si="2"/>
        <v/>
      </c>
      <c r="K28" s="1" t="str">
        <f t="shared" si="2"/>
        <v/>
      </c>
      <c r="M28" s="1">
        <f>COUNTIF('役職希望調査 ・備考'!D:D,$B28)</f>
        <v>0</v>
      </c>
      <c r="N28" s="1">
        <f>COUNTIF('役職希望調査 ・備考'!E:E,$B28)</f>
        <v>0</v>
      </c>
      <c r="O28" s="1">
        <f>COUNTIF('役職希望調査 ・備考'!F:F,$B28)</f>
        <v>0</v>
      </c>
      <c r="P28" s="1">
        <f>COUNTIF('役職希望調査 ・備考'!G:G,$B28)</f>
        <v>0</v>
      </c>
      <c r="Q28" s="1">
        <f>COUNTIF('役職希望調査 ・備考'!H:H,$B28)</f>
        <v>0</v>
      </c>
    </row>
    <row r="29" spans="1:17">
      <c r="A29" s="1" t="str">
        <f>D29&amp;COUNTIF($D$2:D29,D29)</f>
        <v>0</v>
      </c>
      <c r="B29" s="4"/>
      <c r="C29" s="4"/>
      <c r="D29" s="4"/>
      <c r="E29" s="4"/>
      <c r="F29" s="1" t="str">
        <f t="shared" si="2"/>
        <v/>
      </c>
      <c r="G29" s="1" t="str">
        <f t="shared" si="2"/>
        <v/>
      </c>
      <c r="H29" s="1" t="str">
        <f t="shared" si="2"/>
        <v/>
      </c>
      <c r="I29" s="1" t="str">
        <f t="shared" si="2"/>
        <v/>
      </c>
      <c r="J29" s="1" t="str">
        <f t="shared" si="2"/>
        <v/>
      </c>
      <c r="K29" s="1" t="str">
        <f t="shared" si="2"/>
        <v/>
      </c>
      <c r="M29" s="1">
        <f>COUNTIF('役職希望調査 ・備考'!D:D,$B29)</f>
        <v>0</v>
      </c>
      <c r="N29" s="1">
        <f>COUNTIF('役職希望調査 ・備考'!E:E,$B29)</f>
        <v>0</v>
      </c>
      <c r="O29" s="1">
        <f>COUNTIF('役職希望調査 ・備考'!F:F,$B29)</f>
        <v>0</v>
      </c>
      <c r="P29" s="1">
        <f>COUNTIF('役職希望調査 ・備考'!G:G,$B29)</f>
        <v>0</v>
      </c>
      <c r="Q29" s="1">
        <f>COUNTIF('役職希望調査 ・備考'!H:H,$B29)</f>
        <v>0</v>
      </c>
    </row>
    <row r="30" spans="1:17">
      <c r="A30" s="1" t="str">
        <f>D30&amp;COUNTIF($D$2:D30,D30)</f>
        <v>0</v>
      </c>
      <c r="B30" s="4"/>
      <c r="C30" s="4"/>
      <c r="D30" s="4"/>
      <c r="E30" s="4"/>
      <c r="F30" s="1" t="str">
        <f t="shared" si="2"/>
        <v/>
      </c>
      <c r="G30" s="1" t="str">
        <f t="shared" si="2"/>
        <v/>
      </c>
      <c r="H30" s="1" t="str">
        <f t="shared" si="2"/>
        <v/>
      </c>
      <c r="I30" s="1" t="str">
        <f t="shared" si="2"/>
        <v/>
      </c>
      <c r="J30" s="1" t="str">
        <f t="shared" si="2"/>
        <v/>
      </c>
      <c r="K30" s="1" t="str">
        <f t="shared" si="2"/>
        <v/>
      </c>
      <c r="M30" s="1">
        <f>COUNTIF('役職希望調査 ・備考'!D:D,$B30)</f>
        <v>0</v>
      </c>
      <c r="N30" s="1">
        <f>COUNTIF('役職希望調査 ・備考'!E:E,$B30)</f>
        <v>0</v>
      </c>
      <c r="O30" s="1">
        <f>COUNTIF('役職希望調査 ・備考'!F:F,$B30)</f>
        <v>0</v>
      </c>
      <c r="P30" s="1">
        <f>COUNTIF('役職希望調査 ・備考'!G:G,$B30)</f>
        <v>0</v>
      </c>
      <c r="Q30" s="1">
        <f>COUNTIF('役職希望調査 ・備考'!H:H,$B30)</f>
        <v>0</v>
      </c>
    </row>
    <row r="31" spans="1:17">
      <c r="A31" s="1" t="str">
        <f>D31&amp;COUNTIF($D$2:D31,D31)</f>
        <v>0</v>
      </c>
      <c r="B31" s="4"/>
      <c r="C31" s="4"/>
      <c r="D31" s="4"/>
      <c r="E31" s="4"/>
      <c r="F31" s="1" t="str">
        <f t="shared" si="2"/>
        <v/>
      </c>
      <c r="G31" s="1" t="str">
        <f t="shared" si="2"/>
        <v/>
      </c>
      <c r="H31" s="1" t="str">
        <f t="shared" si="2"/>
        <v/>
      </c>
      <c r="I31" s="1" t="str">
        <f t="shared" si="2"/>
        <v/>
      </c>
      <c r="J31" s="1" t="str">
        <f t="shared" si="2"/>
        <v/>
      </c>
      <c r="K31" s="1" t="str">
        <f t="shared" si="2"/>
        <v/>
      </c>
      <c r="M31" s="1">
        <f>COUNTIF('役職希望調査 ・備考'!D:D,$B31)</f>
        <v>0</v>
      </c>
      <c r="N31" s="1">
        <f>COUNTIF('役職希望調査 ・備考'!E:E,$B31)</f>
        <v>0</v>
      </c>
      <c r="O31" s="1">
        <f>COUNTIF('役職希望調査 ・備考'!F:F,$B31)</f>
        <v>0</v>
      </c>
      <c r="P31" s="1">
        <f>COUNTIF('役職希望調査 ・備考'!G:G,$B31)</f>
        <v>0</v>
      </c>
      <c r="Q31" s="1">
        <f>COUNTIF('役職希望調査 ・備考'!H:H,$B31)</f>
        <v>0</v>
      </c>
    </row>
  </sheetData>
  <sheetProtection sheet="1" objects="1" scenarios="1" selectLockedCells="1"/>
  <phoneticPr fontId="1"/>
  <conditionalFormatting sqref="B1:L1048576">
    <cfRule type="expression" dxfId="73" priority="64">
      <formula>COUNTIF($K:$K,$B1)=1</formula>
    </cfRule>
    <cfRule type="expression" dxfId="72" priority="65">
      <formula>COUNTIF($J:$J,$B1)=1</formula>
    </cfRule>
    <cfRule type="expression" dxfId="71" priority="66">
      <formula>COUNTIF($I:$I,$B1)=1</formula>
    </cfRule>
    <cfRule type="expression" dxfId="70" priority="68">
      <formula>COUNTIF($H:$H,$B1)=1</formula>
    </cfRule>
    <cfRule type="expression" dxfId="69" priority="69">
      <formula>COUNTIF($G:$G,$B1)=1</formula>
    </cfRule>
    <cfRule type="expression" dxfId="68" priority="70">
      <formula>COUNTIF($F:$F,$B1)=1</formula>
    </cfRule>
  </conditionalFormatting>
  <dataValidations count="2">
    <dataValidation type="list" errorStyle="warning" allowBlank="1" showInputMessage="1" showErrorMessage="1" errorTitle="無効な色" error="リストにない色を指定すると白として扱われます。" sqref="D1:D1048576" xr:uid="{6B64E666-5143-0142-8649-55A14451218D}">
      <formula1>"赤,オレンジ,黄色,緑,青,紫,白"</formula1>
    </dataValidation>
    <dataValidation type="custom" allowBlank="1" showInputMessage="1" showErrorMessage="1" errorTitle="重複した記号" error="同じ記号は一回までしか使えません。" sqref="B1:C1048576" xr:uid="{3EBB6F62-4BF9-1E4A-9B1B-7D4C8BA2A6ED}">
      <formula1>COUNTIF(B:B,B1)&lt;2</formula1>
    </dataValidation>
  </dataValidation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8FC7-F715-9E49-8F81-1359365E3327}">
  <sheetPr codeName="TimeQuestion"/>
  <dimension ref="A1:BB11"/>
  <sheetViews>
    <sheetView workbookViewId="0">
      <selection activeCell="A11" sqref="A11"/>
    </sheetView>
  </sheetViews>
  <sheetFormatPr baseColWidth="10" defaultRowHeight="20"/>
  <cols>
    <col min="1" max="1" width="4.42578125" style="4" bestFit="1" customWidth="1"/>
    <col min="2" max="2" width="5.140625" style="4" bestFit="1" customWidth="1"/>
    <col min="3" max="3" width="15.7109375" style="4" bestFit="1" customWidth="1"/>
    <col min="4" max="4" width="6.85546875" style="4" bestFit="1" customWidth="1"/>
    <col min="5" max="54" width="6.140625" style="4" customWidth="1"/>
    <col min="55" max="16384" width="10.7109375" style="1"/>
  </cols>
  <sheetData>
    <row r="1" spans="1:54" s="5" customFormat="1">
      <c r="A1" s="5" t="s">
        <v>3</v>
      </c>
      <c r="B1" s="5" t="s">
        <v>16</v>
      </c>
      <c r="C1" s="5" t="s">
        <v>2</v>
      </c>
      <c r="D1" s="5" t="s">
        <v>52</v>
      </c>
      <c r="E1" s="5" t="str">
        <f>IFERROR(VLOOKUP(COLUMN()-4,時間帯一覧!$A:$B,2,FALSE),"")&amp;""</f>
        <v>10:00</v>
      </c>
      <c r="F1" s="5" t="str">
        <f>IFERROR(VLOOKUP(COLUMN()-4,時間帯一覧!$A:$B,2,FALSE),"")&amp;""</f>
        <v>10:30</v>
      </c>
      <c r="G1" s="5" t="str">
        <f>IFERROR(VLOOKUP(COLUMN()-4,時間帯一覧!$A:$B,2,FALSE),"")&amp;""</f>
        <v>11:00</v>
      </c>
      <c r="H1" s="5" t="str">
        <f>IFERROR(VLOOKUP(COLUMN()-4,時間帯一覧!$A:$B,2,FALSE),"")&amp;""</f>
        <v>11:30</v>
      </c>
      <c r="I1" s="5" t="str">
        <f>IFERROR(VLOOKUP(COLUMN()-4,時間帯一覧!$A:$B,2,FALSE),"")&amp;""</f>
        <v>12:00</v>
      </c>
      <c r="J1" s="5" t="str">
        <f>IFERROR(VLOOKUP(COLUMN()-4,時間帯一覧!$A:$B,2,FALSE),"")&amp;""</f>
        <v>12:30</v>
      </c>
      <c r="K1" s="5" t="str">
        <f>IFERROR(VLOOKUP(COLUMN()-4,時間帯一覧!$A:$B,2,FALSE),"")&amp;""</f>
        <v>13:00</v>
      </c>
      <c r="L1" s="5" t="str">
        <f>IFERROR(VLOOKUP(COLUMN()-4,時間帯一覧!$A:$B,2,FALSE),"")&amp;""</f>
        <v>13:30</v>
      </c>
      <c r="M1" s="5" t="str">
        <f>IFERROR(VLOOKUP(COLUMN()-4,時間帯一覧!$A:$B,2,FALSE),"")&amp;""</f>
        <v>14:00</v>
      </c>
      <c r="N1" s="5" t="str">
        <f>IFERROR(VLOOKUP(COLUMN()-4,時間帯一覧!$A:$B,2,FALSE),"")&amp;""</f>
        <v/>
      </c>
      <c r="O1" s="5" t="str">
        <f>IFERROR(VLOOKUP(COLUMN()-4,時間帯一覧!$A:$B,2,FALSE),"")&amp;""</f>
        <v/>
      </c>
      <c r="P1" s="5" t="str">
        <f>IFERROR(VLOOKUP(COLUMN()-4,時間帯一覧!$A:$B,2,FALSE),"")&amp;""</f>
        <v/>
      </c>
      <c r="Q1" s="5" t="str">
        <f>IFERROR(VLOOKUP(COLUMN()-4,時間帯一覧!$A:$B,2,FALSE),"")&amp;""</f>
        <v/>
      </c>
      <c r="R1" s="5" t="str">
        <f>IFERROR(VLOOKUP(COLUMN()-4,時間帯一覧!$A:$B,2,FALSE),"")&amp;""</f>
        <v/>
      </c>
      <c r="S1" s="5" t="str">
        <f>IFERROR(VLOOKUP(COLUMN()-4,時間帯一覧!$A:$B,2,FALSE),"")&amp;""</f>
        <v/>
      </c>
      <c r="T1" s="5" t="str">
        <f>IFERROR(VLOOKUP(COLUMN()-4,時間帯一覧!$A:$B,2,FALSE),"")&amp;""</f>
        <v/>
      </c>
      <c r="U1" s="5" t="str">
        <f>IFERROR(VLOOKUP(COLUMN()-4,時間帯一覧!$A:$B,2,FALSE),"")&amp;""</f>
        <v/>
      </c>
      <c r="V1" s="5" t="str">
        <f>IFERROR(VLOOKUP(COLUMN()-4,時間帯一覧!$A:$B,2,FALSE),"")&amp;""</f>
        <v/>
      </c>
      <c r="W1" s="5" t="str">
        <f>IFERROR(VLOOKUP(COLUMN()-4,時間帯一覧!$A:$B,2,FALSE),"")&amp;""</f>
        <v/>
      </c>
      <c r="X1" s="5" t="str">
        <f>IFERROR(VLOOKUP(COLUMN()-4,時間帯一覧!$A:$B,2,FALSE),"")&amp;""</f>
        <v/>
      </c>
      <c r="Y1" s="5" t="str">
        <f>IFERROR(VLOOKUP(COLUMN()-4,時間帯一覧!$A:$B,2,FALSE),"")&amp;""</f>
        <v/>
      </c>
      <c r="Z1" s="5" t="str">
        <f>IFERROR(VLOOKUP(COLUMN()-4,時間帯一覧!$A:$B,2,FALSE),"")&amp;""</f>
        <v/>
      </c>
      <c r="AA1" s="5" t="str">
        <f>IFERROR(VLOOKUP(COLUMN()-4,時間帯一覧!$A:$B,2,FALSE),"")&amp;""</f>
        <v/>
      </c>
      <c r="AB1" s="5" t="str">
        <f>IFERROR(VLOOKUP(COLUMN()-4,時間帯一覧!$A:$B,2,FALSE),"")&amp;""</f>
        <v/>
      </c>
      <c r="AC1" s="5" t="str">
        <f>IFERROR(VLOOKUP(COLUMN()-4,時間帯一覧!$A:$B,2,FALSE),"")&amp;""</f>
        <v/>
      </c>
      <c r="AD1" s="5" t="str">
        <f>IFERROR(VLOOKUP(COLUMN()-4,時間帯一覧!$A:$B,2,FALSE),"")&amp;""</f>
        <v/>
      </c>
      <c r="AE1" s="5" t="str">
        <f>IFERROR(VLOOKUP(COLUMN()-4,時間帯一覧!$A:$B,2,FALSE),"")&amp;""</f>
        <v/>
      </c>
      <c r="AF1" s="5" t="str">
        <f>IFERROR(VLOOKUP(COLUMN()-4,時間帯一覧!$A:$B,2,FALSE),"")&amp;""</f>
        <v/>
      </c>
      <c r="AG1" s="5" t="str">
        <f>IFERROR(VLOOKUP(COLUMN()-4,時間帯一覧!$A:$B,2,FALSE),"")&amp;""</f>
        <v/>
      </c>
      <c r="AH1" s="5" t="str">
        <f>IFERROR(VLOOKUP(COLUMN()-4,時間帯一覧!$A:$B,2,FALSE),"")&amp;""</f>
        <v/>
      </c>
      <c r="AI1" s="5" t="str">
        <f>IFERROR(VLOOKUP(COLUMN()-4,時間帯一覧!$A:$B,2,FALSE),"")&amp;""</f>
        <v/>
      </c>
      <c r="AJ1" s="5" t="str">
        <f>IFERROR(VLOOKUP(COLUMN()-4,時間帯一覧!$A:$B,2,FALSE),"")&amp;""</f>
        <v/>
      </c>
      <c r="AK1" s="5" t="str">
        <f>IFERROR(VLOOKUP(COLUMN()-4,時間帯一覧!$A:$B,2,FALSE),"")&amp;""</f>
        <v/>
      </c>
      <c r="AL1" s="5" t="str">
        <f>IFERROR(VLOOKUP(COLUMN()-4,時間帯一覧!$A:$B,2,FALSE),"")&amp;""</f>
        <v/>
      </c>
      <c r="AM1" s="5" t="str">
        <f>IFERROR(VLOOKUP(COLUMN()-4,時間帯一覧!$A:$B,2,FALSE),"")&amp;""</f>
        <v/>
      </c>
      <c r="AN1" s="5" t="str">
        <f>IFERROR(VLOOKUP(COLUMN()-4,時間帯一覧!$A:$B,2,FALSE),"")&amp;""</f>
        <v/>
      </c>
      <c r="AO1" s="5" t="str">
        <f>IFERROR(VLOOKUP(COLUMN()-4,時間帯一覧!$A:$B,2,FALSE),"")&amp;""</f>
        <v/>
      </c>
      <c r="AP1" s="5" t="str">
        <f>IFERROR(VLOOKUP(COLUMN()-4,時間帯一覧!$A:$B,2,FALSE),"")&amp;""</f>
        <v/>
      </c>
      <c r="AQ1" s="5" t="str">
        <f>IFERROR(VLOOKUP(COLUMN()-4,時間帯一覧!$A:$B,2,FALSE),"")&amp;""</f>
        <v/>
      </c>
      <c r="AR1" s="5" t="str">
        <f>IFERROR(VLOOKUP(COLUMN()-4,時間帯一覧!$A:$B,2,FALSE),"")&amp;""</f>
        <v/>
      </c>
      <c r="AS1" s="5" t="str">
        <f>IFERROR(VLOOKUP(COLUMN()-4,時間帯一覧!$A:$B,2,FALSE),"")&amp;""</f>
        <v/>
      </c>
      <c r="AT1" s="5" t="str">
        <f>IFERROR(VLOOKUP(COLUMN()-4,時間帯一覧!$A:$B,2,FALSE),"")&amp;""</f>
        <v/>
      </c>
      <c r="AU1" s="5" t="str">
        <f>IFERROR(VLOOKUP(COLUMN()-4,時間帯一覧!$A:$B,2,FALSE),"")&amp;""</f>
        <v/>
      </c>
      <c r="AV1" s="5" t="str">
        <f>IFERROR(VLOOKUP(COLUMN()-4,時間帯一覧!$A:$B,2,FALSE),"")&amp;""</f>
        <v/>
      </c>
      <c r="AW1" s="5" t="str">
        <f>IFERROR(VLOOKUP(COLUMN()-4,時間帯一覧!$A:$B,2,FALSE),"")&amp;""</f>
        <v/>
      </c>
      <c r="AX1" s="5" t="str">
        <f>IFERROR(VLOOKUP(COLUMN()-4,時間帯一覧!$A:$B,2,FALSE),"")&amp;""</f>
        <v/>
      </c>
      <c r="AY1" s="5" t="str">
        <f>IFERROR(VLOOKUP(COLUMN()-4,時間帯一覧!$A:$B,2,FALSE),"")&amp;""</f>
        <v/>
      </c>
      <c r="AZ1" s="5" t="str">
        <f>IFERROR(VLOOKUP(COLUMN()-4,時間帯一覧!$A:$B,2,FALSE),"")&amp;""</f>
        <v/>
      </c>
      <c r="BA1" s="5" t="str">
        <f>IFERROR(VLOOKUP(COLUMN()-4,時間帯一覧!$A:$B,2,FALSE),"")&amp;""</f>
        <v/>
      </c>
      <c r="BB1" s="5" t="str">
        <f>IFERROR(VLOOKUP(COLUMN()-4,時間帯一覧!$A:$B,2,FALSE),"")&amp;""</f>
        <v/>
      </c>
    </row>
    <row r="2" spans="1:54">
      <c r="A2" s="4">
        <v>1</v>
      </c>
      <c r="C2" s="4" t="s">
        <v>20</v>
      </c>
      <c r="D2" s="4">
        <v>10</v>
      </c>
      <c r="F2" s="4" t="s">
        <v>39</v>
      </c>
      <c r="G2" s="4" t="s">
        <v>39</v>
      </c>
      <c r="H2" s="4" t="s">
        <v>69</v>
      </c>
      <c r="I2" s="4" t="s">
        <v>38</v>
      </c>
      <c r="J2" s="4" t="s">
        <v>38</v>
      </c>
      <c r="K2" s="4" t="s">
        <v>39</v>
      </c>
      <c r="L2" s="4" t="s">
        <v>38</v>
      </c>
      <c r="M2" s="4" t="s">
        <v>39</v>
      </c>
    </row>
    <row r="3" spans="1:54">
      <c r="A3" s="4">
        <v>2</v>
      </c>
      <c r="C3" s="4" t="s">
        <v>21</v>
      </c>
      <c r="D3" s="4">
        <v>1</v>
      </c>
      <c r="J3" s="4" t="s">
        <v>39</v>
      </c>
    </row>
    <row r="4" spans="1:54">
      <c r="A4" s="4">
        <v>3</v>
      </c>
      <c r="C4" s="4" t="s">
        <v>22</v>
      </c>
      <c r="D4" s="4">
        <v>1</v>
      </c>
    </row>
    <row r="5" spans="1:54">
      <c r="A5" s="4">
        <v>4</v>
      </c>
      <c r="C5" s="4" t="s">
        <v>51</v>
      </c>
      <c r="D5" s="4">
        <v>10</v>
      </c>
    </row>
    <row r="6" spans="1:54">
      <c r="A6" s="4">
        <v>5</v>
      </c>
    </row>
    <row r="7" spans="1:54">
      <c r="A7" s="4">
        <v>6</v>
      </c>
    </row>
    <row r="8" spans="1:54">
      <c r="A8" s="4">
        <v>7</v>
      </c>
    </row>
    <row r="9" spans="1:54">
      <c r="A9" s="4">
        <v>8</v>
      </c>
    </row>
    <row r="10" spans="1:54">
      <c r="A10" s="4">
        <v>9</v>
      </c>
    </row>
    <row r="11" spans="1:54">
      <c r="A11" s="4">
        <v>10</v>
      </c>
    </row>
  </sheetData>
  <sheetProtection sheet="1" objects="1" scenarios="1" selectLockedCells="1"/>
  <phoneticPr fontId="1"/>
  <conditionalFormatting sqref="E1:BB1048576">
    <cfRule type="expression" dxfId="67" priority="2">
      <formula>E1="x"</formula>
    </cfRule>
    <cfRule type="expression" dxfId="66" priority="3">
      <formula>E1="?"</formula>
    </cfRule>
  </conditionalFormatting>
  <conditionalFormatting sqref="E52:BB334">
    <cfRule type="expression" dxfId="65" priority="1">
      <formula>E2</formula>
    </cfRule>
  </conditionalFormatting>
  <dataValidations count="1">
    <dataValidation type="list" errorStyle="warning" allowBlank="1" showInputMessage="1" showErrorMessage="1" errorTitle="選択肢から選んでください。" sqref="E1:BB1048576" xr:uid="{71E8782E-8D47-F34E-BC41-8A15BE146096}">
      <formula1>"o,?,x"</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1A93-7D61-D241-9FD0-0EF9E96E2122}">
  <sheetPr codeName="JobQuestion"/>
  <dimension ref="A1:I292"/>
  <sheetViews>
    <sheetView workbookViewId="0">
      <selection activeCell="D2" sqref="D2"/>
    </sheetView>
  </sheetViews>
  <sheetFormatPr baseColWidth="10" defaultRowHeight="20"/>
  <cols>
    <col min="1" max="2" width="10.7109375" style="1"/>
    <col min="3" max="3" width="15.7109375" style="1" bestFit="1" customWidth="1"/>
    <col min="4" max="8" width="10.7109375" style="4"/>
    <col min="9" max="9" width="50.140625" style="15" customWidth="1"/>
    <col min="10" max="16384" width="10.7109375" style="1"/>
  </cols>
  <sheetData>
    <row r="1" spans="1:9">
      <c r="A1" s="1" t="s">
        <v>3</v>
      </c>
      <c r="B1" s="1" t="s">
        <v>16</v>
      </c>
      <c r="C1" s="1" t="s">
        <v>2</v>
      </c>
      <c r="D1" s="5" t="str">
        <f t="shared" ref="D1:H1" si="0">"第"&amp;COLUMN()-3&amp;"希望"</f>
        <v>第1希望</v>
      </c>
      <c r="E1" s="5" t="str">
        <f t="shared" si="0"/>
        <v>第2希望</v>
      </c>
      <c r="F1" s="5" t="str">
        <f t="shared" si="0"/>
        <v>第3希望</v>
      </c>
      <c r="G1" s="5" t="str">
        <f t="shared" si="0"/>
        <v>第4希望</v>
      </c>
      <c r="H1" s="5" t="str">
        <f t="shared" si="0"/>
        <v>第5希望</v>
      </c>
      <c r="I1" s="16" t="s">
        <v>85</v>
      </c>
    </row>
    <row r="2" spans="1:9">
      <c r="A2" s="1" t="str">
        <f>時間希望調査!A2&amp;""</f>
        <v>1</v>
      </c>
      <c r="B2" s="1" t="str">
        <f>時間希望調査!B2&amp;""</f>
        <v/>
      </c>
      <c r="C2" s="1" t="str">
        <f>時間希望調査!C2&amp;""</f>
        <v>キズナアイ</v>
      </c>
      <c r="D2" s="4" t="s">
        <v>44</v>
      </c>
      <c r="E2" s="4" t="s">
        <v>47</v>
      </c>
    </row>
    <row r="3" spans="1:9">
      <c r="A3" s="1" t="str">
        <f>時間希望調査!A3&amp;""</f>
        <v>2</v>
      </c>
      <c r="B3" s="1" t="str">
        <f>時間希望調査!B3&amp;""</f>
        <v/>
      </c>
      <c r="C3" s="1" t="str">
        <f>時間希望調査!C3&amp;""</f>
        <v>輝夜月</v>
      </c>
    </row>
    <row r="4" spans="1:9">
      <c r="A4" s="1" t="str">
        <f>時間希望調査!A4&amp;""</f>
        <v>3</v>
      </c>
      <c r="B4" s="1" t="str">
        <f>時間希望調査!B4&amp;""</f>
        <v/>
      </c>
      <c r="C4" s="1" t="str">
        <f>時間希望調査!C4&amp;""</f>
        <v>ときのそら</v>
      </c>
    </row>
    <row r="5" spans="1:9">
      <c r="A5" s="1" t="str">
        <f>時間希望調査!A5&amp;""</f>
        <v>4</v>
      </c>
      <c r="B5" s="1" t="str">
        <f>時間希望調査!B5&amp;""</f>
        <v/>
      </c>
      <c r="C5" s="1" t="str">
        <f>時間希望調査!C5&amp;""</f>
        <v>はじめしゃちょー</v>
      </c>
    </row>
    <row r="6" spans="1:9">
      <c r="A6" s="1" t="str">
        <f>時間希望調査!A6&amp;""</f>
        <v>5</v>
      </c>
      <c r="B6" s="1" t="str">
        <f>時間希望調査!B6&amp;""</f>
        <v/>
      </c>
      <c r="C6" s="1" t="str">
        <f>時間希望調査!C6&amp;""</f>
        <v/>
      </c>
    </row>
    <row r="7" spans="1:9">
      <c r="A7" s="1" t="str">
        <f>時間希望調査!A7&amp;""</f>
        <v>6</v>
      </c>
      <c r="B7" s="1" t="str">
        <f>時間希望調査!B7&amp;""</f>
        <v/>
      </c>
      <c r="C7" s="1" t="str">
        <f>時間希望調査!C7&amp;""</f>
        <v/>
      </c>
    </row>
    <row r="8" spans="1:9">
      <c r="A8" s="1" t="str">
        <f>時間希望調査!A8&amp;""</f>
        <v>7</v>
      </c>
      <c r="B8" s="1" t="str">
        <f>時間希望調査!B8&amp;""</f>
        <v/>
      </c>
      <c r="C8" s="1" t="str">
        <f>時間希望調査!C8&amp;""</f>
        <v/>
      </c>
    </row>
    <row r="9" spans="1:9">
      <c r="A9" s="1" t="str">
        <f>時間希望調査!A9&amp;""</f>
        <v>8</v>
      </c>
      <c r="B9" s="1" t="str">
        <f>時間希望調査!B9&amp;""</f>
        <v/>
      </c>
      <c r="C9" s="1" t="str">
        <f>時間希望調査!C9&amp;""</f>
        <v/>
      </c>
    </row>
    <row r="10" spans="1:9">
      <c r="A10" s="1" t="str">
        <f>時間希望調査!A10&amp;""</f>
        <v>9</v>
      </c>
      <c r="B10" s="1" t="str">
        <f>時間希望調査!B10&amp;""</f>
        <v/>
      </c>
      <c r="C10" s="1" t="str">
        <f>時間希望調査!C10&amp;""</f>
        <v/>
      </c>
    </row>
    <row r="11" spans="1:9">
      <c r="A11" s="1" t="str">
        <f>時間希望調査!A11&amp;""</f>
        <v>10</v>
      </c>
      <c r="B11" s="1" t="str">
        <f>時間希望調査!B11&amp;""</f>
        <v/>
      </c>
      <c r="C11" s="1" t="str">
        <f>時間希望調査!C11&amp;""</f>
        <v/>
      </c>
    </row>
    <row r="12" spans="1:9">
      <c r="A12" s="1" t="str">
        <f>時間希望調査!A12&amp;""</f>
        <v/>
      </c>
      <c r="B12" s="1" t="str">
        <f>時間希望調査!B12&amp;""</f>
        <v/>
      </c>
      <c r="C12" s="1" t="str">
        <f>時間希望調査!C12&amp;""</f>
        <v/>
      </c>
    </row>
    <row r="13" spans="1:9">
      <c r="A13" s="1" t="str">
        <f>時間希望調査!A13&amp;""</f>
        <v/>
      </c>
      <c r="B13" s="1" t="str">
        <f>時間希望調査!B13&amp;""</f>
        <v/>
      </c>
      <c r="C13" s="1" t="str">
        <f>時間希望調査!C13&amp;""</f>
        <v/>
      </c>
    </row>
    <row r="14" spans="1:9">
      <c r="A14" s="1" t="str">
        <f>時間希望調査!A14&amp;""</f>
        <v/>
      </c>
      <c r="B14" s="1" t="str">
        <f>時間希望調査!B14&amp;""</f>
        <v/>
      </c>
      <c r="C14" s="1" t="str">
        <f>時間希望調査!C14&amp;""</f>
        <v/>
      </c>
    </row>
    <row r="15" spans="1:9">
      <c r="A15" s="1" t="str">
        <f>時間希望調査!A15&amp;""</f>
        <v/>
      </c>
      <c r="B15" s="1" t="str">
        <f>時間希望調査!B15&amp;""</f>
        <v/>
      </c>
      <c r="C15" s="1" t="str">
        <f>時間希望調査!C15&amp;""</f>
        <v/>
      </c>
    </row>
    <row r="16" spans="1:9">
      <c r="A16" s="1" t="str">
        <f>時間希望調査!A16&amp;""</f>
        <v/>
      </c>
      <c r="B16" s="1" t="str">
        <f>時間希望調査!B16&amp;""</f>
        <v/>
      </c>
      <c r="C16" s="1" t="str">
        <f>時間希望調査!C16&amp;""</f>
        <v/>
      </c>
    </row>
    <row r="17" spans="1:3">
      <c r="A17" s="1" t="str">
        <f>時間希望調査!A17&amp;""</f>
        <v/>
      </c>
      <c r="B17" s="1" t="str">
        <f>時間希望調査!B17&amp;""</f>
        <v/>
      </c>
      <c r="C17" s="1" t="str">
        <f>時間希望調査!C17&amp;""</f>
        <v/>
      </c>
    </row>
    <row r="18" spans="1:3">
      <c r="A18" s="1" t="str">
        <f>時間希望調査!A18&amp;""</f>
        <v/>
      </c>
      <c r="B18" s="1" t="str">
        <f>時間希望調査!B18&amp;""</f>
        <v/>
      </c>
      <c r="C18" s="1" t="str">
        <f>時間希望調査!C18&amp;""</f>
        <v/>
      </c>
    </row>
    <row r="19" spans="1:3">
      <c r="A19" s="1" t="str">
        <f>時間希望調査!A19&amp;""</f>
        <v/>
      </c>
      <c r="B19" s="1" t="str">
        <f>時間希望調査!B19&amp;""</f>
        <v/>
      </c>
      <c r="C19" s="1" t="str">
        <f>時間希望調査!C19&amp;""</f>
        <v/>
      </c>
    </row>
    <row r="20" spans="1:3">
      <c r="A20" s="1" t="str">
        <f>時間希望調査!A20&amp;""</f>
        <v/>
      </c>
      <c r="B20" s="1" t="str">
        <f>時間希望調査!B20&amp;""</f>
        <v/>
      </c>
      <c r="C20" s="1" t="str">
        <f>時間希望調査!C20&amp;""</f>
        <v/>
      </c>
    </row>
    <row r="21" spans="1:3">
      <c r="A21" s="1" t="str">
        <f>時間希望調査!A21&amp;""</f>
        <v/>
      </c>
      <c r="B21" s="1" t="str">
        <f>時間希望調査!B21&amp;""</f>
        <v/>
      </c>
      <c r="C21" s="1" t="str">
        <f>時間希望調査!C21&amp;""</f>
        <v/>
      </c>
    </row>
    <row r="22" spans="1:3">
      <c r="A22" s="1" t="str">
        <f>時間希望調査!A22&amp;""</f>
        <v/>
      </c>
      <c r="B22" s="1" t="str">
        <f>時間希望調査!B22&amp;""</f>
        <v/>
      </c>
      <c r="C22" s="1" t="str">
        <f>時間希望調査!C22&amp;""</f>
        <v/>
      </c>
    </row>
    <row r="23" spans="1:3">
      <c r="A23" s="1" t="str">
        <f>時間希望調査!A23&amp;""</f>
        <v/>
      </c>
      <c r="B23" s="1" t="str">
        <f>時間希望調査!B23&amp;""</f>
        <v/>
      </c>
      <c r="C23" s="1" t="str">
        <f>時間希望調査!C23&amp;""</f>
        <v/>
      </c>
    </row>
    <row r="24" spans="1:3">
      <c r="A24" s="1" t="str">
        <f>時間希望調査!A24&amp;""</f>
        <v/>
      </c>
      <c r="B24" s="1" t="str">
        <f>時間希望調査!B24&amp;""</f>
        <v/>
      </c>
      <c r="C24" s="1" t="str">
        <f>時間希望調査!C24&amp;""</f>
        <v/>
      </c>
    </row>
    <row r="25" spans="1:3">
      <c r="A25" s="1" t="str">
        <f>時間希望調査!A25&amp;""</f>
        <v/>
      </c>
      <c r="B25" s="1" t="str">
        <f>時間希望調査!B25&amp;""</f>
        <v/>
      </c>
      <c r="C25" s="1" t="str">
        <f>時間希望調査!C25&amp;""</f>
        <v/>
      </c>
    </row>
    <row r="26" spans="1:3">
      <c r="A26" s="1" t="str">
        <f>時間希望調査!A26&amp;""</f>
        <v/>
      </c>
      <c r="B26" s="1" t="str">
        <f>時間希望調査!B26&amp;""</f>
        <v/>
      </c>
      <c r="C26" s="1" t="str">
        <f>時間希望調査!C26&amp;""</f>
        <v/>
      </c>
    </row>
    <row r="27" spans="1:3">
      <c r="A27" s="1" t="str">
        <f>時間希望調査!A27&amp;""</f>
        <v/>
      </c>
      <c r="B27" s="1" t="str">
        <f>時間希望調査!B27&amp;""</f>
        <v/>
      </c>
      <c r="C27" s="1" t="str">
        <f>時間希望調査!C27&amp;""</f>
        <v/>
      </c>
    </row>
    <row r="28" spans="1:3">
      <c r="A28" s="1" t="str">
        <f>時間希望調査!A28&amp;""</f>
        <v/>
      </c>
      <c r="B28" s="1" t="str">
        <f>時間希望調査!B28&amp;""</f>
        <v/>
      </c>
      <c r="C28" s="1" t="str">
        <f>時間希望調査!C28&amp;""</f>
        <v/>
      </c>
    </row>
    <row r="29" spans="1:3">
      <c r="A29" s="1" t="str">
        <f>時間希望調査!A29&amp;""</f>
        <v/>
      </c>
      <c r="B29" s="1" t="str">
        <f>時間希望調査!B29&amp;""</f>
        <v/>
      </c>
      <c r="C29" s="1" t="str">
        <f>時間希望調査!C29&amp;""</f>
        <v/>
      </c>
    </row>
    <row r="30" spans="1:3">
      <c r="A30" s="1" t="str">
        <f>時間希望調査!A30&amp;""</f>
        <v/>
      </c>
      <c r="B30" s="1" t="str">
        <f>時間希望調査!B30&amp;""</f>
        <v/>
      </c>
      <c r="C30" s="1" t="str">
        <f>時間希望調査!C30&amp;""</f>
        <v/>
      </c>
    </row>
    <row r="31" spans="1:3">
      <c r="A31" s="1" t="str">
        <f>時間希望調査!A31&amp;""</f>
        <v/>
      </c>
      <c r="B31" s="1" t="str">
        <f>時間希望調査!B31&amp;""</f>
        <v/>
      </c>
      <c r="C31" s="1" t="str">
        <f>時間希望調査!C31&amp;""</f>
        <v/>
      </c>
    </row>
    <row r="32" spans="1:3">
      <c r="A32" s="1" t="str">
        <f>時間希望調査!A32&amp;""</f>
        <v/>
      </c>
      <c r="B32" s="1" t="str">
        <f>時間希望調査!B32&amp;""</f>
        <v/>
      </c>
      <c r="C32" s="1" t="str">
        <f>時間希望調査!C32&amp;""</f>
        <v/>
      </c>
    </row>
    <row r="33" spans="1:3">
      <c r="A33" s="1" t="str">
        <f>時間希望調査!A33&amp;""</f>
        <v/>
      </c>
      <c r="B33" s="1" t="str">
        <f>時間希望調査!B33&amp;""</f>
        <v/>
      </c>
      <c r="C33" s="1" t="str">
        <f>時間希望調査!C33&amp;""</f>
        <v/>
      </c>
    </row>
    <row r="34" spans="1:3">
      <c r="A34" s="1" t="str">
        <f>時間希望調査!A34&amp;""</f>
        <v/>
      </c>
      <c r="B34" s="1" t="str">
        <f>時間希望調査!B34&amp;""</f>
        <v/>
      </c>
      <c r="C34" s="1" t="str">
        <f>時間希望調査!C34&amp;""</f>
        <v/>
      </c>
    </row>
    <row r="35" spans="1:3">
      <c r="A35" s="1" t="str">
        <f>時間希望調査!A35&amp;""</f>
        <v/>
      </c>
      <c r="B35" s="1" t="str">
        <f>時間希望調査!B35&amp;""</f>
        <v/>
      </c>
      <c r="C35" s="1" t="str">
        <f>時間希望調査!C35&amp;""</f>
        <v/>
      </c>
    </row>
    <row r="36" spans="1:3">
      <c r="A36" s="1" t="str">
        <f>時間希望調査!A36&amp;""</f>
        <v/>
      </c>
      <c r="B36" s="1" t="str">
        <f>時間希望調査!B36&amp;""</f>
        <v/>
      </c>
      <c r="C36" s="1" t="str">
        <f>時間希望調査!C36&amp;""</f>
        <v/>
      </c>
    </row>
    <row r="37" spans="1:3">
      <c r="A37" s="1" t="str">
        <f>時間希望調査!A37&amp;""</f>
        <v/>
      </c>
      <c r="B37" s="1" t="str">
        <f>時間希望調査!B37&amp;""</f>
        <v/>
      </c>
      <c r="C37" s="1" t="str">
        <f>時間希望調査!C37&amp;""</f>
        <v/>
      </c>
    </row>
    <row r="38" spans="1:3">
      <c r="A38" s="1" t="str">
        <f>時間希望調査!A38&amp;""</f>
        <v/>
      </c>
      <c r="B38" s="1" t="str">
        <f>時間希望調査!B38&amp;""</f>
        <v/>
      </c>
      <c r="C38" s="1" t="str">
        <f>時間希望調査!C38&amp;""</f>
        <v/>
      </c>
    </row>
    <row r="39" spans="1:3">
      <c r="A39" s="1" t="str">
        <f>時間希望調査!A39&amp;""</f>
        <v/>
      </c>
      <c r="B39" s="1" t="str">
        <f>時間希望調査!B39&amp;""</f>
        <v/>
      </c>
      <c r="C39" s="1" t="str">
        <f>時間希望調査!C39&amp;""</f>
        <v/>
      </c>
    </row>
    <row r="40" spans="1:3">
      <c r="A40" s="1" t="str">
        <f>時間希望調査!A40&amp;""</f>
        <v/>
      </c>
      <c r="B40" s="1" t="str">
        <f>時間希望調査!B40&amp;""</f>
        <v/>
      </c>
      <c r="C40" s="1" t="str">
        <f>時間希望調査!C40&amp;""</f>
        <v/>
      </c>
    </row>
    <row r="41" spans="1:3">
      <c r="A41" s="1" t="str">
        <f>時間希望調査!A41&amp;""</f>
        <v/>
      </c>
      <c r="B41" s="1" t="str">
        <f>時間希望調査!B41&amp;""</f>
        <v/>
      </c>
      <c r="C41" s="1" t="str">
        <f>時間希望調査!C41&amp;""</f>
        <v/>
      </c>
    </row>
    <row r="42" spans="1:3">
      <c r="A42" s="1" t="str">
        <f>時間希望調査!A42&amp;""</f>
        <v/>
      </c>
      <c r="B42" s="1" t="str">
        <f>時間希望調査!B42&amp;""</f>
        <v/>
      </c>
      <c r="C42" s="1" t="str">
        <f>時間希望調査!C42&amp;""</f>
        <v/>
      </c>
    </row>
    <row r="43" spans="1:3">
      <c r="A43" s="1" t="str">
        <f>時間希望調査!A43&amp;""</f>
        <v/>
      </c>
      <c r="B43" s="1" t="str">
        <f>時間希望調査!B43&amp;""</f>
        <v/>
      </c>
      <c r="C43" s="1" t="str">
        <f>時間希望調査!C43&amp;""</f>
        <v/>
      </c>
    </row>
    <row r="44" spans="1:3">
      <c r="A44" s="1" t="str">
        <f>時間希望調査!A44&amp;""</f>
        <v/>
      </c>
      <c r="B44" s="1" t="str">
        <f>時間希望調査!B44&amp;""</f>
        <v/>
      </c>
      <c r="C44" s="1" t="str">
        <f>時間希望調査!C44&amp;""</f>
        <v/>
      </c>
    </row>
    <row r="45" spans="1:3">
      <c r="A45" s="1" t="str">
        <f>時間希望調査!A45&amp;""</f>
        <v/>
      </c>
      <c r="B45" s="1" t="str">
        <f>時間希望調査!B45&amp;""</f>
        <v/>
      </c>
      <c r="C45" s="1" t="str">
        <f>時間希望調査!C45&amp;""</f>
        <v/>
      </c>
    </row>
    <row r="46" spans="1:3">
      <c r="A46" s="1" t="str">
        <f>時間希望調査!A46&amp;""</f>
        <v/>
      </c>
      <c r="B46" s="1" t="str">
        <f>時間希望調査!B46&amp;""</f>
        <v/>
      </c>
      <c r="C46" s="1" t="str">
        <f>時間希望調査!C46&amp;""</f>
        <v/>
      </c>
    </row>
    <row r="47" spans="1:3">
      <c r="A47" s="1" t="str">
        <f>時間希望調査!A47&amp;""</f>
        <v/>
      </c>
      <c r="B47" s="1" t="str">
        <f>時間希望調査!B47&amp;""</f>
        <v/>
      </c>
      <c r="C47" s="1" t="str">
        <f>時間希望調査!C47&amp;""</f>
        <v/>
      </c>
    </row>
    <row r="48" spans="1:3">
      <c r="A48" s="1" t="str">
        <f>時間希望調査!A48&amp;""</f>
        <v/>
      </c>
      <c r="B48" s="1" t="str">
        <f>時間希望調査!B48&amp;""</f>
        <v/>
      </c>
      <c r="C48" s="1" t="str">
        <f>時間希望調査!C48&amp;""</f>
        <v/>
      </c>
    </row>
    <row r="49" spans="1:3">
      <c r="A49" s="1" t="str">
        <f>時間希望調査!A49&amp;""</f>
        <v/>
      </c>
      <c r="B49" s="1" t="str">
        <f>時間希望調査!B49&amp;""</f>
        <v/>
      </c>
      <c r="C49" s="1" t="str">
        <f>時間希望調査!C49&amp;""</f>
        <v/>
      </c>
    </row>
    <row r="50" spans="1:3">
      <c r="A50" s="1" t="str">
        <f>時間希望調査!A50&amp;""</f>
        <v/>
      </c>
      <c r="B50" s="1" t="str">
        <f>時間希望調査!B50&amp;""</f>
        <v/>
      </c>
      <c r="C50" s="1" t="str">
        <f>時間希望調査!C50&amp;""</f>
        <v/>
      </c>
    </row>
    <row r="51" spans="1:3">
      <c r="A51" s="1" t="str">
        <f>時間希望調査!A51&amp;""</f>
        <v/>
      </c>
      <c r="B51" s="1" t="str">
        <f>時間希望調査!B51&amp;""</f>
        <v/>
      </c>
      <c r="C51" s="1" t="str">
        <f>時間希望調査!C51&amp;""</f>
        <v/>
      </c>
    </row>
    <row r="52" spans="1:3">
      <c r="A52" s="1" t="str">
        <f>時間希望調査!A52&amp;""</f>
        <v/>
      </c>
      <c r="B52" s="1" t="str">
        <f>時間希望調査!B52&amp;""</f>
        <v/>
      </c>
      <c r="C52" s="1" t="str">
        <f>時間希望調査!C52&amp;""</f>
        <v/>
      </c>
    </row>
    <row r="53" spans="1:3">
      <c r="A53" s="1" t="str">
        <f>時間希望調査!A53&amp;""</f>
        <v/>
      </c>
      <c r="B53" s="1" t="str">
        <f>時間希望調査!B53&amp;""</f>
        <v/>
      </c>
      <c r="C53" s="1" t="str">
        <f>時間希望調査!C53&amp;""</f>
        <v/>
      </c>
    </row>
    <row r="54" spans="1:3">
      <c r="A54" s="1" t="str">
        <f>時間希望調査!A54&amp;""</f>
        <v/>
      </c>
      <c r="B54" s="1" t="str">
        <f>時間希望調査!B54&amp;""</f>
        <v/>
      </c>
      <c r="C54" s="1" t="str">
        <f>時間希望調査!C54&amp;""</f>
        <v/>
      </c>
    </row>
    <row r="55" spans="1:3">
      <c r="A55" s="1" t="str">
        <f>時間希望調査!A55&amp;""</f>
        <v/>
      </c>
      <c r="B55" s="1" t="str">
        <f>時間希望調査!B55&amp;""</f>
        <v/>
      </c>
      <c r="C55" s="1" t="str">
        <f>時間希望調査!C55&amp;""</f>
        <v/>
      </c>
    </row>
    <row r="56" spans="1:3">
      <c r="A56" s="1" t="str">
        <f>時間希望調査!A56&amp;""</f>
        <v/>
      </c>
      <c r="B56" s="1" t="str">
        <f>時間希望調査!B56&amp;""</f>
        <v/>
      </c>
      <c r="C56" s="1" t="str">
        <f>時間希望調査!C56&amp;""</f>
        <v/>
      </c>
    </row>
    <row r="57" spans="1:3">
      <c r="A57" s="1" t="str">
        <f>時間希望調査!A57&amp;""</f>
        <v/>
      </c>
      <c r="B57" s="1" t="str">
        <f>時間希望調査!B57&amp;""</f>
        <v/>
      </c>
      <c r="C57" s="1" t="str">
        <f>時間希望調査!C57&amp;""</f>
        <v/>
      </c>
    </row>
    <row r="58" spans="1:3">
      <c r="A58" s="1" t="str">
        <f>時間希望調査!A58&amp;""</f>
        <v/>
      </c>
      <c r="B58" s="1" t="str">
        <f>時間希望調査!B58&amp;""</f>
        <v/>
      </c>
      <c r="C58" s="1" t="str">
        <f>時間希望調査!C58&amp;""</f>
        <v/>
      </c>
    </row>
    <row r="59" spans="1:3">
      <c r="A59" s="1" t="str">
        <f>時間希望調査!A59&amp;""</f>
        <v/>
      </c>
      <c r="B59" s="1" t="str">
        <f>時間希望調査!B59&amp;""</f>
        <v/>
      </c>
      <c r="C59" s="1" t="str">
        <f>時間希望調査!C59&amp;""</f>
        <v/>
      </c>
    </row>
    <row r="60" spans="1:3">
      <c r="A60" s="1" t="str">
        <f>時間希望調査!A60&amp;""</f>
        <v/>
      </c>
      <c r="B60" s="1" t="str">
        <f>時間希望調査!B60&amp;""</f>
        <v/>
      </c>
      <c r="C60" s="1" t="str">
        <f>時間希望調査!C60&amp;""</f>
        <v/>
      </c>
    </row>
    <row r="61" spans="1:3">
      <c r="A61" s="1" t="str">
        <f>時間希望調査!A61&amp;""</f>
        <v/>
      </c>
      <c r="B61" s="1" t="str">
        <f>時間希望調査!B61&amp;""</f>
        <v/>
      </c>
      <c r="C61" s="1" t="str">
        <f>時間希望調査!C61&amp;""</f>
        <v/>
      </c>
    </row>
    <row r="62" spans="1:3">
      <c r="A62" s="1" t="str">
        <f>時間希望調査!A62&amp;""</f>
        <v/>
      </c>
      <c r="B62" s="1" t="str">
        <f>時間希望調査!B62&amp;""</f>
        <v/>
      </c>
      <c r="C62" s="1" t="str">
        <f>時間希望調査!C62&amp;""</f>
        <v/>
      </c>
    </row>
    <row r="63" spans="1:3">
      <c r="A63" s="1" t="str">
        <f>時間希望調査!A63&amp;""</f>
        <v/>
      </c>
      <c r="B63" s="1" t="str">
        <f>時間希望調査!B63&amp;""</f>
        <v/>
      </c>
      <c r="C63" s="1" t="str">
        <f>時間希望調査!C63&amp;""</f>
        <v/>
      </c>
    </row>
    <row r="64" spans="1:3">
      <c r="A64" s="1" t="str">
        <f>時間希望調査!A64&amp;""</f>
        <v/>
      </c>
      <c r="B64" s="1" t="str">
        <f>時間希望調査!B64&amp;""</f>
        <v/>
      </c>
      <c r="C64" s="1" t="str">
        <f>時間希望調査!C64&amp;""</f>
        <v/>
      </c>
    </row>
    <row r="65" spans="1:3">
      <c r="A65" s="1" t="str">
        <f>時間希望調査!A65&amp;""</f>
        <v/>
      </c>
      <c r="B65" s="1" t="str">
        <f>時間希望調査!B65&amp;""</f>
        <v/>
      </c>
      <c r="C65" s="1" t="str">
        <f>時間希望調査!C65&amp;""</f>
        <v/>
      </c>
    </row>
    <row r="66" spans="1:3">
      <c r="A66" s="1" t="str">
        <f>時間希望調査!A66&amp;""</f>
        <v/>
      </c>
      <c r="B66" s="1" t="str">
        <f>時間希望調査!B66&amp;""</f>
        <v/>
      </c>
      <c r="C66" s="1" t="str">
        <f>時間希望調査!C66&amp;""</f>
        <v/>
      </c>
    </row>
    <row r="67" spans="1:3">
      <c r="A67" s="1" t="str">
        <f>時間希望調査!A67&amp;""</f>
        <v/>
      </c>
      <c r="B67" s="1" t="str">
        <f>時間希望調査!B67&amp;""</f>
        <v/>
      </c>
      <c r="C67" s="1" t="str">
        <f>時間希望調査!C67&amp;""</f>
        <v/>
      </c>
    </row>
    <row r="68" spans="1:3">
      <c r="A68" s="1" t="str">
        <f>時間希望調査!A68&amp;""</f>
        <v/>
      </c>
      <c r="B68" s="1" t="str">
        <f>時間希望調査!B68&amp;""</f>
        <v/>
      </c>
      <c r="C68" s="1" t="str">
        <f>時間希望調査!C68&amp;""</f>
        <v/>
      </c>
    </row>
    <row r="69" spans="1:3">
      <c r="A69" s="1" t="str">
        <f>時間希望調査!A69&amp;""</f>
        <v/>
      </c>
      <c r="B69" s="1" t="str">
        <f>時間希望調査!B69&amp;""</f>
        <v/>
      </c>
      <c r="C69" s="1" t="str">
        <f>時間希望調査!C69&amp;""</f>
        <v/>
      </c>
    </row>
    <row r="70" spans="1:3">
      <c r="A70" s="1" t="str">
        <f>時間希望調査!A70&amp;""</f>
        <v/>
      </c>
      <c r="B70" s="1" t="str">
        <f>時間希望調査!B70&amp;""</f>
        <v/>
      </c>
      <c r="C70" s="1" t="str">
        <f>時間希望調査!C70&amp;""</f>
        <v/>
      </c>
    </row>
    <row r="71" spans="1:3">
      <c r="A71" s="1" t="str">
        <f>時間希望調査!A71&amp;""</f>
        <v/>
      </c>
      <c r="B71" s="1" t="str">
        <f>時間希望調査!B71&amp;""</f>
        <v/>
      </c>
      <c r="C71" s="1" t="str">
        <f>時間希望調査!C71&amp;""</f>
        <v/>
      </c>
    </row>
    <row r="72" spans="1:3">
      <c r="A72" s="1" t="str">
        <f>時間希望調査!A72&amp;""</f>
        <v/>
      </c>
      <c r="B72" s="1" t="str">
        <f>時間希望調査!B72&amp;""</f>
        <v/>
      </c>
      <c r="C72" s="1" t="str">
        <f>時間希望調査!C72&amp;""</f>
        <v/>
      </c>
    </row>
    <row r="73" spans="1:3">
      <c r="A73" s="1" t="str">
        <f>時間希望調査!A73&amp;""</f>
        <v/>
      </c>
      <c r="B73" s="1" t="str">
        <f>時間希望調査!B73&amp;""</f>
        <v/>
      </c>
      <c r="C73" s="1" t="str">
        <f>時間希望調査!C73&amp;""</f>
        <v/>
      </c>
    </row>
    <row r="74" spans="1:3">
      <c r="A74" s="1" t="str">
        <f>時間希望調査!A74&amp;""</f>
        <v/>
      </c>
      <c r="B74" s="1" t="str">
        <f>時間希望調査!B74&amp;""</f>
        <v/>
      </c>
      <c r="C74" s="1" t="str">
        <f>時間希望調査!C74&amp;""</f>
        <v/>
      </c>
    </row>
    <row r="75" spans="1:3">
      <c r="A75" s="1" t="str">
        <f>時間希望調査!A75&amp;""</f>
        <v/>
      </c>
      <c r="B75" s="1" t="str">
        <f>時間希望調査!B75&amp;""</f>
        <v/>
      </c>
      <c r="C75" s="1" t="str">
        <f>時間希望調査!C75&amp;""</f>
        <v/>
      </c>
    </row>
    <row r="76" spans="1:3">
      <c r="A76" s="1" t="str">
        <f>時間希望調査!A76&amp;""</f>
        <v/>
      </c>
      <c r="B76" s="1" t="str">
        <f>時間希望調査!B76&amp;""</f>
        <v/>
      </c>
      <c r="C76" s="1" t="str">
        <f>時間希望調査!C76&amp;""</f>
        <v/>
      </c>
    </row>
    <row r="77" spans="1:3">
      <c r="A77" s="1" t="str">
        <f>時間希望調査!A77&amp;""</f>
        <v/>
      </c>
      <c r="B77" s="1" t="str">
        <f>時間希望調査!B77&amp;""</f>
        <v/>
      </c>
      <c r="C77" s="1" t="str">
        <f>時間希望調査!C77&amp;""</f>
        <v/>
      </c>
    </row>
    <row r="78" spans="1:3">
      <c r="A78" s="1" t="str">
        <f>時間希望調査!A78&amp;""</f>
        <v/>
      </c>
      <c r="B78" s="1" t="str">
        <f>時間希望調査!B78&amp;""</f>
        <v/>
      </c>
      <c r="C78" s="1" t="str">
        <f>時間希望調査!C78&amp;""</f>
        <v/>
      </c>
    </row>
    <row r="79" spans="1:3">
      <c r="A79" s="1" t="str">
        <f>時間希望調査!A79&amp;""</f>
        <v/>
      </c>
      <c r="B79" s="1" t="str">
        <f>時間希望調査!B79&amp;""</f>
        <v/>
      </c>
      <c r="C79" s="1" t="str">
        <f>時間希望調査!C79&amp;""</f>
        <v/>
      </c>
    </row>
    <row r="80" spans="1:3">
      <c r="A80" s="1" t="str">
        <f>時間希望調査!A80&amp;""</f>
        <v/>
      </c>
      <c r="B80" s="1" t="str">
        <f>時間希望調査!B80&amp;""</f>
        <v/>
      </c>
      <c r="C80" s="1" t="str">
        <f>時間希望調査!C80&amp;""</f>
        <v/>
      </c>
    </row>
    <row r="81" spans="1:3">
      <c r="A81" s="1" t="str">
        <f>時間希望調査!A81&amp;""</f>
        <v/>
      </c>
      <c r="B81" s="1" t="str">
        <f>時間希望調査!B81&amp;""</f>
        <v/>
      </c>
      <c r="C81" s="1" t="str">
        <f>時間希望調査!C81&amp;""</f>
        <v/>
      </c>
    </row>
    <row r="82" spans="1:3">
      <c r="A82" s="1" t="str">
        <f>時間希望調査!A82&amp;""</f>
        <v/>
      </c>
      <c r="B82" s="1" t="str">
        <f>時間希望調査!B82&amp;""</f>
        <v/>
      </c>
      <c r="C82" s="1" t="str">
        <f>時間希望調査!C82&amp;""</f>
        <v/>
      </c>
    </row>
    <row r="83" spans="1:3">
      <c r="A83" s="1" t="str">
        <f>時間希望調査!A83&amp;""</f>
        <v/>
      </c>
      <c r="B83" s="1" t="str">
        <f>時間希望調査!B83&amp;""</f>
        <v/>
      </c>
      <c r="C83" s="1" t="str">
        <f>時間希望調査!C83&amp;""</f>
        <v/>
      </c>
    </row>
    <row r="84" spans="1:3">
      <c r="A84" s="1" t="str">
        <f>時間希望調査!A84&amp;""</f>
        <v/>
      </c>
      <c r="B84" s="1" t="str">
        <f>時間希望調査!B84&amp;""</f>
        <v/>
      </c>
      <c r="C84" s="1" t="str">
        <f>時間希望調査!C84&amp;""</f>
        <v/>
      </c>
    </row>
    <row r="85" spans="1:3">
      <c r="A85" s="1" t="str">
        <f>時間希望調査!A85&amp;""</f>
        <v/>
      </c>
      <c r="B85" s="1" t="str">
        <f>時間希望調査!B85&amp;""</f>
        <v/>
      </c>
      <c r="C85" s="1" t="str">
        <f>時間希望調査!C85&amp;""</f>
        <v/>
      </c>
    </row>
    <row r="86" spans="1:3">
      <c r="A86" s="1" t="str">
        <f>時間希望調査!A86&amp;""</f>
        <v/>
      </c>
      <c r="B86" s="1" t="str">
        <f>時間希望調査!B86&amp;""</f>
        <v/>
      </c>
      <c r="C86" s="1" t="str">
        <f>時間希望調査!C86&amp;""</f>
        <v/>
      </c>
    </row>
    <row r="87" spans="1:3">
      <c r="A87" s="1" t="str">
        <f>時間希望調査!A87&amp;""</f>
        <v/>
      </c>
      <c r="B87" s="1" t="str">
        <f>時間希望調査!B87&amp;""</f>
        <v/>
      </c>
      <c r="C87" s="1" t="str">
        <f>時間希望調査!C87&amp;""</f>
        <v/>
      </c>
    </row>
    <row r="88" spans="1:3">
      <c r="A88" s="1" t="str">
        <f>時間希望調査!A88&amp;""</f>
        <v/>
      </c>
      <c r="B88" s="1" t="str">
        <f>時間希望調査!B88&amp;""</f>
        <v/>
      </c>
      <c r="C88" s="1" t="str">
        <f>時間希望調査!C88&amp;""</f>
        <v/>
      </c>
    </row>
    <row r="89" spans="1:3">
      <c r="A89" s="1" t="str">
        <f>時間希望調査!A89&amp;""</f>
        <v/>
      </c>
      <c r="B89" s="1" t="str">
        <f>時間希望調査!B89&amp;""</f>
        <v/>
      </c>
      <c r="C89" s="1" t="str">
        <f>時間希望調査!C89&amp;""</f>
        <v/>
      </c>
    </row>
    <row r="90" spans="1:3">
      <c r="A90" s="1" t="str">
        <f>時間希望調査!A90&amp;""</f>
        <v/>
      </c>
      <c r="B90" s="1" t="str">
        <f>時間希望調査!B90&amp;""</f>
        <v/>
      </c>
      <c r="C90" s="1" t="str">
        <f>時間希望調査!C90&amp;""</f>
        <v/>
      </c>
    </row>
    <row r="91" spans="1:3">
      <c r="A91" s="1" t="str">
        <f>時間希望調査!A91&amp;""</f>
        <v/>
      </c>
      <c r="B91" s="1" t="str">
        <f>時間希望調査!B91&amp;""</f>
        <v/>
      </c>
      <c r="C91" s="1" t="str">
        <f>時間希望調査!C91&amp;""</f>
        <v/>
      </c>
    </row>
    <row r="92" spans="1:3">
      <c r="A92" s="1" t="str">
        <f>時間希望調査!A92&amp;""</f>
        <v/>
      </c>
      <c r="B92" s="1" t="str">
        <f>時間希望調査!B92&amp;""</f>
        <v/>
      </c>
      <c r="C92" s="1" t="str">
        <f>時間希望調査!C92&amp;""</f>
        <v/>
      </c>
    </row>
    <row r="93" spans="1:3">
      <c r="A93" s="1" t="str">
        <f>時間希望調査!A93&amp;""</f>
        <v/>
      </c>
      <c r="B93" s="1" t="str">
        <f>時間希望調査!B93&amp;""</f>
        <v/>
      </c>
      <c r="C93" s="1" t="str">
        <f>時間希望調査!C93&amp;""</f>
        <v/>
      </c>
    </row>
    <row r="94" spans="1:3">
      <c r="A94" s="1" t="str">
        <f>時間希望調査!A94&amp;""</f>
        <v/>
      </c>
      <c r="B94" s="1" t="str">
        <f>時間希望調査!B94&amp;""</f>
        <v/>
      </c>
      <c r="C94" s="1" t="str">
        <f>時間希望調査!C94&amp;""</f>
        <v/>
      </c>
    </row>
    <row r="95" spans="1:3">
      <c r="A95" s="1" t="str">
        <f>時間希望調査!A95&amp;""</f>
        <v/>
      </c>
      <c r="B95" s="1" t="str">
        <f>時間希望調査!B95&amp;""</f>
        <v/>
      </c>
      <c r="C95" s="1" t="str">
        <f>時間希望調査!C95&amp;""</f>
        <v/>
      </c>
    </row>
    <row r="96" spans="1:3">
      <c r="A96" s="1" t="str">
        <f>時間希望調査!A96&amp;""</f>
        <v/>
      </c>
      <c r="B96" s="1" t="str">
        <f>時間希望調査!B96&amp;""</f>
        <v/>
      </c>
      <c r="C96" s="1" t="str">
        <f>時間希望調査!C96&amp;""</f>
        <v/>
      </c>
    </row>
    <row r="97" spans="1:3">
      <c r="A97" s="1" t="str">
        <f>時間希望調査!A97&amp;""</f>
        <v/>
      </c>
      <c r="B97" s="1" t="str">
        <f>時間希望調査!B97&amp;""</f>
        <v/>
      </c>
      <c r="C97" s="1" t="str">
        <f>時間希望調査!C97&amp;""</f>
        <v/>
      </c>
    </row>
    <row r="98" spans="1:3">
      <c r="A98" s="1" t="str">
        <f>時間希望調査!A98&amp;""</f>
        <v/>
      </c>
      <c r="B98" s="1" t="str">
        <f>時間希望調査!B98&amp;""</f>
        <v/>
      </c>
      <c r="C98" s="1" t="str">
        <f>時間希望調査!C98&amp;""</f>
        <v/>
      </c>
    </row>
    <row r="99" spans="1:3">
      <c r="A99" s="1" t="str">
        <f>時間希望調査!A99&amp;""</f>
        <v/>
      </c>
      <c r="B99" s="1" t="str">
        <f>時間希望調査!B99&amp;""</f>
        <v/>
      </c>
      <c r="C99" s="1" t="str">
        <f>時間希望調査!C99&amp;""</f>
        <v/>
      </c>
    </row>
    <row r="100" spans="1:3">
      <c r="A100" s="1" t="str">
        <f>時間希望調査!A100&amp;""</f>
        <v/>
      </c>
      <c r="B100" s="1" t="str">
        <f>時間希望調査!B100&amp;""</f>
        <v/>
      </c>
      <c r="C100" s="1" t="str">
        <f>時間希望調査!C100&amp;""</f>
        <v/>
      </c>
    </row>
    <row r="101" spans="1:3">
      <c r="A101" s="1" t="str">
        <f>時間希望調査!A101&amp;""</f>
        <v/>
      </c>
      <c r="B101" s="1" t="str">
        <f>時間希望調査!B101&amp;""</f>
        <v/>
      </c>
      <c r="C101" s="1" t="str">
        <f>時間希望調査!C101&amp;""</f>
        <v/>
      </c>
    </row>
    <row r="102" spans="1:3">
      <c r="A102" s="1" t="str">
        <f>時間希望調査!A102&amp;""</f>
        <v/>
      </c>
      <c r="B102" s="1" t="str">
        <f>時間希望調査!B102&amp;""</f>
        <v/>
      </c>
      <c r="C102" s="1" t="str">
        <f>時間希望調査!C102&amp;""</f>
        <v/>
      </c>
    </row>
    <row r="103" spans="1:3">
      <c r="A103" s="1" t="str">
        <f>時間希望調査!A103&amp;""</f>
        <v/>
      </c>
      <c r="B103" s="1" t="str">
        <f>時間希望調査!B103&amp;""</f>
        <v/>
      </c>
      <c r="C103" s="1" t="str">
        <f>時間希望調査!C103&amp;""</f>
        <v/>
      </c>
    </row>
    <row r="104" spans="1:3">
      <c r="A104" s="1" t="str">
        <f>時間希望調査!A104&amp;""</f>
        <v/>
      </c>
      <c r="B104" s="1" t="str">
        <f>時間希望調査!B104&amp;""</f>
        <v/>
      </c>
      <c r="C104" s="1" t="str">
        <f>時間希望調査!C104&amp;""</f>
        <v/>
      </c>
    </row>
    <row r="105" spans="1:3">
      <c r="A105" s="1" t="str">
        <f>時間希望調査!A105&amp;""</f>
        <v/>
      </c>
      <c r="B105" s="1" t="str">
        <f>時間希望調査!B105&amp;""</f>
        <v/>
      </c>
      <c r="C105" s="1" t="str">
        <f>時間希望調査!C105&amp;""</f>
        <v/>
      </c>
    </row>
    <row r="106" spans="1:3">
      <c r="A106" s="1" t="str">
        <f>時間希望調査!A106&amp;""</f>
        <v/>
      </c>
      <c r="B106" s="1" t="str">
        <f>時間希望調査!B106&amp;""</f>
        <v/>
      </c>
      <c r="C106" s="1" t="str">
        <f>時間希望調査!C106&amp;""</f>
        <v/>
      </c>
    </row>
    <row r="107" spans="1:3">
      <c r="A107" s="1" t="str">
        <f>時間希望調査!A107&amp;""</f>
        <v/>
      </c>
      <c r="B107" s="1" t="str">
        <f>時間希望調査!B107&amp;""</f>
        <v/>
      </c>
      <c r="C107" s="1" t="str">
        <f>時間希望調査!C107&amp;""</f>
        <v/>
      </c>
    </row>
    <row r="108" spans="1:3">
      <c r="A108" s="1" t="str">
        <f>時間希望調査!A108&amp;""</f>
        <v/>
      </c>
      <c r="B108" s="1" t="str">
        <f>時間希望調査!B108&amp;""</f>
        <v/>
      </c>
      <c r="C108" s="1" t="str">
        <f>時間希望調査!C108&amp;""</f>
        <v/>
      </c>
    </row>
    <row r="109" spans="1:3">
      <c r="A109" s="1" t="str">
        <f>時間希望調査!A109&amp;""</f>
        <v/>
      </c>
      <c r="B109" s="1" t="str">
        <f>時間希望調査!B109&amp;""</f>
        <v/>
      </c>
      <c r="C109" s="1" t="str">
        <f>時間希望調査!C109&amp;""</f>
        <v/>
      </c>
    </row>
    <row r="110" spans="1:3">
      <c r="A110" s="1" t="str">
        <f>時間希望調査!A110&amp;""</f>
        <v/>
      </c>
      <c r="B110" s="1" t="str">
        <f>時間希望調査!B110&amp;""</f>
        <v/>
      </c>
      <c r="C110" s="1" t="str">
        <f>時間希望調査!C110&amp;""</f>
        <v/>
      </c>
    </row>
    <row r="111" spans="1:3">
      <c r="A111" s="1" t="str">
        <f>時間希望調査!A111&amp;""</f>
        <v/>
      </c>
      <c r="B111" s="1" t="str">
        <f>時間希望調査!B111&amp;""</f>
        <v/>
      </c>
      <c r="C111" s="1" t="str">
        <f>時間希望調査!C111&amp;""</f>
        <v/>
      </c>
    </row>
    <row r="112" spans="1:3">
      <c r="A112" s="1" t="str">
        <f>時間希望調査!A112&amp;""</f>
        <v/>
      </c>
      <c r="B112" s="1" t="str">
        <f>時間希望調査!B112&amp;""</f>
        <v/>
      </c>
      <c r="C112" s="1" t="str">
        <f>時間希望調査!C112&amp;""</f>
        <v/>
      </c>
    </row>
    <row r="113" spans="1:3">
      <c r="A113" s="1" t="str">
        <f>時間希望調査!A113&amp;""</f>
        <v/>
      </c>
      <c r="B113" s="1" t="str">
        <f>時間希望調査!B113&amp;""</f>
        <v/>
      </c>
      <c r="C113" s="1" t="str">
        <f>時間希望調査!C113&amp;""</f>
        <v/>
      </c>
    </row>
    <row r="114" spans="1:3">
      <c r="A114" s="1" t="str">
        <f>時間希望調査!A114&amp;""</f>
        <v/>
      </c>
      <c r="B114" s="1" t="str">
        <f>時間希望調査!B114&amp;""</f>
        <v/>
      </c>
      <c r="C114" s="1" t="str">
        <f>時間希望調査!C114&amp;""</f>
        <v/>
      </c>
    </row>
    <row r="115" spans="1:3">
      <c r="A115" s="1" t="str">
        <f>時間希望調査!A115&amp;""</f>
        <v/>
      </c>
      <c r="B115" s="1" t="str">
        <f>時間希望調査!B115&amp;""</f>
        <v/>
      </c>
      <c r="C115" s="1" t="str">
        <f>時間希望調査!C115&amp;""</f>
        <v/>
      </c>
    </row>
    <row r="116" spans="1:3">
      <c r="A116" s="1" t="str">
        <f>時間希望調査!A116&amp;""</f>
        <v/>
      </c>
      <c r="B116" s="1" t="str">
        <f>時間希望調査!B116&amp;""</f>
        <v/>
      </c>
      <c r="C116" s="1" t="str">
        <f>時間希望調査!C116&amp;""</f>
        <v/>
      </c>
    </row>
    <row r="117" spans="1:3">
      <c r="A117" s="1" t="str">
        <f>時間希望調査!A117&amp;""</f>
        <v/>
      </c>
      <c r="B117" s="1" t="str">
        <f>時間希望調査!B117&amp;""</f>
        <v/>
      </c>
      <c r="C117" s="1" t="str">
        <f>時間希望調査!C117&amp;""</f>
        <v/>
      </c>
    </row>
    <row r="118" spans="1:3">
      <c r="A118" s="1" t="str">
        <f>時間希望調査!A118&amp;""</f>
        <v/>
      </c>
      <c r="B118" s="1" t="str">
        <f>時間希望調査!B118&amp;""</f>
        <v/>
      </c>
      <c r="C118" s="1" t="str">
        <f>時間希望調査!C118&amp;""</f>
        <v/>
      </c>
    </row>
    <row r="119" spans="1:3">
      <c r="A119" s="1" t="str">
        <f>時間希望調査!A119&amp;""</f>
        <v/>
      </c>
      <c r="B119" s="1" t="str">
        <f>時間希望調査!B119&amp;""</f>
        <v/>
      </c>
      <c r="C119" s="1" t="str">
        <f>時間希望調査!C119&amp;""</f>
        <v/>
      </c>
    </row>
    <row r="120" spans="1:3">
      <c r="A120" s="1" t="str">
        <f>時間希望調査!A120&amp;""</f>
        <v/>
      </c>
      <c r="B120" s="1" t="str">
        <f>時間希望調査!B120&amp;""</f>
        <v/>
      </c>
      <c r="C120" s="1" t="str">
        <f>時間希望調査!C120&amp;""</f>
        <v/>
      </c>
    </row>
    <row r="121" spans="1:3">
      <c r="A121" s="1" t="str">
        <f>時間希望調査!A121&amp;""</f>
        <v/>
      </c>
      <c r="B121" s="1" t="str">
        <f>時間希望調査!B121&amp;""</f>
        <v/>
      </c>
      <c r="C121" s="1" t="str">
        <f>時間希望調査!C121&amp;""</f>
        <v/>
      </c>
    </row>
    <row r="122" spans="1:3">
      <c r="A122" s="1" t="str">
        <f>時間希望調査!A122&amp;""</f>
        <v/>
      </c>
      <c r="B122" s="1" t="str">
        <f>時間希望調査!B122&amp;""</f>
        <v/>
      </c>
      <c r="C122" s="1" t="str">
        <f>時間希望調査!C122&amp;""</f>
        <v/>
      </c>
    </row>
    <row r="123" spans="1:3">
      <c r="A123" s="1" t="str">
        <f>時間希望調査!A123&amp;""</f>
        <v/>
      </c>
      <c r="B123" s="1" t="str">
        <f>時間希望調査!B123&amp;""</f>
        <v/>
      </c>
      <c r="C123" s="1" t="str">
        <f>時間希望調査!C123&amp;""</f>
        <v/>
      </c>
    </row>
    <row r="124" spans="1:3">
      <c r="A124" s="1" t="str">
        <f>時間希望調査!A124&amp;""</f>
        <v/>
      </c>
      <c r="B124" s="1" t="str">
        <f>時間希望調査!B124&amp;""</f>
        <v/>
      </c>
      <c r="C124" s="1" t="str">
        <f>時間希望調査!C124&amp;""</f>
        <v/>
      </c>
    </row>
    <row r="125" spans="1:3">
      <c r="A125" s="1" t="str">
        <f>時間希望調査!A125&amp;""</f>
        <v/>
      </c>
      <c r="B125" s="1" t="str">
        <f>時間希望調査!B125&amp;""</f>
        <v/>
      </c>
      <c r="C125" s="1" t="str">
        <f>時間希望調査!C125&amp;""</f>
        <v/>
      </c>
    </row>
    <row r="126" spans="1:3">
      <c r="A126" s="1" t="str">
        <f>時間希望調査!A126&amp;""</f>
        <v/>
      </c>
      <c r="B126" s="1" t="str">
        <f>時間希望調査!B126&amp;""</f>
        <v/>
      </c>
      <c r="C126" s="1" t="str">
        <f>時間希望調査!C126&amp;""</f>
        <v/>
      </c>
    </row>
    <row r="127" spans="1:3">
      <c r="A127" s="1" t="str">
        <f>時間希望調査!A127&amp;""</f>
        <v/>
      </c>
      <c r="B127" s="1" t="str">
        <f>時間希望調査!B127&amp;""</f>
        <v/>
      </c>
      <c r="C127" s="1" t="str">
        <f>時間希望調査!C127&amp;""</f>
        <v/>
      </c>
    </row>
    <row r="128" spans="1:3">
      <c r="A128" s="1" t="str">
        <f>時間希望調査!A128&amp;""</f>
        <v/>
      </c>
      <c r="B128" s="1" t="str">
        <f>時間希望調査!B128&amp;""</f>
        <v/>
      </c>
      <c r="C128" s="1" t="str">
        <f>時間希望調査!C128&amp;""</f>
        <v/>
      </c>
    </row>
    <row r="129" spans="1:3">
      <c r="A129" s="1" t="str">
        <f>時間希望調査!A129&amp;""</f>
        <v/>
      </c>
      <c r="B129" s="1" t="str">
        <f>時間希望調査!B129&amp;""</f>
        <v/>
      </c>
      <c r="C129" s="1" t="str">
        <f>時間希望調査!C129&amp;""</f>
        <v/>
      </c>
    </row>
    <row r="130" spans="1:3">
      <c r="A130" s="1" t="str">
        <f>時間希望調査!A130&amp;""</f>
        <v/>
      </c>
      <c r="B130" s="1" t="str">
        <f>時間希望調査!B130&amp;""</f>
        <v/>
      </c>
      <c r="C130" s="1" t="str">
        <f>時間希望調査!C130&amp;""</f>
        <v/>
      </c>
    </row>
    <row r="131" spans="1:3">
      <c r="A131" s="1" t="str">
        <f>時間希望調査!A131&amp;""</f>
        <v/>
      </c>
      <c r="B131" s="1" t="str">
        <f>時間希望調査!B131&amp;""</f>
        <v/>
      </c>
      <c r="C131" s="1" t="str">
        <f>時間希望調査!C131&amp;""</f>
        <v/>
      </c>
    </row>
    <row r="132" spans="1:3">
      <c r="A132" s="1" t="str">
        <f>時間希望調査!A132&amp;""</f>
        <v/>
      </c>
      <c r="B132" s="1" t="str">
        <f>時間希望調査!B132&amp;""</f>
        <v/>
      </c>
      <c r="C132" s="1" t="str">
        <f>時間希望調査!C132&amp;""</f>
        <v/>
      </c>
    </row>
    <row r="133" spans="1:3">
      <c r="A133" s="1" t="str">
        <f>時間希望調査!A133&amp;""</f>
        <v/>
      </c>
      <c r="B133" s="1" t="str">
        <f>時間希望調査!B133&amp;""</f>
        <v/>
      </c>
      <c r="C133" s="1" t="str">
        <f>時間希望調査!C133&amp;""</f>
        <v/>
      </c>
    </row>
    <row r="134" spans="1:3">
      <c r="A134" s="1" t="str">
        <f>時間希望調査!A134&amp;""</f>
        <v/>
      </c>
      <c r="B134" s="1" t="str">
        <f>時間希望調査!B134&amp;""</f>
        <v/>
      </c>
      <c r="C134" s="1" t="str">
        <f>時間希望調査!C134&amp;""</f>
        <v/>
      </c>
    </row>
    <row r="135" spans="1:3">
      <c r="A135" s="1" t="str">
        <f>時間希望調査!A135&amp;""</f>
        <v/>
      </c>
      <c r="B135" s="1" t="str">
        <f>時間希望調査!B135&amp;""</f>
        <v/>
      </c>
      <c r="C135" s="1" t="str">
        <f>時間希望調査!C135&amp;""</f>
        <v/>
      </c>
    </row>
    <row r="136" spans="1:3">
      <c r="A136" s="1" t="str">
        <f>時間希望調査!A136&amp;""</f>
        <v/>
      </c>
      <c r="B136" s="1" t="str">
        <f>時間希望調査!B136&amp;""</f>
        <v/>
      </c>
      <c r="C136" s="1" t="str">
        <f>時間希望調査!C136&amp;""</f>
        <v/>
      </c>
    </row>
    <row r="137" spans="1:3">
      <c r="A137" s="1" t="str">
        <f>時間希望調査!A137&amp;""</f>
        <v/>
      </c>
      <c r="B137" s="1" t="str">
        <f>時間希望調査!B137&amp;""</f>
        <v/>
      </c>
      <c r="C137" s="1" t="str">
        <f>時間希望調査!C137&amp;""</f>
        <v/>
      </c>
    </row>
    <row r="138" spans="1:3">
      <c r="A138" s="1" t="str">
        <f>時間希望調査!A138&amp;""</f>
        <v/>
      </c>
      <c r="B138" s="1" t="str">
        <f>時間希望調査!B138&amp;""</f>
        <v/>
      </c>
      <c r="C138" s="1" t="str">
        <f>時間希望調査!C138&amp;""</f>
        <v/>
      </c>
    </row>
    <row r="139" spans="1:3">
      <c r="A139" s="1" t="str">
        <f>時間希望調査!A139&amp;""</f>
        <v/>
      </c>
      <c r="B139" s="1" t="str">
        <f>時間希望調査!B139&amp;""</f>
        <v/>
      </c>
      <c r="C139" s="1" t="str">
        <f>時間希望調査!C139&amp;""</f>
        <v/>
      </c>
    </row>
    <row r="140" spans="1:3">
      <c r="A140" s="1" t="str">
        <f>時間希望調査!A140&amp;""</f>
        <v/>
      </c>
      <c r="B140" s="1" t="str">
        <f>時間希望調査!B140&amp;""</f>
        <v/>
      </c>
      <c r="C140" s="1" t="str">
        <f>時間希望調査!C140&amp;""</f>
        <v/>
      </c>
    </row>
    <row r="141" spans="1:3">
      <c r="A141" s="1" t="str">
        <f>時間希望調査!A141&amp;""</f>
        <v/>
      </c>
      <c r="B141" s="1" t="str">
        <f>時間希望調査!B141&amp;""</f>
        <v/>
      </c>
      <c r="C141" s="1" t="str">
        <f>時間希望調査!C141&amp;""</f>
        <v/>
      </c>
    </row>
    <row r="142" spans="1:3">
      <c r="A142" s="1" t="str">
        <f>時間希望調査!A142&amp;""</f>
        <v/>
      </c>
      <c r="B142" s="1" t="str">
        <f>時間希望調査!B142&amp;""</f>
        <v/>
      </c>
      <c r="C142" s="1" t="str">
        <f>時間希望調査!C142&amp;""</f>
        <v/>
      </c>
    </row>
    <row r="143" spans="1:3">
      <c r="A143" s="1" t="str">
        <f>時間希望調査!A143&amp;""</f>
        <v/>
      </c>
      <c r="B143" s="1" t="str">
        <f>時間希望調査!B143&amp;""</f>
        <v/>
      </c>
      <c r="C143" s="1" t="str">
        <f>時間希望調査!C143&amp;""</f>
        <v/>
      </c>
    </row>
    <row r="144" spans="1:3">
      <c r="A144" s="1" t="str">
        <f>時間希望調査!A144&amp;""</f>
        <v/>
      </c>
      <c r="B144" s="1" t="str">
        <f>時間希望調査!B144&amp;""</f>
        <v/>
      </c>
      <c r="C144" s="1" t="str">
        <f>時間希望調査!C144&amp;""</f>
        <v/>
      </c>
    </row>
    <row r="145" spans="1:3">
      <c r="A145" s="1" t="str">
        <f>時間希望調査!A145&amp;""</f>
        <v/>
      </c>
      <c r="B145" s="1" t="str">
        <f>時間希望調査!B145&amp;""</f>
        <v/>
      </c>
      <c r="C145" s="1" t="str">
        <f>時間希望調査!C145&amp;""</f>
        <v/>
      </c>
    </row>
    <row r="146" spans="1:3">
      <c r="A146" s="1" t="str">
        <f>時間希望調査!A146&amp;""</f>
        <v/>
      </c>
      <c r="B146" s="1" t="str">
        <f>時間希望調査!B146&amp;""</f>
        <v/>
      </c>
      <c r="C146" s="1" t="str">
        <f>時間希望調査!C146&amp;""</f>
        <v/>
      </c>
    </row>
    <row r="147" spans="1:3">
      <c r="A147" s="1" t="str">
        <f>時間希望調査!A147&amp;""</f>
        <v/>
      </c>
      <c r="B147" s="1" t="str">
        <f>時間希望調査!B147&amp;""</f>
        <v/>
      </c>
      <c r="C147" s="1" t="str">
        <f>時間希望調査!C147&amp;""</f>
        <v/>
      </c>
    </row>
    <row r="148" spans="1:3">
      <c r="A148" s="1" t="str">
        <f>時間希望調査!A148&amp;""</f>
        <v/>
      </c>
      <c r="B148" s="1" t="str">
        <f>時間希望調査!B148&amp;""</f>
        <v/>
      </c>
      <c r="C148" s="1" t="str">
        <f>時間希望調査!C148&amp;""</f>
        <v/>
      </c>
    </row>
    <row r="149" spans="1:3">
      <c r="A149" s="1" t="str">
        <f>時間希望調査!A149&amp;""</f>
        <v/>
      </c>
      <c r="B149" s="1" t="str">
        <f>時間希望調査!B149&amp;""</f>
        <v/>
      </c>
      <c r="C149" s="1" t="str">
        <f>時間希望調査!C149&amp;""</f>
        <v/>
      </c>
    </row>
    <row r="150" spans="1:3">
      <c r="A150" s="1" t="str">
        <f>時間希望調査!A150&amp;""</f>
        <v/>
      </c>
      <c r="B150" s="1" t="str">
        <f>時間希望調査!B150&amp;""</f>
        <v/>
      </c>
      <c r="C150" s="1" t="str">
        <f>時間希望調査!C150&amp;""</f>
        <v/>
      </c>
    </row>
    <row r="151" spans="1:3">
      <c r="A151" s="1" t="str">
        <f>時間希望調査!A151&amp;""</f>
        <v/>
      </c>
      <c r="B151" s="1" t="str">
        <f>時間希望調査!B151&amp;""</f>
        <v/>
      </c>
      <c r="C151" s="1" t="str">
        <f>時間希望調査!C151&amp;""</f>
        <v/>
      </c>
    </row>
    <row r="152" spans="1:3">
      <c r="A152" s="1" t="str">
        <f>時間希望調査!A152&amp;""</f>
        <v/>
      </c>
      <c r="B152" s="1" t="str">
        <f>時間希望調査!B152&amp;""</f>
        <v/>
      </c>
      <c r="C152" s="1" t="str">
        <f>時間希望調査!C152&amp;""</f>
        <v/>
      </c>
    </row>
    <row r="153" spans="1:3">
      <c r="A153" s="1" t="str">
        <f>時間希望調査!A153&amp;""</f>
        <v/>
      </c>
      <c r="B153" s="1" t="str">
        <f>時間希望調査!B153&amp;""</f>
        <v/>
      </c>
      <c r="C153" s="1" t="str">
        <f>時間希望調査!C153&amp;""</f>
        <v/>
      </c>
    </row>
    <row r="154" spans="1:3">
      <c r="A154" s="1" t="str">
        <f>時間希望調査!A154&amp;""</f>
        <v/>
      </c>
      <c r="B154" s="1" t="str">
        <f>時間希望調査!B154&amp;""</f>
        <v/>
      </c>
      <c r="C154" s="1" t="str">
        <f>時間希望調査!C154&amp;""</f>
        <v/>
      </c>
    </row>
    <row r="155" spans="1:3">
      <c r="A155" s="1" t="str">
        <f>時間希望調査!A155&amp;""</f>
        <v/>
      </c>
      <c r="B155" s="1" t="str">
        <f>時間希望調査!B155&amp;""</f>
        <v/>
      </c>
      <c r="C155" s="1" t="str">
        <f>時間希望調査!C155&amp;""</f>
        <v/>
      </c>
    </row>
    <row r="156" spans="1:3">
      <c r="A156" s="1" t="str">
        <f>時間希望調査!A156&amp;""</f>
        <v/>
      </c>
      <c r="B156" s="1" t="str">
        <f>時間希望調査!B156&amp;""</f>
        <v/>
      </c>
      <c r="C156" s="1" t="str">
        <f>時間希望調査!C156&amp;""</f>
        <v/>
      </c>
    </row>
    <row r="157" spans="1:3">
      <c r="A157" s="1" t="str">
        <f>時間希望調査!A157&amp;""</f>
        <v/>
      </c>
      <c r="B157" s="1" t="str">
        <f>時間希望調査!B157&amp;""</f>
        <v/>
      </c>
      <c r="C157" s="1" t="str">
        <f>時間希望調査!C157&amp;""</f>
        <v/>
      </c>
    </row>
    <row r="158" spans="1:3">
      <c r="A158" s="1" t="str">
        <f>時間希望調査!A158&amp;""</f>
        <v/>
      </c>
      <c r="B158" s="1" t="str">
        <f>時間希望調査!B158&amp;""</f>
        <v/>
      </c>
      <c r="C158" s="1" t="str">
        <f>時間希望調査!C158&amp;""</f>
        <v/>
      </c>
    </row>
    <row r="159" spans="1:3">
      <c r="A159" s="1" t="str">
        <f>時間希望調査!A159&amp;""</f>
        <v/>
      </c>
      <c r="B159" s="1" t="str">
        <f>時間希望調査!B159&amp;""</f>
        <v/>
      </c>
      <c r="C159" s="1" t="str">
        <f>時間希望調査!C159&amp;""</f>
        <v/>
      </c>
    </row>
    <row r="160" spans="1:3">
      <c r="A160" s="1" t="str">
        <f>時間希望調査!A160&amp;""</f>
        <v/>
      </c>
      <c r="B160" s="1" t="str">
        <f>時間希望調査!B160&amp;""</f>
        <v/>
      </c>
      <c r="C160" s="1" t="str">
        <f>時間希望調査!C160&amp;""</f>
        <v/>
      </c>
    </row>
    <row r="161" spans="1:3">
      <c r="A161" s="1" t="str">
        <f>時間希望調査!A161&amp;""</f>
        <v/>
      </c>
      <c r="B161" s="1" t="str">
        <f>時間希望調査!B161&amp;""</f>
        <v/>
      </c>
      <c r="C161" s="1" t="str">
        <f>時間希望調査!C161&amp;""</f>
        <v/>
      </c>
    </row>
    <row r="162" spans="1:3">
      <c r="A162" s="1" t="str">
        <f>時間希望調査!A162&amp;""</f>
        <v/>
      </c>
      <c r="B162" s="1" t="str">
        <f>時間希望調査!B162&amp;""</f>
        <v/>
      </c>
      <c r="C162" s="1" t="str">
        <f>時間希望調査!C162&amp;""</f>
        <v/>
      </c>
    </row>
    <row r="163" spans="1:3">
      <c r="A163" s="1" t="str">
        <f>時間希望調査!A163&amp;""</f>
        <v/>
      </c>
      <c r="B163" s="1" t="str">
        <f>時間希望調査!B163&amp;""</f>
        <v/>
      </c>
      <c r="C163" s="1" t="str">
        <f>時間希望調査!C163&amp;""</f>
        <v/>
      </c>
    </row>
    <row r="164" spans="1:3">
      <c r="A164" s="1" t="str">
        <f>時間希望調査!A164&amp;""</f>
        <v/>
      </c>
      <c r="B164" s="1" t="str">
        <f>時間希望調査!B164&amp;""</f>
        <v/>
      </c>
      <c r="C164" s="1" t="str">
        <f>時間希望調査!C164&amp;""</f>
        <v/>
      </c>
    </row>
    <row r="165" spans="1:3">
      <c r="A165" s="1" t="str">
        <f>時間希望調査!A165&amp;""</f>
        <v/>
      </c>
      <c r="B165" s="1" t="str">
        <f>時間希望調査!B165&amp;""</f>
        <v/>
      </c>
      <c r="C165" s="1" t="str">
        <f>時間希望調査!C165&amp;""</f>
        <v/>
      </c>
    </row>
    <row r="166" spans="1:3">
      <c r="A166" s="1" t="str">
        <f>時間希望調査!A166&amp;""</f>
        <v/>
      </c>
      <c r="B166" s="1" t="str">
        <f>時間希望調査!B166&amp;""</f>
        <v/>
      </c>
      <c r="C166" s="1" t="str">
        <f>時間希望調査!C166&amp;""</f>
        <v/>
      </c>
    </row>
    <row r="167" spans="1:3">
      <c r="A167" s="1" t="str">
        <f>時間希望調査!A167&amp;""</f>
        <v/>
      </c>
      <c r="B167" s="1" t="str">
        <f>時間希望調査!B167&amp;""</f>
        <v/>
      </c>
      <c r="C167" s="1" t="str">
        <f>時間希望調査!C167&amp;""</f>
        <v/>
      </c>
    </row>
    <row r="168" spans="1:3">
      <c r="A168" s="1" t="str">
        <f>時間希望調査!A168&amp;""</f>
        <v/>
      </c>
      <c r="B168" s="1" t="str">
        <f>時間希望調査!B168&amp;""</f>
        <v/>
      </c>
      <c r="C168" s="1" t="str">
        <f>時間希望調査!C168&amp;""</f>
        <v/>
      </c>
    </row>
    <row r="169" spans="1:3">
      <c r="A169" s="1" t="str">
        <f>時間希望調査!A169&amp;""</f>
        <v/>
      </c>
      <c r="B169" s="1" t="str">
        <f>時間希望調査!B169&amp;""</f>
        <v/>
      </c>
      <c r="C169" s="1" t="str">
        <f>時間希望調査!C169&amp;""</f>
        <v/>
      </c>
    </row>
    <row r="170" spans="1:3">
      <c r="A170" s="1" t="str">
        <f>時間希望調査!A170&amp;""</f>
        <v/>
      </c>
      <c r="B170" s="1" t="str">
        <f>時間希望調査!B170&amp;""</f>
        <v/>
      </c>
      <c r="C170" s="1" t="str">
        <f>時間希望調査!C170&amp;""</f>
        <v/>
      </c>
    </row>
    <row r="171" spans="1:3">
      <c r="A171" s="1" t="str">
        <f>時間希望調査!A171&amp;""</f>
        <v/>
      </c>
      <c r="B171" s="1" t="str">
        <f>時間希望調査!B171&amp;""</f>
        <v/>
      </c>
      <c r="C171" s="1" t="str">
        <f>時間希望調査!C171&amp;""</f>
        <v/>
      </c>
    </row>
    <row r="172" spans="1:3">
      <c r="A172" s="1" t="str">
        <f>時間希望調査!A172&amp;""</f>
        <v/>
      </c>
      <c r="B172" s="1" t="str">
        <f>時間希望調査!B172&amp;""</f>
        <v/>
      </c>
      <c r="C172" s="1" t="str">
        <f>時間希望調査!C172&amp;""</f>
        <v/>
      </c>
    </row>
    <row r="173" spans="1:3">
      <c r="A173" s="1" t="str">
        <f>時間希望調査!A173&amp;""</f>
        <v/>
      </c>
      <c r="B173" s="1" t="str">
        <f>時間希望調査!B173&amp;""</f>
        <v/>
      </c>
      <c r="C173" s="1" t="str">
        <f>時間希望調査!C173&amp;""</f>
        <v/>
      </c>
    </row>
    <row r="174" spans="1:3">
      <c r="A174" s="1" t="str">
        <f>時間希望調査!A174&amp;""</f>
        <v/>
      </c>
      <c r="B174" s="1" t="str">
        <f>時間希望調査!B174&amp;""</f>
        <v/>
      </c>
      <c r="C174" s="1" t="str">
        <f>時間希望調査!C174&amp;""</f>
        <v/>
      </c>
    </row>
    <row r="175" spans="1:3">
      <c r="A175" s="1" t="str">
        <f>時間希望調査!A175&amp;""</f>
        <v/>
      </c>
      <c r="B175" s="1" t="str">
        <f>時間希望調査!B175&amp;""</f>
        <v/>
      </c>
      <c r="C175" s="1" t="str">
        <f>時間希望調査!C175&amp;""</f>
        <v/>
      </c>
    </row>
    <row r="176" spans="1:3">
      <c r="A176" s="1" t="str">
        <f>時間希望調査!A176&amp;""</f>
        <v/>
      </c>
      <c r="B176" s="1" t="str">
        <f>時間希望調査!B176&amp;""</f>
        <v/>
      </c>
      <c r="C176" s="1" t="str">
        <f>時間希望調査!C176&amp;""</f>
        <v/>
      </c>
    </row>
    <row r="177" spans="1:3">
      <c r="A177" s="1" t="str">
        <f>時間希望調査!A177&amp;""</f>
        <v/>
      </c>
      <c r="B177" s="1" t="str">
        <f>時間希望調査!B177&amp;""</f>
        <v/>
      </c>
      <c r="C177" s="1" t="str">
        <f>時間希望調査!C177&amp;""</f>
        <v/>
      </c>
    </row>
    <row r="178" spans="1:3">
      <c r="A178" s="1" t="str">
        <f>時間希望調査!A178&amp;""</f>
        <v/>
      </c>
      <c r="B178" s="1" t="str">
        <f>時間希望調査!B178&amp;""</f>
        <v/>
      </c>
      <c r="C178" s="1" t="str">
        <f>時間希望調査!C178&amp;""</f>
        <v/>
      </c>
    </row>
    <row r="179" spans="1:3">
      <c r="A179" s="1" t="str">
        <f>時間希望調査!A179&amp;""</f>
        <v/>
      </c>
      <c r="B179" s="1" t="str">
        <f>時間希望調査!B179&amp;""</f>
        <v/>
      </c>
      <c r="C179" s="1" t="str">
        <f>時間希望調査!C179&amp;""</f>
        <v/>
      </c>
    </row>
    <row r="180" spans="1:3">
      <c r="A180" s="1" t="str">
        <f>時間希望調査!A180&amp;""</f>
        <v/>
      </c>
      <c r="B180" s="1" t="str">
        <f>時間希望調査!B180&amp;""</f>
        <v/>
      </c>
      <c r="C180" s="1" t="str">
        <f>時間希望調査!C180&amp;""</f>
        <v/>
      </c>
    </row>
    <row r="181" spans="1:3">
      <c r="A181" s="1" t="str">
        <f>時間希望調査!A181&amp;""</f>
        <v/>
      </c>
      <c r="B181" s="1" t="str">
        <f>時間希望調査!B181&amp;""</f>
        <v/>
      </c>
      <c r="C181" s="1" t="str">
        <f>時間希望調査!C181&amp;""</f>
        <v/>
      </c>
    </row>
    <row r="182" spans="1:3">
      <c r="A182" s="1" t="str">
        <f>時間希望調査!A182&amp;""</f>
        <v/>
      </c>
      <c r="B182" s="1" t="str">
        <f>時間希望調査!B182&amp;""</f>
        <v/>
      </c>
      <c r="C182" s="1" t="str">
        <f>時間希望調査!C182&amp;""</f>
        <v/>
      </c>
    </row>
    <row r="183" spans="1:3">
      <c r="A183" s="1" t="str">
        <f>時間希望調査!A183&amp;""</f>
        <v/>
      </c>
      <c r="B183" s="1" t="str">
        <f>時間希望調査!B183&amp;""</f>
        <v/>
      </c>
      <c r="C183" s="1" t="str">
        <f>時間希望調査!C183&amp;""</f>
        <v/>
      </c>
    </row>
    <row r="184" spans="1:3">
      <c r="A184" s="1" t="str">
        <f>時間希望調査!A184&amp;""</f>
        <v/>
      </c>
      <c r="B184" s="1" t="str">
        <f>時間希望調査!B184&amp;""</f>
        <v/>
      </c>
      <c r="C184" s="1" t="str">
        <f>時間希望調査!C184&amp;""</f>
        <v/>
      </c>
    </row>
    <row r="185" spans="1:3">
      <c r="A185" s="1" t="str">
        <f>時間希望調査!A185&amp;""</f>
        <v/>
      </c>
      <c r="B185" s="1" t="str">
        <f>時間希望調査!B185&amp;""</f>
        <v/>
      </c>
      <c r="C185" s="1" t="str">
        <f>時間希望調査!C185&amp;""</f>
        <v/>
      </c>
    </row>
    <row r="186" spans="1:3">
      <c r="A186" s="1" t="str">
        <f>時間希望調査!A186&amp;""</f>
        <v/>
      </c>
      <c r="B186" s="1" t="str">
        <f>時間希望調査!B186&amp;""</f>
        <v/>
      </c>
      <c r="C186" s="1" t="str">
        <f>時間希望調査!C186&amp;""</f>
        <v/>
      </c>
    </row>
    <row r="187" spans="1:3">
      <c r="A187" s="1" t="str">
        <f>時間希望調査!A187&amp;""</f>
        <v/>
      </c>
      <c r="B187" s="1" t="str">
        <f>時間希望調査!B187&amp;""</f>
        <v/>
      </c>
      <c r="C187" s="1" t="str">
        <f>時間希望調査!C187&amp;""</f>
        <v/>
      </c>
    </row>
    <row r="188" spans="1:3">
      <c r="A188" s="1" t="str">
        <f>時間希望調査!A188&amp;""</f>
        <v/>
      </c>
      <c r="B188" s="1" t="str">
        <f>時間希望調査!B188&amp;""</f>
        <v/>
      </c>
      <c r="C188" s="1" t="str">
        <f>時間希望調査!C188&amp;""</f>
        <v/>
      </c>
    </row>
    <row r="189" spans="1:3">
      <c r="A189" s="1" t="str">
        <f>時間希望調査!A189&amp;""</f>
        <v/>
      </c>
      <c r="B189" s="1" t="str">
        <f>時間希望調査!B189&amp;""</f>
        <v/>
      </c>
      <c r="C189" s="1" t="str">
        <f>時間希望調査!C189&amp;""</f>
        <v/>
      </c>
    </row>
    <row r="190" spans="1:3">
      <c r="A190" s="1" t="str">
        <f>時間希望調査!A190&amp;""</f>
        <v/>
      </c>
      <c r="B190" s="1" t="str">
        <f>時間希望調査!B190&amp;""</f>
        <v/>
      </c>
      <c r="C190" s="1" t="str">
        <f>時間希望調査!C190&amp;""</f>
        <v/>
      </c>
    </row>
    <row r="191" spans="1:3">
      <c r="A191" s="1" t="str">
        <f>時間希望調査!A191&amp;""</f>
        <v/>
      </c>
      <c r="B191" s="1" t="str">
        <f>時間希望調査!B191&amp;""</f>
        <v/>
      </c>
      <c r="C191" s="1" t="str">
        <f>時間希望調査!C191&amp;""</f>
        <v/>
      </c>
    </row>
    <row r="192" spans="1:3">
      <c r="A192" s="1" t="str">
        <f>時間希望調査!A192&amp;""</f>
        <v/>
      </c>
      <c r="B192" s="1" t="str">
        <f>時間希望調査!B192&amp;""</f>
        <v/>
      </c>
      <c r="C192" s="1" t="str">
        <f>時間希望調査!C192&amp;""</f>
        <v/>
      </c>
    </row>
    <row r="193" spans="1:3">
      <c r="A193" s="1" t="str">
        <f>時間希望調査!A193&amp;""</f>
        <v/>
      </c>
      <c r="B193" s="1" t="str">
        <f>時間希望調査!B193&amp;""</f>
        <v/>
      </c>
      <c r="C193" s="1" t="str">
        <f>時間希望調査!C193&amp;""</f>
        <v/>
      </c>
    </row>
    <row r="194" spans="1:3">
      <c r="A194" s="1" t="str">
        <f>時間希望調査!A194&amp;""</f>
        <v/>
      </c>
      <c r="B194" s="1" t="str">
        <f>時間希望調査!B194&amp;""</f>
        <v/>
      </c>
      <c r="C194" s="1" t="str">
        <f>時間希望調査!C194&amp;""</f>
        <v/>
      </c>
    </row>
    <row r="195" spans="1:3">
      <c r="A195" s="1" t="str">
        <f>時間希望調査!A195&amp;""</f>
        <v/>
      </c>
      <c r="B195" s="1" t="str">
        <f>時間希望調査!B195&amp;""</f>
        <v/>
      </c>
      <c r="C195" s="1" t="str">
        <f>時間希望調査!C195&amp;""</f>
        <v/>
      </c>
    </row>
    <row r="196" spans="1:3">
      <c r="A196" s="1" t="str">
        <f>時間希望調査!A196&amp;""</f>
        <v/>
      </c>
      <c r="B196" s="1" t="str">
        <f>時間希望調査!B196&amp;""</f>
        <v/>
      </c>
      <c r="C196" s="1" t="str">
        <f>時間希望調査!C196&amp;""</f>
        <v/>
      </c>
    </row>
    <row r="197" spans="1:3">
      <c r="A197" s="1" t="str">
        <f>時間希望調査!A197&amp;""</f>
        <v/>
      </c>
      <c r="B197" s="1" t="str">
        <f>時間希望調査!B197&amp;""</f>
        <v/>
      </c>
      <c r="C197" s="1" t="str">
        <f>時間希望調査!C197&amp;""</f>
        <v/>
      </c>
    </row>
    <row r="198" spans="1:3">
      <c r="A198" s="1" t="str">
        <f>時間希望調査!A198&amp;""</f>
        <v/>
      </c>
      <c r="B198" s="1" t="str">
        <f>時間希望調査!B198&amp;""</f>
        <v/>
      </c>
      <c r="C198" s="1" t="str">
        <f>時間希望調査!C198&amp;""</f>
        <v/>
      </c>
    </row>
    <row r="199" spans="1:3">
      <c r="A199" s="1" t="str">
        <f>時間希望調査!A199&amp;""</f>
        <v/>
      </c>
      <c r="B199" s="1" t="str">
        <f>時間希望調査!B199&amp;""</f>
        <v/>
      </c>
      <c r="C199" s="1" t="str">
        <f>時間希望調査!C199&amp;""</f>
        <v/>
      </c>
    </row>
    <row r="200" spans="1:3">
      <c r="A200" s="1" t="str">
        <f>時間希望調査!A200&amp;""</f>
        <v/>
      </c>
      <c r="B200" s="1" t="str">
        <f>時間希望調査!B200&amp;""</f>
        <v/>
      </c>
      <c r="C200" s="1" t="str">
        <f>時間希望調査!C200&amp;""</f>
        <v/>
      </c>
    </row>
    <row r="201" spans="1:3">
      <c r="A201" s="1" t="str">
        <f>時間希望調査!A201&amp;""</f>
        <v/>
      </c>
      <c r="B201" s="1" t="str">
        <f>時間希望調査!B201&amp;""</f>
        <v/>
      </c>
      <c r="C201" s="1" t="str">
        <f>時間希望調査!C201&amp;""</f>
        <v/>
      </c>
    </row>
    <row r="202" spans="1:3">
      <c r="A202" s="1" t="str">
        <f>時間希望調査!A202&amp;""</f>
        <v/>
      </c>
      <c r="B202" s="1" t="str">
        <f>時間希望調査!B202&amp;""</f>
        <v/>
      </c>
      <c r="C202" s="1" t="str">
        <f>時間希望調査!C202&amp;""</f>
        <v/>
      </c>
    </row>
    <row r="203" spans="1:3">
      <c r="A203" s="1" t="str">
        <f>時間希望調査!A203&amp;""</f>
        <v/>
      </c>
      <c r="B203" s="1" t="str">
        <f>時間希望調査!B203&amp;""</f>
        <v/>
      </c>
      <c r="C203" s="1" t="str">
        <f>時間希望調査!C203&amp;""</f>
        <v/>
      </c>
    </row>
    <row r="204" spans="1:3">
      <c r="A204" s="1" t="str">
        <f>時間希望調査!A204&amp;""</f>
        <v/>
      </c>
      <c r="B204" s="1" t="str">
        <f>時間希望調査!B204&amp;""</f>
        <v/>
      </c>
      <c r="C204" s="1" t="str">
        <f>時間希望調査!C204&amp;""</f>
        <v/>
      </c>
    </row>
    <row r="205" spans="1:3">
      <c r="A205" s="1" t="str">
        <f>時間希望調査!A205&amp;""</f>
        <v/>
      </c>
      <c r="B205" s="1" t="str">
        <f>時間希望調査!B205&amp;""</f>
        <v/>
      </c>
      <c r="C205" s="1" t="str">
        <f>時間希望調査!C205&amp;""</f>
        <v/>
      </c>
    </row>
    <row r="206" spans="1:3">
      <c r="A206" s="1" t="str">
        <f>時間希望調査!A206&amp;""</f>
        <v/>
      </c>
      <c r="B206" s="1" t="str">
        <f>時間希望調査!B206&amp;""</f>
        <v/>
      </c>
      <c r="C206" s="1" t="str">
        <f>時間希望調査!C206&amp;""</f>
        <v/>
      </c>
    </row>
    <row r="207" spans="1:3">
      <c r="A207" s="1" t="str">
        <f>時間希望調査!A207&amp;""</f>
        <v/>
      </c>
      <c r="B207" s="1" t="str">
        <f>時間希望調査!B207&amp;""</f>
        <v/>
      </c>
      <c r="C207" s="1" t="str">
        <f>時間希望調査!C207&amp;""</f>
        <v/>
      </c>
    </row>
    <row r="208" spans="1:3">
      <c r="A208" s="1" t="str">
        <f>時間希望調査!A208&amp;""</f>
        <v/>
      </c>
      <c r="B208" s="1" t="str">
        <f>時間希望調査!B208&amp;""</f>
        <v/>
      </c>
      <c r="C208" s="1" t="str">
        <f>時間希望調査!C208&amp;""</f>
        <v/>
      </c>
    </row>
    <row r="209" spans="1:3">
      <c r="A209" s="1" t="str">
        <f>時間希望調査!A209&amp;""</f>
        <v/>
      </c>
      <c r="B209" s="1" t="str">
        <f>時間希望調査!B209&amp;""</f>
        <v/>
      </c>
      <c r="C209" s="1" t="str">
        <f>時間希望調査!C209&amp;""</f>
        <v/>
      </c>
    </row>
    <row r="210" spans="1:3">
      <c r="A210" s="1" t="str">
        <f>時間希望調査!A210&amp;""</f>
        <v/>
      </c>
      <c r="B210" s="1" t="str">
        <f>時間希望調査!B210&amp;""</f>
        <v/>
      </c>
      <c r="C210" s="1" t="str">
        <f>時間希望調査!C210&amp;""</f>
        <v/>
      </c>
    </row>
    <row r="211" spans="1:3">
      <c r="A211" s="1" t="str">
        <f>時間希望調査!A211&amp;""</f>
        <v/>
      </c>
      <c r="B211" s="1" t="str">
        <f>時間希望調査!B211&amp;""</f>
        <v/>
      </c>
      <c r="C211" s="1" t="str">
        <f>時間希望調査!C211&amp;""</f>
        <v/>
      </c>
    </row>
    <row r="212" spans="1:3">
      <c r="A212" s="1" t="str">
        <f>時間希望調査!A212&amp;""</f>
        <v/>
      </c>
      <c r="B212" s="1" t="str">
        <f>時間希望調査!B212&amp;""</f>
        <v/>
      </c>
      <c r="C212" s="1" t="str">
        <f>時間希望調査!C212&amp;""</f>
        <v/>
      </c>
    </row>
    <row r="213" spans="1:3">
      <c r="A213" s="1" t="str">
        <f>時間希望調査!A213&amp;""</f>
        <v/>
      </c>
      <c r="B213" s="1" t="str">
        <f>時間希望調査!B213&amp;""</f>
        <v/>
      </c>
      <c r="C213" s="1" t="str">
        <f>時間希望調査!C213&amp;""</f>
        <v/>
      </c>
    </row>
    <row r="214" spans="1:3">
      <c r="A214" s="1" t="str">
        <f>時間希望調査!A214&amp;""</f>
        <v/>
      </c>
      <c r="B214" s="1" t="str">
        <f>時間希望調査!B214&amp;""</f>
        <v/>
      </c>
      <c r="C214" s="1" t="str">
        <f>時間希望調査!C214&amp;""</f>
        <v/>
      </c>
    </row>
    <row r="215" spans="1:3">
      <c r="A215" s="1" t="str">
        <f>時間希望調査!A215&amp;""</f>
        <v/>
      </c>
      <c r="B215" s="1" t="str">
        <f>時間希望調査!B215&amp;""</f>
        <v/>
      </c>
      <c r="C215" s="1" t="str">
        <f>時間希望調査!C215&amp;""</f>
        <v/>
      </c>
    </row>
    <row r="216" spans="1:3">
      <c r="A216" s="1" t="str">
        <f>時間希望調査!A216&amp;""</f>
        <v/>
      </c>
      <c r="B216" s="1" t="str">
        <f>時間希望調査!B216&amp;""</f>
        <v/>
      </c>
      <c r="C216" s="1" t="str">
        <f>時間希望調査!C216&amp;""</f>
        <v/>
      </c>
    </row>
    <row r="217" spans="1:3">
      <c r="A217" s="1" t="str">
        <f>時間希望調査!A217&amp;""</f>
        <v/>
      </c>
      <c r="B217" s="1" t="str">
        <f>時間希望調査!B217&amp;""</f>
        <v/>
      </c>
      <c r="C217" s="1" t="str">
        <f>時間希望調査!C217&amp;""</f>
        <v/>
      </c>
    </row>
    <row r="218" spans="1:3">
      <c r="A218" s="1" t="str">
        <f>時間希望調査!A218&amp;""</f>
        <v/>
      </c>
      <c r="B218" s="1" t="str">
        <f>時間希望調査!B218&amp;""</f>
        <v/>
      </c>
      <c r="C218" s="1" t="str">
        <f>時間希望調査!C218&amp;""</f>
        <v/>
      </c>
    </row>
    <row r="219" spans="1:3">
      <c r="A219" s="1" t="str">
        <f>時間希望調査!A219&amp;""</f>
        <v/>
      </c>
      <c r="B219" s="1" t="str">
        <f>時間希望調査!B219&amp;""</f>
        <v/>
      </c>
      <c r="C219" s="1" t="str">
        <f>時間希望調査!C219&amp;""</f>
        <v/>
      </c>
    </row>
    <row r="220" spans="1:3">
      <c r="A220" s="1" t="str">
        <f>時間希望調査!A220&amp;""</f>
        <v/>
      </c>
      <c r="B220" s="1" t="str">
        <f>時間希望調査!B220&amp;""</f>
        <v/>
      </c>
      <c r="C220" s="1" t="str">
        <f>時間希望調査!C220&amp;""</f>
        <v/>
      </c>
    </row>
    <row r="221" spans="1:3">
      <c r="A221" s="1" t="str">
        <f>時間希望調査!A221&amp;""</f>
        <v/>
      </c>
      <c r="B221" s="1" t="str">
        <f>時間希望調査!B221&amp;""</f>
        <v/>
      </c>
      <c r="C221" s="1" t="str">
        <f>時間希望調査!C221&amp;""</f>
        <v/>
      </c>
    </row>
    <row r="222" spans="1:3">
      <c r="A222" s="1" t="str">
        <f>時間希望調査!A222&amp;""</f>
        <v/>
      </c>
      <c r="B222" s="1" t="str">
        <f>時間希望調査!B222&amp;""</f>
        <v/>
      </c>
      <c r="C222" s="1" t="str">
        <f>時間希望調査!C222&amp;""</f>
        <v/>
      </c>
    </row>
    <row r="223" spans="1:3">
      <c r="A223" s="1" t="str">
        <f>時間希望調査!A223&amp;""</f>
        <v/>
      </c>
      <c r="B223" s="1" t="str">
        <f>時間希望調査!B223&amp;""</f>
        <v/>
      </c>
      <c r="C223" s="1" t="str">
        <f>時間希望調査!C223&amp;""</f>
        <v/>
      </c>
    </row>
    <row r="224" spans="1:3">
      <c r="A224" s="1" t="str">
        <f>時間希望調査!A224&amp;""</f>
        <v/>
      </c>
      <c r="B224" s="1" t="str">
        <f>時間希望調査!B224&amp;""</f>
        <v/>
      </c>
      <c r="C224" s="1" t="str">
        <f>時間希望調査!C224&amp;""</f>
        <v/>
      </c>
    </row>
    <row r="225" spans="1:3">
      <c r="A225" s="1" t="str">
        <f>時間希望調査!A225&amp;""</f>
        <v/>
      </c>
      <c r="B225" s="1" t="str">
        <f>時間希望調査!B225&amp;""</f>
        <v/>
      </c>
      <c r="C225" s="1" t="str">
        <f>時間希望調査!C225&amp;""</f>
        <v/>
      </c>
    </row>
    <row r="226" spans="1:3">
      <c r="A226" s="1" t="str">
        <f>時間希望調査!A226&amp;""</f>
        <v/>
      </c>
      <c r="B226" s="1" t="str">
        <f>時間希望調査!B226&amp;""</f>
        <v/>
      </c>
      <c r="C226" s="1" t="str">
        <f>時間希望調査!C226&amp;""</f>
        <v/>
      </c>
    </row>
    <row r="227" spans="1:3">
      <c r="A227" s="1" t="str">
        <f>時間希望調査!A227&amp;""</f>
        <v/>
      </c>
      <c r="B227" s="1" t="str">
        <f>時間希望調査!B227&amp;""</f>
        <v/>
      </c>
      <c r="C227" s="1" t="str">
        <f>時間希望調査!C227&amp;""</f>
        <v/>
      </c>
    </row>
    <row r="228" spans="1:3">
      <c r="A228" s="1" t="str">
        <f>時間希望調査!A228&amp;""</f>
        <v/>
      </c>
      <c r="B228" s="1" t="str">
        <f>時間希望調査!B228&amp;""</f>
        <v/>
      </c>
      <c r="C228" s="1" t="str">
        <f>時間希望調査!C228&amp;""</f>
        <v/>
      </c>
    </row>
    <row r="229" spans="1:3">
      <c r="A229" s="1" t="str">
        <f>時間希望調査!A229&amp;""</f>
        <v/>
      </c>
      <c r="B229" s="1" t="str">
        <f>時間希望調査!B229&amp;""</f>
        <v/>
      </c>
      <c r="C229" s="1" t="str">
        <f>時間希望調査!C229&amp;""</f>
        <v/>
      </c>
    </row>
    <row r="230" spans="1:3">
      <c r="A230" s="1" t="str">
        <f>時間希望調査!A230&amp;""</f>
        <v/>
      </c>
      <c r="B230" s="1" t="str">
        <f>時間希望調査!B230&amp;""</f>
        <v/>
      </c>
      <c r="C230" s="1" t="str">
        <f>時間希望調査!C230&amp;""</f>
        <v/>
      </c>
    </row>
    <row r="231" spans="1:3">
      <c r="A231" s="1" t="str">
        <f>時間希望調査!A231&amp;""</f>
        <v/>
      </c>
      <c r="B231" s="1" t="str">
        <f>時間希望調査!B231&amp;""</f>
        <v/>
      </c>
      <c r="C231" s="1" t="str">
        <f>時間希望調査!C231&amp;""</f>
        <v/>
      </c>
    </row>
    <row r="232" spans="1:3">
      <c r="A232" s="1" t="str">
        <f>時間希望調査!A232&amp;""</f>
        <v/>
      </c>
      <c r="B232" s="1" t="str">
        <f>時間希望調査!B232&amp;""</f>
        <v/>
      </c>
      <c r="C232" s="1" t="str">
        <f>時間希望調査!C232&amp;""</f>
        <v/>
      </c>
    </row>
    <row r="233" spans="1:3">
      <c r="A233" s="1" t="str">
        <f>時間希望調査!A233&amp;""</f>
        <v/>
      </c>
      <c r="B233" s="1" t="str">
        <f>時間希望調査!B233&amp;""</f>
        <v/>
      </c>
      <c r="C233" s="1" t="str">
        <f>時間希望調査!C233&amp;""</f>
        <v/>
      </c>
    </row>
    <row r="234" spans="1:3">
      <c r="A234" s="1" t="str">
        <f>時間希望調査!A234&amp;""</f>
        <v/>
      </c>
      <c r="B234" s="1" t="str">
        <f>時間希望調査!B234&amp;""</f>
        <v/>
      </c>
      <c r="C234" s="1" t="str">
        <f>時間希望調査!C234&amp;""</f>
        <v/>
      </c>
    </row>
    <row r="235" spans="1:3">
      <c r="A235" s="1" t="str">
        <f>時間希望調査!A235&amp;""</f>
        <v/>
      </c>
      <c r="B235" s="1" t="str">
        <f>時間希望調査!B235&amp;""</f>
        <v/>
      </c>
      <c r="C235" s="1" t="str">
        <f>時間希望調査!C235&amp;""</f>
        <v/>
      </c>
    </row>
    <row r="236" spans="1:3">
      <c r="A236" s="1" t="str">
        <f>時間希望調査!A236&amp;""</f>
        <v/>
      </c>
      <c r="B236" s="1" t="str">
        <f>時間希望調査!B236&amp;""</f>
        <v/>
      </c>
      <c r="C236" s="1" t="str">
        <f>時間希望調査!C236&amp;""</f>
        <v/>
      </c>
    </row>
    <row r="237" spans="1:3">
      <c r="A237" s="1" t="str">
        <f>時間希望調査!A237&amp;""</f>
        <v/>
      </c>
      <c r="B237" s="1" t="str">
        <f>時間希望調査!B237&amp;""</f>
        <v/>
      </c>
      <c r="C237" s="1" t="str">
        <f>時間希望調査!C237&amp;""</f>
        <v/>
      </c>
    </row>
    <row r="238" spans="1:3">
      <c r="A238" s="1" t="str">
        <f>時間希望調査!A238&amp;""</f>
        <v/>
      </c>
      <c r="B238" s="1" t="str">
        <f>時間希望調査!B238&amp;""</f>
        <v/>
      </c>
      <c r="C238" s="1" t="str">
        <f>時間希望調査!C238&amp;""</f>
        <v/>
      </c>
    </row>
    <row r="239" spans="1:3">
      <c r="A239" s="1" t="str">
        <f>時間希望調査!A239&amp;""</f>
        <v/>
      </c>
      <c r="B239" s="1" t="str">
        <f>時間希望調査!B239&amp;""</f>
        <v/>
      </c>
      <c r="C239" s="1" t="str">
        <f>時間希望調査!C239&amp;""</f>
        <v/>
      </c>
    </row>
    <row r="240" spans="1:3">
      <c r="A240" s="1" t="str">
        <f>時間希望調査!A240&amp;""</f>
        <v/>
      </c>
      <c r="B240" s="1" t="str">
        <f>時間希望調査!B240&amp;""</f>
        <v/>
      </c>
      <c r="C240" s="1" t="str">
        <f>時間希望調査!C240&amp;""</f>
        <v/>
      </c>
    </row>
    <row r="241" spans="1:3">
      <c r="A241" s="1" t="str">
        <f>時間希望調査!A241&amp;""</f>
        <v/>
      </c>
      <c r="B241" s="1" t="str">
        <f>時間希望調査!B241&amp;""</f>
        <v/>
      </c>
      <c r="C241" s="1" t="str">
        <f>時間希望調査!C241&amp;""</f>
        <v/>
      </c>
    </row>
    <row r="242" spans="1:3">
      <c r="A242" s="1" t="str">
        <f>時間希望調査!A242&amp;""</f>
        <v/>
      </c>
      <c r="B242" s="1" t="str">
        <f>時間希望調査!B242&amp;""</f>
        <v/>
      </c>
      <c r="C242" s="1" t="str">
        <f>時間希望調査!C242&amp;""</f>
        <v/>
      </c>
    </row>
    <row r="243" spans="1:3">
      <c r="A243" s="1" t="str">
        <f>時間希望調査!A243&amp;""</f>
        <v/>
      </c>
      <c r="B243" s="1" t="str">
        <f>時間希望調査!B243&amp;""</f>
        <v/>
      </c>
      <c r="C243" s="1" t="str">
        <f>時間希望調査!C243&amp;""</f>
        <v/>
      </c>
    </row>
    <row r="244" spans="1:3">
      <c r="A244" s="1" t="str">
        <f>時間希望調査!A244&amp;""</f>
        <v/>
      </c>
      <c r="B244" s="1" t="str">
        <f>時間希望調査!B244&amp;""</f>
        <v/>
      </c>
      <c r="C244" s="1" t="str">
        <f>時間希望調査!C244&amp;""</f>
        <v/>
      </c>
    </row>
    <row r="245" spans="1:3">
      <c r="A245" s="1" t="str">
        <f>時間希望調査!A245&amp;""</f>
        <v/>
      </c>
      <c r="B245" s="1" t="str">
        <f>時間希望調査!B245&amp;""</f>
        <v/>
      </c>
      <c r="C245" s="1" t="str">
        <f>時間希望調査!C245&amp;""</f>
        <v/>
      </c>
    </row>
    <row r="246" spans="1:3">
      <c r="A246" s="1" t="str">
        <f>時間希望調査!A246&amp;""</f>
        <v/>
      </c>
      <c r="B246" s="1" t="str">
        <f>時間希望調査!B246&amp;""</f>
        <v/>
      </c>
      <c r="C246" s="1" t="str">
        <f>時間希望調査!C246&amp;""</f>
        <v/>
      </c>
    </row>
    <row r="247" spans="1:3">
      <c r="A247" s="1" t="str">
        <f>時間希望調査!A247&amp;""</f>
        <v/>
      </c>
      <c r="B247" s="1" t="str">
        <f>時間希望調査!B247&amp;""</f>
        <v/>
      </c>
      <c r="C247" s="1" t="str">
        <f>時間希望調査!C247&amp;""</f>
        <v/>
      </c>
    </row>
    <row r="248" spans="1:3">
      <c r="A248" s="1" t="str">
        <f>時間希望調査!A248&amp;""</f>
        <v/>
      </c>
      <c r="B248" s="1" t="str">
        <f>時間希望調査!B248&amp;""</f>
        <v/>
      </c>
      <c r="C248" s="1" t="str">
        <f>時間希望調査!C248&amp;""</f>
        <v/>
      </c>
    </row>
    <row r="249" spans="1:3">
      <c r="A249" s="1" t="str">
        <f>時間希望調査!A249&amp;""</f>
        <v/>
      </c>
      <c r="B249" s="1" t="str">
        <f>時間希望調査!B249&amp;""</f>
        <v/>
      </c>
      <c r="C249" s="1" t="str">
        <f>時間希望調査!C249&amp;""</f>
        <v/>
      </c>
    </row>
    <row r="250" spans="1:3">
      <c r="A250" s="1" t="str">
        <f>時間希望調査!A250&amp;""</f>
        <v/>
      </c>
      <c r="B250" s="1" t="str">
        <f>時間希望調査!B250&amp;""</f>
        <v/>
      </c>
      <c r="C250" s="1" t="str">
        <f>時間希望調査!C250&amp;""</f>
        <v/>
      </c>
    </row>
    <row r="251" spans="1:3">
      <c r="A251" s="1" t="str">
        <f>時間希望調査!A251&amp;""</f>
        <v/>
      </c>
      <c r="B251" s="1" t="str">
        <f>時間希望調査!B251&amp;""</f>
        <v/>
      </c>
      <c r="C251" s="1" t="str">
        <f>時間希望調査!C251&amp;""</f>
        <v/>
      </c>
    </row>
    <row r="252" spans="1:3">
      <c r="A252" s="1" t="str">
        <f>時間希望調査!A252&amp;""</f>
        <v/>
      </c>
      <c r="B252" s="1" t="str">
        <f>時間希望調査!B252&amp;""</f>
        <v/>
      </c>
      <c r="C252" s="1" t="str">
        <f>時間希望調査!C252&amp;""</f>
        <v/>
      </c>
    </row>
    <row r="253" spans="1:3">
      <c r="A253" s="1" t="str">
        <f>時間希望調査!A253&amp;""</f>
        <v/>
      </c>
      <c r="B253" s="1" t="str">
        <f>時間希望調査!B253&amp;""</f>
        <v/>
      </c>
      <c r="C253" s="1" t="str">
        <f>時間希望調査!C253&amp;""</f>
        <v/>
      </c>
    </row>
    <row r="254" spans="1:3">
      <c r="A254" s="1" t="str">
        <f>時間希望調査!A254&amp;""</f>
        <v/>
      </c>
      <c r="B254" s="1" t="str">
        <f>時間希望調査!B254&amp;""</f>
        <v/>
      </c>
      <c r="C254" s="1" t="str">
        <f>時間希望調査!C254&amp;""</f>
        <v/>
      </c>
    </row>
    <row r="255" spans="1:3">
      <c r="A255" s="1" t="str">
        <f>時間希望調査!A255&amp;""</f>
        <v/>
      </c>
      <c r="B255" s="1" t="str">
        <f>時間希望調査!B255&amp;""</f>
        <v/>
      </c>
      <c r="C255" s="1" t="str">
        <f>時間希望調査!C255&amp;""</f>
        <v/>
      </c>
    </row>
    <row r="256" spans="1:3">
      <c r="A256" s="1" t="str">
        <f>時間希望調査!A256&amp;""</f>
        <v/>
      </c>
      <c r="B256" s="1" t="str">
        <f>時間希望調査!B256&amp;""</f>
        <v/>
      </c>
      <c r="C256" s="1" t="str">
        <f>時間希望調査!C256&amp;""</f>
        <v/>
      </c>
    </row>
    <row r="257" spans="1:3">
      <c r="A257" s="1" t="str">
        <f>時間希望調査!A257&amp;""</f>
        <v/>
      </c>
      <c r="B257" s="1" t="str">
        <f>時間希望調査!B257&amp;""</f>
        <v/>
      </c>
      <c r="C257" s="1" t="str">
        <f>時間希望調査!C257&amp;""</f>
        <v/>
      </c>
    </row>
    <row r="258" spans="1:3">
      <c r="A258" s="1" t="str">
        <f>時間希望調査!A258&amp;""</f>
        <v/>
      </c>
      <c r="B258" s="1" t="str">
        <f>時間希望調査!B258&amp;""</f>
        <v/>
      </c>
      <c r="C258" s="1" t="str">
        <f>時間希望調査!C258&amp;""</f>
        <v/>
      </c>
    </row>
    <row r="259" spans="1:3">
      <c r="A259" s="1" t="str">
        <f>時間希望調査!A259&amp;""</f>
        <v/>
      </c>
      <c r="B259" s="1" t="str">
        <f>時間希望調査!B259&amp;""</f>
        <v/>
      </c>
      <c r="C259" s="1" t="str">
        <f>時間希望調査!C259&amp;""</f>
        <v/>
      </c>
    </row>
    <row r="260" spans="1:3">
      <c r="A260" s="1" t="str">
        <f>時間希望調査!A260&amp;""</f>
        <v/>
      </c>
      <c r="B260" s="1" t="str">
        <f>時間希望調査!B260&amp;""</f>
        <v/>
      </c>
      <c r="C260" s="1" t="str">
        <f>時間希望調査!C260&amp;""</f>
        <v/>
      </c>
    </row>
    <row r="261" spans="1:3">
      <c r="A261" s="1" t="str">
        <f>時間希望調査!A261&amp;""</f>
        <v/>
      </c>
      <c r="B261" s="1" t="str">
        <f>時間希望調査!B261&amp;""</f>
        <v/>
      </c>
      <c r="C261" s="1" t="str">
        <f>時間希望調査!C261&amp;""</f>
        <v/>
      </c>
    </row>
    <row r="262" spans="1:3">
      <c r="A262" s="1" t="str">
        <f>時間希望調査!A262&amp;""</f>
        <v/>
      </c>
      <c r="B262" s="1" t="str">
        <f>時間希望調査!B262&amp;""</f>
        <v/>
      </c>
      <c r="C262" s="1" t="str">
        <f>時間希望調査!C262&amp;""</f>
        <v/>
      </c>
    </row>
    <row r="263" spans="1:3">
      <c r="A263" s="1" t="str">
        <f>時間希望調査!A263&amp;""</f>
        <v/>
      </c>
      <c r="B263" s="1" t="str">
        <f>時間希望調査!B263&amp;""</f>
        <v/>
      </c>
      <c r="C263" s="1" t="str">
        <f>時間希望調査!C263&amp;""</f>
        <v/>
      </c>
    </row>
    <row r="264" spans="1:3">
      <c r="A264" s="1" t="str">
        <f>時間希望調査!A264&amp;""</f>
        <v/>
      </c>
      <c r="B264" s="1" t="str">
        <f>時間希望調査!B264&amp;""</f>
        <v/>
      </c>
      <c r="C264" s="1" t="str">
        <f>時間希望調査!C264&amp;""</f>
        <v/>
      </c>
    </row>
    <row r="265" spans="1:3">
      <c r="A265" s="1" t="str">
        <f>時間希望調査!A265&amp;""</f>
        <v/>
      </c>
      <c r="B265" s="1" t="str">
        <f>時間希望調査!B265&amp;""</f>
        <v/>
      </c>
      <c r="C265" s="1" t="str">
        <f>時間希望調査!C265&amp;""</f>
        <v/>
      </c>
    </row>
    <row r="266" spans="1:3">
      <c r="A266" s="1" t="str">
        <f>時間希望調査!A266&amp;""</f>
        <v/>
      </c>
      <c r="B266" s="1" t="str">
        <f>時間希望調査!B266&amp;""</f>
        <v/>
      </c>
      <c r="C266" s="1" t="str">
        <f>時間希望調査!C266&amp;""</f>
        <v/>
      </c>
    </row>
    <row r="267" spans="1:3">
      <c r="A267" s="1" t="str">
        <f>時間希望調査!A267&amp;""</f>
        <v/>
      </c>
      <c r="B267" s="1" t="str">
        <f>時間希望調査!B267&amp;""</f>
        <v/>
      </c>
      <c r="C267" s="1" t="str">
        <f>時間希望調査!C267&amp;""</f>
        <v/>
      </c>
    </row>
    <row r="268" spans="1:3">
      <c r="A268" s="1" t="str">
        <f>時間希望調査!A268&amp;""</f>
        <v/>
      </c>
      <c r="B268" s="1" t="str">
        <f>時間希望調査!B268&amp;""</f>
        <v/>
      </c>
      <c r="C268" s="1" t="str">
        <f>時間希望調査!C268&amp;""</f>
        <v/>
      </c>
    </row>
    <row r="269" spans="1:3">
      <c r="A269" s="1" t="str">
        <f>時間希望調査!A269&amp;""</f>
        <v/>
      </c>
      <c r="B269" s="1" t="str">
        <f>時間希望調査!B269&amp;""</f>
        <v/>
      </c>
      <c r="C269" s="1" t="str">
        <f>時間希望調査!C269&amp;""</f>
        <v/>
      </c>
    </row>
    <row r="270" spans="1:3">
      <c r="A270" s="1" t="str">
        <f>時間希望調査!A270&amp;""</f>
        <v/>
      </c>
      <c r="B270" s="1" t="str">
        <f>時間希望調査!B270&amp;""</f>
        <v/>
      </c>
      <c r="C270" s="1" t="str">
        <f>時間希望調査!C270&amp;""</f>
        <v/>
      </c>
    </row>
    <row r="271" spans="1:3">
      <c r="A271" s="1" t="str">
        <f>時間希望調査!A271&amp;""</f>
        <v/>
      </c>
      <c r="B271" s="1" t="str">
        <f>時間希望調査!B271&amp;""</f>
        <v/>
      </c>
      <c r="C271" s="1" t="str">
        <f>時間希望調査!C271&amp;""</f>
        <v/>
      </c>
    </row>
    <row r="272" spans="1:3">
      <c r="A272" s="1" t="str">
        <f>時間希望調査!A272&amp;""</f>
        <v/>
      </c>
      <c r="B272" s="1" t="str">
        <f>時間希望調査!B272&amp;""</f>
        <v/>
      </c>
      <c r="C272" s="1" t="str">
        <f>時間希望調査!C272&amp;""</f>
        <v/>
      </c>
    </row>
    <row r="273" spans="1:3">
      <c r="A273" s="1" t="str">
        <f>時間希望調査!A273&amp;""</f>
        <v/>
      </c>
      <c r="B273" s="1" t="str">
        <f>時間希望調査!B273&amp;""</f>
        <v/>
      </c>
      <c r="C273" s="1" t="str">
        <f>時間希望調査!C273&amp;""</f>
        <v/>
      </c>
    </row>
    <row r="274" spans="1:3">
      <c r="A274" s="1" t="str">
        <f>時間希望調査!A274&amp;""</f>
        <v/>
      </c>
      <c r="B274" s="1" t="str">
        <f>時間希望調査!B274&amp;""</f>
        <v/>
      </c>
      <c r="C274" s="1" t="str">
        <f>時間希望調査!C274&amp;""</f>
        <v/>
      </c>
    </row>
    <row r="275" spans="1:3">
      <c r="A275" s="1" t="str">
        <f>時間希望調査!A275&amp;""</f>
        <v/>
      </c>
      <c r="B275" s="1" t="str">
        <f>時間希望調査!B275&amp;""</f>
        <v/>
      </c>
      <c r="C275" s="1" t="str">
        <f>時間希望調査!C275&amp;""</f>
        <v/>
      </c>
    </row>
    <row r="276" spans="1:3">
      <c r="A276" s="1" t="str">
        <f>時間希望調査!A276&amp;""</f>
        <v/>
      </c>
      <c r="B276" s="1" t="str">
        <f>時間希望調査!B276&amp;""</f>
        <v/>
      </c>
      <c r="C276" s="1" t="str">
        <f>時間希望調査!C276&amp;""</f>
        <v/>
      </c>
    </row>
    <row r="277" spans="1:3">
      <c r="A277" s="1" t="str">
        <f>時間希望調査!A277&amp;""</f>
        <v/>
      </c>
      <c r="B277" s="1" t="str">
        <f>時間希望調査!B277&amp;""</f>
        <v/>
      </c>
      <c r="C277" s="1" t="str">
        <f>時間希望調査!C277&amp;""</f>
        <v/>
      </c>
    </row>
    <row r="278" spans="1:3">
      <c r="A278" s="1" t="str">
        <f>時間希望調査!A278&amp;""</f>
        <v/>
      </c>
      <c r="B278" s="1" t="str">
        <f>時間希望調査!B278&amp;""</f>
        <v/>
      </c>
      <c r="C278" s="1" t="str">
        <f>時間希望調査!C278&amp;""</f>
        <v/>
      </c>
    </row>
    <row r="279" spans="1:3">
      <c r="A279" s="1" t="str">
        <f>時間希望調査!A279&amp;""</f>
        <v/>
      </c>
      <c r="B279" s="1" t="str">
        <f>時間希望調査!B279&amp;""</f>
        <v/>
      </c>
      <c r="C279" s="1" t="str">
        <f>時間希望調査!C279&amp;""</f>
        <v/>
      </c>
    </row>
    <row r="280" spans="1:3">
      <c r="A280" s="1" t="str">
        <f>時間希望調査!A280&amp;""</f>
        <v/>
      </c>
      <c r="B280" s="1" t="str">
        <f>時間希望調査!B280&amp;""</f>
        <v/>
      </c>
      <c r="C280" s="1" t="str">
        <f>時間希望調査!C280&amp;""</f>
        <v/>
      </c>
    </row>
    <row r="281" spans="1:3">
      <c r="A281" s="1" t="str">
        <f>時間希望調査!A281&amp;""</f>
        <v/>
      </c>
      <c r="B281" s="1" t="str">
        <f>時間希望調査!B281&amp;""</f>
        <v/>
      </c>
      <c r="C281" s="1" t="str">
        <f>時間希望調査!C281&amp;""</f>
        <v/>
      </c>
    </row>
    <row r="282" spans="1:3">
      <c r="A282" s="1" t="str">
        <f>時間希望調査!A282&amp;""</f>
        <v/>
      </c>
      <c r="B282" s="1" t="str">
        <f>時間希望調査!B282&amp;""</f>
        <v/>
      </c>
      <c r="C282" s="1" t="str">
        <f>時間希望調査!C282&amp;""</f>
        <v/>
      </c>
    </row>
    <row r="283" spans="1:3">
      <c r="A283" s="1" t="str">
        <f>時間希望調査!A283&amp;""</f>
        <v/>
      </c>
      <c r="B283" s="1" t="str">
        <f>時間希望調査!B283&amp;""</f>
        <v/>
      </c>
      <c r="C283" s="1" t="str">
        <f>時間希望調査!C283&amp;""</f>
        <v/>
      </c>
    </row>
    <row r="284" spans="1:3">
      <c r="A284" s="1" t="str">
        <f>時間希望調査!A284&amp;""</f>
        <v/>
      </c>
      <c r="B284" s="1" t="str">
        <f>時間希望調査!B284&amp;""</f>
        <v/>
      </c>
      <c r="C284" s="1" t="str">
        <f>時間希望調査!C284&amp;""</f>
        <v/>
      </c>
    </row>
    <row r="285" spans="1:3">
      <c r="A285" s="1" t="str">
        <f>時間希望調査!A285&amp;""</f>
        <v/>
      </c>
      <c r="B285" s="1" t="str">
        <f>時間希望調査!B285&amp;""</f>
        <v/>
      </c>
      <c r="C285" s="1" t="str">
        <f>時間希望調査!C285&amp;""</f>
        <v/>
      </c>
    </row>
    <row r="286" spans="1:3">
      <c r="A286" s="1" t="str">
        <f>時間希望調査!A286&amp;""</f>
        <v/>
      </c>
      <c r="B286" s="1" t="str">
        <f>時間希望調査!B286&amp;""</f>
        <v/>
      </c>
      <c r="C286" s="1" t="str">
        <f>時間希望調査!C286&amp;""</f>
        <v/>
      </c>
    </row>
    <row r="287" spans="1:3">
      <c r="A287" s="1" t="str">
        <f>時間希望調査!A287&amp;""</f>
        <v/>
      </c>
      <c r="B287" s="1" t="str">
        <f>時間希望調査!B287&amp;""</f>
        <v/>
      </c>
      <c r="C287" s="1" t="str">
        <f>時間希望調査!C287&amp;""</f>
        <v/>
      </c>
    </row>
    <row r="288" spans="1:3">
      <c r="A288" s="1" t="str">
        <f>時間希望調査!A288&amp;""</f>
        <v/>
      </c>
      <c r="B288" s="1" t="str">
        <f>時間希望調査!B288&amp;""</f>
        <v/>
      </c>
      <c r="C288" s="1" t="str">
        <f>時間希望調査!C288&amp;""</f>
        <v/>
      </c>
    </row>
    <row r="289" spans="1:3">
      <c r="A289" s="1" t="str">
        <f>時間希望調査!A289&amp;""</f>
        <v/>
      </c>
      <c r="B289" s="1" t="str">
        <f>時間希望調査!B289&amp;""</f>
        <v/>
      </c>
      <c r="C289" s="1" t="str">
        <f>時間希望調査!C289&amp;""</f>
        <v/>
      </c>
    </row>
    <row r="290" spans="1:3">
      <c r="A290" s="1" t="str">
        <f>時間希望調査!A290&amp;""</f>
        <v/>
      </c>
      <c r="B290" s="1" t="str">
        <f>時間希望調査!B290&amp;""</f>
        <v/>
      </c>
      <c r="C290" s="1" t="str">
        <f>時間希望調査!C290&amp;""</f>
        <v/>
      </c>
    </row>
    <row r="291" spans="1:3">
      <c r="A291" s="1" t="str">
        <f>時間希望調査!A291&amp;""</f>
        <v/>
      </c>
      <c r="B291" s="1" t="str">
        <f>時間希望調査!B291&amp;""</f>
        <v/>
      </c>
      <c r="C291" s="1" t="str">
        <f>時間希望調査!C291&amp;""</f>
        <v/>
      </c>
    </row>
    <row r="292" spans="1:3">
      <c r="A292" s="1" t="str">
        <f>時間希望調査!A292&amp;""</f>
        <v/>
      </c>
      <c r="B292" s="1" t="str">
        <f>時間希望調査!B292&amp;""</f>
        <v/>
      </c>
      <c r="C292" s="1" t="str">
        <f>時間希望調査!C292&amp;""</f>
        <v/>
      </c>
    </row>
  </sheetData>
  <sheetProtection sheet="1" selectLockedCells="1"/>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FE74B99B-C417-514B-A767-87C70547B975}">
            <xm:f>COUNTIF(役職一覧!$K:$K,D1)=1</xm:f>
            <x14:dxf>
              <fill>
                <patternFill>
                  <bgColor rgb="FFE1B9FF"/>
                </patternFill>
              </fill>
            </x14:dxf>
          </x14:cfRule>
          <x14:cfRule type="expression" priority="2" id="{3004D1D6-FFBF-AB49-9DB4-A3522F6FC95C}">
            <xm:f>COUNTIF(役職一覧!$J:$J,D1)=1</xm:f>
            <x14:dxf>
              <fill>
                <patternFill>
                  <bgColor rgb="FF7FCAFF"/>
                </patternFill>
              </fill>
            </x14:dxf>
          </x14:cfRule>
          <x14:cfRule type="expression" priority="3" id="{CEB31849-42B3-3941-BFA3-9E074618BB41}">
            <xm:f>COUNTIF(役職一覧!$I:$I,D1)=1</xm:f>
            <x14:dxf>
              <fill>
                <patternFill>
                  <bgColor rgb="FF95FF6C"/>
                </patternFill>
              </fill>
            </x14:dxf>
          </x14:cfRule>
          <x14:cfRule type="expression" priority="4" id="{7F9DC2A8-F37F-264A-8788-1399EF33C394}">
            <xm:f>COUNTIF(役職一覧!$H:$H,D1)=1</xm:f>
            <x14:dxf>
              <fill>
                <patternFill>
                  <bgColor rgb="FFFFF690"/>
                </patternFill>
              </fill>
            </x14:dxf>
          </x14:cfRule>
          <x14:cfRule type="expression" priority="5" id="{9D577C16-B9C0-D84D-A66E-F8A1090C0BE9}">
            <xm:f>COUNTIF(役職一覧!$G:$G,D1)=1</xm:f>
            <x14:dxf>
              <fill>
                <patternFill>
                  <bgColor rgb="FFFFD965"/>
                </patternFill>
              </fill>
            </x14:dxf>
          </x14:cfRule>
          <x14:cfRule type="expression" priority="6" id="{8B62D444-7822-5F4D-AC54-FC49B5CF847B}">
            <xm:f>COUNTIF(役職一覧!$F:$F,D1)=1</xm:f>
            <x14:dxf>
              <fill>
                <patternFill>
                  <bgColor rgb="FFFFC7CE"/>
                </patternFill>
              </fill>
            </x14:dxf>
          </x14:cfRule>
          <xm:sqref>D1:H1048576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無効なデータが入力されています" xr:uid="{3EF86F7C-A61A-BD4B-AC07-FB4BB6BCB024}">
          <x14:formula1>
            <xm:f>役職一覧!$B:$B</xm:f>
          </x14:formula1>
          <xm:sqref>D1:E1048576 G1:H1048576 F1 F3:F1048576</xm:sqref>
        </x14:dataValidation>
        <x14:dataValidation type="list" errorStyle="warning" allowBlank="1" showInputMessage="1" showErrorMessage="1" errorTitle="無効なデータが入力されています" xr:uid="{B8ABA937-D821-5B43-9B61-41ED9DA900F8}">
          <x14:formula1>
            <xm:f>役職一覧!$B$2:$B$31</xm:f>
          </x14:formula1>
          <xm:sqref>F2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7A7B7-A118-C24A-8766-C5F43CA65D2C}">
  <sheetPr codeName="Formula"/>
  <dimension ref="B2"/>
  <sheetViews>
    <sheetView workbookViewId="0"/>
  </sheetViews>
  <sheetFormatPr baseColWidth="10" defaultRowHeight="20"/>
  <sheetData>
    <row r="2" spans="2:2">
      <c r="B2" s="2" t="s">
        <v>43</v>
      </c>
    </row>
  </sheetData>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63393571-81DC-E548-BD90-8D41B402A0DB}">
            <xm:f>COUNTIF(役職一覧!$K:$K,B2)=1</xm:f>
            <x14:dxf>
              <fill>
                <patternFill>
                  <bgColor rgb="FFE1B9FF"/>
                </patternFill>
              </fill>
            </x14:dxf>
          </x14:cfRule>
          <x14:cfRule type="expression" priority="2" id="{6C94FD7D-4A2A-CB46-B8D9-3619AB9D74E6}">
            <xm:f>COUNTIF(役職一覧!$J:$J,B2)=1</xm:f>
            <x14:dxf>
              <fill>
                <patternFill>
                  <bgColor rgb="FF7FCAFF"/>
                </patternFill>
              </fill>
            </x14:dxf>
          </x14:cfRule>
          <x14:cfRule type="expression" priority="3" id="{E136F41D-D735-3D40-B181-33EB42E28A2D}">
            <xm:f>COUNTIF(役職一覧!$I:$I,B2)=1</xm:f>
            <x14:dxf>
              <fill>
                <patternFill>
                  <bgColor rgb="FF95FF6C"/>
                </patternFill>
              </fill>
            </x14:dxf>
          </x14:cfRule>
          <x14:cfRule type="expression" priority="4" id="{AC29ED6D-8A26-A948-8188-A609957A8D2D}">
            <xm:f>COUNTIF(役職一覧!$H:$H,B2)=1</xm:f>
            <x14:dxf>
              <fill>
                <patternFill>
                  <bgColor rgb="FFFFF690"/>
                </patternFill>
              </fill>
            </x14:dxf>
          </x14:cfRule>
          <x14:cfRule type="expression" priority="5" id="{8724D3D4-232D-274B-AF9A-14C89C270567}">
            <xm:f>COUNTIF(役職一覧!$G:$G,B2)=1</xm:f>
            <x14:dxf>
              <fill>
                <patternFill>
                  <bgColor rgb="FFFFD965"/>
                </patternFill>
              </fill>
            </x14:dxf>
          </x14:cfRule>
          <x14:cfRule type="expression" priority="6" id="{EC4B7690-53CF-994C-A7F9-152605D3F772}">
            <xm:f>COUNTIF(役職一覧!$F:$F,B2)=1</xm:f>
            <x14:dxf>
              <fill>
                <patternFill>
                  <bgColor rgb="FFFFC7CE"/>
                </patternFill>
              </fill>
            </x14:dxf>
          </x14:cfRule>
          <xm:sqref>B2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2424A-B870-284D-993C-F037C7A23009}">
  <sheetPr codeName="Shift"/>
  <dimension ref="A1:CM314"/>
  <sheetViews>
    <sheetView zoomScaleNormal="100" workbookViewId="0">
      <selection activeCell="G34" sqref="G34"/>
    </sheetView>
  </sheetViews>
  <sheetFormatPr baseColWidth="10" defaultRowHeight="20"/>
  <cols>
    <col min="1" max="1" width="3.7109375" style="10" bestFit="1" customWidth="1"/>
    <col min="2" max="2" width="5.140625" style="10" bestFit="1" customWidth="1"/>
    <col min="3" max="3" width="15.7109375" style="10" bestFit="1" customWidth="1"/>
    <col min="4" max="12" width="5.5703125" style="10" customWidth="1"/>
    <col min="13" max="53" width="5.5703125" style="10" hidden="1" customWidth="1"/>
    <col min="54" max="54" width="2.7109375" style="10" bestFit="1" customWidth="1"/>
    <col min="55" max="55" width="3.7109375" style="10" bestFit="1" customWidth="1"/>
    <col min="56" max="58" width="4.42578125" style="10" bestFit="1" customWidth="1"/>
    <col min="59" max="59" width="4.42578125" style="10" customWidth="1"/>
    <col min="60" max="60" width="4.42578125" style="10" bestFit="1" customWidth="1"/>
    <col min="61" max="63" width="2.85546875" style="10" bestFit="1" customWidth="1"/>
    <col min="64" max="64" width="3" style="10" bestFit="1" customWidth="1"/>
    <col min="65" max="65" width="2.7109375" style="10" bestFit="1" customWidth="1"/>
    <col min="66" max="66" width="5.85546875" style="10" customWidth="1"/>
    <col min="67" max="90" width="5.85546875" style="10" hidden="1" customWidth="1"/>
    <col min="91" max="16384" width="10.7109375" style="10"/>
  </cols>
  <sheetData>
    <row r="1" spans="2:91">
      <c r="B1" s="10" t="s">
        <v>28</v>
      </c>
      <c r="C1" s="10" t="s">
        <v>37</v>
      </c>
      <c r="D1" s="10" t="str">
        <f>IFERROR(VLOOKUP(COLUMN()-3,時間帯一覧!$A:$B,2,FALSE),"")&amp;""</f>
        <v>10:00</v>
      </c>
      <c r="E1" s="10" t="str">
        <f>IFERROR(VLOOKUP(COLUMN()-3,時間帯一覧!$A:$B,2,FALSE),"")&amp;""</f>
        <v>10:30</v>
      </c>
      <c r="F1" s="10" t="str">
        <f>IFERROR(VLOOKUP(COLUMN()-3,時間帯一覧!$A:$B,2,FALSE),"")&amp;""</f>
        <v>11:00</v>
      </c>
      <c r="G1" s="10" t="str">
        <f>IFERROR(VLOOKUP(COLUMN()-3,時間帯一覧!$A:$B,2,FALSE),"")&amp;""</f>
        <v>11:30</v>
      </c>
      <c r="H1" s="10" t="str">
        <f>IFERROR(VLOOKUP(COLUMN()-3,時間帯一覧!$A:$B,2,FALSE),"")&amp;""</f>
        <v>12:00</v>
      </c>
      <c r="I1" s="10" t="str">
        <f>IFERROR(VLOOKUP(COLUMN()-3,時間帯一覧!$A:$B,2,FALSE),"")&amp;""</f>
        <v>12:30</v>
      </c>
      <c r="J1" s="10" t="str">
        <f>IFERROR(VLOOKUP(COLUMN()-3,時間帯一覧!$A:$B,2,FALSE),"")&amp;""</f>
        <v>13:00</v>
      </c>
      <c r="K1" s="10" t="str">
        <f>IFERROR(VLOOKUP(COLUMN()-3,時間帯一覧!$A:$B,2,FALSE),"")&amp;""</f>
        <v>13:30</v>
      </c>
      <c r="L1" s="10" t="str">
        <f>IFERROR(VLOOKUP(COLUMN()-3,時間帯一覧!$A:$B,2,FALSE),"")&amp;""</f>
        <v>14:00</v>
      </c>
      <c r="M1" s="10" t="str">
        <f>IFERROR(VLOOKUP(COLUMN()-3,時間帯一覧!$A:$B,2,FALSE),"")&amp;""</f>
        <v/>
      </c>
      <c r="N1" s="10" t="str">
        <f>IFERROR(VLOOKUP(COLUMN()-3,時間帯一覧!$A:$B,2,FALSE),"")&amp;""</f>
        <v/>
      </c>
      <c r="O1" s="10" t="str">
        <f>IFERROR(VLOOKUP(COLUMN()-3,時間帯一覧!$A:$B,2,FALSE),"")&amp;""</f>
        <v/>
      </c>
      <c r="P1" s="10" t="str">
        <f>IFERROR(VLOOKUP(COLUMN()-3,時間帯一覧!$A:$B,2,FALSE),"")&amp;""</f>
        <v/>
      </c>
      <c r="Q1" s="10" t="str">
        <f>IFERROR(VLOOKUP(COLUMN()-3,時間帯一覧!$A:$B,2,FALSE),"")&amp;""</f>
        <v/>
      </c>
      <c r="R1" s="10" t="str">
        <f>IFERROR(VLOOKUP(COLUMN()-3,時間帯一覧!$A:$B,2,FALSE),"")&amp;""</f>
        <v/>
      </c>
      <c r="S1" s="10" t="str">
        <f>IFERROR(VLOOKUP(COLUMN()-3,時間帯一覧!$A:$B,2,FALSE),"")&amp;""</f>
        <v/>
      </c>
      <c r="T1" s="10" t="str">
        <f>IFERROR(VLOOKUP(COLUMN()-3,時間帯一覧!$A:$B,2,FALSE),"")&amp;""</f>
        <v/>
      </c>
      <c r="U1" s="10" t="str">
        <f>IFERROR(VLOOKUP(COLUMN()-3,時間帯一覧!$A:$B,2,FALSE),"")&amp;""</f>
        <v/>
      </c>
      <c r="V1" s="10" t="str">
        <f>IFERROR(VLOOKUP(COLUMN()-3,時間帯一覧!$A:$B,2,FALSE),"")&amp;""</f>
        <v/>
      </c>
      <c r="W1" s="10" t="str">
        <f>IFERROR(VLOOKUP(COLUMN()-3,時間帯一覧!$A:$B,2,FALSE),"")&amp;""</f>
        <v/>
      </c>
      <c r="X1" s="10" t="str">
        <f>IFERROR(VLOOKUP(COLUMN()-3,時間帯一覧!$A:$B,2,FALSE),"")&amp;""</f>
        <v/>
      </c>
      <c r="Y1" s="10" t="str">
        <f>IFERROR(VLOOKUP(COLUMN()-3,時間帯一覧!$A:$B,2,FALSE),"")&amp;""</f>
        <v/>
      </c>
      <c r="Z1" s="10" t="str">
        <f>IFERROR(VLOOKUP(COLUMN()-3,時間帯一覧!$A:$B,2,FALSE),"")&amp;""</f>
        <v/>
      </c>
      <c r="AA1" s="10" t="str">
        <f>IFERROR(VLOOKUP(COLUMN()-3,時間帯一覧!$A:$B,2,FALSE),"")&amp;""</f>
        <v/>
      </c>
      <c r="AB1" s="10" t="str">
        <f>IFERROR(VLOOKUP(COLUMN()-3,時間帯一覧!$A:$B,2,FALSE),"")&amp;""</f>
        <v/>
      </c>
      <c r="AC1" s="10" t="str">
        <f>IFERROR(VLOOKUP(COLUMN()-3,時間帯一覧!$A:$B,2,FALSE),"")&amp;""</f>
        <v/>
      </c>
      <c r="AD1" s="10" t="str">
        <f>IFERROR(VLOOKUP(COLUMN()-3,時間帯一覧!$A:$B,2,FALSE),"")&amp;""</f>
        <v/>
      </c>
      <c r="AE1" s="10" t="str">
        <f>IFERROR(VLOOKUP(COLUMN()-3,時間帯一覧!$A:$B,2,FALSE),"")&amp;""</f>
        <v/>
      </c>
      <c r="AF1" s="10" t="str">
        <f>IFERROR(VLOOKUP(COLUMN()-3,時間帯一覧!$A:$B,2,FALSE),"")&amp;""</f>
        <v/>
      </c>
      <c r="AG1" s="10" t="str">
        <f>IFERROR(VLOOKUP(COLUMN()-3,時間帯一覧!$A:$B,2,FALSE),"")&amp;""</f>
        <v/>
      </c>
      <c r="AH1" s="10" t="str">
        <f>IFERROR(VLOOKUP(COLUMN()-3,時間帯一覧!$A:$B,2,FALSE),"")&amp;""</f>
        <v/>
      </c>
      <c r="AI1" s="10" t="str">
        <f>IFERROR(VLOOKUP(COLUMN()-3,時間帯一覧!$A:$B,2,FALSE),"")&amp;""</f>
        <v/>
      </c>
      <c r="AJ1" s="10" t="str">
        <f>IFERROR(VLOOKUP(COLUMN()-3,時間帯一覧!$A:$B,2,FALSE),"")&amp;""</f>
        <v/>
      </c>
      <c r="AK1" s="10" t="str">
        <f>IFERROR(VLOOKUP(COLUMN()-3,時間帯一覧!$A:$B,2,FALSE),"")&amp;""</f>
        <v/>
      </c>
      <c r="AL1" s="10" t="str">
        <f>IFERROR(VLOOKUP(COLUMN()-3,時間帯一覧!$A:$B,2,FALSE),"")&amp;""</f>
        <v/>
      </c>
      <c r="AM1" s="10" t="str">
        <f>IFERROR(VLOOKUP(COLUMN()-3,時間帯一覧!$A:$B,2,FALSE),"")&amp;""</f>
        <v/>
      </c>
      <c r="AN1" s="10" t="str">
        <f>IFERROR(VLOOKUP(COLUMN()-3,時間帯一覧!$A:$B,2,FALSE),"")&amp;""</f>
        <v/>
      </c>
      <c r="AO1" s="10" t="str">
        <f>IFERROR(VLOOKUP(COLUMN()-3,時間帯一覧!$A:$B,2,FALSE),"")&amp;""</f>
        <v/>
      </c>
      <c r="AP1" s="10" t="str">
        <f>IFERROR(VLOOKUP(COLUMN()-3,時間帯一覧!$A:$B,2,FALSE),"")&amp;""</f>
        <v/>
      </c>
      <c r="AQ1" s="10" t="str">
        <f>IFERROR(VLOOKUP(COLUMN()-3,時間帯一覧!$A:$B,2,FALSE),"")&amp;""</f>
        <v/>
      </c>
      <c r="AR1" s="10" t="str">
        <f>IFERROR(VLOOKUP(COLUMN()-3,時間帯一覧!$A:$B,2,FALSE),"")&amp;""</f>
        <v/>
      </c>
      <c r="AS1" s="10" t="str">
        <f>IFERROR(VLOOKUP(COLUMN()-3,時間帯一覧!$A:$B,2,FALSE),"")&amp;""</f>
        <v/>
      </c>
      <c r="AT1" s="10" t="str">
        <f>IFERROR(VLOOKUP(COLUMN()-3,時間帯一覧!$A:$B,2,FALSE),"")&amp;""</f>
        <v/>
      </c>
      <c r="AU1" s="10" t="str">
        <f>IFERROR(VLOOKUP(COLUMN()-3,時間帯一覧!$A:$B,2,FALSE),"")&amp;""</f>
        <v/>
      </c>
      <c r="AV1" s="10" t="str">
        <f>IFERROR(VLOOKUP(COLUMN()-3,時間帯一覧!$A:$B,2,FALSE),"")&amp;""</f>
        <v/>
      </c>
      <c r="AW1" s="10" t="str">
        <f>IFERROR(VLOOKUP(COLUMN()-3,時間帯一覧!$A:$B,2,FALSE),"")&amp;""</f>
        <v/>
      </c>
      <c r="AX1" s="10" t="str">
        <f>IFERROR(VLOOKUP(COLUMN()-3,時間帯一覧!$A:$B,2,FALSE),"")&amp;""</f>
        <v/>
      </c>
      <c r="AY1" s="10" t="str">
        <f>IFERROR(VLOOKUP(COLUMN()-3,時間帯一覧!$A:$B,2,FALSE),"")&amp;""</f>
        <v/>
      </c>
      <c r="AZ1" s="10" t="str">
        <f>IFERROR(VLOOKUP(COLUMN()-3,時間帯一覧!$A:$B,2,FALSE),"")&amp;""</f>
        <v/>
      </c>
      <c r="BA1" s="10" t="str">
        <f>IFERROR(VLOOKUP(COLUMN()-3,時間帯一覧!$A:$B,2,FALSE),"")&amp;""</f>
        <v/>
      </c>
      <c r="BB1" s="18" t="s">
        <v>52</v>
      </c>
      <c r="BC1" s="18"/>
      <c r="BD1" s="10" t="s">
        <v>57</v>
      </c>
      <c r="BE1" s="10" t="s">
        <v>58</v>
      </c>
      <c r="BF1" s="10" t="s">
        <v>59</v>
      </c>
      <c r="BG1" s="10" t="s">
        <v>60</v>
      </c>
      <c r="BH1" s="10" t="s">
        <v>61</v>
      </c>
      <c r="BI1" s="14" t="str">
        <f t="array" ref="BI1:CL1">TRANSPOSE(役職一覧!B2:B31)&amp;""</f>
        <v>A</v>
      </c>
      <c r="BJ1" s="14" t="str">
        <v>B</v>
      </c>
      <c r="BK1" s="14" t="str">
        <v>C</v>
      </c>
      <c r="BL1" s="14" t="str">
        <v>D</v>
      </c>
      <c r="BM1" s="14" t="str">
        <v>E</v>
      </c>
      <c r="BN1" s="14" t="str">
        <v>F</v>
      </c>
      <c r="BO1" s="14" t="str">
        <v/>
      </c>
      <c r="BP1" s="14" t="str">
        <v/>
      </c>
      <c r="BQ1" s="14" t="str">
        <v/>
      </c>
      <c r="BR1" s="14" t="str">
        <v/>
      </c>
      <c r="BS1" s="14" t="str">
        <v/>
      </c>
      <c r="BT1" s="14" t="str">
        <v/>
      </c>
      <c r="BU1" s="14" t="str">
        <v/>
      </c>
      <c r="BV1" s="14" t="str">
        <v/>
      </c>
      <c r="BW1" s="14" t="str">
        <v/>
      </c>
      <c r="BX1" s="14" t="str">
        <v/>
      </c>
      <c r="BY1" s="14" t="str">
        <v/>
      </c>
      <c r="BZ1" s="14" t="str">
        <v/>
      </c>
      <c r="CA1" s="14" t="str">
        <v/>
      </c>
      <c r="CB1" s="14" t="str">
        <v/>
      </c>
      <c r="CC1" s="14" t="str">
        <v/>
      </c>
      <c r="CD1" s="14" t="str">
        <v/>
      </c>
      <c r="CE1" s="14" t="str">
        <v/>
      </c>
      <c r="CF1" s="14" t="str">
        <v/>
      </c>
      <c r="CG1" s="14" t="str">
        <v/>
      </c>
      <c r="CH1" s="14" t="str">
        <v/>
      </c>
      <c r="CI1" s="14" t="str">
        <v/>
      </c>
      <c r="CJ1" s="14" t="str">
        <v/>
      </c>
      <c r="CK1" s="14" t="str">
        <v/>
      </c>
      <c r="CL1" s="14" t="str">
        <v/>
      </c>
      <c r="CM1" s="10" t="s">
        <v>85</v>
      </c>
    </row>
    <row r="2" spans="2:91">
      <c r="B2" s="14" t="str">
        <f>役職一覧!B2&amp;""</f>
        <v>A</v>
      </c>
      <c r="C2" s="14">
        <f>役職一覧!E2</f>
        <v>2</v>
      </c>
      <c r="D2" s="14">
        <f t="shared" ref="D2:M6" si="0">COUNTIF(D$32:D$334,$B2)</f>
        <v>0</v>
      </c>
      <c r="E2" s="14">
        <f t="shared" si="0"/>
        <v>0</v>
      </c>
      <c r="F2" s="14">
        <f t="shared" si="0"/>
        <v>0</v>
      </c>
      <c r="G2" s="14">
        <f t="shared" si="0"/>
        <v>1</v>
      </c>
      <c r="H2" s="14">
        <f t="shared" si="0"/>
        <v>0</v>
      </c>
      <c r="I2" s="14">
        <f t="shared" si="0"/>
        <v>0</v>
      </c>
      <c r="J2" s="14">
        <f t="shared" si="0"/>
        <v>0</v>
      </c>
      <c r="K2" s="14">
        <f t="shared" si="0"/>
        <v>0</v>
      </c>
      <c r="L2" s="14">
        <f t="shared" si="0"/>
        <v>0</v>
      </c>
      <c r="M2" s="14">
        <f t="shared" si="0"/>
        <v>0</v>
      </c>
      <c r="N2" s="14">
        <f t="shared" ref="N2:W6" si="1">COUNTIF(N$32:N$334,$B2)</f>
        <v>0</v>
      </c>
      <c r="O2" s="14">
        <f t="shared" si="1"/>
        <v>0</v>
      </c>
      <c r="P2" s="14">
        <f t="shared" si="1"/>
        <v>0</v>
      </c>
      <c r="Q2" s="14">
        <f t="shared" si="1"/>
        <v>0</v>
      </c>
      <c r="R2" s="14">
        <f t="shared" si="1"/>
        <v>0</v>
      </c>
      <c r="S2" s="14">
        <f t="shared" si="1"/>
        <v>0</v>
      </c>
      <c r="T2" s="14">
        <f t="shared" si="1"/>
        <v>0</v>
      </c>
      <c r="U2" s="14">
        <f t="shared" si="1"/>
        <v>0</v>
      </c>
      <c r="V2" s="14">
        <f t="shared" si="1"/>
        <v>0</v>
      </c>
      <c r="W2" s="14">
        <f t="shared" si="1"/>
        <v>0</v>
      </c>
      <c r="X2" s="14">
        <f t="shared" ref="X2:AG6" si="2">COUNTIF(X$32:X$334,$B2)</f>
        <v>0</v>
      </c>
      <c r="Y2" s="14">
        <f t="shared" si="2"/>
        <v>0</v>
      </c>
      <c r="Z2" s="14">
        <f t="shared" si="2"/>
        <v>0</v>
      </c>
      <c r="AA2" s="14">
        <f t="shared" si="2"/>
        <v>0</v>
      </c>
      <c r="AB2" s="14">
        <f t="shared" si="2"/>
        <v>0</v>
      </c>
      <c r="AC2" s="14">
        <f t="shared" si="2"/>
        <v>0</v>
      </c>
      <c r="AD2" s="14">
        <f t="shared" si="2"/>
        <v>0</v>
      </c>
      <c r="AE2" s="14">
        <f t="shared" si="2"/>
        <v>0</v>
      </c>
      <c r="AF2" s="14">
        <f t="shared" si="2"/>
        <v>0</v>
      </c>
      <c r="AG2" s="14">
        <f t="shared" si="2"/>
        <v>0</v>
      </c>
      <c r="AH2" s="14">
        <f t="shared" ref="AH2:AQ6" si="3">COUNTIF(AH$32:AH$334,$B2)</f>
        <v>0</v>
      </c>
      <c r="AI2" s="14">
        <f t="shared" si="3"/>
        <v>0</v>
      </c>
      <c r="AJ2" s="14">
        <f t="shared" si="3"/>
        <v>0</v>
      </c>
      <c r="AK2" s="14">
        <f t="shared" si="3"/>
        <v>0</v>
      </c>
      <c r="AL2" s="14">
        <f t="shared" si="3"/>
        <v>0</v>
      </c>
      <c r="AM2" s="14">
        <f t="shared" si="3"/>
        <v>0</v>
      </c>
      <c r="AN2" s="14">
        <f t="shared" si="3"/>
        <v>0</v>
      </c>
      <c r="AO2" s="14">
        <f t="shared" si="3"/>
        <v>0</v>
      </c>
      <c r="AP2" s="14">
        <f t="shared" si="3"/>
        <v>0</v>
      </c>
      <c r="AQ2" s="14">
        <f t="shared" si="3"/>
        <v>0</v>
      </c>
      <c r="AR2" s="14">
        <f t="shared" ref="AR2:BA6" si="4">COUNTIF(AR$32:AR$334,$B2)</f>
        <v>0</v>
      </c>
      <c r="AS2" s="14">
        <f t="shared" si="4"/>
        <v>0</v>
      </c>
      <c r="AT2" s="14">
        <f t="shared" si="4"/>
        <v>0</v>
      </c>
      <c r="AU2" s="14">
        <f t="shared" si="4"/>
        <v>0</v>
      </c>
      <c r="AV2" s="14">
        <f t="shared" si="4"/>
        <v>0</v>
      </c>
      <c r="AW2" s="14">
        <f t="shared" si="4"/>
        <v>0</v>
      </c>
      <c r="AX2" s="14">
        <f t="shared" si="4"/>
        <v>0</v>
      </c>
      <c r="AY2" s="14">
        <f t="shared" si="4"/>
        <v>0</v>
      </c>
      <c r="AZ2" s="14">
        <f t="shared" si="4"/>
        <v>0</v>
      </c>
      <c r="BA2" s="14">
        <f t="shared" si="4"/>
        <v>0</v>
      </c>
      <c r="BB2" s="14"/>
      <c r="BC2" s="14"/>
      <c r="BD2" s="14">
        <f ca="1">COUNTIF(OFFSET(BD$32,0,0,COUNT(時間希望調査!$A:$A)),$B2)</f>
        <v>1</v>
      </c>
      <c r="BE2" s="14">
        <f ca="1">COUNTIF(OFFSET(BE$32,0,0,COUNT(時間希望調査!$A:$A)),$B2)</f>
        <v>0</v>
      </c>
      <c r="BF2" s="14">
        <f ca="1">COUNTIF(OFFSET(BF$32,0,0,COUNT(時間希望調査!$A:$A)),$B2)</f>
        <v>0</v>
      </c>
      <c r="BG2" s="14">
        <f ca="1">COUNTIF(OFFSET(BG$32,0,0,COUNT(時間希望調査!$A:$A)),$B2)</f>
        <v>0</v>
      </c>
      <c r="BH2" s="14">
        <f ca="1">COUNTIF(OFFSET(BH$32,0,0,COUNT(時間希望調査!$A:$A)),$B2)</f>
        <v>0</v>
      </c>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row>
    <row r="3" spans="2:91">
      <c r="B3" s="14" t="str">
        <f>役職一覧!B3&amp;""</f>
        <v>B</v>
      </c>
      <c r="C3" s="14">
        <f>役職一覧!E3</f>
        <v>3</v>
      </c>
      <c r="D3" s="14">
        <f t="shared" si="0"/>
        <v>0</v>
      </c>
      <c r="E3" s="14">
        <f t="shared" si="0"/>
        <v>0</v>
      </c>
      <c r="F3" s="14">
        <f t="shared" si="0"/>
        <v>0</v>
      </c>
      <c r="G3" s="14">
        <f t="shared" si="0"/>
        <v>0</v>
      </c>
      <c r="H3" s="14">
        <f t="shared" si="0"/>
        <v>0</v>
      </c>
      <c r="I3" s="14">
        <f t="shared" si="0"/>
        <v>0</v>
      </c>
      <c r="J3" s="14">
        <f t="shared" si="0"/>
        <v>0</v>
      </c>
      <c r="K3" s="14">
        <f t="shared" si="0"/>
        <v>0</v>
      </c>
      <c r="L3" s="14">
        <f t="shared" si="0"/>
        <v>0</v>
      </c>
      <c r="M3" s="14">
        <f t="shared" si="0"/>
        <v>0</v>
      </c>
      <c r="N3" s="14">
        <f t="shared" si="1"/>
        <v>0</v>
      </c>
      <c r="O3" s="14">
        <f t="shared" si="1"/>
        <v>0</v>
      </c>
      <c r="P3" s="14">
        <f t="shared" si="1"/>
        <v>0</v>
      </c>
      <c r="Q3" s="14">
        <f t="shared" si="1"/>
        <v>0</v>
      </c>
      <c r="R3" s="14">
        <f t="shared" si="1"/>
        <v>0</v>
      </c>
      <c r="S3" s="14">
        <f t="shared" si="1"/>
        <v>0</v>
      </c>
      <c r="T3" s="14">
        <f t="shared" si="1"/>
        <v>0</v>
      </c>
      <c r="U3" s="14">
        <f t="shared" si="1"/>
        <v>0</v>
      </c>
      <c r="V3" s="14">
        <f t="shared" si="1"/>
        <v>0</v>
      </c>
      <c r="W3" s="14">
        <f t="shared" si="1"/>
        <v>0</v>
      </c>
      <c r="X3" s="14">
        <f t="shared" si="2"/>
        <v>0</v>
      </c>
      <c r="Y3" s="14">
        <f t="shared" si="2"/>
        <v>0</v>
      </c>
      <c r="Z3" s="14">
        <f t="shared" si="2"/>
        <v>0</v>
      </c>
      <c r="AA3" s="14">
        <f t="shared" si="2"/>
        <v>0</v>
      </c>
      <c r="AB3" s="14">
        <f t="shared" si="2"/>
        <v>0</v>
      </c>
      <c r="AC3" s="14">
        <f t="shared" si="2"/>
        <v>0</v>
      </c>
      <c r="AD3" s="14">
        <f t="shared" si="2"/>
        <v>0</v>
      </c>
      <c r="AE3" s="14">
        <f t="shared" si="2"/>
        <v>0</v>
      </c>
      <c r="AF3" s="14">
        <f t="shared" si="2"/>
        <v>0</v>
      </c>
      <c r="AG3" s="14">
        <f t="shared" si="2"/>
        <v>0</v>
      </c>
      <c r="AH3" s="14">
        <f t="shared" si="3"/>
        <v>0</v>
      </c>
      <c r="AI3" s="14">
        <f t="shared" si="3"/>
        <v>0</v>
      </c>
      <c r="AJ3" s="14">
        <f t="shared" si="3"/>
        <v>0</v>
      </c>
      <c r="AK3" s="14">
        <f t="shared" si="3"/>
        <v>0</v>
      </c>
      <c r="AL3" s="14">
        <f t="shared" si="3"/>
        <v>0</v>
      </c>
      <c r="AM3" s="14">
        <f t="shared" si="3"/>
        <v>0</v>
      </c>
      <c r="AN3" s="14">
        <f t="shared" si="3"/>
        <v>0</v>
      </c>
      <c r="AO3" s="14">
        <f t="shared" si="3"/>
        <v>0</v>
      </c>
      <c r="AP3" s="14">
        <f t="shared" si="3"/>
        <v>0</v>
      </c>
      <c r="AQ3" s="14">
        <f t="shared" si="3"/>
        <v>0</v>
      </c>
      <c r="AR3" s="14">
        <f t="shared" si="4"/>
        <v>0</v>
      </c>
      <c r="AS3" s="14">
        <f t="shared" si="4"/>
        <v>0</v>
      </c>
      <c r="AT3" s="14">
        <f t="shared" si="4"/>
        <v>0</v>
      </c>
      <c r="AU3" s="14">
        <f t="shared" si="4"/>
        <v>0</v>
      </c>
      <c r="AV3" s="14">
        <f t="shared" si="4"/>
        <v>0</v>
      </c>
      <c r="AW3" s="14">
        <f t="shared" si="4"/>
        <v>0</v>
      </c>
      <c r="AX3" s="14">
        <f t="shared" si="4"/>
        <v>0</v>
      </c>
      <c r="AY3" s="14">
        <f t="shared" si="4"/>
        <v>0</v>
      </c>
      <c r="AZ3" s="14">
        <f t="shared" si="4"/>
        <v>0</v>
      </c>
      <c r="BA3" s="14">
        <f t="shared" si="4"/>
        <v>0</v>
      </c>
      <c r="BB3" s="14"/>
      <c r="BC3" s="14"/>
      <c r="BD3" s="14">
        <f ca="1">COUNTIF(OFFSET(BD$32,0,0,COUNT(時間希望調査!$A:$A)),$B3)</f>
        <v>0</v>
      </c>
      <c r="BE3" s="14">
        <f ca="1">COUNTIF(OFFSET(BE$32,0,0,COUNT(時間希望調査!$A:$A)),$B3)</f>
        <v>0</v>
      </c>
      <c r="BF3" s="14">
        <f ca="1">COUNTIF(OFFSET(BF$32,0,0,COUNT(時間希望調査!$A:$A)),$B3)</f>
        <v>0</v>
      </c>
      <c r="BG3" s="14">
        <f ca="1">COUNTIF(OFFSET(BG$32,0,0,COUNT(時間希望調査!$A:$A)),$B3)</f>
        <v>0</v>
      </c>
      <c r="BH3" s="14">
        <f ca="1">COUNTIF(OFFSET(BH$32,0,0,COUNT(時間希望調査!$A:$A)),$B3)</f>
        <v>0</v>
      </c>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row>
    <row r="4" spans="2:91">
      <c r="B4" s="14" t="str">
        <f>役職一覧!B4&amp;""</f>
        <v>C</v>
      </c>
      <c r="C4" s="14">
        <f>役職一覧!E4</f>
        <v>4</v>
      </c>
      <c r="D4" s="14">
        <f t="shared" si="0"/>
        <v>0</v>
      </c>
      <c r="E4" s="14">
        <f t="shared" si="0"/>
        <v>0</v>
      </c>
      <c r="F4" s="14">
        <f t="shared" si="0"/>
        <v>0</v>
      </c>
      <c r="G4" s="14">
        <f t="shared" si="0"/>
        <v>0</v>
      </c>
      <c r="H4" s="14">
        <f t="shared" si="0"/>
        <v>0</v>
      </c>
      <c r="I4" s="14">
        <f t="shared" si="0"/>
        <v>0</v>
      </c>
      <c r="J4" s="14">
        <f t="shared" si="0"/>
        <v>0</v>
      </c>
      <c r="K4" s="14">
        <f t="shared" si="0"/>
        <v>0</v>
      </c>
      <c r="L4" s="14">
        <f t="shared" si="0"/>
        <v>0</v>
      </c>
      <c r="M4" s="14">
        <f t="shared" si="0"/>
        <v>0</v>
      </c>
      <c r="N4" s="14">
        <f t="shared" si="1"/>
        <v>0</v>
      </c>
      <c r="O4" s="14">
        <f t="shared" si="1"/>
        <v>0</v>
      </c>
      <c r="P4" s="14">
        <f t="shared" si="1"/>
        <v>0</v>
      </c>
      <c r="Q4" s="14">
        <f t="shared" si="1"/>
        <v>0</v>
      </c>
      <c r="R4" s="14">
        <f t="shared" si="1"/>
        <v>0</v>
      </c>
      <c r="S4" s="14">
        <f t="shared" si="1"/>
        <v>0</v>
      </c>
      <c r="T4" s="14">
        <f t="shared" si="1"/>
        <v>0</v>
      </c>
      <c r="U4" s="14">
        <f t="shared" si="1"/>
        <v>0</v>
      </c>
      <c r="V4" s="14">
        <f t="shared" si="1"/>
        <v>0</v>
      </c>
      <c r="W4" s="14">
        <f t="shared" si="1"/>
        <v>0</v>
      </c>
      <c r="X4" s="14">
        <f t="shared" si="2"/>
        <v>0</v>
      </c>
      <c r="Y4" s="14">
        <f t="shared" si="2"/>
        <v>0</v>
      </c>
      <c r="Z4" s="14">
        <f t="shared" si="2"/>
        <v>0</v>
      </c>
      <c r="AA4" s="14">
        <f t="shared" si="2"/>
        <v>0</v>
      </c>
      <c r="AB4" s="14">
        <f t="shared" si="2"/>
        <v>0</v>
      </c>
      <c r="AC4" s="14">
        <f t="shared" si="2"/>
        <v>0</v>
      </c>
      <c r="AD4" s="14">
        <f t="shared" si="2"/>
        <v>0</v>
      </c>
      <c r="AE4" s="14">
        <f t="shared" si="2"/>
        <v>0</v>
      </c>
      <c r="AF4" s="14">
        <f t="shared" si="2"/>
        <v>0</v>
      </c>
      <c r="AG4" s="14">
        <f t="shared" si="2"/>
        <v>0</v>
      </c>
      <c r="AH4" s="14">
        <f t="shared" si="3"/>
        <v>0</v>
      </c>
      <c r="AI4" s="14">
        <f t="shared" si="3"/>
        <v>0</v>
      </c>
      <c r="AJ4" s="14">
        <f t="shared" si="3"/>
        <v>0</v>
      </c>
      <c r="AK4" s="14">
        <f t="shared" si="3"/>
        <v>0</v>
      </c>
      <c r="AL4" s="14">
        <f t="shared" si="3"/>
        <v>0</v>
      </c>
      <c r="AM4" s="14">
        <f t="shared" si="3"/>
        <v>0</v>
      </c>
      <c r="AN4" s="14">
        <f t="shared" si="3"/>
        <v>0</v>
      </c>
      <c r="AO4" s="14">
        <f t="shared" si="3"/>
        <v>0</v>
      </c>
      <c r="AP4" s="14">
        <f t="shared" si="3"/>
        <v>0</v>
      </c>
      <c r="AQ4" s="14">
        <f t="shared" si="3"/>
        <v>0</v>
      </c>
      <c r="AR4" s="14">
        <f t="shared" si="4"/>
        <v>0</v>
      </c>
      <c r="AS4" s="14">
        <f t="shared" si="4"/>
        <v>0</v>
      </c>
      <c r="AT4" s="14">
        <f t="shared" si="4"/>
        <v>0</v>
      </c>
      <c r="AU4" s="14">
        <f t="shared" si="4"/>
        <v>0</v>
      </c>
      <c r="AV4" s="14">
        <f t="shared" si="4"/>
        <v>0</v>
      </c>
      <c r="AW4" s="14">
        <f t="shared" si="4"/>
        <v>0</v>
      </c>
      <c r="AX4" s="14">
        <f t="shared" si="4"/>
        <v>0</v>
      </c>
      <c r="AY4" s="14">
        <f t="shared" si="4"/>
        <v>0</v>
      </c>
      <c r="AZ4" s="14">
        <f t="shared" si="4"/>
        <v>0</v>
      </c>
      <c r="BA4" s="14">
        <f t="shared" si="4"/>
        <v>0</v>
      </c>
      <c r="BB4" s="14"/>
      <c r="BC4" s="14"/>
      <c r="BD4" s="14">
        <f ca="1">COUNTIF(OFFSET(BD$32,0,0,COUNT(時間希望調査!$A:$A)),$B4)</f>
        <v>0</v>
      </c>
      <c r="BE4" s="14">
        <f ca="1">COUNTIF(OFFSET(BE$32,0,0,COUNT(時間希望調査!$A:$A)),$B4)</f>
        <v>1</v>
      </c>
      <c r="BF4" s="14">
        <f ca="1">COUNTIF(OFFSET(BF$32,0,0,COUNT(時間希望調査!$A:$A)),$B4)</f>
        <v>0</v>
      </c>
      <c r="BG4" s="14">
        <f ca="1">COUNTIF(OFFSET(BG$32,0,0,COUNT(時間希望調査!$A:$A)),$B4)</f>
        <v>0</v>
      </c>
      <c r="BH4" s="14">
        <f ca="1">COUNTIF(OFFSET(BH$32,0,0,COUNT(時間希望調査!$A:$A)),$B4)</f>
        <v>0</v>
      </c>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row>
    <row r="5" spans="2:91">
      <c r="B5" s="14" t="str">
        <f>役職一覧!B5&amp;""</f>
        <v>D</v>
      </c>
      <c r="C5" s="14">
        <f>役職一覧!E5</f>
        <v>1</v>
      </c>
      <c r="D5" s="14">
        <f t="shared" si="0"/>
        <v>1</v>
      </c>
      <c r="E5" s="14">
        <f t="shared" si="0"/>
        <v>0</v>
      </c>
      <c r="F5" s="14">
        <f t="shared" si="0"/>
        <v>0</v>
      </c>
      <c r="G5" s="14">
        <f t="shared" si="0"/>
        <v>0</v>
      </c>
      <c r="H5" s="14">
        <f t="shared" si="0"/>
        <v>0</v>
      </c>
      <c r="I5" s="14">
        <f t="shared" si="0"/>
        <v>0</v>
      </c>
      <c r="J5" s="14">
        <f t="shared" si="0"/>
        <v>0</v>
      </c>
      <c r="K5" s="14">
        <f t="shared" si="0"/>
        <v>0</v>
      </c>
      <c r="L5" s="14">
        <f t="shared" si="0"/>
        <v>0</v>
      </c>
      <c r="M5" s="14">
        <f t="shared" si="0"/>
        <v>0</v>
      </c>
      <c r="N5" s="14">
        <f t="shared" si="1"/>
        <v>0</v>
      </c>
      <c r="O5" s="14">
        <f t="shared" si="1"/>
        <v>0</v>
      </c>
      <c r="P5" s="14">
        <f t="shared" si="1"/>
        <v>0</v>
      </c>
      <c r="Q5" s="14">
        <f t="shared" si="1"/>
        <v>0</v>
      </c>
      <c r="R5" s="14">
        <f t="shared" si="1"/>
        <v>0</v>
      </c>
      <c r="S5" s="14">
        <f t="shared" si="1"/>
        <v>0</v>
      </c>
      <c r="T5" s="14">
        <f t="shared" si="1"/>
        <v>0</v>
      </c>
      <c r="U5" s="14">
        <f t="shared" si="1"/>
        <v>0</v>
      </c>
      <c r="V5" s="14">
        <f t="shared" si="1"/>
        <v>0</v>
      </c>
      <c r="W5" s="14">
        <f t="shared" si="1"/>
        <v>0</v>
      </c>
      <c r="X5" s="14">
        <f t="shared" si="2"/>
        <v>0</v>
      </c>
      <c r="Y5" s="14">
        <f t="shared" si="2"/>
        <v>0</v>
      </c>
      <c r="Z5" s="14">
        <f t="shared" si="2"/>
        <v>0</v>
      </c>
      <c r="AA5" s="14">
        <f t="shared" si="2"/>
        <v>0</v>
      </c>
      <c r="AB5" s="14">
        <f t="shared" si="2"/>
        <v>0</v>
      </c>
      <c r="AC5" s="14">
        <f t="shared" si="2"/>
        <v>0</v>
      </c>
      <c r="AD5" s="14">
        <f t="shared" si="2"/>
        <v>0</v>
      </c>
      <c r="AE5" s="14">
        <f t="shared" si="2"/>
        <v>0</v>
      </c>
      <c r="AF5" s="14">
        <f t="shared" si="2"/>
        <v>0</v>
      </c>
      <c r="AG5" s="14">
        <f t="shared" si="2"/>
        <v>0</v>
      </c>
      <c r="AH5" s="14">
        <f t="shared" si="3"/>
        <v>0</v>
      </c>
      <c r="AI5" s="14">
        <f t="shared" si="3"/>
        <v>0</v>
      </c>
      <c r="AJ5" s="14">
        <f t="shared" si="3"/>
        <v>0</v>
      </c>
      <c r="AK5" s="14">
        <f t="shared" si="3"/>
        <v>0</v>
      </c>
      <c r="AL5" s="14">
        <f t="shared" si="3"/>
        <v>0</v>
      </c>
      <c r="AM5" s="14">
        <f t="shared" si="3"/>
        <v>0</v>
      </c>
      <c r="AN5" s="14">
        <f t="shared" si="3"/>
        <v>0</v>
      </c>
      <c r="AO5" s="14">
        <f t="shared" si="3"/>
        <v>0</v>
      </c>
      <c r="AP5" s="14">
        <f t="shared" si="3"/>
        <v>0</v>
      </c>
      <c r="AQ5" s="14">
        <f t="shared" si="3"/>
        <v>0</v>
      </c>
      <c r="AR5" s="14">
        <f t="shared" si="4"/>
        <v>0</v>
      </c>
      <c r="AS5" s="14">
        <f t="shared" si="4"/>
        <v>0</v>
      </c>
      <c r="AT5" s="14">
        <f t="shared" si="4"/>
        <v>0</v>
      </c>
      <c r="AU5" s="14">
        <f t="shared" si="4"/>
        <v>0</v>
      </c>
      <c r="AV5" s="14">
        <f t="shared" si="4"/>
        <v>0</v>
      </c>
      <c r="AW5" s="14">
        <f t="shared" si="4"/>
        <v>0</v>
      </c>
      <c r="AX5" s="14">
        <f t="shared" si="4"/>
        <v>0</v>
      </c>
      <c r="AY5" s="14">
        <f t="shared" si="4"/>
        <v>0</v>
      </c>
      <c r="AZ5" s="14">
        <f t="shared" si="4"/>
        <v>0</v>
      </c>
      <c r="BA5" s="14">
        <f t="shared" si="4"/>
        <v>0</v>
      </c>
      <c r="BB5" s="14"/>
      <c r="BC5" s="14"/>
      <c r="BD5" s="14">
        <f ca="1">COUNTIF(OFFSET(BD$32,0,0,COUNT(時間希望調査!$A:$A)),$B5)</f>
        <v>0</v>
      </c>
      <c r="BE5" s="14">
        <f ca="1">COUNTIF(OFFSET(BE$32,0,0,COUNT(時間希望調査!$A:$A)),$B5)</f>
        <v>0</v>
      </c>
      <c r="BF5" s="14">
        <f ca="1">COUNTIF(OFFSET(BF$32,0,0,COUNT(時間希望調査!$A:$A)),$B5)</f>
        <v>0</v>
      </c>
      <c r="BG5" s="14">
        <f ca="1">COUNTIF(OFFSET(BG$32,0,0,COUNT(時間希望調査!$A:$A)),$B5)</f>
        <v>0</v>
      </c>
      <c r="BH5" s="14">
        <f ca="1">COUNTIF(OFFSET(BH$32,0,0,COUNT(時間希望調査!$A:$A)),$B5)</f>
        <v>0</v>
      </c>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row>
    <row r="6" spans="2:91">
      <c r="B6" s="14" t="str">
        <f>役職一覧!B6&amp;""</f>
        <v>E</v>
      </c>
      <c r="C6" s="14">
        <f>役職一覧!E6</f>
        <v>6</v>
      </c>
      <c r="D6" s="14">
        <f t="shared" si="0"/>
        <v>0</v>
      </c>
      <c r="E6" s="14">
        <f t="shared" si="0"/>
        <v>0</v>
      </c>
      <c r="F6" s="14">
        <f t="shared" si="0"/>
        <v>0</v>
      </c>
      <c r="G6" s="14">
        <f t="shared" si="0"/>
        <v>0</v>
      </c>
      <c r="H6" s="14">
        <f t="shared" si="0"/>
        <v>0</v>
      </c>
      <c r="I6" s="14">
        <f t="shared" si="0"/>
        <v>0</v>
      </c>
      <c r="J6" s="14">
        <f t="shared" si="0"/>
        <v>0</v>
      </c>
      <c r="K6" s="14">
        <f t="shared" si="0"/>
        <v>0</v>
      </c>
      <c r="L6" s="14">
        <f t="shared" si="0"/>
        <v>0</v>
      </c>
      <c r="M6" s="14">
        <f t="shared" si="0"/>
        <v>0</v>
      </c>
      <c r="N6" s="14">
        <f t="shared" si="1"/>
        <v>0</v>
      </c>
      <c r="O6" s="14">
        <f t="shared" si="1"/>
        <v>0</v>
      </c>
      <c r="P6" s="14">
        <f t="shared" si="1"/>
        <v>0</v>
      </c>
      <c r="Q6" s="14">
        <f t="shared" si="1"/>
        <v>0</v>
      </c>
      <c r="R6" s="14">
        <f t="shared" si="1"/>
        <v>0</v>
      </c>
      <c r="S6" s="14">
        <f t="shared" si="1"/>
        <v>0</v>
      </c>
      <c r="T6" s="14">
        <f t="shared" si="1"/>
        <v>0</v>
      </c>
      <c r="U6" s="14">
        <f t="shared" si="1"/>
        <v>0</v>
      </c>
      <c r="V6" s="14">
        <f t="shared" si="1"/>
        <v>0</v>
      </c>
      <c r="W6" s="14">
        <f t="shared" si="1"/>
        <v>0</v>
      </c>
      <c r="X6" s="14">
        <f t="shared" si="2"/>
        <v>0</v>
      </c>
      <c r="Y6" s="14">
        <f t="shared" si="2"/>
        <v>0</v>
      </c>
      <c r="Z6" s="14">
        <f t="shared" si="2"/>
        <v>0</v>
      </c>
      <c r="AA6" s="14">
        <f t="shared" si="2"/>
        <v>0</v>
      </c>
      <c r="AB6" s="14">
        <f t="shared" si="2"/>
        <v>0</v>
      </c>
      <c r="AC6" s="14">
        <f t="shared" si="2"/>
        <v>0</v>
      </c>
      <c r="AD6" s="14">
        <f t="shared" si="2"/>
        <v>0</v>
      </c>
      <c r="AE6" s="14">
        <f t="shared" si="2"/>
        <v>0</v>
      </c>
      <c r="AF6" s="14">
        <f t="shared" si="2"/>
        <v>0</v>
      </c>
      <c r="AG6" s="14">
        <f t="shared" si="2"/>
        <v>0</v>
      </c>
      <c r="AH6" s="14">
        <f t="shared" si="3"/>
        <v>0</v>
      </c>
      <c r="AI6" s="14">
        <f t="shared" si="3"/>
        <v>0</v>
      </c>
      <c r="AJ6" s="14">
        <f t="shared" si="3"/>
        <v>0</v>
      </c>
      <c r="AK6" s="14">
        <f t="shared" si="3"/>
        <v>0</v>
      </c>
      <c r="AL6" s="14">
        <f t="shared" si="3"/>
        <v>0</v>
      </c>
      <c r="AM6" s="14">
        <f t="shared" si="3"/>
        <v>0</v>
      </c>
      <c r="AN6" s="14">
        <f t="shared" si="3"/>
        <v>0</v>
      </c>
      <c r="AO6" s="14">
        <f t="shared" si="3"/>
        <v>0</v>
      </c>
      <c r="AP6" s="14">
        <f t="shared" si="3"/>
        <v>0</v>
      </c>
      <c r="AQ6" s="14">
        <f t="shared" si="3"/>
        <v>0</v>
      </c>
      <c r="AR6" s="14">
        <f t="shared" si="4"/>
        <v>0</v>
      </c>
      <c r="AS6" s="14">
        <f t="shared" si="4"/>
        <v>0</v>
      </c>
      <c r="AT6" s="14">
        <f t="shared" si="4"/>
        <v>0</v>
      </c>
      <c r="AU6" s="14">
        <f t="shared" si="4"/>
        <v>0</v>
      </c>
      <c r="AV6" s="14">
        <f t="shared" si="4"/>
        <v>0</v>
      </c>
      <c r="AW6" s="14">
        <f t="shared" si="4"/>
        <v>0</v>
      </c>
      <c r="AX6" s="14">
        <f t="shared" si="4"/>
        <v>0</v>
      </c>
      <c r="AY6" s="14">
        <f t="shared" si="4"/>
        <v>0</v>
      </c>
      <c r="AZ6" s="14">
        <f t="shared" si="4"/>
        <v>0</v>
      </c>
      <c r="BA6" s="14">
        <f t="shared" si="4"/>
        <v>0</v>
      </c>
      <c r="BB6" s="14"/>
      <c r="BC6" s="14"/>
      <c r="BD6" s="14">
        <f ca="1">COUNTIF(OFFSET(BD$32,0,0,COUNT(時間希望調査!$A:$A)),$B6)</f>
        <v>0</v>
      </c>
      <c r="BE6" s="14">
        <f ca="1">COUNTIF(OFFSET(BE$32,0,0,COUNT(時間希望調査!$A:$A)),$B6)</f>
        <v>0</v>
      </c>
      <c r="BF6" s="14">
        <f ca="1">COUNTIF(OFFSET(BF$32,0,0,COUNT(時間希望調査!$A:$A)),$B6)</f>
        <v>0</v>
      </c>
      <c r="BG6" s="14">
        <f ca="1">COUNTIF(OFFSET(BG$32,0,0,COUNT(時間希望調査!$A:$A)),$B6)</f>
        <v>0</v>
      </c>
      <c r="BH6" s="14">
        <f ca="1">COUNTIF(OFFSET(BH$32,0,0,COUNT(時間希望調査!$A:$A)),$B6)</f>
        <v>0</v>
      </c>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row>
    <row r="7" spans="2:91">
      <c r="B7" s="14" t="str">
        <f>役職一覧!B7&amp;""</f>
        <v>F</v>
      </c>
      <c r="C7" s="14">
        <f>役職一覧!E7</f>
        <v>0</v>
      </c>
      <c r="D7" s="14">
        <f t="shared" ref="D7:N16" si="5">COUNTIF(D$32:D$334,$B7)</f>
        <v>0</v>
      </c>
      <c r="E7" s="14">
        <f t="shared" si="5"/>
        <v>0</v>
      </c>
      <c r="F7" s="14">
        <f t="shared" si="5"/>
        <v>0</v>
      </c>
      <c r="G7" s="14">
        <f t="shared" si="5"/>
        <v>0</v>
      </c>
      <c r="H7" s="14">
        <f t="shared" si="5"/>
        <v>0</v>
      </c>
      <c r="I7" s="14">
        <f t="shared" si="5"/>
        <v>0</v>
      </c>
      <c r="J7" s="14">
        <f t="shared" si="5"/>
        <v>0</v>
      </c>
      <c r="K7" s="14">
        <f t="shared" si="5"/>
        <v>0</v>
      </c>
      <c r="L7" s="14">
        <f t="shared" si="5"/>
        <v>0</v>
      </c>
      <c r="M7" s="14">
        <f t="shared" si="5"/>
        <v>0</v>
      </c>
      <c r="N7" s="14">
        <f t="shared" si="5"/>
        <v>0</v>
      </c>
      <c r="O7" s="14">
        <f t="shared" ref="O7:AD31" si="6">COUNTIF(O$32:O$334,$B7)</f>
        <v>0</v>
      </c>
      <c r="P7" s="14">
        <f t="shared" si="6"/>
        <v>0</v>
      </c>
      <c r="Q7" s="14">
        <f t="shared" si="6"/>
        <v>0</v>
      </c>
      <c r="R7" s="14">
        <f t="shared" si="6"/>
        <v>0</v>
      </c>
      <c r="S7" s="14">
        <f t="shared" si="6"/>
        <v>0</v>
      </c>
      <c r="T7" s="14">
        <f t="shared" si="6"/>
        <v>0</v>
      </c>
      <c r="U7" s="14">
        <f t="shared" si="6"/>
        <v>0</v>
      </c>
      <c r="V7" s="14">
        <f t="shared" si="6"/>
        <v>0</v>
      </c>
      <c r="W7" s="14">
        <f t="shared" si="6"/>
        <v>0</v>
      </c>
      <c r="X7" s="14">
        <f t="shared" si="6"/>
        <v>0</v>
      </c>
      <c r="Y7" s="14">
        <f t="shared" si="6"/>
        <v>0</v>
      </c>
      <c r="Z7" s="14">
        <f t="shared" si="6"/>
        <v>0</v>
      </c>
      <c r="AA7" s="14">
        <f t="shared" si="6"/>
        <v>0</v>
      </c>
      <c r="AB7" s="14">
        <f t="shared" si="6"/>
        <v>0</v>
      </c>
      <c r="AC7" s="14">
        <f t="shared" si="6"/>
        <v>0</v>
      </c>
      <c r="AD7" s="14">
        <f t="shared" si="6"/>
        <v>0</v>
      </c>
      <c r="AE7" s="14">
        <f t="shared" ref="AE7:AT22" si="7">COUNTIF(AE$32:AE$334,$B7)</f>
        <v>0</v>
      </c>
      <c r="AF7" s="14">
        <f t="shared" si="7"/>
        <v>0</v>
      </c>
      <c r="AG7" s="14">
        <f t="shared" si="7"/>
        <v>0</v>
      </c>
      <c r="AH7" s="14">
        <f t="shared" si="7"/>
        <v>0</v>
      </c>
      <c r="AI7" s="14">
        <f t="shared" si="7"/>
        <v>0</v>
      </c>
      <c r="AJ7" s="14">
        <f t="shared" si="7"/>
        <v>0</v>
      </c>
      <c r="AK7" s="14">
        <f t="shared" si="7"/>
        <v>0</v>
      </c>
      <c r="AL7" s="14">
        <f t="shared" si="7"/>
        <v>0</v>
      </c>
      <c r="AM7" s="14">
        <f t="shared" si="7"/>
        <v>0</v>
      </c>
      <c r="AN7" s="14">
        <f t="shared" si="7"/>
        <v>0</v>
      </c>
      <c r="AO7" s="14">
        <f t="shared" si="7"/>
        <v>0</v>
      </c>
      <c r="AP7" s="14">
        <f t="shared" si="7"/>
        <v>0</v>
      </c>
      <c r="AQ7" s="14">
        <f t="shared" si="7"/>
        <v>0</v>
      </c>
      <c r="AR7" s="14">
        <f t="shared" si="7"/>
        <v>0</v>
      </c>
      <c r="AS7" s="14">
        <f t="shared" si="7"/>
        <v>0</v>
      </c>
      <c r="AT7" s="14">
        <f t="shared" si="7"/>
        <v>0</v>
      </c>
      <c r="AU7" s="14">
        <f t="shared" ref="AU7:BA21" si="8">COUNTIF(AU$32:AU$334,$B7)</f>
        <v>0</v>
      </c>
      <c r="AV7" s="14">
        <f t="shared" si="8"/>
        <v>0</v>
      </c>
      <c r="AW7" s="14">
        <f t="shared" si="8"/>
        <v>0</v>
      </c>
      <c r="AX7" s="14">
        <f t="shared" si="8"/>
        <v>0</v>
      </c>
      <c r="AY7" s="14">
        <f t="shared" si="8"/>
        <v>0</v>
      </c>
      <c r="AZ7" s="14">
        <f t="shared" si="8"/>
        <v>0</v>
      </c>
      <c r="BA7" s="14">
        <f t="shared" si="8"/>
        <v>0</v>
      </c>
      <c r="BB7" s="14"/>
      <c r="BC7" s="14"/>
      <c r="BD7" s="14">
        <f ca="1">COUNTIF(OFFSET(BD$32,0,0,COUNT(時間希望調査!$A:$A)),$B7)</f>
        <v>0</v>
      </c>
      <c r="BE7" s="14">
        <f ca="1">COUNTIF(OFFSET(BE$32,0,0,COUNT(時間希望調査!$A:$A)),$B7)</f>
        <v>0</v>
      </c>
      <c r="BF7" s="14">
        <f ca="1">COUNTIF(OFFSET(BF$32,0,0,COUNT(時間希望調査!$A:$A)),$B7)</f>
        <v>0</v>
      </c>
      <c r="BG7" s="14">
        <f ca="1">COUNTIF(OFFSET(BG$32,0,0,COUNT(時間希望調査!$A:$A)),$B7)</f>
        <v>0</v>
      </c>
      <c r="BH7" s="14">
        <f ca="1">COUNTIF(OFFSET(BH$32,0,0,COUNT(時間希望調査!$A:$A)),$B7)</f>
        <v>0</v>
      </c>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row>
    <row r="8" spans="2:91" hidden="1">
      <c r="B8" s="14" t="str">
        <f>役職一覧!B8&amp;""</f>
        <v/>
      </c>
      <c r="C8" s="14">
        <f>役職一覧!E8</f>
        <v>0</v>
      </c>
      <c r="D8" s="14">
        <f t="shared" si="5"/>
        <v>302</v>
      </c>
      <c r="E8" s="14">
        <f t="shared" si="5"/>
        <v>303</v>
      </c>
      <c r="F8" s="14">
        <f t="shared" si="5"/>
        <v>303</v>
      </c>
      <c r="G8" s="14">
        <f t="shared" si="5"/>
        <v>302</v>
      </c>
      <c r="H8" s="14">
        <f t="shared" si="5"/>
        <v>303</v>
      </c>
      <c r="I8" s="14">
        <f t="shared" si="5"/>
        <v>303</v>
      </c>
      <c r="J8" s="14">
        <f t="shared" si="5"/>
        <v>303</v>
      </c>
      <c r="K8" s="14">
        <f t="shared" si="5"/>
        <v>303</v>
      </c>
      <c r="L8" s="14">
        <f t="shared" si="5"/>
        <v>303</v>
      </c>
      <c r="M8" s="14">
        <f t="shared" si="5"/>
        <v>303</v>
      </c>
      <c r="N8" s="14">
        <f t="shared" si="5"/>
        <v>303</v>
      </c>
      <c r="O8" s="14">
        <f t="shared" ref="O8:S22" si="9">COUNTIF(O$32:O$334,$B8)</f>
        <v>303</v>
      </c>
      <c r="P8" s="14">
        <f t="shared" si="9"/>
        <v>303</v>
      </c>
      <c r="Q8" s="14">
        <f t="shared" si="9"/>
        <v>303</v>
      </c>
      <c r="R8" s="14">
        <f t="shared" si="9"/>
        <v>303</v>
      </c>
      <c r="S8" s="14">
        <f t="shared" si="9"/>
        <v>303</v>
      </c>
      <c r="T8" s="14">
        <f t="shared" si="6"/>
        <v>303</v>
      </c>
      <c r="U8" s="14">
        <f t="shared" si="6"/>
        <v>303</v>
      </c>
      <c r="V8" s="14">
        <f t="shared" si="6"/>
        <v>303</v>
      </c>
      <c r="W8" s="14">
        <f t="shared" si="6"/>
        <v>303</v>
      </c>
      <c r="X8" s="14">
        <f t="shared" si="6"/>
        <v>303</v>
      </c>
      <c r="Y8" s="14">
        <f t="shared" si="6"/>
        <v>303</v>
      </c>
      <c r="Z8" s="14">
        <f t="shared" si="6"/>
        <v>303</v>
      </c>
      <c r="AA8" s="14">
        <f t="shared" si="6"/>
        <v>303</v>
      </c>
      <c r="AB8" s="14">
        <f t="shared" si="6"/>
        <v>303</v>
      </c>
      <c r="AC8" s="14">
        <f t="shared" si="6"/>
        <v>303</v>
      </c>
      <c r="AD8" s="14">
        <f t="shared" si="6"/>
        <v>303</v>
      </c>
      <c r="AE8" s="14">
        <f t="shared" si="7"/>
        <v>303</v>
      </c>
      <c r="AF8" s="14">
        <f t="shared" si="7"/>
        <v>303</v>
      </c>
      <c r="AG8" s="14">
        <f t="shared" si="7"/>
        <v>303</v>
      </c>
      <c r="AH8" s="14">
        <f t="shared" si="7"/>
        <v>303</v>
      </c>
      <c r="AI8" s="14">
        <f t="shared" si="7"/>
        <v>303</v>
      </c>
      <c r="AJ8" s="14">
        <f t="shared" si="7"/>
        <v>303</v>
      </c>
      <c r="AK8" s="14">
        <f t="shared" si="7"/>
        <v>303</v>
      </c>
      <c r="AL8" s="14">
        <f t="shared" si="7"/>
        <v>303</v>
      </c>
      <c r="AM8" s="14">
        <f t="shared" si="7"/>
        <v>303</v>
      </c>
      <c r="AN8" s="14">
        <f t="shared" si="7"/>
        <v>303</v>
      </c>
      <c r="AO8" s="14">
        <f t="shared" si="7"/>
        <v>303</v>
      </c>
      <c r="AP8" s="14">
        <f t="shared" si="7"/>
        <v>303</v>
      </c>
      <c r="AQ8" s="14">
        <f t="shared" si="7"/>
        <v>303</v>
      </c>
      <c r="AR8" s="14">
        <f t="shared" si="7"/>
        <v>303</v>
      </c>
      <c r="AS8" s="14">
        <f t="shared" si="7"/>
        <v>303</v>
      </c>
      <c r="AT8" s="14">
        <f t="shared" si="7"/>
        <v>303</v>
      </c>
      <c r="AU8" s="14">
        <f t="shared" si="8"/>
        <v>303</v>
      </c>
      <c r="AV8" s="14">
        <f t="shared" si="8"/>
        <v>303</v>
      </c>
      <c r="AW8" s="14">
        <f t="shared" si="8"/>
        <v>303</v>
      </c>
      <c r="AX8" s="14">
        <f t="shared" si="8"/>
        <v>303</v>
      </c>
      <c r="AY8" s="14">
        <f t="shared" si="8"/>
        <v>303</v>
      </c>
      <c r="AZ8" s="14">
        <f t="shared" si="8"/>
        <v>303</v>
      </c>
      <c r="BA8" s="14">
        <f t="shared" si="8"/>
        <v>303</v>
      </c>
      <c r="BB8" s="14"/>
      <c r="BC8" s="14"/>
      <c r="BD8" s="14">
        <f ca="1">COUNTIF(OFFSET(BD$32,0,0,COUNT(時間希望調査!$A:$A)),$B8)</f>
        <v>9</v>
      </c>
      <c r="BE8" s="14">
        <f ca="1">COUNTIF(OFFSET(BE$32,0,0,COUNT(時間希望調査!$A:$A)),$B8)</f>
        <v>9</v>
      </c>
      <c r="BF8" s="14">
        <f ca="1">COUNTIF(OFFSET(BF$32,0,0,COUNT(時間希望調査!$A:$A)),$B8)</f>
        <v>10</v>
      </c>
      <c r="BG8" s="14">
        <f ca="1">COUNTIF(OFFSET(BG$32,0,0,COUNT(時間希望調査!$A:$A)),$B8)</f>
        <v>10</v>
      </c>
      <c r="BH8" s="14">
        <f ca="1">COUNTIF(OFFSET(BH$32,0,0,COUNT(時間希望調査!$A:$A)),$B8)</f>
        <v>10</v>
      </c>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row>
    <row r="9" spans="2:91" hidden="1">
      <c r="B9" s="14" t="str">
        <f>役職一覧!B9&amp;""</f>
        <v/>
      </c>
      <c r="C9" s="14">
        <f>役職一覧!E9</f>
        <v>0</v>
      </c>
      <c r="D9" s="14">
        <f t="shared" si="5"/>
        <v>302</v>
      </c>
      <c r="E9" s="14">
        <f t="shared" si="5"/>
        <v>303</v>
      </c>
      <c r="F9" s="14">
        <f t="shared" si="5"/>
        <v>303</v>
      </c>
      <c r="G9" s="14">
        <f t="shared" si="5"/>
        <v>302</v>
      </c>
      <c r="H9" s="14">
        <f t="shared" si="5"/>
        <v>303</v>
      </c>
      <c r="I9" s="14">
        <f t="shared" si="5"/>
        <v>303</v>
      </c>
      <c r="J9" s="14">
        <f t="shared" si="5"/>
        <v>303</v>
      </c>
      <c r="K9" s="14">
        <f t="shared" si="5"/>
        <v>303</v>
      </c>
      <c r="L9" s="14">
        <f t="shared" si="5"/>
        <v>303</v>
      </c>
      <c r="M9" s="14">
        <f t="shared" si="5"/>
        <v>303</v>
      </c>
      <c r="N9" s="14">
        <f t="shared" si="5"/>
        <v>303</v>
      </c>
      <c r="O9" s="14">
        <f t="shared" si="9"/>
        <v>303</v>
      </c>
      <c r="P9" s="14">
        <f t="shared" si="9"/>
        <v>303</v>
      </c>
      <c r="Q9" s="14">
        <f t="shared" si="9"/>
        <v>303</v>
      </c>
      <c r="R9" s="14">
        <f t="shared" si="9"/>
        <v>303</v>
      </c>
      <c r="S9" s="14">
        <f t="shared" si="9"/>
        <v>303</v>
      </c>
      <c r="T9" s="14">
        <f t="shared" si="6"/>
        <v>303</v>
      </c>
      <c r="U9" s="14">
        <f t="shared" si="6"/>
        <v>303</v>
      </c>
      <c r="V9" s="14">
        <f t="shared" si="6"/>
        <v>303</v>
      </c>
      <c r="W9" s="14">
        <f t="shared" si="6"/>
        <v>303</v>
      </c>
      <c r="X9" s="14">
        <f t="shared" si="6"/>
        <v>303</v>
      </c>
      <c r="Y9" s="14">
        <f t="shared" si="6"/>
        <v>303</v>
      </c>
      <c r="Z9" s="14">
        <f t="shared" si="6"/>
        <v>303</v>
      </c>
      <c r="AA9" s="14">
        <f t="shared" si="6"/>
        <v>303</v>
      </c>
      <c r="AB9" s="14">
        <f t="shared" si="6"/>
        <v>303</v>
      </c>
      <c r="AC9" s="14">
        <f t="shared" si="6"/>
        <v>303</v>
      </c>
      <c r="AD9" s="14">
        <f t="shared" si="6"/>
        <v>303</v>
      </c>
      <c r="AE9" s="14">
        <f t="shared" si="7"/>
        <v>303</v>
      </c>
      <c r="AF9" s="14">
        <f t="shared" si="7"/>
        <v>303</v>
      </c>
      <c r="AG9" s="14">
        <f t="shared" si="7"/>
        <v>303</v>
      </c>
      <c r="AH9" s="14">
        <f t="shared" si="7"/>
        <v>303</v>
      </c>
      <c r="AI9" s="14">
        <f t="shared" si="7"/>
        <v>303</v>
      </c>
      <c r="AJ9" s="14">
        <f t="shared" si="7"/>
        <v>303</v>
      </c>
      <c r="AK9" s="14">
        <f t="shared" si="7"/>
        <v>303</v>
      </c>
      <c r="AL9" s="14">
        <f t="shared" si="7"/>
        <v>303</v>
      </c>
      <c r="AM9" s="14">
        <f t="shared" si="7"/>
        <v>303</v>
      </c>
      <c r="AN9" s="14">
        <f t="shared" si="7"/>
        <v>303</v>
      </c>
      <c r="AO9" s="14">
        <f t="shared" si="7"/>
        <v>303</v>
      </c>
      <c r="AP9" s="14">
        <f t="shared" si="7"/>
        <v>303</v>
      </c>
      <c r="AQ9" s="14">
        <f t="shared" si="7"/>
        <v>303</v>
      </c>
      <c r="AR9" s="14">
        <f t="shared" si="7"/>
        <v>303</v>
      </c>
      <c r="AS9" s="14">
        <f t="shared" si="7"/>
        <v>303</v>
      </c>
      <c r="AT9" s="14">
        <f t="shared" si="7"/>
        <v>303</v>
      </c>
      <c r="AU9" s="14">
        <f t="shared" si="8"/>
        <v>303</v>
      </c>
      <c r="AV9" s="14">
        <f t="shared" si="8"/>
        <v>303</v>
      </c>
      <c r="AW9" s="14">
        <f t="shared" si="8"/>
        <v>303</v>
      </c>
      <c r="AX9" s="14">
        <f t="shared" si="8"/>
        <v>303</v>
      </c>
      <c r="AY9" s="14">
        <f t="shared" si="8"/>
        <v>303</v>
      </c>
      <c r="AZ9" s="14">
        <f t="shared" si="8"/>
        <v>303</v>
      </c>
      <c r="BA9" s="14">
        <f t="shared" si="8"/>
        <v>303</v>
      </c>
      <c r="BB9" s="14"/>
      <c r="BC9" s="14"/>
      <c r="BD9" s="14">
        <f ca="1">COUNTIF(OFFSET(BD$32,0,0,COUNT(時間希望調査!$A:$A)),$B9)</f>
        <v>9</v>
      </c>
      <c r="BE9" s="14">
        <f ca="1">COUNTIF(OFFSET(BE$32,0,0,COUNT(時間希望調査!$A:$A)),$B9)</f>
        <v>9</v>
      </c>
      <c r="BF9" s="14">
        <f ca="1">COUNTIF(OFFSET(BF$32,0,0,COUNT(時間希望調査!$A:$A)),$B9)</f>
        <v>10</v>
      </c>
      <c r="BG9" s="14">
        <f ca="1">COUNTIF(OFFSET(BG$32,0,0,COUNT(時間希望調査!$A:$A)),$B9)</f>
        <v>10</v>
      </c>
      <c r="BH9" s="14">
        <f ca="1">COUNTIF(OFFSET(BH$32,0,0,COUNT(時間希望調査!$A:$A)),$B9)</f>
        <v>10</v>
      </c>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row>
    <row r="10" spans="2:91" hidden="1">
      <c r="B10" s="14" t="str">
        <f>役職一覧!B10&amp;""</f>
        <v/>
      </c>
      <c r="C10" s="14">
        <f>役職一覧!E10</f>
        <v>0</v>
      </c>
      <c r="D10" s="14">
        <f t="shared" si="5"/>
        <v>302</v>
      </c>
      <c r="E10" s="14">
        <f t="shared" si="5"/>
        <v>303</v>
      </c>
      <c r="F10" s="14">
        <f t="shared" si="5"/>
        <v>303</v>
      </c>
      <c r="G10" s="14">
        <f t="shared" si="5"/>
        <v>302</v>
      </c>
      <c r="H10" s="14">
        <f t="shared" si="5"/>
        <v>303</v>
      </c>
      <c r="I10" s="14">
        <f t="shared" si="5"/>
        <v>303</v>
      </c>
      <c r="J10" s="14">
        <f t="shared" si="5"/>
        <v>303</v>
      </c>
      <c r="K10" s="14">
        <f t="shared" si="5"/>
        <v>303</v>
      </c>
      <c r="L10" s="14">
        <f t="shared" si="5"/>
        <v>303</v>
      </c>
      <c r="M10" s="14">
        <f t="shared" si="5"/>
        <v>303</v>
      </c>
      <c r="N10" s="14">
        <f t="shared" si="5"/>
        <v>303</v>
      </c>
      <c r="O10" s="14">
        <f t="shared" si="9"/>
        <v>303</v>
      </c>
      <c r="P10" s="14">
        <f t="shared" si="9"/>
        <v>303</v>
      </c>
      <c r="Q10" s="14">
        <f t="shared" si="9"/>
        <v>303</v>
      </c>
      <c r="R10" s="14">
        <f t="shared" si="9"/>
        <v>303</v>
      </c>
      <c r="S10" s="14">
        <f t="shared" si="9"/>
        <v>303</v>
      </c>
      <c r="T10" s="14">
        <f t="shared" si="6"/>
        <v>303</v>
      </c>
      <c r="U10" s="14">
        <f t="shared" si="6"/>
        <v>303</v>
      </c>
      <c r="V10" s="14">
        <f t="shared" si="6"/>
        <v>303</v>
      </c>
      <c r="W10" s="14">
        <f t="shared" si="6"/>
        <v>303</v>
      </c>
      <c r="X10" s="14">
        <f t="shared" si="6"/>
        <v>303</v>
      </c>
      <c r="Y10" s="14">
        <f t="shared" si="6"/>
        <v>303</v>
      </c>
      <c r="Z10" s="14">
        <f t="shared" si="6"/>
        <v>303</v>
      </c>
      <c r="AA10" s="14">
        <f t="shared" si="6"/>
        <v>303</v>
      </c>
      <c r="AB10" s="14">
        <f t="shared" si="6"/>
        <v>303</v>
      </c>
      <c r="AC10" s="14">
        <f t="shared" si="6"/>
        <v>303</v>
      </c>
      <c r="AD10" s="14">
        <f t="shared" si="6"/>
        <v>303</v>
      </c>
      <c r="AE10" s="14">
        <f t="shared" si="7"/>
        <v>303</v>
      </c>
      <c r="AF10" s="14">
        <f t="shared" si="7"/>
        <v>303</v>
      </c>
      <c r="AG10" s="14">
        <f t="shared" si="7"/>
        <v>303</v>
      </c>
      <c r="AH10" s="14">
        <f t="shared" si="7"/>
        <v>303</v>
      </c>
      <c r="AI10" s="14">
        <f t="shared" si="7"/>
        <v>303</v>
      </c>
      <c r="AJ10" s="14">
        <f t="shared" si="7"/>
        <v>303</v>
      </c>
      <c r="AK10" s="14">
        <f t="shared" si="7"/>
        <v>303</v>
      </c>
      <c r="AL10" s="14">
        <f t="shared" si="7"/>
        <v>303</v>
      </c>
      <c r="AM10" s="14">
        <f t="shared" si="7"/>
        <v>303</v>
      </c>
      <c r="AN10" s="14">
        <f t="shared" si="7"/>
        <v>303</v>
      </c>
      <c r="AO10" s="14">
        <f t="shared" si="7"/>
        <v>303</v>
      </c>
      <c r="AP10" s="14">
        <f t="shared" si="7"/>
        <v>303</v>
      </c>
      <c r="AQ10" s="14">
        <f t="shared" si="7"/>
        <v>303</v>
      </c>
      <c r="AR10" s="14">
        <f t="shared" si="7"/>
        <v>303</v>
      </c>
      <c r="AS10" s="14">
        <f t="shared" si="7"/>
        <v>303</v>
      </c>
      <c r="AT10" s="14">
        <f t="shared" si="7"/>
        <v>303</v>
      </c>
      <c r="AU10" s="14">
        <f t="shared" si="8"/>
        <v>303</v>
      </c>
      <c r="AV10" s="14">
        <f t="shared" si="8"/>
        <v>303</v>
      </c>
      <c r="AW10" s="14">
        <f t="shared" si="8"/>
        <v>303</v>
      </c>
      <c r="AX10" s="14">
        <f t="shared" si="8"/>
        <v>303</v>
      </c>
      <c r="AY10" s="14">
        <f t="shared" si="8"/>
        <v>303</v>
      </c>
      <c r="AZ10" s="14">
        <f t="shared" si="8"/>
        <v>303</v>
      </c>
      <c r="BA10" s="14">
        <f t="shared" si="8"/>
        <v>303</v>
      </c>
      <c r="BB10" s="14"/>
      <c r="BC10" s="14"/>
      <c r="BD10" s="14">
        <f ca="1">COUNTIF(OFFSET(BD$32,0,0,COUNT(時間希望調査!$A:$A)),$B10)</f>
        <v>9</v>
      </c>
      <c r="BE10" s="14">
        <f ca="1">COUNTIF(OFFSET(BE$32,0,0,COUNT(時間希望調査!$A:$A)),$B10)</f>
        <v>9</v>
      </c>
      <c r="BF10" s="14">
        <f ca="1">COUNTIF(OFFSET(BF$32,0,0,COUNT(時間希望調査!$A:$A)),$B10)</f>
        <v>10</v>
      </c>
      <c r="BG10" s="14">
        <f ca="1">COUNTIF(OFFSET(BG$32,0,0,COUNT(時間希望調査!$A:$A)),$B10)</f>
        <v>10</v>
      </c>
      <c r="BH10" s="14">
        <f ca="1">COUNTIF(OFFSET(BH$32,0,0,COUNT(時間希望調査!$A:$A)),$B10)</f>
        <v>10</v>
      </c>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row>
    <row r="11" spans="2:91" hidden="1">
      <c r="B11" s="14" t="str">
        <f>役職一覧!B11&amp;""</f>
        <v/>
      </c>
      <c r="C11" s="14">
        <f>役職一覧!E11</f>
        <v>0</v>
      </c>
      <c r="D11" s="14">
        <f t="shared" si="5"/>
        <v>302</v>
      </c>
      <c r="E11" s="14">
        <f t="shared" si="5"/>
        <v>303</v>
      </c>
      <c r="F11" s="14">
        <f t="shared" si="5"/>
        <v>303</v>
      </c>
      <c r="G11" s="14">
        <f t="shared" si="5"/>
        <v>302</v>
      </c>
      <c r="H11" s="14">
        <f t="shared" si="5"/>
        <v>303</v>
      </c>
      <c r="I11" s="14">
        <f t="shared" si="5"/>
        <v>303</v>
      </c>
      <c r="J11" s="14">
        <f t="shared" si="5"/>
        <v>303</v>
      </c>
      <c r="K11" s="14">
        <f t="shared" si="5"/>
        <v>303</v>
      </c>
      <c r="L11" s="14">
        <f t="shared" si="5"/>
        <v>303</v>
      </c>
      <c r="M11" s="14">
        <f t="shared" si="5"/>
        <v>303</v>
      </c>
      <c r="N11" s="14">
        <f t="shared" si="5"/>
        <v>303</v>
      </c>
      <c r="O11" s="14">
        <f t="shared" si="9"/>
        <v>303</v>
      </c>
      <c r="P11" s="14">
        <f t="shared" si="9"/>
        <v>303</v>
      </c>
      <c r="Q11" s="14">
        <f t="shared" si="9"/>
        <v>303</v>
      </c>
      <c r="R11" s="14">
        <f t="shared" si="9"/>
        <v>303</v>
      </c>
      <c r="S11" s="14">
        <f t="shared" si="9"/>
        <v>303</v>
      </c>
      <c r="T11" s="14">
        <f t="shared" si="6"/>
        <v>303</v>
      </c>
      <c r="U11" s="14">
        <f t="shared" si="6"/>
        <v>303</v>
      </c>
      <c r="V11" s="14">
        <f t="shared" si="6"/>
        <v>303</v>
      </c>
      <c r="W11" s="14">
        <f t="shared" si="6"/>
        <v>303</v>
      </c>
      <c r="X11" s="14">
        <f t="shared" si="6"/>
        <v>303</v>
      </c>
      <c r="Y11" s="14">
        <f t="shared" si="6"/>
        <v>303</v>
      </c>
      <c r="Z11" s="14">
        <f t="shared" si="6"/>
        <v>303</v>
      </c>
      <c r="AA11" s="14">
        <f t="shared" si="6"/>
        <v>303</v>
      </c>
      <c r="AB11" s="14">
        <f t="shared" si="6"/>
        <v>303</v>
      </c>
      <c r="AC11" s="14">
        <f t="shared" si="6"/>
        <v>303</v>
      </c>
      <c r="AD11" s="14">
        <f t="shared" si="6"/>
        <v>303</v>
      </c>
      <c r="AE11" s="14">
        <f t="shared" si="7"/>
        <v>303</v>
      </c>
      <c r="AF11" s="14">
        <f t="shared" si="7"/>
        <v>303</v>
      </c>
      <c r="AG11" s="14">
        <f t="shared" si="7"/>
        <v>303</v>
      </c>
      <c r="AH11" s="14">
        <f t="shared" si="7"/>
        <v>303</v>
      </c>
      <c r="AI11" s="14">
        <f t="shared" si="7"/>
        <v>303</v>
      </c>
      <c r="AJ11" s="14">
        <f t="shared" si="7"/>
        <v>303</v>
      </c>
      <c r="AK11" s="14">
        <f t="shared" si="7"/>
        <v>303</v>
      </c>
      <c r="AL11" s="14">
        <f t="shared" si="7"/>
        <v>303</v>
      </c>
      <c r="AM11" s="14">
        <f t="shared" si="7"/>
        <v>303</v>
      </c>
      <c r="AN11" s="14">
        <f t="shared" si="7"/>
        <v>303</v>
      </c>
      <c r="AO11" s="14">
        <f t="shared" si="7"/>
        <v>303</v>
      </c>
      <c r="AP11" s="14">
        <f t="shared" si="7"/>
        <v>303</v>
      </c>
      <c r="AQ11" s="14">
        <f t="shared" si="7"/>
        <v>303</v>
      </c>
      <c r="AR11" s="14">
        <f t="shared" si="7"/>
        <v>303</v>
      </c>
      <c r="AS11" s="14">
        <f t="shared" si="7"/>
        <v>303</v>
      </c>
      <c r="AT11" s="14">
        <f t="shared" si="7"/>
        <v>303</v>
      </c>
      <c r="AU11" s="14">
        <f t="shared" si="8"/>
        <v>303</v>
      </c>
      <c r="AV11" s="14">
        <f t="shared" si="8"/>
        <v>303</v>
      </c>
      <c r="AW11" s="14">
        <f t="shared" si="8"/>
        <v>303</v>
      </c>
      <c r="AX11" s="14">
        <f t="shared" si="8"/>
        <v>303</v>
      </c>
      <c r="AY11" s="14">
        <f t="shared" si="8"/>
        <v>303</v>
      </c>
      <c r="AZ11" s="14">
        <f t="shared" si="8"/>
        <v>303</v>
      </c>
      <c r="BA11" s="14">
        <f t="shared" si="8"/>
        <v>303</v>
      </c>
      <c r="BB11" s="14"/>
      <c r="BC11" s="14"/>
      <c r="BD11" s="14">
        <f ca="1">COUNTIF(OFFSET(BD$32,0,0,COUNT(時間希望調査!$A:$A)),$B11)</f>
        <v>9</v>
      </c>
      <c r="BE11" s="14">
        <f ca="1">COUNTIF(OFFSET(BE$32,0,0,COUNT(時間希望調査!$A:$A)),$B11)</f>
        <v>9</v>
      </c>
      <c r="BF11" s="14">
        <f ca="1">COUNTIF(OFFSET(BF$32,0,0,COUNT(時間希望調査!$A:$A)),$B11)</f>
        <v>10</v>
      </c>
      <c r="BG11" s="14">
        <f ca="1">COUNTIF(OFFSET(BG$32,0,0,COUNT(時間希望調査!$A:$A)),$B11)</f>
        <v>10</v>
      </c>
      <c r="BH11" s="14">
        <f ca="1">COUNTIF(OFFSET(BH$32,0,0,COUNT(時間希望調査!$A:$A)),$B11)</f>
        <v>10</v>
      </c>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row>
    <row r="12" spans="2:91" hidden="1">
      <c r="B12" s="14" t="str">
        <f>役職一覧!B12&amp;""</f>
        <v/>
      </c>
      <c r="C12" s="14">
        <f>役職一覧!E12</f>
        <v>0</v>
      </c>
      <c r="D12" s="14">
        <f t="shared" si="5"/>
        <v>302</v>
      </c>
      <c r="E12" s="14">
        <f t="shared" si="5"/>
        <v>303</v>
      </c>
      <c r="F12" s="14">
        <f t="shared" si="5"/>
        <v>303</v>
      </c>
      <c r="G12" s="14">
        <f t="shared" si="5"/>
        <v>302</v>
      </c>
      <c r="H12" s="14">
        <f t="shared" si="5"/>
        <v>303</v>
      </c>
      <c r="I12" s="14">
        <f t="shared" si="5"/>
        <v>303</v>
      </c>
      <c r="J12" s="14">
        <f t="shared" si="5"/>
        <v>303</v>
      </c>
      <c r="K12" s="14">
        <f t="shared" si="5"/>
        <v>303</v>
      </c>
      <c r="L12" s="14">
        <f t="shared" si="5"/>
        <v>303</v>
      </c>
      <c r="M12" s="14">
        <f t="shared" si="5"/>
        <v>303</v>
      </c>
      <c r="N12" s="14">
        <f t="shared" si="5"/>
        <v>303</v>
      </c>
      <c r="O12" s="14">
        <f t="shared" si="9"/>
        <v>303</v>
      </c>
      <c r="P12" s="14">
        <f t="shared" si="9"/>
        <v>303</v>
      </c>
      <c r="Q12" s="14">
        <f t="shared" si="9"/>
        <v>303</v>
      </c>
      <c r="R12" s="14">
        <f t="shared" si="9"/>
        <v>303</v>
      </c>
      <c r="S12" s="14">
        <f t="shared" si="9"/>
        <v>303</v>
      </c>
      <c r="T12" s="14">
        <f t="shared" si="6"/>
        <v>303</v>
      </c>
      <c r="U12" s="14">
        <f t="shared" si="6"/>
        <v>303</v>
      </c>
      <c r="V12" s="14">
        <f t="shared" si="6"/>
        <v>303</v>
      </c>
      <c r="W12" s="14">
        <f t="shared" si="6"/>
        <v>303</v>
      </c>
      <c r="X12" s="14">
        <f t="shared" si="6"/>
        <v>303</v>
      </c>
      <c r="Y12" s="14">
        <f t="shared" si="6"/>
        <v>303</v>
      </c>
      <c r="Z12" s="14">
        <f t="shared" si="6"/>
        <v>303</v>
      </c>
      <c r="AA12" s="14">
        <f t="shared" si="6"/>
        <v>303</v>
      </c>
      <c r="AB12" s="14">
        <f t="shared" si="6"/>
        <v>303</v>
      </c>
      <c r="AC12" s="14">
        <f t="shared" si="6"/>
        <v>303</v>
      </c>
      <c r="AD12" s="14">
        <f t="shared" si="6"/>
        <v>303</v>
      </c>
      <c r="AE12" s="14">
        <f t="shared" si="7"/>
        <v>303</v>
      </c>
      <c r="AF12" s="14">
        <f t="shared" si="7"/>
        <v>303</v>
      </c>
      <c r="AG12" s="14">
        <f t="shared" si="7"/>
        <v>303</v>
      </c>
      <c r="AH12" s="14">
        <f t="shared" si="7"/>
        <v>303</v>
      </c>
      <c r="AI12" s="14">
        <f t="shared" si="7"/>
        <v>303</v>
      </c>
      <c r="AJ12" s="14">
        <f t="shared" si="7"/>
        <v>303</v>
      </c>
      <c r="AK12" s="14">
        <f t="shared" si="7"/>
        <v>303</v>
      </c>
      <c r="AL12" s="14">
        <f t="shared" si="7"/>
        <v>303</v>
      </c>
      <c r="AM12" s="14">
        <f t="shared" si="7"/>
        <v>303</v>
      </c>
      <c r="AN12" s="14">
        <f t="shared" si="7"/>
        <v>303</v>
      </c>
      <c r="AO12" s="14">
        <f t="shared" si="7"/>
        <v>303</v>
      </c>
      <c r="AP12" s="14">
        <f t="shared" si="7"/>
        <v>303</v>
      </c>
      <c r="AQ12" s="14">
        <f t="shared" si="7"/>
        <v>303</v>
      </c>
      <c r="AR12" s="14">
        <f t="shared" si="7"/>
        <v>303</v>
      </c>
      <c r="AS12" s="14">
        <f t="shared" si="7"/>
        <v>303</v>
      </c>
      <c r="AT12" s="14">
        <f t="shared" si="7"/>
        <v>303</v>
      </c>
      <c r="AU12" s="14">
        <f t="shared" si="8"/>
        <v>303</v>
      </c>
      <c r="AV12" s="14">
        <f t="shared" si="8"/>
        <v>303</v>
      </c>
      <c r="AW12" s="14">
        <f t="shared" si="8"/>
        <v>303</v>
      </c>
      <c r="AX12" s="14">
        <f t="shared" si="8"/>
        <v>303</v>
      </c>
      <c r="AY12" s="14">
        <f t="shared" si="8"/>
        <v>303</v>
      </c>
      <c r="AZ12" s="14">
        <f t="shared" si="8"/>
        <v>303</v>
      </c>
      <c r="BA12" s="14">
        <f t="shared" si="8"/>
        <v>303</v>
      </c>
      <c r="BB12" s="14"/>
      <c r="BC12" s="14"/>
      <c r="BD12" s="14">
        <f ca="1">COUNTIF(OFFSET(BD$32,0,0,COUNT(時間希望調査!$A:$A)),$B12)</f>
        <v>9</v>
      </c>
      <c r="BE12" s="14">
        <f ca="1">COUNTIF(OFFSET(BE$32,0,0,COUNT(時間希望調査!$A:$A)),$B12)</f>
        <v>9</v>
      </c>
      <c r="BF12" s="14">
        <f ca="1">COUNTIF(OFFSET(BF$32,0,0,COUNT(時間希望調査!$A:$A)),$B12)</f>
        <v>10</v>
      </c>
      <c r="BG12" s="14">
        <f ca="1">COUNTIF(OFFSET(BG$32,0,0,COUNT(時間希望調査!$A:$A)),$B12)</f>
        <v>10</v>
      </c>
      <c r="BH12" s="14">
        <f ca="1">COUNTIF(OFFSET(BH$32,0,0,COUNT(時間希望調査!$A:$A)),$B12)</f>
        <v>10</v>
      </c>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row>
    <row r="13" spans="2:91" hidden="1">
      <c r="B13" s="14" t="str">
        <f>役職一覧!B13&amp;""</f>
        <v/>
      </c>
      <c r="C13" s="14">
        <f>役職一覧!E13</f>
        <v>0</v>
      </c>
      <c r="D13" s="14">
        <f t="shared" si="5"/>
        <v>302</v>
      </c>
      <c r="E13" s="14">
        <f t="shared" si="5"/>
        <v>303</v>
      </c>
      <c r="F13" s="14">
        <f t="shared" si="5"/>
        <v>303</v>
      </c>
      <c r="G13" s="14">
        <f t="shared" si="5"/>
        <v>302</v>
      </c>
      <c r="H13" s="14">
        <f t="shared" si="5"/>
        <v>303</v>
      </c>
      <c r="I13" s="14">
        <f t="shared" si="5"/>
        <v>303</v>
      </c>
      <c r="J13" s="14">
        <f t="shared" si="5"/>
        <v>303</v>
      </c>
      <c r="K13" s="14">
        <f t="shared" si="5"/>
        <v>303</v>
      </c>
      <c r="L13" s="14">
        <f t="shared" si="5"/>
        <v>303</v>
      </c>
      <c r="M13" s="14">
        <f t="shared" si="5"/>
        <v>303</v>
      </c>
      <c r="N13" s="14">
        <f t="shared" si="5"/>
        <v>303</v>
      </c>
      <c r="O13" s="14">
        <f t="shared" si="9"/>
        <v>303</v>
      </c>
      <c r="P13" s="14">
        <f t="shared" si="9"/>
        <v>303</v>
      </c>
      <c r="Q13" s="14">
        <f t="shared" si="9"/>
        <v>303</v>
      </c>
      <c r="R13" s="14">
        <f t="shared" si="9"/>
        <v>303</v>
      </c>
      <c r="S13" s="14">
        <f t="shared" si="9"/>
        <v>303</v>
      </c>
      <c r="T13" s="14">
        <f t="shared" si="6"/>
        <v>303</v>
      </c>
      <c r="U13" s="14">
        <f t="shared" si="6"/>
        <v>303</v>
      </c>
      <c r="V13" s="14">
        <f t="shared" si="6"/>
        <v>303</v>
      </c>
      <c r="W13" s="14">
        <f t="shared" si="6"/>
        <v>303</v>
      </c>
      <c r="X13" s="14">
        <f t="shared" si="6"/>
        <v>303</v>
      </c>
      <c r="Y13" s="14">
        <f t="shared" si="6"/>
        <v>303</v>
      </c>
      <c r="Z13" s="14">
        <f t="shared" si="6"/>
        <v>303</v>
      </c>
      <c r="AA13" s="14">
        <f t="shared" si="6"/>
        <v>303</v>
      </c>
      <c r="AB13" s="14">
        <f t="shared" si="6"/>
        <v>303</v>
      </c>
      <c r="AC13" s="14">
        <f t="shared" si="6"/>
        <v>303</v>
      </c>
      <c r="AD13" s="14">
        <f t="shared" si="6"/>
        <v>303</v>
      </c>
      <c r="AE13" s="14">
        <f t="shared" si="7"/>
        <v>303</v>
      </c>
      <c r="AF13" s="14">
        <f t="shared" si="7"/>
        <v>303</v>
      </c>
      <c r="AG13" s="14">
        <f t="shared" si="7"/>
        <v>303</v>
      </c>
      <c r="AH13" s="14">
        <f t="shared" si="7"/>
        <v>303</v>
      </c>
      <c r="AI13" s="14">
        <f t="shared" si="7"/>
        <v>303</v>
      </c>
      <c r="AJ13" s="14">
        <f t="shared" si="7"/>
        <v>303</v>
      </c>
      <c r="AK13" s="14">
        <f t="shared" si="7"/>
        <v>303</v>
      </c>
      <c r="AL13" s="14">
        <f t="shared" si="7"/>
        <v>303</v>
      </c>
      <c r="AM13" s="14">
        <f t="shared" si="7"/>
        <v>303</v>
      </c>
      <c r="AN13" s="14">
        <f t="shared" si="7"/>
        <v>303</v>
      </c>
      <c r="AO13" s="14">
        <f t="shared" si="7"/>
        <v>303</v>
      </c>
      <c r="AP13" s="14">
        <f t="shared" si="7"/>
        <v>303</v>
      </c>
      <c r="AQ13" s="14">
        <f t="shared" si="7"/>
        <v>303</v>
      </c>
      <c r="AR13" s="14">
        <f t="shared" si="7"/>
        <v>303</v>
      </c>
      <c r="AS13" s="14">
        <f t="shared" si="7"/>
        <v>303</v>
      </c>
      <c r="AT13" s="14">
        <f t="shared" si="7"/>
        <v>303</v>
      </c>
      <c r="AU13" s="14">
        <f t="shared" si="8"/>
        <v>303</v>
      </c>
      <c r="AV13" s="14">
        <f t="shared" si="8"/>
        <v>303</v>
      </c>
      <c r="AW13" s="14">
        <f t="shared" si="8"/>
        <v>303</v>
      </c>
      <c r="AX13" s="14">
        <f t="shared" si="8"/>
        <v>303</v>
      </c>
      <c r="AY13" s="14">
        <f t="shared" si="8"/>
        <v>303</v>
      </c>
      <c r="AZ13" s="14">
        <f t="shared" si="8"/>
        <v>303</v>
      </c>
      <c r="BA13" s="14">
        <f t="shared" si="8"/>
        <v>303</v>
      </c>
      <c r="BB13" s="14"/>
      <c r="BC13" s="14"/>
      <c r="BD13" s="14">
        <f ca="1">COUNTIF(OFFSET(BD$32,0,0,COUNT(時間希望調査!$A:$A)),$B13)</f>
        <v>9</v>
      </c>
      <c r="BE13" s="14">
        <f ca="1">COUNTIF(OFFSET(BE$32,0,0,COUNT(時間希望調査!$A:$A)),$B13)</f>
        <v>9</v>
      </c>
      <c r="BF13" s="14">
        <f ca="1">COUNTIF(OFFSET(BF$32,0,0,COUNT(時間希望調査!$A:$A)),$B13)</f>
        <v>10</v>
      </c>
      <c r="BG13" s="14">
        <f ca="1">COUNTIF(OFFSET(BG$32,0,0,COUNT(時間希望調査!$A:$A)),$B13)</f>
        <v>10</v>
      </c>
      <c r="BH13" s="14">
        <f ca="1">COUNTIF(OFFSET(BH$32,0,0,COUNT(時間希望調査!$A:$A)),$B13)</f>
        <v>10</v>
      </c>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row>
    <row r="14" spans="2:91" hidden="1">
      <c r="B14" s="14" t="str">
        <f>役職一覧!B14&amp;""</f>
        <v/>
      </c>
      <c r="C14" s="14">
        <f>役職一覧!E14</f>
        <v>0</v>
      </c>
      <c r="D14" s="14">
        <f t="shared" si="5"/>
        <v>302</v>
      </c>
      <c r="E14" s="14">
        <f t="shared" si="5"/>
        <v>303</v>
      </c>
      <c r="F14" s="14">
        <f t="shared" si="5"/>
        <v>303</v>
      </c>
      <c r="G14" s="14">
        <f t="shared" si="5"/>
        <v>302</v>
      </c>
      <c r="H14" s="14">
        <f t="shared" si="5"/>
        <v>303</v>
      </c>
      <c r="I14" s="14">
        <f t="shared" si="5"/>
        <v>303</v>
      </c>
      <c r="J14" s="14">
        <f t="shared" si="5"/>
        <v>303</v>
      </c>
      <c r="K14" s="14">
        <f t="shared" si="5"/>
        <v>303</v>
      </c>
      <c r="L14" s="14">
        <f t="shared" si="5"/>
        <v>303</v>
      </c>
      <c r="M14" s="14">
        <f t="shared" si="5"/>
        <v>303</v>
      </c>
      <c r="N14" s="14">
        <f t="shared" si="5"/>
        <v>303</v>
      </c>
      <c r="O14" s="14">
        <f t="shared" si="9"/>
        <v>303</v>
      </c>
      <c r="P14" s="14">
        <f t="shared" si="9"/>
        <v>303</v>
      </c>
      <c r="Q14" s="14">
        <f t="shared" si="9"/>
        <v>303</v>
      </c>
      <c r="R14" s="14">
        <f t="shared" si="9"/>
        <v>303</v>
      </c>
      <c r="S14" s="14">
        <f t="shared" si="9"/>
        <v>303</v>
      </c>
      <c r="T14" s="14">
        <f t="shared" si="6"/>
        <v>303</v>
      </c>
      <c r="U14" s="14">
        <f t="shared" si="6"/>
        <v>303</v>
      </c>
      <c r="V14" s="14">
        <f t="shared" si="6"/>
        <v>303</v>
      </c>
      <c r="W14" s="14">
        <f t="shared" si="6"/>
        <v>303</v>
      </c>
      <c r="X14" s="14">
        <f t="shared" si="6"/>
        <v>303</v>
      </c>
      <c r="Y14" s="14">
        <f t="shared" si="6"/>
        <v>303</v>
      </c>
      <c r="Z14" s="14">
        <f t="shared" si="6"/>
        <v>303</v>
      </c>
      <c r="AA14" s="14">
        <f t="shared" si="6"/>
        <v>303</v>
      </c>
      <c r="AB14" s="14">
        <f t="shared" si="6"/>
        <v>303</v>
      </c>
      <c r="AC14" s="14">
        <f t="shared" si="6"/>
        <v>303</v>
      </c>
      <c r="AD14" s="14">
        <f t="shared" si="6"/>
        <v>303</v>
      </c>
      <c r="AE14" s="14">
        <f t="shared" si="7"/>
        <v>303</v>
      </c>
      <c r="AF14" s="14">
        <f t="shared" si="7"/>
        <v>303</v>
      </c>
      <c r="AG14" s="14">
        <f t="shared" si="7"/>
        <v>303</v>
      </c>
      <c r="AH14" s="14">
        <f t="shared" si="7"/>
        <v>303</v>
      </c>
      <c r="AI14" s="14">
        <f t="shared" si="7"/>
        <v>303</v>
      </c>
      <c r="AJ14" s="14">
        <f t="shared" si="7"/>
        <v>303</v>
      </c>
      <c r="AK14" s="14">
        <f t="shared" si="7"/>
        <v>303</v>
      </c>
      <c r="AL14" s="14">
        <f t="shared" si="7"/>
        <v>303</v>
      </c>
      <c r="AM14" s="14">
        <f t="shared" si="7"/>
        <v>303</v>
      </c>
      <c r="AN14" s="14">
        <f t="shared" si="7"/>
        <v>303</v>
      </c>
      <c r="AO14" s="14">
        <f t="shared" si="7"/>
        <v>303</v>
      </c>
      <c r="AP14" s="14">
        <f t="shared" si="7"/>
        <v>303</v>
      </c>
      <c r="AQ14" s="14">
        <f t="shared" si="7"/>
        <v>303</v>
      </c>
      <c r="AR14" s="14">
        <f t="shared" si="7"/>
        <v>303</v>
      </c>
      <c r="AS14" s="14">
        <f t="shared" si="7"/>
        <v>303</v>
      </c>
      <c r="AT14" s="14">
        <f t="shared" si="7"/>
        <v>303</v>
      </c>
      <c r="AU14" s="14">
        <f t="shared" si="8"/>
        <v>303</v>
      </c>
      <c r="AV14" s="14">
        <f t="shared" si="8"/>
        <v>303</v>
      </c>
      <c r="AW14" s="14">
        <f t="shared" si="8"/>
        <v>303</v>
      </c>
      <c r="AX14" s="14">
        <f t="shared" si="8"/>
        <v>303</v>
      </c>
      <c r="AY14" s="14">
        <f t="shared" si="8"/>
        <v>303</v>
      </c>
      <c r="AZ14" s="14">
        <f t="shared" si="8"/>
        <v>303</v>
      </c>
      <c r="BA14" s="14">
        <f t="shared" si="8"/>
        <v>303</v>
      </c>
      <c r="BB14" s="14"/>
      <c r="BC14" s="14"/>
      <c r="BD14" s="14">
        <f ca="1">COUNTIF(OFFSET(BD$32,0,0,COUNT(時間希望調査!$A:$A)),$B14)</f>
        <v>9</v>
      </c>
      <c r="BE14" s="14">
        <f ca="1">COUNTIF(OFFSET(BE$32,0,0,COUNT(時間希望調査!$A:$A)),$B14)</f>
        <v>9</v>
      </c>
      <c r="BF14" s="14">
        <f ca="1">COUNTIF(OFFSET(BF$32,0,0,COUNT(時間希望調査!$A:$A)),$B14)</f>
        <v>10</v>
      </c>
      <c r="BG14" s="14">
        <f ca="1">COUNTIF(OFFSET(BG$32,0,0,COUNT(時間希望調査!$A:$A)),$B14)</f>
        <v>10</v>
      </c>
      <c r="BH14" s="14">
        <f ca="1">COUNTIF(OFFSET(BH$32,0,0,COUNT(時間希望調査!$A:$A)),$B14)</f>
        <v>10</v>
      </c>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row>
    <row r="15" spans="2:91" hidden="1">
      <c r="B15" s="14" t="str">
        <f>役職一覧!B15&amp;""</f>
        <v/>
      </c>
      <c r="C15" s="14">
        <f>役職一覧!E15</f>
        <v>0</v>
      </c>
      <c r="D15" s="14">
        <f t="shared" si="5"/>
        <v>302</v>
      </c>
      <c r="E15" s="14">
        <f t="shared" si="5"/>
        <v>303</v>
      </c>
      <c r="F15" s="14">
        <f t="shared" si="5"/>
        <v>303</v>
      </c>
      <c r="G15" s="14">
        <f t="shared" si="5"/>
        <v>302</v>
      </c>
      <c r="H15" s="14">
        <f t="shared" si="5"/>
        <v>303</v>
      </c>
      <c r="I15" s="14">
        <f t="shared" si="5"/>
        <v>303</v>
      </c>
      <c r="J15" s="14">
        <f t="shared" si="5"/>
        <v>303</v>
      </c>
      <c r="K15" s="14">
        <f t="shared" si="5"/>
        <v>303</v>
      </c>
      <c r="L15" s="14">
        <f t="shared" si="5"/>
        <v>303</v>
      </c>
      <c r="M15" s="14">
        <f t="shared" si="5"/>
        <v>303</v>
      </c>
      <c r="N15" s="14">
        <f t="shared" si="5"/>
        <v>303</v>
      </c>
      <c r="O15" s="14">
        <f t="shared" si="9"/>
        <v>303</v>
      </c>
      <c r="P15" s="14">
        <f t="shared" si="9"/>
        <v>303</v>
      </c>
      <c r="Q15" s="14">
        <f t="shared" si="9"/>
        <v>303</v>
      </c>
      <c r="R15" s="14">
        <f t="shared" si="9"/>
        <v>303</v>
      </c>
      <c r="S15" s="14">
        <f t="shared" si="9"/>
        <v>303</v>
      </c>
      <c r="T15" s="14">
        <f t="shared" si="6"/>
        <v>303</v>
      </c>
      <c r="U15" s="14">
        <f t="shared" si="6"/>
        <v>303</v>
      </c>
      <c r="V15" s="14">
        <f t="shared" si="6"/>
        <v>303</v>
      </c>
      <c r="W15" s="14">
        <f t="shared" si="6"/>
        <v>303</v>
      </c>
      <c r="X15" s="14">
        <f t="shared" si="6"/>
        <v>303</v>
      </c>
      <c r="Y15" s="14">
        <f t="shared" si="6"/>
        <v>303</v>
      </c>
      <c r="Z15" s="14">
        <f t="shared" si="6"/>
        <v>303</v>
      </c>
      <c r="AA15" s="14">
        <f t="shared" si="6"/>
        <v>303</v>
      </c>
      <c r="AB15" s="14">
        <f t="shared" si="6"/>
        <v>303</v>
      </c>
      <c r="AC15" s="14">
        <f t="shared" si="6"/>
        <v>303</v>
      </c>
      <c r="AD15" s="14">
        <f t="shared" si="6"/>
        <v>303</v>
      </c>
      <c r="AE15" s="14">
        <f t="shared" si="7"/>
        <v>303</v>
      </c>
      <c r="AF15" s="14">
        <f t="shared" si="7"/>
        <v>303</v>
      </c>
      <c r="AG15" s="14">
        <f t="shared" si="7"/>
        <v>303</v>
      </c>
      <c r="AH15" s="14">
        <f t="shared" si="7"/>
        <v>303</v>
      </c>
      <c r="AI15" s="14">
        <f t="shared" si="7"/>
        <v>303</v>
      </c>
      <c r="AJ15" s="14">
        <f t="shared" si="7"/>
        <v>303</v>
      </c>
      <c r="AK15" s="14">
        <f t="shared" si="7"/>
        <v>303</v>
      </c>
      <c r="AL15" s="14">
        <f t="shared" si="7"/>
        <v>303</v>
      </c>
      <c r="AM15" s="14">
        <f t="shared" si="7"/>
        <v>303</v>
      </c>
      <c r="AN15" s="14">
        <f t="shared" si="7"/>
        <v>303</v>
      </c>
      <c r="AO15" s="14">
        <f t="shared" si="7"/>
        <v>303</v>
      </c>
      <c r="AP15" s="14">
        <f t="shared" si="7"/>
        <v>303</v>
      </c>
      <c r="AQ15" s="14">
        <f t="shared" si="7"/>
        <v>303</v>
      </c>
      <c r="AR15" s="14">
        <f t="shared" si="7"/>
        <v>303</v>
      </c>
      <c r="AS15" s="14">
        <f t="shared" si="7"/>
        <v>303</v>
      </c>
      <c r="AT15" s="14">
        <f t="shared" si="7"/>
        <v>303</v>
      </c>
      <c r="AU15" s="14">
        <f t="shared" si="8"/>
        <v>303</v>
      </c>
      <c r="AV15" s="14">
        <f t="shared" si="8"/>
        <v>303</v>
      </c>
      <c r="AW15" s="14">
        <f t="shared" si="8"/>
        <v>303</v>
      </c>
      <c r="AX15" s="14">
        <f t="shared" si="8"/>
        <v>303</v>
      </c>
      <c r="AY15" s="14">
        <f t="shared" si="8"/>
        <v>303</v>
      </c>
      <c r="AZ15" s="14">
        <f t="shared" si="8"/>
        <v>303</v>
      </c>
      <c r="BA15" s="14">
        <f t="shared" si="8"/>
        <v>303</v>
      </c>
      <c r="BB15" s="14"/>
      <c r="BC15" s="14"/>
      <c r="BD15" s="14">
        <f ca="1">COUNTIF(OFFSET(BD$32,0,0,COUNT(時間希望調査!$A:$A)),$B15)</f>
        <v>9</v>
      </c>
      <c r="BE15" s="14">
        <f ca="1">COUNTIF(OFFSET(BE$32,0,0,COUNT(時間希望調査!$A:$A)),$B15)</f>
        <v>9</v>
      </c>
      <c r="BF15" s="14">
        <f ca="1">COUNTIF(OFFSET(BF$32,0,0,COUNT(時間希望調査!$A:$A)),$B15)</f>
        <v>10</v>
      </c>
      <c r="BG15" s="14">
        <f ca="1">COUNTIF(OFFSET(BG$32,0,0,COUNT(時間希望調査!$A:$A)),$B15)</f>
        <v>10</v>
      </c>
      <c r="BH15" s="14">
        <f ca="1">COUNTIF(OFFSET(BH$32,0,0,COUNT(時間希望調査!$A:$A)),$B15)</f>
        <v>10</v>
      </c>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row>
    <row r="16" spans="2:91" hidden="1">
      <c r="B16" s="14" t="str">
        <f>役職一覧!B16&amp;""</f>
        <v/>
      </c>
      <c r="C16" s="14">
        <f>役職一覧!E16</f>
        <v>0</v>
      </c>
      <c r="D16" s="14">
        <f t="shared" si="5"/>
        <v>302</v>
      </c>
      <c r="E16" s="14">
        <f t="shared" si="5"/>
        <v>303</v>
      </c>
      <c r="F16" s="14">
        <f t="shared" si="5"/>
        <v>303</v>
      </c>
      <c r="G16" s="14">
        <f t="shared" si="5"/>
        <v>302</v>
      </c>
      <c r="H16" s="14">
        <f t="shared" si="5"/>
        <v>303</v>
      </c>
      <c r="I16" s="14">
        <f t="shared" si="5"/>
        <v>303</v>
      </c>
      <c r="J16" s="14">
        <f t="shared" si="5"/>
        <v>303</v>
      </c>
      <c r="K16" s="14">
        <f t="shared" si="5"/>
        <v>303</v>
      </c>
      <c r="L16" s="14">
        <f t="shared" si="5"/>
        <v>303</v>
      </c>
      <c r="M16" s="14">
        <f t="shared" si="5"/>
        <v>303</v>
      </c>
      <c r="N16" s="14">
        <f t="shared" si="5"/>
        <v>303</v>
      </c>
      <c r="O16" s="14">
        <f t="shared" si="9"/>
        <v>303</v>
      </c>
      <c r="P16" s="14">
        <f t="shared" si="9"/>
        <v>303</v>
      </c>
      <c r="Q16" s="14">
        <f t="shared" si="9"/>
        <v>303</v>
      </c>
      <c r="R16" s="14">
        <f t="shared" si="9"/>
        <v>303</v>
      </c>
      <c r="S16" s="14">
        <f t="shared" si="9"/>
        <v>303</v>
      </c>
      <c r="T16" s="14">
        <f t="shared" si="6"/>
        <v>303</v>
      </c>
      <c r="U16" s="14">
        <f t="shared" si="6"/>
        <v>303</v>
      </c>
      <c r="V16" s="14">
        <f t="shared" si="6"/>
        <v>303</v>
      </c>
      <c r="W16" s="14">
        <f t="shared" si="6"/>
        <v>303</v>
      </c>
      <c r="X16" s="14">
        <f t="shared" si="6"/>
        <v>303</v>
      </c>
      <c r="Y16" s="14">
        <f t="shared" si="6"/>
        <v>303</v>
      </c>
      <c r="Z16" s="14">
        <f t="shared" si="6"/>
        <v>303</v>
      </c>
      <c r="AA16" s="14">
        <f t="shared" si="6"/>
        <v>303</v>
      </c>
      <c r="AB16" s="14">
        <f t="shared" si="6"/>
        <v>303</v>
      </c>
      <c r="AC16" s="14">
        <f t="shared" si="6"/>
        <v>303</v>
      </c>
      <c r="AD16" s="14">
        <f t="shared" si="6"/>
        <v>303</v>
      </c>
      <c r="AE16" s="14">
        <f t="shared" si="7"/>
        <v>303</v>
      </c>
      <c r="AF16" s="14">
        <f t="shared" si="7"/>
        <v>303</v>
      </c>
      <c r="AG16" s="14">
        <f t="shared" si="7"/>
        <v>303</v>
      </c>
      <c r="AH16" s="14">
        <f t="shared" si="7"/>
        <v>303</v>
      </c>
      <c r="AI16" s="14">
        <f t="shared" si="7"/>
        <v>303</v>
      </c>
      <c r="AJ16" s="14">
        <f t="shared" si="7"/>
        <v>303</v>
      </c>
      <c r="AK16" s="14">
        <f t="shared" si="7"/>
        <v>303</v>
      </c>
      <c r="AL16" s="14">
        <f t="shared" si="7"/>
        <v>303</v>
      </c>
      <c r="AM16" s="14">
        <f t="shared" si="7"/>
        <v>303</v>
      </c>
      <c r="AN16" s="14">
        <f t="shared" si="7"/>
        <v>303</v>
      </c>
      <c r="AO16" s="14">
        <f t="shared" si="7"/>
        <v>303</v>
      </c>
      <c r="AP16" s="14">
        <f t="shared" si="7"/>
        <v>303</v>
      </c>
      <c r="AQ16" s="14">
        <f t="shared" si="7"/>
        <v>303</v>
      </c>
      <c r="AR16" s="14">
        <f t="shared" si="7"/>
        <v>303</v>
      </c>
      <c r="AS16" s="14">
        <f t="shared" si="7"/>
        <v>303</v>
      </c>
      <c r="AT16" s="14">
        <f t="shared" si="7"/>
        <v>303</v>
      </c>
      <c r="AU16" s="14">
        <f t="shared" si="8"/>
        <v>303</v>
      </c>
      <c r="AV16" s="14">
        <f t="shared" si="8"/>
        <v>303</v>
      </c>
      <c r="AW16" s="14">
        <f t="shared" si="8"/>
        <v>303</v>
      </c>
      <c r="AX16" s="14">
        <f t="shared" si="8"/>
        <v>303</v>
      </c>
      <c r="AY16" s="14">
        <f t="shared" si="8"/>
        <v>303</v>
      </c>
      <c r="AZ16" s="14">
        <f t="shared" si="8"/>
        <v>303</v>
      </c>
      <c r="BA16" s="14">
        <f t="shared" si="8"/>
        <v>303</v>
      </c>
      <c r="BB16" s="14"/>
      <c r="BC16" s="14"/>
      <c r="BD16" s="14">
        <f ca="1">COUNTIF(OFFSET(BD$32,0,0,COUNT(時間希望調査!$A:$A)),$B16)</f>
        <v>9</v>
      </c>
      <c r="BE16" s="14">
        <f ca="1">COUNTIF(OFFSET(BE$32,0,0,COUNT(時間希望調査!$A:$A)),$B16)</f>
        <v>9</v>
      </c>
      <c r="BF16" s="14">
        <f ca="1">COUNTIF(OFFSET(BF$32,0,0,COUNT(時間希望調査!$A:$A)),$B16)</f>
        <v>10</v>
      </c>
      <c r="BG16" s="14">
        <f ca="1">COUNTIF(OFFSET(BG$32,0,0,COUNT(時間希望調査!$A:$A)),$B16)</f>
        <v>10</v>
      </c>
      <c r="BH16" s="14">
        <f ca="1">COUNTIF(OFFSET(BH$32,0,0,COUNT(時間希望調査!$A:$A)),$B16)</f>
        <v>10</v>
      </c>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row>
    <row r="17" spans="1:91" hidden="1">
      <c r="B17" s="14" t="str">
        <f>役職一覧!B17&amp;""</f>
        <v/>
      </c>
      <c r="C17" s="14">
        <f>役職一覧!E17</f>
        <v>0</v>
      </c>
      <c r="D17" s="14">
        <f t="shared" ref="D17:N22" si="10">COUNTIF(D$32:D$334,$B17)</f>
        <v>302</v>
      </c>
      <c r="E17" s="14">
        <f t="shared" si="10"/>
        <v>303</v>
      </c>
      <c r="F17" s="14">
        <f t="shared" si="10"/>
        <v>303</v>
      </c>
      <c r="G17" s="14">
        <f t="shared" si="10"/>
        <v>302</v>
      </c>
      <c r="H17" s="14">
        <f t="shared" si="10"/>
        <v>303</v>
      </c>
      <c r="I17" s="14">
        <f t="shared" si="10"/>
        <v>303</v>
      </c>
      <c r="J17" s="14">
        <f t="shared" si="10"/>
        <v>303</v>
      </c>
      <c r="K17" s="14">
        <f t="shared" si="10"/>
        <v>303</v>
      </c>
      <c r="L17" s="14">
        <f t="shared" si="10"/>
        <v>303</v>
      </c>
      <c r="M17" s="14">
        <f t="shared" si="10"/>
        <v>303</v>
      </c>
      <c r="N17" s="14">
        <f t="shared" si="10"/>
        <v>303</v>
      </c>
      <c r="O17" s="14">
        <f t="shared" si="9"/>
        <v>303</v>
      </c>
      <c r="P17" s="14">
        <f t="shared" si="9"/>
        <v>303</v>
      </c>
      <c r="Q17" s="14">
        <f t="shared" si="9"/>
        <v>303</v>
      </c>
      <c r="R17" s="14">
        <f t="shared" si="9"/>
        <v>303</v>
      </c>
      <c r="S17" s="14">
        <f t="shared" si="9"/>
        <v>303</v>
      </c>
      <c r="T17" s="14">
        <f t="shared" si="6"/>
        <v>303</v>
      </c>
      <c r="U17" s="14">
        <f t="shared" si="6"/>
        <v>303</v>
      </c>
      <c r="V17" s="14">
        <f t="shared" si="6"/>
        <v>303</v>
      </c>
      <c r="W17" s="14">
        <f t="shared" si="6"/>
        <v>303</v>
      </c>
      <c r="X17" s="14">
        <f t="shared" si="6"/>
        <v>303</v>
      </c>
      <c r="Y17" s="14">
        <f t="shared" si="6"/>
        <v>303</v>
      </c>
      <c r="Z17" s="14">
        <f t="shared" si="6"/>
        <v>303</v>
      </c>
      <c r="AA17" s="14">
        <f t="shared" si="6"/>
        <v>303</v>
      </c>
      <c r="AB17" s="14">
        <f t="shared" si="6"/>
        <v>303</v>
      </c>
      <c r="AC17" s="14">
        <f t="shared" si="6"/>
        <v>303</v>
      </c>
      <c r="AD17" s="14">
        <f t="shared" si="6"/>
        <v>303</v>
      </c>
      <c r="AE17" s="14">
        <f t="shared" si="7"/>
        <v>303</v>
      </c>
      <c r="AF17" s="14">
        <f t="shared" si="7"/>
        <v>303</v>
      </c>
      <c r="AG17" s="14">
        <f t="shared" si="7"/>
        <v>303</v>
      </c>
      <c r="AH17" s="14">
        <f t="shared" si="7"/>
        <v>303</v>
      </c>
      <c r="AI17" s="14">
        <f t="shared" si="7"/>
        <v>303</v>
      </c>
      <c r="AJ17" s="14">
        <f t="shared" si="7"/>
        <v>303</v>
      </c>
      <c r="AK17" s="14">
        <f t="shared" si="7"/>
        <v>303</v>
      </c>
      <c r="AL17" s="14">
        <f t="shared" si="7"/>
        <v>303</v>
      </c>
      <c r="AM17" s="14">
        <f t="shared" si="7"/>
        <v>303</v>
      </c>
      <c r="AN17" s="14">
        <f t="shared" si="7"/>
        <v>303</v>
      </c>
      <c r="AO17" s="14">
        <f t="shared" si="7"/>
        <v>303</v>
      </c>
      <c r="AP17" s="14">
        <f t="shared" si="7"/>
        <v>303</v>
      </c>
      <c r="AQ17" s="14">
        <f t="shared" si="7"/>
        <v>303</v>
      </c>
      <c r="AR17" s="14">
        <f t="shared" si="7"/>
        <v>303</v>
      </c>
      <c r="AS17" s="14">
        <f t="shared" si="7"/>
        <v>303</v>
      </c>
      <c r="AT17" s="14">
        <f t="shared" si="7"/>
        <v>303</v>
      </c>
      <c r="AU17" s="14">
        <f t="shared" si="8"/>
        <v>303</v>
      </c>
      <c r="AV17" s="14">
        <f t="shared" si="8"/>
        <v>303</v>
      </c>
      <c r="AW17" s="14">
        <f t="shared" si="8"/>
        <v>303</v>
      </c>
      <c r="AX17" s="14">
        <f t="shared" si="8"/>
        <v>303</v>
      </c>
      <c r="AY17" s="14">
        <f t="shared" si="8"/>
        <v>303</v>
      </c>
      <c r="AZ17" s="14">
        <f t="shared" si="8"/>
        <v>303</v>
      </c>
      <c r="BA17" s="14">
        <f t="shared" si="8"/>
        <v>303</v>
      </c>
      <c r="BB17" s="14"/>
      <c r="BC17" s="14"/>
      <c r="BD17" s="14">
        <f ca="1">COUNTIF(OFFSET(BD$32,0,0,COUNT(時間希望調査!$A:$A)),$B17)</f>
        <v>9</v>
      </c>
      <c r="BE17" s="14">
        <f ca="1">COUNTIF(OFFSET(BE$32,0,0,COUNT(時間希望調査!$A:$A)),$B17)</f>
        <v>9</v>
      </c>
      <c r="BF17" s="14">
        <f ca="1">COUNTIF(OFFSET(BF$32,0,0,COUNT(時間希望調査!$A:$A)),$B17)</f>
        <v>10</v>
      </c>
      <c r="BG17" s="14">
        <f ca="1">COUNTIF(OFFSET(BG$32,0,0,COUNT(時間希望調査!$A:$A)),$B17)</f>
        <v>10</v>
      </c>
      <c r="BH17" s="14">
        <f ca="1">COUNTIF(OFFSET(BH$32,0,0,COUNT(時間希望調査!$A:$A)),$B17)</f>
        <v>10</v>
      </c>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row>
    <row r="18" spans="1:91" hidden="1">
      <c r="B18" s="14" t="str">
        <f>役職一覧!B18&amp;""</f>
        <v/>
      </c>
      <c r="C18" s="14">
        <f>役職一覧!E18</f>
        <v>0</v>
      </c>
      <c r="D18" s="14">
        <f t="shared" si="10"/>
        <v>302</v>
      </c>
      <c r="E18" s="14">
        <f t="shared" si="10"/>
        <v>303</v>
      </c>
      <c r="F18" s="14">
        <f t="shared" si="10"/>
        <v>303</v>
      </c>
      <c r="G18" s="14">
        <f t="shared" si="10"/>
        <v>302</v>
      </c>
      <c r="H18" s="14">
        <f t="shared" si="10"/>
        <v>303</v>
      </c>
      <c r="I18" s="14">
        <f t="shared" si="10"/>
        <v>303</v>
      </c>
      <c r="J18" s="14">
        <f t="shared" si="10"/>
        <v>303</v>
      </c>
      <c r="K18" s="14">
        <f t="shared" si="10"/>
        <v>303</v>
      </c>
      <c r="L18" s="14">
        <f t="shared" si="10"/>
        <v>303</v>
      </c>
      <c r="M18" s="14">
        <f t="shared" si="10"/>
        <v>303</v>
      </c>
      <c r="N18" s="14">
        <f t="shared" si="10"/>
        <v>303</v>
      </c>
      <c r="O18" s="14">
        <f t="shared" si="9"/>
        <v>303</v>
      </c>
      <c r="P18" s="14">
        <f t="shared" si="9"/>
        <v>303</v>
      </c>
      <c r="Q18" s="14">
        <f t="shared" si="9"/>
        <v>303</v>
      </c>
      <c r="R18" s="14">
        <f t="shared" si="9"/>
        <v>303</v>
      </c>
      <c r="S18" s="14">
        <f t="shared" si="9"/>
        <v>303</v>
      </c>
      <c r="T18" s="14">
        <f t="shared" si="6"/>
        <v>303</v>
      </c>
      <c r="U18" s="14">
        <f t="shared" si="6"/>
        <v>303</v>
      </c>
      <c r="V18" s="14">
        <f t="shared" si="6"/>
        <v>303</v>
      </c>
      <c r="W18" s="14">
        <f t="shared" si="6"/>
        <v>303</v>
      </c>
      <c r="X18" s="14">
        <f t="shared" si="6"/>
        <v>303</v>
      </c>
      <c r="Y18" s="14">
        <f t="shared" si="6"/>
        <v>303</v>
      </c>
      <c r="Z18" s="14">
        <f t="shared" si="6"/>
        <v>303</v>
      </c>
      <c r="AA18" s="14">
        <f t="shared" si="6"/>
        <v>303</v>
      </c>
      <c r="AB18" s="14">
        <f t="shared" si="6"/>
        <v>303</v>
      </c>
      <c r="AC18" s="14">
        <f t="shared" si="6"/>
        <v>303</v>
      </c>
      <c r="AD18" s="14">
        <f t="shared" si="6"/>
        <v>303</v>
      </c>
      <c r="AE18" s="14">
        <f t="shared" si="7"/>
        <v>303</v>
      </c>
      <c r="AF18" s="14">
        <f t="shared" si="7"/>
        <v>303</v>
      </c>
      <c r="AG18" s="14">
        <f t="shared" si="7"/>
        <v>303</v>
      </c>
      <c r="AH18" s="14">
        <f t="shared" si="7"/>
        <v>303</v>
      </c>
      <c r="AI18" s="14">
        <f t="shared" si="7"/>
        <v>303</v>
      </c>
      <c r="AJ18" s="14">
        <f t="shared" si="7"/>
        <v>303</v>
      </c>
      <c r="AK18" s="14">
        <f t="shared" si="7"/>
        <v>303</v>
      </c>
      <c r="AL18" s="14">
        <f t="shared" si="7"/>
        <v>303</v>
      </c>
      <c r="AM18" s="14">
        <f t="shared" si="7"/>
        <v>303</v>
      </c>
      <c r="AN18" s="14">
        <f t="shared" si="7"/>
        <v>303</v>
      </c>
      <c r="AO18" s="14">
        <f t="shared" si="7"/>
        <v>303</v>
      </c>
      <c r="AP18" s="14">
        <f t="shared" si="7"/>
        <v>303</v>
      </c>
      <c r="AQ18" s="14">
        <f t="shared" si="7"/>
        <v>303</v>
      </c>
      <c r="AR18" s="14">
        <f t="shared" si="7"/>
        <v>303</v>
      </c>
      <c r="AS18" s="14">
        <f t="shared" si="7"/>
        <v>303</v>
      </c>
      <c r="AT18" s="14">
        <f t="shared" si="7"/>
        <v>303</v>
      </c>
      <c r="AU18" s="14">
        <f t="shared" si="8"/>
        <v>303</v>
      </c>
      <c r="AV18" s="14">
        <f t="shared" si="8"/>
        <v>303</v>
      </c>
      <c r="AW18" s="14">
        <f t="shared" si="8"/>
        <v>303</v>
      </c>
      <c r="AX18" s="14">
        <f t="shared" si="8"/>
        <v>303</v>
      </c>
      <c r="AY18" s="14">
        <f t="shared" si="8"/>
        <v>303</v>
      </c>
      <c r="AZ18" s="14">
        <f t="shared" si="8"/>
        <v>303</v>
      </c>
      <c r="BA18" s="14">
        <f t="shared" si="8"/>
        <v>303</v>
      </c>
      <c r="BB18" s="14"/>
      <c r="BC18" s="14"/>
      <c r="BD18" s="14">
        <f ca="1">COUNTIF(OFFSET(BD$32,0,0,COUNT(時間希望調査!$A:$A)),$B18)</f>
        <v>9</v>
      </c>
      <c r="BE18" s="14">
        <f ca="1">COUNTIF(OFFSET(BE$32,0,0,COUNT(時間希望調査!$A:$A)),$B18)</f>
        <v>9</v>
      </c>
      <c r="BF18" s="14">
        <f ca="1">COUNTIF(OFFSET(BF$32,0,0,COUNT(時間希望調査!$A:$A)),$B18)</f>
        <v>10</v>
      </c>
      <c r="BG18" s="14">
        <f ca="1">COUNTIF(OFFSET(BG$32,0,0,COUNT(時間希望調査!$A:$A)),$B18)</f>
        <v>10</v>
      </c>
      <c r="BH18" s="14">
        <f ca="1">COUNTIF(OFFSET(BH$32,0,0,COUNT(時間希望調査!$A:$A)),$B18)</f>
        <v>10</v>
      </c>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row>
    <row r="19" spans="1:91" hidden="1">
      <c r="B19" s="14" t="str">
        <f>役職一覧!B19&amp;""</f>
        <v/>
      </c>
      <c r="C19" s="14">
        <f>役職一覧!E19</f>
        <v>0</v>
      </c>
      <c r="D19" s="14">
        <f t="shared" si="10"/>
        <v>302</v>
      </c>
      <c r="E19" s="14">
        <f t="shared" si="10"/>
        <v>303</v>
      </c>
      <c r="F19" s="14">
        <f t="shared" si="10"/>
        <v>303</v>
      </c>
      <c r="G19" s="14">
        <f t="shared" si="10"/>
        <v>302</v>
      </c>
      <c r="H19" s="14">
        <f t="shared" si="10"/>
        <v>303</v>
      </c>
      <c r="I19" s="14">
        <f t="shared" si="10"/>
        <v>303</v>
      </c>
      <c r="J19" s="14">
        <f t="shared" si="10"/>
        <v>303</v>
      </c>
      <c r="K19" s="14">
        <f t="shared" si="10"/>
        <v>303</v>
      </c>
      <c r="L19" s="14">
        <f t="shared" si="10"/>
        <v>303</v>
      </c>
      <c r="M19" s="14">
        <f t="shared" si="10"/>
        <v>303</v>
      </c>
      <c r="N19" s="14">
        <f t="shared" si="10"/>
        <v>303</v>
      </c>
      <c r="O19" s="14">
        <f t="shared" si="9"/>
        <v>303</v>
      </c>
      <c r="P19" s="14">
        <f t="shared" si="9"/>
        <v>303</v>
      </c>
      <c r="Q19" s="14">
        <f t="shared" si="9"/>
        <v>303</v>
      </c>
      <c r="R19" s="14">
        <f t="shared" si="9"/>
        <v>303</v>
      </c>
      <c r="S19" s="14">
        <f t="shared" si="9"/>
        <v>303</v>
      </c>
      <c r="T19" s="14">
        <f t="shared" si="6"/>
        <v>303</v>
      </c>
      <c r="U19" s="14">
        <f t="shared" si="6"/>
        <v>303</v>
      </c>
      <c r="V19" s="14">
        <f t="shared" si="6"/>
        <v>303</v>
      </c>
      <c r="W19" s="14">
        <f t="shared" si="6"/>
        <v>303</v>
      </c>
      <c r="X19" s="14">
        <f t="shared" si="6"/>
        <v>303</v>
      </c>
      <c r="Y19" s="14">
        <f t="shared" si="6"/>
        <v>303</v>
      </c>
      <c r="Z19" s="14">
        <f t="shared" si="6"/>
        <v>303</v>
      </c>
      <c r="AA19" s="14">
        <f t="shared" si="6"/>
        <v>303</v>
      </c>
      <c r="AB19" s="14">
        <f t="shared" si="6"/>
        <v>303</v>
      </c>
      <c r="AC19" s="14">
        <f t="shared" si="6"/>
        <v>303</v>
      </c>
      <c r="AD19" s="14">
        <f t="shared" si="6"/>
        <v>303</v>
      </c>
      <c r="AE19" s="14">
        <f t="shared" si="7"/>
        <v>303</v>
      </c>
      <c r="AF19" s="14">
        <f t="shared" si="7"/>
        <v>303</v>
      </c>
      <c r="AG19" s="14">
        <f t="shared" si="7"/>
        <v>303</v>
      </c>
      <c r="AH19" s="14">
        <f t="shared" si="7"/>
        <v>303</v>
      </c>
      <c r="AI19" s="14">
        <f t="shared" si="7"/>
        <v>303</v>
      </c>
      <c r="AJ19" s="14">
        <f t="shared" si="7"/>
        <v>303</v>
      </c>
      <c r="AK19" s="14">
        <f t="shared" si="7"/>
        <v>303</v>
      </c>
      <c r="AL19" s="14">
        <f t="shared" si="7"/>
        <v>303</v>
      </c>
      <c r="AM19" s="14">
        <f t="shared" si="7"/>
        <v>303</v>
      </c>
      <c r="AN19" s="14">
        <f t="shared" si="7"/>
        <v>303</v>
      </c>
      <c r="AO19" s="14">
        <f t="shared" si="7"/>
        <v>303</v>
      </c>
      <c r="AP19" s="14">
        <f t="shared" si="7"/>
        <v>303</v>
      </c>
      <c r="AQ19" s="14">
        <f t="shared" si="7"/>
        <v>303</v>
      </c>
      <c r="AR19" s="14">
        <f t="shared" si="7"/>
        <v>303</v>
      </c>
      <c r="AS19" s="14">
        <f t="shared" si="7"/>
        <v>303</v>
      </c>
      <c r="AT19" s="14">
        <f t="shared" si="7"/>
        <v>303</v>
      </c>
      <c r="AU19" s="14">
        <f t="shared" si="8"/>
        <v>303</v>
      </c>
      <c r="AV19" s="14">
        <f t="shared" si="8"/>
        <v>303</v>
      </c>
      <c r="AW19" s="14">
        <f t="shared" si="8"/>
        <v>303</v>
      </c>
      <c r="AX19" s="14">
        <f t="shared" si="8"/>
        <v>303</v>
      </c>
      <c r="AY19" s="14">
        <f t="shared" si="8"/>
        <v>303</v>
      </c>
      <c r="AZ19" s="14">
        <f t="shared" si="8"/>
        <v>303</v>
      </c>
      <c r="BA19" s="14">
        <f t="shared" si="8"/>
        <v>303</v>
      </c>
      <c r="BB19" s="14"/>
      <c r="BC19" s="14"/>
      <c r="BD19" s="14">
        <f ca="1">COUNTIF(OFFSET(BD$32,0,0,COUNT(時間希望調査!$A:$A)),$B19)</f>
        <v>9</v>
      </c>
      <c r="BE19" s="14">
        <f ca="1">COUNTIF(OFFSET(BE$32,0,0,COUNT(時間希望調査!$A:$A)),$B19)</f>
        <v>9</v>
      </c>
      <c r="BF19" s="14">
        <f ca="1">COUNTIF(OFFSET(BF$32,0,0,COUNT(時間希望調査!$A:$A)),$B19)</f>
        <v>10</v>
      </c>
      <c r="BG19" s="14">
        <f ca="1">COUNTIF(OFFSET(BG$32,0,0,COUNT(時間希望調査!$A:$A)),$B19)</f>
        <v>10</v>
      </c>
      <c r="BH19" s="14">
        <f ca="1">COUNTIF(OFFSET(BH$32,0,0,COUNT(時間希望調査!$A:$A)),$B19)</f>
        <v>10</v>
      </c>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row>
    <row r="20" spans="1:91" hidden="1">
      <c r="B20" s="14" t="str">
        <f>役職一覧!B20&amp;""</f>
        <v/>
      </c>
      <c r="C20" s="14">
        <f>役職一覧!E20</f>
        <v>0</v>
      </c>
      <c r="D20" s="14">
        <f t="shared" si="10"/>
        <v>302</v>
      </c>
      <c r="E20" s="14">
        <f t="shared" si="10"/>
        <v>303</v>
      </c>
      <c r="F20" s="14">
        <f t="shared" si="10"/>
        <v>303</v>
      </c>
      <c r="G20" s="14">
        <f t="shared" si="10"/>
        <v>302</v>
      </c>
      <c r="H20" s="14">
        <f t="shared" si="10"/>
        <v>303</v>
      </c>
      <c r="I20" s="14">
        <f t="shared" si="10"/>
        <v>303</v>
      </c>
      <c r="J20" s="14">
        <f t="shared" si="10"/>
        <v>303</v>
      </c>
      <c r="K20" s="14">
        <f t="shared" si="10"/>
        <v>303</v>
      </c>
      <c r="L20" s="14">
        <f t="shared" si="10"/>
        <v>303</v>
      </c>
      <c r="M20" s="14">
        <f t="shared" si="10"/>
        <v>303</v>
      </c>
      <c r="N20" s="14">
        <f t="shared" si="10"/>
        <v>303</v>
      </c>
      <c r="O20" s="14">
        <f t="shared" si="9"/>
        <v>303</v>
      </c>
      <c r="P20" s="14">
        <f t="shared" si="9"/>
        <v>303</v>
      </c>
      <c r="Q20" s="14">
        <f t="shared" si="9"/>
        <v>303</v>
      </c>
      <c r="R20" s="14">
        <f t="shared" si="9"/>
        <v>303</v>
      </c>
      <c r="S20" s="14">
        <f t="shared" si="9"/>
        <v>303</v>
      </c>
      <c r="T20" s="14">
        <f t="shared" si="6"/>
        <v>303</v>
      </c>
      <c r="U20" s="14">
        <f t="shared" si="6"/>
        <v>303</v>
      </c>
      <c r="V20" s="14">
        <f t="shared" si="6"/>
        <v>303</v>
      </c>
      <c r="W20" s="14">
        <f t="shared" si="6"/>
        <v>303</v>
      </c>
      <c r="X20" s="14">
        <f t="shared" si="6"/>
        <v>303</v>
      </c>
      <c r="Y20" s="14">
        <f t="shared" si="6"/>
        <v>303</v>
      </c>
      <c r="Z20" s="14">
        <f t="shared" si="6"/>
        <v>303</v>
      </c>
      <c r="AA20" s="14">
        <f t="shared" si="6"/>
        <v>303</v>
      </c>
      <c r="AB20" s="14">
        <f t="shared" si="6"/>
        <v>303</v>
      </c>
      <c r="AC20" s="14">
        <f t="shared" si="6"/>
        <v>303</v>
      </c>
      <c r="AD20" s="14">
        <f t="shared" si="6"/>
        <v>303</v>
      </c>
      <c r="AE20" s="14">
        <f t="shared" si="7"/>
        <v>303</v>
      </c>
      <c r="AF20" s="14">
        <f t="shared" si="7"/>
        <v>303</v>
      </c>
      <c r="AG20" s="14">
        <f t="shared" si="7"/>
        <v>303</v>
      </c>
      <c r="AH20" s="14">
        <f t="shared" si="7"/>
        <v>303</v>
      </c>
      <c r="AI20" s="14">
        <f t="shared" si="7"/>
        <v>303</v>
      </c>
      <c r="AJ20" s="14">
        <f t="shared" si="7"/>
        <v>303</v>
      </c>
      <c r="AK20" s="14">
        <f t="shared" si="7"/>
        <v>303</v>
      </c>
      <c r="AL20" s="14">
        <f t="shared" si="7"/>
        <v>303</v>
      </c>
      <c r="AM20" s="14">
        <f t="shared" si="7"/>
        <v>303</v>
      </c>
      <c r="AN20" s="14">
        <f t="shared" si="7"/>
        <v>303</v>
      </c>
      <c r="AO20" s="14">
        <f t="shared" si="7"/>
        <v>303</v>
      </c>
      <c r="AP20" s="14">
        <f t="shared" si="7"/>
        <v>303</v>
      </c>
      <c r="AQ20" s="14">
        <f t="shared" si="7"/>
        <v>303</v>
      </c>
      <c r="AR20" s="14">
        <f t="shared" si="7"/>
        <v>303</v>
      </c>
      <c r="AS20" s="14">
        <f t="shared" si="7"/>
        <v>303</v>
      </c>
      <c r="AT20" s="14">
        <f t="shared" si="7"/>
        <v>303</v>
      </c>
      <c r="AU20" s="14">
        <f t="shared" si="8"/>
        <v>303</v>
      </c>
      <c r="AV20" s="14">
        <f t="shared" si="8"/>
        <v>303</v>
      </c>
      <c r="AW20" s="14">
        <f t="shared" si="8"/>
        <v>303</v>
      </c>
      <c r="AX20" s="14">
        <f t="shared" si="8"/>
        <v>303</v>
      </c>
      <c r="AY20" s="14">
        <f t="shared" si="8"/>
        <v>303</v>
      </c>
      <c r="AZ20" s="14">
        <f t="shared" si="8"/>
        <v>303</v>
      </c>
      <c r="BA20" s="14">
        <f t="shared" si="8"/>
        <v>303</v>
      </c>
      <c r="BB20" s="14"/>
      <c r="BC20" s="14"/>
      <c r="BD20" s="14">
        <f ca="1">COUNTIF(OFFSET(BD$32,0,0,COUNT(時間希望調査!$A:$A)),$B20)</f>
        <v>9</v>
      </c>
      <c r="BE20" s="14">
        <f ca="1">COUNTIF(OFFSET(BE$32,0,0,COUNT(時間希望調査!$A:$A)),$B20)</f>
        <v>9</v>
      </c>
      <c r="BF20" s="14">
        <f ca="1">COUNTIF(OFFSET(BF$32,0,0,COUNT(時間希望調査!$A:$A)),$B20)</f>
        <v>10</v>
      </c>
      <c r="BG20" s="14">
        <f ca="1">COUNTIF(OFFSET(BG$32,0,0,COUNT(時間希望調査!$A:$A)),$B20)</f>
        <v>10</v>
      </c>
      <c r="BH20" s="14">
        <f ca="1">COUNTIF(OFFSET(BH$32,0,0,COUNT(時間希望調査!$A:$A)),$B20)</f>
        <v>10</v>
      </c>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row>
    <row r="21" spans="1:91" hidden="1">
      <c r="B21" s="14" t="str">
        <f>役職一覧!B21&amp;""</f>
        <v/>
      </c>
      <c r="C21" s="14">
        <f>役職一覧!E21</f>
        <v>0</v>
      </c>
      <c r="D21" s="14">
        <f t="shared" si="10"/>
        <v>302</v>
      </c>
      <c r="E21" s="14">
        <f t="shared" si="10"/>
        <v>303</v>
      </c>
      <c r="F21" s="14">
        <f t="shared" si="10"/>
        <v>303</v>
      </c>
      <c r="G21" s="14">
        <f t="shared" si="10"/>
        <v>302</v>
      </c>
      <c r="H21" s="14">
        <f t="shared" si="10"/>
        <v>303</v>
      </c>
      <c r="I21" s="14">
        <f t="shared" si="10"/>
        <v>303</v>
      </c>
      <c r="J21" s="14">
        <f t="shared" si="10"/>
        <v>303</v>
      </c>
      <c r="K21" s="14">
        <f t="shared" si="10"/>
        <v>303</v>
      </c>
      <c r="L21" s="14">
        <f t="shared" si="10"/>
        <v>303</v>
      </c>
      <c r="M21" s="14">
        <f t="shared" si="10"/>
        <v>303</v>
      </c>
      <c r="N21" s="14">
        <f t="shared" si="10"/>
        <v>303</v>
      </c>
      <c r="O21" s="14">
        <f t="shared" si="9"/>
        <v>303</v>
      </c>
      <c r="P21" s="14">
        <f t="shared" si="9"/>
        <v>303</v>
      </c>
      <c r="Q21" s="14">
        <f t="shared" si="9"/>
        <v>303</v>
      </c>
      <c r="R21" s="14">
        <f t="shared" si="9"/>
        <v>303</v>
      </c>
      <c r="S21" s="14">
        <f t="shared" si="9"/>
        <v>303</v>
      </c>
      <c r="T21" s="14">
        <f t="shared" si="6"/>
        <v>303</v>
      </c>
      <c r="U21" s="14">
        <f t="shared" si="6"/>
        <v>303</v>
      </c>
      <c r="V21" s="14">
        <f t="shared" si="6"/>
        <v>303</v>
      </c>
      <c r="W21" s="14">
        <f t="shared" si="6"/>
        <v>303</v>
      </c>
      <c r="X21" s="14">
        <f t="shared" si="6"/>
        <v>303</v>
      </c>
      <c r="Y21" s="14">
        <f t="shared" si="6"/>
        <v>303</v>
      </c>
      <c r="Z21" s="14">
        <f t="shared" si="6"/>
        <v>303</v>
      </c>
      <c r="AA21" s="14">
        <f t="shared" si="6"/>
        <v>303</v>
      </c>
      <c r="AB21" s="14">
        <f t="shared" si="6"/>
        <v>303</v>
      </c>
      <c r="AC21" s="14">
        <f t="shared" si="6"/>
        <v>303</v>
      </c>
      <c r="AD21" s="14">
        <f t="shared" si="6"/>
        <v>303</v>
      </c>
      <c r="AE21" s="14">
        <f t="shared" si="7"/>
        <v>303</v>
      </c>
      <c r="AF21" s="14">
        <f t="shared" si="7"/>
        <v>303</v>
      </c>
      <c r="AG21" s="14">
        <f t="shared" si="7"/>
        <v>303</v>
      </c>
      <c r="AH21" s="14">
        <f t="shared" si="7"/>
        <v>303</v>
      </c>
      <c r="AI21" s="14">
        <f t="shared" si="7"/>
        <v>303</v>
      </c>
      <c r="AJ21" s="14">
        <f t="shared" si="7"/>
        <v>303</v>
      </c>
      <c r="AK21" s="14">
        <f t="shared" si="7"/>
        <v>303</v>
      </c>
      <c r="AL21" s="14">
        <f t="shared" si="7"/>
        <v>303</v>
      </c>
      <c r="AM21" s="14">
        <f t="shared" si="7"/>
        <v>303</v>
      </c>
      <c r="AN21" s="14">
        <f t="shared" si="7"/>
        <v>303</v>
      </c>
      <c r="AO21" s="14">
        <f t="shared" si="7"/>
        <v>303</v>
      </c>
      <c r="AP21" s="14">
        <f t="shared" si="7"/>
        <v>303</v>
      </c>
      <c r="AQ21" s="14">
        <f t="shared" si="7"/>
        <v>303</v>
      </c>
      <c r="AR21" s="14">
        <f t="shared" si="7"/>
        <v>303</v>
      </c>
      <c r="AS21" s="14">
        <f t="shared" si="7"/>
        <v>303</v>
      </c>
      <c r="AT21" s="14">
        <f t="shared" si="7"/>
        <v>303</v>
      </c>
      <c r="AU21" s="14">
        <f t="shared" si="8"/>
        <v>303</v>
      </c>
      <c r="AV21" s="14">
        <f t="shared" si="8"/>
        <v>303</v>
      </c>
      <c r="AW21" s="14">
        <f t="shared" si="8"/>
        <v>303</v>
      </c>
      <c r="AX21" s="14">
        <f t="shared" si="8"/>
        <v>303</v>
      </c>
      <c r="AY21" s="14">
        <f t="shared" si="8"/>
        <v>303</v>
      </c>
      <c r="AZ21" s="14">
        <f t="shared" si="8"/>
        <v>303</v>
      </c>
      <c r="BA21" s="14">
        <f t="shared" si="8"/>
        <v>303</v>
      </c>
      <c r="BB21" s="14"/>
      <c r="BC21" s="14"/>
      <c r="BD21" s="14">
        <f ca="1">COUNTIF(OFFSET(BD$32,0,0,COUNT(時間希望調査!$A:$A)),$B21)</f>
        <v>9</v>
      </c>
      <c r="BE21" s="14">
        <f ca="1">COUNTIF(OFFSET(BE$32,0,0,COUNT(時間希望調査!$A:$A)),$B21)</f>
        <v>9</v>
      </c>
      <c r="BF21" s="14">
        <f ca="1">COUNTIF(OFFSET(BF$32,0,0,COUNT(時間希望調査!$A:$A)),$B21)</f>
        <v>10</v>
      </c>
      <c r="BG21" s="14">
        <f ca="1">COUNTIF(OFFSET(BG$32,0,0,COUNT(時間希望調査!$A:$A)),$B21)</f>
        <v>10</v>
      </c>
      <c r="BH21" s="14">
        <f ca="1">COUNTIF(OFFSET(BH$32,0,0,COUNT(時間希望調査!$A:$A)),$B21)</f>
        <v>10</v>
      </c>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row>
    <row r="22" spans="1:91" hidden="1">
      <c r="B22" s="14" t="str">
        <f>役職一覧!B22&amp;""</f>
        <v/>
      </c>
      <c r="C22" s="14">
        <f>役職一覧!E22</f>
        <v>0</v>
      </c>
      <c r="D22" s="14">
        <f t="shared" si="10"/>
        <v>302</v>
      </c>
      <c r="E22" s="14">
        <f t="shared" si="10"/>
        <v>303</v>
      </c>
      <c r="F22" s="14">
        <f t="shared" si="10"/>
        <v>303</v>
      </c>
      <c r="G22" s="14">
        <f t="shared" si="10"/>
        <v>302</v>
      </c>
      <c r="H22" s="14">
        <f t="shared" si="10"/>
        <v>303</v>
      </c>
      <c r="I22" s="14">
        <f t="shared" si="10"/>
        <v>303</v>
      </c>
      <c r="J22" s="14">
        <f t="shared" si="10"/>
        <v>303</v>
      </c>
      <c r="K22" s="14">
        <f t="shared" si="10"/>
        <v>303</v>
      </c>
      <c r="L22" s="14">
        <f t="shared" si="10"/>
        <v>303</v>
      </c>
      <c r="M22" s="14">
        <f t="shared" si="10"/>
        <v>303</v>
      </c>
      <c r="N22" s="14">
        <f t="shared" si="10"/>
        <v>303</v>
      </c>
      <c r="O22" s="14">
        <f t="shared" si="9"/>
        <v>303</v>
      </c>
      <c r="P22" s="14">
        <f t="shared" si="9"/>
        <v>303</v>
      </c>
      <c r="Q22" s="14">
        <f t="shared" si="9"/>
        <v>303</v>
      </c>
      <c r="R22" s="14">
        <f t="shared" si="9"/>
        <v>303</v>
      </c>
      <c r="S22" s="14">
        <f t="shared" si="9"/>
        <v>303</v>
      </c>
      <c r="T22" s="14">
        <f t="shared" si="6"/>
        <v>303</v>
      </c>
      <c r="U22" s="14">
        <f t="shared" si="6"/>
        <v>303</v>
      </c>
      <c r="V22" s="14">
        <f t="shared" si="6"/>
        <v>303</v>
      </c>
      <c r="W22" s="14">
        <f t="shared" si="6"/>
        <v>303</v>
      </c>
      <c r="X22" s="14">
        <f t="shared" si="6"/>
        <v>303</v>
      </c>
      <c r="Y22" s="14">
        <f t="shared" si="6"/>
        <v>303</v>
      </c>
      <c r="Z22" s="14">
        <f t="shared" si="6"/>
        <v>303</v>
      </c>
      <c r="AA22" s="14">
        <f t="shared" si="6"/>
        <v>303</v>
      </c>
      <c r="AB22" s="14">
        <f t="shared" si="6"/>
        <v>303</v>
      </c>
      <c r="AC22" s="14">
        <f t="shared" si="6"/>
        <v>303</v>
      </c>
      <c r="AD22" s="14">
        <f t="shared" si="6"/>
        <v>303</v>
      </c>
      <c r="AE22" s="14">
        <f t="shared" si="7"/>
        <v>303</v>
      </c>
      <c r="AF22" s="14">
        <f t="shared" si="7"/>
        <v>303</v>
      </c>
      <c r="AG22" s="14">
        <f t="shared" si="7"/>
        <v>303</v>
      </c>
      <c r="AH22" s="14">
        <f t="shared" si="7"/>
        <v>303</v>
      </c>
      <c r="AI22" s="14">
        <f t="shared" si="7"/>
        <v>303</v>
      </c>
      <c r="AJ22" s="14">
        <f t="shared" si="7"/>
        <v>303</v>
      </c>
      <c r="AK22" s="14">
        <f t="shared" si="7"/>
        <v>303</v>
      </c>
      <c r="AL22" s="14">
        <f t="shared" si="7"/>
        <v>303</v>
      </c>
      <c r="AM22" s="14">
        <f t="shared" si="7"/>
        <v>303</v>
      </c>
      <c r="AN22" s="14">
        <f t="shared" si="7"/>
        <v>303</v>
      </c>
      <c r="AO22" s="14">
        <f t="shared" si="7"/>
        <v>303</v>
      </c>
      <c r="AP22" s="14">
        <f t="shared" si="7"/>
        <v>303</v>
      </c>
      <c r="AQ22" s="14">
        <f t="shared" si="7"/>
        <v>303</v>
      </c>
      <c r="AR22" s="14">
        <f t="shared" si="7"/>
        <v>303</v>
      </c>
      <c r="AS22" s="14">
        <f t="shared" si="7"/>
        <v>303</v>
      </c>
      <c r="AT22" s="14">
        <f t="shared" ref="AT22:BA31" si="11">COUNTIF(AT$32:AT$334,$B22)</f>
        <v>303</v>
      </c>
      <c r="AU22" s="14">
        <f t="shared" si="11"/>
        <v>303</v>
      </c>
      <c r="AV22" s="14">
        <f t="shared" si="11"/>
        <v>303</v>
      </c>
      <c r="AW22" s="14">
        <f t="shared" si="11"/>
        <v>303</v>
      </c>
      <c r="AX22" s="14">
        <f t="shared" si="11"/>
        <v>303</v>
      </c>
      <c r="AY22" s="14">
        <f t="shared" si="11"/>
        <v>303</v>
      </c>
      <c r="AZ22" s="14">
        <f t="shared" si="11"/>
        <v>303</v>
      </c>
      <c r="BA22" s="14">
        <f t="shared" si="11"/>
        <v>303</v>
      </c>
      <c r="BB22" s="14"/>
      <c r="BC22" s="14"/>
      <c r="BD22" s="14">
        <f ca="1">COUNTIF(OFFSET(BD$32,0,0,COUNT(時間希望調査!$A:$A)),$B22)</f>
        <v>9</v>
      </c>
      <c r="BE22" s="14">
        <f ca="1">COUNTIF(OFFSET(BE$32,0,0,COUNT(時間希望調査!$A:$A)),$B22)</f>
        <v>9</v>
      </c>
      <c r="BF22" s="14">
        <f ca="1">COUNTIF(OFFSET(BF$32,0,0,COUNT(時間希望調査!$A:$A)),$B22)</f>
        <v>10</v>
      </c>
      <c r="BG22" s="14">
        <f ca="1">COUNTIF(OFFSET(BG$32,0,0,COUNT(時間希望調査!$A:$A)),$B22)</f>
        <v>10</v>
      </c>
      <c r="BH22" s="14">
        <f ca="1">COUNTIF(OFFSET(BH$32,0,0,COUNT(時間希望調査!$A:$A)),$B22)</f>
        <v>10</v>
      </c>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row>
    <row r="23" spans="1:91" hidden="1">
      <c r="B23" s="14" t="str">
        <f>役職一覧!B23&amp;""</f>
        <v/>
      </c>
      <c r="C23" s="14">
        <f>役職一覧!E23</f>
        <v>0</v>
      </c>
      <c r="D23" s="14">
        <f t="shared" ref="D23:M23" si="12">COUNTIF(D$32:D$334,$B23)</f>
        <v>302</v>
      </c>
      <c r="E23" s="14">
        <f t="shared" si="12"/>
        <v>303</v>
      </c>
      <c r="F23" s="14">
        <f t="shared" si="12"/>
        <v>303</v>
      </c>
      <c r="G23" s="14">
        <f t="shared" si="12"/>
        <v>302</v>
      </c>
      <c r="H23" s="14">
        <f t="shared" si="12"/>
        <v>303</v>
      </c>
      <c r="I23" s="14">
        <f t="shared" si="12"/>
        <v>303</v>
      </c>
      <c r="J23" s="14">
        <f t="shared" si="12"/>
        <v>303</v>
      </c>
      <c r="K23" s="14">
        <f t="shared" si="12"/>
        <v>303</v>
      </c>
      <c r="L23" s="14">
        <f t="shared" si="12"/>
        <v>303</v>
      </c>
      <c r="M23" s="14">
        <f t="shared" si="12"/>
        <v>303</v>
      </c>
      <c r="N23" s="14">
        <f t="shared" ref="N23:AC31" si="13">COUNTIF(N$32:N$334,$B23)</f>
        <v>303</v>
      </c>
      <c r="O23" s="14">
        <f t="shared" si="13"/>
        <v>303</v>
      </c>
      <c r="P23" s="14">
        <f t="shared" si="13"/>
        <v>303</v>
      </c>
      <c r="Q23" s="14">
        <f t="shared" si="13"/>
        <v>303</v>
      </c>
      <c r="R23" s="14">
        <f t="shared" si="13"/>
        <v>303</v>
      </c>
      <c r="S23" s="14">
        <f t="shared" si="13"/>
        <v>303</v>
      </c>
      <c r="T23" s="14">
        <f t="shared" si="13"/>
        <v>303</v>
      </c>
      <c r="U23" s="14">
        <f t="shared" si="13"/>
        <v>303</v>
      </c>
      <c r="V23" s="14">
        <f t="shared" si="13"/>
        <v>303</v>
      </c>
      <c r="W23" s="14">
        <f t="shared" si="13"/>
        <v>303</v>
      </c>
      <c r="X23" s="14">
        <f t="shared" si="13"/>
        <v>303</v>
      </c>
      <c r="Y23" s="14">
        <f t="shared" si="13"/>
        <v>303</v>
      </c>
      <c r="Z23" s="14">
        <f t="shared" si="13"/>
        <v>303</v>
      </c>
      <c r="AA23" s="14">
        <f t="shared" si="13"/>
        <v>303</v>
      </c>
      <c r="AB23" s="14">
        <f t="shared" si="13"/>
        <v>303</v>
      </c>
      <c r="AC23" s="14">
        <f t="shared" si="13"/>
        <v>303</v>
      </c>
      <c r="AD23" s="14">
        <f t="shared" si="6"/>
        <v>303</v>
      </c>
      <c r="AE23" s="14">
        <f t="shared" ref="AE23:AT31" si="14">COUNTIF(AE$32:AE$334,$B23)</f>
        <v>303</v>
      </c>
      <c r="AF23" s="14">
        <f t="shared" si="14"/>
        <v>303</v>
      </c>
      <c r="AG23" s="14">
        <f t="shared" si="14"/>
        <v>303</v>
      </c>
      <c r="AH23" s="14">
        <f t="shared" si="14"/>
        <v>303</v>
      </c>
      <c r="AI23" s="14">
        <f t="shared" si="14"/>
        <v>303</v>
      </c>
      <c r="AJ23" s="14">
        <f t="shared" si="14"/>
        <v>303</v>
      </c>
      <c r="AK23" s="14">
        <f t="shared" si="14"/>
        <v>303</v>
      </c>
      <c r="AL23" s="14">
        <f t="shared" si="14"/>
        <v>303</v>
      </c>
      <c r="AM23" s="14">
        <f t="shared" si="14"/>
        <v>303</v>
      </c>
      <c r="AN23" s="14">
        <f t="shared" si="14"/>
        <v>303</v>
      </c>
      <c r="AO23" s="14">
        <f t="shared" si="14"/>
        <v>303</v>
      </c>
      <c r="AP23" s="14">
        <f t="shared" si="14"/>
        <v>303</v>
      </c>
      <c r="AQ23" s="14">
        <f t="shared" si="14"/>
        <v>303</v>
      </c>
      <c r="AR23" s="14">
        <f t="shared" si="14"/>
        <v>303</v>
      </c>
      <c r="AS23" s="14">
        <f t="shared" si="14"/>
        <v>303</v>
      </c>
      <c r="AT23" s="14">
        <f t="shared" si="14"/>
        <v>303</v>
      </c>
      <c r="AU23" s="14">
        <f t="shared" si="11"/>
        <v>303</v>
      </c>
      <c r="AV23" s="14">
        <f t="shared" si="11"/>
        <v>303</v>
      </c>
      <c r="AW23" s="14">
        <f t="shared" si="11"/>
        <v>303</v>
      </c>
      <c r="AX23" s="14">
        <f t="shared" si="11"/>
        <v>303</v>
      </c>
      <c r="AY23" s="14">
        <f t="shared" si="11"/>
        <v>303</v>
      </c>
      <c r="AZ23" s="14">
        <f t="shared" si="11"/>
        <v>303</v>
      </c>
      <c r="BA23" s="14">
        <f t="shared" si="11"/>
        <v>303</v>
      </c>
      <c r="BB23" s="14"/>
      <c r="BC23" s="14"/>
      <c r="BD23" s="14">
        <f ca="1">COUNTIF(OFFSET(BD$32,0,0,COUNT(時間希望調査!$A:$A)),$B23)</f>
        <v>9</v>
      </c>
      <c r="BE23" s="14">
        <f ca="1">COUNTIF(OFFSET(BE$32,0,0,COUNT(時間希望調査!$A:$A)),$B23)</f>
        <v>9</v>
      </c>
      <c r="BF23" s="14">
        <f ca="1">COUNTIF(OFFSET(BF$32,0,0,COUNT(時間希望調査!$A:$A)),$B23)</f>
        <v>10</v>
      </c>
      <c r="BG23" s="14">
        <f ca="1">COUNTIF(OFFSET(BG$32,0,0,COUNT(時間希望調査!$A:$A)),$B23)</f>
        <v>10</v>
      </c>
      <c r="BH23" s="14">
        <f ca="1">COUNTIF(OFFSET(BH$32,0,0,COUNT(時間希望調査!$A:$A)),$B23)</f>
        <v>10</v>
      </c>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row>
    <row r="24" spans="1:91" hidden="1">
      <c r="B24" s="14" t="str">
        <f>役職一覧!B24&amp;""</f>
        <v/>
      </c>
      <c r="C24" s="14">
        <f>役職一覧!E24</f>
        <v>0</v>
      </c>
      <c r="D24" s="14">
        <f t="shared" ref="D24:S31" si="15">COUNTIF(D$32:D$334,$B24)</f>
        <v>302</v>
      </c>
      <c r="E24" s="14">
        <f t="shared" si="15"/>
        <v>303</v>
      </c>
      <c r="F24" s="14">
        <f t="shared" si="15"/>
        <v>303</v>
      </c>
      <c r="G24" s="14">
        <f t="shared" si="15"/>
        <v>302</v>
      </c>
      <c r="H24" s="14">
        <f t="shared" si="15"/>
        <v>303</v>
      </c>
      <c r="I24" s="14">
        <f t="shared" si="15"/>
        <v>303</v>
      </c>
      <c r="J24" s="14">
        <f t="shared" si="15"/>
        <v>303</v>
      </c>
      <c r="K24" s="14">
        <f t="shared" si="15"/>
        <v>303</v>
      </c>
      <c r="L24" s="14">
        <f t="shared" si="15"/>
        <v>303</v>
      </c>
      <c r="M24" s="14">
        <f t="shared" si="15"/>
        <v>303</v>
      </c>
      <c r="N24" s="14">
        <f t="shared" si="15"/>
        <v>303</v>
      </c>
      <c r="O24" s="14">
        <f t="shared" si="15"/>
        <v>303</v>
      </c>
      <c r="P24" s="14">
        <f t="shared" si="15"/>
        <v>303</v>
      </c>
      <c r="Q24" s="14">
        <f t="shared" si="15"/>
        <v>303</v>
      </c>
      <c r="R24" s="14">
        <f t="shared" si="15"/>
        <v>303</v>
      </c>
      <c r="S24" s="14">
        <f t="shared" si="15"/>
        <v>303</v>
      </c>
      <c r="T24" s="14">
        <f t="shared" si="13"/>
        <v>303</v>
      </c>
      <c r="U24" s="14">
        <f t="shared" si="13"/>
        <v>303</v>
      </c>
      <c r="V24" s="14">
        <f t="shared" si="13"/>
        <v>303</v>
      </c>
      <c r="W24" s="14">
        <f t="shared" si="13"/>
        <v>303</v>
      </c>
      <c r="X24" s="14">
        <f t="shared" si="13"/>
        <v>303</v>
      </c>
      <c r="Y24" s="14">
        <f t="shared" si="13"/>
        <v>303</v>
      </c>
      <c r="Z24" s="14">
        <f t="shared" si="13"/>
        <v>303</v>
      </c>
      <c r="AA24" s="14">
        <f t="shared" si="13"/>
        <v>303</v>
      </c>
      <c r="AB24" s="14">
        <f t="shared" si="13"/>
        <v>303</v>
      </c>
      <c r="AC24" s="14">
        <f t="shared" si="13"/>
        <v>303</v>
      </c>
      <c r="AD24" s="14">
        <f t="shared" si="6"/>
        <v>303</v>
      </c>
      <c r="AE24" s="14">
        <f t="shared" si="14"/>
        <v>303</v>
      </c>
      <c r="AF24" s="14">
        <f t="shared" si="14"/>
        <v>303</v>
      </c>
      <c r="AG24" s="14">
        <f t="shared" si="14"/>
        <v>303</v>
      </c>
      <c r="AH24" s="14">
        <f t="shared" si="14"/>
        <v>303</v>
      </c>
      <c r="AI24" s="14">
        <f t="shared" si="14"/>
        <v>303</v>
      </c>
      <c r="AJ24" s="14">
        <f t="shared" si="14"/>
        <v>303</v>
      </c>
      <c r="AK24" s="14">
        <f t="shared" si="14"/>
        <v>303</v>
      </c>
      <c r="AL24" s="14">
        <f t="shared" si="14"/>
        <v>303</v>
      </c>
      <c r="AM24" s="14">
        <f t="shared" si="14"/>
        <v>303</v>
      </c>
      <c r="AN24" s="14">
        <f t="shared" si="14"/>
        <v>303</v>
      </c>
      <c r="AO24" s="14">
        <f t="shared" si="14"/>
        <v>303</v>
      </c>
      <c r="AP24" s="14">
        <f t="shared" si="14"/>
        <v>303</v>
      </c>
      <c r="AQ24" s="14">
        <f t="shared" si="14"/>
        <v>303</v>
      </c>
      <c r="AR24" s="14">
        <f t="shared" si="14"/>
        <v>303</v>
      </c>
      <c r="AS24" s="14">
        <f t="shared" si="14"/>
        <v>303</v>
      </c>
      <c r="AT24" s="14">
        <f t="shared" si="14"/>
        <v>303</v>
      </c>
      <c r="AU24" s="14">
        <f t="shared" si="11"/>
        <v>303</v>
      </c>
      <c r="AV24" s="14">
        <f t="shared" si="11"/>
        <v>303</v>
      </c>
      <c r="AW24" s="14">
        <f t="shared" si="11"/>
        <v>303</v>
      </c>
      <c r="AX24" s="14">
        <f t="shared" si="11"/>
        <v>303</v>
      </c>
      <c r="AY24" s="14">
        <f t="shared" si="11"/>
        <v>303</v>
      </c>
      <c r="AZ24" s="14">
        <f t="shared" si="11"/>
        <v>303</v>
      </c>
      <c r="BA24" s="14">
        <f t="shared" si="11"/>
        <v>303</v>
      </c>
      <c r="BB24" s="14"/>
      <c r="BC24" s="14"/>
      <c r="BD24" s="14">
        <f ca="1">COUNTIF(OFFSET(BD$32,0,0,COUNT(時間希望調査!$A:$A)),$B24)</f>
        <v>9</v>
      </c>
      <c r="BE24" s="14">
        <f ca="1">COUNTIF(OFFSET(BE$32,0,0,COUNT(時間希望調査!$A:$A)),$B24)</f>
        <v>9</v>
      </c>
      <c r="BF24" s="14">
        <f ca="1">COUNTIF(OFFSET(BF$32,0,0,COUNT(時間希望調査!$A:$A)),$B24)</f>
        <v>10</v>
      </c>
      <c r="BG24" s="14">
        <f ca="1">COUNTIF(OFFSET(BG$32,0,0,COUNT(時間希望調査!$A:$A)),$B24)</f>
        <v>10</v>
      </c>
      <c r="BH24" s="14">
        <f ca="1">COUNTIF(OFFSET(BH$32,0,0,COUNT(時間希望調査!$A:$A)),$B24)</f>
        <v>10</v>
      </c>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row>
    <row r="25" spans="1:91" hidden="1">
      <c r="B25" s="14" t="str">
        <f>役職一覧!B25&amp;""</f>
        <v/>
      </c>
      <c r="C25" s="14">
        <f>役職一覧!E25</f>
        <v>0</v>
      </c>
      <c r="D25" s="14">
        <f t="shared" si="15"/>
        <v>302</v>
      </c>
      <c r="E25" s="14">
        <f t="shared" si="15"/>
        <v>303</v>
      </c>
      <c r="F25" s="14">
        <f t="shared" si="15"/>
        <v>303</v>
      </c>
      <c r="G25" s="14">
        <f t="shared" si="15"/>
        <v>302</v>
      </c>
      <c r="H25" s="14">
        <f t="shared" si="15"/>
        <v>303</v>
      </c>
      <c r="I25" s="14">
        <f t="shared" si="15"/>
        <v>303</v>
      </c>
      <c r="J25" s="14">
        <f t="shared" si="15"/>
        <v>303</v>
      </c>
      <c r="K25" s="14">
        <f t="shared" si="15"/>
        <v>303</v>
      </c>
      <c r="L25" s="14">
        <f t="shared" si="15"/>
        <v>303</v>
      </c>
      <c r="M25" s="14">
        <f t="shared" si="15"/>
        <v>303</v>
      </c>
      <c r="N25" s="14">
        <f t="shared" si="15"/>
        <v>303</v>
      </c>
      <c r="O25" s="14">
        <f t="shared" si="15"/>
        <v>303</v>
      </c>
      <c r="P25" s="14">
        <f t="shared" si="15"/>
        <v>303</v>
      </c>
      <c r="Q25" s="14">
        <f t="shared" si="15"/>
        <v>303</v>
      </c>
      <c r="R25" s="14">
        <f t="shared" si="15"/>
        <v>303</v>
      </c>
      <c r="S25" s="14">
        <f t="shared" si="15"/>
        <v>303</v>
      </c>
      <c r="T25" s="14">
        <f t="shared" si="13"/>
        <v>303</v>
      </c>
      <c r="U25" s="14">
        <f t="shared" si="13"/>
        <v>303</v>
      </c>
      <c r="V25" s="14">
        <f t="shared" si="13"/>
        <v>303</v>
      </c>
      <c r="W25" s="14">
        <f t="shared" si="13"/>
        <v>303</v>
      </c>
      <c r="X25" s="14">
        <f t="shared" si="13"/>
        <v>303</v>
      </c>
      <c r="Y25" s="14">
        <f t="shared" si="13"/>
        <v>303</v>
      </c>
      <c r="Z25" s="14">
        <f t="shared" si="13"/>
        <v>303</v>
      </c>
      <c r="AA25" s="14">
        <f t="shared" si="13"/>
        <v>303</v>
      </c>
      <c r="AB25" s="14">
        <f t="shared" si="13"/>
        <v>303</v>
      </c>
      <c r="AC25" s="14">
        <f t="shared" si="13"/>
        <v>303</v>
      </c>
      <c r="AD25" s="14">
        <f t="shared" si="6"/>
        <v>303</v>
      </c>
      <c r="AE25" s="14">
        <f t="shared" si="14"/>
        <v>303</v>
      </c>
      <c r="AF25" s="14">
        <f t="shared" si="14"/>
        <v>303</v>
      </c>
      <c r="AG25" s="14">
        <f t="shared" si="14"/>
        <v>303</v>
      </c>
      <c r="AH25" s="14">
        <f t="shared" si="14"/>
        <v>303</v>
      </c>
      <c r="AI25" s="14">
        <f t="shared" si="14"/>
        <v>303</v>
      </c>
      <c r="AJ25" s="14">
        <f t="shared" si="14"/>
        <v>303</v>
      </c>
      <c r="AK25" s="14">
        <f t="shared" si="14"/>
        <v>303</v>
      </c>
      <c r="AL25" s="14">
        <f t="shared" si="14"/>
        <v>303</v>
      </c>
      <c r="AM25" s="14">
        <f t="shared" si="14"/>
        <v>303</v>
      </c>
      <c r="AN25" s="14">
        <f t="shared" si="14"/>
        <v>303</v>
      </c>
      <c r="AO25" s="14">
        <f t="shared" si="14"/>
        <v>303</v>
      </c>
      <c r="AP25" s="14">
        <f t="shared" si="14"/>
        <v>303</v>
      </c>
      <c r="AQ25" s="14">
        <f t="shared" si="14"/>
        <v>303</v>
      </c>
      <c r="AR25" s="14">
        <f t="shared" si="14"/>
        <v>303</v>
      </c>
      <c r="AS25" s="14">
        <f t="shared" si="14"/>
        <v>303</v>
      </c>
      <c r="AT25" s="14">
        <f t="shared" si="14"/>
        <v>303</v>
      </c>
      <c r="AU25" s="14">
        <f t="shared" si="11"/>
        <v>303</v>
      </c>
      <c r="AV25" s="14">
        <f t="shared" si="11"/>
        <v>303</v>
      </c>
      <c r="AW25" s="14">
        <f t="shared" si="11"/>
        <v>303</v>
      </c>
      <c r="AX25" s="14">
        <f t="shared" si="11"/>
        <v>303</v>
      </c>
      <c r="AY25" s="14">
        <f t="shared" si="11"/>
        <v>303</v>
      </c>
      <c r="AZ25" s="14">
        <f t="shared" si="11"/>
        <v>303</v>
      </c>
      <c r="BA25" s="14">
        <f t="shared" si="11"/>
        <v>303</v>
      </c>
      <c r="BB25" s="14"/>
      <c r="BC25" s="14"/>
      <c r="BD25" s="14">
        <f ca="1">COUNTIF(OFFSET(BD$32,0,0,COUNT(時間希望調査!$A:$A)),$B25)</f>
        <v>9</v>
      </c>
      <c r="BE25" s="14">
        <f ca="1">COUNTIF(OFFSET(BE$32,0,0,COUNT(時間希望調査!$A:$A)),$B25)</f>
        <v>9</v>
      </c>
      <c r="BF25" s="14">
        <f ca="1">COUNTIF(OFFSET(BF$32,0,0,COUNT(時間希望調査!$A:$A)),$B25)</f>
        <v>10</v>
      </c>
      <c r="BG25" s="14">
        <f ca="1">COUNTIF(OFFSET(BG$32,0,0,COUNT(時間希望調査!$A:$A)),$B25)</f>
        <v>10</v>
      </c>
      <c r="BH25" s="14">
        <f ca="1">COUNTIF(OFFSET(BH$32,0,0,COUNT(時間希望調査!$A:$A)),$B25)</f>
        <v>10</v>
      </c>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row>
    <row r="26" spans="1:91" hidden="1">
      <c r="B26" s="14" t="str">
        <f>役職一覧!B26&amp;""</f>
        <v/>
      </c>
      <c r="C26" s="14">
        <f>役職一覧!E26</f>
        <v>0</v>
      </c>
      <c r="D26" s="14">
        <f t="shared" si="15"/>
        <v>302</v>
      </c>
      <c r="E26" s="14">
        <f t="shared" si="15"/>
        <v>303</v>
      </c>
      <c r="F26" s="14">
        <f t="shared" si="15"/>
        <v>303</v>
      </c>
      <c r="G26" s="14">
        <f t="shared" si="15"/>
        <v>302</v>
      </c>
      <c r="H26" s="14">
        <f t="shared" si="15"/>
        <v>303</v>
      </c>
      <c r="I26" s="14">
        <f t="shared" si="15"/>
        <v>303</v>
      </c>
      <c r="J26" s="14">
        <f t="shared" si="15"/>
        <v>303</v>
      </c>
      <c r="K26" s="14">
        <f t="shared" si="15"/>
        <v>303</v>
      </c>
      <c r="L26" s="14">
        <f t="shared" si="15"/>
        <v>303</v>
      </c>
      <c r="M26" s="14">
        <f t="shared" si="15"/>
        <v>303</v>
      </c>
      <c r="N26" s="14">
        <f t="shared" si="15"/>
        <v>303</v>
      </c>
      <c r="O26" s="14">
        <f t="shared" si="15"/>
        <v>303</v>
      </c>
      <c r="P26" s="14">
        <f t="shared" si="15"/>
        <v>303</v>
      </c>
      <c r="Q26" s="14">
        <f t="shared" si="15"/>
        <v>303</v>
      </c>
      <c r="R26" s="14">
        <f t="shared" si="15"/>
        <v>303</v>
      </c>
      <c r="S26" s="14">
        <f t="shared" si="15"/>
        <v>303</v>
      </c>
      <c r="T26" s="14">
        <f t="shared" si="13"/>
        <v>303</v>
      </c>
      <c r="U26" s="14">
        <f t="shared" si="13"/>
        <v>303</v>
      </c>
      <c r="V26" s="14">
        <f t="shared" si="13"/>
        <v>303</v>
      </c>
      <c r="W26" s="14">
        <f t="shared" si="13"/>
        <v>303</v>
      </c>
      <c r="X26" s="14">
        <f t="shared" si="13"/>
        <v>303</v>
      </c>
      <c r="Y26" s="14">
        <f t="shared" si="13"/>
        <v>303</v>
      </c>
      <c r="Z26" s="14">
        <f t="shared" si="13"/>
        <v>303</v>
      </c>
      <c r="AA26" s="14">
        <f t="shared" si="13"/>
        <v>303</v>
      </c>
      <c r="AB26" s="14">
        <f t="shared" si="13"/>
        <v>303</v>
      </c>
      <c r="AC26" s="14">
        <f t="shared" si="13"/>
        <v>303</v>
      </c>
      <c r="AD26" s="14">
        <f t="shared" si="6"/>
        <v>303</v>
      </c>
      <c r="AE26" s="14">
        <f t="shared" si="14"/>
        <v>303</v>
      </c>
      <c r="AF26" s="14">
        <f t="shared" si="14"/>
        <v>303</v>
      </c>
      <c r="AG26" s="14">
        <f t="shared" si="14"/>
        <v>303</v>
      </c>
      <c r="AH26" s="14">
        <f t="shared" si="14"/>
        <v>303</v>
      </c>
      <c r="AI26" s="14">
        <f t="shared" si="14"/>
        <v>303</v>
      </c>
      <c r="AJ26" s="14">
        <f t="shared" si="14"/>
        <v>303</v>
      </c>
      <c r="AK26" s="14">
        <f t="shared" si="14"/>
        <v>303</v>
      </c>
      <c r="AL26" s="14">
        <f t="shared" si="14"/>
        <v>303</v>
      </c>
      <c r="AM26" s="14">
        <f t="shared" si="14"/>
        <v>303</v>
      </c>
      <c r="AN26" s="14">
        <f t="shared" si="14"/>
        <v>303</v>
      </c>
      <c r="AO26" s="14">
        <f t="shared" si="14"/>
        <v>303</v>
      </c>
      <c r="AP26" s="14">
        <f t="shared" si="14"/>
        <v>303</v>
      </c>
      <c r="AQ26" s="14">
        <f t="shared" si="14"/>
        <v>303</v>
      </c>
      <c r="AR26" s="14">
        <f t="shared" si="14"/>
        <v>303</v>
      </c>
      <c r="AS26" s="14">
        <f t="shared" si="14"/>
        <v>303</v>
      </c>
      <c r="AT26" s="14">
        <f t="shared" si="14"/>
        <v>303</v>
      </c>
      <c r="AU26" s="14">
        <f t="shared" si="11"/>
        <v>303</v>
      </c>
      <c r="AV26" s="14">
        <f t="shared" si="11"/>
        <v>303</v>
      </c>
      <c r="AW26" s="14">
        <f t="shared" si="11"/>
        <v>303</v>
      </c>
      <c r="AX26" s="14">
        <f t="shared" si="11"/>
        <v>303</v>
      </c>
      <c r="AY26" s="14">
        <f t="shared" si="11"/>
        <v>303</v>
      </c>
      <c r="AZ26" s="14">
        <f t="shared" si="11"/>
        <v>303</v>
      </c>
      <c r="BA26" s="14">
        <f t="shared" si="11"/>
        <v>303</v>
      </c>
      <c r="BB26" s="14"/>
      <c r="BC26" s="14"/>
      <c r="BD26" s="14">
        <f ca="1">COUNTIF(OFFSET(BD$32,0,0,COUNT(時間希望調査!$A:$A)),$B26)</f>
        <v>9</v>
      </c>
      <c r="BE26" s="14">
        <f ca="1">COUNTIF(OFFSET(BE$32,0,0,COUNT(時間希望調査!$A:$A)),$B26)</f>
        <v>9</v>
      </c>
      <c r="BF26" s="14">
        <f ca="1">COUNTIF(OFFSET(BF$32,0,0,COUNT(時間希望調査!$A:$A)),$B26)</f>
        <v>10</v>
      </c>
      <c r="BG26" s="14">
        <f ca="1">COUNTIF(OFFSET(BG$32,0,0,COUNT(時間希望調査!$A:$A)),$B26)</f>
        <v>10</v>
      </c>
      <c r="BH26" s="14">
        <f ca="1">COUNTIF(OFFSET(BH$32,0,0,COUNT(時間希望調査!$A:$A)),$B26)</f>
        <v>10</v>
      </c>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row>
    <row r="27" spans="1:91" hidden="1">
      <c r="B27" s="14" t="str">
        <f>役職一覧!B27&amp;""</f>
        <v/>
      </c>
      <c r="C27" s="14">
        <f>役職一覧!E27</f>
        <v>0</v>
      </c>
      <c r="D27" s="14">
        <f t="shared" si="15"/>
        <v>302</v>
      </c>
      <c r="E27" s="14">
        <f t="shared" si="15"/>
        <v>303</v>
      </c>
      <c r="F27" s="14">
        <f t="shared" si="15"/>
        <v>303</v>
      </c>
      <c r="G27" s="14">
        <f t="shared" si="15"/>
        <v>302</v>
      </c>
      <c r="H27" s="14">
        <f t="shared" si="15"/>
        <v>303</v>
      </c>
      <c r="I27" s="14">
        <f t="shared" si="15"/>
        <v>303</v>
      </c>
      <c r="J27" s="14">
        <f t="shared" si="15"/>
        <v>303</v>
      </c>
      <c r="K27" s="14">
        <f t="shared" si="15"/>
        <v>303</v>
      </c>
      <c r="L27" s="14">
        <f t="shared" si="15"/>
        <v>303</v>
      </c>
      <c r="M27" s="14">
        <f t="shared" si="15"/>
        <v>303</v>
      </c>
      <c r="N27" s="14">
        <f t="shared" si="15"/>
        <v>303</v>
      </c>
      <c r="O27" s="14">
        <f t="shared" si="15"/>
        <v>303</v>
      </c>
      <c r="P27" s="14">
        <f t="shared" si="15"/>
        <v>303</v>
      </c>
      <c r="Q27" s="14">
        <f t="shared" si="15"/>
        <v>303</v>
      </c>
      <c r="R27" s="14">
        <f t="shared" si="15"/>
        <v>303</v>
      </c>
      <c r="S27" s="14">
        <f t="shared" si="15"/>
        <v>303</v>
      </c>
      <c r="T27" s="14">
        <f t="shared" si="13"/>
        <v>303</v>
      </c>
      <c r="U27" s="14">
        <f t="shared" si="13"/>
        <v>303</v>
      </c>
      <c r="V27" s="14">
        <f t="shared" si="13"/>
        <v>303</v>
      </c>
      <c r="W27" s="14">
        <f t="shared" si="13"/>
        <v>303</v>
      </c>
      <c r="X27" s="14">
        <f t="shared" si="13"/>
        <v>303</v>
      </c>
      <c r="Y27" s="14">
        <f t="shared" si="13"/>
        <v>303</v>
      </c>
      <c r="Z27" s="14">
        <f t="shared" si="13"/>
        <v>303</v>
      </c>
      <c r="AA27" s="14">
        <f t="shared" si="13"/>
        <v>303</v>
      </c>
      <c r="AB27" s="14">
        <f t="shared" si="13"/>
        <v>303</v>
      </c>
      <c r="AC27" s="14">
        <f t="shared" si="13"/>
        <v>303</v>
      </c>
      <c r="AD27" s="14">
        <f t="shared" si="6"/>
        <v>303</v>
      </c>
      <c r="AE27" s="14">
        <f t="shared" si="14"/>
        <v>303</v>
      </c>
      <c r="AF27" s="14">
        <f t="shared" si="14"/>
        <v>303</v>
      </c>
      <c r="AG27" s="14">
        <f t="shared" si="14"/>
        <v>303</v>
      </c>
      <c r="AH27" s="14">
        <f t="shared" si="14"/>
        <v>303</v>
      </c>
      <c r="AI27" s="14">
        <f t="shared" si="14"/>
        <v>303</v>
      </c>
      <c r="AJ27" s="14">
        <f t="shared" si="14"/>
        <v>303</v>
      </c>
      <c r="AK27" s="14">
        <f t="shared" si="14"/>
        <v>303</v>
      </c>
      <c r="AL27" s="14">
        <f t="shared" si="14"/>
        <v>303</v>
      </c>
      <c r="AM27" s="14">
        <f t="shared" si="14"/>
        <v>303</v>
      </c>
      <c r="AN27" s="14">
        <f t="shared" si="14"/>
        <v>303</v>
      </c>
      <c r="AO27" s="14">
        <f t="shared" si="14"/>
        <v>303</v>
      </c>
      <c r="AP27" s="14">
        <f t="shared" si="14"/>
        <v>303</v>
      </c>
      <c r="AQ27" s="14">
        <f t="shared" si="14"/>
        <v>303</v>
      </c>
      <c r="AR27" s="14">
        <f t="shared" si="14"/>
        <v>303</v>
      </c>
      <c r="AS27" s="14">
        <f t="shared" si="14"/>
        <v>303</v>
      </c>
      <c r="AT27" s="14">
        <f t="shared" si="14"/>
        <v>303</v>
      </c>
      <c r="AU27" s="14">
        <f t="shared" si="11"/>
        <v>303</v>
      </c>
      <c r="AV27" s="14">
        <f t="shared" si="11"/>
        <v>303</v>
      </c>
      <c r="AW27" s="14">
        <f t="shared" si="11"/>
        <v>303</v>
      </c>
      <c r="AX27" s="14">
        <f t="shared" si="11"/>
        <v>303</v>
      </c>
      <c r="AY27" s="14">
        <f t="shared" si="11"/>
        <v>303</v>
      </c>
      <c r="AZ27" s="14">
        <f t="shared" si="11"/>
        <v>303</v>
      </c>
      <c r="BA27" s="14">
        <f t="shared" si="11"/>
        <v>303</v>
      </c>
      <c r="BB27" s="14"/>
      <c r="BC27" s="14"/>
      <c r="BD27" s="14">
        <f ca="1">COUNTIF(OFFSET(BD$32,0,0,COUNT(時間希望調査!$A:$A)),$B27)</f>
        <v>9</v>
      </c>
      <c r="BE27" s="14">
        <f ca="1">COUNTIF(OFFSET(BE$32,0,0,COUNT(時間希望調査!$A:$A)),$B27)</f>
        <v>9</v>
      </c>
      <c r="BF27" s="14">
        <f ca="1">COUNTIF(OFFSET(BF$32,0,0,COUNT(時間希望調査!$A:$A)),$B27)</f>
        <v>10</v>
      </c>
      <c r="BG27" s="14">
        <f ca="1">COUNTIF(OFFSET(BG$32,0,0,COUNT(時間希望調査!$A:$A)),$B27)</f>
        <v>10</v>
      </c>
      <c r="BH27" s="14">
        <f ca="1">COUNTIF(OFFSET(BH$32,0,0,COUNT(時間希望調査!$A:$A)),$B27)</f>
        <v>10</v>
      </c>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row>
    <row r="28" spans="1:91" hidden="1">
      <c r="B28" s="14" t="str">
        <f>役職一覧!B28&amp;""</f>
        <v/>
      </c>
      <c r="C28" s="14">
        <f>役職一覧!E28</f>
        <v>0</v>
      </c>
      <c r="D28" s="14">
        <f t="shared" si="15"/>
        <v>302</v>
      </c>
      <c r="E28" s="14">
        <f t="shared" si="15"/>
        <v>303</v>
      </c>
      <c r="F28" s="14">
        <f t="shared" si="15"/>
        <v>303</v>
      </c>
      <c r="G28" s="14">
        <f t="shared" si="15"/>
        <v>302</v>
      </c>
      <c r="H28" s="14">
        <f t="shared" si="15"/>
        <v>303</v>
      </c>
      <c r="I28" s="14">
        <f t="shared" si="15"/>
        <v>303</v>
      </c>
      <c r="J28" s="14">
        <f t="shared" si="15"/>
        <v>303</v>
      </c>
      <c r="K28" s="14">
        <f t="shared" si="15"/>
        <v>303</v>
      </c>
      <c r="L28" s="14">
        <f t="shared" si="15"/>
        <v>303</v>
      </c>
      <c r="M28" s="14">
        <f t="shared" si="15"/>
        <v>303</v>
      </c>
      <c r="N28" s="14">
        <f t="shared" si="15"/>
        <v>303</v>
      </c>
      <c r="O28" s="14">
        <f t="shared" si="15"/>
        <v>303</v>
      </c>
      <c r="P28" s="14">
        <f t="shared" si="15"/>
        <v>303</v>
      </c>
      <c r="Q28" s="14">
        <f t="shared" si="15"/>
        <v>303</v>
      </c>
      <c r="R28" s="14">
        <f t="shared" si="15"/>
        <v>303</v>
      </c>
      <c r="S28" s="14">
        <f t="shared" si="15"/>
        <v>303</v>
      </c>
      <c r="T28" s="14">
        <f t="shared" si="13"/>
        <v>303</v>
      </c>
      <c r="U28" s="14">
        <f t="shared" si="13"/>
        <v>303</v>
      </c>
      <c r="V28" s="14">
        <f t="shared" si="13"/>
        <v>303</v>
      </c>
      <c r="W28" s="14">
        <f t="shared" si="13"/>
        <v>303</v>
      </c>
      <c r="X28" s="14">
        <f t="shared" si="13"/>
        <v>303</v>
      </c>
      <c r="Y28" s="14">
        <f t="shared" si="13"/>
        <v>303</v>
      </c>
      <c r="Z28" s="14">
        <f t="shared" si="13"/>
        <v>303</v>
      </c>
      <c r="AA28" s="14">
        <f t="shared" si="13"/>
        <v>303</v>
      </c>
      <c r="AB28" s="14">
        <f t="shared" si="13"/>
        <v>303</v>
      </c>
      <c r="AC28" s="14">
        <f t="shared" si="13"/>
        <v>303</v>
      </c>
      <c r="AD28" s="14">
        <f t="shared" si="6"/>
        <v>303</v>
      </c>
      <c r="AE28" s="14">
        <f t="shared" si="14"/>
        <v>303</v>
      </c>
      <c r="AF28" s="14">
        <f t="shared" si="14"/>
        <v>303</v>
      </c>
      <c r="AG28" s="14">
        <f t="shared" si="14"/>
        <v>303</v>
      </c>
      <c r="AH28" s="14">
        <f t="shared" si="14"/>
        <v>303</v>
      </c>
      <c r="AI28" s="14">
        <f t="shared" si="14"/>
        <v>303</v>
      </c>
      <c r="AJ28" s="14">
        <f t="shared" si="14"/>
        <v>303</v>
      </c>
      <c r="AK28" s="14">
        <f t="shared" si="14"/>
        <v>303</v>
      </c>
      <c r="AL28" s="14">
        <f t="shared" si="14"/>
        <v>303</v>
      </c>
      <c r="AM28" s="14">
        <f t="shared" si="14"/>
        <v>303</v>
      </c>
      <c r="AN28" s="14">
        <f t="shared" si="14"/>
        <v>303</v>
      </c>
      <c r="AO28" s="14">
        <f t="shared" si="14"/>
        <v>303</v>
      </c>
      <c r="AP28" s="14">
        <f t="shared" si="14"/>
        <v>303</v>
      </c>
      <c r="AQ28" s="14">
        <f t="shared" si="14"/>
        <v>303</v>
      </c>
      <c r="AR28" s="14">
        <f t="shared" si="14"/>
        <v>303</v>
      </c>
      <c r="AS28" s="14">
        <f t="shared" si="14"/>
        <v>303</v>
      </c>
      <c r="AT28" s="14">
        <f t="shared" si="14"/>
        <v>303</v>
      </c>
      <c r="AU28" s="14">
        <f t="shared" si="11"/>
        <v>303</v>
      </c>
      <c r="AV28" s="14">
        <f t="shared" si="11"/>
        <v>303</v>
      </c>
      <c r="AW28" s="14">
        <f t="shared" si="11"/>
        <v>303</v>
      </c>
      <c r="AX28" s="14">
        <f t="shared" si="11"/>
        <v>303</v>
      </c>
      <c r="AY28" s="14">
        <f t="shared" si="11"/>
        <v>303</v>
      </c>
      <c r="AZ28" s="14">
        <f t="shared" si="11"/>
        <v>303</v>
      </c>
      <c r="BA28" s="14">
        <f t="shared" si="11"/>
        <v>303</v>
      </c>
      <c r="BB28" s="14"/>
      <c r="BC28" s="14"/>
      <c r="BD28" s="14">
        <f ca="1">COUNTIF(OFFSET(BD$32,0,0,COUNT(時間希望調査!$A:$A)),$B28)</f>
        <v>9</v>
      </c>
      <c r="BE28" s="14">
        <f ca="1">COUNTIF(OFFSET(BE$32,0,0,COUNT(時間希望調査!$A:$A)),$B28)</f>
        <v>9</v>
      </c>
      <c r="BF28" s="14">
        <f ca="1">COUNTIF(OFFSET(BF$32,0,0,COUNT(時間希望調査!$A:$A)),$B28)</f>
        <v>10</v>
      </c>
      <c r="BG28" s="14">
        <f ca="1">COUNTIF(OFFSET(BG$32,0,0,COUNT(時間希望調査!$A:$A)),$B28)</f>
        <v>10</v>
      </c>
      <c r="BH28" s="14">
        <f ca="1">COUNTIF(OFFSET(BH$32,0,0,COUNT(時間希望調査!$A:$A)),$B28)</f>
        <v>10</v>
      </c>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row>
    <row r="29" spans="1:91" hidden="1">
      <c r="B29" s="14" t="str">
        <f>役職一覧!B29&amp;""</f>
        <v/>
      </c>
      <c r="C29" s="14">
        <f>役職一覧!E29</f>
        <v>0</v>
      </c>
      <c r="D29" s="14">
        <f t="shared" si="15"/>
        <v>302</v>
      </c>
      <c r="E29" s="14">
        <f t="shared" si="15"/>
        <v>303</v>
      </c>
      <c r="F29" s="14">
        <f t="shared" si="15"/>
        <v>303</v>
      </c>
      <c r="G29" s="14">
        <f t="shared" si="15"/>
        <v>302</v>
      </c>
      <c r="H29" s="14">
        <f t="shared" si="15"/>
        <v>303</v>
      </c>
      <c r="I29" s="14">
        <f t="shared" si="15"/>
        <v>303</v>
      </c>
      <c r="J29" s="14">
        <f t="shared" si="15"/>
        <v>303</v>
      </c>
      <c r="K29" s="14">
        <f t="shared" si="15"/>
        <v>303</v>
      </c>
      <c r="L29" s="14">
        <f t="shared" si="15"/>
        <v>303</v>
      </c>
      <c r="M29" s="14">
        <f t="shared" si="15"/>
        <v>303</v>
      </c>
      <c r="N29" s="14">
        <f t="shared" si="15"/>
        <v>303</v>
      </c>
      <c r="O29" s="14">
        <f t="shared" si="15"/>
        <v>303</v>
      </c>
      <c r="P29" s="14">
        <f t="shared" si="15"/>
        <v>303</v>
      </c>
      <c r="Q29" s="14">
        <f t="shared" si="15"/>
        <v>303</v>
      </c>
      <c r="R29" s="14">
        <f t="shared" si="15"/>
        <v>303</v>
      </c>
      <c r="S29" s="14">
        <f t="shared" si="15"/>
        <v>303</v>
      </c>
      <c r="T29" s="14">
        <f t="shared" si="13"/>
        <v>303</v>
      </c>
      <c r="U29" s="14">
        <f t="shared" si="13"/>
        <v>303</v>
      </c>
      <c r="V29" s="14">
        <f t="shared" si="13"/>
        <v>303</v>
      </c>
      <c r="W29" s="14">
        <f t="shared" si="13"/>
        <v>303</v>
      </c>
      <c r="X29" s="14">
        <f t="shared" si="13"/>
        <v>303</v>
      </c>
      <c r="Y29" s="14">
        <f t="shared" si="13"/>
        <v>303</v>
      </c>
      <c r="Z29" s="14">
        <f t="shared" si="13"/>
        <v>303</v>
      </c>
      <c r="AA29" s="14">
        <f t="shared" si="13"/>
        <v>303</v>
      </c>
      <c r="AB29" s="14">
        <f t="shared" si="13"/>
        <v>303</v>
      </c>
      <c r="AC29" s="14">
        <f t="shared" si="13"/>
        <v>303</v>
      </c>
      <c r="AD29" s="14">
        <f t="shared" si="6"/>
        <v>303</v>
      </c>
      <c r="AE29" s="14">
        <f t="shared" si="14"/>
        <v>303</v>
      </c>
      <c r="AF29" s="14">
        <f t="shared" si="14"/>
        <v>303</v>
      </c>
      <c r="AG29" s="14">
        <f t="shared" si="14"/>
        <v>303</v>
      </c>
      <c r="AH29" s="14">
        <f t="shared" si="14"/>
        <v>303</v>
      </c>
      <c r="AI29" s="14">
        <f t="shared" si="14"/>
        <v>303</v>
      </c>
      <c r="AJ29" s="14">
        <f t="shared" si="14"/>
        <v>303</v>
      </c>
      <c r="AK29" s="14">
        <f t="shared" si="14"/>
        <v>303</v>
      </c>
      <c r="AL29" s="14">
        <f t="shared" si="14"/>
        <v>303</v>
      </c>
      <c r="AM29" s="14">
        <f t="shared" si="14"/>
        <v>303</v>
      </c>
      <c r="AN29" s="14">
        <f t="shared" si="14"/>
        <v>303</v>
      </c>
      <c r="AO29" s="14">
        <f t="shared" si="14"/>
        <v>303</v>
      </c>
      <c r="AP29" s="14">
        <f t="shared" si="14"/>
        <v>303</v>
      </c>
      <c r="AQ29" s="14">
        <f t="shared" si="14"/>
        <v>303</v>
      </c>
      <c r="AR29" s="14">
        <f t="shared" si="14"/>
        <v>303</v>
      </c>
      <c r="AS29" s="14">
        <f t="shared" si="14"/>
        <v>303</v>
      </c>
      <c r="AT29" s="14">
        <f t="shared" si="14"/>
        <v>303</v>
      </c>
      <c r="AU29" s="14">
        <f t="shared" si="11"/>
        <v>303</v>
      </c>
      <c r="AV29" s="14">
        <f t="shared" si="11"/>
        <v>303</v>
      </c>
      <c r="AW29" s="14">
        <f t="shared" si="11"/>
        <v>303</v>
      </c>
      <c r="AX29" s="14">
        <f t="shared" si="11"/>
        <v>303</v>
      </c>
      <c r="AY29" s="14">
        <f t="shared" si="11"/>
        <v>303</v>
      </c>
      <c r="AZ29" s="14">
        <f t="shared" si="11"/>
        <v>303</v>
      </c>
      <c r="BA29" s="14">
        <f t="shared" si="11"/>
        <v>303</v>
      </c>
      <c r="BB29" s="14"/>
      <c r="BC29" s="14"/>
      <c r="BD29" s="14">
        <f ca="1">COUNTIF(OFFSET(BD$32,0,0,COUNT(時間希望調査!$A:$A)),$B29)</f>
        <v>9</v>
      </c>
      <c r="BE29" s="14">
        <f ca="1">COUNTIF(OFFSET(BE$32,0,0,COUNT(時間希望調査!$A:$A)),$B29)</f>
        <v>9</v>
      </c>
      <c r="BF29" s="14">
        <f ca="1">COUNTIF(OFFSET(BF$32,0,0,COUNT(時間希望調査!$A:$A)),$B29)</f>
        <v>10</v>
      </c>
      <c r="BG29" s="14">
        <f ca="1">COUNTIF(OFFSET(BG$32,0,0,COUNT(時間希望調査!$A:$A)),$B29)</f>
        <v>10</v>
      </c>
      <c r="BH29" s="14">
        <f ca="1">COUNTIF(OFFSET(BH$32,0,0,COUNT(時間希望調査!$A:$A)),$B29)</f>
        <v>10</v>
      </c>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row>
    <row r="30" spans="1:91" hidden="1">
      <c r="B30" s="14" t="str">
        <f>役職一覧!B30&amp;""</f>
        <v/>
      </c>
      <c r="C30" s="14">
        <f>役職一覧!E30</f>
        <v>0</v>
      </c>
      <c r="D30" s="14">
        <f t="shared" si="15"/>
        <v>302</v>
      </c>
      <c r="E30" s="14">
        <f t="shared" si="15"/>
        <v>303</v>
      </c>
      <c r="F30" s="14">
        <f t="shared" si="15"/>
        <v>303</v>
      </c>
      <c r="G30" s="14">
        <f t="shared" si="15"/>
        <v>302</v>
      </c>
      <c r="H30" s="14">
        <f t="shared" si="15"/>
        <v>303</v>
      </c>
      <c r="I30" s="14">
        <f t="shared" si="15"/>
        <v>303</v>
      </c>
      <c r="J30" s="14">
        <f t="shared" si="15"/>
        <v>303</v>
      </c>
      <c r="K30" s="14">
        <f t="shared" si="15"/>
        <v>303</v>
      </c>
      <c r="L30" s="14">
        <f t="shared" si="15"/>
        <v>303</v>
      </c>
      <c r="M30" s="14">
        <f t="shared" si="15"/>
        <v>303</v>
      </c>
      <c r="N30" s="14">
        <f t="shared" si="15"/>
        <v>303</v>
      </c>
      <c r="O30" s="14">
        <f t="shared" si="15"/>
        <v>303</v>
      </c>
      <c r="P30" s="14">
        <f t="shared" si="15"/>
        <v>303</v>
      </c>
      <c r="Q30" s="14">
        <f t="shared" si="15"/>
        <v>303</v>
      </c>
      <c r="R30" s="14">
        <f t="shared" si="15"/>
        <v>303</v>
      </c>
      <c r="S30" s="14">
        <f t="shared" si="15"/>
        <v>303</v>
      </c>
      <c r="T30" s="14">
        <f t="shared" si="13"/>
        <v>303</v>
      </c>
      <c r="U30" s="14">
        <f t="shared" si="13"/>
        <v>303</v>
      </c>
      <c r="V30" s="14">
        <f t="shared" si="13"/>
        <v>303</v>
      </c>
      <c r="W30" s="14">
        <f t="shared" si="13"/>
        <v>303</v>
      </c>
      <c r="X30" s="14">
        <f t="shared" si="13"/>
        <v>303</v>
      </c>
      <c r="Y30" s="14">
        <f t="shared" si="13"/>
        <v>303</v>
      </c>
      <c r="Z30" s="14">
        <f t="shared" si="13"/>
        <v>303</v>
      </c>
      <c r="AA30" s="14">
        <f t="shared" si="13"/>
        <v>303</v>
      </c>
      <c r="AB30" s="14">
        <f t="shared" si="13"/>
        <v>303</v>
      </c>
      <c r="AC30" s="14">
        <f t="shared" si="13"/>
        <v>303</v>
      </c>
      <c r="AD30" s="14">
        <f t="shared" si="6"/>
        <v>303</v>
      </c>
      <c r="AE30" s="14">
        <f t="shared" si="14"/>
        <v>303</v>
      </c>
      <c r="AF30" s="14">
        <f t="shared" si="14"/>
        <v>303</v>
      </c>
      <c r="AG30" s="14">
        <f t="shared" si="14"/>
        <v>303</v>
      </c>
      <c r="AH30" s="14">
        <f t="shared" si="14"/>
        <v>303</v>
      </c>
      <c r="AI30" s="14">
        <f t="shared" si="14"/>
        <v>303</v>
      </c>
      <c r="AJ30" s="14">
        <f t="shared" si="14"/>
        <v>303</v>
      </c>
      <c r="AK30" s="14">
        <f t="shared" si="14"/>
        <v>303</v>
      </c>
      <c r="AL30" s="14">
        <f t="shared" si="14"/>
        <v>303</v>
      </c>
      <c r="AM30" s="14">
        <f t="shared" si="14"/>
        <v>303</v>
      </c>
      <c r="AN30" s="14">
        <f t="shared" si="14"/>
        <v>303</v>
      </c>
      <c r="AO30" s="14">
        <f t="shared" si="14"/>
        <v>303</v>
      </c>
      <c r="AP30" s="14">
        <f t="shared" si="14"/>
        <v>303</v>
      </c>
      <c r="AQ30" s="14">
        <f t="shared" si="14"/>
        <v>303</v>
      </c>
      <c r="AR30" s="14">
        <f t="shared" si="14"/>
        <v>303</v>
      </c>
      <c r="AS30" s="14">
        <f t="shared" si="14"/>
        <v>303</v>
      </c>
      <c r="AT30" s="14">
        <f t="shared" si="14"/>
        <v>303</v>
      </c>
      <c r="AU30" s="14">
        <f t="shared" si="11"/>
        <v>303</v>
      </c>
      <c r="AV30" s="14">
        <f t="shared" si="11"/>
        <v>303</v>
      </c>
      <c r="AW30" s="14">
        <f t="shared" si="11"/>
        <v>303</v>
      </c>
      <c r="AX30" s="14">
        <f t="shared" si="11"/>
        <v>303</v>
      </c>
      <c r="AY30" s="14">
        <f t="shared" si="11"/>
        <v>303</v>
      </c>
      <c r="AZ30" s="14">
        <f t="shared" si="11"/>
        <v>303</v>
      </c>
      <c r="BA30" s="14">
        <f t="shared" si="11"/>
        <v>303</v>
      </c>
      <c r="BB30" s="14"/>
      <c r="BC30" s="14"/>
      <c r="BD30" s="14">
        <f ca="1">COUNTIF(OFFSET(BD$32,0,0,COUNT(時間希望調査!$A:$A)),$B30)</f>
        <v>9</v>
      </c>
      <c r="BE30" s="14">
        <f ca="1">COUNTIF(OFFSET(BE$32,0,0,COUNT(時間希望調査!$A:$A)),$B30)</f>
        <v>9</v>
      </c>
      <c r="BF30" s="14">
        <f ca="1">COUNTIF(OFFSET(BF$32,0,0,COUNT(時間希望調査!$A:$A)),$B30)</f>
        <v>10</v>
      </c>
      <c r="BG30" s="14">
        <f ca="1">COUNTIF(OFFSET(BG$32,0,0,COUNT(時間希望調査!$A:$A)),$B30)</f>
        <v>10</v>
      </c>
      <c r="BH30" s="14">
        <f ca="1">COUNTIF(OFFSET(BH$32,0,0,COUNT(時間希望調査!$A:$A)),$B30)</f>
        <v>10</v>
      </c>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row>
    <row r="31" spans="1:91" hidden="1">
      <c r="B31" s="14" t="str">
        <f>役職一覧!B31&amp;""</f>
        <v/>
      </c>
      <c r="C31" s="14">
        <f>役職一覧!E31</f>
        <v>0</v>
      </c>
      <c r="D31" s="14">
        <f t="shared" si="15"/>
        <v>302</v>
      </c>
      <c r="E31" s="14">
        <f t="shared" si="15"/>
        <v>303</v>
      </c>
      <c r="F31" s="14">
        <f t="shared" si="15"/>
        <v>303</v>
      </c>
      <c r="G31" s="14">
        <f t="shared" si="15"/>
        <v>302</v>
      </c>
      <c r="H31" s="14">
        <f t="shared" si="15"/>
        <v>303</v>
      </c>
      <c r="I31" s="14">
        <f t="shared" si="15"/>
        <v>303</v>
      </c>
      <c r="J31" s="14">
        <f t="shared" si="15"/>
        <v>303</v>
      </c>
      <c r="K31" s="14">
        <f t="shared" si="15"/>
        <v>303</v>
      </c>
      <c r="L31" s="14">
        <f t="shared" si="15"/>
        <v>303</v>
      </c>
      <c r="M31" s="14">
        <f t="shared" si="15"/>
        <v>303</v>
      </c>
      <c r="N31" s="14">
        <f t="shared" si="15"/>
        <v>303</v>
      </c>
      <c r="O31" s="14">
        <f t="shared" si="15"/>
        <v>303</v>
      </c>
      <c r="P31" s="14">
        <f t="shared" si="15"/>
        <v>303</v>
      </c>
      <c r="Q31" s="14">
        <f t="shared" si="15"/>
        <v>303</v>
      </c>
      <c r="R31" s="14">
        <f t="shared" si="15"/>
        <v>303</v>
      </c>
      <c r="S31" s="14">
        <f t="shared" si="15"/>
        <v>303</v>
      </c>
      <c r="T31" s="14">
        <f t="shared" si="13"/>
        <v>303</v>
      </c>
      <c r="U31" s="14">
        <f t="shared" si="13"/>
        <v>303</v>
      </c>
      <c r="V31" s="14">
        <f t="shared" si="13"/>
        <v>303</v>
      </c>
      <c r="W31" s="14">
        <f t="shared" si="13"/>
        <v>303</v>
      </c>
      <c r="X31" s="14">
        <f t="shared" si="13"/>
        <v>303</v>
      </c>
      <c r="Y31" s="14">
        <f t="shared" si="13"/>
        <v>303</v>
      </c>
      <c r="Z31" s="14">
        <f t="shared" si="13"/>
        <v>303</v>
      </c>
      <c r="AA31" s="14">
        <f t="shared" si="13"/>
        <v>303</v>
      </c>
      <c r="AB31" s="14">
        <f t="shared" si="13"/>
        <v>303</v>
      </c>
      <c r="AC31" s="14">
        <f t="shared" si="13"/>
        <v>303</v>
      </c>
      <c r="AD31" s="14">
        <f t="shared" si="6"/>
        <v>303</v>
      </c>
      <c r="AE31" s="14">
        <f t="shared" si="14"/>
        <v>303</v>
      </c>
      <c r="AF31" s="14">
        <f t="shared" si="14"/>
        <v>303</v>
      </c>
      <c r="AG31" s="14">
        <f t="shared" si="14"/>
        <v>303</v>
      </c>
      <c r="AH31" s="14">
        <f t="shared" si="14"/>
        <v>303</v>
      </c>
      <c r="AI31" s="14">
        <f t="shared" si="14"/>
        <v>303</v>
      </c>
      <c r="AJ31" s="14">
        <f t="shared" si="14"/>
        <v>303</v>
      </c>
      <c r="AK31" s="14">
        <f t="shared" si="14"/>
        <v>303</v>
      </c>
      <c r="AL31" s="14">
        <f t="shared" si="14"/>
        <v>303</v>
      </c>
      <c r="AM31" s="14">
        <f t="shared" si="14"/>
        <v>303</v>
      </c>
      <c r="AN31" s="14">
        <f t="shared" si="14"/>
        <v>303</v>
      </c>
      <c r="AO31" s="14">
        <f t="shared" si="14"/>
        <v>303</v>
      </c>
      <c r="AP31" s="14">
        <f t="shared" si="14"/>
        <v>303</v>
      </c>
      <c r="AQ31" s="14">
        <f t="shared" si="14"/>
        <v>303</v>
      </c>
      <c r="AR31" s="14">
        <f t="shared" si="14"/>
        <v>303</v>
      </c>
      <c r="AS31" s="14">
        <f t="shared" si="14"/>
        <v>303</v>
      </c>
      <c r="AT31" s="14">
        <f t="shared" si="14"/>
        <v>303</v>
      </c>
      <c r="AU31" s="14">
        <f t="shared" si="11"/>
        <v>303</v>
      </c>
      <c r="AV31" s="14">
        <f t="shared" si="11"/>
        <v>303</v>
      </c>
      <c r="AW31" s="14">
        <f t="shared" si="11"/>
        <v>303</v>
      </c>
      <c r="AX31" s="14">
        <f t="shared" si="11"/>
        <v>303</v>
      </c>
      <c r="AY31" s="14">
        <f t="shared" si="11"/>
        <v>303</v>
      </c>
      <c r="AZ31" s="14">
        <f t="shared" si="11"/>
        <v>303</v>
      </c>
      <c r="BA31" s="14">
        <f t="shared" si="11"/>
        <v>303</v>
      </c>
      <c r="BB31" s="14"/>
      <c r="BC31" s="14"/>
      <c r="BD31" s="14">
        <f ca="1">COUNTIF(OFFSET(BD$32,0,0,COUNT(時間希望調査!$A:$A)),$B31)</f>
        <v>9</v>
      </c>
      <c r="BE31" s="14">
        <f ca="1">COUNTIF(OFFSET(BE$32,0,0,COUNT(時間希望調査!$A:$A)),$B31)</f>
        <v>9</v>
      </c>
      <c r="BF31" s="14">
        <f ca="1">COUNTIF(OFFSET(BF$32,0,0,COUNT(時間希望調査!$A:$A)),$B31)</f>
        <v>10</v>
      </c>
      <c r="BG31" s="14">
        <f ca="1">COUNTIF(OFFSET(BG$32,0,0,COUNT(時間希望調査!$A:$A)),$B31)</f>
        <v>10</v>
      </c>
      <c r="BH31" s="14">
        <f ca="1">COUNTIF(OFFSET(BH$32,0,0,COUNT(時間希望調査!$A:$A)),$B31)</f>
        <v>10</v>
      </c>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row>
    <row r="32" spans="1:91">
      <c r="A32" s="10" t="str">
        <f>時間希望調査!A2&amp;""</f>
        <v>1</v>
      </c>
      <c r="B32" s="10" t="str">
        <f>時間希望調査!B2&amp;""</f>
        <v/>
      </c>
      <c r="C32" s="10" t="str">
        <f>時間希望調査!C2&amp;""</f>
        <v>キズナアイ</v>
      </c>
      <c r="D32" s="11" t="s">
        <v>87</v>
      </c>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0">
        <f>COUNTA(D32:BA32)</f>
        <v>1</v>
      </c>
      <c r="BC32" s="10">
        <f>時間希望調査!D2</f>
        <v>10</v>
      </c>
      <c r="BD32" s="10" t="str">
        <f>'役職希望調査 ・備考'!D2&amp;""</f>
        <v>A</v>
      </c>
      <c r="BE32" s="10" t="str">
        <f>'役職希望調査 ・備考'!E2&amp;""</f>
        <v>C</v>
      </c>
      <c r="BF32" s="10" t="str">
        <f>'役職希望調査 ・備考'!F2&amp;""</f>
        <v/>
      </c>
      <c r="BG32" s="10" t="str">
        <f>'役職希望調査 ・備考'!G2&amp;""</f>
        <v/>
      </c>
      <c r="BH32" s="10" t="str">
        <f>'役職希望調査 ・備考'!H2&amp;""</f>
        <v/>
      </c>
      <c r="BI32" s="10">
        <f t="shared" ref="BI32:BI63" si="16">COUNTIF(D32:BA32,BI$1)</f>
        <v>0</v>
      </c>
      <c r="BJ32" s="10">
        <f t="shared" ref="BJ32:BJ63" si="17">COUNTIF(E32:BB32,BJ$1)</f>
        <v>0</v>
      </c>
      <c r="BK32" s="10">
        <f t="shared" ref="BK32:BK63" si="18">COUNTIF(F32:BC32,BK$1)</f>
        <v>0</v>
      </c>
      <c r="BL32" s="10">
        <f t="shared" ref="BL32:BL63" si="19">COUNTIF(G32:BD32,BL$1)</f>
        <v>0</v>
      </c>
      <c r="BM32" s="10">
        <f t="shared" ref="BM32:BM63" si="20">COUNTIF(H32:BE32,BM$1)</f>
        <v>0</v>
      </c>
      <c r="BN32" s="10">
        <f t="shared" ref="BN32:BN63" si="21">COUNTIF(I32:BF32,BN$1)</f>
        <v>0</v>
      </c>
      <c r="BO32" s="10">
        <f t="shared" ref="BO32:BO63" si="22">COUNTIF(J32:BG32,BO$1)</f>
        <v>46</v>
      </c>
      <c r="BP32" s="10">
        <f t="shared" ref="BP32:BP63" si="23">COUNTIF(K32:BH32,BP$1)</f>
        <v>46</v>
      </c>
      <c r="BQ32" s="10">
        <f t="shared" ref="BQ32:BQ63" si="24">COUNTIF(L32:BI32,BQ$1)</f>
        <v>45</v>
      </c>
      <c r="BR32" s="10">
        <f t="shared" ref="BR32:BR63" si="25">COUNTIF(M32:BJ32,BR$1)</f>
        <v>44</v>
      </c>
      <c r="BS32" s="10">
        <f t="shared" ref="BS32:BS63" si="26">COUNTIF(N32:BK32,BS$1)</f>
        <v>43</v>
      </c>
      <c r="BT32" s="10">
        <f t="shared" ref="BT32:BT63" si="27">COUNTIF(O32:BL32,BT$1)</f>
        <v>42</v>
      </c>
      <c r="BU32" s="10">
        <f t="shared" ref="BU32:BU63" si="28">COUNTIF(P32:BM32,BU$1)</f>
        <v>41</v>
      </c>
      <c r="BV32" s="10">
        <f t="shared" ref="BV32:BV63" si="29">COUNTIF(Q32:BN32,BV$1)</f>
        <v>40</v>
      </c>
      <c r="BW32" s="10">
        <f t="shared" ref="BW32:BW63" si="30">COUNTIF(R32:BO32,BW$1)</f>
        <v>39</v>
      </c>
      <c r="BX32" s="10">
        <f t="shared" ref="BX32:BX63" si="31">COUNTIF(S32:BP32,BX$1)</f>
        <v>38</v>
      </c>
      <c r="BY32" s="10">
        <f t="shared" ref="BY32:BY63" si="32">COUNTIF(T32:BQ32,BY$1)</f>
        <v>37</v>
      </c>
      <c r="BZ32" s="10">
        <f t="shared" ref="BZ32:BZ63" si="33">COUNTIF(U32:BR32,BZ$1)</f>
        <v>36</v>
      </c>
      <c r="CA32" s="10">
        <f t="shared" ref="CA32:CA63" si="34">COUNTIF(V32:BS32,CA$1)</f>
        <v>35</v>
      </c>
      <c r="CB32" s="10">
        <f t="shared" ref="CB32:CB63" si="35">COUNTIF(W32:BT32,CB$1)</f>
        <v>34</v>
      </c>
      <c r="CC32" s="10">
        <f t="shared" ref="CC32:CC63" si="36">COUNTIF(X32:BU32,CC$1)</f>
        <v>33</v>
      </c>
      <c r="CD32" s="10">
        <f t="shared" ref="CD32:CD63" si="37">COUNTIF(Y32:BV32,CD$1)</f>
        <v>32</v>
      </c>
      <c r="CE32" s="10">
        <f t="shared" ref="CE32:CE63" si="38">COUNTIF(Z32:BW32,CE$1)</f>
        <v>31</v>
      </c>
      <c r="CF32" s="10">
        <f t="shared" ref="CF32:CF63" si="39">COUNTIF(AA32:BX32,CF$1)</f>
        <v>30</v>
      </c>
      <c r="CG32" s="10">
        <f t="shared" ref="CG32:CG63" si="40">COUNTIF(AB32:BY32,CG$1)</f>
        <v>29</v>
      </c>
      <c r="CH32" s="10">
        <f t="shared" ref="CH32:CH63" si="41">COUNTIF(AC32:BZ32,CH$1)</f>
        <v>28</v>
      </c>
      <c r="CI32" s="10">
        <f t="shared" ref="CI32:CI63" si="42">COUNTIF(AD32:CA32,CI$1)</f>
        <v>27</v>
      </c>
      <c r="CJ32" s="10">
        <f t="shared" ref="CJ32:CJ63" si="43">COUNTIF(AE32:CB32,CJ$1)</f>
        <v>26</v>
      </c>
      <c r="CK32" s="10">
        <f t="shared" ref="CK32:CK63" si="44">COUNTIF(AF32:CC32,CK$1)</f>
        <v>25</v>
      </c>
      <c r="CL32" s="10">
        <f t="shared" ref="CL32:CL63" si="45">COUNTIF(AG32:CD32,CL$1)</f>
        <v>24</v>
      </c>
      <c r="CM32" s="10" t="str">
        <f>'役職希望調査 ・備考'!I2&amp;""</f>
        <v/>
      </c>
    </row>
    <row r="33" spans="1:91">
      <c r="A33" s="10" t="str">
        <f>時間希望調査!A3&amp;""</f>
        <v>2</v>
      </c>
      <c r="B33" s="10" t="str">
        <f>時間希望調査!B3&amp;""</f>
        <v/>
      </c>
      <c r="C33" s="10" t="str">
        <f>時間希望調査!C3&amp;""</f>
        <v>輝夜月</v>
      </c>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0">
        <f t="shared" ref="BB33:BB96" si="46">COUNTA(D33:BA33)</f>
        <v>0</v>
      </c>
      <c r="BC33" s="10">
        <f>時間希望調査!D3</f>
        <v>1</v>
      </c>
      <c r="BD33" s="10" t="str">
        <f>'役職希望調査 ・備考'!D3&amp;""</f>
        <v/>
      </c>
      <c r="BE33" s="10" t="str">
        <f>'役職希望調査 ・備考'!E3&amp;""</f>
        <v/>
      </c>
      <c r="BF33" s="10" t="str">
        <f>'役職希望調査 ・備考'!F3&amp;""</f>
        <v/>
      </c>
      <c r="BG33" s="10" t="str">
        <f>'役職希望調査 ・備考'!G3&amp;""</f>
        <v/>
      </c>
      <c r="BH33" s="10" t="str">
        <f>'役職希望調査 ・備考'!H3&amp;""</f>
        <v/>
      </c>
      <c r="BI33" s="10">
        <f t="shared" si="16"/>
        <v>0</v>
      </c>
      <c r="BJ33" s="10">
        <f t="shared" si="17"/>
        <v>0</v>
      </c>
      <c r="BK33" s="10">
        <f t="shared" si="18"/>
        <v>0</v>
      </c>
      <c r="BL33" s="10">
        <f t="shared" si="19"/>
        <v>0</v>
      </c>
      <c r="BM33" s="10">
        <f t="shared" si="20"/>
        <v>0</v>
      </c>
      <c r="BN33" s="10">
        <f t="shared" si="21"/>
        <v>0</v>
      </c>
      <c r="BO33" s="10">
        <f t="shared" si="22"/>
        <v>48</v>
      </c>
      <c r="BP33" s="10">
        <f t="shared" si="23"/>
        <v>48</v>
      </c>
      <c r="BQ33" s="10">
        <f t="shared" si="24"/>
        <v>47</v>
      </c>
      <c r="BR33" s="10">
        <f t="shared" si="25"/>
        <v>46</v>
      </c>
      <c r="BS33" s="10">
        <f t="shared" si="26"/>
        <v>45</v>
      </c>
      <c r="BT33" s="10">
        <f t="shared" si="27"/>
        <v>44</v>
      </c>
      <c r="BU33" s="10">
        <f t="shared" si="28"/>
        <v>43</v>
      </c>
      <c r="BV33" s="10">
        <f t="shared" si="29"/>
        <v>42</v>
      </c>
      <c r="BW33" s="10">
        <f t="shared" si="30"/>
        <v>41</v>
      </c>
      <c r="BX33" s="10">
        <f t="shared" si="31"/>
        <v>40</v>
      </c>
      <c r="BY33" s="10">
        <f t="shared" si="32"/>
        <v>39</v>
      </c>
      <c r="BZ33" s="10">
        <f t="shared" si="33"/>
        <v>38</v>
      </c>
      <c r="CA33" s="10">
        <f t="shared" si="34"/>
        <v>37</v>
      </c>
      <c r="CB33" s="10">
        <f t="shared" si="35"/>
        <v>36</v>
      </c>
      <c r="CC33" s="10">
        <f t="shared" si="36"/>
        <v>35</v>
      </c>
      <c r="CD33" s="10">
        <f t="shared" si="37"/>
        <v>34</v>
      </c>
      <c r="CE33" s="10">
        <f t="shared" si="38"/>
        <v>33</v>
      </c>
      <c r="CF33" s="10">
        <f t="shared" si="39"/>
        <v>32</v>
      </c>
      <c r="CG33" s="10">
        <f t="shared" si="40"/>
        <v>31</v>
      </c>
      <c r="CH33" s="10">
        <f t="shared" si="41"/>
        <v>30</v>
      </c>
      <c r="CI33" s="10">
        <f t="shared" si="42"/>
        <v>29</v>
      </c>
      <c r="CJ33" s="10">
        <f t="shared" si="43"/>
        <v>28</v>
      </c>
      <c r="CK33" s="10">
        <f t="shared" si="44"/>
        <v>27</v>
      </c>
      <c r="CL33" s="10">
        <f t="shared" si="45"/>
        <v>26</v>
      </c>
      <c r="CM33" s="10" t="str">
        <f>'役職希望調査 ・備考'!I3&amp;""</f>
        <v/>
      </c>
    </row>
    <row r="34" spans="1:91">
      <c r="A34" s="10" t="str">
        <f>時間希望調査!A4&amp;""</f>
        <v>3</v>
      </c>
      <c r="B34" s="10" t="str">
        <f>時間希望調査!B4&amp;""</f>
        <v/>
      </c>
      <c r="C34" s="10" t="str">
        <f>時間希望調査!C4&amp;""</f>
        <v>ときのそら</v>
      </c>
      <c r="D34" s="11"/>
      <c r="E34" s="11"/>
      <c r="F34" s="11"/>
      <c r="G34" s="11" t="s">
        <v>44</v>
      </c>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0">
        <f t="shared" si="46"/>
        <v>1</v>
      </c>
      <c r="BC34" s="10">
        <f>時間希望調査!D4</f>
        <v>1</v>
      </c>
      <c r="BD34" s="10" t="str">
        <f>'役職希望調査 ・備考'!D4&amp;""</f>
        <v/>
      </c>
      <c r="BE34" s="10" t="str">
        <f>'役職希望調査 ・備考'!E4&amp;""</f>
        <v/>
      </c>
      <c r="BF34" s="10" t="str">
        <f>'役職希望調査 ・備考'!F4&amp;""</f>
        <v/>
      </c>
      <c r="BG34" s="10" t="str">
        <f>'役職希望調査 ・備考'!G4&amp;""</f>
        <v/>
      </c>
      <c r="BH34" s="10" t="str">
        <f>'役職希望調査 ・備考'!H4&amp;""</f>
        <v/>
      </c>
      <c r="BI34" s="10">
        <f t="shared" si="16"/>
        <v>1</v>
      </c>
      <c r="BJ34" s="10">
        <f t="shared" si="17"/>
        <v>0</v>
      </c>
      <c r="BK34" s="10">
        <f t="shared" si="18"/>
        <v>0</v>
      </c>
      <c r="BL34" s="10">
        <f t="shared" si="19"/>
        <v>0</v>
      </c>
      <c r="BM34" s="10">
        <f t="shared" si="20"/>
        <v>0</v>
      </c>
      <c r="BN34" s="10">
        <f t="shared" si="21"/>
        <v>0</v>
      </c>
      <c r="BO34" s="10">
        <f t="shared" si="22"/>
        <v>48</v>
      </c>
      <c r="BP34" s="10">
        <f t="shared" si="23"/>
        <v>48</v>
      </c>
      <c r="BQ34" s="10">
        <f t="shared" si="24"/>
        <v>47</v>
      </c>
      <c r="BR34" s="10">
        <f t="shared" si="25"/>
        <v>46</v>
      </c>
      <c r="BS34" s="10">
        <f t="shared" si="26"/>
        <v>45</v>
      </c>
      <c r="BT34" s="10">
        <f t="shared" si="27"/>
        <v>44</v>
      </c>
      <c r="BU34" s="10">
        <f t="shared" si="28"/>
        <v>43</v>
      </c>
      <c r="BV34" s="10">
        <f t="shared" si="29"/>
        <v>42</v>
      </c>
      <c r="BW34" s="10">
        <f t="shared" si="30"/>
        <v>41</v>
      </c>
      <c r="BX34" s="10">
        <f t="shared" si="31"/>
        <v>40</v>
      </c>
      <c r="BY34" s="10">
        <f t="shared" si="32"/>
        <v>39</v>
      </c>
      <c r="BZ34" s="10">
        <f t="shared" si="33"/>
        <v>38</v>
      </c>
      <c r="CA34" s="10">
        <f t="shared" si="34"/>
        <v>37</v>
      </c>
      <c r="CB34" s="10">
        <f t="shared" si="35"/>
        <v>36</v>
      </c>
      <c r="CC34" s="10">
        <f t="shared" si="36"/>
        <v>35</v>
      </c>
      <c r="CD34" s="10">
        <f t="shared" si="37"/>
        <v>34</v>
      </c>
      <c r="CE34" s="10">
        <f t="shared" si="38"/>
        <v>33</v>
      </c>
      <c r="CF34" s="10">
        <f t="shared" si="39"/>
        <v>32</v>
      </c>
      <c r="CG34" s="10">
        <f t="shared" si="40"/>
        <v>31</v>
      </c>
      <c r="CH34" s="10">
        <f t="shared" si="41"/>
        <v>30</v>
      </c>
      <c r="CI34" s="10">
        <f t="shared" si="42"/>
        <v>29</v>
      </c>
      <c r="CJ34" s="10">
        <f t="shared" si="43"/>
        <v>28</v>
      </c>
      <c r="CK34" s="10">
        <f t="shared" si="44"/>
        <v>27</v>
      </c>
      <c r="CL34" s="10">
        <f t="shared" si="45"/>
        <v>26</v>
      </c>
      <c r="CM34" s="10" t="str">
        <f>'役職希望調査 ・備考'!I4&amp;""</f>
        <v/>
      </c>
    </row>
    <row r="35" spans="1:91">
      <c r="A35" s="10" t="str">
        <f>時間希望調査!A5&amp;""</f>
        <v>4</v>
      </c>
      <c r="B35" s="10" t="str">
        <f>時間希望調査!B5&amp;""</f>
        <v/>
      </c>
      <c r="C35" s="10" t="str">
        <f>時間希望調査!C5&amp;""</f>
        <v>はじめしゃちょー</v>
      </c>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0">
        <f t="shared" si="46"/>
        <v>0</v>
      </c>
      <c r="BC35" s="10">
        <f>時間希望調査!D5</f>
        <v>10</v>
      </c>
      <c r="BD35" s="10" t="str">
        <f>'役職希望調査 ・備考'!D5&amp;""</f>
        <v/>
      </c>
      <c r="BE35" s="10" t="str">
        <f>'役職希望調査 ・備考'!E5&amp;""</f>
        <v/>
      </c>
      <c r="BF35" s="10" t="str">
        <f>'役職希望調査 ・備考'!F5&amp;""</f>
        <v/>
      </c>
      <c r="BG35" s="10" t="str">
        <f>'役職希望調査 ・備考'!G5&amp;""</f>
        <v/>
      </c>
      <c r="BH35" s="10" t="str">
        <f>'役職希望調査 ・備考'!H5&amp;""</f>
        <v/>
      </c>
      <c r="BI35" s="10">
        <f t="shared" si="16"/>
        <v>0</v>
      </c>
      <c r="BJ35" s="10">
        <f t="shared" si="17"/>
        <v>0</v>
      </c>
      <c r="BK35" s="10">
        <f t="shared" si="18"/>
        <v>0</v>
      </c>
      <c r="BL35" s="10">
        <f t="shared" si="19"/>
        <v>0</v>
      </c>
      <c r="BM35" s="10">
        <f t="shared" si="20"/>
        <v>0</v>
      </c>
      <c r="BN35" s="10">
        <f t="shared" si="21"/>
        <v>0</v>
      </c>
      <c r="BO35" s="10">
        <f t="shared" si="22"/>
        <v>48</v>
      </c>
      <c r="BP35" s="10">
        <f t="shared" si="23"/>
        <v>48</v>
      </c>
      <c r="BQ35" s="10">
        <f t="shared" si="24"/>
        <v>47</v>
      </c>
      <c r="BR35" s="10">
        <f t="shared" si="25"/>
        <v>46</v>
      </c>
      <c r="BS35" s="10">
        <f t="shared" si="26"/>
        <v>45</v>
      </c>
      <c r="BT35" s="10">
        <f t="shared" si="27"/>
        <v>44</v>
      </c>
      <c r="BU35" s="10">
        <f t="shared" si="28"/>
        <v>43</v>
      </c>
      <c r="BV35" s="10">
        <f t="shared" si="29"/>
        <v>42</v>
      </c>
      <c r="BW35" s="10">
        <f t="shared" si="30"/>
        <v>41</v>
      </c>
      <c r="BX35" s="10">
        <f t="shared" si="31"/>
        <v>40</v>
      </c>
      <c r="BY35" s="10">
        <f t="shared" si="32"/>
        <v>39</v>
      </c>
      <c r="BZ35" s="10">
        <f t="shared" si="33"/>
        <v>38</v>
      </c>
      <c r="CA35" s="10">
        <f t="shared" si="34"/>
        <v>37</v>
      </c>
      <c r="CB35" s="10">
        <f t="shared" si="35"/>
        <v>36</v>
      </c>
      <c r="CC35" s="10">
        <f t="shared" si="36"/>
        <v>35</v>
      </c>
      <c r="CD35" s="10">
        <f t="shared" si="37"/>
        <v>34</v>
      </c>
      <c r="CE35" s="10">
        <f t="shared" si="38"/>
        <v>33</v>
      </c>
      <c r="CF35" s="10">
        <f t="shared" si="39"/>
        <v>32</v>
      </c>
      <c r="CG35" s="10">
        <f t="shared" si="40"/>
        <v>31</v>
      </c>
      <c r="CH35" s="10">
        <f t="shared" si="41"/>
        <v>30</v>
      </c>
      <c r="CI35" s="10">
        <f t="shared" si="42"/>
        <v>29</v>
      </c>
      <c r="CJ35" s="10">
        <f t="shared" si="43"/>
        <v>28</v>
      </c>
      <c r="CK35" s="10">
        <f t="shared" si="44"/>
        <v>27</v>
      </c>
      <c r="CL35" s="10">
        <f t="shared" si="45"/>
        <v>26</v>
      </c>
      <c r="CM35" s="10" t="str">
        <f>'役職希望調査 ・備考'!I5&amp;""</f>
        <v/>
      </c>
    </row>
    <row r="36" spans="1:91">
      <c r="A36" s="10" t="str">
        <f>時間希望調査!A6&amp;""</f>
        <v>5</v>
      </c>
      <c r="B36" s="10" t="str">
        <f>時間希望調査!B6&amp;""</f>
        <v/>
      </c>
      <c r="C36" s="10" t="str">
        <f>時間希望調査!C6&amp;""</f>
        <v/>
      </c>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0">
        <f t="shared" si="46"/>
        <v>0</v>
      </c>
      <c r="BC36" s="10">
        <f>時間希望調査!D6</f>
        <v>0</v>
      </c>
      <c r="BD36" s="10" t="str">
        <f>'役職希望調査 ・備考'!D6&amp;""</f>
        <v/>
      </c>
      <c r="BE36" s="10" t="str">
        <f>'役職希望調査 ・備考'!E6&amp;""</f>
        <v/>
      </c>
      <c r="BF36" s="10" t="str">
        <f>'役職希望調査 ・備考'!F6&amp;""</f>
        <v/>
      </c>
      <c r="BG36" s="10" t="str">
        <f>'役職希望調査 ・備考'!G6&amp;""</f>
        <v/>
      </c>
      <c r="BH36" s="10" t="str">
        <f>'役職希望調査 ・備考'!H6&amp;""</f>
        <v/>
      </c>
      <c r="BI36" s="10">
        <f t="shared" si="16"/>
        <v>0</v>
      </c>
      <c r="BJ36" s="10">
        <f t="shared" si="17"/>
        <v>0</v>
      </c>
      <c r="BK36" s="10">
        <f t="shared" si="18"/>
        <v>0</v>
      </c>
      <c r="BL36" s="10">
        <f t="shared" si="19"/>
        <v>0</v>
      </c>
      <c r="BM36" s="10">
        <f t="shared" si="20"/>
        <v>0</v>
      </c>
      <c r="BN36" s="10">
        <f t="shared" si="21"/>
        <v>0</v>
      </c>
      <c r="BO36" s="10">
        <f t="shared" si="22"/>
        <v>48</v>
      </c>
      <c r="BP36" s="10">
        <f t="shared" si="23"/>
        <v>48</v>
      </c>
      <c r="BQ36" s="10">
        <f t="shared" si="24"/>
        <v>47</v>
      </c>
      <c r="BR36" s="10">
        <f t="shared" si="25"/>
        <v>46</v>
      </c>
      <c r="BS36" s="10">
        <f t="shared" si="26"/>
        <v>45</v>
      </c>
      <c r="BT36" s="10">
        <f t="shared" si="27"/>
        <v>44</v>
      </c>
      <c r="BU36" s="10">
        <f t="shared" si="28"/>
        <v>43</v>
      </c>
      <c r="BV36" s="10">
        <f t="shared" si="29"/>
        <v>42</v>
      </c>
      <c r="BW36" s="10">
        <f t="shared" si="30"/>
        <v>41</v>
      </c>
      <c r="BX36" s="10">
        <f t="shared" si="31"/>
        <v>40</v>
      </c>
      <c r="BY36" s="10">
        <f t="shared" si="32"/>
        <v>39</v>
      </c>
      <c r="BZ36" s="10">
        <f t="shared" si="33"/>
        <v>38</v>
      </c>
      <c r="CA36" s="10">
        <f t="shared" si="34"/>
        <v>37</v>
      </c>
      <c r="CB36" s="10">
        <f t="shared" si="35"/>
        <v>36</v>
      </c>
      <c r="CC36" s="10">
        <f t="shared" si="36"/>
        <v>35</v>
      </c>
      <c r="CD36" s="10">
        <f t="shared" si="37"/>
        <v>34</v>
      </c>
      <c r="CE36" s="10">
        <f t="shared" si="38"/>
        <v>33</v>
      </c>
      <c r="CF36" s="10">
        <f t="shared" si="39"/>
        <v>32</v>
      </c>
      <c r="CG36" s="10">
        <f t="shared" si="40"/>
        <v>31</v>
      </c>
      <c r="CH36" s="10">
        <f t="shared" si="41"/>
        <v>30</v>
      </c>
      <c r="CI36" s="10">
        <f t="shared" si="42"/>
        <v>29</v>
      </c>
      <c r="CJ36" s="10">
        <f t="shared" si="43"/>
        <v>28</v>
      </c>
      <c r="CK36" s="10">
        <f t="shared" si="44"/>
        <v>27</v>
      </c>
      <c r="CL36" s="10">
        <f t="shared" si="45"/>
        <v>26</v>
      </c>
      <c r="CM36" s="10" t="str">
        <f>'役職希望調査 ・備考'!I6&amp;""</f>
        <v/>
      </c>
    </row>
    <row r="37" spans="1:91">
      <c r="A37" s="10" t="str">
        <f>時間希望調査!A7&amp;""</f>
        <v>6</v>
      </c>
      <c r="B37" s="10" t="str">
        <f>時間希望調査!B7&amp;""</f>
        <v/>
      </c>
      <c r="C37" s="10" t="str">
        <f>時間希望調査!C7&amp;""</f>
        <v/>
      </c>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0">
        <f t="shared" si="46"/>
        <v>0</v>
      </c>
      <c r="BC37" s="10">
        <f>時間希望調査!D7</f>
        <v>0</v>
      </c>
      <c r="BD37" s="10" t="str">
        <f>'役職希望調査 ・備考'!D7&amp;""</f>
        <v/>
      </c>
      <c r="BE37" s="10" t="str">
        <f>'役職希望調査 ・備考'!E7&amp;""</f>
        <v/>
      </c>
      <c r="BF37" s="10" t="str">
        <f>'役職希望調査 ・備考'!F7&amp;""</f>
        <v/>
      </c>
      <c r="BG37" s="10" t="str">
        <f>'役職希望調査 ・備考'!G7&amp;""</f>
        <v/>
      </c>
      <c r="BH37" s="10" t="str">
        <f>'役職希望調査 ・備考'!H7&amp;""</f>
        <v/>
      </c>
      <c r="BI37" s="10">
        <f t="shared" si="16"/>
        <v>0</v>
      </c>
      <c r="BJ37" s="10">
        <f t="shared" si="17"/>
        <v>0</v>
      </c>
      <c r="BK37" s="10">
        <f t="shared" si="18"/>
        <v>0</v>
      </c>
      <c r="BL37" s="10">
        <f t="shared" si="19"/>
        <v>0</v>
      </c>
      <c r="BM37" s="10">
        <f t="shared" si="20"/>
        <v>0</v>
      </c>
      <c r="BN37" s="10">
        <f t="shared" si="21"/>
        <v>0</v>
      </c>
      <c r="BO37" s="10">
        <f t="shared" si="22"/>
        <v>48</v>
      </c>
      <c r="BP37" s="10">
        <f t="shared" si="23"/>
        <v>48</v>
      </c>
      <c r="BQ37" s="10">
        <f t="shared" si="24"/>
        <v>47</v>
      </c>
      <c r="BR37" s="10">
        <f t="shared" si="25"/>
        <v>46</v>
      </c>
      <c r="BS37" s="10">
        <f t="shared" si="26"/>
        <v>45</v>
      </c>
      <c r="BT37" s="10">
        <f t="shared" si="27"/>
        <v>44</v>
      </c>
      <c r="BU37" s="10">
        <f t="shared" si="28"/>
        <v>43</v>
      </c>
      <c r="BV37" s="10">
        <f t="shared" si="29"/>
        <v>42</v>
      </c>
      <c r="BW37" s="10">
        <f t="shared" si="30"/>
        <v>41</v>
      </c>
      <c r="BX37" s="10">
        <f t="shared" si="31"/>
        <v>40</v>
      </c>
      <c r="BY37" s="10">
        <f t="shared" si="32"/>
        <v>39</v>
      </c>
      <c r="BZ37" s="10">
        <f t="shared" si="33"/>
        <v>38</v>
      </c>
      <c r="CA37" s="10">
        <f t="shared" si="34"/>
        <v>37</v>
      </c>
      <c r="CB37" s="10">
        <f t="shared" si="35"/>
        <v>36</v>
      </c>
      <c r="CC37" s="10">
        <f t="shared" si="36"/>
        <v>35</v>
      </c>
      <c r="CD37" s="10">
        <f t="shared" si="37"/>
        <v>34</v>
      </c>
      <c r="CE37" s="10">
        <f t="shared" si="38"/>
        <v>33</v>
      </c>
      <c r="CF37" s="10">
        <f t="shared" si="39"/>
        <v>32</v>
      </c>
      <c r="CG37" s="10">
        <f t="shared" si="40"/>
        <v>31</v>
      </c>
      <c r="CH37" s="10">
        <f t="shared" si="41"/>
        <v>30</v>
      </c>
      <c r="CI37" s="10">
        <f t="shared" si="42"/>
        <v>29</v>
      </c>
      <c r="CJ37" s="10">
        <f t="shared" si="43"/>
        <v>28</v>
      </c>
      <c r="CK37" s="10">
        <f t="shared" si="44"/>
        <v>27</v>
      </c>
      <c r="CL37" s="10">
        <f t="shared" si="45"/>
        <v>26</v>
      </c>
      <c r="CM37" s="10" t="str">
        <f>'役職希望調査 ・備考'!I7&amp;""</f>
        <v/>
      </c>
    </row>
    <row r="38" spans="1:91">
      <c r="A38" s="10" t="str">
        <f>時間希望調査!A8&amp;""</f>
        <v>7</v>
      </c>
      <c r="B38" s="10" t="str">
        <f>時間希望調査!B8&amp;""</f>
        <v/>
      </c>
      <c r="C38" s="10" t="str">
        <f>時間希望調査!C8&amp;""</f>
        <v/>
      </c>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0">
        <f t="shared" si="46"/>
        <v>0</v>
      </c>
      <c r="BC38" s="10">
        <f>時間希望調査!D8</f>
        <v>0</v>
      </c>
      <c r="BD38" s="10" t="str">
        <f>'役職希望調査 ・備考'!D8&amp;""</f>
        <v/>
      </c>
      <c r="BE38" s="10" t="str">
        <f>'役職希望調査 ・備考'!E8&amp;""</f>
        <v/>
      </c>
      <c r="BF38" s="10" t="str">
        <f>'役職希望調査 ・備考'!F8&amp;""</f>
        <v/>
      </c>
      <c r="BG38" s="10" t="str">
        <f>'役職希望調査 ・備考'!G8&amp;""</f>
        <v/>
      </c>
      <c r="BH38" s="10" t="str">
        <f>'役職希望調査 ・備考'!H8&amp;""</f>
        <v/>
      </c>
      <c r="BI38" s="10">
        <f t="shared" si="16"/>
        <v>0</v>
      </c>
      <c r="BJ38" s="10">
        <f t="shared" si="17"/>
        <v>0</v>
      </c>
      <c r="BK38" s="10">
        <f t="shared" si="18"/>
        <v>0</v>
      </c>
      <c r="BL38" s="10">
        <f t="shared" si="19"/>
        <v>0</v>
      </c>
      <c r="BM38" s="10">
        <f t="shared" si="20"/>
        <v>0</v>
      </c>
      <c r="BN38" s="10">
        <f t="shared" si="21"/>
        <v>0</v>
      </c>
      <c r="BO38" s="10">
        <f t="shared" si="22"/>
        <v>48</v>
      </c>
      <c r="BP38" s="10">
        <f t="shared" si="23"/>
        <v>48</v>
      </c>
      <c r="BQ38" s="10">
        <f t="shared" si="24"/>
        <v>47</v>
      </c>
      <c r="BR38" s="10">
        <f t="shared" si="25"/>
        <v>46</v>
      </c>
      <c r="BS38" s="10">
        <f t="shared" si="26"/>
        <v>45</v>
      </c>
      <c r="BT38" s="10">
        <f t="shared" si="27"/>
        <v>44</v>
      </c>
      <c r="BU38" s="10">
        <f t="shared" si="28"/>
        <v>43</v>
      </c>
      <c r="BV38" s="10">
        <f t="shared" si="29"/>
        <v>42</v>
      </c>
      <c r="BW38" s="10">
        <f t="shared" si="30"/>
        <v>41</v>
      </c>
      <c r="BX38" s="10">
        <f t="shared" si="31"/>
        <v>40</v>
      </c>
      <c r="BY38" s="10">
        <f t="shared" si="32"/>
        <v>39</v>
      </c>
      <c r="BZ38" s="10">
        <f t="shared" si="33"/>
        <v>38</v>
      </c>
      <c r="CA38" s="10">
        <f t="shared" si="34"/>
        <v>37</v>
      </c>
      <c r="CB38" s="10">
        <f t="shared" si="35"/>
        <v>36</v>
      </c>
      <c r="CC38" s="10">
        <f t="shared" si="36"/>
        <v>35</v>
      </c>
      <c r="CD38" s="10">
        <f t="shared" si="37"/>
        <v>34</v>
      </c>
      <c r="CE38" s="10">
        <f t="shared" si="38"/>
        <v>33</v>
      </c>
      <c r="CF38" s="10">
        <f t="shared" si="39"/>
        <v>32</v>
      </c>
      <c r="CG38" s="10">
        <f t="shared" si="40"/>
        <v>31</v>
      </c>
      <c r="CH38" s="10">
        <f t="shared" si="41"/>
        <v>30</v>
      </c>
      <c r="CI38" s="10">
        <f t="shared" si="42"/>
        <v>29</v>
      </c>
      <c r="CJ38" s="10">
        <f t="shared" si="43"/>
        <v>28</v>
      </c>
      <c r="CK38" s="10">
        <f t="shared" si="44"/>
        <v>27</v>
      </c>
      <c r="CL38" s="10">
        <f t="shared" si="45"/>
        <v>26</v>
      </c>
      <c r="CM38" s="10" t="str">
        <f>'役職希望調査 ・備考'!I8&amp;""</f>
        <v/>
      </c>
    </row>
    <row r="39" spans="1:91">
      <c r="A39" s="10" t="str">
        <f>時間希望調査!A9&amp;""</f>
        <v>8</v>
      </c>
      <c r="B39" s="10" t="str">
        <f>時間希望調査!B9&amp;""</f>
        <v/>
      </c>
      <c r="C39" s="10" t="str">
        <f>時間希望調査!C9&amp;""</f>
        <v/>
      </c>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0">
        <f t="shared" si="46"/>
        <v>0</v>
      </c>
      <c r="BC39" s="10">
        <f>時間希望調査!D9</f>
        <v>0</v>
      </c>
      <c r="BD39" s="10" t="str">
        <f>'役職希望調査 ・備考'!D9&amp;""</f>
        <v/>
      </c>
      <c r="BE39" s="10" t="str">
        <f>'役職希望調査 ・備考'!E9&amp;""</f>
        <v/>
      </c>
      <c r="BF39" s="10" t="str">
        <f>'役職希望調査 ・備考'!F9&amp;""</f>
        <v/>
      </c>
      <c r="BG39" s="10" t="str">
        <f>'役職希望調査 ・備考'!G9&amp;""</f>
        <v/>
      </c>
      <c r="BH39" s="10" t="str">
        <f>'役職希望調査 ・備考'!H9&amp;""</f>
        <v/>
      </c>
      <c r="BI39" s="10">
        <f t="shared" si="16"/>
        <v>0</v>
      </c>
      <c r="BJ39" s="10">
        <f t="shared" si="17"/>
        <v>0</v>
      </c>
      <c r="BK39" s="10">
        <f t="shared" si="18"/>
        <v>0</v>
      </c>
      <c r="BL39" s="10">
        <f t="shared" si="19"/>
        <v>0</v>
      </c>
      <c r="BM39" s="10">
        <f t="shared" si="20"/>
        <v>0</v>
      </c>
      <c r="BN39" s="10">
        <f t="shared" si="21"/>
        <v>0</v>
      </c>
      <c r="BO39" s="10">
        <f t="shared" si="22"/>
        <v>48</v>
      </c>
      <c r="BP39" s="10">
        <f t="shared" si="23"/>
        <v>48</v>
      </c>
      <c r="BQ39" s="10">
        <f t="shared" si="24"/>
        <v>47</v>
      </c>
      <c r="BR39" s="10">
        <f t="shared" si="25"/>
        <v>46</v>
      </c>
      <c r="BS39" s="10">
        <f t="shared" si="26"/>
        <v>45</v>
      </c>
      <c r="BT39" s="10">
        <f t="shared" si="27"/>
        <v>44</v>
      </c>
      <c r="BU39" s="10">
        <f t="shared" si="28"/>
        <v>43</v>
      </c>
      <c r="BV39" s="10">
        <f t="shared" si="29"/>
        <v>42</v>
      </c>
      <c r="BW39" s="10">
        <f t="shared" si="30"/>
        <v>41</v>
      </c>
      <c r="BX39" s="10">
        <f t="shared" si="31"/>
        <v>40</v>
      </c>
      <c r="BY39" s="10">
        <f t="shared" si="32"/>
        <v>39</v>
      </c>
      <c r="BZ39" s="10">
        <f t="shared" si="33"/>
        <v>38</v>
      </c>
      <c r="CA39" s="10">
        <f t="shared" si="34"/>
        <v>37</v>
      </c>
      <c r="CB39" s="10">
        <f t="shared" si="35"/>
        <v>36</v>
      </c>
      <c r="CC39" s="10">
        <f t="shared" si="36"/>
        <v>35</v>
      </c>
      <c r="CD39" s="10">
        <f t="shared" si="37"/>
        <v>34</v>
      </c>
      <c r="CE39" s="10">
        <f t="shared" si="38"/>
        <v>33</v>
      </c>
      <c r="CF39" s="10">
        <f t="shared" si="39"/>
        <v>32</v>
      </c>
      <c r="CG39" s="10">
        <f t="shared" si="40"/>
        <v>31</v>
      </c>
      <c r="CH39" s="10">
        <f t="shared" si="41"/>
        <v>30</v>
      </c>
      <c r="CI39" s="10">
        <f t="shared" si="42"/>
        <v>29</v>
      </c>
      <c r="CJ39" s="10">
        <f t="shared" si="43"/>
        <v>28</v>
      </c>
      <c r="CK39" s="10">
        <f t="shared" si="44"/>
        <v>27</v>
      </c>
      <c r="CL39" s="10">
        <f t="shared" si="45"/>
        <v>26</v>
      </c>
      <c r="CM39" s="10" t="str">
        <f>'役職希望調査 ・備考'!I9&amp;""</f>
        <v/>
      </c>
    </row>
    <row r="40" spans="1:91">
      <c r="A40" s="10" t="str">
        <f>時間希望調査!A10&amp;""</f>
        <v>9</v>
      </c>
      <c r="B40" s="10" t="str">
        <f>時間希望調査!B10&amp;""</f>
        <v/>
      </c>
      <c r="C40" s="10" t="str">
        <f>時間希望調査!C10&amp;""</f>
        <v/>
      </c>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0">
        <f t="shared" si="46"/>
        <v>0</v>
      </c>
      <c r="BC40" s="10">
        <f>時間希望調査!D10</f>
        <v>0</v>
      </c>
      <c r="BD40" s="10" t="str">
        <f>'役職希望調査 ・備考'!D10&amp;""</f>
        <v/>
      </c>
      <c r="BE40" s="10" t="str">
        <f>'役職希望調査 ・備考'!E10&amp;""</f>
        <v/>
      </c>
      <c r="BF40" s="10" t="str">
        <f>'役職希望調査 ・備考'!F10&amp;""</f>
        <v/>
      </c>
      <c r="BG40" s="10" t="str">
        <f>'役職希望調査 ・備考'!G10&amp;""</f>
        <v/>
      </c>
      <c r="BH40" s="10" t="str">
        <f>'役職希望調査 ・備考'!H10&amp;""</f>
        <v/>
      </c>
      <c r="BI40" s="10">
        <f t="shared" si="16"/>
        <v>0</v>
      </c>
      <c r="BJ40" s="10">
        <f t="shared" si="17"/>
        <v>0</v>
      </c>
      <c r="BK40" s="10">
        <f t="shared" si="18"/>
        <v>0</v>
      </c>
      <c r="BL40" s="10">
        <f t="shared" si="19"/>
        <v>0</v>
      </c>
      <c r="BM40" s="10">
        <f t="shared" si="20"/>
        <v>0</v>
      </c>
      <c r="BN40" s="10">
        <f t="shared" si="21"/>
        <v>0</v>
      </c>
      <c r="BO40" s="10">
        <f t="shared" si="22"/>
        <v>48</v>
      </c>
      <c r="BP40" s="10">
        <f t="shared" si="23"/>
        <v>48</v>
      </c>
      <c r="BQ40" s="10">
        <f t="shared" si="24"/>
        <v>47</v>
      </c>
      <c r="BR40" s="10">
        <f t="shared" si="25"/>
        <v>46</v>
      </c>
      <c r="BS40" s="10">
        <f t="shared" si="26"/>
        <v>45</v>
      </c>
      <c r="BT40" s="10">
        <f t="shared" si="27"/>
        <v>44</v>
      </c>
      <c r="BU40" s="10">
        <f t="shared" si="28"/>
        <v>43</v>
      </c>
      <c r="BV40" s="10">
        <f t="shared" si="29"/>
        <v>42</v>
      </c>
      <c r="BW40" s="10">
        <f t="shared" si="30"/>
        <v>41</v>
      </c>
      <c r="BX40" s="10">
        <f t="shared" si="31"/>
        <v>40</v>
      </c>
      <c r="BY40" s="10">
        <f t="shared" si="32"/>
        <v>39</v>
      </c>
      <c r="BZ40" s="10">
        <f t="shared" si="33"/>
        <v>38</v>
      </c>
      <c r="CA40" s="10">
        <f t="shared" si="34"/>
        <v>37</v>
      </c>
      <c r="CB40" s="10">
        <f t="shared" si="35"/>
        <v>36</v>
      </c>
      <c r="CC40" s="10">
        <f t="shared" si="36"/>
        <v>35</v>
      </c>
      <c r="CD40" s="10">
        <f t="shared" si="37"/>
        <v>34</v>
      </c>
      <c r="CE40" s="10">
        <f t="shared" si="38"/>
        <v>33</v>
      </c>
      <c r="CF40" s="10">
        <f t="shared" si="39"/>
        <v>32</v>
      </c>
      <c r="CG40" s="10">
        <f t="shared" si="40"/>
        <v>31</v>
      </c>
      <c r="CH40" s="10">
        <f t="shared" si="41"/>
        <v>30</v>
      </c>
      <c r="CI40" s="10">
        <f t="shared" si="42"/>
        <v>29</v>
      </c>
      <c r="CJ40" s="10">
        <f t="shared" si="43"/>
        <v>28</v>
      </c>
      <c r="CK40" s="10">
        <f t="shared" si="44"/>
        <v>27</v>
      </c>
      <c r="CL40" s="10">
        <f t="shared" si="45"/>
        <v>26</v>
      </c>
      <c r="CM40" s="10" t="str">
        <f>'役職希望調査 ・備考'!I10&amp;""</f>
        <v/>
      </c>
    </row>
    <row r="41" spans="1:91">
      <c r="A41" s="10" t="str">
        <f>時間希望調査!A11&amp;""</f>
        <v>10</v>
      </c>
      <c r="B41" s="10" t="str">
        <f>時間希望調査!B11&amp;""</f>
        <v/>
      </c>
      <c r="C41" s="10" t="str">
        <f>時間希望調査!C11&amp;""</f>
        <v/>
      </c>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0">
        <f t="shared" si="46"/>
        <v>0</v>
      </c>
      <c r="BC41" s="10">
        <f>時間希望調査!D11</f>
        <v>0</v>
      </c>
      <c r="BD41" s="10" t="str">
        <f>'役職希望調査 ・備考'!D11&amp;""</f>
        <v/>
      </c>
      <c r="BE41" s="10" t="str">
        <f>'役職希望調査 ・備考'!E11&amp;""</f>
        <v/>
      </c>
      <c r="BF41" s="10" t="str">
        <f>'役職希望調査 ・備考'!F11&amp;""</f>
        <v/>
      </c>
      <c r="BG41" s="10" t="str">
        <f>'役職希望調査 ・備考'!G11&amp;""</f>
        <v/>
      </c>
      <c r="BH41" s="10" t="str">
        <f>'役職希望調査 ・備考'!H11&amp;""</f>
        <v/>
      </c>
      <c r="BI41" s="10">
        <f t="shared" si="16"/>
        <v>0</v>
      </c>
      <c r="BJ41" s="10">
        <f t="shared" si="17"/>
        <v>0</v>
      </c>
      <c r="BK41" s="10">
        <f t="shared" si="18"/>
        <v>0</v>
      </c>
      <c r="BL41" s="10">
        <f t="shared" si="19"/>
        <v>0</v>
      </c>
      <c r="BM41" s="10">
        <f t="shared" si="20"/>
        <v>0</v>
      </c>
      <c r="BN41" s="10">
        <f t="shared" si="21"/>
        <v>0</v>
      </c>
      <c r="BO41" s="10">
        <f t="shared" si="22"/>
        <v>48</v>
      </c>
      <c r="BP41" s="10">
        <f t="shared" si="23"/>
        <v>48</v>
      </c>
      <c r="BQ41" s="10">
        <f t="shared" si="24"/>
        <v>47</v>
      </c>
      <c r="BR41" s="10">
        <f t="shared" si="25"/>
        <v>46</v>
      </c>
      <c r="BS41" s="10">
        <f t="shared" si="26"/>
        <v>45</v>
      </c>
      <c r="BT41" s="10">
        <f t="shared" si="27"/>
        <v>44</v>
      </c>
      <c r="BU41" s="10">
        <f t="shared" si="28"/>
        <v>43</v>
      </c>
      <c r="BV41" s="10">
        <f t="shared" si="29"/>
        <v>42</v>
      </c>
      <c r="BW41" s="10">
        <f t="shared" si="30"/>
        <v>41</v>
      </c>
      <c r="BX41" s="10">
        <f t="shared" si="31"/>
        <v>40</v>
      </c>
      <c r="BY41" s="10">
        <f t="shared" si="32"/>
        <v>39</v>
      </c>
      <c r="BZ41" s="10">
        <f t="shared" si="33"/>
        <v>38</v>
      </c>
      <c r="CA41" s="10">
        <f t="shared" si="34"/>
        <v>37</v>
      </c>
      <c r="CB41" s="10">
        <f t="shared" si="35"/>
        <v>36</v>
      </c>
      <c r="CC41" s="10">
        <f t="shared" si="36"/>
        <v>35</v>
      </c>
      <c r="CD41" s="10">
        <f t="shared" si="37"/>
        <v>34</v>
      </c>
      <c r="CE41" s="10">
        <f t="shared" si="38"/>
        <v>33</v>
      </c>
      <c r="CF41" s="10">
        <f t="shared" si="39"/>
        <v>32</v>
      </c>
      <c r="CG41" s="10">
        <f t="shared" si="40"/>
        <v>31</v>
      </c>
      <c r="CH41" s="10">
        <f t="shared" si="41"/>
        <v>30</v>
      </c>
      <c r="CI41" s="10">
        <f t="shared" si="42"/>
        <v>29</v>
      </c>
      <c r="CJ41" s="10">
        <f t="shared" si="43"/>
        <v>28</v>
      </c>
      <c r="CK41" s="10">
        <f t="shared" si="44"/>
        <v>27</v>
      </c>
      <c r="CL41" s="10">
        <f t="shared" si="45"/>
        <v>26</v>
      </c>
      <c r="CM41" s="10" t="str">
        <f>'役職希望調査 ・備考'!I11&amp;""</f>
        <v/>
      </c>
    </row>
    <row r="42" spans="1:91">
      <c r="A42" s="10" t="str">
        <f>時間希望調査!A12&amp;""</f>
        <v/>
      </c>
      <c r="B42" s="10" t="str">
        <f>時間希望調査!B12&amp;""</f>
        <v/>
      </c>
      <c r="C42" s="10" t="str">
        <f>時間希望調査!C12&amp;""</f>
        <v/>
      </c>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0">
        <f t="shared" si="46"/>
        <v>0</v>
      </c>
      <c r="BC42" s="10">
        <f>時間希望調査!D12</f>
        <v>0</v>
      </c>
      <c r="BD42" s="10" t="str">
        <f>'役職希望調査 ・備考'!D12&amp;""</f>
        <v/>
      </c>
      <c r="BE42" s="10" t="str">
        <f>'役職希望調査 ・備考'!E12&amp;""</f>
        <v/>
      </c>
      <c r="BF42" s="10" t="str">
        <f>'役職希望調査 ・備考'!F12&amp;""</f>
        <v/>
      </c>
      <c r="BG42" s="10" t="str">
        <f>'役職希望調査 ・備考'!G12&amp;""</f>
        <v/>
      </c>
      <c r="BH42" s="10" t="str">
        <f>'役職希望調査 ・備考'!H12&amp;""</f>
        <v/>
      </c>
      <c r="BI42" s="10">
        <f t="shared" si="16"/>
        <v>0</v>
      </c>
      <c r="BJ42" s="10">
        <f t="shared" si="17"/>
        <v>0</v>
      </c>
      <c r="BK42" s="10">
        <f t="shared" si="18"/>
        <v>0</v>
      </c>
      <c r="BL42" s="10">
        <f t="shared" si="19"/>
        <v>0</v>
      </c>
      <c r="BM42" s="10">
        <f t="shared" si="20"/>
        <v>0</v>
      </c>
      <c r="BN42" s="10">
        <f t="shared" si="21"/>
        <v>0</v>
      </c>
      <c r="BO42" s="10">
        <f t="shared" si="22"/>
        <v>48</v>
      </c>
      <c r="BP42" s="10">
        <f t="shared" si="23"/>
        <v>48</v>
      </c>
      <c r="BQ42" s="10">
        <f t="shared" si="24"/>
        <v>47</v>
      </c>
      <c r="BR42" s="10">
        <f t="shared" si="25"/>
        <v>46</v>
      </c>
      <c r="BS42" s="10">
        <f t="shared" si="26"/>
        <v>45</v>
      </c>
      <c r="BT42" s="10">
        <f t="shared" si="27"/>
        <v>44</v>
      </c>
      <c r="BU42" s="10">
        <f t="shared" si="28"/>
        <v>43</v>
      </c>
      <c r="BV42" s="10">
        <f t="shared" si="29"/>
        <v>42</v>
      </c>
      <c r="BW42" s="10">
        <f t="shared" si="30"/>
        <v>41</v>
      </c>
      <c r="BX42" s="10">
        <f t="shared" si="31"/>
        <v>40</v>
      </c>
      <c r="BY42" s="10">
        <f t="shared" si="32"/>
        <v>39</v>
      </c>
      <c r="BZ42" s="10">
        <f t="shared" si="33"/>
        <v>38</v>
      </c>
      <c r="CA42" s="10">
        <f t="shared" si="34"/>
        <v>37</v>
      </c>
      <c r="CB42" s="10">
        <f t="shared" si="35"/>
        <v>36</v>
      </c>
      <c r="CC42" s="10">
        <f t="shared" si="36"/>
        <v>35</v>
      </c>
      <c r="CD42" s="10">
        <f t="shared" si="37"/>
        <v>34</v>
      </c>
      <c r="CE42" s="10">
        <f t="shared" si="38"/>
        <v>33</v>
      </c>
      <c r="CF42" s="10">
        <f t="shared" si="39"/>
        <v>32</v>
      </c>
      <c r="CG42" s="10">
        <f t="shared" si="40"/>
        <v>31</v>
      </c>
      <c r="CH42" s="10">
        <f t="shared" si="41"/>
        <v>30</v>
      </c>
      <c r="CI42" s="10">
        <f t="shared" si="42"/>
        <v>29</v>
      </c>
      <c r="CJ42" s="10">
        <f t="shared" si="43"/>
        <v>28</v>
      </c>
      <c r="CK42" s="10">
        <f t="shared" si="44"/>
        <v>27</v>
      </c>
      <c r="CL42" s="10">
        <f t="shared" si="45"/>
        <v>26</v>
      </c>
      <c r="CM42" s="10" t="str">
        <f>'役職希望調査 ・備考'!I12&amp;""</f>
        <v/>
      </c>
    </row>
    <row r="43" spans="1:91">
      <c r="A43" s="10" t="str">
        <f>時間希望調査!A13&amp;""</f>
        <v/>
      </c>
      <c r="B43" s="10" t="str">
        <f>時間希望調査!B13&amp;""</f>
        <v/>
      </c>
      <c r="C43" s="10" t="str">
        <f>時間希望調査!C13&amp;""</f>
        <v/>
      </c>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0">
        <f t="shared" si="46"/>
        <v>0</v>
      </c>
      <c r="BC43" s="10">
        <f>時間希望調査!D13</f>
        <v>0</v>
      </c>
      <c r="BD43" s="10" t="str">
        <f>'役職希望調査 ・備考'!D13&amp;""</f>
        <v/>
      </c>
      <c r="BE43" s="10" t="str">
        <f>'役職希望調査 ・備考'!E13&amp;""</f>
        <v/>
      </c>
      <c r="BF43" s="10" t="str">
        <f>'役職希望調査 ・備考'!F13&amp;""</f>
        <v/>
      </c>
      <c r="BG43" s="10" t="str">
        <f>'役職希望調査 ・備考'!G13&amp;""</f>
        <v/>
      </c>
      <c r="BH43" s="10" t="str">
        <f>'役職希望調査 ・備考'!H13&amp;""</f>
        <v/>
      </c>
      <c r="BI43" s="10">
        <f t="shared" si="16"/>
        <v>0</v>
      </c>
      <c r="BJ43" s="10">
        <f t="shared" si="17"/>
        <v>0</v>
      </c>
      <c r="BK43" s="10">
        <f t="shared" si="18"/>
        <v>0</v>
      </c>
      <c r="BL43" s="10">
        <f t="shared" si="19"/>
        <v>0</v>
      </c>
      <c r="BM43" s="10">
        <f t="shared" si="20"/>
        <v>0</v>
      </c>
      <c r="BN43" s="10">
        <f t="shared" si="21"/>
        <v>0</v>
      </c>
      <c r="BO43" s="10">
        <f t="shared" si="22"/>
        <v>48</v>
      </c>
      <c r="BP43" s="10">
        <f t="shared" si="23"/>
        <v>48</v>
      </c>
      <c r="BQ43" s="10">
        <f t="shared" si="24"/>
        <v>47</v>
      </c>
      <c r="BR43" s="10">
        <f t="shared" si="25"/>
        <v>46</v>
      </c>
      <c r="BS43" s="10">
        <f t="shared" si="26"/>
        <v>45</v>
      </c>
      <c r="BT43" s="10">
        <f t="shared" si="27"/>
        <v>44</v>
      </c>
      <c r="BU43" s="10">
        <f t="shared" si="28"/>
        <v>43</v>
      </c>
      <c r="BV43" s="10">
        <f t="shared" si="29"/>
        <v>42</v>
      </c>
      <c r="BW43" s="10">
        <f t="shared" si="30"/>
        <v>41</v>
      </c>
      <c r="BX43" s="10">
        <f t="shared" si="31"/>
        <v>40</v>
      </c>
      <c r="BY43" s="10">
        <f t="shared" si="32"/>
        <v>39</v>
      </c>
      <c r="BZ43" s="10">
        <f t="shared" si="33"/>
        <v>38</v>
      </c>
      <c r="CA43" s="10">
        <f t="shared" si="34"/>
        <v>37</v>
      </c>
      <c r="CB43" s="10">
        <f t="shared" si="35"/>
        <v>36</v>
      </c>
      <c r="CC43" s="10">
        <f t="shared" si="36"/>
        <v>35</v>
      </c>
      <c r="CD43" s="10">
        <f t="shared" si="37"/>
        <v>34</v>
      </c>
      <c r="CE43" s="10">
        <f t="shared" si="38"/>
        <v>33</v>
      </c>
      <c r="CF43" s="10">
        <f t="shared" si="39"/>
        <v>32</v>
      </c>
      <c r="CG43" s="10">
        <f t="shared" si="40"/>
        <v>31</v>
      </c>
      <c r="CH43" s="10">
        <f t="shared" si="41"/>
        <v>30</v>
      </c>
      <c r="CI43" s="10">
        <f t="shared" si="42"/>
        <v>29</v>
      </c>
      <c r="CJ43" s="10">
        <f t="shared" si="43"/>
        <v>28</v>
      </c>
      <c r="CK43" s="10">
        <f t="shared" si="44"/>
        <v>27</v>
      </c>
      <c r="CL43" s="10">
        <f t="shared" si="45"/>
        <v>26</v>
      </c>
      <c r="CM43" s="10" t="str">
        <f>'役職希望調査 ・備考'!I13&amp;""</f>
        <v/>
      </c>
    </row>
    <row r="44" spans="1:91">
      <c r="A44" s="10" t="str">
        <f>時間希望調査!A14&amp;""</f>
        <v/>
      </c>
      <c r="B44" s="10" t="str">
        <f>時間希望調査!B14&amp;""</f>
        <v/>
      </c>
      <c r="C44" s="10" t="str">
        <f>時間希望調査!C14&amp;""</f>
        <v/>
      </c>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0">
        <f t="shared" si="46"/>
        <v>0</v>
      </c>
      <c r="BC44" s="10">
        <f>時間希望調査!D14</f>
        <v>0</v>
      </c>
      <c r="BD44" s="10" t="str">
        <f>'役職希望調査 ・備考'!D14&amp;""</f>
        <v/>
      </c>
      <c r="BE44" s="10" t="str">
        <f>'役職希望調査 ・備考'!E14&amp;""</f>
        <v/>
      </c>
      <c r="BF44" s="10" t="str">
        <f>'役職希望調査 ・備考'!F14&amp;""</f>
        <v/>
      </c>
      <c r="BG44" s="10" t="str">
        <f>'役職希望調査 ・備考'!G14&amp;""</f>
        <v/>
      </c>
      <c r="BH44" s="10" t="str">
        <f>'役職希望調査 ・備考'!H14&amp;""</f>
        <v/>
      </c>
      <c r="BI44" s="10">
        <f t="shared" si="16"/>
        <v>0</v>
      </c>
      <c r="BJ44" s="10">
        <f t="shared" si="17"/>
        <v>0</v>
      </c>
      <c r="BK44" s="10">
        <f t="shared" si="18"/>
        <v>0</v>
      </c>
      <c r="BL44" s="10">
        <f t="shared" si="19"/>
        <v>0</v>
      </c>
      <c r="BM44" s="10">
        <f t="shared" si="20"/>
        <v>0</v>
      </c>
      <c r="BN44" s="10">
        <f t="shared" si="21"/>
        <v>0</v>
      </c>
      <c r="BO44" s="10">
        <f t="shared" si="22"/>
        <v>48</v>
      </c>
      <c r="BP44" s="10">
        <f t="shared" si="23"/>
        <v>48</v>
      </c>
      <c r="BQ44" s="10">
        <f t="shared" si="24"/>
        <v>47</v>
      </c>
      <c r="BR44" s="10">
        <f t="shared" si="25"/>
        <v>46</v>
      </c>
      <c r="BS44" s="10">
        <f t="shared" si="26"/>
        <v>45</v>
      </c>
      <c r="BT44" s="10">
        <f t="shared" si="27"/>
        <v>44</v>
      </c>
      <c r="BU44" s="10">
        <f t="shared" si="28"/>
        <v>43</v>
      </c>
      <c r="BV44" s="10">
        <f t="shared" si="29"/>
        <v>42</v>
      </c>
      <c r="BW44" s="10">
        <f t="shared" si="30"/>
        <v>41</v>
      </c>
      <c r="BX44" s="10">
        <f t="shared" si="31"/>
        <v>40</v>
      </c>
      <c r="BY44" s="10">
        <f t="shared" si="32"/>
        <v>39</v>
      </c>
      <c r="BZ44" s="10">
        <f t="shared" si="33"/>
        <v>38</v>
      </c>
      <c r="CA44" s="10">
        <f t="shared" si="34"/>
        <v>37</v>
      </c>
      <c r="CB44" s="10">
        <f t="shared" si="35"/>
        <v>36</v>
      </c>
      <c r="CC44" s="10">
        <f t="shared" si="36"/>
        <v>35</v>
      </c>
      <c r="CD44" s="10">
        <f t="shared" si="37"/>
        <v>34</v>
      </c>
      <c r="CE44" s="10">
        <f t="shared" si="38"/>
        <v>33</v>
      </c>
      <c r="CF44" s="10">
        <f t="shared" si="39"/>
        <v>32</v>
      </c>
      <c r="CG44" s="10">
        <f t="shared" si="40"/>
        <v>31</v>
      </c>
      <c r="CH44" s="10">
        <f t="shared" si="41"/>
        <v>30</v>
      </c>
      <c r="CI44" s="10">
        <f t="shared" si="42"/>
        <v>29</v>
      </c>
      <c r="CJ44" s="10">
        <f t="shared" si="43"/>
        <v>28</v>
      </c>
      <c r="CK44" s="10">
        <f t="shared" si="44"/>
        <v>27</v>
      </c>
      <c r="CL44" s="10">
        <f t="shared" si="45"/>
        <v>26</v>
      </c>
      <c r="CM44" s="10" t="str">
        <f>'役職希望調査 ・備考'!I14&amp;""</f>
        <v/>
      </c>
    </row>
    <row r="45" spans="1:91">
      <c r="A45" s="10" t="str">
        <f>時間希望調査!A15&amp;""</f>
        <v/>
      </c>
      <c r="B45" s="10" t="str">
        <f>時間希望調査!B15&amp;""</f>
        <v/>
      </c>
      <c r="C45" s="10" t="str">
        <f>時間希望調査!C15&amp;""</f>
        <v/>
      </c>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0">
        <f t="shared" si="46"/>
        <v>0</v>
      </c>
      <c r="BC45" s="10">
        <f>時間希望調査!D15</f>
        <v>0</v>
      </c>
      <c r="BD45" s="10" t="str">
        <f>'役職希望調査 ・備考'!D15&amp;""</f>
        <v/>
      </c>
      <c r="BE45" s="10" t="str">
        <f>'役職希望調査 ・備考'!E15&amp;""</f>
        <v/>
      </c>
      <c r="BF45" s="10" t="str">
        <f>'役職希望調査 ・備考'!F15&amp;""</f>
        <v/>
      </c>
      <c r="BG45" s="10" t="str">
        <f>'役職希望調査 ・備考'!G15&amp;""</f>
        <v/>
      </c>
      <c r="BH45" s="10" t="str">
        <f>'役職希望調査 ・備考'!H15&amp;""</f>
        <v/>
      </c>
      <c r="BI45" s="10">
        <f t="shared" si="16"/>
        <v>0</v>
      </c>
      <c r="BJ45" s="10">
        <f t="shared" si="17"/>
        <v>0</v>
      </c>
      <c r="BK45" s="10">
        <f t="shared" si="18"/>
        <v>0</v>
      </c>
      <c r="BL45" s="10">
        <f t="shared" si="19"/>
        <v>0</v>
      </c>
      <c r="BM45" s="10">
        <f t="shared" si="20"/>
        <v>0</v>
      </c>
      <c r="BN45" s="10">
        <f t="shared" si="21"/>
        <v>0</v>
      </c>
      <c r="BO45" s="10">
        <f t="shared" si="22"/>
        <v>48</v>
      </c>
      <c r="BP45" s="10">
        <f t="shared" si="23"/>
        <v>48</v>
      </c>
      <c r="BQ45" s="10">
        <f t="shared" si="24"/>
        <v>47</v>
      </c>
      <c r="BR45" s="10">
        <f t="shared" si="25"/>
        <v>46</v>
      </c>
      <c r="BS45" s="10">
        <f t="shared" si="26"/>
        <v>45</v>
      </c>
      <c r="BT45" s="10">
        <f t="shared" si="27"/>
        <v>44</v>
      </c>
      <c r="BU45" s="10">
        <f t="shared" si="28"/>
        <v>43</v>
      </c>
      <c r="BV45" s="10">
        <f t="shared" si="29"/>
        <v>42</v>
      </c>
      <c r="BW45" s="10">
        <f t="shared" si="30"/>
        <v>41</v>
      </c>
      <c r="BX45" s="10">
        <f t="shared" si="31"/>
        <v>40</v>
      </c>
      <c r="BY45" s="10">
        <f t="shared" si="32"/>
        <v>39</v>
      </c>
      <c r="BZ45" s="10">
        <f t="shared" si="33"/>
        <v>38</v>
      </c>
      <c r="CA45" s="10">
        <f t="shared" si="34"/>
        <v>37</v>
      </c>
      <c r="CB45" s="10">
        <f t="shared" si="35"/>
        <v>36</v>
      </c>
      <c r="CC45" s="10">
        <f t="shared" si="36"/>
        <v>35</v>
      </c>
      <c r="CD45" s="10">
        <f t="shared" si="37"/>
        <v>34</v>
      </c>
      <c r="CE45" s="10">
        <f t="shared" si="38"/>
        <v>33</v>
      </c>
      <c r="CF45" s="10">
        <f t="shared" si="39"/>
        <v>32</v>
      </c>
      <c r="CG45" s="10">
        <f t="shared" si="40"/>
        <v>31</v>
      </c>
      <c r="CH45" s="10">
        <f t="shared" si="41"/>
        <v>30</v>
      </c>
      <c r="CI45" s="10">
        <f t="shared" si="42"/>
        <v>29</v>
      </c>
      <c r="CJ45" s="10">
        <f t="shared" si="43"/>
        <v>28</v>
      </c>
      <c r="CK45" s="10">
        <f t="shared" si="44"/>
        <v>27</v>
      </c>
      <c r="CL45" s="10">
        <f t="shared" si="45"/>
        <v>26</v>
      </c>
      <c r="CM45" s="10" t="str">
        <f>'役職希望調査 ・備考'!I15&amp;""</f>
        <v/>
      </c>
    </row>
    <row r="46" spans="1:91">
      <c r="A46" s="10" t="str">
        <f>時間希望調査!A16&amp;""</f>
        <v/>
      </c>
      <c r="B46" s="10" t="str">
        <f>時間希望調査!B16&amp;""</f>
        <v/>
      </c>
      <c r="C46" s="10" t="str">
        <f>時間希望調査!C16&amp;""</f>
        <v/>
      </c>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0">
        <f t="shared" si="46"/>
        <v>0</v>
      </c>
      <c r="BC46" s="10">
        <f>時間希望調査!D16</f>
        <v>0</v>
      </c>
      <c r="BD46" s="10" t="str">
        <f>'役職希望調査 ・備考'!D16&amp;""</f>
        <v/>
      </c>
      <c r="BE46" s="10" t="str">
        <f>'役職希望調査 ・備考'!E16&amp;""</f>
        <v/>
      </c>
      <c r="BF46" s="10" t="str">
        <f>'役職希望調査 ・備考'!F16&amp;""</f>
        <v/>
      </c>
      <c r="BG46" s="10" t="str">
        <f>'役職希望調査 ・備考'!G16&amp;""</f>
        <v/>
      </c>
      <c r="BH46" s="10" t="str">
        <f>'役職希望調査 ・備考'!H16&amp;""</f>
        <v/>
      </c>
      <c r="BI46" s="10">
        <f t="shared" si="16"/>
        <v>0</v>
      </c>
      <c r="BJ46" s="10">
        <f t="shared" si="17"/>
        <v>0</v>
      </c>
      <c r="BK46" s="10">
        <f t="shared" si="18"/>
        <v>0</v>
      </c>
      <c r="BL46" s="10">
        <f t="shared" si="19"/>
        <v>0</v>
      </c>
      <c r="BM46" s="10">
        <f t="shared" si="20"/>
        <v>0</v>
      </c>
      <c r="BN46" s="10">
        <f t="shared" si="21"/>
        <v>0</v>
      </c>
      <c r="BO46" s="10">
        <f t="shared" si="22"/>
        <v>48</v>
      </c>
      <c r="BP46" s="10">
        <f t="shared" si="23"/>
        <v>48</v>
      </c>
      <c r="BQ46" s="10">
        <f t="shared" si="24"/>
        <v>47</v>
      </c>
      <c r="BR46" s="10">
        <f t="shared" si="25"/>
        <v>46</v>
      </c>
      <c r="BS46" s="10">
        <f t="shared" si="26"/>
        <v>45</v>
      </c>
      <c r="BT46" s="10">
        <f t="shared" si="27"/>
        <v>44</v>
      </c>
      <c r="BU46" s="10">
        <f t="shared" si="28"/>
        <v>43</v>
      </c>
      <c r="BV46" s="10">
        <f t="shared" si="29"/>
        <v>42</v>
      </c>
      <c r="BW46" s="10">
        <f t="shared" si="30"/>
        <v>41</v>
      </c>
      <c r="BX46" s="10">
        <f t="shared" si="31"/>
        <v>40</v>
      </c>
      <c r="BY46" s="10">
        <f t="shared" si="32"/>
        <v>39</v>
      </c>
      <c r="BZ46" s="10">
        <f t="shared" si="33"/>
        <v>38</v>
      </c>
      <c r="CA46" s="10">
        <f t="shared" si="34"/>
        <v>37</v>
      </c>
      <c r="CB46" s="10">
        <f t="shared" si="35"/>
        <v>36</v>
      </c>
      <c r="CC46" s="10">
        <f t="shared" si="36"/>
        <v>35</v>
      </c>
      <c r="CD46" s="10">
        <f t="shared" si="37"/>
        <v>34</v>
      </c>
      <c r="CE46" s="10">
        <f t="shared" si="38"/>
        <v>33</v>
      </c>
      <c r="CF46" s="10">
        <f t="shared" si="39"/>
        <v>32</v>
      </c>
      <c r="CG46" s="10">
        <f t="shared" si="40"/>
        <v>31</v>
      </c>
      <c r="CH46" s="10">
        <f t="shared" si="41"/>
        <v>30</v>
      </c>
      <c r="CI46" s="10">
        <f t="shared" si="42"/>
        <v>29</v>
      </c>
      <c r="CJ46" s="10">
        <f t="shared" si="43"/>
        <v>28</v>
      </c>
      <c r="CK46" s="10">
        <f t="shared" si="44"/>
        <v>27</v>
      </c>
      <c r="CL46" s="10">
        <f t="shared" si="45"/>
        <v>26</v>
      </c>
      <c r="CM46" s="10" t="str">
        <f>'役職希望調査 ・備考'!I16&amp;""</f>
        <v/>
      </c>
    </row>
    <row r="47" spans="1:91">
      <c r="A47" s="10" t="str">
        <f>時間希望調査!A17&amp;""</f>
        <v/>
      </c>
      <c r="B47" s="10" t="str">
        <f>時間希望調査!B17&amp;""</f>
        <v/>
      </c>
      <c r="C47" s="10" t="str">
        <f>時間希望調査!C17&amp;""</f>
        <v/>
      </c>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0">
        <f t="shared" si="46"/>
        <v>0</v>
      </c>
      <c r="BC47" s="10">
        <f>時間希望調査!D17</f>
        <v>0</v>
      </c>
      <c r="BD47" s="10" t="str">
        <f>'役職希望調査 ・備考'!D17&amp;""</f>
        <v/>
      </c>
      <c r="BE47" s="10" t="str">
        <f>'役職希望調査 ・備考'!E17&amp;""</f>
        <v/>
      </c>
      <c r="BF47" s="10" t="str">
        <f>'役職希望調査 ・備考'!F17&amp;""</f>
        <v/>
      </c>
      <c r="BG47" s="10" t="str">
        <f>'役職希望調査 ・備考'!G17&amp;""</f>
        <v/>
      </c>
      <c r="BH47" s="10" t="str">
        <f>'役職希望調査 ・備考'!H17&amp;""</f>
        <v/>
      </c>
      <c r="BI47" s="10">
        <f t="shared" si="16"/>
        <v>0</v>
      </c>
      <c r="BJ47" s="10">
        <f t="shared" si="17"/>
        <v>0</v>
      </c>
      <c r="BK47" s="10">
        <f t="shared" si="18"/>
        <v>0</v>
      </c>
      <c r="BL47" s="10">
        <f t="shared" si="19"/>
        <v>0</v>
      </c>
      <c r="BM47" s="10">
        <f t="shared" si="20"/>
        <v>0</v>
      </c>
      <c r="BN47" s="10">
        <f t="shared" si="21"/>
        <v>0</v>
      </c>
      <c r="BO47" s="10">
        <f t="shared" si="22"/>
        <v>48</v>
      </c>
      <c r="BP47" s="10">
        <f t="shared" si="23"/>
        <v>48</v>
      </c>
      <c r="BQ47" s="10">
        <f t="shared" si="24"/>
        <v>47</v>
      </c>
      <c r="BR47" s="10">
        <f t="shared" si="25"/>
        <v>46</v>
      </c>
      <c r="BS47" s="10">
        <f t="shared" si="26"/>
        <v>45</v>
      </c>
      <c r="BT47" s="10">
        <f t="shared" si="27"/>
        <v>44</v>
      </c>
      <c r="BU47" s="10">
        <f t="shared" si="28"/>
        <v>43</v>
      </c>
      <c r="BV47" s="10">
        <f t="shared" si="29"/>
        <v>42</v>
      </c>
      <c r="BW47" s="10">
        <f t="shared" si="30"/>
        <v>41</v>
      </c>
      <c r="BX47" s="10">
        <f t="shared" si="31"/>
        <v>40</v>
      </c>
      <c r="BY47" s="10">
        <f t="shared" si="32"/>
        <v>39</v>
      </c>
      <c r="BZ47" s="10">
        <f t="shared" si="33"/>
        <v>38</v>
      </c>
      <c r="CA47" s="10">
        <f t="shared" si="34"/>
        <v>37</v>
      </c>
      <c r="CB47" s="10">
        <f t="shared" si="35"/>
        <v>36</v>
      </c>
      <c r="CC47" s="10">
        <f t="shared" si="36"/>
        <v>35</v>
      </c>
      <c r="CD47" s="10">
        <f t="shared" si="37"/>
        <v>34</v>
      </c>
      <c r="CE47" s="10">
        <f t="shared" si="38"/>
        <v>33</v>
      </c>
      <c r="CF47" s="10">
        <f t="shared" si="39"/>
        <v>32</v>
      </c>
      <c r="CG47" s="10">
        <f t="shared" si="40"/>
        <v>31</v>
      </c>
      <c r="CH47" s="10">
        <f t="shared" si="41"/>
        <v>30</v>
      </c>
      <c r="CI47" s="10">
        <f t="shared" si="42"/>
        <v>29</v>
      </c>
      <c r="CJ47" s="10">
        <f t="shared" si="43"/>
        <v>28</v>
      </c>
      <c r="CK47" s="10">
        <f t="shared" si="44"/>
        <v>27</v>
      </c>
      <c r="CL47" s="10">
        <f t="shared" si="45"/>
        <v>26</v>
      </c>
      <c r="CM47" s="10" t="str">
        <f>'役職希望調査 ・備考'!I17&amp;""</f>
        <v/>
      </c>
    </row>
    <row r="48" spans="1:91">
      <c r="A48" s="10" t="str">
        <f>時間希望調査!A18&amp;""</f>
        <v/>
      </c>
      <c r="B48" s="10" t="str">
        <f>時間希望調査!B18&amp;""</f>
        <v/>
      </c>
      <c r="C48" s="10" t="str">
        <f>時間希望調査!C18&amp;""</f>
        <v/>
      </c>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0">
        <f t="shared" si="46"/>
        <v>0</v>
      </c>
      <c r="BC48" s="10">
        <f>時間希望調査!D18</f>
        <v>0</v>
      </c>
      <c r="BD48" s="10" t="str">
        <f>'役職希望調査 ・備考'!D18&amp;""</f>
        <v/>
      </c>
      <c r="BE48" s="10" t="str">
        <f>'役職希望調査 ・備考'!E18&amp;""</f>
        <v/>
      </c>
      <c r="BF48" s="10" t="str">
        <f>'役職希望調査 ・備考'!F18&amp;""</f>
        <v/>
      </c>
      <c r="BG48" s="10" t="str">
        <f>'役職希望調査 ・備考'!G18&amp;""</f>
        <v/>
      </c>
      <c r="BH48" s="10" t="str">
        <f>'役職希望調査 ・備考'!H18&amp;""</f>
        <v/>
      </c>
      <c r="BI48" s="10">
        <f t="shared" si="16"/>
        <v>0</v>
      </c>
      <c r="BJ48" s="10">
        <f t="shared" si="17"/>
        <v>0</v>
      </c>
      <c r="BK48" s="10">
        <f t="shared" si="18"/>
        <v>0</v>
      </c>
      <c r="BL48" s="10">
        <f t="shared" si="19"/>
        <v>0</v>
      </c>
      <c r="BM48" s="10">
        <f t="shared" si="20"/>
        <v>0</v>
      </c>
      <c r="BN48" s="10">
        <f t="shared" si="21"/>
        <v>0</v>
      </c>
      <c r="BO48" s="10">
        <f t="shared" si="22"/>
        <v>48</v>
      </c>
      <c r="BP48" s="10">
        <f t="shared" si="23"/>
        <v>48</v>
      </c>
      <c r="BQ48" s="10">
        <f t="shared" si="24"/>
        <v>47</v>
      </c>
      <c r="BR48" s="10">
        <f t="shared" si="25"/>
        <v>46</v>
      </c>
      <c r="BS48" s="10">
        <f t="shared" si="26"/>
        <v>45</v>
      </c>
      <c r="BT48" s="10">
        <f t="shared" si="27"/>
        <v>44</v>
      </c>
      <c r="BU48" s="10">
        <f t="shared" si="28"/>
        <v>43</v>
      </c>
      <c r="BV48" s="10">
        <f t="shared" si="29"/>
        <v>42</v>
      </c>
      <c r="BW48" s="10">
        <f t="shared" si="30"/>
        <v>41</v>
      </c>
      <c r="BX48" s="10">
        <f t="shared" si="31"/>
        <v>40</v>
      </c>
      <c r="BY48" s="10">
        <f t="shared" si="32"/>
        <v>39</v>
      </c>
      <c r="BZ48" s="10">
        <f t="shared" si="33"/>
        <v>38</v>
      </c>
      <c r="CA48" s="10">
        <f t="shared" si="34"/>
        <v>37</v>
      </c>
      <c r="CB48" s="10">
        <f t="shared" si="35"/>
        <v>36</v>
      </c>
      <c r="CC48" s="10">
        <f t="shared" si="36"/>
        <v>35</v>
      </c>
      <c r="CD48" s="10">
        <f t="shared" si="37"/>
        <v>34</v>
      </c>
      <c r="CE48" s="10">
        <f t="shared" si="38"/>
        <v>33</v>
      </c>
      <c r="CF48" s="10">
        <f t="shared" si="39"/>
        <v>32</v>
      </c>
      <c r="CG48" s="10">
        <f t="shared" si="40"/>
        <v>31</v>
      </c>
      <c r="CH48" s="10">
        <f t="shared" si="41"/>
        <v>30</v>
      </c>
      <c r="CI48" s="10">
        <f t="shared" si="42"/>
        <v>29</v>
      </c>
      <c r="CJ48" s="10">
        <f t="shared" si="43"/>
        <v>28</v>
      </c>
      <c r="CK48" s="10">
        <f t="shared" si="44"/>
        <v>27</v>
      </c>
      <c r="CL48" s="10">
        <f t="shared" si="45"/>
        <v>26</v>
      </c>
      <c r="CM48" s="10" t="str">
        <f>'役職希望調査 ・備考'!I18&amp;""</f>
        <v/>
      </c>
    </row>
    <row r="49" spans="1:91">
      <c r="A49" s="10" t="str">
        <f>時間希望調査!A19&amp;""</f>
        <v/>
      </c>
      <c r="B49" s="10" t="str">
        <f>時間希望調査!B19&amp;""</f>
        <v/>
      </c>
      <c r="C49" s="10" t="str">
        <f>時間希望調査!C19&amp;""</f>
        <v/>
      </c>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0">
        <f t="shared" si="46"/>
        <v>0</v>
      </c>
      <c r="BC49" s="10">
        <f>時間希望調査!D19</f>
        <v>0</v>
      </c>
      <c r="BD49" s="10" t="str">
        <f>'役職希望調査 ・備考'!D19&amp;""</f>
        <v/>
      </c>
      <c r="BE49" s="10" t="str">
        <f>'役職希望調査 ・備考'!E19&amp;""</f>
        <v/>
      </c>
      <c r="BF49" s="10" t="str">
        <f>'役職希望調査 ・備考'!F19&amp;""</f>
        <v/>
      </c>
      <c r="BG49" s="10" t="str">
        <f>'役職希望調査 ・備考'!G19&amp;""</f>
        <v/>
      </c>
      <c r="BH49" s="10" t="str">
        <f>'役職希望調査 ・備考'!H19&amp;""</f>
        <v/>
      </c>
      <c r="BI49" s="10">
        <f t="shared" si="16"/>
        <v>0</v>
      </c>
      <c r="BJ49" s="10">
        <f t="shared" si="17"/>
        <v>0</v>
      </c>
      <c r="BK49" s="10">
        <f t="shared" si="18"/>
        <v>0</v>
      </c>
      <c r="BL49" s="10">
        <f t="shared" si="19"/>
        <v>0</v>
      </c>
      <c r="BM49" s="10">
        <f t="shared" si="20"/>
        <v>0</v>
      </c>
      <c r="BN49" s="10">
        <f t="shared" si="21"/>
        <v>0</v>
      </c>
      <c r="BO49" s="10">
        <f t="shared" si="22"/>
        <v>48</v>
      </c>
      <c r="BP49" s="10">
        <f t="shared" si="23"/>
        <v>48</v>
      </c>
      <c r="BQ49" s="10">
        <f t="shared" si="24"/>
        <v>47</v>
      </c>
      <c r="BR49" s="10">
        <f t="shared" si="25"/>
        <v>46</v>
      </c>
      <c r="BS49" s="10">
        <f t="shared" si="26"/>
        <v>45</v>
      </c>
      <c r="BT49" s="10">
        <f t="shared" si="27"/>
        <v>44</v>
      </c>
      <c r="BU49" s="10">
        <f t="shared" si="28"/>
        <v>43</v>
      </c>
      <c r="BV49" s="10">
        <f t="shared" si="29"/>
        <v>42</v>
      </c>
      <c r="BW49" s="10">
        <f t="shared" si="30"/>
        <v>41</v>
      </c>
      <c r="BX49" s="10">
        <f t="shared" si="31"/>
        <v>40</v>
      </c>
      <c r="BY49" s="10">
        <f t="shared" si="32"/>
        <v>39</v>
      </c>
      <c r="BZ49" s="10">
        <f t="shared" si="33"/>
        <v>38</v>
      </c>
      <c r="CA49" s="10">
        <f t="shared" si="34"/>
        <v>37</v>
      </c>
      <c r="CB49" s="10">
        <f t="shared" si="35"/>
        <v>36</v>
      </c>
      <c r="CC49" s="10">
        <f t="shared" si="36"/>
        <v>35</v>
      </c>
      <c r="CD49" s="10">
        <f t="shared" si="37"/>
        <v>34</v>
      </c>
      <c r="CE49" s="10">
        <f t="shared" si="38"/>
        <v>33</v>
      </c>
      <c r="CF49" s="10">
        <f t="shared" si="39"/>
        <v>32</v>
      </c>
      <c r="CG49" s="10">
        <f t="shared" si="40"/>
        <v>31</v>
      </c>
      <c r="CH49" s="10">
        <f t="shared" si="41"/>
        <v>30</v>
      </c>
      <c r="CI49" s="10">
        <f t="shared" si="42"/>
        <v>29</v>
      </c>
      <c r="CJ49" s="10">
        <f t="shared" si="43"/>
        <v>28</v>
      </c>
      <c r="CK49" s="10">
        <f t="shared" si="44"/>
        <v>27</v>
      </c>
      <c r="CL49" s="10">
        <f t="shared" si="45"/>
        <v>26</v>
      </c>
      <c r="CM49" s="10" t="str">
        <f>'役職希望調査 ・備考'!I19&amp;""</f>
        <v/>
      </c>
    </row>
    <row r="50" spans="1:91">
      <c r="A50" s="10" t="str">
        <f>時間希望調査!A20&amp;""</f>
        <v/>
      </c>
      <c r="B50" s="10" t="str">
        <f>時間希望調査!B20&amp;""</f>
        <v/>
      </c>
      <c r="C50" s="10" t="str">
        <f>時間希望調査!C20&amp;""</f>
        <v/>
      </c>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0">
        <f t="shared" si="46"/>
        <v>0</v>
      </c>
      <c r="BC50" s="10">
        <f>時間希望調査!D20</f>
        <v>0</v>
      </c>
      <c r="BD50" s="10" t="str">
        <f>'役職希望調査 ・備考'!D20&amp;""</f>
        <v/>
      </c>
      <c r="BE50" s="10" t="str">
        <f>'役職希望調査 ・備考'!E20&amp;""</f>
        <v/>
      </c>
      <c r="BF50" s="10" t="str">
        <f>'役職希望調査 ・備考'!F20&amp;""</f>
        <v/>
      </c>
      <c r="BG50" s="10" t="str">
        <f>'役職希望調査 ・備考'!G20&amp;""</f>
        <v/>
      </c>
      <c r="BH50" s="10" t="str">
        <f>'役職希望調査 ・備考'!H20&amp;""</f>
        <v/>
      </c>
      <c r="BI50" s="10">
        <f t="shared" si="16"/>
        <v>0</v>
      </c>
      <c r="BJ50" s="10">
        <f t="shared" si="17"/>
        <v>0</v>
      </c>
      <c r="BK50" s="10">
        <f t="shared" si="18"/>
        <v>0</v>
      </c>
      <c r="BL50" s="10">
        <f t="shared" si="19"/>
        <v>0</v>
      </c>
      <c r="BM50" s="10">
        <f t="shared" si="20"/>
        <v>0</v>
      </c>
      <c r="BN50" s="10">
        <f t="shared" si="21"/>
        <v>0</v>
      </c>
      <c r="BO50" s="10">
        <f t="shared" si="22"/>
        <v>48</v>
      </c>
      <c r="BP50" s="10">
        <f t="shared" si="23"/>
        <v>48</v>
      </c>
      <c r="BQ50" s="10">
        <f t="shared" si="24"/>
        <v>47</v>
      </c>
      <c r="BR50" s="10">
        <f t="shared" si="25"/>
        <v>46</v>
      </c>
      <c r="BS50" s="10">
        <f t="shared" si="26"/>
        <v>45</v>
      </c>
      <c r="BT50" s="10">
        <f t="shared" si="27"/>
        <v>44</v>
      </c>
      <c r="BU50" s="10">
        <f t="shared" si="28"/>
        <v>43</v>
      </c>
      <c r="BV50" s="10">
        <f t="shared" si="29"/>
        <v>42</v>
      </c>
      <c r="BW50" s="10">
        <f t="shared" si="30"/>
        <v>41</v>
      </c>
      <c r="BX50" s="10">
        <f t="shared" si="31"/>
        <v>40</v>
      </c>
      <c r="BY50" s="10">
        <f t="shared" si="32"/>
        <v>39</v>
      </c>
      <c r="BZ50" s="10">
        <f t="shared" si="33"/>
        <v>38</v>
      </c>
      <c r="CA50" s="10">
        <f t="shared" si="34"/>
        <v>37</v>
      </c>
      <c r="CB50" s="10">
        <f t="shared" si="35"/>
        <v>36</v>
      </c>
      <c r="CC50" s="10">
        <f t="shared" si="36"/>
        <v>35</v>
      </c>
      <c r="CD50" s="10">
        <f t="shared" si="37"/>
        <v>34</v>
      </c>
      <c r="CE50" s="10">
        <f t="shared" si="38"/>
        <v>33</v>
      </c>
      <c r="CF50" s="10">
        <f t="shared" si="39"/>
        <v>32</v>
      </c>
      <c r="CG50" s="10">
        <f t="shared" si="40"/>
        <v>31</v>
      </c>
      <c r="CH50" s="10">
        <f t="shared" si="41"/>
        <v>30</v>
      </c>
      <c r="CI50" s="10">
        <f t="shared" si="42"/>
        <v>29</v>
      </c>
      <c r="CJ50" s="10">
        <f t="shared" si="43"/>
        <v>28</v>
      </c>
      <c r="CK50" s="10">
        <f t="shared" si="44"/>
        <v>27</v>
      </c>
      <c r="CL50" s="10">
        <f t="shared" si="45"/>
        <v>26</v>
      </c>
      <c r="CM50" s="10" t="str">
        <f>'役職希望調査 ・備考'!I20&amp;""</f>
        <v/>
      </c>
    </row>
    <row r="51" spans="1:91">
      <c r="A51" s="10" t="str">
        <f>時間希望調査!A21&amp;""</f>
        <v/>
      </c>
      <c r="B51" s="10" t="str">
        <f>時間希望調査!B21&amp;""</f>
        <v/>
      </c>
      <c r="C51" s="10" t="str">
        <f>時間希望調査!C21&amp;""</f>
        <v/>
      </c>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0">
        <f t="shared" si="46"/>
        <v>0</v>
      </c>
      <c r="BC51" s="10">
        <f>時間希望調査!D21</f>
        <v>0</v>
      </c>
      <c r="BD51" s="10" t="str">
        <f>'役職希望調査 ・備考'!D21&amp;""</f>
        <v/>
      </c>
      <c r="BE51" s="10" t="str">
        <f>'役職希望調査 ・備考'!E21&amp;""</f>
        <v/>
      </c>
      <c r="BF51" s="10" t="str">
        <f>'役職希望調査 ・備考'!F21&amp;""</f>
        <v/>
      </c>
      <c r="BG51" s="10" t="str">
        <f>'役職希望調査 ・備考'!G21&amp;""</f>
        <v/>
      </c>
      <c r="BH51" s="10" t="str">
        <f>'役職希望調査 ・備考'!H21&amp;""</f>
        <v/>
      </c>
      <c r="BI51" s="10">
        <f t="shared" si="16"/>
        <v>0</v>
      </c>
      <c r="BJ51" s="10">
        <f t="shared" si="17"/>
        <v>0</v>
      </c>
      <c r="BK51" s="10">
        <f t="shared" si="18"/>
        <v>0</v>
      </c>
      <c r="BL51" s="10">
        <f t="shared" si="19"/>
        <v>0</v>
      </c>
      <c r="BM51" s="10">
        <f t="shared" si="20"/>
        <v>0</v>
      </c>
      <c r="BN51" s="10">
        <f t="shared" si="21"/>
        <v>0</v>
      </c>
      <c r="BO51" s="10">
        <f t="shared" si="22"/>
        <v>48</v>
      </c>
      <c r="BP51" s="10">
        <f t="shared" si="23"/>
        <v>48</v>
      </c>
      <c r="BQ51" s="10">
        <f t="shared" si="24"/>
        <v>47</v>
      </c>
      <c r="BR51" s="10">
        <f t="shared" si="25"/>
        <v>46</v>
      </c>
      <c r="BS51" s="10">
        <f t="shared" si="26"/>
        <v>45</v>
      </c>
      <c r="BT51" s="10">
        <f t="shared" si="27"/>
        <v>44</v>
      </c>
      <c r="BU51" s="10">
        <f t="shared" si="28"/>
        <v>43</v>
      </c>
      <c r="BV51" s="10">
        <f t="shared" si="29"/>
        <v>42</v>
      </c>
      <c r="BW51" s="10">
        <f t="shared" si="30"/>
        <v>41</v>
      </c>
      <c r="BX51" s="10">
        <f t="shared" si="31"/>
        <v>40</v>
      </c>
      <c r="BY51" s="10">
        <f t="shared" si="32"/>
        <v>39</v>
      </c>
      <c r="BZ51" s="10">
        <f t="shared" si="33"/>
        <v>38</v>
      </c>
      <c r="CA51" s="10">
        <f t="shared" si="34"/>
        <v>37</v>
      </c>
      <c r="CB51" s="10">
        <f t="shared" si="35"/>
        <v>36</v>
      </c>
      <c r="CC51" s="10">
        <f t="shared" si="36"/>
        <v>35</v>
      </c>
      <c r="CD51" s="10">
        <f t="shared" si="37"/>
        <v>34</v>
      </c>
      <c r="CE51" s="10">
        <f t="shared" si="38"/>
        <v>33</v>
      </c>
      <c r="CF51" s="10">
        <f t="shared" si="39"/>
        <v>32</v>
      </c>
      <c r="CG51" s="10">
        <f t="shared" si="40"/>
        <v>31</v>
      </c>
      <c r="CH51" s="10">
        <f t="shared" si="41"/>
        <v>30</v>
      </c>
      <c r="CI51" s="10">
        <f t="shared" si="42"/>
        <v>29</v>
      </c>
      <c r="CJ51" s="10">
        <f t="shared" si="43"/>
        <v>28</v>
      </c>
      <c r="CK51" s="10">
        <f t="shared" si="44"/>
        <v>27</v>
      </c>
      <c r="CL51" s="10">
        <f t="shared" si="45"/>
        <v>26</v>
      </c>
      <c r="CM51" s="10" t="str">
        <f>'役職希望調査 ・備考'!I21&amp;""</f>
        <v/>
      </c>
    </row>
    <row r="52" spans="1:91">
      <c r="A52" s="10" t="str">
        <f>時間希望調査!A22&amp;""</f>
        <v/>
      </c>
      <c r="B52" s="10" t="str">
        <f>時間希望調査!B22&amp;""</f>
        <v/>
      </c>
      <c r="C52" s="10" t="str">
        <f>時間希望調査!C22&amp;""</f>
        <v/>
      </c>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0">
        <f t="shared" si="46"/>
        <v>0</v>
      </c>
      <c r="BC52" s="10">
        <f>時間希望調査!D22</f>
        <v>0</v>
      </c>
      <c r="BD52" s="10" t="str">
        <f>'役職希望調査 ・備考'!D22&amp;""</f>
        <v/>
      </c>
      <c r="BE52" s="10" t="str">
        <f>'役職希望調査 ・備考'!E22&amp;""</f>
        <v/>
      </c>
      <c r="BF52" s="10" t="str">
        <f>'役職希望調査 ・備考'!F22&amp;""</f>
        <v/>
      </c>
      <c r="BG52" s="10" t="str">
        <f>'役職希望調査 ・備考'!G22&amp;""</f>
        <v/>
      </c>
      <c r="BH52" s="10" t="str">
        <f>'役職希望調査 ・備考'!H22&amp;""</f>
        <v/>
      </c>
      <c r="BI52" s="10">
        <f t="shared" si="16"/>
        <v>0</v>
      </c>
      <c r="BJ52" s="10">
        <f t="shared" si="17"/>
        <v>0</v>
      </c>
      <c r="BK52" s="10">
        <f t="shared" si="18"/>
        <v>0</v>
      </c>
      <c r="BL52" s="10">
        <f t="shared" si="19"/>
        <v>0</v>
      </c>
      <c r="BM52" s="10">
        <f t="shared" si="20"/>
        <v>0</v>
      </c>
      <c r="BN52" s="10">
        <f t="shared" si="21"/>
        <v>0</v>
      </c>
      <c r="BO52" s="10">
        <f t="shared" si="22"/>
        <v>48</v>
      </c>
      <c r="BP52" s="10">
        <f t="shared" si="23"/>
        <v>48</v>
      </c>
      <c r="BQ52" s="10">
        <f t="shared" si="24"/>
        <v>47</v>
      </c>
      <c r="BR52" s="10">
        <f t="shared" si="25"/>
        <v>46</v>
      </c>
      <c r="BS52" s="10">
        <f t="shared" si="26"/>
        <v>45</v>
      </c>
      <c r="BT52" s="10">
        <f t="shared" si="27"/>
        <v>44</v>
      </c>
      <c r="BU52" s="10">
        <f t="shared" si="28"/>
        <v>43</v>
      </c>
      <c r="BV52" s="10">
        <f t="shared" si="29"/>
        <v>42</v>
      </c>
      <c r="BW52" s="10">
        <f t="shared" si="30"/>
        <v>41</v>
      </c>
      <c r="BX52" s="10">
        <f t="shared" si="31"/>
        <v>40</v>
      </c>
      <c r="BY52" s="10">
        <f t="shared" si="32"/>
        <v>39</v>
      </c>
      <c r="BZ52" s="10">
        <f t="shared" si="33"/>
        <v>38</v>
      </c>
      <c r="CA52" s="10">
        <f t="shared" si="34"/>
        <v>37</v>
      </c>
      <c r="CB52" s="10">
        <f t="shared" si="35"/>
        <v>36</v>
      </c>
      <c r="CC52" s="10">
        <f t="shared" si="36"/>
        <v>35</v>
      </c>
      <c r="CD52" s="10">
        <f t="shared" si="37"/>
        <v>34</v>
      </c>
      <c r="CE52" s="10">
        <f t="shared" si="38"/>
        <v>33</v>
      </c>
      <c r="CF52" s="10">
        <f t="shared" si="39"/>
        <v>32</v>
      </c>
      <c r="CG52" s="10">
        <f t="shared" si="40"/>
        <v>31</v>
      </c>
      <c r="CH52" s="10">
        <f t="shared" si="41"/>
        <v>30</v>
      </c>
      <c r="CI52" s="10">
        <f t="shared" si="42"/>
        <v>29</v>
      </c>
      <c r="CJ52" s="10">
        <f t="shared" si="43"/>
        <v>28</v>
      </c>
      <c r="CK52" s="10">
        <f t="shared" si="44"/>
        <v>27</v>
      </c>
      <c r="CL52" s="10">
        <f t="shared" si="45"/>
        <v>26</v>
      </c>
      <c r="CM52" s="10" t="str">
        <f>'役職希望調査 ・備考'!I22&amp;""</f>
        <v/>
      </c>
    </row>
    <row r="53" spans="1:91">
      <c r="A53" s="10" t="str">
        <f>時間希望調査!A23&amp;""</f>
        <v/>
      </c>
      <c r="B53" s="10" t="str">
        <f>時間希望調査!B23&amp;""</f>
        <v/>
      </c>
      <c r="C53" s="10" t="str">
        <f>時間希望調査!C23&amp;""</f>
        <v/>
      </c>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0">
        <f t="shared" si="46"/>
        <v>0</v>
      </c>
      <c r="BC53" s="10">
        <f>時間希望調査!D23</f>
        <v>0</v>
      </c>
      <c r="BD53" s="10" t="str">
        <f>'役職希望調査 ・備考'!D23&amp;""</f>
        <v/>
      </c>
      <c r="BE53" s="10" t="str">
        <f>'役職希望調査 ・備考'!E23&amp;""</f>
        <v/>
      </c>
      <c r="BF53" s="10" t="str">
        <f>'役職希望調査 ・備考'!F23&amp;""</f>
        <v/>
      </c>
      <c r="BG53" s="10" t="str">
        <f>'役職希望調査 ・備考'!G23&amp;""</f>
        <v/>
      </c>
      <c r="BH53" s="10" t="str">
        <f>'役職希望調査 ・備考'!H23&amp;""</f>
        <v/>
      </c>
      <c r="BI53" s="10">
        <f t="shared" si="16"/>
        <v>0</v>
      </c>
      <c r="BJ53" s="10">
        <f t="shared" si="17"/>
        <v>0</v>
      </c>
      <c r="BK53" s="10">
        <f t="shared" si="18"/>
        <v>0</v>
      </c>
      <c r="BL53" s="10">
        <f t="shared" si="19"/>
        <v>0</v>
      </c>
      <c r="BM53" s="10">
        <f t="shared" si="20"/>
        <v>0</v>
      </c>
      <c r="BN53" s="10">
        <f t="shared" si="21"/>
        <v>0</v>
      </c>
      <c r="BO53" s="10">
        <f t="shared" si="22"/>
        <v>48</v>
      </c>
      <c r="BP53" s="10">
        <f t="shared" si="23"/>
        <v>48</v>
      </c>
      <c r="BQ53" s="10">
        <f t="shared" si="24"/>
        <v>47</v>
      </c>
      <c r="BR53" s="10">
        <f t="shared" si="25"/>
        <v>46</v>
      </c>
      <c r="BS53" s="10">
        <f t="shared" si="26"/>
        <v>45</v>
      </c>
      <c r="BT53" s="10">
        <f t="shared" si="27"/>
        <v>44</v>
      </c>
      <c r="BU53" s="10">
        <f t="shared" si="28"/>
        <v>43</v>
      </c>
      <c r="BV53" s="10">
        <f t="shared" si="29"/>
        <v>42</v>
      </c>
      <c r="BW53" s="10">
        <f t="shared" si="30"/>
        <v>41</v>
      </c>
      <c r="BX53" s="10">
        <f t="shared" si="31"/>
        <v>40</v>
      </c>
      <c r="BY53" s="10">
        <f t="shared" si="32"/>
        <v>39</v>
      </c>
      <c r="BZ53" s="10">
        <f t="shared" si="33"/>
        <v>38</v>
      </c>
      <c r="CA53" s="10">
        <f t="shared" si="34"/>
        <v>37</v>
      </c>
      <c r="CB53" s="10">
        <f t="shared" si="35"/>
        <v>36</v>
      </c>
      <c r="CC53" s="10">
        <f t="shared" si="36"/>
        <v>35</v>
      </c>
      <c r="CD53" s="10">
        <f t="shared" si="37"/>
        <v>34</v>
      </c>
      <c r="CE53" s="10">
        <f t="shared" si="38"/>
        <v>33</v>
      </c>
      <c r="CF53" s="10">
        <f t="shared" si="39"/>
        <v>32</v>
      </c>
      <c r="CG53" s="10">
        <f t="shared" si="40"/>
        <v>31</v>
      </c>
      <c r="CH53" s="10">
        <f t="shared" si="41"/>
        <v>30</v>
      </c>
      <c r="CI53" s="10">
        <f t="shared" si="42"/>
        <v>29</v>
      </c>
      <c r="CJ53" s="10">
        <f t="shared" si="43"/>
        <v>28</v>
      </c>
      <c r="CK53" s="10">
        <f t="shared" si="44"/>
        <v>27</v>
      </c>
      <c r="CL53" s="10">
        <f t="shared" si="45"/>
        <v>26</v>
      </c>
      <c r="CM53" s="10" t="str">
        <f>'役職希望調査 ・備考'!I23&amp;""</f>
        <v/>
      </c>
    </row>
    <row r="54" spans="1:91">
      <c r="A54" s="10" t="str">
        <f>時間希望調査!A24&amp;""</f>
        <v/>
      </c>
      <c r="B54" s="10" t="str">
        <f>時間希望調査!B24&amp;""</f>
        <v/>
      </c>
      <c r="C54" s="10" t="str">
        <f>時間希望調査!C24&amp;""</f>
        <v/>
      </c>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0">
        <f t="shared" si="46"/>
        <v>0</v>
      </c>
      <c r="BC54" s="10">
        <f>時間希望調査!D24</f>
        <v>0</v>
      </c>
      <c r="BD54" s="10" t="str">
        <f>'役職希望調査 ・備考'!D24&amp;""</f>
        <v/>
      </c>
      <c r="BE54" s="10" t="str">
        <f>'役職希望調査 ・備考'!E24&amp;""</f>
        <v/>
      </c>
      <c r="BF54" s="10" t="str">
        <f>'役職希望調査 ・備考'!F24&amp;""</f>
        <v/>
      </c>
      <c r="BG54" s="10" t="str">
        <f>'役職希望調査 ・備考'!G24&amp;""</f>
        <v/>
      </c>
      <c r="BH54" s="10" t="str">
        <f>'役職希望調査 ・備考'!H24&amp;""</f>
        <v/>
      </c>
      <c r="BI54" s="10">
        <f t="shared" si="16"/>
        <v>0</v>
      </c>
      <c r="BJ54" s="10">
        <f t="shared" si="17"/>
        <v>0</v>
      </c>
      <c r="BK54" s="10">
        <f t="shared" si="18"/>
        <v>0</v>
      </c>
      <c r="BL54" s="10">
        <f t="shared" si="19"/>
        <v>0</v>
      </c>
      <c r="BM54" s="10">
        <f t="shared" si="20"/>
        <v>0</v>
      </c>
      <c r="BN54" s="10">
        <f t="shared" si="21"/>
        <v>0</v>
      </c>
      <c r="BO54" s="10">
        <f t="shared" si="22"/>
        <v>48</v>
      </c>
      <c r="BP54" s="10">
        <f t="shared" si="23"/>
        <v>48</v>
      </c>
      <c r="BQ54" s="10">
        <f t="shared" si="24"/>
        <v>47</v>
      </c>
      <c r="BR54" s="10">
        <f t="shared" si="25"/>
        <v>46</v>
      </c>
      <c r="BS54" s="10">
        <f t="shared" si="26"/>
        <v>45</v>
      </c>
      <c r="BT54" s="10">
        <f t="shared" si="27"/>
        <v>44</v>
      </c>
      <c r="BU54" s="10">
        <f t="shared" si="28"/>
        <v>43</v>
      </c>
      <c r="BV54" s="10">
        <f t="shared" si="29"/>
        <v>42</v>
      </c>
      <c r="BW54" s="10">
        <f t="shared" si="30"/>
        <v>41</v>
      </c>
      <c r="BX54" s="10">
        <f t="shared" si="31"/>
        <v>40</v>
      </c>
      <c r="BY54" s="10">
        <f t="shared" si="32"/>
        <v>39</v>
      </c>
      <c r="BZ54" s="10">
        <f t="shared" si="33"/>
        <v>38</v>
      </c>
      <c r="CA54" s="10">
        <f t="shared" si="34"/>
        <v>37</v>
      </c>
      <c r="CB54" s="10">
        <f t="shared" si="35"/>
        <v>36</v>
      </c>
      <c r="CC54" s="10">
        <f t="shared" si="36"/>
        <v>35</v>
      </c>
      <c r="CD54" s="10">
        <f t="shared" si="37"/>
        <v>34</v>
      </c>
      <c r="CE54" s="10">
        <f t="shared" si="38"/>
        <v>33</v>
      </c>
      <c r="CF54" s="10">
        <f t="shared" si="39"/>
        <v>32</v>
      </c>
      <c r="CG54" s="10">
        <f t="shared" si="40"/>
        <v>31</v>
      </c>
      <c r="CH54" s="10">
        <f t="shared" si="41"/>
        <v>30</v>
      </c>
      <c r="CI54" s="10">
        <f t="shared" si="42"/>
        <v>29</v>
      </c>
      <c r="CJ54" s="10">
        <f t="shared" si="43"/>
        <v>28</v>
      </c>
      <c r="CK54" s="10">
        <f t="shared" si="44"/>
        <v>27</v>
      </c>
      <c r="CL54" s="10">
        <f t="shared" si="45"/>
        <v>26</v>
      </c>
      <c r="CM54" s="10" t="str">
        <f>'役職希望調査 ・備考'!I24&amp;""</f>
        <v/>
      </c>
    </row>
    <row r="55" spans="1:91">
      <c r="A55" s="10" t="str">
        <f>時間希望調査!A25&amp;""</f>
        <v/>
      </c>
      <c r="B55" s="10" t="str">
        <f>時間希望調査!B25&amp;""</f>
        <v/>
      </c>
      <c r="C55" s="10" t="str">
        <f>時間希望調査!C25&amp;""</f>
        <v/>
      </c>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0">
        <f t="shared" si="46"/>
        <v>0</v>
      </c>
      <c r="BC55" s="10">
        <f>時間希望調査!D25</f>
        <v>0</v>
      </c>
      <c r="BD55" s="10" t="str">
        <f>'役職希望調査 ・備考'!D25&amp;""</f>
        <v/>
      </c>
      <c r="BE55" s="10" t="str">
        <f>'役職希望調査 ・備考'!E25&amp;""</f>
        <v/>
      </c>
      <c r="BF55" s="10" t="str">
        <f>'役職希望調査 ・備考'!F25&amp;""</f>
        <v/>
      </c>
      <c r="BG55" s="10" t="str">
        <f>'役職希望調査 ・備考'!G25&amp;""</f>
        <v/>
      </c>
      <c r="BH55" s="10" t="str">
        <f>'役職希望調査 ・備考'!H25&amp;""</f>
        <v/>
      </c>
      <c r="BI55" s="10">
        <f t="shared" si="16"/>
        <v>0</v>
      </c>
      <c r="BJ55" s="10">
        <f t="shared" si="17"/>
        <v>0</v>
      </c>
      <c r="BK55" s="10">
        <f t="shared" si="18"/>
        <v>0</v>
      </c>
      <c r="BL55" s="10">
        <f t="shared" si="19"/>
        <v>0</v>
      </c>
      <c r="BM55" s="10">
        <f t="shared" si="20"/>
        <v>0</v>
      </c>
      <c r="BN55" s="10">
        <f t="shared" si="21"/>
        <v>0</v>
      </c>
      <c r="BO55" s="10">
        <f t="shared" si="22"/>
        <v>48</v>
      </c>
      <c r="BP55" s="10">
        <f t="shared" si="23"/>
        <v>48</v>
      </c>
      <c r="BQ55" s="10">
        <f t="shared" si="24"/>
        <v>47</v>
      </c>
      <c r="BR55" s="10">
        <f t="shared" si="25"/>
        <v>46</v>
      </c>
      <c r="BS55" s="10">
        <f t="shared" si="26"/>
        <v>45</v>
      </c>
      <c r="BT55" s="10">
        <f t="shared" si="27"/>
        <v>44</v>
      </c>
      <c r="BU55" s="10">
        <f t="shared" si="28"/>
        <v>43</v>
      </c>
      <c r="BV55" s="10">
        <f t="shared" si="29"/>
        <v>42</v>
      </c>
      <c r="BW55" s="10">
        <f t="shared" si="30"/>
        <v>41</v>
      </c>
      <c r="BX55" s="10">
        <f t="shared" si="31"/>
        <v>40</v>
      </c>
      <c r="BY55" s="10">
        <f t="shared" si="32"/>
        <v>39</v>
      </c>
      <c r="BZ55" s="10">
        <f t="shared" si="33"/>
        <v>38</v>
      </c>
      <c r="CA55" s="10">
        <f t="shared" si="34"/>
        <v>37</v>
      </c>
      <c r="CB55" s="10">
        <f t="shared" si="35"/>
        <v>36</v>
      </c>
      <c r="CC55" s="10">
        <f t="shared" si="36"/>
        <v>35</v>
      </c>
      <c r="CD55" s="10">
        <f t="shared" si="37"/>
        <v>34</v>
      </c>
      <c r="CE55" s="10">
        <f t="shared" si="38"/>
        <v>33</v>
      </c>
      <c r="CF55" s="10">
        <f t="shared" si="39"/>
        <v>32</v>
      </c>
      <c r="CG55" s="10">
        <f t="shared" si="40"/>
        <v>31</v>
      </c>
      <c r="CH55" s="10">
        <f t="shared" si="41"/>
        <v>30</v>
      </c>
      <c r="CI55" s="10">
        <f t="shared" si="42"/>
        <v>29</v>
      </c>
      <c r="CJ55" s="10">
        <f t="shared" si="43"/>
        <v>28</v>
      </c>
      <c r="CK55" s="10">
        <f t="shared" si="44"/>
        <v>27</v>
      </c>
      <c r="CL55" s="10">
        <f t="shared" si="45"/>
        <v>26</v>
      </c>
      <c r="CM55" s="10" t="str">
        <f>'役職希望調査 ・備考'!I25&amp;""</f>
        <v/>
      </c>
    </row>
    <row r="56" spans="1:91">
      <c r="A56" s="10" t="str">
        <f>時間希望調査!A26&amp;""</f>
        <v/>
      </c>
      <c r="B56" s="10" t="str">
        <f>時間希望調査!B26&amp;""</f>
        <v/>
      </c>
      <c r="C56" s="10" t="str">
        <f>時間希望調査!C26&amp;""</f>
        <v/>
      </c>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0">
        <f t="shared" si="46"/>
        <v>0</v>
      </c>
      <c r="BC56" s="10">
        <f>時間希望調査!D26</f>
        <v>0</v>
      </c>
      <c r="BD56" s="10" t="str">
        <f>'役職希望調査 ・備考'!D26&amp;""</f>
        <v/>
      </c>
      <c r="BE56" s="10" t="str">
        <f>'役職希望調査 ・備考'!E26&amp;""</f>
        <v/>
      </c>
      <c r="BF56" s="10" t="str">
        <f>'役職希望調査 ・備考'!F26&amp;""</f>
        <v/>
      </c>
      <c r="BG56" s="10" t="str">
        <f>'役職希望調査 ・備考'!G26&amp;""</f>
        <v/>
      </c>
      <c r="BH56" s="10" t="str">
        <f>'役職希望調査 ・備考'!H26&amp;""</f>
        <v/>
      </c>
      <c r="BI56" s="10">
        <f t="shared" si="16"/>
        <v>0</v>
      </c>
      <c r="BJ56" s="10">
        <f t="shared" si="17"/>
        <v>0</v>
      </c>
      <c r="BK56" s="10">
        <f t="shared" si="18"/>
        <v>0</v>
      </c>
      <c r="BL56" s="10">
        <f t="shared" si="19"/>
        <v>0</v>
      </c>
      <c r="BM56" s="10">
        <f t="shared" si="20"/>
        <v>0</v>
      </c>
      <c r="BN56" s="10">
        <f t="shared" si="21"/>
        <v>0</v>
      </c>
      <c r="BO56" s="10">
        <f t="shared" si="22"/>
        <v>48</v>
      </c>
      <c r="BP56" s="10">
        <f t="shared" si="23"/>
        <v>48</v>
      </c>
      <c r="BQ56" s="10">
        <f t="shared" si="24"/>
        <v>47</v>
      </c>
      <c r="BR56" s="10">
        <f t="shared" si="25"/>
        <v>46</v>
      </c>
      <c r="BS56" s="10">
        <f t="shared" si="26"/>
        <v>45</v>
      </c>
      <c r="BT56" s="10">
        <f t="shared" si="27"/>
        <v>44</v>
      </c>
      <c r="BU56" s="10">
        <f t="shared" si="28"/>
        <v>43</v>
      </c>
      <c r="BV56" s="10">
        <f t="shared" si="29"/>
        <v>42</v>
      </c>
      <c r="BW56" s="10">
        <f t="shared" si="30"/>
        <v>41</v>
      </c>
      <c r="BX56" s="10">
        <f t="shared" si="31"/>
        <v>40</v>
      </c>
      <c r="BY56" s="10">
        <f t="shared" si="32"/>
        <v>39</v>
      </c>
      <c r="BZ56" s="10">
        <f t="shared" si="33"/>
        <v>38</v>
      </c>
      <c r="CA56" s="10">
        <f t="shared" si="34"/>
        <v>37</v>
      </c>
      <c r="CB56" s="10">
        <f t="shared" si="35"/>
        <v>36</v>
      </c>
      <c r="CC56" s="10">
        <f t="shared" si="36"/>
        <v>35</v>
      </c>
      <c r="CD56" s="10">
        <f t="shared" si="37"/>
        <v>34</v>
      </c>
      <c r="CE56" s="10">
        <f t="shared" si="38"/>
        <v>33</v>
      </c>
      <c r="CF56" s="10">
        <f t="shared" si="39"/>
        <v>32</v>
      </c>
      <c r="CG56" s="10">
        <f t="shared" si="40"/>
        <v>31</v>
      </c>
      <c r="CH56" s="10">
        <f t="shared" si="41"/>
        <v>30</v>
      </c>
      <c r="CI56" s="10">
        <f t="shared" si="42"/>
        <v>29</v>
      </c>
      <c r="CJ56" s="10">
        <f t="shared" si="43"/>
        <v>28</v>
      </c>
      <c r="CK56" s="10">
        <f t="shared" si="44"/>
        <v>27</v>
      </c>
      <c r="CL56" s="10">
        <f t="shared" si="45"/>
        <v>26</v>
      </c>
      <c r="CM56" s="10" t="str">
        <f>'役職希望調査 ・備考'!I26&amp;""</f>
        <v/>
      </c>
    </row>
    <row r="57" spans="1:91">
      <c r="A57" s="10" t="str">
        <f>時間希望調査!A27&amp;""</f>
        <v/>
      </c>
      <c r="B57" s="10" t="str">
        <f>時間希望調査!B27&amp;""</f>
        <v/>
      </c>
      <c r="C57" s="10" t="str">
        <f>時間希望調査!C27&amp;""</f>
        <v/>
      </c>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0">
        <f t="shared" si="46"/>
        <v>0</v>
      </c>
      <c r="BC57" s="10">
        <f>時間希望調査!D27</f>
        <v>0</v>
      </c>
      <c r="BD57" s="10" t="str">
        <f>'役職希望調査 ・備考'!D27&amp;""</f>
        <v/>
      </c>
      <c r="BE57" s="10" t="str">
        <f>'役職希望調査 ・備考'!E27&amp;""</f>
        <v/>
      </c>
      <c r="BF57" s="10" t="str">
        <f>'役職希望調査 ・備考'!F27&amp;""</f>
        <v/>
      </c>
      <c r="BG57" s="10" t="str">
        <f>'役職希望調査 ・備考'!G27&amp;""</f>
        <v/>
      </c>
      <c r="BH57" s="10" t="str">
        <f>'役職希望調査 ・備考'!H27&amp;""</f>
        <v/>
      </c>
      <c r="BI57" s="10">
        <f t="shared" si="16"/>
        <v>0</v>
      </c>
      <c r="BJ57" s="10">
        <f t="shared" si="17"/>
        <v>0</v>
      </c>
      <c r="BK57" s="10">
        <f t="shared" si="18"/>
        <v>0</v>
      </c>
      <c r="BL57" s="10">
        <f t="shared" si="19"/>
        <v>0</v>
      </c>
      <c r="BM57" s="10">
        <f t="shared" si="20"/>
        <v>0</v>
      </c>
      <c r="BN57" s="10">
        <f t="shared" si="21"/>
        <v>0</v>
      </c>
      <c r="BO57" s="10">
        <f t="shared" si="22"/>
        <v>48</v>
      </c>
      <c r="BP57" s="10">
        <f t="shared" si="23"/>
        <v>48</v>
      </c>
      <c r="BQ57" s="10">
        <f t="shared" si="24"/>
        <v>47</v>
      </c>
      <c r="BR57" s="10">
        <f t="shared" si="25"/>
        <v>46</v>
      </c>
      <c r="BS57" s="10">
        <f t="shared" si="26"/>
        <v>45</v>
      </c>
      <c r="BT57" s="10">
        <f t="shared" si="27"/>
        <v>44</v>
      </c>
      <c r="BU57" s="10">
        <f t="shared" si="28"/>
        <v>43</v>
      </c>
      <c r="BV57" s="10">
        <f t="shared" si="29"/>
        <v>42</v>
      </c>
      <c r="BW57" s="10">
        <f t="shared" si="30"/>
        <v>41</v>
      </c>
      <c r="BX57" s="10">
        <f t="shared" si="31"/>
        <v>40</v>
      </c>
      <c r="BY57" s="10">
        <f t="shared" si="32"/>
        <v>39</v>
      </c>
      <c r="BZ57" s="10">
        <f t="shared" si="33"/>
        <v>38</v>
      </c>
      <c r="CA57" s="10">
        <f t="shared" si="34"/>
        <v>37</v>
      </c>
      <c r="CB57" s="10">
        <f t="shared" si="35"/>
        <v>36</v>
      </c>
      <c r="CC57" s="10">
        <f t="shared" si="36"/>
        <v>35</v>
      </c>
      <c r="CD57" s="10">
        <f t="shared" si="37"/>
        <v>34</v>
      </c>
      <c r="CE57" s="10">
        <f t="shared" si="38"/>
        <v>33</v>
      </c>
      <c r="CF57" s="10">
        <f t="shared" si="39"/>
        <v>32</v>
      </c>
      <c r="CG57" s="10">
        <f t="shared" si="40"/>
        <v>31</v>
      </c>
      <c r="CH57" s="10">
        <f t="shared" si="41"/>
        <v>30</v>
      </c>
      <c r="CI57" s="10">
        <f t="shared" si="42"/>
        <v>29</v>
      </c>
      <c r="CJ57" s="10">
        <f t="shared" si="43"/>
        <v>28</v>
      </c>
      <c r="CK57" s="10">
        <f t="shared" si="44"/>
        <v>27</v>
      </c>
      <c r="CL57" s="10">
        <f t="shared" si="45"/>
        <v>26</v>
      </c>
      <c r="CM57" s="10" t="str">
        <f>'役職希望調査 ・備考'!I27&amp;""</f>
        <v/>
      </c>
    </row>
    <row r="58" spans="1:91">
      <c r="A58" s="10" t="str">
        <f>時間希望調査!A28&amp;""</f>
        <v/>
      </c>
      <c r="B58" s="10" t="str">
        <f>時間希望調査!B28&amp;""</f>
        <v/>
      </c>
      <c r="C58" s="10" t="str">
        <f>時間希望調査!C28&amp;""</f>
        <v/>
      </c>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0">
        <f t="shared" si="46"/>
        <v>0</v>
      </c>
      <c r="BC58" s="10">
        <f>時間希望調査!D28</f>
        <v>0</v>
      </c>
      <c r="BD58" s="10" t="str">
        <f>'役職希望調査 ・備考'!D28&amp;""</f>
        <v/>
      </c>
      <c r="BE58" s="10" t="str">
        <f>'役職希望調査 ・備考'!E28&amp;""</f>
        <v/>
      </c>
      <c r="BF58" s="10" t="str">
        <f>'役職希望調査 ・備考'!F28&amp;""</f>
        <v/>
      </c>
      <c r="BG58" s="10" t="str">
        <f>'役職希望調査 ・備考'!G28&amp;""</f>
        <v/>
      </c>
      <c r="BH58" s="10" t="str">
        <f>'役職希望調査 ・備考'!H28&amp;""</f>
        <v/>
      </c>
      <c r="BI58" s="10">
        <f t="shared" si="16"/>
        <v>0</v>
      </c>
      <c r="BJ58" s="10">
        <f t="shared" si="17"/>
        <v>0</v>
      </c>
      <c r="BK58" s="10">
        <f t="shared" si="18"/>
        <v>0</v>
      </c>
      <c r="BL58" s="10">
        <f t="shared" si="19"/>
        <v>0</v>
      </c>
      <c r="BM58" s="10">
        <f t="shared" si="20"/>
        <v>0</v>
      </c>
      <c r="BN58" s="10">
        <f t="shared" si="21"/>
        <v>0</v>
      </c>
      <c r="BO58" s="10">
        <f t="shared" si="22"/>
        <v>48</v>
      </c>
      <c r="BP58" s="10">
        <f t="shared" si="23"/>
        <v>48</v>
      </c>
      <c r="BQ58" s="10">
        <f t="shared" si="24"/>
        <v>47</v>
      </c>
      <c r="BR58" s="10">
        <f t="shared" si="25"/>
        <v>46</v>
      </c>
      <c r="BS58" s="10">
        <f t="shared" si="26"/>
        <v>45</v>
      </c>
      <c r="BT58" s="10">
        <f t="shared" si="27"/>
        <v>44</v>
      </c>
      <c r="BU58" s="10">
        <f t="shared" si="28"/>
        <v>43</v>
      </c>
      <c r="BV58" s="10">
        <f t="shared" si="29"/>
        <v>42</v>
      </c>
      <c r="BW58" s="10">
        <f t="shared" si="30"/>
        <v>41</v>
      </c>
      <c r="BX58" s="10">
        <f t="shared" si="31"/>
        <v>40</v>
      </c>
      <c r="BY58" s="10">
        <f t="shared" si="32"/>
        <v>39</v>
      </c>
      <c r="BZ58" s="10">
        <f t="shared" si="33"/>
        <v>38</v>
      </c>
      <c r="CA58" s="10">
        <f t="shared" si="34"/>
        <v>37</v>
      </c>
      <c r="CB58" s="10">
        <f t="shared" si="35"/>
        <v>36</v>
      </c>
      <c r="CC58" s="10">
        <f t="shared" si="36"/>
        <v>35</v>
      </c>
      <c r="CD58" s="10">
        <f t="shared" si="37"/>
        <v>34</v>
      </c>
      <c r="CE58" s="10">
        <f t="shared" si="38"/>
        <v>33</v>
      </c>
      <c r="CF58" s="10">
        <f t="shared" si="39"/>
        <v>32</v>
      </c>
      <c r="CG58" s="10">
        <f t="shared" si="40"/>
        <v>31</v>
      </c>
      <c r="CH58" s="10">
        <f t="shared" si="41"/>
        <v>30</v>
      </c>
      <c r="CI58" s="10">
        <f t="shared" si="42"/>
        <v>29</v>
      </c>
      <c r="CJ58" s="10">
        <f t="shared" si="43"/>
        <v>28</v>
      </c>
      <c r="CK58" s="10">
        <f t="shared" si="44"/>
        <v>27</v>
      </c>
      <c r="CL58" s="10">
        <f t="shared" si="45"/>
        <v>26</v>
      </c>
      <c r="CM58" s="10" t="str">
        <f>'役職希望調査 ・備考'!I28&amp;""</f>
        <v/>
      </c>
    </row>
    <row r="59" spans="1:91">
      <c r="A59" s="10" t="str">
        <f>時間希望調査!A29&amp;""</f>
        <v/>
      </c>
      <c r="B59" s="10" t="str">
        <f>時間希望調査!B29&amp;""</f>
        <v/>
      </c>
      <c r="C59" s="10" t="str">
        <f>時間希望調査!C29&amp;""</f>
        <v/>
      </c>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0">
        <f t="shared" si="46"/>
        <v>0</v>
      </c>
      <c r="BC59" s="10">
        <f>時間希望調査!D29</f>
        <v>0</v>
      </c>
      <c r="BD59" s="10" t="str">
        <f>'役職希望調査 ・備考'!D29&amp;""</f>
        <v/>
      </c>
      <c r="BE59" s="10" t="str">
        <f>'役職希望調査 ・備考'!E29&amp;""</f>
        <v/>
      </c>
      <c r="BF59" s="10" t="str">
        <f>'役職希望調査 ・備考'!F29&amp;""</f>
        <v/>
      </c>
      <c r="BG59" s="10" t="str">
        <f>'役職希望調査 ・備考'!G29&amp;""</f>
        <v/>
      </c>
      <c r="BH59" s="10" t="str">
        <f>'役職希望調査 ・備考'!H29&amp;""</f>
        <v/>
      </c>
      <c r="BI59" s="10">
        <f t="shared" si="16"/>
        <v>0</v>
      </c>
      <c r="BJ59" s="10">
        <f t="shared" si="17"/>
        <v>0</v>
      </c>
      <c r="BK59" s="10">
        <f t="shared" si="18"/>
        <v>0</v>
      </c>
      <c r="BL59" s="10">
        <f t="shared" si="19"/>
        <v>0</v>
      </c>
      <c r="BM59" s="10">
        <f t="shared" si="20"/>
        <v>0</v>
      </c>
      <c r="BN59" s="10">
        <f t="shared" si="21"/>
        <v>0</v>
      </c>
      <c r="BO59" s="10">
        <f t="shared" si="22"/>
        <v>48</v>
      </c>
      <c r="BP59" s="10">
        <f t="shared" si="23"/>
        <v>48</v>
      </c>
      <c r="BQ59" s="10">
        <f t="shared" si="24"/>
        <v>47</v>
      </c>
      <c r="BR59" s="10">
        <f t="shared" si="25"/>
        <v>46</v>
      </c>
      <c r="BS59" s="10">
        <f t="shared" si="26"/>
        <v>45</v>
      </c>
      <c r="BT59" s="10">
        <f t="shared" si="27"/>
        <v>44</v>
      </c>
      <c r="BU59" s="10">
        <f t="shared" si="28"/>
        <v>43</v>
      </c>
      <c r="BV59" s="10">
        <f t="shared" si="29"/>
        <v>42</v>
      </c>
      <c r="BW59" s="10">
        <f t="shared" si="30"/>
        <v>41</v>
      </c>
      <c r="BX59" s="10">
        <f t="shared" si="31"/>
        <v>40</v>
      </c>
      <c r="BY59" s="10">
        <f t="shared" si="32"/>
        <v>39</v>
      </c>
      <c r="BZ59" s="10">
        <f t="shared" si="33"/>
        <v>38</v>
      </c>
      <c r="CA59" s="10">
        <f t="shared" si="34"/>
        <v>37</v>
      </c>
      <c r="CB59" s="10">
        <f t="shared" si="35"/>
        <v>36</v>
      </c>
      <c r="CC59" s="10">
        <f t="shared" si="36"/>
        <v>35</v>
      </c>
      <c r="CD59" s="10">
        <f t="shared" si="37"/>
        <v>34</v>
      </c>
      <c r="CE59" s="10">
        <f t="shared" si="38"/>
        <v>33</v>
      </c>
      <c r="CF59" s="10">
        <f t="shared" si="39"/>
        <v>32</v>
      </c>
      <c r="CG59" s="10">
        <f t="shared" si="40"/>
        <v>31</v>
      </c>
      <c r="CH59" s="10">
        <f t="shared" si="41"/>
        <v>30</v>
      </c>
      <c r="CI59" s="10">
        <f t="shared" si="42"/>
        <v>29</v>
      </c>
      <c r="CJ59" s="10">
        <f t="shared" si="43"/>
        <v>28</v>
      </c>
      <c r="CK59" s="10">
        <f t="shared" si="44"/>
        <v>27</v>
      </c>
      <c r="CL59" s="10">
        <f t="shared" si="45"/>
        <v>26</v>
      </c>
      <c r="CM59" s="10" t="str">
        <f>'役職希望調査 ・備考'!I29&amp;""</f>
        <v/>
      </c>
    </row>
    <row r="60" spans="1:91">
      <c r="A60" s="10" t="str">
        <f>時間希望調査!A30&amp;""</f>
        <v/>
      </c>
      <c r="B60" s="10" t="str">
        <f>時間希望調査!B30&amp;""</f>
        <v/>
      </c>
      <c r="C60" s="10" t="str">
        <f>時間希望調査!C30&amp;""</f>
        <v/>
      </c>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0">
        <f t="shared" si="46"/>
        <v>0</v>
      </c>
      <c r="BC60" s="10">
        <f>時間希望調査!D30</f>
        <v>0</v>
      </c>
      <c r="BD60" s="10" t="str">
        <f>'役職希望調査 ・備考'!D30&amp;""</f>
        <v/>
      </c>
      <c r="BE60" s="10" t="str">
        <f>'役職希望調査 ・備考'!E30&amp;""</f>
        <v/>
      </c>
      <c r="BF60" s="10" t="str">
        <f>'役職希望調査 ・備考'!F30&amp;""</f>
        <v/>
      </c>
      <c r="BG60" s="10" t="str">
        <f>'役職希望調査 ・備考'!G30&amp;""</f>
        <v/>
      </c>
      <c r="BH60" s="10" t="str">
        <f>'役職希望調査 ・備考'!H30&amp;""</f>
        <v/>
      </c>
      <c r="BI60" s="10">
        <f t="shared" si="16"/>
        <v>0</v>
      </c>
      <c r="BJ60" s="10">
        <f t="shared" si="17"/>
        <v>0</v>
      </c>
      <c r="BK60" s="10">
        <f t="shared" si="18"/>
        <v>0</v>
      </c>
      <c r="BL60" s="10">
        <f t="shared" si="19"/>
        <v>0</v>
      </c>
      <c r="BM60" s="10">
        <f t="shared" si="20"/>
        <v>0</v>
      </c>
      <c r="BN60" s="10">
        <f t="shared" si="21"/>
        <v>0</v>
      </c>
      <c r="BO60" s="10">
        <f t="shared" si="22"/>
        <v>48</v>
      </c>
      <c r="BP60" s="10">
        <f t="shared" si="23"/>
        <v>48</v>
      </c>
      <c r="BQ60" s="10">
        <f t="shared" si="24"/>
        <v>47</v>
      </c>
      <c r="BR60" s="10">
        <f t="shared" si="25"/>
        <v>46</v>
      </c>
      <c r="BS60" s="10">
        <f t="shared" si="26"/>
        <v>45</v>
      </c>
      <c r="BT60" s="10">
        <f t="shared" si="27"/>
        <v>44</v>
      </c>
      <c r="BU60" s="10">
        <f t="shared" si="28"/>
        <v>43</v>
      </c>
      <c r="BV60" s="10">
        <f t="shared" si="29"/>
        <v>42</v>
      </c>
      <c r="BW60" s="10">
        <f t="shared" si="30"/>
        <v>41</v>
      </c>
      <c r="BX60" s="10">
        <f t="shared" si="31"/>
        <v>40</v>
      </c>
      <c r="BY60" s="10">
        <f t="shared" si="32"/>
        <v>39</v>
      </c>
      <c r="BZ60" s="10">
        <f t="shared" si="33"/>
        <v>38</v>
      </c>
      <c r="CA60" s="10">
        <f t="shared" si="34"/>
        <v>37</v>
      </c>
      <c r="CB60" s="10">
        <f t="shared" si="35"/>
        <v>36</v>
      </c>
      <c r="CC60" s="10">
        <f t="shared" si="36"/>
        <v>35</v>
      </c>
      <c r="CD60" s="10">
        <f t="shared" si="37"/>
        <v>34</v>
      </c>
      <c r="CE60" s="10">
        <f t="shared" si="38"/>
        <v>33</v>
      </c>
      <c r="CF60" s="10">
        <f t="shared" si="39"/>
        <v>32</v>
      </c>
      <c r="CG60" s="10">
        <f t="shared" si="40"/>
        <v>31</v>
      </c>
      <c r="CH60" s="10">
        <f t="shared" si="41"/>
        <v>30</v>
      </c>
      <c r="CI60" s="10">
        <f t="shared" si="42"/>
        <v>29</v>
      </c>
      <c r="CJ60" s="10">
        <f t="shared" si="43"/>
        <v>28</v>
      </c>
      <c r="CK60" s="10">
        <f t="shared" si="44"/>
        <v>27</v>
      </c>
      <c r="CL60" s="10">
        <f t="shared" si="45"/>
        <v>26</v>
      </c>
      <c r="CM60" s="10" t="str">
        <f>'役職希望調査 ・備考'!I30&amp;""</f>
        <v/>
      </c>
    </row>
    <row r="61" spans="1:91">
      <c r="A61" s="10" t="str">
        <f>時間希望調査!A31&amp;""</f>
        <v/>
      </c>
      <c r="B61" s="10" t="str">
        <f>時間希望調査!B31&amp;""</f>
        <v/>
      </c>
      <c r="C61" s="10" t="str">
        <f>時間希望調査!C31&amp;""</f>
        <v/>
      </c>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0">
        <f t="shared" si="46"/>
        <v>0</v>
      </c>
      <c r="BC61" s="10">
        <f>時間希望調査!D31</f>
        <v>0</v>
      </c>
      <c r="BD61" s="10" t="str">
        <f>'役職希望調査 ・備考'!D31&amp;""</f>
        <v/>
      </c>
      <c r="BE61" s="10" t="str">
        <f>'役職希望調査 ・備考'!E31&amp;""</f>
        <v/>
      </c>
      <c r="BF61" s="10" t="str">
        <f>'役職希望調査 ・備考'!F31&amp;""</f>
        <v/>
      </c>
      <c r="BG61" s="10" t="str">
        <f>'役職希望調査 ・備考'!G31&amp;""</f>
        <v/>
      </c>
      <c r="BH61" s="10" t="str">
        <f>'役職希望調査 ・備考'!H31&amp;""</f>
        <v/>
      </c>
      <c r="BI61" s="10">
        <f t="shared" si="16"/>
        <v>0</v>
      </c>
      <c r="BJ61" s="10">
        <f t="shared" si="17"/>
        <v>0</v>
      </c>
      <c r="BK61" s="10">
        <f t="shared" si="18"/>
        <v>0</v>
      </c>
      <c r="BL61" s="10">
        <f t="shared" si="19"/>
        <v>0</v>
      </c>
      <c r="BM61" s="10">
        <f t="shared" si="20"/>
        <v>0</v>
      </c>
      <c r="BN61" s="10">
        <f t="shared" si="21"/>
        <v>0</v>
      </c>
      <c r="BO61" s="10">
        <f t="shared" si="22"/>
        <v>48</v>
      </c>
      <c r="BP61" s="10">
        <f t="shared" si="23"/>
        <v>48</v>
      </c>
      <c r="BQ61" s="10">
        <f t="shared" si="24"/>
        <v>47</v>
      </c>
      <c r="BR61" s="10">
        <f t="shared" si="25"/>
        <v>46</v>
      </c>
      <c r="BS61" s="10">
        <f t="shared" si="26"/>
        <v>45</v>
      </c>
      <c r="BT61" s="10">
        <f t="shared" si="27"/>
        <v>44</v>
      </c>
      <c r="BU61" s="10">
        <f t="shared" si="28"/>
        <v>43</v>
      </c>
      <c r="BV61" s="10">
        <f t="shared" si="29"/>
        <v>42</v>
      </c>
      <c r="BW61" s="10">
        <f t="shared" si="30"/>
        <v>41</v>
      </c>
      <c r="BX61" s="10">
        <f t="shared" si="31"/>
        <v>40</v>
      </c>
      <c r="BY61" s="10">
        <f t="shared" si="32"/>
        <v>39</v>
      </c>
      <c r="BZ61" s="10">
        <f t="shared" si="33"/>
        <v>38</v>
      </c>
      <c r="CA61" s="10">
        <f t="shared" si="34"/>
        <v>37</v>
      </c>
      <c r="CB61" s="10">
        <f t="shared" si="35"/>
        <v>36</v>
      </c>
      <c r="CC61" s="10">
        <f t="shared" si="36"/>
        <v>35</v>
      </c>
      <c r="CD61" s="10">
        <f t="shared" si="37"/>
        <v>34</v>
      </c>
      <c r="CE61" s="10">
        <f t="shared" si="38"/>
        <v>33</v>
      </c>
      <c r="CF61" s="10">
        <f t="shared" si="39"/>
        <v>32</v>
      </c>
      <c r="CG61" s="10">
        <f t="shared" si="40"/>
        <v>31</v>
      </c>
      <c r="CH61" s="10">
        <f t="shared" si="41"/>
        <v>30</v>
      </c>
      <c r="CI61" s="10">
        <f t="shared" si="42"/>
        <v>29</v>
      </c>
      <c r="CJ61" s="10">
        <f t="shared" si="43"/>
        <v>28</v>
      </c>
      <c r="CK61" s="10">
        <f t="shared" si="44"/>
        <v>27</v>
      </c>
      <c r="CL61" s="10">
        <f t="shared" si="45"/>
        <v>26</v>
      </c>
      <c r="CM61" s="10" t="str">
        <f>'役職希望調査 ・備考'!I31&amp;""</f>
        <v/>
      </c>
    </row>
    <row r="62" spans="1:91">
      <c r="A62" s="10" t="str">
        <f>時間希望調査!A32&amp;""</f>
        <v/>
      </c>
      <c r="B62" s="10" t="str">
        <f>時間希望調査!B32&amp;""</f>
        <v/>
      </c>
      <c r="C62" s="10" t="str">
        <f>時間希望調査!C32&amp;""</f>
        <v/>
      </c>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0">
        <f t="shared" si="46"/>
        <v>0</v>
      </c>
      <c r="BC62" s="10">
        <f>時間希望調査!D32</f>
        <v>0</v>
      </c>
      <c r="BD62" s="10" t="str">
        <f>'役職希望調査 ・備考'!D32&amp;""</f>
        <v/>
      </c>
      <c r="BE62" s="10" t="str">
        <f>'役職希望調査 ・備考'!E32&amp;""</f>
        <v/>
      </c>
      <c r="BF62" s="10" t="str">
        <f>'役職希望調査 ・備考'!F32&amp;""</f>
        <v/>
      </c>
      <c r="BG62" s="10" t="str">
        <f>'役職希望調査 ・備考'!G32&amp;""</f>
        <v/>
      </c>
      <c r="BH62" s="10" t="str">
        <f>'役職希望調査 ・備考'!H32&amp;""</f>
        <v/>
      </c>
      <c r="BI62" s="10">
        <f t="shared" si="16"/>
        <v>0</v>
      </c>
      <c r="BJ62" s="10">
        <f t="shared" si="17"/>
        <v>0</v>
      </c>
      <c r="BK62" s="10">
        <f t="shared" si="18"/>
        <v>0</v>
      </c>
      <c r="BL62" s="10">
        <f t="shared" si="19"/>
        <v>0</v>
      </c>
      <c r="BM62" s="10">
        <f t="shared" si="20"/>
        <v>0</v>
      </c>
      <c r="BN62" s="10">
        <f t="shared" si="21"/>
        <v>0</v>
      </c>
      <c r="BO62" s="10">
        <f t="shared" si="22"/>
        <v>48</v>
      </c>
      <c r="BP62" s="10">
        <f t="shared" si="23"/>
        <v>48</v>
      </c>
      <c r="BQ62" s="10">
        <f t="shared" si="24"/>
        <v>47</v>
      </c>
      <c r="BR62" s="10">
        <f t="shared" si="25"/>
        <v>46</v>
      </c>
      <c r="BS62" s="10">
        <f t="shared" si="26"/>
        <v>45</v>
      </c>
      <c r="BT62" s="10">
        <f t="shared" si="27"/>
        <v>44</v>
      </c>
      <c r="BU62" s="10">
        <f t="shared" si="28"/>
        <v>43</v>
      </c>
      <c r="BV62" s="10">
        <f t="shared" si="29"/>
        <v>42</v>
      </c>
      <c r="BW62" s="10">
        <f t="shared" si="30"/>
        <v>41</v>
      </c>
      <c r="BX62" s="10">
        <f t="shared" si="31"/>
        <v>40</v>
      </c>
      <c r="BY62" s="10">
        <f t="shared" si="32"/>
        <v>39</v>
      </c>
      <c r="BZ62" s="10">
        <f t="shared" si="33"/>
        <v>38</v>
      </c>
      <c r="CA62" s="10">
        <f t="shared" si="34"/>
        <v>37</v>
      </c>
      <c r="CB62" s="10">
        <f t="shared" si="35"/>
        <v>36</v>
      </c>
      <c r="CC62" s="10">
        <f t="shared" si="36"/>
        <v>35</v>
      </c>
      <c r="CD62" s="10">
        <f t="shared" si="37"/>
        <v>34</v>
      </c>
      <c r="CE62" s="10">
        <f t="shared" si="38"/>
        <v>33</v>
      </c>
      <c r="CF62" s="10">
        <f t="shared" si="39"/>
        <v>32</v>
      </c>
      <c r="CG62" s="10">
        <f t="shared" si="40"/>
        <v>31</v>
      </c>
      <c r="CH62" s="10">
        <f t="shared" si="41"/>
        <v>30</v>
      </c>
      <c r="CI62" s="10">
        <f t="shared" si="42"/>
        <v>29</v>
      </c>
      <c r="CJ62" s="10">
        <f t="shared" si="43"/>
        <v>28</v>
      </c>
      <c r="CK62" s="10">
        <f t="shared" si="44"/>
        <v>27</v>
      </c>
      <c r="CL62" s="10">
        <f t="shared" si="45"/>
        <v>26</v>
      </c>
      <c r="CM62" s="10" t="str">
        <f>'役職希望調査 ・備考'!I32&amp;""</f>
        <v/>
      </c>
    </row>
    <row r="63" spans="1:91">
      <c r="A63" s="10" t="str">
        <f>時間希望調査!A33&amp;""</f>
        <v/>
      </c>
      <c r="B63" s="10" t="str">
        <f>時間希望調査!B33&amp;""</f>
        <v/>
      </c>
      <c r="C63" s="10" t="str">
        <f>時間希望調査!C33&amp;""</f>
        <v/>
      </c>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0">
        <f t="shared" si="46"/>
        <v>0</v>
      </c>
      <c r="BC63" s="10">
        <f>時間希望調査!D33</f>
        <v>0</v>
      </c>
      <c r="BD63" s="10" t="str">
        <f>'役職希望調査 ・備考'!D33&amp;""</f>
        <v/>
      </c>
      <c r="BE63" s="10" t="str">
        <f>'役職希望調査 ・備考'!E33&amp;""</f>
        <v/>
      </c>
      <c r="BF63" s="10" t="str">
        <f>'役職希望調査 ・備考'!F33&amp;""</f>
        <v/>
      </c>
      <c r="BG63" s="10" t="str">
        <f>'役職希望調査 ・備考'!G33&amp;""</f>
        <v/>
      </c>
      <c r="BH63" s="10" t="str">
        <f>'役職希望調査 ・備考'!H33&amp;""</f>
        <v/>
      </c>
      <c r="BI63" s="10">
        <f t="shared" si="16"/>
        <v>0</v>
      </c>
      <c r="BJ63" s="10">
        <f t="shared" si="17"/>
        <v>0</v>
      </c>
      <c r="BK63" s="10">
        <f t="shared" si="18"/>
        <v>0</v>
      </c>
      <c r="BL63" s="10">
        <f t="shared" si="19"/>
        <v>0</v>
      </c>
      <c r="BM63" s="10">
        <f t="shared" si="20"/>
        <v>0</v>
      </c>
      <c r="BN63" s="10">
        <f t="shared" si="21"/>
        <v>0</v>
      </c>
      <c r="BO63" s="10">
        <f t="shared" si="22"/>
        <v>48</v>
      </c>
      <c r="BP63" s="10">
        <f t="shared" si="23"/>
        <v>48</v>
      </c>
      <c r="BQ63" s="10">
        <f t="shared" si="24"/>
        <v>47</v>
      </c>
      <c r="BR63" s="10">
        <f t="shared" si="25"/>
        <v>46</v>
      </c>
      <c r="BS63" s="10">
        <f t="shared" si="26"/>
        <v>45</v>
      </c>
      <c r="BT63" s="10">
        <f t="shared" si="27"/>
        <v>44</v>
      </c>
      <c r="BU63" s="10">
        <f t="shared" si="28"/>
        <v>43</v>
      </c>
      <c r="BV63" s="10">
        <f t="shared" si="29"/>
        <v>42</v>
      </c>
      <c r="BW63" s="10">
        <f t="shared" si="30"/>
        <v>41</v>
      </c>
      <c r="BX63" s="10">
        <f t="shared" si="31"/>
        <v>40</v>
      </c>
      <c r="BY63" s="10">
        <f t="shared" si="32"/>
        <v>39</v>
      </c>
      <c r="BZ63" s="10">
        <f t="shared" si="33"/>
        <v>38</v>
      </c>
      <c r="CA63" s="10">
        <f t="shared" si="34"/>
        <v>37</v>
      </c>
      <c r="CB63" s="10">
        <f t="shared" si="35"/>
        <v>36</v>
      </c>
      <c r="CC63" s="10">
        <f t="shared" si="36"/>
        <v>35</v>
      </c>
      <c r="CD63" s="10">
        <f t="shared" si="37"/>
        <v>34</v>
      </c>
      <c r="CE63" s="10">
        <f t="shared" si="38"/>
        <v>33</v>
      </c>
      <c r="CF63" s="10">
        <f t="shared" si="39"/>
        <v>32</v>
      </c>
      <c r="CG63" s="10">
        <f t="shared" si="40"/>
        <v>31</v>
      </c>
      <c r="CH63" s="10">
        <f t="shared" si="41"/>
        <v>30</v>
      </c>
      <c r="CI63" s="10">
        <f t="shared" si="42"/>
        <v>29</v>
      </c>
      <c r="CJ63" s="10">
        <f t="shared" si="43"/>
        <v>28</v>
      </c>
      <c r="CK63" s="10">
        <f t="shared" si="44"/>
        <v>27</v>
      </c>
      <c r="CL63" s="10">
        <f t="shared" si="45"/>
        <v>26</v>
      </c>
      <c r="CM63" s="10" t="str">
        <f>'役職希望調査 ・備考'!I33&amp;""</f>
        <v/>
      </c>
    </row>
    <row r="64" spans="1:91">
      <c r="A64" s="10" t="str">
        <f>時間希望調査!A34&amp;""</f>
        <v/>
      </c>
      <c r="B64" s="10" t="str">
        <f>時間希望調査!B34&amp;""</f>
        <v/>
      </c>
      <c r="C64" s="10" t="str">
        <f>時間希望調査!C34&amp;""</f>
        <v/>
      </c>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0">
        <f t="shared" si="46"/>
        <v>0</v>
      </c>
      <c r="BC64" s="10">
        <f>時間希望調査!D34</f>
        <v>0</v>
      </c>
      <c r="BD64" s="10" t="str">
        <f>'役職希望調査 ・備考'!D34&amp;""</f>
        <v/>
      </c>
      <c r="BE64" s="10" t="str">
        <f>'役職希望調査 ・備考'!E34&amp;""</f>
        <v/>
      </c>
      <c r="BF64" s="10" t="str">
        <f>'役職希望調査 ・備考'!F34&amp;""</f>
        <v/>
      </c>
      <c r="BG64" s="10" t="str">
        <f>'役職希望調査 ・備考'!G34&amp;""</f>
        <v/>
      </c>
      <c r="BH64" s="10" t="str">
        <f>'役職希望調査 ・備考'!H34&amp;""</f>
        <v/>
      </c>
      <c r="BI64" s="10">
        <f t="shared" ref="BI64:BI95" si="47">COUNTIF(D64:BA64,BI$1)</f>
        <v>0</v>
      </c>
      <c r="BJ64" s="10">
        <f t="shared" ref="BJ64:BJ95" si="48">COUNTIF(E64:BB64,BJ$1)</f>
        <v>0</v>
      </c>
      <c r="BK64" s="10">
        <f t="shared" ref="BK64:BK95" si="49">COUNTIF(F64:BC64,BK$1)</f>
        <v>0</v>
      </c>
      <c r="BL64" s="10">
        <f t="shared" ref="BL64:BL95" si="50">COUNTIF(G64:BD64,BL$1)</f>
        <v>0</v>
      </c>
      <c r="BM64" s="10">
        <f t="shared" ref="BM64:BM95" si="51">COUNTIF(H64:BE64,BM$1)</f>
        <v>0</v>
      </c>
      <c r="BN64" s="10">
        <f t="shared" ref="BN64:BN95" si="52">COUNTIF(I64:BF64,BN$1)</f>
        <v>0</v>
      </c>
      <c r="BO64" s="10">
        <f t="shared" ref="BO64:BO95" si="53">COUNTIF(J64:BG64,BO$1)</f>
        <v>48</v>
      </c>
      <c r="BP64" s="10">
        <f t="shared" ref="BP64:BP95" si="54">COUNTIF(K64:BH64,BP$1)</f>
        <v>48</v>
      </c>
      <c r="BQ64" s="10">
        <f t="shared" ref="BQ64:BQ95" si="55">COUNTIF(L64:BI64,BQ$1)</f>
        <v>47</v>
      </c>
      <c r="BR64" s="10">
        <f t="shared" ref="BR64:BR95" si="56">COUNTIF(M64:BJ64,BR$1)</f>
        <v>46</v>
      </c>
      <c r="BS64" s="10">
        <f t="shared" ref="BS64:BS95" si="57">COUNTIF(N64:BK64,BS$1)</f>
        <v>45</v>
      </c>
      <c r="BT64" s="10">
        <f t="shared" ref="BT64:BT95" si="58">COUNTIF(O64:BL64,BT$1)</f>
        <v>44</v>
      </c>
      <c r="BU64" s="10">
        <f t="shared" ref="BU64:BU95" si="59">COUNTIF(P64:BM64,BU$1)</f>
        <v>43</v>
      </c>
      <c r="BV64" s="10">
        <f t="shared" ref="BV64:BV95" si="60">COUNTIF(Q64:BN64,BV$1)</f>
        <v>42</v>
      </c>
      <c r="BW64" s="10">
        <f t="shared" ref="BW64:BW95" si="61">COUNTIF(R64:BO64,BW$1)</f>
        <v>41</v>
      </c>
      <c r="BX64" s="10">
        <f t="shared" ref="BX64:BX95" si="62">COUNTIF(S64:BP64,BX$1)</f>
        <v>40</v>
      </c>
      <c r="BY64" s="10">
        <f t="shared" ref="BY64:BY95" si="63">COUNTIF(T64:BQ64,BY$1)</f>
        <v>39</v>
      </c>
      <c r="BZ64" s="10">
        <f t="shared" ref="BZ64:BZ95" si="64">COUNTIF(U64:BR64,BZ$1)</f>
        <v>38</v>
      </c>
      <c r="CA64" s="10">
        <f t="shared" ref="CA64:CA95" si="65">COUNTIF(V64:BS64,CA$1)</f>
        <v>37</v>
      </c>
      <c r="CB64" s="10">
        <f t="shared" ref="CB64:CB95" si="66">COUNTIF(W64:BT64,CB$1)</f>
        <v>36</v>
      </c>
      <c r="CC64" s="10">
        <f t="shared" ref="CC64:CC95" si="67">COUNTIF(X64:BU64,CC$1)</f>
        <v>35</v>
      </c>
      <c r="CD64" s="10">
        <f t="shared" ref="CD64:CD95" si="68">COUNTIF(Y64:BV64,CD$1)</f>
        <v>34</v>
      </c>
      <c r="CE64" s="10">
        <f t="shared" ref="CE64:CE95" si="69">COUNTIF(Z64:BW64,CE$1)</f>
        <v>33</v>
      </c>
      <c r="CF64" s="10">
        <f t="shared" ref="CF64:CF95" si="70">COUNTIF(AA64:BX64,CF$1)</f>
        <v>32</v>
      </c>
      <c r="CG64" s="10">
        <f t="shared" ref="CG64:CG95" si="71">COUNTIF(AB64:BY64,CG$1)</f>
        <v>31</v>
      </c>
      <c r="CH64" s="10">
        <f t="shared" ref="CH64:CH95" si="72">COUNTIF(AC64:BZ64,CH$1)</f>
        <v>30</v>
      </c>
      <c r="CI64" s="10">
        <f t="shared" ref="CI64:CI95" si="73">COUNTIF(AD64:CA64,CI$1)</f>
        <v>29</v>
      </c>
      <c r="CJ64" s="10">
        <f t="shared" ref="CJ64:CJ95" si="74">COUNTIF(AE64:CB64,CJ$1)</f>
        <v>28</v>
      </c>
      <c r="CK64" s="10">
        <f t="shared" ref="CK64:CK95" si="75">COUNTIF(AF64:CC64,CK$1)</f>
        <v>27</v>
      </c>
      <c r="CL64" s="10">
        <f t="shared" ref="CL64:CL95" si="76">COUNTIF(AG64:CD64,CL$1)</f>
        <v>26</v>
      </c>
      <c r="CM64" s="10" t="str">
        <f>'役職希望調査 ・備考'!I34&amp;""</f>
        <v/>
      </c>
    </row>
    <row r="65" spans="1:91">
      <c r="A65" s="10" t="str">
        <f>時間希望調査!A35&amp;""</f>
        <v/>
      </c>
      <c r="B65" s="10" t="str">
        <f>時間希望調査!B35&amp;""</f>
        <v/>
      </c>
      <c r="C65" s="10" t="str">
        <f>時間希望調査!C35&amp;""</f>
        <v/>
      </c>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0">
        <f t="shared" si="46"/>
        <v>0</v>
      </c>
      <c r="BC65" s="10">
        <f>時間希望調査!D35</f>
        <v>0</v>
      </c>
      <c r="BD65" s="10" t="str">
        <f>'役職希望調査 ・備考'!D35&amp;""</f>
        <v/>
      </c>
      <c r="BE65" s="10" t="str">
        <f>'役職希望調査 ・備考'!E35&amp;""</f>
        <v/>
      </c>
      <c r="BF65" s="10" t="str">
        <f>'役職希望調査 ・備考'!F35&amp;""</f>
        <v/>
      </c>
      <c r="BG65" s="10" t="str">
        <f>'役職希望調査 ・備考'!G35&amp;""</f>
        <v/>
      </c>
      <c r="BH65" s="10" t="str">
        <f>'役職希望調査 ・備考'!H35&amp;""</f>
        <v/>
      </c>
      <c r="BI65" s="10">
        <f t="shared" si="47"/>
        <v>0</v>
      </c>
      <c r="BJ65" s="10">
        <f t="shared" si="48"/>
        <v>0</v>
      </c>
      <c r="BK65" s="10">
        <f t="shared" si="49"/>
        <v>0</v>
      </c>
      <c r="BL65" s="10">
        <f t="shared" si="50"/>
        <v>0</v>
      </c>
      <c r="BM65" s="10">
        <f t="shared" si="51"/>
        <v>0</v>
      </c>
      <c r="BN65" s="10">
        <f t="shared" si="52"/>
        <v>0</v>
      </c>
      <c r="BO65" s="10">
        <f t="shared" si="53"/>
        <v>48</v>
      </c>
      <c r="BP65" s="10">
        <f t="shared" si="54"/>
        <v>48</v>
      </c>
      <c r="BQ65" s="10">
        <f t="shared" si="55"/>
        <v>47</v>
      </c>
      <c r="BR65" s="10">
        <f t="shared" si="56"/>
        <v>46</v>
      </c>
      <c r="BS65" s="10">
        <f t="shared" si="57"/>
        <v>45</v>
      </c>
      <c r="BT65" s="10">
        <f t="shared" si="58"/>
        <v>44</v>
      </c>
      <c r="BU65" s="10">
        <f t="shared" si="59"/>
        <v>43</v>
      </c>
      <c r="BV65" s="10">
        <f t="shared" si="60"/>
        <v>42</v>
      </c>
      <c r="BW65" s="10">
        <f t="shared" si="61"/>
        <v>41</v>
      </c>
      <c r="BX65" s="10">
        <f t="shared" si="62"/>
        <v>40</v>
      </c>
      <c r="BY65" s="10">
        <f t="shared" si="63"/>
        <v>39</v>
      </c>
      <c r="BZ65" s="10">
        <f t="shared" si="64"/>
        <v>38</v>
      </c>
      <c r="CA65" s="10">
        <f t="shared" si="65"/>
        <v>37</v>
      </c>
      <c r="CB65" s="10">
        <f t="shared" si="66"/>
        <v>36</v>
      </c>
      <c r="CC65" s="10">
        <f t="shared" si="67"/>
        <v>35</v>
      </c>
      <c r="CD65" s="10">
        <f t="shared" si="68"/>
        <v>34</v>
      </c>
      <c r="CE65" s="10">
        <f t="shared" si="69"/>
        <v>33</v>
      </c>
      <c r="CF65" s="10">
        <f t="shared" si="70"/>
        <v>32</v>
      </c>
      <c r="CG65" s="10">
        <f t="shared" si="71"/>
        <v>31</v>
      </c>
      <c r="CH65" s="10">
        <f t="shared" si="72"/>
        <v>30</v>
      </c>
      <c r="CI65" s="10">
        <f t="shared" si="73"/>
        <v>29</v>
      </c>
      <c r="CJ65" s="10">
        <f t="shared" si="74"/>
        <v>28</v>
      </c>
      <c r="CK65" s="10">
        <f t="shared" si="75"/>
        <v>27</v>
      </c>
      <c r="CL65" s="10">
        <f t="shared" si="76"/>
        <v>26</v>
      </c>
      <c r="CM65" s="10" t="str">
        <f>'役職希望調査 ・備考'!I35&amp;""</f>
        <v/>
      </c>
    </row>
    <row r="66" spans="1:91">
      <c r="A66" s="10" t="str">
        <f>時間希望調査!A36&amp;""</f>
        <v/>
      </c>
      <c r="B66" s="10" t="str">
        <f>時間希望調査!B36&amp;""</f>
        <v/>
      </c>
      <c r="C66" s="10" t="str">
        <f>時間希望調査!C36&amp;""</f>
        <v/>
      </c>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0">
        <f t="shared" si="46"/>
        <v>0</v>
      </c>
      <c r="BC66" s="10">
        <f>時間希望調査!D36</f>
        <v>0</v>
      </c>
      <c r="BD66" s="10" t="str">
        <f>'役職希望調査 ・備考'!D36&amp;""</f>
        <v/>
      </c>
      <c r="BE66" s="10" t="str">
        <f>'役職希望調査 ・備考'!E36&amp;""</f>
        <v/>
      </c>
      <c r="BF66" s="10" t="str">
        <f>'役職希望調査 ・備考'!F36&amp;""</f>
        <v/>
      </c>
      <c r="BG66" s="10" t="str">
        <f>'役職希望調査 ・備考'!G36&amp;""</f>
        <v/>
      </c>
      <c r="BH66" s="10" t="str">
        <f>'役職希望調査 ・備考'!H36&amp;""</f>
        <v/>
      </c>
      <c r="BI66" s="10">
        <f t="shared" si="47"/>
        <v>0</v>
      </c>
      <c r="BJ66" s="10">
        <f t="shared" si="48"/>
        <v>0</v>
      </c>
      <c r="BK66" s="10">
        <f t="shared" si="49"/>
        <v>0</v>
      </c>
      <c r="BL66" s="10">
        <f t="shared" si="50"/>
        <v>0</v>
      </c>
      <c r="BM66" s="10">
        <f t="shared" si="51"/>
        <v>0</v>
      </c>
      <c r="BN66" s="10">
        <f t="shared" si="52"/>
        <v>0</v>
      </c>
      <c r="BO66" s="10">
        <f t="shared" si="53"/>
        <v>48</v>
      </c>
      <c r="BP66" s="10">
        <f t="shared" si="54"/>
        <v>48</v>
      </c>
      <c r="BQ66" s="10">
        <f t="shared" si="55"/>
        <v>47</v>
      </c>
      <c r="BR66" s="10">
        <f t="shared" si="56"/>
        <v>46</v>
      </c>
      <c r="BS66" s="10">
        <f t="shared" si="57"/>
        <v>45</v>
      </c>
      <c r="BT66" s="10">
        <f t="shared" si="58"/>
        <v>44</v>
      </c>
      <c r="BU66" s="10">
        <f t="shared" si="59"/>
        <v>43</v>
      </c>
      <c r="BV66" s="10">
        <f t="shared" si="60"/>
        <v>42</v>
      </c>
      <c r="BW66" s="10">
        <f t="shared" si="61"/>
        <v>41</v>
      </c>
      <c r="BX66" s="10">
        <f t="shared" si="62"/>
        <v>40</v>
      </c>
      <c r="BY66" s="10">
        <f t="shared" si="63"/>
        <v>39</v>
      </c>
      <c r="BZ66" s="10">
        <f t="shared" si="64"/>
        <v>38</v>
      </c>
      <c r="CA66" s="10">
        <f t="shared" si="65"/>
        <v>37</v>
      </c>
      <c r="CB66" s="10">
        <f t="shared" si="66"/>
        <v>36</v>
      </c>
      <c r="CC66" s="10">
        <f t="shared" si="67"/>
        <v>35</v>
      </c>
      <c r="CD66" s="10">
        <f t="shared" si="68"/>
        <v>34</v>
      </c>
      <c r="CE66" s="10">
        <f t="shared" si="69"/>
        <v>33</v>
      </c>
      <c r="CF66" s="10">
        <f t="shared" si="70"/>
        <v>32</v>
      </c>
      <c r="CG66" s="10">
        <f t="shared" si="71"/>
        <v>31</v>
      </c>
      <c r="CH66" s="10">
        <f t="shared" si="72"/>
        <v>30</v>
      </c>
      <c r="CI66" s="10">
        <f t="shared" si="73"/>
        <v>29</v>
      </c>
      <c r="CJ66" s="10">
        <f t="shared" si="74"/>
        <v>28</v>
      </c>
      <c r="CK66" s="10">
        <f t="shared" si="75"/>
        <v>27</v>
      </c>
      <c r="CL66" s="10">
        <f t="shared" si="76"/>
        <v>26</v>
      </c>
      <c r="CM66" s="10" t="str">
        <f>'役職希望調査 ・備考'!I36&amp;""</f>
        <v/>
      </c>
    </row>
    <row r="67" spans="1:91">
      <c r="A67" s="10" t="str">
        <f>時間希望調査!A37&amp;""</f>
        <v/>
      </c>
      <c r="B67" s="10" t="str">
        <f>時間希望調査!B37&amp;""</f>
        <v/>
      </c>
      <c r="C67" s="10" t="str">
        <f>時間希望調査!C37&amp;""</f>
        <v/>
      </c>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0">
        <f t="shared" si="46"/>
        <v>0</v>
      </c>
      <c r="BC67" s="10">
        <f>時間希望調査!D37</f>
        <v>0</v>
      </c>
      <c r="BD67" s="10" t="str">
        <f>'役職希望調査 ・備考'!D37&amp;""</f>
        <v/>
      </c>
      <c r="BE67" s="10" t="str">
        <f>'役職希望調査 ・備考'!E37&amp;""</f>
        <v/>
      </c>
      <c r="BF67" s="10" t="str">
        <f>'役職希望調査 ・備考'!F37&amp;""</f>
        <v/>
      </c>
      <c r="BG67" s="10" t="str">
        <f>'役職希望調査 ・備考'!G37&amp;""</f>
        <v/>
      </c>
      <c r="BH67" s="10" t="str">
        <f>'役職希望調査 ・備考'!H37&amp;""</f>
        <v/>
      </c>
      <c r="BI67" s="10">
        <f t="shared" si="47"/>
        <v>0</v>
      </c>
      <c r="BJ67" s="10">
        <f t="shared" si="48"/>
        <v>0</v>
      </c>
      <c r="BK67" s="10">
        <f t="shared" si="49"/>
        <v>0</v>
      </c>
      <c r="BL67" s="10">
        <f t="shared" si="50"/>
        <v>0</v>
      </c>
      <c r="BM67" s="10">
        <f t="shared" si="51"/>
        <v>0</v>
      </c>
      <c r="BN67" s="10">
        <f t="shared" si="52"/>
        <v>0</v>
      </c>
      <c r="BO67" s="10">
        <f t="shared" si="53"/>
        <v>48</v>
      </c>
      <c r="BP67" s="10">
        <f t="shared" si="54"/>
        <v>48</v>
      </c>
      <c r="BQ67" s="10">
        <f t="shared" si="55"/>
        <v>47</v>
      </c>
      <c r="BR67" s="10">
        <f t="shared" si="56"/>
        <v>46</v>
      </c>
      <c r="BS67" s="10">
        <f t="shared" si="57"/>
        <v>45</v>
      </c>
      <c r="BT67" s="10">
        <f t="shared" si="58"/>
        <v>44</v>
      </c>
      <c r="BU67" s="10">
        <f t="shared" si="59"/>
        <v>43</v>
      </c>
      <c r="BV67" s="10">
        <f t="shared" si="60"/>
        <v>42</v>
      </c>
      <c r="BW67" s="10">
        <f t="shared" si="61"/>
        <v>41</v>
      </c>
      <c r="BX67" s="10">
        <f t="shared" si="62"/>
        <v>40</v>
      </c>
      <c r="BY67" s="10">
        <f t="shared" si="63"/>
        <v>39</v>
      </c>
      <c r="BZ67" s="10">
        <f t="shared" si="64"/>
        <v>38</v>
      </c>
      <c r="CA67" s="10">
        <f t="shared" si="65"/>
        <v>37</v>
      </c>
      <c r="CB67" s="10">
        <f t="shared" si="66"/>
        <v>36</v>
      </c>
      <c r="CC67" s="10">
        <f t="shared" si="67"/>
        <v>35</v>
      </c>
      <c r="CD67" s="10">
        <f t="shared" si="68"/>
        <v>34</v>
      </c>
      <c r="CE67" s="10">
        <f t="shared" si="69"/>
        <v>33</v>
      </c>
      <c r="CF67" s="10">
        <f t="shared" si="70"/>
        <v>32</v>
      </c>
      <c r="CG67" s="10">
        <f t="shared" si="71"/>
        <v>31</v>
      </c>
      <c r="CH67" s="10">
        <f t="shared" si="72"/>
        <v>30</v>
      </c>
      <c r="CI67" s="10">
        <f t="shared" si="73"/>
        <v>29</v>
      </c>
      <c r="CJ67" s="10">
        <f t="shared" si="74"/>
        <v>28</v>
      </c>
      <c r="CK67" s="10">
        <f t="shared" si="75"/>
        <v>27</v>
      </c>
      <c r="CL67" s="10">
        <f t="shared" si="76"/>
        <v>26</v>
      </c>
      <c r="CM67" s="10" t="str">
        <f>'役職希望調査 ・備考'!I37&amp;""</f>
        <v/>
      </c>
    </row>
    <row r="68" spans="1:91">
      <c r="A68" s="10" t="str">
        <f>時間希望調査!A38&amp;""</f>
        <v/>
      </c>
      <c r="B68" s="10" t="str">
        <f>時間希望調査!B38&amp;""</f>
        <v/>
      </c>
      <c r="C68" s="10" t="str">
        <f>時間希望調査!C38&amp;""</f>
        <v/>
      </c>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0">
        <f t="shared" si="46"/>
        <v>0</v>
      </c>
      <c r="BC68" s="10">
        <f>時間希望調査!D38</f>
        <v>0</v>
      </c>
      <c r="BD68" s="10" t="str">
        <f>'役職希望調査 ・備考'!D38&amp;""</f>
        <v/>
      </c>
      <c r="BE68" s="10" t="str">
        <f>'役職希望調査 ・備考'!E38&amp;""</f>
        <v/>
      </c>
      <c r="BF68" s="10" t="str">
        <f>'役職希望調査 ・備考'!F38&amp;""</f>
        <v/>
      </c>
      <c r="BG68" s="10" t="str">
        <f>'役職希望調査 ・備考'!G38&amp;""</f>
        <v/>
      </c>
      <c r="BH68" s="10" t="str">
        <f>'役職希望調査 ・備考'!H38&amp;""</f>
        <v/>
      </c>
      <c r="BI68" s="10">
        <f t="shared" si="47"/>
        <v>0</v>
      </c>
      <c r="BJ68" s="10">
        <f t="shared" si="48"/>
        <v>0</v>
      </c>
      <c r="BK68" s="10">
        <f t="shared" si="49"/>
        <v>0</v>
      </c>
      <c r="BL68" s="10">
        <f t="shared" si="50"/>
        <v>0</v>
      </c>
      <c r="BM68" s="10">
        <f t="shared" si="51"/>
        <v>0</v>
      </c>
      <c r="BN68" s="10">
        <f t="shared" si="52"/>
        <v>0</v>
      </c>
      <c r="BO68" s="10">
        <f t="shared" si="53"/>
        <v>48</v>
      </c>
      <c r="BP68" s="10">
        <f t="shared" si="54"/>
        <v>48</v>
      </c>
      <c r="BQ68" s="10">
        <f t="shared" si="55"/>
        <v>47</v>
      </c>
      <c r="BR68" s="10">
        <f t="shared" si="56"/>
        <v>46</v>
      </c>
      <c r="BS68" s="10">
        <f t="shared" si="57"/>
        <v>45</v>
      </c>
      <c r="BT68" s="10">
        <f t="shared" si="58"/>
        <v>44</v>
      </c>
      <c r="BU68" s="10">
        <f t="shared" si="59"/>
        <v>43</v>
      </c>
      <c r="BV68" s="10">
        <f t="shared" si="60"/>
        <v>42</v>
      </c>
      <c r="BW68" s="10">
        <f t="shared" si="61"/>
        <v>41</v>
      </c>
      <c r="BX68" s="10">
        <f t="shared" si="62"/>
        <v>40</v>
      </c>
      <c r="BY68" s="10">
        <f t="shared" si="63"/>
        <v>39</v>
      </c>
      <c r="BZ68" s="10">
        <f t="shared" si="64"/>
        <v>38</v>
      </c>
      <c r="CA68" s="10">
        <f t="shared" si="65"/>
        <v>37</v>
      </c>
      <c r="CB68" s="10">
        <f t="shared" si="66"/>
        <v>36</v>
      </c>
      <c r="CC68" s="10">
        <f t="shared" si="67"/>
        <v>35</v>
      </c>
      <c r="CD68" s="10">
        <f t="shared" si="68"/>
        <v>34</v>
      </c>
      <c r="CE68" s="10">
        <f t="shared" si="69"/>
        <v>33</v>
      </c>
      <c r="CF68" s="10">
        <f t="shared" si="70"/>
        <v>32</v>
      </c>
      <c r="CG68" s="10">
        <f t="shared" si="71"/>
        <v>31</v>
      </c>
      <c r="CH68" s="10">
        <f t="shared" si="72"/>
        <v>30</v>
      </c>
      <c r="CI68" s="10">
        <f t="shared" si="73"/>
        <v>29</v>
      </c>
      <c r="CJ68" s="10">
        <f t="shared" si="74"/>
        <v>28</v>
      </c>
      <c r="CK68" s="10">
        <f t="shared" si="75"/>
        <v>27</v>
      </c>
      <c r="CL68" s="10">
        <f t="shared" si="76"/>
        <v>26</v>
      </c>
      <c r="CM68" s="10" t="str">
        <f>'役職希望調査 ・備考'!I38&amp;""</f>
        <v/>
      </c>
    </row>
    <row r="69" spans="1:91">
      <c r="A69" s="10" t="str">
        <f>時間希望調査!A39&amp;""</f>
        <v/>
      </c>
      <c r="B69" s="10" t="str">
        <f>時間希望調査!B39&amp;""</f>
        <v/>
      </c>
      <c r="C69" s="10" t="str">
        <f>時間希望調査!C39&amp;""</f>
        <v/>
      </c>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0">
        <f t="shared" si="46"/>
        <v>0</v>
      </c>
      <c r="BC69" s="10">
        <f>時間希望調査!D39</f>
        <v>0</v>
      </c>
      <c r="BD69" s="10" t="str">
        <f>'役職希望調査 ・備考'!D39&amp;""</f>
        <v/>
      </c>
      <c r="BE69" s="10" t="str">
        <f>'役職希望調査 ・備考'!E39&amp;""</f>
        <v/>
      </c>
      <c r="BF69" s="10" t="str">
        <f>'役職希望調査 ・備考'!F39&amp;""</f>
        <v/>
      </c>
      <c r="BG69" s="10" t="str">
        <f>'役職希望調査 ・備考'!G39&amp;""</f>
        <v/>
      </c>
      <c r="BH69" s="10" t="str">
        <f>'役職希望調査 ・備考'!H39&amp;""</f>
        <v/>
      </c>
      <c r="BI69" s="10">
        <f t="shared" si="47"/>
        <v>0</v>
      </c>
      <c r="BJ69" s="10">
        <f t="shared" si="48"/>
        <v>0</v>
      </c>
      <c r="BK69" s="10">
        <f t="shared" si="49"/>
        <v>0</v>
      </c>
      <c r="BL69" s="10">
        <f t="shared" si="50"/>
        <v>0</v>
      </c>
      <c r="BM69" s="10">
        <f t="shared" si="51"/>
        <v>0</v>
      </c>
      <c r="BN69" s="10">
        <f t="shared" si="52"/>
        <v>0</v>
      </c>
      <c r="BO69" s="10">
        <f t="shared" si="53"/>
        <v>48</v>
      </c>
      <c r="BP69" s="10">
        <f t="shared" si="54"/>
        <v>48</v>
      </c>
      <c r="BQ69" s="10">
        <f t="shared" si="55"/>
        <v>47</v>
      </c>
      <c r="BR69" s="10">
        <f t="shared" si="56"/>
        <v>46</v>
      </c>
      <c r="BS69" s="10">
        <f t="shared" si="57"/>
        <v>45</v>
      </c>
      <c r="BT69" s="10">
        <f t="shared" si="58"/>
        <v>44</v>
      </c>
      <c r="BU69" s="10">
        <f t="shared" si="59"/>
        <v>43</v>
      </c>
      <c r="BV69" s="10">
        <f t="shared" si="60"/>
        <v>42</v>
      </c>
      <c r="BW69" s="10">
        <f t="shared" si="61"/>
        <v>41</v>
      </c>
      <c r="BX69" s="10">
        <f t="shared" si="62"/>
        <v>40</v>
      </c>
      <c r="BY69" s="10">
        <f t="shared" si="63"/>
        <v>39</v>
      </c>
      <c r="BZ69" s="10">
        <f t="shared" si="64"/>
        <v>38</v>
      </c>
      <c r="CA69" s="10">
        <f t="shared" si="65"/>
        <v>37</v>
      </c>
      <c r="CB69" s="10">
        <f t="shared" si="66"/>
        <v>36</v>
      </c>
      <c r="CC69" s="10">
        <f t="shared" si="67"/>
        <v>35</v>
      </c>
      <c r="CD69" s="10">
        <f t="shared" si="68"/>
        <v>34</v>
      </c>
      <c r="CE69" s="10">
        <f t="shared" si="69"/>
        <v>33</v>
      </c>
      <c r="CF69" s="10">
        <f t="shared" si="70"/>
        <v>32</v>
      </c>
      <c r="CG69" s="10">
        <f t="shared" si="71"/>
        <v>31</v>
      </c>
      <c r="CH69" s="10">
        <f t="shared" si="72"/>
        <v>30</v>
      </c>
      <c r="CI69" s="10">
        <f t="shared" si="73"/>
        <v>29</v>
      </c>
      <c r="CJ69" s="10">
        <f t="shared" si="74"/>
        <v>28</v>
      </c>
      <c r="CK69" s="10">
        <f t="shared" si="75"/>
        <v>27</v>
      </c>
      <c r="CL69" s="10">
        <f t="shared" si="76"/>
        <v>26</v>
      </c>
      <c r="CM69" s="10" t="str">
        <f>'役職希望調査 ・備考'!I39&amp;""</f>
        <v/>
      </c>
    </row>
    <row r="70" spans="1:91">
      <c r="A70" s="10" t="str">
        <f>時間希望調査!A40&amp;""</f>
        <v/>
      </c>
      <c r="B70" s="10" t="str">
        <f>時間希望調査!B40&amp;""</f>
        <v/>
      </c>
      <c r="C70" s="10" t="str">
        <f>時間希望調査!C40&amp;""</f>
        <v/>
      </c>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0">
        <f t="shared" si="46"/>
        <v>0</v>
      </c>
      <c r="BC70" s="10">
        <f>時間希望調査!D40</f>
        <v>0</v>
      </c>
      <c r="BD70" s="10" t="str">
        <f>'役職希望調査 ・備考'!D40&amp;""</f>
        <v/>
      </c>
      <c r="BE70" s="10" t="str">
        <f>'役職希望調査 ・備考'!E40&amp;""</f>
        <v/>
      </c>
      <c r="BF70" s="10" t="str">
        <f>'役職希望調査 ・備考'!F40&amp;""</f>
        <v/>
      </c>
      <c r="BG70" s="10" t="str">
        <f>'役職希望調査 ・備考'!G40&amp;""</f>
        <v/>
      </c>
      <c r="BH70" s="10" t="str">
        <f>'役職希望調査 ・備考'!H40&amp;""</f>
        <v/>
      </c>
      <c r="BI70" s="10">
        <f t="shared" si="47"/>
        <v>0</v>
      </c>
      <c r="BJ70" s="10">
        <f t="shared" si="48"/>
        <v>0</v>
      </c>
      <c r="BK70" s="10">
        <f t="shared" si="49"/>
        <v>0</v>
      </c>
      <c r="BL70" s="10">
        <f t="shared" si="50"/>
        <v>0</v>
      </c>
      <c r="BM70" s="10">
        <f t="shared" si="51"/>
        <v>0</v>
      </c>
      <c r="BN70" s="10">
        <f t="shared" si="52"/>
        <v>0</v>
      </c>
      <c r="BO70" s="10">
        <f t="shared" si="53"/>
        <v>48</v>
      </c>
      <c r="BP70" s="10">
        <f t="shared" si="54"/>
        <v>48</v>
      </c>
      <c r="BQ70" s="10">
        <f t="shared" si="55"/>
        <v>47</v>
      </c>
      <c r="BR70" s="10">
        <f t="shared" si="56"/>
        <v>46</v>
      </c>
      <c r="BS70" s="10">
        <f t="shared" si="57"/>
        <v>45</v>
      </c>
      <c r="BT70" s="10">
        <f t="shared" si="58"/>
        <v>44</v>
      </c>
      <c r="BU70" s="10">
        <f t="shared" si="59"/>
        <v>43</v>
      </c>
      <c r="BV70" s="10">
        <f t="shared" si="60"/>
        <v>42</v>
      </c>
      <c r="BW70" s="10">
        <f t="shared" si="61"/>
        <v>41</v>
      </c>
      <c r="BX70" s="10">
        <f t="shared" si="62"/>
        <v>40</v>
      </c>
      <c r="BY70" s="10">
        <f t="shared" si="63"/>
        <v>39</v>
      </c>
      <c r="BZ70" s="10">
        <f t="shared" si="64"/>
        <v>38</v>
      </c>
      <c r="CA70" s="10">
        <f t="shared" si="65"/>
        <v>37</v>
      </c>
      <c r="CB70" s="10">
        <f t="shared" si="66"/>
        <v>36</v>
      </c>
      <c r="CC70" s="10">
        <f t="shared" si="67"/>
        <v>35</v>
      </c>
      <c r="CD70" s="10">
        <f t="shared" si="68"/>
        <v>34</v>
      </c>
      <c r="CE70" s="10">
        <f t="shared" si="69"/>
        <v>33</v>
      </c>
      <c r="CF70" s="10">
        <f t="shared" si="70"/>
        <v>32</v>
      </c>
      <c r="CG70" s="10">
        <f t="shared" si="71"/>
        <v>31</v>
      </c>
      <c r="CH70" s="10">
        <f t="shared" si="72"/>
        <v>30</v>
      </c>
      <c r="CI70" s="10">
        <f t="shared" si="73"/>
        <v>29</v>
      </c>
      <c r="CJ70" s="10">
        <f t="shared" si="74"/>
        <v>28</v>
      </c>
      <c r="CK70" s="10">
        <f t="shared" si="75"/>
        <v>27</v>
      </c>
      <c r="CL70" s="10">
        <f t="shared" si="76"/>
        <v>26</v>
      </c>
      <c r="CM70" s="10" t="str">
        <f>'役職希望調査 ・備考'!I40&amp;""</f>
        <v/>
      </c>
    </row>
    <row r="71" spans="1:91">
      <c r="A71" s="10" t="str">
        <f>時間希望調査!A41&amp;""</f>
        <v/>
      </c>
      <c r="B71" s="10" t="str">
        <f>時間希望調査!B41&amp;""</f>
        <v/>
      </c>
      <c r="C71" s="10" t="str">
        <f>時間希望調査!C41&amp;""</f>
        <v/>
      </c>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0">
        <f t="shared" si="46"/>
        <v>0</v>
      </c>
      <c r="BC71" s="10">
        <f>時間希望調査!D41</f>
        <v>0</v>
      </c>
      <c r="BD71" s="10" t="str">
        <f>'役職希望調査 ・備考'!D41&amp;""</f>
        <v/>
      </c>
      <c r="BE71" s="10" t="str">
        <f>'役職希望調査 ・備考'!E41&amp;""</f>
        <v/>
      </c>
      <c r="BF71" s="10" t="str">
        <f>'役職希望調査 ・備考'!F41&amp;""</f>
        <v/>
      </c>
      <c r="BG71" s="10" t="str">
        <f>'役職希望調査 ・備考'!G41&amp;""</f>
        <v/>
      </c>
      <c r="BH71" s="10" t="str">
        <f>'役職希望調査 ・備考'!H41&amp;""</f>
        <v/>
      </c>
      <c r="BI71" s="10">
        <f t="shared" si="47"/>
        <v>0</v>
      </c>
      <c r="BJ71" s="10">
        <f t="shared" si="48"/>
        <v>0</v>
      </c>
      <c r="BK71" s="10">
        <f t="shared" si="49"/>
        <v>0</v>
      </c>
      <c r="BL71" s="10">
        <f t="shared" si="50"/>
        <v>0</v>
      </c>
      <c r="BM71" s="10">
        <f t="shared" si="51"/>
        <v>0</v>
      </c>
      <c r="BN71" s="10">
        <f t="shared" si="52"/>
        <v>0</v>
      </c>
      <c r="BO71" s="10">
        <f t="shared" si="53"/>
        <v>48</v>
      </c>
      <c r="BP71" s="10">
        <f t="shared" si="54"/>
        <v>48</v>
      </c>
      <c r="BQ71" s="10">
        <f t="shared" si="55"/>
        <v>47</v>
      </c>
      <c r="BR71" s="10">
        <f t="shared" si="56"/>
        <v>46</v>
      </c>
      <c r="BS71" s="10">
        <f t="shared" si="57"/>
        <v>45</v>
      </c>
      <c r="BT71" s="10">
        <f t="shared" si="58"/>
        <v>44</v>
      </c>
      <c r="BU71" s="10">
        <f t="shared" si="59"/>
        <v>43</v>
      </c>
      <c r="BV71" s="10">
        <f t="shared" si="60"/>
        <v>42</v>
      </c>
      <c r="BW71" s="10">
        <f t="shared" si="61"/>
        <v>41</v>
      </c>
      <c r="BX71" s="10">
        <f t="shared" si="62"/>
        <v>40</v>
      </c>
      <c r="BY71" s="10">
        <f t="shared" si="63"/>
        <v>39</v>
      </c>
      <c r="BZ71" s="10">
        <f t="shared" si="64"/>
        <v>38</v>
      </c>
      <c r="CA71" s="10">
        <f t="shared" si="65"/>
        <v>37</v>
      </c>
      <c r="CB71" s="10">
        <f t="shared" si="66"/>
        <v>36</v>
      </c>
      <c r="CC71" s="10">
        <f t="shared" si="67"/>
        <v>35</v>
      </c>
      <c r="CD71" s="10">
        <f t="shared" si="68"/>
        <v>34</v>
      </c>
      <c r="CE71" s="10">
        <f t="shared" si="69"/>
        <v>33</v>
      </c>
      <c r="CF71" s="10">
        <f t="shared" si="70"/>
        <v>32</v>
      </c>
      <c r="CG71" s="10">
        <f t="shared" si="71"/>
        <v>31</v>
      </c>
      <c r="CH71" s="10">
        <f t="shared" si="72"/>
        <v>30</v>
      </c>
      <c r="CI71" s="10">
        <f t="shared" si="73"/>
        <v>29</v>
      </c>
      <c r="CJ71" s="10">
        <f t="shared" si="74"/>
        <v>28</v>
      </c>
      <c r="CK71" s="10">
        <f t="shared" si="75"/>
        <v>27</v>
      </c>
      <c r="CL71" s="10">
        <f t="shared" si="76"/>
        <v>26</v>
      </c>
      <c r="CM71" s="10" t="str">
        <f>'役職希望調査 ・備考'!I41&amp;""</f>
        <v/>
      </c>
    </row>
    <row r="72" spans="1:91">
      <c r="A72" s="10" t="str">
        <f>時間希望調査!A42&amp;""</f>
        <v/>
      </c>
      <c r="B72" s="10" t="str">
        <f>時間希望調査!B42&amp;""</f>
        <v/>
      </c>
      <c r="C72" s="10" t="str">
        <f>時間希望調査!C42&amp;""</f>
        <v/>
      </c>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0">
        <f t="shared" si="46"/>
        <v>0</v>
      </c>
      <c r="BC72" s="10">
        <f>時間希望調査!D42</f>
        <v>0</v>
      </c>
      <c r="BD72" s="10" t="str">
        <f>'役職希望調査 ・備考'!D42&amp;""</f>
        <v/>
      </c>
      <c r="BE72" s="10" t="str">
        <f>'役職希望調査 ・備考'!E42&amp;""</f>
        <v/>
      </c>
      <c r="BF72" s="10" t="str">
        <f>'役職希望調査 ・備考'!F42&amp;""</f>
        <v/>
      </c>
      <c r="BG72" s="10" t="str">
        <f>'役職希望調査 ・備考'!G42&amp;""</f>
        <v/>
      </c>
      <c r="BH72" s="10" t="str">
        <f>'役職希望調査 ・備考'!H42&amp;""</f>
        <v/>
      </c>
      <c r="BI72" s="10">
        <f t="shared" si="47"/>
        <v>0</v>
      </c>
      <c r="BJ72" s="10">
        <f t="shared" si="48"/>
        <v>0</v>
      </c>
      <c r="BK72" s="10">
        <f t="shared" si="49"/>
        <v>0</v>
      </c>
      <c r="BL72" s="10">
        <f t="shared" si="50"/>
        <v>0</v>
      </c>
      <c r="BM72" s="10">
        <f t="shared" si="51"/>
        <v>0</v>
      </c>
      <c r="BN72" s="10">
        <f t="shared" si="52"/>
        <v>0</v>
      </c>
      <c r="BO72" s="10">
        <f t="shared" si="53"/>
        <v>48</v>
      </c>
      <c r="BP72" s="10">
        <f t="shared" si="54"/>
        <v>48</v>
      </c>
      <c r="BQ72" s="10">
        <f t="shared" si="55"/>
        <v>47</v>
      </c>
      <c r="BR72" s="10">
        <f t="shared" si="56"/>
        <v>46</v>
      </c>
      <c r="BS72" s="10">
        <f t="shared" si="57"/>
        <v>45</v>
      </c>
      <c r="BT72" s="10">
        <f t="shared" si="58"/>
        <v>44</v>
      </c>
      <c r="BU72" s="10">
        <f t="shared" si="59"/>
        <v>43</v>
      </c>
      <c r="BV72" s="10">
        <f t="shared" si="60"/>
        <v>42</v>
      </c>
      <c r="BW72" s="10">
        <f t="shared" si="61"/>
        <v>41</v>
      </c>
      <c r="BX72" s="10">
        <f t="shared" si="62"/>
        <v>40</v>
      </c>
      <c r="BY72" s="10">
        <f t="shared" si="63"/>
        <v>39</v>
      </c>
      <c r="BZ72" s="10">
        <f t="shared" si="64"/>
        <v>38</v>
      </c>
      <c r="CA72" s="10">
        <f t="shared" si="65"/>
        <v>37</v>
      </c>
      <c r="CB72" s="10">
        <f t="shared" si="66"/>
        <v>36</v>
      </c>
      <c r="CC72" s="10">
        <f t="shared" si="67"/>
        <v>35</v>
      </c>
      <c r="CD72" s="10">
        <f t="shared" si="68"/>
        <v>34</v>
      </c>
      <c r="CE72" s="10">
        <f t="shared" si="69"/>
        <v>33</v>
      </c>
      <c r="CF72" s="10">
        <f t="shared" si="70"/>
        <v>32</v>
      </c>
      <c r="CG72" s="10">
        <f t="shared" si="71"/>
        <v>31</v>
      </c>
      <c r="CH72" s="10">
        <f t="shared" si="72"/>
        <v>30</v>
      </c>
      <c r="CI72" s="10">
        <f t="shared" si="73"/>
        <v>29</v>
      </c>
      <c r="CJ72" s="10">
        <f t="shared" si="74"/>
        <v>28</v>
      </c>
      <c r="CK72" s="10">
        <f t="shared" si="75"/>
        <v>27</v>
      </c>
      <c r="CL72" s="10">
        <f t="shared" si="76"/>
        <v>26</v>
      </c>
      <c r="CM72" s="10" t="str">
        <f>'役職希望調査 ・備考'!I42&amp;""</f>
        <v/>
      </c>
    </row>
    <row r="73" spans="1:91">
      <c r="A73" s="10" t="str">
        <f>時間希望調査!A43&amp;""</f>
        <v/>
      </c>
      <c r="B73" s="10" t="str">
        <f>時間希望調査!B43&amp;""</f>
        <v/>
      </c>
      <c r="C73" s="10" t="str">
        <f>時間希望調査!C43&amp;""</f>
        <v/>
      </c>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0">
        <f t="shared" si="46"/>
        <v>0</v>
      </c>
      <c r="BC73" s="10">
        <f>時間希望調査!D43</f>
        <v>0</v>
      </c>
      <c r="BD73" s="10" t="str">
        <f>'役職希望調査 ・備考'!D43&amp;""</f>
        <v/>
      </c>
      <c r="BE73" s="10" t="str">
        <f>'役職希望調査 ・備考'!E43&amp;""</f>
        <v/>
      </c>
      <c r="BF73" s="10" t="str">
        <f>'役職希望調査 ・備考'!F43&amp;""</f>
        <v/>
      </c>
      <c r="BG73" s="10" t="str">
        <f>'役職希望調査 ・備考'!G43&amp;""</f>
        <v/>
      </c>
      <c r="BH73" s="10" t="str">
        <f>'役職希望調査 ・備考'!H43&amp;""</f>
        <v/>
      </c>
      <c r="BI73" s="10">
        <f t="shared" si="47"/>
        <v>0</v>
      </c>
      <c r="BJ73" s="10">
        <f t="shared" si="48"/>
        <v>0</v>
      </c>
      <c r="BK73" s="10">
        <f t="shared" si="49"/>
        <v>0</v>
      </c>
      <c r="BL73" s="10">
        <f t="shared" si="50"/>
        <v>0</v>
      </c>
      <c r="BM73" s="10">
        <f t="shared" si="51"/>
        <v>0</v>
      </c>
      <c r="BN73" s="10">
        <f t="shared" si="52"/>
        <v>0</v>
      </c>
      <c r="BO73" s="10">
        <f t="shared" si="53"/>
        <v>48</v>
      </c>
      <c r="BP73" s="10">
        <f t="shared" si="54"/>
        <v>48</v>
      </c>
      <c r="BQ73" s="10">
        <f t="shared" si="55"/>
        <v>47</v>
      </c>
      <c r="BR73" s="10">
        <f t="shared" si="56"/>
        <v>46</v>
      </c>
      <c r="BS73" s="10">
        <f t="shared" si="57"/>
        <v>45</v>
      </c>
      <c r="BT73" s="10">
        <f t="shared" si="58"/>
        <v>44</v>
      </c>
      <c r="BU73" s="10">
        <f t="shared" si="59"/>
        <v>43</v>
      </c>
      <c r="BV73" s="10">
        <f t="shared" si="60"/>
        <v>42</v>
      </c>
      <c r="BW73" s="10">
        <f t="shared" si="61"/>
        <v>41</v>
      </c>
      <c r="BX73" s="10">
        <f t="shared" si="62"/>
        <v>40</v>
      </c>
      <c r="BY73" s="10">
        <f t="shared" si="63"/>
        <v>39</v>
      </c>
      <c r="BZ73" s="10">
        <f t="shared" si="64"/>
        <v>38</v>
      </c>
      <c r="CA73" s="10">
        <f t="shared" si="65"/>
        <v>37</v>
      </c>
      <c r="CB73" s="10">
        <f t="shared" si="66"/>
        <v>36</v>
      </c>
      <c r="CC73" s="10">
        <f t="shared" si="67"/>
        <v>35</v>
      </c>
      <c r="CD73" s="10">
        <f t="shared" si="68"/>
        <v>34</v>
      </c>
      <c r="CE73" s="10">
        <f t="shared" si="69"/>
        <v>33</v>
      </c>
      <c r="CF73" s="10">
        <f t="shared" si="70"/>
        <v>32</v>
      </c>
      <c r="CG73" s="10">
        <f t="shared" si="71"/>
        <v>31</v>
      </c>
      <c r="CH73" s="10">
        <f t="shared" si="72"/>
        <v>30</v>
      </c>
      <c r="CI73" s="10">
        <f t="shared" si="73"/>
        <v>29</v>
      </c>
      <c r="CJ73" s="10">
        <f t="shared" si="74"/>
        <v>28</v>
      </c>
      <c r="CK73" s="10">
        <f t="shared" si="75"/>
        <v>27</v>
      </c>
      <c r="CL73" s="10">
        <f t="shared" si="76"/>
        <v>26</v>
      </c>
      <c r="CM73" s="10" t="str">
        <f>'役職希望調査 ・備考'!I43&amp;""</f>
        <v/>
      </c>
    </row>
    <row r="74" spans="1:91">
      <c r="A74" s="10" t="str">
        <f>時間希望調査!A44&amp;""</f>
        <v/>
      </c>
      <c r="B74" s="10" t="str">
        <f>時間希望調査!B44&amp;""</f>
        <v/>
      </c>
      <c r="C74" s="10" t="str">
        <f>時間希望調査!C44&amp;""</f>
        <v/>
      </c>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0">
        <f t="shared" si="46"/>
        <v>0</v>
      </c>
      <c r="BC74" s="10">
        <f>時間希望調査!D44</f>
        <v>0</v>
      </c>
      <c r="BD74" s="10" t="str">
        <f>'役職希望調査 ・備考'!D44&amp;""</f>
        <v/>
      </c>
      <c r="BE74" s="10" t="str">
        <f>'役職希望調査 ・備考'!E44&amp;""</f>
        <v/>
      </c>
      <c r="BF74" s="10" t="str">
        <f>'役職希望調査 ・備考'!F44&amp;""</f>
        <v/>
      </c>
      <c r="BG74" s="10" t="str">
        <f>'役職希望調査 ・備考'!G44&amp;""</f>
        <v/>
      </c>
      <c r="BH74" s="10" t="str">
        <f>'役職希望調査 ・備考'!H44&amp;""</f>
        <v/>
      </c>
      <c r="BI74" s="10">
        <f t="shared" si="47"/>
        <v>0</v>
      </c>
      <c r="BJ74" s="10">
        <f t="shared" si="48"/>
        <v>0</v>
      </c>
      <c r="BK74" s="10">
        <f t="shared" si="49"/>
        <v>0</v>
      </c>
      <c r="BL74" s="10">
        <f t="shared" si="50"/>
        <v>0</v>
      </c>
      <c r="BM74" s="10">
        <f t="shared" si="51"/>
        <v>0</v>
      </c>
      <c r="BN74" s="10">
        <f t="shared" si="52"/>
        <v>0</v>
      </c>
      <c r="BO74" s="10">
        <f t="shared" si="53"/>
        <v>48</v>
      </c>
      <c r="BP74" s="10">
        <f t="shared" si="54"/>
        <v>48</v>
      </c>
      <c r="BQ74" s="10">
        <f t="shared" si="55"/>
        <v>47</v>
      </c>
      <c r="BR74" s="10">
        <f t="shared" si="56"/>
        <v>46</v>
      </c>
      <c r="BS74" s="10">
        <f t="shared" si="57"/>
        <v>45</v>
      </c>
      <c r="BT74" s="10">
        <f t="shared" si="58"/>
        <v>44</v>
      </c>
      <c r="BU74" s="10">
        <f t="shared" si="59"/>
        <v>43</v>
      </c>
      <c r="BV74" s="10">
        <f t="shared" si="60"/>
        <v>42</v>
      </c>
      <c r="BW74" s="10">
        <f t="shared" si="61"/>
        <v>41</v>
      </c>
      <c r="BX74" s="10">
        <f t="shared" si="62"/>
        <v>40</v>
      </c>
      <c r="BY74" s="10">
        <f t="shared" si="63"/>
        <v>39</v>
      </c>
      <c r="BZ74" s="10">
        <f t="shared" si="64"/>
        <v>38</v>
      </c>
      <c r="CA74" s="10">
        <f t="shared" si="65"/>
        <v>37</v>
      </c>
      <c r="CB74" s="10">
        <f t="shared" si="66"/>
        <v>36</v>
      </c>
      <c r="CC74" s="10">
        <f t="shared" si="67"/>
        <v>35</v>
      </c>
      <c r="CD74" s="10">
        <f t="shared" si="68"/>
        <v>34</v>
      </c>
      <c r="CE74" s="10">
        <f t="shared" si="69"/>
        <v>33</v>
      </c>
      <c r="CF74" s="10">
        <f t="shared" si="70"/>
        <v>32</v>
      </c>
      <c r="CG74" s="10">
        <f t="shared" si="71"/>
        <v>31</v>
      </c>
      <c r="CH74" s="10">
        <f t="shared" si="72"/>
        <v>30</v>
      </c>
      <c r="CI74" s="10">
        <f t="shared" si="73"/>
        <v>29</v>
      </c>
      <c r="CJ74" s="10">
        <f t="shared" si="74"/>
        <v>28</v>
      </c>
      <c r="CK74" s="10">
        <f t="shared" si="75"/>
        <v>27</v>
      </c>
      <c r="CL74" s="10">
        <f t="shared" si="76"/>
        <v>26</v>
      </c>
      <c r="CM74" s="10" t="str">
        <f>'役職希望調査 ・備考'!I44&amp;""</f>
        <v/>
      </c>
    </row>
    <row r="75" spans="1:91">
      <c r="A75" s="10" t="str">
        <f>時間希望調査!A45&amp;""</f>
        <v/>
      </c>
      <c r="B75" s="10" t="str">
        <f>時間希望調査!B45&amp;""</f>
        <v/>
      </c>
      <c r="C75" s="10" t="str">
        <f>時間希望調査!C45&amp;""</f>
        <v/>
      </c>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0">
        <f t="shared" si="46"/>
        <v>0</v>
      </c>
      <c r="BC75" s="10">
        <f>時間希望調査!D45</f>
        <v>0</v>
      </c>
      <c r="BD75" s="10" t="str">
        <f>'役職希望調査 ・備考'!D45&amp;""</f>
        <v/>
      </c>
      <c r="BE75" s="10" t="str">
        <f>'役職希望調査 ・備考'!E45&amp;""</f>
        <v/>
      </c>
      <c r="BF75" s="10" t="str">
        <f>'役職希望調査 ・備考'!F45&amp;""</f>
        <v/>
      </c>
      <c r="BG75" s="10" t="str">
        <f>'役職希望調査 ・備考'!G45&amp;""</f>
        <v/>
      </c>
      <c r="BH75" s="10" t="str">
        <f>'役職希望調査 ・備考'!H45&amp;""</f>
        <v/>
      </c>
      <c r="BI75" s="10">
        <f t="shared" si="47"/>
        <v>0</v>
      </c>
      <c r="BJ75" s="10">
        <f t="shared" si="48"/>
        <v>0</v>
      </c>
      <c r="BK75" s="10">
        <f t="shared" si="49"/>
        <v>0</v>
      </c>
      <c r="BL75" s="10">
        <f t="shared" si="50"/>
        <v>0</v>
      </c>
      <c r="BM75" s="10">
        <f t="shared" si="51"/>
        <v>0</v>
      </c>
      <c r="BN75" s="10">
        <f t="shared" si="52"/>
        <v>0</v>
      </c>
      <c r="BO75" s="10">
        <f t="shared" si="53"/>
        <v>48</v>
      </c>
      <c r="BP75" s="10">
        <f t="shared" si="54"/>
        <v>48</v>
      </c>
      <c r="BQ75" s="10">
        <f t="shared" si="55"/>
        <v>47</v>
      </c>
      <c r="BR75" s="10">
        <f t="shared" si="56"/>
        <v>46</v>
      </c>
      <c r="BS75" s="10">
        <f t="shared" si="57"/>
        <v>45</v>
      </c>
      <c r="BT75" s="10">
        <f t="shared" si="58"/>
        <v>44</v>
      </c>
      <c r="BU75" s="10">
        <f t="shared" si="59"/>
        <v>43</v>
      </c>
      <c r="BV75" s="10">
        <f t="shared" si="60"/>
        <v>42</v>
      </c>
      <c r="BW75" s="10">
        <f t="shared" si="61"/>
        <v>41</v>
      </c>
      <c r="BX75" s="10">
        <f t="shared" si="62"/>
        <v>40</v>
      </c>
      <c r="BY75" s="10">
        <f t="shared" si="63"/>
        <v>39</v>
      </c>
      <c r="BZ75" s="10">
        <f t="shared" si="64"/>
        <v>38</v>
      </c>
      <c r="CA75" s="10">
        <f t="shared" si="65"/>
        <v>37</v>
      </c>
      <c r="CB75" s="10">
        <f t="shared" si="66"/>
        <v>36</v>
      </c>
      <c r="CC75" s="10">
        <f t="shared" si="67"/>
        <v>35</v>
      </c>
      <c r="CD75" s="10">
        <f t="shared" si="68"/>
        <v>34</v>
      </c>
      <c r="CE75" s="10">
        <f t="shared" si="69"/>
        <v>33</v>
      </c>
      <c r="CF75" s="10">
        <f t="shared" si="70"/>
        <v>32</v>
      </c>
      <c r="CG75" s="10">
        <f t="shared" si="71"/>
        <v>31</v>
      </c>
      <c r="CH75" s="10">
        <f t="shared" si="72"/>
        <v>30</v>
      </c>
      <c r="CI75" s="10">
        <f t="shared" si="73"/>
        <v>29</v>
      </c>
      <c r="CJ75" s="10">
        <f t="shared" si="74"/>
        <v>28</v>
      </c>
      <c r="CK75" s="10">
        <f t="shared" si="75"/>
        <v>27</v>
      </c>
      <c r="CL75" s="10">
        <f t="shared" si="76"/>
        <v>26</v>
      </c>
      <c r="CM75" s="10" t="str">
        <f>'役職希望調査 ・備考'!I45&amp;""</f>
        <v/>
      </c>
    </row>
    <row r="76" spans="1:91">
      <c r="A76" s="10" t="str">
        <f>時間希望調査!A46&amp;""</f>
        <v/>
      </c>
      <c r="B76" s="10" t="str">
        <f>時間希望調査!B46&amp;""</f>
        <v/>
      </c>
      <c r="C76" s="10" t="str">
        <f>時間希望調査!C46&amp;""</f>
        <v/>
      </c>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0">
        <f t="shared" si="46"/>
        <v>0</v>
      </c>
      <c r="BC76" s="10">
        <f>時間希望調査!D46</f>
        <v>0</v>
      </c>
      <c r="BD76" s="10" t="str">
        <f>'役職希望調査 ・備考'!D46&amp;""</f>
        <v/>
      </c>
      <c r="BE76" s="10" t="str">
        <f>'役職希望調査 ・備考'!E46&amp;""</f>
        <v/>
      </c>
      <c r="BF76" s="10" t="str">
        <f>'役職希望調査 ・備考'!F46&amp;""</f>
        <v/>
      </c>
      <c r="BG76" s="10" t="str">
        <f>'役職希望調査 ・備考'!G46&amp;""</f>
        <v/>
      </c>
      <c r="BH76" s="10" t="str">
        <f>'役職希望調査 ・備考'!H46&amp;""</f>
        <v/>
      </c>
      <c r="BI76" s="10">
        <f t="shared" si="47"/>
        <v>0</v>
      </c>
      <c r="BJ76" s="10">
        <f t="shared" si="48"/>
        <v>0</v>
      </c>
      <c r="BK76" s="10">
        <f t="shared" si="49"/>
        <v>0</v>
      </c>
      <c r="BL76" s="10">
        <f t="shared" si="50"/>
        <v>0</v>
      </c>
      <c r="BM76" s="10">
        <f t="shared" si="51"/>
        <v>0</v>
      </c>
      <c r="BN76" s="10">
        <f t="shared" si="52"/>
        <v>0</v>
      </c>
      <c r="BO76" s="10">
        <f t="shared" si="53"/>
        <v>48</v>
      </c>
      <c r="BP76" s="10">
        <f t="shared" si="54"/>
        <v>48</v>
      </c>
      <c r="BQ76" s="10">
        <f t="shared" si="55"/>
        <v>47</v>
      </c>
      <c r="BR76" s="10">
        <f t="shared" si="56"/>
        <v>46</v>
      </c>
      <c r="BS76" s="10">
        <f t="shared" si="57"/>
        <v>45</v>
      </c>
      <c r="BT76" s="10">
        <f t="shared" si="58"/>
        <v>44</v>
      </c>
      <c r="BU76" s="10">
        <f t="shared" si="59"/>
        <v>43</v>
      </c>
      <c r="BV76" s="10">
        <f t="shared" si="60"/>
        <v>42</v>
      </c>
      <c r="BW76" s="10">
        <f t="shared" si="61"/>
        <v>41</v>
      </c>
      <c r="BX76" s="10">
        <f t="shared" si="62"/>
        <v>40</v>
      </c>
      <c r="BY76" s="10">
        <f t="shared" si="63"/>
        <v>39</v>
      </c>
      <c r="BZ76" s="10">
        <f t="shared" si="64"/>
        <v>38</v>
      </c>
      <c r="CA76" s="10">
        <f t="shared" si="65"/>
        <v>37</v>
      </c>
      <c r="CB76" s="10">
        <f t="shared" si="66"/>
        <v>36</v>
      </c>
      <c r="CC76" s="10">
        <f t="shared" si="67"/>
        <v>35</v>
      </c>
      <c r="CD76" s="10">
        <f t="shared" si="68"/>
        <v>34</v>
      </c>
      <c r="CE76" s="10">
        <f t="shared" si="69"/>
        <v>33</v>
      </c>
      <c r="CF76" s="10">
        <f t="shared" si="70"/>
        <v>32</v>
      </c>
      <c r="CG76" s="10">
        <f t="shared" si="71"/>
        <v>31</v>
      </c>
      <c r="CH76" s="10">
        <f t="shared" si="72"/>
        <v>30</v>
      </c>
      <c r="CI76" s="10">
        <f t="shared" si="73"/>
        <v>29</v>
      </c>
      <c r="CJ76" s="10">
        <f t="shared" si="74"/>
        <v>28</v>
      </c>
      <c r="CK76" s="10">
        <f t="shared" si="75"/>
        <v>27</v>
      </c>
      <c r="CL76" s="10">
        <f t="shared" si="76"/>
        <v>26</v>
      </c>
      <c r="CM76" s="10" t="str">
        <f>'役職希望調査 ・備考'!I46&amp;""</f>
        <v/>
      </c>
    </row>
    <row r="77" spans="1:91">
      <c r="A77" s="10" t="str">
        <f>時間希望調査!A47&amp;""</f>
        <v/>
      </c>
      <c r="B77" s="10" t="str">
        <f>時間希望調査!B47&amp;""</f>
        <v/>
      </c>
      <c r="C77" s="10" t="str">
        <f>時間希望調査!C47&amp;""</f>
        <v/>
      </c>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0">
        <f t="shared" si="46"/>
        <v>0</v>
      </c>
      <c r="BC77" s="10">
        <f>時間希望調査!D47</f>
        <v>0</v>
      </c>
      <c r="BD77" s="10" t="str">
        <f>'役職希望調査 ・備考'!D47&amp;""</f>
        <v/>
      </c>
      <c r="BE77" s="10" t="str">
        <f>'役職希望調査 ・備考'!E47&amp;""</f>
        <v/>
      </c>
      <c r="BF77" s="10" t="str">
        <f>'役職希望調査 ・備考'!F47&amp;""</f>
        <v/>
      </c>
      <c r="BG77" s="10" t="str">
        <f>'役職希望調査 ・備考'!G47&amp;""</f>
        <v/>
      </c>
      <c r="BH77" s="10" t="str">
        <f>'役職希望調査 ・備考'!H47&amp;""</f>
        <v/>
      </c>
      <c r="BI77" s="10">
        <f t="shared" si="47"/>
        <v>0</v>
      </c>
      <c r="BJ77" s="10">
        <f t="shared" si="48"/>
        <v>0</v>
      </c>
      <c r="BK77" s="10">
        <f t="shared" si="49"/>
        <v>0</v>
      </c>
      <c r="BL77" s="10">
        <f t="shared" si="50"/>
        <v>0</v>
      </c>
      <c r="BM77" s="10">
        <f t="shared" si="51"/>
        <v>0</v>
      </c>
      <c r="BN77" s="10">
        <f t="shared" si="52"/>
        <v>0</v>
      </c>
      <c r="BO77" s="10">
        <f t="shared" si="53"/>
        <v>48</v>
      </c>
      <c r="BP77" s="10">
        <f t="shared" si="54"/>
        <v>48</v>
      </c>
      <c r="BQ77" s="10">
        <f t="shared" si="55"/>
        <v>47</v>
      </c>
      <c r="BR77" s="10">
        <f t="shared" si="56"/>
        <v>46</v>
      </c>
      <c r="BS77" s="10">
        <f t="shared" si="57"/>
        <v>45</v>
      </c>
      <c r="BT77" s="10">
        <f t="shared" si="58"/>
        <v>44</v>
      </c>
      <c r="BU77" s="10">
        <f t="shared" si="59"/>
        <v>43</v>
      </c>
      <c r="BV77" s="10">
        <f t="shared" si="60"/>
        <v>42</v>
      </c>
      <c r="BW77" s="10">
        <f t="shared" si="61"/>
        <v>41</v>
      </c>
      <c r="BX77" s="10">
        <f t="shared" si="62"/>
        <v>40</v>
      </c>
      <c r="BY77" s="10">
        <f t="shared" si="63"/>
        <v>39</v>
      </c>
      <c r="BZ77" s="10">
        <f t="shared" si="64"/>
        <v>38</v>
      </c>
      <c r="CA77" s="10">
        <f t="shared" si="65"/>
        <v>37</v>
      </c>
      <c r="CB77" s="10">
        <f t="shared" si="66"/>
        <v>36</v>
      </c>
      <c r="CC77" s="10">
        <f t="shared" si="67"/>
        <v>35</v>
      </c>
      <c r="CD77" s="10">
        <f t="shared" si="68"/>
        <v>34</v>
      </c>
      <c r="CE77" s="10">
        <f t="shared" si="69"/>
        <v>33</v>
      </c>
      <c r="CF77" s="10">
        <f t="shared" si="70"/>
        <v>32</v>
      </c>
      <c r="CG77" s="10">
        <f t="shared" si="71"/>
        <v>31</v>
      </c>
      <c r="CH77" s="10">
        <f t="shared" si="72"/>
        <v>30</v>
      </c>
      <c r="CI77" s="10">
        <f t="shared" si="73"/>
        <v>29</v>
      </c>
      <c r="CJ77" s="10">
        <f t="shared" si="74"/>
        <v>28</v>
      </c>
      <c r="CK77" s="10">
        <f t="shared" si="75"/>
        <v>27</v>
      </c>
      <c r="CL77" s="10">
        <f t="shared" si="76"/>
        <v>26</v>
      </c>
      <c r="CM77" s="10" t="str">
        <f>'役職希望調査 ・備考'!I47&amp;""</f>
        <v/>
      </c>
    </row>
    <row r="78" spans="1:91">
      <c r="A78" s="10" t="str">
        <f>時間希望調査!A48&amp;""</f>
        <v/>
      </c>
      <c r="B78" s="10" t="str">
        <f>時間希望調査!B48&amp;""</f>
        <v/>
      </c>
      <c r="C78" s="10" t="str">
        <f>時間希望調査!C48&amp;""</f>
        <v/>
      </c>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0">
        <f t="shared" si="46"/>
        <v>0</v>
      </c>
      <c r="BC78" s="10">
        <f>時間希望調査!D48</f>
        <v>0</v>
      </c>
      <c r="BD78" s="10" t="str">
        <f>'役職希望調査 ・備考'!D48&amp;""</f>
        <v/>
      </c>
      <c r="BE78" s="10" t="str">
        <f>'役職希望調査 ・備考'!E48&amp;""</f>
        <v/>
      </c>
      <c r="BF78" s="10" t="str">
        <f>'役職希望調査 ・備考'!F48&amp;""</f>
        <v/>
      </c>
      <c r="BG78" s="10" t="str">
        <f>'役職希望調査 ・備考'!G48&amp;""</f>
        <v/>
      </c>
      <c r="BH78" s="10" t="str">
        <f>'役職希望調査 ・備考'!H48&amp;""</f>
        <v/>
      </c>
      <c r="BI78" s="10">
        <f t="shared" si="47"/>
        <v>0</v>
      </c>
      <c r="BJ78" s="10">
        <f t="shared" si="48"/>
        <v>0</v>
      </c>
      <c r="BK78" s="10">
        <f t="shared" si="49"/>
        <v>0</v>
      </c>
      <c r="BL78" s="10">
        <f t="shared" si="50"/>
        <v>0</v>
      </c>
      <c r="BM78" s="10">
        <f t="shared" si="51"/>
        <v>0</v>
      </c>
      <c r="BN78" s="10">
        <f t="shared" si="52"/>
        <v>0</v>
      </c>
      <c r="BO78" s="10">
        <f t="shared" si="53"/>
        <v>48</v>
      </c>
      <c r="BP78" s="10">
        <f t="shared" si="54"/>
        <v>48</v>
      </c>
      <c r="BQ78" s="10">
        <f t="shared" si="55"/>
        <v>47</v>
      </c>
      <c r="BR78" s="10">
        <f t="shared" si="56"/>
        <v>46</v>
      </c>
      <c r="BS78" s="10">
        <f t="shared" si="57"/>
        <v>45</v>
      </c>
      <c r="BT78" s="10">
        <f t="shared" si="58"/>
        <v>44</v>
      </c>
      <c r="BU78" s="10">
        <f t="shared" si="59"/>
        <v>43</v>
      </c>
      <c r="BV78" s="10">
        <f t="shared" si="60"/>
        <v>42</v>
      </c>
      <c r="BW78" s="10">
        <f t="shared" si="61"/>
        <v>41</v>
      </c>
      <c r="BX78" s="10">
        <f t="shared" si="62"/>
        <v>40</v>
      </c>
      <c r="BY78" s="10">
        <f t="shared" si="63"/>
        <v>39</v>
      </c>
      <c r="BZ78" s="10">
        <f t="shared" si="64"/>
        <v>38</v>
      </c>
      <c r="CA78" s="10">
        <f t="shared" si="65"/>
        <v>37</v>
      </c>
      <c r="CB78" s="10">
        <f t="shared" si="66"/>
        <v>36</v>
      </c>
      <c r="CC78" s="10">
        <f t="shared" si="67"/>
        <v>35</v>
      </c>
      <c r="CD78" s="10">
        <f t="shared" si="68"/>
        <v>34</v>
      </c>
      <c r="CE78" s="10">
        <f t="shared" si="69"/>
        <v>33</v>
      </c>
      <c r="CF78" s="10">
        <f t="shared" si="70"/>
        <v>32</v>
      </c>
      <c r="CG78" s="10">
        <f t="shared" si="71"/>
        <v>31</v>
      </c>
      <c r="CH78" s="10">
        <f t="shared" si="72"/>
        <v>30</v>
      </c>
      <c r="CI78" s="10">
        <f t="shared" si="73"/>
        <v>29</v>
      </c>
      <c r="CJ78" s="10">
        <f t="shared" si="74"/>
        <v>28</v>
      </c>
      <c r="CK78" s="10">
        <f t="shared" si="75"/>
        <v>27</v>
      </c>
      <c r="CL78" s="10">
        <f t="shared" si="76"/>
        <v>26</v>
      </c>
      <c r="CM78" s="10" t="str">
        <f>'役職希望調査 ・備考'!I48&amp;""</f>
        <v/>
      </c>
    </row>
    <row r="79" spans="1:91">
      <c r="A79" s="10" t="str">
        <f>時間希望調査!A49&amp;""</f>
        <v/>
      </c>
      <c r="B79" s="10" t="str">
        <f>時間希望調査!B49&amp;""</f>
        <v/>
      </c>
      <c r="C79" s="10" t="str">
        <f>時間希望調査!C49&amp;""</f>
        <v/>
      </c>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0">
        <f t="shared" si="46"/>
        <v>0</v>
      </c>
      <c r="BC79" s="10">
        <f>時間希望調査!D49</f>
        <v>0</v>
      </c>
      <c r="BD79" s="10" t="str">
        <f>'役職希望調査 ・備考'!D49&amp;""</f>
        <v/>
      </c>
      <c r="BE79" s="10" t="str">
        <f>'役職希望調査 ・備考'!E49&amp;""</f>
        <v/>
      </c>
      <c r="BF79" s="10" t="str">
        <f>'役職希望調査 ・備考'!F49&amp;""</f>
        <v/>
      </c>
      <c r="BG79" s="10" t="str">
        <f>'役職希望調査 ・備考'!G49&amp;""</f>
        <v/>
      </c>
      <c r="BH79" s="10" t="str">
        <f>'役職希望調査 ・備考'!H49&amp;""</f>
        <v/>
      </c>
      <c r="BI79" s="10">
        <f t="shared" si="47"/>
        <v>0</v>
      </c>
      <c r="BJ79" s="10">
        <f t="shared" si="48"/>
        <v>0</v>
      </c>
      <c r="BK79" s="10">
        <f t="shared" si="49"/>
        <v>0</v>
      </c>
      <c r="BL79" s="10">
        <f t="shared" si="50"/>
        <v>0</v>
      </c>
      <c r="BM79" s="10">
        <f t="shared" si="51"/>
        <v>0</v>
      </c>
      <c r="BN79" s="10">
        <f t="shared" si="52"/>
        <v>0</v>
      </c>
      <c r="BO79" s="10">
        <f t="shared" si="53"/>
        <v>48</v>
      </c>
      <c r="BP79" s="10">
        <f t="shared" si="54"/>
        <v>48</v>
      </c>
      <c r="BQ79" s="10">
        <f t="shared" si="55"/>
        <v>47</v>
      </c>
      <c r="BR79" s="10">
        <f t="shared" si="56"/>
        <v>46</v>
      </c>
      <c r="BS79" s="10">
        <f t="shared" si="57"/>
        <v>45</v>
      </c>
      <c r="BT79" s="10">
        <f t="shared" si="58"/>
        <v>44</v>
      </c>
      <c r="BU79" s="10">
        <f t="shared" si="59"/>
        <v>43</v>
      </c>
      <c r="BV79" s="10">
        <f t="shared" si="60"/>
        <v>42</v>
      </c>
      <c r="BW79" s="10">
        <f t="shared" si="61"/>
        <v>41</v>
      </c>
      <c r="BX79" s="10">
        <f t="shared" si="62"/>
        <v>40</v>
      </c>
      <c r="BY79" s="10">
        <f t="shared" si="63"/>
        <v>39</v>
      </c>
      <c r="BZ79" s="10">
        <f t="shared" si="64"/>
        <v>38</v>
      </c>
      <c r="CA79" s="10">
        <f t="shared" si="65"/>
        <v>37</v>
      </c>
      <c r="CB79" s="10">
        <f t="shared" si="66"/>
        <v>36</v>
      </c>
      <c r="CC79" s="10">
        <f t="shared" si="67"/>
        <v>35</v>
      </c>
      <c r="CD79" s="10">
        <f t="shared" si="68"/>
        <v>34</v>
      </c>
      <c r="CE79" s="10">
        <f t="shared" si="69"/>
        <v>33</v>
      </c>
      <c r="CF79" s="10">
        <f t="shared" si="70"/>
        <v>32</v>
      </c>
      <c r="CG79" s="10">
        <f t="shared" si="71"/>
        <v>31</v>
      </c>
      <c r="CH79" s="10">
        <f t="shared" si="72"/>
        <v>30</v>
      </c>
      <c r="CI79" s="10">
        <f t="shared" si="73"/>
        <v>29</v>
      </c>
      <c r="CJ79" s="10">
        <f t="shared" si="74"/>
        <v>28</v>
      </c>
      <c r="CK79" s="10">
        <f t="shared" si="75"/>
        <v>27</v>
      </c>
      <c r="CL79" s="10">
        <f t="shared" si="76"/>
        <v>26</v>
      </c>
      <c r="CM79" s="10" t="str">
        <f>'役職希望調査 ・備考'!I49&amp;""</f>
        <v/>
      </c>
    </row>
    <row r="80" spans="1:91">
      <c r="A80" s="10" t="str">
        <f>時間希望調査!A50&amp;""</f>
        <v/>
      </c>
      <c r="B80" s="10" t="str">
        <f>時間希望調査!B50&amp;""</f>
        <v/>
      </c>
      <c r="C80" s="10" t="str">
        <f>時間希望調査!C50&amp;""</f>
        <v/>
      </c>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0">
        <f t="shared" si="46"/>
        <v>0</v>
      </c>
      <c r="BC80" s="10">
        <f>時間希望調査!D50</f>
        <v>0</v>
      </c>
      <c r="BD80" s="10" t="str">
        <f>'役職希望調査 ・備考'!D50&amp;""</f>
        <v/>
      </c>
      <c r="BE80" s="10" t="str">
        <f>'役職希望調査 ・備考'!E50&amp;""</f>
        <v/>
      </c>
      <c r="BF80" s="10" t="str">
        <f>'役職希望調査 ・備考'!F50&amp;""</f>
        <v/>
      </c>
      <c r="BG80" s="10" t="str">
        <f>'役職希望調査 ・備考'!G50&amp;""</f>
        <v/>
      </c>
      <c r="BH80" s="10" t="str">
        <f>'役職希望調査 ・備考'!H50&amp;""</f>
        <v/>
      </c>
      <c r="BI80" s="10">
        <f t="shared" si="47"/>
        <v>0</v>
      </c>
      <c r="BJ80" s="10">
        <f t="shared" si="48"/>
        <v>0</v>
      </c>
      <c r="BK80" s="10">
        <f t="shared" si="49"/>
        <v>0</v>
      </c>
      <c r="BL80" s="10">
        <f t="shared" si="50"/>
        <v>0</v>
      </c>
      <c r="BM80" s="10">
        <f t="shared" si="51"/>
        <v>0</v>
      </c>
      <c r="BN80" s="10">
        <f t="shared" si="52"/>
        <v>0</v>
      </c>
      <c r="BO80" s="10">
        <f t="shared" si="53"/>
        <v>48</v>
      </c>
      <c r="BP80" s="10">
        <f t="shared" si="54"/>
        <v>48</v>
      </c>
      <c r="BQ80" s="10">
        <f t="shared" si="55"/>
        <v>47</v>
      </c>
      <c r="BR80" s="10">
        <f t="shared" si="56"/>
        <v>46</v>
      </c>
      <c r="BS80" s="10">
        <f t="shared" si="57"/>
        <v>45</v>
      </c>
      <c r="BT80" s="10">
        <f t="shared" si="58"/>
        <v>44</v>
      </c>
      <c r="BU80" s="10">
        <f t="shared" si="59"/>
        <v>43</v>
      </c>
      <c r="BV80" s="10">
        <f t="shared" si="60"/>
        <v>42</v>
      </c>
      <c r="BW80" s="10">
        <f t="shared" si="61"/>
        <v>41</v>
      </c>
      <c r="BX80" s="10">
        <f t="shared" si="62"/>
        <v>40</v>
      </c>
      <c r="BY80" s="10">
        <f t="shared" si="63"/>
        <v>39</v>
      </c>
      <c r="BZ80" s="10">
        <f t="shared" si="64"/>
        <v>38</v>
      </c>
      <c r="CA80" s="10">
        <f t="shared" si="65"/>
        <v>37</v>
      </c>
      <c r="CB80" s="10">
        <f t="shared" si="66"/>
        <v>36</v>
      </c>
      <c r="CC80" s="10">
        <f t="shared" si="67"/>
        <v>35</v>
      </c>
      <c r="CD80" s="10">
        <f t="shared" si="68"/>
        <v>34</v>
      </c>
      <c r="CE80" s="10">
        <f t="shared" si="69"/>
        <v>33</v>
      </c>
      <c r="CF80" s="10">
        <f t="shared" si="70"/>
        <v>32</v>
      </c>
      <c r="CG80" s="10">
        <f t="shared" si="71"/>
        <v>31</v>
      </c>
      <c r="CH80" s="10">
        <f t="shared" si="72"/>
        <v>30</v>
      </c>
      <c r="CI80" s="10">
        <f t="shared" si="73"/>
        <v>29</v>
      </c>
      <c r="CJ80" s="10">
        <f t="shared" si="74"/>
        <v>28</v>
      </c>
      <c r="CK80" s="10">
        <f t="shared" si="75"/>
        <v>27</v>
      </c>
      <c r="CL80" s="10">
        <f t="shared" si="76"/>
        <v>26</v>
      </c>
      <c r="CM80" s="10" t="str">
        <f>'役職希望調査 ・備考'!I50&amp;""</f>
        <v/>
      </c>
    </row>
    <row r="81" spans="1:91">
      <c r="A81" s="10" t="str">
        <f>時間希望調査!A51&amp;""</f>
        <v/>
      </c>
      <c r="B81" s="10" t="str">
        <f>時間希望調査!B51&amp;""</f>
        <v/>
      </c>
      <c r="C81" s="10" t="str">
        <f>時間希望調査!C51&amp;""</f>
        <v/>
      </c>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0">
        <f t="shared" si="46"/>
        <v>0</v>
      </c>
      <c r="BC81" s="10">
        <f>時間希望調査!D51</f>
        <v>0</v>
      </c>
      <c r="BD81" s="10" t="str">
        <f>'役職希望調査 ・備考'!D51&amp;""</f>
        <v/>
      </c>
      <c r="BE81" s="10" t="str">
        <f>'役職希望調査 ・備考'!E51&amp;""</f>
        <v/>
      </c>
      <c r="BF81" s="10" t="str">
        <f>'役職希望調査 ・備考'!F51&amp;""</f>
        <v/>
      </c>
      <c r="BG81" s="10" t="str">
        <f>'役職希望調査 ・備考'!G51&amp;""</f>
        <v/>
      </c>
      <c r="BH81" s="10" t="str">
        <f>'役職希望調査 ・備考'!H51&amp;""</f>
        <v/>
      </c>
      <c r="BI81" s="10">
        <f t="shared" si="47"/>
        <v>0</v>
      </c>
      <c r="BJ81" s="10">
        <f t="shared" si="48"/>
        <v>0</v>
      </c>
      <c r="BK81" s="10">
        <f t="shared" si="49"/>
        <v>0</v>
      </c>
      <c r="BL81" s="10">
        <f t="shared" si="50"/>
        <v>0</v>
      </c>
      <c r="BM81" s="10">
        <f t="shared" si="51"/>
        <v>0</v>
      </c>
      <c r="BN81" s="10">
        <f t="shared" si="52"/>
        <v>0</v>
      </c>
      <c r="BO81" s="10">
        <f t="shared" si="53"/>
        <v>48</v>
      </c>
      <c r="BP81" s="10">
        <f t="shared" si="54"/>
        <v>48</v>
      </c>
      <c r="BQ81" s="10">
        <f t="shared" si="55"/>
        <v>47</v>
      </c>
      <c r="BR81" s="10">
        <f t="shared" si="56"/>
        <v>46</v>
      </c>
      <c r="BS81" s="10">
        <f t="shared" si="57"/>
        <v>45</v>
      </c>
      <c r="BT81" s="10">
        <f t="shared" si="58"/>
        <v>44</v>
      </c>
      <c r="BU81" s="10">
        <f t="shared" si="59"/>
        <v>43</v>
      </c>
      <c r="BV81" s="10">
        <f t="shared" si="60"/>
        <v>42</v>
      </c>
      <c r="BW81" s="10">
        <f t="shared" si="61"/>
        <v>41</v>
      </c>
      <c r="BX81" s="10">
        <f t="shared" si="62"/>
        <v>40</v>
      </c>
      <c r="BY81" s="10">
        <f t="shared" si="63"/>
        <v>39</v>
      </c>
      <c r="BZ81" s="10">
        <f t="shared" si="64"/>
        <v>38</v>
      </c>
      <c r="CA81" s="10">
        <f t="shared" si="65"/>
        <v>37</v>
      </c>
      <c r="CB81" s="10">
        <f t="shared" si="66"/>
        <v>36</v>
      </c>
      <c r="CC81" s="10">
        <f t="shared" si="67"/>
        <v>35</v>
      </c>
      <c r="CD81" s="10">
        <f t="shared" si="68"/>
        <v>34</v>
      </c>
      <c r="CE81" s="10">
        <f t="shared" si="69"/>
        <v>33</v>
      </c>
      <c r="CF81" s="10">
        <f t="shared" si="70"/>
        <v>32</v>
      </c>
      <c r="CG81" s="10">
        <f t="shared" si="71"/>
        <v>31</v>
      </c>
      <c r="CH81" s="10">
        <f t="shared" si="72"/>
        <v>30</v>
      </c>
      <c r="CI81" s="10">
        <f t="shared" si="73"/>
        <v>29</v>
      </c>
      <c r="CJ81" s="10">
        <f t="shared" si="74"/>
        <v>28</v>
      </c>
      <c r="CK81" s="10">
        <f t="shared" si="75"/>
        <v>27</v>
      </c>
      <c r="CL81" s="10">
        <f t="shared" si="76"/>
        <v>26</v>
      </c>
      <c r="CM81" s="10" t="str">
        <f>'役職希望調査 ・備考'!I51&amp;""</f>
        <v/>
      </c>
    </row>
    <row r="82" spans="1:91">
      <c r="A82" s="10" t="str">
        <f>時間希望調査!A52&amp;""</f>
        <v/>
      </c>
      <c r="B82" s="10" t="str">
        <f>時間希望調査!B52&amp;""</f>
        <v/>
      </c>
      <c r="C82" s="10" t="str">
        <f>時間希望調査!C52&amp;""</f>
        <v/>
      </c>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0">
        <f t="shared" si="46"/>
        <v>0</v>
      </c>
      <c r="BC82" s="10">
        <f>時間希望調査!D52</f>
        <v>0</v>
      </c>
      <c r="BD82" s="10" t="str">
        <f>'役職希望調査 ・備考'!D52&amp;""</f>
        <v/>
      </c>
      <c r="BE82" s="10" t="str">
        <f>'役職希望調査 ・備考'!E52&amp;""</f>
        <v/>
      </c>
      <c r="BF82" s="10" t="str">
        <f>'役職希望調査 ・備考'!F52&amp;""</f>
        <v/>
      </c>
      <c r="BG82" s="10" t="str">
        <f>'役職希望調査 ・備考'!G52&amp;""</f>
        <v/>
      </c>
      <c r="BH82" s="10" t="str">
        <f>'役職希望調査 ・備考'!H52&amp;""</f>
        <v/>
      </c>
      <c r="BI82" s="10">
        <f t="shared" si="47"/>
        <v>0</v>
      </c>
      <c r="BJ82" s="10">
        <f t="shared" si="48"/>
        <v>0</v>
      </c>
      <c r="BK82" s="10">
        <f t="shared" si="49"/>
        <v>0</v>
      </c>
      <c r="BL82" s="10">
        <f t="shared" si="50"/>
        <v>0</v>
      </c>
      <c r="BM82" s="10">
        <f t="shared" si="51"/>
        <v>0</v>
      </c>
      <c r="BN82" s="10">
        <f t="shared" si="52"/>
        <v>0</v>
      </c>
      <c r="BO82" s="10">
        <f t="shared" si="53"/>
        <v>48</v>
      </c>
      <c r="BP82" s="10">
        <f t="shared" si="54"/>
        <v>48</v>
      </c>
      <c r="BQ82" s="10">
        <f t="shared" si="55"/>
        <v>47</v>
      </c>
      <c r="BR82" s="10">
        <f t="shared" si="56"/>
        <v>46</v>
      </c>
      <c r="BS82" s="10">
        <f t="shared" si="57"/>
        <v>45</v>
      </c>
      <c r="BT82" s="10">
        <f t="shared" si="58"/>
        <v>44</v>
      </c>
      <c r="BU82" s="10">
        <f t="shared" si="59"/>
        <v>43</v>
      </c>
      <c r="BV82" s="10">
        <f t="shared" si="60"/>
        <v>42</v>
      </c>
      <c r="BW82" s="10">
        <f t="shared" si="61"/>
        <v>41</v>
      </c>
      <c r="BX82" s="10">
        <f t="shared" si="62"/>
        <v>40</v>
      </c>
      <c r="BY82" s="10">
        <f t="shared" si="63"/>
        <v>39</v>
      </c>
      <c r="BZ82" s="10">
        <f t="shared" si="64"/>
        <v>38</v>
      </c>
      <c r="CA82" s="10">
        <f t="shared" si="65"/>
        <v>37</v>
      </c>
      <c r="CB82" s="10">
        <f t="shared" si="66"/>
        <v>36</v>
      </c>
      <c r="CC82" s="10">
        <f t="shared" si="67"/>
        <v>35</v>
      </c>
      <c r="CD82" s="10">
        <f t="shared" si="68"/>
        <v>34</v>
      </c>
      <c r="CE82" s="10">
        <f t="shared" si="69"/>
        <v>33</v>
      </c>
      <c r="CF82" s="10">
        <f t="shared" si="70"/>
        <v>32</v>
      </c>
      <c r="CG82" s="10">
        <f t="shared" si="71"/>
        <v>31</v>
      </c>
      <c r="CH82" s="10">
        <f t="shared" si="72"/>
        <v>30</v>
      </c>
      <c r="CI82" s="10">
        <f t="shared" si="73"/>
        <v>29</v>
      </c>
      <c r="CJ82" s="10">
        <f t="shared" si="74"/>
        <v>28</v>
      </c>
      <c r="CK82" s="10">
        <f t="shared" si="75"/>
        <v>27</v>
      </c>
      <c r="CL82" s="10">
        <f t="shared" si="76"/>
        <v>26</v>
      </c>
      <c r="CM82" s="10" t="str">
        <f>'役職希望調査 ・備考'!I52&amp;""</f>
        <v/>
      </c>
    </row>
    <row r="83" spans="1:91">
      <c r="A83" s="10" t="str">
        <f>時間希望調査!A53&amp;""</f>
        <v/>
      </c>
      <c r="B83" s="10" t="str">
        <f>時間希望調査!B53&amp;""</f>
        <v/>
      </c>
      <c r="C83" s="10" t="str">
        <f>時間希望調査!C53&amp;""</f>
        <v/>
      </c>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0">
        <f t="shared" si="46"/>
        <v>0</v>
      </c>
      <c r="BC83" s="10">
        <f>時間希望調査!D53</f>
        <v>0</v>
      </c>
      <c r="BD83" s="10" t="str">
        <f>'役職希望調査 ・備考'!D53&amp;""</f>
        <v/>
      </c>
      <c r="BE83" s="10" t="str">
        <f>'役職希望調査 ・備考'!E53&amp;""</f>
        <v/>
      </c>
      <c r="BF83" s="10" t="str">
        <f>'役職希望調査 ・備考'!F53&amp;""</f>
        <v/>
      </c>
      <c r="BG83" s="10" t="str">
        <f>'役職希望調査 ・備考'!G53&amp;""</f>
        <v/>
      </c>
      <c r="BH83" s="10" t="str">
        <f>'役職希望調査 ・備考'!H53&amp;""</f>
        <v/>
      </c>
      <c r="BI83" s="10">
        <f t="shared" si="47"/>
        <v>0</v>
      </c>
      <c r="BJ83" s="10">
        <f t="shared" si="48"/>
        <v>0</v>
      </c>
      <c r="BK83" s="10">
        <f t="shared" si="49"/>
        <v>0</v>
      </c>
      <c r="BL83" s="10">
        <f t="shared" si="50"/>
        <v>0</v>
      </c>
      <c r="BM83" s="10">
        <f t="shared" si="51"/>
        <v>0</v>
      </c>
      <c r="BN83" s="10">
        <f t="shared" si="52"/>
        <v>0</v>
      </c>
      <c r="BO83" s="10">
        <f t="shared" si="53"/>
        <v>48</v>
      </c>
      <c r="BP83" s="10">
        <f t="shared" si="54"/>
        <v>48</v>
      </c>
      <c r="BQ83" s="10">
        <f t="shared" si="55"/>
        <v>47</v>
      </c>
      <c r="BR83" s="10">
        <f t="shared" si="56"/>
        <v>46</v>
      </c>
      <c r="BS83" s="10">
        <f t="shared" si="57"/>
        <v>45</v>
      </c>
      <c r="BT83" s="10">
        <f t="shared" si="58"/>
        <v>44</v>
      </c>
      <c r="BU83" s="10">
        <f t="shared" si="59"/>
        <v>43</v>
      </c>
      <c r="BV83" s="10">
        <f t="shared" si="60"/>
        <v>42</v>
      </c>
      <c r="BW83" s="10">
        <f t="shared" si="61"/>
        <v>41</v>
      </c>
      <c r="BX83" s="10">
        <f t="shared" si="62"/>
        <v>40</v>
      </c>
      <c r="BY83" s="10">
        <f t="shared" si="63"/>
        <v>39</v>
      </c>
      <c r="BZ83" s="10">
        <f t="shared" si="64"/>
        <v>38</v>
      </c>
      <c r="CA83" s="10">
        <f t="shared" si="65"/>
        <v>37</v>
      </c>
      <c r="CB83" s="10">
        <f t="shared" si="66"/>
        <v>36</v>
      </c>
      <c r="CC83" s="10">
        <f t="shared" si="67"/>
        <v>35</v>
      </c>
      <c r="CD83" s="10">
        <f t="shared" si="68"/>
        <v>34</v>
      </c>
      <c r="CE83" s="10">
        <f t="shared" si="69"/>
        <v>33</v>
      </c>
      <c r="CF83" s="10">
        <f t="shared" si="70"/>
        <v>32</v>
      </c>
      <c r="CG83" s="10">
        <f t="shared" si="71"/>
        <v>31</v>
      </c>
      <c r="CH83" s="10">
        <f t="shared" si="72"/>
        <v>30</v>
      </c>
      <c r="CI83" s="10">
        <f t="shared" si="73"/>
        <v>29</v>
      </c>
      <c r="CJ83" s="10">
        <f t="shared" si="74"/>
        <v>28</v>
      </c>
      <c r="CK83" s="10">
        <f t="shared" si="75"/>
        <v>27</v>
      </c>
      <c r="CL83" s="10">
        <f t="shared" si="76"/>
        <v>26</v>
      </c>
      <c r="CM83" s="10" t="str">
        <f>'役職希望調査 ・備考'!I53&amp;""</f>
        <v/>
      </c>
    </row>
    <row r="84" spans="1:91">
      <c r="A84" s="10" t="str">
        <f>時間希望調査!A54&amp;""</f>
        <v/>
      </c>
      <c r="B84" s="10" t="str">
        <f>時間希望調査!B54&amp;""</f>
        <v/>
      </c>
      <c r="C84" s="10" t="str">
        <f>時間希望調査!C54&amp;""</f>
        <v/>
      </c>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0">
        <f t="shared" si="46"/>
        <v>0</v>
      </c>
      <c r="BC84" s="10">
        <f>時間希望調査!D54</f>
        <v>0</v>
      </c>
      <c r="BD84" s="10" t="str">
        <f>'役職希望調査 ・備考'!D54&amp;""</f>
        <v/>
      </c>
      <c r="BE84" s="10" t="str">
        <f>'役職希望調査 ・備考'!E54&amp;""</f>
        <v/>
      </c>
      <c r="BF84" s="10" t="str">
        <f>'役職希望調査 ・備考'!F54&amp;""</f>
        <v/>
      </c>
      <c r="BG84" s="10" t="str">
        <f>'役職希望調査 ・備考'!G54&amp;""</f>
        <v/>
      </c>
      <c r="BH84" s="10" t="str">
        <f>'役職希望調査 ・備考'!H54&amp;""</f>
        <v/>
      </c>
      <c r="BI84" s="10">
        <f t="shared" si="47"/>
        <v>0</v>
      </c>
      <c r="BJ84" s="10">
        <f t="shared" si="48"/>
        <v>0</v>
      </c>
      <c r="BK84" s="10">
        <f t="shared" si="49"/>
        <v>0</v>
      </c>
      <c r="BL84" s="10">
        <f t="shared" si="50"/>
        <v>0</v>
      </c>
      <c r="BM84" s="10">
        <f t="shared" si="51"/>
        <v>0</v>
      </c>
      <c r="BN84" s="10">
        <f t="shared" si="52"/>
        <v>0</v>
      </c>
      <c r="BO84" s="10">
        <f t="shared" si="53"/>
        <v>48</v>
      </c>
      <c r="BP84" s="10">
        <f t="shared" si="54"/>
        <v>48</v>
      </c>
      <c r="BQ84" s="10">
        <f t="shared" si="55"/>
        <v>47</v>
      </c>
      <c r="BR84" s="10">
        <f t="shared" si="56"/>
        <v>46</v>
      </c>
      <c r="BS84" s="10">
        <f t="shared" si="57"/>
        <v>45</v>
      </c>
      <c r="BT84" s="10">
        <f t="shared" si="58"/>
        <v>44</v>
      </c>
      <c r="BU84" s="10">
        <f t="shared" si="59"/>
        <v>43</v>
      </c>
      <c r="BV84" s="10">
        <f t="shared" si="60"/>
        <v>42</v>
      </c>
      <c r="BW84" s="10">
        <f t="shared" si="61"/>
        <v>41</v>
      </c>
      <c r="BX84" s="10">
        <f t="shared" si="62"/>
        <v>40</v>
      </c>
      <c r="BY84" s="10">
        <f t="shared" si="63"/>
        <v>39</v>
      </c>
      <c r="BZ84" s="10">
        <f t="shared" si="64"/>
        <v>38</v>
      </c>
      <c r="CA84" s="10">
        <f t="shared" si="65"/>
        <v>37</v>
      </c>
      <c r="CB84" s="10">
        <f t="shared" si="66"/>
        <v>36</v>
      </c>
      <c r="CC84" s="10">
        <f t="shared" si="67"/>
        <v>35</v>
      </c>
      <c r="CD84" s="10">
        <f t="shared" si="68"/>
        <v>34</v>
      </c>
      <c r="CE84" s="10">
        <f t="shared" si="69"/>
        <v>33</v>
      </c>
      <c r="CF84" s="10">
        <f t="shared" si="70"/>
        <v>32</v>
      </c>
      <c r="CG84" s="10">
        <f t="shared" si="71"/>
        <v>31</v>
      </c>
      <c r="CH84" s="10">
        <f t="shared" si="72"/>
        <v>30</v>
      </c>
      <c r="CI84" s="10">
        <f t="shared" si="73"/>
        <v>29</v>
      </c>
      <c r="CJ84" s="10">
        <f t="shared" si="74"/>
        <v>28</v>
      </c>
      <c r="CK84" s="10">
        <f t="shared" si="75"/>
        <v>27</v>
      </c>
      <c r="CL84" s="10">
        <f t="shared" si="76"/>
        <v>26</v>
      </c>
      <c r="CM84" s="10" t="str">
        <f>'役職希望調査 ・備考'!I54&amp;""</f>
        <v/>
      </c>
    </row>
    <row r="85" spans="1:91">
      <c r="A85" s="10" t="str">
        <f>時間希望調査!A55&amp;""</f>
        <v/>
      </c>
      <c r="B85" s="10" t="str">
        <f>時間希望調査!B55&amp;""</f>
        <v/>
      </c>
      <c r="C85" s="10" t="str">
        <f>時間希望調査!C55&amp;""</f>
        <v/>
      </c>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0">
        <f t="shared" si="46"/>
        <v>0</v>
      </c>
      <c r="BC85" s="10">
        <f>時間希望調査!D55</f>
        <v>0</v>
      </c>
      <c r="BD85" s="10" t="str">
        <f>'役職希望調査 ・備考'!D55&amp;""</f>
        <v/>
      </c>
      <c r="BE85" s="10" t="str">
        <f>'役職希望調査 ・備考'!E55&amp;""</f>
        <v/>
      </c>
      <c r="BF85" s="10" t="str">
        <f>'役職希望調査 ・備考'!F55&amp;""</f>
        <v/>
      </c>
      <c r="BG85" s="10" t="str">
        <f>'役職希望調査 ・備考'!G55&amp;""</f>
        <v/>
      </c>
      <c r="BH85" s="10" t="str">
        <f>'役職希望調査 ・備考'!H55&amp;""</f>
        <v/>
      </c>
      <c r="BI85" s="10">
        <f t="shared" si="47"/>
        <v>0</v>
      </c>
      <c r="BJ85" s="10">
        <f t="shared" si="48"/>
        <v>0</v>
      </c>
      <c r="BK85" s="10">
        <f t="shared" si="49"/>
        <v>0</v>
      </c>
      <c r="BL85" s="10">
        <f t="shared" si="50"/>
        <v>0</v>
      </c>
      <c r="BM85" s="10">
        <f t="shared" si="51"/>
        <v>0</v>
      </c>
      <c r="BN85" s="10">
        <f t="shared" si="52"/>
        <v>0</v>
      </c>
      <c r="BO85" s="10">
        <f t="shared" si="53"/>
        <v>48</v>
      </c>
      <c r="BP85" s="10">
        <f t="shared" si="54"/>
        <v>48</v>
      </c>
      <c r="BQ85" s="10">
        <f t="shared" si="55"/>
        <v>47</v>
      </c>
      <c r="BR85" s="10">
        <f t="shared" si="56"/>
        <v>46</v>
      </c>
      <c r="BS85" s="10">
        <f t="shared" si="57"/>
        <v>45</v>
      </c>
      <c r="BT85" s="10">
        <f t="shared" si="58"/>
        <v>44</v>
      </c>
      <c r="BU85" s="10">
        <f t="shared" si="59"/>
        <v>43</v>
      </c>
      <c r="BV85" s="10">
        <f t="shared" si="60"/>
        <v>42</v>
      </c>
      <c r="BW85" s="10">
        <f t="shared" si="61"/>
        <v>41</v>
      </c>
      <c r="BX85" s="10">
        <f t="shared" si="62"/>
        <v>40</v>
      </c>
      <c r="BY85" s="10">
        <f t="shared" si="63"/>
        <v>39</v>
      </c>
      <c r="BZ85" s="10">
        <f t="shared" si="64"/>
        <v>38</v>
      </c>
      <c r="CA85" s="10">
        <f t="shared" si="65"/>
        <v>37</v>
      </c>
      <c r="CB85" s="10">
        <f t="shared" si="66"/>
        <v>36</v>
      </c>
      <c r="CC85" s="10">
        <f t="shared" si="67"/>
        <v>35</v>
      </c>
      <c r="CD85" s="10">
        <f t="shared" si="68"/>
        <v>34</v>
      </c>
      <c r="CE85" s="10">
        <f t="shared" si="69"/>
        <v>33</v>
      </c>
      <c r="CF85" s="10">
        <f t="shared" si="70"/>
        <v>32</v>
      </c>
      <c r="CG85" s="10">
        <f t="shared" si="71"/>
        <v>31</v>
      </c>
      <c r="CH85" s="10">
        <f t="shared" si="72"/>
        <v>30</v>
      </c>
      <c r="CI85" s="10">
        <f t="shared" si="73"/>
        <v>29</v>
      </c>
      <c r="CJ85" s="10">
        <f t="shared" si="74"/>
        <v>28</v>
      </c>
      <c r="CK85" s="10">
        <f t="shared" si="75"/>
        <v>27</v>
      </c>
      <c r="CL85" s="10">
        <f t="shared" si="76"/>
        <v>26</v>
      </c>
      <c r="CM85" s="10" t="str">
        <f>'役職希望調査 ・備考'!I55&amp;""</f>
        <v/>
      </c>
    </row>
    <row r="86" spans="1:91">
      <c r="A86" s="10" t="str">
        <f>時間希望調査!A56&amp;""</f>
        <v/>
      </c>
      <c r="B86" s="10" t="str">
        <f>時間希望調査!B56&amp;""</f>
        <v/>
      </c>
      <c r="C86" s="10" t="str">
        <f>時間希望調査!C56&amp;""</f>
        <v/>
      </c>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0">
        <f t="shared" si="46"/>
        <v>0</v>
      </c>
      <c r="BC86" s="10">
        <f>時間希望調査!D56</f>
        <v>0</v>
      </c>
      <c r="BD86" s="10" t="str">
        <f>'役職希望調査 ・備考'!D56&amp;""</f>
        <v/>
      </c>
      <c r="BE86" s="10" t="str">
        <f>'役職希望調査 ・備考'!E56&amp;""</f>
        <v/>
      </c>
      <c r="BF86" s="10" t="str">
        <f>'役職希望調査 ・備考'!F56&amp;""</f>
        <v/>
      </c>
      <c r="BG86" s="10" t="str">
        <f>'役職希望調査 ・備考'!G56&amp;""</f>
        <v/>
      </c>
      <c r="BH86" s="10" t="str">
        <f>'役職希望調査 ・備考'!H56&amp;""</f>
        <v/>
      </c>
      <c r="BI86" s="10">
        <f t="shared" si="47"/>
        <v>0</v>
      </c>
      <c r="BJ86" s="10">
        <f t="shared" si="48"/>
        <v>0</v>
      </c>
      <c r="BK86" s="10">
        <f t="shared" si="49"/>
        <v>0</v>
      </c>
      <c r="BL86" s="10">
        <f t="shared" si="50"/>
        <v>0</v>
      </c>
      <c r="BM86" s="10">
        <f t="shared" si="51"/>
        <v>0</v>
      </c>
      <c r="BN86" s="10">
        <f t="shared" si="52"/>
        <v>0</v>
      </c>
      <c r="BO86" s="10">
        <f t="shared" si="53"/>
        <v>48</v>
      </c>
      <c r="BP86" s="10">
        <f t="shared" si="54"/>
        <v>48</v>
      </c>
      <c r="BQ86" s="10">
        <f t="shared" si="55"/>
        <v>47</v>
      </c>
      <c r="BR86" s="10">
        <f t="shared" si="56"/>
        <v>46</v>
      </c>
      <c r="BS86" s="10">
        <f t="shared" si="57"/>
        <v>45</v>
      </c>
      <c r="BT86" s="10">
        <f t="shared" si="58"/>
        <v>44</v>
      </c>
      <c r="BU86" s="10">
        <f t="shared" si="59"/>
        <v>43</v>
      </c>
      <c r="BV86" s="10">
        <f t="shared" si="60"/>
        <v>42</v>
      </c>
      <c r="BW86" s="10">
        <f t="shared" si="61"/>
        <v>41</v>
      </c>
      <c r="BX86" s="10">
        <f t="shared" si="62"/>
        <v>40</v>
      </c>
      <c r="BY86" s="10">
        <f t="shared" si="63"/>
        <v>39</v>
      </c>
      <c r="BZ86" s="10">
        <f t="shared" si="64"/>
        <v>38</v>
      </c>
      <c r="CA86" s="10">
        <f t="shared" si="65"/>
        <v>37</v>
      </c>
      <c r="CB86" s="10">
        <f t="shared" si="66"/>
        <v>36</v>
      </c>
      <c r="CC86" s="10">
        <f t="shared" si="67"/>
        <v>35</v>
      </c>
      <c r="CD86" s="10">
        <f t="shared" si="68"/>
        <v>34</v>
      </c>
      <c r="CE86" s="10">
        <f t="shared" si="69"/>
        <v>33</v>
      </c>
      <c r="CF86" s="10">
        <f t="shared" si="70"/>
        <v>32</v>
      </c>
      <c r="CG86" s="10">
        <f t="shared" si="71"/>
        <v>31</v>
      </c>
      <c r="CH86" s="10">
        <f t="shared" si="72"/>
        <v>30</v>
      </c>
      <c r="CI86" s="10">
        <f t="shared" si="73"/>
        <v>29</v>
      </c>
      <c r="CJ86" s="10">
        <f t="shared" si="74"/>
        <v>28</v>
      </c>
      <c r="CK86" s="10">
        <f t="shared" si="75"/>
        <v>27</v>
      </c>
      <c r="CL86" s="10">
        <f t="shared" si="76"/>
        <v>26</v>
      </c>
      <c r="CM86" s="10" t="str">
        <f>'役職希望調査 ・備考'!I56&amp;""</f>
        <v/>
      </c>
    </row>
    <row r="87" spans="1:91">
      <c r="A87" s="10" t="str">
        <f>時間希望調査!A57&amp;""</f>
        <v/>
      </c>
      <c r="B87" s="10" t="str">
        <f>時間希望調査!B57&amp;""</f>
        <v/>
      </c>
      <c r="C87" s="10" t="str">
        <f>時間希望調査!C57&amp;""</f>
        <v/>
      </c>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0">
        <f t="shared" si="46"/>
        <v>0</v>
      </c>
      <c r="BC87" s="10">
        <f>時間希望調査!D57</f>
        <v>0</v>
      </c>
      <c r="BD87" s="10" t="str">
        <f>'役職希望調査 ・備考'!D57&amp;""</f>
        <v/>
      </c>
      <c r="BE87" s="10" t="str">
        <f>'役職希望調査 ・備考'!E57&amp;""</f>
        <v/>
      </c>
      <c r="BF87" s="10" t="str">
        <f>'役職希望調査 ・備考'!F57&amp;""</f>
        <v/>
      </c>
      <c r="BG87" s="10" t="str">
        <f>'役職希望調査 ・備考'!G57&amp;""</f>
        <v/>
      </c>
      <c r="BH87" s="10" t="str">
        <f>'役職希望調査 ・備考'!H57&amp;""</f>
        <v/>
      </c>
      <c r="BI87" s="10">
        <f t="shared" si="47"/>
        <v>0</v>
      </c>
      <c r="BJ87" s="10">
        <f t="shared" si="48"/>
        <v>0</v>
      </c>
      <c r="BK87" s="10">
        <f t="shared" si="49"/>
        <v>0</v>
      </c>
      <c r="BL87" s="10">
        <f t="shared" si="50"/>
        <v>0</v>
      </c>
      <c r="BM87" s="10">
        <f t="shared" si="51"/>
        <v>0</v>
      </c>
      <c r="BN87" s="10">
        <f t="shared" si="52"/>
        <v>0</v>
      </c>
      <c r="BO87" s="10">
        <f t="shared" si="53"/>
        <v>48</v>
      </c>
      <c r="BP87" s="10">
        <f t="shared" si="54"/>
        <v>48</v>
      </c>
      <c r="BQ87" s="10">
        <f t="shared" si="55"/>
        <v>47</v>
      </c>
      <c r="BR87" s="10">
        <f t="shared" si="56"/>
        <v>46</v>
      </c>
      <c r="BS87" s="10">
        <f t="shared" si="57"/>
        <v>45</v>
      </c>
      <c r="BT87" s="10">
        <f t="shared" si="58"/>
        <v>44</v>
      </c>
      <c r="BU87" s="10">
        <f t="shared" si="59"/>
        <v>43</v>
      </c>
      <c r="BV87" s="10">
        <f t="shared" si="60"/>
        <v>42</v>
      </c>
      <c r="BW87" s="10">
        <f t="shared" si="61"/>
        <v>41</v>
      </c>
      <c r="BX87" s="10">
        <f t="shared" si="62"/>
        <v>40</v>
      </c>
      <c r="BY87" s="10">
        <f t="shared" si="63"/>
        <v>39</v>
      </c>
      <c r="BZ87" s="10">
        <f t="shared" si="64"/>
        <v>38</v>
      </c>
      <c r="CA87" s="10">
        <f t="shared" si="65"/>
        <v>37</v>
      </c>
      <c r="CB87" s="10">
        <f t="shared" si="66"/>
        <v>36</v>
      </c>
      <c r="CC87" s="10">
        <f t="shared" si="67"/>
        <v>35</v>
      </c>
      <c r="CD87" s="10">
        <f t="shared" si="68"/>
        <v>34</v>
      </c>
      <c r="CE87" s="10">
        <f t="shared" si="69"/>
        <v>33</v>
      </c>
      <c r="CF87" s="10">
        <f t="shared" si="70"/>
        <v>32</v>
      </c>
      <c r="CG87" s="10">
        <f t="shared" si="71"/>
        <v>31</v>
      </c>
      <c r="CH87" s="10">
        <f t="shared" si="72"/>
        <v>30</v>
      </c>
      <c r="CI87" s="10">
        <f t="shared" si="73"/>
        <v>29</v>
      </c>
      <c r="CJ87" s="10">
        <f t="shared" si="74"/>
        <v>28</v>
      </c>
      <c r="CK87" s="10">
        <f t="shared" si="75"/>
        <v>27</v>
      </c>
      <c r="CL87" s="10">
        <f t="shared" si="76"/>
        <v>26</v>
      </c>
      <c r="CM87" s="10" t="str">
        <f>'役職希望調査 ・備考'!I57&amp;""</f>
        <v/>
      </c>
    </row>
    <row r="88" spans="1:91">
      <c r="A88" s="10" t="str">
        <f>時間希望調査!A58&amp;""</f>
        <v/>
      </c>
      <c r="B88" s="10" t="str">
        <f>時間希望調査!B58&amp;""</f>
        <v/>
      </c>
      <c r="C88" s="10" t="str">
        <f>時間希望調査!C58&amp;""</f>
        <v/>
      </c>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0">
        <f t="shared" si="46"/>
        <v>0</v>
      </c>
      <c r="BC88" s="10">
        <f>時間希望調査!D58</f>
        <v>0</v>
      </c>
      <c r="BD88" s="10" t="str">
        <f>'役職希望調査 ・備考'!D58&amp;""</f>
        <v/>
      </c>
      <c r="BE88" s="10" t="str">
        <f>'役職希望調査 ・備考'!E58&amp;""</f>
        <v/>
      </c>
      <c r="BF88" s="10" t="str">
        <f>'役職希望調査 ・備考'!F58&amp;""</f>
        <v/>
      </c>
      <c r="BG88" s="10" t="str">
        <f>'役職希望調査 ・備考'!G58&amp;""</f>
        <v/>
      </c>
      <c r="BH88" s="10" t="str">
        <f>'役職希望調査 ・備考'!H58&amp;""</f>
        <v/>
      </c>
      <c r="BI88" s="10">
        <f t="shared" si="47"/>
        <v>0</v>
      </c>
      <c r="BJ88" s="10">
        <f t="shared" si="48"/>
        <v>0</v>
      </c>
      <c r="BK88" s="10">
        <f t="shared" si="49"/>
        <v>0</v>
      </c>
      <c r="BL88" s="10">
        <f t="shared" si="50"/>
        <v>0</v>
      </c>
      <c r="BM88" s="10">
        <f t="shared" si="51"/>
        <v>0</v>
      </c>
      <c r="BN88" s="10">
        <f t="shared" si="52"/>
        <v>0</v>
      </c>
      <c r="BO88" s="10">
        <f t="shared" si="53"/>
        <v>48</v>
      </c>
      <c r="BP88" s="10">
        <f t="shared" si="54"/>
        <v>48</v>
      </c>
      <c r="BQ88" s="10">
        <f t="shared" si="55"/>
        <v>47</v>
      </c>
      <c r="BR88" s="10">
        <f t="shared" si="56"/>
        <v>46</v>
      </c>
      <c r="BS88" s="10">
        <f t="shared" si="57"/>
        <v>45</v>
      </c>
      <c r="BT88" s="10">
        <f t="shared" si="58"/>
        <v>44</v>
      </c>
      <c r="BU88" s="10">
        <f t="shared" si="59"/>
        <v>43</v>
      </c>
      <c r="BV88" s="10">
        <f t="shared" si="60"/>
        <v>42</v>
      </c>
      <c r="BW88" s="10">
        <f t="shared" si="61"/>
        <v>41</v>
      </c>
      <c r="BX88" s="10">
        <f t="shared" si="62"/>
        <v>40</v>
      </c>
      <c r="BY88" s="10">
        <f t="shared" si="63"/>
        <v>39</v>
      </c>
      <c r="BZ88" s="10">
        <f t="shared" si="64"/>
        <v>38</v>
      </c>
      <c r="CA88" s="10">
        <f t="shared" si="65"/>
        <v>37</v>
      </c>
      <c r="CB88" s="10">
        <f t="shared" si="66"/>
        <v>36</v>
      </c>
      <c r="CC88" s="10">
        <f t="shared" si="67"/>
        <v>35</v>
      </c>
      <c r="CD88" s="10">
        <f t="shared" si="68"/>
        <v>34</v>
      </c>
      <c r="CE88" s="10">
        <f t="shared" si="69"/>
        <v>33</v>
      </c>
      <c r="CF88" s="10">
        <f t="shared" si="70"/>
        <v>32</v>
      </c>
      <c r="CG88" s="10">
        <f t="shared" si="71"/>
        <v>31</v>
      </c>
      <c r="CH88" s="10">
        <f t="shared" si="72"/>
        <v>30</v>
      </c>
      <c r="CI88" s="10">
        <f t="shared" si="73"/>
        <v>29</v>
      </c>
      <c r="CJ88" s="10">
        <f t="shared" si="74"/>
        <v>28</v>
      </c>
      <c r="CK88" s="10">
        <f t="shared" si="75"/>
        <v>27</v>
      </c>
      <c r="CL88" s="10">
        <f t="shared" si="76"/>
        <v>26</v>
      </c>
      <c r="CM88" s="10" t="str">
        <f>'役職希望調査 ・備考'!I58&amp;""</f>
        <v/>
      </c>
    </row>
    <row r="89" spans="1:91">
      <c r="A89" s="10" t="str">
        <f>時間希望調査!A59&amp;""</f>
        <v/>
      </c>
      <c r="B89" s="10" t="str">
        <f>時間希望調査!B59&amp;""</f>
        <v/>
      </c>
      <c r="C89" s="10" t="str">
        <f>時間希望調査!C59&amp;""</f>
        <v/>
      </c>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0">
        <f t="shared" si="46"/>
        <v>0</v>
      </c>
      <c r="BC89" s="10">
        <f>時間希望調査!D59</f>
        <v>0</v>
      </c>
      <c r="BD89" s="10" t="str">
        <f>'役職希望調査 ・備考'!D59&amp;""</f>
        <v/>
      </c>
      <c r="BE89" s="10" t="str">
        <f>'役職希望調査 ・備考'!E59&amp;""</f>
        <v/>
      </c>
      <c r="BF89" s="10" t="str">
        <f>'役職希望調査 ・備考'!F59&amp;""</f>
        <v/>
      </c>
      <c r="BG89" s="10" t="str">
        <f>'役職希望調査 ・備考'!G59&amp;""</f>
        <v/>
      </c>
      <c r="BH89" s="10" t="str">
        <f>'役職希望調査 ・備考'!H59&amp;""</f>
        <v/>
      </c>
      <c r="BI89" s="10">
        <f t="shared" si="47"/>
        <v>0</v>
      </c>
      <c r="BJ89" s="10">
        <f t="shared" si="48"/>
        <v>0</v>
      </c>
      <c r="BK89" s="10">
        <f t="shared" si="49"/>
        <v>0</v>
      </c>
      <c r="BL89" s="10">
        <f t="shared" si="50"/>
        <v>0</v>
      </c>
      <c r="BM89" s="10">
        <f t="shared" si="51"/>
        <v>0</v>
      </c>
      <c r="BN89" s="10">
        <f t="shared" si="52"/>
        <v>0</v>
      </c>
      <c r="BO89" s="10">
        <f t="shared" si="53"/>
        <v>48</v>
      </c>
      <c r="BP89" s="10">
        <f t="shared" si="54"/>
        <v>48</v>
      </c>
      <c r="BQ89" s="10">
        <f t="shared" si="55"/>
        <v>47</v>
      </c>
      <c r="BR89" s="10">
        <f t="shared" si="56"/>
        <v>46</v>
      </c>
      <c r="BS89" s="10">
        <f t="shared" si="57"/>
        <v>45</v>
      </c>
      <c r="BT89" s="10">
        <f t="shared" si="58"/>
        <v>44</v>
      </c>
      <c r="BU89" s="10">
        <f t="shared" si="59"/>
        <v>43</v>
      </c>
      <c r="BV89" s="10">
        <f t="shared" si="60"/>
        <v>42</v>
      </c>
      <c r="BW89" s="10">
        <f t="shared" si="61"/>
        <v>41</v>
      </c>
      <c r="BX89" s="10">
        <f t="shared" si="62"/>
        <v>40</v>
      </c>
      <c r="BY89" s="10">
        <f t="shared" si="63"/>
        <v>39</v>
      </c>
      <c r="BZ89" s="10">
        <f t="shared" si="64"/>
        <v>38</v>
      </c>
      <c r="CA89" s="10">
        <f t="shared" si="65"/>
        <v>37</v>
      </c>
      <c r="CB89" s="10">
        <f t="shared" si="66"/>
        <v>36</v>
      </c>
      <c r="CC89" s="10">
        <f t="shared" si="67"/>
        <v>35</v>
      </c>
      <c r="CD89" s="10">
        <f t="shared" si="68"/>
        <v>34</v>
      </c>
      <c r="CE89" s="10">
        <f t="shared" si="69"/>
        <v>33</v>
      </c>
      <c r="CF89" s="10">
        <f t="shared" si="70"/>
        <v>32</v>
      </c>
      <c r="CG89" s="10">
        <f t="shared" si="71"/>
        <v>31</v>
      </c>
      <c r="CH89" s="10">
        <f t="shared" si="72"/>
        <v>30</v>
      </c>
      <c r="CI89" s="10">
        <f t="shared" si="73"/>
        <v>29</v>
      </c>
      <c r="CJ89" s="10">
        <f t="shared" si="74"/>
        <v>28</v>
      </c>
      <c r="CK89" s="10">
        <f t="shared" si="75"/>
        <v>27</v>
      </c>
      <c r="CL89" s="10">
        <f t="shared" si="76"/>
        <v>26</v>
      </c>
      <c r="CM89" s="10" t="str">
        <f>'役職希望調査 ・備考'!I59&amp;""</f>
        <v/>
      </c>
    </row>
    <row r="90" spans="1:91">
      <c r="A90" s="10" t="str">
        <f>時間希望調査!A60&amp;""</f>
        <v/>
      </c>
      <c r="B90" s="10" t="str">
        <f>時間希望調査!B60&amp;""</f>
        <v/>
      </c>
      <c r="C90" s="10" t="str">
        <f>時間希望調査!C60&amp;""</f>
        <v/>
      </c>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0">
        <f t="shared" si="46"/>
        <v>0</v>
      </c>
      <c r="BC90" s="10">
        <f>時間希望調査!D60</f>
        <v>0</v>
      </c>
      <c r="BD90" s="10" t="str">
        <f>'役職希望調査 ・備考'!D60&amp;""</f>
        <v/>
      </c>
      <c r="BE90" s="10" t="str">
        <f>'役職希望調査 ・備考'!E60&amp;""</f>
        <v/>
      </c>
      <c r="BF90" s="10" t="str">
        <f>'役職希望調査 ・備考'!F60&amp;""</f>
        <v/>
      </c>
      <c r="BG90" s="10" t="str">
        <f>'役職希望調査 ・備考'!G60&amp;""</f>
        <v/>
      </c>
      <c r="BH90" s="10" t="str">
        <f>'役職希望調査 ・備考'!H60&amp;""</f>
        <v/>
      </c>
      <c r="BI90" s="10">
        <f t="shared" si="47"/>
        <v>0</v>
      </c>
      <c r="BJ90" s="10">
        <f t="shared" si="48"/>
        <v>0</v>
      </c>
      <c r="BK90" s="10">
        <f t="shared" si="49"/>
        <v>0</v>
      </c>
      <c r="BL90" s="10">
        <f t="shared" si="50"/>
        <v>0</v>
      </c>
      <c r="BM90" s="10">
        <f t="shared" si="51"/>
        <v>0</v>
      </c>
      <c r="BN90" s="10">
        <f t="shared" si="52"/>
        <v>0</v>
      </c>
      <c r="BO90" s="10">
        <f t="shared" si="53"/>
        <v>48</v>
      </c>
      <c r="BP90" s="10">
        <f t="shared" si="54"/>
        <v>48</v>
      </c>
      <c r="BQ90" s="10">
        <f t="shared" si="55"/>
        <v>47</v>
      </c>
      <c r="BR90" s="10">
        <f t="shared" si="56"/>
        <v>46</v>
      </c>
      <c r="BS90" s="10">
        <f t="shared" si="57"/>
        <v>45</v>
      </c>
      <c r="BT90" s="10">
        <f t="shared" si="58"/>
        <v>44</v>
      </c>
      <c r="BU90" s="10">
        <f t="shared" si="59"/>
        <v>43</v>
      </c>
      <c r="BV90" s="10">
        <f t="shared" si="60"/>
        <v>42</v>
      </c>
      <c r="BW90" s="10">
        <f t="shared" si="61"/>
        <v>41</v>
      </c>
      <c r="BX90" s="10">
        <f t="shared" si="62"/>
        <v>40</v>
      </c>
      <c r="BY90" s="10">
        <f t="shared" si="63"/>
        <v>39</v>
      </c>
      <c r="BZ90" s="10">
        <f t="shared" si="64"/>
        <v>38</v>
      </c>
      <c r="CA90" s="10">
        <f t="shared" si="65"/>
        <v>37</v>
      </c>
      <c r="CB90" s="10">
        <f t="shared" si="66"/>
        <v>36</v>
      </c>
      <c r="CC90" s="10">
        <f t="shared" si="67"/>
        <v>35</v>
      </c>
      <c r="CD90" s="10">
        <f t="shared" si="68"/>
        <v>34</v>
      </c>
      <c r="CE90" s="10">
        <f t="shared" si="69"/>
        <v>33</v>
      </c>
      <c r="CF90" s="10">
        <f t="shared" si="70"/>
        <v>32</v>
      </c>
      <c r="CG90" s="10">
        <f t="shared" si="71"/>
        <v>31</v>
      </c>
      <c r="CH90" s="10">
        <f t="shared" si="72"/>
        <v>30</v>
      </c>
      <c r="CI90" s="10">
        <f t="shared" si="73"/>
        <v>29</v>
      </c>
      <c r="CJ90" s="10">
        <f t="shared" si="74"/>
        <v>28</v>
      </c>
      <c r="CK90" s="10">
        <f t="shared" si="75"/>
        <v>27</v>
      </c>
      <c r="CL90" s="10">
        <f t="shared" si="76"/>
        <v>26</v>
      </c>
      <c r="CM90" s="10" t="str">
        <f>'役職希望調査 ・備考'!I60&amp;""</f>
        <v/>
      </c>
    </row>
    <row r="91" spans="1:91">
      <c r="A91" s="10" t="str">
        <f>時間希望調査!A61&amp;""</f>
        <v/>
      </c>
      <c r="B91" s="10" t="str">
        <f>時間希望調査!B61&amp;""</f>
        <v/>
      </c>
      <c r="C91" s="10" t="str">
        <f>時間希望調査!C61&amp;""</f>
        <v/>
      </c>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0">
        <f t="shared" si="46"/>
        <v>0</v>
      </c>
      <c r="BC91" s="10">
        <f>時間希望調査!D61</f>
        <v>0</v>
      </c>
      <c r="BD91" s="10" t="str">
        <f>'役職希望調査 ・備考'!D61&amp;""</f>
        <v/>
      </c>
      <c r="BE91" s="10" t="str">
        <f>'役職希望調査 ・備考'!E61&amp;""</f>
        <v/>
      </c>
      <c r="BF91" s="10" t="str">
        <f>'役職希望調査 ・備考'!F61&amp;""</f>
        <v/>
      </c>
      <c r="BG91" s="10" t="str">
        <f>'役職希望調査 ・備考'!G61&amp;""</f>
        <v/>
      </c>
      <c r="BH91" s="10" t="str">
        <f>'役職希望調査 ・備考'!H61&amp;""</f>
        <v/>
      </c>
      <c r="BI91" s="10">
        <f t="shared" si="47"/>
        <v>0</v>
      </c>
      <c r="BJ91" s="10">
        <f t="shared" si="48"/>
        <v>0</v>
      </c>
      <c r="BK91" s="10">
        <f t="shared" si="49"/>
        <v>0</v>
      </c>
      <c r="BL91" s="10">
        <f t="shared" si="50"/>
        <v>0</v>
      </c>
      <c r="BM91" s="10">
        <f t="shared" si="51"/>
        <v>0</v>
      </c>
      <c r="BN91" s="10">
        <f t="shared" si="52"/>
        <v>0</v>
      </c>
      <c r="BO91" s="10">
        <f t="shared" si="53"/>
        <v>48</v>
      </c>
      <c r="BP91" s="10">
        <f t="shared" si="54"/>
        <v>48</v>
      </c>
      <c r="BQ91" s="10">
        <f t="shared" si="55"/>
        <v>47</v>
      </c>
      <c r="BR91" s="10">
        <f t="shared" si="56"/>
        <v>46</v>
      </c>
      <c r="BS91" s="10">
        <f t="shared" si="57"/>
        <v>45</v>
      </c>
      <c r="BT91" s="10">
        <f t="shared" si="58"/>
        <v>44</v>
      </c>
      <c r="BU91" s="10">
        <f t="shared" si="59"/>
        <v>43</v>
      </c>
      <c r="BV91" s="10">
        <f t="shared" si="60"/>
        <v>42</v>
      </c>
      <c r="BW91" s="10">
        <f t="shared" si="61"/>
        <v>41</v>
      </c>
      <c r="BX91" s="10">
        <f t="shared" si="62"/>
        <v>40</v>
      </c>
      <c r="BY91" s="10">
        <f t="shared" si="63"/>
        <v>39</v>
      </c>
      <c r="BZ91" s="10">
        <f t="shared" si="64"/>
        <v>38</v>
      </c>
      <c r="CA91" s="10">
        <f t="shared" si="65"/>
        <v>37</v>
      </c>
      <c r="CB91" s="10">
        <f t="shared" si="66"/>
        <v>36</v>
      </c>
      <c r="CC91" s="10">
        <f t="shared" si="67"/>
        <v>35</v>
      </c>
      <c r="CD91" s="10">
        <f t="shared" si="68"/>
        <v>34</v>
      </c>
      <c r="CE91" s="10">
        <f t="shared" si="69"/>
        <v>33</v>
      </c>
      <c r="CF91" s="10">
        <f t="shared" si="70"/>
        <v>32</v>
      </c>
      <c r="CG91" s="10">
        <f t="shared" si="71"/>
        <v>31</v>
      </c>
      <c r="CH91" s="10">
        <f t="shared" si="72"/>
        <v>30</v>
      </c>
      <c r="CI91" s="10">
        <f t="shared" si="73"/>
        <v>29</v>
      </c>
      <c r="CJ91" s="10">
        <f t="shared" si="74"/>
        <v>28</v>
      </c>
      <c r="CK91" s="10">
        <f t="shared" si="75"/>
        <v>27</v>
      </c>
      <c r="CL91" s="10">
        <f t="shared" si="76"/>
        <v>26</v>
      </c>
      <c r="CM91" s="10" t="str">
        <f>'役職希望調査 ・備考'!I61&amp;""</f>
        <v/>
      </c>
    </row>
    <row r="92" spans="1:91">
      <c r="A92" s="10" t="str">
        <f>時間希望調査!A62&amp;""</f>
        <v/>
      </c>
      <c r="B92" s="10" t="str">
        <f>時間希望調査!B62&amp;""</f>
        <v/>
      </c>
      <c r="C92" s="10" t="str">
        <f>時間希望調査!C62&amp;""</f>
        <v/>
      </c>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0">
        <f t="shared" si="46"/>
        <v>0</v>
      </c>
      <c r="BC92" s="10">
        <f>時間希望調査!D62</f>
        <v>0</v>
      </c>
      <c r="BD92" s="10" t="str">
        <f>'役職希望調査 ・備考'!D62&amp;""</f>
        <v/>
      </c>
      <c r="BE92" s="10" t="str">
        <f>'役職希望調査 ・備考'!E62&amp;""</f>
        <v/>
      </c>
      <c r="BF92" s="10" t="str">
        <f>'役職希望調査 ・備考'!F62&amp;""</f>
        <v/>
      </c>
      <c r="BG92" s="10" t="str">
        <f>'役職希望調査 ・備考'!G62&amp;""</f>
        <v/>
      </c>
      <c r="BH92" s="10" t="str">
        <f>'役職希望調査 ・備考'!H62&amp;""</f>
        <v/>
      </c>
      <c r="BI92" s="10">
        <f t="shared" si="47"/>
        <v>0</v>
      </c>
      <c r="BJ92" s="10">
        <f t="shared" si="48"/>
        <v>0</v>
      </c>
      <c r="BK92" s="10">
        <f t="shared" si="49"/>
        <v>0</v>
      </c>
      <c r="BL92" s="10">
        <f t="shared" si="50"/>
        <v>0</v>
      </c>
      <c r="BM92" s="10">
        <f t="shared" si="51"/>
        <v>0</v>
      </c>
      <c r="BN92" s="10">
        <f t="shared" si="52"/>
        <v>0</v>
      </c>
      <c r="BO92" s="10">
        <f t="shared" si="53"/>
        <v>48</v>
      </c>
      <c r="BP92" s="10">
        <f t="shared" si="54"/>
        <v>48</v>
      </c>
      <c r="BQ92" s="10">
        <f t="shared" si="55"/>
        <v>47</v>
      </c>
      <c r="BR92" s="10">
        <f t="shared" si="56"/>
        <v>46</v>
      </c>
      <c r="BS92" s="10">
        <f t="shared" si="57"/>
        <v>45</v>
      </c>
      <c r="BT92" s="10">
        <f t="shared" si="58"/>
        <v>44</v>
      </c>
      <c r="BU92" s="10">
        <f t="shared" si="59"/>
        <v>43</v>
      </c>
      <c r="BV92" s="10">
        <f t="shared" si="60"/>
        <v>42</v>
      </c>
      <c r="BW92" s="10">
        <f t="shared" si="61"/>
        <v>41</v>
      </c>
      <c r="BX92" s="10">
        <f t="shared" si="62"/>
        <v>40</v>
      </c>
      <c r="BY92" s="10">
        <f t="shared" si="63"/>
        <v>39</v>
      </c>
      <c r="BZ92" s="10">
        <f t="shared" si="64"/>
        <v>38</v>
      </c>
      <c r="CA92" s="10">
        <f t="shared" si="65"/>
        <v>37</v>
      </c>
      <c r="CB92" s="10">
        <f t="shared" si="66"/>
        <v>36</v>
      </c>
      <c r="CC92" s="10">
        <f t="shared" si="67"/>
        <v>35</v>
      </c>
      <c r="CD92" s="10">
        <f t="shared" si="68"/>
        <v>34</v>
      </c>
      <c r="CE92" s="10">
        <f t="shared" si="69"/>
        <v>33</v>
      </c>
      <c r="CF92" s="10">
        <f t="shared" si="70"/>
        <v>32</v>
      </c>
      <c r="CG92" s="10">
        <f t="shared" si="71"/>
        <v>31</v>
      </c>
      <c r="CH92" s="10">
        <f t="shared" si="72"/>
        <v>30</v>
      </c>
      <c r="CI92" s="10">
        <f t="shared" si="73"/>
        <v>29</v>
      </c>
      <c r="CJ92" s="10">
        <f t="shared" si="74"/>
        <v>28</v>
      </c>
      <c r="CK92" s="10">
        <f t="shared" si="75"/>
        <v>27</v>
      </c>
      <c r="CL92" s="10">
        <f t="shared" si="76"/>
        <v>26</v>
      </c>
      <c r="CM92" s="10" t="str">
        <f>'役職希望調査 ・備考'!I62&amp;""</f>
        <v/>
      </c>
    </row>
    <row r="93" spans="1:91">
      <c r="A93" s="10" t="str">
        <f>時間希望調査!A63&amp;""</f>
        <v/>
      </c>
      <c r="B93" s="10" t="str">
        <f>時間希望調査!B63&amp;""</f>
        <v/>
      </c>
      <c r="C93" s="10" t="str">
        <f>時間希望調査!C63&amp;""</f>
        <v/>
      </c>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0">
        <f t="shared" si="46"/>
        <v>0</v>
      </c>
      <c r="BC93" s="10">
        <f>時間希望調査!D63</f>
        <v>0</v>
      </c>
      <c r="BD93" s="10" t="str">
        <f>'役職希望調査 ・備考'!D63&amp;""</f>
        <v/>
      </c>
      <c r="BE93" s="10" t="str">
        <f>'役職希望調査 ・備考'!E63&amp;""</f>
        <v/>
      </c>
      <c r="BF93" s="10" t="str">
        <f>'役職希望調査 ・備考'!F63&amp;""</f>
        <v/>
      </c>
      <c r="BG93" s="10" t="str">
        <f>'役職希望調査 ・備考'!G63&amp;""</f>
        <v/>
      </c>
      <c r="BH93" s="10" t="str">
        <f>'役職希望調査 ・備考'!H63&amp;""</f>
        <v/>
      </c>
      <c r="BI93" s="10">
        <f t="shared" si="47"/>
        <v>0</v>
      </c>
      <c r="BJ93" s="10">
        <f t="shared" si="48"/>
        <v>0</v>
      </c>
      <c r="BK93" s="10">
        <f t="shared" si="49"/>
        <v>0</v>
      </c>
      <c r="BL93" s="10">
        <f t="shared" si="50"/>
        <v>0</v>
      </c>
      <c r="BM93" s="10">
        <f t="shared" si="51"/>
        <v>0</v>
      </c>
      <c r="BN93" s="10">
        <f t="shared" si="52"/>
        <v>0</v>
      </c>
      <c r="BO93" s="10">
        <f t="shared" si="53"/>
        <v>48</v>
      </c>
      <c r="BP93" s="10">
        <f t="shared" si="54"/>
        <v>48</v>
      </c>
      <c r="BQ93" s="10">
        <f t="shared" si="55"/>
        <v>47</v>
      </c>
      <c r="BR93" s="10">
        <f t="shared" si="56"/>
        <v>46</v>
      </c>
      <c r="BS93" s="10">
        <f t="shared" si="57"/>
        <v>45</v>
      </c>
      <c r="BT93" s="10">
        <f t="shared" si="58"/>
        <v>44</v>
      </c>
      <c r="BU93" s="10">
        <f t="shared" si="59"/>
        <v>43</v>
      </c>
      <c r="BV93" s="10">
        <f t="shared" si="60"/>
        <v>42</v>
      </c>
      <c r="BW93" s="10">
        <f t="shared" si="61"/>
        <v>41</v>
      </c>
      <c r="BX93" s="10">
        <f t="shared" si="62"/>
        <v>40</v>
      </c>
      <c r="BY93" s="10">
        <f t="shared" si="63"/>
        <v>39</v>
      </c>
      <c r="BZ93" s="10">
        <f t="shared" si="64"/>
        <v>38</v>
      </c>
      <c r="CA93" s="10">
        <f t="shared" si="65"/>
        <v>37</v>
      </c>
      <c r="CB93" s="10">
        <f t="shared" si="66"/>
        <v>36</v>
      </c>
      <c r="CC93" s="10">
        <f t="shared" si="67"/>
        <v>35</v>
      </c>
      <c r="CD93" s="10">
        <f t="shared" si="68"/>
        <v>34</v>
      </c>
      <c r="CE93" s="10">
        <f t="shared" si="69"/>
        <v>33</v>
      </c>
      <c r="CF93" s="10">
        <f t="shared" si="70"/>
        <v>32</v>
      </c>
      <c r="CG93" s="10">
        <f t="shared" si="71"/>
        <v>31</v>
      </c>
      <c r="CH93" s="10">
        <f t="shared" si="72"/>
        <v>30</v>
      </c>
      <c r="CI93" s="10">
        <f t="shared" si="73"/>
        <v>29</v>
      </c>
      <c r="CJ93" s="10">
        <f t="shared" si="74"/>
        <v>28</v>
      </c>
      <c r="CK93" s="10">
        <f t="shared" si="75"/>
        <v>27</v>
      </c>
      <c r="CL93" s="10">
        <f t="shared" si="76"/>
        <v>26</v>
      </c>
      <c r="CM93" s="10" t="str">
        <f>'役職希望調査 ・備考'!I63&amp;""</f>
        <v/>
      </c>
    </row>
    <row r="94" spans="1:91">
      <c r="A94" s="10" t="str">
        <f>時間希望調査!A64&amp;""</f>
        <v/>
      </c>
      <c r="B94" s="10" t="str">
        <f>時間希望調査!B64&amp;""</f>
        <v/>
      </c>
      <c r="C94" s="10" t="str">
        <f>時間希望調査!C64&amp;""</f>
        <v/>
      </c>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0">
        <f t="shared" si="46"/>
        <v>0</v>
      </c>
      <c r="BC94" s="10">
        <f>時間希望調査!D64</f>
        <v>0</v>
      </c>
      <c r="BD94" s="10" t="str">
        <f>'役職希望調査 ・備考'!D64&amp;""</f>
        <v/>
      </c>
      <c r="BE94" s="10" t="str">
        <f>'役職希望調査 ・備考'!E64&amp;""</f>
        <v/>
      </c>
      <c r="BF94" s="10" t="str">
        <f>'役職希望調査 ・備考'!F64&amp;""</f>
        <v/>
      </c>
      <c r="BG94" s="10" t="str">
        <f>'役職希望調査 ・備考'!G64&amp;""</f>
        <v/>
      </c>
      <c r="BH94" s="10" t="str">
        <f>'役職希望調査 ・備考'!H64&amp;""</f>
        <v/>
      </c>
      <c r="BI94" s="10">
        <f t="shared" si="47"/>
        <v>0</v>
      </c>
      <c r="BJ94" s="10">
        <f t="shared" si="48"/>
        <v>0</v>
      </c>
      <c r="BK94" s="10">
        <f t="shared" si="49"/>
        <v>0</v>
      </c>
      <c r="BL94" s="10">
        <f t="shared" si="50"/>
        <v>0</v>
      </c>
      <c r="BM94" s="10">
        <f t="shared" si="51"/>
        <v>0</v>
      </c>
      <c r="BN94" s="10">
        <f t="shared" si="52"/>
        <v>0</v>
      </c>
      <c r="BO94" s="10">
        <f t="shared" si="53"/>
        <v>48</v>
      </c>
      <c r="BP94" s="10">
        <f t="shared" si="54"/>
        <v>48</v>
      </c>
      <c r="BQ94" s="10">
        <f t="shared" si="55"/>
        <v>47</v>
      </c>
      <c r="BR94" s="10">
        <f t="shared" si="56"/>
        <v>46</v>
      </c>
      <c r="BS94" s="10">
        <f t="shared" si="57"/>
        <v>45</v>
      </c>
      <c r="BT94" s="10">
        <f t="shared" si="58"/>
        <v>44</v>
      </c>
      <c r="BU94" s="10">
        <f t="shared" si="59"/>
        <v>43</v>
      </c>
      <c r="BV94" s="10">
        <f t="shared" si="60"/>
        <v>42</v>
      </c>
      <c r="BW94" s="10">
        <f t="shared" si="61"/>
        <v>41</v>
      </c>
      <c r="BX94" s="10">
        <f t="shared" si="62"/>
        <v>40</v>
      </c>
      <c r="BY94" s="10">
        <f t="shared" si="63"/>
        <v>39</v>
      </c>
      <c r="BZ94" s="10">
        <f t="shared" si="64"/>
        <v>38</v>
      </c>
      <c r="CA94" s="10">
        <f t="shared" si="65"/>
        <v>37</v>
      </c>
      <c r="CB94" s="10">
        <f t="shared" si="66"/>
        <v>36</v>
      </c>
      <c r="CC94" s="10">
        <f t="shared" si="67"/>
        <v>35</v>
      </c>
      <c r="CD94" s="10">
        <f t="shared" si="68"/>
        <v>34</v>
      </c>
      <c r="CE94" s="10">
        <f t="shared" si="69"/>
        <v>33</v>
      </c>
      <c r="CF94" s="10">
        <f t="shared" si="70"/>
        <v>32</v>
      </c>
      <c r="CG94" s="10">
        <f t="shared" si="71"/>
        <v>31</v>
      </c>
      <c r="CH94" s="10">
        <f t="shared" si="72"/>
        <v>30</v>
      </c>
      <c r="CI94" s="10">
        <f t="shared" si="73"/>
        <v>29</v>
      </c>
      <c r="CJ94" s="10">
        <f t="shared" si="74"/>
        <v>28</v>
      </c>
      <c r="CK94" s="10">
        <f t="shared" si="75"/>
        <v>27</v>
      </c>
      <c r="CL94" s="10">
        <f t="shared" si="76"/>
        <v>26</v>
      </c>
      <c r="CM94" s="10" t="str">
        <f>'役職希望調査 ・備考'!I64&amp;""</f>
        <v/>
      </c>
    </row>
    <row r="95" spans="1:91">
      <c r="A95" s="10" t="str">
        <f>時間希望調査!A65&amp;""</f>
        <v/>
      </c>
      <c r="B95" s="10" t="str">
        <f>時間希望調査!B65&amp;""</f>
        <v/>
      </c>
      <c r="C95" s="10" t="str">
        <f>時間希望調査!C65&amp;""</f>
        <v/>
      </c>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0">
        <f t="shared" si="46"/>
        <v>0</v>
      </c>
      <c r="BC95" s="10">
        <f>時間希望調査!D65</f>
        <v>0</v>
      </c>
      <c r="BD95" s="10" t="str">
        <f>'役職希望調査 ・備考'!D65&amp;""</f>
        <v/>
      </c>
      <c r="BE95" s="10" t="str">
        <f>'役職希望調査 ・備考'!E65&amp;""</f>
        <v/>
      </c>
      <c r="BF95" s="10" t="str">
        <f>'役職希望調査 ・備考'!F65&amp;""</f>
        <v/>
      </c>
      <c r="BG95" s="10" t="str">
        <f>'役職希望調査 ・備考'!G65&amp;""</f>
        <v/>
      </c>
      <c r="BH95" s="10" t="str">
        <f>'役職希望調査 ・備考'!H65&amp;""</f>
        <v/>
      </c>
      <c r="BI95" s="10">
        <f t="shared" si="47"/>
        <v>0</v>
      </c>
      <c r="BJ95" s="10">
        <f t="shared" si="48"/>
        <v>0</v>
      </c>
      <c r="BK95" s="10">
        <f t="shared" si="49"/>
        <v>0</v>
      </c>
      <c r="BL95" s="10">
        <f t="shared" si="50"/>
        <v>0</v>
      </c>
      <c r="BM95" s="10">
        <f t="shared" si="51"/>
        <v>0</v>
      </c>
      <c r="BN95" s="10">
        <f t="shared" si="52"/>
        <v>0</v>
      </c>
      <c r="BO95" s="10">
        <f t="shared" si="53"/>
        <v>48</v>
      </c>
      <c r="BP95" s="10">
        <f t="shared" si="54"/>
        <v>48</v>
      </c>
      <c r="BQ95" s="10">
        <f t="shared" si="55"/>
        <v>47</v>
      </c>
      <c r="BR95" s="10">
        <f t="shared" si="56"/>
        <v>46</v>
      </c>
      <c r="BS95" s="10">
        <f t="shared" si="57"/>
        <v>45</v>
      </c>
      <c r="BT95" s="10">
        <f t="shared" si="58"/>
        <v>44</v>
      </c>
      <c r="BU95" s="10">
        <f t="shared" si="59"/>
        <v>43</v>
      </c>
      <c r="BV95" s="10">
        <f t="shared" si="60"/>
        <v>42</v>
      </c>
      <c r="BW95" s="10">
        <f t="shared" si="61"/>
        <v>41</v>
      </c>
      <c r="BX95" s="10">
        <f t="shared" si="62"/>
        <v>40</v>
      </c>
      <c r="BY95" s="10">
        <f t="shared" si="63"/>
        <v>39</v>
      </c>
      <c r="BZ95" s="10">
        <f t="shared" si="64"/>
        <v>38</v>
      </c>
      <c r="CA95" s="10">
        <f t="shared" si="65"/>
        <v>37</v>
      </c>
      <c r="CB95" s="10">
        <f t="shared" si="66"/>
        <v>36</v>
      </c>
      <c r="CC95" s="10">
        <f t="shared" si="67"/>
        <v>35</v>
      </c>
      <c r="CD95" s="10">
        <f t="shared" si="68"/>
        <v>34</v>
      </c>
      <c r="CE95" s="10">
        <f t="shared" si="69"/>
        <v>33</v>
      </c>
      <c r="CF95" s="10">
        <f t="shared" si="70"/>
        <v>32</v>
      </c>
      <c r="CG95" s="10">
        <f t="shared" si="71"/>
        <v>31</v>
      </c>
      <c r="CH95" s="10">
        <f t="shared" si="72"/>
        <v>30</v>
      </c>
      <c r="CI95" s="10">
        <f t="shared" si="73"/>
        <v>29</v>
      </c>
      <c r="CJ95" s="10">
        <f t="shared" si="74"/>
        <v>28</v>
      </c>
      <c r="CK95" s="10">
        <f t="shared" si="75"/>
        <v>27</v>
      </c>
      <c r="CL95" s="10">
        <f t="shared" si="76"/>
        <v>26</v>
      </c>
      <c r="CM95" s="10" t="str">
        <f>'役職希望調査 ・備考'!I65&amp;""</f>
        <v/>
      </c>
    </row>
    <row r="96" spans="1:91">
      <c r="A96" s="10" t="str">
        <f>時間希望調査!A66&amp;""</f>
        <v/>
      </c>
      <c r="B96" s="10" t="str">
        <f>時間希望調査!B66&amp;""</f>
        <v/>
      </c>
      <c r="C96" s="10" t="str">
        <f>時間希望調査!C66&amp;""</f>
        <v/>
      </c>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0">
        <f t="shared" si="46"/>
        <v>0</v>
      </c>
      <c r="BC96" s="10">
        <f>時間希望調査!D66</f>
        <v>0</v>
      </c>
      <c r="BD96" s="10" t="str">
        <f>'役職希望調査 ・備考'!D66&amp;""</f>
        <v/>
      </c>
      <c r="BE96" s="10" t="str">
        <f>'役職希望調査 ・備考'!E66&amp;""</f>
        <v/>
      </c>
      <c r="BF96" s="10" t="str">
        <f>'役職希望調査 ・備考'!F66&amp;""</f>
        <v/>
      </c>
      <c r="BG96" s="10" t="str">
        <f>'役職希望調査 ・備考'!G66&amp;""</f>
        <v/>
      </c>
      <c r="BH96" s="10" t="str">
        <f>'役職希望調査 ・備考'!H66&amp;""</f>
        <v/>
      </c>
      <c r="BI96" s="10">
        <f t="shared" ref="BI96:BI127" si="77">COUNTIF(D96:BA96,BI$1)</f>
        <v>0</v>
      </c>
      <c r="BJ96" s="10">
        <f t="shared" ref="BJ96:BJ127" si="78">COUNTIF(E96:BB96,BJ$1)</f>
        <v>0</v>
      </c>
      <c r="BK96" s="10">
        <f t="shared" ref="BK96:BK127" si="79">COUNTIF(F96:BC96,BK$1)</f>
        <v>0</v>
      </c>
      <c r="BL96" s="10">
        <f t="shared" ref="BL96:BL127" si="80">COUNTIF(G96:BD96,BL$1)</f>
        <v>0</v>
      </c>
      <c r="BM96" s="10">
        <f t="shared" ref="BM96:BM127" si="81">COUNTIF(H96:BE96,BM$1)</f>
        <v>0</v>
      </c>
      <c r="BN96" s="10">
        <f t="shared" ref="BN96:BN127" si="82">COUNTIF(I96:BF96,BN$1)</f>
        <v>0</v>
      </c>
      <c r="BO96" s="10">
        <f t="shared" ref="BO96:BO127" si="83">COUNTIF(J96:BG96,BO$1)</f>
        <v>48</v>
      </c>
      <c r="BP96" s="10">
        <f t="shared" ref="BP96:BP127" si="84">COUNTIF(K96:BH96,BP$1)</f>
        <v>48</v>
      </c>
      <c r="BQ96" s="10">
        <f t="shared" ref="BQ96:BQ127" si="85">COUNTIF(L96:BI96,BQ$1)</f>
        <v>47</v>
      </c>
      <c r="BR96" s="10">
        <f t="shared" ref="BR96:BR127" si="86">COUNTIF(M96:BJ96,BR$1)</f>
        <v>46</v>
      </c>
      <c r="BS96" s="10">
        <f t="shared" ref="BS96:BS127" si="87">COUNTIF(N96:BK96,BS$1)</f>
        <v>45</v>
      </c>
      <c r="BT96" s="10">
        <f t="shared" ref="BT96:BT127" si="88">COUNTIF(O96:BL96,BT$1)</f>
        <v>44</v>
      </c>
      <c r="BU96" s="10">
        <f t="shared" ref="BU96:BU127" si="89">COUNTIF(P96:BM96,BU$1)</f>
        <v>43</v>
      </c>
      <c r="BV96" s="10">
        <f t="shared" ref="BV96:BV127" si="90">COUNTIF(Q96:BN96,BV$1)</f>
        <v>42</v>
      </c>
      <c r="BW96" s="10">
        <f t="shared" ref="BW96:BW127" si="91">COUNTIF(R96:BO96,BW$1)</f>
        <v>41</v>
      </c>
      <c r="BX96" s="10">
        <f t="shared" ref="BX96:BX127" si="92">COUNTIF(S96:BP96,BX$1)</f>
        <v>40</v>
      </c>
      <c r="BY96" s="10">
        <f t="shared" ref="BY96:BY127" si="93">COUNTIF(T96:BQ96,BY$1)</f>
        <v>39</v>
      </c>
      <c r="BZ96" s="10">
        <f t="shared" ref="BZ96:BZ127" si="94">COUNTIF(U96:BR96,BZ$1)</f>
        <v>38</v>
      </c>
      <c r="CA96" s="10">
        <f t="shared" ref="CA96:CA127" si="95">COUNTIF(V96:BS96,CA$1)</f>
        <v>37</v>
      </c>
      <c r="CB96" s="10">
        <f t="shared" ref="CB96:CB127" si="96">COUNTIF(W96:BT96,CB$1)</f>
        <v>36</v>
      </c>
      <c r="CC96" s="10">
        <f t="shared" ref="CC96:CC127" si="97">COUNTIF(X96:BU96,CC$1)</f>
        <v>35</v>
      </c>
      <c r="CD96" s="10">
        <f t="shared" ref="CD96:CD127" si="98">COUNTIF(Y96:BV96,CD$1)</f>
        <v>34</v>
      </c>
      <c r="CE96" s="10">
        <f t="shared" ref="CE96:CE127" si="99">COUNTIF(Z96:BW96,CE$1)</f>
        <v>33</v>
      </c>
      <c r="CF96" s="10">
        <f t="shared" ref="CF96:CF127" si="100">COUNTIF(AA96:BX96,CF$1)</f>
        <v>32</v>
      </c>
      <c r="CG96" s="10">
        <f t="shared" ref="CG96:CG127" si="101">COUNTIF(AB96:BY96,CG$1)</f>
        <v>31</v>
      </c>
      <c r="CH96" s="10">
        <f t="shared" ref="CH96:CH127" si="102">COUNTIF(AC96:BZ96,CH$1)</f>
        <v>30</v>
      </c>
      <c r="CI96" s="10">
        <f t="shared" ref="CI96:CI127" si="103">COUNTIF(AD96:CA96,CI$1)</f>
        <v>29</v>
      </c>
      <c r="CJ96" s="10">
        <f t="shared" ref="CJ96:CJ127" si="104">COUNTIF(AE96:CB96,CJ$1)</f>
        <v>28</v>
      </c>
      <c r="CK96" s="10">
        <f t="shared" ref="CK96:CK127" si="105">COUNTIF(AF96:CC96,CK$1)</f>
        <v>27</v>
      </c>
      <c r="CL96" s="10">
        <f t="shared" ref="CL96:CL127" si="106">COUNTIF(AG96:CD96,CL$1)</f>
        <v>26</v>
      </c>
      <c r="CM96" s="10" t="str">
        <f>'役職希望調査 ・備考'!I66&amp;""</f>
        <v/>
      </c>
    </row>
    <row r="97" spans="1:91">
      <c r="A97" s="10" t="str">
        <f>時間希望調査!A67&amp;""</f>
        <v/>
      </c>
      <c r="B97" s="10" t="str">
        <f>時間希望調査!B67&amp;""</f>
        <v/>
      </c>
      <c r="C97" s="10" t="str">
        <f>時間希望調査!C67&amp;""</f>
        <v/>
      </c>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0">
        <f t="shared" ref="BB97:BB160" si="107">COUNTA(D97:BA97)</f>
        <v>0</v>
      </c>
      <c r="BC97" s="10">
        <f>時間希望調査!D67</f>
        <v>0</v>
      </c>
      <c r="BD97" s="10" t="str">
        <f>'役職希望調査 ・備考'!D67&amp;""</f>
        <v/>
      </c>
      <c r="BE97" s="10" t="str">
        <f>'役職希望調査 ・備考'!E67&amp;""</f>
        <v/>
      </c>
      <c r="BF97" s="10" t="str">
        <f>'役職希望調査 ・備考'!F67&amp;""</f>
        <v/>
      </c>
      <c r="BG97" s="10" t="str">
        <f>'役職希望調査 ・備考'!G67&amp;""</f>
        <v/>
      </c>
      <c r="BH97" s="10" t="str">
        <f>'役職希望調査 ・備考'!H67&amp;""</f>
        <v/>
      </c>
      <c r="BI97" s="10">
        <f t="shared" si="77"/>
        <v>0</v>
      </c>
      <c r="BJ97" s="10">
        <f t="shared" si="78"/>
        <v>0</v>
      </c>
      <c r="BK97" s="10">
        <f t="shared" si="79"/>
        <v>0</v>
      </c>
      <c r="BL97" s="10">
        <f t="shared" si="80"/>
        <v>0</v>
      </c>
      <c r="BM97" s="10">
        <f t="shared" si="81"/>
        <v>0</v>
      </c>
      <c r="BN97" s="10">
        <f t="shared" si="82"/>
        <v>0</v>
      </c>
      <c r="BO97" s="10">
        <f t="shared" si="83"/>
        <v>48</v>
      </c>
      <c r="BP97" s="10">
        <f t="shared" si="84"/>
        <v>48</v>
      </c>
      <c r="BQ97" s="10">
        <f t="shared" si="85"/>
        <v>47</v>
      </c>
      <c r="BR97" s="10">
        <f t="shared" si="86"/>
        <v>46</v>
      </c>
      <c r="BS97" s="10">
        <f t="shared" si="87"/>
        <v>45</v>
      </c>
      <c r="BT97" s="10">
        <f t="shared" si="88"/>
        <v>44</v>
      </c>
      <c r="BU97" s="10">
        <f t="shared" si="89"/>
        <v>43</v>
      </c>
      <c r="BV97" s="10">
        <f t="shared" si="90"/>
        <v>42</v>
      </c>
      <c r="BW97" s="10">
        <f t="shared" si="91"/>
        <v>41</v>
      </c>
      <c r="BX97" s="10">
        <f t="shared" si="92"/>
        <v>40</v>
      </c>
      <c r="BY97" s="10">
        <f t="shared" si="93"/>
        <v>39</v>
      </c>
      <c r="BZ97" s="10">
        <f t="shared" si="94"/>
        <v>38</v>
      </c>
      <c r="CA97" s="10">
        <f t="shared" si="95"/>
        <v>37</v>
      </c>
      <c r="CB97" s="10">
        <f t="shared" si="96"/>
        <v>36</v>
      </c>
      <c r="CC97" s="10">
        <f t="shared" si="97"/>
        <v>35</v>
      </c>
      <c r="CD97" s="10">
        <f t="shared" si="98"/>
        <v>34</v>
      </c>
      <c r="CE97" s="10">
        <f t="shared" si="99"/>
        <v>33</v>
      </c>
      <c r="CF97" s="10">
        <f t="shared" si="100"/>
        <v>32</v>
      </c>
      <c r="CG97" s="10">
        <f t="shared" si="101"/>
        <v>31</v>
      </c>
      <c r="CH97" s="10">
        <f t="shared" si="102"/>
        <v>30</v>
      </c>
      <c r="CI97" s="10">
        <f t="shared" si="103"/>
        <v>29</v>
      </c>
      <c r="CJ97" s="10">
        <f t="shared" si="104"/>
        <v>28</v>
      </c>
      <c r="CK97" s="10">
        <f t="shared" si="105"/>
        <v>27</v>
      </c>
      <c r="CL97" s="10">
        <f t="shared" si="106"/>
        <v>26</v>
      </c>
      <c r="CM97" s="10" t="str">
        <f>'役職希望調査 ・備考'!I67&amp;""</f>
        <v/>
      </c>
    </row>
    <row r="98" spans="1:91">
      <c r="A98" s="10" t="str">
        <f>時間希望調査!A68&amp;""</f>
        <v/>
      </c>
      <c r="B98" s="10" t="str">
        <f>時間希望調査!B68&amp;""</f>
        <v/>
      </c>
      <c r="C98" s="10" t="str">
        <f>時間希望調査!C68&amp;""</f>
        <v/>
      </c>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0">
        <f t="shared" si="107"/>
        <v>0</v>
      </c>
      <c r="BC98" s="10">
        <f>時間希望調査!D68</f>
        <v>0</v>
      </c>
      <c r="BD98" s="10" t="str">
        <f>'役職希望調査 ・備考'!D68&amp;""</f>
        <v/>
      </c>
      <c r="BE98" s="10" t="str">
        <f>'役職希望調査 ・備考'!E68&amp;""</f>
        <v/>
      </c>
      <c r="BF98" s="10" t="str">
        <f>'役職希望調査 ・備考'!F68&amp;""</f>
        <v/>
      </c>
      <c r="BG98" s="10" t="str">
        <f>'役職希望調査 ・備考'!G68&amp;""</f>
        <v/>
      </c>
      <c r="BH98" s="10" t="str">
        <f>'役職希望調査 ・備考'!H68&amp;""</f>
        <v/>
      </c>
      <c r="BI98" s="10">
        <f t="shared" si="77"/>
        <v>0</v>
      </c>
      <c r="BJ98" s="10">
        <f t="shared" si="78"/>
        <v>0</v>
      </c>
      <c r="BK98" s="10">
        <f t="shared" si="79"/>
        <v>0</v>
      </c>
      <c r="BL98" s="10">
        <f t="shared" si="80"/>
        <v>0</v>
      </c>
      <c r="BM98" s="10">
        <f t="shared" si="81"/>
        <v>0</v>
      </c>
      <c r="BN98" s="10">
        <f t="shared" si="82"/>
        <v>0</v>
      </c>
      <c r="BO98" s="10">
        <f t="shared" si="83"/>
        <v>48</v>
      </c>
      <c r="BP98" s="10">
        <f t="shared" si="84"/>
        <v>48</v>
      </c>
      <c r="BQ98" s="10">
        <f t="shared" si="85"/>
        <v>47</v>
      </c>
      <c r="BR98" s="10">
        <f t="shared" si="86"/>
        <v>46</v>
      </c>
      <c r="BS98" s="10">
        <f t="shared" si="87"/>
        <v>45</v>
      </c>
      <c r="BT98" s="10">
        <f t="shared" si="88"/>
        <v>44</v>
      </c>
      <c r="BU98" s="10">
        <f t="shared" si="89"/>
        <v>43</v>
      </c>
      <c r="BV98" s="10">
        <f t="shared" si="90"/>
        <v>42</v>
      </c>
      <c r="BW98" s="10">
        <f t="shared" si="91"/>
        <v>41</v>
      </c>
      <c r="BX98" s="10">
        <f t="shared" si="92"/>
        <v>40</v>
      </c>
      <c r="BY98" s="10">
        <f t="shared" si="93"/>
        <v>39</v>
      </c>
      <c r="BZ98" s="10">
        <f t="shared" si="94"/>
        <v>38</v>
      </c>
      <c r="CA98" s="10">
        <f t="shared" si="95"/>
        <v>37</v>
      </c>
      <c r="CB98" s="10">
        <f t="shared" si="96"/>
        <v>36</v>
      </c>
      <c r="CC98" s="10">
        <f t="shared" si="97"/>
        <v>35</v>
      </c>
      <c r="CD98" s="10">
        <f t="shared" si="98"/>
        <v>34</v>
      </c>
      <c r="CE98" s="10">
        <f t="shared" si="99"/>
        <v>33</v>
      </c>
      <c r="CF98" s="10">
        <f t="shared" si="100"/>
        <v>32</v>
      </c>
      <c r="CG98" s="10">
        <f t="shared" si="101"/>
        <v>31</v>
      </c>
      <c r="CH98" s="10">
        <f t="shared" si="102"/>
        <v>30</v>
      </c>
      <c r="CI98" s="10">
        <f t="shared" si="103"/>
        <v>29</v>
      </c>
      <c r="CJ98" s="10">
        <f t="shared" si="104"/>
        <v>28</v>
      </c>
      <c r="CK98" s="10">
        <f t="shared" si="105"/>
        <v>27</v>
      </c>
      <c r="CL98" s="10">
        <f t="shared" si="106"/>
        <v>26</v>
      </c>
      <c r="CM98" s="10" t="str">
        <f>'役職希望調査 ・備考'!I68&amp;""</f>
        <v/>
      </c>
    </row>
    <row r="99" spans="1:91">
      <c r="A99" s="10" t="str">
        <f>時間希望調査!A69&amp;""</f>
        <v/>
      </c>
      <c r="B99" s="10" t="str">
        <f>時間希望調査!B69&amp;""</f>
        <v/>
      </c>
      <c r="C99" s="10" t="str">
        <f>時間希望調査!C69&amp;""</f>
        <v/>
      </c>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0">
        <f t="shared" si="107"/>
        <v>0</v>
      </c>
      <c r="BC99" s="10">
        <f>時間希望調査!D69</f>
        <v>0</v>
      </c>
      <c r="BD99" s="10" t="str">
        <f>'役職希望調査 ・備考'!D69&amp;""</f>
        <v/>
      </c>
      <c r="BE99" s="10" t="str">
        <f>'役職希望調査 ・備考'!E69&amp;""</f>
        <v/>
      </c>
      <c r="BF99" s="10" t="str">
        <f>'役職希望調査 ・備考'!F69&amp;""</f>
        <v/>
      </c>
      <c r="BG99" s="10" t="str">
        <f>'役職希望調査 ・備考'!G69&amp;""</f>
        <v/>
      </c>
      <c r="BH99" s="10" t="str">
        <f>'役職希望調査 ・備考'!H69&amp;""</f>
        <v/>
      </c>
      <c r="BI99" s="10">
        <f t="shared" si="77"/>
        <v>0</v>
      </c>
      <c r="BJ99" s="10">
        <f t="shared" si="78"/>
        <v>0</v>
      </c>
      <c r="BK99" s="10">
        <f t="shared" si="79"/>
        <v>0</v>
      </c>
      <c r="BL99" s="10">
        <f t="shared" si="80"/>
        <v>0</v>
      </c>
      <c r="BM99" s="10">
        <f t="shared" si="81"/>
        <v>0</v>
      </c>
      <c r="BN99" s="10">
        <f t="shared" si="82"/>
        <v>0</v>
      </c>
      <c r="BO99" s="10">
        <f t="shared" si="83"/>
        <v>48</v>
      </c>
      <c r="BP99" s="10">
        <f t="shared" si="84"/>
        <v>48</v>
      </c>
      <c r="BQ99" s="10">
        <f t="shared" si="85"/>
        <v>47</v>
      </c>
      <c r="BR99" s="10">
        <f t="shared" si="86"/>
        <v>46</v>
      </c>
      <c r="BS99" s="10">
        <f t="shared" si="87"/>
        <v>45</v>
      </c>
      <c r="BT99" s="10">
        <f t="shared" si="88"/>
        <v>44</v>
      </c>
      <c r="BU99" s="10">
        <f t="shared" si="89"/>
        <v>43</v>
      </c>
      <c r="BV99" s="10">
        <f t="shared" si="90"/>
        <v>42</v>
      </c>
      <c r="BW99" s="10">
        <f t="shared" si="91"/>
        <v>41</v>
      </c>
      <c r="BX99" s="10">
        <f t="shared" si="92"/>
        <v>40</v>
      </c>
      <c r="BY99" s="10">
        <f t="shared" si="93"/>
        <v>39</v>
      </c>
      <c r="BZ99" s="10">
        <f t="shared" si="94"/>
        <v>38</v>
      </c>
      <c r="CA99" s="10">
        <f t="shared" si="95"/>
        <v>37</v>
      </c>
      <c r="CB99" s="10">
        <f t="shared" si="96"/>
        <v>36</v>
      </c>
      <c r="CC99" s="10">
        <f t="shared" si="97"/>
        <v>35</v>
      </c>
      <c r="CD99" s="10">
        <f t="shared" si="98"/>
        <v>34</v>
      </c>
      <c r="CE99" s="10">
        <f t="shared" si="99"/>
        <v>33</v>
      </c>
      <c r="CF99" s="10">
        <f t="shared" si="100"/>
        <v>32</v>
      </c>
      <c r="CG99" s="10">
        <f t="shared" si="101"/>
        <v>31</v>
      </c>
      <c r="CH99" s="10">
        <f t="shared" si="102"/>
        <v>30</v>
      </c>
      <c r="CI99" s="10">
        <f t="shared" si="103"/>
        <v>29</v>
      </c>
      <c r="CJ99" s="10">
        <f t="shared" si="104"/>
        <v>28</v>
      </c>
      <c r="CK99" s="10">
        <f t="shared" si="105"/>
        <v>27</v>
      </c>
      <c r="CL99" s="10">
        <f t="shared" si="106"/>
        <v>26</v>
      </c>
      <c r="CM99" s="10" t="str">
        <f>'役職希望調査 ・備考'!I69&amp;""</f>
        <v/>
      </c>
    </row>
    <row r="100" spans="1:91">
      <c r="A100" s="10" t="str">
        <f>時間希望調査!A70&amp;""</f>
        <v/>
      </c>
      <c r="B100" s="10" t="str">
        <f>時間希望調査!B70&amp;""</f>
        <v/>
      </c>
      <c r="C100" s="10" t="str">
        <f>時間希望調査!C70&amp;""</f>
        <v/>
      </c>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0">
        <f t="shared" si="107"/>
        <v>0</v>
      </c>
      <c r="BC100" s="10">
        <f>時間希望調査!D70</f>
        <v>0</v>
      </c>
      <c r="BD100" s="10" t="str">
        <f>'役職希望調査 ・備考'!D70&amp;""</f>
        <v/>
      </c>
      <c r="BE100" s="10" t="str">
        <f>'役職希望調査 ・備考'!E70&amp;""</f>
        <v/>
      </c>
      <c r="BF100" s="10" t="str">
        <f>'役職希望調査 ・備考'!F70&amp;""</f>
        <v/>
      </c>
      <c r="BG100" s="10" t="str">
        <f>'役職希望調査 ・備考'!G70&amp;""</f>
        <v/>
      </c>
      <c r="BH100" s="10" t="str">
        <f>'役職希望調査 ・備考'!H70&amp;""</f>
        <v/>
      </c>
      <c r="BI100" s="10">
        <f t="shared" si="77"/>
        <v>0</v>
      </c>
      <c r="BJ100" s="10">
        <f t="shared" si="78"/>
        <v>0</v>
      </c>
      <c r="BK100" s="10">
        <f t="shared" si="79"/>
        <v>0</v>
      </c>
      <c r="BL100" s="10">
        <f t="shared" si="80"/>
        <v>0</v>
      </c>
      <c r="BM100" s="10">
        <f t="shared" si="81"/>
        <v>0</v>
      </c>
      <c r="BN100" s="10">
        <f t="shared" si="82"/>
        <v>0</v>
      </c>
      <c r="BO100" s="10">
        <f t="shared" si="83"/>
        <v>48</v>
      </c>
      <c r="BP100" s="10">
        <f t="shared" si="84"/>
        <v>48</v>
      </c>
      <c r="BQ100" s="10">
        <f t="shared" si="85"/>
        <v>47</v>
      </c>
      <c r="BR100" s="10">
        <f t="shared" si="86"/>
        <v>46</v>
      </c>
      <c r="BS100" s="10">
        <f t="shared" si="87"/>
        <v>45</v>
      </c>
      <c r="BT100" s="10">
        <f t="shared" si="88"/>
        <v>44</v>
      </c>
      <c r="BU100" s="10">
        <f t="shared" si="89"/>
        <v>43</v>
      </c>
      <c r="BV100" s="10">
        <f t="shared" si="90"/>
        <v>42</v>
      </c>
      <c r="BW100" s="10">
        <f t="shared" si="91"/>
        <v>41</v>
      </c>
      <c r="BX100" s="10">
        <f t="shared" si="92"/>
        <v>40</v>
      </c>
      <c r="BY100" s="10">
        <f t="shared" si="93"/>
        <v>39</v>
      </c>
      <c r="BZ100" s="10">
        <f t="shared" si="94"/>
        <v>38</v>
      </c>
      <c r="CA100" s="10">
        <f t="shared" si="95"/>
        <v>37</v>
      </c>
      <c r="CB100" s="10">
        <f t="shared" si="96"/>
        <v>36</v>
      </c>
      <c r="CC100" s="10">
        <f t="shared" si="97"/>
        <v>35</v>
      </c>
      <c r="CD100" s="10">
        <f t="shared" si="98"/>
        <v>34</v>
      </c>
      <c r="CE100" s="10">
        <f t="shared" si="99"/>
        <v>33</v>
      </c>
      <c r="CF100" s="10">
        <f t="shared" si="100"/>
        <v>32</v>
      </c>
      <c r="CG100" s="10">
        <f t="shared" si="101"/>
        <v>31</v>
      </c>
      <c r="CH100" s="10">
        <f t="shared" si="102"/>
        <v>30</v>
      </c>
      <c r="CI100" s="10">
        <f t="shared" si="103"/>
        <v>29</v>
      </c>
      <c r="CJ100" s="10">
        <f t="shared" si="104"/>
        <v>28</v>
      </c>
      <c r="CK100" s="10">
        <f t="shared" si="105"/>
        <v>27</v>
      </c>
      <c r="CL100" s="10">
        <f t="shared" si="106"/>
        <v>26</v>
      </c>
      <c r="CM100" s="10" t="str">
        <f>'役職希望調査 ・備考'!I70&amp;""</f>
        <v/>
      </c>
    </row>
    <row r="101" spans="1:91">
      <c r="A101" s="10" t="str">
        <f>時間希望調査!A71&amp;""</f>
        <v/>
      </c>
      <c r="B101" s="10" t="str">
        <f>時間希望調査!B71&amp;""</f>
        <v/>
      </c>
      <c r="C101" s="10" t="str">
        <f>時間希望調査!C71&amp;""</f>
        <v/>
      </c>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0">
        <f t="shared" si="107"/>
        <v>0</v>
      </c>
      <c r="BC101" s="10">
        <f>時間希望調査!D71</f>
        <v>0</v>
      </c>
      <c r="BD101" s="10" t="str">
        <f>'役職希望調査 ・備考'!D71&amp;""</f>
        <v/>
      </c>
      <c r="BE101" s="10" t="str">
        <f>'役職希望調査 ・備考'!E71&amp;""</f>
        <v/>
      </c>
      <c r="BF101" s="10" t="str">
        <f>'役職希望調査 ・備考'!F71&amp;""</f>
        <v/>
      </c>
      <c r="BG101" s="10" t="str">
        <f>'役職希望調査 ・備考'!G71&amp;""</f>
        <v/>
      </c>
      <c r="BH101" s="10" t="str">
        <f>'役職希望調査 ・備考'!H71&amp;""</f>
        <v/>
      </c>
      <c r="BI101" s="10">
        <f t="shared" si="77"/>
        <v>0</v>
      </c>
      <c r="BJ101" s="10">
        <f t="shared" si="78"/>
        <v>0</v>
      </c>
      <c r="BK101" s="10">
        <f t="shared" si="79"/>
        <v>0</v>
      </c>
      <c r="BL101" s="10">
        <f t="shared" si="80"/>
        <v>0</v>
      </c>
      <c r="BM101" s="10">
        <f t="shared" si="81"/>
        <v>0</v>
      </c>
      <c r="BN101" s="10">
        <f t="shared" si="82"/>
        <v>0</v>
      </c>
      <c r="BO101" s="10">
        <f t="shared" si="83"/>
        <v>48</v>
      </c>
      <c r="BP101" s="10">
        <f t="shared" si="84"/>
        <v>48</v>
      </c>
      <c r="BQ101" s="10">
        <f t="shared" si="85"/>
        <v>47</v>
      </c>
      <c r="BR101" s="10">
        <f t="shared" si="86"/>
        <v>46</v>
      </c>
      <c r="BS101" s="10">
        <f t="shared" si="87"/>
        <v>45</v>
      </c>
      <c r="BT101" s="10">
        <f t="shared" si="88"/>
        <v>44</v>
      </c>
      <c r="BU101" s="10">
        <f t="shared" si="89"/>
        <v>43</v>
      </c>
      <c r="BV101" s="10">
        <f t="shared" si="90"/>
        <v>42</v>
      </c>
      <c r="BW101" s="10">
        <f t="shared" si="91"/>
        <v>41</v>
      </c>
      <c r="BX101" s="10">
        <f t="shared" si="92"/>
        <v>40</v>
      </c>
      <c r="BY101" s="10">
        <f t="shared" si="93"/>
        <v>39</v>
      </c>
      <c r="BZ101" s="10">
        <f t="shared" si="94"/>
        <v>38</v>
      </c>
      <c r="CA101" s="10">
        <f t="shared" si="95"/>
        <v>37</v>
      </c>
      <c r="CB101" s="10">
        <f t="shared" si="96"/>
        <v>36</v>
      </c>
      <c r="CC101" s="10">
        <f t="shared" si="97"/>
        <v>35</v>
      </c>
      <c r="CD101" s="10">
        <f t="shared" si="98"/>
        <v>34</v>
      </c>
      <c r="CE101" s="10">
        <f t="shared" si="99"/>
        <v>33</v>
      </c>
      <c r="CF101" s="10">
        <f t="shared" si="100"/>
        <v>32</v>
      </c>
      <c r="CG101" s="10">
        <f t="shared" si="101"/>
        <v>31</v>
      </c>
      <c r="CH101" s="10">
        <f t="shared" si="102"/>
        <v>30</v>
      </c>
      <c r="CI101" s="10">
        <f t="shared" si="103"/>
        <v>29</v>
      </c>
      <c r="CJ101" s="10">
        <f t="shared" si="104"/>
        <v>28</v>
      </c>
      <c r="CK101" s="10">
        <f t="shared" si="105"/>
        <v>27</v>
      </c>
      <c r="CL101" s="10">
        <f t="shared" si="106"/>
        <v>26</v>
      </c>
      <c r="CM101" s="10" t="str">
        <f>'役職希望調査 ・備考'!I71&amp;""</f>
        <v/>
      </c>
    </row>
    <row r="102" spans="1:91">
      <c r="A102" s="10" t="str">
        <f>時間希望調査!A72&amp;""</f>
        <v/>
      </c>
      <c r="B102" s="10" t="str">
        <f>時間希望調査!B72&amp;""</f>
        <v/>
      </c>
      <c r="C102" s="10" t="str">
        <f>時間希望調査!C72&amp;""</f>
        <v/>
      </c>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0">
        <f t="shared" si="107"/>
        <v>0</v>
      </c>
      <c r="BC102" s="10">
        <f>時間希望調査!D72</f>
        <v>0</v>
      </c>
      <c r="BD102" s="10" t="str">
        <f>'役職希望調査 ・備考'!D72&amp;""</f>
        <v/>
      </c>
      <c r="BE102" s="10" t="str">
        <f>'役職希望調査 ・備考'!E72&amp;""</f>
        <v/>
      </c>
      <c r="BF102" s="10" t="str">
        <f>'役職希望調査 ・備考'!F72&amp;""</f>
        <v/>
      </c>
      <c r="BG102" s="10" t="str">
        <f>'役職希望調査 ・備考'!G72&amp;""</f>
        <v/>
      </c>
      <c r="BH102" s="10" t="str">
        <f>'役職希望調査 ・備考'!H72&amp;""</f>
        <v/>
      </c>
      <c r="BI102" s="10">
        <f t="shared" si="77"/>
        <v>0</v>
      </c>
      <c r="BJ102" s="10">
        <f t="shared" si="78"/>
        <v>0</v>
      </c>
      <c r="BK102" s="10">
        <f t="shared" si="79"/>
        <v>0</v>
      </c>
      <c r="BL102" s="10">
        <f t="shared" si="80"/>
        <v>0</v>
      </c>
      <c r="BM102" s="10">
        <f t="shared" si="81"/>
        <v>0</v>
      </c>
      <c r="BN102" s="10">
        <f t="shared" si="82"/>
        <v>0</v>
      </c>
      <c r="BO102" s="10">
        <f t="shared" si="83"/>
        <v>48</v>
      </c>
      <c r="BP102" s="10">
        <f t="shared" si="84"/>
        <v>48</v>
      </c>
      <c r="BQ102" s="10">
        <f t="shared" si="85"/>
        <v>47</v>
      </c>
      <c r="BR102" s="10">
        <f t="shared" si="86"/>
        <v>46</v>
      </c>
      <c r="BS102" s="10">
        <f t="shared" si="87"/>
        <v>45</v>
      </c>
      <c r="BT102" s="10">
        <f t="shared" si="88"/>
        <v>44</v>
      </c>
      <c r="BU102" s="10">
        <f t="shared" si="89"/>
        <v>43</v>
      </c>
      <c r="BV102" s="10">
        <f t="shared" si="90"/>
        <v>42</v>
      </c>
      <c r="BW102" s="10">
        <f t="shared" si="91"/>
        <v>41</v>
      </c>
      <c r="BX102" s="10">
        <f t="shared" si="92"/>
        <v>40</v>
      </c>
      <c r="BY102" s="10">
        <f t="shared" si="93"/>
        <v>39</v>
      </c>
      <c r="BZ102" s="10">
        <f t="shared" si="94"/>
        <v>38</v>
      </c>
      <c r="CA102" s="10">
        <f t="shared" si="95"/>
        <v>37</v>
      </c>
      <c r="CB102" s="10">
        <f t="shared" si="96"/>
        <v>36</v>
      </c>
      <c r="CC102" s="10">
        <f t="shared" si="97"/>
        <v>35</v>
      </c>
      <c r="CD102" s="10">
        <f t="shared" si="98"/>
        <v>34</v>
      </c>
      <c r="CE102" s="10">
        <f t="shared" si="99"/>
        <v>33</v>
      </c>
      <c r="CF102" s="10">
        <f t="shared" si="100"/>
        <v>32</v>
      </c>
      <c r="CG102" s="10">
        <f t="shared" si="101"/>
        <v>31</v>
      </c>
      <c r="CH102" s="10">
        <f t="shared" si="102"/>
        <v>30</v>
      </c>
      <c r="CI102" s="10">
        <f t="shared" si="103"/>
        <v>29</v>
      </c>
      <c r="CJ102" s="10">
        <f t="shared" si="104"/>
        <v>28</v>
      </c>
      <c r="CK102" s="10">
        <f t="shared" si="105"/>
        <v>27</v>
      </c>
      <c r="CL102" s="10">
        <f t="shared" si="106"/>
        <v>26</v>
      </c>
      <c r="CM102" s="10" t="str">
        <f>'役職希望調査 ・備考'!I72&amp;""</f>
        <v/>
      </c>
    </row>
    <row r="103" spans="1:91">
      <c r="A103" s="10" t="str">
        <f>時間希望調査!A73&amp;""</f>
        <v/>
      </c>
      <c r="B103" s="10" t="str">
        <f>時間希望調査!B73&amp;""</f>
        <v/>
      </c>
      <c r="C103" s="10" t="str">
        <f>時間希望調査!C73&amp;""</f>
        <v/>
      </c>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0">
        <f t="shared" si="107"/>
        <v>0</v>
      </c>
      <c r="BC103" s="10">
        <f>時間希望調査!D73</f>
        <v>0</v>
      </c>
      <c r="BD103" s="10" t="str">
        <f>'役職希望調査 ・備考'!D73&amp;""</f>
        <v/>
      </c>
      <c r="BE103" s="10" t="str">
        <f>'役職希望調査 ・備考'!E73&amp;""</f>
        <v/>
      </c>
      <c r="BF103" s="10" t="str">
        <f>'役職希望調査 ・備考'!F73&amp;""</f>
        <v/>
      </c>
      <c r="BG103" s="10" t="str">
        <f>'役職希望調査 ・備考'!G73&amp;""</f>
        <v/>
      </c>
      <c r="BH103" s="10" t="str">
        <f>'役職希望調査 ・備考'!H73&amp;""</f>
        <v/>
      </c>
      <c r="BI103" s="10">
        <f t="shared" si="77"/>
        <v>0</v>
      </c>
      <c r="BJ103" s="10">
        <f t="shared" si="78"/>
        <v>0</v>
      </c>
      <c r="BK103" s="10">
        <f t="shared" si="79"/>
        <v>0</v>
      </c>
      <c r="BL103" s="10">
        <f t="shared" si="80"/>
        <v>0</v>
      </c>
      <c r="BM103" s="10">
        <f t="shared" si="81"/>
        <v>0</v>
      </c>
      <c r="BN103" s="10">
        <f t="shared" si="82"/>
        <v>0</v>
      </c>
      <c r="BO103" s="10">
        <f t="shared" si="83"/>
        <v>48</v>
      </c>
      <c r="BP103" s="10">
        <f t="shared" si="84"/>
        <v>48</v>
      </c>
      <c r="BQ103" s="10">
        <f t="shared" si="85"/>
        <v>47</v>
      </c>
      <c r="BR103" s="10">
        <f t="shared" si="86"/>
        <v>46</v>
      </c>
      <c r="BS103" s="10">
        <f t="shared" si="87"/>
        <v>45</v>
      </c>
      <c r="BT103" s="10">
        <f t="shared" si="88"/>
        <v>44</v>
      </c>
      <c r="BU103" s="10">
        <f t="shared" si="89"/>
        <v>43</v>
      </c>
      <c r="BV103" s="10">
        <f t="shared" si="90"/>
        <v>42</v>
      </c>
      <c r="BW103" s="10">
        <f t="shared" si="91"/>
        <v>41</v>
      </c>
      <c r="BX103" s="10">
        <f t="shared" si="92"/>
        <v>40</v>
      </c>
      <c r="BY103" s="10">
        <f t="shared" si="93"/>
        <v>39</v>
      </c>
      <c r="BZ103" s="10">
        <f t="shared" si="94"/>
        <v>38</v>
      </c>
      <c r="CA103" s="10">
        <f t="shared" si="95"/>
        <v>37</v>
      </c>
      <c r="CB103" s="10">
        <f t="shared" si="96"/>
        <v>36</v>
      </c>
      <c r="CC103" s="10">
        <f t="shared" si="97"/>
        <v>35</v>
      </c>
      <c r="CD103" s="10">
        <f t="shared" si="98"/>
        <v>34</v>
      </c>
      <c r="CE103" s="10">
        <f t="shared" si="99"/>
        <v>33</v>
      </c>
      <c r="CF103" s="10">
        <f t="shared" si="100"/>
        <v>32</v>
      </c>
      <c r="CG103" s="10">
        <f t="shared" si="101"/>
        <v>31</v>
      </c>
      <c r="CH103" s="10">
        <f t="shared" si="102"/>
        <v>30</v>
      </c>
      <c r="CI103" s="10">
        <f t="shared" si="103"/>
        <v>29</v>
      </c>
      <c r="CJ103" s="10">
        <f t="shared" si="104"/>
        <v>28</v>
      </c>
      <c r="CK103" s="10">
        <f t="shared" si="105"/>
        <v>27</v>
      </c>
      <c r="CL103" s="10">
        <f t="shared" si="106"/>
        <v>26</v>
      </c>
      <c r="CM103" s="10" t="str">
        <f>'役職希望調査 ・備考'!I73&amp;""</f>
        <v/>
      </c>
    </row>
    <row r="104" spans="1:91">
      <c r="A104" s="10" t="str">
        <f>時間希望調査!A74&amp;""</f>
        <v/>
      </c>
      <c r="B104" s="10" t="str">
        <f>時間希望調査!B74&amp;""</f>
        <v/>
      </c>
      <c r="C104" s="10" t="str">
        <f>時間希望調査!C74&amp;""</f>
        <v/>
      </c>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0">
        <f t="shared" si="107"/>
        <v>0</v>
      </c>
      <c r="BC104" s="10">
        <f>時間希望調査!D74</f>
        <v>0</v>
      </c>
      <c r="BD104" s="10" t="str">
        <f>'役職希望調査 ・備考'!D74&amp;""</f>
        <v/>
      </c>
      <c r="BE104" s="10" t="str">
        <f>'役職希望調査 ・備考'!E74&amp;""</f>
        <v/>
      </c>
      <c r="BF104" s="10" t="str">
        <f>'役職希望調査 ・備考'!F74&amp;""</f>
        <v/>
      </c>
      <c r="BG104" s="10" t="str">
        <f>'役職希望調査 ・備考'!G74&amp;""</f>
        <v/>
      </c>
      <c r="BH104" s="10" t="str">
        <f>'役職希望調査 ・備考'!H74&amp;""</f>
        <v/>
      </c>
      <c r="BI104" s="10">
        <f t="shared" si="77"/>
        <v>0</v>
      </c>
      <c r="BJ104" s="10">
        <f t="shared" si="78"/>
        <v>0</v>
      </c>
      <c r="BK104" s="10">
        <f t="shared" si="79"/>
        <v>0</v>
      </c>
      <c r="BL104" s="10">
        <f t="shared" si="80"/>
        <v>0</v>
      </c>
      <c r="BM104" s="10">
        <f t="shared" si="81"/>
        <v>0</v>
      </c>
      <c r="BN104" s="10">
        <f t="shared" si="82"/>
        <v>0</v>
      </c>
      <c r="BO104" s="10">
        <f t="shared" si="83"/>
        <v>48</v>
      </c>
      <c r="BP104" s="10">
        <f t="shared" si="84"/>
        <v>48</v>
      </c>
      <c r="BQ104" s="10">
        <f t="shared" si="85"/>
        <v>47</v>
      </c>
      <c r="BR104" s="10">
        <f t="shared" si="86"/>
        <v>46</v>
      </c>
      <c r="BS104" s="10">
        <f t="shared" si="87"/>
        <v>45</v>
      </c>
      <c r="BT104" s="10">
        <f t="shared" si="88"/>
        <v>44</v>
      </c>
      <c r="BU104" s="10">
        <f t="shared" si="89"/>
        <v>43</v>
      </c>
      <c r="BV104" s="10">
        <f t="shared" si="90"/>
        <v>42</v>
      </c>
      <c r="BW104" s="10">
        <f t="shared" si="91"/>
        <v>41</v>
      </c>
      <c r="BX104" s="10">
        <f t="shared" si="92"/>
        <v>40</v>
      </c>
      <c r="BY104" s="10">
        <f t="shared" si="93"/>
        <v>39</v>
      </c>
      <c r="BZ104" s="10">
        <f t="shared" si="94"/>
        <v>38</v>
      </c>
      <c r="CA104" s="10">
        <f t="shared" si="95"/>
        <v>37</v>
      </c>
      <c r="CB104" s="10">
        <f t="shared" si="96"/>
        <v>36</v>
      </c>
      <c r="CC104" s="10">
        <f t="shared" si="97"/>
        <v>35</v>
      </c>
      <c r="CD104" s="10">
        <f t="shared" si="98"/>
        <v>34</v>
      </c>
      <c r="CE104" s="10">
        <f t="shared" si="99"/>
        <v>33</v>
      </c>
      <c r="CF104" s="10">
        <f t="shared" si="100"/>
        <v>32</v>
      </c>
      <c r="CG104" s="10">
        <f t="shared" si="101"/>
        <v>31</v>
      </c>
      <c r="CH104" s="10">
        <f t="shared" si="102"/>
        <v>30</v>
      </c>
      <c r="CI104" s="10">
        <f t="shared" si="103"/>
        <v>29</v>
      </c>
      <c r="CJ104" s="10">
        <f t="shared" si="104"/>
        <v>28</v>
      </c>
      <c r="CK104" s="10">
        <f t="shared" si="105"/>
        <v>27</v>
      </c>
      <c r="CL104" s="10">
        <f t="shared" si="106"/>
        <v>26</v>
      </c>
      <c r="CM104" s="10" t="str">
        <f>'役職希望調査 ・備考'!I74&amp;""</f>
        <v/>
      </c>
    </row>
    <row r="105" spans="1:91">
      <c r="A105" s="10" t="str">
        <f>時間希望調査!A75&amp;""</f>
        <v/>
      </c>
      <c r="B105" s="10" t="str">
        <f>時間希望調査!B75&amp;""</f>
        <v/>
      </c>
      <c r="C105" s="10" t="str">
        <f>時間希望調査!C75&amp;""</f>
        <v/>
      </c>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0">
        <f t="shared" si="107"/>
        <v>0</v>
      </c>
      <c r="BC105" s="10">
        <f>時間希望調査!D75</f>
        <v>0</v>
      </c>
      <c r="BD105" s="10" t="str">
        <f>'役職希望調査 ・備考'!D75&amp;""</f>
        <v/>
      </c>
      <c r="BE105" s="10" t="str">
        <f>'役職希望調査 ・備考'!E75&amp;""</f>
        <v/>
      </c>
      <c r="BF105" s="10" t="str">
        <f>'役職希望調査 ・備考'!F75&amp;""</f>
        <v/>
      </c>
      <c r="BG105" s="10" t="str">
        <f>'役職希望調査 ・備考'!G75&amp;""</f>
        <v/>
      </c>
      <c r="BH105" s="10" t="str">
        <f>'役職希望調査 ・備考'!H75&amp;""</f>
        <v/>
      </c>
      <c r="BI105" s="10">
        <f t="shared" si="77"/>
        <v>0</v>
      </c>
      <c r="BJ105" s="10">
        <f t="shared" si="78"/>
        <v>0</v>
      </c>
      <c r="BK105" s="10">
        <f t="shared" si="79"/>
        <v>0</v>
      </c>
      <c r="BL105" s="10">
        <f t="shared" si="80"/>
        <v>0</v>
      </c>
      <c r="BM105" s="10">
        <f t="shared" si="81"/>
        <v>0</v>
      </c>
      <c r="BN105" s="10">
        <f t="shared" si="82"/>
        <v>0</v>
      </c>
      <c r="BO105" s="10">
        <f t="shared" si="83"/>
        <v>48</v>
      </c>
      <c r="BP105" s="10">
        <f t="shared" si="84"/>
        <v>48</v>
      </c>
      <c r="BQ105" s="10">
        <f t="shared" si="85"/>
        <v>47</v>
      </c>
      <c r="BR105" s="10">
        <f t="shared" si="86"/>
        <v>46</v>
      </c>
      <c r="BS105" s="10">
        <f t="shared" si="87"/>
        <v>45</v>
      </c>
      <c r="BT105" s="10">
        <f t="shared" si="88"/>
        <v>44</v>
      </c>
      <c r="BU105" s="10">
        <f t="shared" si="89"/>
        <v>43</v>
      </c>
      <c r="BV105" s="10">
        <f t="shared" si="90"/>
        <v>42</v>
      </c>
      <c r="BW105" s="10">
        <f t="shared" si="91"/>
        <v>41</v>
      </c>
      <c r="BX105" s="10">
        <f t="shared" si="92"/>
        <v>40</v>
      </c>
      <c r="BY105" s="10">
        <f t="shared" si="93"/>
        <v>39</v>
      </c>
      <c r="BZ105" s="10">
        <f t="shared" si="94"/>
        <v>38</v>
      </c>
      <c r="CA105" s="10">
        <f t="shared" si="95"/>
        <v>37</v>
      </c>
      <c r="CB105" s="10">
        <f t="shared" si="96"/>
        <v>36</v>
      </c>
      <c r="CC105" s="10">
        <f t="shared" si="97"/>
        <v>35</v>
      </c>
      <c r="CD105" s="10">
        <f t="shared" si="98"/>
        <v>34</v>
      </c>
      <c r="CE105" s="10">
        <f t="shared" si="99"/>
        <v>33</v>
      </c>
      <c r="CF105" s="10">
        <f t="shared" si="100"/>
        <v>32</v>
      </c>
      <c r="CG105" s="10">
        <f t="shared" si="101"/>
        <v>31</v>
      </c>
      <c r="CH105" s="10">
        <f t="shared" si="102"/>
        <v>30</v>
      </c>
      <c r="CI105" s="10">
        <f t="shared" si="103"/>
        <v>29</v>
      </c>
      <c r="CJ105" s="10">
        <f t="shared" si="104"/>
        <v>28</v>
      </c>
      <c r="CK105" s="10">
        <f t="shared" si="105"/>
        <v>27</v>
      </c>
      <c r="CL105" s="10">
        <f t="shared" si="106"/>
        <v>26</v>
      </c>
      <c r="CM105" s="10" t="str">
        <f>'役職希望調査 ・備考'!I75&amp;""</f>
        <v/>
      </c>
    </row>
    <row r="106" spans="1:91">
      <c r="A106" s="10" t="str">
        <f>時間希望調査!A76&amp;""</f>
        <v/>
      </c>
      <c r="B106" s="10" t="str">
        <f>時間希望調査!B76&amp;""</f>
        <v/>
      </c>
      <c r="C106" s="10" t="str">
        <f>時間希望調査!C76&amp;""</f>
        <v/>
      </c>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0">
        <f t="shared" si="107"/>
        <v>0</v>
      </c>
      <c r="BC106" s="10">
        <f>時間希望調査!D76</f>
        <v>0</v>
      </c>
      <c r="BD106" s="10" t="str">
        <f>'役職希望調査 ・備考'!D76&amp;""</f>
        <v/>
      </c>
      <c r="BE106" s="10" t="str">
        <f>'役職希望調査 ・備考'!E76&amp;""</f>
        <v/>
      </c>
      <c r="BF106" s="10" t="str">
        <f>'役職希望調査 ・備考'!F76&amp;""</f>
        <v/>
      </c>
      <c r="BG106" s="10" t="str">
        <f>'役職希望調査 ・備考'!G76&amp;""</f>
        <v/>
      </c>
      <c r="BH106" s="10" t="str">
        <f>'役職希望調査 ・備考'!H76&amp;""</f>
        <v/>
      </c>
      <c r="BI106" s="10">
        <f t="shared" si="77"/>
        <v>0</v>
      </c>
      <c r="BJ106" s="10">
        <f t="shared" si="78"/>
        <v>0</v>
      </c>
      <c r="BK106" s="10">
        <f t="shared" si="79"/>
        <v>0</v>
      </c>
      <c r="BL106" s="10">
        <f t="shared" si="80"/>
        <v>0</v>
      </c>
      <c r="BM106" s="10">
        <f t="shared" si="81"/>
        <v>0</v>
      </c>
      <c r="BN106" s="10">
        <f t="shared" si="82"/>
        <v>0</v>
      </c>
      <c r="BO106" s="10">
        <f t="shared" si="83"/>
        <v>48</v>
      </c>
      <c r="BP106" s="10">
        <f t="shared" si="84"/>
        <v>48</v>
      </c>
      <c r="BQ106" s="10">
        <f t="shared" si="85"/>
        <v>47</v>
      </c>
      <c r="BR106" s="10">
        <f t="shared" si="86"/>
        <v>46</v>
      </c>
      <c r="BS106" s="10">
        <f t="shared" si="87"/>
        <v>45</v>
      </c>
      <c r="BT106" s="10">
        <f t="shared" si="88"/>
        <v>44</v>
      </c>
      <c r="BU106" s="10">
        <f t="shared" si="89"/>
        <v>43</v>
      </c>
      <c r="BV106" s="10">
        <f t="shared" si="90"/>
        <v>42</v>
      </c>
      <c r="BW106" s="10">
        <f t="shared" si="91"/>
        <v>41</v>
      </c>
      <c r="BX106" s="10">
        <f t="shared" si="92"/>
        <v>40</v>
      </c>
      <c r="BY106" s="10">
        <f t="shared" si="93"/>
        <v>39</v>
      </c>
      <c r="BZ106" s="10">
        <f t="shared" si="94"/>
        <v>38</v>
      </c>
      <c r="CA106" s="10">
        <f t="shared" si="95"/>
        <v>37</v>
      </c>
      <c r="CB106" s="10">
        <f t="shared" si="96"/>
        <v>36</v>
      </c>
      <c r="CC106" s="10">
        <f t="shared" si="97"/>
        <v>35</v>
      </c>
      <c r="CD106" s="10">
        <f t="shared" si="98"/>
        <v>34</v>
      </c>
      <c r="CE106" s="10">
        <f t="shared" si="99"/>
        <v>33</v>
      </c>
      <c r="CF106" s="10">
        <f t="shared" si="100"/>
        <v>32</v>
      </c>
      <c r="CG106" s="10">
        <f t="shared" si="101"/>
        <v>31</v>
      </c>
      <c r="CH106" s="10">
        <f t="shared" si="102"/>
        <v>30</v>
      </c>
      <c r="CI106" s="10">
        <f t="shared" si="103"/>
        <v>29</v>
      </c>
      <c r="CJ106" s="10">
        <f t="shared" si="104"/>
        <v>28</v>
      </c>
      <c r="CK106" s="10">
        <f t="shared" si="105"/>
        <v>27</v>
      </c>
      <c r="CL106" s="10">
        <f t="shared" si="106"/>
        <v>26</v>
      </c>
      <c r="CM106" s="10" t="str">
        <f>'役職希望調査 ・備考'!I76&amp;""</f>
        <v/>
      </c>
    </row>
    <row r="107" spans="1:91">
      <c r="A107" s="10" t="str">
        <f>時間希望調査!A77&amp;""</f>
        <v/>
      </c>
      <c r="B107" s="10" t="str">
        <f>時間希望調査!B77&amp;""</f>
        <v/>
      </c>
      <c r="C107" s="10" t="str">
        <f>時間希望調査!C77&amp;""</f>
        <v/>
      </c>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0">
        <f t="shared" si="107"/>
        <v>0</v>
      </c>
      <c r="BC107" s="10">
        <f>時間希望調査!D77</f>
        <v>0</v>
      </c>
      <c r="BD107" s="10" t="str">
        <f>'役職希望調査 ・備考'!D77&amp;""</f>
        <v/>
      </c>
      <c r="BE107" s="10" t="str">
        <f>'役職希望調査 ・備考'!E77&amp;""</f>
        <v/>
      </c>
      <c r="BF107" s="10" t="str">
        <f>'役職希望調査 ・備考'!F77&amp;""</f>
        <v/>
      </c>
      <c r="BG107" s="10" t="str">
        <f>'役職希望調査 ・備考'!G77&amp;""</f>
        <v/>
      </c>
      <c r="BH107" s="10" t="str">
        <f>'役職希望調査 ・備考'!H77&amp;""</f>
        <v/>
      </c>
      <c r="BI107" s="10">
        <f t="shared" si="77"/>
        <v>0</v>
      </c>
      <c r="BJ107" s="10">
        <f t="shared" si="78"/>
        <v>0</v>
      </c>
      <c r="BK107" s="10">
        <f t="shared" si="79"/>
        <v>0</v>
      </c>
      <c r="BL107" s="10">
        <f t="shared" si="80"/>
        <v>0</v>
      </c>
      <c r="BM107" s="10">
        <f t="shared" si="81"/>
        <v>0</v>
      </c>
      <c r="BN107" s="10">
        <f t="shared" si="82"/>
        <v>0</v>
      </c>
      <c r="BO107" s="10">
        <f t="shared" si="83"/>
        <v>48</v>
      </c>
      <c r="BP107" s="10">
        <f t="shared" si="84"/>
        <v>48</v>
      </c>
      <c r="BQ107" s="10">
        <f t="shared" si="85"/>
        <v>47</v>
      </c>
      <c r="BR107" s="10">
        <f t="shared" si="86"/>
        <v>46</v>
      </c>
      <c r="BS107" s="10">
        <f t="shared" si="87"/>
        <v>45</v>
      </c>
      <c r="BT107" s="10">
        <f t="shared" si="88"/>
        <v>44</v>
      </c>
      <c r="BU107" s="10">
        <f t="shared" si="89"/>
        <v>43</v>
      </c>
      <c r="BV107" s="10">
        <f t="shared" si="90"/>
        <v>42</v>
      </c>
      <c r="BW107" s="10">
        <f t="shared" si="91"/>
        <v>41</v>
      </c>
      <c r="BX107" s="10">
        <f t="shared" si="92"/>
        <v>40</v>
      </c>
      <c r="BY107" s="10">
        <f t="shared" si="93"/>
        <v>39</v>
      </c>
      <c r="BZ107" s="10">
        <f t="shared" si="94"/>
        <v>38</v>
      </c>
      <c r="CA107" s="10">
        <f t="shared" si="95"/>
        <v>37</v>
      </c>
      <c r="CB107" s="10">
        <f t="shared" si="96"/>
        <v>36</v>
      </c>
      <c r="CC107" s="10">
        <f t="shared" si="97"/>
        <v>35</v>
      </c>
      <c r="CD107" s="10">
        <f t="shared" si="98"/>
        <v>34</v>
      </c>
      <c r="CE107" s="10">
        <f t="shared" si="99"/>
        <v>33</v>
      </c>
      <c r="CF107" s="10">
        <f t="shared" si="100"/>
        <v>32</v>
      </c>
      <c r="CG107" s="10">
        <f t="shared" si="101"/>
        <v>31</v>
      </c>
      <c r="CH107" s="10">
        <f t="shared" si="102"/>
        <v>30</v>
      </c>
      <c r="CI107" s="10">
        <f t="shared" si="103"/>
        <v>29</v>
      </c>
      <c r="CJ107" s="10">
        <f t="shared" si="104"/>
        <v>28</v>
      </c>
      <c r="CK107" s="10">
        <f t="shared" si="105"/>
        <v>27</v>
      </c>
      <c r="CL107" s="10">
        <f t="shared" si="106"/>
        <v>26</v>
      </c>
      <c r="CM107" s="10" t="str">
        <f>'役職希望調査 ・備考'!I77&amp;""</f>
        <v/>
      </c>
    </row>
    <row r="108" spans="1:91">
      <c r="A108" s="10" t="str">
        <f>時間希望調査!A78&amp;""</f>
        <v/>
      </c>
      <c r="B108" s="10" t="str">
        <f>時間希望調査!B78&amp;""</f>
        <v/>
      </c>
      <c r="C108" s="10" t="str">
        <f>時間希望調査!C78&amp;""</f>
        <v/>
      </c>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0">
        <f t="shared" si="107"/>
        <v>0</v>
      </c>
      <c r="BC108" s="10">
        <f>時間希望調査!D78</f>
        <v>0</v>
      </c>
      <c r="BD108" s="10" t="str">
        <f>'役職希望調査 ・備考'!D78&amp;""</f>
        <v/>
      </c>
      <c r="BE108" s="10" t="str">
        <f>'役職希望調査 ・備考'!E78&amp;""</f>
        <v/>
      </c>
      <c r="BF108" s="10" t="str">
        <f>'役職希望調査 ・備考'!F78&amp;""</f>
        <v/>
      </c>
      <c r="BG108" s="10" t="str">
        <f>'役職希望調査 ・備考'!G78&amp;""</f>
        <v/>
      </c>
      <c r="BH108" s="10" t="str">
        <f>'役職希望調査 ・備考'!H78&amp;""</f>
        <v/>
      </c>
      <c r="BI108" s="10">
        <f t="shared" si="77"/>
        <v>0</v>
      </c>
      <c r="BJ108" s="10">
        <f t="shared" si="78"/>
        <v>0</v>
      </c>
      <c r="BK108" s="10">
        <f t="shared" si="79"/>
        <v>0</v>
      </c>
      <c r="BL108" s="10">
        <f t="shared" si="80"/>
        <v>0</v>
      </c>
      <c r="BM108" s="10">
        <f t="shared" si="81"/>
        <v>0</v>
      </c>
      <c r="BN108" s="10">
        <f t="shared" si="82"/>
        <v>0</v>
      </c>
      <c r="BO108" s="10">
        <f t="shared" si="83"/>
        <v>48</v>
      </c>
      <c r="BP108" s="10">
        <f t="shared" si="84"/>
        <v>48</v>
      </c>
      <c r="BQ108" s="10">
        <f t="shared" si="85"/>
        <v>47</v>
      </c>
      <c r="BR108" s="10">
        <f t="shared" si="86"/>
        <v>46</v>
      </c>
      <c r="BS108" s="10">
        <f t="shared" si="87"/>
        <v>45</v>
      </c>
      <c r="BT108" s="10">
        <f t="shared" si="88"/>
        <v>44</v>
      </c>
      <c r="BU108" s="10">
        <f t="shared" si="89"/>
        <v>43</v>
      </c>
      <c r="BV108" s="10">
        <f t="shared" si="90"/>
        <v>42</v>
      </c>
      <c r="BW108" s="10">
        <f t="shared" si="91"/>
        <v>41</v>
      </c>
      <c r="BX108" s="10">
        <f t="shared" si="92"/>
        <v>40</v>
      </c>
      <c r="BY108" s="10">
        <f t="shared" si="93"/>
        <v>39</v>
      </c>
      <c r="BZ108" s="10">
        <f t="shared" si="94"/>
        <v>38</v>
      </c>
      <c r="CA108" s="10">
        <f t="shared" si="95"/>
        <v>37</v>
      </c>
      <c r="CB108" s="10">
        <f t="shared" si="96"/>
        <v>36</v>
      </c>
      <c r="CC108" s="10">
        <f t="shared" si="97"/>
        <v>35</v>
      </c>
      <c r="CD108" s="10">
        <f t="shared" si="98"/>
        <v>34</v>
      </c>
      <c r="CE108" s="10">
        <f t="shared" si="99"/>
        <v>33</v>
      </c>
      <c r="CF108" s="10">
        <f t="shared" si="100"/>
        <v>32</v>
      </c>
      <c r="CG108" s="10">
        <f t="shared" si="101"/>
        <v>31</v>
      </c>
      <c r="CH108" s="10">
        <f t="shared" si="102"/>
        <v>30</v>
      </c>
      <c r="CI108" s="10">
        <f t="shared" si="103"/>
        <v>29</v>
      </c>
      <c r="CJ108" s="10">
        <f t="shared" si="104"/>
        <v>28</v>
      </c>
      <c r="CK108" s="10">
        <f t="shared" si="105"/>
        <v>27</v>
      </c>
      <c r="CL108" s="10">
        <f t="shared" si="106"/>
        <v>26</v>
      </c>
      <c r="CM108" s="10" t="str">
        <f>'役職希望調査 ・備考'!I78&amp;""</f>
        <v/>
      </c>
    </row>
    <row r="109" spans="1:91">
      <c r="A109" s="10" t="str">
        <f>時間希望調査!A79&amp;""</f>
        <v/>
      </c>
      <c r="B109" s="10" t="str">
        <f>時間希望調査!B79&amp;""</f>
        <v/>
      </c>
      <c r="C109" s="10" t="str">
        <f>時間希望調査!C79&amp;""</f>
        <v/>
      </c>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0">
        <f t="shared" si="107"/>
        <v>0</v>
      </c>
      <c r="BC109" s="10">
        <f>時間希望調査!D79</f>
        <v>0</v>
      </c>
      <c r="BD109" s="10" t="str">
        <f>'役職希望調査 ・備考'!D79&amp;""</f>
        <v/>
      </c>
      <c r="BE109" s="10" t="str">
        <f>'役職希望調査 ・備考'!E79&amp;""</f>
        <v/>
      </c>
      <c r="BF109" s="10" t="str">
        <f>'役職希望調査 ・備考'!F79&amp;""</f>
        <v/>
      </c>
      <c r="BG109" s="10" t="str">
        <f>'役職希望調査 ・備考'!G79&amp;""</f>
        <v/>
      </c>
      <c r="BH109" s="10" t="str">
        <f>'役職希望調査 ・備考'!H79&amp;""</f>
        <v/>
      </c>
      <c r="BI109" s="10">
        <f t="shared" si="77"/>
        <v>0</v>
      </c>
      <c r="BJ109" s="10">
        <f t="shared" si="78"/>
        <v>0</v>
      </c>
      <c r="BK109" s="10">
        <f t="shared" si="79"/>
        <v>0</v>
      </c>
      <c r="BL109" s="10">
        <f t="shared" si="80"/>
        <v>0</v>
      </c>
      <c r="BM109" s="10">
        <f t="shared" si="81"/>
        <v>0</v>
      </c>
      <c r="BN109" s="10">
        <f t="shared" si="82"/>
        <v>0</v>
      </c>
      <c r="BO109" s="10">
        <f t="shared" si="83"/>
        <v>48</v>
      </c>
      <c r="BP109" s="10">
        <f t="shared" si="84"/>
        <v>48</v>
      </c>
      <c r="BQ109" s="10">
        <f t="shared" si="85"/>
        <v>47</v>
      </c>
      <c r="BR109" s="10">
        <f t="shared" si="86"/>
        <v>46</v>
      </c>
      <c r="BS109" s="10">
        <f t="shared" si="87"/>
        <v>45</v>
      </c>
      <c r="BT109" s="10">
        <f t="shared" si="88"/>
        <v>44</v>
      </c>
      <c r="BU109" s="10">
        <f t="shared" si="89"/>
        <v>43</v>
      </c>
      <c r="BV109" s="10">
        <f t="shared" si="90"/>
        <v>42</v>
      </c>
      <c r="BW109" s="10">
        <f t="shared" si="91"/>
        <v>41</v>
      </c>
      <c r="BX109" s="10">
        <f t="shared" si="92"/>
        <v>40</v>
      </c>
      <c r="BY109" s="10">
        <f t="shared" si="93"/>
        <v>39</v>
      </c>
      <c r="BZ109" s="10">
        <f t="shared" si="94"/>
        <v>38</v>
      </c>
      <c r="CA109" s="10">
        <f t="shared" si="95"/>
        <v>37</v>
      </c>
      <c r="CB109" s="10">
        <f t="shared" si="96"/>
        <v>36</v>
      </c>
      <c r="CC109" s="10">
        <f t="shared" si="97"/>
        <v>35</v>
      </c>
      <c r="CD109" s="10">
        <f t="shared" si="98"/>
        <v>34</v>
      </c>
      <c r="CE109" s="10">
        <f t="shared" si="99"/>
        <v>33</v>
      </c>
      <c r="CF109" s="10">
        <f t="shared" si="100"/>
        <v>32</v>
      </c>
      <c r="CG109" s="10">
        <f t="shared" si="101"/>
        <v>31</v>
      </c>
      <c r="CH109" s="10">
        <f t="shared" si="102"/>
        <v>30</v>
      </c>
      <c r="CI109" s="10">
        <f t="shared" si="103"/>
        <v>29</v>
      </c>
      <c r="CJ109" s="10">
        <f t="shared" si="104"/>
        <v>28</v>
      </c>
      <c r="CK109" s="10">
        <f t="shared" si="105"/>
        <v>27</v>
      </c>
      <c r="CL109" s="10">
        <f t="shared" si="106"/>
        <v>26</v>
      </c>
      <c r="CM109" s="10" t="str">
        <f>'役職希望調査 ・備考'!I79&amp;""</f>
        <v/>
      </c>
    </row>
    <row r="110" spans="1:91">
      <c r="A110" s="10" t="str">
        <f>時間希望調査!A80&amp;""</f>
        <v/>
      </c>
      <c r="B110" s="10" t="str">
        <f>時間希望調査!B80&amp;""</f>
        <v/>
      </c>
      <c r="C110" s="10" t="str">
        <f>時間希望調査!C80&amp;""</f>
        <v/>
      </c>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0">
        <f t="shared" si="107"/>
        <v>0</v>
      </c>
      <c r="BC110" s="10">
        <f>時間希望調査!D80</f>
        <v>0</v>
      </c>
      <c r="BD110" s="10" t="str">
        <f>'役職希望調査 ・備考'!D80&amp;""</f>
        <v/>
      </c>
      <c r="BE110" s="10" t="str">
        <f>'役職希望調査 ・備考'!E80&amp;""</f>
        <v/>
      </c>
      <c r="BF110" s="10" t="str">
        <f>'役職希望調査 ・備考'!F80&amp;""</f>
        <v/>
      </c>
      <c r="BG110" s="10" t="str">
        <f>'役職希望調査 ・備考'!G80&amp;""</f>
        <v/>
      </c>
      <c r="BH110" s="10" t="str">
        <f>'役職希望調査 ・備考'!H80&amp;""</f>
        <v/>
      </c>
      <c r="BI110" s="10">
        <f t="shared" si="77"/>
        <v>0</v>
      </c>
      <c r="BJ110" s="10">
        <f t="shared" si="78"/>
        <v>0</v>
      </c>
      <c r="BK110" s="10">
        <f t="shared" si="79"/>
        <v>0</v>
      </c>
      <c r="BL110" s="10">
        <f t="shared" si="80"/>
        <v>0</v>
      </c>
      <c r="BM110" s="10">
        <f t="shared" si="81"/>
        <v>0</v>
      </c>
      <c r="BN110" s="10">
        <f t="shared" si="82"/>
        <v>0</v>
      </c>
      <c r="BO110" s="10">
        <f t="shared" si="83"/>
        <v>48</v>
      </c>
      <c r="BP110" s="10">
        <f t="shared" si="84"/>
        <v>48</v>
      </c>
      <c r="BQ110" s="10">
        <f t="shared" si="85"/>
        <v>47</v>
      </c>
      <c r="BR110" s="10">
        <f t="shared" si="86"/>
        <v>46</v>
      </c>
      <c r="BS110" s="10">
        <f t="shared" si="87"/>
        <v>45</v>
      </c>
      <c r="BT110" s="10">
        <f t="shared" si="88"/>
        <v>44</v>
      </c>
      <c r="BU110" s="10">
        <f t="shared" si="89"/>
        <v>43</v>
      </c>
      <c r="BV110" s="10">
        <f t="shared" si="90"/>
        <v>42</v>
      </c>
      <c r="BW110" s="10">
        <f t="shared" si="91"/>
        <v>41</v>
      </c>
      <c r="BX110" s="10">
        <f t="shared" si="92"/>
        <v>40</v>
      </c>
      <c r="BY110" s="10">
        <f t="shared" si="93"/>
        <v>39</v>
      </c>
      <c r="BZ110" s="10">
        <f t="shared" si="94"/>
        <v>38</v>
      </c>
      <c r="CA110" s="10">
        <f t="shared" si="95"/>
        <v>37</v>
      </c>
      <c r="CB110" s="10">
        <f t="shared" si="96"/>
        <v>36</v>
      </c>
      <c r="CC110" s="10">
        <f t="shared" si="97"/>
        <v>35</v>
      </c>
      <c r="CD110" s="10">
        <f t="shared" si="98"/>
        <v>34</v>
      </c>
      <c r="CE110" s="10">
        <f t="shared" si="99"/>
        <v>33</v>
      </c>
      <c r="CF110" s="10">
        <f t="shared" si="100"/>
        <v>32</v>
      </c>
      <c r="CG110" s="10">
        <f t="shared" si="101"/>
        <v>31</v>
      </c>
      <c r="CH110" s="10">
        <f t="shared" si="102"/>
        <v>30</v>
      </c>
      <c r="CI110" s="10">
        <f t="shared" si="103"/>
        <v>29</v>
      </c>
      <c r="CJ110" s="10">
        <f t="shared" si="104"/>
        <v>28</v>
      </c>
      <c r="CK110" s="10">
        <f t="shared" si="105"/>
        <v>27</v>
      </c>
      <c r="CL110" s="10">
        <f t="shared" si="106"/>
        <v>26</v>
      </c>
      <c r="CM110" s="10" t="str">
        <f>'役職希望調査 ・備考'!I80&amp;""</f>
        <v/>
      </c>
    </row>
    <row r="111" spans="1:91">
      <c r="A111" s="10" t="str">
        <f>時間希望調査!A81&amp;""</f>
        <v/>
      </c>
      <c r="B111" s="10" t="str">
        <f>時間希望調査!B81&amp;""</f>
        <v/>
      </c>
      <c r="C111" s="10" t="str">
        <f>時間希望調査!C81&amp;""</f>
        <v/>
      </c>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0">
        <f t="shared" si="107"/>
        <v>0</v>
      </c>
      <c r="BC111" s="10">
        <f>時間希望調査!D81</f>
        <v>0</v>
      </c>
      <c r="BD111" s="10" t="str">
        <f>'役職希望調査 ・備考'!D81&amp;""</f>
        <v/>
      </c>
      <c r="BE111" s="10" t="str">
        <f>'役職希望調査 ・備考'!E81&amp;""</f>
        <v/>
      </c>
      <c r="BF111" s="10" t="str">
        <f>'役職希望調査 ・備考'!F81&amp;""</f>
        <v/>
      </c>
      <c r="BG111" s="10" t="str">
        <f>'役職希望調査 ・備考'!G81&amp;""</f>
        <v/>
      </c>
      <c r="BH111" s="10" t="str">
        <f>'役職希望調査 ・備考'!H81&amp;""</f>
        <v/>
      </c>
      <c r="BI111" s="10">
        <f t="shared" si="77"/>
        <v>0</v>
      </c>
      <c r="BJ111" s="10">
        <f t="shared" si="78"/>
        <v>0</v>
      </c>
      <c r="BK111" s="10">
        <f t="shared" si="79"/>
        <v>0</v>
      </c>
      <c r="BL111" s="10">
        <f t="shared" si="80"/>
        <v>0</v>
      </c>
      <c r="BM111" s="10">
        <f t="shared" si="81"/>
        <v>0</v>
      </c>
      <c r="BN111" s="10">
        <f t="shared" si="82"/>
        <v>0</v>
      </c>
      <c r="BO111" s="10">
        <f t="shared" si="83"/>
        <v>48</v>
      </c>
      <c r="BP111" s="10">
        <f t="shared" si="84"/>
        <v>48</v>
      </c>
      <c r="BQ111" s="10">
        <f t="shared" si="85"/>
        <v>47</v>
      </c>
      <c r="BR111" s="10">
        <f t="shared" si="86"/>
        <v>46</v>
      </c>
      <c r="BS111" s="10">
        <f t="shared" si="87"/>
        <v>45</v>
      </c>
      <c r="BT111" s="10">
        <f t="shared" si="88"/>
        <v>44</v>
      </c>
      <c r="BU111" s="10">
        <f t="shared" si="89"/>
        <v>43</v>
      </c>
      <c r="BV111" s="10">
        <f t="shared" si="90"/>
        <v>42</v>
      </c>
      <c r="BW111" s="10">
        <f t="shared" si="91"/>
        <v>41</v>
      </c>
      <c r="BX111" s="10">
        <f t="shared" si="92"/>
        <v>40</v>
      </c>
      <c r="BY111" s="10">
        <f t="shared" si="93"/>
        <v>39</v>
      </c>
      <c r="BZ111" s="10">
        <f t="shared" si="94"/>
        <v>38</v>
      </c>
      <c r="CA111" s="10">
        <f t="shared" si="95"/>
        <v>37</v>
      </c>
      <c r="CB111" s="10">
        <f t="shared" si="96"/>
        <v>36</v>
      </c>
      <c r="CC111" s="10">
        <f t="shared" si="97"/>
        <v>35</v>
      </c>
      <c r="CD111" s="10">
        <f t="shared" si="98"/>
        <v>34</v>
      </c>
      <c r="CE111" s="10">
        <f t="shared" si="99"/>
        <v>33</v>
      </c>
      <c r="CF111" s="10">
        <f t="shared" si="100"/>
        <v>32</v>
      </c>
      <c r="CG111" s="10">
        <f t="shared" si="101"/>
        <v>31</v>
      </c>
      <c r="CH111" s="10">
        <f t="shared" si="102"/>
        <v>30</v>
      </c>
      <c r="CI111" s="10">
        <f t="shared" si="103"/>
        <v>29</v>
      </c>
      <c r="CJ111" s="10">
        <f t="shared" si="104"/>
        <v>28</v>
      </c>
      <c r="CK111" s="10">
        <f t="shared" si="105"/>
        <v>27</v>
      </c>
      <c r="CL111" s="10">
        <f t="shared" si="106"/>
        <v>26</v>
      </c>
      <c r="CM111" s="10" t="str">
        <f>'役職希望調査 ・備考'!I81&amp;""</f>
        <v/>
      </c>
    </row>
    <row r="112" spans="1:91">
      <c r="A112" s="10" t="str">
        <f>時間希望調査!A82&amp;""</f>
        <v/>
      </c>
      <c r="B112" s="10" t="str">
        <f>時間希望調査!B82&amp;""</f>
        <v/>
      </c>
      <c r="C112" s="10" t="str">
        <f>時間希望調査!C82&amp;""</f>
        <v/>
      </c>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0">
        <f t="shared" si="107"/>
        <v>0</v>
      </c>
      <c r="BC112" s="10">
        <f>時間希望調査!D82</f>
        <v>0</v>
      </c>
      <c r="BD112" s="10" t="str">
        <f>'役職希望調査 ・備考'!D82&amp;""</f>
        <v/>
      </c>
      <c r="BE112" s="10" t="str">
        <f>'役職希望調査 ・備考'!E82&amp;""</f>
        <v/>
      </c>
      <c r="BF112" s="10" t="str">
        <f>'役職希望調査 ・備考'!F82&amp;""</f>
        <v/>
      </c>
      <c r="BG112" s="10" t="str">
        <f>'役職希望調査 ・備考'!G82&amp;""</f>
        <v/>
      </c>
      <c r="BH112" s="10" t="str">
        <f>'役職希望調査 ・備考'!H82&amp;""</f>
        <v/>
      </c>
      <c r="BI112" s="10">
        <f t="shared" si="77"/>
        <v>0</v>
      </c>
      <c r="BJ112" s="10">
        <f t="shared" si="78"/>
        <v>0</v>
      </c>
      <c r="BK112" s="10">
        <f t="shared" si="79"/>
        <v>0</v>
      </c>
      <c r="BL112" s="10">
        <f t="shared" si="80"/>
        <v>0</v>
      </c>
      <c r="BM112" s="10">
        <f t="shared" si="81"/>
        <v>0</v>
      </c>
      <c r="BN112" s="10">
        <f t="shared" si="82"/>
        <v>0</v>
      </c>
      <c r="BO112" s="10">
        <f t="shared" si="83"/>
        <v>48</v>
      </c>
      <c r="BP112" s="10">
        <f t="shared" si="84"/>
        <v>48</v>
      </c>
      <c r="BQ112" s="10">
        <f t="shared" si="85"/>
        <v>47</v>
      </c>
      <c r="BR112" s="10">
        <f t="shared" si="86"/>
        <v>46</v>
      </c>
      <c r="BS112" s="10">
        <f t="shared" si="87"/>
        <v>45</v>
      </c>
      <c r="BT112" s="10">
        <f t="shared" si="88"/>
        <v>44</v>
      </c>
      <c r="BU112" s="10">
        <f t="shared" si="89"/>
        <v>43</v>
      </c>
      <c r="BV112" s="10">
        <f t="shared" si="90"/>
        <v>42</v>
      </c>
      <c r="BW112" s="10">
        <f t="shared" si="91"/>
        <v>41</v>
      </c>
      <c r="BX112" s="10">
        <f t="shared" si="92"/>
        <v>40</v>
      </c>
      <c r="BY112" s="10">
        <f t="shared" si="93"/>
        <v>39</v>
      </c>
      <c r="BZ112" s="10">
        <f t="shared" si="94"/>
        <v>38</v>
      </c>
      <c r="CA112" s="10">
        <f t="shared" si="95"/>
        <v>37</v>
      </c>
      <c r="CB112" s="10">
        <f t="shared" si="96"/>
        <v>36</v>
      </c>
      <c r="CC112" s="10">
        <f t="shared" si="97"/>
        <v>35</v>
      </c>
      <c r="CD112" s="10">
        <f t="shared" si="98"/>
        <v>34</v>
      </c>
      <c r="CE112" s="10">
        <f t="shared" si="99"/>
        <v>33</v>
      </c>
      <c r="CF112" s="10">
        <f t="shared" si="100"/>
        <v>32</v>
      </c>
      <c r="CG112" s="10">
        <f t="shared" si="101"/>
        <v>31</v>
      </c>
      <c r="CH112" s="10">
        <f t="shared" si="102"/>
        <v>30</v>
      </c>
      <c r="CI112" s="10">
        <f t="shared" si="103"/>
        <v>29</v>
      </c>
      <c r="CJ112" s="10">
        <f t="shared" si="104"/>
        <v>28</v>
      </c>
      <c r="CK112" s="10">
        <f t="shared" si="105"/>
        <v>27</v>
      </c>
      <c r="CL112" s="10">
        <f t="shared" si="106"/>
        <v>26</v>
      </c>
      <c r="CM112" s="10" t="str">
        <f>'役職希望調査 ・備考'!I82&amp;""</f>
        <v/>
      </c>
    </row>
    <row r="113" spans="1:91">
      <c r="A113" s="10" t="str">
        <f>時間希望調査!A83&amp;""</f>
        <v/>
      </c>
      <c r="B113" s="10" t="str">
        <f>時間希望調査!B83&amp;""</f>
        <v/>
      </c>
      <c r="C113" s="10" t="str">
        <f>時間希望調査!C83&amp;""</f>
        <v/>
      </c>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0">
        <f t="shared" si="107"/>
        <v>0</v>
      </c>
      <c r="BC113" s="10">
        <f>時間希望調査!D83</f>
        <v>0</v>
      </c>
      <c r="BD113" s="10" t="str">
        <f>'役職希望調査 ・備考'!D83&amp;""</f>
        <v/>
      </c>
      <c r="BE113" s="10" t="str">
        <f>'役職希望調査 ・備考'!E83&amp;""</f>
        <v/>
      </c>
      <c r="BF113" s="10" t="str">
        <f>'役職希望調査 ・備考'!F83&amp;""</f>
        <v/>
      </c>
      <c r="BG113" s="10" t="str">
        <f>'役職希望調査 ・備考'!G83&amp;""</f>
        <v/>
      </c>
      <c r="BH113" s="10" t="str">
        <f>'役職希望調査 ・備考'!H83&amp;""</f>
        <v/>
      </c>
      <c r="BI113" s="10">
        <f t="shared" si="77"/>
        <v>0</v>
      </c>
      <c r="BJ113" s="10">
        <f t="shared" si="78"/>
        <v>0</v>
      </c>
      <c r="BK113" s="10">
        <f t="shared" si="79"/>
        <v>0</v>
      </c>
      <c r="BL113" s="10">
        <f t="shared" si="80"/>
        <v>0</v>
      </c>
      <c r="BM113" s="10">
        <f t="shared" si="81"/>
        <v>0</v>
      </c>
      <c r="BN113" s="10">
        <f t="shared" si="82"/>
        <v>0</v>
      </c>
      <c r="BO113" s="10">
        <f t="shared" si="83"/>
        <v>48</v>
      </c>
      <c r="BP113" s="10">
        <f t="shared" si="84"/>
        <v>48</v>
      </c>
      <c r="BQ113" s="10">
        <f t="shared" si="85"/>
        <v>47</v>
      </c>
      <c r="BR113" s="10">
        <f t="shared" si="86"/>
        <v>46</v>
      </c>
      <c r="BS113" s="10">
        <f t="shared" si="87"/>
        <v>45</v>
      </c>
      <c r="BT113" s="10">
        <f t="shared" si="88"/>
        <v>44</v>
      </c>
      <c r="BU113" s="10">
        <f t="shared" si="89"/>
        <v>43</v>
      </c>
      <c r="BV113" s="10">
        <f t="shared" si="90"/>
        <v>42</v>
      </c>
      <c r="BW113" s="10">
        <f t="shared" si="91"/>
        <v>41</v>
      </c>
      <c r="BX113" s="10">
        <f t="shared" si="92"/>
        <v>40</v>
      </c>
      <c r="BY113" s="10">
        <f t="shared" si="93"/>
        <v>39</v>
      </c>
      <c r="BZ113" s="10">
        <f t="shared" si="94"/>
        <v>38</v>
      </c>
      <c r="CA113" s="10">
        <f t="shared" si="95"/>
        <v>37</v>
      </c>
      <c r="CB113" s="10">
        <f t="shared" si="96"/>
        <v>36</v>
      </c>
      <c r="CC113" s="10">
        <f t="shared" si="97"/>
        <v>35</v>
      </c>
      <c r="CD113" s="10">
        <f t="shared" si="98"/>
        <v>34</v>
      </c>
      <c r="CE113" s="10">
        <f t="shared" si="99"/>
        <v>33</v>
      </c>
      <c r="CF113" s="10">
        <f t="shared" si="100"/>
        <v>32</v>
      </c>
      <c r="CG113" s="10">
        <f t="shared" si="101"/>
        <v>31</v>
      </c>
      <c r="CH113" s="10">
        <f t="shared" si="102"/>
        <v>30</v>
      </c>
      <c r="CI113" s="10">
        <f t="shared" si="103"/>
        <v>29</v>
      </c>
      <c r="CJ113" s="10">
        <f t="shared" si="104"/>
        <v>28</v>
      </c>
      <c r="CK113" s="10">
        <f t="shared" si="105"/>
        <v>27</v>
      </c>
      <c r="CL113" s="10">
        <f t="shared" si="106"/>
        <v>26</v>
      </c>
      <c r="CM113" s="10" t="str">
        <f>'役職希望調査 ・備考'!I83&amp;""</f>
        <v/>
      </c>
    </row>
    <row r="114" spans="1:91">
      <c r="A114" s="10" t="str">
        <f>時間希望調査!A84&amp;""</f>
        <v/>
      </c>
      <c r="B114" s="10" t="str">
        <f>時間希望調査!B84&amp;""</f>
        <v/>
      </c>
      <c r="C114" s="10" t="str">
        <f>時間希望調査!C84&amp;""</f>
        <v/>
      </c>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0">
        <f t="shared" si="107"/>
        <v>0</v>
      </c>
      <c r="BC114" s="10">
        <f>時間希望調査!D84</f>
        <v>0</v>
      </c>
      <c r="BD114" s="10" t="str">
        <f>'役職希望調査 ・備考'!D84&amp;""</f>
        <v/>
      </c>
      <c r="BE114" s="10" t="str">
        <f>'役職希望調査 ・備考'!E84&amp;""</f>
        <v/>
      </c>
      <c r="BF114" s="10" t="str">
        <f>'役職希望調査 ・備考'!F84&amp;""</f>
        <v/>
      </c>
      <c r="BG114" s="10" t="str">
        <f>'役職希望調査 ・備考'!G84&amp;""</f>
        <v/>
      </c>
      <c r="BH114" s="10" t="str">
        <f>'役職希望調査 ・備考'!H84&amp;""</f>
        <v/>
      </c>
      <c r="BI114" s="10">
        <f t="shared" si="77"/>
        <v>0</v>
      </c>
      <c r="BJ114" s="10">
        <f t="shared" si="78"/>
        <v>0</v>
      </c>
      <c r="BK114" s="10">
        <f t="shared" si="79"/>
        <v>0</v>
      </c>
      <c r="BL114" s="10">
        <f t="shared" si="80"/>
        <v>0</v>
      </c>
      <c r="BM114" s="10">
        <f t="shared" si="81"/>
        <v>0</v>
      </c>
      <c r="BN114" s="10">
        <f t="shared" si="82"/>
        <v>0</v>
      </c>
      <c r="BO114" s="10">
        <f t="shared" si="83"/>
        <v>48</v>
      </c>
      <c r="BP114" s="10">
        <f t="shared" si="84"/>
        <v>48</v>
      </c>
      <c r="BQ114" s="10">
        <f t="shared" si="85"/>
        <v>47</v>
      </c>
      <c r="BR114" s="10">
        <f t="shared" si="86"/>
        <v>46</v>
      </c>
      <c r="BS114" s="10">
        <f t="shared" si="87"/>
        <v>45</v>
      </c>
      <c r="BT114" s="10">
        <f t="shared" si="88"/>
        <v>44</v>
      </c>
      <c r="BU114" s="10">
        <f t="shared" si="89"/>
        <v>43</v>
      </c>
      <c r="BV114" s="10">
        <f t="shared" si="90"/>
        <v>42</v>
      </c>
      <c r="BW114" s="10">
        <f t="shared" si="91"/>
        <v>41</v>
      </c>
      <c r="BX114" s="10">
        <f t="shared" si="92"/>
        <v>40</v>
      </c>
      <c r="BY114" s="10">
        <f t="shared" si="93"/>
        <v>39</v>
      </c>
      <c r="BZ114" s="10">
        <f t="shared" si="94"/>
        <v>38</v>
      </c>
      <c r="CA114" s="10">
        <f t="shared" si="95"/>
        <v>37</v>
      </c>
      <c r="CB114" s="10">
        <f t="shared" si="96"/>
        <v>36</v>
      </c>
      <c r="CC114" s="10">
        <f t="shared" si="97"/>
        <v>35</v>
      </c>
      <c r="CD114" s="10">
        <f t="shared" si="98"/>
        <v>34</v>
      </c>
      <c r="CE114" s="10">
        <f t="shared" si="99"/>
        <v>33</v>
      </c>
      <c r="CF114" s="10">
        <f t="shared" si="100"/>
        <v>32</v>
      </c>
      <c r="CG114" s="10">
        <f t="shared" si="101"/>
        <v>31</v>
      </c>
      <c r="CH114" s="10">
        <f t="shared" si="102"/>
        <v>30</v>
      </c>
      <c r="CI114" s="10">
        <f t="shared" si="103"/>
        <v>29</v>
      </c>
      <c r="CJ114" s="10">
        <f t="shared" si="104"/>
        <v>28</v>
      </c>
      <c r="CK114" s="10">
        <f t="shared" si="105"/>
        <v>27</v>
      </c>
      <c r="CL114" s="10">
        <f t="shared" si="106"/>
        <v>26</v>
      </c>
      <c r="CM114" s="10" t="str">
        <f>'役職希望調査 ・備考'!I84&amp;""</f>
        <v/>
      </c>
    </row>
    <row r="115" spans="1:91">
      <c r="A115" s="10" t="str">
        <f>時間希望調査!A85&amp;""</f>
        <v/>
      </c>
      <c r="B115" s="10" t="str">
        <f>時間希望調査!B85&amp;""</f>
        <v/>
      </c>
      <c r="C115" s="10" t="str">
        <f>時間希望調査!C85&amp;""</f>
        <v/>
      </c>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0">
        <f t="shared" si="107"/>
        <v>0</v>
      </c>
      <c r="BC115" s="10">
        <f>時間希望調査!D85</f>
        <v>0</v>
      </c>
      <c r="BD115" s="10" t="str">
        <f>'役職希望調査 ・備考'!D85&amp;""</f>
        <v/>
      </c>
      <c r="BE115" s="10" t="str">
        <f>'役職希望調査 ・備考'!E85&amp;""</f>
        <v/>
      </c>
      <c r="BF115" s="10" t="str">
        <f>'役職希望調査 ・備考'!F85&amp;""</f>
        <v/>
      </c>
      <c r="BG115" s="10" t="str">
        <f>'役職希望調査 ・備考'!G85&amp;""</f>
        <v/>
      </c>
      <c r="BH115" s="10" t="str">
        <f>'役職希望調査 ・備考'!H85&amp;""</f>
        <v/>
      </c>
      <c r="BI115" s="10">
        <f t="shared" si="77"/>
        <v>0</v>
      </c>
      <c r="BJ115" s="10">
        <f t="shared" si="78"/>
        <v>0</v>
      </c>
      <c r="BK115" s="10">
        <f t="shared" si="79"/>
        <v>0</v>
      </c>
      <c r="BL115" s="10">
        <f t="shared" si="80"/>
        <v>0</v>
      </c>
      <c r="BM115" s="10">
        <f t="shared" si="81"/>
        <v>0</v>
      </c>
      <c r="BN115" s="10">
        <f t="shared" si="82"/>
        <v>0</v>
      </c>
      <c r="BO115" s="10">
        <f t="shared" si="83"/>
        <v>48</v>
      </c>
      <c r="BP115" s="10">
        <f t="shared" si="84"/>
        <v>48</v>
      </c>
      <c r="BQ115" s="10">
        <f t="shared" si="85"/>
        <v>47</v>
      </c>
      <c r="BR115" s="10">
        <f t="shared" si="86"/>
        <v>46</v>
      </c>
      <c r="BS115" s="10">
        <f t="shared" si="87"/>
        <v>45</v>
      </c>
      <c r="BT115" s="10">
        <f t="shared" si="88"/>
        <v>44</v>
      </c>
      <c r="BU115" s="10">
        <f t="shared" si="89"/>
        <v>43</v>
      </c>
      <c r="BV115" s="10">
        <f t="shared" si="90"/>
        <v>42</v>
      </c>
      <c r="BW115" s="10">
        <f t="shared" si="91"/>
        <v>41</v>
      </c>
      <c r="BX115" s="10">
        <f t="shared" si="92"/>
        <v>40</v>
      </c>
      <c r="BY115" s="10">
        <f t="shared" si="93"/>
        <v>39</v>
      </c>
      <c r="BZ115" s="10">
        <f t="shared" si="94"/>
        <v>38</v>
      </c>
      <c r="CA115" s="10">
        <f t="shared" si="95"/>
        <v>37</v>
      </c>
      <c r="CB115" s="10">
        <f t="shared" si="96"/>
        <v>36</v>
      </c>
      <c r="CC115" s="10">
        <f t="shared" si="97"/>
        <v>35</v>
      </c>
      <c r="CD115" s="10">
        <f t="shared" si="98"/>
        <v>34</v>
      </c>
      <c r="CE115" s="10">
        <f t="shared" si="99"/>
        <v>33</v>
      </c>
      <c r="CF115" s="10">
        <f t="shared" si="100"/>
        <v>32</v>
      </c>
      <c r="CG115" s="10">
        <f t="shared" si="101"/>
        <v>31</v>
      </c>
      <c r="CH115" s="10">
        <f t="shared" si="102"/>
        <v>30</v>
      </c>
      <c r="CI115" s="10">
        <f t="shared" si="103"/>
        <v>29</v>
      </c>
      <c r="CJ115" s="10">
        <f t="shared" si="104"/>
        <v>28</v>
      </c>
      <c r="CK115" s="10">
        <f t="shared" si="105"/>
        <v>27</v>
      </c>
      <c r="CL115" s="10">
        <f t="shared" si="106"/>
        <v>26</v>
      </c>
      <c r="CM115" s="10" t="str">
        <f>'役職希望調査 ・備考'!I85&amp;""</f>
        <v/>
      </c>
    </row>
    <row r="116" spans="1:91">
      <c r="A116" s="10" t="str">
        <f>時間希望調査!A86&amp;""</f>
        <v/>
      </c>
      <c r="B116" s="10" t="str">
        <f>時間希望調査!B86&amp;""</f>
        <v/>
      </c>
      <c r="C116" s="10" t="str">
        <f>時間希望調査!C86&amp;""</f>
        <v/>
      </c>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0">
        <f t="shared" si="107"/>
        <v>0</v>
      </c>
      <c r="BC116" s="10">
        <f>時間希望調査!D86</f>
        <v>0</v>
      </c>
      <c r="BD116" s="10" t="str">
        <f>'役職希望調査 ・備考'!D86&amp;""</f>
        <v/>
      </c>
      <c r="BE116" s="10" t="str">
        <f>'役職希望調査 ・備考'!E86&amp;""</f>
        <v/>
      </c>
      <c r="BF116" s="10" t="str">
        <f>'役職希望調査 ・備考'!F86&amp;""</f>
        <v/>
      </c>
      <c r="BG116" s="10" t="str">
        <f>'役職希望調査 ・備考'!G86&amp;""</f>
        <v/>
      </c>
      <c r="BH116" s="10" t="str">
        <f>'役職希望調査 ・備考'!H86&amp;""</f>
        <v/>
      </c>
      <c r="BI116" s="10">
        <f t="shared" si="77"/>
        <v>0</v>
      </c>
      <c r="BJ116" s="10">
        <f t="shared" si="78"/>
        <v>0</v>
      </c>
      <c r="BK116" s="10">
        <f t="shared" si="79"/>
        <v>0</v>
      </c>
      <c r="BL116" s="10">
        <f t="shared" si="80"/>
        <v>0</v>
      </c>
      <c r="BM116" s="10">
        <f t="shared" si="81"/>
        <v>0</v>
      </c>
      <c r="BN116" s="10">
        <f t="shared" si="82"/>
        <v>0</v>
      </c>
      <c r="BO116" s="10">
        <f t="shared" si="83"/>
        <v>48</v>
      </c>
      <c r="BP116" s="10">
        <f t="shared" si="84"/>
        <v>48</v>
      </c>
      <c r="BQ116" s="10">
        <f t="shared" si="85"/>
        <v>47</v>
      </c>
      <c r="BR116" s="10">
        <f t="shared" si="86"/>
        <v>46</v>
      </c>
      <c r="BS116" s="10">
        <f t="shared" si="87"/>
        <v>45</v>
      </c>
      <c r="BT116" s="10">
        <f t="shared" si="88"/>
        <v>44</v>
      </c>
      <c r="BU116" s="10">
        <f t="shared" si="89"/>
        <v>43</v>
      </c>
      <c r="BV116" s="10">
        <f t="shared" si="90"/>
        <v>42</v>
      </c>
      <c r="BW116" s="10">
        <f t="shared" si="91"/>
        <v>41</v>
      </c>
      <c r="BX116" s="10">
        <f t="shared" si="92"/>
        <v>40</v>
      </c>
      <c r="BY116" s="10">
        <f t="shared" si="93"/>
        <v>39</v>
      </c>
      <c r="BZ116" s="10">
        <f t="shared" si="94"/>
        <v>38</v>
      </c>
      <c r="CA116" s="10">
        <f t="shared" si="95"/>
        <v>37</v>
      </c>
      <c r="CB116" s="10">
        <f t="shared" si="96"/>
        <v>36</v>
      </c>
      <c r="CC116" s="10">
        <f t="shared" si="97"/>
        <v>35</v>
      </c>
      <c r="CD116" s="10">
        <f t="shared" si="98"/>
        <v>34</v>
      </c>
      <c r="CE116" s="10">
        <f t="shared" si="99"/>
        <v>33</v>
      </c>
      <c r="CF116" s="10">
        <f t="shared" si="100"/>
        <v>32</v>
      </c>
      <c r="CG116" s="10">
        <f t="shared" si="101"/>
        <v>31</v>
      </c>
      <c r="CH116" s="10">
        <f t="shared" si="102"/>
        <v>30</v>
      </c>
      <c r="CI116" s="10">
        <f t="shared" si="103"/>
        <v>29</v>
      </c>
      <c r="CJ116" s="10">
        <f t="shared" si="104"/>
        <v>28</v>
      </c>
      <c r="CK116" s="10">
        <f t="shared" si="105"/>
        <v>27</v>
      </c>
      <c r="CL116" s="10">
        <f t="shared" si="106"/>
        <v>26</v>
      </c>
      <c r="CM116" s="10" t="str">
        <f>'役職希望調査 ・備考'!I86&amp;""</f>
        <v/>
      </c>
    </row>
    <row r="117" spans="1:91">
      <c r="A117" s="10" t="str">
        <f>時間希望調査!A87&amp;""</f>
        <v/>
      </c>
      <c r="B117" s="10" t="str">
        <f>時間希望調査!B87&amp;""</f>
        <v/>
      </c>
      <c r="C117" s="10" t="str">
        <f>時間希望調査!C87&amp;""</f>
        <v/>
      </c>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0">
        <f t="shared" si="107"/>
        <v>0</v>
      </c>
      <c r="BC117" s="10">
        <f>時間希望調査!D87</f>
        <v>0</v>
      </c>
      <c r="BD117" s="10" t="str">
        <f>'役職希望調査 ・備考'!D87&amp;""</f>
        <v/>
      </c>
      <c r="BE117" s="10" t="str">
        <f>'役職希望調査 ・備考'!E87&amp;""</f>
        <v/>
      </c>
      <c r="BF117" s="10" t="str">
        <f>'役職希望調査 ・備考'!F87&amp;""</f>
        <v/>
      </c>
      <c r="BG117" s="10" t="str">
        <f>'役職希望調査 ・備考'!G87&amp;""</f>
        <v/>
      </c>
      <c r="BH117" s="10" t="str">
        <f>'役職希望調査 ・備考'!H87&amp;""</f>
        <v/>
      </c>
      <c r="BI117" s="10">
        <f t="shared" si="77"/>
        <v>0</v>
      </c>
      <c r="BJ117" s="10">
        <f t="shared" si="78"/>
        <v>0</v>
      </c>
      <c r="BK117" s="10">
        <f t="shared" si="79"/>
        <v>0</v>
      </c>
      <c r="BL117" s="10">
        <f t="shared" si="80"/>
        <v>0</v>
      </c>
      <c r="BM117" s="10">
        <f t="shared" si="81"/>
        <v>0</v>
      </c>
      <c r="BN117" s="10">
        <f t="shared" si="82"/>
        <v>0</v>
      </c>
      <c r="BO117" s="10">
        <f t="shared" si="83"/>
        <v>48</v>
      </c>
      <c r="BP117" s="10">
        <f t="shared" si="84"/>
        <v>48</v>
      </c>
      <c r="BQ117" s="10">
        <f t="shared" si="85"/>
        <v>47</v>
      </c>
      <c r="BR117" s="10">
        <f t="shared" si="86"/>
        <v>46</v>
      </c>
      <c r="BS117" s="10">
        <f t="shared" si="87"/>
        <v>45</v>
      </c>
      <c r="BT117" s="10">
        <f t="shared" si="88"/>
        <v>44</v>
      </c>
      <c r="BU117" s="10">
        <f t="shared" si="89"/>
        <v>43</v>
      </c>
      <c r="BV117" s="10">
        <f t="shared" si="90"/>
        <v>42</v>
      </c>
      <c r="BW117" s="10">
        <f t="shared" si="91"/>
        <v>41</v>
      </c>
      <c r="BX117" s="10">
        <f t="shared" si="92"/>
        <v>40</v>
      </c>
      <c r="BY117" s="10">
        <f t="shared" si="93"/>
        <v>39</v>
      </c>
      <c r="BZ117" s="10">
        <f t="shared" si="94"/>
        <v>38</v>
      </c>
      <c r="CA117" s="10">
        <f t="shared" si="95"/>
        <v>37</v>
      </c>
      <c r="CB117" s="10">
        <f t="shared" si="96"/>
        <v>36</v>
      </c>
      <c r="CC117" s="10">
        <f t="shared" si="97"/>
        <v>35</v>
      </c>
      <c r="CD117" s="10">
        <f t="shared" si="98"/>
        <v>34</v>
      </c>
      <c r="CE117" s="10">
        <f t="shared" si="99"/>
        <v>33</v>
      </c>
      <c r="CF117" s="10">
        <f t="shared" si="100"/>
        <v>32</v>
      </c>
      <c r="CG117" s="10">
        <f t="shared" si="101"/>
        <v>31</v>
      </c>
      <c r="CH117" s="10">
        <f t="shared" si="102"/>
        <v>30</v>
      </c>
      <c r="CI117" s="10">
        <f t="shared" si="103"/>
        <v>29</v>
      </c>
      <c r="CJ117" s="10">
        <f t="shared" si="104"/>
        <v>28</v>
      </c>
      <c r="CK117" s="10">
        <f t="shared" si="105"/>
        <v>27</v>
      </c>
      <c r="CL117" s="10">
        <f t="shared" si="106"/>
        <v>26</v>
      </c>
      <c r="CM117" s="10" t="str">
        <f>'役職希望調査 ・備考'!I87&amp;""</f>
        <v/>
      </c>
    </row>
    <row r="118" spans="1:91">
      <c r="A118" s="10" t="str">
        <f>時間希望調査!A88&amp;""</f>
        <v/>
      </c>
      <c r="B118" s="10" t="str">
        <f>時間希望調査!B88&amp;""</f>
        <v/>
      </c>
      <c r="C118" s="10" t="str">
        <f>時間希望調査!C88&amp;""</f>
        <v/>
      </c>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0">
        <f t="shared" si="107"/>
        <v>0</v>
      </c>
      <c r="BC118" s="10">
        <f>時間希望調査!D88</f>
        <v>0</v>
      </c>
      <c r="BD118" s="10" t="str">
        <f>'役職希望調査 ・備考'!D88&amp;""</f>
        <v/>
      </c>
      <c r="BE118" s="10" t="str">
        <f>'役職希望調査 ・備考'!E88&amp;""</f>
        <v/>
      </c>
      <c r="BF118" s="10" t="str">
        <f>'役職希望調査 ・備考'!F88&amp;""</f>
        <v/>
      </c>
      <c r="BG118" s="10" t="str">
        <f>'役職希望調査 ・備考'!G88&amp;""</f>
        <v/>
      </c>
      <c r="BH118" s="10" t="str">
        <f>'役職希望調査 ・備考'!H88&amp;""</f>
        <v/>
      </c>
      <c r="BI118" s="10">
        <f t="shared" si="77"/>
        <v>0</v>
      </c>
      <c r="BJ118" s="10">
        <f t="shared" si="78"/>
        <v>0</v>
      </c>
      <c r="BK118" s="10">
        <f t="shared" si="79"/>
        <v>0</v>
      </c>
      <c r="BL118" s="10">
        <f t="shared" si="80"/>
        <v>0</v>
      </c>
      <c r="BM118" s="10">
        <f t="shared" si="81"/>
        <v>0</v>
      </c>
      <c r="BN118" s="10">
        <f t="shared" si="82"/>
        <v>0</v>
      </c>
      <c r="BO118" s="10">
        <f t="shared" si="83"/>
        <v>48</v>
      </c>
      <c r="BP118" s="10">
        <f t="shared" si="84"/>
        <v>48</v>
      </c>
      <c r="BQ118" s="10">
        <f t="shared" si="85"/>
        <v>47</v>
      </c>
      <c r="BR118" s="10">
        <f t="shared" si="86"/>
        <v>46</v>
      </c>
      <c r="BS118" s="10">
        <f t="shared" si="87"/>
        <v>45</v>
      </c>
      <c r="BT118" s="10">
        <f t="shared" si="88"/>
        <v>44</v>
      </c>
      <c r="BU118" s="10">
        <f t="shared" si="89"/>
        <v>43</v>
      </c>
      <c r="BV118" s="10">
        <f t="shared" si="90"/>
        <v>42</v>
      </c>
      <c r="BW118" s="10">
        <f t="shared" si="91"/>
        <v>41</v>
      </c>
      <c r="BX118" s="10">
        <f t="shared" si="92"/>
        <v>40</v>
      </c>
      <c r="BY118" s="10">
        <f t="shared" si="93"/>
        <v>39</v>
      </c>
      <c r="BZ118" s="10">
        <f t="shared" si="94"/>
        <v>38</v>
      </c>
      <c r="CA118" s="10">
        <f t="shared" si="95"/>
        <v>37</v>
      </c>
      <c r="CB118" s="10">
        <f t="shared" si="96"/>
        <v>36</v>
      </c>
      <c r="CC118" s="10">
        <f t="shared" si="97"/>
        <v>35</v>
      </c>
      <c r="CD118" s="10">
        <f t="shared" si="98"/>
        <v>34</v>
      </c>
      <c r="CE118" s="10">
        <f t="shared" si="99"/>
        <v>33</v>
      </c>
      <c r="CF118" s="10">
        <f t="shared" si="100"/>
        <v>32</v>
      </c>
      <c r="CG118" s="10">
        <f t="shared" si="101"/>
        <v>31</v>
      </c>
      <c r="CH118" s="10">
        <f t="shared" si="102"/>
        <v>30</v>
      </c>
      <c r="CI118" s="10">
        <f t="shared" si="103"/>
        <v>29</v>
      </c>
      <c r="CJ118" s="10">
        <f t="shared" si="104"/>
        <v>28</v>
      </c>
      <c r="CK118" s="10">
        <f t="shared" si="105"/>
        <v>27</v>
      </c>
      <c r="CL118" s="10">
        <f t="shared" si="106"/>
        <v>26</v>
      </c>
      <c r="CM118" s="10" t="str">
        <f>'役職希望調査 ・備考'!I88&amp;""</f>
        <v/>
      </c>
    </row>
    <row r="119" spans="1:91">
      <c r="A119" s="10" t="str">
        <f>時間希望調査!A89&amp;""</f>
        <v/>
      </c>
      <c r="B119" s="10" t="str">
        <f>時間希望調査!B89&amp;""</f>
        <v/>
      </c>
      <c r="C119" s="10" t="str">
        <f>時間希望調査!C89&amp;""</f>
        <v/>
      </c>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0">
        <f t="shared" si="107"/>
        <v>0</v>
      </c>
      <c r="BC119" s="10">
        <f>時間希望調査!D89</f>
        <v>0</v>
      </c>
      <c r="BD119" s="10" t="str">
        <f>'役職希望調査 ・備考'!D89&amp;""</f>
        <v/>
      </c>
      <c r="BE119" s="10" t="str">
        <f>'役職希望調査 ・備考'!E89&amp;""</f>
        <v/>
      </c>
      <c r="BF119" s="10" t="str">
        <f>'役職希望調査 ・備考'!F89&amp;""</f>
        <v/>
      </c>
      <c r="BG119" s="10" t="str">
        <f>'役職希望調査 ・備考'!G89&amp;""</f>
        <v/>
      </c>
      <c r="BH119" s="10" t="str">
        <f>'役職希望調査 ・備考'!H89&amp;""</f>
        <v/>
      </c>
      <c r="BI119" s="10">
        <f t="shared" si="77"/>
        <v>0</v>
      </c>
      <c r="BJ119" s="10">
        <f t="shared" si="78"/>
        <v>0</v>
      </c>
      <c r="BK119" s="10">
        <f t="shared" si="79"/>
        <v>0</v>
      </c>
      <c r="BL119" s="10">
        <f t="shared" si="80"/>
        <v>0</v>
      </c>
      <c r="BM119" s="10">
        <f t="shared" si="81"/>
        <v>0</v>
      </c>
      <c r="BN119" s="10">
        <f t="shared" si="82"/>
        <v>0</v>
      </c>
      <c r="BO119" s="10">
        <f t="shared" si="83"/>
        <v>48</v>
      </c>
      <c r="BP119" s="10">
        <f t="shared" si="84"/>
        <v>48</v>
      </c>
      <c r="BQ119" s="10">
        <f t="shared" si="85"/>
        <v>47</v>
      </c>
      <c r="BR119" s="10">
        <f t="shared" si="86"/>
        <v>46</v>
      </c>
      <c r="BS119" s="10">
        <f t="shared" si="87"/>
        <v>45</v>
      </c>
      <c r="BT119" s="10">
        <f t="shared" si="88"/>
        <v>44</v>
      </c>
      <c r="BU119" s="10">
        <f t="shared" si="89"/>
        <v>43</v>
      </c>
      <c r="BV119" s="10">
        <f t="shared" si="90"/>
        <v>42</v>
      </c>
      <c r="BW119" s="10">
        <f t="shared" si="91"/>
        <v>41</v>
      </c>
      <c r="BX119" s="10">
        <f t="shared" si="92"/>
        <v>40</v>
      </c>
      <c r="BY119" s="10">
        <f t="shared" si="93"/>
        <v>39</v>
      </c>
      <c r="BZ119" s="10">
        <f t="shared" si="94"/>
        <v>38</v>
      </c>
      <c r="CA119" s="10">
        <f t="shared" si="95"/>
        <v>37</v>
      </c>
      <c r="CB119" s="10">
        <f t="shared" si="96"/>
        <v>36</v>
      </c>
      <c r="CC119" s="10">
        <f t="shared" si="97"/>
        <v>35</v>
      </c>
      <c r="CD119" s="10">
        <f t="shared" si="98"/>
        <v>34</v>
      </c>
      <c r="CE119" s="10">
        <f t="shared" si="99"/>
        <v>33</v>
      </c>
      <c r="CF119" s="10">
        <f t="shared" si="100"/>
        <v>32</v>
      </c>
      <c r="CG119" s="10">
        <f t="shared" si="101"/>
        <v>31</v>
      </c>
      <c r="CH119" s="10">
        <f t="shared" si="102"/>
        <v>30</v>
      </c>
      <c r="CI119" s="10">
        <f t="shared" si="103"/>
        <v>29</v>
      </c>
      <c r="CJ119" s="10">
        <f t="shared" si="104"/>
        <v>28</v>
      </c>
      <c r="CK119" s="10">
        <f t="shared" si="105"/>
        <v>27</v>
      </c>
      <c r="CL119" s="10">
        <f t="shared" si="106"/>
        <v>26</v>
      </c>
      <c r="CM119" s="10" t="str">
        <f>'役職希望調査 ・備考'!I89&amp;""</f>
        <v/>
      </c>
    </row>
    <row r="120" spans="1:91">
      <c r="A120" s="10" t="str">
        <f>時間希望調査!A90&amp;""</f>
        <v/>
      </c>
      <c r="B120" s="10" t="str">
        <f>時間希望調査!B90&amp;""</f>
        <v/>
      </c>
      <c r="C120" s="10" t="str">
        <f>時間希望調査!C90&amp;""</f>
        <v/>
      </c>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0">
        <f t="shared" si="107"/>
        <v>0</v>
      </c>
      <c r="BC120" s="10">
        <f>時間希望調査!D90</f>
        <v>0</v>
      </c>
      <c r="BD120" s="10" t="str">
        <f>'役職希望調査 ・備考'!D90&amp;""</f>
        <v/>
      </c>
      <c r="BE120" s="10" t="str">
        <f>'役職希望調査 ・備考'!E90&amp;""</f>
        <v/>
      </c>
      <c r="BF120" s="10" t="str">
        <f>'役職希望調査 ・備考'!F90&amp;""</f>
        <v/>
      </c>
      <c r="BG120" s="10" t="str">
        <f>'役職希望調査 ・備考'!G90&amp;""</f>
        <v/>
      </c>
      <c r="BH120" s="10" t="str">
        <f>'役職希望調査 ・備考'!H90&amp;""</f>
        <v/>
      </c>
      <c r="BI120" s="10">
        <f t="shared" si="77"/>
        <v>0</v>
      </c>
      <c r="BJ120" s="10">
        <f t="shared" si="78"/>
        <v>0</v>
      </c>
      <c r="BK120" s="10">
        <f t="shared" si="79"/>
        <v>0</v>
      </c>
      <c r="BL120" s="10">
        <f t="shared" si="80"/>
        <v>0</v>
      </c>
      <c r="BM120" s="10">
        <f t="shared" si="81"/>
        <v>0</v>
      </c>
      <c r="BN120" s="10">
        <f t="shared" si="82"/>
        <v>0</v>
      </c>
      <c r="BO120" s="10">
        <f t="shared" si="83"/>
        <v>48</v>
      </c>
      <c r="BP120" s="10">
        <f t="shared" si="84"/>
        <v>48</v>
      </c>
      <c r="BQ120" s="10">
        <f t="shared" si="85"/>
        <v>47</v>
      </c>
      <c r="BR120" s="10">
        <f t="shared" si="86"/>
        <v>46</v>
      </c>
      <c r="BS120" s="10">
        <f t="shared" si="87"/>
        <v>45</v>
      </c>
      <c r="BT120" s="10">
        <f t="shared" si="88"/>
        <v>44</v>
      </c>
      <c r="BU120" s="10">
        <f t="shared" si="89"/>
        <v>43</v>
      </c>
      <c r="BV120" s="10">
        <f t="shared" si="90"/>
        <v>42</v>
      </c>
      <c r="BW120" s="10">
        <f t="shared" si="91"/>
        <v>41</v>
      </c>
      <c r="BX120" s="10">
        <f t="shared" si="92"/>
        <v>40</v>
      </c>
      <c r="BY120" s="10">
        <f t="shared" si="93"/>
        <v>39</v>
      </c>
      <c r="BZ120" s="10">
        <f t="shared" si="94"/>
        <v>38</v>
      </c>
      <c r="CA120" s="10">
        <f t="shared" si="95"/>
        <v>37</v>
      </c>
      <c r="CB120" s="10">
        <f t="shared" si="96"/>
        <v>36</v>
      </c>
      <c r="CC120" s="10">
        <f t="shared" si="97"/>
        <v>35</v>
      </c>
      <c r="CD120" s="10">
        <f t="shared" si="98"/>
        <v>34</v>
      </c>
      <c r="CE120" s="10">
        <f t="shared" si="99"/>
        <v>33</v>
      </c>
      <c r="CF120" s="10">
        <f t="shared" si="100"/>
        <v>32</v>
      </c>
      <c r="CG120" s="10">
        <f t="shared" si="101"/>
        <v>31</v>
      </c>
      <c r="CH120" s="10">
        <f t="shared" si="102"/>
        <v>30</v>
      </c>
      <c r="CI120" s="10">
        <f t="shared" si="103"/>
        <v>29</v>
      </c>
      <c r="CJ120" s="10">
        <f t="shared" si="104"/>
        <v>28</v>
      </c>
      <c r="CK120" s="10">
        <f t="shared" si="105"/>
        <v>27</v>
      </c>
      <c r="CL120" s="10">
        <f t="shared" si="106"/>
        <v>26</v>
      </c>
      <c r="CM120" s="10" t="str">
        <f>'役職希望調査 ・備考'!I90&amp;""</f>
        <v/>
      </c>
    </row>
    <row r="121" spans="1:91">
      <c r="A121" s="10" t="str">
        <f>時間希望調査!A91&amp;""</f>
        <v/>
      </c>
      <c r="B121" s="10" t="str">
        <f>時間希望調査!B91&amp;""</f>
        <v/>
      </c>
      <c r="C121" s="10" t="str">
        <f>時間希望調査!C91&amp;""</f>
        <v/>
      </c>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0">
        <f t="shared" si="107"/>
        <v>0</v>
      </c>
      <c r="BC121" s="10">
        <f>時間希望調査!D91</f>
        <v>0</v>
      </c>
      <c r="BD121" s="10" t="str">
        <f>'役職希望調査 ・備考'!D91&amp;""</f>
        <v/>
      </c>
      <c r="BE121" s="10" t="str">
        <f>'役職希望調査 ・備考'!E91&amp;""</f>
        <v/>
      </c>
      <c r="BF121" s="10" t="str">
        <f>'役職希望調査 ・備考'!F91&amp;""</f>
        <v/>
      </c>
      <c r="BG121" s="10" t="str">
        <f>'役職希望調査 ・備考'!G91&amp;""</f>
        <v/>
      </c>
      <c r="BH121" s="10" t="str">
        <f>'役職希望調査 ・備考'!H91&amp;""</f>
        <v/>
      </c>
      <c r="BI121" s="10">
        <f t="shared" si="77"/>
        <v>0</v>
      </c>
      <c r="BJ121" s="10">
        <f t="shared" si="78"/>
        <v>0</v>
      </c>
      <c r="BK121" s="10">
        <f t="shared" si="79"/>
        <v>0</v>
      </c>
      <c r="BL121" s="10">
        <f t="shared" si="80"/>
        <v>0</v>
      </c>
      <c r="BM121" s="10">
        <f t="shared" si="81"/>
        <v>0</v>
      </c>
      <c r="BN121" s="10">
        <f t="shared" si="82"/>
        <v>0</v>
      </c>
      <c r="BO121" s="10">
        <f t="shared" si="83"/>
        <v>48</v>
      </c>
      <c r="BP121" s="10">
        <f t="shared" si="84"/>
        <v>48</v>
      </c>
      <c r="BQ121" s="10">
        <f t="shared" si="85"/>
        <v>47</v>
      </c>
      <c r="BR121" s="10">
        <f t="shared" si="86"/>
        <v>46</v>
      </c>
      <c r="BS121" s="10">
        <f t="shared" si="87"/>
        <v>45</v>
      </c>
      <c r="BT121" s="10">
        <f t="shared" si="88"/>
        <v>44</v>
      </c>
      <c r="BU121" s="10">
        <f t="shared" si="89"/>
        <v>43</v>
      </c>
      <c r="BV121" s="10">
        <f t="shared" si="90"/>
        <v>42</v>
      </c>
      <c r="BW121" s="10">
        <f t="shared" si="91"/>
        <v>41</v>
      </c>
      <c r="BX121" s="10">
        <f t="shared" si="92"/>
        <v>40</v>
      </c>
      <c r="BY121" s="10">
        <f t="shared" si="93"/>
        <v>39</v>
      </c>
      <c r="BZ121" s="10">
        <f t="shared" si="94"/>
        <v>38</v>
      </c>
      <c r="CA121" s="10">
        <f t="shared" si="95"/>
        <v>37</v>
      </c>
      <c r="CB121" s="10">
        <f t="shared" si="96"/>
        <v>36</v>
      </c>
      <c r="CC121" s="10">
        <f t="shared" si="97"/>
        <v>35</v>
      </c>
      <c r="CD121" s="10">
        <f t="shared" si="98"/>
        <v>34</v>
      </c>
      <c r="CE121" s="10">
        <f t="shared" si="99"/>
        <v>33</v>
      </c>
      <c r="CF121" s="10">
        <f t="shared" si="100"/>
        <v>32</v>
      </c>
      <c r="CG121" s="10">
        <f t="shared" si="101"/>
        <v>31</v>
      </c>
      <c r="CH121" s="10">
        <f t="shared" si="102"/>
        <v>30</v>
      </c>
      <c r="CI121" s="10">
        <f t="shared" si="103"/>
        <v>29</v>
      </c>
      <c r="CJ121" s="10">
        <f t="shared" si="104"/>
        <v>28</v>
      </c>
      <c r="CK121" s="10">
        <f t="shared" si="105"/>
        <v>27</v>
      </c>
      <c r="CL121" s="10">
        <f t="shared" si="106"/>
        <v>26</v>
      </c>
      <c r="CM121" s="10" t="str">
        <f>'役職希望調査 ・備考'!I91&amp;""</f>
        <v/>
      </c>
    </row>
    <row r="122" spans="1:91">
      <c r="A122" s="10" t="str">
        <f>時間希望調査!A92&amp;""</f>
        <v/>
      </c>
      <c r="B122" s="10" t="str">
        <f>時間希望調査!B92&amp;""</f>
        <v/>
      </c>
      <c r="C122" s="10" t="str">
        <f>時間希望調査!C92&amp;""</f>
        <v/>
      </c>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0">
        <f t="shared" si="107"/>
        <v>0</v>
      </c>
      <c r="BC122" s="10">
        <f>時間希望調査!D92</f>
        <v>0</v>
      </c>
      <c r="BD122" s="10" t="str">
        <f>'役職希望調査 ・備考'!D92&amp;""</f>
        <v/>
      </c>
      <c r="BE122" s="10" t="str">
        <f>'役職希望調査 ・備考'!E92&amp;""</f>
        <v/>
      </c>
      <c r="BF122" s="10" t="str">
        <f>'役職希望調査 ・備考'!F92&amp;""</f>
        <v/>
      </c>
      <c r="BG122" s="10" t="str">
        <f>'役職希望調査 ・備考'!G92&amp;""</f>
        <v/>
      </c>
      <c r="BH122" s="10" t="str">
        <f>'役職希望調査 ・備考'!H92&amp;""</f>
        <v/>
      </c>
      <c r="BI122" s="10">
        <f t="shared" si="77"/>
        <v>0</v>
      </c>
      <c r="BJ122" s="10">
        <f t="shared" si="78"/>
        <v>0</v>
      </c>
      <c r="BK122" s="10">
        <f t="shared" si="79"/>
        <v>0</v>
      </c>
      <c r="BL122" s="10">
        <f t="shared" si="80"/>
        <v>0</v>
      </c>
      <c r="BM122" s="10">
        <f t="shared" si="81"/>
        <v>0</v>
      </c>
      <c r="BN122" s="10">
        <f t="shared" si="82"/>
        <v>0</v>
      </c>
      <c r="BO122" s="10">
        <f t="shared" si="83"/>
        <v>48</v>
      </c>
      <c r="BP122" s="10">
        <f t="shared" si="84"/>
        <v>48</v>
      </c>
      <c r="BQ122" s="10">
        <f t="shared" si="85"/>
        <v>47</v>
      </c>
      <c r="BR122" s="10">
        <f t="shared" si="86"/>
        <v>46</v>
      </c>
      <c r="BS122" s="10">
        <f t="shared" si="87"/>
        <v>45</v>
      </c>
      <c r="BT122" s="10">
        <f t="shared" si="88"/>
        <v>44</v>
      </c>
      <c r="BU122" s="10">
        <f t="shared" si="89"/>
        <v>43</v>
      </c>
      <c r="BV122" s="10">
        <f t="shared" si="90"/>
        <v>42</v>
      </c>
      <c r="BW122" s="10">
        <f t="shared" si="91"/>
        <v>41</v>
      </c>
      <c r="BX122" s="10">
        <f t="shared" si="92"/>
        <v>40</v>
      </c>
      <c r="BY122" s="10">
        <f t="shared" si="93"/>
        <v>39</v>
      </c>
      <c r="BZ122" s="10">
        <f t="shared" si="94"/>
        <v>38</v>
      </c>
      <c r="CA122" s="10">
        <f t="shared" si="95"/>
        <v>37</v>
      </c>
      <c r="CB122" s="10">
        <f t="shared" si="96"/>
        <v>36</v>
      </c>
      <c r="CC122" s="10">
        <f t="shared" si="97"/>
        <v>35</v>
      </c>
      <c r="CD122" s="10">
        <f t="shared" si="98"/>
        <v>34</v>
      </c>
      <c r="CE122" s="10">
        <f t="shared" si="99"/>
        <v>33</v>
      </c>
      <c r="CF122" s="10">
        <f t="shared" si="100"/>
        <v>32</v>
      </c>
      <c r="CG122" s="10">
        <f t="shared" si="101"/>
        <v>31</v>
      </c>
      <c r="CH122" s="10">
        <f t="shared" si="102"/>
        <v>30</v>
      </c>
      <c r="CI122" s="10">
        <f t="shared" si="103"/>
        <v>29</v>
      </c>
      <c r="CJ122" s="10">
        <f t="shared" si="104"/>
        <v>28</v>
      </c>
      <c r="CK122" s="10">
        <f t="shared" si="105"/>
        <v>27</v>
      </c>
      <c r="CL122" s="10">
        <f t="shared" si="106"/>
        <v>26</v>
      </c>
      <c r="CM122" s="10" t="str">
        <f>'役職希望調査 ・備考'!I92&amp;""</f>
        <v/>
      </c>
    </row>
    <row r="123" spans="1:91">
      <c r="A123" s="10" t="str">
        <f>時間希望調査!A93&amp;""</f>
        <v/>
      </c>
      <c r="B123" s="10" t="str">
        <f>時間希望調査!B93&amp;""</f>
        <v/>
      </c>
      <c r="C123" s="10" t="str">
        <f>時間希望調査!C93&amp;""</f>
        <v/>
      </c>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0">
        <f t="shared" si="107"/>
        <v>0</v>
      </c>
      <c r="BC123" s="10">
        <f>時間希望調査!D93</f>
        <v>0</v>
      </c>
      <c r="BD123" s="10" t="str">
        <f>'役職希望調査 ・備考'!D93&amp;""</f>
        <v/>
      </c>
      <c r="BE123" s="10" t="str">
        <f>'役職希望調査 ・備考'!E93&amp;""</f>
        <v/>
      </c>
      <c r="BF123" s="10" t="str">
        <f>'役職希望調査 ・備考'!F93&amp;""</f>
        <v/>
      </c>
      <c r="BG123" s="10" t="str">
        <f>'役職希望調査 ・備考'!G93&amp;""</f>
        <v/>
      </c>
      <c r="BH123" s="10" t="str">
        <f>'役職希望調査 ・備考'!H93&amp;""</f>
        <v/>
      </c>
      <c r="BI123" s="10">
        <f t="shared" si="77"/>
        <v>0</v>
      </c>
      <c r="BJ123" s="10">
        <f t="shared" si="78"/>
        <v>0</v>
      </c>
      <c r="BK123" s="10">
        <f t="shared" si="79"/>
        <v>0</v>
      </c>
      <c r="BL123" s="10">
        <f t="shared" si="80"/>
        <v>0</v>
      </c>
      <c r="BM123" s="10">
        <f t="shared" si="81"/>
        <v>0</v>
      </c>
      <c r="BN123" s="10">
        <f t="shared" si="82"/>
        <v>0</v>
      </c>
      <c r="BO123" s="10">
        <f t="shared" si="83"/>
        <v>48</v>
      </c>
      <c r="BP123" s="10">
        <f t="shared" si="84"/>
        <v>48</v>
      </c>
      <c r="BQ123" s="10">
        <f t="shared" si="85"/>
        <v>47</v>
      </c>
      <c r="BR123" s="10">
        <f t="shared" si="86"/>
        <v>46</v>
      </c>
      <c r="BS123" s="10">
        <f t="shared" si="87"/>
        <v>45</v>
      </c>
      <c r="BT123" s="10">
        <f t="shared" si="88"/>
        <v>44</v>
      </c>
      <c r="BU123" s="10">
        <f t="shared" si="89"/>
        <v>43</v>
      </c>
      <c r="BV123" s="10">
        <f t="shared" si="90"/>
        <v>42</v>
      </c>
      <c r="BW123" s="10">
        <f t="shared" si="91"/>
        <v>41</v>
      </c>
      <c r="BX123" s="10">
        <f t="shared" si="92"/>
        <v>40</v>
      </c>
      <c r="BY123" s="10">
        <f t="shared" si="93"/>
        <v>39</v>
      </c>
      <c r="BZ123" s="10">
        <f t="shared" si="94"/>
        <v>38</v>
      </c>
      <c r="CA123" s="10">
        <f t="shared" si="95"/>
        <v>37</v>
      </c>
      <c r="CB123" s="10">
        <f t="shared" si="96"/>
        <v>36</v>
      </c>
      <c r="CC123" s="10">
        <f t="shared" si="97"/>
        <v>35</v>
      </c>
      <c r="CD123" s="10">
        <f t="shared" si="98"/>
        <v>34</v>
      </c>
      <c r="CE123" s="10">
        <f t="shared" si="99"/>
        <v>33</v>
      </c>
      <c r="CF123" s="10">
        <f t="shared" si="100"/>
        <v>32</v>
      </c>
      <c r="CG123" s="10">
        <f t="shared" si="101"/>
        <v>31</v>
      </c>
      <c r="CH123" s="10">
        <f t="shared" si="102"/>
        <v>30</v>
      </c>
      <c r="CI123" s="10">
        <f t="shared" si="103"/>
        <v>29</v>
      </c>
      <c r="CJ123" s="10">
        <f t="shared" si="104"/>
        <v>28</v>
      </c>
      <c r="CK123" s="10">
        <f t="shared" si="105"/>
        <v>27</v>
      </c>
      <c r="CL123" s="10">
        <f t="shared" si="106"/>
        <v>26</v>
      </c>
      <c r="CM123" s="10" t="str">
        <f>'役職希望調査 ・備考'!I93&amp;""</f>
        <v/>
      </c>
    </row>
    <row r="124" spans="1:91">
      <c r="A124" s="10" t="str">
        <f>時間希望調査!A94&amp;""</f>
        <v/>
      </c>
      <c r="B124" s="10" t="str">
        <f>時間希望調査!B94&amp;""</f>
        <v/>
      </c>
      <c r="C124" s="10" t="str">
        <f>時間希望調査!C94&amp;""</f>
        <v/>
      </c>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0">
        <f t="shared" si="107"/>
        <v>0</v>
      </c>
      <c r="BC124" s="10">
        <f>時間希望調査!D94</f>
        <v>0</v>
      </c>
      <c r="BD124" s="10" t="str">
        <f>'役職希望調査 ・備考'!D94&amp;""</f>
        <v/>
      </c>
      <c r="BE124" s="10" t="str">
        <f>'役職希望調査 ・備考'!E94&amp;""</f>
        <v/>
      </c>
      <c r="BF124" s="10" t="str">
        <f>'役職希望調査 ・備考'!F94&amp;""</f>
        <v/>
      </c>
      <c r="BG124" s="10" t="str">
        <f>'役職希望調査 ・備考'!G94&amp;""</f>
        <v/>
      </c>
      <c r="BH124" s="10" t="str">
        <f>'役職希望調査 ・備考'!H94&amp;""</f>
        <v/>
      </c>
      <c r="BI124" s="10">
        <f t="shared" si="77"/>
        <v>0</v>
      </c>
      <c r="BJ124" s="10">
        <f t="shared" si="78"/>
        <v>0</v>
      </c>
      <c r="BK124" s="10">
        <f t="shared" si="79"/>
        <v>0</v>
      </c>
      <c r="BL124" s="10">
        <f t="shared" si="80"/>
        <v>0</v>
      </c>
      <c r="BM124" s="10">
        <f t="shared" si="81"/>
        <v>0</v>
      </c>
      <c r="BN124" s="10">
        <f t="shared" si="82"/>
        <v>0</v>
      </c>
      <c r="BO124" s="10">
        <f t="shared" si="83"/>
        <v>48</v>
      </c>
      <c r="BP124" s="10">
        <f t="shared" si="84"/>
        <v>48</v>
      </c>
      <c r="BQ124" s="10">
        <f t="shared" si="85"/>
        <v>47</v>
      </c>
      <c r="BR124" s="10">
        <f t="shared" si="86"/>
        <v>46</v>
      </c>
      <c r="BS124" s="10">
        <f t="shared" si="87"/>
        <v>45</v>
      </c>
      <c r="BT124" s="10">
        <f t="shared" si="88"/>
        <v>44</v>
      </c>
      <c r="BU124" s="10">
        <f t="shared" si="89"/>
        <v>43</v>
      </c>
      <c r="BV124" s="10">
        <f t="shared" si="90"/>
        <v>42</v>
      </c>
      <c r="BW124" s="10">
        <f t="shared" si="91"/>
        <v>41</v>
      </c>
      <c r="BX124" s="10">
        <f t="shared" si="92"/>
        <v>40</v>
      </c>
      <c r="BY124" s="10">
        <f t="shared" si="93"/>
        <v>39</v>
      </c>
      <c r="BZ124" s="10">
        <f t="shared" si="94"/>
        <v>38</v>
      </c>
      <c r="CA124" s="10">
        <f t="shared" si="95"/>
        <v>37</v>
      </c>
      <c r="CB124" s="10">
        <f t="shared" si="96"/>
        <v>36</v>
      </c>
      <c r="CC124" s="10">
        <f t="shared" si="97"/>
        <v>35</v>
      </c>
      <c r="CD124" s="10">
        <f t="shared" si="98"/>
        <v>34</v>
      </c>
      <c r="CE124" s="10">
        <f t="shared" si="99"/>
        <v>33</v>
      </c>
      <c r="CF124" s="10">
        <f t="shared" si="100"/>
        <v>32</v>
      </c>
      <c r="CG124" s="10">
        <f t="shared" si="101"/>
        <v>31</v>
      </c>
      <c r="CH124" s="10">
        <f t="shared" si="102"/>
        <v>30</v>
      </c>
      <c r="CI124" s="10">
        <f t="shared" si="103"/>
        <v>29</v>
      </c>
      <c r="CJ124" s="10">
        <f t="shared" si="104"/>
        <v>28</v>
      </c>
      <c r="CK124" s="10">
        <f t="shared" si="105"/>
        <v>27</v>
      </c>
      <c r="CL124" s="10">
        <f t="shared" si="106"/>
        <v>26</v>
      </c>
      <c r="CM124" s="10" t="str">
        <f>'役職希望調査 ・備考'!I94&amp;""</f>
        <v/>
      </c>
    </row>
    <row r="125" spans="1:91">
      <c r="A125" s="10" t="str">
        <f>時間希望調査!A95&amp;""</f>
        <v/>
      </c>
      <c r="B125" s="10" t="str">
        <f>時間希望調査!B95&amp;""</f>
        <v/>
      </c>
      <c r="C125" s="10" t="str">
        <f>時間希望調査!C95&amp;""</f>
        <v/>
      </c>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0">
        <f t="shared" si="107"/>
        <v>0</v>
      </c>
      <c r="BC125" s="10">
        <f>時間希望調査!D95</f>
        <v>0</v>
      </c>
      <c r="BD125" s="10" t="str">
        <f>'役職希望調査 ・備考'!D95&amp;""</f>
        <v/>
      </c>
      <c r="BE125" s="10" t="str">
        <f>'役職希望調査 ・備考'!E95&amp;""</f>
        <v/>
      </c>
      <c r="BF125" s="10" t="str">
        <f>'役職希望調査 ・備考'!F95&amp;""</f>
        <v/>
      </c>
      <c r="BG125" s="10" t="str">
        <f>'役職希望調査 ・備考'!G95&amp;""</f>
        <v/>
      </c>
      <c r="BH125" s="10" t="str">
        <f>'役職希望調査 ・備考'!H95&amp;""</f>
        <v/>
      </c>
      <c r="BI125" s="10">
        <f t="shared" si="77"/>
        <v>0</v>
      </c>
      <c r="BJ125" s="10">
        <f t="shared" si="78"/>
        <v>0</v>
      </c>
      <c r="BK125" s="10">
        <f t="shared" si="79"/>
        <v>0</v>
      </c>
      <c r="BL125" s="10">
        <f t="shared" si="80"/>
        <v>0</v>
      </c>
      <c r="BM125" s="10">
        <f t="shared" si="81"/>
        <v>0</v>
      </c>
      <c r="BN125" s="10">
        <f t="shared" si="82"/>
        <v>0</v>
      </c>
      <c r="BO125" s="10">
        <f t="shared" si="83"/>
        <v>48</v>
      </c>
      <c r="BP125" s="10">
        <f t="shared" si="84"/>
        <v>48</v>
      </c>
      <c r="BQ125" s="10">
        <f t="shared" si="85"/>
        <v>47</v>
      </c>
      <c r="BR125" s="10">
        <f t="shared" si="86"/>
        <v>46</v>
      </c>
      <c r="BS125" s="10">
        <f t="shared" si="87"/>
        <v>45</v>
      </c>
      <c r="BT125" s="10">
        <f t="shared" si="88"/>
        <v>44</v>
      </c>
      <c r="BU125" s="10">
        <f t="shared" si="89"/>
        <v>43</v>
      </c>
      <c r="BV125" s="10">
        <f t="shared" si="90"/>
        <v>42</v>
      </c>
      <c r="BW125" s="10">
        <f t="shared" si="91"/>
        <v>41</v>
      </c>
      <c r="BX125" s="10">
        <f t="shared" si="92"/>
        <v>40</v>
      </c>
      <c r="BY125" s="10">
        <f t="shared" si="93"/>
        <v>39</v>
      </c>
      <c r="BZ125" s="10">
        <f t="shared" si="94"/>
        <v>38</v>
      </c>
      <c r="CA125" s="10">
        <f t="shared" si="95"/>
        <v>37</v>
      </c>
      <c r="CB125" s="10">
        <f t="shared" si="96"/>
        <v>36</v>
      </c>
      <c r="CC125" s="10">
        <f t="shared" si="97"/>
        <v>35</v>
      </c>
      <c r="CD125" s="10">
        <f t="shared" si="98"/>
        <v>34</v>
      </c>
      <c r="CE125" s="10">
        <f t="shared" si="99"/>
        <v>33</v>
      </c>
      <c r="CF125" s="10">
        <f t="shared" si="100"/>
        <v>32</v>
      </c>
      <c r="CG125" s="10">
        <f t="shared" si="101"/>
        <v>31</v>
      </c>
      <c r="CH125" s="10">
        <f t="shared" si="102"/>
        <v>30</v>
      </c>
      <c r="CI125" s="10">
        <f t="shared" si="103"/>
        <v>29</v>
      </c>
      <c r="CJ125" s="10">
        <f t="shared" si="104"/>
        <v>28</v>
      </c>
      <c r="CK125" s="10">
        <f t="shared" si="105"/>
        <v>27</v>
      </c>
      <c r="CL125" s="10">
        <f t="shared" si="106"/>
        <v>26</v>
      </c>
      <c r="CM125" s="10" t="str">
        <f>'役職希望調査 ・備考'!I95&amp;""</f>
        <v/>
      </c>
    </row>
    <row r="126" spans="1:91">
      <c r="A126" s="10" t="str">
        <f>時間希望調査!A96&amp;""</f>
        <v/>
      </c>
      <c r="B126" s="10" t="str">
        <f>時間希望調査!B96&amp;""</f>
        <v/>
      </c>
      <c r="C126" s="10" t="str">
        <f>時間希望調査!C96&amp;""</f>
        <v/>
      </c>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0">
        <f t="shared" si="107"/>
        <v>0</v>
      </c>
      <c r="BC126" s="10">
        <f>時間希望調査!D96</f>
        <v>0</v>
      </c>
      <c r="BD126" s="10" t="str">
        <f>'役職希望調査 ・備考'!D96&amp;""</f>
        <v/>
      </c>
      <c r="BE126" s="10" t="str">
        <f>'役職希望調査 ・備考'!E96&amp;""</f>
        <v/>
      </c>
      <c r="BF126" s="10" t="str">
        <f>'役職希望調査 ・備考'!F96&amp;""</f>
        <v/>
      </c>
      <c r="BG126" s="10" t="str">
        <f>'役職希望調査 ・備考'!G96&amp;""</f>
        <v/>
      </c>
      <c r="BH126" s="10" t="str">
        <f>'役職希望調査 ・備考'!H96&amp;""</f>
        <v/>
      </c>
      <c r="BI126" s="10">
        <f t="shared" si="77"/>
        <v>0</v>
      </c>
      <c r="BJ126" s="10">
        <f t="shared" si="78"/>
        <v>0</v>
      </c>
      <c r="BK126" s="10">
        <f t="shared" si="79"/>
        <v>0</v>
      </c>
      <c r="BL126" s="10">
        <f t="shared" si="80"/>
        <v>0</v>
      </c>
      <c r="BM126" s="10">
        <f t="shared" si="81"/>
        <v>0</v>
      </c>
      <c r="BN126" s="10">
        <f t="shared" si="82"/>
        <v>0</v>
      </c>
      <c r="BO126" s="10">
        <f t="shared" si="83"/>
        <v>48</v>
      </c>
      <c r="BP126" s="10">
        <f t="shared" si="84"/>
        <v>48</v>
      </c>
      <c r="BQ126" s="10">
        <f t="shared" si="85"/>
        <v>47</v>
      </c>
      <c r="BR126" s="10">
        <f t="shared" si="86"/>
        <v>46</v>
      </c>
      <c r="BS126" s="10">
        <f t="shared" si="87"/>
        <v>45</v>
      </c>
      <c r="BT126" s="10">
        <f t="shared" si="88"/>
        <v>44</v>
      </c>
      <c r="BU126" s="10">
        <f t="shared" si="89"/>
        <v>43</v>
      </c>
      <c r="BV126" s="10">
        <f t="shared" si="90"/>
        <v>42</v>
      </c>
      <c r="BW126" s="10">
        <f t="shared" si="91"/>
        <v>41</v>
      </c>
      <c r="BX126" s="10">
        <f t="shared" si="92"/>
        <v>40</v>
      </c>
      <c r="BY126" s="10">
        <f t="shared" si="93"/>
        <v>39</v>
      </c>
      <c r="BZ126" s="10">
        <f t="shared" si="94"/>
        <v>38</v>
      </c>
      <c r="CA126" s="10">
        <f t="shared" si="95"/>
        <v>37</v>
      </c>
      <c r="CB126" s="10">
        <f t="shared" si="96"/>
        <v>36</v>
      </c>
      <c r="CC126" s="10">
        <f t="shared" si="97"/>
        <v>35</v>
      </c>
      <c r="CD126" s="10">
        <f t="shared" si="98"/>
        <v>34</v>
      </c>
      <c r="CE126" s="10">
        <f t="shared" si="99"/>
        <v>33</v>
      </c>
      <c r="CF126" s="10">
        <f t="shared" si="100"/>
        <v>32</v>
      </c>
      <c r="CG126" s="10">
        <f t="shared" si="101"/>
        <v>31</v>
      </c>
      <c r="CH126" s="10">
        <f t="shared" si="102"/>
        <v>30</v>
      </c>
      <c r="CI126" s="10">
        <f t="shared" si="103"/>
        <v>29</v>
      </c>
      <c r="CJ126" s="10">
        <f t="shared" si="104"/>
        <v>28</v>
      </c>
      <c r="CK126" s="10">
        <f t="shared" si="105"/>
        <v>27</v>
      </c>
      <c r="CL126" s="10">
        <f t="shared" si="106"/>
        <v>26</v>
      </c>
      <c r="CM126" s="10" t="str">
        <f>'役職希望調査 ・備考'!I96&amp;""</f>
        <v/>
      </c>
    </row>
    <row r="127" spans="1:91">
      <c r="A127" s="10" t="str">
        <f>時間希望調査!A97&amp;""</f>
        <v/>
      </c>
      <c r="B127" s="10" t="str">
        <f>時間希望調査!B97&amp;""</f>
        <v/>
      </c>
      <c r="C127" s="10" t="str">
        <f>時間希望調査!C97&amp;""</f>
        <v/>
      </c>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0">
        <f t="shared" si="107"/>
        <v>0</v>
      </c>
      <c r="BC127" s="10">
        <f>時間希望調査!D97</f>
        <v>0</v>
      </c>
      <c r="BD127" s="10" t="str">
        <f>'役職希望調査 ・備考'!D97&amp;""</f>
        <v/>
      </c>
      <c r="BE127" s="10" t="str">
        <f>'役職希望調査 ・備考'!E97&amp;""</f>
        <v/>
      </c>
      <c r="BF127" s="10" t="str">
        <f>'役職希望調査 ・備考'!F97&amp;""</f>
        <v/>
      </c>
      <c r="BG127" s="10" t="str">
        <f>'役職希望調査 ・備考'!G97&amp;""</f>
        <v/>
      </c>
      <c r="BH127" s="10" t="str">
        <f>'役職希望調査 ・備考'!H97&amp;""</f>
        <v/>
      </c>
      <c r="BI127" s="10">
        <f t="shared" si="77"/>
        <v>0</v>
      </c>
      <c r="BJ127" s="10">
        <f t="shared" si="78"/>
        <v>0</v>
      </c>
      <c r="BK127" s="10">
        <f t="shared" si="79"/>
        <v>0</v>
      </c>
      <c r="BL127" s="10">
        <f t="shared" si="80"/>
        <v>0</v>
      </c>
      <c r="BM127" s="10">
        <f t="shared" si="81"/>
        <v>0</v>
      </c>
      <c r="BN127" s="10">
        <f t="shared" si="82"/>
        <v>0</v>
      </c>
      <c r="BO127" s="10">
        <f t="shared" si="83"/>
        <v>48</v>
      </c>
      <c r="BP127" s="10">
        <f t="shared" si="84"/>
        <v>48</v>
      </c>
      <c r="BQ127" s="10">
        <f t="shared" si="85"/>
        <v>47</v>
      </c>
      <c r="BR127" s="10">
        <f t="shared" si="86"/>
        <v>46</v>
      </c>
      <c r="BS127" s="10">
        <f t="shared" si="87"/>
        <v>45</v>
      </c>
      <c r="BT127" s="10">
        <f t="shared" si="88"/>
        <v>44</v>
      </c>
      <c r="BU127" s="10">
        <f t="shared" si="89"/>
        <v>43</v>
      </c>
      <c r="BV127" s="10">
        <f t="shared" si="90"/>
        <v>42</v>
      </c>
      <c r="BW127" s="10">
        <f t="shared" si="91"/>
        <v>41</v>
      </c>
      <c r="BX127" s="10">
        <f t="shared" si="92"/>
        <v>40</v>
      </c>
      <c r="BY127" s="10">
        <f t="shared" si="93"/>
        <v>39</v>
      </c>
      <c r="BZ127" s="10">
        <f t="shared" si="94"/>
        <v>38</v>
      </c>
      <c r="CA127" s="10">
        <f t="shared" si="95"/>
        <v>37</v>
      </c>
      <c r="CB127" s="10">
        <f t="shared" si="96"/>
        <v>36</v>
      </c>
      <c r="CC127" s="10">
        <f t="shared" si="97"/>
        <v>35</v>
      </c>
      <c r="CD127" s="10">
        <f t="shared" si="98"/>
        <v>34</v>
      </c>
      <c r="CE127" s="10">
        <f t="shared" si="99"/>
        <v>33</v>
      </c>
      <c r="CF127" s="10">
        <f t="shared" si="100"/>
        <v>32</v>
      </c>
      <c r="CG127" s="10">
        <f t="shared" si="101"/>
        <v>31</v>
      </c>
      <c r="CH127" s="10">
        <f t="shared" si="102"/>
        <v>30</v>
      </c>
      <c r="CI127" s="10">
        <f t="shared" si="103"/>
        <v>29</v>
      </c>
      <c r="CJ127" s="10">
        <f t="shared" si="104"/>
        <v>28</v>
      </c>
      <c r="CK127" s="10">
        <f t="shared" si="105"/>
        <v>27</v>
      </c>
      <c r="CL127" s="10">
        <f t="shared" si="106"/>
        <v>26</v>
      </c>
      <c r="CM127" s="10" t="str">
        <f>'役職希望調査 ・備考'!I97&amp;""</f>
        <v/>
      </c>
    </row>
    <row r="128" spans="1:91">
      <c r="A128" s="10" t="str">
        <f>時間希望調査!A98&amp;""</f>
        <v/>
      </c>
      <c r="B128" s="10" t="str">
        <f>時間希望調査!B98&amp;""</f>
        <v/>
      </c>
      <c r="C128" s="10" t="str">
        <f>時間希望調査!C98&amp;""</f>
        <v/>
      </c>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0">
        <f t="shared" si="107"/>
        <v>0</v>
      </c>
      <c r="BC128" s="10">
        <f>時間希望調査!D98</f>
        <v>0</v>
      </c>
      <c r="BD128" s="10" t="str">
        <f>'役職希望調査 ・備考'!D98&amp;""</f>
        <v/>
      </c>
      <c r="BE128" s="10" t="str">
        <f>'役職希望調査 ・備考'!E98&amp;""</f>
        <v/>
      </c>
      <c r="BF128" s="10" t="str">
        <f>'役職希望調査 ・備考'!F98&amp;""</f>
        <v/>
      </c>
      <c r="BG128" s="10" t="str">
        <f>'役職希望調査 ・備考'!G98&amp;""</f>
        <v/>
      </c>
      <c r="BH128" s="10" t="str">
        <f>'役職希望調査 ・備考'!H98&amp;""</f>
        <v/>
      </c>
      <c r="BI128" s="10">
        <f t="shared" ref="BI128:BI159" si="108">COUNTIF(D128:BA128,BI$1)</f>
        <v>0</v>
      </c>
      <c r="BJ128" s="10">
        <f t="shared" ref="BJ128:BJ159" si="109">COUNTIF(E128:BB128,BJ$1)</f>
        <v>0</v>
      </c>
      <c r="BK128" s="10">
        <f t="shared" ref="BK128:BK159" si="110">COUNTIF(F128:BC128,BK$1)</f>
        <v>0</v>
      </c>
      <c r="BL128" s="10">
        <f t="shared" ref="BL128:BL159" si="111">COUNTIF(G128:BD128,BL$1)</f>
        <v>0</v>
      </c>
      <c r="BM128" s="10">
        <f t="shared" ref="BM128:BM159" si="112">COUNTIF(H128:BE128,BM$1)</f>
        <v>0</v>
      </c>
      <c r="BN128" s="10">
        <f t="shared" ref="BN128:BN159" si="113">COUNTIF(I128:BF128,BN$1)</f>
        <v>0</v>
      </c>
      <c r="BO128" s="10">
        <f t="shared" ref="BO128:BO159" si="114">COUNTIF(J128:BG128,BO$1)</f>
        <v>48</v>
      </c>
      <c r="BP128" s="10">
        <f t="shared" ref="BP128:BP159" si="115">COUNTIF(K128:BH128,BP$1)</f>
        <v>48</v>
      </c>
      <c r="BQ128" s="10">
        <f t="shared" ref="BQ128:BQ159" si="116">COUNTIF(L128:BI128,BQ$1)</f>
        <v>47</v>
      </c>
      <c r="BR128" s="10">
        <f t="shared" ref="BR128:BR159" si="117">COUNTIF(M128:BJ128,BR$1)</f>
        <v>46</v>
      </c>
      <c r="BS128" s="10">
        <f t="shared" ref="BS128:BS159" si="118">COUNTIF(N128:BK128,BS$1)</f>
        <v>45</v>
      </c>
      <c r="BT128" s="10">
        <f t="shared" ref="BT128:BT159" si="119">COUNTIF(O128:BL128,BT$1)</f>
        <v>44</v>
      </c>
      <c r="BU128" s="10">
        <f t="shared" ref="BU128:BU159" si="120">COUNTIF(P128:BM128,BU$1)</f>
        <v>43</v>
      </c>
      <c r="BV128" s="10">
        <f t="shared" ref="BV128:BV159" si="121">COUNTIF(Q128:BN128,BV$1)</f>
        <v>42</v>
      </c>
      <c r="BW128" s="10">
        <f t="shared" ref="BW128:BW159" si="122">COUNTIF(R128:BO128,BW$1)</f>
        <v>41</v>
      </c>
      <c r="BX128" s="10">
        <f t="shared" ref="BX128:BX159" si="123">COUNTIF(S128:BP128,BX$1)</f>
        <v>40</v>
      </c>
      <c r="BY128" s="10">
        <f t="shared" ref="BY128:BY159" si="124">COUNTIF(T128:BQ128,BY$1)</f>
        <v>39</v>
      </c>
      <c r="BZ128" s="10">
        <f t="shared" ref="BZ128:BZ159" si="125">COUNTIF(U128:BR128,BZ$1)</f>
        <v>38</v>
      </c>
      <c r="CA128" s="10">
        <f t="shared" ref="CA128:CA159" si="126">COUNTIF(V128:BS128,CA$1)</f>
        <v>37</v>
      </c>
      <c r="CB128" s="10">
        <f t="shared" ref="CB128:CB159" si="127">COUNTIF(W128:BT128,CB$1)</f>
        <v>36</v>
      </c>
      <c r="CC128" s="10">
        <f t="shared" ref="CC128:CC159" si="128">COUNTIF(X128:BU128,CC$1)</f>
        <v>35</v>
      </c>
      <c r="CD128" s="10">
        <f t="shared" ref="CD128:CD159" si="129">COUNTIF(Y128:BV128,CD$1)</f>
        <v>34</v>
      </c>
      <c r="CE128" s="10">
        <f t="shared" ref="CE128:CE159" si="130">COUNTIF(Z128:BW128,CE$1)</f>
        <v>33</v>
      </c>
      <c r="CF128" s="10">
        <f t="shared" ref="CF128:CF159" si="131">COUNTIF(AA128:BX128,CF$1)</f>
        <v>32</v>
      </c>
      <c r="CG128" s="10">
        <f t="shared" ref="CG128:CG159" si="132">COUNTIF(AB128:BY128,CG$1)</f>
        <v>31</v>
      </c>
      <c r="CH128" s="10">
        <f t="shared" ref="CH128:CH159" si="133">COUNTIF(AC128:BZ128,CH$1)</f>
        <v>30</v>
      </c>
      <c r="CI128" s="10">
        <f t="shared" ref="CI128:CI159" si="134">COUNTIF(AD128:CA128,CI$1)</f>
        <v>29</v>
      </c>
      <c r="CJ128" s="10">
        <f t="shared" ref="CJ128:CJ159" si="135">COUNTIF(AE128:CB128,CJ$1)</f>
        <v>28</v>
      </c>
      <c r="CK128" s="10">
        <f t="shared" ref="CK128:CK159" si="136">COUNTIF(AF128:CC128,CK$1)</f>
        <v>27</v>
      </c>
      <c r="CL128" s="10">
        <f t="shared" ref="CL128:CL159" si="137">COUNTIF(AG128:CD128,CL$1)</f>
        <v>26</v>
      </c>
      <c r="CM128" s="10" t="str">
        <f>'役職希望調査 ・備考'!I98&amp;""</f>
        <v/>
      </c>
    </row>
    <row r="129" spans="1:91">
      <c r="A129" s="10" t="str">
        <f>時間希望調査!A99&amp;""</f>
        <v/>
      </c>
      <c r="B129" s="10" t="str">
        <f>時間希望調査!B99&amp;""</f>
        <v/>
      </c>
      <c r="C129" s="10" t="str">
        <f>時間希望調査!C99&amp;""</f>
        <v/>
      </c>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0">
        <f t="shared" si="107"/>
        <v>0</v>
      </c>
      <c r="BC129" s="10">
        <f>時間希望調査!D99</f>
        <v>0</v>
      </c>
      <c r="BD129" s="10" t="str">
        <f>'役職希望調査 ・備考'!D99&amp;""</f>
        <v/>
      </c>
      <c r="BE129" s="10" t="str">
        <f>'役職希望調査 ・備考'!E99&amp;""</f>
        <v/>
      </c>
      <c r="BF129" s="10" t="str">
        <f>'役職希望調査 ・備考'!F99&amp;""</f>
        <v/>
      </c>
      <c r="BG129" s="10" t="str">
        <f>'役職希望調査 ・備考'!G99&amp;""</f>
        <v/>
      </c>
      <c r="BH129" s="10" t="str">
        <f>'役職希望調査 ・備考'!H99&amp;""</f>
        <v/>
      </c>
      <c r="BI129" s="10">
        <f t="shared" si="108"/>
        <v>0</v>
      </c>
      <c r="BJ129" s="10">
        <f t="shared" si="109"/>
        <v>0</v>
      </c>
      <c r="BK129" s="10">
        <f t="shared" si="110"/>
        <v>0</v>
      </c>
      <c r="BL129" s="10">
        <f t="shared" si="111"/>
        <v>0</v>
      </c>
      <c r="BM129" s="10">
        <f t="shared" si="112"/>
        <v>0</v>
      </c>
      <c r="BN129" s="10">
        <f t="shared" si="113"/>
        <v>0</v>
      </c>
      <c r="BO129" s="10">
        <f t="shared" si="114"/>
        <v>48</v>
      </c>
      <c r="BP129" s="10">
        <f t="shared" si="115"/>
        <v>48</v>
      </c>
      <c r="BQ129" s="10">
        <f t="shared" si="116"/>
        <v>47</v>
      </c>
      <c r="BR129" s="10">
        <f t="shared" si="117"/>
        <v>46</v>
      </c>
      <c r="BS129" s="10">
        <f t="shared" si="118"/>
        <v>45</v>
      </c>
      <c r="BT129" s="10">
        <f t="shared" si="119"/>
        <v>44</v>
      </c>
      <c r="BU129" s="10">
        <f t="shared" si="120"/>
        <v>43</v>
      </c>
      <c r="BV129" s="10">
        <f t="shared" si="121"/>
        <v>42</v>
      </c>
      <c r="BW129" s="10">
        <f t="shared" si="122"/>
        <v>41</v>
      </c>
      <c r="BX129" s="10">
        <f t="shared" si="123"/>
        <v>40</v>
      </c>
      <c r="BY129" s="10">
        <f t="shared" si="124"/>
        <v>39</v>
      </c>
      <c r="BZ129" s="10">
        <f t="shared" si="125"/>
        <v>38</v>
      </c>
      <c r="CA129" s="10">
        <f t="shared" si="126"/>
        <v>37</v>
      </c>
      <c r="CB129" s="10">
        <f t="shared" si="127"/>
        <v>36</v>
      </c>
      <c r="CC129" s="10">
        <f t="shared" si="128"/>
        <v>35</v>
      </c>
      <c r="CD129" s="10">
        <f t="shared" si="129"/>
        <v>34</v>
      </c>
      <c r="CE129" s="10">
        <f t="shared" si="130"/>
        <v>33</v>
      </c>
      <c r="CF129" s="10">
        <f t="shared" si="131"/>
        <v>32</v>
      </c>
      <c r="CG129" s="10">
        <f t="shared" si="132"/>
        <v>31</v>
      </c>
      <c r="CH129" s="10">
        <f t="shared" si="133"/>
        <v>30</v>
      </c>
      <c r="CI129" s="10">
        <f t="shared" si="134"/>
        <v>29</v>
      </c>
      <c r="CJ129" s="10">
        <f t="shared" si="135"/>
        <v>28</v>
      </c>
      <c r="CK129" s="10">
        <f t="shared" si="136"/>
        <v>27</v>
      </c>
      <c r="CL129" s="10">
        <f t="shared" si="137"/>
        <v>26</v>
      </c>
      <c r="CM129" s="10" t="str">
        <f>'役職希望調査 ・備考'!I99&amp;""</f>
        <v/>
      </c>
    </row>
    <row r="130" spans="1:91">
      <c r="A130" s="10" t="str">
        <f>時間希望調査!A100&amp;""</f>
        <v/>
      </c>
      <c r="B130" s="10" t="str">
        <f>時間希望調査!B100&amp;""</f>
        <v/>
      </c>
      <c r="C130" s="10" t="str">
        <f>時間希望調査!C100&amp;""</f>
        <v/>
      </c>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0">
        <f t="shared" si="107"/>
        <v>0</v>
      </c>
      <c r="BC130" s="10">
        <f>時間希望調査!D100</f>
        <v>0</v>
      </c>
      <c r="BD130" s="10" t="str">
        <f>'役職希望調査 ・備考'!D100&amp;""</f>
        <v/>
      </c>
      <c r="BE130" s="10" t="str">
        <f>'役職希望調査 ・備考'!E100&amp;""</f>
        <v/>
      </c>
      <c r="BF130" s="10" t="str">
        <f>'役職希望調査 ・備考'!F100&amp;""</f>
        <v/>
      </c>
      <c r="BG130" s="10" t="str">
        <f>'役職希望調査 ・備考'!G100&amp;""</f>
        <v/>
      </c>
      <c r="BH130" s="10" t="str">
        <f>'役職希望調査 ・備考'!H100&amp;""</f>
        <v/>
      </c>
      <c r="BI130" s="10">
        <f t="shared" si="108"/>
        <v>0</v>
      </c>
      <c r="BJ130" s="10">
        <f t="shared" si="109"/>
        <v>0</v>
      </c>
      <c r="BK130" s="10">
        <f t="shared" si="110"/>
        <v>0</v>
      </c>
      <c r="BL130" s="10">
        <f t="shared" si="111"/>
        <v>0</v>
      </c>
      <c r="BM130" s="10">
        <f t="shared" si="112"/>
        <v>0</v>
      </c>
      <c r="BN130" s="10">
        <f t="shared" si="113"/>
        <v>0</v>
      </c>
      <c r="BO130" s="10">
        <f t="shared" si="114"/>
        <v>48</v>
      </c>
      <c r="BP130" s="10">
        <f t="shared" si="115"/>
        <v>48</v>
      </c>
      <c r="BQ130" s="10">
        <f t="shared" si="116"/>
        <v>47</v>
      </c>
      <c r="BR130" s="10">
        <f t="shared" si="117"/>
        <v>46</v>
      </c>
      <c r="BS130" s="10">
        <f t="shared" si="118"/>
        <v>45</v>
      </c>
      <c r="BT130" s="10">
        <f t="shared" si="119"/>
        <v>44</v>
      </c>
      <c r="BU130" s="10">
        <f t="shared" si="120"/>
        <v>43</v>
      </c>
      <c r="BV130" s="10">
        <f t="shared" si="121"/>
        <v>42</v>
      </c>
      <c r="BW130" s="10">
        <f t="shared" si="122"/>
        <v>41</v>
      </c>
      <c r="BX130" s="10">
        <f t="shared" si="123"/>
        <v>40</v>
      </c>
      <c r="BY130" s="10">
        <f t="shared" si="124"/>
        <v>39</v>
      </c>
      <c r="BZ130" s="10">
        <f t="shared" si="125"/>
        <v>38</v>
      </c>
      <c r="CA130" s="10">
        <f t="shared" si="126"/>
        <v>37</v>
      </c>
      <c r="CB130" s="10">
        <f t="shared" si="127"/>
        <v>36</v>
      </c>
      <c r="CC130" s="10">
        <f t="shared" si="128"/>
        <v>35</v>
      </c>
      <c r="CD130" s="10">
        <f t="shared" si="129"/>
        <v>34</v>
      </c>
      <c r="CE130" s="10">
        <f t="shared" si="130"/>
        <v>33</v>
      </c>
      <c r="CF130" s="10">
        <f t="shared" si="131"/>
        <v>32</v>
      </c>
      <c r="CG130" s="10">
        <f t="shared" si="132"/>
        <v>31</v>
      </c>
      <c r="CH130" s="10">
        <f t="shared" si="133"/>
        <v>30</v>
      </c>
      <c r="CI130" s="10">
        <f t="shared" si="134"/>
        <v>29</v>
      </c>
      <c r="CJ130" s="10">
        <f t="shared" si="135"/>
        <v>28</v>
      </c>
      <c r="CK130" s="10">
        <f t="shared" si="136"/>
        <v>27</v>
      </c>
      <c r="CL130" s="10">
        <f t="shared" si="137"/>
        <v>26</v>
      </c>
      <c r="CM130" s="10" t="str">
        <f>'役職希望調査 ・備考'!I100&amp;""</f>
        <v/>
      </c>
    </row>
    <row r="131" spans="1:91">
      <c r="A131" s="10" t="str">
        <f>時間希望調査!A101&amp;""</f>
        <v/>
      </c>
      <c r="B131" s="10" t="str">
        <f>時間希望調査!B101&amp;""</f>
        <v/>
      </c>
      <c r="C131" s="10" t="str">
        <f>時間希望調査!C101&amp;""</f>
        <v/>
      </c>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0">
        <f t="shared" si="107"/>
        <v>0</v>
      </c>
      <c r="BC131" s="10">
        <f>時間希望調査!D101</f>
        <v>0</v>
      </c>
      <c r="BD131" s="10" t="str">
        <f>'役職希望調査 ・備考'!D101&amp;""</f>
        <v/>
      </c>
      <c r="BE131" s="10" t="str">
        <f>'役職希望調査 ・備考'!E101&amp;""</f>
        <v/>
      </c>
      <c r="BF131" s="10" t="str">
        <f>'役職希望調査 ・備考'!F101&amp;""</f>
        <v/>
      </c>
      <c r="BG131" s="10" t="str">
        <f>'役職希望調査 ・備考'!G101&amp;""</f>
        <v/>
      </c>
      <c r="BH131" s="10" t="str">
        <f>'役職希望調査 ・備考'!H101&amp;""</f>
        <v/>
      </c>
      <c r="BI131" s="10">
        <f t="shared" si="108"/>
        <v>0</v>
      </c>
      <c r="BJ131" s="10">
        <f t="shared" si="109"/>
        <v>0</v>
      </c>
      <c r="BK131" s="10">
        <f t="shared" si="110"/>
        <v>0</v>
      </c>
      <c r="BL131" s="10">
        <f t="shared" si="111"/>
        <v>0</v>
      </c>
      <c r="BM131" s="10">
        <f t="shared" si="112"/>
        <v>0</v>
      </c>
      <c r="BN131" s="10">
        <f t="shared" si="113"/>
        <v>0</v>
      </c>
      <c r="BO131" s="10">
        <f t="shared" si="114"/>
        <v>48</v>
      </c>
      <c r="BP131" s="10">
        <f t="shared" si="115"/>
        <v>48</v>
      </c>
      <c r="BQ131" s="10">
        <f t="shared" si="116"/>
        <v>47</v>
      </c>
      <c r="BR131" s="10">
        <f t="shared" si="117"/>
        <v>46</v>
      </c>
      <c r="BS131" s="10">
        <f t="shared" si="118"/>
        <v>45</v>
      </c>
      <c r="BT131" s="10">
        <f t="shared" si="119"/>
        <v>44</v>
      </c>
      <c r="BU131" s="10">
        <f t="shared" si="120"/>
        <v>43</v>
      </c>
      <c r="BV131" s="10">
        <f t="shared" si="121"/>
        <v>42</v>
      </c>
      <c r="BW131" s="10">
        <f t="shared" si="122"/>
        <v>41</v>
      </c>
      <c r="BX131" s="10">
        <f t="shared" si="123"/>
        <v>40</v>
      </c>
      <c r="BY131" s="10">
        <f t="shared" si="124"/>
        <v>39</v>
      </c>
      <c r="BZ131" s="10">
        <f t="shared" si="125"/>
        <v>38</v>
      </c>
      <c r="CA131" s="10">
        <f t="shared" si="126"/>
        <v>37</v>
      </c>
      <c r="CB131" s="10">
        <f t="shared" si="127"/>
        <v>36</v>
      </c>
      <c r="CC131" s="10">
        <f t="shared" si="128"/>
        <v>35</v>
      </c>
      <c r="CD131" s="10">
        <f t="shared" si="129"/>
        <v>34</v>
      </c>
      <c r="CE131" s="10">
        <f t="shared" si="130"/>
        <v>33</v>
      </c>
      <c r="CF131" s="10">
        <f t="shared" si="131"/>
        <v>32</v>
      </c>
      <c r="CG131" s="10">
        <f t="shared" si="132"/>
        <v>31</v>
      </c>
      <c r="CH131" s="10">
        <f t="shared" si="133"/>
        <v>30</v>
      </c>
      <c r="CI131" s="10">
        <f t="shared" si="134"/>
        <v>29</v>
      </c>
      <c r="CJ131" s="10">
        <f t="shared" si="135"/>
        <v>28</v>
      </c>
      <c r="CK131" s="10">
        <f t="shared" si="136"/>
        <v>27</v>
      </c>
      <c r="CL131" s="10">
        <f t="shared" si="137"/>
        <v>26</v>
      </c>
      <c r="CM131" s="10" t="str">
        <f>'役職希望調査 ・備考'!I101&amp;""</f>
        <v/>
      </c>
    </row>
    <row r="132" spans="1:91">
      <c r="A132" s="10" t="str">
        <f>時間希望調査!A102&amp;""</f>
        <v/>
      </c>
      <c r="B132" s="10" t="str">
        <f>時間希望調査!B102&amp;""</f>
        <v/>
      </c>
      <c r="C132" s="10" t="str">
        <f>時間希望調査!C102&amp;""</f>
        <v/>
      </c>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0">
        <f t="shared" si="107"/>
        <v>0</v>
      </c>
      <c r="BC132" s="10">
        <f>時間希望調査!D102</f>
        <v>0</v>
      </c>
      <c r="BD132" s="10" t="str">
        <f>'役職希望調査 ・備考'!D102&amp;""</f>
        <v/>
      </c>
      <c r="BE132" s="10" t="str">
        <f>'役職希望調査 ・備考'!E102&amp;""</f>
        <v/>
      </c>
      <c r="BF132" s="10" t="str">
        <f>'役職希望調査 ・備考'!F102&amp;""</f>
        <v/>
      </c>
      <c r="BG132" s="10" t="str">
        <f>'役職希望調査 ・備考'!G102&amp;""</f>
        <v/>
      </c>
      <c r="BH132" s="10" t="str">
        <f>'役職希望調査 ・備考'!H102&amp;""</f>
        <v/>
      </c>
      <c r="BI132" s="10">
        <f t="shared" si="108"/>
        <v>0</v>
      </c>
      <c r="BJ132" s="10">
        <f t="shared" si="109"/>
        <v>0</v>
      </c>
      <c r="BK132" s="10">
        <f t="shared" si="110"/>
        <v>0</v>
      </c>
      <c r="BL132" s="10">
        <f t="shared" si="111"/>
        <v>0</v>
      </c>
      <c r="BM132" s="10">
        <f t="shared" si="112"/>
        <v>0</v>
      </c>
      <c r="BN132" s="10">
        <f t="shared" si="113"/>
        <v>0</v>
      </c>
      <c r="BO132" s="10">
        <f t="shared" si="114"/>
        <v>48</v>
      </c>
      <c r="BP132" s="10">
        <f t="shared" si="115"/>
        <v>48</v>
      </c>
      <c r="BQ132" s="10">
        <f t="shared" si="116"/>
        <v>47</v>
      </c>
      <c r="BR132" s="10">
        <f t="shared" si="117"/>
        <v>46</v>
      </c>
      <c r="BS132" s="10">
        <f t="shared" si="118"/>
        <v>45</v>
      </c>
      <c r="BT132" s="10">
        <f t="shared" si="119"/>
        <v>44</v>
      </c>
      <c r="BU132" s="10">
        <f t="shared" si="120"/>
        <v>43</v>
      </c>
      <c r="BV132" s="10">
        <f t="shared" si="121"/>
        <v>42</v>
      </c>
      <c r="BW132" s="10">
        <f t="shared" si="122"/>
        <v>41</v>
      </c>
      <c r="BX132" s="10">
        <f t="shared" si="123"/>
        <v>40</v>
      </c>
      <c r="BY132" s="10">
        <f t="shared" si="124"/>
        <v>39</v>
      </c>
      <c r="BZ132" s="10">
        <f t="shared" si="125"/>
        <v>38</v>
      </c>
      <c r="CA132" s="10">
        <f t="shared" si="126"/>
        <v>37</v>
      </c>
      <c r="CB132" s="10">
        <f t="shared" si="127"/>
        <v>36</v>
      </c>
      <c r="CC132" s="10">
        <f t="shared" si="128"/>
        <v>35</v>
      </c>
      <c r="CD132" s="10">
        <f t="shared" si="129"/>
        <v>34</v>
      </c>
      <c r="CE132" s="10">
        <f t="shared" si="130"/>
        <v>33</v>
      </c>
      <c r="CF132" s="10">
        <f t="shared" si="131"/>
        <v>32</v>
      </c>
      <c r="CG132" s="10">
        <f t="shared" si="132"/>
        <v>31</v>
      </c>
      <c r="CH132" s="10">
        <f t="shared" si="133"/>
        <v>30</v>
      </c>
      <c r="CI132" s="10">
        <f t="shared" si="134"/>
        <v>29</v>
      </c>
      <c r="CJ132" s="10">
        <f t="shared" si="135"/>
        <v>28</v>
      </c>
      <c r="CK132" s="10">
        <f t="shared" si="136"/>
        <v>27</v>
      </c>
      <c r="CL132" s="10">
        <f t="shared" si="137"/>
        <v>26</v>
      </c>
      <c r="CM132" s="10" t="str">
        <f>'役職希望調査 ・備考'!I102&amp;""</f>
        <v/>
      </c>
    </row>
    <row r="133" spans="1:91">
      <c r="A133" s="10" t="str">
        <f>時間希望調査!A103&amp;""</f>
        <v/>
      </c>
      <c r="B133" s="10" t="str">
        <f>時間希望調査!B103&amp;""</f>
        <v/>
      </c>
      <c r="C133" s="10" t="str">
        <f>時間希望調査!C103&amp;""</f>
        <v/>
      </c>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0">
        <f t="shared" si="107"/>
        <v>0</v>
      </c>
      <c r="BC133" s="10">
        <f>時間希望調査!D103</f>
        <v>0</v>
      </c>
      <c r="BD133" s="10" t="str">
        <f>'役職希望調査 ・備考'!D103&amp;""</f>
        <v/>
      </c>
      <c r="BE133" s="10" t="str">
        <f>'役職希望調査 ・備考'!E103&amp;""</f>
        <v/>
      </c>
      <c r="BF133" s="10" t="str">
        <f>'役職希望調査 ・備考'!F103&amp;""</f>
        <v/>
      </c>
      <c r="BG133" s="10" t="str">
        <f>'役職希望調査 ・備考'!G103&amp;""</f>
        <v/>
      </c>
      <c r="BH133" s="10" t="str">
        <f>'役職希望調査 ・備考'!H103&amp;""</f>
        <v/>
      </c>
      <c r="BI133" s="10">
        <f t="shared" si="108"/>
        <v>0</v>
      </c>
      <c r="BJ133" s="10">
        <f t="shared" si="109"/>
        <v>0</v>
      </c>
      <c r="BK133" s="10">
        <f t="shared" si="110"/>
        <v>0</v>
      </c>
      <c r="BL133" s="10">
        <f t="shared" si="111"/>
        <v>0</v>
      </c>
      <c r="BM133" s="10">
        <f t="shared" si="112"/>
        <v>0</v>
      </c>
      <c r="BN133" s="10">
        <f t="shared" si="113"/>
        <v>0</v>
      </c>
      <c r="BO133" s="10">
        <f t="shared" si="114"/>
        <v>48</v>
      </c>
      <c r="BP133" s="10">
        <f t="shared" si="115"/>
        <v>48</v>
      </c>
      <c r="BQ133" s="10">
        <f t="shared" si="116"/>
        <v>47</v>
      </c>
      <c r="BR133" s="10">
        <f t="shared" si="117"/>
        <v>46</v>
      </c>
      <c r="BS133" s="10">
        <f t="shared" si="118"/>
        <v>45</v>
      </c>
      <c r="BT133" s="10">
        <f t="shared" si="119"/>
        <v>44</v>
      </c>
      <c r="BU133" s="10">
        <f t="shared" si="120"/>
        <v>43</v>
      </c>
      <c r="BV133" s="10">
        <f t="shared" si="121"/>
        <v>42</v>
      </c>
      <c r="BW133" s="10">
        <f t="shared" si="122"/>
        <v>41</v>
      </c>
      <c r="BX133" s="10">
        <f t="shared" si="123"/>
        <v>40</v>
      </c>
      <c r="BY133" s="10">
        <f t="shared" si="124"/>
        <v>39</v>
      </c>
      <c r="BZ133" s="10">
        <f t="shared" si="125"/>
        <v>38</v>
      </c>
      <c r="CA133" s="10">
        <f t="shared" si="126"/>
        <v>37</v>
      </c>
      <c r="CB133" s="10">
        <f t="shared" si="127"/>
        <v>36</v>
      </c>
      <c r="CC133" s="10">
        <f t="shared" si="128"/>
        <v>35</v>
      </c>
      <c r="CD133" s="10">
        <f t="shared" si="129"/>
        <v>34</v>
      </c>
      <c r="CE133" s="10">
        <f t="shared" si="130"/>
        <v>33</v>
      </c>
      <c r="CF133" s="10">
        <f t="shared" si="131"/>
        <v>32</v>
      </c>
      <c r="CG133" s="10">
        <f t="shared" si="132"/>
        <v>31</v>
      </c>
      <c r="CH133" s="10">
        <f t="shared" si="133"/>
        <v>30</v>
      </c>
      <c r="CI133" s="10">
        <f t="shared" si="134"/>
        <v>29</v>
      </c>
      <c r="CJ133" s="10">
        <f t="shared" si="135"/>
        <v>28</v>
      </c>
      <c r="CK133" s="10">
        <f t="shared" si="136"/>
        <v>27</v>
      </c>
      <c r="CL133" s="10">
        <f t="shared" si="137"/>
        <v>26</v>
      </c>
      <c r="CM133" s="10" t="str">
        <f>'役職希望調査 ・備考'!I103&amp;""</f>
        <v/>
      </c>
    </row>
    <row r="134" spans="1:91">
      <c r="A134" s="10" t="str">
        <f>時間希望調査!A104&amp;""</f>
        <v/>
      </c>
      <c r="B134" s="10" t="str">
        <f>時間希望調査!B104&amp;""</f>
        <v/>
      </c>
      <c r="C134" s="10" t="str">
        <f>時間希望調査!C104&amp;""</f>
        <v/>
      </c>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0">
        <f t="shared" si="107"/>
        <v>0</v>
      </c>
      <c r="BC134" s="10">
        <f>時間希望調査!D104</f>
        <v>0</v>
      </c>
      <c r="BD134" s="10" t="str">
        <f>'役職希望調査 ・備考'!D104&amp;""</f>
        <v/>
      </c>
      <c r="BE134" s="10" t="str">
        <f>'役職希望調査 ・備考'!E104&amp;""</f>
        <v/>
      </c>
      <c r="BF134" s="10" t="str">
        <f>'役職希望調査 ・備考'!F104&amp;""</f>
        <v/>
      </c>
      <c r="BG134" s="10" t="str">
        <f>'役職希望調査 ・備考'!G104&amp;""</f>
        <v/>
      </c>
      <c r="BH134" s="10" t="str">
        <f>'役職希望調査 ・備考'!H104&amp;""</f>
        <v/>
      </c>
      <c r="BI134" s="10">
        <f t="shared" si="108"/>
        <v>0</v>
      </c>
      <c r="BJ134" s="10">
        <f t="shared" si="109"/>
        <v>0</v>
      </c>
      <c r="BK134" s="10">
        <f t="shared" si="110"/>
        <v>0</v>
      </c>
      <c r="BL134" s="10">
        <f t="shared" si="111"/>
        <v>0</v>
      </c>
      <c r="BM134" s="10">
        <f t="shared" si="112"/>
        <v>0</v>
      </c>
      <c r="BN134" s="10">
        <f t="shared" si="113"/>
        <v>0</v>
      </c>
      <c r="BO134" s="10">
        <f t="shared" si="114"/>
        <v>48</v>
      </c>
      <c r="BP134" s="10">
        <f t="shared" si="115"/>
        <v>48</v>
      </c>
      <c r="BQ134" s="10">
        <f t="shared" si="116"/>
        <v>47</v>
      </c>
      <c r="BR134" s="10">
        <f t="shared" si="117"/>
        <v>46</v>
      </c>
      <c r="BS134" s="10">
        <f t="shared" si="118"/>
        <v>45</v>
      </c>
      <c r="BT134" s="10">
        <f t="shared" si="119"/>
        <v>44</v>
      </c>
      <c r="BU134" s="10">
        <f t="shared" si="120"/>
        <v>43</v>
      </c>
      <c r="BV134" s="10">
        <f t="shared" si="121"/>
        <v>42</v>
      </c>
      <c r="BW134" s="10">
        <f t="shared" si="122"/>
        <v>41</v>
      </c>
      <c r="BX134" s="10">
        <f t="shared" si="123"/>
        <v>40</v>
      </c>
      <c r="BY134" s="10">
        <f t="shared" si="124"/>
        <v>39</v>
      </c>
      <c r="BZ134" s="10">
        <f t="shared" si="125"/>
        <v>38</v>
      </c>
      <c r="CA134" s="10">
        <f t="shared" si="126"/>
        <v>37</v>
      </c>
      <c r="CB134" s="10">
        <f t="shared" si="127"/>
        <v>36</v>
      </c>
      <c r="CC134" s="10">
        <f t="shared" si="128"/>
        <v>35</v>
      </c>
      <c r="CD134" s="10">
        <f t="shared" si="129"/>
        <v>34</v>
      </c>
      <c r="CE134" s="10">
        <f t="shared" si="130"/>
        <v>33</v>
      </c>
      <c r="CF134" s="10">
        <f t="shared" si="131"/>
        <v>32</v>
      </c>
      <c r="CG134" s="10">
        <f t="shared" si="132"/>
        <v>31</v>
      </c>
      <c r="CH134" s="10">
        <f t="shared" si="133"/>
        <v>30</v>
      </c>
      <c r="CI134" s="10">
        <f t="shared" si="134"/>
        <v>29</v>
      </c>
      <c r="CJ134" s="10">
        <f t="shared" si="135"/>
        <v>28</v>
      </c>
      <c r="CK134" s="10">
        <f t="shared" si="136"/>
        <v>27</v>
      </c>
      <c r="CL134" s="10">
        <f t="shared" si="137"/>
        <v>26</v>
      </c>
      <c r="CM134" s="10" t="str">
        <f>'役職希望調査 ・備考'!I104&amp;""</f>
        <v/>
      </c>
    </row>
    <row r="135" spans="1:91">
      <c r="A135" s="10" t="str">
        <f>時間希望調査!A105&amp;""</f>
        <v/>
      </c>
      <c r="B135" s="10" t="str">
        <f>時間希望調査!B105&amp;""</f>
        <v/>
      </c>
      <c r="C135" s="10" t="str">
        <f>時間希望調査!C105&amp;""</f>
        <v/>
      </c>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0">
        <f t="shared" si="107"/>
        <v>0</v>
      </c>
      <c r="BC135" s="10">
        <f>時間希望調査!D105</f>
        <v>0</v>
      </c>
      <c r="BD135" s="10" t="str">
        <f>'役職希望調査 ・備考'!D105&amp;""</f>
        <v/>
      </c>
      <c r="BE135" s="10" t="str">
        <f>'役職希望調査 ・備考'!E105&amp;""</f>
        <v/>
      </c>
      <c r="BF135" s="10" t="str">
        <f>'役職希望調査 ・備考'!F105&amp;""</f>
        <v/>
      </c>
      <c r="BG135" s="10" t="str">
        <f>'役職希望調査 ・備考'!G105&amp;""</f>
        <v/>
      </c>
      <c r="BH135" s="10" t="str">
        <f>'役職希望調査 ・備考'!H105&amp;""</f>
        <v/>
      </c>
      <c r="BI135" s="10">
        <f t="shared" si="108"/>
        <v>0</v>
      </c>
      <c r="BJ135" s="10">
        <f t="shared" si="109"/>
        <v>0</v>
      </c>
      <c r="BK135" s="10">
        <f t="shared" si="110"/>
        <v>0</v>
      </c>
      <c r="BL135" s="10">
        <f t="shared" si="111"/>
        <v>0</v>
      </c>
      <c r="BM135" s="10">
        <f t="shared" si="112"/>
        <v>0</v>
      </c>
      <c r="BN135" s="10">
        <f t="shared" si="113"/>
        <v>0</v>
      </c>
      <c r="BO135" s="10">
        <f t="shared" si="114"/>
        <v>48</v>
      </c>
      <c r="BP135" s="10">
        <f t="shared" si="115"/>
        <v>48</v>
      </c>
      <c r="BQ135" s="10">
        <f t="shared" si="116"/>
        <v>47</v>
      </c>
      <c r="BR135" s="10">
        <f t="shared" si="117"/>
        <v>46</v>
      </c>
      <c r="BS135" s="10">
        <f t="shared" si="118"/>
        <v>45</v>
      </c>
      <c r="BT135" s="10">
        <f t="shared" si="119"/>
        <v>44</v>
      </c>
      <c r="BU135" s="10">
        <f t="shared" si="120"/>
        <v>43</v>
      </c>
      <c r="BV135" s="10">
        <f t="shared" si="121"/>
        <v>42</v>
      </c>
      <c r="BW135" s="10">
        <f t="shared" si="122"/>
        <v>41</v>
      </c>
      <c r="BX135" s="10">
        <f t="shared" si="123"/>
        <v>40</v>
      </c>
      <c r="BY135" s="10">
        <f t="shared" si="124"/>
        <v>39</v>
      </c>
      <c r="BZ135" s="10">
        <f t="shared" si="125"/>
        <v>38</v>
      </c>
      <c r="CA135" s="10">
        <f t="shared" si="126"/>
        <v>37</v>
      </c>
      <c r="CB135" s="10">
        <f t="shared" si="127"/>
        <v>36</v>
      </c>
      <c r="CC135" s="10">
        <f t="shared" si="128"/>
        <v>35</v>
      </c>
      <c r="CD135" s="10">
        <f t="shared" si="129"/>
        <v>34</v>
      </c>
      <c r="CE135" s="10">
        <f t="shared" si="130"/>
        <v>33</v>
      </c>
      <c r="CF135" s="10">
        <f t="shared" si="131"/>
        <v>32</v>
      </c>
      <c r="CG135" s="10">
        <f t="shared" si="132"/>
        <v>31</v>
      </c>
      <c r="CH135" s="10">
        <f t="shared" si="133"/>
        <v>30</v>
      </c>
      <c r="CI135" s="10">
        <f t="shared" si="134"/>
        <v>29</v>
      </c>
      <c r="CJ135" s="10">
        <f t="shared" si="135"/>
        <v>28</v>
      </c>
      <c r="CK135" s="10">
        <f t="shared" si="136"/>
        <v>27</v>
      </c>
      <c r="CL135" s="10">
        <f t="shared" si="137"/>
        <v>26</v>
      </c>
      <c r="CM135" s="10" t="str">
        <f>'役職希望調査 ・備考'!I105&amp;""</f>
        <v/>
      </c>
    </row>
    <row r="136" spans="1:91">
      <c r="A136" s="10" t="str">
        <f>時間希望調査!A106&amp;""</f>
        <v/>
      </c>
      <c r="B136" s="10" t="str">
        <f>時間希望調査!B106&amp;""</f>
        <v/>
      </c>
      <c r="C136" s="10" t="str">
        <f>時間希望調査!C106&amp;""</f>
        <v/>
      </c>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0">
        <f t="shared" si="107"/>
        <v>0</v>
      </c>
      <c r="BC136" s="10">
        <f>時間希望調査!D106</f>
        <v>0</v>
      </c>
      <c r="BD136" s="10" t="str">
        <f>'役職希望調査 ・備考'!D106&amp;""</f>
        <v/>
      </c>
      <c r="BE136" s="10" t="str">
        <f>'役職希望調査 ・備考'!E106&amp;""</f>
        <v/>
      </c>
      <c r="BF136" s="10" t="str">
        <f>'役職希望調査 ・備考'!F106&amp;""</f>
        <v/>
      </c>
      <c r="BG136" s="10" t="str">
        <f>'役職希望調査 ・備考'!G106&amp;""</f>
        <v/>
      </c>
      <c r="BH136" s="10" t="str">
        <f>'役職希望調査 ・備考'!H106&amp;""</f>
        <v/>
      </c>
      <c r="BI136" s="10">
        <f t="shared" si="108"/>
        <v>0</v>
      </c>
      <c r="BJ136" s="10">
        <f t="shared" si="109"/>
        <v>0</v>
      </c>
      <c r="BK136" s="10">
        <f t="shared" si="110"/>
        <v>0</v>
      </c>
      <c r="BL136" s="10">
        <f t="shared" si="111"/>
        <v>0</v>
      </c>
      <c r="BM136" s="10">
        <f t="shared" si="112"/>
        <v>0</v>
      </c>
      <c r="BN136" s="10">
        <f t="shared" si="113"/>
        <v>0</v>
      </c>
      <c r="BO136" s="10">
        <f t="shared" si="114"/>
        <v>48</v>
      </c>
      <c r="BP136" s="10">
        <f t="shared" si="115"/>
        <v>48</v>
      </c>
      <c r="BQ136" s="10">
        <f t="shared" si="116"/>
        <v>47</v>
      </c>
      <c r="BR136" s="10">
        <f t="shared" si="117"/>
        <v>46</v>
      </c>
      <c r="BS136" s="10">
        <f t="shared" si="118"/>
        <v>45</v>
      </c>
      <c r="BT136" s="10">
        <f t="shared" si="119"/>
        <v>44</v>
      </c>
      <c r="BU136" s="10">
        <f t="shared" si="120"/>
        <v>43</v>
      </c>
      <c r="BV136" s="10">
        <f t="shared" si="121"/>
        <v>42</v>
      </c>
      <c r="BW136" s="10">
        <f t="shared" si="122"/>
        <v>41</v>
      </c>
      <c r="BX136" s="10">
        <f t="shared" si="123"/>
        <v>40</v>
      </c>
      <c r="BY136" s="10">
        <f t="shared" si="124"/>
        <v>39</v>
      </c>
      <c r="BZ136" s="10">
        <f t="shared" si="125"/>
        <v>38</v>
      </c>
      <c r="CA136" s="10">
        <f t="shared" si="126"/>
        <v>37</v>
      </c>
      <c r="CB136" s="10">
        <f t="shared" si="127"/>
        <v>36</v>
      </c>
      <c r="CC136" s="10">
        <f t="shared" si="128"/>
        <v>35</v>
      </c>
      <c r="CD136" s="10">
        <f t="shared" si="129"/>
        <v>34</v>
      </c>
      <c r="CE136" s="10">
        <f t="shared" si="130"/>
        <v>33</v>
      </c>
      <c r="CF136" s="10">
        <f t="shared" si="131"/>
        <v>32</v>
      </c>
      <c r="CG136" s="10">
        <f t="shared" si="132"/>
        <v>31</v>
      </c>
      <c r="CH136" s="10">
        <f t="shared" si="133"/>
        <v>30</v>
      </c>
      <c r="CI136" s="10">
        <f t="shared" si="134"/>
        <v>29</v>
      </c>
      <c r="CJ136" s="10">
        <f t="shared" si="135"/>
        <v>28</v>
      </c>
      <c r="CK136" s="10">
        <f t="shared" si="136"/>
        <v>27</v>
      </c>
      <c r="CL136" s="10">
        <f t="shared" si="137"/>
        <v>26</v>
      </c>
      <c r="CM136" s="10" t="str">
        <f>'役職希望調査 ・備考'!I106&amp;""</f>
        <v/>
      </c>
    </row>
    <row r="137" spans="1:91">
      <c r="A137" s="10" t="str">
        <f>時間希望調査!A107&amp;""</f>
        <v/>
      </c>
      <c r="B137" s="10" t="str">
        <f>時間希望調査!B107&amp;""</f>
        <v/>
      </c>
      <c r="C137" s="10" t="str">
        <f>時間希望調査!C107&amp;""</f>
        <v/>
      </c>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0">
        <f t="shared" si="107"/>
        <v>0</v>
      </c>
      <c r="BC137" s="10">
        <f>時間希望調査!D107</f>
        <v>0</v>
      </c>
      <c r="BD137" s="10" t="str">
        <f>'役職希望調査 ・備考'!D107&amp;""</f>
        <v/>
      </c>
      <c r="BE137" s="10" t="str">
        <f>'役職希望調査 ・備考'!E107&amp;""</f>
        <v/>
      </c>
      <c r="BF137" s="10" t="str">
        <f>'役職希望調査 ・備考'!F107&amp;""</f>
        <v/>
      </c>
      <c r="BG137" s="10" t="str">
        <f>'役職希望調査 ・備考'!G107&amp;""</f>
        <v/>
      </c>
      <c r="BH137" s="10" t="str">
        <f>'役職希望調査 ・備考'!H107&amp;""</f>
        <v/>
      </c>
      <c r="BI137" s="10">
        <f t="shared" si="108"/>
        <v>0</v>
      </c>
      <c r="BJ137" s="10">
        <f t="shared" si="109"/>
        <v>0</v>
      </c>
      <c r="BK137" s="10">
        <f t="shared" si="110"/>
        <v>0</v>
      </c>
      <c r="BL137" s="10">
        <f t="shared" si="111"/>
        <v>0</v>
      </c>
      <c r="BM137" s="10">
        <f t="shared" si="112"/>
        <v>0</v>
      </c>
      <c r="BN137" s="10">
        <f t="shared" si="113"/>
        <v>0</v>
      </c>
      <c r="BO137" s="10">
        <f t="shared" si="114"/>
        <v>48</v>
      </c>
      <c r="BP137" s="10">
        <f t="shared" si="115"/>
        <v>48</v>
      </c>
      <c r="BQ137" s="10">
        <f t="shared" si="116"/>
        <v>47</v>
      </c>
      <c r="BR137" s="10">
        <f t="shared" si="117"/>
        <v>46</v>
      </c>
      <c r="BS137" s="10">
        <f t="shared" si="118"/>
        <v>45</v>
      </c>
      <c r="BT137" s="10">
        <f t="shared" si="119"/>
        <v>44</v>
      </c>
      <c r="BU137" s="10">
        <f t="shared" si="120"/>
        <v>43</v>
      </c>
      <c r="BV137" s="10">
        <f t="shared" si="121"/>
        <v>42</v>
      </c>
      <c r="BW137" s="10">
        <f t="shared" si="122"/>
        <v>41</v>
      </c>
      <c r="BX137" s="10">
        <f t="shared" si="123"/>
        <v>40</v>
      </c>
      <c r="BY137" s="10">
        <f t="shared" si="124"/>
        <v>39</v>
      </c>
      <c r="BZ137" s="10">
        <f t="shared" si="125"/>
        <v>38</v>
      </c>
      <c r="CA137" s="10">
        <f t="shared" si="126"/>
        <v>37</v>
      </c>
      <c r="CB137" s="10">
        <f t="shared" si="127"/>
        <v>36</v>
      </c>
      <c r="CC137" s="10">
        <f t="shared" si="128"/>
        <v>35</v>
      </c>
      <c r="CD137" s="10">
        <f t="shared" si="129"/>
        <v>34</v>
      </c>
      <c r="CE137" s="10">
        <f t="shared" si="130"/>
        <v>33</v>
      </c>
      <c r="CF137" s="10">
        <f t="shared" si="131"/>
        <v>32</v>
      </c>
      <c r="CG137" s="10">
        <f t="shared" si="132"/>
        <v>31</v>
      </c>
      <c r="CH137" s="10">
        <f t="shared" si="133"/>
        <v>30</v>
      </c>
      <c r="CI137" s="10">
        <f t="shared" si="134"/>
        <v>29</v>
      </c>
      <c r="CJ137" s="10">
        <f t="shared" si="135"/>
        <v>28</v>
      </c>
      <c r="CK137" s="10">
        <f t="shared" si="136"/>
        <v>27</v>
      </c>
      <c r="CL137" s="10">
        <f t="shared" si="137"/>
        <v>26</v>
      </c>
      <c r="CM137" s="10" t="str">
        <f>'役職希望調査 ・備考'!I107&amp;""</f>
        <v/>
      </c>
    </row>
    <row r="138" spans="1:91">
      <c r="A138" s="10" t="str">
        <f>時間希望調査!A108&amp;""</f>
        <v/>
      </c>
      <c r="B138" s="10" t="str">
        <f>時間希望調査!B108&amp;""</f>
        <v/>
      </c>
      <c r="C138" s="10" t="str">
        <f>時間希望調査!C108&amp;""</f>
        <v/>
      </c>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0">
        <f t="shared" si="107"/>
        <v>0</v>
      </c>
      <c r="BC138" s="10">
        <f>時間希望調査!D108</f>
        <v>0</v>
      </c>
      <c r="BD138" s="10" t="str">
        <f>'役職希望調査 ・備考'!D108&amp;""</f>
        <v/>
      </c>
      <c r="BE138" s="10" t="str">
        <f>'役職希望調査 ・備考'!E108&amp;""</f>
        <v/>
      </c>
      <c r="BF138" s="10" t="str">
        <f>'役職希望調査 ・備考'!F108&amp;""</f>
        <v/>
      </c>
      <c r="BG138" s="10" t="str">
        <f>'役職希望調査 ・備考'!G108&amp;""</f>
        <v/>
      </c>
      <c r="BH138" s="10" t="str">
        <f>'役職希望調査 ・備考'!H108&amp;""</f>
        <v/>
      </c>
      <c r="BI138" s="10">
        <f t="shared" si="108"/>
        <v>0</v>
      </c>
      <c r="BJ138" s="10">
        <f t="shared" si="109"/>
        <v>0</v>
      </c>
      <c r="BK138" s="10">
        <f t="shared" si="110"/>
        <v>0</v>
      </c>
      <c r="BL138" s="10">
        <f t="shared" si="111"/>
        <v>0</v>
      </c>
      <c r="BM138" s="10">
        <f t="shared" si="112"/>
        <v>0</v>
      </c>
      <c r="BN138" s="10">
        <f t="shared" si="113"/>
        <v>0</v>
      </c>
      <c r="BO138" s="10">
        <f t="shared" si="114"/>
        <v>48</v>
      </c>
      <c r="BP138" s="10">
        <f t="shared" si="115"/>
        <v>48</v>
      </c>
      <c r="BQ138" s="10">
        <f t="shared" si="116"/>
        <v>47</v>
      </c>
      <c r="BR138" s="10">
        <f t="shared" si="117"/>
        <v>46</v>
      </c>
      <c r="BS138" s="10">
        <f t="shared" si="118"/>
        <v>45</v>
      </c>
      <c r="BT138" s="10">
        <f t="shared" si="119"/>
        <v>44</v>
      </c>
      <c r="BU138" s="10">
        <f t="shared" si="120"/>
        <v>43</v>
      </c>
      <c r="BV138" s="10">
        <f t="shared" si="121"/>
        <v>42</v>
      </c>
      <c r="BW138" s="10">
        <f t="shared" si="122"/>
        <v>41</v>
      </c>
      <c r="BX138" s="10">
        <f t="shared" si="123"/>
        <v>40</v>
      </c>
      <c r="BY138" s="10">
        <f t="shared" si="124"/>
        <v>39</v>
      </c>
      <c r="BZ138" s="10">
        <f t="shared" si="125"/>
        <v>38</v>
      </c>
      <c r="CA138" s="10">
        <f t="shared" si="126"/>
        <v>37</v>
      </c>
      <c r="CB138" s="10">
        <f t="shared" si="127"/>
        <v>36</v>
      </c>
      <c r="CC138" s="10">
        <f t="shared" si="128"/>
        <v>35</v>
      </c>
      <c r="CD138" s="10">
        <f t="shared" si="129"/>
        <v>34</v>
      </c>
      <c r="CE138" s="10">
        <f t="shared" si="130"/>
        <v>33</v>
      </c>
      <c r="CF138" s="10">
        <f t="shared" si="131"/>
        <v>32</v>
      </c>
      <c r="CG138" s="10">
        <f t="shared" si="132"/>
        <v>31</v>
      </c>
      <c r="CH138" s="10">
        <f t="shared" si="133"/>
        <v>30</v>
      </c>
      <c r="CI138" s="10">
        <f t="shared" si="134"/>
        <v>29</v>
      </c>
      <c r="CJ138" s="10">
        <f t="shared" si="135"/>
        <v>28</v>
      </c>
      <c r="CK138" s="10">
        <f t="shared" si="136"/>
        <v>27</v>
      </c>
      <c r="CL138" s="10">
        <f t="shared" si="137"/>
        <v>26</v>
      </c>
      <c r="CM138" s="10" t="str">
        <f>'役職希望調査 ・備考'!I108&amp;""</f>
        <v/>
      </c>
    </row>
    <row r="139" spans="1:91">
      <c r="A139" s="10" t="str">
        <f>時間希望調査!A109&amp;""</f>
        <v/>
      </c>
      <c r="B139" s="10" t="str">
        <f>時間希望調査!B109&amp;""</f>
        <v/>
      </c>
      <c r="C139" s="10" t="str">
        <f>時間希望調査!C109&amp;""</f>
        <v/>
      </c>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0">
        <f t="shared" si="107"/>
        <v>0</v>
      </c>
      <c r="BC139" s="10">
        <f>時間希望調査!D109</f>
        <v>0</v>
      </c>
      <c r="BD139" s="10" t="str">
        <f>'役職希望調査 ・備考'!D109&amp;""</f>
        <v/>
      </c>
      <c r="BE139" s="10" t="str">
        <f>'役職希望調査 ・備考'!E109&amp;""</f>
        <v/>
      </c>
      <c r="BF139" s="10" t="str">
        <f>'役職希望調査 ・備考'!F109&amp;""</f>
        <v/>
      </c>
      <c r="BG139" s="10" t="str">
        <f>'役職希望調査 ・備考'!G109&amp;""</f>
        <v/>
      </c>
      <c r="BH139" s="10" t="str">
        <f>'役職希望調査 ・備考'!H109&amp;""</f>
        <v/>
      </c>
      <c r="BI139" s="10">
        <f t="shared" si="108"/>
        <v>0</v>
      </c>
      <c r="BJ139" s="10">
        <f t="shared" si="109"/>
        <v>0</v>
      </c>
      <c r="BK139" s="10">
        <f t="shared" si="110"/>
        <v>0</v>
      </c>
      <c r="BL139" s="10">
        <f t="shared" si="111"/>
        <v>0</v>
      </c>
      <c r="BM139" s="10">
        <f t="shared" si="112"/>
        <v>0</v>
      </c>
      <c r="BN139" s="10">
        <f t="shared" si="113"/>
        <v>0</v>
      </c>
      <c r="BO139" s="10">
        <f t="shared" si="114"/>
        <v>48</v>
      </c>
      <c r="BP139" s="10">
        <f t="shared" si="115"/>
        <v>48</v>
      </c>
      <c r="BQ139" s="10">
        <f t="shared" si="116"/>
        <v>47</v>
      </c>
      <c r="BR139" s="10">
        <f t="shared" si="117"/>
        <v>46</v>
      </c>
      <c r="BS139" s="10">
        <f t="shared" si="118"/>
        <v>45</v>
      </c>
      <c r="BT139" s="10">
        <f t="shared" si="119"/>
        <v>44</v>
      </c>
      <c r="BU139" s="10">
        <f t="shared" si="120"/>
        <v>43</v>
      </c>
      <c r="BV139" s="10">
        <f t="shared" si="121"/>
        <v>42</v>
      </c>
      <c r="BW139" s="10">
        <f t="shared" si="122"/>
        <v>41</v>
      </c>
      <c r="BX139" s="10">
        <f t="shared" si="123"/>
        <v>40</v>
      </c>
      <c r="BY139" s="10">
        <f t="shared" si="124"/>
        <v>39</v>
      </c>
      <c r="BZ139" s="10">
        <f t="shared" si="125"/>
        <v>38</v>
      </c>
      <c r="CA139" s="10">
        <f t="shared" si="126"/>
        <v>37</v>
      </c>
      <c r="CB139" s="10">
        <f t="shared" si="127"/>
        <v>36</v>
      </c>
      <c r="CC139" s="10">
        <f t="shared" si="128"/>
        <v>35</v>
      </c>
      <c r="CD139" s="10">
        <f t="shared" si="129"/>
        <v>34</v>
      </c>
      <c r="CE139" s="10">
        <f t="shared" si="130"/>
        <v>33</v>
      </c>
      <c r="CF139" s="10">
        <f t="shared" si="131"/>
        <v>32</v>
      </c>
      <c r="CG139" s="10">
        <f t="shared" si="132"/>
        <v>31</v>
      </c>
      <c r="CH139" s="10">
        <f t="shared" si="133"/>
        <v>30</v>
      </c>
      <c r="CI139" s="10">
        <f t="shared" si="134"/>
        <v>29</v>
      </c>
      <c r="CJ139" s="10">
        <f t="shared" si="135"/>
        <v>28</v>
      </c>
      <c r="CK139" s="10">
        <f t="shared" si="136"/>
        <v>27</v>
      </c>
      <c r="CL139" s="10">
        <f t="shared" si="137"/>
        <v>26</v>
      </c>
      <c r="CM139" s="10" t="str">
        <f>'役職希望調査 ・備考'!I109&amp;""</f>
        <v/>
      </c>
    </row>
    <row r="140" spans="1:91">
      <c r="A140" s="10" t="str">
        <f>時間希望調査!A110&amp;""</f>
        <v/>
      </c>
      <c r="B140" s="10" t="str">
        <f>時間希望調査!B110&amp;""</f>
        <v/>
      </c>
      <c r="C140" s="10" t="str">
        <f>時間希望調査!C110&amp;""</f>
        <v/>
      </c>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0">
        <f t="shared" si="107"/>
        <v>0</v>
      </c>
      <c r="BC140" s="10">
        <f>時間希望調査!D110</f>
        <v>0</v>
      </c>
      <c r="BD140" s="10" t="str">
        <f>'役職希望調査 ・備考'!D110&amp;""</f>
        <v/>
      </c>
      <c r="BE140" s="10" t="str">
        <f>'役職希望調査 ・備考'!E110&amp;""</f>
        <v/>
      </c>
      <c r="BF140" s="10" t="str">
        <f>'役職希望調査 ・備考'!F110&amp;""</f>
        <v/>
      </c>
      <c r="BG140" s="10" t="str">
        <f>'役職希望調査 ・備考'!G110&amp;""</f>
        <v/>
      </c>
      <c r="BH140" s="10" t="str">
        <f>'役職希望調査 ・備考'!H110&amp;""</f>
        <v/>
      </c>
      <c r="BI140" s="10">
        <f t="shared" si="108"/>
        <v>0</v>
      </c>
      <c r="BJ140" s="10">
        <f t="shared" si="109"/>
        <v>0</v>
      </c>
      <c r="BK140" s="10">
        <f t="shared" si="110"/>
        <v>0</v>
      </c>
      <c r="BL140" s="10">
        <f t="shared" si="111"/>
        <v>0</v>
      </c>
      <c r="BM140" s="10">
        <f t="shared" si="112"/>
        <v>0</v>
      </c>
      <c r="BN140" s="10">
        <f t="shared" si="113"/>
        <v>0</v>
      </c>
      <c r="BO140" s="10">
        <f t="shared" si="114"/>
        <v>48</v>
      </c>
      <c r="BP140" s="10">
        <f t="shared" si="115"/>
        <v>48</v>
      </c>
      <c r="BQ140" s="10">
        <f t="shared" si="116"/>
        <v>47</v>
      </c>
      <c r="BR140" s="10">
        <f t="shared" si="117"/>
        <v>46</v>
      </c>
      <c r="BS140" s="10">
        <f t="shared" si="118"/>
        <v>45</v>
      </c>
      <c r="BT140" s="10">
        <f t="shared" si="119"/>
        <v>44</v>
      </c>
      <c r="BU140" s="10">
        <f t="shared" si="120"/>
        <v>43</v>
      </c>
      <c r="BV140" s="10">
        <f t="shared" si="121"/>
        <v>42</v>
      </c>
      <c r="BW140" s="10">
        <f t="shared" si="122"/>
        <v>41</v>
      </c>
      <c r="BX140" s="10">
        <f t="shared" si="123"/>
        <v>40</v>
      </c>
      <c r="BY140" s="10">
        <f t="shared" si="124"/>
        <v>39</v>
      </c>
      <c r="BZ140" s="10">
        <f t="shared" si="125"/>
        <v>38</v>
      </c>
      <c r="CA140" s="10">
        <f t="shared" si="126"/>
        <v>37</v>
      </c>
      <c r="CB140" s="10">
        <f t="shared" si="127"/>
        <v>36</v>
      </c>
      <c r="CC140" s="10">
        <f t="shared" si="128"/>
        <v>35</v>
      </c>
      <c r="CD140" s="10">
        <f t="shared" si="129"/>
        <v>34</v>
      </c>
      <c r="CE140" s="10">
        <f t="shared" si="130"/>
        <v>33</v>
      </c>
      <c r="CF140" s="10">
        <f t="shared" si="131"/>
        <v>32</v>
      </c>
      <c r="CG140" s="10">
        <f t="shared" si="132"/>
        <v>31</v>
      </c>
      <c r="CH140" s="10">
        <f t="shared" si="133"/>
        <v>30</v>
      </c>
      <c r="CI140" s="10">
        <f t="shared" si="134"/>
        <v>29</v>
      </c>
      <c r="CJ140" s="10">
        <f t="shared" si="135"/>
        <v>28</v>
      </c>
      <c r="CK140" s="10">
        <f t="shared" si="136"/>
        <v>27</v>
      </c>
      <c r="CL140" s="10">
        <f t="shared" si="137"/>
        <v>26</v>
      </c>
      <c r="CM140" s="10" t="str">
        <f>'役職希望調査 ・備考'!I110&amp;""</f>
        <v/>
      </c>
    </row>
    <row r="141" spans="1:91">
      <c r="A141" s="10" t="str">
        <f>時間希望調査!A111&amp;""</f>
        <v/>
      </c>
      <c r="B141" s="10" t="str">
        <f>時間希望調査!B111&amp;""</f>
        <v/>
      </c>
      <c r="C141" s="10" t="str">
        <f>時間希望調査!C111&amp;""</f>
        <v/>
      </c>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0">
        <f t="shared" si="107"/>
        <v>0</v>
      </c>
      <c r="BC141" s="10">
        <f>時間希望調査!D111</f>
        <v>0</v>
      </c>
      <c r="BD141" s="10" t="str">
        <f>'役職希望調査 ・備考'!D111&amp;""</f>
        <v/>
      </c>
      <c r="BE141" s="10" t="str">
        <f>'役職希望調査 ・備考'!E111&amp;""</f>
        <v/>
      </c>
      <c r="BF141" s="10" t="str">
        <f>'役職希望調査 ・備考'!F111&amp;""</f>
        <v/>
      </c>
      <c r="BG141" s="10" t="str">
        <f>'役職希望調査 ・備考'!G111&amp;""</f>
        <v/>
      </c>
      <c r="BH141" s="10" t="str">
        <f>'役職希望調査 ・備考'!H111&amp;""</f>
        <v/>
      </c>
      <c r="BI141" s="10">
        <f t="shared" si="108"/>
        <v>0</v>
      </c>
      <c r="BJ141" s="10">
        <f t="shared" si="109"/>
        <v>0</v>
      </c>
      <c r="BK141" s="10">
        <f t="shared" si="110"/>
        <v>0</v>
      </c>
      <c r="BL141" s="10">
        <f t="shared" si="111"/>
        <v>0</v>
      </c>
      <c r="BM141" s="10">
        <f t="shared" si="112"/>
        <v>0</v>
      </c>
      <c r="BN141" s="10">
        <f t="shared" si="113"/>
        <v>0</v>
      </c>
      <c r="BO141" s="10">
        <f t="shared" si="114"/>
        <v>48</v>
      </c>
      <c r="BP141" s="10">
        <f t="shared" si="115"/>
        <v>48</v>
      </c>
      <c r="BQ141" s="10">
        <f t="shared" si="116"/>
        <v>47</v>
      </c>
      <c r="BR141" s="10">
        <f t="shared" si="117"/>
        <v>46</v>
      </c>
      <c r="BS141" s="10">
        <f t="shared" si="118"/>
        <v>45</v>
      </c>
      <c r="BT141" s="10">
        <f t="shared" si="119"/>
        <v>44</v>
      </c>
      <c r="BU141" s="10">
        <f t="shared" si="120"/>
        <v>43</v>
      </c>
      <c r="BV141" s="10">
        <f t="shared" si="121"/>
        <v>42</v>
      </c>
      <c r="BW141" s="10">
        <f t="shared" si="122"/>
        <v>41</v>
      </c>
      <c r="BX141" s="10">
        <f t="shared" si="123"/>
        <v>40</v>
      </c>
      <c r="BY141" s="10">
        <f t="shared" si="124"/>
        <v>39</v>
      </c>
      <c r="BZ141" s="10">
        <f t="shared" si="125"/>
        <v>38</v>
      </c>
      <c r="CA141" s="10">
        <f t="shared" si="126"/>
        <v>37</v>
      </c>
      <c r="CB141" s="10">
        <f t="shared" si="127"/>
        <v>36</v>
      </c>
      <c r="CC141" s="10">
        <f t="shared" si="128"/>
        <v>35</v>
      </c>
      <c r="CD141" s="10">
        <f t="shared" si="129"/>
        <v>34</v>
      </c>
      <c r="CE141" s="10">
        <f t="shared" si="130"/>
        <v>33</v>
      </c>
      <c r="CF141" s="10">
        <f t="shared" si="131"/>
        <v>32</v>
      </c>
      <c r="CG141" s="10">
        <f t="shared" si="132"/>
        <v>31</v>
      </c>
      <c r="CH141" s="10">
        <f t="shared" si="133"/>
        <v>30</v>
      </c>
      <c r="CI141" s="10">
        <f t="shared" si="134"/>
        <v>29</v>
      </c>
      <c r="CJ141" s="10">
        <f t="shared" si="135"/>
        <v>28</v>
      </c>
      <c r="CK141" s="10">
        <f t="shared" si="136"/>
        <v>27</v>
      </c>
      <c r="CL141" s="10">
        <f t="shared" si="137"/>
        <v>26</v>
      </c>
      <c r="CM141" s="10" t="str">
        <f>'役職希望調査 ・備考'!I111&amp;""</f>
        <v/>
      </c>
    </row>
    <row r="142" spans="1:91">
      <c r="A142" s="10" t="str">
        <f>時間希望調査!A112&amp;""</f>
        <v/>
      </c>
      <c r="B142" s="10" t="str">
        <f>時間希望調査!B112&amp;""</f>
        <v/>
      </c>
      <c r="C142" s="10" t="str">
        <f>時間希望調査!C112&amp;""</f>
        <v/>
      </c>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0">
        <f t="shared" si="107"/>
        <v>0</v>
      </c>
      <c r="BC142" s="10">
        <f>時間希望調査!D112</f>
        <v>0</v>
      </c>
      <c r="BD142" s="10" t="str">
        <f>'役職希望調査 ・備考'!D112&amp;""</f>
        <v/>
      </c>
      <c r="BE142" s="10" t="str">
        <f>'役職希望調査 ・備考'!E112&amp;""</f>
        <v/>
      </c>
      <c r="BF142" s="10" t="str">
        <f>'役職希望調査 ・備考'!F112&amp;""</f>
        <v/>
      </c>
      <c r="BG142" s="10" t="str">
        <f>'役職希望調査 ・備考'!G112&amp;""</f>
        <v/>
      </c>
      <c r="BH142" s="10" t="str">
        <f>'役職希望調査 ・備考'!H112&amp;""</f>
        <v/>
      </c>
      <c r="BI142" s="10">
        <f t="shared" si="108"/>
        <v>0</v>
      </c>
      <c r="BJ142" s="10">
        <f t="shared" si="109"/>
        <v>0</v>
      </c>
      <c r="BK142" s="10">
        <f t="shared" si="110"/>
        <v>0</v>
      </c>
      <c r="BL142" s="10">
        <f t="shared" si="111"/>
        <v>0</v>
      </c>
      <c r="BM142" s="10">
        <f t="shared" si="112"/>
        <v>0</v>
      </c>
      <c r="BN142" s="10">
        <f t="shared" si="113"/>
        <v>0</v>
      </c>
      <c r="BO142" s="10">
        <f t="shared" si="114"/>
        <v>48</v>
      </c>
      <c r="BP142" s="10">
        <f t="shared" si="115"/>
        <v>48</v>
      </c>
      <c r="BQ142" s="10">
        <f t="shared" si="116"/>
        <v>47</v>
      </c>
      <c r="BR142" s="10">
        <f t="shared" si="117"/>
        <v>46</v>
      </c>
      <c r="BS142" s="10">
        <f t="shared" si="118"/>
        <v>45</v>
      </c>
      <c r="BT142" s="10">
        <f t="shared" si="119"/>
        <v>44</v>
      </c>
      <c r="BU142" s="10">
        <f t="shared" si="120"/>
        <v>43</v>
      </c>
      <c r="BV142" s="10">
        <f t="shared" si="121"/>
        <v>42</v>
      </c>
      <c r="BW142" s="10">
        <f t="shared" si="122"/>
        <v>41</v>
      </c>
      <c r="BX142" s="10">
        <f t="shared" si="123"/>
        <v>40</v>
      </c>
      <c r="BY142" s="10">
        <f t="shared" si="124"/>
        <v>39</v>
      </c>
      <c r="BZ142" s="10">
        <f t="shared" si="125"/>
        <v>38</v>
      </c>
      <c r="CA142" s="10">
        <f t="shared" si="126"/>
        <v>37</v>
      </c>
      <c r="CB142" s="10">
        <f t="shared" si="127"/>
        <v>36</v>
      </c>
      <c r="CC142" s="10">
        <f t="shared" si="128"/>
        <v>35</v>
      </c>
      <c r="CD142" s="10">
        <f t="shared" si="129"/>
        <v>34</v>
      </c>
      <c r="CE142" s="10">
        <f t="shared" si="130"/>
        <v>33</v>
      </c>
      <c r="CF142" s="10">
        <f t="shared" si="131"/>
        <v>32</v>
      </c>
      <c r="CG142" s="10">
        <f t="shared" si="132"/>
        <v>31</v>
      </c>
      <c r="CH142" s="10">
        <f t="shared" si="133"/>
        <v>30</v>
      </c>
      <c r="CI142" s="10">
        <f t="shared" si="134"/>
        <v>29</v>
      </c>
      <c r="CJ142" s="10">
        <f t="shared" si="135"/>
        <v>28</v>
      </c>
      <c r="CK142" s="10">
        <f t="shared" si="136"/>
        <v>27</v>
      </c>
      <c r="CL142" s="10">
        <f t="shared" si="137"/>
        <v>26</v>
      </c>
      <c r="CM142" s="10" t="str">
        <f>'役職希望調査 ・備考'!I112&amp;""</f>
        <v/>
      </c>
    </row>
    <row r="143" spans="1:91">
      <c r="A143" s="10" t="str">
        <f>時間希望調査!A113&amp;""</f>
        <v/>
      </c>
      <c r="B143" s="10" t="str">
        <f>時間希望調査!B113&amp;""</f>
        <v/>
      </c>
      <c r="C143" s="10" t="str">
        <f>時間希望調査!C113&amp;""</f>
        <v/>
      </c>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0">
        <f t="shared" si="107"/>
        <v>0</v>
      </c>
      <c r="BC143" s="10">
        <f>時間希望調査!D113</f>
        <v>0</v>
      </c>
      <c r="BD143" s="10" t="str">
        <f>'役職希望調査 ・備考'!D113&amp;""</f>
        <v/>
      </c>
      <c r="BE143" s="10" t="str">
        <f>'役職希望調査 ・備考'!E113&amp;""</f>
        <v/>
      </c>
      <c r="BF143" s="10" t="str">
        <f>'役職希望調査 ・備考'!F113&amp;""</f>
        <v/>
      </c>
      <c r="BG143" s="10" t="str">
        <f>'役職希望調査 ・備考'!G113&amp;""</f>
        <v/>
      </c>
      <c r="BH143" s="10" t="str">
        <f>'役職希望調査 ・備考'!H113&amp;""</f>
        <v/>
      </c>
      <c r="BI143" s="10">
        <f t="shared" si="108"/>
        <v>0</v>
      </c>
      <c r="BJ143" s="10">
        <f t="shared" si="109"/>
        <v>0</v>
      </c>
      <c r="BK143" s="10">
        <f t="shared" si="110"/>
        <v>0</v>
      </c>
      <c r="BL143" s="10">
        <f t="shared" si="111"/>
        <v>0</v>
      </c>
      <c r="BM143" s="10">
        <f t="shared" si="112"/>
        <v>0</v>
      </c>
      <c r="BN143" s="10">
        <f t="shared" si="113"/>
        <v>0</v>
      </c>
      <c r="BO143" s="10">
        <f t="shared" si="114"/>
        <v>48</v>
      </c>
      <c r="BP143" s="10">
        <f t="shared" si="115"/>
        <v>48</v>
      </c>
      <c r="BQ143" s="10">
        <f t="shared" si="116"/>
        <v>47</v>
      </c>
      <c r="BR143" s="10">
        <f t="shared" si="117"/>
        <v>46</v>
      </c>
      <c r="BS143" s="10">
        <f t="shared" si="118"/>
        <v>45</v>
      </c>
      <c r="BT143" s="10">
        <f t="shared" si="119"/>
        <v>44</v>
      </c>
      <c r="BU143" s="10">
        <f t="shared" si="120"/>
        <v>43</v>
      </c>
      <c r="BV143" s="10">
        <f t="shared" si="121"/>
        <v>42</v>
      </c>
      <c r="BW143" s="10">
        <f t="shared" si="122"/>
        <v>41</v>
      </c>
      <c r="BX143" s="10">
        <f t="shared" si="123"/>
        <v>40</v>
      </c>
      <c r="BY143" s="10">
        <f t="shared" si="124"/>
        <v>39</v>
      </c>
      <c r="BZ143" s="10">
        <f t="shared" si="125"/>
        <v>38</v>
      </c>
      <c r="CA143" s="10">
        <f t="shared" si="126"/>
        <v>37</v>
      </c>
      <c r="CB143" s="10">
        <f t="shared" si="127"/>
        <v>36</v>
      </c>
      <c r="CC143" s="10">
        <f t="shared" si="128"/>
        <v>35</v>
      </c>
      <c r="CD143" s="10">
        <f t="shared" si="129"/>
        <v>34</v>
      </c>
      <c r="CE143" s="10">
        <f t="shared" si="130"/>
        <v>33</v>
      </c>
      <c r="CF143" s="10">
        <f t="shared" si="131"/>
        <v>32</v>
      </c>
      <c r="CG143" s="10">
        <f t="shared" si="132"/>
        <v>31</v>
      </c>
      <c r="CH143" s="10">
        <f t="shared" si="133"/>
        <v>30</v>
      </c>
      <c r="CI143" s="10">
        <f t="shared" si="134"/>
        <v>29</v>
      </c>
      <c r="CJ143" s="10">
        <f t="shared" si="135"/>
        <v>28</v>
      </c>
      <c r="CK143" s="10">
        <f t="shared" si="136"/>
        <v>27</v>
      </c>
      <c r="CL143" s="10">
        <f t="shared" si="137"/>
        <v>26</v>
      </c>
      <c r="CM143" s="10" t="str">
        <f>'役職希望調査 ・備考'!I113&amp;""</f>
        <v/>
      </c>
    </row>
    <row r="144" spans="1:91">
      <c r="A144" s="10" t="str">
        <f>時間希望調査!A114&amp;""</f>
        <v/>
      </c>
      <c r="B144" s="10" t="str">
        <f>時間希望調査!B114&amp;""</f>
        <v/>
      </c>
      <c r="C144" s="10" t="str">
        <f>時間希望調査!C114&amp;""</f>
        <v/>
      </c>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0">
        <f t="shared" si="107"/>
        <v>0</v>
      </c>
      <c r="BC144" s="10">
        <f>時間希望調査!D114</f>
        <v>0</v>
      </c>
      <c r="BD144" s="10" t="str">
        <f>'役職希望調査 ・備考'!D114&amp;""</f>
        <v/>
      </c>
      <c r="BE144" s="10" t="str">
        <f>'役職希望調査 ・備考'!E114&amp;""</f>
        <v/>
      </c>
      <c r="BF144" s="10" t="str">
        <f>'役職希望調査 ・備考'!F114&amp;""</f>
        <v/>
      </c>
      <c r="BG144" s="10" t="str">
        <f>'役職希望調査 ・備考'!G114&amp;""</f>
        <v/>
      </c>
      <c r="BH144" s="10" t="str">
        <f>'役職希望調査 ・備考'!H114&amp;""</f>
        <v/>
      </c>
      <c r="BI144" s="10">
        <f t="shared" si="108"/>
        <v>0</v>
      </c>
      <c r="BJ144" s="10">
        <f t="shared" si="109"/>
        <v>0</v>
      </c>
      <c r="BK144" s="10">
        <f t="shared" si="110"/>
        <v>0</v>
      </c>
      <c r="BL144" s="10">
        <f t="shared" si="111"/>
        <v>0</v>
      </c>
      <c r="BM144" s="10">
        <f t="shared" si="112"/>
        <v>0</v>
      </c>
      <c r="BN144" s="10">
        <f t="shared" si="113"/>
        <v>0</v>
      </c>
      <c r="BO144" s="10">
        <f t="shared" si="114"/>
        <v>48</v>
      </c>
      <c r="BP144" s="10">
        <f t="shared" si="115"/>
        <v>48</v>
      </c>
      <c r="BQ144" s="10">
        <f t="shared" si="116"/>
        <v>47</v>
      </c>
      <c r="BR144" s="10">
        <f t="shared" si="117"/>
        <v>46</v>
      </c>
      <c r="BS144" s="10">
        <f t="shared" si="118"/>
        <v>45</v>
      </c>
      <c r="BT144" s="10">
        <f t="shared" si="119"/>
        <v>44</v>
      </c>
      <c r="BU144" s="10">
        <f t="shared" si="120"/>
        <v>43</v>
      </c>
      <c r="BV144" s="10">
        <f t="shared" si="121"/>
        <v>42</v>
      </c>
      <c r="BW144" s="10">
        <f t="shared" si="122"/>
        <v>41</v>
      </c>
      <c r="BX144" s="10">
        <f t="shared" si="123"/>
        <v>40</v>
      </c>
      <c r="BY144" s="10">
        <f t="shared" si="124"/>
        <v>39</v>
      </c>
      <c r="BZ144" s="10">
        <f t="shared" si="125"/>
        <v>38</v>
      </c>
      <c r="CA144" s="10">
        <f t="shared" si="126"/>
        <v>37</v>
      </c>
      <c r="CB144" s="10">
        <f t="shared" si="127"/>
        <v>36</v>
      </c>
      <c r="CC144" s="10">
        <f t="shared" si="128"/>
        <v>35</v>
      </c>
      <c r="CD144" s="10">
        <f t="shared" si="129"/>
        <v>34</v>
      </c>
      <c r="CE144" s="10">
        <f t="shared" si="130"/>
        <v>33</v>
      </c>
      <c r="CF144" s="10">
        <f t="shared" si="131"/>
        <v>32</v>
      </c>
      <c r="CG144" s="10">
        <f t="shared" si="132"/>
        <v>31</v>
      </c>
      <c r="CH144" s="10">
        <f t="shared" si="133"/>
        <v>30</v>
      </c>
      <c r="CI144" s="10">
        <f t="shared" si="134"/>
        <v>29</v>
      </c>
      <c r="CJ144" s="10">
        <f t="shared" si="135"/>
        <v>28</v>
      </c>
      <c r="CK144" s="10">
        <f t="shared" si="136"/>
        <v>27</v>
      </c>
      <c r="CL144" s="10">
        <f t="shared" si="137"/>
        <v>26</v>
      </c>
      <c r="CM144" s="10" t="str">
        <f>'役職希望調査 ・備考'!I114&amp;""</f>
        <v/>
      </c>
    </row>
    <row r="145" spans="1:91">
      <c r="A145" s="10" t="str">
        <f>時間希望調査!A115&amp;""</f>
        <v/>
      </c>
      <c r="B145" s="10" t="str">
        <f>時間希望調査!B115&amp;""</f>
        <v/>
      </c>
      <c r="C145" s="10" t="str">
        <f>時間希望調査!C115&amp;""</f>
        <v/>
      </c>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0">
        <f t="shared" si="107"/>
        <v>0</v>
      </c>
      <c r="BC145" s="10">
        <f>時間希望調査!D115</f>
        <v>0</v>
      </c>
      <c r="BD145" s="10" t="str">
        <f>'役職希望調査 ・備考'!D115&amp;""</f>
        <v/>
      </c>
      <c r="BE145" s="10" t="str">
        <f>'役職希望調査 ・備考'!E115&amp;""</f>
        <v/>
      </c>
      <c r="BF145" s="10" t="str">
        <f>'役職希望調査 ・備考'!F115&amp;""</f>
        <v/>
      </c>
      <c r="BG145" s="10" t="str">
        <f>'役職希望調査 ・備考'!G115&amp;""</f>
        <v/>
      </c>
      <c r="BH145" s="10" t="str">
        <f>'役職希望調査 ・備考'!H115&amp;""</f>
        <v/>
      </c>
      <c r="BI145" s="10">
        <f t="shared" si="108"/>
        <v>0</v>
      </c>
      <c r="BJ145" s="10">
        <f t="shared" si="109"/>
        <v>0</v>
      </c>
      <c r="BK145" s="10">
        <f t="shared" si="110"/>
        <v>0</v>
      </c>
      <c r="BL145" s="10">
        <f t="shared" si="111"/>
        <v>0</v>
      </c>
      <c r="BM145" s="10">
        <f t="shared" si="112"/>
        <v>0</v>
      </c>
      <c r="BN145" s="10">
        <f t="shared" si="113"/>
        <v>0</v>
      </c>
      <c r="BO145" s="10">
        <f t="shared" si="114"/>
        <v>48</v>
      </c>
      <c r="BP145" s="10">
        <f t="shared" si="115"/>
        <v>48</v>
      </c>
      <c r="BQ145" s="10">
        <f t="shared" si="116"/>
        <v>47</v>
      </c>
      <c r="BR145" s="10">
        <f t="shared" si="117"/>
        <v>46</v>
      </c>
      <c r="BS145" s="10">
        <f t="shared" si="118"/>
        <v>45</v>
      </c>
      <c r="BT145" s="10">
        <f t="shared" si="119"/>
        <v>44</v>
      </c>
      <c r="BU145" s="10">
        <f t="shared" si="120"/>
        <v>43</v>
      </c>
      <c r="BV145" s="10">
        <f t="shared" si="121"/>
        <v>42</v>
      </c>
      <c r="BW145" s="10">
        <f t="shared" si="122"/>
        <v>41</v>
      </c>
      <c r="BX145" s="10">
        <f t="shared" si="123"/>
        <v>40</v>
      </c>
      <c r="BY145" s="10">
        <f t="shared" si="124"/>
        <v>39</v>
      </c>
      <c r="BZ145" s="10">
        <f t="shared" si="125"/>
        <v>38</v>
      </c>
      <c r="CA145" s="10">
        <f t="shared" si="126"/>
        <v>37</v>
      </c>
      <c r="CB145" s="10">
        <f t="shared" si="127"/>
        <v>36</v>
      </c>
      <c r="CC145" s="10">
        <f t="shared" si="128"/>
        <v>35</v>
      </c>
      <c r="CD145" s="10">
        <f t="shared" si="129"/>
        <v>34</v>
      </c>
      <c r="CE145" s="10">
        <f t="shared" si="130"/>
        <v>33</v>
      </c>
      <c r="CF145" s="10">
        <f t="shared" si="131"/>
        <v>32</v>
      </c>
      <c r="CG145" s="10">
        <f t="shared" si="132"/>
        <v>31</v>
      </c>
      <c r="CH145" s="10">
        <f t="shared" si="133"/>
        <v>30</v>
      </c>
      <c r="CI145" s="10">
        <f t="shared" si="134"/>
        <v>29</v>
      </c>
      <c r="CJ145" s="10">
        <f t="shared" si="135"/>
        <v>28</v>
      </c>
      <c r="CK145" s="10">
        <f t="shared" si="136"/>
        <v>27</v>
      </c>
      <c r="CL145" s="10">
        <f t="shared" si="137"/>
        <v>26</v>
      </c>
      <c r="CM145" s="10" t="str">
        <f>'役職希望調査 ・備考'!I115&amp;""</f>
        <v/>
      </c>
    </row>
    <row r="146" spans="1:91">
      <c r="A146" s="10" t="str">
        <f>時間希望調査!A116&amp;""</f>
        <v/>
      </c>
      <c r="B146" s="10" t="str">
        <f>時間希望調査!B116&amp;""</f>
        <v/>
      </c>
      <c r="C146" s="10" t="str">
        <f>時間希望調査!C116&amp;""</f>
        <v/>
      </c>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0">
        <f t="shared" si="107"/>
        <v>0</v>
      </c>
      <c r="BC146" s="10">
        <f>時間希望調査!D116</f>
        <v>0</v>
      </c>
      <c r="BD146" s="10" t="str">
        <f>'役職希望調査 ・備考'!D116&amp;""</f>
        <v/>
      </c>
      <c r="BE146" s="10" t="str">
        <f>'役職希望調査 ・備考'!E116&amp;""</f>
        <v/>
      </c>
      <c r="BF146" s="10" t="str">
        <f>'役職希望調査 ・備考'!F116&amp;""</f>
        <v/>
      </c>
      <c r="BG146" s="10" t="str">
        <f>'役職希望調査 ・備考'!G116&amp;""</f>
        <v/>
      </c>
      <c r="BH146" s="10" t="str">
        <f>'役職希望調査 ・備考'!H116&amp;""</f>
        <v/>
      </c>
      <c r="BI146" s="10">
        <f t="shared" si="108"/>
        <v>0</v>
      </c>
      <c r="BJ146" s="10">
        <f t="shared" si="109"/>
        <v>0</v>
      </c>
      <c r="BK146" s="10">
        <f t="shared" si="110"/>
        <v>0</v>
      </c>
      <c r="BL146" s="10">
        <f t="shared" si="111"/>
        <v>0</v>
      </c>
      <c r="BM146" s="10">
        <f t="shared" si="112"/>
        <v>0</v>
      </c>
      <c r="BN146" s="10">
        <f t="shared" si="113"/>
        <v>0</v>
      </c>
      <c r="BO146" s="10">
        <f t="shared" si="114"/>
        <v>48</v>
      </c>
      <c r="BP146" s="10">
        <f t="shared" si="115"/>
        <v>48</v>
      </c>
      <c r="BQ146" s="10">
        <f t="shared" si="116"/>
        <v>47</v>
      </c>
      <c r="BR146" s="10">
        <f t="shared" si="117"/>
        <v>46</v>
      </c>
      <c r="BS146" s="10">
        <f t="shared" si="118"/>
        <v>45</v>
      </c>
      <c r="BT146" s="10">
        <f t="shared" si="119"/>
        <v>44</v>
      </c>
      <c r="BU146" s="10">
        <f t="shared" si="120"/>
        <v>43</v>
      </c>
      <c r="BV146" s="10">
        <f t="shared" si="121"/>
        <v>42</v>
      </c>
      <c r="BW146" s="10">
        <f t="shared" si="122"/>
        <v>41</v>
      </c>
      <c r="BX146" s="10">
        <f t="shared" si="123"/>
        <v>40</v>
      </c>
      <c r="BY146" s="10">
        <f t="shared" si="124"/>
        <v>39</v>
      </c>
      <c r="BZ146" s="10">
        <f t="shared" si="125"/>
        <v>38</v>
      </c>
      <c r="CA146" s="10">
        <f t="shared" si="126"/>
        <v>37</v>
      </c>
      <c r="CB146" s="10">
        <f t="shared" si="127"/>
        <v>36</v>
      </c>
      <c r="CC146" s="10">
        <f t="shared" si="128"/>
        <v>35</v>
      </c>
      <c r="CD146" s="10">
        <f t="shared" si="129"/>
        <v>34</v>
      </c>
      <c r="CE146" s="10">
        <f t="shared" si="130"/>
        <v>33</v>
      </c>
      <c r="CF146" s="10">
        <f t="shared" si="131"/>
        <v>32</v>
      </c>
      <c r="CG146" s="10">
        <f t="shared" si="132"/>
        <v>31</v>
      </c>
      <c r="CH146" s="10">
        <f t="shared" si="133"/>
        <v>30</v>
      </c>
      <c r="CI146" s="10">
        <f t="shared" si="134"/>
        <v>29</v>
      </c>
      <c r="CJ146" s="10">
        <f t="shared" si="135"/>
        <v>28</v>
      </c>
      <c r="CK146" s="10">
        <f t="shared" si="136"/>
        <v>27</v>
      </c>
      <c r="CL146" s="10">
        <f t="shared" si="137"/>
        <v>26</v>
      </c>
      <c r="CM146" s="10" t="str">
        <f>'役職希望調査 ・備考'!I116&amp;""</f>
        <v/>
      </c>
    </row>
    <row r="147" spans="1:91">
      <c r="A147" s="10" t="str">
        <f>時間希望調査!A117&amp;""</f>
        <v/>
      </c>
      <c r="B147" s="10" t="str">
        <f>時間希望調査!B117&amp;""</f>
        <v/>
      </c>
      <c r="C147" s="10" t="str">
        <f>時間希望調査!C117&amp;""</f>
        <v/>
      </c>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0">
        <f t="shared" si="107"/>
        <v>0</v>
      </c>
      <c r="BC147" s="10">
        <f>時間希望調査!D117</f>
        <v>0</v>
      </c>
      <c r="BD147" s="10" t="str">
        <f>'役職希望調査 ・備考'!D117&amp;""</f>
        <v/>
      </c>
      <c r="BE147" s="10" t="str">
        <f>'役職希望調査 ・備考'!E117&amp;""</f>
        <v/>
      </c>
      <c r="BF147" s="10" t="str">
        <f>'役職希望調査 ・備考'!F117&amp;""</f>
        <v/>
      </c>
      <c r="BG147" s="10" t="str">
        <f>'役職希望調査 ・備考'!G117&amp;""</f>
        <v/>
      </c>
      <c r="BH147" s="10" t="str">
        <f>'役職希望調査 ・備考'!H117&amp;""</f>
        <v/>
      </c>
      <c r="BI147" s="10">
        <f t="shared" si="108"/>
        <v>0</v>
      </c>
      <c r="BJ147" s="10">
        <f t="shared" si="109"/>
        <v>0</v>
      </c>
      <c r="BK147" s="10">
        <f t="shared" si="110"/>
        <v>0</v>
      </c>
      <c r="BL147" s="10">
        <f t="shared" si="111"/>
        <v>0</v>
      </c>
      <c r="BM147" s="10">
        <f t="shared" si="112"/>
        <v>0</v>
      </c>
      <c r="BN147" s="10">
        <f t="shared" si="113"/>
        <v>0</v>
      </c>
      <c r="BO147" s="10">
        <f t="shared" si="114"/>
        <v>48</v>
      </c>
      <c r="BP147" s="10">
        <f t="shared" si="115"/>
        <v>48</v>
      </c>
      <c r="BQ147" s="10">
        <f t="shared" si="116"/>
        <v>47</v>
      </c>
      <c r="BR147" s="10">
        <f t="shared" si="117"/>
        <v>46</v>
      </c>
      <c r="BS147" s="10">
        <f t="shared" si="118"/>
        <v>45</v>
      </c>
      <c r="BT147" s="10">
        <f t="shared" si="119"/>
        <v>44</v>
      </c>
      <c r="BU147" s="10">
        <f t="shared" si="120"/>
        <v>43</v>
      </c>
      <c r="BV147" s="10">
        <f t="shared" si="121"/>
        <v>42</v>
      </c>
      <c r="BW147" s="10">
        <f t="shared" si="122"/>
        <v>41</v>
      </c>
      <c r="BX147" s="10">
        <f t="shared" si="123"/>
        <v>40</v>
      </c>
      <c r="BY147" s="10">
        <f t="shared" si="124"/>
        <v>39</v>
      </c>
      <c r="BZ147" s="10">
        <f t="shared" si="125"/>
        <v>38</v>
      </c>
      <c r="CA147" s="10">
        <f t="shared" si="126"/>
        <v>37</v>
      </c>
      <c r="CB147" s="10">
        <f t="shared" si="127"/>
        <v>36</v>
      </c>
      <c r="CC147" s="10">
        <f t="shared" si="128"/>
        <v>35</v>
      </c>
      <c r="CD147" s="10">
        <f t="shared" si="129"/>
        <v>34</v>
      </c>
      <c r="CE147" s="10">
        <f t="shared" si="130"/>
        <v>33</v>
      </c>
      <c r="CF147" s="10">
        <f t="shared" si="131"/>
        <v>32</v>
      </c>
      <c r="CG147" s="10">
        <f t="shared" si="132"/>
        <v>31</v>
      </c>
      <c r="CH147" s="10">
        <f t="shared" si="133"/>
        <v>30</v>
      </c>
      <c r="CI147" s="10">
        <f t="shared" si="134"/>
        <v>29</v>
      </c>
      <c r="CJ147" s="10">
        <f t="shared" si="135"/>
        <v>28</v>
      </c>
      <c r="CK147" s="10">
        <f t="shared" si="136"/>
        <v>27</v>
      </c>
      <c r="CL147" s="10">
        <f t="shared" si="137"/>
        <v>26</v>
      </c>
      <c r="CM147" s="10" t="str">
        <f>'役職希望調査 ・備考'!I117&amp;""</f>
        <v/>
      </c>
    </row>
    <row r="148" spans="1:91">
      <c r="A148" s="10" t="str">
        <f>時間希望調査!A118&amp;""</f>
        <v/>
      </c>
      <c r="B148" s="10" t="str">
        <f>時間希望調査!B118&amp;""</f>
        <v/>
      </c>
      <c r="C148" s="10" t="str">
        <f>時間希望調査!C118&amp;""</f>
        <v/>
      </c>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0">
        <f t="shared" si="107"/>
        <v>0</v>
      </c>
      <c r="BC148" s="10">
        <f>時間希望調査!D118</f>
        <v>0</v>
      </c>
      <c r="BD148" s="10" t="str">
        <f>'役職希望調査 ・備考'!D118&amp;""</f>
        <v/>
      </c>
      <c r="BE148" s="10" t="str">
        <f>'役職希望調査 ・備考'!E118&amp;""</f>
        <v/>
      </c>
      <c r="BF148" s="10" t="str">
        <f>'役職希望調査 ・備考'!F118&amp;""</f>
        <v/>
      </c>
      <c r="BG148" s="10" t="str">
        <f>'役職希望調査 ・備考'!G118&amp;""</f>
        <v/>
      </c>
      <c r="BH148" s="10" t="str">
        <f>'役職希望調査 ・備考'!H118&amp;""</f>
        <v/>
      </c>
      <c r="BI148" s="10">
        <f t="shared" si="108"/>
        <v>0</v>
      </c>
      <c r="BJ148" s="10">
        <f t="shared" si="109"/>
        <v>0</v>
      </c>
      <c r="BK148" s="10">
        <f t="shared" si="110"/>
        <v>0</v>
      </c>
      <c r="BL148" s="10">
        <f t="shared" si="111"/>
        <v>0</v>
      </c>
      <c r="BM148" s="10">
        <f t="shared" si="112"/>
        <v>0</v>
      </c>
      <c r="BN148" s="10">
        <f t="shared" si="113"/>
        <v>0</v>
      </c>
      <c r="BO148" s="10">
        <f t="shared" si="114"/>
        <v>48</v>
      </c>
      <c r="BP148" s="10">
        <f t="shared" si="115"/>
        <v>48</v>
      </c>
      <c r="BQ148" s="10">
        <f t="shared" si="116"/>
        <v>47</v>
      </c>
      <c r="BR148" s="10">
        <f t="shared" si="117"/>
        <v>46</v>
      </c>
      <c r="BS148" s="10">
        <f t="shared" si="118"/>
        <v>45</v>
      </c>
      <c r="BT148" s="10">
        <f t="shared" si="119"/>
        <v>44</v>
      </c>
      <c r="BU148" s="10">
        <f t="shared" si="120"/>
        <v>43</v>
      </c>
      <c r="BV148" s="10">
        <f t="shared" si="121"/>
        <v>42</v>
      </c>
      <c r="BW148" s="10">
        <f t="shared" si="122"/>
        <v>41</v>
      </c>
      <c r="BX148" s="10">
        <f t="shared" si="123"/>
        <v>40</v>
      </c>
      <c r="BY148" s="10">
        <f t="shared" si="124"/>
        <v>39</v>
      </c>
      <c r="BZ148" s="10">
        <f t="shared" si="125"/>
        <v>38</v>
      </c>
      <c r="CA148" s="10">
        <f t="shared" si="126"/>
        <v>37</v>
      </c>
      <c r="CB148" s="10">
        <f t="shared" si="127"/>
        <v>36</v>
      </c>
      <c r="CC148" s="10">
        <f t="shared" si="128"/>
        <v>35</v>
      </c>
      <c r="CD148" s="10">
        <f t="shared" si="129"/>
        <v>34</v>
      </c>
      <c r="CE148" s="10">
        <f t="shared" si="130"/>
        <v>33</v>
      </c>
      <c r="CF148" s="10">
        <f t="shared" si="131"/>
        <v>32</v>
      </c>
      <c r="CG148" s="10">
        <f t="shared" si="132"/>
        <v>31</v>
      </c>
      <c r="CH148" s="10">
        <f t="shared" si="133"/>
        <v>30</v>
      </c>
      <c r="CI148" s="10">
        <f t="shared" si="134"/>
        <v>29</v>
      </c>
      <c r="CJ148" s="10">
        <f t="shared" si="135"/>
        <v>28</v>
      </c>
      <c r="CK148" s="10">
        <f t="shared" si="136"/>
        <v>27</v>
      </c>
      <c r="CL148" s="10">
        <f t="shared" si="137"/>
        <v>26</v>
      </c>
      <c r="CM148" s="10" t="str">
        <f>'役職希望調査 ・備考'!I118&amp;""</f>
        <v/>
      </c>
    </row>
    <row r="149" spans="1:91">
      <c r="A149" s="10" t="str">
        <f>時間希望調査!A119&amp;""</f>
        <v/>
      </c>
      <c r="B149" s="10" t="str">
        <f>時間希望調査!B119&amp;""</f>
        <v/>
      </c>
      <c r="C149" s="10" t="str">
        <f>時間希望調査!C119&amp;""</f>
        <v/>
      </c>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0">
        <f t="shared" si="107"/>
        <v>0</v>
      </c>
      <c r="BC149" s="10">
        <f>時間希望調査!D119</f>
        <v>0</v>
      </c>
      <c r="BD149" s="10" t="str">
        <f>'役職希望調査 ・備考'!D119&amp;""</f>
        <v/>
      </c>
      <c r="BE149" s="10" t="str">
        <f>'役職希望調査 ・備考'!E119&amp;""</f>
        <v/>
      </c>
      <c r="BF149" s="10" t="str">
        <f>'役職希望調査 ・備考'!F119&amp;""</f>
        <v/>
      </c>
      <c r="BG149" s="10" t="str">
        <f>'役職希望調査 ・備考'!G119&amp;""</f>
        <v/>
      </c>
      <c r="BH149" s="10" t="str">
        <f>'役職希望調査 ・備考'!H119&amp;""</f>
        <v/>
      </c>
      <c r="BI149" s="10">
        <f t="shared" si="108"/>
        <v>0</v>
      </c>
      <c r="BJ149" s="10">
        <f t="shared" si="109"/>
        <v>0</v>
      </c>
      <c r="BK149" s="10">
        <f t="shared" si="110"/>
        <v>0</v>
      </c>
      <c r="BL149" s="10">
        <f t="shared" si="111"/>
        <v>0</v>
      </c>
      <c r="BM149" s="10">
        <f t="shared" si="112"/>
        <v>0</v>
      </c>
      <c r="BN149" s="10">
        <f t="shared" si="113"/>
        <v>0</v>
      </c>
      <c r="BO149" s="10">
        <f t="shared" si="114"/>
        <v>48</v>
      </c>
      <c r="BP149" s="10">
        <f t="shared" si="115"/>
        <v>48</v>
      </c>
      <c r="BQ149" s="10">
        <f t="shared" si="116"/>
        <v>47</v>
      </c>
      <c r="BR149" s="10">
        <f t="shared" si="117"/>
        <v>46</v>
      </c>
      <c r="BS149" s="10">
        <f t="shared" si="118"/>
        <v>45</v>
      </c>
      <c r="BT149" s="10">
        <f t="shared" si="119"/>
        <v>44</v>
      </c>
      <c r="BU149" s="10">
        <f t="shared" si="120"/>
        <v>43</v>
      </c>
      <c r="BV149" s="10">
        <f t="shared" si="121"/>
        <v>42</v>
      </c>
      <c r="BW149" s="10">
        <f t="shared" si="122"/>
        <v>41</v>
      </c>
      <c r="BX149" s="10">
        <f t="shared" si="123"/>
        <v>40</v>
      </c>
      <c r="BY149" s="10">
        <f t="shared" si="124"/>
        <v>39</v>
      </c>
      <c r="BZ149" s="10">
        <f t="shared" si="125"/>
        <v>38</v>
      </c>
      <c r="CA149" s="10">
        <f t="shared" si="126"/>
        <v>37</v>
      </c>
      <c r="CB149" s="10">
        <f t="shared" si="127"/>
        <v>36</v>
      </c>
      <c r="CC149" s="10">
        <f t="shared" si="128"/>
        <v>35</v>
      </c>
      <c r="CD149" s="10">
        <f t="shared" si="129"/>
        <v>34</v>
      </c>
      <c r="CE149" s="10">
        <f t="shared" si="130"/>
        <v>33</v>
      </c>
      <c r="CF149" s="10">
        <f t="shared" si="131"/>
        <v>32</v>
      </c>
      <c r="CG149" s="10">
        <f t="shared" si="132"/>
        <v>31</v>
      </c>
      <c r="CH149" s="10">
        <f t="shared" si="133"/>
        <v>30</v>
      </c>
      <c r="CI149" s="10">
        <f t="shared" si="134"/>
        <v>29</v>
      </c>
      <c r="CJ149" s="10">
        <f t="shared" si="135"/>
        <v>28</v>
      </c>
      <c r="CK149" s="10">
        <f t="shared" si="136"/>
        <v>27</v>
      </c>
      <c r="CL149" s="10">
        <f t="shared" si="137"/>
        <v>26</v>
      </c>
      <c r="CM149" s="10" t="str">
        <f>'役職希望調査 ・備考'!I119&amp;""</f>
        <v/>
      </c>
    </row>
    <row r="150" spans="1:91">
      <c r="A150" s="10" t="str">
        <f>時間希望調査!A120&amp;""</f>
        <v/>
      </c>
      <c r="B150" s="10" t="str">
        <f>時間希望調査!B120&amp;""</f>
        <v/>
      </c>
      <c r="C150" s="10" t="str">
        <f>時間希望調査!C120&amp;""</f>
        <v/>
      </c>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0">
        <f t="shared" si="107"/>
        <v>0</v>
      </c>
      <c r="BC150" s="10">
        <f>時間希望調査!D120</f>
        <v>0</v>
      </c>
      <c r="BD150" s="10" t="str">
        <f>'役職希望調査 ・備考'!D120&amp;""</f>
        <v/>
      </c>
      <c r="BE150" s="10" t="str">
        <f>'役職希望調査 ・備考'!E120&amp;""</f>
        <v/>
      </c>
      <c r="BF150" s="10" t="str">
        <f>'役職希望調査 ・備考'!F120&amp;""</f>
        <v/>
      </c>
      <c r="BG150" s="10" t="str">
        <f>'役職希望調査 ・備考'!G120&amp;""</f>
        <v/>
      </c>
      <c r="BH150" s="10" t="str">
        <f>'役職希望調査 ・備考'!H120&amp;""</f>
        <v/>
      </c>
      <c r="BI150" s="10">
        <f t="shared" si="108"/>
        <v>0</v>
      </c>
      <c r="BJ150" s="10">
        <f t="shared" si="109"/>
        <v>0</v>
      </c>
      <c r="BK150" s="10">
        <f t="shared" si="110"/>
        <v>0</v>
      </c>
      <c r="BL150" s="10">
        <f t="shared" si="111"/>
        <v>0</v>
      </c>
      <c r="BM150" s="10">
        <f t="shared" si="112"/>
        <v>0</v>
      </c>
      <c r="BN150" s="10">
        <f t="shared" si="113"/>
        <v>0</v>
      </c>
      <c r="BO150" s="10">
        <f t="shared" si="114"/>
        <v>48</v>
      </c>
      <c r="BP150" s="10">
        <f t="shared" si="115"/>
        <v>48</v>
      </c>
      <c r="BQ150" s="10">
        <f t="shared" si="116"/>
        <v>47</v>
      </c>
      <c r="BR150" s="10">
        <f t="shared" si="117"/>
        <v>46</v>
      </c>
      <c r="BS150" s="10">
        <f t="shared" si="118"/>
        <v>45</v>
      </c>
      <c r="BT150" s="10">
        <f t="shared" si="119"/>
        <v>44</v>
      </c>
      <c r="BU150" s="10">
        <f t="shared" si="120"/>
        <v>43</v>
      </c>
      <c r="BV150" s="10">
        <f t="shared" si="121"/>
        <v>42</v>
      </c>
      <c r="BW150" s="10">
        <f t="shared" si="122"/>
        <v>41</v>
      </c>
      <c r="BX150" s="10">
        <f t="shared" si="123"/>
        <v>40</v>
      </c>
      <c r="BY150" s="10">
        <f t="shared" si="124"/>
        <v>39</v>
      </c>
      <c r="BZ150" s="10">
        <f t="shared" si="125"/>
        <v>38</v>
      </c>
      <c r="CA150" s="10">
        <f t="shared" si="126"/>
        <v>37</v>
      </c>
      <c r="CB150" s="10">
        <f t="shared" si="127"/>
        <v>36</v>
      </c>
      <c r="CC150" s="10">
        <f t="shared" si="128"/>
        <v>35</v>
      </c>
      <c r="CD150" s="10">
        <f t="shared" si="129"/>
        <v>34</v>
      </c>
      <c r="CE150" s="10">
        <f t="shared" si="130"/>
        <v>33</v>
      </c>
      <c r="CF150" s="10">
        <f t="shared" si="131"/>
        <v>32</v>
      </c>
      <c r="CG150" s="10">
        <f t="shared" si="132"/>
        <v>31</v>
      </c>
      <c r="CH150" s="10">
        <f t="shared" si="133"/>
        <v>30</v>
      </c>
      <c r="CI150" s="10">
        <f t="shared" si="134"/>
        <v>29</v>
      </c>
      <c r="CJ150" s="10">
        <f t="shared" si="135"/>
        <v>28</v>
      </c>
      <c r="CK150" s="10">
        <f t="shared" si="136"/>
        <v>27</v>
      </c>
      <c r="CL150" s="10">
        <f t="shared" si="137"/>
        <v>26</v>
      </c>
      <c r="CM150" s="10" t="str">
        <f>'役職希望調査 ・備考'!I120&amp;""</f>
        <v/>
      </c>
    </row>
    <row r="151" spans="1:91">
      <c r="A151" s="10" t="str">
        <f>時間希望調査!A121&amp;""</f>
        <v/>
      </c>
      <c r="B151" s="10" t="str">
        <f>時間希望調査!B121&amp;""</f>
        <v/>
      </c>
      <c r="C151" s="10" t="str">
        <f>時間希望調査!C121&amp;""</f>
        <v/>
      </c>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0">
        <f t="shared" si="107"/>
        <v>0</v>
      </c>
      <c r="BC151" s="10">
        <f>時間希望調査!D121</f>
        <v>0</v>
      </c>
      <c r="BD151" s="10" t="str">
        <f>'役職希望調査 ・備考'!D121&amp;""</f>
        <v/>
      </c>
      <c r="BE151" s="10" t="str">
        <f>'役職希望調査 ・備考'!E121&amp;""</f>
        <v/>
      </c>
      <c r="BF151" s="10" t="str">
        <f>'役職希望調査 ・備考'!F121&amp;""</f>
        <v/>
      </c>
      <c r="BG151" s="10" t="str">
        <f>'役職希望調査 ・備考'!G121&amp;""</f>
        <v/>
      </c>
      <c r="BH151" s="10" t="str">
        <f>'役職希望調査 ・備考'!H121&amp;""</f>
        <v/>
      </c>
      <c r="BI151" s="10">
        <f t="shared" si="108"/>
        <v>0</v>
      </c>
      <c r="BJ151" s="10">
        <f t="shared" si="109"/>
        <v>0</v>
      </c>
      <c r="BK151" s="10">
        <f t="shared" si="110"/>
        <v>0</v>
      </c>
      <c r="BL151" s="10">
        <f t="shared" si="111"/>
        <v>0</v>
      </c>
      <c r="BM151" s="10">
        <f t="shared" si="112"/>
        <v>0</v>
      </c>
      <c r="BN151" s="10">
        <f t="shared" si="113"/>
        <v>0</v>
      </c>
      <c r="BO151" s="10">
        <f t="shared" si="114"/>
        <v>48</v>
      </c>
      <c r="BP151" s="10">
        <f t="shared" si="115"/>
        <v>48</v>
      </c>
      <c r="BQ151" s="10">
        <f t="shared" si="116"/>
        <v>47</v>
      </c>
      <c r="BR151" s="10">
        <f t="shared" si="117"/>
        <v>46</v>
      </c>
      <c r="BS151" s="10">
        <f t="shared" si="118"/>
        <v>45</v>
      </c>
      <c r="BT151" s="10">
        <f t="shared" si="119"/>
        <v>44</v>
      </c>
      <c r="BU151" s="10">
        <f t="shared" si="120"/>
        <v>43</v>
      </c>
      <c r="BV151" s="10">
        <f t="shared" si="121"/>
        <v>42</v>
      </c>
      <c r="BW151" s="10">
        <f t="shared" si="122"/>
        <v>41</v>
      </c>
      <c r="BX151" s="10">
        <f t="shared" si="123"/>
        <v>40</v>
      </c>
      <c r="BY151" s="10">
        <f t="shared" si="124"/>
        <v>39</v>
      </c>
      <c r="BZ151" s="10">
        <f t="shared" si="125"/>
        <v>38</v>
      </c>
      <c r="CA151" s="10">
        <f t="shared" si="126"/>
        <v>37</v>
      </c>
      <c r="CB151" s="10">
        <f t="shared" si="127"/>
        <v>36</v>
      </c>
      <c r="CC151" s="10">
        <f t="shared" si="128"/>
        <v>35</v>
      </c>
      <c r="CD151" s="10">
        <f t="shared" si="129"/>
        <v>34</v>
      </c>
      <c r="CE151" s="10">
        <f t="shared" si="130"/>
        <v>33</v>
      </c>
      <c r="CF151" s="10">
        <f t="shared" si="131"/>
        <v>32</v>
      </c>
      <c r="CG151" s="10">
        <f t="shared" si="132"/>
        <v>31</v>
      </c>
      <c r="CH151" s="10">
        <f t="shared" si="133"/>
        <v>30</v>
      </c>
      <c r="CI151" s="10">
        <f t="shared" si="134"/>
        <v>29</v>
      </c>
      <c r="CJ151" s="10">
        <f t="shared" si="135"/>
        <v>28</v>
      </c>
      <c r="CK151" s="10">
        <f t="shared" si="136"/>
        <v>27</v>
      </c>
      <c r="CL151" s="10">
        <f t="shared" si="137"/>
        <v>26</v>
      </c>
      <c r="CM151" s="10" t="str">
        <f>'役職希望調査 ・備考'!I121&amp;""</f>
        <v/>
      </c>
    </row>
    <row r="152" spans="1:91">
      <c r="A152" s="10" t="str">
        <f>時間希望調査!A122&amp;""</f>
        <v/>
      </c>
      <c r="B152" s="10" t="str">
        <f>時間希望調査!B122&amp;""</f>
        <v/>
      </c>
      <c r="C152" s="10" t="str">
        <f>時間希望調査!C122&amp;""</f>
        <v/>
      </c>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0">
        <f t="shared" si="107"/>
        <v>0</v>
      </c>
      <c r="BC152" s="10">
        <f>時間希望調査!D122</f>
        <v>0</v>
      </c>
      <c r="BD152" s="10" t="str">
        <f>'役職希望調査 ・備考'!D122&amp;""</f>
        <v/>
      </c>
      <c r="BE152" s="10" t="str">
        <f>'役職希望調査 ・備考'!E122&amp;""</f>
        <v/>
      </c>
      <c r="BF152" s="10" t="str">
        <f>'役職希望調査 ・備考'!F122&amp;""</f>
        <v/>
      </c>
      <c r="BG152" s="10" t="str">
        <f>'役職希望調査 ・備考'!G122&amp;""</f>
        <v/>
      </c>
      <c r="BH152" s="10" t="str">
        <f>'役職希望調査 ・備考'!H122&amp;""</f>
        <v/>
      </c>
      <c r="BI152" s="10">
        <f t="shared" si="108"/>
        <v>0</v>
      </c>
      <c r="BJ152" s="10">
        <f t="shared" si="109"/>
        <v>0</v>
      </c>
      <c r="BK152" s="10">
        <f t="shared" si="110"/>
        <v>0</v>
      </c>
      <c r="BL152" s="10">
        <f t="shared" si="111"/>
        <v>0</v>
      </c>
      <c r="BM152" s="10">
        <f t="shared" si="112"/>
        <v>0</v>
      </c>
      <c r="BN152" s="10">
        <f t="shared" si="113"/>
        <v>0</v>
      </c>
      <c r="BO152" s="10">
        <f t="shared" si="114"/>
        <v>48</v>
      </c>
      <c r="BP152" s="10">
        <f t="shared" si="115"/>
        <v>48</v>
      </c>
      <c r="BQ152" s="10">
        <f t="shared" si="116"/>
        <v>47</v>
      </c>
      <c r="BR152" s="10">
        <f t="shared" si="117"/>
        <v>46</v>
      </c>
      <c r="BS152" s="10">
        <f t="shared" si="118"/>
        <v>45</v>
      </c>
      <c r="BT152" s="10">
        <f t="shared" si="119"/>
        <v>44</v>
      </c>
      <c r="BU152" s="10">
        <f t="shared" si="120"/>
        <v>43</v>
      </c>
      <c r="BV152" s="10">
        <f t="shared" si="121"/>
        <v>42</v>
      </c>
      <c r="BW152" s="10">
        <f t="shared" si="122"/>
        <v>41</v>
      </c>
      <c r="BX152" s="10">
        <f t="shared" si="123"/>
        <v>40</v>
      </c>
      <c r="BY152" s="10">
        <f t="shared" si="124"/>
        <v>39</v>
      </c>
      <c r="BZ152" s="10">
        <f t="shared" si="125"/>
        <v>38</v>
      </c>
      <c r="CA152" s="10">
        <f t="shared" si="126"/>
        <v>37</v>
      </c>
      <c r="CB152" s="10">
        <f t="shared" si="127"/>
        <v>36</v>
      </c>
      <c r="CC152" s="10">
        <f t="shared" si="128"/>
        <v>35</v>
      </c>
      <c r="CD152" s="10">
        <f t="shared" si="129"/>
        <v>34</v>
      </c>
      <c r="CE152" s="10">
        <f t="shared" si="130"/>
        <v>33</v>
      </c>
      <c r="CF152" s="10">
        <f t="shared" si="131"/>
        <v>32</v>
      </c>
      <c r="CG152" s="10">
        <f t="shared" si="132"/>
        <v>31</v>
      </c>
      <c r="CH152" s="10">
        <f t="shared" si="133"/>
        <v>30</v>
      </c>
      <c r="CI152" s="10">
        <f t="shared" si="134"/>
        <v>29</v>
      </c>
      <c r="CJ152" s="10">
        <f t="shared" si="135"/>
        <v>28</v>
      </c>
      <c r="CK152" s="10">
        <f t="shared" si="136"/>
        <v>27</v>
      </c>
      <c r="CL152" s="10">
        <f t="shared" si="137"/>
        <v>26</v>
      </c>
      <c r="CM152" s="10" t="str">
        <f>'役職希望調査 ・備考'!I122&amp;""</f>
        <v/>
      </c>
    </row>
    <row r="153" spans="1:91">
      <c r="A153" s="10" t="str">
        <f>時間希望調査!A123&amp;""</f>
        <v/>
      </c>
      <c r="B153" s="10" t="str">
        <f>時間希望調査!B123&amp;""</f>
        <v/>
      </c>
      <c r="C153" s="10" t="str">
        <f>時間希望調査!C123&amp;""</f>
        <v/>
      </c>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0">
        <f t="shared" si="107"/>
        <v>0</v>
      </c>
      <c r="BC153" s="10">
        <f>時間希望調査!D123</f>
        <v>0</v>
      </c>
      <c r="BD153" s="10" t="str">
        <f>'役職希望調査 ・備考'!D123&amp;""</f>
        <v/>
      </c>
      <c r="BE153" s="10" t="str">
        <f>'役職希望調査 ・備考'!E123&amp;""</f>
        <v/>
      </c>
      <c r="BF153" s="10" t="str">
        <f>'役職希望調査 ・備考'!F123&amp;""</f>
        <v/>
      </c>
      <c r="BG153" s="10" t="str">
        <f>'役職希望調査 ・備考'!G123&amp;""</f>
        <v/>
      </c>
      <c r="BH153" s="10" t="str">
        <f>'役職希望調査 ・備考'!H123&amp;""</f>
        <v/>
      </c>
      <c r="BI153" s="10">
        <f t="shared" si="108"/>
        <v>0</v>
      </c>
      <c r="BJ153" s="10">
        <f t="shared" si="109"/>
        <v>0</v>
      </c>
      <c r="BK153" s="10">
        <f t="shared" si="110"/>
        <v>0</v>
      </c>
      <c r="BL153" s="10">
        <f t="shared" si="111"/>
        <v>0</v>
      </c>
      <c r="BM153" s="10">
        <f t="shared" si="112"/>
        <v>0</v>
      </c>
      <c r="BN153" s="10">
        <f t="shared" si="113"/>
        <v>0</v>
      </c>
      <c r="BO153" s="10">
        <f t="shared" si="114"/>
        <v>48</v>
      </c>
      <c r="BP153" s="10">
        <f t="shared" si="115"/>
        <v>48</v>
      </c>
      <c r="BQ153" s="10">
        <f t="shared" si="116"/>
        <v>47</v>
      </c>
      <c r="BR153" s="10">
        <f t="shared" si="117"/>
        <v>46</v>
      </c>
      <c r="BS153" s="10">
        <f t="shared" si="118"/>
        <v>45</v>
      </c>
      <c r="BT153" s="10">
        <f t="shared" si="119"/>
        <v>44</v>
      </c>
      <c r="BU153" s="10">
        <f t="shared" si="120"/>
        <v>43</v>
      </c>
      <c r="BV153" s="10">
        <f t="shared" si="121"/>
        <v>42</v>
      </c>
      <c r="BW153" s="10">
        <f t="shared" si="122"/>
        <v>41</v>
      </c>
      <c r="BX153" s="10">
        <f t="shared" si="123"/>
        <v>40</v>
      </c>
      <c r="BY153" s="10">
        <f t="shared" si="124"/>
        <v>39</v>
      </c>
      <c r="BZ153" s="10">
        <f t="shared" si="125"/>
        <v>38</v>
      </c>
      <c r="CA153" s="10">
        <f t="shared" si="126"/>
        <v>37</v>
      </c>
      <c r="CB153" s="10">
        <f t="shared" si="127"/>
        <v>36</v>
      </c>
      <c r="CC153" s="10">
        <f t="shared" si="128"/>
        <v>35</v>
      </c>
      <c r="CD153" s="10">
        <f t="shared" si="129"/>
        <v>34</v>
      </c>
      <c r="CE153" s="10">
        <f t="shared" si="130"/>
        <v>33</v>
      </c>
      <c r="CF153" s="10">
        <f t="shared" si="131"/>
        <v>32</v>
      </c>
      <c r="CG153" s="10">
        <f t="shared" si="132"/>
        <v>31</v>
      </c>
      <c r="CH153" s="10">
        <f t="shared" si="133"/>
        <v>30</v>
      </c>
      <c r="CI153" s="10">
        <f t="shared" si="134"/>
        <v>29</v>
      </c>
      <c r="CJ153" s="10">
        <f t="shared" si="135"/>
        <v>28</v>
      </c>
      <c r="CK153" s="10">
        <f t="shared" si="136"/>
        <v>27</v>
      </c>
      <c r="CL153" s="10">
        <f t="shared" si="137"/>
        <v>26</v>
      </c>
      <c r="CM153" s="10" t="str">
        <f>'役職希望調査 ・備考'!I123&amp;""</f>
        <v/>
      </c>
    </row>
    <row r="154" spans="1:91">
      <c r="A154" s="10" t="str">
        <f>時間希望調査!A124&amp;""</f>
        <v/>
      </c>
      <c r="B154" s="10" t="str">
        <f>時間希望調査!B124&amp;""</f>
        <v/>
      </c>
      <c r="C154" s="10" t="str">
        <f>時間希望調査!C124&amp;""</f>
        <v/>
      </c>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0">
        <f t="shared" si="107"/>
        <v>0</v>
      </c>
      <c r="BC154" s="10">
        <f>時間希望調査!D124</f>
        <v>0</v>
      </c>
      <c r="BD154" s="10" t="str">
        <f>'役職希望調査 ・備考'!D124&amp;""</f>
        <v/>
      </c>
      <c r="BE154" s="10" t="str">
        <f>'役職希望調査 ・備考'!E124&amp;""</f>
        <v/>
      </c>
      <c r="BF154" s="10" t="str">
        <f>'役職希望調査 ・備考'!F124&amp;""</f>
        <v/>
      </c>
      <c r="BG154" s="10" t="str">
        <f>'役職希望調査 ・備考'!G124&amp;""</f>
        <v/>
      </c>
      <c r="BH154" s="10" t="str">
        <f>'役職希望調査 ・備考'!H124&amp;""</f>
        <v/>
      </c>
      <c r="BI154" s="10">
        <f t="shared" si="108"/>
        <v>0</v>
      </c>
      <c r="BJ154" s="10">
        <f t="shared" si="109"/>
        <v>0</v>
      </c>
      <c r="BK154" s="10">
        <f t="shared" si="110"/>
        <v>0</v>
      </c>
      <c r="BL154" s="10">
        <f t="shared" si="111"/>
        <v>0</v>
      </c>
      <c r="BM154" s="10">
        <f t="shared" si="112"/>
        <v>0</v>
      </c>
      <c r="BN154" s="10">
        <f t="shared" si="113"/>
        <v>0</v>
      </c>
      <c r="BO154" s="10">
        <f t="shared" si="114"/>
        <v>48</v>
      </c>
      <c r="BP154" s="10">
        <f t="shared" si="115"/>
        <v>48</v>
      </c>
      <c r="BQ154" s="10">
        <f t="shared" si="116"/>
        <v>47</v>
      </c>
      <c r="BR154" s="10">
        <f t="shared" si="117"/>
        <v>46</v>
      </c>
      <c r="BS154" s="10">
        <f t="shared" si="118"/>
        <v>45</v>
      </c>
      <c r="BT154" s="10">
        <f t="shared" si="119"/>
        <v>44</v>
      </c>
      <c r="BU154" s="10">
        <f t="shared" si="120"/>
        <v>43</v>
      </c>
      <c r="BV154" s="10">
        <f t="shared" si="121"/>
        <v>42</v>
      </c>
      <c r="BW154" s="10">
        <f t="shared" si="122"/>
        <v>41</v>
      </c>
      <c r="BX154" s="10">
        <f t="shared" si="123"/>
        <v>40</v>
      </c>
      <c r="BY154" s="10">
        <f t="shared" si="124"/>
        <v>39</v>
      </c>
      <c r="BZ154" s="10">
        <f t="shared" si="125"/>
        <v>38</v>
      </c>
      <c r="CA154" s="10">
        <f t="shared" si="126"/>
        <v>37</v>
      </c>
      <c r="CB154" s="10">
        <f t="shared" si="127"/>
        <v>36</v>
      </c>
      <c r="CC154" s="10">
        <f t="shared" si="128"/>
        <v>35</v>
      </c>
      <c r="CD154" s="10">
        <f t="shared" si="129"/>
        <v>34</v>
      </c>
      <c r="CE154" s="10">
        <f t="shared" si="130"/>
        <v>33</v>
      </c>
      <c r="CF154" s="10">
        <f t="shared" si="131"/>
        <v>32</v>
      </c>
      <c r="CG154" s="10">
        <f t="shared" si="132"/>
        <v>31</v>
      </c>
      <c r="CH154" s="10">
        <f t="shared" si="133"/>
        <v>30</v>
      </c>
      <c r="CI154" s="10">
        <f t="shared" si="134"/>
        <v>29</v>
      </c>
      <c r="CJ154" s="10">
        <f t="shared" si="135"/>
        <v>28</v>
      </c>
      <c r="CK154" s="10">
        <f t="shared" si="136"/>
        <v>27</v>
      </c>
      <c r="CL154" s="10">
        <f t="shared" si="137"/>
        <v>26</v>
      </c>
      <c r="CM154" s="10" t="str">
        <f>'役職希望調査 ・備考'!I124&amp;""</f>
        <v/>
      </c>
    </row>
    <row r="155" spans="1:91">
      <c r="A155" s="10" t="str">
        <f>時間希望調査!A125&amp;""</f>
        <v/>
      </c>
      <c r="B155" s="10" t="str">
        <f>時間希望調査!B125&amp;""</f>
        <v/>
      </c>
      <c r="C155" s="10" t="str">
        <f>時間希望調査!C125&amp;""</f>
        <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0">
        <f t="shared" si="107"/>
        <v>0</v>
      </c>
      <c r="BC155" s="10">
        <f>時間希望調査!D125</f>
        <v>0</v>
      </c>
      <c r="BD155" s="10" t="str">
        <f>'役職希望調査 ・備考'!D125&amp;""</f>
        <v/>
      </c>
      <c r="BE155" s="10" t="str">
        <f>'役職希望調査 ・備考'!E125&amp;""</f>
        <v/>
      </c>
      <c r="BF155" s="10" t="str">
        <f>'役職希望調査 ・備考'!F125&amp;""</f>
        <v/>
      </c>
      <c r="BG155" s="10" t="str">
        <f>'役職希望調査 ・備考'!G125&amp;""</f>
        <v/>
      </c>
      <c r="BH155" s="10" t="str">
        <f>'役職希望調査 ・備考'!H125&amp;""</f>
        <v/>
      </c>
      <c r="BI155" s="10">
        <f t="shared" si="108"/>
        <v>0</v>
      </c>
      <c r="BJ155" s="10">
        <f t="shared" si="109"/>
        <v>0</v>
      </c>
      <c r="BK155" s="10">
        <f t="shared" si="110"/>
        <v>0</v>
      </c>
      <c r="BL155" s="10">
        <f t="shared" si="111"/>
        <v>0</v>
      </c>
      <c r="BM155" s="10">
        <f t="shared" si="112"/>
        <v>0</v>
      </c>
      <c r="BN155" s="10">
        <f t="shared" si="113"/>
        <v>0</v>
      </c>
      <c r="BO155" s="10">
        <f t="shared" si="114"/>
        <v>48</v>
      </c>
      <c r="BP155" s="10">
        <f t="shared" si="115"/>
        <v>48</v>
      </c>
      <c r="BQ155" s="10">
        <f t="shared" si="116"/>
        <v>47</v>
      </c>
      <c r="BR155" s="10">
        <f t="shared" si="117"/>
        <v>46</v>
      </c>
      <c r="BS155" s="10">
        <f t="shared" si="118"/>
        <v>45</v>
      </c>
      <c r="BT155" s="10">
        <f t="shared" si="119"/>
        <v>44</v>
      </c>
      <c r="BU155" s="10">
        <f t="shared" si="120"/>
        <v>43</v>
      </c>
      <c r="BV155" s="10">
        <f t="shared" si="121"/>
        <v>42</v>
      </c>
      <c r="BW155" s="10">
        <f t="shared" si="122"/>
        <v>41</v>
      </c>
      <c r="BX155" s="10">
        <f t="shared" si="123"/>
        <v>40</v>
      </c>
      <c r="BY155" s="10">
        <f t="shared" si="124"/>
        <v>39</v>
      </c>
      <c r="BZ155" s="10">
        <f t="shared" si="125"/>
        <v>38</v>
      </c>
      <c r="CA155" s="10">
        <f t="shared" si="126"/>
        <v>37</v>
      </c>
      <c r="CB155" s="10">
        <f t="shared" si="127"/>
        <v>36</v>
      </c>
      <c r="CC155" s="10">
        <f t="shared" si="128"/>
        <v>35</v>
      </c>
      <c r="CD155" s="10">
        <f t="shared" si="129"/>
        <v>34</v>
      </c>
      <c r="CE155" s="10">
        <f t="shared" si="130"/>
        <v>33</v>
      </c>
      <c r="CF155" s="10">
        <f t="shared" si="131"/>
        <v>32</v>
      </c>
      <c r="CG155" s="10">
        <f t="shared" si="132"/>
        <v>31</v>
      </c>
      <c r="CH155" s="10">
        <f t="shared" si="133"/>
        <v>30</v>
      </c>
      <c r="CI155" s="10">
        <f t="shared" si="134"/>
        <v>29</v>
      </c>
      <c r="CJ155" s="10">
        <f t="shared" si="135"/>
        <v>28</v>
      </c>
      <c r="CK155" s="10">
        <f t="shared" si="136"/>
        <v>27</v>
      </c>
      <c r="CL155" s="10">
        <f t="shared" si="137"/>
        <v>26</v>
      </c>
      <c r="CM155" s="10" t="str">
        <f>'役職希望調査 ・備考'!I125&amp;""</f>
        <v/>
      </c>
    </row>
    <row r="156" spans="1:91">
      <c r="A156" s="10" t="str">
        <f>時間希望調査!A126&amp;""</f>
        <v/>
      </c>
      <c r="B156" s="10" t="str">
        <f>時間希望調査!B126&amp;""</f>
        <v/>
      </c>
      <c r="C156" s="10" t="str">
        <f>時間希望調査!C126&amp;""</f>
        <v/>
      </c>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0">
        <f t="shared" si="107"/>
        <v>0</v>
      </c>
      <c r="BC156" s="10">
        <f>時間希望調査!D126</f>
        <v>0</v>
      </c>
      <c r="BD156" s="10" t="str">
        <f>'役職希望調査 ・備考'!D126&amp;""</f>
        <v/>
      </c>
      <c r="BE156" s="10" t="str">
        <f>'役職希望調査 ・備考'!E126&amp;""</f>
        <v/>
      </c>
      <c r="BF156" s="10" t="str">
        <f>'役職希望調査 ・備考'!F126&amp;""</f>
        <v/>
      </c>
      <c r="BG156" s="10" t="str">
        <f>'役職希望調査 ・備考'!G126&amp;""</f>
        <v/>
      </c>
      <c r="BH156" s="10" t="str">
        <f>'役職希望調査 ・備考'!H126&amp;""</f>
        <v/>
      </c>
      <c r="BI156" s="10">
        <f t="shared" si="108"/>
        <v>0</v>
      </c>
      <c r="BJ156" s="10">
        <f t="shared" si="109"/>
        <v>0</v>
      </c>
      <c r="BK156" s="10">
        <f t="shared" si="110"/>
        <v>0</v>
      </c>
      <c r="BL156" s="10">
        <f t="shared" si="111"/>
        <v>0</v>
      </c>
      <c r="BM156" s="10">
        <f t="shared" si="112"/>
        <v>0</v>
      </c>
      <c r="BN156" s="10">
        <f t="shared" si="113"/>
        <v>0</v>
      </c>
      <c r="BO156" s="10">
        <f t="shared" si="114"/>
        <v>48</v>
      </c>
      <c r="BP156" s="10">
        <f t="shared" si="115"/>
        <v>48</v>
      </c>
      <c r="BQ156" s="10">
        <f t="shared" si="116"/>
        <v>47</v>
      </c>
      <c r="BR156" s="10">
        <f t="shared" si="117"/>
        <v>46</v>
      </c>
      <c r="BS156" s="10">
        <f t="shared" si="118"/>
        <v>45</v>
      </c>
      <c r="BT156" s="10">
        <f t="shared" si="119"/>
        <v>44</v>
      </c>
      <c r="BU156" s="10">
        <f t="shared" si="120"/>
        <v>43</v>
      </c>
      <c r="BV156" s="10">
        <f t="shared" si="121"/>
        <v>42</v>
      </c>
      <c r="BW156" s="10">
        <f t="shared" si="122"/>
        <v>41</v>
      </c>
      <c r="BX156" s="10">
        <f t="shared" si="123"/>
        <v>40</v>
      </c>
      <c r="BY156" s="10">
        <f t="shared" si="124"/>
        <v>39</v>
      </c>
      <c r="BZ156" s="10">
        <f t="shared" si="125"/>
        <v>38</v>
      </c>
      <c r="CA156" s="10">
        <f t="shared" si="126"/>
        <v>37</v>
      </c>
      <c r="CB156" s="10">
        <f t="shared" si="127"/>
        <v>36</v>
      </c>
      <c r="CC156" s="10">
        <f t="shared" si="128"/>
        <v>35</v>
      </c>
      <c r="CD156" s="10">
        <f t="shared" si="129"/>
        <v>34</v>
      </c>
      <c r="CE156" s="10">
        <f t="shared" si="130"/>
        <v>33</v>
      </c>
      <c r="CF156" s="10">
        <f t="shared" si="131"/>
        <v>32</v>
      </c>
      <c r="CG156" s="10">
        <f t="shared" si="132"/>
        <v>31</v>
      </c>
      <c r="CH156" s="10">
        <f t="shared" si="133"/>
        <v>30</v>
      </c>
      <c r="CI156" s="10">
        <f t="shared" si="134"/>
        <v>29</v>
      </c>
      <c r="CJ156" s="10">
        <f t="shared" si="135"/>
        <v>28</v>
      </c>
      <c r="CK156" s="10">
        <f t="shared" si="136"/>
        <v>27</v>
      </c>
      <c r="CL156" s="10">
        <f t="shared" si="137"/>
        <v>26</v>
      </c>
      <c r="CM156" s="10" t="str">
        <f>'役職希望調査 ・備考'!I126&amp;""</f>
        <v/>
      </c>
    </row>
    <row r="157" spans="1:91">
      <c r="A157" s="10" t="str">
        <f>時間希望調査!A127&amp;""</f>
        <v/>
      </c>
      <c r="B157" s="10" t="str">
        <f>時間希望調査!B127&amp;""</f>
        <v/>
      </c>
      <c r="C157" s="10" t="str">
        <f>時間希望調査!C127&amp;""</f>
        <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0">
        <f t="shared" si="107"/>
        <v>0</v>
      </c>
      <c r="BC157" s="10">
        <f>時間希望調査!D127</f>
        <v>0</v>
      </c>
      <c r="BD157" s="10" t="str">
        <f>'役職希望調査 ・備考'!D127&amp;""</f>
        <v/>
      </c>
      <c r="BE157" s="10" t="str">
        <f>'役職希望調査 ・備考'!E127&amp;""</f>
        <v/>
      </c>
      <c r="BF157" s="10" t="str">
        <f>'役職希望調査 ・備考'!F127&amp;""</f>
        <v/>
      </c>
      <c r="BG157" s="10" t="str">
        <f>'役職希望調査 ・備考'!G127&amp;""</f>
        <v/>
      </c>
      <c r="BH157" s="10" t="str">
        <f>'役職希望調査 ・備考'!H127&amp;""</f>
        <v/>
      </c>
      <c r="BI157" s="10">
        <f t="shared" si="108"/>
        <v>0</v>
      </c>
      <c r="BJ157" s="10">
        <f t="shared" si="109"/>
        <v>0</v>
      </c>
      <c r="BK157" s="10">
        <f t="shared" si="110"/>
        <v>0</v>
      </c>
      <c r="BL157" s="10">
        <f t="shared" si="111"/>
        <v>0</v>
      </c>
      <c r="BM157" s="10">
        <f t="shared" si="112"/>
        <v>0</v>
      </c>
      <c r="BN157" s="10">
        <f t="shared" si="113"/>
        <v>0</v>
      </c>
      <c r="BO157" s="10">
        <f t="shared" si="114"/>
        <v>48</v>
      </c>
      <c r="BP157" s="10">
        <f t="shared" si="115"/>
        <v>48</v>
      </c>
      <c r="BQ157" s="10">
        <f t="shared" si="116"/>
        <v>47</v>
      </c>
      <c r="BR157" s="10">
        <f t="shared" si="117"/>
        <v>46</v>
      </c>
      <c r="BS157" s="10">
        <f t="shared" si="118"/>
        <v>45</v>
      </c>
      <c r="BT157" s="10">
        <f t="shared" si="119"/>
        <v>44</v>
      </c>
      <c r="BU157" s="10">
        <f t="shared" si="120"/>
        <v>43</v>
      </c>
      <c r="BV157" s="10">
        <f t="shared" si="121"/>
        <v>42</v>
      </c>
      <c r="BW157" s="10">
        <f t="shared" si="122"/>
        <v>41</v>
      </c>
      <c r="BX157" s="10">
        <f t="shared" si="123"/>
        <v>40</v>
      </c>
      <c r="BY157" s="10">
        <f t="shared" si="124"/>
        <v>39</v>
      </c>
      <c r="BZ157" s="10">
        <f t="shared" si="125"/>
        <v>38</v>
      </c>
      <c r="CA157" s="10">
        <f t="shared" si="126"/>
        <v>37</v>
      </c>
      <c r="CB157" s="10">
        <f t="shared" si="127"/>
        <v>36</v>
      </c>
      <c r="CC157" s="10">
        <f t="shared" si="128"/>
        <v>35</v>
      </c>
      <c r="CD157" s="10">
        <f t="shared" si="129"/>
        <v>34</v>
      </c>
      <c r="CE157" s="10">
        <f t="shared" si="130"/>
        <v>33</v>
      </c>
      <c r="CF157" s="10">
        <f t="shared" si="131"/>
        <v>32</v>
      </c>
      <c r="CG157" s="10">
        <f t="shared" si="132"/>
        <v>31</v>
      </c>
      <c r="CH157" s="10">
        <f t="shared" si="133"/>
        <v>30</v>
      </c>
      <c r="CI157" s="10">
        <f t="shared" si="134"/>
        <v>29</v>
      </c>
      <c r="CJ157" s="10">
        <f t="shared" si="135"/>
        <v>28</v>
      </c>
      <c r="CK157" s="10">
        <f t="shared" si="136"/>
        <v>27</v>
      </c>
      <c r="CL157" s="10">
        <f t="shared" si="137"/>
        <v>26</v>
      </c>
      <c r="CM157" s="10" t="str">
        <f>'役職希望調査 ・備考'!I127&amp;""</f>
        <v/>
      </c>
    </row>
    <row r="158" spans="1:91">
      <c r="A158" s="10" t="str">
        <f>時間希望調査!A128&amp;""</f>
        <v/>
      </c>
      <c r="B158" s="10" t="str">
        <f>時間希望調査!B128&amp;""</f>
        <v/>
      </c>
      <c r="C158" s="10" t="str">
        <f>時間希望調査!C128&amp;""</f>
        <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0">
        <f t="shared" si="107"/>
        <v>0</v>
      </c>
      <c r="BC158" s="10">
        <f>時間希望調査!D128</f>
        <v>0</v>
      </c>
      <c r="BD158" s="10" t="str">
        <f>'役職希望調査 ・備考'!D128&amp;""</f>
        <v/>
      </c>
      <c r="BE158" s="10" t="str">
        <f>'役職希望調査 ・備考'!E128&amp;""</f>
        <v/>
      </c>
      <c r="BF158" s="10" t="str">
        <f>'役職希望調査 ・備考'!F128&amp;""</f>
        <v/>
      </c>
      <c r="BG158" s="10" t="str">
        <f>'役職希望調査 ・備考'!G128&amp;""</f>
        <v/>
      </c>
      <c r="BH158" s="10" t="str">
        <f>'役職希望調査 ・備考'!H128&amp;""</f>
        <v/>
      </c>
      <c r="BI158" s="10">
        <f t="shared" si="108"/>
        <v>0</v>
      </c>
      <c r="BJ158" s="10">
        <f t="shared" si="109"/>
        <v>0</v>
      </c>
      <c r="BK158" s="10">
        <f t="shared" si="110"/>
        <v>0</v>
      </c>
      <c r="BL158" s="10">
        <f t="shared" si="111"/>
        <v>0</v>
      </c>
      <c r="BM158" s="10">
        <f t="shared" si="112"/>
        <v>0</v>
      </c>
      <c r="BN158" s="10">
        <f t="shared" si="113"/>
        <v>0</v>
      </c>
      <c r="BO158" s="10">
        <f t="shared" si="114"/>
        <v>48</v>
      </c>
      <c r="BP158" s="10">
        <f t="shared" si="115"/>
        <v>48</v>
      </c>
      <c r="BQ158" s="10">
        <f t="shared" si="116"/>
        <v>47</v>
      </c>
      <c r="BR158" s="10">
        <f t="shared" si="117"/>
        <v>46</v>
      </c>
      <c r="BS158" s="10">
        <f t="shared" si="118"/>
        <v>45</v>
      </c>
      <c r="BT158" s="10">
        <f t="shared" si="119"/>
        <v>44</v>
      </c>
      <c r="BU158" s="10">
        <f t="shared" si="120"/>
        <v>43</v>
      </c>
      <c r="BV158" s="10">
        <f t="shared" si="121"/>
        <v>42</v>
      </c>
      <c r="BW158" s="10">
        <f t="shared" si="122"/>
        <v>41</v>
      </c>
      <c r="BX158" s="10">
        <f t="shared" si="123"/>
        <v>40</v>
      </c>
      <c r="BY158" s="10">
        <f t="shared" si="124"/>
        <v>39</v>
      </c>
      <c r="BZ158" s="10">
        <f t="shared" si="125"/>
        <v>38</v>
      </c>
      <c r="CA158" s="10">
        <f t="shared" si="126"/>
        <v>37</v>
      </c>
      <c r="CB158" s="10">
        <f t="shared" si="127"/>
        <v>36</v>
      </c>
      <c r="CC158" s="10">
        <f t="shared" si="128"/>
        <v>35</v>
      </c>
      <c r="CD158" s="10">
        <f t="shared" si="129"/>
        <v>34</v>
      </c>
      <c r="CE158" s="10">
        <f t="shared" si="130"/>
        <v>33</v>
      </c>
      <c r="CF158" s="10">
        <f t="shared" si="131"/>
        <v>32</v>
      </c>
      <c r="CG158" s="10">
        <f t="shared" si="132"/>
        <v>31</v>
      </c>
      <c r="CH158" s="10">
        <f t="shared" si="133"/>
        <v>30</v>
      </c>
      <c r="CI158" s="10">
        <f t="shared" si="134"/>
        <v>29</v>
      </c>
      <c r="CJ158" s="10">
        <f t="shared" si="135"/>
        <v>28</v>
      </c>
      <c r="CK158" s="10">
        <f t="shared" si="136"/>
        <v>27</v>
      </c>
      <c r="CL158" s="10">
        <f t="shared" si="137"/>
        <v>26</v>
      </c>
      <c r="CM158" s="10" t="str">
        <f>'役職希望調査 ・備考'!I128&amp;""</f>
        <v/>
      </c>
    </row>
    <row r="159" spans="1:91">
      <c r="A159" s="10" t="str">
        <f>時間希望調査!A129&amp;""</f>
        <v/>
      </c>
      <c r="B159" s="10" t="str">
        <f>時間希望調査!B129&amp;""</f>
        <v/>
      </c>
      <c r="C159" s="10" t="str">
        <f>時間希望調査!C129&amp;""</f>
        <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0">
        <f t="shared" si="107"/>
        <v>0</v>
      </c>
      <c r="BC159" s="10">
        <f>時間希望調査!D129</f>
        <v>0</v>
      </c>
      <c r="BD159" s="10" t="str">
        <f>'役職希望調査 ・備考'!D129&amp;""</f>
        <v/>
      </c>
      <c r="BE159" s="10" t="str">
        <f>'役職希望調査 ・備考'!E129&amp;""</f>
        <v/>
      </c>
      <c r="BF159" s="10" t="str">
        <f>'役職希望調査 ・備考'!F129&amp;""</f>
        <v/>
      </c>
      <c r="BG159" s="10" t="str">
        <f>'役職希望調査 ・備考'!G129&amp;""</f>
        <v/>
      </c>
      <c r="BH159" s="10" t="str">
        <f>'役職希望調査 ・備考'!H129&amp;""</f>
        <v/>
      </c>
      <c r="BI159" s="10">
        <f t="shared" si="108"/>
        <v>0</v>
      </c>
      <c r="BJ159" s="10">
        <f t="shared" si="109"/>
        <v>0</v>
      </c>
      <c r="BK159" s="10">
        <f t="shared" si="110"/>
        <v>0</v>
      </c>
      <c r="BL159" s="10">
        <f t="shared" si="111"/>
        <v>0</v>
      </c>
      <c r="BM159" s="10">
        <f t="shared" si="112"/>
        <v>0</v>
      </c>
      <c r="BN159" s="10">
        <f t="shared" si="113"/>
        <v>0</v>
      </c>
      <c r="BO159" s="10">
        <f t="shared" si="114"/>
        <v>48</v>
      </c>
      <c r="BP159" s="10">
        <f t="shared" si="115"/>
        <v>48</v>
      </c>
      <c r="BQ159" s="10">
        <f t="shared" si="116"/>
        <v>47</v>
      </c>
      <c r="BR159" s="10">
        <f t="shared" si="117"/>
        <v>46</v>
      </c>
      <c r="BS159" s="10">
        <f t="shared" si="118"/>
        <v>45</v>
      </c>
      <c r="BT159" s="10">
        <f t="shared" si="119"/>
        <v>44</v>
      </c>
      <c r="BU159" s="10">
        <f t="shared" si="120"/>
        <v>43</v>
      </c>
      <c r="BV159" s="10">
        <f t="shared" si="121"/>
        <v>42</v>
      </c>
      <c r="BW159" s="10">
        <f t="shared" si="122"/>
        <v>41</v>
      </c>
      <c r="BX159" s="10">
        <f t="shared" si="123"/>
        <v>40</v>
      </c>
      <c r="BY159" s="10">
        <f t="shared" si="124"/>
        <v>39</v>
      </c>
      <c r="BZ159" s="10">
        <f t="shared" si="125"/>
        <v>38</v>
      </c>
      <c r="CA159" s="10">
        <f t="shared" si="126"/>
        <v>37</v>
      </c>
      <c r="CB159" s="10">
        <f t="shared" si="127"/>
        <v>36</v>
      </c>
      <c r="CC159" s="10">
        <f t="shared" si="128"/>
        <v>35</v>
      </c>
      <c r="CD159" s="10">
        <f t="shared" si="129"/>
        <v>34</v>
      </c>
      <c r="CE159" s="10">
        <f t="shared" si="130"/>
        <v>33</v>
      </c>
      <c r="CF159" s="10">
        <f t="shared" si="131"/>
        <v>32</v>
      </c>
      <c r="CG159" s="10">
        <f t="shared" si="132"/>
        <v>31</v>
      </c>
      <c r="CH159" s="10">
        <f t="shared" si="133"/>
        <v>30</v>
      </c>
      <c r="CI159" s="10">
        <f t="shared" si="134"/>
        <v>29</v>
      </c>
      <c r="CJ159" s="10">
        <f t="shared" si="135"/>
        <v>28</v>
      </c>
      <c r="CK159" s="10">
        <f t="shared" si="136"/>
        <v>27</v>
      </c>
      <c r="CL159" s="10">
        <f t="shared" si="137"/>
        <v>26</v>
      </c>
      <c r="CM159" s="10" t="str">
        <f>'役職希望調査 ・備考'!I129&amp;""</f>
        <v/>
      </c>
    </row>
    <row r="160" spans="1:91">
      <c r="A160" s="10" t="str">
        <f>時間希望調査!A130&amp;""</f>
        <v/>
      </c>
      <c r="B160" s="10" t="str">
        <f>時間希望調査!B130&amp;""</f>
        <v/>
      </c>
      <c r="C160" s="10" t="str">
        <f>時間希望調査!C130&amp;""</f>
        <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0">
        <f t="shared" si="107"/>
        <v>0</v>
      </c>
      <c r="BC160" s="10">
        <f>時間希望調査!D130</f>
        <v>0</v>
      </c>
      <c r="BD160" s="10" t="str">
        <f>'役職希望調査 ・備考'!D130&amp;""</f>
        <v/>
      </c>
      <c r="BE160" s="10" t="str">
        <f>'役職希望調査 ・備考'!E130&amp;""</f>
        <v/>
      </c>
      <c r="BF160" s="10" t="str">
        <f>'役職希望調査 ・備考'!F130&amp;""</f>
        <v/>
      </c>
      <c r="BG160" s="10" t="str">
        <f>'役職希望調査 ・備考'!G130&amp;""</f>
        <v/>
      </c>
      <c r="BH160" s="10" t="str">
        <f>'役職希望調査 ・備考'!H130&amp;""</f>
        <v/>
      </c>
      <c r="BI160" s="10">
        <f t="shared" ref="BI160:BI191" si="138">COUNTIF(D160:BA160,BI$1)</f>
        <v>0</v>
      </c>
      <c r="BJ160" s="10">
        <f t="shared" ref="BJ160:BJ191" si="139">COUNTIF(E160:BB160,BJ$1)</f>
        <v>0</v>
      </c>
      <c r="BK160" s="10">
        <f t="shared" ref="BK160:BK191" si="140">COUNTIF(F160:BC160,BK$1)</f>
        <v>0</v>
      </c>
      <c r="BL160" s="10">
        <f t="shared" ref="BL160:BL191" si="141">COUNTIF(G160:BD160,BL$1)</f>
        <v>0</v>
      </c>
      <c r="BM160" s="10">
        <f t="shared" ref="BM160:BM191" si="142">COUNTIF(H160:BE160,BM$1)</f>
        <v>0</v>
      </c>
      <c r="BN160" s="10">
        <f t="shared" ref="BN160:BN191" si="143">COUNTIF(I160:BF160,BN$1)</f>
        <v>0</v>
      </c>
      <c r="BO160" s="10">
        <f t="shared" ref="BO160:BO191" si="144">COUNTIF(J160:BG160,BO$1)</f>
        <v>48</v>
      </c>
      <c r="BP160" s="10">
        <f t="shared" ref="BP160:BP191" si="145">COUNTIF(K160:BH160,BP$1)</f>
        <v>48</v>
      </c>
      <c r="BQ160" s="10">
        <f t="shared" ref="BQ160:BQ191" si="146">COUNTIF(L160:BI160,BQ$1)</f>
        <v>47</v>
      </c>
      <c r="BR160" s="10">
        <f t="shared" ref="BR160:BR191" si="147">COUNTIF(M160:BJ160,BR$1)</f>
        <v>46</v>
      </c>
      <c r="BS160" s="10">
        <f t="shared" ref="BS160:BS191" si="148">COUNTIF(N160:BK160,BS$1)</f>
        <v>45</v>
      </c>
      <c r="BT160" s="10">
        <f t="shared" ref="BT160:BT191" si="149">COUNTIF(O160:BL160,BT$1)</f>
        <v>44</v>
      </c>
      <c r="BU160" s="10">
        <f t="shared" ref="BU160:BU191" si="150">COUNTIF(P160:BM160,BU$1)</f>
        <v>43</v>
      </c>
      <c r="BV160" s="10">
        <f t="shared" ref="BV160:BV191" si="151">COUNTIF(Q160:BN160,BV$1)</f>
        <v>42</v>
      </c>
      <c r="BW160" s="10">
        <f t="shared" ref="BW160:BW191" si="152">COUNTIF(R160:BO160,BW$1)</f>
        <v>41</v>
      </c>
      <c r="BX160" s="10">
        <f t="shared" ref="BX160:BX191" si="153">COUNTIF(S160:BP160,BX$1)</f>
        <v>40</v>
      </c>
      <c r="BY160" s="10">
        <f t="shared" ref="BY160:BY191" si="154">COUNTIF(T160:BQ160,BY$1)</f>
        <v>39</v>
      </c>
      <c r="BZ160" s="10">
        <f t="shared" ref="BZ160:BZ191" si="155">COUNTIF(U160:BR160,BZ$1)</f>
        <v>38</v>
      </c>
      <c r="CA160" s="10">
        <f t="shared" ref="CA160:CA191" si="156">COUNTIF(V160:BS160,CA$1)</f>
        <v>37</v>
      </c>
      <c r="CB160" s="10">
        <f t="shared" ref="CB160:CB191" si="157">COUNTIF(W160:BT160,CB$1)</f>
        <v>36</v>
      </c>
      <c r="CC160" s="10">
        <f t="shared" ref="CC160:CC191" si="158">COUNTIF(X160:BU160,CC$1)</f>
        <v>35</v>
      </c>
      <c r="CD160" s="10">
        <f t="shared" ref="CD160:CD191" si="159">COUNTIF(Y160:BV160,CD$1)</f>
        <v>34</v>
      </c>
      <c r="CE160" s="10">
        <f t="shared" ref="CE160:CE191" si="160">COUNTIF(Z160:BW160,CE$1)</f>
        <v>33</v>
      </c>
      <c r="CF160" s="10">
        <f t="shared" ref="CF160:CF191" si="161">COUNTIF(AA160:BX160,CF$1)</f>
        <v>32</v>
      </c>
      <c r="CG160" s="10">
        <f t="shared" ref="CG160:CG191" si="162">COUNTIF(AB160:BY160,CG$1)</f>
        <v>31</v>
      </c>
      <c r="CH160" s="10">
        <f t="shared" ref="CH160:CH191" si="163">COUNTIF(AC160:BZ160,CH$1)</f>
        <v>30</v>
      </c>
      <c r="CI160" s="10">
        <f t="shared" ref="CI160:CI191" si="164">COUNTIF(AD160:CA160,CI$1)</f>
        <v>29</v>
      </c>
      <c r="CJ160" s="10">
        <f t="shared" ref="CJ160:CJ191" si="165">COUNTIF(AE160:CB160,CJ$1)</f>
        <v>28</v>
      </c>
      <c r="CK160" s="10">
        <f t="shared" ref="CK160:CK191" si="166">COUNTIF(AF160:CC160,CK$1)</f>
        <v>27</v>
      </c>
      <c r="CL160" s="10">
        <f t="shared" ref="CL160:CL191" si="167">COUNTIF(AG160:CD160,CL$1)</f>
        <v>26</v>
      </c>
      <c r="CM160" s="10" t="str">
        <f>'役職希望調査 ・備考'!I130&amp;""</f>
        <v/>
      </c>
    </row>
    <row r="161" spans="1:91">
      <c r="A161" s="10" t="str">
        <f>時間希望調査!A131&amp;""</f>
        <v/>
      </c>
      <c r="B161" s="10" t="str">
        <f>時間希望調査!B131&amp;""</f>
        <v/>
      </c>
      <c r="C161" s="10" t="str">
        <f>時間希望調査!C131&amp;""</f>
        <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0">
        <f t="shared" ref="BB161:BB199" si="168">COUNTA(D161:BA161)</f>
        <v>0</v>
      </c>
      <c r="BC161" s="10">
        <f>時間希望調査!D131</f>
        <v>0</v>
      </c>
      <c r="BD161" s="10" t="str">
        <f>'役職希望調査 ・備考'!D131&amp;""</f>
        <v/>
      </c>
      <c r="BE161" s="10" t="str">
        <f>'役職希望調査 ・備考'!E131&amp;""</f>
        <v/>
      </c>
      <c r="BF161" s="10" t="str">
        <f>'役職希望調査 ・備考'!F131&amp;""</f>
        <v/>
      </c>
      <c r="BG161" s="10" t="str">
        <f>'役職希望調査 ・備考'!G131&amp;""</f>
        <v/>
      </c>
      <c r="BH161" s="10" t="str">
        <f>'役職希望調査 ・備考'!H131&amp;""</f>
        <v/>
      </c>
      <c r="BI161" s="10">
        <f t="shared" si="138"/>
        <v>0</v>
      </c>
      <c r="BJ161" s="10">
        <f t="shared" si="139"/>
        <v>0</v>
      </c>
      <c r="BK161" s="10">
        <f t="shared" si="140"/>
        <v>0</v>
      </c>
      <c r="BL161" s="10">
        <f t="shared" si="141"/>
        <v>0</v>
      </c>
      <c r="BM161" s="10">
        <f t="shared" si="142"/>
        <v>0</v>
      </c>
      <c r="BN161" s="10">
        <f t="shared" si="143"/>
        <v>0</v>
      </c>
      <c r="BO161" s="10">
        <f t="shared" si="144"/>
        <v>48</v>
      </c>
      <c r="BP161" s="10">
        <f t="shared" si="145"/>
        <v>48</v>
      </c>
      <c r="BQ161" s="10">
        <f t="shared" si="146"/>
        <v>47</v>
      </c>
      <c r="BR161" s="10">
        <f t="shared" si="147"/>
        <v>46</v>
      </c>
      <c r="BS161" s="10">
        <f t="shared" si="148"/>
        <v>45</v>
      </c>
      <c r="BT161" s="10">
        <f t="shared" si="149"/>
        <v>44</v>
      </c>
      <c r="BU161" s="10">
        <f t="shared" si="150"/>
        <v>43</v>
      </c>
      <c r="BV161" s="10">
        <f t="shared" si="151"/>
        <v>42</v>
      </c>
      <c r="BW161" s="10">
        <f t="shared" si="152"/>
        <v>41</v>
      </c>
      <c r="BX161" s="10">
        <f t="shared" si="153"/>
        <v>40</v>
      </c>
      <c r="BY161" s="10">
        <f t="shared" si="154"/>
        <v>39</v>
      </c>
      <c r="BZ161" s="10">
        <f t="shared" si="155"/>
        <v>38</v>
      </c>
      <c r="CA161" s="10">
        <f t="shared" si="156"/>
        <v>37</v>
      </c>
      <c r="CB161" s="10">
        <f t="shared" si="157"/>
        <v>36</v>
      </c>
      <c r="CC161" s="10">
        <f t="shared" si="158"/>
        <v>35</v>
      </c>
      <c r="CD161" s="10">
        <f t="shared" si="159"/>
        <v>34</v>
      </c>
      <c r="CE161" s="10">
        <f t="shared" si="160"/>
        <v>33</v>
      </c>
      <c r="CF161" s="10">
        <f t="shared" si="161"/>
        <v>32</v>
      </c>
      <c r="CG161" s="10">
        <f t="shared" si="162"/>
        <v>31</v>
      </c>
      <c r="CH161" s="10">
        <f t="shared" si="163"/>
        <v>30</v>
      </c>
      <c r="CI161" s="10">
        <f t="shared" si="164"/>
        <v>29</v>
      </c>
      <c r="CJ161" s="10">
        <f t="shared" si="165"/>
        <v>28</v>
      </c>
      <c r="CK161" s="10">
        <f t="shared" si="166"/>
        <v>27</v>
      </c>
      <c r="CL161" s="10">
        <f t="shared" si="167"/>
        <v>26</v>
      </c>
      <c r="CM161" s="10" t="str">
        <f>'役職希望調査 ・備考'!I131&amp;""</f>
        <v/>
      </c>
    </row>
    <row r="162" spans="1:91">
      <c r="A162" s="10" t="str">
        <f>時間希望調査!A132&amp;""</f>
        <v/>
      </c>
      <c r="B162" s="10" t="str">
        <f>時間希望調査!B132&amp;""</f>
        <v/>
      </c>
      <c r="C162" s="10" t="str">
        <f>時間希望調査!C132&amp;""</f>
        <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0">
        <f t="shared" si="168"/>
        <v>0</v>
      </c>
      <c r="BC162" s="10">
        <f>時間希望調査!D132</f>
        <v>0</v>
      </c>
      <c r="BD162" s="10" t="str">
        <f>'役職希望調査 ・備考'!D132&amp;""</f>
        <v/>
      </c>
      <c r="BE162" s="10" t="str">
        <f>'役職希望調査 ・備考'!E132&amp;""</f>
        <v/>
      </c>
      <c r="BF162" s="10" t="str">
        <f>'役職希望調査 ・備考'!F132&amp;""</f>
        <v/>
      </c>
      <c r="BG162" s="10" t="str">
        <f>'役職希望調査 ・備考'!G132&amp;""</f>
        <v/>
      </c>
      <c r="BH162" s="10" t="str">
        <f>'役職希望調査 ・備考'!H132&amp;""</f>
        <v/>
      </c>
      <c r="BI162" s="10">
        <f t="shared" si="138"/>
        <v>0</v>
      </c>
      <c r="BJ162" s="10">
        <f t="shared" si="139"/>
        <v>0</v>
      </c>
      <c r="BK162" s="10">
        <f t="shared" si="140"/>
        <v>0</v>
      </c>
      <c r="BL162" s="10">
        <f t="shared" si="141"/>
        <v>0</v>
      </c>
      <c r="BM162" s="10">
        <f t="shared" si="142"/>
        <v>0</v>
      </c>
      <c r="BN162" s="10">
        <f t="shared" si="143"/>
        <v>0</v>
      </c>
      <c r="BO162" s="10">
        <f t="shared" si="144"/>
        <v>48</v>
      </c>
      <c r="BP162" s="10">
        <f t="shared" si="145"/>
        <v>48</v>
      </c>
      <c r="BQ162" s="10">
        <f t="shared" si="146"/>
        <v>47</v>
      </c>
      <c r="BR162" s="10">
        <f t="shared" si="147"/>
        <v>46</v>
      </c>
      <c r="BS162" s="10">
        <f t="shared" si="148"/>
        <v>45</v>
      </c>
      <c r="BT162" s="10">
        <f t="shared" si="149"/>
        <v>44</v>
      </c>
      <c r="BU162" s="10">
        <f t="shared" si="150"/>
        <v>43</v>
      </c>
      <c r="BV162" s="10">
        <f t="shared" si="151"/>
        <v>42</v>
      </c>
      <c r="BW162" s="10">
        <f t="shared" si="152"/>
        <v>41</v>
      </c>
      <c r="BX162" s="10">
        <f t="shared" si="153"/>
        <v>40</v>
      </c>
      <c r="BY162" s="10">
        <f t="shared" si="154"/>
        <v>39</v>
      </c>
      <c r="BZ162" s="10">
        <f t="shared" si="155"/>
        <v>38</v>
      </c>
      <c r="CA162" s="10">
        <f t="shared" si="156"/>
        <v>37</v>
      </c>
      <c r="CB162" s="10">
        <f t="shared" si="157"/>
        <v>36</v>
      </c>
      <c r="CC162" s="10">
        <f t="shared" si="158"/>
        <v>35</v>
      </c>
      <c r="CD162" s="10">
        <f t="shared" si="159"/>
        <v>34</v>
      </c>
      <c r="CE162" s="10">
        <f t="shared" si="160"/>
        <v>33</v>
      </c>
      <c r="CF162" s="10">
        <f t="shared" si="161"/>
        <v>32</v>
      </c>
      <c r="CG162" s="10">
        <f t="shared" si="162"/>
        <v>31</v>
      </c>
      <c r="CH162" s="10">
        <f t="shared" si="163"/>
        <v>30</v>
      </c>
      <c r="CI162" s="10">
        <f t="shared" si="164"/>
        <v>29</v>
      </c>
      <c r="CJ162" s="10">
        <f t="shared" si="165"/>
        <v>28</v>
      </c>
      <c r="CK162" s="10">
        <f t="shared" si="166"/>
        <v>27</v>
      </c>
      <c r="CL162" s="10">
        <f t="shared" si="167"/>
        <v>26</v>
      </c>
      <c r="CM162" s="10" t="str">
        <f>'役職希望調査 ・備考'!I132&amp;""</f>
        <v/>
      </c>
    </row>
    <row r="163" spans="1:91">
      <c r="A163" s="10" t="str">
        <f>時間希望調査!A133&amp;""</f>
        <v/>
      </c>
      <c r="B163" s="10" t="str">
        <f>時間希望調査!B133&amp;""</f>
        <v/>
      </c>
      <c r="C163" s="10" t="str">
        <f>時間希望調査!C133&amp;""</f>
        <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0">
        <f t="shared" si="168"/>
        <v>0</v>
      </c>
      <c r="BC163" s="10">
        <f>時間希望調査!D133</f>
        <v>0</v>
      </c>
      <c r="BD163" s="10" t="str">
        <f>'役職希望調査 ・備考'!D133&amp;""</f>
        <v/>
      </c>
      <c r="BE163" s="10" t="str">
        <f>'役職希望調査 ・備考'!E133&amp;""</f>
        <v/>
      </c>
      <c r="BF163" s="10" t="str">
        <f>'役職希望調査 ・備考'!F133&amp;""</f>
        <v/>
      </c>
      <c r="BG163" s="10" t="str">
        <f>'役職希望調査 ・備考'!G133&amp;""</f>
        <v/>
      </c>
      <c r="BH163" s="10" t="str">
        <f>'役職希望調査 ・備考'!H133&amp;""</f>
        <v/>
      </c>
      <c r="BI163" s="10">
        <f t="shared" si="138"/>
        <v>0</v>
      </c>
      <c r="BJ163" s="10">
        <f t="shared" si="139"/>
        <v>0</v>
      </c>
      <c r="BK163" s="10">
        <f t="shared" si="140"/>
        <v>0</v>
      </c>
      <c r="BL163" s="10">
        <f t="shared" si="141"/>
        <v>0</v>
      </c>
      <c r="BM163" s="10">
        <f t="shared" si="142"/>
        <v>0</v>
      </c>
      <c r="BN163" s="10">
        <f t="shared" si="143"/>
        <v>0</v>
      </c>
      <c r="BO163" s="10">
        <f t="shared" si="144"/>
        <v>48</v>
      </c>
      <c r="BP163" s="10">
        <f t="shared" si="145"/>
        <v>48</v>
      </c>
      <c r="BQ163" s="10">
        <f t="shared" si="146"/>
        <v>47</v>
      </c>
      <c r="BR163" s="10">
        <f t="shared" si="147"/>
        <v>46</v>
      </c>
      <c r="BS163" s="10">
        <f t="shared" si="148"/>
        <v>45</v>
      </c>
      <c r="BT163" s="10">
        <f t="shared" si="149"/>
        <v>44</v>
      </c>
      <c r="BU163" s="10">
        <f t="shared" si="150"/>
        <v>43</v>
      </c>
      <c r="BV163" s="10">
        <f t="shared" si="151"/>
        <v>42</v>
      </c>
      <c r="BW163" s="10">
        <f t="shared" si="152"/>
        <v>41</v>
      </c>
      <c r="BX163" s="10">
        <f t="shared" si="153"/>
        <v>40</v>
      </c>
      <c r="BY163" s="10">
        <f t="shared" si="154"/>
        <v>39</v>
      </c>
      <c r="BZ163" s="10">
        <f t="shared" si="155"/>
        <v>38</v>
      </c>
      <c r="CA163" s="10">
        <f t="shared" si="156"/>
        <v>37</v>
      </c>
      <c r="CB163" s="10">
        <f t="shared" si="157"/>
        <v>36</v>
      </c>
      <c r="CC163" s="10">
        <f t="shared" si="158"/>
        <v>35</v>
      </c>
      <c r="CD163" s="10">
        <f t="shared" si="159"/>
        <v>34</v>
      </c>
      <c r="CE163" s="10">
        <f t="shared" si="160"/>
        <v>33</v>
      </c>
      <c r="CF163" s="10">
        <f t="shared" si="161"/>
        <v>32</v>
      </c>
      <c r="CG163" s="10">
        <f t="shared" si="162"/>
        <v>31</v>
      </c>
      <c r="CH163" s="10">
        <f t="shared" si="163"/>
        <v>30</v>
      </c>
      <c r="CI163" s="10">
        <f t="shared" si="164"/>
        <v>29</v>
      </c>
      <c r="CJ163" s="10">
        <f t="shared" si="165"/>
        <v>28</v>
      </c>
      <c r="CK163" s="10">
        <f t="shared" si="166"/>
        <v>27</v>
      </c>
      <c r="CL163" s="10">
        <f t="shared" si="167"/>
        <v>26</v>
      </c>
      <c r="CM163" s="10" t="str">
        <f>'役職希望調査 ・備考'!I133&amp;""</f>
        <v/>
      </c>
    </row>
    <row r="164" spans="1:91">
      <c r="A164" s="10" t="str">
        <f>時間希望調査!A134&amp;""</f>
        <v/>
      </c>
      <c r="B164" s="10" t="str">
        <f>時間希望調査!B134&amp;""</f>
        <v/>
      </c>
      <c r="C164" s="10" t="str">
        <f>時間希望調査!C134&amp;""</f>
        <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0">
        <f t="shared" si="168"/>
        <v>0</v>
      </c>
      <c r="BC164" s="10">
        <f>時間希望調査!D134</f>
        <v>0</v>
      </c>
      <c r="BD164" s="10" t="str">
        <f>'役職希望調査 ・備考'!D134&amp;""</f>
        <v/>
      </c>
      <c r="BE164" s="10" t="str">
        <f>'役職希望調査 ・備考'!E134&amp;""</f>
        <v/>
      </c>
      <c r="BF164" s="10" t="str">
        <f>'役職希望調査 ・備考'!F134&amp;""</f>
        <v/>
      </c>
      <c r="BG164" s="10" t="str">
        <f>'役職希望調査 ・備考'!G134&amp;""</f>
        <v/>
      </c>
      <c r="BH164" s="10" t="str">
        <f>'役職希望調査 ・備考'!H134&amp;""</f>
        <v/>
      </c>
      <c r="BI164" s="10">
        <f t="shared" si="138"/>
        <v>0</v>
      </c>
      <c r="BJ164" s="10">
        <f t="shared" si="139"/>
        <v>0</v>
      </c>
      <c r="BK164" s="10">
        <f t="shared" si="140"/>
        <v>0</v>
      </c>
      <c r="BL164" s="10">
        <f t="shared" si="141"/>
        <v>0</v>
      </c>
      <c r="BM164" s="10">
        <f t="shared" si="142"/>
        <v>0</v>
      </c>
      <c r="BN164" s="10">
        <f t="shared" si="143"/>
        <v>0</v>
      </c>
      <c r="BO164" s="10">
        <f t="shared" si="144"/>
        <v>48</v>
      </c>
      <c r="BP164" s="10">
        <f t="shared" si="145"/>
        <v>48</v>
      </c>
      <c r="BQ164" s="10">
        <f t="shared" si="146"/>
        <v>47</v>
      </c>
      <c r="BR164" s="10">
        <f t="shared" si="147"/>
        <v>46</v>
      </c>
      <c r="BS164" s="10">
        <f t="shared" si="148"/>
        <v>45</v>
      </c>
      <c r="BT164" s="10">
        <f t="shared" si="149"/>
        <v>44</v>
      </c>
      <c r="BU164" s="10">
        <f t="shared" si="150"/>
        <v>43</v>
      </c>
      <c r="BV164" s="10">
        <f t="shared" si="151"/>
        <v>42</v>
      </c>
      <c r="BW164" s="10">
        <f t="shared" si="152"/>
        <v>41</v>
      </c>
      <c r="BX164" s="10">
        <f t="shared" si="153"/>
        <v>40</v>
      </c>
      <c r="BY164" s="10">
        <f t="shared" si="154"/>
        <v>39</v>
      </c>
      <c r="BZ164" s="10">
        <f t="shared" si="155"/>
        <v>38</v>
      </c>
      <c r="CA164" s="10">
        <f t="shared" si="156"/>
        <v>37</v>
      </c>
      <c r="CB164" s="10">
        <f t="shared" si="157"/>
        <v>36</v>
      </c>
      <c r="CC164" s="10">
        <f t="shared" si="158"/>
        <v>35</v>
      </c>
      <c r="CD164" s="10">
        <f t="shared" si="159"/>
        <v>34</v>
      </c>
      <c r="CE164" s="10">
        <f t="shared" si="160"/>
        <v>33</v>
      </c>
      <c r="CF164" s="10">
        <f t="shared" si="161"/>
        <v>32</v>
      </c>
      <c r="CG164" s="10">
        <f t="shared" si="162"/>
        <v>31</v>
      </c>
      <c r="CH164" s="10">
        <f t="shared" si="163"/>
        <v>30</v>
      </c>
      <c r="CI164" s="10">
        <f t="shared" si="164"/>
        <v>29</v>
      </c>
      <c r="CJ164" s="10">
        <f t="shared" si="165"/>
        <v>28</v>
      </c>
      <c r="CK164" s="10">
        <f t="shared" si="166"/>
        <v>27</v>
      </c>
      <c r="CL164" s="10">
        <f t="shared" si="167"/>
        <v>26</v>
      </c>
      <c r="CM164" s="10" t="str">
        <f>'役職希望調査 ・備考'!I134&amp;""</f>
        <v/>
      </c>
    </row>
    <row r="165" spans="1:91">
      <c r="A165" s="10" t="str">
        <f>時間希望調査!A135&amp;""</f>
        <v/>
      </c>
      <c r="B165" s="10" t="str">
        <f>時間希望調査!B135&amp;""</f>
        <v/>
      </c>
      <c r="C165" s="10" t="str">
        <f>時間希望調査!C135&amp;""</f>
        <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0">
        <f t="shared" si="168"/>
        <v>0</v>
      </c>
      <c r="BC165" s="10">
        <f>時間希望調査!D135</f>
        <v>0</v>
      </c>
      <c r="BD165" s="10" t="str">
        <f>'役職希望調査 ・備考'!D135&amp;""</f>
        <v/>
      </c>
      <c r="BE165" s="10" t="str">
        <f>'役職希望調査 ・備考'!E135&amp;""</f>
        <v/>
      </c>
      <c r="BF165" s="10" t="str">
        <f>'役職希望調査 ・備考'!F135&amp;""</f>
        <v/>
      </c>
      <c r="BG165" s="10" t="str">
        <f>'役職希望調査 ・備考'!G135&amp;""</f>
        <v/>
      </c>
      <c r="BH165" s="10" t="str">
        <f>'役職希望調査 ・備考'!H135&amp;""</f>
        <v/>
      </c>
      <c r="BI165" s="10">
        <f t="shared" si="138"/>
        <v>0</v>
      </c>
      <c r="BJ165" s="10">
        <f t="shared" si="139"/>
        <v>0</v>
      </c>
      <c r="BK165" s="10">
        <f t="shared" si="140"/>
        <v>0</v>
      </c>
      <c r="BL165" s="10">
        <f t="shared" si="141"/>
        <v>0</v>
      </c>
      <c r="BM165" s="10">
        <f t="shared" si="142"/>
        <v>0</v>
      </c>
      <c r="BN165" s="10">
        <f t="shared" si="143"/>
        <v>0</v>
      </c>
      <c r="BO165" s="10">
        <f t="shared" si="144"/>
        <v>48</v>
      </c>
      <c r="BP165" s="10">
        <f t="shared" si="145"/>
        <v>48</v>
      </c>
      <c r="BQ165" s="10">
        <f t="shared" si="146"/>
        <v>47</v>
      </c>
      <c r="BR165" s="10">
        <f t="shared" si="147"/>
        <v>46</v>
      </c>
      <c r="BS165" s="10">
        <f t="shared" si="148"/>
        <v>45</v>
      </c>
      <c r="BT165" s="10">
        <f t="shared" si="149"/>
        <v>44</v>
      </c>
      <c r="BU165" s="10">
        <f t="shared" si="150"/>
        <v>43</v>
      </c>
      <c r="BV165" s="10">
        <f t="shared" si="151"/>
        <v>42</v>
      </c>
      <c r="BW165" s="10">
        <f t="shared" si="152"/>
        <v>41</v>
      </c>
      <c r="BX165" s="10">
        <f t="shared" si="153"/>
        <v>40</v>
      </c>
      <c r="BY165" s="10">
        <f t="shared" si="154"/>
        <v>39</v>
      </c>
      <c r="BZ165" s="10">
        <f t="shared" si="155"/>
        <v>38</v>
      </c>
      <c r="CA165" s="10">
        <f t="shared" si="156"/>
        <v>37</v>
      </c>
      <c r="CB165" s="10">
        <f t="shared" si="157"/>
        <v>36</v>
      </c>
      <c r="CC165" s="10">
        <f t="shared" si="158"/>
        <v>35</v>
      </c>
      <c r="CD165" s="10">
        <f t="shared" si="159"/>
        <v>34</v>
      </c>
      <c r="CE165" s="10">
        <f t="shared" si="160"/>
        <v>33</v>
      </c>
      <c r="CF165" s="10">
        <f t="shared" si="161"/>
        <v>32</v>
      </c>
      <c r="CG165" s="10">
        <f t="shared" si="162"/>
        <v>31</v>
      </c>
      <c r="CH165" s="10">
        <f t="shared" si="163"/>
        <v>30</v>
      </c>
      <c r="CI165" s="10">
        <f t="shared" si="164"/>
        <v>29</v>
      </c>
      <c r="CJ165" s="10">
        <f t="shared" si="165"/>
        <v>28</v>
      </c>
      <c r="CK165" s="10">
        <f t="shared" si="166"/>
        <v>27</v>
      </c>
      <c r="CL165" s="10">
        <f t="shared" si="167"/>
        <v>26</v>
      </c>
      <c r="CM165" s="10" t="str">
        <f>'役職希望調査 ・備考'!I135&amp;""</f>
        <v/>
      </c>
    </row>
    <row r="166" spans="1:91">
      <c r="A166" s="10" t="str">
        <f>時間希望調査!A136&amp;""</f>
        <v/>
      </c>
      <c r="B166" s="10" t="str">
        <f>時間希望調査!B136&amp;""</f>
        <v/>
      </c>
      <c r="C166" s="10" t="str">
        <f>時間希望調査!C136&amp;""</f>
        <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0">
        <f t="shared" si="168"/>
        <v>0</v>
      </c>
      <c r="BC166" s="10">
        <f>時間希望調査!D136</f>
        <v>0</v>
      </c>
      <c r="BD166" s="10" t="str">
        <f>'役職希望調査 ・備考'!D136&amp;""</f>
        <v/>
      </c>
      <c r="BE166" s="10" t="str">
        <f>'役職希望調査 ・備考'!E136&amp;""</f>
        <v/>
      </c>
      <c r="BF166" s="10" t="str">
        <f>'役職希望調査 ・備考'!F136&amp;""</f>
        <v/>
      </c>
      <c r="BG166" s="10" t="str">
        <f>'役職希望調査 ・備考'!G136&amp;""</f>
        <v/>
      </c>
      <c r="BH166" s="10" t="str">
        <f>'役職希望調査 ・備考'!H136&amp;""</f>
        <v/>
      </c>
      <c r="BI166" s="10">
        <f t="shared" si="138"/>
        <v>0</v>
      </c>
      <c r="BJ166" s="10">
        <f t="shared" si="139"/>
        <v>0</v>
      </c>
      <c r="BK166" s="10">
        <f t="shared" si="140"/>
        <v>0</v>
      </c>
      <c r="BL166" s="10">
        <f t="shared" si="141"/>
        <v>0</v>
      </c>
      <c r="BM166" s="10">
        <f t="shared" si="142"/>
        <v>0</v>
      </c>
      <c r="BN166" s="10">
        <f t="shared" si="143"/>
        <v>0</v>
      </c>
      <c r="BO166" s="10">
        <f t="shared" si="144"/>
        <v>48</v>
      </c>
      <c r="BP166" s="10">
        <f t="shared" si="145"/>
        <v>48</v>
      </c>
      <c r="BQ166" s="10">
        <f t="shared" si="146"/>
        <v>47</v>
      </c>
      <c r="BR166" s="10">
        <f t="shared" si="147"/>
        <v>46</v>
      </c>
      <c r="BS166" s="10">
        <f t="shared" si="148"/>
        <v>45</v>
      </c>
      <c r="BT166" s="10">
        <f t="shared" si="149"/>
        <v>44</v>
      </c>
      <c r="BU166" s="10">
        <f t="shared" si="150"/>
        <v>43</v>
      </c>
      <c r="BV166" s="10">
        <f t="shared" si="151"/>
        <v>42</v>
      </c>
      <c r="BW166" s="10">
        <f t="shared" si="152"/>
        <v>41</v>
      </c>
      <c r="BX166" s="10">
        <f t="shared" si="153"/>
        <v>40</v>
      </c>
      <c r="BY166" s="10">
        <f t="shared" si="154"/>
        <v>39</v>
      </c>
      <c r="BZ166" s="10">
        <f t="shared" si="155"/>
        <v>38</v>
      </c>
      <c r="CA166" s="10">
        <f t="shared" si="156"/>
        <v>37</v>
      </c>
      <c r="CB166" s="10">
        <f t="shared" si="157"/>
        <v>36</v>
      </c>
      <c r="CC166" s="10">
        <f t="shared" si="158"/>
        <v>35</v>
      </c>
      <c r="CD166" s="10">
        <f t="shared" si="159"/>
        <v>34</v>
      </c>
      <c r="CE166" s="10">
        <f t="shared" si="160"/>
        <v>33</v>
      </c>
      <c r="CF166" s="10">
        <f t="shared" si="161"/>
        <v>32</v>
      </c>
      <c r="CG166" s="10">
        <f t="shared" si="162"/>
        <v>31</v>
      </c>
      <c r="CH166" s="10">
        <f t="shared" si="163"/>
        <v>30</v>
      </c>
      <c r="CI166" s="10">
        <f t="shared" si="164"/>
        <v>29</v>
      </c>
      <c r="CJ166" s="10">
        <f t="shared" si="165"/>
        <v>28</v>
      </c>
      <c r="CK166" s="10">
        <f t="shared" si="166"/>
        <v>27</v>
      </c>
      <c r="CL166" s="10">
        <f t="shared" si="167"/>
        <v>26</v>
      </c>
      <c r="CM166" s="10" t="str">
        <f>'役職希望調査 ・備考'!I136&amp;""</f>
        <v/>
      </c>
    </row>
    <row r="167" spans="1:91">
      <c r="A167" s="10" t="str">
        <f>時間希望調査!A137&amp;""</f>
        <v/>
      </c>
      <c r="B167" s="10" t="str">
        <f>時間希望調査!B137&amp;""</f>
        <v/>
      </c>
      <c r="C167" s="10" t="str">
        <f>時間希望調査!C137&amp;""</f>
        <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0">
        <f t="shared" si="168"/>
        <v>0</v>
      </c>
      <c r="BC167" s="10">
        <f>時間希望調査!D137</f>
        <v>0</v>
      </c>
      <c r="BD167" s="10" t="str">
        <f>'役職希望調査 ・備考'!D137&amp;""</f>
        <v/>
      </c>
      <c r="BE167" s="10" t="str">
        <f>'役職希望調査 ・備考'!E137&amp;""</f>
        <v/>
      </c>
      <c r="BF167" s="10" t="str">
        <f>'役職希望調査 ・備考'!F137&amp;""</f>
        <v/>
      </c>
      <c r="BG167" s="10" t="str">
        <f>'役職希望調査 ・備考'!G137&amp;""</f>
        <v/>
      </c>
      <c r="BH167" s="10" t="str">
        <f>'役職希望調査 ・備考'!H137&amp;""</f>
        <v/>
      </c>
      <c r="BI167" s="10">
        <f t="shared" si="138"/>
        <v>0</v>
      </c>
      <c r="BJ167" s="10">
        <f t="shared" si="139"/>
        <v>0</v>
      </c>
      <c r="BK167" s="10">
        <f t="shared" si="140"/>
        <v>0</v>
      </c>
      <c r="BL167" s="10">
        <f t="shared" si="141"/>
        <v>0</v>
      </c>
      <c r="BM167" s="10">
        <f t="shared" si="142"/>
        <v>0</v>
      </c>
      <c r="BN167" s="10">
        <f t="shared" si="143"/>
        <v>0</v>
      </c>
      <c r="BO167" s="10">
        <f t="shared" si="144"/>
        <v>48</v>
      </c>
      <c r="BP167" s="10">
        <f t="shared" si="145"/>
        <v>48</v>
      </c>
      <c r="BQ167" s="10">
        <f t="shared" si="146"/>
        <v>47</v>
      </c>
      <c r="BR167" s="10">
        <f t="shared" si="147"/>
        <v>46</v>
      </c>
      <c r="BS167" s="10">
        <f t="shared" si="148"/>
        <v>45</v>
      </c>
      <c r="BT167" s="10">
        <f t="shared" si="149"/>
        <v>44</v>
      </c>
      <c r="BU167" s="10">
        <f t="shared" si="150"/>
        <v>43</v>
      </c>
      <c r="BV167" s="10">
        <f t="shared" si="151"/>
        <v>42</v>
      </c>
      <c r="BW167" s="10">
        <f t="shared" si="152"/>
        <v>41</v>
      </c>
      <c r="BX167" s="10">
        <f t="shared" si="153"/>
        <v>40</v>
      </c>
      <c r="BY167" s="10">
        <f t="shared" si="154"/>
        <v>39</v>
      </c>
      <c r="BZ167" s="10">
        <f t="shared" si="155"/>
        <v>38</v>
      </c>
      <c r="CA167" s="10">
        <f t="shared" si="156"/>
        <v>37</v>
      </c>
      <c r="CB167" s="10">
        <f t="shared" si="157"/>
        <v>36</v>
      </c>
      <c r="CC167" s="10">
        <f t="shared" si="158"/>
        <v>35</v>
      </c>
      <c r="CD167" s="10">
        <f t="shared" si="159"/>
        <v>34</v>
      </c>
      <c r="CE167" s="10">
        <f t="shared" si="160"/>
        <v>33</v>
      </c>
      <c r="CF167" s="10">
        <f t="shared" si="161"/>
        <v>32</v>
      </c>
      <c r="CG167" s="10">
        <f t="shared" si="162"/>
        <v>31</v>
      </c>
      <c r="CH167" s="10">
        <f t="shared" si="163"/>
        <v>30</v>
      </c>
      <c r="CI167" s="10">
        <f t="shared" si="164"/>
        <v>29</v>
      </c>
      <c r="CJ167" s="10">
        <f t="shared" si="165"/>
        <v>28</v>
      </c>
      <c r="CK167" s="10">
        <f t="shared" si="166"/>
        <v>27</v>
      </c>
      <c r="CL167" s="10">
        <f t="shared" si="167"/>
        <v>26</v>
      </c>
      <c r="CM167" s="10" t="str">
        <f>'役職希望調査 ・備考'!I137&amp;""</f>
        <v/>
      </c>
    </row>
    <row r="168" spans="1:91">
      <c r="A168" s="10" t="str">
        <f>時間希望調査!A138&amp;""</f>
        <v/>
      </c>
      <c r="B168" s="10" t="str">
        <f>時間希望調査!B138&amp;""</f>
        <v/>
      </c>
      <c r="C168" s="10" t="str">
        <f>時間希望調査!C138&amp;""</f>
        <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0">
        <f t="shared" si="168"/>
        <v>0</v>
      </c>
      <c r="BC168" s="10">
        <f>時間希望調査!D138</f>
        <v>0</v>
      </c>
      <c r="BD168" s="10" t="str">
        <f>'役職希望調査 ・備考'!D138&amp;""</f>
        <v/>
      </c>
      <c r="BE168" s="10" t="str">
        <f>'役職希望調査 ・備考'!E138&amp;""</f>
        <v/>
      </c>
      <c r="BF168" s="10" t="str">
        <f>'役職希望調査 ・備考'!F138&amp;""</f>
        <v/>
      </c>
      <c r="BG168" s="10" t="str">
        <f>'役職希望調査 ・備考'!G138&amp;""</f>
        <v/>
      </c>
      <c r="BH168" s="10" t="str">
        <f>'役職希望調査 ・備考'!H138&amp;""</f>
        <v/>
      </c>
      <c r="BI168" s="10">
        <f t="shared" si="138"/>
        <v>0</v>
      </c>
      <c r="BJ168" s="10">
        <f t="shared" si="139"/>
        <v>0</v>
      </c>
      <c r="BK168" s="10">
        <f t="shared" si="140"/>
        <v>0</v>
      </c>
      <c r="BL168" s="10">
        <f t="shared" si="141"/>
        <v>0</v>
      </c>
      <c r="BM168" s="10">
        <f t="shared" si="142"/>
        <v>0</v>
      </c>
      <c r="BN168" s="10">
        <f t="shared" si="143"/>
        <v>0</v>
      </c>
      <c r="BO168" s="10">
        <f t="shared" si="144"/>
        <v>48</v>
      </c>
      <c r="BP168" s="10">
        <f t="shared" si="145"/>
        <v>48</v>
      </c>
      <c r="BQ168" s="10">
        <f t="shared" si="146"/>
        <v>47</v>
      </c>
      <c r="BR168" s="10">
        <f t="shared" si="147"/>
        <v>46</v>
      </c>
      <c r="BS168" s="10">
        <f t="shared" si="148"/>
        <v>45</v>
      </c>
      <c r="BT168" s="10">
        <f t="shared" si="149"/>
        <v>44</v>
      </c>
      <c r="BU168" s="10">
        <f t="shared" si="150"/>
        <v>43</v>
      </c>
      <c r="BV168" s="10">
        <f t="shared" si="151"/>
        <v>42</v>
      </c>
      <c r="BW168" s="10">
        <f t="shared" si="152"/>
        <v>41</v>
      </c>
      <c r="BX168" s="10">
        <f t="shared" si="153"/>
        <v>40</v>
      </c>
      <c r="BY168" s="10">
        <f t="shared" si="154"/>
        <v>39</v>
      </c>
      <c r="BZ168" s="10">
        <f t="shared" si="155"/>
        <v>38</v>
      </c>
      <c r="CA168" s="10">
        <f t="shared" si="156"/>
        <v>37</v>
      </c>
      <c r="CB168" s="10">
        <f t="shared" si="157"/>
        <v>36</v>
      </c>
      <c r="CC168" s="10">
        <f t="shared" si="158"/>
        <v>35</v>
      </c>
      <c r="CD168" s="10">
        <f t="shared" si="159"/>
        <v>34</v>
      </c>
      <c r="CE168" s="10">
        <f t="shared" si="160"/>
        <v>33</v>
      </c>
      <c r="CF168" s="10">
        <f t="shared" si="161"/>
        <v>32</v>
      </c>
      <c r="CG168" s="10">
        <f t="shared" si="162"/>
        <v>31</v>
      </c>
      <c r="CH168" s="10">
        <f t="shared" si="163"/>
        <v>30</v>
      </c>
      <c r="CI168" s="10">
        <f t="shared" si="164"/>
        <v>29</v>
      </c>
      <c r="CJ168" s="10">
        <f t="shared" si="165"/>
        <v>28</v>
      </c>
      <c r="CK168" s="10">
        <f t="shared" si="166"/>
        <v>27</v>
      </c>
      <c r="CL168" s="10">
        <f t="shared" si="167"/>
        <v>26</v>
      </c>
      <c r="CM168" s="10" t="str">
        <f>'役職希望調査 ・備考'!I138&amp;""</f>
        <v/>
      </c>
    </row>
    <row r="169" spans="1:91">
      <c r="A169" s="10" t="str">
        <f>時間希望調査!A139&amp;""</f>
        <v/>
      </c>
      <c r="B169" s="10" t="str">
        <f>時間希望調査!B139&amp;""</f>
        <v/>
      </c>
      <c r="C169" s="10" t="str">
        <f>時間希望調査!C139&amp;""</f>
        <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0">
        <f t="shared" si="168"/>
        <v>0</v>
      </c>
      <c r="BC169" s="10">
        <f>時間希望調査!D139</f>
        <v>0</v>
      </c>
      <c r="BD169" s="10" t="str">
        <f>'役職希望調査 ・備考'!D139&amp;""</f>
        <v/>
      </c>
      <c r="BE169" s="10" t="str">
        <f>'役職希望調査 ・備考'!E139&amp;""</f>
        <v/>
      </c>
      <c r="BF169" s="10" t="str">
        <f>'役職希望調査 ・備考'!F139&amp;""</f>
        <v/>
      </c>
      <c r="BG169" s="10" t="str">
        <f>'役職希望調査 ・備考'!G139&amp;""</f>
        <v/>
      </c>
      <c r="BH169" s="10" t="str">
        <f>'役職希望調査 ・備考'!H139&amp;""</f>
        <v/>
      </c>
      <c r="BI169" s="10">
        <f t="shared" si="138"/>
        <v>0</v>
      </c>
      <c r="BJ169" s="10">
        <f t="shared" si="139"/>
        <v>0</v>
      </c>
      <c r="BK169" s="10">
        <f t="shared" si="140"/>
        <v>0</v>
      </c>
      <c r="BL169" s="10">
        <f t="shared" si="141"/>
        <v>0</v>
      </c>
      <c r="BM169" s="10">
        <f t="shared" si="142"/>
        <v>0</v>
      </c>
      <c r="BN169" s="10">
        <f t="shared" si="143"/>
        <v>0</v>
      </c>
      <c r="BO169" s="10">
        <f t="shared" si="144"/>
        <v>48</v>
      </c>
      <c r="BP169" s="10">
        <f t="shared" si="145"/>
        <v>48</v>
      </c>
      <c r="BQ169" s="10">
        <f t="shared" si="146"/>
        <v>47</v>
      </c>
      <c r="BR169" s="10">
        <f t="shared" si="147"/>
        <v>46</v>
      </c>
      <c r="BS169" s="10">
        <f t="shared" si="148"/>
        <v>45</v>
      </c>
      <c r="BT169" s="10">
        <f t="shared" si="149"/>
        <v>44</v>
      </c>
      <c r="BU169" s="10">
        <f t="shared" si="150"/>
        <v>43</v>
      </c>
      <c r="BV169" s="10">
        <f t="shared" si="151"/>
        <v>42</v>
      </c>
      <c r="BW169" s="10">
        <f t="shared" si="152"/>
        <v>41</v>
      </c>
      <c r="BX169" s="10">
        <f t="shared" si="153"/>
        <v>40</v>
      </c>
      <c r="BY169" s="10">
        <f t="shared" si="154"/>
        <v>39</v>
      </c>
      <c r="BZ169" s="10">
        <f t="shared" si="155"/>
        <v>38</v>
      </c>
      <c r="CA169" s="10">
        <f t="shared" si="156"/>
        <v>37</v>
      </c>
      <c r="CB169" s="10">
        <f t="shared" si="157"/>
        <v>36</v>
      </c>
      <c r="CC169" s="10">
        <f t="shared" si="158"/>
        <v>35</v>
      </c>
      <c r="CD169" s="10">
        <f t="shared" si="159"/>
        <v>34</v>
      </c>
      <c r="CE169" s="10">
        <f t="shared" si="160"/>
        <v>33</v>
      </c>
      <c r="CF169" s="10">
        <f t="shared" si="161"/>
        <v>32</v>
      </c>
      <c r="CG169" s="10">
        <f t="shared" si="162"/>
        <v>31</v>
      </c>
      <c r="CH169" s="10">
        <f t="shared" si="163"/>
        <v>30</v>
      </c>
      <c r="CI169" s="10">
        <f t="shared" si="164"/>
        <v>29</v>
      </c>
      <c r="CJ169" s="10">
        <f t="shared" si="165"/>
        <v>28</v>
      </c>
      <c r="CK169" s="10">
        <f t="shared" si="166"/>
        <v>27</v>
      </c>
      <c r="CL169" s="10">
        <f t="shared" si="167"/>
        <v>26</v>
      </c>
      <c r="CM169" s="10" t="str">
        <f>'役職希望調査 ・備考'!I139&amp;""</f>
        <v/>
      </c>
    </row>
    <row r="170" spans="1:91">
      <c r="A170" s="10" t="str">
        <f>時間希望調査!A140&amp;""</f>
        <v/>
      </c>
      <c r="B170" s="10" t="str">
        <f>時間希望調査!B140&amp;""</f>
        <v/>
      </c>
      <c r="C170" s="10" t="str">
        <f>時間希望調査!C140&amp;""</f>
        <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0">
        <f t="shared" si="168"/>
        <v>0</v>
      </c>
      <c r="BC170" s="10">
        <f>時間希望調査!D140</f>
        <v>0</v>
      </c>
      <c r="BD170" s="10" t="str">
        <f>'役職希望調査 ・備考'!D140&amp;""</f>
        <v/>
      </c>
      <c r="BE170" s="10" t="str">
        <f>'役職希望調査 ・備考'!E140&amp;""</f>
        <v/>
      </c>
      <c r="BF170" s="10" t="str">
        <f>'役職希望調査 ・備考'!F140&amp;""</f>
        <v/>
      </c>
      <c r="BG170" s="10" t="str">
        <f>'役職希望調査 ・備考'!G140&amp;""</f>
        <v/>
      </c>
      <c r="BH170" s="10" t="str">
        <f>'役職希望調査 ・備考'!H140&amp;""</f>
        <v/>
      </c>
      <c r="BI170" s="10">
        <f t="shared" si="138"/>
        <v>0</v>
      </c>
      <c r="BJ170" s="10">
        <f t="shared" si="139"/>
        <v>0</v>
      </c>
      <c r="BK170" s="10">
        <f t="shared" si="140"/>
        <v>0</v>
      </c>
      <c r="BL170" s="10">
        <f t="shared" si="141"/>
        <v>0</v>
      </c>
      <c r="BM170" s="10">
        <f t="shared" si="142"/>
        <v>0</v>
      </c>
      <c r="BN170" s="10">
        <f t="shared" si="143"/>
        <v>0</v>
      </c>
      <c r="BO170" s="10">
        <f t="shared" si="144"/>
        <v>48</v>
      </c>
      <c r="BP170" s="10">
        <f t="shared" si="145"/>
        <v>48</v>
      </c>
      <c r="BQ170" s="10">
        <f t="shared" si="146"/>
        <v>47</v>
      </c>
      <c r="BR170" s="10">
        <f t="shared" si="147"/>
        <v>46</v>
      </c>
      <c r="BS170" s="10">
        <f t="shared" si="148"/>
        <v>45</v>
      </c>
      <c r="BT170" s="10">
        <f t="shared" si="149"/>
        <v>44</v>
      </c>
      <c r="BU170" s="10">
        <f t="shared" si="150"/>
        <v>43</v>
      </c>
      <c r="BV170" s="10">
        <f t="shared" si="151"/>
        <v>42</v>
      </c>
      <c r="BW170" s="10">
        <f t="shared" si="152"/>
        <v>41</v>
      </c>
      <c r="BX170" s="10">
        <f t="shared" si="153"/>
        <v>40</v>
      </c>
      <c r="BY170" s="10">
        <f t="shared" si="154"/>
        <v>39</v>
      </c>
      <c r="BZ170" s="10">
        <f t="shared" si="155"/>
        <v>38</v>
      </c>
      <c r="CA170" s="10">
        <f t="shared" si="156"/>
        <v>37</v>
      </c>
      <c r="CB170" s="10">
        <f t="shared" si="157"/>
        <v>36</v>
      </c>
      <c r="CC170" s="10">
        <f t="shared" si="158"/>
        <v>35</v>
      </c>
      <c r="CD170" s="10">
        <f t="shared" si="159"/>
        <v>34</v>
      </c>
      <c r="CE170" s="10">
        <f t="shared" si="160"/>
        <v>33</v>
      </c>
      <c r="CF170" s="10">
        <f t="shared" si="161"/>
        <v>32</v>
      </c>
      <c r="CG170" s="10">
        <f t="shared" si="162"/>
        <v>31</v>
      </c>
      <c r="CH170" s="10">
        <f t="shared" si="163"/>
        <v>30</v>
      </c>
      <c r="CI170" s="10">
        <f t="shared" si="164"/>
        <v>29</v>
      </c>
      <c r="CJ170" s="10">
        <f t="shared" si="165"/>
        <v>28</v>
      </c>
      <c r="CK170" s="10">
        <f t="shared" si="166"/>
        <v>27</v>
      </c>
      <c r="CL170" s="10">
        <f t="shared" si="167"/>
        <v>26</v>
      </c>
      <c r="CM170" s="10" t="str">
        <f>'役職希望調査 ・備考'!I140&amp;""</f>
        <v/>
      </c>
    </row>
    <row r="171" spans="1:91">
      <c r="A171" s="10" t="str">
        <f>時間希望調査!A141&amp;""</f>
        <v/>
      </c>
      <c r="B171" s="10" t="str">
        <f>時間希望調査!B141&amp;""</f>
        <v/>
      </c>
      <c r="C171" s="10" t="str">
        <f>時間希望調査!C141&amp;""</f>
        <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0">
        <f t="shared" si="168"/>
        <v>0</v>
      </c>
      <c r="BC171" s="10">
        <f>時間希望調査!D141</f>
        <v>0</v>
      </c>
      <c r="BD171" s="10" t="str">
        <f>'役職希望調査 ・備考'!D141&amp;""</f>
        <v/>
      </c>
      <c r="BE171" s="10" t="str">
        <f>'役職希望調査 ・備考'!E141&amp;""</f>
        <v/>
      </c>
      <c r="BF171" s="10" t="str">
        <f>'役職希望調査 ・備考'!F141&amp;""</f>
        <v/>
      </c>
      <c r="BG171" s="10" t="str">
        <f>'役職希望調査 ・備考'!G141&amp;""</f>
        <v/>
      </c>
      <c r="BH171" s="10" t="str">
        <f>'役職希望調査 ・備考'!H141&amp;""</f>
        <v/>
      </c>
      <c r="BI171" s="10">
        <f t="shared" si="138"/>
        <v>0</v>
      </c>
      <c r="BJ171" s="10">
        <f t="shared" si="139"/>
        <v>0</v>
      </c>
      <c r="BK171" s="10">
        <f t="shared" si="140"/>
        <v>0</v>
      </c>
      <c r="BL171" s="10">
        <f t="shared" si="141"/>
        <v>0</v>
      </c>
      <c r="BM171" s="10">
        <f t="shared" si="142"/>
        <v>0</v>
      </c>
      <c r="BN171" s="10">
        <f t="shared" si="143"/>
        <v>0</v>
      </c>
      <c r="BO171" s="10">
        <f t="shared" si="144"/>
        <v>48</v>
      </c>
      <c r="BP171" s="10">
        <f t="shared" si="145"/>
        <v>48</v>
      </c>
      <c r="BQ171" s="10">
        <f t="shared" si="146"/>
        <v>47</v>
      </c>
      <c r="BR171" s="10">
        <f t="shared" si="147"/>
        <v>46</v>
      </c>
      <c r="BS171" s="10">
        <f t="shared" si="148"/>
        <v>45</v>
      </c>
      <c r="BT171" s="10">
        <f t="shared" si="149"/>
        <v>44</v>
      </c>
      <c r="BU171" s="10">
        <f t="shared" si="150"/>
        <v>43</v>
      </c>
      <c r="BV171" s="10">
        <f t="shared" si="151"/>
        <v>42</v>
      </c>
      <c r="BW171" s="10">
        <f t="shared" si="152"/>
        <v>41</v>
      </c>
      <c r="BX171" s="10">
        <f t="shared" si="153"/>
        <v>40</v>
      </c>
      <c r="BY171" s="10">
        <f t="shared" si="154"/>
        <v>39</v>
      </c>
      <c r="BZ171" s="10">
        <f t="shared" si="155"/>
        <v>38</v>
      </c>
      <c r="CA171" s="10">
        <f t="shared" si="156"/>
        <v>37</v>
      </c>
      <c r="CB171" s="10">
        <f t="shared" si="157"/>
        <v>36</v>
      </c>
      <c r="CC171" s="10">
        <f t="shared" si="158"/>
        <v>35</v>
      </c>
      <c r="CD171" s="10">
        <f t="shared" si="159"/>
        <v>34</v>
      </c>
      <c r="CE171" s="10">
        <f t="shared" si="160"/>
        <v>33</v>
      </c>
      <c r="CF171" s="10">
        <f t="shared" si="161"/>
        <v>32</v>
      </c>
      <c r="CG171" s="10">
        <f t="shared" si="162"/>
        <v>31</v>
      </c>
      <c r="CH171" s="10">
        <f t="shared" si="163"/>
        <v>30</v>
      </c>
      <c r="CI171" s="10">
        <f t="shared" si="164"/>
        <v>29</v>
      </c>
      <c r="CJ171" s="10">
        <f t="shared" si="165"/>
        <v>28</v>
      </c>
      <c r="CK171" s="10">
        <f t="shared" si="166"/>
        <v>27</v>
      </c>
      <c r="CL171" s="10">
        <f t="shared" si="167"/>
        <v>26</v>
      </c>
      <c r="CM171" s="10" t="str">
        <f>'役職希望調査 ・備考'!I141&amp;""</f>
        <v/>
      </c>
    </row>
    <row r="172" spans="1:91">
      <c r="A172" s="10" t="str">
        <f>時間希望調査!A142&amp;""</f>
        <v/>
      </c>
      <c r="B172" s="10" t="str">
        <f>時間希望調査!B142&amp;""</f>
        <v/>
      </c>
      <c r="C172" s="10" t="str">
        <f>時間希望調査!C142&amp;""</f>
        <v/>
      </c>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0">
        <f t="shared" si="168"/>
        <v>0</v>
      </c>
      <c r="BC172" s="10">
        <f>時間希望調査!D142</f>
        <v>0</v>
      </c>
      <c r="BD172" s="10" t="str">
        <f>'役職希望調査 ・備考'!D142&amp;""</f>
        <v/>
      </c>
      <c r="BE172" s="10" t="str">
        <f>'役職希望調査 ・備考'!E142&amp;""</f>
        <v/>
      </c>
      <c r="BF172" s="10" t="str">
        <f>'役職希望調査 ・備考'!F142&amp;""</f>
        <v/>
      </c>
      <c r="BG172" s="10" t="str">
        <f>'役職希望調査 ・備考'!G142&amp;""</f>
        <v/>
      </c>
      <c r="BH172" s="10" t="str">
        <f>'役職希望調査 ・備考'!H142&amp;""</f>
        <v/>
      </c>
      <c r="BI172" s="10">
        <f t="shared" si="138"/>
        <v>0</v>
      </c>
      <c r="BJ172" s="10">
        <f t="shared" si="139"/>
        <v>0</v>
      </c>
      <c r="BK172" s="10">
        <f t="shared" si="140"/>
        <v>0</v>
      </c>
      <c r="BL172" s="10">
        <f t="shared" si="141"/>
        <v>0</v>
      </c>
      <c r="BM172" s="10">
        <f t="shared" si="142"/>
        <v>0</v>
      </c>
      <c r="BN172" s="10">
        <f t="shared" si="143"/>
        <v>0</v>
      </c>
      <c r="BO172" s="10">
        <f t="shared" si="144"/>
        <v>48</v>
      </c>
      <c r="BP172" s="10">
        <f t="shared" si="145"/>
        <v>48</v>
      </c>
      <c r="BQ172" s="10">
        <f t="shared" si="146"/>
        <v>47</v>
      </c>
      <c r="BR172" s="10">
        <f t="shared" si="147"/>
        <v>46</v>
      </c>
      <c r="BS172" s="10">
        <f t="shared" si="148"/>
        <v>45</v>
      </c>
      <c r="BT172" s="10">
        <f t="shared" si="149"/>
        <v>44</v>
      </c>
      <c r="BU172" s="10">
        <f t="shared" si="150"/>
        <v>43</v>
      </c>
      <c r="BV172" s="10">
        <f t="shared" si="151"/>
        <v>42</v>
      </c>
      <c r="BW172" s="10">
        <f t="shared" si="152"/>
        <v>41</v>
      </c>
      <c r="BX172" s="10">
        <f t="shared" si="153"/>
        <v>40</v>
      </c>
      <c r="BY172" s="10">
        <f t="shared" si="154"/>
        <v>39</v>
      </c>
      <c r="BZ172" s="10">
        <f t="shared" si="155"/>
        <v>38</v>
      </c>
      <c r="CA172" s="10">
        <f t="shared" si="156"/>
        <v>37</v>
      </c>
      <c r="CB172" s="10">
        <f t="shared" si="157"/>
        <v>36</v>
      </c>
      <c r="CC172" s="10">
        <f t="shared" si="158"/>
        <v>35</v>
      </c>
      <c r="CD172" s="10">
        <f t="shared" si="159"/>
        <v>34</v>
      </c>
      <c r="CE172" s="10">
        <f t="shared" si="160"/>
        <v>33</v>
      </c>
      <c r="CF172" s="10">
        <f t="shared" si="161"/>
        <v>32</v>
      </c>
      <c r="CG172" s="10">
        <f t="shared" si="162"/>
        <v>31</v>
      </c>
      <c r="CH172" s="10">
        <f t="shared" si="163"/>
        <v>30</v>
      </c>
      <c r="CI172" s="10">
        <f t="shared" si="164"/>
        <v>29</v>
      </c>
      <c r="CJ172" s="10">
        <f t="shared" si="165"/>
        <v>28</v>
      </c>
      <c r="CK172" s="10">
        <f t="shared" si="166"/>
        <v>27</v>
      </c>
      <c r="CL172" s="10">
        <f t="shared" si="167"/>
        <v>26</v>
      </c>
      <c r="CM172" s="10" t="str">
        <f>'役職希望調査 ・備考'!I142&amp;""</f>
        <v/>
      </c>
    </row>
    <row r="173" spans="1:91">
      <c r="A173" s="10" t="str">
        <f>時間希望調査!A143&amp;""</f>
        <v/>
      </c>
      <c r="B173" s="10" t="str">
        <f>時間希望調査!B143&amp;""</f>
        <v/>
      </c>
      <c r="C173" s="10" t="str">
        <f>時間希望調査!C143&amp;""</f>
        <v/>
      </c>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0">
        <f t="shared" si="168"/>
        <v>0</v>
      </c>
      <c r="BC173" s="10">
        <f>時間希望調査!D143</f>
        <v>0</v>
      </c>
      <c r="BD173" s="10" t="str">
        <f>'役職希望調査 ・備考'!D143&amp;""</f>
        <v/>
      </c>
      <c r="BE173" s="10" t="str">
        <f>'役職希望調査 ・備考'!E143&amp;""</f>
        <v/>
      </c>
      <c r="BF173" s="10" t="str">
        <f>'役職希望調査 ・備考'!F143&amp;""</f>
        <v/>
      </c>
      <c r="BG173" s="10" t="str">
        <f>'役職希望調査 ・備考'!G143&amp;""</f>
        <v/>
      </c>
      <c r="BH173" s="10" t="str">
        <f>'役職希望調査 ・備考'!H143&amp;""</f>
        <v/>
      </c>
      <c r="BI173" s="10">
        <f t="shared" si="138"/>
        <v>0</v>
      </c>
      <c r="BJ173" s="10">
        <f t="shared" si="139"/>
        <v>0</v>
      </c>
      <c r="BK173" s="10">
        <f t="shared" si="140"/>
        <v>0</v>
      </c>
      <c r="BL173" s="10">
        <f t="shared" si="141"/>
        <v>0</v>
      </c>
      <c r="BM173" s="10">
        <f t="shared" si="142"/>
        <v>0</v>
      </c>
      <c r="BN173" s="10">
        <f t="shared" si="143"/>
        <v>0</v>
      </c>
      <c r="BO173" s="10">
        <f t="shared" si="144"/>
        <v>48</v>
      </c>
      <c r="BP173" s="10">
        <f t="shared" si="145"/>
        <v>48</v>
      </c>
      <c r="BQ173" s="10">
        <f t="shared" si="146"/>
        <v>47</v>
      </c>
      <c r="BR173" s="10">
        <f t="shared" si="147"/>
        <v>46</v>
      </c>
      <c r="BS173" s="10">
        <f t="shared" si="148"/>
        <v>45</v>
      </c>
      <c r="BT173" s="10">
        <f t="shared" si="149"/>
        <v>44</v>
      </c>
      <c r="BU173" s="10">
        <f t="shared" si="150"/>
        <v>43</v>
      </c>
      <c r="BV173" s="10">
        <f t="shared" si="151"/>
        <v>42</v>
      </c>
      <c r="BW173" s="10">
        <f t="shared" si="152"/>
        <v>41</v>
      </c>
      <c r="BX173" s="10">
        <f t="shared" si="153"/>
        <v>40</v>
      </c>
      <c r="BY173" s="10">
        <f t="shared" si="154"/>
        <v>39</v>
      </c>
      <c r="BZ173" s="10">
        <f t="shared" si="155"/>
        <v>38</v>
      </c>
      <c r="CA173" s="10">
        <f t="shared" si="156"/>
        <v>37</v>
      </c>
      <c r="CB173" s="10">
        <f t="shared" si="157"/>
        <v>36</v>
      </c>
      <c r="CC173" s="10">
        <f t="shared" si="158"/>
        <v>35</v>
      </c>
      <c r="CD173" s="10">
        <f t="shared" si="159"/>
        <v>34</v>
      </c>
      <c r="CE173" s="10">
        <f t="shared" si="160"/>
        <v>33</v>
      </c>
      <c r="CF173" s="10">
        <f t="shared" si="161"/>
        <v>32</v>
      </c>
      <c r="CG173" s="10">
        <f t="shared" si="162"/>
        <v>31</v>
      </c>
      <c r="CH173" s="10">
        <f t="shared" si="163"/>
        <v>30</v>
      </c>
      <c r="CI173" s="10">
        <f t="shared" si="164"/>
        <v>29</v>
      </c>
      <c r="CJ173" s="10">
        <f t="shared" si="165"/>
        <v>28</v>
      </c>
      <c r="CK173" s="10">
        <f t="shared" si="166"/>
        <v>27</v>
      </c>
      <c r="CL173" s="10">
        <f t="shared" si="167"/>
        <v>26</v>
      </c>
      <c r="CM173" s="10" t="str">
        <f>'役職希望調査 ・備考'!I143&amp;""</f>
        <v/>
      </c>
    </row>
    <row r="174" spans="1:91">
      <c r="A174" s="10" t="str">
        <f>時間希望調査!A144&amp;""</f>
        <v/>
      </c>
      <c r="B174" s="10" t="str">
        <f>時間希望調査!B144&amp;""</f>
        <v/>
      </c>
      <c r="C174" s="10" t="str">
        <f>時間希望調査!C144&amp;""</f>
        <v/>
      </c>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0">
        <f t="shared" si="168"/>
        <v>0</v>
      </c>
      <c r="BC174" s="10">
        <f>時間希望調査!D144</f>
        <v>0</v>
      </c>
      <c r="BD174" s="10" t="str">
        <f>'役職希望調査 ・備考'!D144&amp;""</f>
        <v/>
      </c>
      <c r="BE174" s="10" t="str">
        <f>'役職希望調査 ・備考'!E144&amp;""</f>
        <v/>
      </c>
      <c r="BF174" s="10" t="str">
        <f>'役職希望調査 ・備考'!F144&amp;""</f>
        <v/>
      </c>
      <c r="BG174" s="10" t="str">
        <f>'役職希望調査 ・備考'!G144&amp;""</f>
        <v/>
      </c>
      <c r="BH174" s="10" t="str">
        <f>'役職希望調査 ・備考'!H144&amp;""</f>
        <v/>
      </c>
      <c r="BI174" s="10">
        <f t="shared" si="138"/>
        <v>0</v>
      </c>
      <c r="BJ174" s="10">
        <f t="shared" si="139"/>
        <v>0</v>
      </c>
      <c r="BK174" s="10">
        <f t="shared" si="140"/>
        <v>0</v>
      </c>
      <c r="BL174" s="10">
        <f t="shared" si="141"/>
        <v>0</v>
      </c>
      <c r="BM174" s="10">
        <f t="shared" si="142"/>
        <v>0</v>
      </c>
      <c r="BN174" s="10">
        <f t="shared" si="143"/>
        <v>0</v>
      </c>
      <c r="BO174" s="10">
        <f t="shared" si="144"/>
        <v>48</v>
      </c>
      <c r="BP174" s="10">
        <f t="shared" si="145"/>
        <v>48</v>
      </c>
      <c r="BQ174" s="10">
        <f t="shared" si="146"/>
        <v>47</v>
      </c>
      <c r="BR174" s="10">
        <f t="shared" si="147"/>
        <v>46</v>
      </c>
      <c r="BS174" s="10">
        <f t="shared" si="148"/>
        <v>45</v>
      </c>
      <c r="BT174" s="10">
        <f t="shared" si="149"/>
        <v>44</v>
      </c>
      <c r="BU174" s="10">
        <f t="shared" si="150"/>
        <v>43</v>
      </c>
      <c r="BV174" s="10">
        <f t="shared" si="151"/>
        <v>42</v>
      </c>
      <c r="BW174" s="10">
        <f t="shared" si="152"/>
        <v>41</v>
      </c>
      <c r="BX174" s="10">
        <f t="shared" si="153"/>
        <v>40</v>
      </c>
      <c r="BY174" s="10">
        <f t="shared" si="154"/>
        <v>39</v>
      </c>
      <c r="BZ174" s="10">
        <f t="shared" si="155"/>
        <v>38</v>
      </c>
      <c r="CA174" s="10">
        <f t="shared" si="156"/>
        <v>37</v>
      </c>
      <c r="CB174" s="10">
        <f t="shared" si="157"/>
        <v>36</v>
      </c>
      <c r="CC174" s="10">
        <f t="shared" si="158"/>
        <v>35</v>
      </c>
      <c r="CD174" s="10">
        <f t="shared" si="159"/>
        <v>34</v>
      </c>
      <c r="CE174" s="10">
        <f t="shared" si="160"/>
        <v>33</v>
      </c>
      <c r="CF174" s="10">
        <f t="shared" si="161"/>
        <v>32</v>
      </c>
      <c r="CG174" s="10">
        <f t="shared" si="162"/>
        <v>31</v>
      </c>
      <c r="CH174" s="10">
        <f t="shared" si="163"/>
        <v>30</v>
      </c>
      <c r="CI174" s="10">
        <f t="shared" si="164"/>
        <v>29</v>
      </c>
      <c r="CJ174" s="10">
        <f t="shared" si="165"/>
        <v>28</v>
      </c>
      <c r="CK174" s="10">
        <f t="shared" si="166"/>
        <v>27</v>
      </c>
      <c r="CL174" s="10">
        <f t="shared" si="167"/>
        <v>26</v>
      </c>
      <c r="CM174" s="10" t="str">
        <f>'役職希望調査 ・備考'!I144&amp;""</f>
        <v/>
      </c>
    </row>
    <row r="175" spans="1:91">
      <c r="A175" s="10" t="str">
        <f>時間希望調査!A145&amp;""</f>
        <v/>
      </c>
      <c r="B175" s="10" t="str">
        <f>時間希望調査!B145&amp;""</f>
        <v/>
      </c>
      <c r="C175" s="10" t="str">
        <f>時間希望調査!C145&amp;""</f>
        <v/>
      </c>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0">
        <f t="shared" si="168"/>
        <v>0</v>
      </c>
      <c r="BC175" s="10">
        <f>時間希望調査!D145</f>
        <v>0</v>
      </c>
      <c r="BD175" s="10" t="str">
        <f>'役職希望調査 ・備考'!D145&amp;""</f>
        <v/>
      </c>
      <c r="BE175" s="10" t="str">
        <f>'役職希望調査 ・備考'!E145&amp;""</f>
        <v/>
      </c>
      <c r="BF175" s="10" t="str">
        <f>'役職希望調査 ・備考'!F145&amp;""</f>
        <v/>
      </c>
      <c r="BG175" s="10" t="str">
        <f>'役職希望調査 ・備考'!G145&amp;""</f>
        <v/>
      </c>
      <c r="BH175" s="10" t="str">
        <f>'役職希望調査 ・備考'!H145&amp;""</f>
        <v/>
      </c>
      <c r="BI175" s="10">
        <f t="shared" si="138"/>
        <v>0</v>
      </c>
      <c r="BJ175" s="10">
        <f t="shared" si="139"/>
        <v>0</v>
      </c>
      <c r="BK175" s="10">
        <f t="shared" si="140"/>
        <v>0</v>
      </c>
      <c r="BL175" s="10">
        <f t="shared" si="141"/>
        <v>0</v>
      </c>
      <c r="BM175" s="10">
        <f t="shared" si="142"/>
        <v>0</v>
      </c>
      <c r="BN175" s="10">
        <f t="shared" si="143"/>
        <v>0</v>
      </c>
      <c r="BO175" s="10">
        <f t="shared" si="144"/>
        <v>48</v>
      </c>
      <c r="BP175" s="10">
        <f t="shared" si="145"/>
        <v>48</v>
      </c>
      <c r="BQ175" s="10">
        <f t="shared" si="146"/>
        <v>47</v>
      </c>
      <c r="BR175" s="10">
        <f t="shared" si="147"/>
        <v>46</v>
      </c>
      <c r="BS175" s="10">
        <f t="shared" si="148"/>
        <v>45</v>
      </c>
      <c r="BT175" s="10">
        <f t="shared" si="149"/>
        <v>44</v>
      </c>
      <c r="BU175" s="10">
        <f t="shared" si="150"/>
        <v>43</v>
      </c>
      <c r="BV175" s="10">
        <f t="shared" si="151"/>
        <v>42</v>
      </c>
      <c r="BW175" s="10">
        <f t="shared" si="152"/>
        <v>41</v>
      </c>
      <c r="BX175" s="10">
        <f t="shared" si="153"/>
        <v>40</v>
      </c>
      <c r="BY175" s="10">
        <f t="shared" si="154"/>
        <v>39</v>
      </c>
      <c r="BZ175" s="10">
        <f t="shared" si="155"/>
        <v>38</v>
      </c>
      <c r="CA175" s="10">
        <f t="shared" si="156"/>
        <v>37</v>
      </c>
      <c r="CB175" s="10">
        <f t="shared" si="157"/>
        <v>36</v>
      </c>
      <c r="CC175" s="10">
        <f t="shared" si="158"/>
        <v>35</v>
      </c>
      <c r="CD175" s="10">
        <f t="shared" si="159"/>
        <v>34</v>
      </c>
      <c r="CE175" s="10">
        <f t="shared" si="160"/>
        <v>33</v>
      </c>
      <c r="CF175" s="10">
        <f t="shared" si="161"/>
        <v>32</v>
      </c>
      <c r="CG175" s="10">
        <f t="shared" si="162"/>
        <v>31</v>
      </c>
      <c r="CH175" s="10">
        <f t="shared" si="163"/>
        <v>30</v>
      </c>
      <c r="CI175" s="10">
        <f t="shared" si="164"/>
        <v>29</v>
      </c>
      <c r="CJ175" s="10">
        <f t="shared" si="165"/>
        <v>28</v>
      </c>
      <c r="CK175" s="10">
        <f t="shared" si="166"/>
        <v>27</v>
      </c>
      <c r="CL175" s="10">
        <f t="shared" si="167"/>
        <v>26</v>
      </c>
      <c r="CM175" s="10" t="str">
        <f>'役職希望調査 ・備考'!I145&amp;""</f>
        <v/>
      </c>
    </row>
    <row r="176" spans="1:91">
      <c r="A176" s="10" t="str">
        <f>時間希望調査!A146&amp;""</f>
        <v/>
      </c>
      <c r="B176" s="10" t="str">
        <f>時間希望調査!B146&amp;""</f>
        <v/>
      </c>
      <c r="C176" s="10" t="str">
        <f>時間希望調査!C146&amp;""</f>
        <v/>
      </c>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0">
        <f t="shared" si="168"/>
        <v>0</v>
      </c>
      <c r="BC176" s="10">
        <f>時間希望調査!D146</f>
        <v>0</v>
      </c>
      <c r="BD176" s="10" t="str">
        <f>'役職希望調査 ・備考'!D146&amp;""</f>
        <v/>
      </c>
      <c r="BE176" s="10" t="str">
        <f>'役職希望調査 ・備考'!E146&amp;""</f>
        <v/>
      </c>
      <c r="BF176" s="10" t="str">
        <f>'役職希望調査 ・備考'!F146&amp;""</f>
        <v/>
      </c>
      <c r="BG176" s="10" t="str">
        <f>'役職希望調査 ・備考'!G146&amp;""</f>
        <v/>
      </c>
      <c r="BH176" s="10" t="str">
        <f>'役職希望調査 ・備考'!H146&amp;""</f>
        <v/>
      </c>
      <c r="BI176" s="10">
        <f t="shared" si="138"/>
        <v>0</v>
      </c>
      <c r="BJ176" s="10">
        <f t="shared" si="139"/>
        <v>0</v>
      </c>
      <c r="BK176" s="10">
        <f t="shared" si="140"/>
        <v>0</v>
      </c>
      <c r="BL176" s="10">
        <f t="shared" si="141"/>
        <v>0</v>
      </c>
      <c r="BM176" s="10">
        <f t="shared" si="142"/>
        <v>0</v>
      </c>
      <c r="BN176" s="10">
        <f t="shared" si="143"/>
        <v>0</v>
      </c>
      <c r="BO176" s="10">
        <f t="shared" si="144"/>
        <v>48</v>
      </c>
      <c r="BP176" s="10">
        <f t="shared" si="145"/>
        <v>48</v>
      </c>
      <c r="BQ176" s="10">
        <f t="shared" si="146"/>
        <v>47</v>
      </c>
      <c r="BR176" s="10">
        <f t="shared" si="147"/>
        <v>46</v>
      </c>
      <c r="BS176" s="10">
        <f t="shared" si="148"/>
        <v>45</v>
      </c>
      <c r="BT176" s="10">
        <f t="shared" si="149"/>
        <v>44</v>
      </c>
      <c r="BU176" s="10">
        <f t="shared" si="150"/>
        <v>43</v>
      </c>
      <c r="BV176" s="10">
        <f t="shared" si="151"/>
        <v>42</v>
      </c>
      <c r="BW176" s="10">
        <f t="shared" si="152"/>
        <v>41</v>
      </c>
      <c r="BX176" s="10">
        <f t="shared" si="153"/>
        <v>40</v>
      </c>
      <c r="BY176" s="10">
        <f t="shared" si="154"/>
        <v>39</v>
      </c>
      <c r="BZ176" s="10">
        <f t="shared" si="155"/>
        <v>38</v>
      </c>
      <c r="CA176" s="10">
        <f t="shared" si="156"/>
        <v>37</v>
      </c>
      <c r="CB176" s="10">
        <f t="shared" si="157"/>
        <v>36</v>
      </c>
      <c r="CC176" s="10">
        <f t="shared" si="158"/>
        <v>35</v>
      </c>
      <c r="CD176" s="10">
        <f t="shared" si="159"/>
        <v>34</v>
      </c>
      <c r="CE176" s="10">
        <f t="shared" si="160"/>
        <v>33</v>
      </c>
      <c r="CF176" s="10">
        <f t="shared" si="161"/>
        <v>32</v>
      </c>
      <c r="CG176" s="10">
        <f t="shared" si="162"/>
        <v>31</v>
      </c>
      <c r="CH176" s="10">
        <f t="shared" si="163"/>
        <v>30</v>
      </c>
      <c r="CI176" s="10">
        <f t="shared" si="164"/>
        <v>29</v>
      </c>
      <c r="CJ176" s="10">
        <f t="shared" si="165"/>
        <v>28</v>
      </c>
      <c r="CK176" s="10">
        <f t="shared" si="166"/>
        <v>27</v>
      </c>
      <c r="CL176" s="10">
        <f t="shared" si="167"/>
        <v>26</v>
      </c>
      <c r="CM176" s="10" t="str">
        <f>'役職希望調査 ・備考'!I146&amp;""</f>
        <v/>
      </c>
    </row>
    <row r="177" spans="1:91">
      <c r="A177" s="10" t="str">
        <f>時間希望調査!A147&amp;""</f>
        <v/>
      </c>
      <c r="B177" s="10" t="str">
        <f>時間希望調査!B147&amp;""</f>
        <v/>
      </c>
      <c r="C177" s="10" t="str">
        <f>時間希望調査!C147&amp;""</f>
        <v/>
      </c>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0">
        <f t="shared" si="168"/>
        <v>0</v>
      </c>
      <c r="BC177" s="10">
        <f>時間希望調査!D147</f>
        <v>0</v>
      </c>
      <c r="BD177" s="10" t="str">
        <f>'役職希望調査 ・備考'!D147&amp;""</f>
        <v/>
      </c>
      <c r="BE177" s="10" t="str">
        <f>'役職希望調査 ・備考'!E147&amp;""</f>
        <v/>
      </c>
      <c r="BF177" s="10" t="str">
        <f>'役職希望調査 ・備考'!F147&amp;""</f>
        <v/>
      </c>
      <c r="BG177" s="10" t="str">
        <f>'役職希望調査 ・備考'!G147&amp;""</f>
        <v/>
      </c>
      <c r="BH177" s="10" t="str">
        <f>'役職希望調査 ・備考'!H147&amp;""</f>
        <v/>
      </c>
      <c r="BI177" s="10">
        <f t="shared" si="138"/>
        <v>0</v>
      </c>
      <c r="BJ177" s="10">
        <f t="shared" si="139"/>
        <v>0</v>
      </c>
      <c r="BK177" s="10">
        <f t="shared" si="140"/>
        <v>0</v>
      </c>
      <c r="BL177" s="10">
        <f t="shared" si="141"/>
        <v>0</v>
      </c>
      <c r="BM177" s="10">
        <f t="shared" si="142"/>
        <v>0</v>
      </c>
      <c r="BN177" s="10">
        <f t="shared" si="143"/>
        <v>0</v>
      </c>
      <c r="BO177" s="10">
        <f t="shared" si="144"/>
        <v>48</v>
      </c>
      <c r="BP177" s="10">
        <f t="shared" si="145"/>
        <v>48</v>
      </c>
      <c r="BQ177" s="10">
        <f t="shared" si="146"/>
        <v>47</v>
      </c>
      <c r="BR177" s="10">
        <f t="shared" si="147"/>
        <v>46</v>
      </c>
      <c r="BS177" s="10">
        <f t="shared" si="148"/>
        <v>45</v>
      </c>
      <c r="BT177" s="10">
        <f t="shared" si="149"/>
        <v>44</v>
      </c>
      <c r="BU177" s="10">
        <f t="shared" si="150"/>
        <v>43</v>
      </c>
      <c r="BV177" s="10">
        <f t="shared" si="151"/>
        <v>42</v>
      </c>
      <c r="BW177" s="10">
        <f t="shared" si="152"/>
        <v>41</v>
      </c>
      <c r="BX177" s="10">
        <f t="shared" si="153"/>
        <v>40</v>
      </c>
      <c r="BY177" s="10">
        <f t="shared" si="154"/>
        <v>39</v>
      </c>
      <c r="BZ177" s="10">
        <f t="shared" si="155"/>
        <v>38</v>
      </c>
      <c r="CA177" s="10">
        <f t="shared" si="156"/>
        <v>37</v>
      </c>
      <c r="CB177" s="10">
        <f t="shared" si="157"/>
        <v>36</v>
      </c>
      <c r="CC177" s="10">
        <f t="shared" si="158"/>
        <v>35</v>
      </c>
      <c r="CD177" s="10">
        <f t="shared" si="159"/>
        <v>34</v>
      </c>
      <c r="CE177" s="10">
        <f t="shared" si="160"/>
        <v>33</v>
      </c>
      <c r="CF177" s="10">
        <f t="shared" si="161"/>
        <v>32</v>
      </c>
      <c r="CG177" s="10">
        <f t="shared" si="162"/>
        <v>31</v>
      </c>
      <c r="CH177" s="10">
        <f t="shared" si="163"/>
        <v>30</v>
      </c>
      <c r="CI177" s="10">
        <f t="shared" si="164"/>
        <v>29</v>
      </c>
      <c r="CJ177" s="10">
        <f t="shared" si="165"/>
        <v>28</v>
      </c>
      <c r="CK177" s="10">
        <f t="shared" si="166"/>
        <v>27</v>
      </c>
      <c r="CL177" s="10">
        <f t="shared" si="167"/>
        <v>26</v>
      </c>
      <c r="CM177" s="10" t="str">
        <f>'役職希望調査 ・備考'!I147&amp;""</f>
        <v/>
      </c>
    </row>
    <row r="178" spans="1:91">
      <c r="A178" s="10" t="str">
        <f>時間希望調査!A148&amp;""</f>
        <v/>
      </c>
      <c r="B178" s="10" t="str">
        <f>時間希望調査!B148&amp;""</f>
        <v/>
      </c>
      <c r="C178" s="10" t="str">
        <f>時間希望調査!C148&amp;""</f>
        <v/>
      </c>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0">
        <f t="shared" si="168"/>
        <v>0</v>
      </c>
      <c r="BC178" s="10">
        <f>時間希望調査!D148</f>
        <v>0</v>
      </c>
      <c r="BD178" s="10" t="str">
        <f>'役職希望調査 ・備考'!D148&amp;""</f>
        <v/>
      </c>
      <c r="BE178" s="10" t="str">
        <f>'役職希望調査 ・備考'!E148&amp;""</f>
        <v/>
      </c>
      <c r="BF178" s="10" t="str">
        <f>'役職希望調査 ・備考'!F148&amp;""</f>
        <v/>
      </c>
      <c r="BG178" s="10" t="str">
        <f>'役職希望調査 ・備考'!G148&amp;""</f>
        <v/>
      </c>
      <c r="BH178" s="10" t="str">
        <f>'役職希望調査 ・備考'!H148&amp;""</f>
        <v/>
      </c>
      <c r="BI178" s="10">
        <f t="shared" si="138"/>
        <v>0</v>
      </c>
      <c r="BJ178" s="10">
        <f t="shared" si="139"/>
        <v>0</v>
      </c>
      <c r="BK178" s="10">
        <f t="shared" si="140"/>
        <v>0</v>
      </c>
      <c r="BL178" s="10">
        <f t="shared" si="141"/>
        <v>0</v>
      </c>
      <c r="BM178" s="10">
        <f t="shared" si="142"/>
        <v>0</v>
      </c>
      <c r="BN178" s="10">
        <f t="shared" si="143"/>
        <v>0</v>
      </c>
      <c r="BO178" s="10">
        <f t="shared" si="144"/>
        <v>48</v>
      </c>
      <c r="BP178" s="10">
        <f t="shared" si="145"/>
        <v>48</v>
      </c>
      <c r="BQ178" s="10">
        <f t="shared" si="146"/>
        <v>47</v>
      </c>
      <c r="BR178" s="10">
        <f t="shared" si="147"/>
        <v>46</v>
      </c>
      <c r="BS178" s="10">
        <f t="shared" si="148"/>
        <v>45</v>
      </c>
      <c r="BT178" s="10">
        <f t="shared" si="149"/>
        <v>44</v>
      </c>
      <c r="BU178" s="10">
        <f t="shared" si="150"/>
        <v>43</v>
      </c>
      <c r="BV178" s="10">
        <f t="shared" si="151"/>
        <v>42</v>
      </c>
      <c r="BW178" s="10">
        <f t="shared" si="152"/>
        <v>41</v>
      </c>
      <c r="BX178" s="10">
        <f t="shared" si="153"/>
        <v>40</v>
      </c>
      <c r="BY178" s="10">
        <f t="shared" si="154"/>
        <v>39</v>
      </c>
      <c r="BZ178" s="10">
        <f t="shared" si="155"/>
        <v>38</v>
      </c>
      <c r="CA178" s="10">
        <f t="shared" si="156"/>
        <v>37</v>
      </c>
      <c r="CB178" s="10">
        <f t="shared" si="157"/>
        <v>36</v>
      </c>
      <c r="CC178" s="10">
        <f t="shared" si="158"/>
        <v>35</v>
      </c>
      <c r="CD178" s="10">
        <f t="shared" si="159"/>
        <v>34</v>
      </c>
      <c r="CE178" s="10">
        <f t="shared" si="160"/>
        <v>33</v>
      </c>
      <c r="CF178" s="10">
        <f t="shared" si="161"/>
        <v>32</v>
      </c>
      <c r="CG178" s="10">
        <f t="shared" si="162"/>
        <v>31</v>
      </c>
      <c r="CH178" s="10">
        <f t="shared" si="163"/>
        <v>30</v>
      </c>
      <c r="CI178" s="10">
        <f t="shared" si="164"/>
        <v>29</v>
      </c>
      <c r="CJ178" s="10">
        <f t="shared" si="165"/>
        <v>28</v>
      </c>
      <c r="CK178" s="10">
        <f t="shared" si="166"/>
        <v>27</v>
      </c>
      <c r="CL178" s="10">
        <f t="shared" si="167"/>
        <v>26</v>
      </c>
      <c r="CM178" s="10" t="str">
        <f>'役職希望調査 ・備考'!I148&amp;""</f>
        <v/>
      </c>
    </row>
    <row r="179" spans="1:91">
      <c r="A179" s="10" t="str">
        <f>時間希望調査!A149&amp;""</f>
        <v/>
      </c>
      <c r="B179" s="10" t="str">
        <f>時間希望調査!B149&amp;""</f>
        <v/>
      </c>
      <c r="C179" s="10" t="str">
        <f>時間希望調査!C149&amp;""</f>
        <v/>
      </c>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0">
        <f t="shared" si="168"/>
        <v>0</v>
      </c>
      <c r="BC179" s="10">
        <f>時間希望調査!D149</f>
        <v>0</v>
      </c>
      <c r="BD179" s="10" t="str">
        <f>'役職希望調査 ・備考'!D149&amp;""</f>
        <v/>
      </c>
      <c r="BE179" s="10" t="str">
        <f>'役職希望調査 ・備考'!E149&amp;""</f>
        <v/>
      </c>
      <c r="BF179" s="10" t="str">
        <f>'役職希望調査 ・備考'!F149&amp;""</f>
        <v/>
      </c>
      <c r="BG179" s="10" t="str">
        <f>'役職希望調査 ・備考'!G149&amp;""</f>
        <v/>
      </c>
      <c r="BH179" s="10" t="str">
        <f>'役職希望調査 ・備考'!H149&amp;""</f>
        <v/>
      </c>
      <c r="BI179" s="10">
        <f t="shared" si="138"/>
        <v>0</v>
      </c>
      <c r="BJ179" s="10">
        <f t="shared" si="139"/>
        <v>0</v>
      </c>
      <c r="BK179" s="10">
        <f t="shared" si="140"/>
        <v>0</v>
      </c>
      <c r="BL179" s="10">
        <f t="shared" si="141"/>
        <v>0</v>
      </c>
      <c r="BM179" s="10">
        <f t="shared" si="142"/>
        <v>0</v>
      </c>
      <c r="BN179" s="10">
        <f t="shared" si="143"/>
        <v>0</v>
      </c>
      <c r="BO179" s="10">
        <f t="shared" si="144"/>
        <v>48</v>
      </c>
      <c r="BP179" s="10">
        <f t="shared" si="145"/>
        <v>48</v>
      </c>
      <c r="BQ179" s="10">
        <f t="shared" si="146"/>
        <v>47</v>
      </c>
      <c r="BR179" s="10">
        <f t="shared" si="147"/>
        <v>46</v>
      </c>
      <c r="BS179" s="10">
        <f t="shared" si="148"/>
        <v>45</v>
      </c>
      <c r="BT179" s="10">
        <f t="shared" si="149"/>
        <v>44</v>
      </c>
      <c r="BU179" s="10">
        <f t="shared" si="150"/>
        <v>43</v>
      </c>
      <c r="BV179" s="10">
        <f t="shared" si="151"/>
        <v>42</v>
      </c>
      <c r="BW179" s="10">
        <f t="shared" si="152"/>
        <v>41</v>
      </c>
      <c r="BX179" s="10">
        <f t="shared" si="153"/>
        <v>40</v>
      </c>
      <c r="BY179" s="10">
        <f t="shared" si="154"/>
        <v>39</v>
      </c>
      <c r="BZ179" s="10">
        <f t="shared" si="155"/>
        <v>38</v>
      </c>
      <c r="CA179" s="10">
        <f t="shared" si="156"/>
        <v>37</v>
      </c>
      <c r="CB179" s="10">
        <f t="shared" si="157"/>
        <v>36</v>
      </c>
      <c r="CC179" s="10">
        <f t="shared" si="158"/>
        <v>35</v>
      </c>
      <c r="CD179" s="10">
        <f t="shared" si="159"/>
        <v>34</v>
      </c>
      <c r="CE179" s="10">
        <f t="shared" si="160"/>
        <v>33</v>
      </c>
      <c r="CF179" s="10">
        <f t="shared" si="161"/>
        <v>32</v>
      </c>
      <c r="CG179" s="10">
        <f t="shared" si="162"/>
        <v>31</v>
      </c>
      <c r="CH179" s="10">
        <f t="shared" si="163"/>
        <v>30</v>
      </c>
      <c r="CI179" s="10">
        <f t="shared" si="164"/>
        <v>29</v>
      </c>
      <c r="CJ179" s="10">
        <f t="shared" si="165"/>
        <v>28</v>
      </c>
      <c r="CK179" s="10">
        <f t="shared" si="166"/>
        <v>27</v>
      </c>
      <c r="CL179" s="10">
        <f t="shared" si="167"/>
        <v>26</v>
      </c>
      <c r="CM179" s="10" t="str">
        <f>'役職希望調査 ・備考'!I149&amp;""</f>
        <v/>
      </c>
    </row>
    <row r="180" spans="1:91">
      <c r="A180" s="10" t="str">
        <f>時間希望調査!A150&amp;""</f>
        <v/>
      </c>
      <c r="B180" s="10" t="str">
        <f>時間希望調査!B150&amp;""</f>
        <v/>
      </c>
      <c r="C180" s="10" t="str">
        <f>時間希望調査!C150&amp;""</f>
        <v/>
      </c>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0">
        <f t="shared" si="168"/>
        <v>0</v>
      </c>
      <c r="BC180" s="10">
        <f>時間希望調査!D150</f>
        <v>0</v>
      </c>
      <c r="BD180" s="10" t="str">
        <f>'役職希望調査 ・備考'!D150&amp;""</f>
        <v/>
      </c>
      <c r="BE180" s="10" t="str">
        <f>'役職希望調査 ・備考'!E150&amp;""</f>
        <v/>
      </c>
      <c r="BF180" s="10" t="str">
        <f>'役職希望調査 ・備考'!F150&amp;""</f>
        <v/>
      </c>
      <c r="BG180" s="10" t="str">
        <f>'役職希望調査 ・備考'!G150&amp;""</f>
        <v/>
      </c>
      <c r="BH180" s="10" t="str">
        <f>'役職希望調査 ・備考'!H150&amp;""</f>
        <v/>
      </c>
      <c r="BI180" s="10">
        <f t="shared" si="138"/>
        <v>0</v>
      </c>
      <c r="BJ180" s="10">
        <f t="shared" si="139"/>
        <v>0</v>
      </c>
      <c r="BK180" s="10">
        <f t="shared" si="140"/>
        <v>0</v>
      </c>
      <c r="BL180" s="10">
        <f t="shared" si="141"/>
        <v>0</v>
      </c>
      <c r="BM180" s="10">
        <f t="shared" si="142"/>
        <v>0</v>
      </c>
      <c r="BN180" s="10">
        <f t="shared" si="143"/>
        <v>0</v>
      </c>
      <c r="BO180" s="10">
        <f t="shared" si="144"/>
        <v>48</v>
      </c>
      <c r="BP180" s="10">
        <f t="shared" si="145"/>
        <v>48</v>
      </c>
      <c r="BQ180" s="10">
        <f t="shared" si="146"/>
        <v>47</v>
      </c>
      <c r="BR180" s="10">
        <f t="shared" si="147"/>
        <v>46</v>
      </c>
      <c r="BS180" s="10">
        <f t="shared" si="148"/>
        <v>45</v>
      </c>
      <c r="BT180" s="10">
        <f t="shared" si="149"/>
        <v>44</v>
      </c>
      <c r="BU180" s="10">
        <f t="shared" si="150"/>
        <v>43</v>
      </c>
      <c r="BV180" s="10">
        <f t="shared" si="151"/>
        <v>42</v>
      </c>
      <c r="BW180" s="10">
        <f t="shared" si="152"/>
        <v>41</v>
      </c>
      <c r="BX180" s="10">
        <f t="shared" si="153"/>
        <v>40</v>
      </c>
      <c r="BY180" s="10">
        <f t="shared" si="154"/>
        <v>39</v>
      </c>
      <c r="BZ180" s="10">
        <f t="shared" si="155"/>
        <v>38</v>
      </c>
      <c r="CA180" s="10">
        <f t="shared" si="156"/>
        <v>37</v>
      </c>
      <c r="CB180" s="10">
        <f t="shared" si="157"/>
        <v>36</v>
      </c>
      <c r="CC180" s="10">
        <f t="shared" si="158"/>
        <v>35</v>
      </c>
      <c r="CD180" s="10">
        <f t="shared" si="159"/>
        <v>34</v>
      </c>
      <c r="CE180" s="10">
        <f t="shared" si="160"/>
        <v>33</v>
      </c>
      <c r="CF180" s="10">
        <f t="shared" si="161"/>
        <v>32</v>
      </c>
      <c r="CG180" s="10">
        <f t="shared" si="162"/>
        <v>31</v>
      </c>
      <c r="CH180" s="10">
        <f t="shared" si="163"/>
        <v>30</v>
      </c>
      <c r="CI180" s="10">
        <f t="shared" si="164"/>
        <v>29</v>
      </c>
      <c r="CJ180" s="10">
        <f t="shared" si="165"/>
        <v>28</v>
      </c>
      <c r="CK180" s="10">
        <f t="shared" si="166"/>
        <v>27</v>
      </c>
      <c r="CL180" s="10">
        <f t="shared" si="167"/>
        <v>26</v>
      </c>
      <c r="CM180" s="10" t="str">
        <f>'役職希望調査 ・備考'!I150&amp;""</f>
        <v/>
      </c>
    </row>
    <row r="181" spans="1:91">
      <c r="A181" s="10" t="str">
        <f>時間希望調査!A151&amp;""</f>
        <v/>
      </c>
      <c r="B181" s="10" t="str">
        <f>時間希望調査!B151&amp;""</f>
        <v/>
      </c>
      <c r="C181" s="10" t="str">
        <f>時間希望調査!C151&amp;""</f>
        <v/>
      </c>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0">
        <f t="shared" si="168"/>
        <v>0</v>
      </c>
      <c r="BC181" s="10">
        <f>時間希望調査!D151</f>
        <v>0</v>
      </c>
      <c r="BD181" s="10" t="str">
        <f>'役職希望調査 ・備考'!D151&amp;""</f>
        <v/>
      </c>
      <c r="BE181" s="10" t="str">
        <f>'役職希望調査 ・備考'!E151&amp;""</f>
        <v/>
      </c>
      <c r="BF181" s="10" t="str">
        <f>'役職希望調査 ・備考'!F151&amp;""</f>
        <v/>
      </c>
      <c r="BG181" s="10" t="str">
        <f>'役職希望調査 ・備考'!G151&amp;""</f>
        <v/>
      </c>
      <c r="BH181" s="10" t="str">
        <f>'役職希望調査 ・備考'!H151&amp;""</f>
        <v/>
      </c>
      <c r="BI181" s="10">
        <f t="shared" si="138"/>
        <v>0</v>
      </c>
      <c r="BJ181" s="10">
        <f t="shared" si="139"/>
        <v>0</v>
      </c>
      <c r="BK181" s="10">
        <f t="shared" si="140"/>
        <v>0</v>
      </c>
      <c r="BL181" s="10">
        <f t="shared" si="141"/>
        <v>0</v>
      </c>
      <c r="BM181" s="10">
        <f t="shared" si="142"/>
        <v>0</v>
      </c>
      <c r="BN181" s="10">
        <f t="shared" si="143"/>
        <v>0</v>
      </c>
      <c r="BO181" s="10">
        <f t="shared" si="144"/>
        <v>48</v>
      </c>
      <c r="BP181" s="10">
        <f t="shared" si="145"/>
        <v>48</v>
      </c>
      <c r="BQ181" s="10">
        <f t="shared" si="146"/>
        <v>47</v>
      </c>
      <c r="BR181" s="10">
        <f t="shared" si="147"/>
        <v>46</v>
      </c>
      <c r="BS181" s="10">
        <f t="shared" si="148"/>
        <v>45</v>
      </c>
      <c r="BT181" s="10">
        <f t="shared" si="149"/>
        <v>44</v>
      </c>
      <c r="BU181" s="10">
        <f t="shared" si="150"/>
        <v>43</v>
      </c>
      <c r="BV181" s="10">
        <f t="shared" si="151"/>
        <v>42</v>
      </c>
      <c r="BW181" s="10">
        <f t="shared" si="152"/>
        <v>41</v>
      </c>
      <c r="BX181" s="10">
        <f t="shared" si="153"/>
        <v>40</v>
      </c>
      <c r="BY181" s="10">
        <f t="shared" si="154"/>
        <v>39</v>
      </c>
      <c r="BZ181" s="10">
        <f t="shared" si="155"/>
        <v>38</v>
      </c>
      <c r="CA181" s="10">
        <f t="shared" si="156"/>
        <v>37</v>
      </c>
      <c r="CB181" s="10">
        <f t="shared" si="157"/>
        <v>36</v>
      </c>
      <c r="CC181" s="10">
        <f t="shared" si="158"/>
        <v>35</v>
      </c>
      <c r="CD181" s="10">
        <f t="shared" si="159"/>
        <v>34</v>
      </c>
      <c r="CE181" s="10">
        <f t="shared" si="160"/>
        <v>33</v>
      </c>
      <c r="CF181" s="10">
        <f t="shared" si="161"/>
        <v>32</v>
      </c>
      <c r="CG181" s="10">
        <f t="shared" si="162"/>
        <v>31</v>
      </c>
      <c r="CH181" s="10">
        <f t="shared" si="163"/>
        <v>30</v>
      </c>
      <c r="CI181" s="10">
        <f t="shared" si="164"/>
        <v>29</v>
      </c>
      <c r="CJ181" s="10">
        <f t="shared" si="165"/>
        <v>28</v>
      </c>
      <c r="CK181" s="10">
        <f t="shared" si="166"/>
        <v>27</v>
      </c>
      <c r="CL181" s="10">
        <f t="shared" si="167"/>
        <v>26</v>
      </c>
      <c r="CM181" s="10" t="str">
        <f>'役職希望調査 ・備考'!I151&amp;""</f>
        <v/>
      </c>
    </row>
    <row r="182" spans="1:91">
      <c r="A182" s="10" t="str">
        <f>時間希望調査!A152&amp;""</f>
        <v/>
      </c>
      <c r="B182" s="10" t="str">
        <f>時間希望調査!B152&amp;""</f>
        <v/>
      </c>
      <c r="C182" s="10" t="str">
        <f>時間希望調査!C152&amp;""</f>
        <v/>
      </c>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0">
        <f t="shared" si="168"/>
        <v>0</v>
      </c>
      <c r="BC182" s="10">
        <f>時間希望調査!D152</f>
        <v>0</v>
      </c>
      <c r="BD182" s="10" t="str">
        <f>'役職希望調査 ・備考'!D152&amp;""</f>
        <v/>
      </c>
      <c r="BE182" s="10" t="str">
        <f>'役職希望調査 ・備考'!E152&amp;""</f>
        <v/>
      </c>
      <c r="BF182" s="10" t="str">
        <f>'役職希望調査 ・備考'!F152&amp;""</f>
        <v/>
      </c>
      <c r="BG182" s="10" t="str">
        <f>'役職希望調査 ・備考'!G152&amp;""</f>
        <v/>
      </c>
      <c r="BH182" s="10" t="str">
        <f>'役職希望調査 ・備考'!H152&amp;""</f>
        <v/>
      </c>
      <c r="BI182" s="10">
        <f t="shared" si="138"/>
        <v>0</v>
      </c>
      <c r="BJ182" s="10">
        <f t="shared" si="139"/>
        <v>0</v>
      </c>
      <c r="BK182" s="10">
        <f t="shared" si="140"/>
        <v>0</v>
      </c>
      <c r="BL182" s="10">
        <f t="shared" si="141"/>
        <v>0</v>
      </c>
      <c r="BM182" s="10">
        <f t="shared" si="142"/>
        <v>0</v>
      </c>
      <c r="BN182" s="10">
        <f t="shared" si="143"/>
        <v>0</v>
      </c>
      <c r="BO182" s="10">
        <f t="shared" si="144"/>
        <v>48</v>
      </c>
      <c r="BP182" s="10">
        <f t="shared" si="145"/>
        <v>48</v>
      </c>
      <c r="BQ182" s="10">
        <f t="shared" si="146"/>
        <v>47</v>
      </c>
      <c r="BR182" s="10">
        <f t="shared" si="147"/>
        <v>46</v>
      </c>
      <c r="BS182" s="10">
        <f t="shared" si="148"/>
        <v>45</v>
      </c>
      <c r="BT182" s="10">
        <f t="shared" si="149"/>
        <v>44</v>
      </c>
      <c r="BU182" s="10">
        <f t="shared" si="150"/>
        <v>43</v>
      </c>
      <c r="BV182" s="10">
        <f t="shared" si="151"/>
        <v>42</v>
      </c>
      <c r="BW182" s="10">
        <f t="shared" si="152"/>
        <v>41</v>
      </c>
      <c r="BX182" s="10">
        <f t="shared" si="153"/>
        <v>40</v>
      </c>
      <c r="BY182" s="10">
        <f t="shared" si="154"/>
        <v>39</v>
      </c>
      <c r="BZ182" s="10">
        <f t="shared" si="155"/>
        <v>38</v>
      </c>
      <c r="CA182" s="10">
        <f t="shared" si="156"/>
        <v>37</v>
      </c>
      <c r="CB182" s="10">
        <f t="shared" si="157"/>
        <v>36</v>
      </c>
      <c r="CC182" s="10">
        <f t="shared" si="158"/>
        <v>35</v>
      </c>
      <c r="CD182" s="10">
        <f t="shared" si="159"/>
        <v>34</v>
      </c>
      <c r="CE182" s="10">
        <f t="shared" si="160"/>
        <v>33</v>
      </c>
      <c r="CF182" s="10">
        <f t="shared" si="161"/>
        <v>32</v>
      </c>
      <c r="CG182" s="10">
        <f t="shared" si="162"/>
        <v>31</v>
      </c>
      <c r="CH182" s="10">
        <f t="shared" si="163"/>
        <v>30</v>
      </c>
      <c r="CI182" s="10">
        <f t="shared" si="164"/>
        <v>29</v>
      </c>
      <c r="CJ182" s="10">
        <f t="shared" si="165"/>
        <v>28</v>
      </c>
      <c r="CK182" s="10">
        <f t="shared" si="166"/>
        <v>27</v>
      </c>
      <c r="CL182" s="10">
        <f t="shared" si="167"/>
        <v>26</v>
      </c>
      <c r="CM182" s="10" t="str">
        <f>'役職希望調査 ・備考'!I152&amp;""</f>
        <v/>
      </c>
    </row>
    <row r="183" spans="1:91">
      <c r="A183" s="10" t="str">
        <f>時間希望調査!A153&amp;""</f>
        <v/>
      </c>
      <c r="B183" s="10" t="str">
        <f>時間希望調査!B153&amp;""</f>
        <v/>
      </c>
      <c r="C183" s="10" t="str">
        <f>時間希望調査!C153&amp;""</f>
        <v/>
      </c>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0">
        <f t="shared" si="168"/>
        <v>0</v>
      </c>
      <c r="BC183" s="10">
        <f>時間希望調査!D153</f>
        <v>0</v>
      </c>
      <c r="BD183" s="10" t="str">
        <f>'役職希望調査 ・備考'!D153&amp;""</f>
        <v/>
      </c>
      <c r="BE183" s="10" t="str">
        <f>'役職希望調査 ・備考'!E153&amp;""</f>
        <v/>
      </c>
      <c r="BF183" s="10" t="str">
        <f>'役職希望調査 ・備考'!F153&amp;""</f>
        <v/>
      </c>
      <c r="BG183" s="10" t="str">
        <f>'役職希望調査 ・備考'!G153&amp;""</f>
        <v/>
      </c>
      <c r="BH183" s="10" t="str">
        <f>'役職希望調査 ・備考'!H153&amp;""</f>
        <v/>
      </c>
      <c r="BI183" s="10">
        <f t="shared" si="138"/>
        <v>0</v>
      </c>
      <c r="BJ183" s="10">
        <f t="shared" si="139"/>
        <v>0</v>
      </c>
      <c r="BK183" s="10">
        <f t="shared" si="140"/>
        <v>0</v>
      </c>
      <c r="BL183" s="10">
        <f t="shared" si="141"/>
        <v>0</v>
      </c>
      <c r="BM183" s="10">
        <f t="shared" si="142"/>
        <v>0</v>
      </c>
      <c r="BN183" s="10">
        <f t="shared" si="143"/>
        <v>0</v>
      </c>
      <c r="BO183" s="10">
        <f t="shared" si="144"/>
        <v>48</v>
      </c>
      <c r="BP183" s="10">
        <f t="shared" si="145"/>
        <v>48</v>
      </c>
      <c r="BQ183" s="10">
        <f t="shared" si="146"/>
        <v>47</v>
      </c>
      <c r="BR183" s="10">
        <f t="shared" si="147"/>
        <v>46</v>
      </c>
      <c r="BS183" s="10">
        <f t="shared" si="148"/>
        <v>45</v>
      </c>
      <c r="BT183" s="10">
        <f t="shared" si="149"/>
        <v>44</v>
      </c>
      <c r="BU183" s="10">
        <f t="shared" si="150"/>
        <v>43</v>
      </c>
      <c r="BV183" s="10">
        <f t="shared" si="151"/>
        <v>42</v>
      </c>
      <c r="BW183" s="10">
        <f t="shared" si="152"/>
        <v>41</v>
      </c>
      <c r="BX183" s="10">
        <f t="shared" si="153"/>
        <v>40</v>
      </c>
      <c r="BY183" s="10">
        <f t="shared" si="154"/>
        <v>39</v>
      </c>
      <c r="BZ183" s="10">
        <f t="shared" si="155"/>
        <v>38</v>
      </c>
      <c r="CA183" s="10">
        <f t="shared" si="156"/>
        <v>37</v>
      </c>
      <c r="CB183" s="10">
        <f t="shared" si="157"/>
        <v>36</v>
      </c>
      <c r="CC183" s="10">
        <f t="shared" si="158"/>
        <v>35</v>
      </c>
      <c r="CD183" s="10">
        <f t="shared" si="159"/>
        <v>34</v>
      </c>
      <c r="CE183" s="10">
        <f t="shared" si="160"/>
        <v>33</v>
      </c>
      <c r="CF183" s="10">
        <f t="shared" si="161"/>
        <v>32</v>
      </c>
      <c r="CG183" s="10">
        <f t="shared" si="162"/>
        <v>31</v>
      </c>
      <c r="CH183" s="10">
        <f t="shared" si="163"/>
        <v>30</v>
      </c>
      <c r="CI183" s="10">
        <f t="shared" si="164"/>
        <v>29</v>
      </c>
      <c r="CJ183" s="10">
        <f t="shared" si="165"/>
        <v>28</v>
      </c>
      <c r="CK183" s="10">
        <f t="shared" si="166"/>
        <v>27</v>
      </c>
      <c r="CL183" s="10">
        <f t="shared" si="167"/>
        <v>26</v>
      </c>
      <c r="CM183" s="10" t="str">
        <f>'役職希望調査 ・備考'!I153&amp;""</f>
        <v/>
      </c>
    </row>
    <row r="184" spans="1:91">
      <c r="A184" s="10" t="str">
        <f>時間希望調査!A154&amp;""</f>
        <v/>
      </c>
      <c r="B184" s="10" t="str">
        <f>時間希望調査!B154&amp;""</f>
        <v/>
      </c>
      <c r="C184" s="10" t="str">
        <f>時間希望調査!C154&amp;""</f>
        <v/>
      </c>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0">
        <f t="shared" si="168"/>
        <v>0</v>
      </c>
      <c r="BC184" s="10">
        <f>時間希望調査!D154</f>
        <v>0</v>
      </c>
      <c r="BD184" s="10" t="str">
        <f>'役職希望調査 ・備考'!D154&amp;""</f>
        <v/>
      </c>
      <c r="BE184" s="10" t="str">
        <f>'役職希望調査 ・備考'!E154&amp;""</f>
        <v/>
      </c>
      <c r="BF184" s="10" t="str">
        <f>'役職希望調査 ・備考'!F154&amp;""</f>
        <v/>
      </c>
      <c r="BG184" s="10" t="str">
        <f>'役職希望調査 ・備考'!G154&amp;""</f>
        <v/>
      </c>
      <c r="BH184" s="10" t="str">
        <f>'役職希望調査 ・備考'!H154&amp;""</f>
        <v/>
      </c>
      <c r="BI184" s="10">
        <f t="shared" si="138"/>
        <v>0</v>
      </c>
      <c r="BJ184" s="10">
        <f t="shared" si="139"/>
        <v>0</v>
      </c>
      <c r="BK184" s="10">
        <f t="shared" si="140"/>
        <v>0</v>
      </c>
      <c r="BL184" s="10">
        <f t="shared" si="141"/>
        <v>0</v>
      </c>
      <c r="BM184" s="10">
        <f t="shared" si="142"/>
        <v>0</v>
      </c>
      <c r="BN184" s="10">
        <f t="shared" si="143"/>
        <v>0</v>
      </c>
      <c r="BO184" s="10">
        <f t="shared" si="144"/>
        <v>48</v>
      </c>
      <c r="BP184" s="10">
        <f t="shared" si="145"/>
        <v>48</v>
      </c>
      <c r="BQ184" s="10">
        <f t="shared" si="146"/>
        <v>47</v>
      </c>
      <c r="BR184" s="10">
        <f t="shared" si="147"/>
        <v>46</v>
      </c>
      <c r="BS184" s="10">
        <f t="shared" si="148"/>
        <v>45</v>
      </c>
      <c r="BT184" s="10">
        <f t="shared" si="149"/>
        <v>44</v>
      </c>
      <c r="BU184" s="10">
        <f t="shared" si="150"/>
        <v>43</v>
      </c>
      <c r="BV184" s="10">
        <f t="shared" si="151"/>
        <v>42</v>
      </c>
      <c r="BW184" s="10">
        <f t="shared" si="152"/>
        <v>41</v>
      </c>
      <c r="BX184" s="10">
        <f t="shared" si="153"/>
        <v>40</v>
      </c>
      <c r="BY184" s="10">
        <f t="shared" si="154"/>
        <v>39</v>
      </c>
      <c r="BZ184" s="10">
        <f t="shared" si="155"/>
        <v>38</v>
      </c>
      <c r="CA184" s="10">
        <f t="shared" si="156"/>
        <v>37</v>
      </c>
      <c r="CB184" s="10">
        <f t="shared" si="157"/>
        <v>36</v>
      </c>
      <c r="CC184" s="10">
        <f t="shared" si="158"/>
        <v>35</v>
      </c>
      <c r="CD184" s="10">
        <f t="shared" si="159"/>
        <v>34</v>
      </c>
      <c r="CE184" s="10">
        <f t="shared" si="160"/>
        <v>33</v>
      </c>
      <c r="CF184" s="10">
        <f t="shared" si="161"/>
        <v>32</v>
      </c>
      <c r="CG184" s="10">
        <f t="shared" si="162"/>
        <v>31</v>
      </c>
      <c r="CH184" s="10">
        <f t="shared" si="163"/>
        <v>30</v>
      </c>
      <c r="CI184" s="10">
        <f t="shared" si="164"/>
        <v>29</v>
      </c>
      <c r="CJ184" s="10">
        <f t="shared" si="165"/>
        <v>28</v>
      </c>
      <c r="CK184" s="10">
        <f t="shared" si="166"/>
        <v>27</v>
      </c>
      <c r="CL184" s="10">
        <f t="shared" si="167"/>
        <v>26</v>
      </c>
      <c r="CM184" s="10" t="str">
        <f>'役職希望調査 ・備考'!I154&amp;""</f>
        <v/>
      </c>
    </row>
    <row r="185" spans="1:91">
      <c r="A185" s="10" t="str">
        <f>時間希望調査!A155&amp;""</f>
        <v/>
      </c>
      <c r="B185" s="10" t="str">
        <f>時間希望調査!B155&amp;""</f>
        <v/>
      </c>
      <c r="C185" s="10" t="str">
        <f>時間希望調査!C155&amp;""</f>
        <v/>
      </c>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0">
        <f t="shared" si="168"/>
        <v>0</v>
      </c>
      <c r="BC185" s="10">
        <f>時間希望調査!D155</f>
        <v>0</v>
      </c>
      <c r="BD185" s="10" t="str">
        <f>'役職希望調査 ・備考'!D155&amp;""</f>
        <v/>
      </c>
      <c r="BE185" s="10" t="str">
        <f>'役職希望調査 ・備考'!E155&amp;""</f>
        <v/>
      </c>
      <c r="BF185" s="10" t="str">
        <f>'役職希望調査 ・備考'!F155&amp;""</f>
        <v/>
      </c>
      <c r="BG185" s="10" t="str">
        <f>'役職希望調査 ・備考'!G155&amp;""</f>
        <v/>
      </c>
      <c r="BH185" s="10" t="str">
        <f>'役職希望調査 ・備考'!H155&amp;""</f>
        <v/>
      </c>
      <c r="BI185" s="10">
        <f t="shared" si="138"/>
        <v>0</v>
      </c>
      <c r="BJ185" s="10">
        <f t="shared" si="139"/>
        <v>0</v>
      </c>
      <c r="BK185" s="10">
        <f t="shared" si="140"/>
        <v>0</v>
      </c>
      <c r="BL185" s="10">
        <f t="shared" si="141"/>
        <v>0</v>
      </c>
      <c r="BM185" s="10">
        <f t="shared" si="142"/>
        <v>0</v>
      </c>
      <c r="BN185" s="10">
        <f t="shared" si="143"/>
        <v>0</v>
      </c>
      <c r="BO185" s="10">
        <f t="shared" si="144"/>
        <v>48</v>
      </c>
      <c r="BP185" s="10">
        <f t="shared" si="145"/>
        <v>48</v>
      </c>
      <c r="BQ185" s="10">
        <f t="shared" si="146"/>
        <v>47</v>
      </c>
      <c r="BR185" s="10">
        <f t="shared" si="147"/>
        <v>46</v>
      </c>
      <c r="BS185" s="10">
        <f t="shared" si="148"/>
        <v>45</v>
      </c>
      <c r="BT185" s="10">
        <f t="shared" si="149"/>
        <v>44</v>
      </c>
      <c r="BU185" s="10">
        <f t="shared" si="150"/>
        <v>43</v>
      </c>
      <c r="BV185" s="10">
        <f t="shared" si="151"/>
        <v>42</v>
      </c>
      <c r="BW185" s="10">
        <f t="shared" si="152"/>
        <v>41</v>
      </c>
      <c r="BX185" s="10">
        <f t="shared" si="153"/>
        <v>40</v>
      </c>
      <c r="BY185" s="10">
        <f t="shared" si="154"/>
        <v>39</v>
      </c>
      <c r="BZ185" s="10">
        <f t="shared" si="155"/>
        <v>38</v>
      </c>
      <c r="CA185" s="10">
        <f t="shared" si="156"/>
        <v>37</v>
      </c>
      <c r="CB185" s="10">
        <f t="shared" si="157"/>
        <v>36</v>
      </c>
      <c r="CC185" s="10">
        <f t="shared" si="158"/>
        <v>35</v>
      </c>
      <c r="CD185" s="10">
        <f t="shared" si="159"/>
        <v>34</v>
      </c>
      <c r="CE185" s="10">
        <f t="shared" si="160"/>
        <v>33</v>
      </c>
      <c r="CF185" s="10">
        <f t="shared" si="161"/>
        <v>32</v>
      </c>
      <c r="CG185" s="10">
        <f t="shared" si="162"/>
        <v>31</v>
      </c>
      <c r="CH185" s="10">
        <f t="shared" si="163"/>
        <v>30</v>
      </c>
      <c r="CI185" s="10">
        <f t="shared" si="164"/>
        <v>29</v>
      </c>
      <c r="CJ185" s="10">
        <f t="shared" si="165"/>
        <v>28</v>
      </c>
      <c r="CK185" s="10">
        <f t="shared" si="166"/>
        <v>27</v>
      </c>
      <c r="CL185" s="10">
        <f t="shared" si="167"/>
        <v>26</v>
      </c>
      <c r="CM185" s="10" t="str">
        <f>'役職希望調査 ・備考'!I155&amp;""</f>
        <v/>
      </c>
    </row>
    <row r="186" spans="1:91">
      <c r="A186" s="10" t="str">
        <f>時間希望調査!A156&amp;""</f>
        <v/>
      </c>
      <c r="B186" s="10" t="str">
        <f>時間希望調査!B156&amp;""</f>
        <v/>
      </c>
      <c r="C186" s="10" t="str">
        <f>時間希望調査!C156&amp;""</f>
        <v/>
      </c>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0">
        <f t="shared" si="168"/>
        <v>0</v>
      </c>
      <c r="BC186" s="10">
        <f>時間希望調査!D156</f>
        <v>0</v>
      </c>
      <c r="BD186" s="10" t="str">
        <f>'役職希望調査 ・備考'!D156&amp;""</f>
        <v/>
      </c>
      <c r="BE186" s="10" t="str">
        <f>'役職希望調査 ・備考'!E156&amp;""</f>
        <v/>
      </c>
      <c r="BF186" s="10" t="str">
        <f>'役職希望調査 ・備考'!F156&amp;""</f>
        <v/>
      </c>
      <c r="BG186" s="10" t="str">
        <f>'役職希望調査 ・備考'!G156&amp;""</f>
        <v/>
      </c>
      <c r="BH186" s="10" t="str">
        <f>'役職希望調査 ・備考'!H156&amp;""</f>
        <v/>
      </c>
      <c r="BI186" s="10">
        <f t="shared" si="138"/>
        <v>0</v>
      </c>
      <c r="BJ186" s="10">
        <f t="shared" si="139"/>
        <v>0</v>
      </c>
      <c r="BK186" s="10">
        <f t="shared" si="140"/>
        <v>0</v>
      </c>
      <c r="BL186" s="10">
        <f t="shared" si="141"/>
        <v>0</v>
      </c>
      <c r="BM186" s="10">
        <f t="shared" si="142"/>
        <v>0</v>
      </c>
      <c r="BN186" s="10">
        <f t="shared" si="143"/>
        <v>0</v>
      </c>
      <c r="BO186" s="10">
        <f t="shared" si="144"/>
        <v>48</v>
      </c>
      <c r="BP186" s="10">
        <f t="shared" si="145"/>
        <v>48</v>
      </c>
      <c r="BQ186" s="10">
        <f t="shared" si="146"/>
        <v>47</v>
      </c>
      <c r="BR186" s="10">
        <f t="shared" si="147"/>
        <v>46</v>
      </c>
      <c r="BS186" s="10">
        <f t="shared" si="148"/>
        <v>45</v>
      </c>
      <c r="BT186" s="10">
        <f t="shared" si="149"/>
        <v>44</v>
      </c>
      <c r="BU186" s="10">
        <f t="shared" si="150"/>
        <v>43</v>
      </c>
      <c r="BV186" s="10">
        <f t="shared" si="151"/>
        <v>42</v>
      </c>
      <c r="BW186" s="10">
        <f t="shared" si="152"/>
        <v>41</v>
      </c>
      <c r="BX186" s="10">
        <f t="shared" si="153"/>
        <v>40</v>
      </c>
      <c r="BY186" s="10">
        <f t="shared" si="154"/>
        <v>39</v>
      </c>
      <c r="BZ186" s="10">
        <f t="shared" si="155"/>
        <v>38</v>
      </c>
      <c r="CA186" s="10">
        <f t="shared" si="156"/>
        <v>37</v>
      </c>
      <c r="CB186" s="10">
        <f t="shared" si="157"/>
        <v>36</v>
      </c>
      <c r="CC186" s="10">
        <f t="shared" si="158"/>
        <v>35</v>
      </c>
      <c r="CD186" s="10">
        <f t="shared" si="159"/>
        <v>34</v>
      </c>
      <c r="CE186" s="10">
        <f t="shared" si="160"/>
        <v>33</v>
      </c>
      <c r="CF186" s="10">
        <f t="shared" si="161"/>
        <v>32</v>
      </c>
      <c r="CG186" s="10">
        <f t="shared" si="162"/>
        <v>31</v>
      </c>
      <c r="CH186" s="10">
        <f t="shared" si="163"/>
        <v>30</v>
      </c>
      <c r="CI186" s="10">
        <f t="shared" si="164"/>
        <v>29</v>
      </c>
      <c r="CJ186" s="10">
        <f t="shared" si="165"/>
        <v>28</v>
      </c>
      <c r="CK186" s="10">
        <f t="shared" si="166"/>
        <v>27</v>
      </c>
      <c r="CL186" s="10">
        <f t="shared" si="167"/>
        <v>26</v>
      </c>
      <c r="CM186" s="10" t="str">
        <f>'役職希望調査 ・備考'!I156&amp;""</f>
        <v/>
      </c>
    </row>
    <row r="187" spans="1:91">
      <c r="A187" s="10" t="str">
        <f>時間希望調査!A157&amp;""</f>
        <v/>
      </c>
      <c r="B187" s="10" t="str">
        <f>時間希望調査!B157&amp;""</f>
        <v/>
      </c>
      <c r="C187" s="10" t="str">
        <f>時間希望調査!C157&amp;""</f>
        <v/>
      </c>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0">
        <f t="shared" si="168"/>
        <v>0</v>
      </c>
      <c r="BC187" s="10">
        <f>時間希望調査!D157</f>
        <v>0</v>
      </c>
      <c r="BD187" s="10" t="str">
        <f>'役職希望調査 ・備考'!D157&amp;""</f>
        <v/>
      </c>
      <c r="BE187" s="10" t="str">
        <f>'役職希望調査 ・備考'!E157&amp;""</f>
        <v/>
      </c>
      <c r="BF187" s="10" t="str">
        <f>'役職希望調査 ・備考'!F157&amp;""</f>
        <v/>
      </c>
      <c r="BG187" s="10" t="str">
        <f>'役職希望調査 ・備考'!G157&amp;""</f>
        <v/>
      </c>
      <c r="BH187" s="10" t="str">
        <f>'役職希望調査 ・備考'!H157&amp;""</f>
        <v/>
      </c>
      <c r="BI187" s="10">
        <f t="shared" si="138"/>
        <v>0</v>
      </c>
      <c r="BJ187" s="10">
        <f t="shared" si="139"/>
        <v>0</v>
      </c>
      <c r="BK187" s="10">
        <f t="shared" si="140"/>
        <v>0</v>
      </c>
      <c r="BL187" s="10">
        <f t="shared" si="141"/>
        <v>0</v>
      </c>
      <c r="BM187" s="10">
        <f t="shared" si="142"/>
        <v>0</v>
      </c>
      <c r="BN187" s="10">
        <f t="shared" si="143"/>
        <v>0</v>
      </c>
      <c r="BO187" s="10">
        <f t="shared" si="144"/>
        <v>48</v>
      </c>
      <c r="BP187" s="10">
        <f t="shared" si="145"/>
        <v>48</v>
      </c>
      <c r="BQ187" s="10">
        <f t="shared" si="146"/>
        <v>47</v>
      </c>
      <c r="BR187" s="10">
        <f t="shared" si="147"/>
        <v>46</v>
      </c>
      <c r="BS187" s="10">
        <f t="shared" si="148"/>
        <v>45</v>
      </c>
      <c r="BT187" s="10">
        <f t="shared" si="149"/>
        <v>44</v>
      </c>
      <c r="BU187" s="10">
        <f t="shared" si="150"/>
        <v>43</v>
      </c>
      <c r="BV187" s="10">
        <f t="shared" si="151"/>
        <v>42</v>
      </c>
      <c r="BW187" s="10">
        <f t="shared" si="152"/>
        <v>41</v>
      </c>
      <c r="BX187" s="10">
        <f t="shared" si="153"/>
        <v>40</v>
      </c>
      <c r="BY187" s="10">
        <f t="shared" si="154"/>
        <v>39</v>
      </c>
      <c r="BZ187" s="10">
        <f t="shared" si="155"/>
        <v>38</v>
      </c>
      <c r="CA187" s="10">
        <f t="shared" si="156"/>
        <v>37</v>
      </c>
      <c r="CB187" s="10">
        <f t="shared" si="157"/>
        <v>36</v>
      </c>
      <c r="CC187" s="10">
        <f t="shared" si="158"/>
        <v>35</v>
      </c>
      <c r="CD187" s="10">
        <f t="shared" si="159"/>
        <v>34</v>
      </c>
      <c r="CE187" s="10">
        <f t="shared" si="160"/>
        <v>33</v>
      </c>
      <c r="CF187" s="10">
        <f t="shared" si="161"/>
        <v>32</v>
      </c>
      <c r="CG187" s="10">
        <f t="shared" si="162"/>
        <v>31</v>
      </c>
      <c r="CH187" s="10">
        <f t="shared" si="163"/>
        <v>30</v>
      </c>
      <c r="CI187" s="10">
        <f t="shared" si="164"/>
        <v>29</v>
      </c>
      <c r="CJ187" s="10">
        <f t="shared" si="165"/>
        <v>28</v>
      </c>
      <c r="CK187" s="10">
        <f t="shared" si="166"/>
        <v>27</v>
      </c>
      <c r="CL187" s="10">
        <f t="shared" si="167"/>
        <v>26</v>
      </c>
      <c r="CM187" s="10" t="str">
        <f>'役職希望調査 ・備考'!I157&amp;""</f>
        <v/>
      </c>
    </row>
    <row r="188" spans="1:91">
      <c r="A188" s="10" t="str">
        <f>時間希望調査!A158&amp;""</f>
        <v/>
      </c>
      <c r="B188" s="10" t="str">
        <f>時間希望調査!B158&amp;""</f>
        <v/>
      </c>
      <c r="C188" s="10" t="str">
        <f>時間希望調査!C158&amp;""</f>
        <v/>
      </c>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0">
        <f t="shared" si="168"/>
        <v>0</v>
      </c>
      <c r="BC188" s="10">
        <f>時間希望調査!D158</f>
        <v>0</v>
      </c>
      <c r="BD188" s="10" t="str">
        <f>'役職希望調査 ・備考'!D158&amp;""</f>
        <v/>
      </c>
      <c r="BE188" s="10" t="str">
        <f>'役職希望調査 ・備考'!E158&amp;""</f>
        <v/>
      </c>
      <c r="BF188" s="10" t="str">
        <f>'役職希望調査 ・備考'!F158&amp;""</f>
        <v/>
      </c>
      <c r="BG188" s="10" t="str">
        <f>'役職希望調査 ・備考'!G158&amp;""</f>
        <v/>
      </c>
      <c r="BH188" s="10" t="str">
        <f>'役職希望調査 ・備考'!H158&amp;""</f>
        <v/>
      </c>
      <c r="BI188" s="10">
        <f t="shared" si="138"/>
        <v>0</v>
      </c>
      <c r="BJ188" s="10">
        <f t="shared" si="139"/>
        <v>0</v>
      </c>
      <c r="BK188" s="10">
        <f t="shared" si="140"/>
        <v>0</v>
      </c>
      <c r="BL188" s="10">
        <f t="shared" si="141"/>
        <v>0</v>
      </c>
      <c r="BM188" s="10">
        <f t="shared" si="142"/>
        <v>0</v>
      </c>
      <c r="BN188" s="10">
        <f t="shared" si="143"/>
        <v>0</v>
      </c>
      <c r="BO188" s="10">
        <f t="shared" si="144"/>
        <v>48</v>
      </c>
      <c r="BP188" s="10">
        <f t="shared" si="145"/>
        <v>48</v>
      </c>
      <c r="BQ188" s="10">
        <f t="shared" si="146"/>
        <v>47</v>
      </c>
      <c r="BR188" s="10">
        <f t="shared" si="147"/>
        <v>46</v>
      </c>
      <c r="BS188" s="10">
        <f t="shared" si="148"/>
        <v>45</v>
      </c>
      <c r="BT188" s="10">
        <f t="shared" si="149"/>
        <v>44</v>
      </c>
      <c r="BU188" s="10">
        <f t="shared" si="150"/>
        <v>43</v>
      </c>
      <c r="BV188" s="10">
        <f t="shared" si="151"/>
        <v>42</v>
      </c>
      <c r="BW188" s="10">
        <f t="shared" si="152"/>
        <v>41</v>
      </c>
      <c r="BX188" s="10">
        <f t="shared" si="153"/>
        <v>40</v>
      </c>
      <c r="BY188" s="10">
        <f t="shared" si="154"/>
        <v>39</v>
      </c>
      <c r="BZ188" s="10">
        <f t="shared" si="155"/>
        <v>38</v>
      </c>
      <c r="CA188" s="10">
        <f t="shared" si="156"/>
        <v>37</v>
      </c>
      <c r="CB188" s="10">
        <f t="shared" si="157"/>
        <v>36</v>
      </c>
      <c r="CC188" s="10">
        <f t="shared" si="158"/>
        <v>35</v>
      </c>
      <c r="CD188" s="10">
        <f t="shared" si="159"/>
        <v>34</v>
      </c>
      <c r="CE188" s="10">
        <f t="shared" si="160"/>
        <v>33</v>
      </c>
      <c r="CF188" s="10">
        <f t="shared" si="161"/>
        <v>32</v>
      </c>
      <c r="CG188" s="10">
        <f t="shared" si="162"/>
        <v>31</v>
      </c>
      <c r="CH188" s="10">
        <f t="shared" si="163"/>
        <v>30</v>
      </c>
      <c r="CI188" s="10">
        <f t="shared" si="164"/>
        <v>29</v>
      </c>
      <c r="CJ188" s="10">
        <f t="shared" si="165"/>
        <v>28</v>
      </c>
      <c r="CK188" s="10">
        <f t="shared" si="166"/>
        <v>27</v>
      </c>
      <c r="CL188" s="10">
        <f t="shared" si="167"/>
        <v>26</v>
      </c>
      <c r="CM188" s="10" t="str">
        <f>'役職希望調査 ・備考'!I158&amp;""</f>
        <v/>
      </c>
    </row>
    <row r="189" spans="1:91">
      <c r="A189" s="10" t="str">
        <f>時間希望調査!A159&amp;""</f>
        <v/>
      </c>
      <c r="B189" s="10" t="str">
        <f>時間希望調査!B159&amp;""</f>
        <v/>
      </c>
      <c r="C189" s="10" t="str">
        <f>時間希望調査!C159&amp;""</f>
        <v/>
      </c>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0">
        <f t="shared" si="168"/>
        <v>0</v>
      </c>
      <c r="BC189" s="10">
        <f>時間希望調査!D159</f>
        <v>0</v>
      </c>
      <c r="BD189" s="10" t="str">
        <f>'役職希望調査 ・備考'!D159&amp;""</f>
        <v/>
      </c>
      <c r="BE189" s="10" t="str">
        <f>'役職希望調査 ・備考'!E159&amp;""</f>
        <v/>
      </c>
      <c r="BF189" s="10" t="str">
        <f>'役職希望調査 ・備考'!F159&amp;""</f>
        <v/>
      </c>
      <c r="BG189" s="10" t="str">
        <f>'役職希望調査 ・備考'!G159&amp;""</f>
        <v/>
      </c>
      <c r="BH189" s="10" t="str">
        <f>'役職希望調査 ・備考'!H159&amp;""</f>
        <v/>
      </c>
      <c r="BI189" s="10">
        <f t="shared" si="138"/>
        <v>0</v>
      </c>
      <c r="BJ189" s="10">
        <f t="shared" si="139"/>
        <v>0</v>
      </c>
      <c r="BK189" s="10">
        <f t="shared" si="140"/>
        <v>0</v>
      </c>
      <c r="BL189" s="10">
        <f t="shared" si="141"/>
        <v>0</v>
      </c>
      <c r="BM189" s="10">
        <f t="shared" si="142"/>
        <v>0</v>
      </c>
      <c r="BN189" s="10">
        <f t="shared" si="143"/>
        <v>0</v>
      </c>
      <c r="BO189" s="10">
        <f t="shared" si="144"/>
        <v>48</v>
      </c>
      <c r="BP189" s="10">
        <f t="shared" si="145"/>
        <v>48</v>
      </c>
      <c r="BQ189" s="10">
        <f t="shared" si="146"/>
        <v>47</v>
      </c>
      <c r="BR189" s="10">
        <f t="shared" si="147"/>
        <v>46</v>
      </c>
      <c r="BS189" s="10">
        <f t="shared" si="148"/>
        <v>45</v>
      </c>
      <c r="BT189" s="10">
        <f t="shared" si="149"/>
        <v>44</v>
      </c>
      <c r="BU189" s="10">
        <f t="shared" si="150"/>
        <v>43</v>
      </c>
      <c r="BV189" s="10">
        <f t="shared" si="151"/>
        <v>42</v>
      </c>
      <c r="BW189" s="10">
        <f t="shared" si="152"/>
        <v>41</v>
      </c>
      <c r="BX189" s="10">
        <f t="shared" si="153"/>
        <v>40</v>
      </c>
      <c r="BY189" s="10">
        <f t="shared" si="154"/>
        <v>39</v>
      </c>
      <c r="BZ189" s="10">
        <f t="shared" si="155"/>
        <v>38</v>
      </c>
      <c r="CA189" s="10">
        <f t="shared" si="156"/>
        <v>37</v>
      </c>
      <c r="CB189" s="10">
        <f t="shared" si="157"/>
        <v>36</v>
      </c>
      <c r="CC189" s="10">
        <f t="shared" si="158"/>
        <v>35</v>
      </c>
      <c r="CD189" s="10">
        <f t="shared" si="159"/>
        <v>34</v>
      </c>
      <c r="CE189" s="10">
        <f t="shared" si="160"/>
        <v>33</v>
      </c>
      <c r="CF189" s="10">
        <f t="shared" si="161"/>
        <v>32</v>
      </c>
      <c r="CG189" s="10">
        <f t="shared" si="162"/>
        <v>31</v>
      </c>
      <c r="CH189" s="10">
        <f t="shared" si="163"/>
        <v>30</v>
      </c>
      <c r="CI189" s="10">
        <f t="shared" si="164"/>
        <v>29</v>
      </c>
      <c r="CJ189" s="10">
        <f t="shared" si="165"/>
        <v>28</v>
      </c>
      <c r="CK189" s="10">
        <f t="shared" si="166"/>
        <v>27</v>
      </c>
      <c r="CL189" s="10">
        <f t="shared" si="167"/>
        <v>26</v>
      </c>
      <c r="CM189" s="10" t="str">
        <f>'役職希望調査 ・備考'!I159&amp;""</f>
        <v/>
      </c>
    </row>
    <row r="190" spans="1:91">
      <c r="A190" s="10" t="str">
        <f>時間希望調査!A160&amp;""</f>
        <v/>
      </c>
      <c r="B190" s="10" t="str">
        <f>時間希望調査!B160&amp;""</f>
        <v/>
      </c>
      <c r="C190" s="10" t="str">
        <f>時間希望調査!C160&amp;""</f>
        <v/>
      </c>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0">
        <f t="shared" si="168"/>
        <v>0</v>
      </c>
      <c r="BC190" s="10">
        <f>時間希望調査!D160</f>
        <v>0</v>
      </c>
      <c r="BD190" s="10" t="str">
        <f>'役職希望調査 ・備考'!D160&amp;""</f>
        <v/>
      </c>
      <c r="BE190" s="10" t="str">
        <f>'役職希望調査 ・備考'!E160&amp;""</f>
        <v/>
      </c>
      <c r="BF190" s="10" t="str">
        <f>'役職希望調査 ・備考'!F160&amp;""</f>
        <v/>
      </c>
      <c r="BG190" s="10" t="str">
        <f>'役職希望調査 ・備考'!G160&amp;""</f>
        <v/>
      </c>
      <c r="BH190" s="10" t="str">
        <f>'役職希望調査 ・備考'!H160&amp;""</f>
        <v/>
      </c>
      <c r="BI190" s="10">
        <f t="shared" si="138"/>
        <v>0</v>
      </c>
      <c r="BJ190" s="10">
        <f t="shared" si="139"/>
        <v>0</v>
      </c>
      <c r="BK190" s="10">
        <f t="shared" si="140"/>
        <v>0</v>
      </c>
      <c r="BL190" s="10">
        <f t="shared" si="141"/>
        <v>0</v>
      </c>
      <c r="BM190" s="10">
        <f t="shared" si="142"/>
        <v>0</v>
      </c>
      <c r="BN190" s="10">
        <f t="shared" si="143"/>
        <v>0</v>
      </c>
      <c r="BO190" s="10">
        <f t="shared" si="144"/>
        <v>48</v>
      </c>
      <c r="BP190" s="10">
        <f t="shared" si="145"/>
        <v>48</v>
      </c>
      <c r="BQ190" s="10">
        <f t="shared" si="146"/>
        <v>47</v>
      </c>
      <c r="BR190" s="10">
        <f t="shared" si="147"/>
        <v>46</v>
      </c>
      <c r="BS190" s="10">
        <f t="shared" si="148"/>
        <v>45</v>
      </c>
      <c r="BT190" s="10">
        <f t="shared" si="149"/>
        <v>44</v>
      </c>
      <c r="BU190" s="10">
        <f t="shared" si="150"/>
        <v>43</v>
      </c>
      <c r="BV190" s="10">
        <f t="shared" si="151"/>
        <v>42</v>
      </c>
      <c r="BW190" s="10">
        <f t="shared" si="152"/>
        <v>41</v>
      </c>
      <c r="BX190" s="10">
        <f t="shared" si="153"/>
        <v>40</v>
      </c>
      <c r="BY190" s="10">
        <f t="shared" si="154"/>
        <v>39</v>
      </c>
      <c r="BZ190" s="10">
        <f t="shared" si="155"/>
        <v>38</v>
      </c>
      <c r="CA190" s="10">
        <f t="shared" si="156"/>
        <v>37</v>
      </c>
      <c r="CB190" s="10">
        <f t="shared" si="157"/>
        <v>36</v>
      </c>
      <c r="CC190" s="10">
        <f t="shared" si="158"/>
        <v>35</v>
      </c>
      <c r="CD190" s="10">
        <f t="shared" si="159"/>
        <v>34</v>
      </c>
      <c r="CE190" s="10">
        <f t="shared" si="160"/>
        <v>33</v>
      </c>
      <c r="CF190" s="10">
        <f t="shared" si="161"/>
        <v>32</v>
      </c>
      <c r="CG190" s="10">
        <f t="shared" si="162"/>
        <v>31</v>
      </c>
      <c r="CH190" s="10">
        <f t="shared" si="163"/>
        <v>30</v>
      </c>
      <c r="CI190" s="10">
        <f t="shared" si="164"/>
        <v>29</v>
      </c>
      <c r="CJ190" s="10">
        <f t="shared" si="165"/>
        <v>28</v>
      </c>
      <c r="CK190" s="10">
        <f t="shared" si="166"/>
        <v>27</v>
      </c>
      <c r="CL190" s="10">
        <f t="shared" si="167"/>
        <v>26</v>
      </c>
      <c r="CM190" s="10" t="str">
        <f>'役職希望調査 ・備考'!I160&amp;""</f>
        <v/>
      </c>
    </row>
    <row r="191" spans="1:91">
      <c r="A191" s="10" t="str">
        <f>時間希望調査!A161&amp;""</f>
        <v/>
      </c>
      <c r="B191" s="10" t="str">
        <f>時間希望調査!B161&amp;""</f>
        <v/>
      </c>
      <c r="C191" s="10" t="str">
        <f>時間希望調査!C161&amp;""</f>
        <v/>
      </c>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0">
        <f t="shared" si="168"/>
        <v>0</v>
      </c>
      <c r="BC191" s="10">
        <f>時間希望調査!D161</f>
        <v>0</v>
      </c>
      <c r="BD191" s="10" t="str">
        <f>'役職希望調査 ・備考'!D161&amp;""</f>
        <v/>
      </c>
      <c r="BE191" s="10" t="str">
        <f>'役職希望調査 ・備考'!E161&amp;""</f>
        <v/>
      </c>
      <c r="BF191" s="10" t="str">
        <f>'役職希望調査 ・備考'!F161&amp;""</f>
        <v/>
      </c>
      <c r="BG191" s="10" t="str">
        <f>'役職希望調査 ・備考'!G161&amp;""</f>
        <v/>
      </c>
      <c r="BH191" s="10" t="str">
        <f>'役職希望調査 ・備考'!H161&amp;""</f>
        <v/>
      </c>
      <c r="BI191" s="10">
        <f t="shared" si="138"/>
        <v>0</v>
      </c>
      <c r="BJ191" s="10">
        <f t="shared" si="139"/>
        <v>0</v>
      </c>
      <c r="BK191" s="10">
        <f t="shared" si="140"/>
        <v>0</v>
      </c>
      <c r="BL191" s="10">
        <f t="shared" si="141"/>
        <v>0</v>
      </c>
      <c r="BM191" s="10">
        <f t="shared" si="142"/>
        <v>0</v>
      </c>
      <c r="BN191" s="10">
        <f t="shared" si="143"/>
        <v>0</v>
      </c>
      <c r="BO191" s="10">
        <f t="shared" si="144"/>
        <v>48</v>
      </c>
      <c r="BP191" s="10">
        <f t="shared" si="145"/>
        <v>48</v>
      </c>
      <c r="BQ191" s="10">
        <f t="shared" si="146"/>
        <v>47</v>
      </c>
      <c r="BR191" s="10">
        <f t="shared" si="147"/>
        <v>46</v>
      </c>
      <c r="BS191" s="10">
        <f t="shared" si="148"/>
        <v>45</v>
      </c>
      <c r="BT191" s="10">
        <f t="shared" si="149"/>
        <v>44</v>
      </c>
      <c r="BU191" s="10">
        <f t="shared" si="150"/>
        <v>43</v>
      </c>
      <c r="BV191" s="10">
        <f t="shared" si="151"/>
        <v>42</v>
      </c>
      <c r="BW191" s="10">
        <f t="shared" si="152"/>
        <v>41</v>
      </c>
      <c r="BX191" s="10">
        <f t="shared" si="153"/>
        <v>40</v>
      </c>
      <c r="BY191" s="10">
        <f t="shared" si="154"/>
        <v>39</v>
      </c>
      <c r="BZ191" s="10">
        <f t="shared" si="155"/>
        <v>38</v>
      </c>
      <c r="CA191" s="10">
        <f t="shared" si="156"/>
        <v>37</v>
      </c>
      <c r="CB191" s="10">
        <f t="shared" si="157"/>
        <v>36</v>
      </c>
      <c r="CC191" s="10">
        <f t="shared" si="158"/>
        <v>35</v>
      </c>
      <c r="CD191" s="10">
        <f t="shared" si="159"/>
        <v>34</v>
      </c>
      <c r="CE191" s="10">
        <f t="shared" si="160"/>
        <v>33</v>
      </c>
      <c r="CF191" s="10">
        <f t="shared" si="161"/>
        <v>32</v>
      </c>
      <c r="CG191" s="10">
        <f t="shared" si="162"/>
        <v>31</v>
      </c>
      <c r="CH191" s="10">
        <f t="shared" si="163"/>
        <v>30</v>
      </c>
      <c r="CI191" s="10">
        <f t="shared" si="164"/>
        <v>29</v>
      </c>
      <c r="CJ191" s="10">
        <f t="shared" si="165"/>
        <v>28</v>
      </c>
      <c r="CK191" s="10">
        <f t="shared" si="166"/>
        <v>27</v>
      </c>
      <c r="CL191" s="10">
        <f t="shared" si="167"/>
        <v>26</v>
      </c>
      <c r="CM191" s="10" t="str">
        <f>'役職希望調査 ・備考'!I161&amp;""</f>
        <v/>
      </c>
    </row>
    <row r="192" spans="1:91">
      <c r="A192" s="10" t="str">
        <f>時間希望調査!A162&amp;""</f>
        <v/>
      </c>
      <c r="B192" s="10" t="str">
        <f>時間希望調査!B162&amp;""</f>
        <v/>
      </c>
      <c r="C192" s="10" t="str">
        <f>時間希望調査!C162&amp;""</f>
        <v/>
      </c>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0">
        <f t="shared" si="168"/>
        <v>0</v>
      </c>
      <c r="BC192" s="10">
        <f>時間希望調査!D162</f>
        <v>0</v>
      </c>
      <c r="BD192" s="10" t="str">
        <f>'役職希望調査 ・備考'!D162&amp;""</f>
        <v/>
      </c>
      <c r="BE192" s="10" t="str">
        <f>'役職希望調査 ・備考'!E162&amp;""</f>
        <v/>
      </c>
      <c r="BF192" s="10" t="str">
        <f>'役職希望調査 ・備考'!F162&amp;""</f>
        <v/>
      </c>
      <c r="BG192" s="10" t="str">
        <f>'役職希望調査 ・備考'!G162&amp;""</f>
        <v/>
      </c>
      <c r="BH192" s="10" t="str">
        <f>'役職希望調査 ・備考'!H162&amp;""</f>
        <v/>
      </c>
      <c r="BI192" s="10">
        <f t="shared" ref="BI192:BI199" si="169">COUNTIF(D192:BA192,BI$1)</f>
        <v>0</v>
      </c>
      <c r="BJ192" s="10">
        <f t="shared" ref="BJ192:BJ199" si="170">COUNTIF(E192:BB192,BJ$1)</f>
        <v>0</v>
      </c>
      <c r="BK192" s="10">
        <f t="shared" ref="BK192:BK199" si="171">COUNTIF(F192:BC192,BK$1)</f>
        <v>0</v>
      </c>
      <c r="BL192" s="10">
        <f t="shared" ref="BL192:BL199" si="172">COUNTIF(G192:BD192,BL$1)</f>
        <v>0</v>
      </c>
      <c r="BM192" s="10">
        <f t="shared" ref="BM192:BM199" si="173">COUNTIF(H192:BE192,BM$1)</f>
        <v>0</v>
      </c>
      <c r="BN192" s="10">
        <f t="shared" ref="BN192:BN199" si="174">COUNTIF(I192:BF192,BN$1)</f>
        <v>0</v>
      </c>
      <c r="BO192" s="10">
        <f t="shared" ref="BO192:BO199" si="175">COUNTIF(J192:BG192,BO$1)</f>
        <v>48</v>
      </c>
      <c r="BP192" s="10">
        <f t="shared" ref="BP192:BP199" si="176">COUNTIF(K192:BH192,BP$1)</f>
        <v>48</v>
      </c>
      <c r="BQ192" s="10">
        <f t="shared" ref="BQ192:BQ199" si="177">COUNTIF(L192:BI192,BQ$1)</f>
        <v>47</v>
      </c>
      <c r="BR192" s="10">
        <f t="shared" ref="BR192:BR199" si="178">COUNTIF(M192:BJ192,BR$1)</f>
        <v>46</v>
      </c>
      <c r="BS192" s="10">
        <f t="shared" ref="BS192:BS199" si="179">COUNTIF(N192:BK192,BS$1)</f>
        <v>45</v>
      </c>
      <c r="BT192" s="10">
        <f t="shared" ref="BT192:BT199" si="180">COUNTIF(O192:BL192,BT$1)</f>
        <v>44</v>
      </c>
      <c r="BU192" s="10">
        <f t="shared" ref="BU192:BU199" si="181">COUNTIF(P192:BM192,BU$1)</f>
        <v>43</v>
      </c>
      <c r="BV192" s="10">
        <f t="shared" ref="BV192:BV199" si="182">COUNTIF(Q192:BN192,BV$1)</f>
        <v>42</v>
      </c>
      <c r="BW192" s="10">
        <f t="shared" ref="BW192:BW199" si="183">COUNTIF(R192:BO192,BW$1)</f>
        <v>41</v>
      </c>
      <c r="BX192" s="10">
        <f t="shared" ref="BX192:BX199" si="184">COUNTIF(S192:BP192,BX$1)</f>
        <v>40</v>
      </c>
      <c r="BY192" s="10">
        <f t="shared" ref="BY192:BY199" si="185">COUNTIF(T192:BQ192,BY$1)</f>
        <v>39</v>
      </c>
      <c r="BZ192" s="10">
        <f t="shared" ref="BZ192:BZ199" si="186">COUNTIF(U192:BR192,BZ$1)</f>
        <v>38</v>
      </c>
      <c r="CA192" s="10">
        <f t="shared" ref="CA192:CA199" si="187">COUNTIF(V192:BS192,CA$1)</f>
        <v>37</v>
      </c>
      <c r="CB192" s="10">
        <f t="shared" ref="CB192:CB199" si="188">COUNTIF(W192:BT192,CB$1)</f>
        <v>36</v>
      </c>
      <c r="CC192" s="10">
        <f t="shared" ref="CC192:CC199" si="189">COUNTIF(X192:BU192,CC$1)</f>
        <v>35</v>
      </c>
      <c r="CD192" s="10">
        <f t="shared" ref="CD192:CD199" si="190">COUNTIF(Y192:BV192,CD$1)</f>
        <v>34</v>
      </c>
      <c r="CE192" s="10">
        <f t="shared" ref="CE192:CE199" si="191">COUNTIF(Z192:BW192,CE$1)</f>
        <v>33</v>
      </c>
      <c r="CF192" s="10">
        <f t="shared" ref="CF192:CF199" si="192">COUNTIF(AA192:BX192,CF$1)</f>
        <v>32</v>
      </c>
      <c r="CG192" s="10">
        <f t="shared" ref="CG192:CG199" si="193">COUNTIF(AB192:BY192,CG$1)</f>
        <v>31</v>
      </c>
      <c r="CH192" s="10">
        <f t="shared" ref="CH192:CH199" si="194">COUNTIF(AC192:BZ192,CH$1)</f>
        <v>30</v>
      </c>
      <c r="CI192" s="10">
        <f t="shared" ref="CI192:CI199" si="195">COUNTIF(AD192:CA192,CI$1)</f>
        <v>29</v>
      </c>
      <c r="CJ192" s="10">
        <f t="shared" ref="CJ192:CJ199" si="196">COUNTIF(AE192:CB192,CJ$1)</f>
        <v>28</v>
      </c>
      <c r="CK192" s="10">
        <f t="shared" ref="CK192:CK199" si="197">COUNTIF(AF192:CC192,CK$1)</f>
        <v>27</v>
      </c>
      <c r="CL192" s="10">
        <f t="shared" ref="CL192:CL199" si="198">COUNTIF(AG192:CD192,CL$1)</f>
        <v>26</v>
      </c>
      <c r="CM192" s="10" t="str">
        <f>'役職希望調査 ・備考'!I162&amp;""</f>
        <v/>
      </c>
    </row>
    <row r="193" spans="1:91">
      <c r="A193" s="10" t="str">
        <f>時間希望調査!A163&amp;""</f>
        <v/>
      </c>
      <c r="B193" s="10" t="str">
        <f>時間希望調査!B163&amp;""</f>
        <v/>
      </c>
      <c r="C193" s="10" t="str">
        <f>時間希望調査!C163&amp;""</f>
        <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0">
        <f t="shared" si="168"/>
        <v>0</v>
      </c>
      <c r="BC193" s="10">
        <f>時間希望調査!D163</f>
        <v>0</v>
      </c>
      <c r="BD193" s="10" t="str">
        <f>'役職希望調査 ・備考'!D163&amp;""</f>
        <v/>
      </c>
      <c r="BE193" s="10" t="str">
        <f>'役職希望調査 ・備考'!E163&amp;""</f>
        <v/>
      </c>
      <c r="BF193" s="10" t="str">
        <f>'役職希望調査 ・備考'!F163&amp;""</f>
        <v/>
      </c>
      <c r="BG193" s="10" t="str">
        <f>'役職希望調査 ・備考'!G163&amp;""</f>
        <v/>
      </c>
      <c r="BH193" s="10" t="str">
        <f>'役職希望調査 ・備考'!H163&amp;""</f>
        <v/>
      </c>
      <c r="BI193" s="10">
        <f t="shared" si="169"/>
        <v>0</v>
      </c>
      <c r="BJ193" s="10">
        <f t="shared" si="170"/>
        <v>0</v>
      </c>
      <c r="BK193" s="10">
        <f t="shared" si="171"/>
        <v>0</v>
      </c>
      <c r="BL193" s="10">
        <f t="shared" si="172"/>
        <v>0</v>
      </c>
      <c r="BM193" s="10">
        <f t="shared" si="173"/>
        <v>0</v>
      </c>
      <c r="BN193" s="10">
        <f t="shared" si="174"/>
        <v>0</v>
      </c>
      <c r="BO193" s="10">
        <f t="shared" si="175"/>
        <v>48</v>
      </c>
      <c r="BP193" s="10">
        <f t="shared" si="176"/>
        <v>48</v>
      </c>
      <c r="BQ193" s="10">
        <f t="shared" si="177"/>
        <v>47</v>
      </c>
      <c r="BR193" s="10">
        <f t="shared" si="178"/>
        <v>46</v>
      </c>
      <c r="BS193" s="10">
        <f t="shared" si="179"/>
        <v>45</v>
      </c>
      <c r="BT193" s="10">
        <f t="shared" si="180"/>
        <v>44</v>
      </c>
      <c r="BU193" s="10">
        <f t="shared" si="181"/>
        <v>43</v>
      </c>
      <c r="BV193" s="10">
        <f t="shared" si="182"/>
        <v>42</v>
      </c>
      <c r="BW193" s="10">
        <f t="shared" si="183"/>
        <v>41</v>
      </c>
      <c r="BX193" s="10">
        <f t="shared" si="184"/>
        <v>40</v>
      </c>
      <c r="BY193" s="10">
        <f t="shared" si="185"/>
        <v>39</v>
      </c>
      <c r="BZ193" s="10">
        <f t="shared" si="186"/>
        <v>38</v>
      </c>
      <c r="CA193" s="10">
        <f t="shared" si="187"/>
        <v>37</v>
      </c>
      <c r="CB193" s="10">
        <f t="shared" si="188"/>
        <v>36</v>
      </c>
      <c r="CC193" s="10">
        <f t="shared" si="189"/>
        <v>35</v>
      </c>
      <c r="CD193" s="10">
        <f t="shared" si="190"/>
        <v>34</v>
      </c>
      <c r="CE193" s="10">
        <f t="shared" si="191"/>
        <v>33</v>
      </c>
      <c r="CF193" s="10">
        <f t="shared" si="192"/>
        <v>32</v>
      </c>
      <c r="CG193" s="10">
        <f t="shared" si="193"/>
        <v>31</v>
      </c>
      <c r="CH193" s="10">
        <f t="shared" si="194"/>
        <v>30</v>
      </c>
      <c r="CI193" s="10">
        <f t="shared" si="195"/>
        <v>29</v>
      </c>
      <c r="CJ193" s="10">
        <f t="shared" si="196"/>
        <v>28</v>
      </c>
      <c r="CK193" s="10">
        <f t="shared" si="197"/>
        <v>27</v>
      </c>
      <c r="CL193" s="10">
        <f t="shared" si="198"/>
        <v>26</v>
      </c>
      <c r="CM193" s="10" t="str">
        <f>'役職希望調査 ・備考'!I163&amp;""</f>
        <v/>
      </c>
    </row>
    <row r="194" spans="1:91">
      <c r="A194" s="10" t="str">
        <f>時間希望調査!A164&amp;""</f>
        <v/>
      </c>
      <c r="B194" s="10" t="str">
        <f>時間希望調査!B164&amp;""</f>
        <v/>
      </c>
      <c r="C194" s="10" t="str">
        <f>時間希望調査!C164&amp;""</f>
        <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0">
        <f t="shared" si="168"/>
        <v>0</v>
      </c>
      <c r="BC194" s="10">
        <f>時間希望調査!D164</f>
        <v>0</v>
      </c>
      <c r="BD194" s="10" t="str">
        <f>'役職希望調査 ・備考'!D164&amp;""</f>
        <v/>
      </c>
      <c r="BE194" s="10" t="str">
        <f>'役職希望調査 ・備考'!E164&amp;""</f>
        <v/>
      </c>
      <c r="BF194" s="10" t="str">
        <f>'役職希望調査 ・備考'!F164&amp;""</f>
        <v/>
      </c>
      <c r="BG194" s="10" t="str">
        <f>'役職希望調査 ・備考'!G164&amp;""</f>
        <v/>
      </c>
      <c r="BH194" s="10" t="str">
        <f>'役職希望調査 ・備考'!H164&amp;""</f>
        <v/>
      </c>
      <c r="BI194" s="10">
        <f t="shared" si="169"/>
        <v>0</v>
      </c>
      <c r="BJ194" s="10">
        <f t="shared" si="170"/>
        <v>0</v>
      </c>
      <c r="BK194" s="10">
        <f t="shared" si="171"/>
        <v>0</v>
      </c>
      <c r="BL194" s="10">
        <f t="shared" si="172"/>
        <v>0</v>
      </c>
      <c r="BM194" s="10">
        <f t="shared" si="173"/>
        <v>0</v>
      </c>
      <c r="BN194" s="10">
        <f t="shared" si="174"/>
        <v>0</v>
      </c>
      <c r="BO194" s="10">
        <f t="shared" si="175"/>
        <v>48</v>
      </c>
      <c r="BP194" s="10">
        <f t="shared" si="176"/>
        <v>48</v>
      </c>
      <c r="BQ194" s="10">
        <f t="shared" si="177"/>
        <v>47</v>
      </c>
      <c r="BR194" s="10">
        <f t="shared" si="178"/>
        <v>46</v>
      </c>
      <c r="BS194" s="10">
        <f t="shared" si="179"/>
        <v>45</v>
      </c>
      <c r="BT194" s="10">
        <f t="shared" si="180"/>
        <v>44</v>
      </c>
      <c r="BU194" s="10">
        <f t="shared" si="181"/>
        <v>43</v>
      </c>
      <c r="BV194" s="10">
        <f t="shared" si="182"/>
        <v>42</v>
      </c>
      <c r="BW194" s="10">
        <f t="shared" si="183"/>
        <v>41</v>
      </c>
      <c r="BX194" s="10">
        <f t="shared" si="184"/>
        <v>40</v>
      </c>
      <c r="BY194" s="10">
        <f t="shared" si="185"/>
        <v>39</v>
      </c>
      <c r="BZ194" s="10">
        <f t="shared" si="186"/>
        <v>38</v>
      </c>
      <c r="CA194" s="10">
        <f t="shared" si="187"/>
        <v>37</v>
      </c>
      <c r="CB194" s="10">
        <f t="shared" si="188"/>
        <v>36</v>
      </c>
      <c r="CC194" s="10">
        <f t="shared" si="189"/>
        <v>35</v>
      </c>
      <c r="CD194" s="10">
        <f t="shared" si="190"/>
        <v>34</v>
      </c>
      <c r="CE194" s="10">
        <f t="shared" si="191"/>
        <v>33</v>
      </c>
      <c r="CF194" s="10">
        <f t="shared" si="192"/>
        <v>32</v>
      </c>
      <c r="CG194" s="10">
        <f t="shared" si="193"/>
        <v>31</v>
      </c>
      <c r="CH194" s="10">
        <f t="shared" si="194"/>
        <v>30</v>
      </c>
      <c r="CI194" s="10">
        <f t="shared" si="195"/>
        <v>29</v>
      </c>
      <c r="CJ194" s="10">
        <f t="shared" si="196"/>
        <v>28</v>
      </c>
      <c r="CK194" s="10">
        <f t="shared" si="197"/>
        <v>27</v>
      </c>
      <c r="CL194" s="10">
        <f t="shared" si="198"/>
        <v>26</v>
      </c>
      <c r="CM194" s="10" t="str">
        <f>'役職希望調査 ・備考'!I164&amp;""</f>
        <v/>
      </c>
    </row>
    <row r="195" spans="1:91">
      <c r="A195" s="10" t="str">
        <f>時間希望調査!A165&amp;""</f>
        <v/>
      </c>
      <c r="B195" s="10" t="str">
        <f>時間希望調査!B165&amp;""</f>
        <v/>
      </c>
      <c r="C195" s="10" t="str">
        <f>時間希望調査!C165&amp;""</f>
        <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0">
        <f t="shared" si="168"/>
        <v>0</v>
      </c>
      <c r="BC195" s="10">
        <f>時間希望調査!D165</f>
        <v>0</v>
      </c>
      <c r="BD195" s="10" t="str">
        <f>'役職希望調査 ・備考'!D165&amp;""</f>
        <v/>
      </c>
      <c r="BE195" s="10" t="str">
        <f>'役職希望調査 ・備考'!E165&amp;""</f>
        <v/>
      </c>
      <c r="BF195" s="10" t="str">
        <f>'役職希望調査 ・備考'!F165&amp;""</f>
        <v/>
      </c>
      <c r="BG195" s="10" t="str">
        <f>'役職希望調査 ・備考'!G165&amp;""</f>
        <v/>
      </c>
      <c r="BH195" s="10" t="str">
        <f>'役職希望調査 ・備考'!H165&amp;""</f>
        <v/>
      </c>
      <c r="BI195" s="10">
        <f t="shared" si="169"/>
        <v>0</v>
      </c>
      <c r="BJ195" s="10">
        <f t="shared" si="170"/>
        <v>0</v>
      </c>
      <c r="BK195" s="10">
        <f t="shared" si="171"/>
        <v>0</v>
      </c>
      <c r="BL195" s="10">
        <f t="shared" si="172"/>
        <v>0</v>
      </c>
      <c r="BM195" s="10">
        <f t="shared" si="173"/>
        <v>0</v>
      </c>
      <c r="BN195" s="10">
        <f t="shared" si="174"/>
        <v>0</v>
      </c>
      <c r="BO195" s="10">
        <f t="shared" si="175"/>
        <v>48</v>
      </c>
      <c r="BP195" s="10">
        <f t="shared" si="176"/>
        <v>48</v>
      </c>
      <c r="BQ195" s="10">
        <f t="shared" si="177"/>
        <v>47</v>
      </c>
      <c r="BR195" s="10">
        <f t="shared" si="178"/>
        <v>46</v>
      </c>
      <c r="BS195" s="10">
        <f t="shared" si="179"/>
        <v>45</v>
      </c>
      <c r="BT195" s="10">
        <f t="shared" si="180"/>
        <v>44</v>
      </c>
      <c r="BU195" s="10">
        <f t="shared" si="181"/>
        <v>43</v>
      </c>
      <c r="BV195" s="10">
        <f t="shared" si="182"/>
        <v>42</v>
      </c>
      <c r="BW195" s="10">
        <f t="shared" si="183"/>
        <v>41</v>
      </c>
      <c r="BX195" s="10">
        <f t="shared" si="184"/>
        <v>40</v>
      </c>
      <c r="BY195" s="10">
        <f t="shared" si="185"/>
        <v>39</v>
      </c>
      <c r="BZ195" s="10">
        <f t="shared" si="186"/>
        <v>38</v>
      </c>
      <c r="CA195" s="10">
        <f t="shared" si="187"/>
        <v>37</v>
      </c>
      <c r="CB195" s="10">
        <f t="shared" si="188"/>
        <v>36</v>
      </c>
      <c r="CC195" s="10">
        <f t="shared" si="189"/>
        <v>35</v>
      </c>
      <c r="CD195" s="10">
        <f t="shared" si="190"/>
        <v>34</v>
      </c>
      <c r="CE195" s="10">
        <f t="shared" si="191"/>
        <v>33</v>
      </c>
      <c r="CF195" s="10">
        <f t="shared" si="192"/>
        <v>32</v>
      </c>
      <c r="CG195" s="10">
        <f t="shared" si="193"/>
        <v>31</v>
      </c>
      <c r="CH195" s="10">
        <f t="shared" si="194"/>
        <v>30</v>
      </c>
      <c r="CI195" s="10">
        <f t="shared" si="195"/>
        <v>29</v>
      </c>
      <c r="CJ195" s="10">
        <f t="shared" si="196"/>
        <v>28</v>
      </c>
      <c r="CK195" s="10">
        <f t="shared" si="197"/>
        <v>27</v>
      </c>
      <c r="CL195" s="10">
        <f t="shared" si="198"/>
        <v>26</v>
      </c>
      <c r="CM195" s="10" t="str">
        <f>'役職希望調査 ・備考'!I165&amp;""</f>
        <v/>
      </c>
    </row>
    <row r="196" spans="1:91">
      <c r="A196" s="10" t="str">
        <f>時間希望調査!A166&amp;""</f>
        <v/>
      </c>
      <c r="B196" s="10" t="str">
        <f>時間希望調査!B166&amp;""</f>
        <v/>
      </c>
      <c r="C196" s="10" t="str">
        <f>時間希望調査!C166&amp;""</f>
        <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0">
        <f t="shared" si="168"/>
        <v>0</v>
      </c>
      <c r="BC196" s="10">
        <f>時間希望調査!D166</f>
        <v>0</v>
      </c>
      <c r="BD196" s="10" t="str">
        <f>'役職希望調査 ・備考'!D166&amp;""</f>
        <v/>
      </c>
      <c r="BE196" s="10" t="str">
        <f>'役職希望調査 ・備考'!E166&amp;""</f>
        <v/>
      </c>
      <c r="BF196" s="10" t="str">
        <f>'役職希望調査 ・備考'!F166&amp;""</f>
        <v/>
      </c>
      <c r="BG196" s="10" t="str">
        <f>'役職希望調査 ・備考'!G166&amp;""</f>
        <v/>
      </c>
      <c r="BH196" s="10" t="str">
        <f>'役職希望調査 ・備考'!H166&amp;""</f>
        <v/>
      </c>
      <c r="BI196" s="10">
        <f t="shared" si="169"/>
        <v>0</v>
      </c>
      <c r="BJ196" s="10">
        <f t="shared" si="170"/>
        <v>0</v>
      </c>
      <c r="BK196" s="10">
        <f t="shared" si="171"/>
        <v>0</v>
      </c>
      <c r="BL196" s="10">
        <f t="shared" si="172"/>
        <v>0</v>
      </c>
      <c r="BM196" s="10">
        <f t="shared" si="173"/>
        <v>0</v>
      </c>
      <c r="BN196" s="10">
        <f t="shared" si="174"/>
        <v>0</v>
      </c>
      <c r="BO196" s="10">
        <f t="shared" si="175"/>
        <v>48</v>
      </c>
      <c r="BP196" s="10">
        <f t="shared" si="176"/>
        <v>48</v>
      </c>
      <c r="BQ196" s="10">
        <f t="shared" si="177"/>
        <v>47</v>
      </c>
      <c r="BR196" s="10">
        <f t="shared" si="178"/>
        <v>46</v>
      </c>
      <c r="BS196" s="10">
        <f t="shared" si="179"/>
        <v>45</v>
      </c>
      <c r="BT196" s="10">
        <f t="shared" si="180"/>
        <v>44</v>
      </c>
      <c r="BU196" s="10">
        <f t="shared" si="181"/>
        <v>43</v>
      </c>
      <c r="BV196" s="10">
        <f t="shared" si="182"/>
        <v>42</v>
      </c>
      <c r="BW196" s="10">
        <f t="shared" si="183"/>
        <v>41</v>
      </c>
      <c r="BX196" s="10">
        <f t="shared" si="184"/>
        <v>40</v>
      </c>
      <c r="BY196" s="10">
        <f t="shared" si="185"/>
        <v>39</v>
      </c>
      <c r="BZ196" s="10">
        <f t="shared" si="186"/>
        <v>38</v>
      </c>
      <c r="CA196" s="10">
        <f t="shared" si="187"/>
        <v>37</v>
      </c>
      <c r="CB196" s="10">
        <f t="shared" si="188"/>
        <v>36</v>
      </c>
      <c r="CC196" s="10">
        <f t="shared" si="189"/>
        <v>35</v>
      </c>
      <c r="CD196" s="10">
        <f t="shared" si="190"/>
        <v>34</v>
      </c>
      <c r="CE196" s="10">
        <f t="shared" si="191"/>
        <v>33</v>
      </c>
      <c r="CF196" s="10">
        <f t="shared" si="192"/>
        <v>32</v>
      </c>
      <c r="CG196" s="10">
        <f t="shared" si="193"/>
        <v>31</v>
      </c>
      <c r="CH196" s="10">
        <f t="shared" si="194"/>
        <v>30</v>
      </c>
      <c r="CI196" s="10">
        <f t="shared" si="195"/>
        <v>29</v>
      </c>
      <c r="CJ196" s="10">
        <f t="shared" si="196"/>
        <v>28</v>
      </c>
      <c r="CK196" s="10">
        <f t="shared" si="197"/>
        <v>27</v>
      </c>
      <c r="CL196" s="10">
        <f t="shared" si="198"/>
        <v>26</v>
      </c>
      <c r="CM196" s="10" t="str">
        <f>'役職希望調査 ・備考'!I166&amp;""</f>
        <v/>
      </c>
    </row>
    <row r="197" spans="1:91">
      <c r="A197" s="10" t="str">
        <f>時間希望調査!A167&amp;""</f>
        <v/>
      </c>
      <c r="B197" s="10" t="str">
        <f>時間希望調査!B167&amp;""</f>
        <v/>
      </c>
      <c r="C197" s="10" t="str">
        <f>時間希望調査!C167&amp;""</f>
        <v/>
      </c>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0">
        <f t="shared" si="168"/>
        <v>0</v>
      </c>
      <c r="BC197" s="10">
        <f>時間希望調査!D167</f>
        <v>0</v>
      </c>
      <c r="BD197" s="10" t="str">
        <f>'役職希望調査 ・備考'!D167&amp;""</f>
        <v/>
      </c>
      <c r="BE197" s="10" t="str">
        <f>'役職希望調査 ・備考'!E167&amp;""</f>
        <v/>
      </c>
      <c r="BF197" s="10" t="str">
        <f>'役職希望調査 ・備考'!F167&amp;""</f>
        <v/>
      </c>
      <c r="BG197" s="10" t="str">
        <f>'役職希望調査 ・備考'!G167&amp;""</f>
        <v/>
      </c>
      <c r="BH197" s="10" t="str">
        <f>'役職希望調査 ・備考'!H167&amp;""</f>
        <v/>
      </c>
      <c r="BI197" s="10">
        <f t="shared" si="169"/>
        <v>0</v>
      </c>
      <c r="BJ197" s="10">
        <f t="shared" si="170"/>
        <v>0</v>
      </c>
      <c r="BK197" s="10">
        <f t="shared" si="171"/>
        <v>0</v>
      </c>
      <c r="BL197" s="10">
        <f t="shared" si="172"/>
        <v>0</v>
      </c>
      <c r="BM197" s="10">
        <f t="shared" si="173"/>
        <v>0</v>
      </c>
      <c r="BN197" s="10">
        <f t="shared" si="174"/>
        <v>0</v>
      </c>
      <c r="BO197" s="10">
        <f t="shared" si="175"/>
        <v>48</v>
      </c>
      <c r="BP197" s="10">
        <f t="shared" si="176"/>
        <v>48</v>
      </c>
      <c r="BQ197" s="10">
        <f t="shared" si="177"/>
        <v>47</v>
      </c>
      <c r="BR197" s="10">
        <f t="shared" si="178"/>
        <v>46</v>
      </c>
      <c r="BS197" s="10">
        <f t="shared" si="179"/>
        <v>45</v>
      </c>
      <c r="BT197" s="10">
        <f t="shared" si="180"/>
        <v>44</v>
      </c>
      <c r="BU197" s="10">
        <f t="shared" si="181"/>
        <v>43</v>
      </c>
      <c r="BV197" s="10">
        <f t="shared" si="182"/>
        <v>42</v>
      </c>
      <c r="BW197" s="10">
        <f t="shared" si="183"/>
        <v>41</v>
      </c>
      <c r="BX197" s="10">
        <f t="shared" si="184"/>
        <v>40</v>
      </c>
      <c r="BY197" s="10">
        <f t="shared" si="185"/>
        <v>39</v>
      </c>
      <c r="BZ197" s="10">
        <f t="shared" si="186"/>
        <v>38</v>
      </c>
      <c r="CA197" s="10">
        <f t="shared" si="187"/>
        <v>37</v>
      </c>
      <c r="CB197" s="10">
        <f t="shared" si="188"/>
        <v>36</v>
      </c>
      <c r="CC197" s="10">
        <f t="shared" si="189"/>
        <v>35</v>
      </c>
      <c r="CD197" s="10">
        <f t="shared" si="190"/>
        <v>34</v>
      </c>
      <c r="CE197" s="10">
        <f t="shared" si="191"/>
        <v>33</v>
      </c>
      <c r="CF197" s="10">
        <f t="shared" si="192"/>
        <v>32</v>
      </c>
      <c r="CG197" s="10">
        <f t="shared" si="193"/>
        <v>31</v>
      </c>
      <c r="CH197" s="10">
        <f t="shared" si="194"/>
        <v>30</v>
      </c>
      <c r="CI197" s="10">
        <f t="shared" si="195"/>
        <v>29</v>
      </c>
      <c r="CJ197" s="10">
        <f t="shared" si="196"/>
        <v>28</v>
      </c>
      <c r="CK197" s="10">
        <f t="shared" si="197"/>
        <v>27</v>
      </c>
      <c r="CL197" s="10">
        <f t="shared" si="198"/>
        <v>26</v>
      </c>
      <c r="CM197" s="10" t="str">
        <f>'役職希望調査 ・備考'!I167&amp;""</f>
        <v/>
      </c>
    </row>
    <row r="198" spans="1:91">
      <c r="A198" s="10" t="str">
        <f>時間希望調査!A168&amp;""</f>
        <v/>
      </c>
      <c r="B198" s="10" t="str">
        <f>時間希望調査!B168&amp;""</f>
        <v/>
      </c>
      <c r="C198" s="10" t="str">
        <f>時間希望調査!C168&amp;""</f>
        <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0">
        <f t="shared" si="168"/>
        <v>0</v>
      </c>
      <c r="BC198" s="10">
        <f>時間希望調査!D168</f>
        <v>0</v>
      </c>
      <c r="BD198" s="10" t="str">
        <f>'役職希望調査 ・備考'!D168&amp;""</f>
        <v/>
      </c>
      <c r="BE198" s="10" t="str">
        <f>'役職希望調査 ・備考'!E168&amp;""</f>
        <v/>
      </c>
      <c r="BF198" s="10" t="str">
        <f>'役職希望調査 ・備考'!F168&amp;""</f>
        <v/>
      </c>
      <c r="BG198" s="10" t="str">
        <f>'役職希望調査 ・備考'!G168&amp;""</f>
        <v/>
      </c>
      <c r="BH198" s="10" t="str">
        <f>'役職希望調査 ・備考'!H168&amp;""</f>
        <v/>
      </c>
      <c r="BI198" s="10">
        <f t="shared" si="169"/>
        <v>0</v>
      </c>
      <c r="BJ198" s="10">
        <f t="shared" si="170"/>
        <v>0</v>
      </c>
      <c r="BK198" s="10">
        <f t="shared" si="171"/>
        <v>0</v>
      </c>
      <c r="BL198" s="10">
        <f t="shared" si="172"/>
        <v>0</v>
      </c>
      <c r="BM198" s="10">
        <f t="shared" si="173"/>
        <v>0</v>
      </c>
      <c r="BN198" s="10">
        <f t="shared" si="174"/>
        <v>0</v>
      </c>
      <c r="BO198" s="10">
        <f t="shared" si="175"/>
        <v>48</v>
      </c>
      <c r="BP198" s="10">
        <f t="shared" si="176"/>
        <v>48</v>
      </c>
      <c r="BQ198" s="10">
        <f t="shared" si="177"/>
        <v>47</v>
      </c>
      <c r="BR198" s="10">
        <f t="shared" si="178"/>
        <v>46</v>
      </c>
      <c r="BS198" s="10">
        <f t="shared" si="179"/>
        <v>45</v>
      </c>
      <c r="BT198" s="10">
        <f t="shared" si="180"/>
        <v>44</v>
      </c>
      <c r="BU198" s="10">
        <f t="shared" si="181"/>
        <v>43</v>
      </c>
      <c r="BV198" s="10">
        <f t="shared" si="182"/>
        <v>42</v>
      </c>
      <c r="BW198" s="10">
        <f t="shared" si="183"/>
        <v>41</v>
      </c>
      <c r="BX198" s="10">
        <f t="shared" si="184"/>
        <v>40</v>
      </c>
      <c r="BY198" s="10">
        <f t="shared" si="185"/>
        <v>39</v>
      </c>
      <c r="BZ198" s="10">
        <f t="shared" si="186"/>
        <v>38</v>
      </c>
      <c r="CA198" s="10">
        <f t="shared" si="187"/>
        <v>37</v>
      </c>
      <c r="CB198" s="10">
        <f t="shared" si="188"/>
        <v>36</v>
      </c>
      <c r="CC198" s="10">
        <f t="shared" si="189"/>
        <v>35</v>
      </c>
      <c r="CD198" s="10">
        <f t="shared" si="190"/>
        <v>34</v>
      </c>
      <c r="CE198" s="10">
        <f t="shared" si="191"/>
        <v>33</v>
      </c>
      <c r="CF198" s="10">
        <f t="shared" si="192"/>
        <v>32</v>
      </c>
      <c r="CG198" s="10">
        <f t="shared" si="193"/>
        <v>31</v>
      </c>
      <c r="CH198" s="10">
        <f t="shared" si="194"/>
        <v>30</v>
      </c>
      <c r="CI198" s="10">
        <f t="shared" si="195"/>
        <v>29</v>
      </c>
      <c r="CJ198" s="10">
        <f t="shared" si="196"/>
        <v>28</v>
      </c>
      <c r="CK198" s="10">
        <f t="shared" si="197"/>
        <v>27</v>
      </c>
      <c r="CL198" s="10">
        <f t="shared" si="198"/>
        <v>26</v>
      </c>
      <c r="CM198" s="10" t="str">
        <f>'役職希望調査 ・備考'!I168&amp;""</f>
        <v/>
      </c>
    </row>
    <row r="199" spans="1:91">
      <c r="A199" s="10" t="str">
        <f>時間希望調査!A169&amp;""</f>
        <v/>
      </c>
      <c r="B199" s="10" t="str">
        <f>時間希望調査!B169&amp;""</f>
        <v/>
      </c>
      <c r="C199" s="10" t="str">
        <f>時間希望調査!C169&amp;""</f>
        <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0">
        <f t="shared" si="168"/>
        <v>0</v>
      </c>
      <c r="BC199" s="10">
        <f>時間希望調査!D169</f>
        <v>0</v>
      </c>
      <c r="BD199" s="10" t="str">
        <f>'役職希望調査 ・備考'!D169&amp;""</f>
        <v/>
      </c>
      <c r="BE199" s="10" t="str">
        <f>'役職希望調査 ・備考'!E169&amp;""</f>
        <v/>
      </c>
      <c r="BF199" s="10" t="str">
        <f>'役職希望調査 ・備考'!F169&amp;""</f>
        <v/>
      </c>
      <c r="BG199" s="10" t="str">
        <f>'役職希望調査 ・備考'!G169&amp;""</f>
        <v/>
      </c>
      <c r="BH199" s="10" t="str">
        <f>'役職希望調査 ・備考'!H169&amp;""</f>
        <v/>
      </c>
      <c r="BI199" s="10">
        <f t="shared" si="169"/>
        <v>0</v>
      </c>
      <c r="BJ199" s="10">
        <f t="shared" si="170"/>
        <v>0</v>
      </c>
      <c r="BK199" s="10">
        <f t="shared" si="171"/>
        <v>0</v>
      </c>
      <c r="BL199" s="10">
        <f t="shared" si="172"/>
        <v>0</v>
      </c>
      <c r="BM199" s="10">
        <f t="shared" si="173"/>
        <v>0</v>
      </c>
      <c r="BN199" s="10">
        <f t="shared" si="174"/>
        <v>0</v>
      </c>
      <c r="BO199" s="10">
        <f t="shared" si="175"/>
        <v>48</v>
      </c>
      <c r="BP199" s="10">
        <f t="shared" si="176"/>
        <v>48</v>
      </c>
      <c r="BQ199" s="10">
        <f t="shared" si="177"/>
        <v>47</v>
      </c>
      <c r="BR199" s="10">
        <f t="shared" si="178"/>
        <v>46</v>
      </c>
      <c r="BS199" s="10">
        <f t="shared" si="179"/>
        <v>45</v>
      </c>
      <c r="BT199" s="10">
        <f t="shared" si="180"/>
        <v>44</v>
      </c>
      <c r="BU199" s="10">
        <f t="shared" si="181"/>
        <v>43</v>
      </c>
      <c r="BV199" s="10">
        <f t="shared" si="182"/>
        <v>42</v>
      </c>
      <c r="BW199" s="10">
        <f t="shared" si="183"/>
        <v>41</v>
      </c>
      <c r="BX199" s="10">
        <f t="shared" si="184"/>
        <v>40</v>
      </c>
      <c r="BY199" s="10">
        <f t="shared" si="185"/>
        <v>39</v>
      </c>
      <c r="BZ199" s="10">
        <f t="shared" si="186"/>
        <v>38</v>
      </c>
      <c r="CA199" s="10">
        <f t="shared" si="187"/>
        <v>37</v>
      </c>
      <c r="CB199" s="10">
        <f t="shared" si="188"/>
        <v>36</v>
      </c>
      <c r="CC199" s="10">
        <f t="shared" si="189"/>
        <v>35</v>
      </c>
      <c r="CD199" s="10">
        <f t="shared" si="190"/>
        <v>34</v>
      </c>
      <c r="CE199" s="10">
        <f t="shared" si="191"/>
        <v>33</v>
      </c>
      <c r="CF199" s="10">
        <f t="shared" si="192"/>
        <v>32</v>
      </c>
      <c r="CG199" s="10">
        <f t="shared" si="193"/>
        <v>31</v>
      </c>
      <c r="CH199" s="10">
        <f t="shared" si="194"/>
        <v>30</v>
      </c>
      <c r="CI199" s="10">
        <f t="shared" si="195"/>
        <v>29</v>
      </c>
      <c r="CJ199" s="10">
        <f t="shared" si="196"/>
        <v>28</v>
      </c>
      <c r="CK199" s="10">
        <f t="shared" si="197"/>
        <v>27</v>
      </c>
      <c r="CL199" s="10">
        <f t="shared" si="198"/>
        <v>26</v>
      </c>
      <c r="CM199" s="10" t="str">
        <f>'役職希望調査 ・備考'!I169&amp;""</f>
        <v/>
      </c>
    </row>
    <row r="200" spans="1:91">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row>
    <row r="201" spans="1:91">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row>
    <row r="202" spans="1:91">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row>
    <row r="203" spans="1:91">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row>
    <row r="204" spans="1:91">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row>
    <row r="205" spans="1:91">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row>
    <row r="206" spans="1:91">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row>
    <row r="207" spans="1:91">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row>
    <row r="208" spans="1:91">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row>
    <row r="209" spans="4:53">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row>
    <row r="210" spans="4:53">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row>
    <row r="211" spans="4:53">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row>
    <row r="212" spans="4:53">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row>
    <row r="213" spans="4:53">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row>
    <row r="214" spans="4:53">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row>
    <row r="215" spans="4:53">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row>
    <row r="216" spans="4:53">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row>
    <row r="217" spans="4:53">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row>
    <row r="218" spans="4:53">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row>
    <row r="219" spans="4:53">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row>
    <row r="220" spans="4:53">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row>
    <row r="221" spans="4:53">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row>
    <row r="222" spans="4:53">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row>
    <row r="223" spans="4:53">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row>
    <row r="224" spans="4:53">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row>
    <row r="225" spans="4:53">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row>
    <row r="226" spans="4:53">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row>
    <row r="227" spans="4:53">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row>
    <row r="228" spans="4:53">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row>
    <row r="229" spans="4:53">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row>
    <row r="230" spans="4:53">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row>
    <row r="231" spans="4:53">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row>
    <row r="232" spans="4:53">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row>
    <row r="233" spans="4:53">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row>
    <row r="234" spans="4:53">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row>
    <row r="235" spans="4:53">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row>
    <row r="236" spans="4:53">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row>
    <row r="237" spans="4:53">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row>
    <row r="238" spans="4:53">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row>
    <row r="239" spans="4:53">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row>
    <row r="240" spans="4:53">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row>
    <row r="241" spans="4:53">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row>
    <row r="242" spans="4:53">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row>
    <row r="243" spans="4:53">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row>
    <row r="244" spans="4:53">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row>
    <row r="245" spans="4:53">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row>
    <row r="246" spans="4:53">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row>
    <row r="247" spans="4:53">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row>
    <row r="248" spans="4:53">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row>
    <row r="249" spans="4:53">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row>
    <row r="250" spans="4:53">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row>
    <row r="251" spans="4:53">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row>
    <row r="252" spans="4:53">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row>
    <row r="253" spans="4:53">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row>
    <row r="254" spans="4:53">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row>
    <row r="255" spans="4:53">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row>
    <row r="256" spans="4:53">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row>
    <row r="257" spans="4:53">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row>
    <row r="258" spans="4:53">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row>
    <row r="259" spans="4:53">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row>
    <row r="260" spans="4:53">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row>
    <row r="261" spans="4:53">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row>
    <row r="262" spans="4:53">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row>
    <row r="263" spans="4:53">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row>
    <row r="264" spans="4:53">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row>
    <row r="265" spans="4:53">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row>
    <row r="266" spans="4:53">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row>
    <row r="267" spans="4:53">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row>
    <row r="268" spans="4:53">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row>
    <row r="269" spans="4:53">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row>
    <row r="270" spans="4:53">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row>
    <row r="271" spans="4:53">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row>
    <row r="272" spans="4:53">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row>
    <row r="273" spans="4:53">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row>
    <row r="274" spans="4:53">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row>
    <row r="275" spans="4:53">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row>
    <row r="276" spans="4:53">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row>
    <row r="277" spans="4:53">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row>
    <row r="278" spans="4:53">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row>
    <row r="279" spans="4:53">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row>
    <row r="280" spans="4:53">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row>
    <row r="281" spans="4:53">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row>
    <row r="282" spans="4:53">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row>
    <row r="283" spans="4:53">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row>
    <row r="284" spans="4:53">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row>
    <row r="285" spans="4:53">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row>
    <row r="286" spans="4:53">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row>
    <row r="287" spans="4:53">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row>
    <row r="288" spans="4:53">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row>
    <row r="289" spans="4:53">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row>
    <row r="290" spans="4:53">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row>
    <row r="291" spans="4:53">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row>
    <row r="292" spans="4:53">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row>
    <row r="293" spans="4:53">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row>
    <row r="294" spans="4:53">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row>
    <row r="295" spans="4:53">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row>
    <row r="296" spans="4:53">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row>
    <row r="297" spans="4:53">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row>
    <row r="298" spans="4:53">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row>
    <row r="299" spans="4:53">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row>
    <row r="300" spans="4:53">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row>
    <row r="301" spans="4:53">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row>
    <row r="302" spans="4:53">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row>
    <row r="303" spans="4:53">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row>
    <row r="304" spans="4:53">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row>
    <row r="305" spans="4:53">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row>
    <row r="306" spans="4:53">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row>
    <row r="307" spans="4:53">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row>
    <row r="308" spans="4:53">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row>
    <row r="309" spans="4:53">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row>
    <row r="310" spans="4:53">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row>
    <row r="311" spans="4:53">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row>
    <row r="312" spans="4:53">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row>
    <row r="313" spans="4:53">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row>
    <row r="314" spans="4:53">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row>
  </sheetData>
  <sheetProtection sheet="1" objects="1" scenarios="1" formatColumns="0" formatRows="0"/>
  <mergeCells count="1">
    <mergeCell ref="BB1:BC1"/>
  </mergeCells>
  <phoneticPr fontId="1"/>
  <conditionalFormatting sqref="D2:BA31">
    <cfRule type="expression" dxfId="52" priority="107">
      <formula>D2&gt;$C2</formula>
    </cfRule>
    <cfRule type="expression" dxfId="51" priority="108">
      <formula>D2&lt;$C2</formula>
    </cfRule>
  </conditionalFormatting>
  <conditionalFormatting sqref="BB2:BC1048576 BB1">
    <cfRule type="expression" dxfId="50" priority="14">
      <formula>$BB1&lt;$BC1</formula>
    </cfRule>
    <cfRule type="expression" dxfId="49" priority="15">
      <formula>$BB1&gt;$BC1</formula>
    </cfRule>
  </conditionalFormatting>
  <conditionalFormatting sqref="BB1:BC1">
    <cfRule type="expression" dxfId="48" priority="1">
      <formula>TRUE</formula>
    </cfRule>
  </conditionalFormatting>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09" id="{4DE85962-3131-E04D-91EB-23C0EAD19317}">
            <xm:f>COUNTIF(役職一覧!#REF!,$B2)=1</xm:f>
            <x14:dxf>
              <fill>
                <patternFill>
                  <bgColor rgb="FF7030A0"/>
                </patternFill>
              </fill>
            </x14:dxf>
          </x14:cfRule>
          <x14:cfRule type="expression" priority="110" id="{A3FE1E97-9D87-624A-8647-8864615C1EF4}">
            <xm:f>COUNTIF(役職一覧!#REF!,$B2)=1</xm:f>
            <x14:dxf>
              <fill>
                <patternFill>
                  <bgColor rgb="FF0070C0"/>
                </patternFill>
              </fill>
            </x14:dxf>
          </x14:cfRule>
          <x14:cfRule type="expression" priority="111" id="{04566CAB-F5BA-144E-A80B-26EB0074CD0D}">
            <xm:f>COUNTIF(役職一覧!#REF!,$B2)=1</xm:f>
            <x14:dxf>
              <fill>
                <patternFill>
                  <bgColor rgb="FF00B0F0"/>
                </patternFill>
              </fill>
            </x14:dxf>
          </x14:cfRule>
          <x14:cfRule type="expression" priority="112" id="{B3D6F974-6802-EB46-BBCA-93813E672958}">
            <xm:f>COUNTIF(役職一覧!#REF!,$B2)=1</xm:f>
            <x14:dxf>
              <fill>
                <patternFill>
                  <bgColor rgb="FF00B050"/>
                </patternFill>
              </fill>
            </x14:dxf>
          </x14:cfRule>
          <x14:cfRule type="expression" priority="113" id="{175EF85A-84C0-AB48-9B4A-28239AB30092}">
            <xm:f>COUNTIF(役職一覧!#REF!,$B2)=1</xm:f>
            <x14:dxf>
              <fill>
                <patternFill>
                  <bgColor rgb="FF92D050"/>
                </patternFill>
              </fill>
            </x14:dxf>
          </x14:cfRule>
          <x14:cfRule type="expression" priority="114" id="{72845407-C6EC-D84F-B3CC-9AE97EE846F8}">
            <xm:f>COUNTIF(役職一覧!#REF!,$B2)=1</xm:f>
            <x14:dxf>
              <fill>
                <patternFill>
                  <bgColor rgb="FFFFFF00"/>
                </patternFill>
              </fill>
            </x14:dxf>
          </x14:cfRule>
          <x14:cfRule type="expression" priority="115" id="{B5720D7B-913C-0C49-9D2B-C3C4D9FD3EBD}">
            <xm:f>COUNTIF(役職一覧!#REF!,$B2)=1</xm:f>
            <x14:dxf>
              <fill>
                <patternFill>
                  <bgColor rgb="FFFFC000"/>
                </patternFill>
              </fill>
            </x14:dxf>
          </x14:cfRule>
          <x14:cfRule type="expression" priority="116" id="{10C96DDB-EA6A-2E49-97B6-A1986719F46A}">
            <xm:f>COUNTIF(役職一覧!#REF!,$B2)=1</xm:f>
            <x14:dxf>
              <fill>
                <patternFill>
                  <bgColor rgb="FFFF0000"/>
                </patternFill>
              </fill>
            </x14:dxf>
          </x14:cfRule>
          <xm:sqref>D2:BH31</xm:sqref>
        </x14:conditionalFormatting>
        <x14:conditionalFormatting xmlns:xm="http://schemas.microsoft.com/office/excel/2006/main">
          <x14:cfRule type="expression" priority="123" id="{B635DACD-0CEF-CA45-866E-B72F69EDE3A7}">
            <xm:f>COUNTIF(役職一覧!$K:$K,$B2)=1</xm:f>
            <x14:dxf>
              <fill>
                <patternFill>
                  <bgColor rgb="FFE1B9FF"/>
                </patternFill>
              </fill>
            </x14:dxf>
          </x14:cfRule>
          <x14:cfRule type="expression" priority="124" id="{35EF950E-B3D6-5B4E-A983-C4D4B3B3D153}">
            <xm:f>COUNTIF(役職一覧!$J:$J,$B2)=1</xm:f>
            <x14:dxf>
              <fill>
                <patternFill>
                  <bgColor rgb="FF7FCAFF"/>
                </patternFill>
              </fill>
            </x14:dxf>
          </x14:cfRule>
          <x14:cfRule type="expression" priority="125" id="{2AFF768E-8BDE-344A-9CC6-E9358C6A11AA}">
            <xm:f>COUNTIF(役職一覧!$I:$I,$B2)=1</xm:f>
            <x14:dxf>
              <fill>
                <patternFill>
                  <bgColor rgb="FF95FF6C"/>
                </patternFill>
              </fill>
            </x14:dxf>
          </x14:cfRule>
          <x14:cfRule type="expression" priority="126" id="{9A9D20B4-3243-8449-A1A9-18AB6BEBFBB8}">
            <xm:f>COUNTIF(役職一覧!$H:$H,$B2)=1</xm:f>
            <x14:dxf>
              <fill>
                <patternFill>
                  <bgColor rgb="FFFFF690"/>
                </patternFill>
              </fill>
            </x14:dxf>
          </x14:cfRule>
          <x14:cfRule type="expression" priority="127" id="{7E63E16C-0CEA-0049-91D2-0D31459B2718}">
            <xm:f>COUNTIF(役職一覧!$G:$G,$B2)=1</xm:f>
            <x14:dxf>
              <fill>
                <patternFill>
                  <bgColor rgb="FFFFD965"/>
                </patternFill>
              </fill>
            </x14:dxf>
          </x14:cfRule>
          <x14:cfRule type="expression" priority="128" id="{30D81371-27C0-2F46-B041-F190D9D4BB71}">
            <xm:f>COUNTIF(役職一覧!$F:$F,$B2)=1</xm:f>
            <x14:dxf>
              <fill>
                <patternFill>
                  <bgColor rgb="FFFFC7CE"/>
                </patternFill>
              </fill>
            </x14:dxf>
          </x14:cfRule>
          <xm:sqref>B2:BH31</xm:sqref>
        </x14:conditionalFormatting>
        <x14:conditionalFormatting xmlns:xm="http://schemas.microsoft.com/office/excel/2006/main">
          <x14:cfRule type="expression" priority="16" id="{22460168-6EB1-EC4F-9B2D-FB6CEF478183}">
            <xm:f>時間希望調査!E2="x"</xm:f>
            <x14:dxf>
              <font>
                <b/>
                <i val="0"/>
                <color theme="9"/>
              </font>
              <fill>
                <patternFill>
                  <bgColor theme="1" tint="4.9989318521683403E-2"/>
                </patternFill>
              </fill>
            </x14:dxf>
          </x14:cfRule>
          <x14:cfRule type="expression" priority="18" id="{43F082D7-6080-004E-AC73-42C8EB35AE78}">
            <xm:f>COUNTIF(役職一覧!$K:$K,D32)=1</xm:f>
            <x14:dxf>
              <fill>
                <patternFill>
                  <bgColor rgb="FFE1B9FF"/>
                </patternFill>
              </fill>
            </x14:dxf>
          </x14:cfRule>
          <x14:cfRule type="expression" priority="19" id="{3F8B033E-0F08-D748-AE61-91DA0E84C0B1}">
            <xm:f>COUNTIF(役職一覧!$J:$J,D32)=1</xm:f>
            <x14:dxf>
              <fill>
                <patternFill>
                  <bgColor rgb="FF7FCAFF"/>
                </patternFill>
              </fill>
            </x14:dxf>
          </x14:cfRule>
          <x14:cfRule type="expression" priority="20" id="{63580684-1894-534A-AC1E-33457AAAE8C4}">
            <xm:f>COUNTIF(役職一覧!$I:$I,D32)=1</xm:f>
            <x14:dxf>
              <fill>
                <patternFill>
                  <bgColor rgb="FF95FF6C"/>
                </patternFill>
              </fill>
            </x14:dxf>
          </x14:cfRule>
          <x14:cfRule type="expression" priority="21" id="{AA53F354-8A1B-114E-8309-94AAB77F0C05}">
            <xm:f>COUNTIF(役職一覧!$H:$H,D32)=1</xm:f>
            <x14:dxf>
              <fill>
                <patternFill>
                  <bgColor rgb="FFFFF690"/>
                </patternFill>
              </fill>
            </x14:dxf>
          </x14:cfRule>
          <x14:cfRule type="expression" priority="22" id="{3C8B42D3-B9D4-2A4B-ABEF-D4D340A0EA73}">
            <xm:f>COUNTIF(役職一覧!$G:$G,D32)=1</xm:f>
            <x14:dxf>
              <fill>
                <patternFill>
                  <bgColor rgb="FFFFD965"/>
                </patternFill>
              </fill>
            </x14:dxf>
          </x14:cfRule>
          <x14:cfRule type="expression" priority="23" id="{57C4E4B5-A380-384B-923D-8FF17C21282F}">
            <xm:f>COUNTIF(役職一覧!$F:$F,D32)=1</xm:f>
            <x14:dxf>
              <fill>
                <patternFill>
                  <bgColor rgb="FFFFC7CE"/>
                </patternFill>
              </fill>
            </x14:dxf>
          </x14:cfRule>
          <x14:cfRule type="expression" priority="24" id="{6A792184-3F68-5B43-974A-7099F9541036}">
            <xm:f>時間希望調査!E2="?"</xm:f>
            <x14:dxf>
              <font>
                <b val="0"/>
                <i/>
                <strike/>
                <color auto="1"/>
              </font>
              <fill>
                <patternFill>
                  <bgColor theme="0" tint="-0.499984740745262"/>
                </patternFill>
              </fill>
            </x14:dxf>
          </x14:cfRule>
          <xm:sqref>D32:BB314</xm:sqref>
        </x14:conditionalFormatting>
        <x14:conditionalFormatting xmlns:xm="http://schemas.microsoft.com/office/excel/2006/main">
          <x14:cfRule type="expression" priority="137" id="{22460168-6EB1-EC4F-9B2D-FB6CEF478183}">
            <xm:f>時間希望調査!BC2="x"</xm:f>
            <x14:dxf>
              <font>
                <b/>
                <i val="0"/>
                <color theme="9"/>
              </font>
              <fill>
                <patternFill>
                  <bgColor theme="1" tint="4.9989318521683403E-2"/>
                </patternFill>
              </fill>
            </x14:dxf>
          </x14:cfRule>
          <x14:cfRule type="expression" priority="138" id="{43F082D7-6080-004E-AC73-42C8EB35AE78}">
            <xm:f>COUNTIF(役職一覧!$K:$K,BC32)=1</xm:f>
            <x14:dxf>
              <fill>
                <patternFill>
                  <bgColor rgb="FFE1B9FF"/>
                </patternFill>
              </fill>
            </x14:dxf>
          </x14:cfRule>
          <x14:cfRule type="expression" priority="139" id="{3F8B033E-0F08-D748-AE61-91DA0E84C0B1}">
            <xm:f>COUNTIF(役職一覧!$J:$J,BC32)=1</xm:f>
            <x14:dxf>
              <fill>
                <patternFill>
                  <bgColor rgb="FF7FCAFF"/>
                </patternFill>
              </fill>
            </x14:dxf>
          </x14:cfRule>
          <x14:cfRule type="expression" priority="140" id="{63580684-1894-534A-AC1E-33457AAAE8C4}">
            <xm:f>COUNTIF(役職一覧!$I:$I,BC32)=1</xm:f>
            <x14:dxf>
              <fill>
                <patternFill>
                  <bgColor rgb="FF95FF6C"/>
                </patternFill>
              </fill>
            </x14:dxf>
          </x14:cfRule>
          <x14:cfRule type="expression" priority="141" id="{AA53F354-8A1B-114E-8309-94AAB77F0C05}">
            <xm:f>COUNTIF(役職一覧!$H:$H,BC32)=1</xm:f>
            <x14:dxf>
              <fill>
                <patternFill>
                  <bgColor rgb="FFFFF690"/>
                </patternFill>
              </fill>
            </x14:dxf>
          </x14:cfRule>
          <x14:cfRule type="expression" priority="142" id="{3C8B42D3-B9D4-2A4B-ABEF-D4D340A0EA73}">
            <xm:f>COUNTIF(役職一覧!$G:$G,BC32)=1</xm:f>
            <x14:dxf>
              <fill>
                <patternFill>
                  <bgColor rgb="FFFFD965"/>
                </patternFill>
              </fill>
            </x14:dxf>
          </x14:cfRule>
          <x14:cfRule type="expression" priority="143" id="{57C4E4B5-A380-384B-923D-8FF17C21282F}">
            <xm:f>COUNTIF(役職一覧!$F:$F,BC32)=1</xm:f>
            <x14:dxf>
              <fill>
                <patternFill>
                  <bgColor rgb="FFFFC7CE"/>
                </patternFill>
              </fill>
            </x14:dxf>
          </x14:cfRule>
          <x14:cfRule type="expression" priority="144" id="{6A792184-3F68-5B43-974A-7099F9541036}">
            <xm:f>時間希望調査!BC2="?"</xm:f>
            <x14:dxf>
              <font>
                <b val="0"/>
                <i/>
                <strike/>
                <color auto="1"/>
              </font>
              <fill>
                <patternFill>
                  <bgColor theme="0" tint="-0.499984740745262"/>
                </patternFill>
              </fill>
            </x14:dxf>
          </x14:cfRule>
          <xm:sqref>BC32:BC314</xm:sqref>
        </x14:conditionalFormatting>
        <x14:conditionalFormatting xmlns:xm="http://schemas.microsoft.com/office/excel/2006/main">
          <x14:cfRule type="expression" priority="8" id="{7C70844F-4230-DB41-BE8B-3D25F0693CB9}">
            <xm:f>COUNTIF(役職一覧!$K:$K,BD32)=1</xm:f>
            <x14:dxf>
              <fill>
                <patternFill>
                  <bgColor rgb="FFE1B9FF"/>
                </patternFill>
              </fill>
            </x14:dxf>
          </x14:cfRule>
          <x14:cfRule type="expression" priority="9" id="{95EEE267-9A9B-D24B-93B2-476876E57142}">
            <xm:f>COUNTIF(役職一覧!$J:$J,BD32)=1</xm:f>
            <x14:dxf>
              <fill>
                <patternFill>
                  <bgColor rgb="FF7FCAFF"/>
                </patternFill>
              </fill>
            </x14:dxf>
          </x14:cfRule>
          <x14:cfRule type="expression" priority="10" id="{54B8F3C8-7D36-F441-82E0-FB44DE0DD3A5}">
            <xm:f>COUNTIF(役職一覧!$I:$I,BD32)=1</xm:f>
            <x14:dxf>
              <fill>
                <patternFill>
                  <bgColor rgb="FF95FF6C"/>
                </patternFill>
              </fill>
            </x14:dxf>
          </x14:cfRule>
          <x14:cfRule type="expression" priority="11" id="{2CE915BC-B23F-2E45-948C-CE1FC211F958}">
            <xm:f>COUNTIF(役職一覧!$H:$H,BD32)=1</xm:f>
            <x14:dxf>
              <fill>
                <patternFill>
                  <bgColor rgb="FFFFF690"/>
                </patternFill>
              </fill>
            </x14:dxf>
          </x14:cfRule>
          <x14:cfRule type="expression" priority="12" id="{A44EEB63-72F3-374C-B364-0611F9E7A3D3}">
            <xm:f>COUNTIF(役職一覧!$G:$G,BD32)=1</xm:f>
            <x14:dxf>
              <fill>
                <patternFill>
                  <bgColor rgb="FFFFD965"/>
                </patternFill>
              </fill>
            </x14:dxf>
          </x14:cfRule>
          <x14:cfRule type="expression" priority="13" id="{64A36A5F-0B98-1642-9DB0-1AF338395FC9}">
            <xm:f>COUNTIF(役職一覧!$F:$F,BD32)=1</xm:f>
            <x14:dxf>
              <fill>
                <patternFill>
                  <bgColor rgb="FFFFC7CE"/>
                </patternFill>
              </fill>
            </x14:dxf>
          </x14:cfRule>
          <xm:sqref>BD32:BH199</xm:sqref>
        </x14:conditionalFormatting>
        <x14:conditionalFormatting xmlns:xm="http://schemas.microsoft.com/office/excel/2006/main">
          <x14:cfRule type="expression" priority="2" id="{086A87CF-60D1-2E45-8CFE-B132C7FFEC01}">
            <xm:f>COUNTIF(役職一覧!$K:$K,BI$1)=1</xm:f>
            <x14:dxf>
              <fill>
                <patternFill>
                  <bgColor rgb="FFE1B9FF"/>
                </patternFill>
              </fill>
            </x14:dxf>
          </x14:cfRule>
          <x14:cfRule type="expression" priority="3" id="{0AF35C4A-21C5-2442-B2F0-D22837C90288}">
            <xm:f>COUNTIF(役職一覧!$J:$J,BI$1)=1</xm:f>
            <x14:dxf>
              <fill>
                <patternFill>
                  <bgColor rgb="FF7FCAFF"/>
                </patternFill>
              </fill>
            </x14:dxf>
          </x14:cfRule>
          <x14:cfRule type="expression" priority="4" id="{E739ACF2-8520-A041-AF95-F8F4DABE4084}">
            <xm:f>COUNTIF(役職一覧!$I:$I,BI$1)=1</xm:f>
            <x14:dxf>
              <fill>
                <patternFill>
                  <bgColor rgb="FF95FF6C"/>
                </patternFill>
              </fill>
            </x14:dxf>
          </x14:cfRule>
          <x14:cfRule type="expression" priority="5" id="{4BE72DAD-B5DB-F242-8F75-A9F9E7486E9E}">
            <xm:f>COUNTIF(役職一覧!$H:$H,BI$1)=1</xm:f>
            <x14:dxf>
              <fill>
                <patternFill>
                  <bgColor rgb="FFFFF690"/>
                </patternFill>
              </fill>
            </x14:dxf>
          </x14:cfRule>
          <x14:cfRule type="expression" priority="6" id="{517A2679-4841-304F-8466-CBA226943B91}">
            <xm:f>COUNTIF(役職一覧!$G:$G,BI$1)=1</xm:f>
            <x14:dxf>
              <fill>
                <patternFill>
                  <bgColor rgb="FFFFD965"/>
                </patternFill>
              </fill>
            </x14:dxf>
          </x14:cfRule>
          <x14:cfRule type="expression" priority="7" id="{71E97FF2-E259-124E-914A-7B10485B6A4F}">
            <xm:f>COUNTIF(役職一覧!$F:$F,BI$1)=1</xm:f>
            <x14:dxf>
              <fill>
                <patternFill>
                  <bgColor rgb="FFFFC7CE"/>
                </patternFill>
              </fill>
            </x14:dxf>
          </x14:cfRule>
          <xm:sqref>BI1:CL1048576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8A9FF0-D26E-1D43-962D-788A73C84E52}">
          <x14:formula1>
            <xm:f>役職一覧!$B$2:$B$31</xm:f>
          </x14:formula1>
          <xm:sqref>E200:BA314 D32:BA199</xm:sqref>
        </x14:dataValidation>
        <x14:dataValidation type="list" allowBlank="1" showInputMessage="1" showErrorMessage="1" errorTitle="無効な値です" xr:uid="{5B8CEC2C-3333-1D47-86BA-FC39E80DF650}">
          <x14:formula1>
            <xm:f>役職一覧!$B$2:$B$31</xm:f>
          </x14:formula1>
          <xm:sqref>D1:D31 D200:D1048576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5EC5-964B-2D45-BF99-B92CAB06A4A3}">
  <sheetPr codeName="Command"/>
  <dimension ref="B2:B3"/>
  <sheetViews>
    <sheetView tabSelected="1" workbookViewId="0">
      <selection activeCell="B7" sqref="B7"/>
    </sheetView>
  </sheetViews>
  <sheetFormatPr baseColWidth="10" defaultRowHeight="20"/>
  <cols>
    <col min="1" max="1" width="10.7109375" style="1"/>
    <col min="2" max="2" width="136.5703125" style="1" customWidth="1"/>
    <col min="3" max="16384" width="10.7109375" style="1"/>
  </cols>
  <sheetData>
    <row r="2" spans="2:2" ht="25">
      <c r="B2" s="13" t="s">
        <v>79</v>
      </c>
    </row>
    <row r="3" spans="2:2" ht="25">
      <c r="B3" s="13" t="s">
        <v>80</v>
      </c>
    </row>
  </sheetData>
  <sheetProtection sheet="1" selectLockedCells="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シフト組み_非表示更新">
                <anchor moveWithCells="1" sizeWithCells="1">
                  <from>
                    <xdr:col>1</xdr:col>
                    <xdr:colOff>0</xdr:colOff>
                    <xdr:row>5</xdr:row>
                    <xdr:rowOff>0</xdr:rowOff>
                  </from>
                  <to>
                    <xdr:col>1</xdr:col>
                    <xdr:colOff>1371600</xdr:colOff>
                    <xdr:row>6</xdr:row>
                    <xdr:rowOff>127000</xdr:rowOff>
                  </to>
                </anchor>
              </controlPr>
            </control>
          </mc:Choice>
        </mc:AlternateContent>
        <mc:AlternateContent xmlns:mc="http://schemas.openxmlformats.org/markup-compatibility/2006">
          <mc:Choice Requires="x14">
            <control shapeId="10243" r:id="rId4" name="Button 3">
              <controlPr defaultSize="0" print="0" autoFill="0" autoPict="0" macro="[0]!Share1_export">
                <anchor moveWithCells="1" sizeWithCells="1">
                  <from>
                    <xdr:col>1</xdr:col>
                    <xdr:colOff>1905000</xdr:colOff>
                    <xdr:row>5</xdr:row>
                    <xdr:rowOff>12700</xdr:rowOff>
                  </from>
                  <to>
                    <xdr:col>1</xdr:col>
                    <xdr:colOff>4165600</xdr:colOff>
                    <xdr:row>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39B6B-6F7C-DA4F-9289-AD093EFB24DD}">
  <sheetPr codeName="Share1"/>
  <dimension ref="A1:BA169"/>
  <sheetViews>
    <sheetView zoomScale="101" workbookViewId="0">
      <selection sqref="A1:BA169"/>
    </sheetView>
  </sheetViews>
  <sheetFormatPr baseColWidth="10" defaultRowHeight="20"/>
  <cols>
    <col min="1" max="1" width="5.7109375" style="1" customWidth="1"/>
    <col min="2" max="2" width="10.7109375" style="1"/>
    <col min="3" max="3" width="20.85546875" style="1" customWidth="1"/>
    <col min="4" max="53" width="6.85546875" style="1" customWidth="1"/>
    <col min="54" max="16384" width="10.7109375" style="1"/>
  </cols>
  <sheetData>
    <row r="1" spans="1:53">
      <c r="A1" s="2" t="s">
        <v>86</v>
      </c>
      <c r="B1" s="2" t="s">
        <v>16</v>
      </c>
      <c r="C1" s="2" t="s">
        <v>2</v>
      </c>
      <c r="D1" s="2" t="str">
        <f>シフト組み!D1&amp;""</f>
        <v>10:00</v>
      </c>
      <c r="E1" s="2" t="str">
        <f>シフト組み!E1&amp;""</f>
        <v>10:30</v>
      </c>
      <c r="F1" s="2" t="str">
        <f>シフト組み!F1&amp;""</f>
        <v>11:00</v>
      </c>
      <c r="G1" s="2" t="str">
        <f>シフト組み!G1&amp;""</f>
        <v>11:30</v>
      </c>
      <c r="H1" s="2" t="str">
        <f>シフト組み!H1&amp;""</f>
        <v>12:00</v>
      </c>
      <c r="I1" s="2" t="str">
        <f>シフト組み!I1&amp;""</f>
        <v>12:30</v>
      </c>
      <c r="J1" s="2" t="str">
        <f>シフト組み!J1&amp;""</f>
        <v>13:00</v>
      </c>
      <c r="K1" s="2" t="str">
        <f>シフト組み!K1&amp;""</f>
        <v>13:30</v>
      </c>
      <c r="L1" s="2" t="str">
        <f>シフト組み!L1&amp;""</f>
        <v>14:00</v>
      </c>
      <c r="M1" s="2" t="str">
        <f>シフト組み!M1&amp;""</f>
        <v/>
      </c>
      <c r="N1" s="2" t="str">
        <f>シフト組み!N1&amp;""</f>
        <v/>
      </c>
      <c r="O1" s="2" t="str">
        <f>シフト組み!O1&amp;""</f>
        <v/>
      </c>
      <c r="P1" s="2" t="str">
        <f>シフト組み!P1&amp;""</f>
        <v/>
      </c>
      <c r="Q1" s="2" t="str">
        <f>シフト組み!Q1&amp;""</f>
        <v/>
      </c>
      <c r="R1" s="2" t="str">
        <f>シフト組み!R1&amp;""</f>
        <v/>
      </c>
      <c r="S1" s="2" t="str">
        <f>シフト組み!S1&amp;""</f>
        <v/>
      </c>
      <c r="T1" s="2" t="str">
        <f>シフト組み!T1&amp;""</f>
        <v/>
      </c>
      <c r="U1" s="2" t="str">
        <f>シフト組み!U1&amp;""</f>
        <v/>
      </c>
      <c r="V1" s="2" t="str">
        <f>シフト組み!V1&amp;""</f>
        <v/>
      </c>
      <c r="W1" s="2" t="str">
        <f>シフト組み!W1&amp;""</f>
        <v/>
      </c>
      <c r="X1" s="2" t="str">
        <f>シフト組み!X1&amp;""</f>
        <v/>
      </c>
      <c r="Y1" s="2" t="str">
        <f>シフト組み!Y1&amp;""</f>
        <v/>
      </c>
      <c r="Z1" s="2" t="str">
        <f>シフト組み!Z1&amp;""</f>
        <v/>
      </c>
      <c r="AA1" s="2" t="str">
        <f>シフト組み!AA1&amp;""</f>
        <v/>
      </c>
      <c r="AB1" s="2" t="str">
        <f>シフト組み!AB1&amp;""</f>
        <v/>
      </c>
      <c r="AC1" s="2" t="str">
        <f>シフト組み!AC1&amp;""</f>
        <v/>
      </c>
      <c r="AD1" s="2" t="str">
        <f>シフト組み!AD1&amp;""</f>
        <v/>
      </c>
      <c r="AE1" s="2" t="str">
        <f>シフト組み!AE1&amp;""</f>
        <v/>
      </c>
      <c r="AF1" s="2" t="str">
        <f>シフト組み!AF1&amp;""</f>
        <v/>
      </c>
      <c r="AG1" s="2" t="str">
        <f>シフト組み!AG1&amp;""</f>
        <v/>
      </c>
      <c r="AH1" s="2" t="str">
        <f>シフト組み!AH1&amp;""</f>
        <v/>
      </c>
      <c r="AI1" s="2" t="str">
        <f>シフト組み!AI1&amp;""</f>
        <v/>
      </c>
      <c r="AJ1" s="2" t="str">
        <f>シフト組み!AJ1&amp;""</f>
        <v/>
      </c>
      <c r="AK1" s="2" t="str">
        <f>シフト組み!AK1&amp;""</f>
        <v/>
      </c>
      <c r="AL1" s="2" t="str">
        <f>シフト組み!AL1&amp;""</f>
        <v/>
      </c>
      <c r="AM1" s="2" t="str">
        <f>シフト組み!AM1&amp;""</f>
        <v/>
      </c>
      <c r="AN1" s="2" t="str">
        <f>シフト組み!AN1&amp;""</f>
        <v/>
      </c>
      <c r="AO1" s="2" t="str">
        <f>シフト組み!AO1&amp;""</f>
        <v/>
      </c>
      <c r="AP1" s="2" t="str">
        <f>シフト組み!AP1&amp;""</f>
        <v/>
      </c>
      <c r="AQ1" s="2" t="str">
        <f>シフト組み!AQ1&amp;""</f>
        <v/>
      </c>
      <c r="AR1" s="2" t="str">
        <f>シフト組み!AR1&amp;""</f>
        <v/>
      </c>
      <c r="AS1" s="2" t="str">
        <f>シフト組み!AS1&amp;""</f>
        <v/>
      </c>
      <c r="AT1" s="2" t="str">
        <f>シフト組み!AT1&amp;""</f>
        <v/>
      </c>
      <c r="AU1" s="2" t="str">
        <f>シフト組み!AU1&amp;""</f>
        <v/>
      </c>
      <c r="AV1" s="2" t="str">
        <f>シフト組み!AV1&amp;""</f>
        <v/>
      </c>
      <c r="AW1" s="2" t="str">
        <f>シフト組み!AW1&amp;""</f>
        <v/>
      </c>
      <c r="AX1" s="2" t="str">
        <f>シフト組み!AX1&amp;""</f>
        <v/>
      </c>
      <c r="AY1" s="2" t="str">
        <f>シフト組み!AY1&amp;""</f>
        <v/>
      </c>
      <c r="AZ1" s="2" t="str">
        <f>シフト組み!AZ1&amp;""</f>
        <v/>
      </c>
      <c r="BA1" s="2" t="str">
        <f>シフト組み!BA1&amp;""</f>
        <v/>
      </c>
    </row>
    <row r="2" spans="1:53">
      <c r="A2" s="2" t="str">
        <f>シフト組み!A32&amp;""</f>
        <v>1</v>
      </c>
      <c r="B2" s="2" t="str">
        <f>シフト組み!B32&amp;""</f>
        <v/>
      </c>
      <c r="C2" s="2" t="str">
        <f>シフト組み!C32&amp;""</f>
        <v>キズナアイ</v>
      </c>
      <c r="D2" s="17" t="str">
        <f>IFERROR(VLOOKUP(シフト組み!D32,役職一覧!$B:$D,2,FALSE),"")</f>
        <v>え</v>
      </c>
      <c r="E2" s="17" t="str">
        <f>IFERROR(VLOOKUP(シフト組み!E32,役職一覧!$B:$D,2,FALSE),"")</f>
        <v/>
      </c>
      <c r="F2" s="17" t="str">
        <f>IFERROR(VLOOKUP(シフト組み!F32,役職一覧!$B:$D,2,FALSE),"")</f>
        <v/>
      </c>
      <c r="G2" s="17" t="str">
        <f>IFERROR(VLOOKUP(シフト組み!G32,役職一覧!$B:$D,2,FALSE),"")</f>
        <v/>
      </c>
      <c r="H2" s="17" t="str">
        <f>IFERROR(VLOOKUP(シフト組み!H32,役職一覧!$B:$D,2,FALSE),"")</f>
        <v/>
      </c>
      <c r="I2" s="17" t="str">
        <f>IFERROR(VLOOKUP(シフト組み!I32,役職一覧!$B:$D,2,FALSE),"")</f>
        <v/>
      </c>
      <c r="J2" s="17" t="str">
        <f>IFERROR(VLOOKUP(シフト組み!J32,役職一覧!$B:$D,2,FALSE),"")</f>
        <v/>
      </c>
      <c r="K2" s="17" t="str">
        <f>IFERROR(VLOOKUP(シフト組み!K32,役職一覧!$B:$D,2,FALSE),"")</f>
        <v/>
      </c>
      <c r="L2" s="17" t="str">
        <f>IFERROR(VLOOKUP(シフト組み!L32,役職一覧!$B:$D,2,FALSE),"")</f>
        <v/>
      </c>
      <c r="M2" s="17" t="str">
        <f>IFERROR(VLOOKUP(シフト組み!M32,役職一覧!$B:$D,2,FALSE),"")</f>
        <v/>
      </c>
      <c r="N2" s="17" t="str">
        <f>IFERROR(VLOOKUP(シフト組み!N32,役職一覧!$B:$D,2,FALSE),"")</f>
        <v/>
      </c>
      <c r="O2" s="17" t="str">
        <f>IFERROR(VLOOKUP(シフト組み!O32,役職一覧!$B:$D,2,FALSE),"")</f>
        <v/>
      </c>
      <c r="P2" s="17" t="str">
        <f>IFERROR(VLOOKUP(シフト組み!P32,役職一覧!$B:$D,2,FALSE),"")</f>
        <v/>
      </c>
      <c r="Q2" s="17" t="str">
        <f>IFERROR(VLOOKUP(シフト組み!Q32,役職一覧!$B:$D,2,FALSE),"")</f>
        <v/>
      </c>
      <c r="R2" s="17" t="str">
        <f>IFERROR(VLOOKUP(シフト組み!R32,役職一覧!$B:$D,2,FALSE),"")</f>
        <v/>
      </c>
      <c r="S2" s="17" t="str">
        <f>IFERROR(VLOOKUP(シフト組み!S32,役職一覧!$B:$D,2,FALSE),"")</f>
        <v/>
      </c>
      <c r="T2" s="17" t="str">
        <f>IFERROR(VLOOKUP(シフト組み!T32,役職一覧!$B:$D,2,FALSE),"")</f>
        <v/>
      </c>
      <c r="U2" s="17" t="str">
        <f>IFERROR(VLOOKUP(シフト組み!U32,役職一覧!$B:$D,2,FALSE),"")</f>
        <v/>
      </c>
      <c r="V2" s="17" t="str">
        <f>IFERROR(VLOOKUP(シフト組み!V32,役職一覧!$B:$D,2,FALSE),"")</f>
        <v/>
      </c>
      <c r="W2" s="17" t="str">
        <f>IFERROR(VLOOKUP(シフト組み!W32,役職一覧!$B:$D,2,FALSE),"")</f>
        <v/>
      </c>
      <c r="X2" s="17" t="str">
        <f>IFERROR(VLOOKUP(シフト組み!X32,役職一覧!$B:$D,2,FALSE),"")</f>
        <v/>
      </c>
      <c r="Y2" s="17" t="str">
        <f>IFERROR(VLOOKUP(シフト組み!Y32,役職一覧!$B:$D,2,FALSE),"")</f>
        <v/>
      </c>
      <c r="Z2" s="17" t="str">
        <f>IFERROR(VLOOKUP(シフト組み!Z32,役職一覧!$B:$D,2,FALSE),"")</f>
        <v/>
      </c>
      <c r="AA2" s="17" t="str">
        <f>IFERROR(VLOOKUP(シフト組み!AA32,役職一覧!$B:$D,2,FALSE),"")</f>
        <v/>
      </c>
      <c r="AB2" s="17" t="str">
        <f>IFERROR(VLOOKUP(シフト組み!AB32,役職一覧!$B:$D,2,FALSE),"")</f>
        <v/>
      </c>
      <c r="AC2" s="17" t="str">
        <f>IFERROR(VLOOKUP(シフト組み!AC32,役職一覧!$B:$D,2,FALSE),"")</f>
        <v/>
      </c>
      <c r="AD2" s="17" t="str">
        <f>IFERROR(VLOOKUP(シフト組み!AD32,役職一覧!$B:$D,2,FALSE),"")</f>
        <v/>
      </c>
      <c r="AE2" s="17" t="str">
        <f>IFERROR(VLOOKUP(シフト組み!AE32,役職一覧!$B:$D,2,FALSE),"")</f>
        <v/>
      </c>
      <c r="AF2" s="17" t="str">
        <f>IFERROR(VLOOKUP(シフト組み!AF32,役職一覧!$B:$D,2,FALSE),"")</f>
        <v/>
      </c>
      <c r="AG2" s="17" t="str">
        <f>IFERROR(VLOOKUP(シフト組み!AG32,役職一覧!$B:$D,2,FALSE),"")</f>
        <v/>
      </c>
      <c r="AH2" s="17" t="str">
        <f>IFERROR(VLOOKUP(シフト組み!AH32,役職一覧!$B:$D,2,FALSE),"")</f>
        <v/>
      </c>
      <c r="AI2" s="17" t="str">
        <f>IFERROR(VLOOKUP(シフト組み!AI32,役職一覧!$B:$D,2,FALSE),"")</f>
        <v/>
      </c>
      <c r="AJ2" s="17" t="str">
        <f>IFERROR(VLOOKUP(シフト組み!AJ32,役職一覧!$B:$D,2,FALSE),"")</f>
        <v/>
      </c>
      <c r="AK2" s="17" t="str">
        <f>IFERROR(VLOOKUP(シフト組み!AK32,役職一覧!$B:$D,2,FALSE),"")</f>
        <v/>
      </c>
      <c r="AL2" s="17" t="str">
        <f>IFERROR(VLOOKUP(シフト組み!AL32,役職一覧!$B:$D,2,FALSE),"")</f>
        <v/>
      </c>
      <c r="AM2" s="17" t="str">
        <f>IFERROR(VLOOKUP(シフト組み!AM32,役職一覧!$B:$D,2,FALSE),"")</f>
        <v/>
      </c>
      <c r="AN2" s="17" t="str">
        <f>IFERROR(VLOOKUP(シフト組み!AN32,役職一覧!$B:$D,2,FALSE),"")</f>
        <v/>
      </c>
      <c r="AO2" s="17" t="str">
        <f>IFERROR(VLOOKUP(シフト組み!AO32,役職一覧!$B:$D,2,FALSE),"")</f>
        <v/>
      </c>
      <c r="AP2" s="17" t="str">
        <f>IFERROR(VLOOKUP(シフト組み!AP32,役職一覧!$B:$D,2,FALSE),"")</f>
        <v/>
      </c>
      <c r="AQ2" s="17" t="str">
        <f>IFERROR(VLOOKUP(シフト組み!AQ32,役職一覧!$B:$D,2,FALSE),"")</f>
        <v/>
      </c>
      <c r="AR2" s="17" t="str">
        <f>IFERROR(VLOOKUP(シフト組み!AR32,役職一覧!$B:$D,2,FALSE),"")</f>
        <v/>
      </c>
      <c r="AS2" s="17" t="str">
        <f>IFERROR(VLOOKUP(シフト組み!AS32,役職一覧!$B:$D,2,FALSE),"")</f>
        <v/>
      </c>
      <c r="AT2" s="17" t="str">
        <f>IFERROR(VLOOKUP(シフト組み!AT32,役職一覧!$B:$D,2,FALSE),"")</f>
        <v/>
      </c>
      <c r="AU2" s="17" t="str">
        <f>IFERROR(VLOOKUP(シフト組み!AU32,役職一覧!$B:$D,2,FALSE),"")</f>
        <v/>
      </c>
      <c r="AV2" s="17" t="str">
        <f>IFERROR(VLOOKUP(シフト組み!AV32,役職一覧!$B:$D,2,FALSE),"")</f>
        <v/>
      </c>
      <c r="AW2" s="17" t="str">
        <f>IFERROR(VLOOKUP(シフト組み!AW32,役職一覧!$B:$D,2,FALSE),"")</f>
        <v/>
      </c>
      <c r="AX2" s="17" t="str">
        <f>IFERROR(VLOOKUP(シフト組み!AX32,役職一覧!$B:$D,2,FALSE),"")</f>
        <v/>
      </c>
      <c r="AY2" s="17" t="str">
        <f>IFERROR(VLOOKUP(シフト組み!AY32,役職一覧!$B:$D,2,FALSE),"")</f>
        <v/>
      </c>
      <c r="AZ2" s="17" t="str">
        <f>IFERROR(VLOOKUP(シフト組み!AZ32,役職一覧!$B:$D,2,FALSE),"")</f>
        <v/>
      </c>
      <c r="BA2" s="17" t="str">
        <f>IFERROR(VLOOKUP(シフト組み!BA32,役職一覧!$B:$D,2,FALSE),"")</f>
        <v/>
      </c>
    </row>
    <row r="3" spans="1:53">
      <c r="A3" s="2" t="str">
        <f>シフト組み!A33&amp;""</f>
        <v>2</v>
      </c>
      <c r="B3" s="2" t="str">
        <f>シフト組み!B33&amp;""</f>
        <v/>
      </c>
      <c r="C3" s="2" t="str">
        <f>シフト組み!C33&amp;""</f>
        <v>輝夜月</v>
      </c>
      <c r="D3" s="17" t="str">
        <f>IFERROR(VLOOKUP(シフト組み!D33,役職一覧!$B:$D,2,FALSE),"")</f>
        <v/>
      </c>
      <c r="E3" s="17" t="str">
        <f>IFERROR(VLOOKUP(シフト組み!E33,役職一覧!$B:$D,2,FALSE),"")</f>
        <v/>
      </c>
      <c r="F3" s="17" t="str">
        <f>IFERROR(VLOOKUP(シフト組み!F33,役職一覧!$B:$D,2,FALSE),"")</f>
        <v/>
      </c>
      <c r="G3" s="17" t="str">
        <f>IFERROR(VLOOKUP(シフト組み!G33,役職一覧!$B:$D,2,FALSE),"")</f>
        <v/>
      </c>
      <c r="H3" s="17" t="str">
        <f>IFERROR(VLOOKUP(シフト組み!H33,役職一覧!$B:$D,2,FALSE),"")</f>
        <v/>
      </c>
      <c r="I3" s="17" t="str">
        <f>IFERROR(VLOOKUP(シフト組み!I33,役職一覧!$B:$D,2,FALSE),"")</f>
        <v/>
      </c>
      <c r="J3" s="17" t="str">
        <f>IFERROR(VLOOKUP(シフト組み!J33,役職一覧!$B:$D,2,FALSE),"")</f>
        <v/>
      </c>
      <c r="K3" s="17" t="str">
        <f>IFERROR(VLOOKUP(シフト組み!K33,役職一覧!$B:$D,2,FALSE),"")</f>
        <v/>
      </c>
      <c r="L3" s="17" t="str">
        <f>IFERROR(VLOOKUP(シフト組み!L33,役職一覧!$B:$D,2,FALSE),"")</f>
        <v/>
      </c>
      <c r="M3" s="17" t="str">
        <f>IFERROR(VLOOKUP(シフト組み!M33,役職一覧!$B:$D,2,FALSE),"")</f>
        <v/>
      </c>
      <c r="N3" s="17" t="str">
        <f>IFERROR(VLOOKUP(シフト組み!N33,役職一覧!$B:$D,2,FALSE),"")</f>
        <v/>
      </c>
      <c r="O3" s="17" t="str">
        <f>IFERROR(VLOOKUP(シフト組み!O33,役職一覧!$B:$D,2,FALSE),"")</f>
        <v/>
      </c>
      <c r="P3" s="17" t="str">
        <f>IFERROR(VLOOKUP(シフト組み!P33,役職一覧!$B:$D,2,FALSE),"")</f>
        <v/>
      </c>
      <c r="Q3" s="17" t="str">
        <f>IFERROR(VLOOKUP(シフト組み!Q33,役職一覧!$B:$D,2,FALSE),"")</f>
        <v/>
      </c>
      <c r="R3" s="17" t="str">
        <f>IFERROR(VLOOKUP(シフト組み!R33,役職一覧!$B:$D,2,FALSE),"")</f>
        <v/>
      </c>
      <c r="S3" s="17" t="str">
        <f>IFERROR(VLOOKUP(シフト組み!S33,役職一覧!$B:$D,2,FALSE),"")</f>
        <v/>
      </c>
      <c r="T3" s="17" t="str">
        <f>IFERROR(VLOOKUP(シフト組み!T33,役職一覧!$B:$D,2,FALSE),"")</f>
        <v/>
      </c>
      <c r="U3" s="17" t="str">
        <f>IFERROR(VLOOKUP(シフト組み!U33,役職一覧!$B:$D,2,FALSE),"")</f>
        <v/>
      </c>
      <c r="V3" s="17" t="str">
        <f>IFERROR(VLOOKUP(シフト組み!V33,役職一覧!$B:$D,2,FALSE),"")</f>
        <v/>
      </c>
      <c r="W3" s="17" t="str">
        <f>IFERROR(VLOOKUP(シフト組み!W33,役職一覧!$B:$D,2,FALSE),"")</f>
        <v/>
      </c>
      <c r="X3" s="17" t="str">
        <f>IFERROR(VLOOKUP(シフト組み!X33,役職一覧!$B:$D,2,FALSE),"")</f>
        <v/>
      </c>
      <c r="Y3" s="17" t="str">
        <f>IFERROR(VLOOKUP(シフト組み!Y33,役職一覧!$B:$D,2,FALSE),"")</f>
        <v/>
      </c>
      <c r="Z3" s="17" t="str">
        <f>IFERROR(VLOOKUP(シフト組み!Z33,役職一覧!$B:$D,2,FALSE),"")</f>
        <v/>
      </c>
      <c r="AA3" s="17" t="str">
        <f>IFERROR(VLOOKUP(シフト組み!AA33,役職一覧!$B:$D,2,FALSE),"")</f>
        <v/>
      </c>
      <c r="AB3" s="17" t="str">
        <f>IFERROR(VLOOKUP(シフト組み!AB33,役職一覧!$B:$D,2,FALSE),"")</f>
        <v/>
      </c>
      <c r="AC3" s="17" t="str">
        <f>IFERROR(VLOOKUP(シフト組み!AC33,役職一覧!$B:$D,2,FALSE),"")</f>
        <v/>
      </c>
      <c r="AD3" s="17" t="str">
        <f>IFERROR(VLOOKUP(シフト組み!AD33,役職一覧!$B:$D,2,FALSE),"")</f>
        <v/>
      </c>
      <c r="AE3" s="17" t="str">
        <f>IFERROR(VLOOKUP(シフト組み!AE33,役職一覧!$B:$D,2,FALSE),"")</f>
        <v/>
      </c>
      <c r="AF3" s="17" t="str">
        <f>IFERROR(VLOOKUP(シフト組み!AF33,役職一覧!$B:$D,2,FALSE),"")</f>
        <v/>
      </c>
      <c r="AG3" s="17" t="str">
        <f>IFERROR(VLOOKUP(シフト組み!AG33,役職一覧!$B:$D,2,FALSE),"")</f>
        <v/>
      </c>
      <c r="AH3" s="17" t="str">
        <f>IFERROR(VLOOKUP(シフト組み!AH33,役職一覧!$B:$D,2,FALSE),"")</f>
        <v/>
      </c>
      <c r="AI3" s="17" t="str">
        <f>IFERROR(VLOOKUP(シフト組み!AI33,役職一覧!$B:$D,2,FALSE),"")</f>
        <v/>
      </c>
      <c r="AJ3" s="17" t="str">
        <f>IFERROR(VLOOKUP(シフト組み!AJ33,役職一覧!$B:$D,2,FALSE),"")</f>
        <v/>
      </c>
      <c r="AK3" s="17" t="str">
        <f>IFERROR(VLOOKUP(シフト組み!AK33,役職一覧!$B:$D,2,FALSE),"")</f>
        <v/>
      </c>
      <c r="AL3" s="17" t="str">
        <f>IFERROR(VLOOKUP(シフト組み!AL33,役職一覧!$B:$D,2,FALSE),"")</f>
        <v/>
      </c>
      <c r="AM3" s="17" t="str">
        <f>IFERROR(VLOOKUP(シフト組み!AM33,役職一覧!$B:$D,2,FALSE),"")</f>
        <v/>
      </c>
      <c r="AN3" s="17" t="str">
        <f>IFERROR(VLOOKUP(シフト組み!AN33,役職一覧!$B:$D,2,FALSE),"")</f>
        <v/>
      </c>
      <c r="AO3" s="17" t="str">
        <f>IFERROR(VLOOKUP(シフト組み!AO33,役職一覧!$B:$D,2,FALSE),"")</f>
        <v/>
      </c>
      <c r="AP3" s="17" t="str">
        <f>IFERROR(VLOOKUP(シフト組み!AP33,役職一覧!$B:$D,2,FALSE),"")</f>
        <v/>
      </c>
      <c r="AQ3" s="17" t="str">
        <f>IFERROR(VLOOKUP(シフト組み!AQ33,役職一覧!$B:$D,2,FALSE),"")</f>
        <v/>
      </c>
      <c r="AR3" s="17" t="str">
        <f>IFERROR(VLOOKUP(シフト組み!AR33,役職一覧!$B:$D,2,FALSE),"")</f>
        <v/>
      </c>
      <c r="AS3" s="17" t="str">
        <f>IFERROR(VLOOKUP(シフト組み!AS33,役職一覧!$B:$D,2,FALSE),"")</f>
        <v/>
      </c>
      <c r="AT3" s="17" t="str">
        <f>IFERROR(VLOOKUP(シフト組み!AT33,役職一覧!$B:$D,2,FALSE),"")</f>
        <v/>
      </c>
      <c r="AU3" s="17" t="str">
        <f>IFERROR(VLOOKUP(シフト組み!AU33,役職一覧!$B:$D,2,FALSE),"")</f>
        <v/>
      </c>
      <c r="AV3" s="17" t="str">
        <f>IFERROR(VLOOKUP(シフト組み!AV33,役職一覧!$B:$D,2,FALSE),"")</f>
        <v/>
      </c>
      <c r="AW3" s="17" t="str">
        <f>IFERROR(VLOOKUP(シフト組み!AW33,役職一覧!$B:$D,2,FALSE),"")</f>
        <v/>
      </c>
      <c r="AX3" s="17" t="str">
        <f>IFERROR(VLOOKUP(シフト組み!AX33,役職一覧!$B:$D,2,FALSE),"")</f>
        <v/>
      </c>
      <c r="AY3" s="17" t="str">
        <f>IFERROR(VLOOKUP(シフト組み!AY33,役職一覧!$B:$D,2,FALSE),"")</f>
        <v/>
      </c>
      <c r="AZ3" s="17" t="str">
        <f>IFERROR(VLOOKUP(シフト組み!AZ33,役職一覧!$B:$D,2,FALSE),"")</f>
        <v/>
      </c>
      <c r="BA3" s="17" t="str">
        <f>IFERROR(VLOOKUP(シフト組み!BA33,役職一覧!$B:$D,2,FALSE),"")</f>
        <v/>
      </c>
    </row>
    <row r="4" spans="1:53">
      <c r="A4" s="2" t="str">
        <f>シフト組み!A34&amp;""</f>
        <v>3</v>
      </c>
      <c r="B4" s="2" t="str">
        <f>シフト組み!B34&amp;""</f>
        <v/>
      </c>
      <c r="C4" s="2" t="str">
        <f>シフト組み!C34&amp;""</f>
        <v>ときのそら</v>
      </c>
      <c r="D4" s="17" t="str">
        <f>IFERROR(VLOOKUP(シフト組み!D34,役職一覧!$B:$D,2,FALSE),"")</f>
        <v/>
      </c>
      <c r="E4" s="17" t="str">
        <f>IFERROR(VLOOKUP(シフト組み!E34,役職一覧!$B:$D,2,FALSE),"")</f>
        <v/>
      </c>
      <c r="F4" s="17" t="str">
        <f>IFERROR(VLOOKUP(シフト組み!F34,役職一覧!$B:$D,2,FALSE),"")</f>
        <v/>
      </c>
      <c r="G4" s="17" t="str">
        <f>IFERROR(VLOOKUP(シフト組み!G34,役職一覧!$B:$D,2,FALSE),"")</f>
        <v>あ</v>
      </c>
      <c r="H4" s="17" t="str">
        <f>IFERROR(VLOOKUP(シフト組み!H34,役職一覧!$B:$D,2,FALSE),"")</f>
        <v/>
      </c>
      <c r="I4" s="17" t="str">
        <f>IFERROR(VLOOKUP(シフト組み!I34,役職一覧!$B:$D,2,FALSE),"")</f>
        <v/>
      </c>
      <c r="J4" s="17" t="str">
        <f>IFERROR(VLOOKUP(シフト組み!J34,役職一覧!$B:$D,2,FALSE),"")</f>
        <v/>
      </c>
      <c r="K4" s="17" t="str">
        <f>IFERROR(VLOOKUP(シフト組み!K34,役職一覧!$B:$D,2,FALSE),"")</f>
        <v/>
      </c>
      <c r="L4" s="17" t="str">
        <f>IFERROR(VLOOKUP(シフト組み!L34,役職一覧!$B:$D,2,FALSE),"")</f>
        <v/>
      </c>
      <c r="M4" s="17" t="str">
        <f>IFERROR(VLOOKUP(シフト組み!M34,役職一覧!$B:$D,2,FALSE),"")</f>
        <v/>
      </c>
      <c r="N4" s="17" t="str">
        <f>IFERROR(VLOOKUP(シフト組み!N34,役職一覧!$B:$D,2,FALSE),"")</f>
        <v/>
      </c>
      <c r="O4" s="17" t="str">
        <f>IFERROR(VLOOKUP(シフト組み!O34,役職一覧!$B:$D,2,FALSE),"")</f>
        <v/>
      </c>
      <c r="P4" s="17" t="str">
        <f>IFERROR(VLOOKUP(シフト組み!P34,役職一覧!$B:$D,2,FALSE),"")</f>
        <v/>
      </c>
      <c r="Q4" s="17" t="str">
        <f>IFERROR(VLOOKUP(シフト組み!Q34,役職一覧!$B:$D,2,FALSE),"")</f>
        <v/>
      </c>
      <c r="R4" s="17" t="str">
        <f>IFERROR(VLOOKUP(シフト組み!R34,役職一覧!$B:$D,2,FALSE),"")</f>
        <v/>
      </c>
      <c r="S4" s="17" t="str">
        <f>IFERROR(VLOOKUP(シフト組み!S34,役職一覧!$B:$D,2,FALSE),"")</f>
        <v/>
      </c>
      <c r="T4" s="17" t="str">
        <f>IFERROR(VLOOKUP(シフト組み!T34,役職一覧!$B:$D,2,FALSE),"")</f>
        <v/>
      </c>
      <c r="U4" s="17" t="str">
        <f>IFERROR(VLOOKUP(シフト組み!U34,役職一覧!$B:$D,2,FALSE),"")</f>
        <v/>
      </c>
      <c r="V4" s="17" t="str">
        <f>IFERROR(VLOOKUP(シフト組み!V34,役職一覧!$B:$D,2,FALSE),"")</f>
        <v/>
      </c>
      <c r="W4" s="17" t="str">
        <f>IFERROR(VLOOKUP(シフト組み!W34,役職一覧!$B:$D,2,FALSE),"")</f>
        <v/>
      </c>
      <c r="X4" s="17" t="str">
        <f>IFERROR(VLOOKUP(シフト組み!X34,役職一覧!$B:$D,2,FALSE),"")</f>
        <v/>
      </c>
      <c r="Y4" s="17" t="str">
        <f>IFERROR(VLOOKUP(シフト組み!Y34,役職一覧!$B:$D,2,FALSE),"")</f>
        <v/>
      </c>
      <c r="Z4" s="17" t="str">
        <f>IFERROR(VLOOKUP(シフト組み!Z34,役職一覧!$B:$D,2,FALSE),"")</f>
        <v/>
      </c>
      <c r="AA4" s="17" t="str">
        <f>IFERROR(VLOOKUP(シフト組み!AA34,役職一覧!$B:$D,2,FALSE),"")</f>
        <v/>
      </c>
      <c r="AB4" s="17" t="str">
        <f>IFERROR(VLOOKUP(シフト組み!AB34,役職一覧!$B:$D,2,FALSE),"")</f>
        <v/>
      </c>
      <c r="AC4" s="17" t="str">
        <f>IFERROR(VLOOKUP(シフト組み!AC34,役職一覧!$B:$D,2,FALSE),"")</f>
        <v/>
      </c>
      <c r="AD4" s="17" t="str">
        <f>IFERROR(VLOOKUP(シフト組み!AD34,役職一覧!$B:$D,2,FALSE),"")</f>
        <v/>
      </c>
      <c r="AE4" s="17" t="str">
        <f>IFERROR(VLOOKUP(シフト組み!AE34,役職一覧!$B:$D,2,FALSE),"")</f>
        <v/>
      </c>
      <c r="AF4" s="17" t="str">
        <f>IFERROR(VLOOKUP(シフト組み!AF34,役職一覧!$B:$D,2,FALSE),"")</f>
        <v/>
      </c>
      <c r="AG4" s="17" t="str">
        <f>IFERROR(VLOOKUP(シフト組み!AG34,役職一覧!$B:$D,2,FALSE),"")</f>
        <v/>
      </c>
      <c r="AH4" s="17" t="str">
        <f>IFERROR(VLOOKUP(シフト組み!AH34,役職一覧!$B:$D,2,FALSE),"")</f>
        <v/>
      </c>
      <c r="AI4" s="17" t="str">
        <f>IFERROR(VLOOKUP(シフト組み!AI34,役職一覧!$B:$D,2,FALSE),"")</f>
        <v/>
      </c>
      <c r="AJ4" s="17" t="str">
        <f>IFERROR(VLOOKUP(シフト組み!AJ34,役職一覧!$B:$D,2,FALSE),"")</f>
        <v/>
      </c>
      <c r="AK4" s="17" t="str">
        <f>IFERROR(VLOOKUP(シフト組み!AK34,役職一覧!$B:$D,2,FALSE),"")</f>
        <v/>
      </c>
      <c r="AL4" s="17" t="str">
        <f>IFERROR(VLOOKUP(シフト組み!AL34,役職一覧!$B:$D,2,FALSE),"")</f>
        <v/>
      </c>
      <c r="AM4" s="17" t="str">
        <f>IFERROR(VLOOKUP(シフト組み!AM34,役職一覧!$B:$D,2,FALSE),"")</f>
        <v/>
      </c>
      <c r="AN4" s="17" t="str">
        <f>IFERROR(VLOOKUP(シフト組み!AN34,役職一覧!$B:$D,2,FALSE),"")</f>
        <v/>
      </c>
      <c r="AO4" s="17" t="str">
        <f>IFERROR(VLOOKUP(シフト組み!AO34,役職一覧!$B:$D,2,FALSE),"")</f>
        <v/>
      </c>
      <c r="AP4" s="17" t="str">
        <f>IFERROR(VLOOKUP(シフト組み!AP34,役職一覧!$B:$D,2,FALSE),"")</f>
        <v/>
      </c>
      <c r="AQ4" s="17" t="str">
        <f>IFERROR(VLOOKUP(シフト組み!AQ34,役職一覧!$B:$D,2,FALSE),"")</f>
        <v/>
      </c>
      <c r="AR4" s="17" t="str">
        <f>IFERROR(VLOOKUP(シフト組み!AR34,役職一覧!$B:$D,2,FALSE),"")</f>
        <v/>
      </c>
      <c r="AS4" s="17" t="str">
        <f>IFERROR(VLOOKUP(シフト組み!AS34,役職一覧!$B:$D,2,FALSE),"")</f>
        <v/>
      </c>
      <c r="AT4" s="17" t="str">
        <f>IFERROR(VLOOKUP(シフト組み!AT34,役職一覧!$B:$D,2,FALSE),"")</f>
        <v/>
      </c>
      <c r="AU4" s="17" t="str">
        <f>IFERROR(VLOOKUP(シフト組み!AU34,役職一覧!$B:$D,2,FALSE),"")</f>
        <v/>
      </c>
      <c r="AV4" s="17" t="str">
        <f>IFERROR(VLOOKUP(シフト組み!AV34,役職一覧!$B:$D,2,FALSE),"")</f>
        <v/>
      </c>
      <c r="AW4" s="17" t="str">
        <f>IFERROR(VLOOKUP(シフト組み!AW34,役職一覧!$B:$D,2,FALSE),"")</f>
        <v/>
      </c>
      <c r="AX4" s="17" t="str">
        <f>IFERROR(VLOOKUP(シフト組み!AX34,役職一覧!$B:$D,2,FALSE),"")</f>
        <v/>
      </c>
      <c r="AY4" s="17" t="str">
        <f>IFERROR(VLOOKUP(シフト組み!AY34,役職一覧!$B:$D,2,FALSE),"")</f>
        <v/>
      </c>
      <c r="AZ4" s="17" t="str">
        <f>IFERROR(VLOOKUP(シフト組み!AZ34,役職一覧!$B:$D,2,FALSE),"")</f>
        <v/>
      </c>
      <c r="BA4" s="17" t="str">
        <f>IFERROR(VLOOKUP(シフト組み!BA34,役職一覧!$B:$D,2,FALSE),"")</f>
        <v/>
      </c>
    </row>
    <row r="5" spans="1:53">
      <c r="A5" s="2" t="str">
        <f>シフト組み!A35&amp;""</f>
        <v>4</v>
      </c>
      <c r="B5" s="2" t="str">
        <f>シフト組み!B35&amp;""</f>
        <v/>
      </c>
      <c r="C5" s="2" t="str">
        <f>シフト組み!C35&amp;""</f>
        <v>はじめしゃちょー</v>
      </c>
      <c r="D5" s="17" t="str">
        <f>IFERROR(VLOOKUP(シフト組み!D35,役職一覧!$B:$D,2,FALSE),"")</f>
        <v/>
      </c>
      <c r="E5" s="17" t="str">
        <f>IFERROR(VLOOKUP(シフト組み!E35,役職一覧!$B:$D,2,FALSE),"")</f>
        <v/>
      </c>
      <c r="F5" s="17" t="str">
        <f>IFERROR(VLOOKUP(シフト組み!F35,役職一覧!$B:$D,2,FALSE),"")</f>
        <v/>
      </c>
      <c r="G5" s="17" t="str">
        <f>IFERROR(VLOOKUP(シフト組み!G35,役職一覧!$B:$D,2,FALSE),"")</f>
        <v/>
      </c>
      <c r="H5" s="17" t="str">
        <f>IFERROR(VLOOKUP(シフト組み!H35,役職一覧!$B:$D,2,FALSE),"")</f>
        <v/>
      </c>
      <c r="I5" s="17" t="str">
        <f>IFERROR(VLOOKUP(シフト組み!I35,役職一覧!$B:$D,2,FALSE),"")</f>
        <v/>
      </c>
      <c r="J5" s="17" t="str">
        <f>IFERROR(VLOOKUP(シフト組み!J35,役職一覧!$B:$D,2,FALSE),"")</f>
        <v/>
      </c>
      <c r="K5" s="17" t="str">
        <f>IFERROR(VLOOKUP(シフト組み!K35,役職一覧!$B:$D,2,FALSE),"")</f>
        <v/>
      </c>
      <c r="L5" s="17" t="str">
        <f>IFERROR(VLOOKUP(シフト組み!L35,役職一覧!$B:$D,2,FALSE),"")</f>
        <v/>
      </c>
      <c r="M5" s="17" t="str">
        <f>IFERROR(VLOOKUP(シフト組み!M35,役職一覧!$B:$D,2,FALSE),"")</f>
        <v/>
      </c>
      <c r="N5" s="17" t="str">
        <f>IFERROR(VLOOKUP(シフト組み!N35,役職一覧!$B:$D,2,FALSE),"")</f>
        <v/>
      </c>
      <c r="O5" s="17" t="str">
        <f>IFERROR(VLOOKUP(シフト組み!O35,役職一覧!$B:$D,2,FALSE),"")</f>
        <v/>
      </c>
      <c r="P5" s="17" t="str">
        <f>IFERROR(VLOOKUP(シフト組み!P35,役職一覧!$B:$D,2,FALSE),"")</f>
        <v/>
      </c>
      <c r="Q5" s="17" t="str">
        <f>IFERROR(VLOOKUP(シフト組み!Q35,役職一覧!$B:$D,2,FALSE),"")</f>
        <v/>
      </c>
      <c r="R5" s="17" t="str">
        <f>IFERROR(VLOOKUP(シフト組み!R35,役職一覧!$B:$D,2,FALSE),"")</f>
        <v/>
      </c>
      <c r="S5" s="17" t="str">
        <f>IFERROR(VLOOKUP(シフト組み!S35,役職一覧!$B:$D,2,FALSE),"")</f>
        <v/>
      </c>
      <c r="T5" s="17" t="str">
        <f>IFERROR(VLOOKUP(シフト組み!T35,役職一覧!$B:$D,2,FALSE),"")</f>
        <v/>
      </c>
      <c r="U5" s="17" t="str">
        <f>IFERROR(VLOOKUP(シフト組み!U35,役職一覧!$B:$D,2,FALSE),"")</f>
        <v/>
      </c>
      <c r="V5" s="17" t="str">
        <f>IFERROR(VLOOKUP(シフト組み!V35,役職一覧!$B:$D,2,FALSE),"")</f>
        <v/>
      </c>
      <c r="W5" s="17" t="str">
        <f>IFERROR(VLOOKUP(シフト組み!W35,役職一覧!$B:$D,2,FALSE),"")</f>
        <v/>
      </c>
      <c r="X5" s="17" t="str">
        <f>IFERROR(VLOOKUP(シフト組み!X35,役職一覧!$B:$D,2,FALSE),"")</f>
        <v/>
      </c>
      <c r="Y5" s="17" t="str">
        <f>IFERROR(VLOOKUP(シフト組み!Y35,役職一覧!$B:$D,2,FALSE),"")</f>
        <v/>
      </c>
      <c r="Z5" s="17" t="str">
        <f>IFERROR(VLOOKUP(シフト組み!Z35,役職一覧!$B:$D,2,FALSE),"")</f>
        <v/>
      </c>
      <c r="AA5" s="17" t="str">
        <f>IFERROR(VLOOKUP(シフト組み!AA35,役職一覧!$B:$D,2,FALSE),"")</f>
        <v/>
      </c>
      <c r="AB5" s="17" t="str">
        <f>IFERROR(VLOOKUP(シフト組み!AB35,役職一覧!$B:$D,2,FALSE),"")</f>
        <v/>
      </c>
      <c r="AC5" s="17" t="str">
        <f>IFERROR(VLOOKUP(シフト組み!AC35,役職一覧!$B:$D,2,FALSE),"")</f>
        <v/>
      </c>
      <c r="AD5" s="17" t="str">
        <f>IFERROR(VLOOKUP(シフト組み!AD35,役職一覧!$B:$D,2,FALSE),"")</f>
        <v/>
      </c>
      <c r="AE5" s="17" t="str">
        <f>IFERROR(VLOOKUP(シフト組み!AE35,役職一覧!$B:$D,2,FALSE),"")</f>
        <v/>
      </c>
      <c r="AF5" s="17" t="str">
        <f>IFERROR(VLOOKUP(シフト組み!AF35,役職一覧!$B:$D,2,FALSE),"")</f>
        <v/>
      </c>
      <c r="AG5" s="17" t="str">
        <f>IFERROR(VLOOKUP(シフト組み!AG35,役職一覧!$B:$D,2,FALSE),"")</f>
        <v/>
      </c>
      <c r="AH5" s="17" t="str">
        <f>IFERROR(VLOOKUP(シフト組み!AH35,役職一覧!$B:$D,2,FALSE),"")</f>
        <v/>
      </c>
      <c r="AI5" s="17" t="str">
        <f>IFERROR(VLOOKUP(シフト組み!AI35,役職一覧!$B:$D,2,FALSE),"")</f>
        <v/>
      </c>
      <c r="AJ5" s="17" t="str">
        <f>IFERROR(VLOOKUP(シフト組み!AJ35,役職一覧!$B:$D,2,FALSE),"")</f>
        <v/>
      </c>
      <c r="AK5" s="17" t="str">
        <f>IFERROR(VLOOKUP(シフト組み!AK35,役職一覧!$B:$D,2,FALSE),"")</f>
        <v/>
      </c>
      <c r="AL5" s="17" t="str">
        <f>IFERROR(VLOOKUP(シフト組み!AL35,役職一覧!$B:$D,2,FALSE),"")</f>
        <v/>
      </c>
      <c r="AM5" s="17" t="str">
        <f>IFERROR(VLOOKUP(シフト組み!AM35,役職一覧!$B:$D,2,FALSE),"")</f>
        <v/>
      </c>
      <c r="AN5" s="17" t="str">
        <f>IFERROR(VLOOKUP(シフト組み!AN35,役職一覧!$B:$D,2,FALSE),"")</f>
        <v/>
      </c>
      <c r="AO5" s="17" t="str">
        <f>IFERROR(VLOOKUP(シフト組み!AO35,役職一覧!$B:$D,2,FALSE),"")</f>
        <v/>
      </c>
      <c r="AP5" s="17" t="str">
        <f>IFERROR(VLOOKUP(シフト組み!AP35,役職一覧!$B:$D,2,FALSE),"")</f>
        <v/>
      </c>
      <c r="AQ5" s="17" t="str">
        <f>IFERROR(VLOOKUP(シフト組み!AQ35,役職一覧!$B:$D,2,FALSE),"")</f>
        <v/>
      </c>
      <c r="AR5" s="17" t="str">
        <f>IFERROR(VLOOKUP(シフト組み!AR35,役職一覧!$B:$D,2,FALSE),"")</f>
        <v/>
      </c>
      <c r="AS5" s="17" t="str">
        <f>IFERROR(VLOOKUP(シフト組み!AS35,役職一覧!$B:$D,2,FALSE),"")</f>
        <v/>
      </c>
      <c r="AT5" s="17" t="str">
        <f>IFERROR(VLOOKUP(シフト組み!AT35,役職一覧!$B:$D,2,FALSE),"")</f>
        <v/>
      </c>
      <c r="AU5" s="17" t="str">
        <f>IFERROR(VLOOKUP(シフト組み!AU35,役職一覧!$B:$D,2,FALSE),"")</f>
        <v/>
      </c>
      <c r="AV5" s="17" t="str">
        <f>IFERROR(VLOOKUP(シフト組み!AV35,役職一覧!$B:$D,2,FALSE),"")</f>
        <v/>
      </c>
      <c r="AW5" s="17" t="str">
        <f>IFERROR(VLOOKUP(シフト組み!AW35,役職一覧!$B:$D,2,FALSE),"")</f>
        <v/>
      </c>
      <c r="AX5" s="17" t="str">
        <f>IFERROR(VLOOKUP(シフト組み!AX35,役職一覧!$B:$D,2,FALSE),"")</f>
        <v/>
      </c>
      <c r="AY5" s="17" t="str">
        <f>IFERROR(VLOOKUP(シフト組み!AY35,役職一覧!$B:$D,2,FALSE),"")</f>
        <v/>
      </c>
      <c r="AZ5" s="17" t="str">
        <f>IFERROR(VLOOKUP(シフト組み!AZ35,役職一覧!$B:$D,2,FALSE),"")</f>
        <v/>
      </c>
      <c r="BA5" s="17" t="str">
        <f>IFERROR(VLOOKUP(シフト組み!BA35,役職一覧!$B:$D,2,FALSE),"")</f>
        <v/>
      </c>
    </row>
    <row r="6" spans="1:53">
      <c r="A6" s="2" t="str">
        <f>シフト組み!A36&amp;""</f>
        <v>5</v>
      </c>
      <c r="B6" s="2" t="str">
        <f>シフト組み!B36&amp;""</f>
        <v/>
      </c>
      <c r="C6" s="2" t="str">
        <f>シフト組み!C36&amp;""</f>
        <v/>
      </c>
      <c r="D6" s="17" t="str">
        <f>IFERROR(VLOOKUP(シフト組み!D36,役職一覧!$B:$D,2,FALSE),"")</f>
        <v/>
      </c>
      <c r="E6" s="17" t="str">
        <f>IFERROR(VLOOKUP(シフト組み!E36,役職一覧!$B:$D,2,FALSE),"")</f>
        <v/>
      </c>
      <c r="F6" s="17" t="str">
        <f>IFERROR(VLOOKUP(シフト組み!F36,役職一覧!$B:$D,2,FALSE),"")</f>
        <v/>
      </c>
      <c r="G6" s="17" t="str">
        <f>IFERROR(VLOOKUP(シフト組み!G36,役職一覧!$B:$D,2,FALSE),"")</f>
        <v/>
      </c>
      <c r="H6" s="17" t="str">
        <f>IFERROR(VLOOKUP(シフト組み!H36,役職一覧!$B:$D,2,FALSE),"")</f>
        <v/>
      </c>
      <c r="I6" s="17" t="str">
        <f>IFERROR(VLOOKUP(シフト組み!I36,役職一覧!$B:$D,2,FALSE),"")</f>
        <v/>
      </c>
      <c r="J6" s="17" t="str">
        <f>IFERROR(VLOOKUP(シフト組み!J36,役職一覧!$B:$D,2,FALSE),"")</f>
        <v/>
      </c>
      <c r="K6" s="17" t="str">
        <f>IFERROR(VLOOKUP(シフト組み!K36,役職一覧!$B:$D,2,FALSE),"")</f>
        <v/>
      </c>
      <c r="L6" s="17" t="str">
        <f>IFERROR(VLOOKUP(シフト組み!L36,役職一覧!$B:$D,2,FALSE),"")</f>
        <v/>
      </c>
      <c r="M6" s="17" t="str">
        <f>IFERROR(VLOOKUP(シフト組み!M36,役職一覧!$B:$D,2,FALSE),"")</f>
        <v/>
      </c>
      <c r="N6" s="17" t="str">
        <f>IFERROR(VLOOKUP(シフト組み!N36,役職一覧!$B:$D,2,FALSE),"")</f>
        <v/>
      </c>
      <c r="O6" s="17" t="str">
        <f>IFERROR(VLOOKUP(シフト組み!O36,役職一覧!$B:$D,2,FALSE),"")</f>
        <v/>
      </c>
      <c r="P6" s="17" t="str">
        <f>IFERROR(VLOOKUP(シフト組み!P36,役職一覧!$B:$D,2,FALSE),"")</f>
        <v/>
      </c>
      <c r="Q6" s="17" t="str">
        <f>IFERROR(VLOOKUP(シフト組み!Q36,役職一覧!$B:$D,2,FALSE),"")</f>
        <v/>
      </c>
      <c r="R6" s="17" t="str">
        <f>IFERROR(VLOOKUP(シフト組み!R36,役職一覧!$B:$D,2,FALSE),"")</f>
        <v/>
      </c>
      <c r="S6" s="17" t="str">
        <f>IFERROR(VLOOKUP(シフト組み!S36,役職一覧!$B:$D,2,FALSE),"")</f>
        <v/>
      </c>
      <c r="T6" s="17" t="str">
        <f>IFERROR(VLOOKUP(シフト組み!T36,役職一覧!$B:$D,2,FALSE),"")</f>
        <v/>
      </c>
      <c r="U6" s="17" t="str">
        <f>IFERROR(VLOOKUP(シフト組み!U36,役職一覧!$B:$D,2,FALSE),"")</f>
        <v/>
      </c>
      <c r="V6" s="17" t="str">
        <f>IFERROR(VLOOKUP(シフト組み!V36,役職一覧!$B:$D,2,FALSE),"")</f>
        <v/>
      </c>
      <c r="W6" s="17" t="str">
        <f>IFERROR(VLOOKUP(シフト組み!W36,役職一覧!$B:$D,2,FALSE),"")</f>
        <v/>
      </c>
      <c r="X6" s="17" t="str">
        <f>IFERROR(VLOOKUP(シフト組み!X36,役職一覧!$B:$D,2,FALSE),"")</f>
        <v/>
      </c>
      <c r="Y6" s="17" t="str">
        <f>IFERROR(VLOOKUP(シフト組み!Y36,役職一覧!$B:$D,2,FALSE),"")</f>
        <v/>
      </c>
      <c r="Z6" s="17" t="str">
        <f>IFERROR(VLOOKUP(シフト組み!Z36,役職一覧!$B:$D,2,FALSE),"")</f>
        <v/>
      </c>
      <c r="AA6" s="17" t="str">
        <f>IFERROR(VLOOKUP(シフト組み!AA36,役職一覧!$B:$D,2,FALSE),"")</f>
        <v/>
      </c>
      <c r="AB6" s="17" t="str">
        <f>IFERROR(VLOOKUP(シフト組み!AB36,役職一覧!$B:$D,2,FALSE),"")</f>
        <v/>
      </c>
      <c r="AC6" s="17" t="str">
        <f>IFERROR(VLOOKUP(シフト組み!AC36,役職一覧!$B:$D,2,FALSE),"")</f>
        <v/>
      </c>
      <c r="AD6" s="17" t="str">
        <f>IFERROR(VLOOKUP(シフト組み!AD36,役職一覧!$B:$D,2,FALSE),"")</f>
        <v/>
      </c>
      <c r="AE6" s="17" t="str">
        <f>IFERROR(VLOOKUP(シフト組み!AE36,役職一覧!$B:$D,2,FALSE),"")</f>
        <v/>
      </c>
      <c r="AF6" s="17" t="str">
        <f>IFERROR(VLOOKUP(シフト組み!AF36,役職一覧!$B:$D,2,FALSE),"")</f>
        <v/>
      </c>
      <c r="AG6" s="17" t="str">
        <f>IFERROR(VLOOKUP(シフト組み!AG36,役職一覧!$B:$D,2,FALSE),"")</f>
        <v/>
      </c>
      <c r="AH6" s="17" t="str">
        <f>IFERROR(VLOOKUP(シフト組み!AH36,役職一覧!$B:$D,2,FALSE),"")</f>
        <v/>
      </c>
      <c r="AI6" s="17" t="str">
        <f>IFERROR(VLOOKUP(シフト組み!AI36,役職一覧!$B:$D,2,FALSE),"")</f>
        <v/>
      </c>
      <c r="AJ6" s="17" t="str">
        <f>IFERROR(VLOOKUP(シフト組み!AJ36,役職一覧!$B:$D,2,FALSE),"")</f>
        <v/>
      </c>
      <c r="AK6" s="17" t="str">
        <f>IFERROR(VLOOKUP(シフト組み!AK36,役職一覧!$B:$D,2,FALSE),"")</f>
        <v/>
      </c>
      <c r="AL6" s="17" t="str">
        <f>IFERROR(VLOOKUP(シフト組み!AL36,役職一覧!$B:$D,2,FALSE),"")</f>
        <v/>
      </c>
      <c r="AM6" s="17" t="str">
        <f>IFERROR(VLOOKUP(シフト組み!AM36,役職一覧!$B:$D,2,FALSE),"")</f>
        <v/>
      </c>
      <c r="AN6" s="17" t="str">
        <f>IFERROR(VLOOKUP(シフト組み!AN36,役職一覧!$B:$D,2,FALSE),"")</f>
        <v/>
      </c>
      <c r="AO6" s="17" t="str">
        <f>IFERROR(VLOOKUP(シフト組み!AO36,役職一覧!$B:$D,2,FALSE),"")</f>
        <v/>
      </c>
      <c r="AP6" s="17" t="str">
        <f>IFERROR(VLOOKUP(シフト組み!AP36,役職一覧!$B:$D,2,FALSE),"")</f>
        <v/>
      </c>
      <c r="AQ6" s="17" t="str">
        <f>IFERROR(VLOOKUP(シフト組み!AQ36,役職一覧!$B:$D,2,FALSE),"")</f>
        <v/>
      </c>
      <c r="AR6" s="17" t="str">
        <f>IFERROR(VLOOKUP(シフト組み!AR36,役職一覧!$B:$D,2,FALSE),"")</f>
        <v/>
      </c>
      <c r="AS6" s="17" t="str">
        <f>IFERROR(VLOOKUP(シフト組み!AS36,役職一覧!$B:$D,2,FALSE),"")</f>
        <v/>
      </c>
      <c r="AT6" s="17" t="str">
        <f>IFERROR(VLOOKUP(シフト組み!AT36,役職一覧!$B:$D,2,FALSE),"")</f>
        <v/>
      </c>
      <c r="AU6" s="17" t="str">
        <f>IFERROR(VLOOKUP(シフト組み!AU36,役職一覧!$B:$D,2,FALSE),"")</f>
        <v/>
      </c>
      <c r="AV6" s="17" t="str">
        <f>IFERROR(VLOOKUP(シフト組み!AV36,役職一覧!$B:$D,2,FALSE),"")</f>
        <v/>
      </c>
      <c r="AW6" s="17" t="str">
        <f>IFERROR(VLOOKUP(シフト組み!AW36,役職一覧!$B:$D,2,FALSE),"")</f>
        <v/>
      </c>
      <c r="AX6" s="17" t="str">
        <f>IFERROR(VLOOKUP(シフト組み!AX36,役職一覧!$B:$D,2,FALSE),"")</f>
        <v/>
      </c>
      <c r="AY6" s="17" t="str">
        <f>IFERROR(VLOOKUP(シフト組み!AY36,役職一覧!$B:$D,2,FALSE),"")</f>
        <v/>
      </c>
      <c r="AZ6" s="17" t="str">
        <f>IFERROR(VLOOKUP(シフト組み!AZ36,役職一覧!$B:$D,2,FALSE),"")</f>
        <v/>
      </c>
      <c r="BA6" s="17" t="str">
        <f>IFERROR(VLOOKUP(シフト組み!BA36,役職一覧!$B:$D,2,FALSE),"")</f>
        <v/>
      </c>
    </row>
    <row r="7" spans="1:53">
      <c r="A7" s="2" t="str">
        <f>シフト組み!A37&amp;""</f>
        <v>6</v>
      </c>
      <c r="B7" s="2" t="str">
        <f>シフト組み!B37&amp;""</f>
        <v/>
      </c>
      <c r="C7" s="2" t="str">
        <f>シフト組み!C37&amp;""</f>
        <v/>
      </c>
      <c r="D7" s="17" t="str">
        <f>IFERROR(VLOOKUP(シフト組み!D37,役職一覧!$B:$D,2,FALSE),"")</f>
        <v/>
      </c>
      <c r="E7" s="17" t="str">
        <f>IFERROR(VLOOKUP(シフト組み!E37,役職一覧!$B:$D,2,FALSE),"")</f>
        <v/>
      </c>
      <c r="F7" s="17" t="str">
        <f>IFERROR(VLOOKUP(シフト組み!F37,役職一覧!$B:$D,2,FALSE),"")</f>
        <v/>
      </c>
      <c r="G7" s="17" t="str">
        <f>IFERROR(VLOOKUP(シフト組み!G37,役職一覧!$B:$D,2,FALSE),"")</f>
        <v/>
      </c>
      <c r="H7" s="17" t="str">
        <f>IFERROR(VLOOKUP(シフト組み!H37,役職一覧!$B:$D,2,FALSE),"")</f>
        <v/>
      </c>
      <c r="I7" s="17" t="str">
        <f>IFERROR(VLOOKUP(シフト組み!I37,役職一覧!$B:$D,2,FALSE),"")</f>
        <v/>
      </c>
      <c r="J7" s="17" t="str">
        <f>IFERROR(VLOOKUP(シフト組み!J37,役職一覧!$B:$D,2,FALSE),"")</f>
        <v/>
      </c>
      <c r="K7" s="17" t="str">
        <f>IFERROR(VLOOKUP(シフト組み!K37,役職一覧!$B:$D,2,FALSE),"")</f>
        <v/>
      </c>
      <c r="L7" s="17" t="str">
        <f>IFERROR(VLOOKUP(シフト組み!L37,役職一覧!$B:$D,2,FALSE),"")</f>
        <v/>
      </c>
      <c r="M7" s="17" t="str">
        <f>IFERROR(VLOOKUP(シフト組み!M37,役職一覧!$B:$D,2,FALSE),"")</f>
        <v/>
      </c>
      <c r="N7" s="17" t="str">
        <f>IFERROR(VLOOKUP(シフト組み!N37,役職一覧!$B:$D,2,FALSE),"")</f>
        <v/>
      </c>
      <c r="O7" s="17" t="str">
        <f>IFERROR(VLOOKUP(シフト組み!O37,役職一覧!$B:$D,2,FALSE),"")</f>
        <v/>
      </c>
      <c r="P7" s="17" t="str">
        <f>IFERROR(VLOOKUP(シフト組み!P37,役職一覧!$B:$D,2,FALSE),"")</f>
        <v/>
      </c>
      <c r="Q7" s="17" t="str">
        <f>IFERROR(VLOOKUP(シフト組み!Q37,役職一覧!$B:$D,2,FALSE),"")</f>
        <v/>
      </c>
      <c r="R7" s="17" t="str">
        <f>IFERROR(VLOOKUP(シフト組み!R37,役職一覧!$B:$D,2,FALSE),"")</f>
        <v/>
      </c>
      <c r="S7" s="17" t="str">
        <f>IFERROR(VLOOKUP(シフト組み!S37,役職一覧!$B:$D,2,FALSE),"")</f>
        <v/>
      </c>
      <c r="T7" s="17" t="str">
        <f>IFERROR(VLOOKUP(シフト組み!T37,役職一覧!$B:$D,2,FALSE),"")</f>
        <v/>
      </c>
      <c r="U7" s="17" t="str">
        <f>IFERROR(VLOOKUP(シフト組み!U37,役職一覧!$B:$D,2,FALSE),"")</f>
        <v/>
      </c>
      <c r="V7" s="17" t="str">
        <f>IFERROR(VLOOKUP(シフト組み!V37,役職一覧!$B:$D,2,FALSE),"")</f>
        <v/>
      </c>
      <c r="W7" s="17" t="str">
        <f>IFERROR(VLOOKUP(シフト組み!W37,役職一覧!$B:$D,2,FALSE),"")</f>
        <v/>
      </c>
      <c r="X7" s="17" t="str">
        <f>IFERROR(VLOOKUP(シフト組み!X37,役職一覧!$B:$D,2,FALSE),"")</f>
        <v/>
      </c>
      <c r="Y7" s="17" t="str">
        <f>IFERROR(VLOOKUP(シフト組み!Y37,役職一覧!$B:$D,2,FALSE),"")</f>
        <v/>
      </c>
      <c r="Z7" s="17" t="str">
        <f>IFERROR(VLOOKUP(シフト組み!Z37,役職一覧!$B:$D,2,FALSE),"")</f>
        <v/>
      </c>
      <c r="AA7" s="17" t="str">
        <f>IFERROR(VLOOKUP(シフト組み!AA37,役職一覧!$B:$D,2,FALSE),"")</f>
        <v/>
      </c>
      <c r="AB7" s="17" t="str">
        <f>IFERROR(VLOOKUP(シフト組み!AB37,役職一覧!$B:$D,2,FALSE),"")</f>
        <v/>
      </c>
      <c r="AC7" s="17" t="str">
        <f>IFERROR(VLOOKUP(シフト組み!AC37,役職一覧!$B:$D,2,FALSE),"")</f>
        <v/>
      </c>
      <c r="AD7" s="17" t="str">
        <f>IFERROR(VLOOKUP(シフト組み!AD37,役職一覧!$B:$D,2,FALSE),"")</f>
        <v/>
      </c>
      <c r="AE7" s="17" t="str">
        <f>IFERROR(VLOOKUP(シフト組み!AE37,役職一覧!$B:$D,2,FALSE),"")</f>
        <v/>
      </c>
      <c r="AF7" s="17" t="str">
        <f>IFERROR(VLOOKUP(シフト組み!AF37,役職一覧!$B:$D,2,FALSE),"")</f>
        <v/>
      </c>
      <c r="AG7" s="17" t="str">
        <f>IFERROR(VLOOKUP(シフト組み!AG37,役職一覧!$B:$D,2,FALSE),"")</f>
        <v/>
      </c>
      <c r="AH7" s="17" t="str">
        <f>IFERROR(VLOOKUP(シフト組み!AH37,役職一覧!$B:$D,2,FALSE),"")</f>
        <v/>
      </c>
      <c r="AI7" s="17" t="str">
        <f>IFERROR(VLOOKUP(シフト組み!AI37,役職一覧!$B:$D,2,FALSE),"")</f>
        <v/>
      </c>
      <c r="AJ7" s="17" t="str">
        <f>IFERROR(VLOOKUP(シフト組み!AJ37,役職一覧!$B:$D,2,FALSE),"")</f>
        <v/>
      </c>
      <c r="AK7" s="17" t="str">
        <f>IFERROR(VLOOKUP(シフト組み!AK37,役職一覧!$B:$D,2,FALSE),"")</f>
        <v/>
      </c>
      <c r="AL7" s="17" t="str">
        <f>IFERROR(VLOOKUP(シフト組み!AL37,役職一覧!$B:$D,2,FALSE),"")</f>
        <v/>
      </c>
      <c r="AM7" s="17" t="str">
        <f>IFERROR(VLOOKUP(シフト組み!AM37,役職一覧!$B:$D,2,FALSE),"")</f>
        <v/>
      </c>
      <c r="AN7" s="17" t="str">
        <f>IFERROR(VLOOKUP(シフト組み!AN37,役職一覧!$B:$D,2,FALSE),"")</f>
        <v/>
      </c>
      <c r="AO7" s="17" t="str">
        <f>IFERROR(VLOOKUP(シフト組み!AO37,役職一覧!$B:$D,2,FALSE),"")</f>
        <v/>
      </c>
      <c r="AP7" s="17" t="str">
        <f>IFERROR(VLOOKUP(シフト組み!AP37,役職一覧!$B:$D,2,FALSE),"")</f>
        <v/>
      </c>
      <c r="AQ7" s="17" t="str">
        <f>IFERROR(VLOOKUP(シフト組み!AQ37,役職一覧!$B:$D,2,FALSE),"")</f>
        <v/>
      </c>
      <c r="AR7" s="17" t="str">
        <f>IFERROR(VLOOKUP(シフト組み!AR37,役職一覧!$B:$D,2,FALSE),"")</f>
        <v/>
      </c>
      <c r="AS7" s="17" t="str">
        <f>IFERROR(VLOOKUP(シフト組み!AS37,役職一覧!$B:$D,2,FALSE),"")</f>
        <v/>
      </c>
      <c r="AT7" s="17" t="str">
        <f>IFERROR(VLOOKUP(シフト組み!AT37,役職一覧!$B:$D,2,FALSE),"")</f>
        <v/>
      </c>
      <c r="AU7" s="17" t="str">
        <f>IFERROR(VLOOKUP(シフト組み!AU37,役職一覧!$B:$D,2,FALSE),"")</f>
        <v/>
      </c>
      <c r="AV7" s="17" t="str">
        <f>IFERROR(VLOOKUP(シフト組み!AV37,役職一覧!$B:$D,2,FALSE),"")</f>
        <v/>
      </c>
      <c r="AW7" s="17" t="str">
        <f>IFERROR(VLOOKUP(シフト組み!AW37,役職一覧!$B:$D,2,FALSE),"")</f>
        <v/>
      </c>
      <c r="AX7" s="17" t="str">
        <f>IFERROR(VLOOKUP(シフト組み!AX37,役職一覧!$B:$D,2,FALSE),"")</f>
        <v/>
      </c>
      <c r="AY7" s="17" t="str">
        <f>IFERROR(VLOOKUP(シフト組み!AY37,役職一覧!$B:$D,2,FALSE),"")</f>
        <v/>
      </c>
      <c r="AZ7" s="17" t="str">
        <f>IFERROR(VLOOKUP(シフト組み!AZ37,役職一覧!$B:$D,2,FALSE),"")</f>
        <v/>
      </c>
      <c r="BA7" s="17" t="str">
        <f>IFERROR(VLOOKUP(シフト組み!BA37,役職一覧!$B:$D,2,FALSE),"")</f>
        <v/>
      </c>
    </row>
    <row r="8" spans="1:53">
      <c r="A8" s="2" t="str">
        <f>シフト組み!A38&amp;""</f>
        <v>7</v>
      </c>
      <c r="B8" s="2" t="str">
        <f>シフト組み!B38&amp;""</f>
        <v/>
      </c>
      <c r="C8" s="2" t="str">
        <f>シフト組み!C38&amp;""</f>
        <v/>
      </c>
      <c r="D8" s="17" t="str">
        <f>IFERROR(VLOOKUP(シフト組み!D38,役職一覧!$B:$D,2,FALSE),"")</f>
        <v/>
      </c>
      <c r="E8" s="17" t="str">
        <f>IFERROR(VLOOKUP(シフト組み!E38,役職一覧!$B:$D,2,FALSE),"")</f>
        <v/>
      </c>
      <c r="F8" s="17" t="str">
        <f>IFERROR(VLOOKUP(シフト組み!F38,役職一覧!$B:$D,2,FALSE),"")</f>
        <v/>
      </c>
      <c r="G8" s="17" t="str">
        <f>IFERROR(VLOOKUP(シフト組み!G38,役職一覧!$B:$D,2,FALSE),"")</f>
        <v/>
      </c>
      <c r="H8" s="17" t="str">
        <f>IFERROR(VLOOKUP(シフト組み!H38,役職一覧!$B:$D,2,FALSE),"")</f>
        <v/>
      </c>
      <c r="I8" s="17" t="str">
        <f>IFERROR(VLOOKUP(シフト組み!I38,役職一覧!$B:$D,2,FALSE),"")</f>
        <v/>
      </c>
      <c r="J8" s="17" t="str">
        <f>IFERROR(VLOOKUP(シフト組み!J38,役職一覧!$B:$D,2,FALSE),"")</f>
        <v/>
      </c>
      <c r="K8" s="17" t="str">
        <f>IFERROR(VLOOKUP(シフト組み!K38,役職一覧!$B:$D,2,FALSE),"")</f>
        <v/>
      </c>
      <c r="L8" s="17" t="str">
        <f>IFERROR(VLOOKUP(シフト組み!L38,役職一覧!$B:$D,2,FALSE),"")</f>
        <v/>
      </c>
      <c r="M8" s="17" t="str">
        <f>IFERROR(VLOOKUP(シフト組み!M38,役職一覧!$B:$D,2,FALSE),"")</f>
        <v/>
      </c>
      <c r="N8" s="17" t="str">
        <f>IFERROR(VLOOKUP(シフト組み!N38,役職一覧!$B:$D,2,FALSE),"")</f>
        <v/>
      </c>
      <c r="O8" s="17" t="str">
        <f>IFERROR(VLOOKUP(シフト組み!O38,役職一覧!$B:$D,2,FALSE),"")</f>
        <v/>
      </c>
      <c r="P8" s="17" t="str">
        <f>IFERROR(VLOOKUP(シフト組み!P38,役職一覧!$B:$D,2,FALSE),"")</f>
        <v/>
      </c>
      <c r="Q8" s="17" t="str">
        <f>IFERROR(VLOOKUP(シフト組み!Q38,役職一覧!$B:$D,2,FALSE),"")</f>
        <v/>
      </c>
      <c r="R8" s="17" t="str">
        <f>IFERROR(VLOOKUP(シフト組み!R38,役職一覧!$B:$D,2,FALSE),"")</f>
        <v/>
      </c>
      <c r="S8" s="17" t="str">
        <f>IFERROR(VLOOKUP(シフト組み!S38,役職一覧!$B:$D,2,FALSE),"")</f>
        <v/>
      </c>
      <c r="T8" s="17" t="str">
        <f>IFERROR(VLOOKUP(シフト組み!T38,役職一覧!$B:$D,2,FALSE),"")</f>
        <v/>
      </c>
      <c r="U8" s="17" t="str">
        <f>IFERROR(VLOOKUP(シフト組み!U38,役職一覧!$B:$D,2,FALSE),"")</f>
        <v/>
      </c>
      <c r="V8" s="17" t="str">
        <f>IFERROR(VLOOKUP(シフト組み!V38,役職一覧!$B:$D,2,FALSE),"")</f>
        <v/>
      </c>
      <c r="W8" s="17" t="str">
        <f>IFERROR(VLOOKUP(シフト組み!W38,役職一覧!$B:$D,2,FALSE),"")</f>
        <v/>
      </c>
      <c r="X8" s="17" t="str">
        <f>IFERROR(VLOOKUP(シフト組み!X38,役職一覧!$B:$D,2,FALSE),"")</f>
        <v/>
      </c>
      <c r="Y8" s="17" t="str">
        <f>IFERROR(VLOOKUP(シフト組み!Y38,役職一覧!$B:$D,2,FALSE),"")</f>
        <v/>
      </c>
      <c r="Z8" s="17" t="str">
        <f>IFERROR(VLOOKUP(シフト組み!Z38,役職一覧!$B:$D,2,FALSE),"")</f>
        <v/>
      </c>
      <c r="AA8" s="17" t="str">
        <f>IFERROR(VLOOKUP(シフト組み!AA38,役職一覧!$B:$D,2,FALSE),"")</f>
        <v/>
      </c>
      <c r="AB8" s="17" t="str">
        <f>IFERROR(VLOOKUP(シフト組み!AB38,役職一覧!$B:$D,2,FALSE),"")</f>
        <v/>
      </c>
      <c r="AC8" s="17" t="str">
        <f>IFERROR(VLOOKUP(シフト組み!AC38,役職一覧!$B:$D,2,FALSE),"")</f>
        <v/>
      </c>
      <c r="AD8" s="17" t="str">
        <f>IFERROR(VLOOKUP(シフト組み!AD38,役職一覧!$B:$D,2,FALSE),"")</f>
        <v/>
      </c>
      <c r="AE8" s="17" t="str">
        <f>IFERROR(VLOOKUP(シフト組み!AE38,役職一覧!$B:$D,2,FALSE),"")</f>
        <v/>
      </c>
      <c r="AF8" s="17" t="str">
        <f>IFERROR(VLOOKUP(シフト組み!AF38,役職一覧!$B:$D,2,FALSE),"")</f>
        <v/>
      </c>
      <c r="AG8" s="17" t="str">
        <f>IFERROR(VLOOKUP(シフト組み!AG38,役職一覧!$B:$D,2,FALSE),"")</f>
        <v/>
      </c>
      <c r="AH8" s="17" t="str">
        <f>IFERROR(VLOOKUP(シフト組み!AH38,役職一覧!$B:$D,2,FALSE),"")</f>
        <v/>
      </c>
      <c r="AI8" s="17" t="str">
        <f>IFERROR(VLOOKUP(シフト組み!AI38,役職一覧!$B:$D,2,FALSE),"")</f>
        <v/>
      </c>
      <c r="AJ8" s="17" t="str">
        <f>IFERROR(VLOOKUP(シフト組み!AJ38,役職一覧!$B:$D,2,FALSE),"")</f>
        <v/>
      </c>
      <c r="AK8" s="17" t="str">
        <f>IFERROR(VLOOKUP(シフト組み!AK38,役職一覧!$B:$D,2,FALSE),"")</f>
        <v/>
      </c>
      <c r="AL8" s="17" t="str">
        <f>IFERROR(VLOOKUP(シフト組み!AL38,役職一覧!$B:$D,2,FALSE),"")</f>
        <v/>
      </c>
      <c r="AM8" s="17" t="str">
        <f>IFERROR(VLOOKUP(シフト組み!AM38,役職一覧!$B:$D,2,FALSE),"")</f>
        <v/>
      </c>
      <c r="AN8" s="17" t="str">
        <f>IFERROR(VLOOKUP(シフト組み!AN38,役職一覧!$B:$D,2,FALSE),"")</f>
        <v/>
      </c>
      <c r="AO8" s="17" t="str">
        <f>IFERROR(VLOOKUP(シフト組み!AO38,役職一覧!$B:$D,2,FALSE),"")</f>
        <v/>
      </c>
      <c r="AP8" s="17" t="str">
        <f>IFERROR(VLOOKUP(シフト組み!AP38,役職一覧!$B:$D,2,FALSE),"")</f>
        <v/>
      </c>
      <c r="AQ8" s="17" t="str">
        <f>IFERROR(VLOOKUP(シフト組み!AQ38,役職一覧!$B:$D,2,FALSE),"")</f>
        <v/>
      </c>
      <c r="AR8" s="17" t="str">
        <f>IFERROR(VLOOKUP(シフト組み!AR38,役職一覧!$B:$D,2,FALSE),"")</f>
        <v/>
      </c>
      <c r="AS8" s="17" t="str">
        <f>IFERROR(VLOOKUP(シフト組み!AS38,役職一覧!$B:$D,2,FALSE),"")</f>
        <v/>
      </c>
      <c r="AT8" s="17" t="str">
        <f>IFERROR(VLOOKUP(シフト組み!AT38,役職一覧!$B:$D,2,FALSE),"")</f>
        <v/>
      </c>
      <c r="AU8" s="17" t="str">
        <f>IFERROR(VLOOKUP(シフト組み!AU38,役職一覧!$B:$D,2,FALSE),"")</f>
        <v/>
      </c>
      <c r="AV8" s="17" t="str">
        <f>IFERROR(VLOOKUP(シフト組み!AV38,役職一覧!$B:$D,2,FALSE),"")</f>
        <v/>
      </c>
      <c r="AW8" s="17" t="str">
        <f>IFERROR(VLOOKUP(シフト組み!AW38,役職一覧!$B:$D,2,FALSE),"")</f>
        <v/>
      </c>
      <c r="AX8" s="17" t="str">
        <f>IFERROR(VLOOKUP(シフト組み!AX38,役職一覧!$B:$D,2,FALSE),"")</f>
        <v/>
      </c>
      <c r="AY8" s="17" t="str">
        <f>IFERROR(VLOOKUP(シフト組み!AY38,役職一覧!$B:$D,2,FALSE),"")</f>
        <v/>
      </c>
      <c r="AZ8" s="17" t="str">
        <f>IFERROR(VLOOKUP(シフト組み!AZ38,役職一覧!$B:$D,2,FALSE),"")</f>
        <v/>
      </c>
      <c r="BA8" s="17" t="str">
        <f>IFERROR(VLOOKUP(シフト組み!BA38,役職一覧!$B:$D,2,FALSE),"")</f>
        <v/>
      </c>
    </row>
    <row r="9" spans="1:53">
      <c r="A9" s="2" t="str">
        <f>シフト組み!A39&amp;""</f>
        <v>8</v>
      </c>
      <c r="B9" s="2" t="str">
        <f>シフト組み!B39&amp;""</f>
        <v/>
      </c>
      <c r="C9" s="2" t="str">
        <f>シフト組み!C39&amp;""</f>
        <v/>
      </c>
      <c r="D9" s="17" t="str">
        <f>IFERROR(VLOOKUP(シフト組み!D39,役職一覧!$B:$D,2,FALSE),"")</f>
        <v/>
      </c>
      <c r="E9" s="17" t="str">
        <f>IFERROR(VLOOKUP(シフト組み!E39,役職一覧!$B:$D,2,FALSE),"")</f>
        <v/>
      </c>
      <c r="F9" s="17" t="str">
        <f>IFERROR(VLOOKUP(シフト組み!F39,役職一覧!$B:$D,2,FALSE),"")</f>
        <v/>
      </c>
      <c r="G9" s="17" t="str">
        <f>IFERROR(VLOOKUP(シフト組み!G39,役職一覧!$B:$D,2,FALSE),"")</f>
        <v/>
      </c>
      <c r="H9" s="17" t="str">
        <f>IFERROR(VLOOKUP(シフト組み!H39,役職一覧!$B:$D,2,FALSE),"")</f>
        <v/>
      </c>
      <c r="I9" s="17" t="str">
        <f>IFERROR(VLOOKUP(シフト組み!I39,役職一覧!$B:$D,2,FALSE),"")</f>
        <v/>
      </c>
      <c r="J9" s="17" t="str">
        <f>IFERROR(VLOOKUP(シフト組み!J39,役職一覧!$B:$D,2,FALSE),"")</f>
        <v/>
      </c>
      <c r="K9" s="17" t="str">
        <f>IFERROR(VLOOKUP(シフト組み!K39,役職一覧!$B:$D,2,FALSE),"")</f>
        <v/>
      </c>
      <c r="L9" s="17" t="str">
        <f>IFERROR(VLOOKUP(シフト組み!L39,役職一覧!$B:$D,2,FALSE),"")</f>
        <v/>
      </c>
      <c r="M9" s="17" t="str">
        <f>IFERROR(VLOOKUP(シフト組み!M39,役職一覧!$B:$D,2,FALSE),"")</f>
        <v/>
      </c>
      <c r="N9" s="17" t="str">
        <f>IFERROR(VLOOKUP(シフト組み!N39,役職一覧!$B:$D,2,FALSE),"")</f>
        <v/>
      </c>
      <c r="O9" s="17" t="str">
        <f>IFERROR(VLOOKUP(シフト組み!O39,役職一覧!$B:$D,2,FALSE),"")</f>
        <v/>
      </c>
      <c r="P9" s="17" t="str">
        <f>IFERROR(VLOOKUP(シフト組み!P39,役職一覧!$B:$D,2,FALSE),"")</f>
        <v/>
      </c>
      <c r="Q9" s="17" t="str">
        <f>IFERROR(VLOOKUP(シフト組み!Q39,役職一覧!$B:$D,2,FALSE),"")</f>
        <v/>
      </c>
      <c r="R9" s="17" t="str">
        <f>IFERROR(VLOOKUP(シフト組み!R39,役職一覧!$B:$D,2,FALSE),"")</f>
        <v/>
      </c>
      <c r="S9" s="17" t="str">
        <f>IFERROR(VLOOKUP(シフト組み!S39,役職一覧!$B:$D,2,FALSE),"")</f>
        <v/>
      </c>
      <c r="T9" s="17" t="str">
        <f>IFERROR(VLOOKUP(シフト組み!T39,役職一覧!$B:$D,2,FALSE),"")</f>
        <v/>
      </c>
      <c r="U9" s="17" t="str">
        <f>IFERROR(VLOOKUP(シフト組み!U39,役職一覧!$B:$D,2,FALSE),"")</f>
        <v/>
      </c>
      <c r="V9" s="17" t="str">
        <f>IFERROR(VLOOKUP(シフト組み!V39,役職一覧!$B:$D,2,FALSE),"")</f>
        <v/>
      </c>
      <c r="W9" s="17" t="str">
        <f>IFERROR(VLOOKUP(シフト組み!W39,役職一覧!$B:$D,2,FALSE),"")</f>
        <v/>
      </c>
      <c r="X9" s="17" t="str">
        <f>IFERROR(VLOOKUP(シフト組み!X39,役職一覧!$B:$D,2,FALSE),"")</f>
        <v/>
      </c>
      <c r="Y9" s="17" t="str">
        <f>IFERROR(VLOOKUP(シフト組み!Y39,役職一覧!$B:$D,2,FALSE),"")</f>
        <v/>
      </c>
      <c r="Z9" s="17" t="str">
        <f>IFERROR(VLOOKUP(シフト組み!Z39,役職一覧!$B:$D,2,FALSE),"")</f>
        <v/>
      </c>
      <c r="AA9" s="17" t="str">
        <f>IFERROR(VLOOKUP(シフト組み!AA39,役職一覧!$B:$D,2,FALSE),"")</f>
        <v/>
      </c>
      <c r="AB9" s="17" t="str">
        <f>IFERROR(VLOOKUP(シフト組み!AB39,役職一覧!$B:$D,2,FALSE),"")</f>
        <v/>
      </c>
      <c r="AC9" s="17" t="str">
        <f>IFERROR(VLOOKUP(シフト組み!AC39,役職一覧!$B:$D,2,FALSE),"")</f>
        <v/>
      </c>
      <c r="AD9" s="17" t="str">
        <f>IFERROR(VLOOKUP(シフト組み!AD39,役職一覧!$B:$D,2,FALSE),"")</f>
        <v/>
      </c>
      <c r="AE9" s="17" t="str">
        <f>IFERROR(VLOOKUP(シフト組み!AE39,役職一覧!$B:$D,2,FALSE),"")</f>
        <v/>
      </c>
      <c r="AF9" s="17" t="str">
        <f>IFERROR(VLOOKUP(シフト組み!AF39,役職一覧!$B:$D,2,FALSE),"")</f>
        <v/>
      </c>
      <c r="AG9" s="17" t="str">
        <f>IFERROR(VLOOKUP(シフト組み!AG39,役職一覧!$B:$D,2,FALSE),"")</f>
        <v/>
      </c>
      <c r="AH9" s="17" t="str">
        <f>IFERROR(VLOOKUP(シフト組み!AH39,役職一覧!$B:$D,2,FALSE),"")</f>
        <v/>
      </c>
      <c r="AI9" s="17" t="str">
        <f>IFERROR(VLOOKUP(シフト組み!AI39,役職一覧!$B:$D,2,FALSE),"")</f>
        <v/>
      </c>
      <c r="AJ9" s="17" t="str">
        <f>IFERROR(VLOOKUP(シフト組み!AJ39,役職一覧!$B:$D,2,FALSE),"")</f>
        <v/>
      </c>
      <c r="AK9" s="17" t="str">
        <f>IFERROR(VLOOKUP(シフト組み!AK39,役職一覧!$B:$D,2,FALSE),"")</f>
        <v/>
      </c>
      <c r="AL9" s="17" t="str">
        <f>IFERROR(VLOOKUP(シフト組み!AL39,役職一覧!$B:$D,2,FALSE),"")</f>
        <v/>
      </c>
      <c r="AM9" s="17" t="str">
        <f>IFERROR(VLOOKUP(シフト組み!AM39,役職一覧!$B:$D,2,FALSE),"")</f>
        <v/>
      </c>
      <c r="AN9" s="17" t="str">
        <f>IFERROR(VLOOKUP(シフト組み!AN39,役職一覧!$B:$D,2,FALSE),"")</f>
        <v/>
      </c>
      <c r="AO9" s="17" t="str">
        <f>IFERROR(VLOOKUP(シフト組み!AO39,役職一覧!$B:$D,2,FALSE),"")</f>
        <v/>
      </c>
      <c r="AP9" s="17" t="str">
        <f>IFERROR(VLOOKUP(シフト組み!AP39,役職一覧!$B:$D,2,FALSE),"")</f>
        <v/>
      </c>
      <c r="AQ9" s="17" t="str">
        <f>IFERROR(VLOOKUP(シフト組み!AQ39,役職一覧!$B:$D,2,FALSE),"")</f>
        <v/>
      </c>
      <c r="AR9" s="17" t="str">
        <f>IFERROR(VLOOKUP(シフト組み!AR39,役職一覧!$B:$D,2,FALSE),"")</f>
        <v/>
      </c>
      <c r="AS9" s="17" t="str">
        <f>IFERROR(VLOOKUP(シフト組み!AS39,役職一覧!$B:$D,2,FALSE),"")</f>
        <v/>
      </c>
      <c r="AT9" s="17" t="str">
        <f>IFERROR(VLOOKUP(シフト組み!AT39,役職一覧!$B:$D,2,FALSE),"")</f>
        <v/>
      </c>
      <c r="AU9" s="17" t="str">
        <f>IFERROR(VLOOKUP(シフト組み!AU39,役職一覧!$B:$D,2,FALSE),"")</f>
        <v/>
      </c>
      <c r="AV9" s="17" t="str">
        <f>IFERROR(VLOOKUP(シフト組み!AV39,役職一覧!$B:$D,2,FALSE),"")</f>
        <v/>
      </c>
      <c r="AW9" s="17" t="str">
        <f>IFERROR(VLOOKUP(シフト組み!AW39,役職一覧!$B:$D,2,FALSE),"")</f>
        <v/>
      </c>
      <c r="AX9" s="17" t="str">
        <f>IFERROR(VLOOKUP(シフト組み!AX39,役職一覧!$B:$D,2,FALSE),"")</f>
        <v/>
      </c>
      <c r="AY9" s="17" t="str">
        <f>IFERROR(VLOOKUP(シフト組み!AY39,役職一覧!$B:$D,2,FALSE),"")</f>
        <v/>
      </c>
      <c r="AZ9" s="17" t="str">
        <f>IFERROR(VLOOKUP(シフト組み!AZ39,役職一覧!$B:$D,2,FALSE),"")</f>
        <v/>
      </c>
      <c r="BA9" s="17" t="str">
        <f>IFERROR(VLOOKUP(シフト組み!BA39,役職一覧!$B:$D,2,FALSE),"")</f>
        <v/>
      </c>
    </row>
    <row r="10" spans="1:53">
      <c r="A10" s="2" t="str">
        <f>シフト組み!A40&amp;""</f>
        <v>9</v>
      </c>
      <c r="B10" s="2" t="str">
        <f>シフト組み!B40&amp;""</f>
        <v/>
      </c>
      <c r="C10" s="2" t="str">
        <f>シフト組み!C40&amp;""</f>
        <v/>
      </c>
      <c r="D10" s="17" t="str">
        <f>IFERROR(VLOOKUP(シフト組み!D40,役職一覧!$B:$D,2,FALSE),"")</f>
        <v/>
      </c>
      <c r="E10" s="17" t="str">
        <f>IFERROR(VLOOKUP(シフト組み!E40,役職一覧!$B:$D,2,FALSE),"")</f>
        <v/>
      </c>
      <c r="F10" s="17" t="str">
        <f>IFERROR(VLOOKUP(シフト組み!F40,役職一覧!$B:$D,2,FALSE),"")</f>
        <v/>
      </c>
      <c r="G10" s="17" t="str">
        <f>IFERROR(VLOOKUP(シフト組み!G40,役職一覧!$B:$D,2,FALSE),"")</f>
        <v/>
      </c>
      <c r="H10" s="17" t="str">
        <f>IFERROR(VLOOKUP(シフト組み!H40,役職一覧!$B:$D,2,FALSE),"")</f>
        <v/>
      </c>
      <c r="I10" s="17" t="str">
        <f>IFERROR(VLOOKUP(シフト組み!I40,役職一覧!$B:$D,2,FALSE),"")</f>
        <v/>
      </c>
      <c r="J10" s="17" t="str">
        <f>IFERROR(VLOOKUP(シフト組み!J40,役職一覧!$B:$D,2,FALSE),"")</f>
        <v/>
      </c>
      <c r="K10" s="17" t="str">
        <f>IFERROR(VLOOKUP(シフト組み!K40,役職一覧!$B:$D,2,FALSE),"")</f>
        <v/>
      </c>
      <c r="L10" s="17" t="str">
        <f>IFERROR(VLOOKUP(シフト組み!L40,役職一覧!$B:$D,2,FALSE),"")</f>
        <v/>
      </c>
      <c r="M10" s="17" t="str">
        <f>IFERROR(VLOOKUP(シフト組み!M40,役職一覧!$B:$D,2,FALSE),"")</f>
        <v/>
      </c>
      <c r="N10" s="17" t="str">
        <f>IFERROR(VLOOKUP(シフト組み!N40,役職一覧!$B:$D,2,FALSE),"")</f>
        <v/>
      </c>
      <c r="O10" s="17" t="str">
        <f>IFERROR(VLOOKUP(シフト組み!O40,役職一覧!$B:$D,2,FALSE),"")</f>
        <v/>
      </c>
      <c r="P10" s="17" t="str">
        <f>IFERROR(VLOOKUP(シフト組み!P40,役職一覧!$B:$D,2,FALSE),"")</f>
        <v/>
      </c>
      <c r="Q10" s="17" t="str">
        <f>IFERROR(VLOOKUP(シフト組み!Q40,役職一覧!$B:$D,2,FALSE),"")</f>
        <v/>
      </c>
      <c r="R10" s="17" t="str">
        <f>IFERROR(VLOOKUP(シフト組み!R40,役職一覧!$B:$D,2,FALSE),"")</f>
        <v/>
      </c>
      <c r="S10" s="17" t="str">
        <f>IFERROR(VLOOKUP(シフト組み!S40,役職一覧!$B:$D,2,FALSE),"")</f>
        <v/>
      </c>
      <c r="T10" s="17" t="str">
        <f>IFERROR(VLOOKUP(シフト組み!T40,役職一覧!$B:$D,2,FALSE),"")</f>
        <v/>
      </c>
      <c r="U10" s="17" t="str">
        <f>IFERROR(VLOOKUP(シフト組み!U40,役職一覧!$B:$D,2,FALSE),"")</f>
        <v/>
      </c>
      <c r="V10" s="17" t="str">
        <f>IFERROR(VLOOKUP(シフト組み!V40,役職一覧!$B:$D,2,FALSE),"")</f>
        <v/>
      </c>
      <c r="W10" s="17" t="str">
        <f>IFERROR(VLOOKUP(シフト組み!W40,役職一覧!$B:$D,2,FALSE),"")</f>
        <v/>
      </c>
      <c r="X10" s="17" t="str">
        <f>IFERROR(VLOOKUP(シフト組み!X40,役職一覧!$B:$D,2,FALSE),"")</f>
        <v/>
      </c>
      <c r="Y10" s="17" t="str">
        <f>IFERROR(VLOOKUP(シフト組み!Y40,役職一覧!$B:$D,2,FALSE),"")</f>
        <v/>
      </c>
      <c r="Z10" s="17" t="str">
        <f>IFERROR(VLOOKUP(シフト組み!Z40,役職一覧!$B:$D,2,FALSE),"")</f>
        <v/>
      </c>
      <c r="AA10" s="17" t="str">
        <f>IFERROR(VLOOKUP(シフト組み!AA40,役職一覧!$B:$D,2,FALSE),"")</f>
        <v/>
      </c>
      <c r="AB10" s="17" t="str">
        <f>IFERROR(VLOOKUP(シフト組み!AB40,役職一覧!$B:$D,2,FALSE),"")</f>
        <v/>
      </c>
      <c r="AC10" s="17" t="str">
        <f>IFERROR(VLOOKUP(シフト組み!AC40,役職一覧!$B:$D,2,FALSE),"")</f>
        <v/>
      </c>
      <c r="AD10" s="17" t="str">
        <f>IFERROR(VLOOKUP(シフト組み!AD40,役職一覧!$B:$D,2,FALSE),"")</f>
        <v/>
      </c>
      <c r="AE10" s="17" t="str">
        <f>IFERROR(VLOOKUP(シフト組み!AE40,役職一覧!$B:$D,2,FALSE),"")</f>
        <v/>
      </c>
      <c r="AF10" s="17" t="str">
        <f>IFERROR(VLOOKUP(シフト組み!AF40,役職一覧!$B:$D,2,FALSE),"")</f>
        <v/>
      </c>
      <c r="AG10" s="17" t="str">
        <f>IFERROR(VLOOKUP(シフト組み!AG40,役職一覧!$B:$D,2,FALSE),"")</f>
        <v/>
      </c>
      <c r="AH10" s="17" t="str">
        <f>IFERROR(VLOOKUP(シフト組み!AH40,役職一覧!$B:$D,2,FALSE),"")</f>
        <v/>
      </c>
      <c r="AI10" s="17" t="str">
        <f>IFERROR(VLOOKUP(シフト組み!AI40,役職一覧!$B:$D,2,FALSE),"")</f>
        <v/>
      </c>
      <c r="AJ10" s="17" t="str">
        <f>IFERROR(VLOOKUP(シフト組み!AJ40,役職一覧!$B:$D,2,FALSE),"")</f>
        <v/>
      </c>
      <c r="AK10" s="17" t="str">
        <f>IFERROR(VLOOKUP(シフト組み!AK40,役職一覧!$B:$D,2,FALSE),"")</f>
        <v/>
      </c>
      <c r="AL10" s="17" t="str">
        <f>IFERROR(VLOOKUP(シフト組み!AL40,役職一覧!$B:$D,2,FALSE),"")</f>
        <v/>
      </c>
      <c r="AM10" s="17" t="str">
        <f>IFERROR(VLOOKUP(シフト組み!AM40,役職一覧!$B:$D,2,FALSE),"")</f>
        <v/>
      </c>
      <c r="AN10" s="17" t="str">
        <f>IFERROR(VLOOKUP(シフト組み!AN40,役職一覧!$B:$D,2,FALSE),"")</f>
        <v/>
      </c>
      <c r="AO10" s="17" t="str">
        <f>IFERROR(VLOOKUP(シフト組み!AO40,役職一覧!$B:$D,2,FALSE),"")</f>
        <v/>
      </c>
      <c r="AP10" s="17" t="str">
        <f>IFERROR(VLOOKUP(シフト組み!AP40,役職一覧!$B:$D,2,FALSE),"")</f>
        <v/>
      </c>
      <c r="AQ10" s="17" t="str">
        <f>IFERROR(VLOOKUP(シフト組み!AQ40,役職一覧!$B:$D,2,FALSE),"")</f>
        <v/>
      </c>
      <c r="AR10" s="17" t="str">
        <f>IFERROR(VLOOKUP(シフト組み!AR40,役職一覧!$B:$D,2,FALSE),"")</f>
        <v/>
      </c>
      <c r="AS10" s="17" t="str">
        <f>IFERROR(VLOOKUP(シフト組み!AS40,役職一覧!$B:$D,2,FALSE),"")</f>
        <v/>
      </c>
      <c r="AT10" s="17" t="str">
        <f>IFERROR(VLOOKUP(シフト組み!AT40,役職一覧!$B:$D,2,FALSE),"")</f>
        <v/>
      </c>
      <c r="AU10" s="17" t="str">
        <f>IFERROR(VLOOKUP(シフト組み!AU40,役職一覧!$B:$D,2,FALSE),"")</f>
        <v/>
      </c>
      <c r="AV10" s="17" t="str">
        <f>IFERROR(VLOOKUP(シフト組み!AV40,役職一覧!$B:$D,2,FALSE),"")</f>
        <v/>
      </c>
      <c r="AW10" s="17" t="str">
        <f>IFERROR(VLOOKUP(シフト組み!AW40,役職一覧!$B:$D,2,FALSE),"")</f>
        <v/>
      </c>
      <c r="AX10" s="17" t="str">
        <f>IFERROR(VLOOKUP(シフト組み!AX40,役職一覧!$B:$D,2,FALSE),"")</f>
        <v/>
      </c>
      <c r="AY10" s="17" t="str">
        <f>IFERROR(VLOOKUP(シフト組み!AY40,役職一覧!$B:$D,2,FALSE),"")</f>
        <v/>
      </c>
      <c r="AZ10" s="17" t="str">
        <f>IFERROR(VLOOKUP(シフト組み!AZ40,役職一覧!$B:$D,2,FALSE),"")</f>
        <v/>
      </c>
      <c r="BA10" s="17" t="str">
        <f>IFERROR(VLOOKUP(シフト組み!BA40,役職一覧!$B:$D,2,FALSE),"")</f>
        <v/>
      </c>
    </row>
    <row r="11" spans="1:53">
      <c r="A11" s="2" t="str">
        <f>シフト組み!A41&amp;""</f>
        <v>10</v>
      </c>
      <c r="B11" s="2" t="str">
        <f>シフト組み!B41&amp;""</f>
        <v/>
      </c>
      <c r="C11" s="2" t="str">
        <f>シフト組み!C41&amp;""</f>
        <v/>
      </c>
      <c r="D11" s="17" t="str">
        <f>IFERROR(VLOOKUP(シフト組み!D41,役職一覧!$B:$D,2,FALSE),"")</f>
        <v/>
      </c>
      <c r="E11" s="17" t="str">
        <f>IFERROR(VLOOKUP(シフト組み!E41,役職一覧!$B:$D,2,FALSE),"")</f>
        <v/>
      </c>
      <c r="F11" s="17" t="str">
        <f>IFERROR(VLOOKUP(シフト組み!F41,役職一覧!$B:$D,2,FALSE),"")</f>
        <v/>
      </c>
      <c r="G11" s="17" t="str">
        <f>IFERROR(VLOOKUP(シフト組み!G41,役職一覧!$B:$D,2,FALSE),"")</f>
        <v/>
      </c>
      <c r="H11" s="17" t="str">
        <f>IFERROR(VLOOKUP(シフト組み!H41,役職一覧!$B:$D,2,FALSE),"")</f>
        <v/>
      </c>
      <c r="I11" s="17" t="str">
        <f>IFERROR(VLOOKUP(シフト組み!I41,役職一覧!$B:$D,2,FALSE),"")</f>
        <v/>
      </c>
      <c r="J11" s="17" t="str">
        <f>IFERROR(VLOOKUP(シフト組み!J41,役職一覧!$B:$D,2,FALSE),"")</f>
        <v/>
      </c>
      <c r="K11" s="17" t="str">
        <f>IFERROR(VLOOKUP(シフト組み!K41,役職一覧!$B:$D,2,FALSE),"")</f>
        <v/>
      </c>
      <c r="L11" s="17" t="str">
        <f>IFERROR(VLOOKUP(シフト組み!L41,役職一覧!$B:$D,2,FALSE),"")</f>
        <v/>
      </c>
      <c r="M11" s="17" t="str">
        <f>IFERROR(VLOOKUP(シフト組み!M41,役職一覧!$B:$D,2,FALSE),"")</f>
        <v/>
      </c>
      <c r="N11" s="17" t="str">
        <f>IFERROR(VLOOKUP(シフト組み!N41,役職一覧!$B:$D,2,FALSE),"")</f>
        <v/>
      </c>
      <c r="O11" s="17" t="str">
        <f>IFERROR(VLOOKUP(シフト組み!O41,役職一覧!$B:$D,2,FALSE),"")</f>
        <v/>
      </c>
      <c r="P11" s="17" t="str">
        <f>IFERROR(VLOOKUP(シフト組み!P41,役職一覧!$B:$D,2,FALSE),"")</f>
        <v/>
      </c>
      <c r="Q11" s="17" t="str">
        <f>IFERROR(VLOOKUP(シフト組み!Q41,役職一覧!$B:$D,2,FALSE),"")</f>
        <v/>
      </c>
      <c r="R11" s="17" t="str">
        <f>IFERROR(VLOOKUP(シフト組み!R41,役職一覧!$B:$D,2,FALSE),"")</f>
        <v/>
      </c>
      <c r="S11" s="17" t="str">
        <f>IFERROR(VLOOKUP(シフト組み!S41,役職一覧!$B:$D,2,FALSE),"")</f>
        <v/>
      </c>
      <c r="T11" s="17" t="str">
        <f>IFERROR(VLOOKUP(シフト組み!T41,役職一覧!$B:$D,2,FALSE),"")</f>
        <v/>
      </c>
      <c r="U11" s="17" t="str">
        <f>IFERROR(VLOOKUP(シフト組み!U41,役職一覧!$B:$D,2,FALSE),"")</f>
        <v/>
      </c>
      <c r="V11" s="17" t="str">
        <f>IFERROR(VLOOKUP(シフト組み!V41,役職一覧!$B:$D,2,FALSE),"")</f>
        <v/>
      </c>
      <c r="W11" s="17" t="str">
        <f>IFERROR(VLOOKUP(シフト組み!W41,役職一覧!$B:$D,2,FALSE),"")</f>
        <v/>
      </c>
      <c r="X11" s="17" t="str">
        <f>IFERROR(VLOOKUP(シフト組み!X41,役職一覧!$B:$D,2,FALSE),"")</f>
        <v/>
      </c>
      <c r="Y11" s="17" t="str">
        <f>IFERROR(VLOOKUP(シフト組み!Y41,役職一覧!$B:$D,2,FALSE),"")</f>
        <v/>
      </c>
      <c r="Z11" s="17" t="str">
        <f>IFERROR(VLOOKUP(シフト組み!Z41,役職一覧!$B:$D,2,FALSE),"")</f>
        <v/>
      </c>
      <c r="AA11" s="17" t="str">
        <f>IFERROR(VLOOKUP(シフト組み!AA41,役職一覧!$B:$D,2,FALSE),"")</f>
        <v/>
      </c>
      <c r="AB11" s="17" t="str">
        <f>IFERROR(VLOOKUP(シフト組み!AB41,役職一覧!$B:$D,2,FALSE),"")</f>
        <v/>
      </c>
      <c r="AC11" s="17" t="str">
        <f>IFERROR(VLOOKUP(シフト組み!AC41,役職一覧!$B:$D,2,FALSE),"")</f>
        <v/>
      </c>
      <c r="AD11" s="17" t="str">
        <f>IFERROR(VLOOKUP(シフト組み!AD41,役職一覧!$B:$D,2,FALSE),"")</f>
        <v/>
      </c>
      <c r="AE11" s="17" t="str">
        <f>IFERROR(VLOOKUP(シフト組み!AE41,役職一覧!$B:$D,2,FALSE),"")</f>
        <v/>
      </c>
      <c r="AF11" s="17" t="str">
        <f>IFERROR(VLOOKUP(シフト組み!AF41,役職一覧!$B:$D,2,FALSE),"")</f>
        <v/>
      </c>
      <c r="AG11" s="17" t="str">
        <f>IFERROR(VLOOKUP(シフト組み!AG41,役職一覧!$B:$D,2,FALSE),"")</f>
        <v/>
      </c>
      <c r="AH11" s="17" t="str">
        <f>IFERROR(VLOOKUP(シフト組み!AH41,役職一覧!$B:$D,2,FALSE),"")</f>
        <v/>
      </c>
      <c r="AI11" s="17" t="str">
        <f>IFERROR(VLOOKUP(シフト組み!AI41,役職一覧!$B:$D,2,FALSE),"")</f>
        <v/>
      </c>
      <c r="AJ11" s="17" t="str">
        <f>IFERROR(VLOOKUP(シフト組み!AJ41,役職一覧!$B:$D,2,FALSE),"")</f>
        <v/>
      </c>
      <c r="AK11" s="17" t="str">
        <f>IFERROR(VLOOKUP(シフト組み!AK41,役職一覧!$B:$D,2,FALSE),"")</f>
        <v/>
      </c>
      <c r="AL11" s="17" t="str">
        <f>IFERROR(VLOOKUP(シフト組み!AL41,役職一覧!$B:$D,2,FALSE),"")</f>
        <v/>
      </c>
      <c r="AM11" s="17" t="str">
        <f>IFERROR(VLOOKUP(シフト組み!AM41,役職一覧!$B:$D,2,FALSE),"")</f>
        <v/>
      </c>
      <c r="AN11" s="17" t="str">
        <f>IFERROR(VLOOKUP(シフト組み!AN41,役職一覧!$B:$D,2,FALSE),"")</f>
        <v/>
      </c>
      <c r="AO11" s="17" t="str">
        <f>IFERROR(VLOOKUP(シフト組み!AO41,役職一覧!$B:$D,2,FALSE),"")</f>
        <v/>
      </c>
      <c r="AP11" s="17" t="str">
        <f>IFERROR(VLOOKUP(シフト組み!AP41,役職一覧!$B:$D,2,FALSE),"")</f>
        <v/>
      </c>
      <c r="AQ11" s="17" t="str">
        <f>IFERROR(VLOOKUP(シフト組み!AQ41,役職一覧!$B:$D,2,FALSE),"")</f>
        <v/>
      </c>
      <c r="AR11" s="17" t="str">
        <f>IFERROR(VLOOKUP(シフト組み!AR41,役職一覧!$B:$D,2,FALSE),"")</f>
        <v/>
      </c>
      <c r="AS11" s="17" t="str">
        <f>IFERROR(VLOOKUP(シフト組み!AS41,役職一覧!$B:$D,2,FALSE),"")</f>
        <v/>
      </c>
      <c r="AT11" s="17" t="str">
        <f>IFERROR(VLOOKUP(シフト組み!AT41,役職一覧!$B:$D,2,FALSE),"")</f>
        <v/>
      </c>
      <c r="AU11" s="17" t="str">
        <f>IFERROR(VLOOKUP(シフト組み!AU41,役職一覧!$B:$D,2,FALSE),"")</f>
        <v/>
      </c>
      <c r="AV11" s="17" t="str">
        <f>IFERROR(VLOOKUP(シフト組み!AV41,役職一覧!$B:$D,2,FALSE),"")</f>
        <v/>
      </c>
      <c r="AW11" s="17" t="str">
        <f>IFERROR(VLOOKUP(シフト組み!AW41,役職一覧!$B:$D,2,FALSE),"")</f>
        <v/>
      </c>
      <c r="AX11" s="17" t="str">
        <f>IFERROR(VLOOKUP(シフト組み!AX41,役職一覧!$B:$D,2,FALSE),"")</f>
        <v/>
      </c>
      <c r="AY11" s="17" t="str">
        <f>IFERROR(VLOOKUP(シフト組み!AY41,役職一覧!$B:$D,2,FALSE),"")</f>
        <v/>
      </c>
      <c r="AZ11" s="17" t="str">
        <f>IFERROR(VLOOKUP(シフト組み!AZ41,役職一覧!$B:$D,2,FALSE),"")</f>
        <v/>
      </c>
      <c r="BA11" s="17" t="str">
        <f>IFERROR(VLOOKUP(シフト組み!BA41,役職一覧!$B:$D,2,FALSE),"")</f>
        <v/>
      </c>
    </row>
    <row r="12" spans="1:53">
      <c r="A12" s="2" t="str">
        <f>シフト組み!A42&amp;""</f>
        <v/>
      </c>
      <c r="B12" s="2" t="str">
        <f>シフト組み!B42&amp;""</f>
        <v/>
      </c>
      <c r="C12" s="2" t="str">
        <f>シフト組み!C42&amp;""</f>
        <v/>
      </c>
      <c r="D12" s="17" t="str">
        <f>IFERROR(VLOOKUP(シフト組み!D42,役職一覧!$B:$D,2,FALSE),"")</f>
        <v/>
      </c>
      <c r="E12" s="17" t="str">
        <f>IFERROR(VLOOKUP(シフト組み!E42,役職一覧!$B:$D,2,FALSE),"")</f>
        <v/>
      </c>
      <c r="F12" s="17" t="str">
        <f>IFERROR(VLOOKUP(シフト組み!F42,役職一覧!$B:$D,2,FALSE),"")</f>
        <v/>
      </c>
      <c r="G12" s="17" t="str">
        <f>IFERROR(VLOOKUP(シフト組み!G42,役職一覧!$B:$D,2,FALSE),"")</f>
        <v/>
      </c>
      <c r="H12" s="17" t="str">
        <f>IFERROR(VLOOKUP(シフト組み!H42,役職一覧!$B:$D,2,FALSE),"")</f>
        <v/>
      </c>
      <c r="I12" s="17" t="str">
        <f>IFERROR(VLOOKUP(シフト組み!I42,役職一覧!$B:$D,2,FALSE),"")</f>
        <v/>
      </c>
      <c r="J12" s="17" t="str">
        <f>IFERROR(VLOOKUP(シフト組み!J42,役職一覧!$B:$D,2,FALSE),"")</f>
        <v/>
      </c>
      <c r="K12" s="17" t="str">
        <f>IFERROR(VLOOKUP(シフト組み!K42,役職一覧!$B:$D,2,FALSE),"")</f>
        <v/>
      </c>
      <c r="L12" s="17" t="str">
        <f>IFERROR(VLOOKUP(シフト組み!L42,役職一覧!$B:$D,2,FALSE),"")</f>
        <v/>
      </c>
      <c r="M12" s="17" t="str">
        <f>IFERROR(VLOOKUP(シフト組み!M42,役職一覧!$B:$D,2,FALSE),"")</f>
        <v/>
      </c>
      <c r="N12" s="17" t="str">
        <f>IFERROR(VLOOKUP(シフト組み!N42,役職一覧!$B:$D,2,FALSE),"")</f>
        <v/>
      </c>
      <c r="O12" s="17" t="str">
        <f>IFERROR(VLOOKUP(シフト組み!O42,役職一覧!$B:$D,2,FALSE),"")</f>
        <v/>
      </c>
      <c r="P12" s="17" t="str">
        <f>IFERROR(VLOOKUP(シフト組み!P42,役職一覧!$B:$D,2,FALSE),"")</f>
        <v/>
      </c>
      <c r="Q12" s="17" t="str">
        <f>IFERROR(VLOOKUP(シフト組み!Q42,役職一覧!$B:$D,2,FALSE),"")</f>
        <v/>
      </c>
      <c r="R12" s="17" t="str">
        <f>IFERROR(VLOOKUP(シフト組み!R42,役職一覧!$B:$D,2,FALSE),"")</f>
        <v/>
      </c>
      <c r="S12" s="17" t="str">
        <f>IFERROR(VLOOKUP(シフト組み!S42,役職一覧!$B:$D,2,FALSE),"")</f>
        <v/>
      </c>
      <c r="T12" s="17" t="str">
        <f>IFERROR(VLOOKUP(シフト組み!T42,役職一覧!$B:$D,2,FALSE),"")</f>
        <v/>
      </c>
      <c r="U12" s="17" t="str">
        <f>IFERROR(VLOOKUP(シフト組み!U42,役職一覧!$B:$D,2,FALSE),"")</f>
        <v/>
      </c>
      <c r="V12" s="17" t="str">
        <f>IFERROR(VLOOKUP(シフト組み!V42,役職一覧!$B:$D,2,FALSE),"")</f>
        <v/>
      </c>
      <c r="W12" s="17" t="str">
        <f>IFERROR(VLOOKUP(シフト組み!W42,役職一覧!$B:$D,2,FALSE),"")</f>
        <v/>
      </c>
      <c r="X12" s="17" t="str">
        <f>IFERROR(VLOOKUP(シフト組み!X42,役職一覧!$B:$D,2,FALSE),"")</f>
        <v/>
      </c>
      <c r="Y12" s="17" t="str">
        <f>IFERROR(VLOOKUP(シフト組み!Y42,役職一覧!$B:$D,2,FALSE),"")</f>
        <v/>
      </c>
      <c r="Z12" s="17" t="str">
        <f>IFERROR(VLOOKUP(シフト組み!Z42,役職一覧!$B:$D,2,FALSE),"")</f>
        <v/>
      </c>
      <c r="AA12" s="17" t="str">
        <f>IFERROR(VLOOKUP(シフト組み!AA42,役職一覧!$B:$D,2,FALSE),"")</f>
        <v/>
      </c>
      <c r="AB12" s="17" t="str">
        <f>IFERROR(VLOOKUP(シフト組み!AB42,役職一覧!$B:$D,2,FALSE),"")</f>
        <v/>
      </c>
      <c r="AC12" s="17" t="str">
        <f>IFERROR(VLOOKUP(シフト組み!AC42,役職一覧!$B:$D,2,FALSE),"")</f>
        <v/>
      </c>
      <c r="AD12" s="17" t="str">
        <f>IFERROR(VLOOKUP(シフト組み!AD42,役職一覧!$B:$D,2,FALSE),"")</f>
        <v/>
      </c>
      <c r="AE12" s="17" t="str">
        <f>IFERROR(VLOOKUP(シフト組み!AE42,役職一覧!$B:$D,2,FALSE),"")</f>
        <v/>
      </c>
      <c r="AF12" s="17" t="str">
        <f>IFERROR(VLOOKUP(シフト組み!AF42,役職一覧!$B:$D,2,FALSE),"")</f>
        <v/>
      </c>
      <c r="AG12" s="17" t="str">
        <f>IFERROR(VLOOKUP(シフト組み!AG42,役職一覧!$B:$D,2,FALSE),"")</f>
        <v/>
      </c>
      <c r="AH12" s="17" t="str">
        <f>IFERROR(VLOOKUP(シフト組み!AH42,役職一覧!$B:$D,2,FALSE),"")</f>
        <v/>
      </c>
      <c r="AI12" s="17" t="str">
        <f>IFERROR(VLOOKUP(シフト組み!AI42,役職一覧!$B:$D,2,FALSE),"")</f>
        <v/>
      </c>
      <c r="AJ12" s="17" t="str">
        <f>IFERROR(VLOOKUP(シフト組み!AJ42,役職一覧!$B:$D,2,FALSE),"")</f>
        <v/>
      </c>
      <c r="AK12" s="17" t="str">
        <f>IFERROR(VLOOKUP(シフト組み!AK42,役職一覧!$B:$D,2,FALSE),"")</f>
        <v/>
      </c>
      <c r="AL12" s="17" t="str">
        <f>IFERROR(VLOOKUP(シフト組み!AL42,役職一覧!$B:$D,2,FALSE),"")</f>
        <v/>
      </c>
      <c r="AM12" s="17" t="str">
        <f>IFERROR(VLOOKUP(シフト組み!AM42,役職一覧!$B:$D,2,FALSE),"")</f>
        <v/>
      </c>
      <c r="AN12" s="17" t="str">
        <f>IFERROR(VLOOKUP(シフト組み!AN42,役職一覧!$B:$D,2,FALSE),"")</f>
        <v/>
      </c>
      <c r="AO12" s="17" t="str">
        <f>IFERROR(VLOOKUP(シフト組み!AO42,役職一覧!$B:$D,2,FALSE),"")</f>
        <v/>
      </c>
      <c r="AP12" s="17" t="str">
        <f>IFERROR(VLOOKUP(シフト組み!AP42,役職一覧!$B:$D,2,FALSE),"")</f>
        <v/>
      </c>
      <c r="AQ12" s="17" t="str">
        <f>IFERROR(VLOOKUP(シフト組み!AQ42,役職一覧!$B:$D,2,FALSE),"")</f>
        <v/>
      </c>
      <c r="AR12" s="17" t="str">
        <f>IFERROR(VLOOKUP(シフト組み!AR42,役職一覧!$B:$D,2,FALSE),"")</f>
        <v/>
      </c>
      <c r="AS12" s="17" t="str">
        <f>IFERROR(VLOOKUP(シフト組み!AS42,役職一覧!$B:$D,2,FALSE),"")</f>
        <v/>
      </c>
      <c r="AT12" s="17" t="str">
        <f>IFERROR(VLOOKUP(シフト組み!AT42,役職一覧!$B:$D,2,FALSE),"")</f>
        <v/>
      </c>
      <c r="AU12" s="17" t="str">
        <f>IFERROR(VLOOKUP(シフト組み!AU42,役職一覧!$B:$D,2,FALSE),"")</f>
        <v/>
      </c>
      <c r="AV12" s="17" t="str">
        <f>IFERROR(VLOOKUP(シフト組み!AV42,役職一覧!$B:$D,2,FALSE),"")</f>
        <v/>
      </c>
      <c r="AW12" s="17" t="str">
        <f>IFERROR(VLOOKUP(シフト組み!AW42,役職一覧!$B:$D,2,FALSE),"")</f>
        <v/>
      </c>
      <c r="AX12" s="17" t="str">
        <f>IFERROR(VLOOKUP(シフト組み!AX42,役職一覧!$B:$D,2,FALSE),"")</f>
        <v/>
      </c>
      <c r="AY12" s="17" t="str">
        <f>IFERROR(VLOOKUP(シフト組み!AY42,役職一覧!$B:$D,2,FALSE),"")</f>
        <v/>
      </c>
      <c r="AZ12" s="17" t="str">
        <f>IFERROR(VLOOKUP(シフト組み!AZ42,役職一覧!$B:$D,2,FALSE),"")</f>
        <v/>
      </c>
      <c r="BA12" s="17" t="str">
        <f>IFERROR(VLOOKUP(シフト組み!BA42,役職一覧!$B:$D,2,FALSE),"")</f>
        <v/>
      </c>
    </row>
    <row r="13" spans="1:53">
      <c r="A13" s="2" t="str">
        <f>シフト組み!A43&amp;""</f>
        <v/>
      </c>
      <c r="B13" s="2" t="str">
        <f>シフト組み!B43&amp;""</f>
        <v/>
      </c>
      <c r="C13" s="2" t="str">
        <f>シフト組み!C43&amp;""</f>
        <v/>
      </c>
      <c r="D13" s="17" t="str">
        <f>IFERROR(VLOOKUP(シフト組み!D43,役職一覧!$B:$D,2,FALSE),"")</f>
        <v/>
      </c>
      <c r="E13" s="17" t="str">
        <f>IFERROR(VLOOKUP(シフト組み!E43,役職一覧!$B:$D,2,FALSE),"")</f>
        <v/>
      </c>
      <c r="F13" s="17" t="str">
        <f>IFERROR(VLOOKUP(シフト組み!F43,役職一覧!$B:$D,2,FALSE),"")</f>
        <v/>
      </c>
      <c r="G13" s="17" t="str">
        <f>IFERROR(VLOOKUP(シフト組み!G43,役職一覧!$B:$D,2,FALSE),"")</f>
        <v/>
      </c>
      <c r="H13" s="17" t="str">
        <f>IFERROR(VLOOKUP(シフト組み!H43,役職一覧!$B:$D,2,FALSE),"")</f>
        <v/>
      </c>
      <c r="I13" s="17" t="str">
        <f>IFERROR(VLOOKUP(シフト組み!I43,役職一覧!$B:$D,2,FALSE),"")</f>
        <v/>
      </c>
      <c r="J13" s="17" t="str">
        <f>IFERROR(VLOOKUP(シフト組み!J43,役職一覧!$B:$D,2,FALSE),"")</f>
        <v/>
      </c>
      <c r="K13" s="17" t="str">
        <f>IFERROR(VLOOKUP(シフト組み!K43,役職一覧!$B:$D,2,FALSE),"")</f>
        <v/>
      </c>
      <c r="L13" s="17" t="str">
        <f>IFERROR(VLOOKUP(シフト組み!L43,役職一覧!$B:$D,2,FALSE),"")</f>
        <v/>
      </c>
      <c r="M13" s="17" t="str">
        <f>IFERROR(VLOOKUP(シフト組み!M43,役職一覧!$B:$D,2,FALSE),"")</f>
        <v/>
      </c>
      <c r="N13" s="17" t="str">
        <f>IFERROR(VLOOKUP(シフト組み!N43,役職一覧!$B:$D,2,FALSE),"")</f>
        <v/>
      </c>
      <c r="O13" s="17" t="str">
        <f>IFERROR(VLOOKUP(シフト組み!O43,役職一覧!$B:$D,2,FALSE),"")</f>
        <v/>
      </c>
      <c r="P13" s="17" t="str">
        <f>IFERROR(VLOOKUP(シフト組み!P43,役職一覧!$B:$D,2,FALSE),"")</f>
        <v/>
      </c>
      <c r="Q13" s="17" t="str">
        <f>IFERROR(VLOOKUP(シフト組み!Q43,役職一覧!$B:$D,2,FALSE),"")</f>
        <v/>
      </c>
      <c r="R13" s="17" t="str">
        <f>IFERROR(VLOOKUP(シフト組み!R43,役職一覧!$B:$D,2,FALSE),"")</f>
        <v/>
      </c>
      <c r="S13" s="17" t="str">
        <f>IFERROR(VLOOKUP(シフト組み!S43,役職一覧!$B:$D,2,FALSE),"")</f>
        <v/>
      </c>
      <c r="T13" s="17" t="str">
        <f>IFERROR(VLOOKUP(シフト組み!T43,役職一覧!$B:$D,2,FALSE),"")</f>
        <v/>
      </c>
      <c r="U13" s="17" t="str">
        <f>IFERROR(VLOOKUP(シフト組み!U43,役職一覧!$B:$D,2,FALSE),"")</f>
        <v/>
      </c>
      <c r="V13" s="17" t="str">
        <f>IFERROR(VLOOKUP(シフト組み!V43,役職一覧!$B:$D,2,FALSE),"")</f>
        <v/>
      </c>
      <c r="W13" s="17" t="str">
        <f>IFERROR(VLOOKUP(シフト組み!W43,役職一覧!$B:$D,2,FALSE),"")</f>
        <v/>
      </c>
      <c r="X13" s="17" t="str">
        <f>IFERROR(VLOOKUP(シフト組み!X43,役職一覧!$B:$D,2,FALSE),"")</f>
        <v/>
      </c>
      <c r="Y13" s="17" t="str">
        <f>IFERROR(VLOOKUP(シフト組み!Y43,役職一覧!$B:$D,2,FALSE),"")</f>
        <v/>
      </c>
      <c r="Z13" s="17" t="str">
        <f>IFERROR(VLOOKUP(シフト組み!Z43,役職一覧!$B:$D,2,FALSE),"")</f>
        <v/>
      </c>
      <c r="AA13" s="17" t="str">
        <f>IFERROR(VLOOKUP(シフト組み!AA43,役職一覧!$B:$D,2,FALSE),"")</f>
        <v/>
      </c>
      <c r="AB13" s="17" t="str">
        <f>IFERROR(VLOOKUP(シフト組み!AB43,役職一覧!$B:$D,2,FALSE),"")</f>
        <v/>
      </c>
      <c r="AC13" s="17" t="str">
        <f>IFERROR(VLOOKUP(シフト組み!AC43,役職一覧!$B:$D,2,FALSE),"")</f>
        <v/>
      </c>
      <c r="AD13" s="17" t="str">
        <f>IFERROR(VLOOKUP(シフト組み!AD43,役職一覧!$B:$D,2,FALSE),"")</f>
        <v/>
      </c>
      <c r="AE13" s="17" t="str">
        <f>IFERROR(VLOOKUP(シフト組み!AE43,役職一覧!$B:$D,2,FALSE),"")</f>
        <v/>
      </c>
      <c r="AF13" s="17" t="str">
        <f>IFERROR(VLOOKUP(シフト組み!AF43,役職一覧!$B:$D,2,FALSE),"")</f>
        <v/>
      </c>
      <c r="AG13" s="17" t="str">
        <f>IFERROR(VLOOKUP(シフト組み!AG43,役職一覧!$B:$D,2,FALSE),"")</f>
        <v/>
      </c>
      <c r="AH13" s="17" t="str">
        <f>IFERROR(VLOOKUP(シフト組み!AH43,役職一覧!$B:$D,2,FALSE),"")</f>
        <v/>
      </c>
      <c r="AI13" s="17" t="str">
        <f>IFERROR(VLOOKUP(シフト組み!AI43,役職一覧!$B:$D,2,FALSE),"")</f>
        <v/>
      </c>
      <c r="AJ13" s="17" t="str">
        <f>IFERROR(VLOOKUP(シフト組み!AJ43,役職一覧!$B:$D,2,FALSE),"")</f>
        <v/>
      </c>
      <c r="AK13" s="17" t="str">
        <f>IFERROR(VLOOKUP(シフト組み!AK43,役職一覧!$B:$D,2,FALSE),"")</f>
        <v/>
      </c>
      <c r="AL13" s="17" t="str">
        <f>IFERROR(VLOOKUP(シフト組み!AL43,役職一覧!$B:$D,2,FALSE),"")</f>
        <v/>
      </c>
      <c r="AM13" s="17" t="str">
        <f>IFERROR(VLOOKUP(シフト組み!AM43,役職一覧!$B:$D,2,FALSE),"")</f>
        <v/>
      </c>
      <c r="AN13" s="17" t="str">
        <f>IFERROR(VLOOKUP(シフト組み!AN43,役職一覧!$B:$D,2,FALSE),"")</f>
        <v/>
      </c>
      <c r="AO13" s="17" t="str">
        <f>IFERROR(VLOOKUP(シフト組み!AO43,役職一覧!$B:$D,2,FALSE),"")</f>
        <v/>
      </c>
      <c r="AP13" s="17" t="str">
        <f>IFERROR(VLOOKUP(シフト組み!AP43,役職一覧!$B:$D,2,FALSE),"")</f>
        <v/>
      </c>
      <c r="AQ13" s="17" t="str">
        <f>IFERROR(VLOOKUP(シフト組み!AQ43,役職一覧!$B:$D,2,FALSE),"")</f>
        <v/>
      </c>
      <c r="AR13" s="17" t="str">
        <f>IFERROR(VLOOKUP(シフト組み!AR43,役職一覧!$B:$D,2,FALSE),"")</f>
        <v/>
      </c>
      <c r="AS13" s="17" t="str">
        <f>IFERROR(VLOOKUP(シフト組み!AS43,役職一覧!$B:$D,2,FALSE),"")</f>
        <v/>
      </c>
      <c r="AT13" s="17" t="str">
        <f>IFERROR(VLOOKUP(シフト組み!AT43,役職一覧!$B:$D,2,FALSE),"")</f>
        <v/>
      </c>
      <c r="AU13" s="17" t="str">
        <f>IFERROR(VLOOKUP(シフト組み!AU43,役職一覧!$B:$D,2,FALSE),"")</f>
        <v/>
      </c>
      <c r="AV13" s="17" t="str">
        <f>IFERROR(VLOOKUP(シフト組み!AV43,役職一覧!$B:$D,2,FALSE),"")</f>
        <v/>
      </c>
      <c r="AW13" s="17" t="str">
        <f>IFERROR(VLOOKUP(シフト組み!AW43,役職一覧!$B:$D,2,FALSE),"")</f>
        <v/>
      </c>
      <c r="AX13" s="17" t="str">
        <f>IFERROR(VLOOKUP(シフト組み!AX43,役職一覧!$B:$D,2,FALSE),"")</f>
        <v/>
      </c>
      <c r="AY13" s="17" t="str">
        <f>IFERROR(VLOOKUP(シフト組み!AY43,役職一覧!$B:$D,2,FALSE),"")</f>
        <v/>
      </c>
      <c r="AZ13" s="17" t="str">
        <f>IFERROR(VLOOKUP(シフト組み!AZ43,役職一覧!$B:$D,2,FALSE),"")</f>
        <v/>
      </c>
      <c r="BA13" s="17" t="str">
        <f>IFERROR(VLOOKUP(シフト組み!BA43,役職一覧!$B:$D,2,FALSE),"")</f>
        <v/>
      </c>
    </row>
    <row r="14" spans="1:53">
      <c r="A14" s="2" t="str">
        <f>シフト組み!A44&amp;""</f>
        <v/>
      </c>
      <c r="B14" s="2" t="str">
        <f>シフト組み!B44&amp;""</f>
        <v/>
      </c>
      <c r="C14" s="2" t="str">
        <f>シフト組み!C44&amp;""</f>
        <v/>
      </c>
      <c r="D14" s="17" t="str">
        <f>IFERROR(VLOOKUP(シフト組み!D44,役職一覧!$B:$D,2,FALSE),"")</f>
        <v/>
      </c>
      <c r="E14" s="17" t="str">
        <f>IFERROR(VLOOKUP(シフト組み!E44,役職一覧!$B:$D,2,FALSE),"")</f>
        <v/>
      </c>
      <c r="F14" s="17" t="str">
        <f>IFERROR(VLOOKUP(シフト組み!F44,役職一覧!$B:$D,2,FALSE),"")</f>
        <v/>
      </c>
      <c r="G14" s="17" t="str">
        <f>IFERROR(VLOOKUP(シフト組み!G44,役職一覧!$B:$D,2,FALSE),"")</f>
        <v/>
      </c>
      <c r="H14" s="17" t="str">
        <f>IFERROR(VLOOKUP(シフト組み!H44,役職一覧!$B:$D,2,FALSE),"")</f>
        <v/>
      </c>
      <c r="I14" s="17" t="str">
        <f>IFERROR(VLOOKUP(シフト組み!I44,役職一覧!$B:$D,2,FALSE),"")</f>
        <v/>
      </c>
      <c r="J14" s="17" t="str">
        <f>IFERROR(VLOOKUP(シフト組み!J44,役職一覧!$B:$D,2,FALSE),"")</f>
        <v/>
      </c>
      <c r="K14" s="17" t="str">
        <f>IFERROR(VLOOKUP(シフト組み!K44,役職一覧!$B:$D,2,FALSE),"")</f>
        <v/>
      </c>
      <c r="L14" s="17" t="str">
        <f>IFERROR(VLOOKUP(シフト組み!L44,役職一覧!$B:$D,2,FALSE),"")</f>
        <v/>
      </c>
      <c r="M14" s="17" t="str">
        <f>IFERROR(VLOOKUP(シフト組み!M44,役職一覧!$B:$D,2,FALSE),"")</f>
        <v/>
      </c>
      <c r="N14" s="17" t="str">
        <f>IFERROR(VLOOKUP(シフト組み!N44,役職一覧!$B:$D,2,FALSE),"")</f>
        <v/>
      </c>
      <c r="O14" s="17" t="str">
        <f>IFERROR(VLOOKUP(シフト組み!O44,役職一覧!$B:$D,2,FALSE),"")</f>
        <v/>
      </c>
      <c r="P14" s="17" t="str">
        <f>IFERROR(VLOOKUP(シフト組み!P44,役職一覧!$B:$D,2,FALSE),"")</f>
        <v/>
      </c>
      <c r="Q14" s="17" t="str">
        <f>IFERROR(VLOOKUP(シフト組み!Q44,役職一覧!$B:$D,2,FALSE),"")</f>
        <v/>
      </c>
      <c r="R14" s="17" t="str">
        <f>IFERROR(VLOOKUP(シフト組み!R44,役職一覧!$B:$D,2,FALSE),"")</f>
        <v/>
      </c>
      <c r="S14" s="17" t="str">
        <f>IFERROR(VLOOKUP(シフト組み!S44,役職一覧!$B:$D,2,FALSE),"")</f>
        <v/>
      </c>
      <c r="T14" s="17" t="str">
        <f>IFERROR(VLOOKUP(シフト組み!T44,役職一覧!$B:$D,2,FALSE),"")</f>
        <v/>
      </c>
      <c r="U14" s="17" t="str">
        <f>IFERROR(VLOOKUP(シフト組み!U44,役職一覧!$B:$D,2,FALSE),"")</f>
        <v/>
      </c>
      <c r="V14" s="17" t="str">
        <f>IFERROR(VLOOKUP(シフト組み!V44,役職一覧!$B:$D,2,FALSE),"")</f>
        <v/>
      </c>
      <c r="W14" s="17" t="str">
        <f>IFERROR(VLOOKUP(シフト組み!W44,役職一覧!$B:$D,2,FALSE),"")</f>
        <v/>
      </c>
      <c r="X14" s="17" t="str">
        <f>IFERROR(VLOOKUP(シフト組み!X44,役職一覧!$B:$D,2,FALSE),"")</f>
        <v/>
      </c>
      <c r="Y14" s="17" t="str">
        <f>IFERROR(VLOOKUP(シフト組み!Y44,役職一覧!$B:$D,2,FALSE),"")</f>
        <v/>
      </c>
      <c r="Z14" s="17" t="str">
        <f>IFERROR(VLOOKUP(シフト組み!Z44,役職一覧!$B:$D,2,FALSE),"")</f>
        <v/>
      </c>
      <c r="AA14" s="17" t="str">
        <f>IFERROR(VLOOKUP(シフト組み!AA44,役職一覧!$B:$D,2,FALSE),"")</f>
        <v/>
      </c>
      <c r="AB14" s="17" t="str">
        <f>IFERROR(VLOOKUP(シフト組み!AB44,役職一覧!$B:$D,2,FALSE),"")</f>
        <v/>
      </c>
      <c r="AC14" s="17" t="str">
        <f>IFERROR(VLOOKUP(シフト組み!AC44,役職一覧!$B:$D,2,FALSE),"")</f>
        <v/>
      </c>
      <c r="AD14" s="17" t="str">
        <f>IFERROR(VLOOKUP(シフト組み!AD44,役職一覧!$B:$D,2,FALSE),"")</f>
        <v/>
      </c>
      <c r="AE14" s="17" t="str">
        <f>IFERROR(VLOOKUP(シフト組み!AE44,役職一覧!$B:$D,2,FALSE),"")</f>
        <v/>
      </c>
      <c r="AF14" s="17" t="str">
        <f>IFERROR(VLOOKUP(シフト組み!AF44,役職一覧!$B:$D,2,FALSE),"")</f>
        <v/>
      </c>
      <c r="AG14" s="17" t="str">
        <f>IFERROR(VLOOKUP(シフト組み!AG44,役職一覧!$B:$D,2,FALSE),"")</f>
        <v/>
      </c>
      <c r="AH14" s="17" t="str">
        <f>IFERROR(VLOOKUP(シフト組み!AH44,役職一覧!$B:$D,2,FALSE),"")</f>
        <v/>
      </c>
      <c r="AI14" s="17" t="str">
        <f>IFERROR(VLOOKUP(シフト組み!AI44,役職一覧!$B:$D,2,FALSE),"")</f>
        <v/>
      </c>
      <c r="AJ14" s="17" t="str">
        <f>IFERROR(VLOOKUP(シフト組み!AJ44,役職一覧!$B:$D,2,FALSE),"")</f>
        <v/>
      </c>
      <c r="AK14" s="17" t="str">
        <f>IFERROR(VLOOKUP(シフト組み!AK44,役職一覧!$B:$D,2,FALSE),"")</f>
        <v/>
      </c>
      <c r="AL14" s="17" t="str">
        <f>IFERROR(VLOOKUP(シフト組み!AL44,役職一覧!$B:$D,2,FALSE),"")</f>
        <v/>
      </c>
      <c r="AM14" s="17" t="str">
        <f>IFERROR(VLOOKUP(シフト組み!AM44,役職一覧!$B:$D,2,FALSE),"")</f>
        <v/>
      </c>
      <c r="AN14" s="17" t="str">
        <f>IFERROR(VLOOKUP(シフト組み!AN44,役職一覧!$B:$D,2,FALSE),"")</f>
        <v/>
      </c>
      <c r="AO14" s="17" t="str">
        <f>IFERROR(VLOOKUP(シフト組み!AO44,役職一覧!$B:$D,2,FALSE),"")</f>
        <v/>
      </c>
      <c r="AP14" s="17" t="str">
        <f>IFERROR(VLOOKUP(シフト組み!AP44,役職一覧!$B:$D,2,FALSE),"")</f>
        <v/>
      </c>
      <c r="AQ14" s="17" t="str">
        <f>IFERROR(VLOOKUP(シフト組み!AQ44,役職一覧!$B:$D,2,FALSE),"")</f>
        <v/>
      </c>
      <c r="AR14" s="17" t="str">
        <f>IFERROR(VLOOKUP(シフト組み!AR44,役職一覧!$B:$D,2,FALSE),"")</f>
        <v/>
      </c>
      <c r="AS14" s="17" t="str">
        <f>IFERROR(VLOOKUP(シフト組み!AS44,役職一覧!$B:$D,2,FALSE),"")</f>
        <v/>
      </c>
      <c r="AT14" s="17" t="str">
        <f>IFERROR(VLOOKUP(シフト組み!AT44,役職一覧!$B:$D,2,FALSE),"")</f>
        <v/>
      </c>
      <c r="AU14" s="17" t="str">
        <f>IFERROR(VLOOKUP(シフト組み!AU44,役職一覧!$B:$D,2,FALSE),"")</f>
        <v/>
      </c>
      <c r="AV14" s="17" t="str">
        <f>IFERROR(VLOOKUP(シフト組み!AV44,役職一覧!$B:$D,2,FALSE),"")</f>
        <v/>
      </c>
      <c r="AW14" s="17" t="str">
        <f>IFERROR(VLOOKUP(シフト組み!AW44,役職一覧!$B:$D,2,FALSE),"")</f>
        <v/>
      </c>
      <c r="AX14" s="17" t="str">
        <f>IFERROR(VLOOKUP(シフト組み!AX44,役職一覧!$B:$D,2,FALSE),"")</f>
        <v/>
      </c>
      <c r="AY14" s="17" t="str">
        <f>IFERROR(VLOOKUP(シフト組み!AY44,役職一覧!$B:$D,2,FALSE),"")</f>
        <v/>
      </c>
      <c r="AZ14" s="17" t="str">
        <f>IFERROR(VLOOKUP(シフト組み!AZ44,役職一覧!$B:$D,2,FALSE),"")</f>
        <v/>
      </c>
      <c r="BA14" s="17" t="str">
        <f>IFERROR(VLOOKUP(シフト組み!BA44,役職一覧!$B:$D,2,FALSE),"")</f>
        <v/>
      </c>
    </row>
    <row r="15" spans="1:53">
      <c r="A15" s="2" t="str">
        <f>シフト組み!A45&amp;""</f>
        <v/>
      </c>
      <c r="B15" s="2" t="str">
        <f>シフト組み!B45&amp;""</f>
        <v/>
      </c>
      <c r="C15" s="2" t="str">
        <f>シフト組み!C45&amp;""</f>
        <v/>
      </c>
      <c r="D15" s="17" t="str">
        <f>IFERROR(VLOOKUP(シフト組み!D45,役職一覧!$B:$D,2,FALSE),"")</f>
        <v/>
      </c>
      <c r="E15" s="17" t="str">
        <f>IFERROR(VLOOKUP(シフト組み!E45,役職一覧!$B:$D,2,FALSE),"")</f>
        <v/>
      </c>
      <c r="F15" s="17" t="str">
        <f>IFERROR(VLOOKUP(シフト組み!F45,役職一覧!$B:$D,2,FALSE),"")</f>
        <v/>
      </c>
      <c r="G15" s="17" t="str">
        <f>IFERROR(VLOOKUP(シフト組み!G45,役職一覧!$B:$D,2,FALSE),"")</f>
        <v/>
      </c>
      <c r="H15" s="17" t="str">
        <f>IFERROR(VLOOKUP(シフト組み!H45,役職一覧!$B:$D,2,FALSE),"")</f>
        <v/>
      </c>
      <c r="I15" s="17" t="str">
        <f>IFERROR(VLOOKUP(シフト組み!I45,役職一覧!$B:$D,2,FALSE),"")</f>
        <v/>
      </c>
      <c r="J15" s="17" t="str">
        <f>IFERROR(VLOOKUP(シフト組み!J45,役職一覧!$B:$D,2,FALSE),"")</f>
        <v/>
      </c>
      <c r="K15" s="17" t="str">
        <f>IFERROR(VLOOKUP(シフト組み!K45,役職一覧!$B:$D,2,FALSE),"")</f>
        <v/>
      </c>
      <c r="L15" s="17" t="str">
        <f>IFERROR(VLOOKUP(シフト組み!L45,役職一覧!$B:$D,2,FALSE),"")</f>
        <v/>
      </c>
      <c r="M15" s="17" t="str">
        <f>IFERROR(VLOOKUP(シフト組み!M45,役職一覧!$B:$D,2,FALSE),"")</f>
        <v/>
      </c>
      <c r="N15" s="17" t="str">
        <f>IFERROR(VLOOKUP(シフト組み!N45,役職一覧!$B:$D,2,FALSE),"")</f>
        <v/>
      </c>
      <c r="O15" s="17" t="str">
        <f>IFERROR(VLOOKUP(シフト組み!O45,役職一覧!$B:$D,2,FALSE),"")</f>
        <v/>
      </c>
      <c r="P15" s="17" t="str">
        <f>IFERROR(VLOOKUP(シフト組み!P45,役職一覧!$B:$D,2,FALSE),"")</f>
        <v/>
      </c>
      <c r="Q15" s="17" t="str">
        <f>IFERROR(VLOOKUP(シフト組み!Q45,役職一覧!$B:$D,2,FALSE),"")</f>
        <v/>
      </c>
      <c r="R15" s="17" t="str">
        <f>IFERROR(VLOOKUP(シフト組み!R45,役職一覧!$B:$D,2,FALSE),"")</f>
        <v/>
      </c>
      <c r="S15" s="17" t="str">
        <f>IFERROR(VLOOKUP(シフト組み!S45,役職一覧!$B:$D,2,FALSE),"")</f>
        <v/>
      </c>
      <c r="T15" s="17" t="str">
        <f>IFERROR(VLOOKUP(シフト組み!T45,役職一覧!$B:$D,2,FALSE),"")</f>
        <v/>
      </c>
      <c r="U15" s="17" t="str">
        <f>IFERROR(VLOOKUP(シフト組み!U45,役職一覧!$B:$D,2,FALSE),"")</f>
        <v/>
      </c>
      <c r="V15" s="17" t="str">
        <f>IFERROR(VLOOKUP(シフト組み!V45,役職一覧!$B:$D,2,FALSE),"")</f>
        <v/>
      </c>
      <c r="W15" s="17" t="str">
        <f>IFERROR(VLOOKUP(シフト組み!W45,役職一覧!$B:$D,2,FALSE),"")</f>
        <v/>
      </c>
      <c r="X15" s="17" t="str">
        <f>IFERROR(VLOOKUP(シフト組み!X45,役職一覧!$B:$D,2,FALSE),"")</f>
        <v/>
      </c>
      <c r="Y15" s="17" t="str">
        <f>IFERROR(VLOOKUP(シフト組み!Y45,役職一覧!$B:$D,2,FALSE),"")</f>
        <v/>
      </c>
      <c r="Z15" s="17" t="str">
        <f>IFERROR(VLOOKUP(シフト組み!Z45,役職一覧!$B:$D,2,FALSE),"")</f>
        <v/>
      </c>
      <c r="AA15" s="17" t="str">
        <f>IFERROR(VLOOKUP(シフト組み!AA45,役職一覧!$B:$D,2,FALSE),"")</f>
        <v/>
      </c>
      <c r="AB15" s="17" t="str">
        <f>IFERROR(VLOOKUP(シフト組み!AB45,役職一覧!$B:$D,2,FALSE),"")</f>
        <v/>
      </c>
      <c r="AC15" s="17" t="str">
        <f>IFERROR(VLOOKUP(シフト組み!AC45,役職一覧!$B:$D,2,FALSE),"")</f>
        <v/>
      </c>
      <c r="AD15" s="17" t="str">
        <f>IFERROR(VLOOKUP(シフト組み!AD45,役職一覧!$B:$D,2,FALSE),"")</f>
        <v/>
      </c>
      <c r="AE15" s="17" t="str">
        <f>IFERROR(VLOOKUP(シフト組み!AE45,役職一覧!$B:$D,2,FALSE),"")</f>
        <v/>
      </c>
      <c r="AF15" s="17" t="str">
        <f>IFERROR(VLOOKUP(シフト組み!AF45,役職一覧!$B:$D,2,FALSE),"")</f>
        <v/>
      </c>
      <c r="AG15" s="17" t="str">
        <f>IFERROR(VLOOKUP(シフト組み!AG45,役職一覧!$B:$D,2,FALSE),"")</f>
        <v/>
      </c>
      <c r="AH15" s="17" t="str">
        <f>IFERROR(VLOOKUP(シフト組み!AH45,役職一覧!$B:$D,2,FALSE),"")</f>
        <v/>
      </c>
      <c r="AI15" s="17" t="str">
        <f>IFERROR(VLOOKUP(シフト組み!AI45,役職一覧!$B:$D,2,FALSE),"")</f>
        <v/>
      </c>
      <c r="AJ15" s="17" t="str">
        <f>IFERROR(VLOOKUP(シフト組み!AJ45,役職一覧!$B:$D,2,FALSE),"")</f>
        <v/>
      </c>
      <c r="AK15" s="17" t="str">
        <f>IFERROR(VLOOKUP(シフト組み!AK45,役職一覧!$B:$D,2,FALSE),"")</f>
        <v/>
      </c>
      <c r="AL15" s="17" t="str">
        <f>IFERROR(VLOOKUP(シフト組み!AL45,役職一覧!$B:$D,2,FALSE),"")</f>
        <v/>
      </c>
      <c r="AM15" s="17" t="str">
        <f>IFERROR(VLOOKUP(シフト組み!AM45,役職一覧!$B:$D,2,FALSE),"")</f>
        <v/>
      </c>
      <c r="AN15" s="17" t="str">
        <f>IFERROR(VLOOKUP(シフト組み!AN45,役職一覧!$B:$D,2,FALSE),"")</f>
        <v/>
      </c>
      <c r="AO15" s="17" t="str">
        <f>IFERROR(VLOOKUP(シフト組み!AO45,役職一覧!$B:$D,2,FALSE),"")</f>
        <v/>
      </c>
      <c r="AP15" s="17" t="str">
        <f>IFERROR(VLOOKUP(シフト組み!AP45,役職一覧!$B:$D,2,FALSE),"")</f>
        <v/>
      </c>
      <c r="AQ15" s="17" t="str">
        <f>IFERROR(VLOOKUP(シフト組み!AQ45,役職一覧!$B:$D,2,FALSE),"")</f>
        <v/>
      </c>
      <c r="AR15" s="17" t="str">
        <f>IFERROR(VLOOKUP(シフト組み!AR45,役職一覧!$B:$D,2,FALSE),"")</f>
        <v/>
      </c>
      <c r="AS15" s="17" t="str">
        <f>IFERROR(VLOOKUP(シフト組み!AS45,役職一覧!$B:$D,2,FALSE),"")</f>
        <v/>
      </c>
      <c r="AT15" s="17" t="str">
        <f>IFERROR(VLOOKUP(シフト組み!AT45,役職一覧!$B:$D,2,FALSE),"")</f>
        <v/>
      </c>
      <c r="AU15" s="17" t="str">
        <f>IFERROR(VLOOKUP(シフト組み!AU45,役職一覧!$B:$D,2,FALSE),"")</f>
        <v/>
      </c>
      <c r="AV15" s="17" t="str">
        <f>IFERROR(VLOOKUP(シフト組み!AV45,役職一覧!$B:$D,2,FALSE),"")</f>
        <v/>
      </c>
      <c r="AW15" s="17" t="str">
        <f>IFERROR(VLOOKUP(シフト組み!AW45,役職一覧!$B:$D,2,FALSE),"")</f>
        <v/>
      </c>
      <c r="AX15" s="17" t="str">
        <f>IFERROR(VLOOKUP(シフト組み!AX45,役職一覧!$B:$D,2,FALSE),"")</f>
        <v/>
      </c>
      <c r="AY15" s="17" t="str">
        <f>IFERROR(VLOOKUP(シフト組み!AY45,役職一覧!$B:$D,2,FALSE),"")</f>
        <v/>
      </c>
      <c r="AZ15" s="17" t="str">
        <f>IFERROR(VLOOKUP(シフト組み!AZ45,役職一覧!$B:$D,2,FALSE),"")</f>
        <v/>
      </c>
      <c r="BA15" s="17" t="str">
        <f>IFERROR(VLOOKUP(シフト組み!BA45,役職一覧!$B:$D,2,FALSE),"")</f>
        <v/>
      </c>
    </row>
    <row r="16" spans="1:53">
      <c r="A16" s="2" t="str">
        <f>シフト組み!A46&amp;""</f>
        <v/>
      </c>
      <c r="B16" s="2" t="str">
        <f>シフト組み!B46&amp;""</f>
        <v/>
      </c>
      <c r="C16" s="2" t="str">
        <f>シフト組み!C46&amp;""</f>
        <v/>
      </c>
      <c r="D16" s="17" t="str">
        <f>IFERROR(VLOOKUP(シフト組み!D46,役職一覧!$B:$D,2,FALSE),"")</f>
        <v/>
      </c>
      <c r="E16" s="17" t="str">
        <f>IFERROR(VLOOKUP(シフト組み!E46,役職一覧!$B:$D,2,FALSE),"")</f>
        <v/>
      </c>
      <c r="F16" s="17" t="str">
        <f>IFERROR(VLOOKUP(シフト組み!F46,役職一覧!$B:$D,2,FALSE),"")</f>
        <v/>
      </c>
      <c r="G16" s="17" t="str">
        <f>IFERROR(VLOOKUP(シフト組み!G46,役職一覧!$B:$D,2,FALSE),"")</f>
        <v/>
      </c>
      <c r="H16" s="17" t="str">
        <f>IFERROR(VLOOKUP(シフト組み!H46,役職一覧!$B:$D,2,FALSE),"")</f>
        <v/>
      </c>
      <c r="I16" s="17" t="str">
        <f>IFERROR(VLOOKUP(シフト組み!I46,役職一覧!$B:$D,2,FALSE),"")</f>
        <v/>
      </c>
      <c r="J16" s="17" t="str">
        <f>IFERROR(VLOOKUP(シフト組み!J46,役職一覧!$B:$D,2,FALSE),"")</f>
        <v/>
      </c>
      <c r="K16" s="17" t="str">
        <f>IFERROR(VLOOKUP(シフト組み!K46,役職一覧!$B:$D,2,FALSE),"")</f>
        <v/>
      </c>
      <c r="L16" s="17" t="str">
        <f>IFERROR(VLOOKUP(シフト組み!L46,役職一覧!$B:$D,2,FALSE),"")</f>
        <v/>
      </c>
      <c r="M16" s="17" t="str">
        <f>IFERROR(VLOOKUP(シフト組み!M46,役職一覧!$B:$D,2,FALSE),"")</f>
        <v/>
      </c>
      <c r="N16" s="17" t="str">
        <f>IFERROR(VLOOKUP(シフト組み!N46,役職一覧!$B:$D,2,FALSE),"")</f>
        <v/>
      </c>
      <c r="O16" s="17" t="str">
        <f>IFERROR(VLOOKUP(シフト組み!O46,役職一覧!$B:$D,2,FALSE),"")</f>
        <v/>
      </c>
      <c r="P16" s="17" t="str">
        <f>IFERROR(VLOOKUP(シフト組み!P46,役職一覧!$B:$D,2,FALSE),"")</f>
        <v/>
      </c>
      <c r="Q16" s="17" t="str">
        <f>IFERROR(VLOOKUP(シフト組み!Q46,役職一覧!$B:$D,2,FALSE),"")</f>
        <v/>
      </c>
      <c r="R16" s="17" t="str">
        <f>IFERROR(VLOOKUP(シフト組み!R46,役職一覧!$B:$D,2,FALSE),"")</f>
        <v/>
      </c>
      <c r="S16" s="17" t="str">
        <f>IFERROR(VLOOKUP(シフト組み!S46,役職一覧!$B:$D,2,FALSE),"")</f>
        <v/>
      </c>
      <c r="T16" s="17" t="str">
        <f>IFERROR(VLOOKUP(シフト組み!T46,役職一覧!$B:$D,2,FALSE),"")</f>
        <v/>
      </c>
      <c r="U16" s="17" t="str">
        <f>IFERROR(VLOOKUP(シフト組み!U46,役職一覧!$B:$D,2,FALSE),"")</f>
        <v/>
      </c>
      <c r="V16" s="17" t="str">
        <f>IFERROR(VLOOKUP(シフト組み!V46,役職一覧!$B:$D,2,FALSE),"")</f>
        <v/>
      </c>
      <c r="W16" s="17" t="str">
        <f>IFERROR(VLOOKUP(シフト組み!W46,役職一覧!$B:$D,2,FALSE),"")</f>
        <v/>
      </c>
      <c r="X16" s="17" t="str">
        <f>IFERROR(VLOOKUP(シフト組み!X46,役職一覧!$B:$D,2,FALSE),"")</f>
        <v/>
      </c>
      <c r="Y16" s="17" t="str">
        <f>IFERROR(VLOOKUP(シフト組み!Y46,役職一覧!$B:$D,2,FALSE),"")</f>
        <v/>
      </c>
      <c r="Z16" s="17" t="str">
        <f>IFERROR(VLOOKUP(シフト組み!Z46,役職一覧!$B:$D,2,FALSE),"")</f>
        <v/>
      </c>
      <c r="AA16" s="17" t="str">
        <f>IFERROR(VLOOKUP(シフト組み!AA46,役職一覧!$B:$D,2,FALSE),"")</f>
        <v/>
      </c>
      <c r="AB16" s="17" t="str">
        <f>IFERROR(VLOOKUP(シフト組み!AB46,役職一覧!$B:$D,2,FALSE),"")</f>
        <v/>
      </c>
      <c r="AC16" s="17" t="str">
        <f>IFERROR(VLOOKUP(シフト組み!AC46,役職一覧!$B:$D,2,FALSE),"")</f>
        <v/>
      </c>
      <c r="AD16" s="17" t="str">
        <f>IFERROR(VLOOKUP(シフト組み!AD46,役職一覧!$B:$D,2,FALSE),"")</f>
        <v/>
      </c>
      <c r="AE16" s="17" t="str">
        <f>IFERROR(VLOOKUP(シフト組み!AE46,役職一覧!$B:$D,2,FALSE),"")</f>
        <v/>
      </c>
      <c r="AF16" s="17" t="str">
        <f>IFERROR(VLOOKUP(シフト組み!AF46,役職一覧!$B:$D,2,FALSE),"")</f>
        <v/>
      </c>
      <c r="AG16" s="17" t="str">
        <f>IFERROR(VLOOKUP(シフト組み!AG46,役職一覧!$B:$D,2,FALSE),"")</f>
        <v/>
      </c>
      <c r="AH16" s="17" t="str">
        <f>IFERROR(VLOOKUP(シフト組み!AH46,役職一覧!$B:$D,2,FALSE),"")</f>
        <v/>
      </c>
      <c r="AI16" s="17" t="str">
        <f>IFERROR(VLOOKUP(シフト組み!AI46,役職一覧!$B:$D,2,FALSE),"")</f>
        <v/>
      </c>
      <c r="AJ16" s="17" t="str">
        <f>IFERROR(VLOOKUP(シフト組み!AJ46,役職一覧!$B:$D,2,FALSE),"")</f>
        <v/>
      </c>
      <c r="AK16" s="17" t="str">
        <f>IFERROR(VLOOKUP(シフト組み!AK46,役職一覧!$B:$D,2,FALSE),"")</f>
        <v/>
      </c>
      <c r="AL16" s="17" t="str">
        <f>IFERROR(VLOOKUP(シフト組み!AL46,役職一覧!$B:$D,2,FALSE),"")</f>
        <v/>
      </c>
      <c r="AM16" s="17" t="str">
        <f>IFERROR(VLOOKUP(シフト組み!AM46,役職一覧!$B:$D,2,FALSE),"")</f>
        <v/>
      </c>
      <c r="AN16" s="17" t="str">
        <f>IFERROR(VLOOKUP(シフト組み!AN46,役職一覧!$B:$D,2,FALSE),"")</f>
        <v/>
      </c>
      <c r="AO16" s="17" t="str">
        <f>IFERROR(VLOOKUP(シフト組み!AO46,役職一覧!$B:$D,2,FALSE),"")</f>
        <v/>
      </c>
      <c r="AP16" s="17" t="str">
        <f>IFERROR(VLOOKUP(シフト組み!AP46,役職一覧!$B:$D,2,FALSE),"")</f>
        <v/>
      </c>
      <c r="AQ16" s="17" t="str">
        <f>IFERROR(VLOOKUP(シフト組み!AQ46,役職一覧!$B:$D,2,FALSE),"")</f>
        <v/>
      </c>
      <c r="AR16" s="17" t="str">
        <f>IFERROR(VLOOKUP(シフト組み!AR46,役職一覧!$B:$D,2,FALSE),"")</f>
        <v/>
      </c>
      <c r="AS16" s="17" t="str">
        <f>IFERROR(VLOOKUP(シフト組み!AS46,役職一覧!$B:$D,2,FALSE),"")</f>
        <v/>
      </c>
      <c r="AT16" s="17" t="str">
        <f>IFERROR(VLOOKUP(シフト組み!AT46,役職一覧!$B:$D,2,FALSE),"")</f>
        <v/>
      </c>
      <c r="AU16" s="17" t="str">
        <f>IFERROR(VLOOKUP(シフト組み!AU46,役職一覧!$B:$D,2,FALSE),"")</f>
        <v/>
      </c>
      <c r="AV16" s="17" t="str">
        <f>IFERROR(VLOOKUP(シフト組み!AV46,役職一覧!$B:$D,2,FALSE),"")</f>
        <v/>
      </c>
      <c r="AW16" s="17" t="str">
        <f>IFERROR(VLOOKUP(シフト組み!AW46,役職一覧!$B:$D,2,FALSE),"")</f>
        <v/>
      </c>
      <c r="AX16" s="17" t="str">
        <f>IFERROR(VLOOKUP(シフト組み!AX46,役職一覧!$B:$D,2,FALSE),"")</f>
        <v/>
      </c>
      <c r="AY16" s="17" t="str">
        <f>IFERROR(VLOOKUP(シフト組み!AY46,役職一覧!$B:$D,2,FALSE),"")</f>
        <v/>
      </c>
      <c r="AZ16" s="17" t="str">
        <f>IFERROR(VLOOKUP(シフト組み!AZ46,役職一覧!$B:$D,2,FALSE),"")</f>
        <v/>
      </c>
      <c r="BA16" s="17" t="str">
        <f>IFERROR(VLOOKUP(シフト組み!BA46,役職一覧!$B:$D,2,FALSE),"")</f>
        <v/>
      </c>
    </row>
    <row r="17" spans="1:53">
      <c r="A17" s="2" t="str">
        <f>シフト組み!A47&amp;""</f>
        <v/>
      </c>
      <c r="B17" s="2" t="str">
        <f>シフト組み!B47&amp;""</f>
        <v/>
      </c>
      <c r="C17" s="2" t="str">
        <f>シフト組み!C47&amp;""</f>
        <v/>
      </c>
      <c r="D17" s="17" t="str">
        <f>IFERROR(VLOOKUP(シフト組み!D47,役職一覧!$B:$D,2,FALSE),"")</f>
        <v/>
      </c>
      <c r="E17" s="17" t="str">
        <f>IFERROR(VLOOKUP(シフト組み!E47,役職一覧!$B:$D,2,FALSE),"")</f>
        <v/>
      </c>
      <c r="F17" s="17" t="str">
        <f>IFERROR(VLOOKUP(シフト組み!F47,役職一覧!$B:$D,2,FALSE),"")</f>
        <v/>
      </c>
      <c r="G17" s="17" t="str">
        <f>IFERROR(VLOOKUP(シフト組み!G47,役職一覧!$B:$D,2,FALSE),"")</f>
        <v/>
      </c>
      <c r="H17" s="17" t="str">
        <f>IFERROR(VLOOKUP(シフト組み!H47,役職一覧!$B:$D,2,FALSE),"")</f>
        <v/>
      </c>
      <c r="I17" s="17" t="str">
        <f>IFERROR(VLOOKUP(シフト組み!I47,役職一覧!$B:$D,2,FALSE),"")</f>
        <v/>
      </c>
      <c r="J17" s="17" t="str">
        <f>IFERROR(VLOOKUP(シフト組み!J47,役職一覧!$B:$D,2,FALSE),"")</f>
        <v/>
      </c>
      <c r="K17" s="17" t="str">
        <f>IFERROR(VLOOKUP(シフト組み!K47,役職一覧!$B:$D,2,FALSE),"")</f>
        <v/>
      </c>
      <c r="L17" s="17" t="str">
        <f>IFERROR(VLOOKUP(シフト組み!L47,役職一覧!$B:$D,2,FALSE),"")</f>
        <v/>
      </c>
      <c r="M17" s="17" t="str">
        <f>IFERROR(VLOOKUP(シフト組み!M47,役職一覧!$B:$D,2,FALSE),"")</f>
        <v/>
      </c>
      <c r="N17" s="17" t="str">
        <f>IFERROR(VLOOKUP(シフト組み!N47,役職一覧!$B:$D,2,FALSE),"")</f>
        <v/>
      </c>
      <c r="O17" s="17" t="str">
        <f>IFERROR(VLOOKUP(シフト組み!O47,役職一覧!$B:$D,2,FALSE),"")</f>
        <v/>
      </c>
      <c r="P17" s="17" t="str">
        <f>IFERROR(VLOOKUP(シフト組み!P47,役職一覧!$B:$D,2,FALSE),"")</f>
        <v/>
      </c>
      <c r="Q17" s="17" t="str">
        <f>IFERROR(VLOOKUP(シフト組み!Q47,役職一覧!$B:$D,2,FALSE),"")</f>
        <v/>
      </c>
      <c r="R17" s="17" t="str">
        <f>IFERROR(VLOOKUP(シフト組み!R47,役職一覧!$B:$D,2,FALSE),"")</f>
        <v/>
      </c>
      <c r="S17" s="17" t="str">
        <f>IFERROR(VLOOKUP(シフト組み!S47,役職一覧!$B:$D,2,FALSE),"")</f>
        <v/>
      </c>
      <c r="T17" s="17" t="str">
        <f>IFERROR(VLOOKUP(シフト組み!T47,役職一覧!$B:$D,2,FALSE),"")</f>
        <v/>
      </c>
      <c r="U17" s="17" t="str">
        <f>IFERROR(VLOOKUP(シフト組み!U47,役職一覧!$B:$D,2,FALSE),"")</f>
        <v/>
      </c>
      <c r="V17" s="17" t="str">
        <f>IFERROR(VLOOKUP(シフト組み!V47,役職一覧!$B:$D,2,FALSE),"")</f>
        <v/>
      </c>
      <c r="W17" s="17" t="str">
        <f>IFERROR(VLOOKUP(シフト組み!W47,役職一覧!$B:$D,2,FALSE),"")</f>
        <v/>
      </c>
      <c r="X17" s="17" t="str">
        <f>IFERROR(VLOOKUP(シフト組み!X47,役職一覧!$B:$D,2,FALSE),"")</f>
        <v/>
      </c>
      <c r="Y17" s="17" t="str">
        <f>IFERROR(VLOOKUP(シフト組み!Y47,役職一覧!$B:$D,2,FALSE),"")</f>
        <v/>
      </c>
      <c r="Z17" s="17" t="str">
        <f>IFERROR(VLOOKUP(シフト組み!Z47,役職一覧!$B:$D,2,FALSE),"")</f>
        <v/>
      </c>
      <c r="AA17" s="17" t="str">
        <f>IFERROR(VLOOKUP(シフト組み!AA47,役職一覧!$B:$D,2,FALSE),"")</f>
        <v/>
      </c>
      <c r="AB17" s="17" t="str">
        <f>IFERROR(VLOOKUP(シフト組み!AB47,役職一覧!$B:$D,2,FALSE),"")</f>
        <v/>
      </c>
      <c r="AC17" s="17" t="str">
        <f>IFERROR(VLOOKUP(シフト組み!AC47,役職一覧!$B:$D,2,FALSE),"")</f>
        <v/>
      </c>
      <c r="AD17" s="17" t="str">
        <f>IFERROR(VLOOKUP(シフト組み!AD47,役職一覧!$B:$D,2,FALSE),"")</f>
        <v/>
      </c>
      <c r="AE17" s="17" t="str">
        <f>IFERROR(VLOOKUP(シフト組み!AE47,役職一覧!$B:$D,2,FALSE),"")</f>
        <v/>
      </c>
      <c r="AF17" s="17" t="str">
        <f>IFERROR(VLOOKUP(シフト組み!AF47,役職一覧!$B:$D,2,FALSE),"")</f>
        <v/>
      </c>
      <c r="AG17" s="17" t="str">
        <f>IFERROR(VLOOKUP(シフト組み!AG47,役職一覧!$B:$D,2,FALSE),"")</f>
        <v/>
      </c>
      <c r="AH17" s="17" t="str">
        <f>IFERROR(VLOOKUP(シフト組み!AH47,役職一覧!$B:$D,2,FALSE),"")</f>
        <v/>
      </c>
      <c r="AI17" s="17" t="str">
        <f>IFERROR(VLOOKUP(シフト組み!AI47,役職一覧!$B:$D,2,FALSE),"")</f>
        <v/>
      </c>
      <c r="AJ17" s="17" t="str">
        <f>IFERROR(VLOOKUP(シフト組み!AJ47,役職一覧!$B:$D,2,FALSE),"")</f>
        <v/>
      </c>
      <c r="AK17" s="17" t="str">
        <f>IFERROR(VLOOKUP(シフト組み!AK47,役職一覧!$B:$D,2,FALSE),"")</f>
        <v/>
      </c>
      <c r="AL17" s="17" t="str">
        <f>IFERROR(VLOOKUP(シフト組み!AL47,役職一覧!$B:$D,2,FALSE),"")</f>
        <v/>
      </c>
      <c r="AM17" s="17" t="str">
        <f>IFERROR(VLOOKUP(シフト組み!AM47,役職一覧!$B:$D,2,FALSE),"")</f>
        <v/>
      </c>
      <c r="AN17" s="17" t="str">
        <f>IFERROR(VLOOKUP(シフト組み!AN47,役職一覧!$B:$D,2,FALSE),"")</f>
        <v/>
      </c>
      <c r="AO17" s="17" t="str">
        <f>IFERROR(VLOOKUP(シフト組み!AO47,役職一覧!$B:$D,2,FALSE),"")</f>
        <v/>
      </c>
      <c r="AP17" s="17" t="str">
        <f>IFERROR(VLOOKUP(シフト組み!AP47,役職一覧!$B:$D,2,FALSE),"")</f>
        <v/>
      </c>
      <c r="AQ17" s="17" t="str">
        <f>IFERROR(VLOOKUP(シフト組み!AQ47,役職一覧!$B:$D,2,FALSE),"")</f>
        <v/>
      </c>
      <c r="AR17" s="17" t="str">
        <f>IFERROR(VLOOKUP(シフト組み!AR47,役職一覧!$B:$D,2,FALSE),"")</f>
        <v/>
      </c>
      <c r="AS17" s="17" t="str">
        <f>IFERROR(VLOOKUP(シフト組み!AS47,役職一覧!$B:$D,2,FALSE),"")</f>
        <v/>
      </c>
      <c r="AT17" s="17" t="str">
        <f>IFERROR(VLOOKUP(シフト組み!AT47,役職一覧!$B:$D,2,FALSE),"")</f>
        <v/>
      </c>
      <c r="AU17" s="17" t="str">
        <f>IFERROR(VLOOKUP(シフト組み!AU47,役職一覧!$B:$D,2,FALSE),"")</f>
        <v/>
      </c>
      <c r="AV17" s="17" t="str">
        <f>IFERROR(VLOOKUP(シフト組み!AV47,役職一覧!$B:$D,2,FALSE),"")</f>
        <v/>
      </c>
      <c r="AW17" s="17" t="str">
        <f>IFERROR(VLOOKUP(シフト組み!AW47,役職一覧!$B:$D,2,FALSE),"")</f>
        <v/>
      </c>
      <c r="AX17" s="17" t="str">
        <f>IFERROR(VLOOKUP(シフト組み!AX47,役職一覧!$B:$D,2,FALSE),"")</f>
        <v/>
      </c>
      <c r="AY17" s="17" t="str">
        <f>IFERROR(VLOOKUP(シフト組み!AY47,役職一覧!$B:$D,2,FALSE),"")</f>
        <v/>
      </c>
      <c r="AZ17" s="17" t="str">
        <f>IFERROR(VLOOKUP(シフト組み!AZ47,役職一覧!$B:$D,2,FALSE),"")</f>
        <v/>
      </c>
      <c r="BA17" s="17" t="str">
        <f>IFERROR(VLOOKUP(シフト組み!BA47,役職一覧!$B:$D,2,FALSE),"")</f>
        <v/>
      </c>
    </row>
    <row r="18" spans="1:53">
      <c r="A18" s="2" t="str">
        <f>シフト組み!A48&amp;""</f>
        <v/>
      </c>
      <c r="B18" s="2" t="str">
        <f>シフト組み!B48&amp;""</f>
        <v/>
      </c>
      <c r="C18" s="2" t="str">
        <f>シフト組み!C48&amp;""</f>
        <v/>
      </c>
      <c r="D18" s="17" t="str">
        <f>IFERROR(VLOOKUP(シフト組み!D48,役職一覧!$B:$D,2,FALSE),"")</f>
        <v/>
      </c>
      <c r="E18" s="17" t="str">
        <f>IFERROR(VLOOKUP(シフト組み!E48,役職一覧!$B:$D,2,FALSE),"")</f>
        <v/>
      </c>
      <c r="F18" s="17" t="str">
        <f>IFERROR(VLOOKUP(シフト組み!F48,役職一覧!$B:$D,2,FALSE),"")</f>
        <v/>
      </c>
      <c r="G18" s="17" t="str">
        <f>IFERROR(VLOOKUP(シフト組み!G48,役職一覧!$B:$D,2,FALSE),"")</f>
        <v/>
      </c>
      <c r="H18" s="17" t="str">
        <f>IFERROR(VLOOKUP(シフト組み!H48,役職一覧!$B:$D,2,FALSE),"")</f>
        <v/>
      </c>
      <c r="I18" s="17" t="str">
        <f>IFERROR(VLOOKUP(シフト組み!I48,役職一覧!$B:$D,2,FALSE),"")</f>
        <v/>
      </c>
      <c r="J18" s="17" t="str">
        <f>IFERROR(VLOOKUP(シフト組み!J48,役職一覧!$B:$D,2,FALSE),"")</f>
        <v/>
      </c>
      <c r="K18" s="17" t="str">
        <f>IFERROR(VLOOKUP(シフト組み!K48,役職一覧!$B:$D,2,FALSE),"")</f>
        <v/>
      </c>
      <c r="L18" s="17" t="str">
        <f>IFERROR(VLOOKUP(シフト組み!L48,役職一覧!$B:$D,2,FALSE),"")</f>
        <v/>
      </c>
      <c r="M18" s="17" t="str">
        <f>IFERROR(VLOOKUP(シフト組み!M48,役職一覧!$B:$D,2,FALSE),"")</f>
        <v/>
      </c>
      <c r="N18" s="17" t="str">
        <f>IFERROR(VLOOKUP(シフト組み!N48,役職一覧!$B:$D,2,FALSE),"")</f>
        <v/>
      </c>
      <c r="O18" s="17" t="str">
        <f>IFERROR(VLOOKUP(シフト組み!O48,役職一覧!$B:$D,2,FALSE),"")</f>
        <v/>
      </c>
      <c r="P18" s="17" t="str">
        <f>IFERROR(VLOOKUP(シフト組み!P48,役職一覧!$B:$D,2,FALSE),"")</f>
        <v/>
      </c>
      <c r="Q18" s="17" t="str">
        <f>IFERROR(VLOOKUP(シフト組み!Q48,役職一覧!$B:$D,2,FALSE),"")</f>
        <v/>
      </c>
      <c r="R18" s="17" t="str">
        <f>IFERROR(VLOOKUP(シフト組み!R48,役職一覧!$B:$D,2,FALSE),"")</f>
        <v/>
      </c>
      <c r="S18" s="17" t="str">
        <f>IFERROR(VLOOKUP(シフト組み!S48,役職一覧!$B:$D,2,FALSE),"")</f>
        <v/>
      </c>
      <c r="T18" s="17" t="str">
        <f>IFERROR(VLOOKUP(シフト組み!T48,役職一覧!$B:$D,2,FALSE),"")</f>
        <v/>
      </c>
      <c r="U18" s="17" t="str">
        <f>IFERROR(VLOOKUP(シフト組み!U48,役職一覧!$B:$D,2,FALSE),"")</f>
        <v/>
      </c>
      <c r="V18" s="17" t="str">
        <f>IFERROR(VLOOKUP(シフト組み!V48,役職一覧!$B:$D,2,FALSE),"")</f>
        <v/>
      </c>
      <c r="W18" s="17" t="str">
        <f>IFERROR(VLOOKUP(シフト組み!W48,役職一覧!$B:$D,2,FALSE),"")</f>
        <v/>
      </c>
      <c r="X18" s="17" t="str">
        <f>IFERROR(VLOOKUP(シフト組み!X48,役職一覧!$B:$D,2,FALSE),"")</f>
        <v/>
      </c>
      <c r="Y18" s="17" t="str">
        <f>IFERROR(VLOOKUP(シフト組み!Y48,役職一覧!$B:$D,2,FALSE),"")</f>
        <v/>
      </c>
      <c r="Z18" s="17" t="str">
        <f>IFERROR(VLOOKUP(シフト組み!Z48,役職一覧!$B:$D,2,FALSE),"")</f>
        <v/>
      </c>
      <c r="AA18" s="17" t="str">
        <f>IFERROR(VLOOKUP(シフト組み!AA48,役職一覧!$B:$D,2,FALSE),"")</f>
        <v/>
      </c>
      <c r="AB18" s="17" t="str">
        <f>IFERROR(VLOOKUP(シフト組み!AB48,役職一覧!$B:$D,2,FALSE),"")</f>
        <v/>
      </c>
      <c r="AC18" s="17" t="str">
        <f>IFERROR(VLOOKUP(シフト組み!AC48,役職一覧!$B:$D,2,FALSE),"")</f>
        <v/>
      </c>
      <c r="AD18" s="17" t="str">
        <f>IFERROR(VLOOKUP(シフト組み!AD48,役職一覧!$B:$D,2,FALSE),"")</f>
        <v/>
      </c>
      <c r="AE18" s="17" t="str">
        <f>IFERROR(VLOOKUP(シフト組み!AE48,役職一覧!$B:$D,2,FALSE),"")</f>
        <v/>
      </c>
      <c r="AF18" s="17" t="str">
        <f>IFERROR(VLOOKUP(シフト組み!AF48,役職一覧!$B:$D,2,FALSE),"")</f>
        <v/>
      </c>
      <c r="AG18" s="17" t="str">
        <f>IFERROR(VLOOKUP(シフト組み!AG48,役職一覧!$B:$D,2,FALSE),"")</f>
        <v/>
      </c>
      <c r="AH18" s="17" t="str">
        <f>IFERROR(VLOOKUP(シフト組み!AH48,役職一覧!$B:$D,2,FALSE),"")</f>
        <v/>
      </c>
      <c r="AI18" s="17" t="str">
        <f>IFERROR(VLOOKUP(シフト組み!AI48,役職一覧!$B:$D,2,FALSE),"")</f>
        <v/>
      </c>
      <c r="AJ18" s="17" t="str">
        <f>IFERROR(VLOOKUP(シフト組み!AJ48,役職一覧!$B:$D,2,FALSE),"")</f>
        <v/>
      </c>
      <c r="AK18" s="17" t="str">
        <f>IFERROR(VLOOKUP(シフト組み!AK48,役職一覧!$B:$D,2,FALSE),"")</f>
        <v/>
      </c>
      <c r="AL18" s="17" t="str">
        <f>IFERROR(VLOOKUP(シフト組み!AL48,役職一覧!$B:$D,2,FALSE),"")</f>
        <v/>
      </c>
      <c r="AM18" s="17" t="str">
        <f>IFERROR(VLOOKUP(シフト組み!AM48,役職一覧!$B:$D,2,FALSE),"")</f>
        <v/>
      </c>
      <c r="AN18" s="17" t="str">
        <f>IFERROR(VLOOKUP(シフト組み!AN48,役職一覧!$B:$D,2,FALSE),"")</f>
        <v/>
      </c>
      <c r="AO18" s="17" t="str">
        <f>IFERROR(VLOOKUP(シフト組み!AO48,役職一覧!$B:$D,2,FALSE),"")</f>
        <v/>
      </c>
      <c r="AP18" s="17" t="str">
        <f>IFERROR(VLOOKUP(シフト組み!AP48,役職一覧!$B:$D,2,FALSE),"")</f>
        <v/>
      </c>
      <c r="AQ18" s="17" t="str">
        <f>IFERROR(VLOOKUP(シフト組み!AQ48,役職一覧!$B:$D,2,FALSE),"")</f>
        <v/>
      </c>
      <c r="AR18" s="17" t="str">
        <f>IFERROR(VLOOKUP(シフト組み!AR48,役職一覧!$B:$D,2,FALSE),"")</f>
        <v/>
      </c>
      <c r="AS18" s="17" t="str">
        <f>IFERROR(VLOOKUP(シフト組み!AS48,役職一覧!$B:$D,2,FALSE),"")</f>
        <v/>
      </c>
      <c r="AT18" s="17" t="str">
        <f>IFERROR(VLOOKUP(シフト組み!AT48,役職一覧!$B:$D,2,FALSE),"")</f>
        <v/>
      </c>
      <c r="AU18" s="17" t="str">
        <f>IFERROR(VLOOKUP(シフト組み!AU48,役職一覧!$B:$D,2,FALSE),"")</f>
        <v/>
      </c>
      <c r="AV18" s="17" t="str">
        <f>IFERROR(VLOOKUP(シフト組み!AV48,役職一覧!$B:$D,2,FALSE),"")</f>
        <v/>
      </c>
      <c r="AW18" s="17" t="str">
        <f>IFERROR(VLOOKUP(シフト組み!AW48,役職一覧!$B:$D,2,FALSE),"")</f>
        <v/>
      </c>
      <c r="AX18" s="17" t="str">
        <f>IFERROR(VLOOKUP(シフト組み!AX48,役職一覧!$B:$D,2,FALSE),"")</f>
        <v/>
      </c>
      <c r="AY18" s="17" t="str">
        <f>IFERROR(VLOOKUP(シフト組み!AY48,役職一覧!$B:$D,2,FALSE),"")</f>
        <v/>
      </c>
      <c r="AZ18" s="17" t="str">
        <f>IFERROR(VLOOKUP(シフト組み!AZ48,役職一覧!$B:$D,2,FALSE),"")</f>
        <v/>
      </c>
      <c r="BA18" s="17" t="str">
        <f>IFERROR(VLOOKUP(シフト組み!BA48,役職一覧!$B:$D,2,FALSE),"")</f>
        <v/>
      </c>
    </row>
    <row r="19" spans="1:53">
      <c r="A19" s="2" t="str">
        <f>シフト組み!A49&amp;""</f>
        <v/>
      </c>
      <c r="B19" s="2" t="str">
        <f>シフト組み!B49&amp;""</f>
        <v/>
      </c>
      <c r="C19" s="2" t="str">
        <f>シフト組み!C49&amp;""</f>
        <v/>
      </c>
      <c r="D19" s="17" t="str">
        <f>IFERROR(VLOOKUP(シフト組み!D49,役職一覧!$B:$D,2,FALSE),"")</f>
        <v/>
      </c>
      <c r="E19" s="17" t="str">
        <f>IFERROR(VLOOKUP(シフト組み!E49,役職一覧!$B:$D,2,FALSE),"")</f>
        <v/>
      </c>
      <c r="F19" s="17" t="str">
        <f>IFERROR(VLOOKUP(シフト組み!F49,役職一覧!$B:$D,2,FALSE),"")</f>
        <v/>
      </c>
      <c r="G19" s="17" t="str">
        <f>IFERROR(VLOOKUP(シフト組み!G49,役職一覧!$B:$D,2,FALSE),"")</f>
        <v/>
      </c>
      <c r="H19" s="17" t="str">
        <f>IFERROR(VLOOKUP(シフト組み!H49,役職一覧!$B:$D,2,FALSE),"")</f>
        <v/>
      </c>
      <c r="I19" s="17" t="str">
        <f>IFERROR(VLOOKUP(シフト組み!I49,役職一覧!$B:$D,2,FALSE),"")</f>
        <v/>
      </c>
      <c r="J19" s="17" t="str">
        <f>IFERROR(VLOOKUP(シフト組み!J49,役職一覧!$B:$D,2,FALSE),"")</f>
        <v/>
      </c>
      <c r="K19" s="17" t="str">
        <f>IFERROR(VLOOKUP(シフト組み!K49,役職一覧!$B:$D,2,FALSE),"")</f>
        <v/>
      </c>
      <c r="L19" s="17" t="str">
        <f>IFERROR(VLOOKUP(シフト組み!L49,役職一覧!$B:$D,2,FALSE),"")</f>
        <v/>
      </c>
      <c r="M19" s="17" t="str">
        <f>IFERROR(VLOOKUP(シフト組み!M49,役職一覧!$B:$D,2,FALSE),"")</f>
        <v/>
      </c>
      <c r="N19" s="17" t="str">
        <f>IFERROR(VLOOKUP(シフト組み!N49,役職一覧!$B:$D,2,FALSE),"")</f>
        <v/>
      </c>
      <c r="O19" s="17" t="str">
        <f>IFERROR(VLOOKUP(シフト組み!O49,役職一覧!$B:$D,2,FALSE),"")</f>
        <v/>
      </c>
      <c r="P19" s="17" t="str">
        <f>IFERROR(VLOOKUP(シフト組み!P49,役職一覧!$B:$D,2,FALSE),"")</f>
        <v/>
      </c>
      <c r="Q19" s="17" t="str">
        <f>IFERROR(VLOOKUP(シフト組み!Q49,役職一覧!$B:$D,2,FALSE),"")</f>
        <v/>
      </c>
      <c r="R19" s="17" t="str">
        <f>IFERROR(VLOOKUP(シフト組み!R49,役職一覧!$B:$D,2,FALSE),"")</f>
        <v/>
      </c>
      <c r="S19" s="17" t="str">
        <f>IFERROR(VLOOKUP(シフト組み!S49,役職一覧!$B:$D,2,FALSE),"")</f>
        <v/>
      </c>
      <c r="T19" s="17" t="str">
        <f>IFERROR(VLOOKUP(シフト組み!T49,役職一覧!$B:$D,2,FALSE),"")</f>
        <v/>
      </c>
      <c r="U19" s="17" t="str">
        <f>IFERROR(VLOOKUP(シフト組み!U49,役職一覧!$B:$D,2,FALSE),"")</f>
        <v/>
      </c>
      <c r="V19" s="17" t="str">
        <f>IFERROR(VLOOKUP(シフト組み!V49,役職一覧!$B:$D,2,FALSE),"")</f>
        <v/>
      </c>
      <c r="W19" s="17" t="str">
        <f>IFERROR(VLOOKUP(シフト組み!W49,役職一覧!$B:$D,2,FALSE),"")</f>
        <v/>
      </c>
      <c r="X19" s="17" t="str">
        <f>IFERROR(VLOOKUP(シフト組み!X49,役職一覧!$B:$D,2,FALSE),"")</f>
        <v/>
      </c>
      <c r="Y19" s="17" t="str">
        <f>IFERROR(VLOOKUP(シフト組み!Y49,役職一覧!$B:$D,2,FALSE),"")</f>
        <v/>
      </c>
      <c r="Z19" s="17" t="str">
        <f>IFERROR(VLOOKUP(シフト組み!Z49,役職一覧!$B:$D,2,FALSE),"")</f>
        <v/>
      </c>
      <c r="AA19" s="17" t="str">
        <f>IFERROR(VLOOKUP(シフト組み!AA49,役職一覧!$B:$D,2,FALSE),"")</f>
        <v/>
      </c>
      <c r="AB19" s="17" t="str">
        <f>IFERROR(VLOOKUP(シフト組み!AB49,役職一覧!$B:$D,2,FALSE),"")</f>
        <v/>
      </c>
      <c r="AC19" s="17" t="str">
        <f>IFERROR(VLOOKUP(シフト組み!AC49,役職一覧!$B:$D,2,FALSE),"")</f>
        <v/>
      </c>
      <c r="AD19" s="17" t="str">
        <f>IFERROR(VLOOKUP(シフト組み!AD49,役職一覧!$B:$D,2,FALSE),"")</f>
        <v/>
      </c>
      <c r="AE19" s="17" t="str">
        <f>IFERROR(VLOOKUP(シフト組み!AE49,役職一覧!$B:$D,2,FALSE),"")</f>
        <v/>
      </c>
      <c r="AF19" s="17" t="str">
        <f>IFERROR(VLOOKUP(シフト組み!AF49,役職一覧!$B:$D,2,FALSE),"")</f>
        <v/>
      </c>
      <c r="AG19" s="17" t="str">
        <f>IFERROR(VLOOKUP(シフト組み!AG49,役職一覧!$B:$D,2,FALSE),"")</f>
        <v/>
      </c>
      <c r="AH19" s="17" t="str">
        <f>IFERROR(VLOOKUP(シフト組み!AH49,役職一覧!$B:$D,2,FALSE),"")</f>
        <v/>
      </c>
      <c r="AI19" s="17" t="str">
        <f>IFERROR(VLOOKUP(シフト組み!AI49,役職一覧!$B:$D,2,FALSE),"")</f>
        <v/>
      </c>
      <c r="AJ19" s="17" t="str">
        <f>IFERROR(VLOOKUP(シフト組み!AJ49,役職一覧!$B:$D,2,FALSE),"")</f>
        <v/>
      </c>
      <c r="AK19" s="17" t="str">
        <f>IFERROR(VLOOKUP(シフト組み!AK49,役職一覧!$B:$D,2,FALSE),"")</f>
        <v/>
      </c>
      <c r="AL19" s="17" t="str">
        <f>IFERROR(VLOOKUP(シフト組み!AL49,役職一覧!$B:$D,2,FALSE),"")</f>
        <v/>
      </c>
      <c r="AM19" s="17" t="str">
        <f>IFERROR(VLOOKUP(シフト組み!AM49,役職一覧!$B:$D,2,FALSE),"")</f>
        <v/>
      </c>
      <c r="AN19" s="17" t="str">
        <f>IFERROR(VLOOKUP(シフト組み!AN49,役職一覧!$B:$D,2,FALSE),"")</f>
        <v/>
      </c>
      <c r="AO19" s="17" t="str">
        <f>IFERROR(VLOOKUP(シフト組み!AO49,役職一覧!$B:$D,2,FALSE),"")</f>
        <v/>
      </c>
      <c r="AP19" s="17" t="str">
        <f>IFERROR(VLOOKUP(シフト組み!AP49,役職一覧!$B:$D,2,FALSE),"")</f>
        <v/>
      </c>
      <c r="AQ19" s="17" t="str">
        <f>IFERROR(VLOOKUP(シフト組み!AQ49,役職一覧!$B:$D,2,FALSE),"")</f>
        <v/>
      </c>
      <c r="AR19" s="17" t="str">
        <f>IFERROR(VLOOKUP(シフト組み!AR49,役職一覧!$B:$D,2,FALSE),"")</f>
        <v/>
      </c>
      <c r="AS19" s="17" t="str">
        <f>IFERROR(VLOOKUP(シフト組み!AS49,役職一覧!$B:$D,2,FALSE),"")</f>
        <v/>
      </c>
      <c r="AT19" s="17" t="str">
        <f>IFERROR(VLOOKUP(シフト組み!AT49,役職一覧!$B:$D,2,FALSE),"")</f>
        <v/>
      </c>
      <c r="AU19" s="17" t="str">
        <f>IFERROR(VLOOKUP(シフト組み!AU49,役職一覧!$B:$D,2,FALSE),"")</f>
        <v/>
      </c>
      <c r="AV19" s="17" t="str">
        <f>IFERROR(VLOOKUP(シフト組み!AV49,役職一覧!$B:$D,2,FALSE),"")</f>
        <v/>
      </c>
      <c r="AW19" s="17" t="str">
        <f>IFERROR(VLOOKUP(シフト組み!AW49,役職一覧!$B:$D,2,FALSE),"")</f>
        <v/>
      </c>
      <c r="AX19" s="17" t="str">
        <f>IFERROR(VLOOKUP(シフト組み!AX49,役職一覧!$B:$D,2,FALSE),"")</f>
        <v/>
      </c>
      <c r="AY19" s="17" t="str">
        <f>IFERROR(VLOOKUP(シフト組み!AY49,役職一覧!$B:$D,2,FALSE),"")</f>
        <v/>
      </c>
      <c r="AZ19" s="17" t="str">
        <f>IFERROR(VLOOKUP(シフト組み!AZ49,役職一覧!$B:$D,2,FALSE),"")</f>
        <v/>
      </c>
      <c r="BA19" s="17" t="str">
        <f>IFERROR(VLOOKUP(シフト組み!BA49,役職一覧!$B:$D,2,FALSE),"")</f>
        <v/>
      </c>
    </row>
    <row r="20" spans="1:53">
      <c r="A20" s="2" t="str">
        <f>シフト組み!A50&amp;""</f>
        <v/>
      </c>
      <c r="B20" s="2" t="str">
        <f>シフト組み!B50&amp;""</f>
        <v/>
      </c>
      <c r="C20" s="2" t="str">
        <f>シフト組み!C50&amp;""</f>
        <v/>
      </c>
      <c r="D20" s="17" t="str">
        <f>IFERROR(VLOOKUP(シフト組み!D50,役職一覧!$B:$D,2,FALSE),"")</f>
        <v/>
      </c>
      <c r="E20" s="17" t="str">
        <f>IFERROR(VLOOKUP(シフト組み!E50,役職一覧!$B:$D,2,FALSE),"")</f>
        <v/>
      </c>
      <c r="F20" s="17" t="str">
        <f>IFERROR(VLOOKUP(シフト組み!F50,役職一覧!$B:$D,2,FALSE),"")</f>
        <v/>
      </c>
      <c r="G20" s="17" t="str">
        <f>IFERROR(VLOOKUP(シフト組み!G50,役職一覧!$B:$D,2,FALSE),"")</f>
        <v/>
      </c>
      <c r="H20" s="17" t="str">
        <f>IFERROR(VLOOKUP(シフト組み!H50,役職一覧!$B:$D,2,FALSE),"")</f>
        <v/>
      </c>
      <c r="I20" s="17" t="str">
        <f>IFERROR(VLOOKUP(シフト組み!I50,役職一覧!$B:$D,2,FALSE),"")</f>
        <v/>
      </c>
      <c r="J20" s="17" t="str">
        <f>IFERROR(VLOOKUP(シフト組み!J50,役職一覧!$B:$D,2,FALSE),"")</f>
        <v/>
      </c>
      <c r="K20" s="17" t="str">
        <f>IFERROR(VLOOKUP(シフト組み!K50,役職一覧!$B:$D,2,FALSE),"")</f>
        <v/>
      </c>
      <c r="L20" s="17" t="str">
        <f>IFERROR(VLOOKUP(シフト組み!L50,役職一覧!$B:$D,2,FALSE),"")</f>
        <v/>
      </c>
      <c r="M20" s="17" t="str">
        <f>IFERROR(VLOOKUP(シフト組み!M50,役職一覧!$B:$D,2,FALSE),"")</f>
        <v/>
      </c>
      <c r="N20" s="17" t="str">
        <f>IFERROR(VLOOKUP(シフト組み!N50,役職一覧!$B:$D,2,FALSE),"")</f>
        <v/>
      </c>
      <c r="O20" s="17" t="str">
        <f>IFERROR(VLOOKUP(シフト組み!O50,役職一覧!$B:$D,2,FALSE),"")</f>
        <v/>
      </c>
      <c r="P20" s="17" t="str">
        <f>IFERROR(VLOOKUP(シフト組み!P50,役職一覧!$B:$D,2,FALSE),"")</f>
        <v/>
      </c>
      <c r="Q20" s="17" t="str">
        <f>IFERROR(VLOOKUP(シフト組み!Q50,役職一覧!$B:$D,2,FALSE),"")</f>
        <v/>
      </c>
      <c r="R20" s="17" t="str">
        <f>IFERROR(VLOOKUP(シフト組み!R50,役職一覧!$B:$D,2,FALSE),"")</f>
        <v/>
      </c>
      <c r="S20" s="17" t="str">
        <f>IFERROR(VLOOKUP(シフト組み!S50,役職一覧!$B:$D,2,FALSE),"")</f>
        <v/>
      </c>
      <c r="T20" s="17" t="str">
        <f>IFERROR(VLOOKUP(シフト組み!T50,役職一覧!$B:$D,2,FALSE),"")</f>
        <v/>
      </c>
      <c r="U20" s="17" t="str">
        <f>IFERROR(VLOOKUP(シフト組み!U50,役職一覧!$B:$D,2,FALSE),"")</f>
        <v/>
      </c>
      <c r="V20" s="17" t="str">
        <f>IFERROR(VLOOKUP(シフト組み!V50,役職一覧!$B:$D,2,FALSE),"")</f>
        <v/>
      </c>
      <c r="W20" s="17" t="str">
        <f>IFERROR(VLOOKUP(シフト組み!W50,役職一覧!$B:$D,2,FALSE),"")</f>
        <v/>
      </c>
      <c r="X20" s="17" t="str">
        <f>IFERROR(VLOOKUP(シフト組み!X50,役職一覧!$B:$D,2,FALSE),"")</f>
        <v/>
      </c>
      <c r="Y20" s="17" t="str">
        <f>IFERROR(VLOOKUP(シフト組み!Y50,役職一覧!$B:$D,2,FALSE),"")</f>
        <v/>
      </c>
      <c r="Z20" s="17" t="str">
        <f>IFERROR(VLOOKUP(シフト組み!Z50,役職一覧!$B:$D,2,FALSE),"")</f>
        <v/>
      </c>
      <c r="AA20" s="17" t="str">
        <f>IFERROR(VLOOKUP(シフト組み!AA50,役職一覧!$B:$D,2,FALSE),"")</f>
        <v/>
      </c>
      <c r="AB20" s="17" t="str">
        <f>IFERROR(VLOOKUP(シフト組み!AB50,役職一覧!$B:$D,2,FALSE),"")</f>
        <v/>
      </c>
      <c r="AC20" s="17" t="str">
        <f>IFERROR(VLOOKUP(シフト組み!AC50,役職一覧!$B:$D,2,FALSE),"")</f>
        <v/>
      </c>
      <c r="AD20" s="17" t="str">
        <f>IFERROR(VLOOKUP(シフト組み!AD50,役職一覧!$B:$D,2,FALSE),"")</f>
        <v/>
      </c>
      <c r="AE20" s="17" t="str">
        <f>IFERROR(VLOOKUP(シフト組み!AE50,役職一覧!$B:$D,2,FALSE),"")</f>
        <v/>
      </c>
      <c r="AF20" s="17" t="str">
        <f>IFERROR(VLOOKUP(シフト組み!AF50,役職一覧!$B:$D,2,FALSE),"")</f>
        <v/>
      </c>
      <c r="AG20" s="17" t="str">
        <f>IFERROR(VLOOKUP(シフト組み!AG50,役職一覧!$B:$D,2,FALSE),"")</f>
        <v/>
      </c>
      <c r="AH20" s="17" t="str">
        <f>IFERROR(VLOOKUP(シフト組み!AH50,役職一覧!$B:$D,2,FALSE),"")</f>
        <v/>
      </c>
      <c r="AI20" s="17" t="str">
        <f>IFERROR(VLOOKUP(シフト組み!AI50,役職一覧!$B:$D,2,FALSE),"")</f>
        <v/>
      </c>
      <c r="AJ20" s="17" t="str">
        <f>IFERROR(VLOOKUP(シフト組み!AJ50,役職一覧!$B:$D,2,FALSE),"")</f>
        <v/>
      </c>
      <c r="AK20" s="17" t="str">
        <f>IFERROR(VLOOKUP(シフト組み!AK50,役職一覧!$B:$D,2,FALSE),"")</f>
        <v/>
      </c>
      <c r="AL20" s="17" t="str">
        <f>IFERROR(VLOOKUP(シフト組み!AL50,役職一覧!$B:$D,2,FALSE),"")</f>
        <v/>
      </c>
      <c r="AM20" s="17" t="str">
        <f>IFERROR(VLOOKUP(シフト組み!AM50,役職一覧!$B:$D,2,FALSE),"")</f>
        <v/>
      </c>
      <c r="AN20" s="17" t="str">
        <f>IFERROR(VLOOKUP(シフト組み!AN50,役職一覧!$B:$D,2,FALSE),"")</f>
        <v/>
      </c>
      <c r="AO20" s="17" t="str">
        <f>IFERROR(VLOOKUP(シフト組み!AO50,役職一覧!$B:$D,2,FALSE),"")</f>
        <v/>
      </c>
      <c r="AP20" s="17" t="str">
        <f>IFERROR(VLOOKUP(シフト組み!AP50,役職一覧!$B:$D,2,FALSE),"")</f>
        <v/>
      </c>
      <c r="AQ20" s="17" t="str">
        <f>IFERROR(VLOOKUP(シフト組み!AQ50,役職一覧!$B:$D,2,FALSE),"")</f>
        <v/>
      </c>
      <c r="AR20" s="17" t="str">
        <f>IFERROR(VLOOKUP(シフト組み!AR50,役職一覧!$B:$D,2,FALSE),"")</f>
        <v/>
      </c>
      <c r="AS20" s="17" t="str">
        <f>IFERROR(VLOOKUP(シフト組み!AS50,役職一覧!$B:$D,2,FALSE),"")</f>
        <v/>
      </c>
      <c r="AT20" s="17" t="str">
        <f>IFERROR(VLOOKUP(シフト組み!AT50,役職一覧!$B:$D,2,FALSE),"")</f>
        <v/>
      </c>
      <c r="AU20" s="17" t="str">
        <f>IFERROR(VLOOKUP(シフト組み!AU50,役職一覧!$B:$D,2,FALSE),"")</f>
        <v/>
      </c>
      <c r="AV20" s="17" t="str">
        <f>IFERROR(VLOOKUP(シフト組み!AV50,役職一覧!$B:$D,2,FALSE),"")</f>
        <v/>
      </c>
      <c r="AW20" s="17" t="str">
        <f>IFERROR(VLOOKUP(シフト組み!AW50,役職一覧!$B:$D,2,FALSE),"")</f>
        <v/>
      </c>
      <c r="AX20" s="17" t="str">
        <f>IFERROR(VLOOKUP(シフト組み!AX50,役職一覧!$B:$D,2,FALSE),"")</f>
        <v/>
      </c>
      <c r="AY20" s="17" t="str">
        <f>IFERROR(VLOOKUP(シフト組み!AY50,役職一覧!$B:$D,2,FALSE),"")</f>
        <v/>
      </c>
      <c r="AZ20" s="17" t="str">
        <f>IFERROR(VLOOKUP(シフト組み!AZ50,役職一覧!$B:$D,2,FALSE),"")</f>
        <v/>
      </c>
      <c r="BA20" s="17" t="str">
        <f>IFERROR(VLOOKUP(シフト組み!BA50,役職一覧!$B:$D,2,FALSE),"")</f>
        <v/>
      </c>
    </row>
    <row r="21" spans="1:53">
      <c r="A21" s="2" t="str">
        <f>シフト組み!A51&amp;""</f>
        <v/>
      </c>
      <c r="B21" s="2" t="str">
        <f>シフト組み!B51&amp;""</f>
        <v/>
      </c>
      <c r="C21" s="2" t="str">
        <f>シフト組み!C51&amp;""</f>
        <v/>
      </c>
      <c r="D21" s="17" t="str">
        <f>IFERROR(VLOOKUP(シフト組み!D51,役職一覧!$B:$D,2,FALSE),"")</f>
        <v/>
      </c>
      <c r="E21" s="17" t="str">
        <f>IFERROR(VLOOKUP(シフト組み!E51,役職一覧!$B:$D,2,FALSE),"")</f>
        <v/>
      </c>
      <c r="F21" s="17" t="str">
        <f>IFERROR(VLOOKUP(シフト組み!F51,役職一覧!$B:$D,2,FALSE),"")</f>
        <v/>
      </c>
      <c r="G21" s="17" t="str">
        <f>IFERROR(VLOOKUP(シフト組み!G51,役職一覧!$B:$D,2,FALSE),"")</f>
        <v/>
      </c>
      <c r="H21" s="17" t="str">
        <f>IFERROR(VLOOKUP(シフト組み!H51,役職一覧!$B:$D,2,FALSE),"")</f>
        <v/>
      </c>
      <c r="I21" s="17" t="str">
        <f>IFERROR(VLOOKUP(シフト組み!I51,役職一覧!$B:$D,2,FALSE),"")</f>
        <v/>
      </c>
      <c r="J21" s="17" t="str">
        <f>IFERROR(VLOOKUP(シフト組み!J51,役職一覧!$B:$D,2,FALSE),"")</f>
        <v/>
      </c>
      <c r="K21" s="17" t="str">
        <f>IFERROR(VLOOKUP(シフト組み!K51,役職一覧!$B:$D,2,FALSE),"")</f>
        <v/>
      </c>
      <c r="L21" s="17" t="str">
        <f>IFERROR(VLOOKUP(シフト組み!L51,役職一覧!$B:$D,2,FALSE),"")</f>
        <v/>
      </c>
      <c r="M21" s="17" t="str">
        <f>IFERROR(VLOOKUP(シフト組み!M51,役職一覧!$B:$D,2,FALSE),"")</f>
        <v/>
      </c>
      <c r="N21" s="17" t="str">
        <f>IFERROR(VLOOKUP(シフト組み!N51,役職一覧!$B:$D,2,FALSE),"")</f>
        <v/>
      </c>
      <c r="O21" s="17" t="str">
        <f>IFERROR(VLOOKUP(シフト組み!O51,役職一覧!$B:$D,2,FALSE),"")</f>
        <v/>
      </c>
      <c r="P21" s="17" t="str">
        <f>IFERROR(VLOOKUP(シフト組み!P51,役職一覧!$B:$D,2,FALSE),"")</f>
        <v/>
      </c>
      <c r="Q21" s="17" t="str">
        <f>IFERROR(VLOOKUP(シフト組み!Q51,役職一覧!$B:$D,2,FALSE),"")</f>
        <v/>
      </c>
      <c r="R21" s="17" t="str">
        <f>IFERROR(VLOOKUP(シフト組み!R51,役職一覧!$B:$D,2,FALSE),"")</f>
        <v/>
      </c>
      <c r="S21" s="17" t="str">
        <f>IFERROR(VLOOKUP(シフト組み!S51,役職一覧!$B:$D,2,FALSE),"")</f>
        <v/>
      </c>
      <c r="T21" s="17" t="str">
        <f>IFERROR(VLOOKUP(シフト組み!T51,役職一覧!$B:$D,2,FALSE),"")</f>
        <v/>
      </c>
      <c r="U21" s="17" t="str">
        <f>IFERROR(VLOOKUP(シフト組み!U51,役職一覧!$B:$D,2,FALSE),"")</f>
        <v/>
      </c>
      <c r="V21" s="17" t="str">
        <f>IFERROR(VLOOKUP(シフト組み!V51,役職一覧!$B:$D,2,FALSE),"")</f>
        <v/>
      </c>
      <c r="W21" s="17" t="str">
        <f>IFERROR(VLOOKUP(シフト組み!W51,役職一覧!$B:$D,2,FALSE),"")</f>
        <v/>
      </c>
      <c r="X21" s="17" t="str">
        <f>IFERROR(VLOOKUP(シフト組み!X51,役職一覧!$B:$D,2,FALSE),"")</f>
        <v/>
      </c>
      <c r="Y21" s="17" t="str">
        <f>IFERROR(VLOOKUP(シフト組み!Y51,役職一覧!$B:$D,2,FALSE),"")</f>
        <v/>
      </c>
      <c r="Z21" s="17" t="str">
        <f>IFERROR(VLOOKUP(シフト組み!Z51,役職一覧!$B:$D,2,FALSE),"")</f>
        <v/>
      </c>
      <c r="AA21" s="17" t="str">
        <f>IFERROR(VLOOKUP(シフト組み!AA51,役職一覧!$B:$D,2,FALSE),"")</f>
        <v/>
      </c>
      <c r="AB21" s="17" t="str">
        <f>IFERROR(VLOOKUP(シフト組み!AB51,役職一覧!$B:$D,2,FALSE),"")</f>
        <v/>
      </c>
      <c r="AC21" s="17" t="str">
        <f>IFERROR(VLOOKUP(シフト組み!AC51,役職一覧!$B:$D,2,FALSE),"")</f>
        <v/>
      </c>
      <c r="AD21" s="17" t="str">
        <f>IFERROR(VLOOKUP(シフト組み!AD51,役職一覧!$B:$D,2,FALSE),"")</f>
        <v/>
      </c>
      <c r="AE21" s="17" t="str">
        <f>IFERROR(VLOOKUP(シフト組み!AE51,役職一覧!$B:$D,2,FALSE),"")</f>
        <v/>
      </c>
      <c r="AF21" s="17" t="str">
        <f>IFERROR(VLOOKUP(シフト組み!AF51,役職一覧!$B:$D,2,FALSE),"")</f>
        <v/>
      </c>
      <c r="AG21" s="17" t="str">
        <f>IFERROR(VLOOKUP(シフト組み!AG51,役職一覧!$B:$D,2,FALSE),"")</f>
        <v/>
      </c>
      <c r="AH21" s="17" t="str">
        <f>IFERROR(VLOOKUP(シフト組み!AH51,役職一覧!$B:$D,2,FALSE),"")</f>
        <v/>
      </c>
      <c r="AI21" s="17" t="str">
        <f>IFERROR(VLOOKUP(シフト組み!AI51,役職一覧!$B:$D,2,FALSE),"")</f>
        <v/>
      </c>
      <c r="AJ21" s="17" t="str">
        <f>IFERROR(VLOOKUP(シフト組み!AJ51,役職一覧!$B:$D,2,FALSE),"")</f>
        <v/>
      </c>
      <c r="AK21" s="17" t="str">
        <f>IFERROR(VLOOKUP(シフト組み!AK51,役職一覧!$B:$D,2,FALSE),"")</f>
        <v/>
      </c>
      <c r="AL21" s="17" t="str">
        <f>IFERROR(VLOOKUP(シフト組み!AL51,役職一覧!$B:$D,2,FALSE),"")</f>
        <v/>
      </c>
      <c r="AM21" s="17" t="str">
        <f>IFERROR(VLOOKUP(シフト組み!AM51,役職一覧!$B:$D,2,FALSE),"")</f>
        <v/>
      </c>
      <c r="AN21" s="17" t="str">
        <f>IFERROR(VLOOKUP(シフト組み!AN51,役職一覧!$B:$D,2,FALSE),"")</f>
        <v/>
      </c>
      <c r="AO21" s="17" t="str">
        <f>IFERROR(VLOOKUP(シフト組み!AO51,役職一覧!$B:$D,2,FALSE),"")</f>
        <v/>
      </c>
      <c r="AP21" s="17" t="str">
        <f>IFERROR(VLOOKUP(シフト組み!AP51,役職一覧!$B:$D,2,FALSE),"")</f>
        <v/>
      </c>
      <c r="AQ21" s="17" t="str">
        <f>IFERROR(VLOOKUP(シフト組み!AQ51,役職一覧!$B:$D,2,FALSE),"")</f>
        <v/>
      </c>
      <c r="AR21" s="17" t="str">
        <f>IFERROR(VLOOKUP(シフト組み!AR51,役職一覧!$B:$D,2,FALSE),"")</f>
        <v/>
      </c>
      <c r="AS21" s="17" t="str">
        <f>IFERROR(VLOOKUP(シフト組み!AS51,役職一覧!$B:$D,2,FALSE),"")</f>
        <v/>
      </c>
      <c r="AT21" s="17" t="str">
        <f>IFERROR(VLOOKUP(シフト組み!AT51,役職一覧!$B:$D,2,FALSE),"")</f>
        <v/>
      </c>
      <c r="AU21" s="17" t="str">
        <f>IFERROR(VLOOKUP(シフト組み!AU51,役職一覧!$B:$D,2,FALSE),"")</f>
        <v/>
      </c>
      <c r="AV21" s="17" t="str">
        <f>IFERROR(VLOOKUP(シフト組み!AV51,役職一覧!$B:$D,2,FALSE),"")</f>
        <v/>
      </c>
      <c r="AW21" s="17" t="str">
        <f>IFERROR(VLOOKUP(シフト組み!AW51,役職一覧!$B:$D,2,FALSE),"")</f>
        <v/>
      </c>
      <c r="AX21" s="17" t="str">
        <f>IFERROR(VLOOKUP(シフト組み!AX51,役職一覧!$B:$D,2,FALSE),"")</f>
        <v/>
      </c>
      <c r="AY21" s="17" t="str">
        <f>IFERROR(VLOOKUP(シフト組み!AY51,役職一覧!$B:$D,2,FALSE),"")</f>
        <v/>
      </c>
      <c r="AZ21" s="17" t="str">
        <f>IFERROR(VLOOKUP(シフト組み!AZ51,役職一覧!$B:$D,2,FALSE),"")</f>
        <v/>
      </c>
      <c r="BA21" s="17" t="str">
        <f>IFERROR(VLOOKUP(シフト組み!BA51,役職一覧!$B:$D,2,FALSE),"")</f>
        <v/>
      </c>
    </row>
    <row r="22" spans="1:53">
      <c r="A22" s="2" t="str">
        <f>シフト組み!A52&amp;""</f>
        <v/>
      </c>
      <c r="B22" s="2" t="str">
        <f>シフト組み!B52&amp;""</f>
        <v/>
      </c>
      <c r="C22" s="2" t="str">
        <f>シフト組み!C52&amp;""</f>
        <v/>
      </c>
      <c r="D22" s="17" t="str">
        <f>IFERROR(VLOOKUP(シフト組み!D52,役職一覧!$B:$D,2,FALSE),"")</f>
        <v/>
      </c>
      <c r="E22" s="17" t="str">
        <f>IFERROR(VLOOKUP(シフト組み!E52,役職一覧!$B:$D,2,FALSE),"")</f>
        <v/>
      </c>
      <c r="F22" s="17" t="str">
        <f>IFERROR(VLOOKUP(シフト組み!F52,役職一覧!$B:$D,2,FALSE),"")</f>
        <v/>
      </c>
      <c r="G22" s="17" t="str">
        <f>IFERROR(VLOOKUP(シフト組み!G52,役職一覧!$B:$D,2,FALSE),"")</f>
        <v/>
      </c>
      <c r="H22" s="17" t="str">
        <f>IFERROR(VLOOKUP(シフト組み!H52,役職一覧!$B:$D,2,FALSE),"")</f>
        <v/>
      </c>
      <c r="I22" s="17" t="str">
        <f>IFERROR(VLOOKUP(シフト組み!I52,役職一覧!$B:$D,2,FALSE),"")</f>
        <v/>
      </c>
      <c r="J22" s="17" t="str">
        <f>IFERROR(VLOOKUP(シフト組み!J52,役職一覧!$B:$D,2,FALSE),"")</f>
        <v/>
      </c>
      <c r="K22" s="17" t="str">
        <f>IFERROR(VLOOKUP(シフト組み!K52,役職一覧!$B:$D,2,FALSE),"")</f>
        <v/>
      </c>
      <c r="L22" s="17" t="str">
        <f>IFERROR(VLOOKUP(シフト組み!L52,役職一覧!$B:$D,2,FALSE),"")</f>
        <v/>
      </c>
      <c r="M22" s="17" t="str">
        <f>IFERROR(VLOOKUP(シフト組み!M52,役職一覧!$B:$D,2,FALSE),"")</f>
        <v/>
      </c>
      <c r="N22" s="17" t="str">
        <f>IFERROR(VLOOKUP(シフト組み!N52,役職一覧!$B:$D,2,FALSE),"")</f>
        <v/>
      </c>
      <c r="O22" s="17" t="str">
        <f>IFERROR(VLOOKUP(シフト組み!O52,役職一覧!$B:$D,2,FALSE),"")</f>
        <v/>
      </c>
      <c r="P22" s="17" t="str">
        <f>IFERROR(VLOOKUP(シフト組み!P52,役職一覧!$B:$D,2,FALSE),"")</f>
        <v/>
      </c>
      <c r="Q22" s="17" t="str">
        <f>IFERROR(VLOOKUP(シフト組み!Q52,役職一覧!$B:$D,2,FALSE),"")</f>
        <v/>
      </c>
      <c r="R22" s="17" t="str">
        <f>IFERROR(VLOOKUP(シフト組み!R52,役職一覧!$B:$D,2,FALSE),"")</f>
        <v/>
      </c>
      <c r="S22" s="17" t="str">
        <f>IFERROR(VLOOKUP(シフト組み!S52,役職一覧!$B:$D,2,FALSE),"")</f>
        <v/>
      </c>
      <c r="T22" s="17" t="str">
        <f>IFERROR(VLOOKUP(シフト組み!T52,役職一覧!$B:$D,2,FALSE),"")</f>
        <v/>
      </c>
      <c r="U22" s="17" t="str">
        <f>IFERROR(VLOOKUP(シフト組み!U52,役職一覧!$B:$D,2,FALSE),"")</f>
        <v/>
      </c>
      <c r="V22" s="17" t="str">
        <f>IFERROR(VLOOKUP(シフト組み!V52,役職一覧!$B:$D,2,FALSE),"")</f>
        <v/>
      </c>
      <c r="W22" s="17" t="str">
        <f>IFERROR(VLOOKUP(シフト組み!W52,役職一覧!$B:$D,2,FALSE),"")</f>
        <v/>
      </c>
      <c r="X22" s="17" t="str">
        <f>IFERROR(VLOOKUP(シフト組み!X52,役職一覧!$B:$D,2,FALSE),"")</f>
        <v/>
      </c>
      <c r="Y22" s="17" t="str">
        <f>IFERROR(VLOOKUP(シフト組み!Y52,役職一覧!$B:$D,2,FALSE),"")</f>
        <v/>
      </c>
      <c r="Z22" s="17" t="str">
        <f>IFERROR(VLOOKUP(シフト組み!Z52,役職一覧!$B:$D,2,FALSE),"")</f>
        <v/>
      </c>
      <c r="AA22" s="17" t="str">
        <f>IFERROR(VLOOKUP(シフト組み!AA52,役職一覧!$B:$D,2,FALSE),"")</f>
        <v/>
      </c>
      <c r="AB22" s="17" t="str">
        <f>IFERROR(VLOOKUP(シフト組み!AB52,役職一覧!$B:$D,2,FALSE),"")</f>
        <v/>
      </c>
      <c r="AC22" s="17" t="str">
        <f>IFERROR(VLOOKUP(シフト組み!AC52,役職一覧!$B:$D,2,FALSE),"")</f>
        <v/>
      </c>
      <c r="AD22" s="17" t="str">
        <f>IFERROR(VLOOKUP(シフト組み!AD52,役職一覧!$B:$D,2,FALSE),"")</f>
        <v/>
      </c>
      <c r="AE22" s="17" t="str">
        <f>IFERROR(VLOOKUP(シフト組み!AE52,役職一覧!$B:$D,2,FALSE),"")</f>
        <v/>
      </c>
      <c r="AF22" s="17" t="str">
        <f>IFERROR(VLOOKUP(シフト組み!AF52,役職一覧!$B:$D,2,FALSE),"")</f>
        <v/>
      </c>
      <c r="AG22" s="17" t="str">
        <f>IFERROR(VLOOKUP(シフト組み!AG52,役職一覧!$B:$D,2,FALSE),"")</f>
        <v/>
      </c>
      <c r="AH22" s="17" t="str">
        <f>IFERROR(VLOOKUP(シフト組み!AH52,役職一覧!$B:$D,2,FALSE),"")</f>
        <v/>
      </c>
      <c r="AI22" s="17" t="str">
        <f>IFERROR(VLOOKUP(シフト組み!AI52,役職一覧!$B:$D,2,FALSE),"")</f>
        <v/>
      </c>
      <c r="AJ22" s="17" t="str">
        <f>IFERROR(VLOOKUP(シフト組み!AJ52,役職一覧!$B:$D,2,FALSE),"")</f>
        <v/>
      </c>
      <c r="AK22" s="17" t="str">
        <f>IFERROR(VLOOKUP(シフト組み!AK52,役職一覧!$B:$D,2,FALSE),"")</f>
        <v/>
      </c>
      <c r="AL22" s="17" t="str">
        <f>IFERROR(VLOOKUP(シフト組み!AL52,役職一覧!$B:$D,2,FALSE),"")</f>
        <v/>
      </c>
      <c r="AM22" s="17" t="str">
        <f>IFERROR(VLOOKUP(シフト組み!AM52,役職一覧!$B:$D,2,FALSE),"")</f>
        <v/>
      </c>
      <c r="AN22" s="17" t="str">
        <f>IFERROR(VLOOKUP(シフト組み!AN52,役職一覧!$B:$D,2,FALSE),"")</f>
        <v/>
      </c>
      <c r="AO22" s="17" t="str">
        <f>IFERROR(VLOOKUP(シフト組み!AO52,役職一覧!$B:$D,2,FALSE),"")</f>
        <v/>
      </c>
      <c r="AP22" s="17" t="str">
        <f>IFERROR(VLOOKUP(シフト組み!AP52,役職一覧!$B:$D,2,FALSE),"")</f>
        <v/>
      </c>
      <c r="AQ22" s="17" t="str">
        <f>IFERROR(VLOOKUP(シフト組み!AQ52,役職一覧!$B:$D,2,FALSE),"")</f>
        <v/>
      </c>
      <c r="AR22" s="17" t="str">
        <f>IFERROR(VLOOKUP(シフト組み!AR52,役職一覧!$B:$D,2,FALSE),"")</f>
        <v/>
      </c>
      <c r="AS22" s="17" t="str">
        <f>IFERROR(VLOOKUP(シフト組み!AS52,役職一覧!$B:$D,2,FALSE),"")</f>
        <v/>
      </c>
      <c r="AT22" s="17" t="str">
        <f>IFERROR(VLOOKUP(シフト組み!AT52,役職一覧!$B:$D,2,FALSE),"")</f>
        <v/>
      </c>
      <c r="AU22" s="17" t="str">
        <f>IFERROR(VLOOKUP(シフト組み!AU52,役職一覧!$B:$D,2,FALSE),"")</f>
        <v/>
      </c>
      <c r="AV22" s="17" t="str">
        <f>IFERROR(VLOOKUP(シフト組み!AV52,役職一覧!$B:$D,2,FALSE),"")</f>
        <v/>
      </c>
      <c r="AW22" s="17" t="str">
        <f>IFERROR(VLOOKUP(シフト組み!AW52,役職一覧!$B:$D,2,FALSE),"")</f>
        <v/>
      </c>
      <c r="AX22" s="17" t="str">
        <f>IFERROR(VLOOKUP(シフト組み!AX52,役職一覧!$B:$D,2,FALSE),"")</f>
        <v/>
      </c>
      <c r="AY22" s="17" t="str">
        <f>IFERROR(VLOOKUP(シフト組み!AY52,役職一覧!$B:$D,2,FALSE),"")</f>
        <v/>
      </c>
      <c r="AZ22" s="17" t="str">
        <f>IFERROR(VLOOKUP(シフト組み!AZ52,役職一覧!$B:$D,2,FALSE),"")</f>
        <v/>
      </c>
      <c r="BA22" s="17" t="str">
        <f>IFERROR(VLOOKUP(シフト組み!BA52,役職一覧!$B:$D,2,FALSE),"")</f>
        <v/>
      </c>
    </row>
    <row r="23" spans="1:53">
      <c r="A23" s="2" t="str">
        <f>シフト組み!A53&amp;""</f>
        <v/>
      </c>
      <c r="B23" s="2" t="str">
        <f>シフト組み!B53&amp;""</f>
        <v/>
      </c>
      <c r="C23" s="2" t="str">
        <f>シフト組み!C53&amp;""</f>
        <v/>
      </c>
      <c r="D23" s="17" t="str">
        <f>IFERROR(VLOOKUP(シフト組み!D53,役職一覧!$B:$D,2,FALSE),"")</f>
        <v/>
      </c>
      <c r="E23" s="17" t="str">
        <f>IFERROR(VLOOKUP(シフト組み!E53,役職一覧!$B:$D,2,FALSE),"")</f>
        <v/>
      </c>
      <c r="F23" s="17" t="str">
        <f>IFERROR(VLOOKUP(シフト組み!F53,役職一覧!$B:$D,2,FALSE),"")</f>
        <v/>
      </c>
      <c r="G23" s="17" t="str">
        <f>IFERROR(VLOOKUP(シフト組み!G53,役職一覧!$B:$D,2,FALSE),"")</f>
        <v/>
      </c>
      <c r="H23" s="17" t="str">
        <f>IFERROR(VLOOKUP(シフト組み!H53,役職一覧!$B:$D,2,FALSE),"")</f>
        <v/>
      </c>
      <c r="I23" s="17" t="str">
        <f>IFERROR(VLOOKUP(シフト組み!I53,役職一覧!$B:$D,2,FALSE),"")</f>
        <v/>
      </c>
      <c r="J23" s="17" t="str">
        <f>IFERROR(VLOOKUP(シフト組み!J53,役職一覧!$B:$D,2,FALSE),"")</f>
        <v/>
      </c>
      <c r="K23" s="17" t="str">
        <f>IFERROR(VLOOKUP(シフト組み!K53,役職一覧!$B:$D,2,FALSE),"")</f>
        <v/>
      </c>
      <c r="L23" s="17" t="str">
        <f>IFERROR(VLOOKUP(シフト組み!L53,役職一覧!$B:$D,2,FALSE),"")</f>
        <v/>
      </c>
      <c r="M23" s="17" t="str">
        <f>IFERROR(VLOOKUP(シフト組み!M53,役職一覧!$B:$D,2,FALSE),"")</f>
        <v/>
      </c>
      <c r="N23" s="17" t="str">
        <f>IFERROR(VLOOKUP(シフト組み!N53,役職一覧!$B:$D,2,FALSE),"")</f>
        <v/>
      </c>
      <c r="O23" s="17" t="str">
        <f>IFERROR(VLOOKUP(シフト組み!O53,役職一覧!$B:$D,2,FALSE),"")</f>
        <v/>
      </c>
      <c r="P23" s="17" t="str">
        <f>IFERROR(VLOOKUP(シフト組み!P53,役職一覧!$B:$D,2,FALSE),"")</f>
        <v/>
      </c>
      <c r="Q23" s="17" t="str">
        <f>IFERROR(VLOOKUP(シフト組み!Q53,役職一覧!$B:$D,2,FALSE),"")</f>
        <v/>
      </c>
      <c r="R23" s="17" t="str">
        <f>IFERROR(VLOOKUP(シフト組み!R53,役職一覧!$B:$D,2,FALSE),"")</f>
        <v/>
      </c>
      <c r="S23" s="17" t="str">
        <f>IFERROR(VLOOKUP(シフト組み!S53,役職一覧!$B:$D,2,FALSE),"")</f>
        <v/>
      </c>
      <c r="T23" s="17" t="str">
        <f>IFERROR(VLOOKUP(シフト組み!T53,役職一覧!$B:$D,2,FALSE),"")</f>
        <v/>
      </c>
      <c r="U23" s="17" t="str">
        <f>IFERROR(VLOOKUP(シフト組み!U53,役職一覧!$B:$D,2,FALSE),"")</f>
        <v/>
      </c>
      <c r="V23" s="17" t="str">
        <f>IFERROR(VLOOKUP(シフト組み!V53,役職一覧!$B:$D,2,FALSE),"")</f>
        <v/>
      </c>
      <c r="W23" s="17" t="str">
        <f>IFERROR(VLOOKUP(シフト組み!W53,役職一覧!$B:$D,2,FALSE),"")</f>
        <v/>
      </c>
      <c r="X23" s="17" t="str">
        <f>IFERROR(VLOOKUP(シフト組み!X53,役職一覧!$B:$D,2,FALSE),"")</f>
        <v/>
      </c>
      <c r="Y23" s="17" t="str">
        <f>IFERROR(VLOOKUP(シフト組み!Y53,役職一覧!$B:$D,2,FALSE),"")</f>
        <v/>
      </c>
      <c r="Z23" s="17" t="str">
        <f>IFERROR(VLOOKUP(シフト組み!Z53,役職一覧!$B:$D,2,FALSE),"")</f>
        <v/>
      </c>
      <c r="AA23" s="17" t="str">
        <f>IFERROR(VLOOKUP(シフト組み!AA53,役職一覧!$B:$D,2,FALSE),"")</f>
        <v/>
      </c>
      <c r="AB23" s="17" t="str">
        <f>IFERROR(VLOOKUP(シフト組み!AB53,役職一覧!$B:$D,2,FALSE),"")</f>
        <v/>
      </c>
      <c r="AC23" s="17" t="str">
        <f>IFERROR(VLOOKUP(シフト組み!AC53,役職一覧!$B:$D,2,FALSE),"")</f>
        <v/>
      </c>
      <c r="AD23" s="17" t="str">
        <f>IFERROR(VLOOKUP(シフト組み!AD53,役職一覧!$B:$D,2,FALSE),"")</f>
        <v/>
      </c>
      <c r="AE23" s="17" t="str">
        <f>IFERROR(VLOOKUP(シフト組み!AE53,役職一覧!$B:$D,2,FALSE),"")</f>
        <v/>
      </c>
      <c r="AF23" s="17" t="str">
        <f>IFERROR(VLOOKUP(シフト組み!AF53,役職一覧!$B:$D,2,FALSE),"")</f>
        <v/>
      </c>
      <c r="AG23" s="17" t="str">
        <f>IFERROR(VLOOKUP(シフト組み!AG53,役職一覧!$B:$D,2,FALSE),"")</f>
        <v/>
      </c>
      <c r="AH23" s="17" t="str">
        <f>IFERROR(VLOOKUP(シフト組み!AH53,役職一覧!$B:$D,2,FALSE),"")</f>
        <v/>
      </c>
      <c r="AI23" s="17" t="str">
        <f>IFERROR(VLOOKUP(シフト組み!AI53,役職一覧!$B:$D,2,FALSE),"")</f>
        <v/>
      </c>
      <c r="AJ23" s="17" t="str">
        <f>IFERROR(VLOOKUP(シフト組み!AJ53,役職一覧!$B:$D,2,FALSE),"")</f>
        <v/>
      </c>
      <c r="AK23" s="17" t="str">
        <f>IFERROR(VLOOKUP(シフト組み!AK53,役職一覧!$B:$D,2,FALSE),"")</f>
        <v/>
      </c>
      <c r="AL23" s="17" t="str">
        <f>IFERROR(VLOOKUP(シフト組み!AL53,役職一覧!$B:$D,2,FALSE),"")</f>
        <v/>
      </c>
      <c r="AM23" s="17" t="str">
        <f>IFERROR(VLOOKUP(シフト組み!AM53,役職一覧!$B:$D,2,FALSE),"")</f>
        <v/>
      </c>
      <c r="AN23" s="17" t="str">
        <f>IFERROR(VLOOKUP(シフト組み!AN53,役職一覧!$B:$D,2,FALSE),"")</f>
        <v/>
      </c>
      <c r="AO23" s="17" t="str">
        <f>IFERROR(VLOOKUP(シフト組み!AO53,役職一覧!$B:$D,2,FALSE),"")</f>
        <v/>
      </c>
      <c r="AP23" s="17" t="str">
        <f>IFERROR(VLOOKUP(シフト組み!AP53,役職一覧!$B:$D,2,FALSE),"")</f>
        <v/>
      </c>
      <c r="AQ23" s="17" t="str">
        <f>IFERROR(VLOOKUP(シフト組み!AQ53,役職一覧!$B:$D,2,FALSE),"")</f>
        <v/>
      </c>
      <c r="AR23" s="17" t="str">
        <f>IFERROR(VLOOKUP(シフト組み!AR53,役職一覧!$B:$D,2,FALSE),"")</f>
        <v/>
      </c>
      <c r="AS23" s="17" t="str">
        <f>IFERROR(VLOOKUP(シフト組み!AS53,役職一覧!$B:$D,2,FALSE),"")</f>
        <v/>
      </c>
      <c r="AT23" s="17" t="str">
        <f>IFERROR(VLOOKUP(シフト組み!AT53,役職一覧!$B:$D,2,FALSE),"")</f>
        <v/>
      </c>
      <c r="AU23" s="17" t="str">
        <f>IFERROR(VLOOKUP(シフト組み!AU53,役職一覧!$B:$D,2,FALSE),"")</f>
        <v/>
      </c>
      <c r="AV23" s="17" t="str">
        <f>IFERROR(VLOOKUP(シフト組み!AV53,役職一覧!$B:$D,2,FALSE),"")</f>
        <v/>
      </c>
      <c r="AW23" s="17" t="str">
        <f>IFERROR(VLOOKUP(シフト組み!AW53,役職一覧!$B:$D,2,FALSE),"")</f>
        <v/>
      </c>
      <c r="AX23" s="17" t="str">
        <f>IFERROR(VLOOKUP(シフト組み!AX53,役職一覧!$B:$D,2,FALSE),"")</f>
        <v/>
      </c>
      <c r="AY23" s="17" t="str">
        <f>IFERROR(VLOOKUP(シフト組み!AY53,役職一覧!$B:$D,2,FALSE),"")</f>
        <v/>
      </c>
      <c r="AZ23" s="17" t="str">
        <f>IFERROR(VLOOKUP(シフト組み!AZ53,役職一覧!$B:$D,2,FALSE),"")</f>
        <v/>
      </c>
      <c r="BA23" s="17" t="str">
        <f>IFERROR(VLOOKUP(シフト組み!BA53,役職一覧!$B:$D,2,FALSE),"")</f>
        <v/>
      </c>
    </row>
    <row r="24" spans="1:53">
      <c r="A24" s="2" t="str">
        <f>シフト組み!A54&amp;""</f>
        <v/>
      </c>
      <c r="B24" s="2" t="str">
        <f>シフト組み!B54&amp;""</f>
        <v/>
      </c>
      <c r="C24" s="2" t="str">
        <f>シフト組み!C54&amp;""</f>
        <v/>
      </c>
      <c r="D24" s="17" t="str">
        <f>IFERROR(VLOOKUP(シフト組み!D54,役職一覧!$B:$D,2,FALSE),"")</f>
        <v/>
      </c>
      <c r="E24" s="17" t="str">
        <f>IFERROR(VLOOKUP(シフト組み!E54,役職一覧!$B:$D,2,FALSE),"")</f>
        <v/>
      </c>
      <c r="F24" s="17" t="str">
        <f>IFERROR(VLOOKUP(シフト組み!F54,役職一覧!$B:$D,2,FALSE),"")</f>
        <v/>
      </c>
      <c r="G24" s="17" t="str">
        <f>IFERROR(VLOOKUP(シフト組み!G54,役職一覧!$B:$D,2,FALSE),"")</f>
        <v/>
      </c>
      <c r="H24" s="17" t="str">
        <f>IFERROR(VLOOKUP(シフト組み!H54,役職一覧!$B:$D,2,FALSE),"")</f>
        <v/>
      </c>
      <c r="I24" s="17" t="str">
        <f>IFERROR(VLOOKUP(シフト組み!I54,役職一覧!$B:$D,2,FALSE),"")</f>
        <v/>
      </c>
      <c r="J24" s="17" t="str">
        <f>IFERROR(VLOOKUP(シフト組み!J54,役職一覧!$B:$D,2,FALSE),"")</f>
        <v/>
      </c>
      <c r="K24" s="17" t="str">
        <f>IFERROR(VLOOKUP(シフト組み!K54,役職一覧!$B:$D,2,FALSE),"")</f>
        <v/>
      </c>
      <c r="L24" s="17" t="str">
        <f>IFERROR(VLOOKUP(シフト組み!L54,役職一覧!$B:$D,2,FALSE),"")</f>
        <v/>
      </c>
      <c r="M24" s="17" t="str">
        <f>IFERROR(VLOOKUP(シフト組み!M54,役職一覧!$B:$D,2,FALSE),"")</f>
        <v/>
      </c>
      <c r="N24" s="17" t="str">
        <f>IFERROR(VLOOKUP(シフト組み!N54,役職一覧!$B:$D,2,FALSE),"")</f>
        <v/>
      </c>
      <c r="O24" s="17" t="str">
        <f>IFERROR(VLOOKUP(シフト組み!O54,役職一覧!$B:$D,2,FALSE),"")</f>
        <v/>
      </c>
      <c r="P24" s="17" t="str">
        <f>IFERROR(VLOOKUP(シフト組み!P54,役職一覧!$B:$D,2,FALSE),"")</f>
        <v/>
      </c>
      <c r="Q24" s="17" t="str">
        <f>IFERROR(VLOOKUP(シフト組み!Q54,役職一覧!$B:$D,2,FALSE),"")</f>
        <v/>
      </c>
      <c r="R24" s="17" t="str">
        <f>IFERROR(VLOOKUP(シフト組み!R54,役職一覧!$B:$D,2,FALSE),"")</f>
        <v/>
      </c>
      <c r="S24" s="17" t="str">
        <f>IFERROR(VLOOKUP(シフト組み!S54,役職一覧!$B:$D,2,FALSE),"")</f>
        <v/>
      </c>
      <c r="T24" s="17" t="str">
        <f>IFERROR(VLOOKUP(シフト組み!T54,役職一覧!$B:$D,2,FALSE),"")</f>
        <v/>
      </c>
      <c r="U24" s="17" t="str">
        <f>IFERROR(VLOOKUP(シフト組み!U54,役職一覧!$B:$D,2,FALSE),"")</f>
        <v/>
      </c>
      <c r="V24" s="17" t="str">
        <f>IFERROR(VLOOKUP(シフト組み!V54,役職一覧!$B:$D,2,FALSE),"")</f>
        <v/>
      </c>
      <c r="W24" s="17" t="str">
        <f>IFERROR(VLOOKUP(シフト組み!W54,役職一覧!$B:$D,2,FALSE),"")</f>
        <v/>
      </c>
      <c r="X24" s="17" t="str">
        <f>IFERROR(VLOOKUP(シフト組み!X54,役職一覧!$B:$D,2,FALSE),"")</f>
        <v/>
      </c>
      <c r="Y24" s="17" t="str">
        <f>IFERROR(VLOOKUP(シフト組み!Y54,役職一覧!$B:$D,2,FALSE),"")</f>
        <v/>
      </c>
      <c r="Z24" s="17" t="str">
        <f>IFERROR(VLOOKUP(シフト組み!Z54,役職一覧!$B:$D,2,FALSE),"")</f>
        <v/>
      </c>
      <c r="AA24" s="17" t="str">
        <f>IFERROR(VLOOKUP(シフト組み!AA54,役職一覧!$B:$D,2,FALSE),"")</f>
        <v/>
      </c>
      <c r="AB24" s="17" t="str">
        <f>IFERROR(VLOOKUP(シフト組み!AB54,役職一覧!$B:$D,2,FALSE),"")</f>
        <v/>
      </c>
      <c r="AC24" s="17" t="str">
        <f>IFERROR(VLOOKUP(シフト組み!AC54,役職一覧!$B:$D,2,FALSE),"")</f>
        <v/>
      </c>
      <c r="AD24" s="17" t="str">
        <f>IFERROR(VLOOKUP(シフト組み!AD54,役職一覧!$B:$D,2,FALSE),"")</f>
        <v/>
      </c>
      <c r="AE24" s="17" t="str">
        <f>IFERROR(VLOOKUP(シフト組み!AE54,役職一覧!$B:$D,2,FALSE),"")</f>
        <v/>
      </c>
      <c r="AF24" s="17" t="str">
        <f>IFERROR(VLOOKUP(シフト組み!AF54,役職一覧!$B:$D,2,FALSE),"")</f>
        <v/>
      </c>
      <c r="AG24" s="17" t="str">
        <f>IFERROR(VLOOKUP(シフト組み!AG54,役職一覧!$B:$D,2,FALSE),"")</f>
        <v/>
      </c>
      <c r="AH24" s="17" t="str">
        <f>IFERROR(VLOOKUP(シフト組み!AH54,役職一覧!$B:$D,2,FALSE),"")</f>
        <v/>
      </c>
      <c r="AI24" s="17" t="str">
        <f>IFERROR(VLOOKUP(シフト組み!AI54,役職一覧!$B:$D,2,FALSE),"")</f>
        <v/>
      </c>
      <c r="AJ24" s="17" t="str">
        <f>IFERROR(VLOOKUP(シフト組み!AJ54,役職一覧!$B:$D,2,FALSE),"")</f>
        <v/>
      </c>
      <c r="AK24" s="17" t="str">
        <f>IFERROR(VLOOKUP(シフト組み!AK54,役職一覧!$B:$D,2,FALSE),"")</f>
        <v/>
      </c>
      <c r="AL24" s="17" t="str">
        <f>IFERROR(VLOOKUP(シフト組み!AL54,役職一覧!$B:$D,2,FALSE),"")</f>
        <v/>
      </c>
      <c r="AM24" s="17" t="str">
        <f>IFERROR(VLOOKUP(シフト組み!AM54,役職一覧!$B:$D,2,FALSE),"")</f>
        <v/>
      </c>
      <c r="AN24" s="17" t="str">
        <f>IFERROR(VLOOKUP(シフト組み!AN54,役職一覧!$B:$D,2,FALSE),"")</f>
        <v/>
      </c>
      <c r="AO24" s="17" t="str">
        <f>IFERROR(VLOOKUP(シフト組み!AO54,役職一覧!$B:$D,2,FALSE),"")</f>
        <v/>
      </c>
      <c r="AP24" s="17" t="str">
        <f>IFERROR(VLOOKUP(シフト組み!AP54,役職一覧!$B:$D,2,FALSE),"")</f>
        <v/>
      </c>
      <c r="AQ24" s="17" t="str">
        <f>IFERROR(VLOOKUP(シフト組み!AQ54,役職一覧!$B:$D,2,FALSE),"")</f>
        <v/>
      </c>
      <c r="AR24" s="17" t="str">
        <f>IFERROR(VLOOKUP(シフト組み!AR54,役職一覧!$B:$D,2,FALSE),"")</f>
        <v/>
      </c>
      <c r="AS24" s="17" t="str">
        <f>IFERROR(VLOOKUP(シフト組み!AS54,役職一覧!$B:$D,2,FALSE),"")</f>
        <v/>
      </c>
      <c r="AT24" s="17" t="str">
        <f>IFERROR(VLOOKUP(シフト組み!AT54,役職一覧!$B:$D,2,FALSE),"")</f>
        <v/>
      </c>
      <c r="AU24" s="17" t="str">
        <f>IFERROR(VLOOKUP(シフト組み!AU54,役職一覧!$B:$D,2,FALSE),"")</f>
        <v/>
      </c>
      <c r="AV24" s="17" t="str">
        <f>IFERROR(VLOOKUP(シフト組み!AV54,役職一覧!$B:$D,2,FALSE),"")</f>
        <v/>
      </c>
      <c r="AW24" s="17" t="str">
        <f>IFERROR(VLOOKUP(シフト組み!AW54,役職一覧!$B:$D,2,FALSE),"")</f>
        <v/>
      </c>
      <c r="AX24" s="17" t="str">
        <f>IFERROR(VLOOKUP(シフト組み!AX54,役職一覧!$B:$D,2,FALSE),"")</f>
        <v/>
      </c>
      <c r="AY24" s="17" t="str">
        <f>IFERROR(VLOOKUP(シフト組み!AY54,役職一覧!$B:$D,2,FALSE),"")</f>
        <v/>
      </c>
      <c r="AZ24" s="17" t="str">
        <f>IFERROR(VLOOKUP(シフト組み!AZ54,役職一覧!$B:$D,2,FALSE),"")</f>
        <v/>
      </c>
      <c r="BA24" s="17" t="str">
        <f>IFERROR(VLOOKUP(シフト組み!BA54,役職一覧!$B:$D,2,FALSE),"")</f>
        <v/>
      </c>
    </row>
    <row r="25" spans="1:53">
      <c r="A25" s="2" t="str">
        <f>シフト組み!A55&amp;""</f>
        <v/>
      </c>
      <c r="B25" s="2" t="str">
        <f>シフト組み!B55&amp;""</f>
        <v/>
      </c>
      <c r="C25" s="2" t="str">
        <f>シフト組み!C55&amp;""</f>
        <v/>
      </c>
      <c r="D25" s="17" t="str">
        <f>IFERROR(VLOOKUP(シフト組み!D55,役職一覧!$B:$D,2,FALSE),"")</f>
        <v/>
      </c>
      <c r="E25" s="17" t="str">
        <f>IFERROR(VLOOKUP(シフト組み!E55,役職一覧!$B:$D,2,FALSE),"")</f>
        <v/>
      </c>
      <c r="F25" s="17" t="str">
        <f>IFERROR(VLOOKUP(シフト組み!F55,役職一覧!$B:$D,2,FALSE),"")</f>
        <v/>
      </c>
      <c r="G25" s="17" t="str">
        <f>IFERROR(VLOOKUP(シフト組み!G55,役職一覧!$B:$D,2,FALSE),"")</f>
        <v/>
      </c>
      <c r="H25" s="17" t="str">
        <f>IFERROR(VLOOKUP(シフト組み!H55,役職一覧!$B:$D,2,FALSE),"")</f>
        <v/>
      </c>
      <c r="I25" s="17" t="str">
        <f>IFERROR(VLOOKUP(シフト組み!I55,役職一覧!$B:$D,2,FALSE),"")</f>
        <v/>
      </c>
      <c r="J25" s="17" t="str">
        <f>IFERROR(VLOOKUP(シフト組み!J55,役職一覧!$B:$D,2,FALSE),"")</f>
        <v/>
      </c>
      <c r="K25" s="17" t="str">
        <f>IFERROR(VLOOKUP(シフト組み!K55,役職一覧!$B:$D,2,FALSE),"")</f>
        <v/>
      </c>
      <c r="L25" s="17" t="str">
        <f>IFERROR(VLOOKUP(シフト組み!L55,役職一覧!$B:$D,2,FALSE),"")</f>
        <v/>
      </c>
      <c r="M25" s="17" t="str">
        <f>IFERROR(VLOOKUP(シフト組み!M55,役職一覧!$B:$D,2,FALSE),"")</f>
        <v/>
      </c>
      <c r="N25" s="17" t="str">
        <f>IFERROR(VLOOKUP(シフト組み!N55,役職一覧!$B:$D,2,FALSE),"")</f>
        <v/>
      </c>
      <c r="O25" s="17" t="str">
        <f>IFERROR(VLOOKUP(シフト組み!O55,役職一覧!$B:$D,2,FALSE),"")</f>
        <v/>
      </c>
      <c r="P25" s="17" t="str">
        <f>IFERROR(VLOOKUP(シフト組み!P55,役職一覧!$B:$D,2,FALSE),"")</f>
        <v/>
      </c>
      <c r="Q25" s="17" t="str">
        <f>IFERROR(VLOOKUP(シフト組み!Q55,役職一覧!$B:$D,2,FALSE),"")</f>
        <v/>
      </c>
      <c r="R25" s="17" t="str">
        <f>IFERROR(VLOOKUP(シフト組み!R55,役職一覧!$B:$D,2,FALSE),"")</f>
        <v/>
      </c>
      <c r="S25" s="17" t="str">
        <f>IFERROR(VLOOKUP(シフト組み!S55,役職一覧!$B:$D,2,FALSE),"")</f>
        <v/>
      </c>
      <c r="T25" s="17" t="str">
        <f>IFERROR(VLOOKUP(シフト組み!T55,役職一覧!$B:$D,2,FALSE),"")</f>
        <v/>
      </c>
      <c r="U25" s="17" t="str">
        <f>IFERROR(VLOOKUP(シフト組み!U55,役職一覧!$B:$D,2,FALSE),"")</f>
        <v/>
      </c>
      <c r="V25" s="17" t="str">
        <f>IFERROR(VLOOKUP(シフト組み!V55,役職一覧!$B:$D,2,FALSE),"")</f>
        <v/>
      </c>
      <c r="W25" s="17" t="str">
        <f>IFERROR(VLOOKUP(シフト組み!W55,役職一覧!$B:$D,2,FALSE),"")</f>
        <v/>
      </c>
      <c r="X25" s="17" t="str">
        <f>IFERROR(VLOOKUP(シフト組み!X55,役職一覧!$B:$D,2,FALSE),"")</f>
        <v/>
      </c>
      <c r="Y25" s="17" t="str">
        <f>IFERROR(VLOOKUP(シフト組み!Y55,役職一覧!$B:$D,2,FALSE),"")</f>
        <v/>
      </c>
      <c r="Z25" s="17" t="str">
        <f>IFERROR(VLOOKUP(シフト組み!Z55,役職一覧!$B:$D,2,FALSE),"")</f>
        <v/>
      </c>
      <c r="AA25" s="17" t="str">
        <f>IFERROR(VLOOKUP(シフト組み!AA55,役職一覧!$B:$D,2,FALSE),"")</f>
        <v/>
      </c>
      <c r="AB25" s="17" t="str">
        <f>IFERROR(VLOOKUP(シフト組み!AB55,役職一覧!$B:$D,2,FALSE),"")</f>
        <v/>
      </c>
      <c r="AC25" s="17" t="str">
        <f>IFERROR(VLOOKUP(シフト組み!AC55,役職一覧!$B:$D,2,FALSE),"")</f>
        <v/>
      </c>
      <c r="AD25" s="17" t="str">
        <f>IFERROR(VLOOKUP(シフト組み!AD55,役職一覧!$B:$D,2,FALSE),"")</f>
        <v/>
      </c>
      <c r="AE25" s="17" t="str">
        <f>IFERROR(VLOOKUP(シフト組み!AE55,役職一覧!$B:$D,2,FALSE),"")</f>
        <v/>
      </c>
      <c r="AF25" s="17" t="str">
        <f>IFERROR(VLOOKUP(シフト組み!AF55,役職一覧!$B:$D,2,FALSE),"")</f>
        <v/>
      </c>
      <c r="AG25" s="17" t="str">
        <f>IFERROR(VLOOKUP(シフト組み!AG55,役職一覧!$B:$D,2,FALSE),"")</f>
        <v/>
      </c>
      <c r="AH25" s="17" t="str">
        <f>IFERROR(VLOOKUP(シフト組み!AH55,役職一覧!$B:$D,2,FALSE),"")</f>
        <v/>
      </c>
      <c r="AI25" s="17" t="str">
        <f>IFERROR(VLOOKUP(シフト組み!AI55,役職一覧!$B:$D,2,FALSE),"")</f>
        <v/>
      </c>
      <c r="AJ25" s="17" t="str">
        <f>IFERROR(VLOOKUP(シフト組み!AJ55,役職一覧!$B:$D,2,FALSE),"")</f>
        <v/>
      </c>
      <c r="AK25" s="17" t="str">
        <f>IFERROR(VLOOKUP(シフト組み!AK55,役職一覧!$B:$D,2,FALSE),"")</f>
        <v/>
      </c>
      <c r="AL25" s="17" t="str">
        <f>IFERROR(VLOOKUP(シフト組み!AL55,役職一覧!$B:$D,2,FALSE),"")</f>
        <v/>
      </c>
      <c r="AM25" s="17" t="str">
        <f>IFERROR(VLOOKUP(シフト組み!AM55,役職一覧!$B:$D,2,FALSE),"")</f>
        <v/>
      </c>
      <c r="AN25" s="17" t="str">
        <f>IFERROR(VLOOKUP(シフト組み!AN55,役職一覧!$B:$D,2,FALSE),"")</f>
        <v/>
      </c>
      <c r="AO25" s="17" t="str">
        <f>IFERROR(VLOOKUP(シフト組み!AO55,役職一覧!$B:$D,2,FALSE),"")</f>
        <v/>
      </c>
      <c r="AP25" s="17" t="str">
        <f>IFERROR(VLOOKUP(シフト組み!AP55,役職一覧!$B:$D,2,FALSE),"")</f>
        <v/>
      </c>
      <c r="AQ25" s="17" t="str">
        <f>IFERROR(VLOOKUP(シフト組み!AQ55,役職一覧!$B:$D,2,FALSE),"")</f>
        <v/>
      </c>
      <c r="AR25" s="17" t="str">
        <f>IFERROR(VLOOKUP(シフト組み!AR55,役職一覧!$B:$D,2,FALSE),"")</f>
        <v/>
      </c>
      <c r="AS25" s="17" t="str">
        <f>IFERROR(VLOOKUP(シフト組み!AS55,役職一覧!$B:$D,2,FALSE),"")</f>
        <v/>
      </c>
      <c r="AT25" s="17" t="str">
        <f>IFERROR(VLOOKUP(シフト組み!AT55,役職一覧!$B:$D,2,FALSE),"")</f>
        <v/>
      </c>
      <c r="AU25" s="17" t="str">
        <f>IFERROR(VLOOKUP(シフト組み!AU55,役職一覧!$B:$D,2,FALSE),"")</f>
        <v/>
      </c>
      <c r="AV25" s="17" t="str">
        <f>IFERROR(VLOOKUP(シフト組み!AV55,役職一覧!$B:$D,2,FALSE),"")</f>
        <v/>
      </c>
      <c r="AW25" s="17" t="str">
        <f>IFERROR(VLOOKUP(シフト組み!AW55,役職一覧!$B:$D,2,FALSE),"")</f>
        <v/>
      </c>
      <c r="AX25" s="17" t="str">
        <f>IFERROR(VLOOKUP(シフト組み!AX55,役職一覧!$B:$D,2,FALSE),"")</f>
        <v/>
      </c>
      <c r="AY25" s="17" t="str">
        <f>IFERROR(VLOOKUP(シフト組み!AY55,役職一覧!$B:$D,2,FALSE),"")</f>
        <v/>
      </c>
      <c r="AZ25" s="17" t="str">
        <f>IFERROR(VLOOKUP(シフト組み!AZ55,役職一覧!$B:$D,2,FALSE),"")</f>
        <v/>
      </c>
      <c r="BA25" s="17" t="str">
        <f>IFERROR(VLOOKUP(シフト組み!BA55,役職一覧!$B:$D,2,FALSE),"")</f>
        <v/>
      </c>
    </row>
    <row r="26" spans="1:53">
      <c r="A26" s="2" t="str">
        <f>シフト組み!A56&amp;""</f>
        <v/>
      </c>
      <c r="B26" s="2" t="str">
        <f>シフト組み!B56&amp;""</f>
        <v/>
      </c>
      <c r="C26" s="2" t="str">
        <f>シフト組み!C56&amp;""</f>
        <v/>
      </c>
      <c r="D26" s="17" t="str">
        <f>IFERROR(VLOOKUP(シフト組み!D56,役職一覧!$B:$D,2,FALSE),"")</f>
        <v/>
      </c>
      <c r="E26" s="17" t="str">
        <f>IFERROR(VLOOKUP(シフト組み!E56,役職一覧!$B:$D,2,FALSE),"")</f>
        <v/>
      </c>
      <c r="F26" s="17" t="str">
        <f>IFERROR(VLOOKUP(シフト組み!F56,役職一覧!$B:$D,2,FALSE),"")</f>
        <v/>
      </c>
      <c r="G26" s="17" t="str">
        <f>IFERROR(VLOOKUP(シフト組み!G56,役職一覧!$B:$D,2,FALSE),"")</f>
        <v/>
      </c>
      <c r="H26" s="17" t="str">
        <f>IFERROR(VLOOKUP(シフト組み!H56,役職一覧!$B:$D,2,FALSE),"")</f>
        <v/>
      </c>
      <c r="I26" s="17" t="str">
        <f>IFERROR(VLOOKUP(シフト組み!I56,役職一覧!$B:$D,2,FALSE),"")</f>
        <v/>
      </c>
      <c r="J26" s="17" t="str">
        <f>IFERROR(VLOOKUP(シフト組み!J56,役職一覧!$B:$D,2,FALSE),"")</f>
        <v/>
      </c>
      <c r="K26" s="17" t="str">
        <f>IFERROR(VLOOKUP(シフト組み!K56,役職一覧!$B:$D,2,FALSE),"")</f>
        <v/>
      </c>
      <c r="L26" s="17" t="str">
        <f>IFERROR(VLOOKUP(シフト組み!L56,役職一覧!$B:$D,2,FALSE),"")</f>
        <v/>
      </c>
      <c r="M26" s="17" t="str">
        <f>IFERROR(VLOOKUP(シフト組み!M56,役職一覧!$B:$D,2,FALSE),"")</f>
        <v/>
      </c>
      <c r="N26" s="17" t="str">
        <f>IFERROR(VLOOKUP(シフト組み!N56,役職一覧!$B:$D,2,FALSE),"")</f>
        <v/>
      </c>
      <c r="O26" s="17" t="str">
        <f>IFERROR(VLOOKUP(シフト組み!O56,役職一覧!$B:$D,2,FALSE),"")</f>
        <v/>
      </c>
      <c r="P26" s="17" t="str">
        <f>IFERROR(VLOOKUP(シフト組み!P56,役職一覧!$B:$D,2,FALSE),"")</f>
        <v/>
      </c>
      <c r="Q26" s="17" t="str">
        <f>IFERROR(VLOOKUP(シフト組み!Q56,役職一覧!$B:$D,2,FALSE),"")</f>
        <v/>
      </c>
      <c r="R26" s="17" t="str">
        <f>IFERROR(VLOOKUP(シフト組み!R56,役職一覧!$B:$D,2,FALSE),"")</f>
        <v/>
      </c>
      <c r="S26" s="17" t="str">
        <f>IFERROR(VLOOKUP(シフト組み!S56,役職一覧!$B:$D,2,FALSE),"")</f>
        <v/>
      </c>
      <c r="T26" s="17" t="str">
        <f>IFERROR(VLOOKUP(シフト組み!T56,役職一覧!$B:$D,2,FALSE),"")</f>
        <v/>
      </c>
      <c r="U26" s="17" t="str">
        <f>IFERROR(VLOOKUP(シフト組み!U56,役職一覧!$B:$D,2,FALSE),"")</f>
        <v/>
      </c>
      <c r="V26" s="17" t="str">
        <f>IFERROR(VLOOKUP(シフト組み!V56,役職一覧!$B:$D,2,FALSE),"")</f>
        <v/>
      </c>
      <c r="W26" s="17" t="str">
        <f>IFERROR(VLOOKUP(シフト組み!W56,役職一覧!$B:$D,2,FALSE),"")</f>
        <v/>
      </c>
      <c r="X26" s="17" t="str">
        <f>IFERROR(VLOOKUP(シフト組み!X56,役職一覧!$B:$D,2,FALSE),"")</f>
        <v/>
      </c>
      <c r="Y26" s="17" t="str">
        <f>IFERROR(VLOOKUP(シフト組み!Y56,役職一覧!$B:$D,2,FALSE),"")</f>
        <v/>
      </c>
      <c r="Z26" s="17" t="str">
        <f>IFERROR(VLOOKUP(シフト組み!Z56,役職一覧!$B:$D,2,FALSE),"")</f>
        <v/>
      </c>
      <c r="AA26" s="17" t="str">
        <f>IFERROR(VLOOKUP(シフト組み!AA56,役職一覧!$B:$D,2,FALSE),"")</f>
        <v/>
      </c>
      <c r="AB26" s="17" t="str">
        <f>IFERROR(VLOOKUP(シフト組み!AB56,役職一覧!$B:$D,2,FALSE),"")</f>
        <v/>
      </c>
      <c r="AC26" s="17" t="str">
        <f>IFERROR(VLOOKUP(シフト組み!AC56,役職一覧!$B:$D,2,FALSE),"")</f>
        <v/>
      </c>
      <c r="AD26" s="17" t="str">
        <f>IFERROR(VLOOKUP(シフト組み!AD56,役職一覧!$B:$D,2,FALSE),"")</f>
        <v/>
      </c>
      <c r="AE26" s="17" t="str">
        <f>IFERROR(VLOOKUP(シフト組み!AE56,役職一覧!$B:$D,2,FALSE),"")</f>
        <v/>
      </c>
      <c r="AF26" s="17" t="str">
        <f>IFERROR(VLOOKUP(シフト組み!AF56,役職一覧!$B:$D,2,FALSE),"")</f>
        <v/>
      </c>
      <c r="AG26" s="17" t="str">
        <f>IFERROR(VLOOKUP(シフト組み!AG56,役職一覧!$B:$D,2,FALSE),"")</f>
        <v/>
      </c>
      <c r="AH26" s="17" t="str">
        <f>IFERROR(VLOOKUP(シフト組み!AH56,役職一覧!$B:$D,2,FALSE),"")</f>
        <v/>
      </c>
      <c r="AI26" s="17" t="str">
        <f>IFERROR(VLOOKUP(シフト組み!AI56,役職一覧!$B:$D,2,FALSE),"")</f>
        <v/>
      </c>
      <c r="AJ26" s="17" t="str">
        <f>IFERROR(VLOOKUP(シフト組み!AJ56,役職一覧!$B:$D,2,FALSE),"")</f>
        <v/>
      </c>
      <c r="AK26" s="17" t="str">
        <f>IFERROR(VLOOKUP(シフト組み!AK56,役職一覧!$B:$D,2,FALSE),"")</f>
        <v/>
      </c>
      <c r="AL26" s="17" t="str">
        <f>IFERROR(VLOOKUP(シフト組み!AL56,役職一覧!$B:$D,2,FALSE),"")</f>
        <v/>
      </c>
      <c r="AM26" s="17" t="str">
        <f>IFERROR(VLOOKUP(シフト組み!AM56,役職一覧!$B:$D,2,FALSE),"")</f>
        <v/>
      </c>
      <c r="AN26" s="17" t="str">
        <f>IFERROR(VLOOKUP(シフト組み!AN56,役職一覧!$B:$D,2,FALSE),"")</f>
        <v/>
      </c>
      <c r="AO26" s="17" t="str">
        <f>IFERROR(VLOOKUP(シフト組み!AO56,役職一覧!$B:$D,2,FALSE),"")</f>
        <v/>
      </c>
      <c r="AP26" s="17" t="str">
        <f>IFERROR(VLOOKUP(シフト組み!AP56,役職一覧!$B:$D,2,FALSE),"")</f>
        <v/>
      </c>
      <c r="AQ26" s="17" t="str">
        <f>IFERROR(VLOOKUP(シフト組み!AQ56,役職一覧!$B:$D,2,FALSE),"")</f>
        <v/>
      </c>
      <c r="AR26" s="17" t="str">
        <f>IFERROR(VLOOKUP(シフト組み!AR56,役職一覧!$B:$D,2,FALSE),"")</f>
        <v/>
      </c>
      <c r="AS26" s="17" t="str">
        <f>IFERROR(VLOOKUP(シフト組み!AS56,役職一覧!$B:$D,2,FALSE),"")</f>
        <v/>
      </c>
      <c r="AT26" s="17" t="str">
        <f>IFERROR(VLOOKUP(シフト組み!AT56,役職一覧!$B:$D,2,FALSE),"")</f>
        <v/>
      </c>
      <c r="AU26" s="17" t="str">
        <f>IFERROR(VLOOKUP(シフト組み!AU56,役職一覧!$B:$D,2,FALSE),"")</f>
        <v/>
      </c>
      <c r="AV26" s="17" t="str">
        <f>IFERROR(VLOOKUP(シフト組み!AV56,役職一覧!$B:$D,2,FALSE),"")</f>
        <v/>
      </c>
      <c r="AW26" s="17" t="str">
        <f>IFERROR(VLOOKUP(シフト組み!AW56,役職一覧!$B:$D,2,FALSE),"")</f>
        <v/>
      </c>
      <c r="AX26" s="17" t="str">
        <f>IFERROR(VLOOKUP(シフト組み!AX56,役職一覧!$B:$D,2,FALSE),"")</f>
        <v/>
      </c>
      <c r="AY26" s="17" t="str">
        <f>IFERROR(VLOOKUP(シフト組み!AY56,役職一覧!$B:$D,2,FALSE),"")</f>
        <v/>
      </c>
      <c r="AZ26" s="17" t="str">
        <f>IFERROR(VLOOKUP(シフト組み!AZ56,役職一覧!$B:$D,2,FALSE),"")</f>
        <v/>
      </c>
      <c r="BA26" s="17" t="str">
        <f>IFERROR(VLOOKUP(シフト組み!BA56,役職一覧!$B:$D,2,FALSE),"")</f>
        <v/>
      </c>
    </row>
    <row r="27" spans="1:53">
      <c r="A27" s="2" t="str">
        <f>シフト組み!A57&amp;""</f>
        <v/>
      </c>
      <c r="B27" s="2" t="str">
        <f>シフト組み!B57&amp;""</f>
        <v/>
      </c>
      <c r="C27" s="2" t="str">
        <f>シフト組み!C57&amp;""</f>
        <v/>
      </c>
      <c r="D27" s="17" t="str">
        <f>IFERROR(VLOOKUP(シフト組み!D57,役職一覧!$B:$D,2,FALSE),"")</f>
        <v/>
      </c>
      <c r="E27" s="17" t="str">
        <f>IFERROR(VLOOKUP(シフト組み!E57,役職一覧!$B:$D,2,FALSE),"")</f>
        <v/>
      </c>
      <c r="F27" s="17" t="str">
        <f>IFERROR(VLOOKUP(シフト組み!F57,役職一覧!$B:$D,2,FALSE),"")</f>
        <v/>
      </c>
      <c r="G27" s="17" t="str">
        <f>IFERROR(VLOOKUP(シフト組み!G57,役職一覧!$B:$D,2,FALSE),"")</f>
        <v/>
      </c>
      <c r="H27" s="17" t="str">
        <f>IFERROR(VLOOKUP(シフト組み!H57,役職一覧!$B:$D,2,FALSE),"")</f>
        <v/>
      </c>
      <c r="I27" s="17" t="str">
        <f>IFERROR(VLOOKUP(シフト組み!I57,役職一覧!$B:$D,2,FALSE),"")</f>
        <v/>
      </c>
      <c r="J27" s="17" t="str">
        <f>IFERROR(VLOOKUP(シフト組み!J57,役職一覧!$B:$D,2,FALSE),"")</f>
        <v/>
      </c>
      <c r="K27" s="17" t="str">
        <f>IFERROR(VLOOKUP(シフト組み!K57,役職一覧!$B:$D,2,FALSE),"")</f>
        <v/>
      </c>
      <c r="L27" s="17" t="str">
        <f>IFERROR(VLOOKUP(シフト組み!L57,役職一覧!$B:$D,2,FALSE),"")</f>
        <v/>
      </c>
      <c r="M27" s="17" t="str">
        <f>IFERROR(VLOOKUP(シフト組み!M57,役職一覧!$B:$D,2,FALSE),"")</f>
        <v/>
      </c>
      <c r="N27" s="17" t="str">
        <f>IFERROR(VLOOKUP(シフト組み!N57,役職一覧!$B:$D,2,FALSE),"")</f>
        <v/>
      </c>
      <c r="O27" s="17" t="str">
        <f>IFERROR(VLOOKUP(シフト組み!O57,役職一覧!$B:$D,2,FALSE),"")</f>
        <v/>
      </c>
      <c r="P27" s="17" t="str">
        <f>IFERROR(VLOOKUP(シフト組み!P57,役職一覧!$B:$D,2,FALSE),"")</f>
        <v/>
      </c>
      <c r="Q27" s="17" t="str">
        <f>IFERROR(VLOOKUP(シフト組み!Q57,役職一覧!$B:$D,2,FALSE),"")</f>
        <v/>
      </c>
      <c r="R27" s="17" t="str">
        <f>IFERROR(VLOOKUP(シフト組み!R57,役職一覧!$B:$D,2,FALSE),"")</f>
        <v/>
      </c>
      <c r="S27" s="17" t="str">
        <f>IFERROR(VLOOKUP(シフト組み!S57,役職一覧!$B:$D,2,FALSE),"")</f>
        <v/>
      </c>
      <c r="T27" s="17" t="str">
        <f>IFERROR(VLOOKUP(シフト組み!T57,役職一覧!$B:$D,2,FALSE),"")</f>
        <v/>
      </c>
      <c r="U27" s="17" t="str">
        <f>IFERROR(VLOOKUP(シフト組み!U57,役職一覧!$B:$D,2,FALSE),"")</f>
        <v/>
      </c>
      <c r="V27" s="17" t="str">
        <f>IFERROR(VLOOKUP(シフト組み!V57,役職一覧!$B:$D,2,FALSE),"")</f>
        <v/>
      </c>
      <c r="W27" s="17" t="str">
        <f>IFERROR(VLOOKUP(シフト組み!W57,役職一覧!$B:$D,2,FALSE),"")</f>
        <v/>
      </c>
      <c r="X27" s="17" t="str">
        <f>IFERROR(VLOOKUP(シフト組み!X57,役職一覧!$B:$D,2,FALSE),"")</f>
        <v/>
      </c>
      <c r="Y27" s="17" t="str">
        <f>IFERROR(VLOOKUP(シフト組み!Y57,役職一覧!$B:$D,2,FALSE),"")</f>
        <v/>
      </c>
      <c r="Z27" s="17" t="str">
        <f>IFERROR(VLOOKUP(シフト組み!Z57,役職一覧!$B:$D,2,FALSE),"")</f>
        <v/>
      </c>
      <c r="AA27" s="17" t="str">
        <f>IFERROR(VLOOKUP(シフト組み!AA57,役職一覧!$B:$D,2,FALSE),"")</f>
        <v/>
      </c>
      <c r="AB27" s="17" t="str">
        <f>IFERROR(VLOOKUP(シフト組み!AB57,役職一覧!$B:$D,2,FALSE),"")</f>
        <v/>
      </c>
      <c r="AC27" s="17" t="str">
        <f>IFERROR(VLOOKUP(シフト組み!AC57,役職一覧!$B:$D,2,FALSE),"")</f>
        <v/>
      </c>
      <c r="AD27" s="17" t="str">
        <f>IFERROR(VLOOKUP(シフト組み!AD57,役職一覧!$B:$D,2,FALSE),"")</f>
        <v/>
      </c>
      <c r="AE27" s="17" t="str">
        <f>IFERROR(VLOOKUP(シフト組み!AE57,役職一覧!$B:$D,2,FALSE),"")</f>
        <v/>
      </c>
      <c r="AF27" s="17" t="str">
        <f>IFERROR(VLOOKUP(シフト組み!AF57,役職一覧!$B:$D,2,FALSE),"")</f>
        <v/>
      </c>
      <c r="AG27" s="17" t="str">
        <f>IFERROR(VLOOKUP(シフト組み!AG57,役職一覧!$B:$D,2,FALSE),"")</f>
        <v/>
      </c>
      <c r="AH27" s="17" t="str">
        <f>IFERROR(VLOOKUP(シフト組み!AH57,役職一覧!$B:$D,2,FALSE),"")</f>
        <v/>
      </c>
      <c r="AI27" s="17" t="str">
        <f>IFERROR(VLOOKUP(シフト組み!AI57,役職一覧!$B:$D,2,FALSE),"")</f>
        <v/>
      </c>
      <c r="AJ27" s="17" t="str">
        <f>IFERROR(VLOOKUP(シフト組み!AJ57,役職一覧!$B:$D,2,FALSE),"")</f>
        <v/>
      </c>
      <c r="AK27" s="17" t="str">
        <f>IFERROR(VLOOKUP(シフト組み!AK57,役職一覧!$B:$D,2,FALSE),"")</f>
        <v/>
      </c>
      <c r="AL27" s="17" t="str">
        <f>IFERROR(VLOOKUP(シフト組み!AL57,役職一覧!$B:$D,2,FALSE),"")</f>
        <v/>
      </c>
      <c r="AM27" s="17" t="str">
        <f>IFERROR(VLOOKUP(シフト組み!AM57,役職一覧!$B:$D,2,FALSE),"")</f>
        <v/>
      </c>
      <c r="AN27" s="17" t="str">
        <f>IFERROR(VLOOKUP(シフト組み!AN57,役職一覧!$B:$D,2,FALSE),"")</f>
        <v/>
      </c>
      <c r="AO27" s="17" t="str">
        <f>IFERROR(VLOOKUP(シフト組み!AO57,役職一覧!$B:$D,2,FALSE),"")</f>
        <v/>
      </c>
      <c r="AP27" s="17" t="str">
        <f>IFERROR(VLOOKUP(シフト組み!AP57,役職一覧!$B:$D,2,FALSE),"")</f>
        <v/>
      </c>
      <c r="AQ27" s="17" t="str">
        <f>IFERROR(VLOOKUP(シフト組み!AQ57,役職一覧!$B:$D,2,FALSE),"")</f>
        <v/>
      </c>
      <c r="AR27" s="17" t="str">
        <f>IFERROR(VLOOKUP(シフト組み!AR57,役職一覧!$B:$D,2,FALSE),"")</f>
        <v/>
      </c>
      <c r="AS27" s="17" t="str">
        <f>IFERROR(VLOOKUP(シフト組み!AS57,役職一覧!$B:$D,2,FALSE),"")</f>
        <v/>
      </c>
      <c r="AT27" s="17" t="str">
        <f>IFERROR(VLOOKUP(シフト組み!AT57,役職一覧!$B:$D,2,FALSE),"")</f>
        <v/>
      </c>
      <c r="AU27" s="17" t="str">
        <f>IFERROR(VLOOKUP(シフト組み!AU57,役職一覧!$B:$D,2,FALSE),"")</f>
        <v/>
      </c>
      <c r="AV27" s="17" t="str">
        <f>IFERROR(VLOOKUP(シフト組み!AV57,役職一覧!$B:$D,2,FALSE),"")</f>
        <v/>
      </c>
      <c r="AW27" s="17" t="str">
        <f>IFERROR(VLOOKUP(シフト組み!AW57,役職一覧!$B:$D,2,FALSE),"")</f>
        <v/>
      </c>
      <c r="AX27" s="17" t="str">
        <f>IFERROR(VLOOKUP(シフト組み!AX57,役職一覧!$B:$D,2,FALSE),"")</f>
        <v/>
      </c>
      <c r="AY27" s="17" t="str">
        <f>IFERROR(VLOOKUP(シフト組み!AY57,役職一覧!$B:$D,2,FALSE),"")</f>
        <v/>
      </c>
      <c r="AZ27" s="17" t="str">
        <f>IFERROR(VLOOKUP(シフト組み!AZ57,役職一覧!$B:$D,2,FALSE),"")</f>
        <v/>
      </c>
      <c r="BA27" s="17" t="str">
        <f>IFERROR(VLOOKUP(シフト組み!BA57,役職一覧!$B:$D,2,FALSE),"")</f>
        <v/>
      </c>
    </row>
    <row r="28" spans="1:53">
      <c r="A28" s="2" t="str">
        <f>シフト組み!A58&amp;""</f>
        <v/>
      </c>
      <c r="B28" s="2" t="str">
        <f>シフト組み!B58&amp;""</f>
        <v/>
      </c>
      <c r="C28" s="2" t="str">
        <f>シフト組み!C58&amp;""</f>
        <v/>
      </c>
      <c r="D28" s="17" t="str">
        <f>IFERROR(VLOOKUP(シフト組み!D58,役職一覧!$B:$D,2,FALSE),"")</f>
        <v/>
      </c>
      <c r="E28" s="17" t="str">
        <f>IFERROR(VLOOKUP(シフト組み!E58,役職一覧!$B:$D,2,FALSE),"")</f>
        <v/>
      </c>
      <c r="F28" s="17" t="str">
        <f>IFERROR(VLOOKUP(シフト組み!F58,役職一覧!$B:$D,2,FALSE),"")</f>
        <v/>
      </c>
      <c r="G28" s="17" t="str">
        <f>IFERROR(VLOOKUP(シフト組み!G58,役職一覧!$B:$D,2,FALSE),"")</f>
        <v/>
      </c>
      <c r="H28" s="17" t="str">
        <f>IFERROR(VLOOKUP(シフト組み!H58,役職一覧!$B:$D,2,FALSE),"")</f>
        <v/>
      </c>
      <c r="I28" s="17" t="str">
        <f>IFERROR(VLOOKUP(シフト組み!I58,役職一覧!$B:$D,2,FALSE),"")</f>
        <v/>
      </c>
      <c r="J28" s="17" t="str">
        <f>IFERROR(VLOOKUP(シフト組み!J58,役職一覧!$B:$D,2,FALSE),"")</f>
        <v/>
      </c>
      <c r="K28" s="17" t="str">
        <f>IFERROR(VLOOKUP(シフト組み!K58,役職一覧!$B:$D,2,FALSE),"")</f>
        <v/>
      </c>
      <c r="L28" s="17" t="str">
        <f>IFERROR(VLOOKUP(シフト組み!L58,役職一覧!$B:$D,2,FALSE),"")</f>
        <v/>
      </c>
      <c r="M28" s="17" t="str">
        <f>IFERROR(VLOOKUP(シフト組み!M58,役職一覧!$B:$D,2,FALSE),"")</f>
        <v/>
      </c>
      <c r="N28" s="17" t="str">
        <f>IFERROR(VLOOKUP(シフト組み!N58,役職一覧!$B:$D,2,FALSE),"")</f>
        <v/>
      </c>
      <c r="O28" s="17" t="str">
        <f>IFERROR(VLOOKUP(シフト組み!O58,役職一覧!$B:$D,2,FALSE),"")</f>
        <v/>
      </c>
      <c r="P28" s="17" t="str">
        <f>IFERROR(VLOOKUP(シフト組み!P58,役職一覧!$B:$D,2,FALSE),"")</f>
        <v/>
      </c>
      <c r="Q28" s="17" t="str">
        <f>IFERROR(VLOOKUP(シフト組み!Q58,役職一覧!$B:$D,2,FALSE),"")</f>
        <v/>
      </c>
      <c r="R28" s="17" t="str">
        <f>IFERROR(VLOOKUP(シフト組み!R58,役職一覧!$B:$D,2,FALSE),"")</f>
        <v/>
      </c>
      <c r="S28" s="17" t="str">
        <f>IFERROR(VLOOKUP(シフト組み!S58,役職一覧!$B:$D,2,FALSE),"")</f>
        <v/>
      </c>
      <c r="T28" s="17" t="str">
        <f>IFERROR(VLOOKUP(シフト組み!T58,役職一覧!$B:$D,2,FALSE),"")</f>
        <v/>
      </c>
      <c r="U28" s="17" t="str">
        <f>IFERROR(VLOOKUP(シフト組み!U58,役職一覧!$B:$D,2,FALSE),"")</f>
        <v/>
      </c>
      <c r="V28" s="17" t="str">
        <f>IFERROR(VLOOKUP(シフト組み!V58,役職一覧!$B:$D,2,FALSE),"")</f>
        <v/>
      </c>
      <c r="W28" s="17" t="str">
        <f>IFERROR(VLOOKUP(シフト組み!W58,役職一覧!$B:$D,2,FALSE),"")</f>
        <v/>
      </c>
      <c r="X28" s="17" t="str">
        <f>IFERROR(VLOOKUP(シフト組み!X58,役職一覧!$B:$D,2,FALSE),"")</f>
        <v/>
      </c>
      <c r="Y28" s="17" t="str">
        <f>IFERROR(VLOOKUP(シフト組み!Y58,役職一覧!$B:$D,2,FALSE),"")</f>
        <v/>
      </c>
      <c r="Z28" s="17" t="str">
        <f>IFERROR(VLOOKUP(シフト組み!Z58,役職一覧!$B:$D,2,FALSE),"")</f>
        <v/>
      </c>
      <c r="AA28" s="17" t="str">
        <f>IFERROR(VLOOKUP(シフト組み!AA58,役職一覧!$B:$D,2,FALSE),"")</f>
        <v/>
      </c>
      <c r="AB28" s="17" t="str">
        <f>IFERROR(VLOOKUP(シフト組み!AB58,役職一覧!$B:$D,2,FALSE),"")</f>
        <v/>
      </c>
      <c r="AC28" s="17" t="str">
        <f>IFERROR(VLOOKUP(シフト組み!AC58,役職一覧!$B:$D,2,FALSE),"")</f>
        <v/>
      </c>
      <c r="AD28" s="17" t="str">
        <f>IFERROR(VLOOKUP(シフト組み!AD58,役職一覧!$B:$D,2,FALSE),"")</f>
        <v/>
      </c>
      <c r="AE28" s="17" t="str">
        <f>IFERROR(VLOOKUP(シフト組み!AE58,役職一覧!$B:$D,2,FALSE),"")</f>
        <v/>
      </c>
      <c r="AF28" s="17" t="str">
        <f>IFERROR(VLOOKUP(シフト組み!AF58,役職一覧!$B:$D,2,FALSE),"")</f>
        <v/>
      </c>
      <c r="AG28" s="17" t="str">
        <f>IFERROR(VLOOKUP(シフト組み!AG58,役職一覧!$B:$D,2,FALSE),"")</f>
        <v/>
      </c>
      <c r="AH28" s="17" t="str">
        <f>IFERROR(VLOOKUP(シフト組み!AH58,役職一覧!$B:$D,2,FALSE),"")</f>
        <v/>
      </c>
      <c r="AI28" s="17" t="str">
        <f>IFERROR(VLOOKUP(シフト組み!AI58,役職一覧!$B:$D,2,FALSE),"")</f>
        <v/>
      </c>
      <c r="AJ28" s="17" t="str">
        <f>IFERROR(VLOOKUP(シフト組み!AJ58,役職一覧!$B:$D,2,FALSE),"")</f>
        <v/>
      </c>
      <c r="AK28" s="17" t="str">
        <f>IFERROR(VLOOKUP(シフト組み!AK58,役職一覧!$B:$D,2,FALSE),"")</f>
        <v/>
      </c>
      <c r="AL28" s="17" t="str">
        <f>IFERROR(VLOOKUP(シフト組み!AL58,役職一覧!$B:$D,2,FALSE),"")</f>
        <v/>
      </c>
      <c r="AM28" s="17" t="str">
        <f>IFERROR(VLOOKUP(シフト組み!AM58,役職一覧!$B:$D,2,FALSE),"")</f>
        <v/>
      </c>
      <c r="AN28" s="17" t="str">
        <f>IFERROR(VLOOKUP(シフト組み!AN58,役職一覧!$B:$D,2,FALSE),"")</f>
        <v/>
      </c>
      <c r="AO28" s="17" t="str">
        <f>IFERROR(VLOOKUP(シフト組み!AO58,役職一覧!$B:$D,2,FALSE),"")</f>
        <v/>
      </c>
      <c r="AP28" s="17" t="str">
        <f>IFERROR(VLOOKUP(シフト組み!AP58,役職一覧!$B:$D,2,FALSE),"")</f>
        <v/>
      </c>
      <c r="AQ28" s="17" t="str">
        <f>IFERROR(VLOOKUP(シフト組み!AQ58,役職一覧!$B:$D,2,FALSE),"")</f>
        <v/>
      </c>
      <c r="AR28" s="17" t="str">
        <f>IFERROR(VLOOKUP(シフト組み!AR58,役職一覧!$B:$D,2,FALSE),"")</f>
        <v/>
      </c>
      <c r="AS28" s="17" t="str">
        <f>IFERROR(VLOOKUP(シフト組み!AS58,役職一覧!$B:$D,2,FALSE),"")</f>
        <v/>
      </c>
      <c r="AT28" s="17" t="str">
        <f>IFERROR(VLOOKUP(シフト組み!AT58,役職一覧!$B:$D,2,FALSE),"")</f>
        <v/>
      </c>
      <c r="AU28" s="17" t="str">
        <f>IFERROR(VLOOKUP(シフト組み!AU58,役職一覧!$B:$D,2,FALSE),"")</f>
        <v/>
      </c>
      <c r="AV28" s="17" t="str">
        <f>IFERROR(VLOOKUP(シフト組み!AV58,役職一覧!$B:$D,2,FALSE),"")</f>
        <v/>
      </c>
      <c r="AW28" s="17" t="str">
        <f>IFERROR(VLOOKUP(シフト組み!AW58,役職一覧!$B:$D,2,FALSE),"")</f>
        <v/>
      </c>
      <c r="AX28" s="17" t="str">
        <f>IFERROR(VLOOKUP(シフト組み!AX58,役職一覧!$B:$D,2,FALSE),"")</f>
        <v/>
      </c>
      <c r="AY28" s="17" t="str">
        <f>IFERROR(VLOOKUP(シフト組み!AY58,役職一覧!$B:$D,2,FALSE),"")</f>
        <v/>
      </c>
      <c r="AZ28" s="17" t="str">
        <f>IFERROR(VLOOKUP(シフト組み!AZ58,役職一覧!$B:$D,2,FALSE),"")</f>
        <v/>
      </c>
      <c r="BA28" s="17" t="str">
        <f>IFERROR(VLOOKUP(シフト組み!BA58,役職一覧!$B:$D,2,FALSE),"")</f>
        <v/>
      </c>
    </row>
    <row r="29" spans="1:53">
      <c r="A29" s="2" t="str">
        <f>シフト組み!A59&amp;""</f>
        <v/>
      </c>
      <c r="B29" s="2" t="str">
        <f>シフト組み!B59&amp;""</f>
        <v/>
      </c>
      <c r="C29" s="2" t="str">
        <f>シフト組み!C59&amp;""</f>
        <v/>
      </c>
      <c r="D29" s="17" t="str">
        <f>IFERROR(VLOOKUP(シフト組み!D59,役職一覧!$B:$D,2,FALSE),"")</f>
        <v/>
      </c>
      <c r="E29" s="17" t="str">
        <f>IFERROR(VLOOKUP(シフト組み!E59,役職一覧!$B:$D,2,FALSE),"")</f>
        <v/>
      </c>
      <c r="F29" s="17" t="str">
        <f>IFERROR(VLOOKUP(シフト組み!F59,役職一覧!$B:$D,2,FALSE),"")</f>
        <v/>
      </c>
      <c r="G29" s="17" t="str">
        <f>IFERROR(VLOOKUP(シフト組み!G59,役職一覧!$B:$D,2,FALSE),"")</f>
        <v/>
      </c>
      <c r="H29" s="17" t="str">
        <f>IFERROR(VLOOKUP(シフト組み!H59,役職一覧!$B:$D,2,FALSE),"")</f>
        <v/>
      </c>
      <c r="I29" s="17" t="str">
        <f>IFERROR(VLOOKUP(シフト組み!I59,役職一覧!$B:$D,2,FALSE),"")</f>
        <v/>
      </c>
      <c r="J29" s="17" t="str">
        <f>IFERROR(VLOOKUP(シフト組み!J59,役職一覧!$B:$D,2,FALSE),"")</f>
        <v/>
      </c>
      <c r="K29" s="17" t="str">
        <f>IFERROR(VLOOKUP(シフト組み!K59,役職一覧!$B:$D,2,FALSE),"")</f>
        <v/>
      </c>
      <c r="L29" s="17" t="str">
        <f>IFERROR(VLOOKUP(シフト組み!L59,役職一覧!$B:$D,2,FALSE),"")</f>
        <v/>
      </c>
      <c r="M29" s="17" t="str">
        <f>IFERROR(VLOOKUP(シフト組み!M59,役職一覧!$B:$D,2,FALSE),"")</f>
        <v/>
      </c>
      <c r="N29" s="17" t="str">
        <f>IFERROR(VLOOKUP(シフト組み!N59,役職一覧!$B:$D,2,FALSE),"")</f>
        <v/>
      </c>
      <c r="O29" s="17" t="str">
        <f>IFERROR(VLOOKUP(シフト組み!O59,役職一覧!$B:$D,2,FALSE),"")</f>
        <v/>
      </c>
      <c r="P29" s="17" t="str">
        <f>IFERROR(VLOOKUP(シフト組み!P59,役職一覧!$B:$D,2,FALSE),"")</f>
        <v/>
      </c>
      <c r="Q29" s="17" t="str">
        <f>IFERROR(VLOOKUP(シフト組み!Q59,役職一覧!$B:$D,2,FALSE),"")</f>
        <v/>
      </c>
      <c r="R29" s="17" t="str">
        <f>IFERROR(VLOOKUP(シフト組み!R59,役職一覧!$B:$D,2,FALSE),"")</f>
        <v/>
      </c>
      <c r="S29" s="17" t="str">
        <f>IFERROR(VLOOKUP(シフト組み!S59,役職一覧!$B:$D,2,FALSE),"")</f>
        <v/>
      </c>
      <c r="T29" s="17" t="str">
        <f>IFERROR(VLOOKUP(シフト組み!T59,役職一覧!$B:$D,2,FALSE),"")</f>
        <v/>
      </c>
      <c r="U29" s="17" t="str">
        <f>IFERROR(VLOOKUP(シフト組み!U59,役職一覧!$B:$D,2,FALSE),"")</f>
        <v/>
      </c>
      <c r="V29" s="17" t="str">
        <f>IFERROR(VLOOKUP(シフト組み!V59,役職一覧!$B:$D,2,FALSE),"")</f>
        <v/>
      </c>
      <c r="W29" s="17" t="str">
        <f>IFERROR(VLOOKUP(シフト組み!W59,役職一覧!$B:$D,2,FALSE),"")</f>
        <v/>
      </c>
      <c r="X29" s="17" t="str">
        <f>IFERROR(VLOOKUP(シフト組み!X59,役職一覧!$B:$D,2,FALSE),"")</f>
        <v/>
      </c>
      <c r="Y29" s="17" t="str">
        <f>IFERROR(VLOOKUP(シフト組み!Y59,役職一覧!$B:$D,2,FALSE),"")</f>
        <v/>
      </c>
      <c r="Z29" s="17" t="str">
        <f>IFERROR(VLOOKUP(シフト組み!Z59,役職一覧!$B:$D,2,FALSE),"")</f>
        <v/>
      </c>
      <c r="AA29" s="17" t="str">
        <f>IFERROR(VLOOKUP(シフト組み!AA59,役職一覧!$B:$D,2,FALSE),"")</f>
        <v/>
      </c>
      <c r="AB29" s="17" t="str">
        <f>IFERROR(VLOOKUP(シフト組み!AB59,役職一覧!$B:$D,2,FALSE),"")</f>
        <v/>
      </c>
      <c r="AC29" s="17" t="str">
        <f>IFERROR(VLOOKUP(シフト組み!AC59,役職一覧!$B:$D,2,FALSE),"")</f>
        <v/>
      </c>
      <c r="AD29" s="17" t="str">
        <f>IFERROR(VLOOKUP(シフト組み!AD59,役職一覧!$B:$D,2,FALSE),"")</f>
        <v/>
      </c>
      <c r="AE29" s="17" t="str">
        <f>IFERROR(VLOOKUP(シフト組み!AE59,役職一覧!$B:$D,2,FALSE),"")</f>
        <v/>
      </c>
      <c r="AF29" s="17" t="str">
        <f>IFERROR(VLOOKUP(シフト組み!AF59,役職一覧!$B:$D,2,FALSE),"")</f>
        <v/>
      </c>
      <c r="AG29" s="17" t="str">
        <f>IFERROR(VLOOKUP(シフト組み!AG59,役職一覧!$B:$D,2,FALSE),"")</f>
        <v/>
      </c>
      <c r="AH29" s="17" t="str">
        <f>IFERROR(VLOOKUP(シフト組み!AH59,役職一覧!$B:$D,2,FALSE),"")</f>
        <v/>
      </c>
      <c r="AI29" s="17" t="str">
        <f>IFERROR(VLOOKUP(シフト組み!AI59,役職一覧!$B:$D,2,FALSE),"")</f>
        <v/>
      </c>
      <c r="AJ29" s="17" t="str">
        <f>IFERROR(VLOOKUP(シフト組み!AJ59,役職一覧!$B:$D,2,FALSE),"")</f>
        <v/>
      </c>
      <c r="AK29" s="17" t="str">
        <f>IFERROR(VLOOKUP(シフト組み!AK59,役職一覧!$B:$D,2,FALSE),"")</f>
        <v/>
      </c>
      <c r="AL29" s="17" t="str">
        <f>IFERROR(VLOOKUP(シフト組み!AL59,役職一覧!$B:$D,2,FALSE),"")</f>
        <v/>
      </c>
      <c r="AM29" s="17" t="str">
        <f>IFERROR(VLOOKUP(シフト組み!AM59,役職一覧!$B:$D,2,FALSE),"")</f>
        <v/>
      </c>
      <c r="AN29" s="17" t="str">
        <f>IFERROR(VLOOKUP(シフト組み!AN59,役職一覧!$B:$D,2,FALSE),"")</f>
        <v/>
      </c>
      <c r="AO29" s="17" t="str">
        <f>IFERROR(VLOOKUP(シフト組み!AO59,役職一覧!$B:$D,2,FALSE),"")</f>
        <v/>
      </c>
      <c r="AP29" s="17" t="str">
        <f>IFERROR(VLOOKUP(シフト組み!AP59,役職一覧!$B:$D,2,FALSE),"")</f>
        <v/>
      </c>
      <c r="AQ29" s="17" t="str">
        <f>IFERROR(VLOOKUP(シフト組み!AQ59,役職一覧!$B:$D,2,FALSE),"")</f>
        <v/>
      </c>
      <c r="AR29" s="17" t="str">
        <f>IFERROR(VLOOKUP(シフト組み!AR59,役職一覧!$B:$D,2,FALSE),"")</f>
        <v/>
      </c>
      <c r="AS29" s="17" t="str">
        <f>IFERROR(VLOOKUP(シフト組み!AS59,役職一覧!$B:$D,2,FALSE),"")</f>
        <v/>
      </c>
      <c r="AT29" s="17" t="str">
        <f>IFERROR(VLOOKUP(シフト組み!AT59,役職一覧!$B:$D,2,FALSE),"")</f>
        <v/>
      </c>
      <c r="AU29" s="17" t="str">
        <f>IFERROR(VLOOKUP(シフト組み!AU59,役職一覧!$B:$D,2,FALSE),"")</f>
        <v/>
      </c>
      <c r="AV29" s="17" t="str">
        <f>IFERROR(VLOOKUP(シフト組み!AV59,役職一覧!$B:$D,2,FALSE),"")</f>
        <v/>
      </c>
      <c r="AW29" s="17" t="str">
        <f>IFERROR(VLOOKUP(シフト組み!AW59,役職一覧!$B:$D,2,FALSE),"")</f>
        <v/>
      </c>
      <c r="AX29" s="17" t="str">
        <f>IFERROR(VLOOKUP(シフト組み!AX59,役職一覧!$B:$D,2,FALSE),"")</f>
        <v/>
      </c>
      <c r="AY29" s="17" t="str">
        <f>IFERROR(VLOOKUP(シフト組み!AY59,役職一覧!$B:$D,2,FALSE),"")</f>
        <v/>
      </c>
      <c r="AZ29" s="17" t="str">
        <f>IFERROR(VLOOKUP(シフト組み!AZ59,役職一覧!$B:$D,2,FALSE),"")</f>
        <v/>
      </c>
      <c r="BA29" s="17" t="str">
        <f>IFERROR(VLOOKUP(シフト組み!BA59,役職一覧!$B:$D,2,FALSE),"")</f>
        <v/>
      </c>
    </row>
    <row r="30" spans="1:53">
      <c r="A30" s="2" t="str">
        <f>シフト組み!A60&amp;""</f>
        <v/>
      </c>
      <c r="B30" s="2" t="str">
        <f>シフト組み!B60&amp;""</f>
        <v/>
      </c>
      <c r="C30" s="2" t="str">
        <f>シフト組み!C60&amp;""</f>
        <v/>
      </c>
      <c r="D30" s="17" t="str">
        <f>IFERROR(VLOOKUP(シフト組み!D60,役職一覧!$B:$D,2,FALSE),"")</f>
        <v/>
      </c>
      <c r="E30" s="17" t="str">
        <f>IFERROR(VLOOKUP(シフト組み!E60,役職一覧!$B:$D,2,FALSE),"")</f>
        <v/>
      </c>
      <c r="F30" s="17" t="str">
        <f>IFERROR(VLOOKUP(シフト組み!F60,役職一覧!$B:$D,2,FALSE),"")</f>
        <v/>
      </c>
      <c r="G30" s="17" t="str">
        <f>IFERROR(VLOOKUP(シフト組み!G60,役職一覧!$B:$D,2,FALSE),"")</f>
        <v/>
      </c>
      <c r="H30" s="17" t="str">
        <f>IFERROR(VLOOKUP(シフト組み!H60,役職一覧!$B:$D,2,FALSE),"")</f>
        <v/>
      </c>
      <c r="I30" s="17" t="str">
        <f>IFERROR(VLOOKUP(シフト組み!I60,役職一覧!$B:$D,2,FALSE),"")</f>
        <v/>
      </c>
      <c r="J30" s="17" t="str">
        <f>IFERROR(VLOOKUP(シフト組み!J60,役職一覧!$B:$D,2,FALSE),"")</f>
        <v/>
      </c>
      <c r="K30" s="17" t="str">
        <f>IFERROR(VLOOKUP(シフト組み!K60,役職一覧!$B:$D,2,FALSE),"")</f>
        <v/>
      </c>
      <c r="L30" s="17" t="str">
        <f>IFERROR(VLOOKUP(シフト組み!L60,役職一覧!$B:$D,2,FALSE),"")</f>
        <v/>
      </c>
      <c r="M30" s="17" t="str">
        <f>IFERROR(VLOOKUP(シフト組み!M60,役職一覧!$B:$D,2,FALSE),"")</f>
        <v/>
      </c>
      <c r="N30" s="17" t="str">
        <f>IFERROR(VLOOKUP(シフト組み!N60,役職一覧!$B:$D,2,FALSE),"")</f>
        <v/>
      </c>
      <c r="O30" s="17" t="str">
        <f>IFERROR(VLOOKUP(シフト組み!O60,役職一覧!$B:$D,2,FALSE),"")</f>
        <v/>
      </c>
      <c r="P30" s="17" t="str">
        <f>IFERROR(VLOOKUP(シフト組み!P60,役職一覧!$B:$D,2,FALSE),"")</f>
        <v/>
      </c>
      <c r="Q30" s="17" t="str">
        <f>IFERROR(VLOOKUP(シフト組み!Q60,役職一覧!$B:$D,2,FALSE),"")</f>
        <v/>
      </c>
      <c r="R30" s="17" t="str">
        <f>IFERROR(VLOOKUP(シフト組み!R60,役職一覧!$B:$D,2,FALSE),"")</f>
        <v/>
      </c>
      <c r="S30" s="17" t="str">
        <f>IFERROR(VLOOKUP(シフト組み!S60,役職一覧!$B:$D,2,FALSE),"")</f>
        <v/>
      </c>
      <c r="T30" s="17" t="str">
        <f>IFERROR(VLOOKUP(シフト組み!T60,役職一覧!$B:$D,2,FALSE),"")</f>
        <v/>
      </c>
      <c r="U30" s="17" t="str">
        <f>IFERROR(VLOOKUP(シフト組み!U60,役職一覧!$B:$D,2,FALSE),"")</f>
        <v/>
      </c>
      <c r="V30" s="17" t="str">
        <f>IFERROR(VLOOKUP(シフト組み!V60,役職一覧!$B:$D,2,FALSE),"")</f>
        <v/>
      </c>
      <c r="W30" s="17" t="str">
        <f>IFERROR(VLOOKUP(シフト組み!W60,役職一覧!$B:$D,2,FALSE),"")</f>
        <v/>
      </c>
      <c r="X30" s="17" t="str">
        <f>IFERROR(VLOOKUP(シフト組み!X60,役職一覧!$B:$D,2,FALSE),"")</f>
        <v/>
      </c>
      <c r="Y30" s="17" t="str">
        <f>IFERROR(VLOOKUP(シフト組み!Y60,役職一覧!$B:$D,2,FALSE),"")</f>
        <v/>
      </c>
      <c r="Z30" s="17" t="str">
        <f>IFERROR(VLOOKUP(シフト組み!Z60,役職一覧!$B:$D,2,FALSE),"")</f>
        <v/>
      </c>
      <c r="AA30" s="17" t="str">
        <f>IFERROR(VLOOKUP(シフト組み!AA60,役職一覧!$B:$D,2,FALSE),"")</f>
        <v/>
      </c>
      <c r="AB30" s="17" t="str">
        <f>IFERROR(VLOOKUP(シフト組み!AB60,役職一覧!$B:$D,2,FALSE),"")</f>
        <v/>
      </c>
      <c r="AC30" s="17" t="str">
        <f>IFERROR(VLOOKUP(シフト組み!AC60,役職一覧!$B:$D,2,FALSE),"")</f>
        <v/>
      </c>
      <c r="AD30" s="17" t="str">
        <f>IFERROR(VLOOKUP(シフト組み!AD60,役職一覧!$B:$D,2,FALSE),"")</f>
        <v/>
      </c>
      <c r="AE30" s="17" t="str">
        <f>IFERROR(VLOOKUP(シフト組み!AE60,役職一覧!$B:$D,2,FALSE),"")</f>
        <v/>
      </c>
      <c r="AF30" s="17" t="str">
        <f>IFERROR(VLOOKUP(シフト組み!AF60,役職一覧!$B:$D,2,FALSE),"")</f>
        <v/>
      </c>
      <c r="AG30" s="17" t="str">
        <f>IFERROR(VLOOKUP(シフト組み!AG60,役職一覧!$B:$D,2,FALSE),"")</f>
        <v/>
      </c>
      <c r="AH30" s="17" t="str">
        <f>IFERROR(VLOOKUP(シフト組み!AH60,役職一覧!$B:$D,2,FALSE),"")</f>
        <v/>
      </c>
      <c r="AI30" s="17" t="str">
        <f>IFERROR(VLOOKUP(シフト組み!AI60,役職一覧!$B:$D,2,FALSE),"")</f>
        <v/>
      </c>
      <c r="AJ30" s="17" t="str">
        <f>IFERROR(VLOOKUP(シフト組み!AJ60,役職一覧!$B:$D,2,FALSE),"")</f>
        <v/>
      </c>
      <c r="AK30" s="17" t="str">
        <f>IFERROR(VLOOKUP(シフト組み!AK60,役職一覧!$B:$D,2,FALSE),"")</f>
        <v/>
      </c>
      <c r="AL30" s="17" t="str">
        <f>IFERROR(VLOOKUP(シフト組み!AL60,役職一覧!$B:$D,2,FALSE),"")</f>
        <v/>
      </c>
      <c r="AM30" s="17" t="str">
        <f>IFERROR(VLOOKUP(シフト組み!AM60,役職一覧!$B:$D,2,FALSE),"")</f>
        <v/>
      </c>
      <c r="AN30" s="17" t="str">
        <f>IFERROR(VLOOKUP(シフト組み!AN60,役職一覧!$B:$D,2,FALSE),"")</f>
        <v/>
      </c>
      <c r="AO30" s="17" t="str">
        <f>IFERROR(VLOOKUP(シフト組み!AO60,役職一覧!$B:$D,2,FALSE),"")</f>
        <v/>
      </c>
      <c r="AP30" s="17" t="str">
        <f>IFERROR(VLOOKUP(シフト組み!AP60,役職一覧!$B:$D,2,FALSE),"")</f>
        <v/>
      </c>
      <c r="AQ30" s="17" t="str">
        <f>IFERROR(VLOOKUP(シフト組み!AQ60,役職一覧!$B:$D,2,FALSE),"")</f>
        <v/>
      </c>
      <c r="AR30" s="17" t="str">
        <f>IFERROR(VLOOKUP(シフト組み!AR60,役職一覧!$B:$D,2,FALSE),"")</f>
        <v/>
      </c>
      <c r="AS30" s="17" t="str">
        <f>IFERROR(VLOOKUP(シフト組み!AS60,役職一覧!$B:$D,2,FALSE),"")</f>
        <v/>
      </c>
      <c r="AT30" s="17" t="str">
        <f>IFERROR(VLOOKUP(シフト組み!AT60,役職一覧!$B:$D,2,FALSE),"")</f>
        <v/>
      </c>
      <c r="AU30" s="17" t="str">
        <f>IFERROR(VLOOKUP(シフト組み!AU60,役職一覧!$B:$D,2,FALSE),"")</f>
        <v/>
      </c>
      <c r="AV30" s="17" t="str">
        <f>IFERROR(VLOOKUP(シフト組み!AV60,役職一覧!$B:$D,2,FALSE),"")</f>
        <v/>
      </c>
      <c r="AW30" s="17" t="str">
        <f>IFERROR(VLOOKUP(シフト組み!AW60,役職一覧!$B:$D,2,FALSE),"")</f>
        <v/>
      </c>
      <c r="AX30" s="17" t="str">
        <f>IFERROR(VLOOKUP(シフト組み!AX60,役職一覧!$B:$D,2,FALSE),"")</f>
        <v/>
      </c>
      <c r="AY30" s="17" t="str">
        <f>IFERROR(VLOOKUP(シフト組み!AY60,役職一覧!$B:$D,2,FALSE),"")</f>
        <v/>
      </c>
      <c r="AZ30" s="17" t="str">
        <f>IFERROR(VLOOKUP(シフト組み!AZ60,役職一覧!$B:$D,2,FALSE),"")</f>
        <v/>
      </c>
      <c r="BA30" s="17" t="str">
        <f>IFERROR(VLOOKUP(シフト組み!BA60,役職一覧!$B:$D,2,FALSE),"")</f>
        <v/>
      </c>
    </row>
    <row r="31" spans="1:53">
      <c r="A31" s="2" t="str">
        <f>シフト組み!A61&amp;""</f>
        <v/>
      </c>
      <c r="B31" s="2" t="str">
        <f>シフト組み!B61&amp;""</f>
        <v/>
      </c>
      <c r="C31" s="2" t="str">
        <f>シフト組み!C61&amp;""</f>
        <v/>
      </c>
      <c r="D31" s="17" t="str">
        <f>IFERROR(VLOOKUP(シフト組み!D61,役職一覧!$B:$D,2,FALSE),"")</f>
        <v/>
      </c>
      <c r="E31" s="17" t="str">
        <f>IFERROR(VLOOKUP(シフト組み!E61,役職一覧!$B:$D,2,FALSE),"")</f>
        <v/>
      </c>
      <c r="F31" s="17" t="str">
        <f>IFERROR(VLOOKUP(シフト組み!F61,役職一覧!$B:$D,2,FALSE),"")</f>
        <v/>
      </c>
      <c r="G31" s="17" t="str">
        <f>IFERROR(VLOOKUP(シフト組み!G61,役職一覧!$B:$D,2,FALSE),"")</f>
        <v/>
      </c>
      <c r="H31" s="17" t="str">
        <f>IFERROR(VLOOKUP(シフト組み!H61,役職一覧!$B:$D,2,FALSE),"")</f>
        <v/>
      </c>
      <c r="I31" s="17" t="str">
        <f>IFERROR(VLOOKUP(シフト組み!I61,役職一覧!$B:$D,2,FALSE),"")</f>
        <v/>
      </c>
      <c r="J31" s="17" t="str">
        <f>IFERROR(VLOOKUP(シフト組み!J61,役職一覧!$B:$D,2,FALSE),"")</f>
        <v/>
      </c>
      <c r="K31" s="17" t="str">
        <f>IFERROR(VLOOKUP(シフト組み!K61,役職一覧!$B:$D,2,FALSE),"")</f>
        <v/>
      </c>
      <c r="L31" s="17" t="str">
        <f>IFERROR(VLOOKUP(シフト組み!L61,役職一覧!$B:$D,2,FALSE),"")</f>
        <v/>
      </c>
      <c r="M31" s="17" t="str">
        <f>IFERROR(VLOOKUP(シフト組み!M61,役職一覧!$B:$D,2,FALSE),"")</f>
        <v/>
      </c>
      <c r="N31" s="17" t="str">
        <f>IFERROR(VLOOKUP(シフト組み!N61,役職一覧!$B:$D,2,FALSE),"")</f>
        <v/>
      </c>
      <c r="O31" s="17" t="str">
        <f>IFERROR(VLOOKUP(シフト組み!O61,役職一覧!$B:$D,2,FALSE),"")</f>
        <v/>
      </c>
      <c r="P31" s="17" t="str">
        <f>IFERROR(VLOOKUP(シフト組み!P61,役職一覧!$B:$D,2,FALSE),"")</f>
        <v/>
      </c>
      <c r="Q31" s="17" t="str">
        <f>IFERROR(VLOOKUP(シフト組み!Q61,役職一覧!$B:$D,2,FALSE),"")</f>
        <v/>
      </c>
      <c r="R31" s="17" t="str">
        <f>IFERROR(VLOOKUP(シフト組み!R61,役職一覧!$B:$D,2,FALSE),"")</f>
        <v/>
      </c>
      <c r="S31" s="17" t="str">
        <f>IFERROR(VLOOKUP(シフト組み!S61,役職一覧!$B:$D,2,FALSE),"")</f>
        <v/>
      </c>
      <c r="T31" s="17" t="str">
        <f>IFERROR(VLOOKUP(シフト組み!T61,役職一覧!$B:$D,2,FALSE),"")</f>
        <v/>
      </c>
      <c r="U31" s="17" t="str">
        <f>IFERROR(VLOOKUP(シフト組み!U61,役職一覧!$B:$D,2,FALSE),"")</f>
        <v/>
      </c>
      <c r="V31" s="17" t="str">
        <f>IFERROR(VLOOKUP(シフト組み!V61,役職一覧!$B:$D,2,FALSE),"")</f>
        <v/>
      </c>
      <c r="W31" s="17" t="str">
        <f>IFERROR(VLOOKUP(シフト組み!W61,役職一覧!$B:$D,2,FALSE),"")</f>
        <v/>
      </c>
      <c r="X31" s="17" t="str">
        <f>IFERROR(VLOOKUP(シフト組み!X61,役職一覧!$B:$D,2,FALSE),"")</f>
        <v/>
      </c>
      <c r="Y31" s="17" t="str">
        <f>IFERROR(VLOOKUP(シフト組み!Y61,役職一覧!$B:$D,2,FALSE),"")</f>
        <v/>
      </c>
      <c r="Z31" s="17" t="str">
        <f>IFERROR(VLOOKUP(シフト組み!Z61,役職一覧!$B:$D,2,FALSE),"")</f>
        <v/>
      </c>
      <c r="AA31" s="17" t="str">
        <f>IFERROR(VLOOKUP(シフト組み!AA61,役職一覧!$B:$D,2,FALSE),"")</f>
        <v/>
      </c>
      <c r="AB31" s="17" t="str">
        <f>IFERROR(VLOOKUP(シフト組み!AB61,役職一覧!$B:$D,2,FALSE),"")</f>
        <v/>
      </c>
      <c r="AC31" s="17" t="str">
        <f>IFERROR(VLOOKUP(シフト組み!AC61,役職一覧!$B:$D,2,FALSE),"")</f>
        <v/>
      </c>
      <c r="AD31" s="17" t="str">
        <f>IFERROR(VLOOKUP(シフト組み!AD61,役職一覧!$B:$D,2,FALSE),"")</f>
        <v/>
      </c>
      <c r="AE31" s="17" t="str">
        <f>IFERROR(VLOOKUP(シフト組み!AE61,役職一覧!$B:$D,2,FALSE),"")</f>
        <v/>
      </c>
      <c r="AF31" s="17" t="str">
        <f>IFERROR(VLOOKUP(シフト組み!AF61,役職一覧!$B:$D,2,FALSE),"")</f>
        <v/>
      </c>
      <c r="AG31" s="17" t="str">
        <f>IFERROR(VLOOKUP(シフト組み!AG61,役職一覧!$B:$D,2,FALSE),"")</f>
        <v/>
      </c>
      <c r="AH31" s="17" t="str">
        <f>IFERROR(VLOOKUP(シフト組み!AH61,役職一覧!$B:$D,2,FALSE),"")</f>
        <v/>
      </c>
      <c r="AI31" s="17" t="str">
        <f>IFERROR(VLOOKUP(シフト組み!AI61,役職一覧!$B:$D,2,FALSE),"")</f>
        <v/>
      </c>
      <c r="AJ31" s="17" t="str">
        <f>IFERROR(VLOOKUP(シフト組み!AJ61,役職一覧!$B:$D,2,FALSE),"")</f>
        <v/>
      </c>
      <c r="AK31" s="17" t="str">
        <f>IFERROR(VLOOKUP(シフト組み!AK61,役職一覧!$B:$D,2,FALSE),"")</f>
        <v/>
      </c>
      <c r="AL31" s="17" t="str">
        <f>IFERROR(VLOOKUP(シフト組み!AL61,役職一覧!$B:$D,2,FALSE),"")</f>
        <v/>
      </c>
      <c r="AM31" s="17" t="str">
        <f>IFERROR(VLOOKUP(シフト組み!AM61,役職一覧!$B:$D,2,FALSE),"")</f>
        <v/>
      </c>
      <c r="AN31" s="17" t="str">
        <f>IFERROR(VLOOKUP(シフト組み!AN61,役職一覧!$B:$D,2,FALSE),"")</f>
        <v/>
      </c>
      <c r="AO31" s="17" t="str">
        <f>IFERROR(VLOOKUP(シフト組み!AO61,役職一覧!$B:$D,2,FALSE),"")</f>
        <v/>
      </c>
      <c r="AP31" s="17" t="str">
        <f>IFERROR(VLOOKUP(シフト組み!AP61,役職一覧!$B:$D,2,FALSE),"")</f>
        <v/>
      </c>
      <c r="AQ31" s="17" t="str">
        <f>IFERROR(VLOOKUP(シフト組み!AQ61,役職一覧!$B:$D,2,FALSE),"")</f>
        <v/>
      </c>
      <c r="AR31" s="17" t="str">
        <f>IFERROR(VLOOKUP(シフト組み!AR61,役職一覧!$B:$D,2,FALSE),"")</f>
        <v/>
      </c>
      <c r="AS31" s="17" t="str">
        <f>IFERROR(VLOOKUP(シフト組み!AS61,役職一覧!$B:$D,2,FALSE),"")</f>
        <v/>
      </c>
      <c r="AT31" s="17" t="str">
        <f>IFERROR(VLOOKUP(シフト組み!AT61,役職一覧!$B:$D,2,FALSE),"")</f>
        <v/>
      </c>
      <c r="AU31" s="17" t="str">
        <f>IFERROR(VLOOKUP(シフト組み!AU61,役職一覧!$B:$D,2,FALSE),"")</f>
        <v/>
      </c>
      <c r="AV31" s="17" t="str">
        <f>IFERROR(VLOOKUP(シフト組み!AV61,役職一覧!$B:$D,2,FALSE),"")</f>
        <v/>
      </c>
      <c r="AW31" s="17" t="str">
        <f>IFERROR(VLOOKUP(シフト組み!AW61,役職一覧!$B:$D,2,FALSE),"")</f>
        <v/>
      </c>
      <c r="AX31" s="17" t="str">
        <f>IFERROR(VLOOKUP(シフト組み!AX61,役職一覧!$B:$D,2,FALSE),"")</f>
        <v/>
      </c>
      <c r="AY31" s="17" t="str">
        <f>IFERROR(VLOOKUP(シフト組み!AY61,役職一覧!$B:$D,2,FALSE),"")</f>
        <v/>
      </c>
      <c r="AZ31" s="17" t="str">
        <f>IFERROR(VLOOKUP(シフト組み!AZ61,役職一覧!$B:$D,2,FALSE),"")</f>
        <v/>
      </c>
      <c r="BA31" s="17" t="str">
        <f>IFERROR(VLOOKUP(シフト組み!BA61,役職一覧!$B:$D,2,FALSE),"")</f>
        <v/>
      </c>
    </row>
    <row r="32" spans="1:53">
      <c r="A32" s="2" t="str">
        <f>シフト組み!A62&amp;""</f>
        <v/>
      </c>
      <c r="B32" s="2" t="str">
        <f>シフト組み!B62&amp;""</f>
        <v/>
      </c>
      <c r="C32" s="2" t="str">
        <f>シフト組み!C62&amp;""</f>
        <v/>
      </c>
      <c r="D32" s="17" t="str">
        <f>IFERROR(VLOOKUP(シフト組み!D62,役職一覧!$B:$D,2,FALSE),"")</f>
        <v/>
      </c>
      <c r="E32" s="17" t="str">
        <f>IFERROR(VLOOKUP(シフト組み!E62,役職一覧!$B:$D,2,FALSE),"")</f>
        <v/>
      </c>
      <c r="F32" s="17" t="str">
        <f>IFERROR(VLOOKUP(シフト組み!F62,役職一覧!$B:$D,2,FALSE),"")</f>
        <v/>
      </c>
      <c r="G32" s="17" t="str">
        <f>IFERROR(VLOOKUP(シフト組み!G62,役職一覧!$B:$D,2,FALSE),"")</f>
        <v/>
      </c>
      <c r="H32" s="17" t="str">
        <f>IFERROR(VLOOKUP(シフト組み!H62,役職一覧!$B:$D,2,FALSE),"")</f>
        <v/>
      </c>
      <c r="I32" s="17" t="str">
        <f>IFERROR(VLOOKUP(シフト組み!I62,役職一覧!$B:$D,2,FALSE),"")</f>
        <v/>
      </c>
      <c r="J32" s="17" t="str">
        <f>IFERROR(VLOOKUP(シフト組み!J62,役職一覧!$B:$D,2,FALSE),"")</f>
        <v/>
      </c>
      <c r="K32" s="17" t="str">
        <f>IFERROR(VLOOKUP(シフト組み!K62,役職一覧!$B:$D,2,FALSE),"")</f>
        <v/>
      </c>
      <c r="L32" s="17" t="str">
        <f>IFERROR(VLOOKUP(シフト組み!L62,役職一覧!$B:$D,2,FALSE),"")</f>
        <v/>
      </c>
      <c r="M32" s="17" t="str">
        <f>IFERROR(VLOOKUP(シフト組み!M62,役職一覧!$B:$D,2,FALSE),"")</f>
        <v/>
      </c>
      <c r="N32" s="17" t="str">
        <f>IFERROR(VLOOKUP(シフト組み!N62,役職一覧!$B:$D,2,FALSE),"")</f>
        <v/>
      </c>
      <c r="O32" s="17" t="str">
        <f>IFERROR(VLOOKUP(シフト組み!O62,役職一覧!$B:$D,2,FALSE),"")</f>
        <v/>
      </c>
      <c r="P32" s="17" t="str">
        <f>IFERROR(VLOOKUP(シフト組み!P62,役職一覧!$B:$D,2,FALSE),"")</f>
        <v/>
      </c>
      <c r="Q32" s="17" t="str">
        <f>IFERROR(VLOOKUP(シフト組み!Q62,役職一覧!$B:$D,2,FALSE),"")</f>
        <v/>
      </c>
      <c r="R32" s="17" t="str">
        <f>IFERROR(VLOOKUP(シフト組み!R62,役職一覧!$B:$D,2,FALSE),"")</f>
        <v/>
      </c>
      <c r="S32" s="17" t="str">
        <f>IFERROR(VLOOKUP(シフト組み!S62,役職一覧!$B:$D,2,FALSE),"")</f>
        <v/>
      </c>
      <c r="T32" s="17" t="str">
        <f>IFERROR(VLOOKUP(シフト組み!T62,役職一覧!$B:$D,2,FALSE),"")</f>
        <v/>
      </c>
      <c r="U32" s="17" t="str">
        <f>IFERROR(VLOOKUP(シフト組み!U62,役職一覧!$B:$D,2,FALSE),"")</f>
        <v/>
      </c>
      <c r="V32" s="17" t="str">
        <f>IFERROR(VLOOKUP(シフト組み!V62,役職一覧!$B:$D,2,FALSE),"")</f>
        <v/>
      </c>
      <c r="W32" s="17" t="str">
        <f>IFERROR(VLOOKUP(シフト組み!W62,役職一覧!$B:$D,2,FALSE),"")</f>
        <v/>
      </c>
      <c r="X32" s="17" t="str">
        <f>IFERROR(VLOOKUP(シフト組み!X62,役職一覧!$B:$D,2,FALSE),"")</f>
        <v/>
      </c>
      <c r="Y32" s="17" t="str">
        <f>IFERROR(VLOOKUP(シフト組み!Y62,役職一覧!$B:$D,2,FALSE),"")</f>
        <v/>
      </c>
      <c r="Z32" s="17" t="str">
        <f>IFERROR(VLOOKUP(シフト組み!Z62,役職一覧!$B:$D,2,FALSE),"")</f>
        <v/>
      </c>
      <c r="AA32" s="17" t="str">
        <f>IFERROR(VLOOKUP(シフト組み!AA62,役職一覧!$B:$D,2,FALSE),"")</f>
        <v/>
      </c>
      <c r="AB32" s="17" t="str">
        <f>IFERROR(VLOOKUP(シフト組み!AB62,役職一覧!$B:$D,2,FALSE),"")</f>
        <v/>
      </c>
      <c r="AC32" s="17" t="str">
        <f>IFERROR(VLOOKUP(シフト組み!AC62,役職一覧!$B:$D,2,FALSE),"")</f>
        <v/>
      </c>
      <c r="AD32" s="17" t="str">
        <f>IFERROR(VLOOKUP(シフト組み!AD62,役職一覧!$B:$D,2,FALSE),"")</f>
        <v/>
      </c>
      <c r="AE32" s="17" t="str">
        <f>IFERROR(VLOOKUP(シフト組み!AE62,役職一覧!$B:$D,2,FALSE),"")</f>
        <v/>
      </c>
      <c r="AF32" s="17" t="str">
        <f>IFERROR(VLOOKUP(シフト組み!AF62,役職一覧!$B:$D,2,FALSE),"")</f>
        <v/>
      </c>
      <c r="AG32" s="17" t="str">
        <f>IFERROR(VLOOKUP(シフト組み!AG62,役職一覧!$B:$D,2,FALSE),"")</f>
        <v/>
      </c>
      <c r="AH32" s="17" t="str">
        <f>IFERROR(VLOOKUP(シフト組み!AH62,役職一覧!$B:$D,2,FALSE),"")</f>
        <v/>
      </c>
      <c r="AI32" s="17" t="str">
        <f>IFERROR(VLOOKUP(シフト組み!AI62,役職一覧!$B:$D,2,FALSE),"")</f>
        <v/>
      </c>
      <c r="AJ32" s="17" t="str">
        <f>IFERROR(VLOOKUP(シフト組み!AJ62,役職一覧!$B:$D,2,FALSE),"")</f>
        <v/>
      </c>
      <c r="AK32" s="17" t="str">
        <f>IFERROR(VLOOKUP(シフト組み!AK62,役職一覧!$B:$D,2,FALSE),"")</f>
        <v/>
      </c>
      <c r="AL32" s="17" t="str">
        <f>IFERROR(VLOOKUP(シフト組み!AL62,役職一覧!$B:$D,2,FALSE),"")</f>
        <v/>
      </c>
      <c r="AM32" s="17" t="str">
        <f>IFERROR(VLOOKUP(シフト組み!AM62,役職一覧!$B:$D,2,FALSE),"")</f>
        <v/>
      </c>
      <c r="AN32" s="17" t="str">
        <f>IFERROR(VLOOKUP(シフト組み!AN62,役職一覧!$B:$D,2,FALSE),"")</f>
        <v/>
      </c>
      <c r="AO32" s="17" t="str">
        <f>IFERROR(VLOOKUP(シフト組み!AO62,役職一覧!$B:$D,2,FALSE),"")</f>
        <v/>
      </c>
      <c r="AP32" s="17" t="str">
        <f>IFERROR(VLOOKUP(シフト組み!AP62,役職一覧!$B:$D,2,FALSE),"")</f>
        <v/>
      </c>
      <c r="AQ32" s="17" t="str">
        <f>IFERROR(VLOOKUP(シフト組み!AQ62,役職一覧!$B:$D,2,FALSE),"")</f>
        <v/>
      </c>
      <c r="AR32" s="17" t="str">
        <f>IFERROR(VLOOKUP(シフト組み!AR62,役職一覧!$B:$D,2,FALSE),"")</f>
        <v/>
      </c>
      <c r="AS32" s="17" t="str">
        <f>IFERROR(VLOOKUP(シフト組み!AS62,役職一覧!$B:$D,2,FALSE),"")</f>
        <v/>
      </c>
      <c r="AT32" s="17" t="str">
        <f>IFERROR(VLOOKUP(シフト組み!AT62,役職一覧!$B:$D,2,FALSE),"")</f>
        <v/>
      </c>
      <c r="AU32" s="17" t="str">
        <f>IFERROR(VLOOKUP(シフト組み!AU62,役職一覧!$B:$D,2,FALSE),"")</f>
        <v/>
      </c>
      <c r="AV32" s="17" t="str">
        <f>IFERROR(VLOOKUP(シフト組み!AV62,役職一覧!$B:$D,2,FALSE),"")</f>
        <v/>
      </c>
      <c r="AW32" s="17" t="str">
        <f>IFERROR(VLOOKUP(シフト組み!AW62,役職一覧!$B:$D,2,FALSE),"")</f>
        <v/>
      </c>
      <c r="AX32" s="17" t="str">
        <f>IFERROR(VLOOKUP(シフト組み!AX62,役職一覧!$B:$D,2,FALSE),"")</f>
        <v/>
      </c>
      <c r="AY32" s="17" t="str">
        <f>IFERROR(VLOOKUP(シフト組み!AY62,役職一覧!$B:$D,2,FALSE),"")</f>
        <v/>
      </c>
      <c r="AZ32" s="17" t="str">
        <f>IFERROR(VLOOKUP(シフト組み!AZ62,役職一覧!$B:$D,2,FALSE),"")</f>
        <v/>
      </c>
      <c r="BA32" s="17" t="str">
        <f>IFERROR(VLOOKUP(シフト組み!BA62,役職一覧!$B:$D,2,FALSE),"")</f>
        <v/>
      </c>
    </row>
    <row r="33" spans="1:53">
      <c r="A33" s="2" t="str">
        <f>シフト組み!A63&amp;""</f>
        <v/>
      </c>
      <c r="B33" s="2" t="str">
        <f>シフト組み!B63&amp;""</f>
        <v/>
      </c>
      <c r="C33" s="2" t="str">
        <f>シフト組み!C63&amp;""</f>
        <v/>
      </c>
      <c r="D33" s="17" t="str">
        <f>IFERROR(VLOOKUP(シフト組み!D63,役職一覧!$B:$D,2,FALSE),"")</f>
        <v/>
      </c>
      <c r="E33" s="17" t="str">
        <f>IFERROR(VLOOKUP(シフト組み!E63,役職一覧!$B:$D,2,FALSE),"")</f>
        <v/>
      </c>
      <c r="F33" s="17" t="str">
        <f>IFERROR(VLOOKUP(シフト組み!F63,役職一覧!$B:$D,2,FALSE),"")</f>
        <v/>
      </c>
      <c r="G33" s="17" t="str">
        <f>IFERROR(VLOOKUP(シフト組み!G63,役職一覧!$B:$D,2,FALSE),"")</f>
        <v/>
      </c>
      <c r="H33" s="17" t="str">
        <f>IFERROR(VLOOKUP(シフト組み!H63,役職一覧!$B:$D,2,FALSE),"")</f>
        <v/>
      </c>
      <c r="I33" s="17" t="str">
        <f>IFERROR(VLOOKUP(シフト組み!I63,役職一覧!$B:$D,2,FALSE),"")</f>
        <v/>
      </c>
      <c r="J33" s="17" t="str">
        <f>IFERROR(VLOOKUP(シフト組み!J63,役職一覧!$B:$D,2,FALSE),"")</f>
        <v/>
      </c>
      <c r="K33" s="17" t="str">
        <f>IFERROR(VLOOKUP(シフト組み!K63,役職一覧!$B:$D,2,FALSE),"")</f>
        <v/>
      </c>
      <c r="L33" s="17" t="str">
        <f>IFERROR(VLOOKUP(シフト組み!L63,役職一覧!$B:$D,2,FALSE),"")</f>
        <v/>
      </c>
      <c r="M33" s="17" t="str">
        <f>IFERROR(VLOOKUP(シフト組み!M63,役職一覧!$B:$D,2,FALSE),"")</f>
        <v/>
      </c>
      <c r="N33" s="17" t="str">
        <f>IFERROR(VLOOKUP(シフト組み!N63,役職一覧!$B:$D,2,FALSE),"")</f>
        <v/>
      </c>
      <c r="O33" s="17" t="str">
        <f>IFERROR(VLOOKUP(シフト組み!O63,役職一覧!$B:$D,2,FALSE),"")</f>
        <v/>
      </c>
      <c r="P33" s="17" t="str">
        <f>IFERROR(VLOOKUP(シフト組み!P63,役職一覧!$B:$D,2,FALSE),"")</f>
        <v/>
      </c>
      <c r="Q33" s="17" t="str">
        <f>IFERROR(VLOOKUP(シフト組み!Q63,役職一覧!$B:$D,2,FALSE),"")</f>
        <v/>
      </c>
      <c r="R33" s="17" t="str">
        <f>IFERROR(VLOOKUP(シフト組み!R63,役職一覧!$B:$D,2,FALSE),"")</f>
        <v/>
      </c>
      <c r="S33" s="17" t="str">
        <f>IFERROR(VLOOKUP(シフト組み!S63,役職一覧!$B:$D,2,FALSE),"")</f>
        <v/>
      </c>
      <c r="T33" s="17" t="str">
        <f>IFERROR(VLOOKUP(シフト組み!T63,役職一覧!$B:$D,2,FALSE),"")</f>
        <v/>
      </c>
      <c r="U33" s="17" t="str">
        <f>IFERROR(VLOOKUP(シフト組み!U63,役職一覧!$B:$D,2,FALSE),"")</f>
        <v/>
      </c>
      <c r="V33" s="17" t="str">
        <f>IFERROR(VLOOKUP(シフト組み!V63,役職一覧!$B:$D,2,FALSE),"")</f>
        <v/>
      </c>
      <c r="W33" s="17" t="str">
        <f>IFERROR(VLOOKUP(シフト組み!W63,役職一覧!$B:$D,2,FALSE),"")</f>
        <v/>
      </c>
      <c r="X33" s="17" t="str">
        <f>IFERROR(VLOOKUP(シフト組み!X63,役職一覧!$B:$D,2,FALSE),"")</f>
        <v/>
      </c>
      <c r="Y33" s="17" t="str">
        <f>IFERROR(VLOOKUP(シフト組み!Y63,役職一覧!$B:$D,2,FALSE),"")</f>
        <v/>
      </c>
      <c r="Z33" s="17" t="str">
        <f>IFERROR(VLOOKUP(シフト組み!Z63,役職一覧!$B:$D,2,FALSE),"")</f>
        <v/>
      </c>
      <c r="AA33" s="17" t="str">
        <f>IFERROR(VLOOKUP(シフト組み!AA63,役職一覧!$B:$D,2,FALSE),"")</f>
        <v/>
      </c>
      <c r="AB33" s="17" t="str">
        <f>IFERROR(VLOOKUP(シフト組み!AB63,役職一覧!$B:$D,2,FALSE),"")</f>
        <v/>
      </c>
      <c r="AC33" s="17" t="str">
        <f>IFERROR(VLOOKUP(シフト組み!AC63,役職一覧!$B:$D,2,FALSE),"")</f>
        <v/>
      </c>
      <c r="AD33" s="17" t="str">
        <f>IFERROR(VLOOKUP(シフト組み!AD63,役職一覧!$B:$D,2,FALSE),"")</f>
        <v/>
      </c>
      <c r="AE33" s="17" t="str">
        <f>IFERROR(VLOOKUP(シフト組み!AE63,役職一覧!$B:$D,2,FALSE),"")</f>
        <v/>
      </c>
      <c r="AF33" s="17" t="str">
        <f>IFERROR(VLOOKUP(シフト組み!AF63,役職一覧!$B:$D,2,FALSE),"")</f>
        <v/>
      </c>
      <c r="AG33" s="17" t="str">
        <f>IFERROR(VLOOKUP(シフト組み!AG63,役職一覧!$B:$D,2,FALSE),"")</f>
        <v/>
      </c>
      <c r="AH33" s="17" t="str">
        <f>IFERROR(VLOOKUP(シフト組み!AH63,役職一覧!$B:$D,2,FALSE),"")</f>
        <v/>
      </c>
      <c r="AI33" s="17" t="str">
        <f>IFERROR(VLOOKUP(シフト組み!AI63,役職一覧!$B:$D,2,FALSE),"")</f>
        <v/>
      </c>
      <c r="AJ33" s="17" t="str">
        <f>IFERROR(VLOOKUP(シフト組み!AJ63,役職一覧!$B:$D,2,FALSE),"")</f>
        <v/>
      </c>
      <c r="AK33" s="17" t="str">
        <f>IFERROR(VLOOKUP(シフト組み!AK63,役職一覧!$B:$D,2,FALSE),"")</f>
        <v/>
      </c>
      <c r="AL33" s="17" t="str">
        <f>IFERROR(VLOOKUP(シフト組み!AL63,役職一覧!$B:$D,2,FALSE),"")</f>
        <v/>
      </c>
      <c r="AM33" s="17" t="str">
        <f>IFERROR(VLOOKUP(シフト組み!AM63,役職一覧!$B:$D,2,FALSE),"")</f>
        <v/>
      </c>
      <c r="AN33" s="17" t="str">
        <f>IFERROR(VLOOKUP(シフト組み!AN63,役職一覧!$B:$D,2,FALSE),"")</f>
        <v/>
      </c>
      <c r="AO33" s="17" t="str">
        <f>IFERROR(VLOOKUP(シフト組み!AO63,役職一覧!$B:$D,2,FALSE),"")</f>
        <v/>
      </c>
      <c r="AP33" s="17" t="str">
        <f>IFERROR(VLOOKUP(シフト組み!AP63,役職一覧!$B:$D,2,FALSE),"")</f>
        <v/>
      </c>
      <c r="AQ33" s="17" t="str">
        <f>IFERROR(VLOOKUP(シフト組み!AQ63,役職一覧!$B:$D,2,FALSE),"")</f>
        <v/>
      </c>
      <c r="AR33" s="17" t="str">
        <f>IFERROR(VLOOKUP(シフト組み!AR63,役職一覧!$B:$D,2,FALSE),"")</f>
        <v/>
      </c>
      <c r="AS33" s="17" t="str">
        <f>IFERROR(VLOOKUP(シフト組み!AS63,役職一覧!$B:$D,2,FALSE),"")</f>
        <v/>
      </c>
      <c r="AT33" s="17" t="str">
        <f>IFERROR(VLOOKUP(シフト組み!AT63,役職一覧!$B:$D,2,FALSE),"")</f>
        <v/>
      </c>
      <c r="AU33" s="17" t="str">
        <f>IFERROR(VLOOKUP(シフト組み!AU63,役職一覧!$B:$D,2,FALSE),"")</f>
        <v/>
      </c>
      <c r="AV33" s="17" t="str">
        <f>IFERROR(VLOOKUP(シフト組み!AV63,役職一覧!$B:$D,2,FALSE),"")</f>
        <v/>
      </c>
      <c r="AW33" s="17" t="str">
        <f>IFERROR(VLOOKUP(シフト組み!AW63,役職一覧!$B:$D,2,FALSE),"")</f>
        <v/>
      </c>
      <c r="AX33" s="17" t="str">
        <f>IFERROR(VLOOKUP(シフト組み!AX63,役職一覧!$B:$D,2,FALSE),"")</f>
        <v/>
      </c>
      <c r="AY33" s="17" t="str">
        <f>IFERROR(VLOOKUP(シフト組み!AY63,役職一覧!$B:$D,2,FALSE),"")</f>
        <v/>
      </c>
      <c r="AZ33" s="17" t="str">
        <f>IFERROR(VLOOKUP(シフト組み!AZ63,役職一覧!$B:$D,2,FALSE),"")</f>
        <v/>
      </c>
      <c r="BA33" s="17" t="str">
        <f>IFERROR(VLOOKUP(シフト組み!BA63,役職一覧!$B:$D,2,FALSE),"")</f>
        <v/>
      </c>
    </row>
    <row r="34" spans="1:53">
      <c r="A34" s="2" t="str">
        <f>シフト組み!A64&amp;""</f>
        <v/>
      </c>
      <c r="B34" s="2" t="str">
        <f>シフト組み!B64&amp;""</f>
        <v/>
      </c>
      <c r="C34" s="2" t="str">
        <f>シフト組み!C64&amp;""</f>
        <v/>
      </c>
      <c r="D34" s="17" t="str">
        <f>IFERROR(VLOOKUP(シフト組み!D64,役職一覧!$B:$D,2,FALSE),"")</f>
        <v/>
      </c>
      <c r="E34" s="17" t="str">
        <f>IFERROR(VLOOKUP(シフト組み!E64,役職一覧!$B:$D,2,FALSE),"")</f>
        <v/>
      </c>
      <c r="F34" s="17" t="str">
        <f>IFERROR(VLOOKUP(シフト組み!F64,役職一覧!$B:$D,2,FALSE),"")</f>
        <v/>
      </c>
      <c r="G34" s="17" t="str">
        <f>IFERROR(VLOOKUP(シフト組み!G64,役職一覧!$B:$D,2,FALSE),"")</f>
        <v/>
      </c>
      <c r="H34" s="17" t="str">
        <f>IFERROR(VLOOKUP(シフト組み!H64,役職一覧!$B:$D,2,FALSE),"")</f>
        <v/>
      </c>
      <c r="I34" s="17" t="str">
        <f>IFERROR(VLOOKUP(シフト組み!I64,役職一覧!$B:$D,2,FALSE),"")</f>
        <v/>
      </c>
      <c r="J34" s="17" t="str">
        <f>IFERROR(VLOOKUP(シフト組み!J64,役職一覧!$B:$D,2,FALSE),"")</f>
        <v/>
      </c>
      <c r="K34" s="17" t="str">
        <f>IFERROR(VLOOKUP(シフト組み!K64,役職一覧!$B:$D,2,FALSE),"")</f>
        <v/>
      </c>
      <c r="L34" s="17" t="str">
        <f>IFERROR(VLOOKUP(シフト組み!L64,役職一覧!$B:$D,2,FALSE),"")</f>
        <v/>
      </c>
      <c r="M34" s="17" t="str">
        <f>IFERROR(VLOOKUP(シフト組み!M64,役職一覧!$B:$D,2,FALSE),"")</f>
        <v/>
      </c>
      <c r="N34" s="17" t="str">
        <f>IFERROR(VLOOKUP(シフト組み!N64,役職一覧!$B:$D,2,FALSE),"")</f>
        <v/>
      </c>
      <c r="O34" s="17" t="str">
        <f>IFERROR(VLOOKUP(シフト組み!O64,役職一覧!$B:$D,2,FALSE),"")</f>
        <v/>
      </c>
      <c r="P34" s="17" t="str">
        <f>IFERROR(VLOOKUP(シフト組み!P64,役職一覧!$B:$D,2,FALSE),"")</f>
        <v/>
      </c>
      <c r="Q34" s="17" t="str">
        <f>IFERROR(VLOOKUP(シフト組み!Q64,役職一覧!$B:$D,2,FALSE),"")</f>
        <v/>
      </c>
      <c r="R34" s="17" t="str">
        <f>IFERROR(VLOOKUP(シフト組み!R64,役職一覧!$B:$D,2,FALSE),"")</f>
        <v/>
      </c>
      <c r="S34" s="17" t="str">
        <f>IFERROR(VLOOKUP(シフト組み!S64,役職一覧!$B:$D,2,FALSE),"")</f>
        <v/>
      </c>
      <c r="T34" s="17" t="str">
        <f>IFERROR(VLOOKUP(シフト組み!T64,役職一覧!$B:$D,2,FALSE),"")</f>
        <v/>
      </c>
      <c r="U34" s="17" t="str">
        <f>IFERROR(VLOOKUP(シフト組み!U64,役職一覧!$B:$D,2,FALSE),"")</f>
        <v/>
      </c>
      <c r="V34" s="17" t="str">
        <f>IFERROR(VLOOKUP(シフト組み!V64,役職一覧!$B:$D,2,FALSE),"")</f>
        <v/>
      </c>
      <c r="W34" s="17" t="str">
        <f>IFERROR(VLOOKUP(シフト組み!W64,役職一覧!$B:$D,2,FALSE),"")</f>
        <v/>
      </c>
      <c r="X34" s="17" t="str">
        <f>IFERROR(VLOOKUP(シフト組み!X64,役職一覧!$B:$D,2,FALSE),"")</f>
        <v/>
      </c>
      <c r="Y34" s="17" t="str">
        <f>IFERROR(VLOOKUP(シフト組み!Y64,役職一覧!$B:$D,2,FALSE),"")</f>
        <v/>
      </c>
      <c r="Z34" s="17" t="str">
        <f>IFERROR(VLOOKUP(シフト組み!Z64,役職一覧!$B:$D,2,FALSE),"")</f>
        <v/>
      </c>
      <c r="AA34" s="17" t="str">
        <f>IFERROR(VLOOKUP(シフト組み!AA64,役職一覧!$B:$D,2,FALSE),"")</f>
        <v/>
      </c>
      <c r="AB34" s="17" t="str">
        <f>IFERROR(VLOOKUP(シフト組み!AB64,役職一覧!$B:$D,2,FALSE),"")</f>
        <v/>
      </c>
      <c r="AC34" s="17" t="str">
        <f>IFERROR(VLOOKUP(シフト組み!AC64,役職一覧!$B:$D,2,FALSE),"")</f>
        <v/>
      </c>
      <c r="AD34" s="17" t="str">
        <f>IFERROR(VLOOKUP(シフト組み!AD64,役職一覧!$B:$D,2,FALSE),"")</f>
        <v/>
      </c>
      <c r="AE34" s="17" t="str">
        <f>IFERROR(VLOOKUP(シフト組み!AE64,役職一覧!$B:$D,2,FALSE),"")</f>
        <v/>
      </c>
      <c r="AF34" s="17" t="str">
        <f>IFERROR(VLOOKUP(シフト組み!AF64,役職一覧!$B:$D,2,FALSE),"")</f>
        <v/>
      </c>
      <c r="AG34" s="17" t="str">
        <f>IFERROR(VLOOKUP(シフト組み!AG64,役職一覧!$B:$D,2,FALSE),"")</f>
        <v/>
      </c>
      <c r="AH34" s="17" t="str">
        <f>IFERROR(VLOOKUP(シフト組み!AH64,役職一覧!$B:$D,2,FALSE),"")</f>
        <v/>
      </c>
      <c r="AI34" s="17" t="str">
        <f>IFERROR(VLOOKUP(シフト組み!AI64,役職一覧!$B:$D,2,FALSE),"")</f>
        <v/>
      </c>
      <c r="AJ34" s="17" t="str">
        <f>IFERROR(VLOOKUP(シフト組み!AJ64,役職一覧!$B:$D,2,FALSE),"")</f>
        <v/>
      </c>
      <c r="AK34" s="17" t="str">
        <f>IFERROR(VLOOKUP(シフト組み!AK64,役職一覧!$B:$D,2,FALSE),"")</f>
        <v/>
      </c>
      <c r="AL34" s="17" t="str">
        <f>IFERROR(VLOOKUP(シフト組み!AL64,役職一覧!$B:$D,2,FALSE),"")</f>
        <v/>
      </c>
      <c r="AM34" s="17" t="str">
        <f>IFERROR(VLOOKUP(シフト組み!AM64,役職一覧!$B:$D,2,FALSE),"")</f>
        <v/>
      </c>
      <c r="AN34" s="17" t="str">
        <f>IFERROR(VLOOKUP(シフト組み!AN64,役職一覧!$B:$D,2,FALSE),"")</f>
        <v/>
      </c>
      <c r="AO34" s="17" t="str">
        <f>IFERROR(VLOOKUP(シフト組み!AO64,役職一覧!$B:$D,2,FALSE),"")</f>
        <v/>
      </c>
      <c r="AP34" s="17" t="str">
        <f>IFERROR(VLOOKUP(シフト組み!AP64,役職一覧!$B:$D,2,FALSE),"")</f>
        <v/>
      </c>
      <c r="AQ34" s="17" t="str">
        <f>IFERROR(VLOOKUP(シフト組み!AQ64,役職一覧!$B:$D,2,FALSE),"")</f>
        <v/>
      </c>
      <c r="AR34" s="17" t="str">
        <f>IFERROR(VLOOKUP(シフト組み!AR64,役職一覧!$B:$D,2,FALSE),"")</f>
        <v/>
      </c>
      <c r="AS34" s="17" t="str">
        <f>IFERROR(VLOOKUP(シフト組み!AS64,役職一覧!$B:$D,2,FALSE),"")</f>
        <v/>
      </c>
      <c r="AT34" s="17" t="str">
        <f>IFERROR(VLOOKUP(シフト組み!AT64,役職一覧!$B:$D,2,FALSE),"")</f>
        <v/>
      </c>
      <c r="AU34" s="17" t="str">
        <f>IFERROR(VLOOKUP(シフト組み!AU64,役職一覧!$B:$D,2,FALSE),"")</f>
        <v/>
      </c>
      <c r="AV34" s="17" t="str">
        <f>IFERROR(VLOOKUP(シフト組み!AV64,役職一覧!$B:$D,2,FALSE),"")</f>
        <v/>
      </c>
      <c r="AW34" s="17" t="str">
        <f>IFERROR(VLOOKUP(シフト組み!AW64,役職一覧!$B:$D,2,FALSE),"")</f>
        <v/>
      </c>
      <c r="AX34" s="17" t="str">
        <f>IFERROR(VLOOKUP(シフト組み!AX64,役職一覧!$B:$D,2,FALSE),"")</f>
        <v/>
      </c>
      <c r="AY34" s="17" t="str">
        <f>IFERROR(VLOOKUP(シフト組み!AY64,役職一覧!$B:$D,2,FALSE),"")</f>
        <v/>
      </c>
      <c r="AZ34" s="17" t="str">
        <f>IFERROR(VLOOKUP(シフト組み!AZ64,役職一覧!$B:$D,2,FALSE),"")</f>
        <v/>
      </c>
      <c r="BA34" s="17" t="str">
        <f>IFERROR(VLOOKUP(シフト組み!BA64,役職一覧!$B:$D,2,FALSE),"")</f>
        <v/>
      </c>
    </row>
    <row r="35" spans="1:53">
      <c r="A35" s="2" t="str">
        <f>シフト組み!A65&amp;""</f>
        <v/>
      </c>
      <c r="B35" s="2" t="str">
        <f>シフト組み!B65&amp;""</f>
        <v/>
      </c>
      <c r="C35" s="2" t="str">
        <f>シフト組み!C65&amp;""</f>
        <v/>
      </c>
      <c r="D35" s="17" t="str">
        <f>IFERROR(VLOOKUP(シフト組み!D65,役職一覧!$B:$D,2,FALSE),"")</f>
        <v/>
      </c>
      <c r="E35" s="17" t="str">
        <f>IFERROR(VLOOKUP(シフト組み!E65,役職一覧!$B:$D,2,FALSE),"")</f>
        <v/>
      </c>
      <c r="F35" s="17" t="str">
        <f>IFERROR(VLOOKUP(シフト組み!F65,役職一覧!$B:$D,2,FALSE),"")</f>
        <v/>
      </c>
      <c r="G35" s="17" t="str">
        <f>IFERROR(VLOOKUP(シフト組み!G65,役職一覧!$B:$D,2,FALSE),"")</f>
        <v/>
      </c>
      <c r="H35" s="17" t="str">
        <f>IFERROR(VLOOKUP(シフト組み!H65,役職一覧!$B:$D,2,FALSE),"")</f>
        <v/>
      </c>
      <c r="I35" s="17" t="str">
        <f>IFERROR(VLOOKUP(シフト組み!I65,役職一覧!$B:$D,2,FALSE),"")</f>
        <v/>
      </c>
      <c r="J35" s="17" t="str">
        <f>IFERROR(VLOOKUP(シフト組み!J65,役職一覧!$B:$D,2,FALSE),"")</f>
        <v/>
      </c>
      <c r="K35" s="17" t="str">
        <f>IFERROR(VLOOKUP(シフト組み!K65,役職一覧!$B:$D,2,FALSE),"")</f>
        <v/>
      </c>
      <c r="L35" s="17" t="str">
        <f>IFERROR(VLOOKUP(シフト組み!L65,役職一覧!$B:$D,2,FALSE),"")</f>
        <v/>
      </c>
      <c r="M35" s="17" t="str">
        <f>IFERROR(VLOOKUP(シフト組み!M65,役職一覧!$B:$D,2,FALSE),"")</f>
        <v/>
      </c>
      <c r="N35" s="17" t="str">
        <f>IFERROR(VLOOKUP(シフト組み!N65,役職一覧!$B:$D,2,FALSE),"")</f>
        <v/>
      </c>
      <c r="O35" s="17" t="str">
        <f>IFERROR(VLOOKUP(シフト組み!O65,役職一覧!$B:$D,2,FALSE),"")</f>
        <v/>
      </c>
      <c r="P35" s="17" t="str">
        <f>IFERROR(VLOOKUP(シフト組み!P65,役職一覧!$B:$D,2,FALSE),"")</f>
        <v/>
      </c>
      <c r="Q35" s="17" t="str">
        <f>IFERROR(VLOOKUP(シフト組み!Q65,役職一覧!$B:$D,2,FALSE),"")</f>
        <v/>
      </c>
      <c r="R35" s="17" t="str">
        <f>IFERROR(VLOOKUP(シフト組み!R65,役職一覧!$B:$D,2,FALSE),"")</f>
        <v/>
      </c>
      <c r="S35" s="17" t="str">
        <f>IFERROR(VLOOKUP(シフト組み!S65,役職一覧!$B:$D,2,FALSE),"")</f>
        <v/>
      </c>
      <c r="T35" s="17" t="str">
        <f>IFERROR(VLOOKUP(シフト組み!T65,役職一覧!$B:$D,2,FALSE),"")</f>
        <v/>
      </c>
      <c r="U35" s="17" t="str">
        <f>IFERROR(VLOOKUP(シフト組み!U65,役職一覧!$B:$D,2,FALSE),"")</f>
        <v/>
      </c>
      <c r="V35" s="17" t="str">
        <f>IFERROR(VLOOKUP(シフト組み!V65,役職一覧!$B:$D,2,FALSE),"")</f>
        <v/>
      </c>
      <c r="W35" s="17" t="str">
        <f>IFERROR(VLOOKUP(シフト組み!W65,役職一覧!$B:$D,2,FALSE),"")</f>
        <v/>
      </c>
      <c r="X35" s="17" t="str">
        <f>IFERROR(VLOOKUP(シフト組み!X65,役職一覧!$B:$D,2,FALSE),"")</f>
        <v/>
      </c>
      <c r="Y35" s="17" t="str">
        <f>IFERROR(VLOOKUP(シフト組み!Y65,役職一覧!$B:$D,2,FALSE),"")</f>
        <v/>
      </c>
      <c r="Z35" s="17" t="str">
        <f>IFERROR(VLOOKUP(シフト組み!Z65,役職一覧!$B:$D,2,FALSE),"")</f>
        <v/>
      </c>
      <c r="AA35" s="17" t="str">
        <f>IFERROR(VLOOKUP(シフト組み!AA65,役職一覧!$B:$D,2,FALSE),"")</f>
        <v/>
      </c>
      <c r="AB35" s="17" t="str">
        <f>IFERROR(VLOOKUP(シフト組み!AB65,役職一覧!$B:$D,2,FALSE),"")</f>
        <v/>
      </c>
      <c r="AC35" s="17" t="str">
        <f>IFERROR(VLOOKUP(シフト組み!AC65,役職一覧!$B:$D,2,FALSE),"")</f>
        <v/>
      </c>
      <c r="AD35" s="17" t="str">
        <f>IFERROR(VLOOKUP(シフト組み!AD65,役職一覧!$B:$D,2,FALSE),"")</f>
        <v/>
      </c>
      <c r="AE35" s="17" t="str">
        <f>IFERROR(VLOOKUP(シフト組み!AE65,役職一覧!$B:$D,2,FALSE),"")</f>
        <v/>
      </c>
      <c r="AF35" s="17" t="str">
        <f>IFERROR(VLOOKUP(シフト組み!AF65,役職一覧!$B:$D,2,FALSE),"")</f>
        <v/>
      </c>
      <c r="AG35" s="17" t="str">
        <f>IFERROR(VLOOKUP(シフト組み!AG65,役職一覧!$B:$D,2,FALSE),"")</f>
        <v/>
      </c>
      <c r="AH35" s="17" t="str">
        <f>IFERROR(VLOOKUP(シフト組み!AH65,役職一覧!$B:$D,2,FALSE),"")</f>
        <v/>
      </c>
      <c r="AI35" s="17" t="str">
        <f>IFERROR(VLOOKUP(シフト組み!AI65,役職一覧!$B:$D,2,FALSE),"")</f>
        <v/>
      </c>
      <c r="AJ35" s="17" t="str">
        <f>IFERROR(VLOOKUP(シフト組み!AJ65,役職一覧!$B:$D,2,FALSE),"")</f>
        <v/>
      </c>
      <c r="AK35" s="17" t="str">
        <f>IFERROR(VLOOKUP(シフト組み!AK65,役職一覧!$B:$D,2,FALSE),"")</f>
        <v/>
      </c>
      <c r="AL35" s="17" t="str">
        <f>IFERROR(VLOOKUP(シフト組み!AL65,役職一覧!$B:$D,2,FALSE),"")</f>
        <v/>
      </c>
      <c r="AM35" s="17" t="str">
        <f>IFERROR(VLOOKUP(シフト組み!AM65,役職一覧!$B:$D,2,FALSE),"")</f>
        <v/>
      </c>
      <c r="AN35" s="17" t="str">
        <f>IFERROR(VLOOKUP(シフト組み!AN65,役職一覧!$B:$D,2,FALSE),"")</f>
        <v/>
      </c>
      <c r="AO35" s="17" t="str">
        <f>IFERROR(VLOOKUP(シフト組み!AO65,役職一覧!$B:$D,2,FALSE),"")</f>
        <v/>
      </c>
      <c r="AP35" s="17" t="str">
        <f>IFERROR(VLOOKUP(シフト組み!AP65,役職一覧!$B:$D,2,FALSE),"")</f>
        <v/>
      </c>
      <c r="AQ35" s="17" t="str">
        <f>IFERROR(VLOOKUP(シフト組み!AQ65,役職一覧!$B:$D,2,FALSE),"")</f>
        <v/>
      </c>
      <c r="AR35" s="17" t="str">
        <f>IFERROR(VLOOKUP(シフト組み!AR65,役職一覧!$B:$D,2,FALSE),"")</f>
        <v/>
      </c>
      <c r="AS35" s="17" t="str">
        <f>IFERROR(VLOOKUP(シフト組み!AS65,役職一覧!$B:$D,2,FALSE),"")</f>
        <v/>
      </c>
      <c r="AT35" s="17" t="str">
        <f>IFERROR(VLOOKUP(シフト組み!AT65,役職一覧!$B:$D,2,FALSE),"")</f>
        <v/>
      </c>
      <c r="AU35" s="17" t="str">
        <f>IFERROR(VLOOKUP(シフト組み!AU65,役職一覧!$B:$D,2,FALSE),"")</f>
        <v/>
      </c>
      <c r="AV35" s="17" t="str">
        <f>IFERROR(VLOOKUP(シフト組み!AV65,役職一覧!$B:$D,2,FALSE),"")</f>
        <v/>
      </c>
      <c r="AW35" s="17" t="str">
        <f>IFERROR(VLOOKUP(シフト組み!AW65,役職一覧!$B:$D,2,FALSE),"")</f>
        <v/>
      </c>
      <c r="AX35" s="17" t="str">
        <f>IFERROR(VLOOKUP(シフト組み!AX65,役職一覧!$B:$D,2,FALSE),"")</f>
        <v/>
      </c>
      <c r="AY35" s="17" t="str">
        <f>IFERROR(VLOOKUP(シフト組み!AY65,役職一覧!$B:$D,2,FALSE),"")</f>
        <v/>
      </c>
      <c r="AZ35" s="17" t="str">
        <f>IFERROR(VLOOKUP(シフト組み!AZ65,役職一覧!$B:$D,2,FALSE),"")</f>
        <v/>
      </c>
      <c r="BA35" s="17" t="str">
        <f>IFERROR(VLOOKUP(シフト組み!BA65,役職一覧!$B:$D,2,FALSE),"")</f>
        <v/>
      </c>
    </row>
    <row r="36" spans="1:53">
      <c r="A36" s="2" t="str">
        <f>シフト組み!A66&amp;""</f>
        <v/>
      </c>
      <c r="B36" s="2" t="str">
        <f>シフト組み!B66&amp;""</f>
        <v/>
      </c>
      <c r="C36" s="2" t="str">
        <f>シフト組み!C66&amp;""</f>
        <v/>
      </c>
      <c r="D36" s="17" t="str">
        <f>IFERROR(VLOOKUP(シフト組み!D66,役職一覧!$B:$D,2,FALSE),"")</f>
        <v/>
      </c>
      <c r="E36" s="17" t="str">
        <f>IFERROR(VLOOKUP(シフト組み!E66,役職一覧!$B:$D,2,FALSE),"")</f>
        <v/>
      </c>
      <c r="F36" s="17" t="str">
        <f>IFERROR(VLOOKUP(シフト組み!F66,役職一覧!$B:$D,2,FALSE),"")</f>
        <v/>
      </c>
      <c r="G36" s="17" t="str">
        <f>IFERROR(VLOOKUP(シフト組み!G66,役職一覧!$B:$D,2,FALSE),"")</f>
        <v/>
      </c>
      <c r="H36" s="17" t="str">
        <f>IFERROR(VLOOKUP(シフト組み!H66,役職一覧!$B:$D,2,FALSE),"")</f>
        <v/>
      </c>
      <c r="I36" s="17" t="str">
        <f>IFERROR(VLOOKUP(シフト組み!I66,役職一覧!$B:$D,2,FALSE),"")</f>
        <v/>
      </c>
      <c r="J36" s="17" t="str">
        <f>IFERROR(VLOOKUP(シフト組み!J66,役職一覧!$B:$D,2,FALSE),"")</f>
        <v/>
      </c>
      <c r="K36" s="17" t="str">
        <f>IFERROR(VLOOKUP(シフト組み!K66,役職一覧!$B:$D,2,FALSE),"")</f>
        <v/>
      </c>
      <c r="L36" s="17" t="str">
        <f>IFERROR(VLOOKUP(シフト組み!L66,役職一覧!$B:$D,2,FALSE),"")</f>
        <v/>
      </c>
      <c r="M36" s="17" t="str">
        <f>IFERROR(VLOOKUP(シフト組み!M66,役職一覧!$B:$D,2,FALSE),"")</f>
        <v/>
      </c>
      <c r="N36" s="17" t="str">
        <f>IFERROR(VLOOKUP(シフト組み!N66,役職一覧!$B:$D,2,FALSE),"")</f>
        <v/>
      </c>
      <c r="O36" s="17" t="str">
        <f>IFERROR(VLOOKUP(シフト組み!O66,役職一覧!$B:$D,2,FALSE),"")</f>
        <v/>
      </c>
      <c r="P36" s="17" t="str">
        <f>IFERROR(VLOOKUP(シフト組み!P66,役職一覧!$B:$D,2,FALSE),"")</f>
        <v/>
      </c>
      <c r="Q36" s="17" t="str">
        <f>IFERROR(VLOOKUP(シフト組み!Q66,役職一覧!$B:$D,2,FALSE),"")</f>
        <v/>
      </c>
      <c r="R36" s="17" t="str">
        <f>IFERROR(VLOOKUP(シフト組み!R66,役職一覧!$B:$D,2,FALSE),"")</f>
        <v/>
      </c>
      <c r="S36" s="17" t="str">
        <f>IFERROR(VLOOKUP(シフト組み!S66,役職一覧!$B:$D,2,FALSE),"")</f>
        <v/>
      </c>
      <c r="T36" s="17" t="str">
        <f>IFERROR(VLOOKUP(シフト組み!T66,役職一覧!$B:$D,2,FALSE),"")</f>
        <v/>
      </c>
      <c r="U36" s="17" t="str">
        <f>IFERROR(VLOOKUP(シフト組み!U66,役職一覧!$B:$D,2,FALSE),"")</f>
        <v/>
      </c>
      <c r="V36" s="17" t="str">
        <f>IFERROR(VLOOKUP(シフト組み!V66,役職一覧!$B:$D,2,FALSE),"")</f>
        <v/>
      </c>
      <c r="W36" s="17" t="str">
        <f>IFERROR(VLOOKUP(シフト組み!W66,役職一覧!$B:$D,2,FALSE),"")</f>
        <v/>
      </c>
      <c r="X36" s="17" t="str">
        <f>IFERROR(VLOOKUP(シフト組み!X66,役職一覧!$B:$D,2,FALSE),"")</f>
        <v/>
      </c>
      <c r="Y36" s="17" t="str">
        <f>IFERROR(VLOOKUP(シフト組み!Y66,役職一覧!$B:$D,2,FALSE),"")</f>
        <v/>
      </c>
      <c r="Z36" s="17" t="str">
        <f>IFERROR(VLOOKUP(シフト組み!Z66,役職一覧!$B:$D,2,FALSE),"")</f>
        <v/>
      </c>
      <c r="AA36" s="17" t="str">
        <f>IFERROR(VLOOKUP(シフト組み!AA66,役職一覧!$B:$D,2,FALSE),"")</f>
        <v/>
      </c>
      <c r="AB36" s="17" t="str">
        <f>IFERROR(VLOOKUP(シフト組み!AB66,役職一覧!$B:$D,2,FALSE),"")</f>
        <v/>
      </c>
      <c r="AC36" s="17" t="str">
        <f>IFERROR(VLOOKUP(シフト組み!AC66,役職一覧!$B:$D,2,FALSE),"")</f>
        <v/>
      </c>
      <c r="AD36" s="17" t="str">
        <f>IFERROR(VLOOKUP(シフト組み!AD66,役職一覧!$B:$D,2,FALSE),"")</f>
        <v/>
      </c>
      <c r="AE36" s="17" t="str">
        <f>IFERROR(VLOOKUP(シフト組み!AE66,役職一覧!$B:$D,2,FALSE),"")</f>
        <v/>
      </c>
      <c r="AF36" s="17" t="str">
        <f>IFERROR(VLOOKUP(シフト組み!AF66,役職一覧!$B:$D,2,FALSE),"")</f>
        <v/>
      </c>
      <c r="AG36" s="17" t="str">
        <f>IFERROR(VLOOKUP(シフト組み!AG66,役職一覧!$B:$D,2,FALSE),"")</f>
        <v/>
      </c>
      <c r="AH36" s="17" t="str">
        <f>IFERROR(VLOOKUP(シフト組み!AH66,役職一覧!$B:$D,2,FALSE),"")</f>
        <v/>
      </c>
      <c r="AI36" s="17" t="str">
        <f>IFERROR(VLOOKUP(シフト組み!AI66,役職一覧!$B:$D,2,FALSE),"")</f>
        <v/>
      </c>
      <c r="AJ36" s="17" t="str">
        <f>IFERROR(VLOOKUP(シフト組み!AJ66,役職一覧!$B:$D,2,FALSE),"")</f>
        <v/>
      </c>
      <c r="AK36" s="17" t="str">
        <f>IFERROR(VLOOKUP(シフト組み!AK66,役職一覧!$B:$D,2,FALSE),"")</f>
        <v/>
      </c>
      <c r="AL36" s="17" t="str">
        <f>IFERROR(VLOOKUP(シフト組み!AL66,役職一覧!$B:$D,2,FALSE),"")</f>
        <v/>
      </c>
      <c r="AM36" s="17" t="str">
        <f>IFERROR(VLOOKUP(シフト組み!AM66,役職一覧!$B:$D,2,FALSE),"")</f>
        <v/>
      </c>
      <c r="AN36" s="17" t="str">
        <f>IFERROR(VLOOKUP(シフト組み!AN66,役職一覧!$B:$D,2,FALSE),"")</f>
        <v/>
      </c>
      <c r="AO36" s="17" t="str">
        <f>IFERROR(VLOOKUP(シフト組み!AO66,役職一覧!$B:$D,2,FALSE),"")</f>
        <v/>
      </c>
      <c r="AP36" s="17" t="str">
        <f>IFERROR(VLOOKUP(シフト組み!AP66,役職一覧!$B:$D,2,FALSE),"")</f>
        <v/>
      </c>
      <c r="AQ36" s="17" t="str">
        <f>IFERROR(VLOOKUP(シフト組み!AQ66,役職一覧!$B:$D,2,FALSE),"")</f>
        <v/>
      </c>
      <c r="AR36" s="17" t="str">
        <f>IFERROR(VLOOKUP(シフト組み!AR66,役職一覧!$B:$D,2,FALSE),"")</f>
        <v/>
      </c>
      <c r="AS36" s="17" t="str">
        <f>IFERROR(VLOOKUP(シフト組み!AS66,役職一覧!$B:$D,2,FALSE),"")</f>
        <v/>
      </c>
      <c r="AT36" s="17" t="str">
        <f>IFERROR(VLOOKUP(シフト組み!AT66,役職一覧!$B:$D,2,FALSE),"")</f>
        <v/>
      </c>
      <c r="AU36" s="17" t="str">
        <f>IFERROR(VLOOKUP(シフト組み!AU66,役職一覧!$B:$D,2,FALSE),"")</f>
        <v/>
      </c>
      <c r="AV36" s="17" t="str">
        <f>IFERROR(VLOOKUP(シフト組み!AV66,役職一覧!$B:$D,2,FALSE),"")</f>
        <v/>
      </c>
      <c r="AW36" s="17" t="str">
        <f>IFERROR(VLOOKUP(シフト組み!AW66,役職一覧!$B:$D,2,FALSE),"")</f>
        <v/>
      </c>
      <c r="AX36" s="17" t="str">
        <f>IFERROR(VLOOKUP(シフト組み!AX66,役職一覧!$B:$D,2,FALSE),"")</f>
        <v/>
      </c>
      <c r="AY36" s="17" t="str">
        <f>IFERROR(VLOOKUP(シフト組み!AY66,役職一覧!$B:$D,2,FALSE),"")</f>
        <v/>
      </c>
      <c r="AZ36" s="17" t="str">
        <f>IFERROR(VLOOKUP(シフト組み!AZ66,役職一覧!$B:$D,2,FALSE),"")</f>
        <v/>
      </c>
      <c r="BA36" s="17" t="str">
        <f>IFERROR(VLOOKUP(シフト組み!BA66,役職一覧!$B:$D,2,FALSE),"")</f>
        <v/>
      </c>
    </row>
    <row r="37" spans="1:53">
      <c r="A37" s="2" t="str">
        <f>シフト組み!A67&amp;""</f>
        <v/>
      </c>
      <c r="B37" s="2" t="str">
        <f>シフト組み!B67&amp;""</f>
        <v/>
      </c>
      <c r="C37" s="2" t="str">
        <f>シフト組み!C67&amp;""</f>
        <v/>
      </c>
      <c r="D37" s="17" t="str">
        <f>IFERROR(VLOOKUP(シフト組み!D67,役職一覧!$B:$D,2,FALSE),"")</f>
        <v/>
      </c>
      <c r="E37" s="17" t="str">
        <f>IFERROR(VLOOKUP(シフト組み!E67,役職一覧!$B:$D,2,FALSE),"")</f>
        <v/>
      </c>
      <c r="F37" s="17" t="str">
        <f>IFERROR(VLOOKUP(シフト組み!F67,役職一覧!$B:$D,2,FALSE),"")</f>
        <v/>
      </c>
      <c r="G37" s="17" t="str">
        <f>IFERROR(VLOOKUP(シフト組み!G67,役職一覧!$B:$D,2,FALSE),"")</f>
        <v/>
      </c>
      <c r="H37" s="17" t="str">
        <f>IFERROR(VLOOKUP(シフト組み!H67,役職一覧!$B:$D,2,FALSE),"")</f>
        <v/>
      </c>
      <c r="I37" s="17" t="str">
        <f>IFERROR(VLOOKUP(シフト組み!I67,役職一覧!$B:$D,2,FALSE),"")</f>
        <v/>
      </c>
      <c r="J37" s="17" t="str">
        <f>IFERROR(VLOOKUP(シフト組み!J67,役職一覧!$B:$D,2,FALSE),"")</f>
        <v/>
      </c>
      <c r="K37" s="17" t="str">
        <f>IFERROR(VLOOKUP(シフト組み!K67,役職一覧!$B:$D,2,FALSE),"")</f>
        <v/>
      </c>
      <c r="L37" s="17" t="str">
        <f>IFERROR(VLOOKUP(シフト組み!L67,役職一覧!$B:$D,2,FALSE),"")</f>
        <v/>
      </c>
      <c r="M37" s="17" t="str">
        <f>IFERROR(VLOOKUP(シフト組み!M67,役職一覧!$B:$D,2,FALSE),"")</f>
        <v/>
      </c>
      <c r="N37" s="17" t="str">
        <f>IFERROR(VLOOKUP(シフト組み!N67,役職一覧!$B:$D,2,FALSE),"")</f>
        <v/>
      </c>
      <c r="O37" s="17" t="str">
        <f>IFERROR(VLOOKUP(シフト組み!O67,役職一覧!$B:$D,2,FALSE),"")</f>
        <v/>
      </c>
      <c r="P37" s="17" t="str">
        <f>IFERROR(VLOOKUP(シフト組み!P67,役職一覧!$B:$D,2,FALSE),"")</f>
        <v/>
      </c>
      <c r="Q37" s="17" t="str">
        <f>IFERROR(VLOOKUP(シフト組み!Q67,役職一覧!$B:$D,2,FALSE),"")</f>
        <v/>
      </c>
      <c r="R37" s="17" t="str">
        <f>IFERROR(VLOOKUP(シフト組み!R67,役職一覧!$B:$D,2,FALSE),"")</f>
        <v/>
      </c>
      <c r="S37" s="17" t="str">
        <f>IFERROR(VLOOKUP(シフト組み!S67,役職一覧!$B:$D,2,FALSE),"")</f>
        <v/>
      </c>
      <c r="T37" s="17" t="str">
        <f>IFERROR(VLOOKUP(シフト組み!T67,役職一覧!$B:$D,2,FALSE),"")</f>
        <v/>
      </c>
      <c r="U37" s="17" t="str">
        <f>IFERROR(VLOOKUP(シフト組み!U67,役職一覧!$B:$D,2,FALSE),"")</f>
        <v/>
      </c>
      <c r="V37" s="17" t="str">
        <f>IFERROR(VLOOKUP(シフト組み!V67,役職一覧!$B:$D,2,FALSE),"")</f>
        <v/>
      </c>
      <c r="W37" s="17" t="str">
        <f>IFERROR(VLOOKUP(シフト組み!W67,役職一覧!$B:$D,2,FALSE),"")</f>
        <v/>
      </c>
      <c r="X37" s="17" t="str">
        <f>IFERROR(VLOOKUP(シフト組み!X67,役職一覧!$B:$D,2,FALSE),"")</f>
        <v/>
      </c>
      <c r="Y37" s="17" t="str">
        <f>IFERROR(VLOOKUP(シフト組み!Y67,役職一覧!$B:$D,2,FALSE),"")</f>
        <v/>
      </c>
      <c r="Z37" s="17" t="str">
        <f>IFERROR(VLOOKUP(シフト組み!Z67,役職一覧!$B:$D,2,FALSE),"")</f>
        <v/>
      </c>
      <c r="AA37" s="17" t="str">
        <f>IFERROR(VLOOKUP(シフト組み!AA67,役職一覧!$B:$D,2,FALSE),"")</f>
        <v/>
      </c>
      <c r="AB37" s="17" t="str">
        <f>IFERROR(VLOOKUP(シフト組み!AB67,役職一覧!$B:$D,2,FALSE),"")</f>
        <v/>
      </c>
      <c r="AC37" s="17" t="str">
        <f>IFERROR(VLOOKUP(シフト組み!AC67,役職一覧!$B:$D,2,FALSE),"")</f>
        <v/>
      </c>
      <c r="AD37" s="17" t="str">
        <f>IFERROR(VLOOKUP(シフト組み!AD67,役職一覧!$B:$D,2,FALSE),"")</f>
        <v/>
      </c>
      <c r="AE37" s="17" t="str">
        <f>IFERROR(VLOOKUP(シフト組み!AE67,役職一覧!$B:$D,2,FALSE),"")</f>
        <v/>
      </c>
      <c r="AF37" s="17" t="str">
        <f>IFERROR(VLOOKUP(シフト組み!AF67,役職一覧!$B:$D,2,FALSE),"")</f>
        <v/>
      </c>
      <c r="AG37" s="17" t="str">
        <f>IFERROR(VLOOKUP(シフト組み!AG67,役職一覧!$B:$D,2,FALSE),"")</f>
        <v/>
      </c>
      <c r="AH37" s="17" t="str">
        <f>IFERROR(VLOOKUP(シフト組み!AH67,役職一覧!$B:$D,2,FALSE),"")</f>
        <v/>
      </c>
      <c r="AI37" s="17" t="str">
        <f>IFERROR(VLOOKUP(シフト組み!AI67,役職一覧!$B:$D,2,FALSE),"")</f>
        <v/>
      </c>
      <c r="AJ37" s="17" t="str">
        <f>IFERROR(VLOOKUP(シフト組み!AJ67,役職一覧!$B:$D,2,FALSE),"")</f>
        <v/>
      </c>
      <c r="AK37" s="17" t="str">
        <f>IFERROR(VLOOKUP(シフト組み!AK67,役職一覧!$B:$D,2,FALSE),"")</f>
        <v/>
      </c>
      <c r="AL37" s="17" t="str">
        <f>IFERROR(VLOOKUP(シフト組み!AL67,役職一覧!$B:$D,2,FALSE),"")</f>
        <v/>
      </c>
      <c r="AM37" s="17" t="str">
        <f>IFERROR(VLOOKUP(シフト組み!AM67,役職一覧!$B:$D,2,FALSE),"")</f>
        <v/>
      </c>
      <c r="AN37" s="17" t="str">
        <f>IFERROR(VLOOKUP(シフト組み!AN67,役職一覧!$B:$D,2,FALSE),"")</f>
        <v/>
      </c>
      <c r="AO37" s="17" t="str">
        <f>IFERROR(VLOOKUP(シフト組み!AO67,役職一覧!$B:$D,2,FALSE),"")</f>
        <v/>
      </c>
      <c r="AP37" s="17" t="str">
        <f>IFERROR(VLOOKUP(シフト組み!AP67,役職一覧!$B:$D,2,FALSE),"")</f>
        <v/>
      </c>
      <c r="AQ37" s="17" t="str">
        <f>IFERROR(VLOOKUP(シフト組み!AQ67,役職一覧!$B:$D,2,FALSE),"")</f>
        <v/>
      </c>
      <c r="AR37" s="17" t="str">
        <f>IFERROR(VLOOKUP(シフト組み!AR67,役職一覧!$B:$D,2,FALSE),"")</f>
        <v/>
      </c>
      <c r="AS37" s="17" t="str">
        <f>IFERROR(VLOOKUP(シフト組み!AS67,役職一覧!$B:$D,2,FALSE),"")</f>
        <v/>
      </c>
      <c r="AT37" s="17" t="str">
        <f>IFERROR(VLOOKUP(シフト組み!AT67,役職一覧!$B:$D,2,FALSE),"")</f>
        <v/>
      </c>
      <c r="AU37" s="17" t="str">
        <f>IFERROR(VLOOKUP(シフト組み!AU67,役職一覧!$B:$D,2,FALSE),"")</f>
        <v/>
      </c>
      <c r="AV37" s="17" t="str">
        <f>IFERROR(VLOOKUP(シフト組み!AV67,役職一覧!$B:$D,2,FALSE),"")</f>
        <v/>
      </c>
      <c r="AW37" s="17" t="str">
        <f>IFERROR(VLOOKUP(シフト組み!AW67,役職一覧!$B:$D,2,FALSE),"")</f>
        <v/>
      </c>
      <c r="AX37" s="17" t="str">
        <f>IFERROR(VLOOKUP(シフト組み!AX67,役職一覧!$B:$D,2,FALSE),"")</f>
        <v/>
      </c>
      <c r="AY37" s="17" t="str">
        <f>IFERROR(VLOOKUP(シフト組み!AY67,役職一覧!$B:$D,2,FALSE),"")</f>
        <v/>
      </c>
      <c r="AZ37" s="17" t="str">
        <f>IFERROR(VLOOKUP(シフト組み!AZ67,役職一覧!$B:$D,2,FALSE),"")</f>
        <v/>
      </c>
      <c r="BA37" s="17" t="str">
        <f>IFERROR(VLOOKUP(シフト組み!BA67,役職一覧!$B:$D,2,FALSE),"")</f>
        <v/>
      </c>
    </row>
    <row r="38" spans="1:53">
      <c r="A38" s="2" t="str">
        <f>シフト組み!A68&amp;""</f>
        <v/>
      </c>
      <c r="B38" s="2" t="str">
        <f>シフト組み!B68&amp;""</f>
        <v/>
      </c>
      <c r="C38" s="2" t="str">
        <f>シフト組み!C68&amp;""</f>
        <v/>
      </c>
      <c r="D38" s="17" t="str">
        <f>IFERROR(VLOOKUP(シフト組み!D68,役職一覧!$B:$D,2,FALSE),"")</f>
        <v/>
      </c>
      <c r="E38" s="17" t="str">
        <f>IFERROR(VLOOKUP(シフト組み!E68,役職一覧!$B:$D,2,FALSE),"")</f>
        <v/>
      </c>
      <c r="F38" s="17" t="str">
        <f>IFERROR(VLOOKUP(シフト組み!F68,役職一覧!$B:$D,2,FALSE),"")</f>
        <v/>
      </c>
      <c r="G38" s="17" t="str">
        <f>IFERROR(VLOOKUP(シフト組み!G68,役職一覧!$B:$D,2,FALSE),"")</f>
        <v/>
      </c>
      <c r="H38" s="17" t="str">
        <f>IFERROR(VLOOKUP(シフト組み!H68,役職一覧!$B:$D,2,FALSE),"")</f>
        <v/>
      </c>
      <c r="I38" s="17" t="str">
        <f>IFERROR(VLOOKUP(シフト組み!I68,役職一覧!$B:$D,2,FALSE),"")</f>
        <v/>
      </c>
      <c r="J38" s="17" t="str">
        <f>IFERROR(VLOOKUP(シフト組み!J68,役職一覧!$B:$D,2,FALSE),"")</f>
        <v/>
      </c>
      <c r="K38" s="17" t="str">
        <f>IFERROR(VLOOKUP(シフト組み!K68,役職一覧!$B:$D,2,FALSE),"")</f>
        <v/>
      </c>
      <c r="L38" s="17" t="str">
        <f>IFERROR(VLOOKUP(シフト組み!L68,役職一覧!$B:$D,2,FALSE),"")</f>
        <v/>
      </c>
      <c r="M38" s="17" t="str">
        <f>IFERROR(VLOOKUP(シフト組み!M68,役職一覧!$B:$D,2,FALSE),"")</f>
        <v/>
      </c>
      <c r="N38" s="17" t="str">
        <f>IFERROR(VLOOKUP(シフト組み!N68,役職一覧!$B:$D,2,FALSE),"")</f>
        <v/>
      </c>
      <c r="O38" s="17" t="str">
        <f>IFERROR(VLOOKUP(シフト組み!O68,役職一覧!$B:$D,2,FALSE),"")</f>
        <v/>
      </c>
      <c r="P38" s="17" t="str">
        <f>IFERROR(VLOOKUP(シフト組み!P68,役職一覧!$B:$D,2,FALSE),"")</f>
        <v/>
      </c>
      <c r="Q38" s="17" t="str">
        <f>IFERROR(VLOOKUP(シフト組み!Q68,役職一覧!$B:$D,2,FALSE),"")</f>
        <v/>
      </c>
      <c r="R38" s="17" t="str">
        <f>IFERROR(VLOOKUP(シフト組み!R68,役職一覧!$B:$D,2,FALSE),"")</f>
        <v/>
      </c>
      <c r="S38" s="17" t="str">
        <f>IFERROR(VLOOKUP(シフト組み!S68,役職一覧!$B:$D,2,FALSE),"")</f>
        <v/>
      </c>
      <c r="T38" s="17" t="str">
        <f>IFERROR(VLOOKUP(シフト組み!T68,役職一覧!$B:$D,2,FALSE),"")</f>
        <v/>
      </c>
      <c r="U38" s="17" t="str">
        <f>IFERROR(VLOOKUP(シフト組み!U68,役職一覧!$B:$D,2,FALSE),"")</f>
        <v/>
      </c>
      <c r="V38" s="17" t="str">
        <f>IFERROR(VLOOKUP(シフト組み!V68,役職一覧!$B:$D,2,FALSE),"")</f>
        <v/>
      </c>
      <c r="W38" s="17" t="str">
        <f>IFERROR(VLOOKUP(シフト組み!W68,役職一覧!$B:$D,2,FALSE),"")</f>
        <v/>
      </c>
      <c r="X38" s="17" t="str">
        <f>IFERROR(VLOOKUP(シフト組み!X68,役職一覧!$B:$D,2,FALSE),"")</f>
        <v/>
      </c>
      <c r="Y38" s="17" t="str">
        <f>IFERROR(VLOOKUP(シフト組み!Y68,役職一覧!$B:$D,2,FALSE),"")</f>
        <v/>
      </c>
      <c r="Z38" s="17" t="str">
        <f>IFERROR(VLOOKUP(シフト組み!Z68,役職一覧!$B:$D,2,FALSE),"")</f>
        <v/>
      </c>
      <c r="AA38" s="17" t="str">
        <f>IFERROR(VLOOKUP(シフト組み!AA68,役職一覧!$B:$D,2,FALSE),"")</f>
        <v/>
      </c>
      <c r="AB38" s="17" t="str">
        <f>IFERROR(VLOOKUP(シフト組み!AB68,役職一覧!$B:$D,2,FALSE),"")</f>
        <v/>
      </c>
      <c r="AC38" s="17" t="str">
        <f>IFERROR(VLOOKUP(シフト組み!AC68,役職一覧!$B:$D,2,FALSE),"")</f>
        <v/>
      </c>
      <c r="AD38" s="17" t="str">
        <f>IFERROR(VLOOKUP(シフト組み!AD68,役職一覧!$B:$D,2,FALSE),"")</f>
        <v/>
      </c>
      <c r="AE38" s="17" t="str">
        <f>IFERROR(VLOOKUP(シフト組み!AE68,役職一覧!$B:$D,2,FALSE),"")</f>
        <v/>
      </c>
      <c r="AF38" s="17" t="str">
        <f>IFERROR(VLOOKUP(シフト組み!AF68,役職一覧!$B:$D,2,FALSE),"")</f>
        <v/>
      </c>
      <c r="AG38" s="17" t="str">
        <f>IFERROR(VLOOKUP(シフト組み!AG68,役職一覧!$B:$D,2,FALSE),"")</f>
        <v/>
      </c>
      <c r="AH38" s="17" t="str">
        <f>IFERROR(VLOOKUP(シフト組み!AH68,役職一覧!$B:$D,2,FALSE),"")</f>
        <v/>
      </c>
      <c r="AI38" s="17" t="str">
        <f>IFERROR(VLOOKUP(シフト組み!AI68,役職一覧!$B:$D,2,FALSE),"")</f>
        <v/>
      </c>
      <c r="AJ38" s="17" t="str">
        <f>IFERROR(VLOOKUP(シフト組み!AJ68,役職一覧!$B:$D,2,FALSE),"")</f>
        <v/>
      </c>
      <c r="AK38" s="17" t="str">
        <f>IFERROR(VLOOKUP(シフト組み!AK68,役職一覧!$B:$D,2,FALSE),"")</f>
        <v/>
      </c>
      <c r="AL38" s="17" t="str">
        <f>IFERROR(VLOOKUP(シフト組み!AL68,役職一覧!$B:$D,2,FALSE),"")</f>
        <v/>
      </c>
      <c r="AM38" s="17" t="str">
        <f>IFERROR(VLOOKUP(シフト組み!AM68,役職一覧!$B:$D,2,FALSE),"")</f>
        <v/>
      </c>
      <c r="AN38" s="17" t="str">
        <f>IFERROR(VLOOKUP(シフト組み!AN68,役職一覧!$B:$D,2,FALSE),"")</f>
        <v/>
      </c>
      <c r="AO38" s="17" t="str">
        <f>IFERROR(VLOOKUP(シフト組み!AO68,役職一覧!$B:$D,2,FALSE),"")</f>
        <v/>
      </c>
      <c r="AP38" s="17" t="str">
        <f>IFERROR(VLOOKUP(シフト組み!AP68,役職一覧!$B:$D,2,FALSE),"")</f>
        <v/>
      </c>
      <c r="AQ38" s="17" t="str">
        <f>IFERROR(VLOOKUP(シフト組み!AQ68,役職一覧!$B:$D,2,FALSE),"")</f>
        <v/>
      </c>
      <c r="AR38" s="17" t="str">
        <f>IFERROR(VLOOKUP(シフト組み!AR68,役職一覧!$B:$D,2,FALSE),"")</f>
        <v/>
      </c>
      <c r="AS38" s="17" t="str">
        <f>IFERROR(VLOOKUP(シフト組み!AS68,役職一覧!$B:$D,2,FALSE),"")</f>
        <v/>
      </c>
      <c r="AT38" s="17" t="str">
        <f>IFERROR(VLOOKUP(シフト組み!AT68,役職一覧!$B:$D,2,FALSE),"")</f>
        <v/>
      </c>
      <c r="AU38" s="17" t="str">
        <f>IFERROR(VLOOKUP(シフト組み!AU68,役職一覧!$B:$D,2,FALSE),"")</f>
        <v/>
      </c>
      <c r="AV38" s="17" t="str">
        <f>IFERROR(VLOOKUP(シフト組み!AV68,役職一覧!$B:$D,2,FALSE),"")</f>
        <v/>
      </c>
      <c r="AW38" s="17" t="str">
        <f>IFERROR(VLOOKUP(シフト組み!AW68,役職一覧!$B:$D,2,FALSE),"")</f>
        <v/>
      </c>
      <c r="AX38" s="17" t="str">
        <f>IFERROR(VLOOKUP(シフト組み!AX68,役職一覧!$B:$D,2,FALSE),"")</f>
        <v/>
      </c>
      <c r="AY38" s="17" t="str">
        <f>IFERROR(VLOOKUP(シフト組み!AY68,役職一覧!$B:$D,2,FALSE),"")</f>
        <v/>
      </c>
      <c r="AZ38" s="17" t="str">
        <f>IFERROR(VLOOKUP(シフト組み!AZ68,役職一覧!$B:$D,2,FALSE),"")</f>
        <v/>
      </c>
      <c r="BA38" s="17" t="str">
        <f>IFERROR(VLOOKUP(シフト組み!BA68,役職一覧!$B:$D,2,FALSE),"")</f>
        <v/>
      </c>
    </row>
    <row r="39" spans="1:53">
      <c r="A39" s="2" t="str">
        <f>シフト組み!A69&amp;""</f>
        <v/>
      </c>
      <c r="B39" s="2" t="str">
        <f>シフト組み!B69&amp;""</f>
        <v/>
      </c>
      <c r="C39" s="2" t="str">
        <f>シフト組み!C69&amp;""</f>
        <v/>
      </c>
      <c r="D39" s="17" t="str">
        <f>IFERROR(VLOOKUP(シフト組み!D69,役職一覧!$B:$D,2,FALSE),"")</f>
        <v/>
      </c>
      <c r="E39" s="17" t="str">
        <f>IFERROR(VLOOKUP(シフト組み!E69,役職一覧!$B:$D,2,FALSE),"")</f>
        <v/>
      </c>
      <c r="F39" s="17" t="str">
        <f>IFERROR(VLOOKUP(シフト組み!F69,役職一覧!$B:$D,2,FALSE),"")</f>
        <v/>
      </c>
      <c r="G39" s="17" t="str">
        <f>IFERROR(VLOOKUP(シフト組み!G69,役職一覧!$B:$D,2,FALSE),"")</f>
        <v/>
      </c>
      <c r="H39" s="17" t="str">
        <f>IFERROR(VLOOKUP(シフト組み!H69,役職一覧!$B:$D,2,FALSE),"")</f>
        <v/>
      </c>
      <c r="I39" s="17" t="str">
        <f>IFERROR(VLOOKUP(シフト組み!I69,役職一覧!$B:$D,2,FALSE),"")</f>
        <v/>
      </c>
      <c r="J39" s="17" t="str">
        <f>IFERROR(VLOOKUP(シフト組み!J69,役職一覧!$B:$D,2,FALSE),"")</f>
        <v/>
      </c>
      <c r="K39" s="17" t="str">
        <f>IFERROR(VLOOKUP(シフト組み!K69,役職一覧!$B:$D,2,FALSE),"")</f>
        <v/>
      </c>
      <c r="L39" s="17" t="str">
        <f>IFERROR(VLOOKUP(シフト組み!L69,役職一覧!$B:$D,2,FALSE),"")</f>
        <v/>
      </c>
      <c r="M39" s="17" t="str">
        <f>IFERROR(VLOOKUP(シフト組み!M69,役職一覧!$B:$D,2,FALSE),"")</f>
        <v/>
      </c>
      <c r="N39" s="17" t="str">
        <f>IFERROR(VLOOKUP(シフト組み!N69,役職一覧!$B:$D,2,FALSE),"")</f>
        <v/>
      </c>
      <c r="O39" s="17" t="str">
        <f>IFERROR(VLOOKUP(シフト組み!O69,役職一覧!$B:$D,2,FALSE),"")</f>
        <v/>
      </c>
      <c r="P39" s="17" t="str">
        <f>IFERROR(VLOOKUP(シフト組み!P69,役職一覧!$B:$D,2,FALSE),"")</f>
        <v/>
      </c>
      <c r="Q39" s="17" t="str">
        <f>IFERROR(VLOOKUP(シフト組み!Q69,役職一覧!$B:$D,2,FALSE),"")</f>
        <v/>
      </c>
      <c r="R39" s="17" t="str">
        <f>IFERROR(VLOOKUP(シフト組み!R69,役職一覧!$B:$D,2,FALSE),"")</f>
        <v/>
      </c>
      <c r="S39" s="17" t="str">
        <f>IFERROR(VLOOKUP(シフト組み!S69,役職一覧!$B:$D,2,FALSE),"")</f>
        <v/>
      </c>
      <c r="T39" s="17" t="str">
        <f>IFERROR(VLOOKUP(シフト組み!T69,役職一覧!$B:$D,2,FALSE),"")</f>
        <v/>
      </c>
      <c r="U39" s="17" t="str">
        <f>IFERROR(VLOOKUP(シフト組み!U69,役職一覧!$B:$D,2,FALSE),"")</f>
        <v/>
      </c>
      <c r="V39" s="17" t="str">
        <f>IFERROR(VLOOKUP(シフト組み!V69,役職一覧!$B:$D,2,FALSE),"")</f>
        <v/>
      </c>
      <c r="W39" s="17" t="str">
        <f>IFERROR(VLOOKUP(シフト組み!W69,役職一覧!$B:$D,2,FALSE),"")</f>
        <v/>
      </c>
      <c r="X39" s="17" t="str">
        <f>IFERROR(VLOOKUP(シフト組み!X69,役職一覧!$B:$D,2,FALSE),"")</f>
        <v/>
      </c>
      <c r="Y39" s="17" t="str">
        <f>IFERROR(VLOOKUP(シフト組み!Y69,役職一覧!$B:$D,2,FALSE),"")</f>
        <v/>
      </c>
      <c r="Z39" s="17" t="str">
        <f>IFERROR(VLOOKUP(シフト組み!Z69,役職一覧!$B:$D,2,FALSE),"")</f>
        <v/>
      </c>
      <c r="AA39" s="17" t="str">
        <f>IFERROR(VLOOKUP(シフト組み!AA69,役職一覧!$B:$D,2,FALSE),"")</f>
        <v/>
      </c>
      <c r="AB39" s="17" t="str">
        <f>IFERROR(VLOOKUP(シフト組み!AB69,役職一覧!$B:$D,2,FALSE),"")</f>
        <v/>
      </c>
      <c r="AC39" s="17" t="str">
        <f>IFERROR(VLOOKUP(シフト組み!AC69,役職一覧!$B:$D,2,FALSE),"")</f>
        <v/>
      </c>
      <c r="AD39" s="17" t="str">
        <f>IFERROR(VLOOKUP(シフト組み!AD69,役職一覧!$B:$D,2,FALSE),"")</f>
        <v/>
      </c>
      <c r="AE39" s="17" t="str">
        <f>IFERROR(VLOOKUP(シフト組み!AE69,役職一覧!$B:$D,2,FALSE),"")</f>
        <v/>
      </c>
      <c r="AF39" s="17" t="str">
        <f>IFERROR(VLOOKUP(シフト組み!AF69,役職一覧!$B:$D,2,FALSE),"")</f>
        <v/>
      </c>
      <c r="AG39" s="17" t="str">
        <f>IFERROR(VLOOKUP(シフト組み!AG69,役職一覧!$B:$D,2,FALSE),"")</f>
        <v/>
      </c>
      <c r="AH39" s="17" t="str">
        <f>IFERROR(VLOOKUP(シフト組み!AH69,役職一覧!$B:$D,2,FALSE),"")</f>
        <v/>
      </c>
      <c r="AI39" s="17" t="str">
        <f>IFERROR(VLOOKUP(シフト組み!AI69,役職一覧!$B:$D,2,FALSE),"")</f>
        <v/>
      </c>
      <c r="AJ39" s="17" t="str">
        <f>IFERROR(VLOOKUP(シフト組み!AJ69,役職一覧!$B:$D,2,FALSE),"")</f>
        <v/>
      </c>
      <c r="AK39" s="17" t="str">
        <f>IFERROR(VLOOKUP(シフト組み!AK69,役職一覧!$B:$D,2,FALSE),"")</f>
        <v/>
      </c>
      <c r="AL39" s="17" t="str">
        <f>IFERROR(VLOOKUP(シフト組み!AL69,役職一覧!$B:$D,2,FALSE),"")</f>
        <v/>
      </c>
      <c r="AM39" s="17" t="str">
        <f>IFERROR(VLOOKUP(シフト組み!AM69,役職一覧!$B:$D,2,FALSE),"")</f>
        <v/>
      </c>
      <c r="AN39" s="17" t="str">
        <f>IFERROR(VLOOKUP(シフト組み!AN69,役職一覧!$B:$D,2,FALSE),"")</f>
        <v/>
      </c>
      <c r="AO39" s="17" t="str">
        <f>IFERROR(VLOOKUP(シフト組み!AO69,役職一覧!$B:$D,2,FALSE),"")</f>
        <v/>
      </c>
      <c r="AP39" s="17" t="str">
        <f>IFERROR(VLOOKUP(シフト組み!AP69,役職一覧!$B:$D,2,FALSE),"")</f>
        <v/>
      </c>
      <c r="AQ39" s="17" t="str">
        <f>IFERROR(VLOOKUP(シフト組み!AQ69,役職一覧!$B:$D,2,FALSE),"")</f>
        <v/>
      </c>
      <c r="AR39" s="17" t="str">
        <f>IFERROR(VLOOKUP(シフト組み!AR69,役職一覧!$B:$D,2,FALSE),"")</f>
        <v/>
      </c>
      <c r="AS39" s="17" t="str">
        <f>IFERROR(VLOOKUP(シフト組み!AS69,役職一覧!$B:$D,2,FALSE),"")</f>
        <v/>
      </c>
      <c r="AT39" s="17" t="str">
        <f>IFERROR(VLOOKUP(シフト組み!AT69,役職一覧!$B:$D,2,FALSE),"")</f>
        <v/>
      </c>
      <c r="AU39" s="17" t="str">
        <f>IFERROR(VLOOKUP(シフト組み!AU69,役職一覧!$B:$D,2,FALSE),"")</f>
        <v/>
      </c>
      <c r="AV39" s="17" t="str">
        <f>IFERROR(VLOOKUP(シフト組み!AV69,役職一覧!$B:$D,2,FALSE),"")</f>
        <v/>
      </c>
      <c r="AW39" s="17" t="str">
        <f>IFERROR(VLOOKUP(シフト組み!AW69,役職一覧!$B:$D,2,FALSE),"")</f>
        <v/>
      </c>
      <c r="AX39" s="17" t="str">
        <f>IFERROR(VLOOKUP(シフト組み!AX69,役職一覧!$B:$D,2,FALSE),"")</f>
        <v/>
      </c>
      <c r="AY39" s="17" t="str">
        <f>IFERROR(VLOOKUP(シフト組み!AY69,役職一覧!$B:$D,2,FALSE),"")</f>
        <v/>
      </c>
      <c r="AZ39" s="17" t="str">
        <f>IFERROR(VLOOKUP(シフト組み!AZ69,役職一覧!$B:$D,2,FALSE),"")</f>
        <v/>
      </c>
      <c r="BA39" s="17" t="str">
        <f>IFERROR(VLOOKUP(シフト組み!BA69,役職一覧!$B:$D,2,FALSE),"")</f>
        <v/>
      </c>
    </row>
    <row r="40" spans="1:53">
      <c r="A40" s="2" t="str">
        <f>シフト組み!A70&amp;""</f>
        <v/>
      </c>
      <c r="B40" s="2" t="str">
        <f>シフト組み!B70&amp;""</f>
        <v/>
      </c>
      <c r="C40" s="2" t="str">
        <f>シフト組み!C70&amp;""</f>
        <v/>
      </c>
      <c r="D40" s="17" t="str">
        <f>IFERROR(VLOOKUP(シフト組み!D70,役職一覧!$B:$D,2,FALSE),"")</f>
        <v/>
      </c>
      <c r="E40" s="17" t="str">
        <f>IFERROR(VLOOKUP(シフト組み!E70,役職一覧!$B:$D,2,FALSE),"")</f>
        <v/>
      </c>
      <c r="F40" s="17" t="str">
        <f>IFERROR(VLOOKUP(シフト組み!F70,役職一覧!$B:$D,2,FALSE),"")</f>
        <v/>
      </c>
      <c r="G40" s="17" t="str">
        <f>IFERROR(VLOOKUP(シフト組み!G70,役職一覧!$B:$D,2,FALSE),"")</f>
        <v/>
      </c>
      <c r="H40" s="17" t="str">
        <f>IFERROR(VLOOKUP(シフト組み!H70,役職一覧!$B:$D,2,FALSE),"")</f>
        <v/>
      </c>
      <c r="I40" s="17" t="str">
        <f>IFERROR(VLOOKUP(シフト組み!I70,役職一覧!$B:$D,2,FALSE),"")</f>
        <v/>
      </c>
      <c r="J40" s="17" t="str">
        <f>IFERROR(VLOOKUP(シフト組み!J70,役職一覧!$B:$D,2,FALSE),"")</f>
        <v/>
      </c>
      <c r="K40" s="17" t="str">
        <f>IFERROR(VLOOKUP(シフト組み!K70,役職一覧!$B:$D,2,FALSE),"")</f>
        <v/>
      </c>
      <c r="L40" s="17" t="str">
        <f>IFERROR(VLOOKUP(シフト組み!L70,役職一覧!$B:$D,2,FALSE),"")</f>
        <v/>
      </c>
      <c r="M40" s="17" t="str">
        <f>IFERROR(VLOOKUP(シフト組み!M70,役職一覧!$B:$D,2,FALSE),"")</f>
        <v/>
      </c>
      <c r="N40" s="17" t="str">
        <f>IFERROR(VLOOKUP(シフト組み!N70,役職一覧!$B:$D,2,FALSE),"")</f>
        <v/>
      </c>
      <c r="O40" s="17" t="str">
        <f>IFERROR(VLOOKUP(シフト組み!O70,役職一覧!$B:$D,2,FALSE),"")</f>
        <v/>
      </c>
      <c r="P40" s="17" t="str">
        <f>IFERROR(VLOOKUP(シフト組み!P70,役職一覧!$B:$D,2,FALSE),"")</f>
        <v/>
      </c>
      <c r="Q40" s="17" t="str">
        <f>IFERROR(VLOOKUP(シフト組み!Q70,役職一覧!$B:$D,2,FALSE),"")</f>
        <v/>
      </c>
      <c r="R40" s="17" t="str">
        <f>IFERROR(VLOOKUP(シフト組み!R70,役職一覧!$B:$D,2,FALSE),"")</f>
        <v/>
      </c>
      <c r="S40" s="17" t="str">
        <f>IFERROR(VLOOKUP(シフト組み!S70,役職一覧!$B:$D,2,FALSE),"")</f>
        <v/>
      </c>
      <c r="T40" s="17" t="str">
        <f>IFERROR(VLOOKUP(シフト組み!T70,役職一覧!$B:$D,2,FALSE),"")</f>
        <v/>
      </c>
      <c r="U40" s="17" t="str">
        <f>IFERROR(VLOOKUP(シフト組み!U70,役職一覧!$B:$D,2,FALSE),"")</f>
        <v/>
      </c>
      <c r="V40" s="17" t="str">
        <f>IFERROR(VLOOKUP(シフト組み!V70,役職一覧!$B:$D,2,FALSE),"")</f>
        <v/>
      </c>
      <c r="W40" s="17" t="str">
        <f>IFERROR(VLOOKUP(シフト組み!W70,役職一覧!$B:$D,2,FALSE),"")</f>
        <v/>
      </c>
      <c r="X40" s="17" t="str">
        <f>IFERROR(VLOOKUP(シフト組み!X70,役職一覧!$B:$D,2,FALSE),"")</f>
        <v/>
      </c>
      <c r="Y40" s="17" t="str">
        <f>IFERROR(VLOOKUP(シフト組み!Y70,役職一覧!$B:$D,2,FALSE),"")</f>
        <v/>
      </c>
      <c r="Z40" s="17" t="str">
        <f>IFERROR(VLOOKUP(シフト組み!Z70,役職一覧!$B:$D,2,FALSE),"")</f>
        <v/>
      </c>
      <c r="AA40" s="17" t="str">
        <f>IFERROR(VLOOKUP(シフト組み!AA70,役職一覧!$B:$D,2,FALSE),"")</f>
        <v/>
      </c>
      <c r="AB40" s="17" t="str">
        <f>IFERROR(VLOOKUP(シフト組み!AB70,役職一覧!$B:$D,2,FALSE),"")</f>
        <v/>
      </c>
      <c r="AC40" s="17" t="str">
        <f>IFERROR(VLOOKUP(シフト組み!AC70,役職一覧!$B:$D,2,FALSE),"")</f>
        <v/>
      </c>
      <c r="AD40" s="17" t="str">
        <f>IFERROR(VLOOKUP(シフト組み!AD70,役職一覧!$B:$D,2,FALSE),"")</f>
        <v/>
      </c>
      <c r="AE40" s="17" t="str">
        <f>IFERROR(VLOOKUP(シフト組み!AE70,役職一覧!$B:$D,2,FALSE),"")</f>
        <v/>
      </c>
      <c r="AF40" s="17" t="str">
        <f>IFERROR(VLOOKUP(シフト組み!AF70,役職一覧!$B:$D,2,FALSE),"")</f>
        <v/>
      </c>
      <c r="AG40" s="17" t="str">
        <f>IFERROR(VLOOKUP(シフト組み!AG70,役職一覧!$B:$D,2,FALSE),"")</f>
        <v/>
      </c>
      <c r="AH40" s="17" t="str">
        <f>IFERROR(VLOOKUP(シフト組み!AH70,役職一覧!$B:$D,2,FALSE),"")</f>
        <v/>
      </c>
      <c r="AI40" s="17" t="str">
        <f>IFERROR(VLOOKUP(シフト組み!AI70,役職一覧!$B:$D,2,FALSE),"")</f>
        <v/>
      </c>
      <c r="AJ40" s="17" t="str">
        <f>IFERROR(VLOOKUP(シフト組み!AJ70,役職一覧!$B:$D,2,FALSE),"")</f>
        <v/>
      </c>
      <c r="AK40" s="17" t="str">
        <f>IFERROR(VLOOKUP(シフト組み!AK70,役職一覧!$B:$D,2,FALSE),"")</f>
        <v/>
      </c>
      <c r="AL40" s="17" t="str">
        <f>IFERROR(VLOOKUP(シフト組み!AL70,役職一覧!$B:$D,2,FALSE),"")</f>
        <v/>
      </c>
      <c r="AM40" s="17" t="str">
        <f>IFERROR(VLOOKUP(シフト組み!AM70,役職一覧!$B:$D,2,FALSE),"")</f>
        <v/>
      </c>
      <c r="AN40" s="17" t="str">
        <f>IFERROR(VLOOKUP(シフト組み!AN70,役職一覧!$B:$D,2,FALSE),"")</f>
        <v/>
      </c>
      <c r="AO40" s="17" t="str">
        <f>IFERROR(VLOOKUP(シフト組み!AO70,役職一覧!$B:$D,2,FALSE),"")</f>
        <v/>
      </c>
      <c r="AP40" s="17" t="str">
        <f>IFERROR(VLOOKUP(シフト組み!AP70,役職一覧!$B:$D,2,FALSE),"")</f>
        <v/>
      </c>
      <c r="AQ40" s="17" t="str">
        <f>IFERROR(VLOOKUP(シフト組み!AQ70,役職一覧!$B:$D,2,FALSE),"")</f>
        <v/>
      </c>
      <c r="AR40" s="17" t="str">
        <f>IFERROR(VLOOKUP(シフト組み!AR70,役職一覧!$B:$D,2,FALSE),"")</f>
        <v/>
      </c>
      <c r="AS40" s="17" t="str">
        <f>IFERROR(VLOOKUP(シフト組み!AS70,役職一覧!$B:$D,2,FALSE),"")</f>
        <v/>
      </c>
      <c r="AT40" s="17" t="str">
        <f>IFERROR(VLOOKUP(シフト組み!AT70,役職一覧!$B:$D,2,FALSE),"")</f>
        <v/>
      </c>
      <c r="AU40" s="17" t="str">
        <f>IFERROR(VLOOKUP(シフト組み!AU70,役職一覧!$B:$D,2,FALSE),"")</f>
        <v/>
      </c>
      <c r="AV40" s="17" t="str">
        <f>IFERROR(VLOOKUP(シフト組み!AV70,役職一覧!$B:$D,2,FALSE),"")</f>
        <v/>
      </c>
      <c r="AW40" s="17" t="str">
        <f>IFERROR(VLOOKUP(シフト組み!AW70,役職一覧!$B:$D,2,FALSE),"")</f>
        <v/>
      </c>
      <c r="AX40" s="17" t="str">
        <f>IFERROR(VLOOKUP(シフト組み!AX70,役職一覧!$B:$D,2,FALSE),"")</f>
        <v/>
      </c>
      <c r="AY40" s="17" t="str">
        <f>IFERROR(VLOOKUP(シフト組み!AY70,役職一覧!$B:$D,2,FALSE),"")</f>
        <v/>
      </c>
      <c r="AZ40" s="17" t="str">
        <f>IFERROR(VLOOKUP(シフト組み!AZ70,役職一覧!$B:$D,2,FALSE),"")</f>
        <v/>
      </c>
      <c r="BA40" s="17" t="str">
        <f>IFERROR(VLOOKUP(シフト組み!BA70,役職一覧!$B:$D,2,FALSE),"")</f>
        <v/>
      </c>
    </row>
    <row r="41" spans="1:53">
      <c r="A41" s="2" t="str">
        <f>シフト組み!A71&amp;""</f>
        <v/>
      </c>
      <c r="B41" s="2" t="str">
        <f>シフト組み!B71&amp;""</f>
        <v/>
      </c>
      <c r="C41" s="2" t="str">
        <f>シフト組み!C71&amp;""</f>
        <v/>
      </c>
      <c r="D41" s="17" t="str">
        <f>IFERROR(VLOOKUP(シフト組み!D71,役職一覧!$B:$D,2,FALSE),"")</f>
        <v/>
      </c>
      <c r="E41" s="17" t="str">
        <f>IFERROR(VLOOKUP(シフト組み!E71,役職一覧!$B:$D,2,FALSE),"")</f>
        <v/>
      </c>
      <c r="F41" s="17" t="str">
        <f>IFERROR(VLOOKUP(シフト組み!F71,役職一覧!$B:$D,2,FALSE),"")</f>
        <v/>
      </c>
      <c r="G41" s="17" t="str">
        <f>IFERROR(VLOOKUP(シフト組み!G71,役職一覧!$B:$D,2,FALSE),"")</f>
        <v/>
      </c>
      <c r="H41" s="17" t="str">
        <f>IFERROR(VLOOKUP(シフト組み!H71,役職一覧!$B:$D,2,FALSE),"")</f>
        <v/>
      </c>
      <c r="I41" s="17" t="str">
        <f>IFERROR(VLOOKUP(シフト組み!I71,役職一覧!$B:$D,2,FALSE),"")</f>
        <v/>
      </c>
      <c r="J41" s="17" t="str">
        <f>IFERROR(VLOOKUP(シフト組み!J71,役職一覧!$B:$D,2,FALSE),"")</f>
        <v/>
      </c>
      <c r="K41" s="17" t="str">
        <f>IFERROR(VLOOKUP(シフト組み!K71,役職一覧!$B:$D,2,FALSE),"")</f>
        <v/>
      </c>
      <c r="L41" s="17" t="str">
        <f>IFERROR(VLOOKUP(シフト組み!L71,役職一覧!$B:$D,2,FALSE),"")</f>
        <v/>
      </c>
      <c r="M41" s="17" t="str">
        <f>IFERROR(VLOOKUP(シフト組み!M71,役職一覧!$B:$D,2,FALSE),"")</f>
        <v/>
      </c>
      <c r="N41" s="17" t="str">
        <f>IFERROR(VLOOKUP(シフト組み!N71,役職一覧!$B:$D,2,FALSE),"")</f>
        <v/>
      </c>
      <c r="O41" s="17" t="str">
        <f>IFERROR(VLOOKUP(シフト組み!O71,役職一覧!$B:$D,2,FALSE),"")</f>
        <v/>
      </c>
      <c r="P41" s="17" t="str">
        <f>IFERROR(VLOOKUP(シフト組み!P71,役職一覧!$B:$D,2,FALSE),"")</f>
        <v/>
      </c>
      <c r="Q41" s="17" t="str">
        <f>IFERROR(VLOOKUP(シフト組み!Q71,役職一覧!$B:$D,2,FALSE),"")</f>
        <v/>
      </c>
      <c r="R41" s="17" t="str">
        <f>IFERROR(VLOOKUP(シフト組み!R71,役職一覧!$B:$D,2,FALSE),"")</f>
        <v/>
      </c>
      <c r="S41" s="17" t="str">
        <f>IFERROR(VLOOKUP(シフト組み!S71,役職一覧!$B:$D,2,FALSE),"")</f>
        <v/>
      </c>
      <c r="T41" s="17" t="str">
        <f>IFERROR(VLOOKUP(シフト組み!T71,役職一覧!$B:$D,2,FALSE),"")</f>
        <v/>
      </c>
      <c r="U41" s="17" t="str">
        <f>IFERROR(VLOOKUP(シフト組み!U71,役職一覧!$B:$D,2,FALSE),"")</f>
        <v/>
      </c>
      <c r="V41" s="17" t="str">
        <f>IFERROR(VLOOKUP(シフト組み!V71,役職一覧!$B:$D,2,FALSE),"")</f>
        <v/>
      </c>
      <c r="W41" s="17" t="str">
        <f>IFERROR(VLOOKUP(シフト組み!W71,役職一覧!$B:$D,2,FALSE),"")</f>
        <v/>
      </c>
      <c r="X41" s="17" t="str">
        <f>IFERROR(VLOOKUP(シフト組み!X71,役職一覧!$B:$D,2,FALSE),"")</f>
        <v/>
      </c>
      <c r="Y41" s="17" t="str">
        <f>IFERROR(VLOOKUP(シフト組み!Y71,役職一覧!$B:$D,2,FALSE),"")</f>
        <v/>
      </c>
      <c r="Z41" s="17" t="str">
        <f>IFERROR(VLOOKUP(シフト組み!Z71,役職一覧!$B:$D,2,FALSE),"")</f>
        <v/>
      </c>
      <c r="AA41" s="17" t="str">
        <f>IFERROR(VLOOKUP(シフト組み!AA71,役職一覧!$B:$D,2,FALSE),"")</f>
        <v/>
      </c>
      <c r="AB41" s="17" t="str">
        <f>IFERROR(VLOOKUP(シフト組み!AB71,役職一覧!$B:$D,2,FALSE),"")</f>
        <v/>
      </c>
      <c r="AC41" s="17" t="str">
        <f>IFERROR(VLOOKUP(シフト組み!AC71,役職一覧!$B:$D,2,FALSE),"")</f>
        <v/>
      </c>
      <c r="AD41" s="17" t="str">
        <f>IFERROR(VLOOKUP(シフト組み!AD71,役職一覧!$B:$D,2,FALSE),"")</f>
        <v/>
      </c>
      <c r="AE41" s="17" t="str">
        <f>IFERROR(VLOOKUP(シフト組み!AE71,役職一覧!$B:$D,2,FALSE),"")</f>
        <v/>
      </c>
      <c r="AF41" s="17" t="str">
        <f>IFERROR(VLOOKUP(シフト組み!AF71,役職一覧!$B:$D,2,FALSE),"")</f>
        <v/>
      </c>
      <c r="AG41" s="17" t="str">
        <f>IFERROR(VLOOKUP(シフト組み!AG71,役職一覧!$B:$D,2,FALSE),"")</f>
        <v/>
      </c>
      <c r="AH41" s="17" t="str">
        <f>IFERROR(VLOOKUP(シフト組み!AH71,役職一覧!$B:$D,2,FALSE),"")</f>
        <v/>
      </c>
      <c r="AI41" s="17" t="str">
        <f>IFERROR(VLOOKUP(シフト組み!AI71,役職一覧!$B:$D,2,FALSE),"")</f>
        <v/>
      </c>
      <c r="AJ41" s="17" t="str">
        <f>IFERROR(VLOOKUP(シフト組み!AJ71,役職一覧!$B:$D,2,FALSE),"")</f>
        <v/>
      </c>
      <c r="AK41" s="17" t="str">
        <f>IFERROR(VLOOKUP(シフト組み!AK71,役職一覧!$B:$D,2,FALSE),"")</f>
        <v/>
      </c>
      <c r="AL41" s="17" t="str">
        <f>IFERROR(VLOOKUP(シフト組み!AL71,役職一覧!$B:$D,2,FALSE),"")</f>
        <v/>
      </c>
      <c r="AM41" s="17" t="str">
        <f>IFERROR(VLOOKUP(シフト組み!AM71,役職一覧!$B:$D,2,FALSE),"")</f>
        <v/>
      </c>
      <c r="AN41" s="17" t="str">
        <f>IFERROR(VLOOKUP(シフト組み!AN71,役職一覧!$B:$D,2,FALSE),"")</f>
        <v/>
      </c>
      <c r="AO41" s="17" t="str">
        <f>IFERROR(VLOOKUP(シフト組み!AO71,役職一覧!$B:$D,2,FALSE),"")</f>
        <v/>
      </c>
      <c r="AP41" s="17" t="str">
        <f>IFERROR(VLOOKUP(シフト組み!AP71,役職一覧!$B:$D,2,FALSE),"")</f>
        <v/>
      </c>
      <c r="AQ41" s="17" t="str">
        <f>IFERROR(VLOOKUP(シフト組み!AQ71,役職一覧!$B:$D,2,FALSE),"")</f>
        <v/>
      </c>
      <c r="AR41" s="17" t="str">
        <f>IFERROR(VLOOKUP(シフト組み!AR71,役職一覧!$B:$D,2,FALSE),"")</f>
        <v/>
      </c>
      <c r="AS41" s="17" t="str">
        <f>IFERROR(VLOOKUP(シフト組み!AS71,役職一覧!$B:$D,2,FALSE),"")</f>
        <v/>
      </c>
      <c r="AT41" s="17" t="str">
        <f>IFERROR(VLOOKUP(シフト組み!AT71,役職一覧!$B:$D,2,FALSE),"")</f>
        <v/>
      </c>
      <c r="AU41" s="17" t="str">
        <f>IFERROR(VLOOKUP(シフト組み!AU71,役職一覧!$B:$D,2,FALSE),"")</f>
        <v/>
      </c>
      <c r="AV41" s="17" t="str">
        <f>IFERROR(VLOOKUP(シフト組み!AV71,役職一覧!$B:$D,2,FALSE),"")</f>
        <v/>
      </c>
      <c r="AW41" s="17" t="str">
        <f>IFERROR(VLOOKUP(シフト組み!AW71,役職一覧!$B:$D,2,FALSE),"")</f>
        <v/>
      </c>
      <c r="AX41" s="17" t="str">
        <f>IFERROR(VLOOKUP(シフト組み!AX71,役職一覧!$B:$D,2,FALSE),"")</f>
        <v/>
      </c>
      <c r="AY41" s="17" t="str">
        <f>IFERROR(VLOOKUP(シフト組み!AY71,役職一覧!$B:$D,2,FALSE),"")</f>
        <v/>
      </c>
      <c r="AZ41" s="17" t="str">
        <f>IFERROR(VLOOKUP(シフト組み!AZ71,役職一覧!$B:$D,2,FALSE),"")</f>
        <v/>
      </c>
      <c r="BA41" s="17" t="str">
        <f>IFERROR(VLOOKUP(シフト組み!BA71,役職一覧!$B:$D,2,FALSE),"")</f>
        <v/>
      </c>
    </row>
    <row r="42" spans="1:53">
      <c r="A42" s="2" t="str">
        <f>シフト組み!A72&amp;""</f>
        <v/>
      </c>
      <c r="B42" s="2" t="str">
        <f>シフト組み!B72&amp;""</f>
        <v/>
      </c>
      <c r="C42" s="2" t="str">
        <f>シフト組み!C72&amp;""</f>
        <v/>
      </c>
      <c r="D42" s="17" t="str">
        <f>IFERROR(VLOOKUP(シフト組み!D72,役職一覧!$B:$D,2,FALSE),"")</f>
        <v/>
      </c>
      <c r="E42" s="17" t="str">
        <f>IFERROR(VLOOKUP(シフト組み!E72,役職一覧!$B:$D,2,FALSE),"")</f>
        <v/>
      </c>
      <c r="F42" s="17" t="str">
        <f>IFERROR(VLOOKUP(シフト組み!F72,役職一覧!$B:$D,2,FALSE),"")</f>
        <v/>
      </c>
      <c r="G42" s="17" t="str">
        <f>IFERROR(VLOOKUP(シフト組み!G72,役職一覧!$B:$D,2,FALSE),"")</f>
        <v/>
      </c>
      <c r="H42" s="17" t="str">
        <f>IFERROR(VLOOKUP(シフト組み!H72,役職一覧!$B:$D,2,FALSE),"")</f>
        <v/>
      </c>
      <c r="I42" s="17" t="str">
        <f>IFERROR(VLOOKUP(シフト組み!I72,役職一覧!$B:$D,2,FALSE),"")</f>
        <v/>
      </c>
      <c r="J42" s="17" t="str">
        <f>IFERROR(VLOOKUP(シフト組み!J72,役職一覧!$B:$D,2,FALSE),"")</f>
        <v/>
      </c>
      <c r="K42" s="17" t="str">
        <f>IFERROR(VLOOKUP(シフト組み!K72,役職一覧!$B:$D,2,FALSE),"")</f>
        <v/>
      </c>
      <c r="L42" s="17" t="str">
        <f>IFERROR(VLOOKUP(シフト組み!L72,役職一覧!$B:$D,2,FALSE),"")</f>
        <v/>
      </c>
      <c r="M42" s="17" t="str">
        <f>IFERROR(VLOOKUP(シフト組み!M72,役職一覧!$B:$D,2,FALSE),"")</f>
        <v/>
      </c>
      <c r="N42" s="17" t="str">
        <f>IFERROR(VLOOKUP(シフト組み!N72,役職一覧!$B:$D,2,FALSE),"")</f>
        <v/>
      </c>
      <c r="O42" s="17" t="str">
        <f>IFERROR(VLOOKUP(シフト組み!O72,役職一覧!$B:$D,2,FALSE),"")</f>
        <v/>
      </c>
      <c r="P42" s="17" t="str">
        <f>IFERROR(VLOOKUP(シフト組み!P72,役職一覧!$B:$D,2,FALSE),"")</f>
        <v/>
      </c>
      <c r="Q42" s="17" t="str">
        <f>IFERROR(VLOOKUP(シフト組み!Q72,役職一覧!$B:$D,2,FALSE),"")</f>
        <v/>
      </c>
      <c r="R42" s="17" t="str">
        <f>IFERROR(VLOOKUP(シフト組み!R72,役職一覧!$B:$D,2,FALSE),"")</f>
        <v/>
      </c>
      <c r="S42" s="17" t="str">
        <f>IFERROR(VLOOKUP(シフト組み!S72,役職一覧!$B:$D,2,FALSE),"")</f>
        <v/>
      </c>
      <c r="T42" s="17" t="str">
        <f>IFERROR(VLOOKUP(シフト組み!T72,役職一覧!$B:$D,2,FALSE),"")</f>
        <v/>
      </c>
      <c r="U42" s="17" t="str">
        <f>IFERROR(VLOOKUP(シフト組み!U72,役職一覧!$B:$D,2,FALSE),"")</f>
        <v/>
      </c>
      <c r="V42" s="17" t="str">
        <f>IFERROR(VLOOKUP(シフト組み!V72,役職一覧!$B:$D,2,FALSE),"")</f>
        <v/>
      </c>
      <c r="W42" s="17" t="str">
        <f>IFERROR(VLOOKUP(シフト組み!W72,役職一覧!$B:$D,2,FALSE),"")</f>
        <v/>
      </c>
      <c r="X42" s="17" t="str">
        <f>IFERROR(VLOOKUP(シフト組み!X72,役職一覧!$B:$D,2,FALSE),"")</f>
        <v/>
      </c>
      <c r="Y42" s="17" t="str">
        <f>IFERROR(VLOOKUP(シフト組み!Y72,役職一覧!$B:$D,2,FALSE),"")</f>
        <v/>
      </c>
      <c r="Z42" s="17" t="str">
        <f>IFERROR(VLOOKUP(シフト組み!Z72,役職一覧!$B:$D,2,FALSE),"")</f>
        <v/>
      </c>
      <c r="AA42" s="17" t="str">
        <f>IFERROR(VLOOKUP(シフト組み!AA72,役職一覧!$B:$D,2,FALSE),"")</f>
        <v/>
      </c>
      <c r="AB42" s="17" t="str">
        <f>IFERROR(VLOOKUP(シフト組み!AB72,役職一覧!$B:$D,2,FALSE),"")</f>
        <v/>
      </c>
      <c r="AC42" s="17" t="str">
        <f>IFERROR(VLOOKUP(シフト組み!AC72,役職一覧!$B:$D,2,FALSE),"")</f>
        <v/>
      </c>
      <c r="AD42" s="17" t="str">
        <f>IFERROR(VLOOKUP(シフト組み!AD72,役職一覧!$B:$D,2,FALSE),"")</f>
        <v/>
      </c>
      <c r="AE42" s="17" t="str">
        <f>IFERROR(VLOOKUP(シフト組み!AE72,役職一覧!$B:$D,2,FALSE),"")</f>
        <v/>
      </c>
      <c r="AF42" s="17" t="str">
        <f>IFERROR(VLOOKUP(シフト組み!AF72,役職一覧!$B:$D,2,FALSE),"")</f>
        <v/>
      </c>
      <c r="AG42" s="17" t="str">
        <f>IFERROR(VLOOKUP(シフト組み!AG72,役職一覧!$B:$D,2,FALSE),"")</f>
        <v/>
      </c>
      <c r="AH42" s="17" t="str">
        <f>IFERROR(VLOOKUP(シフト組み!AH72,役職一覧!$B:$D,2,FALSE),"")</f>
        <v/>
      </c>
      <c r="AI42" s="17" t="str">
        <f>IFERROR(VLOOKUP(シフト組み!AI72,役職一覧!$B:$D,2,FALSE),"")</f>
        <v/>
      </c>
      <c r="AJ42" s="17" t="str">
        <f>IFERROR(VLOOKUP(シフト組み!AJ72,役職一覧!$B:$D,2,FALSE),"")</f>
        <v/>
      </c>
      <c r="AK42" s="17" t="str">
        <f>IFERROR(VLOOKUP(シフト組み!AK72,役職一覧!$B:$D,2,FALSE),"")</f>
        <v/>
      </c>
      <c r="AL42" s="17" t="str">
        <f>IFERROR(VLOOKUP(シフト組み!AL72,役職一覧!$B:$D,2,FALSE),"")</f>
        <v/>
      </c>
      <c r="AM42" s="17" t="str">
        <f>IFERROR(VLOOKUP(シフト組み!AM72,役職一覧!$B:$D,2,FALSE),"")</f>
        <v/>
      </c>
      <c r="AN42" s="17" t="str">
        <f>IFERROR(VLOOKUP(シフト組み!AN72,役職一覧!$B:$D,2,FALSE),"")</f>
        <v/>
      </c>
      <c r="AO42" s="17" t="str">
        <f>IFERROR(VLOOKUP(シフト組み!AO72,役職一覧!$B:$D,2,FALSE),"")</f>
        <v/>
      </c>
      <c r="AP42" s="17" t="str">
        <f>IFERROR(VLOOKUP(シフト組み!AP72,役職一覧!$B:$D,2,FALSE),"")</f>
        <v/>
      </c>
      <c r="AQ42" s="17" t="str">
        <f>IFERROR(VLOOKUP(シフト組み!AQ72,役職一覧!$B:$D,2,FALSE),"")</f>
        <v/>
      </c>
      <c r="AR42" s="17" t="str">
        <f>IFERROR(VLOOKUP(シフト組み!AR72,役職一覧!$B:$D,2,FALSE),"")</f>
        <v/>
      </c>
      <c r="AS42" s="17" t="str">
        <f>IFERROR(VLOOKUP(シフト組み!AS72,役職一覧!$B:$D,2,FALSE),"")</f>
        <v/>
      </c>
      <c r="AT42" s="17" t="str">
        <f>IFERROR(VLOOKUP(シフト組み!AT72,役職一覧!$B:$D,2,FALSE),"")</f>
        <v/>
      </c>
      <c r="AU42" s="17" t="str">
        <f>IFERROR(VLOOKUP(シフト組み!AU72,役職一覧!$B:$D,2,FALSE),"")</f>
        <v/>
      </c>
      <c r="AV42" s="17" t="str">
        <f>IFERROR(VLOOKUP(シフト組み!AV72,役職一覧!$B:$D,2,FALSE),"")</f>
        <v/>
      </c>
      <c r="AW42" s="17" t="str">
        <f>IFERROR(VLOOKUP(シフト組み!AW72,役職一覧!$B:$D,2,FALSE),"")</f>
        <v/>
      </c>
      <c r="AX42" s="17" t="str">
        <f>IFERROR(VLOOKUP(シフト組み!AX72,役職一覧!$B:$D,2,FALSE),"")</f>
        <v/>
      </c>
      <c r="AY42" s="17" t="str">
        <f>IFERROR(VLOOKUP(シフト組み!AY72,役職一覧!$B:$D,2,FALSE),"")</f>
        <v/>
      </c>
      <c r="AZ42" s="17" t="str">
        <f>IFERROR(VLOOKUP(シフト組み!AZ72,役職一覧!$B:$D,2,FALSE),"")</f>
        <v/>
      </c>
      <c r="BA42" s="17" t="str">
        <f>IFERROR(VLOOKUP(シフト組み!BA72,役職一覧!$B:$D,2,FALSE),"")</f>
        <v/>
      </c>
    </row>
    <row r="43" spans="1:53">
      <c r="A43" s="2" t="str">
        <f>シフト組み!A73&amp;""</f>
        <v/>
      </c>
      <c r="B43" s="2" t="str">
        <f>シフト組み!B73&amp;""</f>
        <v/>
      </c>
      <c r="C43" s="2" t="str">
        <f>シフト組み!C73&amp;""</f>
        <v/>
      </c>
      <c r="D43" s="17" t="str">
        <f>IFERROR(VLOOKUP(シフト組み!D73,役職一覧!$B:$D,2,FALSE),"")</f>
        <v/>
      </c>
      <c r="E43" s="17" t="str">
        <f>IFERROR(VLOOKUP(シフト組み!E73,役職一覧!$B:$D,2,FALSE),"")</f>
        <v/>
      </c>
      <c r="F43" s="17" t="str">
        <f>IFERROR(VLOOKUP(シフト組み!F73,役職一覧!$B:$D,2,FALSE),"")</f>
        <v/>
      </c>
      <c r="G43" s="17" t="str">
        <f>IFERROR(VLOOKUP(シフト組み!G73,役職一覧!$B:$D,2,FALSE),"")</f>
        <v/>
      </c>
      <c r="H43" s="17" t="str">
        <f>IFERROR(VLOOKUP(シフト組み!H73,役職一覧!$B:$D,2,FALSE),"")</f>
        <v/>
      </c>
      <c r="I43" s="17" t="str">
        <f>IFERROR(VLOOKUP(シフト組み!I73,役職一覧!$B:$D,2,FALSE),"")</f>
        <v/>
      </c>
      <c r="J43" s="17" t="str">
        <f>IFERROR(VLOOKUP(シフト組み!J73,役職一覧!$B:$D,2,FALSE),"")</f>
        <v/>
      </c>
      <c r="K43" s="17" t="str">
        <f>IFERROR(VLOOKUP(シフト組み!K73,役職一覧!$B:$D,2,FALSE),"")</f>
        <v/>
      </c>
      <c r="L43" s="17" t="str">
        <f>IFERROR(VLOOKUP(シフト組み!L73,役職一覧!$B:$D,2,FALSE),"")</f>
        <v/>
      </c>
      <c r="M43" s="17" t="str">
        <f>IFERROR(VLOOKUP(シフト組み!M73,役職一覧!$B:$D,2,FALSE),"")</f>
        <v/>
      </c>
      <c r="N43" s="17" t="str">
        <f>IFERROR(VLOOKUP(シフト組み!N73,役職一覧!$B:$D,2,FALSE),"")</f>
        <v/>
      </c>
      <c r="O43" s="17" t="str">
        <f>IFERROR(VLOOKUP(シフト組み!O73,役職一覧!$B:$D,2,FALSE),"")</f>
        <v/>
      </c>
      <c r="P43" s="17" t="str">
        <f>IFERROR(VLOOKUP(シフト組み!P73,役職一覧!$B:$D,2,FALSE),"")</f>
        <v/>
      </c>
      <c r="Q43" s="17" t="str">
        <f>IFERROR(VLOOKUP(シフト組み!Q73,役職一覧!$B:$D,2,FALSE),"")</f>
        <v/>
      </c>
      <c r="R43" s="17" t="str">
        <f>IFERROR(VLOOKUP(シフト組み!R73,役職一覧!$B:$D,2,FALSE),"")</f>
        <v/>
      </c>
      <c r="S43" s="17" t="str">
        <f>IFERROR(VLOOKUP(シフト組み!S73,役職一覧!$B:$D,2,FALSE),"")</f>
        <v/>
      </c>
      <c r="T43" s="17" t="str">
        <f>IFERROR(VLOOKUP(シフト組み!T73,役職一覧!$B:$D,2,FALSE),"")</f>
        <v/>
      </c>
      <c r="U43" s="17" t="str">
        <f>IFERROR(VLOOKUP(シフト組み!U73,役職一覧!$B:$D,2,FALSE),"")</f>
        <v/>
      </c>
      <c r="V43" s="17" t="str">
        <f>IFERROR(VLOOKUP(シフト組み!V73,役職一覧!$B:$D,2,FALSE),"")</f>
        <v/>
      </c>
      <c r="W43" s="17" t="str">
        <f>IFERROR(VLOOKUP(シフト組み!W73,役職一覧!$B:$D,2,FALSE),"")</f>
        <v/>
      </c>
      <c r="X43" s="17" t="str">
        <f>IFERROR(VLOOKUP(シフト組み!X73,役職一覧!$B:$D,2,FALSE),"")</f>
        <v/>
      </c>
      <c r="Y43" s="17" t="str">
        <f>IFERROR(VLOOKUP(シフト組み!Y73,役職一覧!$B:$D,2,FALSE),"")</f>
        <v/>
      </c>
      <c r="Z43" s="17" t="str">
        <f>IFERROR(VLOOKUP(シフト組み!Z73,役職一覧!$B:$D,2,FALSE),"")</f>
        <v/>
      </c>
      <c r="AA43" s="17" t="str">
        <f>IFERROR(VLOOKUP(シフト組み!AA73,役職一覧!$B:$D,2,FALSE),"")</f>
        <v/>
      </c>
      <c r="AB43" s="17" t="str">
        <f>IFERROR(VLOOKUP(シフト組み!AB73,役職一覧!$B:$D,2,FALSE),"")</f>
        <v/>
      </c>
      <c r="AC43" s="17" t="str">
        <f>IFERROR(VLOOKUP(シフト組み!AC73,役職一覧!$B:$D,2,FALSE),"")</f>
        <v/>
      </c>
      <c r="AD43" s="17" t="str">
        <f>IFERROR(VLOOKUP(シフト組み!AD73,役職一覧!$B:$D,2,FALSE),"")</f>
        <v/>
      </c>
      <c r="AE43" s="17" t="str">
        <f>IFERROR(VLOOKUP(シフト組み!AE73,役職一覧!$B:$D,2,FALSE),"")</f>
        <v/>
      </c>
      <c r="AF43" s="17" t="str">
        <f>IFERROR(VLOOKUP(シフト組み!AF73,役職一覧!$B:$D,2,FALSE),"")</f>
        <v/>
      </c>
      <c r="AG43" s="17" t="str">
        <f>IFERROR(VLOOKUP(シフト組み!AG73,役職一覧!$B:$D,2,FALSE),"")</f>
        <v/>
      </c>
      <c r="AH43" s="17" t="str">
        <f>IFERROR(VLOOKUP(シフト組み!AH73,役職一覧!$B:$D,2,FALSE),"")</f>
        <v/>
      </c>
      <c r="AI43" s="17" t="str">
        <f>IFERROR(VLOOKUP(シフト組み!AI73,役職一覧!$B:$D,2,FALSE),"")</f>
        <v/>
      </c>
      <c r="AJ43" s="17" t="str">
        <f>IFERROR(VLOOKUP(シフト組み!AJ73,役職一覧!$B:$D,2,FALSE),"")</f>
        <v/>
      </c>
      <c r="AK43" s="17" t="str">
        <f>IFERROR(VLOOKUP(シフト組み!AK73,役職一覧!$B:$D,2,FALSE),"")</f>
        <v/>
      </c>
      <c r="AL43" s="17" t="str">
        <f>IFERROR(VLOOKUP(シフト組み!AL73,役職一覧!$B:$D,2,FALSE),"")</f>
        <v/>
      </c>
      <c r="AM43" s="17" t="str">
        <f>IFERROR(VLOOKUP(シフト組み!AM73,役職一覧!$B:$D,2,FALSE),"")</f>
        <v/>
      </c>
      <c r="AN43" s="17" t="str">
        <f>IFERROR(VLOOKUP(シフト組み!AN73,役職一覧!$B:$D,2,FALSE),"")</f>
        <v/>
      </c>
      <c r="AO43" s="17" t="str">
        <f>IFERROR(VLOOKUP(シフト組み!AO73,役職一覧!$B:$D,2,FALSE),"")</f>
        <v/>
      </c>
      <c r="AP43" s="17" t="str">
        <f>IFERROR(VLOOKUP(シフト組み!AP73,役職一覧!$B:$D,2,FALSE),"")</f>
        <v/>
      </c>
      <c r="AQ43" s="17" t="str">
        <f>IFERROR(VLOOKUP(シフト組み!AQ73,役職一覧!$B:$D,2,FALSE),"")</f>
        <v/>
      </c>
      <c r="AR43" s="17" t="str">
        <f>IFERROR(VLOOKUP(シフト組み!AR73,役職一覧!$B:$D,2,FALSE),"")</f>
        <v/>
      </c>
      <c r="AS43" s="17" t="str">
        <f>IFERROR(VLOOKUP(シフト組み!AS73,役職一覧!$B:$D,2,FALSE),"")</f>
        <v/>
      </c>
      <c r="AT43" s="17" t="str">
        <f>IFERROR(VLOOKUP(シフト組み!AT73,役職一覧!$B:$D,2,FALSE),"")</f>
        <v/>
      </c>
      <c r="AU43" s="17" t="str">
        <f>IFERROR(VLOOKUP(シフト組み!AU73,役職一覧!$B:$D,2,FALSE),"")</f>
        <v/>
      </c>
      <c r="AV43" s="17" t="str">
        <f>IFERROR(VLOOKUP(シフト組み!AV73,役職一覧!$B:$D,2,FALSE),"")</f>
        <v/>
      </c>
      <c r="AW43" s="17" t="str">
        <f>IFERROR(VLOOKUP(シフト組み!AW73,役職一覧!$B:$D,2,FALSE),"")</f>
        <v/>
      </c>
      <c r="AX43" s="17" t="str">
        <f>IFERROR(VLOOKUP(シフト組み!AX73,役職一覧!$B:$D,2,FALSE),"")</f>
        <v/>
      </c>
      <c r="AY43" s="17" t="str">
        <f>IFERROR(VLOOKUP(シフト組み!AY73,役職一覧!$B:$D,2,FALSE),"")</f>
        <v/>
      </c>
      <c r="AZ43" s="17" t="str">
        <f>IFERROR(VLOOKUP(シフト組み!AZ73,役職一覧!$B:$D,2,FALSE),"")</f>
        <v/>
      </c>
      <c r="BA43" s="17" t="str">
        <f>IFERROR(VLOOKUP(シフト組み!BA73,役職一覧!$B:$D,2,FALSE),"")</f>
        <v/>
      </c>
    </row>
    <row r="44" spans="1:53">
      <c r="A44" s="2" t="str">
        <f>シフト組み!A74&amp;""</f>
        <v/>
      </c>
      <c r="B44" s="2" t="str">
        <f>シフト組み!B74&amp;""</f>
        <v/>
      </c>
      <c r="C44" s="2" t="str">
        <f>シフト組み!C74&amp;""</f>
        <v/>
      </c>
      <c r="D44" s="17" t="str">
        <f>IFERROR(VLOOKUP(シフト組み!D74,役職一覧!$B:$D,2,FALSE),"")</f>
        <v/>
      </c>
      <c r="E44" s="17" t="str">
        <f>IFERROR(VLOOKUP(シフト組み!E74,役職一覧!$B:$D,2,FALSE),"")</f>
        <v/>
      </c>
      <c r="F44" s="17" t="str">
        <f>IFERROR(VLOOKUP(シフト組み!F74,役職一覧!$B:$D,2,FALSE),"")</f>
        <v/>
      </c>
      <c r="G44" s="17" t="str">
        <f>IFERROR(VLOOKUP(シフト組み!G74,役職一覧!$B:$D,2,FALSE),"")</f>
        <v/>
      </c>
      <c r="H44" s="17" t="str">
        <f>IFERROR(VLOOKUP(シフト組み!H74,役職一覧!$B:$D,2,FALSE),"")</f>
        <v/>
      </c>
      <c r="I44" s="17" t="str">
        <f>IFERROR(VLOOKUP(シフト組み!I74,役職一覧!$B:$D,2,FALSE),"")</f>
        <v/>
      </c>
      <c r="J44" s="17" t="str">
        <f>IFERROR(VLOOKUP(シフト組み!J74,役職一覧!$B:$D,2,FALSE),"")</f>
        <v/>
      </c>
      <c r="K44" s="17" t="str">
        <f>IFERROR(VLOOKUP(シフト組み!K74,役職一覧!$B:$D,2,FALSE),"")</f>
        <v/>
      </c>
      <c r="L44" s="17" t="str">
        <f>IFERROR(VLOOKUP(シフト組み!L74,役職一覧!$B:$D,2,FALSE),"")</f>
        <v/>
      </c>
      <c r="M44" s="17" t="str">
        <f>IFERROR(VLOOKUP(シフト組み!M74,役職一覧!$B:$D,2,FALSE),"")</f>
        <v/>
      </c>
      <c r="N44" s="17" t="str">
        <f>IFERROR(VLOOKUP(シフト組み!N74,役職一覧!$B:$D,2,FALSE),"")</f>
        <v/>
      </c>
      <c r="O44" s="17" t="str">
        <f>IFERROR(VLOOKUP(シフト組み!O74,役職一覧!$B:$D,2,FALSE),"")</f>
        <v/>
      </c>
      <c r="P44" s="17" t="str">
        <f>IFERROR(VLOOKUP(シフト組み!P74,役職一覧!$B:$D,2,FALSE),"")</f>
        <v/>
      </c>
      <c r="Q44" s="17" t="str">
        <f>IFERROR(VLOOKUP(シフト組み!Q74,役職一覧!$B:$D,2,FALSE),"")</f>
        <v/>
      </c>
      <c r="R44" s="17" t="str">
        <f>IFERROR(VLOOKUP(シフト組み!R74,役職一覧!$B:$D,2,FALSE),"")</f>
        <v/>
      </c>
      <c r="S44" s="17" t="str">
        <f>IFERROR(VLOOKUP(シフト組み!S74,役職一覧!$B:$D,2,FALSE),"")</f>
        <v/>
      </c>
      <c r="T44" s="17" t="str">
        <f>IFERROR(VLOOKUP(シフト組み!T74,役職一覧!$B:$D,2,FALSE),"")</f>
        <v/>
      </c>
      <c r="U44" s="17" t="str">
        <f>IFERROR(VLOOKUP(シフト組み!U74,役職一覧!$B:$D,2,FALSE),"")</f>
        <v/>
      </c>
      <c r="V44" s="17" t="str">
        <f>IFERROR(VLOOKUP(シフト組み!V74,役職一覧!$B:$D,2,FALSE),"")</f>
        <v/>
      </c>
      <c r="W44" s="17" t="str">
        <f>IFERROR(VLOOKUP(シフト組み!W74,役職一覧!$B:$D,2,FALSE),"")</f>
        <v/>
      </c>
      <c r="X44" s="17" t="str">
        <f>IFERROR(VLOOKUP(シフト組み!X74,役職一覧!$B:$D,2,FALSE),"")</f>
        <v/>
      </c>
      <c r="Y44" s="17" t="str">
        <f>IFERROR(VLOOKUP(シフト組み!Y74,役職一覧!$B:$D,2,FALSE),"")</f>
        <v/>
      </c>
      <c r="Z44" s="17" t="str">
        <f>IFERROR(VLOOKUP(シフト組み!Z74,役職一覧!$B:$D,2,FALSE),"")</f>
        <v/>
      </c>
      <c r="AA44" s="17" t="str">
        <f>IFERROR(VLOOKUP(シフト組み!AA74,役職一覧!$B:$D,2,FALSE),"")</f>
        <v/>
      </c>
      <c r="AB44" s="17" t="str">
        <f>IFERROR(VLOOKUP(シフト組み!AB74,役職一覧!$B:$D,2,FALSE),"")</f>
        <v/>
      </c>
      <c r="AC44" s="17" t="str">
        <f>IFERROR(VLOOKUP(シフト組み!AC74,役職一覧!$B:$D,2,FALSE),"")</f>
        <v/>
      </c>
      <c r="AD44" s="17" t="str">
        <f>IFERROR(VLOOKUP(シフト組み!AD74,役職一覧!$B:$D,2,FALSE),"")</f>
        <v/>
      </c>
      <c r="AE44" s="17" t="str">
        <f>IFERROR(VLOOKUP(シフト組み!AE74,役職一覧!$B:$D,2,FALSE),"")</f>
        <v/>
      </c>
      <c r="AF44" s="17" t="str">
        <f>IFERROR(VLOOKUP(シフト組み!AF74,役職一覧!$B:$D,2,FALSE),"")</f>
        <v/>
      </c>
      <c r="AG44" s="17" t="str">
        <f>IFERROR(VLOOKUP(シフト組み!AG74,役職一覧!$B:$D,2,FALSE),"")</f>
        <v/>
      </c>
      <c r="AH44" s="17" t="str">
        <f>IFERROR(VLOOKUP(シフト組み!AH74,役職一覧!$B:$D,2,FALSE),"")</f>
        <v/>
      </c>
      <c r="AI44" s="17" t="str">
        <f>IFERROR(VLOOKUP(シフト組み!AI74,役職一覧!$B:$D,2,FALSE),"")</f>
        <v/>
      </c>
      <c r="AJ44" s="17" t="str">
        <f>IFERROR(VLOOKUP(シフト組み!AJ74,役職一覧!$B:$D,2,FALSE),"")</f>
        <v/>
      </c>
      <c r="AK44" s="17" t="str">
        <f>IFERROR(VLOOKUP(シフト組み!AK74,役職一覧!$B:$D,2,FALSE),"")</f>
        <v/>
      </c>
      <c r="AL44" s="17" t="str">
        <f>IFERROR(VLOOKUP(シフト組み!AL74,役職一覧!$B:$D,2,FALSE),"")</f>
        <v/>
      </c>
      <c r="AM44" s="17" t="str">
        <f>IFERROR(VLOOKUP(シフト組み!AM74,役職一覧!$B:$D,2,FALSE),"")</f>
        <v/>
      </c>
      <c r="AN44" s="17" t="str">
        <f>IFERROR(VLOOKUP(シフト組み!AN74,役職一覧!$B:$D,2,FALSE),"")</f>
        <v/>
      </c>
      <c r="AO44" s="17" t="str">
        <f>IFERROR(VLOOKUP(シフト組み!AO74,役職一覧!$B:$D,2,FALSE),"")</f>
        <v/>
      </c>
      <c r="AP44" s="17" t="str">
        <f>IFERROR(VLOOKUP(シフト組み!AP74,役職一覧!$B:$D,2,FALSE),"")</f>
        <v/>
      </c>
      <c r="AQ44" s="17" t="str">
        <f>IFERROR(VLOOKUP(シフト組み!AQ74,役職一覧!$B:$D,2,FALSE),"")</f>
        <v/>
      </c>
      <c r="AR44" s="17" t="str">
        <f>IFERROR(VLOOKUP(シフト組み!AR74,役職一覧!$B:$D,2,FALSE),"")</f>
        <v/>
      </c>
      <c r="AS44" s="17" t="str">
        <f>IFERROR(VLOOKUP(シフト組み!AS74,役職一覧!$B:$D,2,FALSE),"")</f>
        <v/>
      </c>
      <c r="AT44" s="17" t="str">
        <f>IFERROR(VLOOKUP(シフト組み!AT74,役職一覧!$B:$D,2,FALSE),"")</f>
        <v/>
      </c>
      <c r="AU44" s="17" t="str">
        <f>IFERROR(VLOOKUP(シフト組み!AU74,役職一覧!$B:$D,2,FALSE),"")</f>
        <v/>
      </c>
      <c r="AV44" s="17" t="str">
        <f>IFERROR(VLOOKUP(シフト組み!AV74,役職一覧!$B:$D,2,FALSE),"")</f>
        <v/>
      </c>
      <c r="AW44" s="17" t="str">
        <f>IFERROR(VLOOKUP(シフト組み!AW74,役職一覧!$B:$D,2,FALSE),"")</f>
        <v/>
      </c>
      <c r="AX44" s="17" t="str">
        <f>IFERROR(VLOOKUP(シフト組み!AX74,役職一覧!$B:$D,2,FALSE),"")</f>
        <v/>
      </c>
      <c r="AY44" s="17" t="str">
        <f>IFERROR(VLOOKUP(シフト組み!AY74,役職一覧!$B:$D,2,FALSE),"")</f>
        <v/>
      </c>
      <c r="AZ44" s="17" t="str">
        <f>IFERROR(VLOOKUP(シフト組み!AZ74,役職一覧!$B:$D,2,FALSE),"")</f>
        <v/>
      </c>
      <c r="BA44" s="17" t="str">
        <f>IFERROR(VLOOKUP(シフト組み!BA74,役職一覧!$B:$D,2,FALSE),"")</f>
        <v/>
      </c>
    </row>
    <row r="45" spans="1:53">
      <c r="A45" s="2" t="str">
        <f>シフト組み!A75&amp;""</f>
        <v/>
      </c>
      <c r="B45" s="2" t="str">
        <f>シフト組み!B75&amp;""</f>
        <v/>
      </c>
      <c r="C45" s="2" t="str">
        <f>シフト組み!C75&amp;""</f>
        <v/>
      </c>
      <c r="D45" s="17" t="str">
        <f>IFERROR(VLOOKUP(シフト組み!D75,役職一覧!$B:$D,2,FALSE),"")</f>
        <v/>
      </c>
      <c r="E45" s="17" t="str">
        <f>IFERROR(VLOOKUP(シフト組み!E75,役職一覧!$B:$D,2,FALSE),"")</f>
        <v/>
      </c>
      <c r="F45" s="17" t="str">
        <f>IFERROR(VLOOKUP(シフト組み!F75,役職一覧!$B:$D,2,FALSE),"")</f>
        <v/>
      </c>
      <c r="G45" s="17" t="str">
        <f>IFERROR(VLOOKUP(シフト組み!G75,役職一覧!$B:$D,2,FALSE),"")</f>
        <v/>
      </c>
      <c r="H45" s="17" t="str">
        <f>IFERROR(VLOOKUP(シフト組み!H75,役職一覧!$B:$D,2,FALSE),"")</f>
        <v/>
      </c>
      <c r="I45" s="17" t="str">
        <f>IFERROR(VLOOKUP(シフト組み!I75,役職一覧!$B:$D,2,FALSE),"")</f>
        <v/>
      </c>
      <c r="J45" s="17" t="str">
        <f>IFERROR(VLOOKUP(シフト組み!J75,役職一覧!$B:$D,2,FALSE),"")</f>
        <v/>
      </c>
      <c r="K45" s="17" t="str">
        <f>IFERROR(VLOOKUP(シフト組み!K75,役職一覧!$B:$D,2,FALSE),"")</f>
        <v/>
      </c>
      <c r="L45" s="17" t="str">
        <f>IFERROR(VLOOKUP(シフト組み!L75,役職一覧!$B:$D,2,FALSE),"")</f>
        <v/>
      </c>
      <c r="M45" s="17" t="str">
        <f>IFERROR(VLOOKUP(シフト組み!M75,役職一覧!$B:$D,2,FALSE),"")</f>
        <v/>
      </c>
      <c r="N45" s="17" t="str">
        <f>IFERROR(VLOOKUP(シフト組み!N75,役職一覧!$B:$D,2,FALSE),"")</f>
        <v/>
      </c>
      <c r="O45" s="17" t="str">
        <f>IFERROR(VLOOKUP(シフト組み!O75,役職一覧!$B:$D,2,FALSE),"")</f>
        <v/>
      </c>
      <c r="P45" s="17" t="str">
        <f>IFERROR(VLOOKUP(シフト組み!P75,役職一覧!$B:$D,2,FALSE),"")</f>
        <v/>
      </c>
      <c r="Q45" s="17" t="str">
        <f>IFERROR(VLOOKUP(シフト組み!Q75,役職一覧!$B:$D,2,FALSE),"")</f>
        <v/>
      </c>
      <c r="R45" s="17" t="str">
        <f>IFERROR(VLOOKUP(シフト組み!R75,役職一覧!$B:$D,2,FALSE),"")</f>
        <v/>
      </c>
      <c r="S45" s="17" t="str">
        <f>IFERROR(VLOOKUP(シフト組み!S75,役職一覧!$B:$D,2,FALSE),"")</f>
        <v/>
      </c>
      <c r="T45" s="17" t="str">
        <f>IFERROR(VLOOKUP(シフト組み!T75,役職一覧!$B:$D,2,FALSE),"")</f>
        <v/>
      </c>
      <c r="U45" s="17" t="str">
        <f>IFERROR(VLOOKUP(シフト組み!U75,役職一覧!$B:$D,2,FALSE),"")</f>
        <v/>
      </c>
      <c r="V45" s="17" t="str">
        <f>IFERROR(VLOOKUP(シフト組み!V75,役職一覧!$B:$D,2,FALSE),"")</f>
        <v/>
      </c>
      <c r="W45" s="17" t="str">
        <f>IFERROR(VLOOKUP(シフト組み!W75,役職一覧!$B:$D,2,FALSE),"")</f>
        <v/>
      </c>
      <c r="X45" s="17" t="str">
        <f>IFERROR(VLOOKUP(シフト組み!X75,役職一覧!$B:$D,2,FALSE),"")</f>
        <v/>
      </c>
      <c r="Y45" s="17" t="str">
        <f>IFERROR(VLOOKUP(シフト組み!Y75,役職一覧!$B:$D,2,FALSE),"")</f>
        <v/>
      </c>
      <c r="Z45" s="17" t="str">
        <f>IFERROR(VLOOKUP(シフト組み!Z75,役職一覧!$B:$D,2,FALSE),"")</f>
        <v/>
      </c>
      <c r="AA45" s="17" t="str">
        <f>IFERROR(VLOOKUP(シフト組み!AA75,役職一覧!$B:$D,2,FALSE),"")</f>
        <v/>
      </c>
      <c r="AB45" s="17" t="str">
        <f>IFERROR(VLOOKUP(シフト組み!AB75,役職一覧!$B:$D,2,FALSE),"")</f>
        <v/>
      </c>
      <c r="AC45" s="17" t="str">
        <f>IFERROR(VLOOKUP(シフト組み!AC75,役職一覧!$B:$D,2,FALSE),"")</f>
        <v/>
      </c>
      <c r="AD45" s="17" t="str">
        <f>IFERROR(VLOOKUP(シフト組み!AD75,役職一覧!$B:$D,2,FALSE),"")</f>
        <v/>
      </c>
      <c r="AE45" s="17" t="str">
        <f>IFERROR(VLOOKUP(シフト組み!AE75,役職一覧!$B:$D,2,FALSE),"")</f>
        <v/>
      </c>
      <c r="AF45" s="17" t="str">
        <f>IFERROR(VLOOKUP(シフト組み!AF75,役職一覧!$B:$D,2,FALSE),"")</f>
        <v/>
      </c>
      <c r="AG45" s="17" t="str">
        <f>IFERROR(VLOOKUP(シフト組み!AG75,役職一覧!$B:$D,2,FALSE),"")</f>
        <v/>
      </c>
      <c r="AH45" s="17" t="str">
        <f>IFERROR(VLOOKUP(シフト組み!AH75,役職一覧!$B:$D,2,FALSE),"")</f>
        <v/>
      </c>
      <c r="AI45" s="17" t="str">
        <f>IFERROR(VLOOKUP(シフト組み!AI75,役職一覧!$B:$D,2,FALSE),"")</f>
        <v/>
      </c>
      <c r="AJ45" s="17" t="str">
        <f>IFERROR(VLOOKUP(シフト組み!AJ75,役職一覧!$B:$D,2,FALSE),"")</f>
        <v/>
      </c>
      <c r="AK45" s="17" t="str">
        <f>IFERROR(VLOOKUP(シフト組み!AK75,役職一覧!$B:$D,2,FALSE),"")</f>
        <v/>
      </c>
      <c r="AL45" s="17" t="str">
        <f>IFERROR(VLOOKUP(シフト組み!AL75,役職一覧!$B:$D,2,FALSE),"")</f>
        <v/>
      </c>
      <c r="AM45" s="17" t="str">
        <f>IFERROR(VLOOKUP(シフト組み!AM75,役職一覧!$B:$D,2,FALSE),"")</f>
        <v/>
      </c>
      <c r="AN45" s="17" t="str">
        <f>IFERROR(VLOOKUP(シフト組み!AN75,役職一覧!$B:$D,2,FALSE),"")</f>
        <v/>
      </c>
      <c r="AO45" s="17" t="str">
        <f>IFERROR(VLOOKUP(シフト組み!AO75,役職一覧!$B:$D,2,FALSE),"")</f>
        <v/>
      </c>
      <c r="AP45" s="17" t="str">
        <f>IFERROR(VLOOKUP(シフト組み!AP75,役職一覧!$B:$D,2,FALSE),"")</f>
        <v/>
      </c>
      <c r="AQ45" s="17" t="str">
        <f>IFERROR(VLOOKUP(シフト組み!AQ75,役職一覧!$B:$D,2,FALSE),"")</f>
        <v/>
      </c>
      <c r="AR45" s="17" t="str">
        <f>IFERROR(VLOOKUP(シフト組み!AR75,役職一覧!$B:$D,2,FALSE),"")</f>
        <v/>
      </c>
      <c r="AS45" s="17" t="str">
        <f>IFERROR(VLOOKUP(シフト組み!AS75,役職一覧!$B:$D,2,FALSE),"")</f>
        <v/>
      </c>
      <c r="AT45" s="17" t="str">
        <f>IFERROR(VLOOKUP(シフト組み!AT75,役職一覧!$B:$D,2,FALSE),"")</f>
        <v/>
      </c>
      <c r="AU45" s="17" t="str">
        <f>IFERROR(VLOOKUP(シフト組み!AU75,役職一覧!$B:$D,2,FALSE),"")</f>
        <v/>
      </c>
      <c r="AV45" s="17" t="str">
        <f>IFERROR(VLOOKUP(シフト組み!AV75,役職一覧!$B:$D,2,FALSE),"")</f>
        <v/>
      </c>
      <c r="AW45" s="17" t="str">
        <f>IFERROR(VLOOKUP(シフト組み!AW75,役職一覧!$B:$D,2,FALSE),"")</f>
        <v/>
      </c>
      <c r="AX45" s="17" t="str">
        <f>IFERROR(VLOOKUP(シフト組み!AX75,役職一覧!$B:$D,2,FALSE),"")</f>
        <v/>
      </c>
      <c r="AY45" s="17" t="str">
        <f>IFERROR(VLOOKUP(シフト組み!AY75,役職一覧!$B:$D,2,FALSE),"")</f>
        <v/>
      </c>
      <c r="AZ45" s="17" t="str">
        <f>IFERROR(VLOOKUP(シフト組み!AZ75,役職一覧!$B:$D,2,FALSE),"")</f>
        <v/>
      </c>
      <c r="BA45" s="17" t="str">
        <f>IFERROR(VLOOKUP(シフト組み!BA75,役職一覧!$B:$D,2,FALSE),"")</f>
        <v/>
      </c>
    </row>
    <row r="46" spans="1:53">
      <c r="A46" s="2" t="str">
        <f>シフト組み!A76&amp;""</f>
        <v/>
      </c>
      <c r="B46" s="2" t="str">
        <f>シフト組み!B76&amp;""</f>
        <v/>
      </c>
      <c r="C46" s="2" t="str">
        <f>シフト組み!C76&amp;""</f>
        <v/>
      </c>
      <c r="D46" s="17" t="str">
        <f>IFERROR(VLOOKUP(シフト組み!D76,役職一覧!$B:$D,2,FALSE),"")</f>
        <v/>
      </c>
      <c r="E46" s="17" t="str">
        <f>IFERROR(VLOOKUP(シフト組み!E76,役職一覧!$B:$D,2,FALSE),"")</f>
        <v/>
      </c>
      <c r="F46" s="17" t="str">
        <f>IFERROR(VLOOKUP(シフト組み!F76,役職一覧!$B:$D,2,FALSE),"")</f>
        <v/>
      </c>
      <c r="G46" s="17" t="str">
        <f>IFERROR(VLOOKUP(シフト組み!G76,役職一覧!$B:$D,2,FALSE),"")</f>
        <v/>
      </c>
      <c r="H46" s="17" t="str">
        <f>IFERROR(VLOOKUP(シフト組み!H76,役職一覧!$B:$D,2,FALSE),"")</f>
        <v/>
      </c>
      <c r="I46" s="17" t="str">
        <f>IFERROR(VLOOKUP(シフト組み!I76,役職一覧!$B:$D,2,FALSE),"")</f>
        <v/>
      </c>
      <c r="J46" s="17" t="str">
        <f>IFERROR(VLOOKUP(シフト組み!J76,役職一覧!$B:$D,2,FALSE),"")</f>
        <v/>
      </c>
      <c r="K46" s="17" t="str">
        <f>IFERROR(VLOOKUP(シフト組み!K76,役職一覧!$B:$D,2,FALSE),"")</f>
        <v/>
      </c>
      <c r="L46" s="17" t="str">
        <f>IFERROR(VLOOKUP(シフト組み!L76,役職一覧!$B:$D,2,FALSE),"")</f>
        <v/>
      </c>
      <c r="M46" s="17" t="str">
        <f>IFERROR(VLOOKUP(シフト組み!M76,役職一覧!$B:$D,2,FALSE),"")</f>
        <v/>
      </c>
      <c r="N46" s="17" t="str">
        <f>IFERROR(VLOOKUP(シフト組み!N76,役職一覧!$B:$D,2,FALSE),"")</f>
        <v/>
      </c>
      <c r="O46" s="17" t="str">
        <f>IFERROR(VLOOKUP(シフト組み!O76,役職一覧!$B:$D,2,FALSE),"")</f>
        <v/>
      </c>
      <c r="P46" s="17" t="str">
        <f>IFERROR(VLOOKUP(シフト組み!P76,役職一覧!$B:$D,2,FALSE),"")</f>
        <v/>
      </c>
      <c r="Q46" s="17" t="str">
        <f>IFERROR(VLOOKUP(シフト組み!Q76,役職一覧!$B:$D,2,FALSE),"")</f>
        <v/>
      </c>
      <c r="R46" s="17" t="str">
        <f>IFERROR(VLOOKUP(シフト組み!R76,役職一覧!$B:$D,2,FALSE),"")</f>
        <v/>
      </c>
      <c r="S46" s="17" t="str">
        <f>IFERROR(VLOOKUP(シフト組み!S76,役職一覧!$B:$D,2,FALSE),"")</f>
        <v/>
      </c>
      <c r="T46" s="17" t="str">
        <f>IFERROR(VLOOKUP(シフト組み!T76,役職一覧!$B:$D,2,FALSE),"")</f>
        <v/>
      </c>
      <c r="U46" s="17" t="str">
        <f>IFERROR(VLOOKUP(シフト組み!U76,役職一覧!$B:$D,2,FALSE),"")</f>
        <v/>
      </c>
      <c r="V46" s="17" t="str">
        <f>IFERROR(VLOOKUP(シフト組み!V76,役職一覧!$B:$D,2,FALSE),"")</f>
        <v/>
      </c>
      <c r="W46" s="17" t="str">
        <f>IFERROR(VLOOKUP(シフト組み!W76,役職一覧!$B:$D,2,FALSE),"")</f>
        <v/>
      </c>
      <c r="X46" s="17" t="str">
        <f>IFERROR(VLOOKUP(シフト組み!X76,役職一覧!$B:$D,2,FALSE),"")</f>
        <v/>
      </c>
      <c r="Y46" s="17" t="str">
        <f>IFERROR(VLOOKUP(シフト組み!Y76,役職一覧!$B:$D,2,FALSE),"")</f>
        <v/>
      </c>
      <c r="Z46" s="17" t="str">
        <f>IFERROR(VLOOKUP(シフト組み!Z76,役職一覧!$B:$D,2,FALSE),"")</f>
        <v/>
      </c>
      <c r="AA46" s="17" t="str">
        <f>IFERROR(VLOOKUP(シフト組み!AA76,役職一覧!$B:$D,2,FALSE),"")</f>
        <v/>
      </c>
      <c r="AB46" s="17" t="str">
        <f>IFERROR(VLOOKUP(シフト組み!AB76,役職一覧!$B:$D,2,FALSE),"")</f>
        <v/>
      </c>
      <c r="AC46" s="17" t="str">
        <f>IFERROR(VLOOKUP(シフト組み!AC76,役職一覧!$B:$D,2,FALSE),"")</f>
        <v/>
      </c>
      <c r="AD46" s="17" t="str">
        <f>IFERROR(VLOOKUP(シフト組み!AD76,役職一覧!$B:$D,2,FALSE),"")</f>
        <v/>
      </c>
      <c r="AE46" s="17" t="str">
        <f>IFERROR(VLOOKUP(シフト組み!AE76,役職一覧!$B:$D,2,FALSE),"")</f>
        <v/>
      </c>
      <c r="AF46" s="17" t="str">
        <f>IFERROR(VLOOKUP(シフト組み!AF76,役職一覧!$B:$D,2,FALSE),"")</f>
        <v/>
      </c>
      <c r="AG46" s="17" t="str">
        <f>IFERROR(VLOOKUP(シフト組み!AG76,役職一覧!$B:$D,2,FALSE),"")</f>
        <v/>
      </c>
      <c r="AH46" s="17" t="str">
        <f>IFERROR(VLOOKUP(シフト組み!AH76,役職一覧!$B:$D,2,FALSE),"")</f>
        <v/>
      </c>
      <c r="AI46" s="17" t="str">
        <f>IFERROR(VLOOKUP(シフト組み!AI76,役職一覧!$B:$D,2,FALSE),"")</f>
        <v/>
      </c>
      <c r="AJ46" s="17" t="str">
        <f>IFERROR(VLOOKUP(シフト組み!AJ76,役職一覧!$B:$D,2,FALSE),"")</f>
        <v/>
      </c>
      <c r="AK46" s="17" t="str">
        <f>IFERROR(VLOOKUP(シフト組み!AK76,役職一覧!$B:$D,2,FALSE),"")</f>
        <v/>
      </c>
      <c r="AL46" s="17" t="str">
        <f>IFERROR(VLOOKUP(シフト組み!AL76,役職一覧!$B:$D,2,FALSE),"")</f>
        <v/>
      </c>
      <c r="AM46" s="17" t="str">
        <f>IFERROR(VLOOKUP(シフト組み!AM76,役職一覧!$B:$D,2,FALSE),"")</f>
        <v/>
      </c>
      <c r="AN46" s="17" t="str">
        <f>IFERROR(VLOOKUP(シフト組み!AN76,役職一覧!$B:$D,2,FALSE),"")</f>
        <v/>
      </c>
      <c r="AO46" s="17" t="str">
        <f>IFERROR(VLOOKUP(シフト組み!AO76,役職一覧!$B:$D,2,FALSE),"")</f>
        <v/>
      </c>
      <c r="AP46" s="17" t="str">
        <f>IFERROR(VLOOKUP(シフト組み!AP76,役職一覧!$B:$D,2,FALSE),"")</f>
        <v/>
      </c>
      <c r="AQ46" s="17" t="str">
        <f>IFERROR(VLOOKUP(シフト組み!AQ76,役職一覧!$B:$D,2,FALSE),"")</f>
        <v/>
      </c>
      <c r="AR46" s="17" t="str">
        <f>IFERROR(VLOOKUP(シフト組み!AR76,役職一覧!$B:$D,2,FALSE),"")</f>
        <v/>
      </c>
      <c r="AS46" s="17" t="str">
        <f>IFERROR(VLOOKUP(シフト組み!AS76,役職一覧!$B:$D,2,FALSE),"")</f>
        <v/>
      </c>
      <c r="AT46" s="17" t="str">
        <f>IFERROR(VLOOKUP(シフト組み!AT76,役職一覧!$B:$D,2,FALSE),"")</f>
        <v/>
      </c>
      <c r="AU46" s="17" t="str">
        <f>IFERROR(VLOOKUP(シフト組み!AU76,役職一覧!$B:$D,2,FALSE),"")</f>
        <v/>
      </c>
      <c r="AV46" s="17" t="str">
        <f>IFERROR(VLOOKUP(シフト組み!AV76,役職一覧!$B:$D,2,FALSE),"")</f>
        <v/>
      </c>
      <c r="AW46" s="17" t="str">
        <f>IFERROR(VLOOKUP(シフト組み!AW76,役職一覧!$B:$D,2,FALSE),"")</f>
        <v/>
      </c>
      <c r="AX46" s="17" t="str">
        <f>IFERROR(VLOOKUP(シフト組み!AX76,役職一覧!$B:$D,2,FALSE),"")</f>
        <v/>
      </c>
      <c r="AY46" s="17" t="str">
        <f>IFERROR(VLOOKUP(シフト組み!AY76,役職一覧!$B:$D,2,FALSE),"")</f>
        <v/>
      </c>
      <c r="AZ46" s="17" t="str">
        <f>IFERROR(VLOOKUP(シフト組み!AZ76,役職一覧!$B:$D,2,FALSE),"")</f>
        <v/>
      </c>
      <c r="BA46" s="17" t="str">
        <f>IFERROR(VLOOKUP(シフト組み!BA76,役職一覧!$B:$D,2,FALSE),"")</f>
        <v/>
      </c>
    </row>
    <row r="47" spans="1:53">
      <c r="A47" s="2" t="str">
        <f>シフト組み!A77&amp;""</f>
        <v/>
      </c>
      <c r="B47" s="2" t="str">
        <f>シフト組み!B77&amp;""</f>
        <v/>
      </c>
      <c r="C47" s="2" t="str">
        <f>シフト組み!C77&amp;""</f>
        <v/>
      </c>
      <c r="D47" s="17" t="str">
        <f>IFERROR(VLOOKUP(シフト組み!D77,役職一覧!$B:$D,2,FALSE),"")</f>
        <v/>
      </c>
      <c r="E47" s="17" t="str">
        <f>IFERROR(VLOOKUP(シフト組み!E77,役職一覧!$B:$D,2,FALSE),"")</f>
        <v/>
      </c>
      <c r="F47" s="17" t="str">
        <f>IFERROR(VLOOKUP(シフト組み!F77,役職一覧!$B:$D,2,FALSE),"")</f>
        <v/>
      </c>
      <c r="G47" s="17" t="str">
        <f>IFERROR(VLOOKUP(シフト組み!G77,役職一覧!$B:$D,2,FALSE),"")</f>
        <v/>
      </c>
      <c r="H47" s="17" t="str">
        <f>IFERROR(VLOOKUP(シフト組み!H77,役職一覧!$B:$D,2,FALSE),"")</f>
        <v/>
      </c>
      <c r="I47" s="17" t="str">
        <f>IFERROR(VLOOKUP(シフト組み!I77,役職一覧!$B:$D,2,FALSE),"")</f>
        <v/>
      </c>
      <c r="J47" s="17" t="str">
        <f>IFERROR(VLOOKUP(シフト組み!J77,役職一覧!$B:$D,2,FALSE),"")</f>
        <v/>
      </c>
      <c r="K47" s="17" t="str">
        <f>IFERROR(VLOOKUP(シフト組み!K77,役職一覧!$B:$D,2,FALSE),"")</f>
        <v/>
      </c>
      <c r="L47" s="17" t="str">
        <f>IFERROR(VLOOKUP(シフト組み!L77,役職一覧!$B:$D,2,FALSE),"")</f>
        <v/>
      </c>
      <c r="M47" s="17" t="str">
        <f>IFERROR(VLOOKUP(シフト組み!M77,役職一覧!$B:$D,2,FALSE),"")</f>
        <v/>
      </c>
      <c r="N47" s="17" t="str">
        <f>IFERROR(VLOOKUP(シフト組み!N77,役職一覧!$B:$D,2,FALSE),"")</f>
        <v/>
      </c>
      <c r="O47" s="17" t="str">
        <f>IFERROR(VLOOKUP(シフト組み!O77,役職一覧!$B:$D,2,FALSE),"")</f>
        <v/>
      </c>
      <c r="P47" s="17" t="str">
        <f>IFERROR(VLOOKUP(シフト組み!P77,役職一覧!$B:$D,2,FALSE),"")</f>
        <v/>
      </c>
      <c r="Q47" s="17" t="str">
        <f>IFERROR(VLOOKUP(シフト組み!Q77,役職一覧!$B:$D,2,FALSE),"")</f>
        <v/>
      </c>
      <c r="R47" s="17" t="str">
        <f>IFERROR(VLOOKUP(シフト組み!R77,役職一覧!$B:$D,2,FALSE),"")</f>
        <v/>
      </c>
      <c r="S47" s="17" t="str">
        <f>IFERROR(VLOOKUP(シフト組み!S77,役職一覧!$B:$D,2,FALSE),"")</f>
        <v/>
      </c>
      <c r="T47" s="17" t="str">
        <f>IFERROR(VLOOKUP(シフト組み!T77,役職一覧!$B:$D,2,FALSE),"")</f>
        <v/>
      </c>
      <c r="U47" s="17" t="str">
        <f>IFERROR(VLOOKUP(シフト組み!U77,役職一覧!$B:$D,2,FALSE),"")</f>
        <v/>
      </c>
      <c r="V47" s="17" t="str">
        <f>IFERROR(VLOOKUP(シフト組み!V77,役職一覧!$B:$D,2,FALSE),"")</f>
        <v/>
      </c>
      <c r="W47" s="17" t="str">
        <f>IFERROR(VLOOKUP(シフト組み!W77,役職一覧!$B:$D,2,FALSE),"")</f>
        <v/>
      </c>
      <c r="X47" s="17" t="str">
        <f>IFERROR(VLOOKUP(シフト組み!X77,役職一覧!$B:$D,2,FALSE),"")</f>
        <v/>
      </c>
      <c r="Y47" s="17" t="str">
        <f>IFERROR(VLOOKUP(シフト組み!Y77,役職一覧!$B:$D,2,FALSE),"")</f>
        <v/>
      </c>
      <c r="Z47" s="17" t="str">
        <f>IFERROR(VLOOKUP(シフト組み!Z77,役職一覧!$B:$D,2,FALSE),"")</f>
        <v/>
      </c>
      <c r="AA47" s="17" t="str">
        <f>IFERROR(VLOOKUP(シフト組み!AA77,役職一覧!$B:$D,2,FALSE),"")</f>
        <v/>
      </c>
      <c r="AB47" s="17" t="str">
        <f>IFERROR(VLOOKUP(シフト組み!AB77,役職一覧!$B:$D,2,FALSE),"")</f>
        <v/>
      </c>
      <c r="AC47" s="17" t="str">
        <f>IFERROR(VLOOKUP(シフト組み!AC77,役職一覧!$B:$D,2,FALSE),"")</f>
        <v/>
      </c>
      <c r="AD47" s="17" t="str">
        <f>IFERROR(VLOOKUP(シフト組み!AD77,役職一覧!$B:$D,2,FALSE),"")</f>
        <v/>
      </c>
      <c r="AE47" s="17" t="str">
        <f>IFERROR(VLOOKUP(シフト組み!AE77,役職一覧!$B:$D,2,FALSE),"")</f>
        <v/>
      </c>
      <c r="AF47" s="17" t="str">
        <f>IFERROR(VLOOKUP(シフト組み!AF77,役職一覧!$B:$D,2,FALSE),"")</f>
        <v/>
      </c>
      <c r="AG47" s="17" t="str">
        <f>IFERROR(VLOOKUP(シフト組み!AG77,役職一覧!$B:$D,2,FALSE),"")</f>
        <v/>
      </c>
      <c r="AH47" s="17" t="str">
        <f>IFERROR(VLOOKUP(シフト組み!AH77,役職一覧!$B:$D,2,FALSE),"")</f>
        <v/>
      </c>
      <c r="AI47" s="17" t="str">
        <f>IFERROR(VLOOKUP(シフト組み!AI77,役職一覧!$B:$D,2,FALSE),"")</f>
        <v/>
      </c>
      <c r="AJ47" s="17" t="str">
        <f>IFERROR(VLOOKUP(シフト組み!AJ77,役職一覧!$B:$D,2,FALSE),"")</f>
        <v/>
      </c>
      <c r="AK47" s="17" t="str">
        <f>IFERROR(VLOOKUP(シフト組み!AK77,役職一覧!$B:$D,2,FALSE),"")</f>
        <v/>
      </c>
      <c r="AL47" s="17" t="str">
        <f>IFERROR(VLOOKUP(シフト組み!AL77,役職一覧!$B:$D,2,FALSE),"")</f>
        <v/>
      </c>
      <c r="AM47" s="17" t="str">
        <f>IFERROR(VLOOKUP(シフト組み!AM77,役職一覧!$B:$D,2,FALSE),"")</f>
        <v/>
      </c>
      <c r="AN47" s="17" t="str">
        <f>IFERROR(VLOOKUP(シフト組み!AN77,役職一覧!$B:$D,2,FALSE),"")</f>
        <v/>
      </c>
      <c r="AO47" s="17" t="str">
        <f>IFERROR(VLOOKUP(シフト組み!AO77,役職一覧!$B:$D,2,FALSE),"")</f>
        <v/>
      </c>
      <c r="AP47" s="17" t="str">
        <f>IFERROR(VLOOKUP(シフト組み!AP77,役職一覧!$B:$D,2,FALSE),"")</f>
        <v/>
      </c>
      <c r="AQ47" s="17" t="str">
        <f>IFERROR(VLOOKUP(シフト組み!AQ77,役職一覧!$B:$D,2,FALSE),"")</f>
        <v/>
      </c>
      <c r="AR47" s="17" t="str">
        <f>IFERROR(VLOOKUP(シフト組み!AR77,役職一覧!$B:$D,2,FALSE),"")</f>
        <v/>
      </c>
      <c r="AS47" s="17" t="str">
        <f>IFERROR(VLOOKUP(シフト組み!AS77,役職一覧!$B:$D,2,FALSE),"")</f>
        <v/>
      </c>
      <c r="AT47" s="17" t="str">
        <f>IFERROR(VLOOKUP(シフト組み!AT77,役職一覧!$B:$D,2,FALSE),"")</f>
        <v/>
      </c>
      <c r="AU47" s="17" t="str">
        <f>IFERROR(VLOOKUP(シフト組み!AU77,役職一覧!$B:$D,2,FALSE),"")</f>
        <v/>
      </c>
      <c r="AV47" s="17" t="str">
        <f>IFERROR(VLOOKUP(シフト組み!AV77,役職一覧!$B:$D,2,FALSE),"")</f>
        <v/>
      </c>
      <c r="AW47" s="17" t="str">
        <f>IFERROR(VLOOKUP(シフト組み!AW77,役職一覧!$B:$D,2,FALSE),"")</f>
        <v/>
      </c>
      <c r="AX47" s="17" t="str">
        <f>IFERROR(VLOOKUP(シフト組み!AX77,役職一覧!$B:$D,2,FALSE),"")</f>
        <v/>
      </c>
      <c r="AY47" s="17" t="str">
        <f>IFERROR(VLOOKUP(シフト組み!AY77,役職一覧!$B:$D,2,FALSE),"")</f>
        <v/>
      </c>
      <c r="AZ47" s="17" t="str">
        <f>IFERROR(VLOOKUP(シフト組み!AZ77,役職一覧!$B:$D,2,FALSE),"")</f>
        <v/>
      </c>
      <c r="BA47" s="17" t="str">
        <f>IFERROR(VLOOKUP(シフト組み!BA77,役職一覧!$B:$D,2,FALSE),"")</f>
        <v/>
      </c>
    </row>
    <row r="48" spans="1:53">
      <c r="A48" s="2" t="str">
        <f>シフト組み!A78&amp;""</f>
        <v/>
      </c>
      <c r="B48" s="2" t="str">
        <f>シフト組み!B78&amp;""</f>
        <v/>
      </c>
      <c r="C48" s="2" t="str">
        <f>シフト組み!C78&amp;""</f>
        <v/>
      </c>
      <c r="D48" s="17" t="str">
        <f>IFERROR(VLOOKUP(シフト組み!D78,役職一覧!$B:$D,2,FALSE),"")</f>
        <v/>
      </c>
      <c r="E48" s="17" t="str">
        <f>IFERROR(VLOOKUP(シフト組み!E78,役職一覧!$B:$D,2,FALSE),"")</f>
        <v/>
      </c>
      <c r="F48" s="17" t="str">
        <f>IFERROR(VLOOKUP(シフト組み!F78,役職一覧!$B:$D,2,FALSE),"")</f>
        <v/>
      </c>
      <c r="G48" s="17" t="str">
        <f>IFERROR(VLOOKUP(シフト組み!G78,役職一覧!$B:$D,2,FALSE),"")</f>
        <v/>
      </c>
      <c r="H48" s="17" t="str">
        <f>IFERROR(VLOOKUP(シフト組み!H78,役職一覧!$B:$D,2,FALSE),"")</f>
        <v/>
      </c>
      <c r="I48" s="17" t="str">
        <f>IFERROR(VLOOKUP(シフト組み!I78,役職一覧!$B:$D,2,FALSE),"")</f>
        <v/>
      </c>
      <c r="J48" s="17" t="str">
        <f>IFERROR(VLOOKUP(シフト組み!J78,役職一覧!$B:$D,2,FALSE),"")</f>
        <v/>
      </c>
      <c r="K48" s="17" t="str">
        <f>IFERROR(VLOOKUP(シフト組み!K78,役職一覧!$B:$D,2,FALSE),"")</f>
        <v/>
      </c>
      <c r="L48" s="17" t="str">
        <f>IFERROR(VLOOKUP(シフト組み!L78,役職一覧!$B:$D,2,FALSE),"")</f>
        <v/>
      </c>
      <c r="M48" s="17" t="str">
        <f>IFERROR(VLOOKUP(シフト組み!M78,役職一覧!$B:$D,2,FALSE),"")</f>
        <v/>
      </c>
      <c r="N48" s="17" t="str">
        <f>IFERROR(VLOOKUP(シフト組み!N78,役職一覧!$B:$D,2,FALSE),"")</f>
        <v/>
      </c>
      <c r="O48" s="17" t="str">
        <f>IFERROR(VLOOKUP(シフト組み!O78,役職一覧!$B:$D,2,FALSE),"")</f>
        <v/>
      </c>
      <c r="P48" s="17" t="str">
        <f>IFERROR(VLOOKUP(シフト組み!P78,役職一覧!$B:$D,2,FALSE),"")</f>
        <v/>
      </c>
      <c r="Q48" s="17" t="str">
        <f>IFERROR(VLOOKUP(シフト組み!Q78,役職一覧!$B:$D,2,FALSE),"")</f>
        <v/>
      </c>
      <c r="R48" s="17" t="str">
        <f>IFERROR(VLOOKUP(シフト組み!R78,役職一覧!$B:$D,2,FALSE),"")</f>
        <v/>
      </c>
      <c r="S48" s="17" t="str">
        <f>IFERROR(VLOOKUP(シフト組み!S78,役職一覧!$B:$D,2,FALSE),"")</f>
        <v/>
      </c>
      <c r="T48" s="17" t="str">
        <f>IFERROR(VLOOKUP(シフト組み!T78,役職一覧!$B:$D,2,FALSE),"")</f>
        <v/>
      </c>
      <c r="U48" s="17" t="str">
        <f>IFERROR(VLOOKUP(シフト組み!U78,役職一覧!$B:$D,2,FALSE),"")</f>
        <v/>
      </c>
      <c r="V48" s="17" t="str">
        <f>IFERROR(VLOOKUP(シフト組み!V78,役職一覧!$B:$D,2,FALSE),"")</f>
        <v/>
      </c>
      <c r="W48" s="17" t="str">
        <f>IFERROR(VLOOKUP(シフト組み!W78,役職一覧!$B:$D,2,FALSE),"")</f>
        <v/>
      </c>
      <c r="X48" s="17" t="str">
        <f>IFERROR(VLOOKUP(シフト組み!X78,役職一覧!$B:$D,2,FALSE),"")</f>
        <v/>
      </c>
      <c r="Y48" s="17" t="str">
        <f>IFERROR(VLOOKUP(シフト組み!Y78,役職一覧!$B:$D,2,FALSE),"")</f>
        <v/>
      </c>
      <c r="Z48" s="17" t="str">
        <f>IFERROR(VLOOKUP(シフト組み!Z78,役職一覧!$B:$D,2,FALSE),"")</f>
        <v/>
      </c>
      <c r="AA48" s="17" t="str">
        <f>IFERROR(VLOOKUP(シフト組み!AA78,役職一覧!$B:$D,2,FALSE),"")</f>
        <v/>
      </c>
      <c r="AB48" s="17" t="str">
        <f>IFERROR(VLOOKUP(シフト組み!AB78,役職一覧!$B:$D,2,FALSE),"")</f>
        <v/>
      </c>
      <c r="AC48" s="17" t="str">
        <f>IFERROR(VLOOKUP(シフト組み!AC78,役職一覧!$B:$D,2,FALSE),"")</f>
        <v/>
      </c>
      <c r="AD48" s="17" t="str">
        <f>IFERROR(VLOOKUP(シフト組み!AD78,役職一覧!$B:$D,2,FALSE),"")</f>
        <v/>
      </c>
      <c r="AE48" s="17" t="str">
        <f>IFERROR(VLOOKUP(シフト組み!AE78,役職一覧!$B:$D,2,FALSE),"")</f>
        <v/>
      </c>
      <c r="AF48" s="17" t="str">
        <f>IFERROR(VLOOKUP(シフト組み!AF78,役職一覧!$B:$D,2,FALSE),"")</f>
        <v/>
      </c>
      <c r="AG48" s="17" t="str">
        <f>IFERROR(VLOOKUP(シフト組み!AG78,役職一覧!$B:$D,2,FALSE),"")</f>
        <v/>
      </c>
      <c r="AH48" s="17" t="str">
        <f>IFERROR(VLOOKUP(シフト組み!AH78,役職一覧!$B:$D,2,FALSE),"")</f>
        <v/>
      </c>
      <c r="AI48" s="17" t="str">
        <f>IFERROR(VLOOKUP(シフト組み!AI78,役職一覧!$B:$D,2,FALSE),"")</f>
        <v/>
      </c>
      <c r="AJ48" s="17" t="str">
        <f>IFERROR(VLOOKUP(シフト組み!AJ78,役職一覧!$B:$D,2,FALSE),"")</f>
        <v/>
      </c>
      <c r="AK48" s="17" t="str">
        <f>IFERROR(VLOOKUP(シフト組み!AK78,役職一覧!$B:$D,2,FALSE),"")</f>
        <v/>
      </c>
      <c r="AL48" s="17" t="str">
        <f>IFERROR(VLOOKUP(シフト組み!AL78,役職一覧!$B:$D,2,FALSE),"")</f>
        <v/>
      </c>
      <c r="AM48" s="17" t="str">
        <f>IFERROR(VLOOKUP(シフト組み!AM78,役職一覧!$B:$D,2,FALSE),"")</f>
        <v/>
      </c>
      <c r="AN48" s="17" t="str">
        <f>IFERROR(VLOOKUP(シフト組み!AN78,役職一覧!$B:$D,2,FALSE),"")</f>
        <v/>
      </c>
      <c r="AO48" s="17" t="str">
        <f>IFERROR(VLOOKUP(シフト組み!AO78,役職一覧!$B:$D,2,FALSE),"")</f>
        <v/>
      </c>
      <c r="AP48" s="17" t="str">
        <f>IFERROR(VLOOKUP(シフト組み!AP78,役職一覧!$B:$D,2,FALSE),"")</f>
        <v/>
      </c>
      <c r="AQ48" s="17" t="str">
        <f>IFERROR(VLOOKUP(シフト組み!AQ78,役職一覧!$B:$D,2,FALSE),"")</f>
        <v/>
      </c>
      <c r="AR48" s="17" t="str">
        <f>IFERROR(VLOOKUP(シフト組み!AR78,役職一覧!$B:$D,2,FALSE),"")</f>
        <v/>
      </c>
      <c r="AS48" s="17" t="str">
        <f>IFERROR(VLOOKUP(シフト組み!AS78,役職一覧!$B:$D,2,FALSE),"")</f>
        <v/>
      </c>
      <c r="AT48" s="17" t="str">
        <f>IFERROR(VLOOKUP(シフト組み!AT78,役職一覧!$B:$D,2,FALSE),"")</f>
        <v/>
      </c>
      <c r="AU48" s="17" t="str">
        <f>IFERROR(VLOOKUP(シフト組み!AU78,役職一覧!$B:$D,2,FALSE),"")</f>
        <v/>
      </c>
      <c r="AV48" s="17" t="str">
        <f>IFERROR(VLOOKUP(シフト組み!AV78,役職一覧!$B:$D,2,FALSE),"")</f>
        <v/>
      </c>
      <c r="AW48" s="17" t="str">
        <f>IFERROR(VLOOKUP(シフト組み!AW78,役職一覧!$B:$D,2,FALSE),"")</f>
        <v/>
      </c>
      <c r="AX48" s="17" t="str">
        <f>IFERROR(VLOOKUP(シフト組み!AX78,役職一覧!$B:$D,2,FALSE),"")</f>
        <v/>
      </c>
      <c r="AY48" s="17" t="str">
        <f>IFERROR(VLOOKUP(シフト組み!AY78,役職一覧!$B:$D,2,FALSE),"")</f>
        <v/>
      </c>
      <c r="AZ48" s="17" t="str">
        <f>IFERROR(VLOOKUP(シフト組み!AZ78,役職一覧!$B:$D,2,FALSE),"")</f>
        <v/>
      </c>
      <c r="BA48" s="17" t="str">
        <f>IFERROR(VLOOKUP(シフト組み!BA78,役職一覧!$B:$D,2,FALSE),"")</f>
        <v/>
      </c>
    </row>
    <row r="49" spans="1:53">
      <c r="A49" s="2" t="str">
        <f>シフト組み!A79&amp;""</f>
        <v/>
      </c>
      <c r="B49" s="2" t="str">
        <f>シフト組み!B79&amp;""</f>
        <v/>
      </c>
      <c r="C49" s="2" t="str">
        <f>シフト組み!C79&amp;""</f>
        <v/>
      </c>
      <c r="D49" s="17" t="str">
        <f>IFERROR(VLOOKUP(シフト組み!D79,役職一覧!$B:$D,2,FALSE),"")</f>
        <v/>
      </c>
      <c r="E49" s="17" t="str">
        <f>IFERROR(VLOOKUP(シフト組み!E79,役職一覧!$B:$D,2,FALSE),"")</f>
        <v/>
      </c>
      <c r="F49" s="17" t="str">
        <f>IFERROR(VLOOKUP(シフト組み!F79,役職一覧!$B:$D,2,FALSE),"")</f>
        <v/>
      </c>
      <c r="G49" s="17" t="str">
        <f>IFERROR(VLOOKUP(シフト組み!G79,役職一覧!$B:$D,2,FALSE),"")</f>
        <v/>
      </c>
      <c r="H49" s="17" t="str">
        <f>IFERROR(VLOOKUP(シフト組み!H79,役職一覧!$B:$D,2,FALSE),"")</f>
        <v/>
      </c>
      <c r="I49" s="17" t="str">
        <f>IFERROR(VLOOKUP(シフト組み!I79,役職一覧!$B:$D,2,FALSE),"")</f>
        <v/>
      </c>
      <c r="J49" s="17" t="str">
        <f>IFERROR(VLOOKUP(シフト組み!J79,役職一覧!$B:$D,2,FALSE),"")</f>
        <v/>
      </c>
      <c r="K49" s="17" t="str">
        <f>IFERROR(VLOOKUP(シフト組み!K79,役職一覧!$B:$D,2,FALSE),"")</f>
        <v/>
      </c>
      <c r="L49" s="17" t="str">
        <f>IFERROR(VLOOKUP(シフト組み!L79,役職一覧!$B:$D,2,FALSE),"")</f>
        <v/>
      </c>
      <c r="M49" s="17" t="str">
        <f>IFERROR(VLOOKUP(シフト組み!M79,役職一覧!$B:$D,2,FALSE),"")</f>
        <v/>
      </c>
      <c r="N49" s="17" t="str">
        <f>IFERROR(VLOOKUP(シフト組み!N79,役職一覧!$B:$D,2,FALSE),"")</f>
        <v/>
      </c>
      <c r="O49" s="17" t="str">
        <f>IFERROR(VLOOKUP(シフト組み!O79,役職一覧!$B:$D,2,FALSE),"")</f>
        <v/>
      </c>
      <c r="P49" s="17" t="str">
        <f>IFERROR(VLOOKUP(シフト組み!P79,役職一覧!$B:$D,2,FALSE),"")</f>
        <v/>
      </c>
      <c r="Q49" s="17" t="str">
        <f>IFERROR(VLOOKUP(シフト組み!Q79,役職一覧!$B:$D,2,FALSE),"")</f>
        <v/>
      </c>
      <c r="R49" s="17" t="str">
        <f>IFERROR(VLOOKUP(シフト組み!R79,役職一覧!$B:$D,2,FALSE),"")</f>
        <v/>
      </c>
      <c r="S49" s="17" t="str">
        <f>IFERROR(VLOOKUP(シフト組み!S79,役職一覧!$B:$D,2,FALSE),"")</f>
        <v/>
      </c>
      <c r="T49" s="17" t="str">
        <f>IFERROR(VLOOKUP(シフト組み!T79,役職一覧!$B:$D,2,FALSE),"")</f>
        <v/>
      </c>
      <c r="U49" s="17" t="str">
        <f>IFERROR(VLOOKUP(シフト組み!U79,役職一覧!$B:$D,2,FALSE),"")</f>
        <v/>
      </c>
      <c r="V49" s="17" t="str">
        <f>IFERROR(VLOOKUP(シフト組み!V79,役職一覧!$B:$D,2,FALSE),"")</f>
        <v/>
      </c>
      <c r="W49" s="17" t="str">
        <f>IFERROR(VLOOKUP(シフト組み!W79,役職一覧!$B:$D,2,FALSE),"")</f>
        <v/>
      </c>
      <c r="X49" s="17" t="str">
        <f>IFERROR(VLOOKUP(シフト組み!X79,役職一覧!$B:$D,2,FALSE),"")</f>
        <v/>
      </c>
      <c r="Y49" s="17" t="str">
        <f>IFERROR(VLOOKUP(シフト組み!Y79,役職一覧!$B:$D,2,FALSE),"")</f>
        <v/>
      </c>
      <c r="Z49" s="17" t="str">
        <f>IFERROR(VLOOKUP(シフト組み!Z79,役職一覧!$B:$D,2,FALSE),"")</f>
        <v/>
      </c>
      <c r="AA49" s="17" t="str">
        <f>IFERROR(VLOOKUP(シフト組み!AA79,役職一覧!$B:$D,2,FALSE),"")</f>
        <v/>
      </c>
      <c r="AB49" s="17" t="str">
        <f>IFERROR(VLOOKUP(シフト組み!AB79,役職一覧!$B:$D,2,FALSE),"")</f>
        <v/>
      </c>
      <c r="AC49" s="17" t="str">
        <f>IFERROR(VLOOKUP(シフト組み!AC79,役職一覧!$B:$D,2,FALSE),"")</f>
        <v/>
      </c>
      <c r="AD49" s="17" t="str">
        <f>IFERROR(VLOOKUP(シフト組み!AD79,役職一覧!$B:$D,2,FALSE),"")</f>
        <v/>
      </c>
      <c r="AE49" s="17" t="str">
        <f>IFERROR(VLOOKUP(シフト組み!AE79,役職一覧!$B:$D,2,FALSE),"")</f>
        <v/>
      </c>
      <c r="AF49" s="17" t="str">
        <f>IFERROR(VLOOKUP(シフト組み!AF79,役職一覧!$B:$D,2,FALSE),"")</f>
        <v/>
      </c>
      <c r="AG49" s="17" t="str">
        <f>IFERROR(VLOOKUP(シフト組み!AG79,役職一覧!$B:$D,2,FALSE),"")</f>
        <v/>
      </c>
      <c r="AH49" s="17" t="str">
        <f>IFERROR(VLOOKUP(シフト組み!AH79,役職一覧!$B:$D,2,FALSE),"")</f>
        <v/>
      </c>
      <c r="AI49" s="17" t="str">
        <f>IFERROR(VLOOKUP(シフト組み!AI79,役職一覧!$B:$D,2,FALSE),"")</f>
        <v/>
      </c>
      <c r="AJ49" s="17" t="str">
        <f>IFERROR(VLOOKUP(シフト組み!AJ79,役職一覧!$B:$D,2,FALSE),"")</f>
        <v/>
      </c>
      <c r="AK49" s="17" t="str">
        <f>IFERROR(VLOOKUP(シフト組み!AK79,役職一覧!$B:$D,2,FALSE),"")</f>
        <v/>
      </c>
      <c r="AL49" s="17" t="str">
        <f>IFERROR(VLOOKUP(シフト組み!AL79,役職一覧!$B:$D,2,FALSE),"")</f>
        <v/>
      </c>
      <c r="AM49" s="17" t="str">
        <f>IFERROR(VLOOKUP(シフト組み!AM79,役職一覧!$B:$D,2,FALSE),"")</f>
        <v/>
      </c>
      <c r="AN49" s="17" t="str">
        <f>IFERROR(VLOOKUP(シフト組み!AN79,役職一覧!$B:$D,2,FALSE),"")</f>
        <v/>
      </c>
      <c r="AO49" s="17" t="str">
        <f>IFERROR(VLOOKUP(シフト組み!AO79,役職一覧!$B:$D,2,FALSE),"")</f>
        <v/>
      </c>
      <c r="AP49" s="17" t="str">
        <f>IFERROR(VLOOKUP(シフト組み!AP79,役職一覧!$B:$D,2,FALSE),"")</f>
        <v/>
      </c>
      <c r="AQ49" s="17" t="str">
        <f>IFERROR(VLOOKUP(シフト組み!AQ79,役職一覧!$B:$D,2,FALSE),"")</f>
        <v/>
      </c>
      <c r="AR49" s="17" t="str">
        <f>IFERROR(VLOOKUP(シフト組み!AR79,役職一覧!$B:$D,2,FALSE),"")</f>
        <v/>
      </c>
      <c r="AS49" s="17" t="str">
        <f>IFERROR(VLOOKUP(シフト組み!AS79,役職一覧!$B:$D,2,FALSE),"")</f>
        <v/>
      </c>
      <c r="AT49" s="17" t="str">
        <f>IFERROR(VLOOKUP(シフト組み!AT79,役職一覧!$B:$D,2,FALSE),"")</f>
        <v/>
      </c>
      <c r="AU49" s="17" t="str">
        <f>IFERROR(VLOOKUP(シフト組み!AU79,役職一覧!$B:$D,2,FALSE),"")</f>
        <v/>
      </c>
      <c r="AV49" s="17" t="str">
        <f>IFERROR(VLOOKUP(シフト組み!AV79,役職一覧!$B:$D,2,FALSE),"")</f>
        <v/>
      </c>
      <c r="AW49" s="17" t="str">
        <f>IFERROR(VLOOKUP(シフト組み!AW79,役職一覧!$B:$D,2,FALSE),"")</f>
        <v/>
      </c>
      <c r="AX49" s="17" t="str">
        <f>IFERROR(VLOOKUP(シフト組み!AX79,役職一覧!$B:$D,2,FALSE),"")</f>
        <v/>
      </c>
      <c r="AY49" s="17" t="str">
        <f>IFERROR(VLOOKUP(シフト組み!AY79,役職一覧!$B:$D,2,FALSE),"")</f>
        <v/>
      </c>
      <c r="AZ49" s="17" t="str">
        <f>IFERROR(VLOOKUP(シフト組み!AZ79,役職一覧!$B:$D,2,FALSE),"")</f>
        <v/>
      </c>
      <c r="BA49" s="17" t="str">
        <f>IFERROR(VLOOKUP(シフト組み!BA79,役職一覧!$B:$D,2,FALSE),"")</f>
        <v/>
      </c>
    </row>
    <row r="50" spans="1:53">
      <c r="A50" s="2" t="str">
        <f>シフト組み!A80&amp;""</f>
        <v/>
      </c>
      <c r="B50" s="2" t="str">
        <f>シフト組み!B80&amp;""</f>
        <v/>
      </c>
      <c r="C50" s="2" t="str">
        <f>シフト組み!C80&amp;""</f>
        <v/>
      </c>
      <c r="D50" s="17" t="str">
        <f>IFERROR(VLOOKUP(シフト組み!D80,役職一覧!$B:$D,2,FALSE),"")</f>
        <v/>
      </c>
      <c r="E50" s="17" t="str">
        <f>IFERROR(VLOOKUP(シフト組み!E80,役職一覧!$B:$D,2,FALSE),"")</f>
        <v/>
      </c>
      <c r="F50" s="17" t="str">
        <f>IFERROR(VLOOKUP(シフト組み!F80,役職一覧!$B:$D,2,FALSE),"")</f>
        <v/>
      </c>
      <c r="G50" s="17" t="str">
        <f>IFERROR(VLOOKUP(シフト組み!G80,役職一覧!$B:$D,2,FALSE),"")</f>
        <v/>
      </c>
      <c r="H50" s="17" t="str">
        <f>IFERROR(VLOOKUP(シフト組み!H80,役職一覧!$B:$D,2,FALSE),"")</f>
        <v/>
      </c>
      <c r="I50" s="17" t="str">
        <f>IFERROR(VLOOKUP(シフト組み!I80,役職一覧!$B:$D,2,FALSE),"")</f>
        <v/>
      </c>
      <c r="J50" s="17" t="str">
        <f>IFERROR(VLOOKUP(シフト組み!J80,役職一覧!$B:$D,2,FALSE),"")</f>
        <v/>
      </c>
      <c r="K50" s="17" t="str">
        <f>IFERROR(VLOOKUP(シフト組み!K80,役職一覧!$B:$D,2,FALSE),"")</f>
        <v/>
      </c>
      <c r="L50" s="17" t="str">
        <f>IFERROR(VLOOKUP(シフト組み!L80,役職一覧!$B:$D,2,FALSE),"")</f>
        <v/>
      </c>
      <c r="M50" s="17" t="str">
        <f>IFERROR(VLOOKUP(シフト組み!M80,役職一覧!$B:$D,2,FALSE),"")</f>
        <v/>
      </c>
      <c r="N50" s="17" t="str">
        <f>IFERROR(VLOOKUP(シフト組み!N80,役職一覧!$B:$D,2,FALSE),"")</f>
        <v/>
      </c>
      <c r="O50" s="17" t="str">
        <f>IFERROR(VLOOKUP(シフト組み!O80,役職一覧!$B:$D,2,FALSE),"")</f>
        <v/>
      </c>
      <c r="P50" s="17" t="str">
        <f>IFERROR(VLOOKUP(シフト組み!P80,役職一覧!$B:$D,2,FALSE),"")</f>
        <v/>
      </c>
      <c r="Q50" s="17" t="str">
        <f>IFERROR(VLOOKUP(シフト組み!Q80,役職一覧!$B:$D,2,FALSE),"")</f>
        <v/>
      </c>
      <c r="R50" s="17" t="str">
        <f>IFERROR(VLOOKUP(シフト組み!R80,役職一覧!$B:$D,2,FALSE),"")</f>
        <v/>
      </c>
      <c r="S50" s="17" t="str">
        <f>IFERROR(VLOOKUP(シフト組み!S80,役職一覧!$B:$D,2,FALSE),"")</f>
        <v/>
      </c>
      <c r="T50" s="17" t="str">
        <f>IFERROR(VLOOKUP(シフト組み!T80,役職一覧!$B:$D,2,FALSE),"")</f>
        <v/>
      </c>
      <c r="U50" s="17" t="str">
        <f>IFERROR(VLOOKUP(シフト組み!U80,役職一覧!$B:$D,2,FALSE),"")</f>
        <v/>
      </c>
      <c r="V50" s="17" t="str">
        <f>IFERROR(VLOOKUP(シフト組み!V80,役職一覧!$B:$D,2,FALSE),"")</f>
        <v/>
      </c>
      <c r="W50" s="17" t="str">
        <f>IFERROR(VLOOKUP(シフト組み!W80,役職一覧!$B:$D,2,FALSE),"")</f>
        <v/>
      </c>
      <c r="X50" s="17" t="str">
        <f>IFERROR(VLOOKUP(シフト組み!X80,役職一覧!$B:$D,2,FALSE),"")</f>
        <v/>
      </c>
      <c r="Y50" s="17" t="str">
        <f>IFERROR(VLOOKUP(シフト組み!Y80,役職一覧!$B:$D,2,FALSE),"")</f>
        <v/>
      </c>
      <c r="Z50" s="17" t="str">
        <f>IFERROR(VLOOKUP(シフト組み!Z80,役職一覧!$B:$D,2,FALSE),"")</f>
        <v/>
      </c>
      <c r="AA50" s="17" t="str">
        <f>IFERROR(VLOOKUP(シフト組み!AA80,役職一覧!$B:$D,2,FALSE),"")</f>
        <v/>
      </c>
      <c r="AB50" s="17" t="str">
        <f>IFERROR(VLOOKUP(シフト組み!AB80,役職一覧!$B:$D,2,FALSE),"")</f>
        <v/>
      </c>
      <c r="AC50" s="17" t="str">
        <f>IFERROR(VLOOKUP(シフト組み!AC80,役職一覧!$B:$D,2,FALSE),"")</f>
        <v/>
      </c>
      <c r="AD50" s="17" t="str">
        <f>IFERROR(VLOOKUP(シフト組み!AD80,役職一覧!$B:$D,2,FALSE),"")</f>
        <v/>
      </c>
      <c r="AE50" s="17" t="str">
        <f>IFERROR(VLOOKUP(シフト組み!AE80,役職一覧!$B:$D,2,FALSE),"")</f>
        <v/>
      </c>
      <c r="AF50" s="17" t="str">
        <f>IFERROR(VLOOKUP(シフト組み!AF80,役職一覧!$B:$D,2,FALSE),"")</f>
        <v/>
      </c>
      <c r="AG50" s="17" t="str">
        <f>IFERROR(VLOOKUP(シフト組み!AG80,役職一覧!$B:$D,2,FALSE),"")</f>
        <v/>
      </c>
      <c r="AH50" s="17" t="str">
        <f>IFERROR(VLOOKUP(シフト組み!AH80,役職一覧!$B:$D,2,FALSE),"")</f>
        <v/>
      </c>
      <c r="AI50" s="17" t="str">
        <f>IFERROR(VLOOKUP(シフト組み!AI80,役職一覧!$B:$D,2,FALSE),"")</f>
        <v/>
      </c>
      <c r="AJ50" s="17" t="str">
        <f>IFERROR(VLOOKUP(シフト組み!AJ80,役職一覧!$B:$D,2,FALSE),"")</f>
        <v/>
      </c>
      <c r="AK50" s="17" t="str">
        <f>IFERROR(VLOOKUP(シフト組み!AK80,役職一覧!$B:$D,2,FALSE),"")</f>
        <v/>
      </c>
      <c r="AL50" s="17" t="str">
        <f>IFERROR(VLOOKUP(シフト組み!AL80,役職一覧!$B:$D,2,FALSE),"")</f>
        <v/>
      </c>
      <c r="AM50" s="17" t="str">
        <f>IFERROR(VLOOKUP(シフト組み!AM80,役職一覧!$B:$D,2,FALSE),"")</f>
        <v/>
      </c>
      <c r="AN50" s="17" t="str">
        <f>IFERROR(VLOOKUP(シフト組み!AN80,役職一覧!$B:$D,2,FALSE),"")</f>
        <v/>
      </c>
      <c r="AO50" s="17" t="str">
        <f>IFERROR(VLOOKUP(シフト組み!AO80,役職一覧!$B:$D,2,FALSE),"")</f>
        <v/>
      </c>
      <c r="AP50" s="17" t="str">
        <f>IFERROR(VLOOKUP(シフト組み!AP80,役職一覧!$B:$D,2,FALSE),"")</f>
        <v/>
      </c>
      <c r="AQ50" s="17" t="str">
        <f>IFERROR(VLOOKUP(シフト組み!AQ80,役職一覧!$B:$D,2,FALSE),"")</f>
        <v/>
      </c>
      <c r="AR50" s="17" t="str">
        <f>IFERROR(VLOOKUP(シフト組み!AR80,役職一覧!$B:$D,2,FALSE),"")</f>
        <v/>
      </c>
      <c r="AS50" s="17" t="str">
        <f>IFERROR(VLOOKUP(シフト組み!AS80,役職一覧!$B:$D,2,FALSE),"")</f>
        <v/>
      </c>
      <c r="AT50" s="17" t="str">
        <f>IFERROR(VLOOKUP(シフト組み!AT80,役職一覧!$B:$D,2,FALSE),"")</f>
        <v/>
      </c>
      <c r="AU50" s="17" t="str">
        <f>IFERROR(VLOOKUP(シフト組み!AU80,役職一覧!$B:$D,2,FALSE),"")</f>
        <v/>
      </c>
      <c r="AV50" s="17" t="str">
        <f>IFERROR(VLOOKUP(シフト組み!AV80,役職一覧!$B:$D,2,FALSE),"")</f>
        <v/>
      </c>
      <c r="AW50" s="17" t="str">
        <f>IFERROR(VLOOKUP(シフト組み!AW80,役職一覧!$B:$D,2,FALSE),"")</f>
        <v/>
      </c>
      <c r="AX50" s="17" t="str">
        <f>IFERROR(VLOOKUP(シフト組み!AX80,役職一覧!$B:$D,2,FALSE),"")</f>
        <v/>
      </c>
      <c r="AY50" s="17" t="str">
        <f>IFERROR(VLOOKUP(シフト組み!AY80,役職一覧!$B:$D,2,FALSE),"")</f>
        <v/>
      </c>
      <c r="AZ50" s="17" t="str">
        <f>IFERROR(VLOOKUP(シフト組み!AZ80,役職一覧!$B:$D,2,FALSE),"")</f>
        <v/>
      </c>
      <c r="BA50" s="17" t="str">
        <f>IFERROR(VLOOKUP(シフト組み!BA80,役職一覧!$B:$D,2,FALSE),"")</f>
        <v/>
      </c>
    </row>
    <row r="51" spans="1:53">
      <c r="A51" s="2" t="str">
        <f>シフト組み!A81&amp;""</f>
        <v/>
      </c>
      <c r="B51" s="2" t="str">
        <f>シフト組み!B81&amp;""</f>
        <v/>
      </c>
      <c r="C51" s="2" t="str">
        <f>シフト組み!C81&amp;""</f>
        <v/>
      </c>
      <c r="D51" s="17" t="str">
        <f>IFERROR(VLOOKUP(シフト組み!D81,役職一覧!$B:$D,2,FALSE),"")</f>
        <v/>
      </c>
      <c r="E51" s="17" t="str">
        <f>IFERROR(VLOOKUP(シフト組み!E81,役職一覧!$B:$D,2,FALSE),"")</f>
        <v/>
      </c>
      <c r="F51" s="17" t="str">
        <f>IFERROR(VLOOKUP(シフト組み!F81,役職一覧!$B:$D,2,FALSE),"")</f>
        <v/>
      </c>
      <c r="G51" s="17" t="str">
        <f>IFERROR(VLOOKUP(シフト組み!G81,役職一覧!$B:$D,2,FALSE),"")</f>
        <v/>
      </c>
      <c r="H51" s="17" t="str">
        <f>IFERROR(VLOOKUP(シフト組み!H81,役職一覧!$B:$D,2,FALSE),"")</f>
        <v/>
      </c>
      <c r="I51" s="17" t="str">
        <f>IFERROR(VLOOKUP(シフト組み!I81,役職一覧!$B:$D,2,FALSE),"")</f>
        <v/>
      </c>
      <c r="J51" s="17" t="str">
        <f>IFERROR(VLOOKUP(シフト組み!J81,役職一覧!$B:$D,2,FALSE),"")</f>
        <v/>
      </c>
      <c r="K51" s="17" t="str">
        <f>IFERROR(VLOOKUP(シフト組み!K81,役職一覧!$B:$D,2,FALSE),"")</f>
        <v/>
      </c>
      <c r="L51" s="17" t="str">
        <f>IFERROR(VLOOKUP(シフト組み!L81,役職一覧!$B:$D,2,FALSE),"")</f>
        <v/>
      </c>
      <c r="M51" s="17" t="str">
        <f>IFERROR(VLOOKUP(シフト組み!M81,役職一覧!$B:$D,2,FALSE),"")</f>
        <v/>
      </c>
      <c r="N51" s="17" t="str">
        <f>IFERROR(VLOOKUP(シフト組み!N81,役職一覧!$B:$D,2,FALSE),"")</f>
        <v/>
      </c>
      <c r="O51" s="17" t="str">
        <f>IFERROR(VLOOKUP(シフト組み!O81,役職一覧!$B:$D,2,FALSE),"")</f>
        <v/>
      </c>
      <c r="P51" s="17" t="str">
        <f>IFERROR(VLOOKUP(シフト組み!P81,役職一覧!$B:$D,2,FALSE),"")</f>
        <v/>
      </c>
      <c r="Q51" s="17" t="str">
        <f>IFERROR(VLOOKUP(シフト組み!Q81,役職一覧!$B:$D,2,FALSE),"")</f>
        <v/>
      </c>
      <c r="R51" s="17" t="str">
        <f>IFERROR(VLOOKUP(シフト組み!R81,役職一覧!$B:$D,2,FALSE),"")</f>
        <v/>
      </c>
      <c r="S51" s="17" t="str">
        <f>IFERROR(VLOOKUP(シフト組み!S81,役職一覧!$B:$D,2,FALSE),"")</f>
        <v/>
      </c>
      <c r="T51" s="17" t="str">
        <f>IFERROR(VLOOKUP(シフト組み!T81,役職一覧!$B:$D,2,FALSE),"")</f>
        <v/>
      </c>
      <c r="U51" s="17" t="str">
        <f>IFERROR(VLOOKUP(シフト組み!U81,役職一覧!$B:$D,2,FALSE),"")</f>
        <v/>
      </c>
      <c r="V51" s="17" t="str">
        <f>IFERROR(VLOOKUP(シフト組み!V81,役職一覧!$B:$D,2,FALSE),"")</f>
        <v/>
      </c>
      <c r="W51" s="17" t="str">
        <f>IFERROR(VLOOKUP(シフト組み!W81,役職一覧!$B:$D,2,FALSE),"")</f>
        <v/>
      </c>
      <c r="X51" s="17" t="str">
        <f>IFERROR(VLOOKUP(シフト組み!X81,役職一覧!$B:$D,2,FALSE),"")</f>
        <v/>
      </c>
      <c r="Y51" s="17" t="str">
        <f>IFERROR(VLOOKUP(シフト組み!Y81,役職一覧!$B:$D,2,FALSE),"")</f>
        <v/>
      </c>
      <c r="Z51" s="17" t="str">
        <f>IFERROR(VLOOKUP(シフト組み!Z81,役職一覧!$B:$D,2,FALSE),"")</f>
        <v/>
      </c>
      <c r="AA51" s="17" t="str">
        <f>IFERROR(VLOOKUP(シフト組み!AA81,役職一覧!$B:$D,2,FALSE),"")</f>
        <v/>
      </c>
      <c r="AB51" s="17" t="str">
        <f>IFERROR(VLOOKUP(シフト組み!AB81,役職一覧!$B:$D,2,FALSE),"")</f>
        <v/>
      </c>
      <c r="AC51" s="17" t="str">
        <f>IFERROR(VLOOKUP(シフト組み!AC81,役職一覧!$B:$D,2,FALSE),"")</f>
        <v/>
      </c>
      <c r="AD51" s="17" t="str">
        <f>IFERROR(VLOOKUP(シフト組み!AD81,役職一覧!$B:$D,2,FALSE),"")</f>
        <v/>
      </c>
      <c r="AE51" s="17" t="str">
        <f>IFERROR(VLOOKUP(シフト組み!AE81,役職一覧!$B:$D,2,FALSE),"")</f>
        <v/>
      </c>
      <c r="AF51" s="17" t="str">
        <f>IFERROR(VLOOKUP(シフト組み!AF81,役職一覧!$B:$D,2,FALSE),"")</f>
        <v/>
      </c>
      <c r="AG51" s="17" t="str">
        <f>IFERROR(VLOOKUP(シフト組み!AG81,役職一覧!$B:$D,2,FALSE),"")</f>
        <v/>
      </c>
      <c r="AH51" s="17" t="str">
        <f>IFERROR(VLOOKUP(シフト組み!AH81,役職一覧!$B:$D,2,FALSE),"")</f>
        <v/>
      </c>
      <c r="AI51" s="17" t="str">
        <f>IFERROR(VLOOKUP(シフト組み!AI81,役職一覧!$B:$D,2,FALSE),"")</f>
        <v/>
      </c>
      <c r="AJ51" s="17" t="str">
        <f>IFERROR(VLOOKUP(シフト組み!AJ81,役職一覧!$B:$D,2,FALSE),"")</f>
        <v/>
      </c>
      <c r="AK51" s="17" t="str">
        <f>IFERROR(VLOOKUP(シフト組み!AK81,役職一覧!$B:$D,2,FALSE),"")</f>
        <v/>
      </c>
      <c r="AL51" s="17" t="str">
        <f>IFERROR(VLOOKUP(シフト組み!AL81,役職一覧!$B:$D,2,FALSE),"")</f>
        <v/>
      </c>
      <c r="AM51" s="17" t="str">
        <f>IFERROR(VLOOKUP(シフト組み!AM81,役職一覧!$B:$D,2,FALSE),"")</f>
        <v/>
      </c>
      <c r="AN51" s="17" t="str">
        <f>IFERROR(VLOOKUP(シフト組み!AN81,役職一覧!$B:$D,2,FALSE),"")</f>
        <v/>
      </c>
      <c r="AO51" s="17" t="str">
        <f>IFERROR(VLOOKUP(シフト組み!AO81,役職一覧!$B:$D,2,FALSE),"")</f>
        <v/>
      </c>
      <c r="AP51" s="17" t="str">
        <f>IFERROR(VLOOKUP(シフト組み!AP81,役職一覧!$B:$D,2,FALSE),"")</f>
        <v/>
      </c>
      <c r="AQ51" s="17" t="str">
        <f>IFERROR(VLOOKUP(シフト組み!AQ81,役職一覧!$B:$D,2,FALSE),"")</f>
        <v/>
      </c>
      <c r="AR51" s="17" t="str">
        <f>IFERROR(VLOOKUP(シフト組み!AR81,役職一覧!$B:$D,2,FALSE),"")</f>
        <v/>
      </c>
      <c r="AS51" s="17" t="str">
        <f>IFERROR(VLOOKUP(シフト組み!AS81,役職一覧!$B:$D,2,FALSE),"")</f>
        <v/>
      </c>
      <c r="AT51" s="17" t="str">
        <f>IFERROR(VLOOKUP(シフト組み!AT81,役職一覧!$B:$D,2,FALSE),"")</f>
        <v/>
      </c>
      <c r="AU51" s="17" t="str">
        <f>IFERROR(VLOOKUP(シフト組み!AU81,役職一覧!$B:$D,2,FALSE),"")</f>
        <v/>
      </c>
      <c r="AV51" s="17" t="str">
        <f>IFERROR(VLOOKUP(シフト組み!AV81,役職一覧!$B:$D,2,FALSE),"")</f>
        <v/>
      </c>
      <c r="AW51" s="17" t="str">
        <f>IFERROR(VLOOKUP(シフト組み!AW81,役職一覧!$B:$D,2,FALSE),"")</f>
        <v/>
      </c>
      <c r="AX51" s="17" t="str">
        <f>IFERROR(VLOOKUP(シフト組み!AX81,役職一覧!$B:$D,2,FALSE),"")</f>
        <v/>
      </c>
      <c r="AY51" s="17" t="str">
        <f>IFERROR(VLOOKUP(シフト組み!AY81,役職一覧!$B:$D,2,FALSE),"")</f>
        <v/>
      </c>
      <c r="AZ51" s="17" t="str">
        <f>IFERROR(VLOOKUP(シフト組み!AZ81,役職一覧!$B:$D,2,FALSE),"")</f>
        <v/>
      </c>
      <c r="BA51" s="17" t="str">
        <f>IFERROR(VLOOKUP(シフト組み!BA81,役職一覧!$B:$D,2,FALSE),"")</f>
        <v/>
      </c>
    </row>
    <row r="52" spans="1:53">
      <c r="A52" s="2" t="str">
        <f>シフト組み!A82&amp;""</f>
        <v/>
      </c>
      <c r="B52" s="2" t="str">
        <f>シフト組み!B82&amp;""</f>
        <v/>
      </c>
      <c r="C52" s="2" t="str">
        <f>シフト組み!C82&amp;""</f>
        <v/>
      </c>
      <c r="D52" s="17" t="str">
        <f>IFERROR(VLOOKUP(シフト組み!D82,役職一覧!$B:$D,2,FALSE),"")</f>
        <v/>
      </c>
      <c r="E52" s="17" t="str">
        <f>IFERROR(VLOOKUP(シフト組み!E82,役職一覧!$B:$D,2,FALSE),"")</f>
        <v/>
      </c>
      <c r="F52" s="17" t="str">
        <f>IFERROR(VLOOKUP(シフト組み!F82,役職一覧!$B:$D,2,FALSE),"")</f>
        <v/>
      </c>
      <c r="G52" s="17" t="str">
        <f>IFERROR(VLOOKUP(シフト組み!G82,役職一覧!$B:$D,2,FALSE),"")</f>
        <v/>
      </c>
      <c r="H52" s="17" t="str">
        <f>IFERROR(VLOOKUP(シフト組み!H82,役職一覧!$B:$D,2,FALSE),"")</f>
        <v/>
      </c>
      <c r="I52" s="17" t="str">
        <f>IFERROR(VLOOKUP(シフト組み!I82,役職一覧!$B:$D,2,FALSE),"")</f>
        <v/>
      </c>
      <c r="J52" s="17" t="str">
        <f>IFERROR(VLOOKUP(シフト組み!J82,役職一覧!$B:$D,2,FALSE),"")</f>
        <v/>
      </c>
      <c r="K52" s="17" t="str">
        <f>IFERROR(VLOOKUP(シフト組み!K82,役職一覧!$B:$D,2,FALSE),"")</f>
        <v/>
      </c>
      <c r="L52" s="17" t="str">
        <f>IFERROR(VLOOKUP(シフト組み!L82,役職一覧!$B:$D,2,FALSE),"")</f>
        <v/>
      </c>
      <c r="M52" s="17" t="str">
        <f>IFERROR(VLOOKUP(シフト組み!M82,役職一覧!$B:$D,2,FALSE),"")</f>
        <v/>
      </c>
      <c r="N52" s="17" t="str">
        <f>IFERROR(VLOOKUP(シフト組み!N82,役職一覧!$B:$D,2,FALSE),"")</f>
        <v/>
      </c>
      <c r="O52" s="17" t="str">
        <f>IFERROR(VLOOKUP(シフト組み!O82,役職一覧!$B:$D,2,FALSE),"")</f>
        <v/>
      </c>
      <c r="P52" s="17" t="str">
        <f>IFERROR(VLOOKUP(シフト組み!P82,役職一覧!$B:$D,2,FALSE),"")</f>
        <v/>
      </c>
      <c r="Q52" s="17" t="str">
        <f>IFERROR(VLOOKUP(シフト組み!Q82,役職一覧!$B:$D,2,FALSE),"")</f>
        <v/>
      </c>
      <c r="R52" s="17" t="str">
        <f>IFERROR(VLOOKUP(シフト組み!R82,役職一覧!$B:$D,2,FALSE),"")</f>
        <v/>
      </c>
      <c r="S52" s="17" t="str">
        <f>IFERROR(VLOOKUP(シフト組み!S82,役職一覧!$B:$D,2,FALSE),"")</f>
        <v/>
      </c>
      <c r="T52" s="17" t="str">
        <f>IFERROR(VLOOKUP(シフト組み!T82,役職一覧!$B:$D,2,FALSE),"")</f>
        <v/>
      </c>
      <c r="U52" s="17" t="str">
        <f>IFERROR(VLOOKUP(シフト組み!U82,役職一覧!$B:$D,2,FALSE),"")</f>
        <v/>
      </c>
      <c r="V52" s="17" t="str">
        <f>IFERROR(VLOOKUP(シフト組み!V82,役職一覧!$B:$D,2,FALSE),"")</f>
        <v/>
      </c>
      <c r="W52" s="17" t="str">
        <f>IFERROR(VLOOKUP(シフト組み!W82,役職一覧!$B:$D,2,FALSE),"")</f>
        <v/>
      </c>
      <c r="X52" s="17" t="str">
        <f>IFERROR(VLOOKUP(シフト組み!X82,役職一覧!$B:$D,2,FALSE),"")</f>
        <v/>
      </c>
      <c r="Y52" s="17" t="str">
        <f>IFERROR(VLOOKUP(シフト組み!Y82,役職一覧!$B:$D,2,FALSE),"")</f>
        <v/>
      </c>
      <c r="Z52" s="17" t="str">
        <f>IFERROR(VLOOKUP(シフト組み!Z82,役職一覧!$B:$D,2,FALSE),"")</f>
        <v/>
      </c>
      <c r="AA52" s="17" t="str">
        <f>IFERROR(VLOOKUP(シフト組み!AA82,役職一覧!$B:$D,2,FALSE),"")</f>
        <v/>
      </c>
      <c r="AB52" s="17" t="str">
        <f>IFERROR(VLOOKUP(シフト組み!AB82,役職一覧!$B:$D,2,FALSE),"")</f>
        <v/>
      </c>
      <c r="AC52" s="17" t="str">
        <f>IFERROR(VLOOKUP(シフト組み!AC82,役職一覧!$B:$D,2,FALSE),"")</f>
        <v/>
      </c>
      <c r="AD52" s="17" t="str">
        <f>IFERROR(VLOOKUP(シフト組み!AD82,役職一覧!$B:$D,2,FALSE),"")</f>
        <v/>
      </c>
      <c r="AE52" s="17" t="str">
        <f>IFERROR(VLOOKUP(シフト組み!AE82,役職一覧!$B:$D,2,FALSE),"")</f>
        <v/>
      </c>
      <c r="AF52" s="17" t="str">
        <f>IFERROR(VLOOKUP(シフト組み!AF82,役職一覧!$B:$D,2,FALSE),"")</f>
        <v/>
      </c>
      <c r="AG52" s="17" t="str">
        <f>IFERROR(VLOOKUP(シフト組み!AG82,役職一覧!$B:$D,2,FALSE),"")</f>
        <v/>
      </c>
      <c r="AH52" s="17" t="str">
        <f>IFERROR(VLOOKUP(シフト組み!AH82,役職一覧!$B:$D,2,FALSE),"")</f>
        <v/>
      </c>
      <c r="AI52" s="17" t="str">
        <f>IFERROR(VLOOKUP(シフト組み!AI82,役職一覧!$B:$D,2,FALSE),"")</f>
        <v/>
      </c>
      <c r="AJ52" s="17" t="str">
        <f>IFERROR(VLOOKUP(シフト組み!AJ82,役職一覧!$B:$D,2,FALSE),"")</f>
        <v/>
      </c>
      <c r="AK52" s="17" t="str">
        <f>IFERROR(VLOOKUP(シフト組み!AK82,役職一覧!$B:$D,2,FALSE),"")</f>
        <v/>
      </c>
      <c r="AL52" s="17" t="str">
        <f>IFERROR(VLOOKUP(シフト組み!AL82,役職一覧!$B:$D,2,FALSE),"")</f>
        <v/>
      </c>
      <c r="AM52" s="17" t="str">
        <f>IFERROR(VLOOKUP(シフト組み!AM82,役職一覧!$B:$D,2,FALSE),"")</f>
        <v/>
      </c>
      <c r="AN52" s="17" t="str">
        <f>IFERROR(VLOOKUP(シフト組み!AN82,役職一覧!$B:$D,2,FALSE),"")</f>
        <v/>
      </c>
      <c r="AO52" s="17" t="str">
        <f>IFERROR(VLOOKUP(シフト組み!AO82,役職一覧!$B:$D,2,FALSE),"")</f>
        <v/>
      </c>
      <c r="AP52" s="17" t="str">
        <f>IFERROR(VLOOKUP(シフト組み!AP82,役職一覧!$B:$D,2,FALSE),"")</f>
        <v/>
      </c>
      <c r="AQ52" s="17" t="str">
        <f>IFERROR(VLOOKUP(シフト組み!AQ82,役職一覧!$B:$D,2,FALSE),"")</f>
        <v/>
      </c>
      <c r="AR52" s="17" t="str">
        <f>IFERROR(VLOOKUP(シフト組み!AR82,役職一覧!$B:$D,2,FALSE),"")</f>
        <v/>
      </c>
      <c r="AS52" s="17" t="str">
        <f>IFERROR(VLOOKUP(シフト組み!AS82,役職一覧!$B:$D,2,FALSE),"")</f>
        <v/>
      </c>
      <c r="AT52" s="17" t="str">
        <f>IFERROR(VLOOKUP(シフト組み!AT82,役職一覧!$B:$D,2,FALSE),"")</f>
        <v/>
      </c>
      <c r="AU52" s="17" t="str">
        <f>IFERROR(VLOOKUP(シフト組み!AU82,役職一覧!$B:$D,2,FALSE),"")</f>
        <v/>
      </c>
      <c r="AV52" s="17" t="str">
        <f>IFERROR(VLOOKUP(シフト組み!AV82,役職一覧!$B:$D,2,FALSE),"")</f>
        <v/>
      </c>
      <c r="AW52" s="17" t="str">
        <f>IFERROR(VLOOKUP(シフト組み!AW82,役職一覧!$B:$D,2,FALSE),"")</f>
        <v/>
      </c>
      <c r="AX52" s="17" t="str">
        <f>IFERROR(VLOOKUP(シフト組み!AX82,役職一覧!$B:$D,2,FALSE),"")</f>
        <v/>
      </c>
      <c r="AY52" s="17" t="str">
        <f>IFERROR(VLOOKUP(シフト組み!AY82,役職一覧!$B:$D,2,FALSE),"")</f>
        <v/>
      </c>
      <c r="AZ52" s="17" t="str">
        <f>IFERROR(VLOOKUP(シフト組み!AZ82,役職一覧!$B:$D,2,FALSE),"")</f>
        <v/>
      </c>
      <c r="BA52" s="17" t="str">
        <f>IFERROR(VLOOKUP(シフト組み!BA82,役職一覧!$B:$D,2,FALSE),"")</f>
        <v/>
      </c>
    </row>
    <row r="53" spans="1:53">
      <c r="A53" s="2" t="str">
        <f>シフト組み!A83&amp;""</f>
        <v/>
      </c>
      <c r="B53" s="2" t="str">
        <f>シフト組み!B83&amp;""</f>
        <v/>
      </c>
      <c r="C53" s="2" t="str">
        <f>シフト組み!C83&amp;""</f>
        <v/>
      </c>
      <c r="D53" s="17" t="str">
        <f>IFERROR(VLOOKUP(シフト組み!D83,役職一覧!$B:$D,2,FALSE),"")</f>
        <v/>
      </c>
      <c r="E53" s="17" t="str">
        <f>IFERROR(VLOOKUP(シフト組み!E83,役職一覧!$B:$D,2,FALSE),"")</f>
        <v/>
      </c>
      <c r="F53" s="17" t="str">
        <f>IFERROR(VLOOKUP(シフト組み!F83,役職一覧!$B:$D,2,FALSE),"")</f>
        <v/>
      </c>
      <c r="G53" s="17" t="str">
        <f>IFERROR(VLOOKUP(シフト組み!G83,役職一覧!$B:$D,2,FALSE),"")</f>
        <v/>
      </c>
      <c r="H53" s="17" t="str">
        <f>IFERROR(VLOOKUP(シフト組み!H83,役職一覧!$B:$D,2,FALSE),"")</f>
        <v/>
      </c>
      <c r="I53" s="17" t="str">
        <f>IFERROR(VLOOKUP(シフト組み!I83,役職一覧!$B:$D,2,FALSE),"")</f>
        <v/>
      </c>
      <c r="J53" s="17" t="str">
        <f>IFERROR(VLOOKUP(シフト組み!J83,役職一覧!$B:$D,2,FALSE),"")</f>
        <v/>
      </c>
      <c r="K53" s="17" t="str">
        <f>IFERROR(VLOOKUP(シフト組み!K83,役職一覧!$B:$D,2,FALSE),"")</f>
        <v/>
      </c>
      <c r="L53" s="17" t="str">
        <f>IFERROR(VLOOKUP(シフト組み!L83,役職一覧!$B:$D,2,FALSE),"")</f>
        <v/>
      </c>
      <c r="M53" s="17" t="str">
        <f>IFERROR(VLOOKUP(シフト組み!M83,役職一覧!$B:$D,2,FALSE),"")</f>
        <v/>
      </c>
      <c r="N53" s="17" t="str">
        <f>IFERROR(VLOOKUP(シフト組み!N83,役職一覧!$B:$D,2,FALSE),"")</f>
        <v/>
      </c>
      <c r="O53" s="17" t="str">
        <f>IFERROR(VLOOKUP(シフト組み!O83,役職一覧!$B:$D,2,FALSE),"")</f>
        <v/>
      </c>
      <c r="P53" s="17" t="str">
        <f>IFERROR(VLOOKUP(シフト組み!P83,役職一覧!$B:$D,2,FALSE),"")</f>
        <v/>
      </c>
      <c r="Q53" s="17" t="str">
        <f>IFERROR(VLOOKUP(シフト組み!Q83,役職一覧!$B:$D,2,FALSE),"")</f>
        <v/>
      </c>
      <c r="R53" s="17" t="str">
        <f>IFERROR(VLOOKUP(シフト組み!R83,役職一覧!$B:$D,2,FALSE),"")</f>
        <v/>
      </c>
      <c r="S53" s="17" t="str">
        <f>IFERROR(VLOOKUP(シフト組み!S83,役職一覧!$B:$D,2,FALSE),"")</f>
        <v/>
      </c>
      <c r="T53" s="17" t="str">
        <f>IFERROR(VLOOKUP(シフト組み!T83,役職一覧!$B:$D,2,FALSE),"")</f>
        <v/>
      </c>
      <c r="U53" s="17" t="str">
        <f>IFERROR(VLOOKUP(シフト組み!U83,役職一覧!$B:$D,2,FALSE),"")</f>
        <v/>
      </c>
      <c r="V53" s="17" t="str">
        <f>IFERROR(VLOOKUP(シフト組み!V83,役職一覧!$B:$D,2,FALSE),"")</f>
        <v/>
      </c>
      <c r="W53" s="17" t="str">
        <f>IFERROR(VLOOKUP(シフト組み!W83,役職一覧!$B:$D,2,FALSE),"")</f>
        <v/>
      </c>
      <c r="X53" s="17" t="str">
        <f>IFERROR(VLOOKUP(シフト組み!X83,役職一覧!$B:$D,2,FALSE),"")</f>
        <v/>
      </c>
      <c r="Y53" s="17" t="str">
        <f>IFERROR(VLOOKUP(シフト組み!Y83,役職一覧!$B:$D,2,FALSE),"")</f>
        <v/>
      </c>
      <c r="Z53" s="17" t="str">
        <f>IFERROR(VLOOKUP(シフト組み!Z83,役職一覧!$B:$D,2,FALSE),"")</f>
        <v/>
      </c>
      <c r="AA53" s="17" t="str">
        <f>IFERROR(VLOOKUP(シフト組み!AA83,役職一覧!$B:$D,2,FALSE),"")</f>
        <v/>
      </c>
      <c r="AB53" s="17" t="str">
        <f>IFERROR(VLOOKUP(シフト組み!AB83,役職一覧!$B:$D,2,FALSE),"")</f>
        <v/>
      </c>
      <c r="AC53" s="17" t="str">
        <f>IFERROR(VLOOKUP(シフト組み!AC83,役職一覧!$B:$D,2,FALSE),"")</f>
        <v/>
      </c>
      <c r="AD53" s="17" t="str">
        <f>IFERROR(VLOOKUP(シフト組み!AD83,役職一覧!$B:$D,2,FALSE),"")</f>
        <v/>
      </c>
      <c r="AE53" s="17" t="str">
        <f>IFERROR(VLOOKUP(シフト組み!AE83,役職一覧!$B:$D,2,FALSE),"")</f>
        <v/>
      </c>
      <c r="AF53" s="17" t="str">
        <f>IFERROR(VLOOKUP(シフト組み!AF83,役職一覧!$B:$D,2,FALSE),"")</f>
        <v/>
      </c>
      <c r="AG53" s="17" t="str">
        <f>IFERROR(VLOOKUP(シフト組み!AG83,役職一覧!$B:$D,2,FALSE),"")</f>
        <v/>
      </c>
      <c r="AH53" s="17" t="str">
        <f>IFERROR(VLOOKUP(シフト組み!AH83,役職一覧!$B:$D,2,FALSE),"")</f>
        <v/>
      </c>
      <c r="AI53" s="17" t="str">
        <f>IFERROR(VLOOKUP(シフト組み!AI83,役職一覧!$B:$D,2,FALSE),"")</f>
        <v/>
      </c>
      <c r="AJ53" s="17" t="str">
        <f>IFERROR(VLOOKUP(シフト組み!AJ83,役職一覧!$B:$D,2,FALSE),"")</f>
        <v/>
      </c>
      <c r="AK53" s="17" t="str">
        <f>IFERROR(VLOOKUP(シフト組み!AK83,役職一覧!$B:$D,2,FALSE),"")</f>
        <v/>
      </c>
      <c r="AL53" s="17" t="str">
        <f>IFERROR(VLOOKUP(シフト組み!AL83,役職一覧!$B:$D,2,FALSE),"")</f>
        <v/>
      </c>
      <c r="AM53" s="17" t="str">
        <f>IFERROR(VLOOKUP(シフト組み!AM83,役職一覧!$B:$D,2,FALSE),"")</f>
        <v/>
      </c>
      <c r="AN53" s="17" t="str">
        <f>IFERROR(VLOOKUP(シフト組み!AN83,役職一覧!$B:$D,2,FALSE),"")</f>
        <v/>
      </c>
      <c r="AO53" s="17" t="str">
        <f>IFERROR(VLOOKUP(シフト組み!AO83,役職一覧!$B:$D,2,FALSE),"")</f>
        <v/>
      </c>
      <c r="AP53" s="17" t="str">
        <f>IFERROR(VLOOKUP(シフト組み!AP83,役職一覧!$B:$D,2,FALSE),"")</f>
        <v/>
      </c>
      <c r="AQ53" s="17" t="str">
        <f>IFERROR(VLOOKUP(シフト組み!AQ83,役職一覧!$B:$D,2,FALSE),"")</f>
        <v/>
      </c>
      <c r="AR53" s="17" t="str">
        <f>IFERROR(VLOOKUP(シフト組み!AR83,役職一覧!$B:$D,2,FALSE),"")</f>
        <v/>
      </c>
      <c r="AS53" s="17" t="str">
        <f>IFERROR(VLOOKUP(シフト組み!AS83,役職一覧!$B:$D,2,FALSE),"")</f>
        <v/>
      </c>
      <c r="AT53" s="17" t="str">
        <f>IFERROR(VLOOKUP(シフト組み!AT83,役職一覧!$B:$D,2,FALSE),"")</f>
        <v/>
      </c>
      <c r="AU53" s="17" t="str">
        <f>IFERROR(VLOOKUP(シフト組み!AU83,役職一覧!$B:$D,2,FALSE),"")</f>
        <v/>
      </c>
      <c r="AV53" s="17" t="str">
        <f>IFERROR(VLOOKUP(シフト組み!AV83,役職一覧!$B:$D,2,FALSE),"")</f>
        <v/>
      </c>
      <c r="AW53" s="17" t="str">
        <f>IFERROR(VLOOKUP(シフト組み!AW83,役職一覧!$B:$D,2,FALSE),"")</f>
        <v/>
      </c>
      <c r="AX53" s="17" t="str">
        <f>IFERROR(VLOOKUP(シフト組み!AX83,役職一覧!$B:$D,2,FALSE),"")</f>
        <v/>
      </c>
      <c r="AY53" s="17" t="str">
        <f>IFERROR(VLOOKUP(シフト組み!AY83,役職一覧!$B:$D,2,FALSE),"")</f>
        <v/>
      </c>
      <c r="AZ53" s="17" t="str">
        <f>IFERROR(VLOOKUP(シフト組み!AZ83,役職一覧!$B:$D,2,FALSE),"")</f>
        <v/>
      </c>
      <c r="BA53" s="17" t="str">
        <f>IFERROR(VLOOKUP(シフト組み!BA83,役職一覧!$B:$D,2,FALSE),"")</f>
        <v/>
      </c>
    </row>
    <row r="54" spans="1:53">
      <c r="A54" s="2" t="str">
        <f>シフト組み!A84&amp;""</f>
        <v/>
      </c>
      <c r="B54" s="2" t="str">
        <f>シフト組み!B84&amp;""</f>
        <v/>
      </c>
      <c r="C54" s="2" t="str">
        <f>シフト組み!C84&amp;""</f>
        <v/>
      </c>
      <c r="D54" s="17" t="str">
        <f>IFERROR(VLOOKUP(シフト組み!D84,役職一覧!$B:$D,2,FALSE),"")</f>
        <v/>
      </c>
      <c r="E54" s="17" t="str">
        <f>IFERROR(VLOOKUP(シフト組み!E84,役職一覧!$B:$D,2,FALSE),"")</f>
        <v/>
      </c>
      <c r="F54" s="17" t="str">
        <f>IFERROR(VLOOKUP(シフト組み!F84,役職一覧!$B:$D,2,FALSE),"")</f>
        <v/>
      </c>
      <c r="G54" s="17" t="str">
        <f>IFERROR(VLOOKUP(シフト組み!G84,役職一覧!$B:$D,2,FALSE),"")</f>
        <v/>
      </c>
      <c r="H54" s="17" t="str">
        <f>IFERROR(VLOOKUP(シフト組み!H84,役職一覧!$B:$D,2,FALSE),"")</f>
        <v/>
      </c>
      <c r="I54" s="17" t="str">
        <f>IFERROR(VLOOKUP(シフト組み!I84,役職一覧!$B:$D,2,FALSE),"")</f>
        <v/>
      </c>
      <c r="J54" s="17" t="str">
        <f>IFERROR(VLOOKUP(シフト組み!J84,役職一覧!$B:$D,2,FALSE),"")</f>
        <v/>
      </c>
      <c r="K54" s="17" t="str">
        <f>IFERROR(VLOOKUP(シフト組み!K84,役職一覧!$B:$D,2,FALSE),"")</f>
        <v/>
      </c>
      <c r="L54" s="17" t="str">
        <f>IFERROR(VLOOKUP(シフト組み!L84,役職一覧!$B:$D,2,FALSE),"")</f>
        <v/>
      </c>
      <c r="M54" s="17" t="str">
        <f>IFERROR(VLOOKUP(シフト組み!M84,役職一覧!$B:$D,2,FALSE),"")</f>
        <v/>
      </c>
      <c r="N54" s="17" t="str">
        <f>IFERROR(VLOOKUP(シフト組み!N84,役職一覧!$B:$D,2,FALSE),"")</f>
        <v/>
      </c>
      <c r="O54" s="17" t="str">
        <f>IFERROR(VLOOKUP(シフト組み!O84,役職一覧!$B:$D,2,FALSE),"")</f>
        <v/>
      </c>
      <c r="P54" s="17" t="str">
        <f>IFERROR(VLOOKUP(シフト組み!P84,役職一覧!$B:$D,2,FALSE),"")</f>
        <v/>
      </c>
      <c r="Q54" s="17" t="str">
        <f>IFERROR(VLOOKUP(シフト組み!Q84,役職一覧!$B:$D,2,FALSE),"")</f>
        <v/>
      </c>
      <c r="R54" s="17" t="str">
        <f>IFERROR(VLOOKUP(シフト組み!R84,役職一覧!$B:$D,2,FALSE),"")</f>
        <v/>
      </c>
      <c r="S54" s="17" t="str">
        <f>IFERROR(VLOOKUP(シフト組み!S84,役職一覧!$B:$D,2,FALSE),"")</f>
        <v/>
      </c>
      <c r="T54" s="17" t="str">
        <f>IFERROR(VLOOKUP(シフト組み!T84,役職一覧!$B:$D,2,FALSE),"")</f>
        <v/>
      </c>
      <c r="U54" s="17" t="str">
        <f>IFERROR(VLOOKUP(シフト組み!U84,役職一覧!$B:$D,2,FALSE),"")</f>
        <v/>
      </c>
      <c r="V54" s="17" t="str">
        <f>IFERROR(VLOOKUP(シフト組み!V84,役職一覧!$B:$D,2,FALSE),"")</f>
        <v/>
      </c>
      <c r="W54" s="17" t="str">
        <f>IFERROR(VLOOKUP(シフト組み!W84,役職一覧!$B:$D,2,FALSE),"")</f>
        <v/>
      </c>
      <c r="X54" s="17" t="str">
        <f>IFERROR(VLOOKUP(シフト組み!X84,役職一覧!$B:$D,2,FALSE),"")</f>
        <v/>
      </c>
      <c r="Y54" s="17" t="str">
        <f>IFERROR(VLOOKUP(シフト組み!Y84,役職一覧!$B:$D,2,FALSE),"")</f>
        <v/>
      </c>
      <c r="Z54" s="17" t="str">
        <f>IFERROR(VLOOKUP(シフト組み!Z84,役職一覧!$B:$D,2,FALSE),"")</f>
        <v/>
      </c>
      <c r="AA54" s="17" t="str">
        <f>IFERROR(VLOOKUP(シフト組み!AA84,役職一覧!$B:$D,2,FALSE),"")</f>
        <v/>
      </c>
      <c r="AB54" s="17" t="str">
        <f>IFERROR(VLOOKUP(シフト組み!AB84,役職一覧!$B:$D,2,FALSE),"")</f>
        <v/>
      </c>
      <c r="AC54" s="17" t="str">
        <f>IFERROR(VLOOKUP(シフト組み!AC84,役職一覧!$B:$D,2,FALSE),"")</f>
        <v/>
      </c>
      <c r="AD54" s="17" t="str">
        <f>IFERROR(VLOOKUP(シフト組み!AD84,役職一覧!$B:$D,2,FALSE),"")</f>
        <v/>
      </c>
      <c r="AE54" s="17" t="str">
        <f>IFERROR(VLOOKUP(シフト組み!AE84,役職一覧!$B:$D,2,FALSE),"")</f>
        <v/>
      </c>
      <c r="AF54" s="17" t="str">
        <f>IFERROR(VLOOKUP(シフト組み!AF84,役職一覧!$B:$D,2,FALSE),"")</f>
        <v/>
      </c>
      <c r="AG54" s="17" t="str">
        <f>IFERROR(VLOOKUP(シフト組み!AG84,役職一覧!$B:$D,2,FALSE),"")</f>
        <v/>
      </c>
      <c r="AH54" s="17" t="str">
        <f>IFERROR(VLOOKUP(シフト組み!AH84,役職一覧!$B:$D,2,FALSE),"")</f>
        <v/>
      </c>
      <c r="AI54" s="17" t="str">
        <f>IFERROR(VLOOKUP(シフト組み!AI84,役職一覧!$B:$D,2,FALSE),"")</f>
        <v/>
      </c>
      <c r="AJ54" s="17" t="str">
        <f>IFERROR(VLOOKUP(シフト組み!AJ84,役職一覧!$B:$D,2,FALSE),"")</f>
        <v/>
      </c>
      <c r="AK54" s="17" t="str">
        <f>IFERROR(VLOOKUP(シフト組み!AK84,役職一覧!$B:$D,2,FALSE),"")</f>
        <v/>
      </c>
      <c r="AL54" s="17" t="str">
        <f>IFERROR(VLOOKUP(シフト組み!AL84,役職一覧!$B:$D,2,FALSE),"")</f>
        <v/>
      </c>
      <c r="AM54" s="17" t="str">
        <f>IFERROR(VLOOKUP(シフト組み!AM84,役職一覧!$B:$D,2,FALSE),"")</f>
        <v/>
      </c>
      <c r="AN54" s="17" t="str">
        <f>IFERROR(VLOOKUP(シフト組み!AN84,役職一覧!$B:$D,2,FALSE),"")</f>
        <v/>
      </c>
      <c r="AO54" s="17" t="str">
        <f>IFERROR(VLOOKUP(シフト組み!AO84,役職一覧!$B:$D,2,FALSE),"")</f>
        <v/>
      </c>
      <c r="AP54" s="17" t="str">
        <f>IFERROR(VLOOKUP(シフト組み!AP84,役職一覧!$B:$D,2,FALSE),"")</f>
        <v/>
      </c>
      <c r="AQ54" s="17" t="str">
        <f>IFERROR(VLOOKUP(シフト組み!AQ84,役職一覧!$B:$D,2,FALSE),"")</f>
        <v/>
      </c>
      <c r="AR54" s="17" t="str">
        <f>IFERROR(VLOOKUP(シフト組み!AR84,役職一覧!$B:$D,2,FALSE),"")</f>
        <v/>
      </c>
      <c r="AS54" s="17" t="str">
        <f>IFERROR(VLOOKUP(シフト組み!AS84,役職一覧!$B:$D,2,FALSE),"")</f>
        <v/>
      </c>
      <c r="AT54" s="17" t="str">
        <f>IFERROR(VLOOKUP(シフト組み!AT84,役職一覧!$B:$D,2,FALSE),"")</f>
        <v/>
      </c>
      <c r="AU54" s="17" t="str">
        <f>IFERROR(VLOOKUP(シフト組み!AU84,役職一覧!$B:$D,2,FALSE),"")</f>
        <v/>
      </c>
      <c r="AV54" s="17" t="str">
        <f>IFERROR(VLOOKUP(シフト組み!AV84,役職一覧!$B:$D,2,FALSE),"")</f>
        <v/>
      </c>
      <c r="AW54" s="17" t="str">
        <f>IFERROR(VLOOKUP(シフト組み!AW84,役職一覧!$B:$D,2,FALSE),"")</f>
        <v/>
      </c>
      <c r="AX54" s="17" t="str">
        <f>IFERROR(VLOOKUP(シフト組み!AX84,役職一覧!$B:$D,2,FALSE),"")</f>
        <v/>
      </c>
      <c r="AY54" s="17" t="str">
        <f>IFERROR(VLOOKUP(シフト組み!AY84,役職一覧!$B:$D,2,FALSE),"")</f>
        <v/>
      </c>
      <c r="AZ54" s="17" t="str">
        <f>IFERROR(VLOOKUP(シフト組み!AZ84,役職一覧!$B:$D,2,FALSE),"")</f>
        <v/>
      </c>
      <c r="BA54" s="17" t="str">
        <f>IFERROR(VLOOKUP(シフト組み!BA84,役職一覧!$B:$D,2,FALSE),"")</f>
        <v/>
      </c>
    </row>
    <row r="55" spans="1:53">
      <c r="A55" s="2" t="str">
        <f>シフト組み!A85&amp;""</f>
        <v/>
      </c>
      <c r="B55" s="2" t="str">
        <f>シフト組み!B85&amp;""</f>
        <v/>
      </c>
      <c r="C55" s="2" t="str">
        <f>シフト組み!C85&amp;""</f>
        <v/>
      </c>
      <c r="D55" s="17" t="str">
        <f>IFERROR(VLOOKUP(シフト組み!D85,役職一覧!$B:$D,2,FALSE),"")</f>
        <v/>
      </c>
      <c r="E55" s="17" t="str">
        <f>IFERROR(VLOOKUP(シフト組み!E85,役職一覧!$B:$D,2,FALSE),"")</f>
        <v/>
      </c>
      <c r="F55" s="17" t="str">
        <f>IFERROR(VLOOKUP(シフト組み!F85,役職一覧!$B:$D,2,FALSE),"")</f>
        <v/>
      </c>
      <c r="G55" s="17" t="str">
        <f>IFERROR(VLOOKUP(シフト組み!G85,役職一覧!$B:$D,2,FALSE),"")</f>
        <v/>
      </c>
      <c r="H55" s="17" t="str">
        <f>IFERROR(VLOOKUP(シフト組み!H85,役職一覧!$B:$D,2,FALSE),"")</f>
        <v/>
      </c>
      <c r="I55" s="17" t="str">
        <f>IFERROR(VLOOKUP(シフト組み!I85,役職一覧!$B:$D,2,FALSE),"")</f>
        <v/>
      </c>
      <c r="J55" s="17" t="str">
        <f>IFERROR(VLOOKUP(シフト組み!J85,役職一覧!$B:$D,2,FALSE),"")</f>
        <v/>
      </c>
      <c r="K55" s="17" t="str">
        <f>IFERROR(VLOOKUP(シフト組み!K85,役職一覧!$B:$D,2,FALSE),"")</f>
        <v/>
      </c>
      <c r="L55" s="17" t="str">
        <f>IFERROR(VLOOKUP(シフト組み!L85,役職一覧!$B:$D,2,FALSE),"")</f>
        <v/>
      </c>
      <c r="M55" s="17" t="str">
        <f>IFERROR(VLOOKUP(シフト組み!M85,役職一覧!$B:$D,2,FALSE),"")</f>
        <v/>
      </c>
      <c r="N55" s="17" t="str">
        <f>IFERROR(VLOOKUP(シフト組み!N85,役職一覧!$B:$D,2,FALSE),"")</f>
        <v/>
      </c>
      <c r="O55" s="17" t="str">
        <f>IFERROR(VLOOKUP(シフト組み!O85,役職一覧!$B:$D,2,FALSE),"")</f>
        <v/>
      </c>
      <c r="P55" s="17" t="str">
        <f>IFERROR(VLOOKUP(シフト組み!P85,役職一覧!$B:$D,2,FALSE),"")</f>
        <v/>
      </c>
      <c r="Q55" s="17" t="str">
        <f>IFERROR(VLOOKUP(シフト組み!Q85,役職一覧!$B:$D,2,FALSE),"")</f>
        <v/>
      </c>
      <c r="R55" s="17" t="str">
        <f>IFERROR(VLOOKUP(シフト組み!R85,役職一覧!$B:$D,2,FALSE),"")</f>
        <v/>
      </c>
      <c r="S55" s="17" t="str">
        <f>IFERROR(VLOOKUP(シフト組み!S85,役職一覧!$B:$D,2,FALSE),"")</f>
        <v/>
      </c>
      <c r="T55" s="17" t="str">
        <f>IFERROR(VLOOKUP(シフト組み!T85,役職一覧!$B:$D,2,FALSE),"")</f>
        <v/>
      </c>
      <c r="U55" s="17" t="str">
        <f>IFERROR(VLOOKUP(シフト組み!U85,役職一覧!$B:$D,2,FALSE),"")</f>
        <v/>
      </c>
      <c r="V55" s="17" t="str">
        <f>IFERROR(VLOOKUP(シフト組み!V85,役職一覧!$B:$D,2,FALSE),"")</f>
        <v/>
      </c>
      <c r="W55" s="17" t="str">
        <f>IFERROR(VLOOKUP(シフト組み!W85,役職一覧!$B:$D,2,FALSE),"")</f>
        <v/>
      </c>
      <c r="X55" s="17" t="str">
        <f>IFERROR(VLOOKUP(シフト組み!X85,役職一覧!$B:$D,2,FALSE),"")</f>
        <v/>
      </c>
      <c r="Y55" s="17" t="str">
        <f>IFERROR(VLOOKUP(シフト組み!Y85,役職一覧!$B:$D,2,FALSE),"")</f>
        <v/>
      </c>
      <c r="Z55" s="17" t="str">
        <f>IFERROR(VLOOKUP(シフト組み!Z85,役職一覧!$B:$D,2,FALSE),"")</f>
        <v/>
      </c>
      <c r="AA55" s="17" t="str">
        <f>IFERROR(VLOOKUP(シフト組み!AA85,役職一覧!$B:$D,2,FALSE),"")</f>
        <v/>
      </c>
      <c r="AB55" s="17" t="str">
        <f>IFERROR(VLOOKUP(シフト組み!AB85,役職一覧!$B:$D,2,FALSE),"")</f>
        <v/>
      </c>
      <c r="AC55" s="17" t="str">
        <f>IFERROR(VLOOKUP(シフト組み!AC85,役職一覧!$B:$D,2,FALSE),"")</f>
        <v/>
      </c>
      <c r="AD55" s="17" t="str">
        <f>IFERROR(VLOOKUP(シフト組み!AD85,役職一覧!$B:$D,2,FALSE),"")</f>
        <v/>
      </c>
      <c r="AE55" s="17" t="str">
        <f>IFERROR(VLOOKUP(シフト組み!AE85,役職一覧!$B:$D,2,FALSE),"")</f>
        <v/>
      </c>
      <c r="AF55" s="17" t="str">
        <f>IFERROR(VLOOKUP(シフト組み!AF85,役職一覧!$B:$D,2,FALSE),"")</f>
        <v/>
      </c>
      <c r="AG55" s="17" t="str">
        <f>IFERROR(VLOOKUP(シフト組み!AG85,役職一覧!$B:$D,2,FALSE),"")</f>
        <v/>
      </c>
      <c r="AH55" s="17" t="str">
        <f>IFERROR(VLOOKUP(シフト組み!AH85,役職一覧!$B:$D,2,FALSE),"")</f>
        <v/>
      </c>
      <c r="AI55" s="17" t="str">
        <f>IFERROR(VLOOKUP(シフト組み!AI85,役職一覧!$B:$D,2,FALSE),"")</f>
        <v/>
      </c>
      <c r="AJ55" s="17" t="str">
        <f>IFERROR(VLOOKUP(シフト組み!AJ85,役職一覧!$B:$D,2,FALSE),"")</f>
        <v/>
      </c>
      <c r="AK55" s="17" t="str">
        <f>IFERROR(VLOOKUP(シフト組み!AK85,役職一覧!$B:$D,2,FALSE),"")</f>
        <v/>
      </c>
      <c r="AL55" s="17" t="str">
        <f>IFERROR(VLOOKUP(シフト組み!AL85,役職一覧!$B:$D,2,FALSE),"")</f>
        <v/>
      </c>
      <c r="AM55" s="17" t="str">
        <f>IFERROR(VLOOKUP(シフト組み!AM85,役職一覧!$B:$D,2,FALSE),"")</f>
        <v/>
      </c>
      <c r="AN55" s="17" t="str">
        <f>IFERROR(VLOOKUP(シフト組み!AN85,役職一覧!$B:$D,2,FALSE),"")</f>
        <v/>
      </c>
      <c r="AO55" s="17" t="str">
        <f>IFERROR(VLOOKUP(シフト組み!AO85,役職一覧!$B:$D,2,FALSE),"")</f>
        <v/>
      </c>
      <c r="AP55" s="17" t="str">
        <f>IFERROR(VLOOKUP(シフト組み!AP85,役職一覧!$B:$D,2,FALSE),"")</f>
        <v/>
      </c>
      <c r="AQ55" s="17" t="str">
        <f>IFERROR(VLOOKUP(シフト組み!AQ85,役職一覧!$B:$D,2,FALSE),"")</f>
        <v/>
      </c>
      <c r="AR55" s="17" t="str">
        <f>IFERROR(VLOOKUP(シフト組み!AR85,役職一覧!$B:$D,2,FALSE),"")</f>
        <v/>
      </c>
      <c r="AS55" s="17" t="str">
        <f>IFERROR(VLOOKUP(シフト組み!AS85,役職一覧!$B:$D,2,FALSE),"")</f>
        <v/>
      </c>
      <c r="AT55" s="17" t="str">
        <f>IFERROR(VLOOKUP(シフト組み!AT85,役職一覧!$B:$D,2,FALSE),"")</f>
        <v/>
      </c>
      <c r="AU55" s="17" t="str">
        <f>IFERROR(VLOOKUP(シフト組み!AU85,役職一覧!$B:$D,2,FALSE),"")</f>
        <v/>
      </c>
      <c r="AV55" s="17" t="str">
        <f>IFERROR(VLOOKUP(シフト組み!AV85,役職一覧!$B:$D,2,FALSE),"")</f>
        <v/>
      </c>
      <c r="AW55" s="17" t="str">
        <f>IFERROR(VLOOKUP(シフト組み!AW85,役職一覧!$B:$D,2,FALSE),"")</f>
        <v/>
      </c>
      <c r="AX55" s="17" t="str">
        <f>IFERROR(VLOOKUP(シフト組み!AX85,役職一覧!$B:$D,2,FALSE),"")</f>
        <v/>
      </c>
      <c r="AY55" s="17" t="str">
        <f>IFERROR(VLOOKUP(シフト組み!AY85,役職一覧!$B:$D,2,FALSE),"")</f>
        <v/>
      </c>
      <c r="AZ55" s="17" t="str">
        <f>IFERROR(VLOOKUP(シフト組み!AZ85,役職一覧!$B:$D,2,FALSE),"")</f>
        <v/>
      </c>
      <c r="BA55" s="17" t="str">
        <f>IFERROR(VLOOKUP(シフト組み!BA85,役職一覧!$B:$D,2,FALSE),"")</f>
        <v/>
      </c>
    </row>
    <row r="56" spans="1:53">
      <c r="A56" s="2" t="str">
        <f>シフト組み!A86&amp;""</f>
        <v/>
      </c>
      <c r="B56" s="2" t="str">
        <f>シフト組み!B86&amp;""</f>
        <v/>
      </c>
      <c r="C56" s="2" t="str">
        <f>シフト組み!C86&amp;""</f>
        <v/>
      </c>
      <c r="D56" s="17" t="str">
        <f>IFERROR(VLOOKUP(シフト組み!D86,役職一覧!$B:$D,2,FALSE),"")</f>
        <v/>
      </c>
      <c r="E56" s="17" t="str">
        <f>IFERROR(VLOOKUP(シフト組み!E86,役職一覧!$B:$D,2,FALSE),"")</f>
        <v/>
      </c>
      <c r="F56" s="17" t="str">
        <f>IFERROR(VLOOKUP(シフト組み!F86,役職一覧!$B:$D,2,FALSE),"")</f>
        <v/>
      </c>
      <c r="G56" s="17" t="str">
        <f>IFERROR(VLOOKUP(シフト組み!G86,役職一覧!$B:$D,2,FALSE),"")</f>
        <v/>
      </c>
      <c r="H56" s="17" t="str">
        <f>IFERROR(VLOOKUP(シフト組み!H86,役職一覧!$B:$D,2,FALSE),"")</f>
        <v/>
      </c>
      <c r="I56" s="17" t="str">
        <f>IFERROR(VLOOKUP(シフト組み!I86,役職一覧!$B:$D,2,FALSE),"")</f>
        <v/>
      </c>
      <c r="J56" s="17" t="str">
        <f>IFERROR(VLOOKUP(シフト組み!J86,役職一覧!$B:$D,2,FALSE),"")</f>
        <v/>
      </c>
      <c r="K56" s="17" t="str">
        <f>IFERROR(VLOOKUP(シフト組み!K86,役職一覧!$B:$D,2,FALSE),"")</f>
        <v/>
      </c>
      <c r="L56" s="17" t="str">
        <f>IFERROR(VLOOKUP(シフト組み!L86,役職一覧!$B:$D,2,FALSE),"")</f>
        <v/>
      </c>
      <c r="M56" s="17" t="str">
        <f>IFERROR(VLOOKUP(シフト組み!M86,役職一覧!$B:$D,2,FALSE),"")</f>
        <v/>
      </c>
      <c r="N56" s="17" t="str">
        <f>IFERROR(VLOOKUP(シフト組み!N86,役職一覧!$B:$D,2,FALSE),"")</f>
        <v/>
      </c>
      <c r="O56" s="17" t="str">
        <f>IFERROR(VLOOKUP(シフト組み!O86,役職一覧!$B:$D,2,FALSE),"")</f>
        <v/>
      </c>
      <c r="P56" s="17" t="str">
        <f>IFERROR(VLOOKUP(シフト組み!P86,役職一覧!$B:$D,2,FALSE),"")</f>
        <v/>
      </c>
      <c r="Q56" s="17" t="str">
        <f>IFERROR(VLOOKUP(シフト組み!Q86,役職一覧!$B:$D,2,FALSE),"")</f>
        <v/>
      </c>
      <c r="R56" s="17" t="str">
        <f>IFERROR(VLOOKUP(シフト組み!R86,役職一覧!$B:$D,2,FALSE),"")</f>
        <v/>
      </c>
      <c r="S56" s="17" t="str">
        <f>IFERROR(VLOOKUP(シフト組み!S86,役職一覧!$B:$D,2,FALSE),"")</f>
        <v/>
      </c>
      <c r="T56" s="17" t="str">
        <f>IFERROR(VLOOKUP(シフト組み!T86,役職一覧!$B:$D,2,FALSE),"")</f>
        <v/>
      </c>
      <c r="U56" s="17" t="str">
        <f>IFERROR(VLOOKUP(シフト組み!U86,役職一覧!$B:$D,2,FALSE),"")</f>
        <v/>
      </c>
      <c r="V56" s="17" t="str">
        <f>IFERROR(VLOOKUP(シフト組み!V86,役職一覧!$B:$D,2,FALSE),"")</f>
        <v/>
      </c>
      <c r="W56" s="17" t="str">
        <f>IFERROR(VLOOKUP(シフト組み!W86,役職一覧!$B:$D,2,FALSE),"")</f>
        <v/>
      </c>
      <c r="X56" s="17" t="str">
        <f>IFERROR(VLOOKUP(シフト組み!X86,役職一覧!$B:$D,2,FALSE),"")</f>
        <v/>
      </c>
      <c r="Y56" s="17" t="str">
        <f>IFERROR(VLOOKUP(シフト組み!Y86,役職一覧!$B:$D,2,FALSE),"")</f>
        <v/>
      </c>
      <c r="Z56" s="17" t="str">
        <f>IFERROR(VLOOKUP(シフト組み!Z86,役職一覧!$B:$D,2,FALSE),"")</f>
        <v/>
      </c>
      <c r="AA56" s="17" t="str">
        <f>IFERROR(VLOOKUP(シフト組み!AA86,役職一覧!$B:$D,2,FALSE),"")</f>
        <v/>
      </c>
      <c r="AB56" s="17" t="str">
        <f>IFERROR(VLOOKUP(シフト組み!AB86,役職一覧!$B:$D,2,FALSE),"")</f>
        <v/>
      </c>
      <c r="AC56" s="17" t="str">
        <f>IFERROR(VLOOKUP(シフト組み!AC86,役職一覧!$B:$D,2,FALSE),"")</f>
        <v/>
      </c>
      <c r="AD56" s="17" t="str">
        <f>IFERROR(VLOOKUP(シフト組み!AD86,役職一覧!$B:$D,2,FALSE),"")</f>
        <v/>
      </c>
      <c r="AE56" s="17" t="str">
        <f>IFERROR(VLOOKUP(シフト組み!AE86,役職一覧!$B:$D,2,FALSE),"")</f>
        <v/>
      </c>
      <c r="AF56" s="17" t="str">
        <f>IFERROR(VLOOKUP(シフト組み!AF86,役職一覧!$B:$D,2,FALSE),"")</f>
        <v/>
      </c>
      <c r="AG56" s="17" t="str">
        <f>IFERROR(VLOOKUP(シフト組み!AG86,役職一覧!$B:$D,2,FALSE),"")</f>
        <v/>
      </c>
      <c r="AH56" s="17" t="str">
        <f>IFERROR(VLOOKUP(シフト組み!AH86,役職一覧!$B:$D,2,FALSE),"")</f>
        <v/>
      </c>
      <c r="AI56" s="17" t="str">
        <f>IFERROR(VLOOKUP(シフト組み!AI86,役職一覧!$B:$D,2,FALSE),"")</f>
        <v/>
      </c>
      <c r="AJ56" s="17" t="str">
        <f>IFERROR(VLOOKUP(シフト組み!AJ86,役職一覧!$B:$D,2,FALSE),"")</f>
        <v/>
      </c>
      <c r="AK56" s="17" t="str">
        <f>IFERROR(VLOOKUP(シフト組み!AK86,役職一覧!$B:$D,2,FALSE),"")</f>
        <v/>
      </c>
      <c r="AL56" s="17" t="str">
        <f>IFERROR(VLOOKUP(シフト組み!AL86,役職一覧!$B:$D,2,FALSE),"")</f>
        <v/>
      </c>
      <c r="AM56" s="17" t="str">
        <f>IFERROR(VLOOKUP(シフト組み!AM86,役職一覧!$B:$D,2,FALSE),"")</f>
        <v/>
      </c>
      <c r="AN56" s="17" t="str">
        <f>IFERROR(VLOOKUP(シフト組み!AN86,役職一覧!$B:$D,2,FALSE),"")</f>
        <v/>
      </c>
      <c r="AO56" s="17" t="str">
        <f>IFERROR(VLOOKUP(シフト組み!AO86,役職一覧!$B:$D,2,FALSE),"")</f>
        <v/>
      </c>
      <c r="AP56" s="17" t="str">
        <f>IFERROR(VLOOKUP(シフト組み!AP86,役職一覧!$B:$D,2,FALSE),"")</f>
        <v/>
      </c>
      <c r="AQ56" s="17" t="str">
        <f>IFERROR(VLOOKUP(シフト組み!AQ86,役職一覧!$B:$D,2,FALSE),"")</f>
        <v/>
      </c>
      <c r="AR56" s="17" t="str">
        <f>IFERROR(VLOOKUP(シフト組み!AR86,役職一覧!$B:$D,2,FALSE),"")</f>
        <v/>
      </c>
      <c r="AS56" s="17" t="str">
        <f>IFERROR(VLOOKUP(シフト組み!AS86,役職一覧!$B:$D,2,FALSE),"")</f>
        <v/>
      </c>
      <c r="AT56" s="17" t="str">
        <f>IFERROR(VLOOKUP(シフト組み!AT86,役職一覧!$B:$D,2,FALSE),"")</f>
        <v/>
      </c>
      <c r="AU56" s="17" t="str">
        <f>IFERROR(VLOOKUP(シフト組み!AU86,役職一覧!$B:$D,2,FALSE),"")</f>
        <v/>
      </c>
      <c r="AV56" s="17" t="str">
        <f>IFERROR(VLOOKUP(シフト組み!AV86,役職一覧!$B:$D,2,FALSE),"")</f>
        <v/>
      </c>
      <c r="AW56" s="17" t="str">
        <f>IFERROR(VLOOKUP(シフト組み!AW86,役職一覧!$B:$D,2,FALSE),"")</f>
        <v/>
      </c>
      <c r="AX56" s="17" t="str">
        <f>IFERROR(VLOOKUP(シフト組み!AX86,役職一覧!$B:$D,2,FALSE),"")</f>
        <v/>
      </c>
      <c r="AY56" s="17" t="str">
        <f>IFERROR(VLOOKUP(シフト組み!AY86,役職一覧!$B:$D,2,FALSE),"")</f>
        <v/>
      </c>
      <c r="AZ56" s="17" t="str">
        <f>IFERROR(VLOOKUP(シフト組み!AZ86,役職一覧!$B:$D,2,FALSE),"")</f>
        <v/>
      </c>
      <c r="BA56" s="17" t="str">
        <f>IFERROR(VLOOKUP(シフト組み!BA86,役職一覧!$B:$D,2,FALSE),"")</f>
        <v/>
      </c>
    </row>
    <row r="57" spans="1:53">
      <c r="A57" s="2" t="str">
        <f>シフト組み!A87&amp;""</f>
        <v/>
      </c>
      <c r="B57" s="2" t="str">
        <f>シフト組み!B87&amp;""</f>
        <v/>
      </c>
      <c r="C57" s="2" t="str">
        <f>シフト組み!C87&amp;""</f>
        <v/>
      </c>
      <c r="D57" s="17" t="str">
        <f>IFERROR(VLOOKUP(シフト組み!D87,役職一覧!$B:$D,2,FALSE),"")</f>
        <v/>
      </c>
      <c r="E57" s="17" t="str">
        <f>IFERROR(VLOOKUP(シフト組み!E87,役職一覧!$B:$D,2,FALSE),"")</f>
        <v/>
      </c>
      <c r="F57" s="17" t="str">
        <f>IFERROR(VLOOKUP(シフト組み!F87,役職一覧!$B:$D,2,FALSE),"")</f>
        <v/>
      </c>
      <c r="G57" s="17" t="str">
        <f>IFERROR(VLOOKUP(シフト組み!G87,役職一覧!$B:$D,2,FALSE),"")</f>
        <v/>
      </c>
      <c r="H57" s="17" t="str">
        <f>IFERROR(VLOOKUP(シフト組み!H87,役職一覧!$B:$D,2,FALSE),"")</f>
        <v/>
      </c>
      <c r="I57" s="17" t="str">
        <f>IFERROR(VLOOKUP(シフト組み!I87,役職一覧!$B:$D,2,FALSE),"")</f>
        <v/>
      </c>
      <c r="J57" s="17" t="str">
        <f>IFERROR(VLOOKUP(シフト組み!J87,役職一覧!$B:$D,2,FALSE),"")</f>
        <v/>
      </c>
      <c r="K57" s="17" t="str">
        <f>IFERROR(VLOOKUP(シフト組み!K87,役職一覧!$B:$D,2,FALSE),"")</f>
        <v/>
      </c>
      <c r="L57" s="17" t="str">
        <f>IFERROR(VLOOKUP(シフト組み!L87,役職一覧!$B:$D,2,FALSE),"")</f>
        <v/>
      </c>
      <c r="M57" s="17" t="str">
        <f>IFERROR(VLOOKUP(シフト組み!M87,役職一覧!$B:$D,2,FALSE),"")</f>
        <v/>
      </c>
      <c r="N57" s="17" t="str">
        <f>IFERROR(VLOOKUP(シフト組み!N87,役職一覧!$B:$D,2,FALSE),"")</f>
        <v/>
      </c>
      <c r="O57" s="17" t="str">
        <f>IFERROR(VLOOKUP(シフト組み!O87,役職一覧!$B:$D,2,FALSE),"")</f>
        <v/>
      </c>
      <c r="P57" s="17" t="str">
        <f>IFERROR(VLOOKUP(シフト組み!P87,役職一覧!$B:$D,2,FALSE),"")</f>
        <v/>
      </c>
      <c r="Q57" s="17" t="str">
        <f>IFERROR(VLOOKUP(シフト組み!Q87,役職一覧!$B:$D,2,FALSE),"")</f>
        <v/>
      </c>
      <c r="R57" s="17" t="str">
        <f>IFERROR(VLOOKUP(シフト組み!R87,役職一覧!$B:$D,2,FALSE),"")</f>
        <v/>
      </c>
      <c r="S57" s="17" t="str">
        <f>IFERROR(VLOOKUP(シフト組み!S87,役職一覧!$B:$D,2,FALSE),"")</f>
        <v/>
      </c>
      <c r="T57" s="17" t="str">
        <f>IFERROR(VLOOKUP(シフト組み!T87,役職一覧!$B:$D,2,FALSE),"")</f>
        <v/>
      </c>
      <c r="U57" s="17" t="str">
        <f>IFERROR(VLOOKUP(シフト組み!U87,役職一覧!$B:$D,2,FALSE),"")</f>
        <v/>
      </c>
      <c r="V57" s="17" t="str">
        <f>IFERROR(VLOOKUP(シフト組み!V87,役職一覧!$B:$D,2,FALSE),"")</f>
        <v/>
      </c>
      <c r="W57" s="17" t="str">
        <f>IFERROR(VLOOKUP(シフト組み!W87,役職一覧!$B:$D,2,FALSE),"")</f>
        <v/>
      </c>
      <c r="X57" s="17" t="str">
        <f>IFERROR(VLOOKUP(シフト組み!X87,役職一覧!$B:$D,2,FALSE),"")</f>
        <v/>
      </c>
      <c r="Y57" s="17" t="str">
        <f>IFERROR(VLOOKUP(シフト組み!Y87,役職一覧!$B:$D,2,FALSE),"")</f>
        <v/>
      </c>
      <c r="Z57" s="17" t="str">
        <f>IFERROR(VLOOKUP(シフト組み!Z87,役職一覧!$B:$D,2,FALSE),"")</f>
        <v/>
      </c>
      <c r="AA57" s="17" t="str">
        <f>IFERROR(VLOOKUP(シフト組み!AA87,役職一覧!$B:$D,2,FALSE),"")</f>
        <v/>
      </c>
      <c r="AB57" s="17" t="str">
        <f>IFERROR(VLOOKUP(シフト組み!AB87,役職一覧!$B:$D,2,FALSE),"")</f>
        <v/>
      </c>
      <c r="AC57" s="17" t="str">
        <f>IFERROR(VLOOKUP(シフト組み!AC87,役職一覧!$B:$D,2,FALSE),"")</f>
        <v/>
      </c>
      <c r="AD57" s="17" t="str">
        <f>IFERROR(VLOOKUP(シフト組み!AD87,役職一覧!$B:$D,2,FALSE),"")</f>
        <v/>
      </c>
      <c r="AE57" s="17" t="str">
        <f>IFERROR(VLOOKUP(シフト組み!AE87,役職一覧!$B:$D,2,FALSE),"")</f>
        <v/>
      </c>
      <c r="AF57" s="17" t="str">
        <f>IFERROR(VLOOKUP(シフト組み!AF87,役職一覧!$B:$D,2,FALSE),"")</f>
        <v/>
      </c>
      <c r="AG57" s="17" t="str">
        <f>IFERROR(VLOOKUP(シフト組み!AG87,役職一覧!$B:$D,2,FALSE),"")</f>
        <v/>
      </c>
      <c r="AH57" s="17" t="str">
        <f>IFERROR(VLOOKUP(シフト組み!AH87,役職一覧!$B:$D,2,FALSE),"")</f>
        <v/>
      </c>
      <c r="AI57" s="17" t="str">
        <f>IFERROR(VLOOKUP(シフト組み!AI87,役職一覧!$B:$D,2,FALSE),"")</f>
        <v/>
      </c>
      <c r="AJ57" s="17" t="str">
        <f>IFERROR(VLOOKUP(シフト組み!AJ87,役職一覧!$B:$D,2,FALSE),"")</f>
        <v/>
      </c>
      <c r="AK57" s="17" t="str">
        <f>IFERROR(VLOOKUP(シフト組み!AK87,役職一覧!$B:$D,2,FALSE),"")</f>
        <v/>
      </c>
      <c r="AL57" s="17" t="str">
        <f>IFERROR(VLOOKUP(シフト組み!AL87,役職一覧!$B:$D,2,FALSE),"")</f>
        <v/>
      </c>
      <c r="AM57" s="17" t="str">
        <f>IFERROR(VLOOKUP(シフト組み!AM87,役職一覧!$B:$D,2,FALSE),"")</f>
        <v/>
      </c>
      <c r="AN57" s="17" t="str">
        <f>IFERROR(VLOOKUP(シフト組み!AN87,役職一覧!$B:$D,2,FALSE),"")</f>
        <v/>
      </c>
      <c r="AO57" s="17" t="str">
        <f>IFERROR(VLOOKUP(シフト組み!AO87,役職一覧!$B:$D,2,FALSE),"")</f>
        <v/>
      </c>
      <c r="AP57" s="17" t="str">
        <f>IFERROR(VLOOKUP(シフト組み!AP87,役職一覧!$B:$D,2,FALSE),"")</f>
        <v/>
      </c>
      <c r="AQ57" s="17" t="str">
        <f>IFERROR(VLOOKUP(シフト組み!AQ87,役職一覧!$B:$D,2,FALSE),"")</f>
        <v/>
      </c>
      <c r="AR57" s="17" t="str">
        <f>IFERROR(VLOOKUP(シフト組み!AR87,役職一覧!$B:$D,2,FALSE),"")</f>
        <v/>
      </c>
      <c r="AS57" s="17" t="str">
        <f>IFERROR(VLOOKUP(シフト組み!AS87,役職一覧!$B:$D,2,FALSE),"")</f>
        <v/>
      </c>
      <c r="AT57" s="17" t="str">
        <f>IFERROR(VLOOKUP(シフト組み!AT87,役職一覧!$B:$D,2,FALSE),"")</f>
        <v/>
      </c>
      <c r="AU57" s="17" t="str">
        <f>IFERROR(VLOOKUP(シフト組み!AU87,役職一覧!$B:$D,2,FALSE),"")</f>
        <v/>
      </c>
      <c r="AV57" s="17" t="str">
        <f>IFERROR(VLOOKUP(シフト組み!AV87,役職一覧!$B:$D,2,FALSE),"")</f>
        <v/>
      </c>
      <c r="AW57" s="17" t="str">
        <f>IFERROR(VLOOKUP(シフト組み!AW87,役職一覧!$B:$D,2,FALSE),"")</f>
        <v/>
      </c>
      <c r="AX57" s="17" t="str">
        <f>IFERROR(VLOOKUP(シフト組み!AX87,役職一覧!$B:$D,2,FALSE),"")</f>
        <v/>
      </c>
      <c r="AY57" s="17" t="str">
        <f>IFERROR(VLOOKUP(シフト組み!AY87,役職一覧!$B:$D,2,FALSE),"")</f>
        <v/>
      </c>
      <c r="AZ57" s="17" t="str">
        <f>IFERROR(VLOOKUP(シフト組み!AZ87,役職一覧!$B:$D,2,FALSE),"")</f>
        <v/>
      </c>
      <c r="BA57" s="17" t="str">
        <f>IFERROR(VLOOKUP(シフト組み!BA87,役職一覧!$B:$D,2,FALSE),"")</f>
        <v/>
      </c>
    </row>
    <row r="58" spans="1:53">
      <c r="A58" s="2" t="str">
        <f>シフト組み!A88&amp;""</f>
        <v/>
      </c>
      <c r="B58" s="2" t="str">
        <f>シフト組み!B88&amp;""</f>
        <v/>
      </c>
      <c r="C58" s="2" t="str">
        <f>シフト組み!C88&amp;""</f>
        <v/>
      </c>
      <c r="D58" s="17" t="str">
        <f>IFERROR(VLOOKUP(シフト組み!D88,役職一覧!$B:$D,2,FALSE),"")</f>
        <v/>
      </c>
      <c r="E58" s="17" t="str">
        <f>IFERROR(VLOOKUP(シフト組み!E88,役職一覧!$B:$D,2,FALSE),"")</f>
        <v/>
      </c>
      <c r="F58" s="17" t="str">
        <f>IFERROR(VLOOKUP(シフト組み!F88,役職一覧!$B:$D,2,FALSE),"")</f>
        <v/>
      </c>
      <c r="G58" s="17" t="str">
        <f>IFERROR(VLOOKUP(シフト組み!G88,役職一覧!$B:$D,2,FALSE),"")</f>
        <v/>
      </c>
      <c r="H58" s="17" t="str">
        <f>IFERROR(VLOOKUP(シフト組み!H88,役職一覧!$B:$D,2,FALSE),"")</f>
        <v/>
      </c>
      <c r="I58" s="17" t="str">
        <f>IFERROR(VLOOKUP(シフト組み!I88,役職一覧!$B:$D,2,FALSE),"")</f>
        <v/>
      </c>
      <c r="J58" s="17" t="str">
        <f>IFERROR(VLOOKUP(シフト組み!J88,役職一覧!$B:$D,2,FALSE),"")</f>
        <v/>
      </c>
      <c r="K58" s="17" t="str">
        <f>IFERROR(VLOOKUP(シフト組み!K88,役職一覧!$B:$D,2,FALSE),"")</f>
        <v/>
      </c>
      <c r="L58" s="17" t="str">
        <f>IFERROR(VLOOKUP(シフト組み!L88,役職一覧!$B:$D,2,FALSE),"")</f>
        <v/>
      </c>
      <c r="M58" s="17" t="str">
        <f>IFERROR(VLOOKUP(シフト組み!M88,役職一覧!$B:$D,2,FALSE),"")</f>
        <v/>
      </c>
      <c r="N58" s="17" t="str">
        <f>IFERROR(VLOOKUP(シフト組み!N88,役職一覧!$B:$D,2,FALSE),"")</f>
        <v/>
      </c>
      <c r="O58" s="17" t="str">
        <f>IFERROR(VLOOKUP(シフト組み!O88,役職一覧!$B:$D,2,FALSE),"")</f>
        <v/>
      </c>
      <c r="P58" s="17" t="str">
        <f>IFERROR(VLOOKUP(シフト組み!P88,役職一覧!$B:$D,2,FALSE),"")</f>
        <v/>
      </c>
      <c r="Q58" s="17" t="str">
        <f>IFERROR(VLOOKUP(シフト組み!Q88,役職一覧!$B:$D,2,FALSE),"")</f>
        <v/>
      </c>
      <c r="R58" s="17" t="str">
        <f>IFERROR(VLOOKUP(シフト組み!R88,役職一覧!$B:$D,2,FALSE),"")</f>
        <v/>
      </c>
      <c r="S58" s="17" t="str">
        <f>IFERROR(VLOOKUP(シフト組み!S88,役職一覧!$B:$D,2,FALSE),"")</f>
        <v/>
      </c>
      <c r="T58" s="17" t="str">
        <f>IFERROR(VLOOKUP(シフト組み!T88,役職一覧!$B:$D,2,FALSE),"")</f>
        <v/>
      </c>
      <c r="U58" s="17" t="str">
        <f>IFERROR(VLOOKUP(シフト組み!U88,役職一覧!$B:$D,2,FALSE),"")</f>
        <v/>
      </c>
      <c r="V58" s="17" t="str">
        <f>IFERROR(VLOOKUP(シフト組み!V88,役職一覧!$B:$D,2,FALSE),"")</f>
        <v/>
      </c>
      <c r="W58" s="17" t="str">
        <f>IFERROR(VLOOKUP(シフト組み!W88,役職一覧!$B:$D,2,FALSE),"")</f>
        <v/>
      </c>
      <c r="X58" s="17" t="str">
        <f>IFERROR(VLOOKUP(シフト組み!X88,役職一覧!$B:$D,2,FALSE),"")</f>
        <v/>
      </c>
      <c r="Y58" s="17" t="str">
        <f>IFERROR(VLOOKUP(シフト組み!Y88,役職一覧!$B:$D,2,FALSE),"")</f>
        <v/>
      </c>
      <c r="Z58" s="17" t="str">
        <f>IFERROR(VLOOKUP(シフト組み!Z88,役職一覧!$B:$D,2,FALSE),"")</f>
        <v/>
      </c>
      <c r="AA58" s="17" t="str">
        <f>IFERROR(VLOOKUP(シフト組み!AA88,役職一覧!$B:$D,2,FALSE),"")</f>
        <v/>
      </c>
      <c r="AB58" s="17" t="str">
        <f>IFERROR(VLOOKUP(シフト組み!AB88,役職一覧!$B:$D,2,FALSE),"")</f>
        <v/>
      </c>
      <c r="AC58" s="17" t="str">
        <f>IFERROR(VLOOKUP(シフト組み!AC88,役職一覧!$B:$D,2,FALSE),"")</f>
        <v/>
      </c>
      <c r="AD58" s="17" t="str">
        <f>IFERROR(VLOOKUP(シフト組み!AD88,役職一覧!$B:$D,2,FALSE),"")</f>
        <v/>
      </c>
      <c r="AE58" s="17" t="str">
        <f>IFERROR(VLOOKUP(シフト組み!AE88,役職一覧!$B:$D,2,FALSE),"")</f>
        <v/>
      </c>
      <c r="AF58" s="17" t="str">
        <f>IFERROR(VLOOKUP(シフト組み!AF88,役職一覧!$B:$D,2,FALSE),"")</f>
        <v/>
      </c>
      <c r="AG58" s="17" t="str">
        <f>IFERROR(VLOOKUP(シフト組み!AG88,役職一覧!$B:$D,2,FALSE),"")</f>
        <v/>
      </c>
      <c r="AH58" s="17" t="str">
        <f>IFERROR(VLOOKUP(シフト組み!AH88,役職一覧!$B:$D,2,FALSE),"")</f>
        <v/>
      </c>
      <c r="AI58" s="17" t="str">
        <f>IFERROR(VLOOKUP(シフト組み!AI88,役職一覧!$B:$D,2,FALSE),"")</f>
        <v/>
      </c>
      <c r="AJ58" s="17" t="str">
        <f>IFERROR(VLOOKUP(シフト組み!AJ88,役職一覧!$B:$D,2,FALSE),"")</f>
        <v/>
      </c>
      <c r="AK58" s="17" t="str">
        <f>IFERROR(VLOOKUP(シフト組み!AK88,役職一覧!$B:$D,2,FALSE),"")</f>
        <v/>
      </c>
      <c r="AL58" s="17" t="str">
        <f>IFERROR(VLOOKUP(シフト組み!AL88,役職一覧!$B:$D,2,FALSE),"")</f>
        <v/>
      </c>
      <c r="AM58" s="17" t="str">
        <f>IFERROR(VLOOKUP(シフト組み!AM88,役職一覧!$B:$D,2,FALSE),"")</f>
        <v/>
      </c>
      <c r="AN58" s="17" t="str">
        <f>IFERROR(VLOOKUP(シフト組み!AN88,役職一覧!$B:$D,2,FALSE),"")</f>
        <v/>
      </c>
      <c r="AO58" s="17" t="str">
        <f>IFERROR(VLOOKUP(シフト組み!AO88,役職一覧!$B:$D,2,FALSE),"")</f>
        <v/>
      </c>
      <c r="AP58" s="17" t="str">
        <f>IFERROR(VLOOKUP(シフト組み!AP88,役職一覧!$B:$D,2,FALSE),"")</f>
        <v/>
      </c>
      <c r="AQ58" s="17" t="str">
        <f>IFERROR(VLOOKUP(シフト組み!AQ88,役職一覧!$B:$D,2,FALSE),"")</f>
        <v/>
      </c>
      <c r="AR58" s="17" t="str">
        <f>IFERROR(VLOOKUP(シフト組み!AR88,役職一覧!$B:$D,2,FALSE),"")</f>
        <v/>
      </c>
      <c r="AS58" s="17" t="str">
        <f>IFERROR(VLOOKUP(シフト組み!AS88,役職一覧!$B:$D,2,FALSE),"")</f>
        <v/>
      </c>
      <c r="AT58" s="17" t="str">
        <f>IFERROR(VLOOKUP(シフト組み!AT88,役職一覧!$B:$D,2,FALSE),"")</f>
        <v/>
      </c>
      <c r="AU58" s="17" t="str">
        <f>IFERROR(VLOOKUP(シフト組み!AU88,役職一覧!$B:$D,2,FALSE),"")</f>
        <v/>
      </c>
      <c r="AV58" s="17" t="str">
        <f>IFERROR(VLOOKUP(シフト組み!AV88,役職一覧!$B:$D,2,FALSE),"")</f>
        <v/>
      </c>
      <c r="AW58" s="17" t="str">
        <f>IFERROR(VLOOKUP(シフト組み!AW88,役職一覧!$B:$D,2,FALSE),"")</f>
        <v/>
      </c>
      <c r="AX58" s="17" t="str">
        <f>IFERROR(VLOOKUP(シフト組み!AX88,役職一覧!$B:$D,2,FALSE),"")</f>
        <v/>
      </c>
      <c r="AY58" s="17" t="str">
        <f>IFERROR(VLOOKUP(シフト組み!AY88,役職一覧!$B:$D,2,FALSE),"")</f>
        <v/>
      </c>
      <c r="AZ58" s="17" t="str">
        <f>IFERROR(VLOOKUP(シフト組み!AZ88,役職一覧!$B:$D,2,FALSE),"")</f>
        <v/>
      </c>
      <c r="BA58" s="17" t="str">
        <f>IFERROR(VLOOKUP(シフト組み!BA88,役職一覧!$B:$D,2,FALSE),"")</f>
        <v/>
      </c>
    </row>
    <row r="59" spans="1:53">
      <c r="A59" s="2" t="str">
        <f>シフト組み!A89&amp;""</f>
        <v/>
      </c>
      <c r="B59" s="2" t="str">
        <f>シフト組み!B89&amp;""</f>
        <v/>
      </c>
      <c r="C59" s="2" t="str">
        <f>シフト組み!C89&amp;""</f>
        <v/>
      </c>
      <c r="D59" s="17" t="str">
        <f>IFERROR(VLOOKUP(シフト組み!D89,役職一覧!$B:$D,2,FALSE),"")</f>
        <v/>
      </c>
      <c r="E59" s="17" t="str">
        <f>IFERROR(VLOOKUP(シフト組み!E89,役職一覧!$B:$D,2,FALSE),"")</f>
        <v/>
      </c>
      <c r="F59" s="17" t="str">
        <f>IFERROR(VLOOKUP(シフト組み!F89,役職一覧!$B:$D,2,FALSE),"")</f>
        <v/>
      </c>
      <c r="G59" s="17" t="str">
        <f>IFERROR(VLOOKUP(シフト組み!G89,役職一覧!$B:$D,2,FALSE),"")</f>
        <v/>
      </c>
      <c r="H59" s="17" t="str">
        <f>IFERROR(VLOOKUP(シフト組み!H89,役職一覧!$B:$D,2,FALSE),"")</f>
        <v/>
      </c>
      <c r="I59" s="17" t="str">
        <f>IFERROR(VLOOKUP(シフト組み!I89,役職一覧!$B:$D,2,FALSE),"")</f>
        <v/>
      </c>
      <c r="J59" s="17" t="str">
        <f>IFERROR(VLOOKUP(シフト組み!J89,役職一覧!$B:$D,2,FALSE),"")</f>
        <v/>
      </c>
      <c r="K59" s="17" t="str">
        <f>IFERROR(VLOOKUP(シフト組み!K89,役職一覧!$B:$D,2,FALSE),"")</f>
        <v/>
      </c>
      <c r="L59" s="17" t="str">
        <f>IFERROR(VLOOKUP(シフト組み!L89,役職一覧!$B:$D,2,FALSE),"")</f>
        <v/>
      </c>
      <c r="M59" s="17" t="str">
        <f>IFERROR(VLOOKUP(シフト組み!M89,役職一覧!$B:$D,2,FALSE),"")</f>
        <v/>
      </c>
      <c r="N59" s="17" t="str">
        <f>IFERROR(VLOOKUP(シフト組み!N89,役職一覧!$B:$D,2,FALSE),"")</f>
        <v/>
      </c>
      <c r="O59" s="17" t="str">
        <f>IFERROR(VLOOKUP(シフト組み!O89,役職一覧!$B:$D,2,FALSE),"")</f>
        <v/>
      </c>
      <c r="P59" s="17" t="str">
        <f>IFERROR(VLOOKUP(シフト組み!P89,役職一覧!$B:$D,2,FALSE),"")</f>
        <v/>
      </c>
      <c r="Q59" s="17" t="str">
        <f>IFERROR(VLOOKUP(シフト組み!Q89,役職一覧!$B:$D,2,FALSE),"")</f>
        <v/>
      </c>
      <c r="R59" s="17" t="str">
        <f>IFERROR(VLOOKUP(シフト組み!R89,役職一覧!$B:$D,2,FALSE),"")</f>
        <v/>
      </c>
      <c r="S59" s="17" t="str">
        <f>IFERROR(VLOOKUP(シフト組み!S89,役職一覧!$B:$D,2,FALSE),"")</f>
        <v/>
      </c>
      <c r="T59" s="17" t="str">
        <f>IFERROR(VLOOKUP(シフト組み!T89,役職一覧!$B:$D,2,FALSE),"")</f>
        <v/>
      </c>
      <c r="U59" s="17" t="str">
        <f>IFERROR(VLOOKUP(シフト組み!U89,役職一覧!$B:$D,2,FALSE),"")</f>
        <v/>
      </c>
      <c r="V59" s="17" t="str">
        <f>IFERROR(VLOOKUP(シフト組み!V89,役職一覧!$B:$D,2,FALSE),"")</f>
        <v/>
      </c>
      <c r="W59" s="17" t="str">
        <f>IFERROR(VLOOKUP(シフト組み!W89,役職一覧!$B:$D,2,FALSE),"")</f>
        <v/>
      </c>
      <c r="X59" s="17" t="str">
        <f>IFERROR(VLOOKUP(シフト組み!X89,役職一覧!$B:$D,2,FALSE),"")</f>
        <v/>
      </c>
      <c r="Y59" s="17" t="str">
        <f>IFERROR(VLOOKUP(シフト組み!Y89,役職一覧!$B:$D,2,FALSE),"")</f>
        <v/>
      </c>
      <c r="Z59" s="17" t="str">
        <f>IFERROR(VLOOKUP(シフト組み!Z89,役職一覧!$B:$D,2,FALSE),"")</f>
        <v/>
      </c>
      <c r="AA59" s="17" t="str">
        <f>IFERROR(VLOOKUP(シフト組み!AA89,役職一覧!$B:$D,2,FALSE),"")</f>
        <v/>
      </c>
      <c r="AB59" s="17" t="str">
        <f>IFERROR(VLOOKUP(シフト組み!AB89,役職一覧!$B:$D,2,FALSE),"")</f>
        <v/>
      </c>
      <c r="AC59" s="17" t="str">
        <f>IFERROR(VLOOKUP(シフト組み!AC89,役職一覧!$B:$D,2,FALSE),"")</f>
        <v/>
      </c>
      <c r="AD59" s="17" t="str">
        <f>IFERROR(VLOOKUP(シフト組み!AD89,役職一覧!$B:$D,2,FALSE),"")</f>
        <v/>
      </c>
      <c r="AE59" s="17" t="str">
        <f>IFERROR(VLOOKUP(シフト組み!AE89,役職一覧!$B:$D,2,FALSE),"")</f>
        <v/>
      </c>
      <c r="AF59" s="17" t="str">
        <f>IFERROR(VLOOKUP(シフト組み!AF89,役職一覧!$B:$D,2,FALSE),"")</f>
        <v/>
      </c>
      <c r="AG59" s="17" t="str">
        <f>IFERROR(VLOOKUP(シフト組み!AG89,役職一覧!$B:$D,2,FALSE),"")</f>
        <v/>
      </c>
      <c r="AH59" s="17" t="str">
        <f>IFERROR(VLOOKUP(シフト組み!AH89,役職一覧!$B:$D,2,FALSE),"")</f>
        <v/>
      </c>
      <c r="AI59" s="17" t="str">
        <f>IFERROR(VLOOKUP(シフト組み!AI89,役職一覧!$B:$D,2,FALSE),"")</f>
        <v/>
      </c>
      <c r="AJ59" s="17" t="str">
        <f>IFERROR(VLOOKUP(シフト組み!AJ89,役職一覧!$B:$D,2,FALSE),"")</f>
        <v/>
      </c>
      <c r="AK59" s="17" t="str">
        <f>IFERROR(VLOOKUP(シフト組み!AK89,役職一覧!$B:$D,2,FALSE),"")</f>
        <v/>
      </c>
      <c r="AL59" s="17" t="str">
        <f>IFERROR(VLOOKUP(シフト組み!AL89,役職一覧!$B:$D,2,FALSE),"")</f>
        <v/>
      </c>
      <c r="AM59" s="17" t="str">
        <f>IFERROR(VLOOKUP(シフト組み!AM89,役職一覧!$B:$D,2,FALSE),"")</f>
        <v/>
      </c>
      <c r="AN59" s="17" t="str">
        <f>IFERROR(VLOOKUP(シフト組み!AN89,役職一覧!$B:$D,2,FALSE),"")</f>
        <v/>
      </c>
      <c r="AO59" s="17" t="str">
        <f>IFERROR(VLOOKUP(シフト組み!AO89,役職一覧!$B:$D,2,FALSE),"")</f>
        <v/>
      </c>
      <c r="AP59" s="17" t="str">
        <f>IFERROR(VLOOKUP(シフト組み!AP89,役職一覧!$B:$D,2,FALSE),"")</f>
        <v/>
      </c>
      <c r="AQ59" s="17" t="str">
        <f>IFERROR(VLOOKUP(シフト組み!AQ89,役職一覧!$B:$D,2,FALSE),"")</f>
        <v/>
      </c>
      <c r="AR59" s="17" t="str">
        <f>IFERROR(VLOOKUP(シフト組み!AR89,役職一覧!$B:$D,2,FALSE),"")</f>
        <v/>
      </c>
      <c r="AS59" s="17" t="str">
        <f>IFERROR(VLOOKUP(シフト組み!AS89,役職一覧!$B:$D,2,FALSE),"")</f>
        <v/>
      </c>
      <c r="AT59" s="17" t="str">
        <f>IFERROR(VLOOKUP(シフト組み!AT89,役職一覧!$B:$D,2,FALSE),"")</f>
        <v/>
      </c>
      <c r="AU59" s="17" t="str">
        <f>IFERROR(VLOOKUP(シフト組み!AU89,役職一覧!$B:$D,2,FALSE),"")</f>
        <v/>
      </c>
      <c r="AV59" s="17" t="str">
        <f>IFERROR(VLOOKUP(シフト組み!AV89,役職一覧!$B:$D,2,FALSE),"")</f>
        <v/>
      </c>
      <c r="AW59" s="17" t="str">
        <f>IFERROR(VLOOKUP(シフト組み!AW89,役職一覧!$B:$D,2,FALSE),"")</f>
        <v/>
      </c>
      <c r="AX59" s="17" t="str">
        <f>IFERROR(VLOOKUP(シフト組み!AX89,役職一覧!$B:$D,2,FALSE),"")</f>
        <v/>
      </c>
      <c r="AY59" s="17" t="str">
        <f>IFERROR(VLOOKUP(シフト組み!AY89,役職一覧!$B:$D,2,FALSE),"")</f>
        <v/>
      </c>
      <c r="AZ59" s="17" t="str">
        <f>IFERROR(VLOOKUP(シフト組み!AZ89,役職一覧!$B:$D,2,FALSE),"")</f>
        <v/>
      </c>
      <c r="BA59" s="17" t="str">
        <f>IFERROR(VLOOKUP(シフト組み!BA89,役職一覧!$B:$D,2,FALSE),"")</f>
        <v/>
      </c>
    </row>
    <row r="60" spans="1:53">
      <c r="A60" s="2" t="str">
        <f>シフト組み!A90&amp;""</f>
        <v/>
      </c>
      <c r="B60" s="2" t="str">
        <f>シフト組み!B90&amp;""</f>
        <v/>
      </c>
      <c r="C60" s="2" t="str">
        <f>シフト組み!C90&amp;""</f>
        <v/>
      </c>
      <c r="D60" s="17" t="str">
        <f>IFERROR(VLOOKUP(シフト組み!D90,役職一覧!$B:$D,2,FALSE),"")</f>
        <v/>
      </c>
      <c r="E60" s="17" t="str">
        <f>IFERROR(VLOOKUP(シフト組み!E90,役職一覧!$B:$D,2,FALSE),"")</f>
        <v/>
      </c>
      <c r="F60" s="17" t="str">
        <f>IFERROR(VLOOKUP(シフト組み!F90,役職一覧!$B:$D,2,FALSE),"")</f>
        <v/>
      </c>
      <c r="G60" s="17" t="str">
        <f>IFERROR(VLOOKUP(シフト組み!G90,役職一覧!$B:$D,2,FALSE),"")</f>
        <v/>
      </c>
      <c r="H60" s="17" t="str">
        <f>IFERROR(VLOOKUP(シフト組み!H90,役職一覧!$B:$D,2,FALSE),"")</f>
        <v/>
      </c>
      <c r="I60" s="17" t="str">
        <f>IFERROR(VLOOKUP(シフト組み!I90,役職一覧!$B:$D,2,FALSE),"")</f>
        <v/>
      </c>
      <c r="J60" s="17" t="str">
        <f>IFERROR(VLOOKUP(シフト組み!J90,役職一覧!$B:$D,2,FALSE),"")</f>
        <v/>
      </c>
      <c r="K60" s="17" t="str">
        <f>IFERROR(VLOOKUP(シフト組み!K90,役職一覧!$B:$D,2,FALSE),"")</f>
        <v/>
      </c>
      <c r="L60" s="17" t="str">
        <f>IFERROR(VLOOKUP(シフト組み!L90,役職一覧!$B:$D,2,FALSE),"")</f>
        <v/>
      </c>
      <c r="M60" s="17" t="str">
        <f>IFERROR(VLOOKUP(シフト組み!M90,役職一覧!$B:$D,2,FALSE),"")</f>
        <v/>
      </c>
      <c r="N60" s="17" t="str">
        <f>IFERROR(VLOOKUP(シフト組み!N90,役職一覧!$B:$D,2,FALSE),"")</f>
        <v/>
      </c>
      <c r="O60" s="17" t="str">
        <f>IFERROR(VLOOKUP(シフト組み!O90,役職一覧!$B:$D,2,FALSE),"")</f>
        <v/>
      </c>
      <c r="P60" s="17" t="str">
        <f>IFERROR(VLOOKUP(シフト組み!P90,役職一覧!$B:$D,2,FALSE),"")</f>
        <v/>
      </c>
      <c r="Q60" s="17" t="str">
        <f>IFERROR(VLOOKUP(シフト組み!Q90,役職一覧!$B:$D,2,FALSE),"")</f>
        <v/>
      </c>
      <c r="R60" s="17" t="str">
        <f>IFERROR(VLOOKUP(シフト組み!R90,役職一覧!$B:$D,2,FALSE),"")</f>
        <v/>
      </c>
      <c r="S60" s="17" t="str">
        <f>IFERROR(VLOOKUP(シフト組み!S90,役職一覧!$B:$D,2,FALSE),"")</f>
        <v/>
      </c>
      <c r="T60" s="17" t="str">
        <f>IFERROR(VLOOKUP(シフト組み!T90,役職一覧!$B:$D,2,FALSE),"")</f>
        <v/>
      </c>
      <c r="U60" s="17" t="str">
        <f>IFERROR(VLOOKUP(シフト組み!U90,役職一覧!$B:$D,2,FALSE),"")</f>
        <v/>
      </c>
      <c r="V60" s="17" t="str">
        <f>IFERROR(VLOOKUP(シフト組み!V90,役職一覧!$B:$D,2,FALSE),"")</f>
        <v/>
      </c>
      <c r="W60" s="17" t="str">
        <f>IFERROR(VLOOKUP(シフト組み!W90,役職一覧!$B:$D,2,FALSE),"")</f>
        <v/>
      </c>
      <c r="X60" s="17" t="str">
        <f>IFERROR(VLOOKUP(シフト組み!X90,役職一覧!$B:$D,2,FALSE),"")</f>
        <v/>
      </c>
      <c r="Y60" s="17" t="str">
        <f>IFERROR(VLOOKUP(シフト組み!Y90,役職一覧!$B:$D,2,FALSE),"")</f>
        <v/>
      </c>
      <c r="Z60" s="17" t="str">
        <f>IFERROR(VLOOKUP(シフト組み!Z90,役職一覧!$B:$D,2,FALSE),"")</f>
        <v/>
      </c>
      <c r="AA60" s="17" t="str">
        <f>IFERROR(VLOOKUP(シフト組み!AA90,役職一覧!$B:$D,2,FALSE),"")</f>
        <v/>
      </c>
      <c r="AB60" s="17" t="str">
        <f>IFERROR(VLOOKUP(シフト組み!AB90,役職一覧!$B:$D,2,FALSE),"")</f>
        <v/>
      </c>
      <c r="AC60" s="17" t="str">
        <f>IFERROR(VLOOKUP(シフト組み!AC90,役職一覧!$B:$D,2,FALSE),"")</f>
        <v/>
      </c>
      <c r="AD60" s="17" t="str">
        <f>IFERROR(VLOOKUP(シフト組み!AD90,役職一覧!$B:$D,2,FALSE),"")</f>
        <v/>
      </c>
      <c r="AE60" s="17" t="str">
        <f>IFERROR(VLOOKUP(シフト組み!AE90,役職一覧!$B:$D,2,FALSE),"")</f>
        <v/>
      </c>
      <c r="AF60" s="17" t="str">
        <f>IFERROR(VLOOKUP(シフト組み!AF90,役職一覧!$B:$D,2,FALSE),"")</f>
        <v/>
      </c>
      <c r="AG60" s="17" t="str">
        <f>IFERROR(VLOOKUP(シフト組み!AG90,役職一覧!$B:$D,2,FALSE),"")</f>
        <v/>
      </c>
      <c r="AH60" s="17" t="str">
        <f>IFERROR(VLOOKUP(シフト組み!AH90,役職一覧!$B:$D,2,FALSE),"")</f>
        <v/>
      </c>
      <c r="AI60" s="17" t="str">
        <f>IFERROR(VLOOKUP(シフト組み!AI90,役職一覧!$B:$D,2,FALSE),"")</f>
        <v/>
      </c>
      <c r="AJ60" s="17" t="str">
        <f>IFERROR(VLOOKUP(シフト組み!AJ90,役職一覧!$B:$D,2,FALSE),"")</f>
        <v/>
      </c>
      <c r="AK60" s="17" t="str">
        <f>IFERROR(VLOOKUP(シフト組み!AK90,役職一覧!$B:$D,2,FALSE),"")</f>
        <v/>
      </c>
      <c r="AL60" s="17" t="str">
        <f>IFERROR(VLOOKUP(シフト組み!AL90,役職一覧!$B:$D,2,FALSE),"")</f>
        <v/>
      </c>
      <c r="AM60" s="17" t="str">
        <f>IFERROR(VLOOKUP(シフト組み!AM90,役職一覧!$B:$D,2,FALSE),"")</f>
        <v/>
      </c>
      <c r="AN60" s="17" t="str">
        <f>IFERROR(VLOOKUP(シフト組み!AN90,役職一覧!$B:$D,2,FALSE),"")</f>
        <v/>
      </c>
      <c r="AO60" s="17" t="str">
        <f>IFERROR(VLOOKUP(シフト組み!AO90,役職一覧!$B:$D,2,FALSE),"")</f>
        <v/>
      </c>
      <c r="AP60" s="17" t="str">
        <f>IFERROR(VLOOKUP(シフト組み!AP90,役職一覧!$B:$D,2,FALSE),"")</f>
        <v/>
      </c>
      <c r="AQ60" s="17" t="str">
        <f>IFERROR(VLOOKUP(シフト組み!AQ90,役職一覧!$B:$D,2,FALSE),"")</f>
        <v/>
      </c>
      <c r="AR60" s="17" t="str">
        <f>IFERROR(VLOOKUP(シフト組み!AR90,役職一覧!$B:$D,2,FALSE),"")</f>
        <v/>
      </c>
      <c r="AS60" s="17" t="str">
        <f>IFERROR(VLOOKUP(シフト組み!AS90,役職一覧!$B:$D,2,FALSE),"")</f>
        <v/>
      </c>
      <c r="AT60" s="17" t="str">
        <f>IFERROR(VLOOKUP(シフト組み!AT90,役職一覧!$B:$D,2,FALSE),"")</f>
        <v/>
      </c>
      <c r="AU60" s="17" t="str">
        <f>IFERROR(VLOOKUP(シフト組み!AU90,役職一覧!$B:$D,2,FALSE),"")</f>
        <v/>
      </c>
      <c r="AV60" s="17" t="str">
        <f>IFERROR(VLOOKUP(シフト組み!AV90,役職一覧!$B:$D,2,FALSE),"")</f>
        <v/>
      </c>
      <c r="AW60" s="17" t="str">
        <f>IFERROR(VLOOKUP(シフト組み!AW90,役職一覧!$B:$D,2,FALSE),"")</f>
        <v/>
      </c>
      <c r="AX60" s="17" t="str">
        <f>IFERROR(VLOOKUP(シフト組み!AX90,役職一覧!$B:$D,2,FALSE),"")</f>
        <v/>
      </c>
      <c r="AY60" s="17" t="str">
        <f>IFERROR(VLOOKUP(シフト組み!AY90,役職一覧!$B:$D,2,FALSE),"")</f>
        <v/>
      </c>
      <c r="AZ60" s="17" t="str">
        <f>IFERROR(VLOOKUP(シフト組み!AZ90,役職一覧!$B:$D,2,FALSE),"")</f>
        <v/>
      </c>
      <c r="BA60" s="17" t="str">
        <f>IFERROR(VLOOKUP(シフト組み!BA90,役職一覧!$B:$D,2,FALSE),"")</f>
        <v/>
      </c>
    </row>
    <row r="61" spans="1:53">
      <c r="A61" s="2" t="str">
        <f>シフト組み!A91&amp;""</f>
        <v/>
      </c>
      <c r="B61" s="2" t="str">
        <f>シフト組み!B91&amp;""</f>
        <v/>
      </c>
      <c r="C61" s="2" t="str">
        <f>シフト組み!C91&amp;""</f>
        <v/>
      </c>
      <c r="D61" s="17" t="str">
        <f>IFERROR(VLOOKUP(シフト組み!D91,役職一覧!$B:$D,2,FALSE),"")</f>
        <v/>
      </c>
      <c r="E61" s="17" t="str">
        <f>IFERROR(VLOOKUP(シフト組み!E91,役職一覧!$B:$D,2,FALSE),"")</f>
        <v/>
      </c>
      <c r="F61" s="17" t="str">
        <f>IFERROR(VLOOKUP(シフト組み!F91,役職一覧!$B:$D,2,FALSE),"")</f>
        <v/>
      </c>
      <c r="G61" s="17" t="str">
        <f>IFERROR(VLOOKUP(シフト組み!G91,役職一覧!$B:$D,2,FALSE),"")</f>
        <v/>
      </c>
      <c r="H61" s="17" t="str">
        <f>IFERROR(VLOOKUP(シフト組み!H91,役職一覧!$B:$D,2,FALSE),"")</f>
        <v/>
      </c>
      <c r="I61" s="17" t="str">
        <f>IFERROR(VLOOKUP(シフト組み!I91,役職一覧!$B:$D,2,FALSE),"")</f>
        <v/>
      </c>
      <c r="J61" s="17" t="str">
        <f>IFERROR(VLOOKUP(シフト組み!J91,役職一覧!$B:$D,2,FALSE),"")</f>
        <v/>
      </c>
      <c r="K61" s="17" t="str">
        <f>IFERROR(VLOOKUP(シフト組み!K91,役職一覧!$B:$D,2,FALSE),"")</f>
        <v/>
      </c>
      <c r="L61" s="17" t="str">
        <f>IFERROR(VLOOKUP(シフト組み!L91,役職一覧!$B:$D,2,FALSE),"")</f>
        <v/>
      </c>
      <c r="M61" s="17" t="str">
        <f>IFERROR(VLOOKUP(シフト組み!M91,役職一覧!$B:$D,2,FALSE),"")</f>
        <v/>
      </c>
      <c r="N61" s="17" t="str">
        <f>IFERROR(VLOOKUP(シフト組み!N91,役職一覧!$B:$D,2,FALSE),"")</f>
        <v/>
      </c>
      <c r="O61" s="17" t="str">
        <f>IFERROR(VLOOKUP(シフト組み!O91,役職一覧!$B:$D,2,FALSE),"")</f>
        <v/>
      </c>
      <c r="P61" s="17" t="str">
        <f>IFERROR(VLOOKUP(シフト組み!P91,役職一覧!$B:$D,2,FALSE),"")</f>
        <v/>
      </c>
      <c r="Q61" s="17" t="str">
        <f>IFERROR(VLOOKUP(シフト組み!Q91,役職一覧!$B:$D,2,FALSE),"")</f>
        <v/>
      </c>
      <c r="R61" s="17" t="str">
        <f>IFERROR(VLOOKUP(シフト組み!R91,役職一覧!$B:$D,2,FALSE),"")</f>
        <v/>
      </c>
      <c r="S61" s="17" t="str">
        <f>IFERROR(VLOOKUP(シフト組み!S91,役職一覧!$B:$D,2,FALSE),"")</f>
        <v/>
      </c>
      <c r="T61" s="17" t="str">
        <f>IFERROR(VLOOKUP(シフト組み!T91,役職一覧!$B:$D,2,FALSE),"")</f>
        <v/>
      </c>
      <c r="U61" s="17" t="str">
        <f>IFERROR(VLOOKUP(シフト組み!U91,役職一覧!$B:$D,2,FALSE),"")</f>
        <v/>
      </c>
      <c r="V61" s="17" t="str">
        <f>IFERROR(VLOOKUP(シフト組み!V91,役職一覧!$B:$D,2,FALSE),"")</f>
        <v/>
      </c>
      <c r="W61" s="17" t="str">
        <f>IFERROR(VLOOKUP(シフト組み!W91,役職一覧!$B:$D,2,FALSE),"")</f>
        <v/>
      </c>
      <c r="X61" s="17" t="str">
        <f>IFERROR(VLOOKUP(シフト組み!X91,役職一覧!$B:$D,2,FALSE),"")</f>
        <v/>
      </c>
      <c r="Y61" s="17" t="str">
        <f>IFERROR(VLOOKUP(シフト組み!Y91,役職一覧!$B:$D,2,FALSE),"")</f>
        <v/>
      </c>
      <c r="Z61" s="17" t="str">
        <f>IFERROR(VLOOKUP(シフト組み!Z91,役職一覧!$B:$D,2,FALSE),"")</f>
        <v/>
      </c>
      <c r="AA61" s="17" t="str">
        <f>IFERROR(VLOOKUP(シフト組み!AA91,役職一覧!$B:$D,2,FALSE),"")</f>
        <v/>
      </c>
      <c r="AB61" s="17" t="str">
        <f>IFERROR(VLOOKUP(シフト組み!AB91,役職一覧!$B:$D,2,FALSE),"")</f>
        <v/>
      </c>
      <c r="AC61" s="17" t="str">
        <f>IFERROR(VLOOKUP(シフト組み!AC91,役職一覧!$B:$D,2,FALSE),"")</f>
        <v/>
      </c>
      <c r="AD61" s="17" t="str">
        <f>IFERROR(VLOOKUP(シフト組み!AD91,役職一覧!$B:$D,2,FALSE),"")</f>
        <v/>
      </c>
      <c r="AE61" s="17" t="str">
        <f>IFERROR(VLOOKUP(シフト組み!AE91,役職一覧!$B:$D,2,FALSE),"")</f>
        <v/>
      </c>
      <c r="AF61" s="17" t="str">
        <f>IFERROR(VLOOKUP(シフト組み!AF91,役職一覧!$B:$D,2,FALSE),"")</f>
        <v/>
      </c>
      <c r="AG61" s="17" t="str">
        <f>IFERROR(VLOOKUP(シフト組み!AG91,役職一覧!$B:$D,2,FALSE),"")</f>
        <v/>
      </c>
      <c r="AH61" s="17" t="str">
        <f>IFERROR(VLOOKUP(シフト組み!AH91,役職一覧!$B:$D,2,FALSE),"")</f>
        <v/>
      </c>
      <c r="AI61" s="17" t="str">
        <f>IFERROR(VLOOKUP(シフト組み!AI91,役職一覧!$B:$D,2,FALSE),"")</f>
        <v/>
      </c>
      <c r="AJ61" s="17" t="str">
        <f>IFERROR(VLOOKUP(シフト組み!AJ91,役職一覧!$B:$D,2,FALSE),"")</f>
        <v/>
      </c>
      <c r="AK61" s="17" t="str">
        <f>IFERROR(VLOOKUP(シフト組み!AK91,役職一覧!$B:$D,2,FALSE),"")</f>
        <v/>
      </c>
      <c r="AL61" s="17" t="str">
        <f>IFERROR(VLOOKUP(シフト組み!AL91,役職一覧!$B:$D,2,FALSE),"")</f>
        <v/>
      </c>
      <c r="AM61" s="17" t="str">
        <f>IFERROR(VLOOKUP(シフト組み!AM91,役職一覧!$B:$D,2,FALSE),"")</f>
        <v/>
      </c>
      <c r="AN61" s="17" t="str">
        <f>IFERROR(VLOOKUP(シフト組み!AN91,役職一覧!$B:$D,2,FALSE),"")</f>
        <v/>
      </c>
      <c r="AO61" s="17" t="str">
        <f>IFERROR(VLOOKUP(シフト組み!AO91,役職一覧!$B:$D,2,FALSE),"")</f>
        <v/>
      </c>
      <c r="AP61" s="17" t="str">
        <f>IFERROR(VLOOKUP(シフト組み!AP91,役職一覧!$B:$D,2,FALSE),"")</f>
        <v/>
      </c>
      <c r="AQ61" s="17" t="str">
        <f>IFERROR(VLOOKUP(シフト組み!AQ91,役職一覧!$B:$D,2,FALSE),"")</f>
        <v/>
      </c>
      <c r="AR61" s="17" t="str">
        <f>IFERROR(VLOOKUP(シフト組み!AR91,役職一覧!$B:$D,2,FALSE),"")</f>
        <v/>
      </c>
      <c r="AS61" s="17" t="str">
        <f>IFERROR(VLOOKUP(シフト組み!AS91,役職一覧!$B:$D,2,FALSE),"")</f>
        <v/>
      </c>
      <c r="AT61" s="17" t="str">
        <f>IFERROR(VLOOKUP(シフト組み!AT91,役職一覧!$B:$D,2,FALSE),"")</f>
        <v/>
      </c>
      <c r="AU61" s="17" t="str">
        <f>IFERROR(VLOOKUP(シフト組み!AU91,役職一覧!$B:$D,2,FALSE),"")</f>
        <v/>
      </c>
      <c r="AV61" s="17" t="str">
        <f>IFERROR(VLOOKUP(シフト組み!AV91,役職一覧!$B:$D,2,FALSE),"")</f>
        <v/>
      </c>
      <c r="AW61" s="17" t="str">
        <f>IFERROR(VLOOKUP(シフト組み!AW91,役職一覧!$B:$D,2,FALSE),"")</f>
        <v/>
      </c>
      <c r="AX61" s="17" t="str">
        <f>IFERROR(VLOOKUP(シフト組み!AX91,役職一覧!$B:$D,2,FALSE),"")</f>
        <v/>
      </c>
      <c r="AY61" s="17" t="str">
        <f>IFERROR(VLOOKUP(シフト組み!AY91,役職一覧!$B:$D,2,FALSE),"")</f>
        <v/>
      </c>
      <c r="AZ61" s="17" t="str">
        <f>IFERROR(VLOOKUP(シフト組み!AZ91,役職一覧!$B:$D,2,FALSE),"")</f>
        <v/>
      </c>
      <c r="BA61" s="17" t="str">
        <f>IFERROR(VLOOKUP(シフト組み!BA91,役職一覧!$B:$D,2,FALSE),"")</f>
        <v/>
      </c>
    </row>
    <row r="62" spans="1:53">
      <c r="A62" s="2" t="str">
        <f>シフト組み!A92&amp;""</f>
        <v/>
      </c>
      <c r="B62" s="2" t="str">
        <f>シフト組み!B92&amp;""</f>
        <v/>
      </c>
      <c r="C62" s="2" t="str">
        <f>シフト組み!C92&amp;""</f>
        <v/>
      </c>
      <c r="D62" s="17" t="str">
        <f>IFERROR(VLOOKUP(シフト組み!D92,役職一覧!$B:$D,2,FALSE),"")</f>
        <v/>
      </c>
      <c r="E62" s="17" t="str">
        <f>IFERROR(VLOOKUP(シフト組み!E92,役職一覧!$B:$D,2,FALSE),"")</f>
        <v/>
      </c>
      <c r="F62" s="17" t="str">
        <f>IFERROR(VLOOKUP(シフト組み!F92,役職一覧!$B:$D,2,FALSE),"")</f>
        <v/>
      </c>
      <c r="G62" s="17" t="str">
        <f>IFERROR(VLOOKUP(シフト組み!G92,役職一覧!$B:$D,2,FALSE),"")</f>
        <v/>
      </c>
      <c r="H62" s="17" t="str">
        <f>IFERROR(VLOOKUP(シフト組み!H92,役職一覧!$B:$D,2,FALSE),"")</f>
        <v/>
      </c>
      <c r="I62" s="17" t="str">
        <f>IFERROR(VLOOKUP(シフト組み!I92,役職一覧!$B:$D,2,FALSE),"")</f>
        <v/>
      </c>
      <c r="J62" s="17" t="str">
        <f>IFERROR(VLOOKUP(シフト組み!J92,役職一覧!$B:$D,2,FALSE),"")</f>
        <v/>
      </c>
      <c r="K62" s="17" t="str">
        <f>IFERROR(VLOOKUP(シフト組み!K92,役職一覧!$B:$D,2,FALSE),"")</f>
        <v/>
      </c>
      <c r="L62" s="17" t="str">
        <f>IFERROR(VLOOKUP(シフト組み!L92,役職一覧!$B:$D,2,FALSE),"")</f>
        <v/>
      </c>
      <c r="M62" s="17" t="str">
        <f>IFERROR(VLOOKUP(シフト組み!M92,役職一覧!$B:$D,2,FALSE),"")</f>
        <v/>
      </c>
      <c r="N62" s="17" t="str">
        <f>IFERROR(VLOOKUP(シフト組み!N92,役職一覧!$B:$D,2,FALSE),"")</f>
        <v/>
      </c>
      <c r="O62" s="17" t="str">
        <f>IFERROR(VLOOKUP(シフト組み!O92,役職一覧!$B:$D,2,FALSE),"")</f>
        <v/>
      </c>
      <c r="P62" s="17" t="str">
        <f>IFERROR(VLOOKUP(シフト組み!P92,役職一覧!$B:$D,2,FALSE),"")</f>
        <v/>
      </c>
      <c r="Q62" s="17" t="str">
        <f>IFERROR(VLOOKUP(シフト組み!Q92,役職一覧!$B:$D,2,FALSE),"")</f>
        <v/>
      </c>
      <c r="R62" s="17" t="str">
        <f>IFERROR(VLOOKUP(シフト組み!R92,役職一覧!$B:$D,2,FALSE),"")</f>
        <v/>
      </c>
      <c r="S62" s="17" t="str">
        <f>IFERROR(VLOOKUP(シフト組み!S92,役職一覧!$B:$D,2,FALSE),"")</f>
        <v/>
      </c>
      <c r="T62" s="17" t="str">
        <f>IFERROR(VLOOKUP(シフト組み!T92,役職一覧!$B:$D,2,FALSE),"")</f>
        <v/>
      </c>
      <c r="U62" s="17" t="str">
        <f>IFERROR(VLOOKUP(シフト組み!U92,役職一覧!$B:$D,2,FALSE),"")</f>
        <v/>
      </c>
      <c r="V62" s="17" t="str">
        <f>IFERROR(VLOOKUP(シフト組み!V92,役職一覧!$B:$D,2,FALSE),"")</f>
        <v/>
      </c>
      <c r="W62" s="17" t="str">
        <f>IFERROR(VLOOKUP(シフト組み!W92,役職一覧!$B:$D,2,FALSE),"")</f>
        <v/>
      </c>
      <c r="X62" s="17" t="str">
        <f>IFERROR(VLOOKUP(シフト組み!X92,役職一覧!$B:$D,2,FALSE),"")</f>
        <v/>
      </c>
      <c r="Y62" s="17" t="str">
        <f>IFERROR(VLOOKUP(シフト組み!Y92,役職一覧!$B:$D,2,FALSE),"")</f>
        <v/>
      </c>
      <c r="Z62" s="17" t="str">
        <f>IFERROR(VLOOKUP(シフト組み!Z92,役職一覧!$B:$D,2,FALSE),"")</f>
        <v/>
      </c>
      <c r="AA62" s="17" t="str">
        <f>IFERROR(VLOOKUP(シフト組み!AA92,役職一覧!$B:$D,2,FALSE),"")</f>
        <v/>
      </c>
      <c r="AB62" s="17" t="str">
        <f>IFERROR(VLOOKUP(シフト組み!AB92,役職一覧!$B:$D,2,FALSE),"")</f>
        <v/>
      </c>
      <c r="AC62" s="17" t="str">
        <f>IFERROR(VLOOKUP(シフト組み!AC92,役職一覧!$B:$D,2,FALSE),"")</f>
        <v/>
      </c>
      <c r="AD62" s="17" t="str">
        <f>IFERROR(VLOOKUP(シフト組み!AD92,役職一覧!$B:$D,2,FALSE),"")</f>
        <v/>
      </c>
      <c r="AE62" s="17" t="str">
        <f>IFERROR(VLOOKUP(シフト組み!AE92,役職一覧!$B:$D,2,FALSE),"")</f>
        <v/>
      </c>
      <c r="AF62" s="17" t="str">
        <f>IFERROR(VLOOKUP(シフト組み!AF92,役職一覧!$B:$D,2,FALSE),"")</f>
        <v/>
      </c>
      <c r="AG62" s="17" t="str">
        <f>IFERROR(VLOOKUP(シフト組み!AG92,役職一覧!$B:$D,2,FALSE),"")</f>
        <v/>
      </c>
      <c r="AH62" s="17" t="str">
        <f>IFERROR(VLOOKUP(シフト組み!AH92,役職一覧!$B:$D,2,FALSE),"")</f>
        <v/>
      </c>
      <c r="AI62" s="17" t="str">
        <f>IFERROR(VLOOKUP(シフト組み!AI92,役職一覧!$B:$D,2,FALSE),"")</f>
        <v/>
      </c>
      <c r="AJ62" s="17" t="str">
        <f>IFERROR(VLOOKUP(シフト組み!AJ92,役職一覧!$B:$D,2,FALSE),"")</f>
        <v/>
      </c>
      <c r="AK62" s="17" t="str">
        <f>IFERROR(VLOOKUP(シフト組み!AK92,役職一覧!$B:$D,2,FALSE),"")</f>
        <v/>
      </c>
      <c r="AL62" s="17" t="str">
        <f>IFERROR(VLOOKUP(シフト組み!AL92,役職一覧!$B:$D,2,FALSE),"")</f>
        <v/>
      </c>
      <c r="AM62" s="17" t="str">
        <f>IFERROR(VLOOKUP(シフト組み!AM92,役職一覧!$B:$D,2,FALSE),"")</f>
        <v/>
      </c>
      <c r="AN62" s="17" t="str">
        <f>IFERROR(VLOOKUP(シフト組み!AN92,役職一覧!$B:$D,2,FALSE),"")</f>
        <v/>
      </c>
      <c r="AO62" s="17" t="str">
        <f>IFERROR(VLOOKUP(シフト組み!AO92,役職一覧!$B:$D,2,FALSE),"")</f>
        <v/>
      </c>
      <c r="AP62" s="17" t="str">
        <f>IFERROR(VLOOKUP(シフト組み!AP92,役職一覧!$B:$D,2,FALSE),"")</f>
        <v/>
      </c>
      <c r="AQ62" s="17" t="str">
        <f>IFERROR(VLOOKUP(シフト組み!AQ92,役職一覧!$B:$D,2,FALSE),"")</f>
        <v/>
      </c>
      <c r="AR62" s="17" t="str">
        <f>IFERROR(VLOOKUP(シフト組み!AR92,役職一覧!$B:$D,2,FALSE),"")</f>
        <v/>
      </c>
      <c r="AS62" s="17" t="str">
        <f>IFERROR(VLOOKUP(シフト組み!AS92,役職一覧!$B:$D,2,FALSE),"")</f>
        <v/>
      </c>
      <c r="AT62" s="17" t="str">
        <f>IFERROR(VLOOKUP(シフト組み!AT92,役職一覧!$B:$D,2,FALSE),"")</f>
        <v/>
      </c>
      <c r="AU62" s="17" t="str">
        <f>IFERROR(VLOOKUP(シフト組み!AU92,役職一覧!$B:$D,2,FALSE),"")</f>
        <v/>
      </c>
      <c r="AV62" s="17" t="str">
        <f>IFERROR(VLOOKUP(シフト組み!AV92,役職一覧!$B:$D,2,FALSE),"")</f>
        <v/>
      </c>
      <c r="AW62" s="17" t="str">
        <f>IFERROR(VLOOKUP(シフト組み!AW92,役職一覧!$B:$D,2,FALSE),"")</f>
        <v/>
      </c>
      <c r="AX62" s="17" t="str">
        <f>IFERROR(VLOOKUP(シフト組み!AX92,役職一覧!$B:$D,2,FALSE),"")</f>
        <v/>
      </c>
      <c r="AY62" s="17" t="str">
        <f>IFERROR(VLOOKUP(シフト組み!AY92,役職一覧!$B:$D,2,FALSE),"")</f>
        <v/>
      </c>
      <c r="AZ62" s="17" t="str">
        <f>IFERROR(VLOOKUP(シフト組み!AZ92,役職一覧!$B:$D,2,FALSE),"")</f>
        <v/>
      </c>
      <c r="BA62" s="17" t="str">
        <f>IFERROR(VLOOKUP(シフト組み!BA92,役職一覧!$B:$D,2,FALSE),"")</f>
        <v/>
      </c>
    </row>
    <row r="63" spans="1:53">
      <c r="A63" s="2" t="str">
        <f>シフト組み!A93&amp;""</f>
        <v/>
      </c>
      <c r="B63" s="2" t="str">
        <f>シフト組み!B93&amp;""</f>
        <v/>
      </c>
      <c r="C63" s="2" t="str">
        <f>シフト組み!C93&amp;""</f>
        <v/>
      </c>
      <c r="D63" s="17" t="str">
        <f>IFERROR(VLOOKUP(シフト組み!D93,役職一覧!$B:$D,2,FALSE),"")</f>
        <v/>
      </c>
      <c r="E63" s="17" t="str">
        <f>IFERROR(VLOOKUP(シフト組み!E93,役職一覧!$B:$D,2,FALSE),"")</f>
        <v/>
      </c>
      <c r="F63" s="17" t="str">
        <f>IFERROR(VLOOKUP(シフト組み!F93,役職一覧!$B:$D,2,FALSE),"")</f>
        <v/>
      </c>
      <c r="G63" s="17" t="str">
        <f>IFERROR(VLOOKUP(シフト組み!G93,役職一覧!$B:$D,2,FALSE),"")</f>
        <v/>
      </c>
      <c r="H63" s="17" t="str">
        <f>IFERROR(VLOOKUP(シフト組み!H93,役職一覧!$B:$D,2,FALSE),"")</f>
        <v/>
      </c>
      <c r="I63" s="17" t="str">
        <f>IFERROR(VLOOKUP(シフト組み!I93,役職一覧!$B:$D,2,FALSE),"")</f>
        <v/>
      </c>
      <c r="J63" s="17" t="str">
        <f>IFERROR(VLOOKUP(シフト組み!J93,役職一覧!$B:$D,2,FALSE),"")</f>
        <v/>
      </c>
      <c r="K63" s="17" t="str">
        <f>IFERROR(VLOOKUP(シフト組み!K93,役職一覧!$B:$D,2,FALSE),"")</f>
        <v/>
      </c>
      <c r="L63" s="17" t="str">
        <f>IFERROR(VLOOKUP(シフト組み!L93,役職一覧!$B:$D,2,FALSE),"")</f>
        <v/>
      </c>
      <c r="M63" s="17" t="str">
        <f>IFERROR(VLOOKUP(シフト組み!M93,役職一覧!$B:$D,2,FALSE),"")</f>
        <v/>
      </c>
      <c r="N63" s="17" t="str">
        <f>IFERROR(VLOOKUP(シフト組み!N93,役職一覧!$B:$D,2,FALSE),"")</f>
        <v/>
      </c>
      <c r="O63" s="17" t="str">
        <f>IFERROR(VLOOKUP(シフト組み!O93,役職一覧!$B:$D,2,FALSE),"")</f>
        <v/>
      </c>
      <c r="P63" s="17" t="str">
        <f>IFERROR(VLOOKUP(シフト組み!P93,役職一覧!$B:$D,2,FALSE),"")</f>
        <v/>
      </c>
      <c r="Q63" s="17" t="str">
        <f>IFERROR(VLOOKUP(シフト組み!Q93,役職一覧!$B:$D,2,FALSE),"")</f>
        <v/>
      </c>
      <c r="R63" s="17" t="str">
        <f>IFERROR(VLOOKUP(シフト組み!R93,役職一覧!$B:$D,2,FALSE),"")</f>
        <v/>
      </c>
      <c r="S63" s="17" t="str">
        <f>IFERROR(VLOOKUP(シフト組み!S93,役職一覧!$B:$D,2,FALSE),"")</f>
        <v/>
      </c>
      <c r="T63" s="17" t="str">
        <f>IFERROR(VLOOKUP(シフト組み!T93,役職一覧!$B:$D,2,FALSE),"")</f>
        <v/>
      </c>
      <c r="U63" s="17" t="str">
        <f>IFERROR(VLOOKUP(シフト組み!U93,役職一覧!$B:$D,2,FALSE),"")</f>
        <v/>
      </c>
      <c r="V63" s="17" t="str">
        <f>IFERROR(VLOOKUP(シフト組み!V93,役職一覧!$B:$D,2,FALSE),"")</f>
        <v/>
      </c>
      <c r="W63" s="17" t="str">
        <f>IFERROR(VLOOKUP(シフト組み!W93,役職一覧!$B:$D,2,FALSE),"")</f>
        <v/>
      </c>
      <c r="X63" s="17" t="str">
        <f>IFERROR(VLOOKUP(シフト組み!X93,役職一覧!$B:$D,2,FALSE),"")</f>
        <v/>
      </c>
      <c r="Y63" s="17" t="str">
        <f>IFERROR(VLOOKUP(シフト組み!Y93,役職一覧!$B:$D,2,FALSE),"")</f>
        <v/>
      </c>
      <c r="Z63" s="17" t="str">
        <f>IFERROR(VLOOKUP(シフト組み!Z93,役職一覧!$B:$D,2,FALSE),"")</f>
        <v/>
      </c>
      <c r="AA63" s="17" t="str">
        <f>IFERROR(VLOOKUP(シフト組み!AA93,役職一覧!$B:$D,2,FALSE),"")</f>
        <v/>
      </c>
      <c r="AB63" s="17" t="str">
        <f>IFERROR(VLOOKUP(シフト組み!AB93,役職一覧!$B:$D,2,FALSE),"")</f>
        <v/>
      </c>
      <c r="AC63" s="17" t="str">
        <f>IFERROR(VLOOKUP(シフト組み!AC93,役職一覧!$B:$D,2,FALSE),"")</f>
        <v/>
      </c>
      <c r="AD63" s="17" t="str">
        <f>IFERROR(VLOOKUP(シフト組み!AD93,役職一覧!$B:$D,2,FALSE),"")</f>
        <v/>
      </c>
      <c r="AE63" s="17" t="str">
        <f>IFERROR(VLOOKUP(シフト組み!AE93,役職一覧!$B:$D,2,FALSE),"")</f>
        <v/>
      </c>
      <c r="AF63" s="17" t="str">
        <f>IFERROR(VLOOKUP(シフト組み!AF93,役職一覧!$B:$D,2,FALSE),"")</f>
        <v/>
      </c>
      <c r="AG63" s="17" t="str">
        <f>IFERROR(VLOOKUP(シフト組み!AG93,役職一覧!$B:$D,2,FALSE),"")</f>
        <v/>
      </c>
      <c r="AH63" s="17" t="str">
        <f>IFERROR(VLOOKUP(シフト組み!AH93,役職一覧!$B:$D,2,FALSE),"")</f>
        <v/>
      </c>
      <c r="AI63" s="17" t="str">
        <f>IFERROR(VLOOKUP(シフト組み!AI93,役職一覧!$B:$D,2,FALSE),"")</f>
        <v/>
      </c>
      <c r="AJ63" s="17" t="str">
        <f>IFERROR(VLOOKUP(シフト組み!AJ93,役職一覧!$B:$D,2,FALSE),"")</f>
        <v/>
      </c>
      <c r="AK63" s="17" t="str">
        <f>IFERROR(VLOOKUP(シフト組み!AK93,役職一覧!$B:$D,2,FALSE),"")</f>
        <v/>
      </c>
      <c r="AL63" s="17" t="str">
        <f>IFERROR(VLOOKUP(シフト組み!AL93,役職一覧!$B:$D,2,FALSE),"")</f>
        <v/>
      </c>
      <c r="AM63" s="17" t="str">
        <f>IFERROR(VLOOKUP(シフト組み!AM93,役職一覧!$B:$D,2,FALSE),"")</f>
        <v/>
      </c>
      <c r="AN63" s="17" t="str">
        <f>IFERROR(VLOOKUP(シフト組み!AN93,役職一覧!$B:$D,2,FALSE),"")</f>
        <v/>
      </c>
      <c r="AO63" s="17" t="str">
        <f>IFERROR(VLOOKUP(シフト組み!AO93,役職一覧!$B:$D,2,FALSE),"")</f>
        <v/>
      </c>
      <c r="AP63" s="17" t="str">
        <f>IFERROR(VLOOKUP(シフト組み!AP93,役職一覧!$B:$D,2,FALSE),"")</f>
        <v/>
      </c>
      <c r="AQ63" s="17" t="str">
        <f>IFERROR(VLOOKUP(シフト組み!AQ93,役職一覧!$B:$D,2,FALSE),"")</f>
        <v/>
      </c>
      <c r="AR63" s="17" t="str">
        <f>IFERROR(VLOOKUP(シフト組み!AR93,役職一覧!$B:$D,2,FALSE),"")</f>
        <v/>
      </c>
      <c r="AS63" s="17" t="str">
        <f>IFERROR(VLOOKUP(シフト組み!AS93,役職一覧!$B:$D,2,FALSE),"")</f>
        <v/>
      </c>
      <c r="AT63" s="17" t="str">
        <f>IFERROR(VLOOKUP(シフト組み!AT93,役職一覧!$B:$D,2,FALSE),"")</f>
        <v/>
      </c>
      <c r="AU63" s="17" t="str">
        <f>IFERROR(VLOOKUP(シフト組み!AU93,役職一覧!$B:$D,2,FALSE),"")</f>
        <v/>
      </c>
      <c r="AV63" s="17" t="str">
        <f>IFERROR(VLOOKUP(シフト組み!AV93,役職一覧!$B:$D,2,FALSE),"")</f>
        <v/>
      </c>
      <c r="AW63" s="17" t="str">
        <f>IFERROR(VLOOKUP(シフト組み!AW93,役職一覧!$B:$D,2,FALSE),"")</f>
        <v/>
      </c>
      <c r="AX63" s="17" t="str">
        <f>IFERROR(VLOOKUP(シフト組み!AX93,役職一覧!$B:$D,2,FALSE),"")</f>
        <v/>
      </c>
      <c r="AY63" s="17" t="str">
        <f>IFERROR(VLOOKUP(シフト組み!AY93,役職一覧!$B:$D,2,FALSE),"")</f>
        <v/>
      </c>
      <c r="AZ63" s="17" t="str">
        <f>IFERROR(VLOOKUP(シフト組み!AZ93,役職一覧!$B:$D,2,FALSE),"")</f>
        <v/>
      </c>
      <c r="BA63" s="17" t="str">
        <f>IFERROR(VLOOKUP(シフト組み!BA93,役職一覧!$B:$D,2,FALSE),"")</f>
        <v/>
      </c>
    </row>
    <row r="64" spans="1:53">
      <c r="A64" s="2" t="str">
        <f>シフト組み!A94&amp;""</f>
        <v/>
      </c>
      <c r="B64" s="2" t="str">
        <f>シフト組み!B94&amp;""</f>
        <v/>
      </c>
      <c r="C64" s="2" t="str">
        <f>シフト組み!C94&amp;""</f>
        <v/>
      </c>
      <c r="D64" s="17" t="str">
        <f>IFERROR(VLOOKUP(シフト組み!D94,役職一覧!$B:$D,2,FALSE),"")</f>
        <v/>
      </c>
      <c r="E64" s="17" t="str">
        <f>IFERROR(VLOOKUP(シフト組み!E94,役職一覧!$B:$D,2,FALSE),"")</f>
        <v/>
      </c>
      <c r="F64" s="17" t="str">
        <f>IFERROR(VLOOKUP(シフト組み!F94,役職一覧!$B:$D,2,FALSE),"")</f>
        <v/>
      </c>
      <c r="G64" s="17" t="str">
        <f>IFERROR(VLOOKUP(シフト組み!G94,役職一覧!$B:$D,2,FALSE),"")</f>
        <v/>
      </c>
      <c r="H64" s="17" t="str">
        <f>IFERROR(VLOOKUP(シフト組み!H94,役職一覧!$B:$D,2,FALSE),"")</f>
        <v/>
      </c>
      <c r="I64" s="17" t="str">
        <f>IFERROR(VLOOKUP(シフト組み!I94,役職一覧!$B:$D,2,FALSE),"")</f>
        <v/>
      </c>
      <c r="J64" s="17" t="str">
        <f>IFERROR(VLOOKUP(シフト組み!J94,役職一覧!$B:$D,2,FALSE),"")</f>
        <v/>
      </c>
      <c r="K64" s="17" t="str">
        <f>IFERROR(VLOOKUP(シフト組み!K94,役職一覧!$B:$D,2,FALSE),"")</f>
        <v/>
      </c>
      <c r="L64" s="17" t="str">
        <f>IFERROR(VLOOKUP(シフト組み!L94,役職一覧!$B:$D,2,FALSE),"")</f>
        <v/>
      </c>
      <c r="M64" s="17" t="str">
        <f>IFERROR(VLOOKUP(シフト組み!M94,役職一覧!$B:$D,2,FALSE),"")</f>
        <v/>
      </c>
      <c r="N64" s="17" t="str">
        <f>IFERROR(VLOOKUP(シフト組み!N94,役職一覧!$B:$D,2,FALSE),"")</f>
        <v/>
      </c>
      <c r="O64" s="17" t="str">
        <f>IFERROR(VLOOKUP(シフト組み!O94,役職一覧!$B:$D,2,FALSE),"")</f>
        <v/>
      </c>
      <c r="P64" s="17" t="str">
        <f>IFERROR(VLOOKUP(シフト組み!P94,役職一覧!$B:$D,2,FALSE),"")</f>
        <v/>
      </c>
      <c r="Q64" s="17" t="str">
        <f>IFERROR(VLOOKUP(シフト組み!Q94,役職一覧!$B:$D,2,FALSE),"")</f>
        <v/>
      </c>
      <c r="R64" s="17" t="str">
        <f>IFERROR(VLOOKUP(シフト組み!R94,役職一覧!$B:$D,2,FALSE),"")</f>
        <v/>
      </c>
      <c r="S64" s="17" t="str">
        <f>IFERROR(VLOOKUP(シフト組み!S94,役職一覧!$B:$D,2,FALSE),"")</f>
        <v/>
      </c>
      <c r="T64" s="17" t="str">
        <f>IFERROR(VLOOKUP(シフト組み!T94,役職一覧!$B:$D,2,FALSE),"")</f>
        <v/>
      </c>
      <c r="U64" s="17" t="str">
        <f>IFERROR(VLOOKUP(シフト組み!U94,役職一覧!$B:$D,2,FALSE),"")</f>
        <v/>
      </c>
      <c r="V64" s="17" t="str">
        <f>IFERROR(VLOOKUP(シフト組み!V94,役職一覧!$B:$D,2,FALSE),"")</f>
        <v/>
      </c>
      <c r="W64" s="17" t="str">
        <f>IFERROR(VLOOKUP(シフト組み!W94,役職一覧!$B:$D,2,FALSE),"")</f>
        <v/>
      </c>
      <c r="X64" s="17" t="str">
        <f>IFERROR(VLOOKUP(シフト組み!X94,役職一覧!$B:$D,2,FALSE),"")</f>
        <v/>
      </c>
      <c r="Y64" s="17" t="str">
        <f>IFERROR(VLOOKUP(シフト組み!Y94,役職一覧!$B:$D,2,FALSE),"")</f>
        <v/>
      </c>
      <c r="Z64" s="17" t="str">
        <f>IFERROR(VLOOKUP(シフト組み!Z94,役職一覧!$B:$D,2,FALSE),"")</f>
        <v/>
      </c>
      <c r="AA64" s="17" t="str">
        <f>IFERROR(VLOOKUP(シフト組み!AA94,役職一覧!$B:$D,2,FALSE),"")</f>
        <v/>
      </c>
      <c r="AB64" s="17" t="str">
        <f>IFERROR(VLOOKUP(シフト組み!AB94,役職一覧!$B:$D,2,FALSE),"")</f>
        <v/>
      </c>
      <c r="AC64" s="17" t="str">
        <f>IFERROR(VLOOKUP(シフト組み!AC94,役職一覧!$B:$D,2,FALSE),"")</f>
        <v/>
      </c>
      <c r="AD64" s="17" t="str">
        <f>IFERROR(VLOOKUP(シフト組み!AD94,役職一覧!$B:$D,2,FALSE),"")</f>
        <v/>
      </c>
      <c r="AE64" s="17" t="str">
        <f>IFERROR(VLOOKUP(シフト組み!AE94,役職一覧!$B:$D,2,FALSE),"")</f>
        <v/>
      </c>
      <c r="AF64" s="17" t="str">
        <f>IFERROR(VLOOKUP(シフト組み!AF94,役職一覧!$B:$D,2,FALSE),"")</f>
        <v/>
      </c>
      <c r="AG64" s="17" t="str">
        <f>IFERROR(VLOOKUP(シフト組み!AG94,役職一覧!$B:$D,2,FALSE),"")</f>
        <v/>
      </c>
      <c r="AH64" s="17" t="str">
        <f>IFERROR(VLOOKUP(シフト組み!AH94,役職一覧!$B:$D,2,FALSE),"")</f>
        <v/>
      </c>
      <c r="AI64" s="17" t="str">
        <f>IFERROR(VLOOKUP(シフト組み!AI94,役職一覧!$B:$D,2,FALSE),"")</f>
        <v/>
      </c>
      <c r="AJ64" s="17" t="str">
        <f>IFERROR(VLOOKUP(シフト組み!AJ94,役職一覧!$B:$D,2,FALSE),"")</f>
        <v/>
      </c>
      <c r="AK64" s="17" t="str">
        <f>IFERROR(VLOOKUP(シフト組み!AK94,役職一覧!$B:$D,2,FALSE),"")</f>
        <v/>
      </c>
      <c r="AL64" s="17" t="str">
        <f>IFERROR(VLOOKUP(シフト組み!AL94,役職一覧!$B:$D,2,FALSE),"")</f>
        <v/>
      </c>
      <c r="AM64" s="17" t="str">
        <f>IFERROR(VLOOKUP(シフト組み!AM94,役職一覧!$B:$D,2,FALSE),"")</f>
        <v/>
      </c>
      <c r="AN64" s="17" t="str">
        <f>IFERROR(VLOOKUP(シフト組み!AN94,役職一覧!$B:$D,2,FALSE),"")</f>
        <v/>
      </c>
      <c r="AO64" s="17" t="str">
        <f>IFERROR(VLOOKUP(シフト組み!AO94,役職一覧!$B:$D,2,FALSE),"")</f>
        <v/>
      </c>
      <c r="AP64" s="17" t="str">
        <f>IFERROR(VLOOKUP(シフト組み!AP94,役職一覧!$B:$D,2,FALSE),"")</f>
        <v/>
      </c>
      <c r="AQ64" s="17" t="str">
        <f>IFERROR(VLOOKUP(シフト組み!AQ94,役職一覧!$B:$D,2,FALSE),"")</f>
        <v/>
      </c>
      <c r="AR64" s="17" t="str">
        <f>IFERROR(VLOOKUP(シフト組み!AR94,役職一覧!$B:$D,2,FALSE),"")</f>
        <v/>
      </c>
      <c r="AS64" s="17" t="str">
        <f>IFERROR(VLOOKUP(シフト組み!AS94,役職一覧!$B:$D,2,FALSE),"")</f>
        <v/>
      </c>
      <c r="AT64" s="17" t="str">
        <f>IFERROR(VLOOKUP(シフト組み!AT94,役職一覧!$B:$D,2,FALSE),"")</f>
        <v/>
      </c>
      <c r="AU64" s="17" t="str">
        <f>IFERROR(VLOOKUP(シフト組み!AU94,役職一覧!$B:$D,2,FALSE),"")</f>
        <v/>
      </c>
      <c r="AV64" s="17" t="str">
        <f>IFERROR(VLOOKUP(シフト組み!AV94,役職一覧!$B:$D,2,FALSE),"")</f>
        <v/>
      </c>
      <c r="AW64" s="17" t="str">
        <f>IFERROR(VLOOKUP(シフト組み!AW94,役職一覧!$B:$D,2,FALSE),"")</f>
        <v/>
      </c>
      <c r="AX64" s="17" t="str">
        <f>IFERROR(VLOOKUP(シフト組み!AX94,役職一覧!$B:$D,2,FALSE),"")</f>
        <v/>
      </c>
      <c r="AY64" s="17" t="str">
        <f>IFERROR(VLOOKUP(シフト組み!AY94,役職一覧!$B:$D,2,FALSE),"")</f>
        <v/>
      </c>
      <c r="AZ64" s="17" t="str">
        <f>IFERROR(VLOOKUP(シフト組み!AZ94,役職一覧!$B:$D,2,FALSE),"")</f>
        <v/>
      </c>
      <c r="BA64" s="17" t="str">
        <f>IFERROR(VLOOKUP(シフト組み!BA94,役職一覧!$B:$D,2,FALSE),"")</f>
        <v/>
      </c>
    </row>
    <row r="65" spans="1:53">
      <c r="A65" s="2" t="str">
        <f>シフト組み!A95&amp;""</f>
        <v/>
      </c>
      <c r="B65" s="2" t="str">
        <f>シフト組み!B95&amp;""</f>
        <v/>
      </c>
      <c r="C65" s="2" t="str">
        <f>シフト組み!C95&amp;""</f>
        <v/>
      </c>
      <c r="D65" s="17" t="str">
        <f>IFERROR(VLOOKUP(シフト組み!D95,役職一覧!$B:$D,2,FALSE),"")</f>
        <v/>
      </c>
      <c r="E65" s="17" t="str">
        <f>IFERROR(VLOOKUP(シフト組み!E95,役職一覧!$B:$D,2,FALSE),"")</f>
        <v/>
      </c>
      <c r="F65" s="17" t="str">
        <f>IFERROR(VLOOKUP(シフト組み!F95,役職一覧!$B:$D,2,FALSE),"")</f>
        <v/>
      </c>
      <c r="G65" s="17" t="str">
        <f>IFERROR(VLOOKUP(シフト組み!G95,役職一覧!$B:$D,2,FALSE),"")</f>
        <v/>
      </c>
      <c r="H65" s="17" t="str">
        <f>IFERROR(VLOOKUP(シフト組み!H95,役職一覧!$B:$D,2,FALSE),"")</f>
        <v/>
      </c>
      <c r="I65" s="17" t="str">
        <f>IFERROR(VLOOKUP(シフト組み!I95,役職一覧!$B:$D,2,FALSE),"")</f>
        <v/>
      </c>
      <c r="J65" s="17" t="str">
        <f>IFERROR(VLOOKUP(シフト組み!J95,役職一覧!$B:$D,2,FALSE),"")</f>
        <v/>
      </c>
      <c r="K65" s="17" t="str">
        <f>IFERROR(VLOOKUP(シフト組み!K95,役職一覧!$B:$D,2,FALSE),"")</f>
        <v/>
      </c>
      <c r="L65" s="17" t="str">
        <f>IFERROR(VLOOKUP(シフト組み!L95,役職一覧!$B:$D,2,FALSE),"")</f>
        <v/>
      </c>
      <c r="M65" s="17" t="str">
        <f>IFERROR(VLOOKUP(シフト組み!M95,役職一覧!$B:$D,2,FALSE),"")</f>
        <v/>
      </c>
      <c r="N65" s="17" t="str">
        <f>IFERROR(VLOOKUP(シフト組み!N95,役職一覧!$B:$D,2,FALSE),"")</f>
        <v/>
      </c>
      <c r="O65" s="17" t="str">
        <f>IFERROR(VLOOKUP(シフト組み!O95,役職一覧!$B:$D,2,FALSE),"")</f>
        <v/>
      </c>
      <c r="P65" s="17" t="str">
        <f>IFERROR(VLOOKUP(シフト組み!P95,役職一覧!$B:$D,2,FALSE),"")</f>
        <v/>
      </c>
      <c r="Q65" s="17" t="str">
        <f>IFERROR(VLOOKUP(シフト組み!Q95,役職一覧!$B:$D,2,FALSE),"")</f>
        <v/>
      </c>
      <c r="R65" s="17" t="str">
        <f>IFERROR(VLOOKUP(シフト組み!R95,役職一覧!$B:$D,2,FALSE),"")</f>
        <v/>
      </c>
      <c r="S65" s="17" t="str">
        <f>IFERROR(VLOOKUP(シフト組み!S95,役職一覧!$B:$D,2,FALSE),"")</f>
        <v/>
      </c>
      <c r="T65" s="17" t="str">
        <f>IFERROR(VLOOKUP(シフト組み!T95,役職一覧!$B:$D,2,FALSE),"")</f>
        <v/>
      </c>
      <c r="U65" s="17" t="str">
        <f>IFERROR(VLOOKUP(シフト組み!U95,役職一覧!$B:$D,2,FALSE),"")</f>
        <v/>
      </c>
      <c r="V65" s="17" t="str">
        <f>IFERROR(VLOOKUP(シフト組み!V95,役職一覧!$B:$D,2,FALSE),"")</f>
        <v/>
      </c>
      <c r="W65" s="17" t="str">
        <f>IFERROR(VLOOKUP(シフト組み!W95,役職一覧!$B:$D,2,FALSE),"")</f>
        <v/>
      </c>
      <c r="X65" s="17" t="str">
        <f>IFERROR(VLOOKUP(シフト組み!X95,役職一覧!$B:$D,2,FALSE),"")</f>
        <v/>
      </c>
      <c r="Y65" s="17" t="str">
        <f>IFERROR(VLOOKUP(シフト組み!Y95,役職一覧!$B:$D,2,FALSE),"")</f>
        <v/>
      </c>
      <c r="Z65" s="17" t="str">
        <f>IFERROR(VLOOKUP(シフト組み!Z95,役職一覧!$B:$D,2,FALSE),"")</f>
        <v/>
      </c>
      <c r="AA65" s="17" t="str">
        <f>IFERROR(VLOOKUP(シフト組み!AA95,役職一覧!$B:$D,2,FALSE),"")</f>
        <v/>
      </c>
      <c r="AB65" s="17" t="str">
        <f>IFERROR(VLOOKUP(シフト組み!AB95,役職一覧!$B:$D,2,FALSE),"")</f>
        <v/>
      </c>
      <c r="AC65" s="17" t="str">
        <f>IFERROR(VLOOKUP(シフト組み!AC95,役職一覧!$B:$D,2,FALSE),"")</f>
        <v/>
      </c>
      <c r="AD65" s="17" t="str">
        <f>IFERROR(VLOOKUP(シフト組み!AD95,役職一覧!$B:$D,2,FALSE),"")</f>
        <v/>
      </c>
      <c r="AE65" s="17" t="str">
        <f>IFERROR(VLOOKUP(シフト組み!AE95,役職一覧!$B:$D,2,FALSE),"")</f>
        <v/>
      </c>
      <c r="AF65" s="17" t="str">
        <f>IFERROR(VLOOKUP(シフト組み!AF95,役職一覧!$B:$D,2,FALSE),"")</f>
        <v/>
      </c>
      <c r="AG65" s="17" t="str">
        <f>IFERROR(VLOOKUP(シフト組み!AG95,役職一覧!$B:$D,2,FALSE),"")</f>
        <v/>
      </c>
      <c r="AH65" s="17" t="str">
        <f>IFERROR(VLOOKUP(シフト組み!AH95,役職一覧!$B:$D,2,FALSE),"")</f>
        <v/>
      </c>
      <c r="AI65" s="17" t="str">
        <f>IFERROR(VLOOKUP(シフト組み!AI95,役職一覧!$B:$D,2,FALSE),"")</f>
        <v/>
      </c>
      <c r="AJ65" s="17" t="str">
        <f>IFERROR(VLOOKUP(シフト組み!AJ95,役職一覧!$B:$D,2,FALSE),"")</f>
        <v/>
      </c>
      <c r="AK65" s="17" t="str">
        <f>IFERROR(VLOOKUP(シフト組み!AK95,役職一覧!$B:$D,2,FALSE),"")</f>
        <v/>
      </c>
      <c r="AL65" s="17" t="str">
        <f>IFERROR(VLOOKUP(シフト組み!AL95,役職一覧!$B:$D,2,FALSE),"")</f>
        <v/>
      </c>
      <c r="AM65" s="17" t="str">
        <f>IFERROR(VLOOKUP(シフト組み!AM95,役職一覧!$B:$D,2,FALSE),"")</f>
        <v/>
      </c>
      <c r="AN65" s="17" t="str">
        <f>IFERROR(VLOOKUP(シフト組み!AN95,役職一覧!$B:$D,2,FALSE),"")</f>
        <v/>
      </c>
      <c r="AO65" s="17" t="str">
        <f>IFERROR(VLOOKUP(シフト組み!AO95,役職一覧!$B:$D,2,FALSE),"")</f>
        <v/>
      </c>
      <c r="AP65" s="17" t="str">
        <f>IFERROR(VLOOKUP(シフト組み!AP95,役職一覧!$B:$D,2,FALSE),"")</f>
        <v/>
      </c>
      <c r="AQ65" s="17" t="str">
        <f>IFERROR(VLOOKUP(シフト組み!AQ95,役職一覧!$B:$D,2,FALSE),"")</f>
        <v/>
      </c>
      <c r="AR65" s="17" t="str">
        <f>IFERROR(VLOOKUP(シフト組み!AR95,役職一覧!$B:$D,2,FALSE),"")</f>
        <v/>
      </c>
      <c r="AS65" s="17" t="str">
        <f>IFERROR(VLOOKUP(シフト組み!AS95,役職一覧!$B:$D,2,FALSE),"")</f>
        <v/>
      </c>
      <c r="AT65" s="17" t="str">
        <f>IFERROR(VLOOKUP(シフト組み!AT95,役職一覧!$B:$D,2,FALSE),"")</f>
        <v/>
      </c>
      <c r="AU65" s="17" t="str">
        <f>IFERROR(VLOOKUP(シフト組み!AU95,役職一覧!$B:$D,2,FALSE),"")</f>
        <v/>
      </c>
      <c r="AV65" s="17" t="str">
        <f>IFERROR(VLOOKUP(シフト組み!AV95,役職一覧!$B:$D,2,FALSE),"")</f>
        <v/>
      </c>
      <c r="AW65" s="17" t="str">
        <f>IFERROR(VLOOKUP(シフト組み!AW95,役職一覧!$B:$D,2,FALSE),"")</f>
        <v/>
      </c>
      <c r="AX65" s="17" t="str">
        <f>IFERROR(VLOOKUP(シフト組み!AX95,役職一覧!$B:$D,2,FALSE),"")</f>
        <v/>
      </c>
      <c r="AY65" s="17" t="str">
        <f>IFERROR(VLOOKUP(シフト組み!AY95,役職一覧!$B:$D,2,FALSE),"")</f>
        <v/>
      </c>
      <c r="AZ65" s="17" t="str">
        <f>IFERROR(VLOOKUP(シフト組み!AZ95,役職一覧!$B:$D,2,FALSE),"")</f>
        <v/>
      </c>
      <c r="BA65" s="17" t="str">
        <f>IFERROR(VLOOKUP(シフト組み!BA95,役職一覧!$B:$D,2,FALSE),"")</f>
        <v/>
      </c>
    </row>
    <row r="66" spans="1:53">
      <c r="A66" s="2" t="str">
        <f>シフト組み!A96&amp;""</f>
        <v/>
      </c>
      <c r="B66" s="2" t="str">
        <f>シフト組み!B96&amp;""</f>
        <v/>
      </c>
      <c r="C66" s="2" t="str">
        <f>シフト組み!C96&amp;""</f>
        <v/>
      </c>
      <c r="D66" s="17" t="str">
        <f>IFERROR(VLOOKUP(シフト組み!D96,役職一覧!$B:$D,2,FALSE),"")</f>
        <v/>
      </c>
      <c r="E66" s="17" t="str">
        <f>IFERROR(VLOOKUP(シフト組み!E96,役職一覧!$B:$D,2,FALSE),"")</f>
        <v/>
      </c>
      <c r="F66" s="17" t="str">
        <f>IFERROR(VLOOKUP(シフト組み!F96,役職一覧!$B:$D,2,FALSE),"")</f>
        <v/>
      </c>
      <c r="G66" s="17" t="str">
        <f>IFERROR(VLOOKUP(シフト組み!G96,役職一覧!$B:$D,2,FALSE),"")</f>
        <v/>
      </c>
      <c r="H66" s="17" t="str">
        <f>IFERROR(VLOOKUP(シフト組み!H96,役職一覧!$B:$D,2,FALSE),"")</f>
        <v/>
      </c>
      <c r="I66" s="17" t="str">
        <f>IFERROR(VLOOKUP(シフト組み!I96,役職一覧!$B:$D,2,FALSE),"")</f>
        <v/>
      </c>
      <c r="J66" s="17" t="str">
        <f>IFERROR(VLOOKUP(シフト組み!J96,役職一覧!$B:$D,2,FALSE),"")</f>
        <v/>
      </c>
      <c r="K66" s="17" t="str">
        <f>IFERROR(VLOOKUP(シフト組み!K96,役職一覧!$B:$D,2,FALSE),"")</f>
        <v/>
      </c>
      <c r="L66" s="17" t="str">
        <f>IFERROR(VLOOKUP(シフト組み!L96,役職一覧!$B:$D,2,FALSE),"")</f>
        <v/>
      </c>
      <c r="M66" s="17" t="str">
        <f>IFERROR(VLOOKUP(シフト組み!M96,役職一覧!$B:$D,2,FALSE),"")</f>
        <v/>
      </c>
      <c r="N66" s="17" t="str">
        <f>IFERROR(VLOOKUP(シフト組み!N96,役職一覧!$B:$D,2,FALSE),"")</f>
        <v/>
      </c>
      <c r="O66" s="17" t="str">
        <f>IFERROR(VLOOKUP(シフト組み!O96,役職一覧!$B:$D,2,FALSE),"")</f>
        <v/>
      </c>
      <c r="P66" s="17" t="str">
        <f>IFERROR(VLOOKUP(シフト組み!P96,役職一覧!$B:$D,2,FALSE),"")</f>
        <v/>
      </c>
      <c r="Q66" s="17" t="str">
        <f>IFERROR(VLOOKUP(シフト組み!Q96,役職一覧!$B:$D,2,FALSE),"")</f>
        <v/>
      </c>
      <c r="R66" s="17" t="str">
        <f>IFERROR(VLOOKUP(シフト組み!R96,役職一覧!$B:$D,2,FALSE),"")</f>
        <v/>
      </c>
      <c r="S66" s="17" t="str">
        <f>IFERROR(VLOOKUP(シフト組み!S96,役職一覧!$B:$D,2,FALSE),"")</f>
        <v/>
      </c>
      <c r="T66" s="17" t="str">
        <f>IFERROR(VLOOKUP(シフト組み!T96,役職一覧!$B:$D,2,FALSE),"")</f>
        <v/>
      </c>
      <c r="U66" s="17" t="str">
        <f>IFERROR(VLOOKUP(シフト組み!U96,役職一覧!$B:$D,2,FALSE),"")</f>
        <v/>
      </c>
      <c r="V66" s="17" t="str">
        <f>IFERROR(VLOOKUP(シフト組み!V96,役職一覧!$B:$D,2,FALSE),"")</f>
        <v/>
      </c>
      <c r="W66" s="17" t="str">
        <f>IFERROR(VLOOKUP(シフト組み!W96,役職一覧!$B:$D,2,FALSE),"")</f>
        <v/>
      </c>
      <c r="X66" s="17" t="str">
        <f>IFERROR(VLOOKUP(シフト組み!X96,役職一覧!$B:$D,2,FALSE),"")</f>
        <v/>
      </c>
      <c r="Y66" s="17" t="str">
        <f>IFERROR(VLOOKUP(シフト組み!Y96,役職一覧!$B:$D,2,FALSE),"")</f>
        <v/>
      </c>
      <c r="Z66" s="17" t="str">
        <f>IFERROR(VLOOKUP(シフト組み!Z96,役職一覧!$B:$D,2,FALSE),"")</f>
        <v/>
      </c>
      <c r="AA66" s="17" t="str">
        <f>IFERROR(VLOOKUP(シフト組み!AA96,役職一覧!$B:$D,2,FALSE),"")</f>
        <v/>
      </c>
      <c r="AB66" s="17" t="str">
        <f>IFERROR(VLOOKUP(シフト組み!AB96,役職一覧!$B:$D,2,FALSE),"")</f>
        <v/>
      </c>
      <c r="AC66" s="17" t="str">
        <f>IFERROR(VLOOKUP(シフト組み!AC96,役職一覧!$B:$D,2,FALSE),"")</f>
        <v/>
      </c>
      <c r="AD66" s="17" t="str">
        <f>IFERROR(VLOOKUP(シフト組み!AD96,役職一覧!$B:$D,2,FALSE),"")</f>
        <v/>
      </c>
      <c r="AE66" s="17" t="str">
        <f>IFERROR(VLOOKUP(シフト組み!AE96,役職一覧!$B:$D,2,FALSE),"")</f>
        <v/>
      </c>
      <c r="AF66" s="17" t="str">
        <f>IFERROR(VLOOKUP(シフト組み!AF96,役職一覧!$B:$D,2,FALSE),"")</f>
        <v/>
      </c>
      <c r="AG66" s="17" t="str">
        <f>IFERROR(VLOOKUP(シフト組み!AG96,役職一覧!$B:$D,2,FALSE),"")</f>
        <v/>
      </c>
      <c r="AH66" s="17" t="str">
        <f>IFERROR(VLOOKUP(シフト組み!AH96,役職一覧!$B:$D,2,FALSE),"")</f>
        <v/>
      </c>
      <c r="AI66" s="17" t="str">
        <f>IFERROR(VLOOKUP(シフト組み!AI96,役職一覧!$B:$D,2,FALSE),"")</f>
        <v/>
      </c>
      <c r="AJ66" s="17" t="str">
        <f>IFERROR(VLOOKUP(シフト組み!AJ96,役職一覧!$B:$D,2,FALSE),"")</f>
        <v/>
      </c>
      <c r="AK66" s="17" t="str">
        <f>IFERROR(VLOOKUP(シフト組み!AK96,役職一覧!$B:$D,2,FALSE),"")</f>
        <v/>
      </c>
      <c r="AL66" s="17" t="str">
        <f>IFERROR(VLOOKUP(シフト組み!AL96,役職一覧!$B:$D,2,FALSE),"")</f>
        <v/>
      </c>
      <c r="AM66" s="17" t="str">
        <f>IFERROR(VLOOKUP(シフト組み!AM96,役職一覧!$B:$D,2,FALSE),"")</f>
        <v/>
      </c>
      <c r="AN66" s="17" t="str">
        <f>IFERROR(VLOOKUP(シフト組み!AN96,役職一覧!$B:$D,2,FALSE),"")</f>
        <v/>
      </c>
      <c r="AO66" s="17" t="str">
        <f>IFERROR(VLOOKUP(シフト組み!AO96,役職一覧!$B:$D,2,FALSE),"")</f>
        <v/>
      </c>
      <c r="AP66" s="17" t="str">
        <f>IFERROR(VLOOKUP(シフト組み!AP96,役職一覧!$B:$D,2,FALSE),"")</f>
        <v/>
      </c>
      <c r="AQ66" s="17" t="str">
        <f>IFERROR(VLOOKUP(シフト組み!AQ96,役職一覧!$B:$D,2,FALSE),"")</f>
        <v/>
      </c>
      <c r="AR66" s="17" t="str">
        <f>IFERROR(VLOOKUP(シフト組み!AR96,役職一覧!$B:$D,2,FALSE),"")</f>
        <v/>
      </c>
      <c r="AS66" s="17" t="str">
        <f>IFERROR(VLOOKUP(シフト組み!AS96,役職一覧!$B:$D,2,FALSE),"")</f>
        <v/>
      </c>
      <c r="AT66" s="17" t="str">
        <f>IFERROR(VLOOKUP(シフト組み!AT96,役職一覧!$B:$D,2,FALSE),"")</f>
        <v/>
      </c>
      <c r="AU66" s="17" t="str">
        <f>IFERROR(VLOOKUP(シフト組み!AU96,役職一覧!$B:$D,2,FALSE),"")</f>
        <v/>
      </c>
      <c r="AV66" s="17" t="str">
        <f>IFERROR(VLOOKUP(シフト組み!AV96,役職一覧!$B:$D,2,FALSE),"")</f>
        <v/>
      </c>
      <c r="AW66" s="17" t="str">
        <f>IFERROR(VLOOKUP(シフト組み!AW96,役職一覧!$B:$D,2,FALSE),"")</f>
        <v/>
      </c>
      <c r="AX66" s="17" t="str">
        <f>IFERROR(VLOOKUP(シフト組み!AX96,役職一覧!$B:$D,2,FALSE),"")</f>
        <v/>
      </c>
      <c r="AY66" s="17" t="str">
        <f>IFERROR(VLOOKUP(シフト組み!AY96,役職一覧!$B:$D,2,FALSE),"")</f>
        <v/>
      </c>
      <c r="AZ66" s="17" t="str">
        <f>IFERROR(VLOOKUP(シフト組み!AZ96,役職一覧!$B:$D,2,FALSE),"")</f>
        <v/>
      </c>
      <c r="BA66" s="17" t="str">
        <f>IFERROR(VLOOKUP(シフト組み!BA96,役職一覧!$B:$D,2,FALSE),"")</f>
        <v/>
      </c>
    </row>
    <row r="67" spans="1:53">
      <c r="A67" s="2" t="str">
        <f>シフト組み!A97&amp;""</f>
        <v/>
      </c>
      <c r="B67" s="2" t="str">
        <f>シフト組み!B97&amp;""</f>
        <v/>
      </c>
      <c r="C67" s="2" t="str">
        <f>シフト組み!C97&amp;""</f>
        <v/>
      </c>
      <c r="D67" s="17" t="str">
        <f>IFERROR(VLOOKUP(シフト組み!D97,役職一覧!$B:$D,2,FALSE),"")</f>
        <v/>
      </c>
      <c r="E67" s="17" t="str">
        <f>IFERROR(VLOOKUP(シフト組み!E97,役職一覧!$B:$D,2,FALSE),"")</f>
        <v/>
      </c>
      <c r="F67" s="17" t="str">
        <f>IFERROR(VLOOKUP(シフト組み!F97,役職一覧!$B:$D,2,FALSE),"")</f>
        <v/>
      </c>
      <c r="G67" s="17" t="str">
        <f>IFERROR(VLOOKUP(シフト組み!G97,役職一覧!$B:$D,2,FALSE),"")</f>
        <v/>
      </c>
      <c r="H67" s="17" t="str">
        <f>IFERROR(VLOOKUP(シフト組み!H97,役職一覧!$B:$D,2,FALSE),"")</f>
        <v/>
      </c>
      <c r="I67" s="17" t="str">
        <f>IFERROR(VLOOKUP(シフト組み!I97,役職一覧!$B:$D,2,FALSE),"")</f>
        <v/>
      </c>
      <c r="J67" s="17" t="str">
        <f>IFERROR(VLOOKUP(シフト組み!J97,役職一覧!$B:$D,2,FALSE),"")</f>
        <v/>
      </c>
      <c r="K67" s="17" t="str">
        <f>IFERROR(VLOOKUP(シフト組み!K97,役職一覧!$B:$D,2,FALSE),"")</f>
        <v/>
      </c>
      <c r="L67" s="17" t="str">
        <f>IFERROR(VLOOKUP(シフト組み!L97,役職一覧!$B:$D,2,FALSE),"")</f>
        <v/>
      </c>
      <c r="M67" s="17" t="str">
        <f>IFERROR(VLOOKUP(シフト組み!M97,役職一覧!$B:$D,2,FALSE),"")</f>
        <v/>
      </c>
      <c r="N67" s="17" t="str">
        <f>IFERROR(VLOOKUP(シフト組み!N97,役職一覧!$B:$D,2,FALSE),"")</f>
        <v/>
      </c>
      <c r="O67" s="17" t="str">
        <f>IFERROR(VLOOKUP(シフト組み!O97,役職一覧!$B:$D,2,FALSE),"")</f>
        <v/>
      </c>
      <c r="P67" s="17" t="str">
        <f>IFERROR(VLOOKUP(シフト組み!P97,役職一覧!$B:$D,2,FALSE),"")</f>
        <v/>
      </c>
      <c r="Q67" s="17" t="str">
        <f>IFERROR(VLOOKUP(シフト組み!Q97,役職一覧!$B:$D,2,FALSE),"")</f>
        <v/>
      </c>
      <c r="R67" s="17" t="str">
        <f>IFERROR(VLOOKUP(シフト組み!R97,役職一覧!$B:$D,2,FALSE),"")</f>
        <v/>
      </c>
      <c r="S67" s="17" t="str">
        <f>IFERROR(VLOOKUP(シフト組み!S97,役職一覧!$B:$D,2,FALSE),"")</f>
        <v/>
      </c>
      <c r="T67" s="17" t="str">
        <f>IFERROR(VLOOKUP(シフト組み!T97,役職一覧!$B:$D,2,FALSE),"")</f>
        <v/>
      </c>
      <c r="U67" s="17" t="str">
        <f>IFERROR(VLOOKUP(シフト組み!U97,役職一覧!$B:$D,2,FALSE),"")</f>
        <v/>
      </c>
      <c r="V67" s="17" t="str">
        <f>IFERROR(VLOOKUP(シフト組み!V97,役職一覧!$B:$D,2,FALSE),"")</f>
        <v/>
      </c>
      <c r="W67" s="17" t="str">
        <f>IFERROR(VLOOKUP(シフト組み!W97,役職一覧!$B:$D,2,FALSE),"")</f>
        <v/>
      </c>
      <c r="X67" s="17" t="str">
        <f>IFERROR(VLOOKUP(シフト組み!X97,役職一覧!$B:$D,2,FALSE),"")</f>
        <v/>
      </c>
      <c r="Y67" s="17" t="str">
        <f>IFERROR(VLOOKUP(シフト組み!Y97,役職一覧!$B:$D,2,FALSE),"")</f>
        <v/>
      </c>
      <c r="Z67" s="17" t="str">
        <f>IFERROR(VLOOKUP(シフト組み!Z97,役職一覧!$B:$D,2,FALSE),"")</f>
        <v/>
      </c>
      <c r="AA67" s="17" t="str">
        <f>IFERROR(VLOOKUP(シフト組み!AA97,役職一覧!$B:$D,2,FALSE),"")</f>
        <v/>
      </c>
      <c r="AB67" s="17" t="str">
        <f>IFERROR(VLOOKUP(シフト組み!AB97,役職一覧!$B:$D,2,FALSE),"")</f>
        <v/>
      </c>
      <c r="AC67" s="17" t="str">
        <f>IFERROR(VLOOKUP(シフト組み!AC97,役職一覧!$B:$D,2,FALSE),"")</f>
        <v/>
      </c>
      <c r="AD67" s="17" t="str">
        <f>IFERROR(VLOOKUP(シフト組み!AD97,役職一覧!$B:$D,2,FALSE),"")</f>
        <v/>
      </c>
      <c r="AE67" s="17" t="str">
        <f>IFERROR(VLOOKUP(シフト組み!AE97,役職一覧!$B:$D,2,FALSE),"")</f>
        <v/>
      </c>
      <c r="AF67" s="17" t="str">
        <f>IFERROR(VLOOKUP(シフト組み!AF97,役職一覧!$B:$D,2,FALSE),"")</f>
        <v/>
      </c>
      <c r="AG67" s="17" t="str">
        <f>IFERROR(VLOOKUP(シフト組み!AG97,役職一覧!$B:$D,2,FALSE),"")</f>
        <v/>
      </c>
      <c r="AH67" s="17" t="str">
        <f>IFERROR(VLOOKUP(シフト組み!AH97,役職一覧!$B:$D,2,FALSE),"")</f>
        <v/>
      </c>
      <c r="AI67" s="17" t="str">
        <f>IFERROR(VLOOKUP(シフト組み!AI97,役職一覧!$B:$D,2,FALSE),"")</f>
        <v/>
      </c>
      <c r="AJ67" s="17" t="str">
        <f>IFERROR(VLOOKUP(シフト組み!AJ97,役職一覧!$B:$D,2,FALSE),"")</f>
        <v/>
      </c>
      <c r="AK67" s="17" t="str">
        <f>IFERROR(VLOOKUP(シフト組み!AK97,役職一覧!$B:$D,2,FALSE),"")</f>
        <v/>
      </c>
      <c r="AL67" s="17" t="str">
        <f>IFERROR(VLOOKUP(シフト組み!AL97,役職一覧!$B:$D,2,FALSE),"")</f>
        <v/>
      </c>
      <c r="AM67" s="17" t="str">
        <f>IFERROR(VLOOKUP(シフト組み!AM97,役職一覧!$B:$D,2,FALSE),"")</f>
        <v/>
      </c>
      <c r="AN67" s="17" t="str">
        <f>IFERROR(VLOOKUP(シフト組み!AN97,役職一覧!$B:$D,2,FALSE),"")</f>
        <v/>
      </c>
      <c r="AO67" s="17" t="str">
        <f>IFERROR(VLOOKUP(シフト組み!AO97,役職一覧!$B:$D,2,FALSE),"")</f>
        <v/>
      </c>
      <c r="AP67" s="17" t="str">
        <f>IFERROR(VLOOKUP(シフト組み!AP97,役職一覧!$B:$D,2,FALSE),"")</f>
        <v/>
      </c>
      <c r="AQ67" s="17" t="str">
        <f>IFERROR(VLOOKUP(シフト組み!AQ97,役職一覧!$B:$D,2,FALSE),"")</f>
        <v/>
      </c>
      <c r="AR67" s="17" t="str">
        <f>IFERROR(VLOOKUP(シフト組み!AR97,役職一覧!$B:$D,2,FALSE),"")</f>
        <v/>
      </c>
      <c r="AS67" s="17" t="str">
        <f>IFERROR(VLOOKUP(シフト組み!AS97,役職一覧!$B:$D,2,FALSE),"")</f>
        <v/>
      </c>
      <c r="AT67" s="17" t="str">
        <f>IFERROR(VLOOKUP(シフト組み!AT97,役職一覧!$B:$D,2,FALSE),"")</f>
        <v/>
      </c>
      <c r="AU67" s="17" t="str">
        <f>IFERROR(VLOOKUP(シフト組み!AU97,役職一覧!$B:$D,2,FALSE),"")</f>
        <v/>
      </c>
      <c r="AV67" s="17" t="str">
        <f>IFERROR(VLOOKUP(シフト組み!AV97,役職一覧!$B:$D,2,FALSE),"")</f>
        <v/>
      </c>
      <c r="AW67" s="17" t="str">
        <f>IFERROR(VLOOKUP(シフト組み!AW97,役職一覧!$B:$D,2,FALSE),"")</f>
        <v/>
      </c>
      <c r="AX67" s="17" t="str">
        <f>IFERROR(VLOOKUP(シフト組み!AX97,役職一覧!$B:$D,2,FALSE),"")</f>
        <v/>
      </c>
      <c r="AY67" s="17" t="str">
        <f>IFERROR(VLOOKUP(シフト組み!AY97,役職一覧!$B:$D,2,FALSE),"")</f>
        <v/>
      </c>
      <c r="AZ67" s="17" t="str">
        <f>IFERROR(VLOOKUP(シフト組み!AZ97,役職一覧!$B:$D,2,FALSE),"")</f>
        <v/>
      </c>
      <c r="BA67" s="17" t="str">
        <f>IFERROR(VLOOKUP(シフト組み!BA97,役職一覧!$B:$D,2,FALSE),"")</f>
        <v/>
      </c>
    </row>
    <row r="68" spans="1:53">
      <c r="A68" s="2" t="str">
        <f>シフト組み!A98&amp;""</f>
        <v/>
      </c>
      <c r="B68" s="2" t="str">
        <f>シフト組み!B98&amp;""</f>
        <v/>
      </c>
      <c r="C68" s="2" t="str">
        <f>シフト組み!C98&amp;""</f>
        <v/>
      </c>
      <c r="D68" s="17" t="str">
        <f>IFERROR(VLOOKUP(シフト組み!D98,役職一覧!$B:$D,2,FALSE),"")</f>
        <v/>
      </c>
      <c r="E68" s="17" t="str">
        <f>IFERROR(VLOOKUP(シフト組み!E98,役職一覧!$B:$D,2,FALSE),"")</f>
        <v/>
      </c>
      <c r="F68" s="17" t="str">
        <f>IFERROR(VLOOKUP(シフト組み!F98,役職一覧!$B:$D,2,FALSE),"")</f>
        <v/>
      </c>
      <c r="G68" s="17" t="str">
        <f>IFERROR(VLOOKUP(シフト組み!G98,役職一覧!$B:$D,2,FALSE),"")</f>
        <v/>
      </c>
      <c r="H68" s="17" t="str">
        <f>IFERROR(VLOOKUP(シフト組み!H98,役職一覧!$B:$D,2,FALSE),"")</f>
        <v/>
      </c>
      <c r="I68" s="17" t="str">
        <f>IFERROR(VLOOKUP(シフト組み!I98,役職一覧!$B:$D,2,FALSE),"")</f>
        <v/>
      </c>
      <c r="J68" s="17" t="str">
        <f>IFERROR(VLOOKUP(シフト組み!J98,役職一覧!$B:$D,2,FALSE),"")</f>
        <v/>
      </c>
      <c r="K68" s="17" t="str">
        <f>IFERROR(VLOOKUP(シフト組み!K98,役職一覧!$B:$D,2,FALSE),"")</f>
        <v/>
      </c>
      <c r="L68" s="17" t="str">
        <f>IFERROR(VLOOKUP(シフト組み!L98,役職一覧!$B:$D,2,FALSE),"")</f>
        <v/>
      </c>
      <c r="M68" s="17" t="str">
        <f>IFERROR(VLOOKUP(シフト組み!M98,役職一覧!$B:$D,2,FALSE),"")</f>
        <v/>
      </c>
      <c r="N68" s="17" t="str">
        <f>IFERROR(VLOOKUP(シフト組み!N98,役職一覧!$B:$D,2,FALSE),"")</f>
        <v/>
      </c>
      <c r="O68" s="17" t="str">
        <f>IFERROR(VLOOKUP(シフト組み!O98,役職一覧!$B:$D,2,FALSE),"")</f>
        <v/>
      </c>
      <c r="P68" s="17" t="str">
        <f>IFERROR(VLOOKUP(シフト組み!P98,役職一覧!$B:$D,2,FALSE),"")</f>
        <v/>
      </c>
      <c r="Q68" s="17" t="str">
        <f>IFERROR(VLOOKUP(シフト組み!Q98,役職一覧!$B:$D,2,FALSE),"")</f>
        <v/>
      </c>
      <c r="R68" s="17" t="str">
        <f>IFERROR(VLOOKUP(シフト組み!R98,役職一覧!$B:$D,2,FALSE),"")</f>
        <v/>
      </c>
      <c r="S68" s="17" t="str">
        <f>IFERROR(VLOOKUP(シフト組み!S98,役職一覧!$B:$D,2,FALSE),"")</f>
        <v/>
      </c>
      <c r="T68" s="17" t="str">
        <f>IFERROR(VLOOKUP(シフト組み!T98,役職一覧!$B:$D,2,FALSE),"")</f>
        <v/>
      </c>
      <c r="U68" s="17" t="str">
        <f>IFERROR(VLOOKUP(シフト組み!U98,役職一覧!$B:$D,2,FALSE),"")</f>
        <v/>
      </c>
      <c r="V68" s="17" t="str">
        <f>IFERROR(VLOOKUP(シフト組み!V98,役職一覧!$B:$D,2,FALSE),"")</f>
        <v/>
      </c>
      <c r="W68" s="17" t="str">
        <f>IFERROR(VLOOKUP(シフト組み!W98,役職一覧!$B:$D,2,FALSE),"")</f>
        <v/>
      </c>
      <c r="X68" s="17" t="str">
        <f>IFERROR(VLOOKUP(シフト組み!X98,役職一覧!$B:$D,2,FALSE),"")</f>
        <v/>
      </c>
      <c r="Y68" s="17" t="str">
        <f>IFERROR(VLOOKUP(シフト組み!Y98,役職一覧!$B:$D,2,FALSE),"")</f>
        <v/>
      </c>
      <c r="Z68" s="17" t="str">
        <f>IFERROR(VLOOKUP(シフト組み!Z98,役職一覧!$B:$D,2,FALSE),"")</f>
        <v/>
      </c>
      <c r="AA68" s="17" t="str">
        <f>IFERROR(VLOOKUP(シフト組み!AA98,役職一覧!$B:$D,2,FALSE),"")</f>
        <v/>
      </c>
      <c r="AB68" s="17" t="str">
        <f>IFERROR(VLOOKUP(シフト組み!AB98,役職一覧!$B:$D,2,FALSE),"")</f>
        <v/>
      </c>
      <c r="AC68" s="17" t="str">
        <f>IFERROR(VLOOKUP(シフト組み!AC98,役職一覧!$B:$D,2,FALSE),"")</f>
        <v/>
      </c>
      <c r="AD68" s="17" t="str">
        <f>IFERROR(VLOOKUP(シフト組み!AD98,役職一覧!$B:$D,2,FALSE),"")</f>
        <v/>
      </c>
      <c r="AE68" s="17" t="str">
        <f>IFERROR(VLOOKUP(シフト組み!AE98,役職一覧!$B:$D,2,FALSE),"")</f>
        <v/>
      </c>
      <c r="AF68" s="17" t="str">
        <f>IFERROR(VLOOKUP(シフト組み!AF98,役職一覧!$B:$D,2,FALSE),"")</f>
        <v/>
      </c>
      <c r="AG68" s="17" t="str">
        <f>IFERROR(VLOOKUP(シフト組み!AG98,役職一覧!$B:$D,2,FALSE),"")</f>
        <v/>
      </c>
      <c r="AH68" s="17" t="str">
        <f>IFERROR(VLOOKUP(シフト組み!AH98,役職一覧!$B:$D,2,FALSE),"")</f>
        <v/>
      </c>
      <c r="AI68" s="17" t="str">
        <f>IFERROR(VLOOKUP(シフト組み!AI98,役職一覧!$B:$D,2,FALSE),"")</f>
        <v/>
      </c>
      <c r="AJ68" s="17" t="str">
        <f>IFERROR(VLOOKUP(シフト組み!AJ98,役職一覧!$B:$D,2,FALSE),"")</f>
        <v/>
      </c>
      <c r="AK68" s="17" t="str">
        <f>IFERROR(VLOOKUP(シフト組み!AK98,役職一覧!$B:$D,2,FALSE),"")</f>
        <v/>
      </c>
      <c r="AL68" s="17" t="str">
        <f>IFERROR(VLOOKUP(シフト組み!AL98,役職一覧!$B:$D,2,FALSE),"")</f>
        <v/>
      </c>
      <c r="AM68" s="17" t="str">
        <f>IFERROR(VLOOKUP(シフト組み!AM98,役職一覧!$B:$D,2,FALSE),"")</f>
        <v/>
      </c>
      <c r="AN68" s="17" t="str">
        <f>IFERROR(VLOOKUP(シフト組み!AN98,役職一覧!$B:$D,2,FALSE),"")</f>
        <v/>
      </c>
      <c r="AO68" s="17" t="str">
        <f>IFERROR(VLOOKUP(シフト組み!AO98,役職一覧!$B:$D,2,FALSE),"")</f>
        <v/>
      </c>
      <c r="AP68" s="17" t="str">
        <f>IFERROR(VLOOKUP(シフト組み!AP98,役職一覧!$B:$D,2,FALSE),"")</f>
        <v/>
      </c>
      <c r="AQ68" s="17" t="str">
        <f>IFERROR(VLOOKUP(シフト組み!AQ98,役職一覧!$B:$D,2,FALSE),"")</f>
        <v/>
      </c>
      <c r="AR68" s="17" t="str">
        <f>IFERROR(VLOOKUP(シフト組み!AR98,役職一覧!$B:$D,2,FALSE),"")</f>
        <v/>
      </c>
      <c r="AS68" s="17" t="str">
        <f>IFERROR(VLOOKUP(シフト組み!AS98,役職一覧!$B:$D,2,FALSE),"")</f>
        <v/>
      </c>
      <c r="AT68" s="17" t="str">
        <f>IFERROR(VLOOKUP(シフト組み!AT98,役職一覧!$B:$D,2,FALSE),"")</f>
        <v/>
      </c>
      <c r="AU68" s="17" t="str">
        <f>IFERROR(VLOOKUP(シフト組み!AU98,役職一覧!$B:$D,2,FALSE),"")</f>
        <v/>
      </c>
      <c r="AV68" s="17" t="str">
        <f>IFERROR(VLOOKUP(シフト組み!AV98,役職一覧!$B:$D,2,FALSE),"")</f>
        <v/>
      </c>
      <c r="AW68" s="17" t="str">
        <f>IFERROR(VLOOKUP(シフト組み!AW98,役職一覧!$B:$D,2,FALSE),"")</f>
        <v/>
      </c>
      <c r="AX68" s="17" t="str">
        <f>IFERROR(VLOOKUP(シフト組み!AX98,役職一覧!$B:$D,2,FALSE),"")</f>
        <v/>
      </c>
      <c r="AY68" s="17" t="str">
        <f>IFERROR(VLOOKUP(シフト組み!AY98,役職一覧!$B:$D,2,FALSE),"")</f>
        <v/>
      </c>
      <c r="AZ68" s="17" t="str">
        <f>IFERROR(VLOOKUP(シフト組み!AZ98,役職一覧!$B:$D,2,FALSE),"")</f>
        <v/>
      </c>
      <c r="BA68" s="17" t="str">
        <f>IFERROR(VLOOKUP(シフト組み!BA98,役職一覧!$B:$D,2,FALSE),"")</f>
        <v/>
      </c>
    </row>
    <row r="69" spans="1:53">
      <c r="A69" s="2" t="str">
        <f>シフト組み!A99&amp;""</f>
        <v/>
      </c>
      <c r="B69" s="2" t="str">
        <f>シフト組み!B99&amp;""</f>
        <v/>
      </c>
      <c r="C69" s="2" t="str">
        <f>シフト組み!C99&amp;""</f>
        <v/>
      </c>
      <c r="D69" s="17" t="str">
        <f>IFERROR(VLOOKUP(シフト組み!D99,役職一覧!$B:$D,2,FALSE),"")</f>
        <v/>
      </c>
      <c r="E69" s="17" t="str">
        <f>IFERROR(VLOOKUP(シフト組み!E99,役職一覧!$B:$D,2,FALSE),"")</f>
        <v/>
      </c>
      <c r="F69" s="17" t="str">
        <f>IFERROR(VLOOKUP(シフト組み!F99,役職一覧!$B:$D,2,FALSE),"")</f>
        <v/>
      </c>
      <c r="G69" s="17" t="str">
        <f>IFERROR(VLOOKUP(シフト組み!G99,役職一覧!$B:$D,2,FALSE),"")</f>
        <v/>
      </c>
      <c r="H69" s="17" t="str">
        <f>IFERROR(VLOOKUP(シフト組み!H99,役職一覧!$B:$D,2,FALSE),"")</f>
        <v/>
      </c>
      <c r="I69" s="17" t="str">
        <f>IFERROR(VLOOKUP(シフト組み!I99,役職一覧!$B:$D,2,FALSE),"")</f>
        <v/>
      </c>
      <c r="J69" s="17" t="str">
        <f>IFERROR(VLOOKUP(シフト組み!J99,役職一覧!$B:$D,2,FALSE),"")</f>
        <v/>
      </c>
      <c r="K69" s="17" t="str">
        <f>IFERROR(VLOOKUP(シフト組み!K99,役職一覧!$B:$D,2,FALSE),"")</f>
        <v/>
      </c>
      <c r="L69" s="17" t="str">
        <f>IFERROR(VLOOKUP(シフト組み!L99,役職一覧!$B:$D,2,FALSE),"")</f>
        <v/>
      </c>
      <c r="M69" s="17" t="str">
        <f>IFERROR(VLOOKUP(シフト組み!M99,役職一覧!$B:$D,2,FALSE),"")</f>
        <v/>
      </c>
      <c r="N69" s="17" t="str">
        <f>IFERROR(VLOOKUP(シフト組み!N99,役職一覧!$B:$D,2,FALSE),"")</f>
        <v/>
      </c>
      <c r="O69" s="17" t="str">
        <f>IFERROR(VLOOKUP(シフト組み!O99,役職一覧!$B:$D,2,FALSE),"")</f>
        <v/>
      </c>
      <c r="P69" s="17" t="str">
        <f>IFERROR(VLOOKUP(シフト組み!P99,役職一覧!$B:$D,2,FALSE),"")</f>
        <v/>
      </c>
      <c r="Q69" s="17" t="str">
        <f>IFERROR(VLOOKUP(シフト組み!Q99,役職一覧!$B:$D,2,FALSE),"")</f>
        <v/>
      </c>
      <c r="R69" s="17" t="str">
        <f>IFERROR(VLOOKUP(シフト組み!R99,役職一覧!$B:$D,2,FALSE),"")</f>
        <v/>
      </c>
      <c r="S69" s="17" t="str">
        <f>IFERROR(VLOOKUP(シフト組み!S99,役職一覧!$B:$D,2,FALSE),"")</f>
        <v/>
      </c>
      <c r="T69" s="17" t="str">
        <f>IFERROR(VLOOKUP(シフト組み!T99,役職一覧!$B:$D,2,FALSE),"")</f>
        <v/>
      </c>
      <c r="U69" s="17" t="str">
        <f>IFERROR(VLOOKUP(シフト組み!U99,役職一覧!$B:$D,2,FALSE),"")</f>
        <v/>
      </c>
      <c r="V69" s="17" t="str">
        <f>IFERROR(VLOOKUP(シフト組み!V99,役職一覧!$B:$D,2,FALSE),"")</f>
        <v/>
      </c>
      <c r="W69" s="17" t="str">
        <f>IFERROR(VLOOKUP(シフト組み!W99,役職一覧!$B:$D,2,FALSE),"")</f>
        <v/>
      </c>
      <c r="X69" s="17" t="str">
        <f>IFERROR(VLOOKUP(シフト組み!X99,役職一覧!$B:$D,2,FALSE),"")</f>
        <v/>
      </c>
      <c r="Y69" s="17" t="str">
        <f>IFERROR(VLOOKUP(シフト組み!Y99,役職一覧!$B:$D,2,FALSE),"")</f>
        <v/>
      </c>
      <c r="Z69" s="17" t="str">
        <f>IFERROR(VLOOKUP(シフト組み!Z99,役職一覧!$B:$D,2,FALSE),"")</f>
        <v/>
      </c>
      <c r="AA69" s="17" t="str">
        <f>IFERROR(VLOOKUP(シフト組み!AA99,役職一覧!$B:$D,2,FALSE),"")</f>
        <v/>
      </c>
      <c r="AB69" s="17" t="str">
        <f>IFERROR(VLOOKUP(シフト組み!AB99,役職一覧!$B:$D,2,FALSE),"")</f>
        <v/>
      </c>
      <c r="AC69" s="17" t="str">
        <f>IFERROR(VLOOKUP(シフト組み!AC99,役職一覧!$B:$D,2,FALSE),"")</f>
        <v/>
      </c>
      <c r="AD69" s="17" t="str">
        <f>IFERROR(VLOOKUP(シフト組み!AD99,役職一覧!$B:$D,2,FALSE),"")</f>
        <v/>
      </c>
      <c r="AE69" s="17" t="str">
        <f>IFERROR(VLOOKUP(シフト組み!AE99,役職一覧!$B:$D,2,FALSE),"")</f>
        <v/>
      </c>
      <c r="AF69" s="17" t="str">
        <f>IFERROR(VLOOKUP(シフト組み!AF99,役職一覧!$B:$D,2,FALSE),"")</f>
        <v/>
      </c>
      <c r="AG69" s="17" t="str">
        <f>IFERROR(VLOOKUP(シフト組み!AG99,役職一覧!$B:$D,2,FALSE),"")</f>
        <v/>
      </c>
      <c r="AH69" s="17" t="str">
        <f>IFERROR(VLOOKUP(シフト組み!AH99,役職一覧!$B:$D,2,FALSE),"")</f>
        <v/>
      </c>
      <c r="AI69" s="17" t="str">
        <f>IFERROR(VLOOKUP(シフト組み!AI99,役職一覧!$B:$D,2,FALSE),"")</f>
        <v/>
      </c>
      <c r="AJ69" s="17" t="str">
        <f>IFERROR(VLOOKUP(シフト組み!AJ99,役職一覧!$B:$D,2,FALSE),"")</f>
        <v/>
      </c>
      <c r="AK69" s="17" t="str">
        <f>IFERROR(VLOOKUP(シフト組み!AK99,役職一覧!$B:$D,2,FALSE),"")</f>
        <v/>
      </c>
      <c r="AL69" s="17" t="str">
        <f>IFERROR(VLOOKUP(シフト組み!AL99,役職一覧!$B:$D,2,FALSE),"")</f>
        <v/>
      </c>
      <c r="AM69" s="17" t="str">
        <f>IFERROR(VLOOKUP(シフト組み!AM99,役職一覧!$B:$D,2,FALSE),"")</f>
        <v/>
      </c>
      <c r="AN69" s="17" t="str">
        <f>IFERROR(VLOOKUP(シフト組み!AN99,役職一覧!$B:$D,2,FALSE),"")</f>
        <v/>
      </c>
      <c r="AO69" s="17" t="str">
        <f>IFERROR(VLOOKUP(シフト組み!AO99,役職一覧!$B:$D,2,FALSE),"")</f>
        <v/>
      </c>
      <c r="AP69" s="17" t="str">
        <f>IFERROR(VLOOKUP(シフト組み!AP99,役職一覧!$B:$D,2,FALSE),"")</f>
        <v/>
      </c>
      <c r="AQ69" s="17" t="str">
        <f>IFERROR(VLOOKUP(シフト組み!AQ99,役職一覧!$B:$D,2,FALSE),"")</f>
        <v/>
      </c>
      <c r="AR69" s="17" t="str">
        <f>IFERROR(VLOOKUP(シフト組み!AR99,役職一覧!$B:$D,2,FALSE),"")</f>
        <v/>
      </c>
      <c r="AS69" s="17" t="str">
        <f>IFERROR(VLOOKUP(シフト組み!AS99,役職一覧!$B:$D,2,FALSE),"")</f>
        <v/>
      </c>
      <c r="AT69" s="17" t="str">
        <f>IFERROR(VLOOKUP(シフト組み!AT99,役職一覧!$B:$D,2,FALSE),"")</f>
        <v/>
      </c>
      <c r="AU69" s="17" t="str">
        <f>IFERROR(VLOOKUP(シフト組み!AU99,役職一覧!$B:$D,2,FALSE),"")</f>
        <v/>
      </c>
      <c r="AV69" s="17" t="str">
        <f>IFERROR(VLOOKUP(シフト組み!AV99,役職一覧!$B:$D,2,FALSE),"")</f>
        <v/>
      </c>
      <c r="AW69" s="17" t="str">
        <f>IFERROR(VLOOKUP(シフト組み!AW99,役職一覧!$B:$D,2,FALSE),"")</f>
        <v/>
      </c>
      <c r="AX69" s="17" t="str">
        <f>IFERROR(VLOOKUP(シフト組み!AX99,役職一覧!$B:$D,2,FALSE),"")</f>
        <v/>
      </c>
      <c r="AY69" s="17" t="str">
        <f>IFERROR(VLOOKUP(シフト組み!AY99,役職一覧!$B:$D,2,FALSE),"")</f>
        <v/>
      </c>
      <c r="AZ69" s="17" t="str">
        <f>IFERROR(VLOOKUP(シフト組み!AZ99,役職一覧!$B:$D,2,FALSE),"")</f>
        <v/>
      </c>
      <c r="BA69" s="17" t="str">
        <f>IFERROR(VLOOKUP(シフト組み!BA99,役職一覧!$B:$D,2,FALSE),"")</f>
        <v/>
      </c>
    </row>
    <row r="70" spans="1:53">
      <c r="A70" s="2" t="str">
        <f>シフト組み!A100&amp;""</f>
        <v/>
      </c>
      <c r="B70" s="2" t="str">
        <f>シフト組み!B100&amp;""</f>
        <v/>
      </c>
      <c r="C70" s="2" t="str">
        <f>シフト組み!C100&amp;""</f>
        <v/>
      </c>
      <c r="D70" s="17" t="str">
        <f>IFERROR(VLOOKUP(シフト組み!D100,役職一覧!$B:$D,2,FALSE),"")</f>
        <v/>
      </c>
      <c r="E70" s="17" t="str">
        <f>IFERROR(VLOOKUP(シフト組み!E100,役職一覧!$B:$D,2,FALSE),"")</f>
        <v/>
      </c>
      <c r="F70" s="17" t="str">
        <f>IFERROR(VLOOKUP(シフト組み!F100,役職一覧!$B:$D,2,FALSE),"")</f>
        <v/>
      </c>
      <c r="G70" s="17" t="str">
        <f>IFERROR(VLOOKUP(シフト組み!G100,役職一覧!$B:$D,2,FALSE),"")</f>
        <v/>
      </c>
      <c r="H70" s="17" t="str">
        <f>IFERROR(VLOOKUP(シフト組み!H100,役職一覧!$B:$D,2,FALSE),"")</f>
        <v/>
      </c>
      <c r="I70" s="17" t="str">
        <f>IFERROR(VLOOKUP(シフト組み!I100,役職一覧!$B:$D,2,FALSE),"")</f>
        <v/>
      </c>
      <c r="J70" s="17" t="str">
        <f>IFERROR(VLOOKUP(シフト組み!J100,役職一覧!$B:$D,2,FALSE),"")</f>
        <v/>
      </c>
      <c r="K70" s="17" t="str">
        <f>IFERROR(VLOOKUP(シフト組み!K100,役職一覧!$B:$D,2,FALSE),"")</f>
        <v/>
      </c>
      <c r="L70" s="17" t="str">
        <f>IFERROR(VLOOKUP(シフト組み!L100,役職一覧!$B:$D,2,FALSE),"")</f>
        <v/>
      </c>
      <c r="M70" s="17" t="str">
        <f>IFERROR(VLOOKUP(シフト組み!M100,役職一覧!$B:$D,2,FALSE),"")</f>
        <v/>
      </c>
      <c r="N70" s="17" t="str">
        <f>IFERROR(VLOOKUP(シフト組み!N100,役職一覧!$B:$D,2,FALSE),"")</f>
        <v/>
      </c>
      <c r="O70" s="17" t="str">
        <f>IFERROR(VLOOKUP(シフト組み!O100,役職一覧!$B:$D,2,FALSE),"")</f>
        <v/>
      </c>
      <c r="P70" s="17" t="str">
        <f>IFERROR(VLOOKUP(シフト組み!P100,役職一覧!$B:$D,2,FALSE),"")</f>
        <v/>
      </c>
      <c r="Q70" s="17" t="str">
        <f>IFERROR(VLOOKUP(シフト組み!Q100,役職一覧!$B:$D,2,FALSE),"")</f>
        <v/>
      </c>
      <c r="R70" s="17" t="str">
        <f>IFERROR(VLOOKUP(シフト組み!R100,役職一覧!$B:$D,2,FALSE),"")</f>
        <v/>
      </c>
      <c r="S70" s="17" t="str">
        <f>IFERROR(VLOOKUP(シフト組み!S100,役職一覧!$B:$D,2,FALSE),"")</f>
        <v/>
      </c>
      <c r="T70" s="17" t="str">
        <f>IFERROR(VLOOKUP(シフト組み!T100,役職一覧!$B:$D,2,FALSE),"")</f>
        <v/>
      </c>
      <c r="U70" s="17" t="str">
        <f>IFERROR(VLOOKUP(シフト組み!U100,役職一覧!$B:$D,2,FALSE),"")</f>
        <v/>
      </c>
      <c r="V70" s="17" t="str">
        <f>IFERROR(VLOOKUP(シフト組み!V100,役職一覧!$B:$D,2,FALSE),"")</f>
        <v/>
      </c>
      <c r="W70" s="17" t="str">
        <f>IFERROR(VLOOKUP(シフト組み!W100,役職一覧!$B:$D,2,FALSE),"")</f>
        <v/>
      </c>
      <c r="X70" s="17" t="str">
        <f>IFERROR(VLOOKUP(シフト組み!X100,役職一覧!$B:$D,2,FALSE),"")</f>
        <v/>
      </c>
      <c r="Y70" s="17" t="str">
        <f>IFERROR(VLOOKUP(シフト組み!Y100,役職一覧!$B:$D,2,FALSE),"")</f>
        <v/>
      </c>
      <c r="Z70" s="17" t="str">
        <f>IFERROR(VLOOKUP(シフト組み!Z100,役職一覧!$B:$D,2,FALSE),"")</f>
        <v/>
      </c>
      <c r="AA70" s="17" t="str">
        <f>IFERROR(VLOOKUP(シフト組み!AA100,役職一覧!$B:$D,2,FALSE),"")</f>
        <v/>
      </c>
      <c r="AB70" s="17" t="str">
        <f>IFERROR(VLOOKUP(シフト組み!AB100,役職一覧!$B:$D,2,FALSE),"")</f>
        <v/>
      </c>
      <c r="AC70" s="17" t="str">
        <f>IFERROR(VLOOKUP(シフト組み!AC100,役職一覧!$B:$D,2,FALSE),"")</f>
        <v/>
      </c>
      <c r="AD70" s="17" t="str">
        <f>IFERROR(VLOOKUP(シフト組み!AD100,役職一覧!$B:$D,2,FALSE),"")</f>
        <v/>
      </c>
      <c r="AE70" s="17" t="str">
        <f>IFERROR(VLOOKUP(シフト組み!AE100,役職一覧!$B:$D,2,FALSE),"")</f>
        <v/>
      </c>
      <c r="AF70" s="17" t="str">
        <f>IFERROR(VLOOKUP(シフト組み!AF100,役職一覧!$B:$D,2,FALSE),"")</f>
        <v/>
      </c>
      <c r="AG70" s="17" t="str">
        <f>IFERROR(VLOOKUP(シフト組み!AG100,役職一覧!$B:$D,2,FALSE),"")</f>
        <v/>
      </c>
      <c r="AH70" s="17" t="str">
        <f>IFERROR(VLOOKUP(シフト組み!AH100,役職一覧!$B:$D,2,FALSE),"")</f>
        <v/>
      </c>
      <c r="AI70" s="17" t="str">
        <f>IFERROR(VLOOKUP(シフト組み!AI100,役職一覧!$B:$D,2,FALSE),"")</f>
        <v/>
      </c>
      <c r="AJ70" s="17" t="str">
        <f>IFERROR(VLOOKUP(シフト組み!AJ100,役職一覧!$B:$D,2,FALSE),"")</f>
        <v/>
      </c>
      <c r="AK70" s="17" t="str">
        <f>IFERROR(VLOOKUP(シフト組み!AK100,役職一覧!$B:$D,2,FALSE),"")</f>
        <v/>
      </c>
      <c r="AL70" s="17" t="str">
        <f>IFERROR(VLOOKUP(シフト組み!AL100,役職一覧!$B:$D,2,FALSE),"")</f>
        <v/>
      </c>
      <c r="AM70" s="17" t="str">
        <f>IFERROR(VLOOKUP(シフト組み!AM100,役職一覧!$B:$D,2,FALSE),"")</f>
        <v/>
      </c>
      <c r="AN70" s="17" t="str">
        <f>IFERROR(VLOOKUP(シフト組み!AN100,役職一覧!$B:$D,2,FALSE),"")</f>
        <v/>
      </c>
      <c r="AO70" s="17" t="str">
        <f>IFERROR(VLOOKUP(シフト組み!AO100,役職一覧!$B:$D,2,FALSE),"")</f>
        <v/>
      </c>
      <c r="AP70" s="17" t="str">
        <f>IFERROR(VLOOKUP(シフト組み!AP100,役職一覧!$B:$D,2,FALSE),"")</f>
        <v/>
      </c>
      <c r="AQ70" s="17" t="str">
        <f>IFERROR(VLOOKUP(シフト組み!AQ100,役職一覧!$B:$D,2,FALSE),"")</f>
        <v/>
      </c>
      <c r="AR70" s="17" t="str">
        <f>IFERROR(VLOOKUP(シフト組み!AR100,役職一覧!$B:$D,2,FALSE),"")</f>
        <v/>
      </c>
      <c r="AS70" s="17" t="str">
        <f>IFERROR(VLOOKUP(シフト組み!AS100,役職一覧!$B:$D,2,FALSE),"")</f>
        <v/>
      </c>
      <c r="AT70" s="17" t="str">
        <f>IFERROR(VLOOKUP(シフト組み!AT100,役職一覧!$B:$D,2,FALSE),"")</f>
        <v/>
      </c>
      <c r="AU70" s="17" t="str">
        <f>IFERROR(VLOOKUP(シフト組み!AU100,役職一覧!$B:$D,2,FALSE),"")</f>
        <v/>
      </c>
      <c r="AV70" s="17" t="str">
        <f>IFERROR(VLOOKUP(シフト組み!AV100,役職一覧!$B:$D,2,FALSE),"")</f>
        <v/>
      </c>
      <c r="AW70" s="17" t="str">
        <f>IFERROR(VLOOKUP(シフト組み!AW100,役職一覧!$B:$D,2,FALSE),"")</f>
        <v/>
      </c>
      <c r="AX70" s="17" t="str">
        <f>IFERROR(VLOOKUP(シフト組み!AX100,役職一覧!$B:$D,2,FALSE),"")</f>
        <v/>
      </c>
      <c r="AY70" s="17" t="str">
        <f>IFERROR(VLOOKUP(シフト組み!AY100,役職一覧!$B:$D,2,FALSE),"")</f>
        <v/>
      </c>
      <c r="AZ70" s="17" t="str">
        <f>IFERROR(VLOOKUP(シフト組み!AZ100,役職一覧!$B:$D,2,FALSE),"")</f>
        <v/>
      </c>
      <c r="BA70" s="17" t="str">
        <f>IFERROR(VLOOKUP(シフト組み!BA100,役職一覧!$B:$D,2,FALSE),"")</f>
        <v/>
      </c>
    </row>
    <row r="71" spans="1:53">
      <c r="A71" s="2" t="str">
        <f>シフト組み!A101&amp;""</f>
        <v/>
      </c>
      <c r="B71" s="2" t="str">
        <f>シフト組み!B101&amp;""</f>
        <v/>
      </c>
      <c r="C71" s="2" t="str">
        <f>シフト組み!C101&amp;""</f>
        <v/>
      </c>
      <c r="D71" s="17" t="str">
        <f>IFERROR(VLOOKUP(シフト組み!D101,役職一覧!$B:$D,2,FALSE),"")</f>
        <v/>
      </c>
      <c r="E71" s="17" t="str">
        <f>IFERROR(VLOOKUP(シフト組み!E101,役職一覧!$B:$D,2,FALSE),"")</f>
        <v/>
      </c>
      <c r="F71" s="17" t="str">
        <f>IFERROR(VLOOKUP(シフト組み!F101,役職一覧!$B:$D,2,FALSE),"")</f>
        <v/>
      </c>
      <c r="G71" s="17" t="str">
        <f>IFERROR(VLOOKUP(シフト組み!G101,役職一覧!$B:$D,2,FALSE),"")</f>
        <v/>
      </c>
      <c r="H71" s="17" t="str">
        <f>IFERROR(VLOOKUP(シフト組み!H101,役職一覧!$B:$D,2,FALSE),"")</f>
        <v/>
      </c>
      <c r="I71" s="17" t="str">
        <f>IFERROR(VLOOKUP(シフト組み!I101,役職一覧!$B:$D,2,FALSE),"")</f>
        <v/>
      </c>
      <c r="J71" s="17" t="str">
        <f>IFERROR(VLOOKUP(シフト組み!J101,役職一覧!$B:$D,2,FALSE),"")</f>
        <v/>
      </c>
      <c r="K71" s="17" t="str">
        <f>IFERROR(VLOOKUP(シフト組み!K101,役職一覧!$B:$D,2,FALSE),"")</f>
        <v/>
      </c>
      <c r="L71" s="17" t="str">
        <f>IFERROR(VLOOKUP(シフト組み!L101,役職一覧!$B:$D,2,FALSE),"")</f>
        <v/>
      </c>
      <c r="M71" s="17" t="str">
        <f>IFERROR(VLOOKUP(シフト組み!M101,役職一覧!$B:$D,2,FALSE),"")</f>
        <v/>
      </c>
      <c r="N71" s="17" t="str">
        <f>IFERROR(VLOOKUP(シフト組み!N101,役職一覧!$B:$D,2,FALSE),"")</f>
        <v/>
      </c>
      <c r="O71" s="17" t="str">
        <f>IFERROR(VLOOKUP(シフト組み!O101,役職一覧!$B:$D,2,FALSE),"")</f>
        <v/>
      </c>
      <c r="P71" s="17" t="str">
        <f>IFERROR(VLOOKUP(シフト組み!P101,役職一覧!$B:$D,2,FALSE),"")</f>
        <v/>
      </c>
      <c r="Q71" s="17" t="str">
        <f>IFERROR(VLOOKUP(シフト組み!Q101,役職一覧!$B:$D,2,FALSE),"")</f>
        <v/>
      </c>
      <c r="R71" s="17" t="str">
        <f>IFERROR(VLOOKUP(シフト組み!R101,役職一覧!$B:$D,2,FALSE),"")</f>
        <v/>
      </c>
      <c r="S71" s="17" t="str">
        <f>IFERROR(VLOOKUP(シフト組み!S101,役職一覧!$B:$D,2,FALSE),"")</f>
        <v/>
      </c>
      <c r="T71" s="17" t="str">
        <f>IFERROR(VLOOKUP(シフト組み!T101,役職一覧!$B:$D,2,FALSE),"")</f>
        <v/>
      </c>
      <c r="U71" s="17" t="str">
        <f>IFERROR(VLOOKUP(シフト組み!U101,役職一覧!$B:$D,2,FALSE),"")</f>
        <v/>
      </c>
      <c r="V71" s="17" t="str">
        <f>IFERROR(VLOOKUP(シフト組み!V101,役職一覧!$B:$D,2,FALSE),"")</f>
        <v/>
      </c>
      <c r="W71" s="17" t="str">
        <f>IFERROR(VLOOKUP(シフト組み!W101,役職一覧!$B:$D,2,FALSE),"")</f>
        <v/>
      </c>
      <c r="X71" s="17" t="str">
        <f>IFERROR(VLOOKUP(シフト組み!X101,役職一覧!$B:$D,2,FALSE),"")</f>
        <v/>
      </c>
      <c r="Y71" s="17" t="str">
        <f>IFERROR(VLOOKUP(シフト組み!Y101,役職一覧!$B:$D,2,FALSE),"")</f>
        <v/>
      </c>
      <c r="Z71" s="17" t="str">
        <f>IFERROR(VLOOKUP(シフト組み!Z101,役職一覧!$B:$D,2,FALSE),"")</f>
        <v/>
      </c>
      <c r="AA71" s="17" t="str">
        <f>IFERROR(VLOOKUP(シフト組み!AA101,役職一覧!$B:$D,2,FALSE),"")</f>
        <v/>
      </c>
      <c r="AB71" s="17" t="str">
        <f>IFERROR(VLOOKUP(シフト組み!AB101,役職一覧!$B:$D,2,FALSE),"")</f>
        <v/>
      </c>
      <c r="AC71" s="17" t="str">
        <f>IFERROR(VLOOKUP(シフト組み!AC101,役職一覧!$B:$D,2,FALSE),"")</f>
        <v/>
      </c>
      <c r="AD71" s="17" t="str">
        <f>IFERROR(VLOOKUP(シフト組み!AD101,役職一覧!$B:$D,2,FALSE),"")</f>
        <v/>
      </c>
      <c r="AE71" s="17" t="str">
        <f>IFERROR(VLOOKUP(シフト組み!AE101,役職一覧!$B:$D,2,FALSE),"")</f>
        <v/>
      </c>
      <c r="AF71" s="17" t="str">
        <f>IFERROR(VLOOKUP(シフト組み!AF101,役職一覧!$B:$D,2,FALSE),"")</f>
        <v/>
      </c>
      <c r="AG71" s="17" t="str">
        <f>IFERROR(VLOOKUP(シフト組み!AG101,役職一覧!$B:$D,2,FALSE),"")</f>
        <v/>
      </c>
      <c r="AH71" s="17" t="str">
        <f>IFERROR(VLOOKUP(シフト組み!AH101,役職一覧!$B:$D,2,FALSE),"")</f>
        <v/>
      </c>
      <c r="AI71" s="17" t="str">
        <f>IFERROR(VLOOKUP(シフト組み!AI101,役職一覧!$B:$D,2,FALSE),"")</f>
        <v/>
      </c>
      <c r="AJ71" s="17" t="str">
        <f>IFERROR(VLOOKUP(シフト組み!AJ101,役職一覧!$B:$D,2,FALSE),"")</f>
        <v/>
      </c>
      <c r="AK71" s="17" t="str">
        <f>IFERROR(VLOOKUP(シフト組み!AK101,役職一覧!$B:$D,2,FALSE),"")</f>
        <v/>
      </c>
      <c r="AL71" s="17" t="str">
        <f>IFERROR(VLOOKUP(シフト組み!AL101,役職一覧!$B:$D,2,FALSE),"")</f>
        <v/>
      </c>
      <c r="AM71" s="17" t="str">
        <f>IFERROR(VLOOKUP(シフト組み!AM101,役職一覧!$B:$D,2,FALSE),"")</f>
        <v/>
      </c>
      <c r="AN71" s="17" t="str">
        <f>IFERROR(VLOOKUP(シフト組み!AN101,役職一覧!$B:$D,2,FALSE),"")</f>
        <v/>
      </c>
      <c r="AO71" s="17" t="str">
        <f>IFERROR(VLOOKUP(シフト組み!AO101,役職一覧!$B:$D,2,FALSE),"")</f>
        <v/>
      </c>
      <c r="AP71" s="17" t="str">
        <f>IFERROR(VLOOKUP(シフト組み!AP101,役職一覧!$B:$D,2,FALSE),"")</f>
        <v/>
      </c>
      <c r="AQ71" s="17" t="str">
        <f>IFERROR(VLOOKUP(シフト組み!AQ101,役職一覧!$B:$D,2,FALSE),"")</f>
        <v/>
      </c>
      <c r="AR71" s="17" t="str">
        <f>IFERROR(VLOOKUP(シフト組み!AR101,役職一覧!$B:$D,2,FALSE),"")</f>
        <v/>
      </c>
      <c r="AS71" s="17" t="str">
        <f>IFERROR(VLOOKUP(シフト組み!AS101,役職一覧!$B:$D,2,FALSE),"")</f>
        <v/>
      </c>
      <c r="AT71" s="17" t="str">
        <f>IFERROR(VLOOKUP(シフト組み!AT101,役職一覧!$B:$D,2,FALSE),"")</f>
        <v/>
      </c>
      <c r="AU71" s="17" t="str">
        <f>IFERROR(VLOOKUP(シフト組み!AU101,役職一覧!$B:$D,2,FALSE),"")</f>
        <v/>
      </c>
      <c r="AV71" s="17" t="str">
        <f>IFERROR(VLOOKUP(シフト組み!AV101,役職一覧!$B:$D,2,FALSE),"")</f>
        <v/>
      </c>
      <c r="AW71" s="17" t="str">
        <f>IFERROR(VLOOKUP(シフト組み!AW101,役職一覧!$B:$D,2,FALSE),"")</f>
        <v/>
      </c>
      <c r="AX71" s="17" t="str">
        <f>IFERROR(VLOOKUP(シフト組み!AX101,役職一覧!$B:$D,2,FALSE),"")</f>
        <v/>
      </c>
      <c r="AY71" s="17" t="str">
        <f>IFERROR(VLOOKUP(シフト組み!AY101,役職一覧!$B:$D,2,FALSE),"")</f>
        <v/>
      </c>
      <c r="AZ71" s="17" t="str">
        <f>IFERROR(VLOOKUP(シフト組み!AZ101,役職一覧!$B:$D,2,FALSE),"")</f>
        <v/>
      </c>
      <c r="BA71" s="17" t="str">
        <f>IFERROR(VLOOKUP(シフト組み!BA101,役職一覧!$B:$D,2,FALSE),"")</f>
        <v/>
      </c>
    </row>
    <row r="72" spans="1:53">
      <c r="A72" s="2" t="str">
        <f>シフト組み!A102&amp;""</f>
        <v/>
      </c>
      <c r="B72" s="2" t="str">
        <f>シフト組み!B102&amp;""</f>
        <v/>
      </c>
      <c r="C72" s="2" t="str">
        <f>シフト組み!C102&amp;""</f>
        <v/>
      </c>
      <c r="D72" s="17" t="str">
        <f>IFERROR(VLOOKUP(シフト組み!D102,役職一覧!$B:$D,2,FALSE),"")</f>
        <v/>
      </c>
      <c r="E72" s="17" t="str">
        <f>IFERROR(VLOOKUP(シフト組み!E102,役職一覧!$B:$D,2,FALSE),"")</f>
        <v/>
      </c>
      <c r="F72" s="17" t="str">
        <f>IFERROR(VLOOKUP(シフト組み!F102,役職一覧!$B:$D,2,FALSE),"")</f>
        <v/>
      </c>
      <c r="G72" s="17" t="str">
        <f>IFERROR(VLOOKUP(シフト組み!G102,役職一覧!$B:$D,2,FALSE),"")</f>
        <v/>
      </c>
      <c r="H72" s="17" t="str">
        <f>IFERROR(VLOOKUP(シフト組み!H102,役職一覧!$B:$D,2,FALSE),"")</f>
        <v/>
      </c>
      <c r="I72" s="17" t="str">
        <f>IFERROR(VLOOKUP(シフト組み!I102,役職一覧!$B:$D,2,FALSE),"")</f>
        <v/>
      </c>
      <c r="J72" s="17" t="str">
        <f>IFERROR(VLOOKUP(シフト組み!J102,役職一覧!$B:$D,2,FALSE),"")</f>
        <v/>
      </c>
      <c r="K72" s="17" t="str">
        <f>IFERROR(VLOOKUP(シフト組み!K102,役職一覧!$B:$D,2,FALSE),"")</f>
        <v/>
      </c>
      <c r="L72" s="17" t="str">
        <f>IFERROR(VLOOKUP(シフト組み!L102,役職一覧!$B:$D,2,FALSE),"")</f>
        <v/>
      </c>
      <c r="M72" s="17" t="str">
        <f>IFERROR(VLOOKUP(シフト組み!M102,役職一覧!$B:$D,2,FALSE),"")</f>
        <v/>
      </c>
      <c r="N72" s="17" t="str">
        <f>IFERROR(VLOOKUP(シフト組み!N102,役職一覧!$B:$D,2,FALSE),"")</f>
        <v/>
      </c>
      <c r="O72" s="17" t="str">
        <f>IFERROR(VLOOKUP(シフト組み!O102,役職一覧!$B:$D,2,FALSE),"")</f>
        <v/>
      </c>
      <c r="P72" s="17" t="str">
        <f>IFERROR(VLOOKUP(シフト組み!P102,役職一覧!$B:$D,2,FALSE),"")</f>
        <v/>
      </c>
      <c r="Q72" s="17" t="str">
        <f>IFERROR(VLOOKUP(シフト組み!Q102,役職一覧!$B:$D,2,FALSE),"")</f>
        <v/>
      </c>
      <c r="R72" s="17" t="str">
        <f>IFERROR(VLOOKUP(シフト組み!R102,役職一覧!$B:$D,2,FALSE),"")</f>
        <v/>
      </c>
      <c r="S72" s="17" t="str">
        <f>IFERROR(VLOOKUP(シフト組み!S102,役職一覧!$B:$D,2,FALSE),"")</f>
        <v/>
      </c>
      <c r="T72" s="17" t="str">
        <f>IFERROR(VLOOKUP(シフト組み!T102,役職一覧!$B:$D,2,FALSE),"")</f>
        <v/>
      </c>
      <c r="U72" s="17" t="str">
        <f>IFERROR(VLOOKUP(シフト組み!U102,役職一覧!$B:$D,2,FALSE),"")</f>
        <v/>
      </c>
      <c r="V72" s="17" t="str">
        <f>IFERROR(VLOOKUP(シフト組み!V102,役職一覧!$B:$D,2,FALSE),"")</f>
        <v/>
      </c>
      <c r="W72" s="17" t="str">
        <f>IFERROR(VLOOKUP(シフト組み!W102,役職一覧!$B:$D,2,FALSE),"")</f>
        <v/>
      </c>
      <c r="X72" s="17" t="str">
        <f>IFERROR(VLOOKUP(シフト組み!X102,役職一覧!$B:$D,2,FALSE),"")</f>
        <v/>
      </c>
      <c r="Y72" s="17" t="str">
        <f>IFERROR(VLOOKUP(シフト組み!Y102,役職一覧!$B:$D,2,FALSE),"")</f>
        <v/>
      </c>
      <c r="Z72" s="17" t="str">
        <f>IFERROR(VLOOKUP(シフト組み!Z102,役職一覧!$B:$D,2,FALSE),"")</f>
        <v/>
      </c>
      <c r="AA72" s="17" t="str">
        <f>IFERROR(VLOOKUP(シフト組み!AA102,役職一覧!$B:$D,2,FALSE),"")</f>
        <v/>
      </c>
      <c r="AB72" s="17" t="str">
        <f>IFERROR(VLOOKUP(シフト組み!AB102,役職一覧!$B:$D,2,FALSE),"")</f>
        <v/>
      </c>
      <c r="AC72" s="17" t="str">
        <f>IFERROR(VLOOKUP(シフト組み!AC102,役職一覧!$B:$D,2,FALSE),"")</f>
        <v/>
      </c>
      <c r="AD72" s="17" t="str">
        <f>IFERROR(VLOOKUP(シフト組み!AD102,役職一覧!$B:$D,2,FALSE),"")</f>
        <v/>
      </c>
      <c r="AE72" s="17" t="str">
        <f>IFERROR(VLOOKUP(シフト組み!AE102,役職一覧!$B:$D,2,FALSE),"")</f>
        <v/>
      </c>
      <c r="AF72" s="17" t="str">
        <f>IFERROR(VLOOKUP(シフト組み!AF102,役職一覧!$B:$D,2,FALSE),"")</f>
        <v/>
      </c>
      <c r="AG72" s="17" t="str">
        <f>IFERROR(VLOOKUP(シフト組み!AG102,役職一覧!$B:$D,2,FALSE),"")</f>
        <v/>
      </c>
      <c r="AH72" s="17" t="str">
        <f>IFERROR(VLOOKUP(シフト組み!AH102,役職一覧!$B:$D,2,FALSE),"")</f>
        <v/>
      </c>
      <c r="AI72" s="17" t="str">
        <f>IFERROR(VLOOKUP(シフト組み!AI102,役職一覧!$B:$D,2,FALSE),"")</f>
        <v/>
      </c>
      <c r="AJ72" s="17" t="str">
        <f>IFERROR(VLOOKUP(シフト組み!AJ102,役職一覧!$B:$D,2,FALSE),"")</f>
        <v/>
      </c>
      <c r="AK72" s="17" t="str">
        <f>IFERROR(VLOOKUP(シフト組み!AK102,役職一覧!$B:$D,2,FALSE),"")</f>
        <v/>
      </c>
      <c r="AL72" s="17" t="str">
        <f>IFERROR(VLOOKUP(シフト組み!AL102,役職一覧!$B:$D,2,FALSE),"")</f>
        <v/>
      </c>
      <c r="AM72" s="17" t="str">
        <f>IFERROR(VLOOKUP(シフト組み!AM102,役職一覧!$B:$D,2,FALSE),"")</f>
        <v/>
      </c>
      <c r="AN72" s="17" t="str">
        <f>IFERROR(VLOOKUP(シフト組み!AN102,役職一覧!$B:$D,2,FALSE),"")</f>
        <v/>
      </c>
      <c r="AO72" s="17" t="str">
        <f>IFERROR(VLOOKUP(シフト組み!AO102,役職一覧!$B:$D,2,FALSE),"")</f>
        <v/>
      </c>
      <c r="AP72" s="17" t="str">
        <f>IFERROR(VLOOKUP(シフト組み!AP102,役職一覧!$B:$D,2,FALSE),"")</f>
        <v/>
      </c>
      <c r="AQ72" s="17" t="str">
        <f>IFERROR(VLOOKUP(シフト組み!AQ102,役職一覧!$B:$D,2,FALSE),"")</f>
        <v/>
      </c>
      <c r="AR72" s="17" t="str">
        <f>IFERROR(VLOOKUP(シフト組み!AR102,役職一覧!$B:$D,2,FALSE),"")</f>
        <v/>
      </c>
      <c r="AS72" s="17" t="str">
        <f>IFERROR(VLOOKUP(シフト組み!AS102,役職一覧!$B:$D,2,FALSE),"")</f>
        <v/>
      </c>
      <c r="AT72" s="17" t="str">
        <f>IFERROR(VLOOKUP(シフト組み!AT102,役職一覧!$B:$D,2,FALSE),"")</f>
        <v/>
      </c>
      <c r="AU72" s="17" t="str">
        <f>IFERROR(VLOOKUP(シフト組み!AU102,役職一覧!$B:$D,2,FALSE),"")</f>
        <v/>
      </c>
      <c r="AV72" s="17" t="str">
        <f>IFERROR(VLOOKUP(シフト組み!AV102,役職一覧!$B:$D,2,FALSE),"")</f>
        <v/>
      </c>
      <c r="AW72" s="17" t="str">
        <f>IFERROR(VLOOKUP(シフト組み!AW102,役職一覧!$B:$D,2,FALSE),"")</f>
        <v/>
      </c>
      <c r="AX72" s="17" t="str">
        <f>IFERROR(VLOOKUP(シフト組み!AX102,役職一覧!$B:$D,2,FALSE),"")</f>
        <v/>
      </c>
      <c r="AY72" s="17" t="str">
        <f>IFERROR(VLOOKUP(シフト組み!AY102,役職一覧!$B:$D,2,FALSE),"")</f>
        <v/>
      </c>
      <c r="AZ72" s="17" t="str">
        <f>IFERROR(VLOOKUP(シフト組み!AZ102,役職一覧!$B:$D,2,FALSE),"")</f>
        <v/>
      </c>
      <c r="BA72" s="17" t="str">
        <f>IFERROR(VLOOKUP(シフト組み!BA102,役職一覧!$B:$D,2,FALSE),"")</f>
        <v/>
      </c>
    </row>
    <row r="73" spans="1:53">
      <c r="A73" s="2" t="str">
        <f>シフト組み!A103&amp;""</f>
        <v/>
      </c>
      <c r="B73" s="2" t="str">
        <f>シフト組み!B103&amp;""</f>
        <v/>
      </c>
      <c r="C73" s="2" t="str">
        <f>シフト組み!C103&amp;""</f>
        <v/>
      </c>
      <c r="D73" s="17" t="str">
        <f>IFERROR(VLOOKUP(シフト組み!D103,役職一覧!$B:$D,2,FALSE),"")</f>
        <v/>
      </c>
      <c r="E73" s="17" t="str">
        <f>IFERROR(VLOOKUP(シフト組み!E103,役職一覧!$B:$D,2,FALSE),"")</f>
        <v/>
      </c>
      <c r="F73" s="17" t="str">
        <f>IFERROR(VLOOKUP(シフト組み!F103,役職一覧!$B:$D,2,FALSE),"")</f>
        <v/>
      </c>
      <c r="G73" s="17" t="str">
        <f>IFERROR(VLOOKUP(シフト組み!G103,役職一覧!$B:$D,2,FALSE),"")</f>
        <v/>
      </c>
      <c r="H73" s="17" t="str">
        <f>IFERROR(VLOOKUP(シフト組み!H103,役職一覧!$B:$D,2,FALSE),"")</f>
        <v/>
      </c>
      <c r="I73" s="17" t="str">
        <f>IFERROR(VLOOKUP(シフト組み!I103,役職一覧!$B:$D,2,FALSE),"")</f>
        <v/>
      </c>
      <c r="J73" s="17" t="str">
        <f>IFERROR(VLOOKUP(シフト組み!J103,役職一覧!$B:$D,2,FALSE),"")</f>
        <v/>
      </c>
      <c r="K73" s="17" t="str">
        <f>IFERROR(VLOOKUP(シフト組み!K103,役職一覧!$B:$D,2,FALSE),"")</f>
        <v/>
      </c>
      <c r="L73" s="17" t="str">
        <f>IFERROR(VLOOKUP(シフト組み!L103,役職一覧!$B:$D,2,FALSE),"")</f>
        <v/>
      </c>
      <c r="M73" s="17" t="str">
        <f>IFERROR(VLOOKUP(シフト組み!M103,役職一覧!$B:$D,2,FALSE),"")</f>
        <v/>
      </c>
      <c r="N73" s="17" t="str">
        <f>IFERROR(VLOOKUP(シフト組み!N103,役職一覧!$B:$D,2,FALSE),"")</f>
        <v/>
      </c>
      <c r="O73" s="17" t="str">
        <f>IFERROR(VLOOKUP(シフト組み!O103,役職一覧!$B:$D,2,FALSE),"")</f>
        <v/>
      </c>
      <c r="P73" s="17" t="str">
        <f>IFERROR(VLOOKUP(シフト組み!P103,役職一覧!$B:$D,2,FALSE),"")</f>
        <v/>
      </c>
      <c r="Q73" s="17" t="str">
        <f>IFERROR(VLOOKUP(シフト組み!Q103,役職一覧!$B:$D,2,FALSE),"")</f>
        <v/>
      </c>
      <c r="R73" s="17" t="str">
        <f>IFERROR(VLOOKUP(シフト組み!R103,役職一覧!$B:$D,2,FALSE),"")</f>
        <v/>
      </c>
      <c r="S73" s="17" t="str">
        <f>IFERROR(VLOOKUP(シフト組み!S103,役職一覧!$B:$D,2,FALSE),"")</f>
        <v/>
      </c>
      <c r="T73" s="17" t="str">
        <f>IFERROR(VLOOKUP(シフト組み!T103,役職一覧!$B:$D,2,FALSE),"")</f>
        <v/>
      </c>
      <c r="U73" s="17" t="str">
        <f>IFERROR(VLOOKUP(シフト組み!U103,役職一覧!$B:$D,2,FALSE),"")</f>
        <v/>
      </c>
      <c r="V73" s="17" t="str">
        <f>IFERROR(VLOOKUP(シフト組み!V103,役職一覧!$B:$D,2,FALSE),"")</f>
        <v/>
      </c>
      <c r="W73" s="17" t="str">
        <f>IFERROR(VLOOKUP(シフト組み!W103,役職一覧!$B:$D,2,FALSE),"")</f>
        <v/>
      </c>
      <c r="X73" s="17" t="str">
        <f>IFERROR(VLOOKUP(シフト組み!X103,役職一覧!$B:$D,2,FALSE),"")</f>
        <v/>
      </c>
      <c r="Y73" s="17" t="str">
        <f>IFERROR(VLOOKUP(シフト組み!Y103,役職一覧!$B:$D,2,FALSE),"")</f>
        <v/>
      </c>
      <c r="Z73" s="17" t="str">
        <f>IFERROR(VLOOKUP(シフト組み!Z103,役職一覧!$B:$D,2,FALSE),"")</f>
        <v/>
      </c>
      <c r="AA73" s="17" t="str">
        <f>IFERROR(VLOOKUP(シフト組み!AA103,役職一覧!$B:$D,2,FALSE),"")</f>
        <v/>
      </c>
      <c r="AB73" s="17" t="str">
        <f>IFERROR(VLOOKUP(シフト組み!AB103,役職一覧!$B:$D,2,FALSE),"")</f>
        <v/>
      </c>
      <c r="AC73" s="17" t="str">
        <f>IFERROR(VLOOKUP(シフト組み!AC103,役職一覧!$B:$D,2,FALSE),"")</f>
        <v/>
      </c>
      <c r="AD73" s="17" t="str">
        <f>IFERROR(VLOOKUP(シフト組み!AD103,役職一覧!$B:$D,2,FALSE),"")</f>
        <v/>
      </c>
      <c r="AE73" s="17" t="str">
        <f>IFERROR(VLOOKUP(シフト組み!AE103,役職一覧!$B:$D,2,FALSE),"")</f>
        <v/>
      </c>
      <c r="AF73" s="17" t="str">
        <f>IFERROR(VLOOKUP(シフト組み!AF103,役職一覧!$B:$D,2,FALSE),"")</f>
        <v/>
      </c>
      <c r="AG73" s="17" t="str">
        <f>IFERROR(VLOOKUP(シフト組み!AG103,役職一覧!$B:$D,2,FALSE),"")</f>
        <v/>
      </c>
      <c r="AH73" s="17" t="str">
        <f>IFERROR(VLOOKUP(シフト組み!AH103,役職一覧!$B:$D,2,FALSE),"")</f>
        <v/>
      </c>
      <c r="AI73" s="17" t="str">
        <f>IFERROR(VLOOKUP(シフト組み!AI103,役職一覧!$B:$D,2,FALSE),"")</f>
        <v/>
      </c>
      <c r="AJ73" s="17" t="str">
        <f>IFERROR(VLOOKUP(シフト組み!AJ103,役職一覧!$B:$D,2,FALSE),"")</f>
        <v/>
      </c>
      <c r="AK73" s="17" t="str">
        <f>IFERROR(VLOOKUP(シフト組み!AK103,役職一覧!$B:$D,2,FALSE),"")</f>
        <v/>
      </c>
      <c r="AL73" s="17" t="str">
        <f>IFERROR(VLOOKUP(シフト組み!AL103,役職一覧!$B:$D,2,FALSE),"")</f>
        <v/>
      </c>
      <c r="AM73" s="17" t="str">
        <f>IFERROR(VLOOKUP(シフト組み!AM103,役職一覧!$B:$D,2,FALSE),"")</f>
        <v/>
      </c>
      <c r="AN73" s="17" t="str">
        <f>IFERROR(VLOOKUP(シフト組み!AN103,役職一覧!$B:$D,2,FALSE),"")</f>
        <v/>
      </c>
      <c r="AO73" s="17" t="str">
        <f>IFERROR(VLOOKUP(シフト組み!AO103,役職一覧!$B:$D,2,FALSE),"")</f>
        <v/>
      </c>
      <c r="AP73" s="17" t="str">
        <f>IFERROR(VLOOKUP(シフト組み!AP103,役職一覧!$B:$D,2,FALSE),"")</f>
        <v/>
      </c>
      <c r="AQ73" s="17" t="str">
        <f>IFERROR(VLOOKUP(シフト組み!AQ103,役職一覧!$B:$D,2,FALSE),"")</f>
        <v/>
      </c>
      <c r="AR73" s="17" t="str">
        <f>IFERROR(VLOOKUP(シフト組み!AR103,役職一覧!$B:$D,2,FALSE),"")</f>
        <v/>
      </c>
      <c r="AS73" s="17" t="str">
        <f>IFERROR(VLOOKUP(シフト組み!AS103,役職一覧!$B:$D,2,FALSE),"")</f>
        <v/>
      </c>
      <c r="AT73" s="17" t="str">
        <f>IFERROR(VLOOKUP(シフト組み!AT103,役職一覧!$B:$D,2,FALSE),"")</f>
        <v/>
      </c>
      <c r="AU73" s="17" t="str">
        <f>IFERROR(VLOOKUP(シフト組み!AU103,役職一覧!$B:$D,2,FALSE),"")</f>
        <v/>
      </c>
      <c r="AV73" s="17" t="str">
        <f>IFERROR(VLOOKUP(シフト組み!AV103,役職一覧!$B:$D,2,FALSE),"")</f>
        <v/>
      </c>
      <c r="AW73" s="17" t="str">
        <f>IFERROR(VLOOKUP(シフト組み!AW103,役職一覧!$B:$D,2,FALSE),"")</f>
        <v/>
      </c>
      <c r="AX73" s="17" t="str">
        <f>IFERROR(VLOOKUP(シフト組み!AX103,役職一覧!$B:$D,2,FALSE),"")</f>
        <v/>
      </c>
      <c r="AY73" s="17" t="str">
        <f>IFERROR(VLOOKUP(シフト組み!AY103,役職一覧!$B:$D,2,FALSE),"")</f>
        <v/>
      </c>
      <c r="AZ73" s="17" t="str">
        <f>IFERROR(VLOOKUP(シフト組み!AZ103,役職一覧!$B:$D,2,FALSE),"")</f>
        <v/>
      </c>
      <c r="BA73" s="17" t="str">
        <f>IFERROR(VLOOKUP(シフト組み!BA103,役職一覧!$B:$D,2,FALSE),"")</f>
        <v/>
      </c>
    </row>
    <row r="74" spans="1:53">
      <c r="A74" s="2" t="str">
        <f>シフト組み!A104&amp;""</f>
        <v/>
      </c>
      <c r="B74" s="2" t="str">
        <f>シフト組み!B104&amp;""</f>
        <v/>
      </c>
      <c r="C74" s="2" t="str">
        <f>シフト組み!C104&amp;""</f>
        <v/>
      </c>
      <c r="D74" s="17" t="str">
        <f>IFERROR(VLOOKUP(シフト組み!D104,役職一覧!$B:$D,2,FALSE),"")</f>
        <v/>
      </c>
      <c r="E74" s="17" t="str">
        <f>IFERROR(VLOOKUP(シフト組み!E104,役職一覧!$B:$D,2,FALSE),"")</f>
        <v/>
      </c>
      <c r="F74" s="17" t="str">
        <f>IFERROR(VLOOKUP(シフト組み!F104,役職一覧!$B:$D,2,FALSE),"")</f>
        <v/>
      </c>
      <c r="G74" s="17" t="str">
        <f>IFERROR(VLOOKUP(シフト組み!G104,役職一覧!$B:$D,2,FALSE),"")</f>
        <v/>
      </c>
      <c r="H74" s="17" t="str">
        <f>IFERROR(VLOOKUP(シフト組み!H104,役職一覧!$B:$D,2,FALSE),"")</f>
        <v/>
      </c>
      <c r="I74" s="17" t="str">
        <f>IFERROR(VLOOKUP(シフト組み!I104,役職一覧!$B:$D,2,FALSE),"")</f>
        <v/>
      </c>
      <c r="J74" s="17" t="str">
        <f>IFERROR(VLOOKUP(シフト組み!J104,役職一覧!$B:$D,2,FALSE),"")</f>
        <v/>
      </c>
      <c r="K74" s="17" t="str">
        <f>IFERROR(VLOOKUP(シフト組み!K104,役職一覧!$B:$D,2,FALSE),"")</f>
        <v/>
      </c>
      <c r="L74" s="17" t="str">
        <f>IFERROR(VLOOKUP(シフト組み!L104,役職一覧!$B:$D,2,FALSE),"")</f>
        <v/>
      </c>
      <c r="M74" s="17" t="str">
        <f>IFERROR(VLOOKUP(シフト組み!M104,役職一覧!$B:$D,2,FALSE),"")</f>
        <v/>
      </c>
      <c r="N74" s="17" t="str">
        <f>IFERROR(VLOOKUP(シフト組み!N104,役職一覧!$B:$D,2,FALSE),"")</f>
        <v/>
      </c>
      <c r="O74" s="17" t="str">
        <f>IFERROR(VLOOKUP(シフト組み!O104,役職一覧!$B:$D,2,FALSE),"")</f>
        <v/>
      </c>
      <c r="P74" s="17" t="str">
        <f>IFERROR(VLOOKUP(シフト組み!P104,役職一覧!$B:$D,2,FALSE),"")</f>
        <v/>
      </c>
      <c r="Q74" s="17" t="str">
        <f>IFERROR(VLOOKUP(シフト組み!Q104,役職一覧!$B:$D,2,FALSE),"")</f>
        <v/>
      </c>
      <c r="R74" s="17" t="str">
        <f>IFERROR(VLOOKUP(シフト組み!R104,役職一覧!$B:$D,2,FALSE),"")</f>
        <v/>
      </c>
      <c r="S74" s="17" t="str">
        <f>IFERROR(VLOOKUP(シフト組み!S104,役職一覧!$B:$D,2,FALSE),"")</f>
        <v/>
      </c>
      <c r="T74" s="17" t="str">
        <f>IFERROR(VLOOKUP(シフト組み!T104,役職一覧!$B:$D,2,FALSE),"")</f>
        <v/>
      </c>
      <c r="U74" s="17" t="str">
        <f>IFERROR(VLOOKUP(シフト組み!U104,役職一覧!$B:$D,2,FALSE),"")</f>
        <v/>
      </c>
      <c r="V74" s="17" t="str">
        <f>IFERROR(VLOOKUP(シフト組み!V104,役職一覧!$B:$D,2,FALSE),"")</f>
        <v/>
      </c>
      <c r="W74" s="17" t="str">
        <f>IFERROR(VLOOKUP(シフト組み!W104,役職一覧!$B:$D,2,FALSE),"")</f>
        <v/>
      </c>
      <c r="X74" s="17" t="str">
        <f>IFERROR(VLOOKUP(シフト組み!X104,役職一覧!$B:$D,2,FALSE),"")</f>
        <v/>
      </c>
      <c r="Y74" s="17" t="str">
        <f>IFERROR(VLOOKUP(シフト組み!Y104,役職一覧!$B:$D,2,FALSE),"")</f>
        <v/>
      </c>
      <c r="Z74" s="17" t="str">
        <f>IFERROR(VLOOKUP(シフト組み!Z104,役職一覧!$B:$D,2,FALSE),"")</f>
        <v/>
      </c>
      <c r="AA74" s="17" t="str">
        <f>IFERROR(VLOOKUP(シフト組み!AA104,役職一覧!$B:$D,2,FALSE),"")</f>
        <v/>
      </c>
      <c r="AB74" s="17" t="str">
        <f>IFERROR(VLOOKUP(シフト組み!AB104,役職一覧!$B:$D,2,FALSE),"")</f>
        <v/>
      </c>
      <c r="AC74" s="17" t="str">
        <f>IFERROR(VLOOKUP(シフト組み!AC104,役職一覧!$B:$D,2,FALSE),"")</f>
        <v/>
      </c>
      <c r="AD74" s="17" t="str">
        <f>IFERROR(VLOOKUP(シフト組み!AD104,役職一覧!$B:$D,2,FALSE),"")</f>
        <v/>
      </c>
      <c r="AE74" s="17" t="str">
        <f>IFERROR(VLOOKUP(シフト組み!AE104,役職一覧!$B:$D,2,FALSE),"")</f>
        <v/>
      </c>
      <c r="AF74" s="17" t="str">
        <f>IFERROR(VLOOKUP(シフト組み!AF104,役職一覧!$B:$D,2,FALSE),"")</f>
        <v/>
      </c>
      <c r="AG74" s="17" t="str">
        <f>IFERROR(VLOOKUP(シフト組み!AG104,役職一覧!$B:$D,2,FALSE),"")</f>
        <v/>
      </c>
      <c r="AH74" s="17" t="str">
        <f>IFERROR(VLOOKUP(シフト組み!AH104,役職一覧!$B:$D,2,FALSE),"")</f>
        <v/>
      </c>
      <c r="AI74" s="17" t="str">
        <f>IFERROR(VLOOKUP(シフト組み!AI104,役職一覧!$B:$D,2,FALSE),"")</f>
        <v/>
      </c>
      <c r="AJ74" s="17" t="str">
        <f>IFERROR(VLOOKUP(シフト組み!AJ104,役職一覧!$B:$D,2,FALSE),"")</f>
        <v/>
      </c>
      <c r="AK74" s="17" t="str">
        <f>IFERROR(VLOOKUP(シフト組み!AK104,役職一覧!$B:$D,2,FALSE),"")</f>
        <v/>
      </c>
      <c r="AL74" s="17" t="str">
        <f>IFERROR(VLOOKUP(シフト組み!AL104,役職一覧!$B:$D,2,FALSE),"")</f>
        <v/>
      </c>
      <c r="AM74" s="17" t="str">
        <f>IFERROR(VLOOKUP(シフト組み!AM104,役職一覧!$B:$D,2,FALSE),"")</f>
        <v/>
      </c>
      <c r="AN74" s="17" t="str">
        <f>IFERROR(VLOOKUP(シフト組み!AN104,役職一覧!$B:$D,2,FALSE),"")</f>
        <v/>
      </c>
      <c r="AO74" s="17" t="str">
        <f>IFERROR(VLOOKUP(シフト組み!AO104,役職一覧!$B:$D,2,FALSE),"")</f>
        <v/>
      </c>
      <c r="AP74" s="17" t="str">
        <f>IFERROR(VLOOKUP(シフト組み!AP104,役職一覧!$B:$D,2,FALSE),"")</f>
        <v/>
      </c>
      <c r="AQ74" s="17" t="str">
        <f>IFERROR(VLOOKUP(シフト組み!AQ104,役職一覧!$B:$D,2,FALSE),"")</f>
        <v/>
      </c>
      <c r="AR74" s="17" t="str">
        <f>IFERROR(VLOOKUP(シフト組み!AR104,役職一覧!$B:$D,2,FALSE),"")</f>
        <v/>
      </c>
      <c r="AS74" s="17" t="str">
        <f>IFERROR(VLOOKUP(シフト組み!AS104,役職一覧!$B:$D,2,FALSE),"")</f>
        <v/>
      </c>
      <c r="AT74" s="17" t="str">
        <f>IFERROR(VLOOKUP(シフト組み!AT104,役職一覧!$B:$D,2,FALSE),"")</f>
        <v/>
      </c>
      <c r="AU74" s="17" t="str">
        <f>IFERROR(VLOOKUP(シフト組み!AU104,役職一覧!$B:$D,2,FALSE),"")</f>
        <v/>
      </c>
      <c r="AV74" s="17" t="str">
        <f>IFERROR(VLOOKUP(シフト組み!AV104,役職一覧!$B:$D,2,FALSE),"")</f>
        <v/>
      </c>
      <c r="AW74" s="17" t="str">
        <f>IFERROR(VLOOKUP(シフト組み!AW104,役職一覧!$B:$D,2,FALSE),"")</f>
        <v/>
      </c>
      <c r="AX74" s="17" t="str">
        <f>IFERROR(VLOOKUP(シフト組み!AX104,役職一覧!$B:$D,2,FALSE),"")</f>
        <v/>
      </c>
      <c r="AY74" s="17" t="str">
        <f>IFERROR(VLOOKUP(シフト組み!AY104,役職一覧!$B:$D,2,FALSE),"")</f>
        <v/>
      </c>
      <c r="AZ74" s="17" t="str">
        <f>IFERROR(VLOOKUP(シフト組み!AZ104,役職一覧!$B:$D,2,FALSE),"")</f>
        <v/>
      </c>
      <c r="BA74" s="17" t="str">
        <f>IFERROR(VLOOKUP(シフト組み!BA104,役職一覧!$B:$D,2,FALSE),"")</f>
        <v/>
      </c>
    </row>
    <row r="75" spans="1:53">
      <c r="A75" s="2" t="str">
        <f>シフト組み!A105&amp;""</f>
        <v/>
      </c>
      <c r="B75" s="2" t="str">
        <f>シフト組み!B105&amp;""</f>
        <v/>
      </c>
      <c r="C75" s="2" t="str">
        <f>シフト組み!C105&amp;""</f>
        <v/>
      </c>
      <c r="D75" s="17" t="str">
        <f>IFERROR(VLOOKUP(シフト組み!D105,役職一覧!$B:$D,2,FALSE),"")</f>
        <v/>
      </c>
      <c r="E75" s="17" t="str">
        <f>IFERROR(VLOOKUP(シフト組み!E105,役職一覧!$B:$D,2,FALSE),"")</f>
        <v/>
      </c>
      <c r="F75" s="17" t="str">
        <f>IFERROR(VLOOKUP(シフト組み!F105,役職一覧!$B:$D,2,FALSE),"")</f>
        <v/>
      </c>
      <c r="G75" s="17" t="str">
        <f>IFERROR(VLOOKUP(シフト組み!G105,役職一覧!$B:$D,2,FALSE),"")</f>
        <v/>
      </c>
      <c r="H75" s="17" t="str">
        <f>IFERROR(VLOOKUP(シフト組み!H105,役職一覧!$B:$D,2,FALSE),"")</f>
        <v/>
      </c>
      <c r="I75" s="17" t="str">
        <f>IFERROR(VLOOKUP(シフト組み!I105,役職一覧!$B:$D,2,FALSE),"")</f>
        <v/>
      </c>
      <c r="J75" s="17" t="str">
        <f>IFERROR(VLOOKUP(シフト組み!J105,役職一覧!$B:$D,2,FALSE),"")</f>
        <v/>
      </c>
      <c r="K75" s="17" t="str">
        <f>IFERROR(VLOOKUP(シフト組み!K105,役職一覧!$B:$D,2,FALSE),"")</f>
        <v/>
      </c>
      <c r="L75" s="17" t="str">
        <f>IFERROR(VLOOKUP(シフト組み!L105,役職一覧!$B:$D,2,FALSE),"")</f>
        <v/>
      </c>
      <c r="M75" s="17" t="str">
        <f>IFERROR(VLOOKUP(シフト組み!M105,役職一覧!$B:$D,2,FALSE),"")</f>
        <v/>
      </c>
      <c r="N75" s="17" t="str">
        <f>IFERROR(VLOOKUP(シフト組み!N105,役職一覧!$B:$D,2,FALSE),"")</f>
        <v/>
      </c>
      <c r="O75" s="17" t="str">
        <f>IFERROR(VLOOKUP(シフト組み!O105,役職一覧!$B:$D,2,FALSE),"")</f>
        <v/>
      </c>
      <c r="P75" s="17" t="str">
        <f>IFERROR(VLOOKUP(シフト組み!P105,役職一覧!$B:$D,2,FALSE),"")</f>
        <v/>
      </c>
      <c r="Q75" s="17" t="str">
        <f>IFERROR(VLOOKUP(シフト組み!Q105,役職一覧!$B:$D,2,FALSE),"")</f>
        <v/>
      </c>
      <c r="R75" s="17" t="str">
        <f>IFERROR(VLOOKUP(シフト組み!R105,役職一覧!$B:$D,2,FALSE),"")</f>
        <v/>
      </c>
      <c r="S75" s="17" t="str">
        <f>IFERROR(VLOOKUP(シフト組み!S105,役職一覧!$B:$D,2,FALSE),"")</f>
        <v/>
      </c>
      <c r="T75" s="17" t="str">
        <f>IFERROR(VLOOKUP(シフト組み!T105,役職一覧!$B:$D,2,FALSE),"")</f>
        <v/>
      </c>
      <c r="U75" s="17" t="str">
        <f>IFERROR(VLOOKUP(シフト組み!U105,役職一覧!$B:$D,2,FALSE),"")</f>
        <v/>
      </c>
      <c r="V75" s="17" t="str">
        <f>IFERROR(VLOOKUP(シフト組み!V105,役職一覧!$B:$D,2,FALSE),"")</f>
        <v/>
      </c>
      <c r="W75" s="17" t="str">
        <f>IFERROR(VLOOKUP(シフト組み!W105,役職一覧!$B:$D,2,FALSE),"")</f>
        <v/>
      </c>
      <c r="X75" s="17" t="str">
        <f>IFERROR(VLOOKUP(シフト組み!X105,役職一覧!$B:$D,2,FALSE),"")</f>
        <v/>
      </c>
      <c r="Y75" s="17" t="str">
        <f>IFERROR(VLOOKUP(シフト組み!Y105,役職一覧!$B:$D,2,FALSE),"")</f>
        <v/>
      </c>
      <c r="Z75" s="17" t="str">
        <f>IFERROR(VLOOKUP(シフト組み!Z105,役職一覧!$B:$D,2,FALSE),"")</f>
        <v/>
      </c>
      <c r="AA75" s="17" t="str">
        <f>IFERROR(VLOOKUP(シフト組み!AA105,役職一覧!$B:$D,2,FALSE),"")</f>
        <v/>
      </c>
      <c r="AB75" s="17" t="str">
        <f>IFERROR(VLOOKUP(シフト組み!AB105,役職一覧!$B:$D,2,FALSE),"")</f>
        <v/>
      </c>
      <c r="AC75" s="17" t="str">
        <f>IFERROR(VLOOKUP(シフト組み!AC105,役職一覧!$B:$D,2,FALSE),"")</f>
        <v/>
      </c>
      <c r="AD75" s="17" t="str">
        <f>IFERROR(VLOOKUP(シフト組み!AD105,役職一覧!$B:$D,2,FALSE),"")</f>
        <v/>
      </c>
      <c r="AE75" s="17" t="str">
        <f>IFERROR(VLOOKUP(シフト組み!AE105,役職一覧!$B:$D,2,FALSE),"")</f>
        <v/>
      </c>
      <c r="AF75" s="17" t="str">
        <f>IFERROR(VLOOKUP(シフト組み!AF105,役職一覧!$B:$D,2,FALSE),"")</f>
        <v/>
      </c>
      <c r="AG75" s="17" t="str">
        <f>IFERROR(VLOOKUP(シフト組み!AG105,役職一覧!$B:$D,2,FALSE),"")</f>
        <v/>
      </c>
      <c r="AH75" s="17" t="str">
        <f>IFERROR(VLOOKUP(シフト組み!AH105,役職一覧!$B:$D,2,FALSE),"")</f>
        <v/>
      </c>
      <c r="AI75" s="17" t="str">
        <f>IFERROR(VLOOKUP(シフト組み!AI105,役職一覧!$B:$D,2,FALSE),"")</f>
        <v/>
      </c>
      <c r="AJ75" s="17" t="str">
        <f>IFERROR(VLOOKUP(シフト組み!AJ105,役職一覧!$B:$D,2,FALSE),"")</f>
        <v/>
      </c>
      <c r="AK75" s="17" t="str">
        <f>IFERROR(VLOOKUP(シフト組み!AK105,役職一覧!$B:$D,2,FALSE),"")</f>
        <v/>
      </c>
      <c r="AL75" s="17" t="str">
        <f>IFERROR(VLOOKUP(シフト組み!AL105,役職一覧!$B:$D,2,FALSE),"")</f>
        <v/>
      </c>
      <c r="AM75" s="17" t="str">
        <f>IFERROR(VLOOKUP(シフト組み!AM105,役職一覧!$B:$D,2,FALSE),"")</f>
        <v/>
      </c>
      <c r="AN75" s="17" t="str">
        <f>IFERROR(VLOOKUP(シフト組み!AN105,役職一覧!$B:$D,2,FALSE),"")</f>
        <v/>
      </c>
      <c r="AO75" s="17" t="str">
        <f>IFERROR(VLOOKUP(シフト組み!AO105,役職一覧!$B:$D,2,FALSE),"")</f>
        <v/>
      </c>
      <c r="AP75" s="17" t="str">
        <f>IFERROR(VLOOKUP(シフト組み!AP105,役職一覧!$B:$D,2,FALSE),"")</f>
        <v/>
      </c>
      <c r="AQ75" s="17" t="str">
        <f>IFERROR(VLOOKUP(シフト組み!AQ105,役職一覧!$B:$D,2,FALSE),"")</f>
        <v/>
      </c>
      <c r="AR75" s="17" t="str">
        <f>IFERROR(VLOOKUP(シフト組み!AR105,役職一覧!$B:$D,2,FALSE),"")</f>
        <v/>
      </c>
      <c r="AS75" s="17" t="str">
        <f>IFERROR(VLOOKUP(シフト組み!AS105,役職一覧!$B:$D,2,FALSE),"")</f>
        <v/>
      </c>
      <c r="AT75" s="17" t="str">
        <f>IFERROR(VLOOKUP(シフト組み!AT105,役職一覧!$B:$D,2,FALSE),"")</f>
        <v/>
      </c>
      <c r="AU75" s="17" t="str">
        <f>IFERROR(VLOOKUP(シフト組み!AU105,役職一覧!$B:$D,2,FALSE),"")</f>
        <v/>
      </c>
      <c r="AV75" s="17" t="str">
        <f>IFERROR(VLOOKUP(シフト組み!AV105,役職一覧!$B:$D,2,FALSE),"")</f>
        <v/>
      </c>
      <c r="AW75" s="17" t="str">
        <f>IFERROR(VLOOKUP(シフト組み!AW105,役職一覧!$B:$D,2,FALSE),"")</f>
        <v/>
      </c>
      <c r="AX75" s="17" t="str">
        <f>IFERROR(VLOOKUP(シフト組み!AX105,役職一覧!$B:$D,2,FALSE),"")</f>
        <v/>
      </c>
      <c r="AY75" s="17" t="str">
        <f>IFERROR(VLOOKUP(シフト組み!AY105,役職一覧!$B:$D,2,FALSE),"")</f>
        <v/>
      </c>
      <c r="AZ75" s="17" t="str">
        <f>IFERROR(VLOOKUP(シフト組み!AZ105,役職一覧!$B:$D,2,FALSE),"")</f>
        <v/>
      </c>
      <c r="BA75" s="17" t="str">
        <f>IFERROR(VLOOKUP(シフト組み!BA105,役職一覧!$B:$D,2,FALSE),"")</f>
        <v/>
      </c>
    </row>
    <row r="76" spans="1:53">
      <c r="A76" s="2" t="str">
        <f>シフト組み!A106&amp;""</f>
        <v/>
      </c>
      <c r="B76" s="2" t="str">
        <f>シフト組み!B106&amp;""</f>
        <v/>
      </c>
      <c r="C76" s="2" t="str">
        <f>シフト組み!C106&amp;""</f>
        <v/>
      </c>
      <c r="D76" s="17" t="str">
        <f>IFERROR(VLOOKUP(シフト組み!D106,役職一覧!$B:$D,2,FALSE),"")</f>
        <v/>
      </c>
      <c r="E76" s="17" t="str">
        <f>IFERROR(VLOOKUP(シフト組み!E106,役職一覧!$B:$D,2,FALSE),"")</f>
        <v/>
      </c>
      <c r="F76" s="17" t="str">
        <f>IFERROR(VLOOKUP(シフト組み!F106,役職一覧!$B:$D,2,FALSE),"")</f>
        <v/>
      </c>
      <c r="G76" s="17" t="str">
        <f>IFERROR(VLOOKUP(シフト組み!G106,役職一覧!$B:$D,2,FALSE),"")</f>
        <v/>
      </c>
      <c r="H76" s="17" t="str">
        <f>IFERROR(VLOOKUP(シフト組み!H106,役職一覧!$B:$D,2,FALSE),"")</f>
        <v/>
      </c>
      <c r="I76" s="17" t="str">
        <f>IFERROR(VLOOKUP(シフト組み!I106,役職一覧!$B:$D,2,FALSE),"")</f>
        <v/>
      </c>
      <c r="J76" s="17" t="str">
        <f>IFERROR(VLOOKUP(シフト組み!J106,役職一覧!$B:$D,2,FALSE),"")</f>
        <v/>
      </c>
      <c r="K76" s="17" t="str">
        <f>IFERROR(VLOOKUP(シフト組み!K106,役職一覧!$B:$D,2,FALSE),"")</f>
        <v/>
      </c>
      <c r="L76" s="17" t="str">
        <f>IFERROR(VLOOKUP(シフト組み!L106,役職一覧!$B:$D,2,FALSE),"")</f>
        <v/>
      </c>
      <c r="M76" s="17" t="str">
        <f>IFERROR(VLOOKUP(シフト組み!M106,役職一覧!$B:$D,2,FALSE),"")</f>
        <v/>
      </c>
      <c r="N76" s="17" t="str">
        <f>IFERROR(VLOOKUP(シフト組み!N106,役職一覧!$B:$D,2,FALSE),"")</f>
        <v/>
      </c>
      <c r="O76" s="17" t="str">
        <f>IFERROR(VLOOKUP(シフト組み!O106,役職一覧!$B:$D,2,FALSE),"")</f>
        <v/>
      </c>
      <c r="P76" s="17" t="str">
        <f>IFERROR(VLOOKUP(シフト組み!P106,役職一覧!$B:$D,2,FALSE),"")</f>
        <v/>
      </c>
      <c r="Q76" s="17" t="str">
        <f>IFERROR(VLOOKUP(シフト組み!Q106,役職一覧!$B:$D,2,FALSE),"")</f>
        <v/>
      </c>
      <c r="R76" s="17" t="str">
        <f>IFERROR(VLOOKUP(シフト組み!R106,役職一覧!$B:$D,2,FALSE),"")</f>
        <v/>
      </c>
      <c r="S76" s="17" t="str">
        <f>IFERROR(VLOOKUP(シフト組み!S106,役職一覧!$B:$D,2,FALSE),"")</f>
        <v/>
      </c>
      <c r="T76" s="17" t="str">
        <f>IFERROR(VLOOKUP(シフト組み!T106,役職一覧!$B:$D,2,FALSE),"")</f>
        <v/>
      </c>
      <c r="U76" s="17" t="str">
        <f>IFERROR(VLOOKUP(シフト組み!U106,役職一覧!$B:$D,2,FALSE),"")</f>
        <v/>
      </c>
      <c r="V76" s="17" t="str">
        <f>IFERROR(VLOOKUP(シフト組み!V106,役職一覧!$B:$D,2,FALSE),"")</f>
        <v/>
      </c>
      <c r="W76" s="17" t="str">
        <f>IFERROR(VLOOKUP(シフト組み!W106,役職一覧!$B:$D,2,FALSE),"")</f>
        <v/>
      </c>
      <c r="X76" s="17" t="str">
        <f>IFERROR(VLOOKUP(シフト組み!X106,役職一覧!$B:$D,2,FALSE),"")</f>
        <v/>
      </c>
      <c r="Y76" s="17" t="str">
        <f>IFERROR(VLOOKUP(シフト組み!Y106,役職一覧!$B:$D,2,FALSE),"")</f>
        <v/>
      </c>
      <c r="Z76" s="17" t="str">
        <f>IFERROR(VLOOKUP(シフト組み!Z106,役職一覧!$B:$D,2,FALSE),"")</f>
        <v/>
      </c>
      <c r="AA76" s="17" t="str">
        <f>IFERROR(VLOOKUP(シフト組み!AA106,役職一覧!$B:$D,2,FALSE),"")</f>
        <v/>
      </c>
      <c r="AB76" s="17" t="str">
        <f>IFERROR(VLOOKUP(シフト組み!AB106,役職一覧!$B:$D,2,FALSE),"")</f>
        <v/>
      </c>
      <c r="AC76" s="17" t="str">
        <f>IFERROR(VLOOKUP(シフト組み!AC106,役職一覧!$B:$D,2,FALSE),"")</f>
        <v/>
      </c>
      <c r="AD76" s="17" t="str">
        <f>IFERROR(VLOOKUP(シフト組み!AD106,役職一覧!$B:$D,2,FALSE),"")</f>
        <v/>
      </c>
      <c r="AE76" s="17" t="str">
        <f>IFERROR(VLOOKUP(シフト組み!AE106,役職一覧!$B:$D,2,FALSE),"")</f>
        <v/>
      </c>
      <c r="AF76" s="17" t="str">
        <f>IFERROR(VLOOKUP(シフト組み!AF106,役職一覧!$B:$D,2,FALSE),"")</f>
        <v/>
      </c>
      <c r="AG76" s="17" t="str">
        <f>IFERROR(VLOOKUP(シフト組み!AG106,役職一覧!$B:$D,2,FALSE),"")</f>
        <v/>
      </c>
      <c r="AH76" s="17" t="str">
        <f>IFERROR(VLOOKUP(シフト組み!AH106,役職一覧!$B:$D,2,FALSE),"")</f>
        <v/>
      </c>
      <c r="AI76" s="17" t="str">
        <f>IFERROR(VLOOKUP(シフト組み!AI106,役職一覧!$B:$D,2,FALSE),"")</f>
        <v/>
      </c>
      <c r="AJ76" s="17" t="str">
        <f>IFERROR(VLOOKUP(シフト組み!AJ106,役職一覧!$B:$D,2,FALSE),"")</f>
        <v/>
      </c>
      <c r="AK76" s="17" t="str">
        <f>IFERROR(VLOOKUP(シフト組み!AK106,役職一覧!$B:$D,2,FALSE),"")</f>
        <v/>
      </c>
      <c r="AL76" s="17" t="str">
        <f>IFERROR(VLOOKUP(シフト組み!AL106,役職一覧!$B:$D,2,FALSE),"")</f>
        <v/>
      </c>
      <c r="AM76" s="17" t="str">
        <f>IFERROR(VLOOKUP(シフト組み!AM106,役職一覧!$B:$D,2,FALSE),"")</f>
        <v/>
      </c>
      <c r="AN76" s="17" t="str">
        <f>IFERROR(VLOOKUP(シフト組み!AN106,役職一覧!$B:$D,2,FALSE),"")</f>
        <v/>
      </c>
      <c r="AO76" s="17" t="str">
        <f>IFERROR(VLOOKUP(シフト組み!AO106,役職一覧!$B:$D,2,FALSE),"")</f>
        <v/>
      </c>
      <c r="AP76" s="17" t="str">
        <f>IFERROR(VLOOKUP(シフト組み!AP106,役職一覧!$B:$D,2,FALSE),"")</f>
        <v/>
      </c>
      <c r="AQ76" s="17" t="str">
        <f>IFERROR(VLOOKUP(シフト組み!AQ106,役職一覧!$B:$D,2,FALSE),"")</f>
        <v/>
      </c>
      <c r="AR76" s="17" t="str">
        <f>IFERROR(VLOOKUP(シフト組み!AR106,役職一覧!$B:$D,2,FALSE),"")</f>
        <v/>
      </c>
      <c r="AS76" s="17" t="str">
        <f>IFERROR(VLOOKUP(シフト組み!AS106,役職一覧!$B:$D,2,FALSE),"")</f>
        <v/>
      </c>
      <c r="AT76" s="17" t="str">
        <f>IFERROR(VLOOKUP(シフト組み!AT106,役職一覧!$B:$D,2,FALSE),"")</f>
        <v/>
      </c>
      <c r="AU76" s="17" t="str">
        <f>IFERROR(VLOOKUP(シフト組み!AU106,役職一覧!$B:$D,2,FALSE),"")</f>
        <v/>
      </c>
      <c r="AV76" s="17" t="str">
        <f>IFERROR(VLOOKUP(シフト組み!AV106,役職一覧!$B:$D,2,FALSE),"")</f>
        <v/>
      </c>
      <c r="AW76" s="17" t="str">
        <f>IFERROR(VLOOKUP(シフト組み!AW106,役職一覧!$B:$D,2,FALSE),"")</f>
        <v/>
      </c>
      <c r="AX76" s="17" t="str">
        <f>IFERROR(VLOOKUP(シフト組み!AX106,役職一覧!$B:$D,2,FALSE),"")</f>
        <v/>
      </c>
      <c r="AY76" s="17" t="str">
        <f>IFERROR(VLOOKUP(シフト組み!AY106,役職一覧!$B:$D,2,FALSE),"")</f>
        <v/>
      </c>
      <c r="AZ76" s="17" t="str">
        <f>IFERROR(VLOOKUP(シフト組み!AZ106,役職一覧!$B:$D,2,FALSE),"")</f>
        <v/>
      </c>
      <c r="BA76" s="17" t="str">
        <f>IFERROR(VLOOKUP(シフト組み!BA106,役職一覧!$B:$D,2,FALSE),"")</f>
        <v/>
      </c>
    </row>
    <row r="77" spans="1:53">
      <c r="A77" s="2" t="str">
        <f>シフト組み!A107&amp;""</f>
        <v/>
      </c>
      <c r="B77" s="2" t="str">
        <f>シフト組み!B107&amp;""</f>
        <v/>
      </c>
      <c r="C77" s="2" t="str">
        <f>シフト組み!C107&amp;""</f>
        <v/>
      </c>
      <c r="D77" s="17" t="str">
        <f>IFERROR(VLOOKUP(シフト組み!D107,役職一覧!$B:$D,2,FALSE),"")</f>
        <v/>
      </c>
      <c r="E77" s="17" t="str">
        <f>IFERROR(VLOOKUP(シフト組み!E107,役職一覧!$B:$D,2,FALSE),"")</f>
        <v/>
      </c>
      <c r="F77" s="17" t="str">
        <f>IFERROR(VLOOKUP(シフト組み!F107,役職一覧!$B:$D,2,FALSE),"")</f>
        <v/>
      </c>
      <c r="G77" s="17" t="str">
        <f>IFERROR(VLOOKUP(シフト組み!G107,役職一覧!$B:$D,2,FALSE),"")</f>
        <v/>
      </c>
      <c r="H77" s="17" t="str">
        <f>IFERROR(VLOOKUP(シフト組み!H107,役職一覧!$B:$D,2,FALSE),"")</f>
        <v/>
      </c>
      <c r="I77" s="17" t="str">
        <f>IFERROR(VLOOKUP(シフト組み!I107,役職一覧!$B:$D,2,FALSE),"")</f>
        <v/>
      </c>
      <c r="J77" s="17" t="str">
        <f>IFERROR(VLOOKUP(シフト組み!J107,役職一覧!$B:$D,2,FALSE),"")</f>
        <v/>
      </c>
      <c r="K77" s="17" t="str">
        <f>IFERROR(VLOOKUP(シフト組み!K107,役職一覧!$B:$D,2,FALSE),"")</f>
        <v/>
      </c>
      <c r="L77" s="17" t="str">
        <f>IFERROR(VLOOKUP(シフト組み!L107,役職一覧!$B:$D,2,FALSE),"")</f>
        <v/>
      </c>
      <c r="M77" s="17" t="str">
        <f>IFERROR(VLOOKUP(シフト組み!M107,役職一覧!$B:$D,2,FALSE),"")</f>
        <v/>
      </c>
      <c r="N77" s="17" t="str">
        <f>IFERROR(VLOOKUP(シフト組み!N107,役職一覧!$B:$D,2,FALSE),"")</f>
        <v/>
      </c>
      <c r="O77" s="17" t="str">
        <f>IFERROR(VLOOKUP(シフト組み!O107,役職一覧!$B:$D,2,FALSE),"")</f>
        <v/>
      </c>
      <c r="P77" s="17" t="str">
        <f>IFERROR(VLOOKUP(シフト組み!P107,役職一覧!$B:$D,2,FALSE),"")</f>
        <v/>
      </c>
      <c r="Q77" s="17" t="str">
        <f>IFERROR(VLOOKUP(シフト組み!Q107,役職一覧!$B:$D,2,FALSE),"")</f>
        <v/>
      </c>
      <c r="R77" s="17" t="str">
        <f>IFERROR(VLOOKUP(シフト組み!R107,役職一覧!$B:$D,2,FALSE),"")</f>
        <v/>
      </c>
      <c r="S77" s="17" t="str">
        <f>IFERROR(VLOOKUP(シフト組み!S107,役職一覧!$B:$D,2,FALSE),"")</f>
        <v/>
      </c>
      <c r="T77" s="17" t="str">
        <f>IFERROR(VLOOKUP(シフト組み!T107,役職一覧!$B:$D,2,FALSE),"")</f>
        <v/>
      </c>
      <c r="U77" s="17" t="str">
        <f>IFERROR(VLOOKUP(シフト組み!U107,役職一覧!$B:$D,2,FALSE),"")</f>
        <v/>
      </c>
      <c r="V77" s="17" t="str">
        <f>IFERROR(VLOOKUP(シフト組み!V107,役職一覧!$B:$D,2,FALSE),"")</f>
        <v/>
      </c>
      <c r="W77" s="17" t="str">
        <f>IFERROR(VLOOKUP(シフト組み!W107,役職一覧!$B:$D,2,FALSE),"")</f>
        <v/>
      </c>
      <c r="X77" s="17" t="str">
        <f>IFERROR(VLOOKUP(シフト組み!X107,役職一覧!$B:$D,2,FALSE),"")</f>
        <v/>
      </c>
      <c r="Y77" s="17" t="str">
        <f>IFERROR(VLOOKUP(シフト組み!Y107,役職一覧!$B:$D,2,FALSE),"")</f>
        <v/>
      </c>
      <c r="Z77" s="17" t="str">
        <f>IFERROR(VLOOKUP(シフト組み!Z107,役職一覧!$B:$D,2,FALSE),"")</f>
        <v/>
      </c>
      <c r="AA77" s="17" t="str">
        <f>IFERROR(VLOOKUP(シフト組み!AA107,役職一覧!$B:$D,2,FALSE),"")</f>
        <v/>
      </c>
      <c r="AB77" s="17" t="str">
        <f>IFERROR(VLOOKUP(シフト組み!AB107,役職一覧!$B:$D,2,FALSE),"")</f>
        <v/>
      </c>
      <c r="AC77" s="17" t="str">
        <f>IFERROR(VLOOKUP(シフト組み!AC107,役職一覧!$B:$D,2,FALSE),"")</f>
        <v/>
      </c>
      <c r="AD77" s="17" t="str">
        <f>IFERROR(VLOOKUP(シフト組み!AD107,役職一覧!$B:$D,2,FALSE),"")</f>
        <v/>
      </c>
      <c r="AE77" s="17" t="str">
        <f>IFERROR(VLOOKUP(シフト組み!AE107,役職一覧!$B:$D,2,FALSE),"")</f>
        <v/>
      </c>
      <c r="AF77" s="17" t="str">
        <f>IFERROR(VLOOKUP(シフト組み!AF107,役職一覧!$B:$D,2,FALSE),"")</f>
        <v/>
      </c>
      <c r="AG77" s="17" t="str">
        <f>IFERROR(VLOOKUP(シフト組み!AG107,役職一覧!$B:$D,2,FALSE),"")</f>
        <v/>
      </c>
      <c r="AH77" s="17" t="str">
        <f>IFERROR(VLOOKUP(シフト組み!AH107,役職一覧!$B:$D,2,FALSE),"")</f>
        <v/>
      </c>
      <c r="AI77" s="17" t="str">
        <f>IFERROR(VLOOKUP(シフト組み!AI107,役職一覧!$B:$D,2,FALSE),"")</f>
        <v/>
      </c>
      <c r="AJ77" s="17" t="str">
        <f>IFERROR(VLOOKUP(シフト組み!AJ107,役職一覧!$B:$D,2,FALSE),"")</f>
        <v/>
      </c>
      <c r="AK77" s="17" t="str">
        <f>IFERROR(VLOOKUP(シフト組み!AK107,役職一覧!$B:$D,2,FALSE),"")</f>
        <v/>
      </c>
      <c r="AL77" s="17" t="str">
        <f>IFERROR(VLOOKUP(シフト組み!AL107,役職一覧!$B:$D,2,FALSE),"")</f>
        <v/>
      </c>
      <c r="AM77" s="17" t="str">
        <f>IFERROR(VLOOKUP(シフト組み!AM107,役職一覧!$B:$D,2,FALSE),"")</f>
        <v/>
      </c>
      <c r="AN77" s="17" t="str">
        <f>IFERROR(VLOOKUP(シフト組み!AN107,役職一覧!$B:$D,2,FALSE),"")</f>
        <v/>
      </c>
      <c r="AO77" s="17" t="str">
        <f>IFERROR(VLOOKUP(シフト組み!AO107,役職一覧!$B:$D,2,FALSE),"")</f>
        <v/>
      </c>
      <c r="AP77" s="17" t="str">
        <f>IFERROR(VLOOKUP(シフト組み!AP107,役職一覧!$B:$D,2,FALSE),"")</f>
        <v/>
      </c>
      <c r="AQ77" s="17" t="str">
        <f>IFERROR(VLOOKUP(シフト組み!AQ107,役職一覧!$B:$D,2,FALSE),"")</f>
        <v/>
      </c>
      <c r="AR77" s="17" t="str">
        <f>IFERROR(VLOOKUP(シフト組み!AR107,役職一覧!$B:$D,2,FALSE),"")</f>
        <v/>
      </c>
      <c r="AS77" s="17" t="str">
        <f>IFERROR(VLOOKUP(シフト組み!AS107,役職一覧!$B:$D,2,FALSE),"")</f>
        <v/>
      </c>
      <c r="AT77" s="17" t="str">
        <f>IFERROR(VLOOKUP(シフト組み!AT107,役職一覧!$B:$D,2,FALSE),"")</f>
        <v/>
      </c>
      <c r="AU77" s="17" t="str">
        <f>IFERROR(VLOOKUP(シフト組み!AU107,役職一覧!$B:$D,2,FALSE),"")</f>
        <v/>
      </c>
      <c r="AV77" s="17" t="str">
        <f>IFERROR(VLOOKUP(シフト組み!AV107,役職一覧!$B:$D,2,FALSE),"")</f>
        <v/>
      </c>
      <c r="AW77" s="17" t="str">
        <f>IFERROR(VLOOKUP(シフト組み!AW107,役職一覧!$B:$D,2,FALSE),"")</f>
        <v/>
      </c>
      <c r="AX77" s="17" t="str">
        <f>IFERROR(VLOOKUP(シフト組み!AX107,役職一覧!$B:$D,2,FALSE),"")</f>
        <v/>
      </c>
      <c r="AY77" s="17" t="str">
        <f>IFERROR(VLOOKUP(シフト組み!AY107,役職一覧!$B:$D,2,FALSE),"")</f>
        <v/>
      </c>
      <c r="AZ77" s="17" t="str">
        <f>IFERROR(VLOOKUP(シフト組み!AZ107,役職一覧!$B:$D,2,FALSE),"")</f>
        <v/>
      </c>
      <c r="BA77" s="17" t="str">
        <f>IFERROR(VLOOKUP(シフト組み!BA107,役職一覧!$B:$D,2,FALSE),"")</f>
        <v/>
      </c>
    </row>
    <row r="78" spans="1:53">
      <c r="A78" s="2" t="str">
        <f>シフト組み!A108&amp;""</f>
        <v/>
      </c>
      <c r="B78" s="2" t="str">
        <f>シフト組み!B108&amp;""</f>
        <v/>
      </c>
      <c r="C78" s="2" t="str">
        <f>シフト組み!C108&amp;""</f>
        <v/>
      </c>
      <c r="D78" s="17" t="str">
        <f>IFERROR(VLOOKUP(シフト組み!D108,役職一覧!$B:$D,2,FALSE),"")</f>
        <v/>
      </c>
      <c r="E78" s="17" t="str">
        <f>IFERROR(VLOOKUP(シフト組み!E108,役職一覧!$B:$D,2,FALSE),"")</f>
        <v/>
      </c>
      <c r="F78" s="17" t="str">
        <f>IFERROR(VLOOKUP(シフト組み!F108,役職一覧!$B:$D,2,FALSE),"")</f>
        <v/>
      </c>
      <c r="G78" s="17" t="str">
        <f>IFERROR(VLOOKUP(シフト組み!G108,役職一覧!$B:$D,2,FALSE),"")</f>
        <v/>
      </c>
      <c r="H78" s="17" t="str">
        <f>IFERROR(VLOOKUP(シフト組み!H108,役職一覧!$B:$D,2,FALSE),"")</f>
        <v/>
      </c>
      <c r="I78" s="17" t="str">
        <f>IFERROR(VLOOKUP(シフト組み!I108,役職一覧!$B:$D,2,FALSE),"")</f>
        <v/>
      </c>
      <c r="J78" s="17" t="str">
        <f>IFERROR(VLOOKUP(シフト組み!J108,役職一覧!$B:$D,2,FALSE),"")</f>
        <v/>
      </c>
      <c r="K78" s="17" t="str">
        <f>IFERROR(VLOOKUP(シフト組み!K108,役職一覧!$B:$D,2,FALSE),"")</f>
        <v/>
      </c>
      <c r="L78" s="17" t="str">
        <f>IFERROR(VLOOKUP(シフト組み!L108,役職一覧!$B:$D,2,FALSE),"")</f>
        <v/>
      </c>
      <c r="M78" s="17" t="str">
        <f>IFERROR(VLOOKUP(シフト組み!M108,役職一覧!$B:$D,2,FALSE),"")</f>
        <v/>
      </c>
      <c r="N78" s="17" t="str">
        <f>IFERROR(VLOOKUP(シフト組み!N108,役職一覧!$B:$D,2,FALSE),"")</f>
        <v/>
      </c>
      <c r="O78" s="17" t="str">
        <f>IFERROR(VLOOKUP(シフト組み!O108,役職一覧!$B:$D,2,FALSE),"")</f>
        <v/>
      </c>
      <c r="P78" s="17" t="str">
        <f>IFERROR(VLOOKUP(シフト組み!P108,役職一覧!$B:$D,2,FALSE),"")</f>
        <v/>
      </c>
      <c r="Q78" s="17" t="str">
        <f>IFERROR(VLOOKUP(シフト組み!Q108,役職一覧!$B:$D,2,FALSE),"")</f>
        <v/>
      </c>
      <c r="R78" s="17" t="str">
        <f>IFERROR(VLOOKUP(シフト組み!R108,役職一覧!$B:$D,2,FALSE),"")</f>
        <v/>
      </c>
      <c r="S78" s="17" t="str">
        <f>IFERROR(VLOOKUP(シフト組み!S108,役職一覧!$B:$D,2,FALSE),"")</f>
        <v/>
      </c>
      <c r="T78" s="17" t="str">
        <f>IFERROR(VLOOKUP(シフト組み!T108,役職一覧!$B:$D,2,FALSE),"")</f>
        <v/>
      </c>
      <c r="U78" s="17" t="str">
        <f>IFERROR(VLOOKUP(シフト組み!U108,役職一覧!$B:$D,2,FALSE),"")</f>
        <v/>
      </c>
      <c r="V78" s="17" t="str">
        <f>IFERROR(VLOOKUP(シフト組み!V108,役職一覧!$B:$D,2,FALSE),"")</f>
        <v/>
      </c>
      <c r="W78" s="17" t="str">
        <f>IFERROR(VLOOKUP(シフト組み!W108,役職一覧!$B:$D,2,FALSE),"")</f>
        <v/>
      </c>
      <c r="X78" s="17" t="str">
        <f>IFERROR(VLOOKUP(シフト組み!X108,役職一覧!$B:$D,2,FALSE),"")</f>
        <v/>
      </c>
      <c r="Y78" s="17" t="str">
        <f>IFERROR(VLOOKUP(シフト組み!Y108,役職一覧!$B:$D,2,FALSE),"")</f>
        <v/>
      </c>
      <c r="Z78" s="17" t="str">
        <f>IFERROR(VLOOKUP(シフト組み!Z108,役職一覧!$B:$D,2,FALSE),"")</f>
        <v/>
      </c>
      <c r="AA78" s="17" t="str">
        <f>IFERROR(VLOOKUP(シフト組み!AA108,役職一覧!$B:$D,2,FALSE),"")</f>
        <v/>
      </c>
      <c r="AB78" s="17" t="str">
        <f>IFERROR(VLOOKUP(シフト組み!AB108,役職一覧!$B:$D,2,FALSE),"")</f>
        <v/>
      </c>
      <c r="AC78" s="17" t="str">
        <f>IFERROR(VLOOKUP(シフト組み!AC108,役職一覧!$B:$D,2,FALSE),"")</f>
        <v/>
      </c>
      <c r="AD78" s="17" t="str">
        <f>IFERROR(VLOOKUP(シフト組み!AD108,役職一覧!$B:$D,2,FALSE),"")</f>
        <v/>
      </c>
      <c r="AE78" s="17" t="str">
        <f>IFERROR(VLOOKUP(シフト組み!AE108,役職一覧!$B:$D,2,FALSE),"")</f>
        <v/>
      </c>
      <c r="AF78" s="17" t="str">
        <f>IFERROR(VLOOKUP(シフト組み!AF108,役職一覧!$B:$D,2,FALSE),"")</f>
        <v/>
      </c>
      <c r="AG78" s="17" t="str">
        <f>IFERROR(VLOOKUP(シフト組み!AG108,役職一覧!$B:$D,2,FALSE),"")</f>
        <v/>
      </c>
      <c r="AH78" s="17" t="str">
        <f>IFERROR(VLOOKUP(シフト組み!AH108,役職一覧!$B:$D,2,FALSE),"")</f>
        <v/>
      </c>
      <c r="AI78" s="17" t="str">
        <f>IFERROR(VLOOKUP(シフト組み!AI108,役職一覧!$B:$D,2,FALSE),"")</f>
        <v/>
      </c>
      <c r="AJ78" s="17" t="str">
        <f>IFERROR(VLOOKUP(シフト組み!AJ108,役職一覧!$B:$D,2,FALSE),"")</f>
        <v/>
      </c>
      <c r="AK78" s="17" t="str">
        <f>IFERROR(VLOOKUP(シフト組み!AK108,役職一覧!$B:$D,2,FALSE),"")</f>
        <v/>
      </c>
      <c r="AL78" s="17" t="str">
        <f>IFERROR(VLOOKUP(シフト組み!AL108,役職一覧!$B:$D,2,FALSE),"")</f>
        <v/>
      </c>
      <c r="AM78" s="17" t="str">
        <f>IFERROR(VLOOKUP(シフト組み!AM108,役職一覧!$B:$D,2,FALSE),"")</f>
        <v/>
      </c>
      <c r="AN78" s="17" t="str">
        <f>IFERROR(VLOOKUP(シフト組み!AN108,役職一覧!$B:$D,2,FALSE),"")</f>
        <v/>
      </c>
      <c r="AO78" s="17" t="str">
        <f>IFERROR(VLOOKUP(シフト組み!AO108,役職一覧!$B:$D,2,FALSE),"")</f>
        <v/>
      </c>
      <c r="AP78" s="17" t="str">
        <f>IFERROR(VLOOKUP(シフト組み!AP108,役職一覧!$B:$D,2,FALSE),"")</f>
        <v/>
      </c>
      <c r="AQ78" s="17" t="str">
        <f>IFERROR(VLOOKUP(シフト組み!AQ108,役職一覧!$B:$D,2,FALSE),"")</f>
        <v/>
      </c>
      <c r="AR78" s="17" t="str">
        <f>IFERROR(VLOOKUP(シフト組み!AR108,役職一覧!$B:$D,2,FALSE),"")</f>
        <v/>
      </c>
      <c r="AS78" s="17" t="str">
        <f>IFERROR(VLOOKUP(シフト組み!AS108,役職一覧!$B:$D,2,FALSE),"")</f>
        <v/>
      </c>
      <c r="AT78" s="17" t="str">
        <f>IFERROR(VLOOKUP(シフト組み!AT108,役職一覧!$B:$D,2,FALSE),"")</f>
        <v/>
      </c>
      <c r="AU78" s="17" t="str">
        <f>IFERROR(VLOOKUP(シフト組み!AU108,役職一覧!$B:$D,2,FALSE),"")</f>
        <v/>
      </c>
      <c r="AV78" s="17" t="str">
        <f>IFERROR(VLOOKUP(シフト組み!AV108,役職一覧!$B:$D,2,FALSE),"")</f>
        <v/>
      </c>
      <c r="AW78" s="17" t="str">
        <f>IFERROR(VLOOKUP(シフト組み!AW108,役職一覧!$B:$D,2,FALSE),"")</f>
        <v/>
      </c>
      <c r="AX78" s="17" t="str">
        <f>IFERROR(VLOOKUP(シフト組み!AX108,役職一覧!$B:$D,2,FALSE),"")</f>
        <v/>
      </c>
      <c r="AY78" s="17" t="str">
        <f>IFERROR(VLOOKUP(シフト組み!AY108,役職一覧!$B:$D,2,FALSE),"")</f>
        <v/>
      </c>
      <c r="AZ78" s="17" t="str">
        <f>IFERROR(VLOOKUP(シフト組み!AZ108,役職一覧!$B:$D,2,FALSE),"")</f>
        <v/>
      </c>
      <c r="BA78" s="17" t="str">
        <f>IFERROR(VLOOKUP(シフト組み!BA108,役職一覧!$B:$D,2,FALSE),"")</f>
        <v/>
      </c>
    </row>
    <row r="79" spans="1:53">
      <c r="A79" s="2" t="str">
        <f>シフト組み!A109&amp;""</f>
        <v/>
      </c>
      <c r="B79" s="2" t="str">
        <f>シフト組み!B109&amp;""</f>
        <v/>
      </c>
      <c r="C79" s="2" t="str">
        <f>シフト組み!C109&amp;""</f>
        <v/>
      </c>
      <c r="D79" s="17" t="str">
        <f>IFERROR(VLOOKUP(シフト組み!D109,役職一覧!$B:$D,2,FALSE),"")</f>
        <v/>
      </c>
      <c r="E79" s="17" t="str">
        <f>IFERROR(VLOOKUP(シフト組み!E109,役職一覧!$B:$D,2,FALSE),"")</f>
        <v/>
      </c>
      <c r="F79" s="17" t="str">
        <f>IFERROR(VLOOKUP(シフト組み!F109,役職一覧!$B:$D,2,FALSE),"")</f>
        <v/>
      </c>
      <c r="G79" s="17" t="str">
        <f>IFERROR(VLOOKUP(シフト組み!G109,役職一覧!$B:$D,2,FALSE),"")</f>
        <v/>
      </c>
      <c r="H79" s="17" t="str">
        <f>IFERROR(VLOOKUP(シフト組み!H109,役職一覧!$B:$D,2,FALSE),"")</f>
        <v/>
      </c>
      <c r="I79" s="17" t="str">
        <f>IFERROR(VLOOKUP(シフト組み!I109,役職一覧!$B:$D,2,FALSE),"")</f>
        <v/>
      </c>
      <c r="J79" s="17" t="str">
        <f>IFERROR(VLOOKUP(シフト組み!J109,役職一覧!$B:$D,2,FALSE),"")</f>
        <v/>
      </c>
      <c r="K79" s="17" t="str">
        <f>IFERROR(VLOOKUP(シフト組み!K109,役職一覧!$B:$D,2,FALSE),"")</f>
        <v/>
      </c>
      <c r="L79" s="17" t="str">
        <f>IFERROR(VLOOKUP(シフト組み!L109,役職一覧!$B:$D,2,FALSE),"")</f>
        <v/>
      </c>
      <c r="M79" s="17" t="str">
        <f>IFERROR(VLOOKUP(シフト組み!M109,役職一覧!$B:$D,2,FALSE),"")</f>
        <v/>
      </c>
      <c r="N79" s="17" t="str">
        <f>IFERROR(VLOOKUP(シフト組み!N109,役職一覧!$B:$D,2,FALSE),"")</f>
        <v/>
      </c>
      <c r="O79" s="17" t="str">
        <f>IFERROR(VLOOKUP(シフト組み!O109,役職一覧!$B:$D,2,FALSE),"")</f>
        <v/>
      </c>
      <c r="P79" s="17" t="str">
        <f>IFERROR(VLOOKUP(シフト組み!P109,役職一覧!$B:$D,2,FALSE),"")</f>
        <v/>
      </c>
      <c r="Q79" s="17" t="str">
        <f>IFERROR(VLOOKUP(シフト組み!Q109,役職一覧!$B:$D,2,FALSE),"")</f>
        <v/>
      </c>
      <c r="R79" s="17" t="str">
        <f>IFERROR(VLOOKUP(シフト組み!R109,役職一覧!$B:$D,2,FALSE),"")</f>
        <v/>
      </c>
      <c r="S79" s="17" t="str">
        <f>IFERROR(VLOOKUP(シフト組み!S109,役職一覧!$B:$D,2,FALSE),"")</f>
        <v/>
      </c>
      <c r="T79" s="17" t="str">
        <f>IFERROR(VLOOKUP(シフト組み!T109,役職一覧!$B:$D,2,FALSE),"")</f>
        <v/>
      </c>
      <c r="U79" s="17" t="str">
        <f>IFERROR(VLOOKUP(シフト組み!U109,役職一覧!$B:$D,2,FALSE),"")</f>
        <v/>
      </c>
      <c r="V79" s="17" t="str">
        <f>IFERROR(VLOOKUP(シフト組み!V109,役職一覧!$B:$D,2,FALSE),"")</f>
        <v/>
      </c>
      <c r="W79" s="17" t="str">
        <f>IFERROR(VLOOKUP(シフト組み!W109,役職一覧!$B:$D,2,FALSE),"")</f>
        <v/>
      </c>
      <c r="X79" s="17" t="str">
        <f>IFERROR(VLOOKUP(シフト組み!X109,役職一覧!$B:$D,2,FALSE),"")</f>
        <v/>
      </c>
      <c r="Y79" s="17" t="str">
        <f>IFERROR(VLOOKUP(シフト組み!Y109,役職一覧!$B:$D,2,FALSE),"")</f>
        <v/>
      </c>
      <c r="Z79" s="17" t="str">
        <f>IFERROR(VLOOKUP(シフト組み!Z109,役職一覧!$B:$D,2,FALSE),"")</f>
        <v/>
      </c>
      <c r="AA79" s="17" t="str">
        <f>IFERROR(VLOOKUP(シフト組み!AA109,役職一覧!$B:$D,2,FALSE),"")</f>
        <v/>
      </c>
      <c r="AB79" s="17" t="str">
        <f>IFERROR(VLOOKUP(シフト組み!AB109,役職一覧!$B:$D,2,FALSE),"")</f>
        <v/>
      </c>
      <c r="AC79" s="17" t="str">
        <f>IFERROR(VLOOKUP(シフト組み!AC109,役職一覧!$B:$D,2,FALSE),"")</f>
        <v/>
      </c>
      <c r="AD79" s="17" t="str">
        <f>IFERROR(VLOOKUP(シフト組み!AD109,役職一覧!$B:$D,2,FALSE),"")</f>
        <v/>
      </c>
      <c r="AE79" s="17" t="str">
        <f>IFERROR(VLOOKUP(シフト組み!AE109,役職一覧!$B:$D,2,FALSE),"")</f>
        <v/>
      </c>
      <c r="AF79" s="17" t="str">
        <f>IFERROR(VLOOKUP(シフト組み!AF109,役職一覧!$B:$D,2,FALSE),"")</f>
        <v/>
      </c>
      <c r="AG79" s="17" t="str">
        <f>IFERROR(VLOOKUP(シフト組み!AG109,役職一覧!$B:$D,2,FALSE),"")</f>
        <v/>
      </c>
      <c r="AH79" s="17" t="str">
        <f>IFERROR(VLOOKUP(シフト組み!AH109,役職一覧!$B:$D,2,FALSE),"")</f>
        <v/>
      </c>
      <c r="AI79" s="17" t="str">
        <f>IFERROR(VLOOKUP(シフト組み!AI109,役職一覧!$B:$D,2,FALSE),"")</f>
        <v/>
      </c>
      <c r="AJ79" s="17" t="str">
        <f>IFERROR(VLOOKUP(シフト組み!AJ109,役職一覧!$B:$D,2,FALSE),"")</f>
        <v/>
      </c>
      <c r="AK79" s="17" t="str">
        <f>IFERROR(VLOOKUP(シフト組み!AK109,役職一覧!$B:$D,2,FALSE),"")</f>
        <v/>
      </c>
      <c r="AL79" s="17" t="str">
        <f>IFERROR(VLOOKUP(シフト組み!AL109,役職一覧!$B:$D,2,FALSE),"")</f>
        <v/>
      </c>
      <c r="AM79" s="17" t="str">
        <f>IFERROR(VLOOKUP(シフト組み!AM109,役職一覧!$B:$D,2,FALSE),"")</f>
        <v/>
      </c>
      <c r="AN79" s="17" t="str">
        <f>IFERROR(VLOOKUP(シフト組み!AN109,役職一覧!$B:$D,2,FALSE),"")</f>
        <v/>
      </c>
      <c r="AO79" s="17" t="str">
        <f>IFERROR(VLOOKUP(シフト組み!AO109,役職一覧!$B:$D,2,FALSE),"")</f>
        <v/>
      </c>
      <c r="AP79" s="17" t="str">
        <f>IFERROR(VLOOKUP(シフト組み!AP109,役職一覧!$B:$D,2,FALSE),"")</f>
        <v/>
      </c>
      <c r="AQ79" s="17" t="str">
        <f>IFERROR(VLOOKUP(シフト組み!AQ109,役職一覧!$B:$D,2,FALSE),"")</f>
        <v/>
      </c>
      <c r="AR79" s="17" t="str">
        <f>IFERROR(VLOOKUP(シフト組み!AR109,役職一覧!$B:$D,2,FALSE),"")</f>
        <v/>
      </c>
      <c r="AS79" s="17" t="str">
        <f>IFERROR(VLOOKUP(シフト組み!AS109,役職一覧!$B:$D,2,FALSE),"")</f>
        <v/>
      </c>
      <c r="AT79" s="17" t="str">
        <f>IFERROR(VLOOKUP(シフト組み!AT109,役職一覧!$B:$D,2,FALSE),"")</f>
        <v/>
      </c>
      <c r="AU79" s="17" t="str">
        <f>IFERROR(VLOOKUP(シフト組み!AU109,役職一覧!$B:$D,2,FALSE),"")</f>
        <v/>
      </c>
      <c r="AV79" s="17" t="str">
        <f>IFERROR(VLOOKUP(シフト組み!AV109,役職一覧!$B:$D,2,FALSE),"")</f>
        <v/>
      </c>
      <c r="AW79" s="17" t="str">
        <f>IFERROR(VLOOKUP(シフト組み!AW109,役職一覧!$B:$D,2,FALSE),"")</f>
        <v/>
      </c>
      <c r="AX79" s="17" t="str">
        <f>IFERROR(VLOOKUP(シフト組み!AX109,役職一覧!$B:$D,2,FALSE),"")</f>
        <v/>
      </c>
      <c r="AY79" s="17" t="str">
        <f>IFERROR(VLOOKUP(シフト組み!AY109,役職一覧!$B:$D,2,FALSE),"")</f>
        <v/>
      </c>
      <c r="AZ79" s="17" t="str">
        <f>IFERROR(VLOOKUP(シフト組み!AZ109,役職一覧!$B:$D,2,FALSE),"")</f>
        <v/>
      </c>
      <c r="BA79" s="17" t="str">
        <f>IFERROR(VLOOKUP(シフト組み!BA109,役職一覧!$B:$D,2,FALSE),"")</f>
        <v/>
      </c>
    </row>
    <row r="80" spans="1:53">
      <c r="A80" s="2" t="str">
        <f>シフト組み!A110&amp;""</f>
        <v/>
      </c>
      <c r="B80" s="2" t="str">
        <f>シフト組み!B110&amp;""</f>
        <v/>
      </c>
      <c r="C80" s="2" t="str">
        <f>シフト組み!C110&amp;""</f>
        <v/>
      </c>
      <c r="D80" s="17" t="str">
        <f>IFERROR(VLOOKUP(シフト組み!D110,役職一覧!$B:$D,2,FALSE),"")</f>
        <v/>
      </c>
      <c r="E80" s="17" t="str">
        <f>IFERROR(VLOOKUP(シフト組み!E110,役職一覧!$B:$D,2,FALSE),"")</f>
        <v/>
      </c>
      <c r="F80" s="17" t="str">
        <f>IFERROR(VLOOKUP(シフト組み!F110,役職一覧!$B:$D,2,FALSE),"")</f>
        <v/>
      </c>
      <c r="G80" s="17" t="str">
        <f>IFERROR(VLOOKUP(シフト組み!G110,役職一覧!$B:$D,2,FALSE),"")</f>
        <v/>
      </c>
      <c r="H80" s="17" t="str">
        <f>IFERROR(VLOOKUP(シフト組み!H110,役職一覧!$B:$D,2,FALSE),"")</f>
        <v/>
      </c>
      <c r="I80" s="17" t="str">
        <f>IFERROR(VLOOKUP(シフト組み!I110,役職一覧!$B:$D,2,FALSE),"")</f>
        <v/>
      </c>
      <c r="J80" s="17" t="str">
        <f>IFERROR(VLOOKUP(シフト組み!J110,役職一覧!$B:$D,2,FALSE),"")</f>
        <v/>
      </c>
      <c r="K80" s="17" t="str">
        <f>IFERROR(VLOOKUP(シフト組み!K110,役職一覧!$B:$D,2,FALSE),"")</f>
        <v/>
      </c>
      <c r="L80" s="17" t="str">
        <f>IFERROR(VLOOKUP(シフト組み!L110,役職一覧!$B:$D,2,FALSE),"")</f>
        <v/>
      </c>
      <c r="M80" s="17" t="str">
        <f>IFERROR(VLOOKUP(シフト組み!M110,役職一覧!$B:$D,2,FALSE),"")</f>
        <v/>
      </c>
      <c r="N80" s="17" t="str">
        <f>IFERROR(VLOOKUP(シフト組み!N110,役職一覧!$B:$D,2,FALSE),"")</f>
        <v/>
      </c>
      <c r="O80" s="17" t="str">
        <f>IFERROR(VLOOKUP(シフト組み!O110,役職一覧!$B:$D,2,FALSE),"")</f>
        <v/>
      </c>
      <c r="P80" s="17" t="str">
        <f>IFERROR(VLOOKUP(シフト組み!P110,役職一覧!$B:$D,2,FALSE),"")</f>
        <v/>
      </c>
      <c r="Q80" s="17" t="str">
        <f>IFERROR(VLOOKUP(シフト組み!Q110,役職一覧!$B:$D,2,FALSE),"")</f>
        <v/>
      </c>
      <c r="R80" s="17" t="str">
        <f>IFERROR(VLOOKUP(シフト組み!R110,役職一覧!$B:$D,2,FALSE),"")</f>
        <v/>
      </c>
      <c r="S80" s="17" t="str">
        <f>IFERROR(VLOOKUP(シフト組み!S110,役職一覧!$B:$D,2,FALSE),"")</f>
        <v/>
      </c>
      <c r="T80" s="17" t="str">
        <f>IFERROR(VLOOKUP(シフト組み!T110,役職一覧!$B:$D,2,FALSE),"")</f>
        <v/>
      </c>
      <c r="U80" s="17" t="str">
        <f>IFERROR(VLOOKUP(シフト組み!U110,役職一覧!$B:$D,2,FALSE),"")</f>
        <v/>
      </c>
      <c r="V80" s="17" t="str">
        <f>IFERROR(VLOOKUP(シフト組み!V110,役職一覧!$B:$D,2,FALSE),"")</f>
        <v/>
      </c>
      <c r="W80" s="17" t="str">
        <f>IFERROR(VLOOKUP(シフト組み!W110,役職一覧!$B:$D,2,FALSE),"")</f>
        <v/>
      </c>
      <c r="X80" s="17" t="str">
        <f>IFERROR(VLOOKUP(シフト組み!X110,役職一覧!$B:$D,2,FALSE),"")</f>
        <v/>
      </c>
      <c r="Y80" s="17" t="str">
        <f>IFERROR(VLOOKUP(シフト組み!Y110,役職一覧!$B:$D,2,FALSE),"")</f>
        <v/>
      </c>
      <c r="Z80" s="17" t="str">
        <f>IFERROR(VLOOKUP(シフト組み!Z110,役職一覧!$B:$D,2,FALSE),"")</f>
        <v/>
      </c>
      <c r="AA80" s="17" t="str">
        <f>IFERROR(VLOOKUP(シフト組み!AA110,役職一覧!$B:$D,2,FALSE),"")</f>
        <v/>
      </c>
      <c r="AB80" s="17" t="str">
        <f>IFERROR(VLOOKUP(シフト組み!AB110,役職一覧!$B:$D,2,FALSE),"")</f>
        <v/>
      </c>
      <c r="AC80" s="17" t="str">
        <f>IFERROR(VLOOKUP(シフト組み!AC110,役職一覧!$B:$D,2,FALSE),"")</f>
        <v/>
      </c>
      <c r="AD80" s="17" t="str">
        <f>IFERROR(VLOOKUP(シフト組み!AD110,役職一覧!$B:$D,2,FALSE),"")</f>
        <v/>
      </c>
      <c r="AE80" s="17" t="str">
        <f>IFERROR(VLOOKUP(シフト組み!AE110,役職一覧!$B:$D,2,FALSE),"")</f>
        <v/>
      </c>
      <c r="AF80" s="17" t="str">
        <f>IFERROR(VLOOKUP(シフト組み!AF110,役職一覧!$B:$D,2,FALSE),"")</f>
        <v/>
      </c>
      <c r="AG80" s="17" t="str">
        <f>IFERROR(VLOOKUP(シフト組み!AG110,役職一覧!$B:$D,2,FALSE),"")</f>
        <v/>
      </c>
      <c r="AH80" s="17" t="str">
        <f>IFERROR(VLOOKUP(シフト組み!AH110,役職一覧!$B:$D,2,FALSE),"")</f>
        <v/>
      </c>
      <c r="AI80" s="17" t="str">
        <f>IFERROR(VLOOKUP(シフト組み!AI110,役職一覧!$B:$D,2,FALSE),"")</f>
        <v/>
      </c>
      <c r="AJ80" s="17" t="str">
        <f>IFERROR(VLOOKUP(シフト組み!AJ110,役職一覧!$B:$D,2,FALSE),"")</f>
        <v/>
      </c>
      <c r="AK80" s="17" t="str">
        <f>IFERROR(VLOOKUP(シフト組み!AK110,役職一覧!$B:$D,2,FALSE),"")</f>
        <v/>
      </c>
      <c r="AL80" s="17" t="str">
        <f>IFERROR(VLOOKUP(シフト組み!AL110,役職一覧!$B:$D,2,FALSE),"")</f>
        <v/>
      </c>
      <c r="AM80" s="17" t="str">
        <f>IFERROR(VLOOKUP(シフト組み!AM110,役職一覧!$B:$D,2,FALSE),"")</f>
        <v/>
      </c>
      <c r="AN80" s="17" t="str">
        <f>IFERROR(VLOOKUP(シフト組み!AN110,役職一覧!$B:$D,2,FALSE),"")</f>
        <v/>
      </c>
      <c r="AO80" s="17" t="str">
        <f>IFERROR(VLOOKUP(シフト組み!AO110,役職一覧!$B:$D,2,FALSE),"")</f>
        <v/>
      </c>
      <c r="AP80" s="17" t="str">
        <f>IFERROR(VLOOKUP(シフト組み!AP110,役職一覧!$B:$D,2,FALSE),"")</f>
        <v/>
      </c>
      <c r="AQ80" s="17" t="str">
        <f>IFERROR(VLOOKUP(シフト組み!AQ110,役職一覧!$B:$D,2,FALSE),"")</f>
        <v/>
      </c>
      <c r="AR80" s="17" t="str">
        <f>IFERROR(VLOOKUP(シフト組み!AR110,役職一覧!$B:$D,2,FALSE),"")</f>
        <v/>
      </c>
      <c r="AS80" s="17" t="str">
        <f>IFERROR(VLOOKUP(シフト組み!AS110,役職一覧!$B:$D,2,FALSE),"")</f>
        <v/>
      </c>
      <c r="AT80" s="17" t="str">
        <f>IFERROR(VLOOKUP(シフト組み!AT110,役職一覧!$B:$D,2,FALSE),"")</f>
        <v/>
      </c>
      <c r="AU80" s="17" t="str">
        <f>IFERROR(VLOOKUP(シフト組み!AU110,役職一覧!$B:$D,2,FALSE),"")</f>
        <v/>
      </c>
      <c r="AV80" s="17" t="str">
        <f>IFERROR(VLOOKUP(シフト組み!AV110,役職一覧!$B:$D,2,FALSE),"")</f>
        <v/>
      </c>
      <c r="AW80" s="17" t="str">
        <f>IFERROR(VLOOKUP(シフト組み!AW110,役職一覧!$B:$D,2,FALSE),"")</f>
        <v/>
      </c>
      <c r="AX80" s="17" t="str">
        <f>IFERROR(VLOOKUP(シフト組み!AX110,役職一覧!$B:$D,2,FALSE),"")</f>
        <v/>
      </c>
      <c r="AY80" s="17" t="str">
        <f>IFERROR(VLOOKUP(シフト組み!AY110,役職一覧!$B:$D,2,FALSE),"")</f>
        <v/>
      </c>
      <c r="AZ80" s="17" t="str">
        <f>IFERROR(VLOOKUP(シフト組み!AZ110,役職一覧!$B:$D,2,FALSE),"")</f>
        <v/>
      </c>
      <c r="BA80" s="17" t="str">
        <f>IFERROR(VLOOKUP(シフト組み!BA110,役職一覧!$B:$D,2,FALSE),"")</f>
        <v/>
      </c>
    </row>
    <row r="81" spans="1:53">
      <c r="A81" s="2" t="str">
        <f>シフト組み!A111&amp;""</f>
        <v/>
      </c>
      <c r="B81" s="2" t="str">
        <f>シフト組み!B111&amp;""</f>
        <v/>
      </c>
      <c r="C81" s="2" t="str">
        <f>シフト組み!C111&amp;""</f>
        <v/>
      </c>
      <c r="D81" s="17" t="str">
        <f>IFERROR(VLOOKUP(シフト組み!D111,役職一覧!$B:$D,2,FALSE),"")</f>
        <v/>
      </c>
      <c r="E81" s="17" t="str">
        <f>IFERROR(VLOOKUP(シフト組み!E111,役職一覧!$B:$D,2,FALSE),"")</f>
        <v/>
      </c>
      <c r="F81" s="17" t="str">
        <f>IFERROR(VLOOKUP(シフト組み!F111,役職一覧!$B:$D,2,FALSE),"")</f>
        <v/>
      </c>
      <c r="G81" s="17" t="str">
        <f>IFERROR(VLOOKUP(シフト組み!G111,役職一覧!$B:$D,2,FALSE),"")</f>
        <v/>
      </c>
      <c r="H81" s="17" t="str">
        <f>IFERROR(VLOOKUP(シフト組み!H111,役職一覧!$B:$D,2,FALSE),"")</f>
        <v/>
      </c>
      <c r="I81" s="17" t="str">
        <f>IFERROR(VLOOKUP(シフト組み!I111,役職一覧!$B:$D,2,FALSE),"")</f>
        <v/>
      </c>
      <c r="J81" s="17" t="str">
        <f>IFERROR(VLOOKUP(シフト組み!J111,役職一覧!$B:$D,2,FALSE),"")</f>
        <v/>
      </c>
      <c r="K81" s="17" t="str">
        <f>IFERROR(VLOOKUP(シフト組み!K111,役職一覧!$B:$D,2,FALSE),"")</f>
        <v/>
      </c>
      <c r="L81" s="17" t="str">
        <f>IFERROR(VLOOKUP(シフト組み!L111,役職一覧!$B:$D,2,FALSE),"")</f>
        <v/>
      </c>
      <c r="M81" s="17" t="str">
        <f>IFERROR(VLOOKUP(シフト組み!M111,役職一覧!$B:$D,2,FALSE),"")</f>
        <v/>
      </c>
      <c r="N81" s="17" t="str">
        <f>IFERROR(VLOOKUP(シフト組み!N111,役職一覧!$B:$D,2,FALSE),"")</f>
        <v/>
      </c>
      <c r="O81" s="17" t="str">
        <f>IFERROR(VLOOKUP(シフト組み!O111,役職一覧!$B:$D,2,FALSE),"")</f>
        <v/>
      </c>
      <c r="P81" s="17" t="str">
        <f>IFERROR(VLOOKUP(シフト組み!P111,役職一覧!$B:$D,2,FALSE),"")</f>
        <v/>
      </c>
      <c r="Q81" s="17" t="str">
        <f>IFERROR(VLOOKUP(シフト組み!Q111,役職一覧!$B:$D,2,FALSE),"")</f>
        <v/>
      </c>
      <c r="R81" s="17" t="str">
        <f>IFERROR(VLOOKUP(シフト組み!R111,役職一覧!$B:$D,2,FALSE),"")</f>
        <v/>
      </c>
      <c r="S81" s="17" t="str">
        <f>IFERROR(VLOOKUP(シフト組み!S111,役職一覧!$B:$D,2,FALSE),"")</f>
        <v/>
      </c>
      <c r="T81" s="17" t="str">
        <f>IFERROR(VLOOKUP(シフト組み!T111,役職一覧!$B:$D,2,FALSE),"")</f>
        <v/>
      </c>
      <c r="U81" s="17" t="str">
        <f>IFERROR(VLOOKUP(シフト組み!U111,役職一覧!$B:$D,2,FALSE),"")</f>
        <v/>
      </c>
      <c r="V81" s="17" t="str">
        <f>IFERROR(VLOOKUP(シフト組み!V111,役職一覧!$B:$D,2,FALSE),"")</f>
        <v/>
      </c>
      <c r="W81" s="17" t="str">
        <f>IFERROR(VLOOKUP(シフト組み!W111,役職一覧!$B:$D,2,FALSE),"")</f>
        <v/>
      </c>
      <c r="X81" s="17" t="str">
        <f>IFERROR(VLOOKUP(シフト組み!X111,役職一覧!$B:$D,2,FALSE),"")</f>
        <v/>
      </c>
      <c r="Y81" s="17" t="str">
        <f>IFERROR(VLOOKUP(シフト組み!Y111,役職一覧!$B:$D,2,FALSE),"")</f>
        <v/>
      </c>
      <c r="Z81" s="17" t="str">
        <f>IFERROR(VLOOKUP(シフト組み!Z111,役職一覧!$B:$D,2,FALSE),"")</f>
        <v/>
      </c>
      <c r="AA81" s="17" t="str">
        <f>IFERROR(VLOOKUP(シフト組み!AA111,役職一覧!$B:$D,2,FALSE),"")</f>
        <v/>
      </c>
      <c r="AB81" s="17" t="str">
        <f>IFERROR(VLOOKUP(シフト組み!AB111,役職一覧!$B:$D,2,FALSE),"")</f>
        <v/>
      </c>
      <c r="AC81" s="17" t="str">
        <f>IFERROR(VLOOKUP(シフト組み!AC111,役職一覧!$B:$D,2,FALSE),"")</f>
        <v/>
      </c>
      <c r="AD81" s="17" t="str">
        <f>IFERROR(VLOOKUP(シフト組み!AD111,役職一覧!$B:$D,2,FALSE),"")</f>
        <v/>
      </c>
      <c r="AE81" s="17" t="str">
        <f>IFERROR(VLOOKUP(シフト組み!AE111,役職一覧!$B:$D,2,FALSE),"")</f>
        <v/>
      </c>
      <c r="AF81" s="17" t="str">
        <f>IFERROR(VLOOKUP(シフト組み!AF111,役職一覧!$B:$D,2,FALSE),"")</f>
        <v/>
      </c>
      <c r="AG81" s="17" t="str">
        <f>IFERROR(VLOOKUP(シフト組み!AG111,役職一覧!$B:$D,2,FALSE),"")</f>
        <v/>
      </c>
      <c r="AH81" s="17" t="str">
        <f>IFERROR(VLOOKUP(シフト組み!AH111,役職一覧!$B:$D,2,FALSE),"")</f>
        <v/>
      </c>
      <c r="AI81" s="17" t="str">
        <f>IFERROR(VLOOKUP(シフト組み!AI111,役職一覧!$B:$D,2,FALSE),"")</f>
        <v/>
      </c>
      <c r="AJ81" s="17" t="str">
        <f>IFERROR(VLOOKUP(シフト組み!AJ111,役職一覧!$B:$D,2,FALSE),"")</f>
        <v/>
      </c>
      <c r="AK81" s="17" t="str">
        <f>IFERROR(VLOOKUP(シフト組み!AK111,役職一覧!$B:$D,2,FALSE),"")</f>
        <v/>
      </c>
      <c r="AL81" s="17" t="str">
        <f>IFERROR(VLOOKUP(シフト組み!AL111,役職一覧!$B:$D,2,FALSE),"")</f>
        <v/>
      </c>
      <c r="AM81" s="17" t="str">
        <f>IFERROR(VLOOKUP(シフト組み!AM111,役職一覧!$B:$D,2,FALSE),"")</f>
        <v/>
      </c>
      <c r="AN81" s="17" t="str">
        <f>IFERROR(VLOOKUP(シフト組み!AN111,役職一覧!$B:$D,2,FALSE),"")</f>
        <v/>
      </c>
      <c r="AO81" s="17" t="str">
        <f>IFERROR(VLOOKUP(シフト組み!AO111,役職一覧!$B:$D,2,FALSE),"")</f>
        <v/>
      </c>
      <c r="AP81" s="17" t="str">
        <f>IFERROR(VLOOKUP(シフト組み!AP111,役職一覧!$B:$D,2,FALSE),"")</f>
        <v/>
      </c>
      <c r="AQ81" s="17" t="str">
        <f>IFERROR(VLOOKUP(シフト組み!AQ111,役職一覧!$B:$D,2,FALSE),"")</f>
        <v/>
      </c>
      <c r="AR81" s="17" t="str">
        <f>IFERROR(VLOOKUP(シフト組み!AR111,役職一覧!$B:$D,2,FALSE),"")</f>
        <v/>
      </c>
      <c r="AS81" s="17" t="str">
        <f>IFERROR(VLOOKUP(シフト組み!AS111,役職一覧!$B:$D,2,FALSE),"")</f>
        <v/>
      </c>
      <c r="AT81" s="17" t="str">
        <f>IFERROR(VLOOKUP(シフト組み!AT111,役職一覧!$B:$D,2,FALSE),"")</f>
        <v/>
      </c>
      <c r="AU81" s="17" t="str">
        <f>IFERROR(VLOOKUP(シフト組み!AU111,役職一覧!$B:$D,2,FALSE),"")</f>
        <v/>
      </c>
      <c r="AV81" s="17" t="str">
        <f>IFERROR(VLOOKUP(シフト組み!AV111,役職一覧!$B:$D,2,FALSE),"")</f>
        <v/>
      </c>
      <c r="AW81" s="17" t="str">
        <f>IFERROR(VLOOKUP(シフト組み!AW111,役職一覧!$B:$D,2,FALSE),"")</f>
        <v/>
      </c>
      <c r="AX81" s="17" t="str">
        <f>IFERROR(VLOOKUP(シフト組み!AX111,役職一覧!$B:$D,2,FALSE),"")</f>
        <v/>
      </c>
      <c r="AY81" s="17" t="str">
        <f>IFERROR(VLOOKUP(シフト組み!AY111,役職一覧!$B:$D,2,FALSE),"")</f>
        <v/>
      </c>
      <c r="AZ81" s="17" t="str">
        <f>IFERROR(VLOOKUP(シフト組み!AZ111,役職一覧!$B:$D,2,FALSE),"")</f>
        <v/>
      </c>
      <c r="BA81" s="17" t="str">
        <f>IFERROR(VLOOKUP(シフト組み!BA111,役職一覧!$B:$D,2,FALSE),"")</f>
        <v/>
      </c>
    </row>
    <row r="82" spans="1:53">
      <c r="A82" s="2" t="str">
        <f>シフト組み!A112&amp;""</f>
        <v/>
      </c>
      <c r="B82" s="2" t="str">
        <f>シフト組み!B112&amp;""</f>
        <v/>
      </c>
      <c r="C82" s="2" t="str">
        <f>シフト組み!C112&amp;""</f>
        <v/>
      </c>
      <c r="D82" s="17" t="str">
        <f>IFERROR(VLOOKUP(シフト組み!D112,役職一覧!$B:$D,2,FALSE),"")</f>
        <v/>
      </c>
      <c r="E82" s="17" t="str">
        <f>IFERROR(VLOOKUP(シフト組み!E112,役職一覧!$B:$D,2,FALSE),"")</f>
        <v/>
      </c>
      <c r="F82" s="17" t="str">
        <f>IFERROR(VLOOKUP(シフト組み!F112,役職一覧!$B:$D,2,FALSE),"")</f>
        <v/>
      </c>
      <c r="G82" s="17" t="str">
        <f>IFERROR(VLOOKUP(シフト組み!G112,役職一覧!$B:$D,2,FALSE),"")</f>
        <v/>
      </c>
      <c r="H82" s="17" t="str">
        <f>IFERROR(VLOOKUP(シフト組み!H112,役職一覧!$B:$D,2,FALSE),"")</f>
        <v/>
      </c>
      <c r="I82" s="17" t="str">
        <f>IFERROR(VLOOKUP(シフト組み!I112,役職一覧!$B:$D,2,FALSE),"")</f>
        <v/>
      </c>
      <c r="J82" s="17" t="str">
        <f>IFERROR(VLOOKUP(シフト組み!J112,役職一覧!$B:$D,2,FALSE),"")</f>
        <v/>
      </c>
      <c r="K82" s="17" t="str">
        <f>IFERROR(VLOOKUP(シフト組み!K112,役職一覧!$B:$D,2,FALSE),"")</f>
        <v/>
      </c>
      <c r="L82" s="17" t="str">
        <f>IFERROR(VLOOKUP(シフト組み!L112,役職一覧!$B:$D,2,FALSE),"")</f>
        <v/>
      </c>
      <c r="M82" s="17" t="str">
        <f>IFERROR(VLOOKUP(シフト組み!M112,役職一覧!$B:$D,2,FALSE),"")</f>
        <v/>
      </c>
      <c r="N82" s="17" t="str">
        <f>IFERROR(VLOOKUP(シフト組み!N112,役職一覧!$B:$D,2,FALSE),"")</f>
        <v/>
      </c>
      <c r="O82" s="17" t="str">
        <f>IFERROR(VLOOKUP(シフト組み!O112,役職一覧!$B:$D,2,FALSE),"")</f>
        <v/>
      </c>
      <c r="P82" s="17" t="str">
        <f>IFERROR(VLOOKUP(シフト組み!P112,役職一覧!$B:$D,2,FALSE),"")</f>
        <v/>
      </c>
      <c r="Q82" s="17" t="str">
        <f>IFERROR(VLOOKUP(シフト組み!Q112,役職一覧!$B:$D,2,FALSE),"")</f>
        <v/>
      </c>
      <c r="R82" s="17" t="str">
        <f>IFERROR(VLOOKUP(シフト組み!R112,役職一覧!$B:$D,2,FALSE),"")</f>
        <v/>
      </c>
      <c r="S82" s="17" t="str">
        <f>IFERROR(VLOOKUP(シフト組み!S112,役職一覧!$B:$D,2,FALSE),"")</f>
        <v/>
      </c>
      <c r="T82" s="17" t="str">
        <f>IFERROR(VLOOKUP(シフト組み!T112,役職一覧!$B:$D,2,FALSE),"")</f>
        <v/>
      </c>
      <c r="U82" s="17" t="str">
        <f>IFERROR(VLOOKUP(シフト組み!U112,役職一覧!$B:$D,2,FALSE),"")</f>
        <v/>
      </c>
      <c r="V82" s="17" t="str">
        <f>IFERROR(VLOOKUP(シフト組み!V112,役職一覧!$B:$D,2,FALSE),"")</f>
        <v/>
      </c>
      <c r="W82" s="17" t="str">
        <f>IFERROR(VLOOKUP(シフト組み!W112,役職一覧!$B:$D,2,FALSE),"")</f>
        <v/>
      </c>
      <c r="X82" s="17" t="str">
        <f>IFERROR(VLOOKUP(シフト組み!X112,役職一覧!$B:$D,2,FALSE),"")</f>
        <v/>
      </c>
      <c r="Y82" s="17" t="str">
        <f>IFERROR(VLOOKUP(シフト組み!Y112,役職一覧!$B:$D,2,FALSE),"")</f>
        <v/>
      </c>
      <c r="Z82" s="17" t="str">
        <f>IFERROR(VLOOKUP(シフト組み!Z112,役職一覧!$B:$D,2,FALSE),"")</f>
        <v/>
      </c>
      <c r="AA82" s="17" t="str">
        <f>IFERROR(VLOOKUP(シフト組み!AA112,役職一覧!$B:$D,2,FALSE),"")</f>
        <v/>
      </c>
      <c r="AB82" s="17" t="str">
        <f>IFERROR(VLOOKUP(シフト組み!AB112,役職一覧!$B:$D,2,FALSE),"")</f>
        <v/>
      </c>
      <c r="AC82" s="17" t="str">
        <f>IFERROR(VLOOKUP(シフト組み!AC112,役職一覧!$B:$D,2,FALSE),"")</f>
        <v/>
      </c>
      <c r="AD82" s="17" t="str">
        <f>IFERROR(VLOOKUP(シフト組み!AD112,役職一覧!$B:$D,2,FALSE),"")</f>
        <v/>
      </c>
      <c r="AE82" s="17" t="str">
        <f>IFERROR(VLOOKUP(シフト組み!AE112,役職一覧!$B:$D,2,FALSE),"")</f>
        <v/>
      </c>
      <c r="AF82" s="17" t="str">
        <f>IFERROR(VLOOKUP(シフト組み!AF112,役職一覧!$B:$D,2,FALSE),"")</f>
        <v/>
      </c>
      <c r="AG82" s="17" t="str">
        <f>IFERROR(VLOOKUP(シフト組み!AG112,役職一覧!$B:$D,2,FALSE),"")</f>
        <v/>
      </c>
      <c r="AH82" s="17" t="str">
        <f>IFERROR(VLOOKUP(シフト組み!AH112,役職一覧!$B:$D,2,FALSE),"")</f>
        <v/>
      </c>
      <c r="AI82" s="17" t="str">
        <f>IFERROR(VLOOKUP(シフト組み!AI112,役職一覧!$B:$D,2,FALSE),"")</f>
        <v/>
      </c>
      <c r="AJ82" s="17" t="str">
        <f>IFERROR(VLOOKUP(シフト組み!AJ112,役職一覧!$B:$D,2,FALSE),"")</f>
        <v/>
      </c>
      <c r="AK82" s="17" t="str">
        <f>IFERROR(VLOOKUP(シフト組み!AK112,役職一覧!$B:$D,2,FALSE),"")</f>
        <v/>
      </c>
      <c r="AL82" s="17" t="str">
        <f>IFERROR(VLOOKUP(シフト組み!AL112,役職一覧!$B:$D,2,FALSE),"")</f>
        <v/>
      </c>
      <c r="AM82" s="17" t="str">
        <f>IFERROR(VLOOKUP(シフト組み!AM112,役職一覧!$B:$D,2,FALSE),"")</f>
        <v/>
      </c>
      <c r="AN82" s="17" t="str">
        <f>IFERROR(VLOOKUP(シフト組み!AN112,役職一覧!$B:$D,2,FALSE),"")</f>
        <v/>
      </c>
      <c r="AO82" s="17" t="str">
        <f>IFERROR(VLOOKUP(シフト組み!AO112,役職一覧!$B:$D,2,FALSE),"")</f>
        <v/>
      </c>
      <c r="AP82" s="17" t="str">
        <f>IFERROR(VLOOKUP(シフト組み!AP112,役職一覧!$B:$D,2,FALSE),"")</f>
        <v/>
      </c>
      <c r="AQ82" s="17" t="str">
        <f>IFERROR(VLOOKUP(シフト組み!AQ112,役職一覧!$B:$D,2,FALSE),"")</f>
        <v/>
      </c>
      <c r="AR82" s="17" t="str">
        <f>IFERROR(VLOOKUP(シフト組み!AR112,役職一覧!$B:$D,2,FALSE),"")</f>
        <v/>
      </c>
      <c r="AS82" s="17" t="str">
        <f>IFERROR(VLOOKUP(シフト組み!AS112,役職一覧!$B:$D,2,FALSE),"")</f>
        <v/>
      </c>
      <c r="AT82" s="17" t="str">
        <f>IFERROR(VLOOKUP(シフト組み!AT112,役職一覧!$B:$D,2,FALSE),"")</f>
        <v/>
      </c>
      <c r="AU82" s="17" t="str">
        <f>IFERROR(VLOOKUP(シフト組み!AU112,役職一覧!$B:$D,2,FALSE),"")</f>
        <v/>
      </c>
      <c r="AV82" s="17" t="str">
        <f>IFERROR(VLOOKUP(シフト組み!AV112,役職一覧!$B:$D,2,FALSE),"")</f>
        <v/>
      </c>
      <c r="AW82" s="17" t="str">
        <f>IFERROR(VLOOKUP(シフト組み!AW112,役職一覧!$B:$D,2,FALSE),"")</f>
        <v/>
      </c>
      <c r="AX82" s="17" t="str">
        <f>IFERROR(VLOOKUP(シフト組み!AX112,役職一覧!$B:$D,2,FALSE),"")</f>
        <v/>
      </c>
      <c r="AY82" s="17" t="str">
        <f>IFERROR(VLOOKUP(シフト組み!AY112,役職一覧!$B:$D,2,FALSE),"")</f>
        <v/>
      </c>
      <c r="AZ82" s="17" t="str">
        <f>IFERROR(VLOOKUP(シフト組み!AZ112,役職一覧!$B:$D,2,FALSE),"")</f>
        <v/>
      </c>
      <c r="BA82" s="17" t="str">
        <f>IFERROR(VLOOKUP(シフト組み!BA112,役職一覧!$B:$D,2,FALSE),"")</f>
        <v/>
      </c>
    </row>
    <row r="83" spans="1:53">
      <c r="A83" s="2" t="str">
        <f>シフト組み!A113&amp;""</f>
        <v/>
      </c>
      <c r="B83" s="2" t="str">
        <f>シフト組み!B113&amp;""</f>
        <v/>
      </c>
      <c r="C83" s="2" t="str">
        <f>シフト組み!C113&amp;""</f>
        <v/>
      </c>
      <c r="D83" s="17" t="str">
        <f>IFERROR(VLOOKUP(シフト組み!D113,役職一覧!$B:$D,2,FALSE),"")</f>
        <v/>
      </c>
      <c r="E83" s="17" t="str">
        <f>IFERROR(VLOOKUP(シフト組み!E113,役職一覧!$B:$D,2,FALSE),"")</f>
        <v/>
      </c>
      <c r="F83" s="17" t="str">
        <f>IFERROR(VLOOKUP(シフト組み!F113,役職一覧!$B:$D,2,FALSE),"")</f>
        <v/>
      </c>
      <c r="G83" s="17" t="str">
        <f>IFERROR(VLOOKUP(シフト組み!G113,役職一覧!$B:$D,2,FALSE),"")</f>
        <v/>
      </c>
      <c r="H83" s="17" t="str">
        <f>IFERROR(VLOOKUP(シフト組み!H113,役職一覧!$B:$D,2,FALSE),"")</f>
        <v/>
      </c>
      <c r="I83" s="17" t="str">
        <f>IFERROR(VLOOKUP(シフト組み!I113,役職一覧!$B:$D,2,FALSE),"")</f>
        <v/>
      </c>
      <c r="J83" s="17" t="str">
        <f>IFERROR(VLOOKUP(シフト組み!J113,役職一覧!$B:$D,2,FALSE),"")</f>
        <v/>
      </c>
      <c r="K83" s="17" t="str">
        <f>IFERROR(VLOOKUP(シフト組み!K113,役職一覧!$B:$D,2,FALSE),"")</f>
        <v/>
      </c>
      <c r="L83" s="17" t="str">
        <f>IFERROR(VLOOKUP(シフト組み!L113,役職一覧!$B:$D,2,FALSE),"")</f>
        <v/>
      </c>
      <c r="M83" s="17" t="str">
        <f>IFERROR(VLOOKUP(シフト組み!M113,役職一覧!$B:$D,2,FALSE),"")</f>
        <v/>
      </c>
      <c r="N83" s="17" t="str">
        <f>IFERROR(VLOOKUP(シフト組み!N113,役職一覧!$B:$D,2,FALSE),"")</f>
        <v/>
      </c>
      <c r="O83" s="17" t="str">
        <f>IFERROR(VLOOKUP(シフト組み!O113,役職一覧!$B:$D,2,FALSE),"")</f>
        <v/>
      </c>
      <c r="P83" s="17" t="str">
        <f>IFERROR(VLOOKUP(シフト組み!P113,役職一覧!$B:$D,2,FALSE),"")</f>
        <v/>
      </c>
      <c r="Q83" s="17" t="str">
        <f>IFERROR(VLOOKUP(シフト組み!Q113,役職一覧!$B:$D,2,FALSE),"")</f>
        <v/>
      </c>
      <c r="R83" s="17" t="str">
        <f>IFERROR(VLOOKUP(シフト組み!R113,役職一覧!$B:$D,2,FALSE),"")</f>
        <v/>
      </c>
      <c r="S83" s="17" t="str">
        <f>IFERROR(VLOOKUP(シフト組み!S113,役職一覧!$B:$D,2,FALSE),"")</f>
        <v/>
      </c>
      <c r="T83" s="17" t="str">
        <f>IFERROR(VLOOKUP(シフト組み!T113,役職一覧!$B:$D,2,FALSE),"")</f>
        <v/>
      </c>
      <c r="U83" s="17" t="str">
        <f>IFERROR(VLOOKUP(シフト組み!U113,役職一覧!$B:$D,2,FALSE),"")</f>
        <v/>
      </c>
      <c r="V83" s="17" t="str">
        <f>IFERROR(VLOOKUP(シフト組み!V113,役職一覧!$B:$D,2,FALSE),"")</f>
        <v/>
      </c>
      <c r="W83" s="17" t="str">
        <f>IFERROR(VLOOKUP(シフト組み!W113,役職一覧!$B:$D,2,FALSE),"")</f>
        <v/>
      </c>
      <c r="X83" s="17" t="str">
        <f>IFERROR(VLOOKUP(シフト組み!X113,役職一覧!$B:$D,2,FALSE),"")</f>
        <v/>
      </c>
      <c r="Y83" s="17" t="str">
        <f>IFERROR(VLOOKUP(シフト組み!Y113,役職一覧!$B:$D,2,FALSE),"")</f>
        <v/>
      </c>
      <c r="Z83" s="17" t="str">
        <f>IFERROR(VLOOKUP(シフト組み!Z113,役職一覧!$B:$D,2,FALSE),"")</f>
        <v/>
      </c>
      <c r="AA83" s="17" t="str">
        <f>IFERROR(VLOOKUP(シフト組み!AA113,役職一覧!$B:$D,2,FALSE),"")</f>
        <v/>
      </c>
      <c r="AB83" s="17" t="str">
        <f>IFERROR(VLOOKUP(シフト組み!AB113,役職一覧!$B:$D,2,FALSE),"")</f>
        <v/>
      </c>
      <c r="AC83" s="17" t="str">
        <f>IFERROR(VLOOKUP(シフト組み!AC113,役職一覧!$B:$D,2,FALSE),"")</f>
        <v/>
      </c>
      <c r="AD83" s="17" t="str">
        <f>IFERROR(VLOOKUP(シフト組み!AD113,役職一覧!$B:$D,2,FALSE),"")</f>
        <v/>
      </c>
      <c r="AE83" s="17" t="str">
        <f>IFERROR(VLOOKUP(シフト組み!AE113,役職一覧!$B:$D,2,FALSE),"")</f>
        <v/>
      </c>
      <c r="AF83" s="17" t="str">
        <f>IFERROR(VLOOKUP(シフト組み!AF113,役職一覧!$B:$D,2,FALSE),"")</f>
        <v/>
      </c>
      <c r="AG83" s="17" t="str">
        <f>IFERROR(VLOOKUP(シフト組み!AG113,役職一覧!$B:$D,2,FALSE),"")</f>
        <v/>
      </c>
      <c r="AH83" s="17" t="str">
        <f>IFERROR(VLOOKUP(シフト組み!AH113,役職一覧!$B:$D,2,FALSE),"")</f>
        <v/>
      </c>
      <c r="AI83" s="17" t="str">
        <f>IFERROR(VLOOKUP(シフト組み!AI113,役職一覧!$B:$D,2,FALSE),"")</f>
        <v/>
      </c>
      <c r="AJ83" s="17" t="str">
        <f>IFERROR(VLOOKUP(シフト組み!AJ113,役職一覧!$B:$D,2,FALSE),"")</f>
        <v/>
      </c>
      <c r="AK83" s="17" t="str">
        <f>IFERROR(VLOOKUP(シフト組み!AK113,役職一覧!$B:$D,2,FALSE),"")</f>
        <v/>
      </c>
      <c r="AL83" s="17" t="str">
        <f>IFERROR(VLOOKUP(シフト組み!AL113,役職一覧!$B:$D,2,FALSE),"")</f>
        <v/>
      </c>
      <c r="AM83" s="17" t="str">
        <f>IFERROR(VLOOKUP(シフト組み!AM113,役職一覧!$B:$D,2,FALSE),"")</f>
        <v/>
      </c>
      <c r="AN83" s="17" t="str">
        <f>IFERROR(VLOOKUP(シフト組み!AN113,役職一覧!$B:$D,2,FALSE),"")</f>
        <v/>
      </c>
      <c r="AO83" s="17" t="str">
        <f>IFERROR(VLOOKUP(シフト組み!AO113,役職一覧!$B:$D,2,FALSE),"")</f>
        <v/>
      </c>
      <c r="AP83" s="17" t="str">
        <f>IFERROR(VLOOKUP(シフト組み!AP113,役職一覧!$B:$D,2,FALSE),"")</f>
        <v/>
      </c>
      <c r="AQ83" s="17" t="str">
        <f>IFERROR(VLOOKUP(シフト組み!AQ113,役職一覧!$B:$D,2,FALSE),"")</f>
        <v/>
      </c>
      <c r="AR83" s="17" t="str">
        <f>IFERROR(VLOOKUP(シフト組み!AR113,役職一覧!$B:$D,2,FALSE),"")</f>
        <v/>
      </c>
      <c r="AS83" s="17" t="str">
        <f>IFERROR(VLOOKUP(シフト組み!AS113,役職一覧!$B:$D,2,FALSE),"")</f>
        <v/>
      </c>
      <c r="AT83" s="17" t="str">
        <f>IFERROR(VLOOKUP(シフト組み!AT113,役職一覧!$B:$D,2,FALSE),"")</f>
        <v/>
      </c>
      <c r="AU83" s="17" t="str">
        <f>IFERROR(VLOOKUP(シフト組み!AU113,役職一覧!$B:$D,2,FALSE),"")</f>
        <v/>
      </c>
      <c r="AV83" s="17" t="str">
        <f>IFERROR(VLOOKUP(シフト組み!AV113,役職一覧!$B:$D,2,FALSE),"")</f>
        <v/>
      </c>
      <c r="AW83" s="17" t="str">
        <f>IFERROR(VLOOKUP(シフト組み!AW113,役職一覧!$B:$D,2,FALSE),"")</f>
        <v/>
      </c>
      <c r="AX83" s="17" t="str">
        <f>IFERROR(VLOOKUP(シフト組み!AX113,役職一覧!$B:$D,2,FALSE),"")</f>
        <v/>
      </c>
      <c r="AY83" s="17" t="str">
        <f>IFERROR(VLOOKUP(シフト組み!AY113,役職一覧!$B:$D,2,FALSE),"")</f>
        <v/>
      </c>
      <c r="AZ83" s="17" t="str">
        <f>IFERROR(VLOOKUP(シフト組み!AZ113,役職一覧!$B:$D,2,FALSE),"")</f>
        <v/>
      </c>
      <c r="BA83" s="17" t="str">
        <f>IFERROR(VLOOKUP(シフト組み!BA113,役職一覧!$B:$D,2,FALSE),"")</f>
        <v/>
      </c>
    </row>
    <row r="84" spans="1:53">
      <c r="A84" s="2" t="str">
        <f>シフト組み!A114&amp;""</f>
        <v/>
      </c>
      <c r="B84" s="2" t="str">
        <f>シフト組み!B114&amp;""</f>
        <v/>
      </c>
      <c r="C84" s="2" t="str">
        <f>シフト組み!C114&amp;""</f>
        <v/>
      </c>
      <c r="D84" s="17" t="str">
        <f>IFERROR(VLOOKUP(シフト組み!D114,役職一覧!$B:$D,2,FALSE),"")</f>
        <v/>
      </c>
      <c r="E84" s="17" t="str">
        <f>IFERROR(VLOOKUP(シフト組み!E114,役職一覧!$B:$D,2,FALSE),"")</f>
        <v/>
      </c>
      <c r="F84" s="17" t="str">
        <f>IFERROR(VLOOKUP(シフト組み!F114,役職一覧!$B:$D,2,FALSE),"")</f>
        <v/>
      </c>
      <c r="G84" s="17" t="str">
        <f>IFERROR(VLOOKUP(シフト組み!G114,役職一覧!$B:$D,2,FALSE),"")</f>
        <v/>
      </c>
      <c r="H84" s="17" t="str">
        <f>IFERROR(VLOOKUP(シフト組み!H114,役職一覧!$B:$D,2,FALSE),"")</f>
        <v/>
      </c>
      <c r="I84" s="17" t="str">
        <f>IFERROR(VLOOKUP(シフト組み!I114,役職一覧!$B:$D,2,FALSE),"")</f>
        <v/>
      </c>
      <c r="J84" s="17" t="str">
        <f>IFERROR(VLOOKUP(シフト組み!J114,役職一覧!$B:$D,2,FALSE),"")</f>
        <v/>
      </c>
      <c r="K84" s="17" t="str">
        <f>IFERROR(VLOOKUP(シフト組み!K114,役職一覧!$B:$D,2,FALSE),"")</f>
        <v/>
      </c>
      <c r="L84" s="17" t="str">
        <f>IFERROR(VLOOKUP(シフト組み!L114,役職一覧!$B:$D,2,FALSE),"")</f>
        <v/>
      </c>
      <c r="M84" s="17" t="str">
        <f>IFERROR(VLOOKUP(シフト組み!M114,役職一覧!$B:$D,2,FALSE),"")</f>
        <v/>
      </c>
      <c r="N84" s="17" t="str">
        <f>IFERROR(VLOOKUP(シフト組み!N114,役職一覧!$B:$D,2,FALSE),"")</f>
        <v/>
      </c>
      <c r="O84" s="17" t="str">
        <f>IFERROR(VLOOKUP(シフト組み!O114,役職一覧!$B:$D,2,FALSE),"")</f>
        <v/>
      </c>
      <c r="P84" s="17" t="str">
        <f>IFERROR(VLOOKUP(シフト組み!P114,役職一覧!$B:$D,2,FALSE),"")</f>
        <v/>
      </c>
      <c r="Q84" s="17" t="str">
        <f>IFERROR(VLOOKUP(シフト組み!Q114,役職一覧!$B:$D,2,FALSE),"")</f>
        <v/>
      </c>
      <c r="R84" s="17" t="str">
        <f>IFERROR(VLOOKUP(シフト組み!R114,役職一覧!$B:$D,2,FALSE),"")</f>
        <v/>
      </c>
      <c r="S84" s="17" t="str">
        <f>IFERROR(VLOOKUP(シフト組み!S114,役職一覧!$B:$D,2,FALSE),"")</f>
        <v/>
      </c>
      <c r="T84" s="17" t="str">
        <f>IFERROR(VLOOKUP(シフト組み!T114,役職一覧!$B:$D,2,FALSE),"")</f>
        <v/>
      </c>
      <c r="U84" s="17" t="str">
        <f>IFERROR(VLOOKUP(シフト組み!U114,役職一覧!$B:$D,2,FALSE),"")</f>
        <v/>
      </c>
      <c r="V84" s="17" t="str">
        <f>IFERROR(VLOOKUP(シフト組み!V114,役職一覧!$B:$D,2,FALSE),"")</f>
        <v/>
      </c>
      <c r="W84" s="17" t="str">
        <f>IFERROR(VLOOKUP(シフト組み!W114,役職一覧!$B:$D,2,FALSE),"")</f>
        <v/>
      </c>
      <c r="X84" s="17" t="str">
        <f>IFERROR(VLOOKUP(シフト組み!X114,役職一覧!$B:$D,2,FALSE),"")</f>
        <v/>
      </c>
      <c r="Y84" s="17" t="str">
        <f>IFERROR(VLOOKUP(シフト組み!Y114,役職一覧!$B:$D,2,FALSE),"")</f>
        <v/>
      </c>
      <c r="Z84" s="17" t="str">
        <f>IFERROR(VLOOKUP(シフト組み!Z114,役職一覧!$B:$D,2,FALSE),"")</f>
        <v/>
      </c>
      <c r="AA84" s="17" t="str">
        <f>IFERROR(VLOOKUP(シフト組み!AA114,役職一覧!$B:$D,2,FALSE),"")</f>
        <v/>
      </c>
      <c r="AB84" s="17" t="str">
        <f>IFERROR(VLOOKUP(シフト組み!AB114,役職一覧!$B:$D,2,FALSE),"")</f>
        <v/>
      </c>
      <c r="AC84" s="17" t="str">
        <f>IFERROR(VLOOKUP(シフト組み!AC114,役職一覧!$B:$D,2,FALSE),"")</f>
        <v/>
      </c>
      <c r="AD84" s="17" t="str">
        <f>IFERROR(VLOOKUP(シフト組み!AD114,役職一覧!$B:$D,2,FALSE),"")</f>
        <v/>
      </c>
      <c r="AE84" s="17" t="str">
        <f>IFERROR(VLOOKUP(シフト組み!AE114,役職一覧!$B:$D,2,FALSE),"")</f>
        <v/>
      </c>
      <c r="AF84" s="17" t="str">
        <f>IFERROR(VLOOKUP(シフト組み!AF114,役職一覧!$B:$D,2,FALSE),"")</f>
        <v/>
      </c>
      <c r="AG84" s="17" t="str">
        <f>IFERROR(VLOOKUP(シフト組み!AG114,役職一覧!$B:$D,2,FALSE),"")</f>
        <v/>
      </c>
      <c r="AH84" s="17" t="str">
        <f>IFERROR(VLOOKUP(シフト組み!AH114,役職一覧!$B:$D,2,FALSE),"")</f>
        <v/>
      </c>
      <c r="AI84" s="17" t="str">
        <f>IFERROR(VLOOKUP(シフト組み!AI114,役職一覧!$B:$D,2,FALSE),"")</f>
        <v/>
      </c>
      <c r="AJ84" s="17" t="str">
        <f>IFERROR(VLOOKUP(シフト組み!AJ114,役職一覧!$B:$D,2,FALSE),"")</f>
        <v/>
      </c>
      <c r="AK84" s="17" t="str">
        <f>IFERROR(VLOOKUP(シフト組み!AK114,役職一覧!$B:$D,2,FALSE),"")</f>
        <v/>
      </c>
      <c r="AL84" s="17" t="str">
        <f>IFERROR(VLOOKUP(シフト組み!AL114,役職一覧!$B:$D,2,FALSE),"")</f>
        <v/>
      </c>
      <c r="AM84" s="17" t="str">
        <f>IFERROR(VLOOKUP(シフト組み!AM114,役職一覧!$B:$D,2,FALSE),"")</f>
        <v/>
      </c>
      <c r="AN84" s="17" t="str">
        <f>IFERROR(VLOOKUP(シフト組み!AN114,役職一覧!$B:$D,2,FALSE),"")</f>
        <v/>
      </c>
      <c r="AO84" s="17" t="str">
        <f>IFERROR(VLOOKUP(シフト組み!AO114,役職一覧!$B:$D,2,FALSE),"")</f>
        <v/>
      </c>
      <c r="AP84" s="17" t="str">
        <f>IFERROR(VLOOKUP(シフト組み!AP114,役職一覧!$B:$D,2,FALSE),"")</f>
        <v/>
      </c>
      <c r="AQ84" s="17" t="str">
        <f>IFERROR(VLOOKUP(シフト組み!AQ114,役職一覧!$B:$D,2,FALSE),"")</f>
        <v/>
      </c>
      <c r="AR84" s="17" t="str">
        <f>IFERROR(VLOOKUP(シフト組み!AR114,役職一覧!$B:$D,2,FALSE),"")</f>
        <v/>
      </c>
      <c r="AS84" s="17" t="str">
        <f>IFERROR(VLOOKUP(シフト組み!AS114,役職一覧!$B:$D,2,FALSE),"")</f>
        <v/>
      </c>
      <c r="AT84" s="17" t="str">
        <f>IFERROR(VLOOKUP(シフト組み!AT114,役職一覧!$B:$D,2,FALSE),"")</f>
        <v/>
      </c>
      <c r="AU84" s="17" t="str">
        <f>IFERROR(VLOOKUP(シフト組み!AU114,役職一覧!$B:$D,2,FALSE),"")</f>
        <v/>
      </c>
      <c r="AV84" s="17" t="str">
        <f>IFERROR(VLOOKUP(シフト組み!AV114,役職一覧!$B:$D,2,FALSE),"")</f>
        <v/>
      </c>
      <c r="AW84" s="17" t="str">
        <f>IFERROR(VLOOKUP(シフト組み!AW114,役職一覧!$B:$D,2,FALSE),"")</f>
        <v/>
      </c>
      <c r="AX84" s="17" t="str">
        <f>IFERROR(VLOOKUP(シフト組み!AX114,役職一覧!$B:$D,2,FALSE),"")</f>
        <v/>
      </c>
      <c r="AY84" s="17" t="str">
        <f>IFERROR(VLOOKUP(シフト組み!AY114,役職一覧!$B:$D,2,FALSE),"")</f>
        <v/>
      </c>
      <c r="AZ84" s="17" t="str">
        <f>IFERROR(VLOOKUP(シフト組み!AZ114,役職一覧!$B:$D,2,FALSE),"")</f>
        <v/>
      </c>
      <c r="BA84" s="17" t="str">
        <f>IFERROR(VLOOKUP(シフト組み!BA114,役職一覧!$B:$D,2,FALSE),"")</f>
        <v/>
      </c>
    </row>
    <row r="85" spans="1:53">
      <c r="A85" s="2" t="str">
        <f>シフト組み!A115&amp;""</f>
        <v/>
      </c>
      <c r="B85" s="2" t="str">
        <f>シフト組み!B115&amp;""</f>
        <v/>
      </c>
      <c r="C85" s="2" t="str">
        <f>シフト組み!C115&amp;""</f>
        <v/>
      </c>
      <c r="D85" s="17" t="str">
        <f>IFERROR(VLOOKUP(シフト組み!D115,役職一覧!$B:$D,2,FALSE),"")</f>
        <v/>
      </c>
      <c r="E85" s="17" t="str">
        <f>IFERROR(VLOOKUP(シフト組み!E115,役職一覧!$B:$D,2,FALSE),"")</f>
        <v/>
      </c>
      <c r="F85" s="17" t="str">
        <f>IFERROR(VLOOKUP(シフト組み!F115,役職一覧!$B:$D,2,FALSE),"")</f>
        <v/>
      </c>
      <c r="G85" s="17" t="str">
        <f>IFERROR(VLOOKUP(シフト組み!G115,役職一覧!$B:$D,2,FALSE),"")</f>
        <v/>
      </c>
      <c r="H85" s="17" t="str">
        <f>IFERROR(VLOOKUP(シフト組み!H115,役職一覧!$B:$D,2,FALSE),"")</f>
        <v/>
      </c>
      <c r="I85" s="17" t="str">
        <f>IFERROR(VLOOKUP(シフト組み!I115,役職一覧!$B:$D,2,FALSE),"")</f>
        <v/>
      </c>
      <c r="J85" s="17" t="str">
        <f>IFERROR(VLOOKUP(シフト組み!J115,役職一覧!$B:$D,2,FALSE),"")</f>
        <v/>
      </c>
      <c r="K85" s="17" t="str">
        <f>IFERROR(VLOOKUP(シフト組み!K115,役職一覧!$B:$D,2,FALSE),"")</f>
        <v/>
      </c>
      <c r="L85" s="17" t="str">
        <f>IFERROR(VLOOKUP(シフト組み!L115,役職一覧!$B:$D,2,FALSE),"")</f>
        <v/>
      </c>
      <c r="M85" s="17" t="str">
        <f>IFERROR(VLOOKUP(シフト組み!M115,役職一覧!$B:$D,2,FALSE),"")</f>
        <v/>
      </c>
      <c r="N85" s="17" t="str">
        <f>IFERROR(VLOOKUP(シフト組み!N115,役職一覧!$B:$D,2,FALSE),"")</f>
        <v/>
      </c>
      <c r="O85" s="17" t="str">
        <f>IFERROR(VLOOKUP(シフト組み!O115,役職一覧!$B:$D,2,FALSE),"")</f>
        <v/>
      </c>
      <c r="P85" s="17" t="str">
        <f>IFERROR(VLOOKUP(シフト組み!P115,役職一覧!$B:$D,2,FALSE),"")</f>
        <v/>
      </c>
      <c r="Q85" s="17" t="str">
        <f>IFERROR(VLOOKUP(シフト組み!Q115,役職一覧!$B:$D,2,FALSE),"")</f>
        <v/>
      </c>
      <c r="R85" s="17" t="str">
        <f>IFERROR(VLOOKUP(シフト組み!R115,役職一覧!$B:$D,2,FALSE),"")</f>
        <v/>
      </c>
      <c r="S85" s="17" t="str">
        <f>IFERROR(VLOOKUP(シフト組み!S115,役職一覧!$B:$D,2,FALSE),"")</f>
        <v/>
      </c>
      <c r="T85" s="17" t="str">
        <f>IFERROR(VLOOKUP(シフト組み!T115,役職一覧!$B:$D,2,FALSE),"")</f>
        <v/>
      </c>
      <c r="U85" s="17" t="str">
        <f>IFERROR(VLOOKUP(シフト組み!U115,役職一覧!$B:$D,2,FALSE),"")</f>
        <v/>
      </c>
      <c r="V85" s="17" t="str">
        <f>IFERROR(VLOOKUP(シフト組み!V115,役職一覧!$B:$D,2,FALSE),"")</f>
        <v/>
      </c>
      <c r="W85" s="17" t="str">
        <f>IFERROR(VLOOKUP(シフト組み!W115,役職一覧!$B:$D,2,FALSE),"")</f>
        <v/>
      </c>
      <c r="X85" s="17" t="str">
        <f>IFERROR(VLOOKUP(シフト組み!X115,役職一覧!$B:$D,2,FALSE),"")</f>
        <v/>
      </c>
      <c r="Y85" s="17" t="str">
        <f>IFERROR(VLOOKUP(シフト組み!Y115,役職一覧!$B:$D,2,FALSE),"")</f>
        <v/>
      </c>
      <c r="Z85" s="17" t="str">
        <f>IFERROR(VLOOKUP(シフト組み!Z115,役職一覧!$B:$D,2,FALSE),"")</f>
        <v/>
      </c>
      <c r="AA85" s="17" t="str">
        <f>IFERROR(VLOOKUP(シフト組み!AA115,役職一覧!$B:$D,2,FALSE),"")</f>
        <v/>
      </c>
      <c r="AB85" s="17" t="str">
        <f>IFERROR(VLOOKUP(シフト組み!AB115,役職一覧!$B:$D,2,FALSE),"")</f>
        <v/>
      </c>
      <c r="AC85" s="17" t="str">
        <f>IFERROR(VLOOKUP(シフト組み!AC115,役職一覧!$B:$D,2,FALSE),"")</f>
        <v/>
      </c>
      <c r="AD85" s="17" t="str">
        <f>IFERROR(VLOOKUP(シフト組み!AD115,役職一覧!$B:$D,2,FALSE),"")</f>
        <v/>
      </c>
      <c r="AE85" s="17" t="str">
        <f>IFERROR(VLOOKUP(シフト組み!AE115,役職一覧!$B:$D,2,FALSE),"")</f>
        <v/>
      </c>
      <c r="AF85" s="17" t="str">
        <f>IFERROR(VLOOKUP(シフト組み!AF115,役職一覧!$B:$D,2,FALSE),"")</f>
        <v/>
      </c>
      <c r="AG85" s="17" t="str">
        <f>IFERROR(VLOOKUP(シフト組み!AG115,役職一覧!$B:$D,2,FALSE),"")</f>
        <v/>
      </c>
      <c r="AH85" s="17" t="str">
        <f>IFERROR(VLOOKUP(シフト組み!AH115,役職一覧!$B:$D,2,FALSE),"")</f>
        <v/>
      </c>
      <c r="AI85" s="17" t="str">
        <f>IFERROR(VLOOKUP(シフト組み!AI115,役職一覧!$B:$D,2,FALSE),"")</f>
        <v/>
      </c>
      <c r="AJ85" s="17" t="str">
        <f>IFERROR(VLOOKUP(シフト組み!AJ115,役職一覧!$B:$D,2,FALSE),"")</f>
        <v/>
      </c>
      <c r="AK85" s="17" t="str">
        <f>IFERROR(VLOOKUP(シフト組み!AK115,役職一覧!$B:$D,2,FALSE),"")</f>
        <v/>
      </c>
      <c r="AL85" s="17" t="str">
        <f>IFERROR(VLOOKUP(シフト組み!AL115,役職一覧!$B:$D,2,FALSE),"")</f>
        <v/>
      </c>
      <c r="AM85" s="17" t="str">
        <f>IFERROR(VLOOKUP(シフト組み!AM115,役職一覧!$B:$D,2,FALSE),"")</f>
        <v/>
      </c>
      <c r="AN85" s="17" t="str">
        <f>IFERROR(VLOOKUP(シフト組み!AN115,役職一覧!$B:$D,2,FALSE),"")</f>
        <v/>
      </c>
      <c r="AO85" s="17" t="str">
        <f>IFERROR(VLOOKUP(シフト組み!AO115,役職一覧!$B:$D,2,FALSE),"")</f>
        <v/>
      </c>
      <c r="AP85" s="17" t="str">
        <f>IFERROR(VLOOKUP(シフト組み!AP115,役職一覧!$B:$D,2,FALSE),"")</f>
        <v/>
      </c>
      <c r="AQ85" s="17" t="str">
        <f>IFERROR(VLOOKUP(シフト組み!AQ115,役職一覧!$B:$D,2,FALSE),"")</f>
        <v/>
      </c>
      <c r="AR85" s="17" t="str">
        <f>IFERROR(VLOOKUP(シフト組み!AR115,役職一覧!$B:$D,2,FALSE),"")</f>
        <v/>
      </c>
      <c r="AS85" s="17" t="str">
        <f>IFERROR(VLOOKUP(シフト組み!AS115,役職一覧!$B:$D,2,FALSE),"")</f>
        <v/>
      </c>
      <c r="AT85" s="17" t="str">
        <f>IFERROR(VLOOKUP(シフト組み!AT115,役職一覧!$B:$D,2,FALSE),"")</f>
        <v/>
      </c>
      <c r="AU85" s="17" t="str">
        <f>IFERROR(VLOOKUP(シフト組み!AU115,役職一覧!$B:$D,2,FALSE),"")</f>
        <v/>
      </c>
      <c r="AV85" s="17" t="str">
        <f>IFERROR(VLOOKUP(シフト組み!AV115,役職一覧!$B:$D,2,FALSE),"")</f>
        <v/>
      </c>
      <c r="AW85" s="17" t="str">
        <f>IFERROR(VLOOKUP(シフト組み!AW115,役職一覧!$B:$D,2,FALSE),"")</f>
        <v/>
      </c>
      <c r="AX85" s="17" t="str">
        <f>IFERROR(VLOOKUP(シフト組み!AX115,役職一覧!$B:$D,2,FALSE),"")</f>
        <v/>
      </c>
      <c r="AY85" s="17" t="str">
        <f>IFERROR(VLOOKUP(シフト組み!AY115,役職一覧!$B:$D,2,FALSE),"")</f>
        <v/>
      </c>
      <c r="AZ85" s="17" t="str">
        <f>IFERROR(VLOOKUP(シフト組み!AZ115,役職一覧!$B:$D,2,FALSE),"")</f>
        <v/>
      </c>
      <c r="BA85" s="17" t="str">
        <f>IFERROR(VLOOKUP(シフト組み!BA115,役職一覧!$B:$D,2,FALSE),"")</f>
        <v/>
      </c>
    </row>
    <row r="86" spans="1:53">
      <c r="A86" s="2" t="str">
        <f>シフト組み!A116&amp;""</f>
        <v/>
      </c>
      <c r="B86" s="2" t="str">
        <f>シフト組み!B116&amp;""</f>
        <v/>
      </c>
      <c r="C86" s="2" t="str">
        <f>シフト組み!C116&amp;""</f>
        <v/>
      </c>
      <c r="D86" s="17" t="str">
        <f>IFERROR(VLOOKUP(シフト組み!D116,役職一覧!$B:$D,2,FALSE),"")</f>
        <v/>
      </c>
      <c r="E86" s="17" t="str">
        <f>IFERROR(VLOOKUP(シフト組み!E116,役職一覧!$B:$D,2,FALSE),"")</f>
        <v/>
      </c>
      <c r="F86" s="17" t="str">
        <f>IFERROR(VLOOKUP(シフト組み!F116,役職一覧!$B:$D,2,FALSE),"")</f>
        <v/>
      </c>
      <c r="G86" s="17" t="str">
        <f>IFERROR(VLOOKUP(シフト組み!G116,役職一覧!$B:$D,2,FALSE),"")</f>
        <v/>
      </c>
      <c r="H86" s="17" t="str">
        <f>IFERROR(VLOOKUP(シフト組み!H116,役職一覧!$B:$D,2,FALSE),"")</f>
        <v/>
      </c>
      <c r="I86" s="17" t="str">
        <f>IFERROR(VLOOKUP(シフト組み!I116,役職一覧!$B:$D,2,FALSE),"")</f>
        <v/>
      </c>
      <c r="J86" s="17" t="str">
        <f>IFERROR(VLOOKUP(シフト組み!J116,役職一覧!$B:$D,2,FALSE),"")</f>
        <v/>
      </c>
      <c r="K86" s="17" t="str">
        <f>IFERROR(VLOOKUP(シフト組み!K116,役職一覧!$B:$D,2,FALSE),"")</f>
        <v/>
      </c>
      <c r="L86" s="17" t="str">
        <f>IFERROR(VLOOKUP(シフト組み!L116,役職一覧!$B:$D,2,FALSE),"")</f>
        <v/>
      </c>
      <c r="M86" s="17" t="str">
        <f>IFERROR(VLOOKUP(シフト組み!M116,役職一覧!$B:$D,2,FALSE),"")</f>
        <v/>
      </c>
      <c r="N86" s="17" t="str">
        <f>IFERROR(VLOOKUP(シフト組み!N116,役職一覧!$B:$D,2,FALSE),"")</f>
        <v/>
      </c>
      <c r="O86" s="17" t="str">
        <f>IFERROR(VLOOKUP(シフト組み!O116,役職一覧!$B:$D,2,FALSE),"")</f>
        <v/>
      </c>
      <c r="P86" s="17" t="str">
        <f>IFERROR(VLOOKUP(シフト組み!P116,役職一覧!$B:$D,2,FALSE),"")</f>
        <v/>
      </c>
      <c r="Q86" s="17" t="str">
        <f>IFERROR(VLOOKUP(シフト組み!Q116,役職一覧!$B:$D,2,FALSE),"")</f>
        <v/>
      </c>
      <c r="R86" s="17" t="str">
        <f>IFERROR(VLOOKUP(シフト組み!R116,役職一覧!$B:$D,2,FALSE),"")</f>
        <v/>
      </c>
      <c r="S86" s="17" t="str">
        <f>IFERROR(VLOOKUP(シフト組み!S116,役職一覧!$B:$D,2,FALSE),"")</f>
        <v/>
      </c>
      <c r="T86" s="17" t="str">
        <f>IFERROR(VLOOKUP(シフト組み!T116,役職一覧!$B:$D,2,FALSE),"")</f>
        <v/>
      </c>
      <c r="U86" s="17" t="str">
        <f>IFERROR(VLOOKUP(シフト組み!U116,役職一覧!$B:$D,2,FALSE),"")</f>
        <v/>
      </c>
      <c r="V86" s="17" t="str">
        <f>IFERROR(VLOOKUP(シフト組み!V116,役職一覧!$B:$D,2,FALSE),"")</f>
        <v/>
      </c>
      <c r="W86" s="17" t="str">
        <f>IFERROR(VLOOKUP(シフト組み!W116,役職一覧!$B:$D,2,FALSE),"")</f>
        <v/>
      </c>
      <c r="X86" s="17" t="str">
        <f>IFERROR(VLOOKUP(シフト組み!X116,役職一覧!$B:$D,2,FALSE),"")</f>
        <v/>
      </c>
      <c r="Y86" s="17" t="str">
        <f>IFERROR(VLOOKUP(シフト組み!Y116,役職一覧!$B:$D,2,FALSE),"")</f>
        <v/>
      </c>
      <c r="Z86" s="17" t="str">
        <f>IFERROR(VLOOKUP(シフト組み!Z116,役職一覧!$B:$D,2,FALSE),"")</f>
        <v/>
      </c>
      <c r="AA86" s="17" t="str">
        <f>IFERROR(VLOOKUP(シフト組み!AA116,役職一覧!$B:$D,2,FALSE),"")</f>
        <v/>
      </c>
      <c r="AB86" s="17" t="str">
        <f>IFERROR(VLOOKUP(シフト組み!AB116,役職一覧!$B:$D,2,FALSE),"")</f>
        <v/>
      </c>
      <c r="AC86" s="17" t="str">
        <f>IFERROR(VLOOKUP(シフト組み!AC116,役職一覧!$B:$D,2,FALSE),"")</f>
        <v/>
      </c>
      <c r="AD86" s="17" t="str">
        <f>IFERROR(VLOOKUP(シフト組み!AD116,役職一覧!$B:$D,2,FALSE),"")</f>
        <v/>
      </c>
      <c r="AE86" s="17" t="str">
        <f>IFERROR(VLOOKUP(シフト組み!AE116,役職一覧!$B:$D,2,FALSE),"")</f>
        <v/>
      </c>
      <c r="AF86" s="17" t="str">
        <f>IFERROR(VLOOKUP(シフト組み!AF116,役職一覧!$B:$D,2,FALSE),"")</f>
        <v/>
      </c>
      <c r="AG86" s="17" t="str">
        <f>IFERROR(VLOOKUP(シフト組み!AG116,役職一覧!$B:$D,2,FALSE),"")</f>
        <v/>
      </c>
      <c r="AH86" s="17" t="str">
        <f>IFERROR(VLOOKUP(シフト組み!AH116,役職一覧!$B:$D,2,FALSE),"")</f>
        <v/>
      </c>
      <c r="AI86" s="17" t="str">
        <f>IFERROR(VLOOKUP(シフト組み!AI116,役職一覧!$B:$D,2,FALSE),"")</f>
        <v/>
      </c>
      <c r="AJ86" s="17" t="str">
        <f>IFERROR(VLOOKUP(シフト組み!AJ116,役職一覧!$B:$D,2,FALSE),"")</f>
        <v/>
      </c>
      <c r="AK86" s="17" t="str">
        <f>IFERROR(VLOOKUP(シフト組み!AK116,役職一覧!$B:$D,2,FALSE),"")</f>
        <v/>
      </c>
      <c r="AL86" s="17" t="str">
        <f>IFERROR(VLOOKUP(シフト組み!AL116,役職一覧!$B:$D,2,FALSE),"")</f>
        <v/>
      </c>
      <c r="AM86" s="17" t="str">
        <f>IFERROR(VLOOKUP(シフト組み!AM116,役職一覧!$B:$D,2,FALSE),"")</f>
        <v/>
      </c>
      <c r="AN86" s="17" t="str">
        <f>IFERROR(VLOOKUP(シフト組み!AN116,役職一覧!$B:$D,2,FALSE),"")</f>
        <v/>
      </c>
      <c r="AO86" s="17" t="str">
        <f>IFERROR(VLOOKUP(シフト組み!AO116,役職一覧!$B:$D,2,FALSE),"")</f>
        <v/>
      </c>
      <c r="AP86" s="17" t="str">
        <f>IFERROR(VLOOKUP(シフト組み!AP116,役職一覧!$B:$D,2,FALSE),"")</f>
        <v/>
      </c>
      <c r="AQ86" s="17" t="str">
        <f>IFERROR(VLOOKUP(シフト組み!AQ116,役職一覧!$B:$D,2,FALSE),"")</f>
        <v/>
      </c>
      <c r="AR86" s="17" t="str">
        <f>IFERROR(VLOOKUP(シフト組み!AR116,役職一覧!$B:$D,2,FALSE),"")</f>
        <v/>
      </c>
      <c r="AS86" s="17" t="str">
        <f>IFERROR(VLOOKUP(シフト組み!AS116,役職一覧!$B:$D,2,FALSE),"")</f>
        <v/>
      </c>
      <c r="AT86" s="17" t="str">
        <f>IFERROR(VLOOKUP(シフト組み!AT116,役職一覧!$B:$D,2,FALSE),"")</f>
        <v/>
      </c>
      <c r="AU86" s="17" t="str">
        <f>IFERROR(VLOOKUP(シフト組み!AU116,役職一覧!$B:$D,2,FALSE),"")</f>
        <v/>
      </c>
      <c r="AV86" s="17" t="str">
        <f>IFERROR(VLOOKUP(シフト組み!AV116,役職一覧!$B:$D,2,FALSE),"")</f>
        <v/>
      </c>
      <c r="AW86" s="17" t="str">
        <f>IFERROR(VLOOKUP(シフト組み!AW116,役職一覧!$B:$D,2,FALSE),"")</f>
        <v/>
      </c>
      <c r="AX86" s="17" t="str">
        <f>IFERROR(VLOOKUP(シフト組み!AX116,役職一覧!$B:$D,2,FALSE),"")</f>
        <v/>
      </c>
      <c r="AY86" s="17" t="str">
        <f>IFERROR(VLOOKUP(シフト組み!AY116,役職一覧!$B:$D,2,FALSE),"")</f>
        <v/>
      </c>
      <c r="AZ86" s="17" t="str">
        <f>IFERROR(VLOOKUP(シフト組み!AZ116,役職一覧!$B:$D,2,FALSE),"")</f>
        <v/>
      </c>
      <c r="BA86" s="17" t="str">
        <f>IFERROR(VLOOKUP(シフト組み!BA116,役職一覧!$B:$D,2,FALSE),"")</f>
        <v/>
      </c>
    </row>
    <row r="87" spans="1:53">
      <c r="A87" s="2" t="str">
        <f>シフト組み!A117&amp;""</f>
        <v/>
      </c>
      <c r="B87" s="2" t="str">
        <f>シフト組み!B117&amp;""</f>
        <v/>
      </c>
      <c r="C87" s="2" t="str">
        <f>シフト組み!C117&amp;""</f>
        <v/>
      </c>
      <c r="D87" s="17" t="str">
        <f>IFERROR(VLOOKUP(シフト組み!D117,役職一覧!$B:$D,2,FALSE),"")</f>
        <v/>
      </c>
      <c r="E87" s="17" t="str">
        <f>IFERROR(VLOOKUP(シフト組み!E117,役職一覧!$B:$D,2,FALSE),"")</f>
        <v/>
      </c>
      <c r="F87" s="17" t="str">
        <f>IFERROR(VLOOKUP(シフト組み!F117,役職一覧!$B:$D,2,FALSE),"")</f>
        <v/>
      </c>
      <c r="G87" s="17" t="str">
        <f>IFERROR(VLOOKUP(シフト組み!G117,役職一覧!$B:$D,2,FALSE),"")</f>
        <v/>
      </c>
      <c r="H87" s="17" t="str">
        <f>IFERROR(VLOOKUP(シフト組み!H117,役職一覧!$B:$D,2,FALSE),"")</f>
        <v/>
      </c>
      <c r="I87" s="17" t="str">
        <f>IFERROR(VLOOKUP(シフト組み!I117,役職一覧!$B:$D,2,FALSE),"")</f>
        <v/>
      </c>
      <c r="J87" s="17" t="str">
        <f>IFERROR(VLOOKUP(シフト組み!J117,役職一覧!$B:$D,2,FALSE),"")</f>
        <v/>
      </c>
      <c r="K87" s="17" t="str">
        <f>IFERROR(VLOOKUP(シフト組み!K117,役職一覧!$B:$D,2,FALSE),"")</f>
        <v/>
      </c>
      <c r="L87" s="17" t="str">
        <f>IFERROR(VLOOKUP(シフト組み!L117,役職一覧!$B:$D,2,FALSE),"")</f>
        <v/>
      </c>
      <c r="M87" s="17" t="str">
        <f>IFERROR(VLOOKUP(シフト組み!M117,役職一覧!$B:$D,2,FALSE),"")</f>
        <v/>
      </c>
      <c r="N87" s="17" t="str">
        <f>IFERROR(VLOOKUP(シフト組み!N117,役職一覧!$B:$D,2,FALSE),"")</f>
        <v/>
      </c>
      <c r="O87" s="17" t="str">
        <f>IFERROR(VLOOKUP(シフト組み!O117,役職一覧!$B:$D,2,FALSE),"")</f>
        <v/>
      </c>
      <c r="P87" s="17" t="str">
        <f>IFERROR(VLOOKUP(シフト組み!P117,役職一覧!$B:$D,2,FALSE),"")</f>
        <v/>
      </c>
      <c r="Q87" s="17" t="str">
        <f>IFERROR(VLOOKUP(シフト組み!Q117,役職一覧!$B:$D,2,FALSE),"")</f>
        <v/>
      </c>
      <c r="R87" s="17" t="str">
        <f>IFERROR(VLOOKUP(シフト組み!R117,役職一覧!$B:$D,2,FALSE),"")</f>
        <v/>
      </c>
      <c r="S87" s="17" t="str">
        <f>IFERROR(VLOOKUP(シフト組み!S117,役職一覧!$B:$D,2,FALSE),"")</f>
        <v/>
      </c>
      <c r="T87" s="17" t="str">
        <f>IFERROR(VLOOKUP(シフト組み!T117,役職一覧!$B:$D,2,FALSE),"")</f>
        <v/>
      </c>
      <c r="U87" s="17" t="str">
        <f>IFERROR(VLOOKUP(シフト組み!U117,役職一覧!$B:$D,2,FALSE),"")</f>
        <v/>
      </c>
      <c r="V87" s="17" t="str">
        <f>IFERROR(VLOOKUP(シフト組み!V117,役職一覧!$B:$D,2,FALSE),"")</f>
        <v/>
      </c>
      <c r="W87" s="17" t="str">
        <f>IFERROR(VLOOKUP(シフト組み!W117,役職一覧!$B:$D,2,FALSE),"")</f>
        <v/>
      </c>
      <c r="X87" s="17" t="str">
        <f>IFERROR(VLOOKUP(シフト組み!X117,役職一覧!$B:$D,2,FALSE),"")</f>
        <v/>
      </c>
      <c r="Y87" s="17" t="str">
        <f>IFERROR(VLOOKUP(シフト組み!Y117,役職一覧!$B:$D,2,FALSE),"")</f>
        <v/>
      </c>
      <c r="Z87" s="17" t="str">
        <f>IFERROR(VLOOKUP(シフト組み!Z117,役職一覧!$B:$D,2,FALSE),"")</f>
        <v/>
      </c>
      <c r="AA87" s="17" t="str">
        <f>IFERROR(VLOOKUP(シフト組み!AA117,役職一覧!$B:$D,2,FALSE),"")</f>
        <v/>
      </c>
      <c r="AB87" s="17" t="str">
        <f>IFERROR(VLOOKUP(シフト組み!AB117,役職一覧!$B:$D,2,FALSE),"")</f>
        <v/>
      </c>
      <c r="AC87" s="17" t="str">
        <f>IFERROR(VLOOKUP(シフト組み!AC117,役職一覧!$B:$D,2,FALSE),"")</f>
        <v/>
      </c>
      <c r="AD87" s="17" t="str">
        <f>IFERROR(VLOOKUP(シフト組み!AD117,役職一覧!$B:$D,2,FALSE),"")</f>
        <v/>
      </c>
      <c r="AE87" s="17" t="str">
        <f>IFERROR(VLOOKUP(シフト組み!AE117,役職一覧!$B:$D,2,FALSE),"")</f>
        <v/>
      </c>
      <c r="AF87" s="17" t="str">
        <f>IFERROR(VLOOKUP(シフト組み!AF117,役職一覧!$B:$D,2,FALSE),"")</f>
        <v/>
      </c>
      <c r="AG87" s="17" t="str">
        <f>IFERROR(VLOOKUP(シフト組み!AG117,役職一覧!$B:$D,2,FALSE),"")</f>
        <v/>
      </c>
      <c r="AH87" s="17" t="str">
        <f>IFERROR(VLOOKUP(シフト組み!AH117,役職一覧!$B:$D,2,FALSE),"")</f>
        <v/>
      </c>
      <c r="AI87" s="17" t="str">
        <f>IFERROR(VLOOKUP(シフト組み!AI117,役職一覧!$B:$D,2,FALSE),"")</f>
        <v/>
      </c>
      <c r="AJ87" s="17" t="str">
        <f>IFERROR(VLOOKUP(シフト組み!AJ117,役職一覧!$B:$D,2,FALSE),"")</f>
        <v/>
      </c>
      <c r="AK87" s="17" t="str">
        <f>IFERROR(VLOOKUP(シフト組み!AK117,役職一覧!$B:$D,2,FALSE),"")</f>
        <v/>
      </c>
      <c r="AL87" s="17" t="str">
        <f>IFERROR(VLOOKUP(シフト組み!AL117,役職一覧!$B:$D,2,FALSE),"")</f>
        <v/>
      </c>
      <c r="AM87" s="17" t="str">
        <f>IFERROR(VLOOKUP(シフト組み!AM117,役職一覧!$B:$D,2,FALSE),"")</f>
        <v/>
      </c>
      <c r="AN87" s="17" t="str">
        <f>IFERROR(VLOOKUP(シフト組み!AN117,役職一覧!$B:$D,2,FALSE),"")</f>
        <v/>
      </c>
      <c r="AO87" s="17" t="str">
        <f>IFERROR(VLOOKUP(シフト組み!AO117,役職一覧!$B:$D,2,FALSE),"")</f>
        <v/>
      </c>
      <c r="AP87" s="17" t="str">
        <f>IFERROR(VLOOKUP(シフト組み!AP117,役職一覧!$B:$D,2,FALSE),"")</f>
        <v/>
      </c>
      <c r="AQ87" s="17" t="str">
        <f>IFERROR(VLOOKUP(シフト組み!AQ117,役職一覧!$B:$D,2,FALSE),"")</f>
        <v/>
      </c>
      <c r="AR87" s="17" t="str">
        <f>IFERROR(VLOOKUP(シフト組み!AR117,役職一覧!$B:$D,2,FALSE),"")</f>
        <v/>
      </c>
      <c r="AS87" s="17" t="str">
        <f>IFERROR(VLOOKUP(シフト組み!AS117,役職一覧!$B:$D,2,FALSE),"")</f>
        <v/>
      </c>
      <c r="AT87" s="17" t="str">
        <f>IFERROR(VLOOKUP(シフト組み!AT117,役職一覧!$B:$D,2,FALSE),"")</f>
        <v/>
      </c>
      <c r="AU87" s="17" t="str">
        <f>IFERROR(VLOOKUP(シフト組み!AU117,役職一覧!$B:$D,2,FALSE),"")</f>
        <v/>
      </c>
      <c r="AV87" s="17" t="str">
        <f>IFERROR(VLOOKUP(シフト組み!AV117,役職一覧!$B:$D,2,FALSE),"")</f>
        <v/>
      </c>
      <c r="AW87" s="17" t="str">
        <f>IFERROR(VLOOKUP(シフト組み!AW117,役職一覧!$B:$D,2,FALSE),"")</f>
        <v/>
      </c>
      <c r="AX87" s="17" t="str">
        <f>IFERROR(VLOOKUP(シフト組み!AX117,役職一覧!$B:$D,2,FALSE),"")</f>
        <v/>
      </c>
      <c r="AY87" s="17" t="str">
        <f>IFERROR(VLOOKUP(シフト組み!AY117,役職一覧!$B:$D,2,FALSE),"")</f>
        <v/>
      </c>
      <c r="AZ87" s="17" t="str">
        <f>IFERROR(VLOOKUP(シフト組み!AZ117,役職一覧!$B:$D,2,FALSE),"")</f>
        <v/>
      </c>
      <c r="BA87" s="17" t="str">
        <f>IFERROR(VLOOKUP(シフト組み!BA117,役職一覧!$B:$D,2,FALSE),"")</f>
        <v/>
      </c>
    </row>
    <row r="88" spans="1:53">
      <c r="A88" s="2" t="str">
        <f>シフト組み!A118&amp;""</f>
        <v/>
      </c>
      <c r="B88" s="2" t="str">
        <f>シフト組み!B118&amp;""</f>
        <v/>
      </c>
      <c r="C88" s="2" t="str">
        <f>シフト組み!C118&amp;""</f>
        <v/>
      </c>
      <c r="D88" s="17" t="str">
        <f>IFERROR(VLOOKUP(シフト組み!D118,役職一覧!$B:$D,2,FALSE),"")</f>
        <v/>
      </c>
      <c r="E88" s="17" t="str">
        <f>IFERROR(VLOOKUP(シフト組み!E118,役職一覧!$B:$D,2,FALSE),"")</f>
        <v/>
      </c>
      <c r="F88" s="17" t="str">
        <f>IFERROR(VLOOKUP(シフト組み!F118,役職一覧!$B:$D,2,FALSE),"")</f>
        <v/>
      </c>
      <c r="G88" s="17" t="str">
        <f>IFERROR(VLOOKUP(シフト組み!G118,役職一覧!$B:$D,2,FALSE),"")</f>
        <v/>
      </c>
      <c r="H88" s="17" t="str">
        <f>IFERROR(VLOOKUP(シフト組み!H118,役職一覧!$B:$D,2,FALSE),"")</f>
        <v/>
      </c>
      <c r="I88" s="17" t="str">
        <f>IFERROR(VLOOKUP(シフト組み!I118,役職一覧!$B:$D,2,FALSE),"")</f>
        <v/>
      </c>
      <c r="J88" s="17" t="str">
        <f>IFERROR(VLOOKUP(シフト組み!J118,役職一覧!$B:$D,2,FALSE),"")</f>
        <v/>
      </c>
      <c r="K88" s="17" t="str">
        <f>IFERROR(VLOOKUP(シフト組み!K118,役職一覧!$B:$D,2,FALSE),"")</f>
        <v/>
      </c>
      <c r="L88" s="17" t="str">
        <f>IFERROR(VLOOKUP(シフト組み!L118,役職一覧!$B:$D,2,FALSE),"")</f>
        <v/>
      </c>
      <c r="M88" s="17" t="str">
        <f>IFERROR(VLOOKUP(シフト組み!M118,役職一覧!$B:$D,2,FALSE),"")</f>
        <v/>
      </c>
      <c r="N88" s="17" t="str">
        <f>IFERROR(VLOOKUP(シフト組み!N118,役職一覧!$B:$D,2,FALSE),"")</f>
        <v/>
      </c>
      <c r="O88" s="17" t="str">
        <f>IFERROR(VLOOKUP(シフト組み!O118,役職一覧!$B:$D,2,FALSE),"")</f>
        <v/>
      </c>
      <c r="P88" s="17" t="str">
        <f>IFERROR(VLOOKUP(シフト組み!P118,役職一覧!$B:$D,2,FALSE),"")</f>
        <v/>
      </c>
      <c r="Q88" s="17" t="str">
        <f>IFERROR(VLOOKUP(シフト組み!Q118,役職一覧!$B:$D,2,FALSE),"")</f>
        <v/>
      </c>
      <c r="R88" s="17" t="str">
        <f>IFERROR(VLOOKUP(シフト組み!R118,役職一覧!$B:$D,2,FALSE),"")</f>
        <v/>
      </c>
      <c r="S88" s="17" t="str">
        <f>IFERROR(VLOOKUP(シフト組み!S118,役職一覧!$B:$D,2,FALSE),"")</f>
        <v/>
      </c>
      <c r="T88" s="17" t="str">
        <f>IFERROR(VLOOKUP(シフト組み!T118,役職一覧!$B:$D,2,FALSE),"")</f>
        <v/>
      </c>
      <c r="U88" s="17" t="str">
        <f>IFERROR(VLOOKUP(シフト組み!U118,役職一覧!$B:$D,2,FALSE),"")</f>
        <v/>
      </c>
      <c r="V88" s="17" t="str">
        <f>IFERROR(VLOOKUP(シフト組み!V118,役職一覧!$B:$D,2,FALSE),"")</f>
        <v/>
      </c>
      <c r="W88" s="17" t="str">
        <f>IFERROR(VLOOKUP(シフト組み!W118,役職一覧!$B:$D,2,FALSE),"")</f>
        <v/>
      </c>
      <c r="X88" s="17" t="str">
        <f>IFERROR(VLOOKUP(シフト組み!X118,役職一覧!$B:$D,2,FALSE),"")</f>
        <v/>
      </c>
      <c r="Y88" s="17" t="str">
        <f>IFERROR(VLOOKUP(シフト組み!Y118,役職一覧!$B:$D,2,FALSE),"")</f>
        <v/>
      </c>
      <c r="Z88" s="17" t="str">
        <f>IFERROR(VLOOKUP(シフト組み!Z118,役職一覧!$B:$D,2,FALSE),"")</f>
        <v/>
      </c>
      <c r="AA88" s="17" t="str">
        <f>IFERROR(VLOOKUP(シフト組み!AA118,役職一覧!$B:$D,2,FALSE),"")</f>
        <v/>
      </c>
      <c r="AB88" s="17" t="str">
        <f>IFERROR(VLOOKUP(シフト組み!AB118,役職一覧!$B:$D,2,FALSE),"")</f>
        <v/>
      </c>
      <c r="AC88" s="17" t="str">
        <f>IFERROR(VLOOKUP(シフト組み!AC118,役職一覧!$B:$D,2,FALSE),"")</f>
        <v/>
      </c>
      <c r="AD88" s="17" t="str">
        <f>IFERROR(VLOOKUP(シフト組み!AD118,役職一覧!$B:$D,2,FALSE),"")</f>
        <v/>
      </c>
      <c r="AE88" s="17" t="str">
        <f>IFERROR(VLOOKUP(シフト組み!AE118,役職一覧!$B:$D,2,FALSE),"")</f>
        <v/>
      </c>
      <c r="AF88" s="17" t="str">
        <f>IFERROR(VLOOKUP(シフト組み!AF118,役職一覧!$B:$D,2,FALSE),"")</f>
        <v/>
      </c>
      <c r="AG88" s="17" t="str">
        <f>IFERROR(VLOOKUP(シフト組み!AG118,役職一覧!$B:$D,2,FALSE),"")</f>
        <v/>
      </c>
      <c r="AH88" s="17" t="str">
        <f>IFERROR(VLOOKUP(シフト組み!AH118,役職一覧!$B:$D,2,FALSE),"")</f>
        <v/>
      </c>
      <c r="AI88" s="17" t="str">
        <f>IFERROR(VLOOKUP(シフト組み!AI118,役職一覧!$B:$D,2,FALSE),"")</f>
        <v/>
      </c>
      <c r="AJ88" s="17" t="str">
        <f>IFERROR(VLOOKUP(シフト組み!AJ118,役職一覧!$B:$D,2,FALSE),"")</f>
        <v/>
      </c>
      <c r="AK88" s="17" t="str">
        <f>IFERROR(VLOOKUP(シフト組み!AK118,役職一覧!$B:$D,2,FALSE),"")</f>
        <v/>
      </c>
      <c r="AL88" s="17" t="str">
        <f>IFERROR(VLOOKUP(シフト組み!AL118,役職一覧!$B:$D,2,FALSE),"")</f>
        <v/>
      </c>
      <c r="AM88" s="17" t="str">
        <f>IFERROR(VLOOKUP(シフト組み!AM118,役職一覧!$B:$D,2,FALSE),"")</f>
        <v/>
      </c>
      <c r="AN88" s="17" t="str">
        <f>IFERROR(VLOOKUP(シフト組み!AN118,役職一覧!$B:$D,2,FALSE),"")</f>
        <v/>
      </c>
      <c r="AO88" s="17" t="str">
        <f>IFERROR(VLOOKUP(シフト組み!AO118,役職一覧!$B:$D,2,FALSE),"")</f>
        <v/>
      </c>
      <c r="AP88" s="17" t="str">
        <f>IFERROR(VLOOKUP(シフト組み!AP118,役職一覧!$B:$D,2,FALSE),"")</f>
        <v/>
      </c>
      <c r="AQ88" s="17" t="str">
        <f>IFERROR(VLOOKUP(シフト組み!AQ118,役職一覧!$B:$D,2,FALSE),"")</f>
        <v/>
      </c>
      <c r="AR88" s="17" t="str">
        <f>IFERROR(VLOOKUP(シフト組み!AR118,役職一覧!$B:$D,2,FALSE),"")</f>
        <v/>
      </c>
      <c r="AS88" s="17" t="str">
        <f>IFERROR(VLOOKUP(シフト組み!AS118,役職一覧!$B:$D,2,FALSE),"")</f>
        <v/>
      </c>
      <c r="AT88" s="17" t="str">
        <f>IFERROR(VLOOKUP(シフト組み!AT118,役職一覧!$B:$D,2,FALSE),"")</f>
        <v/>
      </c>
      <c r="AU88" s="17" t="str">
        <f>IFERROR(VLOOKUP(シフト組み!AU118,役職一覧!$B:$D,2,FALSE),"")</f>
        <v/>
      </c>
      <c r="AV88" s="17" t="str">
        <f>IFERROR(VLOOKUP(シフト組み!AV118,役職一覧!$B:$D,2,FALSE),"")</f>
        <v/>
      </c>
      <c r="AW88" s="17" t="str">
        <f>IFERROR(VLOOKUP(シフト組み!AW118,役職一覧!$B:$D,2,FALSE),"")</f>
        <v/>
      </c>
      <c r="AX88" s="17" t="str">
        <f>IFERROR(VLOOKUP(シフト組み!AX118,役職一覧!$B:$D,2,FALSE),"")</f>
        <v/>
      </c>
      <c r="AY88" s="17" t="str">
        <f>IFERROR(VLOOKUP(シフト組み!AY118,役職一覧!$B:$D,2,FALSE),"")</f>
        <v/>
      </c>
      <c r="AZ88" s="17" t="str">
        <f>IFERROR(VLOOKUP(シフト組み!AZ118,役職一覧!$B:$D,2,FALSE),"")</f>
        <v/>
      </c>
      <c r="BA88" s="17" t="str">
        <f>IFERROR(VLOOKUP(シフト組み!BA118,役職一覧!$B:$D,2,FALSE),"")</f>
        <v/>
      </c>
    </row>
    <row r="89" spans="1:53">
      <c r="A89" s="2" t="str">
        <f>シフト組み!A119&amp;""</f>
        <v/>
      </c>
      <c r="B89" s="2" t="str">
        <f>シフト組み!B119&amp;""</f>
        <v/>
      </c>
      <c r="C89" s="2" t="str">
        <f>シフト組み!C119&amp;""</f>
        <v/>
      </c>
      <c r="D89" s="17" t="str">
        <f>IFERROR(VLOOKUP(シフト組み!D119,役職一覧!$B:$D,2,FALSE),"")</f>
        <v/>
      </c>
      <c r="E89" s="17" t="str">
        <f>IFERROR(VLOOKUP(シフト組み!E119,役職一覧!$B:$D,2,FALSE),"")</f>
        <v/>
      </c>
      <c r="F89" s="17" t="str">
        <f>IFERROR(VLOOKUP(シフト組み!F119,役職一覧!$B:$D,2,FALSE),"")</f>
        <v/>
      </c>
      <c r="G89" s="17" t="str">
        <f>IFERROR(VLOOKUP(シフト組み!G119,役職一覧!$B:$D,2,FALSE),"")</f>
        <v/>
      </c>
      <c r="H89" s="17" t="str">
        <f>IFERROR(VLOOKUP(シフト組み!H119,役職一覧!$B:$D,2,FALSE),"")</f>
        <v/>
      </c>
      <c r="I89" s="17" t="str">
        <f>IFERROR(VLOOKUP(シフト組み!I119,役職一覧!$B:$D,2,FALSE),"")</f>
        <v/>
      </c>
      <c r="J89" s="17" t="str">
        <f>IFERROR(VLOOKUP(シフト組み!J119,役職一覧!$B:$D,2,FALSE),"")</f>
        <v/>
      </c>
      <c r="K89" s="17" t="str">
        <f>IFERROR(VLOOKUP(シフト組み!K119,役職一覧!$B:$D,2,FALSE),"")</f>
        <v/>
      </c>
      <c r="L89" s="17" t="str">
        <f>IFERROR(VLOOKUP(シフト組み!L119,役職一覧!$B:$D,2,FALSE),"")</f>
        <v/>
      </c>
      <c r="M89" s="17" t="str">
        <f>IFERROR(VLOOKUP(シフト組み!M119,役職一覧!$B:$D,2,FALSE),"")</f>
        <v/>
      </c>
      <c r="N89" s="17" t="str">
        <f>IFERROR(VLOOKUP(シフト組み!N119,役職一覧!$B:$D,2,FALSE),"")</f>
        <v/>
      </c>
      <c r="O89" s="17" t="str">
        <f>IFERROR(VLOOKUP(シフト組み!O119,役職一覧!$B:$D,2,FALSE),"")</f>
        <v/>
      </c>
      <c r="P89" s="17" t="str">
        <f>IFERROR(VLOOKUP(シフト組み!P119,役職一覧!$B:$D,2,FALSE),"")</f>
        <v/>
      </c>
      <c r="Q89" s="17" t="str">
        <f>IFERROR(VLOOKUP(シフト組み!Q119,役職一覧!$B:$D,2,FALSE),"")</f>
        <v/>
      </c>
      <c r="R89" s="17" t="str">
        <f>IFERROR(VLOOKUP(シフト組み!R119,役職一覧!$B:$D,2,FALSE),"")</f>
        <v/>
      </c>
      <c r="S89" s="17" t="str">
        <f>IFERROR(VLOOKUP(シフト組み!S119,役職一覧!$B:$D,2,FALSE),"")</f>
        <v/>
      </c>
      <c r="T89" s="17" t="str">
        <f>IFERROR(VLOOKUP(シフト組み!T119,役職一覧!$B:$D,2,FALSE),"")</f>
        <v/>
      </c>
      <c r="U89" s="17" t="str">
        <f>IFERROR(VLOOKUP(シフト組み!U119,役職一覧!$B:$D,2,FALSE),"")</f>
        <v/>
      </c>
      <c r="V89" s="17" t="str">
        <f>IFERROR(VLOOKUP(シフト組み!V119,役職一覧!$B:$D,2,FALSE),"")</f>
        <v/>
      </c>
      <c r="W89" s="17" t="str">
        <f>IFERROR(VLOOKUP(シフト組み!W119,役職一覧!$B:$D,2,FALSE),"")</f>
        <v/>
      </c>
      <c r="X89" s="17" t="str">
        <f>IFERROR(VLOOKUP(シフト組み!X119,役職一覧!$B:$D,2,FALSE),"")</f>
        <v/>
      </c>
      <c r="Y89" s="17" t="str">
        <f>IFERROR(VLOOKUP(シフト組み!Y119,役職一覧!$B:$D,2,FALSE),"")</f>
        <v/>
      </c>
      <c r="Z89" s="17" t="str">
        <f>IFERROR(VLOOKUP(シフト組み!Z119,役職一覧!$B:$D,2,FALSE),"")</f>
        <v/>
      </c>
      <c r="AA89" s="17" t="str">
        <f>IFERROR(VLOOKUP(シフト組み!AA119,役職一覧!$B:$D,2,FALSE),"")</f>
        <v/>
      </c>
      <c r="AB89" s="17" t="str">
        <f>IFERROR(VLOOKUP(シフト組み!AB119,役職一覧!$B:$D,2,FALSE),"")</f>
        <v/>
      </c>
      <c r="AC89" s="17" t="str">
        <f>IFERROR(VLOOKUP(シフト組み!AC119,役職一覧!$B:$D,2,FALSE),"")</f>
        <v/>
      </c>
      <c r="AD89" s="17" t="str">
        <f>IFERROR(VLOOKUP(シフト組み!AD119,役職一覧!$B:$D,2,FALSE),"")</f>
        <v/>
      </c>
      <c r="AE89" s="17" t="str">
        <f>IFERROR(VLOOKUP(シフト組み!AE119,役職一覧!$B:$D,2,FALSE),"")</f>
        <v/>
      </c>
      <c r="AF89" s="17" t="str">
        <f>IFERROR(VLOOKUP(シフト組み!AF119,役職一覧!$B:$D,2,FALSE),"")</f>
        <v/>
      </c>
      <c r="AG89" s="17" t="str">
        <f>IFERROR(VLOOKUP(シフト組み!AG119,役職一覧!$B:$D,2,FALSE),"")</f>
        <v/>
      </c>
      <c r="AH89" s="17" t="str">
        <f>IFERROR(VLOOKUP(シフト組み!AH119,役職一覧!$B:$D,2,FALSE),"")</f>
        <v/>
      </c>
      <c r="AI89" s="17" t="str">
        <f>IFERROR(VLOOKUP(シフト組み!AI119,役職一覧!$B:$D,2,FALSE),"")</f>
        <v/>
      </c>
      <c r="AJ89" s="17" t="str">
        <f>IFERROR(VLOOKUP(シフト組み!AJ119,役職一覧!$B:$D,2,FALSE),"")</f>
        <v/>
      </c>
      <c r="AK89" s="17" t="str">
        <f>IFERROR(VLOOKUP(シフト組み!AK119,役職一覧!$B:$D,2,FALSE),"")</f>
        <v/>
      </c>
      <c r="AL89" s="17" t="str">
        <f>IFERROR(VLOOKUP(シフト組み!AL119,役職一覧!$B:$D,2,FALSE),"")</f>
        <v/>
      </c>
      <c r="AM89" s="17" t="str">
        <f>IFERROR(VLOOKUP(シフト組み!AM119,役職一覧!$B:$D,2,FALSE),"")</f>
        <v/>
      </c>
      <c r="AN89" s="17" t="str">
        <f>IFERROR(VLOOKUP(シフト組み!AN119,役職一覧!$B:$D,2,FALSE),"")</f>
        <v/>
      </c>
      <c r="AO89" s="17" t="str">
        <f>IFERROR(VLOOKUP(シフト組み!AO119,役職一覧!$B:$D,2,FALSE),"")</f>
        <v/>
      </c>
      <c r="AP89" s="17" t="str">
        <f>IFERROR(VLOOKUP(シフト組み!AP119,役職一覧!$B:$D,2,FALSE),"")</f>
        <v/>
      </c>
      <c r="AQ89" s="17" t="str">
        <f>IFERROR(VLOOKUP(シフト組み!AQ119,役職一覧!$B:$D,2,FALSE),"")</f>
        <v/>
      </c>
      <c r="AR89" s="17" t="str">
        <f>IFERROR(VLOOKUP(シフト組み!AR119,役職一覧!$B:$D,2,FALSE),"")</f>
        <v/>
      </c>
      <c r="AS89" s="17" t="str">
        <f>IFERROR(VLOOKUP(シフト組み!AS119,役職一覧!$B:$D,2,FALSE),"")</f>
        <v/>
      </c>
      <c r="AT89" s="17" t="str">
        <f>IFERROR(VLOOKUP(シフト組み!AT119,役職一覧!$B:$D,2,FALSE),"")</f>
        <v/>
      </c>
      <c r="AU89" s="17" t="str">
        <f>IFERROR(VLOOKUP(シフト組み!AU119,役職一覧!$B:$D,2,FALSE),"")</f>
        <v/>
      </c>
      <c r="AV89" s="17" t="str">
        <f>IFERROR(VLOOKUP(シフト組み!AV119,役職一覧!$B:$D,2,FALSE),"")</f>
        <v/>
      </c>
      <c r="AW89" s="17" t="str">
        <f>IFERROR(VLOOKUP(シフト組み!AW119,役職一覧!$B:$D,2,FALSE),"")</f>
        <v/>
      </c>
      <c r="AX89" s="17" t="str">
        <f>IFERROR(VLOOKUP(シフト組み!AX119,役職一覧!$B:$D,2,FALSE),"")</f>
        <v/>
      </c>
      <c r="AY89" s="17" t="str">
        <f>IFERROR(VLOOKUP(シフト組み!AY119,役職一覧!$B:$D,2,FALSE),"")</f>
        <v/>
      </c>
      <c r="AZ89" s="17" t="str">
        <f>IFERROR(VLOOKUP(シフト組み!AZ119,役職一覧!$B:$D,2,FALSE),"")</f>
        <v/>
      </c>
      <c r="BA89" s="17" t="str">
        <f>IFERROR(VLOOKUP(シフト組み!BA119,役職一覧!$B:$D,2,FALSE),"")</f>
        <v/>
      </c>
    </row>
    <row r="90" spans="1:53">
      <c r="A90" s="2" t="str">
        <f>シフト組み!A120&amp;""</f>
        <v/>
      </c>
      <c r="B90" s="2" t="str">
        <f>シフト組み!B120&amp;""</f>
        <v/>
      </c>
      <c r="C90" s="2" t="str">
        <f>シフト組み!C120&amp;""</f>
        <v/>
      </c>
      <c r="D90" s="17" t="str">
        <f>IFERROR(VLOOKUP(シフト組み!D120,役職一覧!$B:$D,2,FALSE),"")</f>
        <v/>
      </c>
      <c r="E90" s="17" t="str">
        <f>IFERROR(VLOOKUP(シフト組み!E120,役職一覧!$B:$D,2,FALSE),"")</f>
        <v/>
      </c>
      <c r="F90" s="17" t="str">
        <f>IFERROR(VLOOKUP(シフト組み!F120,役職一覧!$B:$D,2,FALSE),"")</f>
        <v/>
      </c>
      <c r="G90" s="17" t="str">
        <f>IFERROR(VLOOKUP(シフト組み!G120,役職一覧!$B:$D,2,FALSE),"")</f>
        <v/>
      </c>
      <c r="H90" s="17" t="str">
        <f>IFERROR(VLOOKUP(シフト組み!H120,役職一覧!$B:$D,2,FALSE),"")</f>
        <v/>
      </c>
      <c r="I90" s="17" t="str">
        <f>IFERROR(VLOOKUP(シフト組み!I120,役職一覧!$B:$D,2,FALSE),"")</f>
        <v/>
      </c>
      <c r="J90" s="17" t="str">
        <f>IFERROR(VLOOKUP(シフト組み!J120,役職一覧!$B:$D,2,FALSE),"")</f>
        <v/>
      </c>
      <c r="K90" s="17" t="str">
        <f>IFERROR(VLOOKUP(シフト組み!K120,役職一覧!$B:$D,2,FALSE),"")</f>
        <v/>
      </c>
      <c r="L90" s="17" t="str">
        <f>IFERROR(VLOOKUP(シフト組み!L120,役職一覧!$B:$D,2,FALSE),"")</f>
        <v/>
      </c>
      <c r="M90" s="17" t="str">
        <f>IFERROR(VLOOKUP(シフト組み!M120,役職一覧!$B:$D,2,FALSE),"")</f>
        <v/>
      </c>
      <c r="N90" s="17" t="str">
        <f>IFERROR(VLOOKUP(シフト組み!N120,役職一覧!$B:$D,2,FALSE),"")</f>
        <v/>
      </c>
      <c r="O90" s="17" t="str">
        <f>IFERROR(VLOOKUP(シフト組み!O120,役職一覧!$B:$D,2,FALSE),"")</f>
        <v/>
      </c>
      <c r="P90" s="17" t="str">
        <f>IFERROR(VLOOKUP(シフト組み!P120,役職一覧!$B:$D,2,FALSE),"")</f>
        <v/>
      </c>
      <c r="Q90" s="17" t="str">
        <f>IFERROR(VLOOKUP(シフト組み!Q120,役職一覧!$B:$D,2,FALSE),"")</f>
        <v/>
      </c>
      <c r="R90" s="17" t="str">
        <f>IFERROR(VLOOKUP(シフト組み!R120,役職一覧!$B:$D,2,FALSE),"")</f>
        <v/>
      </c>
      <c r="S90" s="17" t="str">
        <f>IFERROR(VLOOKUP(シフト組み!S120,役職一覧!$B:$D,2,FALSE),"")</f>
        <v/>
      </c>
      <c r="T90" s="17" t="str">
        <f>IFERROR(VLOOKUP(シフト組み!T120,役職一覧!$B:$D,2,FALSE),"")</f>
        <v/>
      </c>
      <c r="U90" s="17" t="str">
        <f>IFERROR(VLOOKUP(シフト組み!U120,役職一覧!$B:$D,2,FALSE),"")</f>
        <v/>
      </c>
      <c r="V90" s="17" t="str">
        <f>IFERROR(VLOOKUP(シフト組み!V120,役職一覧!$B:$D,2,FALSE),"")</f>
        <v/>
      </c>
      <c r="W90" s="17" t="str">
        <f>IFERROR(VLOOKUP(シフト組み!W120,役職一覧!$B:$D,2,FALSE),"")</f>
        <v/>
      </c>
      <c r="X90" s="17" t="str">
        <f>IFERROR(VLOOKUP(シフト組み!X120,役職一覧!$B:$D,2,FALSE),"")</f>
        <v/>
      </c>
      <c r="Y90" s="17" t="str">
        <f>IFERROR(VLOOKUP(シフト組み!Y120,役職一覧!$B:$D,2,FALSE),"")</f>
        <v/>
      </c>
      <c r="Z90" s="17" t="str">
        <f>IFERROR(VLOOKUP(シフト組み!Z120,役職一覧!$B:$D,2,FALSE),"")</f>
        <v/>
      </c>
      <c r="AA90" s="17" t="str">
        <f>IFERROR(VLOOKUP(シフト組み!AA120,役職一覧!$B:$D,2,FALSE),"")</f>
        <v/>
      </c>
      <c r="AB90" s="17" t="str">
        <f>IFERROR(VLOOKUP(シフト組み!AB120,役職一覧!$B:$D,2,FALSE),"")</f>
        <v/>
      </c>
      <c r="AC90" s="17" t="str">
        <f>IFERROR(VLOOKUP(シフト組み!AC120,役職一覧!$B:$D,2,FALSE),"")</f>
        <v/>
      </c>
      <c r="AD90" s="17" t="str">
        <f>IFERROR(VLOOKUP(シフト組み!AD120,役職一覧!$B:$D,2,FALSE),"")</f>
        <v/>
      </c>
      <c r="AE90" s="17" t="str">
        <f>IFERROR(VLOOKUP(シフト組み!AE120,役職一覧!$B:$D,2,FALSE),"")</f>
        <v/>
      </c>
      <c r="AF90" s="17" t="str">
        <f>IFERROR(VLOOKUP(シフト組み!AF120,役職一覧!$B:$D,2,FALSE),"")</f>
        <v/>
      </c>
      <c r="AG90" s="17" t="str">
        <f>IFERROR(VLOOKUP(シフト組み!AG120,役職一覧!$B:$D,2,FALSE),"")</f>
        <v/>
      </c>
      <c r="AH90" s="17" t="str">
        <f>IFERROR(VLOOKUP(シフト組み!AH120,役職一覧!$B:$D,2,FALSE),"")</f>
        <v/>
      </c>
      <c r="AI90" s="17" t="str">
        <f>IFERROR(VLOOKUP(シフト組み!AI120,役職一覧!$B:$D,2,FALSE),"")</f>
        <v/>
      </c>
      <c r="AJ90" s="17" t="str">
        <f>IFERROR(VLOOKUP(シフト組み!AJ120,役職一覧!$B:$D,2,FALSE),"")</f>
        <v/>
      </c>
      <c r="AK90" s="17" t="str">
        <f>IFERROR(VLOOKUP(シフト組み!AK120,役職一覧!$B:$D,2,FALSE),"")</f>
        <v/>
      </c>
      <c r="AL90" s="17" t="str">
        <f>IFERROR(VLOOKUP(シフト組み!AL120,役職一覧!$B:$D,2,FALSE),"")</f>
        <v/>
      </c>
      <c r="AM90" s="17" t="str">
        <f>IFERROR(VLOOKUP(シフト組み!AM120,役職一覧!$B:$D,2,FALSE),"")</f>
        <v/>
      </c>
      <c r="AN90" s="17" t="str">
        <f>IFERROR(VLOOKUP(シフト組み!AN120,役職一覧!$B:$D,2,FALSE),"")</f>
        <v/>
      </c>
      <c r="AO90" s="17" t="str">
        <f>IFERROR(VLOOKUP(シフト組み!AO120,役職一覧!$B:$D,2,FALSE),"")</f>
        <v/>
      </c>
      <c r="AP90" s="17" t="str">
        <f>IFERROR(VLOOKUP(シフト組み!AP120,役職一覧!$B:$D,2,FALSE),"")</f>
        <v/>
      </c>
      <c r="AQ90" s="17" t="str">
        <f>IFERROR(VLOOKUP(シフト組み!AQ120,役職一覧!$B:$D,2,FALSE),"")</f>
        <v/>
      </c>
      <c r="AR90" s="17" t="str">
        <f>IFERROR(VLOOKUP(シフト組み!AR120,役職一覧!$B:$D,2,FALSE),"")</f>
        <v/>
      </c>
      <c r="AS90" s="17" t="str">
        <f>IFERROR(VLOOKUP(シフト組み!AS120,役職一覧!$B:$D,2,FALSE),"")</f>
        <v/>
      </c>
      <c r="AT90" s="17" t="str">
        <f>IFERROR(VLOOKUP(シフト組み!AT120,役職一覧!$B:$D,2,FALSE),"")</f>
        <v/>
      </c>
      <c r="AU90" s="17" t="str">
        <f>IFERROR(VLOOKUP(シフト組み!AU120,役職一覧!$B:$D,2,FALSE),"")</f>
        <v/>
      </c>
      <c r="AV90" s="17" t="str">
        <f>IFERROR(VLOOKUP(シフト組み!AV120,役職一覧!$B:$D,2,FALSE),"")</f>
        <v/>
      </c>
      <c r="AW90" s="17" t="str">
        <f>IFERROR(VLOOKUP(シフト組み!AW120,役職一覧!$B:$D,2,FALSE),"")</f>
        <v/>
      </c>
      <c r="AX90" s="17" t="str">
        <f>IFERROR(VLOOKUP(シフト組み!AX120,役職一覧!$B:$D,2,FALSE),"")</f>
        <v/>
      </c>
      <c r="AY90" s="17" t="str">
        <f>IFERROR(VLOOKUP(シフト組み!AY120,役職一覧!$B:$D,2,FALSE),"")</f>
        <v/>
      </c>
      <c r="AZ90" s="17" t="str">
        <f>IFERROR(VLOOKUP(シフト組み!AZ120,役職一覧!$B:$D,2,FALSE),"")</f>
        <v/>
      </c>
      <c r="BA90" s="17" t="str">
        <f>IFERROR(VLOOKUP(シフト組み!BA120,役職一覧!$B:$D,2,FALSE),"")</f>
        <v/>
      </c>
    </row>
    <row r="91" spans="1:53">
      <c r="A91" s="2" t="str">
        <f>シフト組み!A121&amp;""</f>
        <v/>
      </c>
      <c r="B91" s="2" t="str">
        <f>シフト組み!B121&amp;""</f>
        <v/>
      </c>
      <c r="C91" s="2" t="str">
        <f>シフト組み!C121&amp;""</f>
        <v/>
      </c>
      <c r="D91" s="17" t="str">
        <f>IFERROR(VLOOKUP(シフト組み!D121,役職一覧!$B:$D,2,FALSE),"")</f>
        <v/>
      </c>
      <c r="E91" s="17" t="str">
        <f>IFERROR(VLOOKUP(シフト組み!E121,役職一覧!$B:$D,2,FALSE),"")</f>
        <v/>
      </c>
      <c r="F91" s="17" t="str">
        <f>IFERROR(VLOOKUP(シフト組み!F121,役職一覧!$B:$D,2,FALSE),"")</f>
        <v/>
      </c>
      <c r="G91" s="17" t="str">
        <f>IFERROR(VLOOKUP(シフト組み!G121,役職一覧!$B:$D,2,FALSE),"")</f>
        <v/>
      </c>
      <c r="H91" s="17" t="str">
        <f>IFERROR(VLOOKUP(シフト組み!H121,役職一覧!$B:$D,2,FALSE),"")</f>
        <v/>
      </c>
      <c r="I91" s="17" t="str">
        <f>IFERROR(VLOOKUP(シフト組み!I121,役職一覧!$B:$D,2,FALSE),"")</f>
        <v/>
      </c>
      <c r="J91" s="17" t="str">
        <f>IFERROR(VLOOKUP(シフト組み!J121,役職一覧!$B:$D,2,FALSE),"")</f>
        <v/>
      </c>
      <c r="K91" s="17" t="str">
        <f>IFERROR(VLOOKUP(シフト組み!K121,役職一覧!$B:$D,2,FALSE),"")</f>
        <v/>
      </c>
      <c r="L91" s="17" t="str">
        <f>IFERROR(VLOOKUP(シフト組み!L121,役職一覧!$B:$D,2,FALSE),"")</f>
        <v/>
      </c>
      <c r="M91" s="17" t="str">
        <f>IFERROR(VLOOKUP(シフト組み!M121,役職一覧!$B:$D,2,FALSE),"")</f>
        <v/>
      </c>
      <c r="N91" s="17" t="str">
        <f>IFERROR(VLOOKUP(シフト組み!N121,役職一覧!$B:$D,2,FALSE),"")</f>
        <v/>
      </c>
      <c r="O91" s="17" t="str">
        <f>IFERROR(VLOOKUP(シフト組み!O121,役職一覧!$B:$D,2,FALSE),"")</f>
        <v/>
      </c>
      <c r="P91" s="17" t="str">
        <f>IFERROR(VLOOKUP(シフト組み!P121,役職一覧!$B:$D,2,FALSE),"")</f>
        <v/>
      </c>
      <c r="Q91" s="17" t="str">
        <f>IFERROR(VLOOKUP(シフト組み!Q121,役職一覧!$B:$D,2,FALSE),"")</f>
        <v/>
      </c>
      <c r="R91" s="17" t="str">
        <f>IFERROR(VLOOKUP(シフト組み!R121,役職一覧!$B:$D,2,FALSE),"")</f>
        <v/>
      </c>
      <c r="S91" s="17" t="str">
        <f>IFERROR(VLOOKUP(シフト組み!S121,役職一覧!$B:$D,2,FALSE),"")</f>
        <v/>
      </c>
      <c r="T91" s="17" t="str">
        <f>IFERROR(VLOOKUP(シフト組み!T121,役職一覧!$B:$D,2,FALSE),"")</f>
        <v/>
      </c>
      <c r="U91" s="17" t="str">
        <f>IFERROR(VLOOKUP(シフト組み!U121,役職一覧!$B:$D,2,FALSE),"")</f>
        <v/>
      </c>
      <c r="V91" s="17" t="str">
        <f>IFERROR(VLOOKUP(シフト組み!V121,役職一覧!$B:$D,2,FALSE),"")</f>
        <v/>
      </c>
      <c r="W91" s="17" t="str">
        <f>IFERROR(VLOOKUP(シフト組み!W121,役職一覧!$B:$D,2,FALSE),"")</f>
        <v/>
      </c>
      <c r="X91" s="17" t="str">
        <f>IFERROR(VLOOKUP(シフト組み!X121,役職一覧!$B:$D,2,FALSE),"")</f>
        <v/>
      </c>
      <c r="Y91" s="17" t="str">
        <f>IFERROR(VLOOKUP(シフト組み!Y121,役職一覧!$B:$D,2,FALSE),"")</f>
        <v/>
      </c>
      <c r="Z91" s="17" t="str">
        <f>IFERROR(VLOOKUP(シフト組み!Z121,役職一覧!$B:$D,2,FALSE),"")</f>
        <v/>
      </c>
      <c r="AA91" s="17" t="str">
        <f>IFERROR(VLOOKUP(シフト組み!AA121,役職一覧!$B:$D,2,FALSE),"")</f>
        <v/>
      </c>
      <c r="AB91" s="17" t="str">
        <f>IFERROR(VLOOKUP(シフト組み!AB121,役職一覧!$B:$D,2,FALSE),"")</f>
        <v/>
      </c>
      <c r="AC91" s="17" t="str">
        <f>IFERROR(VLOOKUP(シフト組み!AC121,役職一覧!$B:$D,2,FALSE),"")</f>
        <v/>
      </c>
      <c r="AD91" s="17" t="str">
        <f>IFERROR(VLOOKUP(シフト組み!AD121,役職一覧!$B:$D,2,FALSE),"")</f>
        <v/>
      </c>
      <c r="AE91" s="17" t="str">
        <f>IFERROR(VLOOKUP(シフト組み!AE121,役職一覧!$B:$D,2,FALSE),"")</f>
        <v/>
      </c>
      <c r="AF91" s="17" t="str">
        <f>IFERROR(VLOOKUP(シフト組み!AF121,役職一覧!$B:$D,2,FALSE),"")</f>
        <v/>
      </c>
      <c r="AG91" s="17" t="str">
        <f>IFERROR(VLOOKUP(シフト組み!AG121,役職一覧!$B:$D,2,FALSE),"")</f>
        <v/>
      </c>
      <c r="AH91" s="17" t="str">
        <f>IFERROR(VLOOKUP(シフト組み!AH121,役職一覧!$B:$D,2,FALSE),"")</f>
        <v/>
      </c>
      <c r="AI91" s="17" t="str">
        <f>IFERROR(VLOOKUP(シフト組み!AI121,役職一覧!$B:$D,2,FALSE),"")</f>
        <v/>
      </c>
      <c r="AJ91" s="17" t="str">
        <f>IFERROR(VLOOKUP(シフト組み!AJ121,役職一覧!$B:$D,2,FALSE),"")</f>
        <v/>
      </c>
      <c r="AK91" s="17" t="str">
        <f>IFERROR(VLOOKUP(シフト組み!AK121,役職一覧!$B:$D,2,FALSE),"")</f>
        <v/>
      </c>
      <c r="AL91" s="17" t="str">
        <f>IFERROR(VLOOKUP(シフト組み!AL121,役職一覧!$B:$D,2,FALSE),"")</f>
        <v/>
      </c>
      <c r="AM91" s="17" t="str">
        <f>IFERROR(VLOOKUP(シフト組み!AM121,役職一覧!$B:$D,2,FALSE),"")</f>
        <v/>
      </c>
      <c r="AN91" s="17" t="str">
        <f>IFERROR(VLOOKUP(シフト組み!AN121,役職一覧!$B:$D,2,FALSE),"")</f>
        <v/>
      </c>
      <c r="AO91" s="17" t="str">
        <f>IFERROR(VLOOKUP(シフト組み!AO121,役職一覧!$B:$D,2,FALSE),"")</f>
        <v/>
      </c>
      <c r="AP91" s="17" t="str">
        <f>IFERROR(VLOOKUP(シフト組み!AP121,役職一覧!$B:$D,2,FALSE),"")</f>
        <v/>
      </c>
      <c r="AQ91" s="17" t="str">
        <f>IFERROR(VLOOKUP(シフト組み!AQ121,役職一覧!$B:$D,2,FALSE),"")</f>
        <v/>
      </c>
      <c r="AR91" s="17" t="str">
        <f>IFERROR(VLOOKUP(シフト組み!AR121,役職一覧!$B:$D,2,FALSE),"")</f>
        <v/>
      </c>
      <c r="AS91" s="17" t="str">
        <f>IFERROR(VLOOKUP(シフト組み!AS121,役職一覧!$B:$D,2,FALSE),"")</f>
        <v/>
      </c>
      <c r="AT91" s="17" t="str">
        <f>IFERROR(VLOOKUP(シフト組み!AT121,役職一覧!$B:$D,2,FALSE),"")</f>
        <v/>
      </c>
      <c r="AU91" s="17" t="str">
        <f>IFERROR(VLOOKUP(シフト組み!AU121,役職一覧!$B:$D,2,FALSE),"")</f>
        <v/>
      </c>
      <c r="AV91" s="17" t="str">
        <f>IFERROR(VLOOKUP(シフト組み!AV121,役職一覧!$B:$D,2,FALSE),"")</f>
        <v/>
      </c>
      <c r="AW91" s="17" t="str">
        <f>IFERROR(VLOOKUP(シフト組み!AW121,役職一覧!$B:$D,2,FALSE),"")</f>
        <v/>
      </c>
      <c r="AX91" s="17" t="str">
        <f>IFERROR(VLOOKUP(シフト組み!AX121,役職一覧!$B:$D,2,FALSE),"")</f>
        <v/>
      </c>
      <c r="AY91" s="17" t="str">
        <f>IFERROR(VLOOKUP(シフト組み!AY121,役職一覧!$B:$D,2,FALSE),"")</f>
        <v/>
      </c>
      <c r="AZ91" s="17" t="str">
        <f>IFERROR(VLOOKUP(シフト組み!AZ121,役職一覧!$B:$D,2,FALSE),"")</f>
        <v/>
      </c>
      <c r="BA91" s="17" t="str">
        <f>IFERROR(VLOOKUP(シフト組み!BA121,役職一覧!$B:$D,2,FALSE),"")</f>
        <v/>
      </c>
    </row>
    <row r="92" spans="1:53">
      <c r="A92" s="2" t="str">
        <f>シフト組み!A122&amp;""</f>
        <v/>
      </c>
      <c r="B92" s="2" t="str">
        <f>シフト組み!B122&amp;""</f>
        <v/>
      </c>
      <c r="C92" s="2" t="str">
        <f>シフト組み!C122&amp;""</f>
        <v/>
      </c>
      <c r="D92" s="17" t="str">
        <f>IFERROR(VLOOKUP(シフト組み!D122,役職一覧!$B:$D,2,FALSE),"")</f>
        <v/>
      </c>
      <c r="E92" s="17" t="str">
        <f>IFERROR(VLOOKUP(シフト組み!E122,役職一覧!$B:$D,2,FALSE),"")</f>
        <v/>
      </c>
      <c r="F92" s="17" t="str">
        <f>IFERROR(VLOOKUP(シフト組み!F122,役職一覧!$B:$D,2,FALSE),"")</f>
        <v/>
      </c>
      <c r="G92" s="17" t="str">
        <f>IFERROR(VLOOKUP(シフト組み!G122,役職一覧!$B:$D,2,FALSE),"")</f>
        <v/>
      </c>
      <c r="H92" s="17" t="str">
        <f>IFERROR(VLOOKUP(シフト組み!H122,役職一覧!$B:$D,2,FALSE),"")</f>
        <v/>
      </c>
      <c r="I92" s="17" t="str">
        <f>IFERROR(VLOOKUP(シフト組み!I122,役職一覧!$B:$D,2,FALSE),"")</f>
        <v/>
      </c>
      <c r="J92" s="17" t="str">
        <f>IFERROR(VLOOKUP(シフト組み!J122,役職一覧!$B:$D,2,FALSE),"")</f>
        <v/>
      </c>
      <c r="K92" s="17" t="str">
        <f>IFERROR(VLOOKUP(シフト組み!K122,役職一覧!$B:$D,2,FALSE),"")</f>
        <v/>
      </c>
      <c r="L92" s="17" t="str">
        <f>IFERROR(VLOOKUP(シフト組み!L122,役職一覧!$B:$D,2,FALSE),"")</f>
        <v/>
      </c>
      <c r="M92" s="17" t="str">
        <f>IFERROR(VLOOKUP(シフト組み!M122,役職一覧!$B:$D,2,FALSE),"")</f>
        <v/>
      </c>
      <c r="N92" s="17" t="str">
        <f>IFERROR(VLOOKUP(シフト組み!N122,役職一覧!$B:$D,2,FALSE),"")</f>
        <v/>
      </c>
      <c r="O92" s="17" t="str">
        <f>IFERROR(VLOOKUP(シフト組み!O122,役職一覧!$B:$D,2,FALSE),"")</f>
        <v/>
      </c>
      <c r="P92" s="17" t="str">
        <f>IFERROR(VLOOKUP(シフト組み!P122,役職一覧!$B:$D,2,FALSE),"")</f>
        <v/>
      </c>
      <c r="Q92" s="17" t="str">
        <f>IFERROR(VLOOKUP(シフト組み!Q122,役職一覧!$B:$D,2,FALSE),"")</f>
        <v/>
      </c>
      <c r="R92" s="17" t="str">
        <f>IFERROR(VLOOKUP(シフト組み!R122,役職一覧!$B:$D,2,FALSE),"")</f>
        <v/>
      </c>
      <c r="S92" s="17" t="str">
        <f>IFERROR(VLOOKUP(シフト組み!S122,役職一覧!$B:$D,2,FALSE),"")</f>
        <v/>
      </c>
      <c r="T92" s="17" t="str">
        <f>IFERROR(VLOOKUP(シフト組み!T122,役職一覧!$B:$D,2,FALSE),"")</f>
        <v/>
      </c>
      <c r="U92" s="17" t="str">
        <f>IFERROR(VLOOKUP(シフト組み!U122,役職一覧!$B:$D,2,FALSE),"")</f>
        <v/>
      </c>
      <c r="V92" s="17" t="str">
        <f>IFERROR(VLOOKUP(シフト組み!V122,役職一覧!$B:$D,2,FALSE),"")</f>
        <v/>
      </c>
      <c r="W92" s="17" t="str">
        <f>IFERROR(VLOOKUP(シフト組み!W122,役職一覧!$B:$D,2,FALSE),"")</f>
        <v/>
      </c>
      <c r="X92" s="17" t="str">
        <f>IFERROR(VLOOKUP(シフト組み!X122,役職一覧!$B:$D,2,FALSE),"")</f>
        <v/>
      </c>
      <c r="Y92" s="17" t="str">
        <f>IFERROR(VLOOKUP(シフト組み!Y122,役職一覧!$B:$D,2,FALSE),"")</f>
        <v/>
      </c>
      <c r="Z92" s="17" t="str">
        <f>IFERROR(VLOOKUP(シフト組み!Z122,役職一覧!$B:$D,2,FALSE),"")</f>
        <v/>
      </c>
      <c r="AA92" s="17" t="str">
        <f>IFERROR(VLOOKUP(シフト組み!AA122,役職一覧!$B:$D,2,FALSE),"")</f>
        <v/>
      </c>
      <c r="AB92" s="17" t="str">
        <f>IFERROR(VLOOKUP(シフト組み!AB122,役職一覧!$B:$D,2,FALSE),"")</f>
        <v/>
      </c>
      <c r="AC92" s="17" t="str">
        <f>IFERROR(VLOOKUP(シフト組み!AC122,役職一覧!$B:$D,2,FALSE),"")</f>
        <v/>
      </c>
      <c r="AD92" s="17" t="str">
        <f>IFERROR(VLOOKUP(シフト組み!AD122,役職一覧!$B:$D,2,FALSE),"")</f>
        <v/>
      </c>
      <c r="AE92" s="17" t="str">
        <f>IFERROR(VLOOKUP(シフト組み!AE122,役職一覧!$B:$D,2,FALSE),"")</f>
        <v/>
      </c>
      <c r="AF92" s="17" t="str">
        <f>IFERROR(VLOOKUP(シフト組み!AF122,役職一覧!$B:$D,2,FALSE),"")</f>
        <v/>
      </c>
      <c r="AG92" s="17" t="str">
        <f>IFERROR(VLOOKUP(シフト組み!AG122,役職一覧!$B:$D,2,FALSE),"")</f>
        <v/>
      </c>
      <c r="AH92" s="17" t="str">
        <f>IFERROR(VLOOKUP(シフト組み!AH122,役職一覧!$B:$D,2,FALSE),"")</f>
        <v/>
      </c>
      <c r="AI92" s="17" t="str">
        <f>IFERROR(VLOOKUP(シフト組み!AI122,役職一覧!$B:$D,2,FALSE),"")</f>
        <v/>
      </c>
      <c r="AJ92" s="17" t="str">
        <f>IFERROR(VLOOKUP(シフト組み!AJ122,役職一覧!$B:$D,2,FALSE),"")</f>
        <v/>
      </c>
      <c r="AK92" s="17" t="str">
        <f>IFERROR(VLOOKUP(シフト組み!AK122,役職一覧!$B:$D,2,FALSE),"")</f>
        <v/>
      </c>
      <c r="AL92" s="17" t="str">
        <f>IFERROR(VLOOKUP(シフト組み!AL122,役職一覧!$B:$D,2,FALSE),"")</f>
        <v/>
      </c>
      <c r="AM92" s="17" t="str">
        <f>IFERROR(VLOOKUP(シフト組み!AM122,役職一覧!$B:$D,2,FALSE),"")</f>
        <v/>
      </c>
      <c r="AN92" s="17" t="str">
        <f>IFERROR(VLOOKUP(シフト組み!AN122,役職一覧!$B:$D,2,FALSE),"")</f>
        <v/>
      </c>
      <c r="AO92" s="17" t="str">
        <f>IFERROR(VLOOKUP(シフト組み!AO122,役職一覧!$B:$D,2,FALSE),"")</f>
        <v/>
      </c>
      <c r="AP92" s="17" t="str">
        <f>IFERROR(VLOOKUP(シフト組み!AP122,役職一覧!$B:$D,2,FALSE),"")</f>
        <v/>
      </c>
      <c r="AQ92" s="17" t="str">
        <f>IFERROR(VLOOKUP(シフト組み!AQ122,役職一覧!$B:$D,2,FALSE),"")</f>
        <v/>
      </c>
      <c r="AR92" s="17" t="str">
        <f>IFERROR(VLOOKUP(シフト組み!AR122,役職一覧!$B:$D,2,FALSE),"")</f>
        <v/>
      </c>
      <c r="AS92" s="17" t="str">
        <f>IFERROR(VLOOKUP(シフト組み!AS122,役職一覧!$B:$D,2,FALSE),"")</f>
        <v/>
      </c>
      <c r="AT92" s="17" t="str">
        <f>IFERROR(VLOOKUP(シフト組み!AT122,役職一覧!$B:$D,2,FALSE),"")</f>
        <v/>
      </c>
      <c r="AU92" s="17" t="str">
        <f>IFERROR(VLOOKUP(シフト組み!AU122,役職一覧!$B:$D,2,FALSE),"")</f>
        <v/>
      </c>
      <c r="AV92" s="17" t="str">
        <f>IFERROR(VLOOKUP(シフト組み!AV122,役職一覧!$B:$D,2,FALSE),"")</f>
        <v/>
      </c>
      <c r="AW92" s="17" t="str">
        <f>IFERROR(VLOOKUP(シフト組み!AW122,役職一覧!$B:$D,2,FALSE),"")</f>
        <v/>
      </c>
      <c r="AX92" s="17" t="str">
        <f>IFERROR(VLOOKUP(シフト組み!AX122,役職一覧!$B:$D,2,FALSE),"")</f>
        <v/>
      </c>
      <c r="AY92" s="17" t="str">
        <f>IFERROR(VLOOKUP(シフト組み!AY122,役職一覧!$B:$D,2,FALSE),"")</f>
        <v/>
      </c>
      <c r="AZ92" s="17" t="str">
        <f>IFERROR(VLOOKUP(シフト組み!AZ122,役職一覧!$B:$D,2,FALSE),"")</f>
        <v/>
      </c>
      <c r="BA92" s="17" t="str">
        <f>IFERROR(VLOOKUP(シフト組み!BA122,役職一覧!$B:$D,2,FALSE),"")</f>
        <v/>
      </c>
    </row>
    <row r="93" spans="1:53">
      <c r="A93" s="2" t="str">
        <f>シフト組み!A123&amp;""</f>
        <v/>
      </c>
      <c r="B93" s="2" t="str">
        <f>シフト組み!B123&amp;""</f>
        <v/>
      </c>
      <c r="C93" s="2" t="str">
        <f>シフト組み!C123&amp;""</f>
        <v/>
      </c>
      <c r="D93" s="17" t="str">
        <f>IFERROR(VLOOKUP(シフト組み!D123,役職一覧!$B:$D,2,FALSE),"")</f>
        <v/>
      </c>
      <c r="E93" s="17" t="str">
        <f>IFERROR(VLOOKUP(シフト組み!E123,役職一覧!$B:$D,2,FALSE),"")</f>
        <v/>
      </c>
      <c r="F93" s="17" t="str">
        <f>IFERROR(VLOOKUP(シフト組み!F123,役職一覧!$B:$D,2,FALSE),"")</f>
        <v/>
      </c>
      <c r="G93" s="17" t="str">
        <f>IFERROR(VLOOKUP(シフト組み!G123,役職一覧!$B:$D,2,FALSE),"")</f>
        <v/>
      </c>
      <c r="H93" s="17" t="str">
        <f>IFERROR(VLOOKUP(シフト組み!H123,役職一覧!$B:$D,2,FALSE),"")</f>
        <v/>
      </c>
      <c r="I93" s="17" t="str">
        <f>IFERROR(VLOOKUP(シフト組み!I123,役職一覧!$B:$D,2,FALSE),"")</f>
        <v/>
      </c>
      <c r="J93" s="17" t="str">
        <f>IFERROR(VLOOKUP(シフト組み!J123,役職一覧!$B:$D,2,FALSE),"")</f>
        <v/>
      </c>
      <c r="K93" s="17" t="str">
        <f>IFERROR(VLOOKUP(シフト組み!K123,役職一覧!$B:$D,2,FALSE),"")</f>
        <v/>
      </c>
      <c r="L93" s="17" t="str">
        <f>IFERROR(VLOOKUP(シフト組み!L123,役職一覧!$B:$D,2,FALSE),"")</f>
        <v/>
      </c>
      <c r="M93" s="17" t="str">
        <f>IFERROR(VLOOKUP(シフト組み!M123,役職一覧!$B:$D,2,FALSE),"")</f>
        <v/>
      </c>
      <c r="N93" s="17" t="str">
        <f>IFERROR(VLOOKUP(シフト組み!N123,役職一覧!$B:$D,2,FALSE),"")</f>
        <v/>
      </c>
      <c r="O93" s="17" t="str">
        <f>IFERROR(VLOOKUP(シフト組み!O123,役職一覧!$B:$D,2,FALSE),"")</f>
        <v/>
      </c>
      <c r="P93" s="17" t="str">
        <f>IFERROR(VLOOKUP(シフト組み!P123,役職一覧!$B:$D,2,FALSE),"")</f>
        <v/>
      </c>
      <c r="Q93" s="17" t="str">
        <f>IFERROR(VLOOKUP(シフト組み!Q123,役職一覧!$B:$D,2,FALSE),"")</f>
        <v/>
      </c>
      <c r="R93" s="17" t="str">
        <f>IFERROR(VLOOKUP(シフト組み!R123,役職一覧!$B:$D,2,FALSE),"")</f>
        <v/>
      </c>
      <c r="S93" s="17" t="str">
        <f>IFERROR(VLOOKUP(シフト組み!S123,役職一覧!$B:$D,2,FALSE),"")</f>
        <v/>
      </c>
      <c r="T93" s="17" t="str">
        <f>IFERROR(VLOOKUP(シフト組み!T123,役職一覧!$B:$D,2,FALSE),"")</f>
        <v/>
      </c>
      <c r="U93" s="17" t="str">
        <f>IFERROR(VLOOKUP(シフト組み!U123,役職一覧!$B:$D,2,FALSE),"")</f>
        <v/>
      </c>
      <c r="V93" s="17" t="str">
        <f>IFERROR(VLOOKUP(シフト組み!V123,役職一覧!$B:$D,2,FALSE),"")</f>
        <v/>
      </c>
      <c r="W93" s="17" t="str">
        <f>IFERROR(VLOOKUP(シフト組み!W123,役職一覧!$B:$D,2,FALSE),"")</f>
        <v/>
      </c>
      <c r="X93" s="17" t="str">
        <f>IFERROR(VLOOKUP(シフト組み!X123,役職一覧!$B:$D,2,FALSE),"")</f>
        <v/>
      </c>
      <c r="Y93" s="17" t="str">
        <f>IFERROR(VLOOKUP(シフト組み!Y123,役職一覧!$B:$D,2,FALSE),"")</f>
        <v/>
      </c>
      <c r="Z93" s="17" t="str">
        <f>IFERROR(VLOOKUP(シフト組み!Z123,役職一覧!$B:$D,2,FALSE),"")</f>
        <v/>
      </c>
      <c r="AA93" s="17" t="str">
        <f>IFERROR(VLOOKUP(シフト組み!AA123,役職一覧!$B:$D,2,FALSE),"")</f>
        <v/>
      </c>
      <c r="AB93" s="17" t="str">
        <f>IFERROR(VLOOKUP(シフト組み!AB123,役職一覧!$B:$D,2,FALSE),"")</f>
        <v/>
      </c>
      <c r="AC93" s="17" t="str">
        <f>IFERROR(VLOOKUP(シフト組み!AC123,役職一覧!$B:$D,2,FALSE),"")</f>
        <v/>
      </c>
      <c r="AD93" s="17" t="str">
        <f>IFERROR(VLOOKUP(シフト組み!AD123,役職一覧!$B:$D,2,FALSE),"")</f>
        <v/>
      </c>
      <c r="AE93" s="17" t="str">
        <f>IFERROR(VLOOKUP(シフト組み!AE123,役職一覧!$B:$D,2,FALSE),"")</f>
        <v/>
      </c>
      <c r="AF93" s="17" t="str">
        <f>IFERROR(VLOOKUP(シフト組み!AF123,役職一覧!$B:$D,2,FALSE),"")</f>
        <v/>
      </c>
      <c r="AG93" s="17" t="str">
        <f>IFERROR(VLOOKUP(シフト組み!AG123,役職一覧!$B:$D,2,FALSE),"")</f>
        <v/>
      </c>
      <c r="AH93" s="17" t="str">
        <f>IFERROR(VLOOKUP(シフト組み!AH123,役職一覧!$B:$D,2,FALSE),"")</f>
        <v/>
      </c>
      <c r="AI93" s="17" t="str">
        <f>IFERROR(VLOOKUP(シフト組み!AI123,役職一覧!$B:$D,2,FALSE),"")</f>
        <v/>
      </c>
      <c r="AJ93" s="17" t="str">
        <f>IFERROR(VLOOKUP(シフト組み!AJ123,役職一覧!$B:$D,2,FALSE),"")</f>
        <v/>
      </c>
      <c r="AK93" s="17" t="str">
        <f>IFERROR(VLOOKUP(シフト組み!AK123,役職一覧!$B:$D,2,FALSE),"")</f>
        <v/>
      </c>
      <c r="AL93" s="17" t="str">
        <f>IFERROR(VLOOKUP(シフト組み!AL123,役職一覧!$B:$D,2,FALSE),"")</f>
        <v/>
      </c>
      <c r="AM93" s="17" t="str">
        <f>IFERROR(VLOOKUP(シフト組み!AM123,役職一覧!$B:$D,2,FALSE),"")</f>
        <v/>
      </c>
      <c r="AN93" s="17" t="str">
        <f>IFERROR(VLOOKUP(シフト組み!AN123,役職一覧!$B:$D,2,FALSE),"")</f>
        <v/>
      </c>
      <c r="AO93" s="17" t="str">
        <f>IFERROR(VLOOKUP(シフト組み!AO123,役職一覧!$B:$D,2,FALSE),"")</f>
        <v/>
      </c>
      <c r="AP93" s="17" t="str">
        <f>IFERROR(VLOOKUP(シフト組み!AP123,役職一覧!$B:$D,2,FALSE),"")</f>
        <v/>
      </c>
      <c r="AQ93" s="17" t="str">
        <f>IFERROR(VLOOKUP(シフト組み!AQ123,役職一覧!$B:$D,2,FALSE),"")</f>
        <v/>
      </c>
      <c r="AR93" s="17" t="str">
        <f>IFERROR(VLOOKUP(シフト組み!AR123,役職一覧!$B:$D,2,FALSE),"")</f>
        <v/>
      </c>
      <c r="AS93" s="17" t="str">
        <f>IFERROR(VLOOKUP(シフト組み!AS123,役職一覧!$B:$D,2,FALSE),"")</f>
        <v/>
      </c>
      <c r="AT93" s="17" t="str">
        <f>IFERROR(VLOOKUP(シフト組み!AT123,役職一覧!$B:$D,2,FALSE),"")</f>
        <v/>
      </c>
      <c r="AU93" s="17" t="str">
        <f>IFERROR(VLOOKUP(シフト組み!AU123,役職一覧!$B:$D,2,FALSE),"")</f>
        <v/>
      </c>
      <c r="AV93" s="17" t="str">
        <f>IFERROR(VLOOKUP(シフト組み!AV123,役職一覧!$B:$D,2,FALSE),"")</f>
        <v/>
      </c>
      <c r="AW93" s="17" t="str">
        <f>IFERROR(VLOOKUP(シフト組み!AW123,役職一覧!$B:$D,2,FALSE),"")</f>
        <v/>
      </c>
      <c r="AX93" s="17" t="str">
        <f>IFERROR(VLOOKUP(シフト組み!AX123,役職一覧!$B:$D,2,FALSE),"")</f>
        <v/>
      </c>
      <c r="AY93" s="17" t="str">
        <f>IFERROR(VLOOKUP(シフト組み!AY123,役職一覧!$B:$D,2,FALSE),"")</f>
        <v/>
      </c>
      <c r="AZ93" s="17" t="str">
        <f>IFERROR(VLOOKUP(シフト組み!AZ123,役職一覧!$B:$D,2,FALSE),"")</f>
        <v/>
      </c>
      <c r="BA93" s="17" t="str">
        <f>IFERROR(VLOOKUP(シフト組み!BA123,役職一覧!$B:$D,2,FALSE),"")</f>
        <v/>
      </c>
    </row>
    <row r="94" spans="1:53">
      <c r="A94" s="2" t="str">
        <f>シフト組み!A124&amp;""</f>
        <v/>
      </c>
      <c r="B94" s="2" t="str">
        <f>シフト組み!B124&amp;""</f>
        <v/>
      </c>
      <c r="C94" s="2" t="str">
        <f>シフト組み!C124&amp;""</f>
        <v/>
      </c>
      <c r="D94" s="17" t="str">
        <f>IFERROR(VLOOKUP(シフト組み!D124,役職一覧!$B:$D,2,FALSE),"")</f>
        <v/>
      </c>
      <c r="E94" s="17" t="str">
        <f>IFERROR(VLOOKUP(シフト組み!E124,役職一覧!$B:$D,2,FALSE),"")</f>
        <v/>
      </c>
      <c r="F94" s="17" t="str">
        <f>IFERROR(VLOOKUP(シフト組み!F124,役職一覧!$B:$D,2,FALSE),"")</f>
        <v/>
      </c>
      <c r="G94" s="17" t="str">
        <f>IFERROR(VLOOKUP(シフト組み!G124,役職一覧!$B:$D,2,FALSE),"")</f>
        <v/>
      </c>
      <c r="H94" s="17" t="str">
        <f>IFERROR(VLOOKUP(シフト組み!H124,役職一覧!$B:$D,2,FALSE),"")</f>
        <v/>
      </c>
      <c r="I94" s="17" t="str">
        <f>IFERROR(VLOOKUP(シフト組み!I124,役職一覧!$B:$D,2,FALSE),"")</f>
        <v/>
      </c>
      <c r="J94" s="17" t="str">
        <f>IFERROR(VLOOKUP(シフト組み!J124,役職一覧!$B:$D,2,FALSE),"")</f>
        <v/>
      </c>
      <c r="K94" s="17" t="str">
        <f>IFERROR(VLOOKUP(シフト組み!K124,役職一覧!$B:$D,2,FALSE),"")</f>
        <v/>
      </c>
      <c r="L94" s="17" t="str">
        <f>IFERROR(VLOOKUP(シフト組み!L124,役職一覧!$B:$D,2,FALSE),"")</f>
        <v/>
      </c>
      <c r="M94" s="17" t="str">
        <f>IFERROR(VLOOKUP(シフト組み!M124,役職一覧!$B:$D,2,FALSE),"")</f>
        <v/>
      </c>
      <c r="N94" s="17" t="str">
        <f>IFERROR(VLOOKUP(シフト組み!N124,役職一覧!$B:$D,2,FALSE),"")</f>
        <v/>
      </c>
      <c r="O94" s="17" t="str">
        <f>IFERROR(VLOOKUP(シフト組み!O124,役職一覧!$B:$D,2,FALSE),"")</f>
        <v/>
      </c>
      <c r="P94" s="17" t="str">
        <f>IFERROR(VLOOKUP(シフト組み!P124,役職一覧!$B:$D,2,FALSE),"")</f>
        <v/>
      </c>
      <c r="Q94" s="17" t="str">
        <f>IFERROR(VLOOKUP(シフト組み!Q124,役職一覧!$B:$D,2,FALSE),"")</f>
        <v/>
      </c>
      <c r="R94" s="17" t="str">
        <f>IFERROR(VLOOKUP(シフト組み!R124,役職一覧!$B:$D,2,FALSE),"")</f>
        <v/>
      </c>
      <c r="S94" s="17" t="str">
        <f>IFERROR(VLOOKUP(シフト組み!S124,役職一覧!$B:$D,2,FALSE),"")</f>
        <v/>
      </c>
      <c r="T94" s="17" t="str">
        <f>IFERROR(VLOOKUP(シフト組み!T124,役職一覧!$B:$D,2,FALSE),"")</f>
        <v/>
      </c>
      <c r="U94" s="17" t="str">
        <f>IFERROR(VLOOKUP(シフト組み!U124,役職一覧!$B:$D,2,FALSE),"")</f>
        <v/>
      </c>
      <c r="V94" s="17" t="str">
        <f>IFERROR(VLOOKUP(シフト組み!V124,役職一覧!$B:$D,2,FALSE),"")</f>
        <v/>
      </c>
      <c r="W94" s="17" t="str">
        <f>IFERROR(VLOOKUP(シフト組み!W124,役職一覧!$B:$D,2,FALSE),"")</f>
        <v/>
      </c>
      <c r="X94" s="17" t="str">
        <f>IFERROR(VLOOKUP(シフト組み!X124,役職一覧!$B:$D,2,FALSE),"")</f>
        <v/>
      </c>
      <c r="Y94" s="17" t="str">
        <f>IFERROR(VLOOKUP(シフト組み!Y124,役職一覧!$B:$D,2,FALSE),"")</f>
        <v/>
      </c>
      <c r="Z94" s="17" t="str">
        <f>IFERROR(VLOOKUP(シフト組み!Z124,役職一覧!$B:$D,2,FALSE),"")</f>
        <v/>
      </c>
      <c r="AA94" s="17" t="str">
        <f>IFERROR(VLOOKUP(シフト組み!AA124,役職一覧!$B:$D,2,FALSE),"")</f>
        <v/>
      </c>
      <c r="AB94" s="17" t="str">
        <f>IFERROR(VLOOKUP(シフト組み!AB124,役職一覧!$B:$D,2,FALSE),"")</f>
        <v/>
      </c>
      <c r="AC94" s="17" t="str">
        <f>IFERROR(VLOOKUP(シフト組み!AC124,役職一覧!$B:$D,2,FALSE),"")</f>
        <v/>
      </c>
      <c r="AD94" s="17" t="str">
        <f>IFERROR(VLOOKUP(シフト組み!AD124,役職一覧!$B:$D,2,FALSE),"")</f>
        <v/>
      </c>
      <c r="AE94" s="17" t="str">
        <f>IFERROR(VLOOKUP(シフト組み!AE124,役職一覧!$B:$D,2,FALSE),"")</f>
        <v/>
      </c>
      <c r="AF94" s="17" t="str">
        <f>IFERROR(VLOOKUP(シフト組み!AF124,役職一覧!$B:$D,2,FALSE),"")</f>
        <v/>
      </c>
      <c r="AG94" s="17" t="str">
        <f>IFERROR(VLOOKUP(シフト組み!AG124,役職一覧!$B:$D,2,FALSE),"")</f>
        <v/>
      </c>
      <c r="AH94" s="17" t="str">
        <f>IFERROR(VLOOKUP(シフト組み!AH124,役職一覧!$B:$D,2,FALSE),"")</f>
        <v/>
      </c>
      <c r="AI94" s="17" t="str">
        <f>IFERROR(VLOOKUP(シフト組み!AI124,役職一覧!$B:$D,2,FALSE),"")</f>
        <v/>
      </c>
      <c r="AJ94" s="17" t="str">
        <f>IFERROR(VLOOKUP(シフト組み!AJ124,役職一覧!$B:$D,2,FALSE),"")</f>
        <v/>
      </c>
      <c r="AK94" s="17" t="str">
        <f>IFERROR(VLOOKUP(シフト組み!AK124,役職一覧!$B:$D,2,FALSE),"")</f>
        <v/>
      </c>
      <c r="AL94" s="17" t="str">
        <f>IFERROR(VLOOKUP(シフト組み!AL124,役職一覧!$B:$D,2,FALSE),"")</f>
        <v/>
      </c>
      <c r="AM94" s="17" t="str">
        <f>IFERROR(VLOOKUP(シフト組み!AM124,役職一覧!$B:$D,2,FALSE),"")</f>
        <v/>
      </c>
      <c r="AN94" s="17" t="str">
        <f>IFERROR(VLOOKUP(シフト組み!AN124,役職一覧!$B:$D,2,FALSE),"")</f>
        <v/>
      </c>
      <c r="AO94" s="17" t="str">
        <f>IFERROR(VLOOKUP(シフト組み!AO124,役職一覧!$B:$D,2,FALSE),"")</f>
        <v/>
      </c>
      <c r="AP94" s="17" t="str">
        <f>IFERROR(VLOOKUP(シフト組み!AP124,役職一覧!$B:$D,2,FALSE),"")</f>
        <v/>
      </c>
      <c r="AQ94" s="17" t="str">
        <f>IFERROR(VLOOKUP(シフト組み!AQ124,役職一覧!$B:$D,2,FALSE),"")</f>
        <v/>
      </c>
      <c r="AR94" s="17" t="str">
        <f>IFERROR(VLOOKUP(シフト組み!AR124,役職一覧!$B:$D,2,FALSE),"")</f>
        <v/>
      </c>
      <c r="AS94" s="17" t="str">
        <f>IFERROR(VLOOKUP(シフト組み!AS124,役職一覧!$B:$D,2,FALSE),"")</f>
        <v/>
      </c>
      <c r="AT94" s="17" t="str">
        <f>IFERROR(VLOOKUP(シフト組み!AT124,役職一覧!$B:$D,2,FALSE),"")</f>
        <v/>
      </c>
      <c r="AU94" s="17" t="str">
        <f>IFERROR(VLOOKUP(シフト組み!AU124,役職一覧!$B:$D,2,FALSE),"")</f>
        <v/>
      </c>
      <c r="AV94" s="17" t="str">
        <f>IFERROR(VLOOKUP(シフト組み!AV124,役職一覧!$B:$D,2,FALSE),"")</f>
        <v/>
      </c>
      <c r="AW94" s="17" t="str">
        <f>IFERROR(VLOOKUP(シフト組み!AW124,役職一覧!$B:$D,2,FALSE),"")</f>
        <v/>
      </c>
      <c r="AX94" s="17" t="str">
        <f>IFERROR(VLOOKUP(シフト組み!AX124,役職一覧!$B:$D,2,FALSE),"")</f>
        <v/>
      </c>
      <c r="AY94" s="17" t="str">
        <f>IFERROR(VLOOKUP(シフト組み!AY124,役職一覧!$B:$D,2,FALSE),"")</f>
        <v/>
      </c>
      <c r="AZ94" s="17" t="str">
        <f>IFERROR(VLOOKUP(シフト組み!AZ124,役職一覧!$B:$D,2,FALSE),"")</f>
        <v/>
      </c>
      <c r="BA94" s="17" t="str">
        <f>IFERROR(VLOOKUP(シフト組み!BA124,役職一覧!$B:$D,2,FALSE),"")</f>
        <v/>
      </c>
    </row>
    <row r="95" spans="1:53">
      <c r="A95" s="2" t="str">
        <f>シフト組み!A125&amp;""</f>
        <v/>
      </c>
      <c r="B95" s="2" t="str">
        <f>シフト組み!B125&amp;""</f>
        <v/>
      </c>
      <c r="C95" s="2" t="str">
        <f>シフト組み!C125&amp;""</f>
        <v/>
      </c>
      <c r="D95" s="17" t="str">
        <f>IFERROR(VLOOKUP(シフト組み!D125,役職一覧!$B:$D,2,FALSE),"")</f>
        <v/>
      </c>
      <c r="E95" s="17" t="str">
        <f>IFERROR(VLOOKUP(シフト組み!E125,役職一覧!$B:$D,2,FALSE),"")</f>
        <v/>
      </c>
      <c r="F95" s="17" t="str">
        <f>IFERROR(VLOOKUP(シフト組み!F125,役職一覧!$B:$D,2,FALSE),"")</f>
        <v/>
      </c>
      <c r="G95" s="17" t="str">
        <f>IFERROR(VLOOKUP(シフト組み!G125,役職一覧!$B:$D,2,FALSE),"")</f>
        <v/>
      </c>
      <c r="H95" s="17" t="str">
        <f>IFERROR(VLOOKUP(シフト組み!H125,役職一覧!$B:$D,2,FALSE),"")</f>
        <v/>
      </c>
      <c r="I95" s="17" t="str">
        <f>IFERROR(VLOOKUP(シフト組み!I125,役職一覧!$B:$D,2,FALSE),"")</f>
        <v/>
      </c>
      <c r="J95" s="17" t="str">
        <f>IFERROR(VLOOKUP(シフト組み!J125,役職一覧!$B:$D,2,FALSE),"")</f>
        <v/>
      </c>
      <c r="K95" s="17" t="str">
        <f>IFERROR(VLOOKUP(シフト組み!K125,役職一覧!$B:$D,2,FALSE),"")</f>
        <v/>
      </c>
      <c r="L95" s="17" t="str">
        <f>IFERROR(VLOOKUP(シフト組み!L125,役職一覧!$B:$D,2,FALSE),"")</f>
        <v/>
      </c>
      <c r="M95" s="17" t="str">
        <f>IFERROR(VLOOKUP(シフト組み!M125,役職一覧!$B:$D,2,FALSE),"")</f>
        <v/>
      </c>
      <c r="N95" s="17" t="str">
        <f>IFERROR(VLOOKUP(シフト組み!N125,役職一覧!$B:$D,2,FALSE),"")</f>
        <v/>
      </c>
      <c r="O95" s="17" t="str">
        <f>IFERROR(VLOOKUP(シフト組み!O125,役職一覧!$B:$D,2,FALSE),"")</f>
        <v/>
      </c>
      <c r="P95" s="17" t="str">
        <f>IFERROR(VLOOKUP(シフト組み!P125,役職一覧!$B:$D,2,FALSE),"")</f>
        <v/>
      </c>
      <c r="Q95" s="17" t="str">
        <f>IFERROR(VLOOKUP(シフト組み!Q125,役職一覧!$B:$D,2,FALSE),"")</f>
        <v/>
      </c>
      <c r="R95" s="17" t="str">
        <f>IFERROR(VLOOKUP(シフト組み!R125,役職一覧!$B:$D,2,FALSE),"")</f>
        <v/>
      </c>
      <c r="S95" s="17" t="str">
        <f>IFERROR(VLOOKUP(シフト組み!S125,役職一覧!$B:$D,2,FALSE),"")</f>
        <v/>
      </c>
      <c r="T95" s="17" t="str">
        <f>IFERROR(VLOOKUP(シフト組み!T125,役職一覧!$B:$D,2,FALSE),"")</f>
        <v/>
      </c>
      <c r="U95" s="17" t="str">
        <f>IFERROR(VLOOKUP(シフト組み!U125,役職一覧!$B:$D,2,FALSE),"")</f>
        <v/>
      </c>
      <c r="V95" s="17" t="str">
        <f>IFERROR(VLOOKUP(シフト組み!V125,役職一覧!$B:$D,2,FALSE),"")</f>
        <v/>
      </c>
      <c r="W95" s="17" t="str">
        <f>IFERROR(VLOOKUP(シフト組み!W125,役職一覧!$B:$D,2,FALSE),"")</f>
        <v/>
      </c>
      <c r="X95" s="17" t="str">
        <f>IFERROR(VLOOKUP(シフト組み!X125,役職一覧!$B:$D,2,FALSE),"")</f>
        <v/>
      </c>
      <c r="Y95" s="17" t="str">
        <f>IFERROR(VLOOKUP(シフト組み!Y125,役職一覧!$B:$D,2,FALSE),"")</f>
        <v/>
      </c>
      <c r="Z95" s="17" t="str">
        <f>IFERROR(VLOOKUP(シフト組み!Z125,役職一覧!$B:$D,2,FALSE),"")</f>
        <v/>
      </c>
      <c r="AA95" s="17" t="str">
        <f>IFERROR(VLOOKUP(シフト組み!AA125,役職一覧!$B:$D,2,FALSE),"")</f>
        <v/>
      </c>
      <c r="AB95" s="17" t="str">
        <f>IFERROR(VLOOKUP(シフト組み!AB125,役職一覧!$B:$D,2,FALSE),"")</f>
        <v/>
      </c>
      <c r="AC95" s="17" t="str">
        <f>IFERROR(VLOOKUP(シフト組み!AC125,役職一覧!$B:$D,2,FALSE),"")</f>
        <v/>
      </c>
      <c r="AD95" s="17" t="str">
        <f>IFERROR(VLOOKUP(シフト組み!AD125,役職一覧!$B:$D,2,FALSE),"")</f>
        <v/>
      </c>
      <c r="AE95" s="17" t="str">
        <f>IFERROR(VLOOKUP(シフト組み!AE125,役職一覧!$B:$D,2,FALSE),"")</f>
        <v/>
      </c>
      <c r="AF95" s="17" t="str">
        <f>IFERROR(VLOOKUP(シフト組み!AF125,役職一覧!$B:$D,2,FALSE),"")</f>
        <v/>
      </c>
      <c r="AG95" s="17" t="str">
        <f>IFERROR(VLOOKUP(シフト組み!AG125,役職一覧!$B:$D,2,FALSE),"")</f>
        <v/>
      </c>
      <c r="AH95" s="17" t="str">
        <f>IFERROR(VLOOKUP(シフト組み!AH125,役職一覧!$B:$D,2,FALSE),"")</f>
        <v/>
      </c>
      <c r="AI95" s="17" t="str">
        <f>IFERROR(VLOOKUP(シフト組み!AI125,役職一覧!$B:$D,2,FALSE),"")</f>
        <v/>
      </c>
      <c r="AJ95" s="17" t="str">
        <f>IFERROR(VLOOKUP(シフト組み!AJ125,役職一覧!$B:$D,2,FALSE),"")</f>
        <v/>
      </c>
      <c r="AK95" s="17" t="str">
        <f>IFERROR(VLOOKUP(シフト組み!AK125,役職一覧!$B:$D,2,FALSE),"")</f>
        <v/>
      </c>
      <c r="AL95" s="17" t="str">
        <f>IFERROR(VLOOKUP(シフト組み!AL125,役職一覧!$B:$D,2,FALSE),"")</f>
        <v/>
      </c>
      <c r="AM95" s="17" t="str">
        <f>IFERROR(VLOOKUP(シフト組み!AM125,役職一覧!$B:$D,2,FALSE),"")</f>
        <v/>
      </c>
      <c r="AN95" s="17" t="str">
        <f>IFERROR(VLOOKUP(シフト組み!AN125,役職一覧!$B:$D,2,FALSE),"")</f>
        <v/>
      </c>
      <c r="AO95" s="17" t="str">
        <f>IFERROR(VLOOKUP(シフト組み!AO125,役職一覧!$B:$D,2,FALSE),"")</f>
        <v/>
      </c>
      <c r="AP95" s="17" t="str">
        <f>IFERROR(VLOOKUP(シフト組み!AP125,役職一覧!$B:$D,2,FALSE),"")</f>
        <v/>
      </c>
      <c r="AQ95" s="17" t="str">
        <f>IFERROR(VLOOKUP(シフト組み!AQ125,役職一覧!$B:$D,2,FALSE),"")</f>
        <v/>
      </c>
      <c r="AR95" s="17" t="str">
        <f>IFERROR(VLOOKUP(シフト組み!AR125,役職一覧!$B:$D,2,FALSE),"")</f>
        <v/>
      </c>
      <c r="AS95" s="17" t="str">
        <f>IFERROR(VLOOKUP(シフト組み!AS125,役職一覧!$B:$D,2,FALSE),"")</f>
        <v/>
      </c>
      <c r="AT95" s="17" t="str">
        <f>IFERROR(VLOOKUP(シフト組み!AT125,役職一覧!$B:$D,2,FALSE),"")</f>
        <v/>
      </c>
      <c r="AU95" s="17" t="str">
        <f>IFERROR(VLOOKUP(シフト組み!AU125,役職一覧!$B:$D,2,FALSE),"")</f>
        <v/>
      </c>
      <c r="AV95" s="17" t="str">
        <f>IFERROR(VLOOKUP(シフト組み!AV125,役職一覧!$B:$D,2,FALSE),"")</f>
        <v/>
      </c>
      <c r="AW95" s="17" t="str">
        <f>IFERROR(VLOOKUP(シフト組み!AW125,役職一覧!$B:$D,2,FALSE),"")</f>
        <v/>
      </c>
      <c r="AX95" s="17" t="str">
        <f>IFERROR(VLOOKUP(シフト組み!AX125,役職一覧!$B:$D,2,FALSE),"")</f>
        <v/>
      </c>
      <c r="AY95" s="17" t="str">
        <f>IFERROR(VLOOKUP(シフト組み!AY125,役職一覧!$B:$D,2,FALSE),"")</f>
        <v/>
      </c>
      <c r="AZ95" s="17" t="str">
        <f>IFERROR(VLOOKUP(シフト組み!AZ125,役職一覧!$B:$D,2,FALSE),"")</f>
        <v/>
      </c>
      <c r="BA95" s="17" t="str">
        <f>IFERROR(VLOOKUP(シフト組み!BA125,役職一覧!$B:$D,2,FALSE),"")</f>
        <v/>
      </c>
    </row>
    <row r="96" spans="1:53">
      <c r="A96" s="2" t="str">
        <f>シフト組み!A126&amp;""</f>
        <v/>
      </c>
      <c r="B96" s="2" t="str">
        <f>シフト組み!B126&amp;""</f>
        <v/>
      </c>
      <c r="C96" s="2" t="str">
        <f>シフト組み!C126&amp;""</f>
        <v/>
      </c>
      <c r="D96" s="17" t="str">
        <f>IFERROR(VLOOKUP(シフト組み!D126,役職一覧!$B:$D,2,FALSE),"")</f>
        <v/>
      </c>
      <c r="E96" s="17" t="str">
        <f>IFERROR(VLOOKUP(シフト組み!E126,役職一覧!$B:$D,2,FALSE),"")</f>
        <v/>
      </c>
      <c r="F96" s="17" t="str">
        <f>IFERROR(VLOOKUP(シフト組み!F126,役職一覧!$B:$D,2,FALSE),"")</f>
        <v/>
      </c>
      <c r="G96" s="17" t="str">
        <f>IFERROR(VLOOKUP(シフト組み!G126,役職一覧!$B:$D,2,FALSE),"")</f>
        <v/>
      </c>
      <c r="H96" s="17" t="str">
        <f>IFERROR(VLOOKUP(シフト組み!H126,役職一覧!$B:$D,2,FALSE),"")</f>
        <v/>
      </c>
      <c r="I96" s="17" t="str">
        <f>IFERROR(VLOOKUP(シフト組み!I126,役職一覧!$B:$D,2,FALSE),"")</f>
        <v/>
      </c>
      <c r="J96" s="17" t="str">
        <f>IFERROR(VLOOKUP(シフト組み!J126,役職一覧!$B:$D,2,FALSE),"")</f>
        <v/>
      </c>
      <c r="K96" s="17" t="str">
        <f>IFERROR(VLOOKUP(シフト組み!K126,役職一覧!$B:$D,2,FALSE),"")</f>
        <v/>
      </c>
      <c r="L96" s="17" t="str">
        <f>IFERROR(VLOOKUP(シフト組み!L126,役職一覧!$B:$D,2,FALSE),"")</f>
        <v/>
      </c>
      <c r="M96" s="17" t="str">
        <f>IFERROR(VLOOKUP(シフト組み!M126,役職一覧!$B:$D,2,FALSE),"")</f>
        <v/>
      </c>
      <c r="N96" s="17" t="str">
        <f>IFERROR(VLOOKUP(シフト組み!N126,役職一覧!$B:$D,2,FALSE),"")</f>
        <v/>
      </c>
      <c r="O96" s="17" t="str">
        <f>IFERROR(VLOOKUP(シフト組み!O126,役職一覧!$B:$D,2,FALSE),"")</f>
        <v/>
      </c>
      <c r="P96" s="17" t="str">
        <f>IFERROR(VLOOKUP(シフト組み!P126,役職一覧!$B:$D,2,FALSE),"")</f>
        <v/>
      </c>
      <c r="Q96" s="17" t="str">
        <f>IFERROR(VLOOKUP(シフト組み!Q126,役職一覧!$B:$D,2,FALSE),"")</f>
        <v/>
      </c>
      <c r="R96" s="17" t="str">
        <f>IFERROR(VLOOKUP(シフト組み!R126,役職一覧!$B:$D,2,FALSE),"")</f>
        <v/>
      </c>
      <c r="S96" s="17" t="str">
        <f>IFERROR(VLOOKUP(シフト組み!S126,役職一覧!$B:$D,2,FALSE),"")</f>
        <v/>
      </c>
      <c r="T96" s="17" t="str">
        <f>IFERROR(VLOOKUP(シフト組み!T126,役職一覧!$B:$D,2,FALSE),"")</f>
        <v/>
      </c>
      <c r="U96" s="17" t="str">
        <f>IFERROR(VLOOKUP(シフト組み!U126,役職一覧!$B:$D,2,FALSE),"")</f>
        <v/>
      </c>
      <c r="V96" s="17" t="str">
        <f>IFERROR(VLOOKUP(シフト組み!V126,役職一覧!$B:$D,2,FALSE),"")</f>
        <v/>
      </c>
      <c r="W96" s="17" t="str">
        <f>IFERROR(VLOOKUP(シフト組み!W126,役職一覧!$B:$D,2,FALSE),"")</f>
        <v/>
      </c>
      <c r="X96" s="17" t="str">
        <f>IFERROR(VLOOKUP(シフト組み!X126,役職一覧!$B:$D,2,FALSE),"")</f>
        <v/>
      </c>
      <c r="Y96" s="17" t="str">
        <f>IFERROR(VLOOKUP(シフト組み!Y126,役職一覧!$B:$D,2,FALSE),"")</f>
        <v/>
      </c>
      <c r="Z96" s="17" t="str">
        <f>IFERROR(VLOOKUP(シフト組み!Z126,役職一覧!$B:$D,2,FALSE),"")</f>
        <v/>
      </c>
      <c r="AA96" s="17" t="str">
        <f>IFERROR(VLOOKUP(シフト組み!AA126,役職一覧!$B:$D,2,FALSE),"")</f>
        <v/>
      </c>
      <c r="AB96" s="17" t="str">
        <f>IFERROR(VLOOKUP(シフト組み!AB126,役職一覧!$B:$D,2,FALSE),"")</f>
        <v/>
      </c>
      <c r="AC96" s="17" t="str">
        <f>IFERROR(VLOOKUP(シフト組み!AC126,役職一覧!$B:$D,2,FALSE),"")</f>
        <v/>
      </c>
      <c r="AD96" s="17" t="str">
        <f>IFERROR(VLOOKUP(シフト組み!AD126,役職一覧!$B:$D,2,FALSE),"")</f>
        <v/>
      </c>
      <c r="AE96" s="17" t="str">
        <f>IFERROR(VLOOKUP(シフト組み!AE126,役職一覧!$B:$D,2,FALSE),"")</f>
        <v/>
      </c>
      <c r="AF96" s="17" t="str">
        <f>IFERROR(VLOOKUP(シフト組み!AF126,役職一覧!$B:$D,2,FALSE),"")</f>
        <v/>
      </c>
      <c r="AG96" s="17" t="str">
        <f>IFERROR(VLOOKUP(シフト組み!AG126,役職一覧!$B:$D,2,FALSE),"")</f>
        <v/>
      </c>
      <c r="AH96" s="17" t="str">
        <f>IFERROR(VLOOKUP(シフト組み!AH126,役職一覧!$B:$D,2,FALSE),"")</f>
        <v/>
      </c>
      <c r="AI96" s="17" t="str">
        <f>IFERROR(VLOOKUP(シフト組み!AI126,役職一覧!$B:$D,2,FALSE),"")</f>
        <v/>
      </c>
      <c r="AJ96" s="17" t="str">
        <f>IFERROR(VLOOKUP(シフト組み!AJ126,役職一覧!$B:$D,2,FALSE),"")</f>
        <v/>
      </c>
      <c r="AK96" s="17" t="str">
        <f>IFERROR(VLOOKUP(シフト組み!AK126,役職一覧!$B:$D,2,FALSE),"")</f>
        <v/>
      </c>
      <c r="AL96" s="17" t="str">
        <f>IFERROR(VLOOKUP(シフト組み!AL126,役職一覧!$B:$D,2,FALSE),"")</f>
        <v/>
      </c>
      <c r="AM96" s="17" t="str">
        <f>IFERROR(VLOOKUP(シフト組み!AM126,役職一覧!$B:$D,2,FALSE),"")</f>
        <v/>
      </c>
      <c r="AN96" s="17" t="str">
        <f>IFERROR(VLOOKUP(シフト組み!AN126,役職一覧!$B:$D,2,FALSE),"")</f>
        <v/>
      </c>
      <c r="AO96" s="17" t="str">
        <f>IFERROR(VLOOKUP(シフト組み!AO126,役職一覧!$B:$D,2,FALSE),"")</f>
        <v/>
      </c>
      <c r="AP96" s="17" t="str">
        <f>IFERROR(VLOOKUP(シフト組み!AP126,役職一覧!$B:$D,2,FALSE),"")</f>
        <v/>
      </c>
      <c r="AQ96" s="17" t="str">
        <f>IFERROR(VLOOKUP(シフト組み!AQ126,役職一覧!$B:$D,2,FALSE),"")</f>
        <v/>
      </c>
      <c r="AR96" s="17" t="str">
        <f>IFERROR(VLOOKUP(シフト組み!AR126,役職一覧!$B:$D,2,FALSE),"")</f>
        <v/>
      </c>
      <c r="AS96" s="17" t="str">
        <f>IFERROR(VLOOKUP(シフト組み!AS126,役職一覧!$B:$D,2,FALSE),"")</f>
        <v/>
      </c>
      <c r="AT96" s="17" t="str">
        <f>IFERROR(VLOOKUP(シフト組み!AT126,役職一覧!$B:$D,2,FALSE),"")</f>
        <v/>
      </c>
      <c r="AU96" s="17" t="str">
        <f>IFERROR(VLOOKUP(シフト組み!AU126,役職一覧!$B:$D,2,FALSE),"")</f>
        <v/>
      </c>
      <c r="AV96" s="17" t="str">
        <f>IFERROR(VLOOKUP(シフト組み!AV126,役職一覧!$B:$D,2,FALSE),"")</f>
        <v/>
      </c>
      <c r="AW96" s="17" t="str">
        <f>IFERROR(VLOOKUP(シフト組み!AW126,役職一覧!$B:$D,2,FALSE),"")</f>
        <v/>
      </c>
      <c r="AX96" s="17" t="str">
        <f>IFERROR(VLOOKUP(シフト組み!AX126,役職一覧!$B:$D,2,FALSE),"")</f>
        <v/>
      </c>
      <c r="AY96" s="17" t="str">
        <f>IFERROR(VLOOKUP(シフト組み!AY126,役職一覧!$B:$D,2,FALSE),"")</f>
        <v/>
      </c>
      <c r="AZ96" s="17" t="str">
        <f>IFERROR(VLOOKUP(シフト組み!AZ126,役職一覧!$B:$D,2,FALSE),"")</f>
        <v/>
      </c>
      <c r="BA96" s="17" t="str">
        <f>IFERROR(VLOOKUP(シフト組み!BA126,役職一覧!$B:$D,2,FALSE),"")</f>
        <v/>
      </c>
    </row>
    <row r="97" spans="1:53">
      <c r="A97" s="2" t="str">
        <f>シフト組み!A127&amp;""</f>
        <v/>
      </c>
      <c r="B97" s="2" t="str">
        <f>シフト組み!B127&amp;""</f>
        <v/>
      </c>
      <c r="C97" s="2" t="str">
        <f>シフト組み!C127&amp;""</f>
        <v/>
      </c>
      <c r="D97" s="17" t="str">
        <f>IFERROR(VLOOKUP(シフト組み!D127,役職一覧!$B:$D,2,FALSE),"")</f>
        <v/>
      </c>
      <c r="E97" s="17" t="str">
        <f>IFERROR(VLOOKUP(シフト組み!E127,役職一覧!$B:$D,2,FALSE),"")</f>
        <v/>
      </c>
      <c r="F97" s="17" t="str">
        <f>IFERROR(VLOOKUP(シフト組み!F127,役職一覧!$B:$D,2,FALSE),"")</f>
        <v/>
      </c>
      <c r="G97" s="17" t="str">
        <f>IFERROR(VLOOKUP(シフト組み!G127,役職一覧!$B:$D,2,FALSE),"")</f>
        <v/>
      </c>
      <c r="H97" s="17" t="str">
        <f>IFERROR(VLOOKUP(シフト組み!H127,役職一覧!$B:$D,2,FALSE),"")</f>
        <v/>
      </c>
      <c r="I97" s="17" t="str">
        <f>IFERROR(VLOOKUP(シフト組み!I127,役職一覧!$B:$D,2,FALSE),"")</f>
        <v/>
      </c>
      <c r="J97" s="17" t="str">
        <f>IFERROR(VLOOKUP(シフト組み!J127,役職一覧!$B:$D,2,FALSE),"")</f>
        <v/>
      </c>
      <c r="K97" s="17" t="str">
        <f>IFERROR(VLOOKUP(シフト組み!K127,役職一覧!$B:$D,2,FALSE),"")</f>
        <v/>
      </c>
      <c r="L97" s="17" t="str">
        <f>IFERROR(VLOOKUP(シフト組み!L127,役職一覧!$B:$D,2,FALSE),"")</f>
        <v/>
      </c>
      <c r="M97" s="17" t="str">
        <f>IFERROR(VLOOKUP(シフト組み!M127,役職一覧!$B:$D,2,FALSE),"")</f>
        <v/>
      </c>
      <c r="N97" s="17" t="str">
        <f>IFERROR(VLOOKUP(シフト組み!N127,役職一覧!$B:$D,2,FALSE),"")</f>
        <v/>
      </c>
      <c r="O97" s="17" t="str">
        <f>IFERROR(VLOOKUP(シフト組み!O127,役職一覧!$B:$D,2,FALSE),"")</f>
        <v/>
      </c>
      <c r="P97" s="17" t="str">
        <f>IFERROR(VLOOKUP(シフト組み!P127,役職一覧!$B:$D,2,FALSE),"")</f>
        <v/>
      </c>
      <c r="Q97" s="17" t="str">
        <f>IFERROR(VLOOKUP(シフト組み!Q127,役職一覧!$B:$D,2,FALSE),"")</f>
        <v/>
      </c>
      <c r="R97" s="17" t="str">
        <f>IFERROR(VLOOKUP(シフト組み!R127,役職一覧!$B:$D,2,FALSE),"")</f>
        <v/>
      </c>
      <c r="S97" s="17" t="str">
        <f>IFERROR(VLOOKUP(シフト組み!S127,役職一覧!$B:$D,2,FALSE),"")</f>
        <v/>
      </c>
      <c r="T97" s="17" t="str">
        <f>IFERROR(VLOOKUP(シフト組み!T127,役職一覧!$B:$D,2,FALSE),"")</f>
        <v/>
      </c>
      <c r="U97" s="17" t="str">
        <f>IFERROR(VLOOKUP(シフト組み!U127,役職一覧!$B:$D,2,FALSE),"")</f>
        <v/>
      </c>
      <c r="V97" s="17" t="str">
        <f>IFERROR(VLOOKUP(シフト組み!V127,役職一覧!$B:$D,2,FALSE),"")</f>
        <v/>
      </c>
      <c r="W97" s="17" t="str">
        <f>IFERROR(VLOOKUP(シフト組み!W127,役職一覧!$B:$D,2,FALSE),"")</f>
        <v/>
      </c>
      <c r="X97" s="17" t="str">
        <f>IFERROR(VLOOKUP(シフト組み!X127,役職一覧!$B:$D,2,FALSE),"")</f>
        <v/>
      </c>
      <c r="Y97" s="17" t="str">
        <f>IFERROR(VLOOKUP(シフト組み!Y127,役職一覧!$B:$D,2,FALSE),"")</f>
        <v/>
      </c>
      <c r="Z97" s="17" t="str">
        <f>IFERROR(VLOOKUP(シフト組み!Z127,役職一覧!$B:$D,2,FALSE),"")</f>
        <v/>
      </c>
      <c r="AA97" s="17" t="str">
        <f>IFERROR(VLOOKUP(シフト組み!AA127,役職一覧!$B:$D,2,FALSE),"")</f>
        <v/>
      </c>
      <c r="AB97" s="17" t="str">
        <f>IFERROR(VLOOKUP(シフト組み!AB127,役職一覧!$B:$D,2,FALSE),"")</f>
        <v/>
      </c>
      <c r="AC97" s="17" t="str">
        <f>IFERROR(VLOOKUP(シフト組み!AC127,役職一覧!$B:$D,2,FALSE),"")</f>
        <v/>
      </c>
      <c r="AD97" s="17" t="str">
        <f>IFERROR(VLOOKUP(シフト組み!AD127,役職一覧!$B:$D,2,FALSE),"")</f>
        <v/>
      </c>
      <c r="AE97" s="17" t="str">
        <f>IFERROR(VLOOKUP(シフト組み!AE127,役職一覧!$B:$D,2,FALSE),"")</f>
        <v/>
      </c>
      <c r="AF97" s="17" t="str">
        <f>IFERROR(VLOOKUP(シフト組み!AF127,役職一覧!$B:$D,2,FALSE),"")</f>
        <v/>
      </c>
      <c r="AG97" s="17" t="str">
        <f>IFERROR(VLOOKUP(シフト組み!AG127,役職一覧!$B:$D,2,FALSE),"")</f>
        <v/>
      </c>
      <c r="AH97" s="17" t="str">
        <f>IFERROR(VLOOKUP(シフト組み!AH127,役職一覧!$B:$D,2,FALSE),"")</f>
        <v/>
      </c>
      <c r="AI97" s="17" t="str">
        <f>IFERROR(VLOOKUP(シフト組み!AI127,役職一覧!$B:$D,2,FALSE),"")</f>
        <v/>
      </c>
      <c r="AJ97" s="17" t="str">
        <f>IFERROR(VLOOKUP(シフト組み!AJ127,役職一覧!$B:$D,2,FALSE),"")</f>
        <v/>
      </c>
      <c r="AK97" s="17" t="str">
        <f>IFERROR(VLOOKUP(シフト組み!AK127,役職一覧!$B:$D,2,FALSE),"")</f>
        <v/>
      </c>
      <c r="AL97" s="17" t="str">
        <f>IFERROR(VLOOKUP(シフト組み!AL127,役職一覧!$B:$D,2,FALSE),"")</f>
        <v/>
      </c>
      <c r="AM97" s="17" t="str">
        <f>IFERROR(VLOOKUP(シフト組み!AM127,役職一覧!$B:$D,2,FALSE),"")</f>
        <v/>
      </c>
      <c r="AN97" s="17" t="str">
        <f>IFERROR(VLOOKUP(シフト組み!AN127,役職一覧!$B:$D,2,FALSE),"")</f>
        <v/>
      </c>
      <c r="AO97" s="17" t="str">
        <f>IFERROR(VLOOKUP(シフト組み!AO127,役職一覧!$B:$D,2,FALSE),"")</f>
        <v/>
      </c>
      <c r="AP97" s="17" t="str">
        <f>IFERROR(VLOOKUP(シフト組み!AP127,役職一覧!$B:$D,2,FALSE),"")</f>
        <v/>
      </c>
      <c r="AQ97" s="17" t="str">
        <f>IFERROR(VLOOKUP(シフト組み!AQ127,役職一覧!$B:$D,2,FALSE),"")</f>
        <v/>
      </c>
      <c r="AR97" s="17" t="str">
        <f>IFERROR(VLOOKUP(シフト組み!AR127,役職一覧!$B:$D,2,FALSE),"")</f>
        <v/>
      </c>
      <c r="AS97" s="17" t="str">
        <f>IFERROR(VLOOKUP(シフト組み!AS127,役職一覧!$B:$D,2,FALSE),"")</f>
        <v/>
      </c>
      <c r="AT97" s="17" t="str">
        <f>IFERROR(VLOOKUP(シフト組み!AT127,役職一覧!$B:$D,2,FALSE),"")</f>
        <v/>
      </c>
      <c r="AU97" s="17" t="str">
        <f>IFERROR(VLOOKUP(シフト組み!AU127,役職一覧!$B:$D,2,FALSE),"")</f>
        <v/>
      </c>
      <c r="AV97" s="17" t="str">
        <f>IFERROR(VLOOKUP(シフト組み!AV127,役職一覧!$B:$D,2,FALSE),"")</f>
        <v/>
      </c>
      <c r="AW97" s="17" t="str">
        <f>IFERROR(VLOOKUP(シフト組み!AW127,役職一覧!$B:$D,2,FALSE),"")</f>
        <v/>
      </c>
      <c r="AX97" s="17" t="str">
        <f>IFERROR(VLOOKUP(シフト組み!AX127,役職一覧!$B:$D,2,FALSE),"")</f>
        <v/>
      </c>
      <c r="AY97" s="17" t="str">
        <f>IFERROR(VLOOKUP(シフト組み!AY127,役職一覧!$B:$D,2,FALSE),"")</f>
        <v/>
      </c>
      <c r="AZ97" s="17" t="str">
        <f>IFERROR(VLOOKUP(シフト組み!AZ127,役職一覧!$B:$D,2,FALSE),"")</f>
        <v/>
      </c>
      <c r="BA97" s="17" t="str">
        <f>IFERROR(VLOOKUP(シフト組み!BA127,役職一覧!$B:$D,2,FALSE),"")</f>
        <v/>
      </c>
    </row>
    <row r="98" spans="1:53">
      <c r="A98" s="2" t="str">
        <f>シフト組み!A128&amp;""</f>
        <v/>
      </c>
      <c r="B98" s="2" t="str">
        <f>シフト組み!B128&amp;""</f>
        <v/>
      </c>
      <c r="C98" s="2" t="str">
        <f>シフト組み!C128&amp;""</f>
        <v/>
      </c>
      <c r="D98" s="17" t="str">
        <f>IFERROR(VLOOKUP(シフト組み!D128,役職一覧!$B:$D,2,FALSE),"")</f>
        <v/>
      </c>
      <c r="E98" s="17" t="str">
        <f>IFERROR(VLOOKUP(シフト組み!E128,役職一覧!$B:$D,2,FALSE),"")</f>
        <v/>
      </c>
      <c r="F98" s="17" t="str">
        <f>IFERROR(VLOOKUP(シフト組み!F128,役職一覧!$B:$D,2,FALSE),"")</f>
        <v/>
      </c>
      <c r="G98" s="17" t="str">
        <f>IFERROR(VLOOKUP(シフト組み!G128,役職一覧!$B:$D,2,FALSE),"")</f>
        <v/>
      </c>
      <c r="H98" s="17" t="str">
        <f>IFERROR(VLOOKUP(シフト組み!H128,役職一覧!$B:$D,2,FALSE),"")</f>
        <v/>
      </c>
      <c r="I98" s="17" t="str">
        <f>IFERROR(VLOOKUP(シフト組み!I128,役職一覧!$B:$D,2,FALSE),"")</f>
        <v/>
      </c>
      <c r="J98" s="17" t="str">
        <f>IFERROR(VLOOKUP(シフト組み!J128,役職一覧!$B:$D,2,FALSE),"")</f>
        <v/>
      </c>
      <c r="K98" s="17" t="str">
        <f>IFERROR(VLOOKUP(シフト組み!K128,役職一覧!$B:$D,2,FALSE),"")</f>
        <v/>
      </c>
      <c r="L98" s="17" t="str">
        <f>IFERROR(VLOOKUP(シフト組み!L128,役職一覧!$B:$D,2,FALSE),"")</f>
        <v/>
      </c>
      <c r="M98" s="17" t="str">
        <f>IFERROR(VLOOKUP(シフト組み!M128,役職一覧!$B:$D,2,FALSE),"")</f>
        <v/>
      </c>
      <c r="N98" s="17" t="str">
        <f>IFERROR(VLOOKUP(シフト組み!N128,役職一覧!$B:$D,2,FALSE),"")</f>
        <v/>
      </c>
      <c r="O98" s="17" t="str">
        <f>IFERROR(VLOOKUP(シフト組み!O128,役職一覧!$B:$D,2,FALSE),"")</f>
        <v/>
      </c>
      <c r="P98" s="17" t="str">
        <f>IFERROR(VLOOKUP(シフト組み!P128,役職一覧!$B:$D,2,FALSE),"")</f>
        <v/>
      </c>
      <c r="Q98" s="17" t="str">
        <f>IFERROR(VLOOKUP(シフト組み!Q128,役職一覧!$B:$D,2,FALSE),"")</f>
        <v/>
      </c>
      <c r="R98" s="17" t="str">
        <f>IFERROR(VLOOKUP(シフト組み!R128,役職一覧!$B:$D,2,FALSE),"")</f>
        <v/>
      </c>
      <c r="S98" s="17" t="str">
        <f>IFERROR(VLOOKUP(シフト組み!S128,役職一覧!$B:$D,2,FALSE),"")</f>
        <v/>
      </c>
      <c r="T98" s="17" t="str">
        <f>IFERROR(VLOOKUP(シフト組み!T128,役職一覧!$B:$D,2,FALSE),"")</f>
        <v/>
      </c>
      <c r="U98" s="17" t="str">
        <f>IFERROR(VLOOKUP(シフト組み!U128,役職一覧!$B:$D,2,FALSE),"")</f>
        <v/>
      </c>
      <c r="V98" s="17" t="str">
        <f>IFERROR(VLOOKUP(シフト組み!V128,役職一覧!$B:$D,2,FALSE),"")</f>
        <v/>
      </c>
      <c r="W98" s="17" t="str">
        <f>IFERROR(VLOOKUP(シフト組み!W128,役職一覧!$B:$D,2,FALSE),"")</f>
        <v/>
      </c>
      <c r="X98" s="17" t="str">
        <f>IFERROR(VLOOKUP(シフト組み!X128,役職一覧!$B:$D,2,FALSE),"")</f>
        <v/>
      </c>
      <c r="Y98" s="17" t="str">
        <f>IFERROR(VLOOKUP(シフト組み!Y128,役職一覧!$B:$D,2,FALSE),"")</f>
        <v/>
      </c>
      <c r="Z98" s="17" t="str">
        <f>IFERROR(VLOOKUP(シフト組み!Z128,役職一覧!$B:$D,2,FALSE),"")</f>
        <v/>
      </c>
      <c r="AA98" s="17" t="str">
        <f>IFERROR(VLOOKUP(シフト組み!AA128,役職一覧!$B:$D,2,FALSE),"")</f>
        <v/>
      </c>
      <c r="AB98" s="17" t="str">
        <f>IFERROR(VLOOKUP(シフト組み!AB128,役職一覧!$B:$D,2,FALSE),"")</f>
        <v/>
      </c>
      <c r="AC98" s="17" t="str">
        <f>IFERROR(VLOOKUP(シフト組み!AC128,役職一覧!$B:$D,2,FALSE),"")</f>
        <v/>
      </c>
      <c r="AD98" s="17" t="str">
        <f>IFERROR(VLOOKUP(シフト組み!AD128,役職一覧!$B:$D,2,FALSE),"")</f>
        <v/>
      </c>
      <c r="AE98" s="17" t="str">
        <f>IFERROR(VLOOKUP(シフト組み!AE128,役職一覧!$B:$D,2,FALSE),"")</f>
        <v/>
      </c>
      <c r="AF98" s="17" t="str">
        <f>IFERROR(VLOOKUP(シフト組み!AF128,役職一覧!$B:$D,2,FALSE),"")</f>
        <v/>
      </c>
      <c r="AG98" s="17" t="str">
        <f>IFERROR(VLOOKUP(シフト組み!AG128,役職一覧!$B:$D,2,FALSE),"")</f>
        <v/>
      </c>
      <c r="AH98" s="17" t="str">
        <f>IFERROR(VLOOKUP(シフト組み!AH128,役職一覧!$B:$D,2,FALSE),"")</f>
        <v/>
      </c>
      <c r="AI98" s="17" t="str">
        <f>IFERROR(VLOOKUP(シフト組み!AI128,役職一覧!$B:$D,2,FALSE),"")</f>
        <v/>
      </c>
      <c r="AJ98" s="17" t="str">
        <f>IFERROR(VLOOKUP(シフト組み!AJ128,役職一覧!$B:$D,2,FALSE),"")</f>
        <v/>
      </c>
      <c r="AK98" s="17" t="str">
        <f>IFERROR(VLOOKUP(シフト組み!AK128,役職一覧!$B:$D,2,FALSE),"")</f>
        <v/>
      </c>
      <c r="AL98" s="17" t="str">
        <f>IFERROR(VLOOKUP(シフト組み!AL128,役職一覧!$B:$D,2,FALSE),"")</f>
        <v/>
      </c>
      <c r="AM98" s="17" t="str">
        <f>IFERROR(VLOOKUP(シフト組み!AM128,役職一覧!$B:$D,2,FALSE),"")</f>
        <v/>
      </c>
      <c r="AN98" s="17" t="str">
        <f>IFERROR(VLOOKUP(シフト組み!AN128,役職一覧!$B:$D,2,FALSE),"")</f>
        <v/>
      </c>
      <c r="AO98" s="17" t="str">
        <f>IFERROR(VLOOKUP(シフト組み!AO128,役職一覧!$B:$D,2,FALSE),"")</f>
        <v/>
      </c>
      <c r="AP98" s="17" t="str">
        <f>IFERROR(VLOOKUP(シフト組み!AP128,役職一覧!$B:$D,2,FALSE),"")</f>
        <v/>
      </c>
      <c r="AQ98" s="17" t="str">
        <f>IFERROR(VLOOKUP(シフト組み!AQ128,役職一覧!$B:$D,2,FALSE),"")</f>
        <v/>
      </c>
      <c r="AR98" s="17" t="str">
        <f>IFERROR(VLOOKUP(シフト組み!AR128,役職一覧!$B:$D,2,FALSE),"")</f>
        <v/>
      </c>
      <c r="AS98" s="17" t="str">
        <f>IFERROR(VLOOKUP(シフト組み!AS128,役職一覧!$B:$D,2,FALSE),"")</f>
        <v/>
      </c>
      <c r="AT98" s="17" t="str">
        <f>IFERROR(VLOOKUP(シフト組み!AT128,役職一覧!$B:$D,2,FALSE),"")</f>
        <v/>
      </c>
      <c r="AU98" s="17" t="str">
        <f>IFERROR(VLOOKUP(シフト組み!AU128,役職一覧!$B:$D,2,FALSE),"")</f>
        <v/>
      </c>
      <c r="AV98" s="17" t="str">
        <f>IFERROR(VLOOKUP(シフト組み!AV128,役職一覧!$B:$D,2,FALSE),"")</f>
        <v/>
      </c>
      <c r="AW98" s="17" t="str">
        <f>IFERROR(VLOOKUP(シフト組み!AW128,役職一覧!$B:$D,2,FALSE),"")</f>
        <v/>
      </c>
      <c r="AX98" s="17" t="str">
        <f>IFERROR(VLOOKUP(シフト組み!AX128,役職一覧!$B:$D,2,FALSE),"")</f>
        <v/>
      </c>
      <c r="AY98" s="17" t="str">
        <f>IFERROR(VLOOKUP(シフト組み!AY128,役職一覧!$B:$D,2,FALSE),"")</f>
        <v/>
      </c>
      <c r="AZ98" s="17" t="str">
        <f>IFERROR(VLOOKUP(シフト組み!AZ128,役職一覧!$B:$D,2,FALSE),"")</f>
        <v/>
      </c>
      <c r="BA98" s="17" t="str">
        <f>IFERROR(VLOOKUP(シフト組み!BA128,役職一覧!$B:$D,2,FALSE),"")</f>
        <v/>
      </c>
    </row>
    <row r="99" spans="1:53">
      <c r="A99" s="2" t="str">
        <f>シフト組み!A129&amp;""</f>
        <v/>
      </c>
      <c r="B99" s="2" t="str">
        <f>シフト組み!B129&amp;""</f>
        <v/>
      </c>
      <c r="C99" s="2" t="str">
        <f>シフト組み!C129&amp;""</f>
        <v/>
      </c>
      <c r="D99" s="17" t="str">
        <f>IFERROR(VLOOKUP(シフト組み!D129,役職一覧!$B:$D,2,FALSE),"")</f>
        <v/>
      </c>
      <c r="E99" s="17" t="str">
        <f>IFERROR(VLOOKUP(シフト組み!E129,役職一覧!$B:$D,2,FALSE),"")</f>
        <v/>
      </c>
      <c r="F99" s="17" t="str">
        <f>IFERROR(VLOOKUP(シフト組み!F129,役職一覧!$B:$D,2,FALSE),"")</f>
        <v/>
      </c>
      <c r="G99" s="17" t="str">
        <f>IFERROR(VLOOKUP(シフト組み!G129,役職一覧!$B:$D,2,FALSE),"")</f>
        <v/>
      </c>
      <c r="H99" s="17" t="str">
        <f>IFERROR(VLOOKUP(シフト組み!H129,役職一覧!$B:$D,2,FALSE),"")</f>
        <v/>
      </c>
      <c r="I99" s="17" t="str">
        <f>IFERROR(VLOOKUP(シフト組み!I129,役職一覧!$B:$D,2,FALSE),"")</f>
        <v/>
      </c>
      <c r="J99" s="17" t="str">
        <f>IFERROR(VLOOKUP(シフト組み!J129,役職一覧!$B:$D,2,FALSE),"")</f>
        <v/>
      </c>
      <c r="K99" s="17" t="str">
        <f>IFERROR(VLOOKUP(シフト組み!K129,役職一覧!$B:$D,2,FALSE),"")</f>
        <v/>
      </c>
      <c r="L99" s="17" t="str">
        <f>IFERROR(VLOOKUP(シフト組み!L129,役職一覧!$B:$D,2,FALSE),"")</f>
        <v/>
      </c>
      <c r="M99" s="17" t="str">
        <f>IFERROR(VLOOKUP(シフト組み!M129,役職一覧!$B:$D,2,FALSE),"")</f>
        <v/>
      </c>
      <c r="N99" s="17" t="str">
        <f>IFERROR(VLOOKUP(シフト組み!N129,役職一覧!$B:$D,2,FALSE),"")</f>
        <v/>
      </c>
      <c r="O99" s="17" t="str">
        <f>IFERROR(VLOOKUP(シフト組み!O129,役職一覧!$B:$D,2,FALSE),"")</f>
        <v/>
      </c>
      <c r="P99" s="17" t="str">
        <f>IFERROR(VLOOKUP(シフト組み!P129,役職一覧!$B:$D,2,FALSE),"")</f>
        <v/>
      </c>
      <c r="Q99" s="17" t="str">
        <f>IFERROR(VLOOKUP(シフト組み!Q129,役職一覧!$B:$D,2,FALSE),"")</f>
        <v/>
      </c>
      <c r="R99" s="17" t="str">
        <f>IFERROR(VLOOKUP(シフト組み!R129,役職一覧!$B:$D,2,FALSE),"")</f>
        <v/>
      </c>
      <c r="S99" s="17" t="str">
        <f>IFERROR(VLOOKUP(シフト組み!S129,役職一覧!$B:$D,2,FALSE),"")</f>
        <v/>
      </c>
      <c r="T99" s="17" t="str">
        <f>IFERROR(VLOOKUP(シフト組み!T129,役職一覧!$B:$D,2,FALSE),"")</f>
        <v/>
      </c>
      <c r="U99" s="17" t="str">
        <f>IFERROR(VLOOKUP(シフト組み!U129,役職一覧!$B:$D,2,FALSE),"")</f>
        <v/>
      </c>
      <c r="V99" s="17" t="str">
        <f>IFERROR(VLOOKUP(シフト組み!V129,役職一覧!$B:$D,2,FALSE),"")</f>
        <v/>
      </c>
      <c r="W99" s="17" t="str">
        <f>IFERROR(VLOOKUP(シフト組み!W129,役職一覧!$B:$D,2,FALSE),"")</f>
        <v/>
      </c>
      <c r="X99" s="17" t="str">
        <f>IFERROR(VLOOKUP(シフト組み!X129,役職一覧!$B:$D,2,FALSE),"")</f>
        <v/>
      </c>
      <c r="Y99" s="17" t="str">
        <f>IFERROR(VLOOKUP(シフト組み!Y129,役職一覧!$B:$D,2,FALSE),"")</f>
        <v/>
      </c>
      <c r="Z99" s="17" t="str">
        <f>IFERROR(VLOOKUP(シフト組み!Z129,役職一覧!$B:$D,2,FALSE),"")</f>
        <v/>
      </c>
      <c r="AA99" s="17" t="str">
        <f>IFERROR(VLOOKUP(シフト組み!AA129,役職一覧!$B:$D,2,FALSE),"")</f>
        <v/>
      </c>
      <c r="AB99" s="17" t="str">
        <f>IFERROR(VLOOKUP(シフト組み!AB129,役職一覧!$B:$D,2,FALSE),"")</f>
        <v/>
      </c>
      <c r="AC99" s="17" t="str">
        <f>IFERROR(VLOOKUP(シフト組み!AC129,役職一覧!$B:$D,2,FALSE),"")</f>
        <v/>
      </c>
      <c r="AD99" s="17" t="str">
        <f>IFERROR(VLOOKUP(シフト組み!AD129,役職一覧!$B:$D,2,FALSE),"")</f>
        <v/>
      </c>
      <c r="AE99" s="17" t="str">
        <f>IFERROR(VLOOKUP(シフト組み!AE129,役職一覧!$B:$D,2,FALSE),"")</f>
        <v/>
      </c>
      <c r="AF99" s="17" t="str">
        <f>IFERROR(VLOOKUP(シフト組み!AF129,役職一覧!$B:$D,2,FALSE),"")</f>
        <v/>
      </c>
      <c r="AG99" s="17" t="str">
        <f>IFERROR(VLOOKUP(シフト組み!AG129,役職一覧!$B:$D,2,FALSE),"")</f>
        <v/>
      </c>
      <c r="AH99" s="17" t="str">
        <f>IFERROR(VLOOKUP(シフト組み!AH129,役職一覧!$B:$D,2,FALSE),"")</f>
        <v/>
      </c>
      <c r="AI99" s="17" t="str">
        <f>IFERROR(VLOOKUP(シフト組み!AI129,役職一覧!$B:$D,2,FALSE),"")</f>
        <v/>
      </c>
      <c r="AJ99" s="17" t="str">
        <f>IFERROR(VLOOKUP(シフト組み!AJ129,役職一覧!$B:$D,2,FALSE),"")</f>
        <v/>
      </c>
      <c r="AK99" s="17" t="str">
        <f>IFERROR(VLOOKUP(シフト組み!AK129,役職一覧!$B:$D,2,FALSE),"")</f>
        <v/>
      </c>
      <c r="AL99" s="17" t="str">
        <f>IFERROR(VLOOKUP(シフト組み!AL129,役職一覧!$B:$D,2,FALSE),"")</f>
        <v/>
      </c>
      <c r="AM99" s="17" t="str">
        <f>IFERROR(VLOOKUP(シフト組み!AM129,役職一覧!$B:$D,2,FALSE),"")</f>
        <v/>
      </c>
      <c r="AN99" s="17" t="str">
        <f>IFERROR(VLOOKUP(シフト組み!AN129,役職一覧!$B:$D,2,FALSE),"")</f>
        <v/>
      </c>
      <c r="AO99" s="17" t="str">
        <f>IFERROR(VLOOKUP(シフト組み!AO129,役職一覧!$B:$D,2,FALSE),"")</f>
        <v/>
      </c>
      <c r="AP99" s="17" t="str">
        <f>IFERROR(VLOOKUP(シフト組み!AP129,役職一覧!$B:$D,2,FALSE),"")</f>
        <v/>
      </c>
      <c r="AQ99" s="17" t="str">
        <f>IFERROR(VLOOKUP(シフト組み!AQ129,役職一覧!$B:$D,2,FALSE),"")</f>
        <v/>
      </c>
      <c r="AR99" s="17" t="str">
        <f>IFERROR(VLOOKUP(シフト組み!AR129,役職一覧!$B:$D,2,FALSE),"")</f>
        <v/>
      </c>
      <c r="AS99" s="17" t="str">
        <f>IFERROR(VLOOKUP(シフト組み!AS129,役職一覧!$B:$D,2,FALSE),"")</f>
        <v/>
      </c>
      <c r="AT99" s="17" t="str">
        <f>IFERROR(VLOOKUP(シフト組み!AT129,役職一覧!$B:$D,2,FALSE),"")</f>
        <v/>
      </c>
      <c r="AU99" s="17" t="str">
        <f>IFERROR(VLOOKUP(シフト組み!AU129,役職一覧!$B:$D,2,FALSE),"")</f>
        <v/>
      </c>
      <c r="AV99" s="17" t="str">
        <f>IFERROR(VLOOKUP(シフト組み!AV129,役職一覧!$B:$D,2,FALSE),"")</f>
        <v/>
      </c>
      <c r="AW99" s="17" t="str">
        <f>IFERROR(VLOOKUP(シフト組み!AW129,役職一覧!$B:$D,2,FALSE),"")</f>
        <v/>
      </c>
      <c r="AX99" s="17" t="str">
        <f>IFERROR(VLOOKUP(シフト組み!AX129,役職一覧!$B:$D,2,FALSE),"")</f>
        <v/>
      </c>
      <c r="AY99" s="17" t="str">
        <f>IFERROR(VLOOKUP(シフト組み!AY129,役職一覧!$B:$D,2,FALSE),"")</f>
        <v/>
      </c>
      <c r="AZ99" s="17" t="str">
        <f>IFERROR(VLOOKUP(シフト組み!AZ129,役職一覧!$B:$D,2,FALSE),"")</f>
        <v/>
      </c>
      <c r="BA99" s="17" t="str">
        <f>IFERROR(VLOOKUP(シフト組み!BA129,役職一覧!$B:$D,2,FALSE),"")</f>
        <v/>
      </c>
    </row>
    <row r="100" spans="1:53">
      <c r="A100" s="2" t="str">
        <f>シフト組み!A130&amp;""</f>
        <v/>
      </c>
      <c r="B100" s="2" t="str">
        <f>シフト組み!B130&amp;""</f>
        <v/>
      </c>
      <c r="C100" s="2" t="str">
        <f>シフト組み!C130&amp;""</f>
        <v/>
      </c>
      <c r="D100" s="17" t="str">
        <f>IFERROR(VLOOKUP(シフト組み!D130,役職一覧!$B:$D,2,FALSE),"")</f>
        <v/>
      </c>
      <c r="E100" s="17" t="str">
        <f>IFERROR(VLOOKUP(シフト組み!E130,役職一覧!$B:$D,2,FALSE),"")</f>
        <v/>
      </c>
      <c r="F100" s="17" t="str">
        <f>IFERROR(VLOOKUP(シフト組み!F130,役職一覧!$B:$D,2,FALSE),"")</f>
        <v/>
      </c>
      <c r="G100" s="17" t="str">
        <f>IFERROR(VLOOKUP(シフト組み!G130,役職一覧!$B:$D,2,FALSE),"")</f>
        <v/>
      </c>
      <c r="H100" s="17" t="str">
        <f>IFERROR(VLOOKUP(シフト組み!H130,役職一覧!$B:$D,2,FALSE),"")</f>
        <v/>
      </c>
      <c r="I100" s="17" t="str">
        <f>IFERROR(VLOOKUP(シフト組み!I130,役職一覧!$B:$D,2,FALSE),"")</f>
        <v/>
      </c>
      <c r="J100" s="17" t="str">
        <f>IFERROR(VLOOKUP(シフト組み!J130,役職一覧!$B:$D,2,FALSE),"")</f>
        <v/>
      </c>
      <c r="K100" s="17" t="str">
        <f>IFERROR(VLOOKUP(シフト組み!K130,役職一覧!$B:$D,2,FALSE),"")</f>
        <v/>
      </c>
      <c r="L100" s="17" t="str">
        <f>IFERROR(VLOOKUP(シフト組み!L130,役職一覧!$B:$D,2,FALSE),"")</f>
        <v/>
      </c>
      <c r="M100" s="17" t="str">
        <f>IFERROR(VLOOKUP(シフト組み!M130,役職一覧!$B:$D,2,FALSE),"")</f>
        <v/>
      </c>
      <c r="N100" s="17" t="str">
        <f>IFERROR(VLOOKUP(シフト組み!N130,役職一覧!$B:$D,2,FALSE),"")</f>
        <v/>
      </c>
      <c r="O100" s="17" t="str">
        <f>IFERROR(VLOOKUP(シフト組み!O130,役職一覧!$B:$D,2,FALSE),"")</f>
        <v/>
      </c>
      <c r="P100" s="17" t="str">
        <f>IFERROR(VLOOKUP(シフト組み!P130,役職一覧!$B:$D,2,FALSE),"")</f>
        <v/>
      </c>
      <c r="Q100" s="17" t="str">
        <f>IFERROR(VLOOKUP(シフト組み!Q130,役職一覧!$B:$D,2,FALSE),"")</f>
        <v/>
      </c>
      <c r="R100" s="17" t="str">
        <f>IFERROR(VLOOKUP(シフト組み!R130,役職一覧!$B:$D,2,FALSE),"")</f>
        <v/>
      </c>
      <c r="S100" s="17" t="str">
        <f>IFERROR(VLOOKUP(シフト組み!S130,役職一覧!$B:$D,2,FALSE),"")</f>
        <v/>
      </c>
      <c r="T100" s="17" t="str">
        <f>IFERROR(VLOOKUP(シフト組み!T130,役職一覧!$B:$D,2,FALSE),"")</f>
        <v/>
      </c>
      <c r="U100" s="17" t="str">
        <f>IFERROR(VLOOKUP(シフト組み!U130,役職一覧!$B:$D,2,FALSE),"")</f>
        <v/>
      </c>
      <c r="V100" s="17" t="str">
        <f>IFERROR(VLOOKUP(シフト組み!V130,役職一覧!$B:$D,2,FALSE),"")</f>
        <v/>
      </c>
      <c r="W100" s="17" t="str">
        <f>IFERROR(VLOOKUP(シフト組み!W130,役職一覧!$B:$D,2,FALSE),"")</f>
        <v/>
      </c>
      <c r="X100" s="17" t="str">
        <f>IFERROR(VLOOKUP(シフト組み!X130,役職一覧!$B:$D,2,FALSE),"")</f>
        <v/>
      </c>
      <c r="Y100" s="17" t="str">
        <f>IFERROR(VLOOKUP(シフト組み!Y130,役職一覧!$B:$D,2,FALSE),"")</f>
        <v/>
      </c>
      <c r="Z100" s="17" t="str">
        <f>IFERROR(VLOOKUP(シフト組み!Z130,役職一覧!$B:$D,2,FALSE),"")</f>
        <v/>
      </c>
      <c r="AA100" s="17" t="str">
        <f>IFERROR(VLOOKUP(シフト組み!AA130,役職一覧!$B:$D,2,FALSE),"")</f>
        <v/>
      </c>
      <c r="AB100" s="17" t="str">
        <f>IFERROR(VLOOKUP(シフト組み!AB130,役職一覧!$B:$D,2,FALSE),"")</f>
        <v/>
      </c>
      <c r="AC100" s="17" t="str">
        <f>IFERROR(VLOOKUP(シフト組み!AC130,役職一覧!$B:$D,2,FALSE),"")</f>
        <v/>
      </c>
      <c r="AD100" s="17" t="str">
        <f>IFERROR(VLOOKUP(シフト組み!AD130,役職一覧!$B:$D,2,FALSE),"")</f>
        <v/>
      </c>
      <c r="AE100" s="17" t="str">
        <f>IFERROR(VLOOKUP(シフト組み!AE130,役職一覧!$B:$D,2,FALSE),"")</f>
        <v/>
      </c>
      <c r="AF100" s="17" t="str">
        <f>IFERROR(VLOOKUP(シフト組み!AF130,役職一覧!$B:$D,2,FALSE),"")</f>
        <v/>
      </c>
      <c r="AG100" s="17" t="str">
        <f>IFERROR(VLOOKUP(シフト組み!AG130,役職一覧!$B:$D,2,FALSE),"")</f>
        <v/>
      </c>
      <c r="AH100" s="17" t="str">
        <f>IFERROR(VLOOKUP(シフト組み!AH130,役職一覧!$B:$D,2,FALSE),"")</f>
        <v/>
      </c>
      <c r="AI100" s="17" t="str">
        <f>IFERROR(VLOOKUP(シフト組み!AI130,役職一覧!$B:$D,2,FALSE),"")</f>
        <v/>
      </c>
      <c r="AJ100" s="17" t="str">
        <f>IFERROR(VLOOKUP(シフト組み!AJ130,役職一覧!$B:$D,2,FALSE),"")</f>
        <v/>
      </c>
      <c r="AK100" s="17" t="str">
        <f>IFERROR(VLOOKUP(シフト組み!AK130,役職一覧!$B:$D,2,FALSE),"")</f>
        <v/>
      </c>
      <c r="AL100" s="17" t="str">
        <f>IFERROR(VLOOKUP(シフト組み!AL130,役職一覧!$B:$D,2,FALSE),"")</f>
        <v/>
      </c>
      <c r="AM100" s="17" t="str">
        <f>IFERROR(VLOOKUP(シフト組み!AM130,役職一覧!$B:$D,2,FALSE),"")</f>
        <v/>
      </c>
      <c r="AN100" s="17" t="str">
        <f>IFERROR(VLOOKUP(シフト組み!AN130,役職一覧!$B:$D,2,FALSE),"")</f>
        <v/>
      </c>
      <c r="AO100" s="17" t="str">
        <f>IFERROR(VLOOKUP(シフト組み!AO130,役職一覧!$B:$D,2,FALSE),"")</f>
        <v/>
      </c>
      <c r="AP100" s="17" t="str">
        <f>IFERROR(VLOOKUP(シフト組み!AP130,役職一覧!$B:$D,2,FALSE),"")</f>
        <v/>
      </c>
      <c r="AQ100" s="17" t="str">
        <f>IFERROR(VLOOKUP(シフト組み!AQ130,役職一覧!$B:$D,2,FALSE),"")</f>
        <v/>
      </c>
      <c r="AR100" s="17" t="str">
        <f>IFERROR(VLOOKUP(シフト組み!AR130,役職一覧!$B:$D,2,FALSE),"")</f>
        <v/>
      </c>
      <c r="AS100" s="17" t="str">
        <f>IFERROR(VLOOKUP(シフト組み!AS130,役職一覧!$B:$D,2,FALSE),"")</f>
        <v/>
      </c>
      <c r="AT100" s="17" t="str">
        <f>IFERROR(VLOOKUP(シフト組み!AT130,役職一覧!$B:$D,2,FALSE),"")</f>
        <v/>
      </c>
      <c r="AU100" s="17" t="str">
        <f>IFERROR(VLOOKUP(シフト組み!AU130,役職一覧!$B:$D,2,FALSE),"")</f>
        <v/>
      </c>
      <c r="AV100" s="17" t="str">
        <f>IFERROR(VLOOKUP(シフト組み!AV130,役職一覧!$B:$D,2,FALSE),"")</f>
        <v/>
      </c>
      <c r="AW100" s="17" t="str">
        <f>IFERROR(VLOOKUP(シフト組み!AW130,役職一覧!$B:$D,2,FALSE),"")</f>
        <v/>
      </c>
      <c r="AX100" s="17" t="str">
        <f>IFERROR(VLOOKUP(シフト組み!AX130,役職一覧!$B:$D,2,FALSE),"")</f>
        <v/>
      </c>
      <c r="AY100" s="17" t="str">
        <f>IFERROR(VLOOKUP(シフト組み!AY130,役職一覧!$B:$D,2,FALSE),"")</f>
        <v/>
      </c>
      <c r="AZ100" s="17" t="str">
        <f>IFERROR(VLOOKUP(シフト組み!AZ130,役職一覧!$B:$D,2,FALSE),"")</f>
        <v/>
      </c>
      <c r="BA100" s="17" t="str">
        <f>IFERROR(VLOOKUP(シフト組み!BA130,役職一覧!$B:$D,2,FALSE),"")</f>
        <v/>
      </c>
    </row>
    <row r="101" spans="1:53">
      <c r="A101" s="2" t="str">
        <f>シフト組み!A131&amp;""</f>
        <v/>
      </c>
      <c r="B101" s="2" t="str">
        <f>シフト組み!B131&amp;""</f>
        <v/>
      </c>
      <c r="C101" s="2" t="str">
        <f>シフト組み!C131&amp;""</f>
        <v/>
      </c>
      <c r="D101" s="17" t="str">
        <f>IFERROR(VLOOKUP(シフト組み!D131,役職一覧!$B:$D,2,FALSE),"")</f>
        <v/>
      </c>
      <c r="E101" s="17" t="str">
        <f>IFERROR(VLOOKUP(シフト組み!E131,役職一覧!$B:$D,2,FALSE),"")</f>
        <v/>
      </c>
      <c r="F101" s="17" t="str">
        <f>IFERROR(VLOOKUP(シフト組み!F131,役職一覧!$B:$D,2,FALSE),"")</f>
        <v/>
      </c>
      <c r="G101" s="17" t="str">
        <f>IFERROR(VLOOKUP(シフト組み!G131,役職一覧!$B:$D,2,FALSE),"")</f>
        <v/>
      </c>
      <c r="H101" s="17" t="str">
        <f>IFERROR(VLOOKUP(シフト組み!H131,役職一覧!$B:$D,2,FALSE),"")</f>
        <v/>
      </c>
      <c r="I101" s="17" t="str">
        <f>IFERROR(VLOOKUP(シフト組み!I131,役職一覧!$B:$D,2,FALSE),"")</f>
        <v/>
      </c>
      <c r="J101" s="17" t="str">
        <f>IFERROR(VLOOKUP(シフト組み!J131,役職一覧!$B:$D,2,FALSE),"")</f>
        <v/>
      </c>
      <c r="K101" s="17" t="str">
        <f>IFERROR(VLOOKUP(シフト組み!K131,役職一覧!$B:$D,2,FALSE),"")</f>
        <v/>
      </c>
      <c r="L101" s="17" t="str">
        <f>IFERROR(VLOOKUP(シフト組み!L131,役職一覧!$B:$D,2,FALSE),"")</f>
        <v/>
      </c>
      <c r="M101" s="17" t="str">
        <f>IFERROR(VLOOKUP(シフト組み!M131,役職一覧!$B:$D,2,FALSE),"")</f>
        <v/>
      </c>
      <c r="N101" s="17" t="str">
        <f>IFERROR(VLOOKUP(シフト組み!N131,役職一覧!$B:$D,2,FALSE),"")</f>
        <v/>
      </c>
      <c r="O101" s="17" t="str">
        <f>IFERROR(VLOOKUP(シフト組み!O131,役職一覧!$B:$D,2,FALSE),"")</f>
        <v/>
      </c>
      <c r="P101" s="17" t="str">
        <f>IFERROR(VLOOKUP(シフト組み!P131,役職一覧!$B:$D,2,FALSE),"")</f>
        <v/>
      </c>
      <c r="Q101" s="17" t="str">
        <f>IFERROR(VLOOKUP(シフト組み!Q131,役職一覧!$B:$D,2,FALSE),"")</f>
        <v/>
      </c>
      <c r="R101" s="17" t="str">
        <f>IFERROR(VLOOKUP(シフト組み!R131,役職一覧!$B:$D,2,FALSE),"")</f>
        <v/>
      </c>
      <c r="S101" s="17" t="str">
        <f>IFERROR(VLOOKUP(シフト組み!S131,役職一覧!$B:$D,2,FALSE),"")</f>
        <v/>
      </c>
      <c r="T101" s="17" t="str">
        <f>IFERROR(VLOOKUP(シフト組み!T131,役職一覧!$B:$D,2,FALSE),"")</f>
        <v/>
      </c>
      <c r="U101" s="17" t="str">
        <f>IFERROR(VLOOKUP(シフト組み!U131,役職一覧!$B:$D,2,FALSE),"")</f>
        <v/>
      </c>
      <c r="V101" s="17" t="str">
        <f>IFERROR(VLOOKUP(シフト組み!V131,役職一覧!$B:$D,2,FALSE),"")</f>
        <v/>
      </c>
      <c r="W101" s="17" t="str">
        <f>IFERROR(VLOOKUP(シフト組み!W131,役職一覧!$B:$D,2,FALSE),"")</f>
        <v/>
      </c>
      <c r="X101" s="17" t="str">
        <f>IFERROR(VLOOKUP(シフト組み!X131,役職一覧!$B:$D,2,FALSE),"")</f>
        <v/>
      </c>
      <c r="Y101" s="17" t="str">
        <f>IFERROR(VLOOKUP(シフト組み!Y131,役職一覧!$B:$D,2,FALSE),"")</f>
        <v/>
      </c>
      <c r="Z101" s="17" t="str">
        <f>IFERROR(VLOOKUP(シフト組み!Z131,役職一覧!$B:$D,2,FALSE),"")</f>
        <v/>
      </c>
      <c r="AA101" s="17" t="str">
        <f>IFERROR(VLOOKUP(シフト組み!AA131,役職一覧!$B:$D,2,FALSE),"")</f>
        <v/>
      </c>
      <c r="AB101" s="17" t="str">
        <f>IFERROR(VLOOKUP(シフト組み!AB131,役職一覧!$B:$D,2,FALSE),"")</f>
        <v/>
      </c>
      <c r="AC101" s="17" t="str">
        <f>IFERROR(VLOOKUP(シフト組み!AC131,役職一覧!$B:$D,2,FALSE),"")</f>
        <v/>
      </c>
      <c r="AD101" s="17" t="str">
        <f>IFERROR(VLOOKUP(シフト組み!AD131,役職一覧!$B:$D,2,FALSE),"")</f>
        <v/>
      </c>
      <c r="AE101" s="17" t="str">
        <f>IFERROR(VLOOKUP(シフト組み!AE131,役職一覧!$B:$D,2,FALSE),"")</f>
        <v/>
      </c>
      <c r="AF101" s="17" t="str">
        <f>IFERROR(VLOOKUP(シフト組み!AF131,役職一覧!$B:$D,2,FALSE),"")</f>
        <v/>
      </c>
      <c r="AG101" s="17" t="str">
        <f>IFERROR(VLOOKUP(シフト組み!AG131,役職一覧!$B:$D,2,FALSE),"")</f>
        <v/>
      </c>
      <c r="AH101" s="17" t="str">
        <f>IFERROR(VLOOKUP(シフト組み!AH131,役職一覧!$B:$D,2,FALSE),"")</f>
        <v/>
      </c>
      <c r="AI101" s="17" t="str">
        <f>IFERROR(VLOOKUP(シフト組み!AI131,役職一覧!$B:$D,2,FALSE),"")</f>
        <v/>
      </c>
      <c r="AJ101" s="17" t="str">
        <f>IFERROR(VLOOKUP(シフト組み!AJ131,役職一覧!$B:$D,2,FALSE),"")</f>
        <v/>
      </c>
      <c r="AK101" s="17" t="str">
        <f>IFERROR(VLOOKUP(シフト組み!AK131,役職一覧!$B:$D,2,FALSE),"")</f>
        <v/>
      </c>
      <c r="AL101" s="17" t="str">
        <f>IFERROR(VLOOKUP(シフト組み!AL131,役職一覧!$B:$D,2,FALSE),"")</f>
        <v/>
      </c>
      <c r="AM101" s="17" t="str">
        <f>IFERROR(VLOOKUP(シフト組み!AM131,役職一覧!$B:$D,2,FALSE),"")</f>
        <v/>
      </c>
      <c r="AN101" s="17" t="str">
        <f>IFERROR(VLOOKUP(シフト組み!AN131,役職一覧!$B:$D,2,FALSE),"")</f>
        <v/>
      </c>
      <c r="AO101" s="17" t="str">
        <f>IFERROR(VLOOKUP(シフト組み!AO131,役職一覧!$B:$D,2,FALSE),"")</f>
        <v/>
      </c>
      <c r="AP101" s="17" t="str">
        <f>IFERROR(VLOOKUP(シフト組み!AP131,役職一覧!$B:$D,2,FALSE),"")</f>
        <v/>
      </c>
      <c r="AQ101" s="17" t="str">
        <f>IFERROR(VLOOKUP(シフト組み!AQ131,役職一覧!$B:$D,2,FALSE),"")</f>
        <v/>
      </c>
      <c r="AR101" s="17" t="str">
        <f>IFERROR(VLOOKUP(シフト組み!AR131,役職一覧!$B:$D,2,FALSE),"")</f>
        <v/>
      </c>
      <c r="AS101" s="17" t="str">
        <f>IFERROR(VLOOKUP(シフト組み!AS131,役職一覧!$B:$D,2,FALSE),"")</f>
        <v/>
      </c>
      <c r="AT101" s="17" t="str">
        <f>IFERROR(VLOOKUP(シフト組み!AT131,役職一覧!$B:$D,2,FALSE),"")</f>
        <v/>
      </c>
      <c r="AU101" s="17" t="str">
        <f>IFERROR(VLOOKUP(シフト組み!AU131,役職一覧!$B:$D,2,FALSE),"")</f>
        <v/>
      </c>
      <c r="AV101" s="17" t="str">
        <f>IFERROR(VLOOKUP(シフト組み!AV131,役職一覧!$B:$D,2,FALSE),"")</f>
        <v/>
      </c>
      <c r="AW101" s="17" t="str">
        <f>IFERROR(VLOOKUP(シフト組み!AW131,役職一覧!$B:$D,2,FALSE),"")</f>
        <v/>
      </c>
      <c r="AX101" s="17" t="str">
        <f>IFERROR(VLOOKUP(シフト組み!AX131,役職一覧!$B:$D,2,FALSE),"")</f>
        <v/>
      </c>
      <c r="AY101" s="17" t="str">
        <f>IFERROR(VLOOKUP(シフト組み!AY131,役職一覧!$B:$D,2,FALSE),"")</f>
        <v/>
      </c>
      <c r="AZ101" s="17" t="str">
        <f>IFERROR(VLOOKUP(シフト組み!AZ131,役職一覧!$B:$D,2,FALSE),"")</f>
        <v/>
      </c>
      <c r="BA101" s="17" t="str">
        <f>IFERROR(VLOOKUP(シフト組み!BA131,役職一覧!$B:$D,2,FALSE),"")</f>
        <v/>
      </c>
    </row>
    <row r="102" spans="1:53">
      <c r="A102" s="2" t="str">
        <f>シフト組み!A132&amp;""</f>
        <v/>
      </c>
      <c r="B102" s="2" t="str">
        <f>シフト組み!B132&amp;""</f>
        <v/>
      </c>
      <c r="C102" s="2" t="str">
        <f>シフト組み!C132&amp;""</f>
        <v/>
      </c>
      <c r="D102" s="17" t="str">
        <f>IFERROR(VLOOKUP(シフト組み!D132,役職一覧!$B:$D,2,FALSE),"")</f>
        <v/>
      </c>
      <c r="E102" s="17" t="str">
        <f>IFERROR(VLOOKUP(シフト組み!E132,役職一覧!$B:$D,2,FALSE),"")</f>
        <v/>
      </c>
      <c r="F102" s="17" t="str">
        <f>IFERROR(VLOOKUP(シフト組み!F132,役職一覧!$B:$D,2,FALSE),"")</f>
        <v/>
      </c>
      <c r="G102" s="17" t="str">
        <f>IFERROR(VLOOKUP(シフト組み!G132,役職一覧!$B:$D,2,FALSE),"")</f>
        <v/>
      </c>
      <c r="H102" s="17" t="str">
        <f>IFERROR(VLOOKUP(シフト組み!H132,役職一覧!$B:$D,2,FALSE),"")</f>
        <v/>
      </c>
      <c r="I102" s="17" t="str">
        <f>IFERROR(VLOOKUP(シフト組み!I132,役職一覧!$B:$D,2,FALSE),"")</f>
        <v/>
      </c>
      <c r="J102" s="17" t="str">
        <f>IFERROR(VLOOKUP(シフト組み!J132,役職一覧!$B:$D,2,FALSE),"")</f>
        <v/>
      </c>
      <c r="K102" s="17" t="str">
        <f>IFERROR(VLOOKUP(シフト組み!K132,役職一覧!$B:$D,2,FALSE),"")</f>
        <v/>
      </c>
      <c r="L102" s="17" t="str">
        <f>IFERROR(VLOOKUP(シフト組み!L132,役職一覧!$B:$D,2,FALSE),"")</f>
        <v/>
      </c>
      <c r="M102" s="17" t="str">
        <f>IFERROR(VLOOKUP(シフト組み!M132,役職一覧!$B:$D,2,FALSE),"")</f>
        <v/>
      </c>
      <c r="N102" s="17" t="str">
        <f>IFERROR(VLOOKUP(シフト組み!N132,役職一覧!$B:$D,2,FALSE),"")</f>
        <v/>
      </c>
      <c r="O102" s="17" t="str">
        <f>IFERROR(VLOOKUP(シフト組み!O132,役職一覧!$B:$D,2,FALSE),"")</f>
        <v/>
      </c>
      <c r="P102" s="17" t="str">
        <f>IFERROR(VLOOKUP(シフト組み!P132,役職一覧!$B:$D,2,FALSE),"")</f>
        <v/>
      </c>
      <c r="Q102" s="17" t="str">
        <f>IFERROR(VLOOKUP(シフト組み!Q132,役職一覧!$B:$D,2,FALSE),"")</f>
        <v/>
      </c>
      <c r="R102" s="17" t="str">
        <f>IFERROR(VLOOKUP(シフト組み!R132,役職一覧!$B:$D,2,FALSE),"")</f>
        <v/>
      </c>
      <c r="S102" s="17" t="str">
        <f>IFERROR(VLOOKUP(シフト組み!S132,役職一覧!$B:$D,2,FALSE),"")</f>
        <v/>
      </c>
      <c r="T102" s="17" t="str">
        <f>IFERROR(VLOOKUP(シフト組み!T132,役職一覧!$B:$D,2,FALSE),"")</f>
        <v/>
      </c>
      <c r="U102" s="17" t="str">
        <f>IFERROR(VLOOKUP(シフト組み!U132,役職一覧!$B:$D,2,FALSE),"")</f>
        <v/>
      </c>
      <c r="V102" s="17" t="str">
        <f>IFERROR(VLOOKUP(シフト組み!V132,役職一覧!$B:$D,2,FALSE),"")</f>
        <v/>
      </c>
      <c r="W102" s="17" t="str">
        <f>IFERROR(VLOOKUP(シフト組み!W132,役職一覧!$B:$D,2,FALSE),"")</f>
        <v/>
      </c>
      <c r="X102" s="17" t="str">
        <f>IFERROR(VLOOKUP(シフト組み!X132,役職一覧!$B:$D,2,FALSE),"")</f>
        <v/>
      </c>
      <c r="Y102" s="17" t="str">
        <f>IFERROR(VLOOKUP(シフト組み!Y132,役職一覧!$B:$D,2,FALSE),"")</f>
        <v/>
      </c>
      <c r="Z102" s="17" t="str">
        <f>IFERROR(VLOOKUP(シフト組み!Z132,役職一覧!$B:$D,2,FALSE),"")</f>
        <v/>
      </c>
      <c r="AA102" s="17" t="str">
        <f>IFERROR(VLOOKUP(シフト組み!AA132,役職一覧!$B:$D,2,FALSE),"")</f>
        <v/>
      </c>
      <c r="AB102" s="17" t="str">
        <f>IFERROR(VLOOKUP(シフト組み!AB132,役職一覧!$B:$D,2,FALSE),"")</f>
        <v/>
      </c>
      <c r="AC102" s="17" t="str">
        <f>IFERROR(VLOOKUP(シフト組み!AC132,役職一覧!$B:$D,2,FALSE),"")</f>
        <v/>
      </c>
      <c r="AD102" s="17" t="str">
        <f>IFERROR(VLOOKUP(シフト組み!AD132,役職一覧!$B:$D,2,FALSE),"")</f>
        <v/>
      </c>
      <c r="AE102" s="17" t="str">
        <f>IFERROR(VLOOKUP(シフト組み!AE132,役職一覧!$B:$D,2,FALSE),"")</f>
        <v/>
      </c>
      <c r="AF102" s="17" t="str">
        <f>IFERROR(VLOOKUP(シフト組み!AF132,役職一覧!$B:$D,2,FALSE),"")</f>
        <v/>
      </c>
      <c r="AG102" s="17" t="str">
        <f>IFERROR(VLOOKUP(シフト組み!AG132,役職一覧!$B:$D,2,FALSE),"")</f>
        <v/>
      </c>
      <c r="AH102" s="17" t="str">
        <f>IFERROR(VLOOKUP(シフト組み!AH132,役職一覧!$B:$D,2,FALSE),"")</f>
        <v/>
      </c>
      <c r="AI102" s="17" t="str">
        <f>IFERROR(VLOOKUP(シフト組み!AI132,役職一覧!$B:$D,2,FALSE),"")</f>
        <v/>
      </c>
      <c r="AJ102" s="17" t="str">
        <f>IFERROR(VLOOKUP(シフト組み!AJ132,役職一覧!$B:$D,2,FALSE),"")</f>
        <v/>
      </c>
      <c r="AK102" s="17" t="str">
        <f>IFERROR(VLOOKUP(シフト組み!AK132,役職一覧!$B:$D,2,FALSE),"")</f>
        <v/>
      </c>
      <c r="AL102" s="17" t="str">
        <f>IFERROR(VLOOKUP(シフト組み!AL132,役職一覧!$B:$D,2,FALSE),"")</f>
        <v/>
      </c>
      <c r="AM102" s="17" t="str">
        <f>IFERROR(VLOOKUP(シフト組み!AM132,役職一覧!$B:$D,2,FALSE),"")</f>
        <v/>
      </c>
      <c r="AN102" s="17" t="str">
        <f>IFERROR(VLOOKUP(シフト組み!AN132,役職一覧!$B:$D,2,FALSE),"")</f>
        <v/>
      </c>
      <c r="AO102" s="17" t="str">
        <f>IFERROR(VLOOKUP(シフト組み!AO132,役職一覧!$B:$D,2,FALSE),"")</f>
        <v/>
      </c>
      <c r="AP102" s="17" t="str">
        <f>IFERROR(VLOOKUP(シフト組み!AP132,役職一覧!$B:$D,2,FALSE),"")</f>
        <v/>
      </c>
      <c r="AQ102" s="17" t="str">
        <f>IFERROR(VLOOKUP(シフト組み!AQ132,役職一覧!$B:$D,2,FALSE),"")</f>
        <v/>
      </c>
      <c r="AR102" s="17" t="str">
        <f>IFERROR(VLOOKUP(シフト組み!AR132,役職一覧!$B:$D,2,FALSE),"")</f>
        <v/>
      </c>
      <c r="AS102" s="17" t="str">
        <f>IFERROR(VLOOKUP(シフト組み!AS132,役職一覧!$B:$D,2,FALSE),"")</f>
        <v/>
      </c>
      <c r="AT102" s="17" t="str">
        <f>IFERROR(VLOOKUP(シフト組み!AT132,役職一覧!$B:$D,2,FALSE),"")</f>
        <v/>
      </c>
      <c r="AU102" s="17" t="str">
        <f>IFERROR(VLOOKUP(シフト組み!AU132,役職一覧!$B:$D,2,FALSE),"")</f>
        <v/>
      </c>
      <c r="AV102" s="17" t="str">
        <f>IFERROR(VLOOKUP(シフト組み!AV132,役職一覧!$B:$D,2,FALSE),"")</f>
        <v/>
      </c>
      <c r="AW102" s="17" t="str">
        <f>IFERROR(VLOOKUP(シフト組み!AW132,役職一覧!$B:$D,2,FALSE),"")</f>
        <v/>
      </c>
      <c r="AX102" s="17" t="str">
        <f>IFERROR(VLOOKUP(シフト組み!AX132,役職一覧!$B:$D,2,FALSE),"")</f>
        <v/>
      </c>
      <c r="AY102" s="17" t="str">
        <f>IFERROR(VLOOKUP(シフト組み!AY132,役職一覧!$B:$D,2,FALSE),"")</f>
        <v/>
      </c>
      <c r="AZ102" s="17" t="str">
        <f>IFERROR(VLOOKUP(シフト組み!AZ132,役職一覧!$B:$D,2,FALSE),"")</f>
        <v/>
      </c>
      <c r="BA102" s="17" t="str">
        <f>IFERROR(VLOOKUP(シフト組み!BA132,役職一覧!$B:$D,2,FALSE),"")</f>
        <v/>
      </c>
    </row>
    <row r="103" spans="1:53">
      <c r="A103" s="2" t="str">
        <f>シフト組み!A133&amp;""</f>
        <v/>
      </c>
      <c r="B103" s="2" t="str">
        <f>シフト組み!B133&amp;""</f>
        <v/>
      </c>
      <c r="C103" s="2" t="str">
        <f>シフト組み!C133&amp;""</f>
        <v/>
      </c>
      <c r="D103" s="17" t="str">
        <f>IFERROR(VLOOKUP(シフト組み!D133,役職一覧!$B:$D,2,FALSE),"")</f>
        <v/>
      </c>
      <c r="E103" s="17" t="str">
        <f>IFERROR(VLOOKUP(シフト組み!E133,役職一覧!$B:$D,2,FALSE),"")</f>
        <v/>
      </c>
      <c r="F103" s="17" t="str">
        <f>IFERROR(VLOOKUP(シフト組み!F133,役職一覧!$B:$D,2,FALSE),"")</f>
        <v/>
      </c>
      <c r="G103" s="17" t="str">
        <f>IFERROR(VLOOKUP(シフト組み!G133,役職一覧!$B:$D,2,FALSE),"")</f>
        <v/>
      </c>
      <c r="H103" s="17" t="str">
        <f>IFERROR(VLOOKUP(シフト組み!H133,役職一覧!$B:$D,2,FALSE),"")</f>
        <v/>
      </c>
      <c r="I103" s="17" t="str">
        <f>IFERROR(VLOOKUP(シフト組み!I133,役職一覧!$B:$D,2,FALSE),"")</f>
        <v/>
      </c>
      <c r="J103" s="17" t="str">
        <f>IFERROR(VLOOKUP(シフト組み!J133,役職一覧!$B:$D,2,FALSE),"")</f>
        <v/>
      </c>
      <c r="K103" s="17" t="str">
        <f>IFERROR(VLOOKUP(シフト組み!K133,役職一覧!$B:$D,2,FALSE),"")</f>
        <v/>
      </c>
      <c r="L103" s="17" t="str">
        <f>IFERROR(VLOOKUP(シフト組み!L133,役職一覧!$B:$D,2,FALSE),"")</f>
        <v/>
      </c>
      <c r="M103" s="17" t="str">
        <f>IFERROR(VLOOKUP(シフト組み!M133,役職一覧!$B:$D,2,FALSE),"")</f>
        <v/>
      </c>
      <c r="N103" s="17" t="str">
        <f>IFERROR(VLOOKUP(シフト組み!N133,役職一覧!$B:$D,2,FALSE),"")</f>
        <v/>
      </c>
      <c r="O103" s="17" t="str">
        <f>IFERROR(VLOOKUP(シフト組み!O133,役職一覧!$B:$D,2,FALSE),"")</f>
        <v/>
      </c>
      <c r="P103" s="17" t="str">
        <f>IFERROR(VLOOKUP(シフト組み!P133,役職一覧!$B:$D,2,FALSE),"")</f>
        <v/>
      </c>
      <c r="Q103" s="17" t="str">
        <f>IFERROR(VLOOKUP(シフト組み!Q133,役職一覧!$B:$D,2,FALSE),"")</f>
        <v/>
      </c>
      <c r="R103" s="17" t="str">
        <f>IFERROR(VLOOKUP(シフト組み!R133,役職一覧!$B:$D,2,FALSE),"")</f>
        <v/>
      </c>
      <c r="S103" s="17" t="str">
        <f>IFERROR(VLOOKUP(シフト組み!S133,役職一覧!$B:$D,2,FALSE),"")</f>
        <v/>
      </c>
      <c r="T103" s="17" t="str">
        <f>IFERROR(VLOOKUP(シフト組み!T133,役職一覧!$B:$D,2,FALSE),"")</f>
        <v/>
      </c>
      <c r="U103" s="17" t="str">
        <f>IFERROR(VLOOKUP(シフト組み!U133,役職一覧!$B:$D,2,FALSE),"")</f>
        <v/>
      </c>
      <c r="V103" s="17" t="str">
        <f>IFERROR(VLOOKUP(シフト組み!V133,役職一覧!$B:$D,2,FALSE),"")</f>
        <v/>
      </c>
      <c r="W103" s="17" t="str">
        <f>IFERROR(VLOOKUP(シフト組み!W133,役職一覧!$B:$D,2,FALSE),"")</f>
        <v/>
      </c>
      <c r="X103" s="17" t="str">
        <f>IFERROR(VLOOKUP(シフト組み!X133,役職一覧!$B:$D,2,FALSE),"")</f>
        <v/>
      </c>
      <c r="Y103" s="17" t="str">
        <f>IFERROR(VLOOKUP(シフト組み!Y133,役職一覧!$B:$D,2,FALSE),"")</f>
        <v/>
      </c>
      <c r="Z103" s="17" t="str">
        <f>IFERROR(VLOOKUP(シフト組み!Z133,役職一覧!$B:$D,2,FALSE),"")</f>
        <v/>
      </c>
      <c r="AA103" s="17" t="str">
        <f>IFERROR(VLOOKUP(シフト組み!AA133,役職一覧!$B:$D,2,FALSE),"")</f>
        <v/>
      </c>
      <c r="AB103" s="17" t="str">
        <f>IFERROR(VLOOKUP(シフト組み!AB133,役職一覧!$B:$D,2,FALSE),"")</f>
        <v/>
      </c>
      <c r="AC103" s="17" t="str">
        <f>IFERROR(VLOOKUP(シフト組み!AC133,役職一覧!$B:$D,2,FALSE),"")</f>
        <v/>
      </c>
      <c r="AD103" s="17" t="str">
        <f>IFERROR(VLOOKUP(シフト組み!AD133,役職一覧!$B:$D,2,FALSE),"")</f>
        <v/>
      </c>
      <c r="AE103" s="17" t="str">
        <f>IFERROR(VLOOKUP(シフト組み!AE133,役職一覧!$B:$D,2,FALSE),"")</f>
        <v/>
      </c>
      <c r="AF103" s="17" t="str">
        <f>IFERROR(VLOOKUP(シフト組み!AF133,役職一覧!$B:$D,2,FALSE),"")</f>
        <v/>
      </c>
      <c r="AG103" s="17" t="str">
        <f>IFERROR(VLOOKUP(シフト組み!AG133,役職一覧!$B:$D,2,FALSE),"")</f>
        <v/>
      </c>
      <c r="AH103" s="17" t="str">
        <f>IFERROR(VLOOKUP(シフト組み!AH133,役職一覧!$B:$D,2,FALSE),"")</f>
        <v/>
      </c>
      <c r="AI103" s="17" t="str">
        <f>IFERROR(VLOOKUP(シフト組み!AI133,役職一覧!$B:$D,2,FALSE),"")</f>
        <v/>
      </c>
      <c r="AJ103" s="17" t="str">
        <f>IFERROR(VLOOKUP(シフト組み!AJ133,役職一覧!$B:$D,2,FALSE),"")</f>
        <v/>
      </c>
      <c r="AK103" s="17" t="str">
        <f>IFERROR(VLOOKUP(シフト組み!AK133,役職一覧!$B:$D,2,FALSE),"")</f>
        <v/>
      </c>
      <c r="AL103" s="17" t="str">
        <f>IFERROR(VLOOKUP(シフト組み!AL133,役職一覧!$B:$D,2,FALSE),"")</f>
        <v/>
      </c>
      <c r="AM103" s="17" t="str">
        <f>IFERROR(VLOOKUP(シフト組み!AM133,役職一覧!$B:$D,2,FALSE),"")</f>
        <v/>
      </c>
      <c r="AN103" s="17" t="str">
        <f>IFERROR(VLOOKUP(シフト組み!AN133,役職一覧!$B:$D,2,FALSE),"")</f>
        <v/>
      </c>
      <c r="AO103" s="17" t="str">
        <f>IFERROR(VLOOKUP(シフト組み!AO133,役職一覧!$B:$D,2,FALSE),"")</f>
        <v/>
      </c>
      <c r="AP103" s="17" t="str">
        <f>IFERROR(VLOOKUP(シフト組み!AP133,役職一覧!$B:$D,2,FALSE),"")</f>
        <v/>
      </c>
      <c r="AQ103" s="17" t="str">
        <f>IFERROR(VLOOKUP(シフト組み!AQ133,役職一覧!$B:$D,2,FALSE),"")</f>
        <v/>
      </c>
      <c r="AR103" s="17" t="str">
        <f>IFERROR(VLOOKUP(シフト組み!AR133,役職一覧!$B:$D,2,FALSE),"")</f>
        <v/>
      </c>
      <c r="AS103" s="17" t="str">
        <f>IFERROR(VLOOKUP(シフト組み!AS133,役職一覧!$B:$D,2,FALSE),"")</f>
        <v/>
      </c>
      <c r="AT103" s="17" t="str">
        <f>IFERROR(VLOOKUP(シフト組み!AT133,役職一覧!$B:$D,2,FALSE),"")</f>
        <v/>
      </c>
      <c r="AU103" s="17" t="str">
        <f>IFERROR(VLOOKUP(シフト組み!AU133,役職一覧!$B:$D,2,FALSE),"")</f>
        <v/>
      </c>
      <c r="AV103" s="17" t="str">
        <f>IFERROR(VLOOKUP(シフト組み!AV133,役職一覧!$B:$D,2,FALSE),"")</f>
        <v/>
      </c>
      <c r="AW103" s="17" t="str">
        <f>IFERROR(VLOOKUP(シフト組み!AW133,役職一覧!$B:$D,2,FALSE),"")</f>
        <v/>
      </c>
      <c r="AX103" s="17" t="str">
        <f>IFERROR(VLOOKUP(シフト組み!AX133,役職一覧!$B:$D,2,FALSE),"")</f>
        <v/>
      </c>
      <c r="AY103" s="17" t="str">
        <f>IFERROR(VLOOKUP(シフト組み!AY133,役職一覧!$B:$D,2,FALSE),"")</f>
        <v/>
      </c>
      <c r="AZ103" s="17" t="str">
        <f>IFERROR(VLOOKUP(シフト組み!AZ133,役職一覧!$B:$D,2,FALSE),"")</f>
        <v/>
      </c>
      <c r="BA103" s="17" t="str">
        <f>IFERROR(VLOOKUP(シフト組み!BA133,役職一覧!$B:$D,2,FALSE),"")</f>
        <v/>
      </c>
    </row>
    <row r="104" spans="1:53">
      <c r="A104" s="2" t="str">
        <f>シフト組み!A134&amp;""</f>
        <v/>
      </c>
      <c r="B104" s="2" t="str">
        <f>シフト組み!B134&amp;""</f>
        <v/>
      </c>
      <c r="C104" s="2" t="str">
        <f>シフト組み!C134&amp;""</f>
        <v/>
      </c>
      <c r="D104" s="17" t="str">
        <f>IFERROR(VLOOKUP(シフト組み!D134,役職一覧!$B:$D,2,FALSE),"")</f>
        <v/>
      </c>
      <c r="E104" s="17" t="str">
        <f>IFERROR(VLOOKUP(シフト組み!E134,役職一覧!$B:$D,2,FALSE),"")</f>
        <v/>
      </c>
      <c r="F104" s="17" t="str">
        <f>IFERROR(VLOOKUP(シフト組み!F134,役職一覧!$B:$D,2,FALSE),"")</f>
        <v/>
      </c>
      <c r="G104" s="17" t="str">
        <f>IFERROR(VLOOKUP(シフト組み!G134,役職一覧!$B:$D,2,FALSE),"")</f>
        <v/>
      </c>
      <c r="H104" s="17" t="str">
        <f>IFERROR(VLOOKUP(シフト組み!H134,役職一覧!$B:$D,2,FALSE),"")</f>
        <v/>
      </c>
      <c r="I104" s="17" t="str">
        <f>IFERROR(VLOOKUP(シフト組み!I134,役職一覧!$B:$D,2,FALSE),"")</f>
        <v/>
      </c>
      <c r="J104" s="17" t="str">
        <f>IFERROR(VLOOKUP(シフト組み!J134,役職一覧!$B:$D,2,FALSE),"")</f>
        <v/>
      </c>
      <c r="K104" s="17" t="str">
        <f>IFERROR(VLOOKUP(シフト組み!K134,役職一覧!$B:$D,2,FALSE),"")</f>
        <v/>
      </c>
      <c r="L104" s="17" t="str">
        <f>IFERROR(VLOOKUP(シフト組み!L134,役職一覧!$B:$D,2,FALSE),"")</f>
        <v/>
      </c>
      <c r="M104" s="17" t="str">
        <f>IFERROR(VLOOKUP(シフト組み!M134,役職一覧!$B:$D,2,FALSE),"")</f>
        <v/>
      </c>
      <c r="N104" s="17" t="str">
        <f>IFERROR(VLOOKUP(シフト組み!N134,役職一覧!$B:$D,2,FALSE),"")</f>
        <v/>
      </c>
      <c r="O104" s="17" t="str">
        <f>IFERROR(VLOOKUP(シフト組み!O134,役職一覧!$B:$D,2,FALSE),"")</f>
        <v/>
      </c>
      <c r="P104" s="17" t="str">
        <f>IFERROR(VLOOKUP(シフト組み!P134,役職一覧!$B:$D,2,FALSE),"")</f>
        <v/>
      </c>
      <c r="Q104" s="17" t="str">
        <f>IFERROR(VLOOKUP(シフト組み!Q134,役職一覧!$B:$D,2,FALSE),"")</f>
        <v/>
      </c>
      <c r="R104" s="17" t="str">
        <f>IFERROR(VLOOKUP(シフト組み!R134,役職一覧!$B:$D,2,FALSE),"")</f>
        <v/>
      </c>
      <c r="S104" s="17" t="str">
        <f>IFERROR(VLOOKUP(シフト組み!S134,役職一覧!$B:$D,2,FALSE),"")</f>
        <v/>
      </c>
      <c r="T104" s="17" t="str">
        <f>IFERROR(VLOOKUP(シフト組み!T134,役職一覧!$B:$D,2,FALSE),"")</f>
        <v/>
      </c>
      <c r="U104" s="17" t="str">
        <f>IFERROR(VLOOKUP(シフト組み!U134,役職一覧!$B:$D,2,FALSE),"")</f>
        <v/>
      </c>
      <c r="V104" s="17" t="str">
        <f>IFERROR(VLOOKUP(シフト組み!V134,役職一覧!$B:$D,2,FALSE),"")</f>
        <v/>
      </c>
      <c r="W104" s="17" t="str">
        <f>IFERROR(VLOOKUP(シフト組み!W134,役職一覧!$B:$D,2,FALSE),"")</f>
        <v/>
      </c>
      <c r="X104" s="17" t="str">
        <f>IFERROR(VLOOKUP(シフト組み!X134,役職一覧!$B:$D,2,FALSE),"")</f>
        <v/>
      </c>
      <c r="Y104" s="17" t="str">
        <f>IFERROR(VLOOKUP(シフト組み!Y134,役職一覧!$B:$D,2,FALSE),"")</f>
        <v/>
      </c>
      <c r="Z104" s="17" t="str">
        <f>IFERROR(VLOOKUP(シフト組み!Z134,役職一覧!$B:$D,2,FALSE),"")</f>
        <v/>
      </c>
      <c r="AA104" s="17" t="str">
        <f>IFERROR(VLOOKUP(シフト組み!AA134,役職一覧!$B:$D,2,FALSE),"")</f>
        <v/>
      </c>
      <c r="AB104" s="17" t="str">
        <f>IFERROR(VLOOKUP(シフト組み!AB134,役職一覧!$B:$D,2,FALSE),"")</f>
        <v/>
      </c>
      <c r="AC104" s="17" t="str">
        <f>IFERROR(VLOOKUP(シフト組み!AC134,役職一覧!$B:$D,2,FALSE),"")</f>
        <v/>
      </c>
      <c r="AD104" s="17" t="str">
        <f>IFERROR(VLOOKUP(シフト組み!AD134,役職一覧!$B:$D,2,FALSE),"")</f>
        <v/>
      </c>
      <c r="AE104" s="17" t="str">
        <f>IFERROR(VLOOKUP(シフト組み!AE134,役職一覧!$B:$D,2,FALSE),"")</f>
        <v/>
      </c>
      <c r="AF104" s="17" t="str">
        <f>IFERROR(VLOOKUP(シフト組み!AF134,役職一覧!$B:$D,2,FALSE),"")</f>
        <v/>
      </c>
      <c r="AG104" s="17" t="str">
        <f>IFERROR(VLOOKUP(シフト組み!AG134,役職一覧!$B:$D,2,FALSE),"")</f>
        <v/>
      </c>
      <c r="AH104" s="17" t="str">
        <f>IFERROR(VLOOKUP(シフト組み!AH134,役職一覧!$B:$D,2,FALSE),"")</f>
        <v/>
      </c>
      <c r="AI104" s="17" t="str">
        <f>IFERROR(VLOOKUP(シフト組み!AI134,役職一覧!$B:$D,2,FALSE),"")</f>
        <v/>
      </c>
      <c r="AJ104" s="17" t="str">
        <f>IFERROR(VLOOKUP(シフト組み!AJ134,役職一覧!$B:$D,2,FALSE),"")</f>
        <v/>
      </c>
      <c r="AK104" s="17" t="str">
        <f>IFERROR(VLOOKUP(シフト組み!AK134,役職一覧!$B:$D,2,FALSE),"")</f>
        <v/>
      </c>
      <c r="AL104" s="17" t="str">
        <f>IFERROR(VLOOKUP(シフト組み!AL134,役職一覧!$B:$D,2,FALSE),"")</f>
        <v/>
      </c>
      <c r="AM104" s="17" t="str">
        <f>IFERROR(VLOOKUP(シフト組み!AM134,役職一覧!$B:$D,2,FALSE),"")</f>
        <v/>
      </c>
      <c r="AN104" s="17" t="str">
        <f>IFERROR(VLOOKUP(シフト組み!AN134,役職一覧!$B:$D,2,FALSE),"")</f>
        <v/>
      </c>
      <c r="AO104" s="17" t="str">
        <f>IFERROR(VLOOKUP(シフト組み!AO134,役職一覧!$B:$D,2,FALSE),"")</f>
        <v/>
      </c>
      <c r="AP104" s="17" t="str">
        <f>IFERROR(VLOOKUP(シフト組み!AP134,役職一覧!$B:$D,2,FALSE),"")</f>
        <v/>
      </c>
      <c r="AQ104" s="17" t="str">
        <f>IFERROR(VLOOKUP(シフト組み!AQ134,役職一覧!$B:$D,2,FALSE),"")</f>
        <v/>
      </c>
      <c r="AR104" s="17" t="str">
        <f>IFERROR(VLOOKUP(シフト組み!AR134,役職一覧!$B:$D,2,FALSE),"")</f>
        <v/>
      </c>
      <c r="AS104" s="17" t="str">
        <f>IFERROR(VLOOKUP(シフト組み!AS134,役職一覧!$B:$D,2,FALSE),"")</f>
        <v/>
      </c>
      <c r="AT104" s="17" t="str">
        <f>IFERROR(VLOOKUP(シフト組み!AT134,役職一覧!$B:$D,2,FALSE),"")</f>
        <v/>
      </c>
      <c r="AU104" s="17" t="str">
        <f>IFERROR(VLOOKUP(シフト組み!AU134,役職一覧!$B:$D,2,FALSE),"")</f>
        <v/>
      </c>
      <c r="AV104" s="17" t="str">
        <f>IFERROR(VLOOKUP(シフト組み!AV134,役職一覧!$B:$D,2,FALSE),"")</f>
        <v/>
      </c>
      <c r="AW104" s="17" t="str">
        <f>IFERROR(VLOOKUP(シフト組み!AW134,役職一覧!$B:$D,2,FALSE),"")</f>
        <v/>
      </c>
      <c r="AX104" s="17" t="str">
        <f>IFERROR(VLOOKUP(シフト組み!AX134,役職一覧!$B:$D,2,FALSE),"")</f>
        <v/>
      </c>
      <c r="AY104" s="17" t="str">
        <f>IFERROR(VLOOKUP(シフト組み!AY134,役職一覧!$B:$D,2,FALSE),"")</f>
        <v/>
      </c>
      <c r="AZ104" s="17" t="str">
        <f>IFERROR(VLOOKUP(シフト組み!AZ134,役職一覧!$B:$D,2,FALSE),"")</f>
        <v/>
      </c>
      <c r="BA104" s="17" t="str">
        <f>IFERROR(VLOOKUP(シフト組み!BA134,役職一覧!$B:$D,2,FALSE),"")</f>
        <v/>
      </c>
    </row>
    <row r="105" spans="1:53">
      <c r="A105" s="2" t="str">
        <f>シフト組み!A135&amp;""</f>
        <v/>
      </c>
      <c r="B105" s="2" t="str">
        <f>シフト組み!B135&amp;""</f>
        <v/>
      </c>
      <c r="C105" s="2" t="str">
        <f>シフト組み!C135&amp;""</f>
        <v/>
      </c>
      <c r="D105" s="17" t="str">
        <f>IFERROR(VLOOKUP(シフト組み!D135,役職一覧!$B:$D,2,FALSE),"")</f>
        <v/>
      </c>
      <c r="E105" s="17" t="str">
        <f>IFERROR(VLOOKUP(シフト組み!E135,役職一覧!$B:$D,2,FALSE),"")</f>
        <v/>
      </c>
      <c r="F105" s="17" t="str">
        <f>IFERROR(VLOOKUP(シフト組み!F135,役職一覧!$B:$D,2,FALSE),"")</f>
        <v/>
      </c>
      <c r="G105" s="17" t="str">
        <f>IFERROR(VLOOKUP(シフト組み!G135,役職一覧!$B:$D,2,FALSE),"")</f>
        <v/>
      </c>
      <c r="H105" s="17" t="str">
        <f>IFERROR(VLOOKUP(シフト組み!H135,役職一覧!$B:$D,2,FALSE),"")</f>
        <v/>
      </c>
      <c r="I105" s="17" t="str">
        <f>IFERROR(VLOOKUP(シフト組み!I135,役職一覧!$B:$D,2,FALSE),"")</f>
        <v/>
      </c>
      <c r="J105" s="17" t="str">
        <f>IFERROR(VLOOKUP(シフト組み!J135,役職一覧!$B:$D,2,FALSE),"")</f>
        <v/>
      </c>
      <c r="K105" s="17" t="str">
        <f>IFERROR(VLOOKUP(シフト組み!K135,役職一覧!$B:$D,2,FALSE),"")</f>
        <v/>
      </c>
      <c r="L105" s="17" t="str">
        <f>IFERROR(VLOOKUP(シフト組み!L135,役職一覧!$B:$D,2,FALSE),"")</f>
        <v/>
      </c>
      <c r="M105" s="17" t="str">
        <f>IFERROR(VLOOKUP(シフト組み!M135,役職一覧!$B:$D,2,FALSE),"")</f>
        <v/>
      </c>
      <c r="N105" s="17" t="str">
        <f>IFERROR(VLOOKUP(シフト組み!N135,役職一覧!$B:$D,2,FALSE),"")</f>
        <v/>
      </c>
      <c r="O105" s="17" t="str">
        <f>IFERROR(VLOOKUP(シフト組み!O135,役職一覧!$B:$D,2,FALSE),"")</f>
        <v/>
      </c>
      <c r="P105" s="17" t="str">
        <f>IFERROR(VLOOKUP(シフト組み!P135,役職一覧!$B:$D,2,FALSE),"")</f>
        <v/>
      </c>
      <c r="Q105" s="17" t="str">
        <f>IFERROR(VLOOKUP(シフト組み!Q135,役職一覧!$B:$D,2,FALSE),"")</f>
        <v/>
      </c>
      <c r="R105" s="17" t="str">
        <f>IFERROR(VLOOKUP(シフト組み!R135,役職一覧!$B:$D,2,FALSE),"")</f>
        <v/>
      </c>
      <c r="S105" s="17" t="str">
        <f>IFERROR(VLOOKUP(シフト組み!S135,役職一覧!$B:$D,2,FALSE),"")</f>
        <v/>
      </c>
      <c r="T105" s="17" t="str">
        <f>IFERROR(VLOOKUP(シフト組み!T135,役職一覧!$B:$D,2,FALSE),"")</f>
        <v/>
      </c>
      <c r="U105" s="17" t="str">
        <f>IFERROR(VLOOKUP(シフト組み!U135,役職一覧!$B:$D,2,FALSE),"")</f>
        <v/>
      </c>
      <c r="V105" s="17" t="str">
        <f>IFERROR(VLOOKUP(シフト組み!V135,役職一覧!$B:$D,2,FALSE),"")</f>
        <v/>
      </c>
      <c r="W105" s="17" t="str">
        <f>IFERROR(VLOOKUP(シフト組み!W135,役職一覧!$B:$D,2,FALSE),"")</f>
        <v/>
      </c>
      <c r="X105" s="17" t="str">
        <f>IFERROR(VLOOKUP(シフト組み!X135,役職一覧!$B:$D,2,FALSE),"")</f>
        <v/>
      </c>
      <c r="Y105" s="17" t="str">
        <f>IFERROR(VLOOKUP(シフト組み!Y135,役職一覧!$B:$D,2,FALSE),"")</f>
        <v/>
      </c>
      <c r="Z105" s="17" t="str">
        <f>IFERROR(VLOOKUP(シフト組み!Z135,役職一覧!$B:$D,2,FALSE),"")</f>
        <v/>
      </c>
      <c r="AA105" s="17" t="str">
        <f>IFERROR(VLOOKUP(シフト組み!AA135,役職一覧!$B:$D,2,FALSE),"")</f>
        <v/>
      </c>
      <c r="AB105" s="17" t="str">
        <f>IFERROR(VLOOKUP(シフト組み!AB135,役職一覧!$B:$D,2,FALSE),"")</f>
        <v/>
      </c>
      <c r="AC105" s="17" t="str">
        <f>IFERROR(VLOOKUP(シフト組み!AC135,役職一覧!$B:$D,2,FALSE),"")</f>
        <v/>
      </c>
      <c r="AD105" s="17" t="str">
        <f>IFERROR(VLOOKUP(シフト組み!AD135,役職一覧!$B:$D,2,FALSE),"")</f>
        <v/>
      </c>
      <c r="AE105" s="17" t="str">
        <f>IFERROR(VLOOKUP(シフト組み!AE135,役職一覧!$B:$D,2,FALSE),"")</f>
        <v/>
      </c>
      <c r="AF105" s="17" t="str">
        <f>IFERROR(VLOOKUP(シフト組み!AF135,役職一覧!$B:$D,2,FALSE),"")</f>
        <v/>
      </c>
      <c r="AG105" s="17" t="str">
        <f>IFERROR(VLOOKUP(シフト組み!AG135,役職一覧!$B:$D,2,FALSE),"")</f>
        <v/>
      </c>
      <c r="AH105" s="17" t="str">
        <f>IFERROR(VLOOKUP(シフト組み!AH135,役職一覧!$B:$D,2,FALSE),"")</f>
        <v/>
      </c>
      <c r="AI105" s="17" t="str">
        <f>IFERROR(VLOOKUP(シフト組み!AI135,役職一覧!$B:$D,2,FALSE),"")</f>
        <v/>
      </c>
      <c r="AJ105" s="17" t="str">
        <f>IFERROR(VLOOKUP(シフト組み!AJ135,役職一覧!$B:$D,2,FALSE),"")</f>
        <v/>
      </c>
      <c r="AK105" s="17" t="str">
        <f>IFERROR(VLOOKUP(シフト組み!AK135,役職一覧!$B:$D,2,FALSE),"")</f>
        <v/>
      </c>
      <c r="AL105" s="17" t="str">
        <f>IFERROR(VLOOKUP(シフト組み!AL135,役職一覧!$B:$D,2,FALSE),"")</f>
        <v/>
      </c>
      <c r="AM105" s="17" t="str">
        <f>IFERROR(VLOOKUP(シフト組み!AM135,役職一覧!$B:$D,2,FALSE),"")</f>
        <v/>
      </c>
      <c r="AN105" s="17" t="str">
        <f>IFERROR(VLOOKUP(シフト組み!AN135,役職一覧!$B:$D,2,FALSE),"")</f>
        <v/>
      </c>
      <c r="AO105" s="17" t="str">
        <f>IFERROR(VLOOKUP(シフト組み!AO135,役職一覧!$B:$D,2,FALSE),"")</f>
        <v/>
      </c>
      <c r="AP105" s="17" t="str">
        <f>IFERROR(VLOOKUP(シフト組み!AP135,役職一覧!$B:$D,2,FALSE),"")</f>
        <v/>
      </c>
      <c r="AQ105" s="17" t="str">
        <f>IFERROR(VLOOKUP(シフト組み!AQ135,役職一覧!$B:$D,2,FALSE),"")</f>
        <v/>
      </c>
      <c r="AR105" s="17" t="str">
        <f>IFERROR(VLOOKUP(シフト組み!AR135,役職一覧!$B:$D,2,FALSE),"")</f>
        <v/>
      </c>
      <c r="AS105" s="17" t="str">
        <f>IFERROR(VLOOKUP(シフト組み!AS135,役職一覧!$B:$D,2,FALSE),"")</f>
        <v/>
      </c>
      <c r="AT105" s="17" t="str">
        <f>IFERROR(VLOOKUP(シフト組み!AT135,役職一覧!$B:$D,2,FALSE),"")</f>
        <v/>
      </c>
      <c r="AU105" s="17" t="str">
        <f>IFERROR(VLOOKUP(シフト組み!AU135,役職一覧!$B:$D,2,FALSE),"")</f>
        <v/>
      </c>
      <c r="AV105" s="17" t="str">
        <f>IFERROR(VLOOKUP(シフト組み!AV135,役職一覧!$B:$D,2,FALSE),"")</f>
        <v/>
      </c>
      <c r="AW105" s="17" t="str">
        <f>IFERROR(VLOOKUP(シフト組み!AW135,役職一覧!$B:$D,2,FALSE),"")</f>
        <v/>
      </c>
      <c r="AX105" s="17" t="str">
        <f>IFERROR(VLOOKUP(シフト組み!AX135,役職一覧!$B:$D,2,FALSE),"")</f>
        <v/>
      </c>
      <c r="AY105" s="17" t="str">
        <f>IFERROR(VLOOKUP(シフト組み!AY135,役職一覧!$B:$D,2,FALSE),"")</f>
        <v/>
      </c>
      <c r="AZ105" s="17" t="str">
        <f>IFERROR(VLOOKUP(シフト組み!AZ135,役職一覧!$B:$D,2,FALSE),"")</f>
        <v/>
      </c>
      <c r="BA105" s="17" t="str">
        <f>IFERROR(VLOOKUP(シフト組み!BA135,役職一覧!$B:$D,2,FALSE),"")</f>
        <v/>
      </c>
    </row>
    <row r="106" spans="1:53">
      <c r="A106" s="2" t="str">
        <f>シフト組み!A136&amp;""</f>
        <v/>
      </c>
      <c r="B106" s="2" t="str">
        <f>シフト組み!B136&amp;""</f>
        <v/>
      </c>
      <c r="C106" s="2" t="str">
        <f>シフト組み!C136&amp;""</f>
        <v/>
      </c>
      <c r="D106" s="17" t="str">
        <f>IFERROR(VLOOKUP(シフト組み!D136,役職一覧!$B:$D,2,FALSE),"")</f>
        <v/>
      </c>
      <c r="E106" s="17" t="str">
        <f>IFERROR(VLOOKUP(シフト組み!E136,役職一覧!$B:$D,2,FALSE),"")</f>
        <v/>
      </c>
      <c r="F106" s="17" t="str">
        <f>IFERROR(VLOOKUP(シフト組み!F136,役職一覧!$B:$D,2,FALSE),"")</f>
        <v/>
      </c>
      <c r="G106" s="17" t="str">
        <f>IFERROR(VLOOKUP(シフト組み!G136,役職一覧!$B:$D,2,FALSE),"")</f>
        <v/>
      </c>
      <c r="H106" s="17" t="str">
        <f>IFERROR(VLOOKUP(シフト組み!H136,役職一覧!$B:$D,2,FALSE),"")</f>
        <v/>
      </c>
      <c r="I106" s="17" t="str">
        <f>IFERROR(VLOOKUP(シフト組み!I136,役職一覧!$B:$D,2,FALSE),"")</f>
        <v/>
      </c>
      <c r="J106" s="17" t="str">
        <f>IFERROR(VLOOKUP(シフト組み!J136,役職一覧!$B:$D,2,FALSE),"")</f>
        <v/>
      </c>
      <c r="K106" s="17" t="str">
        <f>IFERROR(VLOOKUP(シフト組み!K136,役職一覧!$B:$D,2,FALSE),"")</f>
        <v/>
      </c>
      <c r="L106" s="17" t="str">
        <f>IFERROR(VLOOKUP(シフト組み!L136,役職一覧!$B:$D,2,FALSE),"")</f>
        <v/>
      </c>
      <c r="M106" s="17" t="str">
        <f>IFERROR(VLOOKUP(シフト組み!M136,役職一覧!$B:$D,2,FALSE),"")</f>
        <v/>
      </c>
      <c r="N106" s="17" t="str">
        <f>IFERROR(VLOOKUP(シフト組み!N136,役職一覧!$B:$D,2,FALSE),"")</f>
        <v/>
      </c>
      <c r="O106" s="17" t="str">
        <f>IFERROR(VLOOKUP(シフト組み!O136,役職一覧!$B:$D,2,FALSE),"")</f>
        <v/>
      </c>
      <c r="P106" s="17" t="str">
        <f>IFERROR(VLOOKUP(シフト組み!P136,役職一覧!$B:$D,2,FALSE),"")</f>
        <v/>
      </c>
      <c r="Q106" s="17" t="str">
        <f>IFERROR(VLOOKUP(シフト組み!Q136,役職一覧!$B:$D,2,FALSE),"")</f>
        <v/>
      </c>
      <c r="R106" s="17" t="str">
        <f>IFERROR(VLOOKUP(シフト組み!R136,役職一覧!$B:$D,2,FALSE),"")</f>
        <v/>
      </c>
      <c r="S106" s="17" t="str">
        <f>IFERROR(VLOOKUP(シフト組み!S136,役職一覧!$B:$D,2,FALSE),"")</f>
        <v/>
      </c>
      <c r="T106" s="17" t="str">
        <f>IFERROR(VLOOKUP(シフト組み!T136,役職一覧!$B:$D,2,FALSE),"")</f>
        <v/>
      </c>
      <c r="U106" s="17" t="str">
        <f>IFERROR(VLOOKUP(シフト組み!U136,役職一覧!$B:$D,2,FALSE),"")</f>
        <v/>
      </c>
      <c r="V106" s="17" t="str">
        <f>IFERROR(VLOOKUP(シフト組み!V136,役職一覧!$B:$D,2,FALSE),"")</f>
        <v/>
      </c>
      <c r="W106" s="17" t="str">
        <f>IFERROR(VLOOKUP(シフト組み!W136,役職一覧!$B:$D,2,FALSE),"")</f>
        <v/>
      </c>
      <c r="X106" s="17" t="str">
        <f>IFERROR(VLOOKUP(シフト組み!X136,役職一覧!$B:$D,2,FALSE),"")</f>
        <v/>
      </c>
      <c r="Y106" s="17" t="str">
        <f>IFERROR(VLOOKUP(シフト組み!Y136,役職一覧!$B:$D,2,FALSE),"")</f>
        <v/>
      </c>
      <c r="Z106" s="17" t="str">
        <f>IFERROR(VLOOKUP(シフト組み!Z136,役職一覧!$B:$D,2,FALSE),"")</f>
        <v/>
      </c>
      <c r="AA106" s="17" t="str">
        <f>IFERROR(VLOOKUP(シフト組み!AA136,役職一覧!$B:$D,2,FALSE),"")</f>
        <v/>
      </c>
      <c r="AB106" s="17" t="str">
        <f>IFERROR(VLOOKUP(シフト組み!AB136,役職一覧!$B:$D,2,FALSE),"")</f>
        <v/>
      </c>
      <c r="AC106" s="17" t="str">
        <f>IFERROR(VLOOKUP(シフト組み!AC136,役職一覧!$B:$D,2,FALSE),"")</f>
        <v/>
      </c>
      <c r="AD106" s="17" t="str">
        <f>IFERROR(VLOOKUP(シフト組み!AD136,役職一覧!$B:$D,2,FALSE),"")</f>
        <v/>
      </c>
      <c r="AE106" s="17" t="str">
        <f>IFERROR(VLOOKUP(シフト組み!AE136,役職一覧!$B:$D,2,FALSE),"")</f>
        <v/>
      </c>
      <c r="AF106" s="17" t="str">
        <f>IFERROR(VLOOKUP(シフト組み!AF136,役職一覧!$B:$D,2,FALSE),"")</f>
        <v/>
      </c>
      <c r="AG106" s="17" t="str">
        <f>IFERROR(VLOOKUP(シフト組み!AG136,役職一覧!$B:$D,2,FALSE),"")</f>
        <v/>
      </c>
      <c r="AH106" s="17" t="str">
        <f>IFERROR(VLOOKUP(シフト組み!AH136,役職一覧!$B:$D,2,FALSE),"")</f>
        <v/>
      </c>
      <c r="AI106" s="17" t="str">
        <f>IFERROR(VLOOKUP(シフト組み!AI136,役職一覧!$B:$D,2,FALSE),"")</f>
        <v/>
      </c>
      <c r="AJ106" s="17" t="str">
        <f>IFERROR(VLOOKUP(シフト組み!AJ136,役職一覧!$B:$D,2,FALSE),"")</f>
        <v/>
      </c>
      <c r="AK106" s="17" t="str">
        <f>IFERROR(VLOOKUP(シフト組み!AK136,役職一覧!$B:$D,2,FALSE),"")</f>
        <v/>
      </c>
      <c r="AL106" s="17" t="str">
        <f>IFERROR(VLOOKUP(シフト組み!AL136,役職一覧!$B:$D,2,FALSE),"")</f>
        <v/>
      </c>
      <c r="AM106" s="17" t="str">
        <f>IFERROR(VLOOKUP(シフト組み!AM136,役職一覧!$B:$D,2,FALSE),"")</f>
        <v/>
      </c>
      <c r="AN106" s="17" t="str">
        <f>IFERROR(VLOOKUP(シフト組み!AN136,役職一覧!$B:$D,2,FALSE),"")</f>
        <v/>
      </c>
      <c r="AO106" s="17" t="str">
        <f>IFERROR(VLOOKUP(シフト組み!AO136,役職一覧!$B:$D,2,FALSE),"")</f>
        <v/>
      </c>
      <c r="AP106" s="17" t="str">
        <f>IFERROR(VLOOKUP(シフト組み!AP136,役職一覧!$B:$D,2,FALSE),"")</f>
        <v/>
      </c>
      <c r="AQ106" s="17" t="str">
        <f>IFERROR(VLOOKUP(シフト組み!AQ136,役職一覧!$B:$D,2,FALSE),"")</f>
        <v/>
      </c>
      <c r="AR106" s="17" t="str">
        <f>IFERROR(VLOOKUP(シフト組み!AR136,役職一覧!$B:$D,2,FALSE),"")</f>
        <v/>
      </c>
      <c r="AS106" s="17" t="str">
        <f>IFERROR(VLOOKUP(シフト組み!AS136,役職一覧!$B:$D,2,FALSE),"")</f>
        <v/>
      </c>
      <c r="AT106" s="17" t="str">
        <f>IFERROR(VLOOKUP(シフト組み!AT136,役職一覧!$B:$D,2,FALSE),"")</f>
        <v/>
      </c>
      <c r="AU106" s="17" t="str">
        <f>IFERROR(VLOOKUP(シフト組み!AU136,役職一覧!$B:$D,2,FALSE),"")</f>
        <v/>
      </c>
      <c r="AV106" s="17" t="str">
        <f>IFERROR(VLOOKUP(シフト組み!AV136,役職一覧!$B:$D,2,FALSE),"")</f>
        <v/>
      </c>
      <c r="AW106" s="17" t="str">
        <f>IFERROR(VLOOKUP(シフト組み!AW136,役職一覧!$B:$D,2,FALSE),"")</f>
        <v/>
      </c>
      <c r="AX106" s="17" t="str">
        <f>IFERROR(VLOOKUP(シフト組み!AX136,役職一覧!$B:$D,2,FALSE),"")</f>
        <v/>
      </c>
      <c r="AY106" s="17" t="str">
        <f>IFERROR(VLOOKUP(シフト組み!AY136,役職一覧!$B:$D,2,FALSE),"")</f>
        <v/>
      </c>
      <c r="AZ106" s="17" t="str">
        <f>IFERROR(VLOOKUP(シフト組み!AZ136,役職一覧!$B:$D,2,FALSE),"")</f>
        <v/>
      </c>
      <c r="BA106" s="17" t="str">
        <f>IFERROR(VLOOKUP(シフト組み!BA136,役職一覧!$B:$D,2,FALSE),"")</f>
        <v/>
      </c>
    </row>
    <row r="107" spans="1:53">
      <c r="A107" s="2" t="str">
        <f>シフト組み!A137&amp;""</f>
        <v/>
      </c>
      <c r="B107" s="2" t="str">
        <f>シフト組み!B137&amp;""</f>
        <v/>
      </c>
      <c r="C107" s="2" t="str">
        <f>シフト組み!C137&amp;""</f>
        <v/>
      </c>
      <c r="D107" s="17" t="str">
        <f>IFERROR(VLOOKUP(シフト組み!D137,役職一覧!$B:$D,2,FALSE),"")</f>
        <v/>
      </c>
      <c r="E107" s="17" t="str">
        <f>IFERROR(VLOOKUP(シフト組み!E137,役職一覧!$B:$D,2,FALSE),"")</f>
        <v/>
      </c>
      <c r="F107" s="17" t="str">
        <f>IFERROR(VLOOKUP(シフト組み!F137,役職一覧!$B:$D,2,FALSE),"")</f>
        <v/>
      </c>
      <c r="G107" s="17" t="str">
        <f>IFERROR(VLOOKUP(シフト組み!G137,役職一覧!$B:$D,2,FALSE),"")</f>
        <v/>
      </c>
      <c r="H107" s="17" t="str">
        <f>IFERROR(VLOOKUP(シフト組み!H137,役職一覧!$B:$D,2,FALSE),"")</f>
        <v/>
      </c>
      <c r="I107" s="17" t="str">
        <f>IFERROR(VLOOKUP(シフト組み!I137,役職一覧!$B:$D,2,FALSE),"")</f>
        <v/>
      </c>
      <c r="J107" s="17" t="str">
        <f>IFERROR(VLOOKUP(シフト組み!J137,役職一覧!$B:$D,2,FALSE),"")</f>
        <v/>
      </c>
      <c r="K107" s="17" t="str">
        <f>IFERROR(VLOOKUP(シフト組み!K137,役職一覧!$B:$D,2,FALSE),"")</f>
        <v/>
      </c>
      <c r="L107" s="17" t="str">
        <f>IFERROR(VLOOKUP(シフト組み!L137,役職一覧!$B:$D,2,FALSE),"")</f>
        <v/>
      </c>
      <c r="M107" s="17" t="str">
        <f>IFERROR(VLOOKUP(シフト組み!M137,役職一覧!$B:$D,2,FALSE),"")</f>
        <v/>
      </c>
      <c r="N107" s="17" t="str">
        <f>IFERROR(VLOOKUP(シフト組み!N137,役職一覧!$B:$D,2,FALSE),"")</f>
        <v/>
      </c>
      <c r="O107" s="17" t="str">
        <f>IFERROR(VLOOKUP(シフト組み!O137,役職一覧!$B:$D,2,FALSE),"")</f>
        <v/>
      </c>
      <c r="P107" s="17" t="str">
        <f>IFERROR(VLOOKUP(シフト組み!P137,役職一覧!$B:$D,2,FALSE),"")</f>
        <v/>
      </c>
      <c r="Q107" s="17" t="str">
        <f>IFERROR(VLOOKUP(シフト組み!Q137,役職一覧!$B:$D,2,FALSE),"")</f>
        <v/>
      </c>
      <c r="R107" s="17" t="str">
        <f>IFERROR(VLOOKUP(シフト組み!R137,役職一覧!$B:$D,2,FALSE),"")</f>
        <v/>
      </c>
      <c r="S107" s="17" t="str">
        <f>IFERROR(VLOOKUP(シフト組み!S137,役職一覧!$B:$D,2,FALSE),"")</f>
        <v/>
      </c>
      <c r="T107" s="17" t="str">
        <f>IFERROR(VLOOKUP(シフト組み!T137,役職一覧!$B:$D,2,FALSE),"")</f>
        <v/>
      </c>
      <c r="U107" s="17" t="str">
        <f>IFERROR(VLOOKUP(シフト組み!U137,役職一覧!$B:$D,2,FALSE),"")</f>
        <v/>
      </c>
      <c r="V107" s="17" t="str">
        <f>IFERROR(VLOOKUP(シフト組み!V137,役職一覧!$B:$D,2,FALSE),"")</f>
        <v/>
      </c>
      <c r="W107" s="17" t="str">
        <f>IFERROR(VLOOKUP(シフト組み!W137,役職一覧!$B:$D,2,FALSE),"")</f>
        <v/>
      </c>
      <c r="X107" s="17" t="str">
        <f>IFERROR(VLOOKUP(シフト組み!X137,役職一覧!$B:$D,2,FALSE),"")</f>
        <v/>
      </c>
      <c r="Y107" s="17" t="str">
        <f>IFERROR(VLOOKUP(シフト組み!Y137,役職一覧!$B:$D,2,FALSE),"")</f>
        <v/>
      </c>
      <c r="Z107" s="17" t="str">
        <f>IFERROR(VLOOKUP(シフト組み!Z137,役職一覧!$B:$D,2,FALSE),"")</f>
        <v/>
      </c>
      <c r="AA107" s="17" t="str">
        <f>IFERROR(VLOOKUP(シフト組み!AA137,役職一覧!$B:$D,2,FALSE),"")</f>
        <v/>
      </c>
      <c r="AB107" s="17" t="str">
        <f>IFERROR(VLOOKUP(シフト組み!AB137,役職一覧!$B:$D,2,FALSE),"")</f>
        <v/>
      </c>
      <c r="AC107" s="17" t="str">
        <f>IFERROR(VLOOKUP(シフト組み!AC137,役職一覧!$B:$D,2,FALSE),"")</f>
        <v/>
      </c>
      <c r="AD107" s="17" t="str">
        <f>IFERROR(VLOOKUP(シフト組み!AD137,役職一覧!$B:$D,2,FALSE),"")</f>
        <v/>
      </c>
      <c r="AE107" s="17" t="str">
        <f>IFERROR(VLOOKUP(シフト組み!AE137,役職一覧!$B:$D,2,FALSE),"")</f>
        <v/>
      </c>
      <c r="AF107" s="17" t="str">
        <f>IFERROR(VLOOKUP(シフト組み!AF137,役職一覧!$B:$D,2,FALSE),"")</f>
        <v/>
      </c>
      <c r="AG107" s="17" t="str">
        <f>IFERROR(VLOOKUP(シフト組み!AG137,役職一覧!$B:$D,2,FALSE),"")</f>
        <v/>
      </c>
      <c r="AH107" s="17" t="str">
        <f>IFERROR(VLOOKUP(シフト組み!AH137,役職一覧!$B:$D,2,FALSE),"")</f>
        <v/>
      </c>
      <c r="AI107" s="17" t="str">
        <f>IFERROR(VLOOKUP(シフト組み!AI137,役職一覧!$B:$D,2,FALSE),"")</f>
        <v/>
      </c>
      <c r="AJ107" s="17" t="str">
        <f>IFERROR(VLOOKUP(シフト組み!AJ137,役職一覧!$B:$D,2,FALSE),"")</f>
        <v/>
      </c>
      <c r="AK107" s="17" t="str">
        <f>IFERROR(VLOOKUP(シフト組み!AK137,役職一覧!$B:$D,2,FALSE),"")</f>
        <v/>
      </c>
      <c r="AL107" s="17" t="str">
        <f>IFERROR(VLOOKUP(シフト組み!AL137,役職一覧!$B:$D,2,FALSE),"")</f>
        <v/>
      </c>
      <c r="AM107" s="17" t="str">
        <f>IFERROR(VLOOKUP(シフト組み!AM137,役職一覧!$B:$D,2,FALSE),"")</f>
        <v/>
      </c>
      <c r="AN107" s="17" t="str">
        <f>IFERROR(VLOOKUP(シフト組み!AN137,役職一覧!$B:$D,2,FALSE),"")</f>
        <v/>
      </c>
      <c r="AO107" s="17" t="str">
        <f>IFERROR(VLOOKUP(シフト組み!AO137,役職一覧!$B:$D,2,FALSE),"")</f>
        <v/>
      </c>
      <c r="AP107" s="17" t="str">
        <f>IFERROR(VLOOKUP(シフト組み!AP137,役職一覧!$B:$D,2,FALSE),"")</f>
        <v/>
      </c>
      <c r="AQ107" s="17" t="str">
        <f>IFERROR(VLOOKUP(シフト組み!AQ137,役職一覧!$B:$D,2,FALSE),"")</f>
        <v/>
      </c>
      <c r="AR107" s="17" t="str">
        <f>IFERROR(VLOOKUP(シフト組み!AR137,役職一覧!$B:$D,2,FALSE),"")</f>
        <v/>
      </c>
      <c r="AS107" s="17" t="str">
        <f>IFERROR(VLOOKUP(シフト組み!AS137,役職一覧!$B:$D,2,FALSE),"")</f>
        <v/>
      </c>
      <c r="AT107" s="17" t="str">
        <f>IFERROR(VLOOKUP(シフト組み!AT137,役職一覧!$B:$D,2,FALSE),"")</f>
        <v/>
      </c>
      <c r="AU107" s="17" t="str">
        <f>IFERROR(VLOOKUP(シフト組み!AU137,役職一覧!$B:$D,2,FALSE),"")</f>
        <v/>
      </c>
      <c r="AV107" s="17" t="str">
        <f>IFERROR(VLOOKUP(シフト組み!AV137,役職一覧!$B:$D,2,FALSE),"")</f>
        <v/>
      </c>
      <c r="AW107" s="17" t="str">
        <f>IFERROR(VLOOKUP(シフト組み!AW137,役職一覧!$B:$D,2,FALSE),"")</f>
        <v/>
      </c>
      <c r="AX107" s="17" t="str">
        <f>IFERROR(VLOOKUP(シフト組み!AX137,役職一覧!$B:$D,2,FALSE),"")</f>
        <v/>
      </c>
      <c r="AY107" s="17" t="str">
        <f>IFERROR(VLOOKUP(シフト組み!AY137,役職一覧!$B:$D,2,FALSE),"")</f>
        <v/>
      </c>
      <c r="AZ107" s="17" t="str">
        <f>IFERROR(VLOOKUP(シフト組み!AZ137,役職一覧!$B:$D,2,FALSE),"")</f>
        <v/>
      </c>
      <c r="BA107" s="17" t="str">
        <f>IFERROR(VLOOKUP(シフト組み!BA137,役職一覧!$B:$D,2,FALSE),"")</f>
        <v/>
      </c>
    </row>
    <row r="108" spans="1:53">
      <c r="A108" s="2" t="str">
        <f>シフト組み!A138&amp;""</f>
        <v/>
      </c>
      <c r="B108" s="2" t="str">
        <f>シフト組み!B138&amp;""</f>
        <v/>
      </c>
      <c r="C108" s="2" t="str">
        <f>シフト組み!C138&amp;""</f>
        <v/>
      </c>
      <c r="D108" s="17" t="str">
        <f>IFERROR(VLOOKUP(シフト組み!D138,役職一覧!$B:$D,2,FALSE),"")</f>
        <v/>
      </c>
      <c r="E108" s="17" t="str">
        <f>IFERROR(VLOOKUP(シフト組み!E138,役職一覧!$B:$D,2,FALSE),"")</f>
        <v/>
      </c>
      <c r="F108" s="17" t="str">
        <f>IFERROR(VLOOKUP(シフト組み!F138,役職一覧!$B:$D,2,FALSE),"")</f>
        <v/>
      </c>
      <c r="G108" s="17" t="str">
        <f>IFERROR(VLOOKUP(シフト組み!G138,役職一覧!$B:$D,2,FALSE),"")</f>
        <v/>
      </c>
      <c r="H108" s="17" t="str">
        <f>IFERROR(VLOOKUP(シフト組み!H138,役職一覧!$B:$D,2,FALSE),"")</f>
        <v/>
      </c>
      <c r="I108" s="17" t="str">
        <f>IFERROR(VLOOKUP(シフト組み!I138,役職一覧!$B:$D,2,FALSE),"")</f>
        <v/>
      </c>
      <c r="J108" s="17" t="str">
        <f>IFERROR(VLOOKUP(シフト組み!J138,役職一覧!$B:$D,2,FALSE),"")</f>
        <v/>
      </c>
      <c r="K108" s="17" t="str">
        <f>IFERROR(VLOOKUP(シフト組み!K138,役職一覧!$B:$D,2,FALSE),"")</f>
        <v/>
      </c>
      <c r="L108" s="17" t="str">
        <f>IFERROR(VLOOKUP(シフト組み!L138,役職一覧!$B:$D,2,FALSE),"")</f>
        <v/>
      </c>
      <c r="M108" s="17" t="str">
        <f>IFERROR(VLOOKUP(シフト組み!M138,役職一覧!$B:$D,2,FALSE),"")</f>
        <v/>
      </c>
      <c r="N108" s="17" t="str">
        <f>IFERROR(VLOOKUP(シフト組み!N138,役職一覧!$B:$D,2,FALSE),"")</f>
        <v/>
      </c>
      <c r="O108" s="17" t="str">
        <f>IFERROR(VLOOKUP(シフト組み!O138,役職一覧!$B:$D,2,FALSE),"")</f>
        <v/>
      </c>
      <c r="P108" s="17" t="str">
        <f>IFERROR(VLOOKUP(シフト組み!P138,役職一覧!$B:$D,2,FALSE),"")</f>
        <v/>
      </c>
      <c r="Q108" s="17" t="str">
        <f>IFERROR(VLOOKUP(シフト組み!Q138,役職一覧!$B:$D,2,FALSE),"")</f>
        <v/>
      </c>
      <c r="R108" s="17" t="str">
        <f>IFERROR(VLOOKUP(シフト組み!R138,役職一覧!$B:$D,2,FALSE),"")</f>
        <v/>
      </c>
      <c r="S108" s="17" t="str">
        <f>IFERROR(VLOOKUP(シフト組み!S138,役職一覧!$B:$D,2,FALSE),"")</f>
        <v/>
      </c>
      <c r="T108" s="17" t="str">
        <f>IFERROR(VLOOKUP(シフト組み!T138,役職一覧!$B:$D,2,FALSE),"")</f>
        <v/>
      </c>
      <c r="U108" s="17" t="str">
        <f>IFERROR(VLOOKUP(シフト組み!U138,役職一覧!$B:$D,2,FALSE),"")</f>
        <v/>
      </c>
      <c r="V108" s="17" t="str">
        <f>IFERROR(VLOOKUP(シフト組み!V138,役職一覧!$B:$D,2,FALSE),"")</f>
        <v/>
      </c>
      <c r="W108" s="17" t="str">
        <f>IFERROR(VLOOKUP(シフト組み!W138,役職一覧!$B:$D,2,FALSE),"")</f>
        <v/>
      </c>
      <c r="X108" s="17" t="str">
        <f>IFERROR(VLOOKUP(シフト組み!X138,役職一覧!$B:$D,2,FALSE),"")</f>
        <v/>
      </c>
      <c r="Y108" s="17" t="str">
        <f>IFERROR(VLOOKUP(シフト組み!Y138,役職一覧!$B:$D,2,FALSE),"")</f>
        <v/>
      </c>
      <c r="Z108" s="17" t="str">
        <f>IFERROR(VLOOKUP(シフト組み!Z138,役職一覧!$B:$D,2,FALSE),"")</f>
        <v/>
      </c>
      <c r="AA108" s="17" t="str">
        <f>IFERROR(VLOOKUP(シフト組み!AA138,役職一覧!$B:$D,2,FALSE),"")</f>
        <v/>
      </c>
      <c r="AB108" s="17" t="str">
        <f>IFERROR(VLOOKUP(シフト組み!AB138,役職一覧!$B:$D,2,FALSE),"")</f>
        <v/>
      </c>
      <c r="AC108" s="17" t="str">
        <f>IFERROR(VLOOKUP(シフト組み!AC138,役職一覧!$B:$D,2,FALSE),"")</f>
        <v/>
      </c>
      <c r="AD108" s="17" t="str">
        <f>IFERROR(VLOOKUP(シフト組み!AD138,役職一覧!$B:$D,2,FALSE),"")</f>
        <v/>
      </c>
      <c r="AE108" s="17" t="str">
        <f>IFERROR(VLOOKUP(シフト組み!AE138,役職一覧!$B:$D,2,FALSE),"")</f>
        <v/>
      </c>
      <c r="AF108" s="17" t="str">
        <f>IFERROR(VLOOKUP(シフト組み!AF138,役職一覧!$B:$D,2,FALSE),"")</f>
        <v/>
      </c>
      <c r="AG108" s="17" t="str">
        <f>IFERROR(VLOOKUP(シフト組み!AG138,役職一覧!$B:$D,2,FALSE),"")</f>
        <v/>
      </c>
      <c r="AH108" s="17" t="str">
        <f>IFERROR(VLOOKUP(シフト組み!AH138,役職一覧!$B:$D,2,FALSE),"")</f>
        <v/>
      </c>
      <c r="AI108" s="17" t="str">
        <f>IFERROR(VLOOKUP(シフト組み!AI138,役職一覧!$B:$D,2,FALSE),"")</f>
        <v/>
      </c>
      <c r="AJ108" s="17" t="str">
        <f>IFERROR(VLOOKUP(シフト組み!AJ138,役職一覧!$B:$D,2,FALSE),"")</f>
        <v/>
      </c>
      <c r="AK108" s="17" t="str">
        <f>IFERROR(VLOOKUP(シフト組み!AK138,役職一覧!$B:$D,2,FALSE),"")</f>
        <v/>
      </c>
      <c r="AL108" s="17" t="str">
        <f>IFERROR(VLOOKUP(シフト組み!AL138,役職一覧!$B:$D,2,FALSE),"")</f>
        <v/>
      </c>
      <c r="AM108" s="17" t="str">
        <f>IFERROR(VLOOKUP(シフト組み!AM138,役職一覧!$B:$D,2,FALSE),"")</f>
        <v/>
      </c>
      <c r="AN108" s="17" t="str">
        <f>IFERROR(VLOOKUP(シフト組み!AN138,役職一覧!$B:$D,2,FALSE),"")</f>
        <v/>
      </c>
      <c r="AO108" s="17" t="str">
        <f>IFERROR(VLOOKUP(シフト組み!AO138,役職一覧!$B:$D,2,FALSE),"")</f>
        <v/>
      </c>
      <c r="AP108" s="17" t="str">
        <f>IFERROR(VLOOKUP(シフト組み!AP138,役職一覧!$B:$D,2,FALSE),"")</f>
        <v/>
      </c>
      <c r="AQ108" s="17" t="str">
        <f>IFERROR(VLOOKUP(シフト組み!AQ138,役職一覧!$B:$D,2,FALSE),"")</f>
        <v/>
      </c>
      <c r="AR108" s="17" t="str">
        <f>IFERROR(VLOOKUP(シフト組み!AR138,役職一覧!$B:$D,2,FALSE),"")</f>
        <v/>
      </c>
      <c r="AS108" s="17" t="str">
        <f>IFERROR(VLOOKUP(シフト組み!AS138,役職一覧!$B:$D,2,FALSE),"")</f>
        <v/>
      </c>
      <c r="AT108" s="17" t="str">
        <f>IFERROR(VLOOKUP(シフト組み!AT138,役職一覧!$B:$D,2,FALSE),"")</f>
        <v/>
      </c>
      <c r="AU108" s="17" t="str">
        <f>IFERROR(VLOOKUP(シフト組み!AU138,役職一覧!$B:$D,2,FALSE),"")</f>
        <v/>
      </c>
      <c r="AV108" s="17" t="str">
        <f>IFERROR(VLOOKUP(シフト組み!AV138,役職一覧!$B:$D,2,FALSE),"")</f>
        <v/>
      </c>
      <c r="AW108" s="17" t="str">
        <f>IFERROR(VLOOKUP(シフト組み!AW138,役職一覧!$B:$D,2,FALSE),"")</f>
        <v/>
      </c>
      <c r="AX108" s="17" t="str">
        <f>IFERROR(VLOOKUP(シフト組み!AX138,役職一覧!$B:$D,2,FALSE),"")</f>
        <v/>
      </c>
      <c r="AY108" s="17" t="str">
        <f>IFERROR(VLOOKUP(シフト組み!AY138,役職一覧!$B:$D,2,FALSE),"")</f>
        <v/>
      </c>
      <c r="AZ108" s="17" t="str">
        <f>IFERROR(VLOOKUP(シフト組み!AZ138,役職一覧!$B:$D,2,FALSE),"")</f>
        <v/>
      </c>
      <c r="BA108" s="17" t="str">
        <f>IFERROR(VLOOKUP(シフト組み!BA138,役職一覧!$B:$D,2,FALSE),"")</f>
        <v/>
      </c>
    </row>
    <row r="109" spans="1:53">
      <c r="A109" s="2" t="str">
        <f>シフト組み!A139&amp;""</f>
        <v/>
      </c>
      <c r="B109" s="2" t="str">
        <f>シフト組み!B139&amp;""</f>
        <v/>
      </c>
      <c r="C109" s="2" t="str">
        <f>シフト組み!C139&amp;""</f>
        <v/>
      </c>
      <c r="D109" s="17" t="str">
        <f>IFERROR(VLOOKUP(シフト組み!D139,役職一覧!$B:$D,2,FALSE),"")</f>
        <v/>
      </c>
      <c r="E109" s="17" t="str">
        <f>IFERROR(VLOOKUP(シフト組み!E139,役職一覧!$B:$D,2,FALSE),"")</f>
        <v/>
      </c>
      <c r="F109" s="17" t="str">
        <f>IFERROR(VLOOKUP(シフト組み!F139,役職一覧!$B:$D,2,FALSE),"")</f>
        <v/>
      </c>
      <c r="G109" s="17" t="str">
        <f>IFERROR(VLOOKUP(シフト組み!G139,役職一覧!$B:$D,2,FALSE),"")</f>
        <v/>
      </c>
      <c r="H109" s="17" t="str">
        <f>IFERROR(VLOOKUP(シフト組み!H139,役職一覧!$B:$D,2,FALSE),"")</f>
        <v/>
      </c>
      <c r="I109" s="17" t="str">
        <f>IFERROR(VLOOKUP(シフト組み!I139,役職一覧!$B:$D,2,FALSE),"")</f>
        <v/>
      </c>
      <c r="J109" s="17" t="str">
        <f>IFERROR(VLOOKUP(シフト組み!J139,役職一覧!$B:$D,2,FALSE),"")</f>
        <v/>
      </c>
      <c r="K109" s="17" t="str">
        <f>IFERROR(VLOOKUP(シフト組み!K139,役職一覧!$B:$D,2,FALSE),"")</f>
        <v/>
      </c>
      <c r="L109" s="17" t="str">
        <f>IFERROR(VLOOKUP(シフト組み!L139,役職一覧!$B:$D,2,FALSE),"")</f>
        <v/>
      </c>
      <c r="M109" s="17" t="str">
        <f>IFERROR(VLOOKUP(シフト組み!M139,役職一覧!$B:$D,2,FALSE),"")</f>
        <v/>
      </c>
      <c r="N109" s="17" t="str">
        <f>IFERROR(VLOOKUP(シフト組み!N139,役職一覧!$B:$D,2,FALSE),"")</f>
        <v/>
      </c>
      <c r="O109" s="17" t="str">
        <f>IFERROR(VLOOKUP(シフト組み!O139,役職一覧!$B:$D,2,FALSE),"")</f>
        <v/>
      </c>
      <c r="P109" s="17" t="str">
        <f>IFERROR(VLOOKUP(シフト組み!P139,役職一覧!$B:$D,2,FALSE),"")</f>
        <v/>
      </c>
      <c r="Q109" s="17" t="str">
        <f>IFERROR(VLOOKUP(シフト組み!Q139,役職一覧!$B:$D,2,FALSE),"")</f>
        <v/>
      </c>
      <c r="R109" s="17" t="str">
        <f>IFERROR(VLOOKUP(シフト組み!R139,役職一覧!$B:$D,2,FALSE),"")</f>
        <v/>
      </c>
      <c r="S109" s="17" t="str">
        <f>IFERROR(VLOOKUP(シフト組み!S139,役職一覧!$B:$D,2,FALSE),"")</f>
        <v/>
      </c>
      <c r="T109" s="17" t="str">
        <f>IFERROR(VLOOKUP(シフト組み!T139,役職一覧!$B:$D,2,FALSE),"")</f>
        <v/>
      </c>
      <c r="U109" s="17" t="str">
        <f>IFERROR(VLOOKUP(シフト組み!U139,役職一覧!$B:$D,2,FALSE),"")</f>
        <v/>
      </c>
      <c r="V109" s="17" t="str">
        <f>IFERROR(VLOOKUP(シフト組み!V139,役職一覧!$B:$D,2,FALSE),"")</f>
        <v/>
      </c>
      <c r="W109" s="17" t="str">
        <f>IFERROR(VLOOKUP(シフト組み!W139,役職一覧!$B:$D,2,FALSE),"")</f>
        <v/>
      </c>
      <c r="X109" s="17" t="str">
        <f>IFERROR(VLOOKUP(シフト組み!X139,役職一覧!$B:$D,2,FALSE),"")</f>
        <v/>
      </c>
      <c r="Y109" s="17" t="str">
        <f>IFERROR(VLOOKUP(シフト組み!Y139,役職一覧!$B:$D,2,FALSE),"")</f>
        <v/>
      </c>
      <c r="Z109" s="17" t="str">
        <f>IFERROR(VLOOKUP(シフト組み!Z139,役職一覧!$B:$D,2,FALSE),"")</f>
        <v/>
      </c>
      <c r="AA109" s="17" t="str">
        <f>IFERROR(VLOOKUP(シフト組み!AA139,役職一覧!$B:$D,2,FALSE),"")</f>
        <v/>
      </c>
      <c r="AB109" s="17" t="str">
        <f>IFERROR(VLOOKUP(シフト組み!AB139,役職一覧!$B:$D,2,FALSE),"")</f>
        <v/>
      </c>
      <c r="AC109" s="17" t="str">
        <f>IFERROR(VLOOKUP(シフト組み!AC139,役職一覧!$B:$D,2,FALSE),"")</f>
        <v/>
      </c>
      <c r="AD109" s="17" t="str">
        <f>IFERROR(VLOOKUP(シフト組み!AD139,役職一覧!$B:$D,2,FALSE),"")</f>
        <v/>
      </c>
      <c r="AE109" s="17" t="str">
        <f>IFERROR(VLOOKUP(シフト組み!AE139,役職一覧!$B:$D,2,FALSE),"")</f>
        <v/>
      </c>
      <c r="AF109" s="17" t="str">
        <f>IFERROR(VLOOKUP(シフト組み!AF139,役職一覧!$B:$D,2,FALSE),"")</f>
        <v/>
      </c>
      <c r="AG109" s="17" t="str">
        <f>IFERROR(VLOOKUP(シフト組み!AG139,役職一覧!$B:$D,2,FALSE),"")</f>
        <v/>
      </c>
      <c r="AH109" s="17" t="str">
        <f>IFERROR(VLOOKUP(シフト組み!AH139,役職一覧!$B:$D,2,FALSE),"")</f>
        <v/>
      </c>
      <c r="AI109" s="17" t="str">
        <f>IFERROR(VLOOKUP(シフト組み!AI139,役職一覧!$B:$D,2,FALSE),"")</f>
        <v/>
      </c>
      <c r="AJ109" s="17" t="str">
        <f>IFERROR(VLOOKUP(シフト組み!AJ139,役職一覧!$B:$D,2,FALSE),"")</f>
        <v/>
      </c>
      <c r="AK109" s="17" t="str">
        <f>IFERROR(VLOOKUP(シフト組み!AK139,役職一覧!$B:$D,2,FALSE),"")</f>
        <v/>
      </c>
      <c r="AL109" s="17" t="str">
        <f>IFERROR(VLOOKUP(シフト組み!AL139,役職一覧!$B:$D,2,FALSE),"")</f>
        <v/>
      </c>
      <c r="AM109" s="17" t="str">
        <f>IFERROR(VLOOKUP(シフト組み!AM139,役職一覧!$B:$D,2,FALSE),"")</f>
        <v/>
      </c>
      <c r="AN109" s="17" t="str">
        <f>IFERROR(VLOOKUP(シフト組み!AN139,役職一覧!$B:$D,2,FALSE),"")</f>
        <v/>
      </c>
      <c r="AO109" s="17" t="str">
        <f>IFERROR(VLOOKUP(シフト組み!AO139,役職一覧!$B:$D,2,FALSE),"")</f>
        <v/>
      </c>
      <c r="AP109" s="17" t="str">
        <f>IFERROR(VLOOKUP(シフト組み!AP139,役職一覧!$B:$D,2,FALSE),"")</f>
        <v/>
      </c>
      <c r="AQ109" s="17" t="str">
        <f>IFERROR(VLOOKUP(シフト組み!AQ139,役職一覧!$B:$D,2,FALSE),"")</f>
        <v/>
      </c>
      <c r="AR109" s="17" t="str">
        <f>IFERROR(VLOOKUP(シフト組み!AR139,役職一覧!$B:$D,2,FALSE),"")</f>
        <v/>
      </c>
      <c r="AS109" s="17" t="str">
        <f>IFERROR(VLOOKUP(シフト組み!AS139,役職一覧!$B:$D,2,FALSE),"")</f>
        <v/>
      </c>
      <c r="AT109" s="17" t="str">
        <f>IFERROR(VLOOKUP(シフト組み!AT139,役職一覧!$B:$D,2,FALSE),"")</f>
        <v/>
      </c>
      <c r="AU109" s="17" t="str">
        <f>IFERROR(VLOOKUP(シフト組み!AU139,役職一覧!$B:$D,2,FALSE),"")</f>
        <v/>
      </c>
      <c r="AV109" s="17" t="str">
        <f>IFERROR(VLOOKUP(シフト組み!AV139,役職一覧!$B:$D,2,FALSE),"")</f>
        <v/>
      </c>
      <c r="AW109" s="17" t="str">
        <f>IFERROR(VLOOKUP(シフト組み!AW139,役職一覧!$B:$D,2,FALSE),"")</f>
        <v/>
      </c>
      <c r="AX109" s="17" t="str">
        <f>IFERROR(VLOOKUP(シフト組み!AX139,役職一覧!$B:$D,2,FALSE),"")</f>
        <v/>
      </c>
      <c r="AY109" s="17" t="str">
        <f>IFERROR(VLOOKUP(シフト組み!AY139,役職一覧!$B:$D,2,FALSE),"")</f>
        <v/>
      </c>
      <c r="AZ109" s="17" t="str">
        <f>IFERROR(VLOOKUP(シフト組み!AZ139,役職一覧!$B:$D,2,FALSE),"")</f>
        <v/>
      </c>
      <c r="BA109" s="17" t="str">
        <f>IFERROR(VLOOKUP(シフト組み!BA139,役職一覧!$B:$D,2,FALSE),"")</f>
        <v/>
      </c>
    </row>
    <row r="110" spans="1:53">
      <c r="A110" s="2" t="str">
        <f>シフト組み!A140&amp;""</f>
        <v/>
      </c>
      <c r="B110" s="2" t="str">
        <f>シフト組み!B140&amp;""</f>
        <v/>
      </c>
      <c r="C110" s="2" t="str">
        <f>シフト組み!C140&amp;""</f>
        <v/>
      </c>
      <c r="D110" s="17" t="str">
        <f>IFERROR(VLOOKUP(シフト組み!D140,役職一覧!$B:$D,2,FALSE),"")</f>
        <v/>
      </c>
      <c r="E110" s="17" t="str">
        <f>IFERROR(VLOOKUP(シフト組み!E140,役職一覧!$B:$D,2,FALSE),"")</f>
        <v/>
      </c>
      <c r="F110" s="17" t="str">
        <f>IFERROR(VLOOKUP(シフト組み!F140,役職一覧!$B:$D,2,FALSE),"")</f>
        <v/>
      </c>
      <c r="G110" s="17" t="str">
        <f>IFERROR(VLOOKUP(シフト組み!G140,役職一覧!$B:$D,2,FALSE),"")</f>
        <v/>
      </c>
      <c r="H110" s="17" t="str">
        <f>IFERROR(VLOOKUP(シフト組み!H140,役職一覧!$B:$D,2,FALSE),"")</f>
        <v/>
      </c>
      <c r="I110" s="17" t="str">
        <f>IFERROR(VLOOKUP(シフト組み!I140,役職一覧!$B:$D,2,FALSE),"")</f>
        <v/>
      </c>
      <c r="J110" s="17" t="str">
        <f>IFERROR(VLOOKUP(シフト組み!J140,役職一覧!$B:$D,2,FALSE),"")</f>
        <v/>
      </c>
      <c r="K110" s="17" t="str">
        <f>IFERROR(VLOOKUP(シフト組み!K140,役職一覧!$B:$D,2,FALSE),"")</f>
        <v/>
      </c>
      <c r="L110" s="17" t="str">
        <f>IFERROR(VLOOKUP(シフト組み!L140,役職一覧!$B:$D,2,FALSE),"")</f>
        <v/>
      </c>
      <c r="M110" s="17" t="str">
        <f>IFERROR(VLOOKUP(シフト組み!M140,役職一覧!$B:$D,2,FALSE),"")</f>
        <v/>
      </c>
      <c r="N110" s="17" t="str">
        <f>IFERROR(VLOOKUP(シフト組み!N140,役職一覧!$B:$D,2,FALSE),"")</f>
        <v/>
      </c>
      <c r="O110" s="17" t="str">
        <f>IFERROR(VLOOKUP(シフト組み!O140,役職一覧!$B:$D,2,FALSE),"")</f>
        <v/>
      </c>
      <c r="P110" s="17" t="str">
        <f>IFERROR(VLOOKUP(シフト組み!P140,役職一覧!$B:$D,2,FALSE),"")</f>
        <v/>
      </c>
      <c r="Q110" s="17" t="str">
        <f>IFERROR(VLOOKUP(シフト組み!Q140,役職一覧!$B:$D,2,FALSE),"")</f>
        <v/>
      </c>
      <c r="R110" s="17" t="str">
        <f>IFERROR(VLOOKUP(シフト組み!R140,役職一覧!$B:$D,2,FALSE),"")</f>
        <v/>
      </c>
      <c r="S110" s="17" t="str">
        <f>IFERROR(VLOOKUP(シフト組み!S140,役職一覧!$B:$D,2,FALSE),"")</f>
        <v/>
      </c>
      <c r="T110" s="17" t="str">
        <f>IFERROR(VLOOKUP(シフト組み!T140,役職一覧!$B:$D,2,FALSE),"")</f>
        <v/>
      </c>
      <c r="U110" s="17" t="str">
        <f>IFERROR(VLOOKUP(シフト組み!U140,役職一覧!$B:$D,2,FALSE),"")</f>
        <v/>
      </c>
      <c r="V110" s="17" t="str">
        <f>IFERROR(VLOOKUP(シフト組み!V140,役職一覧!$B:$D,2,FALSE),"")</f>
        <v/>
      </c>
      <c r="W110" s="17" t="str">
        <f>IFERROR(VLOOKUP(シフト組み!W140,役職一覧!$B:$D,2,FALSE),"")</f>
        <v/>
      </c>
      <c r="X110" s="17" t="str">
        <f>IFERROR(VLOOKUP(シフト組み!X140,役職一覧!$B:$D,2,FALSE),"")</f>
        <v/>
      </c>
      <c r="Y110" s="17" t="str">
        <f>IFERROR(VLOOKUP(シフト組み!Y140,役職一覧!$B:$D,2,FALSE),"")</f>
        <v/>
      </c>
      <c r="Z110" s="17" t="str">
        <f>IFERROR(VLOOKUP(シフト組み!Z140,役職一覧!$B:$D,2,FALSE),"")</f>
        <v/>
      </c>
      <c r="AA110" s="17" t="str">
        <f>IFERROR(VLOOKUP(シフト組み!AA140,役職一覧!$B:$D,2,FALSE),"")</f>
        <v/>
      </c>
      <c r="AB110" s="17" t="str">
        <f>IFERROR(VLOOKUP(シフト組み!AB140,役職一覧!$B:$D,2,FALSE),"")</f>
        <v/>
      </c>
      <c r="AC110" s="17" t="str">
        <f>IFERROR(VLOOKUP(シフト組み!AC140,役職一覧!$B:$D,2,FALSE),"")</f>
        <v/>
      </c>
      <c r="AD110" s="17" t="str">
        <f>IFERROR(VLOOKUP(シフト組み!AD140,役職一覧!$B:$D,2,FALSE),"")</f>
        <v/>
      </c>
      <c r="AE110" s="17" t="str">
        <f>IFERROR(VLOOKUP(シフト組み!AE140,役職一覧!$B:$D,2,FALSE),"")</f>
        <v/>
      </c>
      <c r="AF110" s="17" t="str">
        <f>IFERROR(VLOOKUP(シフト組み!AF140,役職一覧!$B:$D,2,FALSE),"")</f>
        <v/>
      </c>
      <c r="AG110" s="17" t="str">
        <f>IFERROR(VLOOKUP(シフト組み!AG140,役職一覧!$B:$D,2,FALSE),"")</f>
        <v/>
      </c>
      <c r="AH110" s="17" t="str">
        <f>IFERROR(VLOOKUP(シフト組み!AH140,役職一覧!$B:$D,2,FALSE),"")</f>
        <v/>
      </c>
      <c r="AI110" s="17" t="str">
        <f>IFERROR(VLOOKUP(シフト組み!AI140,役職一覧!$B:$D,2,FALSE),"")</f>
        <v/>
      </c>
      <c r="AJ110" s="17" t="str">
        <f>IFERROR(VLOOKUP(シフト組み!AJ140,役職一覧!$B:$D,2,FALSE),"")</f>
        <v/>
      </c>
      <c r="AK110" s="17" t="str">
        <f>IFERROR(VLOOKUP(シフト組み!AK140,役職一覧!$B:$D,2,FALSE),"")</f>
        <v/>
      </c>
      <c r="AL110" s="17" t="str">
        <f>IFERROR(VLOOKUP(シフト組み!AL140,役職一覧!$B:$D,2,FALSE),"")</f>
        <v/>
      </c>
      <c r="AM110" s="17" t="str">
        <f>IFERROR(VLOOKUP(シフト組み!AM140,役職一覧!$B:$D,2,FALSE),"")</f>
        <v/>
      </c>
      <c r="AN110" s="17" t="str">
        <f>IFERROR(VLOOKUP(シフト組み!AN140,役職一覧!$B:$D,2,FALSE),"")</f>
        <v/>
      </c>
      <c r="AO110" s="17" t="str">
        <f>IFERROR(VLOOKUP(シフト組み!AO140,役職一覧!$B:$D,2,FALSE),"")</f>
        <v/>
      </c>
      <c r="AP110" s="17" t="str">
        <f>IFERROR(VLOOKUP(シフト組み!AP140,役職一覧!$B:$D,2,FALSE),"")</f>
        <v/>
      </c>
      <c r="AQ110" s="17" t="str">
        <f>IFERROR(VLOOKUP(シフト組み!AQ140,役職一覧!$B:$D,2,FALSE),"")</f>
        <v/>
      </c>
      <c r="AR110" s="17" t="str">
        <f>IFERROR(VLOOKUP(シフト組み!AR140,役職一覧!$B:$D,2,FALSE),"")</f>
        <v/>
      </c>
      <c r="AS110" s="17" t="str">
        <f>IFERROR(VLOOKUP(シフト組み!AS140,役職一覧!$B:$D,2,FALSE),"")</f>
        <v/>
      </c>
      <c r="AT110" s="17" t="str">
        <f>IFERROR(VLOOKUP(シフト組み!AT140,役職一覧!$B:$D,2,FALSE),"")</f>
        <v/>
      </c>
      <c r="AU110" s="17" t="str">
        <f>IFERROR(VLOOKUP(シフト組み!AU140,役職一覧!$B:$D,2,FALSE),"")</f>
        <v/>
      </c>
      <c r="AV110" s="17" t="str">
        <f>IFERROR(VLOOKUP(シフト組み!AV140,役職一覧!$B:$D,2,FALSE),"")</f>
        <v/>
      </c>
      <c r="AW110" s="17" t="str">
        <f>IFERROR(VLOOKUP(シフト組み!AW140,役職一覧!$B:$D,2,FALSE),"")</f>
        <v/>
      </c>
      <c r="AX110" s="17" t="str">
        <f>IFERROR(VLOOKUP(シフト組み!AX140,役職一覧!$B:$D,2,FALSE),"")</f>
        <v/>
      </c>
      <c r="AY110" s="17" t="str">
        <f>IFERROR(VLOOKUP(シフト組み!AY140,役職一覧!$B:$D,2,FALSE),"")</f>
        <v/>
      </c>
      <c r="AZ110" s="17" t="str">
        <f>IFERROR(VLOOKUP(シフト組み!AZ140,役職一覧!$B:$D,2,FALSE),"")</f>
        <v/>
      </c>
      <c r="BA110" s="17" t="str">
        <f>IFERROR(VLOOKUP(シフト組み!BA140,役職一覧!$B:$D,2,FALSE),"")</f>
        <v/>
      </c>
    </row>
    <row r="111" spans="1:53">
      <c r="A111" s="2" t="str">
        <f>シフト組み!A141&amp;""</f>
        <v/>
      </c>
      <c r="B111" s="2" t="str">
        <f>シフト組み!B141&amp;""</f>
        <v/>
      </c>
      <c r="C111" s="2" t="str">
        <f>シフト組み!C141&amp;""</f>
        <v/>
      </c>
      <c r="D111" s="17" t="str">
        <f>IFERROR(VLOOKUP(シフト組み!D141,役職一覧!$B:$D,2,FALSE),"")</f>
        <v/>
      </c>
      <c r="E111" s="17" t="str">
        <f>IFERROR(VLOOKUP(シフト組み!E141,役職一覧!$B:$D,2,FALSE),"")</f>
        <v/>
      </c>
      <c r="F111" s="17" t="str">
        <f>IFERROR(VLOOKUP(シフト組み!F141,役職一覧!$B:$D,2,FALSE),"")</f>
        <v/>
      </c>
      <c r="G111" s="17" t="str">
        <f>IFERROR(VLOOKUP(シフト組み!G141,役職一覧!$B:$D,2,FALSE),"")</f>
        <v/>
      </c>
      <c r="H111" s="17" t="str">
        <f>IFERROR(VLOOKUP(シフト組み!H141,役職一覧!$B:$D,2,FALSE),"")</f>
        <v/>
      </c>
      <c r="I111" s="17" t="str">
        <f>IFERROR(VLOOKUP(シフト組み!I141,役職一覧!$B:$D,2,FALSE),"")</f>
        <v/>
      </c>
      <c r="J111" s="17" t="str">
        <f>IFERROR(VLOOKUP(シフト組み!J141,役職一覧!$B:$D,2,FALSE),"")</f>
        <v/>
      </c>
      <c r="K111" s="17" t="str">
        <f>IFERROR(VLOOKUP(シフト組み!K141,役職一覧!$B:$D,2,FALSE),"")</f>
        <v/>
      </c>
      <c r="L111" s="17" t="str">
        <f>IFERROR(VLOOKUP(シフト組み!L141,役職一覧!$B:$D,2,FALSE),"")</f>
        <v/>
      </c>
      <c r="M111" s="17" t="str">
        <f>IFERROR(VLOOKUP(シフト組み!M141,役職一覧!$B:$D,2,FALSE),"")</f>
        <v/>
      </c>
      <c r="N111" s="17" t="str">
        <f>IFERROR(VLOOKUP(シフト組み!N141,役職一覧!$B:$D,2,FALSE),"")</f>
        <v/>
      </c>
      <c r="O111" s="17" t="str">
        <f>IFERROR(VLOOKUP(シフト組み!O141,役職一覧!$B:$D,2,FALSE),"")</f>
        <v/>
      </c>
      <c r="P111" s="17" t="str">
        <f>IFERROR(VLOOKUP(シフト組み!P141,役職一覧!$B:$D,2,FALSE),"")</f>
        <v/>
      </c>
      <c r="Q111" s="17" t="str">
        <f>IFERROR(VLOOKUP(シフト組み!Q141,役職一覧!$B:$D,2,FALSE),"")</f>
        <v/>
      </c>
      <c r="R111" s="17" t="str">
        <f>IFERROR(VLOOKUP(シフト組み!R141,役職一覧!$B:$D,2,FALSE),"")</f>
        <v/>
      </c>
      <c r="S111" s="17" t="str">
        <f>IFERROR(VLOOKUP(シフト組み!S141,役職一覧!$B:$D,2,FALSE),"")</f>
        <v/>
      </c>
      <c r="T111" s="17" t="str">
        <f>IFERROR(VLOOKUP(シフト組み!T141,役職一覧!$B:$D,2,FALSE),"")</f>
        <v/>
      </c>
      <c r="U111" s="17" t="str">
        <f>IFERROR(VLOOKUP(シフト組み!U141,役職一覧!$B:$D,2,FALSE),"")</f>
        <v/>
      </c>
      <c r="V111" s="17" t="str">
        <f>IFERROR(VLOOKUP(シフト組み!V141,役職一覧!$B:$D,2,FALSE),"")</f>
        <v/>
      </c>
      <c r="W111" s="17" t="str">
        <f>IFERROR(VLOOKUP(シフト組み!W141,役職一覧!$B:$D,2,FALSE),"")</f>
        <v/>
      </c>
      <c r="X111" s="17" t="str">
        <f>IFERROR(VLOOKUP(シフト組み!X141,役職一覧!$B:$D,2,FALSE),"")</f>
        <v/>
      </c>
      <c r="Y111" s="17" t="str">
        <f>IFERROR(VLOOKUP(シフト組み!Y141,役職一覧!$B:$D,2,FALSE),"")</f>
        <v/>
      </c>
      <c r="Z111" s="17" t="str">
        <f>IFERROR(VLOOKUP(シフト組み!Z141,役職一覧!$B:$D,2,FALSE),"")</f>
        <v/>
      </c>
      <c r="AA111" s="17" t="str">
        <f>IFERROR(VLOOKUP(シフト組み!AA141,役職一覧!$B:$D,2,FALSE),"")</f>
        <v/>
      </c>
      <c r="AB111" s="17" t="str">
        <f>IFERROR(VLOOKUP(シフト組み!AB141,役職一覧!$B:$D,2,FALSE),"")</f>
        <v/>
      </c>
      <c r="AC111" s="17" t="str">
        <f>IFERROR(VLOOKUP(シフト組み!AC141,役職一覧!$B:$D,2,FALSE),"")</f>
        <v/>
      </c>
      <c r="AD111" s="17" t="str">
        <f>IFERROR(VLOOKUP(シフト組み!AD141,役職一覧!$B:$D,2,FALSE),"")</f>
        <v/>
      </c>
      <c r="AE111" s="17" t="str">
        <f>IFERROR(VLOOKUP(シフト組み!AE141,役職一覧!$B:$D,2,FALSE),"")</f>
        <v/>
      </c>
      <c r="AF111" s="17" t="str">
        <f>IFERROR(VLOOKUP(シフト組み!AF141,役職一覧!$B:$D,2,FALSE),"")</f>
        <v/>
      </c>
      <c r="AG111" s="17" t="str">
        <f>IFERROR(VLOOKUP(シフト組み!AG141,役職一覧!$B:$D,2,FALSE),"")</f>
        <v/>
      </c>
      <c r="AH111" s="17" t="str">
        <f>IFERROR(VLOOKUP(シフト組み!AH141,役職一覧!$B:$D,2,FALSE),"")</f>
        <v/>
      </c>
      <c r="AI111" s="17" t="str">
        <f>IFERROR(VLOOKUP(シフト組み!AI141,役職一覧!$B:$D,2,FALSE),"")</f>
        <v/>
      </c>
      <c r="AJ111" s="17" t="str">
        <f>IFERROR(VLOOKUP(シフト組み!AJ141,役職一覧!$B:$D,2,FALSE),"")</f>
        <v/>
      </c>
      <c r="AK111" s="17" t="str">
        <f>IFERROR(VLOOKUP(シフト組み!AK141,役職一覧!$B:$D,2,FALSE),"")</f>
        <v/>
      </c>
      <c r="AL111" s="17" t="str">
        <f>IFERROR(VLOOKUP(シフト組み!AL141,役職一覧!$B:$D,2,FALSE),"")</f>
        <v/>
      </c>
      <c r="AM111" s="17" t="str">
        <f>IFERROR(VLOOKUP(シフト組み!AM141,役職一覧!$B:$D,2,FALSE),"")</f>
        <v/>
      </c>
      <c r="AN111" s="17" t="str">
        <f>IFERROR(VLOOKUP(シフト組み!AN141,役職一覧!$B:$D,2,FALSE),"")</f>
        <v/>
      </c>
      <c r="AO111" s="17" t="str">
        <f>IFERROR(VLOOKUP(シフト組み!AO141,役職一覧!$B:$D,2,FALSE),"")</f>
        <v/>
      </c>
      <c r="AP111" s="17" t="str">
        <f>IFERROR(VLOOKUP(シフト組み!AP141,役職一覧!$B:$D,2,FALSE),"")</f>
        <v/>
      </c>
      <c r="AQ111" s="17" t="str">
        <f>IFERROR(VLOOKUP(シフト組み!AQ141,役職一覧!$B:$D,2,FALSE),"")</f>
        <v/>
      </c>
      <c r="AR111" s="17" t="str">
        <f>IFERROR(VLOOKUP(シフト組み!AR141,役職一覧!$B:$D,2,FALSE),"")</f>
        <v/>
      </c>
      <c r="AS111" s="17" t="str">
        <f>IFERROR(VLOOKUP(シフト組み!AS141,役職一覧!$B:$D,2,FALSE),"")</f>
        <v/>
      </c>
      <c r="AT111" s="17" t="str">
        <f>IFERROR(VLOOKUP(シフト組み!AT141,役職一覧!$B:$D,2,FALSE),"")</f>
        <v/>
      </c>
      <c r="AU111" s="17" t="str">
        <f>IFERROR(VLOOKUP(シフト組み!AU141,役職一覧!$B:$D,2,FALSE),"")</f>
        <v/>
      </c>
      <c r="AV111" s="17" t="str">
        <f>IFERROR(VLOOKUP(シフト組み!AV141,役職一覧!$B:$D,2,FALSE),"")</f>
        <v/>
      </c>
      <c r="AW111" s="17" t="str">
        <f>IFERROR(VLOOKUP(シフト組み!AW141,役職一覧!$B:$D,2,FALSE),"")</f>
        <v/>
      </c>
      <c r="AX111" s="17" t="str">
        <f>IFERROR(VLOOKUP(シフト組み!AX141,役職一覧!$B:$D,2,FALSE),"")</f>
        <v/>
      </c>
      <c r="AY111" s="17" t="str">
        <f>IFERROR(VLOOKUP(シフト組み!AY141,役職一覧!$B:$D,2,FALSE),"")</f>
        <v/>
      </c>
      <c r="AZ111" s="17" t="str">
        <f>IFERROR(VLOOKUP(シフト組み!AZ141,役職一覧!$B:$D,2,FALSE),"")</f>
        <v/>
      </c>
      <c r="BA111" s="17" t="str">
        <f>IFERROR(VLOOKUP(シフト組み!BA141,役職一覧!$B:$D,2,FALSE),"")</f>
        <v/>
      </c>
    </row>
    <row r="112" spans="1:53">
      <c r="A112" s="2" t="str">
        <f>シフト組み!A142&amp;""</f>
        <v/>
      </c>
      <c r="B112" s="2" t="str">
        <f>シフト組み!B142&amp;""</f>
        <v/>
      </c>
      <c r="C112" s="2" t="str">
        <f>シフト組み!C142&amp;""</f>
        <v/>
      </c>
      <c r="D112" s="17" t="str">
        <f>IFERROR(VLOOKUP(シフト組み!D142,役職一覧!$B:$D,2,FALSE),"")</f>
        <v/>
      </c>
      <c r="E112" s="17" t="str">
        <f>IFERROR(VLOOKUP(シフト組み!E142,役職一覧!$B:$D,2,FALSE),"")</f>
        <v/>
      </c>
      <c r="F112" s="17" t="str">
        <f>IFERROR(VLOOKUP(シフト組み!F142,役職一覧!$B:$D,2,FALSE),"")</f>
        <v/>
      </c>
      <c r="G112" s="17" t="str">
        <f>IFERROR(VLOOKUP(シフト組み!G142,役職一覧!$B:$D,2,FALSE),"")</f>
        <v/>
      </c>
      <c r="H112" s="17" t="str">
        <f>IFERROR(VLOOKUP(シフト組み!H142,役職一覧!$B:$D,2,FALSE),"")</f>
        <v/>
      </c>
      <c r="I112" s="17" t="str">
        <f>IFERROR(VLOOKUP(シフト組み!I142,役職一覧!$B:$D,2,FALSE),"")</f>
        <v/>
      </c>
      <c r="J112" s="17" t="str">
        <f>IFERROR(VLOOKUP(シフト組み!J142,役職一覧!$B:$D,2,FALSE),"")</f>
        <v/>
      </c>
      <c r="K112" s="17" t="str">
        <f>IFERROR(VLOOKUP(シフト組み!K142,役職一覧!$B:$D,2,FALSE),"")</f>
        <v/>
      </c>
      <c r="L112" s="17" t="str">
        <f>IFERROR(VLOOKUP(シフト組み!L142,役職一覧!$B:$D,2,FALSE),"")</f>
        <v/>
      </c>
      <c r="M112" s="17" t="str">
        <f>IFERROR(VLOOKUP(シフト組み!M142,役職一覧!$B:$D,2,FALSE),"")</f>
        <v/>
      </c>
      <c r="N112" s="17" t="str">
        <f>IFERROR(VLOOKUP(シフト組み!N142,役職一覧!$B:$D,2,FALSE),"")</f>
        <v/>
      </c>
      <c r="O112" s="17" t="str">
        <f>IFERROR(VLOOKUP(シフト組み!O142,役職一覧!$B:$D,2,FALSE),"")</f>
        <v/>
      </c>
      <c r="P112" s="17" t="str">
        <f>IFERROR(VLOOKUP(シフト組み!P142,役職一覧!$B:$D,2,FALSE),"")</f>
        <v/>
      </c>
      <c r="Q112" s="17" t="str">
        <f>IFERROR(VLOOKUP(シフト組み!Q142,役職一覧!$B:$D,2,FALSE),"")</f>
        <v/>
      </c>
      <c r="R112" s="17" t="str">
        <f>IFERROR(VLOOKUP(シフト組み!R142,役職一覧!$B:$D,2,FALSE),"")</f>
        <v/>
      </c>
      <c r="S112" s="17" t="str">
        <f>IFERROR(VLOOKUP(シフト組み!S142,役職一覧!$B:$D,2,FALSE),"")</f>
        <v/>
      </c>
      <c r="T112" s="17" t="str">
        <f>IFERROR(VLOOKUP(シフト組み!T142,役職一覧!$B:$D,2,FALSE),"")</f>
        <v/>
      </c>
      <c r="U112" s="17" t="str">
        <f>IFERROR(VLOOKUP(シフト組み!U142,役職一覧!$B:$D,2,FALSE),"")</f>
        <v/>
      </c>
      <c r="V112" s="17" t="str">
        <f>IFERROR(VLOOKUP(シフト組み!V142,役職一覧!$B:$D,2,FALSE),"")</f>
        <v/>
      </c>
      <c r="W112" s="17" t="str">
        <f>IFERROR(VLOOKUP(シフト組み!W142,役職一覧!$B:$D,2,FALSE),"")</f>
        <v/>
      </c>
      <c r="X112" s="17" t="str">
        <f>IFERROR(VLOOKUP(シフト組み!X142,役職一覧!$B:$D,2,FALSE),"")</f>
        <v/>
      </c>
      <c r="Y112" s="17" t="str">
        <f>IFERROR(VLOOKUP(シフト組み!Y142,役職一覧!$B:$D,2,FALSE),"")</f>
        <v/>
      </c>
      <c r="Z112" s="17" t="str">
        <f>IFERROR(VLOOKUP(シフト組み!Z142,役職一覧!$B:$D,2,FALSE),"")</f>
        <v/>
      </c>
      <c r="AA112" s="17" t="str">
        <f>IFERROR(VLOOKUP(シフト組み!AA142,役職一覧!$B:$D,2,FALSE),"")</f>
        <v/>
      </c>
      <c r="AB112" s="17" t="str">
        <f>IFERROR(VLOOKUP(シフト組み!AB142,役職一覧!$B:$D,2,FALSE),"")</f>
        <v/>
      </c>
      <c r="AC112" s="17" t="str">
        <f>IFERROR(VLOOKUP(シフト組み!AC142,役職一覧!$B:$D,2,FALSE),"")</f>
        <v/>
      </c>
      <c r="AD112" s="17" t="str">
        <f>IFERROR(VLOOKUP(シフト組み!AD142,役職一覧!$B:$D,2,FALSE),"")</f>
        <v/>
      </c>
      <c r="AE112" s="17" t="str">
        <f>IFERROR(VLOOKUP(シフト組み!AE142,役職一覧!$B:$D,2,FALSE),"")</f>
        <v/>
      </c>
      <c r="AF112" s="17" t="str">
        <f>IFERROR(VLOOKUP(シフト組み!AF142,役職一覧!$B:$D,2,FALSE),"")</f>
        <v/>
      </c>
      <c r="AG112" s="17" t="str">
        <f>IFERROR(VLOOKUP(シフト組み!AG142,役職一覧!$B:$D,2,FALSE),"")</f>
        <v/>
      </c>
      <c r="AH112" s="17" t="str">
        <f>IFERROR(VLOOKUP(シフト組み!AH142,役職一覧!$B:$D,2,FALSE),"")</f>
        <v/>
      </c>
      <c r="AI112" s="17" t="str">
        <f>IFERROR(VLOOKUP(シフト組み!AI142,役職一覧!$B:$D,2,FALSE),"")</f>
        <v/>
      </c>
      <c r="AJ112" s="17" t="str">
        <f>IFERROR(VLOOKUP(シフト組み!AJ142,役職一覧!$B:$D,2,FALSE),"")</f>
        <v/>
      </c>
      <c r="AK112" s="17" t="str">
        <f>IFERROR(VLOOKUP(シフト組み!AK142,役職一覧!$B:$D,2,FALSE),"")</f>
        <v/>
      </c>
      <c r="AL112" s="17" t="str">
        <f>IFERROR(VLOOKUP(シフト組み!AL142,役職一覧!$B:$D,2,FALSE),"")</f>
        <v/>
      </c>
      <c r="AM112" s="17" t="str">
        <f>IFERROR(VLOOKUP(シフト組み!AM142,役職一覧!$B:$D,2,FALSE),"")</f>
        <v/>
      </c>
      <c r="AN112" s="17" t="str">
        <f>IFERROR(VLOOKUP(シフト組み!AN142,役職一覧!$B:$D,2,FALSE),"")</f>
        <v/>
      </c>
      <c r="AO112" s="17" t="str">
        <f>IFERROR(VLOOKUP(シフト組み!AO142,役職一覧!$B:$D,2,FALSE),"")</f>
        <v/>
      </c>
      <c r="AP112" s="17" t="str">
        <f>IFERROR(VLOOKUP(シフト組み!AP142,役職一覧!$B:$D,2,FALSE),"")</f>
        <v/>
      </c>
      <c r="AQ112" s="17" t="str">
        <f>IFERROR(VLOOKUP(シフト組み!AQ142,役職一覧!$B:$D,2,FALSE),"")</f>
        <v/>
      </c>
      <c r="AR112" s="17" t="str">
        <f>IFERROR(VLOOKUP(シフト組み!AR142,役職一覧!$B:$D,2,FALSE),"")</f>
        <v/>
      </c>
      <c r="AS112" s="17" t="str">
        <f>IFERROR(VLOOKUP(シフト組み!AS142,役職一覧!$B:$D,2,FALSE),"")</f>
        <v/>
      </c>
      <c r="AT112" s="17" t="str">
        <f>IFERROR(VLOOKUP(シフト組み!AT142,役職一覧!$B:$D,2,FALSE),"")</f>
        <v/>
      </c>
      <c r="AU112" s="17" t="str">
        <f>IFERROR(VLOOKUP(シフト組み!AU142,役職一覧!$B:$D,2,FALSE),"")</f>
        <v/>
      </c>
      <c r="AV112" s="17" t="str">
        <f>IFERROR(VLOOKUP(シフト組み!AV142,役職一覧!$B:$D,2,FALSE),"")</f>
        <v/>
      </c>
      <c r="AW112" s="17" t="str">
        <f>IFERROR(VLOOKUP(シフト組み!AW142,役職一覧!$B:$D,2,FALSE),"")</f>
        <v/>
      </c>
      <c r="AX112" s="17" t="str">
        <f>IFERROR(VLOOKUP(シフト組み!AX142,役職一覧!$B:$D,2,FALSE),"")</f>
        <v/>
      </c>
      <c r="AY112" s="17" t="str">
        <f>IFERROR(VLOOKUP(シフト組み!AY142,役職一覧!$B:$D,2,FALSE),"")</f>
        <v/>
      </c>
      <c r="AZ112" s="17" t="str">
        <f>IFERROR(VLOOKUP(シフト組み!AZ142,役職一覧!$B:$D,2,FALSE),"")</f>
        <v/>
      </c>
      <c r="BA112" s="17" t="str">
        <f>IFERROR(VLOOKUP(シフト組み!BA142,役職一覧!$B:$D,2,FALSE),"")</f>
        <v/>
      </c>
    </row>
    <row r="113" spans="1:53">
      <c r="A113" s="2" t="str">
        <f>シフト組み!A143&amp;""</f>
        <v/>
      </c>
      <c r="B113" s="2" t="str">
        <f>シフト組み!B143&amp;""</f>
        <v/>
      </c>
      <c r="C113" s="2" t="str">
        <f>シフト組み!C143&amp;""</f>
        <v/>
      </c>
      <c r="D113" s="17" t="str">
        <f>IFERROR(VLOOKUP(シフト組み!D143,役職一覧!$B:$D,2,FALSE),"")</f>
        <v/>
      </c>
      <c r="E113" s="17" t="str">
        <f>IFERROR(VLOOKUP(シフト組み!E143,役職一覧!$B:$D,2,FALSE),"")</f>
        <v/>
      </c>
      <c r="F113" s="17" t="str">
        <f>IFERROR(VLOOKUP(シフト組み!F143,役職一覧!$B:$D,2,FALSE),"")</f>
        <v/>
      </c>
      <c r="G113" s="17" t="str">
        <f>IFERROR(VLOOKUP(シフト組み!G143,役職一覧!$B:$D,2,FALSE),"")</f>
        <v/>
      </c>
      <c r="H113" s="17" t="str">
        <f>IFERROR(VLOOKUP(シフト組み!H143,役職一覧!$B:$D,2,FALSE),"")</f>
        <v/>
      </c>
      <c r="I113" s="17" t="str">
        <f>IFERROR(VLOOKUP(シフト組み!I143,役職一覧!$B:$D,2,FALSE),"")</f>
        <v/>
      </c>
      <c r="J113" s="17" t="str">
        <f>IFERROR(VLOOKUP(シフト組み!J143,役職一覧!$B:$D,2,FALSE),"")</f>
        <v/>
      </c>
      <c r="K113" s="17" t="str">
        <f>IFERROR(VLOOKUP(シフト組み!K143,役職一覧!$B:$D,2,FALSE),"")</f>
        <v/>
      </c>
      <c r="L113" s="17" t="str">
        <f>IFERROR(VLOOKUP(シフト組み!L143,役職一覧!$B:$D,2,FALSE),"")</f>
        <v/>
      </c>
      <c r="M113" s="17" t="str">
        <f>IFERROR(VLOOKUP(シフト組み!M143,役職一覧!$B:$D,2,FALSE),"")</f>
        <v/>
      </c>
      <c r="N113" s="17" t="str">
        <f>IFERROR(VLOOKUP(シフト組み!N143,役職一覧!$B:$D,2,FALSE),"")</f>
        <v/>
      </c>
      <c r="O113" s="17" t="str">
        <f>IFERROR(VLOOKUP(シフト組み!O143,役職一覧!$B:$D,2,FALSE),"")</f>
        <v/>
      </c>
      <c r="P113" s="17" t="str">
        <f>IFERROR(VLOOKUP(シフト組み!P143,役職一覧!$B:$D,2,FALSE),"")</f>
        <v/>
      </c>
      <c r="Q113" s="17" t="str">
        <f>IFERROR(VLOOKUP(シフト組み!Q143,役職一覧!$B:$D,2,FALSE),"")</f>
        <v/>
      </c>
      <c r="R113" s="17" t="str">
        <f>IFERROR(VLOOKUP(シフト組み!R143,役職一覧!$B:$D,2,FALSE),"")</f>
        <v/>
      </c>
      <c r="S113" s="17" t="str">
        <f>IFERROR(VLOOKUP(シフト組み!S143,役職一覧!$B:$D,2,FALSE),"")</f>
        <v/>
      </c>
      <c r="T113" s="17" t="str">
        <f>IFERROR(VLOOKUP(シフト組み!T143,役職一覧!$B:$D,2,FALSE),"")</f>
        <v/>
      </c>
      <c r="U113" s="17" t="str">
        <f>IFERROR(VLOOKUP(シフト組み!U143,役職一覧!$B:$D,2,FALSE),"")</f>
        <v/>
      </c>
      <c r="V113" s="17" t="str">
        <f>IFERROR(VLOOKUP(シフト組み!V143,役職一覧!$B:$D,2,FALSE),"")</f>
        <v/>
      </c>
      <c r="W113" s="17" t="str">
        <f>IFERROR(VLOOKUP(シフト組み!W143,役職一覧!$B:$D,2,FALSE),"")</f>
        <v/>
      </c>
      <c r="X113" s="17" t="str">
        <f>IFERROR(VLOOKUP(シフト組み!X143,役職一覧!$B:$D,2,FALSE),"")</f>
        <v/>
      </c>
      <c r="Y113" s="17" t="str">
        <f>IFERROR(VLOOKUP(シフト組み!Y143,役職一覧!$B:$D,2,FALSE),"")</f>
        <v/>
      </c>
      <c r="Z113" s="17" t="str">
        <f>IFERROR(VLOOKUP(シフト組み!Z143,役職一覧!$B:$D,2,FALSE),"")</f>
        <v/>
      </c>
      <c r="AA113" s="17" t="str">
        <f>IFERROR(VLOOKUP(シフト組み!AA143,役職一覧!$B:$D,2,FALSE),"")</f>
        <v/>
      </c>
      <c r="AB113" s="17" t="str">
        <f>IFERROR(VLOOKUP(シフト組み!AB143,役職一覧!$B:$D,2,FALSE),"")</f>
        <v/>
      </c>
      <c r="AC113" s="17" t="str">
        <f>IFERROR(VLOOKUP(シフト組み!AC143,役職一覧!$B:$D,2,FALSE),"")</f>
        <v/>
      </c>
      <c r="AD113" s="17" t="str">
        <f>IFERROR(VLOOKUP(シフト組み!AD143,役職一覧!$B:$D,2,FALSE),"")</f>
        <v/>
      </c>
      <c r="AE113" s="17" t="str">
        <f>IFERROR(VLOOKUP(シフト組み!AE143,役職一覧!$B:$D,2,FALSE),"")</f>
        <v/>
      </c>
      <c r="AF113" s="17" t="str">
        <f>IFERROR(VLOOKUP(シフト組み!AF143,役職一覧!$B:$D,2,FALSE),"")</f>
        <v/>
      </c>
      <c r="AG113" s="17" t="str">
        <f>IFERROR(VLOOKUP(シフト組み!AG143,役職一覧!$B:$D,2,FALSE),"")</f>
        <v/>
      </c>
      <c r="AH113" s="17" t="str">
        <f>IFERROR(VLOOKUP(シフト組み!AH143,役職一覧!$B:$D,2,FALSE),"")</f>
        <v/>
      </c>
      <c r="AI113" s="17" t="str">
        <f>IFERROR(VLOOKUP(シフト組み!AI143,役職一覧!$B:$D,2,FALSE),"")</f>
        <v/>
      </c>
      <c r="AJ113" s="17" t="str">
        <f>IFERROR(VLOOKUP(シフト組み!AJ143,役職一覧!$B:$D,2,FALSE),"")</f>
        <v/>
      </c>
      <c r="AK113" s="17" t="str">
        <f>IFERROR(VLOOKUP(シフト組み!AK143,役職一覧!$B:$D,2,FALSE),"")</f>
        <v/>
      </c>
      <c r="AL113" s="17" t="str">
        <f>IFERROR(VLOOKUP(シフト組み!AL143,役職一覧!$B:$D,2,FALSE),"")</f>
        <v/>
      </c>
      <c r="AM113" s="17" t="str">
        <f>IFERROR(VLOOKUP(シフト組み!AM143,役職一覧!$B:$D,2,FALSE),"")</f>
        <v/>
      </c>
      <c r="AN113" s="17" t="str">
        <f>IFERROR(VLOOKUP(シフト組み!AN143,役職一覧!$B:$D,2,FALSE),"")</f>
        <v/>
      </c>
      <c r="AO113" s="17" t="str">
        <f>IFERROR(VLOOKUP(シフト組み!AO143,役職一覧!$B:$D,2,FALSE),"")</f>
        <v/>
      </c>
      <c r="AP113" s="17" t="str">
        <f>IFERROR(VLOOKUP(シフト組み!AP143,役職一覧!$B:$D,2,FALSE),"")</f>
        <v/>
      </c>
      <c r="AQ113" s="17" t="str">
        <f>IFERROR(VLOOKUP(シフト組み!AQ143,役職一覧!$B:$D,2,FALSE),"")</f>
        <v/>
      </c>
      <c r="AR113" s="17" t="str">
        <f>IFERROR(VLOOKUP(シフト組み!AR143,役職一覧!$B:$D,2,FALSE),"")</f>
        <v/>
      </c>
      <c r="AS113" s="17" t="str">
        <f>IFERROR(VLOOKUP(シフト組み!AS143,役職一覧!$B:$D,2,FALSE),"")</f>
        <v/>
      </c>
      <c r="AT113" s="17" t="str">
        <f>IFERROR(VLOOKUP(シフト組み!AT143,役職一覧!$B:$D,2,FALSE),"")</f>
        <v/>
      </c>
      <c r="AU113" s="17" t="str">
        <f>IFERROR(VLOOKUP(シフト組み!AU143,役職一覧!$B:$D,2,FALSE),"")</f>
        <v/>
      </c>
      <c r="AV113" s="17" t="str">
        <f>IFERROR(VLOOKUP(シフト組み!AV143,役職一覧!$B:$D,2,FALSE),"")</f>
        <v/>
      </c>
      <c r="AW113" s="17" t="str">
        <f>IFERROR(VLOOKUP(シフト組み!AW143,役職一覧!$B:$D,2,FALSE),"")</f>
        <v/>
      </c>
      <c r="AX113" s="17" t="str">
        <f>IFERROR(VLOOKUP(シフト組み!AX143,役職一覧!$B:$D,2,FALSE),"")</f>
        <v/>
      </c>
      <c r="AY113" s="17" t="str">
        <f>IFERROR(VLOOKUP(シフト組み!AY143,役職一覧!$B:$D,2,FALSE),"")</f>
        <v/>
      </c>
      <c r="AZ113" s="17" t="str">
        <f>IFERROR(VLOOKUP(シフト組み!AZ143,役職一覧!$B:$D,2,FALSE),"")</f>
        <v/>
      </c>
      <c r="BA113" s="17" t="str">
        <f>IFERROR(VLOOKUP(シフト組み!BA143,役職一覧!$B:$D,2,FALSE),"")</f>
        <v/>
      </c>
    </row>
    <row r="114" spans="1:53">
      <c r="A114" s="2" t="str">
        <f>シフト組み!A144&amp;""</f>
        <v/>
      </c>
      <c r="B114" s="2" t="str">
        <f>シフト組み!B144&amp;""</f>
        <v/>
      </c>
      <c r="C114" s="2" t="str">
        <f>シフト組み!C144&amp;""</f>
        <v/>
      </c>
      <c r="D114" s="17" t="str">
        <f>IFERROR(VLOOKUP(シフト組み!D144,役職一覧!$B:$D,2,FALSE),"")</f>
        <v/>
      </c>
      <c r="E114" s="17" t="str">
        <f>IFERROR(VLOOKUP(シフト組み!E144,役職一覧!$B:$D,2,FALSE),"")</f>
        <v/>
      </c>
      <c r="F114" s="17" t="str">
        <f>IFERROR(VLOOKUP(シフト組み!F144,役職一覧!$B:$D,2,FALSE),"")</f>
        <v/>
      </c>
      <c r="G114" s="17" t="str">
        <f>IFERROR(VLOOKUP(シフト組み!G144,役職一覧!$B:$D,2,FALSE),"")</f>
        <v/>
      </c>
      <c r="H114" s="17" t="str">
        <f>IFERROR(VLOOKUP(シフト組み!H144,役職一覧!$B:$D,2,FALSE),"")</f>
        <v/>
      </c>
      <c r="I114" s="17" t="str">
        <f>IFERROR(VLOOKUP(シフト組み!I144,役職一覧!$B:$D,2,FALSE),"")</f>
        <v/>
      </c>
      <c r="J114" s="17" t="str">
        <f>IFERROR(VLOOKUP(シフト組み!J144,役職一覧!$B:$D,2,FALSE),"")</f>
        <v/>
      </c>
      <c r="K114" s="17" t="str">
        <f>IFERROR(VLOOKUP(シフト組み!K144,役職一覧!$B:$D,2,FALSE),"")</f>
        <v/>
      </c>
      <c r="L114" s="17" t="str">
        <f>IFERROR(VLOOKUP(シフト組み!L144,役職一覧!$B:$D,2,FALSE),"")</f>
        <v/>
      </c>
      <c r="M114" s="17" t="str">
        <f>IFERROR(VLOOKUP(シフト組み!M144,役職一覧!$B:$D,2,FALSE),"")</f>
        <v/>
      </c>
      <c r="N114" s="17" t="str">
        <f>IFERROR(VLOOKUP(シフト組み!N144,役職一覧!$B:$D,2,FALSE),"")</f>
        <v/>
      </c>
      <c r="O114" s="17" t="str">
        <f>IFERROR(VLOOKUP(シフト組み!O144,役職一覧!$B:$D,2,FALSE),"")</f>
        <v/>
      </c>
      <c r="P114" s="17" t="str">
        <f>IFERROR(VLOOKUP(シフト組み!P144,役職一覧!$B:$D,2,FALSE),"")</f>
        <v/>
      </c>
      <c r="Q114" s="17" t="str">
        <f>IFERROR(VLOOKUP(シフト組み!Q144,役職一覧!$B:$D,2,FALSE),"")</f>
        <v/>
      </c>
      <c r="R114" s="17" t="str">
        <f>IFERROR(VLOOKUP(シフト組み!R144,役職一覧!$B:$D,2,FALSE),"")</f>
        <v/>
      </c>
      <c r="S114" s="17" t="str">
        <f>IFERROR(VLOOKUP(シフト組み!S144,役職一覧!$B:$D,2,FALSE),"")</f>
        <v/>
      </c>
      <c r="T114" s="17" t="str">
        <f>IFERROR(VLOOKUP(シフト組み!T144,役職一覧!$B:$D,2,FALSE),"")</f>
        <v/>
      </c>
      <c r="U114" s="17" t="str">
        <f>IFERROR(VLOOKUP(シフト組み!U144,役職一覧!$B:$D,2,FALSE),"")</f>
        <v/>
      </c>
      <c r="V114" s="17" t="str">
        <f>IFERROR(VLOOKUP(シフト組み!V144,役職一覧!$B:$D,2,FALSE),"")</f>
        <v/>
      </c>
      <c r="W114" s="17" t="str">
        <f>IFERROR(VLOOKUP(シフト組み!W144,役職一覧!$B:$D,2,FALSE),"")</f>
        <v/>
      </c>
      <c r="X114" s="17" t="str">
        <f>IFERROR(VLOOKUP(シフト組み!X144,役職一覧!$B:$D,2,FALSE),"")</f>
        <v/>
      </c>
      <c r="Y114" s="17" t="str">
        <f>IFERROR(VLOOKUP(シフト組み!Y144,役職一覧!$B:$D,2,FALSE),"")</f>
        <v/>
      </c>
      <c r="Z114" s="17" t="str">
        <f>IFERROR(VLOOKUP(シフト組み!Z144,役職一覧!$B:$D,2,FALSE),"")</f>
        <v/>
      </c>
      <c r="AA114" s="17" t="str">
        <f>IFERROR(VLOOKUP(シフト組み!AA144,役職一覧!$B:$D,2,FALSE),"")</f>
        <v/>
      </c>
      <c r="AB114" s="17" t="str">
        <f>IFERROR(VLOOKUP(シフト組み!AB144,役職一覧!$B:$D,2,FALSE),"")</f>
        <v/>
      </c>
      <c r="AC114" s="17" t="str">
        <f>IFERROR(VLOOKUP(シフト組み!AC144,役職一覧!$B:$D,2,FALSE),"")</f>
        <v/>
      </c>
      <c r="AD114" s="17" t="str">
        <f>IFERROR(VLOOKUP(シフト組み!AD144,役職一覧!$B:$D,2,FALSE),"")</f>
        <v/>
      </c>
      <c r="AE114" s="17" t="str">
        <f>IFERROR(VLOOKUP(シフト組み!AE144,役職一覧!$B:$D,2,FALSE),"")</f>
        <v/>
      </c>
      <c r="AF114" s="17" t="str">
        <f>IFERROR(VLOOKUP(シフト組み!AF144,役職一覧!$B:$D,2,FALSE),"")</f>
        <v/>
      </c>
      <c r="AG114" s="17" t="str">
        <f>IFERROR(VLOOKUP(シフト組み!AG144,役職一覧!$B:$D,2,FALSE),"")</f>
        <v/>
      </c>
      <c r="AH114" s="17" t="str">
        <f>IFERROR(VLOOKUP(シフト組み!AH144,役職一覧!$B:$D,2,FALSE),"")</f>
        <v/>
      </c>
      <c r="AI114" s="17" t="str">
        <f>IFERROR(VLOOKUP(シフト組み!AI144,役職一覧!$B:$D,2,FALSE),"")</f>
        <v/>
      </c>
      <c r="AJ114" s="17" t="str">
        <f>IFERROR(VLOOKUP(シフト組み!AJ144,役職一覧!$B:$D,2,FALSE),"")</f>
        <v/>
      </c>
      <c r="AK114" s="17" t="str">
        <f>IFERROR(VLOOKUP(シフト組み!AK144,役職一覧!$B:$D,2,FALSE),"")</f>
        <v/>
      </c>
      <c r="AL114" s="17" t="str">
        <f>IFERROR(VLOOKUP(シフト組み!AL144,役職一覧!$B:$D,2,FALSE),"")</f>
        <v/>
      </c>
      <c r="AM114" s="17" t="str">
        <f>IFERROR(VLOOKUP(シフト組み!AM144,役職一覧!$B:$D,2,FALSE),"")</f>
        <v/>
      </c>
      <c r="AN114" s="17" t="str">
        <f>IFERROR(VLOOKUP(シフト組み!AN144,役職一覧!$B:$D,2,FALSE),"")</f>
        <v/>
      </c>
      <c r="AO114" s="17" t="str">
        <f>IFERROR(VLOOKUP(シフト組み!AO144,役職一覧!$B:$D,2,FALSE),"")</f>
        <v/>
      </c>
      <c r="AP114" s="17" t="str">
        <f>IFERROR(VLOOKUP(シフト組み!AP144,役職一覧!$B:$D,2,FALSE),"")</f>
        <v/>
      </c>
      <c r="AQ114" s="17" t="str">
        <f>IFERROR(VLOOKUP(シフト組み!AQ144,役職一覧!$B:$D,2,FALSE),"")</f>
        <v/>
      </c>
      <c r="AR114" s="17" t="str">
        <f>IFERROR(VLOOKUP(シフト組み!AR144,役職一覧!$B:$D,2,FALSE),"")</f>
        <v/>
      </c>
      <c r="AS114" s="17" t="str">
        <f>IFERROR(VLOOKUP(シフト組み!AS144,役職一覧!$B:$D,2,FALSE),"")</f>
        <v/>
      </c>
      <c r="AT114" s="17" t="str">
        <f>IFERROR(VLOOKUP(シフト組み!AT144,役職一覧!$B:$D,2,FALSE),"")</f>
        <v/>
      </c>
      <c r="AU114" s="17" t="str">
        <f>IFERROR(VLOOKUP(シフト組み!AU144,役職一覧!$B:$D,2,FALSE),"")</f>
        <v/>
      </c>
      <c r="AV114" s="17" t="str">
        <f>IFERROR(VLOOKUP(シフト組み!AV144,役職一覧!$B:$D,2,FALSE),"")</f>
        <v/>
      </c>
      <c r="AW114" s="17" t="str">
        <f>IFERROR(VLOOKUP(シフト組み!AW144,役職一覧!$B:$D,2,FALSE),"")</f>
        <v/>
      </c>
      <c r="AX114" s="17" t="str">
        <f>IFERROR(VLOOKUP(シフト組み!AX144,役職一覧!$B:$D,2,FALSE),"")</f>
        <v/>
      </c>
      <c r="AY114" s="17" t="str">
        <f>IFERROR(VLOOKUP(シフト組み!AY144,役職一覧!$B:$D,2,FALSE),"")</f>
        <v/>
      </c>
      <c r="AZ114" s="17" t="str">
        <f>IFERROR(VLOOKUP(シフト組み!AZ144,役職一覧!$B:$D,2,FALSE),"")</f>
        <v/>
      </c>
      <c r="BA114" s="17" t="str">
        <f>IFERROR(VLOOKUP(シフト組み!BA144,役職一覧!$B:$D,2,FALSE),"")</f>
        <v/>
      </c>
    </row>
    <row r="115" spans="1:53">
      <c r="A115" s="2" t="str">
        <f>シフト組み!A145&amp;""</f>
        <v/>
      </c>
      <c r="B115" s="2" t="str">
        <f>シフト組み!B145&amp;""</f>
        <v/>
      </c>
      <c r="C115" s="2" t="str">
        <f>シフト組み!C145&amp;""</f>
        <v/>
      </c>
      <c r="D115" s="17" t="str">
        <f>IFERROR(VLOOKUP(シフト組み!D145,役職一覧!$B:$D,2,FALSE),"")</f>
        <v/>
      </c>
      <c r="E115" s="17" t="str">
        <f>IFERROR(VLOOKUP(シフト組み!E145,役職一覧!$B:$D,2,FALSE),"")</f>
        <v/>
      </c>
      <c r="F115" s="17" t="str">
        <f>IFERROR(VLOOKUP(シフト組み!F145,役職一覧!$B:$D,2,FALSE),"")</f>
        <v/>
      </c>
      <c r="G115" s="17" t="str">
        <f>IFERROR(VLOOKUP(シフト組み!G145,役職一覧!$B:$D,2,FALSE),"")</f>
        <v/>
      </c>
      <c r="H115" s="17" t="str">
        <f>IFERROR(VLOOKUP(シフト組み!H145,役職一覧!$B:$D,2,FALSE),"")</f>
        <v/>
      </c>
      <c r="I115" s="17" t="str">
        <f>IFERROR(VLOOKUP(シフト組み!I145,役職一覧!$B:$D,2,FALSE),"")</f>
        <v/>
      </c>
      <c r="J115" s="17" t="str">
        <f>IFERROR(VLOOKUP(シフト組み!J145,役職一覧!$B:$D,2,FALSE),"")</f>
        <v/>
      </c>
      <c r="K115" s="17" t="str">
        <f>IFERROR(VLOOKUP(シフト組み!K145,役職一覧!$B:$D,2,FALSE),"")</f>
        <v/>
      </c>
      <c r="L115" s="17" t="str">
        <f>IFERROR(VLOOKUP(シフト組み!L145,役職一覧!$B:$D,2,FALSE),"")</f>
        <v/>
      </c>
      <c r="M115" s="17" t="str">
        <f>IFERROR(VLOOKUP(シフト組み!M145,役職一覧!$B:$D,2,FALSE),"")</f>
        <v/>
      </c>
      <c r="N115" s="17" t="str">
        <f>IFERROR(VLOOKUP(シフト組み!N145,役職一覧!$B:$D,2,FALSE),"")</f>
        <v/>
      </c>
      <c r="O115" s="17" t="str">
        <f>IFERROR(VLOOKUP(シフト組み!O145,役職一覧!$B:$D,2,FALSE),"")</f>
        <v/>
      </c>
      <c r="P115" s="17" t="str">
        <f>IFERROR(VLOOKUP(シフト組み!P145,役職一覧!$B:$D,2,FALSE),"")</f>
        <v/>
      </c>
      <c r="Q115" s="17" t="str">
        <f>IFERROR(VLOOKUP(シフト組み!Q145,役職一覧!$B:$D,2,FALSE),"")</f>
        <v/>
      </c>
      <c r="R115" s="17" t="str">
        <f>IFERROR(VLOOKUP(シフト組み!R145,役職一覧!$B:$D,2,FALSE),"")</f>
        <v/>
      </c>
      <c r="S115" s="17" t="str">
        <f>IFERROR(VLOOKUP(シフト組み!S145,役職一覧!$B:$D,2,FALSE),"")</f>
        <v/>
      </c>
      <c r="T115" s="17" t="str">
        <f>IFERROR(VLOOKUP(シフト組み!T145,役職一覧!$B:$D,2,FALSE),"")</f>
        <v/>
      </c>
      <c r="U115" s="17" t="str">
        <f>IFERROR(VLOOKUP(シフト組み!U145,役職一覧!$B:$D,2,FALSE),"")</f>
        <v/>
      </c>
      <c r="V115" s="17" t="str">
        <f>IFERROR(VLOOKUP(シフト組み!V145,役職一覧!$B:$D,2,FALSE),"")</f>
        <v/>
      </c>
      <c r="W115" s="17" t="str">
        <f>IFERROR(VLOOKUP(シフト組み!W145,役職一覧!$B:$D,2,FALSE),"")</f>
        <v/>
      </c>
      <c r="X115" s="17" t="str">
        <f>IFERROR(VLOOKUP(シフト組み!X145,役職一覧!$B:$D,2,FALSE),"")</f>
        <v/>
      </c>
      <c r="Y115" s="17" t="str">
        <f>IFERROR(VLOOKUP(シフト組み!Y145,役職一覧!$B:$D,2,FALSE),"")</f>
        <v/>
      </c>
      <c r="Z115" s="17" t="str">
        <f>IFERROR(VLOOKUP(シフト組み!Z145,役職一覧!$B:$D,2,FALSE),"")</f>
        <v/>
      </c>
      <c r="AA115" s="17" t="str">
        <f>IFERROR(VLOOKUP(シフト組み!AA145,役職一覧!$B:$D,2,FALSE),"")</f>
        <v/>
      </c>
      <c r="AB115" s="17" t="str">
        <f>IFERROR(VLOOKUP(シフト組み!AB145,役職一覧!$B:$D,2,FALSE),"")</f>
        <v/>
      </c>
      <c r="AC115" s="17" t="str">
        <f>IFERROR(VLOOKUP(シフト組み!AC145,役職一覧!$B:$D,2,FALSE),"")</f>
        <v/>
      </c>
      <c r="AD115" s="17" t="str">
        <f>IFERROR(VLOOKUP(シフト組み!AD145,役職一覧!$B:$D,2,FALSE),"")</f>
        <v/>
      </c>
      <c r="AE115" s="17" t="str">
        <f>IFERROR(VLOOKUP(シフト組み!AE145,役職一覧!$B:$D,2,FALSE),"")</f>
        <v/>
      </c>
      <c r="AF115" s="17" t="str">
        <f>IFERROR(VLOOKUP(シフト組み!AF145,役職一覧!$B:$D,2,FALSE),"")</f>
        <v/>
      </c>
      <c r="AG115" s="17" t="str">
        <f>IFERROR(VLOOKUP(シフト組み!AG145,役職一覧!$B:$D,2,FALSE),"")</f>
        <v/>
      </c>
      <c r="AH115" s="17" t="str">
        <f>IFERROR(VLOOKUP(シフト組み!AH145,役職一覧!$B:$D,2,FALSE),"")</f>
        <v/>
      </c>
      <c r="AI115" s="17" t="str">
        <f>IFERROR(VLOOKUP(シフト組み!AI145,役職一覧!$B:$D,2,FALSE),"")</f>
        <v/>
      </c>
      <c r="AJ115" s="17" t="str">
        <f>IFERROR(VLOOKUP(シフト組み!AJ145,役職一覧!$B:$D,2,FALSE),"")</f>
        <v/>
      </c>
      <c r="AK115" s="17" t="str">
        <f>IFERROR(VLOOKUP(シフト組み!AK145,役職一覧!$B:$D,2,FALSE),"")</f>
        <v/>
      </c>
      <c r="AL115" s="17" t="str">
        <f>IFERROR(VLOOKUP(シフト組み!AL145,役職一覧!$B:$D,2,FALSE),"")</f>
        <v/>
      </c>
      <c r="AM115" s="17" t="str">
        <f>IFERROR(VLOOKUP(シフト組み!AM145,役職一覧!$B:$D,2,FALSE),"")</f>
        <v/>
      </c>
      <c r="AN115" s="17" t="str">
        <f>IFERROR(VLOOKUP(シフト組み!AN145,役職一覧!$B:$D,2,FALSE),"")</f>
        <v/>
      </c>
      <c r="AO115" s="17" t="str">
        <f>IFERROR(VLOOKUP(シフト組み!AO145,役職一覧!$B:$D,2,FALSE),"")</f>
        <v/>
      </c>
      <c r="AP115" s="17" t="str">
        <f>IFERROR(VLOOKUP(シフト組み!AP145,役職一覧!$B:$D,2,FALSE),"")</f>
        <v/>
      </c>
      <c r="AQ115" s="17" t="str">
        <f>IFERROR(VLOOKUP(シフト組み!AQ145,役職一覧!$B:$D,2,FALSE),"")</f>
        <v/>
      </c>
      <c r="AR115" s="17" t="str">
        <f>IFERROR(VLOOKUP(シフト組み!AR145,役職一覧!$B:$D,2,FALSE),"")</f>
        <v/>
      </c>
      <c r="AS115" s="17" t="str">
        <f>IFERROR(VLOOKUP(シフト組み!AS145,役職一覧!$B:$D,2,FALSE),"")</f>
        <v/>
      </c>
      <c r="AT115" s="17" t="str">
        <f>IFERROR(VLOOKUP(シフト組み!AT145,役職一覧!$B:$D,2,FALSE),"")</f>
        <v/>
      </c>
      <c r="AU115" s="17" t="str">
        <f>IFERROR(VLOOKUP(シフト組み!AU145,役職一覧!$B:$D,2,FALSE),"")</f>
        <v/>
      </c>
      <c r="AV115" s="17" t="str">
        <f>IFERROR(VLOOKUP(シフト組み!AV145,役職一覧!$B:$D,2,FALSE),"")</f>
        <v/>
      </c>
      <c r="AW115" s="17" t="str">
        <f>IFERROR(VLOOKUP(シフト組み!AW145,役職一覧!$B:$D,2,FALSE),"")</f>
        <v/>
      </c>
      <c r="AX115" s="17" t="str">
        <f>IFERROR(VLOOKUP(シフト組み!AX145,役職一覧!$B:$D,2,FALSE),"")</f>
        <v/>
      </c>
      <c r="AY115" s="17" t="str">
        <f>IFERROR(VLOOKUP(シフト組み!AY145,役職一覧!$B:$D,2,FALSE),"")</f>
        <v/>
      </c>
      <c r="AZ115" s="17" t="str">
        <f>IFERROR(VLOOKUP(シフト組み!AZ145,役職一覧!$B:$D,2,FALSE),"")</f>
        <v/>
      </c>
      <c r="BA115" s="17" t="str">
        <f>IFERROR(VLOOKUP(シフト組み!BA145,役職一覧!$B:$D,2,FALSE),"")</f>
        <v/>
      </c>
    </row>
    <row r="116" spans="1:53">
      <c r="A116" s="2" t="str">
        <f>シフト組み!A146&amp;""</f>
        <v/>
      </c>
      <c r="B116" s="2" t="str">
        <f>シフト組み!B146&amp;""</f>
        <v/>
      </c>
      <c r="C116" s="2" t="str">
        <f>シフト組み!C146&amp;""</f>
        <v/>
      </c>
      <c r="D116" s="17" t="str">
        <f>IFERROR(VLOOKUP(シフト組み!D146,役職一覧!$B:$D,2,FALSE),"")</f>
        <v/>
      </c>
      <c r="E116" s="17" t="str">
        <f>IFERROR(VLOOKUP(シフト組み!E146,役職一覧!$B:$D,2,FALSE),"")</f>
        <v/>
      </c>
      <c r="F116" s="17" t="str">
        <f>IFERROR(VLOOKUP(シフト組み!F146,役職一覧!$B:$D,2,FALSE),"")</f>
        <v/>
      </c>
      <c r="G116" s="17" t="str">
        <f>IFERROR(VLOOKUP(シフト組み!G146,役職一覧!$B:$D,2,FALSE),"")</f>
        <v/>
      </c>
      <c r="H116" s="17" t="str">
        <f>IFERROR(VLOOKUP(シフト組み!H146,役職一覧!$B:$D,2,FALSE),"")</f>
        <v/>
      </c>
      <c r="I116" s="17" t="str">
        <f>IFERROR(VLOOKUP(シフト組み!I146,役職一覧!$B:$D,2,FALSE),"")</f>
        <v/>
      </c>
      <c r="J116" s="17" t="str">
        <f>IFERROR(VLOOKUP(シフト組み!J146,役職一覧!$B:$D,2,FALSE),"")</f>
        <v/>
      </c>
      <c r="K116" s="17" t="str">
        <f>IFERROR(VLOOKUP(シフト組み!K146,役職一覧!$B:$D,2,FALSE),"")</f>
        <v/>
      </c>
      <c r="L116" s="17" t="str">
        <f>IFERROR(VLOOKUP(シフト組み!L146,役職一覧!$B:$D,2,FALSE),"")</f>
        <v/>
      </c>
      <c r="M116" s="17" t="str">
        <f>IFERROR(VLOOKUP(シフト組み!M146,役職一覧!$B:$D,2,FALSE),"")</f>
        <v/>
      </c>
      <c r="N116" s="17" t="str">
        <f>IFERROR(VLOOKUP(シフト組み!N146,役職一覧!$B:$D,2,FALSE),"")</f>
        <v/>
      </c>
      <c r="O116" s="17" t="str">
        <f>IFERROR(VLOOKUP(シフト組み!O146,役職一覧!$B:$D,2,FALSE),"")</f>
        <v/>
      </c>
      <c r="P116" s="17" t="str">
        <f>IFERROR(VLOOKUP(シフト組み!P146,役職一覧!$B:$D,2,FALSE),"")</f>
        <v/>
      </c>
      <c r="Q116" s="17" t="str">
        <f>IFERROR(VLOOKUP(シフト組み!Q146,役職一覧!$B:$D,2,FALSE),"")</f>
        <v/>
      </c>
      <c r="R116" s="17" t="str">
        <f>IFERROR(VLOOKUP(シフト組み!R146,役職一覧!$B:$D,2,FALSE),"")</f>
        <v/>
      </c>
      <c r="S116" s="17" t="str">
        <f>IFERROR(VLOOKUP(シフト組み!S146,役職一覧!$B:$D,2,FALSE),"")</f>
        <v/>
      </c>
      <c r="T116" s="17" t="str">
        <f>IFERROR(VLOOKUP(シフト組み!T146,役職一覧!$B:$D,2,FALSE),"")</f>
        <v/>
      </c>
      <c r="U116" s="17" t="str">
        <f>IFERROR(VLOOKUP(シフト組み!U146,役職一覧!$B:$D,2,FALSE),"")</f>
        <v/>
      </c>
      <c r="V116" s="17" t="str">
        <f>IFERROR(VLOOKUP(シフト組み!V146,役職一覧!$B:$D,2,FALSE),"")</f>
        <v/>
      </c>
      <c r="W116" s="17" t="str">
        <f>IFERROR(VLOOKUP(シフト組み!W146,役職一覧!$B:$D,2,FALSE),"")</f>
        <v/>
      </c>
      <c r="X116" s="17" t="str">
        <f>IFERROR(VLOOKUP(シフト組み!X146,役職一覧!$B:$D,2,FALSE),"")</f>
        <v/>
      </c>
      <c r="Y116" s="17" t="str">
        <f>IFERROR(VLOOKUP(シフト組み!Y146,役職一覧!$B:$D,2,FALSE),"")</f>
        <v/>
      </c>
      <c r="Z116" s="17" t="str">
        <f>IFERROR(VLOOKUP(シフト組み!Z146,役職一覧!$B:$D,2,FALSE),"")</f>
        <v/>
      </c>
      <c r="AA116" s="17" t="str">
        <f>IFERROR(VLOOKUP(シフト組み!AA146,役職一覧!$B:$D,2,FALSE),"")</f>
        <v/>
      </c>
      <c r="AB116" s="17" t="str">
        <f>IFERROR(VLOOKUP(シフト組み!AB146,役職一覧!$B:$D,2,FALSE),"")</f>
        <v/>
      </c>
      <c r="AC116" s="17" t="str">
        <f>IFERROR(VLOOKUP(シフト組み!AC146,役職一覧!$B:$D,2,FALSE),"")</f>
        <v/>
      </c>
      <c r="AD116" s="17" t="str">
        <f>IFERROR(VLOOKUP(シフト組み!AD146,役職一覧!$B:$D,2,FALSE),"")</f>
        <v/>
      </c>
      <c r="AE116" s="17" t="str">
        <f>IFERROR(VLOOKUP(シフト組み!AE146,役職一覧!$B:$D,2,FALSE),"")</f>
        <v/>
      </c>
      <c r="AF116" s="17" t="str">
        <f>IFERROR(VLOOKUP(シフト組み!AF146,役職一覧!$B:$D,2,FALSE),"")</f>
        <v/>
      </c>
      <c r="AG116" s="17" t="str">
        <f>IFERROR(VLOOKUP(シフト組み!AG146,役職一覧!$B:$D,2,FALSE),"")</f>
        <v/>
      </c>
      <c r="AH116" s="17" t="str">
        <f>IFERROR(VLOOKUP(シフト組み!AH146,役職一覧!$B:$D,2,FALSE),"")</f>
        <v/>
      </c>
      <c r="AI116" s="17" t="str">
        <f>IFERROR(VLOOKUP(シフト組み!AI146,役職一覧!$B:$D,2,FALSE),"")</f>
        <v/>
      </c>
      <c r="AJ116" s="17" t="str">
        <f>IFERROR(VLOOKUP(シフト組み!AJ146,役職一覧!$B:$D,2,FALSE),"")</f>
        <v/>
      </c>
      <c r="AK116" s="17" t="str">
        <f>IFERROR(VLOOKUP(シフト組み!AK146,役職一覧!$B:$D,2,FALSE),"")</f>
        <v/>
      </c>
      <c r="AL116" s="17" t="str">
        <f>IFERROR(VLOOKUP(シフト組み!AL146,役職一覧!$B:$D,2,FALSE),"")</f>
        <v/>
      </c>
      <c r="AM116" s="17" t="str">
        <f>IFERROR(VLOOKUP(シフト組み!AM146,役職一覧!$B:$D,2,FALSE),"")</f>
        <v/>
      </c>
      <c r="AN116" s="17" t="str">
        <f>IFERROR(VLOOKUP(シフト組み!AN146,役職一覧!$B:$D,2,FALSE),"")</f>
        <v/>
      </c>
      <c r="AO116" s="17" t="str">
        <f>IFERROR(VLOOKUP(シフト組み!AO146,役職一覧!$B:$D,2,FALSE),"")</f>
        <v/>
      </c>
      <c r="AP116" s="17" t="str">
        <f>IFERROR(VLOOKUP(シフト組み!AP146,役職一覧!$B:$D,2,FALSE),"")</f>
        <v/>
      </c>
      <c r="AQ116" s="17" t="str">
        <f>IFERROR(VLOOKUP(シフト組み!AQ146,役職一覧!$B:$D,2,FALSE),"")</f>
        <v/>
      </c>
      <c r="AR116" s="17" t="str">
        <f>IFERROR(VLOOKUP(シフト組み!AR146,役職一覧!$B:$D,2,FALSE),"")</f>
        <v/>
      </c>
      <c r="AS116" s="17" t="str">
        <f>IFERROR(VLOOKUP(シフト組み!AS146,役職一覧!$B:$D,2,FALSE),"")</f>
        <v/>
      </c>
      <c r="AT116" s="17" t="str">
        <f>IFERROR(VLOOKUP(シフト組み!AT146,役職一覧!$B:$D,2,FALSE),"")</f>
        <v/>
      </c>
      <c r="AU116" s="17" t="str">
        <f>IFERROR(VLOOKUP(シフト組み!AU146,役職一覧!$B:$D,2,FALSE),"")</f>
        <v/>
      </c>
      <c r="AV116" s="17" t="str">
        <f>IFERROR(VLOOKUP(シフト組み!AV146,役職一覧!$B:$D,2,FALSE),"")</f>
        <v/>
      </c>
      <c r="AW116" s="17" t="str">
        <f>IFERROR(VLOOKUP(シフト組み!AW146,役職一覧!$B:$D,2,FALSE),"")</f>
        <v/>
      </c>
      <c r="AX116" s="17" t="str">
        <f>IFERROR(VLOOKUP(シフト組み!AX146,役職一覧!$B:$D,2,FALSE),"")</f>
        <v/>
      </c>
      <c r="AY116" s="17" t="str">
        <f>IFERROR(VLOOKUP(シフト組み!AY146,役職一覧!$B:$D,2,FALSE),"")</f>
        <v/>
      </c>
      <c r="AZ116" s="17" t="str">
        <f>IFERROR(VLOOKUP(シフト組み!AZ146,役職一覧!$B:$D,2,FALSE),"")</f>
        <v/>
      </c>
      <c r="BA116" s="17" t="str">
        <f>IFERROR(VLOOKUP(シフト組み!BA146,役職一覧!$B:$D,2,FALSE),"")</f>
        <v/>
      </c>
    </row>
    <row r="117" spans="1:53">
      <c r="A117" s="2" t="str">
        <f>シフト組み!A147&amp;""</f>
        <v/>
      </c>
      <c r="B117" s="2" t="str">
        <f>シフト組み!B147&amp;""</f>
        <v/>
      </c>
      <c r="C117" s="2" t="str">
        <f>シフト組み!C147&amp;""</f>
        <v/>
      </c>
      <c r="D117" s="17" t="str">
        <f>IFERROR(VLOOKUP(シフト組み!D147,役職一覧!$B:$D,2,FALSE),"")</f>
        <v/>
      </c>
      <c r="E117" s="17" t="str">
        <f>IFERROR(VLOOKUP(シフト組み!E147,役職一覧!$B:$D,2,FALSE),"")</f>
        <v/>
      </c>
      <c r="F117" s="17" t="str">
        <f>IFERROR(VLOOKUP(シフト組み!F147,役職一覧!$B:$D,2,FALSE),"")</f>
        <v/>
      </c>
      <c r="G117" s="17" t="str">
        <f>IFERROR(VLOOKUP(シフト組み!G147,役職一覧!$B:$D,2,FALSE),"")</f>
        <v/>
      </c>
      <c r="H117" s="17" t="str">
        <f>IFERROR(VLOOKUP(シフト組み!H147,役職一覧!$B:$D,2,FALSE),"")</f>
        <v/>
      </c>
      <c r="I117" s="17" t="str">
        <f>IFERROR(VLOOKUP(シフト組み!I147,役職一覧!$B:$D,2,FALSE),"")</f>
        <v/>
      </c>
      <c r="J117" s="17" t="str">
        <f>IFERROR(VLOOKUP(シフト組み!J147,役職一覧!$B:$D,2,FALSE),"")</f>
        <v/>
      </c>
      <c r="K117" s="17" t="str">
        <f>IFERROR(VLOOKUP(シフト組み!K147,役職一覧!$B:$D,2,FALSE),"")</f>
        <v/>
      </c>
      <c r="L117" s="17" t="str">
        <f>IFERROR(VLOOKUP(シフト組み!L147,役職一覧!$B:$D,2,FALSE),"")</f>
        <v/>
      </c>
      <c r="M117" s="17" t="str">
        <f>IFERROR(VLOOKUP(シフト組み!M147,役職一覧!$B:$D,2,FALSE),"")</f>
        <v/>
      </c>
      <c r="N117" s="17" t="str">
        <f>IFERROR(VLOOKUP(シフト組み!N147,役職一覧!$B:$D,2,FALSE),"")</f>
        <v/>
      </c>
      <c r="O117" s="17" t="str">
        <f>IFERROR(VLOOKUP(シフト組み!O147,役職一覧!$B:$D,2,FALSE),"")</f>
        <v/>
      </c>
      <c r="P117" s="17" t="str">
        <f>IFERROR(VLOOKUP(シフト組み!P147,役職一覧!$B:$D,2,FALSE),"")</f>
        <v/>
      </c>
      <c r="Q117" s="17" t="str">
        <f>IFERROR(VLOOKUP(シフト組み!Q147,役職一覧!$B:$D,2,FALSE),"")</f>
        <v/>
      </c>
      <c r="R117" s="17" t="str">
        <f>IFERROR(VLOOKUP(シフト組み!R147,役職一覧!$B:$D,2,FALSE),"")</f>
        <v/>
      </c>
      <c r="S117" s="17" t="str">
        <f>IFERROR(VLOOKUP(シフト組み!S147,役職一覧!$B:$D,2,FALSE),"")</f>
        <v/>
      </c>
      <c r="T117" s="17" t="str">
        <f>IFERROR(VLOOKUP(シフト組み!T147,役職一覧!$B:$D,2,FALSE),"")</f>
        <v/>
      </c>
      <c r="U117" s="17" t="str">
        <f>IFERROR(VLOOKUP(シフト組み!U147,役職一覧!$B:$D,2,FALSE),"")</f>
        <v/>
      </c>
      <c r="V117" s="17" t="str">
        <f>IFERROR(VLOOKUP(シフト組み!V147,役職一覧!$B:$D,2,FALSE),"")</f>
        <v/>
      </c>
      <c r="W117" s="17" t="str">
        <f>IFERROR(VLOOKUP(シフト組み!W147,役職一覧!$B:$D,2,FALSE),"")</f>
        <v/>
      </c>
      <c r="X117" s="17" t="str">
        <f>IFERROR(VLOOKUP(シフト組み!X147,役職一覧!$B:$D,2,FALSE),"")</f>
        <v/>
      </c>
      <c r="Y117" s="17" t="str">
        <f>IFERROR(VLOOKUP(シフト組み!Y147,役職一覧!$B:$D,2,FALSE),"")</f>
        <v/>
      </c>
      <c r="Z117" s="17" t="str">
        <f>IFERROR(VLOOKUP(シフト組み!Z147,役職一覧!$B:$D,2,FALSE),"")</f>
        <v/>
      </c>
      <c r="AA117" s="17" t="str">
        <f>IFERROR(VLOOKUP(シフト組み!AA147,役職一覧!$B:$D,2,FALSE),"")</f>
        <v/>
      </c>
      <c r="AB117" s="17" t="str">
        <f>IFERROR(VLOOKUP(シフト組み!AB147,役職一覧!$B:$D,2,FALSE),"")</f>
        <v/>
      </c>
      <c r="AC117" s="17" t="str">
        <f>IFERROR(VLOOKUP(シフト組み!AC147,役職一覧!$B:$D,2,FALSE),"")</f>
        <v/>
      </c>
      <c r="AD117" s="17" t="str">
        <f>IFERROR(VLOOKUP(シフト組み!AD147,役職一覧!$B:$D,2,FALSE),"")</f>
        <v/>
      </c>
      <c r="AE117" s="17" t="str">
        <f>IFERROR(VLOOKUP(シフト組み!AE147,役職一覧!$B:$D,2,FALSE),"")</f>
        <v/>
      </c>
      <c r="AF117" s="17" t="str">
        <f>IFERROR(VLOOKUP(シフト組み!AF147,役職一覧!$B:$D,2,FALSE),"")</f>
        <v/>
      </c>
      <c r="AG117" s="17" t="str">
        <f>IFERROR(VLOOKUP(シフト組み!AG147,役職一覧!$B:$D,2,FALSE),"")</f>
        <v/>
      </c>
      <c r="AH117" s="17" t="str">
        <f>IFERROR(VLOOKUP(シフト組み!AH147,役職一覧!$B:$D,2,FALSE),"")</f>
        <v/>
      </c>
      <c r="AI117" s="17" t="str">
        <f>IFERROR(VLOOKUP(シフト組み!AI147,役職一覧!$B:$D,2,FALSE),"")</f>
        <v/>
      </c>
      <c r="AJ117" s="17" t="str">
        <f>IFERROR(VLOOKUP(シフト組み!AJ147,役職一覧!$B:$D,2,FALSE),"")</f>
        <v/>
      </c>
      <c r="AK117" s="17" t="str">
        <f>IFERROR(VLOOKUP(シフト組み!AK147,役職一覧!$B:$D,2,FALSE),"")</f>
        <v/>
      </c>
      <c r="AL117" s="17" t="str">
        <f>IFERROR(VLOOKUP(シフト組み!AL147,役職一覧!$B:$D,2,FALSE),"")</f>
        <v/>
      </c>
      <c r="AM117" s="17" t="str">
        <f>IFERROR(VLOOKUP(シフト組み!AM147,役職一覧!$B:$D,2,FALSE),"")</f>
        <v/>
      </c>
      <c r="AN117" s="17" t="str">
        <f>IFERROR(VLOOKUP(シフト組み!AN147,役職一覧!$B:$D,2,FALSE),"")</f>
        <v/>
      </c>
      <c r="AO117" s="17" t="str">
        <f>IFERROR(VLOOKUP(シフト組み!AO147,役職一覧!$B:$D,2,FALSE),"")</f>
        <v/>
      </c>
      <c r="AP117" s="17" t="str">
        <f>IFERROR(VLOOKUP(シフト組み!AP147,役職一覧!$B:$D,2,FALSE),"")</f>
        <v/>
      </c>
      <c r="AQ117" s="17" t="str">
        <f>IFERROR(VLOOKUP(シフト組み!AQ147,役職一覧!$B:$D,2,FALSE),"")</f>
        <v/>
      </c>
      <c r="AR117" s="17" t="str">
        <f>IFERROR(VLOOKUP(シフト組み!AR147,役職一覧!$B:$D,2,FALSE),"")</f>
        <v/>
      </c>
      <c r="AS117" s="17" t="str">
        <f>IFERROR(VLOOKUP(シフト組み!AS147,役職一覧!$B:$D,2,FALSE),"")</f>
        <v/>
      </c>
      <c r="AT117" s="17" t="str">
        <f>IFERROR(VLOOKUP(シフト組み!AT147,役職一覧!$B:$D,2,FALSE),"")</f>
        <v/>
      </c>
      <c r="AU117" s="17" t="str">
        <f>IFERROR(VLOOKUP(シフト組み!AU147,役職一覧!$B:$D,2,FALSE),"")</f>
        <v/>
      </c>
      <c r="AV117" s="17" t="str">
        <f>IFERROR(VLOOKUP(シフト組み!AV147,役職一覧!$B:$D,2,FALSE),"")</f>
        <v/>
      </c>
      <c r="AW117" s="17" t="str">
        <f>IFERROR(VLOOKUP(シフト組み!AW147,役職一覧!$B:$D,2,FALSE),"")</f>
        <v/>
      </c>
      <c r="AX117" s="17" t="str">
        <f>IFERROR(VLOOKUP(シフト組み!AX147,役職一覧!$B:$D,2,FALSE),"")</f>
        <v/>
      </c>
      <c r="AY117" s="17" t="str">
        <f>IFERROR(VLOOKUP(シフト組み!AY147,役職一覧!$B:$D,2,FALSE),"")</f>
        <v/>
      </c>
      <c r="AZ117" s="17" t="str">
        <f>IFERROR(VLOOKUP(シフト組み!AZ147,役職一覧!$B:$D,2,FALSE),"")</f>
        <v/>
      </c>
      <c r="BA117" s="17" t="str">
        <f>IFERROR(VLOOKUP(シフト組み!BA147,役職一覧!$B:$D,2,FALSE),"")</f>
        <v/>
      </c>
    </row>
    <row r="118" spans="1:53">
      <c r="A118" s="2" t="str">
        <f>シフト組み!A148&amp;""</f>
        <v/>
      </c>
      <c r="B118" s="2" t="str">
        <f>シフト組み!B148&amp;""</f>
        <v/>
      </c>
      <c r="C118" s="2" t="str">
        <f>シフト組み!C148&amp;""</f>
        <v/>
      </c>
      <c r="D118" s="17" t="str">
        <f>IFERROR(VLOOKUP(シフト組み!D148,役職一覧!$B:$D,2,FALSE),"")</f>
        <v/>
      </c>
      <c r="E118" s="17" t="str">
        <f>IFERROR(VLOOKUP(シフト組み!E148,役職一覧!$B:$D,2,FALSE),"")</f>
        <v/>
      </c>
      <c r="F118" s="17" t="str">
        <f>IFERROR(VLOOKUP(シフト組み!F148,役職一覧!$B:$D,2,FALSE),"")</f>
        <v/>
      </c>
      <c r="G118" s="17" t="str">
        <f>IFERROR(VLOOKUP(シフト組み!G148,役職一覧!$B:$D,2,FALSE),"")</f>
        <v/>
      </c>
      <c r="H118" s="17" t="str">
        <f>IFERROR(VLOOKUP(シフト組み!H148,役職一覧!$B:$D,2,FALSE),"")</f>
        <v/>
      </c>
      <c r="I118" s="17" t="str">
        <f>IFERROR(VLOOKUP(シフト組み!I148,役職一覧!$B:$D,2,FALSE),"")</f>
        <v/>
      </c>
      <c r="J118" s="17" t="str">
        <f>IFERROR(VLOOKUP(シフト組み!J148,役職一覧!$B:$D,2,FALSE),"")</f>
        <v/>
      </c>
      <c r="K118" s="17" t="str">
        <f>IFERROR(VLOOKUP(シフト組み!K148,役職一覧!$B:$D,2,FALSE),"")</f>
        <v/>
      </c>
      <c r="L118" s="17" t="str">
        <f>IFERROR(VLOOKUP(シフト組み!L148,役職一覧!$B:$D,2,FALSE),"")</f>
        <v/>
      </c>
      <c r="M118" s="17" t="str">
        <f>IFERROR(VLOOKUP(シフト組み!M148,役職一覧!$B:$D,2,FALSE),"")</f>
        <v/>
      </c>
      <c r="N118" s="17" t="str">
        <f>IFERROR(VLOOKUP(シフト組み!N148,役職一覧!$B:$D,2,FALSE),"")</f>
        <v/>
      </c>
      <c r="O118" s="17" t="str">
        <f>IFERROR(VLOOKUP(シフト組み!O148,役職一覧!$B:$D,2,FALSE),"")</f>
        <v/>
      </c>
      <c r="P118" s="17" t="str">
        <f>IFERROR(VLOOKUP(シフト組み!P148,役職一覧!$B:$D,2,FALSE),"")</f>
        <v/>
      </c>
      <c r="Q118" s="17" t="str">
        <f>IFERROR(VLOOKUP(シフト組み!Q148,役職一覧!$B:$D,2,FALSE),"")</f>
        <v/>
      </c>
      <c r="R118" s="17" t="str">
        <f>IFERROR(VLOOKUP(シフト組み!R148,役職一覧!$B:$D,2,FALSE),"")</f>
        <v/>
      </c>
      <c r="S118" s="17" t="str">
        <f>IFERROR(VLOOKUP(シフト組み!S148,役職一覧!$B:$D,2,FALSE),"")</f>
        <v/>
      </c>
      <c r="T118" s="17" t="str">
        <f>IFERROR(VLOOKUP(シフト組み!T148,役職一覧!$B:$D,2,FALSE),"")</f>
        <v/>
      </c>
      <c r="U118" s="17" t="str">
        <f>IFERROR(VLOOKUP(シフト組み!U148,役職一覧!$B:$D,2,FALSE),"")</f>
        <v/>
      </c>
      <c r="V118" s="17" t="str">
        <f>IFERROR(VLOOKUP(シフト組み!V148,役職一覧!$B:$D,2,FALSE),"")</f>
        <v/>
      </c>
      <c r="W118" s="17" t="str">
        <f>IFERROR(VLOOKUP(シフト組み!W148,役職一覧!$B:$D,2,FALSE),"")</f>
        <v/>
      </c>
      <c r="X118" s="17" t="str">
        <f>IFERROR(VLOOKUP(シフト組み!X148,役職一覧!$B:$D,2,FALSE),"")</f>
        <v/>
      </c>
      <c r="Y118" s="17" t="str">
        <f>IFERROR(VLOOKUP(シフト組み!Y148,役職一覧!$B:$D,2,FALSE),"")</f>
        <v/>
      </c>
      <c r="Z118" s="17" t="str">
        <f>IFERROR(VLOOKUP(シフト組み!Z148,役職一覧!$B:$D,2,FALSE),"")</f>
        <v/>
      </c>
      <c r="AA118" s="17" t="str">
        <f>IFERROR(VLOOKUP(シフト組み!AA148,役職一覧!$B:$D,2,FALSE),"")</f>
        <v/>
      </c>
      <c r="AB118" s="17" t="str">
        <f>IFERROR(VLOOKUP(シフト組み!AB148,役職一覧!$B:$D,2,FALSE),"")</f>
        <v/>
      </c>
      <c r="AC118" s="17" t="str">
        <f>IFERROR(VLOOKUP(シフト組み!AC148,役職一覧!$B:$D,2,FALSE),"")</f>
        <v/>
      </c>
      <c r="AD118" s="17" t="str">
        <f>IFERROR(VLOOKUP(シフト組み!AD148,役職一覧!$B:$D,2,FALSE),"")</f>
        <v/>
      </c>
      <c r="AE118" s="17" t="str">
        <f>IFERROR(VLOOKUP(シフト組み!AE148,役職一覧!$B:$D,2,FALSE),"")</f>
        <v/>
      </c>
      <c r="AF118" s="17" t="str">
        <f>IFERROR(VLOOKUP(シフト組み!AF148,役職一覧!$B:$D,2,FALSE),"")</f>
        <v/>
      </c>
      <c r="AG118" s="17" t="str">
        <f>IFERROR(VLOOKUP(シフト組み!AG148,役職一覧!$B:$D,2,FALSE),"")</f>
        <v/>
      </c>
      <c r="AH118" s="17" t="str">
        <f>IFERROR(VLOOKUP(シフト組み!AH148,役職一覧!$B:$D,2,FALSE),"")</f>
        <v/>
      </c>
      <c r="AI118" s="17" t="str">
        <f>IFERROR(VLOOKUP(シフト組み!AI148,役職一覧!$B:$D,2,FALSE),"")</f>
        <v/>
      </c>
      <c r="AJ118" s="17" t="str">
        <f>IFERROR(VLOOKUP(シフト組み!AJ148,役職一覧!$B:$D,2,FALSE),"")</f>
        <v/>
      </c>
      <c r="AK118" s="17" t="str">
        <f>IFERROR(VLOOKUP(シフト組み!AK148,役職一覧!$B:$D,2,FALSE),"")</f>
        <v/>
      </c>
      <c r="AL118" s="17" t="str">
        <f>IFERROR(VLOOKUP(シフト組み!AL148,役職一覧!$B:$D,2,FALSE),"")</f>
        <v/>
      </c>
      <c r="AM118" s="17" t="str">
        <f>IFERROR(VLOOKUP(シフト組み!AM148,役職一覧!$B:$D,2,FALSE),"")</f>
        <v/>
      </c>
      <c r="AN118" s="17" t="str">
        <f>IFERROR(VLOOKUP(シフト組み!AN148,役職一覧!$B:$D,2,FALSE),"")</f>
        <v/>
      </c>
      <c r="AO118" s="17" t="str">
        <f>IFERROR(VLOOKUP(シフト組み!AO148,役職一覧!$B:$D,2,FALSE),"")</f>
        <v/>
      </c>
      <c r="AP118" s="17" t="str">
        <f>IFERROR(VLOOKUP(シフト組み!AP148,役職一覧!$B:$D,2,FALSE),"")</f>
        <v/>
      </c>
      <c r="AQ118" s="17" t="str">
        <f>IFERROR(VLOOKUP(シフト組み!AQ148,役職一覧!$B:$D,2,FALSE),"")</f>
        <v/>
      </c>
      <c r="AR118" s="17" t="str">
        <f>IFERROR(VLOOKUP(シフト組み!AR148,役職一覧!$B:$D,2,FALSE),"")</f>
        <v/>
      </c>
      <c r="AS118" s="17" t="str">
        <f>IFERROR(VLOOKUP(シフト組み!AS148,役職一覧!$B:$D,2,FALSE),"")</f>
        <v/>
      </c>
      <c r="AT118" s="17" t="str">
        <f>IFERROR(VLOOKUP(シフト組み!AT148,役職一覧!$B:$D,2,FALSE),"")</f>
        <v/>
      </c>
      <c r="AU118" s="17" t="str">
        <f>IFERROR(VLOOKUP(シフト組み!AU148,役職一覧!$B:$D,2,FALSE),"")</f>
        <v/>
      </c>
      <c r="AV118" s="17" t="str">
        <f>IFERROR(VLOOKUP(シフト組み!AV148,役職一覧!$B:$D,2,FALSE),"")</f>
        <v/>
      </c>
      <c r="AW118" s="17" t="str">
        <f>IFERROR(VLOOKUP(シフト組み!AW148,役職一覧!$B:$D,2,FALSE),"")</f>
        <v/>
      </c>
      <c r="AX118" s="17" t="str">
        <f>IFERROR(VLOOKUP(シフト組み!AX148,役職一覧!$B:$D,2,FALSE),"")</f>
        <v/>
      </c>
      <c r="AY118" s="17" t="str">
        <f>IFERROR(VLOOKUP(シフト組み!AY148,役職一覧!$B:$D,2,FALSE),"")</f>
        <v/>
      </c>
      <c r="AZ118" s="17" t="str">
        <f>IFERROR(VLOOKUP(シフト組み!AZ148,役職一覧!$B:$D,2,FALSE),"")</f>
        <v/>
      </c>
      <c r="BA118" s="17" t="str">
        <f>IFERROR(VLOOKUP(シフト組み!BA148,役職一覧!$B:$D,2,FALSE),"")</f>
        <v/>
      </c>
    </row>
    <row r="119" spans="1:53">
      <c r="A119" s="2" t="str">
        <f>シフト組み!A149&amp;""</f>
        <v/>
      </c>
      <c r="B119" s="2" t="str">
        <f>シフト組み!B149&amp;""</f>
        <v/>
      </c>
      <c r="C119" s="2" t="str">
        <f>シフト組み!C149&amp;""</f>
        <v/>
      </c>
      <c r="D119" s="17" t="str">
        <f>IFERROR(VLOOKUP(シフト組み!D149,役職一覧!$B:$D,2,FALSE),"")</f>
        <v/>
      </c>
      <c r="E119" s="17" t="str">
        <f>IFERROR(VLOOKUP(シフト組み!E149,役職一覧!$B:$D,2,FALSE),"")</f>
        <v/>
      </c>
      <c r="F119" s="17" t="str">
        <f>IFERROR(VLOOKUP(シフト組み!F149,役職一覧!$B:$D,2,FALSE),"")</f>
        <v/>
      </c>
      <c r="G119" s="17" t="str">
        <f>IFERROR(VLOOKUP(シフト組み!G149,役職一覧!$B:$D,2,FALSE),"")</f>
        <v/>
      </c>
      <c r="H119" s="17" t="str">
        <f>IFERROR(VLOOKUP(シフト組み!H149,役職一覧!$B:$D,2,FALSE),"")</f>
        <v/>
      </c>
      <c r="I119" s="17" t="str">
        <f>IFERROR(VLOOKUP(シフト組み!I149,役職一覧!$B:$D,2,FALSE),"")</f>
        <v/>
      </c>
      <c r="J119" s="17" t="str">
        <f>IFERROR(VLOOKUP(シフト組み!J149,役職一覧!$B:$D,2,FALSE),"")</f>
        <v/>
      </c>
      <c r="K119" s="17" t="str">
        <f>IFERROR(VLOOKUP(シフト組み!K149,役職一覧!$B:$D,2,FALSE),"")</f>
        <v/>
      </c>
      <c r="L119" s="17" t="str">
        <f>IFERROR(VLOOKUP(シフト組み!L149,役職一覧!$B:$D,2,FALSE),"")</f>
        <v/>
      </c>
      <c r="M119" s="17" t="str">
        <f>IFERROR(VLOOKUP(シフト組み!M149,役職一覧!$B:$D,2,FALSE),"")</f>
        <v/>
      </c>
      <c r="N119" s="17" t="str">
        <f>IFERROR(VLOOKUP(シフト組み!N149,役職一覧!$B:$D,2,FALSE),"")</f>
        <v/>
      </c>
      <c r="O119" s="17" t="str">
        <f>IFERROR(VLOOKUP(シフト組み!O149,役職一覧!$B:$D,2,FALSE),"")</f>
        <v/>
      </c>
      <c r="P119" s="17" t="str">
        <f>IFERROR(VLOOKUP(シフト組み!P149,役職一覧!$B:$D,2,FALSE),"")</f>
        <v/>
      </c>
      <c r="Q119" s="17" t="str">
        <f>IFERROR(VLOOKUP(シフト組み!Q149,役職一覧!$B:$D,2,FALSE),"")</f>
        <v/>
      </c>
      <c r="R119" s="17" t="str">
        <f>IFERROR(VLOOKUP(シフト組み!R149,役職一覧!$B:$D,2,FALSE),"")</f>
        <v/>
      </c>
      <c r="S119" s="17" t="str">
        <f>IFERROR(VLOOKUP(シフト組み!S149,役職一覧!$B:$D,2,FALSE),"")</f>
        <v/>
      </c>
      <c r="T119" s="17" t="str">
        <f>IFERROR(VLOOKUP(シフト組み!T149,役職一覧!$B:$D,2,FALSE),"")</f>
        <v/>
      </c>
      <c r="U119" s="17" t="str">
        <f>IFERROR(VLOOKUP(シフト組み!U149,役職一覧!$B:$D,2,FALSE),"")</f>
        <v/>
      </c>
      <c r="V119" s="17" t="str">
        <f>IFERROR(VLOOKUP(シフト組み!V149,役職一覧!$B:$D,2,FALSE),"")</f>
        <v/>
      </c>
      <c r="W119" s="17" t="str">
        <f>IFERROR(VLOOKUP(シフト組み!W149,役職一覧!$B:$D,2,FALSE),"")</f>
        <v/>
      </c>
      <c r="X119" s="17" t="str">
        <f>IFERROR(VLOOKUP(シフト組み!X149,役職一覧!$B:$D,2,FALSE),"")</f>
        <v/>
      </c>
      <c r="Y119" s="17" t="str">
        <f>IFERROR(VLOOKUP(シフト組み!Y149,役職一覧!$B:$D,2,FALSE),"")</f>
        <v/>
      </c>
      <c r="Z119" s="17" t="str">
        <f>IFERROR(VLOOKUP(シフト組み!Z149,役職一覧!$B:$D,2,FALSE),"")</f>
        <v/>
      </c>
      <c r="AA119" s="17" t="str">
        <f>IFERROR(VLOOKUP(シフト組み!AA149,役職一覧!$B:$D,2,FALSE),"")</f>
        <v/>
      </c>
      <c r="AB119" s="17" t="str">
        <f>IFERROR(VLOOKUP(シフト組み!AB149,役職一覧!$B:$D,2,FALSE),"")</f>
        <v/>
      </c>
      <c r="AC119" s="17" t="str">
        <f>IFERROR(VLOOKUP(シフト組み!AC149,役職一覧!$B:$D,2,FALSE),"")</f>
        <v/>
      </c>
      <c r="AD119" s="17" t="str">
        <f>IFERROR(VLOOKUP(シフト組み!AD149,役職一覧!$B:$D,2,FALSE),"")</f>
        <v/>
      </c>
      <c r="AE119" s="17" t="str">
        <f>IFERROR(VLOOKUP(シフト組み!AE149,役職一覧!$B:$D,2,FALSE),"")</f>
        <v/>
      </c>
      <c r="AF119" s="17" t="str">
        <f>IFERROR(VLOOKUP(シフト組み!AF149,役職一覧!$B:$D,2,FALSE),"")</f>
        <v/>
      </c>
      <c r="AG119" s="17" t="str">
        <f>IFERROR(VLOOKUP(シフト組み!AG149,役職一覧!$B:$D,2,FALSE),"")</f>
        <v/>
      </c>
      <c r="AH119" s="17" t="str">
        <f>IFERROR(VLOOKUP(シフト組み!AH149,役職一覧!$B:$D,2,FALSE),"")</f>
        <v/>
      </c>
      <c r="AI119" s="17" t="str">
        <f>IFERROR(VLOOKUP(シフト組み!AI149,役職一覧!$B:$D,2,FALSE),"")</f>
        <v/>
      </c>
      <c r="AJ119" s="17" t="str">
        <f>IFERROR(VLOOKUP(シフト組み!AJ149,役職一覧!$B:$D,2,FALSE),"")</f>
        <v/>
      </c>
      <c r="AK119" s="17" t="str">
        <f>IFERROR(VLOOKUP(シフト組み!AK149,役職一覧!$B:$D,2,FALSE),"")</f>
        <v/>
      </c>
      <c r="AL119" s="17" t="str">
        <f>IFERROR(VLOOKUP(シフト組み!AL149,役職一覧!$B:$D,2,FALSE),"")</f>
        <v/>
      </c>
      <c r="AM119" s="17" t="str">
        <f>IFERROR(VLOOKUP(シフト組み!AM149,役職一覧!$B:$D,2,FALSE),"")</f>
        <v/>
      </c>
      <c r="AN119" s="17" t="str">
        <f>IFERROR(VLOOKUP(シフト組み!AN149,役職一覧!$B:$D,2,FALSE),"")</f>
        <v/>
      </c>
      <c r="AO119" s="17" t="str">
        <f>IFERROR(VLOOKUP(シフト組み!AO149,役職一覧!$B:$D,2,FALSE),"")</f>
        <v/>
      </c>
      <c r="AP119" s="17" t="str">
        <f>IFERROR(VLOOKUP(シフト組み!AP149,役職一覧!$B:$D,2,FALSE),"")</f>
        <v/>
      </c>
      <c r="AQ119" s="17" t="str">
        <f>IFERROR(VLOOKUP(シフト組み!AQ149,役職一覧!$B:$D,2,FALSE),"")</f>
        <v/>
      </c>
      <c r="AR119" s="17" t="str">
        <f>IFERROR(VLOOKUP(シフト組み!AR149,役職一覧!$B:$D,2,FALSE),"")</f>
        <v/>
      </c>
      <c r="AS119" s="17" t="str">
        <f>IFERROR(VLOOKUP(シフト組み!AS149,役職一覧!$B:$D,2,FALSE),"")</f>
        <v/>
      </c>
      <c r="AT119" s="17" t="str">
        <f>IFERROR(VLOOKUP(シフト組み!AT149,役職一覧!$B:$D,2,FALSE),"")</f>
        <v/>
      </c>
      <c r="AU119" s="17" t="str">
        <f>IFERROR(VLOOKUP(シフト組み!AU149,役職一覧!$B:$D,2,FALSE),"")</f>
        <v/>
      </c>
      <c r="AV119" s="17" t="str">
        <f>IFERROR(VLOOKUP(シフト組み!AV149,役職一覧!$B:$D,2,FALSE),"")</f>
        <v/>
      </c>
      <c r="AW119" s="17" t="str">
        <f>IFERROR(VLOOKUP(シフト組み!AW149,役職一覧!$B:$D,2,FALSE),"")</f>
        <v/>
      </c>
      <c r="AX119" s="17" t="str">
        <f>IFERROR(VLOOKUP(シフト組み!AX149,役職一覧!$B:$D,2,FALSE),"")</f>
        <v/>
      </c>
      <c r="AY119" s="17" t="str">
        <f>IFERROR(VLOOKUP(シフト組み!AY149,役職一覧!$B:$D,2,FALSE),"")</f>
        <v/>
      </c>
      <c r="AZ119" s="17" t="str">
        <f>IFERROR(VLOOKUP(シフト組み!AZ149,役職一覧!$B:$D,2,FALSE),"")</f>
        <v/>
      </c>
      <c r="BA119" s="17" t="str">
        <f>IFERROR(VLOOKUP(シフト組み!BA149,役職一覧!$B:$D,2,FALSE),"")</f>
        <v/>
      </c>
    </row>
    <row r="120" spans="1:53">
      <c r="A120" s="2" t="str">
        <f>シフト組み!A150&amp;""</f>
        <v/>
      </c>
      <c r="B120" s="2" t="str">
        <f>シフト組み!B150&amp;""</f>
        <v/>
      </c>
      <c r="C120" s="2" t="str">
        <f>シフト組み!C150&amp;""</f>
        <v/>
      </c>
      <c r="D120" s="17" t="str">
        <f>IFERROR(VLOOKUP(シフト組み!D150,役職一覧!$B:$D,2,FALSE),"")</f>
        <v/>
      </c>
      <c r="E120" s="17" t="str">
        <f>IFERROR(VLOOKUP(シフト組み!E150,役職一覧!$B:$D,2,FALSE),"")</f>
        <v/>
      </c>
      <c r="F120" s="17" t="str">
        <f>IFERROR(VLOOKUP(シフト組み!F150,役職一覧!$B:$D,2,FALSE),"")</f>
        <v/>
      </c>
      <c r="G120" s="17" t="str">
        <f>IFERROR(VLOOKUP(シフト組み!G150,役職一覧!$B:$D,2,FALSE),"")</f>
        <v/>
      </c>
      <c r="H120" s="17" t="str">
        <f>IFERROR(VLOOKUP(シフト組み!H150,役職一覧!$B:$D,2,FALSE),"")</f>
        <v/>
      </c>
      <c r="I120" s="17" t="str">
        <f>IFERROR(VLOOKUP(シフト組み!I150,役職一覧!$B:$D,2,FALSE),"")</f>
        <v/>
      </c>
      <c r="J120" s="17" t="str">
        <f>IFERROR(VLOOKUP(シフト組み!J150,役職一覧!$B:$D,2,FALSE),"")</f>
        <v/>
      </c>
      <c r="K120" s="17" t="str">
        <f>IFERROR(VLOOKUP(シフト組み!K150,役職一覧!$B:$D,2,FALSE),"")</f>
        <v/>
      </c>
      <c r="L120" s="17" t="str">
        <f>IFERROR(VLOOKUP(シフト組み!L150,役職一覧!$B:$D,2,FALSE),"")</f>
        <v/>
      </c>
      <c r="M120" s="17" t="str">
        <f>IFERROR(VLOOKUP(シフト組み!M150,役職一覧!$B:$D,2,FALSE),"")</f>
        <v/>
      </c>
      <c r="N120" s="17" t="str">
        <f>IFERROR(VLOOKUP(シフト組み!N150,役職一覧!$B:$D,2,FALSE),"")</f>
        <v/>
      </c>
      <c r="O120" s="17" t="str">
        <f>IFERROR(VLOOKUP(シフト組み!O150,役職一覧!$B:$D,2,FALSE),"")</f>
        <v/>
      </c>
      <c r="P120" s="17" t="str">
        <f>IFERROR(VLOOKUP(シフト組み!P150,役職一覧!$B:$D,2,FALSE),"")</f>
        <v/>
      </c>
      <c r="Q120" s="17" t="str">
        <f>IFERROR(VLOOKUP(シフト組み!Q150,役職一覧!$B:$D,2,FALSE),"")</f>
        <v/>
      </c>
      <c r="R120" s="17" t="str">
        <f>IFERROR(VLOOKUP(シフト組み!R150,役職一覧!$B:$D,2,FALSE),"")</f>
        <v/>
      </c>
      <c r="S120" s="17" t="str">
        <f>IFERROR(VLOOKUP(シフト組み!S150,役職一覧!$B:$D,2,FALSE),"")</f>
        <v/>
      </c>
      <c r="T120" s="17" t="str">
        <f>IFERROR(VLOOKUP(シフト組み!T150,役職一覧!$B:$D,2,FALSE),"")</f>
        <v/>
      </c>
      <c r="U120" s="17" t="str">
        <f>IFERROR(VLOOKUP(シフト組み!U150,役職一覧!$B:$D,2,FALSE),"")</f>
        <v/>
      </c>
      <c r="V120" s="17" t="str">
        <f>IFERROR(VLOOKUP(シフト組み!V150,役職一覧!$B:$D,2,FALSE),"")</f>
        <v/>
      </c>
      <c r="W120" s="17" t="str">
        <f>IFERROR(VLOOKUP(シフト組み!W150,役職一覧!$B:$D,2,FALSE),"")</f>
        <v/>
      </c>
      <c r="X120" s="17" t="str">
        <f>IFERROR(VLOOKUP(シフト組み!X150,役職一覧!$B:$D,2,FALSE),"")</f>
        <v/>
      </c>
      <c r="Y120" s="17" t="str">
        <f>IFERROR(VLOOKUP(シフト組み!Y150,役職一覧!$B:$D,2,FALSE),"")</f>
        <v/>
      </c>
      <c r="Z120" s="17" t="str">
        <f>IFERROR(VLOOKUP(シフト組み!Z150,役職一覧!$B:$D,2,FALSE),"")</f>
        <v/>
      </c>
      <c r="AA120" s="17" t="str">
        <f>IFERROR(VLOOKUP(シフト組み!AA150,役職一覧!$B:$D,2,FALSE),"")</f>
        <v/>
      </c>
      <c r="AB120" s="17" t="str">
        <f>IFERROR(VLOOKUP(シフト組み!AB150,役職一覧!$B:$D,2,FALSE),"")</f>
        <v/>
      </c>
      <c r="AC120" s="17" t="str">
        <f>IFERROR(VLOOKUP(シフト組み!AC150,役職一覧!$B:$D,2,FALSE),"")</f>
        <v/>
      </c>
      <c r="AD120" s="17" t="str">
        <f>IFERROR(VLOOKUP(シフト組み!AD150,役職一覧!$B:$D,2,FALSE),"")</f>
        <v/>
      </c>
      <c r="AE120" s="17" t="str">
        <f>IFERROR(VLOOKUP(シフト組み!AE150,役職一覧!$B:$D,2,FALSE),"")</f>
        <v/>
      </c>
      <c r="AF120" s="17" t="str">
        <f>IFERROR(VLOOKUP(シフト組み!AF150,役職一覧!$B:$D,2,FALSE),"")</f>
        <v/>
      </c>
      <c r="AG120" s="17" t="str">
        <f>IFERROR(VLOOKUP(シフト組み!AG150,役職一覧!$B:$D,2,FALSE),"")</f>
        <v/>
      </c>
      <c r="AH120" s="17" t="str">
        <f>IFERROR(VLOOKUP(シフト組み!AH150,役職一覧!$B:$D,2,FALSE),"")</f>
        <v/>
      </c>
      <c r="AI120" s="17" t="str">
        <f>IFERROR(VLOOKUP(シフト組み!AI150,役職一覧!$B:$D,2,FALSE),"")</f>
        <v/>
      </c>
      <c r="AJ120" s="17" t="str">
        <f>IFERROR(VLOOKUP(シフト組み!AJ150,役職一覧!$B:$D,2,FALSE),"")</f>
        <v/>
      </c>
      <c r="AK120" s="17" t="str">
        <f>IFERROR(VLOOKUP(シフト組み!AK150,役職一覧!$B:$D,2,FALSE),"")</f>
        <v/>
      </c>
      <c r="AL120" s="17" t="str">
        <f>IFERROR(VLOOKUP(シフト組み!AL150,役職一覧!$B:$D,2,FALSE),"")</f>
        <v/>
      </c>
      <c r="AM120" s="17" t="str">
        <f>IFERROR(VLOOKUP(シフト組み!AM150,役職一覧!$B:$D,2,FALSE),"")</f>
        <v/>
      </c>
      <c r="AN120" s="17" t="str">
        <f>IFERROR(VLOOKUP(シフト組み!AN150,役職一覧!$B:$D,2,FALSE),"")</f>
        <v/>
      </c>
      <c r="AO120" s="17" t="str">
        <f>IFERROR(VLOOKUP(シフト組み!AO150,役職一覧!$B:$D,2,FALSE),"")</f>
        <v/>
      </c>
      <c r="AP120" s="17" t="str">
        <f>IFERROR(VLOOKUP(シフト組み!AP150,役職一覧!$B:$D,2,FALSE),"")</f>
        <v/>
      </c>
      <c r="AQ120" s="17" t="str">
        <f>IFERROR(VLOOKUP(シフト組み!AQ150,役職一覧!$B:$D,2,FALSE),"")</f>
        <v/>
      </c>
      <c r="AR120" s="17" t="str">
        <f>IFERROR(VLOOKUP(シフト組み!AR150,役職一覧!$B:$D,2,FALSE),"")</f>
        <v/>
      </c>
      <c r="AS120" s="17" t="str">
        <f>IFERROR(VLOOKUP(シフト組み!AS150,役職一覧!$B:$D,2,FALSE),"")</f>
        <v/>
      </c>
      <c r="AT120" s="17" t="str">
        <f>IFERROR(VLOOKUP(シフト組み!AT150,役職一覧!$B:$D,2,FALSE),"")</f>
        <v/>
      </c>
      <c r="AU120" s="17" t="str">
        <f>IFERROR(VLOOKUP(シフト組み!AU150,役職一覧!$B:$D,2,FALSE),"")</f>
        <v/>
      </c>
      <c r="AV120" s="17" t="str">
        <f>IFERROR(VLOOKUP(シフト組み!AV150,役職一覧!$B:$D,2,FALSE),"")</f>
        <v/>
      </c>
      <c r="AW120" s="17" t="str">
        <f>IFERROR(VLOOKUP(シフト組み!AW150,役職一覧!$B:$D,2,FALSE),"")</f>
        <v/>
      </c>
      <c r="AX120" s="17" t="str">
        <f>IFERROR(VLOOKUP(シフト組み!AX150,役職一覧!$B:$D,2,FALSE),"")</f>
        <v/>
      </c>
      <c r="AY120" s="17" t="str">
        <f>IFERROR(VLOOKUP(シフト組み!AY150,役職一覧!$B:$D,2,FALSE),"")</f>
        <v/>
      </c>
      <c r="AZ120" s="17" t="str">
        <f>IFERROR(VLOOKUP(シフト組み!AZ150,役職一覧!$B:$D,2,FALSE),"")</f>
        <v/>
      </c>
      <c r="BA120" s="17" t="str">
        <f>IFERROR(VLOOKUP(シフト組み!BA150,役職一覧!$B:$D,2,FALSE),"")</f>
        <v/>
      </c>
    </row>
    <row r="121" spans="1:53">
      <c r="A121" s="2" t="str">
        <f>シフト組み!A151&amp;""</f>
        <v/>
      </c>
      <c r="B121" s="2" t="str">
        <f>シフト組み!B151&amp;""</f>
        <v/>
      </c>
      <c r="C121" s="2" t="str">
        <f>シフト組み!C151&amp;""</f>
        <v/>
      </c>
      <c r="D121" s="17" t="str">
        <f>IFERROR(VLOOKUP(シフト組み!D151,役職一覧!$B:$D,2,FALSE),"")</f>
        <v/>
      </c>
      <c r="E121" s="17" t="str">
        <f>IFERROR(VLOOKUP(シフト組み!E151,役職一覧!$B:$D,2,FALSE),"")</f>
        <v/>
      </c>
      <c r="F121" s="17" t="str">
        <f>IFERROR(VLOOKUP(シフト組み!F151,役職一覧!$B:$D,2,FALSE),"")</f>
        <v/>
      </c>
      <c r="G121" s="17" t="str">
        <f>IFERROR(VLOOKUP(シフト組み!G151,役職一覧!$B:$D,2,FALSE),"")</f>
        <v/>
      </c>
      <c r="H121" s="17" t="str">
        <f>IFERROR(VLOOKUP(シフト組み!H151,役職一覧!$B:$D,2,FALSE),"")</f>
        <v/>
      </c>
      <c r="I121" s="17" t="str">
        <f>IFERROR(VLOOKUP(シフト組み!I151,役職一覧!$B:$D,2,FALSE),"")</f>
        <v/>
      </c>
      <c r="J121" s="17" t="str">
        <f>IFERROR(VLOOKUP(シフト組み!J151,役職一覧!$B:$D,2,FALSE),"")</f>
        <v/>
      </c>
      <c r="K121" s="17" t="str">
        <f>IFERROR(VLOOKUP(シフト組み!K151,役職一覧!$B:$D,2,FALSE),"")</f>
        <v/>
      </c>
      <c r="L121" s="17" t="str">
        <f>IFERROR(VLOOKUP(シフト組み!L151,役職一覧!$B:$D,2,FALSE),"")</f>
        <v/>
      </c>
      <c r="M121" s="17" t="str">
        <f>IFERROR(VLOOKUP(シフト組み!M151,役職一覧!$B:$D,2,FALSE),"")</f>
        <v/>
      </c>
      <c r="N121" s="17" t="str">
        <f>IFERROR(VLOOKUP(シフト組み!N151,役職一覧!$B:$D,2,FALSE),"")</f>
        <v/>
      </c>
      <c r="O121" s="17" t="str">
        <f>IFERROR(VLOOKUP(シフト組み!O151,役職一覧!$B:$D,2,FALSE),"")</f>
        <v/>
      </c>
      <c r="P121" s="17" t="str">
        <f>IFERROR(VLOOKUP(シフト組み!P151,役職一覧!$B:$D,2,FALSE),"")</f>
        <v/>
      </c>
      <c r="Q121" s="17" t="str">
        <f>IFERROR(VLOOKUP(シフト組み!Q151,役職一覧!$B:$D,2,FALSE),"")</f>
        <v/>
      </c>
      <c r="R121" s="17" t="str">
        <f>IFERROR(VLOOKUP(シフト組み!R151,役職一覧!$B:$D,2,FALSE),"")</f>
        <v/>
      </c>
      <c r="S121" s="17" t="str">
        <f>IFERROR(VLOOKUP(シフト組み!S151,役職一覧!$B:$D,2,FALSE),"")</f>
        <v/>
      </c>
      <c r="T121" s="17" t="str">
        <f>IFERROR(VLOOKUP(シフト組み!T151,役職一覧!$B:$D,2,FALSE),"")</f>
        <v/>
      </c>
      <c r="U121" s="17" t="str">
        <f>IFERROR(VLOOKUP(シフト組み!U151,役職一覧!$B:$D,2,FALSE),"")</f>
        <v/>
      </c>
      <c r="V121" s="17" t="str">
        <f>IFERROR(VLOOKUP(シフト組み!V151,役職一覧!$B:$D,2,FALSE),"")</f>
        <v/>
      </c>
      <c r="W121" s="17" t="str">
        <f>IFERROR(VLOOKUP(シフト組み!W151,役職一覧!$B:$D,2,FALSE),"")</f>
        <v/>
      </c>
      <c r="X121" s="17" t="str">
        <f>IFERROR(VLOOKUP(シフト組み!X151,役職一覧!$B:$D,2,FALSE),"")</f>
        <v/>
      </c>
      <c r="Y121" s="17" t="str">
        <f>IFERROR(VLOOKUP(シフト組み!Y151,役職一覧!$B:$D,2,FALSE),"")</f>
        <v/>
      </c>
      <c r="Z121" s="17" t="str">
        <f>IFERROR(VLOOKUP(シフト組み!Z151,役職一覧!$B:$D,2,FALSE),"")</f>
        <v/>
      </c>
      <c r="AA121" s="17" t="str">
        <f>IFERROR(VLOOKUP(シフト組み!AA151,役職一覧!$B:$D,2,FALSE),"")</f>
        <v/>
      </c>
      <c r="AB121" s="17" t="str">
        <f>IFERROR(VLOOKUP(シフト組み!AB151,役職一覧!$B:$D,2,FALSE),"")</f>
        <v/>
      </c>
      <c r="AC121" s="17" t="str">
        <f>IFERROR(VLOOKUP(シフト組み!AC151,役職一覧!$B:$D,2,FALSE),"")</f>
        <v/>
      </c>
      <c r="AD121" s="17" t="str">
        <f>IFERROR(VLOOKUP(シフト組み!AD151,役職一覧!$B:$D,2,FALSE),"")</f>
        <v/>
      </c>
      <c r="AE121" s="17" t="str">
        <f>IFERROR(VLOOKUP(シフト組み!AE151,役職一覧!$B:$D,2,FALSE),"")</f>
        <v/>
      </c>
      <c r="AF121" s="17" t="str">
        <f>IFERROR(VLOOKUP(シフト組み!AF151,役職一覧!$B:$D,2,FALSE),"")</f>
        <v/>
      </c>
      <c r="AG121" s="17" t="str">
        <f>IFERROR(VLOOKUP(シフト組み!AG151,役職一覧!$B:$D,2,FALSE),"")</f>
        <v/>
      </c>
      <c r="AH121" s="17" t="str">
        <f>IFERROR(VLOOKUP(シフト組み!AH151,役職一覧!$B:$D,2,FALSE),"")</f>
        <v/>
      </c>
      <c r="AI121" s="17" t="str">
        <f>IFERROR(VLOOKUP(シフト組み!AI151,役職一覧!$B:$D,2,FALSE),"")</f>
        <v/>
      </c>
      <c r="AJ121" s="17" t="str">
        <f>IFERROR(VLOOKUP(シフト組み!AJ151,役職一覧!$B:$D,2,FALSE),"")</f>
        <v/>
      </c>
      <c r="AK121" s="17" t="str">
        <f>IFERROR(VLOOKUP(シフト組み!AK151,役職一覧!$B:$D,2,FALSE),"")</f>
        <v/>
      </c>
      <c r="AL121" s="17" t="str">
        <f>IFERROR(VLOOKUP(シフト組み!AL151,役職一覧!$B:$D,2,FALSE),"")</f>
        <v/>
      </c>
      <c r="AM121" s="17" t="str">
        <f>IFERROR(VLOOKUP(シフト組み!AM151,役職一覧!$B:$D,2,FALSE),"")</f>
        <v/>
      </c>
      <c r="AN121" s="17" t="str">
        <f>IFERROR(VLOOKUP(シフト組み!AN151,役職一覧!$B:$D,2,FALSE),"")</f>
        <v/>
      </c>
      <c r="AO121" s="17" t="str">
        <f>IFERROR(VLOOKUP(シフト組み!AO151,役職一覧!$B:$D,2,FALSE),"")</f>
        <v/>
      </c>
      <c r="AP121" s="17" t="str">
        <f>IFERROR(VLOOKUP(シフト組み!AP151,役職一覧!$B:$D,2,FALSE),"")</f>
        <v/>
      </c>
      <c r="AQ121" s="17" t="str">
        <f>IFERROR(VLOOKUP(シフト組み!AQ151,役職一覧!$B:$D,2,FALSE),"")</f>
        <v/>
      </c>
      <c r="AR121" s="17" t="str">
        <f>IFERROR(VLOOKUP(シフト組み!AR151,役職一覧!$B:$D,2,FALSE),"")</f>
        <v/>
      </c>
      <c r="AS121" s="17" t="str">
        <f>IFERROR(VLOOKUP(シフト組み!AS151,役職一覧!$B:$D,2,FALSE),"")</f>
        <v/>
      </c>
      <c r="AT121" s="17" t="str">
        <f>IFERROR(VLOOKUP(シフト組み!AT151,役職一覧!$B:$D,2,FALSE),"")</f>
        <v/>
      </c>
      <c r="AU121" s="17" t="str">
        <f>IFERROR(VLOOKUP(シフト組み!AU151,役職一覧!$B:$D,2,FALSE),"")</f>
        <v/>
      </c>
      <c r="AV121" s="17" t="str">
        <f>IFERROR(VLOOKUP(シフト組み!AV151,役職一覧!$B:$D,2,FALSE),"")</f>
        <v/>
      </c>
      <c r="AW121" s="17" t="str">
        <f>IFERROR(VLOOKUP(シフト組み!AW151,役職一覧!$B:$D,2,FALSE),"")</f>
        <v/>
      </c>
      <c r="AX121" s="17" t="str">
        <f>IFERROR(VLOOKUP(シフト組み!AX151,役職一覧!$B:$D,2,FALSE),"")</f>
        <v/>
      </c>
      <c r="AY121" s="17" t="str">
        <f>IFERROR(VLOOKUP(シフト組み!AY151,役職一覧!$B:$D,2,FALSE),"")</f>
        <v/>
      </c>
      <c r="AZ121" s="17" t="str">
        <f>IFERROR(VLOOKUP(シフト組み!AZ151,役職一覧!$B:$D,2,FALSE),"")</f>
        <v/>
      </c>
      <c r="BA121" s="17" t="str">
        <f>IFERROR(VLOOKUP(シフト組み!BA151,役職一覧!$B:$D,2,FALSE),"")</f>
        <v/>
      </c>
    </row>
    <row r="122" spans="1:53">
      <c r="A122" s="2" t="str">
        <f>シフト組み!A152&amp;""</f>
        <v/>
      </c>
      <c r="B122" s="2" t="str">
        <f>シフト組み!B152&amp;""</f>
        <v/>
      </c>
      <c r="C122" s="2" t="str">
        <f>シフト組み!C152&amp;""</f>
        <v/>
      </c>
      <c r="D122" s="17" t="str">
        <f>IFERROR(VLOOKUP(シフト組み!D152,役職一覧!$B:$D,2,FALSE),"")</f>
        <v/>
      </c>
      <c r="E122" s="17" t="str">
        <f>IFERROR(VLOOKUP(シフト組み!E152,役職一覧!$B:$D,2,FALSE),"")</f>
        <v/>
      </c>
      <c r="F122" s="17" t="str">
        <f>IFERROR(VLOOKUP(シフト組み!F152,役職一覧!$B:$D,2,FALSE),"")</f>
        <v/>
      </c>
      <c r="G122" s="17" t="str">
        <f>IFERROR(VLOOKUP(シフト組み!G152,役職一覧!$B:$D,2,FALSE),"")</f>
        <v/>
      </c>
      <c r="H122" s="17" t="str">
        <f>IFERROR(VLOOKUP(シフト組み!H152,役職一覧!$B:$D,2,FALSE),"")</f>
        <v/>
      </c>
      <c r="I122" s="17" t="str">
        <f>IFERROR(VLOOKUP(シフト組み!I152,役職一覧!$B:$D,2,FALSE),"")</f>
        <v/>
      </c>
      <c r="J122" s="17" t="str">
        <f>IFERROR(VLOOKUP(シフト組み!J152,役職一覧!$B:$D,2,FALSE),"")</f>
        <v/>
      </c>
      <c r="K122" s="17" t="str">
        <f>IFERROR(VLOOKUP(シフト組み!K152,役職一覧!$B:$D,2,FALSE),"")</f>
        <v/>
      </c>
      <c r="L122" s="17" t="str">
        <f>IFERROR(VLOOKUP(シフト組み!L152,役職一覧!$B:$D,2,FALSE),"")</f>
        <v/>
      </c>
      <c r="M122" s="17" t="str">
        <f>IFERROR(VLOOKUP(シフト組み!M152,役職一覧!$B:$D,2,FALSE),"")</f>
        <v/>
      </c>
      <c r="N122" s="17" t="str">
        <f>IFERROR(VLOOKUP(シフト組み!N152,役職一覧!$B:$D,2,FALSE),"")</f>
        <v/>
      </c>
      <c r="O122" s="17" t="str">
        <f>IFERROR(VLOOKUP(シフト組み!O152,役職一覧!$B:$D,2,FALSE),"")</f>
        <v/>
      </c>
      <c r="P122" s="17" t="str">
        <f>IFERROR(VLOOKUP(シフト組み!P152,役職一覧!$B:$D,2,FALSE),"")</f>
        <v/>
      </c>
      <c r="Q122" s="17" t="str">
        <f>IFERROR(VLOOKUP(シフト組み!Q152,役職一覧!$B:$D,2,FALSE),"")</f>
        <v/>
      </c>
      <c r="R122" s="17" t="str">
        <f>IFERROR(VLOOKUP(シフト組み!R152,役職一覧!$B:$D,2,FALSE),"")</f>
        <v/>
      </c>
      <c r="S122" s="17" t="str">
        <f>IFERROR(VLOOKUP(シフト組み!S152,役職一覧!$B:$D,2,FALSE),"")</f>
        <v/>
      </c>
      <c r="T122" s="17" t="str">
        <f>IFERROR(VLOOKUP(シフト組み!T152,役職一覧!$B:$D,2,FALSE),"")</f>
        <v/>
      </c>
      <c r="U122" s="17" t="str">
        <f>IFERROR(VLOOKUP(シフト組み!U152,役職一覧!$B:$D,2,FALSE),"")</f>
        <v/>
      </c>
      <c r="V122" s="17" t="str">
        <f>IFERROR(VLOOKUP(シフト組み!V152,役職一覧!$B:$D,2,FALSE),"")</f>
        <v/>
      </c>
      <c r="W122" s="17" t="str">
        <f>IFERROR(VLOOKUP(シフト組み!W152,役職一覧!$B:$D,2,FALSE),"")</f>
        <v/>
      </c>
      <c r="X122" s="17" t="str">
        <f>IFERROR(VLOOKUP(シフト組み!X152,役職一覧!$B:$D,2,FALSE),"")</f>
        <v/>
      </c>
      <c r="Y122" s="17" t="str">
        <f>IFERROR(VLOOKUP(シフト組み!Y152,役職一覧!$B:$D,2,FALSE),"")</f>
        <v/>
      </c>
      <c r="Z122" s="17" t="str">
        <f>IFERROR(VLOOKUP(シフト組み!Z152,役職一覧!$B:$D,2,FALSE),"")</f>
        <v/>
      </c>
      <c r="AA122" s="17" t="str">
        <f>IFERROR(VLOOKUP(シフト組み!AA152,役職一覧!$B:$D,2,FALSE),"")</f>
        <v/>
      </c>
      <c r="AB122" s="17" t="str">
        <f>IFERROR(VLOOKUP(シフト組み!AB152,役職一覧!$B:$D,2,FALSE),"")</f>
        <v/>
      </c>
      <c r="AC122" s="17" t="str">
        <f>IFERROR(VLOOKUP(シフト組み!AC152,役職一覧!$B:$D,2,FALSE),"")</f>
        <v/>
      </c>
      <c r="AD122" s="17" t="str">
        <f>IFERROR(VLOOKUP(シフト組み!AD152,役職一覧!$B:$D,2,FALSE),"")</f>
        <v/>
      </c>
      <c r="AE122" s="17" t="str">
        <f>IFERROR(VLOOKUP(シフト組み!AE152,役職一覧!$B:$D,2,FALSE),"")</f>
        <v/>
      </c>
      <c r="AF122" s="17" t="str">
        <f>IFERROR(VLOOKUP(シフト組み!AF152,役職一覧!$B:$D,2,FALSE),"")</f>
        <v/>
      </c>
      <c r="AG122" s="17" t="str">
        <f>IFERROR(VLOOKUP(シフト組み!AG152,役職一覧!$B:$D,2,FALSE),"")</f>
        <v/>
      </c>
      <c r="AH122" s="17" t="str">
        <f>IFERROR(VLOOKUP(シフト組み!AH152,役職一覧!$B:$D,2,FALSE),"")</f>
        <v/>
      </c>
      <c r="AI122" s="17" t="str">
        <f>IFERROR(VLOOKUP(シフト組み!AI152,役職一覧!$B:$D,2,FALSE),"")</f>
        <v/>
      </c>
      <c r="AJ122" s="17" t="str">
        <f>IFERROR(VLOOKUP(シフト組み!AJ152,役職一覧!$B:$D,2,FALSE),"")</f>
        <v/>
      </c>
      <c r="AK122" s="17" t="str">
        <f>IFERROR(VLOOKUP(シフト組み!AK152,役職一覧!$B:$D,2,FALSE),"")</f>
        <v/>
      </c>
      <c r="AL122" s="17" t="str">
        <f>IFERROR(VLOOKUP(シフト組み!AL152,役職一覧!$B:$D,2,FALSE),"")</f>
        <v/>
      </c>
      <c r="AM122" s="17" t="str">
        <f>IFERROR(VLOOKUP(シフト組み!AM152,役職一覧!$B:$D,2,FALSE),"")</f>
        <v/>
      </c>
      <c r="AN122" s="17" t="str">
        <f>IFERROR(VLOOKUP(シフト組み!AN152,役職一覧!$B:$D,2,FALSE),"")</f>
        <v/>
      </c>
      <c r="AO122" s="17" t="str">
        <f>IFERROR(VLOOKUP(シフト組み!AO152,役職一覧!$B:$D,2,FALSE),"")</f>
        <v/>
      </c>
      <c r="AP122" s="17" t="str">
        <f>IFERROR(VLOOKUP(シフト組み!AP152,役職一覧!$B:$D,2,FALSE),"")</f>
        <v/>
      </c>
      <c r="AQ122" s="17" t="str">
        <f>IFERROR(VLOOKUP(シフト組み!AQ152,役職一覧!$B:$D,2,FALSE),"")</f>
        <v/>
      </c>
      <c r="AR122" s="17" t="str">
        <f>IFERROR(VLOOKUP(シフト組み!AR152,役職一覧!$B:$D,2,FALSE),"")</f>
        <v/>
      </c>
      <c r="AS122" s="17" t="str">
        <f>IFERROR(VLOOKUP(シフト組み!AS152,役職一覧!$B:$D,2,FALSE),"")</f>
        <v/>
      </c>
      <c r="AT122" s="17" t="str">
        <f>IFERROR(VLOOKUP(シフト組み!AT152,役職一覧!$B:$D,2,FALSE),"")</f>
        <v/>
      </c>
      <c r="AU122" s="17" t="str">
        <f>IFERROR(VLOOKUP(シフト組み!AU152,役職一覧!$B:$D,2,FALSE),"")</f>
        <v/>
      </c>
      <c r="AV122" s="17" t="str">
        <f>IFERROR(VLOOKUP(シフト組み!AV152,役職一覧!$B:$D,2,FALSE),"")</f>
        <v/>
      </c>
      <c r="AW122" s="17" t="str">
        <f>IFERROR(VLOOKUP(シフト組み!AW152,役職一覧!$B:$D,2,FALSE),"")</f>
        <v/>
      </c>
      <c r="AX122" s="17" t="str">
        <f>IFERROR(VLOOKUP(シフト組み!AX152,役職一覧!$B:$D,2,FALSE),"")</f>
        <v/>
      </c>
      <c r="AY122" s="17" t="str">
        <f>IFERROR(VLOOKUP(シフト組み!AY152,役職一覧!$B:$D,2,FALSE),"")</f>
        <v/>
      </c>
      <c r="AZ122" s="17" t="str">
        <f>IFERROR(VLOOKUP(シフト組み!AZ152,役職一覧!$B:$D,2,FALSE),"")</f>
        <v/>
      </c>
      <c r="BA122" s="17" t="str">
        <f>IFERROR(VLOOKUP(シフト組み!BA152,役職一覧!$B:$D,2,FALSE),"")</f>
        <v/>
      </c>
    </row>
    <row r="123" spans="1:53">
      <c r="A123" s="2" t="str">
        <f>シフト組み!A153&amp;""</f>
        <v/>
      </c>
      <c r="B123" s="2" t="str">
        <f>シフト組み!B153&amp;""</f>
        <v/>
      </c>
      <c r="C123" s="2" t="str">
        <f>シフト組み!C153&amp;""</f>
        <v/>
      </c>
      <c r="D123" s="17" t="str">
        <f>IFERROR(VLOOKUP(シフト組み!D153,役職一覧!$B:$D,2,FALSE),"")</f>
        <v/>
      </c>
      <c r="E123" s="17" t="str">
        <f>IFERROR(VLOOKUP(シフト組み!E153,役職一覧!$B:$D,2,FALSE),"")</f>
        <v/>
      </c>
      <c r="F123" s="17" t="str">
        <f>IFERROR(VLOOKUP(シフト組み!F153,役職一覧!$B:$D,2,FALSE),"")</f>
        <v/>
      </c>
      <c r="G123" s="17" t="str">
        <f>IFERROR(VLOOKUP(シフト組み!G153,役職一覧!$B:$D,2,FALSE),"")</f>
        <v/>
      </c>
      <c r="H123" s="17" t="str">
        <f>IFERROR(VLOOKUP(シフト組み!H153,役職一覧!$B:$D,2,FALSE),"")</f>
        <v/>
      </c>
      <c r="I123" s="17" t="str">
        <f>IFERROR(VLOOKUP(シフト組み!I153,役職一覧!$B:$D,2,FALSE),"")</f>
        <v/>
      </c>
      <c r="J123" s="17" t="str">
        <f>IFERROR(VLOOKUP(シフト組み!J153,役職一覧!$B:$D,2,FALSE),"")</f>
        <v/>
      </c>
      <c r="K123" s="17" t="str">
        <f>IFERROR(VLOOKUP(シフト組み!K153,役職一覧!$B:$D,2,FALSE),"")</f>
        <v/>
      </c>
      <c r="L123" s="17" t="str">
        <f>IFERROR(VLOOKUP(シフト組み!L153,役職一覧!$B:$D,2,FALSE),"")</f>
        <v/>
      </c>
      <c r="M123" s="17" t="str">
        <f>IFERROR(VLOOKUP(シフト組み!M153,役職一覧!$B:$D,2,FALSE),"")</f>
        <v/>
      </c>
      <c r="N123" s="17" t="str">
        <f>IFERROR(VLOOKUP(シフト組み!N153,役職一覧!$B:$D,2,FALSE),"")</f>
        <v/>
      </c>
      <c r="O123" s="17" t="str">
        <f>IFERROR(VLOOKUP(シフト組み!O153,役職一覧!$B:$D,2,FALSE),"")</f>
        <v/>
      </c>
      <c r="P123" s="17" t="str">
        <f>IFERROR(VLOOKUP(シフト組み!P153,役職一覧!$B:$D,2,FALSE),"")</f>
        <v/>
      </c>
      <c r="Q123" s="17" t="str">
        <f>IFERROR(VLOOKUP(シフト組み!Q153,役職一覧!$B:$D,2,FALSE),"")</f>
        <v/>
      </c>
      <c r="R123" s="17" t="str">
        <f>IFERROR(VLOOKUP(シフト組み!R153,役職一覧!$B:$D,2,FALSE),"")</f>
        <v/>
      </c>
      <c r="S123" s="17" t="str">
        <f>IFERROR(VLOOKUP(シフト組み!S153,役職一覧!$B:$D,2,FALSE),"")</f>
        <v/>
      </c>
      <c r="T123" s="17" t="str">
        <f>IFERROR(VLOOKUP(シフト組み!T153,役職一覧!$B:$D,2,FALSE),"")</f>
        <v/>
      </c>
      <c r="U123" s="17" t="str">
        <f>IFERROR(VLOOKUP(シフト組み!U153,役職一覧!$B:$D,2,FALSE),"")</f>
        <v/>
      </c>
      <c r="V123" s="17" t="str">
        <f>IFERROR(VLOOKUP(シフト組み!V153,役職一覧!$B:$D,2,FALSE),"")</f>
        <v/>
      </c>
      <c r="W123" s="17" t="str">
        <f>IFERROR(VLOOKUP(シフト組み!W153,役職一覧!$B:$D,2,FALSE),"")</f>
        <v/>
      </c>
      <c r="X123" s="17" t="str">
        <f>IFERROR(VLOOKUP(シフト組み!X153,役職一覧!$B:$D,2,FALSE),"")</f>
        <v/>
      </c>
      <c r="Y123" s="17" t="str">
        <f>IFERROR(VLOOKUP(シフト組み!Y153,役職一覧!$B:$D,2,FALSE),"")</f>
        <v/>
      </c>
      <c r="Z123" s="17" t="str">
        <f>IFERROR(VLOOKUP(シフト組み!Z153,役職一覧!$B:$D,2,FALSE),"")</f>
        <v/>
      </c>
      <c r="AA123" s="17" t="str">
        <f>IFERROR(VLOOKUP(シフト組み!AA153,役職一覧!$B:$D,2,FALSE),"")</f>
        <v/>
      </c>
      <c r="AB123" s="17" t="str">
        <f>IFERROR(VLOOKUP(シフト組み!AB153,役職一覧!$B:$D,2,FALSE),"")</f>
        <v/>
      </c>
      <c r="AC123" s="17" t="str">
        <f>IFERROR(VLOOKUP(シフト組み!AC153,役職一覧!$B:$D,2,FALSE),"")</f>
        <v/>
      </c>
      <c r="AD123" s="17" t="str">
        <f>IFERROR(VLOOKUP(シフト組み!AD153,役職一覧!$B:$D,2,FALSE),"")</f>
        <v/>
      </c>
      <c r="AE123" s="17" t="str">
        <f>IFERROR(VLOOKUP(シフト組み!AE153,役職一覧!$B:$D,2,FALSE),"")</f>
        <v/>
      </c>
      <c r="AF123" s="17" t="str">
        <f>IFERROR(VLOOKUP(シフト組み!AF153,役職一覧!$B:$D,2,FALSE),"")</f>
        <v/>
      </c>
      <c r="AG123" s="17" t="str">
        <f>IFERROR(VLOOKUP(シフト組み!AG153,役職一覧!$B:$D,2,FALSE),"")</f>
        <v/>
      </c>
      <c r="AH123" s="17" t="str">
        <f>IFERROR(VLOOKUP(シフト組み!AH153,役職一覧!$B:$D,2,FALSE),"")</f>
        <v/>
      </c>
      <c r="AI123" s="17" t="str">
        <f>IFERROR(VLOOKUP(シフト組み!AI153,役職一覧!$B:$D,2,FALSE),"")</f>
        <v/>
      </c>
      <c r="AJ123" s="17" t="str">
        <f>IFERROR(VLOOKUP(シフト組み!AJ153,役職一覧!$B:$D,2,FALSE),"")</f>
        <v/>
      </c>
      <c r="AK123" s="17" t="str">
        <f>IFERROR(VLOOKUP(シフト組み!AK153,役職一覧!$B:$D,2,FALSE),"")</f>
        <v/>
      </c>
      <c r="AL123" s="17" t="str">
        <f>IFERROR(VLOOKUP(シフト組み!AL153,役職一覧!$B:$D,2,FALSE),"")</f>
        <v/>
      </c>
      <c r="AM123" s="17" t="str">
        <f>IFERROR(VLOOKUP(シフト組み!AM153,役職一覧!$B:$D,2,FALSE),"")</f>
        <v/>
      </c>
      <c r="AN123" s="17" t="str">
        <f>IFERROR(VLOOKUP(シフト組み!AN153,役職一覧!$B:$D,2,FALSE),"")</f>
        <v/>
      </c>
      <c r="AO123" s="17" t="str">
        <f>IFERROR(VLOOKUP(シフト組み!AO153,役職一覧!$B:$D,2,FALSE),"")</f>
        <v/>
      </c>
      <c r="AP123" s="17" t="str">
        <f>IFERROR(VLOOKUP(シフト組み!AP153,役職一覧!$B:$D,2,FALSE),"")</f>
        <v/>
      </c>
      <c r="AQ123" s="17" t="str">
        <f>IFERROR(VLOOKUP(シフト組み!AQ153,役職一覧!$B:$D,2,FALSE),"")</f>
        <v/>
      </c>
      <c r="AR123" s="17" t="str">
        <f>IFERROR(VLOOKUP(シフト組み!AR153,役職一覧!$B:$D,2,FALSE),"")</f>
        <v/>
      </c>
      <c r="AS123" s="17" t="str">
        <f>IFERROR(VLOOKUP(シフト組み!AS153,役職一覧!$B:$D,2,FALSE),"")</f>
        <v/>
      </c>
      <c r="AT123" s="17" t="str">
        <f>IFERROR(VLOOKUP(シフト組み!AT153,役職一覧!$B:$D,2,FALSE),"")</f>
        <v/>
      </c>
      <c r="AU123" s="17" t="str">
        <f>IFERROR(VLOOKUP(シフト組み!AU153,役職一覧!$B:$D,2,FALSE),"")</f>
        <v/>
      </c>
      <c r="AV123" s="17" t="str">
        <f>IFERROR(VLOOKUP(シフト組み!AV153,役職一覧!$B:$D,2,FALSE),"")</f>
        <v/>
      </c>
      <c r="AW123" s="17" t="str">
        <f>IFERROR(VLOOKUP(シフト組み!AW153,役職一覧!$B:$D,2,FALSE),"")</f>
        <v/>
      </c>
      <c r="AX123" s="17" t="str">
        <f>IFERROR(VLOOKUP(シフト組み!AX153,役職一覧!$B:$D,2,FALSE),"")</f>
        <v/>
      </c>
      <c r="AY123" s="17" t="str">
        <f>IFERROR(VLOOKUP(シフト組み!AY153,役職一覧!$B:$D,2,FALSE),"")</f>
        <v/>
      </c>
      <c r="AZ123" s="17" t="str">
        <f>IFERROR(VLOOKUP(シフト組み!AZ153,役職一覧!$B:$D,2,FALSE),"")</f>
        <v/>
      </c>
      <c r="BA123" s="17" t="str">
        <f>IFERROR(VLOOKUP(シフト組み!BA153,役職一覧!$B:$D,2,FALSE),"")</f>
        <v/>
      </c>
    </row>
    <row r="124" spans="1:53">
      <c r="A124" s="2" t="str">
        <f>シフト組み!A154&amp;""</f>
        <v/>
      </c>
      <c r="B124" s="2" t="str">
        <f>シフト組み!B154&amp;""</f>
        <v/>
      </c>
      <c r="C124" s="2" t="str">
        <f>シフト組み!C154&amp;""</f>
        <v/>
      </c>
      <c r="D124" s="17" t="str">
        <f>IFERROR(VLOOKUP(シフト組み!D154,役職一覧!$B:$D,2,FALSE),"")</f>
        <v/>
      </c>
      <c r="E124" s="17" t="str">
        <f>IFERROR(VLOOKUP(シフト組み!E154,役職一覧!$B:$D,2,FALSE),"")</f>
        <v/>
      </c>
      <c r="F124" s="17" t="str">
        <f>IFERROR(VLOOKUP(シフト組み!F154,役職一覧!$B:$D,2,FALSE),"")</f>
        <v/>
      </c>
      <c r="G124" s="17" t="str">
        <f>IFERROR(VLOOKUP(シフト組み!G154,役職一覧!$B:$D,2,FALSE),"")</f>
        <v/>
      </c>
      <c r="H124" s="17" t="str">
        <f>IFERROR(VLOOKUP(シフト組み!H154,役職一覧!$B:$D,2,FALSE),"")</f>
        <v/>
      </c>
      <c r="I124" s="17" t="str">
        <f>IFERROR(VLOOKUP(シフト組み!I154,役職一覧!$B:$D,2,FALSE),"")</f>
        <v/>
      </c>
      <c r="J124" s="17" t="str">
        <f>IFERROR(VLOOKUP(シフト組み!J154,役職一覧!$B:$D,2,FALSE),"")</f>
        <v/>
      </c>
      <c r="K124" s="17" t="str">
        <f>IFERROR(VLOOKUP(シフト組み!K154,役職一覧!$B:$D,2,FALSE),"")</f>
        <v/>
      </c>
      <c r="L124" s="17" t="str">
        <f>IFERROR(VLOOKUP(シフト組み!L154,役職一覧!$B:$D,2,FALSE),"")</f>
        <v/>
      </c>
      <c r="M124" s="17" t="str">
        <f>IFERROR(VLOOKUP(シフト組み!M154,役職一覧!$B:$D,2,FALSE),"")</f>
        <v/>
      </c>
      <c r="N124" s="17" t="str">
        <f>IFERROR(VLOOKUP(シフト組み!N154,役職一覧!$B:$D,2,FALSE),"")</f>
        <v/>
      </c>
      <c r="O124" s="17" t="str">
        <f>IFERROR(VLOOKUP(シフト組み!O154,役職一覧!$B:$D,2,FALSE),"")</f>
        <v/>
      </c>
      <c r="P124" s="17" t="str">
        <f>IFERROR(VLOOKUP(シフト組み!P154,役職一覧!$B:$D,2,FALSE),"")</f>
        <v/>
      </c>
      <c r="Q124" s="17" t="str">
        <f>IFERROR(VLOOKUP(シフト組み!Q154,役職一覧!$B:$D,2,FALSE),"")</f>
        <v/>
      </c>
      <c r="R124" s="17" t="str">
        <f>IFERROR(VLOOKUP(シフト組み!R154,役職一覧!$B:$D,2,FALSE),"")</f>
        <v/>
      </c>
      <c r="S124" s="17" t="str">
        <f>IFERROR(VLOOKUP(シフト組み!S154,役職一覧!$B:$D,2,FALSE),"")</f>
        <v/>
      </c>
      <c r="T124" s="17" t="str">
        <f>IFERROR(VLOOKUP(シフト組み!T154,役職一覧!$B:$D,2,FALSE),"")</f>
        <v/>
      </c>
      <c r="U124" s="17" t="str">
        <f>IFERROR(VLOOKUP(シフト組み!U154,役職一覧!$B:$D,2,FALSE),"")</f>
        <v/>
      </c>
      <c r="V124" s="17" t="str">
        <f>IFERROR(VLOOKUP(シフト組み!V154,役職一覧!$B:$D,2,FALSE),"")</f>
        <v/>
      </c>
      <c r="W124" s="17" t="str">
        <f>IFERROR(VLOOKUP(シフト組み!W154,役職一覧!$B:$D,2,FALSE),"")</f>
        <v/>
      </c>
      <c r="X124" s="17" t="str">
        <f>IFERROR(VLOOKUP(シフト組み!X154,役職一覧!$B:$D,2,FALSE),"")</f>
        <v/>
      </c>
      <c r="Y124" s="17" t="str">
        <f>IFERROR(VLOOKUP(シフト組み!Y154,役職一覧!$B:$D,2,FALSE),"")</f>
        <v/>
      </c>
      <c r="Z124" s="17" t="str">
        <f>IFERROR(VLOOKUP(シフト組み!Z154,役職一覧!$B:$D,2,FALSE),"")</f>
        <v/>
      </c>
      <c r="AA124" s="17" t="str">
        <f>IFERROR(VLOOKUP(シフト組み!AA154,役職一覧!$B:$D,2,FALSE),"")</f>
        <v/>
      </c>
      <c r="AB124" s="17" t="str">
        <f>IFERROR(VLOOKUP(シフト組み!AB154,役職一覧!$B:$D,2,FALSE),"")</f>
        <v/>
      </c>
      <c r="AC124" s="17" t="str">
        <f>IFERROR(VLOOKUP(シフト組み!AC154,役職一覧!$B:$D,2,FALSE),"")</f>
        <v/>
      </c>
      <c r="AD124" s="17" t="str">
        <f>IFERROR(VLOOKUP(シフト組み!AD154,役職一覧!$B:$D,2,FALSE),"")</f>
        <v/>
      </c>
      <c r="AE124" s="17" t="str">
        <f>IFERROR(VLOOKUP(シフト組み!AE154,役職一覧!$B:$D,2,FALSE),"")</f>
        <v/>
      </c>
      <c r="AF124" s="17" t="str">
        <f>IFERROR(VLOOKUP(シフト組み!AF154,役職一覧!$B:$D,2,FALSE),"")</f>
        <v/>
      </c>
      <c r="AG124" s="17" t="str">
        <f>IFERROR(VLOOKUP(シフト組み!AG154,役職一覧!$B:$D,2,FALSE),"")</f>
        <v/>
      </c>
      <c r="AH124" s="17" t="str">
        <f>IFERROR(VLOOKUP(シフト組み!AH154,役職一覧!$B:$D,2,FALSE),"")</f>
        <v/>
      </c>
      <c r="AI124" s="17" t="str">
        <f>IFERROR(VLOOKUP(シフト組み!AI154,役職一覧!$B:$D,2,FALSE),"")</f>
        <v/>
      </c>
      <c r="AJ124" s="17" t="str">
        <f>IFERROR(VLOOKUP(シフト組み!AJ154,役職一覧!$B:$D,2,FALSE),"")</f>
        <v/>
      </c>
      <c r="AK124" s="17" t="str">
        <f>IFERROR(VLOOKUP(シフト組み!AK154,役職一覧!$B:$D,2,FALSE),"")</f>
        <v/>
      </c>
      <c r="AL124" s="17" t="str">
        <f>IFERROR(VLOOKUP(シフト組み!AL154,役職一覧!$B:$D,2,FALSE),"")</f>
        <v/>
      </c>
      <c r="AM124" s="17" t="str">
        <f>IFERROR(VLOOKUP(シフト組み!AM154,役職一覧!$B:$D,2,FALSE),"")</f>
        <v/>
      </c>
      <c r="AN124" s="17" t="str">
        <f>IFERROR(VLOOKUP(シフト組み!AN154,役職一覧!$B:$D,2,FALSE),"")</f>
        <v/>
      </c>
      <c r="AO124" s="17" t="str">
        <f>IFERROR(VLOOKUP(シフト組み!AO154,役職一覧!$B:$D,2,FALSE),"")</f>
        <v/>
      </c>
      <c r="AP124" s="17" t="str">
        <f>IFERROR(VLOOKUP(シフト組み!AP154,役職一覧!$B:$D,2,FALSE),"")</f>
        <v/>
      </c>
      <c r="AQ124" s="17" t="str">
        <f>IFERROR(VLOOKUP(シフト組み!AQ154,役職一覧!$B:$D,2,FALSE),"")</f>
        <v/>
      </c>
      <c r="AR124" s="17" t="str">
        <f>IFERROR(VLOOKUP(シフト組み!AR154,役職一覧!$B:$D,2,FALSE),"")</f>
        <v/>
      </c>
      <c r="AS124" s="17" t="str">
        <f>IFERROR(VLOOKUP(シフト組み!AS154,役職一覧!$B:$D,2,FALSE),"")</f>
        <v/>
      </c>
      <c r="AT124" s="17" t="str">
        <f>IFERROR(VLOOKUP(シフト組み!AT154,役職一覧!$B:$D,2,FALSE),"")</f>
        <v/>
      </c>
      <c r="AU124" s="17" t="str">
        <f>IFERROR(VLOOKUP(シフト組み!AU154,役職一覧!$B:$D,2,FALSE),"")</f>
        <v/>
      </c>
      <c r="AV124" s="17" t="str">
        <f>IFERROR(VLOOKUP(シフト組み!AV154,役職一覧!$B:$D,2,FALSE),"")</f>
        <v/>
      </c>
      <c r="AW124" s="17" t="str">
        <f>IFERROR(VLOOKUP(シフト組み!AW154,役職一覧!$B:$D,2,FALSE),"")</f>
        <v/>
      </c>
      <c r="AX124" s="17" t="str">
        <f>IFERROR(VLOOKUP(シフト組み!AX154,役職一覧!$B:$D,2,FALSE),"")</f>
        <v/>
      </c>
      <c r="AY124" s="17" t="str">
        <f>IFERROR(VLOOKUP(シフト組み!AY154,役職一覧!$B:$D,2,FALSE),"")</f>
        <v/>
      </c>
      <c r="AZ124" s="17" t="str">
        <f>IFERROR(VLOOKUP(シフト組み!AZ154,役職一覧!$B:$D,2,FALSE),"")</f>
        <v/>
      </c>
      <c r="BA124" s="17" t="str">
        <f>IFERROR(VLOOKUP(シフト組み!BA154,役職一覧!$B:$D,2,FALSE),"")</f>
        <v/>
      </c>
    </row>
    <row r="125" spans="1:53">
      <c r="A125" s="2" t="str">
        <f>シフト組み!A155&amp;""</f>
        <v/>
      </c>
      <c r="B125" s="2" t="str">
        <f>シフト組み!B155&amp;""</f>
        <v/>
      </c>
      <c r="C125" s="2" t="str">
        <f>シフト組み!C155&amp;""</f>
        <v/>
      </c>
      <c r="D125" s="17" t="str">
        <f>IFERROR(VLOOKUP(シフト組み!D155,役職一覧!$B:$D,2,FALSE),"")</f>
        <v/>
      </c>
      <c r="E125" s="17" t="str">
        <f>IFERROR(VLOOKUP(シフト組み!E155,役職一覧!$B:$D,2,FALSE),"")</f>
        <v/>
      </c>
      <c r="F125" s="17" t="str">
        <f>IFERROR(VLOOKUP(シフト組み!F155,役職一覧!$B:$D,2,FALSE),"")</f>
        <v/>
      </c>
      <c r="G125" s="17" t="str">
        <f>IFERROR(VLOOKUP(シフト組み!G155,役職一覧!$B:$D,2,FALSE),"")</f>
        <v/>
      </c>
      <c r="H125" s="17" t="str">
        <f>IFERROR(VLOOKUP(シフト組み!H155,役職一覧!$B:$D,2,FALSE),"")</f>
        <v/>
      </c>
      <c r="I125" s="17" t="str">
        <f>IFERROR(VLOOKUP(シフト組み!I155,役職一覧!$B:$D,2,FALSE),"")</f>
        <v/>
      </c>
      <c r="J125" s="17" t="str">
        <f>IFERROR(VLOOKUP(シフト組み!J155,役職一覧!$B:$D,2,FALSE),"")</f>
        <v/>
      </c>
      <c r="K125" s="17" t="str">
        <f>IFERROR(VLOOKUP(シフト組み!K155,役職一覧!$B:$D,2,FALSE),"")</f>
        <v/>
      </c>
      <c r="L125" s="17" t="str">
        <f>IFERROR(VLOOKUP(シフト組み!L155,役職一覧!$B:$D,2,FALSE),"")</f>
        <v/>
      </c>
      <c r="M125" s="17" t="str">
        <f>IFERROR(VLOOKUP(シフト組み!M155,役職一覧!$B:$D,2,FALSE),"")</f>
        <v/>
      </c>
      <c r="N125" s="17" t="str">
        <f>IFERROR(VLOOKUP(シフト組み!N155,役職一覧!$B:$D,2,FALSE),"")</f>
        <v/>
      </c>
      <c r="O125" s="17" t="str">
        <f>IFERROR(VLOOKUP(シフト組み!O155,役職一覧!$B:$D,2,FALSE),"")</f>
        <v/>
      </c>
      <c r="P125" s="17" t="str">
        <f>IFERROR(VLOOKUP(シフト組み!P155,役職一覧!$B:$D,2,FALSE),"")</f>
        <v/>
      </c>
      <c r="Q125" s="17" t="str">
        <f>IFERROR(VLOOKUP(シフト組み!Q155,役職一覧!$B:$D,2,FALSE),"")</f>
        <v/>
      </c>
      <c r="R125" s="17" t="str">
        <f>IFERROR(VLOOKUP(シフト組み!R155,役職一覧!$B:$D,2,FALSE),"")</f>
        <v/>
      </c>
      <c r="S125" s="17" t="str">
        <f>IFERROR(VLOOKUP(シフト組み!S155,役職一覧!$B:$D,2,FALSE),"")</f>
        <v/>
      </c>
      <c r="T125" s="17" t="str">
        <f>IFERROR(VLOOKUP(シフト組み!T155,役職一覧!$B:$D,2,FALSE),"")</f>
        <v/>
      </c>
      <c r="U125" s="17" t="str">
        <f>IFERROR(VLOOKUP(シフト組み!U155,役職一覧!$B:$D,2,FALSE),"")</f>
        <v/>
      </c>
      <c r="V125" s="17" t="str">
        <f>IFERROR(VLOOKUP(シフト組み!V155,役職一覧!$B:$D,2,FALSE),"")</f>
        <v/>
      </c>
      <c r="W125" s="17" t="str">
        <f>IFERROR(VLOOKUP(シフト組み!W155,役職一覧!$B:$D,2,FALSE),"")</f>
        <v/>
      </c>
      <c r="X125" s="17" t="str">
        <f>IFERROR(VLOOKUP(シフト組み!X155,役職一覧!$B:$D,2,FALSE),"")</f>
        <v/>
      </c>
      <c r="Y125" s="17" t="str">
        <f>IFERROR(VLOOKUP(シフト組み!Y155,役職一覧!$B:$D,2,FALSE),"")</f>
        <v/>
      </c>
      <c r="Z125" s="17" t="str">
        <f>IFERROR(VLOOKUP(シフト組み!Z155,役職一覧!$B:$D,2,FALSE),"")</f>
        <v/>
      </c>
      <c r="AA125" s="17" t="str">
        <f>IFERROR(VLOOKUP(シフト組み!AA155,役職一覧!$B:$D,2,FALSE),"")</f>
        <v/>
      </c>
      <c r="AB125" s="17" t="str">
        <f>IFERROR(VLOOKUP(シフト組み!AB155,役職一覧!$B:$D,2,FALSE),"")</f>
        <v/>
      </c>
      <c r="AC125" s="17" t="str">
        <f>IFERROR(VLOOKUP(シフト組み!AC155,役職一覧!$B:$D,2,FALSE),"")</f>
        <v/>
      </c>
      <c r="AD125" s="17" t="str">
        <f>IFERROR(VLOOKUP(シフト組み!AD155,役職一覧!$B:$D,2,FALSE),"")</f>
        <v/>
      </c>
      <c r="AE125" s="17" t="str">
        <f>IFERROR(VLOOKUP(シフト組み!AE155,役職一覧!$B:$D,2,FALSE),"")</f>
        <v/>
      </c>
      <c r="AF125" s="17" t="str">
        <f>IFERROR(VLOOKUP(シフト組み!AF155,役職一覧!$B:$D,2,FALSE),"")</f>
        <v/>
      </c>
      <c r="AG125" s="17" t="str">
        <f>IFERROR(VLOOKUP(シフト組み!AG155,役職一覧!$B:$D,2,FALSE),"")</f>
        <v/>
      </c>
      <c r="AH125" s="17" t="str">
        <f>IFERROR(VLOOKUP(シフト組み!AH155,役職一覧!$B:$D,2,FALSE),"")</f>
        <v/>
      </c>
      <c r="AI125" s="17" t="str">
        <f>IFERROR(VLOOKUP(シフト組み!AI155,役職一覧!$B:$D,2,FALSE),"")</f>
        <v/>
      </c>
      <c r="AJ125" s="17" t="str">
        <f>IFERROR(VLOOKUP(シフト組み!AJ155,役職一覧!$B:$D,2,FALSE),"")</f>
        <v/>
      </c>
      <c r="AK125" s="17" t="str">
        <f>IFERROR(VLOOKUP(シフト組み!AK155,役職一覧!$B:$D,2,FALSE),"")</f>
        <v/>
      </c>
      <c r="AL125" s="17" t="str">
        <f>IFERROR(VLOOKUP(シフト組み!AL155,役職一覧!$B:$D,2,FALSE),"")</f>
        <v/>
      </c>
      <c r="AM125" s="17" t="str">
        <f>IFERROR(VLOOKUP(シフト組み!AM155,役職一覧!$B:$D,2,FALSE),"")</f>
        <v/>
      </c>
      <c r="AN125" s="17" t="str">
        <f>IFERROR(VLOOKUP(シフト組み!AN155,役職一覧!$B:$D,2,FALSE),"")</f>
        <v/>
      </c>
      <c r="AO125" s="17" t="str">
        <f>IFERROR(VLOOKUP(シフト組み!AO155,役職一覧!$B:$D,2,FALSE),"")</f>
        <v/>
      </c>
      <c r="AP125" s="17" t="str">
        <f>IFERROR(VLOOKUP(シフト組み!AP155,役職一覧!$B:$D,2,FALSE),"")</f>
        <v/>
      </c>
      <c r="AQ125" s="17" t="str">
        <f>IFERROR(VLOOKUP(シフト組み!AQ155,役職一覧!$B:$D,2,FALSE),"")</f>
        <v/>
      </c>
      <c r="AR125" s="17" t="str">
        <f>IFERROR(VLOOKUP(シフト組み!AR155,役職一覧!$B:$D,2,FALSE),"")</f>
        <v/>
      </c>
      <c r="AS125" s="17" t="str">
        <f>IFERROR(VLOOKUP(シフト組み!AS155,役職一覧!$B:$D,2,FALSE),"")</f>
        <v/>
      </c>
      <c r="AT125" s="17" t="str">
        <f>IFERROR(VLOOKUP(シフト組み!AT155,役職一覧!$B:$D,2,FALSE),"")</f>
        <v/>
      </c>
      <c r="AU125" s="17" t="str">
        <f>IFERROR(VLOOKUP(シフト組み!AU155,役職一覧!$B:$D,2,FALSE),"")</f>
        <v/>
      </c>
      <c r="AV125" s="17" t="str">
        <f>IFERROR(VLOOKUP(シフト組み!AV155,役職一覧!$B:$D,2,FALSE),"")</f>
        <v/>
      </c>
      <c r="AW125" s="17" t="str">
        <f>IFERROR(VLOOKUP(シフト組み!AW155,役職一覧!$B:$D,2,FALSE),"")</f>
        <v/>
      </c>
      <c r="AX125" s="17" t="str">
        <f>IFERROR(VLOOKUP(シフト組み!AX155,役職一覧!$B:$D,2,FALSE),"")</f>
        <v/>
      </c>
      <c r="AY125" s="17" t="str">
        <f>IFERROR(VLOOKUP(シフト組み!AY155,役職一覧!$B:$D,2,FALSE),"")</f>
        <v/>
      </c>
      <c r="AZ125" s="17" t="str">
        <f>IFERROR(VLOOKUP(シフト組み!AZ155,役職一覧!$B:$D,2,FALSE),"")</f>
        <v/>
      </c>
      <c r="BA125" s="17" t="str">
        <f>IFERROR(VLOOKUP(シフト組み!BA155,役職一覧!$B:$D,2,FALSE),"")</f>
        <v/>
      </c>
    </row>
    <row r="126" spans="1:53">
      <c r="A126" s="2" t="str">
        <f>シフト組み!A156&amp;""</f>
        <v/>
      </c>
      <c r="B126" s="2" t="str">
        <f>シフト組み!B156&amp;""</f>
        <v/>
      </c>
      <c r="C126" s="2" t="str">
        <f>シフト組み!C156&amp;""</f>
        <v/>
      </c>
      <c r="D126" s="17" t="str">
        <f>IFERROR(VLOOKUP(シフト組み!D156,役職一覧!$B:$D,2,FALSE),"")</f>
        <v/>
      </c>
      <c r="E126" s="17" t="str">
        <f>IFERROR(VLOOKUP(シフト組み!E156,役職一覧!$B:$D,2,FALSE),"")</f>
        <v/>
      </c>
      <c r="F126" s="17" t="str">
        <f>IFERROR(VLOOKUP(シフト組み!F156,役職一覧!$B:$D,2,FALSE),"")</f>
        <v/>
      </c>
      <c r="G126" s="17" t="str">
        <f>IFERROR(VLOOKUP(シフト組み!G156,役職一覧!$B:$D,2,FALSE),"")</f>
        <v/>
      </c>
      <c r="H126" s="17" t="str">
        <f>IFERROR(VLOOKUP(シフト組み!H156,役職一覧!$B:$D,2,FALSE),"")</f>
        <v/>
      </c>
      <c r="I126" s="17" t="str">
        <f>IFERROR(VLOOKUP(シフト組み!I156,役職一覧!$B:$D,2,FALSE),"")</f>
        <v/>
      </c>
      <c r="J126" s="17" t="str">
        <f>IFERROR(VLOOKUP(シフト組み!J156,役職一覧!$B:$D,2,FALSE),"")</f>
        <v/>
      </c>
      <c r="K126" s="17" t="str">
        <f>IFERROR(VLOOKUP(シフト組み!K156,役職一覧!$B:$D,2,FALSE),"")</f>
        <v/>
      </c>
      <c r="L126" s="17" t="str">
        <f>IFERROR(VLOOKUP(シフト組み!L156,役職一覧!$B:$D,2,FALSE),"")</f>
        <v/>
      </c>
      <c r="M126" s="17" t="str">
        <f>IFERROR(VLOOKUP(シフト組み!M156,役職一覧!$B:$D,2,FALSE),"")</f>
        <v/>
      </c>
      <c r="N126" s="17" t="str">
        <f>IFERROR(VLOOKUP(シフト組み!N156,役職一覧!$B:$D,2,FALSE),"")</f>
        <v/>
      </c>
      <c r="O126" s="17" t="str">
        <f>IFERROR(VLOOKUP(シフト組み!O156,役職一覧!$B:$D,2,FALSE),"")</f>
        <v/>
      </c>
      <c r="P126" s="17" t="str">
        <f>IFERROR(VLOOKUP(シフト組み!P156,役職一覧!$B:$D,2,FALSE),"")</f>
        <v/>
      </c>
      <c r="Q126" s="17" t="str">
        <f>IFERROR(VLOOKUP(シフト組み!Q156,役職一覧!$B:$D,2,FALSE),"")</f>
        <v/>
      </c>
      <c r="R126" s="17" t="str">
        <f>IFERROR(VLOOKUP(シフト組み!R156,役職一覧!$B:$D,2,FALSE),"")</f>
        <v/>
      </c>
      <c r="S126" s="17" t="str">
        <f>IFERROR(VLOOKUP(シフト組み!S156,役職一覧!$B:$D,2,FALSE),"")</f>
        <v/>
      </c>
      <c r="T126" s="17" t="str">
        <f>IFERROR(VLOOKUP(シフト組み!T156,役職一覧!$B:$D,2,FALSE),"")</f>
        <v/>
      </c>
      <c r="U126" s="17" t="str">
        <f>IFERROR(VLOOKUP(シフト組み!U156,役職一覧!$B:$D,2,FALSE),"")</f>
        <v/>
      </c>
      <c r="V126" s="17" t="str">
        <f>IFERROR(VLOOKUP(シフト組み!V156,役職一覧!$B:$D,2,FALSE),"")</f>
        <v/>
      </c>
      <c r="W126" s="17" t="str">
        <f>IFERROR(VLOOKUP(シフト組み!W156,役職一覧!$B:$D,2,FALSE),"")</f>
        <v/>
      </c>
      <c r="X126" s="17" t="str">
        <f>IFERROR(VLOOKUP(シフト組み!X156,役職一覧!$B:$D,2,FALSE),"")</f>
        <v/>
      </c>
      <c r="Y126" s="17" t="str">
        <f>IFERROR(VLOOKUP(シフト組み!Y156,役職一覧!$B:$D,2,FALSE),"")</f>
        <v/>
      </c>
      <c r="Z126" s="17" t="str">
        <f>IFERROR(VLOOKUP(シフト組み!Z156,役職一覧!$B:$D,2,FALSE),"")</f>
        <v/>
      </c>
      <c r="AA126" s="17" t="str">
        <f>IFERROR(VLOOKUP(シフト組み!AA156,役職一覧!$B:$D,2,FALSE),"")</f>
        <v/>
      </c>
      <c r="AB126" s="17" t="str">
        <f>IFERROR(VLOOKUP(シフト組み!AB156,役職一覧!$B:$D,2,FALSE),"")</f>
        <v/>
      </c>
      <c r="AC126" s="17" t="str">
        <f>IFERROR(VLOOKUP(シフト組み!AC156,役職一覧!$B:$D,2,FALSE),"")</f>
        <v/>
      </c>
      <c r="AD126" s="17" t="str">
        <f>IFERROR(VLOOKUP(シフト組み!AD156,役職一覧!$B:$D,2,FALSE),"")</f>
        <v/>
      </c>
      <c r="AE126" s="17" t="str">
        <f>IFERROR(VLOOKUP(シフト組み!AE156,役職一覧!$B:$D,2,FALSE),"")</f>
        <v/>
      </c>
      <c r="AF126" s="17" t="str">
        <f>IFERROR(VLOOKUP(シフト組み!AF156,役職一覧!$B:$D,2,FALSE),"")</f>
        <v/>
      </c>
      <c r="AG126" s="17" t="str">
        <f>IFERROR(VLOOKUP(シフト組み!AG156,役職一覧!$B:$D,2,FALSE),"")</f>
        <v/>
      </c>
      <c r="AH126" s="17" t="str">
        <f>IFERROR(VLOOKUP(シフト組み!AH156,役職一覧!$B:$D,2,FALSE),"")</f>
        <v/>
      </c>
      <c r="AI126" s="17" t="str">
        <f>IFERROR(VLOOKUP(シフト組み!AI156,役職一覧!$B:$D,2,FALSE),"")</f>
        <v/>
      </c>
      <c r="AJ126" s="17" t="str">
        <f>IFERROR(VLOOKUP(シフト組み!AJ156,役職一覧!$B:$D,2,FALSE),"")</f>
        <v/>
      </c>
      <c r="AK126" s="17" t="str">
        <f>IFERROR(VLOOKUP(シフト組み!AK156,役職一覧!$B:$D,2,FALSE),"")</f>
        <v/>
      </c>
      <c r="AL126" s="17" t="str">
        <f>IFERROR(VLOOKUP(シフト組み!AL156,役職一覧!$B:$D,2,FALSE),"")</f>
        <v/>
      </c>
      <c r="AM126" s="17" t="str">
        <f>IFERROR(VLOOKUP(シフト組み!AM156,役職一覧!$B:$D,2,FALSE),"")</f>
        <v/>
      </c>
      <c r="AN126" s="17" t="str">
        <f>IFERROR(VLOOKUP(シフト組み!AN156,役職一覧!$B:$D,2,FALSE),"")</f>
        <v/>
      </c>
      <c r="AO126" s="17" t="str">
        <f>IFERROR(VLOOKUP(シフト組み!AO156,役職一覧!$B:$D,2,FALSE),"")</f>
        <v/>
      </c>
      <c r="AP126" s="17" t="str">
        <f>IFERROR(VLOOKUP(シフト組み!AP156,役職一覧!$B:$D,2,FALSE),"")</f>
        <v/>
      </c>
      <c r="AQ126" s="17" t="str">
        <f>IFERROR(VLOOKUP(シフト組み!AQ156,役職一覧!$B:$D,2,FALSE),"")</f>
        <v/>
      </c>
      <c r="AR126" s="17" t="str">
        <f>IFERROR(VLOOKUP(シフト組み!AR156,役職一覧!$B:$D,2,FALSE),"")</f>
        <v/>
      </c>
      <c r="AS126" s="17" t="str">
        <f>IFERROR(VLOOKUP(シフト組み!AS156,役職一覧!$B:$D,2,FALSE),"")</f>
        <v/>
      </c>
      <c r="AT126" s="17" t="str">
        <f>IFERROR(VLOOKUP(シフト組み!AT156,役職一覧!$B:$D,2,FALSE),"")</f>
        <v/>
      </c>
      <c r="AU126" s="17" t="str">
        <f>IFERROR(VLOOKUP(シフト組み!AU156,役職一覧!$B:$D,2,FALSE),"")</f>
        <v/>
      </c>
      <c r="AV126" s="17" t="str">
        <f>IFERROR(VLOOKUP(シフト組み!AV156,役職一覧!$B:$D,2,FALSE),"")</f>
        <v/>
      </c>
      <c r="AW126" s="17" t="str">
        <f>IFERROR(VLOOKUP(シフト組み!AW156,役職一覧!$B:$D,2,FALSE),"")</f>
        <v/>
      </c>
      <c r="AX126" s="17" t="str">
        <f>IFERROR(VLOOKUP(シフト組み!AX156,役職一覧!$B:$D,2,FALSE),"")</f>
        <v/>
      </c>
      <c r="AY126" s="17" t="str">
        <f>IFERROR(VLOOKUP(シフト組み!AY156,役職一覧!$B:$D,2,FALSE),"")</f>
        <v/>
      </c>
      <c r="AZ126" s="17" t="str">
        <f>IFERROR(VLOOKUP(シフト組み!AZ156,役職一覧!$B:$D,2,FALSE),"")</f>
        <v/>
      </c>
      <c r="BA126" s="17" t="str">
        <f>IFERROR(VLOOKUP(シフト組み!BA156,役職一覧!$B:$D,2,FALSE),"")</f>
        <v/>
      </c>
    </row>
    <row r="127" spans="1:53">
      <c r="A127" s="2" t="str">
        <f>シフト組み!A157&amp;""</f>
        <v/>
      </c>
      <c r="B127" s="2" t="str">
        <f>シフト組み!B157&amp;""</f>
        <v/>
      </c>
      <c r="C127" s="2" t="str">
        <f>シフト組み!C157&amp;""</f>
        <v/>
      </c>
      <c r="D127" s="17" t="str">
        <f>IFERROR(VLOOKUP(シフト組み!D157,役職一覧!$B:$D,2,FALSE),"")</f>
        <v/>
      </c>
      <c r="E127" s="17" t="str">
        <f>IFERROR(VLOOKUP(シフト組み!E157,役職一覧!$B:$D,2,FALSE),"")</f>
        <v/>
      </c>
      <c r="F127" s="17" t="str">
        <f>IFERROR(VLOOKUP(シフト組み!F157,役職一覧!$B:$D,2,FALSE),"")</f>
        <v/>
      </c>
      <c r="G127" s="17" t="str">
        <f>IFERROR(VLOOKUP(シフト組み!G157,役職一覧!$B:$D,2,FALSE),"")</f>
        <v/>
      </c>
      <c r="H127" s="17" t="str">
        <f>IFERROR(VLOOKUP(シフト組み!H157,役職一覧!$B:$D,2,FALSE),"")</f>
        <v/>
      </c>
      <c r="I127" s="17" t="str">
        <f>IFERROR(VLOOKUP(シフト組み!I157,役職一覧!$B:$D,2,FALSE),"")</f>
        <v/>
      </c>
      <c r="J127" s="17" t="str">
        <f>IFERROR(VLOOKUP(シフト組み!J157,役職一覧!$B:$D,2,FALSE),"")</f>
        <v/>
      </c>
      <c r="K127" s="17" t="str">
        <f>IFERROR(VLOOKUP(シフト組み!K157,役職一覧!$B:$D,2,FALSE),"")</f>
        <v/>
      </c>
      <c r="L127" s="17" t="str">
        <f>IFERROR(VLOOKUP(シフト組み!L157,役職一覧!$B:$D,2,FALSE),"")</f>
        <v/>
      </c>
      <c r="M127" s="17" t="str">
        <f>IFERROR(VLOOKUP(シフト組み!M157,役職一覧!$B:$D,2,FALSE),"")</f>
        <v/>
      </c>
      <c r="N127" s="17" t="str">
        <f>IFERROR(VLOOKUP(シフト組み!N157,役職一覧!$B:$D,2,FALSE),"")</f>
        <v/>
      </c>
      <c r="O127" s="17" t="str">
        <f>IFERROR(VLOOKUP(シフト組み!O157,役職一覧!$B:$D,2,FALSE),"")</f>
        <v/>
      </c>
      <c r="P127" s="17" t="str">
        <f>IFERROR(VLOOKUP(シフト組み!P157,役職一覧!$B:$D,2,FALSE),"")</f>
        <v/>
      </c>
      <c r="Q127" s="17" t="str">
        <f>IFERROR(VLOOKUP(シフト組み!Q157,役職一覧!$B:$D,2,FALSE),"")</f>
        <v/>
      </c>
      <c r="R127" s="17" t="str">
        <f>IFERROR(VLOOKUP(シフト組み!R157,役職一覧!$B:$D,2,FALSE),"")</f>
        <v/>
      </c>
      <c r="S127" s="17" t="str">
        <f>IFERROR(VLOOKUP(シフト組み!S157,役職一覧!$B:$D,2,FALSE),"")</f>
        <v/>
      </c>
      <c r="T127" s="17" t="str">
        <f>IFERROR(VLOOKUP(シフト組み!T157,役職一覧!$B:$D,2,FALSE),"")</f>
        <v/>
      </c>
      <c r="U127" s="17" t="str">
        <f>IFERROR(VLOOKUP(シフト組み!U157,役職一覧!$B:$D,2,FALSE),"")</f>
        <v/>
      </c>
      <c r="V127" s="17" t="str">
        <f>IFERROR(VLOOKUP(シフト組み!V157,役職一覧!$B:$D,2,FALSE),"")</f>
        <v/>
      </c>
      <c r="W127" s="17" t="str">
        <f>IFERROR(VLOOKUP(シフト組み!W157,役職一覧!$B:$D,2,FALSE),"")</f>
        <v/>
      </c>
      <c r="X127" s="17" t="str">
        <f>IFERROR(VLOOKUP(シフト組み!X157,役職一覧!$B:$D,2,FALSE),"")</f>
        <v/>
      </c>
      <c r="Y127" s="17" t="str">
        <f>IFERROR(VLOOKUP(シフト組み!Y157,役職一覧!$B:$D,2,FALSE),"")</f>
        <v/>
      </c>
      <c r="Z127" s="17" t="str">
        <f>IFERROR(VLOOKUP(シフト組み!Z157,役職一覧!$B:$D,2,FALSE),"")</f>
        <v/>
      </c>
      <c r="AA127" s="17" t="str">
        <f>IFERROR(VLOOKUP(シフト組み!AA157,役職一覧!$B:$D,2,FALSE),"")</f>
        <v/>
      </c>
      <c r="AB127" s="17" t="str">
        <f>IFERROR(VLOOKUP(シフト組み!AB157,役職一覧!$B:$D,2,FALSE),"")</f>
        <v/>
      </c>
      <c r="AC127" s="17" t="str">
        <f>IFERROR(VLOOKUP(シフト組み!AC157,役職一覧!$B:$D,2,FALSE),"")</f>
        <v/>
      </c>
      <c r="AD127" s="17" t="str">
        <f>IFERROR(VLOOKUP(シフト組み!AD157,役職一覧!$B:$D,2,FALSE),"")</f>
        <v/>
      </c>
      <c r="AE127" s="17" t="str">
        <f>IFERROR(VLOOKUP(シフト組み!AE157,役職一覧!$B:$D,2,FALSE),"")</f>
        <v/>
      </c>
      <c r="AF127" s="17" t="str">
        <f>IFERROR(VLOOKUP(シフト組み!AF157,役職一覧!$B:$D,2,FALSE),"")</f>
        <v/>
      </c>
      <c r="AG127" s="17" t="str">
        <f>IFERROR(VLOOKUP(シフト組み!AG157,役職一覧!$B:$D,2,FALSE),"")</f>
        <v/>
      </c>
      <c r="AH127" s="17" t="str">
        <f>IFERROR(VLOOKUP(シフト組み!AH157,役職一覧!$B:$D,2,FALSE),"")</f>
        <v/>
      </c>
      <c r="AI127" s="17" t="str">
        <f>IFERROR(VLOOKUP(シフト組み!AI157,役職一覧!$B:$D,2,FALSE),"")</f>
        <v/>
      </c>
      <c r="AJ127" s="17" t="str">
        <f>IFERROR(VLOOKUP(シフト組み!AJ157,役職一覧!$B:$D,2,FALSE),"")</f>
        <v/>
      </c>
      <c r="AK127" s="17" t="str">
        <f>IFERROR(VLOOKUP(シフト組み!AK157,役職一覧!$B:$D,2,FALSE),"")</f>
        <v/>
      </c>
      <c r="AL127" s="17" t="str">
        <f>IFERROR(VLOOKUP(シフト組み!AL157,役職一覧!$B:$D,2,FALSE),"")</f>
        <v/>
      </c>
      <c r="AM127" s="17" t="str">
        <f>IFERROR(VLOOKUP(シフト組み!AM157,役職一覧!$B:$D,2,FALSE),"")</f>
        <v/>
      </c>
      <c r="AN127" s="17" t="str">
        <f>IFERROR(VLOOKUP(シフト組み!AN157,役職一覧!$B:$D,2,FALSE),"")</f>
        <v/>
      </c>
      <c r="AO127" s="17" t="str">
        <f>IFERROR(VLOOKUP(シフト組み!AO157,役職一覧!$B:$D,2,FALSE),"")</f>
        <v/>
      </c>
      <c r="AP127" s="17" t="str">
        <f>IFERROR(VLOOKUP(シフト組み!AP157,役職一覧!$B:$D,2,FALSE),"")</f>
        <v/>
      </c>
      <c r="AQ127" s="17" t="str">
        <f>IFERROR(VLOOKUP(シフト組み!AQ157,役職一覧!$B:$D,2,FALSE),"")</f>
        <v/>
      </c>
      <c r="AR127" s="17" t="str">
        <f>IFERROR(VLOOKUP(シフト組み!AR157,役職一覧!$B:$D,2,FALSE),"")</f>
        <v/>
      </c>
      <c r="AS127" s="17" t="str">
        <f>IFERROR(VLOOKUP(シフト組み!AS157,役職一覧!$B:$D,2,FALSE),"")</f>
        <v/>
      </c>
      <c r="AT127" s="17" t="str">
        <f>IFERROR(VLOOKUP(シフト組み!AT157,役職一覧!$B:$D,2,FALSE),"")</f>
        <v/>
      </c>
      <c r="AU127" s="17" t="str">
        <f>IFERROR(VLOOKUP(シフト組み!AU157,役職一覧!$B:$D,2,FALSE),"")</f>
        <v/>
      </c>
      <c r="AV127" s="17" t="str">
        <f>IFERROR(VLOOKUP(シフト組み!AV157,役職一覧!$B:$D,2,FALSE),"")</f>
        <v/>
      </c>
      <c r="AW127" s="17" t="str">
        <f>IFERROR(VLOOKUP(シフト組み!AW157,役職一覧!$B:$D,2,FALSE),"")</f>
        <v/>
      </c>
      <c r="AX127" s="17" t="str">
        <f>IFERROR(VLOOKUP(シフト組み!AX157,役職一覧!$B:$D,2,FALSE),"")</f>
        <v/>
      </c>
      <c r="AY127" s="17" t="str">
        <f>IFERROR(VLOOKUP(シフト組み!AY157,役職一覧!$B:$D,2,FALSE),"")</f>
        <v/>
      </c>
      <c r="AZ127" s="17" t="str">
        <f>IFERROR(VLOOKUP(シフト組み!AZ157,役職一覧!$B:$D,2,FALSE),"")</f>
        <v/>
      </c>
      <c r="BA127" s="17" t="str">
        <f>IFERROR(VLOOKUP(シフト組み!BA157,役職一覧!$B:$D,2,FALSE),"")</f>
        <v/>
      </c>
    </row>
    <row r="128" spans="1:53">
      <c r="A128" s="2" t="str">
        <f>シフト組み!A158&amp;""</f>
        <v/>
      </c>
      <c r="B128" s="2" t="str">
        <f>シフト組み!B158&amp;""</f>
        <v/>
      </c>
      <c r="C128" s="2" t="str">
        <f>シフト組み!C158&amp;""</f>
        <v/>
      </c>
      <c r="D128" s="17" t="str">
        <f>IFERROR(VLOOKUP(シフト組み!D158,役職一覧!$B:$D,2,FALSE),"")</f>
        <v/>
      </c>
      <c r="E128" s="17" t="str">
        <f>IFERROR(VLOOKUP(シフト組み!E158,役職一覧!$B:$D,2,FALSE),"")</f>
        <v/>
      </c>
      <c r="F128" s="17" t="str">
        <f>IFERROR(VLOOKUP(シフト組み!F158,役職一覧!$B:$D,2,FALSE),"")</f>
        <v/>
      </c>
      <c r="G128" s="17" t="str">
        <f>IFERROR(VLOOKUP(シフト組み!G158,役職一覧!$B:$D,2,FALSE),"")</f>
        <v/>
      </c>
      <c r="H128" s="17" t="str">
        <f>IFERROR(VLOOKUP(シフト組み!H158,役職一覧!$B:$D,2,FALSE),"")</f>
        <v/>
      </c>
      <c r="I128" s="17" t="str">
        <f>IFERROR(VLOOKUP(シフト組み!I158,役職一覧!$B:$D,2,FALSE),"")</f>
        <v/>
      </c>
      <c r="J128" s="17" t="str">
        <f>IFERROR(VLOOKUP(シフト組み!J158,役職一覧!$B:$D,2,FALSE),"")</f>
        <v/>
      </c>
      <c r="K128" s="17" t="str">
        <f>IFERROR(VLOOKUP(シフト組み!K158,役職一覧!$B:$D,2,FALSE),"")</f>
        <v/>
      </c>
      <c r="L128" s="17" t="str">
        <f>IFERROR(VLOOKUP(シフト組み!L158,役職一覧!$B:$D,2,FALSE),"")</f>
        <v/>
      </c>
      <c r="M128" s="17" t="str">
        <f>IFERROR(VLOOKUP(シフト組み!M158,役職一覧!$B:$D,2,FALSE),"")</f>
        <v/>
      </c>
      <c r="N128" s="17" t="str">
        <f>IFERROR(VLOOKUP(シフト組み!N158,役職一覧!$B:$D,2,FALSE),"")</f>
        <v/>
      </c>
      <c r="O128" s="17" t="str">
        <f>IFERROR(VLOOKUP(シフト組み!O158,役職一覧!$B:$D,2,FALSE),"")</f>
        <v/>
      </c>
      <c r="P128" s="17" t="str">
        <f>IFERROR(VLOOKUP(シフト組み!P158,役職一覧!$B:$D,2,FALSE),"")</f>
        <v/>
      </c>
      <c r="Q128" s="17" t="str">
        <f>IFERROR(VLOOKUP(シフト組み!Q158,役職一覧!$B:$D,2,FALSE),"")</f>
        <v/>
      </c>
      <c r="R128" s="17" t="str">
        <f>IFERROR(VLOOKUP(シフト組み!R158,役職一覧!$B:$D,2,FALSE),"")</f>
        <v/>
      </c>
      <c r="S128" s="17" t="str">
        <f>IFERROR(VLOOKUP(シフト組み!S158,役職一覧!$B:$D,2,FALSE),"")</f>
        <v/>
      </c>
      <c r="T128" s="17" t="str">
        <f>IFERROR(VLOOKUP(シフト組み!T158,役職一覧!$B:$D,2,FALSE),"")</f>
        <v/>
      </c>
      <c r="U128" s="17" t="str">
        <f>IFERROR(VLOOKUP(シフト組み!U158,役職一覧!$B:$D,2,FALSE),"")</f>
        <v/>
      </c>
      <c r="V128" s="17" t="str">
        <f>IFERROR(VLOOKUP(シフト組み!V158,役職一覧!$B:$D,2,FALSE),"")</f>
        <v/>
      </c>
      <c r="W128" s="17" t="str">
        <f>IFERROR(VLOOKUP(シフト組み!W158,役職一覧!$B:$D,2,FALSE),"")</f>
        <v/>
      </c>
      <c r="X128" s="17" t="str">
        <f>IFERROR(VLOOKUP(シフト組み!X158,役職一覧!$B:$D,2,FALSE),"")</f>
        <v/>
      </c>
      <c r="Y128" s="17" t="str">
        <f>IFERROR(VLOOKUP(シフト組み!Y158,役職一覧!$B:$D,2,FALSE),"")</f>
        <v/>
      </c>
      <c r="Z128" s="17" t="str">
        <f>IFERROR(VLOOKUP(シフト組み!Z158,役職一覧!$B:$D,2,FALSE),"")</f>
        <v/>
      </c>
      <c r="AA128" s="17" t="str">
        <f>IFERROR(VLOOKUP(シフト組み!AA158,役職一覧!$B:$D,2,FALSE),"")</f>
        <v/>
      </c>
      <c r="AB128" s="17" t="str">
        <f>IFERROR(VLOOKUP(シフト組み!AB158,役職一覧!$B:$D,2,FALSE),"")</f>
        <v/>
      </c>
      <c r="AC128" s="17" t="str">
        <f>IFERROR(VLOOKUP(シフト組み!AC158,役職一覧!$B:$D,2,FALSE),"")</f>
        <v/>
      </c>
      <c r="AD128" s="17" t="str">
        <f>IFERROR(VLOOKUP(シフト組み!AD158,役職一覧!$B:$D,2,FALSE),"")</f>
        <v/>
      </c>
      <c r="AE128" s="17" t="str">
        <f>IFERROR(VLOOKUP(シフト組み!AE158,役職一覧!$B:$D,2,FALSE),"")</f>
        <v/>
      </c>
      <c r="AF128" s="17" t="str">
        <f>IFERROR(VLOOKUP(シフト組み!AF158,役職一覧!$B:$D,2,FALSE),"")</f>
        <v/>
      </c>
      <c r="AG128" s="17" t="str">
        <f>IFERROR(VLOOKUP(シフト組み!AG158,役職一覧!$B:$D,2,FALSE),"")</f>
        <v/>
      </c>
      <c r="AH128" s="17" t="str">
        <f>IFERROR(VLOOKUP(シフト組み!AH158,役職一覧!$B:$D,2,FALSE),"")</f>
        <v/>
      </c>
      <c r="AI128" s="17" t="str">
        <f>IFERROR(VLOOKUP(シフト組み!AI158,役職一覧!$B:$D,2,FALSE),"")</f>
        <v/>
      </c>
      <c r="AJ128" s="17" t="str">
        <f>IFERROR(VLOOKUP(シフト組み!AJ158,役職一覧!$B:$D,2,FALSE),"")</f>
        <v/>
      </c>
      <c r="AK128" s="17" t="str">
        <f>IFERROR(VLOOKUP(シフト組み!AK158,役職一覧!$B:$D,2,FALSE),"")</f>
        <v/>
      </c>
      <c r="AL128" s="17" t="str">
        <f>IFERROR(VLOOKUP(シフト組み!AL158,役職一覧!$B:$D,2,FALSE),"")</f>
        <v/>
      </c>
      <c r="AM128" s="17" t="str">
        <f>IFERROR(VLOOKUP(シフト組み!AM158,役職一覧!$B:$D,2,FALSE),"")</f>
        <v/>
      </c>
      <c r="AN128" s="17" t="str">
        <f>IFERROR(VLOOKUP(シフト組み!AN158,役職一覧!$B:$D,2,FALSE),"")</f>
        <v/>
      </c>
      <c r="AO128" s="17" t="str">
        <f>IFERROR(VLOOKUP(シフト組み!AO158,役職一覧!$B:$D,2,FALSE),"")</f>
        <v/>
      </c>
      <c r="AP128" s="17" t="str">
        <f>IFERROR(VLOOKUP(シフト組み!AP158,役職一覧!$B:$D,2,FALSE),"")</f>
        <v/>
      </c>
      <c r="AQ128" s="17" t="str">
        <f>IFERROR(VLOOKUP(シフト組み!AQ158,役職一覧!$B:$D,2,FALSE),"")</f>
        <v/>
      </c>
      <c r="AR128" s="17" t="str">
        <f>IFERROR(VLOOKUP(シフト組み!AR158,役職一覧!$B:$D,2,FALSE),"")</f>
        <v/>
      </c>
      <c r="AS128" s="17" t="str">
        <f>IFERROR(VLOOKUP(シフト組み!AS158,役職一覧!$B:$D,2,FALSE),"")</f>
        <v/>
      </c>
      <c r="AT128" s="17" t="str">
        <f>IFERROR(VLOOKUP(シフト組み!AT158,役職一覧!$B:$D,2,FALSE),"")</f>
        <v/>
      </c>
      <c r="AU128" s="17" t="str">
        <f>IFERROR(VLOOKUP(シフト組み!AU158,役職一覧!$B:$D,2,FALSE),"")</f>
        <v/>
      </c>
      <c r="AV128" s="17" t="str">
        <f>IFERROR(VLOOKUP(シフト組み!AV158,役職一覧!$B:$D,2,FALSE),"")</f>
        <v/>
      </c>
      <c r="AW128" s="17" t="str">
        <f>IFERROR(VLOOKUP(シフト組み!AW158,役職一覧!$B:$D,2,FALSE),"")</f>
        <v/>
      </c>
      <c r="AX128" s="17" t="str">
        <f>IFERROR(VLOOKUP(シフト組み!AX158,役職一覧!$B:$D,2,FALSE),"")</f>
        <v/>
      </c>
      <c r="AY128" s="17" t="str">
        <f>IFERROR(VLOOKUP(シフト組み!AY158,役職一覧!$B:$D,2,FALSE),"")</f>
        <v/>
      </c>
      <c r="AZ128" s="17" t="str">
        <f>IFERROR(VLOOKUP(シフト組み!AZ158,役職一覧!$B:$D,2,FALSE),"")</f>
        <v/>
      </c>
      <c r="BA128" s="17" t="str">
        <f>IFERROR(VLOOKUP(シフト組み!BA158,役職一覧!$B:$D,2,FALSE),"")</f>
        <v/>
      </c>
    </row>
    <row r="129" spans="1:53">
      <c r="A129" s="2" t="str">
        <f>シフト組み!A159&amp;""</f>
        <v/>
      </c>
      <c r="B129" s="2" t="str">
        <f>シフト組み!B159&amp;""</f>
        <v/>
      </c>
      <c r="C129" s="2" t="str">
        <f>シフト組み!C159&amp;""</f>
        <v/>
      </c>
      <c r="D129" s="17" t="str">
        <f>IFERROR(VLOOKUP(シフト組み!D159,役職一覧!$B:$D,2,FALSE),"")</f>
        <v/>
      </c>
      <c r="E129" s="17" t="str">
        <f>IFERROR(VLOOKUP(シフト組み!E159,役職一覧!$B:$D,2,FALSE),"")</f>
        <v/>
      </c>
      <c r="F129" s="17" t="str">
        <f>IFERROR(VLOOKUP(シフト組み!F159,役職一覧!$B:$D,2,FALSE),"")</f>
        <v/>
      </c>
      <c r="G129" s="17" t="str">
        <f>IFERROR(VLOOKUP(シフト組み!G159,役職一覧!$B:$D,2,FALSE),"")</f>
        <v/>
      </c>
      <c r="H129" s="17" t="str">
        <f>IFERROR(VLOOKUP(シフト組み!H159,役職一覧!$B:$D,2,FALSE),"")</f>
        <v/>
      </c>
      <c r="I129" s="17" t="str">
        <f>IFERROR(VLOOKUP(シフト組み!I159,役職一覧!$B:$D,2,FALSE),"")</f>
        <v/>
      </c>
      <c r="J129" s="17" t="str">
        <f>IFERROR(VLOOKUP(シフト組み!J159,役職一覧!$B:$D,2,FALSE),"")</f>
        <v/>
      </c>
      <c r="K129" s="17" t="str">
        <f>IFERROR(VLOOKUP(シフト組み!K159,役職一覧!$B:$D,2,FALSE),"")</f>
        <v/>
      </c>
      <c r="L129" s="17" t="str">
        <f>IFERROR(VLOOKUP(シフト組み!L159,役職一覧!$B:$D,2,FALSE),"")</f>
        <v/>
      </c>
      <c r="M129" s="17" t="str">
        <f>IFERROR(VLOOKUP(シフト組み!M159,役職一覧!$B:$D,2,FALSE),"")</f>
        <v/>
      </c>
      <c r="N129" s="17" t="str">
        <f>IFERROR(VLOOKUP(シフト組み!N159,役職一覧!$B:$D,2,FALSE),"")</f>
        <v/>
      </c>
      <c r="O129" s="17" t="str">
        <f>IFERROR(VLOOKUP(シフト組み!O159,役職一覧!$B:$D,2,FALSE),"")</f>
        <v/>
      </c>
      <c r="P129" s="17" t="str">
        <f>IFERROR(VLOOKUP(シフト組み!P159,役職一覧!$B:$D,2,FALSE),"")</f>
        <v/>
      </c>
      <c r="Q129" s="17" t="str">
        <f>IFERROR(VLOOKUP(シフト組み!Q159,役職一覧!$B:$D,2,FALSE),"")</f>
        <v/>
      </c>
      <c r="R129" s="17" t="str">
        <f>IFERROR(VLOOKUP(シフト組み!R159,役職一覧!$B:$D,2,FALSE),"")</f>
        <v/>
      </c>
      <c r="S129" s="17" t="str">
        <f>IFERROR(VLOOKUP(シフト組み!S159,役職一覧!$B:$D,2,FALSE),"")</f>
        <v/>
      </c>
      <c r="T129" s="17" t="str">
        <f>IFERROR(VLOOKUP(シフト組み!T159,役職一覧!$B:$D,2,FALSE),"")</f>
        <v/>
      </c>
      <c r="U129" s="17" t="str">
        <f>IFERROR(VLOOKUP(シフト組み!U159,役職一覧!$B:$D,2,FALSE),"")</f>
        <v/>
      </c>
      <c r="V129" s="17" t="str">
        <f>IFERROR(VLOOKUP(シフト組み!V159,役職一覧!$B:$D,2,FALSE),"")</f>
        <v/>
      </c>
      <c r="W129" s="17" t="str">
        <f>IFERROR(VLOOKUP(シフト組み!W159,役職一覧!$B:$D,2,FALSE),"")</f>
        <v/>
      </c>
      <c r="X129" s="17" t="str">
        <f>IFERROR(VLOOKUP(シフト組み!X159,役職一覧!$B:$D,2,FALSE),"")</f>
        <v/>
      </c>
      <c r="Y129" s="17" t="str">
        <f>IFERROR(VLOOKUP(シフト組み!Y159,役職一覧!$B:$D,2,FALSE),"")</f>
        <v/>
      </c>
      <c r="Z129" s="17" t="str">
        <f>IFERROR(VLOOKUP(シフト組み!Z159,役職一覧!$B:$D,2,FALSE),"")</f>
        <v/>
      </c>
      <c r="AA129" s="17" t="str">
        <f>IFERROR(VLOOKUP(シフト組み!AA159,役職一覧!$B:$D,2,FALSE),"")</f>
        <v/>
      </c>
      <c r="AB129" s="17" t="str">
        <f>IFERROR(VLOOKUP(シフト組み!AB159,役職一覧!$B:$D,2,FALSE),"")</f>
        <v/>
      </c>
      <c r="AC129" s="17" t="str">
        <f>IFERROR(VLOOKUP(シフト組み!AC159,役職一覧!$B:$D,2,FALSE),"")</f>
        <v/>
      </c>
      <c r="AD129" s="17" t="str">
        <f>IFERROR(VLOOKUP(シフト組み!AD159,役職一覧!$B:$D,2,FALSE),"")</f>
        <v/>
      </c>
      <c r="AE129" s="17" t="str">
        <f>IFERROR(VLOOKUP(シフト組み!AE159,役職一覧!$B:$D,2,FALSE),"")</f>
        <v/>
      </c>
      <c r="AF129" s="17" t="str">
        <f>IFERROR(VLOOKUP(シフト組み!AF159,役職一覧!$B:$D,2,FALSE),"")</f>
        <v/>
      </c>
      <c r="AG129" s="17" t="str">
        <f>IFERROR(VLOOKUP(シフト組み!AG159,役職一覧!$B:$D,2,FALSE),"")</f>
        <v/>
      </c>
      <c r="AH129" s="17" t="str">
        <f>IFERROR(VLOOKUP(シフト組み!AH159,役職一覧!$B:$D,2,FALSE),"")</f>
        <v/>
      </c>
      <c r="AI129" s="17" t="str">
        <f>IFERROR(VLOOKUP(シフト組み!AI159,役職一覧!$B:$D,2,FALSE),"")</f>
        <v/>
      </c>
      <c r="AJ129" s="17" t="str">
        <f>IFERROR(VLOOKUP(シフト組み!AJ159,役職一覧!$B:$D,2,FALSE),"")</f>
        <v/>
      </c>
      <c r="AK129" s="17" t="str">
        <f>IFERROR(VLOOKUP(シフト組み!AK159,役職一覧!$B:$D,2,FALSE),"")</f>
        <v/>
      </c>
      <c r="AL129" s="17" t="str">
        <f>IFERROR(VLOOKUP(シフト組み!AL159,役職一覧!$B:$D,2,FALSE),"")</f>
        <v/>
      </c>
      <c r="AM129" s="17" t="str">
        <f>IFERROR(VLOOKUP(シフト組み!AM159,役職一覧!$B:$D,2,FALSE),"")</f>
        <v/>
      </c>
      <c r="AN129" s="17" t="str">
        <f>IFERROR(VLOOKUP(シフト組み!AN159,役職一覧!$B:$D,2,FALSE),"")</f>
        <v/>
      </c>
      <c r="AO129" s="17" t="str">
        <f>IFERROR(VLOOKUP(シフト組み!AO159,役職一覧!$B:$D,2,FALSE),"")</f>
        <v/>
      </c>
      <c r="AP129" s="17" t="str">
        <f>IFERROR(VLOOKUP(シフト組み!AP159,役職一覧!$B:$D,2,FALSE),"")</f>
        <v/>
      </c>
      <c r="AQ129" s="17" t="str">
        <f>IFERROR(VLOOKUP(シフト組み!AQ159,役職一覧!$B:$D,2,FALSE),"")</f>
        <v/>
      </c>
      <c r="AR129" s="17" t="str">
        <f>IFERROR(VLOOKUP(シフト組み!AR159,役職一覧!$B:$D,2,FALSE),"")</f>
        <v/>
      </c>
      <c r="AS129" s="17" t="str">
        <f>IFERROR(VLOOKUP(シフト組み!AS159,役職一覧!$B:$D,2,FALSE),"")</f>
        <v/>
      </c>
      <c r="AT129" s="17" t="str">
        <f>IFERROR(VLOOKUP(シフト組み!AT159,役職一覧!$B:$D,2,FALSE),"")</f>
        <v/>
      </c>
      <c r="AU129" s="17" t="str">
        <f>IFERROR(VLOOKUP(シフト組み!AU159,役職一覧!$B:$D,2,FALSE),"")</f>
        <v/>
      </c>
      <c r="AV129" s="17" t="str">
        <f>IFERROR(VLOOKUP(シフト組み!AV159,役職一覧!$B:$D,2,FALSE),"")</f>
        <v/>
      </c>
      <c r="AW129" s="17" t="str">
        <f>IFERROR(VLOOKUP(シフト組み!AW159,役職一覧!$B:$D,2,FALSE),"")</f>
        <v/>
      </c>
      <c r="AX129" s="17" t="str">
        <f>IFERROR(VLOOKUP(シフト組み!AX159,役職一覧!$B:$D,2,FALSE),"")</f>
        <v/>
      </c>
      <c r="AY129" s="17" t="str">
        <f>IFERROR(VLOOKUP(シフト組み!AY159,役職一覧!$B:$D,2,FALSE),"")</f>
        <v/>
      </c>
      <c r="AZ129" s="17" t="str">
        <f>IFERROR(VLOOKUP(シフト組み!AZ159,役職一覧!$B:$D,2,FALSE),"")</f>
        <v/>
      </c>
      <c r="BA129" s="17" t="str">
        <f>IFERROR(VLOOKUP(シフト組み!BA159,役職一覧!$B:$D,2,FALSE),"")</f>
        <v/>
      </c>
    </row>
    <row r="130" spans="1:53">
      <c r="A130" s="2" t="str">
        <f>シフト組み!A160&amp;""</f>
        <v/>
      </c>
      <c r="B130" s="2" t="str">
        <f>シフト組み!B160&amp;""</f>
        <v/>
      </c>
      <c r="C130" s="2" t="str">
        <f>シフト組み!C160&amp;""</f>
        <v/>
      </c>
      <c r="D130" s="17" t="str">
        <f>IFERROR(VLOOKUP(シフト組み!D160,役職一覧!$B:$D,2,FALSE),"")</f>
        <v/>
      </c>
      <c r="E130" s="17" t="str">
        <f>IFERROR(VLOOKUP(シフト組み!E160,役職一覧!$B:$D,2,FALSE),"")</f>
        <v/>
      </c>
      <c r="F130" s="17" t="str">
        <f>IFERROR(VLOOKUP(シフト組み!F160,役職一覧!$B:$D,2,FALSE),"")</f>
        <v/>
      </c>
      <c r="G130" s="17" t="str">
        <f>IFERROR(VLOOKUP(シフト組み!G160,役職一覧!$B:$D,2,FALSE),"")</f>
        <v/>
      </c>
      <c r="H130" s="17" t="str">
        <f>IFERROR(VLOOKUP(シフト組み!H160,役職一覧!$B:$D,2,FALSE),"")</f>
        <v/>
      </c>
      <c r="I130" s="17" t="str">
        <f>IFERROR(VLOOKUP(シフト組み!I160,役職一覧!$B:$D,2,FALSE),"")</f>
        <v/>
      </c>
      <c r="J130" s="17" t="str">
        <f>IFERROR(VLOOKUP(シフト組み!J160,役職一覧!$B:$D,2,FALSE),"")</f>
        <v/>
      </c>
      <c r="K130" s="17" t="str">
        <f>IFERROR(VLOOKUP(シフト組み!K160,役職一覧!$B:$D,2,FALSE),"")</f>
        <v/>
      </c>
      <c r="L130" s="17" t="str">
        <f>IFERROR(VLOOKUP(シフト組み!L160,役職一覧!$B:$D,2,FALSE),"")</f>
        <v/>
      </c>
      <c r="M130" s="17" t="str">
        <f>IFERROR(VLOOKUP(シフト組み!M160,役職一覧!$B:$D,2,FALSE),"")</f>
        <v/>
      </c>
      <c r="N130" s="17" t="str">
        <f>IFERROR(VLOOKUP(シフト組み!N160,役職一覧!$B:$D,2,FALSE),"")</f>
        <v/>
      </c>
      <c r="O130" s="17" t="str">
        <f>IFERROR(VLOOKUP(シフト組み!O160,役職一覧!$B:$D,2,FALSE),"")</f>
        <v/>
      </c>
      <c r="P130" s="17" t="str">
        <f>IFERROR(VLOOKUP(シフト組み!P160,役職一覧!$B:$D,2,FALSE),"")</f>
        <v/>
      </c>
      <c r="Q130" s="17" t="str">
        <f>IFERROR(VLOOKUP(シフト組み!Q160,役職一覧!$B:$D,2,FALSE),"")</f>
        <v/>
      </c>
      <c r="R130" s="17" t="str">
        <f>IFERROR(VLOOKUP(シフト組み!R160,役職一覧!$B:$D,2,FALSE),"")</f>
        <v/>
      </c>
      <c r="S130" s="17" t="str">
        <f>IFERROR(VLOOKUP(シフト組み!S160,役職一覧!$B:$D,2,FALSE),"")</f>
        <v/>
      </c>
      <c r="T130" s="17" t="str">
        <f>IFERROR(VLOOKUP(シフト組み!T160,役職一覧!$B:$D,2,FALSE),"")</f>
        <v/>
      </c>
      <c r="U130" s="17" t="str">
        <f>IFERROR(VLOOKUP(シフト組み!U160,役職一覧!$B:$D,2,FALSE),"")</f>
        <v/>
      </c>
      <c r="V130" s="17" t="str">
        <f>IFERROR(VLOOKUP(シフト組み!V160,役職一覧!$B:$D,2,FALSE),"")</f>
        <v/>
      </c>
      <c r="W130" s="17" t="str">
        <f>IFERROR(VLOOKUP(シフト組み!W160,役職一覧!$B:$D,2,FALSE),"")</f>
        <v/>
      </c>
      <c r="X130" s="17" t="str">
        <f>IFERROR(VLOOKUP(シフト組み!X160,役職一覧!$B:$D,2,FALSE),"")</f>
        <v/>
      </c>
      <c r="Y130" s="17" t="str">
        <f>IFERROR(VLOOKUP(シフト組み!Y160,役職一覧!$B:$D,2,FALSE),"")</f>
        <v/>
      </c>
      <c r="Z130" s="17" t="str">
        <f>IFERROR(VLOOKUP(シフト組み!Z160,役職一覧!$B:$D,2,FALSE),"")</f>
        <v/>
      </c>
      <c r="AA130" s="17" t="str">
        <f>IFERROR(VLOOKUP(シフト組み!AA160,役職一覧!$B:$D,2,FALSE),"")</f>
        <v/>
      </c>
      <c r="AB130" s="17" t="str">
        <f>IFERROR(VLOOKUP(シフト組み!AB160,役職一覧!$B:$D,2,FALSE),"")</f>
        <v/>
      </c>
      <c r="AC130" s="17" t="str">
        <f>IFERROR(VLOOKUP(シフト組み!AC160,役職一覧!$B:$D,2,FALSE),"")</f>
        <v/>
      </c>
      <c r="AD130" s="17" t="str">
        <f>IFERROR(VLOOKUP(シフト組み!AD160,役職一覧!$B:$D,2,FALSE),"")</f>
        <v/>
      </c>
      <c r="AE130" s="17" t="str">
        <f>IFERROR(VLOOKUP(シフト組み!AE160,役職一覧!$B:$D,2,FALSE),"")</f>
        <v/>
      </c>
      <c r="AF130" s="17" t="str">
        <f>IFERROR(VLOOKUP(シフト組み!AF160,役職一覧!$B:$D,2,FALSE),"")</f>
        <v/>
      </c>
      <c r="AG130" s="17" t="str">
        <f>IFERROR(VLOOKUP(シフト組み!AG160,役職一覧!$B:$D,2,FALSE),"")</f>
        <v/>
      </c>
      <c r="AH130" s="17" t="str">
        <f>IFERROR(VLOOKUP(シフト組み!AH160,役職一覧!$B:$D,2,FALSE),"")</f>
        <v/>
      </c>
      <c r="AI130" s="17" t="str">
        <f>IFERROR(VLOOKUP(シフト組み!AI160,役職一覧!$B:$D,2,FALSE),"")</f>
        <v/>
      </c>
      <c r="AJ130" s="17" t="str">
        <f>IFERROR(VLOOKUP(シフト組み!AJ160,役職一覧!$B:$D,2,FALSE),"")</f>
        <v/>
      </c>
      <c r="AK130" s="17" t="str">
        <f>IFERROR(VLOOKUP(シフト組み!AK160,役職一覧!$B:$D,2,FALSE),"")</f>
        <v/>
      </c>
      <c r="AL130" s="17" t="str">
        <f>IFERROR(VLOOKUP(シフト組み!AL160,役職一覧!$B:$D,2,FALSE),"")</f>
        <v/>
      </c>
      <c r="AM130" s="17" t="str">
        <f>IFERROR(VLOOKUP(シフト組み!AM160,役職一覧!$B:$D,2,FALSE),"")</f>
        <v/>
      </c>
      <c r="AN130" s="17" t="str">
        <f>IFERROR(VLOOKUP(シフト組み!AN160,役職一覧!$B:$D,2,FALSE),"")</f>
        <v/>
      </c>
      <c r="AO130" s="17" t="str">
        <f>IFERROR(VLOOKUP(シフト組み!AO160,役職一覧!$B:$D,2,FALSE),"")</f>
        <v/>
      </c>
      <c r="AP130" s="17" t="str">
        <f>IFERROR(VLOOKUP(シフト組み!AP160,役職一覧!$B:$D,2,FALSE),"")</f>
        <v/>
      </c>
      <c r="AQ130" s="17" t="str">
        <f>IFERROR(VLOOKUP(シフト組み!AQ160,役職一覧!$B:$D,2,FALSE),"")</f>
        <v/>
      </c>
      <c r="AR130" s="17" t="str">
        <f>IFERROR(VLOOKUP(シフト組み!AR160,役職一覧!$B:$D,2,FALSE),"")</f>
        <v/>
      </c>
      <c r="AS130" s="17" t="str">
        <f>IFERROR(VLOOKUP(シフト組み!AS160,役職一覧!$B:$D,2,FALSE),"")</f>
        <v/>
      </c>
      <c r="AT130" s="17" t="str">
        <f>IFERROR(VLOOKUP(シフト組み!AT160,役職一覧!$B:$D,2,FALSE),"")</f>
        <v/>
      </c>
      <c r="AU130" s="17" t="str">
        <f>IFERROR(VLOOKUP(シフト組み!AU160,役職一覧!$B:$D,2,FALSE),"")</f>
        <v/>
      </c>
      <c r="AV130" s="17" t="str">
        <f>IFERROR(VLOOKUP(シフト組み!AV160,役職一覧!$B:$D,2,FALSE),"")</f>
        <v/>
      </c>
      <c r="AW130" s="17" t="str">
        <f>IFERROR(VLOOKUP(シフト組み!AW160,役職一覧!$B:$D,2,FALSE),"")</f>
        <v/>
      </c>
      <c r="AX130" s="17" t="str">
        <f>IFERROR(VLOOKUP(シフト組み!AX160,役職一覧!$B:$D,2,FALSE),"")</f>
        <v/>
      </c>
      <c r="AY130" s="17" t="str">
        <f>IFERROR(VLOOKUP(シフト組み!AY160,役職一覧!$B:$D,2,FALSE),"")</f>
        <v/>
      </c>
      <c r="AZ130" s="17" t="str">
        <f>IFERROR(VLOOKUP(シフト組み!AZ160,役職一覧!$B:$D,2,FALSE),"")</f>
        <v/>
      </c>
      <c r="BA130" s="17" t="str">
        <f>IFERROR(VLOOKUP(シフト組み!BA160,役職一覧!$B:$D,2,FALSE),"")</f>
        <v/>
      </c>
    </row>
    <row r="131" spans="1:53">
      <c r="A131" s="2" t="str">
        <f>シフト組み!A161&amp;""</f>
        <v/>
      </c>
      <c r="B131" s="2" t="str">
        <f>シフト組み!B161&amp;""</f>
        <v/>
      </c>
      <c r="C131" s="2" t="str">
        <f>シフト組み!C161&amp;""</f>
        <v/>
      </c>
      <c r="D131" s="17" t="str">
        <f>IFERROR(VLOOKUP(シフト組み!D161,役職一覧!$B:$D,2,FALSE),"")</f>
        <v/>
      </c>
      <c r="E131" s="17" t="str">
        <f>IFERROR(VLOOKUP(シフト組み!E161,役職一覧!$B:$D,2,FALSE),"")</f>
        <v/>
      </c>
      <c r="F131" s="17" t="str">
        <f>IFERROR(VLOOKUP(シフト組み!F161,役職一覧!$B:$D,2,FALSE),"")</f>
        <v/>
      </c>
      <c r="G131" s="17" t="str">
        <f>IFERROR(VLOOKUP(シフト組み!G161,役職一覧!$B:$D,2,FALSE),"")</f>
        <v/>
      </c>
      <c r="H131" s="17" t="str">
        <f>IFERROR(VLOOKUP(シフト組み!H161,役職一覧!$B:$D,2,FALSE),"")</f>
        <v/>
      </c>
      <c r="I131" s="17" t="str">
        <f>IFERROR(VLOOKUP(シフト組み!I161,役職一覧!$B:$D,2,FALSE),"")</f>
        <v/>
      </c>
      <c r="J131" s="17" t="str">
        <f>IFERROR(VLOOKUP(シフト組み!J161,役職一覧!$B:$D,2,FALSE),"")</f>
        <v/>
      </c>
      <c r="K131" s="17" t="str">
        <f>IFERROR(VLOOKUP(シフト組み!K161,役職一覧!$B:$D,2,FALSE),"")</f>
        <v/>
      </c>
      <c r="L131" s="17" t="str">
        <f>IFERROR(VLOOKUP(シフト組み!L161,役職一覧!$B:$D,2,FALSE),"")</f>
        <v/>
      </c>
      <c r="M131" s="17" t="str">
        <f>IFERROR(VLOOKUP(シフト組み!M161,役職一覧!$B:$D,2,FALSE),"")</f>
        <v/>
      </c>
      <c r="N131" s="17" t="str">
        <f>IFERROR(VLOOKUP(シフト組み!N161,役職一覧!$B:$D,2,FALSE),"")</f>
        <v/>
      </c>
      <c r="O131" s="17" t="str">
        <f>IFERROR(VLOOKUP(シフト組み!O161,役職一覧!$B:$D,2,FALSE),"")</f>
        <v/>
      </c>
      <c r="P131" s="17" t="str">
        <f>IFERROR(VLOOKUP(シフト組み!P161,役職一覧!$B:$D,2,FALSE),"")</f>
        <v/>
      </c>
      <c r="Q131" s="17" t="str">
        <f>IFERROR(VLOOKUP(シフト組み!Q161,役職一覧!$B:$D,2,FALSE),"")</f>
        <v/>
      </c>
      <c r="R131" s="17" t="str">
        <f>IFERROR(VLOOKUP(シフト組み!R161,役職一覧!$B:$D,2,FALSE),"")</f>
        <v/>
      </c>
      <c r="S131" s="17" t="str">
        <f>IFERROR(VLOOKUP(シフト組み!S161,役職一覧!$B:$D,2,FALSE),"")</f>
        <v/>
      </c>
      <c r="T131" s="17" t="str">
        <f>IFERROR(VLOOKUP(シフト組み!T161,役職一覧!$B:$D,2,FALSE),"")</f>
        <v/>
      </c>
      <c r="U131" s="17" t="str">
        <f>IFERROR(VLOOKUP(シフト組み!U161,役職一覧!$B:$D,2,FALSE),"")</f>
        <v/>
      </c>
      <c r="V131" s="17" t="str">
        <f>IFERROR(VLOOKUP(シフト組み!V161,役職一覧!$B:$D,2,FALSE),"")</f>
        <v/>
      </c>
      <c r="W131" s="17" t="str">
        <f>IFERROR(VLOOKUP(シフト組み!W161,役職一覧!$B:$D,2,FALSE),"")</f>
        <v/>
      </c>
      <c r="X131" s="17" t="str">
        <f>IFERROR(VLOOKUP(シフト組み!X161,役職一覧!$B:$D,2,FALSE),"")</f>
        <v/>
      </c>
      <c r="Y131" s="17" t="str">
        <f>IFERROR(VLOOKUP(シフト組み!Y161,役職一覧!$B:$D,2,FALSE),"")</f>
        <v/>
      </c>
      <c r="Z131" s="17" t="str">
        <f>IFERROR(VLOOKUP(シフト組み!Z161,役職一覧!$B:$D,2,FALSE),"")</f>
        <v/>
      </c>
      <c r="AA131" s="17" t="str">
        <f>IFERROR(VLOOKUP(シフト組み!AA161,役職一覧!$B:$D,2,FALSE),"")</f>
        <v/>
      </c>
      <c r="AB131" s="17" t="str">
        <f>IFERROR(VLOOKUP(シフト組み!AB161,役職一覧!$B:$D,2,FALSE),"")</f>
        <v/>
      </c>
      <c r="AC131" s="17" t="str">
        <f>IFERROR(VLOOKUP(シフト組み!AC161,役職一覧!$B:$D,2,FALSE),"")</f>
        <v/>
      </c>
      <c r="AD131" s="17" t="str">
        <f>IFERROR(VLOOKUP(シフト組み!AD161,役職一覧!$B:$D,2,FALSE),"")</f>
        <v/>
      </c>
      <c r="AE131" s="17" t="str">
        <f>IFERROR(VLOOKUP(シフト組み!AE161,役職一覧!$B:$D,2,FALSE),"")</f>
        <v/>
      </c>
      <c r="AF131" s="17" t="str">
        <f>IFERROR(VLOOKUP(シフト組み!AF161,役職一覧!$B:$D,2,FALSE),"")</f>
        <v/>
      </c>
      <c r="AG131" s="17" t="str">
        <f>IFERROR(VLOOKUP(シフト組み!AG161,役職一覧!$B:$D,2,FALSE),"")</f>
        <v/>
      </c>
      <c r="AH131" s="17" t="str">
        <f>IFERROR(VLOOKUP(シフト組み!AH161,役職一覧!$B:$D,2,FALSE),"")</f>
        <v/>
      </c>
      <c r="AI131" s="17" t="str">
        <f>IFERROR(VLOOKUP(シフト組み!AI161,役職一覧!$B:$D,2,FALSE),"")</f>
        <v/>
      </c>
      <c r="AJ131" s="17" t="str">
        <f>IFERROR(VLOOKUP(シフト組み!AJ161,役職一覧!$B:$D,2,FALSE),"")</f>
        <v/>
      </c>
      <c r="AK131" s="17" t="str">
        <f>IFERROR(VLOOKUP(シフト組み!AK161,役職一覧!$B:$D,2,FALSE),"")</f>
        <v/>
      </c>
      <c r="AL131" s="17" t="str">
        <f>IFERROR(VLOOKUP(シフト組み!AL161,役職一覧!$B:$D,2,FALSE),"")</f>
        <v/>
      </c>
      <c r="AM131" s="17" t="str">
        <f>IFERROR(VLOOKUP(シフト組み!AM161,役職一覧!$B:$D,2,FALSE),"")</f>
        <v/>
      </c>
      <c r="AN131" s="17" t="str">
        <f>IFERROR(VLOOKUP(シフト組み!AN161,役職一覧!$B:$D,2,FALSE),"")</f>
        <v/>
      </c>
      <c r="AO131" s="17" t="str">
        <f>IFERROR(VLOOKUP(シフト組み!AO161,役職一覧!$B:$D,2,FALSE),"")</f>
        <v/>
      </c>
      <c r="AP131" s="17" t="str">
        <f>IFERROR(VLOOKUP(シフト組み!AP161,役職一覧!$B:$D,2,FALSE),"")</f>
        <v/>
      </c>
      <c r="AQ131" s="17" t="str">
        <f>IFERROR(VLOOKUP(シフト組み!AQ161,役職一覧!$B:$D,2,FALSE),"")</f>
        <v/>
      </c>
      <c r="AR131" s="17" t="str">
        <f>IFERROR(VLOOKUP(シフト組み!AR161,役職一覧!$B:$D,2,FALSE),"")</f>
        <v/>
      </c>
      <c r="AS131" s="17" t="str">
        <f>IFERROR(VLOOKUP(シフト組み!AS161,役職一覧!$B:$D,2,FALSE),"")</f>
        <v/>
      </c>
      <c r="AT131" s="17" t="str">
        <f>IFERROR(VLOOKUP(シフト組み!AT161,役職一覧!$B:$D,2,FALSE),"")</f>
        <v/>
      </c>
      <c r="AU131" s="17" t="str">
        <f>IFERROR(VLOOKUP(シフト組み!AU161,役職一覧!$B:$D,2,FALSE),"")</f>
        <v/>
      </c>
      <c r="AV131" s="17" t="str">
        <f>IFERROR(VLOOKUP(シフト組み!AV161,役職一覧!$B:$D,2,FALSE),"")</f>
        <v/>
      </c>
      <c r="AW131" s="17" t="str">
        <f>IFERROR(VLOOKUP(シフト組み!AW161,役職一覧!$B:$D,2,FALSE),"")</f>
        <v/>
      </c>
      <c r="AX131" s="17" t="str">
        <f>IFERROR(VLOOKUP(シフト組み!AX161,役職一覧!$B:$D,2,FALSE),"")</f>
        <v/>
      </c>
      <c r="AY131" s="17" t="str">
        <f>IFERROR(VLOOKUP(シフト組み!AY161,役職一覧!$B:$D,2,FALSE),"")</f>
        <v/>
      </c>
      <c r="AZ131" s="17" t="str">
        <f>IFERROR(VLOOKUP(シフト組み!AZ161,役職一覧!$B:$D,2,FALSE),"")</f>
        <v/>
      </c>
      <c r="BA131" s="17" t="str">
        <f>IFERROR(VLOOKUP(シフト組み!BA161,役職一覧!$B:$D,2,FALSE),"")</f>
        <v/>
      </c>
    </row>
    <row r="132" spans="1:53">
      <c r="A132" s="2" t="str">
        <f>シフト組み!A162&amp;""</f>
        <v/>
      </c>
      <c r="B132" s="2" t="str">
        <f>シフト組み!B162&amp;""</f>
        <v/>
      </c>
      <c r="C132" s="2" t="str">
        <f>シフト組み!C162&amp;""</f>
        <v/>
      </c>
      <c r="D132" s="17" t="str">
        <f>IFERROR(VLOOKUP(シフト組み!D162,役職一覧!$B:$D,2,FALSE),"")</f>
        <v/>
      </c>
      <c r="E132" s="17" t="str">
        <f>IFERROR(VLOOKUP(シフト組み!E162,役職一覧!$B:$D,2,FALSE),"")</f>
        <v/>
      </c>
      <c r="F132" s="17" t="str">
        <f>IFERROR(VLOOKUP(シフト組み!F162,役職一覧!$B:$D,2,FALSE),"")</f>
        <v/>
      </c>
      <c r="G132" s="17" t="str">
        <f>IFERROR(VLOOKUP(シフト組み!G162,役職一覧!$B:$D,2,FALSE),"")</f>
        <v/>
      </c>
      <c r="H132" s="17" t="str">
        <f>IFERROR(VLOOKUP(シフト組み!H162,役職一覧!$B:$D,2,FALSE),"")</f>
        <v/>
      </c>
      <c r="I132" s="17" t="str">
        <f>IFERROR(VLOOKUP(シフト組み!I162,役職一覧!$B:$D,2,FALSE),"")</f>
        <v/>
      </c>
      <c r="J132" s="17" t="str">
        <f>IFERROR(VLOOKUP(シフト組み!J162,役職一覧!$B:$D,2,FALSE),"")</f>
        <v/>
      </c>
      <c r="K132" s="17" t="str">
        <f>IFERROR(VLOOKUP(シフト組み!K162,役職一覧!$B:$D,2,FALSE),"")</f>
        <v/>
      </c>
      <c r="L132" s="17" t="str">
        <f>IFERROR(VLOOKUP(シフト組み!L162,役職一覧!$B:$D,2,FALSE),"")</f>
        <v/>
      </c>
      <c r="M132" s="17" t="str">
        <f>IFERROR(VLOOKUP(シフト組み!M162,役職一覧!$B:$D,2,FALSE),"")</f>
        <v/>
      </c>
      <c r="N132" s="17" t="str">
        <f>IFERROR(VLOOKUP(シフト組み!N162,役職一覧!$B:$D,2,FALSE),"")</f>
        <v/>
      </c>
      <c r="O132" s="17" t="str">
        <f>IFERROR(VLOOKUP(シフト組み!O162,役職一覧!$B:$D,2,FALSE),"")</f>
        <v/>
      </c>
      <c r="P132" s="17" t="str">
        <f>IFERROR(VLOOKUP(シフト組み!P162,役職一覧!$B:$D,2,FALSE),"")</f>
        <v/>
      </c>
      <c r="Q132" s="17" t="str">
        <f>IFERROR(VLOOKUP(シフト組み!Q162,役職一覧!$B:$D,2,FALSE),"")</f>
        <v/>
      </c>
      <c r="R132" s="17" t="str">
        <f>IFERROR(VLOOKUP(シフト組み!R162,役職一覧!$B:$D,2,FALSE),"")</f>
        <v/>
      </c>
      <c r="S132" s="17" t="str">
        <f>IFERROR(VLOOKUP(シフト組み!S162,役職一覧!$B:$D,2,FALSE),"")</f>
        <v/>
      </c>
      <c r="T132" s="17" t="str">
        <f>IFERROR(VLOOKUP(シフト組み!T162,役職一覧!$B:$D,2,FALSE),"")</f>
        <v/>
      </c>
      <c r="U132" s="17" t="str">
        <f>IFERROR(VLOOKUP(シフト組み!U162,役職一覧!$B:$D,2,FALSE),"")</f>
        <v/>
      </c>
      <c r="V132" s="17" t="str">
        <f>IFERROR(VLOOKUP(シフト組み!V162,役職一覧!$B:$D,2,FALSE),"")</f>
        <v/>
      </c>
      <c r="W132" s="17" t="str">
        <f>IFERROR(VLOOKUP(シフト組み!W162,役職一覧!$B:$D,2,FALSE),"")</f>
        <v/>
      </c>
      <c r="X132" s="17" t="str">
        <f>IFERROR(VLOOKUP(シフト組み!X162,役職一覧!$B:$D,2,FALSE),"")</f>
        <v/>
      </c>
      <c r="Y132" s="17" t="str">
        <f>IFERROR(VLOOKUP(シフト組み!Y162,役職一覧!$B:$D,2,FALSE),"")</f>
        <v/>
      </c>
      <c r="Z132" s="17" t="str">
        <f>IFERROR(VLOOKUP(シフト組み!Z162,役職一覧!$B:$D,2,FALSE),"")</f>
        <v/>
      </c>
      <c r="AA132" s="17" t="str">
        <f>IFERROR(VLOOKUP(シフト組み!AA162,役職一覧!$B:$D,2,FALSE),"")</f>
        <v/>
      </c>
      <c r="AB132" s="17" t="str">
        <f>IFERROR(VLOOKUP(シフト組み!AB162,役職一覧!$B:$D,2,FALSE),"")</f>
        <v/>
      </c>
      <c r="AC132" s="17" t="str">
        <f>IFERROR(VLOOKUP(シフト組み!AC162,役職一覧!$B:$D,2,FALSE),"")</f>
        <v/>
      </c>
      <c r="AD132" s="17" t="str">
        <f>IFERROR(VLOOKUP(シフト組み!AD162,役職一覧!$B:$D,2,FALSE),"")</f>
        <v/>
      </c>
      <c r="AE132" s="17" t="str">
        <f>IFERROR(VLOOKUP(シフト組み!AE162,役職一覧!$B:$D,2,FALSE),"")</f>
        <v/>
      </c>
      <c r="AF132" s="17" t="str">
        <f>IFERROR(VLOOKUP(シフト組み!AF162,役職一覧!$B:$D,2,FALSE),"")</f>
        <v/>
      </c>
      <c r="AG132" s="17" t="str">
        <f>IFERROR(VLOOKUP(シフト組み!AG162,役職一覧!$B:$D,2,FALSE),"")</f>
        <v/>
      </c>
      <c r="AH132" s="17" t="str">
        <f>IFERROR(VLOOKUP(シフト組み!AH162,役職一覧!$B:$D,2,FALSE),"")</f>
        <v/>
      </c>
      <c r="AI132" s="17" t="str">
        <f>IFERROR(VLOOKUP(シフト組み!AI162,役職一覧!$B:$D,2,FALSE),"")</f>
        <v/>
      </c>
      <c r="AJ132" s="17" t="str">
        <f>IFERROR(VLOOKUP(シフト組み!AJ162,役職一覧!$B:$D,2,FALSE),"")</f>
        <v/>
      </c>
      <c r="AK132" s="17" t="str">
        <f>IFERROR(VLOOKUP(シフト組み!AK162,役職一覧!$B:$D,2,FALSE),"")</f>
        <v/>
      </c>
      <c r="AL132" s="17" t="str">
        <f>IFERROR(VLOOKUP(シフト組み!AL162,役職一覧!$B:$D,2,FALSE),"")</f>
        <v/>
      </c>
      <c r="AM132" s="17" t="str">
        <f>IFERROR(VLOOKUP(シフト組み!AM162,役職一覧!$B:$D,2,FALSE),"")</f>
        <v/>
      </c>
      <c r="AN132" s="17" t="str">
        <f>IFERROR(VLOOKUP(シフト組み!AN162,役職一覧!$B:$D,2,FALSE),"")</f>
        <v/>
      </c>
      <c r="AO132" s="17" t="str">
        <f>IFERROR(VLOOKUP(シフト組み!AO162,役職一覧!$B:$D,2,FALSE),"")</f>
        <v/>
      </c>
      <c r="AP132" s="17" t="str">
        <f>IFERROR(VLOOKUP(シフト組み!AP162,役職一覧!$B:$D,2,FALSE),"")</f>
        <v/>
      </c>
      <c r="AQ132" s="17" t="str">
        <f>IFERROR(VLOOKUP(シフト組み!AQ162,役職一覧!$B:$D,2,FALSE),"")</f>
        <v/>
      </c>
      <c r="AR132" s="17" t="str">
        <f>IFERROR(VLOOKUP(シフト組み!AR162,役職一覧!$B:$D,2,FALSE),"")</f>
        <v/>
      </c>
      <c r="AS132" s="17" t="str">
        <f>IFERROR(VLOOKUP(シフト組み!AS162,役職一覧!$B:$D,2,FALSE),"")</f>
        <v/>
      </c>
      <c r="AT132" s="17" t="str">
        <f>IFERROR(VLOOKUP(シフト組み!AT162,役職一覧!$B:$D,2,FALSE),"")</f>
        <v/>
      </c>
      <c r="AU132" s="17" t="str">
        <f>IFERROR(VLOOKUP(シフト組み!AU162,役職一覧!$B:$D,2,FALSE),"")</f>
        <v/>
      </c>
      <c r="AV132" s="17" t="str">
        <f>IFERROR(VLOOKUP(シフト組み!AV162,役職一覧!$B:$D,2,FALSE),"")</f>
        <v/>
      </c>
      <c r="AW132" s="17" t="str">
        <f>IFERROR(VLOOKUP(シフト組み!AW162,役職一覧!$B:$D,2,FALSE),"")</f>
        <v/>
      </c>
      <c r="AX132" s="17" t="str">
        <f>IFERROR(VLOOKUP(シフト組み!AX162,役職一覧!$B:$D,2,FALSE),"")</f>
        <v/>
      </c>
      <c r="AY132" s="17" t="str">
        <f>IFERROR(VLOOKUP(シフト組み!AY162,役職一覧!$B:$D,2,FALSE),"")</f>
        <v/>
      </c>
      <c r="AZ132" s="17" t="str">
        <f>IFERROR(VLOOKUP(シフト組み!AZ162,役職一覧!$B:$D,2,FALSE),"")</f>
        <v/>
      </c>
      <c r="BA132" s="17" t="str">
        <f>IFERROR(VLOOKUP(シフト組み!BA162,役職一覧!$B:$D,2,FALSE),"")</f>
        <v/>
      </c>
    </row>
    <row r="133" spans="1:53">
      <c r="A133" s="2" t="str">
        <f>シフト組み!A163&amp;""</f>
        <v/>
      </c>
      <c r="B133" s="2" t="str">
        <f>シフト組み!B163&amp;""</f>
        <v/>
      </c>
      <c r="C133" s="2" t="str">
        <f>シフト組み!C163&amp;""</f>
        <v/>
      </c>
      <c r="D133" s="17" t="str">
        <f>IFERROR(VLOOKUP(シフト組み!D163,役職一覧!$B:$D,2,FALSE),"")</f>
        <v/>
      </c>
      <c r="E133" s="17" t="str">
        <f>IFERROR(VLOOKUP(シフト組み!E163,役職一覧!$B:$D,2,FALSE),"")</f>
        <v/>
      </c>
      <c r="F133" s="17" t="str">
        <f>IFERROR(VLOOKUP(シフト組み!F163,役職一覧!$B:$D,2,FALSE),"")</f>
        <v/>
      </c>
      <c r="G133" s="17" t="str">
        <f>IFERROR(VLOOKUP(シフト組み!G163,役職一覧!$B:$D,2,FALSE),"")</f>
        <v/>
      </c>
      <c r="H133" s="17" t="str">
        <f>IFERROR(VLOOKUP(シフト組み!H163,役職一覧!$B:$D,2,FALSE),"")</f>
        <v/>
      </c>
      <c r="I133" s="17" t="str">
        <f>IFERROR(VLOOKUP(シフト組み!I163,役職一覧!$B:$D,2,FALSE),"")</f>
        <v/>
      </c>
      <c r="J133" s="17" t="str">
        <f>IFERROR(VLOOKUP(シフト組み!J163,役職一覧!$B:$D,2,FALSE),"")</f>
        <v/>
      </c>
      <c r="K133" s="17" t="str">
        <f>IFERROR(VLOOKUP(シフト組み!K163,役職一覧!$B:$D,2,FALSE),"")</f>
        <v/>
      </c>
      <c r="L133" s="17" t="str">
        <f>IFERROR(VLOOKUP(シフト組み!L163,役職一覧!$B:$D,2,FALSE),"")</f>
        <v/>
      </c>
      <c r="M133" s="17" t="str">
        <f>IFERROR(VLOOKUP(シフト組み!M163,役職一覧!$B:$D,2,FALSE),"")</f>
        <v/>
      </c>
      <c r="N133" s="17" t="str">
        <f>IFERROR(VLOOKUP(シフト組み!N163,役職一覧!$B:$D,2,FALSE),"")</f>
        <v/>
      </c>
      <c r="O133" s="17" t="str">
        <f>IFERROR(VLOOKUP(シフト組み!O163,役職一覧!$B:$D,2,FALSE),"")</f>
        <v/>
      </c>
      <c r="P133" s="17" t="str">
        <f>IFERROR(VLOOKUP(シフト組み!P163,役職一覧!$B:$D,2,FALSE),"")</f>
        <v/>
      </c>
      <c r="Q133" s="17" t="str">
        <f>IFERROR(VLOOKUP(シフト組み!Q163,役職一覧!$B:$D,2,FALSE),"")</f>
        <v/>
      </c>
      <c r="R133" s="17" t="str">
        <f>IFERROR(VLOOKUP(シフト組み!R163,役職一覧!$B:$D,2,FALSE),"")</f>
        <v/>
      </c>
      <c r="S133" s="17" t="str">
        <f>IFERROR(VLOOKUP(シフト組み!S163,役職一覧!$B:$D,2,FALSE),"")</f>
        <v/>
      </c>
      <c r="T133" s="17" t="str">
        <f>IFERROR(VLOOKUP(シフト組み!T163,役職一覧!$B:$D,2,FALSE),"")</f>
        <v/>
      </c>
      <c r="U133" s="17" t="str">
        <f>IFERROR(VLOOKUP(シフト組み!U163,役職一覧!$B:$D,2,FALSE),"")</f>
        <v/>
      </c>
      <c r="V133" s="17" t="str">
        <f>IFERROR(VLOOKUP(シフト組み!V163,役職一覧!$B:$D,2,FALSE),"")</f>
        <v/>
      </c>
      <c r="W133" s="17" t="str">
        <f>IFERROR(VLOOKUP(シフト組み!W163,役職一覧!$B:$D,2,FALSE),"")</f>
        <v/>
      </c>
      <c r="X133" s="17" t="str">
        <f>IFERROR(VLOOKUP(シフト組み!X163,役職一覧!$B:$D,2,FALSE),"")</f>
        <v/>
      </c>
      <c r="Y133" s="17" t="str">
        <f>IFERROR(VLOOKUP(シフト組み!Y163,役職一覧!$B:$D,2,FALSE),"")</f>
        <v/>
      </c>
      <c r="Z133" s="17" t="str">
        <f>IFERROR(VLOOKUP(シフト組み!Z163,役職一覧!$B:$D,2,FALSE),"")</f>
        <v/>
      </c>
      <c r="AA133" s="17" t="str">
        <f>IFERROR(VLOOKUP(シフト組み!AA163,役職一覧!$B:$D,2,FALSE),"")</f>
        <v/>
      </c>
      <c r="AB133" s="17" t="str">
        <f>IFERROR(VLOOKUP(シフト組み!AB163,役職一覧!$B:$D,2,FALSE),"")</f>
        <v/>
      </c>
      <c r="AC133" s="17" t="str">
        <f>IFERROR(VLOOKUP(シフト組み!AC163,役職一覧!$B:$D,2,FALSE),"")</f>
        <v/>
      </c>
      <c r="AD133" s="17" t="str">
        <f>IFERROR(VLOOKUP(シフト組み!AD163,役職一覧!$B:$D,2,FALSE),"")</f>
        <v/>
      </c>
      <c r="AE133" s="17" t="str">
        <f>IFERROR(VLOOKUP(シフト組み!AE163,役職一覧!$B:$D,2,FALSE),"")</f>
        <v/>
      </c>
      <c r="AF133" s="17" t="str">
        <f>IFERROR(VLOOKUP(シフト組み!AF163,役職一覧!$B:$D,2,FALSE),"")</f>
        <v/>
      </c>
      <c r="AG133" s="17" t="str">
        <f>IFERROR(VLOOKUP(シフト組み!AG163,役職一覧!$B:$D,2,FALSE),"")</f>
        <v/>
      </c>
      <c r="AH133" s="17" t="str">
        <f>IFERROR(VLOOKUP(シフト組み!AH163,役職一覧!$B:$D,2,FALSE),"")</f>
        <v/>
      </c>
      <c r="AI133" s="17" t="str">
        <f>IFERROR(VLOOKUP(シフト組み!AI163,役職一覧!$B:$D,2,FALSE),"")</f>
        <v/>
      </c>
      <c r="AJ133" s="17" t="str">
        <f>IFERROR(VLOOKUP(シフト組み!AJ163,役職一覧!$B:$D,2,FALSE),"")</f>
        <v/>
      </c>
      <c r="AK133" s="17" t="str">
        <f>IFERROR(VLOOKUP(シフト組み!AK163,役職一覧!$B:$D,2,FALSE),"")</f>
        <v/>
      </c>
      <c r="AL133" s="17" t="str">
        <f>IFERROR(VLOOKUP(シフト組み!AL163,役職一覧!$B:$D,2,FALSE),"")</f>
        <v/>
      </c>
      <c r="AM133" s="17" t="str">
        <f>IFERROR(VLOOKUP(シフト組み!AM163,役職一覧!$B:$D,2,FALSE),"")</f>
        <v/>
      </c>
      <c r="AN133" s="17" t="str">
        <f>IFERROR(VLOOKUP(シフト組み!AN163,役職一覧!$B:$D,2,FALSE),"")</f>
        <v/>
      </c>
      <c r="AO133" s="17" t="str">
        <f>IFERROR(VLOOKUP(シフト組み!AO163,役職一覧!$B:$D,2,FALSE),"")</f>
        <v/>
      </c>
      <c r="AP133" s="17" t="str">
        <f>IFERROR(VLOOKUP(シフト組み!AP163,役職一覧!$B:$D,2,FALSE),"")</f>
        <v/>
      </c>
      <c r="AQ133" s="17" t="str">
        <f>IFERROR(VLOOKUP(シフト組み!AQ163,役職一覧!$B:$D,2,FALSE),"")</f>
        <v/>
      </c>
      <c r="AR133" s="17" t="str">
        <f>IFERROR(VLOOKUP(シフト組み!AR163,役職一覧!$B:$D,2,FALSE),"")</f>
        <v/>
      </c>
      <c r="AS133" s="17" t="str">
        <f>IFERROR(VLOOKUP(シフト組み!AS163,役職一覧!$B:$D,2,FALSE),"")</f>
        <v/>
      </c>
      <c r="AT133" s="17" t="str">
        <f>IFERROR(VLOOKUP(シフト組み!AT163,役職一覧!$B:$D,2,FALSE),"")</f>
        <v/>
      </c>
      <c r="AU133" s="17" t="str">
        <f>IFERROR(VLOOKUP(シフト組み!AU163,役職一覧!$B:$D,2,FALSE),"")</f>
        <v/>
      </c>
      <c r="AV133" s="17" t="str">
        <f>IFERROR(VLOOKUP(シフト組み!AV163,役職一覧!$B:$D,2,FALSE),"")</f>
        <v/>
      </c>
      <c r="AW133" s="17" t="str">
        <f>IFERROR(VLOOKUP(シフト組み!AW163,役職一覧!$B:$D,2,FALSE),"")</f>
        <v/>
      </c>
      <c r="AX133" s="17" t="str">
        <f>IFERROR(VLOOKUP(シフト組み!AX163,役職一覧!$B:$D,2,FALSE),"")</f>
        <v/>
      </c>
      <c r="AY133" s="17" t="str">
        <f>IFERROR(VLOOKUP(シフト組み!AY163,役職一覧!$B:$D,2,FALSE),"")</f>
        <v/>
      </c>
      <c r="AZ133" s="17" t="str">
        <f>IFERROR(VLOOKUP(シフト組み!AZ163,役職一覧!$B:$D,2,FALSE),"")</f>
        <v/>
      </c>
      <c r="BA133" s="17" t="str">
        <f>IFERROR(VLOOKUP(シフト組み!BA163,役職一覧!$B:$D,2,FALSE),"")</f>
        <v/>
      </c>
    </row>
    <row r="134" spans="1:53">
      <c r="A134" s="2" t="str">
        <f>シフト組み!A164&amp;""</f>
        <v/>
      </c>
      <c r="B134" s="2" t="str">
        <f>シフト組み!B164&amp;""</f>
        <v/>
      </c>
      <c r="C134" s="2" t="str">
        <f>シフト組み!C164&amp;""</f>
        <v/>
      </c>
      <c r="D134" s="17" t="str">
        <f>IFERROR(VLOOKUP(シフト組み!D164,役職一覧!$B:$D,2,FALSE),"")</f>
        <v/>
      </c>
      <c r="E134" s="17" t="str">
        <f>IFERROR(VLOOKUP(シフト組み!E164,役職一覧!$B:$D,2,FALSE),"")</f>
        <v/>
      </c>
      <c r="F134" s="17" t="str">
        <f>IFERROR(VLOOKUP(シフト組み!F164,役職一覧!$B:$D,2,FALSE),"")</f>
        <v/>
      </c>
      <c r="G134" s="17" t="str">
        <f>IFERROR(VLOOKUP(シフト組み!G164,役職一覧!$B:$D,2,FALSE),"")</f>
        <v/>
      </c>
      <c r="H134" s="17" t="str">
        <f>IFERROR(VLOOKUP(シフト組み!H164,役職一覧!$B:$D,2,FALSE),"")</f>
        <v/>
      </c>
      <c r="I134" s="17" t="str">
        <f>IFERROR(VLOOKUP(シフト組み!I164,役職一覧!$B:$D,2,FALSE),"")</f>
        <v/>
      </c>
      <c r="J134" s="17" t="str">
        <f>IFERROR(VLOOKUP(シフト組み!J164,役職一覧!$B:$D,2,FALSE),"")</f>
        <v/>
      </c>
      <c r="K134" s="17" t="str">
        <f>IFERROR(VLOOKUP(シフト組み!K164,役職一覧!$B:$D,2,FALSE),"")</f>
        <v/>
      </c>
      <c r="L134" s="17" t="str">
        <f>IFERROR(VLOOKUP(シフト組み!L164,役職一覧!$B:$D,2,FALSE),"")</f>
        <v/>
      </c>
      <c r="M134" s="17" t="str">
        <f>IFERROR(VLOOKUP(シフト組み!M164,役職一覧!$B:$D,2,FALSE),"")</f>
        <v/>
      </c>
      <c r="N134" s="17" t="str">
        <f>IFERROR(VLOOKUP(シフト組み!N164,役職一覧!$B:$D,2,FALSE),"")</f>
        <v/>
      </c>
      <c r="O134" s="17" t="str">
        <f>IFERROR(VLOOKUP(シフト組み!O164,役職一覧!$B:$D,2,FALSE),"")</f>
        <v/>
      </c>
      <c r="P134" s="17" t="str">
        <f>IFERROR(VLOOKUP(シフト組み!P164,役職一覧!$B:$D,2,FALSE),"")</f>
        <v/>
      </c>
      <c r="Q134" s="17" t="str">
        <f>IFERROR(VLOOKUP(シフト組み!Q164,役職一覧!$B:$D,2,FALSE),"")</f>
        <v/>
      </c>
      <c r="R134" s="17" t="str">
        <f>IFERROR(VLOOKUP(シフト組み!R164,役職一覧!$B:$D,2,FALSE),"")</f>
        <v/>
      </c>
      <c r="S134" s="17" t="str">
        <f>IFERROR(VLOOKUP(シフト組み!S164,役職一覧!$B:$D,2,FALSE),"")</f>
        <v/>
      </c>
      <c r="T134" s="17" t="str">
        <f>IFERROR(VLOOKUP(シフト組み!T164,役職一覧!$B:$D,2,FALSE),"")</f>
        <v/>
      </c>
      <c r="U134" s="17" t="str">
        <f>IFERROR(VLOOKUP(シフト組み!U164,役職一覧!$B:$D,2,FALSE),"")</f>
        <v/>
      </c>
      <c r="V134" s="17" t="str">
        <f>IFERROR(VLOOKUP(シフト組み!V164,役職一覧!$B:$D,2,FALSE),"")</f>
        <v/>
      </c>
      <c r="W134" s="17" t="str">
        <f>IFERROR(VLOOKUP(シフト組み!W164,役職一覧!$B:$D,2,FALSE),"")</f>
        <v/>
      </c>
      <c r="X134" s="17" t="str">
        <f>IFERROR(VLOOKUP(シフト組み!X164,役職一覧!$B:$D,2,FALSE),"")</f>
        <v/>
      </c>
      <c r="Y134" s="17" t="str">
        <f>IFERROR(VLOOKUP(シフト組み!Y164,役職一覧!$B:$D,2,FALSE),"")</f>
        <v/>
      </c>
      <c r="Z134" s="17" t="str">
        <f>IFERROR(VLOOKUP(シフト組み!Z164,役職一覧!$B:$D,2,FALSE),"")</f>
        <v/>
      </c>
      <c r="AA134" s="17" t="str">
        <f>IFERROR(VLOOKUP(シフト組み!AA164,役職一覧!$B:$D,2,FALSE),"")</f>
        <v/>
      </c>
      <c r="AB134" s="17" t="str">
        <f>IFERROR(VLOOKUP(シフト組み!AB164,役職一覧!$B:$D,2,FALSE),"")</f>
        <v/>
      </c>
      <c r="AC134" s="17" t="str">
        <f>IFERROR(VLOOKUP(シフト組み!AC164,役職一覧!$B:$D,2,FALSE),"")</f>
        <v/>
      </c>
      <c r="AD134" s="17" t="str">
        <f>IFERROR(VLOOKUP(シフト組み!AD164,役職一覧!$B:$D,2,FALSE),"")</f>
        <v/>
      </c>
      <c r="AE134" s="17" t="str">
        <f>IFERROR(VLOOKUP(シフト組み!AE164,役職一覧!$B:$D,2,FALSE),"")</f>
        <v/>
      </c>
      <c r="AF134" s="17" t="str">
        <f>IFERROR(VLOOKUP(シフト組み!AF164,役職一覧!$B:$D,2,FALSE),"")</f>
        <v/>
      </c>
      <c r="AG134" s="17" t="str">
        <f>IFERROR(VLOOKUP(シフト組み!AG164,役職一覧!$B:$D,2,FALSE),"")</f>
        <v/>
      </c>
      <c r="AH134" s="17" t="str">
        <f>IFERROR(VLOOKUP(シフト組み!AH164,役職一覧!$B:$D,2,FALSE),"")</f>
        <v/>
      </c>
      <c r="AI134" s="17" t="str">
        <f>IFERROR(VLOOKUP(シフト組み!AI164,役職一覧!$B:$D,2,FALSE),"")</f>
        <v/>
      </c>
      <c r="AJ134" s="17" t="str">
        <f>IFERROR(VLOOKUP(シフト組み!AJ164,役職一覧!$B:$D,2,FALSE),"")</f>
        <v/>
      </c>
      <c r="AK134" s="17" t="str">
        <f>IFERROR(VLOOKUP(シフト組み!AK164,役職一覧!$B:$D,2,FALSE),"")</f>
        <v/>
      </c>
      <c r="AL134" s="17" t="str">
        <f>IFERROR(VLOOKUP(シフト組み!AL164,役職一覧!$B:$D,2,FALSE),"")</f>
        <v/>
      </c>
      <c r="AM134" s="17" t="str">
        <f>IFERROR(VLOOKUP(シフト組み!AM164,役職一覧!$B:$D,2,FALSE),"")</f>
        <v/>
      </c>
      <c r="AN134" s="17" t="str">
        <f>IFERROR(VLOOKUP(シフト組み!AN164,役職一覧!$B:$D,2,FALSE),"")</f>
        <v/>
      </c>
      <c r="AO134" s="17" t="str">
        <f>IFERROR(VLOOKUP(シフト組み!AO164,役職一覧!$B:$D,2,FALSE),"")</f>
        <v/>
      </c>
      <c r="AP134" s="17" t="str">
        <f>IFERROR(VLOOKUP(シフト組み!AP164,役職一覧!$B:$D,2,FALSE),"")</f>
        <v/>
      </c>
      <c r="AQ134" s="17" t="str">
        <f>IFERROR(VLOOKUP(シフト組み!AQ164,役職一覧!$B:$D,2,FALSE),"")</f>
        <v/>
      </c>
      <c r="AR134" s="17" t="str">
        <f>IFERROR(VLOOKUP(シフト組み!AR164,役職一覧!$B:$D,2,FALSE),"")</f>
        <v/>
      </c>
      <c r="AS134" s="17" t="str">
        <f>IFERROR(VLOOKUP(シフト組み!AS164,役職一覧!$B:$D,2,FALSE),"")</f>
        <v/>
      </c>
      <c r="AT134" s="17" t="str">
        <f>IFERROR(VLOOKUP(シフト組み!AT164,役職一覧!$B:$D,2,FALSE),"")</f>
        <v/>
      </c>
      <c r="AU134" s="17" t="str">
        <f>IFERROR(VLOOKUP(シフト組み!AU164,役職一覧!$B:$D,2,FALSE),"")</f>
        <v/>
      </c>
      <c r="AV134" s="17" t="str">
        <f>IFERROR(VLOOKUP(シフト組み!AV164,役職一覧!$B:$D,2,FALSE),"")</f>
        <v/>
      </c>
      <c r="AW134" s="17" t="str">
        <f>IFERROR(VLOOKUP(シフト組み!AW164,役職一覧!$B:$D,2,FALSE),"")</f>
        <v/>
      </c>
      <c r="AX134" s="17" t="str">
        <f>IFERROR(VLOOKUP(シフト組み!AX164,役職一覧!$B:$D,2,FALSE),"")</f>
        <v/>
      </c>
      <c r="AY134" s="17" t="str">
        <f>IFERROR(VLOOKUP(シフト組み!AY164,役職一覧!$B:$D,2,FALSE),"")</f>
        <v/>
      </c>
      <c r="AZ134" s="17" t="str">
        <f>IFERROR(VLOOKUP(シフト組み!AZ164,役職一覧!$B:$D,2,FALSE),"")</f>
        <v/>
      </c>
      <c r="BA134" s="17" t="str">
        <f>IFERROR(VLOOKUP(シフト組み!BA164,役職一覧!$B:$D,2,FALSE),"")</f>
        <v/>
      </c>
    </row>
    <row r="135" spans="1:53">
      <c r="A135" s="2" t="str">
        <f>シフト組み!A165&amp;""</f>
        <v/>
      </c>
      <c r="B135" s="2" t="str">
        <f>シフト組み!B165&amp;""</f>
        <v/>
      </c>
      <c r="C135" s="2" t="str">
        <f>シフト組み!C165&amp;""</f>
        <v/>
      </c>
      <c r="D135" s="17" t="str">
        <f>IFERROR(VLOOKUP(シフト組み!D165,役職一覧!$B:$D,2,FALSE),"")</f>
        <v/>
      </c>
      <c r="E135" s="17" t="str">
        <f>IFERROR(VLOOKUP(シフト組み!E165,役職一覧!$B:$D,2,FALSE),"")</f>
        <v/>
      </c>
      <c r="F135" s="17" t="str">
        <f>IFERROR(VLOOKUP(シフト組み!F165,役職一覧!$B:$D,2,FALSE),"")</f>
        <v/>
      </c>
      <c r="G135" s="17" t="str">
        <f>IFERROR(VLOOKUP(シフト組み!G165,役職一覧!$B:$D,2,FALSE),"")</f>
        <v/>
      </c>
      <c r="H135" s="17" t="str">
        <f>IFERROR(VLOOKUP(シフト組み!H165,役職一覧!$B:$D,2,FALSE),"")</f>
        <v/>
      </c>
      <c r="I135" s="17" t="str">
        <f>IFERROR(VLOOKUP(シフト組み!I165,役職一覧!$B:$D,2,FALSE),"")</f>
        <v/>
      </c>
      <c r="J135" s="17" t="str">
        <f>IFERROR(VLOOKUP(シフト組み!J165,役職一覧!$B:$D,2,FALSE),"")</f>
        <v/>
      </c>
      <c r="K135" s="17" t="str">
        <f>IFERROR(VLOOKUP(シフト組み!K165,役職一覧!$B:$D,2,FALSE),"")</f>
        <v/>
      </c>
      <c r="L135" s="17" t="str">
        <f>IFERROR(VLOOKUP(シフト組み!L165,役職一覧!$B:$D,2,FALSE),"")</f>
        <v/>
      </c>
      <c r="M135" s="17" t="str">
        <f>IFERROR(VLOOKUP(シフト組み!M165,役職一覧!$B:$D,2,FALSE),"")</f>
        <v/>
      </c>
      <c r="N135" s="17" t="str">
        <f>IFERROR(VLOOKUP(シフト組み!N165,役職一覧!$B:$D,2,FALSE),"")</f>
        <v/>
      </c>
      <c r="O135" s="17" t="str">
        <f>IFERROR(VLOOKUP(シフト組み!O165,役職一覧!$B:$D,2,FALSE),"")</f>
        <v/>
      </c>
      <c r="P135" s="17" t="str">
        <f>IFERROR(VLOOKUP(シフト組み!P165,役職一覧!$B:$D,2,FALSE),"")</f>
        <v/>
      </c>
      <c r="Q135" s="17" t="str">
        <f>IFERROR(VLOOKUP(シフト組み!Q165,役職一覧!$B:$D,2,FALSE),"")</f>
        <v/>
      </c>
      <c r="R135" s="17" t="str">
        <f>IFERROR(VLOOKUP(シフト組み!R165,役職一覧!$B:$D,2,FALSE),"")</f>
        <v/>
      </c>
      <c r="S135" s="17" t="str">
        <f>IFERROR(VLOOKUP(シフト組み!S165,役職一覧!$B:$D,2,FALSE),"")</f>
        <v/>
      </c>
      <c r="T135" s="17" t="str">
        <f>IFERROR(VLOOKUP(シフト組み!T165,役職一覧!$B:$D,2,FALSE),"")</f>
        <v/>
      </c>
      <c r="U135" s="17" t="str">
        <f>IFERROR(VLOOKUP(シフト組み!U165,役職一覧!$B:$D,2,FALSE),"")</f>
        <v/>
      </c>
      <c r="V135" s="17" t="str">
        <f>IFERROR(VLOOKUP(シフト組み!V165,役職一覧!$B:$D,2,FALSE),"")</f>
        <v/>
      </c>
      <c r="W135" s="17" t="str">
        <f>IFERROR(VLOOKUP(シフト組み!W165,役職一覧!$B:$D,2,FALSE),"")</f>
        <v/>
      </c>
      <c r="X135" s="17" t="str">
        <f>IFERROR(VLOOKUP(シフト組み!X165,役職一覧!$B:$D,2,FALSE),"")</f>
        <v/>
      </c>
      <c r="Y135" s="17" t="str">
        <f>IFERROR(VLOOKUP(シフト組み!Y165,役職一覧!$B:$D,2,FALSE),"")</f>
        <v/>
      </c>
      <c r="Z135" s="17" t="str">
        <f>IFERROR(VLOOKUP(シフト組み!Z165,役職一覧!$B:$D,2,FALSE),"")</f>
        <v/>
      </c>
      <c r="AA135" s="17" t="str">
        <f>IFERROR(VLOOKUP(シフト組み!AA165,役職一覧!$B:$D,2,FALSE),"")</f>
        <v/>
      </c>
      <c r="AB135" s="17" t="str">
        <f>IFERROR(VLOOKUP(シフト組み!AB165,役職一覧!$B:$D,2,FALSE),"")</f>
        <v/>
      </c>
      <c r="AC135" s="17" t="str">
        <f>IFERROR(VLOOKUP(シフト組み!AC165,役職一覧!$B:$D,2,FALSE),"")</f>
        <v/>
      </c>
      <c r="AD135" s="17" t="str">
        <f>IFERROR(VLOOKUP(シフト組み!AD165,役職一覧!$B:$D,2,FALSE),"")</f>
        <v/>
      </c>
      <c r="AE135" s="17" t="str">
        <f>IFERROR(VLOOKUP(シフト組み!AE165,役職一覧!$B:$D,2,FALSE),"")</f>
        <v/>
      </c>
      <c r="AF135" s="17" t="str">
        <f>IFERROR(VLOOKUP(シフト組み!AF165,役職一覧!$B:$D,2,FALSE),"")</f>
        <v/>
      </c>
      <c r="AG135" s="17" t="str">
        <f>IFERROR(VLOOKUP(シフト組み!AG165,役職一覧!$B:$D,2,FALSE),"")</f>
        <v/>
      </c>
      <c r="AH135" s="17" t="str">
        <f>IFERROR(VLOOKUP(シフト組み!AH165,役職一覧!$B:$D,2,FALSE),"")</f>
        <v/>
      </c>
      <c r="AI135" s="17" t="str">
        <f>IFERROR(VLOOKUP(シフト組み!AI165,役職一覧!$B:$D,2,FALSE),"")</f>
        <v/>
      </c>
      <c r="AJ135" s="17" t="str">
        <f>IFERROR(VLOOKUP(シフト組み!AJ165,役職一覧!$B:$D,2,FALSE),"")</f>
        <v/>
      </c>
      <c r="AK135" s="17" t="str">
        <f>IFERROR(VLOOKUP(シフト組み!AK165,役職一覧!$B:$D,2,FALSE),"")</f>
        <v/>
      </c>
      <c r="AL135" s="17" t="str">
        <f>IFERROR(VLOOKUP(シフト組み!AL165,役職一覧!$B:$D,2,FALSE),"")</f>
        <v/>
      </c>
      <c r="AM135" s="17" t="str">
        <f>IFERROR(VLOOKUP(シフト組み!AM165,役職一覧!$B:$D,2,FALSE),"")</f>
        <v/>
      </c>
      <c r="AN135" s="17" t="str">
        <f>IFERROR(VLOOKUP(シフト組み!AN165,役職一覧!$B:$D,2,FALSE),"")</f>
        <v/>
      </c>
      <c r="AO135" s="17" t="str">
        <f>IFERROR(VLOOKUP(シフト組み!AO165,役職一覧!$B:$D,2,FALSE),"")</f>
        <v/>
      </c>
      <c r="AP135" s="17" t="str">
        <f>IFERROR(VLOOKUP(シフト組み!AP165,役職一覧!$B:$D,2,FALSE),"")</f>
        <v/>
      </c>
      <c r="AQ135" s="17" t="str">
        <f>IFERROR(VLOOKUP(シフト組み!AQ165,役職一覧!$B:$D,2,FALSE),"")</f>
        <v/>
      </c>
      <c r="AR135" s="17" t="str">
        <f>IFERROR(VLOOKUP(シフト組み!AR165,役職一覧!$B:$D,2,FALSE),"")</f>
        <v/>
      </c>
      <c r="AS135" s="17" t="str">
        <f>IFERROR(VLOOKUP(シフト組み!AS165,役職一覧!$B:$D,2,FALSE),"")</f>
        <v/>
      </c>
      <c r="AT135" s="17" t="str">
        <f>IFERROR(VLOOKUP(シフト組み!AT165,役職一覧!$B:$D,2,FALSE),"")</f>
        <v/>
      </c>
      <c r="AU135" s="17" t="str">
        <f>IFERROR(VLOOKUP(シフト組み!AU165,役職一覧!$B:$D,2,FALSE),"")</f>
        <v/>
      </c>
      <c r="AV135" s="17" t="str">
        <f>IFERROR(VLOOKUP(シフト組み!AV165,役職一覧!$B:$D,2,FALSE),"")</f>
        <v/>
      </c>
      <c r="AW135" s="17" t="str">
        <f>IFERROR(VLOOKUP(シフト組み!AW165,役職一覧!$B:$D,2,FALSE),"")</f>
        <v/>
      </c>
      <c r="AX135" s="17" t="str">
        <f>IFERROR(VLOOKUP(シフト組み!AX165,役職一覧!$B:$D,2,FALSE),"")</f>
        <v/>
      </c>
      <c r="AY135" s="17" t="str">
        <f>IFERROR(VLOOKUP(シフト組み!AY165,役職一覧!$B:$D,2,FALSE),"")</f>
        <v/>
      </c>
      <c r="AZ135" s="17" t="str">
        <f>IFERROR(VLOOKUP(シフト組み!AZ165,役職一覧!$B:$D,2,FALSE),"")</f>
        <v/>
      </c>
      <c r="BA135" s="17" t="str">
        <f>IFERROR(VLOOKUP(シフト組み!BA165,役職一覧!$B:$D,2,FALSE),"")</f>
        <v/>
      </c>
    </row>
    <row r="136" spans="1:53">
      <c r="A136" s="2" t="str">
        <f>シフト組み!A166&amp;""</f>
        <v/>
      </c>
      <c r="B136" s="2" t="str">
        <f>シフト組み!B166&amp;""</f>
        <v/>
      </c>
      <c r="C136" s="2" t="str">
        <f>シフト組み!C166&amp;""</f>
        <v/>
      </c>
      <c r="D136" s="17" t="str">
        <f>IFERROR(VLOOKUP(シフト組み!D166,役職一覧!$B:$D,2,FALSE),"")</f>
        <v/>
      </c>
      <c r="E136" s="17" t="str">
        <f>IFERROR(VLOOKUP(シフト組み!E166,役職一覧!$B:$D,2,FALSE),"")</f>
        <v/>
      </c>
      <c r="F136" s="17" t="str">
        <f>IFERROR(VLOOKUP(シフト組み!F166,役職一覧!$B:$D,2,FALSE),"")</f>
        <v/>
      </c>
      <c r="G136" s="17" t="str">
        <f>IFERROR(VLOOKUP(シフト組み!G166,役職一覧!$B:$D,2,FALSE),"")</f>
        <v/>
      </c>
      <c r="H136" s="17" t="str">
        <f>IFERROR(VLOOKUP(シフト組み!H166,役職一覧!$B:$D,2,FALSE),"")</f>
        <v/>
      </c>
      <c r="I136" s="17" t="str">
        <f>IFERROR(VLOOKUP(シフト組み!I166,役職一覧!$B:$D,2,FALSE),"")</f>
        <v/>
      </c>
      <c r="J136" s="17" t="str">
        <f>IFERROR(VLOOKUP(シフト組み!J166,役職一覧!$B:$D,2,FALSE),"")</f>
        <v/>
      </c>
      <c r="K136" s="17" t="str">
        <f>IFERROR(VLOOKUP(シフト組み!K166,役職一覧!$B:$D,2,FALSE),"")</f>
        <v/>
      </c>
      <c r="L136" s="17" t="str">
        <f>IFERROR(VLOOKUP(シフト組み!L166,役職一覧!$B:$D,2,FALSE),"")</f>
        <v/>
      </c>
      <c r="M136" s="17" t="str">
        <f>IFERROR(VLOOKUP(シフト組み!M166,役職一覧!$B:$D,2,FALSE),"")</f>
        <v/>
      </c>
      <c r="N136" s="17" t="str">
        <f>IFERROR(VLOOKUP(シフト組み!N166,役職一覧!$B:$D,2,FALSE),"")</f>
        <v/>
      </c>
      <c r="O136" s="17" t="str">
        <f>IFERROR(VLOOKUP(シフト組み!O166,役職一覧!$B:$D,2,FALSE),"")</f>
        <v/>
      </c>
      <c r="P136" s="17" t="str">
        <f>IFERROR(VLOOKUP(シフト組み!P166,役職一覧!$B:$D,2,FALSE),"")</f>
        <v/>
      </c>
      <c r="Q136" s="17" t="str">
        <f>IFERROR(VLOOKUP(シフト組み!Q166,役職一覧!$B:$D,2,FALSE),"")</f>
        <v/>
      </c>
      <c r="R136" s="17" t="str">
        <f>IFERROR(VLOOKUP(シフト組み!R166,役職一覧!$B:$D,2,FALSE),"")</f>
        <v/>
      </c>
      <c r="S136" s="17" t="str">
        <f>IFERROR(VLOOKUP(シフト組み!S166,役職一覧!$B:$D,2,FALSE),"")</f>
        <v/>
      </c>
      <c r="T136" s="17" t="str">
        <f>IFERROR(VLOOKUP(シフト組み!T166,役職一覧!$B:$D,2,FALSE),"")</f>
        <v/>
      </c>
      <c r="U136" s="17" t="str">
        <f>IFERROR(VLOOKUP(シフト組み!U166,役職一覧!$B:$D,2,FALSE),"")</f>
        <v/>
      </c>
      <c r="V136" s="17" t="str">
        <f>IFERROR(VLOOKUP(シフト組み!V166,役職一覧!$B:$D,2,FALSE),"")</f>
        <v/>
      </c>
      <c r="W136" s="17" t="str">
        <f>IFERROR(VLOOKUP(シフト組み!W166,役職一覧!$B:$D,2,FALSE),"")</f>
        <v/>
      </c>
      <c r="X136" s="17" t="str">
        <f>IFERROR(VLOOKUP(シフト組み!X166,役職一覧!$B:$D,2,FALSE),"")</f>
        <v/>
      </c>
      <c r="Y136" s="17" t="str">
        <f>IFERROR(VLOOKUP(シフト組み!Y166,役職一覧!$B:$D,2,FALSE),"")</f>
        <v/>
      </c>
      <c r="Z136" s="17" t="str">
        <f>IFERROR(VLOOKUP(シフト組み!Z166,役職一覧!$B:$D,2,FALSE),"")</f>
        <v/>
      </c>
      <c r="AA136" s="17" t="str">
        <f>IFERROR(VLOOKUP(シフト組み!AA166,役職一覧!$B:$D,2,FALSE),"")</f>
        <v/>
      </c>
      <c r="AB136" s="17" t="str">
        <f>IFERROR(VLOOKUP(シフト組み!AB166,役職一覧!$B:$D,2,FALSE),"")</f>
        <v/>
      </c>
      <c r="AC136" s="17" t="str">
        <f>IFERROR(VLOOKUP(シフト組み!AC166,役職一覧!$B:$D,2,FALSE),"")</f>
        <v/>
      </c>
      <c r="AD136" s="17" t="str">
        <f>IFERROR(VLOOKUP(シフト組み!AD166,役職一覧!$B:$D,2,FALSE),"")</f>
        <v/>
      </c>
      <c r="AE136" s="17" t="str">
        <f>IFERROR(VLOOKUP(シフト組み!AE166,役職一覧!$B:$D,2,FALSE),"")</f>
        <v/>
      </c>
      <c r="AF136" s="17" t="str">
        <f>IFERROR(VLOOKUP(シフト組み!AF166,役職一覧!$B:$D,2,FALSE),"")</f>
        <v/>
      </c>
      <c r="AG136" s="17" t="str">
        <f>IFERROR(VLOOKUP(シフト組み!AG166,役職一覧!$B:$D,2,FALSE),"")</f>
        <v/>
      </c>
      <c r="AH136" s="17" t="str">
        <f>IFERROR(VLOOKUP(シフト組み!AH166,役職一覧!$B:$D,2,FALSE),"")</f>
        <v/>
      </c>
      <c r="AI136" s="17" t="str">
        <f>IFERROR(VLOOKUP(シフト組み!AI166,役職一覧!$B:$D,2,FALSE),"")</f>
        <v/>
      </c>
      <c r="AJ136" s="17" t="str">
        <f>IFERROR(VLOOKUP(シフト組み!AJ166,役職一覧!$B:$D,2,FALSE),"")</f>
        <v/>
      </c>
      <c r="AK136" s="17" t="str">
        <f>IFERROR(VLOOKUP(シフト組み!AK166,役職一覧!$B:$D,2,FALSE),"")</f>
        <v/>
      </c>
      <c r="AL136" s="17" t="str">
        <f>IFERROR(VLOOKUP(シフト組み!AL166,役職一覧!$B:$D,2,FALSE),"")</f>
        <v/>
      </c>
      <c r="AM136" s="17" t="str">
        <f>IFERROR(VLOOKUP(シフト組み!AM166,役職一覧!$B:$D,2,FALSE),"")</f>
        <v/>
      </c>
      <c r="AN136" s="17" t="str">
        <f>IFERROR(VLOOKUP(シフト組み!AN166,役職一覧!$B:$D,2,FALSE),"")</f>
        <v/>
      </c>
      <c r="AO136" s="17" t="str">
        <f>IFERROR(VLOOKUP(シフト組み!AO166,役職一覧!$B:$D,2,FALSE),"")</f>
        <v/>
      </c>
      <c r="AP136" s="17" t="str">
        <f>IFERROR(VLOOKUP(シフト組み!AP166,役職一覧!$B:$D,2,FALSE),"")</f>
        <v/>
      </c>
      <c r="AQ136" s="17" t="str">
        <f>IFERROR(VLOOKUP(シフト組み!AQ166,役職一覧!$B:$D,2,FALSE),"")</f>
        <v/>
      </c>
      <c r="AR136" s="17" t="str">
        <f>IFERROR(VLOOKUP(シフト組み!AR166,役職一覧!$B:$D,2,FALSE),"")</f>
        <v/>
      </c>
      <c r="AS136" s="17" t="str">
        <f>IFERROR(VLOOKUP(シフト組み!AS166,役職一覧!$B:$D,2,FALSE),"")</f>
        <v/>
      </c>
      <c r="AT136" s="17" t="str">
        <f>IFERROR(VLOOKUP(シフト組み!AT166,役職一覧!$B:$D,2,FALSE),"")</f>
        <v/>
      </c>
      <c r="AU136" s="17" t="str">
        <f>IFERROR(VLOOKUP(シフト組み!AU166,役職一覧!$B:$D,2,FALSE),"")</f>
        <v/>
      </c>
      <c r="AV136" s="17" t="str">
        <f>IFERROR(VLOOKUP(シフト組み!AV166,役職一覧!$B:$D,2,FALSE),"")</f>
        <v/>
      </c>
      <c r="AW136" s="17" t="str">
        <f>IFERROR(VLOOKUP(シフト組み!AW166,役職一覧!$B:$D,2,FALSE),"")</f>
        <v/>
      </c>
      <c r="AX136" s="17" t="str">
        <f>IFERROR(VLOOKUP(シフト組み!AX166,役職一覧!$B:$D,2,FALSE),"")</f>
        <v/>
      </c>
      <c r="AY136" s="17" t="str">
        <f>IFERROR(VLOOKUP(シフト組み!AY166,役職一覧!$B:$D,2,FALSE),"")</f>
        <v/>
      </c>
      <c r="AZ136" s="17" t="str">
        <f>IFERROR(VLOOKUP(シフト組み!AZ166,役職一覧!$B:$D,2,FALSE),"")</f>
        <v/>
      </c>
      <c r="BA136" s="17" t="str">
        <f>IFERROR(VLOOKUP(シフト組み!BA166,役職一覧!$B:$D,2,FALSE),"")</f>
        <v/>
      </c>
    </row>
    <row r="137" spans="1:53">
      <c r="A137" s="2" t="str">
        <f>シフト組み!A167&amp;""</f>
        <v/>
      </c>
      <c r="B137" s="2" t="str">
        <f>シフト組み!B167&amp;""</f>
        <v/>
      </c>
      <c r="C137" s="2" t="str">
        <f>シフト組み!C167&amp;""</f>
        <v/>
      </c>
      <c r="D137" s="17" t="str">
        <f>IFERROR(VLOOKUP(シフト組み!D167,役職一覧!$B:$D,2,FALSE),"")</f>
        <v/>
      </c>
      <c r="E137" s="17" t="str">
        <f>IFERROR(VLOOKUP(シフト組み!E167,役職一覧!$B:$D,2,FALSE),"")</f>
        <v/>
      </c>
      <c r="F137" s="17" t="str">
        <f>IFERROR(VLOOKUP(シフト組み!F167,役職一覧!$B:$D,2,FALSE),"")</f>
        <v/>
      </c>
      <c r="G137" s="17" t="str">
        <f>IFERROR(VLOOKUP(シフト組み!G167,役職一覧!$B:$D,2,FALSE),"")</f>
        <v/>
      </c>
      <c r="H137" s="17" t="str">
        <f>IFERROR(VLOOKUP(シフト組み!H167,役職一覧!$B:$D,2,FALSE),"")</f>
        <v/>
      </c>
      <c r="I137" s="17" t="str">
        <f>IFERROR(VLOOKUP(シフト組み!I167,役職一覧!$B:$D,2,FALSE),"")</f>
        <v/>
      </c>
      <c r="J137" s="17" t="str">
        <f>IFERROR(VLOOKUP(シフト組み!J167,役職一覧!$B:$D,2,FALSE),"")</f>
        <v/>
      </c>
      <c r="K137" s="17" t="str">
        <f>IFERROR(VLOOKUP(シフト組み!K167,役職一覧!$B:$D,2,FALSE),"")</f>
        <v/>
      </c>
      <c r="L137" s="17" t="str">
        <f>IFERROR(VLOOKUP(シフト組み!L167,役職一覧!$B:$D,2,FALSE),"")</f>
        <v/>
      </c>
      <c r="M137" s="17" t="str">
        <f>IFERROR(VLOOKUP(シフト組み!M167,役職一覧!$B:$D,2,FALSE),"")</f>
        <v/>
      </c>
      <c r="N137" s="17" t="str">
        <f>IFERROR(VLOOKUP(シフト組み!N167,役職一覧!$B:$D,2,FALSE),"")</f>
        <v/>
      </c>
      <c r="O137" s="17" t="str">
        <f>IFERROR(VLOOKUP(シフト組み!O167,役職一覧!$B:$D,2,FALSE),"")</f>
        <v/>
      </c>
      <c r="P137" s="17" t="str">
        <f>IFERROR(VLOOKUP(シフト組み!P167,役職一覧!$B:$D,2,FALSE),"")</f>
        <v/>
      </c>
      <c r="Q137" s="17" t="str">
        <f>IFERROR(VLOOKUP(シフト組み!Q167,役職一覧!$B:$D,2,FALSE),"")</f>
        <v/>
      </c>
      <c r="R137" s="17" t="str">
        <f>IFERROR(VLOOKUP(シフト組み!R167,役職一覧!$B:$D,2,FALSE),"")</f>
        <v/>
      </c>
      <c r="S137" s="17" t="str">
        <f>IFERROR(VLOOKUP(シフト組み!S167,役職一覧!$B:$D,2,FALSE),"")</f>
        <v/>
      </c>
      <c r="T137" s="17" t="str">
        <f>IFERROR(VLOOKUP(シフト組み!T167,役職一覧!$B:$D,2,FALSE),"")</f>
        <v/>
      </c>
      <c r="U137" s="17" t="str">
        <f>IFERROR(VLOOKUP(シフト組み!U167,役職一覧!$B:$D,2,FALSE),"")</f>
        <v/>
      </c>
      <c r="V137" s="17" t="str">
        <f>IFERROR(VLOOKUP(シフト組み!V167,役職一覧!$B:$D,2,FALSE),"")</f>
        <v/>
      </c>
      <c r="W137" s="17" t="str">
        <f>IFERROR(VLOOKUP(シフト組み!W167,役職一覧!$B:$D,2,FALSE),"")</f>
        <v/>
      </c>
      <c r="X137" s="17" t="str">
        <f>IFERROR(VLOOKUP(シフト組み!X167,役職一覧!$B:$D,2,FALSE),"")</f>
        <v/>
      </c>
      <c r="Y137" s="17" t="str">
        <f>IFERROR(VLOOKUP(シフト組み!Y167,役職一覧!$B:$D,2,FALSE),"")</f>
        <v/>
      </c>
      <c r="Z137" s="17" t="str">
        <f>IFERROR(VLOOKUP(シフト組み!Z167,役職一覧!$B:$D,2,FALSE),"")</f>
        <v/>
      </c>
      <c r="AA137" s="17" t="str">
        <f>IFERROR(VLOOKUP(シフト組み!AA167,役職一覧!$B:$D,2,FALSE),"")</f>
        <v/>
      </c>
      <c r="AB137" s="17" t="str">
        <f>IFERROR(VLOOKUP(シフト組み!AB167,役職一覧!$B:$D,2,FALSE),"")</f>
        <v/>
      </c>
      <c r="AC137" s="17" t="str">
        <f>IFERROR(VLOOKUP(シフト組み!AC167,役職一覧!$B:$D,2,FALSE),"")</f>
        <v/>
      </c>
      <c r="AD137" s="17" t="str">
        <f>IFERROR(VLOOKUP(シフト組み!AD167,役職一覧!$B:$D,2,FALSE),"")</f>
        <v/>
      </c>
      <c r="AE137" s="17" t="str">
        <f>IFERROR(VLOOKUP(シフト組み!AE167,役職一覧!$B:$D,2,FALSE),"")</f>
        <v/>
      </c>
      <c r="AF137" s="17" t="str">
        <f>IFERROR(VLOOKUP(シフト組み!AF167,役職一覧!$B:$D,2,FALSE),"")</f>
        <v/>
      </c>
      <c r="AG137" s="17" t="str">
        <f>IFERROR(VLOOKUP(シフト組み!AG167,役職一覧!$B:$D,2,FALSE),"")</f>
        <v/>
      </c>
      <c r="AH137" s="17" t="str">
        <f>IFERROR(VLOOKUP(シフト組み!AH167,役職一覧!$B:$D,2,FALSE),"")</f>
        <v/>
      </c>
      <c r="AI137" s="17" t="str">
        <f>IFERROR(VLOOKUP(シフト組み!AI167,役職一覧!$B:$D,2,FALSE),"")</f>
        <v/>
      </c>
      <c r="AJ137" s="17" t="str">
        <f>IFERROR(VLOOKUP(シフト組み!AJ167,役職一覧!$B:$D,2,FALSE),"")</f>
        <v/>
      </c>
      <c r="AK137" s="17" t="str">
        <f>IFERROR(VLOOKUP(シフト組み!AK167,役職一覧!$B:$D,2,FALSE),"")</f>
        <v/>
      </c>
      <c r="AL137" s="17" t="str">
        <f>IFERROR(VLOOKUP(シフト組み!AL167,役職一覧!$B:$D,2,FALSE),"")</f>
        <v/>
      </c>
      <c r="AM137" s="17" t="str">
        <f>IFERROR(VLOOKUP(シフト組み!AM167,役職一覧!$B:$D,2,FALSE),"")</f>
        <v/>
      </c>
      <c r="AN137" s="17" t="str">
        <f>IFERROR(VLOOKUP(シフト組み!AN167,役職一覧!$B:$D,2,FALSE),"")</f>
        <v/>
      </c>
      <c r="AO137" s="17" t="str">
        <f>IFERROR(VLOOKUP(シフト組み!AO167,役職一覧!$B:$D,2,FALSE),"")</f>
        <v/>
      </c>
      <c r="AP137" s="17" t="str">
        <f>IFERROR(VLOOKUP(シフト組み!AP167,役職一覧!$B:$D,2,FALSE),"")</f>
        <v/>
      </c>
      <c r="AQ137" s="17" t="str">
        <f>IFERROR(VLOOKUP(シフト組み!AQ167,役職一覧!$B:$D,2,FALSE),"")</f>
        <v/>
      </c>
      <c r="AR137" s="17" t="str">
        <f>IFERROR(VLOOKUP(シフト組み!AR167,役職一覧!$B:$D,2,FALSE),"")</f>
        <v/>
      </c>
      <c r="AS137" s="17" t="str">
        <f>IFERROR(VLOOKUP(シフト組み!AS167,役職一覧!$B:$D,2,FALSE),"")</f>
        <v/>
      </c>
      <c r="AT137" s="17" t="str">
        <f>IFERROR(VLOOKUP(シフト組み!AT167,役職一覧!$B:$D,2,FALSE),"")</f>
        <v/>
      </c>
      <c r="AU137" s="17" t="str">
        <f>IFERROR(VLOOKUP(シフト組み!AU167,役職一覧!$B:$D,2,FALSE),"")</f>
        <v/>
      </c>
      <c r="AV137" s="17" t="str">
        <f>IFERROR(VLOOKUP(シフト組み!AV167,役職一覧!$B:$D,2,FALSE),"")</f>
        <v/>
      </c>
      <c r="AW137" s="17" t="str">
        <f>IFERROR(VLOOKUP(シフト組み!AW167,役職一覧!$B:$D,2,FALSE),"")</f>
        <v/>
      </c>
      <c r="AX137" s="17" t="str">
        <f>IFERROR(VLOOKUP(シフト組み!AX167,役職一覧!$B:$D,2,FALSE),"")</f>
        <v/>
      </c>
      <c r="AY137" s="17" t="str">
        <f>IFERROR(VLOOKUP(シフト組み!AY167,役職一覧!$B:$D,2,FALSE),"")</f>
        <v/>
      </c>
      <c r="AZ137" s="17" t="str">
        <f>IFERROR(VLOOKUP(シフト組み!AZ167,役職一覧!$B:$D,2,FALSE),"")</f>
        <v/>
      </c>
      <c r="BA137" s="17" t="str">
        <f>IFERROR(VLOOKUP(シフト組み!BA167,役職一覧!$B:$D,2,FALSE),"")</f>
        <v/>
      </c>
    </row>
    <row r="138" spans="1:53">
      <c r="A138" s="2" t="str">
        <f>シフト組み!A168&amp;""</f>
        <v/>
      </c>
      <c r="B138" s="2" t="str">
        <f>シフト組み!B168&amp;""</f>
        <v/>
      </c>
      <c r="C138" s="2" t="str">
        <f>シフト組み!C168&amp;""</f>
        <v/>
      </c>
      <c r="D138" s="17" t="str">
        <f>IFERROR(VLOOKUP(シフト組み!D168,役職一覧!$B:$D,2,FALSE),"")</f>
        <v/>
      </c>
      <c r="E138" s="17" t="str">
        <f>IFERROR(VLOOKUP(シフト組み!E168,役職一覧!$B:$D,2,FALSE),"")</f>
        <v/>
      </c>
      <c r="F138" s="17" t="str">
        <f>IFERROR(VLOOKUP(シフト組み!F168,役職一覧!$B:$D,2,FALSE),"")</f>
        <v/>
      </c>
      <c r="G138" s="17" t="str">
        <f>IFERROR(VLOOKUP(シフト組み!G168,役職一覧!$B:$D,2,FALSE),"")</f>
        <v/>
      </c>
      <c r="H138" s="17" t="str">
        <f>IFERROR(VLOOKUP(シフト組み!H168,役職一覧!$B:$D,2,FALSE),"")</f>
        <v/>
      </c>
      <c r="I138" s="17" t="str">
        <f>IFERROR(VLOOKUP(シフト組み!I168,役職一覧!$B:$D,2,FALSE),"")</f>
        <v/>
      </c>
      <c r="J138" s="17" t="str">
        <f>IFERROR(VLOOKUP(シフト組み!J168,役職一覧!$B:$D,2,FALSE),"")</f>
        <v/>
      </c>
      <c r="K138" s="17" t="str">
        <f>IFERROR(VLOOKUP(シフト組み!K168,役職一覧!$B:$D,2,FALSE),"")</f>
        <v/>
      </c>
      <c r="L138" s="17" t="str">
        <f>IFERROR(VLOOKUP(シフト組み!L168,役職一覧!$B:$D,2,FALSE),"")</f>
        <v/>
      </c>
      <c r="M138" s="17" t="str">
        <f>IFERROR(VLOOKUP(シフト組み!M168,役職一覧!$B:$D,2,FALSE),"")</f>
        <v/>
      </c>
      <c r="N138" s="17" t="str">
        <f>IFERROR(VLOOKUP(シフト組み!N168,役職一覧!$B:$D,2,FALSE),"")</f>
        <v/>
      </c>
      <c r="O138" s="17" t="str">
        <f>IFERROR(VLOOKUP(シフト組み!O168,役職一覧!$B:$D,2,FALSE),"")</f>
        <v/>
      </c>
      <c r="P138" s="17" t="str">
        <f>IFERROR(VLOOKUP(シフト組み!P168,役職一覧!$B:$D,2,FALSE),"")</f>
        <v/>
      </c>
      <c r="Q138" s="17" t="str">
        <f>IFERROR(VLOOKUP(シフト組み!Q168,役職一覧!$B:$D,2,FALSE),"")</f>
        <v/>
      </c>
      <c r="R138" s="17" t="str">
        <f>IFERROR(VLOOKUP(シフト組み!R168,役職一覧!$B:$D,2,FALSE),"")</f>
        <v/>
      </c>
      <c r="S138" s="17" t="str">
        <f>IFERROR(VLOOKUP(シフト組み!S168,役職一覧!$B:$D,2,FALSE),"")</f>
        <v/>
      </c>
      <c r="T138" s="17" t="str">
        <f>IFERROR(VLOOKUP(シフト組み!T168,役職一覧!$B:$D,2,FALSE),"")</f>
        <v/>
      </c>
      <c r="U138" s="17" t="str">
        <f>IFERROR(VLOOKUP(シフト組み!U168,役職一覧!$B:$D,2,FALSE),"")</f>
        <v/>
      </c>
      <c r="V138" s="17" t="str">
        <f>IFERROR(VLOOKUP(シフト組み!V168,役職一覧!$B:$D,2,FALSE),"")</f>
        <v/>
      </c>
      <c r="W138" s="17" t="str">
        <f>IFERROR(VLOOKUP(シフト組み!W168,役職一覧!$B:$D,2,FALSE),"")</f>
        <v/>
      </c>
      <c r="X138" s="17" t="str">
        <f>IFERROR(VLOOKUP(シフト組み!X168,役職一覧!$B:$D,2,FALSE),"")</f>
        <v/>
      </c>
      <c r="Y138" s="17" t="str">
        <f>IFERROR(VLOOKUP(シフト組み!Y168,役職一覧!$B:$D,2,FALSE),"")</f>
        <v/>
      </c>
      <c r="Z138" s="17" t="str">
        <f>IFERROR(VLOOKUP(シフト組み!Z168,役職一覧!$B:$D,2,FALSE),"")</f>
        <v/>
      </c>
      <c r="AA138" s="17" t="str">
        <f>IFERROR(VLOOKUP(シフト組み!AA168,役職一覧!$B:$D,2,FALSE),"")</f>
        <v/>
      </c>
      <c r="AB138" s="17" t="str">
        <f>IFERROR(VLOOKUP(シフト組み!AB168,役職一覧!$B:$D,2,FALSE),"")</f>
        <v/>
      </c>
      <c r="AC138" s="17" t="str">
        <f>IFERROR(VLOOKUP(シフト組み!AC168,役職一覧!$B:$D,2,FALSE),"")</f>
        <v/>
      </c>
      <c r="AD138" s="17" t="str">
        <f>IFERROR(VLOOKUP(シフト組み!AD168,役職一覧!$B:$D,2,FALSE),"")</f>
        <v/>
      </c>
      <c r="AE138" s="17" t="str">
        <f>IFERROR(VLOOKUP(シフト組み!AE168,役職一覧!$B:$D,2,FALSE),"")</f>
        <v/>
      </c>
      <c r="AF138" s="17" t="str">
        <f>IFERROR(VLOOKUP(シフト組み!AF168,役職一覧!$B:$D,2,FALSE),"")</f>
        <v/>
      </c>
      <c r="AG138" s="17" t="str">
        <f>IFERROR(VLOOKUP(シフト組み!AG168,役職一覧!$B:$D,2,FALSE),"")</f>
        <v/>
      </c>
      <c r="AH138" s="17" t="str">
        <f>IFERROR(VLOOKUP(シフト組み!AH168,役職一覧!$B:$D,2,FALSE),"")</f>
        <v/>
      </c>
      <c r="AI138" s="17" t="str">
        <f>IFERROR(VLOOKUP(シフト組み!AI168,役職一覧!$B:$D,2,FALSE),"")</f>
        <v/>
      </c>
      <c r="AJ138" s="17" t="str">
        <f>IFERROR(VLOOKUP(シフト組み!AJ168,役職一覧!$B:$D,2,FALSE),"")</f>
        <v/>
      </c>
      <c r="AK138" s="17" t="str">
        <f>IFERROR(VLOOKUP(シフト組み!AK168,役職一覧!$B:$D,2,FALSE),"")</f>
        <v/>
      </c>
      <c r="AL138" s="17" t="str">
        <f>IFERROR(VLOOKUP(シフト組み!AL168,役職一覧!$B:$D,2,FALSE),"")</f>
        <v/>
      </c>
      <c r="AM138" s="17" t="str">
        <f>IFERROR(VLOOKUP(シフト組み!AM168,役職一覧!$B:$D,2,FALSE),"")</f>
        <v/>
      </c>
      <c r="AN138" s="17" t="str">
        <f>IFERROR(VLOOKUP(シフト組み!AN168,役職一覧!$B:$D,2,FALSE),"")</f>
        <v/>
      </c>
      <c r="AO138" s="17" t="str">
        <f>IFERROR(VLOOKUP(シフト組み!AO168,役職一覧!$B:$D,2,FALSE),"")</f>
        <v/>
      </c>
      <c r="AP138" s="17" t="str">
        <f>IFERROR(VLOOKUP(シフト組み!AP168,役職一覧!$B:$D,2,FALSE),"")</f>
        <v/>
      </c>
      <c r="AQ138" s="17" t="str">
        <f>IFERROR(VLOOKUP(シフト組み!AQ168,役職一覧!$B:$D,2,FALSE),"")</f>
        <v/>
      </c>
      <c r="AR138" s="17" t="str">
        <f>IFERROR(VLOOKUP(シフト組み!AR168,役職一覧!$B:$D,2,FALSE),"")</f>
        <v/>
      </c>
      <c r="AS138" s="17" t="str">
        <f>IFERROR(VLOOKUP(シフト組み!AS168,役職一覧!$B:$D,2,FALSE),"")</f>
        <v/>
      </c>
      <c r="AT138" s="17" t="str">
        <f>IFERROR(VLOOKUP(シフト組み!AT168,役職一覧!$B:$D,2,FALSE),"")</f>
        <v/>
      </c>
      <c r="AU138" s="17" t="str">
        <f>IFERROR(VLOOKUP(シフト組み!AU168,役職一覧!$B:$D,2,FALSE),"")</f>
        <v/>
      </c>
      <c r="AV138" s="17" t="str">
        <f>IFERROR(VLOOKUP(シフト組み!AV168,役職一覧!$B:$D,2,FALSE),"")</f>
        <v/>
      </c>
      <c r="AW138" s="17" t="str">
        <f>IFERROR(VLOOKUP(シフト組み!AW168,役職一覧!$B:$D,2,FALSE),"")</f>
        <v/>
      </c>
      <c r="AX138" s="17" t="str">
        <f>IFERROR(VLOOKUP(シフト組み!AX168,役職一覧!$B:$D,2,FALSE),"")</f>
        <v/>
      </c>
      <c r="AY138" s="17" t="str">
        <f>IFERROR(VLOOKUP(シフト組み!AY168,役職一覧!$B:$D,2,FALSE),"")</f>
        <v/>
      </c>
      <c r="AZ138" s="17" t="str">
        <f>IFERROR(VLOOKUP(シフト組み!AZ168,役職一覧!$B:$D,2,FALSE),"")</f>
        <v/>
      </c>
      <c r="BA138" s="17" t="str">
        <f>IFERROR(VLOOKUP(シフト組み!BA168,役職一覧!$B:$D,2,FALSE),"")</f>
        <v/>
      </c>
    </row>
    <row r="139" spans="1:53">
      <c r="A139" s="2" t="str">
        <f>シフト組み!A169&amp;""</f>
        <v/>
      </c>
      <c r="B139" s="2" t="str">
        <f>シフト組み!B169&amp;""</f>
        <v/>
      </c>
      <c r="C139" s="2" t="str">
        <f>シフト組み!C169&amp;""</f>
        <v/>
      </c>
      <c r="D139" s="17" t="str">
        <f>IFERROR(VLOOKUP(シフト組み!D169,役職一覧!$B:$D,2,FALSE),"")</f>
        <v/>
      </c>
      <c r="E139" s="17" t="str">
        <f>IFERROR(VLOOKUP(シフト組み!E169,役職一覧!$B:$D,2,FALSE),"")</f>
        <v/>
      </c>
      <c r="F139" s="17" t="str">
        <f>IFERROR(VLOOKUP(シフト組み!F169,役職一覧!$B:$D,2,FALSE),"")</f>
        <v/>
      </c>
      <c r="G139" s="17" t="str">
        <f>IFERROR(VLOOKUP(シフト組み!G169,役職一覧!$B:$D,2,FALSE),"")</f>
        <v/>
      </c>
      <c r="H139" s="17" t="str">
        <f>IFERROR(VLOOKUP(シフト組み!H169,役職一覧!$B:$D,2,FALSE),"")</f>
        <v/>
      </c>
      <c r="I139" s="17" t="str">
        <f>IFERROR(VLOOKUP(シフト組み!I169,役職一覧!$B:$D,2,FALSE),"")</f>
        <v/>
      </c>
      <c r="J139" s="17" t="str">
        <f>IFERROR(VLOOKUP(シフト組み!J169,役職一覧!$B:$D,2,FALSE),"")</f>
        <v/>
      </c>
      <c r="K139" s="17" t="str">
        <f>IFERROR(VLOOKUP(シフト組み!K169,役職一覧!$B:$D,2,FALSE),"")</f>
        <v/>
      </c>
      <c r="L139" s="17" t="str">
        <f>IFERROR(VLOOKUP(シフト組み!L169,役職一覧!$B:$D,2,FALSE),"")</f>
        <v/>
      </c>
      <c r="M139" s="17" t="str">
        <f>IFERROR(VLOOKUP(シフト組み!M169,役職一覧!$B:$D,2,FALSE),"")</f>
        <v/>
      </c>
      <c r="N139" s="17" t="str">
        <f>IFERROR(VLOOKUP(シフト組み!N169,役職一覧!$B:$D,2,FALSE),"")</f>
        <v/>
      </c>
      <c r="O139" s="17" t="str">
        <f>IFERROR(VLOOKUP(シフト組み!O169,役職一覧!$B:$D,2,FALSE),"")</f>
        <v/>
      </c>
      <c r="P139" s="17" t="str">
        <f>IFERROR(VLOOKUP(シフト組み!P169,役職一覧!$B:$D,2,FALSE),"")</f>
        <v/>
      </c>
      <c r="Q139" s="17" t="str">
        <f>IFERROR(VLOOKUP(シフト組み!Q169,役職一覧!$B:$D,2,FALSE),"")</f>
        <v/>
      </c>
      <c r="R139" s="17" t="str">
        <f>IFERROR(VLOOKUP(シフト組み!R169,役職一覧!$B:$D,2,FALSE),"")</f>
        <v/>
      </c>
      <c r="S139" s="17" t="str">
        <f>IFERROR(VLOOKUP(シフト組み!S169,役職一覧!$B:$D,2,FALSE),"")</f>
        <v/>
      </c>
      <c r="T139" s="17" t="str">
        <f>IFERROR(VLOOKUP(シフト組み!T169,役職一覧!$B:$D,2,FALSE),"")</f>
        <v/>
      </c>
      <c r="U139" s="17" t="str">
        <f>IFERROR(VLOOKUP(シフト組み!U169,役職一覧!$B:$D,2,FALSE),"")</f>
        <v/>
      </c>
      <c r="V139" s="17" t="str">
        <f>IFERROR(VLOOKUP(シフト組み!V169,役職一覧!$B:$D,2,FALSE),"")</f>
        <v/>
      </c>
      <c r="W139" s="17" t="str">
        <f>IFERROR(VLOOKUP(シフト組み!W169,役職一覧!$B:$D,2,FALSE),"")</f>
        <v/>
      </c>
      <c r="X139" s="17" t="str">
        <f>IFERROR(VLOOKUP(シフト組み!X169,役職一覧!$B:$D,2,FALSE),"")</f>
        <v/>
      </c>
      <c r="Y139" s="17" t="str">
        <f>IFERROR(VLOOKUP(シフト組み!Y169,役職一覧!$B:$D,2,FALSE),"")</f>
        <v/>
      </c>
      <c r="Z139" s="17" t="str">
        <f>IFERROR(VLOOKUP(シフト組み!Z169,役職一覧!$B:$D,2,FALSE),"")</f>
        <v/>
      </c>
      <c r="AA139" s="17" t="str">
        <f>IFERROR(VLOOKUP(シフト組み!AA169,役職一覧!$B:$D,2,FALSE),"")</f>
        <v/>
      </c>
      <c r="AB139" s="17" t="str">
        <f>IFERROR(VLOOKUP(シフト組み!AB169,役職一覧!$B:$D,2,FALSE),"")</f>
        <v/>
      </c>
      <c r="AC139" s="17" t="str">
        <f>IFERROR(VLOOKUP(シフト組み!AC169,役職一覧!$B:$D,2,FALSE),"")</f>
        <v/>
      </c>
      <c r="AD139" s="17" t="str">
        <f>IFERROR(VLOOKUP(シフト組み!AD169,役職一覧!$B:$D,2,FALSE),"")</f>
        <v/>
      </c>
      <c r="AE139" s="17" t="str">
        <f>IFERROR(VLOOKUP(シフト組み!AE169,役職一覧!$B:$D,2,FALSE),"")</f>
        <v/>
      </c>
      <c r="AF139" s="17" t="str">
        <f>IFERROR(VLOOKUP(シフト組み!AF169,役職一覧!$B:$D,2,FALSE),"")</f>
        <v/>
      </c>
      <c r="AG139" s="17" t="str">
        <f>IFERROR(VLOOKUP(シフト組み!AG169,役職一覧!$B:$D,2,FALSE),"")</f>
        <v/>
      </c>
      <c r="AH139" s="17" t="str">
        <f>IFERROR(VLOOKUP(シフト組み!AH169,役職一覧!$B:$D,2,FALSE),"")</f>
        <v/>
      </c>
      <c r="AI139" s="17" t="str">
        <f>IFERROR(VLOOKUP(シフト組み!AI169,役職一覧!$B:$D,2,FALSE),"")</f>
        <v/>
      </c>
      <c r="AJ139" s="17" t="str">
        <f>IFERROR(VLOOKUP(シフト組み!AJ169,役職一覧!$B:$D,2,FALSE),"")</f>
        <v/>
      </c>
      <c r="AK139" s="17" t="str">
        <f>IFERROR(VLOOKUP(シフト組み!AK169,役職一覧!$B:$D,2,FALSE),"")</f>
        <v/>
      </c>
      <c r="AL139" s="17" t="str">
        <f>IFERROR(VLOOKUP(シフト組み!AL169,役職一覧!$B:$D,2,FALSE),"")</f>
        <v/>
      </c>
      <c r="AM139" s="17" t="str">
        <f>IFERROR(VLOOKUP(シフト組み!AM169,役職一覧!$B:$D,2,FALSE),"")</f>
        <v/>
      </c>
      <c r="AN139" s="17" t="str">
        <f>IFERROR(VLOOKUP(シフト組み!AN169,役職一覧!$B:$D,2,FALSE),"")</f>
        <v/>
      </c>
      <c r="AO139" s="17" t="str">
        <f>IFERROR(VLOOKUP(シフト組み!AO169,役職一覧!$B:$D,2,FALSE),"")</f>
        <v/>
      </c>
      <c r="AP139" s="17" t="str">
        <f>IFERROR(VLOOKUP(シフト組み!AP169,役職一覧!$B:$D,2,FALSE),"")</f>
        <v/>
      </c>
      <c r="AQ139" s="17" t="str">
        <f>IFERROR(VLOOKUP(シフト組み!AQ169,役職一覧!$B:$D,2,FALSE),"")</f>
        <v/>
      </c>
      <c r="AR139" s="17" t="str">
        <f>IFERROR(VLOOKUP(シフト組み!AR169,役職一覧!$B:$D,2,FALSE),"")</f>
        <v/>
      </c>
      <c r="AS139" s="17" t="str">
        <f>IFERROR(VLOOKUP(シフト組み!AS169,役職一覧!$B:$D,2,FALSE),"")</f>
        <v/>
      </c>
      <c r="AT139" s="17" t="str">
        <f>IFERROR(VLOOKUP(シフト組み!AT169,役職一覧!$B:$D,2,FALSE),"")</f>
        <v/>
      </c>
      <c r="AU139" s="17" t="str">
        <f>IFERROR(VLOOKUP(シフト組み!AU169,役職一覧!$B:$D,2,FALSE),"")</f>
        <v/>
      </c>
      <c r="AV139" s="17" t="str">
        <f>IFERROR(VLOOKUP(シフト組み!AV169,役職一覧!$B:$D,2,FALSE),"")</f>
        <v/>
      </c>
      <c r="AW139" s="17" t="str">
        <f>IFERROR(VLOOKUP(シフト組み!AW169,役職一覧!$B:$D,2,FALSE),"")</f>
        <v/>
      </c>
      <c r="AX139" s="17" t="str">
        <f>IFERROR(VLOOKUP(シフト組み!AX169,役職一覧!$B:$D,2,FALSE),"")</f>
        <v/>
      </c>
      <c r="AY139" s="17" t="str">
        <f>IFERROR(VLOOKUP(シフト組み!AY169,役職一覧!$B:$D,2,FALSE),"")</f>
        <v/>
      </c>
      <c r="AZ139" s="17" t="str">
        <f>IFERROR(VLOOKUP(シフト組み!AZ169,役職一覧!$B:$D,2,FALSE),"")</f>
        <v/>
      </c>
      <c r="BA139" s="17" t="str">
        <f>IFERROR(VLOOKUP(シフト組み!BA169,役職一覧!$B:$D,2,FALSE),"")</f>
        <v/>
      </c>
    </row>
    <row r="140" spans="1:53">
      <c r="A140" s="2" t="str">
        <f>シフト組み!A170&amp;""</f>
        <v/>
      </c>
      <c r="B140" s="2" t="str">
        <f>シフト組み!B170&amp;""</f>
        <v/>
      </c>
      <c r="C140" s="2" t="str">
        <f>シフト組み!C170&amp;""</f>
        <v/>
      </c>
      <c r="D140" s="17" t="str">
        <f>IFERROR(VLOOKUP(シフト組み!D170,役職一覧!$B:$D,2,FALSE),"")</f>
        <v/>
      </c>
      <c r="E140" s="17" t="str">
        <f>IFERROR(VLOOKUP(シフト組み!E170,役職一覧!$B:$D,2,FALSE),"")</f>
        <v/>
      </c>
      <c r="F140" s="17" t="str">
        <f>IFERROR(VLOOKUP(シフト組み!F170,役職一覧!$B:$D,2,FALSE),"")</f>
        <v/>
      </c>
      <c r="G140" s="17" t="str">
        <f>IFERROR(VLOOKUP(シフト組み!G170,役職一覧!$B:$D,2,FALSE),"")</f>
        <v/>
      </c>
      <c r="H140" s="17" t="str">
        <f>IFERROR(VLOOKUP(シフト組み!H170,役職一覧!$B:$D,2,FALSE),"")</f>
        <v/>
      </c>
      <c r="I140" s="17" t="str">
        <f>IFERROR(VLOOKUP(シフト組み!I170,役職一覧!$B:$D,2,FALSE),"")</f>
        <v/>
      </c>
      <c r="J140" s="17" t="str">
        <f>IFERROR(VLOOKUP(シフト組み!J170,役職一覧!$B:$D,2,FALSE),"")</f>
        <v/>
      </c>
      <c r="K140" s="17" t="str">
        <f>IFERROR(VLOOKUP(シフト組み!K170,役職一覧!$B:$D,2,FALSE),"")</f>
        <v/>
      </c>
      <c r="L140" s="17" t="str">
        <f>IFERROR(VLOOKUP(シフト組み!L170,役職一覧!$B:$D,2,FALSE),"")</f>
        <v/>
      </c>
      <c r="M140" s="17" t="str">
        <f>IFERROR(VLOOKUP(シフト組み!M170,役職一覧!$B:$D,2,FALSE),"")</f>
        <v/>
      </c>
      <c r="N140" s="17" t="str">
        <f>IFERROR(VLOOKUP(シフト組み!N170,役職一覧!$B:$D,2,FALSE),"")</f>
        <v/>
      </c>
      <c r="O140" s="17" t="str">
        <f>IFERROR(VLOOKUP(シフト組み!O170,役職一覧!$B:$D,2,FALSE),"")</f>
        <v/>
      </c>
      <c r="P140" s="17" t="str">
        <f>IFERROR(VLOOKUP(シフト組み!P170,役職一覧!$B:$D,2,FALSE),"")</f>
        <v/>
      </c>
      <c r="Q140" s="17" t="str">
        <f>IFERROR(VLOOKUP(シフト組み!Q170,役職一覧!$B:$D,2,FALSE),"")</f>
        <v/>
      </c>
      <c r="R140" s="17" t="str">
        <f>IFERROR(VLOOKUP(シフト組み!R170,役職一覧!$B:$D,2,FALSE),"")</f>
        <v/>
      </c>
      <c r="S140" s="17" t="str">
        <f>IFERROR(VLOOKUP(シフト組み!S170,役職一覧!$B:$D,2,FALSE),"")</f>
        <v/>
      </c>
      <c r="T140" s="17" t="str">
        <f>IFERROR(VLOOKUP(シフト組み!T170,役職一覧!$B:$D,2,FALSE),"")</f>
        <v/>
      </c>
      <c r="U140" s="17" t="str">
        <f>IFERROR(VLOOKUP(シフト組み!U170,役職一覧!$B:$D,2,FALSE),"")</f>
        <v/>
      </c>
      <c r="V140" s="17" t="str">
        <f>IFERROR(VLOOKUP(シフト組み!V170,役職一覧!$B:$D,2,FALSE),"")</f>
        <v/>
      </c>
      <c r="W140" s="17" t="str">
        <f>IFERROR(VLOOKUP(シフト組み!W170,役職一覧!$B:$D,2,FALSE),"")</f>
        <v/>
      </c>
      <c r="X140" s="17" t="str">
        <f>IFERROR(VLOOKUP(シフト組み!X170,役職一覧!$B:$D,2,FALSE),"")</f>
        <v/>
      </c>
      <c r="Y140" s="17" t="str">
        <f>IFERROR(VLOOKUP(シフト組み!Y170,役職一覧!$B:$D,2,FALSE),"")</f>
        <v/>
      </c>
      <c r="Z140" s="17" t="str">
        <f>IFERROR(VLOOKUP(シフト組み!Z170,役職一覧!$B:$D,2,FALSE),"")</f>
        <v/>
      </c>
      <c r="AA140" s="17" t="str">
        <f>IFERROR(VLOOKUP(シフト組み!AA170,役職一覧!$B:$D,2,FALSE),"")</f>
        <v/>
      </c>
      <c r="AB140" s="17" t="str">
        <f>IFERROR(VLOOKUP(シフト組み!AB170,役職一覧!$B:$D,2,FALSE),"")</f>
        <v/>
      </c>
      <c r="AC140" s="17" t="str">
        <f>IFERROR(VLOOKUP(シフト組み!AC170,役職一覧!$B:$D,2,FALSE),"")</f>
        <v/>
      </c>
      <c r="AD140" s="17" t="str">
        <f>IFERROR(VLOOKUP(シフト組み!AD170,役職一覧!$B:$D,2,FALSE),"")</f>
        <v/>
      </c>
      <c r="AE140" s="17" t="str">
        <f>IFERROR(VLOOKUP(シフト組み!AE170,役職一覧!$B:$D,2,FALSE),"")</f>
        <v/>
      </c>
      <c r="AF140" s="17" t="str">
        <f>IFERROR(VLOOKUP(シフト組み!AF170,役職一覧!$B:$D,2,FALSE),"")</f>
        <v/>
      </c>
      <c r="AG140" s="17" t="str">
        <f>IFERROR(VLOOKUP(シフト組み!AG170,役職一覧!$B:$D,2,FALSE),"")</f>
        <v/>
      </c>
      <c r="AH140" s="17" t="str">
        <f>IFERROR(VLOOKUP(シフト組み!AH170,役職一覧!$B:$D,2,FALSE),"")</f>
        <v/>
      </c>
      <c r="AI140" s="17" t="str">
        <f>IFERROR(VLOOKUP(シフト組み!AI170,役職一覧!$B:$D,2,FALSE),"")</f>
        <v/>
      </c>
      <c r="AJ140" s="17" t="str">
        <f>IFERROR(VLOOKUP(シフト組み!AJ170,役職一覧!$B:$D,2,FALSE),"")</f>
        <v/>
      </c>
      <c r="AK140" s="17" t="str">
        <f>IFERROR(VLOOKUP(シフト組み!AK170,役職一覧!$B:$D,2,FALSE),"")</f>
        <v/>
      </c>
      <c r="AL140" s="17" t="str">
        <f>IFERROR(VLOOKUP(シフト組み!AL170,役職一覧!$B:$D,2,FALSE),"")</f>
        <v/>
      </c>
      <c r="AM140" s="17" t="str">
        <f>IFERROR(VLOOKUP(シフト組み!AM170,役職一覧!$B:$D,2,FALSE),"")</f>
        <v/>
      </c>
      <c r="AN140" s="17" t="str">
        <f>IFERROR(VLOOKUP(シフト組み!AN170,役職一覧!$B:$D,2,FALSE),"")</f>
        <v/>
      </c>
      <c r="AO140" s="17" t="str">
        <f>IFERROR(VLOOKUP(シフト組み!AO170,役職一覧!$B:$D,2,FALSE),"")</f>
        <v/>
      </c>
      <c r="AP140" s="17" t="str">
        <f>IFERROR(VLOOKUP(シフト組み!AP170,役職一覧!$B:$D,2,FALSE),"")</f>
        <v/>
      </c>
      <c r="AQ140" s="17" t="str">
        <f>IFERROR(VLOOKUP(シフト組み!AQ170,役職一覧!$B:$D,2,FALSE),"")</f>
        <v/>
      </c>
      <c r="AR140" s="17" t="str">
        <f>IFERROR(VLOOKUP(シフト組み!AR170,役職一覧!$B:$D,2,FALSE),"")</f>
        <v/>
      </c>
      <c r="AS140" s="17" t="str">
        <f>IFERROR(VLOOKUP(シフト組み!AS170,役職一覧!$B:$D,2,FALSE),"")</f>
        <v/>
      </c>
      <c r="AT140" s="17" t="str">
        <f>IFERROR(VLOOKUP(シフト組み!AT170,役職一覧!$B:$D,2,FALSE),"")</f>
        <v/>
      </c>
      <c r="AU140" s="17" t="str">
        <f>IFERROR(VLOOKUP(シフト組み!AU170,役職一覧!$B:$D,2,FALSE),"")</f>
        <v/>
      </c>
      <c r="AV140" s="17" t="str">
        <f>IFERROR(VLOOKUP(シフト組み!AV170,役職一覧!$B:$D,2,FALSE),"")</f>
        <v/>
      </c>
      <c r="AW140" s="17" t="str">
        <f>IFERROR(VLOOKUP(シフト組み!AW170,役職一覧!$B:$D,2,FALSE),"")</f>
        <v/>
      </c>
      <c r="AX140" s="17" t="str">
        <f>IFERROR(VLOOKUP(シフト組み!AX170,役職一覧!$B:$D,2,FALSE),"")</f>
        <v/>
      </c>
      <c r="AY140" s="17" t="str">
        <f>IFERROR(VLOOKUP(シフト組み!AY170,役職一覧!$B:$D,2,FALSE),"")</f>
        <v/>
      </c>
      <c r="AZ140" s="17" t="str">
        <f>IFERROR(VLOOKUP(シフト組み!AZ170,役職一覧!$B:$D,2,FALSE),"")</f>
        <v/>
      </c>
      <c r="BA140" s="17" t="str">
        <f>IFERROR(VLOOKUP(シフト組み!BA170,役職一覧!$B:$D,2,FALSE),"")</f>
        <v/>
      </c>
    </row>
    <row r="141" spans="1:53">
      <c r="A141" s="2" t="str">
        <f>シフト組み!A171&amp;""</f>
        <v/>
      </c>
      <c r="B141" s="2" t="str">
        <f>シフト組み!B171&amp;""</f>
        <v/>
      </c>
      <c r="C141" s="2" t="str">
        <f>シフト組み!C171&amp;""</f>
        <v/>
      </c>
      <c r="D141" s="17" t="str">
        <f>IFERROR(VLOOKUP(シフト組み!D171,役職一覧!$B:$D,2,FALSE),"")</f>
        <v/>
      </c>
      <c r="E141" s="17" t="str">
        <f>IFERROR(VLOOKUP(シフト組み!E171,役職一覧!$B:$D,2,FALSE),"")</f>
        <v/>
      </c>
      <c r="F141" s="17" t="str">
        <f>IFERROR(VLOOKUP(シフト組み!F171,役職一覧!$B:$D,2,FALSE),"")</f>
        <v/>
      </c>
      <c r="G141" s="17" t="str">
        <f>IFERROR(VLOOKUP(シフト組み!G171,役職一覧!$B:$D,2,FALSE),"")</f>
        <v/>
      </c>
      <c r="H141" s="17" t="str">
        <f>IFERROR(VLOOKUP(シフト組み!H171,役職一覧!$B:$D,2,FALSE),"")</f>
        <v/>
      </c>
      <c r="I141" s="17" t="str">
        <f>IFERROR(VLOOKUP(シフト組み!I171,役職一覧!$B:$D,2,FALSE),"")</f>
        <v/>
      </c>
      <c r="J141" s="17" t="str">
        <f>IFERROR(VLOOKUP(シフト組み!J171,役職一覧!$B:$D,2,FALSE),"")</f>
        <v/>
      </c>
      <c r="K141" s="17" t="str">
        <f>IFERROR(VLOOKUP(シフト組み!K171,役職一覧!$B:$D,2,FALSE),"")</f>
        <v/>
      </c>
      <c r="L141" s="17" t="str">
        <f>IFERROR(VLOOKUP(シフト組み!L171,役職一覧!$B:$D,2,FALSE),"")</f>
        <v/>
      </c>
      <c r="M141" s="17" t="str">
        <f>IFERROR(VLOOKUP(シフト組み!M171,役職一覧!$B:$D,2,FALSE),"")</f>
        <v/>
      </c>
      <c r="N141" s="17" t="str">
        <f>IFERROR(VLOOKUP(シフト組み!N171,役職一覧!$B:$D,2,FALSE),"")</f>
        <v/>
      </c>
      <c r="O141" s="17" t="str">
        <f>IFERROR(VLOOKUP(シフト組み!O171,役職一覧!$B:$D,2,FALSE),"")</f>
        <v/>
      </c>
      <c r="P141" s="17" t="str">
        <f>IFERROR(VLOOKUP(シフト組み!P171,役職一覧!$B:$D,2,FALSE),"")</f>
        <v/>
      </c>
      <c r="Q141" s="17" t="str">
        <f>IFERROR(VLOOKUP(シフト組み!Q171,役職一覧!$B:$D,2,FALSE),"")</f>
        <v/>
      </c>
      <c r="R141" s="17" t="str">
        <f>IFERROR(VLOOKUP(シフト組み!R171,役職一覧!$B:$D,2,FALSE),"")</f>
        <v/>
      </c>
      <c r="S141" s="17" t="str">
        <f>IFERROR(VLOOKUP(シフト組み!S171,役職一覧!$B:$D,2,FALSE),"")</f>
        <v/>
      </c>
      <c r="T141" s="17" t="str">
        <f>IFERROR(VLOOKUP(シフト組み!T171,役職一覧!$B:$D,2,FALSE),"")</f>
        <v/>
      </c>
      <c r="U141" s="17" t="str">
        <f>IFERROR(VLOOKUP(シフト組み!U171,役職一覧!$B:$D,2,FALSE),"")</f>
        <v/>
      </c>
      <c r="V141" s="17" t="str">
        <f>IFERROR(VLOOKUP(シフト組み!V171,役職一覧!$B:$D,2,FALSE),"")</f>
        <v/>
      </c>
      <c r="W141" s="17" t="str">
        <f>IFERROR(VLOOKUP(シフト組み!W171,役職一覧!$B:$D,2,FALSE),"")</f>
        <v/>
      </c>
      <c r="X141" s="17" t="str">
        <f>IFERROR(VLOOKUP(シフト組み!X171,役職一覧!$B:$D,2,FALSE),"")</f>
        <v/>
      </c>
      <c r="Y141" s="17" t="str">
        <f>IFERROR(VLOOKUP(シフト組み!Y171,役職一覧!$B:$D,2,FALSE),"")</f>
        <v/>
      </c>
      <c r="Z141" s="17" t="str">
        <f>IFERROR(VLOOKUP(シフト組み!Z171,役職一覧!$B:$D,2,FALSE),"")</f>
        <v/>
      </c>
      <c r="AA141" s="17" t="str">
        <f>IFERROR(VLOOKUP(シフト組み!AA171,役職一覧!$B:$D,2,FALSE),"")</f>
        <v/>
      </c>
      <c r="AB141" s="17" t="str">
        <f>IFERROR(VLOOKUP(シフト組み!AB171,役職一覧!$B:$D,2,FALSE),"")</f>
        <v/>
      </c>
      <c r="AC141" s="17" t="str">
        <f>IFERROR(VLOOKUP(シフト組み!AC171,役職一覧!$B:$D,2,FALSE),"")</f>
        <v/>
      </c>
      <c r="AD141" s="17" t="str">
        <f>IFERROR(VLOOKUP(シフト組み!AD171,役職一覧!$B:$D,2,FALSE),"")</f>
        <v/>
      </c>
      <c r="AE141" s="17" t="str">
        <f>IFERROR(VLOOKUP(シフト組み!AE171,役職一覧!$B:$D,2,FALSE),"")</f>
        <v/>
      </c>
      <c r="AF141" s="17" t="str">
        <f>IFERROR(VLOOKUP(シフト組み!AF171,役職一覧!$B:$D,2,FALSE),"")</f>
        <v/>
      </c>
      <c r="AG141" s="17" t="str">
        <f>IFERROR(VLOOKUP(シフト組み!AG171,役職一覧!$B:$D,2,FALSE),"")</f>
        <v/>
      </c>
      <c r="AH141" s="17" t="str">
        <f>IFERROR(VLOOKUP(シフト組み!AH171,役職一覧!$B:$D,2,FALSE),"")</f>
        <v/>
      </c>
      <c r="AI141" s="17" t="str">
        <f>IFERROR(VLOOKUP(シフト組み!AI171,役職一覧!$B:$D,2,FALSE),"")</f>
        <v/>
      </c>
      <c r="AJ141" s="17" t="str">
        <f>IFERROR(VLOOKUP(シフト組み!AJ171,役職一覧!$B:$D,2,FALSE),"")</f>
        <v/>
      </c>
      <c r="AK141" s="17" t="str">
        <f>IFERROR(VLOOKUP(シフト組み!AK171,役職一覧!$B:$D,2,FALSE),"")</f>
        <v/>
      </c>
      <c r="AL141" s="17" t="str">
        <f>IFERROR(VLOOKUP(シフト組み!AL171,役職一覧!$B:$D,2,FALSE),"")</f>
        <v/>
      </c>
      <c r="AM141" s="17" t="str">
        <f>IFERROR(VLOOKUP(シフト組み!AM171,役職一覧!$B:$D,2,FALSE),"")</f>
        <v/>
      </c>
      <c r="AN141" s="17" t="str">
        <f>IFERROR(VLOOKUP(シフト組み!AN171,役職一覧!$B:$D,2,FALSE),"")</f>
        <v/>
      </c>
      <c r="AO141" s="17" t="str">
        <f>IFERROR(VLOOKUP(シフト組み!AO171,役職一覧!$B:$D,2,FALSE),"")</f>
        <v/>
      </c>
      <c r="AP141" s="17" t="str">
        <f>IFERROR(VLOOKUP(シフト組み!AP171,役職一覧!$B:$D,2,FALSE),"")</f>
        <v/>
      </c>
      <c r="AQ141" s="17" t="str">
        <f>IFERROR(VLOOKUP(シフト組み!AQ171,役職一覧!$B:$D,2,FALSE),"")</f>
        <v/>
      </c>
      <c r="AR141" s="17" t="str">
        <f>IFERROR(VLOOKUP(シフト組み!AR171,役職一覧!$B:$D,2,FALSE),"")</f>
        <v/>
      </c>
      <c r="AS141" s="17" t="str">
        <f>IFERROR(VLOOKUP(シフト組み!AS171,役職一覧!$B:$D,2,FALSE),"")</f>
        <v/>
      </c>
      <c r="AT141" s="17" t="str">
        <f>IFERROR(VLOOKUP(シフト組み!AT171,役職一覧!$B:$D,2,FALSE),"")</f>
        <v/>
      </c>
      <c r="AU141" s="17" t="str">
        <f>IFERROR(VLOOKUP(シフト組み!AU171,役職一覧!$B:$D,2,FALSE),"")</f>
        <v/>
      </c>
      <c r="AV141" s="17" t="str">
        <f>IFERROR(VLOOKUP(シフト組み!AV171,役職一覧!$B:$D,2,FALSE),"")</f>
        <v/>
      </c>
      <c r="AW141" s="17" t="str">
        <f>IFERROR(VLOOKUP(シフト組み!AW171,役職一覧!$B:$D,2,FALSE),"")</f>
        <v/>
      </c>
      <c r="AX141" s="17" t="str">
        <f>IFERROR(VLOOKUP(シフト組み!AX171,役職一覧!$B:$D,2,FALSE),"")</f>
        <v/>
      </c>
      <c r="AY141" s="17" t="str">
        <f>IFERROR(VLOOKUP(シフト組み!AY171,役職一覧!$B:$D,2,FALSE),"")</f>
        <v/>
      </c>
      <c r="AZ141" s="17" t="str">
        <f>IFERROR(VLOOKUP(シフト組み!AZ171,役職一覧!$B:$D,2,FALSE),"")</f>
        <v/>
      </c>
      <c r="BA141" s="17" t="str">
        <f>IFERROR(VLOOKUP(シフト組み!BA171,役職一覧!$B:$D,2,FALSE),"")</f>
        <v/>
      </c>
    </row>
    <row r="142" spans="1:53">
      <c r="A142" s="2" t="str">
        <f>シフト組み!A172&amp;""</f>
        <v/>
      </c>
      <c r="B142" s="2" t="str">
        <f>シフト組み!B172&amp;""</f>
        <v/>
      </c>
      <c r="C142" s="2" t="str">
        <f>シフト組み!C172&amp;""</f>
        <v/>
      </c>
      <c r="D142" s="17" t="str">
        <f>IFERROR(VLOOKUP(シフト組み!D172,役職一覧!$B:$D,2,FALSE),"")</f>
        <v/>
      </c>
      <c r="E142" s="17" t="str">
        <f>IFERROR(VLOOKUP(シフト組み!E172,役職一覧!$B:$D,2,FALSE),"")</f>
        <v/>
      </c>
      <c r="F142" s="17" t="str">
        <f>IFERROR(VLOOKUP(シフト組み!F172,役職一覧!$B:$D,2,FALSE),"")</f>
        <v/>
      </c>
      <c r="G142" s="17" t="str">
        <f>IFERROR(VLOOKUP(シフト組み!G172,役職一覧!$B:$D,2,FALSE),"")</f>
        <v/>
      </c>
      <c r="H142" s="17" t="str">
        <f>IFERROR(VLOOKUP(シフト組み!H172,役職一覧!$B:$D,2,FALSE),"")</f>
        <v/>
      </c>
      <c r="I142" s="17" t="str">
        <f>IFERROR(VLOOKUP(シフト組み!I172,役職一覧!$B:$D,2,FALSE),"")</f>
        <v/>
      </c>
      <c r="J142" s="17" t="str">
        <f>IFERROR(VLOOKUP(シフト組み!J172,役職一覧!$B:$D,2,FALSE),"")</f>
        <v/>
      </c>
      <c r="K142" s="17" t="str">
        <f>IFERROR(VLOOKUP(シフト組み!K172,役職一覧!$B:$D,2,FALSE),"")</f>
        <v/>
      </c>
      <c r="L142" s="17" t="str">
        <f>IFERROR(VLOOKUP(シフト組み!L172,役職一覧!$B:$D,2,FALSE),"")</f>
        <v/>
      </c>
      <c r="M142" s="17" t="str">
        <f>IFERROR(VLOOKUP(シフト組み!M172,役職一覧!$B:$D,2,FALSE),"")</f>
        <v/>
      </c>
      <c r="N142" s="17" t="str">
        <f>IFERROR(VLOOKUP(シフト組み!N172,役職一覧!$B:$D,2,FALSE),"")</f>
        <v/>
      </c>
      <c r="O142" s="17" t="str">
        <f>IFERROR(VLOOKUP(シフト組み!O172,役職一覧!$B:$D,2,FALSE),"")</f>
        <v/>
      </c>
      <c r="P142" s="17" t="str">
        <f>IFERROR(VLOOKUP(シフト組み!P172,役職一覧!$B:$D,2,FALSE),"")</f>
        <v/>
      </c>
      <c r="Q142" s="17" t="str">
        <f>IFERROR(VLOOKUP(シフト組み!Q172,役職一覧!$B:$D,2,FALSE),"")</f>
        <v/>
      </c>
      <c r="R142" s="17" t="str">
        <f>IFERROR(VLOOKUP(シフト組み!R172,役職一覧!$B:$D,2,FALSE),"")</f>
        <v/>
      </c>
      <c r="S142" s="17" t="str">
        <f>IFERROR(VLOOKUP(シフト組み!S172,役職一覧!$B:$D,2,FALSE),"")</f>
        <v/>
      </c>
      <c r="T142" s="17" t="str">
        <f>IFERROR(VLOOKUP(シフト組み!T172,役職一覧!$B:$D,2,FALSE),"")</f>
        <v/>
      </c>
      <c r="U142" s="17" t="str">
        <f>IFERROR(VLOOKUP(シフト組み!U172,役職一覧!$B:$D,2,FALSE),"")</f>
        <v/>
      </c>
      <c r="V142" s="17" t="str">
        <f>IFERROR(VLOOKUP(シフト組み!V172,役職一覧!$B:$D,2,FALSE),"")</f>
        <v/>
      </c>
      <c r="W142" s="17" t="str">
        <f>IFERROR(VLOOKUP(シフト組み!W172,役職一覧!$B:$D,2,FALSE),"")</f>
        <v/>
      </c>
      <c r="X142" s="17" t="str">
        <f>IFERROR(VLOOKUP(シフト組み!X172,役職一覧!$B:$D,2,FALSE),"")</f>
        <v/>
      </c>
      <c r="Y142" s="17" t="str">
        <f>IFERROR(VLOOKUP(シフト組み!Y172,役職一覧!$B:$D,2,FALSE),"")</f>
        <v/>
      </c>
      <c r="Z142" s="17" t="str">
        <f>IFERROR(VLOOKUP(シフト組み!Z172,役職一覧!$B:$D,2,FALSE),"")</f>
        <v/>
      </c>
      <c r="AA142" s="17" t="str">
        <f>IFERROR(VLOOKUP(シフト組み!AA172,役職一覧!$B:$D,2,FALSE),"")</f>
        <v/>
      </c>
      <c r="AB142" s="17" t="str">
        <f>IFERROR(VLOOKUP(シフト組み!AB172,役職一覧!$B:$D,2,FALSE),"")</f>
        <v/>
      </c>
      <c r="AC142" s="17" t="str">
        <f>IFERROR(VLOOKUP(シフト組み!AC172,役職一覧!$B:$D,2,FALSE),"")</f>
        <v/>
      </c>
      <c r="AD142" s="17" t="str">
        <f>IFERROR(VLOOKUP(シフト組み!AD172,役職一覧!$B:$D,2,FALSE),"")</f>
        <v/>
      </c>
      <c r="AE142" s="17" t="str">
        <f>IFERROR(VLOOKUP(シフト組み!AE172,役職一覧!$B:$D,2,FALSE),"")</f>
        <v/>
      </c>
      <c r="AF142" s="17" t="str">
        <f>IFERROR(VLOOKUP(シフト組み!AF172,役職一覧!$B:$D,2,FALSE),"")</f>
        <v/>
      </c>
      <c r="AG142" s="17" t="str">
        <f>IFERROR(VLOOKUP(シフト組み!AG172,役職一覧!$B:$D,2,FALSE),"")</f>
        <v/>
      </c>
      <c r="AH142" s="17" t="str">
        <f>IFERROR(VLOOKUP(シフト組み!AH172,役職一覧!$B:$D,2,FALSE),"")</f>
        <v/>
      </c>
      <c r="AI142" s="17" t="str">
        <f>IFERROR(VLOOKUP(シフト組み!AI172,役職一覧!$B:$D,2,FALSE),"")</f>
        <v/>
      </c>
      <c r="AJ142" s="17" t="str">
        <f>IFERROR(VLOOKUP(シフト組み!AJ172,役職一覧!$B:$D,2,FALSE),"")</f>
        <v/>
      </c>
      <c r="AK142" s="17" t="str">
        <f>IFERROR(VLOOKUP(シフト組み!AK172,役職一覧!$B:$D,2,FALSE),"")</f>
        <v/>
      </c>
      <c r="AL142" s="17" t="str">
        <f>IFERROR(VLOOKUP(シフト組み!AL172,役職一覧!$B:$D,2,FALSE),"")</f>
        <v/>
      </c>
      <c r="AM142" s="17" t="str">
        <f>IFERROR(VLOOKUP(シフト組み!AM172,役職一覧!$B:$D,2,FALSE),"")</f>
        <v/>
      </c>
      <c r="AN142" s="17" t="str">
        <f>IFERROR(VLOOKUP(シフト組み!AN172,役職一覧!$B:$D,2,FALSE),"")</f>
        <v/>
      </c>
      <c r="AO142" s="17" t="str">
        <f>IFERROR(VLOOKUP(シフト組み!AO172,役職一覧!$B:$D,2,FALSE),"")</f>
        <v/>
      </c>
      <c r="AP142" s="17" t="str">
        <f>IFERROR(VLOOKUP(シフト組み!AP172,役職一覧!$B:$D,2,FALSE),"")</f>
        <v/>
      </c>
      <c r="AQ142" s="17" t="str">
        <f>IFERROR(VLOOKUP(シフト組み!AQ172,役職一覧!$B:$D,2,FALSE),"")</f>
        <v/>
      </c>
      <c r="AR142" s="17" t="str">
        <f>IFERROR(VLOOKUP(シフト組み!AR172,役職一覧!$B:$D,2,FALSE),"")</f>
        <v/>
      </c>
      <c r="AS142" s="17" t="str">
        <f>IFERROR(VLOOKUP(シフト組み!AS172,役職一覧!$B:$D,2,FALSE),"")</f>
        <v/>
      </c>
      <c r="AT142" s="17" t="str">
        <f>IFERROR(VLOOKUP(シフト組み!AT172,役職一覧!$B:$D,2,FALSE),"")</f>
        <v/>
      </c>
      <c r="AU142" s="17" t="str">
        <f>IFERROR(VLOOKUP(シフト組み!AU172,役職一覧!$B:$D,2,FALSE),"")</f>
        <v/>
      </c>
      <c r="AV142" s="17" t="str">
        <f>IFERROR(VLOOKUP(シフト組み!AV172,役職一覧!$B:$D,2,FALSE),"")</f>
        <v/>
      </c>
      <c r="AW142" s="17" t="str">
        <f>IFERROR(VLOOKUP(シフト組み!AW172,役職一覧!$B:$D,2,FALSE),"")</f>
        <v/>
      </c>
      <c r="AX142" s="17" t="str">
        <f>IFERROR(VLOOKUP(シフト組み!AX172,役職一覧!$B:$D,2,FALSE),"")</f>
        <v/>
      </c>
      <c r="AY142" s="17" t="str">
        <f>IFERROR(VLOOKUP(シフト組み!AY172,役職一覧!$B:$D,2,FALSE),"")</f>
        <v/>
      </c>
      <c r="AZ142" s="17" t="str">
        <f>IFERROR(VLOOKUP(シフト組み!AZ172,役職一覧!$B:$D,2,FALSE),"")</f>
        <v/>
      </c>
      <c r="BA142" s="17" t="str">
        <f>IFERROR(VLOOKUP(シフト組み!BA172,役職一覧!$B:$D,2,FALSE),"")</f>
        <v/>
      </c>
    </row>
    <row r="143" spans="1:53">
      <c r="A143" s="2" t="str">
        <f>シフト組み!A173&amp;""</f>
        <v/>
      </c>
      <c r="B143" s="2" t="str">
        <f>シフト組み!B173&amp;""</f>
        <v/>
      </c>
      <c r="C143" s="2" t="str">
        <f>シフト組み!C173&amp;""</f>
        <v/>
      </c>
      <c r="D143" s="17" t="str">
        <f>IFERROR(VLOOKUP(シフト組み!D173,役職一覧!$B:$D,2,FALSE),"")</f>
        <v/>
      </c>
      <c r="E143" s="17" t="str">
        <f>IFERROR(VLOOKUP(シフト組み!E173,役職一覧!$B:$D,2,FALSE),"")</f>
        <v/>
      </c>
      <c r="F143" s="17" t="str">
        <f>IFERROR(VLOOKUP(シフト組み!F173,役職一覧!$B:$D,2,FALSE),"")</f>
        <v/>
      </c>
      <c r="G143" s="17" t="str">
        <f>IFERROR(VLOOKUP(シフト組み!G173,役職一覧!$B:$D,2,FALSE),"")</f>
        <v/>
      </c>
      <c r="H143" s="17" t="str">
        <f>IFERROR(VLOOKUP(シフト組み!H173,役職一覧!$B:$D,2,FALSE),"")</f>
        <v/>
      </c>
      <c r="I143" s="17" t="str">
        <f>IFERROR(VLOOKUP(シフト組み!I173,役職一覧!$B:$D,2,FALSE),"")</f>
        <v/>
      </c>
      <c r="J143" s="17" t="str">
        <f>IFERROR(VLOOKUP(シフト組み!J173,役職一覧!$B:$D,2,FALSE),"")</f>
        <v/>
      </c>
      <c r="K143" s="17" t="str">
        <f>IFERROR(VLOOKUP(シフト組み!K173,役職一覧!$B:$D,2,FALSE),"")</f>
        <v/>
      </c>
      <c r="L143" s="17" t="str">
        <f>IFERROR(VLOOKUP(シフト組み!L173,役職一覧!$B:$D,2,FALSE),"")</f>
        <v/>
      </c>
      <c r="M143" s="17" t="str">
        <f>IFERROR(VLOOKUP(シフト組み!M173,役職一覧!$B:$D,2,FALSE),"")</f>
        <v/>
      </c>
      <c r="N143" s="17" t="str">
        <f>IFERROR(VLOOKUP(シフト組み!N173,役職一覧!$B:$D,2,FALSE),"")</f>
        <v/>
      </c>
      <c r="O143" s="17" t="str">
        <f>IFERROR(VLOOKUP(シフト組み!O173,役職一覧!$B:$D,2,FALSE),"")</f>
        <v/>
      </c>
      <c r="P143" s="17" t="str">
        <f>IFERROR(VLOOKUP(シフト組み!P173,役職一覧!$B:$D,2,FALSE),"")</f>
        <v/>
      </c>
      <c r="Q143" s="17" t="str">
        <f>IFERROR(VLOOKUP(シフト組み!Q173,役職一覧!$B:$D,2,FALSE),"")</f>
        <v/>
      </c>
      <c r="R143" s="17" t="str">
        <f>IFERROR(VLOOKUP(シフト組み!R173,役職一覧!$B:$D,2,FALSE),"")</f>
        <v/>
      </c>
      <c r="S143" s="17" t="str">
        <f>IFERROR(VLOOKUP(シフト組み!S173,役職一覧!$B:$D,2,FALSE),"")</f>
        <v/>
      </c>
      <c r="T143" s="17" t="str">
        <f>IFERROR(VLOOKUP(シフト組み!T173,役職一覧!$B:$D,2,FALSE),"")</f>
        <v/>
      </c>
      <c r="U143" s="17" t="str">
        <f>IFERROR(VLOOKUP(シフト組み!U173,役職一覧!$B:$D,2,FALSE),"")</f>
        <v/>
      </c>
      <c r="V143" s="17" t="str">
        <f>IFERROR(VLOOKUP(シフト組み!V173,役職一覧!$B:$D,2,FALSE),"")</f>
        <v/>
      </c>
      <c r="W143" s="17" t="str">
        <f>IFERROR(VLOOKUP(シフト組み!W173,役職一覧!$B:$D,2,FALSE),"")</f>
        <v/>
      </c>
      <c r="X143" s="17" t="str">
        <f>IFERROR(VLOOKUP(シフト組み!X173,役職一覧!$B:$D,2,FALSE),"")</f>
        <v/>
      </c>
      <c r="Y143" s="17" t="str">
        <f>IFERROR(VLOOKUP(シフト組み!Y173,役職一覧!$B:$D,2,FALSE),"")</f>
        <v/>
      </c>
      <c r="Z143" s="17" t="str">
        <f>IFERROR(VLOOKUP(シフト組み!Z173,役職一覧!$B:$D,2,FALSE),"")</f>
        <v/>
      </c>
      <c r="AA143" s="17" t="str">
        <f>IFERROR(VLOOKUP(シフト組み!AA173,役職一覧!$B:$D,2,FALSE),"")</f>
        <v/>
      </c>
      <c r="AB143" s="17" t="str">
        <f>IFERROR(VLOOKUP(シフト組み!AB173,役職一覧!$B:$D,2,FALSE),"")</f>
        <v/>
      </c>
      <c r="AC143" s="17" t="str">
        <f>IFERROR(VLOOKUP(シフト組み!AC173,役職一覧!$B:$D,2,FALSE),"")</f>
        <v/>
      </c>
      <c r="AD143" s="17" t="str">
        <f>IFERROR(VLOOKUP(シフト組み!AD173,役職一覧!$B:$D,2,FALSE),"")</f>
        <v/>
      </c>
      <c r="AE143" s="17" t="str">
        <f>IFERROR(VLOOKUP(シフト組み!AE173,役職一覧!$B:$D,2,FALSE),"")</f>
        <v/>
      </c>
      <c r="AF143" s="17" t="str">
        <f>IFERROR(VLOOKUP(シフト組み!AF173,役職一覧!$B:$D,2,FALSE),"")</f>
        <v/>
      </c>
      <c r="AG143" s="17" t="str">
        <f>IFERROR(VLOOKUP(シフト組み!AG173,役職一覧!$B:$D,2,FALSE),"")</f>
        <v/>
      </c>
      <c r="AH143" s="17" t="str">
        <f>IFERROR(VLOOKUP(シフト組み!AH173,役職一覧!$B:$D,2,FALSE),"")</f>
        <v/>
      </c>
      <c r="AI143" s="17" t="str">
        <f>IFERROR(VLOOKUP(シフト組み!AI173,役職一覧!$B:$D,2,FALSE),"")</f>
        <v/>
      </c>
      <c r="AJ143" s="17" t="str">
        <f>IFERROR(VLOOKUP(シフト組み!AJ173,役職一覧!$B:$D,2,FALSE),"")</f>
        <v/>
      </c>
      <c r="AK143" s="17" t="str">
        <f>IFERROR(VLOOKUP(シフト組み!AK173,役職一覧!$B:$D,2,FALSE),"")</f>
        <v/>
      </c>
      <c r="AL143" s="17" t="str">
        <f>IFERROR(VLOOKUP(シフト組み!AL173,役職一覧!$B:$D,2,FALSE),"")</f>
        <v/>
      </c>
      <c r="AM143" s="17" t="str">
        <f>IFERROR(VLOOKUP(シフト組み!AM173,役職一覧!$B:$D,2,FALSE),"")</f>
        <v/>
      </c>
      <c r="AN143" s="17" t="str">
        <f>IFERROR(VLOOKUP(シフト組み!AN173,役職一覧!$B:$D,2,FALSE),"")</f>
        <v/>
      </c>
      <c r="AO143" s="17" t="str">
        <f>IFERROR(VLOOKUP(シフト組み!AO173,役職一覧!$B:$D,2,FALSE),"")</f>
        <v/>
      </c>
      <c r="AP143" s="17" t="str">
        <f>IFERROR(VLOOKUP(シフト組み!AP173,役職一覧!$B:$D,2,FALSE),"")</f>
        <v/>
      </c>
      <c r="AQ143" s="17" t="str">
        <f>IFERROR(VLOOKUP(シフト組み!AQ173,役職一覧!$B:$D,2,FALSE),"")</f>
        <v/>
      </c>
      <c r="AR143" s="17" t="str">
        <f>IFERROR(VLOOKUP(シフト組み!AR173,役職一覧!$B:$D,2,FALSE),"")</f>
        <v/>
      </c>
      <c r="AS143" s="17" t="str">
        <f>IFERROR(VLOOKUP(シフト組み!AS173,役職一覧!$B:$D,2,FALSE),"")</f>
        <v/>
      </c>
      <c r="AT143" s="17" t="str">
        <f>IFERROR(VLOOKUP(シフト組み!AT173,役職一覧!$B:$D,2,FALSE),"")</f>
        <v/>
      </c>
      <c r="AU143" s="17" t="str">
        <f>IFERROR(VLOOKUP(シフト組み!AU173,役職一覧!$B:$D,2,FALSE),"")</f>
        <v/>
      </c>
      <c r="AV143" s="17" t="str">
        <f>IFERROR(VLOOKUP(シフト組み!AV173,役職一覧!$B:$D,2,FALSE),"")</f>
        <v/>
      </c>
      <c r="AW143" s="17" t="str">
        <f>IFERROR(VLOOKUP(シフト組み!AW173,役職一覧!$B:$D,2,FALSE),"")</f>
        <v/>
      </c>
      <c r="AX143" s="17" t="str">
        <f>IFERROR(VLOOKUP(シフト組み!AX173,役職一覧!$B:$D,2,FALSE),"")</f>
        <v/>
      </c>
      <c r="AY143" s="17" t="str">
        <f>IFERROR(VLOOKUP(シフト組み!AY173,役職一覧!$B:$D,2,FALSE),"")</f>
        <v/>
      </c>
      <c r="AZ143" s="17" t="str">
        <f>IFERROR(VLOOKUP(シフト組み!AZ173,役職一覧!$B:$D,2,FALSE),"")</f>
        <v/>
      </c>
      <c r="BA143" s="17" t="str">
        <f>IFERROR(VLOOKUP(シフト組み!BA173,役職一覧!$B:$D,2,FALSE),"")</f>
        <v/>
      </c>
    </row>
    <row r="144" spans="1:53">
      <c r="A144" s="2" t="str">
        <f>シフト組み!A174&amp;""</f>
        <v/>
      </c>
      <c r="B144" s="2" t="str">
        <f>シフト組み!B174&amp;""</f>
        <v/>
      </c>
      <c r="C144" s="2" t="str">
        <f>シフト組み!C174&amp;""</f>
        <v/>
      </c>
      <c r="D144" s="17" t="str">
        <f>IFERROR(VLOOKUP(シフト組み!D174,役職一覧!$B:$D,2,FALSE),"")</f>
        <v/>
      </c>
      <c r="E144" s="17" t="str">
        <f>IFERROR(VLOOKUP(シフト組み!E174,役職一覧!$B:$D,2,FALSE),"")</f>
        <v/>
      </c>
      <c r="F144" s="17" t="str">
        <f>IFERROR(VLOOKUP(シフト組み!F174,役職一覧!$B:$D,2,FALSE),"")</f>
        <v/>
      </c>
      <c r="G144" s="17" t="str">
        <f>IFERROR(VLOOKUP(シフト組み!G174,役職一覧!$B:$D,2,FALSE),"")</f>
        <v/>
      </c>
      <c r="H144" s="17" t="str">
        <f>IFERROR(VLOOKUP(シフト組み!H174,役職一覧!$B:$D,2,FALSE),"")</f>
        <v/>
      </c>
      <c r="I144" s="17" t="str">
        <f>IFERROR(VLOOKUP(シフト組み!I174,役職一覧!$B:$D,2,FALSE),"")</f>
        <v/>
      </c>
      <c r="J144" s="17" t="str">
        <f>IFERROR(VLOOKUP(シフト組み!J174,役職一覧!$B:$D,2,FALSE),"")</f>
        <v/>
      </c>
      <c r="K144" s="17" t="str">
        <f>IFERROR(VLOOKUP(シフト組み!K174,役職一覧!$B:$D,2,FALSE),"")</f>
        <v/>
      </c>
      <c r="L144" s="17" t="str">
        <f>IFERROR(VLOOKUP(シフト組み!L174,役職一覧!$B:$D,2,FALSE),"")</f>
        <v/>
      </c>
      <c r="M144" s="17" t="str">
        <f>IFERROR(VLOOKUP(シフト組み!M174,役職一覧!$B:$D,2,FALSE),"")</f>
        <v/>
      </c>
      <c r="N144" s="17" t="str">
        <f>IFERROR(VLOOKUP(シフト組み!N174,役職一覧!$B:$D,2,FALSE),"")</f>
        <v/>
      </c>
      <c r="O144" s="17" t="str">
        <f>IFERROR(VLOOKUP(シフト組み!O174,役職一覧!$B:$D,2,FALSE),"")</f>
        <v/>
      </c>
      <c r="P144" s="17" t="str">
        <f>IFERROR(VLOOKUP(シフト組み!P174,役職一覧!$B:$D,2,FALSE),"")</f>
        <v/>
      </c>
      <c r="Q144" s="17" t="str">
        <f>IFERROR(VLOOKUP(シフト組み!Q174,役職一覧!$B:$D,2,FALSE),"")</f>
        <v/>
      </c>
      <c r="R144" s="17" t="str">
        <f>IFERROR(VLOOKUP(シフト組み!R174,役職一覧!$B:$D,2,FALSE),"")</f>
        <v/>
      </c>
      <c r="S144" s="17" t="str">
        <f>IFERROR(VLOOKUP(シフト組み!S174,役職一覧!$B:$D,2,FALSE),"")</f>
        <v/>
      </c>
      <c r="T144" s="17" t="str">
        <f>IFERROR(VLOOKUP(シフト組み!T174,役職一覧!$B:$D,2,FALSE),"")</f>
        <v/>
      </c>
      <c r="U144" s="17" t="str">
        <f>IFERROR(VLOOKUP(シフト組み!U174,役職一覧!$B:$D,2,FALSE),"")</f>
        <v/>
      </c>
      <c r="V144" s="17" t="str">
        <f>IFERROR(VLOOKUP(シフト組み!V174,役職一覧!$B:$D,2,FALSE),"")</f>
        <v/>
      </c>
      <c r="W144" s="17" t="str">
        <f>IFERROR(VLOOKUP(シフト組み!W174,役職一覧!$B:$D,2,FALSE),"")</f>
        <v/>
      </c>
      <c r="X144" s="17" t="str">
        <f>IFERROR(VLOOKUP(シフト組み!X174,役職一覧!$B:$D,2,FALSE),"")</f>
        <v/>
      </c>
      <c r="Y144" s="17" t="str">
        <f>IFERROR(VLOOKUP(シフト組み!Y174,役職一覧!$B:$D,2,FALSE),"")</f>
        <v/>
      </c>
      <c r="Z144" s="17" t="str">
        <f>IFERROR(VLOOKUP(シフト組み!Z174,役職一覧!$B:$D,2,FALSE),"")</f>
        <v/>
      </c>
      <c r="AA144" s="17" t="str">
        <f>IFERROR(VLOOKUP(シフト組み!AA174,役職一覧!$B:$D,2,FALSE),"")</f>
        <v/>
      </c>
      <c r="AB144" s="17" t="str">
        <f>IFERROR(VLOOKUP(シフト組み!AB174,役職一覧!$B:$D,2,FALSE),"")</f>
        <v/>
      </c>
      <c r="AC144" s="17" t="str">
        <f>IFERROR(VLOOKUP(シフト組み!AC174,役職一覧!$B:$D,2,FALSE),"")</f>
        <v/>
      </c>
      <c r="AD144" s="17" t="str">
        <f>IFERROR(VLOOKUP(シフト組み!AD174,役職一覧!$B:$D,2,FALSE),"")</f>
        <v/>
      </c>
      <c r="AE144" s="17" t="str">
        <f>IFERROR(VLOOKUP(シフト組み!AE174,役職一覧!$B:$D,2,FALSE),"")</f>
        <v/>
      </c>
      <c r="AF144" s="17" t="str">
        <f>IFERROR(VLOOKUP(シフト組み!AF174,役職一覧!$B:$D,2,FALSE),"")</f>
        <v/>
      </c>
      <c r="AG144" s="17" t="str">
        <f>IFERROR(VLOOKUP(シフト組み!AG174,役職一覧!$B:$D,2,FALSE),"")</f>
        <v/>
      </c>
      <c r="AH144" s="17" t="str">
        <f>IFERROR(VLOOKUP(シフト組み!AH174,役職一覧!$B:$D,2,FALSE),"")</f>
        <v/>
      </c>
      <c r="AI144" s="17" t="str">
        <f>IFERROR(VLOOKUP(シフト組み!AI174,役職一覧!$B:$D,2,FALSE),"")</f>
        <v/>
      </c>
      <c r="AJ144" s="17" t="str">
        <f>IFERROR(VLOOKUP(シフト組み!AJ174,役職一覧!$B:$D,2,FALSE),"")</f>
        <v/>
      </c>
      <c r="AK144" s="17" t="str">
        <f>IFERROR(VLOOKUP(シフト組み!AK174,役職一覧!$B:$D,2,FALSE),"")</f>
        <v/>
      </c>
      <c r="AL144" s="17" t="str">
        <f>IFERROR(VLOOKUP(シフト組み!AL174,役職一覧!$B:$D,2,FALSE),"")</f>
        <v/>
      </c>
      <c r="AM144" s="17" t="str">
        <f>IFERROR(VLOOKUP(シフト組み!AM174,役職一覧!$B:$D,2,FALSE),"")</f>
        <v/>
      </c>
      <c r="AN144" s="17" t="str">
        <f>IFERROR(VLOOKUP(シフト組み!AN174,役職一覧!$B:$D,2,FALSE),"")</f>
        <v/>
      </c>
      <c r="AO144" s="17" t="str">
        <f>IFERROR(VLOOKUP(シフト組み!AO174,役職一覧!$B:$D,2,FALSE),"")</f>
        <v/>
      </c>
      <c r="AP144" s="17" t="str">
        <f>IFERROR(VLOOKUP(シフト組み!AP174,役職一覧!$B:$D,2,FALSE),"")</f>
        <v/>
      </c>
      <c r="AQ144" s="17" t="str">
        <f>IFERROR(VLOOKUP(シフト組み!AQ174,役職一覧!$B:$D,2,FALSE),"")</f>
        <v/>
      </c>
      <c r="AR144" s="17" t="str">
        <f>IFERROR(VLOOKUP(シフト組み!AR174,役職一覧!$B:$D,2,FALSE),"")</f>
        <v/>
      </c>
      <c r="AS144" s="17" t="str">
        <f>IFERROR(VLOOKUP(シフト組み!AS174,役職一覧!$B:$D,2,FALSE),"")</f>
        <v/>
      </c>
      <c r="AT144" s="17" t="str">
        <f>IFERROR(VLOOKUP(シフト組み!AT174,役職一覧!$B:$D,2,FALSE),"")</f>
        <v/>
      </c>
      <c r="AU144" s="17" t="str">
        <f>IFERROR(VLOOKUP(シフト組み!AU174,役職一覧!$B:$D,2,FALSE),"")</f>
        <v/>
      </c>
      <c r="AV144" s="17" t="str">
        <f>IFERROR(VLOOKUP(シフト組み!AV174,役職一覧!$B:$D,2,FALSE),"")</f>
        <v/>
      </c>
      <c r="AW144" s="17" t="str">
        <f>IFERROR(VLOOKUP(シフト組み!AW174,役職一覧!$B:$D,2,FALSE),"")</f>
        <v/>
      </c>
      <c r="AX144" s="17" t="str">
        <f>IFERROR(VLOOKUP(シフト組み!AX174,役職一覧!$B:$D,2,FALSE),"")</f>
        <v/>
      </c>
      <c r="AY144" s="17" t="str">
        <f>IFERROR(VLOOKUP(シフト組み!AY174,役職一覧!$B:$D,2,FALSE),"")</f>
        <v/>
      </c>
      <c r="AZ144" s="17" t="str">
        <f>IFERROR(VLOOKUP(シフト組み!AZ174,役職一覧!$B:$D,2,FALSE),"")</f>
        <v/>
      </c>
      <c r="BA144" s="17" t="str">
        <f>IFERROR(VLOOKUP(シフト組み!BA174,役職一覧!$B:$D,2,FALSE),"")</f>
        <v/>
      </c>
    </row>
    <row r="145" spans="1:53">
      <c r="A145" s="2" t="str">
        <f>シフト組み!A175&amp;""</f>
        <v/>
      </c>
      <c r="B145" s="2" t="str">
        <f>シフト組み!B175&amp;""</f>
        <v/>
      </c>
      <c r="C145" s="2" t="str">
        <f>シフト組み!C175&amp;""</f>
        <v/>
      </c>
      <c r="D145" s="17" t="str">
        <f>IFERROR(VLOOKUP(シフト組み!D175,役職一覧!$B:$D,2,FALSE),"")</f>
        <v/>
      </c>
      <c r="E145" s="17" t="str">
        <f>IFERROR(VLOOKUP(シフト組み!E175,役職一覧!$B:$D,2,FALSE),"")</f>
        <v/>
      </c>
      <c r="F145" s="17" t="str">
        <f>IFERROR(VLOOKUP(シフト組み!F175,役職一覧!$B:$D,2,FALSE),"")</f>
        <v/>
      </c>
      <c r="G145" s="17" t="str">
        <f>IFERROR(VLOOKUP(シフト組み!G175,役職一覧!$B:$D,2,FALSE),"")</f>
        <v/>
      </c>
      <c r="H145" s="17" t="str">
        <f>IFERROR(VLOOKUP(シフト組み!H175,役職一覧!$B:$D,2,FALSE),"")</f>
        <v/>
      </c>
      <c r="I145" s="17" t="str">
        <f>IFERROR(VLOOKUP(シフト組み!I175,役職一覧!$B:$D,2,FALSE),"")</f>
        <v/>
      </c>
      <c r="J145" s="17" t="str">
        <f>IFERROR(VLOOKUP(シフト組み!J175,役職一覧!$B:$D,2,FALSE),"")</f>
        <v/>
      </c>
      <c r="K145" s="17" t="str">
        <f>IFERROR(VLOOKUP(シフト組み!K175,役職一覧!$B:$D,2,FALSE),"")</f>
        <v/>
      </c>
      <c r="L145" s="17" t="str">
        <f>IFERROR(VLOOKUP(シフト組み!L175,役職一覧!$B:$D,2,FALSE),"")</f>
        <v/>
      </c>
      <c r="M145" s="17" t="str">
        <f>IFERROR(VLOOKUP(シフト組み!M175,役職一覧!$B:$D,2,FALSE),"")</f>
        <v/>
      </c>
      <c r="N145" s="17" t="str">
        <f>IFERROR(VLOOKUP(シフト組み!N175,役職一覧!$B:$D,2,FALSE),"")</f>
        <v/>
      </c>
      <c r="O145" s="17" t="str">
        <f>IFERROR(VLOOKUP(シフト組み!O175,役職一覧!$B:$D,2,FALSE),"")</f>
        <v/>
      </c>
      <c r="P145" s="17" t="str">
        <f>IFERROR(VLOOKUP(シフト組み!P175,役職一覧!$B:$D,2,FALSE),"")</f>
        <v/>
      </c>
      <c r="Q145" s="17" t="str">
        <f>IFERROR(VLOOKUP(シフト組み!Q175,役職一覧!$B:$D,2,FALSE),"")</f>
        <v/>
      </c>
      <c r="R145" s="17" t="str">
        <f>IFERROR(VLOOKUP(シフト組み!R175,役職一覧!$B:$D,2,FALSE),"")</f>
        <v/>
      </c>
      <c r="S145" s="17" t="str">
        <f>IFERROR(VLOOKUP(シフト組み!S175,役職一覧!$B:$D,2,FALSE),"")</f>
        <v/>
      </c>
      <c r="T145" s="17" t="str">
        <f>IFERROR(VLOOKUP(シフト組み!T175,役職一覧!$B:$D,2,FALSE),"")</f>
        <v/>
      </c>
      <c r="U145" s="17" t="str">
        <f>IFERROR(VLOOKUP(シフト組み!U175,役職一覧!$B:$D,2,FALSE),"")</f>
        <v/>
      </c>
      <c r="V145" s="17" t="str">
        <f>IFERROR(VLOOKUP(シフト組み!V175,役職一覧!$B:$D,2,FALSE),"")</f>
        <v/>
      </c>
      <c r="W145" s="17" t="str">
        <f>IFERROR(VLOOKUP(シフト組み!W175,役職一覧!$B:$D,2,FALSE),"")</f>
        <v/>
      </c>
      <c r="X145" s="17" t="str">
        <f>IFERROR(VLOOKUP(シフト組み!X175,役職一覧!$B:$D,2,FALSE),"")</f>
        <v/>
      </c>
      <c r="Y145" s="17" t="str">
        <f>IFERROR(VLOOKUP(シフト組み!Y175,役職一覧!$B:$D,2,FALSE),"")</f>
        <v/>
      </c>
      <c r="Z145" s="17" t="str">
        <f>IFERROR(VLOOKUP(シフト組み!Z175,役職一覧!$B:$D,2,FALSE),"")</f>
        <v/>
      </c>
      <c r="AA145" s="17" t="str">
        <f>IFERROR(VLOOKUP(シフト組み!AA175,役職一覧!$B:$D,2,FALSE),"")</f>
        <v/>
      </c>
      <c r="AB145" s="17" t="str">
        <f>IFERROR(VLOOKUP(シフト組み!AB175,役職一覧!$B:$D,2,FALSE),"")</f>
        <v/>
      </c>
      <c r="AC145" s="17" t="str">
        <f>IFERROR(VLOOKUP(シフト組み!AC175,役職一覧!$B:$D,2,FALSE),"")</f>
        <v/>
      </c>
      <c r="AD145" s="17" t="str">
        <f>IFERROR(VLOOKUP(シフト組み!AD175,役職一覧!$B:$D,2,FALSE),"")</f>
        <v/>
      </c>
      <c r="AE145" s="17" t="str">
        <f>IFERROR(VLOOKUP(シフト組み!AE175,役職一覧!$B:$D,2,FALSE),"")</f>
        <v/>
      </c>
      <c r="AF145" s="17" t="str">
        <f>IFERROR(VLOOKUP(シフト組み!AF175,役職一覧!$B:$D,2,FALSE),"")</f>
        <v/>
      </c>
      <c r="AG145" s="17" t="str">
        <f>IFERROR(VLOOKUP(シフト組み!AG175,役職一覧!$B:$D,2,FALSE),"")</f>
        <v/>
      </c>
      <c r="AH145" s="17" t="str">
        <f>IFERROR(VLOOKUP(シフト組み!AH175,役職一覧!$B:$D,2,FALSE),"")</f>
        <v/>
      </c>
      <c r="AI145" s="17" t="str">
        <f>IFERROR(VLOOKUP(シフト組み!AI175,役職一覧!$B:$D,2,FALSE),"")</f>
        <v/>
      </c>
      <c r="AJ145" s="17" t="str">
        <f>IFERROR(VLOOKUP(シフト組み!AJ175,役職一覧!$B:$D,2,FALSE),"")</f>
        <v/>
      </c>
      <c r="AK145" s="17" t="str">
        <f>IFERROR(VLOOKUP(シフト組み!AK175,役職一覧!$B:$D,2,FALSE),"")</f>
        <v/>
      </c>
      <c r="AL145" s="17" t="str">
        <f>IFERROR(VLOOKUP(シフト組み!AL175,役職一覧!$B:$D,2,FALSE),"")</f>
        <v/>
      </c>
      <c r="AM145" s="17" t="str">
        <f>IFERROR(VLOOKUP(シフト組み!AM175,役職一覧!$B:$D,2,FALSE),"")</f>
        <v/>
      </c>
      <c r="AN145" s="17" t="str">
        <f>IFERROR(VLOOKUP(シフト組み!AN175,役職一覧!$B:$D,2,FALSE),"")</f>
        <v/>
      </c>
      <c r="AO145" s="17" t="str">
        <f>IFERROR(VLOOKUP(シフト組み!AO175,役職一覧!$B:$D,2,FALSE),"")</f>
        <v/>
      </c>
      <c r="AP145" s="17" t="str">
        <f>IFERROR(VLOOKUP(シフト組み!AP175,役職一覧!$B:$D,2,FALSE),"")</f>
        <v/>
      </c>
      <c r="AQ145" s="17" t="str">
        <f>IFERROR(VLOOKUP(シフト組み!AQ175,役職一覧!$B:$D,2,FALSE),"")</f>
        <v/>
      </c>
      <c r="AR145" s="17" t="str">
        <f>IFERROR(VLOOKUP(シフト組み!AR175,役職一覧!$B:$D,2,FALSE),"")</f>
        <v/>
      </c>
      <c r="AS145" s="17" t="str">
        <f>IFERROR(VLOOKUP(シフト組み!AS175,役職一覧!$B:$D,2,FALSE),"")</f>
        <v/>
      </c>
      <c r="AT145" s="17" t="str">
        <f>IFERROR(VLOOKUP(シフト組み!AT175,役職一覧!$B:$D,2,FALSE),"")</f>
        <v/>
      </c>
      <c r="AU145" s="17" t="str">
        <f>IFERROR(VLOOKUP(シフト組み!AU175,役職一覧!$B:$D,2,FALSE),"")</f>
        <v/>
      </c>
      <c r="AV145" s="17" t="str">
        <f>IFERROR(VLOOKUP(シフト組み!AV175,役職一覧!$B:$D,2,FALSE),"")</f>
        <v/>
      </c>
      <c r="AW145" s="17" t="str">
        <f>IFERROR(VLOOKUP(シフト組み!AW175,役職一覧!$B:$D,2,FALSE),"")</f>
        <v/>
      </c>
      <c r="AX145" s="17" t="str">
        <f>IFERROR(VLOOKUP(シフト組み!AX175,役職一覧!$B:$D,2,FALSE),"")</f>
        <v/>
      </c>
      <c r="AY145" s="17" t="str">
        <f>IFERROR(VLOOKUP(シフト組み!AY175,役職一覧!$B:$D,2,FALSE),"")</f>
        <v/>
      </c>
      <c r="AZ145" s="17" t="str">
        <f>IFERROR(VLOOKUP(シフト組み!AZ175,役職一覧!$B:$D,2,FALSE),"")</f>
        <v/>
      </c>
      <c r="BA145" s="17" t="str">
        <f>IFERROR(VLOOKUP(シフト組み!BA175,役職一覧!$B:$D,2,FALSE),"")</f>
        <v/>
      </c>
    </row>
    <row r="146" spans="1:53">
      <c r="A146" s="2" t="str">
        <f>シフト組み!A176&amp;""</f>
        <v/>
      </c>
      <c r="B146" s="2" t="str">
        <f>シフト組み!B176&amp;""</f>
        <v/>
      </c>
      <c r="C146" s="2" t="str">
        <f>シフト組み!C176&amp;""</f>
        <v/>
      </c>
      <c r="D146" s="17" t="str">
        <f>IFERROR(VLOOKUP(シフト組み!D176,役職一覧!$B:$D,2,FALSE),"")</f>
        <v/>
      </c>
      <c r="E146" s="17" t="str">
        <f>IFERROR(VLOOKUP(シフト組み!E176,役職一覧!$B:$D,2,FALSE),"")</f>
        <v/>
      </c>
      <c r="F146" s="17" t="str">
        <f>IFERROR(VLOOKUP(シフト組み!F176,役職一覧!$B:$D,2,FALSE),"")</f>
        <v/>
      </c>
      <c r="G146" s="17" t="str">
        <f>IFERROR(VLOOKUP(シフト組み!G176,役職一覧!$B:$D,2,FALSE),"")</f>
        <v/>
      </c>
      <c r="H146" s="17" t="str">
        <f>IFERROR(VLOOKUP(シフト組み!H176,役職一覧!$B:$D,2,FALSE),"")</f>
        <v/>
      </c>
      <c r="I146" s="17" t="str">
        <f>IFERROR(VLOOKUP(シフト組み!I176,役職一覧!$B:$D,2,FALSE),"")</f>
        <v/>
      </c>
      <c r="J146" s="17" t="str">
        <f>IFERROR(VLOOKUP(シフト組み!J176,役職一覧!$B:$D,2,FALSE),"")</f>
        <v/>
      </c>
      <c r="K146" s="17" t="str">
        <f>IFERROR(VLOOKUP(シフト組み!K176,役職一覧!$B:$D,2,FALSE),"")</f>
        <v/>
      </c>
      <c r="L146" s="17" t="str">
        <f>IFERROR(VLOOKUP(シフト組み!L176,役職一覧!$B:$D,2,FALSE),"")</f>
        <v/>
      </c>
      <c r="M146" s="17" t="str">
        <f>IFERROR(VLOOKUP(シフト組み!M176,役職一覧!$B:$D,2,FALSE),"")</f>
        <v/>
      </c>
      <c r="N146" s="17" t="str">
        <f>IFERROR(VLOOKUP(シフト組み!N176,役職一覧!$B:$D,2,FALSE),"")</f>
        <v/>
      </c>
      <c r="O146" s="17" t="str">
        <f>IFERROR(VLOOKUP(シフト組み!O176,役職一覧!$B:$D,2,FALSE),"")</f>
        <v/>
      </c>
      <c r="P146" s="17" t="str">
        <f>IFERROR(VLOOKUP(シフト組み!P176,役職一覧!$B:$D,2,FALSE),"")</f>
        <v/>
      </c>
      <c r="Q146" s="17" t="str">
        <f>IFERROR(VLOOKUP(シフト組み!Q176,役職一覧!$B:$D,2,FALSE),"")</f>
        <v/>
      </c>
      <c r="R146" s="17" t="str">
        <f>IFERROR(VLOOKUP(シフト組み!R176,役職一覧!$B:$D,2,FALSE),"")</f>
        <v/>
      </c>
      <c r="S146" s="17" t="str">
        <f>IFERROR(VLOOKUP(シフト組み!S176,役職一覧!$B:$D,2,FALSE),"")</f>
        <v/>
      </c>
      <c r="T146" s="17" t="str">
        <f>IFERROR(VLOOKUP(シフト組み!T176,役職一覧!$B:$D,2,FALSE),"")</f>
        <v/>
      </c>
      <c r="U146" s="17" t="str">
        <f>IFERROR(VLOOKUP(シフト組み!U176,役職一覧!$B:$D,2,FALSE),"")</f>
        <v/>
      </c>
      <c r="V146" s="17" t="str">
        <f>IFERROR(VLOOKUP(シフト組み!V176,役職一覧!$B:$D,2,FALSE),"")</f>
        <v/>
      </c>
      <c r="W146" s="17" t="str">
        <f>IFERROR(VLOOKUP(シフト組み!W176,役職一覧!$B:$D,2,FALSE),"")</f>
        <v/>
      </c>
      <c r="X146" s="17" t="str">
        <f>IFERROR(VLOOKUP(シフト組み!X176,役職一覧!$B:$D,2,FALSE),"")</f>
        <v/>
      </c>
      <c r="Y146" s="17" t="str">
        <f>IFERROR(VLOOKUP(シフト組み!Y176,役職一覧!$B:$D,2,FALSE),"")</f>
        <v/>
      </c>
      <c r="Z146" s="17" t="str">
        <f>IFERROR(VLOOKUP(シフト組み!Z176,役職一覧!$B:$D,2,FALSE),"")</f>
        <v/>
      </c>
      <c r="AA146" s="17" t="str">
        <f>IFERROR(VLOOKUP(シフト組み!AA176,役職一覧!$B:$D,2,FALSE),"")</f>
        <v/>
      </c>
      <c r="AB146" s="17" t="str">
        <f>IFERROR(VLOOKUP(シフト組み!AB176,役職一覧!$B:$D,2,FALSE),"")</f>
        <v/>
      </c>
      <c r="AC146" s="17" t="str">
        <f>IFERROR(VLOOKUP(シフト組み!AC176,役職一覧!$B:$D,2,FALSE),"")</f>
        <v/>
      </c>
      <c r="AD146" s="17" t="str">
        <f>IFERROR(VLOOKUP(シフト組み!AD176,役職一覧!$B:$D,2,FALSE),"")</f>
        <v/>
      </c>
      <c r="AE146" s="17" t="str">
        <f>IFERROR(VLOOKUP(シフト組み!AE176,役職一覧!$B:$D,2,FALSE),"")</f>
        <v/>
      </c>
      <c r="AF146" s="17" t="str">
        <f>IFERROR(VLOOKUP(シフト組み!AF176,役職一覧!$B:$D,2,FALSE),"")</f>
        <v/>
      </c>
      <c r="AG146" s="17" t="str">
        <f>IFERROR(VLOOKUP(シフト組み!AG176,役職一覧!$B:$D,2,FALSE),"")</f>
        <v/>
      </c>
      <c r="AH146" s="17" t="str">
        <f>IFERROR(VLOOKUP(シフト組み!AH176,役職一覧!$B:$D,2,FALSE),"")</f>
        <v/>
      </c>
      <c r="AI146" s="17" t="str">
        <f>IFERROR(VLOOKUP(シフト組み!AI176,役職一覧!$B:$D,2,FALSE),"")</f>
        <v/>
      </c>
      <c r="AJ146" s="17" t="str">
        <f>IFERROR(VLOOKUP(シフト組み!AJ176,役職一覧!$B:$D,2,FALSE),"")</f>
        <v/>
      </c>
      <c r="AK146" s="17" t="str">
        <f>IFERROR(VLOOKUP(シフト組み!AK176,役職一覧!$B:$D,2,FALSE),"")</f>
        <v/>
      </c>
      <c r="AL146" s="17" t="str">
        <f>IFERROR(VLOOKUP(シフト組み!AL176,役職一覧!$B:$D,2,FALSE),"")</f>
        <v/>
      </c>
      <c r="AM146" s="17" t="str">
        <f>IFERROR(VLOOKUP(シフト組み!AM176,役職一覧!$B:$D,2,FALSE),"")</f>
        <v/>
      </c>
      <c r="AN146" s="17" t="str">
        <f>IFERROR(VLOOKUP(シフト組み!AN176,役職一覧!$B:$D,2,FALSE),"")</f>
        <v/>
      </c>
      <c r="AO146" s="17" t="str">
        <f>IFERROR(VLOOKUP(シフト組み!AO176,役職一覧!$B:$D,2,FALSE),"")</f>
        <v/>
      </c>
      <c r="AP146" s="17" t="str">
        <f>IFERROR(VLOOKUP(シフト組み!AP176,役職一覧!$B:$D,2,FALSE),"")</f>
        <v/>
      </c>
      <c r="AQ146" s="17" t="str">
        <f>IFERROR(VLOOKUP(シフト組み!AQ176,役職一覧!$B:$D,2,FALSE),"")</f>
        <v/>
      </c>
      <c r="AR146" s="17" t="str">
        <f>IFERROR(VLOOKUP(シフト組み!AR176,役職一覧!$B:$D,2,FALSE),"")</f>
        <v/>
      </c>
      <c r="AS146" s="17" t="str">
        <f>IFERROR(VLOOKUP(シフト組み!AS176,役職一覧!$B:$D,2,FALSE),"")</f>
        <v/>
      </c>
      <c r="AT146" s="17" t="str">
        <f>IFERROR(VLOOKUP(シフト組み!AT176,役職一覧!$B:$D,2,FALSE),"")</f>
        <v/>
      </c>
      <c r="AU146" s="17" t="str">
        <f>IFERROR(VLOOKUP(シフト組み!AU176,役職一覧!$B:$D,2,FALSE),"")</f>
        <v/>
      </c>
      <c r="AV146" s="17" t="str">
        <f>IFERROR(VLOOKUP(シフト組み!AV176,役職一覧!$B:$D,2,FALSE),"")</f>
        <v/>
      </c>
      <c r="AW146" s="17" t="str">
        <f>IFERROR(VLOOKUP(シフト組み!AW176,役職一覧!$B:$D,2,FALSE),"")</f>
        <v/>
      </c>
      <c r="AX146" s="17" t="str">
        <f>IFERROR(VLOOKUP(シフト組み!AX176,役職一覧!$B:$D,2,FALSE),"")</f>
        <v/>
      </c>
      <c r="AY146" s="17" t="str">
        <f>IFERROR(VLOOKUP(シフト組み!AY176,役職一覧!$B:$D,2,FALSE),"")</f>
        <v/>
      </c>
      <c r="AZ146" s="17" t="str">
        <f>IFERROR(VLOOKUP(シフト組み!AZ176,役職一覧!$B:$D,2,FALSE),"")</f>
        <v/>
      </c>
      <c r="BA146" s="17" t="str">
        <f>IFERROR(VLOOKUP(シフト組み!BA176,役職一覧!$B:$D,2,FALSE),"")</f>
        <v/>
      </c>
    </row>
    <row r="147" spans="1:53">
      <c r="A147" s="2" t="str">
        <f>シフト組み!A177&amp;""</f>
        <v/>
      </c>
      <c r="B147" s="2" t="str">
        <f>シフト組み!B177&amp;""</f>
        <v/>
      </c>
      <c r="C147" s="2" t="str">
        <f>シフト組み!C177&amp;""</f>
        <v/>
      </c>
      <c r="D147" s="17" t="str">
        <f>IFERROR(VLOOKUP(シフト組み!D177,役職一覧!$B:$D,2,FALSE),"")</f>
        <v/>
      </c>
      <c r="E147" s="17" t="str">
        <f>IFERROR(VLOOKUP(シフト組み!E177,役職一覧!$B:$D,2,FALSE),"")</f>
        <v/>
      </c>
      <c r="F147" s="17" t="str">
        <f>IFERROR(VLOOKUP(シフト組み!F177,役職一覧!$B:$D,2,FALSE),"")</f>
        <v/>
      </c>
      <c r="G147" s="17" t="str">
        <f>IFERROR(VLOOKUP(シフト組み!G177,役職一覧!$B:$D,2,FALSE),"")</f>
        <v/>
      </c>
      <c r="H147" s="17" t="str">
        <f>IFERROR(VLOOKUP(シフト組み!H177,役職一覧!$B:$D,2,FALSE),"")</f>
        <v/>
      </c>
      <c r="I147" s="17" t="str">
        <f>IFERROR(VLOOKUP(シフト組み!I177,役職一覧!$B:$D,2,FALSE),"")</f>
        <v/>
      </c>
      <c r="J147" s="17" t="str">
        <f>IFERROR(VLOOKUP(シフト組み!J177,役職一覧!$B:$D,2,FALSE),"")</f>
        <v/>
      </c>
      <c r="K147" s="17" t="str">
        <f>IFERROR(VLOOKUP(シフト組み!K177,役職一覧!$B:$D,2,FALSE),"")</f>
        <v/>
      </c>
      <c r="L147" s="17" t="str">
        <f>IFERROR(VLOOKUP(シフト組み!L177,役職一覧!$B:$D,2,FALSE),"")</f>
        <v/>
      </c>
      <c r="M147" s="17" t="str">
        <f>IFERROR(VLOOKUP(シフト組み!M177,役職一覧!$B:$D,2,FALSE),"")</f>
        <v/>
      </c>
      <c r="N147" s="17" t="str">
        <f>IFERROR(VLOOKUP(シフト組み!N177,役職一覧!$B:$D,2,FALSE),"")</f>
        <v/>
      </c>
      <c r="O147" s="17" t="str">
        <f>IFERROR(VLOOKUP(シフト組み!O177,役職一覧!$B:$D,2,FALSE),"")</f>
        <v/>
      </c>
      <c r="P147" s="17" t="str">
        <f>IFERROR(VLOOKUP(シフト組み!P177,役職一覧!$B:$D,2,FALSE),"")</f>
        <v/>
      </c>
      <c r="Q147" s="17" t="str">
        <f>IFERROR(VLOOKUP(シフト組み!Q177,役職一覧!$B:$D,2,FALSE),"")</f>
        <v/>
      </c>
      <c r="R147" s="17" t="str">
        <f>IFERROR(VLOOKUP(シフト組み!R177,役職一覧!$B:$D,2,FALSE),"")</f>
        <v/>
      </c>
      <c r="S147" s="17" t="str">
        <f>IFERROR(VLOOKUP(シフト組み!S177,役職一覧!$B:$D,2,FALSE),"")</f>
        <v/>
      </c>
      <c r="T147" s="17" t="str">
        <f>IFERROR(VLOOKUP(シフト組み!T177,役職一覧!$B:$D,2,FALSE),"")</f>
        <v/>
      </c>
      <c r="U147" s="17" t="str">
        <f>IFERROR(VLOOKUP(シフト組み!U177,役職一覧!$B:$D,2,FALSE),"")</f>
        <v/>
      </c>
      <c r="V147" s="17" t="str">
        <f>IFERROR(VLOOKUP(シフト組み!V177,役職一覧!$B:$D,2,FALSE),"")</f>
        <v/>
      </c>
      <c r="W147" s="17" t="str">
        <f>IFERROR(VLOOKUP(シフト組み!W177,役職一覧!$B:$D,2,FALSE),"")</f>
        <v/>
      </c>
      <c r="X147" s="17" t="str">
        <f>IFERROR(VLOOKUP(シフト組み!X177,役職一覧!$B:$D,2,FALSE),"")</f>
        <v/>
      </c>
      <c r="Y147" s="17" t="str">
        <f>IFERROR(VLOOKUP(シフト組み!Y177,役職一覧!$B:$D,2,FALSE),"")</f>
        <v/>
      </c>
      <c r="Z147" s="17" t="str">
        <f>IFERROR(VLOOKUP(シフト組み!Z177,役職一覧!$B:$D,2,FALSE),"")</f>
        <v/>
      </c>
      <c r="AA147" s="17" t="str">
        <f>IFERROR(VLOOKUP(シフト組み!AA177,役職一覧!$B:$D,2,FALSE),"")</f>
        <v/>
      </c>
      <c r="AB147" s="17" t="str">
        <f>IFERROR(VLOOKUP(シフト組み!AB177,役職一覧!$B:$D,2,FALSE),"")</f>
        <v/>
      </c>
      <c r="AC147" s="17" t="str">
        <f>IFERROR(VLOOKUP(シフト組み!AC177,役職一覧!$B:$D,2,FALSE),"")</f>
        <v/>
      </c>
      <c r="AD147" s="17" t="str">
        <f>IFERROR(VLOOKUP(シフト組み!AD177,役職一覧!$B:$D,2,FALSE),"")</f>
        <v/>
      </c>
      <c r="AE147" s="17" t="str">
        <f>IFERROR(VLOOKUP(シフト組み!AE177,役職一覧!$B:$D,2,FALSE),"")</f>
        <v/>
      </c>
      <c r="AF147" s="17" t="str">
        <f>IFERROR(VLOOKUP(シフト組み!AF177,役職一覧!$B:$D,2,FALSE),"")</f>
        <v/>
      </c>
      <c r="AG147" s="17" t="str">
        <f>IFERROR(VLOOKUP(シフト組み!AG177,役職一覧!$B:$D,2,FALSE),"")</f>
        <v/>
      </c>
      <c r="AH147" s="17" t="str">
        <f>IFERROR(VLOOKUP(シフト組み!AH177,役職一覧!$B:$D,2,FALSE),"")</f>
        <v/>
      </c>
      <c r="AI147" s="17" t="str">
        <f>IFERROR(VLOOKUP(シフト組み!AI177,役職一覧!$B:$D,2,FALSE),"")</f>
        <v/>
      </c>
      <c r="AJ147" s="17" t="str">
        <f>IFERROR(VLOOKUP(シフト組み!AJ177,役職一覧!$B:$D,2,FALSE),"")</f>
        <v/>
      </c>
      <c r="AK147" s="17" t="str">
        <f>IFERROR(VLOOKUP(シフト組み!AK177,役職一覧!$B:$D,2,FALSE),"")</f>
        <v/>
      </c>
      <c r="AL147" s="17" t="str">
        <f>IFERROR(VLOOKUP(シフト組み!AL177,役職一覧!$B:$D,2,FALSE),"")</f>
        <v/>
      </c>
      <c r="AM147" s="17" t="str">
        <f>IFERROR(VLOOKUP(シフト組み!AM177,役職一覧!$B:$D,2,FALSE),"")</f>
        <v/>
      </c>
      <c r="AN147" s="17" t="str">
        <f>IFERROR(VLOOKUP(シフト組み!AN177,役職一覧!$B:$D,2,FALSE),"")</f>
        <v/>
      </c>
      <c r="AO147" s="17" t="str">
        <f>IFERROR(VLOOKUP(シフト組み!AO177,役職一覧!$B:$D,2,FALSE),"")</f>
        <v/>
      </c>
      <c r="AP147" s="17" t="str">
        <f>IFERROR(VLOOKUP(シフト組み!AP177,役職一覧!$B:$D,2,FALSE),"")</f>
        <v/>
      </c>
      <c r="AQ147" s="17" t="str">
        <f>IFERROR(VLOOKUP(シフト組み!AQ177,役職一覧!$B:$D,2,FALSE),"")</f>
        <v/>
      </c>
      <c r="AR147" s="17" t="str">
        <f>IFERROR(VLOOKUP(シフト組み!AR177,役職一覧!$B:$D,2,FALSE),"")</f>
        <v/>
      </c>
      <c r="AS147" s="17" t="str">
        <f>IFERROR(VLOOKUP(シフト組み!AS177,役職一覧!$B:$D,2,FALSE),"")</f>
        <v/>
      </c>
      <c r="AT147" s="17" t="str">
        <f>IFERROR(VLOOKUP(シフト組み!AT177,役職一覧!$B:$D,2,FALSE),"")</f>
        <v/>
      </c>
      <c r="AU147" s="17" t="str">
        <f>IFERROR(VLOOKUP(シフト組み!AU177,役職一覧!$B:$D,2,FALSE),"")</f>
        <v/>
      </c>
      <c r="AV147" s="17" t="str">
        <f>IFERROR(VLOOKUP(シフト組み!AV177,役職一覧!$B:$D,2,FALSE),"")</f>
        <v/>
      </c>
      <c r="AW147" s="17" t="str">
        <f>IFERROR(VLOOKUP(シフト組み!AW177,役職一覧!$B:$D,2,FALSE),"")</f>
        <v/>
      </c>
      <c r="AX147" s="17" t="str">
        <f>IFERROR(VLOOKUP(シフト組み!AX177,役職一覧!$B:$D,2,FALSE),"")</f>
        <v/>
      </c>
      <c r="AY147" s="17" t="str">
        <f>IFERROR(VLOOKUP(シフト組み!AY177,役職一覧!$B:$D,2,FALSE),"")</f>
        <v/>
      </c>
      <c r="AZ147" s="17" t="str">
        <f>IFERROR(VLOOKUP(シフト組み!AZ177,役職一覧!$B:$D,2,FALSE),"")</f>
        <v/>
      </c>
      <c r="BA147" s="17" t="str">
        <f>IFERROR(VLOOKUP(シフト組み!BA177,役職一覧!$B:$D,2,FALSE),"")</f>
        <v/>
      </c>
    </row>
    <row r="148" spans="1:53">
      <c r="A148" s="2" t="str">
        <f>シフト組み!A178&amp;""</f>
        <v/>
      </c>
      <c r="B148" s="2" t="str">
        <f>シフト組み!B178&amp;""</f>
        <v/>
      </c>
      <c r="C148" s="2" t="str">
        <f>シフト組み!C178&amp;""</f>
        <v/>
      </c>
      <c r="D148" s="17" t="str">
        <f>IFERROR(VLOOKUP(シフト組み!D178,役職一覧!$B:$D,2,FALSE),"")</f>
        <v/>
      </c>
      <c r="E148" s="17" t="str">
        <f>IFERROR(VLOOKUP(シフト組み!E178,役職一覧!$B:$D,2,FALSE),"")</f>
        <v/>
      </c>
      <c r="F148" s="17" t="str">
        <f>IFERROR(VLOOKUP(シフト組み!F178,役職一覧!$B:$D,2,FALSE),"")</f>
        <v/>
      </c>
      <c r="G148" s="17" t="str">
        <f>IFERROR(VLOOKUP(シフト組み!G178,役職一覧!$B:$D,2,FALSE),"")</f>
        <v/>
      </c>
      <c r="H148" s="17" t="str">
        <f>IFERROR(VLOOKUP(シフト組み!H178,役職一覧!$B:$D,2,FALSE),"")</f>
        <v/>
      </c>
      <c r="I148" s="17" t="str">
        <f>IFERROR(VLOOKUP(シフト組み!I178,役職一覧!$B:$D,2,FALSE),"")</f>
        <v/>
      </c>
      <c r="J148" s="17" t="str">
        <f>IFERROR(VLOOKUP(シフト組み!J178,役職一覧!$B:$D,2,FALSE),"")</f>
        <v/>
      </c>
      <c r="K148" s="17" t="str">
        <f>IFERROR(VLOOKUP(シフト組み!K178,役職一覧!$B:$D,2,FALSE),"")</f>
        <v/>
      </c>
      <c r="L148" s="17" t="str">
        <f>IFERROR(VLOOKUP(シフト組み!L178,役職一覧!$B:$D,2,FALSE),"")</f>
        <v/>
      </c>
      <c r="M148" s="17" t="str">
        <f>IFERROR(VLOOKUP(シフト組み!M178,役職一覧!$B:$D,2,FALSE),"")</f>
        <v/>
      </c>
      <c r="N148" s="17" t="str">
        <f>IFERROR(VLOOKUP(シフト組み!N178,役職一覧!$B:$D,2,FALSE),"")</f>
        <v/>
      </c>
      <c r="O148" s="17" t="str">
        <f>IFERROR(VLOOKUP(シフト組み!O178,役職一覧!$B:$D,2,FALSE),"")</f>
        <v/>
      </c>
      <c r="P148" s="17" t="str">
        <f>IFERROR(VLOOKUP(シフト組み!P178,役職一覧!$B:$D,2,FALSE),"")</f>
        <v/>
      </c>
      <c r="Q148" s="17" t="str">
        <f>IFERROR(VLOOKUP(シフト組み!Q178,役職一覧!$B:$D,2,FALSE),"")</f>
        <v/>
      </c>
      <c r="R148" s="17" t="str">
        <f>IFERROR(VLOOKUP(シフト組み!R178,役職一覧!$B:$D,2,FALSE),"")</f>
        <v/>
      </c>
      <c r="S148" s="17" t="str">
        <f>IFERROR(VLOOKUP(シフト組み!S178,役職一覧!$B:$D,2,FALSE),"")</f>
        <v/>
      </c>
      <c r="T148" s="17" t="str">
        <f>IFERROR(VLOOKUP(シフト組み!T178,役職一覧!$B:$D,2,FALSE),"")</f>
        <v/>
      </c>
      <c r="U148" s="17" t="str">
        <f>IFERROR(VLOOKUP(シフト組み!U178,役職一覧!$B:$D,2,FALSE),"")</f>
        <v/>
      </c>
      <c r="V148" s="17" t="str">
        <f>IFERROR(VLOOKUP(シフト組み!V178,役職一覧!$B:$D,2,FALSE),"")</f>
        <v/>
      </c>
      <c r="W148" s="17" t="str">
        <f>IFERROR(VLOOKUP(シフト組み!W178,役職一覧!$B:$D,2,FALSE),"")</f>
        <v/>
      </c>
      <c r="X148" s="17" t="str">
        <f>IFERROR(VLOOKUP(シフト組み!X178,役職一覧!$B:$D,2,FALSE),"")</f>
        <v/>
      </c>
      <c r="Y148" s="17" t="str">
        <f>IFERROR(VLOOKUP(シフト組み!Y178,役職一覧!$B:$D,2,FALSE),"")</f>
        <v/>
      </c>
      <c r="Z148" s="17" t="str">
        <f>IFERROR(VLOOKUP(シフト組み!Z178,役職一覧!$B:$D,2,FALSE),"")</f>
        <v/>
      </c>
      <c r="AA148" s="17" t="str">
        <f>IFERROR(VLOOKUP(シフト組み!AA178,役職一覧!$B:$D,2,FALSE),"")</f>
        <v/>
      </c>
      <c r="AB148" s="17" t="str">
        <f>IFERROR(VLOOKUP(シフト組み!AB178,役職一覧!$B:$D,2,FALSE),"")</f>
        <v/>
      </c>
      <c r="AC148" s="17" t="str">
        <f>IFERROR(VLOOKUP(シフト組み!AC178,役職一覧!$B:$D,2,FALSE),"")</f>
        <v/>
      </c>
      <c r="AD148" s="17" t="str">
        <f>IFERROR(VLOOKUP(シフト組み!AD178,役職一覧!$B:$D,2,FALSE),"")</f>
        <v/>
      </c>
      <c r="AE148" s="17" t="str">
        <f>IFERROR(VLOOKUP(シフト組み!AE178,役職一覧!$B:$D,2,FALSE),"")</f>
        <v/>
      </c>
      <c r="AF148" s="17" t="str">
        <f>IFERROR(VLOOKUP(シフト組み!AF178,役職一覧!$B:$D,2,FALSE),"")</f>
        <v/>
      </c>
      <c r="AG148" s="17" t="str">
        <f>IFERROR(VLOOKUP(シフト組み!AG178,役職一覧!$B:$D,2,FALSE),"")</f>
        <v/>
      </c>
      <c r="AH148" s="17" t="str">
        <f>IFERROR(VLOOKUP(シフト組み!AH178,役職一覧!$B:$D,2,FALSE),"")</f>
        <v/>
      </c>
      <c r="AI148" s="17" t="str">
        <f>IFERROR(VLOOKUP(シフト組み!AI178,役職一覧!$B:$D,2,FALSE),"")</f>
        <v/>
      </c>
      <c r="AJ148" s="17" t="str">
        <f>IFERROR(VLOOKUP(シフト組み!AJ178,役職一覧!$B:$D,2,FALSE),"")</f>
        <v/>
      </c>
      <c r="AK148" s="17" t="str">
        <f>IFERROR(VLOOKUP(シフト組み!AK178,役職一覧!$B:$D,2,FALSE),"")</f>
        <v/>
      </c>
      <c r="AL148" s="17" t="str">
        <f>IFERROR(VLOOKUP(シフト組み!AL178,役職一覧!$B:$D,2,FALSE),"")</f>
        <v/>
      </c>
      <c r="AM148" s="17" t="str">
        <f>IFERROR(VLOOKUP(シフト組み!AM178,役職一覧!$B:$D,2,FALSE),"")</f>
        <v/>
      </c>
      <c r="AN148" s="17" t="str">
        <f>IFERROR(VLOOKUP(シフト組み!AN178,役職一覧!$B:$D,2,FALSE),"")</f>
        <v/>
      </c>
      <c r="AO148" s="17" t="str">
        <f>IFERROR(VLOOKUP(シフト組み!AO178,役職一覧!$B:$D,2,FALSE),"")</f>
        <v/>
      </c>
      <c r="AP148" s="17" t="str">
        <f>IFERROR(VLOOKUP(シフト組み!AP178,役職一覧!$B:$D,2,FALSE),"")</f>
        <v/>
      </c>
      <c r="AQ148" s="17" t="str">
        <f>IFERROR(VLOOKUP(シフト組み!AQ178,役職一覧!$B:$D,2,FALSE),"")</f>
        <v/>
      </c>
      <c r="AR148" s="17" t="str">
        <f>IFERROR(VLOOKUP(シフト組み!AR178,役職一覧!$B:$D,2,FALSE),"")</f>
        <v/>
      </c>
      <c r="AS148" s="17" t="str">
        <f>IFERROR(VLOOKUP(シフト組み!AS178,役職一覧!$B:$D,2,FALSE),"")</f>
        <v/>
      </c>
      <c r="AT148" s="17" t="str">
        <f>IFERROR(VLOOKUP(シフト組み!AT178,役職一覧!$B:$D,2,FALSE),"")</f>
        <v/>
      </c>
      <c r="AU148" s="17" t="str">
        <f>IFERROR(VLOOKUP(シフト組み!AU178,役職一覧!$B:$D,2,FALSE),"")</f>
        <v/>
      </c>
      <c r="AV148" s="17" t="str">
        <f>IFERROR(VLOOKUP(シフト組み!AV178,役職一覧!$B:$D,2,FALSE),"")</f>
        <v/>
      </c>
      <c r="AW148" s="17" t="str">
        <f>IFERROR(VLOOKUP(シフト組み!AW178,役職一覧!$B:$D,2,FALSE),"")</f>
        <v/>
      </c>
      <c r="AX148" s="17" t="str">
        <f>IFERROR(VLOOKUP(シフト組み!AX178,役職一覧!$B:$D,2,FALSE),"")</f>
        <v/>
      </c>
      <c r="AY148" s="17" t="str">
        <f>IFERROR(VLOOKUP(シフト組み!AY178,役職一覧!$B:$D,2,FALSE),"")</f>
        <v/>
      </c>
      <c r="AZ148" s="17" t="str">
        <f>IFERROR(VLOOKUP(シフト組み!AZ178,役職一覧!$B:$D,2,FALSE),"")</f>
        <v/>
      </c>
      <c r="BA148" s="17" t="str">
        <f>IFERROR(VLOOKUP(シフト組み!BA178,役職一覧!$B:$D,2,FALSE),"")</f>
        <v/>
      </c>
    </row>
    <row r="149" spans="1:53">
      <c r="A149" s="2" t="str">
        <f>シフト組み!A179&amp;""</f>
        <v/>
      </c>
      <c r="B149" s="2" t="str">
        <f>シフト組み!B179&amp;""</f>
        <v/>
      </c>
      <c r="C149" s="2" t="str">
        <f>シフト組み!C179&amp;""</f>
        <v/>
      </c>
      <c r="D149" s="17" t="str">
        <f>IFERROR(VLOOKUP(シフト組み!D179,役職一覧!$B:$D,2,FALSE),"")</f>
        <v/>
      </c>
      <c r="E149" s="17" t="str">
        <f>IFERROR(VLOOKUP(シフト組み!E179,役職一覧!$B:$D,2,FALSE),"")</f>
        <v/>
      </c>
      <c r="F149" s="17" t="str">
        <f>IFERROR(VLOOKUP(シフト組み!F179,役職一覧!$B:$D,2,FALSE),"")</f>
        <v/>
      </c>
      <c r="G149" s="17" t="str">
        <f>IFERROR(VLOOKUP(シフト組み!G179,役職一覧!$B:$D,2,FALSE),"")</f>
        <v/>
      </c>
      <c r="H149" s="17" t="str">
        <f>IFERROR(VLOOKUP(シフト組み!H179,役職一覧!$B:$D,2,FALSE),"")</f>
        <v/>
      </c>
      <c r="I149" s="17" t="str">
        <f>IFERROR(VLOOKUP(シフト組み!I179,役職一覧!$B:$D,2,FALSE),"")</f>
        <v/>
      </c>
      <c r="J149" s="17" t="str">
        <f>IFERROR(VLOOKUP(シフト組み!J179,役職一覧!$B:$D,2,FALSE),"")</f>
        <v/>
      </c>
      <c r="K149" s="17" t="str">
        <f>IFERROR(VLOOKUP(シフト組み!K179,役職一覧!$B:$D,2,FALSE),"")</f>
        <v/>
      </c>
      <c r="L149" s="17" t="str">
        <f>IFERROR(VLOOKUP(シフト組み!L179,役職一覧!$B:$D,2,FALSE),"")</f>
        <v/>
      </c>
      <c r="M149" s="17" t="str">
        <f>IFERROR(VLOOKUP(シフト組み!M179,役職一覧!$B:$D,2,FALSE),"")</f>
        <v/>
      </c>
      <c r="N149" s="17" t="str">
        <f>IFERROR(VLOOKUP(シフト組み!N179,役職一覧!$B:$D,2,FALSE),"")</f>
        <v/>
      </c>
      <c r="O149" s="17" t="str">
        <f>IFERROR(VLOOKUP(シフト組み!O179,役職一覧!$B:$D,2,FALSE),"")</f>
        <v/>
      </c>
      <c r="P149" s="17" t="str">
        <f>IFERROR(VLOOKUP(シフト組み!P179,役職一覧!$B:$D,2,FALSE),"")</f>
        <v/>
      </c>
      <c r="Q149" s="17" t="str">
        <f>IFERROR(VLOOKUP(シフト組み!Q179,役職一覧!$B:$D,2,FALSE),"")</f>
        <v/>
      </c>
      <c r="R149" s="17" t="str">
        <f>IFERROR(VLOOKUP(シフト組み!R179,役職一覧!$B:$D,2,FALSE),"")</f>
        <v/>
      </c>
      <c r="S149" s="17" t="str">
        <f>IFERROR(VLOOKUP(シフト組み!S179,役職一覧!$B:$D,2,FALSE),"")</f>
        <v/>
      </c>
      <c r="T149" s="17" t="str">
        <f>IFERROR(VLOOKUP(シフト組み!T179,役職一覧!$B:$D,2,FALSE),"")</f>
        <v/>
      </c>
      <c r="U149" s="17" t="str">
        <f>IFERROR(VLOOKUP(シフト組み!U179,役職一覧!$B:$D,2,FALSE),"")</f>
        <v/>
      </c>
      <c r="V149" s="17" t="str">
        <f>IFERROR(VLOOKUP(シフト組み!V179,役職一覧!$B:$D,2,FALSE),"")</f>
        <v/>
      </c>
      <c r="W149" s="17" t="str">
        <f>IFERROR(VLOOKUP(シフト組み!W179,役職一覧!$B:$D,2,FALSE),"")</f>
        <v/>
      </c>
      <c r="X149" s="17" t="str">
        <f>IFERROR(VLOOKUP(シフト組み!X179,役職一覧!$B:$D,2,FALSE),"")</f>
        <v/>
      </c>
      <c r="Y149" s="17" t="str">
        <f>IFERROR(VLOOKUP(シフト組み!Y179,役職一覧!$B:$D,2,FALSE),"")</f>
        <v/>
      </c>
      <c r="Z149" s="17" t="str">
        <f>IFERROR(VLOOKUP(シフト組み!Z179,役職一覧!$B:$D,2,FALSE),"")</f>
        <v/>
      </c>
      <c r="AA149" s="17" t="str">
        <f>IFERROR(VLOOKUP(シフト組み!AA179,役職一覧!$B:$D,2,FALSE),"")</f>
        <v/>
      </c>
      <c r="AB149" s="17" t="str">
        <f>IFERROR(VLOOKUP(シフト組み!AB179,役職一覧!$B:$D,2,FALSE),"")</f>
        <v/>
      </c>
      <c r="AC149" s="17" t="str">
        <f>IFERROR(VLOOKUP(シフト組み!AC179,役職一覧!$B:$D,2,FALSE),"")</f>
        <v/>
      </c>
      <c r="AD149" s="17" t="str">
        <f>IFERROR(VLOOKUP(シフト組み!AD179,役職一覧!$B:$D,2,FALSE),"")</f>
        <v/>
      </c>
      <c r="AE149" s="17" t="str">
        <f>IFERROR(VLOOKUP(シフト組み!AE179,役職一覧!$B:$D,2,FALSE),"")</f>
        <v/>
      </c>
      <c r="AF149" s="17" t="str">
        <f>IFERROR(VLOOKUP(シフト組み!AF179,役職一覧!$B:$D,2,FALSE),"")</f>
        <v/>
      </c>
      <c r="AG149" s="17" t="str">
        <f>IFERROR(VLOOKUP(シフト組み!AG179,役職一覧!$B:$D,2,FALSE),"")</f>
        <v/>
      </c>
      <c r="AH149" s="17" t="str">
        <f>IFERROR(VLOOKUP(シフト組み!AH179,役職一覧!$B:$D,2,FALSE),"")</f>
        <v/>
      </c>
      <c r="AI149" s="17" t="str">
        <f>IFERROR(VLOOKUP(シフト組み!AI179,役職一覧!$B:$D,2,FALSE),"")</f>
        <v/>
      </c>
      <c r="AJ149" s="17" t="str">
        <f>IFERROR(VLOOKUP(シフト組み!AJ179,役職一覧!$B:$D,2,FALSE),"")</f>
        <v/>
      </c>
      <c r="AK149" s="17" t="str">
        <f>IFERROR(VLOOKUP(シフト組み!AK179,役職一覧!$B:$D,2,FALSE),"")</f>
        <v/>
      </c>
      <c r="AL149" s="17" t="str">
        <f>IFERROR(VLOOKUP(シフト組み!AL179,役職一覧!$B:$D,2,FALSE),"")</f>
        <v/>
      </c>
      <c r="AM149" s="17" t="str">
        <f>IFERROR(VLOOKUP(シフト組み!AM179,役職一覧!$B:$D,2,FALSE),"")</f>
        <v/>
      </c>
      <c r="AN149" s="17" t="str">
        <f>IFERROR(VLOOKUP(シフト組み!AN179,役職一覧!$B:$D,2,FALSE),"")</f>
        <v/>
      </c>
      <c r="AO149" s="17" t="str">
        <f>IFERROR(VLOOKUP(シフト組み!AO179,役職一覧!$B:$D,2,FALSE),"")</f>
        <v/>
      </c>
      <c r="AP149" s="17" t="str">
        <f>IFERROR(VLOOKUP(シフト組み!AP179,役職一覧!$B:$D,2,FALSE),"")</f>
        <v/>
      </c>
      <c r="AQ149" s="17" t="str">
        <f>IFERROR(VLOOKUP(シフト組み!AQ179,役職一覧!$B:$D,2,FALSE),"")</f>
        <v/>
      </c>
      <c r="AR149" s="17" t="str">
        <f>IFERROR(VLOOKUP(シフト組み!AR179,役職一覧!$B:$D,2,FALSE),"")</f>
        <v/>
      </c>
      <c r="AS149" s="17" t="str">
        <f>IFERROR(VLOOKUP(シフト組み!AS179,役職一覧!$B:$D,2,FALSE),"")</f>
        <v/>
      </c>
      <c r="AT149" s="17" t="str">
        <f>IFERROR(VLOOKUP(シフト組み!AT179,役職一覧!$B:$D,2,FALSE),"")</f>
        <v/>
      </c>
      <c r="AU149" s="17" t="str">
        <f>IFERROR(VLOOKUP(シフト組み!AU179,役職一覧!$B:$D,2,FALSE),"")</f>
        <v/>
      </c>
      <c r="AV149" s="17" t="str">
        <f>IFERROR(VLOOKUP(シフト組み!AV179,役職一覧!$B:$D,2,FALSE),"")</f>
        <v/>
      </c>
      <c r="AW149" s="17" t="str">
        <f>IFERROR(VLOOKUP(シフト組み!AW179,役職一覧!$B:$D,2,FALSE),"")</f>
        <v/>
      </c>
      <c r="AX149" s="17" t="str">
        <f>IFERROR(VLOOKUP(シフト組み!AX179,役職一覧!$B:$D,2,FALSE),"")</f>
        <v/>
      </c>
      <c r="AY149" s="17" t="str">
        <f>IFERROR(VLOOKUP(シフト組み!AY179,役職一覧!$B:$D,2,FALSE),"")</f>
        <v/>
      </c>
      <c r="AZ149" s="17" t="str">
        <f>IFERROR(VLOOKUP(シフト組み!AZ179,役職一覧!$B:$D,2,FALSE),"")</f>
        <v/>
      </c>
      <c r="BA149" s="17" t="str">
        <f>IFERROR(VLOOKUP(シフト組み!BA179,役職一覧!$B:$D,2,FALSE),"")</f>
        <v/>
      </c>
    </row>
    <row r="150" spans="1:53">
      <c r="A150" s="2" t="str">
        <f>シフト組み!A180&amp;""</f>
        <v/>
      </c>
      <c r="B150" s="2" t="str">
        <f>シフト組み!B180&amp;""</f>
        <v/>
      </c>
      <c r="C150" s="2" t="str">
        <f>シフト組み!C180&amp;""</f>
        <v/>
      </c>
      <c r="D150" s="17" t="str">
        <f>IFERROR(VLOOKUP(シフト組み!D180,役職一覧!$B:$D,2,FALSE),"")</f>
        <v/>
      </c>
      <c r="E150" s="17" t="str">
        <f>IFERROR(VLOOKUP(シフト組み!E180,役職一覧!$B:$D,2,FALSE),"")</f>
        <v/>
      </c>
      <c r="F150" s="17" t="str">
        <f>IFERROR(VLOOKUP(シフト組み!F180,役職一覧!$B:$D,2,FALSE),"")</f>
        <v/>
      </c>
      <c r="G150" s="17" t="str">
        <f>IFERROR(VLOOKUP(シフト組み!G180,役職一覧!$B:$D,2,FALSE),"")</f>
        <v/>
      </c>
      <c r="H150" s="17" t="str">
        <f>IFERROR(VLOOKUP(シフト組み!H180,役職一覧!$B:$D,2,FALSE),"")</f>
        <v/>
      </c>
      <c r="I150" s="17" t="str">
        <f>IFERROR(VLOOKUP(シフト組み!I180,役職一覧!$B:$D,2,FALSE),"")</f>
        <v/>
      </c>
      <c r="J150" s="17" t="str">
        <f>IFERROR(VLOOKUP(シフト組み!J180,役職一覧!$B:$D,2,FALSE),"")</f>
        <v/>
      </c>
      <c r="K150" s="17" t="str">
        <f>IFERROR(VLOOKUP(シフト組み!K180,役職一覧!$B:$D,2,FALSE),"")</f>
        <v/>
      </c>
      <c r="L150" s="17" t="str">
        <f>IFERROR(VLOOKUP(シフト組み!L180,役職一覧!$B:$D,2,FALSE),"")</f>
        <v/>
      </c>
      <c r="M150" s="17" t="str">
        <f>IFERROR(VLOOKUP(シフト組み!M180,役職一覧!$B:$D,2,FALSE),"")</f>
        <v/>
      </c>
      <c r="N150" s="17" t="str">
        <f>IFERROR(VLOOKUP(シフト組み!N180,役職一覧!$B:$D,2,FALSE),"")</f>
        <v/>
      </c>
      <c r="O150" s="17" t="str">
        <f>IFERROR(VLOOKUP(シフト組み!O180,役職一覧!$B:$D,2,FALSE),"")</f>
        <v/>
      </c>
      <c r="P150" s="17" t="str">
        <f>IFERROR(VLOOKUP(シフト組み!P180,役職一覧!$B:$D,2,FALSE),"")</f>
        <v/>
      </c>
      <c r="Q150" s="17" t="str">
        <f>IFERROR(VLOOKUP(シフト組み!Q180,役職一覧!$B:$D,2,FALSE),"")</f>
        <v/>
      </c>
      <c r="R150" s="17" t="str">
        <f>IFERROR(VLOOKUP(シフト組み!R180,役職一覧!$B:$D,2,FALSE),"")</f>
        <v/>
      </c>
      <c r="S150" s="17" t="str">
        <f>IFERROR(VLOOKUP(シフト組み!S180,役職一覧!$B:$D,2,FALSE),"")</f>
        <v/>
      </c>
      <c r="T150" s="17" t="str">
        <f>IFERROR(VLOOKUP(シフト組み!T180,役職一覧!$B:$D,2,FALSE),"")</f>
        <v/>
      </c>
      <c r="U150" s="17" t="str">
        <f>IFERROR(VLOOKUP(シフト組み!U180,役職一覧!$B:$D,2,FALSE),"")</f>
        <v/>
      </c>
      <c r="V150" s="17" t="str">
        <f>IFERROR(VLOOKUP(シフト組み!V180,役職一覧!$B:$D,2,FALSE),"")</f>
        <v/>
      </c>
      <c r="W150" s="17" t="str">
        <f>IFERROR(VLOOKUP(シフト組み!W180,役職一覧!$B:$D,2,FALSE),"")</f>
        <v/>
      </c>
      <c r="X150" s="17" t="str">
        <f>IFERROR(VLOOKUP(シフト組み!X180,役職一覧!$B:$D,2,FALSE),"")</f>
        <v/>
      </c>
      <c r="Y150" s="17" t="str">
        <f>IFERROR(VLOOKUP(シフト組み!Y180,役職一覧!$B:$D,2,FALSE),"")</f>
        <v/>
      </c>
      <c r="Z150" s="17" t="str">
        <f>IFERROR(VLOOKUP(シフト組み!Z180,役職一覧!$B:$D,2,FALSE),"")</f>
        <v/>
      </c>
      <c r="AA150" s="17" t="str">
        <f>IFERROR(VLOOKUP(シフト組み!AA180,役職一覧!$B:$D,2,FALSE),"")</f>
        <v/>
      </c>
      <c r="AB150" s="17" t="str">
        <f>IFERROR(VLOOKUP(シフト組み!AB180,役職一覧!$B:$D,2,FALSE),"")</f>
        <v/>
      </c>
      <c r="AC150" s="17" t="str">
        <f>IFERROR(VLOOKUP(シフト組み!AC180,役職一覧!$B:$D,2,FALSE),"")</f>
        <v/>
      </c>
      <c r="AD150" s="17" t="str">
        <f>IFERROR(VLOOKUP(シフト組み!AD180,役職一覧!$B:$D,2,FALSE),"")</f>
        <v/>
      </c>
      <c r="AE150" s="17" t="str">
        <f>IFERROR(VLOOKUP(シフト組み!AE180,役職一覧!$B:$D,2,FALSE),"")</f>
        <v/>
      </c>
      <c r="AF150" s="17" t="str">
        <f>IFERROR(VLOOKUP(シフト組み!AF180,役職一覧!$B:$D,2,FALSE),"")</f>
        <v/>
      </c>
      <c r="AG150" s="17" t="str">
        <f>IFERROR(VLOOKUP(シフト組み!AG180,役職一覧!$B:$D,2,FALSE),"")</f>
        <v/>
      </c>
      <c r="AH150" s="17" t="str">
        <f>IFERROR(VLOOKUP(シフト組み!AH180,役職一覧!$B:$D,2,FALSE),"")</f>
        <v/>
      </c>
      <c r="AI150" s="17" t="str">
        <f>IFERROR(VLOOKUP(シフト組み!AI180,役職一覧!$B:$D,2,FALSE),"")</f>
        <v/>
      </c>
      <c r="AJ150" s="17" t="str">
        <f>IFERROR(VLOOKUP(シフト組み!AJ180,役職一覧!$B:$D,2,FALSE),"")</f>
        <v/>
      </c>
      <c r="AK150" s="17" t="str">
        <f>IFERROR(VLOOKUP(シフト組み!AK180,役職一覧!$B:$D,2,FALSE),"")</f>
        <v/>
      </c>
      <c r="AL150" s="17" t="str">
        <f>IFERROR(VLOOKUP(シフト組み!AL180,役職一覧!$B:$D,2,FALSE),"")</f>
        <v/>
      </c>
      <c r="AM150" s="17" t="str">
        <f>IFERROR(VLOOKUP(シフト組み!AM180,役職一覧!$B:$D,2,FALSE),"")</f>
        <v/>
      </c>
      <c r="AN150" s="17" t="str">
        <f>IFERROR(VLOOKUP(シフト組み!AN180,役職一覧!$B:$D,2,FALSE),"")</f>
        <v/>
      </c>
      <c r="AO150" s="17" t="str">
        <f>IFERROR(VLOOKUP(シフト組み!AO180,役職一覧!$B:$D,2,FALSE),"")</f>
        <v/>
      </c>
      <c r="AP150" s="17" t="str">
        <f>IFERROR(VLOOKUP(シフト組み!AP180,役職一覧!$B:$D,2,FALSE),"")</f>
        <v/>
      </c>
      <c r="AQ150" s="17" t="str">
        <f>IFERROR(VLOOKUP(シフト組み!AQ180,役職一覧!$B:$D,2,FALSE),"")</f>
        <v/>
      </c>
      <c r="AR150" s="17" t="str">
        <f>IFERROR(VLOOKUP(シフト組み!AR180,役職一覧!$B:$D,2,FALSE),"")</f>
        <v/>
      </c>
      <c r="AS150" s="17" t="str">
        <f>IFERROR(VLOOKUP(シフト組み!AS180,役職一覧!$B:$D,2,FALSE),"")</f>
        <v/>
      </c>
      <c r="AT150" s="17" t="str">
        <f>IFERROR(VLOOKUP(シフト組み!AT180,役職一覧!$B:$D,2,FALSE),"")</f>
        <v/>
      </c>
      <c r="AU150" s="17" t="str">
        <f>IFERROR(VLOOKUP(シフト組み!AU180,役職一覧!$B:$D,2,FALSE),"")</f>
        <v/>
      </c>
      <c r="AV150" s="17" t="str">
        <f>IFERROR(VLOOKUP(シフト組み!AV180,役職一覧!$B:$D,2,FALSE),"")</f>
        <v/>
      </c>
      <c r="AW150" s="17" t="str">
        <f>IFERROR(VLOOKUP(シフト組み!AW180,役職一覧!$B:$D,2,FALSE),"")</f>
        <v/>
      </c>
      <c r="AX150" s="17" t="str">
        <f>IFERROR(VLOOKUP(シフト組み!AX180,役職一覧!$B:$D,2,FALSE),"")</f>
        <v/>
      </c>
      <c r="AY150" s="17" t="str">
        <f>IFERROR(VLOOKUP(シフト組み!AY180,役職一覧!$B:$D,2,FALSE),"")</f>
        <v/>
      </c>
      <c r="AZ150" s="17" t="str">
        <f>IFERROR(VLOOKUP(シフト組み!AZ180,役職一覧!$B:$D,2,FALSE),"")</f>
        <v/>
      </c>
      <c r="BA150" s="17" t="str">
        <f>IFERROR(VLOOKUP(シフト組み!BA180,役職一覧!$B:$D,2,FALSE),"")</f>
        <v/>
      </c>
    </row>
    <row r="151" spans="1:53">
      <c r="A151" s="2" t="str">
        <f>シフト組み!A181&amp;""</f>
        <v/>
      </c>
      <c r="B151" s="2" t="str">
        <f>シフト組み!B181&amp;""</f>
        <v/>
      </c>
      <c r="C151" s="2" t="str">
        <f>シフト組み!C181&amp;""</f>
        <v/>
      </c>
      <c r="D151" s="17" t="str">
        <f>IFERROR(VLOOKUP(シフト組み!D181,役職一覧!$B:$D,2,FALSE),"")</f>
        <v/>
      </c>
      <c r="E151" s="17" t="str">
        <f>IFERROR(VLOOKUP(シフト組み!E181,役職一覧!$B:$D,2,FALSE),"")</f>
        <v/>
      </c>
      <c r="F151" s="17" t="str">
        <f>IFERROR(VLOOKUP(シフト組み!F181,役職一覧!$B:$D,2,FALSE),"")</f>
        <v/>
      </c>
      <c r="G151" s="17" t="str">
        <f>IFERROR(VLOOKUP(シフト組み!G181,役職一覧!$B:$D,2,FALSE),"")</f>
        <v/>
      </c>
      <c r="H151" s="17" t="str">
        <f>IFERROR(VLOOKUP(シフト組み!H181,役職一覧!$B:$D,2,FALSE),"")</f>
        <v/>
      </c>
      <c r="I151" s="17" t="str">
        <f>IFERROR(VLOOKUP(シフト組み!I181,役職一覧!$B:$D,2,FALSE),"")</f>
        <v/>
      </c>
      <c r="J151" s="17" t="str">
        <f>IFERROR(VLOOKUP(シフト組み!J181,役職一覧!$B:$D,2,FALSE),"")</f>
        <v/>
      </c>
      <c r="K151" s="17" t="str">
        <f>IFERROR(VLOOKUP(シフト組み!K181,役職一覧!$B:$D,2,FALSE),"")</f>
        <v/>
      </c>
      <c r="L151" s="17" t="str">
        <f>IFERROR(VLOOKUP(シフト組み!L181,役職一覧!$B:$D,2,FALSE),"")</f>
        <v/>
      </c>
      <c r="M151" s="17" t="str">
        <f>IFERROR(VLOOKUP(シフト組み!M181,役職一覧!$B:$D,2,FALSE),"")</f>
        <v/>
      </c>
      <c r="N151" s="17" t="str">
        <f>IFERROR(VLOOKUP(シフト組み!N181,役職一覧!$B:$D,2,FALSE),"")</f>
        <v/>
      </c>
      <c r="O151" s="17" t="str">
        <f>IFERROR(VLOOKUP(シフト組み!O181,役職一覧!$B:$D,2,FALSE),"")</f>
        <v/>
      </c>
      <c r="P151" s="17" t="str">
        <f>IFERROR(VLOOKUP(シフト組み!P181,役職一覧!$B:$D,2,FALSE),"")</f>
        <v/>
      </c>
      <c r="Q151" s="17" t="str">
        <f>IFERROR(VLOOKUP(シフト組み!Q181,役職一覧!$B:$D,2,FALSE),"")</f>
        <v/>
      </c>
      <c r="R151" s="17" t="str">
        <f>IFERROR(VLOOKUP(シフト組み!R181,役職一覧!$B:$D,2,FALSE),"")</f>
        <v/>
      </c>
      <c r="S151" s="17" t="str">
        <f>IFERROR(VLOOKUP(シフト組み!S181,役職一覧!$B:$D,2,FALSE),"")</f>
        <v/>
      </c>
      <c r="T151" s="17" t="str">
        <f>IFERROR(VLOOKUP(シフト組み!T181,役職一覧!$B:$D,2,FALSE),"")</f>
        <v/>
      </c>
      <c r="U151" s="17" t="str">
        <f>IFERROR(VLOOKUP(シフト組み!U181,役職一覧!$B:$D,2,FALSE),"")</f>
        <v/>
      </c>
      <c r="V151" s="17" t="str">
        <f>IFERROR(VLOOKUP(シフト組み!V181,役職一覧!$B:$D,2,FALSE),"")</f>
        <v/>
      </c>
      <c r="W151" s="17" t="str">
        <f>IFERROR(VLOOKUP(シフト組み!W181,役職一覧!$B:$D,2,FALSE),"")</f>
        <v/>
      </c>
      <c r="X151" s="17" t="str">
        <f>IFERROR(VLOOKUP(シフト組み!X181,役職一覧!$B:$D,2,FALSE),"")</f>
        <v/>
      </c>
      <c r="Y151" s="17" t="str">
        <f>IFERROR(VLOOKUP(シフト組み!Y181,役職一覧!$B:$D,2,FALSE),"")</f>
        <v/>
      </c>
      <c r="Z151" s="17" t="str">
        <f>IFERROR(VLOOKUP(シフト組み!Z181,役職一覧!$B:$D,2,FALSE),"")</f>
        <v/>
      </c>
      <c r="AA151" s="17" t="str">
        <f>IFERROR(VLOOKUP(シフト組み!AA181,役職一覧!$B:$D,2,FALSE),"")</f>
        <v/>
      </c>
      <c r="AB151" s="17" t="str">
        <f>IFERROR(VLOOKUP(シフト組み!AB181,役職一覧!$B:$D,2,FALSE),"")</f>
        <v/>
      </c>
      <c r="AC151" s="17" t="str">
        <f>IFERROR(VLOOKUP(シフト組み!AC181,役職一覧!$B:$D,2,FALSE),"")</f>
        <v/>
      </c>
      <c r="AD151" s="17" t="str">
        <f>IFERROR(VLOOKUP(シフト組み!AD181,役職一覧!$B:$D,2,FALSE),"")</f>
        <v/>
      </c>
      <c r="AE151" s="17" t="str">
        <f>IFERROR(VLOOKUP(シフト組み!AE181,役職一覧!$B:$D,2,FALSE),"")</f>
        <v/>
      </c>
      <c r="AF151" s="17" t="str">
        <f>IFERROR(VLOOKUP(シフト組み!AF181,役職一覧!$B:$D,2,FALSE),"")</f>
        <v/>
      </c>
      <c r="AG151" s="17" t="str">
        <f>IFERROR(VLOOKUP(シフト組み!AG181,役職一覧!$B:$D,2,FALSE),"")</f>
        <v/>
      </c>
      <c r="AH151" s="17" t="str">
        <f>IFERROR(VLOOKUP(シフト組み!AH181,役職一覧!$B:$D,2,FALSE),"")</f>
        <v/>
      </c>
      <c r="AI151" s="17" t="str">
        <f>IFERROR(VLOOKUP(シフト組み!AI181,役職一覧!$B:$D,2,FALSE),"")</f>
        <v/>
      </c>
      <c r="AJ151" s="17" t="str">
        <f>IFERROR(VLOOKUP(シフト組み!AJ181,役職一覧!$B:$D,2,FALSE),"")</f>
        <v/>
      </c>
      <c r="AK151" s="17" t="str">
        <f>IFERROR(VLOOKUP(シフト組み!AK181,役職一覧!$B:$D,2,FALSE),"")</f>
        <v/>
      </c>
      <c r="AL151" s="17" t="str">
        <f>IFERROR(VLOOKUP(シフト組み!AL181,役職一覧!$B:$D,2,FALSE),"")</f>
        <v/>
      </c>
      <c r="AM151" s="17" t="str">
        <f>IFERROR(VLOOKUP(シフト組み!AM181,役職一覧!$B:$D,2,FALSE),"")</f>
        <v/>
      </c>
      <c r="AN151" s="17" t="str">
        <f>IFERROR(VLOOKUP(シフト組み!AN181,役職一覧!$B:$D,2,FALSE),"")</f>
        <v/>
      </c>
      <c r="AO151" s="17" t="str">
        <f>IFERROR(VLOOKUP(シフト組み!AO181,役職一覧!$B:$D,2,FALSE),"")</f>
        <v/>
      </c>
      <c r="AP151" s="17" t="str">
        <f>IFERROR(VLOOKUP(シフト組み!AP181,役職一覧!$B:$D,2,FALSE),"")</f>
        <v/>
      </c>
      <c r="AQ151" s="17" t="str">
        <f>IFERROR(VLOOKUP(シフト組み!AQ181,役職一覧!$B:$D,2,FALSE),"")</f>
        <v/>
      </c>
      <c r="AR151" s="17" t="str">
        <f>IFERROR(VLOOKUP(シフト組み!AR181,役職一覧!$B:$D,2,FALSE),"")</f>
        <v/>
      </c>
      <c r="AS151" s="17" t="str">
        <f>IFERROR(VLOOKUP(シフト組み!AS181,役職一覧!$B:$D,2,FALSE),"")</f>
        <v/>
      </c>
      <c r="AT151" s="17" t="str">
        <f>IFERROR(VLOOKUP(シフト組み!AT181,役職一覧!$B:$D,2,FALSE),"")</f>
        <v/>
      </c>
      <c r="AU151" s="17" t="str">
        <f>IFERROR(VLOOKUP(シフト組み!AU181,役職一覧!$B:$D,2,FALSE),"")</f>
        <v/>
      </c>
      <c r="AV151" s="17" t="str">
        <f>IFERROR(VLOOKUP(シフト組み!AV181,役職一覧!$B:$D,2,FALSE),"")</f>
        <v/>
      </c>
      <c r="AW151" s="17" t="str">
        <f>IFERROR(VLOOKUP(シフト組み!AW181,役職一覧!$B:$D,2,FALSE),"")</f>
        <v/>
      </c>
      <c r="AX151" s="17" t="str">
        <f>IFERROR(VLOOKUP(シフト組み!AX181,役職一覧!$B:$D,2,FALSE),"")</f>
        <v/>
      </c>
      <c r="AY151" s="17" t="str">
        <f>IFERROR(VLOOKUP(シフト組み!AY181,役職一覧!$B:$D,2,FALSE),"")</f>
        <v/>
      </c>
      <c r="AZ151" s="17" t="str">
        <f>IFERROR(VLOOKUP(シフト組み!AZ181,役職一覧!$B:$D,2,FALSE),"")</f>
        <v/>
      </c>
      <c r="BA151" s="17" t="str">
        <f>IFERROR(VLOOKUP(シフト組み!BA181,役職一覧!$B:$D,2,FALSE),"")</f>
        <v/>
      </c>
    </row>
    <row r="152" spans="1:53">
      <c r="A152" s="2" t="str">
        <f>シフト組み!A182&amp;""</f>
        <v/>
      </c>
      <c r="B152" s="2" t="str">
        <f>シフト組み!B182&amp;""</f>
        <v/>
      </c>
      <c r="C152" s="2" t="str">
        <f>シフト組み!C182&amp;""</f>
        <v/>
      </c>
      <c r="D152" s="17" t="str">
        <f>IFERROR(VLOOKUP(シフト組み!D182,役職一覧!$B:$D,2,FALSE),"")</f>
        <v/>
      </c>
      <c r="E152" s="17" t="str">
        <f>IFERROR(VLOOKUP(シフト組み!E182,役職一覧!$B:$D,2,FALSE),"")</f>
        <v/>
      </c>
      <c r="F152" s="17" t="str">
        <f>IFERROR(VLOOKUP(シフト組み!F182,役職一覧!$B:$D,2,FALSE),"")</f>
        <v/>
      </c>
      <c r="G152" s="17" t="str">
        <f>IFERROR(VLOOKUP(シフト組み!G182,役職一覧!$B:$D,2,FALSE),"")</f>
        <v/>
      </c>
      <c r="H152" s="17" t="str">
        <f>IFERROR(VLOOKUP(シフト組み!H182,役職一覧!$B:$D,2,FALSE),"")</f>
        <v/>
      </c>
      <c r="I152" s="17" t="str">
        <f>IFERROR(VLOOKUP(シフト組み!I182,役職一覧!$B:$D,2,FALSE),"")</f>
        <v/>
      </c>
      <c r="J152" s="17" t="str">
        <f>IFERROR(VLOOKUP(シフト組み!J182,役職一覧!$B:$D,2,FALSE),"")</f>
        <v/>
      </c>
      <c r="K152" s="17" t="str">
        <f>IFERROR(VLOOKUP(シフト組み!K182,役職一覧!$B:$D,2,FALSE),"")</f>
        <v/>
      </c>
      <c r="L152" s="17" t="str">
        <f>IFERROR(VLOOKUP(シフト組み!L182,役職一覧!$B:$D,2,FALSE),"")</f>
        <v/>
      </c>
      <c r="M152" s="17" t="str">
        <f>IFERROR(VLOOKUP(シフト組み!M182,役職一覧!$B:$D,2,FALSE),"")</f>
        <v/>
      </c>
      <c r="N152" s="17" t="str">
        <f>IFERROR(VLOOKUP(シフト組み!N182,役職一覧!$B:$D,2,FALSE),"")</f>
        <v/>
      </c>
      <c r="O152" s="17" t="str">
        <f>IFERROR(VLOOKUP(シフト組み!O182,役職一覧!$B:$D,2,FALSE),"")</f>
        <v/>
      </c>
      <c r="P152" s="17" t="str">
        <f>IFERROR(VLOOKUP(シフト組み!P182,役職一覧!$B:$D,2,FALSE),"")</f>
        <v/>
      </c>
      <c r="Q152" s="17" t="str">
        <f>IFERROR(VLOOKUP(シフト組み!Q182,役職一覧!$B:$D,2,FALSE),"")</f>
        <v/>
      </c>
      <c r="R152" s="17" t="str">
        <f>IFERROR(VLOOKUP(シフト組み!R182,役職一覧!$B:$D,2,FALSE),"")</f>
        <v/>
      </c>
      <c r="S152" s="17" t="str">
        <f>IFERROR(VLOOKUP(シフト組み!S182,役職一覧!$B:$D,2,FALSE),"")</f>
        <v/>
      </c>
      <c r="T152" s="17" t="str">
        <f>IFERROR(VLOOKUP(シフト組み!T182,役職一覧!$B:$D,2,FALSE),"")</f>
        <v/>
      </c>
      <c r="U152" s="17" t="str">
        <f>IFERROR(VLOOKUP(シフト組み!U182,役職一覧!$B:$D,2,FALSE),"")</f>
        <v/>
      </c>
      <c r="V152" s="17" t="str">
        <f>IFERROR(VLOOKUP(シフト組み!V182,役職一覧!$B:$D,2,FALSE),"")</f>
        <v/>
      </c>
      <c r="W152" s="17" t="str">
        <f>IFERROR(VLOOKUP(シフト組み!W182,役職一覧!$B:$D,2,FALSE),"")</f>
        <v/>
      </c>
      <c r="X152" s="17" t="str">
        <f>IFERROR(VLOOKUP(シフト組み!X182,役職一覧!$B:$D,2,FALSE),"")</f>
        <v/>
      </c>
      <c r="Y152" s="17" t="str">
        <f>IFERROR(VLOOKUP(シフト組み!Y182,役職一覧!$B:$D,2,FALSE),"")</f>
        <v/>
      </c>
      <c r="Z152" s="17" t="str">
        <f>IFERROR(VLOOKUP(シフト組み!Z182,役職一覧!$B:$D,2,FALSE),"")</f>
        <v/>
      </c>
      <c r="AA152" s="17" t="str">
        <f>IFERROR(VLOOKUP(シフト組み!AA182,役職一覧!$B:$D,2,FALSE),"")</f>
        <v/>
      </c>
      <c r="AB152" s="17" t="str">
        <f>IFERROR(VLOOKUP(シフト組み!AB182,役職一覧!$B:$D,2,FALSE),"")</f>
        <v/>
      </c>
      <c r="AC152" s="17" t="str">
        <f>IFERROR(VLOOKUP(シフト組み!AC182,役職一覧!$B:$D,2,FALSE),"")</f>
        <v/>
      </c>
      <c r="AD152" s="17" t="str">
        <f>IFERROR(VLOOKUP(シフト組み!AD182,役職一覧!$B:$D,2,FALSE),"")</f>
        <v/>
      </c>
      <c r="AE152" s="17" t="str">
        <f>IFERROR(VLOOKUP(シフト組み!AE182,役職一覧!$B:$D,2,FALSE),"")</f>
        <v/>
      </c>
      <c r="AF152" s="17" t="str">
        <f>IFERROR(VLOOKUP(シフト組み!AF182,役職一覧!$B:$D,2,FALSE),"")</f>
        <v/>
      </c>
      <c r="AG152" s="17" t="str">
        <f>IFERROR(VLOOKUP(シフト組み!AG182,役職一覧!$B:$D,2,FALSE),"")</f>
        <v/>
      </c>
      <c r="AH152" s="17" t="str">
        <f>IFERROR(VLOOKUP(シフト組み!AH182,役職一覧!$B:$D,2,FALSE),"")</f>
        <v/>
      </c>
      <c r="AI152" s="17" t="str">
        <f>IFERROR(VLOOKUP(シフト組み!AI182,役職一覧!$B:$D,2,FALSE),"")</f>
        <v/>
      </c>
      <c r="AJ152" s="17" t="str">
        <f>IFERROR(VLOOKUP(シフト組み!AJ182,役職一覧!$B:$D,2,FALSE),"")</f>
        <v/>
      </c>
      <c r="AK152" s="17" t="str">
        <f>IFERROR(VLOOKUP(シフト組み!AK182,役職一覧!$B:$D,2,FALSE),"")</f>
        <v/>
      </c>
      <c r="AL152" s="17" t="str">
        <f>IFERROR(VLOOKUP(シフト組み!AL182,役職一覧!$B:$D,2,FALSE),"")</f>
        <v/>
      </c>
      <c r="AM152" s="17" t="str">
        <f>IFERROR(VLOOKUP(シフト組み!AM182,役職一覧!$B:$D,2,FALSE),"")</f>
        <v/>
      </c>
      <c r="AN152" s="17" t="str">
        <f>IFERROR(VLOOKUP(シフト組み!AN182,役職一覧!$B:$D,2,FALSE),"")</f>
        <v/>
      </c>
      <c r="AO152" s="17" t="str">
        <f>IFERROR(VLOOKUP(シフト組み!AO182,役職一覧!$B:$D,2,FALSE),"")</f>
        <v/>
      </c>
      <c r="AP152" s="17" t="str">
        <f>IFERROR(VLOOKUP(シフト組み!AP182,役職一覧!$B:$D,2,FALSE),"")</f>
        <v/>
      </c>
      <c r="AQ152" s="17" t="str">
        <f>IFERROR(VLOOKUP(シフト組み!AQ182,役職一覧!$B:$D,2,FALSE),"")</f>
        <v/>
      </c>
      <c r="AR152" s="17" t="str">
        <f>IFERROR(VLOOKUP(シフト組み!AR182,役職一覧!$B:$D,2,FALSE),"")</f>
        <v/>
      </c>
      <c r="AS152" s="17" t="str">
        <f>IFERROR(VLOOKUP(シフト組み!AS182,役職一覧!$B:$D,2,FALSE),"")</f>
        <v/>
      </c>
      <c r="AT152" s="17" t="str">
        <f>IFERROR(VLOOKUP(シフト組み!AT182,役職一覧!$B:$D,2,FALSE),"")</f>
        <v/>
      </c>
      <c r="AU152" s="17" t="str">
        <f>IFERROR(VLOOKUP(シフト組み!AU182,役職一覧!$B:$D,2,FALSE),"")</f>
        <v/>
      </c>
      <c r="AV152" s="17" t="str">
        <f>IFERROR(VLOOKUP(シフト組み!AV182,役職一覧!$B:$D,2,FALSE),"")</f>
        <v/>
      </c>
      <c r="AW152" s="17" t="str">
        <f>IFERROR(VLOOKUP(シフト組み!AW182,役職一覧!$B:$D,2,FALSE),"")</f>
        <v/>
      </c>
      <c r="AX152" s="17" t="str">
        <f>IFERROR(VLOOKUP(シフト組み!AX182,役職一覧!$B:$D,2,FALSE),"")</f>
        <v/>
      </c>
      <c r="AY152" s="17" t="str">
        <f>IFERROR(VLOOKUP(シフト組み!AY182,役職一覧!$B:$D,2,FALSE),"")</f>
        <v/>
      </c>
      <c r="AZ152" s="17" t="str">
        <f>IFERROR(VLOOKUP(シフト組み!AZ182,役職一覧!$B:$D,2,FALSE),"")</f>
        <v/>
      </c>
      <c r="BA152" s="17" t="str">
        <f>IFERROR(VLOOKUP(シフト組み!BA182,役職一覧!$B:$D,2,FALSE),"")</f>
        <v/>
      </c>
    </row>
    <row r="153" spans="1:53">
      <c r="A153" s="2" t="str">
        <f>シフト組み!A183&amp;""</f>
        <v/>
      </c>
      <c r="B153" s="2" t="str">
        <f>シフト組み!B183&amp;""</f>
        <v/>
      </c>
      <c r="C153" s="2" t="str">
        <f>シフト組み!C183&amp;""</f>
        <v/>
      </c>
      <c r="D153" s="17" t="str">
        <f>IFERROR(VLOOKUP(シフト組み!D183,役職一覧!$B:$D,2,FALSE),"")</f>
        <v/>
      </c>
      <c r="E153" s="17" t="str">
        <f>IFERROR(VLOOKUP(シフト組み!E183,役職一覧!$B:$D,2,FALSE),"")</f>
        <v/>
      </c>
      <c r="F153" s="17" t="str">
        <f>IFERROR(VLOOKUP(シフト組み!F183,役職一覧!$B:$D,2,FALSE),"")</f>
        <v/>
      </c>
      <c r="G153" s="17" t="str">
        <f>IFERROR(VLOOKUP(シフト組み!G183,役職一覧!$B:$D,2,FALSE),"")</f>
        <v/>
      </c>
      <c r="H153" s="17" t="str">
        <f>IFERROR(VLOOKUP(シフト組み!H183,役職一覧!$B:$D,2,FALSE),"")</f>
        <v/>
      </c>
      <c r="I153" s="17" t="str">
        <f>IFERROR(VLOOKUP(シフト組み!I183,役職一覧!$B:$D,2,FALSE),"")</f>
        <v/>
      </c>
      <c r="J153" s="17" t="str">
        <f>IFERROR(VLOOKUP(シフト組み!J183,役職一覧!$B:$D,2,FALSE),"")</f>
        <v/>
      </c>
      <c r="K153" s="17" t="str">
        <f>IFERROR(VLOOKUP(シフト組み!K183,役職一覧!$B:$D,2,FALSE),"")</f>
        <v/>
      </c>
      <c r="L153" s="17" t="str">
        <f>IFERROR(VLOOKUP(シフト組み!L183,役職一覧!$B:$D,2,FALSE),"")</f>
        <v/>
      </c>
      <c r="M153" s="17" t="str">
        <f>IFERROR(VLOOKUP(シフト組み!M183,役職一覧!$B:$D,2,FALSE),"")</f>
        <v/>
      </c>
      <c r="N153" s="17" t="str">
        <f>IFERROR(VLOOKUP(シフト組み!N183,役職一覧!$B:$D,2,FALSE),"")</f>
        <v/>
      </c>
      <c r="O153" s="17" t="str">
        <f>IFERROR(VLOOKUP(シフト組み!O183,役職一覧!$B:$D,2,FALSE),"")</f>
        <v/>
      </c>
      <c r="P153" s="17" t="str">
        <f>IFERROR(VLOOKUP(シフト組み!P183,役職一覧!$B:$D,2,FALSE),"")</f>
        <v/>
      </c>
      <c r="Q153" s="17" t="str">
        <f>IFERROR(VLOOKUP(シフト組み!Q183,役職一覧!$B:$D,2,FALSE),"")</f>
        <v/>
      </c>
      <c r="R153" s="17" t="str">
        <f>IFERROR(VLOOKUP(シフト組み!R183,役職一覧!$B:$D,2,FALSE),"")</f>
        <v/>
      </c>
      <c r="S153" s="17" t="str">
        <f>IFERROR(VLOOKUP(シフト組み!S183,役職一覧!$B:$D,2,FALSE),"")</f>
        <v/>
      </c>
      <c r="T153" s="17" t="str">
        <f>IFERROR(VLOOKUP(シフト組み!T183,役職一覧!$B:$D,2,FALSE),"")</f>
        <v/>
      </c>
      <c r="U153" s="17" t="str">
        <f>IFERROR(VLOOKUP(シフト組み!U183,役職一覧!$B:$D,2,FALSE),"")</f>
        <v/>
      </c>
      <c r="V153" s="17" t="str">
        <f>IFERROR(VLOOKUP(シフト組み!V183,役職一覧!$B:$D,2,FALSE),"")</f>
        <v/>
      </c>
      <c r="W153" s="17" t="str">
        <f>IFERROR(VLOOKUP(シフト組み!W183,役職一覧!$B:$D,2,FALSE),"")</f>
        <v/>
      </c>
      <c r="X153" s="17" t="str">
        <f>IFERROR(VLOOKUP(シフト組み!X183,役職一覧!$B:$D,2,FALSE),"")</f>
        <v/>
      </c>
      <c r="Y153" s="17" t="str">
        <f>IFERROR(VLOOKUP(シフト組み!Y183,役職一覧!$B:$D,2,FALSE),"")</f>
        <v/>
      </c>
      <c r="Z153" s="17" t="str">
        <f>IFERROR(VLOOKUP(シフト組み!Z183,役職一覧!$B:$D,2,FALSE),"")</f>
        <v/>
      </c>
      <c r="AA153" s="17" t="str">
        <f>IFERROR(VLOOKUP(シフト組み!AA183,役職一覧!$B:$D,2,FALSE),"")</f>
        <v/>
      </c>
      <c r="AB153" s="17" t="str">
        <f>IFERROR(VLOOKUP(シフト組み!AB183,役職一覧!$B:$D,2,FALSE),"")</f>
        <v/>
      </c>
      <c r="AC153" s="17" t="str">
        <f>IFERROR(VLOOKUP(シフト組み!AC183,役職一覧!$B:$D,2,FALSE),"")</f>
        <v/>
      </c>
      <c r="AD153" s="17" t="str">
        <f>IFERROR(VLOOKUP(シフト組み!AD183,役職一覧!$B:$D,2,FALSE),"")</f>
        <v/>
      </c>
      <c r="AE153" s="17" t="str">
        <f>IFERROR(VLOOKUP(シフト組み!AE183,役職一覧!$B:$D,2,FALSE),"")</f>
        <v/>
      </c>
      <c r="AF153" s="17" t="str">
        <f>IFERROR(VLOOKUP(シフト組み!AF183,役職一覧!$B:$D,2,FALSE),"")</f>
        <v/>
      </c>
      <c r="AG153" s="17" t="str">
        <f>IFERROR(VLOOKUP(シフト組み!AG183,役職一覧!$B:$D,2,FALSE),"")</f>
        <v/>
      </c>
      <c r="AH153" s="17" t="str">
        <f>IFERROR(VLOOKUP(シフト組み!AH183,役職一覧!$B:$D,2,FALSE),"")</f>
        <v/>
      </c>
      <c r="AI153" s="17" t="str">
        <f>IFERROR(VLOOKUP(シフト組み!AI183,役職一覧!$B:$D,2,FALSE),"")</f>
        <v/>
      </c>
      <c r="AJ153" s="17" t="str">
        <f>IFERROR(VLOOKUP(シフト組み!AJ183,役職一覧!$B:$D,2,FALSE),"")</f>
        <v/>
      </c>
      <c r="AK153" s="17" t="str">
        <f>IFERROR(VLOOKUP(シフト組み!AK183,役職一覧!$B:$D,2,FALSE),"")</f>
        <v/>
      </c>
      <c r="AL153" s="17" t="str">
        <f>IFERROR(VLOOKUP(シフト組み!AL183,役職一覧!$B:$D,2,FALSE),"")</f>
        <v/>
      </c>
      <c r="AM153" s="17" t="str">
        <f>IFERROR(VLOOKUP(シフト組み!AM183,役職一覧!$B:$D,2,FALSE),"")</f>
        <v/>
      </c>
      <c r="AN153" s="17" t="str">
        <f>IFERROR(VLOOKUP(シフト組み!AN183,役職一覧!$B:$D,2,FALSE),"")</f>
        <v/>
      </c>
      <c r="AO153" s="17" t="str">
        <f>IFERROR(VLOOKUP(シフト組み!AO183,役職一覧!$B:$D,2,FALSE),"")</f>
        <v/>
      </c>
      <c r="AP153" s="17" t="str">
        <f>IFERROR(VLOOKUP(シフト組み!AP183,役職一覧!$B:$D,2,FALSE),"")</f>
        <v/>
      </c>
      <c r="AQ153" s="17" t="str">
        <f>IFERROR(VLOOKUP(シフト組み!AQ183,役職一覧!$B:$D,2,FALSE),"")</f>
        <v/>
      </c>
      <c r="AR153" s="17" t="str">
        <f>IFERROR(VLOOKUP(シフト組み!AR183,役職一覧!$B:$D,2,FALSE),"")</f>
        <v/>
      </c>
      <c r="AS153" s="17" t="str">
        <f>IFERROR(VLOOKUP(シフト組み!AS183,役職一覧!$B:$D,2,FALSE),"")</f>
        <v/>
      </c>
      <c r="AT153" s="17" t="str">
        <f>IFERROR(VLOOKUP(シフト組み!AT183,役職一覧!$B:$D,2,FALSE),"")</f>
        <v/>
      </c>
      <c r="AU153" s="17" t="str">
        <f>IFERROR(VLOOKUP(シフト組み!AU183,役職一覧!$B:$D,2,FALSE),"")</f>
        <v/>
      </c>
      <c r="AV153" s="17" t="str">
        <f>IFERROR(VLOOKUP(シフト組み!AV183,役職一覧!$B:$D,2,FALSE),"")</f>
        <v/>
      </c>
      <c r="AW153" s="17" t="str">
        <f>IFERROR(VLOOKUP(シフト組み!AW183,役職一覧!$B:$D,2,FALSE),"")</f>
        <v/>
      </c>
      <c r="AX153" s="17" t="str">
        <f>IFERROR(VLOOKUP(シフト組み!AX183,役職一覧!$B:$D,2,FALSE),"")</f>
        <v/>
      </c>
      <c r="AY153" s="17" t="str">
        <f>IFERROR(VLOOKUP(シフト組み!AY183,役職一覧!$B:$D,2,FALSE),"")</f>
        <v/>
      </c>
      <c r="AZ153" s="17" t="str">
        <f>IFERROR(VLOOKUP(シフト組み!AZ183,役職一覧!$B:$D,2,FALSE),"")</f>
        <v/>
      </c>
      <c r="BA153" s="17" t="str">
        <f>IFERROR(VLOOKUP(シフト組み!BA183,役職一覧!$B:$D,2,FALSE),"")</f>
        <v/>
      </c>
    </row>
    <row r="154" spans="1:53">
      <c r="A154" s="2" t="str">
        <f>シフト組み!A184&amp;""</f>
        <v/>
      </c>
      <c r="B154" s="2" t="str">
        <f>シフト組み!B184&amp;""</f>
        <v/>
      </c>
      <c r="C154" s="2" t="str">
        <f>シフト組み!C184&amp;""</f>
        <v/>
      </c>
      <c r="D154" s="17" t="str">
        <f>IFERROR(VLOOKUP(シフト組み!D184,役職一覧!$B:$D,2,FALSE),"")</f>
        <v/>
      </c>
      <c r="E154" s="17" t="str">
        <f>IFERROR(VLOOKUP(シフト組み!E184,役職一覧!$B:$D,2,FALSE),"")</f>
        <v/>
      </c>
      <c r="F154" s="17" t="str">
        <f>IFERROR(VLOOKUP(シフト組み!F184,役職一覧!$B:$D,2,FALSE),"")</f>
        <v/>
      </c>
      <c r="G154" s="17" t="str">
        <f>IFERROR(VLOOKUP(シフト組み!G184,役職一覧!$B:$D,2,FALSE),"")</f>
        <v/>
      </c>
      <c r="H154" s="17" t="str">
        <f>IFERROR(VLOOKUP(シフト組み!H184,役職一覧!$B:$D,2,FALSE),"")</f>
        <v/>
      </c>
      <c r="I154" s="17" t="str">
        <f>IFERROR(VLOOKUP(シフト組み!I184,役職一覧!$B:$D,2,FALSE),"")</f>
        <v/>
      </c>
      <c r="J154" s="17" t="str">
        <f>IFERROR(VLOOKUP(シフト組み!J184,役職一覧!$B:$D,2,FALSE),"")</f>
        <v/>
      </c>
      <c r="K154" s="17" t="str">
        <f>IFERROR(VLOOKUP(シフト組み!K184,役職一覧!$B:$D,2,FALSE),"")</f>
        <v/>
      </c>
      <c r="L154" s="17" t="str">
        <f>IFERROR(VLOOKUP(シフト組み!L184,役職一覧!$B:$D,2,FALSE),"")</f>
        <v/>
      </c>
      <c r="M154" s="17" t="str">
        <f>IFERROR(VLOOKUP(シフト組み!M184,役職一覧!$B:$D,2,FALSE),"")</f>
        <v/>
      </c>
      <c r="N154" s="17" t="str">
        <f>IFERROR(VLOOKUP(シフト組み!N184,役職一覧!$B:$D,2,FALSE),"")</f>
        <v/>
      </c>
      <c r="O154" s="17" t="str">
        <f>IFERROR(VLOOKUP(シフト組み!O184,役職一覧!$B:$D,2,FALSE),"")</f>
        <v/>
      </c>
      <c r="P154" s="17" t="str">
        <f>IFERROR(VLOOKUP(シフト組み!P184,役職一覧!$B:$D,2,FALSE),"")</f>
        <v/>
      </c>
      <c r="Q154" s="17" t="str">
        <f>IFERROR(VLOOKUP(シフト組み!Q184,役職一覧!$B:$D,2,FALSE),"")</f>
        <v/>
      </c>
      <c r="R154" s="17" t="str">
        <f>IFERROR(VLOOKUP(シフト組み!R184,役職一覧!$B:$D,2,FALSE),"")</f>
        <v/>
      </c>
      <c r="S154" s="17" t="str">
        <f>IFERROR(VLOOKUP(シフト組み!S184,役職一覧!$B:$D,2,FALSE),"")</f>
        <v/>
      </c>
      <c r="T154" s="17" t="str">
        <f>IFERROR(VLOOKUP(シフト組み!T184,役職一覧!$B:$D,2,FALSE),"")</f>
        <v/>
      </c>
      <c r="U154" s="17" t="str">
        <f>IFERROR(VLOOKUP(シフト組み!U184,役職一覧!$B:$D,2,FALSE),"")</f>
        <v/>
      </c>
      <c r="V154" s="17" t="str">
        <f>IFERROR(VLOOKUP(シフト組み!V184,役職一覧!$B:$D,2,FALSE),"")</f>
        <v/>
      </c>
      <c r="W154" s="17" t="str">
        <f>IFERROR(VLOOKUP(シフト組み!W184,役職一覧!$B:$D,2,FALSE),"")</f>
        <v/>
      </c>
      <c r="X154" s="17" t="str">
        <f>IFERROR(VLOOKUP(シフト組み!X184,役職一覧!$B:$D,2,FALSE),"")</f>
        <v/>
      </c>
      <c r="Y154" s="17" t="str">
        <f>IFERROR(VLOOKUP(シフト組み!Y184,役職一覧!$B:$D,2,FALSE),"")</f>
        <v/>
      </c>
      <c r="Z154" s="17" t="str">
        <f>IFERROR(VLOOKUP(シフト組み!Z184,役職一覧!$B:$D,2,FALSE),"")</f>
        <v/>
      </c>
      <c r="AA154" s="17" t="str">
        <f>IFERROR(VLOOKUP(シフト組み!AA184,役職一覧!$B:$D,2,FALSE),"")</f>
        <v/>
      </c>
      <c r="AB154" s="17" t="str">
        <f>IFERROR(VLOOKUP(シフト組み!AB184,役職一覧!$B:$D,2,FALSE),"")</f>
        <v/>
      </c>
      <c r="AC154" s="17" t="str">
        <f>IFERROR(VLOOKUP(シフト組み!AC184,役職一覧!$B:$D,2,FALSE),"")</f>
        <v/>
      </c>
      <c r="AD154" s="17" t="str">
        <f>IFERROR(VLOOKUP(シフト組み!AD184,役職一覧!$B:$D,2,FALSE),"")</f>
        <v/>
      </c>
      <c r="AE154" s="17" t="str">
        <f>IFERROR(VLOOKUP(シフト組み!AE184,役職一覧!$B:$D,2,FALSE),"")</f>
        <v/>
      </c>
      <c r="AF154" s="17" t="str">
        <f>IFERROR(VLOOKUP(シフト組み!AF184,役職一覧!$B:$D,2,FALSE),"")</f>
        <v/>
      </c>
      <c r="AG154" s="17" t="str">
        <f>IFERROR(VLOOKUP(シフト組み!AG184,役職一覧!$B:$D,2,FALSE),"")</f>
        <v/>
      </c>
      <c r="AH154" s="17" t="str">
        <f>IFERROR(VLOOKUP(シフト組み!AH184,役職一覧!$B:$D,2,FALSE),"")</f>
        <v/>
      </c>
      <c r="AI154" s="17" t="str">
        <f>IFERROR(VLOOKUP(シフト組み!AI184,役職一覧!$B:$D,2,FALSE),"")</f>
        <v/>
      </c>
      <c r="AJ154" s="17" t="str">
        <f>IFERROR(VLOOKUP(シフト組み!AJ184,役職一覧!$B:$D,2,FALSE),"")</f>
        <v/>
      </c>
      <c r="AK154" s="17" t="str">
        <f>IFERROR(VLOOKUP(シフト組み!AK184,役職一覧!$B:$D,2,FALSE),"")</f>
        <v/>
      </c>
      <c r="AL154" s="17" t="str">
        <f>IFERROR(VLOOKUP(シフト組み!AL184,役職一覧!$B:$D,2,FALSE),"")</f>
        <v/>
      </c>
      <c r="AM154" s="17" t="str">
        <f>IFERROR(VLOOKUP(シフト組み!AM184,役職一覧!$B:$D,2,FALSE),"")</f>
        <v/>
      </c>
      <c r="AN154" s="17" t="str">
        <f>IFERROR(VLOOKUP(シフト組み!AN184,役職一覧!$B:$D,2,FALSE),"")</f>
        <v/>
      </c>
      <c r="AO154" s="17" t="str">
        <f>IFERROR(VLOOKUP(シフト組み!AO184,役職一覧!$B:$D,2,FALSE),"")</f>
        <v/>
      </c>
      <c r="AP154" s="17" t="str">
        <f>IFERROR(VLOOKUP(シフト組み!AP184,役職一覧!$B:$D,2,FALSE),"")</f>
        <v/>
      </c>
      <c r="AQ154" s="17" t="str">
        <f>IFERROR(VLOOKUP(シフト組み!AQ184,役職一覧!$B:$D,2,FALSE),"")</f>
        <v/>
      </c>
      <c r="AR154" s="17" t="str">
        <f>IFERROR(VLOOKUP(シフト組み!AR184,役職一覧!$B:$D,2,FALSE),"")</f>
        <v/>
      </c>
      <c r="AS154" s="17" t="str">
        <f>IFERROR(VLOOKUP(シフト組み!AS184,役職一覧!$B:$D,2,FALSE),"")</f>
        <v/>
      </c>
      <c r="AT154" s="17" t="str">
        <f>IFERROR(VLOOKUP(シフト組み!AT184,役職一覧!$B:$D,2,FALSE),"")</f>
        <v/>
      </c>
      <c r="AU154" s="17" t="str">
        <f>IFERROR(VLOOKUP(シフト組み!AU184,役職一覧!$B:$D,2,FALSE),"")</f>
        <v/>
      </c>
      <c r="AV154" s="17" t="str">
        <f>IFERROR(VLOOKUP(シフト組み!AV184,役職一覧!$B:$D,2,FALSE),"")</f>
        <v/>
      </c>
      <c r="AW154" s="17" t="str">
        <f>IFERROR(VLOOKUP(シフト組み!AW184,役職一覧!$B:$D,2,FALSE),"")</f>
        <v/>
      </c>
      <c r="AX154" s="17" t="str">
        <f>IFERROR(VLOOKUP(シフト組み!AX184,役職一覧!$B:$D,2,FALSE),"")</f>
        <v/>
      </c>
      <c r="AY154" s="17" t="str">
        <f>IFERROR(VLOOKUP(シフト組み!AY184,役職一覧!$B:$D,2,FALSE),"")</f>
        <v/>
      </c>
      <c r="AZ154" s="17" t="str">
        <f>IFERROR(VLOOKUP(シフト組み!AZ184,役職一覧!$B:$D,2,FALSE),"")</f>
        <v/>
      </c>
      <c r="BA154" s="17" t="str">
        <f>IFERROR(VLOOKUP(シフト組み!BA184,役職一覧!$B:$D,2,FALSE),"")</f>
        <v/>
      </c>
    </row>
    <row r="155" spans="1:53">
      <c r="A155" s="2" t="str">
        <f>シフト組み!A185&amp;""</f>
        <v/>
      </c>
      <c r="B155" s="2" t="str">
        <f>シフト組み!B185&amp;""</f>
        <v/>
      </c>
      <c r="C155" s="2" t="str">
        <f>シフト組み!C185&amp;""</f>
        <v/>
      </c>
      <c r="D155" s="17" t="str">
        <f>IFERROR(VLOOKUP(シフト組み!D185,役職一覧!$B:$D,2,FALSE),"")</f>
        <v/>
      </c>
      <c r="E155" s="17" t="str">
        <f>IFERROR(VLOOKUP(シフト組み!E185,役職一覧!$B:$D,2,FALSE),"")</f>
        <v/>
      </c>
      <c r="F155" s="17" t="str">
        <f>IFERROR(VLOOKUP(シフト組み!F185,役職一覧!$B:$D,2,FALSE),"")</f>
        <v/>
      </c>
      <c r="G155" s="17" t="str">
        <f>IFERROR(VLOOKUP(シフト組み!G185,役職一覧!$B:$D,2,FALSE),"")</f>
        <v/>
      </c>
      <c r="H155" s="17" t="str">
        <f>IFERROR(VLOOKUP(シフト組み!H185,役職一覧!$B:$D,2,FALSE),"")</f>
        <v/>
      </c>
      <c r="I155" s="17" t="str">
        <f>IFERROR(VLOOKUP(シフト組み!I185,役職一覧!$B:$D,2,FALSE),"")</f>
        <v/>
      </c>
      <c r="J155" s="17" t="str">
        <f>IFERROR(VLOOKUP(シフト組み!J185,役職一覧!$B:$D,2,FALSE),"")</f>
        <v/>
      </c>
      <c r="K155" s="17" t="str">
        <f>IFERROR(VLOOKUP(シフト組み!K185,役職一覧!$B:$D,2,FALSE),"")</f>
        <v/>
      </c>
      <c r="L155" s="17" t="str">
        <f>IFERROR(VLOOKUP(シフト組み!L185,役職一覧!$B:$D,2,FALSE),"")</f>
        <v/>
      </c>
      <c r="M155" s="17" t="str">
        <f>IFERROR(VLOOKUP(シフト組み!M185,役職一覧!$B:$D,2,FALSE),"")</f>
        <v/>
      </c>
      <c r="N155" s="17" t="str">
        <f>IFERROR(VLOOKUP(シフト組み!N185,役職一覧!$B:$D,2,FALSE),"")</f>
        <v/>
      </c>
      <c r="O155" s="17" t="str">
        <f>IFERROR(VLOOKUP(シフト組み!O185,役職一覧!$B:$D,2,FALSE),"")</f>
        <v/>
      </c>
      <c r="P155" s="17" t="str">
        <f>IFERROR(VLOOKUP(シフト組み!P185,役職一覧!$B:$D,2,FALSE),"")</f>
        <v/>
      </c>
      <c r="Q155" s="17" t="str">
        <f>IFERROR(VLOOKUP(シフト組み!Q185,役職一覧!$B:$D,2,FALSE),"")</f>
        <v/>
      </c>
      <c r="R155" s="17" t="str">
        <f>IFERROR(VLOOKUP(シフト組み!R185,役職一覧!$B:$D,2,FALSE),"")</f>
        <v/>
      </c>
      <c r="S155" s="17" t="str">
        <f>IFERROR(VLOOKUP(シフト組み!S185,役職一覧!$B:$D,2,FALSE),"")</f>
        <v/>
      </c>
      <c r="T155" s="17" t="str">
        <f>IFERROR(VLOOKUP(シフト組み!T185,役職一覧!$B:$D,2,FALSE),"")</f>
        <v/>
      </c>
      <c r="U155" s="17" t="str">
        <f>IFERROR(VLOOKUP(シフト組み!U185,役職一覧!$B:$D,2,FALSE),"")</f>
        <v/>
      </c>
      <c r="V155" s="17" t="str">
        <f>IFERROR(VLOOKUP(シフト組み!V185,役職一覧!$B:$D,2,FALSE),"")</f>
        <v/>
      </c>
      <c r="W155" s="17" t="str">
        <f>IFERROR(VLOOKUP(シフト組み!W185,役職一覧!$B:$D,2,FALSE),"")</f>
        <v/>
      </c>
      <c r="X155" s="17" t="str">
        <f>IFERROR(VLOOKUP(シフト組み!X185,役職一覧!$B:$D,2,FALSE),"")</f>
        <v/>
      </c>
      <c r="Y155" s="17" t="str">
        <f>IFERROR(VLOOKUP(シフト組み!Y185,役職一覧!$B:$D,2,FALSE),"")</f>
        <v/>
      </c>
      <c r="Z155" s="17" t="str">
        <f>IFERROR(VLOOKUP(シフト組み!Z185,役職一覧!$B:$D,2,FALSE),"")</f>
        <v/>
      </c>
      <c r="AA155" s="17" t="str">
        <f>IFERROR(VLOOKUP(シフト組み!AA185,役職一覧!$B:$D,2,FALSE),"")</f>
        <v/>
      </c>
      <c r="AB155" s="17" t="str">
        <f>IFERROR(VLOOKUP(シフト組み!AB185,役職一覧!$B:$D,2,FALSE),"")</f>
        <v/>
      </c>
      <c r="AC155" s="17" t="str">
        <f>IFERROR(VLOOKUP(シフト組み!AC185,役職一覧!$B:$D,2,FALSE),"")</f>
        <v/>
      </c>
      <c r="AD155" s="17" t="str">
        <f>IFERROR(VLOOKUP(シフト組み!AD185,役職一覧!$B:$D,2,FALSE),"")</f>
        <v/>
      </c>
      <c r="AE155" s="17" t="str">
        <f>IFERROR(VLOOKUP(シフト組み!AE185,役職一覧!$B:$D,2,FALSE),"")</f>
        <v/>
      </c>
      <c r="AF155" s="17" t="str">
        <f>IFERROR(VLOOKUP(シフト組み!AF185,役職一覧!$B:$D,2,FALSE),"")</f>
        <v/>
      </c>
      <c r="AG155" s="17" t="str">
        <f>IFERROR(VLOOKUP(シフト組み!AG185,役職一覧!$B:$D,2,FALSE),"")</f>
        <v/>
      </c>
      <c r="AH155" s="17" t="str">
        <f>IFERROR(VLOOKUP(シフト組み!AH185,役職一覧!$B:$D,2,FALSE),"")</f>
        <v/>
      </c>
      <c r="AI155" s="17" t="str">
        <f>IFERROR(VLOOKUP(シフト組み!AI185,役職一覧!$B:$D,2,FALSE),"")</f>
        <v/>
      </c>
      <c r="AJ155" s="17" t="str">
        <f>IFERROR(VLOOKUP(シフト組み!AJ185,役職一覧!$B:$D,2,FALSE),"")</f>
        <v/>
      </c>
      <c r="AK155" s="17" t="str">
        <f>IFERROR(VLOOKUP(シフト組み!AK185,役職一覧!$B:$D,2,FALSE),"")</f>
        <v/>
      </c>
      <c r="AL155" s="17" t="str">
        <f>IFERROR(VLOOKUP(シフト組み!AL185,役職一覧!$B:$D,2,FALSE),"")</f>
        <v/>
      </c>
      <c r="AM155" s="17" t="str">
        <f>IFERROR(VLOOKUP(シフト組み!AM185,役職一覧!$B:$D,2,FALSE),"")</f>
        <v/>
      </c>
      <c r="AN155" s="17" t="str">
        <f>IFERROR(VLOOKUP(シフト組み!AN185,役職一覧!$B:$D,2,FALSE),"")</f>
        <v/>
      </c>
      <c r="AO155" s="17" t="str">
        <f>IFERROR(VLOOKUP(シフト組み!AO185,役職一覧!$B:$D,2,FALSE),"")</f>
        <v/>
      </c>
      <c r="AP155" s="17" t="str">
        <f>IFERROR(VLOOKUP(シフト組み!AP185,役職一覧!$B:$D,2,FALSE),"")</f>
        <v/>
      </c>
      <c r="AQ155" s="17" t="str">
        <f>IFERROR(VLOOKUP(シフト組み!AQ185,役職一覧!$B:$D,2,FALSE),"")</f>
        <v/>
      </c>
      <c r="AR155" s="17" t="str">
        <f>IFERROR(VLOOKUP(シフト組み!AR185,役職一覧!$B:$D,2,FALSE),"")</f>
        <v/>
      </c>
      <c r="AS155" s="17" t="str">
        <f>IFERROR(VLOOKUP(シフト組み!AS185,役職一覧!$B:$D,2,FALSE),"")</f>
        <v/>
      </c>
      <c r="AT155" s="17" t="str">
        <f>IFERROR(VLOOKUP(シフト組み!AT185,役職一覧!$B:$D,2,FALSE),"")</f>
        <v/>
      </c>
      <c r="AU155" s="17" t="str">
        <f>IFERROR(VLOOKUP(シフト組み!AU185,役職一覧!$B:$D,2,FALSE),"")</f>
        <v/>
      </c>
      <c r="AV155" s="17" t="str">
        <f>IFERROR(VLOOKUP(シフト組み!AV185,役職一覧!$B:$D,2,FALSE),"")</f>
        <v/>
      </c>
      <c r="AW155" s="17" t="str">
        <f>IFERROR(VLOOKUP(シフト組み!AW185,役職一覧!$B:$D,2,FALSE),"")</f>
        <v/>
      </c>
      <c r="AX155" s="17" t="str">
        <f>IFERROR(VLOOKUP(シフト組み!AX185,役職一覧!$B:$D,2,FALSE),"")</f>
        <v/>
      </c>
      <c r="AY155" s="17" t="str">
        <f>IFERROR(VLOOKUP(シフト組み!AY185,役職一覧!$B:$D,2,FALSE),"")</f>
        <v/>
      </c>
      <c r="AZ155" s="17" t="str">
        <f>IFERROR(VLOOKUP(シフト組み!AZ185,役職一覧!$B:$D,2,FALSE),"")</f>
        <v/>
      </c>
      <c r="BA155" s="17" t="str">
        <f>IFERROR(VLOOKUP(シフト組み!BA185,役職一覧!$B:$D,2,FALSE),"")</f>
        <v/>
      </c>
    </row>
    <row r="156" spans="1:53">
      <c r="A156" s="2" t="str">
        <f>シフト組み!A186&amp;""</f>
        <v/>
      </c>
      <c r="B156" s="2" t="str">
        <f>シフト組み!B186&amp;""</f>
        <v/>
      </c>
      <c r="C156" s="2" t="str">
        <f>シフト組み!C186&amp;""</f>
        <v/>
      </c>
      <c r="D156" s="17" t="str">
        <f>IFERROR(VLOOKUP(シフト組み!D186,役職一覧!$B:$D,2,FALSE),"")</f>
        <v/>
      </c>
      <c r="E156" s="17" t="str">
        <f>IFERROR(VLOOKUP(シフト組み!E186,役職一覧!$B:$D,2,FALSE),"")</f>
        <v/>
      </c>
      <c r="F156" s="17" t="str">
        <f>IFERROR(VLOOKUP(シフト組み!F186,役職一覧!$B:$D,2,FALSE),"")</f>
        <v/>
      </c>
      <c r="G156" s="17" t="str">
        <f>IFERROR(VLOOKUP(シフト組み!G186,役職一覧!$B:$D,2,FALSE),"")</f>
        <v/>
      </c>
      <c r="H156" s="17" t="str">
        <f>IFERROR(VLOOKUP(シフト組み!H186,役職一覧!$B:$D,2,FALSE),"")</f>
        <v/>
      </c>
      <c r="I156" s="17" t="str">
        <f>IFERROR(VLOOKUP(シフト組み!I186,役職一覧!$B:$D,2,FALSE),"")</f>
        <v/>
      </c>
      <c r="J156" s="17" t="str">
        <f>IFERROR(VLOOKUP(シフト組み!J186,役職一覧!$B:$D,2,FALSE),"")</f>
        <v/>
      </c>
      <c r="K156" s="17" t="str">
        <f>IFERROR(VLOOKUP(シフト組み!K186,役職一覧!$B:$D,2,FALSE),"")</f>
        <v/>
      </c>
      <c r="L156" s="17" t="str">
        <f>IFERROR(VLOOKUP(シフト組み!L186,役職一覧!$B:$D,2,FALSE),"")</f>
        <v/>
      </c>
      <c r="M156" s="17" t="str">
        <f>IFERROR(VLOOKUP(シフト組み!M186,役職一覧!$B:$D,2,FALSE),"")</f>
        <v/>
      </c>
      <c r="N156" s="17" t="str">
        <f>IFERROR(VLOOKUP(シフト組み!N186,役職一覧!$B:$D,2,FALSE),"")</f>
        <v/>
      </c>
      <c r="O156" s="17" t="str">
        <f>IFERROR(VLOOKUP(シフト組み!O186,役職一覧!$B:$D,2,FALSE),"")</f>
        <v/>
      </c>
      <c r="P156" s="17" t="str">
        <f>IFERROR(VLOOKUP(シフト組み!P186,役職一覧!$B:$D,2,FALSE),"")</f>
        <v/>
      </c>
      <c r="Q156" s="17" t="str">
        <f>IFERROR(VLOOKUP(シフト組み!Q186,役職一覧!$B:$D,2,FALSE),"")</f>
        <v/>
      </c>
      <c r="R156" s="17" t="str">
        <f>IFERROR(VLOOKUP(シフト組み!R186,役職一覧!$B:$D,2,FALSE),"")</f>
        <v/>
      </c>
      <c r="S156" s="17" t="str">
        <f>IFERROR(VLOOKUP(シフト組み!S186,役職一覧!$B:$D,2,FALSE),"")</f>
        <v/>
      </c>
      <c r="T156" s="17" t="str">
        <f>IFERROR(VLOOKUP(シフト組み!T186,役職一覧!$B:$D,2,FALSE),"")</f>
        <v/>
      </c>
      <c r="U156" s="17" t="str">
        <f>IFERROR(VLOOKUP(シフト組み!U186,役職一覧!$B:$D,2,FALSE),"")</f>
        <v/>
      </c>
      <c r="V156" s="17" t="str">
        <f>IFERROR(VLOOKUP(シフト組み!V186,役職一覧!$B:$D,2,FALSE),"")</f>
        <v/>
      </c>
      <c r="W156" s="17" t="str">
        <f>IFERROR(VLOOKUP(シフト組み!W186,役職一覧!$B:$D,2,FALSE),"")</f>
        <v/>
      </c>
      <c r="X156" s="17" t="str">
        <f>IFERROR(VLOOKUP(シフト組み!X186,役職一覧!$B:$D,2,FALSE),"")</f>
        <v/>
      </c>
      <c r="Y156" s="17" t="str">
        <f>IFERROR(VLOOKUP(シフト組み!Y186,役職一覧!$B:$D,2,FALSE),"")</f>
        <v/>
      </c>
      <c r="Z156" s="17" t="str">
        <f>IFERROR(VLOOKUP(シフト組み!Z186,役職一覧!$B:$D,2,FALSE),"")</f>
        <v/>
      </c>
      <c r="AA156" s="17" t="str">
        <f>IFERROR(VLOOKUP(シフト組み!AA186,役職一覧!$B:$D,2,FALSE),"")</f>
        <v/>
      </c>
      <c r="AB156" s="17" t="str">
        <f>IFERROR(VLOOKUP(シフト組み!AB186,役職一覧!$B:$D,2,FALSE),"")</f>
        <v/>
      </c>
      <c r="AC156" s="17" t="str">
        <f>IFERROR(VLOOKUP(シフト組み!AC186,役職一覧!$B:$D,2,FALSE),"")</f>
        <v/>
      </c>
      <c r="AD156" s="17" t="str">
        <f>IFERROR(VLOOKUP(シフト組み!AD186,役職一覧!$B:$D,2,FALSE),"")</f>
        <v/>
      </c>
      <c r="AE156" s="17" t="str">
        <f>IFERROR(VLOOKUP(シフト組み!AE186,役職一覧!$B:$D,2,FALSE),"")</f>
        <v/>
      </c>
      <c r="AF156" s="17" t="str">
        <f>IFERROR(VLOOKUP(シフト組み!AF186,役職一覧!$B:$D,2,FALSE),"")</f>
        <v/>
      </c>
      <c r="AG156" s="17" t="str">
        <f>IFERROR(VLOOKUP(シフト組み!AG186,役職一覧!$B:$D,2,FALSE),"")</f>
        <v/>
      </c>
      <c r="AH156" s="17" t="str">
        <f>IFERROR(VLOOKUP(シフト組み!AH186,役職一覧!$B:$D,2,FALSE),"")</f>
        <v/>
      </c>
      <c r="AI156" s="17" t="str">
        <f>IFERROR(VLOOKUP(シフト組み!AI186,役職一覧!$B:$D,2,FALSE),"")</f>
        <v/>
      </c>
      <c r="AJ156" s="17" t="str">
        <f>IFERROR(VLOOKUP(シフト組み!AJ186,役職一覧!$B:$D,2,FALSE),"")</f>
        <v/>
      </c>
      <c r="AK156" s="17" t="str">
        <f>IFERROR(VLOOKUP(シフト組み!AK186,役職一覧!$B:$D,2,FALSE),"")</f>
        <v/>
      </c>
      <c r="AL156" s="17" t="str">
        <f>IFERROR(VLOOKUP(シフト組み!AL186,役職一覧!$B:$D,2,FALSE),"")</f>
        <v/>
      </c>
      <c r="AM156" s="17" t="str">
        <f>IFERROR(VLOOKUP(シフト組み!AM186,役職一覧!$B:$D,2,FALSE),"")</f>
        <v/>
      </c>
      <c r="AN156" s="17" t="str">
        <f>IFERROR(VLOOKUP(シフト組み!AN186,役職一覧!$B:$D,2,FALSE),"")</f>
        <v/>
      </c>
      <c r="AO156" s="17" t="str">
        <f>IFERROR(VLOOKUP(シフト組み!AO186,役職一覧!$B:$D,2,FALSE),"")</f>
        <v/>
      </c>
      <c r="AP156" s="17" t="str">
        <f>IFERROR(VLOOKUP(シフト組み!AP186,役職一覧!$B:$D,2,FALSE),"")</f>
        <v/>
      </c>
      <c r="AQ156" s="17" t="str">
        <f>IFERROR(VLOOKUP(シフト組み!AQ186,役職一覧!$B:$D,2,FALSE),"")</f>
        <v/>
      </c>
      <c r="AR156" s="17" t="str">
        <f>IFERROR(VLOOKUP(シフト組み!AR186,役職一覧!$B:$D,2,FALSE),"")</f>
        <v/>
      </c>
      <c r="AS156" s="17" t="str">
        <f>IFERROR(VLOOKUP(シフト組み!AS186,役職一覧!$B:$D,2,FALSE),"")</f>
        <v/>
      </c>
      <c r="AT156" s="17" t="str">
        <f>IFERROR(VLOOKUP(シフト組み!AT186,役職一覧!$B:$D,2,FALSE),"")</f>
        <v/>
      </c>
      <c r="AU156" s="17" t="str">
        <f>IFERROR(VLOOKUP(シフト組み!AU186,役職一覧!$B:$D,2,FALSE),"")</f>
        <v/>
      </c>
      <c r="AV156" s="17" t="str">
        <f>IFERROR(VLOOKUP(シフト組み!AV186,役職一覧!$B:$D,2,FALSE),"")</f>
        <v/>
      </c>
      <c r="AW156" s="17" t="str">
        <f>IFERROR(VLOOKUP(シフト組み!AW186,役職一覧!$B:$D,2,FALSE),"")</f>
        <v/>
      </c>
      <c r="AX156" s="17" t="str">
        <f>IFERROR(VLOOKUP(シフト組み!AX186,役職一覧!$B:$D,2,FALSE),"")</f>
        <v/>
      </c>
      <c r="AY156" s="17" t="str">
        <f>IFERROR(VLOOKUP(シフト組み!AY186,役職一覧!$B:$D,2,FALSE),"")</f>
        <v/>
      </c>
      <c r="AZ156" s="17" t="str">
        <f>IFERROR(VLOOKUP(シフト組み!AZ186,役職一覧!$B:$D,2,FALSE),"")</f>
        <v/>
      </c>
      <c r="BA156" s="17" t="str">
        <f>IFERROR(VLOOKUP(シフト組み!BA186,役職一覧!$B:$D,2,FALSE),"")</f>
        <v/>
      </c>
    </row>
    <row r="157" spans="1:53">
      <c r="A157" s="2" t="str">
        <f>シフト組み!A187&amp;""</f>
        <v/>
      </c>
      <c r="B157" s="2" t="str">
        <f>シフト組み!B187&amp;""</f>
        <v/>
      </c>
      <c r="C157" s="2" t="str">
        <f>シフト組み!C187&amp;""</f>
        <v/>
      </c>
      <c r="D157" s="17" t="str">
        <f>IFERROR(VLOOKUP(シフト組み!D187,役職一覧!$B:$D,2,FALSE),"")</f>
        <v/>
      </c>
      <c r="E157" s="17" t="str">
        <f>IFERROR(VLOOKUP(シフト組み!E187,役職一覧!$B:$D,2,FALSE),"")</f>
        <v/>
      </c>
      <c r="F157" s="17" t="str">
        <f>IFERROR(VLOOKUP(シフト組み!F187,役職一覧!$B:$D,2,FALSE),"")</f>
        <v/>
      </c>
      <c r="G157" s="17" t="str">
        <f>IFERROR(VLOOKUP(シフト組み!G187,役職一覧!$B:$D,2,FALSE),"")</f>
        <v/>
      </c>
      <c r="H157" s="17" t="str">
        <f>IFERROR(VLOOKUP(シフト組み!H187,役職一覧!$B:$D,2,FALSE),"")</f>
        <v/>
      </c>
      <c r="I157" s="17" t="str">
        <f>IFERROR(VLOOKUP(シフト組み!I187,役職一覧!$B:$D,2,FALSE),"")</f>
        <v/>
      </c>
      <c r="J157" s="17" t="str">
        <f>IFERROR(VLOOKUP(シフト組み!J187,役職一覧!$B:$D,2,FALSE),"")</f>
        <v/>
      </c>
      <c r="K157" s="17" t="str">
        <f>IFERROR(VLOOKUP(シフト組み!K187,役職一覧!$B:$D,2,FALSE),"")</f>
        <v/>
      </c>
      <c r="L157" s="17" t="str">
        <f>IFERROR(VLOOKUP(シフト組み!L187,役職一覧!$B:$D,2,FALSE),"")</f>
        <v/>
      </c>
      <c r="M157" s="17" t="str">
        <f>IFERROR(VLOOKUP(シフト組み!M187,役職一覧!$B:$D,2,FALSE),"")</f>
        <v/>
      </c>
      <c r="N157" s="17" t="str">
        <f>IFERROR(VLOOKUP(シフト組み!N187,役職一覧!$B:$D,2,FALSE),"")</f>
        <v/>
      </c>
      <c r="O157" s="17" t="str">
        <f>IFERROR(VLOOKUP(シフト組み!O187,役職一覧!$B:$D,2,FALSE),"")</f>
        <v/>
      </c>
      <c r="P157" s="17" t="str">
        <f>IFERROR(VLOOKUP(シフト組み!P187,役職一覧!$B:$D,2,FALSE),"")</f>
        <v/>
      </c>
      <c r="Q157" s="17" t="str">
        <f>IFERROR(VLOOKUP(シフト組み!Q187,役職一覧!$B:$D,2,FALSE),"")</f>
        <v/>
      </c>
      <c r="R157" s="17" t="str">
        <f>IFERROR(VLOOKUP(シフト組み!R187,役職一覧!$B:$D,2,FALSE),"")</f>
        <v/>
      </c>
      <c r="S157" s="17" t="str">
        <f>IFERROR(VLOOKUP(シフト組み!S187,役職一覧!$B:$D,2,FALSE),"")</f>
        <v/>
      </c>
      <c r="T157" s="17" t="str">
        <f>IFERROR(VLOOKUP(シフト組み!T187,役職一覧!$B:$D,2,FALSE),"")</f>
        <v/>
      </c>
      <c r="U157" s="17" t="str">
        <f>IFERROR(VLOOKUP(シフト組み!U187,役職一覧!$B:$D,2,FALSE),"")</f>
        <v/>
      </c>
      <c r="V157" s="17" t="str">
        <f>IFERROR(VLOOKUP(シフト組み!V187,役職一覧!$B:$D,2,FALSE),"")</f>
        <v/>
      </c>
      <c r="W157" s="17" t="str">
        <f>IFERROR(VLOOKUP(シフト組み!W187,役職一覧!$B:$D,2,FALSE),"")</f>
        <v/>
      </c>
      <c r="X157" s="17" t="str">
        <f>IFERROR(VLOOKUP(シフト組み!X187,役職一覧!$B:$D,2,FALSE),"")</f>
        <v/>
      </c>
      <c r="Y157" s="17" t="str">
        <f>IFERROR(VLOOKUP(シフト組み!Y187,役職一覧!$B:$D,2,FALSE),"")</f>
        <v/>
      </c>
      <c r="Z157" s="17" t="str">
        <f>IFERROR(VLOOKUP(シフト組み!Z187,役職一覧!$B:$D,2,FALSE),"")</f>
        <v/>
      </c>
      <c r="AA157" s="17" t="str">
        <f>IFERROR(VLOOKUP(シフト組み!AA187,役職一覧!$B:$D,2,FALSE),"")</f>
        <v/>
      </c>
      <c r="AB157" s="17" t="str">
        <f>IFERROR(VLOOKUP(シフト組み!AB187,役職一覧!$B:$D,2,FALSE),"")</f>
        <v/>
      </c>
      <c r="AC157" s="17" t="str">
        <f>IFERROR(VLOOKUP(シフト組み!AC187,役職一覧!$B:$D,2,FALSE),"")</f>
        <v/>
      </c>
      <c r="AD157" s="17" t="str">
        <f>IFERROR(VLOOKUP(シフト組み!AD187,役職一覧!$B:$D,2,FALSE),"")</f>
        <v/>
      </c>
      <c r="AE157" s="17" t="str">
        <f>IFERROR(VLOOKUP(シフト組み!AE187,役職一覧!$B:$D,2,FALSE),"")</f>
        <v/>
      </c>
      <c r="AF157" s="17" t="str">
        <f>IFERROR(VLOOKUP(シフト組み!AF187,役職一覧!$B:$D,2,FALSE),"")</f>
        <v/>
      </c>
      <c r="AG157" s="17" t="str">
        <f>IFERROR(VLOOKUP(シフト組み!AG187,役職一覧!$B:$D,2,FALSE),"")</f>
        <v/>
      </c>
      <c r="AH157" s="17" t="str">
        <f>IFERROR(VLOOKUP(シフト組み!AH187,役職一覧!$B:$D,2,FALSE),"")</f>
        <v/>
      </c>
      <c r="AI157" s="17" t="str">
        <f>IFERROR(VLOOKUP(シフト組み!AI187,役職一覧!$B:$D,2,FALSE),"")</f>
        <v/>
      </c>
      <c r="AJ157" s="17" t="str">
        <f>IFERROR(VLOOKUP(シフト組み!AJ187,役職一覧!$B:$D,2,FALSE),"")</f>
        <v/>
      </c>
      <c r="AK157" s="17" t="str">
        <f>IFERROR(VLOOKUP(シフト組み!AK187,役職一覧!$B:$D,2,FALSE),"")</f>
        <v/>
      </c>
      <c r="AL157" s="17" t="str">
        <f>IFERROR(VLOOKUP(シフト組み!AL187,役職一覧!$B:$D,2,FALSE),"")</f>
        <v/>
      </c>
      <c r="AM157" s="17" t="str">
        <f>IFERROR(VLOOKUP(シフト組み!AM187,役職一覧!$B:$D,2,FALSE),"")</f>
        <v/>
      </c>
      <c r="AN157" s="17" t="str">
        <f>IFERROR(VLOOKUP(シフト組み!AN187,役職一覧!$B:$D,2,FALSE),"")</f>
        <v/>
      </c>
      <c r="AO157" s="17" t="str">
        <f>IFERROR(VLOOKUP(シフト組み!AO187,役職一覧!$B:$D,2,FALSE),"")</f>
        <v/>
      </c>
      <c r="AP157" s="17" t="str">
        <f>IFERROR(VLOOKUP(シフト組み!AP187,役職一覧!$B:$D,2,FALSE),"")</f>
        <v/>
      </c>
      <c r="AQ157" s="17" t="str">
        <f>IFERROR(VLOOKUP(シフト組み!AQ187,役職一覧!$B:$D,2,FALSE),"")</f>
        <v/>
      </c>
      <c r="AR157" s="17" t="str">
        <f>IFERROR(VLOOKUP(シフト組み!AR187,役職一覧!$B:$D,2,FALSE),"")</f>
        <v/>
      </c>
      <c r="AS157" s="17" t="str">
        <f>IFERROR(VLOOKUP(シフト組み!AS187,役職一覧!$B:$D,2,FALSE),"")</f>
        <v/>
      </c>
      <c r="AT157" s="17" t="str">
        <f>IFERROR(VLOOKUP(シフト組み!AT187,役職一覧!$B:$D,2,FALSE),"")</f>
        <v/>
      </c>
      <c r="AU157" s="17" t="str">
        <f>IFERROR(VLOOKUP(シフト組み!AU187,役職一覧!$B:$D,2,FALSE),"")</f>
        <v/>
      </c>
      <c r="AV157" s="17" t="str">
        <f>IFERROR(VLOOKUP(シフト組み!AV187,役職一覧!$B:$D,2,FALSE),"")</f>
        <v/>
      </c>
      <c r="AW157" s="17" t="str">
        <f>IFERROR(VLOOKUP(シフト組み!AW187,役職一覧!$B:$D,2,FALSE),"")</f>
        <v/>
      </c>
      <c r="AX157" s="17" t="str">
        <f>IFERROR(VLOOKUP(シフト組み!AX187,役職一覧!$B:$D,2,FALSE),"")</f>
        <v/>
      </c>
      <c r="AY157" s="17" t="str">
        <f>IFERROR(VLOOKUP(シフト組み!AY187,役職一覧!$B:$D,2,FALSE),"")</f>
        <v/>
      </c>
      <c r="AZ157" s="17" t="str">
        <f>IFERROR(VLOOKUP(シフト組み!AZ187,役職一覧!$B:$D,2,FALSE),"")</f>
        <v/>
      </c>
      <c r="BA157" s="17" t="str">
        <f>IFERROR(VLOOKUP(シフト組み!BA187,役職一覧!$B:$D,2,FALSE),"")</f>
        <v/>
      </c>
    </row>
    <row r="158" spans="1:53">
      <c r="A158" s="2" t="str">
        <f>シフト組み!A188&amp;""</f>
        <v/>
      </c>
      <c r="B158" s="2" t="str">
        <f>シフト組み!B188&amp;""</f>
        <v/>
      </c>
      <c r="C158" s="2" t="str">
        <f>シフト組み!C188&amp;""</f>
        <v/>
      </c>
      <c r="D158" s="17" t="str">
        <f>IFERROR(VLOOKUP(シフト組み!D188,役職一覧!$B:$D,2,FALSE),"")</f>
        <v/>
      </c>
      <c r="E158" s="17" t="str">
        <f>IFERROR(VLOOKUP(シフト組み!E188,役職一覧!$B:$D,2,FALSE),"")</f>
        <v/>
      </c>
      <c r="F158" s="17" t="str">
        <f>IFERROR(VLOOKUP(シフト組み!F188,役職一覧!$B:$D,2,FALSE),"")</f>
        <v/>
      </c>
      <c r="G158" s="17" t="str">
        <f>IFERROR(VLOOKUP(シフト組み!G188,役職一覧!$B:$D,2,FALSE),"")</f>
        <v/>
      </c>
      <c r="H158" s="17" t="str">
        <f>IFERROR(VLOOKUP(シフト組み!H188,役職一覧!$B:$D,2,FALSE),"")</f>
        <v/>
      </c>
      <c r="I158" s="17" t="str">
        <f>IFERROR(VLOOKUP(シフト組み!I188,役職一覧!$B:$D,2,FALSE),"")</f>
        <v/>
      </c>
      <c r="J158" s="17" t="str">
        <f>IFERROR(VLOOKUP(シフト組み!J188,役職一覧!$B:$D,2,FALSE),"")</f>
        <v/>
      </c>
      <c r="K158" s="17" t="str">
        <f>IFERROR(VLOOKUP(シフト組み!K188,役職一覧!$B:$D,2,FALSE),"")</f>
        <v/>
      </c>
      <c r="L158" s="17" t="str">
        <f>IFERROR(VLOOKUP(シフト組み!L188,役職一覧!$B:$D,2,FALSE),"")</f>
        <v/>
      </c>
      <c r="M158" s="17" t="str">
        <f>IFERROR(VLOOKUP(シフト組み!M188,役職一覧!$B:$D,2,FALSE),"")</f>
        <v/>
      </c>
      <c r="N158" s="17" t="str">
        <f>IFERROR(VLOOKUP(シフト組み!N188,役職一覧!$B:$D,2,FALSE),"")</f>
        <v/>
      </c>
      <c r="O158" s="17" t="str">
        <f>IFERROR(VLOOKUP(シフト組み!O188,役職一覧!$B:$D,2,FALSE),"")</f>
        <v/>
      </c>
      <c r="P158" s="17" t="str">
        <f>IFERROR(VLOOKUP(シフト組み!P188,役職一覧!$B:$D,2,FALSE),"")</f>
        <v/>
      </c>
      <c r="Q158" s="17" t="str">
        <f>IFERROR(VLOOKUP(シフト組み!Q188,役職一覧!$B:$D,2,FALSE),"")</f>
        <v/>
      </c>
      <c r="R158" s="17" t="str">
        <f>IFERROR(VLOOKUP(シフト組み!R188,役職一覧!$B:$D,2,FALSE),"")</f>
        <v/>
      </c>
      <c r="S158" s="17" t="str">
        <f>IFERROR(VLOOKUP(シフト組み!S188,役職一覧!$B:$D,2,FALSE),"")</f>
        <v/>
      </c>
      <c r="T158" s="17" t="str">
        <f>IFERROR(VLOOKUP(シフト組み!T188,役職一覧!$B:$D,2,FALSE),"")</f>
        <v/>
      </c>
      <c r="U158" s="17" t="str">
        <f>IFERROR(VLOOKUP(シフト組み!U188,役職一覧!$B:$D,2,FALSE),"")</f>
        <v/>
      </c>
      <c r="V158" s="17" t="str">
        <f>IFERROR(VLOOKUP(シフト組み!V188,役職一覧!$B:$D,2,FALSE),"")</f>
        <v/>
      </c>
      <c r="W158" s="17" t="str">
        <f>IFERROR(VLOOKUP(シフト組み!W188,役職一覧!$B:$D,2,FALSE),"")</f>
        <v/>
      </c>
      <c r="X158" s="17" t="str">
        <f>IFERROR(VLOOKUP(シフト組み!X188,役職一覧!$B:$D,2,FALSE),"")</f>
        <v/>
      </c>
      <c r="Y158" s="17" t="str">
        <f>IFERROR(VLOOKUP(シフト組み!Y188,役職一覧!$B:$D,2,FALSE),"")</f>
        <v/>
      </c>
      <c r="Z158" s="17" t="str">
        <f>IFERROR(VLOOKUP(シフト組み!Z188,役職一覧!$B:$D,2,FALSE),"")</f>
        <v/>
      </c>
      <c r="AA158" s="17" t="str">
        <f>IFERROR(VLOOKUP(シフト組み!AA188,役職一覧!$B:$D,2,FALSE),"")</f>
        <v/>
      </c>
      <c r="AB158" s="17" t="str">
        <f>IFERROR(VLOOKUP(シフト組み!AB188,役職一覧!$B:$D,2,FALSE),"")</f>
        <v/>
      </c>
      <c r="AC158" s="17" t="str">
        <f>IFERROR(VLOOKUP(シフト組み!AC188,役職一覧!$B:$D,2,FALSE),"")</f>
        <v/>
      </c>
      <c r="AD158" s="17" t="str">
        <f>IFERROR(VLOOKUP(シフト組み!AD188,役職一覧!$B:$D,2,FALSE),"")</f>
        <v/>
      </c>
      <c r="AE158" s="17" t="str">
        <f>IFERROR(VLOOKUP(シフト組み!AE188,役職一覧!$B:$D,2,FALSE),"")</f>
        <v/>
      </c>
      <c r="AF158" s="17" t="str">
        <f>IFERROR(VLOOKUP(シフト組み!AF188,役職一覧!$B:$D,2,FALSE),"")</f>
        <v/>
      </c>
      <c r="AG158" s="17" t="str">
        <f>IFERROR(VLOOKUP(シフト組み!AG188,役職一覧!$B:$D,2,FALSE),"")</f>
        <v/>
      </c>
      <c r="AH158" s="17" t="str">
        <f>IFERROR(VLOOKUP(シフト組み!AH188,役職一覧!$B:$D,2,FALSE),"")</f>
        <v/>
      </c>
      <c r="AI158" s="17" t="str">
        <f>IFERROR(VLOOKUP(シフト組み!AI188,役職一覧!$B:$D,2,FALSE),"")</f>
        <v/>
      </c>
      <c r="AJ158" s="17" t="str">
        <f>IFERROR(VLOOKUP(シフト組み!AJ188,役職一覧!$B:$D,2,FALSE),"")</f>
        <v/>
      </c>
      <c r="AK158" s="17" t="str">
        <f>IFERROR(VLOOKUP(シフト組み!AK188,役職一覧!$B:$D,2,FALSE),"")</f>
        <v/>
      </c>
      <c r="AL158" s="17" t="str">
        <f>IFERROR(VLOOKUP(シフト組み!AL188,役職一覧!$B:$D,2,FALSE),"")</f>
        <v/>
      </c>
      <c r="AM158" s="17" t="str">
        <f>IFERROR(VLOOKUP(シフト組み!AM188,役職一覧!$B:$D,2,FALSE),"")</f>
        <v/>
      </c>
      <c r="AN158" s="17" t="str">
        <f>IFERROR(VLOOKUP(シフト組み!AN188,役職一覧!$B:$D,2,FALSE),"")</f>
        <v/>
      </c>
      <c r="AO158" s="17" t="str">
        <f>IFERROR(VLOOKUP(シフト組み!AO188,役職一覧!$B:$D,2,FALSE),"")</f>
        <v/>
      </c>
      <c r="AP158" s="17" t="str">
        <f>IFERROR(VLOOKUP(シフト組み!AP188,役職一覧!$B:$D,2,FALSE),"")</f>
        <v/>
      </c>
      <c r="AQ158" s="17" t="str">
        <f>IFERROR(VLOOKUP(シフト組み!AQ188,役職一覧!$B:$D,2,FALSE),"")</f>
        <v/>
      </c>
      <c r="AR158" s="17" t="str">
        <f>IFERROR(VLOOKUP(シフト組み!AR188,役職一覧!$B:$D,2,FALSE),"")</f>
        <v/>
      </c>
      <c r="AS158" s="17" t="str">
        <f>IFERROR(VLOOKUP(シフト組み!AS188,役職一覧!$B:$D,2,FALSE),"")</f>
        <v/>
      </c>
      <c r="AT158" s="17" t="str">
        <f>IFERROR(VLOOKUP(シフト組み!AT188,役職一覧!$B:$D,2,FALSE),"")</f>
        <v/>
      </c>
      <c r="AU158" s="17" t="str">
        <f>IFERROR(VLOOKUP(シフト組み!AU188,役職一覧!$B:$D,2,FALSE),"")</f>
        <v/>
      </c>
      <c r="AV158" s="17" t="str">
        <f>IFERROR(VLOOKUP(シフト組み!AV188,役職一覧!$B:$D,2,FALSE),"")</f>
        <v/>
      </c>
      <c r="AW158" s="17" t="str">
        <f>IFERROR(VLOOKUP(シフト組み!AW188,役職一覧!$B:$D,2,FALSE),"")</f>
        <v/>
      </c>
      <c r="AX158" s="17" t="str">
        <f>IFERROR(VLOOKUP(シフト組み!AX188,役職一覧!$B:$D,2,FALSE),"")</f>
        <v/>
      </c>
      <c r="AY158" s="17" t="str">
        <f>IFERROR(VLOOKUP(シフト組み!AY188,役職一覧!$B:$D,2,FALSE),"")</f>
        <v/>
      </c>
      <c r="AZ158" s="17" t="str">
        <f>IFERROR(VLOOKUP(シフト組み!AZ188,役職一覧!$B:$D,2,FALSE),"")</f>
        <v/>
      </c>
      <c r="BA158" s="17" t="str">
        <f>IFERROR(VLOOKUP(シフト組み!BA188,役職一覧!$B:$D,2,FALSE),"")</f>
        <v/>
      </c>
    </row>
    <row r="159" spans="1:53">
      <c r="A159" s="2" t="str">
        <f>シフト組み!A189&amp;""</f>
        <v/>
      </c>
      <c r="B159" s="2" t="str">
        <f>シフト組み!B189&amp;""</f>
        <v/>
      </c>
      <c r="C159" s="2" t="str">
        <f>シフト組み!C189&amp;""</f>
        <v/>
      </c>
      <c r="D159" s="17" t="str">
        <f>IFERROR(VLOOKUP(シフト組み!D189,役職一覧!$B:$D,2,FALSE),"")</f>
        <v/>
      </c>
      <c r="E159" s="17" t="str">
        <f>IFERROR(VLOOKUP(シフト組み!E189,役職一覧!$B:$D,2,FALSE),"")</f>
        <v/>
      </c>
      <c r="F159" s="17" t="str">
        <f>IFERROR(VLOOKUP(シフト組み!F189,役職一覧!$B:$D,2,FALSE),"")</f>
        <v/>
      </c>
      <c r="G159" s="17" t="str">
        <f>IFERROR(VLOOKUP(シフト組み!G189,役職一覧!$B:$D,2,FALSE),"")</f>
        <v/>
      </c>
      <c r="H159" s="17" t="str">
        <f>IFERROR(VLOOKUP(シフト組み!H189,役職一覧!$B:$D,2,FALSE),"")</f>
        <v/>
      </c>
      <c r="I159" s="17" t="str">
        <f>IFERROR(VLOOKUP(シフト組み!I189,役職一覧!$B:$D,2,FALSE),"")</f>
        <v/>
      </c>
      <c r="J159" s="17" t="str">
        <f>IFERROR(VLOOKUP(シフト組み!J189,役職一覧!$B:$D,2,FALSE),"")</f>
        <v/>
      </c>
      <c r="K159" s="17" t="str">
        <f>IFERROR(VLOOKUP(シフト組み!K189,役職一覧!$B:$D,2,FALSE),"")</f>
        <v/>
      </c>
      <c r="L159" s="17" t="str">
        <f>IFERROR(VLOOKUP(シフト組み!L189,役職一覧!$B:$D,2,FALSE),"")</f>
        <v/>
      </c>
      <c r="M159" s="17" t="str">
        <f>IFERROR(VLOOKUP(シフト組み!M189,役職一覧!$B:$D,2,FALSE),"")</f>
        <v/>
      </c>
      <c r="N159" s="17" t="str">
        <f>IFERROR(VLOOKUP(シフト組み!N189,役職一覧!$B:$D,2,FALSE),"")</f>
        <v/>
      </c>
      <c r="O159" s="17" t="str">
        <f>IFERROR(VLOOKUP(シフト組み!O189,役職一覧!$B:$D,2,FALSE),"")</f>
        <v/>
      </c>
      <c r="P159" s="17" t="str">
        <f>IFERROR(VLOOKUP(シフト組み!P189,役職一覧!$B:$D,2,FALSE),"")</f>
        <v/>
      </c>
      <c r="Q159" s="17" t="str">
        <f>IFERROR(VLOOKUP(シフト組み!Q189,役職一覧!$B:$D,2,FALSE),"")</f>
        <v/>
      </c>
      <c r="R159" s="17" t="str">
        <f>IFERROR(VLOOKUP(シフト組み!R189,役職一覧!$B:$D,2,FALSE),"")</f>
        <v/>
      </c>
      <c r="S159" s="17" t="str">
        <f>IFERROR(VLOOKUP(シフト組み!S189,役職一覧!$B:$D,2,FALSE),"")</f>
        <v/>
      </c>
      <c r="T159" s="17" t="str">
        <f>IFERROR(VLOOKUP(シフト組み!T189,役職一覧!$B:$D,2,FALSE),"")</f>
        <v/>
      </c>
      <c r="U159" s="17" t="str">
        <f>IFERROR(VLOOKUP(シフト組み!U189,役職一覧!$B:$D,2,FALSE),"")</f>
        <v/>
      </c>
      <c r="V159" s="17" t="str">
        <f>IFERROR(VLOOKUP(シフト組み!V189,役職一覧!$B:$D,2,FALSE),"")</f>
        <v/>
      </c>
      <c r="W159" s="17" t="str">
        <f>IFERROR(VLOOKUP(シフト組み!W189,役職一覧!$B:$D,2,FALSE),"")</f>
        <v/>
      </c>
      <c r="X159" s="17" t="str">
        <f>IFERROR(VLOOKUP(シフト組み!X189,役職一覧!$B:$D,2,FALSE),"")</f>
        <v/>
      </c>
      <c r="Y159" s="17" t="str">
        <f>IFERROR(VLOOKUP(シフト組み!Y189,役職一覧!$B:$D,2,FALSE),"")</f>
        <v/>
      </c>
      <c r="Z159" s="17" t="str">
        <f>IFERROR(VLOOKUP(シフト組み!Z189,役職一覧!$B:$D,2,FALSE),"")</f>
        <v/>
      </c>
      <c r="AA159" s="17" t="str">
        <f>IFERROR(VLOOKUP(シフト組み!AA189,役職一覧!$B:$D,2,FALSE),"")</f>
        <v/>
      </c>
      <c r="AB159" s="17" t="str">
        <f>IFERROR(VLOOKUP(シフト組み!AB189,役職一覧!$B:$D,2,FALSE),"")</f>
        <v/>
      </c>
      <c r="AC159" s="17" t="str">
        <f>IFERROR(VLOOKUP(シフト組み!AC189,役職一覧!$B:$D,2,FALSE),"")</f>
        <v/>
      </c>
      <c r="AD159" s="17" t="str">
        <f>IFERROR(VLOOKUP(シフト組み!AD189,役職一覧!$B:$D,2,FALSE),"")</f>
        <v/>
      </c>
      <c r="AE159" s="17" t="str">
        <f>IFERROR(VLOOKUP(シフト組み!AE189,役職一覧!$B:$D,2,FALSE),"")</f>
        <v/>
      </c>
      <c r="AF159" s="17" t="str">
        <f>IFERROR(VLOOKUP(シフト組み!AF189,役職一覧!$B:$D,2,FALSE),"")</f>
        <v/>
      </c>
      <c r="AG159" s="17" t="str">
        <f>IFERROR(VLOOKUP(シフト組み!AG189,役職一覧!$B:$D,2,FALSE),"")</f>
        <v/>
      </c>
      <c r="AH159" s="17" t="str">
        <f>IFERROR(VLOOKUP(シフト組み!AH189,役職一覧!$B:$D,2,FALSE),"")</f>
        <v/>
      </c>
      <c r="AI159" s="17" t="str">
        <f>IFERROR(VLOOKUP(シフト組み!AI189,役職一覧!$B:$D,2,FALSE),"")</f>
        <v/>
      </c>
      <c r="AJ159" s="17" t="str">
        <f>IFERROR(VLOOKUP(シフト組み!AJ189,役職一覧!$B:$D,2,FALSE),"")</f>
        <v/>
      </c>
      <c r="AK159" s="17" t="str">
        <f>IFERROR(VLOOKUP(シフト組み!AK189,役職一覧!$B:$D,2,FALSE),"")</f>
        <v/>
      </c>
      <c r="AL159" s="17" t="str">
        <f>IFERROR(VLOOKUP(シフト組み!AL189,役職一覧!$B:$D,2,FALSE),"")</f>
        <v/>
      </c>
      <c r="AM159" s="17" t="str">
        <f>IFERROR(VLOOKUP(シフト組み!AM189,役職一覧!$B:$D,2,FALSE),"")</f>
        <v/>
      </c>
      <c r="AN159" s="17" t="str">
        <f>IFERROR(VLOOKUP(シフト組み!AN189,役職一覧!$B:$D,2,FALSE),"")</f>
        <v/>
      </c>
      <c r="AO159" s="17" t="str">
        <f>IFERROR(VLOOKUP(シフト組み!AO189,役職一覧!$B:$D,2,FALSE),"")</f>
        <v/>
      </c>
      <c r="AP159" s="17" t="str">
        <f>IFERROR(VLOOKUP(シフト組み!AP189,役職一覧!$B:$D,2,FALSE),"")</f>
        <v/>
      </c>
      <c r="AQ159" s="17" t="str">
        <f>IFERROR(VLOOKUP(シフト組み!AQ189,役職一覧!$B:$D,2,FALSE),"")</f>
        <v/>
      </c>
      <c r="AR159" s="17" t="str">
        <f>IFERROR(VLOOKUP(シフト組み!AR189,役職一覧!$B:$D,2,FALSE),"")</f>
        <v/>
      </c>
      <c r="AS159" s="17" t="str">
        <f>IFERROR(VLOOKUP(シフト組み!AS189,役職一覧!$B:$D,2,FALSE),"")</f>
        <v/>
      </c>
      <c r="AT159" s="17" t="str">
        <f>IFERROR(VLOOKUP(シフト組み!AT189,役職一覧!$B:$D,2,FALSE),"")</f>
        <v/>
      </c>
      <c r="AU159" s="17" t="str">
        <f>IFERROR(VLOOKUP(シフト組み!AU189,役職一覧!$B:$D,2,FALSE),"")</f>
        <v/>
      </c>
      <c r="AV159" s="17" t="str">
        <f>IFERROR(VLOOKUP(シフト組み!AV189,役職一覧!$B:$D,2,FALSE),"")</f>
        <v/>
      </c>
      <c r="AW159" s="17" t="str">
        <f>IFERROR(VLOOKUP(シフト組み!AW189,役職一覧!$B:$D,2,FALSE),"")</f>
        <v/>
      </c>
      <c r="AX159" s="17" t="str">
        <f>IFERROR(VLOOKUP(シフト組み!AX189,役職一覧!$B:$D,2,FALSE),"")</f>
        <v/>
      </c>
      <c r="AY159" s="17" t="str">
        <f>IFERROR(VLOOKUP(シフト組み!AY189,役職一覧!$B:$D,2,FALSE),"")</f>
        <v/>
      </c>
      <c r="AZ159" s="17" t="str">
        <f>IFERROR(VLOOKUP(シフト組み!AZ189,役職一覧!$B:$D,2,FALSE),"")</f>
        <v/>
      </c>
      <c r="BA159" s="17" t="str">
        <f>IFERROR(VLOOKUP(シフト組み!BA189,役職一覧!$B:$D,2,FALSE),"")</f>
        <v/>
      </c>
    </row>
    <row r="160" spans="1:53">
      <c r="A160" s="2" t="str">
        <f>シフト組み!A190&amp;""</f>
        <v/>
      </c>
      <c r="B160" s="2" t="str">
        <f>シフト組み!B190&amp;""</f>
        <v/>
      </c>
      <c r="C160" s="2" t="str">
        <f>シフト組み!C190&amp;""</f>
        <v/>
      </c>
      <c r="D160" s="17" t="str">
        <f>IFERROR(VLOOKUP(シフト組み!D190,役職一覧!$B:$D,2,FALSE),"")</f>
        <v/>
      </c>
      <c r="E160" s="17" t="str">
        <f>IFERROR(VLOOKUP(シフト組み!E190,役職一覧!$B:$D,2,FALSE),"")</f>
        <v/>
      </c>
      <c r="F160" s="17" t="str">
        <f>IFERROR(VLOOKUP(シフト組み!F190,役職一覧!$B:$D,2,FALSE),"")</f>
        <v/>
      </c>
      <c r="G160" s="17" t="str">
        <f>IFERROR(VLOOKUP(シフト組み!G190,役職一覧!$B:$D,2,FALSE),"")</f>
        <v/>
      </c>
      <c r="H160" s="17" t="str">
        <f>IFERROR(VLOOKUP(シフト組み!H190,役職一覧!$B:$D,2,FALSE),"")</f>
        <v/>
      </c>
      <c r="I160" s="17" t="str">
        <f>IFERROR(VLOOKUP(シフト組み!I190,役職一覧!$B:$D,2,FALSE),"")</f>
        <v/>
      </c>
      <c r="J160" s="17" t="str">
        <f>IFERROR(VLOOKUP(シフト組み!J190,役職一覧!$B:$D,2,FALSE),"")</f>
        <v/>
      </c>
      <c r="K160" s="17" t="str">
        <f>IFERROR(VLOOKUP(シフト組み!K190,役職一覧!$B:$D,2,FALSE),"")</f>
        <v/>
      </c>
      <c r="L160" s="17" t="str">
        <f>IFERROR(VLOOKUP(シフト組み!L190,役職一覧!$B:$D,2,FALSE),"")</f>
        <v/>
      </c>
      <c r="M160" s="17" t="str">
        <f>IFERROR(VLOOKUP(シフト組み!M190,役職一覧!$B:$D,2,FALSE),"")</f>
        <v/>
      </c>
      <c r="N160" s="17" t="str">
        <f>IFERROR(VLOOKUP(シフト組み!N190,役職一覧!$B:$D,2,FALSE),"")</f>
        <v/>
      </c>
      <c r="O160" s="17" t="str">
        <f>IFERROR(VLOOKUP(シフト組み!O190,役職一覧!$B:$D,2,FALSE),"")</f>
        <v/>
      </c>
      <c r="P160" s="17" t="str">
        <f>IFERROR(VLOOKUP(シフト組み!P190,役職一覧!$B:$D,2,FALSE),"")</f>
        <v/>
      </c>
      <c r="Q160" s="17" t="str">
        <f>IFERROR(VLOOKUP(シフト組み!Q190,役職一覧!$B:$D,2,FALSE),"")</f>
        <v/>
      </c>
      <c r="R160" s="17" t="str">
        <f>IFERROR(VLOOKUP(シフト組み!R190,役職一覧!$B:$D,2,FALSE),"")</f>
        <v/>
      </c>
      <c r="S160" s="17" t="str">
        <f>IFERROR(VLOOKUP(シフト組み!S190,役職一覧!$B:$D,2,FALSE),"")</f>
        <v/>
      </c>
      <c r="T160" s="17" t="str">
        <f>IFERROR(VLOOKUP(シフト組み!T190,役職一覧!$B:$D,2,FALSE),"")</f>
        <v/>
      </c>
      <c r="U160" s="17" t="str">
        <f>IFERROR(VLOOKUP(シフト組み!U190,役職一覧!$B:$D,2,FALSE),"")</f>
        <v/>
      </c>
      <c r="V160" s="17" t="str">
        <f>IFERROR(VLOOKUP(シフト組み!V190,役職一覧!$B:$D,2,FALSE),"")</f>
        <v/>
      </c>
      <c r="W160" s="17" t="str">
        <f>IFERROR(VLOOKUP(シフト組み!W190,役職一覧!$B:$D,2,FALSE),"")</f>
        <v/>
      </c>
      <c r="X160" s="17" t="str">
        <f>IFERROR(VLOOKUP(シフト組み!X190,役職一覧!$B:$D,2,FALSE),"")</f>
        <v/>
      </c>
      <c r="Y160" s="17" t="str">
        <f>IFERROR(VLOOKUP(シフト組み!Y190,役職一覧!$B:$D,2,FALSE),"")</f>
        <v/>
      </c>
      <c r="Z160" s="17" t="str">
        <f>IFERROR(VLOOKUP(シフト組み!Z190,役職一覧!$B:$D,2,FALSE),"")</f>
        <v/>
      </c>
      <c r="AA160" s="17" t="str">
        <f>IFERROR(VLOOKUP(シフト組み!AA190,役職一覧!$B:$D,2,FALSE),"")</f>
        <v/>
      </c>
      <c r="AB160" s="17" t="str">
        <f>IFERROR(VLOOKUP(シフト組み!AB190,役職一覧!$B:$D,2,FALSE),"")</f>
        <v/>
      </c>
      <c r="AC160" s="17" t="str">
        <f>IFERROR(VLOOKUP(シフト組み!AC190,役職一覧!$B:$D,2,FALSE),"")</f>
        <v/>
      </c>
      <c r="AD160" s="17" t="str">
        <f>IFERROR(VLOOKUP(シフト組み!AD190,役職一覧!$B:$D,2,FALSE),"")</f>
        <v/>
      </c>
      <c r="AE160" s="17" t="str">
        <f>IFERROR(VLOOKUP(シフト組み!AE190,役職一覧!$B:$D,2,FALSE),"")</f>
        <v/>
      </c>
      <c r="AF160" s="17" t="str">
        <f>IFERROR(VLOOKUP(シフト組み!AF190,役職一覧!$B:$D,2,FALSE),"")</f>
        <v/>
      </c>
      <c r="AG160" s="17" t="str">
        <f>IFERROR(VLOOKUP(シフト組み!AG190,役職一覧!$B:$D,2,FALSE),"")</f>
        <v/>
      </c>
      <c r="AH160" s="17" t="str">
        <f>IFERROR(VLOOKUP(シフト組み!AH190,役職一覧!$B:$D,2,FALSE),"")</f>
        <v/>
      </c>
      <c r="AI160" s="17" t="str">
        <f>IFERROR(VLOOKUP(シフト組み!AI190,役職一覧!$B:$D,2,FALSE),"")</f>
        <v/>
      </c>
      <c r="AJ160" s="17" t="str">
        <f>IFERROR(VLOOKUP(シフト組み!AJ190,役職一覧!$B:$D,2,FALSE),"")</f>
        <v/>
      </c>
      <c r="AK160" s="17" t="str">
        <f>IFERROR(VLOOKUP(シフト組み!AK190,役職一覧!$B:$D,2,FALSE),"")</f>
        <v/>
      </c>
      <c r="AL160" s="17" t="str">
        <f>IFERROR(VLOOKUP(シフト組み!AL190,役職一覧!$B:$D,2,FALSE),"")</f>
        <v/>
      </c>
      <c r="AM160" s="17" t="str">
        <f>IFERROR(VLOOKUP(シフト組み!AM190,役職一覧!$B:$D,2,FALSE),"")</f>
        <v/>
      </c>
      <c r="AN160" s="17" t="str">
        <f>IFERROR(VLOOKUP(シフト組み!AN190,役職一覧!$B:$D,2,FALSE),"")</f>
        <v/>
      </c>
      <c r="AO160" s="17" t="str">
        <f>IFERROR(VLOOKUP(シフト組み!AO190,役職一覧!$B:$D,2,FALSE),"")</f>
        <v/>
      </c>
      <c r="AP160" s="17" t="str">
        <f>IFERROR(VLOOKUP(シフト組み!AP190,役職一覧!$B:$D,2,FALSE),"")</f>
        <v/>
      </c>
      <c r="AQ160" s="17" t="str">
        <f>IFERROR(VLOOKUP(シフト組み!AQ190,役職一覧!$B:$D,2,FALSE),"")</f>
        <v/>
      </c>
      <c r="AR160" s="17" t="str">
        <f>IFERROR(VLOOKUP(シフト組み!AR190,役職一覧!$B:$D,2,FALSE),"")</f>
        <v/>
      </c>
      <c r="AS160" s="17" t="str">
        <f>IFERROR(VLOOKUP(シフト組み!AS190,役職一覧!$B:$D,2,FALSE),"")</f>
        <v/>
      </c>
      <c r="AT160" s="17" t="str">
        <f>IFERROR(VLOOKUP(シフト組み!AT190,役職一覧!$B:$D,2,FALSE),"")</f>
        <v/>
      </c>
      <c r="AU160" s="17" t="str">
        <f>IFERROR(VLOOKUP(シフト組み!AU190,役職一覧!$B:$D,2,FALSE),"")</f>
        <v/>
      </c>
      <c r="AV160" s="17" t="str">
        <f>IFERROR(VLOOKUP(シフト組み!AV190,役職一覧!$B:$D,2,FALSE),"")</f>
        <v/>
      </c>
      <c r="AW160" s="17" t="str">
        <f>IFERROR(VLOOKUP(シフト組み!AW190,役職一覧!$B:$D,2,FALSE),"")</f>
        <v/>
      </c>
      <c r="AX160" s="17" t="str">
        <f>IFERROR(VLOOKUP(シフト組み!AX190,役職一覧!$B:$D,2,FALSE),"")</f>
        <v/>
      </c>
      <c r="AY160" s="17" t="str">
        <f>IFERROR(VLOOKUP(シフト組み!AY190,役職一覧!$B:$D,2,FALSE),"")</f>
        <v/>
      </c>
      <c r="AZ160" s="17" t="str">
        <f>IFERROR(VLOOKUP(シフト組み!AZ190,役職一覧!$B:$D,2,FALSE),"")</f>
        <v/>
      </c>
      <c r="BA160" s="17" t="str">
        <f>IFERROR(VLOOKUP(シフト組み!BA190,役職一覧!$B:$D,2,FALSE),"")</f>
        <v/>
      </c>
    </row>
    <row r="161" spans="1:53">
      <c r="A161" s="2" t="str">
        <f>シフト組み!A191&amp;""</f>
        <v/>
      </c>
      <c r="B161" s="2" t="str">
        <f>シフト組み!B191&amp;""</f>
        <v/>
      </c>
      <c r="C161" s="2" t="str">
        <f>シフト組み!C191&amp;""</f>
        <v/>
      </c>
      <c r="D161" s="17" t="str">
        <f>IFERROR(VLOOKUP(シフト組み!D191,役職一覧!$B:$D,2,FALSE),"")</f>
        <v/>
      </c>
      <c r="E161" s="17" t="str">
        <f>IFERROR(VLOOKUP(シフト組み!E191,役職一覧!$B:$D,2,FALSE),"")</f>
        <v/>
      </c>
      <c r="F161" s="17" t="str">
        <f>IFERROR(VLOOKUP(シフト組み!F191,役職一覧!$B:$D,2,FALSE),"")</f>
        <v/>
      </c>
      <c r="G161" s="17" t="str">
        <f>IFERROR(VLOOKUP(シフト組み!G191,役職一覧!$B:$D,2,FALSE),"")</f>
        <v/>
      </c>
      <c r="H161" s="17" t="str">
        <f>IFERROR(VLOOKUP(シフト組み!H191,役職一覧!$B:$D,2,FALSE),"")</f>
        <v/>
      </c>
      <c r="I161" s="17" t="str">
        <f>IFERROR(VLOOKUP(シフト組み!I191,役職一覧!$B:$D,2,FALSE),"")</f>
        <v/>
      </c>
      <c r="J161" s="17" t="str">
        <f>IFERROR(VLOOKUP(シフト組み!J191,役職一覧!$B:$D,2,FALSE),"")</f>
        <v/>
      </c>
      <c r="K161" s="17" t="str">
        <f>IFERROR(VLOOKUP(シフト組み!K191,役職一覧!$B:$D,2,FALSE),"")</f>
        <v/>
      </c>
      <c r="L161" s="17" t="str">
        <f>IFERROR(VLOOKUP(シフト組み!L191,役職一覧!$B:$D,2,FALSE),"")</f>
        <v/>
      </c>
      <c r="M161" s="17" t="str">
        <f>IFERROR(VLOOKUP(シフト組み!M191,役職一覧!$B:$D,2,FALSE),"")</f>
        <v/>
      </c>
      <c r="N161" s="17" t="str">
        <f>IFERROR(VLOOKUP(シフト組み!N191,役職一覧!$B:$D,2,FALSE),"")</f>
        <v/>
      </c>
      <c r="O161" s="17" t="str">
        <f>IFERROR(VLOOKUP(シフト組み!O191,役職一覧!$B:$D,2,FALSE),"")</f>
        <v/>
      </c>
      <c r="P161" s="17" t="str">
        <f>IFERROR(VLOOKUP(シフト組み!P191,役職一覧!$B:$D,2,FALSE),"")</f>
        <v/>
      </c>
      <c r="Q161" s="17" t="str">
        <f>IFERROR(VLOOKUP(シフト組み!Q191,役職一覧!$B:$D,2,FALSE),"")</f>
        <v/>
      </c>
      <c r="R161" s="17" t="str">
        <f>IFERROR(VLOOKUP(シフト組み!R191,役職一覧!$B:$D,2,FALSE),"")</f>
        <v/>
      </c>
      <c r="S161" s="17" t="str">
        <f>IFERROR(VLOOKUP(シフト組み!S191,役職一覧!$B:$D,2,FALSE),"")</f>
        <v/>
      </c>
      <c r="T161" s="17" t="str">
        <f>IFERROR(VLOOKUP(シフト組み!T191,役職一覧!$B:$D,2,FALSE),"")</f>
        <v/>
      </c>
      <c r="U161" s="17" t="str">
        <f>IFERROR(VLOOKUP(シフト組み!U191,役職一覧!$B:$D,2,FALSE),"")</f>
        <v/>
      </c>
      <c r="V161" s="17" t="str">
        <f>IFERROR(VLOOKUP(シフト組み!V191,役職一覧!$B:$D,2,FALSE),"")</f>
        <v/>
      </c>
      <c r="W161" s="17" t="str">
        <f>IFERROR(VLOOKUP(シフト組み!W191,役職一覧!$B:$D,2,FALSE),"")</f>
        <v/>
      </c>
      <c r="X161" s="17" t="str">
        <f>IFERROR(VLOOKUP(シフト組み!X191,役職一覧!$B:$D,2,FALSE),"")</f>
        <v/>
      </c>
      <c r="Y161" s="17" t="str">
        <f>IFERROR(VLOOKUP(シフト組み!Y191,役職一覧!$B:$D,2,FALSE),"")</f>
        <v/>
      </c>
      <c r="Z161" s="17" t="str">
        <f>IFERROR(VLOOKUP(シフト組み!Z191,役職一覧!$B:$D,2,FALSE),"")</f>
        <v/>
      </c>
      <c r="AA161" s="17" t="str">
        <f>IFERROR(VLOOKUP(シフト組み!AA191,役職一覧!$B:$D,2,FALSE),"")</f>
        <v/>
      </c>
      <c r="AB161" s="17" t="str">
        <f>IFERROR(VLOOKUP(シフト組み!AB191,役職一覧!$B:$D,2,FALSE),"")</f>
        <v/>
      </c>
      <c r="AC161" s="17" t="str">
        <f>IFERROR(VLOOKUP(シフト組み!AC191,役職一覧!$B:$D,2,FALSE),"")</f>
        <v/>
      </c>
      <c r="AD161" s="17" t="str">
        <f>IFERROR(VLOOKUP(シフト組み!AD191,役職一覧!$B:$D,2,FALSE),"")</f>
        <v/>
      </c>
      <c r="AE161" s="17" t="str">
        <f>IFERROR(VLOOKUP(シフト組み!AE191,役職一覧!$B:$D,2,FALSE),"")</f>
        <v/>
      </c>
      <c r="AF161" s="17" t="str">
        <f>IFERROR(VLOOKUP(シフト組み!AF191,役職一覧!$B:$D,2,FALSE),"")</f>
        <v/>
      </c>
      <c r="AG161" s="17" t="str">
        <f>IFERROR(VLOOKUP(シフト組み!AG191,役職一覧!$B:$D,2,FALSE),"")</f>
        <v/>
      </c>
      <c r="AH161" s="17" t="str">
        <f>IFERROR(VLOOKUP(シフト組み!AH191,役職一覧!$B:$D,2,FALSE),"")</f>
        <v/>
      </c>
      <c r="AI161" s="17" t="str">
        <f>IFERROR(VLOOKUP(シフト組み!AI191,役職一覧!$B:$D,2,FALSE),"")</f>
        <v/>
      </c>
      <c r="AJ161" s="17" t="str">
        <f>IFERROR(VLOOKUP(シフト組み!AJ191,役職一覧!$B:$D,2,FALSE),"")</f>
        <v/>
      </c>
      <c r="AK161" s="17" t="str">
        <f>IFERROR(VLOOKUP(シフト組み!AK191,役職一覧!$B:$D,2,FALSE),"")</f>
        <v/>
      </c>
      <c r="AL161" s="17" t="str">
        <f>IFERROR(VLOOKUP(シフト組み!AL191,役職一覧!$B:$D,2,FALSE),"")</f>
        <v/>
      </c>
      <c r="AM161" s="17" t="str">
        <f>IFERROR(VLOOKUP(シフト組み!AM191,役職一覧!$B:$D,2,FALSE),"")</f>
        <v/>
      </c>
      <c r="AN161" s="17" t="str">
        <f>IFERROR(VLOOKUP(シフト組み!AN191,役職一覧!$B:$D,2,FALSE),"")</f>
        <v/>
      </c>
      <c r="AO161" s="17" t="str">
        <f>IFERROR(VLOOKUP(シフト組み!AO191,役職一覧!$B:$D,2,FALSE),"")</f>
        <v/>
      </c>
      <c r="AP161" s="17" t="str">
        <f>IFERROR(VLOOKUP(シフト組み!AP191,役職一覧!$B:$D,2,FALSE),"")</f>
        <v/>
      </c>
      <c r="AQ161" s="17" t="str">
        <f>IFERROR(VLOOKUP(シフト組み!AQ191,役職一覧!$B:$D,2,FALSE),"")</f>
        <v/>
      </c>
      <c r="AR161" s="17" t="str">
        <f>IFERROR(VLOOKUP(シフト組み!AR191,役職一覧!$B:$D,2,FALSE),"")</f>
        <v/>
      </c>
      <c r="AS161" s="17" t="str">
        <f>IFERROR(VLOOKUP(シフト組み!AS191,役職一覧!$B:$D,2,FALSE),"")</f>
        <v/>
      </c>
      <c r="AT161" s="17" t="str">
        <f>IFERROR(VLOOKUP(シフト組み!AT191,役職一覧!$B:$D,2,FALSE),"")</f>
        <v/>
      </c>
      <c r="AU161" s="17" t="str">
        <f>IFERROR(VLOOKUP(シフト組み!AU191,役職一覧!$B:$D,2,FALSE),"")</f>
        <v/>
      </c>
      <c r="AV161" s="17" t="str">
        <f>IFERROR(VLOOKUP(シフト組み!AV191,役職一覧!$B:$D,2,FALSE),"")</f>
        <v/>
      </c>
      <c r="AW161" s="17" t="str">
        <f>IFERROR(VLOOKUP(シフト組み!AW191,役職一覧!$B:$D,2,FALSE),"")</f>
        <v/>
      </c>
      <c r="AX161" s="17" t="str">
        <f>IFERROR(VLOOKUP(シフト組み!AX191,役職一覧!$B:$D,2,FALSE),"")</f>
        <v/>
      </c>
      <c r="AY161" s="17" t="str">
        <f>IFERROR(VLOOKUP(シフト組み!AY191,役職一覧!$B:$D,2,FALSE),"")</f>
        <v/>
      </c>
      <c r="AZ161" s="17" t="str">
        <f>IFERROR(VLOOKUP(シフト組み!AZ191,役職一覧!$B:$D,2,FALSE),"")</f>
        <v/>
      </c>
      <c r="BA161" s="17" t="str">
        <f>IFERROR(VLOOKUP(シフト組み!BA191,役職一覧!$B:$D,2,FALSE),"")</f>
        <v/>
      </c>
    </row>
    <row r="162" spans="1:53">
      <c r="A162" s="2" t="str">
        <f>シフト組み!A192&amp;""</f>
        <v/>
      </c>
      <c r="B162" s="2" t="str">
        <f>シフト組み!B192&amp;""</f>
        <v/>
      </c>
      <c r="C162" s="2" t="str">
        <f>シフト組み!C192&amp;""</f>
        <v/>
      </c>
      <c r="D162" s="17" t="str">
        <f>IFERROR(VLOOKUP(シフト組み!D192,役職一覧!$B:$D,2,FALSE),"")</f>
        <v/>
      </c>
      <c r="E162" s="17" t="str">
        <f>IFERROR(VLOOKUP(シフト組み!E192,役職一覧!$B:$D,2,FALSE),"")</f>
        <v/>
      </c>
      <c r="F162" s="17" t="str">
        <f>IFERROR(VLOOKUP(シフト組み!F192,役職一覧!$B:$D,2,FALSE),"")</f>
        <v/>
      </c>
      <c r="G162" s="17" t="str">
        <f>IFERROR(VLOOKUP(シフト組み!G192,役職一覧!$B:$D,2,FALSE),"")</f>
        <v/>
      </c>
      <c r="H162" s="17" t="str">
        <f>IFERROR(VLOOKUP(シフト組み!H192,役職一覧!$B:$D,2,FALSE),"")</f>
        <v/>
      </c>
      <c r="I162" s="17" t="str">
        <f>IFERROR(VLOOKUP(シフト組み!I192,役職一覧!$B:$D,2,FALSE),"")</f>
        <v/>
      </c>
      <c r="J162" s="17" t="str">
        <f>IFERROR(VLOOKUP(シフト組み!J192,役職一覧!$B:$D,2,FALSE),"")</f>
        <v/>
      </c>
      <c r="K162" s="17" t="str">
        <f>IFERROR(VLOOKUP(シフト組み!K192,役職一覧!$B:$D,2,FALSE),"")</f>
        <v/>
      </c>
      <c r="L162" s="17" t="str">
        <f>IFERROR(VLOOKUP(シフト組み!L192,役職一覧!$B:$D,2,FALSE),"")</f>
        <v/>
      </c>
      <c r="M162" s="17" t="str">
        <f>IFERROR(VLOOKUP(シフト組み!M192,役職一覧!$B:$D,2,FALSE),"")</f>
        <v/>
      </c>
      <c r="N162" s="17" t="str">
        <f>IFERROR(VLOOKUP(シフト組み!N192,役職一覧!$B:$D,2,FALSE),"")</f>
        <v/>
      </c>
      <c r="O162" s="17" t="str">
        <f>IFERROR(VLOOKUP(シフト組み!O192,役職一覧!$B:$D,2,FALSE),"")</f>
        <v/>
      </c>
      <c r="P162" s="17" t="str">
        <f>IFERROR(VLOOKUP(シフト組み!P192,役職一覧!$B:$D,2,FALSE),"")</f>
        <v/>
      </c>
      <c r="Q162" s="17" t="str">
        <f>IFERROR(VLOOKUP(シフト組み!Q192,役職一覧!$B:$D,2,FALSE),"")</f>
        <v/>
      </c>
      <c r="R162" s="17" t="str">
        <f>IFERROR(VLOOKUP(シフト組み!R192,役職一覧!$B:$D,2,FALSE),"")</f>
        <v/>
      </c>
      <c r="S162" s="17" t="str">
        <f>IFERROR(VLOOKUP(シフト組み!S192,役職一覧!$B:$D,2,FALSE),"")</f>
        <v/>
      </c>
      <c r="T162" s="17" t="str">
        <f>IFERROR(VLOOKUP(シフト組み!T192,役職一覧!$B:$D,2,FALSE),"")</f>
        <v/>
      </c>
      <c r="U162" s="17" t="str">
        <f>IFERROR(VLOOKUP(シフト組み!U192,役職一覧!$B:$D,2,FALSE),"")</f>
        <v/>
      </c>
      <c r="V162" s="17" t="str">
        <f>IFERROR(VLOOKUP(シフト組み!V192,役職一覧!$B:$D,2,FALSE),"")</f>
        <v/>
      </c>
      <c r="W162" s="17" t="str">
        <f>IFERROR(VLOOKUP(シフト組み!W192,役職一覧!$B:$D,2,FALSE),"")</f>
        <v/>
      </c>
      <c r="X162" s="17" t="str">
        <f>IFERROR(VLOOKUP(シフト組み!X192,役職一覧!$B:$D,2,FALSE),"")</f>
        <v/>
      </c>
      <c r="Y162" s="17" t="str">
        <f>IFERROR(VLOOKUP(シフト組み!Y192,役職一覧!$B:$D,2,FALSE),"")</f>
        <v/>
      </c>
      <c r="Z162" s="17" t="str">
        <f>IFERROR(VLOOKUP(シフト組み!Z192,役職一覧!$B:$D,2,FALSE),"")</f>
        <v/>
      </c>
      <c r="AA162" s="17" t="str">
        <f>IFERROR(VLOOKUP(シフト組み!AA192,役職一覧!$B:$D,2,FALSE),"")</f>
        <v/>
      </c>
      <c r="AB162" s="17" t="str">
        <f>IFERROR(VLOOKUP(シフト組み!AB192,役職一覧!$B:$D,2,FALSE),"")</f>
        <v/>
      </c>
      <c r="AC162" s="17" t="str">
        <f>IFERROR(VLOOKUP(シフト組み!AC192,役職一覧!$B:$D,2,FALSE),"")</f>
        <v/>
      </c>
      <c r="AD162" s="17" t="str">
        <f>IFERROR(VLOOKUP(シフト組み!AD192,役職一覧!$B:$D,2,FALSE),"")</f>
        <v/>
      </c>
      <c r="AE162" s="17" t="str">
        <f>IFERROR(VLOOKUP(シフト組み!AE192,役職一覧!$B:$D,2,FALSE),"")</f>
        <v/>
      </c>
      <c r="AF162" s="17" t="str">
        <f>IFERROR(VLOOKUP(シフト組み!AF192,役職一覧!$B:$D,2,FALSE),"")</f>
        <v/>
      </c>
      <c r="AG162" s="17" t="str">
        <f>IFERROR(VLOOKUP(シフト組み!AG192,役職一覧!$B:$D,2,FALSE),"")</f>
        <v/>
      </c>
      <c r="AH162" s="17" t="str">
        <f>IFERROR(VLOOKUP(シフト組み!AH192,役職一覧!$B:$D,2,FALSE),"")</f>
        <v/>
      </c>
      <c r="AI162" s="17" t="str">
        <f>IFERROR(VLOOKUP(シフト組み!AI192,役職一覧!$B:$D,2,FALSE),"")</f>
        <v/>
      </c>
      <c r="AJ162" s="17" t="str">
        <f>IFERROR(VLOOKUP(シフト組み!AJ192,役職一覧!$B:$D,2,FALSE),"")</f>
        <v/>
      </c>
      <c r="AK162" s="17" t="str">
        <f>IFERROR(VLOOKUP(シフト組み!AK192,役職一覧!$B:$D,2,FALSE),"")</f>
        <v/>
      </c>
      <c r="AL162" s="17" t="str">
        <f>IFERROR(VLOOKUP(シフト組み!AL192,役職一覧!$B:$D,2,FALSE),"")</f>
        <v/>
      </c>
      <c r="AM162" s="17" t="str">
        <f>IFERROR(VLOOKUP(シフト組み!AM192,役職一覧!$B:$D,2,FALSE),"")</f>
        <v/>
      </c>
      <c r="AN162" s="17" t="str">
        <f>IFERROR(VLOOKUP(シフト組み!AN192,役職一覧!$B:$D,2,FALSE),"")</f>
        <v/>
      </c>
      <c r="AO162" s="17" t="str">
        <f>IFERROR(VLOOKUP(シフト組み!AO192,役職一覧!$B:$D,2,FALSE),"")</f>
        <v/>
      </c>
      <c r="AP162" s="17" t="str">
        <f>IFERROR(VLOOKUP(シフト組み!AP192,役職一覧!$B:$D,2,FALSE),"")</f>
        <v/>
      </c>
      <c r="AQ162" s="17" t="str">
        <f>IFERROR(VLOOKUP(シフト組み!AQ192,役職一覧!$B:$D,2,FALSE),"")</f>
        <v/>
      </c>
      <c r="AR162" s="17" t="str">
        <f>IFERROR(VLOOKUP(シフト組み!AR192,役職一覧!$B:$D,2,FALSE),"")</f>
        <v/>
      </c>
      <c r="AS162" s="17" t="str">
        <f>IFERROR(VLOOKUP(シフト組み!AS192,役職一覧!$B:$D,2,FALSE),"")</f>
        <v/>
      </c>
      <c r="AT162" s="17" t="str">
        <f>IFERROR(VLOOKUP(シフト組み!AT192,役職一覧!$B:$D,2,FALSE),"")</f>
        <v/>
      </c>
      <c r="AU162" s="17" t="str">
        <f>IFERROR(VLOOKUP(シフト組み!AU192,役職一覧!$B:$D,2,FALSE),"")</f>
        <v/>
      </c>
      <c r="AV162" s="17" t="str">
        <f>IFERROR(VLOOKUP(シフト組み!AV192,役職一覧!$B:$D,2,FALSE),"")</f>
        <v/>
      </c>
      <c r="AW162" s="17" t="str">
        <f>IFERROR(VLOOKUP(シフト組み!AW192,役職一覧!$B:$D,2,FALSE),"")</f>
        <v/>
      </c>
      <c r="AX162" s="17" t="str">
        <f>IFERROR(VLOOKUP(シフト組み!AX192,役職一覧!$B:$D,2,FALSE),"")</f>
        <v/>
      </c>
      <c r="AY162" s="17" t="str">
        <f>IFERROR(VLOOKUP(シフト組み!AY192,役職一覧!$B:$D,2,FALSE),"")</f>
        <v/>
      </c>
      <c r="AZ162" s="17" t="str">
        <f>IFERROR(VLOOKUP(シフト組み!AZ192,役職一覧!$B:$D,2,FALSE),"")</f>
        <v/>
      </c>
      <c r="BA162" s="17" t="str">
        <f>IFERROR(VLOOKUP(シフト組み!BA192,役職一覧!$B:$D,2,FALSE),"")</f>
        <v/>
      </c>
    </row>
    <row r="163" spans="1:53">
      <c r="A163" s="2" t="str">
        <f>シフト組み!A193&amp;""</f>
        <v/>
      </c>
      <c r="B163" s="2" t="str">
        <f>シフト組み!B193&amp;""</f>
        <v/>
      </c>
      <c r="C163" s="2" t="str">
        <f>シフト組み!C193&amp;""</f>
        <v/>
      </c>
      <c r="D163" s="17" t="str">
        <f>IFERROR(VLOOKUP(シフト組み!D193,役職一覧!$B:$D,2,FALSE),"")</f>
        <v/>
      </c>
      <c r="E163" s="17" t="str">
        <f>IFERROR(VLOOKUP(シフト組み!E193,役職一覧!$B:$D,2,FALSE),"")</f>
        <v/>
      </c>
      <c r="F163" s="17" t="str">
        <f>IFERROR(VLOOKUP(シフト組み!F193,役職一覧!$B:$D,2,FALSE),"")</f>
        <v/>
      </c>
      <c r="G163" s="17" t="str">
        <f>IFERROR(VLOOKUP(シフト組み!G193,役職一覧!$B:$D,2,FALSE),"")</f>
        <v/>
      </c>
      <c r="H163" s="17" t="str">
        <f>IFERROR(VLOOKUP(シフト組み!H193,役職一覧!$B:$D,2,FALSE),"")</f>
        <v/>
      </c>
      <c r="I163" s="17" t="str">
        <f>IFERROR(VLOOKUP(シフト組み!I193,役職一覧!$B:$D,2,FALSE),"")</f>
        <v/>
      </c>
      <c r="J163" s="17" t="str">
        <f>IFERROR(VLOOKUP(シフト組み!J193,役職一覧!$B:$D,2,FALSE),"")</f>
        <v/>
      </c>
      <c r="K163" s="17" t="str">
        <f>IFERROR(VLOOKUP(シフト組み!K193,役職一覧!$B:$D,2,FALSE),"")</f>
        <v/>
      </c>
      <c r="L163" s="17" t="str">
        <f>IFERROR(VLOOKUP(シフト組み!L193,役職一覧!$B:$D,2,FALSE),"")</f>
        <v/>
      </c>
      <c r="M163" s="17" t="str">
        <f>IFERROR(VLOOKUP(シフト組み!M193,役職一覧!$B:$D,2,FALSE),"")</f>
        <v/>
      </c>
      <c r="N163" s="17" t="str">
        <f>IFERROR(VLOOKUP(シフト組み!N193,役職一覧!$B:$D,2,FALSE),"")</f>
        <v/>
      </c>
      <c r="O163" s="17" t="str">
        <f>IFERROR(VLOOKUP(シフト組み!O193,役職一覧!$B:$D,2,FALSE),"")</f>
        <v/>
      </c>
      <c r="P163" s="17" t="str">
        <f>IFERROR(VLOOKUP(シフト組み!P193,役職一覧!$B:$D,2,FALSE),"")</f>
        <v/>
      </c>
      <c r="Q163" s="17" t="str">
        <f>IFERROR(VLOOKUP(シフト組み!Q193,役職一覧!$B:$D,2,FALSE),"")</f>
        <v/>
      </c>
      <c r="R163" s="17" t="str">
        <f>IFERROR(VLOOKUP(シフト組み!R193,役職一覧!$B:$D,2,FALSE),"")</f>
        <v/>
      </c>
      <c r="S163" s="17" t="str">
        <f>IFERROR(VLOOKUP(シフト組み!S193,役職一覧!$B:$D,2,FALSE),"")</f>
        <v/>
      </c>
      <c r="T163" s="17" t="str">
        <f>IFERROR(VLOOKUP(シフト組み!T193,役職一覧!$B:$D,2,FALSE),"")</f>
        <v/>
      </c>
      <c r="U163" s="17" t="str">
        <f>IFERROR(VLOOKUP(シフト組み!U193,役職一覧!$B:$D,2,FALSE),"")</f>
        <v/>
      </c>
      <c r="V163" s="17" t="str">
        <f>IFERROR(VLOOKUP(シフト組み!V193,役職一覧!$B:$D,2,FALSE),"")</f>
        <v/>
      </c>
      <c r="W163" s="17" t="str">
        <f>IFERROR(VLOOKUP(シフト組み!W193,役職一覧!$B:$D,2,FALSE),"")</f>
        <v/>
      </c>
      <c r="X163" s="17" t="str">
        <f>IFERROR(VLOOKUP(シフト組み!X193,役職一覧!$B:$D,2,FALSE),"")</f>
        <v/>
      </c>
      <c r="Y163" s="17" t="str">
        <f>IFERROR(VLOOKUP(シフト組み!Y193,役職一覧!$B:$D,2,FALSE),"")</f>
        <v/>
      </c>
      <c r="Z163" s="17" t="str">
        <f>IFERROR(VLOOKUP(シフト組み!Z193,役職一覧!$B:$D,2,FALSE),"")</f>
        <v/>
      </c>
      <c r="AA163" s="17" t="str">
        <f>IFERROR(VLOOKUP(シフト組み!AA193,役職一覧!$B:$D,2,FALSE),"")</f>
        <v/>
      </c>
      <c r="AB163" s="17" t="str">
        <f>IFERROR(VLOOKUP(シフト組み!AB193,役職一覧!$B:$D,2,FALSE),"")</f>
        <v/>
      </c>
      <c r="AC163" s="17" t="str">
        <f>IFERROR(VLOOKUP(シフト組み!AC193,役職一覧!$B:$D,2,FALSE),"")</f>
        <v/>
      </c>
      <c r="AD163" s="17" t="str">
        <f>IFERROR(VLOOKUP(シフト組み!AD193,役職一覧!$B:$D,2,FALSE),"")</f>
        <v/>
      </c>
      <c r="AE163" s="17" t="str">
        <f>IFERROR(VLOOKUP(シフト組み!AE193,役職一覧!$B:$D,2,FALSE),"")</f>
        <v/>
      </c>
      <c r="AF163" s="17" t="str">
        <f>IFERROR(VLOOKUP(シフト組み!AF193,役職一覧!$B:$D,2,FALSE),"")</f>
        <v/>
      </c>
      <c r="AG163" s="17" t="str">
        <f>IFERROR(VLOOKUP(シフト組み!AG193,役職一覧!$B:$D,2,FALSE),"")</f>
        <v/>
      </c>
      <c r="AH163" s="17" t="str">
        <f>IFERROR(VLOOKUP(シフト組み!AH193,役職一覧!$B:$D,2,FALSE),"")</f>
        <v/>
      </c>
      <c r="AI163" s="17" t="str">
        <f>IFERROR(VLOOKUP(シフト組み!AI193,役職一覧!$B:$D,2,FALSE),"")</f>
        <v/>
      </c>
      <c r="AJ163" s="17" t="str">
        <f>IFERROR(VLOOKUP(シフト組み!AJ193,役職一覧!$B:$D,2,FALSE),"")</f>
        <v/>
      </c>
      <c r="AK163" s="17" t="str">
        <f>IFERROR(VLOOKUP(シフト組み!AK193,役職一覧!$B:$D,2,FALSE),"")</f>
        <v/>
      </c>
      <c r="AL163" s="17" t="str">
        <f>IFERROR(VLOOKUP(シフト組み!AL193,役職一覧!$B:$D,2,FALSE),"")</f>
        <v/>
      </c>
      <c r="AM163" s="17" t="str">
        <f>IFERROR(VLOOKUP(シフト組み!AM193,役職一覧!$B:$D,2,FALSE),"")</f>
        <v/>
      </c>
      <c r="AN163" s="17" t="str">
        <f>IFERROR(VLOOKUP(シフト組み!AN193,役職一覧!$B:$D,2,FALSE),"")</f>
        <v/>
      </c>
      <c r="AO163" s="17" t="str">
        <f>IFERROR(VLOOKUP(シフト組み!AO193,役職一覧!$B:$D,2,FALSE),"")</f>
        <v/>
      </c>
      <c r="AP163" s="17" t="str">
        <f>IFERROR(VLOOKUP(シフト組み!AP193,役職一覧!$B:$D,2,FALSE),"")</f>
        <v/>
      </c>
      <c r="AQ163" s="17" t="str">
        <f>IFERROR(VLOOKUP(シフト組み!AQ193,役職一覧!$B:$D,2,FALSE),"")</f>
        <v/>
      </c>
      <c r="AR163" s="17" t="str">
        <f>IFERROR(VLOOKUP(シフト組み!AR193,役職一覧!$B:$D,2,FALSE),"")</f>
        <v/>
      </c>
      <c r="AS163" s="17" t="str">
        <f>IFERROR(VLOOKUP(シフト組み!AS193,役職一覧!$B:$D,2,FALSE),"")</f>
        <v/>
      </c>
      <c r="AT163" s="17" t="str">
        <f>IFERROR(VLOOKUP(シフト組み!AT193,役職一覧!$B:$D,2,FALSE),"")</f>
        <v/>
      </c>
      <c r="AU163" s="17" t="str">
        <f>IFERROR(VLOOKUP(シフト組み!AU193,役職一覧!$B:$D,2,FALSE),"")</f>
        <v/>
      </c>
      <c r="AV163" s="17" t="str">
        <f>IFERROR(VLOOKUP(シフト組み!AV193,役職一覧!$B:$D,2,FALSE),"")</f>
        <v/>
      </c>
      <c r="AW163" s="17" t="str">
        <f>IFERROR(VLOOKUP(シフト組み!AW193,役職一覧!$B:$D,2,FALSE),"")</f>
        <v/>
      </c>
      <c r="AX163" s="17" t="str">
        <f>IFERROR(VLOOKUP(シフト組み!AX193,役職一覧!$B:$D,2,FALSE),"")</f>
        <v/>
      </c>
      <c r="AY163" s="17" t="str">
        <f>IFERROR(VLOOKUP(シフト組み!AY193,役職一覧!$B:$D,2,FALSE),"")</f>
        <v/>
      </c>
      <c r="AZ163" s="17" t="str">
        <f>IFERROR(VLOOKUP(シフト組み!AZ193,役職一覧!$B:$D,2,FALSE),"")</f>
        <v/>
      </c>
      <c r="BA163" s="17" t="str">
        <f>IFERROR(VLOOKUP(シフト組み!BA193,役職一覧!$B:$D,2,FALSE),"")</f>
        <v/>
      </c>
    </row>
    <row r="164" spans="1:53">
      <c r="A164" s="2" t="str">
        <f>シフト組み!A194&amp;""</f>
        <v/>
      </c>
      <c r="B164" s="2" t="str">
        <f>シフト組み!B194&amp;""</f>
        <v/>
      </c>
      <c r="C164" s="2" t="str">
        <f>シフト組み!C194&amp;""</f>
        <v/>
      </c>
      <c r="D164" s="17" t="str">
        <f>IFERROR(VLOOKUP(シフト組み!D194,役職一覧!$B:$D,2,FALSE),"")</f>
        <v/>
      </c>
      <c r="E164" s="17" t="str">
        <f>IFERROR(VLOOKUP(シフト組み!E194,役職一覧!$B:$D,2,FALSE),"")</f>
        <v/>
      </c>
      <c r="F164" s="17" t="str">
        <f>IFERROR(VLOOKUP(シフト組み!F194,役職一覧!$B:$D,2,FALSE),"")</f>
        <v/>
      </c>
      <c r="G164" s="17" t="str">
        <f>IFERROR(VLOOKUP(シフト組み!G194,役職一覧!$B:$D,2,FALSE),"")</f>
        <v/>
      </c>
      <c r="H164" s="17" t="str">
        <f>IFERROR(VLOOKUP(シフト組み!H194,役職一覧!$B:$D,2,FALSE),"")</f>
        <v/>
      </c>
      <c r="I164" s="17" t="str">
        <f>IFERROR(VLOOKUP(シフト組み!I194,役職一覧!$B:$D,2,FALSE),"")</f>
        <v/>
      </c>
      <c r="J164" s="17" t="str">
        <f>IFERROR(VLOOKUP(シフト組み!J194,役職一覧!$B:$D,2,FALSE),"")</f>
        <v/>
      </c>
      <c r="K164" s="17" t="str">
        <f>IFERROR(VLOOKUP(シフト組み!K194,役職一覧!$B:$D,2,FALSE),"")</f>
        <v/>
      </c>
      <c r="L164" s="17" t="str">
        <f>IFERROR(VLOOKUP(シフト組み!L194,役職一覧!$B:$D,2,FALSE),"")</f>
        <v/>
      </c>
      <c r="M164" s="17" t="str">
        <f>IFERROR(VLOOKUP(シフト組み!M194,役職一覧!$B:$D,2,FALSE),"")</f>
        <v/>
      </c>
      <c r="N164" s="17" t="str">
        <f>IFERROR(VLOOKUP(シフト組み!N194,役職一覧!$B:$D,2,FALSE),"")</f>
        <v/>
      </c>
      <c r="O164" s="17" t="str">
        <f>IFERROR(VLOOKUP(シフト組み!O194,役職一覧!$B:$D,2,FALSE),"")</f>
        <v/>
      </c>
      <c r="P164" s="17" t="str">
        <f>IFERROR(VLOOKUP(シフト組み!P194,役職一覧!$B:$D,2,FALSE),"")</f>
        <v/>
      </c>
      <c r="Q164" s="17" t="str">
        <f>IFERROR(VLOOKUP(シフト組み!Q194,役職一覧!$B:$D,2,FALSE),"")</f>
        <v/>
      </c>
      <c r="R164" s="17" t="str">
        <f>IFERROR(VLOOKUP(シフト組み!R194,役職一覧!$B:$D,2,FALSE),"")</f>
        <v/>
      </c>
      <c r="S164" s="17" t="str">
        <f>IFERROR(VLOOKUP(シフト組み!S194,役職一覧!$B:$D,2,FALSE),"")</f>
        <v/>
      </c>
      <c r="T164" s="17" t="str">
        <f>IFERROR(VLOOKUP(シフト組み!T194,役職一覧!$B:$D,2,FALSE),"")</f>
        <v/>
      </c>
      <c r="U164" s="17" t="str">
        <f>IFERROR(VLOOKUP(シフト組み!U194,役職一覧!$B:$D,2,FALSE),"")</f>
        <v/>
      </c>
      <c r="V164" s="17" t="str">
        <f>IFERROR(VLOOKUP(シフト組み!V194,役職一覧!$B:$D,2,FALSE),"")</f>
        <v/>
      </c>
      <c r="W164" s="17" t="str">
        <f>IFERROR(VLOOKUP(シフト組み!W194,役職一覧!$B:$D,2,FALSE),"")</f>
        <v/>
      </c>
      <c r="X164" s="17" t="str">
        <f>IFERROR(VLOOKUP(シフト組み!X194,役職一覧!$B:$D,2,FALSE),"")</f>
        <v/>
      </c>
      <c r="Y164" s="17" t="str">
        <f>IFERROR(VLOOKUP(シフト組み!Y194,役職一覧!$B:$D,2,FALSE),"")</f>
        <v/>
      </c>
      <c r="Z164" s="17" t="str">
        <f>IFERROR(VLOOKUP(シフト組み!Z194,役職一覧!$B:$D,2,FALSE),"")</f>
        <v/>
      </c>
      <c r="AA164" s="17" t="str">
        <f>IFERROR(VLOOKUP(シフト組み!AA194,役職一覧!$B:$D,2,FALSE),"")</f>
        <v/>
      </c>
      <c r="AB164" s="17" t="str">
        <f>IFERROR(VLOOKUP(シフト組み!AB194,役職一覧!$B:$D,2,FALSE),"")</f>
        <v/>
      </c>
      <c r="AC164" s="17" t="str">
        <f>IFERROR(VLOOKUP(シフト組み!AC194,役職一覧!$B:$D,2,FALSE),"")</f>
        <v/>
      </c>
      <c r="AD164" s="17" t="str">
        <f>IFERROR(VLOOKUP(シフト組み!AD194,役職一覧!$B:$D,2,FALSE),"")</f>
        <v/>
      </c>
      <c r="AE164" s="17" t="str">
        <f>IFERROR(VLOOKUP(シフト組み!AE194,役職一覧!$B:$D,2,FALSE),"")</f>
        <v/>
      </c>
      <c r="AF164" s="17" t="str">
        <f>IFERROR(VLOOKUP(シフト組み!AF194,役職一覧!$B:$D,2,FALSE),"")</f>
        <v/>
      </c>
      <c r="AG164" s="17" t="str">
        <f>IFERROR(VLOOKUP(シフト組み!AG194,役職一覧!$B:$D,2,FALSE),"")</f>
        <v/>
      </c>
      <c r="AH164" s="17" t="str">
        <f>IFERROR(VLOOKUP(シフト組み!AH194,役職一覧!$B:$D,2,FALSE),"")</f>
        <v/>
      </c>
      <c r="AI164" s="17" t="str">
        <f>IFERROR(VLOOKUP(シフト組み!AI194,役職一覧!$B:$D,2,FALSE),"")</f>
        <v/>
      </c>
      <c r="AJ164" s="17" t="str">
        <f>IFERROR(VLOOKUP(シフト組み!AJ194,役職一覧!$B:$D,2,FALSE),"")</f>
        <v/>
      </c>
      <c r="AK164" s="17" t="str">
        <f>IFERROR(VLOOKUP(シフト組み!AK194,役職一覧!$B:$D,2,FALSE),"")</f>
        <v/>
      </c>
      <c r="AL164" s="17" t="str">
        <f>IFERROR(VLOOKUP(シフト組み!AL194,役職一覧!$B:$D,2,FALSE),"")</f>
        <v/>
      </c>
      <c r="AM164" s="17" t="str">
        <f>IFERROR(VLOOKUP(シフト組み!AM194,役職一覧!$B:$D,2,FALSE),"")</f>
        <v/>
      </c>
      <c r="AN164" s="17" t="str">
        <f>IFERROR(VLOOKUP(シフト組み!AN194,役職一覧!$B:$D,2,FALSE),"")</f>
        <v/>
      </c>
      <c r="AO164" s="17" t="str">
        <f>IFERROR(VLOOKUP(シフト組み!AO194,役職一覧!$B:$D,2,FALSE),"")</f>
        <v/>
      </c>
      <c r="AP164" s="17" t="str">
        <f>IFERROR(VLOOKUP(シフト組み!AP194,役職一覧!$B:$D,2,FALSE),"")</f>
        <v/>
      </c>
      <c r="AQ164" s="17" t="str">
        <f>IFERROR(VLOOKUP(シフト組み!AQ194,役職一覧!$B:$D,2,FALSE),"")</f>
        <v/>
      </c>
      <c r="AR164" s="17" t="str">
        <f>IFERROR(VLOOKUP(シフト組み!AR194,役職一覧!$B:$D,2,FALSE),"")</f>
        <v/>
      </c>
      <c r="AS164" s="17" t="str">
        <f>IFERROR(VLOOKUP(シフト組み!AS194,役職一覧!$B:$D,2,FALSE),"")</f>
        <v/>
      </c>
      <c r="AT164" s="17" t="str">
        <f>IFERROR(VLOOKUP(シフト組み!AT194,役職一覧!$B:$D,2,FALSE),"")</f>
        <v/>
      </c>
      <c r="AU164" s="17" t="str">
        <f>IFERROR(VLOOKUP(シフト組み!AU194,役職一覧!$B:$D,2,FALSE),"")</f>
        <v/>
      </c>
      <c r="AV164" s="17" t="str">
        <f>IFERROR(VLOOKUP(シフト組み!AV194,役職一覧!$B:$D,2,FALSE),"")</f>
        <v/>
      </c>
      <c r="AW164" s="17" t="str">
        <f>IFERROR(VLOOKUP(シフト組み!AW194,役職一覧!$B:$D,2,FALSE),"")</f>
        <v/>
      </c>
      <c r="AX164" s="17" t="str">
        <f>IFERROR(VLOOKUP(シフト組み!AX194,役職一覧!$B:$D,2,FALSE),"")</f>
        <v/>
      </c>
      <c r="AY164" s="17" t="str">
        <f>IFERROR(VLOOKUP(シフト組み!AY194,役職一覧!$B:$D,2,FALSE),"")</f>
        <v/>
      </c>
      <c r="AZ164" s="17" t="str">
        <f>IFERROR(VLOOKUP(シフト組み!AZ194,役職一覧!$B:$D,2,FALSE),"")</f>
        <v/>
      </c>
      <c r="BA164" s="17" t="str">
        <f>IFERROR(VLOOKUP(シフト組み!BA194,役職一覧!$B:$D,2,FALSE),"")</f>
        <v/>
      </c>
    </row>
    <row r="165" spans="1:53">
      <c r="A165" s="2" t="str">
        <f>シフト組み!A195&amp;""</f>
        <v/>
      </c>
      <c r="B165" s="2" t="str">
        <f>シフト組み!B195&amp;""</f>
        <v/>
      </c>
      <c r="C165" s="2" t="str">
        <f>シフト組み!C195&amp;""</f>
        <v/>
      </c>
      <c r="D165" s="17" t="str">
        <f>IFERROR(VLOOKUP(シフト組み!D195,役職一覧!$B:$D,2,FALSE),"")</f>
        <v/>
      </c>
      <c r="E165" s="17" t="str">
        <f>IFERROR(VLOOKUP(シフト組み!E195,役職一覧!$B:$D,2,FALSE),"")</f>
        <v/>
      </c>
      <c r="F165" s="17" t="str">
        <f>IFERROR(VLOOKUP(シフト組み!F195,役職一覧!$B:$D,2,FALSE),"")</f>
        <v/>
      </c>
      <c r="G165" s="17" t="str">
        <f>IFERROR(VLOOKUP(シフト組み!G195,役職一覧!$B:$D,2,FALSE),"")</f>
        <v/>
      </c>
      <c r="H165" s="17" t="str">
        <f>IFERROR(VLOOKUP(シフト組み!H195,役職一覧!$B:$D,2,FALSE),"")</f>
        <v/>
      </c>
      <c r="I165" s="17" t="str">
        <f>IFERROR(VLOOKUP(シフト組み!I195,役職一覧!$B:$D,2,FALSE),"")</f>
        <v/>
      </c>
      <c r="J165" s="17" t="str">
        <f>IFERROR(VLOOKUP(シフト組み!J195,役職一覧!$B:$D,2,FALSE),"")</f>
        <v/>
      </c>
      <c r="K165" s="17" t="str">
        <f>IFERROR(VLOOKUP(シフト組み!K195,役職一覧!$B:$D,2,FALSE),"")</f>
        <v/>
      </c>
      <c r="L165" s="17" t="str">
        <f>IFERROR(VLOOKUP(シフト組み!L195,役職一覧!$B:$D,2,FALSE),"")</f>
        <v/>
      </c>
      <c r="M165" s="17" t="str">
        <f>IFERROR(VLOOKUP(シフト組み!M195,役職一覧!$B:$D,2,FALSE),"")</f>
        <v/>
      </c>
      <c r="N165" s="17" t="str">
        <f>IFERROR(VLOOKUP(シフト組み!N195,役職一覧!$B:$D,2,FALSE),"")</f>
        <v/>
      </c>
      <c r="O165" s="17" t="str">
        <f>IFERROR(VLOOKUP(シフト組み!O195,役職一覧!$B:$D,2,FALSE),"")</f>
        <v/>
      </c>
      <c r="P165" s="17" t="str">
        <f>IFERROR(VLOOKUP(シフト組み!P195,役職一覧!$B:$D,2,FALSE),"")</f>
        <v/>
      </c>
      <c r="Q165" s="17" t="str">
        <f>IFERROR(VLOOKUP(シフト組み!Q195,役職一覧!$B:$D,2,FALSE),"")</f>
        <v/>
      </c>
      <c r="R165" s="17" t="str">
        <f>IFERROR(VLOOKUP(シフト組み!R195,役職一覧!$B:$D,2,FALSE),"")</f>
        <v/>
      </c>
      <c r="S165" s="17" t="str">
        <f>IFERROR(VLOOKUP(シフト組み!S195,役職一覧!$B:$D,2,FALSE),"")</f>
        <v/>
      </c>
      <c r="T165" s="17" t="str">
        <f>IFERROR(VLOOKUP(シフト組み!T195,役職一覧!$B:$D,2,FALSE),"")</f>
        <v/>
      </c>
      <c r="U165" s="17" t="str">
        <f>IFERROR(VLOOKUP(シフト組み!U195,役職一覧!$B:$D,2,FALSE),"")</f>
        <v/>
      </c>
      <c r="V165" s="17" t="str">
        <f>IFERROR(VLOOKUP(シフト組み!V195,役職一覧!$B:$D,2,FALSE),"")</f>
        <v/>
      </c>
      <c r="W165" s="17" t="str">
        <f>IFERROR(VLOOKUP(シフト組み!W195,役職一覧!$B:$D,2,FALSE),"")</f>
        <v/>
      </c>
      <c r="X165" s="17" t="str">
        <f>IFERROR(VLOOKUP(シフト組み!X195,役職一覧!$B:$D,2,FALSE),"")</f>
        <v/>
      </c>
      <c r="Y165" s="17" t="str">
        <f>IFERROR(VLOOKUP(シフト組み!Y195,役職一覧!$B:$D,2,FALSE),"")</f>
        <v/>
      </c>
      <c r="Z165" s="17" t="str">
        <f>IFERROR(VLOOKUP(シフト組み!Z195,役職一覧!$B:$D,2,FALSE),"")</f>
        <v/>
      </c>
      <c r="AA165" s="17" t="str">
        <f>IFERROR(VLOOKUP(シフト組み!AA195,役職一覧!$B:$D,2,FALSE),"")</f>
        <v/>
      </c>
      <c r="AB165" s="17" t="str">
        <f>IFERROR(VLOOKUP(シフト組み!AB195,役職一覧!$B:$D,2,FALSE),"")</f>
        <v/>
      </c>
      <c r="AC165" s="17" t="str">
        <f>IFERROR(VLOOKUP(シフト組み!AC195,役職一覧!$B:$D,2,FALSE),"")</f>
        <v/>
      </c>
      <c r="AD165" s="17" t="str">
        <f>IFERROR(VLOOKUP(シフト組み!AD195,役職一覧!$B:$D,2,FALSE),"")</f>
        <v/>
      </c>
      <c r="AE165" s="17" t="str">
        <f>IFERROR(VLOOKUP(シフト組み!AE195,役職一覧!$B:$D,2,FALSE),"")</f>
        <v/>
      </c>
      <c r="AF165" s="17" t="str">
        <f>IFERROR(VLOOKUP(シフト組み!AF195,役職一覧!$B:$D,2,FALSE),"")</f>
        <v/>
      </c>
      <c r="AG165" s="17" t="str">
        <f>IFERROR(VLOOKUP(シフト組み!AG195,役職一覧!$B:$D,2,FALSE),"")</f>
        <v/>
      </c>
      <c r="AH165" s="17" t="str">
        <f>IFERROR(VLOOKUP(シフト組み!AH195,役職一覧!$B:$D,2,FALSE),"")</f>
        <v/>
      </c>
      <c r="AI165" s="17" t="str">
        <f>IFERROR(VLOOKUP(シフト組み!AI195,役職一覧!$B:$D,2,FALSE),"")</f>
        <v/>
      </c>
      <c r="AJ165" s="17" t="str">
        <f>IFERROR(VLOOKUP(シフト組み!AJ195,役職一覧!$B:$D,2,FALSE),"")</f>
        <v/>
      </c>
      <c r="AK165" s="17" t="str">
        <f>IFERROR(VLOOKUP(シフト組み!AK195,役職一覧!$B:$D,2,FALSE),"")</f>
        <v/>
      </c>
      <c r="AL165" s="17" t="str">
        <f>IFERROR(VLOOKUP(シフト組み!AL195,役職一覧!$B:$D,2,FALSE),"")</f>
        <v/>
      </c>
      <c r="AM165" s="17" t="str">
        <f>IFERROR(VLOOKUP(シフト組み!AM195,役職一覧!$B:$D,2,FALSE),"")</f>
        <v/>
      </c>
      <c r="AN165" s="17" t="str">
        <f>IFERROR(VLOOKUP(シフト組み!AN195,役職一覧!$B:$D,2,FALSE),"")</f>
        <v/>
      </c>
      <c r="AO165" s="17" t="str">
        <f>IFERROR(VLOOKUP(シフト組み!AO195,役職一覧!$B:$D,2,FALSE),"")</f>
        <v/>
      </c>
      <c r="AP165" s="17" t="str">
        <f>IFERROR(VLOOKUP(シフト組み!AP195,役職一覧!$B:$D,2,FALSE),"")</f>
        <v/>
      </c>
      <c r="AQ165" s="17" t="str">
        <f>IFERROR(VLOOKUP(シフト組み!AQ195,役職一覧!$B:$D,2,FALSE),"")</f>
        <v/>
      </c>
      <c r="AR165" s="17" t="str">
        <f>IFERROR(VLOOKUP(シフト組み!AR195,役職一覧!$B:$D,2,FALSE),"")</f>
        <v/>
      </c>
      <c r="AS165" s="17" t="str">
        <f>IFERROR(VLOOKUP(シフト組み!AS195,役職一覧!$B:$D,2,FALSE),"")</f>
        <v/>
      </c>
      <c r="AT165" s="17" t="str">
        <f>IFERROR(VLOOKUP(シフト組み!AT195,役職一覧!$B:$D,2,FALSE),"")</f>
        <v/>
      </c>
      <c r="AU165" s="17" t="str">
        <f>IFERROR(VLOOKUP(シフト組み!AU195,役職一覧!$B:$D,2,FALSE),"")</f>
        <v/>
      </c>
      <c r="AV165" s="17" t="str">
        <f>IFERROR(VLOOKUP(シフト組み!AV195,役職一覧!$B:$D,2,FALSE),"")</f>
        <v/>
      </c>
      <c r="AW165" s="17" t="str">
        <f>IFERROR(VLOOKUP(シフト組み!AW195,役職一覧!$B:$D,2,FALSE),"")</f>
        <v/>
      </c>
      <c r="AX165" s="17" t="str">
        <f>IFERROR(VLOOKUP(シフト組み!AX195,役職一覧!$B:$D,2,FALSE),"")</f>
        <v/>
      </c>
      <c r="AY165" s="17" t="str">
        <f>IFERROR(VLOOKUP(シフト組み!AY195,役職一覧!$B:$D,2,FALSE),"")</f>
        <v/>
      </c>
      <c r="AZ165" s="17" t="str">
        <f>IFERROR(VLOOKUP(シフト組み!AZ195,役職一覧!$B:$D,2,FALSE),"")</f>
        <v/>
      </c>
      <c r="BA165" s="17" t="str">
        <f>IFERROR(VLOOKUP(シフト組み!BA195,役職一覧!$B:$D,2,FALSE),"")</f>
        <v/>
      </c>
    </row>
    <row r="166" spans="1:53">
      <c r="A166" s="2" t="str">
        <f>シフト組み!A196&amp;""</f>
        <v/>
      </c>
      <c r="B166" s="2" t="str">
        <f>シフト組み!B196&amp;""</f>
        <v/>
      </c>
      <c r="C166" s="2" t="str">
        <f>シフト組み!C196&amp;""</f>
        <v/>
      </c>
      <c r="D166" s="17" t="str">
        <f>IFERROR(VLOOKUP(シフト組み!D196,役職一覧!$B:$D,2,FALSE),"")</f>
        <v/>
      </c>
      <c r="E166" s="17" t="str">
        <f>IFERROR(VLOOKUP(シフト組み!E196,役職一覧!$B:$D,2,FALSE),"")</f>
        <v/>
      </c>
      <c r="F166" s="17" t="str">
        <f>IFERROR(VLOOKUP(シフト組み!F196,役職一覧!$B:$D,2,FALSE),"")</f>
        <v/>
      </c>
      <c r="G166" s="17" t="str">
        <f>IFERROR(VLOOKUP(シフト組み!G196,役職一覧!$B:$D,2,FALSE),"")</f>
        <v/>
      </c>
      <c r="H166" s="17" t="str">
        <f>IFERROR(VLOOKUP(シフト組み!H196,役職一覧!$B:$D,2,FALSE),"")</f>
        <v/>
      </c>
      <c r="I166" s="17" t="str">
        <f>IFERROR(VLOOKUP(シフト組み!I196,役職一覧!$B:$D,2,FALSE),"")</f>
        <v/>
      </c>
      <c r="J166" s="17" t="str">
        <f>IFERROR(VLOOKUP(シフト組み!J196,役職一覧!$B:$D,2,FALSE),"")</f>
        <v/>
      </c>
      <c r="K166" s="17" t="str">
        <f>IFERROR(VLOOKUP(シフト組み!K196,役職一覧!$B:$D,2,FALSE),"")</f>
        <v/>
      </c>
      <c r="L166" s="17" t="str">
        <f>IFERROR(VLOOKUP(シフト組み!L196,役職一覧!$B:$D,2,FALSE),"")</f>
        <v/>
      </c>
      <c r="M166" s="17" t="str">
        <f>IFERROR(VLOOKUP(シフト組み!M196,役職一覧!$B:$D,2,FALSE),"")</f>
        <v/>
      </c>
      <c r="N166" s="17" t="str">
        <f>IFERROR(VLOOKUP(シフト組み!N196,役職一覧!$B:$D,2,FALSE),"")</f>
        <v/>
      </c>
      <c r="O166" s="17" t="str">
        <f>IFERROR(VLOOKUP(シフト組み!O196,役職一覧!$B:$D,2,FALSE),"")</f>
        <v/>
      </c>
      <c r="P166" s="17" t="str">
        <f>IFERROR(VLOOKUP(シフト組み!P196,役職一覧!$B:$D,2,FALSE),"")</f>
        <v/>
      </c>
      <c r="Q166" s="17" t="str">
        <f>IFERROR(VLOOKUP(シフト組み!Q196,役職一覧!$B:$D,2,FALSE),"")</f>
        <v/>
      </c>
      <c r="R166" s="17" t="str">
        <f>IFERROR(VLOOKUP(シフト組み!R196,役職一覧!$B:$D,2,FALSE),"")</f>
        <v/>
      </c>
      <c r="S166" s="17" t="str">
        <f>IFERROR(VLOOKUP(シフト組み!S196,役職一覧!$B:$D,2,FALSE),"")</f>
        <v/>
      </c>
      <c r="T166" s="17" t="str">
        <f>IFERROR(VLOOKUP(シフト組み!T196,役職一覧!$B:$D,2,FALSE),"")</f>
        <v/>
      </c>
      <c r="U166" s="17" t="str">
        <f>IFERROR(VLOOKUP(シフト組み!U196,役職一覧!$B:$D,2,FALSE),"")</f>
        <v/>
      </c>
      <c r="V166" s="17" t="str">
        <f>IFERROR(VLOOKUP(シフト組み!V196,役職一覧!$B:$D,2,FALSE),"")</f>
        <v/>
      </c>
      <c r="W166" s="17" t="str">
        <f>IFERROR(VLOOKUP(シフト組み!W196,役職一覧!$B:$D,2,FALSE),"")</f>
        <v/>
      </c>
      <c r="X166" s="17" t="str">
        <f>IFERROR(VLOOKUP(シフト組み!X196,役職一覧!$B:$D,2,FALSE),"")</f>
        <v/>
      </c>
      <c r="Y166" s="17" t="str">
        <f>IFERROR(VLOOKUP(シフト組み!Y196,役職一覧!$B:$D,2,FALSE),"")</f>
        <v/>
      </c>
      <c r="Z166" s="17" t="str">
        <f>IFERROR(VLOOKUP(シフト組み!Z196,役職一覧!$B:$D,2,FALSE),"")</f>
        <v/>
      </c>
      <c r="AA166" s="17" t="str">
        <f>IFERROR(VLOOKUP(シフト組み!AA196,役職一覧!$B:$D,2,FALSE),"")</f>
        <v/>
      </c>
      <c r="AB166" s="17" t="str">
        <f>IFERROR(VLOOKUP(シフト組み!AB196,役職一覧!$B:$D,2,FALSE),"")</f>
        <v/>
      </c>
      <c r="AC166" s="17" t="str">
        <f>IFERROR(VLOOKUP(シフト組み!AC196,役職一覧!$B:$D,2,FALSE),"")</f>
        <v/>
      </c>
      <c r="AD166" s="17" t="str">
        <f>IFERROR(VLOOKUP(シフト組み!AD196,役職一覧!$B:$D,2,FALSE),"")</f>
        <v/>
      </c>
      <c r="AE166" s="17" t="str">
        <f>IFERROR(VLOOKUP(シフト組み!AE196,役職一覧!$B:$D,2,FALSE),"")</f>
        <v/>
      </c>
      <c r="AF166" s="17" t="str">
        <f>IFERROR(VLOOKUP(シフト組み!AF196,役職一覧!$B:$D,2,FALSE),"")</f>
        <v/>
      </c>
      <c r="AG166" s="17" t="str">
        <f>IFERROR(VLOOKUP(シフト組み!AG196,役職一覧!$B:$D,2,FALSE),"")</f>
        <v/>
      </c>
      <c r="AH166" s="17" t="str">
        <f>IFERROR(VLOOKUP(シフト組み!AH196,役職一覧!$B:$D,2,FALSE),"")</f>
        <v/>
      </c>
      <c r="AI166" s="17" t="str">
        <f>IFERROR(VLOOKUP(シフト組み!AI196,役職一覧!$B:$D,2,FALSE),"")</f>
        <v/>
      </c>
      <c r="AJ166" s="17" t="str">
        <f>IFERROR(VLOOKUP(シフト組み!AJ196,役職一覧!$B:$D,2,FALSE),"")</f>
        <v/>
      </c>
      <c r="AK166" s="17" t="str">
        <f>IFERROR(VLOOKUP(シフト組み!AK196,役職一覧!$B:$D,2,FALSE),"")</f>
        <v/>
      </c>
      <c r="AL166" s="17" t="str">
        <f>IFERROR(VLOOKUP(シフト組み!AL196,役職一覧!$B:$D,2,FALSE),"")</f>
        <v/>
      </c>
      <c r="AM166" s="17" t="str">
        <f>IFERROR(VLOOKUP(シフト組み!AM196,役職一覧!$B:$D,2,FALSE),"")</f>
        <v/>
      </c>
      <c r="AN166" s="17" t="str">
        <f>IFERROR(VLOOKUP(シフト組み!AN196,役職一覧!$B:$D,2,FALSE),"")</f>
        <v/>
      </c>
      <c r="AO166" s="17" t="str">
        <f>IFERROR(VLOOKUP(シフト組み!AO196,役職一覧!$B:$D,2,FALSE),"")</f>
        <v/>
      </c>
      <c r="AP166" s="17" t="str">
        <f>IFERROR(VLOOKUP(シフト組み!AP196,役職一覧!$B:$D,2,FALSE),"")</f>
        <v/>
      </c>
      <c r="AQ166" s="17" t="str">
        <f>IFERROR(VLOOKUP(シフト組み!AQ196,役職一覧!$B:$D,2,FALSE),"")</f>
        <v/>
      </c>
      <c r="AR166" s="17" t="str">
        <f>IFERROR(VLOOKUP(シフト組み!AR196,役職一覧!$B:$D,2,FALSE),"")</f>
        <v/>
      </c>
      <c r="AS166" s="17" t="str">
        <f>IFERROR(VLOOKUP(シフト組み!AS196,役職一覧!$B:$D,2,FALSE),"")</f>
        <v/>
      </c>
      <c r="AT166" s="17" t="str">
        <f>IFERROR(VLOOKUP(シフト組み!AT196,役職一覧!$B:$D,2,FALSE),"")</f>
        <v/>
      </c>
      <c r="AU166" s="17" t="str">
        <f>IFERROR(VLOOKUP(シフト組み!AU196,役職一覧!$B:$D,2,FALSE),"")</f>
        <v/>
      </c>
      <c r="AV166" s="17" t="str">
        <f>IFERROR(VLOOKUP(シフト組み!AV196,役職一覧!$B:$D,2,FALSE),"")</f>
        <v/>
      </c>
      <c r="AW166" s="17" t="str">
        <f>IFERROR(VLOOKUP(シフト組み!AW196,役職一覧!$B:$D,2,FALSE),"")</f>
        <v/>
      </c>
      <c r="AX166" s="17" t="str">
        <f>IFERROR(VLOOKUP(シフト組み!AX196,役職一覧!$B:$D,2,FALSE),"")</f>
        <v/>
      </c>
      <c r="AY166" s="17" t="str">
        <f>IFERROR(VLOOKUP(シフト組み!AY196,役職一覧!$B:$D,2,FALSE),"")</f>
        <v/>
      </c>
      <c r="AZ166" s="17" t="str">
        <f>IFERROR(VLOOKUP(シフト組み!AZ196,役職一覧!$B:$D,2,FALSE),"")</f>
        <v/>
      </c>
      <c r="BA166" s="17" t="str">
        <f>IFERROR(VLOOKUP(シフト組み!BA196,役職一覧!$B:$D,2,FALSE),"")</f>
        <v/>
      </c>
    </row>
    <row r="167" spans="1:53">
      <c r="A167" s="2" t="str">
        <f>シフト組み!A197&amp;""</f>
        <v/>
      </c>
      <c r="B167" s="2" t="str">
        <f>シフト組み!B197&amp;""</f>
        <v/>
      </c>
      <c r="C167" s="2" t="str">
        <f>シフト組み!C197&amp;""</f>
        <v/>
      </c>
      <c r="D167" s="17" t="str">
        <f>IFERROR(VLOOKUP(シフト組み!D197,役職一覧!$B:$D,2,FALSE),"")</f>
        <v/>
      </c>
      <c r="E167" s="17" t="str">
        <f>IFERROR(VLOOKUP(シフト組み!E197,役職一覧!$B:$D,2,FALSE),"")</f>
        <v/>
      </c>
      <c r="F167" s="17" t="str">
        <f>IFERROR(VLOOKUP(シフト組み!F197,役職一覧!$B:$D,2,FALSE),"")</f>
        <v/>
      </c>
      <c r="G167" s="17" t="str">
        <f>IFERROR(VLOOKUP(シフト組み!G197,役職一覧!$B:$D,2,FALSE),"")</f>
        <v/>
      </c>
      <c r="H167" s="17" t="str">
        <f>IFERROR(VLOOKUP(シフト組み!H197,役職一覧!$B:$D,2,FALSE),"")</f>
        <v/>
      </c>
      <c r="I167" s="17" t="str">
        <f>IFERROR(VLOOKUP(シフト組み!I197,役職一覧!$B:$D,2,FALSE),"")</f>
        <v/>
      </c>
      <c r="J167" s="17" t="str">
        <f>IFERROR(VLOOKUP(シフト組み!J197,役職一覧!$B:$D,2,FALSE),"")</f>
        <v/>
      </c>
      <c r="K167" s="17" t="str">
        <f>IFERROR(VLOOKUP(シフト組み!K197,役職一覧!$B:$D,2,FALSE),"")</f>
        <v/>
      </c>
      <c r="L167" s="17" t="str">
        <f>IFERROR(VLOOKUP(シフト組み!L197,役職一覧!$B:$D,2,FALSE),"")</f>
        <v/>
      </c>
      <c r="M167" s="17" t="str">
        <f>IFERROR(VLOOKUP(シフト組み!M197,役職一覧!$B:$D,2,FALSE),"")</f>
        <v/>
      </c>
      <c r="N167" s="17" t="str">
        <f>IFERROR(VLOOKUP(シフト組み!N197,役職一覧!$B:$D,2,FALSE),"")</f>
        <v/>
      </c>
      <c r="O167" s="17" t="str">
        <f>IFERROR(VLOOKUP(シフト組み!O197,役職一覧!$B:$D,2,FALSE),"")</f>
        <v/>
      </c>
      <c r="P167" s="17" t="str">
        <f>IFERROR(VLOOKUP(シフト組み!P197,役職一覧!$B:$D,2,FALSE),"")</f>
        <v/>
      </c>
      <c r="Q167" s="17" t="str">
        <f>IFERROR(VLOOKUP(シフト組み!Q197,役職一覧!$B:$D,2,FALSE),"")</f>
        <v/>
      </c>
      <c r="R167" s="17" t="str">
        <f>IFERROR(VLOOKUP(シフト組み!R197,役職一覧!$B:$D,2,FALSE),"")</f>
        <v/>
      </c>
      <c r="S167" s="17" t="str">
        <f>IFERROR(VLOOKUP(シフト組み!S197,役職一覧!$B:$D,2,FALSE),"")</f>
        <v/>
      </c>
      <c r="T167" s="17" t="str">
        <f>IFERROR(VLOOKUP(シフト組み!T197,役職一覧!$B:$D,2,FALSE),"")</f>
        <v/>
      </c>
      <c r="U167" s="17" t="str">
        <f>IFERROR(VLOOKUP(シフト組み!U197,役職一覧!$B:$D,2,FALSE),"")</f>
        <v/>
      </c>
      <c r="V167" s="17" t="str">
        <f>IFERROR(VLOOKUP(シフト組み!V197,役職一覧!$B:$D,2,FALSE),"")</f>
        <v/>
      </c>
      <c r="W167" s="17" t="str">
        <f>IFERROR(VLOOKUP(シフト組み!W197,役職一覧!$B:$D,2,FALSE),"")</f>
        <v/>
      </c>
      <c r="X167" s="17" t="str">
        <f>IFERROR(VLOOKUP(シフト組み!X197,役職一覧!$B:$D,2,FALSE),"")</f>
        <v/>
      </c>
      <c r="Y167" s="17" t="str">
        <f>IFERROR(VLOOKUP(シフト組み!Y197,役職一覧!$B:$D,2,FALSE),"")</f>
        <v/>
      </c>
      <c r="Z167" s="17" t="str">
        <f>IFERROR(VLOOKUP(シフト組み!Z197,役職一覧!$B:$D,2,FALSE),"")</f>
        <v/>
      </c>
      <c r="AA167" s="17" t="str">
        <f>IFERROR(VLOOKUP(シフト組み!AA197,役職一覧!$B:$D,2,FALSE),"")</f>
        <v/>
      </c>
      <c r="AB167" s="17" t="str">
        <f>IFERROR(VLOOKUP(シフト組み!AB197,役職一覧!$B:$D,2,FALSE),"")</f>
        <v/>
      </c>
      <c r="AC167" s="17" t="str">
        <f>IFERROR(VLOOKUP(シフト組み!AC197,役職一覧!$B:$D,2,FALSE),"")</f>
        <v/>
      </c>
      <c r="AD167" s="17" t="str">
        <f>IFERROR(VLOOKUP(シフト組み!AD197,役職一覧!$B:$D,2,FALSE),"")</f>
        <v/>
      </c>
      <c r="AE167" s="17" t="str">
        <f>IFERROR(VLOOKUP(シフト組み!AE197,役職一覧!$B:$D,2,FALSE),"")</f>
        <v/>
      </c>
      <c r="AF167" s="17" t="str">
        <f>IFERROR(VLOOKUP(シフト組み!AF197,役職一覧!$B:$D,2,FALSE),"")</f>
        <v/>
      </c>
      <c r="AG167" s="17" t="str">
        <f>IFERROR(VLOOKUP(シフト組み!AG197,役職一覧!$B:$D,2,FALSE),"")</f>
        <v/>
      </c>
      <c r="AH167" s="17" t="str">
        <f>IFERROR(VLOOKUP(シフト組み!AH197,役職一覧!$B:$D,2,FALSE),"")</f>
        <v/>
      </c>
      <c r="AI167" s="17" t="str">
        <f>IFERROR(VLOOKUP(シフト組み!AI197,役職一覧!$B:$D,2,FALSE),"")</f>
        <v/>
      </c>
      <c r="AJ167" s="17" t="str">
        <f>IFERROR(VLOOKUP(シフト組み!AJ197,役職一覧!$B:$D,2,FALSE),"")</f>
        <v/>
      </c>
      <c r="AK167" s="17" t="str">
        <f>IFERROR(VLOOKUP(シフト組み!AK197,役職一覧!$B:$D,2,FALSE),"")</f>
        <v/>
      </c>
      <c r="AL167" s="17" t="str">
        <f>IFERROR(VLOOKUP(シフト組み!AL197,役職一覧!$B:$D,2,FALSE),"")</f>
        <v/>
      </c>
      <c r="AM167" s="17" t="str">
        <f>IFERROR(VLOOKUP(シフト組み!AM197,役職一覧!$B:$D,2,FALSE),"")</f>
        <v/>
      </c>
      <c r="AN167" s="17" t="str">
        <f>IFERROR(VLOOKUP(シフト組み!AN197,役職一覧!$B:$D,2,FALSE),"")</f>
        <v/>
      </c>
      <c r="AO167" s="17" t="str">
        <f>IFERROR(VLOOKUP(シフト組み!AO197,役職一覧!$B:$D,2,FALSE),"")</f>
        <v/>
      </c>
      <c r="AP167" s="17" t="str">
        <f>IFERROR(VLOOKUP(シフト組み!AP197,役職一覧!$B:$D,2,FALSE),"")</f>
        <v/>
      </c>
      <c r="AQ167" s="17" t="str">
        <f>IFERROR(VLOOKUP(シフト組み!AQ197,役職一覧!$B:$D,2,FALSE),"")</f>
        <v/>
      </c>
      <c r="AR167" s="17" t="str">
        <f>IFERROR(VLOOKUP(シフト組み!AR197,役職一覧!$B:$D,2,FALSE),"")</f>
        <v/>
      </c>
      <c r="AS167" s="17" t="str">
        <f>IFERROR(VLOOKUP(シフト組み!AS197,役職一覧!$B:$D,2,FALSE),"")</f>
        <v/>
      </c>
      <c r="AT167" s="17" t="str">
        <f>IFERROR(VLOOKUP(シフト組み!AT197,役職一覧!$B:$D,2,FALSE),"")</f>
        <v/>
      </c>
      <c r="AU167" s="17" t="str">
        <f>IFERROR(VLOOKUP(シフト組み!AU197,役職一覧!$B:$D,2,FALSE),"")</f>
        <v/>
      </c>
      <c r="AV167" s="17" t="str">
        <f>IFERROR(VLOOKUP(シフト組み!AV197,役職一覧!$B:$D,2,FALSE),"")</f>
        <v/>
      </c>
      <c r="AW167" s="17" t="str">
        <f>IFERROR(VLOOKUP(シフト組み!AW197,役職一覧!$B:$D,2,FALSE),"")</f>
        <v/>
      </c>
      <c r="AX167" s="17" t="str">
        <f>IFERROR(VLOOKUP(シフト組み!AX197,役職一覧!$B:$D,2,FALSE),"")</f>
        <v/>
      </c>
      <c r="AY167" s="17" t="str">
        <f>IFERROR(VLOOKUP(シフト組み!AY197,役職一覧!$B:$D,2,FALSE),"")</f>
        <v/>
      </c>
      <c r="AZ167" s="17" t="str">
        <f>IFERROR(VLOOKUP(シフト組み!AZ197,役職一覧!$B:$D,2,FALSE),"")</f>
        <v/>
      </c>
      <c r="BA167" s="17" t="str">
        <f>IFERROR(VLOOKUP(シフト組み!BA197,役職一覧!$B:$D,2,FALSE),"")</f>
        <v/>
      </c>
    </row>
    <row r="168" spans="1:53">
      <c r="A168" s="2" t="str">
        <f>シフト組み!A198&amp;""</f>
        <v/>
      </c>
      <c r="B168" s="2" t="str">
        <f>シフト組み!B198&amp;""</f>
        <v/>
      </c>
      <c r="C168" s="2" t="str">
        <f>シフト組み!C198&amp;""</f>
        <v/>
      </c>
      <c r="D168" s="17" t="str">
        <f>IFERROR(VLOOKUP(シフト組み!D198,役職一覧!$B:$D,2,FALSE),"")</f>
        <v/>
      </c>
      <c r="E168" s="17" t="str">
        <f>IFERROR(VLOOKUP(シフト組み!E198,役職一覧!$B:$D,2,FALSE),"")</f>
        <v/>
      </c>
      <c r="F168" s="17" t="str">
        <f>IFERROR(VLOOKUP(シフト組み!F198,役職一覧!$B:$D,2,FALSE),"")</f>
        <v/>
      </c>
      <c r="G168" s="17" t="str">
        <f>IFERROR(VLOOKUP(シフト組み!G198,役職一覧!$B:$D,2,FALSE),"")</f>
        <v/>
      </c>
      <c r="H168" s="17" t="str">
        <f>IFERROR(VLOOKUP(シフト組み!H198,役職一覧!$B:$D,2,FALSE),"")</f>
        <v/>
      </c>
      <c r="I168" s="17" t="str">
        <f>IFERROR(VLOOKUP(シフト組み!I198,役職一覧!$B:$D,2,FALSE),"")</f>
        <v/>
      </c>
      <c r="J168" s="17" t="str">
        <f>IFERROR(VLOOKUP(シフト組み!J198,役職一覧!$B:$D,2,FALSE),"")</f>
        <v/>
      </c>
      <c r="K168" s="17" t="str">
        <f>IFERROR(VLOOKUP(シフト組み!K198,役職一覧!$B:$D,2,FALSE),"")</f>
        <v/>
      </c>
      <c r="L168" s="17" t="str">
        <f>IFERROR(VLOOKUP(シフト組み!L198,役職一覧!$B:$D,2,FALSE),"")</f>
        <v/>
      </c>
      <c r="M168" s="17" t="str">
        <f>IFERROR(VLOOKUP(シフト組み!M198,役職一覧!$B:$D,2,FALSE),"")</f>
        <v/>
      </c>
      <c r="N168" s="17" t="str">
        <f>IFERROR(VLOOKUP(シフト組み!N198,役職一覧!$B:$D,2,FALSE),"")</f>
        <v/>
      </c>
      <c r="O168" s="17" t="str">
        <f>IFERROR(VLOOKUP(シフト組み!O198,役職一覧!$B:$D,2,FALSE),"")</f>
        <v/>
      </c>
      <c r="P168" s="17" t="str">
        <f>IFERROR(VLOOKUP(シフト組み!P198,役職一覧!$B:$D,2,FALSE),"")</f>
        <v/>
      </c>
      <c r="Q168" s="17" t="str">
        <f>IFERROR(VLOOKUP(シフト組み!Q198,役職一覧!$B:$D,2,FALSE),"")</f>
        <v/>
      </c>
      <c r="R168" s="17" t="str">
        <f>IFERROR(VLOOKUP(シフト組み!R198,役職一覧!$B:$D,2,FALSE),"")</f>
        <v/>
      </c>
      <c r="S168" s="17" t="str">
        <f>IFERROR(VLOOKUP(シフト組み!S198,役職一覧!$B:$D,2,FALSE),"")</f>
        <v/>
      </c>
      <c r="T168" s="17" t="str">
        <f>IFERROR(VLOOKUP(シフト組み!T198,役職一覧!$B:$D,2,FALSE),"")</f>
        <v/>
      </c>
      <c r="U168" s="17" t="str">
        <f>IFERROR(VLOOKUP(シフト組み!U198,役職一覧!$B:$D,2,FALSE),"")</f>
        <v/>
      </c>
      <c r="V168" s="17" t="str">
        <f>IFERROR(VLOOKUP(シフト組み!V198,役職一覧!$B:$D,2,FALSE),"")</f>
        <v/>
      </c>
      <c r="W168" s="17" t="str">
        <f>IFERROR(VLOOKUP(シフト組み!W198,役職一覧!$B:$D,2,FALSE),"")</f>
        <v/>
      </c>
      <c r="X168" s="17" t="str">
        <f>IFERROR(VLOOKUP(シフト組み!X198,役職一覧!$B:$D,2,FALSE),"")</f>
        <v/>
      </c>
      <c r="Y168" s="17" t="str">
        <f>IFERROR(VLOOKUP(シフト組み!Y198,役職一覧!$B:$D,2,FALSE),"")</f>
        <v/>
      </c>
      <c r="Z168" s="17" t="str">
        <f>IFERROR(VLOOKUP(シフト組み!Z198,役職一覧!$B:$D,2,FALSE),"")</f>
        <v/>
      </c>
      <c r="AA168" s="17" t="str">
        <f>IFERROR(VLOOKUP(シフト組み!AA198,役職一覧!$B:$D,2,FALSE),"")</f>
        <v/>
      </c>
      <c r="AB168" s="17" t="str">
        <f>IFERROR(VLOOKUP(シフト組み!AB198,役職一覧!$B:$D,2,FALSE),"")</f>
        <v/>
      </c>
      <c r="AC168" s="17" t="str">
        <f>IFERROR(VLOOKUP(シフト組み!AC198,役職一覧!$B:$D,2,FALSE),"")</f>
        <v/>
      </c>
      <c r="AD168" s="17" t="str">
        <f>IFERROR(VLOOKUP(シフト組み!AD198,役職一覧!$B:$D,2,FALSE),"")</f>
        <v/>
      </c>
      <c r="AE168" s="17" t="str">
        <f>IFERROR(VLOOKUP(シフト組み!AE198,役職一覧!$B:$D,2,FALSE),"")</f>
        <v/>
      </c>
      <c r="AF168" s="17" t="str">
        <f>IFERROR(VLOOKUP(シフト組み!AF198,役職一覧!$B:$D,2,FALSE),"")</f>
        <v/>
      </c>
      <c r="AG168" s="17" t="str">
        <f>IFERROR(VLOOKUP(シフト組み!AG198,役職一覧!$B:$D,2,FALSE),"")</f>
        <v/>
      </c>
      <c r="AH168" s="17" t="str">
        <f>IFERROR(VLOOKUP(シフト組み!AH198,役職一覧!$B:$D,2,FALSE),"")</f>
        <v/>
      </c>
      <c r="AI168" s="17" t="str">
        <f>IFERROR(VLOOKUP(シフト組み!AI198,役職一覧!$B:$D,2,FALSE),"")</f>
        <v/>
      </c>
      <c r="AJ168" s="17" t="str">
        <f>IFERROR(VLOOKUP(シフト組み!AJ198,役職一覧!$B:$D,2,FALSE),"")</f>
        <v/>
      </c>
      <c r="AK168" s="17" t="str">
        <f>IFERROR(VLOOKUP(シフト組み!AK198,役職一覧!$B:$D,2,FALSE),"")</f>
        <v/>
      </c>
      <c r="AL168" s="17" t="str">
        <f>IFERROR(VLOOKUP(シフト組み!AL198,役職一覧!$B:$D,2,FALSE),"")</f>
        <v/>
      </c>
      <c r="AM168" s="17" t="str">
        <f>IFERROR(VLOOKUP(シフト組み!AM198,役職一覧!$B:$D,2,FALSE),"")</f>
        <v/>
      </c>
      <c r="AN168" s="17" t="str">
        <f>IFERROR(VLOOKUP(シフト組み!AN198,役職一覧!$B:$D,2,FALSE),"")</f>
        <v/>
      </c>
      <c r="AO168" s="17" t="str">
        <f>IFERROR(VLOOKUP(シフト組み!AO198,役職一覧!$B:$D,2,FALSE),"")</f>
        <v/>
      </c>
      <c r="AP168" s="17" t="str">
        <f>IFERROR(VLOOKUP(シフト組み!AP198,役職一覧!$B:$D,2,FALSE),"")</f>
        <v/>
      </c>
      <c r="AQ168" s="17" t="str">
        <f>IFERROR(VLOOKUP(シフト組み!AQ198,役職一覧!$B:$D,2,FALSE),"")</f>
        <v/>
      </c>
      <c r="AR168" s="17" t="str">
        <f>IFERROR(VLOOKUP(シフト組み!AR198,役職一覧!$B:$D,2,FALSE),"")</f>
        <v/>
      </c>
      <c r="AS168" s="17" t="str">
        <f>IFERROR(VLOOKUP(シフト組み!AS198,役職一覧!$B:$D,2,FALSE),"")</f>
        <v/>
      </c>
      <c r="AT168" s="17" t="str">
        <f>IFERROR(VLOOKUP(シフト組み!AT198,役職一覧!$B:$D,2,FALSE),"")</f>
        <v/>
      </c>
      <c r="AU168" s="17" t="str">
        <f>IFERROR(VLOOKUP(シフト組み!AU198,役職一覧!$B:$D,2,FALSE),"")</f>
        <v/>
      </c>
      <c r="AV168" s="17" t="str">
        <f>IFERROR(VLOOKUP(シフト組み!AV198,役職一覧!$B:$D,2,FALSE),"")</f>
        <v/>
      </c>
      <c r="AW168" s="17" t="str">
        <f>IFERROR(VLOOKUP(シフト組み!AW198,役職一覧!$B:$D,2,FALSE),"")</f>
        <v/>
      </c>
      <c r="AX168" s="17" t="str">
        <f>IFERROR(VLOOKUP(シフト組み!AX198,役職一覧!$B:$D,2,FALSE),"")</f>
        <v/>
      </c>
      <c r="AY168" s="17" t="str">
        <f>IFERROR(VLOOKUP(シフト組み!AY198,役職一覧!$B:$D,2,FALSE),"")</f>
        <v/>
      </c>
      <c r="AZ168" s="17" t="str">
        <f>IFERROR(VLOOKUP(シフト組み!AZ198,役職一覧!$B:$D,2,FALSE),"")</f>
        <v/>
      </c>
      <c r="BA168" s="17" t="str">
        <f>IFERROR(VLOOKUP(シフト組み!BA198,役職一覧!$B:$D,2,FALSE),"")</f>
        <v/>
      </c>
    </row>
    <row r="169" spans="1:53">
      <c r="A169" s="2" t="str">
        <f>シフト組み!A199&amp;""</f>
        <v/>
      </c>
      <c r="B169" s="2" t="str">
        <f>シフト組み!B199&amp;""</f>
        <v/>
      </c>
      <c r="C169" s="2" t="str">
        <f>シフト組み!C199&amp;""</f>
        <v/>
      </c>
      <c r="D169" s="17" t="str">
        <f>IFERROR(VLOOKUP(シフト組み!D199,役職一覧!$B:$D,2,FALSE),"")</f>
        <v/>
      </c>
      <c r="E169" s="17" t="str">
        <f>IFERROR(VLOOKUP(シフト組み!E199,役職一覧!$B:$D,2,FALSE),"")</f>
        <v/>
      </c>
      <c r="F169" s="17" t="str">
        <f>IFERROR(VLOOKUP(シフト組み!F199,役職一覧!$B:$D,2,FALSE),"")</f>
        <v/>
      </c>
      <c r="G169" s="17" t="str">
        <f>IFERROR(VLOOKUP(シフト組み!G199,役職一覧!$B:$D,2,FALSE),"")</f>
        <v/>
      </c>
      <c r="H169" s="17" t="str">
        <f>IFERROR(VLOOKUP(シフト組み!H199,役職一覧!$B:$D,2,FALSE),"")</f>
        <v/>
      </c>
      <c r="I169" s="17" t="str">
        <f>IFERROR(VLOOKUP(シフト組み!I199,役職一覧!$B:$D,2,FALSE),"")</f>
        <v/>
      </c>
      <c r="J169" s="17" t="str">
        <f>IFERROR(VLOOKUP(シフト組み!J199,役職一覧!$B:$D,2,FALSE),"")</f>
        <v/>
      </c>
      <c r="K169" s="17" t="str">
        <f>IFERROR(VLOOKUP(シフト組み!K199,役職一覧!$B:$D,2,FALSE),"")</f>
        <v/>
      </c>
      <c r="L169" s="17" t="str">
        <f>IFERROR(VLOOKUP(シフト組み!L199,役職一覧!$B:$D,2,FALSE),"")</f>
        <v/>
      </c>
      <c r="M169" s="17" t="str">
        <f>IFERROR(VLOOKUP(シフト組み!M199,役職一覧!$B:$D,2,FALSE),"")</f>
        <v/>
      </c>
      <c r="N169" s="17" t="str">
        <f>IFERROR(VLOOKUP(シフト組み!N199,役職一覧!$B:$D,2,FALSE),"")</f>
        <v/>
      </c>
      <c r="O169" s="17" t="str">
        <f>IFERROR(VLOOKUP(シフト組み!O199,役職一覧!$B:$D,2,FALSE),"")</f>
        <v/>
      </c>
      <c r="P169" s="17" t="str">
        <f>IFERROR(VLOOKUP(シフト組み!P199,役職一覧!$B:$D,2,FALSE),"")</f>
        <v/>
      </c>
      <c r="Q169" s="17" t="str">
        <f>IFERROR(VLOOKUP(シフト組み!Q199,役職一覧!$B:$D,2,FALSE),"")</f>
        <v/>
      </c>
      <c r="R169" s="17" t="str">
        <f>IFERROR(VLOOKUP(シフト組み!R199,役職一覧!$B:$D,2,FALSE),"")</f>
        <v/>
      </c>
      <c r="S169" s="17" t="str">
        <f>IFERROR(VLOOKUP(シフト組み!S199,役職一覧!$B:$D,2,FALSE),"")</f>
        <v/>
      </c>
      <c r="T169" s="17" t="str">
        <f>IFERROR(VLOOKUP(シフト組み!T199,役職一覧!$B:$D,2,FALSE),"")</f>
        <v/>
      </c>
      <c r="U169" s="17" t="str">
        <f>IFERROR(VLOOKUP(シフト組み!U199,役職一覧!$B:$D,2,FALSE),"")</f>
        <v/>
      </c>
      <c r="V169" s="17" t="str">
        <f>IFERROR(VLOOKUP(シフト組み!V199,役職一覧!$B:$D,2,FALSE),"")</f>
        <v/>
      </c>
      <c r="W169" s="17" t="str">
        <f>IFERROR(VLOOKUP(シフト組み!W199,役職一覧!$B:$D,2,FALSE),"")</f>
        <v/>
      </c>
      <c r="X169" s="17" t="str">
        <f>IFERROR(VLOOKUP(シフト組み!X199,役職一覧!$B:$D,2,FALSE),"")</f>
        <v/>
      </c>
      <c r="Y169" s="17" t="str">
        <f>IFERROR(VLOOKUP(シフト組み!Y199,役職一覧!$B:$D,2,FALSE),"")</f>
        <v/>
      </c>
      <c r="Z169" s="17" t="str">
        <f>IFERROR(VLOOKUP(シフト組み!Z199,役職一覧!$B:$D,2,FALSE),"")</f>
        <v/>
      </c>
      <c r="AA169" s="17" t="str">
        <f>IFERROR(VLOOKUP(シフト組み!AA199,役職一覧!$B:$D,2,FALSE),"")</f>
        <v/>
      </c>
      <c r="AB169" s="17" t="str">
        <f>IFERROR(VLOOKUP(シフト組み!AB199,役職一覧!$B:$D,2,FALSE),"")</f>
        <v/>
      </c>
      <c r="AC169" s="17" t="str">
        <f>IFERROR(VLOOKUP(シフト組み!AC199,役職一覧!$B:$D,2,FALSE),"")</f>
        <v/>
      </c>
      <c r="AD169" s="17" t="str">
        <f>IFERROR(VLOOKUP(シフト組み!AD199,役職一覧!$B:$D,2,FALSE),"")</f>
        <v/>
      </c>
      <c r="AE169" s="17" t="str">
        <f>IFERROR(VLOOKUP(シフト組み!AE199,役職一覧!$B:$D,2,FALSE),"")</f>
        <v/>
      </c>
      <c r="AF169" s="17" t="str">
        <f>IFERROR(VLOOKUP(シフト組み!AF199,役職一覧!$B:$D,2,FALSE),"")</f>
        <v/>
      </c>
      <c r="AG169" s="17" t="str">
        <f>IFERROR(VLOOKUP(シフト組み!AG199,役職一覧!$B:$D,2,FALSE),"")</f>
        <v/>
      </c>
      <c r="AH169" s="17" t="str">
        <f>IFERROR(VLOOKUP(シフト組み!AH199,役職一覧!$B:$D,2,FALSE),"")</f>
        <v/>
      </c>
      <c r="AI169" s="17" t="str">
        <f>IFERROR(VLOOKUP(シフト組み!AI199,役職一覧!$B:$D,2,FALSE),"")</f>
        <v/>
      </c>
      <c r="AJ169" s="17" t="str">
        <f>IFERROR(VLOOKUP(シフト組み!AJ199,役職一覧!$B:$D,2,FALSE),"")</f>
        <v/>
      </c>
      <c r="AK169" s="17" t="str">
        <f>IFERROR(VLOOKUP(シフト組み!AK199,役職一覧!$B:$D,2,FALSE),"")</f>
        <v/>
      </c>
      <c r="AL169" s="17" t="str">
        <f>IFERROR(VLOOKUP(シフト組み!AL199,役職一覧!$B:$D,2,FALSE),"")</f>
        <v/>
      </c>
      <c r="AM169" s="17" t="str">
        <f>IFERROR(VLOOKUP(シフト組み!AM199,役職一覧!$B:$D,2,FALSE),"")</f>
        <v/>
      </c>
      <c r="AN169" s="17" t="str">
        <f>IFERROR(VLOOKUP(シフト組み!AN199,役職一覧!$B:$D,2,FALSE),"")</f>
        <v/>
      </c>
      <c r="AO169" s="17" t="str">
        <f>IFERROR(VLOOKUP(シフト組み!AO199,役職一覧!$B:$D,2,FALSE),"")</f>
        <v/>
      </c>
      <c r="AP169" s="17" t="str">
        <f>IFERROR(VLOOKUP(シフト組み!AP199,役職一覧!$B:$D,2,FALSE),"")</f>
        <v/>
      </c>
      <c r="AQ169" s="17" t="str">
        <f>IFERROR(VLOOKUP(シフト組み!AQ199,役職一覧!$B:$D,2,FALSE),"")</f>
        <v/>
      </c>
      <c r="AR169" s="17" t="str">
        <f>IFERROR(VLOOKUP(シフト組み!AR199,役職一覧!$B:$D,2,FALSE),"")</f>
        <v/>
      </c>
      <c r="AS169" s="17" t="str">
        <f>IFERROR(VLOOKUP(シフト組み!AS199,役職一覧!$B:$D,2,FALSE),"")</f>
        <v/>
      </c>
      <c r="AT169" s="17" t="str">
        <f>IFERROR(VLOOKUP(シフト組み!AT199,役職一覧!$B:$D,2,FALSE),"")</f>
        <v/>
      </c>
      <c r="AU169" s="17" t="str">
        <f>IFERROR(VLOOKUP(シフト組み!AU199,役職一覧!$B:$D,2,FALSE),"")</f>
        <v/>
      </c>
      <c r="AV169" s="17" t="str">
        <f>IFERROR(VLOOKUP(シフト組み!AV199,役職一覧!$B:$D,2,FALSE),"")</f>
        <v/>
      </c>
      <c r="AW169" s="17" t="str">
        <f>IFERROR(VLOOKUP(シフト組み!AW199,役職一覧!$B:$D,2,FALSE),"")</f>
        <v/>
      </c>
      <c r="AX169" s="17" t="str">
        <f>IFERROR(VLOOKUP(シフト組み!AX199,役職一覧!$B:$D,2,FALSE),"")</f>
        <v/>
      </c>
      <c r="AY169" s="17" t="str">
        <f>IFERROR(VLOOKUP(シフト組み!AY199,役職一覧!$B:$D,2,FALSE),"")</f>
        <v/>
      </c>
      <c r="AZ169" s="17" t="str">
        <f>IFERROR(VLOOKUP(シフト組み!AZ199,役職一覧!$B:$D,2,FALSE),"")</f>
        <v/>
      </c>
      <c r="BA169" s="17" t="str">
        <f>IFERROR(VLOOKUP(シフト組み!BA199,役職一覧!$B:$D,2,FALSE),"")</f>
        <v/>
      </c>
    </row>
  </sheetData>
  <sheetProtection formatColumns="0" formatRows="0"/>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2" id="{7A6E5921-8808-D54F-988C-8820916E0FFC}">
            <xm:f>COUNTIF(役職一覧!$K:$K,シフト組み!D32)=1</xm:f>
            <x14:dxf>
              <fill>
                <patternFill>
                  <bgColor rgb="FFE1B9FF"/>
                </patternFill>
              </fill>
            </x14:dxf>
          </x14:cfRule>
          <x14:cfRule type="expression" priority="3" id="{400B14EB-9470-C84D-8E08-39976A9B3430}">
            <xm:f>COUNTIF(役職一覧!$J:$J,シフト組み!D32)=1</xm:f>
            <x14:dxf>
              <fill>
                <patternFill>
                  <bgColor rgb="FF7FCAFF"/>
                </patternFill>
              </fill>
            </x14:dxf>
          </x14:cfRule>
          <x14:cfRule type="expression" priority="4" id="{B28D1652-53B7-014E-AF7A-81582A03508B}">
            <xm:f>COUNTIF(役職一覧!$I:$I,シフト組み!D32)=1</xm:f>
            <x14:dxf>
              <fill>
                <patternFill>
                  <bgColor rgb="FF95FF6C"/>
                </patternFill>
              </fill>
            </x14:dxf>
          </x14:cfRule>
          <x14:cfRule type="expression" priority="5" id="{33D84D33-631C-DF4A-A875-AFA1E8D78328}">
            <xm:f>COUNTIF(役職一覧!$H:$H,シフト組み!D32)=1</xm:f>
            <x14:dxf>
              <fill>
                <patternFill>
                  <bgColor rgb="FFFFF690"/>
                </patternFill>
              </fill>
            </x14:dxf>
          </x14:cfRule>
          <x14:cfRule type="expression" priority="6" id="{BC0F4AC3-EFA1-3249-95F1-FD2804F64950}">
            <xm:f>COUNTIF(役職一覧!$G:$G,シフト組み!D32)=1</xm:f>
            <x14:dxf>
              <fill>
                <patternFill>
                  <bgColor rgb="FFFFD965"/>
                </patternFill>
              </fill>
            </x14:dxf>
          </x14:cfRule>
          <x14:cfRule type="expression" priority="7" id="{FCA63DDF-26BF-884E-8935-B7263034AC71}">
            <xm:f>COUNTIF(役職一覧!$F:$F,シフト組み!D32)=1</xm:f>
            <x14:dxf>
              <fill>
                <patternFill>
                  <bgColor rgb="FFFFC7CE"/>
                </patternFill>
              </fill>
            </x14:dxf>
          </x14:cfRule>
          <xm:sqref>D2:BA169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使いかた</vt:lpstr>
      <vt:lpstr>時間帯一覧</vt:lpstr>
      <vt:lpstr>役職一覧</vt:lpstr>
      <vt:lpstr>時間希望調査</vt:lpstr>
      <vt:lpstr>役職希望調査 ・備考</vt:lpstr>
      <vt:lpstr>書式</vt:lpstr>
      <vt:lpstr>シフト組み</vt:lpstr>
      <vt:lpstr>コマンド</vt:lpstr>
      <vt:lpstr>共有用1</vt:lpstr>
      <vt:lpstr>シフト組み時間帯</vt:lpstr>
      <vt:lpstr>シフト組み入力</vt:lpstr>
      <vt:lpstr>シフト組み役職横</vt:lpstr>
      <vt:lpstr>シフト組み役職縦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海老原祐輔</dc:creator>
  <cp:lastModifiedBy>海老原祐輔</cp:lastModifiedBy>
  <dcterms:created xsi:type="dcterms:W3CDTF">2018-07-03T18:01:25Z</dcterms:created>
  <dcterms:modified xsi:type="dcterms:W3CDTF">2018-11-16T19:01:16Z</dcterms:modified>
</cp:coreProperties>
</file>