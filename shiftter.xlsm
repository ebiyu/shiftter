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2" codeName="{51196F13-6AD0-C1B8-E2B4-A1F9AE17003E}"/>
  <workbookPr codeName="ThisWorkbook"/>
  <mc:AlternateContent xmlns:mc="http://schemas.openxmlformats.org/markup-compatibility/2006">
    <mc:Choice Requires="x15">
      <x15ac:absPath xmlns:x15ac="http://schemas.microsoft.com/office/spreadsheetml/2010/11/ac" url="/Users/ebiyuu1121/projects/shiftter/"/>
    </mc:Choice>
  </mc:AlternateContent>
  <xr:revisionPtr revIDLastSave="0" documentId="13_ncr:1_{4F2A0EE5-5678-7842-A8E2-A09CB200D1DA}" xr6:coauthVersionLast="36" xr6:coauthVersionMax="36" xr10:uidLastSave="{00000000-0000-0000-0000-000000000000}"/>
  <bookViews>
    <workbookView xWindow="0" yWindow="480" windowWidth="28800" windowHeight="16240" xr2:uid="{8E6D9EEE-75D6-D84C-88E8-ECB6523258A4}"/>
  </bookViews>
  <sheets>
    <sheet name="使いかた" sheetId="9" r:id="rId1"/>
    <sheet name="時間帯一覧" sheetId="3" r:id="rId2"/>
    <sheet name="役職一覧" sheetId="2" r:id="rId3"/>
    <sheet name="時間希望調査" sheetId="1" r:id="rId4"/>
    <sheet name="役職希望調査 ・備考" sheetId="5" r:id="rId5"/>
    <sheet name="書式" sheetId="6" state="hidden" r:id="rId6"/>
    <sheet name="シフト組み" sheetId="4" r:id="rId7"/>
    <sheet name="コマンド" sheetId="10" r:id="rId8"/>
    <sheet name="共有用1" sheetId="11" state="hidden" r:id="rId9"/>
    <sheet name="逆引き作成用" sheetId="12" state="hidden" r:id="rId10"/>
    <sheet name="逆引き" sheetId="13" state="hidden" r:id="rId11"/>
  </sheets>
  <definedNames>
    <definedName name="シフト組み時間帯">シフト組み!$D$1:$BA$1</definedName>
    <definedName name="シフト組み入力">シフト組み!$D$32:$BA$314</definedName>
    <definedName name="シフト組み役職横">シフト組み!$BI$1:$CL$1</definedName>
    <definedName name="シフト組み役職縦">シフト組み!$B$2:$B$31</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13" l="1"/>
  <c r="B1" i="12"/>
  <c r="C1" i="12"/>
  <c r="A1" i="12"/>
  <c r="A2" i="13" l="1"/>
  <c r="C3" i="13"/>
  <c r="D3" i="11"/>
  <c r="D3" i="12" s="1"/>
  <c r="E3" i="11"/>
  <c r="E3" i="12" s="1"/>
  <c r="F3" i="11"/>
  <c r="F3" i="12" s="1"/>
  <c r="G3" i="11"/>
  <c r="H3" i="11"/>
  <c r="H3" i="12" s="1"/>
  <c r="I3" i="11"/>
  <c r="I3" i="12" s="1"/>
  <c r="J3" i="11"/>
  <c r="J3" i="12" s="1"/>
  <c r="K3" i="11"/>
  <c r="K3" i="12" s="1"/>
  <c r="L3" i="11"/>
  <c r="L3" i="12" s="1"/>
  <c r="M3" i="11"/>
  <c r="M3" i="12" s="1"/>
  <c r="N3" i="11"/>
  <c r="N3" i="12" s="1"/>
  <c r="O3" i="11"/>
  <c r="O3" i="12" s="1"/>
  <c r="P3" i="11"/>
  <c r="P3" i="12" s="1"/>
  <c r="Q3" i="11"/>
  <c r="R3" i="11"/>
  <c r="R3" i="12" s="1"/>
  <c r="S3" i="11"/>
  <c r="S3" i="12" s="1"/>
  <c r="T3" i="11"/>
  <c r="T3" i="12" s="1"/>
  <c r="U3" i="11"/>
  <c r="U3" i="12" s="1"/>
  <c r="V3" i="11"/>
  <c r="V3" i="12" s="1"/>
  <c r="W3" i="11"/>
  <c r="W3" i="12" s="1"/>
  <c r="X3" i="11"/>
  <c r="X3" i="12" s="1"/>
  <c r="Y3" i="11"/>
  <c r="Y3" i="12" s="1"/>
  <c r="Z3" i="11"/>
  <c r="AA3" i="11"/>
  <c r="AB3" i="11"/>
  <c r="AB3" i="12" s="1"/>
  <c r="AC3" i="11"/>
  <c r="AC3" i="12" s="1"/>
  <c r="AD3" i="11"/>
  <c r="AD3" i="12" s="1"/>
  <c r="AE3" i="11"/>
  <c r="AE3" i="12" s="1"/>
  <c r="AF3" i="11"/>
  <c r="AF3" i="12" s="1"/>
  <c r="AG3" i="11"/>
  <c r="AG3" i="12" s="1"/>
  <c r="D4" i="11"/>
  <c r="E4" i="11"/>
  <c r="F4" i="11"/>
  <c r="F4" i="12" s="1"/>
  <c r="G4" i="11"/>
  <c r="H4" i="11"/>
  <c r="I4" i="11"/>
  <c r="I4" i="12" s="1"/>
  <c r="J4" i="11"/>
  <c r="J4" i="12" s="1"/>
  <c r="K4" i="11"/>
  <c r="K4" i="12" s="1"/>
  <c r="L4" i="11"/>
  <c r="L4" i="12" s="1"/>
  <c r="M4" i="11"/>
  <c r="M4" i="12" s="1"/>
  <c r="N4" i="11"/>
  <c r="O4" i="11"/>
  <c r="P4" i="11"/>
  <c r="Q4" i="11"/>
  <c r="R4" i="11"/>
  <c r="R4" i="12" s="1"/>
  <c r="S4" i="11"/>
  <c r="S4" i="12" s="1"/>
  <c r="T4" i="11"/>
  <c r="T4" i="12" s="1"/>
  <c r="U4" i="11"/>
  <c r="U4" i="12" s="1"/>
  <c r="V4" i="11"/>
  <c r="V4" i="12" s="1"/>
  <c r="W4" i="11"/>
  <c r="W4" i="12" s="1"/>
  <c r="X4" i="11"/>
  <c r="X4" i="12" s="1"/>
  <c r="Y4" i="11"/>
  <c r="Y4" i="12" s="1"/>
  <c r="Z4" i="11"/>
  <c r="Z4" i="12" s="1"/>
  <c r="AA4" i="11"/>
  <c r="AA4" i="12" s="1"/>
  <c r="AB4" i="11"/>
  <c r="AB4" i="12" s="1"/>
  <c r="AC4" i="11"/>
  <c r="AC4" i="12" s="1"/>
  <c r="AD4" i="11"/>
  <c r="AD4" i="12" s="1"/>
  <c r="AE4" i="11"/>
  <c r="AE4" i="12" s="1"/>
  <c r="AF4" i="11"/>
  <c r="AF4" i="12" s="1"/>
  <c r="AG4" i="11"/>
  <c r="AG4" i="12" s="1"/>
  <c r="D5" i="11"/>
  <c r="D5" i="12" s="1"/>
  <c r="E5" i="11"/>
  <c r="F5" i="11"/>
  <c r="F5" i="12" s="1"/>
  <c r="G5" i="11"/>
  <c r="G5" i="12" s="1"/>
  <c r="H5" i="11"/>
  <c r="H5" i="12" s="1"/>
  <c r="I5" i="11"/>
  <c r="I5" i="12" s="1"/>
  <c r="J5" i="11"/>
  <c r="J5" i="12" s="1"/>
  <c r="K5" i="11"/>
  <c r="L5" i="11"/>
  <c r="L5" i="12" s="1"/>
  <c r="M5" i="11"/>
  <c r="M5" i="12" s="1"/>
  <c r="N5" i="11"/>
  <c r="N5" i="12" s="1"/>
  <c r="O5" i="11"/>
  <c r="O5" i="12" s="1"/>
  <c r="P5" i="11"/>
  <c r="P5" i="12" s="1"/>
  <c r="Q5" i="11"/>
  <c r="Q5" i="12" s="1"/>
  <c r="R5" i="11"/>
  <c r="R5" i="12" s="1"/>
  <c r="S5" i="11"/>
  <c r="S5" i="12" s="1"/>
  <c r="T5" i="11"/>
  <c r="T5" i="12" s="1"/>
  <c r="U5" i="11"/>
  <c r="V5" i="11"/>
  <c r="V5" i="12" s="1"/>
  <c r="W5" i="11"/>
  <c r="W5" i="12" s="1"/>
  <c r="X5" i="11"/>
  <c r="Y5" i="11"/>
  <c r="Y5" i="12" s="1"/>
  <c r="Z5" i="11"/>
  <c r="Z5" i="12" s="1"/>
  <c r="AA5" i="11"/>
  <c r="AA5" i="12" s="1"/>
  <c r="AB5" i="11"/>
  <c r="AB5" i="12" s="1"/>
  <c r="AC5" i="11"/>
  <c r="AD5" i="11"/>
  <c r="AE5" i="11"/>
  <c r="AF5" i="11"/>
  <c r="AF5" i="12" s="1"/>
  <c r="AG5" i="11"/>
  <c r="AG5" i="12" s="1"/>
  <c r="D6" i="11"/>
  <c r="D6" i="12" s="1"/>
  <c r="E6" i="11"/>
  <c r="E6" i="12" s="1"/>
  <c r="F6" i="11"/>
  <c r="F6" i="12" s="1"/>
  <c r="G6" i="11"/>
  <c r="G6" i="12" s="1"/>
  <c r="H6" i="11"/>
  <c r="I6" i="11"/>
  <c r="J6" i="11"/>
  <c r="K6" i="11"/>
  <c r="K6" i="12" s="1"/>
  <c r="L6" i="11"/>
  <c r="L6" i="12" s="1"/>
  <c r="M6" i="11"/>
  <c r="M6" i="12" s="1"/>
  <c r="N6" i="11"/>
  <c r="N6" i="12" s="1"/>
  <c r="O6" i="11"/>
  <c r="O6" i="12" s="1"/>
  <c r="P6" i="11"/>
  <c r="P6" i="12" s="1"/>
  <c r="Q6" i="11"/>
  <c r="Q6" i="12" s="1"/>
  <c r="R6" i="11"/>
  <c r="S6" i="11"/>
  <c r="T6" i="11"/>
  <c r="U6" i="11"/>
  <c r="U6" i="12" s="1"/>
  <c r="V6" i="11"/>
  <c r="V6" i="12" s="1"/>
  <c r="W6" i="11"/>
  <c r="W6" i="12" s="1"/>
  <c r="X6" i="11"/>
  <c r="X6" i="12" s="1"/>
  <c r="Y6" i="11"/>
  <c r="Y6" i="12" s="1"/>
  <c r="Z6" i="11"/>
  <c r="Z6" i="12" s="1"/>
  <c r="AA6" i="11"/>
  <c r="AA6" i="12" s="1"/>
  <c r="AB6" i="11"/>
  <c r="AB6" i="12" s="1"/>
  <c r="AC6" i="11"/>
  <c r="AC6" i="12" s="1"/>
  <c r="AD6" i="11"/>
  <c r="AD6" i="12" s="1"/>
  <c r="AE6" i="11"/>
  <c r="AE6" i="12" s="1"/>
  <c r="AF6" i="11"/>
  <c r="AF6" i="12" s="1"/>
  <c r="AG6" i="11"/>
  <c r="AG6" i="12" s="1"/>
  <c r="D7" i="11"/>
  <c r="D7" i="12" s="1"/>
  <c r="E7" i="11"/>
  <c r="E7" i="12" s="1"/>
  <c r="F7" i="11"/>
  <c r="F7" i="12" s="1"/>
  <c r="G7" i="11"/>
  <c r="H7" i="11"/>
  <c r="H7" i="12" s="1"/>
  <c r="I7" i="11"/>
  <c r="I7" i="12" s="1"/>
  <c r="J7" i="11"/>
  <c r="J7" i="12" s="1"/>
  <c r="K7" i="11"/>
  <c r="K7" i="12" s="1"/>
  <c r="L7" i="11"/>
  <c r="L7" i="12" s="1"/>
  <c r="M7" i="11"/>
  <c r="M7" i="12" s="1"/>
  <c r="N7" i="11"/>
  <c r="N7" i="12" s="1"/>
  <c r="O7" i="11"/>
  <c r="O7" i="12" s="1"/>
  <c r="P7" i="11"/>
  <c r="P7" i="12" s="1"/>
  <c r="Q7" i="11"/>
  <c r="Q7" i="12" s="1"/>
  <c r="R7" i="11"/>
  <c r="R7" i="12" s="1"/>
  <c r="S7" i="11"/>
  <c r="S7" i="12" s="1"/>
  <c r="T7" i="11"/>
  <c r="T7" i="12" s="1"/>
  <c r="U7" i="11"/>
  <c r="U7" i="12" s="1"/>
  <c r="V7" i="11"/>
  <c r="V7" i="12" s="1"/>
  <c r="W7" i="11"/>
  <c r="W7" i="12" s="1"/>
  <c r="X7" i="11"/>
  <c r="X7" i="12" s="1"/>
  <c r="Y7" i="11"/>
  <c r="Z7" i="11"/>
  <c r="AA7" i="11"/>
  <c r="AB7" i="11"/>
  <c r="AB7" i="12" s="1"/>
  <c r="AC7" i="11"/>
  <c r="AC7" i="12" s="1"/>
  <c r="AD7" i="11"/>
  <c r="AD7" i="12" s="1"/>
  <c r="AE7" i="11"/>
  <c r="AE7" i="12" s="1"/>
  <c r="AF7" i="11"/>
  <c r="AF7" i="12" s="1"/>
  <c r="AG7" i="11"/>
  <c r="AG7" i="12" s="1"/>
  <c r="D8" i="11"/>
  <c r="D8" i="12" s="1"/>
  <c r="E8" i="11"/>
  <c r="F8" i="11"/>
  <c r="G8" i="11"/>
  <c r="H8" i="11"/>
  <c r="I8" i="11"/>
  <c r="I8" i="12" s="1"/>
  <c r="J8" i="11"/>
  <c r="J8" i="12" s="1"/>
  <c r="K8" i="11"/>
  <c r="K8" i="12" s="1"/>
  <c r="L8" i="11"/>
  <c r="L8" i="12" s="1"/>
  <c r="M8" i="11"/>
  <c r="N8" i="11"/>
  <c r="O8" i="11"/>
  <c r="P8" i="11"/>
  <c r="P8" i="12" s="1"/>
  <c r="Q8" i="11"/>
  <c r="Q8" i="12" s="1"/>
  <c r="R8" i="11"/>
  <c r="R8" i="12" s="1"/>
  <c r="S8" i="11"/>
  <c r="S8" i="12" s="1"/>
  <c r="T8" i="11"/>
  <c r="T8" i="12" s="1"/>
  <c r="U8" i="11"/>
  <c r="U8" i="12" s="1"/>
  <c r="V8" i="11"/>
  <c r="V8" i="12" s="1"/>
  <c r="W8" i="11"/>
  <c r="W8" i="12" s="1"/>
  <c r="X8" i="11"/>
  <c r="Y8" i="11"/>
  <c r="Z8" i="11"/>
  <c r="AA8" i="11"/>
  <c r="AB8" i="11"/>
  <c r="AB8" i="12" s="1"/>
  <c r="AC8" i="11"/>
  <c r="AC8" i="12" s="1"/>
  <c r="AD8" i="11"/>
  <c r="AD8" i="12" s="1"/>
  <c r="AE8" i="11"/>
  <c r="AE8" i="12" s="1"/>
  <c r="AF8" i="11"/>
  <c r="AF8" i="12" s="1"/>
  <c r="AG8" i="11"/>
  <c r="AG8" i="12" s="1"/>
  <c r="D9" i="11"/>
  <c r="D9" i="12" s="1"/>
  <c r="E9" i="11"/>
  <c r="E9" i="12" s="1"/>
  <c r="F9" i="11"/>
  <c r="F9" i="12" s="1"/>
  <c r="G9" i="11"/>
  <c r="G9" i="12" s="1"/>
  <c r="H9" i="11"/>
  <c r="H9" i="12" s="1"/>
  <c r="I9" i="11"/>
  <c r="I9" i="12" s="1"/>
  <c r="J9" i="11"/>
  <c r="J9" i="12" s="1"/>
  <c r="K9" i="11"/>
  <c r="K9" i="12" s="1"/>
  <c r="L9" i="11"/>
  <c r="L9" i="12" s="1"/>
  <c r="M9" i="11"/>
  <c r="M9" i="12" s="1"/>
  <c r="N9" i="11"/>
  <c r="N9" i="12" s="1"/>
  <c r="O9" i="11"/>
  <c r="O9" i="12" s="1"/>
  <c r="P9" i="11"/>
  <c r="P9" i="12" s="1"/>
  <c r="Q9" i="11"/>
  <c r="Q9" i="12" s="1"/>
  <c r="R9" i="11"/>
  <c r="R9" i="12" s="1"/>
  <c r="S9" i="11"/>
  <c r="T9" i="11"/>
  <c r="U9" i="11"/>
  <c r="V9" i="11"/>
  <c r="W9" i="11"/>
  <c r="X9" i="11"/>
  <c r="X9" i="12" s="1"/>
  <c r="Y9" i="11"/>
  <c r="Y9" i="12" s="1"/>
  <c r="Z9" i="11"/>
  <c r="Z9" i="12" s="1"/>
  <c r="AA9" i="11"/>
  <c r="AA9" i="12" s="1"/>
  <c r="AB9" i="11"/>
  <c r="AB9" i="12" s="1"/>
  <c r="AC9" i="11"/>
  <c r="AC9" i="12" s="1"/>
  <c r="AD9" i="11"/>
  <c r="AD9" i="12" s="1"/>
  <c r="AE9" i="11"/>
  <c r="AE9" i="12" s="1"/>
  <c r="AF9" i="11"/>
  <c r="AF9" i="12" s="1"/>
  <c r="AG9" i="11"/>
  <c r="AG9" i="12" s="1"/>
  <c r="D10" i="11"/>
  <c r="D10" i="12" s="1"/>
  <c r="E10" i="11"/>
  <c r="E10" i="12" s="1"/>
  <c r="F10" i="11"/>
  <c r="F10" i="12" s="1"/>
  <c r="G10" i="11"/>
  <c r="G10" i="12" s="1"/>
  <c r="H10" i="11"/>
  <c r="H10" i="12" s="1"/>
  <c r="I10" i="11"/>
  <c r="I10" i="12" s="1"/>
  <c r="J10" i="11"/>
  <c r="J10" i="12" s="1"/>
  <c r="K10" i="11"/>
  <c r="K10" i="12" s="1"/>
  <c r="L10" i="11"/>
  <c r="L10" i="12" s="1"/>
  <c r="M10" i="11"/>
  <c r="M10" i="12" s="1"/>
  <c r="N10" i="11"/>
  <c r="N10" i="12" s="1"/>
  <c r="O10" i="11"/>
  <c r="O10" i="12" s="1"/>
  <c r="P10" i="11"/>
  <c r="P10" i="12" s="1"/>
  <c r="Q10" i="11"/>
  <c r="Q10" i="12" s="1"/>
  <c r="R10" i="11"/>
  <c r="R10" i="12" s="1"/>
  <c r="S10" i="11"/>
  <c r="T10" i="11"/>
  <c r="T10" i="12" s="1"/>
  <c r="U10" i="11"/>
  <c r="U10" i="12" s="1"/>
  <c r="V10" i="11"/>
  <c r="V10" i="12" s="1"/>
  <c r="W10" i="11"/>
  <c r="X10" i="11"/>
  <c r="X10" i="12" s="1"/>
  <c r="Y10" i="11"/>
  <c r="Y10" i="12" s="1"/>
  <c r="Z10" i="11"/>
  <c r="Z10" i="12" s="1"/>
  <c r="AA10" i="11"/>
  <c r="AA10" i="12" s="1"/>
  <c r="AB10" i="11"/>
  <c r="AB10" i="12" s="1"/>
  <c r="AC10" i="11"/>
  <c r="AC10" i="12" s="1"/>
  <c r="AD10" i="11"/>
  <c r="AD10" i="12" s="1"/>
  <c r="AE10" i="11"/>
  <c r="AE10" i="12" s="1"/>
  <c r="AF10" i="11"/>
  <c r="AF10" i="12" s="1"/>
  <c r="AG10" i="11"/>
  <c r="AG10" i="12" s="1"/>
  <c r="D11" i="11"/>
  <c r="D11" i="12" s="1"/>
  <c r="E11" i="11"/>
  <c r="E11" i="12" s="1"/>
  <c r="F11" i="11"/>
  <c r="F11" i="12" s="1"/>
  <c r="G11" i="11"/>
  <c r="G11" i="12" s="1"/>
  <c r="H11" i="11"/>
  <c r="H11" i="12" s="1"/>
  <c r="I11" i="11"/>
  <c r="I11" i="12" s="1"/>
  <c r="J11" i="11"/>
  <c r="J11" i="12" s="1"/>
  <c r="K11" i="11"/>
  <c r="L11" i="11"/>
  <c r="M11" i="11"/>
  <c r="N11" i="11"/>
  <c r="N11" i="12" s="1"/>
  <c r="O11" i="11"/>
  <c r="O11" i="12" s="1"/>
  <c r="P11" i="11"/>
  <c r="P11" i="12" s="1"/>
  <c r="Q11" i="11"/>
  <c r="Q11" i="12" s="1"/>
  <c r="R11" i="11"/>
  <c r="R11" i="12" s="1"/>
  <c r="S11" i="11"/>
  <c r="S11" i="12" s="1"/>
  <c r="T11" i="11"/>
  <c r="T11" i="12" s="1"/>
  <c r="U11" i="11"/>
  <c r="U11" i="12" s="1"/>
  <c r="V11" i="11"/>
  <c r="V11" i="12" s="1"/>
  <c r="W11" i="11"/>
  <c r="W11" i="12" s="1"/>
  <c r="X11" i="11"/>
  <c r="X11" i="12" s="1"/>
  <c r="Y11" i="11"/>
  <c r="Y11" i="12" s="1"/>
  <c r="Z11" i="11"/>
  <c r="Z11" i="12" s="1"/>
  <c r="AA11" i="11"/>
  <c r="AA11" i="12" s="1"/>
  <c r="AB11" i="11"/>
  <c r="AB11" i="12" s="1"/>
  <c r="AC11" i="11"/>
  <c r="AC11" i="12" s="1"/>
  <c r="AD11" i="11"/>
  <c r="AD11" i="12" s="1"/>
  <c r="AE11" i="11"/>
  <c r="AE11" i="12" s="1"/>
  <c r="AF11" i="11"/>
  <c r="AF11" i="12" s="1"/>
  <c r="AG11" i="11"/>
  <c r="AG11" i="12" s="1"/>
  <c r="D12" i="11"/>
  <c r="D12" i="12" s="1"/>
  <c r="E12" i="11"/>
  <c r="F12" i="11"/>
  <c r="G12" i="11"/>
  <c r="H12" i="11"/>
  <c r="H12" i="12" s="1"/>
  <c r="I12" i="11"/>
  <c r="I12" i="12" s="1"/>
  <c r="J12" i="11"/>
  <c r="J12" i="12" s="1"/>
  <c r="K12" i="11"/>
  <c r="K12" i="12" s="1"/>
  <c r="L12" i="11"/>
  <c r="L12" i="12" s="1"/>
  <c r="M12" i="11"/>
  <c r="M12" i="12" s="1"/>
  <c r="N12" i="11"/>
  <c r="N12" i="12" s="1"/>
  <c r="O12" i="11"/>
  <c r="O12" i="12" s="1"/>
  <c r="P12" i="11"/>
  <c r="Q12" i="11"/>
  <c r="R12" i="11"/>
  <c r="R12" i="12" s="1"/>
  <c r="S12" i="11"/>
  <c r="S12" i="12" s="1"/>
  <c r="T12" i="11"/>
  <c r="T12" i="12" s="1"/>
  <c r="U12" i="11"/>
  <c r="U12" i="12" s="1"/>
  <c r="V12" i="11"/>
  <c r="V12" i="12" s="1"/>
  <c r="W12" i="11"/>
  <c r="W12" i="12" s="1"/>
  <c r="X12" i="11"/>
  <c r="X12" i="12" s="1"/>
  <c r="Y12" i="11"/>
  <c r="Y12" i="12" s="1"/>
  <c r="Z12" i="11"/>
  <c r="Z12" i="12" s="1"/>
  <c r="AA12" i="11"/>
  <c r="AA12" i="12" s="1"/>
  <c r="AB12" i="11"/>
  <c r="AB12" i="12" s="1"/>
  <c r="AC12" i="11"/>
  <c r="AC12" i="12" s="1"/>
  <c r="AD12" i="11"/>
  <c r="AD12" i="12" s="1"/>
  <c r="AE12" i="11"/>
  <c r="AE12" i="12" s="1"/>
  <c r="AF12" i="11"/>
  <c r="AF12" i="12" s="1"/>
  <c r="AG12" i="11"/>
  <c r="AG12" i="12" s="1"/>
  <c r="D13" i="11"/>
  <c r="D13" i="12" s="1"/>
  <c r="E13" i="11"/>
  <c r="E13" i="12" s="1"/>
  <c r="F13" i="11"/>
  <c r="G13" i="11"/>
  <c r="H13" i="11"/>
  <c r="I13" i="11"/>
  <c r="J13" i="11"/>
  <c r="J13" i="12" s="1"/>
  <c r="K13" i="11"/>
  <c r="K13" i="12" s="1"/>
  <c r="L13" i="11"/>
  <c r="L13" i="12" s="1"/>
  <c r="M13" i="11"/>
  <c r="M13" i="12" s="1"/>
  <c r="N13" i="11"/>
  <c r="N13" i="12" s="1"/>
  <c r="O13" i="11"/>
  <c r="O13" i="12" s="1"/>
  <c r="P13" i="11"/>
  <c r="P13" i="12" s="1"/>
  <c r="Q13" i="11"/>
  <c r="Q13" i="12" s="1"/>
  <c r="R13" i="11"/>
  <c r="R13" i="12" s="1"/>
  <c r="S13" i="11"/>
  <c r="S13" i="12" s="1"/>
  <c r="T13" i="11"/>
  <c r="T13" i="12" s="1"/>
  <c r="U13" i="11"/>
  <c r="U13" i="12" s="1"/>
  <c r="V13" i="11"/>
  <c r="V13" i="12" s="1"/>
  <c r="W13" i="11"/>
  <c r="W13" i="12" s="1"/>
  <c r="X13" i="11"/>
  <c r="X13" i="12" s="1"/>
  <c r="Y13" i="11"/>
  <c r="Y13" i="12" s="1"/>
  <c r="Z13" i="11"/>
  <c r="Z13" i="12" s="1"/>
  <c r="AA13" i="11"/>
  <c r="AA13" i="12" s="1"/>
  <c r="AB13" i="11"/>
  <c r="AB13" i="12" s="1"/>
  <c r="AC13" i="11"/>
  <c r="AC13" i="12" s="1"/>
  <c r="AD13" i="11"/>
  <c r="AE13" i="11"/>
  <c r="AF13" i="11"/>
  <c r="AF13" i="12" s="1"/>
  <c r="AG13" i="11"/>
  <c r="AG13" i="12" s="1"/>
  <c r="D14" i="11"/>
  <c r="D14" i="12" s="1"/>
  <c r="E14" i="11"/>
  <c r="E14" i="12" s="1"/>
  <c r="F14" i="11"/>
  <c r="F14" i="12" s="1"/>
  <c r="G14" i="11"/>
  <c r="G14" i="12" s="1"/>
  <c r="H14" i="11"/>
  <c r="H14" i="12" s="1"/>
  <c r="I14" i="11"/>
  <c r="I14" i="12" s="1"/>
  <c r="J14" i="11"/>
  <c r="J14" i="12" s="1"/>
  <c r="K14" i="11"/>
  <c r="K14" i="12" s="1"/>
  <c r="L14" i="11"/>
  <c r="L14" i="12" s="1"/>
  <c r="M14" i="11"/>
  <c r="M14" i="12" s="1"/>
  <c r="N14" i="11"/>
  <c r="N14" i="12" s="1"/>
  <c r="O14" i="11"/>
  <c r="O14" i="12" s="1"/>
  <c r="P14" i="11"/>
  <c r="P14" i="12" s="1"/>
  <c r="Q14" i="11"/>
  <c r="Q14" i="12" s="1"/>
  <c r="R14" i="11"/>
  <c r="R14" i="12" s="1"/>
  <c r="S14" i="11"/>
  <c r="S14" i="12" s="1"/>
  <c r="T14" i="11"/>
  <c r="T14" i="12" s="1"/>
  <c r="U14" i="11"/>
  <c r="V14" i="11"/>
  <c r="W14" i="11"/>
  <c r="X14" i="11"/>
  <c r="X14" i="12" s="1"/>
  <c r="Y14" i="11"/>
  <c r="Y14" i="12" s="1"/>
  <c r="Z14" i="11"/>
  <c r="Z14" i="12" s="1"/>
  <c r="AA14" i="11"/>
  <c r="AA14" i="12" s="1"/>
  <c r="AB14" i="11"/>
  <c r="AB14" i="12" s="1"/>
  <c r="AC14" i="11"/>
  <c r="AC14" i="12" s="1"/>
  <c r="AD14" i="11"/>
  <c r="AD14" i="12" s="1"/>
  <c r="AE14" i="11"/>
  <c r="AE14" i="12" s="1"/>
  <c r="AF14" i="11"/>
  <c r="AF14" i="12" s="1"/>
  <c r="AG14" i="11"/>
  <c r="AG14" i="12" s="1"/>
  <c r="D15" i="11"/>
  <c r="D15" i="12" s="1"/>
  <c r="E15" i="11"/>
  <c r="E15" i="12" s="1"/>
  <c r="F15" i="11"/>
  <c r="G15" i="11"/>
  <c r="H15" i="11"/>
  <c r="I15" i="11"/>
  <c r="J15" i="11"/>
  <c r="J15" i="12" s="1"/>
  <c r="K15" i="11"/>
  <c r="K15" i="12" s="1"/>
  <c r="L15" i="11"/>
  <c r="L15" i="12" s="1"/>
  <c r="M15" i="11"/>
  <c r="M15" i="12" s="1"/>
  <c r="N15" i="11"/>
  <c r="N15" i="12" s="1"/>
  <c r="O15" i="11"/>
  <c r="O15" i="12" s="1"/>
  <c r="P15" i="11"/>
  <c r="P15" i="12" s="1"/>
  <c r="Q15" i="11"/>
  <c r="Q15" i="12" s="1"/>
  <c r="R15" i="11"/>
  <c r="R15" i="12" s="1"/>
  <c r="S15" i="11"/>
  <c r="S15" i="12" s="1"/>
  <c r="T15" i="11"/>
  <c r="T15" i="12" s="1"/>
  <c r="U15" i="11"/>
  <c r="U15" i="12" s="1"/>
  <c r="V15" i="11"/>
  <c r="V15" i="12" s="1"/>
  <c r="W15" i="11"/>
  <c r="W15" i="12" s="1"/>
  <c r="X15" i="11"/>
  <c r="X15" i="12" s="1"/>
  <c r="Y15" i="11"/>
  <c r="Z15" i="11"/>
  <c r="AA15" i="11"/>
  <c r="AB15" i="11"/>
  <c r="AB15" i="12" s="1"/>
  <c r="AC15" i="11"/>
  <c r="AC15" i="12" s="1"/>
  <c r="AD15" i="11"/>
  <c r="AD15" i="12" s="1"/>
  <c r="AE15" i="11"/>
  <c r="AE15" i="12" s="1"/>
  <c r="AF15" i="11"/>
  <c r="AF15" i="12" s="1"/>
  <c r="AG15" i="11"/>
  <c r="AG15" i="12" s="1"/>
  <c r="D16" i="11"/>
  <c r="D16" i="12" s="1"/>
  <c r="E16" i="11"/>
  <c r="E16" i="12" s="1"/>
  <c r="F16" i="11"/>
  <c r="F16" i="12" s="1"/>
  <c r="G16" i="11"/>
  <c r="G16" i="12" s="1"/>
  <c r="H16" i="11"/>
  <c r="H16" i="12" s="1"/>
  <c r="I16" i="11"/>
  <c r="I16" i="12" s="1"/>
  <c r="J16" i="11"/>
  <c r="J16" i="12" s="1"/>
  <c r="K16" i="11"/>
  <c r="K16" i="12" s="1"/>
  <c r="L16" i="11"/>
  <c r="L16" i="12" s="1"/>
  <c r="M16" i="11"/>
  <c r="M16" i="12" s="1"/>
  <c r="N16" i="11"/>
  <c r="N16" i="12" s="1"/>
  <c r="O16" i="11"/>
  <c r="O16" i="12" s="1"/>
  <c r="P16" i="11"/>
  <c r="P16" i="12" s="1"/>
  <c r="Q16" i="11"/>
  <c r="R16" i="11"/>
  <c r="S16" i="11"/>
  <c r="T16" i="11"/>
  <c r="U16" i="11"/>
  <c r="U16" i="12" s="1"/>
  <c r="V16" i="11"/>
  <c r="V16" i="12" s="1"/>
  <c r="W16" i="11"/>
  <c r="W16" i="12" s="1"/>
  <c r="X16" i="11"/>
  <c r="X16" i="12" s="1"/>
  <c r="Y16" i="11"/>
  <c r="Y16" i="12" s="1"/>
  <c r="Z16" i="11"/>
  <c r="Z16" i="12" s="1"/>
  <c r="AA16" i="11"/>
  <c r="AA16" i="12" s="1"/>
  <c r="AB16" i="11"/>
  <c r="AB16" i="12" s="1"/>
  <c r="AC16" i="11"/>
  <c r="AC16" i="12" s="1"/>
  <c r="AD16" i="11"/>
  <c r="AD16" i="12" s="1"/>
  <c r="AE16" i="11"/>
  <c r="AE16" i="12" s="1"/>
  <c r="AF16" i="11"/>
  <c r="AF16" i="12" s="1"/>
  <c r="AG16" i="11"/>
  <c r="AG16" i="12" s="1"/>
  <c r="D17" i="11"/>
  <c r="D17" i="12" s="1"/>
  <c r="E17" i="11"/>
  <c r="E17" i="12" s="1"/>
  <c r="F17" i="11"/>
  <c r="F17" i="12" s="1"/>
  <c r="G17" i="11"/>
  <c r="G17" i="12" s="1"/>
  <c r="H17" i="11"/>
  <c r="H17" i="12" s="1"/>
  <c r="I17" i="11"/>
  <c r="J17" i="11"/>
  <c r="K17" i="11"/>
  <c r="L17" i="11"/>
  <c r="M17" i="11"/>
  <c r="M17" i="12" s="1"/>
  <c r="N17" i="11"/>
  <c r="N17" i="12" s="1"/>
  <c r="O17" i="11"/>
  <c r="O17" i="12" s="1"/>
  <c r="P17" i="11"/>
  <c r="P17" i="12" s="1"/>
  <c r="Q17" i="11"/>
  <c r="Q17" i="12" s="1"/>
  <c r="R17" i="11"/>
  <c r="R17" i="12" s="1"/>
  <c r="S17" i="11"/>
  <c r="S17" i="12" s="1"/>
  <c r="T17" i="11"/>
  <c r="T17" i="12" s="1"/>
  <c r="U17" i="11"/>
  <c r="U17" i="12" s="1"/>
  <c r="V17" i="11"/>
  <c r="V17" i="12" s="1"/>
  <c r="W17" i="11"/>
  <c r="W17" i="12" s="1"/>
  <c r="X17" i="11"/>
  <c r="Y17" i="11"/>
  <c r="Z17" i="11"/>
  <c r="AA17" i="11"/>
  <c r="AB17" i="11"/>
  <c r="AB17" i="12" s="1"/>
  <c r="AC17" i="11"/>
  <c r="AD17" i="11"/>
  <c r="AD17" i="12" s="1"/>
  <c r="AE17" i="11"/>
  <c r="AE17" i="12" s="1"/>
  <c r="AF17" i="11"/>
  <c r="AG17" i="11"/>
  <c r="D18" i="11"/>
  <c r="E18" i="11"/>
  <c r="E18" i="12" s="1"/>
  <c r="F18" i="11"/>
  <c r="G18" i="11"/>
  <c r="H18" i="11"/>
  <c r="H18" i="12" s="1"/>
  <c r="I18" i="11"/>
  <c r="I18" i="12" s="1"/>
  <c r="J18" i="11"/>
  <c r="J18" i="12" s="1"/>
  <c r="K18" i="11"/>
  <c r="K18" i="12" s="1"/>
  <c r="L18" i="11"/>
  <c r="L18" i="12" s="1"/>
  <c r="M18" i="11"/>
  <c r="M18" i="12" s="1"/>
  <c r="N18" i="11"/>
  <c r="O18" i="11"/>
  <c r="O18" i="12" s="1"/>
  <c r="P18" i="11"/>
  <c r="Q18" i="11"/>
  <c r="R18" i="11"/>
  <c r="R18" i="12" s="1"/>
  <c r="S18" i="11"/>
  <c r="S18" i="12" s="1"/>
  <c r="T18" i="11"/>
  <c r="T18" i="12" s="1"/>
  <c r="U18" i="11"/>
  <c r="U18" i="12" s="1"/>
  <c r="V18" i="11"/>
  <c r="V18" i="12" s="1"/>
  <c r="W18" i="11"/>
  <c r="W18" i="12" s="1"/>
  <c r="X18" i="11"/>
  <c r="X18" i="12" s="1"/>
  <c r="Y18" i="11"/>
  <c r="Y18" i="12" s="1"/>
  <c r="Z18" i="11"/>
  <c r="Z18" i="12" s="1"/>
  <c r="AA18" i="11"/>
  <c r="AA18" i="12" s="1"/>
  <c r="AB18" i="11"/>
  <c r="AB18" i="12" s="1"/>
  <c r="AC18" i="11"/>
  <c r="AC18" i="12" s="1"/>
  <c r="AD18" i="11"/>
  <c r="AD18" i="12" s="1"/>
  <c r="AE18" i="11"/>
  <c r="AE18" i="12" s="1"/>
  <c r="AF18" i="11"/>
  <c r="AF18" i="12" s="1"/>
  <c r="AG18" i="11"/>
  <c r="AG18" i="12" s="1"/>
  <c r="D19" i="11"/>
  <c r="D19" i="12" s="1"/>
  <c r="E19" i="11"/>
  <c r="E19" i="12" s="1"/>
  <c r="F19" i="11"/>
  <c r="F19" i="12" s="1"/>
  <c r="G19" i="11"/>
  <c r="G19" i="12" s="1"/>
  <c r="H19" i="11"/>
  <c r="H19" i="12" s="1"/>
  <c r="I19" i="11"/>
  <c r="I19" i="12" s="1"/>
  <c r="J19" i="11"/>
  <c r="J19" i="12" s="1"/>
  <c r="K19" i="11"/>
  <c r="K19" i="12" s="1"/>
  <c r="L19" i="11"/>
  <c r="L19" i="12" s="1"/>
  <c r="M19" i="11"/>
  <c r="M19" i="12" s="1"/>
  <c r="N19" i="11"/>
  <c r="N19" i="12" s="1"/>
  <c r="O19" i="11"/>
  <c r="O19" i="12" s="1"/>
  <c r="P19" i="11"/>
  <c r="P19" i="12" s="1"/>
  <c r="Q19" i="11"/>
  <c r="Q19" i="12" s="1"/>
  <c r="R19" i="11"/>
  <c r="R19" i="12" s="1"/>
  <c r="S19" i="11"/>
  <c r="S19" i="12" s="1"/>
  <c r="T19" i="11"/>
  <c r="T19" i="12" s="1"/>
  <c r="U19" i="11"/>
  <c r="U19" i="12" s="1"/>
  <c r="V19" i="11"/>
  <c r="W19" i="11"/>
  <c r="X19" i="11"/>
  <c r="X19" i="12" s="1"/>
  <c r="Y19" i="11"/>
  <c r="Y19" i="12" s="1"/>
  <c r="Z19" i="11"/>
  <c r="Z19" i="12" s="1"/>
  <c r="AA19" i="11"/>
  <c r="AA19" i="12" s="1"/>
  <c r="AB19" i="11"/>
  <c r="AB19" i="12" s="1"/>
  <c r="AC19" i="11"/>
  <c r="AC19" i="12" s="1"/>
  <c r="AD19" i="11"/>
  <c r="AD19" i="12" s="1"/>
  <c r="AE19" i="11"/>
  <c r="AE19" i="12" s="1"/>
  <c r="AF19" i="11"/>
  <c r="AG19" i="11"/>
  <c r="D20" i="11"/>
  <c r="D20" i="12" s="1"/>
  <c r="E20" i="11"/>
  <c r="E20" i="12" s="1"/>
  <c r="F20" i="11"/>
  <c r="F20" i="12" s="1"/>
  <c r="G20" i="11"/>
  <c r="G20" i="12" s="1"/>
  <c r="H20" i="11"/>
  <c r="H20" i="12" s="1"/>
  <c r="I20" i="11"/>
  <c r="I20" i="12" s="1"/>
  <c r="J20" i="11"/>
  <c r="J20" i="12" s="1"/>
  <c r="K20" i="11"/>
  <c r="K20" i="12" s="1"/>
  <c r="L20" i="11"/>
  <c r="M20" i="11"/>
  <c r="N20" i="11"/>
  <c r="N20" i="12" s="1"/>
  <c r="O20" i="11"/>
  <c r="O20" i="12" s="1"/>
  <c r="P20" i="11"/>
  <c r="P20" i="12" s="1"/>
  <c r="Q20" i="11"/>
  <c r="Q20" i="12" s="1"/>
  <c r="R20" i="11"/>
  <c r="R20" i="12" s="1"/>
  <c r="S20" i="11"/>
  <c r="S20" i="12" s="1"/>
  <c r="T20" i="11"/>
  <c r="T20" i="12" s="1"/>
  <c r="U20" i="11"/>
  <c r="U20" i="12" s="1"/>
  <c r="V20" i="11"/>
  <c r="V20" i="12" s="1"/>
  <c r="W20" i="11"/>
  <c r="W20" i="12" s="1"/>
  <c r="X20" i="11"/>
  <c r="X20" i="12" s="1"/>
  <c r="Y20" i="11"/>
  <c r="Y20" i="12" s="1"/>
  <c r="Z20" i="11"/>
  <c r="Z20" i="12" s="1"/>
  <c r="AA20" i="11"/>
  <c r="AA20" i="12" s="1"/>
  <c r="AB20" i="11"/>
  <c r="AB20" i="12" s="1"/>
  <c r="AC20" i="11"/>
  <c r="AC20" i="12" s="1"/>
  <c r="AD20" i="11"/>
  <c r="AD20" i="12" s="1"/>
  <c r="AE20" i="11"/>
  <c r="AE20" i="12" s="1"/>
  <c r="AF20" i="11"/>
  <c r="AF20" i="12" s="1"/>
  <c r="AG20" i="11"/>
  <c r="AG20" i="12" s="1"/>
  <c r="D21" i="11"/>
  <c r="D21" i="12" s="1"/>
  <c r="E21" i="11"/>
  <c r="E21" i="12" s="1"/>
  <c r="F21" i="11"/>
  <c r="G21" i="11"/>
  <c r="H21" i="11"/>
  <c r="H21" i="12" s="1"/>
  <c r="I21" i="11"/>
  <c r="I21" i="12" s="1"/>
  <c r="J21" i="11"/>
  <c r="J21" i="12" s="1"/>
  <c r="K21" i="11"/>
  <c r="K21" i="12" s="1"/>
  <c r="L21" i="11"/>
  <c r="L21" i="12" s="1"/>
  <c r="M21" i="11"/>
  <c r="M21" i="12" s="1"/>
  <c r="N21" i="11"/>
  <c r="O21" i="11"/>
  <c r="P21" i="11"/>
  <c r="Q21" i="11"/>
  <c r="R21" i="11"/>
  <c r="R21" i="12" s="1"/>
  <c r="S21" i="11"/>
  <c r="S21" i="12" s="1"/>
  <c r="T21" i="11"/>
  <c r="T21" i="12" s="1"/>
  <c r="U21" i="11"/>
  <c r="U21" i="12" s="1"/>
  <c r="V21" i="11"/>
  <c r="V21" i="12" s="1"/>
  <c r="W21" i="11"/>
  <c r="W21" i="12" s="1"/>
  <c r="X21" i="11"/>
  <c r="X21" i="12" s="1"/>
  <c r="Y21" i="11"/>
  <c r="Y21" i="12" s="1"/>
  <c r="Z21" i="11"/>
  <c r="Z21" i="12" s="1"/>
  <c r="AA21" i="11"/>
  <c r="AA21" i="12" s="1"/>
  <c r="AB21" i="11"/>
  <c r="AB21" i="12" s="1"/>
  <c r="AC21" i="11"/>
  <c r="AC21" i="12" s="1"/>
  <c r="AD21" i="11"/>
  <c r="AD21" i="12" s="1"/>
  <c r="AE21" i="11"/>
  <c r="AE21" i="12" s="1"/>
  <c r="AF21" i="11"/>
  <c r="AF21" i="12" s="1"/>
  <c r="AG21" i="11"/>
  <c r="AG21" i="12" s="1"/>
  <c r="D22" i="11"/>
  <c r="D22" i="12" s="1"/>
  <c r="E22" i="11"/>
  <c r="F22" i="11"/>
  <c r="G22" i="11"/>
  <c r="H22" i="11"/>
  <c r="I22" i="11"/>
  <c r="J22" i="11"/>
  <c r="J22" i="12" s="1"/>
  <c r="K22" i="11"/>
  <c r="K22" i="12" s="1"/>
  <c r="L22" i="11"/>
  <c r="L22" i="12" s="1"/>
  <c r="M22" i="11"/>
  <c r="M22" i="12" s="1"/>
  <c r="N22" i="11"/>
  <c r="N22" i="12" s="1"/>
  <c r="O22" i="11"/>
  <c r="P22" i="11"/>
  <c r="Q22" i="11"/>
  <c r="R22" i="11"/>
  <c r="S22" i="11"/>
  <c r="S22" i="12" s="1"/>
  <c r="T22" i="11"/>
  <c r="T22" i="12" s="1"/>
  <c r="U22" i="11"/>
  <c r="U22" i="12" s="1"/>
  <c r="V22" i="11"/>
  <c r="V22" i="12" s="1"/>
  <c r="W22" i="11"/>
  <c r="W22" i="12" s="1"/>
  <c r="X22" i="11"/>
  <c r="X22" i="12" s="1"/>
  <c r="Y22" i="11"/>
  <c r="Y22" i="12" s="1"/>
  <c r="Z22" i="11"/>
  <c r="Z22" i="12" s="1"/>
  <c r="AA22" i="11"/>
  <c r="AA22" i="12" s="1"/>
  <c r="AB22" i="11"/>
  <c r="AB22" i="12" s="1"/>
  <c r="AC22" i="11"/>
  <c r="AC22" i="12" s="1"/>
  <c r="AD22" i="11"/>
  <c r="AD22" i="12" s="1"/>
  <c r="AE22" i="11"/>
  <c r="AE22" i="12" s="1"/>
  <c r="AF22" i="11"/>
  <c r="AF22" i="12" s="1"/>
  <c r="AG22" i="11"/>
  <c r="AG22" i="12" s="1"/>
  <c r="D23" i="11"/>
  <c r="D23" i="12" s="1"/>
  <c r="E23" i="11"/>
  <c r="E23" i="12" s="1"/>
  <c r="F23" i="11"/>
  <c r="F23" i="12" s="1"/>
  <c r="G23" i="11"/>
  <c r="G23" i="12" s="1"/>
  <c r="H23" i="11"/>
  <c r="H23" i="12" s="1"/>
  <c r="I23" i="11"/>
  <c r="I23" i="12" s="1"/>
  <c r="J23" i="11"/>
  <c r="J23" i="12" s="1"/>
  <c r="K23" i="11"/>
  <c r="K23" i="12" s="1"/>
  <c r="L23" i="11"/>
  <c r="L23" i="12" s="1"/>
  <c r="M23" i="11"/>
  <c r="M23" i="12" s="1"/>
  <c r="N23" i="11"/>
  <c r="N23" i="12" s="1"/>
  <c r="O23" i="11"/>
  <c r="O23" i="12" s="1"/>
  <c r="P23" i="11"/>
  <c r="P23" i="12" s="1"/>
  <c r="Q23" i="11"/>
  <c r="Q23" i="12" s="1"/>
  <c r="R23" i="11"/>
  <c r="R23" i="12" s="1"/>
  <c r="S23" i="11"/>
  <c r="S23" i="12" s="1"/>
  <c r="T23" i="11"/>
  <c r="T23" i="12" s="1"/>
  <c r="U23" i="11"/>
  <c r="U23" i="12" s="1"/>
  <c r="V23" i="11"/>
  <c r="V23" i="12" s="1"/>
  <c r="W23" i="11"/>
  <c r="W23" i="12" s="1"/>
  <c r="X23" i="11"/>
  <c r="X23" i="12" s="1"/>
  <c r="Y23" i="11"/>
  <c r="Y23" i="12" s="1"/>
  <c r="Z23" i="11"/>
  <c r="Z23" i="12" s="1"/>
  <c r="AA23" i="11"/>
  <c r="AB23" i="11"/>
  <c r="AC23" i="11"/>
  <c r="AD23" i="11"/>
  <c r="AE23" i="11"/>
  <c r="AF23" i="11"/>
  <c r="AG23" i="11"/>
  <c r="D24" i="11"/>
  <c r="D24" i="12" s="1"/>
  <c r="E24" i="11"/>
  <c r="E24" i="12" s="1"/>
  <c r="F24" i="11"/>
  <c r="F24" i="12" s="1"/>
  <c r="G24" i="11"/>
  <c r="G24" i="12" s="1"/>
  <c r="H24" i="11"/>
  <c r="H24" i="12" s="1"/>
  <c r="I24" i="11"/>
  <c r="I24" i="12" s="1"/>
  <c r="J24" i="11"/>
  <c r="J24" i="12" s="1"/>
  <c r="K24" i="11"/>
  <c r="K24" i="12" s="1"/>
  <c r="L24" i="11"/>
  <c r="L24" i="12" s="1"/>
  <c r="M24" i="11"/>
  <c r="M24" i="12" s="1"/>
  <c r="N24" i="11"/>
  <c r="N24" i="12" s="1"/>
  <c r="O24" i="11"/>
  <c r="P24" i="11"/>
  <c r="Q24" i="11"/>
  <c r="R24" i="11"/>
  <c r="S24" i="11"/>
  <c r="T24" i="11"/>
  <c r="T24" i="12" s="1"/>
  <c r="U24" i="11"/>
  <c r="U24" i="12" s="1"/>
  <c r="V24" i="11"/>
  <c r="V24" i="12" s="1"/>
  <c r="W24" i="11"/>
  <c r="W24" i="12" s="1"/>
  <c r="X24" i="11"/>
  <c r="X24" i="12" s="1"/>
  <c r="Y24" i="11"/>
  <c r="Y24" i="12" s="1"/>
  <c r="Z24" i="11"/>
  <c r="Z24" i="12" s="1"/>
  <c r="AA24" i="11"/>
  <c r="AA24" i="12" s="1"/>
  <c r="AB24" i="11"/>
  <c r="AB24" i="12" s="1"/>
  <c r="AC24" i="11"/>
  <c r="AC24" i="12" s="1"/>
  <c r="AD24" i="11"/>
  <c r="AD24" i="12" s="1"/>
  <c r="AE24" i="11"/>
  <c r="AE24" i="12" s="1"/>
  <c r="AF24" i="11"/>
  <c r="AF24" i="12" s="1"/>
  <c r="AG24" i="11"/>
  <c r="AG24" i="12" s="1"/>
  <c r="D25" i="11"/>
  <c r="D25" i="12" s="1"/>
  <c r="E25" i="11"/>
  <c r="E25" i="12" s="1"/>
  <c r="F25" i="11"/>
  <c r="G25" i="11"/>
  <c r="H25" i="11"/>
  <c r="H25" i="12" s="1"/>
  <c r="I25" i="11"/>
  <c r="I25" i="12" s="1"/>
  <c r="J25" i="11"/>
  <c r="J25" i="12" s="1"/>
  <c r="K25" i="11"/>
  <c r="K25" i="12" s="1"/>
  <c r="L25" i="11"/>
  <c r="L25" i="12" s="1"/>
  <c r="M25" i="11"/>
  <c r="M25" i="12" s="1"/>
  <c r="N25" i="11"/>
  <c r="N25" i="12" s="1"/>
  <c r="O25" i="11"/>
  <c r="O25" i="12" s="1"/>
  <c r="P25" i="11"/>
  <c r="P25" i="12" s="1"/>
  <c r="Q25" i="11"/>
  <c r="Q25" i="12" s="1"/>
  <c r="R25" i="11"/>
  <c r="R25" i="12" s="1"/>
  <c r="S25" i="11"/>
  <c r="S25" i="12" s="1"/>
  <c r="T25" i="11"/>
  <c r="T25" i="12" s="1"/>
  <c r="U25" i="11"/>
  <c r="U25" i="12" s="1"/>
  <c r="V25" i="11"/>
  <c r="V25" i="12" s="1"/>
  <c r="W25" i="11"/>
  <c r="W25" i="12" s="1"/>
  <c r="X25" i="11"/>
  <c r="X25" i="12" s="1"/>
  <c r="Y25" i="11"/>
  <c r="Z25" i="11"/>
  <c r="AA25" i="11"/>
  <c r="AB25" i="11"/>
  <c r="AC25" i="11"/>
  <c r="AD25" i="11"/>
  <c r="AD25" i="12" s="1"/>
  <c r="AE25" i="11"/>
  <c r="AE25" i="12" s="1"/>
  <c r="AF25" i="11"/>
  <c r="AF25" i="12" s="1"/>
  <c r="AG25" i="11"/>
  <c r="AG25" i="12" s="1"/>
  <c r="D26" i="11"/>
  <c r="D26" i="12" s="1"/>
  <c r="E26" i="11"/>
  <c r="E26" i="12" s="1"/>
  <c r="F26" i="11"/>
  <c r="F26" i="12" s="1"/>
  <c r="G26" i="11"/>
  <c r="G26" i="12" s="1"/>
  <c r="H26" i="11"/>
  <c r="H26" i="12" s="1"/>
  <c r="I26" i="11"/>
  <c r="I26" i="12" s="1"/>
  <c r="J26" i="11"/>
  <c r="J26" i="12" s="1"/>
  <c r="K26" i="11"/>
  <c r="K26" i="12" s="1"/>
  <c r="L26" i="11"/>
  <c r="L26" i="12" s="1"/>
  <c r="M26" i="11"/>
  <c r="M26" i="12" s="1"/>
  <c r="N26" i="11"/>
  <c r="N26" i="12" s="1"/>
  <c r="O26" i="11"/>
  <c r="P26" i="11"/>
  <c r="Q26" i="11"/>
  <c r="R26" i="11"/>
  <c r="R26" i="12" s="1"/>
  <c r="S26" i="11"/>
  <c r="S26" i="12" s="1"/>
  <c r="T26" i="11"/>
  <c r="T26" i="12" s="1"/>
  <c r="U26" i="11"/>
  <c r="U26" i="12" s="1"/>
  <c r="V26" i="11"/>
  <c r="V26" i="12" s="1"/>
  <c r="W26" i="11"/>
  <c r="W26" i="12" s="1"/>
  <c r="X26" i="11"/>
  <c r="X26" i="12" s="1"/>
  <c r="Y26" i="11"/>
  <c r="Y26" i="12" s="1"/>
  <c r="Z26" i="11"/>
  <c r="Z26" i="12" s="1"/>
  <c r="AA26" i="11"/>
  <c r="AA26" i="12" s="1"/>
  <c r="AB26" i="11"/>
  <c r="AB26" i="12" s="1"/>
  <c r="AC26" i="11"/>
  <c r="AC26" i="12" s="1"/>
  <c r="AD26" i="11"/>
  <c r="AD26" i="12" s="1"/>
  <c r="AE26" i="11"/>
  <c r="AE26" i="12" s="1"/>
  <c r="AF26" i="11"/>
  <c r="AF26" i="12" s="1"/>
  <c r="AG26" i="11"/>
  <c r="AG26" i="12" s="1"/>
  <c r="D27" i="11"/>
  <c r="E27" i="11"/>
  <c r="F27" i="11"/>
  <c r="F27" i="12" s="1"/>
  <c r="G27" i="11"/>
  <c r="G27" i="12" s="1"/>
  <c r="H27" i="11"/>
  <c r="H27" i="12" s="1"/>
  <c r="I27" i="11"/>
  <c r="I27" i="12" s="1"/>
  <c r="J27" i="11"/>
  <c r="J27" i="12" s="1"/>
  <c r="K27" i="11"/>
  <c r="K27" i="12" s="1"/>
  <c r="L27" i="11"/>
  <c r="L27" i="12" s="1"/>
  <c r="M27" i="11"/>
  <c r="M27" i="12" s="1"/>
  <c r="N27" i="11"/>
  <c r="N27" i="12" s="1"/>
  <c r="O27" i="11"/>
  <c r="O27" i="12" s="1"/>
  <c r="P27" i="11"/>
  <c r="P27" i="12" s="1"/>
  <c r="Q27" i="11"/>
  <c r="Q27" i="12" s="1"/>
  <c r="R27" i="11"/>
  <c r="R27" i="12" s="1"/>
  <c r="S27" i="11"/>
  <c r="S27" i="12" s="1"/>
  <c r="T27" i="11"/>
  <c r="T27" i="12" s="1"/>
  <c r="U27" i="11"/>
  <c r="U27" i="12" s="1"/>
  <c r="V27" i="11"/>
  <c r="V27" i="12" s="1"/>
  <c r="W27" i="11"/>
  <c r="W27" i="12" s="1"/>
  <c r="X27" i="11"/>
  <c r="X27" i="12" s="1"/>
  <c r="Y27" i="11"/>
  <c r="Y27" i="12" s="1"/>
  <c r="Z27" i="11"/>
  <c r="Z27" i="12" s="1"/>
  <c r="AA27" i="11"/>
  <c r="AA27" i="12" s="1"/>
  <c r="AB27" i="11"/>
  <c r="AB27" i="12" s="1"/>
  <c r="AC27" i="11"/>
  <c r="AC27" i="12" s="1"/>
  <c r="AD27" i="11"/>
  <c r="AD27" i="12" s="1"/>
  <c r="AE27" i="11"/>
  <c r="AE27" i="12" s="1"/>
  <c r="AF27" i="11"/>
  <c r="AF27" i="12" s="1"/>
  <c r="AG27" i="11"/>
  <c r="AG27" i="12" s="1"/>
  <c r="D28" i="11"/>
  <c r="D28" i="12" s="1"/>
  <c r="E28" i="11"/>
  <c r="E28" i="12" s="1"/>
  <c r="F28" i="11"/>
  <c r="F28" i="12" s="1"/>
  <c r="G28" i="11"/>
  <c r="G28" i="12" s="1"/>
  <c r="H28" i="11"/>
  <c r="H28" i="12" s="1"/>
  <c r="I28" i="11"/>
  <c r="I28" i="12" s="1"/>
  <c r="J28" i="11"/>
  <c r="J28" i="12" s="1"/>
  <c r="K28" i="11"/>
  <c r="K28" i="12" s="1"/>
  <c r="L28" i="11"/>
  <c r="L28" i="12" s="1"/>
  <c r="M28" i="11"/>
  <c r="M28" i="12" s="1"/>
  <c r="N28" i="11"/>
  <c r="O28" i="11"/>
  <c r="P28" i="11"/>
  <c r="Q28" i="11"/>
  <c r="R28" i="11"/>
  <c r="S28" i="11"/>
  <c r="T28" i="11"/>
  <c r="U28" i="11"/>
  <c r="V28" i="11"/>
  <c r="V28" i="12" s="1"/>
  <c r="W28" i="11"/>
  <c r="W28" i="12" s="1"/>
  <c r="X28" i="11"/>
  <c r="X28" i="12" s="1"/>
  <c r="Y28" i="11"/>
  <c r="Y28" i="12" s="1"/>
  <c r="Z28" i="11"/>
  <c r="Z28" i="12" s="1"/>
  <c r="AA28" i="11"/>
  <c r="AA28" i="12" s="1"/>
  <c r="AB28" i="11"/>
  <c r="AB28" i="12" s="1"/>
  <c r="AC28" i="11"/>
  <c r="AC28" i="12" s="1"/>
  <c r="AD28" i="11"/>
  <c r="AE28" i="11"/>
  <c r="AF28" i="11"/>
  <c r="AG28" i="11"/>
  <c r="AG28" i="12" s="1"/>
  <c r="D29" i="11"/>
  <c r="D29" i="12" s="1"/>
  <c r="E29" i="11"/>
  <c r="E29" i="12" s="1"/>
  <c r="F29" i="11"/>
  <c r="F29" i="12" s="1"/>
  <c r="G29" i="11"/>
  <c r="G29" i="12" s="1"/>
  <c r="H29" i="11"/>
  <c r="H29" i="12" s="1"/>
  <c r="I29" i="11"/>
  <c r="J29" i="11"/>
  <c r="K29" i="11"/>
  <c r="L29" i="11"/>
  <c r="M29" i="11"/>
  <c r="N29" i="11"/>
  <c r="N29" i="12" s="1"/>
  <c r="O29" i="11"/>
  <c r="O29" i="12" s="1"/>
  <c r="P29" i="11"/>
  <c r="P29" i="12" s="1"/>
  <c r="Q29" i="11"/>
  <c r="Q29" i="12" s="1"/>
  <c r="R29" i="11"/>
  <c r="R29" i="12" s="1"/>
  <c r="S29" i="11"/>
  <c r="S29" i="12" s="1"/>
  <c r="T29" i="11"/>
  <c r="T29" i="12" s="1"/>
  <c r="U29" i="11"/>
  <c r="U29" i="12" s="1"/>
  <c r="V29" i="11"/>
  <c r="V29" i="12" s="1"/>
  <c r="W29" i="11"/>
  <c r="W29" i="12" s="1"/>
  <c r="X29" i="11"/>
  <c r="X29" i="12" s="1"/>
  <c r="Y29" i="11"/>
  <c r="Y29" i="12" s="1"/>
  <c r="Z29" i="11"/>
  <c r="Z29" i="12" s="1"/>
  <c r="AA29" i="11"/>
  <c r="AA29" i="12" s="1"/>
  <c r="AB29" i="11"/>
  <c r="AB29" i="12" s="1"/>
  <c r="AC29" i="11"/>
  <c r="AC29" i="12" s="1"/>
  <c r="AD29" i="11"/>
  <c r="AD29" i="12" s="1"/>
  <c r="AE29" i="11"/>
  <c r="AE29" i="12" s="1"/>
  <c r="AF29" i="11"/>
  <c r="AF29" i="12" s="1"/>
  <c r="AG29" i="11"/>
  <c r="AG29" i="12" s="1"/>
  <c r="D30" i="11"/>
  <c r="D30" i="12" s="1"/>
  <c r="E30" i="11"/>
  <c r="E30" i="12" s="1"/>
  <c r="F30" i="11"/>
  <c r="F30" i="12" s="1"/>
  <c r="G30" i="11"/>
  <c r="G30" i="12" s="1"/>
  <c r="H30" i="11"/>
  <c r="H30" i="12" s="1"/>
  <c r="I30" i="11"/>
  <c r="I30" i="12" s="1"/>
  <c r="J30" i="11"/>
  <c r="J30" i="12" s="1"/>
  <c r="K30" i="11"/>
  <c r="K30" i="12" s="1"/>
  <c r="L30" i="11"/>
  <c r="L30" i="12" s="1"/>
  <c r="M30" i="11"/>
  <c r="M30" i="12" s="1"/>
  <c r="N30" i="11"/>
  <c r="N30" i="12" s="1"/>
  <c r="O30" i="11"/>
  <c r="P30" i="11"/>
  <c r="Q30" i="11"/>
  <c r="Q30" i="12" s="1"/>
  <c r="R30" i="11"/>
  <c r="R30" i="12" s="1"/>
  <c r="S30" i="11"/>
  <c r="S30" i="12" s="1"/>
  <c r="T30" i="11"/>
  <c r="T30" i="12" s="1"/>
  <c r="U30" i="11"/>
  <c r="U30" i="12" s="1"/>
  <c r="V30" i="11"/>
  <c r="V30" i="12" s="1"/>
  <c r="W30" i="11"/>
  <c r="W30" i="12" s="1"/>
  <c r="X30" i="11"/>
  <c r="X30" i="12" s="1"/>
  <c r="Y30" i="11"/>
  <c r="Y30" i="12" s="1"/>
  <c r="Z30" i="11"/>
  <c r="Z30" i="12" s="1"/>
  <c r="AA30" i="11"/>
  <c r="AA30" i="12" s="1"/>
  <c r="AB30" i="11"/>
  <c r="AB30" i="12" s="1"/>
  <c r="AC30" i="11"/>
  <c r="AC30" i="12" s="1"/>
  <c r="AD30" i="11"/>
  <c r="AD30" i="12" s="1"/>
  <c r="AE30" i="11"/>
  <c r="AE30" i="12" s="1"/>
  <c r="AF30" i="11"/>
  <c r="AF30" i="12" s="1"/>
  <c r="AG30" i="11"/>
  <c r="AG30" i="12" s="1"/>
  <c r="D31" i="11"/>
  <c r="E31" i="11"/>
  <c r="E31" i="12" s="1"/>
  <c r="F31" i="11"/>
  <c r="F31" i="12" s="1"/>
  <c r="G31" i="11"/>
  <c r="G31" i="12" s="1"/>
  <c r="H31" i="11"/>
  <c r="H31" i="12" s="1"/>
  <c r="I31" i="11"/>
  <c r="I31" i="12" s="1"/>
  <c r="J31" i="11"/>
  <c r="J31" i="12" s="1"/>
  <c r="K31" i="11"/>
  <c r="L31" i="11"/>
  <c r="M31" i="11"/>
  <c r="N31" i="11"/>
  <c r="O31" i="11"/>
  <c r="O31" i="12" s="1"/>
  <c r="P31" i="11"/>
  <c r="Q31" i="11"/>
  <c r="R31" i="11"/>
  <c r="R31" i="12" s="1"/>
  <c r="S31" i="11"/>
  <c r="S31" i="12" s="1"/>
  <c r="T31" i="11"/>
  <c r="T31" i="12" s="1"/>
  <c r="U31" i="11"/>
  <c r="U31" i="12" s="1"/>
  <c r="V31" i="11"/>
  <c r="V31" i="12" s="1"/>
  <c r="W31" i="11"/>
  <c r="X31" i="11"/>
  <c r="Y31" i="11"/>
  <c r="Y31" i="12" s="1"/>
  <c r="Z31" i="11"/>
  <c r="Z31" i="12" s="1"/>
  <c r="AA31" i="11"/>
  <c r="AB31" i="11"/>
  <c r="AC31" i="11"/>
  <c r="AD31" i="11"/>
  <c r="AE31" i="11"/>
  <c r="AF31" i="11"/>
  <c r="AF31" i="12" s="1"/>
  <c r="AG31" i="11"/>
  <c r="D32" i="11"/>
  <c r="D32" i="12" s="1"/>
  <c r="E32" i="11"/>
  <c r="E32" i="12" s="1"/>
  <c r="F32" i="11"/>
  <c r="F32" i="12" s="1"/>
  <c r="G32" i="11"/>
  <c r="G32" i="12" s="1"/>
  <c r="H32" i="11"/>
  <c r="I32" i="11"/>
  <c r="J32" i="11"/>
  <c r="K32" i="11"/>
  <c r="K32" i="12" s="1"/>
  <c r="L32" i="11"/>
  <c r="L32" i="12" s="1"/>
  <c r="M32" i="11"/>
  <c r="M32" i="12" s="1"/>
  <c r="N32" i="11"/>
  <c r="N32" i="12" s="1"/>
  <c r="O32" i="11"/>
  <c r="O32" i="12" s="1"/>
  <c r="P32" i="11"/>
  <c r="P32" i="12" s="1"/>
  <c r="Q32" i="11"/>
  <c r="Q32" i="12" s="1"/>
  <c r="R32" i="11"/>
  <c r="S32" i="11"/>
  <c r="T32" i="11"/>
  <c r="U32" i="11"/>
  <c r="U32" i="12" s="1"/>
  <c r="V32" i="11"/>
  <c r="V32" i="12" s="1"/>
  <c r="W32" i="11"/>
  <c r="W32" i="12" s="1"/>
  <c r="X32" i="11"/>
  <c r="X32" i="12" s="1"/>
  <c r="Y32" i="11"/>
  <c r="Y32" i="12" s="1"/>
  <c r="Z32" i="11"/>
  <c r="Z32" i="12" s="1"/>
  <c r="AA32" i="11"/>
  <c r="AA32" i="12" s="1"/>
  <c r="AB32" i="11"/>
  <c r="AB32" i="12" s="1"/>
  <c r="AC32" i="11"/>
  <c r="AC32" i="12" s="1"/>
  <c r="AD32" i="11"/>
  <c r="AD32" i="12" s="1"/>
  <c r="AE32" i="11"/>
  <c r="AE32" i="12" s="1"/>
  <c r="AF32" i="11"/>
  <c r="AF32" i="12" s="1"/>
  <c r="AG32" i="11"/>
  <c r="AG32" i="12" s="1"/>
  <c r="D33" i="11"/>
  <c r="D33" i="12" s="1"/>
  <c r="E33" i="11"/>
  <c r="E33" i="12" s="1"/>
  <c r="F33" i="11"/>
  <c r="F33" i="12" s="1"/>
  <c r="G33" i="11"/>
  <c r="G33" i="12" s="1"/>
  <c r="H33" i="11"/>
  <c r="H33" i="12" s="1"/>
  <c r="I33" i="11"/>
  <c r="I33" i="12" s="1"/>
  <c r="J33" i="11"/>
  <c r="J33" i="12" s="1"/>
  <c r="K33" i="11"/>
  <c r="K33" i="12" s="1"/>
  <c r="L33" i="11"/>
  <c r="L33" i="12" s="1"/>
  <c r="M33" i="11"/>
  <c r="M33" i="12" s="1"/>
  <c r="N33" i="11"/>
  <c r="N33" i="12" s="1"/>
  <c r="O33" i="11"/>
  <c r="O33" i="12" s="1"/>
  <c r="P33" i="11"/>
  <c r="P33" i="12" s="1"/>
  <c r="Q33" i="11"/>
  <c r="Q33" i="12" s="1"/>
  <c r="R33" i="11"/>
  <c r="S33" i="11"/>
  <c r="S33" i="12" s="1"/>
  <c r="T33" i="11"/>
  <c r="T33" i="12" s="1"/>
  <c r="U33" i="11"/>
  <c r="U33" i="12" s="1"/>
  <c r="V33" i="11"/>
  <c r="V33" i="12" s="1"/>
  <c r="W33" i="11"/>
  <c r="W33" i="12" s="1"/>
  <c r="X33" i="11"/>
  <c r="X33" i="12" s="1"/>
  <c r="Y33" i="11"/>
  <c r="Z33" i="11"/>
  <c r="Z33" i="12" s="1"/>
  <c r="AA33" i="11"/>
  <c r="AA33" i="12" s="1"/>
  <c r="AB33" i="11"/>
  <c r="AC33" i="11"/>
  <c r="AC33" i="12" s="1"/>
  <c r="AD33" i="11"/>
  <c r="AD33" i="12" s="1"/>
  <c r="AE33" i="11"/>
  <c r="AE33" i="12" s="1"/>
  <c r="AF33" i="11"/>
  <c r="AF33" i="12" s="1"/>
  <c r="AG33" i="11"/>
  <c r="AG33" i="12" s="1"/>
  <c r="D34" i="11"/>
  <c r="D34" i="12" s="1"/>
  <c r="E34" i="11"/>
  <c r="E34" i="12" s="1"/>
  <c r="F34" i="11"/>
  <c r="F34" i="12" s="1"/>
  <c r="G34" i="11"/>
  <c r="G34" i="12" s="1"/>
  <c r="H34" i="11"/>
  <c r="H34" i="12" s="1"/>
  <c r="I34" i="11"/>
  <c r="I34" i="12" s="1"/>
  <c r="J34" i="11"/>
  <c r="J34" i="12" s="1"/>
  <c r="K34" i="11"/>
  <c r="K34" i="12" s="1"/>
  <c r="L34" i="11"/>
  <c r="L34" i="12" s="1"/>
  <c r="M34" i="11"/>
  <c r="M34" i="12" s="1"/>
  <c r="N34" i="11"/>
  <c r="N34" i="12" s="1"/>
  <c r="O34" i="11"/>
  <c r="O34" i="12" s="1"/>
  <c r="P34" i="11"/>
  <c r="P34" i="12" s="1"/>
  <c r="Q34" i="11"/>
  <c r="Q34" i="12" s="1"/>
  <c r="R34" i="11"/>
  <c r="R34" i="12" s="1"/>
  <c r="S34" i="11"/>
  <c r="S34" i="12" s="1"/>
  <c r="T34" i="11"/>
  <c r="T34" i="12" s="1"/>
  <c r="U34" i="11"/>
  <c r="V34" i="11"/>
  <c r="W34" i="11"/>
  <c r="X34" i="11"/>
  <c r="X34" i="12" s="1"/>
  <c r="Y34" i="11"/>
  <c r="Y34" i="12" s="1"/>
  <c r="Z34" i="11"/>
  <c r="Z34" i="12" s="1"/>
  <c r="AA34" i="11"/>
  <c r="AA34" i="12" s="1"/>
  <c r="AB34" i="11"/>
  <c r="AB34" i="12" s="1"/>
  <c r="AC34" i="11"/>
  <c r="AC34" i="12" s="1"/>
  <c r="AD34" i="11"/>
  <c r="AD34" i="12" s="1"/>
  <c r="AE34" i="11"/>
  <c r="AE34" i="12" s="1"/>
  <c r="AF34" i="11"/>
  <c r="AF34" i="12" s="1"/>
  <c r="AG34" i="11"/>
  <c r="AG34" i="12" s="1"/>
  <c r="D35" i="11"/>
  <c r="D35" i="12" s="1"/>
  <c r="E35" i="11"/>
  <c r="E35" i="12" s="1"/>
  <c r="F35" i="11"/>
  <c r="F35" i="12" s="1"/>
  <c r="G35" i="11"/>
  <c r="G35" i="12" s="1"/>
  <c r="H35" i="11"/>
  <c r="H35" i="12" s="1"/>
  <c r="I35" i="11"/>
  <c r="I35" i="12" s="1"/>
  <c r="J35" i="11"/>
  <c r="J35" i="12" s="1"/>
  <c r="K35" i="11"/>
  <c r="K35" i="12" s="1"/>
  <c r="L35" i="11"/>
  <c r="L35" i="12" s="1"/>
  <c r="M35" i="11"/>
  <c r="M35" i="12" s="1"/>
  <c r="N35" i="11"/>
  <c r="N35" i="12" s="1"/>
  <c r="O35" i="11"/>
  <c r="O35" i="12" s="1"/>
  <c r="P35" i="11"/>
  <c r="P35" i="12" s="1"/>
  <c r="Q35" i="11"/>
  <c r="R35" i="11"/>
  <c r="S35" i="11"/>
  <c r="T35" i="11"/>
  <c r="T35" i="12" s="1"/>
  <c r="U35" i="11"/>
  <c r="U35" i="12" s="1"/>
  <c r="V35" i="11"/>
  <c r="V35" i="12" s="1"/>
  <c r="W35" i="11"/>
  <c r="W35" i="12" s="1"/>
  <c r="X35" i="11"/>
  <c r="X35" i="12" s="1"/>
  <c r="Y35" i="11"/>
  <c r="Y35" i="12" s="1"/>
  <c r="Z35" i="11"/>
  <c r="Z35" i="12" s="1"/>
  <c r="AA35" i="11"/>
  <c r="AA35" i="12" s="1"/>
  <c r="AB35" i="11"/>
  <c r="AB35" i="12" s="1"/>
  <c r="AC35" i="11"/>
  <c r="AC35" i="12" s="1"/>
  <c r="AD35" i="11"/>
  <c r="AD35" i="12" s="1"/>
  <c r="AE35" i="11"/>
  <c r="AE35" i="12" s="1"/>
  <c r="AF35" i="11"/>
  <c r="AF35" i="12" s="1"/>
  <c r="AG35" i="11"/>
  <c r="AG35" i="12" s="1"/>
  <c r="D36" i="11"/>
  <c r="D36" i="12" s="1"/>
  <c r="E36" i="11"/>
  <c r="E36" i="12" s="1"/>
  <c r="F36" i="11"/>
  <c r="F36" i="12" s="1"/>
  <c r="G36" i="11"/>
  <c r="G36" i="12" s="1"/>
  <c r="H36" i="11"/>
  <c r="H36" i="12" s="1"/>
  <c r="I36" i="11"/>
  <c r="I36" i="12" s="1"/>
  <c r="J36" i="11"/>
  <c r="K36" i="11"/>
  <c r="L36" i="11"/>
  <c r="L36" i="12" s="1"/>
  <c r="M36" i="11"/>
  <c r="M36" i="12" s="1"/>
  <c r="N36" i="11"/>
  <c r="N36" i="12" s="1"/>
  <c r="O36" i="11"/>
  <c r="O36" i="12" s="1"/>
  <c r="P36" i="11"/>
  <c r="P36" i="12" s="1"/>
  <c r="Q36" i="11"/>
  <c r="Q36" i="12" s="1"/>
  <c r="R36" i="11"/>
  <c r="R36" i="12" s="1"/>
  <c r="S36" i="11"/>
  <c r="S36" i="12" s="1"/>
  <c r="T36" i="11"/>
  <c r="T36" i="12" s="1"/>
  <c r="U36" i="11"/>
  <c r="U36" i="12" s="1"/>
  <c r="V36" i="11"/>
  <c r="V36" i="12" s="1"/>
  <c r="W36" i="11"/>
  <c r="W36" i="12" s="1"/>
  <c r="X36" i="11"/>
  <c r="X36" i="12" s="1"/>
  <c r="Y36" i="11"/>
  <c r="Y36" i="12" s="1"/>
  <c r="Z36" i="11"/>
  <c r="Z36" i="12" s="1"/>
  <c r="AA36" i="11"/>
  <c r="AA36" i="12" s="1"/>
  <c r="AB36" i="11"/>
  <c r="AB36" i="12" s="1"/>
  <c r="AC36" i="11"/>
  <c r="AC36" i="12" s="1"/>
  <c r="AD36" i="11"/>
  <c r="AD36" i="12" s="1"/>
  <c r="AE36" i="11"/>
  <c r="AE36" i="12" s="1"/>
  <c r="AF36" i="11"/>
  <c r="AF36" i="12" s="1"/>
  <c r="AG36" i="11"/>
  <c r="AG36" i="12" s="1"/>
  <c r="D37" i="11"/>
  <c r="D37" i="12" s="1"/>
  <c r="E37" i="11"/>
  <c r="E37" i="12" s="1"/>
  <c r="F37" i="11"/>
  <c r="F37" i="12" s="1"/>
  <c r="G37" i="11"/>
  <c r="G37" i="12" s="1"/>
  <c r="H37" i="11"/>
  <c r="H37" i="12" s="1"/>
  <c r="I37" i="11"/>
  <c r="J37" i="11"/>
  <c r="K37" i="11"/>
  <c r="L37" i="11"/>
  <c r="L37" i="12" s="1"/>
  <c r="M37" i="11"/>
  <c r="M37" i="12" s="1"/>
  <c r="N37" i="11"/>
  <c r="N37" i="12" s="1"/>
  <c r="O37" i="11"/>
  <c r="O37" i="12" s="1"/>
  <c r="P37" i="11"/>
  <c r="P37" i="12" s="1"/>
  <c r="Q37" i="11"/>
  <c r="Q37" i="12" s="1"/>
  <c r="R37" i="11"/>
  <c r="R37" i="12" s="1"/>
  <c r="S37" i="11"/>
  <c r="S37" i="12" s="1"/>
  <c r="T37" i="11"/>
  <c r="T37" i="12" s="1"/>
  <c r="U37" i="11"/>
  <c r="U37" i="12" s="1"/>
  <c r="V37" i="11"/>
  <c r="V37" i="12" s="1"/>
  <c r="W37" i="11"/>
  <c r="W37" i="12" s="1"/>
  <c r="X37" i="11"/>
  <c r="X37" i="12" s="1"/>
  <c r="Y37" i="11"/>
  <c r="Y37" i="12" s="1"/>
  <c r="Z37" i="11"/>
  <c r="Z37" i="12" s="1"/>
  <c r="AA37" i="11"/>
  <c r="AA37" i="12" s="1"/>
  <c r="AB37" i="11"/>
  <c r="AB37" i="12" s="1"/>
  <c r="AC37" i="11"/>
  <c r="AD37" i="11"/>
  <c r="AD37" i="12" s="1"/>
  <c r="AE37" i="11"/>
  <c r="AE37" i="12" s="1"/>
  <c r="AF37" i="11"/>
  <c r="AF37" i="12" s="1"/>
  <c r="AG37" i="11"/>
  <c r="AG37" i="12" s="1"/>
  <c r="D38" i="11"/>
  <c r="E38" i="11"/>
  <c r="F38" i="11"/>
  <c r="F38" i="12" s="1"/>
  <c r="G38" i="11"/>
  <c r="G38" i="12" s="1"/>
  <c r="H38" i="11"/>
  <c r="H38" i="12" s="1"/>
  <c r="I38" i="11"/>
  <c r="I38" i="12" s="1"/>
  <c r="J38" i="11"/>
  <c r="J38" i="12" s="1"/>
  <c r="K38" i="11"/>
  <c r="K38" i="12" s="1"/>
  <c r="L38" i="11"/>
  <c r="L38" i="12" s="1"/>
  <c r="M38" i="11"/>
  <c r="M38" i="12" s="1"/>
  <c r="N38" i="11"/>
  <c r="N38" i="12" s="1"/>
  <c r="O38" i="11"/>
  <c r="O38" i="12" s="1"/>
  <c r="P38" i="11"/>
  <c r="P38" i="12" s="1"/>
  <c r="Q38" i="11"/>
  <c r="Q38" i="12" s="1"/>
  <c r="R38" i="11"/>
  <c r="R38" i="12" s="1"/>
  <c r="S38" i="11"/>
  <c r="S38" i="12" s="1"/>
  <c r="T38" i="11"/>
  <c r="T38" i="12" s="1"/>
  <c r="U38" i="11"/>
  <c r="U38" i="12" s="1"/>
  <c r="V38" i="11"/>
  <c r="V38" i="12" s="1"/>
  <c r="W38" i="11"/>
  <c r="W38" i="12" s="1"/>
  <c r="X38" i="11"/>
  <c r="X38" i="12" s="1"/>
  <c r="Y38" i="11"/>
  <c r="Y38" i="12" s="1"/>
  <c r="Z38" i="11"/>
  <c r="Z38" i="12" s="1"/>
  <c r="AA38" i="11"/>
  <c r="AB38" i="11"/>
  <c r="AC38" i="11"/>
  <c r="AC38" i="12" s="1"/>
  <c r="AD38" i="11"/>
  <c r="AD38" i="12" s="1"/>
  <c r="AE38" i="11"/>
  <c r="AE38" i="12" s="1"/>
  <c r="AF38" i="11"/>
  <c r="AF38" i="12" s="1"/>
  <c r="AG38" i="11"/>
  <c r="AG38" i="12" s="1"/>
  <c r="D39" i="11"/>
  <c r="E39" i="11"/>
  <c r="E39" i="12" s="1"/>
  <c r="F39" i="11"/>
  <c r="F39" i="12" s="1"/>
  <c r="G39" i="11"/>
  <c r="G39" i="12" s="1"/>
  <c r="H39" i="11"/>
  <c r="H39" i="12" s="1"/>
  <c r="I39" i="11"/>
  <c r="I39" i="12" s="1"/>
  <c r="J39" i="11"/>
  <c r="J39" i="12" s="1"/>
  <c r="K39" i="11"/>
  <c r="K39" i="12" s="1"/>
  <c r="L39" i="11"/>
  <c r="L39" i="12" s="1"/>
  <c r="M39" i="11"/>
  <c r="M39" i="12" s="1"/>
  <c r="N39" i="11"/>
  <c r="N39" i="12" s="1"/>
  <c r="O39" i="11"/>
  <c r="O39" i="12" s="1"/>
  <c r="P39" i="11"/>
  <c r="P39" i="12" s="1"/>
  <c r="Q39" i="11"/>
  <c r="Q39" i="12" s="1"/>
  <c r="R39" i="11"/>
  <c r="R39" i="12" s="1"/>
  <c r="S39" i="11"/>
  <c r="S39" i="12" s="1"/>
  <c r="T39" i="11"/>
  <c r="T39" i="12" s="1"/>
  <c r="U39" i="11"/>
  <c r="U39" i="12" s="1"/>
  <c r="V39" i="11"/>
  <c r="V39" i="12" s="1"/>
  <c r="W39" i="11"/>
  <c r="W39" i="12" s="1"/>
  <c r="X39" i="11"/>
  <c r="X39" i="12" s="1"/>
  <c r="Y39" i="11"/>
  <c r="Y39" i="12" s="1"/>
  <c r="Z39" i="11"/>
  <c r="Z39" i="12" s="1"/>
  <c r="AA39" i="11"/>
  <c r="AA39" i="12" s="1"/>
  <c r="AB39" i="11"/>
  <c r="AB39" i="12" s="1"/>
  <c r="AC39" i="11"/>
  <c r="AC39" i="12" s="1"/>
  <c r="AD39" i="11"/>
  <c r="AD39" i="12" s="1"/>
  <c r="AE39" i="11"/>
  <c r="AE39" i="12" s="1"/>
  <c r="AF39" i="11"/>
  <c r="AF39" i="12" s="1"/>
  <c r="AG39" i="11"/>
  <c r="AG39" i="12" s="1"/>
  <c r="D40" i="11"/>
  <c r="D40" i="12" s="1"/>
  <c r="E40" i="11"/>
  <c r="E40" i="12" s="1"/>
  <c r="F40" i="11"/>
  <c r="G40" i="11"/>
  <c r="G40" i="12" s="1"/>
  <c r="H40" i="11"/>
  <c r="H40" i="12" s="1"/>
  <c r="I40" i="11"/>
  <c r="I40" i="12" s="1"/>
  <c r="J40" i="11"/>
  <c r="K40" i="11"/>
  <c r="K40" i="12" s="1"/>
  <c r="L40" i="11"/>
  <c r="L40" i="12" s="1"/>
  <c r="M40" i="11"/>
  <c r="M40" i="12" s="1"/>
  <c r="N40" i="11"/>
  <c r="N40" i="12" s="1"/>
  <c r="O40" i="11"/>
  <c r="O40" i="12" s="1"/>
  <c r="P40" i="11"/>
  <c r="P40" i="12" s="1"/>
  <c r="Q40" i="11"/>
  <c r="Q40" i="12" s="1"/>
  <c r="R40" i="11"/>
  <c r="S40" i="11"/>
  <c r="S40" i="12" s="1"/>
  <c r="T40" i="11"/>
  <c r="U40" i="11"/>
  <c r="U40" i="12" s="1"/>
  <c r="V40" i="11"/>
  <c r="V40" i="12" s="1"/>
  <c r="W40" i="11"/>
  <c r="W40" i="12" s="1"/>
  <c r="X40" i="11"/>
  <c r="X40" i="12" s="1"/>
  <c r="Y40" i="11"/>
  <c r="Y40" i="12" s="1"/>
  <c r="Z40" i="11"/>
  <c r="Z40" i="12" s="1"/>
  <c r="AA40" i="11"/>
  <c r="AA40" i="12" s="1"/>
  <c r="AB40" i="11"/>
  <c r="AC40" i="11"/>
  <c r="AC40" i="12" s="1"/>
  <c r="AD40" i="11"/>
  <c r="AD40" i="12" s="1"/>
  <c r="AE40" i="11"/>
  <c r="AE40" i="12" s="1"/>
  <c r="AF40" i="11"/>
  <c r="AF40" i="12" s="1"/>
  <c r="AG40" i="11"/>
  <c r="AG40" i="12" s="1"/>
  <c r="D41" i="11"/>
  <c r="D41" i="12" s="1"/>
  <c r="E41" i="11"/>
  <c r="E41" i="12" s="1"/>
  <c r="F41" i="11"/>
  <c r="F41" i="12" s="1"/>
  <c r="G41" i="11"/>
  <c r="G41" i="12" s="1"/>
  <c r="H41" i="11"/>
  <c r="H41" i="12" s="1"/>
  <c r="I41" i="11"/>
  <c r="I41" i="12" s="1"/>
  <c r="J41" i="11"/>
  <c r="J41" i="12" s="1"/>
  <c r="K41" i="11"/>
  <c r="L41" i="11"/>
  <c r="M41" i="11"/>
  <c r="N41" i="11"/>
  <c r="N41" i="12" s="1"/>
  <c r="O41" i="11"/>
  <c r="O41" i="12" s="1"/>
  <c r="P41" i="11"/>
  <c r="P41" i="12" s="1"/>
  <c r="Q41" i="11"/>
  <c r="Q41" i="12" s="1"/>
  <c r="R41" i="11"/>
  <c r="R41" i="12" s="1"/>
  <c r="S41" i="11"/>
  <c r="S41" i="12" s="1"/>
  <c r="T41" i="11"/>
  <c r="T41" i="12" s="1"/>
  <c r="U41" i="11"/>
  <c r="V41" i="11"/>
  <c r="W41" i="11"/>
  <c r="X41" i="11"/>
  <c r="X41" i="12" s="1"/>
  <c r="Y41" i="11"/>
  <c r="Y41" i="12" s="1"/>
  <c r="Z41" i="11"/>
  <c r="Z41" i="12" s="1"/>
  <c r="AA41" i="11"/>
  <c r="AA41" i="12" s="1"/>
  <c r="AB41" i="11"/>
  <c r="AB41" i="12" s="1"/>
  <c r="AC41" i="11"/>
  <c r="AC41" i="12" s="1"/>
  <c r="AD41" i="11"/>
  <c r="AD41" i="12" s="1"/>
  <c r="AE41" i="11"/>
  <c r="AE41" i="12" s="1"/>
  <c r="AF41" i="11"/>
  <c r="AF41" i="12" s="1"/>
  <c r="AG41" i="11"/>
  <c r="AG41" i="12" s="1"/>
  <c r="D42" i="11"/>
  <c r="E42" i="11"/>
  <c r="F42" i="11"/>
  <c r="G42" i="11"/>
  <c r="H42" i="11"/>
  <c r="H42" i="12" s="1"/>
  <c r="I42" i="11"/>
  <c r="I42" i="12" s="1"/>
  <c r="J42" i="11"/>
  <c r="J42" i="12" s="1"/>
  <c r="K42" i="11"/>
  <c r="K42" i="12" s="1"/>
  <c r="L42" i="11"/>
  <c r="M42" i="11"/>
  <c r="N42" i="11"/>
  <c r="O42" i="11"/>
  <c r="P42" i="11"/>
  <c r="Q42" i="11"/>
  <c r="R42" i="11"/>
  <c r="R42" i="12" s="1"/>
  <c r="S42" i="11"/>
  <c r="S42" i="12" s="1"/>
  <c r="T42" i="11"/>
  <c r="T42" i="12" s="1"/>
  <c r="U42" i="11"/>
  <c r="U42" i="12" s="1"/>
  <c r="V42" i="11"/>
  <c r="V42" i="12" s="1"/>
  <c r="W42" i="11"/>
  <c r="W42" i="12" s="1"/>
  <c r="X42" i="11"/>
  <c r="Y42" i="11"/>
  <c r="Z42" i="11"/>
  <c r="AA42" i="11"/>
  <c r="AB42" i="11"/>
  <c r="AB42" i="12" s="1"/>
  <c r="AC42" i="11"/>
  <c r="AD42" i="11"/>
  <c r="AE42" i="11"/>
  <c r="AF42" i="11"/>
  <c r="AG42" i="11"/>
  <c r="D43" i="11"/>
  <c r="D43" i="12" s="1"/>
  <c r="E43" i="11"/>
  <c r="E43" i="12" s="1"/>
  <c r="F43" i="11"/>
  <c r="F43" i="12" s="1"/>
  <c r="G43" i="11"/>
  <c r="G43" i="12" s="1"/>
  <c r="H43" i="11"/>
  <c r="H43" i="12" s="1"/>
  <c r="I43" i="11"/>
  <c r="I43" i="12" s="1"/>
  <c r="J43" i="11"/>
  <c r="J43" i="12" s="1"/>
  <c r="K43" i="11"/>
  <c r="L43" i="11"/>
  <c r="M43" i="11"/>
  <c r="N43" i="11"/>
  <c r="N43" i="12" s="1"/>
  <c r="O43" i="11"/>
  <c r="O43" i="12" s="1"/>
  <c r="P43" i="11"/>
  <c r="P43" i="12" s="1"/>
  <c r="Q43" i="11"/>
  <c r="Q43" i="12" s="1"/>
  <c r="R43" i="11"/>
  <c r="R43" i="12" s="1"/>
  <c r="S43" i="11"/>
  <c r="S43" i="12" s="1"/>
  <c r="T43" i="11"/>
  <c r="T43" i="12" s="1"/>
  <c r="U43" i="11"/>
  <c r="U43" i="12" s="1"/>
  <c r="V43" i="11"/>
  <c r="W43" i="11"/>
  <c r="X43" i="11"/>
  <c r="X43" i="12" s="1"/>
  <c r="Y43" i="11"/>
  <c r="Y43" i="12" s="1"/>
  <c r="Z43" i="11"/>
  <c r="Z43" i="12" s="1"/>
  <c r="AA43" i="11"/>
  <c r="AA43" i="12" s="1"/>
  <c r="AB43" i="11"/>
  <c r="AB43" i="12" s="1"/>
  <c r="AC43" i="11"/>
  <c r="AC43" i="12" s="1"/>
  <c r="AD43" i="11"/>
  <c r="AD43" i="12" s="1"/>
  <c r="AE43" i="11"/>
  <c r="AE43" i="12" s="1"/>
  <c r="AF43" i="11"/>
  <c r="AF43" i="12" s="1"/>
  <c r="AG43" i="11"/>
  <c r="AG43" i="12" s="1"/>
  <c r="D44" i="11"/>
  <c r="D44" i="12" s="1"/>
  <c r="E44" i="11"/>
  <c r="E44" i="12" s="1"/>
  <c r="F44" i="11"/>
  <c r="F44" i="12" s="1"/>
  <c r="G44" i="11"/>
  <c r="G44" i="12" s="1"/>
  <c r="H44" i="11"/>
  <c r="H44" i="12" s="1"/>
  <c r="I44" i="11"/>
  <c r="I44" i="12" s="1"/>
  <c r="J44" i="11"/>
  <c r="K44" i="11"/>
  <c r="L44" i="11"/>
  <c r="M44" i="11"/>
  <c r="N44" i="11"/>
  <c r="N44" i="12" s="1"/>
  <c r="O44" i="11"/>
  <c r="O44" i="12" s="1"/>
  <c r="P44" i="11"/>
  <c r="P44" i="12" s="1"/>
  <c r="Q44" i="11"/>
  <c r="Q44" i="12" s="1"/>
  <c r="R44" i="11"/>
  <c r="R44" i="12" s="1"/>
  <c r="S44" i="11"/>
  <c r="T44" i="11"/>
  <c r="U44" i="11"/>
  <c r="V44" i="11"/>
  <c r="V44" i="12" s="1"/>
  <c r="W44" i="11"/>
  <c r="W44" i="12" s="1"/>
  <c r="X44" i="11"/>
  <c r="X44" i="12" s="1"/>
  <c r="Y44" i="11"/>
  <c r="Y44" i="12" s="1"/>
  <c r="Z44" i="11"/>
  <c r="Z44" i="12" s="1"/>
  <c r="AA44" i="11"/>
  <c r="AA44" i="12" s="1"/>
  <c r="AB44" i="11"/>
  <c r="AB44" i="12" s="1"/>
  <c r="AC44" i="11"/>
  <c r="AD44" i="11"/>
  <c r="AE44" i="11"/>
  <c r="AF44" i="11"/>
  <c r="AG44" i="11"/>
  <c r="D45" i="11"/>
  <c r="E45" i="11"/>
  <c r="E45" i="12" s="1"/>
  <c r="F45" i="11"/>
  <c r="F45" i="12" s="1"/>
  <c r="G45" i="11"/>
  <c r="G45" i="12" s="1"/>
  <c r="H45" i="11"/>
  <c r="H45" i="12" s="1"/>
  <c r="I45" i="11"/>
  <c r="I45" i="12" s="1"/>
  <c r="J45" i="11"/>
  <c r="J45" i="12" s="1"/>
  <c r="K45" i="11"/>
  <c r="K45" i="12" s="1"/>
  <c r="L45" i="11"/>
  <c r="L45" i="12" s="1"/>
  <c r="M45" i="11"/>
  <c r="M45" i="12" s="1"/>
  <c r="N45" i="11"/>
  <c r="N45" i="12" s="1"/>
  <c r="O45" i="11"/>
  <c r="O45" i="12" s="1"/>
  <c r="P45" i="11"/>
  <c r="P45" i="12" s="1"/>
  <c r="Q45" i="11"/>
  <c r="Q45" i="12" s="1"/>
  <c r="R45" i="11"/>
  <c r="R45" i="12" s="1"/>
  <c r="S45" i="11"/>
  <c r="S45" i="12" s="1"/>
  <c r="T45" i="11"/>
  <c r="T45" i="12" s="1"/>
  <c r="U45" i="11"/>
  <c r="U45" i="12" s="1"/>
  <c r="V45" i="11"/>
  <c r="V45" i="12" s="1"/>
  <c r="W45" i="11"/>
  <c r="W45" i="12" s="1"/>
  <c r="X45" i="11"/>
  <c r="Y45" i="11"/>
  <c r="Y45" i="12" s="1"/>
  <c r="Z45" i="11"/>
  <c r="Z45" i="12" s="1"/>
  <c r="AA45" i="11"/>
  <c r="AA45" i="12" s="1"/>
  <c r="AB45" i="11"/>
  <c r="AB45" i="12" s="1"/>
  <c r="AC45" i="11"/>
  <c r="AC45" i="12" s="1"/>
  <c r="AD45" i="11"/>
  <c r="AD45" i="12" s="1"/>
  <c r="AE45" i="11"/>
  <c r="AE45" i="12" s="1"/>
  <c r="AF45" i="11"/>
  <c r="AG45" i="11"/>
  <c r="D46" i="11"/>
  <c r="D46" i="12" s="1"/>
  <c r="E46" i="11"/>
  <c r="E46" i="12" s="1"/>
  <c r="F46" i="11"/>
  <c r="F46" i="12" s="1"/>
  <c r="G46" i="11"/>
  <c r="G46" i="12" s="1"/>
  <c r="H46" i="11"/>
  <c r="H46" i="12" s="1"/>
  <c r="I46" i="11"/>
  <c r="I46" i="12" s="1"/>
  <c r="J46" i="11"/>
  <c r="J46" i="12" s="1"/>
  <c r="K46" i="11"/>
  <c r="K46" i="12" s="1"/>
  <c r="L46" i="11"/>
  <c r="L46" i="12" s="1"/>
  <c r="M46" i="11"/>
  <c r="M46" i="12" s="1"/>
  <c r="N46" i="11"/>
  <c r="N46" i="12" s="1"/>
  <c r="O46" i="11"/>
  <c r="O46" i="12" s="1"/>
  <c r="P46" i="11"/>
  <c r="P46" i="12" s="1"/>
  <c r="Q46" i="11"/>
  <c r="Q46" i="12" s="1"/>
  <c r="R46" i="11"/>
  <c r="R46" i="12" s="1"/>
  <c r="S46" i="11"/>
  <c r="T46" i="11"/>
  <c r="U46" i="11"/>
  <c r="V46" i="11"/>
  <c r="V46" i="12" s="1"/>
  <c r="W46" i="11"/>
  <c r="W46" i="12" s="1"/>
  <c r="X46" i="11"/>
  <c r="X46" i="12" s="1"/>
  <c r="Y46" i="11"/>
  <c r="Y46" i="12" s="1"/>
  <c r="Z46" i="11"/>
  <c r="Z46" i="12" s="1"/>
  <c r="AA46" i="11"/>
  <c r="AA46" i="12" s="1"/>
  <c r="AB46" i="11"/>
  <c r="AB46" i="12" s="1"/>
  <c r="AC46" i="11"/>
  <c r="AC46" i="12" s="1"/>
  <c r="AD46" i="11"/>
  <c r="AD46" i="12" s="1"/>
  <c r="AE46" i="11"/>
  <c r="AE46" i="12" s="1"/>
  <c r="AF46" i="11"/>
  <c r="AF46" i="12" s="1"/>
  <c r="AG46" i="11"/>
  <c r="AG46" i="12" s="1"/>
  <c r="D47" i="11"/>
  <c r="E47" i="11"/>
  <c r="E47" i="12" s="1"/>
  <c r="F47" i="11"/>
  <c r="F47" i="12" s="1"/>
  <c r="G47" i="11"/>
  <c r="G47" i="12" s="1"/>
  <c r="H47" i="11"/>
  <c r="H47" i="12" s="1"/>
  <c r="I47" i="11"/>
  <c r="I47" i="12" s="1"/>
  <c r="J47" i="11"/>
  <c r="J47" i="12" s="1"/>
  <c r="K47" i="11"/>
  <c r="K47" i="12" s="1"/>
  <c r="L47" i="11"/>
  <c r="L47" i="12" s="1"/>
  <c r="M47" i="11"/>
  <c r="M47" i="12" s="1"/>
  <c r="N47" i="11"/>
  <c r="O47" i="11"/>
  <c r="O47" i="12" s="1"/>
  <c r="P47" i="11"/>
  <c r="P47" i="12" s="1"/>
  <c r="Q47" i="11"/>
  <c r="Q47" i="12" s="1"/>
  <c r="R47" i="11"/>
  <c r="R47" i="12" s="1"/>
  <c r="S47" i="11"/>
  <c r="S47" i="12" s="1"/>
  <c r="T47" i="11"/>
  <c r="T47" i="12" s="1"/>
  <c r="U47" i="11"/>
  <c r="U47" i="12" s="1"/>
  <c r="V47" i="11"/>
  <c r="W47" i="11"/>
  <c r="X47" i="11"/>
  <c r="Y47" i="11"/>
  <c r="Y47" i="12" s="1"/>
  <c r="Z47" i="11"/>
  <c r="Z47" i="12" s="1"/>
  <c r="AA47" i="11"/>
  <c r="AA47" i="12" s="1"/>
  <c r="AB47" i="11"/>
  <c r="AB47" i="12" s="1"/>
  <c r="AC47" i="11"/>
  <c r="AC47" i="12" s="1"/>
  <c r="AD47" i="11"/>
  <c r="AD47" i="12" s="1"/>
  <c r="AE47" i="11"/>
  <c r="AE47" i="12" s="1"/>
  <c r="AF47" i="11"/>
  <c r="AF47" i="12" s="1"/>
  <c r="AG47" i="11"/>
  <c r="AG47" i="12" s="1"/>
  <c r="D48" i="11"/>
  <c r="D48" i="12" s="1"/>
  <c r="E48" i="11"/>
  <c r="E48" i="12" s="1"/>
  <c r="F48" i="11"/>
  <c r="F48" i="12" s="1"/>
  <c r="G48" i="11"/>
  <c r="G48" i="12" s="1"/>
  <c r="H48" i="11"/>
  <c r="H48" i="12" s="1"/>
  <c r="I48" i="11"/>
  <c r="I48" i="12" s="1"/>
  <c r="J48" i="11"/>
  <c r="K48" i="11"/>
  <c r="K48" i="12" s="1"/>
  <c r="L48" i="11"/>
  <c r="L48" i="12" s="1"/>
  <c r="M48" i="11"/>
  <c r="M48" i="12" s="1"/>
  <c r="N48" i="11"/>
  <c r="N48" i="12" s="1"/>
  <c r="O48" i="11"/>
  <c r="O48" i="12" s="1"/>
  <c r="P48" i="11"/>
  <c r="P48" i="12" s="1"/>
  <c r="Q48" i="11"/>
  <c r="Q48" i="12" s="1"/>
  <c r="R48" i="11"/>
  <c r="R48" i="12" s="1"/>
  <c r="S48" i="11"/>
  <c r="S48" i="12" s="1"/>
  <c r="T48" i="11"/>
  <c r="T48" i="12" s="1"/>
  <c r="U48" i="11"/>
  <c r="U48" i="12" s="1"/>
  <c r="V48" i="11"/>
  <c r="V48" i="12" s="1"/>
  <c r="W48" i="11"/>
  <c r="W48" i="12" s="1"/>
  <c r="X48" i="11"/>
  <c r="X48" i="12" s="1"/>
  <c r="Y48" i="11"/>
  <c r="Z48" i="11"/>
  <c r="AA48" i="11"/>
  <c r="AA48" i="12" s="1"/>
  <c r="AB48" i="11"/>
  <c r="AB48" i="12" s="1"/>
  <c r="AC48" i="11"/>
  <c r="AC48" i="12" s="1"/>
  <c r="AD48" i="11"/>
  <c r="AD48" i="12" s="1"/>
  <c r="AE48" i="11"/>
  <c r="AE48" i="12" s="1"/>
  <c r="AF48" i="11"/>
  <c r="AF48" i="12" s="1"/>
  <c r="AG48" i="11"/>
  <c r="AG48" i="12" s="1"/>
  <c r="D49" i="11"/>
  <c r="D49" i="12" s="1"/>
  <c r="E49" i="11"/>
  <c r="E49" i="12" s="1"/>
  <c r="F49" i="11"/>
  <c r="F49" i="12" s="1"/>
  <c r="G49" i="11"/>
  <c r="G49" i="12" s="1"/>
  <c r="H49" i="11"/>
  <c r="H49" i="12" s="1"/>
  <c r="I49" i="11"/>
  <c r="I49" i="12" s="1"/>
  <c r="J49" i="11"/>
  <c r="J49" i="12" s="1"/>
  <c r="K49" i="11"/>
  <c r="K49" i="12" s="1"/>
  <c r="L49" i="11"/>
  <c r="L49" i="12" s="1"/>
  <c r="M49" i="11"/>
  <c r="M49" i="12" s="1"/>
  <c r="N49" i="11"/>
  <c r="N49" i="12" s="1"/>
  <c r="O49" i="11"/>
  <c r="O49" i="12" s="1"/>
  <c r="P49" i="11"/>
  <c r="P49" i="12" s="1"/>
  <c r="Q49" i="11"/>
  <c r="Q49" i="12" s="1"/>
  <c r="R49" i="11"/>
  <c r="R49" i="12" s="1"/>
  <c r="S49" i="11"/>
  <c r="S49" i="12" s="1"/>
  <c r="T49" i="11"/>
  <c r="T49" i="12" s="1"/>
  <c r="U49" i="11"/>
  <c r="U49" i="12" s="1"/>
  <c r="V49" i="11"/>
  <c r="V49" i="12" s="1"/>
  <c r="W49" i="11"/>
  <c r="W49" i="12" s="1"/>
  <c r="X49" i="11"/>
  <c r="X49" i="12" s="1"/>
  <c r="Y49" i="11"/>
  <c r="Y49" i="12" s="1"/>
  <c r="Z49" i="11"/>
  <c r="AA49" i="11"/>
  <c r="AB49" i="11"/>
  <c r="AC49" i="11"/>
  <c r="AC49" i="12" s="1"/>
  <c r="AD49" i="11"/>
  <c r="AD49" i="12" s="1"/>
  <c r="AE49" i="11"/>
  <c r="AE49" i="12" s="1"/>
  <c r="AF49" i="11"/>
  <c r="AF49" i="12" s="1"/>
  <c r="AG49" i="11"/>
  <c r="AG49" i="12" s="1"/>
  <c r="D50" i="11"/>
  <c r="E50" i="11"/>
  <c r="F50" i="11"/>
  <c r="G50" i="11"/>
  <c r="G50" i="12" s="1"/>
  <c r="H50" i="11"/>
  <c r="H50" i="12" s="1"/>
  <c r="I50" i="11"/>
  <c r="I50" i="12" s="1"/>
  <c r="J50" i="11"/>
  <c r="J50" i="12" s="1"/>
  <c r="K50" i="11"/>
  <c r="K50" i="12" s="1"/>
  <c r="L50" i="11"/>
  <c r="L50" i="12" s="1"/>
  <c r="M50" i="11"/>
  <c r="M50" i="12" s="1"/>
  <c r="N50" i="11"/>
  <c r="N50" i="12" s="1"/>
  <c r="O50" i="11"/>
  <c r="O50" i="12" s="1"/>
  <c r="P50" i="11"/>
  <c r="P50" i="12" s="1"/>
  <c r="Q50" i="11"/>
  <c r="R50" i="11"/>
  <c r="S50" i="11"/>
  <c r="T50" i="11"/>
  <c r="U50" i="11"/>
  <c r="V50" i="11"/>
  <c r="W50" i="11"/>
  <c r="W50" i="12" s="1"/>
  <c r="X50" i="11"/>
  <c r="X50" i="12" s="1"/>
  <c r="Y50" i="11"/>
  <c r="Y50" i="12" s="1"/>
  <c r="Z50" i="11"/>
  <c r="Z50" i="12" s="1"/>
  <c r="AA50" i="11"/>
  <c r="AA50" i="12" s="1"/>
  <c r="AB50" i="11"/>
  <c r="AB50" i="12" s="1"/>
  <c r="AC50" i="11"/>
  <c r="AC50" i="12" s="1"/>
  <c r="AD50" i="11"/>
  <c r="AD50" i="12" s="1"/>
  <c r="AE50" i="11"/>
  <c r="AE50" i="12" s="1"/>
  <c r="AF50" i="11"/>
  <c r="AF50" i="12" s="1"/>
  <c r="AG50" i="11"/>
  <c r="AG50" i="12" s="1"/>
  <c r="D51" i="11"/>
  <c r="D51" i="12" s="1"/>
  <c r="E51" i="11"/>
  <c r="E51" i="12" s="1"/>
  <c r="F51" i="11"/>
  <c r="G51" i="11"/>
  <c r="H51" i="11"/>
  <c r="I51" i="11"/>
  <c r="I51" i="12" s="1"/>
  <c r="J51" i="11"/>
  <c r="J51" i="12" s="1"/>
  <c r="K51" i="11"/>
  <c r="K51" i="12" s="1"/>
  <c r="L51" i="11"/>
  <c r="L51" i="12" s="1"/>
  <c r="M51" i="11"/>
  <c r="M51" i="12" s="1"/>
  <c r="N51" i="11"/>
  <c r="N51" i="12" s="1"/>
  <c r="O51" i="11"/>
  <c r="O51" i="12" s="1"/>
  <c r="P51" i="11"/>
  <c r="P51" i="12" s="1"/>
  <c r="Q51" i="11"/>
  <c r="Q51" i="12" s="1"/>
  <c r="R51" i="11"/>
  <c r="R51" i="12" s="1"/>
  <c r="S51" i="11"/>
  <c r="S51" i="12" s="1"/>
  <c r="T51" i="11"/>
  <c r="T51" i="12" s="1"/>
  <c r="U51" i="11"/>
  <c r="U51" i="12" s="1"/>
  <c r="V51" i="11"/>
  <c r="V51" i="12" s="1"/>
  <c r="W51" i="11"/>
  <c r="W51" i="12" s="1"/>
  <c r="X51" i="11"/>
  <c r="X51" i="12" s="1"/>
  <c r="Y51" i="11"/>
  <c r="Y51" i="12" s="1"/>
  <c r="Z51" i="11"/>
  <c r="Z51" i="12" s="1"/>
  <c r="AA51" i="11"/>
  <c r="AA51" i="12" s="1"/>
  <c r="AB51" i="11"/>
  <c r="AB51" i="12" s="1"/>
  <c r="AC51" i="11"/>
  <c r="AC51" i="12" s="1"/>
  <c r="AD51" i="11"/>
  <c r="AD51" i="12" s="1"/>
  <c r="AE51" i="11"/>
  <c r="AE51" i="12" s="1"/>
  <c r="AF51" i="11"/>
  <c r="AF51" i="12" s="1"/>
  <c r="AG51" i="11"/>
  <c r="AG51" i="12" s="1"/>
  <c r="D52" i="11"/>
  <c r="D52" i="12" s="1"/>
  <c r="E52" i="11"/>
  <c r="E52" i="12" s="1"/>
  <c r="F52" i="11"/>
  <c r="G52" i="11"/>
  <c r="H52" i="11"/>
  <c r="H52" i="12" s="1"/>
  <c r="I52" i="11"/>
  <c r="I52" i="12" s="1"/>
  <c r="J52" i="11"/>
  <c r="J52" i="12" s="1"/>
  <c r="K52" i="11"/>
  <c r="K52" i="12" s="1"/>
  <c r="L52" i="11"/>
  <c r="L52" i="12" s="1"/>
  <c r="M52" i="11"/>
  <c r="M52" i="12" s="1"/>
  <c r="N52" i="11"/>
  <c r="N52" i="12" s="1"/>
  <c r="O52" i="11"/>
  <c r="O52" i="12" s="1"/>
  <c r="P52" i="11"/>
  <c r="P52" i="12" s="1"/>
  <c r="Q52" i="11"/>
  <c r="Q52" i="12" s="1"/>
  <c r="R52" i="11"/>
  <c r="R52" i="12" s="1"/>
  <c r="S52" i="11"/>
  <c r="S52" i="12" s="1"/>
  <c r="T52" i="11"/>
  <c r="T52" i="12" s="1"/>
  <c r="U52" i="11"/>
  <c r="U52" i="12" s="1"/>
  <c r="V52" i="11"/>
  <c r="V52" i="12" s="1"/>
  <c r="W52" i="11"/>
  <c r="W52" i="12" s="1"/>
  <c r="X52" i="11"/>
  <c r="X52" i="12" s="1"/>
  <c r="Y52" i="11"/>
  <c r="Y52" i="12" s="1"/>
  <c r="Z52" i="11"/>
  <c r="AA52" i="11"/>
  <c r="AA52" i="12" s="1"/>
  <c r="AB52" i="11"/>
  <c r="AB52" i="12" s="1"/>
  <c r="AC52" i="11"/>
  <c r="AC52" i="12" s="1"/>
  <c r="AD52" i="11"/>
  <c r="AD52" i="12" s="1"/>
  <c r="AE52" i="11"/>
  <c r="AE52" i="12" s="1"/>
  <c r="AF52" i="11"/>
  <c r="AF52" i="12" s="1"/>
  <c r="AG52" i="11"/>
  <c r="AG52" i="12" s="1"/>
  <c r="D53" i="11"/>
  <c r="D53" i="12" s="1"/>
  <c r="E53" i="11"/>
  <c r="E53" i="12" s="1"/>
  <c r="F53" i="11"/>
  <c r="F53" i="12" s="1"/>
  <c r="G53" i="11"/>
  <c r="G53" i="12" s="1"/>
  <c r="H53" i="11"/>
  <c r="H53" i="12" s="1"/>
  <c r="I53" i="11"/>
  <c r="I53" i="12" s="1"/>
  <c r="J53" i="11"/>
  <c r="J53" i="12" s="1"/>
  <c r="K53" i="11"/>
  <c r="K53" i="12" s="1"/>
  <c r="L53" i="11"/>
  <c r="L53" i="12" s="1"/>
  <c r="M53" i="11"/>
  <c r="M53" i="12" s="1"/>
  <c r="N53" i="11"/>
  <c r="N53" i="12" s="1"/>
  <c r="O53" i="11"/>
  <c r="O53" i="12" s="1"/>
  <c r="P53" i="11"/>
  <c r="P53" i="12" s="1"/>
  <c r="Q53" i="11"/>
  <c r="Q53" i="12" s="1"/>
  <c r="R53" i="11"/>
  <c r="R53" i="12" s="1"/>
  <c r="S53" i="11"/>
  <c r="S53" i="12" s="1"/>
  <c r="T53" i="11"/>
  <c r="U53" i="11"/>
  <c r="U53" i="12" s="1"/>
  <c r="V53" i="11"/>
  <c r="V53" i="12" s="1"/>
  <c r="W53" i="11"/>
  <c r="W53" i="12" s="1"/>
  <c r="X53" i="11"/>
  <c r="X53" i="12" s="1"/>
  <c r="Y53" i="11"/>
  <c r="Y53" i="12" s="1"/>
  <c r="Z53" i="11"/>
  <c r="Z53" i="12" s="1"/>
  <c r="AA53" i="11"/>
  <c r="AA53" i="12" s="1"/>
  <c r="AB53" i="11"/>
  <c r="AB53" i="12" s="1"/>
  <c r="AC53" i="11"/>
  <c r="AC53" i="12" s="1"/>
  <c r="AD53" i="11"/>
  <c r="AD53" i="12" s="1"/>
  <c r="AE53" i="11"/>
  <c r="AE53" i="12" s="1"/>
  <c r="AF53" i="11"/>
  <c r="AF53" i="12" s="1"/>
  <c r="AG53" i="11"/>
  <c r="AG53" i="12" s="1"/>
  <c r="D54" i="11"/>
  <c r="D54" i="12" s="1"/>
  <c r="E54" i="11"/>
  <c r="E54" i="12" s="1"/>
  <c r="F54" i="11"/>
  <c r="F54" i="12" s="1"/>
  <c r="G54" i="11"/>
  <c r="G54" i="12" s="1"/>
  <c r="H54" i="11"/>
  <c r="H54" i="12" s="1"/>
  <c r="I54" i="11"/>
  <c r="I54" i="12" s="1"/>
  <c r="J54" i="11"/>
  <c r="J54" i="12" s="1"/>
  <c r="K54" i="11"/>
  <c r="K54" i="12" s="1"/>
  <c r="L54" i="11"/>
  <c r="L54" i="12" s="1"/>
  <c r="M54" i="11"/>
  <c r="M54" i="12" s="1"/>
  <c r="N54" i="11"/>
  <c r="N54" i="12" s="1"/>
  <c r="O54" i="11"/>
  <c r="O54" i="12" s="1"/>
  <c r="P54" i="11"/>
  <c r="P54" i="12" s="1"/>
  <c r="Q54" i="11"/>
  <c r="Q54" i="12" s="1"/>
  <c r="R54" i="11"/>
  <c r="R54" i="12" s="1"/>
  <c r="S54" i="11"/>
  <c r="S54" i="12" s="1"/>
  <c r="T54" i="11"/>
  <c r="T54" i="12" s="1"/>
  <c r="U54" i="11"/>
  <c r="U54" i="12" s="1"/>
  <c r="V54" i="11"/>
  <c r="V54" i="12" s="1"/>
  <c r="W54" i="11"/>
  <c r="W54" i="12" s="1"/>
  <c r="X54" i="11"/>
  <c r="Y54" i="11"/>
  <c r="Z54" i="11"/>
  <c r="Z54" i="12" s="1"/>
  <c r="AA54" i="11"/>
  <c r="AA54" i="12" s="1"/>
  <c r="AB54" i="11"/>
  <c r="AB54" i="12" s="1"/>
  <c r="AC54" i="11"/>
  <c r="AC54" i="12" s="1"/>
  <c r="AD54" i="11"/>
  <c r="AD54" i="12" s="1"/>
  <c r="AE54" i="11"/>
  <c r="AE54" i="12" s="1"/>
  <c r="AF54" i="11"/>
  <c r="AF54" i="12" s="1"/>
  <c r="AG54" i="11"/>
  <c r="AG54" i="12" s="1"/>
  <c r="D55" i="11"/>
  <c r="D55" i="12" s="1"/>
  <c r="E55" i="11"/>
  <c r="E55" i="12" s="1"/>
  <c r="F55" i="11"/>
  <c r="F55" i="12" s="1"/>
  <c r="G55" i="11"/>
  <c r="G55" i="12" s="1"/>
  <c r="H55" i="11"/>
  <c r="H55" i="12" s="1"/>
  <c r="I55" i="11"/>
  <c r="I55" i="12" s="1"/>
  <c r="J55" i="11"/>
  <c r="J55" i="12" s="1"/>
  <c r="K55" i="11"/>
  <c r="K55" i="12" s="1"/>
  <c r="L55" i="11"/>
  <c r="L55" i="12" s="1"/>
  <c r="M55" i="11"/>
  <c r="M55" i="12" s="1"/>
  <c r="N55" i="11"/>
  <c r="N55" i="12" s="1"/>
  <c r="O55" i="11"/>
  <c r="O55" i="12" s="1"/>
  <c r="P55" i="11"/>
  <c r="P55" i="12" s="1"/>
  <c r="Q55" i="11"/>
  <c r="Q55" i="12" s="1"/>
  <c r="R55" i="11"/>
  <c r="R55" i="12" s="1"/>
  <c r="S55" i="11"/>
  <c r="S55" i="12" s="1"/>
  <c r="T55" i="11"/>
  <c r="T55" i="12" s="1"/>
  <c r="U55" i="11"/>
  <c r="V55" i="11"/>
  <c r="V55" i="12" s="1"/>
  <c r="W55" i="11"/>
  <c r="W55" i="12" s="1"/>
  <c r="X55" i="11"/>
  <c r="X55" i="12" s="1"/>
  <c r="Y55" i="11"/>
  <c r="Y55" i="12" s="1"/>
  <c r="Z55" i="11"/>
  <c r="Z55" i="12" s="1"/>
  <c r="AA55" i="11"/>
  <c r="AA55" i="12" s="1"/>
  <c r="AB55" i="11"/>
  <c r="AB55" i="12" s="1"/>
  <c r="AC55" i="11"/>
  <c r="AC55" i="12" s="1"/>
  <c r="AD55" i="11"/>
  <c r="AD55" i="12" s="1"/>
  <c r="AE55" i="11"/>
  <c r="AE55" i="12" s="1"/>
  <c r="AF55" i="11"/>
  <c r="AF55" i="12" s="1"/>
  <c r="AG55" i="11"/>
  <c r="AG55" i="12" s="1"/>
  <c r="D56" i="11"/>
  <c r="D56" i="12" s="1"/>
  <c r="E56" i="11"/>
  <c r="E56" i="12" s="1"/>
  <c r="F56" i="11"/>
  <c r="F56" i="12" s="1"/>
  <c r="G56" i="11"/>
  <c r="G56" i="12" s="1"/>
  <c r="H56" i="11"/>
  <c r="H56" i="12" s="1"/>
  <c r="I56" i="11"/>
  <c r="I56" i="12" s="1"/>
  <c r="J56" i="11"/>
  <c r="J56" i="12" s="1"/>
  <c r="K56" i="11"/>
  <c r="K56" i="12" s="1"/>
  <c r="L56" i="11"/>
  <c r="L56" i="12" s="1"/>
  <c r="M56" i="11"/>
  <c r="M56" i="12" s="1"/>
  <c r="N56" i="11"/>
  <c r="N56" i="12" s="1"/>
  <c r="O56" i="11"/>
  <c r="O56" i="12" s="1"/>
  <c r="P56" i="11"/>
  <c r="Q56" i="11"/>
  <c r="R56" i="11"/>
  <c r="S56" i="11"/>
  <c r="S56" i="12" s="1"/>
  <c r="T56" i="11"/>
  <c r="T56" i="12" s="1"/>
  <c r="U56" i="11"/>
  <c r="U56" i="12" s="1"/>
  <c r="V56" i="11"/>
  <c r="V56" i="12" s="1"/>
  <c r="W56" i="11"/>
  <c r="W56" i="12" s="1"/>
  <c r="X56" i="11"/>
  <c r="X56" i="12" s="1"/>
  <c r="Y56" i="11"/>
  <c r="Y56" i="12" s="1"/>
  <c r="Z56" i="11"/>
  <c r="AA56" i="11"/>
  <c r="AB56" i="11"/>
  <c r="AC56" i="11"/>
  <c r="AC56" i="12" s="1"/>
  <c r="AD56" i="11"/>
  <c r="AD56" i="12" s="1"/>
  <c r="AE56" i="11"/>
  <c r="AE56" i="12" s="1"/>
  <c r="AF56" i="11"/>
  <c r="AF56" i="12" s="1"/>
  <c r="AG56" i="11"/>
  <c r="AG56" i="12" s="1"/>
  <c r="D57" i="11"/>
  <c r="D57" i="12" s="1"/>
  <c r="E57" i="11"/>
  <c r="E57" i="12" s="1"/>
  <c r="F57" i="11"/>
  <c r="F57" i="12" s="1"/>
  <c r="G57" i="11"/>
  <c r="G57" i="12" s="1"/>
  <c r="H57" i="11"/>
  <c r="I57" i="11"/>
  <c r="J57" i="11"/>
  <c r="K57" i="11"/>
  <c r="K57" i="12" s="1"/>
  <c r="L57" i="11"/>
  <c r="L57" i="12" s="1"/>
  <c r="M57" i="11"/>
  <c r="M57" i="12" s="1"/>
  <c r="N57" i="11"/>
  <c r="N57" i="12" s="1"/>
  <c r="O57" i="11"/>
  <c r="O57" i="12" s="1"/>
  <c r="P57" i="11"/>
  <c r="P57" i="12" s="1"/>
  <c r="Q57" i="11"/>
  <c r="Q57" i="12" s="1"/>
  <c r="R57" i="11"/>
  <c r="R57" i="12" s="1"/>
  <c r="S57" i="11"/>
  <c r="S57" i="12" s="1"/>
  <c r="T57" i="11"/>
  <c r="T57" i="12" s="1"/>
  <c r="U57" i="11"/>
  <c r="U57" i="12" s="1"/>
  <c r="V57" i="11"/>
  <c r="V57" i="12" s="1"/>
  <c r="W57" i="11"/>
  <c r="W57" i="12" s="1"/>
  <c r="X57" i="11"/>
  <c r="Y57" i="11"/>
  <c r="Z57" i="11"/>
  <c r="AA57" i="11"/>
  <c r="AB57" i="11"/>
  <c r="AC57" i="11"/>
  <c r="AC57" i="12" s="1"/>
  <c r="AD57" i="11"/>
  <c r="AD57" i="12" s="1"/>
  <c r="AE57" i="11"/>
  <c r="AE57" i="12" s="1"/>
  <c r="AF57" i="11"/>
  <c r="AF57" i="12" s="1"/>
  <c r="AG57" i="11"/>
  <c r="AG57" i="12" s="1"/>
  <c r="D58" i="11"/>
  <c r="E58" i="11"/>
  <c r="F58" i="11"/>
  <c r="G58" i="11"/>
  <c r="H58" i="11"/>
  <c r="I58" i="11"/>
  <c r="J58" i="11"/>
  <c r="J58" i="12" s="1"/>
  <c r="K58" i="11"/>
  <c r="K58" i="12" s="1"/>
  <c r="L58" i="11"/>
  <c r="L58" i="12" s="1"/>
  <c r="M58" i="11"/>
  <c r="M58" i="12" s="1"/>
  <c r="N58" i="11"/>
  <c r="O58" i="11"/>
  <c r="P58" i="11"/>
  <c r="Q58" i="11"/>
  <c r="Q58" i="12" s="1"/>
  <c r="R58" i="11"/>
  <c r="R58" i="12" s="1"/>
  <c r="S58" i="11"/>
  <c r="S58" i="12" s="1"/>
  <c r="T58" i="11"/>
  <c r="T58" i="12" s="1"/>
  <c r="U58" i="11"/>
  <c r="U58" i="12" s="1"/>
  <c r="V58" i="11"/>
  <c r="V58" i="12" s="1"/>
  <c r="W58" i="11"/>
  <c r="W58" i="12" s="1"/>
  <c r="X58" i="11"/>
  <c r="Y58" i="11"/>
  <c r="Z58" i="11"/>
  <c r="AA58" i="11"/>
  <c r="AB58" i="11"/>
  <c r="AC58" i="11"/>
  <c r="AD58" i="11"/>
  <c r="AD58" i="12" s="1"/>
  <c r="AE58" i="11"/>
  <c r="AE58" i="12" s="1"/>
  <c r="AF58" i="11"/>
  <c r="AF58" i="12" s="1"/>
  <c r="AG58" i="11"/>
  <c r="AG58" i="12" s="1"/>
  <c r="D59" i="11"/>
  <c r="D59" i="12" s="1"/>
  <c r="E59" i="11"/>
  <c r="E59" i="12" s="1"/>
  <c r="F59" i="11"/>
  <c r="F59" i="12" s="1"/>
  <c r="G59" i="11"/>
  <c r="G59" i="12" s="1"/>
  <c r="H59" i="11"/>
  <c r="H59" i="12" s="1"/>
  <c r="I59" i="11"/>
  <c r="I59" i="12" s="1"/>
  <c r="J59" i="11"/>
  <c r="J59" i="12" s="1"/>
  <c r="K59" i="11"/>
  <c r="K59" i="12" s="1"/>
  <c r="L59" i="11"/>
  <c r="L59" i="12" s="1"/>
  <c r="M59" i="11"/>
  <c r="M59" i="12" s="1"/>
  <c r="N59" i="11"/>
  <c r="N59" i="12" s="1"/>
  <c r="O59" i="11"/>
  <c r="O59" i="12" s="1"/>
  <c r="P59" i="11"/>
  <c r="Q59" i="11"/>
  <c r="Q59" i="12" s="1"/>
  <c r="R59" i="11"/>
  <c r="R59" i="12" s="1"/>
  <c r="S59" i="11"/>
  <c r="S59" i="12" s="1"/>
  <c r="T59" i="11"/>
  <c r="T59" i="12" s="1"/>
  <c r="U59" i="11"/>
  <c r="U59" i="12" s="1"/>
  <c r="V59" i="11"/>
  <c r="V59" i="12" s="1"/>
  <c r="W59" i="11"/>
  <c r="W59" i="12" s="1"/>
  <c r="X59" i="11"/>
  <c r="X59" i="12" s="1"/>
  <c r="Y59" i="11"/>
  <c r="Y59" i="12" s="1"/>
  <c r="Z59" i="11"/>
  <c r="Z59" i="12" s="1"/>
  <c r="AA59" i="11"/>
  <c r="AA59" i="12" s="1"/>
  <c r="AB59" i="11"/>
  <c r="AB59" i="12" s="1"/>
  <c r="AC59" i="11"/>
  <c r="AC59" i="12" s="1"/>
  <c r="AD59" i="11"/>
  <c r="AD59" i="12" s="1"/>
  <c r="AE59" i="11"/>
  <c r="AE59" i="12" s="1"/>
  <c r="AF59" i="11"/>
  <c r="AG59" i="11"/>
  <c r="D60" i="11"/>
  <c r="D60" i="12" s="1"/>
  <c r="E60" i="11"/>
  <c r="E60" i="12" s="1"/>
  <c r="F60" i="11"/>
  <c r="F60" i="12" s="1"/>
  <c r="G60" i="11"/>
  <c r="G60" i="12" s="1"/>
  <c r="H60" i="11"/>
  <c r="H60" i="12" s="1"/>
  <c r="I60" i="11"/>
  <c r="I60" i="12" s="1"/>
  <c r="J60" i="11"/>
  <c r="J60" i="12" s="1"/>
  <c r="K60" i="11"/>
  <c r="K60" i="12" s="1"/>
  <c r="L60" i="11"/>
  <c r="L60" i="12" s="1"/>
  <c r="M60" i="11"/>
  <c r="M60" i="12" s="1"/>
  <c r="N60" i="11"/>
  <c r="N60" i="12" s="1"/>
  <c r="O60" i="11"/>
  <c r="O60" i="12" s="1"/>
  <c r="P60" i="11"/>
  <c r="Q60" i="11"/>
  <c r="R60" i="11"/>
  <c r="R60" i="12" s="1"/>
  <c r="S60" i="11"/>
  <c r="S60" i="12" s="1"/>
  <c r="T60" i="11"/>
  <c r="T60" i="12" s="1"/>
  <c r="U60" i="11"/>
  <c r="U60" i="12" s="1"/>
  <c r="V60" i="11"/>
  <c r="V60" i="12" s="1"/>
  <c r="W60" i="11"/>
  <c r="W60" i="12" s="1"/>
  <c r="X60" i="11"/>
  <c r="X60" i="12" s="1"/>
  <c r="Y60" i="11"/>
  <c r="Y60" i="12" s="1"/>
  <c r="Z60" i="11"/>
  <c r="AA60" i="11"/>
  <c r="AB60" i="11"/>
  <c r="AB60" i="12" s="1"/>
  <c r="AC60" i="11"/>
  <c r="AC60" i="12" s="1"/>
  <c r="AD60" i="11"/>
  <c r="AD60" i="12" s="1"/>
  <c r="AE60" i="11"/>
  <c r="AE60" i="12" s="1"/>
  <c r="AF60" i="11"/>
  <c r="AF60" i="12" s="1"/>
  <c r="AG60" i="11"/>
  <c r="AG60" i="12" s="1"/>
  <c r="D61" i="11"/>
  <c r="D61" i="12" s="1"/>
  <c r="E61" i="11"/>
  <c r="E61" i="12" s="1"/>
  <c r="F61" i="11"/>
  <c r="F61" i="12" s="1"/>
  <c r="G61" i="11"/>
  <c r="G61" i="12" s="1"/>
  <c r="H61" i="11"/>
  <c r="H61" i="12" s="1"/>
  <c r="I61" i="11"/>
  <c r="I61" i="12" s="1"/>
  <c r="J61" i="11"/>
  <c r="J61" i="12" s="1"/>
  <c r="K61" i="11"/>
  <c r="K61" i="12" s="1"/>
  <c r="L61" i="11"/>
  <c r="L61" i="12" s="1"/>
  <c r="M61" i="11"/>
  <c r="M61" i="12" s="1"/>
  <c r="N61" i="11"/>
  <c r="N61" i="12" s="1"/>
  <c r="O61" i="11"/>
  <c r="O61" i="12" s="1"/>
  <c r="P61" i="11"/>
  <c r="P61" i="12" s="1"/>
  <c r="Q61" i="11"/>
  <c r="Q61" i="12" s="1"/>
  <c r="R61" i="11"/>
  <c r="R61" i="12" s="1"/>
  <c r="S61" i="11"/>
  <c r="S61" i="12" s="1"/>
  <c r="T61" i="11"/>
  <c r="T61" i="12" s="1"/>
  <c r="U61" i="11"/>
  <c r="U61" i="12" s="1"/>
  <c r="V61" i="11"/>
  <c r="V61" i="12" s="1"/>
  <c r="W61" i="11"/>
  <c r="W61" i="12" s="1"/>
  <c r="X61" i="11"/>
  <c r="X61" i="12" s="1"/>
  <c r="Y61" i="11"/>
  <c r="Y61" i="12" s="1"/>
  <c r="Z61" i="11"/>
  <c r="Z61" i="12" s="1"/>
  <c r="AA61" i="11"/>
  <c r="AA61" i="12" s="1"/>
  <c r="AB61" i="11"/>
  <c r="AB61" i="12" s="1"/>
  <c r="AC61" i="11"/>
  <c r="AC61" i="12" s="1"/>
  <c r="AD61" i="11"/>
  <c r="AD61" i="12" s="1"/>
  <c r="AE61" i="11"/>
  <c r="AE61" i="12" s="1"/>
  <c r="AF61" i="11"/>
  <c r="AF61" i="12" s="1"/>
  <c r="AG61" i="11"/>
  <c r="AG61" i="12" s="1"/>
  <c r="D62" i="11"/>
  <c r="D62" i="12" s="1"/>
  <c r="E62" i="11"/>
  <c r="E62" i="12" s="1"/>
  <c r="F62" i="11"/>
  <c r="F62" i="12" s="1"/>
  <c r="G62" i="11"/>
  <c r="G62" i="12" s="1"/>
  <c r="H62" i="11"/>
  <c r="H62" i="12" s="1"/>
  <c r="I62" i="11"/>
  <c r="I62" i="12" s="1"/>
  <c r="J62" i="11"/>
  <c r="J62" i="12" s="1"/>
  <c r="K62" i="11"/>
  <c r="K62" i="12" s="1"/>
  <c r="L62" i="11"/>
  <c r="L62" i="12" s="1"/>
  <c r="M62" i="11"/>
  <c r="M62" i="12" s="1"/>
  <c r="N62" i="11"/>
  <c r="N62" i="12" s="1"/>
  <c r="O62" i="11"/>
  <c r="O62" i="12" s="1"/>
  <c r="P62" i="11"/>
  <c r="P62" i="12" s="1"/>
  <c r="Q62" i="11"/>
  <c r="Q62" i="12" s="1"/>
  <c r="R62" i="11"/>
  <c r="R62" i="12" s="1"/>
  <c r="S62" i="11"/>
  <c r="S62" i="12" s="1"/>
  <c r="T62" i="11"/>
  <c r="T62" i="12" s="1"/>
  <c r="U62" i="11"/>
  <c r="U62" i="12" s="1"/>
  <c r="V62" i="11"/>
  <c r="V62" i="12" s="1"/>
  <c r="W62" i="11"/>
  <c r="W62" i="12" s="1"/>
  <c r="X62" i="11"/>
  <c r="X62" i="12" s="1"/>
  <c r="Y62" i="11"/>
  <c r="Y62" i="12" s="1"/>
  <c r="Z62" i="11"/>
  <c r="Z62" i="12" s="1"/>
  <c r="AA62" i="11"/>
  <c r="AA62" i="12" s="1"/>
  <c r="AB62" i="11"/>
  <c r="AB62" i="12" s="1"/>
  <c r="AC62" i="11"/>
  <c r="AC62" i="12" s="1"/>
  <c r="AD62" i="11"/>
  <c r="AD62" i="12" s="1"/>
  <c r="AE62" i="11"/>
  <c r="AE62" i="12" s="1"/>
  <c r="AF62" i="11"/>
  <c r="AF62" i="12" s="1"/>
  <c r="AG62" i="11"/>
  <c r="AG62" i="12" s="1"/>
  <c r="D63" i="11"/>
  <c r="D63" i="12" s="1"/>
  <c r="E63" i="11"/>
  <c r="E63" i="12" s="1"/>
  <c r="F63" i="11"/>
  <c r="F63" i="12" s="1"/>
  <c r="G63" i="11"/>
  <c r="G63" i="12" s="1"/>
  <c r="H63" i="11"/>
  <c r="H63" i="12" s="1"/>
  <c r="I63" i="11"/>
  <c r="I63" i="12" s="1"/>
  <c r="J63" i="11"/>
  <c r="J63" i="12" s="1"/>
  <c r="K63" i="11"/>
  <c r="K63" i="12" s="1"/>
  <c r="L63" i="11"/>
  <c r="L63" i="12" s="1"/>
  <c r="M63" i="11"/>
  <c r="M63" i="12" s="1"/>
  <c r="N63" i="11"/>
  <c r="N63" i="12" s="1"/>
  <c r="O63" i="11"/>
  <c r="O63" i="12" s="1"/>
  <c r="P63" i="11"/>
  <c r="P63" i="12" s="1"/>
  <c r="Q63" i="11"/>
  <c r="Q63" i="12" s="1"/>
  <c r="R63" i="11"/>
  <c r="R63" i="12" s="1"/>
  <c r="S63" i="11"/>
  <c r="S63" i="12" s="1"/>
  <c r="T63" i="11"/>
  <c r="T63" i="12" s="1"/>
  <c r="U63" i="11"/>
  <c r="U63" i="12" s="1"/>
  <c r="V63" i="11"/>
  <c r="V63" i="12" s="1"/>
  <c r="W63" i="11"/>
  <c r="W63" i="12" s="1"/>
  <c r="X63" i="11"/>
  <c r="X63" i="12" s="1"/>
  <c r="Y63" i="11"/>
  <c r="Y63" i="12" s="1"/>
  <c r="Z63" i="11"/>
  <c r="Z63" i="12" s="1"/>
  <c r="AA63" i="11"/>
  <c r="AA63" i="12" s="1"/>
  <c r="AB63" i="11"/>
  <c r="AB63" i="12" s="1"/>
  <c r="AC63" i="11"/>
  <c r="AC63" i="12" s="1"/>
  <c r="AD63" i="11"/>
  <c r="AD63" i="12" s="1"/>
  <c r="AE63" i="11"/>
  <c r="AE63" i="12" s="1"/>
  <c r="AF63" i="11"/>
  <c r="AF63" i="12" s="1"/>
  <c r="AG63" i="11"/>
  <c r="AG63" i="12" s="1"/>
  <c r="D64" i="11"/>
  <c r="D64" i="12" s="1"/>
  <c r="E64" i="11"/>
  <c r="E64" i="12" s="1"/>
  <c r="F64" i="11"/>
  <c r="F64" i="12" s="1"/>
  <c r="G64" i="11"/>
  <c r="G64" i="12" s="1"/>
  <c r="H64" i="11"/>
  <c r="H64" i="12" s="1"/>
  <c r="I64" i="11"/>
  <c r="I64" i="12" s="1"/>
  <c r="J64" i="11"/>
  <c r="J64" i="12" s="1"/>
  <c r="K64" i="11"/>
  <c r="K64" i="12" s="1"/>
  <c r="L64" i="11"/>
  <c r="L64" i="12" s="1"/>
  <c r="M64" i="11"/>
  <c r="M64" i="12" s="1"/>
  <c r="N64" i="11"/>
  <c r="N64" i="12" s="1"/>
  <c r="O64" i="11"/>
  <c r="O64" i="12" s="1"/>
  <c r="P64" i="11"/>
  <c r="P64" i="12" s="1"/>
  <c r="Q64" i="11"/>
  <c r="Q64" i="12" s="1"/>
  <c r="R64" i="11"/>
  <c r="R64" i="12" s="1"/>
  <c r="S64" i="11"/>
  <c r="S64" i="12" s="1"/>
  <c r="T64" i="11"/>
  <c r="T64" i="12" s="1"/>
  <c r="U64" i="11"/>
  <c r="U64" i="12" s="1"/>
  <c r="V64" i="11"/>
  <c r="V64" i="12" s="1"/>
  <c r="W64" i="11"/>
  <c r="W64" i="12" s="1"/>
  <c r="X64" i="11"/>
  <c r="X64" i="12" s="1"/>
  <c r="Y64" i="11"/>
  <c r="Y64" i="12" s="1"/>
  <c r="Z64" i="11"/>
  <c r="Z64" i="12" s="1"/>
  <c r="AA64" i="11"/>
  <c r="AA64" i="12" s="1"/>
  <c r="AB64" i="11"/>
  <c r="AB64" i="12" s="1"/>
  <c r="AC64" i="11"/>
  <c r="AC64" i="12" s="1"/>
  <c r="AD64" i="11"/>
  <c r="AD64" i="12" s="1"/>
  <c r="AE64" i="11"/>
  <c r="AE64" i="12" s="1"/>
  <c r="AF64" i="11"/>
  <c r="AF64" i="12" s="1"/>
  <c r="AG64" i="11"/>
  <c r="AG64" i="12" s="1"/>
  <c r="D65" i="11"/>
  <c r="D65" i="12" s="1"/>
  <c r="E65" i="11"/>
  <c r="E65" i="12" s="1"/>
  <c r="F65" i="11"/>
  <c r="F65" i="12" s="1"/>
  <c r="G65" i="11"/>
  <c r="G65" i="12" s="1"/>
  <c r="H65" i="11"/>
  <c r="H65" i="12" s="1"/>
  <c r="I65" i="11"/>
  <c r="I65" i="12" s="1"/>
  <c r="J65" i="11"/>
  <c r="J65" i="12" s="1"/>
  <c r="K65" i="11"/>
  <c r="K65" i="12" s="1"/>
  <c r="L65" i="11"/>
  <c r="L65" i="12" s="1"/>
  <c r="M65" i="11"/>
  <c r="M65" i="12" s="1"/>
  <c r="N65" i="11"/>
  <c r="N65" i="12" s="1"/>
  <c r="O65" i="11"/>
  <c r="O65" i="12" s="1"/>
  <c r="P65" i="11"/>
  <c r="P65" i="12" s="1"/>
  <c r="Q65" i="11"/>
  <c r="Q65" i="12" s="1"/>
  <c r="R65" i="11"/>
  <c r="R65" i="12" s="1"/>
  <c r="S65" i="11"/>
  <c r="S65" i="12" s="1"/>
  <c r="T65" i="11"/>
  <c r="T65" i="12" s="1"/>
  <c r="U65" i="11"/>
  <c r="U65" i="12" s="1"/>
  <c r="V65" i="11"/>
  <c r="V65" i="12" s="1"/>
  <c r="W65" i="11"/>
  <c r="W65" i="12" s="1"/>
  <c r="X65" i="11"/>
  <c r="X65" i="12" s="1"/>
  <c r="Y65" i="11"/>
  <c r="Y65" i="12" s="1"/>
  <c r="Z65" i="11"/>
  <c r="Z65" i="12" s="1"/>
  <c r="AA65" i="11"/>
  <c r="AA65" i="12" s="1"/>
  <c r="AB65" i="11"/>
  <c r="AB65" i="12" s="1"/>
  <c r="AC65" i="11"/>
  <c r="AC65" i="12" s="1"/>
  <c r="AD65" i="11"/>
  <c r="AD65" i="12" s="1"/>
  <c r="AE65" i="11"/>
  <c r="AE65" i="12" s="1"/>
  <c r="AF65" i="11"/>
  <c r="AF65" i="12" s="1"/>
  <c r="AG65" i="11"/>
  <c r="AG65" i="12" s="1"/>
  <c r="D66" i="11"/>
  <c r="D66" i="12" s="1"/>
  <c r="E66" i="11"/>
  <c r="E66" i="12" s="1"/>
  <c r="F66" i="11"/>
  <c r="F66" i="12" s="1"/>
  <c r="G66" i="11"/>
  <c r="G66" i="12" s="1"/>
  <c r="H66" i="11"/>
  <c r="H66" i="12" s="1"/>
  <c r="I66" i="11"/>
  <c r="I66" i="12" s="1"/>
  <c r="J66" i="11"/>
  <c r="J66" i="12" s="1"/>
  <c r="K66" i="11"/>
  <c r="K66" i="12" s="1"/>
  <c r="L66" i="11"/>
  <c r="L66" i="12" s="1"/>
  <c r="M66" i="11"/>
  <c r="M66" i="12" s="1"/>
  <c r="N66" i="11"/>
  <c r="N66" i="12" s="1"/>
  <c r="O66" i="11"/>
  <c r="O66" i="12" s="1"/>
  <c r="P66" i="11"/>
  <c r="P66" i="12" s="1"/>
  <c r="Q66" i="11"/>
  <c r="Q66" i="12" s="1"/>
  <c r="R66" i="11"/>
  <c r="R66" i="12" s="1"/>
  <c r="S66" i="11"/>
  <c r="S66" i="12" s="1"/>
  <c r="T66" i="11"/>
  <c r="T66" i="12" s="1"/>
  <c r="U66" i="11"/>
  <c r="U66" i="12" s="1"/>
  <c r="V66" i="11"/>
  <c r="V66" i="12" s="1"/>
  <c r="W66" i="11"/>
  <c r="W66" i="12" s="1"/>
  <c r="X66" i="11"/>
  <c r="X66" i="12" s="1"/>
  <c r="Y66" i="11"/>
  <c r="Y66" i="12" s="1"/>
  <c r="Z66" i="11"/>
  <c r="Z66" i="12" s="1"/>
  <c r="AA66" i="11"/>
  <c r="AA66" i="12" s="1"/>
  <c r="AB66" i="11"/>
  <c r="AB66" i="12" s="1"/>
  <c r="AC66" i="11"/>
  <c r="AC66" i="12" s="1"/>
  <c r="AD66" i="11"/>
  <c r="AD66" i="12" s="1"/>
  <c r="AE66" i="11"/>
  <c r="AE66" i="12" s="1"/>
  <c r="AF66" i="11"/>
  <c r="AF66" i="12" s="1"/>
  <c r="AG66" i="11"/>
  <c r="AG66" i="12" s="1"/>
  <c r="D67" i="11"/>
  <c r="D67" i="12" s="1"/>
  <c r="E67" i="11"/>
  <c r="E67" i="12" s="1"/>
  <c r="F67" i="11"/>
  <c r="F67" i="12" s="1"/>
  <c r="G67" i="11"/>
  <c r="G67" i="12" s="1"/>
  <c r="H67" i="11"/>
  <c r="H67" i="12" s="1"/>
  <c r="I67" i="11"/>
  <c r="I67" i="12" s="1"/>
  <c r="J67" i="11"/>
  <c r="J67" i="12" s="1"/>
  <c r="K67" i="11"/>
  <c r="K67" i="12" s="1"/>
  <c r="L67" i="11"/>
  <c r="L67" i="12" s="1"/>
  <c r="M67" i="11"/>
  <c r="M67" i="12" s="1"/>
  <c r="N67" i="11"/>
  <c r="N67" i="12" s="1"/>
  <c r="O67" i="11"/>
  <c r="O67" i="12" s="1"/>
  <c r="P67" i="11"/>
  <c r="P67" i="12" s="1"/>
  <c r="Q67" i="11"/>
  <c r="Q67" i="12" s="1"/>
  <c r="R67" i="11"/>
  <c r="R67" i="12" s="1"/>
  <c r="S67" i="11"/>
  <c r="S67" i="12" s="1"/>
  <c r="T67" i="11"/>
  <c r="T67" i="12" s="1"/>
  <c r="U67" i="11"/>
  <c r="U67" i="12" s="1"/>
  <c r="V67" i="11"/>
  <c r="V67" i="12" s="1"/>
  <c r="W67" i="11"/>
  <c r="W67" i="12" s="1"/>
  <c r="X67" i="11"/>
  <c r="X67" i="12" s="1"/>
  <c r="Y67" i="11"/>
  <c r="Y67" i="12" s="1"/>
  <c r="Z67" i="11"/>
  <c r="Z67" i="12" s="1"/>
  <c r="AA67" i="11"/>
  <c r="AA67" i="12" s="1"/>
  <c r="AB67" i="11"/>
  <c r="AB67" i="12" s="1"/>
  <c r="AC67" i="11"/>
  <c r="AC67" i="12" s="1"/>
  <c r="AD67" i="11"/>
  <c r="AD67" i="12" s="1"/>
  <c r="AE67" i="11"/>
  <c r="AE67" i="12" s="1"/>
  <c r="AF67" i="11"/>
  <c r="AF67" i="12" s="1"/>
  <c r="AG67" i="11"/>
  <c r="AG67" i="12" s="1"/>
  <c r="D68" i="11"/>
  <c r="D68" i="12" s="1"/>
  <c r="E68" i="11"/>
  <c r="E68" i="12" s="1"/>
  <c r="F68" i="11"/>
  <c r="F68" i="12" s="1"/>
  <c r="G68" i="11"/>
  <c r="G68" i="12" s="1"/>
  <c r="H68" i="11"/>
  <c r="H68" i="12" s="1"/>
  <c r="I68" i="11"/>
  <c r="I68" i="12" s="1"/>
  <c r="J68" i="11"/>
  <c r="J68" i="12" s="1"/>
  <c r="K68" i="11"/>
  <c r="K68" i="12" s="1"/>
  <c r="L68" i="11"/>
  <c r="L68" i="12" s="1"/>
  <c r="M68" i="11"/>
  <c r="M68" i="12" s="1"/>
  <c r="N68" i="11"/>
  <c r="N68" i="12" s="1"/>
  <c r="O68" i="11"/>
  <c r="O68" i="12" s="1"/>
  <c r="P68" i="11"/>
  <c r="P68" i="12" s="1"/>
  <c r="Q68" i="11"/>
  <c r="Q68" i="12" s="1"/>
  <c r="R68" i="11"/>
  <c r="R68" i="12" s="1"/>
  <c r="S68" i="11"/>
  <c r="S68" i="12" s="1"/>
  <c r="T68" i="11"/>
  <c r="T68" i="12" s="1"/>
  <c r="U68" i="11"/>
  <c r="U68" i="12" s="1"/>
  <c r="V68" i="11"/>
  <c r="V68" i="12" s="1"/>
  <c r="W68" i="11"/>
  <c r="W68" i="12" s="1"/>
  <c r="X68" i="11"/>
  <c r="X68" i="12" s="1"/>
  <c r="Y68" i="11"/>
  <c r="Y68" i="12" s="1"/>
  <c r="Z68" i="11"/>
  <c r="Z68" i="12" s="1"/>
  <c r="AA68" i="11"/>
  <c r="AA68" i="12" s="1"/>
  <c r="AB68" i="11"/>
  <c r="AB68" i="12" s="1"/>
  <c r="AC68" i="11"/>
  <c r="AC68" i="12" s="1"/>
  <c r="AD68" i="11"/>
  <c r="AD68" i="12" s="1"/>
  <c r="AE68" i="11"/>
  <c r="AE68" i="12" s="1"/>
  <c r="AF68" i="11"/>
  <c r="AF68" i="12" s="1"/>
  <c r="AG68" i="11"/>
  <c r="AG68" i="12" s="1"/>
  <c r="D69" i="11"/>
  <c r="D69" i="12" s="1"/>
  <c r="E69" i="11"/>
  <c r="E69" i="12" s="1"/>
  <c r="F69" i="11"/>
  <c r="F69" i="12" s="1"/>
  <c r="G69" i="11"/>
  <c r="G69" i="12" s="1"/>
  <c r="H69" i="11"/>
  <c r="H69" i="12" s="1"/>
  <c r="I69" i="11"/>
  <c r="I69" i="12" s="1"/>
  <c r="J69" i="11"/>
  <c r="J69" i="12" s="1"/>
  <c r="K69" i="11"/>
  <c r="K69" i="12" s="1"/>
  <c r="L69" i="11"/>
  <c r="L69" i="12" s="1"/>
  <c r="M69" i="11"/>
  <c r="M69" i="12" s="1"/>
  <c r="N69" i="11"/>
  <c r="N69" i="12" s="1"/>
  <c r="O69" i="11"/>
  <c r="O69" i="12" s="1"/>
  <c r="P69" i="11"/>
  <c r="P69" i="12" s="1"/>
  <c r="Q69" i="11"/>
  <c r="Q69" i="12" s="1"/>
  <c r="R69" i="11"/>
  <c r="R69" i="12" s="1"/>
  <c r="S69" i="11"/>
  <c r="S69" i="12" s="1"/>
  <c r="T69" i="11"/>
  <c r="T69" i="12" s="1"/>
  <c r="U69" i="11"/>
  <c r="U69" i="12" s="1"/>
  <c r="V69" i="11"/>
  <c r="V69" i="12" s="1"/>
  <c r="W69" i="11"/>
  <c r="W69" i="12" s="1"/>
  <c r="X69" i="11"/>
  <c r="X69" i="12" s="1"/>
  <c r="Y69" i="11"/>
  <c r="Y69" i="12" s="1"/>
  <c r="Z69" i="11"/>
  <c r="Z69" i="12" s="1"/>
  <c r="AA69" i="11"/>
  <c r="AA69" i="12" s="1"/>
  <c r="AB69" i="11"/>
  <c r="AB69" i="12" s="1"/>
  <c r="AC69" i="11"/>
  <c r="AC69" i="12" s="1"/>
  <c r="AD69" i="11"/>
  <c r="AD69" i="12" s="1"/>
  <c r="AE69" i="11"/>
  <c r="AE69" i="12" s="1"/>
  <c r="AF69" i="11"/>
  <c r="AF69" i="12" s="1"/>
  <c r="AG69" i="11"/>
  <c r="AG69" i="12" s="1"/>
  <c r="D70" i="11"/>
  <c r="D70" i="12" s="1"/>
  <c r="E70" i="11"/>
  <c r="E70" i="12" s="1"/>
  <c r="F70" i="11"/>
  <c r="F70" i="12" s="1"/>
  <c r="G70" i="11"/>
  <c r="G70" i="12" s="1"/>
  <c r="H70" i="11"/>
  <c r="H70" i="12" s="1"/>
  <c r="I70" i="11"/>
  <c r="I70" i="12" s="1"/>
  <c r="J70" i="11"/>
  <c r="J70" i="12" s="1"/>
  <c r="K70" i="11"/>
  <c r="K70" i="12" s="1"/>
  <c r="L70" i="11"/>
  <c r="L70" i="12" s="1"/>
  <c r="M70" i="11"/>
  <c r="M70" i="12" s="1"/>
  <c r="N70" i="11"/>
  <c r="N70" i="12" s="1"/>
  <c r="O70" i="11"/>
  <c r="O70" i="12" s="1"/>
  <c r="P70" i="11"/>
  <c r="P70" i="12" s="1"/>
  <c r="Q70" i="11"/>
  <c r="Q70" i="12" s="1"/>
  <c r="R70" i="11"/>
  <c r="R70" i="12" s="1"/>
  <c r="S70" i="11"/>
  <c r="S70" i="12" s="1"/>
  <c r="T70" i="11"/>
  <c r="T70" i="12" s="1"/>
  <c r="U70" i="11"/>
  <c r="U70" i="12" s="1"/>
  <c r="V70" i="11"/>
  <c r="V70" i="12" s="1"/>
  <c r="W70" i="11"/>
  <c r="W70" i="12" s="1"/>
  <c r="X70" i="11"/>
  <c r="X70" i="12" s="1"/>
  <c r="Y70" i="11"/>
  <c r="Y70" i="12" s="1"/>
  <c r="Z70" i="11"/>
  <c r="Z70" i="12" s="1"/>
  <c r="AA70" i="11"/>
  <c r="AA70" i="12" s="1"/>
  <c r="AB70" i="11"/>
  <c r="AB70" i="12" s="1"/>
  <c r="AC70" i="11"/>
  <c r="AC70" i="12" s="1"/>
  <c r="AD70" i="11"/>
  <c r="AD70" i="12" s="1"/>
  <c r="AE70" i="11"/>
  <c r="AE70" i="12" s="1"/>
  <c r="AF70" i="11"/>
  <c r="AF70" i="12" s="1"/>
  <c r="AG70" i="11"/>
  <c r="AG70" i="12" s="1"/>
  <c r="D71" i="11"/>
  <c r="D71" i="12" s="1"/>
  <c r="E71" i="11"/>
  <c r="E71" i="12" s="1"/>
  <c r="F71" i="11"/>
  <c r="F71" i="12" s="1"/>
  <c r="G71" i="11"/>
  <c r="G71" i="12" s="1"/>
  <c r="H71" i="11"/>
  <c r="H71" i="12" s="1"/>
  <c r="I71" i="11"/>
  <c r="I71" i="12" s="1"/>
  <c r="J71" i="11"/>
  <c r="J71" i="12" s="1"/>
  <c r="K71" i="11"/>
  <c r="K71" i="12" s="1"/>
  <c r="L71" i="11"/>
  <c r="L71" i="12" s="1"/>
  <c r="M71" i="11"/>
  <c r="M71" i="12" s="1"/>
  <c r="N71" i="11"/>
  <c r="N71" i="12" s="1"/>
  <c r="O71" i="11"/>
  <c r="O71" i="12" s="1"/>
  <c r="P71" i="11"/>
  <c r="P71" i="12" s="1"/>
  <c r="Q71" i="11"/>
  <c r="Q71" i="12" s="1"/>
  <c r="R71" i="11"/>
  <c r="R71" i="12" s="1"/>
  <c r="S71" i="11"/>
  <c r="S71" i="12" s="1"/>
  <c r="T71" i="11"/>
  <c r="T71" i="12" s="1"/>
  <c r="U71" i="11"/>
  <c r="U71" i="12" s="1"/>
  <c r="V71" i="11"/>
  <c r="V71" i="12" s="1"/>
  <c r="W71" i="11"/>
  <c r="W71" i="12" s="1"/>
  <c r="X71" i="11"/>
  <c r="X71" i="12" s="1"/>
  <c r="Y71" i="11"/>
  <c r="Y71" i="12" s="1"/>
  <c r="Z71" i="11"/>
  <c r="Z71" i="12" s="1"/>
  <c r="AA71" i="11"/>
  <c r="AA71" i="12" s="1"/>
  <c r="AB71" i="11"/>
  <c r="AB71" i="12" s="1"/>
  <c r="AC71" i="11"/>
  <c r="AC71" i="12" s="1"/>
  <c r="AD71" i="11"/>
  <c r="AD71" i="12" s="1"/>
  <c r="AE71" i="11"/>
  <c r="AE71" i="12" s="1"/>
  <c r="AF71" i="11"/>
  <c r="AF71" i="12" s="1"/>
  <c r="AG71" i="11"/>
  <c r="AG71" i="12" s="1"/>
  <c r="D72" i="11"/>
  <c r="D72" i="12" s="1"/>
  <c r="E72" i="11"/>
  <c r="E72" i="12" s="1"/>
  <c r="F72" i="11"/>
  <c r="F72" i="12" s="1"/>
  <c r="G72" i="11"/>
  <c r="G72" i="12" s="1"/>
  <c r="H72" i="11"/>
  <c r="H72" i="12" s="1"/>
  <c r="I72" i="11"/>
  <c r="I72" i="12" s="1"/>
  <c r="J72" i="11"/>
  <c r="J72" i="12" s="1"/>
  <c r="K72" i="11"/>
  <c r="K72" i="12" s="1"/>
  <c r="L72" i="11"/>
  <c r="L72" i="12" s="1"/>
  <c r="M72" i="11"/>
  <c r="M72" i="12" s="1"/>
  <c r="N72" i="11"/>
  <c r="N72" i="12" s="1"/>
  <c r="O72" i="11"/>
  <c r="O72" i="12" s="1"/>
  <c r="P72" i="11"/>
  <c r="P72" i="12" s="1"/>
  <c r="Q72" i="11"/>
  <c r="Q72" i="12" s="1"/>
  <c r="R72" i="11"/>
  <c r="R72" i="12" s="1"/>
  <c r="S72" i="11"/>
  <c r="S72" i="12" s="1"/>
  <c r="T72" i="11"/>
  <c r="T72" i="12" s="1"/>
  <c r="U72" i="11"/>
  <c r="U72" i="12" s="1"/>
  <c r="V72" i="11"/>
  <c r="V72" i="12" s="1"/>
  <c r="W72" i="11"/>
  <c r="W72" i="12" s="1"/>
  <c r="X72" i="11"/>
  <c r="X72" i="12" s="1"/>
  <c r="Y72" i="11"/>
  <c r="Y72" i="12" s="1"/>
  <c r="Z72" i="11"/>
  <c r="Z72" i="12" s="1"/>
  <c r="AA72" i="11"/>
  <c r="AA72" i="12" s="1"/>
  <c r="AB72" i="11"/>
  <c r="AB72" i="12" s="1"/>
  <c r="AC72" i="11"/>
  <c r="AC72" i="12" s="1"/>
  <c r="AD72" i="11"/>
  <c r="AD72" i="12" s="1"/>
  <c r="AE72" i="11"/>
  <c r="AE72" i="12" s="1"/>
  <c r="AF72" i="11"/>
  <c r="AF72" i="12" s="1"/>
  <c r="AG72" i="11"/>
  <c r="AG72" i="12" s="1"/>
  <c r="D73" i="11"/>
  <c r="D73" i="12" s="1"/>
  <c r="E73" i="11"/>
  <c r="E73" i="12" s="1"/>
  <c r="F73" i="11"/>
  <c r="F73" i="12" s="1"/>
  <c r="G73" i="11"/>
  <c r="G73" i="12" s="1"/>
  <c r="H73" i="11"/>
  <c r="H73" i="12" s="1"/>
  <c r="I73" i="11"/>
  <c r="I73" i="12" s="1"/>
  <c r="J73" i="11"/>
  <c r="J73" i="12" s="1"/>
  <c r="K73" i="11"/>
  <c r="K73" i="12" s="1"/>
  <c r="L73" i="11"/>
  <c r="L73" i="12" s="1"/>
  <c r="M73" i="11"/>
  <c r="M73" i="12" s="1"/>
  <c r="N73" i="11"/>
  <c r="N73" i="12" s="1"/>
  <c r="O73" i="11"/>
  <c r="O73" i="12" s="1"/>
  <c r="P73" i="11"/>
  <c r="P73" i="12" s="1"/>
  <c r="Q73" i="11"/>
  <c r="Q73" i="12" s="1"/>
  <c r="R73" i="11"/>
  <c r="R73" i="12" s="1"/>
  <c r="S73" i="11"/>
  <c r="S73" i="12" s="1"/>
  <c r="T73" i="11"/>
  <c r="T73" i="12" s="1"/>
  <c r="U73" i="11"/>
  <c r="U73" i="12" s="1"/>
  <c r="V73" i="11"/>
  <c r="V73" i="12" s="1"/>
  <c r="W73" i="11"/>
  <c r="W73" i="12" s="1"/>
  <c r="X73" i="11"/>
  <c r="X73" i="12" s="1"/>
  <c r="Y73" i="11"/>
  <c r="Y73" i="12" s="1"/>
  <c r="Z73" i="11"/>
  <c r="Z73" i="12" s="1"/>
  <c r="AA73" i="11"/>
  <c r="AA73" i="12" s="1"/>
  <c r="AB73" i="11"/>
  <c r="AB73" i="12" s="1"/>
  <c r="AC73" i="11"/>
  <c r="AC73" i="12" s="1"/>
  <c r="AD73" i="11"/>
  <c r="AD73" i="12" s="1"/>
  <c r="AE73" i="11"/>
  <c r="AE73" i="12" s="1"/>
  <c r="AF73" i="11"/>
  <c r="AF73" i="12" s="1"/>
  <c r="AG73" i="11"/>
  <c r="AG73" i="12" s="1"/>
  <c r="D74" i="11"/>
  <c r="D74" i="12" s="1"/>
  <c r="E74" i="11"/>
  <c r="E74" i="12" s="1"/>
  <c r="F74" i="11"/>
  <c r="F74" i="12" s="1"/>
  <c r="G74" i="11"/>
  <c r="G74" i="12" s="1"/>
  <c r="H74" i="11"/>
  <c r="H74" i="12" s="1"/>
  <c r="I74" i="11"/>
  <c r="I74" i="12" s="1"/>
  <c r="J74" i="11"/>
  <c r="J74" i="12" s="1"/>
  <c r="K74" i="11"/>
  <c r="K74" i="12" s="1"/>
  <c r="L74" i="11"/>
  <c r="L74" i="12" s="1"/>
  <c r="M74" i="11"/>
  <c r="M74" i="12" s="1"/>
  <c r="N74" i="11"/>
  <c r="N74" i="12" s="1"/>
  <c r="O74" i="11"/>
  <c r="O74" i="12" s="1"/>
  <c r="P74" i="11"/>
  <c r="P74" i="12" s="1"/>
  <c r="Q74" i="11"/>
  <c r="Q74" i="12" s="1"/>
  <c r="R74" i="11"/>
  <c r="R74" i="12" s="1"/>
  <c r="S74" i="11"/>
  <c r="S74" i="12" s="1"/>
  <c r="T74" i="11"/>
  <c r="T74" i="12" s="1"/>
  <c r="U74" i="11"/>
  <c r="U74" i="12" s="1"/>
  <c r="V74" i="11"/>
  <c r="V74" i="12" s="1"/>
  <c r="W74" i="11"/>
  <c r="W74" i="12" s="1"/>
  <c r="X74" i="11"/>
  <c r="X74" i="12" s="1"/>
  <c r="Y74" i="11"/>
  <c r="Y74" i="12" s="1"/>
  <c r="Z74" i="11"/>
  <c r="Z74" i="12" s="1"/>
  <c r="AA74" i="11"/>
  <c r="AA74" i="12" s="1"/>
  <c r="AB74" i="11"/>
  <c r="AB74" i="12" s="1"/>
  <c r="AC74" i="11"/>
  <c r="AC74" i="12" s="1"/>
  <c r="AD74" i="11"/>
  <c r="AD74" i="12" s="1"/>
  <c r="AE74" i="11"/>
  <c r="AE74" i="12" s="1"/>
  <c r="AF74" i="11"/>
  <c r="AF74" i="12" s="1"/>
  <c r="AG74" i="11"/>
  <c r="AG74" i="12" s="1"/>
  <c r="D75" i="11"/>
  <c r="D75" i="12" s="1"/>
  <c r="E75" i="11"/>
  <c r="E75" i="12" s="1"/>
  <c r="F75" i="11"/>
  <c r="F75" i="12" s="1"/>
  <c r="G75" i="11"/>
  <c r="G75" i="12" s="1"/>
  <c r="H75" i="11"/>
  <c r="H75" i="12" s="1"/>
  <c r="I75" i="11"/>
  <c r="I75" i="12" s="1"/>
  <c r="J75" i="11"/>
  <c r="J75" i="12" s="1"/>
  <c r="K75" i="11"/>
  <c r="K75" i="12" s="1"/>
  <c r="L75" i="11"/>
  <c r="L75" i="12" s="1"/>
  <c r="M75" i="11"/>
  <c r="M75" i="12" s="1"/>
  <c r="N75" i="11"/>
  <c r="N75" i="12" s="1"/>
  <c r="O75" i="11"/>
  <c r="O75" i="12" s="1"/>
  <c r="P75" i="11"/>
  <c r="P75" i="12" s="1"/>
  <c r="Q75" i="11"/>
  <c r="Q75" i="12" s="1"/>
  <c r="R75" i="11"/>
  <c r="R75" i="12" s="1"/>
  <c r="S75" i="11"/>
  <c r="S75" i="12" s="1"/>
  <c r="T75" i="11"/>
  <c r="T75" i="12" s="1"/>
  <c r="U75" i="11"/>
  <c r="U75" i="12" s="1"/>
  <c r="V75" i="11"/>
  <c r="V75" i="12" s="1"/>
  <c r="W75" i="11"/>
  <c r="W75" i="12" s="1"/>
  <c r="X75" i="11"/>
  <c r="X75" i="12" s="1"/>
  <c r="Y75" i="11"/>
  <c r="Y75" i="12" s="1"/>
  <c r="Z75" i="11"/>
  <c r="Z75" i="12" s="1"/>
  <c r="AA75" i="11"/>
  <c r="AA75" i="12" s="1"/>
  <c r="AB75" i="11"/>
  <c r="AB75" i="12" s="1"/>
  <c r="AC75" i="11"/>
  <c r="AC75" i="12" s="1"/>
  <c r="AD75" i="11"/>
  <c r="AD75" i="12" s="1"/>
  <c r="AE75" i="11"/>
  <c r="AE75" i="12" s="1"/>
  <c r="AF75" i="11"/>
  <c r="AF75" i="12" s="1"/>
  <c r="AG75" i="11"/>
  <c r="AG75" i="12" s="1"/>
  <c r="D76" i="11"/>
  <c r="D76" i="12" s="1"/>
  <c r="E76" i="11"/>
  <c r="E76" i="12" s="1"/>
  <c r="F76" i="11"/>
  <c r="F76" i="12" s="1"/>
  <c r="G76" i="11"/>
  <c r="G76" i="12" s="1"/>
  <c r="H76" i="11"/>
  <c r="H76" i="12" s="1"/>
  <c r="I76" i="11"/>
  <c r="I76" i="12" s="1"/>
  <c r="J76" i="11"/>
  <c r="J76" i="12" s="1"/>
  <c r="K76" i="11"/>
  <c r="K76" i="12" s="1"/>
  <c r="L76" i="11"/>
  <c r="L76" i="12" s="1"/>
  <c r="M76" i="11"/>
  <c r="M76" i="12" s="1"/>
  <c r="N76" i="11"/>
  <c r="N76" i="12" s="1"/>
  <c r="O76" i="11"/>
  <c r="O76" i="12" s="1"/>
  <c r="P76" i="11"/>
  <c r="P76" i="12" s="1"/>
  <c r="Q76" i="11"/>
  <c r="Q76" i="12" s="1"/>
  <c r="R76" i="11"/>
  <c r="R76" i="12" s="1"/>
  <c r="S76" i="11"/>
  <c r="S76" i="12" s="1"/>
  <c r="T76" i="11"/>
  <c r="T76" i="12" s="1"/>
  <c r="U76" i="11"/>
  <c r="U76" i="12" s="1"/>
  <c r="V76" i="11"/>
  <c r="V76" i="12" s="1"/>
  <c r="W76" i="11"/>
  <c r="W76" i="12" s="1"/>
  <c r="X76" i="11"/>
  <c r="X76" i="12" s="1"/>
  <c r="Y76" i="11"/>
  <c r="Y76" i="12" s="1"/>
  <c r="Z76" i="11"/>
  <c r="Z76" i="12" s="1"/>
  <c r="AA76" i="11"/>
  <c r="AA76" i="12" s="1"/>
  <c r="AB76" i="11"/>
  <c r="AB76" i="12" s="1"/>
  <c r="AC76" i="11"/>
  <c r="AC76" i="12" s="1"/>
  <c r="AD76" i="11"/>
  <c r="AD76" i="12" s="1"/>
  <c r="AE76" i="11"/>
  <c r="AE76" i="12" s="1"/>
  <c r="AF76" i="11"/>
  <c r="AF76" i="12" s="1"/>
  <c r="AG76" i="11"/>
  <c r="AG76" i="12" s="1"/>
  <c r="D77" i="11"/>
  <c r="D77" i="12" s="1"/>
  <c r="E77" i="11"/>
  <c r="E77" i="12" s="1"/>
  <c r="F77" i="11"/>
  <c r="F77" i="12" s="1"/>
  <c r="G77" i="11"/>
  <c r="G77" i="12" s="1"/>
  <c r="H77" i="11"/>
  <c r="H77" i="12" s="1"/>
  <c r="I77" i="11"/>
  <c r="I77" i="12" s="1"/>
  <c r="J77" i="11"/>
  <c r="J77" i="12" s="1"/>
  <c r="K77" i="11"/>
  <c r="K77" i="12" s="1"/>
  <c r="L77" i="11"/>
  <c r="L77" i="12" s="1"/>
  <c r="M77" i="11"/>
  <c r="M77" i="12" s="1"/>
  <c r="N77" i="11"/>
  <c r="N77" i="12" s="1"/>
  <c r="O77" i="11"/>
  <c r="O77" i="12" s="1"/>
  <c r="P77" i="11"/>
  <c r="P77" i="12" s="1"/>
  <c r="Q77" i="11"/>
  <c r="Q77" i="12" s="1"/>
  <c r="R77" i="11"/>
  <c r="R77" i="12" s="1"/>
  <c r="S77" i="11"/>
  <c r="S77" i="12" s="1"/>
  <c r="T77" i="11"/>
  <c r="T77" i="12" s="1"/>
  <c r="U77" i="11"/>
  <c r="U77" i="12" s="1"/>
  <c r="V77" i="11"/>
  <c r="V77" i="12" s="1"/>
  <c r="W77" i="11"/>
  <c r="W77" i="12" s="1"/>
  <c r="X77" i="11"/>
  <c r="X77" i="12" s="1"/>
  <c r="Y77" i="11"/>
  <c r="Y77" i="12" s="1"/>
  <c r="Z77" i="11"/>
  <c r="Z77" i="12" s="1"/>
  <c r="AA77" i="11"/>
  <c r="AA77" i="12" s="1"/>
  <c r="AB77" i="11"/>
  <c r="AB77" i="12" s="1"/>
  <c r="AC77" i="11"/>
  <c r="AC77" i="12" s="1"/>
  <c r="AD77" i="11"/>
  <c r="AD77" i="12" s="1"/>
  <c r="AE77" i="11"/>
  <c r="AE77" i="12" s="1"/>
  <c r="AF77" i="11"/>
  <c r="AF77" i="12" s="1"/>
  <c r="AG77" i="11"/>
  <c r="AG77" i="12" s="1"/>
  <c r="D78" i="11"/>
  <c r="D78" i="12" s="1"/>
  <c r="E78" i="11"/>
  <c r="E78" i="12" s="1"/>
  <c r="F78" i="11"/>
  <c r="F78" i="12" s="1"/>
  <c r="G78" i="11"/>
  <c r="G78" i="12" s="1"/>
  <c r="H78" i="11"/>
  <c r="H78" i="12" s="1"/>
  <c r="I78" i="11"/>
  <c r="I78" i="12" s="1"/>
  <c r="J78" i="11"/>
  <c r="J78" i="12" s="1"/>
  <c r="K78" i="11"/>
  <c r="K78" i="12" s="1"/>
  <c r="L78" i="11"/>
  <c r="L78" i="12" s="1"/>
  <c r="M78" i="11"/>
  <c r="M78" i="12" s="1"/>
  <c r="N78" i="11"/>
  <c r="N78" i="12" s="1"/>
  <c r="O78" i="11"/>
  <c r="O78" i="12" s="1"/>
  <c r="P78" i="11"/>
  <c r="P78" i="12" s="1"/>
  <c r="Q78" i="11"/>
  <c r="Q78" i="12" s="1"/>
  <c r="R78" i="11"/>
  <c r="R78" i="12" s="1"/>
  <c r="S78" i="11"/>
  <c r="S78" i="12" s="1"/>
  <c r="T78" i="11"/>
  <c r="T78" i="12" s="1"/>
  <c r="U78" i="11"/>
  <c r="U78" i="12" s="1"/>
  <c r="V78" i="11"/>
  <c r="V78" i="12" s="1"/>
  <c r="W78" i="11"/>
  <c r="W78" i="12" s="1"/>
  <c r="X78" i="11"/>
  <c r="X78" i="12" s="1"/>
  <c r="Y78" i="11"/>
  <c r="Y78" i="12" s="1"/>
  <c r="Z78" i="11"/>
  <c r="Z78" i="12" s="1"/>
  <c r="AA78" i="11"/>
  <c r="AA78" i="12" s="1"/>
  <c r="AB78" i="11"/>
  <c r="AB78" i="12" s="1"/>
  <c r="AC78" i="11"/>
  <c r="AC78" i="12" s="1"/>
  <c r="AD78" i="11"/>
  <c r="AD78" i="12" s="1"/>
  <c r="AE78" i="11"/>
  <c r="AE78" i="12" s="1"/>
  <c r="AF78" i="11"/>
  <c r="AF78" i="12" s="1"/>
  <c r="AG78" i="11"/>
  <c r="AG78" i="12" s="1"/>
  <c r="D79" i="11"/>
  <c r="D79" i="12" s="1"/>
  <c r="E79" i="11"/>
  <c r="E79" i="12" s="1"/>
  <c r="F79" i="11"/>
  <c r="F79" i="12" s="1"/>
  <c r="G79" i="11"/>
  <c r="G79" i="12" s="1"/>
  <c r="H79" i="11"/>
  <c r="H79" i="12" s="1"/>
  <c r="I79" i="11"/>
  <c r="I79" i="12" s="1"/>
  <c r="J79" i="11"/>
  <c r="J79" i="12" s="1"/>
  <c r="K79" i="11"/>
  <c r="K79" i="12" s="1"/>
  <c r="L79" i="11"/>
  <c r="L79" i="12" s="1"/>
  <c r="M79" i="11"/>
  <c r="M79" i="12" s="1"/>
  <c r="N79" i="11"/>
  <c r="N79" i="12" s="1"/>
  <c r="O79" i="11"/>
  <c r="O79" i="12" s="1"/>
  <c r="P79" i="11"/>
  <c r="P79" i="12" s="1"/>
  <c r="Q79" i="11"/>
  <c r="Q79" i="12" s="1"/>
  <c r="R79" i="11"/>
  <c r="R79" i="12" s="1"/>
  <c r="S79" i="11"/>
  <c r="S79" i="12" s="1"/>
  <c r="T79" i="11"/>
  <c r="T79" i="12" s="1"/>
  <c r="U79" i="11"/>
  <c r="U79" i="12" s="1"/>
  <c r="V79" i="11"/>
  <c r="V79" i="12" s="1"/>
  <c r="W79" i="11"/>
  <c r="W79" i="12" s="1"/>
  <c r="X79" i="11"/>
  <c r="X79" i="12" s="1"/>
  <c r="Y79" i="11"/>
  <c r="Y79" i="12" s="1"/>
  <c r="Z79" i="11"/>
  <c r="Z79" i="12" s="1"/>
  <c r="AA79" i="11"/>
  <c r="AA79" i="12" s="1"/>
  <c r="AB79" i="11"/>
  <c r="AB79" i="12" s="1"/>
  <c r="AC79" i="11"/>
  <c r="AC79" i="12" s="1"/>
  <c r="AD79" i="11"/>
  <c r="AD79" i="12" s="1"/>
  <c r="AE79" i="11"/>
  <c r="AE79" i="12" s="1"/>
  <c r="AF79" i="11"/>
  <c r="AF79" i="12" s="1"/>
  <c r="AG79" i="11"/>
  <c r="AG79" i="12" s="1"/>
  <c r="D80" i="11"/>
  <c r="D80" i="12" s="1"/>
  <c r="E80" i="11"/>
  <c r="E80" i="12" s="1"/>
  <c r="F80" i="11"/>
  <c r="F80" i="12" s="1"/>
  <c r="G80" i="11"/>
  <c r="G80" i="12" s="1"/>
  <c r="H80" i="11"/>
  <c r="H80" i="12" s="1"/>
  <c r="I80" i="11"/>
  <c r="I80" i="12" s="1"/>
  <c r="J80" i="11"/>
  <c r="J80" i="12" s="1"/>
  <c r="K80" i="11"/>
  <c r="K80" i="12" s="1"/>
  <c r="L80" i="11"/>
  <c r="L80" i="12" s="1"/>
  <c r="M80" i="11"/>
  <c r="M80" i="12" s="1"/>
  <c r="N80" i="11"/>
  <c r="N80" i="12" s="1"/>
  <c r="O80" i="11"/>
  <c r="O80" i="12" s="1"/>
  <c r="P80" i="11"/>
  <c r="P80" i="12" s="1"/>
  <c r="Q80" i="11"/>
  <c r="Q80" i="12" s="1"/>
  <c r="R80" i="11"/>
  <c r="R80" i="12" s="1"/>
  <c r="S80" i="11"/>
  <c r="S80" i="12" s="1"/>
  <c r="T80" i="11"/>
  <c r="T80" i="12" s="1"/>
  <c r="U80" i="11"/>
  <c r="U80" i="12" s="1"/>
  <c r="V80" i="11"/>
  <c r="V80" i="12" s="1"/>
  <c r="W80" i="11"/>
  <c r="W80" i="12" s="1"/>
  <c r="X80" i="11"/>
  <c r="X80" i="12" s="1"/>
  <c r="Y80" i="11"/>
  <c r="Y80" i="12" s="1"/>
  <c r="Z80" i="11"/>
  <c r="Z80" i="12" s="1"/>
  <c r="AA80" i="11"/>
  <c r="AA80" i="12" s="1"/>
  <c r="AB80" i="11"/>
  <c r="AB80" i="12" s="1"/>
  <c r="AC80" i="11"/>
  <c r="AC80" i="12" s="1"/>
  <c r="AD80" i="11"/>
  <c r="AD80" i="12" s="1"/>
  <c r="AE80" i="11"/>
  <c r="AE80" i="12" s="1"/>
  <c r="AF80" i="11"/>
  <c r="AF80" i="12" s="1"/>
  <c r="AG80" i="11"/>
  <c r="AG80" i="12" s="1"/>
  <c r="D81" i="11"/>
  <c r="D81" i="12" s="1"/>
  <c r="E81" i="11"/>
  <c r="E81" i="12" s="1"/>
  <c r="F81" i="11"/>
  <c r="F81" i="12" s="1"/>
  <c r="G81" i="11"/>
  <c r="G81" i="12" s="1"/>
  <c r="H81" i="11"/>
  <c r="H81" i="12" s="1"/>
  <c r="I81" i="11"/>
  <c r="I81" i="12" s="1"/>
  <c r="J81" i="11"/>
  <c r="J81" i="12" s="1"/>
  <c r="K81" i="11"/>
  <c r="K81" i="12" s="1"/>
  <c r="L81" i="11"/>
  <c r="L81" i="12" s="1"/>
  <c r="M81" i="11"/>
  <c r="M81" i="12" s="1"/>
  <c r="N81" i="11"/>
  <c r="N81" i="12" s="1"/>
  <c r="O81" i="11"/>
  <c r="O81" i="12" s="1"/>
  <c r="P81" i="11"/>
  <c r="P81" i="12" s="1"/>
  <c r="Q81" i="11"/>
  <c r="Q81" i="12" s="1"/>
  <c r="R81" i="11"/>
  <c r="R81" i="12" s="1"/>
  <c r="S81" i="11"/>
  <c r="S81" i="12" s="1"/>
  <c r="T81" i="11"/>
  <c r="T81" i="12" s="1"/>
  <c r="U81" i="11"/>
  <c r="U81" i="12" s="1"/>
  <c r="V81" i="11"/>
  <c r="V81" i="12" s="1"/>
  <c r="W81" i="11"/>
  <c r="W81" i="12" s="1"/>
  <c r="X81" i="11"/>
  <c r="X81" i="12" s="1"/>
  <c r="Y81" i="11"/>
  <c r="Y81" i="12" s="1"/>
  <c r="Z81" i="11"/>
  <c r="Z81" i="12" s="1"/>
  <c r="AA81" i="11"/>
  <c r="AA81" i="12" s="1"/>
  <c r="AB81" i="11"/>
  <c r="AB81" i="12" s="1"/>
  <c r="AC81" i="11"/>
  <c r="AC81" i="12" s="1"/>
  <c r="AD81" i="11"/>
  <c r="AD81" i="12" s="1"/>
  <c r="AE81" i="11"/>
  <c r="AE81" i="12" s="1"/>
  <c r="AF81" i="11"/>
  <c r="AF81" i="12" s="1"/>
  <c r="AG81" i="11"/>
  <c r="AG81" i="12" s="1"/>
  <c r="D82" i="11"/>
  <c r="D82" i="12" s="1"/>
  <c r="E82" i="11"/>
  <c r="E82" i="12" s="1"/>
  <c r="F82" i="11"/>
  <c r="F82" i="12" s="1"/>
  <c r="G82" i="11"/>
  <c r="G82" i="12" s="1"/>
  <c r="H82" i="11"/>
  <c r="H82" i="12" s="1"/>
  <c r="I82" i="11"/>
  <c r="I82" i="12" s="1"/>
  <c r="J82" i="11"/>
  <c r="J82" i="12" s="1"/>
  <c r="K82" i="11"/>
  <c r="K82" i="12" s="1"/>
  <c r="L82" i="11"/>
  <c r="L82" i="12" s="1"/>
  <c r="M82" i="11"/>
  <c r="M82" i="12" s="1"/>
  <c r="N82" i="11"/>
  <c r="N82" i="12" s="1"/>
  <c r="O82" i="11"/>
  <c r="O82" i="12" s="1"/>
  <c r="P82" i="11"/>
  <c r="P82" i="12" s="1"/>
  <c r="Q82" i="11"/>
  <c r="Q82" i="12" s="1"/>
  <c r="R82" i="11"/>
  <c r="R82" i="12" s="1"/>
  <c r="S82" i="11"/>
  <c r="S82" i="12" s="1"/>
  <c r="T82" i="11"/>
  <c r="T82" i="12" s="1"/>
  <c r="U82" i="11"/>
  <c r="U82" i="12" s="1"/>
  <c r="V82" i="11"/>
  <c r="V82" i="12" s="1"/>
  <c r="W82" i="11"/>
  <c r="W82" i="12" s="1"/>
  <c r="X82" i="11"/>
  <c r="X82" i="12" s="1"/>
  <c r="Y82" i="11"/>
  <c r="Y82" i="12" s="1"/>
  <c r="Z82" i="11"/>
  <c r="Z82" i="12" s="1"/>
  <c r="AA82" i="11"/>
  <c r="AA82" i="12" s="1"/>
  <c r="AB82" i="11"/>
  <c r="AB82" i="12" s="1"/>
  <c r="AC82" i="11"/>
  <c r="AC82" i="12" s="1"/>
  <c r="AD82" i="11"/>
  <c r="AD82" i="12" s="1"/>
  <c r="AE82" i="11"/>
  <c r="AE82" i="12" s="1"/>
  <c r="AF82" i="11"/>
  <c r="AF82" i="12" s="1"/>
  <c r="AG82" i="11"/>
  <c r="AG82" i="12" s="1"/>
  <c r="D83" i="11"/>
  <c r="D83" i="12" s="1"/>
  <c r="E83" i="11"/>
  <c r="E83" i="12" s="1"/>
  <c r="F83" i="11"/>
  <c r="F83" i="12" s="1"/>
  <c r="G83" i="11"/>
  <c r="G83" i="12" s="1"/>
  <c r="H83" i="11"/>
  <c r="H83" i="12" s="1"/>
  <c r="I83" i="11"/>
  <c r="I83" i="12" s="1"/>
  <c r="J83" i="11"/>
  <c r="J83" i="12" s="1"/>
  <c r="K83" i="11"/>
  <c r="K83" i="12" s="1"/>
  <c r="L83" i="11"/>
  <c r="L83" i="12" s="1"/>
  <c r="M83" i="11"/>
  <c r="M83" i="12" s="1"/>
  <c r="N83" i="11"/>
  <c r="N83" i="12" s="1"/>
  <c r="O83" i="11"/>
  <c r="O83" i="12" s="1"/>
  <c r="P83" i="11"/>
  <c r="P83" i="12" s="1"/>
  <c r="Q83" i="11"/>
  <c r="Q83" i="12" s="1"/>
  <c r="R83" i="11"/>
  <c r="R83" i="12" s="1"/>
  <c r="S83" i="11"/>
  <c r="S83" i="12" s="1"/>
  <c r="T83" i="11"/>
  <c r="T83" i="12" s="1"/>
  <c r="U83" i="11"/>
  <c r="U83" i="12" s="1"/>
  <c r="V83" i="11"/>
  <c r="V83" i="12" s="1"/>
  <c r="W83" i="11"/>
  <c r="W83" i="12" s="1"/>
  <c r="X83" i="11"/>
  <c r="X83" i="12" s="1"/>
  <c r="Y83" i="11"/>
  <c r="Y83" i="12" s="1"/>
  <c r="Z83" i="11"/>
  <c r="Z83" i="12" s="1"/>
  <c r="AA83" i="11"/>
  <c r="AA83" i="12" s="1"/>
  <c r="AB83" i="11"/>
  <c r="AB83" i="12" s="1"/>
  <c r="AC83" i="11"/>
  <c r="AC83" i="12" s="1"/>
  <c r="AD83" i="11"/>
  <c r="AD83" i="12" s="1"/>
  <c r="AE83" i="11"/>
  <c r="AE83" i="12" s="1"/>
  <c r="AF83" i="11"/>
  <c r="AF83" i="12" s="1"/>
  <c r="AG83" i="11"/>
  <c r="AG83" i="12" s="1"/>
  <c r="D84" i="11"/>
  <c r="D84" i="12" s="1"/>
  <c r="E84" i="11"/>
  <c r="E84" i="12" s="1"/>
  <c r="F84" i="11"/>
  <c r="F84" i="12" s="1"/>
  <c r="G84" i="11"/>
  <c r="G84" i="12" s="1"/>
  <c r="H84" i="11"/>
  <c r="H84" i="12" s="1"/>
  <c r="I84" i="11"/>
  <c r="I84" i="12" s="1"/>
  <c r="J84" i="11"/>
  <c r="J84" i="12" s="1"/>
  <c r="K84" i="11"/>
  <c r="K84" i="12" s="1"/>
  <c r="L84" i="11"/>
  <c r="L84" i="12" s="1"/>
  <c r="M84" i="11"/>
  <c r="M84" i="12" s="1"/>
  <c r="N84" i="11"/>
  <c r="N84" i="12" s="1"/>
  <c r="O84" i="11"/>
  <c r="O84" i="12" s="1"/>
  <c r="P84" i="11"/>
  <c r="P84" i="12" s="1"/>
  <c r="Q84" i="11"/>
  <c r="Q84" i="12" s="1"/>
  <c r="R84" i="11"/>
  <c r="R84" i="12" s="1"/>
  <c r="S84" i="11"/>
  <c r="S84" i="12" s="1"/>
  <c r="T84" i="11"/>
  <c r="T84" i="12" s="1"/>
  <c r="U84" i="11"/>
  <c r="U84" i="12" s="1"/>
  <c r="V84" i="11"/>
  <c r="V84" i="12" s="1"/>
  <c r="W84" i="11"/>
  <c r="W84" i="12" s="1"/>
  <c r="X84" i="11"/>
  <c r="X84" i="12" s="1"/>
  <c r="Y84" i="11"/>
  <c r="Y84" i="12" s="1"/>
  <c r="Z84" i="11"/>
  <c r="Z84" i="12" s="1"/>
  <c r="AA84" i="11"/>
  <c r="AA84" i="12" s="1"/>
  <c r="AB84" i="11"/>
  <c r="AB84" i="12" s="1"/>
  <c r="AC84" i="11"/>
  <c r="AC84" i="12" s="1"/>
  <c r="AD84" i="11"/>
  <c r="AD84" i="12" s="1"/>
  <c r="AE84" i="11"/>
  <c r="AE84" i="12" s="1"/>
  <c r="AF84" i="11"/>
  <c r="AF84" i="12" s="1"/>
  <c r="AG84" i="11"/>
  <c r="AG84" i="12" s="1"/>
  <c r="D85" i="11"/>
  <c r="D85" i="12" s="1"/>
  <c r="E85" i="11"/>
  <c r="E85" i="12" s="1"/>
  <c r="F85" i="11"/>
  <c r="F85" i="12" s="1"/>
  <c r="G85" i="11"/>
  <c r="G85" i="12" s="1"/>
  <c r="H85" i="11"/>
  <c r="H85" i="12" s="1"/>
  <c r="I85" i="11"/>
  <c r="I85" i="12" s="1"/>
  <c r="J85" i="11"/>
  <c r="J85" i="12" s="1"/>
  <c r="K85" i="11"/>
  <c r="K85" i="12" s="1"/>
  <c r="L85" i="11"/>
  <c r="L85" i="12" s="1"/>
  <c r="M85" i="11"/>
  <c r="M85" i="12" s="1"/>
  <c r="N85" i="11"/>
  <c r="N85" i="12" s="1"/>
  <c r="O85" i="11"/>
  <c r="O85" i="12" s="1"/>
  <c r="P85" i="11"/>
  <c r="P85" i="12" s="1"/>
  <c r="Q85" i="11"/>
  <c r="Q85" i="12" s="1"/>
  <c r="R85" i="11"/>
  <c r="R85" i="12" s="1"/>
  <c r="S85" i="11"/>
  <c r="S85" i="12" s="1"/>
  <c r="T85" i="11"/>
  <c r="T85" i="12" s="1"/>
  <c r="U85" i="11"/>
  <c r="U85" i="12" s="1"/>
  <c r="V85" i="11"/>
  <c r="V85" i="12" s="1"/>
  <c r="W85" i="11"/>
  <c r="W85" i="12" s="1"/>
  <c r="X85" i="11"/>
  <c r="X85" i="12" s="1"/>
  <c r="Y85" i="11"/>
  <c r="Y85" i="12" s="1"/>
  <c r="Z85" i="11"/>
  <c r="Z85" i="12" s="1"/>
  <c r="AA85" i="11"/>
  <c r="AA85" i="12" s="1"/>
  <c r="AB85" i="11"/>
  <c r="AB85" i="12" s="1"/>
  <c r="AC85" i="11"/>
  <c r="AC85" i="12" s="1"/>
  <c r="AD85" i="11"/>
  <c r="AD85" i="12" s="1"/>
  <c r="AE85" i="11"/>
  <c r="AE85" i="12" s="1"/>
  <c r="AF85" i="11"/>
  <c r="AF85" i="12" s="1"/>
  <c r="AG85" i="11"/>
  <c r="AG85" i="12" s="1"/>
  <c r="D86" i="11"/>
  <c r="D86" i="12" s="1"/>
  <c r="E86" i="11"/>
  <c r="E86" i="12" s="1"/>
  <c r="F86" i="11"/>
  <c r="F86" i="12" s="1"/>
  <c r="G86" i="11"/>
  <c r="G86" i="12" s="1"/>
  <c r="H86" i="11"/>
  <c r="H86" i="12" s="1"/>
  <c r="I86" i="11"/>
  <c r="I86" i="12" s="1"/>
  <c r="J86" i="11"/>
  <c r="J86" i="12" s="1"/>
  <c r="K86" i="11"/>
  <c r="K86" i="12" s="1"/>
  <c r="L86" i="11"/>
  <c r="L86" i="12" s="1"/>
  <c r="M86" i="11"/>
  <c r="M86" i="12" s="1"/>
  <c r="N86" i="11"/>
  <c r="N86" i="12" s="1"/>
  <c r="O86" i="11"/>
  <c r="O86" i="12" s="1"/>
  <c r="P86" i="11"/>
  <c r="P86" i="12" s="1"/>
  <c r="Q86" i="11"/>
  <c r="Q86" i="12" s="1"/>
  <c r="R86" i="11"/>
  <c r="R86" i="12" s="1"/>
  <c r="S86" i="11"/>
  <c r="S86" i="12" s="1"/>
  <c r="T86" i="11"/>
  <c r="T86" i="12" s="1"/>
  <c r="U86" i="11"/>
  <c r="U86" i="12" s="1"/>
  <c r="V86" i="11"/>
  <c r="V86" i="12" s="1"/>
  <c r="W86" i="11"/>
  <c r="W86" i="12" s="1"/>
  <c r="X86" i="11"/>
  <c r="X86" i="12" s="1"/>
  <c r="Y86" i="11"/>
  <c r="Y86" i="12" s="1"/>
  <c r="Z86" i="11"/>
  <c r="Z86" i="12" s="1"/>
  <c r="AA86" i="11"/>
  <c r="AA86" i="12" s="1"/>
  <c r="AB86" i="11"/>
  <c r="AB86" i="12" s="1"/>
  <c r="AC86" i="11"/>
  <c r="AC86" i="12" s="1"/>
  <c r="AD86" i="11"/>
  <c r="AD86" i="12" s="1"/>
  <c r="AE86" i="11"/>
  <c r="AE86" i="12" s="1"/>
  <c r="AF86" i="11"/>
  <c r="AF86" i="12" s="1"/>
  <c r="AG86" i="11"/>
  <c r="AG86" i="12" s="1"/>
  <c r="D87" i="11"/>
  <c r="D87" i="12" s="1"/>
  <c r="E87" i="11"/>
  <c r="E87" i="12" s="1"/>
  <c r="F87" i="11"/>
  <c r="F87" i="12" s="1"/>
  <c r="G87" i="11"/>
  <c r="G87" i="12" s="1"/>
  <c r="H87" i="11"/>
  <c r="H87" i="12" s="1"/>
  <c r="I87" i="11"/>
  <c r="I87" i="12" s="1"/>
  <c r="J87" i="11"/>
  <c r="J87" i="12" s="1"/>
  <c r="K87" i="11"/>
  <c r="K87" i="12" s="1"/>
  <c r="L87" i="11"/>
  <c r="L87" i="12" s="1"/>
  <c r="M87" i="11"/>
  <c r="M87" i="12" s="1"/>
  <c r="N87" i="11"/>
  <c r="N87" i="12" s="1"/>
  <c r="O87" i="11"/>
  <c r="O87" i="12" s="1"/>
  <c r="P87" i="11"/>
  <c r="P87" i="12" s="1"/>
  <c r="Q87" i="11"/>
  <c r="Q87" i="12" s="1"/>
  <c r="R87" i="11"/>
  <c r="R87" i="12" s="1"/>
  <c r="S87" i="11"/>
  <c r="S87" i="12" s="1"/>
  <c r="T87" i="11"/>
  <c r="T87" i="12" s="1"/>
  <c r="U87" i="11"/>
  <c r="U87" i="12" s="1"/>
  <c r="V87" i="11"/>
  <c r="V87" i="12" s="1"/>
  <c r="W87" i="11"/>
  <c r="W87" i="12" s="1"/>
  <c r="X87" i="11"/>
  <c r="X87" i="12" s="1"/>
  <c r="Y87" i="11"/>
  <c r="Y87" i="12" s="1"/>
  <c r="Z87" i="11"/>
  <c r="Z87" i="12" s="1"/>
  <c r="AA87" i="11"/>
  <c r="AA87" i="12" s="1"/>
  <c r="AB87" i="11"/>
  <c r="AB87" i="12" s="1"/>
  <c r="AC87" i="11"/>
  <c r="AC87" i="12" s="1"/>
  <c r="AD87" i="11"/>
  <c r="AD87" i="12" s="1"/>
  <c r="AE87" i="11"/>
  <c r="AE87" i="12" s="1"/>
  <c r="AF87" i="11"/>
  <c r="AF87" i="12" s="1"/>
  <c r="AG87" i="11"/>
  <c r="AG87" i="12" s="1"/>
  <c r="D88" i="11"/>
  <c r="D88" i="12" s="1"/>
  <c r="E88" i="11"/>
  <c r="E88" i="12" s="1"/>
  <c r="F88" i="11"/>
  <c r="F88" i="12" s="1"/>
  <c r="G88" i="11"/>
  <c r="G88" i="12" s="1"/>
  <c r="H88" i="11"/>
  <c r="H88" i="12" s="1"/>
  <c r="I88" i="11"/>
  <c r="I88" i="12" s="1"/>
  <c r="J88" i="11"/>
  <c r="J88" i="12" s="1"/>
  <c r="K88" i="11"/>
  <c r="K88" i="12" s="1"/>
  <c r="L88" i="11"/>
  <c r="L88" i="12" s="1"/>
  <c r="M88" i="11"/>
  <c r="M88" i="12" s="1"/>
  <c r="N88" i="11"/>
  <c r="N88" i="12" s="1"/>
  <c r="O88" i="11"/>
  <c r="O88" i="12" s="1"/>
  <c r="P88" i="11"/>
  <c r="P88" i="12" s="1"/>
  <c r="Q88" i="11"/>
  <c r="Q88" i="12" s="1"/>
  <c r="R88" i="11"/>
  <c r="R88" i="12" s="1"/>
  <c r="S88" i="11"/>
  <c r="S88" i="12" s="1"/>
  <c r="T88" i="11"/>
  <c r="T88" i="12" s="1"/>
  <c r="U88" i="11"/>
  <c r="U88" i="12" s="1"/>
  <c r="V88" i="11"/>
  <c r="V88" i="12" s="1"/>
  <c r="W88" i="11"/>
  <c r="W88" i="12" s="1"/>
  <c r="X88" i="11"/>
  <c r="X88" i="12" s="1"/>
  <c r="Y88" i="11"/>
  <c r="Y88" i="12" s="1"/>
  <c r="Z88" i="11"/>
  <c r="Z88" i="12" s="1"/>
  <c r="AA88" i="11"/>
  <c r="AA88" i="12" s="1"/>
  <c r="AB88" i="11"/>
  <c r="AB88" i="12" s="1"/>
  <c r="AC88" i="11"/>
  <c r="AC88" i="12" s="1"/>
  <c r="AD88" i="11"/>
  <c r="AD88" i="12" s="1"/>
  <c r="AE88" i="11"/>
  <c r="AE88" i="12" s="1"/>
  <c r="AF88" i="11"/>
  <c r="AF88" i="12" s="1"/>
  <c r="AG88" i="11"/>
  <c r="AG88" i="12" s="1"/>
  <c r="D89" i="11"/>
  <c r="D89" i="12" s="1"/>
  <c r="E89" i="11"/>
  <c r="E89" i="12" s="1"/>
  <c r="F89" i="11"/>
  <c r="F89" i="12" s="1"/>
  <c r="G89" i="11"/>
  <c r="G89" i="12" s="1"/>
  <c r="H89" i="11"/>
  <c r="H89" i="12" s="1"/>
  <c r="I89" i="11"/>
  <c r="I89" i="12" s="1"/>
  <c r="J89" i="11"/>
  <c r="J89" i="12" s="1"/>
  <c r="K89" i="11"/>
  <c r="K89" i="12" s="1"/>
  <c r="L89" i="11"/>
  <c r="L89" i="12" s="1"/>
  <c r="M89" i="11"/>
  <c r="M89" i="12" s="1"/>
  <c r="N89" i="11"/>
  <c r="N89" i="12" s="1"/>
  <c r="O89" i="11"/>
  <c r="O89" i="12" s="1"/>
  <c r="P89" i="11"/>
  <c r="P89" i="12" s="1"/>
  <c r="Q89" i="11"/>
  <c r="Q89" i="12" s="1"/>
  <c r="R89" i="11"/>
  <c r="R89" i="12" s="1"/>
  <c r="S89" i="11"/>
  <c r="S89" i="12" s="1"/>
  <c r="T89" i="11"/>
  <c r="T89" i="12" s="1"/>
  <c r="U89" i="11"/>
  <c r="U89" i="12" s="1"/>
  <c r="V89" i="11"/>
  <c r="V89" i="12" s="1"/>
  <c r="W89" i="11"/>
  <c r="W89" i="12" s="1"/>
  <c r="X89" i="11"/>
  <c r="X89" i="12" s="1"/>
  <c r="Y89" i="11"/>
  <c r="Y89" i="12" s="1"/>
  <c r="Z89" i="11"/>
  <c r="Z89" i="12" s="1"/>
  <c r="AA89" i="11"/>
  <c r="AA89" i="12" s="1"/>
  <c r="AB89" i="11"/>
  <c r="AB89" i="12" s="1"/>
  <c r="AC89" i="11"/>
  <c r="AC89" i="12" s="1"/>
  <c r="AD89" i="11"/>
  <c r="AD89" i="12" s="1"/>
  <c r="AE89" i="11"/>
  <c r="AE89" i="12" s="1"/>
  <c r="AF89" i="11"/>
  <c r="AF89" i="12" s="1"/>
  <c r="AG89" i="11"/>
  <c r="AG89" i="12" s="1"/>
  <c r="D90" i="11"/>
  <c r="D90" i="12" s="1"/>
  <c r="E90" i="11"/>
  <c r="E90" i="12" s="1"/>
  <c r="F90" i="11"/>
  <c r="F90" i="12" s="1"/>
  <c r="G90" i="11"/>
  <c r="G90" i="12" s="1"/>
  <c r="H90" i="11"/>
  <c r="H90" i="12" s="1"/>
  <c r="I90" i="11"/>
  <c r="I90" i="12" s="1"/>
  <c r="J90" i="11"/>
  <c r="J90" i="12" s="1"/>
  <c r="K90" i="11"/>
  <c r="K90" i="12" s="1"/>
  <c r="L90" i="11"/>
  <c r="L90" i="12" s="1"/>
  <c r="M90" i="11"/>
  <c r="M90" i="12" s="1"/>
  <c r="N90" i="11"/>
  <c r="N90" i="12" s="1"/>
  <c r="O90" i="11"/>
  <c r="O90" i="12" s="1"/>
  <c r="P90" i="11"/>
  <c r="P90" i="12" s="1"/>
  <c r="Q90" i="11"/>
  <c r="Q90" i="12" s="1"/>
  <c r="R90" i="11"/>
  <c r="R90" i="12" s="1"/>
  <c r="S90" i="11"/>
  <c r="S90" i="12" s="1"/>
  <c r="T90" i="11"/>
  <c r="T90" i="12" s="1"/>
  <c r="U90" i="11"/>
  <c r="U90" i="12" s="1"/>
  <c r="V90" i="11"/>
  <c r="V90" i="12" s="1"/>
  <c r="W90" i="11"/>
  <c r="W90" i="12" s="1"/>
  <c r="X90" i="11"/>
  <c r="X90" i="12" s="1"/>
  <c r="Y90" i="11"/>
  <c r="Y90" i="12" s="1"/>
  <c r="Z90" i="11"/>
  <c r="Z90" i="12" s="1"/>
  <c r="AA90" i="11"/>
  <c r="AA90" i="12" s="1"/>
  <c r="AB90" i="11"/>
  <c r="AB90" i="12" s="1"/>
  <c r="AC90" i="11"/>
  <c r="AC90" i="12" s="1"/>
  <c r="AD90" i="11"/>
  <c r="AD90" i="12" s="1"/>
  <c r="AE90" i="11"/>
  <c r="AE90" i="12" s="1"/>
  <c r="AF90" i="11"/>
  <c r="AF90" i="12" s="1"/>
  <c r="AG90" i="11"/>
  <c r="AG90" i="12" s="1"/>
  <c r="D91" i="11"/>
  <c r="D91" i="12" s="1"/>
  <c r="E91" i="11"/>
  <c r="E91" i="12" s="1"/>
  <c r="F91" i="11"/>
  <c r="F91" i="12" s="1"/>
  <c r="G91" i="11"/>
  <c r="G91" i="12" s="1"/>
  <c r="H91" i="11"/>
  <c r="H91" i="12" s="1"/>
  <c r="I91" i="11"/>
  <c r="I91" i="12" s="1"/>
  <c r="J91" i="11"/>
  <c r="J91" i="12" s="1"/>
  <c r="K91" i="11"/>
  <c r="K91" i="12" s="1"/>
  <c r="L91" i="11"/>
  <c r="L91" i="12" s="1"/>
  <c r="M91" i="11"/>
  <c r="M91" i="12" s="1"/>
  <c r="N91" i="11"/>
  <c r="N91" i="12" s="1"/>
  <c r="O91" i="11"/>
  <c r="O91" i="12" s="1"/>
  <c r="P91" i="11"/>
  <c r="P91" i="12" s="1"/>
  <c r="Q91" i="11"/>
  <c r="Q91" i="12" s="1"/>
  <c r="R91" i="11"/>
  <c r="R91" i="12" s="1"/>
  <c r="S91" i="11"/>
  <c r="S91" i="12" s="1"/>
  <c r="T91" i="11"/>
  <c r="T91" i="12" s="1"/>
  <c r="U91" i="11"/>
  <c r="U91" i="12" s="1"/>
  <c r="V91" i="11"/>
  <c r="V91" i="12" s="1"/>
  <c r="W91" i="11"/>
  <c r="W91" i="12" s="1"/>
  <c r="X91" i="11"/>
  <c r="X91" i="12" s="1"/>
  <c r="Y91" i="11"/>
  <c r="Y91" i="12" s="1"/>
  <c r="Z91" i="11"/>
  <c r="Z91" i="12" s="1"/>
  <c r="AA91" i="11"/>
  <c r="AA91" i="12" s="1"/>
  <c r="AB91" i="11"/>
  <c r="AB91" i="12" s="1"/>
  <c r="AC91" i="11"/>
  <c r="AC91" i="12" s="1"/>
  <c r="AD91" i="11"/>
  <c r="AD91" i="12" s="1"/>
  <c r="AE91" i="11"/>
  <c r="AE91" i="12" s="1"/>
  <c r="AF91" i="11"/>
  <c r="AF91" i="12" s="1"/>
  <c r="AG91" i="11"/>
  <c r="AG91" i="12" s="1"/>
  <c r="D92" i="11"/>
  <c r="D92" i="12" s="1"/>
  <c r="E92" i="11"/>
  <c r="E92" i="12" s="1"/>
  <c r="F92" i="11"/>
  <c r="F92" i="12" s="1"/>
  <c r="G92" i="11"/>
  <c r="G92" i="12" s="1"/>
  <c r="H92" i="11"/>
  <c r="H92" i="12" s="1"/>
  <c r="I92" i="11"/>
  <c r="I92" i="12" s="1"/>
  <c r="J92" i="11"/>
  <c r="J92" i="12" s="1"/>
  <c r="K92" i="11"/>
  <c r="K92" i="12" s="1"/>
  <c r="L92" i="11"/>
  <c r="L92" i="12" s="1"/>
  <c r="M92" i="11"/>
  <c r="M92" i="12" s="1"/>
  <c r="N92" i="11"/>
  <c r="N92" i="12" s="1"/>
  <c r="O92" i="11"/>
  <c r="O92" i="12" s="1"/>
  <c r="P92" i="11"/>
  <c r="P92" i="12" s="1"/>
  <c r="Q92" i="11"/>
  <c r="Q92" i="12" s="1"/>
  <c r="R92" i="11"/>
  <c r="R92" i="12" s="1"/>
  <c r="S92" i="11"/>
  <c r="S92" i="12" s="1"/>
  <c r="T92" i="11"/>
  <c r="T92" i="12" s="1"/>
  <c r="U92" i="11"/>
  <c r="U92" i="12" s="1"/>
  <c r="V92" i="11"/>
  <c r="V92" i="12" s="1"/>
  <c r="W92" i="11"/>
  <c r="W92" i="12" s="1"/>
  <c r="X92" i="11"/>
  <c r="X92" i="12" s="1"/>
  <c r="Y92" i="11"/>
  <c r="Y92" i="12" s="1"/>
  <c r="Z92" i="11"/>
  <c r="Z92" i="12" s="1"/>
  <c r="AA92" i="11"/>
  <c r="AA92" i="12" s="1"/>
  <c r="AB92" i="11"/>
  <c r="AB92" i="12" s="1"/>
  <c r="AC92" i="11"/>
  <c r="AC92" i="12" s="1"/>
  <c r="AD92" i="11"/>
  <c r="AD92" i="12" s="1"/>
  <c r="AE92" i="11"/>
  <c r="AE92" i="12" s="1"/>
  <c r="AF92" i="11"/>
  <c r="AF92" i="12" s="1"/>
  <c r="AG92" i="11"/>
  <c r="AG92" i="12" s="1"/>
  <c r="D93" i="11"/>
  <c r="D93" i="12" s="1"/>
  <c r="E93" i="11"/>
  <c r="E93" i="12" s="1"/>
  <c r="F93" i="11"/>
  <c r="F93" i="12" s="1"/>
  <c r="G93" i="11"/>
  <c r="G93" i="12" s="1"/>
  <c r="H93" i="11"/>
  <c r="H93" i="12" s="1"/>
  <c r="I93" i="11"/>
  <c r="I93" i="12" s="1"/>
  <c r="J93" i="11"/>
  <c r="J93" i="12" s="1"/>
  <c r="K93" i="11"/>
  <c r="K93" i="12" s="1"/>
  <c r="L93" i="11"/>
  <c r="L93" i="12" s="1"/>
  <c r="M93" i="11"/>
  <c r="M93" i="12" s="1"/>
  <c r="N93" i="11"/>
  <c r="N93" i="12" s="1"/>
  <c r="O93" i="11"/>
  <c r="O93" i="12" s="1"/>
  <c r="P93" i="11"/>
  <c r="P93" i="12" s="1"/>
  <c r="Q93" i="11"/>
  <c r="Q93" i="12" s="1"/>
  <c r="R93" i="11"/>
  <c r="R93" i="12" s="1"/>
  <c r="S93" i="11"/>
  <c r="S93" i="12" s="1"/>
  <c r="T93" i="11"/>
  <c r="T93" i="12" s="1"/>
  <c r="U93" i="11"/>
  <c r="U93" i="12" s="1"/>
  <c r="V93" i="11"/>
  <c r="V93" i="12" s="1"/>
  <c r="W93" i="11"/>
  <c r="W93" i="12" s="1"/>
  <c r="X93" i="11"/>
  <c r="X93" i="12" s="1"/>
  <c r="Y93" i="11"/>
  <c r="Y93" i="12" s="1"/>
  <c r="Z93" i="11"/>
  <c r="Z93" i="12" s="1"/>
  <c r="AA93" i="11"/>
  <c r="AA93" i="12" s="1"/>
  <c r="AB93" i="11"/>
  <c r="AB93" i="12" s="1"/>
  <c r="AC93" i="11"/>
  <c r="AC93" i="12" s="1"/>
  <c r="AD93" i="11"/>
  <c r="AD93" i="12" s="1"/>
  <c r="AE93" i="11"/>
  <c r="AE93" i="12" s="1"/>
  <c r="AF93" i="11"/>
  <c r="AF93" i="12" s="1"/>
  <c r="AG93" i="11"/>
  <c r="AG93" i="12" s="1"/>
  <c r="D94" i="11"/>
  <c r="D94" i="12" s="1"/>
  <c r="E94" i="11"/>
  <c r="E94" i="12" s="1"/>
  <c r="F94" i="11"/>
  <c r="F94" i="12" s="1"/>
  <c r="G94" i="11"/>
  <c r="G94" i="12" s="1"/>
  <c r="H94" i="11"/>
  <c r="H94" i="12" s="1"/>
  <c r="I94" i="11"/>
  <c r="I94" i="12" s="1"/>
  <c r="J94" i="11"/>
  <c r="J94" i="12" s="1"/>
  <c r="K94" i="11"/>
  <c r="K94" i="12" s="1"/>
  <c r="L94" i="11"/>
  <c r="L94" i="12" s="1"/>
  <c r="M94" i="11"/>
  <c r="M94" i="12" s="1"/>
  <c r="N94" i="11"/>
  <c r="N94" i="12" s="1"/>
  <c r="O94" i="11"/>
  <c r="O94" i="12" s="1"/>
  <c r="P94" i="11"/>
  <c r="P94" i="12" s="1"/>
  <c r="Q94" i="11"/>
  <c r="Q94" i="12" s="1"/>
  <c r="R94" i="11"/>
  <c r="R94" i="12" s="1"/>
  <c r="S94" i="11"/>
  <c r="S94" i="12" s="1"/>
  <c r="T94" i="11"/>
  <c r="T94" i="12" s="1"/>
  <c r="U94" i="11"/>
  <c r="U94" i="12" s="1"/>
  <c r="V94" i="11"/>
  <c r="V94" i="12" s="1"/>
  <c r="W94" i="11"/>
  <c r="W94" i="12" s="1"/>
  <c r="X94" i="11"/>
  <c r="X94" i="12" s="1"/>
  <c r="Y94" i="11"/>
  <c r="Y94" i="12" s="1"/>
  <c r="Z94" i="11"/>
  <c r="Z94" i="12" s="1"/>
  <c r="AA94" i="11"/>
  <c r="AA94" i="12" s="1"/>
  <c r="AB94" i="11"/>
  <c r="AB94" i="12" s="1"/>
  <c r="AC94" i="11"/>
  <c r="AC94" i="12" s="1"/>
  <c r="AD94" i="11"/>
  <c r="AD94" i="12" s="1"/>
  <c r="AE94" i="11"/>
  <c r="AE94" i="12" s="1"/>
  <c r="AF94" i="11"/>
  <c r="AF94" i="12" s="1"/>
  <c r="AG94" i="11"/>
  <c r="AG94" i="12" s="1"/>
  <c r="D95" i="11"/>
  <c r="D95" i="12" s="1"/>
  <c r="E95" i="11"/>
  <c r="E95" i="12" s="1"/>
  <c r="F95" i="11"/>
  <c r="F95" i="12" s="1"/>
  <c r="G95" i="11"/>
  <c r="G95" i="12" s="1"/>
  <c r="H95" i="11"/>
  <c r="H95" i="12" s="1"/>
  <c r="I95" i="11"/>
  <c r="I95" i="12" s="1"/>
  <c r="J95" i="11"/>
  <c r="J95" i="12" s="1"/>
  <c r="K95" i="11"/>
  <c r="K95" i="12" s="1"/>
  <c r="L95" i="11"/>
  <c r="L95" i="12" s="1"/>
  <c r="M95" i="11"/>
  <c r="M95" i="12" s="1"/>
  <c r="N95" i="11"/>
  <c r="N95" i="12" s="1"/>
  <c r="O95" i="11"/>
  <c r="O95" i="12" s="1"/>
  <c r="P95" i="11"/>
  <c r="P95" i="12" s="1"/>
  <c r="Q95" i="11"/>
  <c r="Q95" i="12" s="1"/>
  <c r="R95" i="11"/>
  <c r="R95" i="12" s="1"/>
  <c r="S95" i="11"/>
  <c r="S95" i="12" s="1"/>
  <c r="T95" i="11"/>
  <c r="T95" i="12" s="1"/>
  <c r="U95" i="11"/>
  <c r="U95" i="12" s="1"/>
  <c r="V95" i="11"/>
  <c r="V95" i="12" s="1"/>
  <c r="W95" i="11"/>
  <c r="W95" i="12" s="1"/>
  <c r="X95" i="11"/>
  <c r="X95" i="12" s="1"/>
  <c r="Y95" i="11"/>
  <c r="Y95" i="12" s="1"/>
  <c r="Z95" i="11"/>
  <c r="Z95" i="12" s="1"/>
  <c r="AA95" i="11"/>
  <c r="AA95" i="12" s="1"/>
  <c r="AB95" i="11"/>
  <c r="AB95" i="12" s="1"/>
  <c r="AC95" i="11"/>
  <c r="AC95" i="12" s="1"/>
  <c r="AD95" i="11"/>
  <c r="AD95" i="12" s="1"/>
  <c r="AE95" i="11"/>
  <c r="AE95" i="12" s="1"/>
  <c r="AF95" i="11"/>
  <c r="AF95" i="12" s="1"/>
  <c r="AG95" i="11"/>
  <c r="AG95" i="12" s="1"/>
  <c r="D96" i="11"/>
  <c r="D96" i="12" s="1"/>
  <c r="E96" i="11"/>
  <c r="E96" i="12" s="1"/>
  <c r="F96" i="11"/>
  <c r="F96" i="12" s="1"/>
  <c r="G96" i="11"/>
  <c r="G96" i="12" s="1"/>
  <c r="H96" i="11"/>
  <c r="H96" i="12" s="1"/>
  <c r="I96" i="11"/>
  <c r="I96" i="12" s="1"/>
  <c r="J96" i="11"/>
  <c r="J96" i="12" s="1"/>
  <c r="K96" i="11"/>
  <c r="K96" i="12" s="1"/>
  <c r="L96" i="11"/>
  <c r="L96" i="12" s="1"/>
  <c r="M96" i="11"/>
  <c r="M96" i="12" s="1"/>
  <c r="N96" i="11"/>
  <c r="N96" i="12" s="1"/>
  <c r="O96" i="11"/>
  <c r="O96" i="12" s="1"/>
  <c r="P96" i="11"/>
  <c r="P96" i="12" s="1"/>
  <c r="Q96" i="11"/>
  <c r="Q96" i="12" s="1"/>
  <c r="R96" i="11"/>
  <c r="R96" i="12" s="1"/>
  <c r="S96" i="11"/>
  <c r="S96" i="12" s="1"/>
  <c r="T96" i="11"/>
  <c r="T96" i="12" s="1"/>
  <c r="U96" i="11"/>
  <c r="U96" i="12" s="1"/>
  <c r="V96" i="11"/>
  <c r="V96" i="12" s="1"/>
  <c r="W96" i="11"/>
  <c r="W96" i="12" s="1"/>
  <c r="X96" i="11"/>
  <c r="X96" i="12" s="1"/>
  <c r="Y96" i="11"/>
  <c r="Y96" i="12" s="1"/>
  <c r="Z96" i="11"/>
  <c r="Z96" i="12" s="1"/>
  <c r="AA96" i="11"/>
  <c r="AA96" i="12" s="1"/>
  <c r="AB96" i="11"/>
  <c r="AB96" i="12" s="1"/>
  <c r="AC96" i="11"/>
  <c r="AC96" i="12" s="1"/>
  <c r="AD96" i="11"/>
  <c r="AD96" i="12" s="1"/>
  <c r="AE96" i="11"/>
  <c r="AE96" i="12" s="1"/>
  <c r="AF96" i="11"/>
  <c r="AF96" i="12" s="1"/>
  <c r="AG96" i="11"/>
  <c r="AG96" i="12" s="1"/>
  <c r="D97" i="11"/>
  <c r="D97" i="12" s="1"/>
  <c r="E97" i="11"/>
  <c r="E97" i="12" s="1"/>
  <c r="F97" i="11"/>
  <c r="F97" i="12" s="1"/>
  <c r="G97" i="11"/>
  <c r="G97" i="12" s="1"/>
  <c r="H97" i="11"/>
  <c r="H97" i="12" s="1"/>
  <c r="I97" i="11"/>
  <c r="I97" i="12" s="1"/>
  <c r="J97" i="11"/>
  <c r="J97" i="12" s="1"/>
  <c r="K97" i="11"/>
  <c r="K97" i="12" s="1"/>
  <c r="L97" i="11"/>
  <c r="L97" i="12" s="1"/>
  <c r="M97" i="11"/>
  <c r="M97" i="12" s="1"/>
  <c r="N97" i="11"/>
  <c r="N97" i="12" s="1"/>
  <c r="O97" i="11"/>
  <c r="O97" i="12" s="1"/>
  <c r="P97" i="11"/>
  <c r="P97" i="12" s="1"/>
  <c r="Q97" i="11"/>
  <c r="Q97" i="12" s="1"/>
  <c r="R97" i="11"/>
  <c r="R97" i="12" s="1"/>
  <c r="S97" i="11"/>
  <c r="S97" i="12" s="1"/>
  <c r="T97" i="11"/>
  <c r="T97" i="12" s="1"/>
  <c r="U97" i="11"/>
  <c r="U97" i="12" s="1"/>
  <c r="V97" i="11"/>
  <c r="V97" i="12" s="1"/>
  <c r="W97" i="11"/>
  <c r="W97" i="12" s="1"/>
  <c r="X97" i="11"/>
  <c r="X97" i="12" s="1"/>
  <c r="Y97" i="11"/>
  <c r="Y97" i="12" s="1"/>
  <c r="Z97" i="11"/>
  <c r="Z97" i="12" s="1"/>
  <c r="AA97" i="11"/>
  <c r="AA97" i="12" s="1"/>
  <c r="AB97" i="11"/>
  <c r="AB97" i="12" s="1"/>
  <c r="AC97" i="11"/>
  <c r="AC97" i="12" s="1"/>
  <c r="AD97" i="11"/>
  <c r="AD97" i="12" s="1"/>
  <c r="AE97" i="11"/>
  <c r="AE97" i="12" s="1"/>
  <c r="AF97" i="11"/>
  <c r="AF97" i="12" s="1"/>
  <c r="AG97" i="11"/>
  <c r="AG97" i="12" s="1"/>
  <c r="D98" i="11"/>
  <c r="D98" i="12" s="1"/>
  <c r="E98" i="11"/>
  <c r="E98" i="12" s="1"/>
  <c r="F98" i="11"/>
  <c r="F98" i="12" s="1"/>
  <c r="G98" i="11"/>
  <c r="G98" i="12" s="1"/>
  <c r="H98" i="11"/>
  <c r="H98" i="12" s="1"/>
  <c r="I98" i="11"/>
  <c r="I98" i="12" s="1"/>
  <c r="J98" i="11"/>
  <c r="J98" i="12" s="1"/>
  <c r="K98" i="11"/>
  <c r="K98" i="12" s="1"/>
  <c r="L98" i="11"/>
  <c r="L98" i="12" s="1"/>
  <c r="M98" i="11"/>
  <c r="M98" i="12" s="1"/>
  <c r="N98" i="11"/>
  <c r="N98" i="12" s="1"/>
  <c r="O98" i="11"/>
  <c r="O98" i="12" s="1"/>
  <c r="P98" i="11"/>
  <c r="P98" i="12" s="1"/>
  <c r="Q98" i="11"/>
  <c r="Q98" i="12" s="1"/>
  <c r="R98" i="11"/>
  <c r="R98" i="12" s="1"/>
  <c r="S98" i="11"/>
  <c r="S98" i="12" s="1"/>
  <c r="T98" i="11"/>
  <c r="T98" i="12" s="1"/>
  <c r="U98" i="11"/>
  <c r="U98" i="12" s="1"/>
  <c r="V98" i="11"/>
  <c r="V98" i="12" s="1"/>
  <c r="W98" i="11"/>
  <c r="W98" i="12" s="1"/>
  <c r="X98" i="11"/>
  <c r="X98" i="12" s="1"/>
  <c r="Y98" i="11"/>
  <c r="Y98" i="12" s="1"/>
  <c r="Z98" i="11"/>
  <c r="Z98" i="12" s="1"/>
  <c r="AA98" i="11"/>
  <c r="AA98" i="12" s="1"/>
  <c r="AB98" i="11"/>
  <c r="AB98" i="12" s="1"/>
  <c r="AC98" i="11"/>
  <c r="AC98" i="12" s="1"/>
  <c r="AD98" i="11"/>
  <c r="AD98" i="12" s="1"/>
  <c r="AE98" i="11"/>
  <c r="AE98" i="12" s="1"/>
  <c r="AF98" i="11"/>
  <c r="AF98" i="12" s="1"/>
  <c r="AG98" i="11"/>
  <c r="AG98" i="12" s="1"/>
  <c r="D99" i="11"/>
  <c r="D99" i="12" s="1"/>
  <c r="E99" i="11"/>
  <c r="E99" i="12" s="1"/>
  <c r="F99" i="11"/>
  <c r="F99" i="12" s="1"/>
  <c r="G99" i="11"/>
  <c r="G99" i="12" s="1"/>
  <c r="H99" i="11"/>
  <c r="H99" i="12" s="1"/>
  <c r="I99" i="11"/>
  <c r="I99" i="12" s="1"/>
  <c r="J99" i="11"/>
  <c r="J99" i="12" s="1"/>
  <c r="K99" i="11"/>
  <c r="K99" i="12" s="1"/>
  <c r="L99" i="11"/>
  <c r="L99" i="12" s="1"/>
  <c r="M99" i="11"/>
  <c r="M99" i="12" s="1"/>
  <c r="N99" i="11"/>
  <c r="N99" i="12" s="1"/>
  <c r="O99" i="11"/>
  <c r="O99" i="12" s="1"/>
  <c r="P99" i="11"/>
  <c r="P99" i="12" s="1"/>
  <c r="Q99" i="11"/>
  <c r="Q99" i="12" s="1"/>
  <c r="R99" i="11"/>
  <c r="R99" i="12" s="1"/>
  <c r="S99" i="11"/>
  <c r="S99" i="12" s="1"/>
  <c r="T99" i="11"/>
  <c r="T99" i="12" s="1"/>
  <c r="U99" i="11"/>
  <c r="U99" i="12" s="1"/>
  <c r="V99" i="11"/>
  <c r="V99" i="12" s="1"/>
  <c r="W99" i="11"/>
  <c r="W99" i="12" s="1"/>
  <c r="X99" i="11"/>
  <c r="X99" i="12" s="1"/>
  <c r="Y99" i="11"/>
  <c r="Y99" i="12" s="1"/>
  <c r="Z99" i="11"/>
  <c r="Z99" i="12" s="1"/>
  <c r="AA99" i="11"/>
  <c r="AA99" i="12" s="1"/>
  <c r="AB99" i="11"/>
  <c r="AB99" i="12" s="1"/>
  <c r="AC99" i="11"/>
  <c r="AC99" i="12" s="1"/>
  <c r="AD99" i="11"/>
  <c r="AD99" i="12" s="1"/>
  <c r="AE99" i="11"/>
  <c r="AE99" i="12" s="1"/>
  <c r="AF99" i="11"/>
  <c r="AF99" i="12" s="1"/>
  <c r="AG99" i="11"/>
  <c r="AG99" i="12" s="1"/>
  <c r="D100" i="11"/>
  <c r="D100" i="12" s="1"/>
  <c r="E100" i="11"/>
  <c r="E100" i="12" s="1"/>
  <c r="F100" i="11"/>
  <c r="F100" i="12" s="1"/>
  <c r="G100" i="11"/>
  <c r="G100" i="12" s="1"/>
  <c r="H100" i="11"/>
  <c r="H100" i="12" s="1"/>
  <c r="I100" i="11"/>
  <c r="I100" i="12" s="1"/>
  <c r="J100" i="11"/>
  <c r="J100" i="12" s="1"/>
  <c r="K100" i="11"/>
  <c r="K100" i="12" s="1"/>
  <c r="L100" i="11"/>
  <c r="L100" i="12" s="1"/>
  <c r="M100" i="11"/>
  <c r="M100" i="12" s="1"/>
  <c r="N100" i="11"/>
  <c r="N100" i="12" s="1"/>
  <c r="O100" i="11"/>
  <c r="O100" i="12" s="1"/>
  <c r="P100" i="11"/>
  <c r="P100" i="12" s="1"/>
  <c r="Q100" i="11"/>
  <c r="Q100" i="12" s="1"/>
  <c r="R100" i="11"/>
  <c r="R100" i="12" s="1"/>
  <c r="S100" i="11"/>
  <c r="S100" i="12" s="1"/>
  <c r="T100" i="11"/>
  <c r="T100" i="12" s="1"/>
  <c r="U100" i="11"/>
  <c r="U100" i="12" s="1"/>
  <c r="V100" i="11"/>
  <c r="V100" i="12" s="1"/>
  <c r="W100" i="11"/>
  <c r="W100" i="12" s="1"/>
  <c r="X100" i="11"/>
  <c r="X100" i="12" s="1"/>
  <c r="Y100" i="11"/>
  <c r="Y100" i="12" s="1"/>
  <c r="Z100" i="11"/>
  <c r="Z100" i="12" s="1"/>
  <c r="AA100" i="11"/>
  <c r="AA100" i="12" s="1"/>
  <c r="AB100" i="11"/>
  <c r="AB100" i="12" s="1"/>
  <c r="AC100" i="11"/>
  <c r="AC100" i="12" s="1"/>
  <c r="AD100" i="11"/>
  <c r="AD100" i="12" s="1"/>
  <c r="AE100" i="11"/>
  <c r="AE100" i="12" s="1"/>
  <c r="AF100" i="11"/>
  <c r="AF100" i="12" s="1"/>
  <c r="AG100" i="11"/>
  <c r="AG100" i="12" s="1"/>
  <c r="D101" i="11"/>
  <c r="D101" i="12" s="1"/>
  <c r="E101" i="11"/>
  <c r="E101" i="12" s="1"/>
  <c r="F101" i="11"/>
  <c r="F101" i="12" s="1"/>
  <c r="G101" i="11"/>
  <c r="G101" i="12" s="1"/>
  <c r="H101" i="11"/>
  <c r="H101" i="12" s="1"/>
  <c r="I101" i="11"/>
  <c r="I101" i="12" s="1"/>
  <c r="J101" i="11"/>
  <c r="J101" i="12" s="1"/>
  <c r="K101" i="11"/>
  <c r="K101" i="12" s="1"/>
  <c r="L101" i="11"/>
  <c r="L101" i="12" s="1"/>
  <c r="M101" i="11"/>
  <c r="M101" i="12" s="1"/>
  <c r="N101" i="11"/>
  <c r="N101" i="12" s="1"/>
  <c r="O101" i="11"/>
  <c r="O101" i="12" s="1"/>
  <c r="P101" i="11"/>
  <c r="P101" i="12" s="1"/>
  <c r="Q101" i="11"/>
  <c r="Q101" i="12" s="1"/>
  <c r="R101" i="11"/>
  <c r="R101" i="12" s="1"/>
  <c r="S101" i="11"/>
  <c r="S101" i="12" s="1"/>
  <c r="T101" i="11"/>
  <c r="T101" i="12" s="1"/>
  <c r="U101" i="11"/>
  <c r="U101" i="12" s="1"/>
  <c r="V101" i="11"/>
  <c r="V101" i="12" s="1"/>
  <c r="W101" i="11"/>
  <c r="W101" i="12" s="1"/>
  <c r="X101" i="11"/>
  <c r="X101" i="12" s="1"/>
  <c r="Y101" i="11"/>
  <c r="Y101" i="12" s="1"/>
  <c r="Z101" i="11"/>
  <c r="Z101" i="12" s="1"/>
  <c r="AA101" i="11"/>
  <c r="AA101" i="12" s="1"/>
  <c r="AB101" i="11"/>
  <c r="AB101" i="12" s="1"/>
  <c r="AC101" i="11"/>
  <c r="AC101" i="12" s="1"/>
  <c r="AD101" i="11"/>
  <c r="AD101" i="12" s="1"/>
  <c r="AE101" i="11"/>
  <c r="AE101" i="12" s="1"/>
  <c r="AF101" i="11"/>
  <c r="AF101" i="12" s="1"/>
  <c r="AG101" i="11"/>
  <c r="AG101" i="12" s="1"/>
  <c r="D102" i="11"/>
  <c r="D102" i="12" s="1"/>
  <c r="E102" i="11"/>
  <c r="E102" i="12" s="1"/>
  <c r="F102" i="11"/>
  <c r="F102" i="12" s="1"/>
  <c r="G102" i="11"/>
  <c r="G102" i="12" s="1"/>
  <c r="H102" i="11"/>
  <c r="H102" i="12" s="1"/>
  <c r="I102" i="11"/>
  <c r="I102" i="12" s="1"/>
  <c r="J102" i="11"/>
  <c r="J102" i="12" s="1"/>
  <c r="K102" i="11"/>
  <c r="K102" i="12" s="1"/>
  <c r="L102" i="11"/>
  <c r="L102" i="12" s="1"/>
  <c r="M102" i="11"/>
  <c r="M102" i="12" s="1"/>
  <c r="N102" i="11"/>
  <c r="N102" i="12" s="1"/>
  <c r="O102" i="11"/>
  <c r="O102" i="12" s="1"/>
  <c r="P102" i="11"/>
  <c r="P102" i="12" s="1"/>
  <c r="Q102" i="11"/>
  <c r="Q102" i="12" s="1"/>
  <c r="R102" i="11"/>
  <c r="R102" i="12" s="1"/>
  <c r="S102" i="11"/>
  <c r="S102" i="12" s="1"/>
  <c r="T102" i="11"/>
  <c r="T102" i="12" s="1"/>
  <c r="U102" i="11"/>
  <c r="U102" i="12" s="1"/>
  <c r="V102" i="11"/>
  <c r="V102" i="12" s="1"/>
  <c r="W102" i="11"/>
  <c r="W102" i="12" s="1"/>
  <c r="X102" i="11"/>
  <c r="X102" i="12" s="1"/>
  <c r="Y102" i="11"/>
  <c r="Y102" i="12" s="1"/>
  <c r="Z102" i="11"/>
  <c r="Z102" i="12" s="1"/>
  <c r="AA102" i="11"/>
  <c r="AA102" i="12" s="1"/>
  <c r="AB102" i="11"/>
  <c r="AB102" i="12" s="1"/>
  <c r="AC102" i="11"/>
  <c r="AC102" i="12" s="1"/>
  <c r="AD102" i="11"/>
  <c r="AD102" i="12" s="1"/>
  <c r="AE102" i="11"/>
  <c r="AE102" i="12" s="1"/>
  <c r="AF102" i="11"/>
  <c r="AF102" i="12" s="1"/>
  <c r="AG102" i="11"/>
  <c r="AG102" i="12" s="1"/>
  <c r="D103" i="11"/>
  <c r="D103" i="12" s="1"/>
  <c r="E103" i="11"/>
  <c r="E103" i="12" s="1"/>
  <c r="F103" i="11"/>
  <c r="F103" i="12" s="1"/>
  <c r="G103" i="11"/>
  <c r="G103" i="12" s="1"/>
  <c r="H103" i="11"/>
  <c r="H103" i="12" s="1"/>
  <c r="I103" i="11"/>
  <c r="I103" i="12" s="1"/>
  <c r="J103" i="11"/>
  <c r="J103" i="12" s="1"/>
  <c r="K103" i="11"/>
  <c r="K103" i="12" s="1"/>
  <c r="L103" i="11"/>
  <c r="L103" i="12" s="1"/>
  <c r="M103" i="11"/>
  <c r="M103" i="12" s="1"/>
  <c r="N103" i="11"/>
  <c r="N103" i="12" s="1"/>
  <c r="O103" i="11"/>
  <c r="O103" i="12" s="1"/>
  <c r="P103" i="11"/>
  <c r="P103" i="12" s="1"/>
  <c r="Q103" i="11"/>
  <c r="Q103" i="12" s="1"/>
  <c r="R103" i="11"/>
  <c r="R103" i="12" s="1"/>
  <c r="S103" i="11"/>
  <c r="S103" i="12" s="1"/>
  <c r="T103" i="11"/>
  <c r="T103" i="12" s="1"/>
  <c r="U103" i="11"/>
  <c r="U103" i="12" s="1"/>
  <c r="V103" i="11"/>
  <c r="V103" i="12" s="1"/>
  <c r="W103" i="11"/>
  <c r="W103" i="12" s="1"/>
  <c r="X103" i="11"/>
  <c r="X103" i="12" s="1"/>
  <c r="Y103" i="11"/>
  <c r="Y103" i="12" s="1"/>
  <c r="Z103" i="11"/>
  <c r="Z103" i="12" s="1"/>
  <c r="AA103" i="11"/>
  <c r="AA103" i="12" s="1"/>
  <c r="AB103" i="11"/>
  <c r="AB103" i="12" s="1"/>
  <c r="AC103" i="11"/>
  <c r="AC103" i="12" s="1"/>
  <c r="AD103" i="11"/>
  <c r="AD103" i="12" s="1"/>
  <c r="AE103" i="11"/>
  <c r="AE103" i="12" s="1"/>
  <c r="AF103" i="11"/>
  <c r="AF103" i="12" s="1"/>
  <c r="AG103" i="11"/>
  <c r="AG103" i="12" s="1"/>
  <c r="D104" i="11"/>
  <c r="D104" i="12" s="1"/>
  <c r="E104" i="11"/>
  <c r="E104" i="12" s="1"/>
  <c r="F104" i="11"/>
  <c r="F104" i="12" s="1"/>
  <c r="G104" i="11"/>
  <c r="G104" i="12" s="1"/>
  <c r="H104" i="11"/>
  <c r="H104" i="12" s="1"/>
  <c r="I104" i="11"/>
  <c r="I104" i="12" s="1"/>
  <c r="J104" i="11"/>
  <c r="J104" i="12" s="1"/>
  <c r="K104" i="11"/>
  <c r="K104" i="12" s="1"/>
  <c r="L104" i="11"/>
  <c r="L104" i="12" s="1"/>
  <c r="M104" i="11"/>
  <c r="M104" i="12" s="1"/>
  <c r="N104" i="11"/>
  <c r="N104" i="12" s="1"/>
  <c r="O104" i="11"/>
  <c r="O104" i="12" s="1"/>
  <c r="P104" i="11"/>
  <c r="P104" i="12" s="1"/>
  <c r="Q104" i="11"/>
  <c r="Q104" i="12" s="1"/>
  <c r="R104" i="11"/>
  <c r="R104" i="12" s="1"/>
  <c r="S104" i="11"/>
  <c r="S104" i="12" s="1"/>
  <c r="T104" i="11"/>
  <c r="T104" i="12" s="1"/>
  <c r="U104" i="11"/>
  <c r="U104" i="12" s="1"/>
  <c r="V104" i="11"/>
  <c r="V104" i="12" s="1"/>
  <c r="W104" i="11"/>
  <c r="W104" i="12" s="1"/>
  <c r="X104" i="11"/>
  <c r="X104" i="12" s="1"/>
  <c r="Y104" i="11"/>
  <c r="Y104" i="12" s="1"/>
  <c r="Z104" i="11"/>
  <c r="Z104" i="12" s="1"/>
  <c r="AA104" i="11"/>
  <c r="AA104" i="12" s="1"/>
  <c r="AB104" i="11"/>
  <c r="AB104" i="12" s="1"/>
  <c r="AC104" i="11"/>
  <c r="AC104" i="12" s="1"/>
  <c r="AD104" i="11"/>
  <c r="AD104" i="12" s="1"/>
  <c r="AE104" i="11"/>
  <c r="AE104" i="12" s="1"/>
  <c r="AF104" i="11"/>
  <c r="AF104" i="12" s="1"/>
  <c r="AG104" i="11"/>
  <c r="AG104" i="12" s="1"/>
  <c r="D105" i="11"/>
  <c r="D105" i="12" s="1"/>
  <c r="E105" i="11"/>
  <c r="E105" i="12" s="1"/>
  <c r="F105" i="11"/>
  <c r="F105" i="12" s="1"/>
  <c r="G105" i="11"/>
  <c r="G105" i="12" s="1"/>
  <c r="H105" i="11"/>
  <c r="H105" i="12" s="1"/>
  <c r="I105" i="11"/>
  <c r="I105" i="12" s="1"/>
  <c r="J105" i="11"/>
  <c r="J105" i="12" s="1"/>
  <c r="K105" i="11"/>
  <c r="K105" i="12" s="1"/>
  <c r="L105" i="11"/>
  <c r="L105" i="12" s="1"/>
  <c r="M105" i="11"/>
  <c r="M105" i="12" s="1"/>
  <c r="N105" i="11"/>
  <c r="N105" i="12" s="1"/>
  <c r="O105" i="11"/>
  <c r="O105" i="12" s="1"/>
  <c r="P105" i="11"/>
  <c r="P105" i="12" s="1"/>
  <c r="Q105" i="11"/>
  <c r="Q105" i="12" s="1"/>
  <c r="R105" i="11"/>
  <c r="R105" i="12" s="1"/>
  <c r="S105" i="11"/>
  <c r="S105" i="12" s="1"/>
  <c r="T105" i="11"/>
  <c r="T105" i="12" s="1"/>
  <c r="U105" i="11"/>
  <c r="U105" i="12" s="1"/>
  <c r="V105" i="11"/>
  <c r="V105" i="12" s="1"/>
  <c r="W105" i="11"/>
  <c r="W105" i="12" s="1"/>
  <c r="X105" i="11"/>
  <c r="X105" i="12" s="1"/>
  <c r="Y105" i="11"/>
  <c r="Y105" i="12" s="1"/>
  <c r="Z105" i="11"/>
  <c r="Z105" i="12" s="1"/>
  <c r="AA105" i="11"/>
  <c r="AA105" i="12" s="1"/>
  <c r="AB105" i="11"/>
  <c r="AB105" i="12" s="1"/>
  <c r="AC105" i="11"/>
  <c r="AC105" i="12" s="1"/>
  <c r="AD105" i="11"/>
  <c r="AD105" i="12" s="1"/>
  <c r="AE105" i="11"/>
  <c r="AE105" i="12" s="1"/>
  <c r="AF105" i="11"/>
  <c r="AF105" i="12" s="1"/>
  <c r="AG105" i="11"/>
  <c r="AG105" i="12" s="1"/>
  <c r="D106" i="11"/>
  <c r="D106" i="12" s="1"/>
  <c r="E106" i="11"/>
  <c r="E106" i="12" s="1"/>
  <c r="F106" i="11"/>
  <c r="F106" i="12" s="1"/>
  <c r="G106" i="11"/>
  <c r="G106" i="12" s="1"/>
  <c r="H106" i="11"/>
  <c r="H106" i="12" s="1"/>
  <c r="I106" i="11"/>
  <c r="I106" i="12" s="1"/>
  <c r="J106" i="11"/>
  <c r="J106" i="12" s="1"/>
  <c r="K106" i="11"/>
  <c r="K106" i="12" s="1"/>
  <c r="L106" i="11"/>
  <c r="L106" i="12" s="1"/>
  <c r="M106" i="11"/>
  <c r="M106" i="12" s="1"/>
  <c r="N106" i="11"/>
  <c r="N106" i="12" s="1"/>
  <c r="O106" i="11"/>
  <c r="O106" i="12" s="1"/>
  <c r="P106" i="11"/>
  <c r="P106" i="12" s="1"/>
  <c r="Q106" i="11"/>
  <c r="Q106" i="12" s="1"/>
  <c r="R106" i="11"/>
  <c r="R106" i="12" s="1"/>
  <c r="S106" i="11"/>
  <c r="S106" i="12" s="1"/>
  <c r="T106" i="11"/>
  <c r="T106" i="12" s="1"/>
  <c r="U106" i="11"/>
  <c r="U106" i="12" s="1"/>
  <c r="V106" i="11"/>
  <c r="V106" i="12" s="1"/>
  <c r="W106" i="11"/>
  <c r="W106" i="12" s="1"/>
  <c r="X106" i="11"/>
  <c r="X106" i="12" s="1"/>
  <c r="Y106" i="11"/>
  <c r="Y106" i="12" s="1"/>
  <c r="Z106" i="11"/>
  <c r="Z106" i="12" s="1"/>
  <c r="AA106" i="11"/>
  <c r="AA106" i="12" s="1"/>
  <c r="AB106" i="11"/>
  <c r="AB106" i="12" s="1"/>
  <c r="AC106" i="11"/>
  <c r="AC106" i="12" s="1"/>
  <c r="AD106" i="11"/>
  <c r="AD106" i="12" s="1"/>
  <c r="AE106" i="11"/>
  <c r="AE106" i="12" s="1"/>
  <c r="AF106" i="11"/>
  <c r="AF106" i="12" s="1"/>
  <c r="AG106" i="11"/>
  <c r="AG106" i="12" s="1"/>
  <c r="D107" i="11"/>
  <c r="D107" i="12" s="1"/>
  <c r="E107" i="11"/>
  <c r="E107" i="12" s="1"/>
  <c r="F107" i="11"/>
  <c r="F107" i="12" s="1"/>
  <c r="G107" i="11"/>
  <c r="G107" i="12" s="1"/>
  <c r="H107" i="11"/>
  <c r="H107" i="12" s="1"/>
  <c r="I107" i="11"/>
  <c r="I107" i="12" s="1"/>
  <c r="J107" i="11"/>
  <c r="J107" i="12" s="1"/>
  <c r="K107" i="11"/>
  <c r="K107" i="12" s="1"/>
  <c r="L107" i="11"/>
  <c r="L107" i="12" s="1"/>
  <c r="M107" i="11"/>
  <c r="M107" i="12" s="1"/>
  <c r="N107" i="11"/>
  <c r="N107" i="12" s="1"/>
  <c r="O107" i="11"/>
  <c r="O107" i="12" s="1"/>
  <c r="P107" i="11"/>
  <c r="P107" i="12" s="1"/>
  <c r="Q107" i="11"/>
  <c r="Q107" i="12" s="1"/>
  <c r="R107" i="11"/>
  <c r="R107" i="12" s="1"/>
  <c r="S107" i="11"/>
  <c r="S107" i="12" s="1"/>
  <c r="T107" i="11"/>
  <c r="T107" i="12" s="1"/>
  <c r="U107" i="11"/>
  <c r="U107" i="12" s="1"/>
  <c r="V107" i="11"/>
  <c r="V107" i="12" s="1"/>
  <c r="W107" i="11"/>
  <c r="W107" i="12" s="1"/>
  <c r="X107" i="11"/>
  <c r="X107" i="12" s="1"/>
  <c r="Y107" i="11"/>
  <c r="Y107" i="12" s="1"/>
  <c r="Z107" i="11"/>
  <c r="Z107" i="12" s="1"/>
  <c r="AA107" i="11"/>
  <c r="AA107" i="12" s="1"/>
  <c r="AB107" i="11"/>
  <c r="AB107" i="12" s="1"/>
  <c r="AC107" i="11"/>
  <c r="AC107" i="12" s="1"/>
  <c r="AD107" i="11"/>
  <c r="AD107" i="12" s="1"/>
  <c r="AE107" i="11"/>
  <c r="AE107" i="12" s="1"/>
  <c r="AF107" i="11"/>
  <c r="AF107" i="12" s="1"/>
  <c r="AG107" i="11"/>
  <c r="AG107" i="12" s="1"/>
  <c r="D108" i="11"/>
  <c r="D108" i="12" s="1"/>
  <c r="E108" i="11"/>
  <c r="E108" i="12" s="1"/>
  <c r="F108" i="11"/>
  <c r="F108" i="12" s="1"/>
  <c r="G108" i="11"/>
  <c r="G108" i="12" s="1"/>
  <c r="H108" i="11"/>
  <c r="H108" i="12" s="1"/>
  <c r="I108" i="11"/>
  <c r="I108" i="12" s="1"/>
  <c r="J108" i="11"/>
  <c r="J108" i="12" s="1"/>
  <c r="K108" i="11"/>
  <c r="K108" i="12" s="1"/>
  <c r="L108" i="11"/>
  <c r="L108" i="12" s="1"/>
  <c r="M108" i="11"/>
  <c r="M108" i="12" s="1"/>
  <c r="N108" i="11"/>
  <c r="N108" i="12" s="1"/>
  <c r="O108" i="11"/>
  <c r="O108" i="12" s="1"/>
  <c r="P108" i="11"/>
  <c r="P108" i="12" s="1"/>
  <c r="Q108" i="11"/>
  <c r="Q108" i="12" s="1"/>
  <c r="R108" i="11"/>
  <c r="R108" i="12" s="1"/>
  <c r="S108" i="11"/>
  <c r="S108" i="12" s="1"/>
  <c r="T108" i="11"/>
  <c r="T108" i="12" s="1"/>
  <c r="U108" i="11"/>
  <c r="U108" i="12" s="1"/>
  <c r="V108" i="11"/>
  <c r="V108" i="12" s="1"/>
  <c r="W108" i="11"/>
  <c r="W108" i="12" s="1"/>
  <c r="X108" i="11"/>
  <c r="X108" i="12" s="1"/>
  <c r="Y108" i="11"/>
  <c r="Y108" i="12" s="1"/>
  <c r="Z108" i="11"/>
  <c r="Z108" i="12" s="1"/>
  <c r="AA108" i="11"/>
  <c r="AA108" i="12" s="1"/>
  <c r="AB108" i="11"/>
  <c r="AB108" i="12" s="1"/>
  <c r="AC108" i="11"/>
  <c r="AC108" i="12" s="1"/>
  <c r="AD108" i="11"/>
  <c r="AD108" i="12" s="1"/>
  <c r="AE108" i="11"/>
  <c r="AE108" i="12" s="1"/>
  <c r="AF108" i="11"/>
  <c r="AF108" i="12" s="1"/>
  <c r="AG108" i="11"/>
  <c r="AG108" i="12" s="1"/>
  <c r="D109" i="11"/>
  <c r="D109" i="12" s="1"/>
  <c r="E109" i="11"/>
  <c r="E109" i="12" s="1"/>
  <c r="F109" i="11"/>
  <c r="F109" i="12" s="1"/>
  <c r="G109" i="11"/>
  <c r="G109" i="12" s="1"/>
  <c r="H109" i="11"/>
  <c r="H109" i="12" s="1"/>
  <c r="I109" i="11"/>
  <c r="I109" i="12" s="1"/>
  <c r="J109" i="11"/>
  <c r="J109" i="12" s="1"/>
  <c r="K109" i="11"/>
  <c r="K109" i="12" s="1"/>
  <c r="L109" i="11"/>
  <c r="L109" i="12" s="1"/>
  <c r="M109" i="11"/>
  <c r="M109" i="12" s="1"/>
  <c r="N109" i="11"/>
  <c r="N109" i="12" s="1"/>
  <c r="O109" i="11"/>
  <c r="O109" i="12" s="1"/>
  <c r="P109" i="11"/>
  <c r="P109" i="12" s="1"/>
  <c r="Q109" i="11"/>
  <c r="Q109" i="12" s="1"/>
  <c r="R109" i="11"/>
  <c r="R109" i="12" s="1"/>
  <c r="S109" i="11"/>
  <c r="S109" i="12" s="1"/>
  <c r="T109" i="11"/>
  <c r="T109" i="12" s="1"/>
  <c r="U109" i="11"/>
  <c r="U109" i="12" s="1"/>
  <c r="V109" i="11"/>
  <c r="V109" i="12" s="1"/>
  <c r="W109" i="11"/>
  <c r="W109" i="12" s="1"/>
  <c r="X109" i="11"/>
  <c r="X109" i="12" s="1"/>
  <c r="Y109" i="11"/>
  <c r="Y109" i="12" s="1"/>
  <c r="Z109" i="11"/>
  <c r="Z109" i="12" s="1"/>
  <c r="AA109" i="11"/>
  <c r="AA109" i="12" s="1"/>
  <c r="AB109" i="11"/>
  <c r="AB109" i="12" s="1"/>
  <c r="AC109" i="11"/>
  <c r="AC109" i="12" s="1"/>
  <c r="AD109" i="11"/>
  <c r="AD109" i="12" s="1"/>
  <c r="AE109" i="11"/>
  <c r="AE109" i="12" s="1"/>
  <c r="AF109" i="11"/>
  <c r="AF109" i="12" s="1"/>
  <c r="AG109" i="11"/>
  <c r="AG109" i="12" s="1"/>
  <c r="D110" i="11"/>
  <c r="D110" i="12" s="1"/>
  <c r="E110" i="11"/>
  <c r="E110" i="12" s="1"/>
  <c r="F110" i="11"/>
  <c r="F110" i="12" s="1"/>
  <c r="G110" i="11"/>
  <c r="G110" i="12" s="1"/>
  <c r="H110" i="11"/>
  <c r="H110" i="12" s="1"/>
  <c r="I110" i="11"/>
  <c r="I110" i="12" s="1"/>
  <c r="J110" i="11"/>
  <c r="J110" i="12" s="1"/>
  <c r="K110" i="11"/>
  <c r="K110" i="12" s="1"/>
  <c r="L110" i="11"/>
  <c r="L110" i="12" s="1"/>
  <c r="M110" i="11"/>
  <c r="M110" i="12" s="1"/>
  <c r="N110" i="11"/>
  <c r="N110" i="12" s="1"/>
  <c r="O110" i="11"/>
  <c r="O110" i="12" s="1"/>
  <c r="P110" i="11"/>
  <c r="P110" i="12" s="1"/>
  <c r="Q110" i="11"/>
  <c r="Q110" i="12" s="1"/>
  <c r="R110" i="11"/>
  <c r="R110" i="12" s="1"/>
  <c r="S110" i="11"/>
  <c r="S110" i="12" s="1"/>
  <c r="T110" i="11"/>
  <c r="T110" i="12" s="1"/>
  <c r="U110" i="11"/>
  <c r="U110" i="12" s="1"/>
  <c r="V110" i="11"/>
  <c r="V110" i="12" s="1"/>
  <c r="W110" i="11"/>
  <c r="W110" i="12" s="1"/>
  <c r="X110" i="11"/>
  <c r="X110" i="12" s="1"/>
  <c r="Y110" i="11"/>
  <c r="Y110" i="12" s="1"/>
  <c r="Z110" i="11"/>
  <c r="Z110" i="12" s="1"/>
  <c r="AA110" i="11"/>
  <c r="AA110" i="12" s="1"/>
  <c r="AB110" i="11"/>
  <c r="AB110" i="12" s="1"/>
  <c r="AC110" i="11"/>
  <c r="AC110" i="12" s="1"/>
  <c r="AD110" i="11"/>
  <c r="AD110" i="12" s="1"/>
  <c r="AE110" i="11"/>
  <c r="AE110" i="12" s="1"/>
  <c r="AF110" i="11"/>
  <c r="AF110" i="12" s="1"/>
  <c r="AG110" i="11"/>
  <c r="AG110" i="12" s="1"/>
  <c r="D111" i="11"/>
  <c r="D111" i="12" s="1"/>
  <c r="E111" i="11"/>
  <c r="E111" i="12" s="1"/>
  <c r="F111" i="11"/>
  <c r="F111" i="12" s="1"/>
  <c r="G111" i="11"/>
  <c r="G111" i="12" s="1"/>
  <c r="H111" i="11"/>
  <c r="H111" i="12" s="1"/>
  <c r="I111" i="11"/>
  <c r="I111" i="12" s="1"/>
  <c r="J111" i="11"/>
  <c r="J111" i="12" s="1"/>
  <c r="K111" i="11"/>
  <c r="K111" i="12" s="1"/>
  <c r="L111" i="11"/>
  <c r="L111" i="12" s="1"/>
  <c r="M111" i="11"/>
  <c r="M111" i="12" s="1"/>
  <c r="N111" i="11"/>
  <c r="N111" i="12" s="1"/>
  <c r="O111" i="11"/>
  <c r="O111" i="12" s="1"/>
  <c r="P111" i="11"/>
  <c r="P111" i="12" s="1"/>
  <c r="Q111" i="11"/>
  <c r="Q111" i="12" s="1"/>
  <c r="R111" i="11"/>
  <c r="R111" i="12" s="1"/>
  <c r="S111" i="11"/>
  <c r="S111" i="12" s="1"/>
  <c r="T111" i="11"/>
  <c r="T111" i="12" s="1"/>
  <c r="U111" i="11"/>
  <c r="U111" i="12" s="1"/>
  <c r="V111" i="11"/>
  <c r="V111" i="12" s="1"/>
  <c r="W111" i="11"/>
  <c r="W111" i="12" s="1"/>
  <c r="X111" i="11"/>
  <c r="X111" i="12" s="1"/>
  <c r="Y111" i="11"/>
  <c r="Y111" i="12" s="1"/>
  <c r="Z111" i="11"/>
  <c r="Z111" i="12" s="1"/>
  <c r="AA111" i="11"/>
  <c r="AA111" i="12" s="1"/>
  <c r="AB111" i="11"/>
  <c r="AB111" i="12" s="1"/>
  <c r="AC111" i="11"/>
  <c r="AC111" i="12" s="1"/>
  <c r="AD111" i="11"/>
  <c r="AD111" i="12" s="1"/>
  <c r="AE111" i="11"/>
  <c r="AE111" i="12" s="1"/>
  <c r="AF111" i="11"/>
  <c r="AF111" i="12" s="1"/>
  <c r="AG111" i="11"/>
  <c r="AG111" i="12" s="1"/>
  <c r="D112" i="11"/>
  <c r="D112" i="12" s="1"/>
  <c r="E112" i="11"/>
  <c r="E112" i="12" s="1"/>
  <c r="F112" i="11"/>
  <c r="F112" i="12" s="1"/>
  <c r="G112" i="11"/>
  <c r="G112" i="12" s="1"/>
  <c r="H112" i="11"/>
  <c r="H112" i="12" s="1"/>
  <c r="I112" i="11"/>
  <c r="I112" i="12" s="1"/>
  <c r="J112" i="11"/>
  <c r="J112" i="12" s="1"/>
  <c r="K112" i="11"/>
  <c r="K112" i="12" s="1"/>
  <c r="L112" i="11"/>
  <c r="L112" i="12" s="1"/>
  <c r="M112" i="11"/>
  <c r="M112" i="12" s="1"/>
  <c r="N112" i="11"/>
  <c r="N112" i="12" s="1"/>
  <c r="O112" i="11"/>
  <c r="O112" i="12" s="1"/>
  <c r="P112" i="11"/>
  <c r="P112" i="12" s="1"/>
  <c r="Q112" i="11"/>
  <c r="Q112" i="12" s="1"/>
  <c r="R112" i="11"/>
  <c r="R112" i="12" s="1"/>
  <c r="S112" i="11"/>
  <c r="S112" i="12" s="1"/>
  <c r="T112" i="11"/>
  <c r="T112" i="12" s="1"/>
  <c r="U112" i="11"/>
  <c r="U112" i="12" s="1"/>
  <c r="V112" i="11"/>
  <c r="V112" i="12" s="1"/>
  <c r="W112" i="11"/>
  <c r="W112" i="12" s="1"/>
  <c r="X112" i="11"/>
  <c r="X112" i="12" s="1"/>
  <c r="Y112" i="11"/>
  <c r="Y112" i="12" s="1"/>
  <c r="Z112" i="11"/>
  <c r="Z112" i="12" s="1"/>
  <c r="AA112" i="11"/>
  <c r="AA112" i="12" s="1"/>
  <c r="AB112" i="11"/>
  <c r="AB112" i="12" s="1"/>
  <c r="AC112" i="11"/>
  <c r="AC112" i="12" s="1"/>
  <c r="AD112" i="11"/>
  <c r="AD112" i="12" s="1"/>
  <c r="AE112" i="11"/>
  <c r="AE112" i="12" s="1"/>
  <c r="AF112" i="11"/>
  <c r="AF112" i="12" s="1"/>
  <c r="AG112" i="11"/>
  <c r="AG112" i="12" s="1"/>
  <c r="D113" i="11"/>
  <c r="D113" i="12" s="1"/>
  <c r="E113" i="11"/>
  <c r="E113" i="12" s="1"/>
  <c r="F113" i="11"/>
  <c r="F113" i="12" s="1"/>
  <c r="G113" i="11"/>
  <c r="G113" i="12" s="1"/>
  <c r="H113" i="11"/>
  <c r="H113" i="12" s="1"/>
  <c r="I113" i="11"/>
  <c r="I113" i="12" s="1"/>
  <c r="J113" i="11"/>
  <c r="J113" i="12" s="1"/>
  <c r="K113" i="11"/>
  <c r="K113" i="12" s="1"/>
  <c r="L113" i="11"/>
  <c r="L113" i="12" s="1"/>
  <c r="M113" i="11"/>
  <c r="M113" i="12" s="1"/>
  <c r="N113" i="11"/>
  <c r="N113" i="12" s="1"/>
  <c r="O113" i="11"/>
  <c r="O113" i="12" s="1"/>
  <c r="P113" i="11"/>
  <c r="P113" i="12" s="1"/>
  <c r="Q113" i="11"/>
  <c r="Q113" i="12" s="1"/>
  <c r="R113" i="11"/>
  <c r="R113" i="12" s="1"/>
  <c r="S113" i="11"/>
  <c r="S113" i="12" s="1"/>
  <c r="T113" i="11"/>
  <c r="T113" i="12" s="1"/>
  <c r="U113" i="11"/>
  <c r="U113" i="12" s="1"/>
  <c r="V113" i="11"/>
  <c r="V113" i="12" s="1"/>
  <c r="W113" i="11"/>
  <c r="W113" i="12" s="1"/>
  <c r="X113" i="11"/>
  <c r="X113" i="12" s="1"/>
  <c r="Y113" i="11"/>
  <c r="Y113" i="12" s="1"/>
  <c r="Z113" i="11"/>
  <c r="Z113" i="12" s="1"/>
  <c r="AA113" i="11"/>
  <c r="AA113" i="12" s="1"/>
  <c r="AB113" i="11"/>
  <c r="AB113" i="12" s="1"/>
  <c r="AC113" i="11"/>
  <c r="AC113" i="12" s="1"/>
  <c r="AD113" i="11"/>
  <c r="AD113" i="12" s="1"/>
  <c r="AE113" i="11"/>
  <c r="AE113" i="12" s="1"/>
  <c r="AF113" i="11"/>
  <c r="AF113" i="12" s="1"/>
  <c r="AG113" i="11"/>
  <c r="AG113" i="12" s="1"/>
  <c r="D114" i="11"/>
  <c r="D114" i="12" s="1"/>
  <c r="E114" i="11"/>
  <c r="E114" i="12" s="1"/>
  <c r="F114" i="11"/>
  <c r="F114" i="12" s="1"/>
  <c r="G114" i="11"/>
  <c r="G114" i="12" s="1"/>
  <c r="H114" i="11"/>
  <c r="H114" i="12" s="1"/>
  <c r="I114" i="11"/>
  <c r="I114" i="12" s="1"/>
  <c r="J114" i="11"/>
  <c r="J114" i="12" s="1"/>
  <c r="K114" i="11"/>
  <c r="K114" i="12" s="1"/>
  <c r="L114" i="11"/>
  <c r="L114" i="12" s="1"/>
  <c r="M114" i="11"/>
  <c r="M114" i="12" s="1"/>
  <c r="N114" i="11"/>
  <c r="N114" i="12" s="1"/>
  <c r="O114" i="11"/>
  <c r="O114" i="12" s="1"/>
  <c r="P114" i="11"/>
  <c r="P114" i="12" s="1"/>
  <c r="Q114" i="11"/>
  <c r="Q114" i="12" s="1"/>
  <c r="R114" i="11"/>
  <c r="R114" i="12" s="1"/>
  <c r="S114" i="11"/>
  <c r="S114" i="12" s="1"/>
  <c r="T114" i="11"/>
  <c r="T114" i="12" s="1"/>
  <c r="U114" i="11"/>
  <c r="U114" i="12" s="1"/>
  <c r="V114" i="11"/>
  <c r="V114" i="12" s="1"/>
  <c r="W114" i="11"/>
  <c r="W114" i="12" s="1"/>
  <c r="X114" i="11"/>
  <c r="X114" i="12" s="1"/>
  <c r="Y114" i="11"/>
  <c r="Y114" i="12" s="1"/>
  <c r="Z114" i="11"/>
  <c r="Z114" i="12" s="1"/>
  <c r="AA114" i="11"/>
  <c r="AA114" i="12" s="1"/>
  <c r="AB114" i="11"/>
  <c r="AB114" i="12" s="1"/>
  <c r="AC114" i="11"/>
  <c r="AC114" i="12" s="1"/>
  <c r="AD114" i="11"/>
  <c r="AD114" i="12" s="1"/>
  <c r="AE114" i="11"/>
  <c r="AE114" i="12" s="1"/>
  <c r="AF114" i="11"/>
  <c r="AF114" i="12" s="1"/>
  <c r="AG114" i="11"/>
  <c r="AG114" i="12" s="1"/>
  <c r="D115" i="11"/>
  <c r="D115" i="12" s="1"/>
  <c r="E115" i="11"/>
  <c r="E115" i="12" s="1"/>
  <c r="F115" i="11"/>
  <c r="F115" i="12" s="1"/>
  <c r="G115" i="11"/>
  <c r="G115" i="12" s="1"/>
  <c r="H115" i="11"/>
  <c r="H115" i="12" s="1"/>
  <c r="I115" i="11"/>
  <c r="I115" i="12" s="1"/>
  <c r="J115" i="11"/>
  <c r="J115" i="12" s="1"/>
  <c r="K115" i="11"/>
  <c r="K115" i="12" s="1"/>
  <c r="L115" i="11"/>
  <c r="L115" i="12" s="1"/>
  <c r="M115" i="11"/>
  <c r="M115" i="12" s="1"/>
  <c r="N115" i="11"/>
  <c r="N115" i="12" s="1"/>
  <c r="O115" i="11"/>
  <c r="O115" i="12" s="1"/>
  <c r="P115" i="11"/>
  <c r="P115" i="12" s="1"/>
  <c r="Q115" i="11"/>
  <c r="Q115" i="12" s="1"/>
  <c r="R115" i="11"/>
  <c r="R115" i="12" s="1"/>
  <c r="S115" i="11"/>
  <c r="S115" i="12" s="1"/>
  <c r="T115" i="11"/>
  <c r="T115" i="12" s="1"/>
  <c r="U115" i="11"/>
  <c r="U115" i="12" s="1"/>
  <c r="V115" i="11"/>
  <c r="V115" i="12" s="1"/>
  <c r="W115" i="11"/>
  <c r="W115" i="12" s="1"/>
  <c r="X115" i="11"/>
  <c r="X115" i="12" s="1"/>
  <c r="Y115" i="11"/>
  <c r="Y115" i="12" s="1"/>
  <c r="Z115" i="11"/>
  <c r="Z115" i="12" s="1"/>
  <c r="AA115" i="11"/>
  <c r="AA115" i="12" s="1"/>
  <c r="AB115" i="11"/>
  <c r="AB115" i="12" s="1"/>
  <c r="AC115" i="11"/>
  <c r="AC115" i="12" s="1"/>
  <c r="AD115" i="11"/>
  <c r="AD115" i="12" s="1"/>
  <c r="AE115" i="11"/>
  <c r="AE115" i="12" s="1"/>
  <c r="AF115" i="11"/>
  <c r="AF115" i="12" s="1"/>
  <c r="AG115" i="11"/>
  <c r="AG115" i="12" s="1"/>
  <c r="D116" i="11"/>
  <c r="D116" i="12" s="1"/>
  <c r="E116" i="11"/>
  <c r="E116" i="12" s="1"/>
  <c r="F116" i="11"/>
  <c r="F116" i="12" s="1"/>
  <c r="G116" i="11"/>
  <c r="G116" i="12" s="1"/>
  <c r="H116" i="11"/>
  <c r="H116" i="12" s="1"/>
  <c r="I116" i="11"/>
  <c r="I116" i="12" s="1"/>
  <c r="J116" i="11"/>
  <c r="J116" i="12" s="1"/>
  <c r="K116" i="11"/>
  <c r="K116" i="12" s="1"/>
  <c r="L116" i="11"/>
  <c r="L116" i="12" s="1"/>
  <c r="M116" i="11"/>
  <c r="M116" i="12" s="1"/>
  <c r="N116" i="11"/>
  <c r="N116" i="12" s="1"/>
  <c r="O116" i="11"/>
  <c r="O116" i="12" s="1"/>
  <c r="P116" i="11"/>
  <c r="P116" i="12" s="1"/>
  <c r="Q116" i="11"/>
  <c r="Q116" i="12" s="1"/>
  <c r="R116" i="11"/>
  <c r="R116" i="12" s="1"/>
  <c r="S116" i="11"/>
  <c r="S116" i="12" s="1"/>
  <c r="T116" i="11"/>
  <c r="T116" i="12" s="1"/>
  <c r="U116" i="11"/>
  <c r="U116" i="12" s="1"/>
  <c r="V116" i="11"/>
  <c r="V116" i="12" s="1"/>
  <c r="W116" i="11"/>
  <c r="W116" i="12" s="1"/>
  <c r="X116" i="11"/>
  <c r="X116" i="12" s="1"/>
  <c r="Y116" i="11"/>
  <c r="Y116" i="12" s="1"/>
  <c r="Z116" i="11"/>
  <c r="Z116" i="12" s="1"/>
  <c r="AA116" i="11"/>
  <c r="AA116" i="12" s="1"/>
  <c r="AB116" i="11"/>
  <c r="AB116" i="12" s="1"/>
  <c r="AC116" i="11"/>
  <c r="AC116" i="12" s="1"/>
  <c r="AD116" i="11"/>
  <c r="AD116" i="12" s="1"/>
  <c r="AE116" i="11"/>
  <c r="AE116" i="12" s="1"/>
  <c r="AF116" i="11"/>
  <c r="AF116" i="12" s="1"/>
  <c r="AG116" i="11"/>
  <c r="AG116" i="12" s="1"/>
  <c r="D117" i="11"/>
  <c r="D117" i="12" s="1"/>
  <c r="E117" i="11"/>
  <c r="E117" i="12" s="1"/>
  <c r="F117" i="11"/>
  <c r="F117" i="12" s="1"/>
  <c r="G117" i="11"/>
  <c r="G117" i="12" s="1"/>
  <c r="H117" i="11"/>
  <c r="H117" i="12" s="1"/>
  <c r="I117" i="11"/>
  <c r="I117" i="12" s="1"/>
  <c r="J117" i="11"/>
  <c r="J117" i="12" s="1"/>
  <c r="K117" i="11"/>
  <c r="K117" i="12" s="1"/>
  <c r="L117" i="11"/>
  <c r="L117" i="12" s="1"/>
  <c r="M117" i="11"/>
  <c r="M117" i="12" s="1"/>
  <c r="N117" i="11"/>
  <c r="N117" i="12" s="1"/>
  <c r="O117" i="11"/>
  <c r="O117" i="12" s="1"/>
  <c r="P117" i="11"/>
  <c r="P117" i="12" s="1"/>
  <c r="Q117" i="11"/>
  <c r="Q117" i="12" s="1"/>
  <c r="R117" i="11"/>
  <c r="R117" i="12" s="1"/>
  <c r="S117" i="11"/>
  <c r="S117" i="12" s="1"/>
  <c r="T117" i="11"/>
  <c r="T117" i="12" s="1"/>
  <c r="U117" i="11"/>
  <c r="U117" i="12" s="1"/>
  <c r="V117" i="11"/>
  <c r="V117" i="12" s="1"/>
  <c r="W117" i="11"/>
  <c r="W117" i="12" s="1"/>
  <c r="X117" i="11"/>
  <c r="X117" i="12" s="1"/>
  <c r="Y117" i="11"/>
  <c r="Y117" i="12" s="1"/>
  <c r="Z117" i="11"/>
  <c r="Z117" i="12" s="1"/>
  <c r="AA117" i="11"/>
  <c r="AA117" i="12" s="1"/>
  <c r="AB117" i="11"/>
  <c r="AB117" i="12" s="1"/>
  <c r="AC117" i="11"/>
  <c r="AC117" i="12" s="1"/>
  <c r="AD117" i="11"/>
  <c r="AD117" i="12" s="1"/>
  <c r="AE117" i="11"/>
  <c r="AE117" i="12" s="1"/>
  <c r="AF117" i="11"/>
  <c r="AF117" i="12" s="1"/>
  <c r="AG117" i="11"/>
  <c r="AG117" i="12" s="1"/>
  <c r="D118" i="11"/>
  <c r="D118" i="12" s="1"/>
  <c r="E118" i="11"/>
  <c r="E118" i="12" s="1"/>
  <c r="F118" i="11"/>
  <c r="F118" i="12" s="1"/>
  <c r="G118" i="11"/>
  <c r="G118" i="12" s="1"/>
  <c r="H118" i="11"/>
  <c r="H118" i="12" s="1"/>
  <c r="I118" i="11"/>
  <c r="I118" i="12" s="1"/>
  <c r="J118" i="11"/>
  <c r="J118" i="12" s="1"/>
  <c r="K118" i="11"/>
  <c r="K118" i="12" s="1"/>
  <c r="L118" i="11"/>
  <c r="L118" i="12" s="1"/>
  <c r="M118" i="11"/>
  <c r="M118" i="12" s="1"/>
  <c r="N118" i="11"/>
  <c r="N118" i="12" s="1"/>
  <c r="O118" i="11"/>
  <c r="O118" i="12" s="1"/>
  <c r="P118" i="11"/>
  <c r="P118" i="12" s="1"/>
  <c r="Q118" i="11"/>
  <c r="Q118" i="12" s="1"/>
  <c r="R118" i="11"/>
  <c r="R118" i="12" s="1"/>
  <c r="S118" i="11"/>
  <c r="S118" i="12" s="1"/>
  <c r="T118" i="11"/>
  <c r="T118" i="12" s="1"/>
  <c r="U118" i="11"/>
  <c r="U118" i="12" s="1"/>
  <c r="V118" i="11"/>
  <c r="V118" i="12" s="1"/>
  <c r="W118" i="11"/>
  <c r="W118" i="12" s="1"/>
  <c r="X118" i="11"/>
  <c r="X118" i="12" s="1"/>
  <c r="Y118" i="11"/>
  <c r="Y118" i="12" s="1"/>
  <c r="Z118" i="11"/>
  <c r="Z118" i="12" s="1"/>
  <c r="AA118" i="11"/>
  <c r="AA118" i="12" s="1"/>
  <c r="AB118" i="11"/>
  <c r="AB118" i="12" s="1"/>
  <c r="AC118" i="11"/>
  <c r="AC118" i="12" s="1"/>
  <c r="AD118" i="11"/>
  <c r="AD118" i="12" s="1"/>
  <c r="AE118" i="11"/>
  <c r="AE118" i="12" s="1"/>
  <c r="AF118" i="11"/>
  <c r="AF118" i="12" s="1"/>
  <c r="AG118" i="11"/>
  <c r="AG118" i="12" s="1"/>
  <c r="D119" i="11"/>
  <c r="D119" i="12" s="1"/>
  <c r="E119" i="11"/>
  <c r="E119" i="12" s="1"/>
  <c r="F119" i="11"/>
  <c r="F119" i="12" s="1"/>
  <c r="G119" i="11"/>
  <c r="G119" i="12" s="1"/>
  <c r="H119" i="11"/>
  <c r="H119" i="12" s="1"/>
  <c r="I119" i="11"/>
  <c r="I119" i="12" s="1"/>
  <c r="J119" i="11"/>
  <c r="J119" i="12" s="1"/>
  <c r="K119" i="11"/>
  <c r="K119" i="12" s="1"/>
  <c r="L119" i="11"/>
  <c r="L119" i="12" s="1"/>
  <c r="M119" i="11"/>
  <c r="M119" i="12" s="1"/>
  <c r="N119" i="11"/>
  <c r="N119" i="12" s="1"/>
  <c r="O119" i="11"/>
  <c r="O119" i="12" s="1"/>
  <c r="P119" i="11"/>
  <c r="P119" i="12" s="1"/>
  <c r="Q119" i="11"/>
  <c r="Q119" i="12" s="1"/>
  <c r="R119" i="11"/>
  <c r="R119" i="12" s="1"/>
  <c r="S119" i="11"/>
  <c r="S119" i="12" s="1"/>
  <c r="T119" i="11"/>
  <c r="T119" i="12" s="1"/>
  <c r="U119" i="11"/>
  <c r="U119" i="12" s="1"/>
  <c r="V119" i="11"/>
  <c r="V119" i="12" s="1"/>
  <c r="W119" i="11"/>
  <c r="W119" i="12" s="1"/>
  <c r="X119" i="11"/>
  <c r="X119" i="12" s="1"/>
  <c r="Y119" i="11"/>
  <c r="Y119" i="12" s="1"/>
  <c r="Z119" i="11"/>
  <c r="Z119" i="12" s="1"/>
  <c r="AA119" i="11"/>
  <c r="AA119" i="12" s="1"/>
  <c r="AB119" i="11"/>
  <c r="AB119" i="12" s="1"/>
  <c r="AC119" i="11"/>
  <c r="AC119" i="12" s="1"/>
  <c r="AD119" i="11"/>
  <c r="AD119" i="12" s="1"/>
  <c r="AE119" i="11"/>
  <c r="AE119" i="12" s="1"/>
  <c r="AF119" i="11"/>
  <c r="AF119" i="12" s="1"/>
  <c r="AG119" i="11"/>
  <c r="AG119" i="12" s="1"/>
  <c r="D120" i="11"/>
  <c r="D120" i="12" s="1"/>
  <c r="E120" i="11"/>
  <c r="E120" i="12" s="1"/>
  <c r="F120" i="11"/>
  <c r="F120" i="12" s="1"/>
  <c r="G120" i="11"/>
  <c r="G120" i="12" s="1"/>
  <c r="H120" i="11"/>
  <c r="H120" i="12" s="1"/>
  <c r="I120" i="11"/>
  <c r="I120" i="12" s="1"/>
  <c r="J120" i="11"/>
  <c r="J120" i="12" s="1"/>
  <c r="K120" i="11"/>
  <c r="K120" i="12" s="1"/>
  <c r="L120" i="11"/>
  <c r="L120" i="12" s="1"/>
  <c r="M120" i="11"/>
  <c r="M120" i="12" s="1"/>
  <c r="N120" i="11"/>
  <c r="N120" i="12" s="1"/>
  <c r="O120" i="11"/>
  <c r="O120" i="12" s="1"/>
  <c r="P120" i="11"/>
  <c r="P120" i="12" s="1"/>
  <c r="Q120" i="11"/>
  <c r="Q120" i="12" s="1"/>
  <c r="R120" i="11"/>
  <c r="R120" i="12" s="1"/>
  <c r="S120" i="11"/>
  <c r="S120" i="12" s="1"/>
  <c r="T120" i="11"/>
  <c r="T120" i="12" s="1"/>
  <c r="U120" i="11"/>
  <c r="U120" i="12" s="1"/>
  <c r="V120" i="11"/>
  <c r="V120" i="12" s="1"/>
  <c r="W120" i="11"/>
  <c r="W120" i="12" s="1"/>
  <c r="X120" i="11"/>
  <c r="X120" i="12" s="1"/>
  <c r="Y120" i="11"/>
  <c r="Y120" i="12" s="1"/>
  <c r="Z120" i="11"/>
  <c r="Z120" i="12" s="1"/>
  <c r="AA120" i="11"/>
  <c r="AA120" i="12" s="1"/>
  <c r="AB120" i="11"/>
  <c r="AB120" i="12" s="1"/>
  <c r="AC120" i="11"/>
  <c r="AC120" i="12" s="1"/>
  <c r="AD120" i="11"/>
  <c r="AD120" i="12" s="1"/>
  <c r="AE120" i="11"/>
  <c r="AE120" i="12" s="1"/>
  <c r="AF120" i="11"/>
  <c r="AF120" i="12" s="1"/>
  <c r="AG120" i="11"/>
  <c r="AG120" i="12" s="1"/>
  <c r="D121" i="11"/>
  <c r="D121" i="12" s="1"/>
  <c r="E121" i="11"/>
  <c r="E121" i="12" s="1"/>
  <c r="F121" i="11"/>
  <c r="F121" i="12" s="1"/>
  <c r="G121" i="11"/>
  <c r="G121" i="12" s="1"/>
  <c r="H121" i="11"/>
  <c r="H121" i="12" s="1"/>
  <c r="I121" i="11"/>
  <c r="I121" i="12" s="1"/>
  <c r="J121" i="11"/>
  <c r="J121" i="12" s="1"/>
  <c r="K121" i="11"/>
  <c r="K121" i="12" s="1"/>
  <c r="L121" i="11"/>
  <c r="L121" i="12" s="1"/>
  <c r="M121" i="11"/>
  <c r="M121" i="12" s="1"/>
  <c r="N121" i="11"/>
  <c r="N121" i="12" s="1"/>
  <c r="O121" i="11"/>
  <c r="O121" i="12" s="1"/>
  <c r="P121" i="11"/>
  <c r="P121" i="12" s="1"/>
  <c r="Q121" i="11"/>
  <c r="Q121" i="12" s="1"/>
  <c r="R121" i="11"/>
  <c r="R121" i="12" s="1"/>
  <c r="S121" i="11"/>
  <c r="S121" i="12" s="1"/>
  <c r="T121" i="11"/>
  <c r="T121" i="12" s="1"/>
  <c r="U121" i="11"/>
  <c r="U121" i="12" s="1"/>
  <c r="V121" i="11"/>
  <c r="V121" i="12" s="1"/>
  <c r="W121" i="11"/>
  <c r="W121" i="12" s="1"/>
  <c r="X121" i="11"/>
  <c r="X121" i="12" s="1"/>
  <c r="Y121" i="11"/>
  <c r="Y121" i="12" s="1"/>
  <c r="Z121" i="11"/>
  <c r="Z121" i="12" s="1"/>
  <c r="AA121" i="11"/>
  <c r="AA121" i="12" s="1"/>
  <c r="AB121" i="11"/>
  <c r="AB121" i="12" s="1"/>
  <c r="AC121" i="11"/>
  <c r="AC121" i="12" s="1"/>
  <c r="AD121" i="11"/>
  <c r="AD121" i="12" s="1"/>
  <c r="AE121" i="11"/>
  <c r="AE121" i="12" s="1"/>
  <c r="AF121" i="11"/>
  <c r="AF121" i="12" s="1"/>
  <c r="AG121" i="11"/>
  <c r="AG121" i="12" s="1"/>
  <c r="D122" i="11"/>
  <c r="D122" i="12" s="1"/>
  <c r="E122" i="11"/>
  <c r="E122" i="12" s="1"/>
  <c r="F122" i="11"/>
  <c r="F122" i="12" s="1"/>
  <c r="G122" i="11"/>
  <c r="G122" i="12" s="1"/>
  <c r="H122" i="11"/>
  <c r="H122" i="12" s="1"/>
  <c r="I122" i="11"/>
  <c r="I122" i="12" s="1"/>
  <c r="J122" i="11"/>
  <c r="J122" i="12" s="1"/>
  <c r="K122" i="11"/>
  <c r="K122" i="12" s="1"/>
  <c r="L122" i="11"/>
  <c r="L122" i="12" s="1"/>
  <c r="M122" i="11"/>
  <c r="M122" i="12" s="1"/>
  <c r="N122" i="11"/>
  <c r="N122" i="12" s="1"/>
  <c r="O122" i="11"/>
  <c r="O122" i="12" s="1"/>
  <c r="P122" i="11"/>
  <c r="P122" i="12" s="1"/>
  <c r="Q122" i="11"/>
  <c r="Q122" i="12" s="1"/>
  <c r="R122" i="11"/>
  <c r="R122" i="12" s="1"/>
  <c r="S122" i="11"/>
  <c r="S122" i="12" s="1"/>
  <c r="T122" i="11"/>
  <c r="T122" i="12" s="1"/>
  <c r="U122" i="11"/>
  <c r="U122" i="12" s="1"/>
  <c r="V122" i="11"/>
  <c r="V122" i="12" s="1"/>
  <c r="W122" i="11"/>
  <c r="W122" i="12" s="1"/>
  <c r="X122" i="11"/>
  <c r="X122" i="12" s="1"/>
  <c r="Y122" i="11"/>
  <c r="Y122" i="12" s="1"/>
  <c r="Z122" i="11"/>
  <c r="Z122" i="12" s="1"/>
  <c r="AA122" i="11"/>
  <c r="AA122" i="12" s="1"/>
  <c r="AB122" i="11"/>
  <c r="AB122" i="12" s="1"/>
  <c r="AC122" i="11"/>
  <c r="AC122" i="12" s="1"/>
  <c r="AD122" i="11"/>
  <c r="AD122" i="12" s="1"/>
  <c r="AE122" i="11"/>
  <c r="AE122" i="12" s="1"/>
  <c r="AF122" i="11"/>
  <c r="AF122" i="12" s="1"/>
  <c r="AG122" i="11"/>
  <c r="AG122" i="12" s="1"/>
  <c r="D123" i="11"/>
  <c r="D123" i="12" s="1"/>
  <c r="E123" i="11"/>
  <c r="E123" i="12" s="1"/>
  <c r="F123" i="11"/>
  <c r="F123" i="12" s="1"/>
  <c r="G123" i="11"/>
  <c r="G123" i="12" s="1"/>
  <c r="H123" i="11"/>
  <c r="H123" i="12" s="1"/>
  <c r="I123" i="11"/>
  <c r="I123" i="12" s="1"/>
  <c r="J123" i="11"/>
  <c r="J123" i="12" s="1"/>
  <c r="K123" i="11"/>
  <c r="K123" i="12" s="1"/>
  <c r="L123" i="11"/>
  <c r="L123" i="12" s="1"/>
  <c r="M123" i="11"/>
  <c r="M123" i="12" s="1"/>
  <c r="N123" i="11"/>
  <c r="N123" i="12" s="1"/>
  <c r="O123" i="11"/>
  <c r="O123" i="12" s="1"/>
  <c r="P123" i="11"/>
  <c r="P123" i="12" s="1"/>
  <c r="Q123" i="11"/>
  <c r="Q123" i="12" s="1"/>
  <c r="R123" i="11"/>
  <c r="R123" i="12" s="1"/>
  <c r="S123" i="11"/>
  <c r="S123" i="12" s="1"/>
  <c r="T123" i="11"/>
  <c r="T123" i="12" s="1"/>
  <c r="U123" i="11"/>
  <c r="U123" i="12" s="1"/>
  <c r="V123" i="11"/>
  <c r="V123" i="12" s="1"/>
  <c r="W123" i="11"/>
  <c r="W123" i="12" s="1"/>
  <c r="X123" i="11"/>
  <c r="X123" i="12" s="1"/>
  <c r="Y123" i="11"/>
  <c r="Y123" i="12" s="1"/>
  <c r="Z123" i="11"/>
  <c r="Z123" i="12" s="1"/>
  <c r="AA123" i="11"/>
  <c r="AA123" i="12" s="1"/>
  <c r="AB123" i="11"/>
  <c r="AB123" i="12" s="1"/>
  <c r="AC123" i="11"/>
  <c r="AC123" i="12" s="1"/>
  <c r="AD123" i="11"/>
  <c r="AD123" i="12" s="1"/>
  <c r="AE123" i="11"/>
  <c r="AE123" i="12" s="1"/>
  <c r="AF123" i="11"/>
  <c r="AF123" i="12" s="1"/>
  <c r="AG123" i="11"/>
  <c r="AG123" i="12" s="1"/>
  <c r="D124" i="11"/>
  <c r="D124" i="12" s="1"/>
  <c r="E124" i="11"/>
  <c r="E124" i="12" s="1"/>
  <c r="F124" i="11"/>
  <c r="F124" i="12" s="1"/>
  <c r="G124" i="11"/>
  <c r="G124" i="12" s="1"/>
  <c r="H124" i="11"/>
  <c r="H124" i="12" s="1"/>
  <c r="I124" i="11"/>
  <c r="I124" i="12" s="1"/>
  <c r="J124" i="11"/>
  <c r="J124" i="12" s="1"/>
  <c r="K124" i="11"/>
  <c r="K124" i="12" s="1"/>
  <c r="L124" i="11"/>
  <c r="L124" i="12" s="1"/>
  <c r="M124" i="11"/>
  <c r="M124" i="12" s="1"/>
  <c r="N124" i="11"/>
  <c r="N124" i="12" s="1"/>
  <c r="O124" i="11"/>
  <c r="O124" i="12" s="1"/>
  <c r="P124" i="11"/>
  <c r="P124" i="12" s="1"/>
  <c r="Q124" i="11"/>
  <c r="Q124" i="12" s="1"/>
  <c r="R124" i="11"/>
  <c r="R124" i="12" s="1"/>
  <c r="S124" i="11"/>
  <c r="S124" i="12" s="1"/>
  <c r="T124" i="11"/>
  <c r="T124" i="12" s="1"/>
  <c r="U124" i="11"/>
  <c r="U124" i="12" s="1"/>
  <c r="V124" i="11"/>
  <c r="V124" i="12" s="1"/>
  <c r="W124" i="11"/>
  <c r="W124" i="12" s="1"/>
  <c r="X124" i="11"/>
  <c r="X124" i="12" s="1"/>
  <c r="Y124" i="11"/>
  <c r="Y124" i="12" s="1"/>
  <c r="Z124" i="11"/>
  <c r="Z124" i="12" s="1"/>
  <c r="AA124" i="11"/>
  <c r="AA124" i="12" s="1"/>
  <c r="AB124" i="11"/>
  <c r="AB124" i="12" s="1"/>
  <c r="AC124" i="11"/>
  <c r="AC124" i="12" s="1"/>
  <c r="AD124" i="11"/>
  <c r="AD124" i="12" s="1"/>
  <c r="AE124" i="11"/>
  <c r="AE124" i="12" s="1"/>
  <c r="AF124" i="11"/>
  <c r="AF124" i="12" s="1"/>
  <c r="AG124" i="11"/>
  <c r="AG124" i="12" s="1"/>
  <c r="D125" i="11"/>
  <c r="D125" i="12" s="1"/>
  <c r="E125" i="11"/>
  <c r="E125" i="12" s="1"/>
  <c r="F125" i="11"/>
  <c r="F125" i="12" s="1"/>
  <c r="G125" i="11"/>
  <c r="G125" i="12" s="1"/>
  <c r="H125" i="11"/>
  <c r="H125" i="12" s="1"/>
  <c r="I125" i="11"/>
  <c r="I125" i="12" s="1"/>
  <c r="J125" i="11"/>
  <c r="J125" i="12" s="1"/>
  <c r="K125" i="11"/>
  <c r="K125" i="12" s="1"/>
  <c r="L125" i="11"/>
  <c r="L125" i="12" s="1"/>
  <c r="M125" i="11"/>
  <c r="M125" i="12" s="1"/>
  <c r="N125" i="11"/>
  <c r="N125" i="12" s="1"/>
  <c r="O125" i="11"/>
  <c r="O125" i="12" s="1"/>
  <c r="P125" i="11"/>
  <c r="P125" i="12" s="1"/>
  <c r="Q125" i="11"/>
  <c r="Q125" i="12" s="1"/>
  <c r="R125" i="11"/>
  <c r="R125" i="12" s="1"/>
  <c r="S125" i="11"/>
  <c r="S125" i="12" s="1"/>
  <c r="T125" i="11"/>
  <c r="T125" i="12" s="1"/>
  <c r="U125" i="11"/>
  <c r="U125" i="12" s="1"/>
  <c r="V125" i="11"/>
  <c r="V125" i="12" s="1"/>
  <c r="W125" i="11"/>
  <c r="W125" i="12" s="1"/>
  <c r="X125" i="11"/>
  <c r="X125" i="12" s="1"/>
  <c r="Y125" i="11"/>
  <c r="Y125" i="12" s="1"/>
  <c r="Z125" i="11"/>
  <c r="Z125" i="12" s="1"/>
  <c r="AA125" i="11"/>
  <c r="AA125" i="12" s="1"/>
  <c r="AB125" i="11"/>
  <c r="AB125" i="12" s="1"/>
  <c r="AC125" i="11"/>
  <c r="AC125" i="12" s="1"/>
  <c r="AD125" i="11"/>
  <c r="AD125" i="12" s="1"/>
  <c r="AE125" i="11"/>
  <c r="AE125" i="12" s="1"/>
  <c r="AF125" i="11"/>
  <c r="AF125" i="12" s="1"/>
  <c r="AG125" i="11"/>
  <c r="AG125" i="12" s="1"/>
  <c r="D126" i="11"/>
  <c r="D126" i="12" s="1"/>
  <c r="E126" i="11"/>
  <c r="E126" i="12" s="1"/>
  <c r="F126" i="11"/>
  <c r="F126" i="12" s="1"/>
  <c r="G126" i="11"/>
  <c r="G126" i="12" s="1"/>
  <c r="H126" i="11"/>
  <c r="H126" i="12" s="1"/>
  <c r="I126" i="11"/>
  <c r="I126" i="12" s="1"/>
  <c r="J126" i="11"/>
  <c r="J126" i="12" s="1"/>
  <c r="K126" i="11"/>
  <c r="K126" i="12" s="1"/>
  <c r="L126" i="11"/>
  <c r="L126" i="12" s="1"/>
  <c r="M126" i="11"/>
  <c r="M126" i="12" s="1"/>
  <c r="N126" i="11"/>
  <c r="N126" i="12" s="1"/>
  <c r="O126" i="11"/>
  <c r="O126" i="12" s="1"/>
  <c r="P126" i="11"/>
  <c r="P126" i="12" s="1"/>
  <c r="Q126" i="11"/>
  <c r="Q126" i="12" s="1"/>
  <c r="R126" i="11"/>
  <c r="R126" i="12" s="1"/>
  <c r="S126" i="11"/>
  <c r="S126" i="12" s="1"/>
  <c r="T126" i="11"/>
  <c r="T126" i="12" s="1"/>
  <c r="U126" i="11"/>
  <c r="U126" i="12" s="1"/>
  <c r="V126" i="11"/>
  <c r="V126" i="12" s="1"/>
  <c r="W126" i="11"/>
  <c r="W126" i="12" s="1"/>
  <c r="X126" i="11"/>
  <c r="X126" i="12" s="1"/>
  <c r="Y126" i="11"/>
  <c r="Y126" i="12" s="1"/>
  <c r="Z126" i="11"/>
  <c r="Z126" i="12" s="1"/>
  <c r="AA126" i="11"/>
  <c r="AA126" i="12" s="1"/>
  <c r="AB126" i="11"/>
  <c r="AB126" i="12" s="1"/>
  <c r="AC126" i="11"/>
  <c r="AC126" i="12" s="1"/>
  <c r="AD126" i="11"/>
  <c r="AD126" i="12" s="1"/>
  <c r="AE126" i="11"/>
  <c r="AE126" i="12" s="1"/>
  <c r="AF126" i="11"/>
  <c r="AF126" i="12" s="1"/>
  <c r="AG126" i="11"/>
  <c r="AG126" i="12" s="1"/>
  <c r="D127" i="11"/>
  <c r="D127" i="12" s="1"/>
  <c r="E127" i="11"/>
  <c r="E127" i="12" s="1"/>
  <c r="F127" i="11"/>
  <c r="F127" i="12" s="1"/>
  <c r="G127" i="11"/>
  <c r="G127" i="12" s="1"/>
  <c r="H127" i="11"/>
  <c r="H127" i="12" s="1"/>
  <c r="I127" i="11"/>
  <c r="I127" i="12" s="1"/>
  <c r="J127" i="11"/>
  <c r="J127" i="12" s="1"/>
  <c r="K127" i="11"/>
  <c r="K127" i="12" s="1"/>
  <c r="L127" i="11"/>
  <c r="L127" i="12" s="1"/>
  <c r="M127" i="11"/>
  <c r="M127" i="12" s="1"/>
  <c r="N127" i="11"/>
  <c r="N127" i="12" s="1"/>
  <c r="O127" i="11"/>
  <c r="O127" i="12" s="1"/>
  <c r="P127" i="11"/>
  <c r="P127" i="12" s="1"/>
  <c r="Q127" i="11"/>
  <c r="Q127" i="12" s="1"/>
  <c r="R127" i="11"/>
  <c r="R127" i="12" s="1"/>
  <c r="S127" i="11"/>
  <c r="S127" i="12" s="1"/>
  <c r="T127" i="11"/>
  <c r="T127" i="12" s="1"/>
  <c r="U127" i="11"/>
  <c r="U127" i="12" s="1"/>
  <c r="V127" i="11"/>
  <c r="V127" i="12" s="1"/>
  <c r="W127" i="11"/>
  <c r="W127" i="12" s="1"/>
  <c r="X127" i="11"/>
  <c r="X127" i="12" s="1"/>
  <c r="Y127" i="11"/>
  <c r="Y127" i="12" s="1"/>
  <c r="Z127" i="11"/>
  <c r="Z127" i="12" s="1"/>
  <c r="AA127" i="11"/>
  <c r="AA127" i="12" s="1"/>
  <c r="AB127" i="11"/>
  <c r="AB127" i="12" s="1"/>
  <c r="AC127" i="11"/>
  <c r="AC127" i="12" s="1"/>
  <c r="AD127" i="11"/>
  <c r="AD127" i="12" s="1"/>
  <c r="AE127" i="11"/>
  <c r="AE127" i="12" s="1"/>
  <c r="AF127" i="11"/>
  <c r="AF127" i="12" s="1"/>
  <c r="AG127" i="11"/>
  <c r="AG127" i="12" s="1"/>
  <c r="D128" i="11"/>
  <c r="D128" i="12" s="1"/>
  <c r="E128" i="11"/>
  <c r="E128" i="12" s="1"/>
  <c r="F128" i="11"/>
  <c r="F128" i="12" s="1"/>
  <c r="G128" i="11"/>
  <c r="G128" i="12" s="1"/>
  <c r="H128" i="11"/>
  <c r="H128" i="12" s="1"/>
  <c r="I128" i="11"/>
  <c r="I128" i="12" s="1"/>
  <c r="J128" i="11"/>
  <c r="J128" i="12" s="1"/>
  <c r="K128" i="11"/>
  <c r="K128" i="12" s="1"/>
  <c r="L128" i="11"/>
  <c r="L128" i="12" s="1"/>
  <c r="M128" i="11"/>
  <c r="M128" i="12" s="1"/>
  <c r="N128" i="11"/>
  <c r="N128" i="12" s="1"/>
  <c r="O128" i="11"/>
  <c r="O128" i="12" s="1"/>
  <c r="P128" i="11"/>
  <c r="P128" i="12" s="1"/>
  <c r="Q128" i="11"/>
  <c r="Q128" i="12" s="1"/>
  <c r="R128" i="11"/>
  <c r="R128" i="12" s="1"/>
  <c r="S128" i="11"/>
  <c r="S128" i="12" s="1"/>
  <c r="T128" i="11"/>
  <c r="T128" i="12" s="1"/>
  <c r="U128" i="11"/>
  <c r="U128" i="12" s="1"/>
  <c r="V128" i="11"/>
  <c r="V128" i="12" s="1"/>
  <c r="W128" i="11"/>
  <c r="W128" i="12" s="1"/>
  <c r="X128" i="11"/>
  <c r="X128" i="12" s="1"/>
  <c r="Y128" i="11"/>
  <c r="Y128" i="12" s="1"/>
  <c r="Z128" i="11"/>
  <c r="Z128" i="12" s="1"/>
  <c r="AA128" i="11"/>
  <c r="AA128" i="12" s="1"/>
  <c r="AB128" i="11"/>
  <c r="AB128" i="12" s="1"/>
  <c r="AC128" i="11"/>
  <c r="AC128" i="12" s="1"/>
  <c r="AD128" i="11"/>
  <c r="AD128" i="12" s="1"/>
  <c r="AE128" i="11"/>
  <c r="AE128" i="12" s="1"/>
  <c r="AF128" i="11"/>
  <c r="AF128" i="12" s="1"/>
  <c r="AG128" i="11"/>
  <c r="AG128" i="12" s="1"/>
  <c r="D129" i="11"/>
  <c r="D129" i="12" s="1"/>
  <c r="E129" i="11"/>
  <c r="E129" i="12" s="1"/>
  <c r="F129" i="11"/>
  <c r="F129" i="12" s="1"/>
  <c r="G129" i="11"/>
  <c r="G129" i="12" s="1"/>
  <c r="H129" i="11"/>
  <c r="H129" i="12" s="1"/>
  <c r="I129" i="11"/>
  <c r="I129" i="12" s="1"/>
  <c r="J129" i="11"/>
  <c r="J129" i="12" s="1"/>
  <c r="K129" i="11"/>
  <c r="K129" i="12" s="1"/>
  <c r="L129" i="11"/>
  <c r="L129" i="12" s="1"/>
  <c r="M129" i="11"/>
  <c r="M129" i="12" s="1"/>
  <c r="N129" i="11"/>
  <c r="N129" i="12" s="1"/>
  <c r="O129" i="11"/>
  <c r="O129" i="12" s="1"/>
  <c r="P129" i="11"/>
  <c r="P129" i="12" s="1"/>
  <c r="Q129" i="11"/>
  <c r="Q129" i="12" s="1"/>
  <c r="R129" i="11"/>
  <c r="R129" i="12" s="1"/>
  <c r="S129" i="11"/>
  <c r="S129" i="12" s="1"/>
  <c r="T129" i="11"/>
  <c r="T129" i="12" s="1"/>
  <c r="U129" i="11"/>
  <c r="U129" i="12" s="1"/>
  <c r="V129" i="11"/>
  <c r="V129" i="12" s="1"/>
  <c r="W129" i="11"/>
  <c r="W129" i="12" s="1"/>
  <c r="X129" i="11"/>
  <c r="X129" i="12" s="1"/>
  <c r="Y129" i="11"/>
  <c r="Y129" i="12" s="1"/>
  <c r="Z129" i="11"/>
  <c r="Z129" i="12" s="1"/>
  <c r="AA129" i="11"/>
  <c r="AA129" i="12" s="1"/>
  <c r="AB129" i="11"/>
  <c r="AB129" i="12" s="1"/>
  <c r="AC129" i="11"/>
  <c r="AC129" i="12" s="1"/>
  <c r="AD129" i="11"/>
  <c r="AD129" i="12" s="1"/>
  <c r="AE129" i="11"/>
  <c r="AE129" i="12" s="1"/>
  <c r="AF129" i="11"/>
  <c r="AF129" i="12" s="1"/>
  <c r="AG129" i="11"/>
  <c r="AG129" i="12" s="1"/>
  <c r="D130" i="11"/>
  <c r="D130" i="12" s="1"/>
  <c r="E130" i="11"/>
  <c r="E130" i="12" s="1"/>
  <c r="F130" i="11"/>
  <c r="F130" i="12" s="1"/>
  <c r="G130" i="11"/>
  <c r="G130" i="12" s="1"/>
  <c r="H130" i="11"/>
  <c r="H130" i="12" s="1"/>
  <c r="I130" i="11"/>
  <c r="I130" i="12" s="1"/>
  <c r="J130" i="11"/>
  <c r="J130" i="12" s="1"/>
  <c r="K130" i="11"/>
  <c r="K130" i="12" s="1"/>
  <c r="L130" i="11"/>
  <c r="L130" i="12" s="1"/>
  <c r="M130" i="11"/>
  <c r="M130" i="12" s="1"/>
  <c r="N130" i="11"/>
  <c r="N130" i="12" s="1"/>
  <c r="O130" i="11"/>
  <c r="O130" i="12" s="1"/>
  <c r="P130" i="11"/>
  <c r="P130" i="12" s="1"/>
  <c r="Q130" i="11"/>
  <c r="Q130" i="12" s="1"/>
  <c r="R130" i="11"/>
  <c r="R130" i="12" s="1"/>
  <c r="S130" i="11"/>
  <c r="S130" i="12" s="1"/>
  <c r="T130" i="11"/>
  <c r="T130" i="12" s="1"/>
  <c r="U130" i="11"/>
  <c r="U130" i="12" s="1"/>
  <c r="V130" i="11"/>
  <c r="V130" i="12" s="1"/>
  <c r="W130" i="11"/>
  <c r="W130" i="12" s="1"/>
  <c r="X130" i="11"/>
  <c r="X130" i="12" s="1"/>
  <c r="Y130" i="11"/>
  <c r="Y130" i="12" s="1"/>
  <c r="Z130" i="11"/>
  <c r="Z130" i="12" s="1"/>
  <c r="AA130" i="11"/>
  <c r="AA130" i="12" s="1"/>
  <c r="AB130" i="11"/>
  <c r="AB130" i="12" s="1"/>
  <c r="AC130" i="11"/>
  <c r="AC130" i="12" s="1"/>
  <c r="AD130" i="11"/>
  <c r="AD130" i="12" s="1"/>
  <c r="AE130" i="11"/>
  <c r="AE130" i="12" s="1"/>
  <c r="AF130" i="11"/>
  <c r="AF130" i="12" s="1"/>
  <c r="AG130" i="11"/>
  <c r="AG130" i="12" s="1"/>
  <c r="D131" i="11"/>
  <c r="D131" i="12" s="1"/>
  <c r="E131" i="11"/>
  <c r="E131" i="12" s="1"/>
  <c r="F131" i="11"/>
  <c r="F131" i="12" s="1"/>
  <c r="G131" i="11"/>
  <c r="G131" i="12" s="1"/>
  <c r="H131" i="11"/>
  <c r="H131" i="12" s="1"/>
  <c r="I131" i="11"/>
  <c r="I131" i="12" s="1"/>
  <c r="J131" i="11"/>
  <c r="J131" i="12" s="1"/>
  <c r="K131" i="11"/>
  <c r="K131" i="12" s="1"/>
  <c r="L131" i="11"/>
  <c r="L131" i="12" s="1"/>
  <c r="M131" i="11"/>
  <c r="M131" i="12" s="1"/>
  <c r="N131" i="11"/>
  <c r="N131" i="12" s="1"/>
  <c r="O131" i="11"/>
  <c r="O131" i="12" s="1"/>
  <c r="P131" i="11"/>
  <c r="P131" i="12" s="1"/>
  <c r="Q131" i="11"/>
  <c r="Q131" i="12" s="1"/>
  <c r="R131" i="11"/>
  <c r="R131" i="12" s="1"/>
  <c r="S131" i="11"/>
  <c r="S131" i="12" s="1"/>
  <c r="T131" i="11"/>
  <c r="T131" i="12" s="1"/>
  <c r="U131" i="11"/>
  <c r="U131" i="12" s="1"/>
  <c r="V131" i="11"/>
  <c r="V131" i="12" s="1"/>
  <c r="W131" i="11"/>
  <c r="W131" i="12" s="1"/>
  <c r="X131" i="11"/>
  <c r="X131" i="12" s="1"/>
  <c r="Y131" i="11"/>
  <c r="Y131" i="12" s="1"/>
  <c r="Z131" i="11"/>
  <c r="Z131" i="12" s="1"/>
  <c r="AA131" i="11"/>
  <c r="AA131" i="12" s="1"/>
  <c r="AB131" i="11"/>
  <c r="AB131" i="12" s="1"/>
  <c r="AC131" i="11"/>
  <c r="AC131" i="12" s="1"/>
  <c r="AD131" i="11"/>
  <c r="AD131" i="12" s="1"/>
  <c r="AE131" i="11"/>
  <c r="AE131" i="12" s="1"/>
  <c r="AF131" i="11"/>
  <c r="AF131" i="12" s="1"/>
  <c r="AG131" i="11"/>
  <c r="AG131" i="12" s="1"/>
  <c r="D132" i="11"/>
  <c r="D132" i="12" s="1"/>
  <c r="E132" i="11"/>
  <c r="E132" i="12" s="1"/>
  <c r="F132" i="11"/>
  <c r="F132" i="12" s="1"/>
  <c r="G132" i="11"/>
  <c r="G132" i="12" s="1"/>
  <c r="H132" i="11"/>
  <c r="H132" i="12" s="1"/>
  <c r="I132" i="11"/>
  <c r="I132" i="12" s="1"/>
  <c r="J132" i="11"/>
  <c r="J132" i="12" s="1"/>
  <c r="K132" i="11"/>
  <c r="K132" i="12" s="1"/>
  <c r="L132" i="11"/>
  <c r="L132" i="12" s="1"/>
  <c r="M132" i="11"/>
  <c r="M132" i="12" s="1"/>
  <c r="N132" i="11"/>
  <c r="N132" i="12" s="1"/>
  <c r="O132" i="11"/>
  <c r="O132" i="12" s="1"/>
  <c r="P132" i="11"/>
  <c r="P132" i="12" s="1"/>
  <c r="Q132" i="11"/>
  <c r="Q132" i="12" s="1"/>
  <c r="R132" i="11"/>
  <c r="R132" i="12" s="1"/>
  <c r="S132" i="11"/>
  <c r="S132" i="12" s="1"/>
  <c r="T132" i="11"/>
  <c r="T132" i="12" s="1"/>
  <c r="U132" i="11"/>
  <c r="U132" i="12" s="1"/>
  <c r="V132" i="11"/>
  <c r="V132" i="12" s="1"/>
  <c r="W132" i="11"/>
  <c r="W132" i="12" s="1"/>
  <c r="X132" i="11"/>
  <c r="X132" i="12" s="1"/>
  <c r="Y132" i="11"/>
  <c r="Y132" i="12" s="1"/>
  <c r="Z132" i="11"/>
  <c r="Z132" i="12" s="1"/>
  <c r="AA132" i="11"/>
  <c r="AA132" i="12" s="1"/>
  <c r="AB132" i="11"/>
  <c r="AB132" i="12" s="1"/>
  <c r="AC132" i="11"/>
  <c r="AC132" i="12" s="1"/>
  <c r="AD132" i="11"/>
  <c r="AD132" i="12" s="1"/>
  <c r="AE132" i="11"/>
  <c r="AE132" i="12" s="1"/>
  <c r="AF132" i="11"/>
  <c r="AF132" i="12" s="1"/>
  <c r="AG132" i="11"/>
  <c r="AG132" i="12" s="1"/>
  <c r="D133" i="11"/>
  <c r="D133" i="12" s="1"/>
  <c r="E133" i="11"/>
  <c r="E133" i="12" s="1"/>
  <c r="F133" i="11"/>
  <c r="F133" i="12" s="1"/>
  <c r="G133" i="11"/>
  <c r="G133" i="12" s="1"/>
  <c r="H133" i="11"/>
  <c r="H133" i="12" s="1"/>
  <c r="I133" i="11"/>
  <c r="I133" i="12" s="1"/>
  <c r="J133" i="11"/>
  <c r="J133" i="12" s="1"/>
  <c r="K133" i="11"/>
  <c r="K133" i="12" s="1"/>
  <c r="L133" i="11"/>
  <c r="L133" i="12" s="1"/>
  <c r="M133" i="11"/>
  <c r="M133" i="12" s="1"/>
  <c r="N133" i="11"/>
  <c r="N133" i="12" s="1"/>
  <c r="O133" i="11"/>
  <c r="O133" i="12" s="1"/>
  <c r="P133" i="11"/>
  <c r="P133" i="12" s="1"/>
  <c r="Q133" i="11"/>
  <c r="Q133" i="12" s="1"/>
  <c r="R133" i="11"/>
  <c r="R133" i="12" s="1"/>
  <c r="S133" i="11"/>
  <c r="S133" i="12" s="1"/>
  <c r="T133" i="11"/>
  <c r="T133" i="12" s="1"/>
  <c r="U133" i="11"/>
  <c r="U133" i="12" s="1"/>
  <c r="V133" i="11"/>
  <c r="V133" i="12" s="1"/>
  <c r="W133" i="11"/>
  <c r="W133" i="12" s="1"/>
  <c r="X133" i="11"/>
  <c r="X133" i="12" s="1"/>
  <c r="Y133" i="11"/>
  <c r="Y133" i="12" s="1"/>
  <c r="Z133" i="11"/>
  <c r="Z133" i="12" s="1"/>
  <c r="AA133" i="11"/>
  <c r="AA133" i="12" s="1"/>
  <c r="AB133" i="11"/>
  <c r="AB133" i="12" s="1"/>
  <c r="AC133" i="11"/>
  <c r="AC133" i="12" s="1"/>
  <c r="AD133" i="11"/>
  <c r="AD133" i="12" s="1"/>
  <c r="AE133" i="11"/>
  <c r="AE133" i="12" s="1"/>
  <c r="AF133" i="11"/>
  <c r="AF133" i="12" s="1"/>
  <c r="AG133" i="11"/>
  <c r="AG133" i="12" s="1"/>
  <c r="D134" i="11"/>
  <c r="D134" i="12" s="1"/>
  <c r="E134" i="11"/>
  <c r="E134" i="12" s="1"/>
  <c r="F134" i="11"/>
  <c r="F134" i="12" s="1"/>
  <c r="G134" i="11"/>
  <c r="G134" i="12" s="1"/>
  <c r="H134" i="11"/>
  <c r="H134" i="12" s="1"/>
  <c r="I134" i="11"/>
  <c r="I134" i="12" s="1"/>
  <c r="J134" i="11"/>
  <c r="J134" i="12" s="1"/>
  <c r="K134" i="11"/>
  <c r="K134" i="12" s="1"/>
  <c r="L134" i="11"/>
  <c r="L134" i="12" s="1"/>
  <c r="M134" i="11"/>
  <c r="M134" i="12" s="1"/>
  <c r="N134" i="11"/>
  <c r="N134" i="12" s="1"/>
  <c r="O134" i="11"/>
  <c r="O134" i="12" s="1"/>
  <c r="P134" i="11"/>
  <c r="P134" i="12" s="1"/>
  <c r="Q134" i="11"/>
  <c r="Q134" i="12" s="1"/>
  <c r="R134" i="11"/>
  <c r="R134" i="12" s="1"/>
  <c r="S134" i="11"/>
  <c r="S134" i="12" s="1"/>
  <c r="T134" i="11"/>
  <c r="T134" i="12" s="1"/>
  <c r="U134" i="11"/>
  <c r="U134" i="12" s="1"/>
  <c r="V134" i="11"/>
  <c r="V134" i="12" s="1"/>
  <c r="W134" i="11"/>
  <c r="W134" i="12" s="1"/>
  <c r="X134" i="11"/>
  <c r="X134" i="12" s="1"/>
  <c r="Y134" i="11"/>
  <c r="Y134" i="12" s="1"/>
  <c r="Z134" i="11"/>
  <c r="Z134" i="12" s="1"/>
  <c r="AA134" i="11"/>
  <c r="AA134" i="12" s="1"/>
  <c r="AB134" i="11"/>
  <c r="AB134" i="12" s="1"/>
  <c r="AC134" i="11"/>
  <c r="AC134" i="12" s="1"/>
  <c r="AD134" i="11"/>
  <c r="AD134" i="12" s="1"/>
  <c r="AE134" i="11"/>
  <c r="AE134" i="12" s="1"/>
  <c r="AF134" i="11"/>
  <c r="AF134" i="12" s="1"/>
  <c r="AG134" i="11"/>
  <c r="AG134" i="12" s="1"/>
  <c r="D135" i="11"/>
  <c r="D135" i="12" s="1"/>
  <c r="E135" i="11"/>
  <c r="E135" i="12" s="1"/>
  <c r="F135" i="11"/>
  <c r="F135" i="12" s="1"/>
  <c r="G135" i="11"/>
  <c r="G135" i="12" s="1"/>
  <c r="H135" i="11"/>
  <c r="H135" i="12" s="1"/>
  <c r="I135" i="11"/>
  <c r="I135" i="12" s="1"/>
  <c r="J135" i="11"/>
  <c r="J135" i="12" s="1"/>
  <c r="K135" i="11"/>
  <c r="K135" i="12" s="1"/>
  <c r="L135" i="11"/>
  <c r="L135" i="12" s="1"/>
  <c r="M135" i="11"/>
  <c r="M135" i="12" s="1"/>
  <c r="N135" i="11"/>
  <c r="N135" i="12" s="1"/>
  <c r="O135" i="11"/>
  <c r="O135" i="12" s="1"/>
  <c r="P135" i="11"/>
  <c r="P135" i="12" s="1"/>
  <c r="Q135" i="11"/>
  <c r="Q135" i="12" s="1"/>
  <c r="R135" i="11"/>
  <c r="R135" i="12" s="1"/>
  <c r="S135" i="11"/>
  <c r="S135" i="12" s="1"/>
  <c r="T135" i="11"/>
  <c r="T135" i="12" s="1"/>
  <c r="U135" i="11"/>
  <c r="U135" i="12" s="1"/>
  <c r="V135" i="11"/>
  <c r="V135" i="12" s="1"/>
  <c r="W135" i="11"/>
  <c r="W135" i="12" s="1"/>
  <c r="X135" i="11"/>
  <c r="X135" i="12" s="1"/>
  <c r="Y135" i="11"/>
  <c r="Y135" i="12" s="1"/>
  <c r="Z135" i="11"/>
  <c r="Z135" i="12" s="1"/>
  <c r="AA135" i="11"/>
  <c r="AA135" i="12" s="1"/>
  <c r="AB135" i="11"/>
  <c r="AB135" i="12" s="1"/>
  <c r="AC135" i="11"/>
  <c r="AC135" i="12" s="1"/>
  <c r="AD135" i="11"/>
  <c r="AD135" i="12" s="1"/>
  <c r="AE135" i="11"/>
  <c r="AE135" i="12" s="1"/>
  <c r="AF135" i="11"/>
  <c r="AF135" i="12" s="1"/>
  <c r="AG135" i="11"/>
  <c r="AG135" i="12" s="1"/>
  <c r="D136" i="11"/>
  <c r="D136" i="12" s="1"/>
  <c r="E136" i="11"/>
  <c r="E136" i="12" s="1"/>
  <c r="F136" i="11"/>
  <c r="F136" i="12" s="1"/>
  <c r="G136" i="11"/>
  <c r="G136" i="12" s="1"/>
  <c r="H136" i="11"/>
  <c r="H136" i="12" s="1"/>
  <c r="I136" i="11"/>
  <c r="I136" i="12" s="1"/>
  <c r="J136" i="11"/>
  <c r="J136" i="12" s="1"/>
  <c r="K136" i="11"/>
  <c r="K136" i="12" s="1"/>
  <c r="L136" i="11"/>
  <c r="L136" i="12" s="1"/>
  <c r="M136" i="11"/>
  <c r="M136" i="12" s="1"/>
  <c r="N136" i="11"/>
  <c r="N136" i="12" s="1"/>
  <c r="O136" i="11"/>
  <c r="O136" i="12" s="1"/>
  <c r="P136" i="11"/>
  <c r="P136" i="12" s="1"/>
  <c r="Q136" i="11"/>
  <c r="Q136" i="12" s="1"/>
  <c r="R136" i="11"/>
  <c r="R136" i="12" s="1"/>
  <c r="S136" i="11"/>
  <c r="S136" i="12" s="1"/>
  <c r="T136" i="11"/>
  <c r="T136" i="12" s="1"/>
  <c r="U136" i="11"/>
  <c r="U136" i="12" s="1"/>
  <c r="V136" i="11"/>
  <c r="V136" i="12" s="1"/>
  <c r="W136" i="11"/>
  <c r="W136" i="12" s="1"/>
  <c r="X136" i="11"/>
  <c r="X136" i="12" s="1"/>
  <c r="Y136" i="11"/>
  <c r="Y136" i="12" s="1"/>
  <c r="Z136" i="11"/>
  <c r="Z136" i="12" s="1"/>
  <c r="AA136" i="11"/>
  <c r="AA136" i="12" s="1"/>
  <c r="AB136" i="11"/>
  <c r="AB136" i="12" s="1"/>
  <c r="AC136" i="11"/>
  <c r="AC136" i="12" s="1"/>
  <c r="AD136" i="11"/>
  <c r="AD136" i="12" s="1"/>
  <c r="AE136" i="11"/>
  <c r="AE136" i="12" s="1"/>
  <c r="AF136" i="11"/>
  <c r="AF136" i="12" s="1"/>
  <c r="AG136" i="11"/>
  <c r="AG136" i="12" s="1"/>
  <c r="D137" i="11"/>
  <c r="D137" i="12" s="1"/>
  <c r="E137" i="11"/>
  <c r="E137" i="12" s="1"/>
  <c r="F137" i="11"/>
  <c r="F137" i="12" s="1"/>
  <c r="G137" i="11"/>
  <c r="G137" i="12" s="1"/>
  <c r="H137" i="11"/>
  <c r="H137" i="12" s="1"/>
  <c r="I137" i="11"/>
  <c r="I137" i="12" s="1"/>
  <c r="J137" i="11"/>
  <c r="J137" i="12" s="1"/>
  <c r="K137" i="11"/>
  <c r="K137" i="12" s="1"/>
  <c r="L137" i="11"/>
  <c r="L137" i="12" s="1"/>
  <c r="M137" i="11"/>
  <c r="M137" i="12" s="1"/>
  <c r="N137" i="11"/>
  <c r="N137" i="12" s="1"/>
  <c r="O137" i="11"/>
  <c r="O137" i="12" s="1"/>
  <c r="P137" i="11"/>
  <c r="P137" i="12" s="1"/>
  <c r="Q137" i="11"/>
  <c r="Q137" i="12" s="1"/>
  <c r="R137" i="11"/>
  <c r="R137" i="12" s="1"/>
  <c r="S137" i="11"/>
  <c r="S137" i="12" s="1"/>
  <c r="T137" i="11"/>
  <c r="T137" i="12" s="1"/>
  <c r="U137" i="11"/>
  <c r="U137" i="12" s="1"/>
  <c r="V137" i="11"/>
  <c r="V137" i="12" s="1"/>
  <c r="W137" i="11"/>
  <c r="W137" i="12" s="1"/>
  <c r="X137" i="11"/>
  <c r="X137" i="12" s="1"/>
  <c r="Y137" i="11"/>
  <c r="Y137" i="12" s="1"/>
  <c r="Z137" i="11"/>
  <c r="Z137" i="12" s="1"/>
  <c r="AA137" i="11"/>
  <c r="AA137" i="12" s="1"/>
  <c r="AB137" i="11"/>
  <c r="AB137" i="12" s="1"/>
  <c r="AC137" i="11"/>
  <c r="AC137" i="12" s="1"/>
  <c r="AD137" i="11"/>
  <c r="AD137" i="12" s="1"/>
  <c r="AE137" i="11"/>
  <c r="AE137" i="12" s="1"/>
  <c r="AF137" i="11"/>
  <c r="AF137" i="12" s="1"/>
  <c r="AG137" i="11"/>
  <c r="AG137" i="12" s="1"/>
  <c r="D138" i="11"/>
  <c r="D138" i="12" s="1"/>
  <c r="E138" i="11"/>
  <c r="E138" i="12" s="1"/>
  <c r="F138" i="11"/>
  <c r="F138" i="12" s="1"/>
  <c r="G138" i="11"/>
  <c r="G138" i="12" s="1"/>
  <c r="H138" i="11"/>
  <c r="H138" i="12" s="1"/>
  <c r="I138" i="11"/>
  <c r="I138" i="12" s="1"/>
  <c r="J138" i="11"/>
  <c r="J138" i="12" s="1"/>
  <c r="K138" i="11"/>
  <c r="K138" i="12" s="1"/>
  <c r="L138" i="11"/>
  <c r="L138" i="12" s="1"/>
  <c r="M138" i="11"/>
  <c r="M138" i="12" s="1"/>
  <c r="N138" i="11"/>
  <c r="N138" i="12" s="1"/>
  <c r="O138" i="11"/>
  <c r="O138" i="12" s="1"/>
  <c r="P138" i="11"/>
  <c r="P138" i="12" s="1"/>
  <c r="Q138" i="11"/>
  <c r="Q138" i="12" s="1"/>
  <c r="R138" i="11"/>
  <c r="R138" i="12" s="1"/>
  <c r="S138" i="11"/>
  <c r="S138" i="12" s="1"/>
  <c r="T138" i="11"/>
  <c r="T138" i="12" s="1"/>
  <c r="U138" i="11"/>
  <c r="U138" i="12" s="1"/>
  <c r="V138" i="11"/>
  <c r="V138" i="12" s="1"/>
  <c r="W138" i="11"/>
  <c r="W138" i="12" s="1"/>
  <c r="X138" i="11"/>
  <c r="X138" i="12" s="1"/>
  <c r="Y138" i="11"/>
  <c r="Y138" i="12" s="1"/>
  <c r="Z138" i="11"/>
  <c r="Z138" i="12" s="1"/>
  <c r="AA138" i="11"/>
  <c r="AA138" i="12" s="1"/>
  <c r="AB138" i="11"/>
  <c r="AB138" i="12" s="1"/>
  <c r="AC138" i="11"/>
  <c r="AC138" i="12" s="1"/>
  <c r="AD138" i="11"/>
  <c r="AD138" i="12" s="1"/>
  <c r="AE138" i="11"/>
  <c r="AE138" i="12" s="1"/>
  <c r="AF138" i="11"/>
  <c r="AF138" i="12" s="1"/>
  <c r="AG138" i="11"/>
  <c r="AG138" i="12" s="1"/>
  <c r="D139" i="11"/>
  <c r="D139" i="12" s="1"/>
  <c r="E139" i="11"/>
  <c r="E139" i="12" s="1"/>
  <c r="F139" i="11"/>
  <c r="F139" i="12" s="1"/>
  <c r="G139" i="11"/>
  <c r="G139" i="12" s="1"/>
  <c r="H139" i="11"/>
  <c r="H139" i="12" s="1"/>
  <c r="I139" i="11"/>
  <c r="I139" i="12" s="1"/>
  <c r="J139" i="11"/>
  <c r="J139" i="12" s="1"/>
  <c r="K139" i="11"/>
  <c r="K139" i="12" s="1"/>
  <c r="L139" i="11"/>
  <c r="L139" i="12" s="1"/>
  <c r="M139" i="11"/>
  <c r="M139" i="12" s="1"/>
  <c r="N139" i="11"/>
  <c r="N139" i="12" s="1"/>
  <c r="O139" i="11"/>
  <c r="O139" i="12" s="1"/>
  <c r="P139" i="11"/>
  <c r="P139" i="12" s="1"/>
  <c r="Q139" i="11"/>
  <c r="Q139" i="12" s="1"/>
  <c r="R139" i="11"/>
  <c r="R139" i="12" s="1"/>
  <c r="S139" i="11"/>
  <c r="S139" i="12" s="1"/>
  <c r="T139" i="11"/>
  <c r="T139" i="12" s="1"/>
  <c r="U139" i="11"/>
  <c r="U139" i="12" s="1"/>
  <c r="V139" i="11"/>
  <c r="V139" i="12" s="1"/>
  <c r="W139" i="11"/>
  <c r="W139" i="12" s="1"/>
  <c r="X139" i="11"/>
  <c r="X139" i="12" s="1"/>
  <c r="Y139" i="11"/>
  <c r="Y139" i="12" s="1"/>
  <c r="Z139" i="11"/>
  <c r="Z139" i="12" s="1"/>
  <c r="AA139" i="11"/>
  <c r="AA139" i="12" s="1"/>
  <c r="AB139" i="11"/>
  <c r="AB139" i="12" s="1"/>
  <c r="AC139" i="11"/>
  <c r="AC139" i="12" s="1"/>
  <c r="AD139" i="11"/>
  <c r="AD139" i="12" s="1"/>
  <c r="AE139" i="11"/>
  <c r="AE139" i="12" s="1"/>
  <c r="AF139" i="11"/>
  <c r="AF139" i="12" s="1"/>
  <c r="AG139" i="11"/>
  <c r="AG139" i="12" s="1"/>
  <c r="D140" i="11"/>
  <c r="D140" i="12" s="1"/>
  <c r="E140" i="11"/>
  <c r="E140" i="12" s="1"/>
  <c r="F140" i="11"/>
  <c r="F140" i="12" s="1"/>
  <c r="G140" i="11"/>
  <c r="G140" i="12" s="1"/>
  <c r="H140" i="11"/>
  <c r="H140" i="12" s="1"/>
  <c r="I140" i="11"/>
  <c r="I140" i="12" s="1"/>
  <c r="J140" i="11"/>
  <c r="J140" i="12" s="1"/>
  <c r="K140" i="11"/>
  <c r="K140" i="12" s="1"/>
  <c r="L140" i="11"/>
  <c r="L140" i="12" s="1"/>
  <c r="M140" i="11"/>
  <c r="M140" i="12" s="1"/>
  <c r="N140" i="11"/>
  <c r="N140" i="12" s="1"/>
  <c r="O140" i="11"/>
  <c r="O140" i="12" s="1"/>
  <c r="P140" i="11"/>
  <c r="P140" i="12" s="1"/>
  <c r="Q140" i="11"/>
  <c r="Q140" i="12" s="1"/>
  <c r="R140" i="11"/>
  <c r="R140" i="12" s="1"/>
  <c r="S140" i="11"/>
  <c r="S140" i="12" s="1"/>
  <c r="T140" i="11"/>
  <c r="T140" i="12" s="1"/>
  <c r="U140" i="11"/>
  <c r="U140" i="12" s="1"/>
  <c r="V140" i="11"/>
  <c r="V140" i="12" s="1"/>
  <c r="W140" i="11"/>
  <c r="W140" i="12" s="1"/>
  <c r="X140" i="11"/>
  <c r="X140" i="12" s="1"/>
  <c r="Y140" i="11"/>
  <c r="Y140" i="12" s="1"/>
  <c r="Z140" i="11"/>
  <c r="Z140" i="12" s="1"/>
  <c r="AA140" i="11"/>
  <c r="AA140" i="12" s="1"/>
  <c r="AB140" i="11"/>
  <c r="AB140" i="12" s="1"/>
  <c r="AC140" i="11"/>
  <c r="AC140" i="12" s="1"/>
  <c r="AD140" i="11"/>
  <c r="AD140" i="12" s="1"/>
  <c r="AE140" i="11"/>
  <c r="AE140" i="12" s="1"/>
  <c r="AF140" i="11"/>
  <c r="AF140" i="12" s="1"/>
  <c r="AG140" i="11"/>
  <c r="AG140" i="12" s="1"/>
  <c r="D141" i="11"/>
  <c r="D141" i="12" s="1"/>
  <c r="E141" i="11"/>
  <c r="E141" i="12" s="1"/>
  <c r="F141" i="11"/>
  <c r="F141" i="12" s="1"/>
  <c r="G141" i="11"/>
  <c r="G141" i="12" s="1"/>
  <c r="H141" i="11"/>
  <c r="H141" i="12" s="1"/>
  <c r="I141" i="11"/>
  <c r="I141" i="12" s="1"/>
  <c r="J141" i="11"/>
  <c r="J141" i="12" s="1"/>
  <c r="K141" i="11"/>
  <c r="K141" i="12" s="1"/>
  <c r="L141" i="11"/>
  <c r="L141" i="12" s="1"/>
  <c r="M141" i="11"/>
  <c r="M141" i="12" s="1"/>
  <c r="N141" i="11"/>
  <c r="N141" i="12" s="1"/>
  <c r="O141" i="11"/>
  <c r="O141" i="12" s="1"/>
  <c r="P141" i="11"/>
  <c r="P141" i="12" s="1"/>
  <c r="Q141" i="11"/>
  <c r="Q141" i="12" s="1"/>
  <c r="R141" i="11"/>
  <c r="R141" i="12" s="1"/>
  <c r="S141" i="11"/>
  <c r="S141" i="12" s="1"/>
  <c r="T141" i="11"/>
  <c r="T141" i="12" s="1"/>
  <c r="U141" i="11"/>
  <c r="U141" i="12" s="1"/>
  <c r="V141" i="11"/>
  <c r="V141" i="12" s="1"/>
  <c r="W141" i="11"/>
  <c r="W141" i="12" s="1"/>
  <c r="X141" i="11"/>
  <c r="X141" i="12" s="1"/>
  <c r="Y141" i="11"/>
  <c r="Y141" i="12" s="1"/>
  <c r="Z141" i="11"/>
  <c r="Z141" i="12" s="1"/>
  <c r="AA141" i="11"/>
  <c r="AA141" i="12" s="1"/>
  <c r="AB141" i="11"/>
  <c r="AB141" i="12" s="1"/>
  <c r="AC141" i="11"/>
  <c r="AC141" i="12" s="1"/>
  <c r="AD141" i="11"/>
  <c r="AD141" i="12" s="1"/>
  <c r="AE141" i="11"/>
  <c r="AE141" i="12" s="1"/>
  <c r="AF141" i="11"/>
  <c r="AF141" i="12" s="1"/>
  <c r="AG141" i="11"/>
  <c r="AG141" i="12" s="1"/>
  <c r="D142" i="11"/>
  <c r="D142" i="12" s="1"/>
  <c r="E142" i="11"/>
  <c r="E142" i="12" s="1"/>
  <c r="F142" i="11"/>
  <c r="F142" i="12" s="1"/>
  <c r="G142" i="11"/>
  <c r="G142" i="12" s="1"/>
  <c r="H142" i="11"/>
  <c r="H142" i="12" s="1"/>
  <c r="I142" i="11"/>
  <c r="I142" i="12" s="1"/>
  <c r="J142" i="11"/>
  <c r="J142" i="12" s="1"/>
  <c r="K142" i="11"/>
  <c r="K142" i="12" s="1"/>
  <c r="L142" i="11"/>
  <c r="L142" i="12" s="1"/>
  <c r="M142" i="11"/>
  <c r="M142" i="12" s="1"/>
  <c r="N142" i="11"/>
  <c r="N142" i="12" s="1"/>
  <c r="O142" i="11"/>
  <c r="O142" i="12" s="1"/>
  <c r="P142" i="11"/>
  <c r="P142" i="12" s="1"/>
  <c r="Q142" i="11"/>
  <c r="Q142" i="12" s="1"/>
  <c r="R142" i="11"/>
  <c r="R142" i="12" s="1"/>
  <c r="S142" i="11"/>
  <c r="S142" i="12" s="1"/>
  <c r="T142" i="11"/>
  <c r="T142" i="12" s="1"/>
  <c r="U142" i="11"/>
  <c r="U142" i="12" s="1"/>
  <c r="V142" i="11"/>
  <c r="V142" i="12" s="1"/>
  <c r="W142" i="11"/>
  <c r="W142" i="12" s="1"/>
  <c r="X142" i="11"/>
  <c r="X142" i="12" s="1"/>
  <c r="Y142" i="11"/>
  <c r="Y142" i="12" s="1"/>
  <c r="Z142" i="11"/>
  <c r="Z142" i="12" s="1"/>
  <c r="AA142" i="11"/>
  <c r="AA142" i="12" s="1"/>
  <c r="AB142" i="11"/>
  <c r="AB142" i="12" s="1"/>
  <c r="AC142" i="11"/>
  <c r="AC142" i="12" s="1"/>
  <c r="AD142" i="11"/>
  <c r="AD142" i="12" s="1"/>
  <c r="AE142" i="11"/>
  <c r="AE142" i="12" s="1"/>
  <c r="AF142" i="11"/>
  <c r="AF142" i="12" s="1"/>
  <c r="AG142" i="11"/>
  <c r="AG142" i="12" s="1"/>
  <c r="D143" i="11"/>
  <c r="D143" i="12" s="1"/>
  <c r="E143" i="11"/>
  <c r="E143" i="12" s="1"/>
  <c r="F143" i="11"/>
  <c r="F143" i="12" s="1"/>
  <c r="G143" i="11"/>
  <c r="G143" i="12" s="1"/>
  <c r="H143" i="11"/>
  <c r="H143" i="12" s="1"/>
  <c r="I143" i="11"/>
  <c r="I143" i="12" s="1"/>
  <c r="J143" i="11"/>
  <c r="J143" i="12" s="1"/>
  <c r="K143" i="11"/>
  <c r="K143" i="12" s="1"/>
  <c r="L143" i="11"/>
  <c r="L143" i="12" s="1"/>
  <c r="M143" i="11"/>
  <c r="M143" i="12" s="1"/>
  <c r="N143" i="11"/>
  <c r="N143" i="12" s="1"/>
  <c r="O143" i="11"/>
  <c r="O143" i="12" s="1"/>
  <c r="P143" i="11"/>
  <c r="P143" i="12" s="1"/>
  <c r="Q143" i="11"/>
  <c r="Q143" i="12" s="1"/>
  <c r="R143" i="11"/>
  <c r="R143" i="12" s="1"/>
  <c r="S143" i="11"/>
  <c r="S143" i="12" s="1"/>
  <c r="T143" i="11"/>
  <c r="T143" i="12" s="1"/>
  <c r="U143" i="11"/>
  <c r="U143" i="12" s="1"/>
  <c r="V143" i="11"/>
  <c r="V143" i="12" s="1"/>
  <c r="W143" i="11"/>
  <c r="W143" i="12" s="1"/>
  <c r="X143" i="11"/>
  <c r="X143" i="12" s="1"/>
  <c r="Y143" i="11"/>
  <c r="Y143" i="12" s="1"/>
  <c r="Z143" i="11"/>
  <c r="Z143" i="12" s="1"/>
  <c r="AA143" i="11"/>
  <c r="AA143" i="12" s="1"/>
  <c r="AB143" i="11"/>
  <c r="AB143" i="12" s="1"/>
  <c r="AC143" i="11"/>
  <c r="AC143" i="12" s="1"/>
  <c r="AD143" i="11"/>
  <c r="AD143" i="12" s="1"/>
  <c r="AE143" i="11"/>
  <c r="AE143" i="12" s="1"/>
  <c r="AF143" i="11"/>
  <c r="AF143" i="12" s="1"/>
  <c r="AG143" i="11"/>
  <c r="AG143" i="12" s="1"/>
  <c r="D144" i="11"/>
  <c r="D144" i="12" s="1"/>
  <c r="E144" i="11"/>
  <c r="E144" i="12" s="1"/>
  <c r="F144" i="11"/>
  <c r="F144" i="12" s="1"/>
  <c r="G144" i="11"/>
  <c r="G144" i="12" s="1"/>
  <c r="H144" i="11"/>
  <c r="H144" i="12" s="1"/>
  <c r="I144" i="11"/>
  <c r="I144" i="12" s="1"/>
  <c r="J144" i="11"/>
  <c r="J144" i="12" s="1"/>
  <c r="K144" i="11"/>
  <c r="K144" i="12" s="1"/>
  <c r="L144" i="11"/>
  <c r="L144" i="12" s="1"/>
  <c r="M144" i="11"/>
  <c r="M144" i="12" s="1"/>
  <c r="N144" i="11"/>
  <c r="N144" i="12" s="1"/>
  <c r="O144" i="11"/>
  <c r="O144" i="12" s="1"/>
  <c r="P144" i="11"/>
  <c r="P144" i="12" s="1"/>
  <c r="Q144" i="11"/>
  <c r="Q144" i="12" s="1"/>
  <c r="R144" i="11"/>
  <c r="R144" i="12" s="1"/>
  <c r="S144" i="11"/>
  <c r="S144" i="12" s="1"/>
  <c r="T144" i="11"/>
  <c r="T144" i="12" s="1"/>
  <c r="U144" i="11"/>
  <c r="U144" i="12" s="1"/>
  <c r="V144" i="11"/>
  <c r="V144" i="12" s="1"/>
  <c r="W144" i="11"/>
  <c r="W144" i="12" s="1"/>
  <c r="X144" i="11"/>
  <c r="X144" i="12" s="1"/>
  <c r="Y144" i="11"/>
  <c r="Y144" i="12" s="1"/>
  <c r="Z144" i="11"/>
  <c r="Z144" i="12" s="1"/>
  <c r="AA144" i="11"/>
  <c r="AA144" i="12" s="1"/>
  <c r="AB144" i="11"/>
  <c r="AB144" i="12" s="1"/>
  <c r="AC144" i="11"/>
  <c r="AC144" i="12" s="1"/>
  <c r="AD144" i="11"/>
  <c r="AD144" i="12" s="1"/>
  <c r="AE144" i="11"/>
  <c r="AE144" i="12" s="1"/>
  <c r="AF144" i="11"/>
  <c r="AF144" i="12" s="1"/>
  <c r="AG144" i="11"/>
  <c r="AG144" i="12" s="1"/>
  <c r="D145" i="11"/>
  <c r="D145" i="12" s="1"/>
  <c r="E145" i="11"/>
  <c r="E145" i="12" s="1"/>
  <c r="F145" i="11"/>
  <c r="F145" i="12" s="1"/>
  <c r="G145" i="11"/>
  <c r="G145" i="12" s="1"/>
  <c r="H145" i="11"/>
  <c r="H145" i="12" s="1"/>
  <c r="I145" i="11"/>
  <c r="I145" i="12" s="1"/>
  <c r="J145" i="11"/>
  <c r="J145" i="12" s="1"/>
  <c r="K145" i="11"/>
  <c r="K145" i="12" s="1"/>
  <c r="L145" i="11"/>
  <c r="L145" i="12" s="1"/>
  <c r="M145" i="11"/>
  <c r="M145" i="12" s="1"/>
  <c r="N145" i="11"/>
  <c r="N145" i="12" s="1"/>
  <c r="O145" i="11"/>
  <c r="O145" i="12" s="1"/>
  <c r="P145" i="11"/>
  <c r="P145" i="12" s="1"/>
  <c r="Q145" i="11"/>
  <c r="Q145" i="12" s="1"/>
  <c r="R145" i="11"/>
  <c r="R145" i="12" s="1"/>
  <c r="S145" i="11"/>
  <c r="S145" i="12" s="1"/>
  <c r="T145" i="11"/>
  <c r="T145" i="12" s="1"/>
  <c r="U145" i="11"/>
  <c r="U145" i="12" s="1"/>
  <c r="V145" i="11"/>
  <c r="V145" i="12" s="1"/>
  <c r="W145" i="11"/>
  <c r="W145" i="12" s="1"/>
  <c r="X145" i="11"/>
  <c r="X145" i="12" s="1"/>
  <c r="Y145" i="11"/>
  <c r="Y145" i="12" s="1"/>
  <c r="Z145" i="11"/>
  <c r="Z145" i="12" s="1"/>
  <c r="AA145" i="11"/>
  <c r="AA145" i="12" s="1"/>
  <c r="AB145" i="11"/>
  <c r="AB145" i="12" s="1"/>
  <c r="AC145" i="11"/>
  <c r="AC145" i="12" s="1"/>
  <c r="AD145" i="11"/>
  <c r="AD145" i="12" s="1"/>
  <c r="AE145" i="11"/>
  <c r="AE145" i="12" s="1"/>
  <c r="AF145" i="11"/>
  <c r="AF145" i="12" s="1"/>
  <c r="AG145" i="11"/>
  <c r="AG145" i="12" s="1"/>
  <c r="D146" i="11"/>
  <c r="D146" i="12" s="1"/>
  <c r="E146" i="11"/>
  <c r="E146" i="12" s="1"/>
  <c r="F146" i="11"/>
  <c r="F146" i="12" s="1"/>
  <c r="G146" i="11"/>
  <c r="G146" i="12" s="1"/>
  <c r="H146" i="11"/>
  <c r="H146" i="12" s="1"/>
  <c r="I146" i="11"/>
  <c r="I146" i="12" s="1"/>
  <c r="J146" i="11"/>
  <c r="J146" i="12" s="1"/>
  <c r="K146" i="11"/>
  <c r="K146" i="12" s="1"/>
  <c r="L146" i="11"/>
  <c r="L146" i="12" s="1"/>
  <c r="M146" i="11"/>
  <c r="M146" i="12" s="1"/>
  <c r="N146" i="11"/>
  <c r="N146" i="12" s="1"/>
  <c r="O146" i="11"/>
  <c r="O146" i="12" s="1"/>
  <c r="P146" i="11"/>
  <c r="P146" i="12" s="1"/>
  <c r="Q146" i="11"/>
  <c r="Q146" i="12" s="1"/>
  <c r="R146" i="11"/>
  <c r="R146" i="12" s="1"/>
  <c r="S146" i="11"/>
  <c r="S146" i="12" s="1"/>
  <c r="T146" i="11"/>
  <c r="T146" i="12" s="1"/>
  <c r="U146" i="11"/>
  <c r="U146" i="12" s="1"/>
  <c r="V146" i="11"/>
  <c r="V146" i="12" s="1"/>
  <c r="W146" i="11"/>
  <c r="W146" i="12" s="1"/>
  <c r="X146" i="11"/>
  <c r="X146" i="12" s="1"/>
  <c r="Y146" i="11"/>
  <c r="Y146" i="12" s="1"/>
  <c r="Z146" i="11"/>
  <c r="Z146" i="12" s="1"/>
  <c r="AA146" i="11"/>
  <c r="AA146" i="12" s="1"/>
  <c r="AB146" i="11"/>
  <c r="AB146" i="12" s="1"/>
  <c r="AC146" i="11"/>
  <c r="AC146" i="12" s="1"/>
  <c r="AD146" i="11"/>
  <c r="AD146" i="12" s="1"/>
  <c r="AE146" i="11"/>
  <c r="AE146" i="12" s="1"/>
  <c r="AF146" i="11"/>
  <c r="AF146" i="12" s="1"/>
  <c r="AG146" i="11"/>
  <c r="AG146" i="12" s="1"/>
  <c r="D147" i="11"/>
  <c r="D147" i="12" s="1"/>
  <c r="E147" i="11"/>
  <c r="E147" i="12" s="1"/>
  <c r="F147" i="11"/>
  <c r="F147" i="12" s="1"/>
  <c r="G147" i="11"/>
  <c r="G147" i="12" s="1"/>
  <c r="H147" i="11"/>
  <c r="H147" i="12" s="1"/>
  <c r="I147" i="11"/>
  <c r="I147" i="12" s="1"/>
  <c r="J147" i="11"/>
  <c r="J147" i="12" s="1"/>
  <c r="K147" i="11"/>
  <c r="K147" i="12" s="1"/>
  <c r="L147" i="11"/>
  <c r="L147" i="12" s="1"/>
  <c r="M147" i="11"/>
  <c r="M147" i="12" s="1"/>
  <c r="N147" i="11"/>
  <c r="N147" i="12" s="1"/>
  <c r="O147" i="11"/>
  <c r="O147" i="12" s="1"/>
  <c r="P147" i="11"/>
  <c r="P147" i="12" s="1"/>
  <c r="Q147" i="11"/>
  <c r="Q147" i="12" s="1"/>
  <c r="R147" i="11"/>
  <c r="R147" i="12" s="1"/>
  <c r="S147" i="11"/>
  <c r="S147" i="12" s="1"/>
  <c r="T147" i="11"/>
  <c r="T147" i="12" s="1"/>
  <c r="U147" i="11"/>
  <c r="U147" i="12" s="1"/>
  <c r="V147" i="11"/>
  <c r="V147" i="12" s="1"/>
  <c r="W147" i="11"/>
  <c r="W147" i="12" s="1"/>
  <c r="X147" i="11"/>
  <c r="X147" i="12" s="1"/>
  <c r="Y147" i="11"/>
  <c r="Y147" i="12" s="1"/>
  <c r="Z147" i="11"/>
  <c r="Z147" i="12" s="1"/>
  <c r="AA147" i="11"/>
  <c r="AA147" i="12" s="1"/>
  <c r="AB147" i="11"/>
  <c r="AB147" i="12" s="1"/>
  <c r="AC147" i="11"/>
  <c r="AC147" i="12" s="1"/>
  <c r="AD147" i="11"/>
  <c r="AD147" i="12" s="1"/>
  <c r="AE147" i="11"/>
  <c r="AE147" i="12" s="1"/>
  <c r="AF147" i="11"/>
  <c r="AF147" i="12" s="1"/>
  <c r="AG147" i="11"/>
  <c r="AG147" i="12" s="1"/>
  <c r="D148" i="11"/>
  <c r="D148" i="12" s="1"/>
  <c r="E148" i="11"/>
  <c r="E148" i="12" s="1"/>
  <c r="F148" i="11"/>
  <c r="F148" i="12" s="1"/>
  <c r="G148" i="11"/>
  <c r="G148" i="12" s="1"/>
  <c r="H148" i="11"/>
  <c r="H148" i="12" s="1"/>
  <c r="I148" i="11"/>
  <c r="I148" i="12" s="1"/>
  <c r="J148" i="11"/>
  <c r="J148" i="12" s="1"/>
  <c r="K148" i="11"/>
  <c r="K148" i="12" s="1"/>
  <c r="L148" i="11"/>
  <c r="L148" i="12" s="1"/>
  <c r="M148" i="11"/>
  <c r="M148" i="12" s="1"/>
  <c r="N148" i="11"/>
  <c r="N148" i="12" s="1"/>
  <c r="O148" i="11"/>
  <c r="O148" i="12" s="1"/>
  <c r="P148" i="11"/>
  <c r="P148" i="12" s="1"/>
  <c r="Q148" i="11"/>
  <c r="Q148" i="12" s="1"/>
  <c r="R148" i="11"/>
  <c r="R148" i="12" s="1"/>
  <c r="S148" i="11"/>
  <c r="S148" i="12" s="1"/>
  <c r="T148" i="11"/>
  <c r="T148" i="12" s="1"/>
  <c r="U148" i="11"/>
  <c r="U148" i="12" s="1"/>
  <c r="V148" i="11"/>
  <c r="V148" i="12" s="1"/>
  <c r="W148" i="11"/>
  <c r="W148" i="12" s="1"/>
  <c r="X148" i="11"/>
  <c r="X148" i="12" s="1"/>
  <c r="Y148" i="11"/>
  <c r="Y148" i="12" s="1"/>
  <c r="Z148" i="11"/>
  <c r="Z148" i="12" s="1"/>
  <c r="AA148" i="11"/>
  <c r="AA148" i="12" s="1"/>
  <c r="AB148" i="11"/>
  <c r="AB148" i="12" s="1"/>
  <c r="AC148" i="11"/>
  <c r="AC148" i="12" s="1"/>
  <c r="AD148" i="11"/>
  <c r="AD148" i="12" s="1"/>
  <c r="AE148" i="11"/>
  <c r="AE148" i="12" s="1"/>
  <c r="AF148" i="11"/>
  <c r="AF148" i="12" s="1"/>
  <c r="AG148" i="11"/>
  <c r="AG148" i="12" s="1"/>
  <c r="D149" i="11"/>
  <c r="D149" i="12" s="1"/>
  <c r="E149" i="11"/>
  <c r="E149" i="12" s="1"/>
  <c r="F149" i="11"/>
  <c r="F149" i="12" s="1"/>
  <c r="G149" i="11"/>
  <c r="G149" i="12" s="1"/>
  <c r="H149" i="11"/>
  <c r="H149" i="12" s="1"/>
  <c r="I149" i="11"/>
  <c r="I149" i="12" s="1"/>
  <c r="J149" i="11"/>
  <c r="J149" i="12" s="1"/>
  <c r="K149" i="11"/>
  <c r="K149" i="12" s="1"/>
  <c r="L149" i="11"/>
  <c r="L149" i="12" s="1"/>
  <c r="M149" i="11"/>
  <c r="M149" i="12" s="1"/>
  <c r="N149" i="11"/>
  <c r="N149" i="12" s="1"/>
  <c r="O149" i="11"/>
  <c r="O149" i="12" s="1"/>
  <c r="P149" i="11"/>
  <c r="P149" i="12" s="1"/>
  <c r="Q149" i="11"/>
  <c r="Q149" i="12" s="1"/>
  <c r="R149" i="11"/>
  <c r="R149" i="12" s="1"/>
  <c r="S149" i="11"/>
  <c r="S149" i="12" s="1"/>
  <c r="T149" i="11"/>
  <c r="T149" i="12" s="1"/>
  <c r="U149" i="11"/>
  <c r="U149" i="12" s="1"/>
  <c r="V149" i="11"/>
  <c r="V149" i="12" s="1"/>
  <c r="W149" i="11"/>
  <c r="W149" i="12" s="1"/>
  <c r="X149" i="11"/>
  <c r="X149" i="12" s="1"/>
  <c r="Y149" i="11"/>
  <c r="Y149" i="12" s="1"/>
  <c r="Z149" i="11"/>
  <c r="Z149" i="12" s="1"/>
  <c r="AA149" i="11"/>
  <c r="AA149" i="12" s="1"/>
  <c r="AB149" i="11"/>
  <c r="AB149" i="12" s="1"/>
  <c r="AC149" i="11"/>
  <c r="AC149" i="12" s="1"/>
  <c r="AD149" i="11"/>
  <c r="AD149" i="12" s="1"/>
  <c r="AE149" i="11"/>
  <c r="AE149" i="12" s="1"/>
  <c r="AF149" i="11"/>
  <c r="AF149" i="12" s="1"/>
  <c r="AG149" i="11"/>
  <c r="AG149" i="12" s="1"/>
  <c r="D150" i="11"/>
  <c r="D150" i="12" s="1"/>
  <c r="E150" i="11"/>
  <c r="E150" i="12" s="1"/>
  <c r="F150" i="11"/>
  <c r="F150" i="12" s="1"/>
  <c r="G150" i="11"/>
  <c r="G150" i="12" s="1"/>
  <c r="H150" i="11"/>
  <c r="H150" i="12" s="1"/>
  <c r="I150" i="11"/>
  <c r="I150" i="12" s="1"/>
  <c r="J150" i="11"/>
  <c r="J150" i="12" s="1"/>
  <c r="K150" i="11"/>
  <c r="K150" i="12" s="1"/>
  <c r="L150" i="11"/>
  <c r="L150" i="12" s="1"/>
  <c r="M150" i="11"/>
  <c r="M150" i="12" s="1"/>
  <c r="N150" i="11"/>
  <c r="N150" i="12" s="1"/>
  <c r="O150" i="11"/>
  <c r="O150" i="12" s="1"/>
  <c r="P150" i="11"/>
  <c r="P150" i="12" s="1"/>
  <c r="Q150" i="11"/>
  <c r="Q150" i="12" s="1"/>
  <c r="R150" i="11"/>
  <c r="R150" i="12" s="1"/>
  <c r="S150" i="11"/>
  <c r="S150" i="12" s="1"/>
  <c r="T150" i="11"/>
  <c r="T150" i="12" s="1"/>
  <c r="U150" i="11"/>
  <c r="U150" i="12" s="1"/>
  <c r="V150" i="11"/>
  <c r="V150" i="12" s="1"/>
  <c r="W150" i="11"/>
  <c r="W150" i="12" s="1"/>
  <c r="X150" i="11"/>
  <c r="X150" i="12" s="1"/>
  <c r="Y150" i="11"/>
  <c r="Y150" i="12" s="1"/>
  <c r="Z150" i="11"/>
  <c r="Z150" i="12" s="1"/>
  <c r="AA150" i="11"/>
  <c r="AA150" i="12" s="1"/>
  <c r="AB150" i="11"/>
  <c r="AB150" i="12" s="1"/>
  <c r="AC150" i="11"/>
  <c r="AC150" i="12" s="1"/>
  <c r="AD150" i="11"/>
  <c r="AD150" i="12" s="1"/>
  <c r="AE150" i="11"/>
  <c r="AE150" i="12" s="1"/>
  <c r="AF150" i="11"/>
  <c r="AF150" i="12" s="1"/>
  <c r="AG150" i="11"/>
  <c r="AG150" i="12" s="1"/>
  <c r="D151" i="11"/>
  <c r="D151" i="12" s="1"/>
  <c r="E151" i="11"/>
  <c r="E151" i="12" s="1"/>
  <c r="F151" i="11"/>
  <c r="F151" i="12" s="1"/>
  <c r="G151" i="11"/>
  <c r="G151" i="12" s="1"/>
  <c r="H151" i="11"/>
  <c r="H151" i="12" s="1"/>
  <c r="I151" i="11"/>
  <c r="I151" i="12" s="1"/>
  <c r="J151" i="11"/>
  <c r="J151" i="12" s="1"/>
  <c r="K151" i="11"/>
  <c r="K151" i="12" s="1"/>
  <c r="L151" i="11"/>
  <c r="L151" i="12" s="1"/>
  <c r="M151" i="11"/>
  <c r="M151" i="12" s="1"/>
  <c r="N151" i="11"/>
  <c r="N151" i="12" s="1"/>
  <c r="O151" i="11"/>
  <c r="O151" i="12" s="1"/>
  <c r="P151" i="11"/>
  <c r="P151" i="12" s="1"/>
  <c r="Q151" i="11"/>
  <c r="Q151" i="12" s="1"/>
  <c r="R151" i="11"/>
  <c r="R151" i="12" s="1"/>
  <c r="S151" i="11"/>
  <c r="S151" i="12" s="1"/>
  <c r="T151" i="11"/>
  <c r="T151" i="12" s="1"/>
  <c r="U151" i="11"/>
  <c r="U151" i="12" s="1"/>
  <c r="V151" i="11"/>
  <c r="V151" i="12" s="1"/>
  <c r="W151" i="11"/>
  <c r="W151" i="12" s="1"/>
  <c r="X151" i="11"/>
  <c r="X151" i="12" s="1"/>
  <c r="Y151" i="11"/>
  <c r="Y151" i="12" s="1"/>
  <c r="Z151" i="11"/>
  <c r="Z151" i="12" s="1"/>
  <c r="AA151" i="11"/>
  <c r="AA151" i="12" s="1"/>
  <c r="AB151" i="11"/>
  <c r="AB151" i="12" s="1"/>
  <c r="AC151" i="11"/>
  <c r="AC151" i="12" s="1"/>
  <c r="AD151" i="11"/>
  <c r="AD151" i="12" s="1"/>
  <c r="AE151" i="11"/>
  <c r="AE151" i="12" s="1"/>
  <c r="AF151" i="11"/>
  <c r="AF151" i="12" s="1"/>
  <c r="AG151" i="11"/>
  <c r="AG151" i="12" s="1"/>
  <c r="D152" i="11"/>
  <c r="D152" i="12" s="1"/>
  <c r="E152" i="11"/>
  <c r="E152" i="12" s="1"/>
  <c r="F152" i="11"/>
  <c r="F152" i="12" s="1"/>
  <c r="G152" i="11"/>
  <c r="G152" i="12" s="1"/>
  <c r="H152" i="11"/>
  <c r="H152" i="12" s="1"/>
  <c r="I152" i="11"/>
  <c r="I152" i="12" s="1"/>
  <c r="J152" i="11"/>
  <c r="J152" i="12" s="1"/>
  <c r="K152" i="11"/>
  <c r="K152" i="12" s="1"/>
  <c r="L152" i="11"/>
  <c r="L152" i="12" s="1"/>
  <c r="M152" i="11"/>
  <c r="M152" i="12" s="1"/>
  <c r="N152" i="11"/>
  <c r="N152" i="12" s="1"/>
  <c r="O152" i="11"/>
  <c r="O152" i="12" s="1"/>
  <c r="P152" i="11"/>
  <c r="P152" i="12" s="1"/>
  <c r="Q152" i="11"/>
  <c r="Q152" i="12" s="1"/>
  <c r="R152" i="11"/>
  <c r="R152" i="12" s="1"/>
  <c r="S152" i="11"/>
  <c r="S152" i="12" s="1"/>
  <c r="T152" i="11"/>
  <c r="T152" i="12" s="1"/>
  <c r="U152" i="11"/>
  <c r="U152" i="12" s="1"/>
  <c r="V152" i="11"/>
  <c r="V152" i="12" s="1"/>
  <c r="W152" i="11"/>
  <c r="W152" i="12" s="1"/>
  <c r="X152" i="11"/>
  <c r="X152" i="12" s="1"/>
  <c r="Y152" i="11"/>
  <c r="Y152" i="12" s="1"/>
  <c r="Z152" i="11"/>
  <c r="Z152" i="12" s="1"/>
  <c r="AA152" i="11"/>
  <c r="AA152" i="12" s="1"/>
  <c r="AB152" i="11"/>
  <c r="AB152" i="12" s="1"/>
  <c r="AC152" i="11"/>
  <c r="AC152" i="12" s="1"/>
  <c r="AD152" i="11"/>
  <c r="AD152" i="12" s="1"/>
  <c r="AE152" i="11"/>
  <c r="AE152" i="12" s="1"/>
  <c r="AF152" i="11"/>
  <c r="AF152" i="12" s="1"/>
  <c r="AG152" i="11"/>
  <c r="AG152" i="12" s="1"/>
  <c r="D153" i="11"/>
  <c r="D153" i="12" s="1"/>
  <c r="E153" i="11"/>
  <c r="E153" i="12" s="1"/>
  <c r="F153" i="11"/>
  <c r="F153" i="12" s="1"/>
  <c r="G153" i="11"/>
  <c r="G153" i="12" s="1"/>
  <c r="H153" i="11"/>
  <c r="H153" i="12" s="1"/>
  <c r="I153" i="11"/>
  <c r="I153" i="12" s="1"/>
  <c r="J153" i="11"/>
  <c r="J153" i="12" s="1"/>
  <c r="K153" i="11"/>
  <c r="K153" i="12" s="1"/>
  <c r="L153" i="11"/>
  <c r="L153" i="12" s="1"/>
  <c r="M153" i="11"/>
  <c r="M153" i="12" s="1"/>
  <c r="N153" i="11"/>
  <c r="N153" i="12" s="1"/>
  <c r="O153" i="11"/>
  <c r="O153" i="12" s="1"/>
  <c r="P153" i="11"/>
  <c r="P153" i="12" s="1"/>
  <c r="Q153" i="11"/>
  <c r="Q153" i="12" s="1"/>
  <c r="R153" i="11"/>
  <c r="R153" i="12" s="1"/>
  <c r="S153" i="11"/>
  <c r="S153" i="12" s="1"/>
  <c r="T153" i="11"/>
  <c r="T153" i="12" s="1"/>
  <c r="U153" i="11"/>
  <c r="U153" i="12" s="1"/>
  <c r="V153" i="11"/>
  <c r="V153" i="12" s="1"/>
  <c r="W153" i="11"/>
  <c r="W153" i="12" s="1"/>
  <c r="X153" i="11"/>
  <c r="X153" i="12" s="1"/>
  <c r="Y153" i="11"/>
  <c r="Y153" i="12" s="1"/>
  <c r="Z153" i="11"/>
  <c r="Z153" i="12" s="1"/>
  <c r="AA153" i="11"/>
  <c r="AA153" i="12" s="1"/>
  <c r="AB153" i="11"/>
  <c r="AB153" i="12" s="1"/>
  <c r="AC153" i="11"/>
  <c r="AC153" i="12" s="1"/>
  <c r="AD153" i="11"/>
  <c r="AD153" i="12" s="1"/>
  <c r="AE153" i="11"/>
  <c r="AE153" i="12" s="1"/>
  <c r="AF153" i="11"/>
  <c r="AF153" i="12" s="1"/>
  <c r="AG153" i="11"/>
  <c r="AG153" i="12" s="1"/>
  <c r="D154" i="11"/>
  <c r="D154" i="12" s="1"/>
  <c r="E154" i="11"/>
  <c r="E154" i="12" s="1"/>
  <c r="F154" i="11"/>
  <c r="F154" i="12" s="1"/>
  <c r="G154" i="11"/>
  <c r="G154" i="12" s="1"/>
  <c r="H154" i="11"/>
  <c r="H154" i="12" s="1"/>
  <c r="I154" i="11"/>
  <c r="I154" i="12" s="1"/>
  <c r="J154" i="11"/>
  <c r="J154" i="12" s="1"/>
  <c r="K154" i="11"/>
  <c r="K154" i="12" s="1"/>
  <c r="L154" i="11"/>
  <c r="L154" i="12" s="1"/>
  <c r="M154" i="11"/>
  <c r="M154" i="12" s="1"/>
  <c r="N154" i="11"/>
  <c r="N154" i="12" s="1"/>
  <c r="O154" i="11"/>
  <c r="O154" i="12" s="1"/>
  <c r="P154" i="11"/>
  <c r="P154" i="12" s="1"/>
  <c r="Q154" i="11"/>
  <c r="Q154" i="12" s="1"/>
  <c r="R154" i="11"/>
  <c r="R154" i="12" s="1"/>
  <c r="S154" i="11"/>
  <c r="S154" i="12" s="1"/>
  <c r="T154" i="11"/>
  <c r="T154" i="12" s="1"/>
  <c r="U154" i="11"/>
  <c r="U154" i="12" s="1"/>
  <c r="V154" i="11"/>
  <c r="V154" i="12" s="1"/>
  <c r="W154" i="11"/>
  <c r="W154" i="12" s="1"/>
  <c r="X154" i="11"/>
  <c r="X154" i="12" s="1"/>
  <c r="Y154" i="11"/>
  <c r="Y154" i="12" s="1"/>
  <c r="Z154" i="11"/>
  <c r="Z154" i="12" s="1"/>
  <c r="AA154" i="11"/>
  <c r="AA154" i="12" s="1"/>
  <c r="AB154" i="11"/>
  <c r="AB154" i="12" s="1"/>
  <c r="AC154" i="11"/>
  <c r="AC154" i="12" s="1"/>
  <c r="AD154" i="11"/>
  <c r="AD154" i="12" s="1"/>
  <c r="AE154" i="11"/>
  <c r="AE154" i="12" s="1"/>
  <c r="AF154" i="11"/>
  <c r="AF154" i="12" s="1"/>
  <c r="AG154" i="11"/>
  <c r="AG154" i="12" s="1"/>
  <c r="D155" i="11"/>
  <c r="D155" i="12" s="1"/>
  <c r="E155" i="11"/>
  <c r="E155" i="12" s="1"/>
  <c r="F155" i="11"/>
  <c r="F155" i="12" s="1"/>
  <c r="G155" i="11"/>
  <c r="G155" i="12" s="1"/>
  <c r="H155" i="11"/>
  <c r="H155" i="12" s="1"/>
  <c r="I155" i="11"/>
  <c r="I155" i="12" s="1"/>
  <c r="J155" i="11"/>
  <c r="J155" i="12" s="1"/>
  <c r="K155" i="11"/>
  <c r="K155" i="12" s="1"/>
  <c r="L155" i="11"/>
  <c r="L155" i="12" s="1"/>
  <c r="M155" i="11"/>
  <c r="M155" i="12" s="1"/>
  <c r="N155" i="11"/>
  <c r="N155" i="12" s="1"/>
  <c r="O155" i="11"/>
  <c r="O155" i="12" s="1"/>
  <c r="P155" i="11"/>
  <c r="P155" i="12" s="1"/>
  <c r="Q155" i="11"/>
  <c r="Q155" i="12" s="1"/>
  <c r="R155" i="11"/>
  <c r="R155" i="12" s="1"/>
  <c r="S155" i="11"/>
  <c r="S155" i="12" s="1"/>
  <c r="T155" i="11"/>
  <c r="T155" i="12" s="1"/>
  <c r="U155" i="11"/>
  <c r="U155" i="12" s="1"/>
  <c r="V155" i="11"/>
  <c r="V155" i="12" s="1"/>
  <c r="W155" i="11"/>
  <c r="W155" i="12" s="1"/>
  <c r="X155" i="11"/>
  <c r="X155" i="12" s="1"/>
  <c r="Y155" i="11"/>
  <c r="Y155" i="12" s="1"/>
  <c r="Z155" i="11"/>
  <c r="Z155" i="12" s="1"/>
  <c r="AA155" i="11"/>
  <c r="AA155" i="12" s="1"/>
  <c r="AB155" i="11"/>
  <c r="AB155" i="12" s="1"/>
  <c r="AC155" i="11"/>
  <c r="AC155" i="12" s="1"/>
  <c r="AD155" i="11"/>
  <c r="AD155" i="12" s="1"/>
  <c r="AE155" i="11"/>
  <c r="AE155" i="12" s="1"/>
  <c r="AF155" i="11"/>
  <c r="AF155" i="12" s="1"/>
  <c r="AG155" i="11"/>
  <c r="AG155" i="12" s="1"/>
  <c r="D156" i="11"/>
  <c r="D156" i="12" s="1"/>
  <c r="E156" i="11"/>
  <c r="E156" i="12" s="1"/>
  <c r="F156" i="11"/>
  <c r="F156" i="12" s="1"/>
  <c r="G156" i="11"/>
  <c r="G156" i="12" s="1"/>
  <c r="H156" i="11"/>
  <c r="H156" i="12" s="1"/>
  <c r="I156" i="11"/>
  <c r="I156" i="12" s="1"/>
  <c r="J156" i="11"/>
  <c r="J156" i="12" s="1"/>
  <c r="K156" i="11"/>
  <c r="K156" i="12" s="1"/>
  <c r="L156" i="11"/>
  <c r="L156" i="12" s="1"/>
  <c r="M156" i="11"/>
  <c r="M156" i="12" s="1"/>
  <c r="N156" i="11"/>
  <c r="N156" i="12" s="1"/>
  <c r="O156" i="11"/>
  <c r="O156" i="12" s="1"/>
  <c r="P156" i="11"/>
  <c r="P156" i="12" s="1"/>
  <c r="Q156" i="11"/>
  <c r="Q156" i="12" s="1"/>
  <c r="R156" i="11"/>
  <c r="R156" i="12" s="1"/>
  <c r="S156" i="11"/>
  <c r="S156" i="12" s="1"/>
  <c r="T156" i="11"/>
  <c r="T156" i="12" s="1"/>
  <c r="U156" i="11"/>
  <c r="U156" i="12" s="1"/>
  <c r="V156" i="11"/>
  <c r="V156" i="12" s="1"/>
  <c r="W156" i="11"/>
  <c r="W156" i="12" s="1"/>
  <c r="X156" i="11"/>
  <c r="X156" i="12" s="1"/>
  <c r="Y156" i="11"/>
  <c r="Y156" i="12" s="1"/>
  <c r="Z156" i="11"/>
  <c r="Z156" i="12" s="1"/>
  <c r="AA156" i="11"/>
  <c r="AA156" i="12" s="1"/>
  <c r="AB156" i="11"/>
  <c r="AB156" i="12" s="1"/>
  <c r="AC156" i="11"/>
  <c r="AC156" i="12" s="1"/>
  <c r="AD156" i="11"/>
  <c r="AD156" i="12" s="1"/>
  <c r="AE156" i="11"/>
  <c r="AE156" i="12" s="1"/>
  <c r="AF156" i="11"/>
  <c r="AF156" i="12" s="1"/>
  <c r="AG156" i="11"/>
  <c r="AG156" i="12" s="1"/>
  <c r="D157" i="11"/>
  <c r="D157" i="12" s="1"/>
  <c r="E157" i="11"/>
  <c r="E157" i="12" s="1"/>
  <c r="F157" i="11"/>
  <c r="F157" i="12" s="1"/>
  <c r="G157" i="11"/>
  <c r="G157" i="12" s="1"/>
  <c r="H157" i="11"/>
  <c r="H157" i="12" s="1"/>
  <c r="I157" i="11"/>
  <c r="I157" i="12" s="1"/>
  <c r="J157" i="11"/>
  <c r="J157" i="12" s="1"/>
  <c r="K157" i="11"/>
  <c r="K157" i="12" s="1"/>
  <c r="L157" i="11"/>
  <c r="L157" i="12" s="1"/>
  <c r="M157" i="11"/>
  <c r="M157" i="12" s="1"/>
  <c r="N157" i="11"/>
  <c r="N157" i="12" s="1"/>
  <c r="O157" i="11"/>
  <c r="O157" i="12" s="1"/>
  <c r="P157" i="11"/>
  <c r="P157" i="12" s="1"/>
  <c r="Q157" i="11"/>
  <c r="Q157" i="12" s="1"/>
  <c r="R157" i="11"/>
  <c r="R157" i="12" s="1"/>
  <c r="S157" i="11"/>
  <c r="S157" i="12" s="1"/>
  <c r="T157" i="11"/>
  <c r="T157" i="12" s="1"/>
  <c r="U157" i="11"/>
  <c r="U157" i="12" s="1"/>
  <c r="V157" i="11"/>
  <c r="V157" i="12" s="1"/>
  <c r="W157" i="11"/>
  <c r="W157" i="12" s="1"/>
  <c r="X157" i="11"/>
  <c r="X157" i="12" s="1"/>
  <c r="Y157" i="11"/>
  <c r="Y157" i="12" s="1"/>
  <c r="Z157" i="11"/>
  <c r="Z157" i="12" s="1"/>
  <c r="AA157" i="11"/>
  <c r="AA157" i="12" s="1"/>
  <c r="AB157" i="11"/>
  <c r="AB157" i="12" s="1"/>
  <c r="AC157" i="11"/>
  <c r="AC157" i="12" s="1"/>
  <c r="AD157" i="11"/>
  <c r="AD157" i="12" s="1"/>
  <c r="AE157" i="11"/>
  <c r="AE157" i="12" s="1"/>
  <c r="AF157" i="11"/>
  <c r="AF157" i="12" s="1"/>
  <c r="AG157" i="11"/>
  <c r="AG157" i="12" s="1"/>
  <c r="D158" i="11"/>
  <c r="D158" i="12" s="1"/>
  <c r="E158" i="11"/>
  <c r="E158" i="12" s="1"/>
  <c r="F158" i="11"/>
  <c r="F158" i="12" s="1"/>
  <c r="G158" i="11"/>
  <c r="G158" i="12" s="1"/>
  <c r="H158" i="11"/>
  <c r="H158" i="12" s="1"/>
  <c r="I158" i="11"/>
  <c r="I158" i="12" s="1"/>
  <c r="J158" i="11"/>
  <c r="J158" i="12" s="1"/>
  <c r="K158" i="11"/>
  <c r="K158" i="12" s="1"/>
  <c r="L158" i="11"/>
  <c r="L158" i="12" s="1"/>
  <c r="M158" i="11"/>
  <c r="M158" i="12" s="1"/>
  <c r="N158" i="11"/>
  <c r="N158" i="12" s="1"/>
  <c r="O158" i="11"/>
  <c r="O158" i="12" s="1"/>
  <c r="P158" i="11"/>
  <c r="P158" i="12" s="1"/>
  <c r="Q158" i="11"/>
  <c r="Q158" i="12" s="1"/>
  <c r="R158" i="11"/>
  <c r="R158" i="12" s="1"/>
  <c r="S158" i="11"/>
  <c r="S158" i="12" s="1"/>
  <c r="T158" i="11"/>
  <c r="T158" i="12" s="1"/>
  <c r="U158" i="11"/>
  <c r="U158" i="12" s="1"/>
  <c r="V158" i="11"/>
  <c r="V158" i="12" s="1"/>
  <c r="W158" i="11"/>
  <c r="W158" i="12" s="1"/>
  <c r="X158" i="11"/>
  <c r="X158" i="12" s="1"/>
  <c r="Y158" i="11"/>
  <c r="Y158" i="12" s="1"/>
  <c r="Z158" i="11"/>
  <c r="Z158" i="12" s="1"/>
  <c r="AA158" i="11"/>
  <c r="AA158" i="12" s="1"/>
  <c r="AB158" i="11"/>
  <c r="AB158" i="12" s="1"/>
  <c r="AC158" i="11"/>
  <c r="AC158" i="12" s="1"/>
  <c r="AD158" i="11"/>
  <c r="AD158" i="12" s="1"/>
  <c r="AE158" i="11"/>
  <c r="AE158" i="12" s="1"/>
  <c r="AF158" i="11"/>
  <c r="AF158" i="12" s="1"/>
  <c r="AG158" i="11"/>
  <c r="AG158" i="12" s="1"/>
  <c r="D159" i="11"/>
  <c r="D159" i="12" s="1"/>
  <c r="E159" i="11"/>
  <c r="E159" i="12" s="1"/>
  <c r="F159" i="11"/>
  <c r="F159" i="12" s="1"/>
  <c r="G159" i="11"/>
  <c r="G159" i="12" s="1"/>
  <c r="H159" i="11"/>
  <c r="H159" i="12" s="1"/>
  <c r="I159" i="11"/>
  <c r="I159" i="12" s="1"/>
  <c r="J159" i="11"/>
  <c r="J159" i="12" s="1"/>
  <c r="K159" i="11"/>
  <c r="K159" i="12" s="1"/>
  <c r="L159" i="11"/>
  <c r="L159" i="12" s="1"/>
  <c r="M159" i="11"/>
  <c r="M159" i="12" s="1"/>
  <c r="N159" i="11"/>
  <c r="N159" i="12" s="1"/>
  <c r="O159" i="11"/>
  <c r="O159" i="12" s="1"/>
  <c r="P159" i="11"/>
  <c r="P159" i="12" s="1"/>
  <c r="Q159" i="11"/>
  <c r="Q159" i="12" s="1"/>
  <c r="R159" i="11"/>
  <c r="R159" i="12" s="1"/>
  <c r="S159" i="11"/>
  <c r="S159" i="12" s="1"/>
  <c r="T159" i="11"/>
  <c r="T159" i="12" s="1"/>
  <c r="U159" i="11"/>
  <c r="U159" i="12" s="1"/>
  <c r="V159" i="11"/>
  <c r="V159" i="12" s="1"/>
  <c r="W159" i="11"/>
  <c r="W159" i="12" s="1"/>
  <c r="X159" i="11"/>
  <c r="X159" i="12" s="1"/>
  <c r="Y159" i="11"/>
  <c r="Y159" i="12" s="1"/>
  <c r="Z159" i="11"/>
  <c r="Z159" i="12" s="1"/>
  <c r="AA159" i="11"/>
  <c r="AA159" i="12" s="1"/>
  <c r="AB159" i="11"/>
  <c r="AB159" i="12" s="1"/>
  <c r="AC159" i="11"/>
  <c r="AC159" i="12" s="1"/>
  <c r="AD159" i="11"/>
  <c r="AD159" i="12" s="1"/>
  <c r="AE159" i="11"/>
  <c r="AE159" i="12" s="1"/>
  <c r="AF159" i="11"/>
  <c r="AF159" i="12" s="1"/>
  <c r="AG159" i="11"/>
  <c r="AG159" i="12" s="1"/>
  <c r="D160" i="11"/>
  <c r="D160" i="12" s="1"/>
  <c r="E160" i="11"/>
  <c r="E160" i="12" s="1"/>
  <c r="F160" i="11"/>
  <c r="F160" i="12" s="1"/>
  <c r="G160" i="11"/>
  <c r="G160" i="12" s="1"/>
  <c r="H160" i="11"/>
  <c r="H160" i="12" s="1"/>
  <c r="I160" i="11"/>
  <c r="I160" i="12" s="1"/>
  <c r="J160" i="11"/>
  <c r="J160" i="12" s="1"/>
  <c r="K160" i="11"/>
  <c r="K160" i="12" s="1"/>
  <c r="L160" i="11"/>
  <c r="L160" i="12" s="1"/>
  <c r="M160" i="11"/>
  <c r="M160" i="12" s="1"/>
  <c r="N160" i="11"/>
  <c r="N160" i="12" s="1"/>
  <c r="O160" i="11"/>
  <c r="O160" i="12" s="1"/>
  <c r="P160" i="11"/>
  <c r="P160" i="12" s="1"/>
  <c r="Q160" i="11"/>
  <c r="Q160" i="12" s="1"/>
  <c r="R160" i="11"/>
  <c r="R160" i="12" s="1"/>
  <c r="S160" i="11"/>
  <c r="S160" i="12" s="1"/>
  <c r="T160" i="11"/>
  <c r="T160" i="12" s="1"/>
  <c r="U160" i="11"/>
  <c r="U160" i="12" s="1"/>
  <c r="V160" i="11"/>
  <c r="V160" i="12" s="1"/>
  <c r="W160" i="11"/>
  <c r="W160" i="12" s="1"/>
  <c r="X160" i="11"/>
  <c r="X160" i="12" s="1"/>
  <c r="Y160" i="11"/>
  <c r="Y160" i="12" s="1"/>
  <c r="Z160" i="11"/>
  <c r="Z160" i="12" s="1"/>
  <c r="AA160" i="11"/>
  <c r="AA160" i="12" s="1"/>
  <c r="AB160" i="11"/>
  <c r="AB160" i="12" s="1"/>
  <c r="AC160" i="11"/>
  <c r="AC160" i="12" s="1"/>
  <c r="AD160" i="11"/>
  <c r="AD160" i="12" s="1"/>
  <c r="AE160" i="11"/>
  <c r="AE160" i="12" s="1"/>
  <c r="AF160" i="11"/>
  <c r="AF160" i="12" s="1"/>
  <c r="AG160" i="11"/>
  <c r="AG160" i="12" s="1"/>
  <c r="D161" i="11"/>
  <c r="D161" i="12" s="1"/>
  <c r="E161" i="11"/>
  <c r="E161" i="12" s="1"/>
  <c r="F161" i="11"/>
  <c r="F161" i="12" s="1"/>
  <c r="G161" i="11"/>
  <c r="G161" i="12" s="1"/>
  <c r="H161" i="11"/>
  <c r="H161" i="12" s="1"/>
  <c r="I161" i="11"/>
  <c r="I161" i="12" s="1"/>
  <c r="J161" i="11"/>
  <c r="J161" i="12" s="1"/>
  <c r="K161" i="11"/>
  <c r="K161" i="12" s="1"/>
  <c r="L161" i="11"/>
  <c r="L161" i="12" s="1"/>
  <c r="M161" i="11"/>
  <c r="M161" i="12" s="1"/>
  <c r="N161" i="11"/>
  <c r="N161" i="12" s="1"/>
  <c r="O161" i="11"/>
  <c r="O161" i="12" s="1"/>
  <c r="P161" i="11"/>
  <c r="P161" i="12" s="1"/>
  <c r="Q161" i="11"/>
  <c r="Q161" i="12" s="1"/>
  <c r="R161" i="11"/>
  <c r="R161" i="12" s="1"/>
  <c r="S161" i="11"/>
  <c r="S161" i="12" s="1"/>
  <c r="T161" i="11"/>
  <c r="T161" i="12" s="1"/>
  <c r="U161" i="11"/>
  <c r="U161" i="12" s="1"/>
  <c r="V161" i="11"/>
  <c r="V161" i="12" s="1"/>
  <c r="W161" i="11"/>
  <c r="W161" i="12" s="1"/>
  <c r="X161" i="11"/>
  <c r="X161" i="12" s="1"/>
  <c r="Y161" i="11"/>
  <c r="Y161" i="12" s="1"/>
  <c r="Z161" i="11"/>
  <c r="Z161" i="12" s="1"/>
  <c r="AA161" i="11"/>
  <c r="AA161" i="12" s="1"/>
  <c r="AB161" i="11"/>
  <c r="AB161" i="12" s="1"/>
  <c r="AC161" i="11"/>
  <c r="AC161" i="12" s="1"/>
  <c r="AD161" i="11"/>
  <c r="AD161" i="12" s="1"/>
  <c r="AE161" i="11"/>
  <c r="AE161" i="12" s="1"/>
  <c r="AF161" i="11"/>
  <c r="AF161" i="12" s="1"/>
  <c r="AG161" i="11"/>
  <c r="AG161" i="12" s="1"/>
  <c r="D162" i="11"/>
  <c r="D162" i="12" s="1"/>
  <c r="E162" i="11"/>
  <c r="E162" i="12" s="1"/>
  <c r="F162" i="11"/>
  <c r="F162" i="12" s="1"/>
  <c r="G162" i="11"/>
  <c r="G162" i="12" s="1"/>
  <c r="H162" i="11"/>
  <c r="H162" i="12" s="1"/>
  <c r="I162" i="11"/>
  <c r="I162" i="12" s="1"/>
  <c r="J162" i="11"/>
  <c r="J162" i="12" s="1"/>
  <c r="K162" i="11"/>
  <c r="K162" i="12" s="1"/>
  <c r="L162" i="11"/>
  <c r="L162" i="12" s="1"/>
  <c r="M162" i="11"/>
  <c r="M162" i="12" s="1"/>
  <c r="N162" i="11"/>
  <c r="N162" i="12" s="1"/>
  <c r="O162" i="11"/>
  <c r="O162" i="12" s="1"/>
  <c r="P162" i="11"/>
  <c r="P162" i="12" s="1"/>
  <c r="Q162" i="11"/>
  <c r="Q162" i="12" s="1"/>
  <c r="R162" i="11"/>
  <c r="R162" i="12" s="1"/>
  <c r="S162" i="11"/>
  <c r="S162" i="12" s="1"/>
  <c r="T162" i="11"/>
  <c r="T162" i="12" s="1"/>
  <c r="U162" i="11"/>
  <c r="U162" i="12" s="1"/>
  <c r="V162" i="11"/>
  <c r="V162" i="12" s="1"/>
  <c r="W162" i="11"/>
  <c r="W162" i="12" s="1"/>
  <c r="X162" i="11"/>
  <c r="X162" i="12" s="1"/>
  <c r="Y162" i="11"/>
  <c r="Y162" i="12" s="1"/>
  <c r="Z162" i="11"/>
  <c r="Z162" i="12" s="1"/>
  <c r="AA162" i="11"/>
  <c r="AA162" i="12" s="1"/>
  <c r="AB162" i="11"/>
  <c r="AB162" i="12" s="1"/>
  <c r="AC162" i="11"/>
  <c r="AC162" i="12" s="1"/>
  <c r="AD162" i="11"/>
  <c r="AD162" i="12" s="1"/>
  <c r="AE162" i="11"/>
  <c r="AE162" i="12" s="1"/>
  <c r="AF162" i="11"/>
  <c r="AF162" i="12" s="1"/>
  <c r="AG162" i="11"/>
  <c r="AG162" i="12" s="1"/>
  <c r="D163" i="11"/>
  <c r="D163" i="12" s="1"/>
  <c r="E163" i="11"/>
  <c r="E163" i="12" s="1"/>
  <c r="F163" i="11"/>
  <c r="F163" i="12" s="1"/>
  <c r="G163" i="11"/>
  <c r="G163" i="12" s="1"/>
  <c r="H163" i="11"/>
  <c r="H163" i="12" s="1"/>
  <c r="I163" i="11"/>
  <c r="I163" i="12" s="1"/>
  <c r="J163" i="11"/>
  <c r="J163" i="12" s="1"/>
  <c r="K163" i="11"/>
  <c r="K163" i="12" s="1"/>
  <c r="L163" i="11"/>
  <c r="L163" i="12" s="1"/>
  <c r="M163" i="11"/>
  <c r="M163" i="12" s="1"/>
  <c r="N163" i="11"/>
  <c r="N163" i="12" s="1"/>
  <c r="O163" i="11"/>
  <c r="O163" i="12" s="1"/>
  <c r="P163" i="11"/>
  <c r="P163" i="12" s="1"/>
  <c r="Q163" i="11"/>
  <c r="Q163" i="12" s="1"/>
  <c r="R163" i="11"/>
  <c r="R163" i="12" s="1"/>
  <c r="S163" i="11"/>
  <c r="S163" i="12" s="1"/>
  <c r="T163" i="11"/>
  <c r="T163" i="12" s="1"/>
  <c r="U163" i="11"/>
  <c r="U163" i="12" s="1"/>
  <c r="V163" i="11"/>
  <c r="V163" i="12" s="1"/>
  <c r="W163" i="11"/>
  <c r="W163" i="12" s="1"/>
  <c r="X163" i="11"/>
  <c r="X163" i="12" s="1"/>
  <c r="Y163" i="11"/>
  <c r="Y163" i="12" s="1"/>
  <c r="Z163" i="11"/>
  <c r="Z163" i="12" s="1"/>
  <c r="AA163" i="11"/>
  <c r="AA163" i="12" s="1"/>
  <c r="AB163" i="11"/>
  <c r="AB163" i="12" s="1"/>
  <c r="AC163" i="11"/>
  <c r="AC163" i="12" s="1"/>
  <c r="AD163" i="11"/>
  <c r="AD163" i="12" s="1"/>
  <c r="AE163" i="11"/>
  <c r="AE163" i="12" s="1"/>
  <c r="AF163" i="11"/>
  <c r="AF163" i="12" s="1"/>
  <c r="AG163" i="11"/>
  <c r="AG163" i="12" s="1"/>
  <c r="D164" i="11"/>
  <c r="D164" i="12" s="1"/>
  <c r="E164" i="11"/>
  <c r="E164" i="12" s="1"/>
  <c r="F164" i="11"/>
  <c r="F164" i="12" s="1"/>
  <c r="G164" i="11"/>
  <c r="G164" i="12" s="1"/>
  <c r="H164" i="11"/>
  <c r="H164" i="12" s="1"/>
  <c r="I164" i="11"/>
  <c r="I164" i="12" s="1"/>
  <c r="J164" i="11"/>
  <c r="J164" i="12" s="1"/>
  <c r="K164" i="11"/>
  <c r="K164" i="12" s="1"/>
  <c r="L164" i="11"/>
  <c r="L164" i="12" s="1"/>
  <c r="M164" i="11"/>
  <c r="M164" i="12" s="1"/>
  <c r="N164" i="11"/>
  <c r="N164" i="12" s="1"/>
  <c r="O164" i="11"/>
  <c r="O164" i="12" s="1"/>
  <c r="P164" i="11"/>
  <c r="P164" i="12" s="1"/>
  <c r="Q164" i="11"/>
  <c r="Q164" i="12" s="1"/>
  <c r="R164" i="11"/>
  <c r="R164" i="12" s="1"/>
  <c r="S164" i="11"/>
  <c r="S164" i="12" s="1"/>
  <c r="T164" i="11"/>
  <c r="T164" i="12" s="1"/>
  <c r="U164" i="11"/>
  <c r="U164" i="12" s="1"/>
  <c r="V164" i="11"/>
  <c r="V164" i="12" s="1"/>
  <c r="W164" i="11"/>
  <c r="W164" i="12" s="1"/>
  <c r="X164" i="11"/>
  <c r="X164" i="12" s="1"/>
  <c r="Y164" i="11"/>
  <c r="Y164" i="12" s="1"/>
  <c r="Z164" i="11"/>
  <c r="Z164" i="12" s="1"/>
  <c r="AA164" i="11"/>
  <c r="AA164" i="12" s="1"/>
  <c r="AB164" i="11"/>
  <c r="AB164" i="12" s="1"/>
  <c r="AC164" i="11"/>
  <c r="AC164" i="12" s="1"/>
  <c r="AD164" i="11"/>
  <c r="AD164" i="12" s="1"/>
  <c r="AE164" i="11"/>
  <c r="AE164" i="12" s="1"/>
  <c r="AF164" i="11"/>
  <c r="AF164" i="12" s="1"/>
  <c r="AG164" i="11"/>
  <c r="AG164" i="12" s="1"/>
  <c r="D165" i="11"/>
  <c r="D165" i="12" s="1"/>
  <c r="E165" i="11"/>
  <c r="E165" i="12" s="1"/>
  <c r="F165" i="11"/>
  <c r="F165" i="12" s="1"/>
  <c r="G165" i="11"/>
  <c r="G165" i="12" s="1"/>
  <c r="H165" i="11"/>
  <c r="H165" i="12" s="1"/>
  <c r="I165" i="11"/>
  <c r="I165" i="12" s="1"/>
  <c r="J165" i="11"/>
  <c r="J165" i="12" s="1"/>
  <c r="K165" i="11"/>
  <c r="K165" i="12" s="1"/>
  <c r="L165" i="11"/>
  <c r="L165" i="12" s="1"/>
  <c r="M165" i="11"/>
  <c r="M165" i="12" s="1"/>
  <c r="N165" i="11"/>
  <c r="N165" i="12" s="1"/>
  <c r="O165" i="11"/>
  <c r="O165" i="12" s="1"/>
  <c r="P165" i="11"/>
  <c r="P165" i="12" s="1"/>
  <c r="Q165" i="11"/>
  <c r="Q165" i="12" s="1"/>
  <c r="R165" i="11"/>
  <c r="R165" i="12" s="1"/>
  <c r="S165" i="11"/>
  <c r="S165" i="12" s="1"/>
  <c r="T165" i="11"/>
  <c r="T165" i="12" s="1"/>
  <c r="U165" i="11"/>
  <c r="U165" i="12" s="1"/>
  <c r="V165" i="11"/>
  <c r="V165" i="12" s="1"/>
  <c r="W165" i="11"/>
  <c r="W165" i="12" s="1"/>
  <c r="X165" i="11"/>
  <c r="X165" i="12" s="1"/>
  <c r="Y165" i="11"/>
  <c r="Y165" i="12" s="1"/>
  <c r="Z165" i="11"/>
  <c r="Z165" i="12" s="1"/>
  <c r="AA165" i="11"/>
  <c r="AA165" i="12" s="1"/>
  <c r="AB165" i="11"/>
  <c r="AB165" i="12" s="1"/>
  <c r="AC165" i="11"/>
  <c r="AC165" i="12" s="1"/>
  <c r="AD165" i="11"/>
  <c r="AD165" i="12" s="1"/>
  <c r="AE165" i="11"/>
  <c r="AE165" i="12" s="1"/>
  <c r="AF165" i="11"/>
  <c r="AF165" i="12" s="1"/>
  <c r="AG165" i="11"/>
  <c r="AG165" i="12" s="1"/>
  <c r="D166" i="11"/>
  <c r="D166" i="12" s="1"/>
  <c r="E166" i="11"/>
  <c r="E166" i="12" s="1"/>
  <c r="F166" i="11"/>
  <c r="F166" i="12" s="1"/>
  <c r="G166" i="11"/>
  <c r="G166" i="12" s="1"/>
  <c r="H166" i="11"/>
  <c r="H166" i="12" s="1"/>
  <c r="I166" i="11"/>
  <c r="I166" i="12" s="1"/>
  <c r="J166" i="11"/>
  <c r="J166" i="12" s="1"/>
  <c r="K166" i="11"/>
  <c r="K166" i="12" s="1"/>
  <c r="L166" i="11"/>
  <c r="L166" i="12" s="1"/>
  <c r="M166" i="11"/>
  <c r="M166" i="12" s="1"/>
  <c r="N166" i="11"/>
  <c r="N166" i="12" s="1"/>
  <c r="O166" i="11"/>
  <c r="O166" i="12" s="1"/>
  <c r="P166" i="11"/>
  <c r="P166" i="12" s="1"/>
  <c r="Q166" i="11"/>
  <c r="Q166" i="12" s="1"/>
  <c r="R166" i="11"/>
  <c r="R166" i="12" s="1"/>
  <c r="S166" i="11"/>
  <c r="S166" i="12" s="1"/>
  <c r="T166" i="11"/>
  <c r="T166" i="12" s="1"/>
  <c r="U166" i="11"/>
  <c r="U166" i="12" s="1"/>
  <c r="V166" i="11"/>
  <c r="V166" i="12" s="1"/>
  <c r="W166" i="11"/>
  <c r="W166" i="12" s="1"/>
  <c r="X166" i="11"/>
  <c r="X166" i="12" s="1"/>
  <c r="Y166" i="11"/>
  <c r="Y166" i="12" s="1"/>
  <c r="Z166" i="11"/>
  <c r="Z166" i="12" s="1"/>
  <c r="AA166" i="11"/>
  <c r="AA166" i="12" s="1"/>
  <c r="AB166" i="11"/>
  <c r="AB166" i="12" s="1"/>
  <c r="AC166" i="11"/>
  <c r="AC166" i="12" s="1"/>
  <c r="AD166" i="11"/>
  <c r="AD166" i="12" s="1"/>
  <c r="AE166" i="11"/>
  <c r="AE166" i="12" s="1"/>
  <c r="AF166" i="11"/>
  <c r="AF166" i="12" s="1"/>
  <c r="AG166" i="11"/>
  <c r="AG166" i="12" s="1"/>
  <c r="D167" i="11"/>
  <c r="D167" i="12" s="1"/>
  <c r="E167" i="11"/>
  <c r="E167" i="12" s="1"/>
  <c r="F167" i="11"/>
  <c r="F167" i="12" s="1"/>
  <c r="G167" i="11"/>
  <c r="G167" i="12" s="1"/>
  <c r="H167" i="11"/>
  <c r="H167" i="12" s="1"/>
  <c r="I167" i="11"/>
  <c r="I167" i="12" s="1"/>
  <c r="J167" i="11"/>
  <c r="J167" i="12" s="1"/>
  <c r="K167" i="11"/>
  <c r="K167" i="12" s="1"/>
  <c r="L167" i="11"/>
  <c r="L167" i="12" s="1"/>
  <c r="M167" i="11"/>
  <c r="M167" i="12" s="1"/>
  <c r="N167" i="11"/>
  <c r="N167" i="12" s="1"/>
  <c r="O167" i="11"/>
  <c r="O167" i="12" s="1"/>
  <c r="P167" i="11"/>
  <c r="P167" i="12" s="1"/>
  <c r="Q167" i="11"/>
  <c r="Q167" i="12" s="1"/>
  <c r="R167" i="11"/>
  <c r="R167" i="12" s="1"/>
  <c r="S167" i="11"/>
  <c r="S167" i="12" s="1"/>
  <c r="T167" i="11"/>
  <c r="T167" i="12" s="1"/>
  <c r="U167" i="11"/>
  <c r="U167" i="12" s="1"/>
  <c r="V167" i="11"/>
  <c r="V167" i="12" s="1"/>
  <c r="W167" i="11"/>
  <c r="W167" i="12" s="1"/>
  <c r="X167" i="11"/>
  <c r="X167" i="12" s="1"/>
  <c r="Y167" i="11"/>
  <c r="Y167" i="12" s="1"/>
  <c r="Z167" i="11"/>
  <c r="Z167" i="12" s="1"/>
  <c r="AA167" i="11"/>
  <c r="AA167" i="12" s="1"/>
  <c r="AB167" i="11"/>
  <c r="AB167" i="12" s="1"/>
  <c r="AC167" i="11"/>
  <c r="AC167" i="12" s="1"/>
  <c r="AD167" i="11"/>
  <c r="AD167" i="12" s="1"/>
  <c r="AE167" i="11"/>
  <c r="AE167" i="12" s="1"/>
  <c r="AF167" i="11"/>
  <c r="AF167" i="12" s="1"/>
  <c r="AG167" i="11"/>
  <c r="AG167" i="12" s="1"/>
  <c r="D168" i="11"/>
  <c r="D168" i="12" s="1"/>
  <c r="E168" i="11"/>
  <c r="E168" i="12" s="1"/>
  <c r="F168" i="11"/>
  <c r="F168" i="12" s="1"/>
  <c r="G168" i="11"/>
  <c r="G168" i="12" s="1"/>
  <c r="H168" i="11"/>
  <c r="H168" i="12" s="1"/>
  <c r="I168" i="11"/>
  <c r="I168" i="12" s="1"/>
  <c r="J168" i="11"/>
  <c r="J168" i="12" s="1"/>
  <c r="K168" i="11"/>
  <c r="K168" i="12" s="1"/>
  <c r="L168" i="11"/>
  <c r="L168" i="12" s="1"/>
  <c r="M168" i="11"/>
  <c r="M168" i="12" s="1"/>
  <c r="N168" i="11"/>
  <c r="N168" i="12" s="1"/>
  <c r="O168" i="11"/>
  <c r="O168" i="12" s="1"/>
  <c r="P168" i="11"/>
  <c r="P168" i="12" s="1"/>
  <c r="Q168" i="11"/>
  <c r="Q168" i="12" s="1"/>
  <c r="R168" i="11"/>
  <c r="R168" i="12" s="1"/>
  <c r="S168" i="11"/>
  <c r="S168" i="12" s="1"/>
  <c r="T168" i="11"/>
  <c r="T168" i="12" s="1"/>
  <c r="U168" i="11"/>
  <c r="U168" i="12" s="1"/>
  <c r="V168" i="11"/>
  <c r="V168" i="12" s="1"/>
  <c r="W168" i="11"/>
  <c r="W168" i="12" s="1"/>
  <c r="X168" i="11"/>
  <c r="X168" i="12" s="1"/>
  <c r="Y168" i="11"/>
  <c r="Y168" i="12" s="1"/>
  <c r="Z168" i="11"/>
  <c r="Z168" i="12" s="1"/>
  <c r="AA168" i="11"/>
  <c r="AA168" i="12" s="1"/>
  <c r="AB168" i="11"/>
  <c r="AB168" i="12" s="1"/>
  <c r="AC168" i="11"/>
  <c r="AC168" i="12" s="1"/>
  <c r="AD168" i="11"/>
  <c r="AD168" i="12" s="1"/>
  <c r="AE168" i="11"/>
  <c r="AE168" i="12" s="1"/>
  <c r="AF168" i="11"/>
  <c r="AF168" i="12" s="1"/>
  <c r="AG168" i="11"/>
  <c r="AG168" i="12" s="1"/>
  <c r="D169" i="11"/>
  <c r="D169" i="12" s="1"/>
  <c r="E169" i="11"/>
  <c r="E169" i="12" s="1"/>
  <c r="F169" i="11"/>
  <c r="F169" i="12" s="1"/>
  <c r="G169" i="11"/>
  <c r="G169" i="12" s="1"/>
  <c r="H169" i="11"/>
  <c r="H169" i="12" s="1"/>
  <c r="I169" i="11"/>
  <c r="I169" i="12" s="1"/>
  <c r="J169" i="11"/>
  <c r="J169" i="12" s="1"/>
  <c r="K169" i="11"/>
  <c r="K169" i="12" s="1"/>
  <c r="L169" i="11"/>
  <c r="L169" i="12" s="1"/>
  <c r="M169" i="11"/>
  <c r="M169" i="12" s="1"/>
  <c r="N169" i="11"/>
  <c r="N169" i="12" s="1"/>
  <c r="O169" i="11"/>
  <c r="O169" i="12" s="1"/>
  <c r="P169" i="11"/>
  <c r="P169" i="12" s="1"/>
  <c r="Q169" i="11"/>
  <c r="Q169" i="12" s="1"/>
  <c r="R169" i="11"/>
  <c r="R169" i="12" s="1"/>
  <c r="S169" i="11"/>
  <c r="S169" i="12" s="1"/>
  <c r="T169" i="11"/>
  <c r="T169" i="12" s="1"/>
  <c r="U169" i="11"/>
  <c r="U169" i="12" s="1"/>
  <c r="V169" i="11"/>
  <c r="V169" i="12" s="1"/>
  <c r="W169" i="11"/>
  <c r="W169" i="12" s="1"/>
  <c r="X169" i="11"/>
  <c r="X169" i="12" s="1"/>
  <c r="Y169" i="11"/>
  <c r="Y169" i="12" s="1"/>
  <c r="Z169" i="11"/>
  <c r="Z169" i="12" s="1"/>
  <c r="AA169" i="11"/>
  <c r="AA169" i="12" s="1"/>
  <c r="AB169" i="11"/>
  <c r="AB169" i="12" s="1"/>
  <c r="AC169" i="11"/>
  <c r="AC169" i="12" s="1"/>
  <c r="AD169" i="11"/>
  <c r="AD169" i="12" s="1"/>
  <c r="AE169" i="11"/>
  <c r="AE169" i="12" s="1"/>
  <c r="AF169" i="11"/>
  <c r="AF169" i="12" s="1"/>
  <c r="AG169" i="11"/>
  <c r="AG169" i="12" s="1"/>
  <c r="E2" i="11"/>
  <c r="E2" i="12" s="1"/>
  <c r="F2" i="11"/>
  <c r="F2" i="12" s="1"/>
  <c r="G2" i="11"/>
  <c r="G2" i="12" s="1"/>
  <c r="H2" i="11"/>
  <c r="H2" i="12" s="1"/>
  <c r="I2" i="11"/>
  <c r="I2" i="12" s="1"/>
  <c r="J2" i="11"/>
  <c r="J2" i="12" s="1"/>
  <c r="K2" i="11"/>
  <c r="K2" i="12" s="1"/>
  <c r="L2" i="11"/>
  <c r="L2" i="12" s="1"/>
  <c r="M2" i="11"/>
  <c r="M2" i="12" s="1"/>
  <c r="N2" i="11"/>
  <c r="N2" i="12" s="1"/>
  <c r="O2" i="11"/>
  <c r="O2" i="12" s="1"/>
  <c r="P2" i="11"/>
  <c r="P2" i="12" s="1"/>
  <c r="Q2" i="11"/>
  <c r="Q2" i="12" s="1"/>
  <c r="R2" i="11"/>
  <c r="R2" i="12" s="1"/>
  <c r="S2" i="11"/>
  <c r="S2" i="12" s="1"/>
  <c r="T2" i="11"/>
  <c r="T2" i="12" s="1"/>
  <c r="U2" i="11"/>
  <c r="U2" i="12" s="1"/>
  <c r="V2" i="11"/>
  <c r="V2" i="12" s="1"/>
  <c r="W2" i="11"/>
  <c r="W2" i="12" s="1"/>
  <c r="X2" i="11"/>
  <c r="X2" i="12" s="1"/>
  <c r="Y2" i="11"/>
  <c r="Y2" i="12" s="1"/>
  <c r="Z2" i="11"/>
  <c r="Z2" i="12" s="1"/>
  <c r="AA2" i="11"/>
  <c r="AA2" i="12" s="1"/>
  <c r="AB2" i="11"/>
  <c r="AB2" i="12" s="1"/>
  <c r="AC2" i="11"/>
  <c r="AC2" i="12" s="1"/>
  <c r="AD2" i="11"/>
  <c r="AD2" i="12" s="1"/>
  <c r="AE2" i="11"/>
  <c r="AE2" i="12" s="1"/>
  <c r="AF2" i="11"/>
  <c r="AF2" i="12" s="1"/>
  <c r="AG2" i="11"/>
  <c r="AG2" i="12" s="1"/>
  <c r="D2" i="11"/>
  <c r="D2" i="12" s="1"/>
  <c r="AH2" i="11"/>
  <c r="AH2" i="12" s="1"/>
  <c r="AI2" i="11"/>
  <c r="AI2" i="12" s="1"/>
  <c r="AJ2" i="11"/>
  <c r="AJ2" i="12" s="1"/>
  <c r="AK2" i="11"/>
  <c r="AK2" i="12" s="1"/>
  <c r="AL2" i="11"/>
  <c r="AL2" i="12" s="1"/>
  <c r="AM2" i="11"/>
  <c r="AM2" i="12" s="1"/>
  <c r="AN2" i="11"/>
  <c r="AN2" i="12" s="1"/>
  <c r="AO2" i="11"/>
  <c r="AO2" i="12" s="1"/>
  <c r="AP2" i="11"/>
  <c r="AP2" i="12" s="1"/>
  <c r="AQ2" i="11"/>
  <c r="AQ2" i="12" s="1"/>
  <c r="AR2" i="11"/>
  <c r="AR2" i="12" s="1"/>
  <c r="AS2" i="11"/>
  <c r="AS2" i="12" s="1"/>
  <c r="AT2" i="11"/>
  <c r="AT2" i="12" s="1"/>
  <c r="AU2" i="11"/>
  <c r="AU2" i="12" s="1"/>
  <c r="AV2" i="11"/>
  <c r="AV2" i="12" s="1"/>
  <c r="AW2" i="11"/>
  <c r="AW2" i="12" s="1"/>
  <c r="AX2" i="11"/>
  <c r="AX2" i="12" s="1"/>
  <c r="AY2" i="11"/>
  <c r="AY2" i="12" s="1"/>
  <c r="AZ2" i="11"/>
  <c r="AZ2" i="12" s="1"/>
  <c r="BA2" i="11"/>
  <c r="BA2" i="12" s="1"/>
  <c r="AH3" i="11"/>
  <c r="AH3" i="12" s="1"/>
  <c r="AI3" i="11"/>
  <c r="AI3" i="12" s="1"/>
  <c r="AJ3" i="11"/>
  <c r="AJ3" i="12" s="1"/>
  <c r="AK3" i="11"/>
  <c r="AK3" i="12" s="1"/>
  <c r="AL3" i="11"/>
  <c r="AL3" i="12" s="1"/>
  <c r="AM3" i="11"/>
  <c r="AM3" i="12" s="1"/>
  <c r="AN3" i="11"/>
  <c r="AN3" i="12" s="1"/>
  <c r="AO3" i="11"/>
  <c r="AO3" i="12" s="1"/>
  <c r="AP3" i="11"/>
  <c r="AP3" i="12" s="1"/>
  <c r="AQ3" i="11"/>
  <c r="AQ3" i="12" s="1"/>
  <c r="AR3" i="11"/>
  <c r="AR3" i="12" s="1"/>
  <c r="AS3" i="11"/>
  <c r="AS3" i="12" s="1"/>
  <c r="AT3" i="11"/>
  <c r="AT3" i="12" s="1"/>
  <c r="AU3" i="11"/>
  <c r="AU3" i="12" s="1"/>
  <c r="AV3" i="11"/>
  <c r="AV3" i="12" s="1"/>
  <c r="AW3" i="11"/>
  <c r="AW3" i="12" s="1"/>
  <c r="AX3" i="11"/>
  <c r="AX3" i="12" s="1"/>
  <c r="AY3" i="11"/>
  <c r="AY3" i="12" s="1"/>
  <c r="AZ3" i="11"/>
  <c r="AZ3" i="12" s="1"/>
  <c r="BA3" i="11"/>
  <c r="BA3" i="12" s="1"/>
  <c r="AH4" i="11"/>
  <c r="AH4" i="12" s="1"/>
  <c r="AI4" i="11"/>
  <c r="AI4" i="12" s="1"/>
  <c r="AJ4" i="11"/>
  <c r="AJ4" i="12" s="1"/>
  <c r="AK4" i="11"/>
  <c r="AK4" i="12" s="1"/>
  <c r="AL4" i="11"/>
  <c r="AL4" i="12" s="1"/>
  <c r="AM4" i="11"/>
  <c r="AM4" i="12" s="1"/>
  <c r="AN4" i="11"/>
  <c r="AN4" i="12" s="1"/>
  <c r="AO4" i="11"/>
  <c r="AO4" i="12" s="1"/>
  <c r="AP4" i="11"/>
  <c r="AP4" i="12" s="1"/>
  <c r="AQ4" i="11"/>
  <c r="AQ4" i="12" s="1"/>
  <c r="AR4" i="11"/>
  <c r="AR4" i="12" s="1"/>
  <c r="AS4" i="11"/>
  <c r="AS4" i="12" s="1"/>
  <c r="AT4" i="11"/>
  <c r="AT4" i="12" s="1"/>
  <c r="AU4" i="11"/>
  <c r="AU4" i="12" s="1"/>
  <c r="AV4" i="11"/>
  <c r="AV4" i="12" s="1"/>
  <c r="AW4" i="11"/>
  <c r="AW4" i="12" s="1"/>
  <c r="AX4" i="11"/>
  <c r="AX4" i="12" s="1"/>
  <c r="AY4" i="11"/>
  <c r="AY4" i="12" s="1"/>
  <c r="AZ4" i="11"/>
  <c r="AZ4" i="12" s="1"/>
  <c r="BA4" i="11"/>
  <c r="BA4" i="12" s="1"/>
  <c r="AH5" i="11"/>
  <c r="AH5" i="12" s="1"/>
  <c r="AI5" i="11"/>
  <c r="AI5" i="12" s="1"/>
  <c r="AJ5" i="11"/>
  <c r="AJ5" i="12" s="1"/>
  <c r="AK5" i="11"/>
  <c r="AK5" i="12" s="1"/>
  <c r="AL5" i="11"/>
  <c r="AL5" i="12" s="1"/>
  <c r="AM5" i="11"/>
  <c r="AM5" i="12" s="1"/>
  <c r="AN5" i="11"/>
  <c r="AN5" i="12" s="1"/>
  <c r="AO5" i="11"/>
  <c r="AO5" i="12" s="1"/>
  <c r="AP5" i="11"/>
  <c r="AP5" i="12" s="1"/>
  <c r="AQ5" i="11"/>
  <c r="AQ5" i="12" s="1"/>
  <c r="AR5" i="11"/>
  <c r="AR5" i="12" s="1"/>
  <c r="AS5" i="11"/>
  <c r="AS5" i="12" s="1"/>
  <c r="AT5" i="11"/>
  <c r="AT5" i="12" s="1"/>
  <c r="AU5" i="11"/>
  <c r="AU5" i="12" s="1"/>
  <c r="AV5" i="11"/>
  <c r="AV5" i="12" s="1"/>
  <c r="AW5" i="11"/>
  <c r="AW5" i="12" s="1"/>
  <c r="AX5" i="11"/>
  <c r="AX5" i="12" s="1"/>
  <c r="AY5" i="11"/>
  <c r="AY5" i="12" s="1"/>
  <c r="AZ5" i="11"/>
  <c r="AZ5" i="12" s="1"/>
  <c r="BA5" i="11"/>
  <c r="BA5" i="12" s="1"/>
  <c r="AH6" i="11"/>
  <c r="AH6" i="12" s="1"/>
  <c r="AI6" i="11"/>
  <c r="AI6" i="12" s="1"/>
  <c r="AJ6" i="11"/>
  <c r="AJ6" i="12" s="1"/>
  <c r="AK6" i="11"/>
  <c r="AK6" i="12" s="1"/>
  <c r="AL6" i="11"/>
  <c r="AL6" i="12" s="1"/>
  <c r="AM6" i="11"/>
  <c r="AM6" i="12" s="1"/>
  <c r="AN6" i="11"/>
  <c r="AN6" i="12" s="1"/>
  <c r="AO6" i="11"/>
  <c r="AO6" i="12" s="1"/>
  <c r="AP6" i="11"/>
  <c r="AP6" i="12" s="1"/>
  <c r="AQ6" i="11"/>
  <c r="AQ6" i="12" s="1"/>
  <c r="AR6" i="11"/>
  <c r="AR6" i="12" s="1"/>
  <c r="AS6" i="11"/>
  <c r="AS6" i="12" s="1"/>
  <c r="AT6" i="11"/>
  <c r="AT6" i="12" s="1"/>
  <c r="AU6" i="11"/>
  <c r="AU6" i="12" s="1"/>
  <c r="AV6" i="11"/>
  <c r="AV6" i="12" s="1"/>
  <c r="AW6" i="11"/>
  <c r="AW6" i="12" s="1"/>
  <c r="AX6" i="11"/>
  <c r="AX6" i="12" s="1"/>
  <c r="AY6" i="11"/>
  <c r="AY6" i="12" s="1"/>
  <c r="AZ6" i="11"/>
  <c r="AZ6" i="12" s="1"/>
  <c r="BA6" i="11"/>
  <c r="BA6" i="12" s="1"/>
  <c r="AH7" i="11"/>
  <c r="AH7" i="12" s="1"/>
  <c r="AI7" i="11"/>
  <c r="AI7" i="12" s="1"/>
  <c r="AJ7" i="11"/>
  <c r="AJ7" i="12" s="1"/>
  <c r="AK7" i="11"/>
  <c r="AK7" i="12" s="1"/>
  <c r="AL7" i="11"/>
  <c r="AL7" i="12" s="1"/>
  <c r="AM7" i="11"/>
  <c r="AM7" i="12" s="1"/>
  <c r="AN7" i="11"/>
  <c r="AN7" i="12" s="1"/>
  <c r="AO7" i="11"/>
  <c r="AO7" i="12" s="1"/>
  <c r="AP7" i="11"/>
  <c r="AP7" i="12" s="1"/>
  <c r="AQ7" i="11"/>
  <c r="AQ7" i="12" s="1"/>
  <c r="AR7" i="11"/>
  <c r="AR7" i="12" s="1"/>
  <c r="AS7" i="11"/>
  <c r="AS7" i="12" s="1"/>
  <c r="AT7" i="11"/>
  <c r="AT7" i="12" s="1"/>
  <c r="AU7" i="11"/>
  <c r="AU7" i="12" s="1"/>
  <c r="AV7" i="11"/>
  <c r="AV7" i="12" s="1"/>
  <c r="AW7" i="11"/>
  <c r="AW7" i="12" s="1"/>
  <c r="AX7" i="11"/>
  <c r="AX7" i="12" s="1"/>
  <c r="AY7" i="11"/>
  <c r="AY7" i="12" s="1"/>
  <c r="AZ7" i="11"/>
  <c r="AZ7" i="12" s="1"/>
  <c r="BA7" i="11"/>
  <c r="BA7" i="12" s="1"/>
  <c r="AH8" i="11"/>
  <c r="AH8" i="12" s="1"/>
  <c r="AI8" i="11"/>
  <c r="AI8" i="12" s="1"/>
  <c r="AJ8" i="11"/>
  <c r="AJ8" i="12" s="1"/>
  <c r="AK8" i="11"/>
  <c r="AK8" i="12" s="1"/>
  <c r="AL8" i="11"/>
  <c r="AL8" i="12" s="1"/>
  <c r="AM8" i="11"/>
  <c r="AM8" i="12" s="1"/>
  <c r="AN8" i="11"/>
  <c r="AN8" i="12" s="1"/>
  <c r="AO8" i="11"/>
  <c r="AO8" i="12" s="1"/>
  <c r="AP8" i="11"/>
  <c r="AP8" i="12" s="1"/>
  <c r="AQ8" i="11"/>
  <c r="AQ8" i="12" s="1"/>
  <c r="AR8" i="11"/>
  <c r="AR8" i="12" s="1"/>
  <c r="AS8" i="11"/>
  <c r="AS8" i="12" s="1"/>
  <c r="AT8" i="11"/>
  <c r="AT8" i="12" s="1"/>
  <c r="AU8" i="11"/>
  <c r="AU8" i="12" s="1"/>
  <c r="AV8" i="11"/>
  <c r="AV8" i="12" s="1"/>
  <c r="AW8" i="11"/>
  <c r="AW8" i="12" s="1"/>
  <c r="AX8" i="11"/>
  <c r="AX8" i="12" s="1"/>
  <c r="AY8" i="11"/>
  <c r="AY8" i="12" s="1"/>
  <c r="AZ8" i="11"/>
  <c r="AZ8" i="12" s="1"/>
  <c r="BA8" i="11"/>
  <c r="BA8" i="12" s="1"/>
  <c r="AH9" i="11"/>
  <c r="AH9" i="12" s="1"/>
  <c r="AI9" i="11"/>
  <c r="AI9" i="12" s="1"/>
  <c r="AJ9" i="11"/>
  <c r="AJ9" i="12" s="1"/>
  <c r="AK9" i="11"/>
  <c r="AK9" i="12" s="1"/>
  <c r="AL9" i="11"/>
  <c r="AL9" i="12" s="1"/>
  <c r="AM9" i="11"/>
  <c r="AM9" i="12" s="1"/>
  <c r="AN9" i="11"/>
  <c r="AN9" i="12" s="1"/>
  <c r="AO9" i="11"/>
  <c r="AO9" i="12" s="1"/>
  <c r="AP9" i="11"/>
  <c r="AP9" i="12" s="1"/>
  <c r="AQ9" i="11"/>
  <c r="AQ9" i="12" s="1"/>
  <c r="AR9" i="11"/>
  <c r="AR9" i="12" s="1"/>
  <c r="AS9" i="11"/>
  <c r="AS9" i="12" s="1"/>
  <c r="AT9" i="11"/>
  <c r="AT9" i="12" s="1"/>
  <c r="AU9" i="11"/>
  <c r="AU9" i="12" s="1"/>
  <c r="AV9" i="11"/>
  <c r="AV9" i="12" s="1"/>
  <c r="AW9" i="11"/>
  <c r="AW9" i="12" s="1"/>
  <c r="AX9" i="11"/>
  <c r="AX9" i="12" s="1"/>
  <c r="AY9" i="11"/>
  <c r="AY9" i="12" s="1"/>
  <c r="AZ9" i="11"/>
  <c r="AZ9" i="12" s="1"/>
  <c r="BA9" i="11"/>
  <c r="BA9" i="12" s="1"/>
  <c r="AH10" i="11"/>
  <c r="AH10" i="12" s="1"/>
  <c r="AI10" i="11"/>
  <c r="AI10" i="12" s="1"/>
  <c r="AJ10" i="11"/>
  <c r="AJ10" i="12" s="1"/>
  <c r="AK10" i="11"/>
  <c r="AK10" i="12" s="1"/>
  <c r="AL10" i="11"/>
  <c r="AL10" i="12" s="1"/>
  <c r="AM10" i="11"/>
  <c r="AM10" i="12" s="1"/>
  <c r="AN10" i="11"/>
  <c r="AN10" i="12" s="1"/>
  <c r="AO10" i="11"/>
  <c r="AO10" i="12" s="1"/>
  <c r="AP10" i="11"/>
  <c r="AP10" i="12" s="1"/>
  <c r="AQ10" i="11"/>
  <c r="AQ10" i="12" s="1"/>
  <c r="AR10" i="11"/>
  <c r="AR10" i="12" s="1"/>
  <c r="AS10" i="11"/>
  <c r="AS10" i="12" s="1"/>
  <c r="AT10" i="11"/>
  <c r="AT10" i="12" s="1"/>
  <c r="AU10" i="11"/>
  <c r="AU10" i="12" s="1"/>
  <c r="AV10" i="11"/>
  <c r="AV10" i="12" s="1"/>
  <c r="AW10" i="11"/>
  <c r="AW10" i="12" s="1"/>
  <c r="AX10" i="11"/>
  <c r="AX10" i="12" s="1"/>
  <c r="AY10" i="11"/>
  <c r="AY10" i="12" s="1"/>
  <c r="AZ10" i="11"/>
  <c r="AZ10" i="12" s="1"/>
  <c r="BA10" i="11"/>
  <c r="BA10" i="12" s="1"/>
  <c r="AH11" i="11"/>
  <c r="AH11" i="12" s="1"/>
  <c r="AI11" i="11"/>
  <c r="AI11" i="12" s="1"/>
  <c r="AJ11" i="11"/>
  <c r="AJ11" i="12" s="1"/>
  <c r="AK11" i="11"/>
  <c r="AK11" i="12" s="1"/>
  <c r="AL11" i="11"/>
  <c r="AL11" i="12" s="1"/>
  <c r="AM11" i="11"/>
  <c r="AM11" i="12" s="1"/>
  <c r="AN11" i="11"/>
  <c r="AN11" i="12" s="1"/>
  <c r="AO11" i="11"/>
  <c r="AO11" i="12" s="1"/>
  <c r="AP11" i="11"/>
  <c r="AP11" i="12" s="1"/>
  <c r="AQ11" i="11"/>
  <c r="AQ11" i="12" s="1"/>
  <c r="AR11" i="11"/>
  <c r="AR11" i="12" s="1"/>
  <c r="AS11" i="11"/>
  <c r="AS11" i="12" s="1"/>
  <c r="AT11" i="11"/>
  <c r="AT11" i="12" s="1"/>
  <c r="AU11" i="11"/>
  <c r="AU11" i="12" s="1"/>
  <c r="AV11" i="11"/>
  <c r="AV11" i="12" s="1"/>
  <c r="AW11" i="11"/>
  <c r="AW11" i="12" s="1"/>
  <c r="AX11" i="11"/>
  <c r="AX11" i="12" s="1"/>
  <c r="AY11" i="11"/>
  <c r="AY11" i="12" s="1"/>
  <c r="AZ11" i="11"/>
  <c r="AZ11" i="12" s="1"/>
  <c r="BA11" i="11"/>
  <c r="BA11" i="12" s="1"/>
  <c r="AH12" i="11"/>
  <c r="AH12" i="12" s="1"/>
  <c r="AI12" i="11"/>
  <c r="AI12" i="12" s="1"/>
  <c r="AJ12" i="11"/>
  <c r="AJ12" i="12" s="1"/>
  <c r="AK12" i="11"/>
  <c r="AK12" i="12" s="1"/>
  <c r="AL12" i="11"/>
  <c r="AL12" i="12" s="1"/>
  <c r="AM12" i="11"/>
  <c r="AM12" i="12" s="1"/>
  <c r="AN12" i="11"/>
  <c r="AN12" i="12" s="1"/>
  <c r="AO12" i="11"/>
  <c r="AO12" i="12" s="1"/>
  <c r="AP12" i="11"/>
  <c r="AP12" i="12" s="1"/>
  <c r="AQ12" i="11"/>
  <c r="AQ12" i="12" s="1"/>
  <c r="AR12" i="11"/>
  <c r="AR12" i="12" s="1"/>
  <c r="AS12" i="11"/>
  <c r="AS12" i="12" s="1"/>
  <c r="AT12" i="11"/>
  <c r="AT12" i="12" s="1"/>
  <c r="AU12" i="11"/>
  <c r="AU12" i="12" s="1"/>
  <c r="AV12" i="11"/>
  <c r="AV12" i="12" s="1"/>
  <c r="AW12" i="11"/>
  <c r="AW12" i="12" s="1"/>
  <c r="AX12" i="11"/>
  <c r="AX12" i="12" s="1"/>
  <c r="AY12" i="11"/>
  <c r="AY12" i="12" s="1"/>
  <c r="AZ12" i="11"/>
  <c r="AZ12" i="12" s="1"/>
  <c r="BA12" i="11"/>
  <c r="BA12" i="12" s="1"/>
  <c r="AH13" i="11"/>
  <c r="AH13" i="12" s="1"/>
  <c r="AI13" i="11"/>
  <c r="AI13" i="12" s="1"/>
  <c r="AJ13" i="11"/>
  <c r="AJ13" i="12" s="1"/>
  <c r="AK13" i="11"/>
  <c r="AK13" i="12" s="1"/>
  <c r="AL13" i="11"/>
  <c r="AL13" i="12" s="1"/>
  <c r="AM13" i="11"/>
  <c r="AM13" i="12" s="1"/>
  <c r="AN13" i="11"/>
  <c r="AN13" i="12" s="1"/>
  <c r="AO13" i="11"/>
  <c r="AO13" i="12" s="1"/>
  <c r="AP13" i="11"/>
  <c r="AP13" i="12" s="1"/>
  <c r="AQ13" i="11"/>
  <c r="AQ13" i="12" s="1"/>
  <c r="AR13" i="11"/>
  <c r="AR13" i="12" s="1"/>
  <c r="AS13" i="11"/>
  <c r="AS13" i="12" s="1"/>
  <c r="AT13" i="11"/>
  <c r="AT13" i="12" s="1"/>
  <c r="AU13" i="11"/>
  <c r="AU13" i="12" s="1"/>
  <c r="AV13" i="11"/>
  <c r="AV13" i="12" s="1"/>
  <c r="AW13" i="11"/>
  <c r="AW13" i="12" s="1"/>
  <c r="AX13" i="11"/>
  <c r="AX13" i="12" s="1"/>
  <c r="AY13" i="11"/>
  <c r="AY13" i="12" s="1"/>
  <c r="AZ13" i="11"/>
  <c r="AZ13" i="12" s="1"/>
  <c r="BA13" i="11"/>
  <c r="BA13" i="12" s="1"/>
  <c r="AH14" i="11"/>
  <c r="AH14" i="12" s="1"/>
  <c r="AI14" i="11"/>
  <c r="AI14" i="12" s="1"/>
  <c r="AJ14" i="11"/>
  <c r="AJ14" i="12" s="1"/>
  <c r="AK14" i="11"/>
  <c r="AK14" i="12" s="1"/>
  <c r="AL14" i="11"/>
  <c r="AL14" i="12" s="1"/>
  <c r="AM14" i="11"/>
  <c r="AM14" i="12" s="1"/>
  <c r="AN14" i="11"/>
  <c r="AN14" i="12" s="1"/>
  <c r="AO14" i="11"/>
  <c r="AO14" i="12" s="1"/>
  <c r="AP14" i="11"/>
  <c r="AP14" i="12" s="1"/>
  <c r="AQ14" i="11"/>
  <c r="AQ14" i="12" s="1"/>
  <c r="AR14" i="11"/>
  <c r="AR14" i="12" s="1"/>
  <c r="AS14" i="11"/>
  <c r="AS14" i="12" s="1"/>
  <c r="AT14" i="11"/>
  <c r="AT14" i="12" s="1"/>
  <c r="AU14" i="11"/>
  <c r="AU14" i="12" s="1"/>
  <c r="AV14" i="11"/>
  <c r="AV14" i="12" s="1"/>
  <c r="AW14" i="11"/>
  <c r="AW14" i="12" s="1"/>
  <c r="AX14" i="11"/>
  <c r="AX14" i="12" s="1"/>
  <c r="AY14" i="11"/>
  <c r="AY14" i="12" s="1"/>
  <c r="AZ14" i="11"/>
  <c r="AZ14" i="12" s="1"/>
  <c r="BA14" i="11"/>
  <c r="BA14" i="12" s="1"/>
  <c r="AH15" i="11"/>
  <c r="AH15" i="12" s="1"/>
  <c r="AI15" i="11"/>
  <c r="AI15" i="12" s="1"/>
  <c r="AJ15" i="11"/>
  <c r="AJ15" i="12" s="1"/>
  <c r="AK15" i="11"/>
  <c r="AK15" i="12" s="1"/>
  <c r="AL15" i="11"/>
  <c r="AL15" i="12" s="1"/>
  <c r="AM15" i="11"/>
  <c r="AM15" i="12" s="1"/>
  <c r="AN15" i="11"/>
  <c r="AN15" i="12" s="1"/>
  <c r="AO15" i="11"/>
  <c r="AO15" i="12" s="1"/>
  <c r="AP15" i="11"/>
  <c r="AP15" i="12" s="1"/>
  <c r="AQ15" i="11"/>
  <c r="AQ15" i="12" s="1"/>
  <c r="AR15" i="11"/>
  <c r="AR15" i="12" s="1"/>
  <c r="AS15" i="11"/>
  <c r="AS15" i="12" s="1"/>
  <c r="AT15" i="11"/>
  <c r="AT15" i="12" s="1"/>
  <c r="AU15" i="11"/>
  <c r="AU15" i="12" s="1"/>
  <c r="AV15" i="11"/>
  <c r="AV15" i="12" s="1"/>
  <c r="AW15" i="11"/>
  <c r="AW15" i="12" s="1"/>
  <c r="AX15" i="11"/>
  <c r="AX15" i="12" s="1"/>
  <c r="AY15" i="11"/>
  <c r="AY15" i="12" s="1"/>
  <c r="AZ15" i="11"/>
  <c r="AZ15" i="12" s="1"/>
  <c r="BA15" i="11"/>
  <c r="BA15" i="12" s="1"/>
  <c r="AH16" i="11"/>
  <c r="AH16" i="12" s="1"/>
  <c r="AI16" i="11"/>
  <c r="AI16" i="12" s="1"/>
  <c r="AJ16" i="11"/>
  <c r="AJ16" i="12" s="1"/>
  <c r="AK16" i="11"/>
  <c r="AK16" i="12" s="1"/>
  <c r="AL16" i="11"/>
  <c r="AL16" i="12" s="1"/>
  <c r="AM16" i="11"/>
  <c r="AM16" i="12" s="1"/>
  <c r="AN16" i="11"/>
  <c r="AN16" i="12" s="1"/>
  <c r="AO16" i="11"/>
  <c r="AO16" i="12" s="1"/>
  <c r="AP16" i="11"/>
  <c r="AP16" i="12" s="1"/>
  <c r="AQ16" i="11"/>
  <c r="AQ16" i="12" s="1"/>
  <c r="AR16" i="11"/>
  <c r="AR16" i="12" s="1"/>
  <c r="AS16" i="11"/>
  <c r="AS16" i="12" s="1"/>
  <c r="AT16" i="11"/>
  <c r="AT16" i="12" s="1"/>
  <c r="AU16" i="11"/>
  <c r="AU16" i="12" s="1"/>
  <c r="AV16" i="11"/>
  <c r="AV16" i="12" s="1"/>
  <c r="AW16" i="11"/>
  <c r="AW16" i="12" s="1"/>
  <c r="AX16" i="11"/>
  <c r="AX16" i="12" s="1"/>
  <c r="AY16" i="11"/>
  <c r="AY16" i="12" s="1"/>
  <c r="AZ16" i="11"/>
  <c r="AZ16" i="12" s="1"/>
  <c r="BA16" i="11"/>
  <c r="BA16" i="12" s="1"/>
  <c r="AH17" i="11"/>
  <c r="AH17" i="12" s="1"/>
  <c r="AI17" i="11"/>
  <c r="AI17" i="12" s="1"/>
  <c r="AJ17" i="11"/>
  <c r="AJ17" i="12" s="1"/>
  <c r="AK17" i="11"/>
  <c r="AK17" i="12" s="1"/>
  <c r="AL17" i="11"/>
  <c r="AL17" i="12" s="1"/>
  <c r="AM17" i="11"/>
  <c r="AM17" i="12" s="1"/>
  <c r="AN17" i="11"/>
  <c r="AN17" i="12" s="1"/>
  <c r="AO17" i="11"/>
  <c r="AO17" i="12" s="1"/>
  <c r="AP17" i="11"/>
  <c r="AP17" i="12" s="1"/>
  <c r="AQ17" i="11"/>
  <c r="AQ17" i="12" s="1"/>
  <c r="AR17" i="11"/>
  <c r="AR17" i="12" s="1"/>
  <c r="AS17" i="11"/>
  <c r="AS17" i="12" s="1"/>
  <c r="AT17" i="11"/>
  <c r="AT17" i="12" s="1"/>
  <c r="AU17" i="11"/>
  <c r="AU17" i="12" s="1"/>
  <c r="AV17" i="11"/>
  <c r="AV17" i="12" s="1"/>
  <c r="AW17" i="11"/>
  <c r="AW17" i="12" s="1"/>
  <c r="AX17" i="11"/>
  <c r="AX17" i="12" s="1"/>
  <c r="AY17" i="11"/>
  <c r="AY17" i="12" s="1"/>
  <c r="AZ17" i="11"/>
  <c r="AZ17" i="12" s="1"/>
  <c r="BA17" i="11"/>
  <c r="BA17" i="12" s="1"/>
  <c r="AH18" i="11"/>
  <c r="AH18" i="12" s="1"/>
  <c r="AI18" i="11"/>
  <c r="AI18" i="12" s="1"/>
  <c r="AJ18" i="11"/>
  <c r="AJ18" i="12" s="1"/>
  <c r="AK18" i="11"/>
  <c r="AK18" i="12" s="1"/>
  <c r="AL18" i="11"/>
  <c r="AL18" i="12" s="1"/>
  <c r="AM18" i="11"/>
  <c r="AM18" i="12" s="1"/>
  <c r="AN18" i="11"/>
  <c r="AN18" i="12" s="1"/>
  <c r="AO18" i="11"/>
  <c r="AO18" i="12" s="1"/>
  <c r="AP18" i="11"/>
  <c r="AP18" i="12" s="1"/>
  <c r="AQ18" i="11"/>
  <c r="AQ18" i="12" s="1"/>
  <c r="AR18" i="11"/>
  <c r="AR18" i="12" s="1"/>
  <c r="AS18" i="11"/>
  <c r="AS18" i="12" s="1"/>
  <c r="AT18" i="11"/>
  <c r="AT18" i="12" s="1"/>
  <c r="AU18" i="11"/>
  <c r="AU18" i="12" s="1"/>
  <c r="AV18" i="11"/>
  <c r="AV18" i="12" s="1"/>
  <c r="AW18" i="11"/>
  <c r="AW18" i="12" s="1"/>
  <c r="AX18" i="11"/>
  <c r="AX18" i="12" s="1"/>
  <c r="AY18" i="11"/>
  <c r="AY18" i="12" s="1"/>
  <c r="AZ18" i="11"/>
  <c r="AZ18" i="12" s="1"/>
  <c r="BA18" i="11"/>
  <c r="BA18" i="12" s="1"/>
  <c r="AH19" i="11"/>
  <c r="AH19" i="12" s="1"/>
  <c r="AI19" i="11"/>
  <c r="AI19" i="12" s="1"/>
  <c r="AJ19" i="11"/>
  <c r="AJ19" i="12" s="1"/>
  <c r="AK19" i="11"/>
  <c r="AK19" i="12" s="1"/>
  <c r="AL19" i="11"/>
  <c r="AL19" i="12" s="1"/>
  <c r="AM19" i="11"/>
  <c r="AM19" i="12" s="1"/>
  <c r="AN19" i="11"/>
  <c r="AN19" i="12" s="1"/>
  <c r="AO19" i="11"/>
  <c r="AO19" i="12" s="1"/>
  <c r="AP19" i="11"/>
  <c r="AP19" i="12" s="1"/>
  <c r="AQ19" i="11"/>
  <c r="AQ19" i="12" s="1"/>
  <c r="AR19" i="11"/>
  <c r="AR19" i="12" s="1"/>
  <c r="AS19" i="11"/>
  <c r="AS19" i="12" s="1"/>
  <c r="AT19" i="11"/>
  <c r="AT19" i="12" s="1"/>
  <c r="AU19" i="11"/>
  <c r="AU19" i="12" s="1"/>
  <c r="AV19" i="11"/>
  <c r="AV19" i="12" s="1"/>
  <c r="AW19" i="11"/>
  <c r="AW19" i="12" s="1"/>
  <c r="AX19" i="11"/>
  <c r="AX19" i="12" s="1"/>
  <c r="AY19" i="11"/>
  <c r="AY19" i="12" s="1"/>
  <c r="AZ19" i="11"/>
  <c r="AZ19" i="12" s="1"/>
  <c r="BA19" i="11"/>
  <c r="BA19" i="12" s="1"/>
  <c r="AH20" i="11"/>
  <c r="AH20" i="12" s="1"/>
  <c r="AI20" i="11"/>
  <c r="AI20" i="12" s="1"/>
  <c r="AJ20" i="11"/>
  <c r="AJ20" i="12" s="1"/>
  <c r="AK20" i="11"/>
  <c r="AK20" i="12" s="1"/>
  <c r="AL20" i="11"/>
  <c r="AL20" i="12" s="1"/>
  <c r="AM20" i="11"/>
  <c r="AM20" i="12" s="1"/>
  <c r="AN20" i="11"/>
  <c r="AN20" i="12" s="1"/>
  <c r="AO20" i="11"/>
  <c r="AO20" i="12" s="1"/>
  <c r="AP20" i="11"/>
  <c r="AP20" i="12" s="1"/>
  <c r="AQ20" i="11"/>
  <c r="AQ20" i="12" s="1"/>
  <c r="AR20" i="11"/>
  <c r="AR20" i="12" s="1"/>
  <c r="AS20" i="11"/>
  <c r="AS20" i="12" s="1"/>
  <c r="AT20" i="11"/>
  <c r="AT20" i="12" s="1"/>
  <c r="AU20" i="11"/>
  <c r="AU20" i="12" s="1"/>
  <c r="AV20" i="11"/>
  <c r="AV20" i="12" s="1"/>
  <c r="AW20" i="11"/>
  <c r="AW20" i="12" s="1"/>
  <c r="AX20" i="11"/>
  <c r="AX20" i="12" s="1"/>
  <c r="AY20" i="11"/>
  <c r="AY20" i="12" s="1"/>
  <c r="AZ20" i="11"/>
  <c r="AZ20" i="12" s="1"/>
  <c r="BA20" i="11"/>
  <c r="BA20" i="12" s="1"/>
  <c r="AH21" i="11"/>
  <c r="AH21" i="12" s="1"/>
  <c r="AI21" i="11"/>
  <c r="AI21" i="12" s="1"/>
  <c r="AJ21" i="11"/>
  <c r="AJ21" i="12" s="1"/>
  <c r="AK21" i="11"/>
  <c r="AK21" i="12" s="1"/>
  <c r="AL21" i="11"/>
  <c r="AL21" i="12" s="1"/>
  <c r="AM21" i="11"/>
  <c r="AM21" i="12" s="1"/>
  <c r="AN21" i="11"/>
  <c r="AN21" i="12" s="1"/>
  <c r="AO21" i="11"/>
  <c r="AO21" i="12" s="1"/>
  <c r="AP21" i="11"/>
  <c r="AP21" i="12" s="1"/>
  <c r="AQ21" i="11"/>
  <c r="AQ21" i="12" s="1"/>
  <c r="AR21" i="11"/>
  <c r="AR21" i="12" s="1"/>
  <c r="AS21" i="11"/>
  <c r="AS21" i="12" s="1"/>
  <c r="AT21" i="11"/>
  <c r="AT21" i="12" s="1"/>
  <c r="AU21" i="11"/>
  <c r="AU21" i="12" s="1"/>
  <c r="AV21" i="11"/>
  <c r="AV21" i="12" s="1"/>
  <c r="AW21" i="11"/>
  <c r="AW21" i="12" s="1"/>
  <c r="AX21" i="11"/>
  <c r="AX21" i="12" s="1"/>
  <c r="AY21" i="11"/>
  <c r="AY21" i="12" s="1"/>
  <c r="AZ21" i="11"/>
  <c r="AZ21" i="12" s="1"/>
  <c r="BA21" i="11"/>
  <c r="BA21" i="12" s="1"/>
  <c r="AH22" i="11"/>
  <c r="AH22" i="12" s="1"/>
  <c r="AI22" i="11"/>
  <c r="AI22" i="12" s="1"/>
  <c r="AJ22" i="11"/>
  <c r="AJ22" i="12" s="1"/>
  <c r="AK22" i="11"/>
  <c r="AK22" i="12" s="1"/>
  <c r="AL22" i="11"/>
  <c r="AL22" i="12" s="1"/>
  <c r="AM22" i="11"/>
  <c r="AM22" i="12" s="1"/>
  <c r="AN22" i="11"/>
  <c r="AN22" i="12" s="1"/>
  <c r="AO22" i="11"/>
  <c r="AO22" i="12" s="1"/>
  <c r="AP22" i="11"/>
  <c r="AP22" i="12" s="1"/>
  <c r="AQ22" i="11"/>
  <c r="AQ22" i="12" s="1"/>
  <c r="AR22" i="11"/>
  <c r="AR22" i="12" s="1"/>
  <c r="AS22" i="11"/>
  <c r="AS22" i="12" s="1"/>
  <c r="AT22" i="11"/>
  <c r="AT22" i="12" s="1"/>
  <c r="AU22" i="11"/>
  <c r="AU22" i="12" s="1"/>
  <c r="AV22" i="11"/>
  <c r="AV22" i="12" s="1"/>
  <c r="AW22" i="11"/>
  <c r="AW22" i="12" s="1"/>
  <c r="AX22" i="11"/>
  <c r="AX22" i="12" s="1"/>
  <c r="AY22" i="11"/>
  <c r="AY22" i="12" s="1"/>
  <c r="AZ22" i="11"/>
  <c r="AZ22" i="12" s="1"/>
  <c r="BA22" i="11"/>
  <c r="BA22" i="12" s="1"/>
  <c r="AH23" i="11"/>
  <c r="AH23" i="12" s="1"/>
  <c r="AI23" i="11"/>
  <c r="AI23" i="12" s="1"/>
  <c r="AJ23" i="11"/>
  <c r="AJ23" i="12" s="1"/>
  <c r="AK23" i="11"/>
  <c r="AK23" i="12" s="1"/>
  <c r="AL23" i="11"/>
  <c r="AL23" i="12" s="1"/>
  <c r="AM23" i="11"/>
  <c r="AM23" i="12" s="1"/>
  <c r="AN23" i="11"/>
  <c r="AN23" i="12" s="1"/>
  <c r="AO23" i="11"/>
  <c r="AO23" i="12" s="1"/>
  <c r="AP23" i="11"/>
  <c r="AP23" i="12" s="1"/>
  <c r="AQ23" i="11"/>
  <c r="AQ23" i="12" s="1"/>
  <c r="AR23" i="11"/>
  <c r="AR23" i="12" s="1"/>
  <c r="AS23" i="11"/>
  <c r="AS23" i="12" s="1"/>
  <c r="AT23" i="11"/>
  <c r="AT23" i="12" s="1"/>
  <c r="AU23" i="11"/>
  <c r="AU23" i="12" s="1"/>
  <c r="AV23" i="11"/>
  <c r="AV23" i="12" s="1"/>
  <c r="AW23" i="11"/>
  <c r="AW23" i="12" s="1"/>
  <c r="AX23" i="11"/>
  <c r="AX23" i="12" s="1"/>
  <c r="AY23" i="11"/>
  <c r="AY23" i="12" s="1"/>
  <c r="AZ23" i="11"/>
  <c r="AZ23" i="12" s="1"/>
  <c r="BA23" i="11"/>
  <c r="BA23" i="12" s="1"/>
  <c r="AH24" i="11"/>
  <c r="AH24" i="12" s="1"/>
  <c r="AI24" i="11"/>
  <c r="AI24" i="12" s="1"/>
  <c r="AJ24" i="11"/>
  <c r="AJ24" i="12" s="1"/>
  <c r="AK24" i="11"/>
  <c r="AK24" i="12" s="1"/>
  <c r="AL24" i="11"/>
  <c r="AL24" i="12" s="1"/>
  <c r="AM24" i="11"/>
  <c r="AM24" i="12" s="1"/>
  <c r="AN24" i="11"/>
  <c r="AN24" i="12" s="1"/>
  <c r="AO24" i="11"/>
  <c r="AO24" i="12" s="1"/>
  <c r="AP24" i="11"/>
  <c r="AP24" i="12" s="1"/>
  <c r="AQ24" i="11"/>
  <c r="AQ24" i="12" s="1"/>
  <c r="AR24" i="11"/>
  <c r="AR24" i="12" s="1"/>
  <c r="AS24" i="11"/>
  <c r="AS24" i="12" s="1"/>
  <c r="AT24" i="11"/>
  <c r="AT24" i="12" s="1"/>
  <c r="AU24" i="11"/>
  <c r="AU24" i="12" s="1"/>
  <c r="AV24" i="11"/>
  <c r="AV24" i="12" s="1"/>
  <c r="AW24" i="11"/>
  <c r="AW24" i="12" s="1"/>
  <c r="AX24" i="11"/>
  <c r="AX24" i="12" s="1"/>
  <c r="AY24" i="11"/>
  <c r="AY24" i="12" s="1"/>
  <c r="AZ24" i="11"/>
  <c r="AZ24" i="12" s="1"/>
  <c r="BA24" i="11"/>
  <c r="BA24" i="12" s="1"/>
  <c r="AH25" i="11"/>
  <c r="AH25" i="12" s="1"/>
  <c r="AI25" i="11"/>
  <c r="AI25" i="12" s="1"/>
  <c r="AJ25" i="11"/>
  <c r="AJ25" i="12" s="1"/>
  <c r="AK25" i="11"/>
  <c r="AK25" i="12" s="1"/>
  <c r="AL25" i="11"/>
  <c r="AL25" i="12" s="1"/>
  <c r="AM25" i="11"/>
  <c r="AM25" i="12" s="1"/>
  <c r="AN25" i="11"/>
  <c r="AN25" i="12" s="1"/>
  <c r="AO25" i="11"/>
  <c r="AO25" i="12" s="1"/>
  <c r="AP25" i="11"/>
  <c r="AP25" i="12" s="1"/>
  <c r="AQ25" i="11"/>
  <c r="AQ25" i="12" s="1"/>
  <c r="AR25" i="11"/>
  <c r="AR25" i="12" s="1"/>
  <c r="AS25" i="11"/>
  <c r="AS25" i="12" s="1"/>
  <c r="AT25" i="11"/>
  <c r="AT25" i="12" s="1"/>
  <c r="AU25" i="11"/>
  <c r="AU25" i="12" s="1"/>
  <c r="AV25" i="11"/>
  <c r="AV25" i="12" s="1"/>
  <c r="AW25" i="11"/>
  <c r="AW25" i="12" s="1"/>
  <c r="AX25" i="11"/>
  <c r="AX25" i="12" s="1"/>
  <c r="AY25" i="11"/>
  <c r="AY25" i="12" s="1"/>
  <c r="AZ25" i="11"/>
  <c r="AZ25" i="12" s="1"/>
  <c r="BA25" i="11"/>
  <c r="BA25" i="12" s="1"/>
  <c r="AH26" i="11"/>
  <c r="AH26" i="12" s="1"/>
  <c r="AI26" i="11"/>
  <c r="AI26" i="12" s="1"/>
  <c r="AJ26" i="11"/>
  <c r="AJ26" i="12" s="1"/>
  <c r="AK26" i="11"/>
  <c r="AK26" i="12" s="1"/>
  <c r="AL26" i="11"/>
  <c r="AL26" i="12" s="1"/>
  <c r="AM26" i="11"/>
  <c r="AM26" i="12" s="1"/>
  <c r="AN26" i="11"/>
  <c r="AN26" i="12" s="1"/>
  <c r="AO26" i="11"/>
  <c r="AO26" i="12" s="1"/>
  <c r="AP26" i="11"/>
  <c r="AP26" i="12" s="1"/>
  <c r="AQ26" i="11"/>
  <c r="AQ26" i="12" s="1"/>
  <c r="AR26" i="11"/>
  <c r="AR26" i="12" s="1"/>
  <c r="AS26" i="11"/>
  <c r="AS26" i="12" s="1"/>
  <c r="AT26" i="11"/>
  <c r="AT26" i="12" s="1"/>
  <c r="AU26" i="11"/>
  <c r="AU26" i="12" s="1"/>
  <c r="AV26" i="11"/>
  <c r="AV26" i="12" s="1"/>
  <c r="AW26" i="11"/>
  <c r="AW26" i="12" s="1"/>
  <c r="AX26" i="11"/>
  <c r="AX26" i="12" s="1"/>
  <c r="AY26" i="11"/>
  <c r="AY26" i="12" s="1"/>
  <c r="AZ26" i="11"/>
  <c r="AZ26" i="12" s="1"/>
  <c r="BA26" i="11"/>
  <c r="BA26" i="12" s="1"/>
  <c r="AH27" i="11"/>
  <c r="AH27" i="12" s="1"/>
  <c r="AI27" i="11"/>
  <c r="AI27" i="12" s="1"/>
  <c r="AJ27" i="11"/>
  <c r="AJ27" i="12" s="1"/>
  <c r="AK27" i="11"/>
  <c r="AK27" i="12" s="1"/>
  <c r="AL27" i="11"/>
  <c r="AL27" i="12" s="1"/>
  <c r="AM27" i="11"/>
  <c r="AM27" i="12" s="1"/>
  <c r="AN27" i="11"/>
  <c r="AN27" i="12" s="1"/>
  <c r="AO27" i="11"/>
  <c r="AO27" i="12" s="1"/>
  <c r="AP27" i="11"/>
  <c r="AP27" i="12" s="1"/>
  <c r="AQ27" i="11"/>
  <c r="AQ27" i="12" s="1"/>
  <c r="AR27" i="11"/>
  <c r="AR27" i="12" s="1"/>
  <c r="AS27" i="11"/>
  <c r="AS27" i="12" s="1"/>
  <c r="AT27" i="11"/>
  <c r="AT27" i="12" s="1"/>
  <c r="AU27" i="11"/>
  <c r="AU27" i="12" s="1"/>
  <c r="AV27" i="11"/>
  <c r="AV27" i="12" s="1"/>
  <c r="AW27" i="11"/>
  <c r="AW27" i="12" s="1"/>
  <c r="AX27" i="11"/>
  <c r="AX27" i="12" s="1"/>
  <c r="AY27" i="11"/>
  <c r="AY27" i="12" s="1"/>
  <c r="AZ27" i="11"/>
  <c r="AZ27" i="12" s="1"/>
  <c r="BA27" i="11"/>
  <c r="BA27" i="12" s="1"/>
  <c r="AH28" i="11"/>
  <c r="AH28" i="12" s="1"/>
  <c r="AI28" i="11"/>
  <c r="AI28" i="12" s="1"/>
  <c r="AJ28" i="11"/>
  <c r="AJ28" i="12" s="1"/>
  <c r="AK28" i="11"/>
  <c r="AK28" i="12" s="1"/>
  <c r="AL28" i="11"/>
  <c r="AL28" i="12" s="1"/>
  <c r="AM28" i="11"/>
  <c r="AM28" i="12" s="1"/>
  <c r="AN28" i="11"/>
  <c r="AN28" i="12" s="1"/>
  <c r="AO28" i="11"/>
  <c r="AO28" i="12" s="1"/>
  <c r="AP28" i="11"/>
  <c r="AP28" i="12" s="1"/>
  <c r="AQ28" i="11"/>
  <c r="AQ28" i="12" s="1"/>
  <c r="AR28" i="11"/>
  <c r="AR28" i="12" s="1"/>
  <c r="AS28" i="11"/>
  <c r="AS28" i="12" s="1"/>
  <c r="AT28" i="11"/>
  <c r="AT28" i="12" s="1"/>
  <c r="AU28" i="11"/>
  <c r="AU28" i="12" s="1"/>
  <c r="AV28" i="11"/>
  <c r="AV28" i="12" s="1"/>
  <c r="AW28" i="11"/>
  <c r="AW28" i="12" s="1"/>
  <c r="AX28" i="11"/>
  <c r="AX28" i="12" s="1"/>
  <c r="AY28" i="11"/>
  <c r="AY28" i="12" s="1"/>
  <c r="AZ28" i="11"/>
  <c r="AZ28" i="12" s="1"/>
  <c r="BA28" i="11"/>
  <c r="BA28" i="12" s="1"/>
  <c r="AH29" i="11"/>
  <c r="AH29" i="12" s="1"/>
  <c r="AI29" i="11"/>
  <c r="AI29" i="12" s="1"/>
  <c r="AJ29" i="11"/>
  <c r="AJ29" i="12" s="1"/>
  <c r="AK29" i="11"/>
  <c r="AK29" i="12" s="1"/>
  <c r="AL29" i="11"/>
  <c r="AL29" i="12" s="1"/>
  <c r="AM29" i="11"/>
  <c r="AM29" i="12" s="1"/>
  <c r="AN29" i="11"/>
  <c r="AN29" i="12" s="1"/>
  <c r="AO29" i="11"/>
  <c r="AO29" i="12" s="1"/>
  <c r="AP29" i="11"/>
  <c r="AP29" i="12" s="1"/>
  <c r="AQ29" i="11"/>
  <c r="AQ29" i="12" s="1"/>
  <c r="AR29" i="11"/>
  <c r="AR29" i="12" s="1"/>
  <c r="AS29" i="11"/>
  <c r="AS29" i="12" s="1"/>
  <c r="AT29" i="11"/>
  <c r="AT29" i="12" s="1"/>
  <c r="AU29" i="11"/>
  <c r="AU29" i="12" s="1"/>
  <c r="AV29" i="11"/>
  <c r="AV29" i="12" s="1"/>
  <c r="AW29" i="11"/>
  <c r="AW29" i="12" s="1"/>
  <c r="AX29" i="11"/>
  <c r="AX29" i="12" s="1"/>
  <c r="AY29" i="11"/>
  <c r="AY29" i="12" s="1"/>
  <c r="AZ29" i="11"/>
  <c r="AZ29" i="12" s="1"/>
  <c r="BA29" i="11"/>
  <c r="BA29" i="12" s="1"/>
  <c r="AH30" i="11"/>
  <c r="AH30" i="12" s="1"/>
  <c r="AI30" i="11"/>
  <c r="AI30" i="12" s="1"/>
  <c r="AJ30" i="11"/>
  <c r="AJ30" i="12" s="1"/>
  <c r="AK30" i="11"/>
  <c r="AK30" i="12" s="1"/>
  <c r="AL30" i="11"/>
  <c r="AL30" i="12" s="1"/>
  <c r="AM30" i="11"/>
  <c r="AM30" i="12" s="1"/>
  <c r="AN30" i="11"/>
  <c r="AN30" i="12" s="1"/>
  <c r="AO30" i="11"/>
  <c r="AO30" i="12" s="1"/>
  <c r="AP30" i="11"/>
  <c r="AP30" i="12" s="1"/>
  <c r="AQ30" i="11"/>
  <c r="AQ30" i="12" s="1"/>
  <c r="AR30" i="11"/>
  <c r="AR30" i="12" s="1"/>
  <c r="AS30" i="11"/>
  <c r="AS30" i="12" s="1"/>
  <c r="AT30" i="11"/>
  <c r="AT30" i="12" s="1"/>
  <c r="AU30" i="11"/>
  <c r="AU30" i="12" s="1"/>
  <c r="AV30" i="11"/>
  <c r="AV30" i="12" s="1"/>
  <c r="AW30" i="11"/>
  <c r="AW30" i="12" s="1"/>
  <c r="AX30" i="11"/>
  <c r="AX30" i="12" s="1"/>
  <c r="AY30" i="11"/>
  <c r="AY30" i="12" s="1"/>
  <c r="AZ30" i="11"/>
  <c r="AZ30" i="12" s="1"/>
  <c r="BA30" i="11"/>
  <c r="BA30" i="12" s="1"/>
  <c r="AH31" i="11"/>
  <c r="AH31" i="12" s="1"/>
  <c r="AI31" i="11"/>
  <c r="AI31" i="12" s="1"/>
  <c r="AJ31" i="11"/>
  <c r="AJ31" i="12" s="1"/>
  <c r="AK31" i="11"/>
  <c r="AK31" i="12" s="1"/>
  <c r="AL31" i="11"/>
  <c r="AL31" i="12" s="1"/>
  <c r="AM31" i="11"/>
  <c r="AM31" i="12" s="1"/>
  <c r="AN31" i="11"/>
  <c r="AN31" i="12" s="1"/>
  <c r="AO31" i="11"/>
  <c r="AO31" i="12" s="1"/>
  <c r="AP31" i="11"/>
  <c r="AP31" i="12" s="1"/>
  <c r="AQ31" i="11"/>
  <c r="AQ31" i="12" s="1"/>
  <c r="AR31" i="11"/>
  <c r="AR31" i="12" s="1"/>
  <c r="AS31" i="11"/>
  <c r="AS31" i="12" s="1"/>
  <c r="AT31" i="11"/>
  <c r="AT31" i="12" s="1"/>
  <c r="AU31" i="11"/>
  <c r="AU31" i="12" s="1"/>
  <c r="AV31" i="11"/>
  <c r="AV31" i="12" s="1"/>
  <c r="AW31" i="11"/>
  <c r="AW31" i="12" s="1"/>
  <c r="AX31" i="11"/>
  <c r="AX31" i="12" s="1"/>
  <c r="AY31" i="11"/>
  <c r="AY31" i="12" s="1"/>
  <c r="AZ31" i="11"/>
  <c r="AZ31" i="12" s="1"/>
  <c r="BA31" i="11"/>
  <c r="BA31" i="12" s="1"/>
  <c r="AH32" i="11"/>
  <c r="AH32" i="12" s="1"/>
  <c r="AI32" i="11"/>
  <c r="AI32" i="12" s="1"/>
  <c r="AJ32" i="11"/>
  <c r="AJ32" i="12" s="1"/>
  <c r="AK32" i="11"/>
  <c r="AK32" i="12" s="1"/>
  <c r="AL32" i="11"/>
  <c r="AL32" i="12" s="1"/>
  <c r="AM32" i="11"/>
  <c r="AM32" i="12" s="1"/>
  <c r="AN32" i="11"/>
  <c r="AN32" i="12" s="1"/>
  <c r="AO32" i="11"/>
  <c r="AO32" i="12" s="1"/>
  <c r="AP32" i="11"/>
  <c r="AP32" i="12" s="1"/>
  <c r="AQ32" i="11"/>
  <c r="AQ32" i="12" s="1"/>
  <c r="AR32" i="11"/>
  <c r="AR32" i="12" s="1"/>
  <c r="AS32" i="11"/>
  <c r="AS32" i="12" s="1"/>
  <c r="AT32" i="11"/>
  <c r="AT32" i="12" s="1"/>
  <c r="AU32" i="11"/>
  <c r="AU32" i="12" s="1"/>
  <c r="AV32" i="11"/>
  <c r="AV32" i="12" s="1"/>
  <c r="AW32" i="11"/>
  <c r="AW32" i="12" s="1"/>
  <c r="AX32" i="11"/>
  <c r="AX32" i="12" s="1"/>
  <c r="AY32" i="11"/>
  <c r="AY32" i="12" s="1"/>
  <c r="AZ32" i="11"/>
  <c r="AZ32" i="12" s="1"/>
  <c r="BA32" i="11"/>
  <c r="BA32" i="12" s="1"/>
  <c r="AH33" i="11"/>
  <c r="AH33" i="12" s="1"/>
  <c r="AI33" i="11"/>
  <c r="AI33" i="12" s="1"/>
  <c r="AJ33" i="11"/>
  <c r="AJ33" i="12" s="1"/>
  <c r="AK33" i="11"/>
  <c r="AK33" i="12" s="1"/>
  <c r="AL33" i="11"/>
  <c r="AL33" i="12" s="1"/>
  <c r="AM33" i="11"/>
  <c r="AM33" i="12" s="1"/>
  <c r="AN33" i="11"/>
  <c r="AN33" i="12" s="1"/>
  <c r="AO33" i="11"/>
  <c r="AO33" i="12" s="1"/>
  <c r="AP33" i="11"/>
  <c r="AP33" i="12" s="1"/>
  <c r="AQ33" i="11"/>
  <c r="AQ33" i="12" s="1"/>
  <c r="AR33" i="11"/>
  <c r="AR33" i="12" s="1"/>
  <c r="AS33" i="11"/>
  <c r="AS33" i="12" s="1"/>
  <c r="AT33" i="11"/>
  <c r="AT33" i="12" s="1"/>
  <c r="AU33" i="11"/>
  <c r="AU33" i="12" s="1"/>
  <c r="AV33" i="11"/>
  <c r="AV33" i="12" s="1"/>
  <c r="AW33" i="11"/>
  <c r="AW33" i="12" s="1"/>
  <c r="AX33" i="11"/>
  <c r="AX33" i="12" s="1"/>
  <c r="AY33" i="11"/>
  <c r="AY33" i="12" s="1"/>
  <c r="AZ33" i="11"/>
  <c r="AZ33" i="12" s="1"/>
  <c r="BA33" i="11"/>
  <c r="BA33" i="12" s="1"/>
  <c r="AH34" i="11"/>
  <c r="AH34" i="12" s="1"/>
  <c r="AI34" i="11"/>
  <c r="AI34" i="12" s="1"/>
  <c r="AJ34" i="11"/>
  <c r="AJ34" i="12" s="1"/>
  <c r="AK34" i="11"/>
  <c r="AK34" i="12" s="1"/>
  <c r="AL34" i="11"/>
  <c r="AL34" i="12" s="1"/>
  <c r="AM34" i="11"/>
  <c r="AM34" i="12" s="1"/>
  <c r="AN34" i="11"/>
  <c r="AN34" i="12" s="1"/>
  <c r="AO34" i="11"/>
  <c r="AO34" i="12" s="1"/>
  <c r="AP34" i="11"/>
  <c r="AP34" i="12" s="1"/>
  <c r="AQ34" i="11"/>
  <c r="AQ34" i="12" s="1"/>
  <c r="AR34" i="11"/>
  <c r="AR34" i="12" s="1"/>
  <c r="AS34" i="11"/>
  <c r="AS34" i="12" s="1"/>
  <c r="AT34" i="11"/>
  <c r="AT34" i="12" s="1"/>
  <c r="AU34" i="11"/>
  <c r="AU34" i="12" s="1"/>
  <c r="AV34" i="11"/>
  <c r="AV34" i="12" s="1"/>
  <c r="AW34" i="11"/>
  <c r="AW34" i="12" s="1"/>
  <c r="AX34" i="11"/>
  <c r="AX34" i="12" s="1"/>
  <c r="AY34" i="11"/>
  <c r="AY34" i="12" s="1"/>
  <c r="AZ34" i="11"/>
  <c r="AZ34" i="12" s="1"/>
  <c r="BA34" i="11"/>
  <c r="BA34" i="12" s="1"/>
  <c r="AH35" i="11"/>
  <c r="AH35" i="12" s="1"/>
  <c r="AI35" i="11"/>
  <c r="AI35" i="12" s="1"/>
  <c r="AJ35" i="11"/>
  <c r="AJ35" i="12" s="1"/>
  <c r="AK35" i="11"/>
  <c r="AK35" i="12" s="1"/>
  <c r="AL35" i="11"/>
  <c r="AL35" i="12" s="1"/>
  <c r="AM35" i="11"/>
  <c r="AM35" i="12" s="1"/>
  <c r="AN35" i="11"/>
  <c r="AN35" i="12" s="1"/>
  <c r="AO35" i="11"/>
  <c r="AO35" i="12" s="1"/>
  <c r="AP35" i="11"/>
  <c r="AP35" i="12" s="1"/>
  <c r="AQ35" i="11"/>
  <c r="AQ35" i="12" s="1"/>
  <c r="AR35" i="11"/>
  <c r="AR35" i="12" s="1"/>
  <c r="AS35" i="11"/>
  <c r="AS35" i="12" s="1"/>
  <c r="AT35" i="11"/>
  <c r="AT35" i="12" s="1"/>
  <c r="AU35" i="11"/>
  <c r="AU35" i="12" s="1"/>
  <c r="AV35" i="11"/>
  <c r="AV35" i="12" s="1"/>
  <c r="AW35" i="11"/>
  <c r="AW35" i="12" s="1"/>
  <c r="AX35" i="11"/>
  <c r="AX35" i="12" s="1"/>
  <c r="AY35" i="11"/>
  <c r="AY35" i="12" s="1"/>
  <c r="AZ35" i="11"/>
  <c r="AZ35" i="12" s="1"/>
  <c r="BA35" i="11"/>
  <c r="BA35" i="12" s="1"/>
  <c r="AH36" i="11"/>
  <c r="AH36" i="12" s="1"/>
  <c r="AI36" i="11"/>
  <c r="AI36" i="12" s="1"/>
  <c r="AJ36" i="11"/>
  <c r="AJ36" i="12" s="1"/>
  <c r="AK36" i="11"/>
  <c r="AK36" i="12" s="1"/>
  <c r="AL36" i="11"/>
  <c r="AL36" i="12" s="1"/>
  <c r="AM36" i="11"/>
  <c r="AM36" i="12" s="1"/>
  <c r="AN36" i="11"/>
  <c r="AN36" i="12" s="1"/>
  <c r="AO36" i="11"/>
  <c r="AO36" i="12" s="1"/>
  <c r="AP36" i="11"/>
  <c r="AP36" i="12" s="1"/>
  <c r="AQ36" i="11"/>
  <c r="AQ36" i="12" s="1"/>
  <c r="AR36" i="11"/>
  <c r="AR36" i="12" s="1"/>
  <c r="AS36" i="11"/>
  <c r="AS36" i="12" s="1"/>
  <c r="AT36" i="11"/>
  <c r="AT36" i="12" s="1"/>
  <c r="AU36" i="11"/>
  <c r="AU36" i="12" s="1"/>
  <c r="AV36" i="11"/>
  <c r="AV36" i="12" s="1"/>
  <c r="AW36" i="11"/>
  <c r="AW36" i="12" s="1"/>
  <c r="AX36" i="11"/>
  <c r="AX36" i="12" s="1"/>
  <c r="AY36" i="11"/>
  <c r="AY36" i="12" s="1"/>
  <c r="AZ36" i="11"/>
  <c r="AZ36" i="12" s="1"/>
  <c r="BA36" i="11"/>
  <c r="BA36" i="12" s="1"/>
  <c r="AH37" i="11"/>
  <c r="AH37" i="12" s="1"/>
  <c r="AI37" i="11"/>
  <c r="AI37" i="12" s="1"/>
  <c r="AJ37" i="11"/>
  <c r="AJ37" i="12" s="1"/>
  <c r="AK37" i="11"/>
  <c r="AK37" i="12" s="1"/>
  <c r="AL37" i="11"/>
  <c r="AL37" i="12" s="1"/>
  <c r="AM37" i="11"/>
  <c r="AM37" i="12" s="1"/>
  <c r="AN37" i="11"/>
  <c r="AN37" i="12" s="1"/>
  <c r="AO37" i="11"/>
  <c r="AO37" i="12" s="1"/>
  <c r="AP37" i="11"/>
  <c r="AP37" i="12" s="1"/>
  <c r="AQ37" i="11"/>
  <c r="AQ37" i="12" s="1"/>
  <c r="AR37" i="11"/>
  <c r="AR37" i="12" s="1"/>
  <c r="AS37" i="11"/>
  <c r="AS37" i="12" s="1"/>
  <c r="AT37" i="11"/>
  <c r="AT37" i="12" s="1"/>
  <c r="AU37" i="11"/>
  <c r="AU37" i="12" s="1"/>
  <c r="AV37" i="11"/>
  <c r="AV37" i="12" s="1"/>
  <c r="AW37" i="11"/>
  <c r="AW37" i="12" s="1"/>
  <c r="AX37" i="11"/>
  <c r="AX37" i="12" s="1"/>
  <c r="AY37" i="11"/>
  <c r="AY37" i="12" s="1"/>
  <c r="AZ37" i="11"/>
  <c r="AZ37" i="12" s="1"/>
  <c r="BA37" i="11"/>
  <c r="BA37" i="12" s="1"/>
  <c r="AH38" i="11"/>
  <c r="AH38" i="12" s="1"/>
  <c r="AI38" i="11"/>
  <c r="AI38" i="12" s="1"/>
  <c r="AJ38" i="11"/>
  <c r="AJ38" i="12" s="1"/>
  <c r="AK38" i="11"/>
  <c r="AK38" i="12" s="1"/>
  <c r="AL38" i="11"/>
  <c r="AL38" i="12" s="1"/>
  <c r="AM38" i="11"/>
  <c r="AM38" i="12" s="1"/>
  <c r="AN38" i="11"/>
  <c r="AN38" i="12" s="1"/>
  <c r="AO38" i="11"/>
  <c r="AO38" i="12" s="1"/>
  <c r="AP38" i="11"/>
  <c r="AP38" i="12" s="1"/>
  <c r="AQ38" i="11"/>
  <c r="AQ38" i="12" s="1"/>
  <c r="AR38" i="11"/>
  <c r="AR38" i="12" s="1"/>
  <c r="AS38" i="11"/>
  <c r="AS38" i="12" s="1"/>
  <c r="AT38" i="11"/>
  <c r="AT38" i="12" s="1"/>
  <c r="AU38" i="11"/>
  <c r="AU38" i="12" s="1"/>
  <c r="AV38" i="11"/>
  <c r="AV38" i="12" s="1"/>
  <c r="AW38" i="11"/>
  <c r="AW38" i="12" s="1"/>
  <c r="AX38" i="11"/>
  <c r="AX38" i="12" s="1"/>
  <c r="AY38" i="11"/>
  <c r="AY38" i="12" s="1"/>
  <c r="AZ38" i="11"/>
  <c r="AZ38" i="12" s="1"/>
  <c r="BA38" i="11"/>
  <c r="BA38" i="12" s="1"/>
  <c r="AH39" i="11"/>
  <c r="AH39" i="12" s="1"/>
  <c r="AI39" i="11"/>
  <c r="AI39" i="12" s="1"/>
  <c r="AJ39" i="11"/>
  <c r="AJ39" i="12" s="1"/>
  <c r="AK39" i="11"/>
  <c r="AK39" i="12" s="1"/>
  <c r="AL39" i="11"/>
  <c r="AL39" i="12" s="1"/>
  <c r="AM39" i="11"/>
  <c r="AM39" i="12" s="1"/>
  <c r="AN39" i="11"/>
  <c r="AN39" i="12" s="1"/>
  <c r="AO39" i="11"/>
  <c r="AO39" i="12" s="1"/>
  <c r="AP39" i="11"/>
  <c r="AP39" i="12" s="1"/>
  <c r="AQ39" i="11"/>
  <c r="AQ39" i="12" s="1"/>
  <c r="AR39" i="11"/>
  <c r="AR39" i="12" s="1"/>
  <c r="AS39" i="11"/>
  <c r="AS39" i="12" s="1"/>
  <c r="AT39" i="11"/>
  <c r="AT39" i="12" s="1"/>
  <c r="AU39" i="11"/>
  <c r="AU39" i="12" s="1"/>
  <c r="AV39" i="11"/>
  <c r="AV39" i="12" s="1"/>
  <c r="AW39" i="11"/>
  <c r="AW39" i="12" s="1"/>
  <c r="AX39" i="11"/>
  <c r="AX39" i="12" s="1"/>
  <c r="AY39" i="11"/>
  <c r="AY39" i="12" s="1"/>
  <c r="AZ39" i="11"/>
  <c r="AZ39" i="12" s="1"/>
  <c r="BA39" i="11"/>
  <c r="BA39" i="12" s="1"/>
  <c r="AH40" i="11"/>
  <c r="AH40" i="12" s="1"/>
  <c r="AI40" i="11"/>
  <c r="AI40" i="12" s="1"/>
  <c r="AJ40" i="11"/>
  <c r="AJ40" i="12" s="1"/>
  <c r="AK40" i="11"/>
  <c r="AK40" i="12" s="1"/>
  <c r="AL40" i="11"/>
  <c r="AL40" i="12" s="1"/>
  <c r="AM40" i="11"/>
  <c r="AM40" i="12" s="1"/>
  <c r="AN40" i="11"/>
  <c r="AN40" i="12" s="1"/>
  <c r="AO40" i="11"/>
  <c r="AO40" i="12" s="1"/>
  <c r="AP40" i="11"/>
  <c r="AP40" i="12" s="1"/>
  <c r="AQ40" i="11"/>
  <c r="AQ40" i="12" s="1"/>
  <c r="AR40" i="11"/>
  <c r="AR40" i="12" s="1"/>
  <c r="AS40" i="11"/>
  <c r="AS40" i="12" s="1"/>
  <c r="AT40" i="11"/>
  <c r="AT40" i="12" s="1"/>
  <c r="AU40" i="11"/>
  <c r="AU40" i="12" s="1"/>
  <c r="AV40" i="11"/>
  <c r="AV40" i="12" s="1"/>
  <c r="AW40" i="11"/>
  <c r="AW40" i="12" s="1"/>
  <c r="AX40" i="11"/>
  <c r="AX40" i="12" s="1"/>
  <c r="AY40" i="11"/>
  <c r="AY40" i="12" s="1"/>
  <c r="AZ40" i="11"/>
  <c r="AZ40" i="12" s="1"/>
  <c r="BA40" i="11"/>
  <c r="BA40" i="12" s="1"/>
  <c r="AH41" i="11"/>
  <c r="AH41" i="12" s="1"/>
  <c r="AI41" i="11"/>
  <c r="AI41" i="12" s="1"/>
  <c r="AJ41" i="11"/>
  <c r="AJ41" i="12" s="1"/>
  <c r="AK41" i="11"/>
  <c r="AK41" i="12" s="1"/>
  <c r="AL41" i="11"/>
  <c r="AL41" i="12" s="1"/>
  <c r="AM41" i="11"/>
  <c r="AM41" i="12" s="1"/>
  <c r="AN41" i="11"/>
  <c r="AN41" i="12" s="1"/>
  <c r="AO41" i="11"/>
  <c r="AO41" i="12" s="1"/>
  <c r="AP41" i="11"/>
  <c r="AP41" i="12" s="1"/>
  <c r="AQ41" i="11"/>
  <c r="AQ41" i="12" s="1"/>
  <c r="AR41" i="11"/>
  <c r="AR41" i="12" s="1"/>
  <c r="AS41" i="11"/>
  <c r="AS41" i="12" s="1"/>
  <c r="AT41" i="11"/>
  <c r="AT41" i="12" s="1"/>
  <c r="AU41" i="11"/>
  <c r="AU41" i="12" s="1"/>
  <c r="AV41" i="11"/>
  <c r="AV41" i="12" s="1"/>
  <c r="AW41" i="11"/>
  <c r="AW41" i="12" s="1"/>
  <c r="AX41" i="11"/>
  <c r="AX41" i="12" s="1"/>
  <c r="AY41" i="11"/>
  <c r="AY41" i="12" s="1"/>
  <c r="AZ41" i="11"/>
  <c r="AZ41" i="12" s="1"/>
  <c r="BA41" i="11"/>
  <c r="BA41" i="12" s="1"/>
  <c r="AH42" i="11"/>
  <c r="AH42" i="12" s="1"/>
  <c r="AI42" i="11"/>
  <c r="AI42" i="12" s="1"/>
  <c r="AJ42" i="11"/>
  <c r="AJ42" i="12" s="1"/>
  <c r="AK42" i="11"/>
  <c r="AK42" i="12" s="1"/>
  <c r="AL42" i="11"/>
  <c r="AL42" i="12" s="1"/>
  <c r="AM42" i="11"/>
  <c r="AM42" i="12" s="1"/>
  <c r="AN42" i="11"/>
  <c r="AN42" i="12" s="1"/>
  <c r="AO42" i="11"/>
  <c r="AO42" i="12" s="1"/>
  <c r="AP42" i="11"/>
  <c r="AP42" i="12" s="1"/>
  <c r="AQ42" i="11"/>
  <c r="AQ42" i="12" s="1"/>
  <c r="AR42" i="11"/>
  <c r="AR42" i="12" s="1"/>
  <c r="AS42" i="11"/>
  <c r="AS42" i="12" s="1"/>
  <c r="AT42" i="11"/>
  <c r="AT42" i="12" s="1"/>
  <c r="AU42" i="11"/>
  <c r="AU42" i="12" s="1"/>
  <c r="AV42" i="11"/>
  <c r="AV42" i="12" s="1"/>
  <c r="AW42" i="11"/>
  <c r="AW42" i="12" s="1"/>
  <c r="AX42" i="11"/>
  <c r="AX42" i="12" s="1"/>
  <c r="AY42" i="11"/>
  <c r="AY42" i="12" s="1"/>
  <c r="AZ42" i="11"/>
  <c r="AZ42" i="12" s="1"/>
  <c r="BA42" i="11"/>
  <c r="BA42" i="12" s="1"/>
  <c r="AH43" i="11"/>
  <c r="AH43" i="12" s="1"/>
  <c r="AI43" i="11"/>
  <c r="AI43" i="12" s="1"/>
  <c r="AJ43" i="11"/>
  <c r="AJ43" i="12" s="1"/>
  <c r="AK43" i="11"/>
  <c r="AK43" i="12" s="1"/>
  <c r="AL43" i="11"/>
  <c r="AL43" i="12" s="1"/>
  <c r="AM43" i="11"/>
  <c r="AM43" i="12" s="1"/>
  <c r="AN43" i="11"/>
  <c r="AN43" i="12" s="1"/>
  <c r="AO43" i="11"/>
  <c r="AO43" i="12" s="1"/>
  <c r="AP43" i="11"/>
  <c r="AP43" i="12" s="1"/>
  <c r="AQ43" i="11"/>
  <c r="AQ43" i="12" s="1"/>
  <c r="AR43" i="11"/>
  <c r="AR43" i="12" s="1"/>
  <c r="AS43" i="11"/>
  <c r="AS43" i="12" s="1"/>
  <c r="AT43" i="11"/>
  <c r="AT43" i="12" s="1"/>
  <c r="AU43" i="11"/>
  <c r="AU43" i="12" s="1"/>
  <c r="AV43" i="11"/>
  <c r="AV43" i="12" s="1"/>
  <c r="AW43" i="11"/>
  <c r="AW43" i="12" s="1"/>
  <c r="AX43" i="11"/>
  <c r="AX43" i="12" s="1"/>
  <c r="AY43" i="11"/>
  <c r="AY43" i="12" s="1"/>
  <c r="AZ43" i="11"/>
  <c r="AZ43" i="12" s="1"/>
  <c r="BA43" i="11"/>
  <c r="BA43" i="12" s="1"/>
  <c r="AH44" i="11"/>
  <c r="AH44" i="12" s="1"/>
  <c r="AI44" i="11"/>
  <c r="AI44" i="12" s="1"/>
  <c r="AJ44" i="11"/>
  <c r="AJ44" i="12" s="1"/>
  <c r="AK44" i="11"/>
  <c r="AK44" i="12" s="1"/>
  <c r="AL44" i="11"/>
  <c r="AL44" i="12" s="1"/>
  <c r="AM44" i="11"/>
  <c r="AM44" i="12" s="1"/>
  <c r="AN44" i="11"/>
  <c r="AN44" i="12" s="1"/>
  <c r="AO44" i="11"/>
  <c r="AO44" i="12" s="1"/>
  <c r="AP44" i="11"/>
  <c r="AP44" i="12" s="1"/>
  <c r="AQ44" i="11"/>
  <c r="AQ44" i="12" s="1"/>
  <c r="AR44" i="11"/>
  <c r="AR44" i="12" s="1"/>
  <c r="AS44" i="11"/>
  <c r="AS44" i="12" s="1"/>
  <c r="AT44" i="11"/>
  <c r="AT44" i="12" s="1"/>
  <c r="AU44" i="11"/>
  <c r="AU44" i="12" s="1"/>
  <c r="AV44" i="11"/>
  <c r="AV44" i="12" s="1"/>
  <c r="AW44" i="11"/>
  <c r="AW44" i="12" s="1"/>
  <c r="AX44" i="11"/>
  <c r="AX44" i="12" s="1"/>
  <c r="AY44" i="11"/>
  <c r="AY44" i="12" s="1"/>
  <c r="AZ44" i="11"/>
  <c r="AZ44" i="12" s="1"/>
  <c r="BA44" i="11"/>
  <c r="BA44" i="12" s="1"/>
  <c r="AH45" i="11"/>
  <c r="AH45" i="12" s="1"/>
  <c r="AI45" i="11"/>
  <c r="AI45" i="12" s="1"/>
  <c r="AJ45" i="11"/>
  <c r="AJ45" i="12" s="1"/>
  <c r="AK45" i="11"/>
  <c r="AK45" i="12" s="1"/>
  <c r="AL45" i="11"/>
  <c r="AL45" i="12" s="1"/>
  <c r="AM45" i="11"/>
  <c r="AM45" i="12" s="1"/>
  <c r="AN45" i="11"/>
  <c r="AN45" i="12" s="1"/>
  <c r="AO45" i="11"/>
  <c r="AO45" i="12" s="1"/>
  <c r="AP45" i="11"/>
  <c r="AP45" i="12" s="1"/>
  <c r="AQ45" i="11"/>
  <c r="AQ45" i="12" s="1"/>
  <c r="AR45" i="11"/>
  <c r="AR45" i="12" s="1"/>
  <c r="AS45" i="11"/>
  <c r="AS45" i="12" s="1"/>
  <c r="AT45" i="11"/>
  <c r="AT45" i="12" s="1"/>
  <c r="AU45" i="11"/>
  <c r="AU45" i="12" s="1"/>
  <c r="AV45" i="11"/>
  <c r="AV45" i="12" s="1"/>
  <c r="AW45" i="11"/>
  <c r="AW45" i="12" s="1"/>
  <c r="AX45" i="11"/>
  <c r="AX45" i="12" s="1"/>
  <c r="AY45" i="11"/>
  <c r="AY45" i="12" s="1"/>
  <c r="AZ45" i="11"/>
  <c r="AZ45" i="12" s="1"/>
  <c r="BA45" i="11"/>
  <c r="BA45" i="12" s="1"/>
  <c r="AH46" i="11"/>
  <c r="AH46" i="12" s="1"/>
  <c r="AI46" i="11"/>
  <c r="AI46" i="12" s="1"/>
  <c r="AJ46" i="11"/>
  <c r="AJ46" i="12" s="1"/>
  <c r="AK46" i="11"/>
  <c r="AK46" i="12" s="1"/>
  <c r="AL46" i="11"/>
  <c r="AL46" i="12" s="1"/>
  <c r="AM46" i="11"/>
  <c r="AM46" i="12" s="1"/>
  <c r="AN46" i="11"/>
  <c r="AN46" i="12" s="1"/>
  <c r="AO46" i="11"/>
  <c r="AO46" i="12" s="1"/>
  <c r="AP46" i="11"/>
  <c r="AP46" i="12" s="1"/>
  <c r="AQ46" i="11"/>
  <c r="AQ46" i="12" s="1"/>
  <c r="AR46" i="11"/>
  <c r="AR46" i="12" s="1"/>
  <c r="AS46" i="11"/>
  <c r="AS46" i="12" s="1"/>
  <c r="AT46" i="11"/>
  <c r="AT46" i="12" s="1"/>
  <c r="AU46" i="11"/>
  <c r="AU46" i="12" s="1"/>
  <c r="AV46" i="11"/>
  <c r="AV46" i="12" s="1"/>
  <c r="AW46" i="11"/>
  <c r="AW46" i="12" s="1"/>
  <c r="AX46" i="11"/>
  <c r="AX46" i="12" s="1"/>
  <c r="AY46" i="11"/>
  <c r="AY46" i="12" s="1"/>
  <c r="AZ46" i="11"/>
  <c r="AZ46" i="12" s="1"/>
  <c r="BA46" i="11"/>
  <c r="BA46" i="12" s="1"/>
  <c r="AH47" i="11"/>
  <c r="AH47" i="12" s="1"/>
  <c r="AI47" i="11"/>
  <c r="AI47" i="12" s="1"/>
  <c r="AJ47" i="11"/>
  <c r="AJ47" i="12" s="1"/>
  <c r="AK47" i="11"/>
  <c r="AK47" i="12" s="1"/>
  <c r="AL47" i="11"/>
  <c r="AL47" i="12" s="1"/>
  <c r="AM47" i="11"/>
  <c r="AM47" i="12" s="1"/>
  <c r="AN47" i="11"/>
  <c r="AN47" i="12" s="1"/>
  <c r="AO47" i="11"/>
  <c r="AO47" i="12" s="1"/>
  <c r="AP47" i="11"/>
  <c r="AP47" i="12" s="1"/>
  <c r="AQ47" i="11"/>
  <c r="AQ47" i="12" s="1"/>
  <c r="AR47" i="11"/>
  <c r="AR47" i="12" s="1"/>
  <c r="AS47" i="11"/>
  <c r="AS47" i="12" s="1"/>
  <c r="AT47" i="11"/>
  <c r="AT47" i="12" s="1"/>
  <c r="AU47" i="11"/>
  <c r="AU47" i="12" s="1"/>
  <c r="AV47" i="11"/>
  <c r="AV47" i="12" s="1"/>
  <c r="AW47" i="11"/>
  <c r="AW47" i="12" s="1"/>
  <c r="AX47" i="11"/>
  <c r="AX47" i="12" s="1"/>
  <c r="AY47" i="11"/>
  <c r="AY47" i="12" s="1"/>
  <c r="AZ47" i="11"/>
  <c r="AZ47" i="12" s="1"/>
  <c r="BA47" i="11"/>
  <c r="BA47" i="12" s="1"/>
  <c r="AH48" i="11"/>
  <c r="AH48" i="12" s="1"/>
  <c r="AI48" i="11"/>
  <c r="AI48" i="12" s="1"/>
  <c r="AJ48" i="11"/>
  <c r="AJ48" i="12" s="1"/>
  <c r="AK48" i="11"/>
  <c r="AK48" i="12" s="1"/>
  <c r="AL48" i="11"/>
  <c r="AL48" i="12" s="1"/>
  <c r="AM48" i="11"/>
  <c r="AM48" i="12" s="1"/>
  <c r="AN48" i="11"/>
  <c r="AN48" i="12" s="1"/>
  <c r="AO48" i="11"/>
  <c r="AO48" i="12" s="1"/>
  <c r="AP48" i="11"/>
  <c r="AP48" i="12" s="1"/>
  <c r="AQ48" i="11"/>
  <c r="AQ48" i="12" s="1"/>
  <c r="AR48" i="11"/>
  <c r="AR48" i="12" s="1"/>
  <c r="AS48" i="11"/>
  <c r="AS48" i="12" s="1"/>
  <c r="AT48" i="11"/>
  <c r="AT48" i="12" s="1"/>
  <c r="AU48" i="11"/>
  <c r="AU48" i="12" s="1"/>
  <c r="AV48" i="11"/>
  <c r="AV48" i="12" s="1"/>
  <c r="AW48" i="11"/>
  <c r="AW48" i="12" s="1"/>
  <c r="AX48" i="11"/>
  <c r="AX48" i="12" s="1"/>
  <c r="AY48" i="11"/>
  <c r="AY48" i="12" s="1"/>
  <c r="AZ48" i="11"/>
  <c r="AZ48" i="12" s="1"/>
  <c r="BA48" i="11"/>
  <c r="BA48" i="12" s="1"/>
  <c r="AH49" i="11"/>
  <c r="AH49" i="12" s="1"/>
  <c r="AI49" i="11"/>
  <c r="AI49" i="12" s="1"/>
  <c r="AJ49" i="11"/>
  <c r="AJ49" i="12" s="1"/>
  <c r="AK49" i="11"/>
  <c r="AK49" i="12" s="1"/>
  <c r="AL49" i="11"/>
  <c r="AL49" i="12" s="1"/>
  <c r="AM49" i="11"/>
  <c r="AM49" i="12" s="1"/>
  <c r="AN49" i="11"/>
  <c r="AN49" i="12" s="1"/>
  <c r="AO49" i="11"/>
  <c r="AO49" i="12" s="1"/>
  <c r="AP49" i="11"/>
  <c r="AP49" i="12" s="1"/>
  <c r="AQ49" i="11"/>
  <c r="AQ49" i="12" s="1"/>
  <c r="AR49" i="11"/>
  <c r="AR49" i="12" s="1"/>
  <c r="AS49" i="11"/>
  <c r="AS49" i="12" s="1"/>
  <c r="AT49" i="11"/>
  <c r="AT49" i="12" s="1"/>
  <c r="AU49" i="11"/>
  <c r="AU49" i="12" s="1"/>
  <c r="AV49" i="11"/>
  <c r="AV49" i="12" s="1"/>
  <c r="AW49" i="11"/>
  <c r="AW49" i="12" s="1"/>
  <c r="AX49" i="11"/>
  <c r="AX49" i="12" s="1"/>
  <c r="AY49" i="11"/>
  <c r="AY49" i="12" s="1"/>
  <c r="AZ49" i="11"/>
  <c r="AZ49" i="12" s="1"/>
  <c r="BA49" i="11"/>
  <c r="BA49" i="12" s="1"/>
  <c r="AH50" i="11"/>
  <c r="AH50" i="12" s="1"/>
  <c r="AI50" i="11"/>
  <c r="AI50" i="12" s="1"/>
  <c r="AJ50" i="11"/>
  <c r="AJ50" i="12" s="1"/>
  <c r="AK50" i="11"/>
  <c r="AK50" i="12" s="1"/>
  <c r="AL50" i="11"/>
  <c r="AL50" i="12" s="1"/>
  <c r="AM50" i="11"/>
  <c r="AM50" i="12" s="1"/>
  <c r="AN50" i="11"/>
  <c r="AN50" i="12" s="1"/>
  <c r="AO50" i="11"/>
  <c r="AO50" i="12" s="1"/>
  <c r="AP50" i="11"/>
  <c r="AP50" i="12" s="1"/>
  <c r="AQ50" i="11"/>
  <c r="AQ50" i="12" s="1"/>
  <c r="AR50" i="11"/>
  <c r="AR50" i="12" s="1"/>
  <c r="AS50" i="11"/>
  <c r="AS50" i="12" s="1"/>
  <c r="AT50" i="11"/>
  <c r="AT50" i="12" s="1"/>
  <c r="AU50" i="11"/>
  <c r="AU50" i="12" s="1"/>
  <c r="AV50" i="11"/>
  <c r="AV50" i="12" s="1"/>
  <c r="AW50" i="11"/>
  <c r="AW50" i="12" s="1"/>
  <c r="AX50" i="11"/>
  <c r="AX50" i="12" s="1"/>
  <c r="AY50" i="11"/>
  <c r="AY50" i="12" s="1"/>
  <c r="AZ50" i="11"/>
  <c r="AZ50" i="12" s="1"/>
  <c r="BA50" i="11"/>
  <c r="BA50" i="12" s="1"/>
  <c r="AH51" i="11"/>
  <c r="AH51" i="12" s="1"/>
  <c r="AI51" i="11"/>
  <c r="AI51" i="12" s="1"/>
  <c r="AJ51" i="11"/>
  <c r="AJ51" i="12" s="1"/>
  <c r="AK51" i="11"/>
  <c r="AK51" i="12" s="1"/>
  <c r="AL51" i="11"/>
  <c r="AL51" i="12" s="1"/>
  <c r="AM51" i="11"/>
  <c r="AM51" i="12" s="1"/>
  <c r="AN51" i="11"/>
  <c r="AN51" i="12" s="1"/>
  <c r="AO51" i="11"/>
  <c r="AO51" i="12" s="1"/>
  <c r="AP51" i="11"/>
  <c r="AP51" i="12" s="1"/>
  <c r="AQ51" i="11"/>
  <c r="AQ51" i="12" s="1"/>
  <c r="AR51" i="11"/>
  <c r="AR51" i="12" s="1"/>
  <c r="AS51" i="11"/>
  <c r="AS51" i="12" s="1"/>
  <c r="AT51" i="11"/>
  <c r="AT51" i="12" s="1"/>
  <c r="AU51" i="11"/>
  <c r="AU51" i="12" s="1"/>
  <c r="AV51" i="11"/>
  <c r="AV51" i="12" s="1"/>
  <c r="AW51" i="11"/>
  <c r="AW51" i="12" s="1"/>
  <c r="AX51" i="11"/>
  <c r="AX51" i="12" s="1"/>
  <c r="AY51" i="11"/>
  <c r="AY51" i="12" s="1"/>
  <c r="AZ51" i="11"/>
  <c r="AZ51" i="12" s="1"/>
  <c r="BA51" i="11"/>
  <c r="BA51" i="12" s="1"/>
  <c r="AH52" i="11"/>
  <c r="AH52" i="12" s="1"/>
  <c r="AI52" i="11"/>
  <c r="AI52" i="12" s="1"/>
  <c r="AJ52" i="11"/>
  <c r="AJ52" i="12" s="1"/>
  <c r="AK52" i="11"/>
  <c r="AK52" i="12" s="1"/>
  <c r="AL52" i="11"/>
  <c r="AL52" i="12" s="1"/>
  <c r="AM52" i="11"/>
  <c r="AM52" i="12" s="1"/>
  <c r="AN52" i="11"/>
  <c r="AN52" i="12" s="1"/>
  <c r="AO52" i="11"/>
  <c r="AO52" i="12" s="1"/>
  <c r="AP52" i="11"/>
  <c r="AP52" i="12" s="1"/>
  <c r="AQ52" i="11"/>
  <c r="AQ52" i="12" s="1"/>
  <c r="AR52" i="11"/>
  <c r="AR52" i="12" s="1"/>
  <c r="AS52" i="11"/>
  <c r="AS52" i="12" s="1"/>
  <c r="AT52" i="11"/>
  <c r="AT52" i="12" s="1"/>
  <c r="AU52" i="11"/>
  <c r="AU52" i="12" s="1"/>
  <c r="AV52" i="11"/>
  <c r="AV52" i="12" s="1"/>
  <c r="AW52" i="11"/>
  <c r="AW52" i="12" s="1"/>
  <c r="AX52" i="11"/>
  <c r="AX52" i="12" s="1"/>
  <c r="AY52" i="11"/>
  <c r="AY52" i="12" s="1"/>
  <c r="AZ52" i="11"/>
  <c r="AZ52" i="12" s="1"/>
  <c r="BA52" i="11"/>
  <c r="BA52" i="12" s="1"/>
  <c r="AH53" i="11"/>
  <c r="AH53" i="12" s="1"/>
  <c r="AI53" i="11"/>
  <c r="AI53" i="12" s="1"/>
  <c r="AJ53" i="11"/>
  <c r="AJ53" i="12" s="1"/>
  <c r="AK53" i="11"/>
  <c r="AK53" i="12" s="1"/>
  <c r="AL53" i="11"/>
  <c r="AL53" i="12" s="1"/>
  <c r="AM53" i="11"/>
  <c r="AM53" i="12" s="1"/>
  <c r="AN53" i="11"/>
  <c r="AN53" i="12" s="1"/>
  <c r="AO53" i="11"/>
  <c r="AO53" i="12" s="1"/>
  <c r="AP53" i="11"/>
  <c r="AP53" i="12" s="1"/>
  <c r="AQ53" i="11"/>
  <c r="AQ53" i="12" s="1"/>
  <c r="AR53" i="11"/>
  <c r="AR53" i="12" s="1"/>
  <c r="AS53" i="11"/>
  <c r="AS53" i="12" s="1"/>
  <c r="AT53" i="11"/>
  <c r="AT53" i="12" s="1"/>
  <c r="AU53" i="11"/>
  <c r="AU53" i="12" s="1"/>
  <c r="AV53" i="11"/>
  <c r="AV53" i="12" s="1"/>
  <c r="AW53" i="11"/>
  <c r="AW53" i="12" s="1"/>
  <c r="AX53" i="11"/>
  <c r="AX53" i="12" s="1"/>
  <c r="AY53" i="11"/>
  <c r="AY53" i="12" s="1"/>
  <c r="AZ53" i="11"/>
  <c r="AZ53" i="12" s="1"/>
  <c r="BA53" i="11"/>
  <c r="BA53" i="12" s="1"/>
  <c r="AH54" i="11"/>
  <c r="AH54" i="12" s="1"/>
  <c r="AI54" i="11"/>
  <c r="AI54" i="12" s="1"/>
  <c r="AJ54" i="11"/>
  <c r="AJ54" i="12" s="1"/>
  <c r="AK54" i="11"/>
  <c r="AK54" i="12" s="1"/>
  <c r="AL54" i="11"/>
  <c r="AL54" i="12" s="1"/>
  <c r="AM54" i="11"/>
  <c r="AM54" i="12" s="1"/>
  <c r="AN54" i="11"/>
  <c r="AN54" i="12" s="1"/>
  <c r="AO54" i="11"/>
  <c r="AO54" i="12" s="1"/>
  <c r="AP54" i="11"/>
  <c r="AP54" i="12" s="1"/>
  <c r="AQ54" i="11"/>
  <c r="AQ54" i="12" s="1"/>
  <c r="AR54" i="11"/>
  <c r="AR54" i="12" s="1"/>
  <c r="AS54" i="11"/>
  <c r="AS54" i="12" s="1"/>
  <c r="AT54" i="11"/>
  <c r="AT54" i="12" s="1"/>
  <c r="AU54" i="11"/>
  <c r="AU54" i="12" s="1"/>
  <c r="AV54" i="11"/>
  <c r="AV54" i="12" s="1"/>
  <c r="AW54" i="11"/>
  <c r="AW54" i="12" s="1"/>
  <c r="AX54" i="11"/>
  <c r="AX54" i="12" s="1"/>
  <c r="AY54" i="11"/>
  <c r="AY54" i="12" s="1"/>
  <c r="AZ54" i="11"/>
  <c r="AZ54" i="12" s="1"/>
  <c r="BA54" i="11"/>
  <c r="BA54" i="12" s="1"/>
  <c r="AH55" i="11"/>
  <c r="AH55" i="12" s="1"/>
  <c r="AI55" i="11"/>
  <c r="AI55" i="12" s="1"/>
  <c r="AJ55" i="11"/>
  <c r="AJ55" i="12" s="1"/>
  <c r="AK55" i="11"/>
  <c r="AK55" i="12" s="1"/>
  <c r="AL55" i="11"/>
  <c r="AL55" i="12" s="1"/>
  <c r="AM55" i="11"/>
  <c r="AM55" i="12" s="1"/>
  <c r="AN55" i="11"/>
  <c r="AN55" i="12" s="1"/>
  <c r="AO55" i="11"/>
  <c r="AO55" i="12" s="1"/>
  <c r="AP55" i="11"/>
  <c r="AP55" i="12" s="1"/>
  <c r="AQ55" i="11"/>
  <c r="AQ55" i="12" s="1"/>
  <c r="AR55" i="11"/>
  <c r="AR55" i="12" s="1"/>
  <c r="AS55" i="11"/>
  <c r="AS55" i="12" s="1"/>
  <c r="AT55" i="11"/>
  <c r="AT55" i="12" s="1"/>
  <c r="AU55" i="11"/>
  <c r="AU55" i="12" s="1"/>
  <c r="AV55" i="11"/>
  <c r="AV55" i="12" s="1"/>
  <c r="AW55" i="11"/>
  <c r="AW55" i="12" s="1"/>
  <c r="AX55" i="11"/>
  <c r="AX55" i="12" s="1"/>
  <c r="AY55" i="11"/>
  <c r="AY55" i="12" s="1"/>
  <c r="AZ55" i="11"/>
  <c r="AZ55" i="12" s="1"/>
  <c r="BA55" i="11"/>
  <c r="BA55" i="12" s="1"/>
  <c r="AH56" i="11"/>
  <c r="AH56" i="12" s="1"/>
  <c r="AI56" i="11"/>
  <c r="AI56" i="12" s="1"/>
  <c r="AJ56" i="11"/>
  <c r="AJ56" i="12" s="1"/>
  <c r="AK56" i="11"/>
  <c r="AK56" i="12" s="1"/>
  <c r="AL56" i="11"/>
  <c r="AL56" i="12" s="1"/>
  <c r="AM56" i="11"/>
  <c r="AM56" i="12" s="1"/>
  <c r="AN56" i="11"/>
  <c r="AN56" i="12" s="1"/>
  <c r="AO56" i="11"/>
  <c r="AO56" i="12" s="1"/>
  <c r="AP56" i="11"/>
  <c r="AP56" i="12" s="1"/>
  <c r="AQ56" i="11"/>
  <c r="AQ56" i="12" s="1"/>
  <c r="AR56" i="11"/>
  <c r="AR56" i="12" s="1"/>
  <c r="AS56" i="11"/>
  <c r="AS56" i="12" s="1"/>
  <c r="AT56" i="11"/>
  <c r="AT56" i="12" s="1"/>
  <c r="AU56" i="11"/>
  <c r="AU56" i="12" s="1"/>
  <c r="AV56" i="11"/>
  <c r="AV56" i="12" s="1"/>
  <c r="AW56" i="11"/>
  <c r="AW56" i="12" s="1"/>
  <c r="AX56" i="11"/>
  <c r="AX56" i="12" s="1"/>
  <c r="AY56" i="11"/>
  <c r="AY56" i="12" s="1"/>
  <c r="AZ56" i="11"/>
  <c r="AZ56" i="12" s="1"/>
  <c r="BA56" i="11"/>
  <c r="BA56" i="12" s="1"/>
  <c r="AH57" i="11"/>
  <c r="AH57" i="12" s="1"/>
  <c r="AI57" i="11"/>
  <c r="AI57" i="12" s="1"/>
  <c r="AJ57" i="11"/>
  <c r="AJ57" i="12" s="1"/>
  <c r="AK57" i="11"/>
  <c r="AK57" i="12" s="1"/>
  <c r="AL57" i="11"/>
  <c r="AL57" i="12" s="1"/>
  <c r="AM57" i="11"/>
  <c r="AM57" i="12" s="1"/>
  <c r="AN57" i="11"/>
  <c r="AN57" i="12" s="1"/>
  <c r="AO57" i="11"/>
  <c r="AO57" i="12" s="1"/>
  <c r="AP57" i="11"/>
  <c r="AP57" i="12" s="1"/>
  <c r="AQ57" i="11"/>
  <c r="AQ57" i="12" s="1"/>
  <c r="AR57" i="11"/>
  <c r="AR57" i="12" s="1"/>
  <c r="AS57" i="11"/>
  <c r="AS57" i="12" s="1"/>
  <c r="AT57" i="11"/>
  <c r="AT57" i="12" s="1"/>
  <c r="AU57" i="11"/>
  <c r="AU57" i="12" s="1"/>
  <c r="AV57" i="11"/>
  <c r="AV57" i="12" s="1"/>
  <c r="AW57" i="11"/>
  <c r="AW57" i="12" s="1"/>
  <c r="AX57" i="11"/>
  <c r="AX57" i="12" s="1"/>
  <c r="AY57" i="11"/>
  <c r="AY57" i="12" s="1"/>
  <c r="AZ57" i="11"/>
  <c r="AZ57" i="12" s="1"/>
  <c r="BA57" i="11"/>
  <c r="BA57" i="12" s="1"/>
  <c r="AH58" i="11"/>
  <c r="AH58" i="12" s="1"/>
  <c r="AI58" i="11"/>
  <c r="AI58" i="12" s="1"/>
  <c r="AJ58" i="11"/>
  <c r="AJ58" i="12" s="1"/>
  <c r="AK58" i="11"/>
  <c r="AK58" i="12" s="1"/>
  <c r="AL58" i="11"/>
  <c r="AL58" i="12" s="1"/>
  <c r="AM58" i="11"/>
  <c r="AM58" i="12" s="1"/>
  <c r="AN58" i="11"/>
  <c r="AN58" i="12" s="1"/>
  <c r="AO58" i="11"/>
  <c r="AO58" i="12" s="1"/>
  <c r="AP58" i="11"/>
  <c r="AP58" i="12" s="1"/>
  <c r="AQ58" i="11"/>
  <c r="AQ58" i="12" s="1"/>
  <c r="AR58" i="11"/>
  <c r="AR58" i="12" s="1"/>
  <c r="AS58" i="11"/>
  <c r="AS58" i="12" s="1"/>
  <c r="AT58" i="11"/>
  <c r="AT58" i="12" s="1"/>
  <c r="AU58" i="11"/>
  <c r="AU58" i="12" s="1"/>
  <c r="AV58" i="11"/>
  <c r="AV58" i="12" s="1"/>
  <c r="AW58" i="11"/>
  <c r="AW58" i="12" s="1"/>
  <c r="AX58" i="11"/>
  <c r="AX58" i="12" s="1"/>
  <c r="AY58" i="11"/>
  <c r="AY58" i="12" s="1"/>
  <c r="AZ58" i="11"/>
  <c r="AZ58" i="12" s="1"/>
  <c r="BA58" i="11"/>
  <c r="BA58" i="12" s="1"/>
  <c r="AH59" i="11"/>
  <c r="AH59" i="12" s="1"/>
  <c r="AI59" i="11"/>
  <c r="AI59" i="12" s="1"/>
  <c r="AJ59" i="11"/>
  <c r="AJ59" i="12" s="1"/>
  <c r="AK59" i="11"/>
  <c r="AK59" i="12" s="1"/>
  <c r="AL59" i="11"/>
  <c r="AL59" i="12" s="1"/>
  <c r="AM59" i="11"/>
  <c r="AM59" i="12" s="1"/>
  <c r="AN59" i="11"/>
  <c r="AN59" i="12" s="1"/>
  <c r="AO59" i="11"/>
  <c r="AO59" i="12" s="1"/>
  <c r="AP59" i="11"/>
  <c r="AP59" i="12" s="1"/>
  <c r="AQ59" i="11"/>
  <c r="AQ59" i="12" s="1"/>
  <c r="AR59" i="11"/>
  <c r="AR59" i="12" s="1"/>
  <c r="AS59" i="11"/>
  <c r="AS59" i="12" s="1"/>
  <c r="AT59" i="11"/>
  <c r="AT59" i="12" s="1"/>
  <c r="AU59" i="11"/>
  <c r="AU59" i="12" s="1"/>
  <c r="AV59" i="11"/>
  <c r="AV59" i="12" s="1"/>
  <c r="AW59" i="11"/>
  <c r="AW59" i="12" s="1"/>
  <c r="AX59" i="11"/>
  <c r="AX59" i="12" s="1"/>
  <c r="AY59" i="11"/>
  <c r="AY59" i="12" s="1"/>
  <c r="AZ59" i="11"/>
  <c r="AZ59" i="12" s="1"/>
  <c r="BA59" i="11"/>
  <c r="BA59" i="12" s="1"/>
  <c r="AH60" i="11"/>
  <c r="AH60" i="12" s="1"/>
  <c r="AI60" i="11"/>
  <c r="AI60" i="12" s="1"/>
  <c r="AJ60" i="11"/>
  <c r="AJ60" i="12" s="1"/>
  <c r="AK60" i="11"/>
  <c r="AK60" i="12" s="1"/>
  <c r="AL60" i="11"/>
  <c r="AL60" i="12" s="1"/>
  <c r="AM60" i="11"/>
  <c r="AM60" i="12" s="1"/>
  <c r="AN60" i="11"/>
  <c r="AN60" i="12" s="1"/>
  <c r="AO60" i="11"/>
  <c r="AO60" i="12" s="1"/>
  <c r="AP60" i="11"/>
  <c r="AP60" i="12" s="1"/>
  <c r="AQ60" i="11"/>
  <c r="AQ60" i="12" s="1"/>
  <c r="AR60" i="11"/>
  <c r="AR60" i="12" s="1"/>
  <c r="AS60" i="11"/>
  <c r="AS60" i="12" s="1"/>
  <c r="AT60" i="11"/>
  <c r="AT60" i="12" s="1"/>
  <c r="AU60" i="11"/>
  <c r="AU60" i="12" s="1"/>
  <c r="AV60" i="11"/>
  <c r="AV60" i="12" s="1"/>
  <c r="AW60" i="11"/>
  <c r="AW60" i="12" s="1"/>
  <c r="AX60" i="11"/>
  <c r="AX60" i="12" s="1"/>
  <c r="AY60" i="11"/>
  <c r="AY60" i="12" s="1"/>
  <c r="AZ60" i="11"/>
  <c r="AZ60" i="12" s="1"/>
  <c r="BA60" i="11"/>
  <c r="BA60" i="12" s="1"/>
  <c r="AH61" i="11"/>
  <c r="AH61" i="12" s="1"/>
  <c r="AI61" i="11"/>
  <c r="AI61" i="12" s="1"/>
  <c r="AJ61" i="11"/>
  <c r="AJ61" i="12" s="1"/>
  <c r="AK61" i="11"/>
  <c r="AK61" i="12" s="1"/>
  <c r="AL61" i="11"/>
  <c r="AL61" i="12" s="1"/>
  <c r="AM61" i="11"/>
  <c r="AM61" i="12" s="1"/>
  <c r="AN61" i="11"/>
  <c r="AN61" i="12" s="1"/>
  <c r="AO61" i="11"/>
  <c r="AO61" i="12" s="1"/>
  <c r="AP61" i="11"/>
  <c r="AP61" i="12" s="1"/>
  <c r="AQ61" i="11"/>
  <c r="AQ61" i="12" s="1"/>
  <c r="AR61" i="11"/>
  <c r="AR61" i="12" s="1"/>
  <c r="AS61" i="11"/>
  <c r="AS61" i="12" s="1"/>
  <c r="AT61" i="11"/>
  <c r="AT61" i="12" s="1"/>
  <c r="AU61" i="11"/>
  <c r="AU61" i="12" s="1"/>
  <c r="AV61" i="11"/>
  <c r="AV61" i="12" s="1"/>
  <c r="AW61" i="11"/>
  <c r="AW61" i="12" s="1"/>
  <c r="AX61" i="11"/>
  <c r="AX61" i="12" s="1"/>
  <c r="AY61" i="11"/>
  <c r="AY61" i="12" s="1"/>
  <c r="AZ61" i="11"/>
  <c r="AZ61" i="12" s="1"/>
  <c r="BA61" i="11"/>
  <c r="BA61" i="12" s="1"/>
  <c r="AH62" i="11"/>
  <c r="AH62" i="12" s="1"/>
  <c r="AI62" i="11"/>
  <c r="AI62" i="12" s="1"/>
  <c r="AJ62" i="11"/>
  <c r="AJ62" i="12" s="1"/>
  <c r="AK62" i="11"/>
  <c r="AK62" i="12" s="1"/>
  <c r="AL62" i="11"/>
  <c r="AL62" i="12" s="1"/>
  <c r="AM62" i="11"/>
  <c r="AM62" i="12" s="1"/>
  <c r="AN62" i="11"/>
  <c r="AN62" i="12" s="1"/>
  <c r="AO62" i="11"/>
  <c r="AO62" i="12" s="1"/>
  <c r="AP62" i="11"/>
  <c r="AP62" i="12" s="1"/>
  <c r="AQ62" i="11"/>
  <c r="AQ62" i="12" s="1"/>
  <c r="AR62" i="11"/>
  <c r="AR62" i="12" s="1"/>
  <c r="AS62" i="11"/>
  <c r="AS62" i="12" s="1"/>
  <c r="AT62" i="11"/>
  <c r="AT62" i="12" s="1"/>
  <c r="AU62" i="11"/>
  <c r="AU62" i="12" s="1"/>
  <c r="AV62" i="11"/>
  <c r="AV62" i="12" s="1"/>
  <c r="AW62" i="11"/>
  <c r="AW62" i="12" s="1"/>
  <c r="AX62" i="11"/>
  <c r="AX62" i="12" s="1"/>
  <c r="AY62" i="11"/>
  <c r="AY62" i="12" s="1"/>
  <c r="AZ62" i="11"/>
  <c r="AZ62" i="12" s="1"/>
  <c r="BA62" i="11"/>
  <c r="BA62" i="12" s="1"/>
  <c r="AH63" i="11"/>
  <c r="AH63" i="12" s="1"/>
  <c r="AI63" i="11"/>
  <c r="AI63" i="12" s="1"/>
  <c r="AJ63" i="11"/>
  <c r="AJ63" i="12" s="1"/>
  <c r="AK63" i="11"/>
  <c r="AK63" i="12" s="1"/>
  <c r="AL63" i="11"/>
  <c r="AL63" i="12" s="1"/>
  <c r="AM63" i="11"/>
  <c r="AM63" i="12" s="1"/>
  <c r="AN63" i="11"/>
  <c r="AN63" i="12" s="1"/>
  <c r="AO63" i="11"/>
  <c r="AO63" i="12" s="1"/>
  <c r="AP63" i="11"/>
  <c r="AP63" i="12" s="1"/>
  <c r="AQ63" i="11"/>
  <c r="AQ63" i="12" s="1"/>
  <c r="AR63" i="11"/>
  <c r="AR63" i="12" s="1"/>
  <c r="AS63" i="11"/>
  <c r="AS63" i="12" s="1"/>
  <c r="AT63" i="11"/>
  <c r="AT63" i="12" s="1"/>
  <c r="AU63" i="11"/>
  <c r="AU63" i="12" s="1"/>
  <c r="AV63" i="11"/>
  <c r="AV63" i="12" s="1"/>
  <c r="AW63" i="11"/>
  <c r="AW63" i="12" s="1"/>
  <c r="AX63" i="11"/>
  <c r="AX63" i="12" s="1"/>
  <c r="AY63" i="11"/>
  <c r="AY63" i="12" s="1"/>
  <c r="AZ63" i="11"/>
  <c r="AZ63" i="12" s="1"/>
  <c r="BA63" i="11"/>
  <c r="BA63" i="12" s="1"/>
  <c r="AH64" i="11"/>
  <c r="AH64" i="12" s="1"/>
  <c r="AI64" i="11"/>
  <c r="AI64" i="12" s="1"/>
  <c r="AJ64" i="11"/>
  <c r="AJ64" i="12" s="1"/>
  <c r="AK64" i="11"/>
  <c r="AK64" i="12" s="1"/>
  <c r="AL64" i="11"/>
  <c r="AL64" i="12" s="1"/>
  <c r="AM64" i="11"/>
  <c r="AM64" i="12" s="1"/>
  <c r="AN64" i="11"/>
  <c r="AN64" i="12" s="1"/>
  <c r="AO64" i="11"/>
  <c r="AO64" i="12" s="1"/>
  <c r="AP64" i="11"/>
  <c r="AP64" i="12" s="1"/>
  <c r="AQ64" i="11"/>
  <c r="AQ64" i="12" s="1"/>
  <c r="AR64" i="11"/>
  <c r="AR64" i="12" s="1"/>
  <c r="AS64" i="11"/>
  <c r="AS64" i="12" s="1"/>
  <c r="AT64" i="11"/>
  <c r="AT64" i="12" s="1"/>
  <c r="AU64" i="11"/>
  <c r="AU64" i="12" s="1"/>
  <c r="AV64" i="11"/>
  <c r="AV64" i="12" s="1"/>
  <c r="AW64" i="11"/>
  <c r="AW64" i="12" s="1"/>
  <c r="AX64" i="11"/>
  <c r="AX64" i="12" s="1"/>
  <c r="AY64" i="11"/>
  <c r="AY64" i="12" s="1"/>
  <c r="AZ64" i="11"/>
  <c r="AZ64" i="12" s="1"/>
  <c r="BA64" i="11"/>
  <c r="BA64" i="12" s="1"/>
  <c r="AH65" i="11"/>
  <c r="AH65" i="12" s="1"/>
  <c r="AI65" i="11"/>
  <c r="AI65" i="12" s="1"/>
  <c r="AJ65" i="11"/>
  <c r="AJ65" i="12" s="1"/>
  <c r="AK65" i="11"/>
  <c r="AK65" i="12" s="1"/>
  <c r="AL65" i="11"/>
  <c r="AL65" i="12" s="1"/>
  <c r="AM65" i="11"/>
  <c r="AM65" i="12" s="1"/>
  <c r="AN65" i="11"/>
  <c r="AN65" i="12" s="1"/>
  <c r="AO65" i="11"/>
  <c r="AO65" i="12" s="1"/>
  <c r="AP65" i="11"/>
  <c r="AP65" i="12" s="1"/>
  <c r="AQ65" i="11"/>
  <c r="AQ65" i="12" s="1"/>
  <c r="AR65" i="11"/>
  <c r="AR65" i="12" s="1"/>
  <c r="AS65" i="11"/>
  <c r="AS65" i="12" s="1"/>
  <c r="AT65" i="11"/>
  <c r="AT65" i="12" s="1"/>
  <c r="AU65" i="11"/>
  <c r="AU65" i="12" s="1"/>
  <c r="AV65" i="11"/>
  <c r="AV65" i="12" s="1"/>
  <c r="AW65" i="11"/>
  <c r="AW65" i="12" s="1"/>
  <c r="AX65" i="11"/>
  <c r="AX65" i="12" s="1"/>
  <c r="AY65" i="11"/>
  <c r="AY65" i="12" s="1"/>
  <c r="AZ65" i="11"/>
  <c r="AZ65" i="12" s="1"/>
  <c r="BA65" i="11"/>
  <c r="BA65" i="12" s="1"/>
  <c r="AH66" i="11"/>
  <c r="AH66" i="12" s="1"/>
  <c r="AI66" i="11"/>
  <c r="AI66" i="12" s="1"/>
  <c r="AJ66" i="11"/>
  <c r="AJ66" i="12" s="1"/>
  <c r="AK66" i="11"/>
  <c r="AK66" i="12" s="1"/>
  <c r="AL66" i="11"/>
  <c r="AL66" i="12" s="1"/>
  <c r="AM66" i="11"/>
  <c r="AM66" i="12" s="1"/>
  <c r="AN66" i="11"/>
  <c r="AN66" i="12" s="1"/>
  <c r="AO66" i="11"/>
  <c r="AO66" i="12" s="1"/>
  <c r="AP66" i="11"/>
  <c r="AP66" i="12" s="1"/>
  <c r="AQ66" i="11"/>
  <c r="AQ66" i="12" s="1"/>
  <c r="AR66" i="11"/>
  <c r="AR66" i="12" s="1"/>
  <c r="AS66" i="11"/>
  <c r="AS66" i="12" s="1"/>
  <c r="AT66" i="11"/>
  <c r="AT66" i="12" s="1"/>
  <c r="AU66" i="11"/>
  <c r="AU66" i="12" s="1"/>
  <c r="AV66" i="11"/>
  <c r="AV66" i="12" s="1"/>
  <c r="AW66" i="11"/>
  <c r="AW66" i="12" s="1"/>
  <c r="AX66" i="11"/>
  <c r="AX66" i="12" s="1"/>
  <c r="AY66" i="11"/>
  <c r="AY66" i="12" s="1"/>
  <c r="AZ66" i="11"/>
  <c r="AZ66" i="12" s="1"/>
  <c r="BA66" i="11"/>
  <c r="BA66" i="12" s="1"/>
  <c r="AH67" i="11"/>
  <c r="AH67" i="12" s="1"/>
  <c r="AI67" i="11"/>
  <c r="AI67" i="12" s="1"/>
  <c r="AJ67" i="11"/>
  <c r="AJ67" i="12" s="1"/>
  <c r="AK67" i="11"/>
  <c r="AK67" i="12" s="1"/>
  <c r="AL67" i="11"/>
  <c r="AL67" i="12" s="1"/>
  <c r="AM67" i="11"/>
  <c r="AM67" i="12" s="1"/>
  <c r="AN67" i="11"/>
  <c r="AN67" i="12" s="1"/>
  <c r="AO67" i="11"/>
  <c r="AO67" i="12" s="1"/>
  <c r="AP67" i="11"/>
  <c r="AP67" i="12" s="1"/>
  <c r="AQ67" i="11"/>
  <c r="AQ67" i="12" s="1"/>
  <c r="AR67" i="11"/>
  <c r="AR67" i="12" s="1"/>
  <c r="AS67" i="11"/>
  <c r="AS67" i="12" s="1"/>
  <c r="AT67" i="11"/>
  <c r="AT67" i="12" s="1"/>
  <c r="AU67" i="11"/>
  <c r="AU67" i="12" s="1"/>
  <c r="AV67" i="11"/>
  <c r="AV67" i="12" s="1"/>
  <c r="AW67" i="11"/>
  <c r="AW67" i="12" s="1"/>
  <c r="AX67" i="11"/>
  <c r="AX67" i="12" s="1"/>
  <c r="AY67" i="11"/>
  <c r="AY67" i="12" s="1"/>
  <c r="AZ67" i="11"/>
  <c r="AZ67" i="12" s="1"/>
  <c r="BA67" i="11"/>
  <c r="BA67" i="12" s="1"/>
  <c r="AH68" i="11"/>
  <c r="AH68" i="12" s="1"/>
  <c r="AI68" i="11"/>
  <c r="AI68" i="12" s="1"/>
  <c r="AJ68" i="11"/>
  <c r="AJ68" i="12" s="1"/>
  <c r="AK68" i="11"/>
  <c r="AK68" i="12" s="1"/>
  <c r="AL68" i="11"/>
  <c r="AL68" i="12" s="1"/>
  <c r="AM68" i="11"/>
  <c r="AM68" i="12" s="1"/>
  <c r="AN68" i="11"/>
  <c r="AN68" i="12" s="1"/>
  <c r="AO68" i="11"/>
  <c r="AO68" i="12" s="1"/>
  <c r="AP68" i="11"/>
  <c r="AP68" i="12" s="1"/>
  <c r="AQ68" i="11"/>
  <c r="AQ68" i="12" s="1"/>
  <c r="AR68" i="11"/>
  <c r="AR68" i="12" s="1"/>
  <c r="AS68" i="11"/>
  <c r="AS68" i="12" s="1"/>
  <c r="AT68" i="11"/>
  <c r="AT68" i="12" s="1"/>
  <c r="AU68" i="11"/>
  <c r="AU68" i="12" s="1"/>
  <c r="AV68" i="11"/>
  <c r="AV68" i="12" s="1"/>
  <c r="AW68" i="11"/>
  <c r="AW68" i="12" s="1"/>
  <c r="AX68" i="11"/>
  <c r="AX68" i="12" s="1"/>
  <c r="AY68" i="11"/>
  <c r="AY68" i="12" s="1"/>
  <c r="AZ68" i="11"/>
  <c r="AZ68" i="12" s="1"/>
  <c r="BA68" i="11"/>
  <c r="BA68" i="12" s="1"/>
  <c r="AH69" i="11"/>
  <c r="AH69" i="12" s="1"/>
  <c r="AI69" i="11"/>
  <c r="AI69" i="12" s="1"/>
  <c r="AJ69" i="11"/>
  <c r="AJ69" i="12" s="1"/>
  <c r="AK69" i="11"/>
  <c r="AK69" i="12" s="1"/>
  <c r="AL69" i="11"/>
  <c r="AL69" i="12" s="1"/>
  <c r="AM69" i="11"/>
  <c r="AM69" i="12" s="1"/>
  <c r="AN69" i="11"/>
  <c r="AN69" i="12" s="1"/>
  <c r="AO69" i="11"/>
  <c r="AO69" i="12" s="1"/>
  <c r="AP69" i="11"/>
  <c r="AP69" i="12" s="1"/>
  <c r="AQ69" i="11"/>
  <c r="AQ69" i="12" s="1"/>
  <c r="AR69" i="11"/>
  <c r="AR69" i="12" s="1"/>
  <c r="AS69" i="11"/>
  <c r="AS69" i="12" s="1"/>
  <c r="AT69" i="11"/>
  <c r="AT69" i="12" s="1"/>
  <c r="AU69" i="11"/>
  <c r="AU69" i="12" s="1"/>
  <c r="AV69" i="11"/>
  <c r="AV69" i="12" s="1"/>
  <c r="AW69" i="11"/>
  <c r="AW69" i="12" s="1"/>
  <c r="AX69" i="11"/>
  <c r="AX69" i="12" s="1"/>
  <c r="AY69" i="11"/>
  <c r="AY69" i="12" s="1"/>
  <c r="AZ69" i="11"/>
  <c r="AZ69" i="12" s="1"/>
  <c r="BA69" i="11"/>
  <c r="BA69" i="12" s="1"/>
  <c r="AH70" i="11"/>
  <c r="AH70" i="12" s="1"/>
  <c r="AI70" i="11"/>
  <c r="AI70" i="12" s="1"/>
  <c r="AJ70" i="11"/>
  <c r="AJ70" i="12" s="1"/>
  <c r="AK70" i="11"/>
  <c r="AK70" i="12" s="1"/>
  <c r="AL70" i="11"/>
  <c r="AL70" i="12" s="1"/>
  <c r="AM70" i="11"/>
  <c r="AM70" i="12" s="1"/>
  <c r="AN70" i="11"/>
  <c r="AN70" i="12" s="1"/>
  <c r="AO70" i="11"/>
  <c r="AO70" i="12" s="1"/>
  <c r="AP70" i="11"/>
  <c r="AP70" i="12" s="1"/>
  <c r="AQ70" i="11"/>
  <c r="AQ70" i="12" s="1"/>
  <c r="AR70" i="11"/>
  <c r="AR70" i="12" s="1"/>
  <c r="AS70" i="11"/>
  <c r="AS70" i="12" s="1"/>
  <c r="AT70" i="11"/>
  <c r="AT70" i="12" s="1"/>
  <c r="AU70" i="11"/>
  <c r="AU70" i="12" s="1"/>
  <c r="AV70" i="11"/>
  <c r="AV70" i="12" s="1"/>
  <c r="AW70" i="11"/>
  <c r="AW70" i="12" s="1"/>
  <c r="AX70" i="11"/>
  <c r="AX70" i="12" s="1"/>
  <c r="AY70" i="11"/>
  <c r="AY70" i="12" s="1"/>
  <c r="AZ70" i="11"/>
  <c r="AZ70" i="12" s="1"/>
  <c r="BA70" i="11"/>
  <c r="BA70" i="12" s="1"/>
  <c r="AH71" i="11"/>
  <c r="AH71" i="12" s="1"/>
  <c r="AI71" i="11"/>
  <c r="AI71" i="12" s="1"/>
  <c r="AJ71" i="11"/>
  <c r="AJ71" i="12" s="1"/>
  <c r="AK71" i="11"/>
  <c r="AK71" i="12" s="1"/>
  <c r="AL71" i="11"/>
  <c r="AL71" i="12" s="1"/>
  <c r="AM71" i="11"/>
  <c r="AM71" i="12" s="1"/>
  <c r="AN71" i="11"/>
  <c r="AN71" i="12" s="1"/>
  <c r="AO71" i="11"/>
  <c r="AO71" i="12" s="1"/>
  <c r="AP71" i="11"/>
  <c r="AP71" i="12" s="1"/>
  <c r="AQ71" i="11"/>
  <c r="AQ71" i="12" s="1"/>
  <c r="AR71" i="11"/>
  <c r="AR71" i="12" s="1"/>
  <c r="AS71" i="11"/>
  <c r="AS71" i="12" s="1"/>
  <c r="AT71" i="11"/>
  <c r="AT71" i="12" s="1"/>
  <c r="AU71" i="11"/>
  <c r="AU71" i="12" s="1"/>
  <c r="AV71" i="11"/>
  <c r="AV71" i="12" s="1"/>
  <c r="AW71" i="11"/>
  <c r="AW71" i="12" s="1"/>
  <c r="AX71" i="11"/>
  <c r="AX71" i="12" s="1"/>
  <c r="AY71" i="11"/>
  <c r="AY71" i="12" s="1"/>
  <c r="AZ71" i="11"/>
  <c r="AZ71" i="12" s="1"/>
  <c r="BA71" i="11"/>
  <c r="BA71" i="12" s="1"/>
  <c r="AH72" i="11"/>
  <c r="AH72" i="12" s="1"/>
  <c r="AI72" i="11"/>
  <c r="AI72" i="12" s="1"/>
  <c r="AJ72" i="11"/>
  <c r="AJ72" i="12" s="1"/>
  <c r="AK72" i="11"/>
  <c r="AK72" i="12" s="1"/>
  <c r="AL72" i="11"/>
  <c r="AL72" i="12" s="1"/>
  <c r="AM72" i="11"/>
  <c r="AM72" i="12" s="1"/>
  <c r="AN72" i="11"/>
  <c r="AN72" i="12" s="1"/>
  <c r="AO72" i="11"/>
  <c r="AO72" i="12" s="1"/>
  <c r="AP72" i="11"/>
  <c r="AP72" i="12" s="1"/>
  <c r="AQ72" i="11"/>
  <c r="AQ72" i="12" s="1"/>
  <c r="AR72" i="11"/>
  <c r="AR72" i="12" s="1"/>
  <c r="AS72" i="11"/>
  <c r="AS72" i="12" s="1"/>
  <c r="AT72" i="11"/>
  <c r="AT72" i="12" s="1"/>
  <c r="AU72" i="11"/>
  <c r="AU72" i="12" s="1"/>
  <c r="AV72" i="11"/>
  <c r="AV72" i="12" s="1"/>
  <c r="AW72" i="11"/>
  <c r="AW72" i="12" s="1"/>
  <c r="AX72" i="11"/>
  <c r="AX72" i="12" s="1"/>
  <c r="AY72" i="11"/>
  <c r="AY72" i="12" s="1"/>
  <c r="AZ72" i="11"/>
  <c r="AZ72" i="12" s="1"/>
  <c r="BA72" i="11"/>
  <c r="BA72" i="12" s="1"/>
  <c r="AH73" i="11"/>
  <c r="AH73" i="12" s="1"/>
  <c r="AI73" i="11"/>
  <c r="AI73" i="12" s="1"/>
  <c r="AJ73" i="11"/>
  <c r="AJ73" i="12" s="1"/>
  <c r="AK73" i="11"/>
  <c r="AK73" i="12" s="1"/>
  <c r="AL73" i="11"/>
  <c r="AL73" i="12" s="1"/>
  <c r="AM73" i="11"/>
  <c r="AM73" i="12" s="1"/>
  <c r="AN73" i="11"/>
  <c r="AN73" i="12" s="1"/>
  <c r="AO73" i="11"/>
  <c r="AO73" i="12" s="1"/>
  <c r="AP73" i="11"/>
  <c r="AP73" i="12" s="1"/>
  <c r="AQ73" i="11"/>
  <c r="AQ73" i="12" s="1"/>
  <c r="AR73" i="11"/>
  <c r="AR73" i="12" s="1"/>
  <c r="AS73" i="11"/>
  <c r="AS73" i="12" s="1"/>
  <c r="AT73" i="11"/>
  <c r="AT73" i="12" s="1"/>
  <c r="AU73" i="11"/>
  <c r="AU73" i="12" s="1"/>
  <c r="AV73" i="11"/>
  <c r="AV73" i="12" s="1"/>
  <c r="AW73" i="11"/>
  <c r="AW73" i="12" s="1"/>
  <c r="AX73" i="11"/>
  <c r="AX73" i="12" s="1"/>
  <c r="AY73" i="11"/>
  <c r="AY73" i="12" s="1"/>
  <c r="AZ73" i="11"/>
  <c r="AZ73" i="12" s="1"/>
  <c r="BA73" i="11"/>
  <c r="BA73" i="12" s="1"/>
  <c r="AH74" i="11"/>
  <c r="AH74" i="12" s="1"/>
  <c r="AI74" i="11"/>
  <c r="AI74" i="12" s="1"/>
  <c r="AJ74" i="11"/>
  <c r="AJ74" i="12" s="1"/>
  <c r="AK74" i="11"/>
  <c r="AK74" i="12" s="1"/>
  <c r="AL74" i="11"/>
  <c r="AL74" i="12" s="1"/>
  <c r="AM74" i="11"/>
  <c r="AM74" i="12" s="1"/>
  <c r="AN74" i="11"/>
  <c r="AN74" i="12" s="1"/>
  <c r="AO74" i="11"/>
  <c r="AO74" i="12" s="1"/>
  <c r="AP74" i="11"/>
  <c r="AP74" i="12" s="1"/>
  <c r="AQ74" i="11"/>
  <c r="AQ74" i="12" s="1"/>
  <c r="AR74" i="11"/>
  <c r="AR74" i="12" s="1"/>
  <c r="AS74" i="11"/>
  <c r="AS74" i="12" s="1"/>
  <c r="AT74" i="11"/>
  <c r="AT74" i="12" s="1"/>
  <c r="AU74" i="11"/>
  <c r="AU74" i="12" s="1"/>
  <c r="AV74" i="11"/>
  <c r="AV74" i="12" s="1"/>
  <c r="AW74" i="11"/>
  <c r="AW74" i="12" s="1"/>
  <c r="AX74" i="11"/>
  <c r="AX74" i="12" s="1"/>
  <c r="AY74" i="11"/>
  <c r="AY74" i="12" s="1"/>
  <c r="AZ74" i="11"/>
  <c r="AZ74" i="12" s="1"/>
  <c r="BA74" i="11"/>
  <c r="BA74" i="12" s="1"/>
  <c r="AH75" i="11"/>
  <c r="AH75" i="12" s="1"/>
  <c r="AI75" i="11"/>
  <c r="AI75" i="12" s="1"/>
  <c r="AJ75" i="11"/>
  <c r="AJ75" i="12" s="1"/>
  <c r="AK75" i="11"/>
  <c r="AK75" i="12" s="1"/>
  <c r="AL75" i="11"/>
  <c r="AL75" i="12" s="1"/>
  <c r="AM75" i="11"/>
  <c r="AM75" i="12" s="1"/>
  <c r="AN75" i="11"/>
  <c r="AN75" i="12" s="1"/>
  <c r="AO75" i="11"/>
  <c r="AO75" i="12" s="1"/>
  <c r="AP75" i="11"/>
  <c r="AP75" i="12" s="1"/>
  <c r="AQ75" i="11"/>
  <c r="AQ75" i="12" s="1"/>
  <c r="AR75" i="11"/>
  <c r="AR75" i="12" s="1"/>
  <c r="AS75" i="11"/>
  <c r="AS75" i="12" s="1"/>
  <c r="AT75" i="11"/>
  <c r="AT75" i="12" s="1"/>
  <c r="AU75" i="11"/>
  <c r="AU75" i="12" s="1"/>
  <c r="AV75" i="11"/>
  <c r="AV75" i="12" s="1"/>
  <c r="AW75" i="11"/>
  <c r="AW75" i="12" s="1"/>
  <c r="AX75" i="11"/>
  <c r="AX75" i="12" s="1"/>
  <c r="AY75" i="11"/>
  <c r="AY75" i="12" s="1"/>
  <c r="AZ75" i="11"/>
  <c r="AZ75" i="12" s="1"/>
  <c r="BA75" i="11"/>
  <c r="BA75" i="12" s="1"/>
  <c r="AH76" i="11"/>
  <c r="AH76" i="12" s="1"/>
  <c r="AI76" i="11"/>
  <c r="AI76" i="12" s="1"/>
  <c r="AJ76" i="11"/>
  <c r="AJ76" i="12" s="1"/>
  <c r="AK76" i="11"/>
  <c r="AK76" i="12" s="1"/>
  <c r="AL76" i="11"/>
  <c r="AL76" i="12" s="1"/>
  <c r="AM76" i="11"/>
  <c r="AM76" i="12" s="1"/>
  <c r="AN76" i="11"/>
  <c r="AN76" i="12" s="1"/>
  <c r="AO76" i="11"/>
  <c r="AO76" i="12" s="1"/>
  <c r="AP76" i="11"/>
  <c r="AP76" i="12" s="1"/>
  <c r="AQ76" i="11"/>
  <c r="AQ76" i="12" s="1"/>
  <c r="AR76" i="11"/>
  <c r="AR76" i="12" s="1"/>
  <c r="AS76" i="11"/>
  <c r="AS76" i="12" s="1"/>
  <c r="AT76" i="11"/>
  <c r="AT76" i="12" s="1"/>
  <c r="AU76" i="11"/>
  <c r="AU76" i="12" s="1"/>
  <c r="AV76" i="11"/>
  <c r="AV76" i="12" s="1"/>
  <c r="AW76" i="11"/>
  <c r="AW76" i="12" s="1"/>
  <c r="AX76" i="11"/>
  <c r="AX76" i="12" s="1"/>
  <c r="AY76" i="11"/>
  <c r="AY76" i="12" s="1"/>
  <c r="AZ76" i="11"/>
  <c r="AZ76" i="12" s="1"/>
  <c r="BA76" i="11"/>
  <c r="BA76" i="12" s="1"/>
  <c r="AH77" i="11"/>
  <c r="AH77" i="12" s="1"/>
  <c r="AI77" i="11"/>
  <c r="AI77" i="12" s="1"/>
  <c r="AJ77" i="11"/>
  <c r="AJ77" i="12" s="1"/>
  <c r="AK77" i="11"/>
  <c r="AK77" i="12" s="1"/>
  <c r="AL77" i="11"/>
  <c r="AL77" i="12" s="1"/>
  <c r="AM77" i="11"/>
  <c r="AM77" i="12" s="1"/>
  <c r="AN77" i="11"/>
  <c r="AN77" i="12" s="1"/>
  <c r="AO77" i="11"/>
  <c r="AO77" i="12" s="1"/>
  <c r="AP77" i="11"/>
  <c r="AP77" i="12" s="1"/>
  <c r="AQ77" i="11"/>
  <c r="AQ77" i="12" s="1"/>
  <c r="AR77" i="11"/>
  <c r="AR77" i="12" s="1"/>
  <c r="AS77" i="11"/>
  <c r="AS77" i="12" s="1"/>
  <c r="AT77" i="11"/>
  <c r="AT77" i="12" s="1"/>
  <c r="AU77" i="11"/>
  <c r="AU77" i="12" s="1"/>
  <c r="AV77" i="11"/>
  <c r="AV77" i="12" s="1"/>
  <c r="AW77" i="11"/>
  <c r="AW77" i="12" s="1"/>
  <c r="AX77" i="11"/>
  <c r="AX77" i="12" s="1"/>
  <c r="AY77" i="11"/>
  <c r="AY77" i="12" s="1"/>
  <c r="AZ77" i="11"/>
  <c r="AZ77" i="12" s="1"/>
  <c r="BA77" i="11"/>
  <c r="BA77" i="12" s="1"/>
  <c r="AH78" i="11"/>
  <c r="AH78" i="12" s="1"/>
  <c r="AI78" i="11"/>
  <c r="AI78" i="12" s="1"/>
  <c r="AJ78" i="11"/>
  <c r="AJ78" i="12" s="1"/>
  <c r="AK78" i="11"/>
  <c r="AK78" i="12" s="1"/>
  <c r="AL78" i="11"/>
  <c r="AL78" i="12" s="1"/>
  <c r="AM78" i="11"/>
  <c r="AM78" i="12" s="1"/>
  <c r="AN78" i="11"/>
  <c r="AN78" i="12" s="1"/>
  <c r="AO78" i="11"/>
  <c r="AO78" i="12" s="1"/>
  <c r="AP78" i="11"/>
  <c r="AP78" i="12" s="1"/>
  <c r="AQ78" i="11"/>
  <c r="AQ78" i="12" s="1"/>
  <c r="AR78" i="11"/>
  <c r="AR78" i="12" s="1"/>
  <c r="AS78" i="11"/>
  <c r="AS78" i="12" s="1"/>
  <c r="AT78" i="11"/>
  <c r="AT78" i="12" s="1"/>
  <c r="AU78" i="11"/>
  <c r="AU78" i="12" s="1"/>
  <c r="AV78" i="11"/>
  <c r="AV78" i="12" s="1"/>
  <c r="AW78" i="11"/>
  <c r="AW78" i="12" s="1"/>
  <c r="AX78" i="11"/>
  <c r="AX78" i="12" s="1"/>
  <c r="AY78" i="11"/>
  <c r="AY78" i="12" s="1"/>
  <c r="AZ78" i="11"/>
  <c r="AZ78" i="12" s="1"/>
  <c r="BA78" i="11"/>
  <c r="BA78" i="12" s="1"/>
  <c r="AH79" i="11"/>
  <c r="AH79" i="12" s="1"/>
  <c r="AI79" i="11"/>
  <c r="AI79" i="12" s="1"/>
  <c r="AJ79" i="11"/>
  <c r="AJ79" i="12" s="1"/>
  <c r="AK79" i="11"/>
  <c r="AK79" i="12" s="1"/>
  <c r="AL79" i="11"/>
  <c r="AL79" i="12" s="1"/>
  <c r="AM79" i="11"/>
  <c r="AM79" i="12" s="1"/>
  <c r="AN79" i="11"/>
  <c r="AN79" i="12" s="1"/>
  <c r="AO79" i="11"/>
  <c r="AO79" i="12" s="1"/>
  <c r="AP79" i="11"/>
  <c r="AP79" i="12" s="1"/>
  <c r="AQ79" i="11"/>
  <c r="AQ79" i="12" s="1"/>
  <c r="AR79" i="11"/>
  <c r="AR79" i="12" s="1"/>
  <c r="AS79" i="11"/>
  <c r="AS79" i="12" s="1"/>
  <c r="AT79" i="11"/>
  <c r="AT79" i="12" s="1"/>
  <c r="AU79" i="11"/>
  <c r="AU79" i="12" s="1"/>
  <c r="AV79" i="11"/>
  <c r="AV79" i="12" s="1"/>
  <c r="AW79" i="11"/>
  <c r="AW79" i="12" s="1"/>
  <c r="AX79" i="11"/>
  <c r="AX79" i="12" s="1"/>
  <c r="AY79" i="11"/>
  <c r="AY79" i="12" s="1"/>
  <c r="AZ79" i="11"/>
  <c r="AZ79" i="12" s="1"/>
  <c r="BA79" i="11"/>
  <c r="BA79" i="12" s="1"/>
  <c r="AH80" i="11"/>
  <c r="AH80" i="12" s="1"/>
  <c r="AI80" i="11"/>
  <c r="AI80" i="12" s="1"/>
  <c r="AJ80" i="11"/>
  <c r="AJ80" i="12" s="1"/>
  <c r="AK80" i="11"/>
  <c r="AK80" i="12" s="1"/>
  <c r="AL80" i="11"/>
  <c r="AL80" i="12" s="1"/>
  <c r="AM80" i="11"/>
  <c r="AM80" i="12" s="1"/>
  <c r="AN80" i="11"/>
  <c r="AN80" i="12" s="1"/>
  <c r="AO80" i="11"/>
  <c r="AO80" i="12" s="1"/>
  <c r="AP80" i="11"/>
  <c r="AP80" i="12" s="1"/>
  <c r="AQ80" i="11"/>
  <c r="AQ80" i="12" s="1"/>
  <c r="AR80" i="11"/>
  <c r="AR80" i="12" s="1"/>
  <c r="AS80" i="11"/>
  <c r="AS80" i="12" s="1"/>
  <c r="AT80" i="11"/>
  <c r="AT80" i="12" s="1"/>
  <c r="AU80" i="11"/>
  <c r="AU80" i="12" s="1"/>
  <c r="AV80" i="11"/>
  <c r="AV80" i="12" s="1"/>
  <c r="AW80" i="11"/>
  <c r="AW80" i="12" s="1"/>
  <c r="AX80" i="11"/>
  <c r="AX80" i="12" s="1"/>
  <c r="AY80" i="11"/>
  <c r="AY80" i="12" s="1"/>
  <c r="AZ80" i="11"/>
  <c r="AZ80" i="12" s="1"/>
  <c r="BA80" i="11"/>
  <c r="BA80" i="12" s="1"/>
  <c r="AH81" i="11"/>
  <c r="AH81" i="12" s="1"/>
  <c r="AI81" i="11"/>
  <c r="AI81" i="12" s="1"/>
  <c r="AJ81" i="11"/>
  <c r="AJ81" i="12" s="1"/>
  <c r="AK81" i="11"/>
  <c r="AK81" i="12" s="1"/>
  <c r="AL81" i="11"/>
  <c r="AL81" i="12" s="1"/>
  <c r="AM81" i="11"/>
  <c r="AM81" i="12" s="1"/>
  <c r="AN81" i="11"/>
  <c r="AN81" i="12" s="1"/>
  <c r="AO81" i="11"/>
  <c r="AO81" i="12" s="1"/>
  <c r="AP81" i="11"/>
  <c r="AP81" i="12" s="1"/>
  <c r="AQ81" i="11"/>
  <c r="AQ81" i="12" s="1"/>
  <c r="AR81" i="11"/>
  <c r="AR81" i="12" s="1"/>
  <c r="AS81" i="11"/>
  <c r="AS81" i="12" s="1"/>
  <c r="AT81" i="11"/>
  <c r="AT81" i="12" s="1"/>
  <c r="AU81" i="11"/>
  <c r="AU81" i="12" s="1"/>
  <c r="AV81" i="11"/>
  <c r="AV81" i="12" s="1"/>
  <c r="AW81" i="11"/>
  <c r="AW81" i="12" s="1"/>
  <c r="AX81" i="11"/>
  <c r="AX81" i="12" s="1"/>
  <c r="AY81" i="11"/>
  <c r="AY81" i="12" s="1"/>
  <c r="AZ81" i="11"/>
  <c r="AZ81" i="12" s="1"/>
  <c r="BA81" i="11"/>
  <c r="BA81" i="12" s="1"/>
  <c r="AH82" i="11"/>
  <c r="AH82" i="12" s="1"/>
  <c r="AI82" i="11"/>
  <c r="AI82" i="12" s="1"/>
  <c r="AJ82" i="11"/>
  <c r="AJ82" i="12" s="1"/>
  <c r="AK82" i="11"/>
  <c r="AK82" i="12" s="1"/>
  <c r="AL82" i="11"/>
  <c r="AL82" i="12" s="1"/>
  <c r="AM82" i="11"/>
  <c r="AM82" i="12" s="1"/>
  <c r="AN82" i="11"/>
  <c r="AN82" i="12" s="1"/>
  <c r="AO82" i="11"/>
  <c r="AO82" i="12" s="1"/>
  <c r="AP82" i="11"/>
  <c r="AP82" i="12" s="1"/>
  <c r="AQ82" i="11"/>
  <c r="AQ82" i="12" s="1"/>
  <c r="AR82" i="11"/>
  <c r="AR82" i="12" s="1"/>
  <c r="AS82" i="11"/>
  <c r="AS82" i="12" s="1"/>
  <c r="AT82" i="11"/>
  <c r="AT82" i="12" s="1"/>
  <c r="AU82" i="11"/>
  <c r="AU82" i="12" s="1"/>
  <c r="AV82" i="11"/>
  <c r="AV82" i="12" s="1"/>
  <c r="AW82" i="11"/>
  <c r="AW82" i="12" s="1"/>
  <c r="AX82" i="11"/>
  <c r="AX82" i="12" s="1"/>
  <c r="AY82" i="11"/>
  <c r="AY82" i="12" s="1"/>
  <c r="AZ82" i="11"/>
  <c r="AZ82" i="12" s="1"/>
  <c r="BA82" i="11"/>
  <c r="BA82" i="12" s="1"/>
  <c r="AH83" i="11"/>
  <c r="AH83" i="12" s="1"/>
  <c r="AI83" i="11"/>
  <c r="AI83" i="12" s="1"/>
  <c r="AJ83" i="11"/>
  <c r="AJ83" i="12" s="1"/>
  <c r="AK83" i="11"/>
  <c r="AK83" i="12" s="1"/>
  <c r="AL83" i="11"/>
  <c r="AL83" i="12" s="1"/>
  <c r="AM83" i="11"/>
  <c r="AM83" i="12" s="1"/>
  <c r="AN83" i="11"/>
  <c r="AN83" i="12" s="1"/>
  <c r="AO83" i="11"/>
  <c r="AO83" i="12" s="1"/>
  <c r="AP83" i="11"/>
  <c r="AP83" i="12" s="1"/>
  <c r="AQ83" i="11"/>
  <c r="AQ83" i="12" s="1"/>
  <c r="AR83" i="11"/>
  <c r="AR83" i="12" s="1"/>
  <c r="AS83" i="11"/>
  <c r="AS83" i="12" s="1"/>
  <c r="AT83" i="11"/>
  <c r="AT83" i="12" s="1"/>
  <c r="AU83" i="11"/>
  <c r="AU83" i="12" s="1"/>
  <c r="AV83" i="11"/>
  <c r="AV83" i="12" s="1"/>
  <c r="AW83" i="11"/>
  <c r="AW83" i="12" s="1"/>
  <c r="AX83" i="11"/>
  <c r="AX83" i="12" s="1"/>
  <c r="AY83" i="11"/>
  <c r="AY83" i="12" s="1"/>
  <c r="AZ83" i="11"/>
  <c r="AZ83" i="12" s="1"/>
  <c r="BA83" i="11"/>
  <c r="BA83" i="12" s="1"/>
  <c r="AH84" i="11"/>
  <c r="AH84" i="12" s="1"/>
  <c r="AI84" i="11"/>
  <c r="AI84" i="12" s="1"/>
  <c r="AJ84" i="11"/>
  <c r="AJ84" i="12" s="1"/>
  <c r="AK84" i="11"/>
  <c r="AK84" i="12" s="1"/>
  <c r="AL84" i="11"/>
  <c r="AL84" i="12" s="1"/>
  <c r="AM84" i="11"/>
  <c r="AM84" i="12" s="1"/>
  <c r="AN84" i="11"/>
  <c r="AN84" i="12" s="1"/>
  <c r="AO84" i="11"/>
  <c r="AO84" i="12" s="1"/>
  <c r="AP84" i="11"/>
  <c r="AP84" i="12" s="1"/>
  <c r="AQ84" i="11"/>
  <c r="AQ84" i="12" s="1"/>
  <c r="AR84" i="11"/>
  <c r="AR84" i="12" s="1"/>
  <c r="AS84" i="11"/>
  <c r="AS84" i="12" s="1"/>
  <c r="AT84" i="11"/>
  <c r="AT84" i="12" s="1"/>
  <c r="AU84" i="11"/>
  <c r="AU84" i="12" s="1"/>
  <c r="AV84" i="11"/>
  <c r="AV84" i="12" s="1"/>
  <c r="AW84" i="11"/>
  <c r="AW84" i="12" s="1"/>
  <c r="AX84" i="11"/>
  <c r="AX84" i="12" s="1"/>
  <c r="AY84" i="11"/>
  <c r="AY84" i="12" s="1"/>
  <c r="AZ84" i="11"/>
  <c r="AZ84" i="12" s="1"/>
  <c r="BA84" i="11"/>
  <c r="BA84" i="12" s="1"/>
  <c r="AH85" i="11"/>
  <c r="AH85" i="12" s="1"/>
  <c r="AI85" i="11"/>
  <c r="AI85" i="12" s="1"/>
  <c r="AJ85" i="11"/>
  <c r="AJ85" i="12" s="1"/>
  <c r="AK85" i="11"/>
  <c r="AK85" i="12" s="1"/>
  <c r="AL85" i="11"/>
  <c r="AL85" i="12" s="1"/>
  <c r="AM85" i="11"/>
  <c r="AM85" i="12" s="1"/>
  <c r="AN85" i="11"/>
  <c r="AN85" i="12" s="1"/>
  <c r="AO85" i="11"/>
  <c r="AO85" i="12" s="1"/>
  <c r="AP85" i="11"/>
  <c r="AP85" i="12" s="1"/>
  <c r="AQ85" i="11"/>
  <c r="AQ85" i="12" s="1"/>
  <c r="AR85" i="11"/>
  <c r="AR85" i="12" s="1"/>
  <c r="AS85" i="11"/>
  <c r="AS85" i="12" s="1"/>
  <c r="AT85" i="11"/>
  <c r="AT85" i="12" s="1"/>
  <c r="AU85" i="11"/>
  <c r="AU85" i="12" s="1"/>
  <c r="AV85" i="11"/>
  <c r="AV85" i="12" s="1"/>
  <c r="AW85" i="11"/>
  <c r="AW85" i="12" s="1"/>
  <c r="AX85" i="11"/>
  <c r="AX85" i="12" s="1"/>
  <c r="AY85" i="11"/>
  <c r="AY85" i="12" s="1"/>
  <c r="AZ85" i="11"/>
  <c r="AZ85" i="12" s="1"/>
  <c r="BA85" i="11"/>
  <c r="BA85" i="12" s="1"/>
  <c r="AH86" i="11"/>
  <c r="AH86" i="12" s="1"/>
  <c r="AI86" i="11"/>
  <c r="AI86" i="12" s="1"/>
  <c r="AJ86" i="11"/>
  <c r="AJ86" i="12" s="1"/>
  <c r="AK86" i="11"/>
  <c r="AK86" i="12" s="1"/>
  <c r="AL86" i="11"/>
  <c r="AL86" i="12" s="1"/>
  <c r="AM86" i="11"/>
  <c r="AM86" i="12" s="1"/>
  <c r="AN86" i="11"/>
  <c r="AN86" i="12" s="1"/>
  <c r="AO86" i="11"/>
  <c r="AO86" i="12" s="1"/>
  <c r="AP86" i="11"/>
  <c r="AP86" i="12" s="1"/>
  <c r="AQ86" i="11"/>
  <c r="AQ86" i="12" s="1"/>
  <c r="AR86" i="11"/>
  <c r="AR86" i="12" s="1"/>
  <c r="AS86" i="11"/>
  <c r="AS86" i="12" s="1"/>
  <c r="AT86" i="11"/>
  <c r="AT86" i="12" s="1"/>
  <c r="AU86" i="11"/>
  <c r="AU86" i="12" s="1"/>
  <c r="AV86" i="11"/>
  <c r="AV86" i="12" s="1"/>
  <c r="AW86" i="11"/>
  <c r="AW86" i="12" s="1"/>
  <c r="AX86" i="11"/>
  <c r="AX86" i="12" s="1"/>
  <c r="AY86" i="11"/>
  <c r="AY86" i="12" s="1"/>
  <c r="AZ86" i="11"/>
  <c r="AZ86" i="12" s="1"/>
  <c r="BA86" i="11"/>
  <c r="BA86" i="12" s="1"/>
  <c r="AH87" i="11"/>
  <c r="AH87" i="12" s="1"/>
  <c r="AI87" i="11"/>
  <c r="AI87" i="12" s="1"/>
  <c r="AJ87" i="11"/>
  <c r="AJ87" i="12" s="1"/>
  <c r="AK87" i="11"/>
  <c r="AK87" i="12" s="1"/>
  <c r="AL87" i="11"/>
  <c r="AL87" i="12" s="1"/>
  <c r="AM87" i="11"/>
  <c r="AM87" i="12" s="1"/>
  <c r="AN87" i="11"/>
  <c r="AN87" i="12" s="1"/>
  <c r="AO87" i="11"/>
  <c r="AO87" i="12" s="1"/>
  <c r="AP87" i="11"/>
  <c r="AP87" i="12" s="1"/>
  <c r="AQ87" i="11"/>
  <c r="AQ87" i="12" s="1"/>
  <c r="AR87" i="11"/>
  <c r="AR87" i="12" s="1"/>
  <c r="AS87" i="11"/>
  <c r="AS87" i="12" s="1"/>
  <c r="AT87" i="11"/>
  <c r="AT87" i="12" s="1"/>
  <c r="AU87" i="11"/>
  <c r="AU87" i="12" s="1"/>
  <c r="AV87" i="11"/>
  <c r="AV87" i="12" s="1"/>
  <c r="AW87" i="11"/>
  <c r="AW87" i="12" s="1"/>
  <c r="AX87" i="11"/>
  <c r="AX87" i="12" s="1"/>
  <c r="AY87" i="11"/>
  <c r="AY87" i="12" s="1"/>
  <c r="AZ87" i="11"/>
  <c r="AZ87" i="12" s="1"/>
  <c r="BA87" i="11"/>
  <c r="BA87" i="12" s="1"/>
  <c r="AH88" i="11"/>
  <c r="AH88" i="12" s="1"/>
  <c r="AI88" i="11"/>
  <c r="AI88" i="12" s="1"/>
  <c r="AJ88" i="11"/>
  <c r="AJ88" i="12" s="1"/>
  <c r="AK88" i="11"/>
  <c r="AK88" i="12" s="1"/>
  <c r="AL88" i="11"/>
  <c r="AL88" i="12" s="1"/>
  <c r="AM88" i="11"/>
  <c r="AM88" i="12" s="1"/>
  <c r="AN88" i="11"/>
  <c r="AN88" i="12" s="1"/>
  <c r="AO88" i="11"/>
  <c r="AO88" i="12" s="1"/>
  <c r="AP88" i="11"/>
  <c r="AP88" i="12" s="1"/>
  <c r="AQ88" i="11"/>
  <c r="AQ88" i="12" s="1"/>
  <c r="AR88" i="11"/>
  <c r="AR88" i="12" s="1"/>
  <c r="AS88" i="11"/>
  <c r="AS88" i="12" s="1"/>
  <c r="AT88" i="11"/>
  <c r="AT88" i="12" s="1"/>
  <c r="AU88" i="11"/>
  <c r="AU88" i="12" s="1"/>
  <c r="AV88" i="11"/>
  <c r="AV88" i="12" s="1"/>
  <c r="AW88" i="11"/>
  <c r="AW88" i="12" s="1"/>
  <c r="AX88" i="11"/>
  <c r="AX88" i="12" s="1"/>
  <c r="AY88" i="11"/>
  <c r="AY88" i="12" s="1"/>
  <c r="AZ88" i="11"/>
  <c r="AZ88" i="12" s="1"/>
  <c r="BA88" i="11"/>
  <c r="BA88" i="12" s="1"/>
  <c r="AH89" i="11"/>
  <c r="AH89" i="12" s="1"/>
  <c r="AI89" i="11"/>
  <c r="AI89" i="12" s="1"/>
  <c r="AJ89" i="11"/>
  <c r="AJ89" i="12" s="1"/>
  <c r="AK89" i="11"/>
  <c r="AK89" i="12" s="1"/>
  <c r="AL89" i="11"/>
  <c r="AL89" i="12" s="1"/>
  <c r="AM89" i="11"/>
  <c r="AM89" i="12" s="1"/>
  <c r="AN89" i="11"/>
  <c r="AN89" i="12" s="1"/>
  <c r="AO89" i="11"/>
  <c r="AO89" i="12" s="1"/>
  <c r="AP89" i="11"/>
  <c r="AP89" i="12" s="1"/>
  <c r="AQ89" i="11"/>
  <c r="AQ89" i="12" s="1"/>
  <c r="AR89" i="11"/>
  <c r="AR89" i="12" s="1"/>
  <c r="AS89" i="11"/>
  <c r="AS89" i="12" s="1"/>
  <c r="AT89" i="11"/>
  <c r="AT89" i="12" s="1"/>
  <c r="AU89" i="11"/>
  <c r="AU89" i="12" s="1"/>
  <c r="AV89" i="11"/>
  <c r="AV89" i="12" s="1"/>
  <c r="AW89" i="11"/>
  <c r="AW89" i="12" s="1"/>
  <c r="AX89" i="11"/>
  <c r="AX89" i="12" s="1"/>
  <c r="AY89" i="11"/>
  <c r="AY89" i="12" s="1"/>
  <c r="AZ89" i="11"/>
  <c r="AZ89" i="12" s="1"/>
  <c r="BA89" i="11"/>
  <c r="BA89" i="12" s="1"/>
  <c r="AH90" i="11"/>
  <c r="AH90" i="12" s="1"/>
  <c r="AI90" i="11"/>
  <c r="AI90" i="12" s="1"/>
  <c r="AJ90" i="11"/>
  <c r="AJ90" i="12" s="1"/>
  <c r="AK90" i="11"/>
  <c r="AK90" i="12" s="1"/>
  <c r="AL90" i="11"/>
  <c r="AL90" i="12" s="1"/>
  <c r="AM90" i="11"/>
  <c r="AM90" i="12" s="1"/>
  <c r="AN90" i="11"/>
  <c r="AN90" i="12" s="1"/>
  <c r="AO90" i="11"/>
  <c r="AO90" i="12" s="1"/>
  <c r="AP90" i="11"/>
  <c r="AP90" i="12" s="1"/>
  <c r="AQ90" i="11"/>
  <c r="AQ90" i="12" s="1"/>
  <c r="AR90" i="11"/>
  <c r="AR90" i="12" s="1"/>
  <c r="AS90" i="11"/>
  <c r="AS90" i="12" s="1"/>
  <c r="AT90" i="11"/>
  <c r="AT90" i="12" s="1"/>
  <c r="AU90" i="11"/>
  <c r="AU90" i="12" s="1"/>
  <c r="AV90" i="11"/>
  <c r="AV90" i="12" s="1"/>
  <c r="AW90" i="11"/>
  <c r="AW90" i="12" s="1"/>
  <c r="AX90" i="11"/>
  <c r="AX90" i="12" s="1"/>
  <c r="AY90" i="11"/>
  <c r="AY90" i="12" s="1"/>
  <c r="AZ90" i="11"/>
  <c r="AZ90" i="12" s="1"/>
  <c r="BA90" i="11"/>
  <c r="BA90" i="12" s="1"/>
  <c r="AH91" i="11"/>
  <c r="AH91" i="12" s="1"/>
  <c r="AI91" i="11"/>
  <c r="AI91" i="12" s="1"/>
  <c r="AJ91" i="11"/>
  <c r="AJ91" i="12" s="1"/>
  <c r="AK91" i="11"/>
  <c r="AK91" i="12" s="1"/>
  <c r="AL91" i="11"/>
  <c r="AL91" i="12" s="1"/>
  <c r="AM91" i="11"/>
  <c r="AM91" i="12" s="1"/>
  <c r="AN91" i="11"/>
  <c r="AN91" i="12" s="1"/>
  <c r="AO91" i="11"/>
  <c r="AO91" i="12" s="1"/>
  <c r="AP91" i="11"/>
  <c r="AP91" i="12" s="1"/>
  <c r="AQ91" i="11"/>
  <c r="AQ91" i="12" s="1"/>
  <c r="AR91" i="11"/>
  <c r="AR91" i="12" s="1"/>
  <c r="AS91" i="11"/>
  <c r="AS91" i="12" s="1"/>
  <c r="AT91" i="11"/>
  <c r="AT91" i="12" s="1"/>
  <c r="AU91" i="11"/>
  <c r="AU91" i="12" s="1"/>
  <c r="AV91" i="11"/>
  <c r="AV91" i="12" s="1"/>
  <c r="AW91" i="11"/>
  <c r="AW91" i="12" s="1"/>
  <c r="AX91" i="11"/>
  <c r="AX91" i="12" s="1"/>
  <c r="AY91" i="11"/>
  <c r="AY91" i="12" s="1"/>
  <c r="AZ91" i="11"/>
  <c r="AZ91" i="12" s="1"/>
  <c r="BA91" i="11"/>
  <c r="BA91" i="12" s="1"/>
  <c r="AH92" i="11"/>
  <c r="AH92" i="12" s="1"/>
  <c r="AI92" i="11"/>
  <c r="AI92" i="12" s="1"/>
  <c r="AJ92" i="11"/>
  <c r="AJ92" i="12" s="1"/>
  <c r="AK92" i="11"/>
  <c r="AK92" i="12" s="1"/>
  <c r="AL92" i="11"/>
  <c r="AL92" i="12" s="1"/>
  <c r="AM92" i="11"/>
  <c r="AM92" i="12" s="1"/>
  <c r="AN92" i="11"/>
  <c r="AN92" i="12" s="1"/>
  <c r="AO92" i="11"/>
  <c r="AO92" i="12" s="1"/>
  <c r="AP92" i="11"/>
  <c r="AP92" i="12" s="1"/>
  <c r="AQ92" i="11"/>
  <c r="AQ92" i="12" s="1"/>
  <c r="AR92" i="11"/>
  <c r="AR92" i="12" s="1"/>
  <c r="AS92" i="11"/>
  <c r="AS92" i="12" s="1"/>
  <c r="AT92" i="11"/>
  <c r="AT92" i="12" s="1"/>
  <c r="AU92" i="11"/>
  <c r="AU92" i="12" s="1"/>
  <c r="AV92" i="11"/>
  <c r="AV92" i="12" s="1"/>
  <c r="AW92" i="11"/>
  <c r="AW92" i="12" s="1"/>
  <c r="AX92" i="11"/>
  <c r="AX92" i="12" s="1"/>
  <c r="AY92" i="11"/>
  <c r="AY92" i="12" s="1"/>
  <c r="AZ92" i="11"/>
  <c r="AZ92" i="12" s="1"/>
  <c r="BA92" i="11"/>
  <c r="BA92" i="12" s="1"/>
  <c r="AH93" i="11"/>
  <c r="AH93" i="12" s="1"/>
  <c r="AI93" i="11"/>
  <c r="AI93" i="12" s="1"/>
  <c r="AJ93" i="11"/>
  <c r="AJ93" i="12" s="1"/>
  <c r="AK93" i="11"/>
  <c r="AK93" i="12" s="1"/>
  <c r="AL93" i="11"/>
  <c r="AL93" i="12" s="1"/>
  <c r="AM93" i="11"/>
  <c r="AM93" i="12" s="1"/>
  <c r="AN93" i="11"/>
  <c r="AN93" i="12" s="1"/>
  <c r="AO93" i="11"/>
  <c r="AO93" i="12" s="1"/>
  <c r="AP93" i="11"/>
  <c r="AP93" i="12" s="1"/>
  <c r="AQ93" i="11"/>
  <c r="AQ93" i="12" s="1"/>
  <c r="AR93" i="11"/>
  <c r="AR93" i="12" s="1"/>
  <c r="AS93" i="11"/>
  <c r="AS93" i="12" s="1"/>
  <c r="AT93" i="11"/>
  <c r="AT93" i="12" s="1"/>
  <c r="AU93" i="11"/>
  <c r="AU93" i="12" s="1"/>
  <c r="AV93" i="11"/>
  <c r="AV93" i="12" s="1"/>
  <c r="AW93" i="11"/>
  <c r="AW93" i="12" s="1"/>
  <c r="AX93" i="11"/>
  <c r="AX93" i="12" s="1"/>
  <c r="AY93" i="11"/>
  <c r="AY93" i="12" s="1"/>
  <c r="AZ93" i="11"/>
  <c r="AZ93" i="12" s="1"/>
  <c r="BA93" i="11"/>
  <c r="BA93" i="12" s="1"/>
  <c r="AH94" i="11"/>
  <c r="AH94" i="12" s="1"/>
  <c r="AI94" i="11"/>
  <c r="AI94" i="12" s="1"/>
  <c r="AJ94" i="11"/>
  <c r="AJ94" i="12" s="1"/>
  <c r="AK94" i="11"/>
  <c r="AK94" i="12" s="1"/>
  <c r="AL94" i="11"/>
  <c r="AL94" i="12" s="1"/>
  <c r="AM94" i="11"/>
  <c r="AM94" i="12" s="1"/>
  <c r="AN94" i="11"/>
  <c r="AN94" i="12" s="1"/>
  <c r="AO94" i="11"/>
  <c r="AO94" i="12" s="1"/>
  <c r="AP94" i="11"/>
  <c r="AP94" i="12" s="1"/>
  <c r="AQ94" i="11"/>
  <c r="AQ94" i="12" s="1"/>
  <c r="AR94" i="11"/>
  <c r="AR94" i="12" s="1"/>
  <c r="AS94" i="11"/>
  <c r="AS94" i="12" s="1"/>
  <c r="AT94" i="11"/>
  <c r="AT94" i="12" s="1"/>
  <c r="AU94" i="11"/>
  <c r="AU94" i="12" s="1"/>
  <c r="AV94" i="11"/>
  <c r="AV94" i="12" s="1"/>
  <c r="AW94" i="11"/>
  <c r="AW94" i="12" s="1"/>
  <c r="AX94" i="11"/>
  <c r="AX94" i="12" s="1"/>
  <c r="AY94" i="11"/>
  <c r="AY94" i="12" s="1"/>
  <c r="AZ94" i="11"/>
  <c r="AZ94" i="12" s="1"/>
  <c r="BA94" i="11"/>
  <c r="BA94" i="12" s="1"/>
  <c r="AH95" i="11"/>
  <c r="AH95" i="12" s="1"/>
  <c r="AI95" i="11"/>
  <c r="AI95" i="12" s="1"/>
  <c r="AJ95" i="11"/>
  <c r="AJ95" i="12" s="1"/>
  <c r="AK95" i="11"/>
  <c r="AK95" i="12" s="1"/>
  <c r="AL95" i="11"/>
  <c r="AL95" i="12" s="1"/>
  <c r="AM95" i="11"/>
  <c r="AM95" i="12" s="1"/>
  <c r="AN95" i="11"/>
  <c r="AN95" i="12" s="1"/>
  <c r="AO95" i="11"/>
  <c r="AO95" i="12" s="1"/>
  <c r="AP95" i="11"/>
  <c r="AP95" i="12" s="1"/>
  <c r="AQ95" i="11"/>
  <c r="AQ95" i="12" s="1"/>
  <c r="AR95" i="11"/>
  <c r="AR95" i="12" s="1"/>
  <c r="AS95" i="11"/>
  <c r="AS95" i="12" s="1"/>
  <c r="AT95" i="11"/>
  <c r="AT95" i="12" s="1"/>
  <c r="AU95" i="11"/>
  <c r="AU95" i="12" s="1"/>
  <c r="AV95" i="11"/>
  <c r="AV95" i="12" s="1"/>
  <c r="AW95" i="11"/>
  <c r="AW95" i="12" s="1"/>
  <c r="AX95" i="11"/>
  <c r="AX95" i="12" s="1"/>
  <c r="AY95" i="11"/>
  <c r="AY95" i="12" s="1"/>
  <c r="AZ95" i="11"/>
  <c r="AZ95" i="12" s="1"/>
  <c r="BA95" i="11"/>
  <c r="BA95" i="12" s="1"/>
  <c r="AH96" i="11"/>
  <c r="AH96" i="12" s="1"/>
  <c r="AI96" i="11"/>
  <c r="AI96" i="12" s="1"/>
  <c r="AJ96" i="11"/>
  <c r="AJ96" i="12" s="1"/>
  <c r="AK96" i="11"/>
  <c r="AK96" i="12" s="1"/>
  <c r="AL96" i="11"/>
  <c r="AL96" i="12" s="1"/>
  <c r="AM96" i="11"/>
  <c r="AM96" i="12" s="1"/>
  <c r="AN96" i="11"/>
  <c r="AN96" i="12" s="1"/>
  <c r="AO96" i="11"/>
  <c r="AO96" i="12" s="1"/>
  <c r="AP96" i="11"/>
  <c r="AP96" i="12" s="1"/>
  <c r="AQ96" i="11"/>
  <c r="AQ96" i="12" s="1"/>
  <c r="AR96" i="11"/>
  <c r="AR96" i="12" s="1"/>
  <c r="AS96" i="11"/>
  <c r="AS96" i="12" s="1"/>
  <c r="AT96" i="11"/>
  <c r="AT96" i="12" s="1"/>
  <c r="AU96" i="11"/>
  <c r="AU96" i="12" s="1"/>
  <c r="AV96" i="11"/>
  <c r="AV96" i="12" s="1"/>
  <c r="AW96" i="11"/>
  <c r="AW96" i="12" s="1"/>
  <c r="AX96" i="11"/>
  <c r="AX96" i="12" s="1"/>
  <c r="AY96" i="11"/>
  <c r="AY96" i="12" s="1"/>
  <c r="AZ96" i="11"/>
  <c r="AZ96" i="12" s="1"/>
  <c r="BA96" i="11"/>
  <c r="BA96" i="12" s="1"/>
  <c r="AH97" i="11"/>
  <c r="AH97" i="12" s="1"/>
  <c r="AI97" i="11"/>
  <c r="AI97" i="12" s="1"/>
  <c r="AJ97" i="11"/>
  <c r="AJ97" i="12" s="1"/>
  <c r="AK97" i="11"/>
  <c r="AK97" i="12" s="1"/>
  <c r="AL97" i="11"/>
  <c r="AL97" i="12" s="1"/>
  <c r="AM97" i="11"/>
  <c r="AM97" i="12" s="1"/>
  <c r="AN97" i="11"/>
  <c r="AN97" i="12" s="1"/>
  <c r="AO97" i="11"/>
  <c r="AO97" i="12" s="1"/>
  <c r="AP97" i="11"/>
  <c r="AP97" i="12" s="1"/>
  <c r="AQ97" i="11"/>
  <c r="AQ97" i="12" s="1"/>
  <c r="AR97" i="11"/>
  <c r="AR97" i="12" s="1"/>
  <c r="AS97" i="11"/>
  <c r="AS97" i="12" s="1"/>
  <c r="AT97" i="11"/>
  <c r="AT97" i="12" s="1"/>
  <c r="AU97" i="11"/>
  <c r="AU97" i="12" s="1"/>
  <c r="AV97" i="11"/>
  <c r="AV97" i="12" s="1"/>
  <c r="AW97" i="11"/>
  <c r="AW97" i="12" s="1"/>
  <c r="AX97" i="11"/>
  <c r="AX97" i="12" s="1"/>
  <c r="AY97" i="11"/>
  <c r="AY97" i="12" s="1"/>
  <c r="AZ97" i="11"/>
  <c r="AZ97" i="12" s="1"/>
  <c r="BA97" i="11"/>
  <c r="BA97" i="12" s="1"/>
  <c r="AH98" i="11"/>
  <c r="AH98" i="12" s="1"/>
  <c r="AI98" i="11"/>
  <c r="AI98" i="12" s="1"/>
  <c r="AJ98" i="11"/>
  <c r="AJ98" i="12" s="1"/>
  <c r="AK98" i="11"/>
  <c r="AK98" i="12" s="1"/>
  <c r="AL98" i="11"/>
  <c r="AL98" i="12" s="1"/>
  <c r="AM98" i="11"/>
  <c r="AM98" i="12" s="1"/>
  <c r="AN98" i="11"/>
  <c r="AN98" i="12" s="1"/>
  <c r="AO98" i="11"/>
  <c r="AO98" i="12" s="1"/>
  <c r="AP98" i="11"/>
  <c r="AP98" i="12" s="1"/>
  <c r="AQ98" i="11"/>
  <c r="AQ98" i="12" s="1"/>
  <c r="AR98" i="11"/>
  <c r="AR98" i="12" s="1"/>
  <c r="AS98" i="11"/>
  <c r="AS98" i="12" s="1"/>
  <c r="AT98" i="11"/>
  <c r="AT98" i="12" s="1"/>
  <c r="AU98" i="11"/>
  <c r="AU98" i="12" s="1"/>
  <c r="AV98" i="11"/>
  <c r="AV98" i="12" s="1"/>
  <c r="AW98" i="11"/>
  <c r="AW98" i="12" s="1"/>
  <c r="AX98" i="11"/>
  <c r="AX98" i="12" s="1"/>
  <c r="AY98" i="11"/>
  <c r="AY98" i="12" s="1"/>
  <c r="AZ98" i="11"/>
  <c r="AZ98" i="12" s="1"/>
  <c r="BA98" i="11"/>
  <c r="BA98" i="12" s="1"/>
  <c r="AH99" i="11"/>
  <c r="AH99" i="12" s="1"/>
  <c r="AI99" i="11"/>
  <c r="AI99" i="12" s="1"/>
  <c r="AJ99" i="11"/>
  <c r="AJ99" i="12" s="1"/>
  <c r="AK99" i="11"/>
  <c r="AK99" i="12" s="1"/>
  <c r="AL99" i="11"/>
  <c r="AL99" i="12" s="1"/>
  <c r="AM99" i="11"/>
  <c r="AM99" i="12" s="1"/>
  <c r="AN99" i="11"/>
  <c r="AN99" i="12" s="1"/>
  <c r="AO99" i="11"/>
  <c r="AO99" i="12" s="1"/>
  <c r="AP99" i="11"/>
  <c r="AP99" i="12" s="1"/>
  <c r="AQ99" i="11"/>
  <c r="AQ99" i="12" s="1"/>
  <c r="AR99" i="11"/>
  <c r="AR99" i="12" s="1"/>
  <c r="AS99" i="11"/>
  <c r="AS99" i="12" s="1"/>
  <c r="AT99" i="11"/>
  <c r="AT99" i="12" s="1"/>
  <c r="AU99" i="11"/>
  <c r="AU99" i="12" s="1"/>
  <c r="AV99" i="11"/>
  <c r="AV99" i="12" s="1"/>
  <c r="AW99" i="11"/>
  <c r="AW99" i="12" s="1"/>
  <c r="AX99" i="11"/>
  <c r="AX99" i="12" s="1"/>
  <c r="AY99" i="11"/>
  <c r="AY99" i="12" s="1"/>
  <c r="AZ99" i="11"/>
  <c r="AZ99" i="12" s="1"/>
  <c r="BA99" i="11"/>
  <c r="BA99" i="12" s="1"/>
  <c r="AH100" i="11"/>
  <c r="AH100" i="12" s="1"/>
  <c r="AI100" i="11"/>
  <c r="AI100" i="12" s="1"/>
  <c r="AJ100" i="11"/>
  <c r="AJ100" i="12" s="1"/>
  <c r="AK100" i="11"/>
  <c r="AK100" i="12" s="1"/>
  <c r="AL100" i="11"/>
  <c r="AL100" i="12" s="1"/>
  <c r="AM100" i="11"/>
  <c r="AM100" i="12" s="1"/>
  <c r="AN100" i="11"/>
  <c r="AN100" i="12" s="1"/>
  <c r="AO100" i="11"/>
  <c r="AO100" i="12" s="1"/>
  <c r="AP100" i="11"/>
  <c r="AP100" i="12" s="1"/>
  <c r="AQ100" i="11"/>
  <c r="AQ100" i="12" s="1"/>
  <c r="AR100" i="11"/>
  <c r="AR100" i="12" s="1"/>
  <c r="AS100" i="11"/>
  <c r="AS100" i="12" s="1"/>
  <c r="AT100" i="11"/>
  <c r="AT100" i="12" s="1"/>
  <c r="AU100" i="11"/>
  <c r="AU100" i="12" s="1"/>
  <c r="AV100" i="11"/>
  <c r="AV100" i="12" s="1"/>
  <c r="AW100" i="11"/>
  <c r="AW100" i="12" s="1"/>
  <c r="AX100" i="11"/>
  <c r="AX100" i="12" s="1"/>
  <c r="AY100" i="11"/>
  <c r="AY100" i="12" s="1"/>
  <c r="AZ100" i="11"/>
  <c r="AZ100" i="12" s="1"/>
  <c r="BA100" i="11"/>
  <c r="BA100" i="12" s="1"/>
  <c r="AH101" i="11"/>
  <c r="AH101" i="12" s="1"/>
  <c r="AI101" i="11"/>
  <c r="AI101" i="12" s="1"/>
  <c r="AJ101" i="11"/>
  <c r="AJ101" i="12" s="1"/>
  <c r="AK101" i="11"/>
  <c r="AK101" i="12" s="1"/>
  <c r="AL101" i="11"/>
  <c r="AL101" i="12" s="1"/>
  <c r="AM101" i="11"/>
  <c r="AM101" i="12" s="1"/>
  <c r="AN101" i="11"/>
  <c r="AN101" i="12" s="1"/>
  <c r="AO101" i="11"/>
  <c r="AO101" i="12" s="1"/>
  <c r="AP101" i="11"/>
  <c r="AP101" i="12" s="1"/>
  <c r="AQ101" i="11"/>
  <c r="AQ101" i="12" s="1"/>
  <c r="AR101" i="11"/>
  <c r="AR101" i="12" s="1"/>
  <c r="AS101" i="11"/>
  <c r="AS101" i="12" s="1"/>
  <c r="AT101" i="11"/>
  <c r="AT101" i="12" s="1"/>
  <c r="AU101" i="11"/>
  <c r="AU101" i="12" s="1"/>
  <c r="AV101" i="11"/>
  <c r="AV101" i="12" s="1"/>
  <c r="AW101" i="11"/>
  <c r="AW101" i="12" s="1"/>
  <c r="AX101" i="11"/>
  <c r="AX101" i="12" s="1"/>
  <c r="AY101" i="11"/>
  <c r="AY101" i="12" s="1"/>
  <c r="AZ101" i="11"/>
  <c r="AZ101" i="12" s="1"/>
  <c r="BA101" i="11"/>
  <c r="BA101" i="12" s="1"/>
  <c r="AH102" i="11"/>
  <c r="AH102" i="12" s="1"/>
  <c r="AI102" i="11"/>
  <c r="AI102" i="12" s="1"/>
  <c r="AJ102" i="11"/>
  <c r="AJ102" i="12" s="1"/>
  <c r="AK102" i="11"/>
  <c r="AK102" i="12" s="1"/>
  <c r="AL102" i="11"/>
  <c r="AL102" i="12" s="1"/>
  <c r="AM102" i="11"/>
  <c r="AM102" i="12" s="1"/>
  <c r="AN102" i="11"/>
  <c r="AN102" i="12" s="1"/>
  <c r="AO102" i="11"/>
  <c r="AO102" i="12" s="1"/>
  <c r="AP102" i="11"/>
  <c r="AP102" i="12" s="1"/>
  <c r="AQ102" i="11"/>
  <c r="AQ102" i="12" s="1"/>
  <c r="AR102" i="11"/>
  <c r="AR102" i="12" s="1"/>
  <c r="AS102" i="11"/>
  <c r="AS102" i="12" s="1"/>
  <c r="AT102" i="11"/>
  <c r="AT102" i="12" s="1"/>
  <c r="AU102" i="11"/>
  <c r="AU102" i="12" s="1"/>
  <c r="AV102" i="11"/>
  <c r="AV102" i="12" s="1"/>
  <c r="AW102" i="11"/>
  <c r="AW102" i="12" s="1"/>
  <c r="AX102" i="11"/>
  <c r="AX102" i="12" s="1"/>
  <c r="AY102" i="11"/>
  <c r="AY102" i="12" s="1"/>
  <c r="AZ102" i="11"/>
  <c r="AZ102" i="12" s="1"/>
  <c r="BA102" i="11"/>
  <c r="BA102" i="12" s="1"/>
  <c r="AH103" i="11"/>
  <c r="AH103" i="12" s="1"/>
  <c r="AI103" i="11"/>
  <c r="AI103" i="12" s="1"/>
  <c r="AJ103" i="11"/>
  <c r="AJ103" i="12" s="1"/>
  <c r="AK103" i="11"/>
  <c r="AK103" i="12" s="1"/>
  <c r="AL103" i="11"/>
  <c r="AL103" i="12" s="1"/>
  <c r="AM103" i="11"/>
  <c r="AM103" i="12" s="1"/>
  <c r="AN103" i="11"/>
  <c r="AN103" i="12" s="1"/>
  <c r="AO103" i="11"/>
  <c r="AO103" i="12" s="1"/>
  <c r="AP103" i="11"/>
  <c r="AP103" i="12" s="1"/>
  <c r="AQ103" i="11"/>
  <c r="AQ103" i="12" s="1"/>
  <c r="AR103" i="11"/>
  <c r="AR103" i="12" s="1"/>
  <c r="AS103" i="11"/>
  <c r="AS103" i="12" s="1"/>
  <c r="AT103" i="11"/>
  <c r="AT103" i="12" s="1"/>
  <c r="AU103" i="11"/>
  <c r="AU103" i="12" s="1"/>
  <c r="AV103" i="11"/>
  <c r="AV103" i="12" s="1"/>
  <c r="AW103" i="11"/>
  <c r="AW103" i="12" s="1"/>
  <c r="AX103" i="11"/>
  <c r="AX103" i="12" s="1"/>
  <c r="AY103" i="11"/>
  <c r="AY103" i="12" s="1"/>
  <c r="AZ103" i="11"/>
  <c r="AZ103" i="12" s="1"/>
  <c r="BA103" i="11"/>
  <c r="BA103" i="12" s="1"/>
  <c r="AH104" i="11"/>
  <c r="AH104" i="12" s="1"/>
  <c r="AI104" i="11"/>
  <c r="AI104" i="12" s="1"/>
  <c r="AJ104" i="11"/>
  <c r="AJ104" i="12" s="1"/>
  <c r="AK104" i="11"/>
  <c r="AK104" i="12" s="1"/>
  <c r="AL104" i="11"/>
  <c r="AL104" i="12" s="1"/>
  <c r="AM104" i="11"/>
  <c r="AM104" i="12" s="1"/>
  <c r="AN104" i="11"/>
  <c r="AN104" i="12" s="1"/>
  <c r="AO104" i="11"/>
  <c r="AO104" i="12" s="1"/>
  <c r="AP104" i="11"/>
  <c r="AP104" i="12" s="1"/>
  <c r="AQ104" i="11"/>
  <c r="AQ104" i="12" s="1"/>
  <c r="AR104" i="11"/>
  <c r="AR104" i="12" s="1"/>
  <c r="AS104" i="11"/>
  <c r="AS104" i="12" s="1"/>
  <c r="AT104" i="11"/>
  <c r="AT104" i="12" s="1"/>
  <c r="AU104" i="11"/>
  <c r="AU104" i="12" s="1"/>
  <c r="AV104" i="11"/>
  <c r="AV104" i="12" s="1"/>
  <c r="AW104" i="11"/>
  <c r="AW104" i="12" s="1"/>
  <c r="AX104" i="11"/>
  <c r="AX104" i="12" s="1"/>
  <c r="AY104" i="11"/>
  <c r="AY104" i="12" s="1"/>
  <c r="AZ104" i="11"/>
  <c r="AZ104" i="12" s="1"/>
  <c r="BA104" i="11"/>
  <c r="BA104" i="12" s="1"/>
  <c r="AH105" i="11"/>
  <c r="AH105" i="12" s="1"/>
  <c r="AI105" i="11"/>
  <c r="AI105" i="12" s="1"/>
  <c r="AJ105" i="11"/>
  <c r="AJ105" i="12" s="1"/>
  <c r="AK105" i="11"/>
  <c r="AK105" i="12" s="1"/>
  <c r="AL105" i="11"/>
  <c r="AL105" i="12" s="1"/>
  <c r="AM105" i="11"/>
  <c r="AM105" i="12" s="1"/>
  <c r="AN105" i="11"/>
  <c r="AN105" i="12" s="1"/>
  <c r="AO105" i="11"/>
  <c r="AO105" i="12" s="1"/>
  <c r="AP105" i="11"/>
  <c r="AP105" i="12" s="1"/>
  <c r="AQ105" i="11"/>
  <c r="AQ105" i="12" s="1"/>
  <c r="AR105" i="11"/>
  <c r="AR105" i="12" s="1"/>
  <c r="AS105" i="11"/>
  <c r="AS105" i="12" s="1"/>
  <c r="AT105" i="11"/>
  <c r="AT105" i="12" s="1"/>
  <c r="AU105" i="11"/>
  <c r="AU105" i="12" s="1"/>
  <c r="AV105" i="11"/>
  <c r="AV105" i="12" s="1"/>
  <c r="AW105" i="11"/>
  <c r="AW105" i="12" s="1"/>
  <c r="AX105" i="11"/>
  <c r="AX105" i="12" s="1"/>
  <c r="AY105" i="11"/>
  <c r="AY105" i="12" s="1"/>
  <c r="AZ105" i="11"/>
  <c r="AZ105" i="12" s="1"/>
  <c r="BA105" i="11"/>
  <c r="BA105" i="12" s="1"/>
  <c r="AH106" i="11"/>
  <c r="AH106" i="12" s="1"/>
  <c r="AI106" i="11"/>
  <c r="AI106" i="12" s="1"/>
  <c r="AJ106" i="11"/>
  <c r="AJ106" i="12" s="1"/>
  <c r="AK106" i="11"/>
  <c r="AK106" i="12" s="1"/>
  <c r="AL106" i="11"/>
  <c r="AL106" i="12" s="1"/>
  <c r="AM106" i="11"/>
  <c r="AM106" i="12" s="1"/>
  <c r="AN106" i="11"/>
  <c r="AN106" i="12" s="1"/>
  <c r="AO106" i="11"/>
  <c r="AO106" i="12" s="1"/>
  <c r="AP106" i="11"/>
  <c r="AP106" i="12" s="1"/>
  <c r="AQ106" i="11"/>
  <c r="AQ106" i="12" s="1"/>
  <c r="AR106" i="11"/>
  <c r="AR106" i="12" s="1"/>
  <c r="AS106" i="11"/>
  <c r="AS106" i="12" s="1"/>
  <c r="AT106" i="11"/>
  <c r="AT106" i="12" s="1"/>
  <c r="AU106" i="11"/>
  <c r="AU106" i="12" s="1"/>
  <c r="AV106" i="11"/>
  <c r="AV106" i="12" s="1"/>
  <c r="AW106" i="11"/>
  <c r="AW106" i="12" s="1"/>
  <c r="AX106" i="11"/>
  <c r="AX106" i="12" s="1"/>
  <c r="AY106" i="11"/>
  <c r="AY106" i="12" s="1"/>
  <c r="AZ106" i="11"/>
  <c r="AZ106" i="12" s="1"/>
  <c r="BA106" i="11"/>
  <c r="BA106" i="12" s="1"/>
  <c r="AH107" i="11"/>
  <c r="AH107" i="12" s="1"/>
  <c r="AI107" i="11"/>
  <c r="AI107" i="12" s="1"/>
  <c r="AJ107" i="11"/>
  <c r="AJ107" i="12" s="1"/>
  <c r="AK107" i="11"/>
  <c r="AK107" i="12" s="1"/>
  <c r="AL107" i="11"/>
  <c r="AL107" i="12" s="1"/>
  <c r="AM107" i="11"/>
  <c r="AM107" i="12" s="1"/>
  <c r="AN107" i="11"/>
  <c r="AN107" i="12" s="1"/>
  <c r="AO107" i="11"/>
  <c r="AO107" i="12" s="1"/>
  <c r="AP107" i="11"/>
  <c r="AP107" i="12" s="1"/>
  <c r="AQ107" i="11"/>
  <c r="AQ107" i="12" s="1"/>
  <c r="AR107" i="11"/>
  <c r="AR107" i="12" s="1"/>
  <c r="AS107" i="11"/>
  <c r="AS107" i="12" s="1"/>
  <c r="AT107" i="11"/>
  <c r="AT107" i="12" s="1"/>
  <c r="AU107" i="11"/>
  <c r="AU107" i="12" s="1"/>
  <c r="AV107" i="11"/>
  <c r="AV107" i="12" s="1"/>
  <c r="AW107" i="11"/>
  <c r="AW107" i="12" s="1"/>
  <c r="AX107" i="11"/>
  <c r="AX107" i="12" s="1"/>
  <c r="AY107" i="11"/>
  <c r="AY107" i="12" s="1"/>
  <c r="AZ107" i="11"/>
  <c r="AZ107" i="12" s="1"/>
  <c r="BA107" i="11"/>
  <c r="BA107" i="12" s="1"/>
  <c r="AH108" i="11"/>
  <c r="AH108" i="12" s="1"/>
  <c r="AI108" i="11"/>
  <c r="AI108" i="12" s="1"/>
  <c r="AJ108" i="11"/>
  <c r="AJ108" i="12" s="1"/>
  <c r="AK108" i="11"/>
  <c r="AK108" i="12" s="1"/>
  <c r="AL108" i="11"/>
  <c r="AL108" i="12" s="1"/>
  <c r="AM108" i="11"/>
  <c r="AM108" i="12" s="1"/>
  <c r="AN108" i="11"/>
  <c r="AN108" i="12" s="1"/>
  <c r="AO108" i="11"/>
  <c r="AO108" i="12" s="1"/>
  <c r="AP108" i="11"/>
  <c r="AP108" i="12" s="1"/>
  <c r="AQ108" i="11"/>
  <c r="AQ108" i="12" s="1"/>
  <c r="AR108" i="11"/>
  <c r="AR108" i="12" s="1"/>
  <c r="AS108" i="11"/>
  <c r="AS108" i="12" s="1"/>
  <c r="AT108" i="11"/>
  <c r="AT108" i="12" s="1"/>
  <c r="AU108" i="11"/>
  <c r="AU108" i="12" s="1"/>
  <c r="AV108" i="11"/>
  <c r="AV108" i="12" s="1"/>
  <c r="AW108" i="11"/>
  <c r="AW108" i="12" s="1"/>
  <c r="AX108" i="11"/>
  <c r="AX108" i="12" s="1"/>
  <c r="AY108" i="11"/>
  <c r="AY108" i="12" s="1"/>
  <c r="AZ108" i="11"/>
  <c r="AZ108" i="12" s="1"/>
  <c r="BA108" i="11"/>
  <c r="BA108" i="12" s="1"/>
  <c r="AH109" i="11"/>
  <c r="AH109" i="12" s="1"/>
  <c r="AI109" i="11"/>
  <c r="AI109" i="12" s="1"/>
  <c r="AJ109" i="11"/>
  <c r="AJ109" i="12" s="1"/>
  <c r="AK109" i="11"/>
  <c r="AK109" i="12" s="1"/>
  <c r="AL109" i="11"/>
  <c r="AL109" i="12" s="1"/>
  <c r="AM109" i="11"/>
  <c r="AM109" i="12" s="1"/>
  <c r="AN109" i="11"/>
  <c r="AN109" i="12" s="1"/>
  <c r="AO109" i="11"/>
  <c r="AO109" i="12" s="1"/>
  <c r="AP109" i="11"/>
  <c r="AP109" i="12" s="1"/>
  <c r="AQ109" i="11"/>
  <c r="AQ109" i="12" s="1"/>
  <c r="AR109" i="11"/>
  <c r="AR109" i="12" s="1"/>
  <c r="AS109" i="11"/>
  <c r="AS109" i="12" s="1"/>
  <c r="AT109" i="11"/>
  <c r="AT109" i="12" s="1"/>
  <c r="AU109" i="11"/>
  <c r="AU109" i="12" s="1"/>
  <c r="AV109" i="11"/>
  <c r="AV109" i="12" s="1"/>
  <c r="AW109" i="11"/>
  <c r="AW109" i="12" s="1"/>
  <c r="AX109" i="11"/>
  <c r="AX109" i="12" s="1"/>
  <c r="AY109" i="11"/>
  <c r="AY109" i="12" s="1"/>
  <c r="AZ109" i="11"/>
  <c r="AZ109" i="12" s="1"/>
  <c r="BA109" i="11"/>
  <c r="BA109" i="12" s="1"/>
  <c r="AH110" i="11"/>
  <c r="AH110" i="12" s="1"/>
  <c r="AI110" i="11"/>
  <c r="AI110" i="12" s="1"/>
  <c r="AJ110" i="11"/>
  <c r="AJ110" i="12" s="1"/>
  <c r="AK110" i="11"/>
  <c r="AK110" i="12" s="1"/>
  <c r="AL110" i="11"/>
  <c r="AL110" i="12" s="1"/>
  <c r="AM110" i="11"/>
  <c r="AM110" i="12" s="1"/>
  <c r="AN110" i="11"/>
  <c r="AN110" i="12" s="1"/>
  <c r="AO110" i="11"/>
  <c r="AO110" i="12" s="1"/>
  <c r="AP110" i="11"/>
  <c r="AP110" i="12" s="1"/>
  <c r="AQ110" i="11"/>
  <c r="AQ110" i="12" s="1"/>
  <c r="AR110" i="11"/>
  <c r="AR110" i="12" s="1"/>
  <c r="AS110" i="11"/>
  <c r="AS110" i="12" s="1"/>
  <c r="AT110" i="11"/>
  <c r="AT110" i="12" s="1"/>
  <c r="AU110" i="11"/>
  <c r="AU110" i="12" s="1"/>
  <c r="AV110" i="11"/>
  <c r="AV110" i="12" s="1"/>
  <c r="AW110" i="11"/>
  <c r="AW110" i="12" s="1"/>
  <c r="AX110" i="11"/>
  <c r="AX110" i="12" s="1"/>
  <c r="AY110" i="11"/>
  <c r="AY110" i="12" s="1"/>
  <c r="AZ110" i="11"/>
  <c r="AZ110" i="12" s="1"/>
  <c r="BA110" i="11"/>
  <c r="BA110" i="12" s="1"/>
  <c r="AH111" i="11"/>
  <c r="AH111" i="12" s="1"/>
  <c r="AI111" i="11"/>
  <c r="AI111" i="12" s="1"/>
  <c r="AJ111" i="11"/>
  <c r="AJ111" i="12" s="1"/>
  <c r="AK111" i="11"/>
  <c r="AK111" i="12" s="1"/>
  <c r="AL111" i="11"/>
  <c r="AL111" i="12" s="1"/>
  <c r="AM111" i="11"/>
  <c r="AM111" i="12" s="1"/>
  <c r="AN111" i="11"/>
  <c r="AN111" i="12" s="1"/>
  <c r="AO111" i="11"/>
  <c r="AO111" i="12" s="1"/>
  <c r="AP111" i="11"/>
  <c r="AP111" i="12" s="1"/>
  <c r="AQ111" i="11"/>
  <c r="AQ111" i="12" s="1"/>
  <c r="AR111" i="11"/>
  <c r="AR111" i="12" s="1"/>
  <c r="AS111" i="11"/>
  <c r="AS111" i="12" s="1"/>
  <c r="AT111" i="11"/>
  <c r="AT111" i="12" s="1"/>
  <c r="AU111" i="11"/>
  <c r="AU111" i="12" s="1"/>
  <c r="AV111" i="11"/>
  <c r="AV111" i="12" s="1"/>
  <c r="AW111" i="11"/>
  <c r="AW111" i="12" s="1"/>
  <c r="AX111" i="11"/>
  <c r="AX111" i="12" s="1"/>
  <c r="AY111" i="11"/>
  <c r="AY111" i="12" s="1"/>
  <c r="AZ111" i="11"/>
  <c r="AZ111" i="12" s="1"/>
  <c r="BA111" i="11"/>
  <c r="BA111" i="12" s="1"/>
  <c r="AH112" i="11"/>
  <c r="AH112" i="12" s="1"/>
  <c r="AI112" i="11"/>
  <c r="AI112" i="12" s="1"/>
  <c r="AJ112" i="11"/>
  <c r="AJ112" i="12" s="1"/>
  <c r="AK112" i="11"/>
  <c r="AK112" i="12" s="1"/>
  <c r="AL112" i="11"/>
  <c r="AL112" i="12" s="1"/>
  <c r="AM112" i="11"/>
  <c r="AM112" i="12" s="1"/>
  <c r="AN112" i="11"/>
  <c r="AN112" i="12" s="1"/>
  <c r="AO112" i="11"/>
  <c r="AO112" i="12" s="1"/>
  <c r="AP112" i="11"/>
  <c r="AP112" i="12" s="1"/>
  <c r="AQ112" i="11"/>
  <c r="AQ112" i="12" s="1"/>
  <c r="AR112" i="11"/>
  <c r="AR112" i="12" s="1"/>
  <c r="AS112" i="11"/>
  <c r="AS112" i="12" s="1"/>
  <c r="AT112" i="11"/>
  <c r="AT112" i="12" s="1"/>
  <c r="AU112" i="11"/>
  <c r="AU112" i="12" s="1"/>
  <c r="AV112" i="11"/>
  <c r="AV112" i="12" s="1"/>
  <c r="AW112" i="11"/>
  <c r="AW112" i="12" s="1"/>
  <c r="AX112" i="11"/>
  <c r="AX112" i="12" s="1"/>
  <c r="AY112" i="11"/>
  <c r="AY112" i="12" s="1"/>
  <c r="AZ112" i="11"/>
  <c r="AZ112" i="12" s="1"/>
  <c r="BA112" i="11"/>
  <c r="BA112" i="12" s="1"/>
  <c r="AH113" i="11"/>
  <c r="AH113" i="12" s="1"/>
  <c r="AI113" i="11"/>
  <c r="AI113" i="12" s="1"/>
  <c r="AJ113" i="11"/>
  <c r="AJ113" i="12" s="1"/>
  <c r="AK113" i="11"/>
  <c r="AK113" i="12" s="1"/>
  <c r="AL113" i="11"/>
  <c r="AL113" i="12" s="1"/>
  <c r="AM113" i="11"/>
  <c r="AM113" i="12" s="1"/>
  <c r="AN113" i="11"/>
  <c r="AN113" i="12" s="1"/>
  <c r="AO113" i="11"/>
  <c r="AO113" i="12" s="1"/>
  <c r="AP113" i="11"/>
  <c r="AP113" i="12" s="1"/>
  <c r="AQ113" i="11"/>
  <c r="AQ113" i="12" s="1"/>
  <c r="AR113" i="11"/>
  <c r="AR113" i="12" s="1"/>
  <c r="AS113" i="11"/>
  <c r="AS113" i="12" s="1"/>
  <c r="AT113" i="11"/>
  <c r="AT113" i="12" s="1"/>
  <c r="AU113" i="11"/>
  <c r="AU113" i="12" s="1"/>
  <c r="AV113" i="11"/>
  <c r="AV113" i="12" s="1"/>
  <c r="AW113" i="11"/>
  <c r="AW113" i="12" s="1"/>
  <c r="AX113" i="11"/>
  <c r="AX113" i="12" s="1"/>
  <c r="AY113" i="11"/>
  <c r="AY113" i="12" s="1"/>
  <c r="AZ113" i="11"/>
  <c r="AZ113" i="12" s="1"/>
  <c r="BA113" i="11"/>
  <c r="BA113" i="12" s="1"/>
  <c r="AH114" i="11"/>
  <c r="AH114" i="12" s="1"/>
  <c r="AI114" i="11"/>
  <c r="AI114" i="12" s="1"/>
  <c r="AJ114" i="11"/>
  <c r="AJ114" i="12" s="1"/>
  <c r="AK114" i="11"/>
  <c r="AK114" i="12" s="1"/>
  <c r="AL114" i="11"/>
  <c r="AL114" i="12" s="1"/>
  <c r="AM114" i="11"/>
  <c r="AM114" i="12" s="1"/>
  <c r="AN114" i="11"/>
  <c r="AN114" i="12" s="1"/>
  <c r="AO114" i="11"/>
  <c r="AO114" i="12" s="1"/>
  <c r="AP114" i="11"/>
  <c r="AP114" i="12" s="1"/>
  <c r="AQ114" i="11"/>
  <c r="AQ114" i="12" s="1"/>
  <c r="AR114" i="11"/>
  <c r="AR114" i="12" s="1"/>
  <c r="AS114" i="11"/>
  <c r="AS114" i="12" s="1"/>
  <c r="AT114" i="11"/>
  <c r="AT114" i="12" s="1"/>
  <c r="AU114" i="11"/>
  <c r="AU114" i="12" s="1"/>
  <c r="AV114" i="11"/>
  <c r="AV114" i="12" s="1"/>
  <c r="AW114" i="11"/>
  <c r="AW114" i="12" s="1"/>
  <c r="AX114" i="11"/>
  <c r="AX114" i="12" s="1"/>
  <c r="AY114" i="11"/>
  <c r="AY114" i="12" s="1"/>
  <c r="AZ114" i="11"/>
  <c r="AZ114" i="12" s="1"/>
  <c r="BA114" i="11"/>
  <c r="BA114" i="12" s="1"/>
  <c r="AH115" i="11"/>
  <c r="AH115" i="12" s="1"/>
  <c r="AI115" i="11"/>
  <c r="AI115" i="12" s="1"/>
  <c r="AJ115" i="11"/>
  <c r="AJ115" i="12" s="1"/>
  <c r="AK115" i="11"/>
  <c r="AK115" i="12" s="1"/>
  <c r="AL115" i="11"/>
  <c r="AL115" i="12" s="1"/>
  <c r="AM115" i="11"/>
  <c r="AM115" i="12" s="1"/>
  <c r="AN115" i="11"/>
  <c r="AN115" i="12" s="1"/>
  <c r="AO115" i="11"/>
  <c r="AO115" i="12" s="1"/>
  <c r="AP115" i="11"/>
  <c r="AP115" i="12" s="1"/>
  <c r="AQ115" i="11"/>
  <c r="AQ115" i="12" s="1"/>
  <c r="AR115" i="11"/>
  <c r="AR115" i="12" s="1"/>
  <c r="AS115" i="11"/>
  <c r="AS115" i="12" s="1"/>
  <c r="AT115" i="11"/>
  <c r="AT115" i="12" s="1"/>
  <c r="AU115" i="11"/>
  <c r="AU115" i="12" s="1"/>
  <c r="AV115" i="11"/>
  <c r="AV115" i="12" s="1"/>
  <c r="AW115" i="11"/>
  <c r="AW115" i="12" s="1"/>
  <c r="AX115" i="11"/>
  <c r="AX115" i="12" s="1"/>
  <c r="AY115" i="11"/>
  <c r="AY115" i="12" s="1"/>
  <c r="AZ115" i="11"/>
  <c r="AZ115" i="12" s="1"/>
  <c r="BA115" i="11"/>
  <c r="BA115" i="12" s="1"/>
  <c r="AH116" i="11"/>
  <c r="AH116" i="12" s="1"/>
  <c r="AI116" i="11"/>
  <c r="AI116" i="12" s="1"/>
  <c r="AJ116" i="11"/>
  <c r="AJ116" i="12" s="1"/>
  <c r="AK116" i="11"/>
  <c r="AK116" i="12" s="1"/>
  <c r="AL116" i="11"/>
  <c r="AL116" i="12" s="1"/>
  <c r="AM116" i="11"/>
  <c r="AM116" i="12" s="1"/>
  <c r="AN116" i="11"/>
  <c r="AN116" i="12" s="1"/>
  <c r="AO116" i="11"/>
  <c r="AO116" i="12" s="1"/>
  <c r="AP116" i="11"/>
  <c r="AP116" i="12" s="1"/>
  <c r="AQ116" i="11"/>
  <c r="AQ116" i="12" s="1"/>
  <c r="AR116" i="11"/>
  <c r="AR116" i="12" s="1"/>
  <c r="AS116" i="11"/>
  <c r="AS116" i="12" s="1"/>
  <c r="AT116" i="11"/>
  <c r="AT116" i="12" s="1"/>
  <c r="AU116" i="11"/>
  <c r="AU116" i="12" s="1"/>
  <c r="AV116" i="11"/>
  <c r="AV116" i="12" s="1"/>
  <c r="AW116" i="11"/>
  <c r="AW116" i="12" s="1"/>
  <c r="AX116" i="11"/>
  <c r="AX116" i="12" s="1"/>
  <c r="AY116" i="11"/>
  <c r="AY116" i="12" s="1"/>
  <c r="AZ116" i="11"/>
  <c r="AZ116" i="12" s="1"/>
  <c r="BA116" i="11"/>
  <c r="BA116" i="12" s="1"/>
  <c r="AH117" i="11"/>
  <c r="AH117" i="12" s="1"/>
  <c r="AI117" i="11"/>
  <c r="AI117" i="12" s="1"/>
  <c r="AJ117" i="11"/>
  <c r="AJ117" i="12" s="1"/>
  <c r="AK117" i="11"/>
  <c r="AK117" i="12" s="1"/>
  <c r="AL117" i="11"/>
  <c r="AL117" i="12" s="1"/>
  <c r="AM117" i="11"/>
  <c r="AM117" i="12" s="1"/>
  <c r="AN117" i="11"/>
  <c r="AN117" i="12" s="1"/>
  <c r="AO117" i="11"/>
  <c r="AO117" i="12" s="1"/>
  <c r="AP117" i="11"/>
  <c r="AP117" i="12" s="1"/>
  <c r="AQ117" i="11"/>
  <c r="AQ117" i="12" s="1"/>
  <c r="AR117" i="11"/>
  <c r="AR117" i="12" s="1"/>
  <c r="AS117" i="11"/>
  <c r="AS117" i="12" s="1"/>
  <c r="AT117" i="11"/>
  <c r="AT117" i="12" s="1"/>
  <c r="AU117" i="11"/>
  <c r="AU117" i="12" s="1"/>
  <c r="AV117" i="11"/>
  <c r="AV117" i="12" s="1"/>
  <c r="AW117" i="11"/>
  <c r="AW117" i="12" s="1"/>
  <c r="AX117" i="11"/>
  <c r="AX117" i="12" s="1"/>
  <c r="AY117" i="11"/>
  <c r="AY117" i="12" s="1"/>
  <c r="AZ117" i="11"/>
  <c r="AZ117" i="12" s="1"/>
  <c r="BA117" i="11"/>
  <c r="BA117" i="12" s="1"/>
  <c r="AH118" i="11"/>
  <c r="AH118" i="12" s="1"/>
  <c r="AI118" i="11"/>
  <c r="AI118" i="12" s="1"/>
  <c r="AJ118" i="11"/>
  <c r="AJ118" i="12" s="1"/>
  <c r="AK118" i="11"/>
  <c r="AK118" i="12" s="1"/>
  <c r="AL118" i="11"/>
  <c r="AL118" i="12" s="1"/>
  <c r="AM118" i="11"/>
  <c r="AM118" i="12" s="1"/>
  <c r="AN118" i="11"/>
  <c r="AN118" i="12" s="1"/>
  <c r="AO118" i="11"/>
  <c r="AO118" i="12" s="1"/>
  <c r="AP118" i="11"/>
  <c r="AP118" i="12" s="1"/>
  <c r="AQ118" i="11"/>
  <c r="AQ118" i="12" s="1"/>
  <c r="AR118" i="11"/>
  <c r="AR118" i="12" s="1"/>
  <c r="AS118" i="11"/>
  <c r="AS118" i="12" s="1"/>
  <c r="AT118" i="11"/>
  <c r="AT118" i="12" s="1"/>
  <c r="AU118" i="11"/>
  <c r="AU118" i="12" s="1"/>
  <c r="AV118" i="11"/>
  <c r="AV118" i="12" s="1"/>
  <c r="AW118" i="11"/>
  <c r="AW118" i="12" s="1"/>
  <c r="AX118" i="11"/>
  <c r="AX118" i="12" s="1"/>
  <c r="AY118" i="11"/>
  <c r="AY118" i="12" s="1"/>
  <c r="AZ118" i="11"/>
  <c r="AZ118" i="12" s="1"/>
  <c r="BA118" i="11"/>
  <c r="BA118" i="12" s="1"/>
  <c r="AH119" i="11"/>
  <c r="AH119" i="12" s="1"/>
  <c r="AI119" i="11"/>
  <c r="AI119" i="12" s="1"/>
  <c r="AJ119" i="11"/>
  <c r="AJ119" i="12" s="1"/>
  <c r="AK119" i="11"/>
  <c r="AK119" i="12" s="1"/>
  <c r="AL119" i="11"/>
  <c r="AL119" i="12" s="1"/>
  <c r="AM119" i="11"/>
  <c r="AM119" i="12" s="1"/>
  <c r="AN119" i="11"/>
  <c r="AN119" i="12" s="1"/>
  <c r="AO119" i="11"/>
  <c r="AO119" i="12" s="1"/>
  <c r="AP119" i="11"/>
  <c r="AP119" i="12" s="1"/>
  <c r="AQ119" i="11"/>
  <c r="AQ119" i="12" s="1"/>
  <c r="AR119" i="11"/>
  <c r="AR119" i="12" s="1"/>
  <c r="AS119" i="11"/>
  <c r="AS119" i="12" s="1"/>
  <c r="AT119" i="11"/>
  <c r="AT119" i="12" s="1"/>
  <c r="AU119" i="11"/>
  <c r="AU119" i="12" s="1"/>
  <c r="AV119" i="11"/>
  <c r="AV119" i="12" s="1"/>
  <c r="AW119" i="11"/>
  <c r="AW119" i="12" s="1"/>
  <c r="AX119" i="11"/>
  <c r="AX119" i="12" s="1"/>
  <c r="AY119" i="11"/>
  <c r="AY119" i="12" s="1"/>
  <c r="AZ119" i="11"/>
  <c r="AZ119" i="12" s="1"/>
  <c r="BA119" i="11"/>
  <c r="BA119" i="12" s="1"/>
  <c r="AH120" i="11"/>
  <c r="AH120" i="12" s="1"/>
  <c r="AI120" i="11"/>
  <c r="AI120" i="12" s="1"/>
  <c r="AJ120" i="11"/>
  <c r="AJ120" i="12" s="1"/>
  <c r="AK120" i="11"/>
  <c r="AK120" i="12" s="1"/>
  <c r="AL120" i="11"/>
  <c r="AL120" i="12" s="1"/>
  <c r="AM120" i="11"/>
  <c r="AM120" i="12" s="1"/>
  <c r="AN120" i="11"/>
  <c r="AN120" i="12" s="1"/>
  <c r="AO120" i="11"/>
  <c r="AO120" i="12" s="1"/>
  <c r="AP120" i="11"/>
  <c r="AP120" i="12" s="1"/>
  <c r="AQ120" i="11"/>
  <c r="AQ120" i="12" s="1"/>
  <c r="AR120" i="11"/>
  <c r="AR120" i="12" s="1"/>
  <c r="AS120" i="11"/>
  <c r="AS120" i="12" s="1"/>
  <c r="AT120" i="11"/>
  <c r="AT120" i="12" s="1"/>
  <c r="AU120" i="11"/>
  <c r="AU120" i="12" s="1"/>
  <c r="AV120" i="11"/>
  <c r="AV120" i="12" s="1"/>
  <c r="AW120" i="11"/>
  <c r="AW120" i="12" s="1"/>
  <c r="AX120" i="11"/>
  <c r="AX120" i="12" s="1"/>
  <c r="AY120" i="11"/>
  <c r="AY120" i="12" s="1"/>
  <c r="AZ120" i="11"/>
  <c r="AZ120" i="12" s="1"/>
  <c r="BA120" i="11"/>
  <c r="BA120" i="12" s="1"/>
  <c r="AH121" i="11"/>
  <c r="AH121" i="12" s="1"/>
  <c r="AI121" i="11"/>
  <c r="AI121" i="12" s="1"/>
  <c r="AJ121" i="11"/>
  <c r="AJ121" i="12" s="1"/>
  <c r="AK121" i="11"/>
  <c r="AK121" i="12" s="1"/>
  <c r="AL121" i="11"/>
  <c r="AL121" i="12" s="1"/>
  <c r="AM121" i="11"/>
  <c r="AM121" i="12" s="1"/>
  <c r="AN121" i="11"/>
  <c r="AN121" i="12" s="1"/>
  <c r="AO121" i="11"/>
  <c r="AO121" i="12" s="1"/>
  <c r="AP121" i="11"/>
  <c r="AP121" i="12" s="1"/>
  <c r="AQ121" i="11"/>
  <c r="AQ121" i="12" s="1"/>
  <c r="AR121" i="11"/>
  <c r="AR121" i="12" s="1"/>
  <c r="AS121" i="11"/>
  <c r="AS121" i="12" s="1"/>
  <c r="AT121" i="11"/>
  <c r="AT121" i="12" s="1"/>
  <c r="AU121" i="11"/>
  <c r="AU121" i="12" s="1"/>
  <c r="AV121" i="11"/>
  <c r="AV121" i="12" s="1"/>
  <c r="AW121" i="11"/>
  <c r="AW121" i="12" s="1"/>
  <c r="AX121" i="11"/>
  <c r="AX121" i="12" s="1"/>
  <c r="AY121" i="11"/>
  <c r="AY121" i="12" s="1"/>
  <c r="AZ121" i="11"/>
  <c r="AZ121" i="12" s="1"/>
  <c r="BA121" i="11"/>
  <c r="BA121" i="12" s="1"/>
  <c r="AH122" i="11"/>
  <c r="AH122" i="12" s="1"/>
  <c r="AI122" i="11"/>
  <c r="AI122" i="12" s="1"/>
  <c r="AJ122" i="11"/>
  <c r="AJ122" i="12" s="1"/>
  <c r="AK122" i="11"/>
  <c r="AK122" i="12" s="1"/>
  <c r="AL122" i="11"/>
  <c r="AL122" i="12" s="1"/>
  <c r="AM122" i="11"/>
  <c r="AM122" i="12" s="1"/>
  <c r="AN122" i="11"/>
  <c r="AN122" i="12" s="1"/>
  <c r="AO122" i="11"/>
  <c r="AO122" i="12" s="1"/>
  <c r="AP122" i="11"/>
  <c r="AP122" i="12" s="1"/>
  <c r="AQ122" i="11"/>
  <c r="AQ122" i="12" s="1"/>
  <c r="AR122" i="11"/>
  <c r="AR122" i="12" s="1"/>
  <c r="AS122" i="11"/>
  <c r="AS122" i="12" s="1"/>
  <c r="AT122" i="11"/>
  <c r="AT122" i="12" s="1"/>
  <c r="AU122" i="11"/>
  <c r="AU122" i="12" s="1"/>
  <c r="AV122" i="11"/>
  <c r="AV122" i="12" s="1"/>
  <c r="AW122" i="11"/>
  <c r="AW122" i="12" s="1"/>
  <c r="AX122" i="11"/>
  <c r="AX122" i="12" s="1"/>
  <c r="AY122" i="11"/>
  <c r="AY122" i="12" s="1"/>
  <c r="AZ122" i="11"/>
  <c r="AZ122" i="12" s="1"/>
  <c r="BA122" i="11"/>
  <c r="BA122" i="12" s="1"/>
  <c r="AH123" i="11"/>
  <c r="AH123" i="12" s="1"/>
  <c r="AI123" i="11"/>
  <c r="AI123" i="12" s="1"/>
  <c r="AJ123" i="11"/>
  <c r="AJ123" i="12" s="1"/>
  <c r="AK123" i="11"/>
  <c r="AK123" i="12" s="1"/>
  <c r="AL123" i="11"/>
  <c r="AL123" i="12" s="1"/>
  <c r="AM123" i="11"/>
  <c r="AM123" i="12" s="1"/>
  <c r="AN123" i="11"/>
  <c r="AN123" i="12" s="1"/>
  <c r="AO123" i="11"/>
  <c r="AO123" i="12" s="1"/>
  <c r="AP123" i="11"/>
  <c r="AP123" i="12" s="1"/>
  <c r="AQ123" i="11"/>
  <c r="AQ123" i="12" s="1"/>
  <c r="AR123" i="11"/>
  <c r="AR123" i="12" s="1"/>
  <c r="AS123" i="11"/>
  <c r="AS123" i="12" s="1"/>
  <c r="AT123" i="11"/>
  <c r="AT123" i="12" s="1"/>
  <c r="AU123" i="11"/>
  <c r="AU123" i="12" s="1"/>
  <c r="AV123" i="11"/>
  <c r="AV123" i="12" s="1"/>
  <c r="AW123" i="11"/>
  <c r="AW123" i="12" s="1"/>
  <c r="AX123" i="11"/>
  <c r="AX123" i="12" s="1"/>
  <c r="AY123" i="11"/>
  <c r="AY123" i="12" s="1"/>
  <c r="AZ123" i="11"/>
  <c r="AZ123" i="12" s="1"/>
  <c r="BA123" i="11"/>
  <c r="BA123" i="12" s="1"/>
  <c r="AH124" i="11"/>
  <c r="AH124" i="12" s="1"/>
  <c r="AI124" i="11"/>
  <c r="AI124" i="12" s="1"/>
  <c r="AJ124" i="11"/>
  <c r="AJ124" i="12" s="1"/>
  <c r="AK124" i="11"/>
  <c r="AK124" i="12" s="1"/>
  <c r="AL124" i="11"/>
  <c r="AL124" i="12" s="1"/>
  <c r="AM124" i="11"/>
  <c r="AM124" i="12" s="1"/>
  <c r="AN124" i="11"/>
  <c r="AN124" i="12" s="1"/>
  <c r="AO124" i="11"/>
  <c r="AO124" i="12" s="1"/>
  <c r="AP124" i="11"/>
  <c r="AP124" i="12" s="1"/>
  <c r="AQ124" i="11"/>
  <c r="AQ124" i="12" s="1"/>
  <c r="AR124" i="11"/>
  <c r="AR124" i="12" s="1"/>
  <c r="AS124" i="11"/>
  <c r="AS124" i="12" s="1"/>
  <c r="AT124" i="11"/>
  <c r="AT124" i="12" s="1"/>
  <c r="AU124" i="11"/>
  <c r="AU124" i="12" s="1"/>
  <c r="AV124" i="11"/>
  <c r="AV124" i="12" s="1"/>
  <c r="AW124" i="11"/>
  <c r="AW124" i="12" s="1"/>
  <c r="AX124" i="11"/>
  <c r="AX124" i="12" s="1"/>
  <c r="AY124" i="11"/>
  <c r="AY124" i="12" s="1"/>
  <c r="AZ124" i="11"/>
  <c r="AZ124" i="12" s="1"/>
  <c r="BA124" i="11"/>
  <c r="BA124" i="12" s="1"/>
  <c r="AH125" i="11"/>
  <c r="AH125" i="12" s="1"/>
  <c r="AI125" i="11"/>
  <c r="AI125" i="12" s="1"/>
  <c r="AJ125" i="11"/>
  <c r="AJ125" i="12" s="1"/>
  <c r="AK125" i="11"/>
  <c r="AK125" i="12" s="1"/>
  <c r="AL125" i="11"/>
  <c r="AL125" i="12" s="1"/>
  <c r="AM125" i="11"/>
  <c r="AM125" i="12" s="1"/>
  <c r="AN125" i="11"/>
  <c r="AN125" i="12" s="1"/>
  <c r="AO125" i="11"/>
  <c r="AO125" i="12" s="1"/>
  <c r="AP125" i="11"/>
  <c r="AP125" i="12" s="1"/>
  <c r="AQ125" i="11"/>
  <c r="AQ125" i="12" s="1"/>
  <c r="AR125" i="11"/>
  <c r="AR125" i="12" s="1"/>
  <c r="AS125" i="11"/>
  <c r="AS125" i="12" s="1"/>
  <c r="AT125" i="11"/>
  <c r="AT125" i="12" s="1"/>
  <c r="AU125" i="11"/>
  <c r="AU125" i="12" s="1"/>
  <c r="AV125" i="11"/>
  <c r="AV125" i="12" s="1"/>
  <c r="AW125" i="11"/>
  <c r="AW125" i="12" s="1"/>
  <c r="AX125" i="11"/>
  <c r="AX125" i="12" s="1"/>
  <c r="AY125" i="11"/>
  <c r="AY125" i="12" s="1"/>
  <c r="AZ125" i="11"/>
  <c r="AZ125" i="12" s="1"/>
  <c r="BA125" i="11"/>
  <c r="BA125" i="12" s="1"/>
  <c r="AH126" i="11"/>
  <c r="AH126" i="12" s="1"/>
  <c r="AI126" i="11"/>
  <c r="AI126" i="12" s="1"/>
  <c r="AJ126" i="11"/>
  <c r="AJ126" i="12" s="1"/>
  <c r="AK126" i="11"/>
  <c r="AK126" i="12" s="1"/>
  <c r="AL126" i="11"/>
  <c r="AL126" i="12" s="1"/>
  <c r="AM126" i="11"/>
  <c r="AM126" i="12" s="1"/>
  <c r="AN126" i="11"/>
  <c r="AN126" i="12" s="1"/>
  <c r="AO126" i="11"/>
  <c r="AO126" i="12" s="1"/>
  <c r="AP126" i="11"/>
  <c r="AP126" i="12" s="1"/>
  <c r="AQ126" i="11"/>
  <c r="AQ126" i="12" s="1"/>
  <c r="AR126" i="11"/>
  <c r="AR126" i="12" s="1"/>
  <c r="AS126" i="11"/>
  <c r="AS126" i="12" s="1"/>
  <c r="AT126" i="11"/>
  <c r="AT126" i="12" s="1"/>
  <c r="AU126" i="11"/>
  <c r="AU126" i="12" s="1"/>
  <c r="AV126" i="11"/>
  <c r="AV126" i="12" s="1"/>
  <c r="AW126" i="11"/>
  <c r="AW126" i="12" s="1"/>
  <c r="AX126" i="11"/>
  <c r="AX126" i="12" s="1"/>
  <c r="AY126" i="11"/>
  <c r="AY126" i="12" s="1"/>
  <c r="AZ126" i="11"/>
  <c r="AZ126" i="12" s="1"/>
  <c r="BA126" i="11"/>
  <c r="BA126" i="12" s="1"/>
  <c r="AH127" i="11"/>
  <c r="AH127" i="12" s="1"/>
  <c r="AI127" i="11"/>
  <c r="AI127" i="12" s="1"/>
  <c r="AJ127" i="11"/>
  <c r="AJ127" i="12" s="1"/>
  <c r="AK127" i="11"/>
  <c r="AK127" i="12" s="1"/>
  <c r="AL127" i="11"/>
  <c r="AL127" i="12" s="1"/>
  <c r="AM127" i="11"/>
  <c r="AM127" i="12" s="1"/>
  <c r="AN127" i="11"/>
  <c r="AN127" i="12" s="1"/>
  <c r="AO127" i="11"/>
  <c r="AO127" i="12" s="1"/>
  <c r="AP127" i="11"/>
  <c r="AP127" i="12" s="1"/>
  <c r="AQ127" i="11"/>
  <c r="AQ127" i="12" s="1"/>
  <c r="AR127" i="11"/>
  <c r="AR127" i="12" s="1"/>
  <c r="AS127" i="11"/>
  <c r="AS127" i="12" s="1"/>
  <c r="AT127" i="11"/>
  <c r="AT127" i="12" s="1"/>
  <c r="AU127" i="11"/>
  <c r="AU127" i="12" s="1"/>
  <c r="AV127" i="11"/>
  <c r="AV127" i="12" s="1"/>
  <c r="AW127" i="11"/>
  <c r="AW127" i="12" s="1"/>
  <c r="AX127" i="11"/>
  <c r="AX127" i="12" s="1"/>
  <c r="AY127" i="11"/>
  <c r="AY127" i="12" s="1"/>
  <c r="AZ127" i="11"/>
  <c r="AZ127" i="12" s="1"/>
  <c r="BA127" i="11"/>
  <c r="BA127" i="12" s="1"/>
  <c r="AH128" i="11"/>
  <c r="AH128" i="12" s="1"/>
  <c r="AI128" i="11"/>
  <c r="AI128" i="12" s="1"/>
  <c r="AJ128" i="11"/>
  <c r="AJ128" i="12" s="1"/>
  <c r="AK128" i="11"/>
  <c r="AK128" i="12" s="1"/>
  <c r="AL128" i="11"/>
  <c r="AL128" i="12" s="1"/>
  <c r="AM128" i="11"/>
  <c r="AM128" i="12" s="1"/>
  <c r="AN128" i="11"/>
  <c r="AN128" i="12" s="1"/>
  <c r="AO128" i="11"/>
  <c r="AO128" i="12" s="1"/>
  <c r="AP128" i="11"/>
  <c r="AP128" i="12" s="1"/>
  <c r="AQ128" i="11"/>
  <c r="AQ128" i="12" s="1"/>
  <c r="AR128" i="11"/>
  <c r="AR128" i="12" s="1"/>
  <c r="AS128" i="11"/>
  <c r="AS128" i="12" s="1"/>
  <c r="AT128" i="11"/>
  <c r="AT128" i="12" s="1"/>
  <c r="AU128" i="11"/>
  <c r="AU128" i="12" s="1"/>
  <c r="AV128" i="11"/>
  <c r="AV128" i="12" s="1"/>
  <c r="AW128" i="11"/>
  <c r="AW128" i="12" s="1"/>
  <c r="AX128" i="11"/>
  <c r="AX128" i="12" s="1"/>
  <c r="AY128" i="11"/>
  <c r="AY128" i="12" s="1"/>
  <c r="AZ128" i="11"/>
  <c r="AZ128" i="12" s="1"/>
  <c r="BA128" i="11"/>
  <c r="BA128" i="12" s="1"/>
  <c r="AH129" i="11"/>
  <c r="AH129" i="12" s="1"/>
  <c r="AI129" i="11"/>
  <c r="AI129" i="12" s="1"/>
  <c r="AJ129" i="11"/>
  <c r="AJ129" i="12" s="1"/>
  <c r="AK129" i="11"/>
  <c r="AK129" i="12" s="1"/>
  <c r="AL129" i="11"/>
  <c r="AL129" i="12" s="1"/>
  <c r="AM129" i="11"/>
  <c r="AM129" i="12" s="1"/>
  <c r="AN129" i="11"/>
  <c r="AN129" i="12" s="1"/>
  <c r="AO129" i="11"/>
  <c r="AO129" i="12" s="1"/>
  <c r="AP129" i="11"/>
  <c r="AP129" i="12" s="1"/>
  <c r="AQ129" i="11"/>
  <c r="AQ129" i="12" s="1"/>
  <c r="AR129" i="11"/>
  <c r="AR129" i="12" s="1"/>
  <c r="AS129" i="11"/>
  <c r="AS129" i="12" s="1"/>
  <c r="AT129" i="11"/>
  <c r="AT129" i="12" s="1"/>
  <c r="AU129" i="11"/>
  <c r="AU129" i="12" s="1"/>
  <c r="AV129" i="11"/>
  <c r="AV129" i="12" s="1"/>
  <c r="AW129" i="11"/>
  <c r="AW129" i="12" s="1"/>
  <c r="AX129" i="11"/>
  <c r="AX129" i="12" s="1"/>
  <c r="AY129" i="11"/>
  <c r="AY129" i="12" s="1"/>
  <c r="AZ129" i="11"/>
  <c r="AZ129" i="12" s="1"/>
  <c r="BA129" i="11"/>
  <c r="BA129" i="12" s="1"/>
  <c r="AH130" i="11"/>
  <c r="AH130" i="12" s="1"/>
  <c r="AI130" i="11"/>
  <c r="AI130" i="12" s="1"/>
  <c r="AJ130" i="11"/>
  <c r="AJ130" i="12" s="1"/>
  <c r="AK130" i="11"/>
  <c r="AK130" i="12" s="1"/>
  <c r="AL130" i="11"/>
  <c r="AL130" i="12" s="1"/>
  <c r="AM130" i="11"/>
  <c r="AM130" i="12" s="1"/>
  <c r="AN130" i="11"/>
  <c r="AN130" i="12" s="1"/>
  <c r="AO130" i="11"/>
  <c r="AO130" i="12" s="1"/>
  <c r="AP130" i="11"/>
  <c r="AP130" i="12" s="1"/>
  <c r="AQ130" i="11"/>
  <c r="AQ130" i="12" s="1"/>
  <c r="AR130" i="11"/>
  <c r="AR130" i="12" s="1"/>
  <c r="AS130" i="11"/>
  <c r="AS130" i="12" s="1"/>
  <c r="AT130" i="11"/>
  <c r="AT130" i="12" s="1"/>
  <c r="AU130" i="11"/>
  <c r="AU130" i="12" s="1"/>
  <c r="AV130" i="11"/>
  <c r="AV130" i="12" s="1"/>
  <c r="AW130" i="11"/>
  <c r="AW130" i="12" s="1"/>
  <c r="AX130" i="11"/>
  <c r="AX130" i="12" s="1"/>
  <c r="AY130" i="11"/>
  <c r="AY130" i="12" s="1"/>
  <c r="AZ130" i="11"/>
  <c r="AZ130" i="12" s="1"/>
  <c r="BA130" i="11"/>
  <c r="BA130" i="12" s="1"/>
  <c r="AH131" i="11"/>
  <c r="AH131" i="12" s="1"/>
  <c r="AI131" i="11"/>
  <c r="AI131" i="12" s="1"/>
  <c r="AJ131" i="11"/>
  <c r="AJ131" i="12" s="1"/>
  <c r="AK131" i="11"/>
  <c r="AK131" i="12" s="1"/>
  <c r="AL131" i="11"/>
  <c r="AL131" i="12" s="1"/>
  <c r="AM131" i="11"/>
  <c r="AM131" i="12" s="1"/>
  <c r="AN131" i="11"/>
  <c r="AN131" i="12" s="1"/>
  <c r="AO131" i="11"/>
  <c r="AO131" i="12" s="1"/>
  <c r="AP131" i="11"/>
  <c r="AP131" i="12" s="1"/>
  <c r="AQ131" i="11"/>
  <c r="AQ131" i="12" s="1"/>
  <c r="AR131" i="11"/>
  <c r="AR131" i="12" s="1"/>
  <c r="AS131" i="11"/>
  <c r="AS131" i="12" s="1"/>
  <c r="AT131" i="11"/>
  <c r="AT131" i="12" s="1"/>
  <c r="AU131" i="11"/>
  <c r="AU131" i="12" s="1"/>
  <c r="AV131" i="11"/>
  <c r="AV131" i="12" s="1"/>
  <c r="AW131" i="11"/>
  <c r="AW131" i="12" s="1"/>
  <c r="AX131" i="11"/>
  <c r="AX131" i="12" s="1"/>
  <c r="AY131" i="11"/>
  <c r="AY131" i="12" s="1"/>
  <c r="AZ131" i="11"/>
  <c r="AZ131" i="12" s="1"/>
  <c r="BA131" i="11"/>
  <c r="BA131" i="12" s="1"/>
  <c r="AH132" i="11"/>
  <c r="AH132" i="12" s="1"/>
  <c r="AI132" i="11"/>
  <c r="AI132" i="12" s="1"/>
  <c r="AJ132" i="11"/>
  <c r="AJ132" i="12" s="1"/>
  <c r="AK132" i="11"/>
  <c r="AK132" i="12" s="1"/>
  <c r="AL132" i="11"/>
  <c r="AL132" i="12" s="1"/>
  <c r="AM132" i="11"/>
  <c r="AM132" i="12" s="1"/>
  <c r="AN132" i="11"/>
  <c r="AN132" i="12" s="1"/>
  <c r="AO132" i="11"/>
  <c r="AO132" i="12" s="1"/>
  <c r="AP132" i="11"/>
  <c r="AP132" i="12" s="1"/>
  <c r="AQ132" i="11"/>
  <c r="AQ132" i="12" s="1"/>
  <c r="AR132" i="11"/>
  <c r="AR132" i="12" s="1"/>
  <c r="AS132" i="11"/>
  <c r="AS132" i="12" s="1"/>
  <c r="AT132" i="11"/>
  <c r="AT132" i="12" s="1"/>
  <c r="AU132" i="11"/>
  <c r="AU132" i="12" s="1"/>
  <c r="AV132" i="11"/>
  <c r="AV132" i="12" s="1"/>
  <c r="AW132" i="11"/>
  <c r="AW132" i="12" s="1"/>
  <c r="AX132" i="11"/>
  <c r="AX132" i="12" s="1"/>
  <c r="AY132" i="11"/>
  <c r="AY132" i="12" s="1"/>
  <c r="AZ132" i="11"/>
  <c r="AZ132" i="12" s="1"/>
  <c r="BA132" i="11"/>
  <c r="BA132" i="12" s="1"/>
  <c r="AH133" i="11"/>
  <c r="AH133" i="12" s="1"/>
  <c r="AI133" i="11"/>
  <c r="AI133" i="12" s="1"/>
  <c r="AJ133" i="11"/>
  <c r="AJ133" i="12" s="1"/>
  <c r="AK133" i="11"/>
  <c r="AK133" i="12" s="1"/>
  <c r="AL133" i="11"/>
  <c r="AL133" i="12" s="1"/>
  <c r="AM133" i="11"/>
  <c r="AM133" i="12" s="1"/>
  <c r="AN133" i="11"/>
  <c r="AN133" i="12" s="1"/>
  <c r="AO133" i="11"/>
  <c r="AO133" i="12" s="1"/>
  <c r="AP133" i="11"/>
  <c r="AP133" i="12" s="1"/>
  <c r="AQ133" i="11"/>
  <c r="AQ133" i="12" s="1"/>
  <c r="AR133" i="11"/>
  <c r="AR133" i="12" s="1"/>
  <c r="AS133" i="11"/>
  <c r="AS133" i="12" s="1"/>
  <c r="AT133" i="11"/>
  <c r="AT133" i="12" s="1"/>
  <c r="AU133" i="11"/>
  <c r="AU133" i="12" s="1"/>
  <c r="AV133" i="11"/>
  <c r="AV133" i="12" s="1"/>
  <c r="AW133" i="11"/>
  <c r="AW133" i="12" s="1"/>
  <c r="AX133" i="11"/>
  <c r="AX133" i="12" s="1"/>
  <c r="AY133" i="11"/>
  <c r="AY133" i="12" s="1"/>
  <c r="AZ133" i="11"/>
  <c r="AZ133" i="12" s="1"/>
  <c r="BA133" i="11"/>
  <c r="BA133" i="12" s="1"/>
  <c r="AH134" i="11"/>
  <c r="AH134" i="12" s="1"/>
  <c r="AI134" i="11"/>
  <c r="AI134" i="12" s="1"/>
  <c r="AJ134" i="11"/>
  <c r="AJ134" i="12" s="1"/>
  <c r="AK134" i="11"/>
  <c r="AK134" i="12" s="1"/>
  <c r="AL134" i="11"/>
  <c r="AL134" i="12" s="1"/>
  <c r="AM134" i="11"/>
  <c r="AM134" i="12" s="1"/>
  <c r="AN134" i="11"/>
  <c r="AN134" i="12" s="1"/>
  <c r="AO134" i="11"/>
  <c r="AO134" i="12" s="1"/>
  <c r="AP134" i="11"/>
  <c r="AP134" i="12" s="1"/>
  <c r="AQ134" i="11"/>
  <c r="AQ134" i="12" s="1"/>
  <c r="AR134" i="11"/>
  <c r="AR134" i="12" s="1"/>
  <c r="AS134" i="11"/>
  <c r="AS134" i="12" s="1"/>
  <c r="AT134" i="11"/>
  <c r="AT134" i="12" s="1"/>
  <c r="AU134" i="11"/>
  <c r="AU134" i="12" s="1"/>
  <c r="AV134" i="11"/>
  <c r="AV134" i="12" s="1"/>
  <c r="AW134" i="11"/>
  <c r="AW134" i="12" s="1"/>
  <c r="AX134" i="11"/>
  <c r="AX134" i="12" s="1"/>
  <c r="AY134" i="11"/>
  <c r="AY134" i="12" s="1"/>
  <c r="AZ134" i="11"/>
  <c r="AZ134" i="12" s="1"/>
  <c r="BA134" i="11"/>
  <c r="BA134" i="12" s="1"/>
  <c r="AH135" i="11"/>
  <c r="AH135" i="12" s="1"/>
  <c r="AI135" i="11"/>
  <c r="AI135" i="12" s="1"/>
  <c r="AJ135" i="11"/>
  <c r="AJ135" i="12" s="1"/>
  <c r="AK135" i="11"/>
  <c r="AK135" i="12" s="1"/>
  <c r="AL135" i="11"/>
  <c r="AL135" i="12" s="1"/>
  <c r="AM135" i="11"/>
  <c r="AM135" i="12" s="1"/>
  <c r="AN135" i="11"/>
  <c r="AN135" i="12" s="1"/>
  <c r="AO135" i="11"/>
  <c r="AO135" i="12" s="1"/>
  <c r="AP135" i="11"/>
  <c r="AP135" i="12" s="1"/>
  <c r="AQ135" i="11"/>
  <c r="AQ135" i="12" s="1"/>
  <c r="AR135" i="11"/>
  <c r="AR135" i="12" s="1"/>
  <c r="AS135" i="11"/>
  <c r="AS135" i="12" s="1"/>
  <c r="AT135" i="11"/>
  <c r="AT135" i="12" s="1"/>
  <c r="AU135" i="11"/>
  <c r="AU135" i="12" s="1"/>
  <c r="AV135" i="11"/>
  <c r="AV135" i="12" s="1"/>
  <c r="AW135" i="11"/>
  <c r="AW135" i="12" s="1"/>
  <c r="AX135" i="11"/>
  <c r="AX135" i="12" s="1"/>
  <c r="AY135" i="11"/>
  <c r="AY135" i="12" s="1"/>
  <c r="AZ135" i="11"/>
  <c r="AZ135" i="12" s="1"/>
  <c r="BA135" i="11"/>
  <c r="BA135" i="12" s="1"/>
  <c r="AH136" i="11"/>
  <c r="AH136" i="12" s="1"/>
  <c r="AI136" i="11"/>
  <c r="AI136" i="12" s="1"/>
  <c r="AJ136" i="11"/>
  <c r="AJ136" i="12" s="1"/>
  <c r="AK136" i="11"/>
  <c r="AK136" i="12" s="1"/>
  <c r="AL136" i="11"/>
  <c r="AL136" i="12" s="1"/>
  <c r="AM136" i="11"/>
  <c r="AM136" i="12" s="1"/>
  <c r="AN136" i="11"/>
  <c r="AN136" i="12" s="1"/>
  <c r="AO136" i="11"/>
  <c r="AO136" i="12" s="1"/>
  <c r="AP136" i="11"/>
  <c r="AP136" i="12" s="1"/>
  <c r="AQ136" i="11"/>
  <c r="AQ136" i="12" s="1"/>
  <c r="AR136" i="11"/>
  <c r="AR136" i="12" s="1"/>
  <c r="AS136" i="11"/>
  <c r="AS136" i="12" s="1"/>
  <c r="AT136" i="11"/>
  <c r="AT136" i="12" s="1"/>
  <c r="AU136" i="11"/>
  <c r="AU136" i="12" s="1"/>
  <c r="AV136" i="11"/>
  <c r="AV136" i="12" s="1"/>
  <c r="AW136" i="11"/>
  <c r="AW136" i="12" s="1"/>
  <c r="AX136" i="11"/>
  <c r="AX136" i="12" s="1"/>
  <c r="AY136" i="11"/>
  <c r="AY136" i="12" s="1"/>
  <c r="AZ136" i="11"/>
  <c r="AZ136" i="12" s="1"/>
  <c r="BA136" i="11"/>
  <c r="BA136" i="12" s="1"/>
  <c r="AH137" i="11"/>
  <c r="AH137" i="12" s="1"/>
  <c r="AI137" i="11"/>
  <c r="AI137" i="12" s="1"/>
  <c r="AJ137" i="11"/>
  <c r="AJ137" i="12" s="1"/>
  <c r="AK137" i="11"/>
  <c r="AK137" i="12" s="1"/>
  <c r="AL137" i="11"/>
  <c r="AL137" i="12" s="1"/>
  <c r="AM137" i="11"/>
  <c r="AM137" i="12" s="1"/>
  <c r="AN137" i="11"/>
  <c r="AN137" i="12" s="1"/>
  <c r="AO137" i="11"/>
  <c r="AO137" i="12" s="1"/>
  <c r="AP137" i="11"/>
  <c r="AP137" i="12" s="1"/>
  <c r="AQ137" i="11"/>
  <c r="AQ137" i="12" s="1"/>
  <c r="AR137" i="11"/>
  <c r="AR137" i="12" s="1"/>
  <c r="AS137" i="11"/>
  <c r="AS137" i="12" s="1"/>
  <c r="AT137" i="11"/>
  <c r="AT137" i="12" s="1"/>
  <c r="AU137" i="11"/>
  <c r="AU137" i="12" s="1"/>
  <c r="AV137" i="11"/>
  <c r="AV137" i="12" s="1"/>
  <c r="AW137" i="11"/>
  <c r="AW137" i="12" s="1"/>
  <c r="AX137" i="11"/>
  <c r="AX137" i="12" s="1"/>
  <c r="AY137" i="11"/>
  <c r="AY137" i="12" s="1"/>
  <c r="AZ137" i="11"/>
  <c r="AZ137" i="12" s="1"/>
  <c r="BA137" i="11"/>
  <c r="BA137" i="12" s="1"/>
  <c r="AH138" i="11"/>
  <c r="AH138" i="12" s="1"/>
  <c r="AI138" i="11"/>
  <c r="AI138" i="12" s="1"/>
  <c r="AJ138" i="11"/>
  <c r="AJ138" i="12" s="1"/>
  <c r="AK138" i="11"/>
  <c r="AK138" i="12" s="1"/>
  <c r="AL138" i="11"/>
  <c r="AL138" i="12" s="1"/>
  <c r="AM138" i="11"/>
  <c r="AM138" i="12" s="1"/>
  <c r="AN138" i="11"/>
  <c r="AN138" i="12" s="1"/>
  <c r="AO138" i="11"/>
  <c r="AO138" i="12" s="1"/>
  <c r="AP138" i="11"/>
  <c r="AP138" i="12" s="1"/>
  <c r="AQ138" i="11"/>
  <c r="AQ138" i="12" s="1"/>
  <c r="AR138" i="11"/>
  <c r="AR138" i="12" s="1"/>
  <c r="AS138" i="11"/>
  <c r="AS138" i="12" s="1"/>
  <c r="AT138" i="11"/>
  <c r="AT138" i="12" s="1"/>
  <c r="AU138" i="11"/>
  <c r="AU138" i="12" s="1"/>
  <c r="AV138" i="11"/>
  <c r="AV138" i="12" s="1"/>
  <c r="AW138" i="11"/>
  <c r="AW138" i="12" s="1"/>
  <c r="AX138" i="11"/>
  <c r="AX138" i="12" s="1"/>
  <c r="AY138" i="11"/>
  <c r="AY138" i="12" s="1"/>
  <c r="AZ138" i="11"/>
  <c r="AZ138" i="12" s="1"/>
  <c r="BA138" i="11"/>
  <c r="BA138" i="12" s="1"/>
  <c r="AH139" i="11"/>
  <c r="AH139" i="12" s="1"/>
  <c r="AI139" i="11"/>
  <c r="AI139" i="12" s="1"/>
  <c r="AJ139" i="11"/>
  <c r="AJ139" i="12" s="1"/>
  <c r="AK139" i="11"/>
  <c r="AK139" i="12" s="1"/>
  <c r="AL139" i="11"/>
  <c r="AL139" i="12" s="1"/>
  <c r="AM139" i="11"/>
  <c r="AM139" i="12" s="1"/>
  <c r="AN139" i="11"/>
  <c r="AN139" i="12" s="1"/>
  <c r="AO139" i="11"/>
  <c r="AO139" i="12" s="1"/>
  <c r="AP139" i="11"/>
  <c r="AP139" i="12" s="1"/>
  <c r="AQ139" i="11"/>
  <c r="AQ139" i="12" s="1"/>
  <c r="AR139" i="11"/>
  <c r="AR139" i="12" s="1"/>
  <c r="AS139" i="11"/>
  <c r="AS139" i="12" s="1"/>
  <c r="AT139" i="11"/>
  <c r="AT139" i="12" s="1"/>
  <c r="AU139" i="11"/>
  <c r="AU139" i="12" s="1"/>
  <c r="AV139" i="11"/>
  <c r="AV139" i="12" s="1"/>
  <c r="AW139" i="11"/>
  <c r="AW139" i="12" s="1"/>
  <c r="AX139" i="11"/>
  <c r="AX139" i="12" s="1"/>
  <c r="AY139" i="11"/>
  <c r="AY139" i="12" s="1"/>
  <c r="AZ139" i="11"/>
  <c r="AZ139" i="12" s="1"/>
  <c r="BA139" i="11"/>
  <c r="BA139" i="12" s="1"/>
  <c r="AH140" i="11"/>
  <c r="AH140" i="12" s="1"/>
  <c r="AI140" i="11"/>
  <c r="AI140" i="12" s="1"/>
  <c r="AJ140" i="11"/>
  <c r="AJ140" i="12" s="1"/>
  <c r="AK140" i="11"/>
  <c r="AK140" i="12" s="1"/>
  <c r="AL140" i="11"/>
  <c r="AL140" i="12" s="1"/>
  <c r="AM140" i="11"/>
  <c r="AM140" i="12" s="1"/>
  <c r="AN140" i="11"/>
  <c r="AN140" i="12" s="1"/>
  <c r="AO140" i="11"/>
  <c r="AO140" i="12" s="1"/>
  <c r="AP140" i="11"/>
  <c r="AP140" i="12" s="1"/>
  <c r="AQ140" i="11"/>
  <c r="AQ140" i="12" s="1"/>
  <c r="AR140" i="11"/>
  <c r="AR140" i="12" s="1"/>
  <c r="AS140" i="11"/>
  <c r="AS140" i="12" s="1"/>
  <c r="AT140" i="11"/>
  <c r="AT140" i="12" s="1"/>
  <c r="AU140" i="11"/>
  <c r="AU140" i="12" s="1"/>
  <c r="AV140" i="11"/>
  <c r="AV140" i="12" s="1"/>
  <c r="AW140" i="11"/>
  <c r="AW140" i="12" s="1"/>
  <c r="AX140" i="11"/>
  <c r="AX140" i="12" s="1"/>
  <c r="AY140" i="11"/>
  <c r="AY140" i="12" s="1"/>
  <c r="AZ140" i="11"/>
  <c r="AZ140" i="12" s="1"/>
  <c r="BA140" i="11"/>
  <c r="BA140" i="12" s="1"/>
  <c r="AH141" i="11"/>
  <c r="AH141" i="12" s="1"/>
  <c r="AI141" i="11"/>
  <c r="AI141" i="12" s="1"/>
  <c r="AJ141" i="11"/>
  <c r="AJ141" i="12" s="1"/>
  <c r="AK141" i="11"/>
  <c r="AK141" i="12" s="1"/>
  <c r="AL141" i="11"/>
  <c r="AL141" i="12" s="1"/>
  <c r="AM141" i="11"/>
  <c r="AM141" i="12" s="1"/>
  <c r="AN141" i="11"/>
  <c r="AN141" i="12" s="1"/>
  <c r="AO141" i="11"/>
  <c r="AO141" i="12" s="1"/>
  <c r="AP141" i="11"/>
  <c r="AP141" i="12" s="1"/>
  <c r="AQ141" i="11"/>
  <c r="AQ141" i="12" s="1"/>
  <c r="AR141" i="11"/>
  <c r="AR141" i="12" s="1"/>
  <c r="AS141" i="11"/>
  <c r="AS141" i="12" s="1"/>
  <c r="AT141" i="11"/>
  <c r="AT141" i="12" s="1"/>
  <c r="AU141" i="11"/>
  <c r="AU141" i="12" s="1"/>
  <c r="AV141" i="11"/>
  <c r="AV141" i="12" s="1"/>
  <c r="AW141" i="11"/>
  <c r="AW141" i="12" s="1"/>
  <c r="AX141" i="11"/>
  <c r="AX141" i="12" s="1"/>
  <c r="AY141" i="11"/>
  <c r="AY141" i="12" s="1"/>
  <c r="AZ141" i="11"/>
  <c r="AZ141" i="12" s="1"/>
  <c r="BA141" i="11"/>
  <c r="BA141" i="12" s="1"/>
  <c r="AH142" i="11"/>
  <c r="AH142" i="12" s="1"/>
  <c r="AI142" i="11"/>
  <c r="AI142" i="12" s="1"/>
  <c r="AJ142" i="11"/>
  <c r="AJ142" i="12" s="1"/>
  <c r="AK142" i="11"/>
  <c r="AK142" i="12" s="1"/>
  <c r="AL142" i="11"/>
  <c r="AL142" i="12" s="1"/>
  <c r="AM142" i="11"/>
  <c r="AM142" i="12" s="1"/>
  <c r="AN142" i="11"/>
  <c r="AN142" i="12" s="1"/>
  <c r="AO142" i="11"/>
  <c r="AO142" i="12" s="1"/>
  <c r="AP142" i="11"/>
  <c r="AP142" i="12" s="1"/>
  <c r="AQ142" i="11"/>
  <c r="AQ142" i="12" s="1"/>
  <c r="AR142" i="11"/>
  <c r="AR142" i="12" s="1"/>
  <c r="AS142" i="11"/>
  <c r="AS142" i="12" s="1"/>
  <c r="AT142" i="11"/>
  <c r="AT142" i="12" s="1"/>
  <c r="AU142" i="11"/>
  <c r="AU142" i="12" s="1"/>
  <c r="AV142" i="11"/>
  <c r="AV142" i="12" s="1"/>
  <c r="AW142" i="11"/>
  <c r="AW142" i="12" s="1"/>
  <c r="AX142" i="11"/>
  <c r="AX142" i="12" s="1"/>
  <c r="AY142" i="11"/>
  <c r="AY142" i="12" s="1"/>
  <c r="AZ142" i="11"/>
  <c r="AZ142" i="12" s="1"/>
  <c r="BA142" i="11"/>
  <c r="BA142" i="12" s="1"/>
  <c r="AH143" i="11"/>
  <c r="AH143" i="12" s="1"/>
  <c r="AI143" i="11"/>
  <c r="AI143" i="12" s="1"/>
  <c r="AJ143" i="11"/>
  <c r="AJ143" i="12" s="1"/>
  <c r="AK143" i="11"/>
  <c r="AK143" i="12" s="1"/>
  <c r="AL143" i="11"/>
  <c r="AL143" i="12" s="1"/>
  <c r="AM143" i="11"/>
  <c r="AM143" i="12" s="1"/>
  <c r="AN143" i="11"/>
  <c r="AN143" i="12" s="1"/>
  <c r="AO143" i="11"/>
  <c r="AO143" i="12" s="1"/>
  <c r="AP143" i="11"/>
  <c r="AP143" i="12" s="1"/>
  <c r="AQ143" i="11"/>
  <c r="AQ143" i="12" s="1"/>
  <c r="AR143" i="11"/>
  <c r="AR143" i="12" s="1"/>
  <c r="AS143" i="11"/>
  <c r="AS143" i="12" s="1"/>
  <c r="AT143" i="11"/>
  <c r="AT143" i="12" s="1"/>
  <c r="AU143" i="11"/>
  <c r="AU143" i="12" s="1"/>
  <c r="AV143" i="11"/>
  <c r="AV143" i="12" s="1"/>
  <c r="AW143" i="11"/>
  <c r="AW143" i="12" s="1"/>
  <c r="AX143" i="11"/>
  <c r="AX143" i="12" s="1"/>
  <c r="AY143" i="11"/>
  <c r="AY143" i="12" s="1"/>
  <c r="AZ143" i="11"/>
  <c r="AZ143" i="12" s="1"/>
  <c r="BA143" i="11"/>
  <c r="BA143" i="12" s="1"/>
  <c r="AH144" i="11"/>
  <c r="AH144" i="12" s="1"/>
  <c r="AI144" i="11"/>
  <c r="AI144" i="12" s="1"/>
  <c r="AJ144" i="11"/>
  <c r="AJ144" i="12" s="1"/>
  <c r="AK144" i="11"/>
  <c r="AK144" i="12" s="1"/>
  <c r="AL144" i="11"/>
  <c r="AL144" i="12" s="1"/>
  <c r="AM144" i="11"/>
  <c r="AM144" i="12" s="1"/>
  <c r="AN144" i="11"/>
  <c r="AN144" i="12" s="1"/>
  <c r="AO144" i="11"/>
  <c r="AO144" i="12" s="1"/>
  <c r="AP144" i="11"/>
  <c r="AP144" i="12" s="1"/>
  <c r="AQ144" i="11"/>
  <c r="AQ144" i="12" s="1"/>
  <c r="AR144" i="11"/>
  <c r="AR144" i="12" s="1"/>
  <c r="AS144" i="11"/>
  <c r="AS144" i="12" s="1"/>
  <c r="AT144" i="11"/>
  <c r="AT144" i="12" s="1"/>
  <c r="AU144" i="11"/>
  <c r="AU144" i="12" s="1"/>
  <c r="AV144" i="11"/>
  <c r="AV144" i="12" s="1"/>
  <c r="AW144" i="11"/>
  <c r="AW144" i="12" s="1"/>
  <c r="AX144" i="11"/>
  <c r="AX144" i="12" s="1"/>
  <c r="AY144" i="11"/>
  <c r="AY144" i="12" s="1"/>
  <c r="AZ144" i="11"/>
  <c r="AZ144" i="12" s="1"/>
  <c r="BA144" i="11"/>
  <c r="BA144" i="12" s="1"/>
  <c r="AH145" i="11"/>
  <c r="AH145" i="12" s="1"/>
  <c r="AI145" i="11"/>
  <c r="AI145" i="12" s="1"/>
  <c r="AJ145" i="11"/>
  <c r="AJ145" i="12" s="1"/>
  <c r="AK145" i="11"/>
  <c r="AK145" i="12" s="1"/>
  <c r="AL145" i="11"/>
  <c r="AL145" i="12" s="1"/>
  <c r="AM145" i="11"/>
  <c r="AM145" i="12" s="1"/>
  <c r="AN145" i="11"/>
  <c r="AN145" i="12" s="1"/>
  <c r="AO145" i="11"/>
  <c r="AO145" i="12" s="1"/>
  <c r="AP145" i="11"/>
  <c r="AP145" i="12" s="1"/>
  <c r="AQ145" i="11"/>
  <c r="AQ145" i="12" s="1"/>
  <c r="AR145" i="11"/>
  <c r="AR145" i="12" s="1"/>
  <c r="AS145" i="11"/>
  <c r="AS145" i="12" s="1"/>
  <c r="AT145" i="11"/>
  <c r="AT145" i="12" s="1"/>
  <c r="AU145" i="11"/>
  <c r="AU145" i="12" s="1"/>
  <c r="AV145" i="11"/>
  <c r="AV145" i="12" s="1"/>
  <c r="AW145" i="11"/>
  <c r="AW145" i="12" s="1"/>
  <c r="AX145" i="11"/>
  <c r="AX145" i="12" s="1"/>
  <c r="AY145" i="11"/>
  <c r="AY145" i="12" s="1"/>
  <c r="AZ145" i="11"/>
  <c r="AZ145" i="12" s="1"/>
  <c r="BA145" i="11"/>
  <c r="BA145" i="12" s="1"/>
  <c r="AH146" i="11"/>
  <c r="AH146" i="12" s="1"/>
  <c r="AI146" i="11"/>
  <c r="AI146" i="12" s="1"/>
  <c r="AJ146" i="11"/>
  <c r="AJ146" i="12" s="1"/>
  <c r="AK146" i="11"/>
  <c r="AK146" i="12" s="1"/>
  <c r="AL146" i="11"/>
  <c r="AL146" i="12" s="1"/>
  <c r="AM146" i="11"/>
  <c r="AM146" i="12" s="1"/>
  <c r="AN146" i="11"/>
  <c r="AN146" i="12" s="1"/>
  <c r="AO146" i="11"/>
  <c r="AO146" i="12" s="1"/>
  <c r="AP146" i="11"/>
  <c r="AP146" i="12" s="1"/>
  <c r="AQ146" i="11"/>
  <c r="AQ146" i="12" s="1"/>
  <c r="AR146" i="11"/>
  <c r="AR146" i="12" s="1"/>
  <c r="AS146" i="11"/>
  <c r="AS146" i="12" s="1"/>
  <c r="AT146" i="11"/>
  <c r="AT146" i="12" s="1"/>
  <c r="AU146" i="11"/>
  <c r="AU146" i="12" s="1"/>
  <c r="AV146" i="11"/>
  <c r="AV146" i="12" s="1"/>
  <c r="AW146" i="11"/>
  <c r="AW146" i="12" s="1"/>
  <c r="AX146" i="11"/>
  <c r="AX146" i="12" s="1"/>
  <c r="AY146" i="11"/>
  <c r="AY146" i="12" s="1"/>
  <c r="AZ146" i="11"/>
  <c r="AZ146" i="12" s="1"/>
  <c r="BA146" i="11"/>
  <c r="BA146" i="12" s="1"/>
  <c r="AH147" i="11"/>
  <c r="AH147" i="12" s="1"/>
  <c r="AI147" i="11"/>
  <c r="AI147" i="12" s="1"/>
  <c r="AJ147" i="11"/>
  <c r="AJ147" i="12" s="1"/>
  <c r="AK147" i="11"/>
  <c r="AK147" i="12" s="1"/>
  <c r="AL147" i="11"/>
  <c r="AL147" i="12" s="1"/>
  <c r="AM147" i="11"/>
  <c r="AM147" i="12" s="1"/>
  <c r="AN147" i="11"/>
  <c r="AN147" i="12" s="1"/>
  <c r="AO147" i="11"/>
  <c r="AO147" i="12" s="1"/>
  <c r="AP147" i="11"/>
  <c r="AP147" i="12" s="1"/>
  <c r="AQ147" i="11"/>
  <c r="AQ147" i="12" s="1"/>
  <c r="AR147" i="11"/>
  <c r="AR147" i="12" s="1"/>
  <c r="AS147" i="11"/>
  <c r="AS147" i="12" s="1"/>
  <c r="AT147" i="11"/>
  <c r="AT147" i="12" s="1"/>
  <c r="AU147" i="11"/>
  <c r="AU147" i="12" s="1"/>
  <c r="AV147" i="11"/>
  <c r="AV147" i="12" s="1"/>
  <c r="AW147" i="11"/>
  <c r="AW147" i="12" s="1"/>
  <c r="AX147" i="11"/>
  <c r="AX147" i="12" s="1"/>
  <c r="AY147" i="11"/>
  <c r="AY147" i="12" s="1"/>
  <c r="AZ147" i="11"/>
  <c r="AZ147" i="12" s="1"/>
  <c r="BA147" i="11"/>
  <c r="BA147" i="12" s="1"/>
  <c r="AH148" i="11"/>
  <c r="AH148" i="12" s="1"/>
  <c r="AI148" i="11"/>
  <c r="AI148" i="12" s="1"/>
  <c r="AJ148" i="11"/>
  <c r="AJ148" i="12" s="1"/>
  <c r="AK148" i="11"/>
  <c r="AK148" i="12" s="1"/>
  <c r="AL148" i="11"/>
  <c r="AL148" i="12" s="1"/>
  <c r="AM148" i="11"/>
  <c r="AM148" i="12" s="1"/>
  <c r="AN148" i="11"/>
  <c r="AN148" i="12" s="1"/>
  <c r="AO148" i="11"/>
  <c r="AO148" i="12" s="1"/>
  <c r="AP148" i="11"/>
  <c r="AP148" i="12" s="1"/>
  <c r="AQ148" i="11"/>
  <c r="AQ148" i="12" s="1"/>
  <c r="AR148" i="11"/>
  <c r="AR148" i="12" s="1"/>
  <c r="AS148" i="11"/>
  <c r="AS148" i="12" s="1"/>
  <c r="AT148" i="11"/>
  <c r="AT148" i="12" s="1"/>
  <c r="AU148" i="11"/>
  <c r="AU148" i="12" s="1"/>
  <c r="AV148" i="11"/>
  <c r="AV148" i="12" s="1"/>
  <c r="AW148" i="11"/>
  <c r="AW148" i="12" s="1"/>
  <c r="AX148" i="11"/>
  <c r="AX148" i="12" s="1"/>
  <c r="AY148" i="11"/>
  <c r="AY148" i="12" s="1"/>
  <c r="AZ148" i="11"/>
  <c r="AZ148" i="12" s="1"/>
  <c r="BA148" i="11"/>
  <c r="BA148" i="12" s="1"/>
  <c r="AH149" i="11"/>
  <c r="AH149" i="12" s="1"/>
  <c r="AI149" i="11"/>
  <c r="AI149" i="12" s="1"/>
  <c r="AJ149" i="11"/>
  <c r="AJ149" i="12" s="1"/>
  <c r="AK149" i="11"/>
  <c r="AK149" i="12" s="1"/>
  <c r="AL149" i="11"/>
  <c r="AL149" i="12" s="1"/>
  <c r="AM149" i="11"/>
  <c r="AM149" i="12" s="1"/>
  <c r="AN149" i="11"/>
  <c r="AN149" i="12" s="1"/>
  <c r="AO149" i="11"/>
  <c r="AO149" i="12" s="1"/>
  <c r="AP149" i="11"/>
  <c r="AP149" i="12" s="1"/>
  <c r="AQ149" i="11"/>
  <c r="AQ149" i="12" s="1"/>
  <c r="AR149" i="11"/>
  <c r="AR149" i="12" s="1"/>
  <c r="AS149" i="11"/>
  <c r="AS149" i="12" s="1"/>
  <c r="AT149" i="11"/>
  <c r="AT149" i="12" s="1"/>
  <c r="AU149" i="11"/>
  <c r="AU149" i="12" s="1"/>
  <c r="AV149" i="11"/>
  <c r="AV149" i="12" s="1"/>
  <c r="AW149" i="11"/>
  <c r="AW149" i="12" s="1"/>
  <c r="AX149" i="11"/>
  <c r="AX149" i="12" s="1"/>
  <c r="AY149" i="11"/>
  <c r="AY149" i="12" s="1"/>
  <c r="AZ149" i="11"/>
  <c r="AZ149" i="12" s="1"/>
  <c r="BA149" i="11"/>
  <c r="BA149" i="12" s="1"/>
  <c r="AH150" i="11"/>
  <c r="AH150" i="12" s="1"/>
  <c r="AI150" i="11"/>
  <c r="AI150" i="12" s="1"/>
  <c r="AJ150" i="11"/>
  <c r="AJ150" i="12" s="1"/>
  <c r="AK150" i="11"/>
  <c r="AK150" i="12" s="1"/>
  <c r="AL150" i="11"/>
  <c r="AL150" i="12" s="1"/>
  <c r="AM150" i="11"/>
  <c r="AM150" i="12" s="1"/>
  <c r="AN150" i="11"/>
  <c r="AN150" i="12" s="1"/>
  <c r="AO150" i="11"/>
  <c r="AO150" i="12" s="1"/>
  <c r="AP150" i="11"/>
  <c r="AP150" i="12" s="1"/>
  <c r="AQ150" i="11"/>
  <c r="AQ150" i="12" s="1"/>
  <c r="AR150" i="11"/>
  <c r="AR150" i="12" s="1"/>
  <c r="AS150" i="11"/>
  <c r="AS150" i="12" s="1"/>
  <c r="AT150" i="11"/>
  <c r="AT150" i="12" s="1"/>
  <c r="AU150" i="11"/>
  <c r="AU150" i="12" s="1"/>
  <c r="AV150" i="11"/>
  <c r="AV150" i="12" s="1"/>
  <c r="AW150" i="11"/>
  <c r="AW150" i="12" s="1"/>
  <c r="AX150" i="11"/>
  <c r="AX150" i="12" s="1"/>
  <c r="AY150" i="11"/>
  <c r="AY150" i="12" s="1"/>
  <c r="AZ150" i="11"/>
  <c r="AZ150" i="12" s="1"/>
  <c r="BA150" i="11"/>
  <c r="BA150" i="12" s="1"/>
  <c r="AH151" i="11"/>
  <c r="AH151" i="12" s="1"/>
  <c r="AI151" i="11"/>
  <c r="AI151" i="12" s="1"/>
  <c r="AJ151" i="11"/>
  <c r="AJ151" i="12" s="1"/>
  <c r="AK151" i="11"/>
  <c r="AK151" i="12" s="1"/>
  <c r="AL151" i="11"/>
  <c r="AL151" i="12" s="1"/>
  <c r="AM151" i="11"/>
  <c r="AM151" i="12" s="1"/>
  <c r="AN151" i="11"/>
  <c r="AN151" i="12" s="1"/>
  <c r="AO151" i="11"/>
  <c r="AO151" i="12" s="1"/>
  <c r="AP151" i="11"/>
  <c r="AP151" i="12" s="1"/>
  <c r="AQ151" i="11"/>
  <c r="AQ151" i="12" s="1"/>
  <c r="AR151" i="11"/>
  <c r="AR151" i="12" s="1"/>
  <c r="AS151" i="11"/>
  <c r="AS151" i="12" s="1"/>
  <c r="AT151" i="11"/>
  <c r="AT151" i="12" s="1"/>
  <c r="AU151" i="11"/>
  <c r="AU151" i="12" s="1"/>
  <c r="AV151" i="11"/>
  <c r="AV151" i="12" s="1"/>
  <c r="AW151" i="11"/>
  <c r="AW151" i="12" s="1"/>
  <c r="AX151" i="11"/>
  <c r="AX151" i="12" s="1"/>
  <c r="AY151" i="11"/>
  <c r="AY151" i="12" s="1"/>
  <c r="AZ151" i="11"/>
  <c r="AZ151" i="12" s="1"/>
  <c r="BA151" i="11"/>
  <c r="BA151" i="12" s="1"/>
  <c r="AH152" i="11"/>
  <c r="AH152" i="12" s="1"/>
  <c r="AI152" i="11"/>
  <c r="AI152" i="12" s="1"/>
  <c r="AJ152" i="11"/>
  <c r="AJ152" i="12" s="1"/>
  <c r="AK152" i="11"/>
  <c r="AK152" i="12" s="1"/>
  <c r="AL152" i="11"/>
  <c r="AL152" i="12" s="1"/>
  <c r="AM152" i="11"/>
  <c r="AM152" i="12" s="1"/>
  <c r="AN152" i="11"/>
  <c r="AN152" i="12" s="1"/>
  <c r="AO152" i="11"/>
  <c r="AO152" i="12" s="1"/>
  <c r="AP152" i="11"/>
  <c r="AP152" i="12" s="1"/>
  <c r="AQ152" i="11"/>
  <c r="AQ152" i="12" s="1"/>
  <c r="AR152" i="11"/>
  <c r="AR152" i="12" s="1"/>
  <c r="AS152" i="11"/>
  <c r="AS152" i="12" s="1"/>
  <c r="AT152" i="11"/>
  <c r="AT152" i="12" s="1"/>
  <c r="AU152" i="11"/>
  <c r="AU152" i="12" s="1"/>
  <c r="AV152" i="11"/>
  <c r="AV152" i="12" s="1"/>
  <c r="AW152" i="11"/>
  <c r="AW152" i="12" s="1"/>
  <c r="AX152" i="11"/>
  <c r="AX152" i="12" s="1"/>
  <c r="AY152" i="11"/>
  <c r="AY152" i="12" s="1"/>
  <c r="AZ152" i="11"/>
  <c r="AZ152" i="12" s="1"/>
  <c r="BA152" i="11"/>
  <c r="BA152" i="12" s="1"/>
  <c r="AH153" i="11"/>
  <c r="AH153" i="12" s="1"/>
  <c r="AI153" i="11"/>
  <c r="AI153" i="12" s="1"/>
  <c r="AJ153" i="11"/>
  <c r="AJ153" i="12" s="1"/>
  <c r="AK153" i="11"/>
  <c r="AK153" i="12" s="1"/>
  <c r="AL153" i="11"/>
  <c r="AL153" i="12" s="1"/>
  <c r="AM153" i="11"/>
  <c r="AM153" i="12" s="1"/>
  <c r="AN153" i="11"/>
  <c r="AN153" i="12" s="1"/>
  <c r="AO153" i="11"/>
  <c r="AO153" i="12" s="1"/>
  <c r="AP153" i="11"/>
  <c r="AP153" i="12" s="1"/>
  <c r="AQ153" i="11"/>
  <c r="AQ153" i="12" s="1"/>
  <c r="AR153" i="11"/>
  <c r="AR153" i="12" s="1"/>
  <c r="AS153" i="11"/>
  <c r="AS153" i="12" s="1"/>
  <c r="AT153" i="11"/>
  <c r="AT153" i="12" s="1"/>
  <c r="AU153" i="11"/>
  <c r="AU153" i="12" s="1"/>
  <c r="AV153" i="11"/>
  <c r="AV153" i="12" s="1"/>
  <c r="AW153" i="11"/>
  <c r="AW153" i="12" s="1"/>
  <c r="AX153" i="11"/>
  <c r="AX153" i="12" s="1"/>
  <c r="AY153" i="11"/>
  <c r="AY153" i="12" s="1"/>
  <c r="AZ153" i="11"/>
  <c r="AZ153" i="12" s="1"/>
  <c r="BA153" i="11"/>
  <c r="BA153" i="12" s="1"/>
  <c r="AH154" i="11"/>
  <c r="AH154" i="12" s="1"/>
  <c r="AI154" i="11"/>
  <c r="AI154" i="12" s="1"/>
  <c r="AJ154" i="11"/>
  <c r="AJ154" i="12" s="1"/>
  <c r="AK154" i="11"/>
  <c r="AK154" i="12" s="1"/>
  <c r="AL154" i="11"/>
  <c r="AL154" i="12" s="1"/>
  <c r="AM154" i="11"/>
  <c r="AM154" i="12" s="1"/>
  <c r="AN154" i="11"/>
  <c r="AN154" i="12" s="1"/>
  <c r="AO154" i="11"/>
  <c r="AO154" i="12" s="1"/>
  <c r="AP154" i="11"/>
  <c r="AP154" i="12" s="1"/>
  <c r="AQ154" i="11"/>
  <c r="AQ154" i="12" s="1"/>
  <c r="AR154" i="11"/>
  <c r="AR154" i="12" s="1"/>
  <c r="AS154" i="11"/>
  <c r="AS154" i="12" s="1"/>
  <c r="AT154" i="11"/>
  <c r="AT154" i="12" s="1"/>
  <c r="AU154" i="11"/>
  <c r="AU154" i="12" s="1"/>
  <c r="AV154" i="11"/>
  <c r="AV154" i="12" s="1"/>
  <c r="AW154" i="11"/>
  <c r="AW154" i="12" s="1"/>
  <c r="AX154" i="11"/>
  <c r="AX154" i="12" s="1"/>
  <c r="AY154" i="11"/>
  <c r="AY154" i="12" s="1"/>
  <c r="AZ154" i="11"/>
  <c r="AZ154" i="12" s="1"/>
  <c r="BA154" i="11"/>
  <c r="BA154" i="12" s="1"/>
  <c r="AH155" i="11"/>
  <c r="AH155" i="12" s="1"/>
  <c r="AI155" i="11"/>
  <c r="AI155" i="12" s="1"/>
  <c r="AJ155" i="11"/>
  <c r="AJ155" i="12" s="1"/>
  <c r="AK155" i="11"/>
  <c r="AK155" i="12" s="1"/>
  <c r="AL155" i="11"/>
  <c r="AL155" i="12" s="1"/>
  <c r="AM155" i="11"/>
  <c r="AM155" i="12" s="1"/>
  <c r="AN155" i="11"/>
  <c r="AN155" i="12" s="1"/>
  <c r="AO155" i="11"/>
  <c r="AO155" i="12" s="1"/>
  <c r="AP155" i="11"/>
  <c r="AP155" i="12" s="1"/>
  <c r="AQ155" i="11"/>
  <c r="AQ155" i="12" s="1"/>
  <c r="AR155" i="11"/>
  <c r="AR155" i="12" s="1"/>
  <c r="AS155" i="11"/>
  <c r="AS155" i="12" s="1"/>
  <c r="AT155" i="11"/>
  <c r="AT155" i="12" s="1"/>
  <c r="AU155" i="11"/>
  <c r="AU155" i="12" s="1"/>
  <c r="AV155" i="11"/>
  <c r="AV155" i="12" s="1"/>
  <c r="AW155" i="11"/>
  <c r="AW155" i="12" s="1"/>
  <c r="AX155" i="11"/>
  <c r="AX155" i="12" s="1"/>
  <c r="AY155" i="11"/>
  <c r="AY155" i="12" s="1"/>
  <c r="AZ155" i="11"/>
  <c r="AZ155" i="12" s="1"/>
  <c r="BA155" i="11"/>
  <c r="BA155" i="12" s="1"/>
  <c r="AH156" i="11"/>
  <c r="AH156" i="12" s="1"/>
  <c r="AI156" i="11"/>
  <c r="AI156" i="12" s="1"/>
  <c r="AJ156" i="11"/>
  <c r="AJ156" i="12" s="1"/>
  <c r="AK156" i="11"/>
  <c r="AK156" i="12" s="1"/>
  <c r="AL156" i="11"/>
  <c r="AL156" i="12" s="1"/>
  <c r="AM156" i="11"/>
  <c r="AM156" i="12" s="1"/>
  <c r="AN156" i="11"/>
  <c r="AN156" i="12" s="1"/>
  <c r="AO156" i="11"/>
  <c r="AO156" i="12" s="1"/>
  <c r="AP156" i="11"/>
  <c r="AP156" i="12" s="1"/>
  <c r="AQ156" i="11"/>
  <c r="AQ156" i="12" s="1"/>
  <c r="AR156" i="11"/>
  <c r="AR156" i="12" s="1"/>
  <c r="AS156" i="11"/>
  <c r="AS156" i="12" s="1"/>
  <c r="AT156" i="11"/>
  <c r="AT156" i="12" s="1"/>
  <c r="AU156" i="11"/>
  <c r="AU156" i="12" s="1"/>
  <c r="AV156" i="11"/>
  <c r="AV156" i="12" s="1"/>
  <c r="AW156" i="11"/>
  <c r="AW156" i="12" s="1"/>
  <c r="AX156" i="11"/>
  <c r="AX156" i="12" s="1"/>
  <c r="AY156" i="11"/>
  <c r="AY156" i="12" s="1"/>
  <c r="AZ156" i="11"/>
  <c r="AZ156" i="12" s="1"/>
  <c r="BA156" i="11"/>
  <c r="BA156" i="12" s="1"/>
  <c r="AH157" i="11"/>
  <c r="AH157" i="12" s="1"/>
  <c r="AI157" i="11"/>
  <c r="AI157" i="12" s="1"/>
  <c r="AJ157" i="11"/>
  <c r="AJ157" i="12" s="1"/>
  <c r="AK157" i="11"/>
  <c r="AK157" i="12" s="1"/>
  <c r="AL157" i="11"/>
  <c r="AL157" i="12" s="1"/>
  <c r="AM157" i="11"/>
  <c r="AM157" i="12" s="1"/>
  <c r="AN157" i="11"/>
  <c r="AN157" i="12" s="1"/>
  <c r="AO157" i="11"/>
  <c r="AO157" i="12" s="1"/>
  <c r="AP157" i="11"/>
  <c r="AP157" i="12" s="1"/>
  <c r="AQ157" i="11"/>
  <c r="AQ157" i="12" s="1"/>
  <c r="AR157" i="11"/>
  <c r="AR157" i="12" s="1"/>
  <c r="AS157" i="11"/>
  <c r="AS157" i="12" s="1"/>
  <c r="AT157" i="11"/>
  <c r="AT157" i="12" s="1"/>
  <c r="AU157" i="11"/>
  <c r="AU157" i="12" s="1"/>
  <c r="AV157" i="11"/>
  <c r="AV157" i="12" s="1"/>
  <c r="AW157" i="11"/>
  <c r="AW157" i="12" s="1"/>
  <c r="AX157" i="11"/>
  <c r="AX157" i="12" s="1"/>
  <c r="AY157" i="11"/>
  <c r="AY157" i="12" s="1"/>
  <c r="AZ157" i="11"/>
  <c r="AZ157" i="12" s="1"/>
  <c r="BA157" i="11"/>
  <c r="BA157" i="12" s="1"/>
  <c r="AH158" i="11"/>
  <c r="AH158" i="12" s="1"/>
  <c r="AI158" i="11"/>
  <c r="AI158" i="12" s="1"/>
  <c r="AJ158" i="11"/>
  <c r="AJ158" i="12" s="1"/>
  <c r="AK158" i="11"/>
  <c r="AK158" i="12" s="1"/>
  <c r="AL158" i="11"/>
  <c r="AL158" i="12" s="1"/>
  <c r="AM158" i="11"/>
  <c r="AM158" i="12" s="1"/>
  <c r="AN158" i="11"/>
  <c r="AN158" i="12" s="1"/>
  <c r="AO158" i="11"/>
  <c r="AO158" i="12" s="1"/>
  <c r="AP158" i="11"/>
  <c r="AP158" i="12" s="1"/>
  <c r="AQ158" i="11"/>
  <c r="AQ158" i="12" s="1"/>
  <c r="AR158" i="11"/>
  <c r="AR158" i="12" s="1"/>
  <c r="AS158" i="11"/>
  <c r="AS158" i="12" s="1"/>
  <c r="AT158" i="11"/>
  <c r="AT158" i="12" s="1"/>
  <c r="AU158" i="11"/>
  <c r="AU158" i="12" s="1"/>
  <c r="AV158" i="11"/>
  <c r="AV158" i="12" s="1"/>
  <c r="AW158" i="11"/>
  <c r="AW158" i="12" s="1"/>
  <c r="AX158" i="11"/>
  <c r="AX158" i="12" s="1"/>
  <c r="AY158" i="11"/>
  <c r="AY158" i="12" s="1"/>
  <c r="AZ158" i="11"/>
  <c r="AZ158" i="12" s="1"/>
  <c r="BA158" i="11"/>
  <c r="BA158" i="12" s="1"/>
  <c r="AH159" i="11"/>
  <c r="AH159" i="12" s="1"/>
  <c r="AI159" i="11"/>
  <c r="AI159" i="12" s="1"/>
  <c r="AJ159" i="11"/>
  <c r="AJ159" i="12" s="1"/>
  <c r="AK159" i="11"/>
  <c r="AK159" i="12" s="1"/>
  <c r="AL159" i="11"/>
  <c r="AL159" i="12" s="1"/>
  <c r="AM159" i="11"/>
  <c r="AM159" i="12" s="1"/>
  <c r="AN159" i="11"/>
  <c r="AN159" i="12" s="1"/>
  <c r="AO159" i="11"/>
  <c r="AO159" i="12" s="1"/>
  <c r="AP159" i="11"/>
  <c r="AP159" i="12" s="1"/>
  <c r="AQ159" i="11"/>
  <c r="AQ159" i="12" s="1"/>
  <c r="AR159" i="11"/>
  <c r="AR159" i="12" s="1"/>
  <c r="AS159" i="11"/>
  <c r="AS159" i="12" s="1"/>
  <c r="AT159" i="11"/>
  <c r="AT159" i="12" s="1"/>
  <c r="AU159" i="11"/>
  <c r="AU159" i="12" s="1"/>
  <c r="AV159" i="11"/>
  <c r="AV159" i="12" s="1"/>
  <c r="AW159" i="11"/>
  <c r="AW159" i="12" s="1"/>
  <c r="AX159" i="11"/>
  <c r="AX159" i="12" s="1"/>
  <c r="AY159" i="11"/>
  <c r="AY159" i="12" s="1"/>
  <c r="AZ159" i="11"/>
  <c r="AZ159" i="12" s="1"/>
  <c r="BA159" i="11"/>
  <c r="BA159" i="12" s="1"/>
  <c r="AH160" i="11"/>
  <c r="AH160" i="12" s="1"/>
  <c r="AI160" i="11"/>
  <c r="AI160" i="12" s="1"/>
  <c r="AJ160" i="11"/>
  <c r="AJ160" i="12" s="1"/>
  <c r="AK160" i="11"/>
  <c r="AK160" i="12" s="1"/>
  <c r="AL160" i="11"/>
  <c r="AL160" i="12" s="1"/>
  <c r="AM160" i="11"/>
  <c r="AM160" i="12" s="1"/>
  <c r="AN160" i="11"/>
  <c r="AN160" i="12" s="1"/>
  <c r="AO160" i="11"/>
  <c r="AO160" i="12" s="1"/>
  <c r="AP160" i="11"/>
  <c r="AP160" i="12" s="1"/>
  <c r="AQ160" i="11"/>
  <c r="AQ160" i="12" s="1"/>
  <c r="AR160" i="11"/>
  <c r="AR160" i="12" s="1"/>
  <c r="AS160" i="11"/>
  <c r="AS160" i="12" s="1"/>
  <c r="AT160" i="11"/>
  <c r="AT160" i="12" s="1"/>
  <c r="AU160" i="11"/>
  <c r="AU160" i="12" s="1"/>
  <c r="AV160" i="11"/>
  <c r="AV160" i="12" s="1"/>
  <c r="AW160" i="11"/>
  <c r="AW160" i="12" s="1"/>
  <c r="AX160" i="11"/>
  <c r="AX160" i="12" s="1"/>
  <c r="AY160" i="11"/>
  <c r="AY160" i="12" s="1"/>
  <c r="AZ160" i="11"/>
  <c r="AZ160" i="12" s="1"/>
  <c r="BA160" i="11"/>
  <c r="BA160" i="12" s="1"/>
  <c r="AH161" i="11"/>
  <c r="AH161" i="12" s="1"/>
  <c r="AI161" i="11"/>
  <c r="AI161" i="12" s="1"/>
  <c r="AJ161" i="11"/>
  <c r="AJ161" i="12" s="1"/>
  <c r="AK161" i="11"/>
  <c r="AK161" i="12" s="1"/>
  <c r="AL161" i="11"/>
  <c r="AL161" i="12" s="1"/>
  <c r="AM161" i="11"/>
  <c r="AM161" i="12" s="1"/>
  <c r="AN161" i="11"/>
  <c r="AN161" i="12" s="1"/>
  <c r="AO161" i="11"/>
  <c r="AO161" i="12" s="1"/>
  <c r="AP161" i="11"/>
  <c r="AP161" i="12" s="1"/>
  <c r="AQ161" i="11"/>
  <c r="AQ161" i="12" s="1"/>
  <c r="AR161" i="11"/>
  <c r="AR161" i="12" s="1"/>
  <c r="AS161" i="11"/>
  <c r="AS161" i="12" s="1"/>
  <c r="AT161" i="11"/>
  <c r="AT161" i="12" s="1"/>
  <c r="AU161" i="11"/>
  <c r="AU161" i="12" s="1"/>
  <c r="AV161" i="11"/>
  <c r="AV161" i="12" s="1"/>
  <c r="AW161" i="11"/>
  <c r="AW161" i="12" s="1"/>
  <c r="AX161" i="11"/>
  <c r="AX161" i="12" s="1"/>
  <c r="AY161" i="11"/>
  <c r="AY161" i="12" s="1"/>
  <c r="AZ161" i="11"/>
  <c r="AZ161" i="12" s="1"/>
  <c r="BA161" i="11"/>
  <c r="BA161" i="12" s="1"/>
  <c r="AH162" i="11"/>
  <c r="AH162" i="12" s="1"/>
  <c r="AI162" i="11"/>
  <c r="AI162" i="12" s="1"/>
  <c r="AJ162" i="11"/>
  <c r="AJ162" i="12" s="1"/>
  <c r="AK162" i="11"/>
  <c r="AK162" i="12" s="1"/>
  <c r="AL162" i="11"/>
  <c r="AL162" i="12" s="1"/>
  <c r="AM162" i="11"/>
  <c r="AM162" i="12" s="1"/>
  <c r="AN162" i="11"/>
  <c r="AN162" i="12" s="1"/>
  <c r="AO162" i="11"/>
  <c r="AO162" i="12" s="1"/>
  <c r="AP162" i="11"/>
  <c r="AP162" i="12" s="1"/>
  <c r="AQ162" i="11"/>
  <c r="AQ162" i="12" s="1"/>
  <c r="AR162" i="11"/>
  <c r="AR162" i="12" s="1"/>
  <c r="AS162" i="11"/>
  <c r="AS162" i="12" s="1"/>
  <c r="AT162" i="11"/>
  <c r="AT162" i="12" s="1"/>
  <c r="AU162" i="11"/>
  <c r="AU162" i="12" s="1"/>
  <c r="AV162" i="11"/>
  <c r="AV162" i="12" s="1"/>
  <c r="AW162" i="11"/>
  <c r="AW162" i="12" s="1"/>
  <c r="AX162" i="11"/>
  <c r="AX162" i="12" s="1"/>
  <c r="AY162" i="11"/>
  <c r="AY162" i="12" s="1"/>
  <c r="AZ162" i="11"/>
  <c r="AZ162" i="12" s="1"/>
  <c r="BA162" i="11"/>
  <c r="BA162" i="12" s="1"/>
  <c r="AH163" i="11"/>
  <c r="AH163" i="12" s="1"/>
  <c r="AI163" i="11"/>
  <c r="AI163" i="12" s="1"/>
  <c r="AJ163" i="11"/>
  <c r="AJ163" i="12" s="1"/>
  <c r="AK163" i="11"/>
  <c r="AK163" i="12" s="1"/>
  <c r="AL163" i="11"/>
  <c r="AL163" i="12" s="1"/>
  <c r="AM163" i="11"/>
  <c r="AM163" i="12" s="1"/>
  <c r="AN163" i="11"/>
  <c r="AN163" i="12" s="1"/>
  <c r="AO163" i="11"/>
  <c r="AO163" i="12" s="1"/>
  <c r="AP163" i="11"/>
  <c r="AP163" i="12" s="1"/>
  <c r="AQ163" i="11"/>
  <c r="AQ163" i="12" s="1"/>
  <c r="AR163" i="11"/>
  <c r="AR163" i="12" s="1"/>
  <c r="AS163" i="11"/>
  <c r="AS163" i="12" s="1"/>
  <c r="AT163" i="11"/>
  <c r="AT163" i="12" s="1"/>
  <c r="AU163" i="11"/>
  <c r="AU163" i="12" s="1"/>
  <c r="AV163" i="11"/>
  <c r="AV163" i="12" s="1"/>
  <c r="AW163" i="11"/>
  <c r="AW163" i="12" s="1"/>
  <c r="AX163" i="11"/>
  <c r="AX163" i="12" s="1"/>
  <c r="AY163" i="11"/>
  <c r="AY163" i="12" s="1"/>
  <c r="AZ163" i="11"/>
  <c r="AZ163" i="12" s="1"/>
  <c r="BA163" i="11"/>
  <c r="BA163" i="12" s="1"/>
  <c r="AH164" i="11"/>
  <c r="AH164" i="12" s="1"/>
  <c r="AI164" i="11"/>
  <c r="AI164" i="12" s="1"/>
  <c r="AJ164" i="11"/>
  <c r="AJ164" i="12" s="1"/>
  <c r="AK164" i="11"/>
  <c r="AK164" i="12" s="1"/>
  <c r="AL164" i="11"/>
  <c r="AL164" i="12" s="1"/>
  <c r="AM164" i="11"/>
  <c r="AM164" i="12" s="1"/>
  <c r="AN164" i="11"/>
  <c r="AN164" i="12" s="1"/>
  <c r="AO164" i="11"/>
  <c r="AO164" i="12" s="1"/>
  <c r="AP164" i="11"/>
  <c r="AP164" i="12" s="1"/>
  <c r="AQ164" i="11"/>
  <c r="AQ164" i="12" s="1"/>
  <c r="AR164" i="11"/>
  <c r="AR164" i="12" s="1"/>
  <c r="AS164" i="11"/>
  <c r="AS164" i="12" s="1"/>
  <c r="AT164" i="11"/>
  <c r="AT164" i="12" s="1"/>
  <c r="AU164" i="11"/>
  <c r="AU164" i="12" s="1"/>
  <c r="AV164" i="11"/>
  <c r="AV164" i="12" s="1"/>
  <c r="AW164" i="11"/>
  <c r="AW164" i="12" s="1"/>
  <c r="AX164" i="11"/>
  <c r="AX164" i="12" s="1"/>
  <c r="AY164" i="11"/>
  <c r="AY164" i="12" s="1"/>
  <c r="AZ164" i="11"/>
  <c r="AZ164" i="12" s="1"/>
  <c r="BA164" i="11"/>
  <c r="BA164" i="12" s="1"/>
  <c r="AH165" i="11"/>
  <c r="AH165" i="12" s="1"/>
  <c r="AI165" i="11"/>
  <c r="AI165" i="12" s="1"/>
  <c r="AJ165" i="11"/>
  <c r="AJ165" i="12" s="1"/>
  <c r="AK165" i="11"/>
  <c r="AK165" i="12" s="1"/>
  <c r="AL165" i="11"/>
  <c r="AL165" i="12" s="1"/>
  <c r="AM165" i="11"/>
  <c r="AM165" i="12" s="1"/>
  <c r="AN165" i="11"/>
  <c r="AN165" i="12" s="1"/>
  <c r="AO165" i="11"/>
  <c r="AO165" i="12" s="1"/>
  <c r="AP165" i="11"/>
  <c r="AP165" i="12" s="1"/>
  <c r="AQ165" i="11"/>
  <c r="AQ165" i="12" s="1"/>
  <c r="AR165" i="11"/>
  <c r="AR165" i="12" s="1"/>
  <c r="AS165" i="11"/>
  <c r="AS165" i="12" s="1"/>
  <c r="AT165" i="11"/>
  <c r="AT165" i="12" s="1"/>
  <c r="AU165" i="11"/>
  <c r="AU165" i="12" s="1"/>
  <c r="AV165" i="11"/>
  <c r="AV165" i="12" s="1"/>
  <c r="AW165" i="11"/>
  <c r="AW165" i="12" s="1"/>
  <c r="AX165" i="11"/>
  <c r="AX165" i="12" s="1"/>
  <c r="AY165" i="11"/>
  <c r="AY165" i="12" s="1"/>
  <c r="AZ165" i="11"/>
  <c r="AZ165" i="12" s="1"/>
  <c r="BA165" i="11"/>
  <c r="BA165" i="12" s="1"/>
  <c r="AH166" i="11"/>
  <c r="AH166" i="12" s="1"/>
  <c r="AI166" i="11"/>
  <c r="AI166" i="12" s="1"/>
  <c r="AJ166" i="11"/>
  <c r="AJ166" i="12" s="1"/>
  <c r="AK166" i="11"/>
  <c r="AK166" i="12" s="1"/>
  <c r="AL166" i="11"/>
  <c r="AL166" i="12" s="1"/>
  <c r="AM166" i="11"/>
  <c r="AM166" i="12" s="1"/>
  <c r="AN166" i="11"/>
  <c r="AN166" i="12" s="1"/>
  <c r="AO166" i="11"/>
  <c r="AO166" i="12" s="1"/>
  <c r="AP166" i="11"/>
  <c r="AP166" i="12" s="1"/>
  <c r="AQ166" i="11"/>
  <c r="AQ166" i="12" s="1"/>
  <c r="AR166" i="11"/>
  <c r="AR166" i="12" s="1"/>
  <c r="AS166" i="11"/>
  <c r="AS166" i="12" s="1"/>
  <c r="AT166" i="11"/>
  <c r="AT166" i="12" s="1"/>
  <c r="AU166" i="11"/>
  <c r="AU166" i="12" s="1"/>
  <c r="AV166" i="11"/>
  <c r="AV166" i="12" s="1"/>
  <c r="AW166" i="11"/>
  <c r="AW166" i="12" s="1"/>
  <c r="AX166" i="11"/>
  <c r="AX166" i="12" s="1"/>
  <c r="AY166" i="11"/>
  <c r="AY166" i="12" s="1"/>
  <c r="AZ166" i="11"/>
  <c r="AZ166" i="12" s="1"/>
  <c r="BA166" i="11"/>
  <c r="BA166" i="12" s="1"/>
  <c r="AH167" i="11"/>
  <c r="AH167" i="12" s="1"/>
  <c r="AI167" i="11"/>
  <c r="AI167" i="12" s="1"/>
  <c r="AJ167" i="11"/>
  <c r="AJ167" i="12" s="1"/>
  <c r="AK167" i="11"/>
  <c r="AK167" i="12" s="1"/>
  <c r="AL167" i="11"/>
  <c r="AL167" i="12" s="1"/>
  <c r="AM167" i="11"/>
  <c r="AM167" i="12" s="1"/>
  <c r="AN167" i="11"/>
  <c r="AN167" i="12" s="1"/>
  <c r="AO167" i="11"/>
  <c r="AO167" i="12" s="1"/>
  <c r="AP167" i="11"/>
  <c r="AP167" i="12" s="1"/>
  <c r="AQ167" i="11"/>
  <c r="AQ167" i="12" s="1"/>
  <c r="AR167" i="11"/>
  <c r="AR167" i="12" s="1"/>
  <c r="AS167" i="11"/>
  <c r="AS167" i="12" s="1"/>
  <c r="AT167" i="11"/>
  <c r="AT167" i="12" s="1"/>
  <c r="AU167" i="11"/>
  <c r="AU167" i="12" s="1"/>
  <c r="AV167" i="11"/>
  <c r="AV167" i="12" s="1"/>
  <c r="AW167" i="11"/>
  <c r="AW167" i="12" s="1"/>
  <c r="AX167" i="11"/>
  <c r="AX167" i="12" s="1"/>
  <c r="AY167" i="11"/>
  <c r="AY167" i="12" s="1"/>
  <c r="AZ167" i="11"/>
  <c r="AZ167" i="12" s="1"/>
  <c r="BA167" i="11"/>
  <c r="BA167" i="12" s="1"/>
  <c r="AH168" i="11"/>
  <c r="AH168" i="12" s="1"/>
  <c r="AI168" i="11"/>
  <c r="AI168" i="12" s="1"/>
  <c r="AJ168" i="11"/>
  <c r="AJ168" i="12" s="1"/>
  <c r="AK168" i="11"/>
  <c r="AK168" i="12" s="1"/>
  <c r="AL168" i="11"/>
  <c r="AL168" i="12" s="1"/>
  <c r="AM168" i="11"/>
  <c r="AM168" i="12" s="1"/>
  <c r="AN168" i="11"/>
  <c r="AN168" i="12" s="1"/>
  <c r="AO168" i="11"/>
  <c r="AO168" i="12" s="1"/>
  <c r="AP168" i="11"/>
  <c r="AP168" i="12" s="1"/>
  <c r="AQ168" i="11"/>
  <c r="AQ168" i="12" s="1"/>
  <c r="AR168" i="11"/>
  <c r="AR168" i="12" s="1"/>
  <c r="AS168" i="11"/>
  <c r="AS168" i="12" s="1"/>
  <c r="AT168" i="11"/>
  <c r="AT168" i="12" s="1"/>
  <c r="AU168" i="11"/>
  <c r="AU168" i="12" s="1"/>
  <c r="AV168" i="11"/>
  <c r="AV168" i="12" s="1"/>
  <c r="AW168" i="11"/>
  <c r="AW168" i="12" s="1"/>
  <c r="AX168" i="11"/>
  <c r="AX168" i="12" s="1"/>
  <c r="AY168" i="11"/>
  <c r="AY168" i="12" s="1"/>
  <c r="AZ168" i="11"/>
  <c r="AZ168" i="12" s="1"/>
  <c r="BA168" i="11"/>
  <c r="BA168" i="12" s="1"/>
  <c r="AH169" i="11"/>
  <c r="AH169" i="12" s="1"/>
  <c r="AI169" i="11"/>
  <c r="AI169" i="12" s="1"/>
  <c r="AJ169" i="11"/>
  <c r="AJ169" i="12" s="1"/>
  <c r="AK169" i="11"/>
  <c r="AK169" i="12" s="1"/>
  <c r="AL169" i="11"/>
  <c r="AL169" i="12" s="1"/>
  <c r="AM169" i="11"/>
  <c r="AM169" i="12" s="1"/>
  <c r="AN169" i="11"/>
  <c r="AN169" i="12" s="1"/>
  <c r="AO169" i="11"/>
  <c r="AO169" i="12" s="1"/>
  <c r="AP169" i="11"/>
  <c r="AP169" i="12" s="1"/>
  <c r="AQ169" i="11"/>
  <c r="AQ169" i="12" s="1"/>
  <c r="AR169" i="11"/>
  <c r="AR169" i="12" s="1"/>
  <c r="AS169" i="11"/>
  <c r="AS169" i="12" s="1"/>
  <c r="AT169" i="11"/>
  <c r="AT169" i="12" s="1"/>
  <c r="AU169" i="11"/>
  <c r="AU169" i="12" s="1"/>
  <c r="AV169" i="11"/>
  <c r="AV169" i="12" s="1"/>
  <c r="AW169" i="11"/>
  <c r="AW169" i="12" s="1"/>
  <c r="AX169" i="11"/>
  <c r="AX169" i="12" s="1"/>
  <c r="AY169" i="11"/>
  <c r="AY169" i="12" s="1"/>
  <c r="AZ169" i="11"/>
  <c r="AZ169" i="12" s="1"/>
  <c r="BA169" i="11"/>
  <c r="BA169" i="12" s="1"/>
  <c r="AY2" i="13" l="1"/>
  <c r="AQ2" i="13"/>
  <c r="AI2" i="13"/>
  <c r="AU2" i="13"/>
  <c r="AM2" i="13"/>
  <c r="AX2" i="13"/>
  <c r="AT2" i="13"/>
  <c r="AP2" i="13"/>
  <c r="AL2" i="13"/>
  <c r="AH2" i="13"/>
  <c r="BA2" i="13"/>
  <c r="AW2" i="13"/>
  <c r="AS2" i="13"/>
  <c r="AO2" i="13"/>
  <c r="AK2" i="13"/>
  <c r="AZ2" i="13"/>
  <c r="AV2" i="13"/>
  <c r="AR2" i="13"/>
  <c r="AN2" i="13"/>
  <c r="AJ2" i="13"/>
  <c r="Z60" i="12"/>
  <c r="AF59" i="12"/>
  <c r="Z58" i="12"/>
  <c r="N58" i="12"/>
  <c r="F58" i="12"/>
  <c r="AB57" i="12"/>
  <c r="X57" i="12"/>
  <c r="H57" i="12"/>
  <c r="Z56" i="12"/>
  <c r="R56" i="12"/>
  <c r="T53" i="12"/>
  <c r="Z52" i="12"/>
  <c r="F52" i="12"/>
  <c r="H51" i="12"/>
  <c r="V50" i="12"/>
  <c r="R50" i="12"/>
  <c r="F50" i="12"/>
  <c r="AB49" i="12"/>
  <c r="Z48" i="12"/>
  <c r="J48" i="12"/>
  <c r="X47" i="12"/>
  <c r="D47" i="12"/>
  <c r="AF45" i="12"/>
  <c r="X45" i="12"/>
  <c r="D45" i="12"/>
  <c r="AD44" i="12"/>
  <c r="J44" i="12"/>
  <c r="L43" i="12"/>
  <c r="AD42" i="12"/>
  <c r="Z42" i="12"/>
  <c r="N42" i="12"/>
  <c r="F42" i="12"/>
  <c r="L41" i="12"/>
  <c r="R40" i="12"/>
  <c r="J40" i="12"/>
  <c r="F40" i="12"/>
  <c r="D39" i="12"/>
  <c r="J36" i="12"/>
  <c r="V34" i="12"/>
  <c r="AB33" i="12"/>
  <c r="R32" i="12"/>
  <c r="J32" i="12"/>
  <c r="AB31" i="12"/>
  <c r="X31" i="12"/>
  <c r="L31" i="12"/>
  <c r="D31" i="12"/>
  <c r="L29" i="12"/>
  <c r="AD28" i="12"/>
  <c r="R28" i="12"/>
  <c r="N28" i="12"/>
  <c r="D27" i="12"/>
  <c r="AB25" i="12"/>
  <c r="R24" i="12"/>
  <c r="AF23" i="12"/>
  <c r="AB23" i="12"/>
  <c r="R22" i="12"/>
  <c r="F22" i="12"/>
  <c r="AF19" i="12"/>
  <c r="N18" i="12"/>
  <c r="F18" i="12"/>
  <c r="AF17" i="12"/>
  <c r="X17" i="12"/>
  <c r="L17" i="12"/>
  <c r="R16" i="12"/>
  <c r="H15" i="12"/>
  <c r="V14" i="12"/>
  <c r="H13" i="12"/>
  <c r="F12" i="12"/>
  <c r="L11" i="12"/>
  <c r="T9" i="12"/>
  <c r="Z8" i="12"/>
  <c r="N8" i="12"/>
  <c r="F8" i="12"/>
  <c r="R6" i="12"/>
  <c r="J6" i="12"/>
  <c r="X5" i="12"/>
  <c r="N4" i="12"/>
  <c r="AC58" i="12"/>
  <c r="Y58" i="12"/>
  <c r="I58" i="12"/>
  <c r="E58" i="12"/>
  <c r="AA57" i="12"/>
  <c r="Y54" i="12"/>
  <c r="G51" i="12"/>
  <c r="U50" i="12"/>
  <c r="E50" i="12"/>
  <c r="AA49" i="12"/>
  <c r="Y48" i="12"/>
  <c r="U46" i="12"/>
  <c r="AG44" i="12"/>
  <c r="AC44" i="12"/>
  <c r="U44" i="12"/>
  <c r="M44" i="12"/>
  <c r="K43" i="12"/>
  <c r="AG42" i="12"/>
  <c r="AC42" i="12"/>
  <c r="Y42" i="12"/>
  <c r="M42" i="12"/>
  <c r="E42" i="12"/>
  <c r="K41" i="12"/>
  <c r="E38" i="12"/>
  <c r="K37" i="12"/>
  <c r="U34" i="12"/>
  <c r="I32" i="12"/>
  <c r="AE31" i="12"/>
  <c r="AA31" i="12"/>
  <c r="K31" i="12"/>
  <c r="K29" i="12"/>
  <c r="U28" i="12"/>
  <c r="AA25" i="12"/>
  <c r="G25" i="12"/>
  <c r="AE23" i="12"/>
  <c r="AA23" i="12"/>
  <c r="I22" i="12"/>
  <c r="E22" i="12"/>
  <c r="O21" i="12"/>
  <c r="G21" i="12"/>
  <c r="M20" i="12"/>
  <c r="Q18" i="12"/>
  <c r="AA17" i="12"/>
  <c r="K17" i="12"/>
  <c r="AA15" i="12"/>
  <c r="G15" i="12"/>
  <c r="U14" i="12"/>
  <c r="AE13" i="12"/>
  <c r="G13" i="12"/>
  <c r="E12" i="12"/>
  <c r="K11" i="12"/>
  <c r="Y8" i="12"/>
  <c r="M8" i="12"/>
  <c r="E8" i="12"/>
  <c r="AA7" i="12"/>
  <c r="G7" i="12"/>
  <c r="I6" i="12"/>
  <c r="AE5" i="12"/>
  <c r="K5" i="12"/>
  <c r="Q4" i="12"/>
  <c r="E4" i="12"/>
  <c r="AA3" i="12"/>
  <c r="G3" i="12"/>
  <c r="AB58" i="12"/>
  <c r="X58" i="12"/>
  <c r="H58" i="12"/>
  <c r="D58" i="12"/>
  <c r="Z57" i="12"/>
  <c r="J57" i="12"/>
  <c r="AB56" i="12"/>
  <c r="X54" i="12"/>
  <c r="F51" i="12"/>
  <c r="T50" i="12"/>
  <c r="D50" i="12"/>
  <c r="Z49" i="12"/>
  <c r="V47" i="12"/>
  <c r="N47" i="12"/>
  <c r="T46" i="12"/>
  <c r="AF44" i="12"/>
  <c r="T44" i="12"/>
  <c r="L44" i="12"/>
  <c r="V43" i="12"/>
  <c r="AF42" i="12"/>
  <c r="X42" i="12"/>
  <c r="L42" i="12"/>
  <c r="D42" i="12"/>
  <c r="V41" i="12"/>
  <c r="AB40" i="12"/>
  <c r="T40" i="12"/>
  <c r="AB38" i="12"/>
  <c r="D38" i="12"/>
  <c r="J37" i="12"/>
  <c r="R35" i="12"/>
  <c r="R33" i="12"/>
  <c r="T32" i="12"/>
  <c r="H32" i="12"/>
  <c r="AD31" i="12"/>
  <c r="N31" i="12"/>
  <c r="J29" i="12"/>
  <c r="AF28" i="12"/>
  <c r="T28" i="12"/>
  <c r="Z25" i="12"/>
  <c r="F25" i="12"/>
  <c r="AD23" i="12"/>
  <c r="H22" i="12"/>
  <c r="N21" i="12"/>
  <c r="F21" i="12"/>
  <c r="L20" i="12"/>
  <c r="V19" i="12"/>
  <c r="P18" i="12"/>
  <c r="D18" i="12"/>
  <c r="Z17" i="12"/>
  <c r="J17" i="12"/>
  <c r="T16" i="12"/>
  <c r="Z15" i="12"/>
  <c r="F15" i="12"/>
  <c r="AD13" i="12"/>
  <c r="F13" i="12"/>
  <c r="V9" i="12"/>
  <c r="X8" i="12"/>
  <c r="H8" i="12"/>
  <c r="Z7" i="12"/>
  <c r="T6" i="12"/>
  <c r="H6" i="12"/>
  <c r="AD5" i="12"/>
  <c r="P4" i="12"/>
  <c r="H4" i="12"/>
  <c r="D4" i="12"/>
  <c r="Z3" i="12"/>
  <c r="AA60" i="12"/>
  <c r="AG59" i="12"/>
  <c r="AA58" i="12"/>
  <c r="O58" i="12"/>
  <c r="G58" i="12"/>
  <c r="Y57" i="12"/>
  <c r="I57" i="12"/>
  <c r="AA56" i="12"/>
  <c r="U55" i="12"/>
  <c r="G52" i="12"/>
  <c r="AG45" i="12"/>
  <c r="AE44" i="12"/>
  <c r="K44" i="12"/>
  <c r="M43" i="12"/>
  <c r="AE42" i="12"/>
  <c r="AA42" i="12"/>
  <c r="O42" i="12"/>
  <c r="G42" i="12"/>
  <c r="U41" i="12"/>
  <c r="M41" i="12"/>
  <c r="AA38" i="12"/>
  <c r="AC37" i="12"/>
  <c r="I37" i="12"/>
  <c r="K36" i="12"/>
  <c r="Y33" i="12"/>
  <c r="AG31" i="12"/>
  <c r="AC31" i="12"/>
  <c r="M31" i="12"/>
  <c r="O30" i="12"/>
  <c r="M29" i="12"/>
  <c r="I29" i="12"/>
  <c r="AE28" i="12"/>
  <c r="O28" i="12"/>
  <c r="E27" i="12"/>
  <c r="O26" i="12"/>
  <c r="AC25" i="12"/>
  <c r="Y25" i="12"/>
  <c r="O24" i="12"/>
  <c r="AG23" i="12"/>
  <c r="AC23" i="12"/>
  <c r="O22" i="12"/>
  <c r="G22" i="12"/>
  <c r="AG19" i="12"/>
  <c r="G18" i="12"/>
  <c r="AG17" i="12"/>
  <c r="AC17" i="12"/>
  <c r="Y17" i="12"/>
  <c r="I17" i="12"/>
  <c r="Y15" i="12"/>
  <c r="I15" i="12"/>
  <c r="I13" i="12"/>
  <c r="G12" i="12"/>
  <c r="M11" i="12"/>
  <c r="W10" i="12"/>
  <c r="U9" i="12"/>
  <c r="AA8" i="12"/>
  <c r="O8" i="12"/>
  <c r="G8" i="12"/>
  <c r="Y7" i="12"/>
  <c r="S6" i="12"/>
  <c r="AC5" i="12"/>
  <c r="U5" i="12"/>
  <c r="E5" i="12"/>
  <c r="O4" i="12"/>
  <c r="G4" i="12"/>
  <c r="Q3" i="12"/>
  <c r="S16" i="12"/>
  <c r="S35" i="12"/>
  <c r="S44" i="12"/>
  <c r="S50" i="12"/>
  <c r="S9" i="12"/>
  <c r="S10" i="12"/>
  <c r="S24" i="12"/>
  <c r="S28" i="12"/>
  <c r="S32" i="12"/>
  <c r="S46" i="12"/>
  <c r="W14" i="12"/>
  <c r="W34" i="12"/>
  <c r="W31" i="12"/>
  <c r="W43" i="12"/>
  <c r="W47" i="12"/>
  <c r="W41" i="12"/>
  <c r="W9" i="12"/>
  <c r="W19" i="12"/>
  <c r="Q26" i="12"/>
  <c r="Q42" i="12"/>
  <c r="Q50" i="12"/>
  <c r="Q35" i="12"/>
  <c r="Q28" i="12"/>
  <c r="Q56" i="12"/>
  <c r="Q21" i="12"/>
  <c r="Q31" i="12"/>
  <c r="Q12" i="12"/>
  <c r="Q16" i="12"/>
  <c r="Q22" i="12"/>
  <c r="Q60" i="12"/>
  <c r="Q24" i="12"/>
  <c r="P22" i="12"/>
  <c r="P31" i="12"/>
  <c r="P59" i="12"/>
  <c r="P42" i="12"/>
  <c r="P12" i="12"/>
  <c r="P24" i="12"/>
  <c r="P28" i="12"/>
  <c r="P56" i="12"/>
  <c r="P60" i="12"/>
  <c r="P58" i="12"/>
  <c r="P21" i="12"/>
  <c r="P26" i="12"/>
  <c r="P30" i="12"/>
  <c r="A12" i="5"/>
  <c r="B12" i="5"/>
  <c r="C12" i="5"/>
  <c r="A13" i="5"/>
  <c r="B13" i="5"/>
  <c r="C13" i="5"/>
  <c r="A14" i="5"/>
  <c r="B14" i="5"/>
  <c r="C14" i="5"/>
  <c r="A15" i="5"/>
  <c r="B15" i="5"/>
  <c r="C15" i="5"/>
  <c r="A16" i="5"/>
  <c r="B16" i="5"/>
  <c r="C16" i="5"/>
  <c r="A17" i="5"/>
  <c r="B17" i="5"/>
  <c r="C17" i="5"/>
  <c r="A18" i="5"/>
  <c r="B18" i="5"/>
  <c r="C18" i="5"/>
  <c r="A19" i="5"/>
  <c r="B19" i="5"/>
  <c r="C19" i="5"/>
  <c r="A20" i="5"/>
  <c r="B20" i="5"/>
  <c r="C20" i="5"/>
  <c r="A21" i="5"/>
  <c r="B21" i="5"/>
  <c r="C21" i="5"/>
  <c r="A22" i="5"/>
  <c r="B22" i="5"/>
  <c r="C22" i="5"/>
  <c r="A23" i="5"/>
  <c r="B23" i="5"/>
  <c r="C23" i="5"/>
  <c r="A24" i="5"/>
  <c r="B24" i="5"/>
  <c r="C24" i="5"/>
  <c r="A25" i="5"/>
  <c r="B25" i="5"/>
  <c r="C25" i="5"/>
  <c r="A26" i="5"/>
  <c r="B26" i="5"/>
  <c r="C26" i="5"/>
  <c r="A27" i="5"/>
  <c r="B27" i="5"/>
  <c r="C27" i="5"/>
  <c r="A28" i="5"/>
  <c r="B28" i="5"/>
  <c r="C28" i="5"/>
  <c r="A29" i="5"/>
  <c r="B29" i="5"/>
  <c r="C29" i="5"/>
  <c r="A30" i="5"/>
  <c r="B30" i="5"/>
  <c r="C30" i="5"/>
  <c r="A31" i="5"/>
  <c r="B31" i="5"/>
  <c r="C31" i="5"/>
  <c r="A32" i="5"/>
  <c r="B32" i="5"/>
  <c r="C32" i="5"/>
  <c r="A33" i="5"/>
  <c r="B33" i="5"/>
  <c r="C33" i="5"/>
  <c r="A34" i="5"/>
  <c r="B34" i="5"/>
  <c r="C34" i="5"/>
  <c r="A35" i="5"/>
  <c r="B35" i="5"/>
  <c r="C35" i="5"/>
  <c r="A36" i="5"/>
  <c r="B36" i="5"/>
  <c r="C36" i="5"/>
  <c r="A37" i="5"/>
  <c r="B37" i="5"/>
  <c r="C37" i="5"/>
  <c r="A38" i="5"/>
  <c r="B38" i="5"/>
  <c r="C38" i="5"/>
  <c r="A39" i="5"/>
  <c r="B39" i="5"/>
  <c r="C39" i="5"/>
  <c r="A40" i="5"/>
  <c r="B40" i="5"/>
  <c r="C40" i="5"/>
  <c r="A41" i="5"/>
  <c r="B41" i="5"/>
  <c r="C41" i="5"/>
  <c r="A42" i="5"/>
  <c r="B42" i="5"/>
  <c r="C42" i="5"/>
  <c r="A43" i="5"/>
  <c r="B43" i="5"/>
  <c r="C43" i="5"/>
  <c r="A44" i="5"/>
  <c r="B44" i="5"/>
  <c r="C44" i="5"/>
  <c r="A45" i="5"/>
  <c r="B45" i="5"/>
  <c r="C45" i="5"/>
  <c r="A46" i="5"/>
  <c r="B46" i="5"/>
  <c r="C46" i="5"/>
  <c r="A47" i="5"/>
  <c r="B47" i="5"/>
  <c r="C47" i="5"/>
  <c r="A48" i="5"/>
  <c r="B48" i="5"/>
  <c r="C48" i="5"/>
  <c r="A49" i="5"/>
  <c r="B49" i="5"/>
  <c r="C49" i="5"/>
  <c r="A50" i="5"/>
  <c r="B50" i="5"/>
  <c r="C50" i="5"/>
  <c r="A51" i="5"/>
  <c r="B51" i="5"/>
  <c r="C51" i="5"/>
  <c r="A52" i="5"/>
  <c r="B52" i="5"/>
  <c r="C52" i="5"/>
  <c r="A53" i="5"/>
  <c r="B53" i="5"/>
  <c r="C53" i="5"/>
  <c r="A54" i="5"/>
  <c r="B54" i="5"/>
  <c r="C54" i="5"/>
  <c r="A55" i="5"/>
  <c r="B55" i="5"/>
  <c r="C55" i="5"/>
  <c r="A56" i="5"/>
  <c r="B56" i="5"/>
  <c r="C56" i="5"/>
  <c r="A57" i="5"/>
  <c r="B57" i="5"/>
  <c r="C57" i="5"/>
  <c r="A58" i="5"/>
  <c r="B58" i="5"/>
  <c r="C58" i="5"/>
  <c r="A59" i="5"/>
  <c r="B59" i="5"/>
  <c r="C59" i="5"/>
  <c r="A60" i="5"/>
  <c r="B60" i="5"/>
  <c r="C60" i="5"/>
  <c r="A61" i="5"/>
  <c r="B61" i="5"/>
  <c r="C61" i="5"/>
  <c r="A62" i="5"/>
  <c r="B62" i="5"/>
  <c r="C62" i="5"/>
  <c r="A63" i="5"/>
  <c r="B63" i="5"/>
  <c r="C63" i="5"/>
  <c r="A64" i="5"/>
  <c r="B64" i="5"/>
  <c r="C64" i="5"/>
  <c r="A65" i="5"/>
  <c r="B65" i="5"/>
  <c r="C65" i="5"/>
  <c r="A66" i="5"/>
  <c r="B66" i="5"/>
  <c r="C66" i="5"/>
  <c r="A67" i="5"/>
  <c r="B67" i="5"/>
  <c r="C67" i="5"/>
  <c r="A68" i="5"/>
  <c r="B68" i="5"/>
  <c r="C68" i="5"/>
  <c r="A69" i="5"/>
  <c r="B69" i="5"/>
  <c r="C69" i="5"/>
  <c r="A70" i="5"/>
  <c r="B70" i="5"/>
  <c r="C70" i="5"/>
  <c r="A71" i="5"/>
  <c r="B71" i="5"/>
  <c r="C71" i="5"/>
  <c r="A72" i="5"/>
  <c r="B72" i="5"/>
  <c r="C72" i="5"/>
  <c r="A73" i="5"/>
  <c r="B73" i="5"/>
  <c r="C73" i="5"/>
  <c r="A74" i="5"/>
  <c r="B74" i="5"/>
  <c r="C74" i="5"/>
  <c r="A75" i="5"/>
  <c r="B75" i="5"/>
  <c r="C75" i="5"/>
  <c r="A76" i="5"/>
  <c r="B76" i="5"/>
  <c r="C76" i="5"/>
  <c r="A77" i="5"/>
  <c r="B77" i="5"/>
  <c r="C77" i="5"/>
  <c r="A78" i="5"/>
  <c r="B78" i="5"/>
  <c r="C78" i="5"/>
  <c r="A79" i="5"/>
  <c r="B79" i="5"/>
  <c r="C79" i="5"/>
  <c r="A80" i="5"/>
  <c r="B80" i="5"/>
  <c r="C80" i="5"/>
  <c r="A81" i="5"/>
  <c r="B81" i="5"/>
  <c r="C81" i="5"/>
  <c r="A82" i="5"/>
  <c r="B82" i="5"/>
  <c r="C82" i="5"/>
  <c r="A83" i="5"/>
  <c r="B83" i="5"/>
  <c r="C83" i="5"/>
  <c r="A84" i="5"/>
  <c r="B84" i="5"/>
  <c r="C84" i="5"/>
  <c r="A85" i="5"/>
  <c r="B85" i="5"/>
  <c r="C85" i="5"/>
  <c r="A86" i="5"/>
  <c r="B86" i="5"/>
  <c r="C86" i="5"/>
  <c r="A87" i="5"/>
  <c r="B87" i="5"/>
  <c r="C87" i="5"/>
  <c r="A88" i="5"/>
  <c r="B88" i="5"/>
  <c r="C88" i="5"/>
  <c r="A89" i="5"/>
  <c r="B89" i="5"/>
  <c r="C89" i="5"/>
  <c r="A90" i="5"/>
  <c r="B90" i="5"/>
  <c r="C90" i="5"/>
  <c r="A91" i="5"/>
  <c r="B91" i="5"/>
  <c r="C91" i="5"/>
  <c r="A92" i="5"/>
  <c r="B92" i="5"/>
  <c r="C92" i="5"/>
  <c r="A93" i="5"/>
  <c r="B93" i="5"/>
  <c r="C93" i="5"/>
  <c r="A94" i="5"/>
  <c r="B94" i="5"/>
  <c r="C94" i="5"/>
  <c r="A95" i="5"/>
  <c r="B95" i="5"/>
  <c r="C95" i="5"/>
  <c r="A96" i="5"/>
  <c r="B96" i="5"/>
  <c r="C96" i="5"/>
  <c r="A97" i="5"/>
  <c r="B97" i="5"/>
  <c r="C97" i="5"/>
  <c r="A98" i="5"/>
  <c r="B98" i="5"/>
  <c r="C98" i="5"/>
  <c r="A99" i="5"/>
  <c r="B99" i="5"/>
  <c r="C99" i="5"/>
  <c r="A100" i="5"/>
  <c r="B100" i="5"/>
  <c r="C100" i="5"/>
  <c r="A101" i="5"/>
  <c r="B101" i="5"/>
  <c r="C101" i="5"/>
  <c r="A102" i="5"/>
  <c r="B102" i="5"/>
  <c r="C102" i="5"/>
  <c r="A103" i="5"/>
  <c r="B103" i="5"/>
  <c r="C103" i="5"/>
  <c r="A104" i="5"/>
  <c r="B104" i="5"/>
  <c r="C104" i="5"/>
  <c r="A105" i="5"/>
  <c r="B105" i="5"/>
  <c r="C105" i="5"/>
  <c r="A106" i="5"/>
  <c r="B106" i="5"/>
  <c r="C106" i="5"/>
  <c r="A107" i="5"/>
  <c r="B107" i="5"/>
  <c r="C107" i="5"/>
  <c r="A108" i="5"/>
  <c r="B108" i="5"/>
  <c r="C108" i="5"/>
  <c r="A109" i="5"/>
  <c r="B109" i="5"/>
  <c r="C109" i="5"/>
  <c r="A110" i="5"/>
  <c r="B110" i="5"/>
  <c r="C110" i="5"/>
  <c r="A111" i="5"/>
  <c r="B111" i="5"/>
  <c r="C111" i="5"/>
  <c r="A112" i="5"/>
  <c r="B112" i="5"/>
  <c r="C112" i="5"/>
  <c r="A113" i="5"/>
  <c r="B113" i="5"/>
  <c r="C113" i="5"/>
  <c r="A114" i="5"/>
  <c r="B114" i="5"/>
  <c r="C114" i="5"/>
  <c r="A115" i="5"/>
  <c r="B115" i="5"/>
  <c r="C115" i="5"/>
  <c r="A116" i="5"/>
  <c r="B116" i="5"/>
  <c r="C116" i="5"/>
  <c r="A117" i="5"/>
  <c r="B117" i="5"/>
  <c r="C117" i="5"/>
  <c r="A118" i="5"/>
  <c r="B118" i="5"/>
  <c r="C118" i="5"/>
  <c r="A119" i="5"/>
  <c r="B119" i="5"/>
  <c r="C119" i="5"/>
  <c r="A120" i="5"/>
  <c r="B120" i="5"/>
  <c r="C120" i="5"/>
  <c r="A121" i="5"/>
  <c r="B121" i="5"/>
  <c r="C121" i="5"/>
  <c r="A122" i="5"/>
  <c r="B122" i="5"/>
  <c r="C122" i="5"/>
  <c r="A123" i="5"/>
  <c r="B123" i="5"/>
  <c r="C123" i="5"/>
  <c r="A124" i="5"/>
  <c r="B124" i="5"/>
  <c r="C124" i="5"/>
  <c r="A125" i="5"/>
  <c r="B125" i="5"/>
  <c r="C125" i="5"/>
  <c r="A126" i="5"/>
  <c r="B126" i="5"/>
  <c r="C126" i="5"/>
  <c r="A127" i="5"/>
  <c r="B127" i="5"/>
  <c r="C127" i="5"/>
  <c r="A128" i="5"/>
  <c r="B128" i="5"/>
  <c r="C128" i="5"/>
  <c r="A129" i="5"/>
  <c r="B129" i="5"/>
  <c r="C129" i="5"/>
  <c r="A130" i="5"/>
  <c r="B130" i="5"/>
  <c r="C130" i="5"/>
  <c r="A131" i="5"/>
  <c r="B131" i="5"/>
  <c r="C131" i="5"/>
  <c r="A132" i="5"/>
  <c r="B132" i="5"/>
  <c r="C132" i="5"/>
  <c r="A133" i="5"/>
  <c r="B133" i="5"/>
  <c r="C133" i="5"/>
  <c r="A134" i="5"/>
  <c r="B134" i="5"/>
  <c r="C134" i="5"/>
  <c r="A135" i="5"/>
  <c r="B135" i="5"/>
  <c r="C135" i="5"/>
  <c r="A136" i="5"/>
  <c r="B136" i="5"/>
  <c r="C136" i="5"/>
  <c r="A137" i="5"/>
  <c r="B137" i="5"/>
  <c r="C137" i="5"/>
  <c r="A138" i="5"/>
  <c r="B138" i="5"/>
  <c r="C138" i="5"/>
  <c r="A139" i="5"/>
  <c r="B139" i="5"/>
  <c r="C139" i="5"/>
  <c r="A140" i="5"/>
  <c r="B140" i="5"/>
  <c r="C140" i="5"/>
  <c r="A141" i="5"/>
  <c r="B141" i="5"/>
  <c r="C141" i="5"/>
  <c r="A142" i="5"/>
  <c r="B142" i="5"/>
  <c r="C142" i="5"/>
  <c r="A143" i="5"/>
  <c r="B143" i="5"/>
  <c r="C143" i="5"/>
  <c r="A144" i="5"/>
  <c r="B144" i="5"/>
  <c r="C144" i="5"/>
  <c r="A145" i="5"/>
  <c r="B145" i="5"/>
  <c r="C145" i="5"/>
  <c r="A146" i="5"/>
  <c r="B146" i="5"/>
  <c r="C146" i="5"/>
  <c r="A147" i="5"/>
  <c r="B147" i="5"/>
  <c r="C147" i="5"/>
  <c r="A148" i="5"/>
  <c r="B148" i="5"/>
  <c r="C148" i="5"/>
  <c r="A149" i="5"/>
  <c r="B149" i="5"/>
  <c r="C149" i="5"/>
  <c r="A150" i="5"/>
  <c r="B150" i="5"/>
  <c r="C150" i="5"/>
  <c r="A151" i="5"/>
  <c r="B151" i="5"/>
  <c r="C151" i="5"/>
  <c r="A152" i="5"/>
  <c r="B152" i="5"/>
  <c r="C152" i="5"/>
  <c r="A153" i="5"/>
  <c r="B153" i="5"/>
  <c r="C153" i="5"/>
  <c r="A154" i="5"/>
  <c r="B154" i="5"/>
  <c r="C154" i="5"/>
  <c r="A155" i="5"/>
  <c r="B155" i="5"/>
  <c r="C155" i="5"/>
  <c r="A156" i="5"/>
  <c r="B156" i="5"/>
  <c r="C156" i="5"/>
  <c r="A157" i="5"/>
  <c r="B157" i="5"/>
  <c r="C157" i="5"/>
  <c r="A158" i="5"/>
  <c r="B158" i="5"/>
  <c r="C158" i="5"/>
  <c r="A159" i="5"/>
  <c r="B159" i="5"/>
  <c r="C159" i="5"/>
  <c r="A160" i="5"/>
  <c r="B160" i="5"/>
  <c r="C160" i="5"/>
  <c r="A161" i="5"/>
  <c r="B161" i="5"/>
  <c r="C161" i="5"/>
  <c r="A162" i="5"/>
  <c r="B162" i="5"/>
  <c r="C162" i="5"/>
  <c r="A163" i="5"/>
  <c r="B163" i="5"/>
  <c r="C163" i="5"/>
  <c r="A164" i="5"/>
  <c r="B164" i="5"/>
  <c r="C164" i="5"/>
  <c r="A165" i="5"/>
  <c r="B165" i="5"/>
  <c r="C165" i="5"/>
  <c r="A166" i="5"/>
  <c r="B166" i="5"/>
  <c r="C166" i="5"/>
  <c r="A167" i="5"/>
  <c r="B167" i="5"/>
  <c r="C167" i="5"/>
  <c r="A168" i="5"/>
  <c r="B168" i="5"/>
  <c r="C168" i="5"/>
  <c r="A169" i="5"/>
  <c r="B169" i="5"/>
  <c r="C169" i="5"/>
  <c r="A170" i="5"/>
  <c r="B170" i="5"/>
  <c r="C170" i="5"/>
  <c r="A171" i="5"/>
  <c r="B171" i="5"/>
  <c r="C171" i="5"/>
  <c r="A172" i="5"/>
  <c r="B172" i="5"/>
  <c r="C172" i="5"/>
  <c r="A173" i="5"/>
  <c r="B173" i="5"/>
  <c r="C173" i="5"/>
  <c r="A174" i="5"/>
  <c r="B174" i="5"/>
  <c r="C174" i="5"/>
  <c r="A175" i="5"/>
  <c r="B175" i="5"/>
  <c r="C175" i="5"/>
  <c r="A176" i="5"/>
  <c r="B176" i="5"/>
  <c r="C176" i="5"/>
  <c r="A177" i="5"/>
  <c r="B177" i="5"/>
  <c r="C177" i="5"/>
  <c r="A178" i="5"/>
  <c r="B178" i="5"/>
  <c r="C178" i="5"/>
  <c r="A179" i="5"/>
  <c r="B179" i="5"/>
  <c r="C179" i="5"/>
  <c r="A180" i="5"/>
  <c r="B180" i="5"/>
  <c r="C180" i="5"/>
  <c r="A181" i="5"/>
  <c r="B181" i="5"/>
  <c r="C181" i="5"/>
  <c r="A182" i="5"/>
  <c r="B182" i="5"/>
  <c r="C182" i="5"/>
  <c r="A183" i="5"/>
  <c r="B183" i="5"/>
  <c r="C183" i="5"/>
  <c r="A184" i="5"/>
  <c r="B184" i="5"/>
  <c r="C184" i="5"/>
  <c r="A185" i="5"/>
  <c r="B185" i="5"/>
  <c r="C185" i="5"/>
  <c r="A186" i="5"/>
  <c r="B186" i="5"/>
  <c r="C186" i="5"/>
  <c r="A187" i="5"/>
  <c r="B187" i="5"/>
  <c r="C187" i="5"/>
  <c r="A188" i="5"/>
  <c r="B188" i="5"/>
  <c r="C188" i="5"/>
  <c r="A189" i="5"/>
  <c r="B189" i="5"/>
  <c r="C189" i="5"/>
  <c r="A190" i="5"/>
  <c r="B190" i="5"/>
  <c r="C190" i="5"/>
  <c r="A191" i="5"/>
  <c r="B191" i="5"/>
  <c r="C191" i="5"/>
  <c r="A192" i="5"/>
  <c r="B192" i="5"/>
  <c r="C192" i="5"/>
  <c r="A193" i="5"/>
  <c r="B193" i="5"/>
  <c r="C193" i="5"/>
  <c r="A194" i="5"/>
  <c r="B194" i="5"/>
  <c r="C194" i="5"/>
  <c r="A195" i="5"/>
  <c r="B195" i="5"/>
  <c r="C195" i="5"/>
  <c r="A196" i="5"/>
  <c r="B196" i="5"/>
  <c r="C196" i="5"/>
  <c r="A197" i="5"/>
  <c r="B197" i="5"/>
  <c r="C197" i="5"/>
  <c r="A198" i="5"/>
  <c r="B198" i="5"/>
  <c r="C198" i="5"/>
  <c r="A199" i="5"/>
  <c r="B199" i="5"/>
  <c r="C199" i="5"/>
  <c r="A200" i="5"/>
  <c r="B200" i="5"/>
  <c r="C200" i="5"/>
  <c r="A201" i="5"/>
  <c r="B201" i="5"/>
  <c r="C201" i="5"/>
  <c r="A202" i="5"/>
  <c r="B202" i="5"/>
  <c r="C202" i="5"/>
  <c r="A203" i="5"/>
  <c r="B203" i="5"/>
  <c r="C203" i="5"/>
  <c r="A204" i="5"/>
  <c r="B204" i="5"/>
  <c r="C204" i="5"/>
  <c r="A205" i="5"/>
  <c r="B205" i="5"/>
  <c r="C205" i="5"/>
  <c r="A206" i="5"/>
  <c r="B206" i="5"/>
  <c r="C206" i="5"/>
  <c r="A207" i="5"/>
  <c r="B207" i="5"/>
  <c r="C207" i="5"/>
  <c r="A208" i="5"/>
  <c r="B208" i="5"/>
  <c r="C208" i="5"/>
  <c r="A209" i="5"/>
  <c r="B209" i="5"/>
  <c r="C209" i="5"/>
  <c r="A210" i="5"/>
  <c r="B210" i="5"/>
  <c r="C210" i="5"/>
  <c r="A211" i="5"/>
  <c r="B211" i="5"/>
  <c r="C211" i="5"/>
  <c r="A212" i="5"/>
  <c r="B212" i="5"/>
  <c r="C212" i="5"/>
  <c r="A213" i="5"/>
  <c r="B213" i="5"/>
  <c r="C213" i="5"/>
  <c r="A214" i="5"/>
  <c r="B214" i="5"/>
  <c r="C214" i="5"/>
  <c r="A215" i="5"/>
  <c r="B215" i="5"/>
  <c r="C215" i="5"/>
  <c r="A216" i="5"/>
  <c r="B216" i="5"/>
  <c r="C216" i="5"/>
  <c r="A217" i="5"/>
  <c r="B217" i="5"/>
  <c r="C217" i="5"/>
  <c r="A218" i="5"/>
  <c r="B218" i="5"/>
  <c r="C218" i="5"/>
  <c r="A219" i="5"/>
  <c r="B219" i="5"/>
  <c r="C219" i="5"/>
  <c r="A220" i="5"/>
  <c r="B220" i="5"/>
  <c r="C220" i="5"/>
  <c r="A221" i="5"/>
  <c r="B221" i="5"/>
  <c r="C221" i="5"/>
  <c r="A222" i="5"/>
  <c r="B222" i="5"/>
  <c r="C222" i="5"/>
  <c r="A223" i="5"/>
  <c r="B223" i="5"/>
  <c r="C223" i="5"/>
  <c r="A224" i="5"/>
  <c r="B224" i="5"/>
  <c r="C224" i="5"/>
  <c r="A225" i="5"/>
  <c r="B225" i="5"/>
  <c r="C225" i="5"/>
  <c r="A226" i="5"/>
  <c r="B226" i="5"/>
  <c r="C226" i="5"/>
  <c r="A227" i="5"/>
  <c r="B227" i="5"/>
  <c r="C227" i="5"/>
  <c r="A228" i="5"/>
  <c r="B228" i="5"/>
  <c r="C228" i="5"/>
  <c r="A229" i="5"/>
  <c r="B229" i="5"/>
  <c r="C229" i="5"/>
  <c r="A230" i="5"/>
  <c r="B230" i="5"/>
  <c r="C230" i="5"/>
  <c r="A231" i="5"/>
  <c r="B231" i="5"/>
  <c r="C231" i="5"/>
  <c r="A232" i="5"/>
  <c r="B232" i="5"/>
  <c r="C232" i="5"/>
  <c r="A233" i="5"/>
  <c r="B233" i="5"/>
  <c r="C233" i="5"/>
  <c r="A234" i="5"/>
  <c r="B234" i="5"/>
  <c r="C234" i="5"/>
  <c r="A235" i="5"/>
  <c r="B235" i="5"/>
  <c r="C235" i="5"/>
  <c r="A236" i="5"/>
  <c r="B236" i="5"/>
  <c r="C236" i="5"/>
  <c r="A237" i="5"/>
  <c r="B237" i="5"/>
  <c r="C237" i="5"/>
  <c r="A238" i="5"/>
  <c r="B238" i="5"/>
  <c r="C238" i="5"/>
  <c r="A239" i="5"/>
  <c r="B239" i="5"/>
  <c r="C239" i="5"/>
  <c r="A240" i="5"/>
  <c r="B240" i="5"/>
  <c r="C240" i="5"/>
  <c r="A241" i="5"/>
  <c r="B241" i="5"/>
  <c r="C241" i="5"/>
  <c r="A242" i="5"/>
  <c r="B242" i="5"/>
  <c r="C242" i="5"/>
  <c r="A243" i="5"/>
  <c r="B243" i="5"/>
  <c r="C243" i="5"/>
  <c r="A244" i="5"/>
  <c r="B244" i="5"/>
  <c r="C244" i="5"/>
  <c r="A245" i="5"/>
  <c r="B245" i="5"/>
  <c r="C245" i="5"/>
  <c r="A246" i="5"/>
  <c r="B246" i="5"/>
  <c r="C246" i="5"/>
  <c r="A247" i="5"/>
  <c r="B247" i="5"/>
  <c r="C247" i="5"/>
  <c r="A248" i="5"/>
  <c r="B248" i="5"/>
  <c r="C248" i="5"/>
  <c r="A249" i="5"/>
  <c r="B249" i="5"/>
  <c r="C249" i="5"/>
  <c r="A250" i="5"/>
  <c r="B250" i="5"/>
  <c r="C250" i="5"/>
  <c r="A251" i="5"/>
  <c r="B251" i="5"/>
  <c r="C251" i="5"/>
  <c r="A252" i="5"/>
  <c r="B252" i="5"/>
  <c r="C252" i="5"/>
  <c r="A253" i="5"/>
  <c r="B253" i="5"/>
  <c r="C253" i="5"/>
  <c r="A254" i="5"/>
  <c r="B254" i="5"/>
  <c r="C254" i="5"/>
  <c r="A255" i="5"/>
  <c r="B255" i="5"/>
  <c r="C255" i="5"/>
  <c r="A256" i="5"/>
  <c r="B256" i="5"/>
  <c r="C256" i="5"/>
  <c r="A257" i="5"/>
  <c r="B257" i="5"/>
  <c r="C257" i="5"/>
  <c r="A258" i="5"/>
  <c r="B258" i="5"/>
  <c r="C258" i="5"/>
  <c r="A259" i="5"/>
  <c r="B259" i="5"/>
  <c r="C259" i="5"/>
  <c r="A260" i="5"/>
  <c r="B260" i="5"/>
  <c r="C260" i="5"/>
  <c r="A261" i="5"/>
  <c r="B261" i="5"/>
  <c r="C261" i="5"/>
  <c r="A262" i="5"/>
  <c r="B262" i="5"/>
  <c r="C262" i="5"/>
  <c r="A263" i="5"/>
  <c r="B263" i="5"/>
  <c r="C263" i="5"/>
  <c r="A264" i="5"/>
  <c r="B264" i="5"/>
  <c r="C264" i="5"/>
  <c r="A265" i="5"/>
  <c r="B265" i="5"/>
  <c r="C265" i="5"/>
  <c r="A266" i="5"/>
  <c r="B266" i="5"/>
  <c r="C266" i="5"/>
  <c r="A267" i="5"/>
  <c r="B267" i="5"/>
  <c r="C267" i="5"/>
  <c r="A268" i="5"/>
  <c r="B268" i="5"/>
  <c r="C268" i="5"/>
  <c r="A269" i="5"/>
  <c r="B269" i="5"/>
  <c r="C269" i="5"/>
  <c r="A270" i="5"/>
  <c r="B270" i="5"/>
  <c r="C270" i="5"/>
  <c r="A271" i="5"/>
  <c r="B271" i="5"/>
  <c r="C271" i="5"/>
  <c r="A272" i="5"/>
  <c r="B272" i="5"/>
  <c r="C272" i="5"/>
  <c r="A273" i="5"/>
  <c r="B273" i="5"/>
  <c r="C273" i="5"/>
  <c r="A274" i="5"/>
  <c r="B274" i="5"/>
  <c r="C274" i="5"/>
  <c r="A275" i="5"/>
  <c r="B275" i="5"/>
  <c r="C275" i="5"/>
  <c r="A276" i="5"/>
  <c r="B276" i="5"/>
  <c r="C276" i="5"/>
  <c r="A277" i="5"/>
  <c r="B277" i="5"/>
  <c r="C277" i="5"/>
  <c r="A278" i="5"/>
  <c r="B278" i="5"/>
  <c r="C278" i="5"/>
  <c r="A279" i="5"/>
  <c r="B279" i="5"/>
  <c r="C279" i="5"/>
  <c r="A280" i="5"/>
  <c r="B280" i="5"/>
  <c r="C280" i="5"/>
  <c r="A281" i="5"/>
  <c r="B281" i="5"/>
  <c r="C281" i="5"/>
  <c r="A282" i="5"/>
  <c r="B282" i="5"/>
  <c r="C282" i="5"/>
  <c r="A283" i="5"/>
  <c r="B283" i="5"/>
  <c r="C283" i="5"/>
  <c r="A284" i="5"/>
  <c r="B284" i="5"/>
  <c r="C284" i="5"/>
  <c r="A285" i="5"/>
  <c r="B285" i="5"/>
  <c r="C285" i="5"/>
  <c r="A286" i="5"/>
  <c r="B286" i="5"/>
  <c r="C286" i="5"/>
  <c r="A287" i="5"/>
  <c r="B287" i="5"/>
  <c r="C287" i="5"/>
  <c r="A288" i="5"/>
  <c r="B288" i="5"/>
  <c r="C288" i="5"/>
  <c r="A289" i="5"/>
  <c r="B289" i="5"/>
  <c r="C289" i="5"/>
  <c r="A290" i="5"/>
  <c r="B290" i="5"/>
  <c r="C290" i="5"/>
  <c r="A291" i="5"/>
  <c r="B291" i="5"/>
  <c r="C291" i="5"/>
  <c r="A292" i="5"/>
  <c r="B292" i="5"/>
  <c r="C292" i="5"/>
  <c r="CM33" i="4" l="1"/>
  <c r="CM34" i="4"/>
  <c r="CM35" i="4"/>
  <c r="CM36" i="4"/>
  <c r="CM37" i="4"/>
  <c r="CM38" i="4"/>
  <c r="CM39" i="4"/>
  <c r="CM40" i="4"/>
  <c r="CM41" i="4"/>
  <c r="CM42" i="4"/>
  <c r="CM43" i="4"/>
  <c r="CM44" i="4"/>
  <c r="CM45" i="4"/>
  <c r="CM46" i="4"/>
  <c r="CM47" i="4"/>
  <c r="CM48" i="4"/>
  <c r="CM49" i="4"/>
  <c r="CM50" i="4"/>
  <c r="CM51" i="4"/>
  <c r="CM52" i="4"/>
  <c r="CM53" i="4"/>
  <c r="CM54" i="4"/>
  <c r="CM55" i="4"/>
  <c r="CM56" i="4"/>
  <c r="CM57" i="4"/>
  <c r="CM58" i="4"/>
  <c r="CM59" i="4"/>
  <c r="CM60" i="4"/>
  <c r="CM61" i="4"/>
  <c r="CM62" i="4"/>
  <c r="CM63" i="4"/>
  <c r="CM64" i="4"/>
  <c r="CM65" i="4"/>
  <c r="CM66" i="4"/>
  <c r="CM67" i="4"/>
  <c r="CM68" i="4"/>
  <c r="CM69" i="4"/>
  <c r="CM70" i="4"/>
  <c r="CM71" i="4"/>
  <c r="CM72" i="4"/>
  <c r="CM73" i="4"/>
  <c r="CM74" i="4"/>
  <c r="CM75" i="4"/>
  <c r="CM76" i="4"/>
  <c r="CM77" i="4"/>
  <c r="CM78" i="4"/>
  <c r="CM79" i="4"/>
  <c r="CM80" i="4"/>
  <c r="CM81" i="4"/>
  <c r="CM82" i="4"/>
  <c r="CM83" i="4"/>
  <c r="CM84" i="4"/>
  <c r="CM85" i="4"/>
  <c r="CM86" i="4"/>
  <c r="CM87" i="4"/>
  <c r="CM88" i="4"/>
  <c r="CM89" i="4"/>
  <c r="CM90" i="4"/>
  <c r="CM91" i="4"/>
  <c r="CM92" i="4"/>
  <c r="CM93" i="4"/>
  <c r="CM94" i="4"/>
  <c r="CM95" i="4"/>
  <c r="CM96" i="4"/>
  <c r="CM97" i="4"/>
  <c r="CM98" i="4"/>
  <c r="CM99" i="4"/>
  <c r="CM100" i="4"/>
  <c r="CM101" i="4"/>
  <c r="CM102" i="4"/>
  <c r="CM103" i="4"/>
  <c r="CM104" i="4"/>
  <c r="CM105" i="4"/>
  <c r="CM106" i="4"/>
  <c r="CM107" i="4"/>
  <c r="CM108" i="4"/>
  <c r="CM109" i="4"/>
  <c r="CM110" i="4"/>
  <c r="CM111" i="4"/>
  <c r="CM112" i="4"/>
  <c r="CM113" i="4"/>
  <c r="CM114" i="4"/>
  <c r="CM115" i="4"/>
  <c r="CM116" i="4"/>
  <c r="CM117" i="4"/>
  <c r="CM118" i="4"/>
  <c r="CM119" i="4"/>
  <c r="CM120" i="4"/>
  <c r="CM121" i="4"/>
  <c r="CM122" i="4"/>
  <c r="CM123" i="4"/>
  <c r="CM124" i="4"/>
  <c r="CM125" i="4"/>
  <c r="CM126" i="4"/>
  <c r="CM127" i="4"/>
  <c r="CM128" i="4"/>
  <c r="CM129" i="4"/>
  <c r="CM130" i="4"/>
  <c r="CM131" i="4"/>
  <c r="CM132" i="4"/>
  <c r="CM133" i="4"/>
  <c r="CM134" i="4"/>
  <c r="CM135" i="4"/>
  <c r="CM136" i="4"/>
  <c r="CM137" i="4"/>
  <c r="CM138" i="4"/>
  <c r="CM139" i="4"/>
  <c r="CM140" i="4"/>
  <c r="CM141" i="4"/>
  <c r="CM142" i="4"/>
  <c r="CM143" i="4"/>
  <c r="CM144" i="4"/>
  <c r="CM145" i="4"/>
  <c r="CM146" i="4"/>
  <c r="CM147" i="4"/>
  <c r="CM148" i="4"/>
  <c r="CM149" i="4"/>
  <c r="CM150" i="4"/>
  <c r="CM151" i="4"/>
  <c r="CM152" i="4"/>
  <c r="CM153" i="4"/>
  <c r="CM154" i="4"/>
  <c r="CM155" i="4"/>
  <c r="CM156" i="4"/>
  <c r="CM157" i="4"/>
  <c r="CM158" i="4"/>
  <c r="CM159" i="4"/>
  <c r="CM160" i="4"/>
  <c r="CM161" i="4"/>
  <c r="CM162" i="4"/>
  <c r="CM163" i="4"/>
  <c r="CM164" i="4"/>
  <c r="CM165" i="4"/>
  <c r="CM166" i="4"/>
  <c r="CM167" i="4"/>
  <c r="CM168" i="4"/>
  <c r="CM169" i="4"/>
  <c r="CM170" i="4"/>
  <c r="CM171" i="4"/>
  <c r="CM172" i="4"/>
  <c r="CM173" i="4"/>
  <c r="CM174" i="4"/>
  <c r="CM175" i="4"/>
  <c r="CM176" i="4"/>
  <c r="CM177" i="4"/>
  <c r="CM178" i="4"/>
  <c r="CM179" i="4"/>
  <c r="CM180" i="4"/>
  <c r="CM181" i="4"/>
  <c r="CM182" i="4"/>
  <c r="CM183" i="4"/>
  <c r="CM184" i="4"/>
  <c r="CM185" i="4"/>
  <c r="CM186" i="4"/>
  <c r="CM187" i="4"/>
  <c r="CM188" i="4"/>
  <c r="CM189" i="4"/>
  <c r="CM190" i="4"/>
  <c r="CM191" i="4"/>
  <c r="CM192" i="4"/>
  <c r="CM193" i="4"/>
  <c r="CM194" i="4"/>
  <c r="CM195" i="4"/>
  <c r="CM196" i="4"/>
  <c r="CM197" i="4"/>
  <c r="CM198" i="4"/>
  <c r="CM199" i="4"/>
  <c r="CM32" i="4"/>
  <c r="BB32" i="4" l="1"/>
  <c r="B7" i="4"/>
  <c r="G7" i="4" s="1"/>
  <c r="C7" i="4"/>
  <c r="B8" i="4"/>
  <c r="Z8" i="4" s="1"/>
  <c r="C8" i="4"/>
  <c r="B9" i="4"/>
  <c r="AG9" i="4" s="1"/>
  <c r="C9" i="4"/>
  <c r="B10" i="4"/>
  <c r="C10" i="4"/>
  <c r="B11" i="4"/>
  <c r="V11" i="4" s="1"/>
  <c r="C11" i="4"/>
  <c r="B12" i="4"/>
  <c r="T12" i="4" s="1"/>
  <c r="C12" i="4"/>
  <c r="B13" i="4"/>
  <c r="K13" i="4" s="1"/>
  <c r="C13" i="4"/>
  <c r="B14" i="4"/>
  <c r="R14" i="4" s="1"/>
  <c r="C14" i="4"/>
  <c r="B15" i="4"/>
  <c r="G15" i="4" s="1"/>
  <c r="C15" i="4"/>
  <c r="B16" i="4"/>
  <c r="Z16" i="4" s="1"/>
  <c r="C16" i="4"/>
  <c r="B17" i="4"/>
  <c r="Z17" i="4" s="1"/>
  <c r="C17" i="4"/>
  <c r="B18" i="4"/>
  <c r="L18" i="4" s="1"/>
  <c r="C18" i="4"/>
  <c r="AZ18" i="4"/>
  <c r="B19" i="4"/>
  <c r="J19" i="4" s="1"/>
  <c r="C19" i="4"/>
  <c r="Q19" i="4"/>
  <c r="Y19" i="4"/>
  <c r="AG19" i="4"/>
  <c r="AW19" i="4"/>
  <c r="B20" i="4"/>
  <c r="G20" i="4" s="1"/>
  <c r="C20" i="4"/>
  <c r="J20" i="4"/>
  <c r="R20" i="4"/>
  <c r="AE20" i="4"/>
  <c r="AM20" i="4"/>
  <c r="AZ20" i="4"/>
  <c r="B21" i="4"/>
  <c r="I21" i="4" s="1"/>
  <c r="C21" i="4"/>
  <c r="K21" i="4"/>
  <c r="Q21" i="4"/>
  <c r="Y21" i="4"/>
  <c r="AD21" i="4"/>
  <c r="AM21" i="4"/>
  <c r="AS21" i="4"/>
  <c r="B22" i="4"/>
  <c r="E22" i="4" s="1"/>
  <c r="C22" i="4"/>
  <c r="B23" i="4"/>
  <c r="J23" i="4" s="1"/>
  <c r="C23" i="4"/>
  <c r="AO23" i="4"/>
  <c r="B24" i="4"/>
  <c r="R24" i="4" s="1"/>
  <c r="C24" i="4"/>
  <c r="B25" i="4"/>
  <c r="N25" i="4" s="1"/>
  <c r="C25" i="4"/>
  <c r="B26" i="4"/>
  <c r="L26" i="4" s="1"/>
  <c r="C26" i="4"/>
  <c r="T26" i="4"/>
  <c r="AB26" i="4"/>
  <c r="AK26" i="4"/>
  <c r="B27" i="4"/>
  <c r="S27" i="4" s="1"/>
  <c r="C27" i="4"/>
  <c r="B28" i="4"/>
  <c r="S28" i="4" s="1"/>
  <c r="C28" i="4"/>
  <c r="B29" i="4"/>
  <c r="I29" i="4" s="1"/>
  <c r="C29" i="4"/>
  <c r="AL29" i="4"/>
  <c r="B30" i="4"/>
  <c r="G30" i="4" s="1"/>
  <c r="C30" i="4"/>
  <c r="D30" i="4"/>
  <c r="N30" i="4"/>
  <c r="Y30" i="4"/>
  <c r="AT30" i="4"/>
  <c r="AZ30" i="4"/>
  <c r="BC35" i="4"/>
  <c r="BI1" i="4" a="1"/>
  <c r="BI1" i="4" s="1"/>
  <c r="BI129" i="4" s="1"/>
  <c r="AT21" i="4" l="1"/>
  <c r="AG21" i="4"/>
  <c r="R21" i="4"/>
  <c r="AP20" i="4"/>
  <c r="T20" i="4"/>
  <c r="AB18" i="4"/>
  <c r="AH9" i="4"/>
  <c r="AJ30" i="4"/>
  <c r="AX24" i="4"/>
  <c r="AY21" i="4"/>
  <c r="AL21" i="4"/>
  <c r="W21" i="4"/>
  <c r="AX20" i="4"/>
  <c r="AB20" i="4"/>
  <c r="AO19" i="4"/>
  <c r="I19" i="4"/>
  <c r="AV18" i="4"/>
  <c r="AO13" i="4"/>
  <c r="AR30" i="4"/>
  <c r="AG30" i="4"/>
  <c r="V30" i="4"/>
  <c r="L30" i="4"/>
  <c r="AO30" i="4"/>
  <c r="AD30" i="4"/>
  <c r="T30" i="4"/>
  <c r="I30" i="4"/>
  <c r="AW30" i="4"/>
  <c r="AL30" i="4"/>
  <c r="AB30" i="4"/>
  <c r="Q30" i="4"/>
  <c r="F30" i="4"/>
  <c r="AR29" i="4"/>
  <c r="AV26" i="4"/>
  <c r="I26" i="4"/>
  <c r="BA23" i="4"/>
  <c r="U18" i="4"/>
  <c r="V13" i="4"/>
  <c r="AX13" i="4"/>
  <c r="AH13" i="4"/>
  <c r="G13" i="4"/>
  <c r="L9" i="4"/>
  <c r="AW13" i="4"/>
  <c r="AA13" i="4"/>
  <c r="AR9" i="4"/>
  <c r="AW7" i="4"/>
  <c r="X9" i="4"/>
  <c r="AI13" i="4"/>
  <c r="R13" i="4"/>
  <c r="AQ13" i="4"/>
  <c r="AC13" i="4"/>
  <c r="J13" i="4"/>
  <c r="AC12" i="4"/>
  <c r="AS9" i="4"/>
  <c r="V9" i="4"/>
  <c r="X7" i="4"/>
  <c r="BA11" i="4"/>
  <c r="AB7" i="4"/>
  <c r="AN7" i="4"/>
  <c r="H7" i="4"/>
  <c r="Y13" i="4"/>
  <c r="AT13" i="4"/>
  <c r="AM13" i="4"/>
  <c r="AG13" i="4"/>
  <c r="O13" i="4"/>
  <c r="F13" i="4"/>
  <c r="AL11" i="4"/>
  <c r="AY13" i="4"/>
  <c r="AS13" i="4"/>
  <c r="AL13" i="4"/>
  <c r="AD13" i="4"/>
  <c r="W13" i="4"/>
  <c r="N13" i="4"/>
  <c r="U11" i="4"/>
  <c r="AR7" i="4"/>
  <c r="Q7" i="4"/>
  <c r="W25" i="4"/>
  <c r="Z23" i="4"/>
  <c r="AO18" i="4"/>
  <c r="N18" i="4"/>
  <c r="AH17" i="4"/>
  <c r="BA13" i="4"/>
  <c r="AU13" i="4"/>
  <c r="AP13" i="4"/>
  <c r="AK13" i="4"/>
  <c r="AE13" i="4"/>
  <c r="Z13" i="4"/>
  <c r="S13" i="4"/>
  <c r="AS11" i="4"/>
  <c r="AC11" i="4"/>
  <c r="J11" i="4"/>
  <c r="AR26" i="4"/>
  <c r="AJ26" i="4"/>
  <c r="Z26" i="4"/>
  <c r="P26" i="4"/>
  <c r="F26" i="4"/>
  <c r="AX25" i="4"/>
  <c r="AU11" i="4"/>
  <c r="AE11" i="4"/>
  <c r="M11" i="4"/>
  <c r="W29" i="4"/>
  <c r="AZ26" i="4"/>
  <c r="AP26" i="4"/>
  <c r="AG26" i="4"/>
  <c r="V26" i="4"/>
  <c r="N26" i="4"/>
  <c r="E26" i="4"/>
  <c r="AW26" i="4"/>
  <c r="AO26" i="4"/>
  <c r="AD26" i="4"/>
  <c r="U26" i="4"/>
  <c r="BA18" i="4"/>
  <c r="AJ18" i="4"/>
  <c r="AM14" i="4"/>
  <c r="AM11" i="4"/>
  <c r="AH27" i="4"/>
  <c r="O27" i="4"/>
  <c r="M23" i="4"/>
  <c r="Y23" i="4"/>
  <c r="AH23" i="4"/>
  <c r="AS23" i="4"/>
  <c r="AD27" i="4"/>
  <c r="AS25" i="4"/>
  <c r="R25" i="4"/>
  <c r="J17" i="4"/>
  <c r="N17" i="4"/>
  <c r="AP17" i="4"/>
  <c r="AB14" i="4"/>
  <c r="L10" i="4"/>
  <c r="AJ10" i="4"/>
  <c r="G9" i="4"/>
  <c r="D9" i="4"/>
  <c r="I9" i="4"/>
  <c r="N9" i="4"/>
  <c r="T9" i="4"/>
  <c r="Y9" i="4"/>
  <c r="AD9" i="4"/>
  <c r="AJ9" i="4"/>
  <c r="AO9" i="4"/>
  <c r="AT9" i="4"/>
  <c r="AZ9" i="4"/>
  <c r="E9" i="4"/>
  <c r="J9" i="4"/>
  <c r="P9" i="4"/>
  <c r="U9" i="4"/>
  <c r="Z9" i="4"/>
  <c r="AF9" i="4"/>
  <c r="AK9" i="4"/>
  <c r="AP9" i="4"/>
  <c r="AV9" i="4"/>
  <c r="BA9" i="4"/>
  <c r="K29" i="4"/>
  <c r="AD29" i="4"/>
  <c r="AS27" i="4"/>
  <c r="Z27" i="4"/>
  <c r="E27" i="4"/>
  <c r="AI25" i="4"/>
  <c r="AW23" i="4"/>
  <c r="AG23" i="4"/>
  <c r="R23" i="4"/>
  <c r="E23" i="4"/>
  <c r="AG22" i="4"/>
  <c r="E18" i="4"/>
  <c r="F18" i="4"/>
  <c r="Z18" i="4"/>
  <c r="AP18" i="4"/>
  <c r="V17" i="4"/>
  <c r="D13" i="4"/>
  <c r="H13" i="4"/>
  <c r="L13" i="4"/>
  <c r="P13" i="4"/>
  <c r="T13" i="4"/>
  <c r="X13" i="4"/>
  <c r="AB13" i="4"/>
  <c r="AF13" i="4"/>
  <c r="AJ13" i="4"/>
  <c r="AN13" i="4"/>
  <c r="AR13" i="4"/>
  <c r="AV13" i="4"/>
  <c r="AZ13" i="4"/>
  <c r="E13" i="4"/>
  <c r="I13" i="4"/>
  <c r="M13" i="4"/>
  <c r="Q13" i="4"/>
  <c r="U13" i="4"/>
  <c r="D12" i="4"/>
  <c r="AL12" i="4"/>
  <c r="I12" i="4"/>
  <c r="AW12" i="4"/>
  <c r="AX9" i="4"/>
  <c r="AN9" i="4"/>
  <c r="AC9" i="4"/>
  <c r="R9" i="4"/>
  <c r="H9" i="4"/>
  <c r="I25" i="4"/>
  <c r="AC25" i="4"/>
  <c r="AT25" i="4"/>
  <c r="AU27" i="4"/>
  <c r="M27" i="4"/>
  <c r="AX23" i="4"/>
  <c r="AK23" i="4"/>
  <c r="U23" i="4"/>
  <c r="I23" i="4"/>
  <c r="AW22" i="4"/>
  <c r="AW29" i="4"/>
  <c r="Q29" i="4"/>
  <c r="AO27" i="4"/>
  <c r="D26" i="4"/>
  <c r="J26" i="4"/>
  <c r="Q26" i="4"/>
  <c r="Y26" i="4"/>
  <c r="AF26" i="4"/>
  <c r="AL26" i="4"/>
  <c r="AT26" i="4"/>
  <c r="BA26" i="4"/>
  <c r="AH25" i="4"/>
  <c r="AP23" i="4"/>
  <c r="AC23" i="4"/>
  <c r="Q23" i="4"/>
  <c r="AW17" i="4"/>
  <c r="F17" i="4"/>
  <c r="AC15" i="4"/>
  <c r="AK15" i="4"/>
  <c r="E11" i="4"/>
  <c r="F11" i="4"/>
  <c r="O11" i="4"/>
  <c r="W11" i="4"/>
  <c r="AH11" i="4"/>
  <c r="AP11" i="4"/>
  <c r="AW11" i="4"/>
  <c r="G11" i="4"/>
  <c r="Q11" i="4"/>
  <c r="AA11" i="4"/>
  <c r="AK11" i="4"/>
  <c r="AQ11" i="4"/>
  <c r="AX11" i="4"/>
  <c r="AW9" i="4"/>
  <c r="AL9" i="4"/>
  <c r="AB9" i="4"/>
  <c r="Q9" i="4"/>
  <c r="F9" i="4"/>
  <c r="G27" i="4"/>
  <c r="I27" i="4"/>
  <c r="W27" i="4"/>
  <c r="AK27" i="4"/>
  <c r="AY27" i="4"/>
  <c r="AF16" i="4"/>
  <c r="AU16" i="4"/>
  <c r="W14" i="4"/>
  <c r="G14" i="4"/>
  <c r="AX14" i="4"/>
  <c r="M9" i="4"/>
  <c r="AG7" i="4"/>
  <c r="L7" i="4"/>
  <c r="AV7" i="4"/>
  <c r="AJ7" i="4"/>
  <c r="Y7" i="4"/>
  <c r="P7" i="4"/>
  <c r="AZ7" i="4"/>
  <c r="AO7" i="4"/>
  <c r="AF7" i="4"/>
  <c r="T7" i="4"/>
  <c r="I7" i="4"/>
  <c r="AX30" i="4"/>
  <c r="AS30" i="4"/>
  <c r="AN30" i="4"/>
  <c r="AH30" i="4"/>
  <c r="AC30" i="4"/>
  <c r="X30" i="4"/>
  <c r="R30" i="4"/>
  <c r="M30" i="4"/>
  <c r="H30" i="4"/>
  <c r="AS29" i="4"/>
  <c r="AG29" i="4"/>
  <c r="R29" i="4"/>
  <c r="BA27" i="4"/>
  <c r="AT27" i="4"/>
  <c r="AM27" i="4"/>
  <c r="AE27" i="4"/>
  <c r="Y27" i="4"/>
  <c r="R27" i="4"/>
  <c r="J27" i="4"/>
  <c r="AM25" i="4"/>
  <c r="Y25" i="4"/>
  <c r="AB24" i="4"/>
  <c r="AT18" i="4"/>
  <c r="AG18" i="4"/>
  <c r="T18" i="4"/>
  <c r="AT17" i="4"/>
  <c r="AG17" i="4"/>
  <c r="Q17" i="4"/>
  <c r="AN16" i="4"/>
  <c r="X16" i="4"/>
  <c r="AX15" i="4"/>
  <c r="AS12" i="4"/>
  <c r="AJ12" i="4"/>
  <c r="AB12" i="4"/>
  <c r="Q12" i="4"/>
  <c r="H12" i="4"/>
  <c r="BA7" i="4"/>
  <c r="AS7" i="4"/>
  <c r="AK7" i="4"/>
  <c r="AC7" i="4"/>
  <c r="U7" i="4"/>
  <c r="M7" i="4"/>
  <c r="AL16" i="4"/>
  <c r="P16" i="4"/>
  <c r="AZ12" i="4"/>
  <c r="AR12" i="4"/>
  <c r="AH12" i="4"/>
  <c r="X12" i="4"/>
  <c r="N12" i="4"/>
  <c r="F12" i="4"/>
  <c r="BA30" i="4"/>
  <c r="AV30" i="4"/>
  <c r="AP30" i="4"/>
  <c r="AK30" i="4"/>
  <c r="AF30" i="4"/>
  <c r="Z30" i="4"/>
  <c r="U30" i="4"/>
  <c r="P30" i="4"/>
  <c r="J30" i="4"/>
  <c r="E30" i="4"/>
  <c r="AY29" i="4"/>
  <c r="AM29" i="4"/>
  <c r="Y29" i="4"/>
  <c r="AX27" i="4"/>
  <c r="AP27" i="4"/>
  <c r="AI27" i="4"/>
  <c r="AC27" i="4"/>
  <c r="U27" i="4"/>
  <c r="N27" i="4"/>
  <c r="AR22" i="4"/>
  <c r="AL17" i="4"/>
  <c r="Y17" i="4"/>
  <c r="AZ16" i="4"/>
  <c r="V15" i="4"/>
  <c r="AX12" i="4"/>
  <c r="AO12" i="4"/>
  <c r="AD12" i="4"/>
  <c r="V12" i="4"/>
  <c r="M12" i="4"/>
  <c r="AX28" i="4"/>
  <c r="AI28" i="4"/>
  <c r="H28" i="4"/>
  <c r="W28" i="4"/>
  <c r="AH28" i="4"/>
  <c r="AR28" i="4"/>
  <c r="X28" i="4"/>
  <c r="AM28" i="4"/>
  <c r="AY28" i="4"/>
  <c r="N28" i="4"/>
  <c r="AB28" i="4"/>
  <c r="AN28" i="4"/>
  <c r="R28" i="4"/>
  <c r="AD28" i="4"/>
  <c r="AT28" i="4"/>
  <c r="W24" i="4"/>
  <c r="AR24" i="4"/>
  <c r="AT19" i="4"/>
  <c r="AL19" i="4"/>
  <c r="AD19" i="4"/>
  <c r="V19" i="4"/>
  <c r="N19" i="4"/>
  <c r="F19" i="4"/>
  <c r="H16" i="4"/>
  <c r="E16" i="4"/>
  <c r="L16" i="4"/>
  <c r="R16" i="4"/>
  <c r="W16" i="4"/>
  <c r="AB16" i="4"/>
  <c r="AH16" i="4"/>
  <c r="AM16" i="4"/>
  <c r="AR16" i="4"/>
  <c r="AX16" i="4"/>
  <c r="J16" i="4"/>
  <c r="S16" i="4"/>
  <c r="D16" i="4"/>
  <c r="N16" i="4"/>
  <c r="T16" i="4"/>
  <c r="AA16" i="4"/>
  <c r="AI16" i="4"/>
  <c r="AP16" i="4"/>
  <c r="AV16" i="4"/>
  <c r="F16" i="4"/>
  <c r="O16" i="4"/>
  <c r="V16" i="4"/>
  <c r="AD16" i="4"/>
  <c r="AJ16" i="4"/>
  <c r="AQ16" i="4"/>
  <c r="AY16" i="4"/>
  <c r="E29" i="4"/>
  <c r="J29" i="4"/>
  <c r="O29" i="4"/>
  <c r="U29" i="4"/>
  <c r="Z29" i="4"/>
  <c r="AE29" i="4"/>
  <c r="AK29" i="4"/>
  <c r="AP29" i="4"/>
  <c r="AT29" i="4"/>
  <c r="AX29" i="4"/>
  <c r="AV29" i="4"/>
  <c r="D27" i="4"/>
  <c r="H27" i="4"/>
  <c r="L27" i="4"/>
  <c r="P27" i="4"/>
  <c r="T27" i="4"/>
  <c r="X27" i="4"/>
  <c r="AB27" i="4"/>
  <c r="AF27" i="4"/>
  <c r="AJ27" i="4"/>
  <c r="AN27" i="4"/>
  <c r="AR27" i="4"/>
  <c r="AV27" i="4"/>
  <c r="AZ27" i="4"/>
  <c r="AM24" i="4"/>
  <c r="L24" i="4"/>
  <c r="G23" i="4"/>
  <c r="K23" i="4"/>
  <c r="O23" i="4"/>
  <c r="S23" i="4"/>
  <c r="W23" i="4"/>
  <c r="AA23" i="4"/>
  <c r="AE23" i="4"/>
  <c r="AI23" i="4"/>
  <c r="AM23" i="4"/>
  <c r="AQ23" i="4"/>
  <c r="AU23" i="4"/>
  <c r="AY23" i="4"/>
  <c r="D23" i="4"/>
  <c r="H23" i="4"/>
  <c r="L23" i="4"/>
  <c r="P23" i="4"/>
  <c r="T23" i="4"/>
  <c r="X23" i="4"/>
  <c r="AB23" i="4"/>
  <c r="AF23" i="4"/>
  <c r="AJ23" i="4"/>
  <c r="AN23" i="4"/>
  <c r="AR23" i="4"/>
  <c r="AV23" i="4"/>
  <c r="AZ23" i="4"/>
  <c r="BA19" i="4"/>
  <c r="AS19" i="4"/>
  <c r="AK19" i="4"/>
  <c r="AC19" i="4"/>
  <c r="U19" i="4"/>
  <c r="M19" i="4"/>
  <c r="E19" i="4"/>
  <c r="I15" i="4"/>
  <c r="N15" i="4"/>
  <c r="S15" i="4"/>
  <c r="Y15" i="4"/>
  <c r="AD15" i="4"/>
  <c r="AI15" i="4"/>
  <c r="AO15" i="4"/>
  <c r="AT15" i="4"/>
  <c r="AY15" i="4"/>
  <c r="J15" i="4"/>
  <c r="Q15" i="4"/>
  <c r="W15" i="4"/>
  <c r="AE15" i="4"/>
  <c r="AL15" i="4"/>
  <c r="AS15" i="4"/>
  <c r="BA15" i="4"/>
  <c r="E15" i="4"/>
  <c r="K15" i="4"/>
  <c r="R15" i="4"/>
  <c r="Z15" i="4"/>
  <c r="AG15" i="4"/>
  <c r="AM15" i="4"/>
  <c r="AU15" i="4"/>
  <c r="F15" i="4"/>
  <c r="M15" i="4"/>
  <c r="U15" i="4"/>
  <c r="AA15" i="4"/>
  <c r="AH15" i="4"/>
  <c r="AP15" i="4"/>
  <c r="AW15" i="4"/>
  <c r="BA29" i="4"/>
  <c r="AQ29" i="4"/>
  <c r="AI29" i="4"/>
  <c r="AC29" i="4"/>
  <c r="V29" i="4"/>
  <c r="N29" i="4"/>
  <c r="G29" i="4"/>
  <c r="AZ29" i="4"/>
  <c r="AU29" i="4"/>
  <c r="AO29" i="4"/>
  <c r="AH29" i="4"/>
  <c r="AA29" i="4"/>
  <c r="S29" i="4"/>
  <c r="M29" i="4"/>
  <c r="F29" i="4"/>
  <c r="AW27" i="4"/>
  <c r="AQ27" i="4"/>
  <c r="AL27" i="4"/>
  <c r="AG27" i="4"/>
  <c r="AA27" i="4"/>
  <c r="V27" i="4"/>
  <c r="Q27" i="4"/>
  <c r="K27" i="4"/>
  <c r="F27" i="4"/>
  <c r="H26" i="4"/>
  <c r="M26" i="4"/>
  <c r="R26" i="4"/>
  <c r="X26" i="4"/>
  <c r="AC26" i="4"/>
  <c r="AH26" i="4"/>
  <c r="AN26" i="4"/>
  <c r="AS26" i="4"/>
  <c r="AX26" i="4"/>
  <c r="S25" i="4"/>
  <c r="AD25" i="4"/>
  <c r="AO25" i="4"/>
  <c r="AY25" i="4"/>
  <c r="AH24" i="4"/>
  <c r="G24" i="4"/>
  <c r="AT23" i="4"/>
  <c r="AL23" i="4"/>
  <c r="AD23" i="4"/>
  <c r="V23" i="4"/>
  <c r="N23" i="4"/>
  <c r="F23" i="4"/>
  <c r="E21" i="4"/>
  <c r="F21" i="4"/>
  <c r="M21" i="4"/>
  <c r="S21" i="4"/>
  <c r="AA21" i="4"/>
  <c r="AH21" i="4"/>
  <c r="AO21" i="4"/>
  <c r="AW21" i="4"/>
  <c r="G21" i="4"/>
  <c r="N21" i="4"/>
  <c r="V21" i="4"/>
  <c r="AC21" i="4"/>
  <c r="AI21" i="4"/>
  <c r="AQ21" i="4"/>
  <c r="AX21" i="4"/>
  <c r="H20" i="4"/>
  <c r="L20" i="4"/>
  <c r="W20" i="4"/>
  <c r="AH20" i="4"/>
  <c r="AR20" i="4"/>
  <c r="D20" i="4"/>
  <c r="O20" i="4"/>
  <c r="Z20" i="4"/>
  <c r="AJ20" i="4"/>
  <c r="AU20" i="4"/>
  <c r="AX19" i="4"/>
  <c r="AP19" i="4"/>
  <c r="AH19" i="4"/>
  <c r="Z19" i="4"/>
  <c r="R19" i="4"/>
  <c r="G18" i="4"/>
  <c r="H18" i="4"/>
  <c r="M18" i="4"/>
  <c r="R18" i="4"/>
  <c r="X18" i="4"/>
  <c r="AC18" i="4"/>
  <c r="AH18" i="4"/>
  <c r="AN18" i="4"/>
  <c r="I18" i="4"/>
  <c r="P18" i="4"/>
  <c r="V18" i="4"/>
  <c r="AD18" i="4"/>
  <c r="AK18" i="4"/>
  <c r="AR18" i="4"/>
  <c r="AW18" i="4"/>
  <c r="D18" i="4"/>
  <c r="J18" i="4"/>
  <c r="Q18" i="4"/>
  <c r="Y18" i="4"/>
  <c r="AF18" i="4"/>
  <c r="AL18" i="4"/>
  <c r="AS18" i="4"/>
  <c r="AX18" i="4"/>
  <c r="AT16" i="4"/>
  <c r="AE16" i="4"/>
  <c r="I16" i="4"/>
  <c r="AQ15" i="4"/>
  <c r="O15" i="4"/>
  <c r="G19" i="4"/>
  <c r="K19" i="4"/>
  <c r="O19" i="4"/>
  <c r="S19" i="4"/>
  <c r="W19" i="4"/>
  <c r="AA19" i="4"/>
  <c r="AE19" i="4"/>
  <c r="AI19" i="4"/>
  <c r="AM19" i="4"/>
  <c r="AQ19" i="4"/>
  <c r="AU19" i="4"/>
  <c r="AY19" i="4"/>
  <c r="D19" i="4"/>
  <c r="H19" i="4"/>
  <c r="L19" i="4"/>
  <c r="P19" i="4"/>
  <c r="T19" i="4"/>
  <c r="X19" i="4"/>
  <c r="AB19" i="4"/>
  <c r="AF19" i="4"/>
  <c r="AJ19" i="4"/>
  <c r="AN19" i="4"/>
  <c r="AR19" i="4"/>
  <c r="AV19" i="4"/>
  <c r="AZ19" i="4"/>
  <c r="J10" i="4"/>
  <c r="P10" i="4"/>
  <c r="AF10" i="4"/>
  <c r="AV10" i="4"/>
  <c r="E17" i="4"/>
  <c r="M17" i="4"/>
  <c r="U17" i="4"/>
  <c r="AC17" i="4"/>
  <c r="AK17" i="4"/>
  <c r="AS17" i="4"/>
  <c r="BA17" i="4"/>
  <c r="AT12" i="4"/>
  <c r="AN12" i="4"/>
  <c r="AG12" i="4"/>
  <c r="Y12" i="4"/>
  <c r="R12" i="4"/>
  <c r="L12" i="4"/>
  <c r="AG11" i="4"/>
  <c r="Z11" i="4"/>
  <c r="R11" i="4"/>
  <c r="K11" i="4"/>
  <c r="AZ10" i="4"/>
  <c r="AB10" i="4"/>
  <c r="H10" i="4"/>
  <c r="AL22" i="4"/>
  <c r="AX17" i="4"/>
  <c r="AO17" i="4"/>
  <c r="AD17" i="4"/>
  <c r="R17" i="4"/>
  <c r="I17" i="4"/>
  <c r="AR10" i="4"/>
  <c r="X10" i="4"/>
  <c r="D10" i="4"/>
  <c r="E12" i="4"/>
  <c r="J12" i="4"/>
  <c r="P12" i="4"/>
  <c r="U12" i="4"/>
  <c r="Z12" i="4"/>
  <c r="AF12" i="4"/>
  <c r="AK12" i="4"/>
  <c r="AP12" i="4"/>
  <c r="AV12" i="4"/>
  <c r="BA12" i="4"/>
  <c r="D11" i="4"/>
  <c r="I11" i="4"/>
  <c r="N11" i="4"/>
  <c r="S11" i="4"/>
  <c r="Y11" i="4"/>
  <c r="AD11" i="4"/>
  <c r="AI11" i="4"/>
  <c r="AO11" i="4"/>
  <c r="AT11" i="4"/>
  <c r="AY11" i="4"/>
  <c r="AN10" i="4"/>
  <c r="T10" i="4"/>
  <c r="AY9" i="4"/>
  <c r="AU9" i="4"/>
  <c r="AQ9" i="4"/>
  <c r="AM9" i="4"/>
  <c r="AI9" i="4"/>
  <c r="AE9" i="4"/>
  <c r="AA9" i="4"/>
  <c r="W9" i="4"/>
  <c r="S9" i="4"/>
  <c r="O9" i="4"/>
  <c r="K9" i="4"/>
  <c r="AY7" i="4"/>
  <c r="AU7" i="4"/>
  <c r="AQ7" i="4"/>
  <c r="AM7" i="4"/>
  <c r="AI7" i="4"/>
  <c r="AE7" i="4"/>
  <c r="AA7" i="4"/>
  <c r="W7" i="4"/>
  <c r="S7" i="4"/>
  <c r="O7" i="4"/>
  <c r="K7" i="4"/>
  <c r="F7" i="4"/>
  <c r="AX7" i="4"/>
  <c r="AT7" i="4"/>
  <c r="AP7" i="4"/>
  <c r="AL7" i="4"/>
  <c r="AH7" i="4"/>
  <c r="AD7" i="4"/>
  <c r="Z7" i="4"/>
  <c r="V7" i="4"/>
  <c r="R7" i="4"/>
  <c r="N7" i="4"/>
  <c r="J7" i="4"/>
  <c r="E7" i="4"/>
  <c r="BI170" i="4"/>
  <c r="BI153" i="4"/>
  <c r="BI142" i="4"/>
  <c r="BI133" i="4"/>
  <c r="BI36" i="4"/>
  <c r="BI45" i="4"/>
  <c r="BI46" i="4"/>
  <c r="BI47" i="4"/>
  <c r="BI48" i="4"/>
  <c r="BI50" i="4"/>
  <c r="BI57" i="4"/>
  <c r="BI58" i="4"/>
  <c r="BI63" i="4"/>
  <c r="BI33" i="4"/>
  <c r="BI37" i="4"/>
  <c r="BI39" i="4"/>
  <c r="BI41" i="4"/>
  <c r="BI43" i="4"/>
  <c r="BI44" i="4"/>
  <c r="BI49" i="4"/>
  <c r="BI53" i="4"/>
  <c r="BI55" i="4"/>
  <c r="BI56" i="4"/>
  <c r="BI60" i="4"/>
  <c r="BI51" i="4"/>
  <c r="BI64" i="4"/>
  <c r="BI67" i="4"/>
  <c r="BI68" i="4"/>
  <c r="BI69" i="4"/>
  <c r="BI72" i="4"/>
  <c r="BI73" i="4"/>
  <c r="BI34" i="4"/>
  <c r="BI52" i="4"/>
  <c r="BI54" i="4"/>
  <c r="BI40" i="4"/>
  <c r="BI65" i="4"/>
  <c r="BI70" i="4"/>
  <c r="BI75" i="4"/>
  <c r="BI80" i="4"/>
  <c r="BI35" i="4"/>
  <c r="BI66" i="4"/>
  <c r="BI71" i="4"/>
  <c r="BI76" i="4"/>
  <c r="BI85" i="4"/>
  <c r="BI86" i="4"/>
  <c r="BI99" i="4"/>
  <c r="BI103" i="4"/>
  <c r="BI108" i="4"/>
  <c r="BI112" i="4"/>
  <c r="BI114" i="4"/>
  <c r="BI116" i="4"/>
  <c r="BI118" i="4"/>
  <c r="BI62" i="4"/>
  <c r="BI78" i="4"/>
  <c r="BI79" i="4"/>
  <c r="BI82" i="4"/>
  <c r="BI88" i="4"/>
  <c r="BI90" i="4"/>
  <c r="BI92" i="4"/>
  <c r="BI94" i="4"/>
  <c r="BI98" i="4"/>
  <c r="BI100" i="4"/>
  <c r="BI101" i="4"/>
  <c r="BI102" i="4"/>
  <c r="BI38" i="4"/>
  <c r="BI59" i="4"/>
  <c r="BI61" i="4"/>
  <c r="BI83" i="4"/>
  <c r="BI74" i="4"/>
  <c r="BI81" i="4"/>
  <c r="BI87" i="4"/>
  <c r="BI89" i="4"/>
  <c r="BI91" i="4"/>
  <c r="BI93" i="4"/>
  <c r="BI96" i="4"/>
  <c r="BI105" i="4"/>
  <c r="BI106" i="4"/>
  <c r="BI107" i="4"/>
  <c r="BI95" i="4"/>
  <c r="BI113" i="4"/>
  <c r="BI135" i="4"/>
  <c r="BI138" i="4"/>
  <c r="BI139" i="4"/>
  <c r="BI146" i="4"/>
  <c r="BI147" i="4"/>
  <c r="BI164" i="4"/>
  <c r="BI165" i="4"/>
  <c r="BI166" i="4"/>
  <c r="BI77" i="4"/>
  <c r="BI97" i="4"/>
  <c r="BI119" i="4"/>
  <c r="BI120" i="4"/>
  <c r="BI123" i="4"/>
  <c r="BI124" i="4"/>
  <c r="BI127" i="4"/>
  <c r="BI128" i="4"/>
  <c r="BI130" i="4"/>
  <c r="BI131" i="4"/>
  <c r="BI132" i="4"/>
  <c r="BI136" i="4"/>
  <c r="BI137" i="4"/>
  <c r="BI144" i="4"/>
  <c r="BI145" i="4"/>
  <c r="BI161" i="4"/>
  <c r="BI162" i="4"/>
  <c r="BI163" i="4"/>
  <c r="BI183" i="4"/>
  <c r="BI184" i="4"/>
  <c r="BI187" i="4"/>
  <c r="BI188" i="4"/>
  <c r="BI191" i="4"/>
  <c r="BI192" i="4"/>
  <c r="BI195" i="4"/>
  <c r="BI196" i="4"/>
  <c r="BI198" i="4"/>
  <c r="BI109" i="4"/>
  <c r="BI111" i="4"/>
  <c r="BI117" i="4"/>
  <c r="BI121" i="4"/>
  <c r="BI122" i="4"/>
  <c r="BI134" i="4"/>
  <c r="BI140" i="4"/>
  <c r="BI149" i="4"/>
  <c r="BI171" i="4"/>
  <c r="BI175" i="4"/>
  <c r="BI179" i="4"/>
  <c r="BI189" i="4"/>
  <c r="BI194" i="4"/>
  <c r="BI197" i="4"/>
  <c r="BI32" i="4"/>
  <c r="BI42" i="4"/>
  <c r="BI84" i="4"/>
  <c r="BI104" i="4"/>
  <c r="BI115" i="4"/>
  <c r="BI143" i="4"/>
  <c r="BI150" i="4"/>
  <c r="BI152" i="4"/>
  <c r="BI154" i="4"/>
  <c r="BI156" i="4"/>
  <c r="BI158" i="4"/>
  <c r="BI167" i="4"/>
  <c r="BI168" i="4"/>
  <c r="BI172" i="4"/>
  <c r="BI176" i="4"/>
  <c r="BI180" i="4"/>
  <c r="BI185" i="4"/>
  <c r="BI190" i="4"/>
  <c r="BI110" i="4"/>
  <c r="BI125" i="4"/>
  <c r="BI126" i="4"/>
  <c r="BI141" i="4"/>
  <c r="BI148" i="4"/>
  <c r="BI160" i="4"/>
  <c r="BI169" i="4"/>
  <c r="BI173" i="4"/>
  <c r="BI177" i="4"/>
  <c r="BI181" i="4"/>
  <c r="BI186" i="4"/>
  <c r="BI174" i="4"/>
  <c r="BI151" i="4"/>
  <c r="BI199" i="4"/>
  <c r="BI182" i="4"/>
  <c r="BI155" i="4"/>
  <c r="BI159" i="4"/>
  <c r="BI193" i="4"/>
  <c r="BI178" i="4"/>
  <c r="BI157" i="4"/>
  <c r="E24" i="4"/>
  <c r="I24" i="4"/>
  <c r="M24" i="4"/>
  <c r="Q24" i="4"/>
  <c r="U24" i="4"/>
  <c r="Y24" i="4"/>
  <c r="AC24" i="4"/>
  <c r="AG24" i="4"/>
  <c r="AK24" i="4"/>
  <c r="AO24" i="4"/>
  <c r="AS24" i="4"/>
  <c r="AW24" i="4"/>
  <c r="BA24" i="4"/>
  <c r="E28" i="4"/>
  <c r="I28" i="4"/>
  <c r="M28" i="4"/>
  <c r="Q28" i="4"/>
  <c r="U28" i="4"/>
  <c r="Y28" i="4"/>
  <c r="AC28" i="4"/>
  <c r="AG28" i="4"/>
  <c r="AK28" i="4"/>
  <c r="AO28" i="4"/>
  <c r="AS28" i="4"/>
  <c r="AW28" i="4"/>
  <c r="BA28" i="4"/>
  <c r="D25" i="4"/>
  <c r="H25" i="4"/>
  <c r="L25" i="4"/>
  <c r="P25" i="4"/>
  <c r="T25" i="4"/>
  <c r="X25" i="4"/>
  <c r="AB25" i="4"/>
  <c r="AF25" i="4"/>
  <c r="AJ25" i="4"/>
  <c r="AN25" i="4"/>
  <c r="AR25" i="4"/>
  <c r="AV25" i="4"/>
  <c r="AZ25" i="4"/>
  <c r="AF24" i="4"/>
  <c r="AB22" i="4"/>
  <c r="V22" i="4"/>
  <c r="Q22" i="4"/>
  <c r="L22" i="4"/>
  <c r="F22" i="4"/>
  <c r="E8" i="4"/>
  <c r="I8" i="4"/>
  <c r="M8" i="4"/>
  <c r="Q8" i="4"/>
  <c r="U8" i="4"/>
  <c r="Y8" i="4"/>
  <c r="AC8" i="4"/>
  <c r="AG8" i="4"/>
  <c r="AK8" i="4"/>
  <c r="AO8" i="4"/>
  <c r="AS8" i="4"/>
  <c r="AW8" i="4"/>
  <c r="BA8" i="4"/>
  <c r="G8" i="4"/>
  <c r="K8" i="4"/>
  <c r="O8" i="4"/>
  <c r="S8" i="4"/>
  <c r="W8" i="4"/>
  <c r="AA8" i="4"/>
  <c r="AE8" i="4"/>
  <c r="AI8" i="4"/>
  <c r="AM8" i="4"/>
  <c r="AQ8" i="4"/>
  <c r="AU8" i="4"/>
  <c r="AY8" i="4"/>
  <c r="D8" i="4"/>
  <c r="L8" i="4"/>
  <c r="T8" i="4"/>
  <c r="AB8" i="4"/>
  <c r="AJ8" i="4"/>
  <c r="AR8" i="4"/>
  <c r="AZ8" i="4"/>
  <c r="F8" i="4"/>
  <c r="N8" i="4"/>
  <c r="V8" i="4"/>
  <c r="AD8" i="4"/>
  <c r="AL8" i="4"/>
  <c r="AT8" i="4"/>
  <c r="H8" i="4"/>
  <c r="P8" i="4"/>
  <c r="X8" i="4"/>
  <c r="AF8" i="4"/>
  <c r="AN8" i="4"/>
  <c r="AV8" i="4"/>
  <c r="AY30" i="4"/>
  <c r="AU30" i="4"/>
  <c r="AQ30" i="4"/>
  <c r="AM30" i="4"/>
  <c r="AI30" i="4"/>
  <c r="AE30" i="4"/>
  <c r="AA30" i="4"/>
  <c r="W30" i="4"/>
  <c r="S30" i="4"/>
  <c r="O30" i="4"/>
  <c r="K30" i="4"/>
  <c r="D29" i="4"/>
  <c r="H29" i="4"/>
  <c r="L29" i="4"/>
  <c r="P29" i="4"/>
  <c r="T29" i="4"/>
  <c r="X29" i="4"/>
  <c r="AB29" i="4"/>
  <c r="AF29" i="4"/>
  <c r="AJ29" i="4"/>
  <c r="AN29" i="4"/>
  <c r="AV28" i="4"/>
  <c r="AQ28" i="4"/>
  <c r="AL28" i="4"/>
  <c r="AF28" i="4"/>
  <c r="AA28" i="4"/>
  <c r="V28" i="4"/>
  <c r="P28" i="4"/>
  <c r="K28" i="4"/>
  <c r="F28" i="4"/>
  <c r="G26" i="4"/>
  <c r="K26" i="4"/>
  <c r="O26" i="4"/>
  <c r="S26" i="4"/>
  <c r="W26" i="4"/>
  <c r="AA26" i="4"/>
  <c r="AE26" i="4"/>
  <c r="AI26" i="4"/>
  <c r="AM26" i="4"/>
  <c r="AQ26" i="4"/>
  <c r="AU26" i="4"/>
  <c r="AY26" i="4"/>
  <c r="AW25" i="4"/>
  <c r="AQ25" i="4"/>
  <c r="AL25" i="4"/>
  <c r="AG25" i="4"/>
  <c r="AA25" i="4"/>
  <c r="V25" i="4"/>
  <c r="Q25" i="4"/>
  <c r="K25" i="4"/>
  <c r="F25" i="4"/>
  <c r="AZ24" i="4"/>
  <c r="AU24" i="4"/>
  <c r="AP24" i="4"/>
  <c r="AJ24" i="4"/>
  <c r="AE24" i="4"/>
  <c r="Z24" i="4"/>
  <c r="T24" i="4"/>
  <c r="O24" i="4"/>
  <c r="J24" i="4"/>
  <c r="D24" i="4"/>
  <c r="BA22" i="4"/>
  <c r="AV22" i="4"/>
  <c r="AP22" i="4"/>
  <c r="AK22" i="4"/>
  <c r="AF22" i="4"/>
  <c r="Z22" i="4"/>
  <c r="U22" i="4"/>
  <c r="P22" i="4"/>
  <c r="J22" i="4"/>
  <c r="BA21" i="4"/>
  <c r="AU21" i="4"/>
  <c r="AP21" i="4"/>
  <c r="AK21" i="4"/>
  <c r="AE21" i="4"/>
  <c r="Z21" i="4"/>
  <c r="U21" i="4"/>
  <c r="O21" i="4"/>
  <c r="J21" i="4"/>
  <c r="AY20" i="4"/>
  <c r="AT20" i="4"/>
  <c r="AN20" i="4"/>
  <c r="AI20" i="4"/>
  <c r="AD20" i="4"/>
  <c r="X20" i="4"/>
  <c r="S20" i="4"/>
  <c r="N20" i="4"/>
  <c r="G17" i="4"/>
  <c r="K17" i="4"/>
  <c r="O17" i="4"/>
  <c r="S17" i="4"/>
  <c r="W17" i="4"/>
  <c r="AA17" i="4"/>
  <c r="AE17" i="4"/>
  <c r="AI17" i="4"/>
  <c r="AM17" i="4"/>
  <c r="AQ17" i="4"/>
  <c r="AU17" i="4"/>
  <c r="AY17" i="4"/>
  <c r="D17" i="4"/>
  <c r="H17" i="4"/>
  <c r="L17" i="4"/>
  <c r="P17" i="4"/>
  <c r="T17" i="4"/>
  <c r="X17" i="4"/>
  <c r="AB17" i="4"/>
  <c r="AF17" i="4"/>
  <c r="AJ17" i="4"/>
  <c r="AN17" i="4"/>
  <c r="AR17" i="4"/>
  <c r="AV17" i="4"/>
  <c r="AZ17" i="4"/>
  <c r="AR14" i="4"/>
  <c r="AX8" i="4"/>
  <c r="R8" i="4"/>
  <c r="L28" i="4"/>
  <c r="G28" i="4"/>
  <c r="M25" i="4"/>
  <c r="G25" i="4"/>
  <c r="AV24" i="4"/>
  <c r="AQ24" i="4"/>
  <c r="AL24" i="4"/>
  <c r="AA24" i="4"/>
  <c r="V24" i="4"/>
  <c r="P24" i="4"/>
  <c r="K24" i="4"/>
  <c r="F24" i="4"/>
  <c r="G22" i="4"/>
  <c r="K22" i="4"/>
  <c r="O22" i="4"/>
  <c r="S22" i="4"/>
  <c r="W22" i="4"/>
  <c r="AA22" i="4"/>
  <c r="AE22" i="4"/>
  <c r="AI22" i="4"/>
  <c r="AM22" i="4"/>
  <c r="AQ22" i="4"/>
  <c r="AU22" i="4"/>
  <c r="AY22" i="4"/>
  <c r="AZ28" i="4"/>
  <c r="AU28" i="4"/>
  <c r="AP28" i="4"/>
  <c r="AJ28" i="4"/>
  <c r="AE28" i="4"/>
  <c r="Z28" i="4"/>
  <c r="T28" i="4"/>
  <c r="O28" i="4"/>
  <c r="J28" i="4"/>
  <c r="D28" i="4"/>
  <c r="BA25" i="4"/>
  <c r="AU25" i="4"/>
  <c r="AP25" i="4"/>
  <c r="AK25" i="4"/>
  <c r="AE25" i="4"/>
  <c r="Z25" i="4"/>
  <c r="U25" i="4"/>
  <c r="O25" i="4"/>
  <c r="J25" i="4"/>
  <c r="E25" i="4"/>
  <c r="AY24" i="4"/>
  <c r="AT24" i="4"/>
  <c r="AN24" i="4"/>
  <c r="AI24" i="4"/>
  <c r="AD24" i="4"/>
  <c r="X24" i="4"/>
  <c r="S24" i="4"/>
  <c r="N24" i="4"/>
  <c r="H24" i="4"/>
  <c r="AZ22" i="4"/>
  <c r="AT22" i="4"/>
  <c r="AO22" i="4"/>
  <c r="AJ22" i="4"/>
  <c r="AD22" i="4"/>
  <c r="Y22" i="4"/>
  <c r="T22" i="4"/>
  <c r="N22" i="4"/>
  <c r="I22" i="4"/>
  <c r="D22" i="4"/>
  <c r="E20" i="4"/>
  <c r="I20" i="4"/>
  <c r="M20" i="4"/>
  <c r="Q20" i="4"/>
  <c r="U20" i="4"/>
  <c r="Y20" i="4"/>
  <c r="AC20" i="4"/>
  <c r="AG20" i="4"/>
  <c r="AK20" i="4"/>
  <c r="AO20" i="4"/>
  <c r="AS20" i="4"/>
  <c r="AW20" i="4"/>
  <c r="BA20" i="4"/>
  <c r="E14" i="4"/>
  <c r="I14" i="4"/>
  <c r="M14" i="4"/>
  <c r="Q14" i="4"/>
  <c r="U14" i="4"/>
  <c r="Y14" i="4"/>
  <c r="AC14" i="4"/>
  <c r="AG14" i="4"/>
  <c r="AK14" i="4"/>
  <c r="AO14" i="4"/>
  <c r="AS14" i="4"/>
  <c r="AW14" i="4"/>
  <c r="BA14" i="4"/>
  <c r="H14" i="4"/>
  <c r="N14" i="4"/>
  <c r="S14" i="4"/>
  <c r="X14" i="4"/>
  <c r="AD14" i="4"/>
  <c r="AI14" i="4"/>
  <c r="AN14" i="4"/>
  <c r="AT14" i="4"/>
  <c r="AY14" i="4"/>
  <c r="D14" i="4"/>
  <c r="J14" i="4"/>
  <c r="O14" i="4"/>
  <c r="T14" i="4"/>
  <c r="Z14" i="4"/>
  <c r="AE14" i="4"/>
  <c r="AJ14" i="4"/>
  <c r="AP14" i="4"/>
  <c r="AU14" i="4"/>
  <c r="AZ14" i="4"/>
  <c r="F14" i="4"/>
  <c r="K14" i="4"/>
  <c r="P14" i="4"/>
  <c r="V14" i="4"/>
  <c r="AA14" i="4"/>
  <c r="AF14" i="4"/>
  <c r="AL14" i="4"/>
  <c r="AQ14" i="4"/>
  <c r="AV14" i="4"/>
  <c r="AP8" i="4"/>
  <c r="J8" i="4"/>
  <c r="AX22" i="4"/>
  <c r="AS22" i="4"/>
  <c r="AN22" i="4"/>
  <c r="AH22" i="4"/>
  <c r="AC22" i="4"/>
  <c r="X22" i="4"/>
  <c r="R22" i="4"/>
  <c r="M22" i="4"/>
  <c r="H22" i="4"/>
  <c r="D21" i="4"/>
  <c r="H21" i="4"/>
  <c r="L21" i="4"/>
  <c r="P21" i="4"/>
  <c r="T21" i="4"/>
  <c r="X21" i="4"/>
  <c r="AB21" i="4"/>
  <c r="AF21" i="4"/>
  <c r="AJ21" i="4"/>
  <c r="AN21" i="4"/>
  <c r="AR21" i="4"/>
  <c r="AV21" i="4"/>
  <c r="AZ21" i="4"/>
  <c r="AV20" i="4"/>
  <c r="AQ20" i="4"/>
  <c r="AL20" i="4"/>
  <c r="AF20" i="4"/>
  <c r="AA20" i="4"/>
  <c r="V20" i="4"/>
  <c r="P20" i="4"/>
  <c r="K20" i="4"/>
  <c r="F20" i="4"/>
  <c r="AH14" i="4"/>
  <c r="L14" i="4"/>
  <c r="AH8" i="4"/>
  <c r="AY18" i="4"/>
  <c r="AU18" i="4"/>
  <c r="AQ18" i="4"/>
  <c r="AM18" i="4"/>
  <c r="AI18" i="4"/>
  <c r="AE18" i="4"/>
  <c r="AA18" i="4"/>
  <c r="W18" i="4"/>
  <c r="S18" i="4"/>
  <c r="O18" i="4"/>
  <c r="K18" i="4"/>
  <c r="BA16" i="4"/>
  <c r="AW16" i="4"/>
  <c r="AS16" i="4"/>
  <c r="AO16" i="4"/>
  <c r="AK16" i="4"/>
  <c r="AG16" i="4"/>
  <c r="AC16" i="4"/>
  <c r="Y16" i="4"/>
  <c r="U16" i="4"/>
  <c r="Q16" i="4"/>
  <c r="M16" i="4"/>
  <c r="D15" i="4"/>
  <c r="H15" i="4"/>
  <c r="L15" i="4"/>
  <c r="P15" i="4"/>
  <c r="T15" i="4"/>
  <c r="X15" i="4"/>
  <c r="AB15" i="4"/>
  <c r="AF15" i="4"/>
  <c r="AJ15" i="4"/>
  <c r="AN15" i="4"/>
  <c r="AR15" i="4"/>
  <c r="AV15" i="4"/>
  <c r="AZ15" i="4"/>
  <c r="G12" i="4"/>
  <c r="K12" i="4"/>
  <c r="O12" i="4"/>
  <c r="S12" i="4"/>
  <c r="W12" i="4"/>
  <c r="AA12" i="4"/>
  <c r="AE12" i="4"/>
  <c r="AI12" i="4"/>
  <c r="AM12" i="4"/>
  <c r="AQ12" i="4"/>
  <c r="AU12" i="4"/>
  <c r="AY12" i="4"/>
  <c r="AX10" i="4"/>
  <c r="AP10" i="4"/>
  <c r="AH10" i="4"/>
  <c r="Z10" i="4"/>
  <c r="R10" i="4"/>
  <c r="G16" i="4"/>
  <c r="K16" i="4"/>
  <c r="G10" i="4"/>
  <c r="K10" i="4"/>
  <c r="O10" i="4"/>
  <c r="S10" i="4"/>
  <c r="W10" i="4"/>
  <c r="AA10" i="4"/>
  <c r="AE10" i="4"/>
  <c r="AI10" i="4"/>
  <c r="AM10" i="4"/>
  <c r="AQ10" i="4"/>
  <c r="AU10" i="4"/>
  <c r="AY10" i="4"/>
  <c r="E10" i="4"/>
  <c r="I10" i="4"/>
  <c r="M10" i="4"/>
  <c r="Q10" i="4"/>
  <c r="U10" i="4"/>
  <c r="Y10" i="4"/>
  <c r="AC10" i="4"/>
  <c r="AG10" i="4"/>
  <c r="AK10" i="4"/>
  <c r="AO10" i="4"/>
  <c r="AS10" i="4"/>
  <c r="AW10" i="4"/>
  <c r="BA10" i="4"/>
  <c r="AT10" i="4"/>
  <c r="AL10" i="4"/>
  <c r="AD10" i="4"/>
  <c r="V10" i="4"/>
  <c r="N10" i="4"/>
  <c r="F10" i="4"/>
  <c r="AZ11" i="4"/>
  <c r="AV11" i="4"/>
  <c r="AR11" i="4"/>
  <c r="AN11" i="4"/>
  <c r="AJ11" i="4"/>
  <c r="AF11" i="4"/>
  <c r="AB11" i="4"/>
  <c r="X11" i="4"/>
  <c r="T11" i="4"/>
  <c r="P11" i="4"/>
  <c r="L11" i="4"/>
  <c r="H11" i="4"/>
  <c r="D7" i="4"/>
  <c r="CJ1" i="4"/>
  <c r="CF1" i="4"/>
  <c r="CB1" i="4"/>
  <c r="BX1" i="4"/>
  <c r="BT1" i="4"/>
  <c r="BP1" i="4"/>
  <c r="BL1" i="4"/>
  <c r="CI1" i="4"/>
  <c r="CE1" i="4"/>
  <c r="CA1" i="4"/>
  <c r="BW1" i="4"/>
  <c r="BS1" i="4"/>
  <c r="BO1" i="4"/>
  <c r="BK1" i="4"/>
  <c r="CL1" i="4"/>
  <c r="CH1" i="4"/>
  <c r="CD1" i="4"/>
  <c r="BZ1" i="4"/>
  <c r="BV1" i="4"/>
  <c r="BR1" i="4"/>
  <c r="BN1" i="4"/>
  <c r="BJ1" i="4"/>
  <c r="CK1" i="4"/>
  <c r="CG1" i="4"/>
  <c r="CC1" i="4"/>
  <c r="BY1" i="4"/>
  <c r="BU1" i="4"/>
  <c r="BQ1" i="4"/>
  <c r="BM1" i="4"/>
  <c r="BD33" i="4"/>
  <c r="BE33" i="4"/>
  <c r="BF33" i="4"/>
  <c r="BG33" i="4"/>
  <c r="BH33" i="4"/>
  <c r="BD34" i="4"/>
  <c r="BE34" i="4"/>
  <c r="BF34" i="4"/>
  <c r="BG34" i="4"/>
  <c r="BH34" i="4"/>
  <c r="BD35" i="4"/>
  <c r="BE35" i="4"/>
  <c r="BF35" i="4"/>
  <c r="BG35" i="4"/>
  <c r="BH35" i="4"/>
  <c r="BD36" i="4"/>
  <c r="BE36" i="4"/>
  <c r="BF36" i="4"/>
  <c r="BG36" i="4"/>
  <c r="BH36" i="4"/>
  <c r="BD37" i="4"/>
  <c r="BE37" i="4"/>
  <c r="BF37" i="4"/>
  <c r="BG37" i="4"/>
  <c r="BH37" i="4"/>
  <c r="BD38" i="4"/>
  <c r="BE38" i="4"/>
  <c r="BF38" i="4"/>
  <c r="BG38" i="4"/>
  <c r="BH38" i="4"/>
  <c r="BD39" i="4"/>
  <c r="BE39" i="4"/>
  <c r="BF39" i="4"/>
  <c r="BG39" i="4"/>
  <c r="BH39" i="4"/>
  <c r="BD40" i="4"/>
  <c r="BE40" i="4"/>
  <c r="BF40" i="4"/>
  <c r="BG40" i="4"/>
  <c r="BH40" i="4"/>
  <c r="BD41" i="4"/>
  <c r="BE41" i="4"/>
  <c r="BF41" i="4"/>
  <c r="BG41" i="4"/>
  <c r="BH41" i="4"/>
  <c r="BD42" i="4"/>
  <c r="BE42" i="4"/>
  <c r="BF42" i="4"/>
  <c r="BG42" i="4"/>
  <c r="BH42" i="4"/>
  <c r="BD43" i="4"/>
  <c r="BE43" i="4"/>
  <c r="BF43" i="4"/>
  <c r="BG43" i="4"/>
  <c r="BH43" i="4"/>
  <c r="BD44" i="4"/>
  <c r="BE44" i="4"/>
  <c r="BF44" i="4"/>
  <c r="BG44" i="4"/>
  <c r="BH44" i="4"/>
  <c r="BD45" i="4"/>
  <c r="BE45" i="4"/>
  <c r="BF45" i="4"/>
  <c r="BG45" i="4"/>
  <c r="BH45" i="4"/>
  <c r="BD46" i="4"/>
  <c r="BE46" i="4"/>
  <c r="BF46" i="4"/>
  <c r="BG46" i="4"/>
  <c r="BH46" i="4"/>
  <c r="BD47" i="4"/>
  <c r="BE47" i="4"/>
  <c r="BF47" i="4"/>
  <c r="BG47" i="4"/>
  <c r="BH47" i="4"/>
  <c r="BD48" i="4"/>
  <c r="BE48" i="4"/>
  <c r="BF48" i="4"/>
  <c r="BG48" i="4"/>
  <c r="BH48" i="4"/>
  <c r="BD49" i="4"/>
  <c r="BE49" i="4"/>
  <c r="BF49" i="4"/>
  <c r="BG49" i="4"/>
  <c r="BH49" i="4"/>
  <c r="BD50" i="4"/>
  <c r="BE50" i="4"/>
  <c r="BF50" i="4"/>
  <c r="BG50" i="4"/>
  <c r="BH50" i="4"/>
  <c r="BD51" i="4"/>
  <c r="BE51" i="4"/>
  <c r="BF51" i="4"/>
  <c r="BG51" i="4"/>
  <c r="BH51" i="4"/>
  <c r="BD52" i="4"/>
  <c r="BE52" i="4"/>
  <c r="BF52" i="4"/>
  <c r="BG52" i="4"/>
  <c r="BH52" i="4"/>
  <c r="BD53" i="4"/>
  <c r="BE53" i="4"/>
  <c r="BF53" i="4"/>
  <c r="BG53" i="4"/>
  <c r="BH53" i="4"/>
  <c r="BD54" i="4"/>
  <c r="BE54" i="4"/>
  <c r="BF54" i="4"/>
  <c r="BG54" i="4"/>
  <c r="BH54" i="4"/>
  <c r="BD55" i="4"/>
  <c r="BE55" i="4"/>
  <c r="BF55" i="4"/>
  <c r="BG55" i="4"/>
  <c r="BH55" i="4"/>
  <c r="BD56" i="4"/>
  <c r="BE56" i="4"/>
  <c r="BF56" i="4"/>
  <c r="BG56" i="4"/>
  <c r="BH56" i="4"/>
  <c r="BD57" i="4"/>
  <c r="BE57" i="4"/>
  <c r="BF57" i="4"/>
  <c r="BG57" i="4"/>
  <c r="BH57" i="4"/>
  <c r="BD58" i="4"/>
  <c r="BE58" i="4"/>
  <c r="BF58" i="4"/>
  <c r="BG58" i="4"/>
  <c r="BH58" i="4"/>
  <c r="BD59" i="4"/>
  <c r="BE59" i="4"/>
  <c r="BF59" i="4"/>
  <c r="BG59" i="4"/>
  <c r="BH59" i="4"/>
  <c r="BD60" i="4"/>
  <c r="BE60" i="4"/>
  <c r="BF60" i="4"/>
  <c r="BG60" i="4"/>
  <c r="BH60" i="4"/>
  <c r="BD61" i="4"/>
  <c r="BE61" i="4"/>
  <c r="BF61" i="4"/>
  <c r="BG61" i="4"/>
  <c r="BH61" i="4"/>
  <c r="BD62" i="4"/>
  <c r="BE62" i="4"/>
  <c r="BF62" i="4"/>
  <c r="BG62" i="4"/>
  <c r="BH62" i="4"/>
  <c r="BD63" i="4"/>
  <c r="BE63" i="4"/>
  <c r="BF63" i="4"/>
  <c r="BG63" i="4"/>
  <c r="BH63" i="4"/>
  <c r="BD64" i="4"/>
  <c r="BE64" i="4"/>
  <c r="BF64" i="4"/>
  <c r="BG64" i="4"/>
  <c r="BH64" i="4"/>
  <c r="BD65" i="4"/>
  <c r="BE65" i="4"/>
  <c r="BF65" i="4"/>
  <c r="BG65" i="4"/>
  <c r="BH65" i="4"/>
  <c r="BD66" i="4"/>
  <c r="BE66" i="4"/>
  <c r="BF66" i="4"/>
  <c r="BG66" i="4"/>
  <c r="BH66" i="4"/>
  <c r="BD67" i="4"/>
  <c r="BE67" i="4"/>
  <c r="BF67" i="4"/>
  <c r="BG67" i="4"/>
  <c r="BH67" i="4"/>
  <c r="BD68" i="4"/>
  <c r="BE68" i="4"/>
  <c r="BF68" i="4"/>
  <c r="BG68" i="4"/>
  <c r="BH68" i="4"/>
  <c r="BD69" i="4"/>
  <c r="BE69" i="4"/>
  <c r="BF69" i="4"/>
  <c r="BG69" i="4"/>
  <c r="BH69" i="4"/>
  <c r="BD70" i="4"/>
  <c r="BE70" i="4"/>
  <c r="BF70" i="4"/>
  <c r="BG70" i="4"/>
  <c r="BH70" i="4"/>
  <c r="BD71" i="4"/>
  <c r="BE71" i="4"/>
  <c r="BF71" i="4"/>
  <c r="BG71" i="4"/>
  <c r="BH71" i="4"/>
  <c r="BD72" i="4"/>
  <c r="BE72" i="4"/>
  <c r="BF72" i="4"/>
  <c r="BG72" i="4"/>
  <c r="BH72" i="4"/>
  <c r="BD73" i="4"/>
  <c r="BE73" i="4"/>
  <c r="BF73" i="4"/>
  <c r="BG73" i="4"/>
  <c r="BH73" i="4"/>
  <c r="BD74" i="4"/>
  <c r="BE74" i="4"/>
  <c r="BF74" i="4"/>
  <c r="BG74" i="4"/>
  <c r="BH74" i="4"/>
  <c r="BD75" i="4"/>
  <c r="BE75" i="4"/>
  <c r="BF75" i="4"/>
  <c r="BG75" i="4"/>
  <c r="BH75" i="4"/>
  <c r="BD76" i="4"/>
  <c r="BE76" i="4"/>
  <c r="BF76" i="4"/>
  <c r="BG76" i="4"/>
  <c r="BH76" i="4"/>
  <c r="BD77" i="4"/>
  <c r="BE77" i="4"/>
  <c r="BF77" i="4"/>
  <c r="BG77" i="4"/>
  <c r="BH77" i="4"/>
  <c r="BD78" i="4"/>
  <c r="BE78" i="4"/>
  <c r="BF78" i="4"/>
  <c r="BG78" i="4"/>
  <c r="BH78" i="4"/>
  <c r="BD79" i="4"/>
  <c r="BE79" i="4"/>
  <c r="BF79" i="4"/>
  <c r="BG79" i="4"/>
  <c r="BH79" i="4"/>
  <c r="BD80" i="4"/>
  <c r="BE80" i="4"/>
  <c r="BF80" i="4"/>
  <c r="BG80" i="4"/>
  <c r="BH80" i="4"/>
  <c r="BD81" i="4"/>
  <c r="BE81" i="4"/>
  <c r="BF81" i="4"/>
  <c r="BG81" i="4"/>
  <c r="BH81" i="4"/>
  <c r="BD82" i="4"/>
  <c r="BE82" i="4"/>
  <c r="BF82" i="4"/>
  <c r="BG82" i="4"/>
  <c r="BH82" i="4"/>
  <c r="BD83" i="4"/>
  <c r="BE83" i="4"/>
  <c r="BF83" i="4"/>
  <c r="BG83" i="4"/>
  <c r="BH83" i="4"/>
  <c r="BD84" i="4"/>
  <c r="BE84" i="4"/>
  <c r="BF84" i="4"/>
  <c r="BG84" i="4"/>
  <c r="BH84" i="4"/>
  <c r="BD85" i="4"/>
  <c r="BE85" i="4"/>
  <c r="BF85" i="4"/>
  <c r="BG85" i="4"/>
  <c r="BH85" i="4"/>
  <c r="BD86" i="4"/>
  <c r="BE86" i="4"/>
  <c r="BF86" i="4"/>
  <c r="BG86" i="4"/>
  <c r="BH86" i="4"/>
  <c r="BD87" i="4"/>
  <c r="BE87" i="4"/>
  <c r="BF87" i="4"/>
  <c r="BG87" i="4"/>
  <c r="BH87" i="4"/>
  <c r="BD88" i="4"/>
  <c r="BE88" i="4"/>
  <c r="BF88" i="4"/>
  <c r="BG88" i="4"/>
  <c r="BH88" i="4"/>
  <c r="BD89" i="4"/>
  <c r="BE89" i="4"/>
  <c r="BF89" i="4"/>
  <c r="BG89" i="4"/>
  <c r="BH89" i="4"/>
  <c r="BD90" i="4"/>
  <c r="BE90" i="4"/>
  <c r="BF90" i="4"/>
  <c r="BG90" i="4"/>
  <c r="BH90" i="4"/>
  <c r="BD91" i="4"/>
  <c r="BE91" i="4"/>
  <c r="BF91" i="4"/>
  <c r="BG91" i="4"/>
  <c r="BH91" i="4"/>
  <c r="BD92" i="4"/>
  <c r="BE92" i="4"/>
  <c r="BF92" i="4"/>
  <c r="BG92" i="4"/>
  <c r="BH92" i="4"/>
  <c r="BD93" i="4"/>
  <c r="BE93" i="4"/>
  <c r="BF93" i="4"/>
  <c r="BG93" i="4"/>
  <c r="BH93" i="4"/>
  <c r="BD94" i="4"/>
  <c r="BE94" i="4"/>
  <c r="BF94" i="4"/>
  <c r="BG94" i="4"/>
  <c r="BH94" i="4"/>
  <c r="BD95" i="4"/>
  <c r="BE95" i="4"/>
  <c r="BF95" i="4"/>
  <c r="BG95" i="4"/>
  <c r="BH95" i="4"/>
  <c r="BD96" i="4"/>
  <c r="BE96" i="4"/>
  <c r="BF96" i="4"/>
  <c r="BG96" i="4"/>
  <c r="BH96" i="4"/>
  <c r="BD97" i="4"/>
  <c r="BE97" i="4"/>
  <c r="BF97" i="4"/>
  <c r="BG97" i="4"/>
  <c r="BH97" i="4"/>
  <c r="BD98" i="4"/>
  <c r="BE98" i="4"/>
  <c r="BF98" i="4"/>
  <c r="BG98" i="4"/>
  <c r="BH98" i="4"/>
  <c r="BD99" i="4"/>
  <c r="BE99" i="4"/>
  <c r="BF99" i="4"/>
  <c r="BG99" i="4"/>
  <c r="BH99" i="4"/>
  <c r="BD100" i="4"/>
  <c r="BE100" i="4"/>
  <c r="BF100" i="4"/>
  <c r="BG100" i="4"/>
  <c r="BH100" i="4"/>
  <c r="BD101" i="4"/>
  <c r="BE101" i="4"/>
  <c r="BF101" i="4"/>
  <c r="BG101" i="4"/>
  <c r="BH101" i="4"/>
  <c r="BD102" i="4"/>
  <c r="BE102" i="4"/>
  <c r="BF102" i="4"/>
  <c r="BG102" i="4"/>
  <c r="BH102" i="4"/>
  <c r="BD103" i="4"/>
  <c r="BE103" i="4"/>
  <c r="BF103" i="4"/>
  <c r="BG103" i="4"/>
  <c r="BH103" i="4"/>
  <c r="BD104" i="4"/>
  <c r="BE104" i="4"/>
  <c r="BF104" i="4"/>
  <c r="BG104" i="4"/>
  <c r="BH104" i="4"/>
  <c r="BD105" i="4"/>
  <c r="BE105" i="4"/>
  <c r="BF105" i="4"/>
  <c r="BG105" i="4"/>
  <c r="BH105" i="4"/>
  <c r="BD106" i="4"/>
  <c r="BE106" i="4"/>
  <c r="BF106" i="4"/>
  <c r="BG106" i="4"/>
  <c r="BH106" i="4"/>
  <c r="BD107" i="4"/>
  <c r="BE107" i="4"/>
  <c r="BF107" i="4"/>
  <c r="BG107" i="4"/>
  <c r="BH107" i="4"/>
  <c r="BD108" i="4"/>
  <c r="BE108" i="4"/>
  <c r="BF108" i="4"/>
  <c r="BG108" i="4"/>
  <c r="BH108" i="4"/>
  <c r="BD109" i="4"/>
  <c r="BE109" i="4"/>
  <c r="BF109" i="4"/>
  <c r="BG109" i="4"/>
  <c r="BH109" i="4"/>
  <c r="BD110" i="4"/>
  <c r="BE110" i="4"/>
  <c r="BF110" i="4"/>
  <c r="BG110" i="4"/>
  <c r="BH110" i="4"/>
  <c r="BD111" i="4"/>
  <c r="BE111" i="4"/>
  <c r="BF111" i="4"/>
  <c r="BG111" i="4"/>
  <c r="BH111" i="4"/>
  <c r="BD112" i="4"/>
  <c r="BE112" i="4"/>
  <c r="BF112" i="4"/>
  <c r="BG112" i="4"/>
  <c r="BH112" i="4"/>
  <c r="BD113" i="4"/>
  <c r="BE113" i="4"/>
  <c r="BF113" i="4"/>
  <c r="BG113" i="4"/>
  <c r="BH113" i="4"/>
  <c r="BD114" i="4"/>
  <c r="BE114" i="4"/>
  <c r="BF114" i="4"/>
  <c r="BG114" i="4"/>
  <c r="BH114" i="4"/>
  <c r="BD115" i="4"/>
  <c r="BE115" i="4"/>
  <c r="BF115" i="4"/>
  <c r="BG115" i="4"/>
  <c r="BH115" i="4"/>
  <c r="BD116" i="4"/>
  <c r="BE116" i="4"/>
  <c r="BF116" i="4"/>
  <c r="BG116" i="4"/>
  <c r="BH116" i="4"/>
  <c r="BD117" i="4"/>
  <c r="BE117" i="4"/>
  <c r="BF117" i="4"/>
  <c r="BG117" i="4"/>
  <c r="BH117" i="4"/>
  <c r="BD118" i="4"/>
  <c r="BE118" i="4"/>
  <c r="BF118" i="4"/>
  <c r="BG118" i="4"/>
  <c r="BH118" i="4"/>
  <c r="BD119" i="4"/>
  <c r="BE119" i="4"/>
  <c r="BF119" i="4"/>
  <c r="BG119" i="4"/>
  <c r="BH119" i="4"/>
  <c r="BD120" i="4"/>
  <c r="BE120" i="4"/>
  <c r="BF120" i="4"/>
  <c r="BG120" i="4"/>
  <c r="BH120" i="4"/>
  <c r="BD121" i="4"/>
  <c r="BE121" i="4"/>
  <c r="BF121" i="4"/>
  <c r="BG121" i="4"/>
  <c r="BH121" i="4"/>
  <c r="BD122" i="4"/>
  <c r="BE122" i="4"/>
  <c r="BF122" i="4"/>
  <c r="BG122" i="4"/>
  <c r="BH122" i="4"/>
  <c r="BD123" i="4"/>
  <c r="BE123" i="4"/>
  <c r="BF123" i="4"/>
  <c r="BG123" i="4"/>
  <c r="BH123" i="4"/>
  <c r="BD124" i="4"/>
  <c r="BE124" i="4"/>
  <c r="BF124" i="4"/>
  <c r="BG124" i="4"/>
  <c r="BH124" i="4"/>
  <c r="BD125" i="4"/>
  <c r="BE125" i="4"/>
  <c r="BF125" i="4"/>
  <c r="BG125" i="4"/>
  <c r="BH125" i="4"/>
  <c r="BD126" i="4"/>
  <c r="BE126" i="4"/>
  <c r="BF126" i="4"/>
  <c r="BG126" i="4"/>
  <c r="BH126" i="4"/>
  <c r="BD127" i="4"/>
  <c r="BE127" i="4"/>
  <c r="BF127" i="4"/>
  <c r="BG127" i="4"/>
  <c r="BH127" i="4"/>
  <c r="BD128" i="4"/>
  <c r="BE128" i="4"/>
  <c r="BF128" i="4"/>
  <c r="BG128" i="4"/>
  <c r="BH128" i="4"/>
  <c r="BD129" i="4"/>
  <c r="BE129" i="4"/>
  <c r="BF129" i="4"/>
  <c r="BG129" i="4"/>
  <c r="BH129" i="4"/>
  <c r="BD130" i="4"/>
  <c r="BE130" i="4"/>
  <c r="BF130" i="4"/>
  <c r="BG130" i="4"/>
  <c r="BH130" i="4"/>
  <c r="BD131" i="4"/>
  <c r="BE131" i="4"/>
  <c r="BF131" i="4"/>
  <c r="BG131" i="4"/>
  <c r="BH131" i="4"/>
  <c r="BD132" i="4"/>
  <c r="BE132" i="4"/>
  <c r="BF132" i="4"/>
  <c r="BG132" i="4"/>
  <c r="BH132" i="4"/>
  <c r="BD133" i="4"/>
  <c r="BE133" i="4"/>
  <c r="BF133" i="4"/>
  <c r="BG133" i="4"/>
  <c r="BH133" i="4"/>
  <c r="BD134" i="4"/>
  <c r="BE134" i="4"/>
  <c r="BF134" i="4"/>
  <c r="BG134" i="4"/>
  <c r="BH134" i="4"/>
  <c r="BD135" i="4"/>
  <c r="BE135" i="4"/>
  <c r="BF135" i="4"/>
  <c r="BG135" i="4"/>
  <c r="BH135" i="4"/>
  <c r="BD136" i="4"/>
  <c r="BE136" i="4"/>
  <c r="BF136" i="4"/>
  <c r="BG136" i="4"/>
  <c r="BH136" i="4"/>
  <c r="BD137" i="4"/>
  <c r="BE137" i="4"/>
  <c r="BF137" i="4"/>
  <c r="BG137" i="4"/>
  <c r="BH137" i="4"/>
  <c r="BD138" i="4"/>
  <c r="BE138" i="4"/>
  <c r="BF138" i="4"/>
  <c r="BG138" i="4"/>
  <c r="BH138" i="4"/>
  <c r="BD139" i="4"/>
  <c r="BE139" i="4"/>
  <c r="BF139" i="4"/>
  <c r="BG139" i="4"/>
  <c r="BH139" i="4"/>
  <c r="BD140" i="4"/>
  <c r="BE140" i="4"/>
  <c r="BF140" i="4"/>
  <c r="BG140" i="4"/>
  <c r="BH140" i="4"/>
  <c r="BD141" i="4"/>
  <c r="BE141" i="4"/>
  <c r="BF141" i="4"/>
  <c r="BG141" i="4"/>
  <c r="BH141" i="4"/>
  <c r="BD142" i="4"/>
  <c r="BE142" i="4"/>
  <c r="BF142" i="4"/>
  <c r="BG142" i="4"/>
  <c r="BH142" i="4"/>
  <c r="BD143" i="4"/>
  <c r="BE143" i="4"/>
  <c r="BF143" i="4"/>
  <c r="BG143" i="4"/>
  <c r="BH143" i="4"/>
  <c r="BD144" i="4"/>
  <c r="BE144" i="4"/>
  <c r="BF144" i="4"/>
  <c r="BG144" i="4"/>
  <c r="BH144" i="4"/>
  <c r="BD145" i="4"/>
  <c r="BE145" i="4"/>
  <c r="BF145" i="4"/>
  <c r="BG145" i="4"/>
  <c r="BH145" i="4"/>
  <c r="BD146" i="4"/>
  <c r="BE146" i="4"/>
  <c r="BF146" i="4"/>
  <c r="BG146" i="4"/>
  <c r="BH146" i="4"/>
  <c r="BD147" i="4"/>
  <c r="BE147" i="4"/>
  <c r="BF147" i="4"/>
  <c r="BG147" i="4"/>
  <c r="BH147" i="4"/>
  <c r="BD148" i="4"/>
  <c r="BE148" i="4"/>
  <c r="BF148" i="4"/>
  <c r="BG148" i="4"/>
  <c r="BH148" i="4"/>
  <c r="BD149" i="4"/>
  <c r="BE149" i="4"/>
  <c r="BF149" i="4"/>
  <c r="BG149" i="4"/>
  <c r="BH149" i="4"/>
  <c r="BD150" i="4"/>
  <c r="BE150" i="4"/>
  <c r="BF150" i="4"/>
  <c r="BG150" i="4"/>
  <c r="BH150" i="4"/>
  <c r="BD151" i="4"/>
  <c r="BE151" i="4"/>
  <c r="BF151" i="4"/>
  <c r="BG151" i="4"/>
  <c r="BH151" i="4"/>
  <c r="BD152" i="4"/>
  <c r="BE152" i="4"/>
  <c r="BF152" i="4"/>
  <c r="BG152" i="4"/>
  <c r="BH152" i="4"/>
  <c r="BD153" i="4"/>
  <c r="BE153" i="4"/>
  <c r="BF153" i="4"/>
  <c r="BG153" i="4"/>
  <c r="BH153" i="4"/>
  <c r="BD154" i="4"/>
  <c r="BE154" i="4"/>
  <c r="BF154" i="4"/>
  <c r="BG154" i="4"/>
  <c r="BH154" i="4"/>
  <c r="BD155" i="4"/>
  <c r="BE155" i="4"/>
  <c r="BF155" i="4"/>
  <c r="BG155" i="4"/>
  <c r="BH155" i="4"/>
  <c r="BD156" i="4"/>
  <c r="BE156" i="4"/>
  <c r="BF156" i="4"/>
  <c r="BG156" i="4"/>
  <c r="BH156" i="4"/>
  <c r="BD157" i="4"/>
  <c r="BE157" i="4"/>
  <c r="BF157" i="4"/>
  <c r="BG157" i="4"/>
  <c r="BH157" i="4"/>
  <c r="BD158" i="4"/>
  <c r="BE158" i="4"/>
  <c r="BF158" i="4"/>
  <c r="BG158" i="4"/>
  <c r="BH158" i="4"/>
  <c r="BD159" i="4"/>
  <c r="BE159" i="4"/>
  <c r="BF159" i="4"/>
  <c r="BG159" i="4"/>
  <c r="BH159" i="4"/>
  <c r="BD160" i="4"/>
  <c r="BE160" i="4"/>
  <c r="BF160" i="4"/>
  <c r="BG160" i="4"/>
  <c r="BH160" i="4"/>
  <c r="BD161" i="4"/>
  <c r="BE161" i="4"/>
  <c r="BF161" i="4"/>
  <c r="BG161" i="4"/>
  <c r="BH161" i="4"/>
  <c r="BD162" i="4"/>
  <c r="BE162" i="4"/>
  <c r="BF162" i="4"/>
  <c r="BG162" i="4"/>
  <c r="BH162" i="4"/>
  <c r="BD163" i="4"/>
  <c r="BE163" i="4"/>
  <c r="BF163" i="4"/>
  <c r="BG163" i="4"/>
  <c r="BH163" i="4"/>
  <c r="BD164" i="4"/>
  <c r="BE164" i="4"/>
  <c r="BF164" i="4"/>
  <c r="BG164" i="4"/>
  <c r="BH164" i="4"/>
  <c r="BD165" i="4"/>
  <c r="BE165" i="4"/>
  <c r="BF165" i="4"/>
  <c r="BG165" i="4"/>
  <c r="BH165" i="4"/>
  <c r="BD166" i="4"/>
  <c r="BE166" i="4"/>
  <c r="BF166" i="4"/>
  <c r="BG166" i="4"/>
  <c r="BH166" i="4"/>
  <c r="BD167" i="4"/>
  <c r="BE167" i="4"/>
  <c r="BF167" i="4"/>
  <c r="BG167" i="4"/>
  <c r="BH167" i="4"/>
  <c r="BD168" i="4"/>
  <c r="BE168" i="4"/>
  <c r="BF168" i="4"/>
  <c r="BG168" i="4"/>
  <c r="BH168" i="4"/>
  <c r="BD169" i="4"/>
  <c r="BE169" i="4"/>
  <c r="BF169" i="4"/>
  <c r="BG169" i="4"/>
  <c r="BH169" i="4"/>
  <c r="BD170" i="4"/>
  <c r="BE170" i="4"/>
  <c r="BF170" i="4"/>
  <c r="BG170" i="4"/>
  <c r="BH170" i="4"/>
  <c r="BD171" i="4"/>
  <c r="BE171" i="4"/>
  <c r="BF171" i="4"/>
  <c r="BG171" i="4"/>
  <c r="BH171" i="4"/>
  <c r="BD172" i="4"/>
  <c r="BE172" i="4"/>
  <c r="BF172" i="4"/>
  <c r="BG172" i="4"/>
  <c r="BH172" i="4"/>
  <c r="BD173" i="4"/>
  <c r="BE173" i="4"/>
  <c r="BF173" i="4"/>
  <c r="BG173" i="4"/>
  <c r="BH173" i="4"/>
  <c r="BD174" i="4"/>
  <c r="BE174" i="4"/>
  <c r="BF174" i="4"/>
  <c r="BG174" i="4"/>
  <c r="BH174" i="4"/>
  <c r="BD175" i="4"/>
  <c r="BE175" i="4"/>
  <c r="BF175" i="4"/>
  <c r="BG175" i="4"/>
  <c r="BH175" i="4"/>
  <c r="BD176" i="4"/>
  <c r="BE176" i="4"/>
  <c r="BF176" i="4"/>
  <c r="BG176" i="4"/>
  <c r="BH176" i="4"/>
  <c r="BD177" i="4"/>
  <c r="BE177" i="4"/>
  <c r="BF177" i="4"/>
  <c r="BG177" i="4"/>
  <c r="BH177" i="4"/>
  <c r="BD178" i="4"/>
  <c r="BE178" i="4"/>
  <c r="BF178" i="4"/>
  <c r="BG178" i="4"/>
  <c r="BH178" i="4"/>
  <c r="BD179" i="4"/>
  <c r="BE179" i="4"/>
  <c r="BF179" i="4"/>
  <c r="BG179" i="4"/>
  <c r="BH179" i="4"/>
  <c r="BD180" i="4"/>
  <c r="BE180" i="4"/>
  <c r="BF180" i="4"/>
  <c r="BG180" i="4"/>
  <c r="BH180" i="4"/>
  <c r="BD181" i="4"/>
  <c r="BE181" i="4"/>
  <c r="BF181" i="4"/>
  <c r="BG181" i="4"/>
  <c r="BH181" i="4"/>
  <c r="BD182" i="4"/>
  <c r="BE182" i="4"/>
  <c r="BF182" i="4"/>
  <c r="BG182" i="4"/>
  <c r="BH182" i="4"/>
  <c r="BD183" i="4"/>
  <c r="BE183" i="4"/>
  <c r="BF183" i="4"/>
  <c r="BG183" i="4"/>
  <c r="BH183" i="4"/>
  <c r="BD184" i="4"/>
  <c r="BE184" i="4"/>
  <c r="BF184" i="4"/>
  <c r="BG184" i="4"/>
  <c r="BH184" i="4"/>
  <c r="BD185" i="4"/>
  <c r="BE185" i="4"/>
  <c r="BF185" i="4"/>
  <c r="BG185" i="4"/>
  <c r="BH185" i="4"/>
  <c r="BD186" i="4"/>
  <c r="BE186" i="4"/>
  <c r="BF186" i="4"/>
  <c r="BG186" i="4"/>
  <c r="BH186" i="4"/>
  <c r="BD187" i="4"/>
  <c r="BE187" i="4"/>
  <c r="BF187" i="4"/>
  <c r="BG187" i="4"/>
  <c r="BH187" i="4"/>
  <c r="BD188" i="4"/>
  <c r="BE188" i="4"/>
  <c r="BF188" i="4"/>
  <c r="BG188" i="4"/>
  <c r="BH188" i="4"/>
  <c r="BD189" i="4"/>
  <c r="BE189" i="4"/>
  <c r="BF189" i="4"/>
  <c r="BG189" i="4"/>
  <c r="BH189" i="4"/>
  <c r="BD190" i="4"/>
  <c r="BE190" i="4"/>
  <c r="BF190" i="4"/>
  <c r="BG190" i="4"/>
  <c r="BH190" i="4"/>
  <c r="BD191" i="4"/>
  <c r="BE191" i="4"/>
  <c r="BF191" i="4"/>
  <c r="BG191" i="4"/>
  <c r="BH191" i="4"/>
  <c r="BD192" i="4"/>
  <c r="BE192" i="4"/>
  <c r="BF192" i="4"/>
  <c r="BG192" i="4"/>
  <c r="BH192" i="4"/>
  <c r="BD193" i="4"/>
  <c r="BE193" i="4"/>
  <c r="BF193" i="4"/>
  <c r="BG193" i="4"/>
  <c r="BH193" i="4"/>
  <c r="BD194" i="4"/>
  <c r="BE194" i="4"/>
  <c r="BF194" i="4"/>
  <c r="BG194" i="4"/>
  <c r="BH194" i="4"/>
  <c r="BD195" i="4"/>
  <c r="BE195" i="4"/>
  <c r="BF195" i="4"/>
  <c r="BG195" i="4"/>
  <c r="BH195" i="4"/>
  <c r="BD196" i="4"/>
  <c r="BE196" i="4"/>
  <c r="BF196" i="4"/>
  <c r="BG196" i="4"/>
  <c r="BH196" i="4"/>
  <c r="BD197" i="4"/>
  <c r="BE197" i="4"/>
  <c r="BF197" i="4"/>
  <c r="BG197" i="4"/>
  <c r="BH197" i="4"/>
  <c r="BD198" i="4"/>
  <c r="BE198" i="4"/>
  <c r="BF198" i="4"/>
  <c r="BG198" i="4"/>
  <c r="BH198" i="4"/>
  <c r="BD199" i="4"/>
  <c r="BE199" i="4"/>
  <c r="BF199" i="4"/>
  <c r="BG199" i="4"/>
  <c r="BH199" i="4"/>
  <c r="BE32" i="4"/>
  <c r="BF32" i="4"/>
  <c r="BG32" i="4"/>
  <c r="BH32" i="4"/>
  <c r="BD32" i="4"/>
  <c r="BB33" i="4"/>
  <c r="BB34" i="4"/>
  <c r="BB35" i="4"/>
  <c r="BB36" i="4"/>
  <c r="BB37" i="4"/>
  <c r="BB38" i="4"/>
  <c r="BB39" i="4"/>
  <c r="BB40" i="4"/>
  <c r="BB41" i="4"/>
  <c r="BB42" i="4"/>
  <c r="BB43" i="4"/>
  <c r="BB44" i="4"/>
  <c r="BB45" i="4"/>
  <c r="BB46" i="4"/>
  <c r="BB47" i="4"/>
  <c r="BB48" i="4"/>
  <c r="BB49" i="4"/>
  <c r="BB50" i="4"/>
  <c r="BB51" i="4"/>
  <c r="BB52" i="4"/>
  <c r="BB53" i="4"/>
  <c r="BB54" i="4"/>
  <c r="BB55" i="4"/>
  <c r="BB56" i="4"/>
  <c r="BB57" i="4"/>
  <c r="BB58" i="4"/>
  <c r="BB59" i="4"/>
  <c r="BB60" i="4"/>
  <c r="BB61" i="4"/>
  <c r="BB62" i="4"/>
  <c r="BB63" i="4"/>
  <c r="BB64" i="4"/>
  <c r="BB65" i="4"/>
  <c r="BB66" i="4"/>
  <c r="BB67" i="4"/>
  <c r="BB68" i="4"/>
  <c r="BB69" i="4"/>
  <c r="BB70" i="4"/>
  <c r="BB71" i="4"/>
  <c r="BB72" i="4"/>
  <c r="BB73" i="4"/>
  <c r="BB74" i="4"/>
  <c r="BB75" i="4"/>
  <c r="BB76" i="4"/>
  <c r="BB77" i="4"/>
  <c r="BB78" i="4"/>
  <c r="BB79" i="4"/>
  <c r="BB80" i="4"/>
  <c r="BB81" i="4"/>
  <c r="BB82" i="4"/>
  <c r="BB83" i="4"/>
  <c r="BB84" i="4"/>
  <c r="BB85" i="4"/>
  <c r="BB86" i="4"/>
  <c r="BB87" i="4"/>
  <c r="BB88" i="4"/>
  <c r="BB89" i="4"/>
  <c r="BB90" i="4"/>
  <c r="BB91" i="4"/>
  <c r="BB92" i="4"/>
  <c r="BB93" i="4"/>
  <c r="BB94" i="4"/>
  <c r="BB95" i="4"/>
  <c r="BB96" i="4"/>
  <c r="BB97" i="4"/>
  <c r="BB98" i="4"/>
  <c r="BB99" i="4"/>
  <c r="BB100" i="4"/>
  <c r="BB101" i="4"/>
  <c r="BB102" i="4"/>
  <c r="BB103" i="4"/>
  <c r="BB104" i="4"/>
  <c r="BB105" i="4"/>
  <c r="BB106" i="4"/>
  <c r="BB107" i="4"/>
  <c r="BB108" i="4"/>
  <c r="BB109" i="4"/>
  <c r="BB110" i="4"/>
  <c r="BB111" i="4"/>
  <c r="BB112" i="4"/>
  <c r="BB113" i="4"/>
  <c r="BB114" i="4"/>
  <c r="BB115" i="4"/>
  <c r="BB116" i="4"/>
  <c r="BB117" i="4"/>
  <c r="BB118" i="4"/>
  <c r="BB119" i="4"/>
  <c r="BB120" i="4"/>
  <c r="BB121" i="4"/>
  <c r="BB122" i="4"/>
  <c r="BB123" i="4"/>
  <c r="BB124" i="4"/>
  <c r="BB125" i="4"/>
  <c r="BB126" i="4"/>
  <c r="BB127" i="4"/>
  <c r="BB128" i="4"/>
  <c r="BB129" i="4"/>
  <c r="BB130" i="4"/>
  <c r="BB131" i="4"/>
  <c r="BB132" i="4"/>
  <c r="BB133" i="4"/>
  <c r="BB134" i="4"/>
  <c r="BB135" i="4"/>
  <c r="BB136" i="4"/>
  <c r="BB137" i="4"/>
  <c r="BB138" i="4"/>
  <c r="BB139" i="4"/>
  <c r="BB140" i="4"/>
  <c r="BB141" i="4"/>
  <c r="BB142" i="4"/>
  <c r="BB143" i="4"/>
  <c r="BB144" i="4"/>
  <c r="BB145" i="4"/>
  <c r="BB146" i="4"/>
  <c r="BB147" i="4"/>
  <c r="BB148" i="4"/>
  <c r="BB149" i="4"/>
  <c r="BB150" i="4"/>
  <c r="BB151" i="4"/>
  <c r="BB152" i="4"/>
  <c r="BB153" i="4"/>
  <c r="BB154" i="4"/>
  <c r="BB155" i="4"/>
  <c r="BB156" i="4"/>
  <c r="BB157" i="4"/>
  <c r="BB158" i="4"/>
  <c r="BB159" i="4"/>
  <c r="BB160" i="4"/>
  <c r="BB161" i="4"/>
  <c r="BB162" i="4"/>
  <c r="BB163" i="4"/>
  <c r="BB164" i="4"/>
  <c r="BB165" i="4"/>
  <c r="BB166" i="4"/>
  <c r="BB167" i="4"/>
  <c r="BB168" i="4"/>
  <c r="BB169" i="4"/>
  <c r="BB170" i="4"/>
  <c r="BB171" i="4"/>
  <c r="BB172" i="4"/>
  <c r="BB173" i="4"/>
  <c r="BB174" i="4"/>
  <c r="BB175" i="4"/>
  <c r="BB176" i="4"/>
  <c r="BB177" i="4"/>
  <c r="BB178" i="4"/>
  <c r="BB179" i="4"/>
  <c r="BB180" i="4"/>
  <c r="BB181" i="4"/>
  <c r="BB182" i="4"/>
  <c r="BB183" i="4"/>
  <c r="BB184" i="4"/>
  <c r="BB185" i="4"/>
  <c r="BB186" i="4"/>
  <c r="BB187" i="4"/>
  <c r="BB188" i="4"/>
  <c r="BB189" i="4"/>
  <c r="BB190" i="4"/>
  <c r="BB191" i="4"/>
  <c r="BB192" i="4"/>
  <c r="BB193" i="4"/>
  <c r="BB194" i="4"/>
  <c r="BB195" i="4"/>
  <c r="BB196" i="4"/>
  <c r="BB197" i="4"/>
  <c r="BB198" i="4"/>
  <c r="BB199" i="4"/>
  <c r="BC33" i="4"/>
  <c r="BC34" i="4"/>
  <c r="BC36" i="4"/>
  <c r="BC37" i="4"/>
  <c r="BC38" i="4"/>
  <c r="BC39" i="4"/>
  <c r="BC40" i="4"/>
  <c r="BC41" i="4"/>
  <c r="BC42" i="4"/>
  <c r="BC43" i="4"/>
  <c r="BC44" i="4"/>
  <c r="BC45" i="4"/>
  <c r="BC46" i="4"/>
  <c r="BC47" i="4"/>
  <c r="BC48" i="4"/>
  <c r="BC49" i="4"/>
  <c r="BC50" i="4"/>
  <c r="BC51" i="4"/>
  <c r="BC52" i="4"/>
  <c r="BC53" i="4"/>
  <c r="BC54" i="4"/>
  <c r="BC55" i="4"/>
  <c r="BC56" i="4"/>
  <c r="BC57" i="4"/>
  <c r="BC58" i="4"/>
  <c r="BC59" i="4"/>
  <c r="BC60" i="4"/>
  <c r="BC61" i="4"/>
  <c r="BC62" i="4"/>
  <c r="BC63" i="4"/>
  <c r="BC64" i="4"/>
  <c r="BC65" i="4"/>
  <c r="BC66" i="4"/>
  <c r="BC67" i="4"/>
  <c r="BC68" i="4"/>
  <c r="BC69" i="4"/>
  <c r="BC70" i="4"/>
  <c r="BC71" i="4"/>
  <c r="BC72" i="4"/>
  <c r="BC73" i="4"/>
  <c r="BC74" i="4"/>
  <c r="BC75" i="4"/>
  <c r="BC76" i="4"/>
  <c r="BC77" i="4"/>
  <c r="BC78" i="4"/>
  <c r="BC79" i="4"/>
  <c r="BC80" i="4"/>
  <c r="BC81" i="4"/>
  <c r="BC82" i="4"/>
  <c r="BC83" i="4"/>
  <c r="BC84" i="4"/>
  <c r="BC85" i="4"/>
  <c r="BC86" i="4"/>
  <c r="BC87" i="4"/>
  <c r="BC88" i="4"/>
  <c r="BC89" i="4"/>
  <c r="BC90" i="4"/>
  <c r="BC91" i="4"/>
  <c r="BC92" i="4"/>
  <c r="BC93" i="4"/>
  <c r="BC94" i="4"/>
  <c r="BC95" i="4"/>
  <c r="BC96" i="4"/>
  <c r="BC97" i="4"/>
  <c r="BC98" i="4"/>
  <c r="BC99" i="4"/>
  <c r="BC100" i="4"/>
  <c r="BC101" i="4"/>
  <c r="BC102" i="4"/>
  <c r="BC103" i="4"/>
  <c r="BC104" i="4"/>
  <c r="BC105" i="4"/>
  <c r="BC106" i="4"/>
  <c r="BC107" i="4"/>
  <c r="BC108" i="4"/>
  <c r="BC109" i="4"/>
  <c r="BC110" i="4"/>
  <c r="BC111" i="4"/>
  <c r="BC112" i="4"/>
  <c r="BC113" i="4"/>
  <c r="BC114" i="4"/>
  <c r="BC115" i="4"/>
  <c r="BC116" i="4"/>
  <c r="BC117" i="4"/>
  <c r="BC118" i="4"/>
  <c r="BC119" i="4"/>
  <c r="BC120" i="4"/>
  <c r="BC121" i="4"/>
  <c r="BC122" i="4"/>
  <c r="BC123" i="4"/>
  <c r="BC124" i="4"/>
  <c r="BC125" i="4"/>
  <c r="BC126" i="4"/>
  <c r="BC127" i="4"/>
  <c r="BC128" i="4"/>
  <c r="BC129" i="4"/>
  <c r="BC130" i="4"/>
  <c r="BC131" i="4"/>
  <c r="BC132" i="4"/>
  <c r="BC133" i="4"/>
  <c r="BC134" i="4"/>
  <c r="BC135" i="4"/>
  <c r="BC136" i="4"/>
  <c r="BC137" i="4"/>
  <c r="BC138" i="4"/>
  <c r="BC139" i="4"/>
  <c r="BC140" i="4"/>
  <c r="BC141" i="4"/>
  <c r="BC142" i="4"/>
  <c r="BC143" i="4"/>
  <c r="BC144" i="4"/>
  <c r="BC145" i="4"/>
  <c r="BC146" i="4"/>
  <c r="BC147" i="4"/>
  <c r="BC148" i="4"/>
  <c r="BC149" i="4"/>
  <c r="BC150" i="4"/>
  <c r="BC151" i="4"/>
  <c r="BC152" i="4"/>
  <c r="BC153" i="4"/>
  <c r="BC154" i="4"/>
  <c r="BC155" i="4"/>
  <c r="BC156" i="4"/>
  <c r="BC157" i="4"/>
  <c r="BC158" i="4"/>
  <c r="BC159" i="4"/>
  <c r="BC160" i="4"/>
  <c r="BC161" i="4"/>
  <c r="BC162" i="4"/>
  <c r="BC163" i="4"/>
  <c r="BC164" i="4"/>
  <c r="BC165" i="4"/>
  <c r="BC166" i="4"/>
  <c r="BC167" i="4"/>
  <c r="BC168" i="4"/>
  <c r="BC169" i="4"/>
  <c r="BC170" i="4"/>
  <c r="BC171" i="4"/>
  <c r="BC172" i="4"/>
  <c r="BC173" i="4"/>
  <c r="BC174" i="4"/>
  <c r="BC175" i="4"/>
  <c r="BC176" i="4"/>
  <c r="BC177" i="4"/>
  <c r="BC178" i="4"/>
  <c r="BC179" i="4"/>
  <c r="BC180" i="4"/>
  <c r="BC181" i="4"/>
  <c r="BC182" i="4"/>
  <c r="BC183" i="4"/>
  <c r="BC184" i="4"/>
  <c r="BC185" i="4"/>
  <c r="BC186" i="4"/>
  <c r="BC187" i="4"/>
  <c r="BC188" i="4"/>
  <c r="BC189" i="4"/>
  <c r="BC190" i="4"/>
  <c r="BC191" i="4"/>
  <c r="BC192" i="4"/>
  <c r="BC193" i="4"/>
  <c r="BC194" i="4"/>
  <c r="BC195" i="4"/>
  <c r="BC196" i="4"/>
  <c r="BC197" i="4"/>
  <c r="BC198" i="4"/>
  <c r="BC199" i="4"/>
  <c r="BC32" i="4"/>
  <c r="B33" i="4"/>
  <c r="B3" i="11" s="1"/>
  <c r="B3" i="12" s="1"/>
  <c r="C33" i="4"/>
  <c r="C3" i="11" s="1"/>
  <c r="C3" i="12" s="1"/>
  <c r="Q2" i="13" s="1"/>
  <c r="B34" i="4"/>
  <c r="B4" i="11" s="1"/>
  <c r="B4" i="12" s="1"/>
  <c r="C34" i="4"/>
  <c r="C4" i="11" s="1"/>
  <c r="C4" i="12" s="1"/>
  <c r="B35" i="4"/>
  <c r="B5" i="11" s="1"/>
  <c r="B5" i="12" s="1"/>
  <c r="C35" i="4"/>
  <c r="C5" i="11" s="1"/>
  <c r="C5" i="12" s="1"/>
  <c r="B36" i="4"/>
  <c r="B6" i="11" s="1"/>
  <c r="B6" i="12" s="1"/>
  <c r="C36" i="4"/>
  <c r="C6" i="11" s="1"/>
  <c r="C6" i="12" s="1"/>
  <c r="B37" i="4"/>
  <c r="B7" i="11" s="1"/>
  <c r="B7" i="12" s="1"/>
  <c r="C37" i="4"/>
  <c r="C7" i="11" s="1"/>
  <c r="C7" i="12" s="1"/>
  <c r="B38" i="4"/>
  <c r="B8" i="11" s="1"/>
  <c r="B8" i="12" s="1"/>
  <c r="C38" i="4"/>
  <c r="C8" i="11" s="1"/>
  <c r="C8" i="12" s="1"/>
  <c r="B39" i="4"/>
  <c r="B9" i="11" s="1"/>
  <c r="B9" i="12" s="1"/>
  <c r="C39" i="4"/>
  <c r="C9" i="11" s="1"/>
  <c r="C9" i="12" s="1"/>
  <c r="B40" i="4"/>
  <c r="B10" i="11" s="1"/>
  <c r="B10" i="12" s="1"/>
  <c r="C40" i="4"/>
  <c r="C10" i="11" s="1"/>
  <c r="C10" i="12" s="1"/>
  <c r="B41" i="4"/>
  <c r="B11" i="11" s="1"/>
  <c r="B11" i="12" s="1"/>
  <c r="C41" i="4"/>
  <c r="C11" i="11" s="1"/>
  <c r="C11" i="12" s="1"/>
  <c r="B42" i="4"/>
  <c r="B12" i="11" s="1"/>
  <c r="B12" i="12" s="1"/>
  <c r="C42" i="4"/>
  <c r="C12" i="11" s="1"/>
  <c r="C12" i="12" s="1"/>
  <c r="B43" i="4"/>
  <c r="B13" i="11" s="1"/>
  <c r="B13" i="12" s="1"/>
  <c r="C43" i="4"/>
  <c r="C13" i="11" s="1"/>
  <c r="C13" i="12" s="1"/>
  <c r="B44" i="4"/>
  <c r="B14" i="11" s="1"/>
  <c r="B14" i="12" s="1"/>
  <c r="C44" i="4"/>
  <c r="C14" i="11" s="1"/>
  <c r="C14" i="12" s="1"/>
  <c r="B45" i="4"/>
  <c r="B15" i="11" s="1"/>
  <c r="B15" i="12" s="1"/>
  <c r="C45" i="4"/>
  <c r="C15" i="11" s="1"/>
  <c r="C15" i="12" s="1"/>
  <c r="B46" i="4"/>
  <c r="B16" i="11" s="1"/>
  <c r="B16" i="12" s="1"/>
  <c r="C46" i="4"/>
  <c r="C16" i="11" s="1"/>
  <c r="C16" i="12" s="1"/>
  <c r="B47" i="4"/>
  <c r="B17" i="11" s="1"/>
  <c r="B17" i="12" s="1"/>
  <c r="C47" i="4"/>
  <c r="C17" i="11" s="1"/>
  <c r="C17" i="12" s="1"/>
  <c r="B48" i="4"/>
  <c r="B18" i="11" s="1"/>
  <c r="B18" i="12" s="1"/>
  <c r="C48" i="4"/>
  <c r="C18" i="11" s="1"/>
  <c r="C18" i="12" s="1"/>
  <c r="B49" i="4"/>
  <c r="B19" i="11" s="1"/>
  <c r="B19" i="12" s="1"/>
  <c r="C49" i="4"/>
  <c r="C19" i="11" s="1"/>
  <c r="C19" i="12" s="1"/>
  <c r="B50" i="4"/>
  <c r="B20" i="11" s="1"/>
  <c r="B20" i="12" s="1"/>
  <c r="C50" i="4"/>
  <c r="C20" i="11" s="1"/>
  <c r="C20" i="12" s="1"/>
  <c r="B51" i="4"/>
  <c r="B21" i="11" s="1"/>
  <c r="B21" i="12" s="1"/>
  <c r="C51" i="4"/>
  <c r="C21" i="11" s="1"/>
  <c r="C21" i="12" s="1"/>
  <c r="B52" i="4"/>
  <c r="B22" i="11" s="1"/>
  <c r="B22" i="12" s="1"/>
  <c r="C52" i="4"/>
  <c r="C22" i="11" s="1"/>
  <c r="C22" i="12" s="1"/>
  <c r="B53" i="4"/>
  <c r="B23" i="11" s="1"/>
  <c r="B23" i="12" s="1"/>
  <c r="C53" i="4"/>
  <c r="C23" i="11" s="1"/>
  <c r="C23" i="12" s="1"/>
  <c r="AB2" i="13" s="1"/>
  <c r="B54" i="4"/>
  <c r="B24" i="11" s="1"/>
  <c r="B24" i="12" s="1"/>
  <c r="C54" i="4"/>
  <c r="C24" i="11" s="1"/>
  <c r="C24" i="12" s="1"/>
  <c r="B55" i="4"/>
  <c r="B25" i="11" s="1"/>
  <c r="B25" i="12" s="1"/>
  <c r="C55" i="4"/>
  <c r="C25" i="11" s="1"/>
  <c r="C25" i="12" s="1"/>
  <c r="B56" i="4"/>
  <c r="B26" i="11" s="1"/>
  <c r="B26" i="12" s="1"/>
  <c r="C56" i="4"/>
  <c r="C26" i="11" s="1"/>
  <c r="C26" i="12" s="1"/>
  <c r="B57" i="4"/>
  <c r="B27" i="11" s="1"/>
  <c r="B27" i="12" s="1"/>
  <c r="C57" i="4"/>
  <c r="C27" i="11" s="1"/>
  <c r="C27" i="12" s="1"/>
  <c r="D2" i="13" s="1"/>
  <c r="B58" i="4"/>
  <c r="B28" i="11" s="1"/>
  <c r="B28" i="12" s="1"/>
  <c r="C58" i="4"/>
  <c r="C28" i="11" s="1"/>
  <c r="C28" i="12" s="1"/>
  <c r="B59" i="4"/>
  <c r="B29" i="11" s="1"/>
  <c r="B29" i="12" s="1"/>
  <c r="C59" i="4"/>
  <c r="C29" i="11" s="1"/>
  <c r="C29" i="12" s="1"/>
  <c r="B60" i="4"/>
  <c r="B30" i="11" s="1"/>
  <c r="B30" i="12" s="1"/>
  <c r="C60" i="4"/>
  <c r="C30" i="11" s="1"/>
  <c r="C30" i="12" s="1"/>
  <c r="B61" i="4"/>
  <c r="B31" i="11" s="1"/>
  <c r="B31" i="12" s="1"/>
  <c r="C61" i="4"/>
  <c r="C31" i="11" s="1"/>
  <c r="C31" i="12" s="1"/>
  <c r="B62" i="4"/>
  <c r="B32" i="11" s="1"/>
  <c r="B32" i="12" s="1"/>
  <c r="C62" i="4"/>
  <c r="C32" i="11" s="1"/>
  <c r="C32" i="12" s="1"/>
  <c r="B63" i="4"/>
  <c r="B33" i="11" s="1"/>
  <c r="B33" i="12" s="1"/>
  <c r="C63" i="4"/>
  <c r="C33" i="11" s="1"/>
  <c r="C33" i="12" s="1"/>
  <c r="B64" i="4"/>
  <c r="B34" i="11" s="1"/>
  <c r="B34" i="12" s="1"/>
  <c r="C64" i="4"/>
  <c r="C34" i="11" s="1"/>
  <c r="C34" i="12" s="1"/>
  <c r="B65" i="4"/>
  <c r="B35" i="11" s="1"/>
  <c r="B35" i="12" s="1"/>
  <c r="C65" i="4"/>
  <c r="C35" i="11" s="1"/>
  <c r="C35" i="12" s="1"/>
  <c r="B66" i="4"/>
  <c r="B36" i="11" s="1"/>
  <c r="B36" i="12" s="1"/>
  <c r="C66" i="4"/>
  <c r="C36" i="11" s="1"/>
  <c r="C36" i="12" s="1"/>
  <c r="B67" i="4"/>
  <c r="B37" i="11" s="1"/>
  <c r="B37" i="12" s="1"/>
  <c r="C67" i="4"/>
  <c r="C37" i="11" s="1"/>
  <c r="C37" i="12" s="1"/>
  <c r="B68" i="4"/>
  <c r="B38" i="11" s="1"/>
  <c r="B38" i="12" s="1"/>
  <c r="C68" i="4"/>
  <c r="C38" i="11" s="1"/>
  <c r="C38" i="12" s="1"/>
  <c r="B69" i="4"/>
  <c r="B39" i="11" s="1"/>
  <c r="B39" i="12" s="1"/>
  <c r="C69" i="4"/>
  <c r="C39" i="11" s="1"/>
  <c r="C39" i="12" s="1"/>
  <c r="B70" i="4"/>
  <c r="B40" i="11" s="1"/>
  <c r="B40" i="12" s="1"/>
  <c r="C70" i="4"/>
  <c r="C40" i="11" s="1"/>
  <c r="C40" i="12" s="1"/>
  <c r="B71" i="4"/>
  <c r="B41" i="11" s="1"/>
  <c r="B41" i="12" s="1"/>
  <c r="C71" i="4"/>
  <c r="C41" i="11" s="1"/>
  <c r="C41" i="12" s="1"/>
  <c r="B72" i="4"/>
  <c r="B42" i="11" s="1"/>
  <c r="B42" i="12" s="1"/>
  <c r="C72" i="4"/>
  <c r="C42" i="11" s="1"/>
  <c r="C42" i="12" s="1"/>
  <c r="B73" i="4"/>
  <c r="B43" i="11" s="1"/>
  <c r="B43" i="12" s="1"/>
  <c r="C73" i="4"/>
  <c r="C43" i="11" s="1"/>
  <c r="C43" i="12" s="1"/>
  <c r="B74" i="4"/>
  <c r="B44" i="11" s="1"/>
  <c r="B44" i="12" s="1"/>
  <c r="C74" i="4"/>
  <c r="C44" i="11" s="1"/>
  <c r="C44" i="12" s="1"/>
  <c r="B75" i="4"/>
  <c r="B45" i="11" s="1"/>
  <c r="B45" i="12" s="1"/>
  <c r="C75" i="4"/>
  <c r="C45" i="11" s="1"/>
  <c r="C45" i="12" s="1"/>
  <c r="B76" i="4"/>
  <c r="B46" i="11" s="1"/>
  <c r="B46" i="12" s="1"/>
  <c r="C76" i="4"/>
  <c r="C46" i="11" s="1"/>
  <c r="C46" i="12" s="1"/>
  <c r="B77" i="4"/>
  <c r="B47" i="11" s="1"/>
  <c r="B47" i="12" s="1"/>
  <c r="C77" i="4"/>
  <c r="C47" i="11" s="1"/>
  <c r="C47" i="12" s="1"/>
  <c r="B78" i="4"/>
  <c r="B48" i="11" s="1"/>
  <c r="B48" i="12" s="1"/>
  <c r="C78" i="4"/>
  <c r="C48" i="11" s="1"/>
  <c r="C48" i="12" s="1"/>
  <c r="B79" i="4"/>
  <c r="B49" i="11" s="1"/>
  <c r="B49" i="12" s="1"/>
  <c r="C79" i="4"/>
  <c r="C49" i="11" s="1"/>
  <c r="C49" i="12" s="1"/>
  <c r="B80" i="4"/>
  <c r="B50" i="11" s="1"/>
  <c r="B50" i="12" s="1"/>
  <c r="C80" i="4"/>
  <c r="C50" i="11" s="1"/>
  <c r="C50" i="12" s="1"/>
  <c r="B81" i="4"/>
  <c r="B51" i="11" s="1"/>
  <c r="B51" i="12" s="1"/>
  <c r="C81" i="4"/>
  <c r="C51" i="11" s="1"/>
  <c r="C51" i="12" s="1"/>
  <c r="B82" i="4"/>
  <c r="B52" i="11" s="1"/>
  <c r="B52" i="12" s="1"/>
  <c r="C82" i="4"/>
  <c r="C52" i="11" s="1"/>
  <c r="C52" i="12" s="1"/>
  <c r="B83" i="4"/>
  <c r="B53" i="11" s="1"/>
  <c r="B53" i="12" s="1"/>
  <c r="C83" i="4"/>
  <c r="C53" i="11" s="1"/>
  <c r="C53" i="12" s="1"/>
  <c r="B84" i="4"/>
  <c r="B54" i="11" s="1"/>
  <c r="B54" i="12" s="1"/>
  <c r="C84" i="4"/>
  <c r="C54" i="11" s="1"/>
  <c r="C54" i="12" s="1"/>
  <c r="X2" i="13" s="1"/>
  <c r="B85" i="4"/>
  <c r="B55" i="11" s="1"/>
  <c r="B55" i="12" s="1"/>
  <c r="C85" i="4"/>
  <c r="C55" i="11" s="1"/>
  <c r="C55" i="12" s="1"/>
  <c r="B86" i="4"/>
  <c r="B56" i="11" s="1"/>
  <c r="B56" i="12" s="1"/>
  <c r="C86" i="4"/>
  <c r="C56" i="11" s="1"/>
  <c r="C56" i="12" s="1"/>
  <c r="B87" i="4"/>
  <c r="B57" i="11" s="1"/>
  <c r="B57" i="12" s="1"/>
  <c r="C87" i="4"/>
  <c r="C57" i="11" s="1"/>
  <c r="C57" i="12" s="1"/>
  <c r="B88" i="4"/>
  <c r="B58" i="11" s="1"/>
  <c r="B58" i="12" s="1"/>
  <c r="C88" i="4"/>
  <c r="C58" i="11" s="1"/>
  <c r="C58" i="12" s="1"/>
  <c r="B89" i="4"/>
  <c r="B59" i="11" s="1"/>
  <c r="B59" i="12" s="1"/>
  <c r="C89" i="4"/>
  <c r="C59" i="11" s="1"/>
  <c r="C59" i="12" s="1"/>
  <c r="B90" i="4"/>
  <c r="B60" i="11" s="1"/>
  <c r="B60" i="12" s="1"/>
  <c r="C90" i="4"/>
  <c r="C60" i="11" s="1"/>
  <c r="C60" i="12" s="1"/>
  <c r="B91" i="4"/>
  <c r="B61" i="11" s="1"/>
  <c r="B61" i="12" s="1"/>
  <c r="C91" i="4"/>
  <c r="C61" i="11" s="1"/>
  <c r="C61" i="12" s="1"/>
  <c r="B92" i="4"/>
  <c r="B62" i="11" s="1"/>
  <c r="B62" i="12" s="1"/>
  <c r="C92" i="4"/>
  <c r="C62" i="11" s="1"/>
  <c r="C62" i="12" s="1"/>
  <c r="B93" i="4"/>
  <c r="B63" i="11" s="1"/>
  <c r="B63" i="12" s="1"/>
  <c r="C93" i="4"/>
  <c r="C63" i="11" s="1"/>
  <c r="C63" i="12" s="1"/>
  <c r="B94" i="4"/>
  <c r="B64" i="11" s="1"/>
  <c r="B64" i="12" s="1"/>
  <c r="C94" i="4"/>
  <c r="C64" i="11" s="1"/>
  <c r="C64" i="12" s="1"/>
  <c r="B95" i="4"/>
  <c r="B65" i="11" s="1"/>
  <c r="B65" i="12" s="1"/>
  <c r="C95" i="4"/>
  <c r="C65" i="11" s="1"/>
  <c r="C65" i="12" s="1"/>
  <c r="B96" i="4"/>
  <c r="B66" i="11" s="1"/>
  <c r="B66" i="12" s="1"/>
  <c r="C96" i="4"/>
  <c r="C66" i="11" s="1"/>
  <c r="C66" i="12" s="1"/>
  <c r="B97" i="4"/>
  <c r="B67" i="11" s="1"/>
  <c r="B67" i="12" s="1"/>
  <c r="C97" i="4"/>
  <c r="C67" i="11" s="1"/>
  <c r="C67" i="12" s="1"/>
  <c r="B98" i="4"/>
  <c r="B68" i="11" s="1"/>
  <c r="B68" i="12" s="1"/>
  <c r="C98" i="4"/>
  <c r="C68" i="11" s="1"/>
  <c r="C68" i="12" s="1"/>
  <c r="B99" i="4"/>
  <c r="B69" i="11" s="1"/>
  <c r="B69" i="12" s="1"/>
  <c r="C99" i="4"/>
  <c r="C69" i="11" s="1"/>
  <c r="C69" i="12" s="1"/>
  <c r="B100" i="4"/>
  <c r="B70" i="11" s="1"/>
  <c r="B70" i="12" s="1"/>
  <c r="C100" i="4"/>
  <c r="C70" i="11" s="1"/>
  <c r="C70" i="12" s="1"/>
  <c r="B101" i="4"/>
  <c r="B71" i="11" s="1"/>
  <c r="B71" i="12" s="1"/>
  <c r="C101" i="4"/>
  <c r="C71" i="11" s="1"/>
  <c r="C71" i="12" s="1"/>
  <c r="B102" i="4"/>
  <c r="B72" i="11" s="1"/>
  <c r="B72" i="12" s="1"/>
  <c r="C102" i="4"/>
  <c r="C72" i="11" s="1"/>
  <c r="C72" i="12" s="1"/>
  <c r="B103" i="4"/>
  <c r="B73" i="11" s="1"/>
  <c r="B73" i="12" s="1"/>
  <c r="C103" i="4"/>
  <c r="C73" i="11" s="1"/>
  <c r="C73" i="12" s="1"/>
  <c r="B104" i="4"/>
  <c r="B74" i="11" s="1"/>
  <c r="B74" i="12" s="1"/>
  <c r="C104" i="4"/>
  <c r="C74" i="11" s="1"/>
  <c r="C74" i="12" s="1"/>
  <c r="B105" i="4"/>
  <c r="B75" i="11" s="1"/>
  <c r="B75" i="12" s="1"/>
  <c r="C105" i="4"/>
  <c r="C75" i="11" s="1"/>
  <c r="C75" i="12" s="1"/>
  <c r="B106" i="4"/>
  <c r="B76" i="11" s="1"/>
  <c r="B76" i="12" s="1"/>
  <c r="C106" i="4"/>
  <c r="C76" i="11" s="1"/>
  <c r="C76" i="12" s="1"/>
  <c r="B107" i="4"/>
  <c r="B77" i="11" s="1"/>
  <c r="B77" i="12" s="1"/>
  <c r="C107" i="4"/>
  <c r="C77" i="11" s="1"/>
  <c r="C77" i="12" s="1"/>
  <c r="B108" i="4"/>
  <c r="B78" i="11" s="1"/>
  <c r="B78" i="12" s="1"/>
  <c r="C108" i="4"/>
  <c r="C78" i="11" s="1"/>
  <c r="C78" i="12" s="1"/>
  <c r="B109" i="4"/>
  <c r="B79" i="11" s="1"/>
  <c r="B79" i="12" s="1"/>
  <c r="C109" i="4"/>
  <c r="C79" i="11" s="1"/>
  <c r="C79" i="12" s="1"/>
  <c r="B110" i="4"/>
  <c r="B80" i="11" s="1"/>
  <c r="B80" i="12" s="1"/>
  <c r="C110" i="4"/>
  <c r="C80" i="11" s="1"/>
  <c r="C80" i="12" s="1"/>
  <c r="B111" i="4"/>
  <c r="B81" i="11" s="1"/>
  <c r="B81" i="12" s="1"/>
  <c r="C111" i="4"/>
  <c r="C81" i="11" s="1"/>
  <c r="C81" i="12" s="1"/>
  <c r="B112" i="4"/>
  <c r="B82" i="11" s="1"/>
  <c r="B82" i="12" s="1"/>
  <c r="C112" i="4"/>
  <c r="C82" i="11" s="1"/>
  <c r="C82" i="12" s="1"/>
  <c r="B113" i="4"/>
  <c r="B83" i="11" s="1"/>
  <c r="B83" i="12" s="1"/>
  <c r="C113" i="4"/>
  <c r="C83" i="11" s="1"/>
  <c r="C83" i="12" s="1"/>
  <c r="B114" i="4"/>
  <c r="B84" i="11" s="1"/>
  <c r="B84" i="12" s="1"/>
  <c r="C114" i="4"/>
  <c r="C84" i="11" s="1"/>
  <c r="C84" i="12" s="1"/>
  <c r="B115" i="4"/>
  <c r="B85" i="11" s="1"/>
  <c r="B85" i="12" s="1"/>
  <c r="C115" i="4"/>
  <c r="C85" i="11" s="1"/>
  <c r="C85" i="12" s="1"/>
  <c r="B116" i="4"/>
  <c r="B86" i="11" s="1"/>
  <c r="B86" i="12" s="1"/>
  <c r="C116" i="4"/>
  <c r="C86" i="11" s="1"/>
  <c r="C86" i="12" s="1"/>
  <c r="B117" i="4"/>
  <c r="B87" i="11" s="1"/>
  <c r="B87" i="12" s="1"/>
  <c r="C117" i="4"/>
  <c r="C87" i="11" s="1"/>
  <c r="C87" i="12" s="1"/>
  <c r="B118" i="4"/>
  <c r="B88" i="11" s="1"/>
  <c r="B88" i="12" s="1"/>
  <c r="C118" i="4"/>
  <c r="C88" i="11" s="1"/>
  <c r="C88" i="12" s="1"/>
  <c r="B119" i="4"/>
  <c r="B89" i="11" s="1"/>
  <c r="B89" i="12" s="1"/>
  <c r="C119" i="4"/>
  <c r="C89" i="11" s="1"/>
  <c r="C89" i="12" s="1"/>
  <c r="B120" i="4"/>
  <c r="B90" i="11" s="1"/>
  <c r="B90" i="12" s="1"/>
  <c r="C120" i="4"/>
  <c r="C90" i="11" s="1"/>
  <c r="C90" i="12" s="1"/>
  <c r="B121" i="4"/>
  <c r="B91" i="11" s="1"/>
  <c r="B91" i="12" s="1"/>
  <c r="C121" i="4"/>
  <c r="C91" i="11" s="1"/>
  <c r="C91" i="12" s="1"/>
  <c r="B122" i="4"/>
  <c r="B92" i="11" s="1"/>
  <c r="B92" i="12" s="1"/>
  <c r="C122" i="4"/>
  <c r="C92" i="11" s="1"/>
  <c r="C92" i="12" s="1"/>
  <c r="B123" i="4"/>
  <c r="B93" i="11" s="1"/>
  <c r="B93" i="12" s="1"/>
  <c r="C123" i="4"/>
  <c r="C93" i="11" s="1"/>
  <c r="C93" i="12" s="1"/>
  <c r="B124" i="4"/>
  <c r="B94" i="11" s="1"/>
  <c r="B94" i="12" s="1"/>
  <c r="C124" i="4"/>
  <c r="C94" i="11" s="1"/>
  <c r="C94" i="12" s="1"/>
  <c r="B125" i="4"/>
  <c r="B95" i="11" s="1"/>
  <c r="B95" i="12" s="1"/>
  <c r="C125" i="4"/>
  <c r="C95" i="11" s="1"/>
  <c r="C95" i="12" s="1"/>
  <c r="B126" i="4"/>
  <c r="B96" i="11" s="1"/>
  <c r="B96" i="12" s="1"/>
  <c r="C126" i="4"/>
  <c r="C96" i="11" s="1"/>
  <c r="C96" i="12" s="1"/>
  <c r="B127" i="4"/>
  <c r="B97" i="11" s="1"/>
  <c r="B97" i="12" s="1"/>
  <c r="C127" i="4"/>
  <c r="C97" i="11" s="1"/>
  <c r="C97" i="12" s="1"/>
  <c r="B128" i="4"/>
  <c r="B98" i="11" s="1"/>
  <c r="B98" i="12" s="1"/>
  <c r="C128" i="4"/>
  <c r="C98" i="11" s="1"/>
  <c r="C98" i="12" s="1"/>
  <c r="B129" i="4"/>
  <c r="B99" i="11" s="1"/>
  <c r="B99" i="12" s="1"/>
  <c r="C129" i="4"/>
  <c r="C99" i="11" s="1"/>
  <c r="C99" i="12" s="1"/>
  <c r="B130" i="4"/>
  <c r="B100" i="11" s="1"/>
  <c r="B100" i="12" s="1"/>
  <c r="C130" i="4"/>
  <c r="C100" i="11" s="1"/>
  <c r="C100" i="12" s="1"/>
  <c r="B131" i="4"/>
  <c r="B101" i="11" s="1"/>
  <c r="B101" i="12" s="1"/>
  <c r="C131" i="4"/>
  <c r="C101" i="11" s="1"/>
  <c r="C101" i="12" s="1"/>
  <c r="B132" i="4"/>
  <c r="B102" i="11" s="1"/>
  <c r="B102" i="12" s="1"/>
  <c r="C132" i="4"/>
  <c r="C102" i="11" s="1"/>
  <c r="C102" i="12" s="1"/>
  <c r="B133" i="4"/>
  <c r="B103" i="11" s="1"/>
  <c r="B103" i="12" s="1"/>
  <c r="C133" i="4"/>
  <c r="C103" i="11" s="1"/>
  <c r="C103" i="12" s="1"/>
  <c r="B134" i="4"/>
  <c r="B104" i="11" s="1"/>
  <c r="B104" i="12" s="1"/>
  <c r="C134" i="4"/>
  <c r="C104" i="11" s="1"/>
  <c r="C104" i="12" s="1"/>
  <c r="B135" i="4"/>
  <c r="B105" i="11" s="1"/>
  <c r="B105" i="12" s="1"/>
  <c r="C135" i="4"/>
  <c r="C105" i="11" s="1"/>
  <c r="C105" i="12" s="1"/>
  <c r="B136" i="4"/>
  <c r="B106" i="11" s="1"/>
  <c r="B106" i="12" s="1"/>
  <c r="C136" i="4"/>
  <c r="C106" i="11" s="1"/>
  <c r="C106" i="12" s="1"/>
  <c r="B137" i="4"/>
  <c r="B107" i="11" s="1"/>
  <c r="B107" i="12" s="1"/>
  <c r="C137" i="4"/>
  <c r="C107" i="11" s="1"/>
  <c r="C107" i="12" s="1"/>
  <c r="B138" i="4"/>
  <c r="B108" i="11" s="1"/>
  <c r="B108" i="12" s="1"/>
  <c r="C138" i="4"/>
  <c r="C108" i="11" s="1"/>
  <c r="C108" i="12" s="1"/>
  <c r="B139" i="4"/>
  <c r="B109" i="11" s="1"/>
  <c r="B109" i="12" s="1"/>
  <c r="C139" i="4"/>
  <c r="C109" i="11" s="1"/>
  <c r="C109" i="12" s="1"/>
  <c r="B140" i="4"/>
  <c r="B110" i="11" s="1"/>
  <c r="B110" i="12" s="1"/>
  <c r="C140" i="4"/>
  <c r="C110" i="11" s="1"/>
  <c r="C110" i="12" s="1"/>
  <c r="B141" i="4"/>
  <c r="B111" i="11" s="1"/>
  <c r="B111" i="12" s="1"/>
  <c r="C141" i="4"/>
  <c r="C111" i="11" s="1"/>
  <c r="C111" i="12" s="1"/>
  <c r="B142" i="4"/>
  <c r="B112" i="11" s="1"/>
  <c r="B112" i="12" s="1"/>
  <c r="C142" i="4"/>
  <c r="C112" i="11" s="1"/>
  <c r="C112" i="12" s="1"/>
  <c r="B143" i="4"/>
  <c r="B113" i="11" s="1"/>
  <c r="B113" i="12" s="1"/>
  <c r="C143" i="4"/>
  <c r="C113" i="11" s="1"/>
  <c r="C113" i="12" s="1"/>
  <c r="B144" i="4"/>
  <c r="B114" i="11" s="1"/>
  <c r="B114" i="12" s="1"/>
  <c r="C144" i="4"/>
  <c r="C114" i="11" s="1"/>
  <c r="C114" i="12" s="1"/>
  <c r="B145" i="4"/>
  <c r="B115" i="11" s="1"/>
  <c r="B115" i="12" s="1"/>
  <c r="C145" i="4"/>
  <c r="C115" i="11" s="1"/>
  <c r="C115" i="12" s="1"/>
  <c r="B146" i="4"/>
  <c r="B116" i="11" s="1"/>
  <c r="B116" i="12" s="1"/>
  <c r="C146" i="4"/>
  <c r="C116" i="11" s="1"/>
  <c r="C116" i="12" s="1"/>
  <c r="B147" i="4"/>
  <c r="B117" i="11" s="1"/>
  <c r="B117" i="12" s="1"/>
  <c r="C147" i="4"/>
  <c r="C117" i="11" s="1"/>
  <c r="C117" i="12" s="1"/>
  <c r="B148" i="4"/>
  <c r="B118" i="11" s="1"/>
  <c r="B118" i="12" s="1"/>
  <c r="C148" i="4"/>
  <c r="C118" i="11" s="1"/>
  <c r="C118" i="12" s="1"/>
  <c r="B149" i="4"/>
  <c r="B119" i="11" s="1"/>
  <c r="B119" i="12" s="1"/>
  <c r="C149" i="4"/>
  <c r="C119" i="11" s="1"/>
  <c r="C119" i="12" s="1"/>
  <c r="B150" i="4"/>
  <c r="B120" i="11" s="1"/>
  <c r="B120" i="12" s="1"/>
  <c r="C150" i="4"/>
  <c r="C120" i="11" s="1"/>
  <c r="C120" i="12" s="1"/>
  <c r="B151" i="4"/>
  <c r="B121" i="11" s="1"/>
  <c r="B121" i="12" s="1"/>
  <c r="C151" i="4"/>
  <c r="C121" i="11" s="1"/>
  <c r="C121" i="12" s="1"/>
  <c r="B152" i="4"/>
  <c r="B122" i="11" s="1"/>
  <c r="B122" i="12" s="1"/>
  <c r="C152" i="4"/>
  <c r="C122" i="11" s="1"/>
  <c r="C122" i="12" s="1"/>
  <c r="B153" i="4"/>
  <c r="B123" i="11" s="1"/>
  <c r="B123" i="12" s="1"/>
  <c r="C153" i="4"/>
  <c r="C123" i="11" s="1"/>
  <c r="C123" i="12" s="1"/>
  <c r="B154" i="4"/>
  <c r="B124" i="11" s="1"/>
  <c r="B124" i="12" s="1"/>
  <c r="C154" i="4"/>
  <c r="C124" i="11" s="1"/>
  <c r="C124" i="12" s="1"/>
  <c r="B155" i="4"/>
  <c r="B125" i="11" s="1"/>
  <c r="B125" i="12" s="1"/>
  <c r="C155" i="4"/>
  <c r="C125" i="11" s="1"/>
  <c r="C125" i="12" s="1"/>
  <c r="B156" i="4"/>
  <c r="B126" i="11" s="1"/>
  <c r="B126" i="12" s="1"/>
  <c r="C156" i="4"/>
  <c r="C126" i="11" s="1"/>
  <c r="C126" i="12" s="1"/>
  <c r="B157" i="4"/>
  <c r="B127" i="11" s="1"/>
  <c r="B127" i="12" s="1"/>
  <c r="C157" i="4"/>
  <c r="C127" i="11" s="1"/>
  <c r="C127" i="12" s="1"/>
  <c r="B158" i="4"/>
  <c r="B128" i="11" s="1"/>
  <c r="B128" i="12" s="1"/>
  <c r="C158" i="4"/>
  <c r="C128" i="11" s="1"/>
  <c r="C128" i="12" s="1"/>
  <c r="B159" i="4"/>
  <c r="B129" i="11" s="1"/>
  <c r="B129" i="12" s="1"/>
  <c r="C159" i="4"/>
  <c r="C129" i="11" s="1"/>
  <c r="C129" i="12" s="1"/>
  <c r="B160" i="4"/>
  <c r="B130" i="11" s="1"/>
  <c r="B130" i="12" s="1"/>
  <c r="C160" i="4"/>
  <c r="C130" i="11" s="1"/>
  <c r="C130" i="12" s="1"/>
  <c r="B161" i="4"/>
  <c r="B131" i="11" s="1"/>
  <c r="B131" i="12" s="1"/>
  <c r="C161" i="4"/>
  <c r="C131" i="11" s="1"/>
  <c r="C131" i="12" s="1"/>
  <c r="B162" i="4"/>
  <c r="B132" i="11" s="1"/>
  <c r="B132" i="12" s="1"/>
  <c r="C162" i="4"/>
  <c r="C132" i="11" s="1"/>
  <c r="C132" i="12" s="1"/>
  <c r="B163" i="4"/>
  <c r="B133" i="11" s="1"/>
  <c r="B133" i="12" s="1"/>
  <c r="C163" i="4"/>
  <c r="C133" i="11" s="1"/>
  <c r="C133" i="12" s="1"/>
  <c r="B164" i="4"/>
  <c r="B134" i="11" s="1"/>
  <c r="B134" i="12" s="1"/>
  <c r="C164" i="4"/>
  <c r="C134" i="11" s="1"/>
  <c r="C134" i="12" s="1"/>
  <c r="B165" i="4"/>
  <c r="B135" i="11" s="1"/>
  <c r="B135" i="12" s="1"/>
  <c r="C165" i="4"/>
  <c r="C135" i="11" s="1"/>
  <c r="C135" i="12" s="1"/>
  <c r="B166" i="4"/>
  <c r="B136" i="11" s="1"/>
  <c r="B136" i="12" s="1"/>
  <c r="C166" i="4"/>
  <c r="C136" i="11" s="1"/>
  <c r="C136" i="12" s="1"/>
  <c r="B167" i="4"/>
  <c r="B137" i="11" s="1"/>
  <c r="B137" i="12" s="1"/>
  <c r="C167" i="4"/>
  <c r="C137" i="11" s="1"/>
  <c r="C137" i="12" s="1"/>
  <c r="B168" i="4"/>
  <c r="B138" i="11" s="1"/>
  <c r="B138" i="12" s="1"/>
  <c r="C168" i="4"/>
  <c r="C138" i="11" s="1"/>
  <c r="C138" i="12" s="1"/>
  <c r="B169" i="4"/>
  <c r="B139" i="11" s="1"/>
  <c r="B139" i="12" s="1"/>
  <c r="C169" i="4"/>
  <c r="C139" i="11" s="1"/>
  <c r="C139" i="12" s="1"/>
  <c r="B170" i="4"/>
  <c r="B140" i="11" s="1"/>
  <c r="B140" i="12" s="1"/>
  <c r="C170" i="4"/>
  <c r="C140" i="11" s="1"/>
  <c r="C140" i="12" s="1"/>
  <c r="B171" i="4"/>
  <c r="B141" i="11" s="1"/>
  <c r="B141" i="12" s="1"/>
  <c r="C171" i="4"/>
  <c r="C141" i="11" s="1"/>
  <c r="C141" i="12" s="1"/>
  <c r="B172" i="4"/>
  <c r="B142" i="11" s="1"/>
  <c r="B142" i="12" s="1"/>
  <c r="C172" i="4"/>
  <c r="C142" i="11" s="1"/>
  <c r="C142" i="12" s="1"/>
  <c r="B173" i="4"/>
  <c r="B143" i="11" s="1"/>
  <c r="B143" i="12" s="1"/>
  <c r="C173" i="4"/>
  <c r="C143" i="11" s="1"/>
  <c r="C143" i="12" s="1"/>
  <c r="B174" i="4"/>
  <c r="B144" i="11" s="1"/>
  <c r="B144" i="12" s="1"/>
  <c r="C174" i="4"/>
  <c r="C144" i="11" s="1"/>
  <c r="C144" i="12" s="1"/>
  <c r="B175" i="4"/>
  <c r="B145" i="11" s="1"/>
  <c r="B145" i="12" s="1"/>
  <c r="C175" i="4"/>
  <c r="C145" i="11" s="1"/>
  <c r="C145" i="12" s="1"/>
  <c r="B176" i="4"/>
  <c r="B146" i="11" s="1"/>
  <c r="B146" i="12" s="1"/>
  <c r="C176" i="4"/>
  <c r="C146" i="11" s="1"/>
  <c r="C146" i="12" s="1"/>
  <c r="B177" i="4"/>
  <c r="B147" i="11" s="1"/>
  <c r="B147" i="12" s="1"/>
  <c r="C177" i="4"/>
  <c r="C147" i="11" s="1"/>
  <c r="C147" i="12" s="1"/>
  <c r="B178" i="4"/>
  <c r="B148" i="11" s="1"/>
  <c r="B148" i="12" s="1"/>
  <c r="C178" i="4"/>
  <c r="C148" i="11" s="1"/>
  <c r="C148" i="12" s="1"/>
  <c r="B179" i="4"/>
  <c r="B149" i="11" s="1"/>
  <c r="B149" i="12" s="1"/>
  <c r="C179" i="4"/>
  <c r="C149" i="11" s="1"/>
  <c r="C149" i="12" s="1"/>
  <c r="B180" i="4"/>
  <c r="B150" i="11" s="1"/>
  <c r="B150" i="12" s="1"/>
  <c r="C180" i="4"/>
  <c r="C150" i="11" s="1"/>
  <c r="C150" i="12" s="1"/>
  <c r="B181" i="4"/>
  <c r="B151" i="11" s="1"/>
  <c r="B151" i="12" s="1"/>
  <c r="C181" i="4"/>
  <c r="C151" i="11" s="1"/>
  <c r="C151" i="12" s="1"/>
  <c r="B182" i="4"/>
  <c r="B152" i="11" s="1"/>
  <c r="B152" i="12" s="1"/>
  <c r="C182" i="4"/>
  <c r="C152" i="11" s="1"/>
  <c r="C152" i="12" s="1"/>
  <c r="B183" i="4"/>
  <c r="B153" i="11" s="1"/>
  <c r="B153" i="12" s="1"/>
  <c r="C183" i="4"/>
  <c r="C153" i="11" s="1"/>
  <c r="C153" i="12" s="1"/>
  <c r="B184" i="4"/>
  <c r="B154" i="11" s="1"/>
  <c r="B154" i="12" s="1"/>
  <c r="C184" i="4"/>
  <c r="C154" i="11" s="1"/>
  <c r="C154" i="12" s="1"/>
  <c r="B185" i="4"/>
  <c r="B155" i="11" s="1"/>
  <c r="B155" i="12" s="1"/>
  <c r="C185" i="4"/>
  <c r="C155" i="11" s="1"/>
  <c r="C155" i="12" s="1"/>
  <c r="B186" i="4"/>
  <c r="B156" i="11" s="1"/>
  <c r="B156" i="12" s="1"/>
  <c r="C186" i="4"/>
  <c r="C156" i="11" s="1"/>
  <c r="C156" i="12" s="1"/>
  <c r="B187" i="4"/>
  <c r="B157" i="11" s="1"/>
  <c r="B157" i="12" s="1"/>
  <c r="C187" i="4"/>
  <c r="C157" i="11" s="1"/>
  <c r="C157" i="12" s="1"/>
  <c r="B188" i="4"/>
  <c r="B158" i="11" s="1"/>
  <c r="B158" i="12" s="1"/>
  <c r="C188" i="4"/>
  <c r="C158" i="11" s="1"/>
  <c r="C158" i="12" s="1"/>
  <c r="B189" i="4"/>
  <c r="B159" i="11" s="1"/>
  <c r="B159" i="12" s="1"/>
  <c r="C189" i="4"/>
  <c r="C159" i="11" s="1"/>
  <c r="C159" i="12" s="1"/>
  <c r="B190" i="4"/>
  <c r="B160" i="11" s="1"/>
  <c r="B160" i="12" s="1"/>
  <c r="C190" i="4"/>
  <c r="C160" i="11" s="1"/>
  <c r="C160" i="12" s="1"/>
  <c r="B191" i="4"/>
  <c r="B161" i="11" s="1"/>
  <c r="B161" i="12" s="1"/>
  <c r="C191" i="4"/>
  <c r="C161" i="11" s="1"/>
  <c r="C161" i="12" s="1"/>
  <c r="B192" i="4"/>
  <c r="B162" i="11" s="1"/>
  <c r="B162" i="12" s="1"/>
  <c r="C192" i="4"/>
  <c r="C162" i="11" s="1"/>
  <c r="C162" i="12" s="1"/>
  <c r="B193" i="4"/>
  <c r="B163" i="11" s="1"/>
  <c r="B163" i="12" s="1"/>
  <c r="C193" i="4"/>
  <c r="C163" i="11" s="1"/>
  <c r="C163" i="12" s="1"/>
  <c r="B194" i="4"/>
  <c r="B164" i="11" s="1"/>
  <c r="B164" i="12" s="1"/>
  <c r="C194" i="4"/>
  <c r="C164" i="11" s="1"/>
  <c r="C164" i="12" s="1"/>
  <c r="B195" i="4"/>
  <c r="B165" i="11" s="1"/>
  <c r="B165" i="12" s="1"/>
  <c r="C195" i="4"/>
  <c r="C165" i="11" s="1"/>
  <c r="C165" i="12" s="1"/>
  <c r="B196" i="4"/>
  <c r="B166" i="11" s="1"/>
  <c r="B166" i="12" s="1"/>
  <c r="C196" i="4"/>
  <c r="C166" i="11" s="1"/>
  <c r="C166" i="12" s="1"/>
  <c r="B197" i="4"/>
  <c r="B167" i="11" s="1"/>
  <c r="B167" i="12" s="1"/>
  <c r="C197" i="4"/>
  <c r="C167" i="11" s="1"/>
  <c r="C167" i="12" s="1"/>
  <c r="B198" i="4"/>
  <c r="B168" i="11" s="1"/>
  <c r="B168" i="12" s="1"/>
  <c r="C198" i="4"/>
  <c r="C168" i="11" s="1"/>
  <c r="C168" i="12" s="1"/>
  <c r="B199" i="4"/>
  <c r="B169" i="11" s="1"/>
  <c r="B169" i="12" s="1"/>
  <c r="C199" i="4"/>
  <c r="C169" i="11" s="1"/>
  <c r="C169" i="12" s="1"/>
  <c r="C32" i="4"/>
  <c r="C2" i="11" s="1"/>
  <c r="C2" i="12" s="1"/>
  <c r="C3" i="4"/>
  <c r="C4" i="4"/>
  <c r="C5" i="4"/>
  <c r="C6" i="4"/>
  <c r="C31" i="4"/>
  <c r="C2" i="4"/>
  <c r="B31" i="4"/>
  <c r="B2" i="4"/>
  <c r="U2" i="13" l="1"/>
  <c r="W2" i="13"/>
  <c r="V2" i="13"/>
  <c r="G2" i="13"/>
  <c r="F2" i="13"/>
  <c r="H2" i="13"/>
  <c r="R2" i="13"/>
  <c r="T2" i="13"/>
  <c r="J2" i="13"/>
  <c r="S2" i="13"/>
  <c r="I2" i="13"/>
  <c r="N2" i="13"/>
  <c r="O2" i="13"/>
  <c r="P2" i="13"/>
  <c r="AF2" i="13"/>
  <c r="AG2" i="13"/>
  <c r="K2" i="13"/>
  <c r="M2" i="13"/>
  <c r="L2" i="13"/>
  <c r="AA2" i="13"/>
  <c r="Z2" i="13"/>
  <c r="Y2" i="13"/>
  <c r="AC2" i="13"/>
  <c r="AE2" i="13"/>
  <c r="AD2" i="13"/>
  <c r="E2" i="13"/>
  <c r="BF2" i="4"/>
  <c r="BE28" i="4"/>
  <c r="BH31" i="4"/>
  <c r="BH15" i="4"/>
  <c r="BG21" i="4"/>
  <c r="BF15" i="4"/>
  <c r="BH21" i="4"/>
  <c r="BF25" i="4"/>
  <c r="BG10" i="4"/>
  <c r="BE12" i="4"/>
  <c r="BF21" i="4"/>
  <c r="BF24" i="4"/>
  <c r="BG2" i="4"/>
  <c r="BF13" i="4"/>
  <c r="BF10" i="4"/>
  <c r="BF27" i="4"/>
  <c r="BF30" i="4"/>
  <c r="BF29" i="4"/>
  <c r="BF26" i="4"/>
  <c r="BD28" i="4"/>
  <c r="BE10" i="4"/>
  <c r="BH10" i="4"/>
  <c r="BF22" i="4"/>
  <c r="BH14" i="4"/>
  <c r="BH25" i="4"/>
  <c r="BE22" i="4"/>
  <c r="BF17" i="4"/>
  <c r="BE26" i="4"/>
  <c r="BF8" i="4"/>
  <c r="BE8" i="4"/>
  <c r="BF12" i="4"/>
  <c r="BG19" i="4"/>
  <c r="BG18" i="4"/>
  <c r="BE20" i="4"/>
  <c r="BE23" i="4"/>
  <c r="BG27" i="4"/>
  <c r="BE19" i="4"/>
  <c r="BG24" i="4"/>
  <c r="BH11" i="4"/>
  <c r="BF18" i="4"/>
  <c r="BF23" i="4"/>
  <c r="BH16" i="4"/>
  <c r="E2" i="4"/>
  <c r="I2" i="4"/>
  <c r="M2" i="4"/>
  <c r="Q2" i="4"/>
  <c r="U2" i="4"/>
  <c r="Y2" i="4"/>
  <c r="AC2" i="4"/>
  <c r="AG2" i="4"/>
  <c r="AK2" i="4"/>
  <c r="AO2" i="4"/>
  <c r="AS2" i="4"/>
  <c r="AW2" i="4"/>
  <c r="BA2" i="4"/>
  <c r="F2" i="4"/>
  <c r="N2" i="4"/>
  <c r="V2" i="4"/>
  <c r="AD2" i="4"/>
  <c r="AL2" i="4"/>
  <c r="AT2" i="4"/>
  <c r="D2" i="4"/>
  <c r="J2" i="4"/>
  <c r="R2" i="4"/>
  <c r="Z2" i="4"/>
  <c r="AH2" i="4"/>
  <c r="AP2" i="4"/>
  <c r="AX2" i="4"/>
  <c r="K2" i="4"/>
  <c r="O2" i="4"/>
  <c r="P2" i="4"/>
  <c r="X2" i="4"/>
  <c r="AF2" i="4"/>
  <c r="AN2" i="4"/>
  <c r="AV2" i="4"/>
  <c r="G2" i="4"/>
  <c r="S2" i="4"/>
  <c r="AA2" i="4"/>
  <c r="AI2" i="4"/>
  <c r="AQ2" i="4"/>
  <c r="AY2" i="4"/>
  <c r="L2" i="4"/>
  <c r="W2" i="4"/>
  <c r="AE2" i="4"/>
  <c r="AU2" i="4"/>
  <c r="AM2" i="4"/>
  <c r="H2" i="4"/>
  <c r="T2" i="4"/>
  <c r="AB2" i="4"/>
  <c r="AJ2" i="4"/>
  <c r="AR2" i="4"/>
  <c r="AZ2" i="4"/>
  <c r="BE7" i="4"/>
  <c r="BE13" i="4"/>
  <c r="BE9" i="4"/>
  <c r="BE11" i="4"/>
  <c r="BE16" i="4"/>
  <c r="BE21" i="4"/>
  <c r="BE24" i="4"/>
  <c r="BE25" i="4"/>
  <c r="BG14" i="4"/>
  <c r="BG8" i="4"/>
  <c r="BD2" i="4"/>
  <c r="BE17" i="4"/>
  <c r="BH24" i="4"/>
  <c r="BF7" i="4"/>
  <c r="BF9" i="4"/>
  <c r="BF19" i="4"/>
  <c r="BH20" i="4"/>
  <c r="BE27" i="4"/>
  <c r="BF28" i="4"/>
  <c r="BH12" i="4"/>
  <c r="BH9" i="4"/>
  <c r="BH7" i="4"/>
  <c r="BH8" i="4"/>
  <c r="BH17" i="4"/>
  <c r="BH19" i="4"/>
  <c r="BH26" i="4"/>
  <c r="BH27" i="4"/>
  <c r="BH13" i="4"/>
  <c r="BH23" i="4"/>
  <c r="BH18" i="4"/>
  <c r="BH30" i="4"/>
  <c r="BE2" i="4"/>
  <c r="BH2" i="4"/>
  <c r="BG7" i="4"/>
  <c r="BG9" i="4"/>
  <c r="BG13" i="4"/>
  <c r="BG17" i="4"/>
  <c r="BG11" i="4"/>
  <c r="BG12" i="4"/>
  <c r="BG25" i="4"/>
  <c r="BG30" i="4"/>
  <c r="BG29" i="4"/>
  <c r="BF11" i="4"/>
  <c r="BG16" i="4"/>
  <c r="BE18" i="4"/>
  <c r="BE14" i="4"/>
  <c r="BF14" i="4"/>
  <c r="BG20" i="4"/>
  <c r="BG22" i="4"/>
  <c r="BH28" i="4"/>
  <c r="BF20" i="4"/>
  <c r="BH22" i="4"/>
  <c r="BE30" i="4"/>
  <c r="BG28" i="4"/>
  <c r="BG26" i="4"/>
  <c r="BH29" i="4"/>
  <c r="BG15" i="4"/>
  <c r="BE15" i="4"/>
  <c r="BG23" i="4"/>
  <c r="BE29" i="4"/>
  <c r="BF16" i="4"/>
  <c r="BD14" i="4"/>
  <c r="BD8" i="4"/>
  <c r="BD10" i="4"/>
  <c r="BD20" i="4"/>
  <c r="BD7" i="4"/>
  <c r="BD15" i="4"/>
  <c r="BD18" i="4"/>
  <c r="BD19" i="4"/>
  <c r="BD26" i="4"/>
  <c r="BD27" i="4"/>
  <c r="BD30" i="4"/>
  <c r="BD22" i="4"/>
  <c r="BD9" i="4"/>
  <c r="BD11" i="4"/>
  <c r="BD12" i="4"/>
  <c r="BD13" i="4"/>
  <c r="BD17" i="4"/>
  <c r="BD21" i="4"/>
  <c r="BD16" i="4"/>
  <c r="BD23" i="4"/>
  <c r="BD29" i="4"/>
  <c r="BD24" i="4"/>
  <c r="BD25" i="4"/>
  <c r="G31" i="4"/>
  <c r="K31" i="4"/>
  <c r="O31" i="4"/>
  <c r="S31" i="4"/>
  <c r="W31" i="4"/>
  <c r="AA31" i="4"/>
  <c r="AE31" i="4"/>
  <c r="AI31" i="4"/>
  <c r="E31" i="4"/>
  <c r="J31" i="4"/>
  <c r="P31" i="4"/>
  <c r="U31" i="4"/>
  <c r="Z31" i="4"/>
  <c r="AF31" i="4"/>
  <c r="AK31" i="4"/>
  <c r="AO31" i="4"/>
  <c r="AS31" i="4"/>
  <c r="AW31" i="4"/>
  <c r="BA31" i="4"/>
  <c r="F31" i="4"/>
  <c r="Q31" i="4"/>
  <c r="V31" i="4"/>
  <c r="AB31" i="4"/>
  <c r="AL31" i="4"/>
  <c r="AP31" i="4"/>
  <c r="AX31" i="4"/>
  <c r="M31" i="4"/>
  <c r="AC31" i="4"/>
  <c r="AH31" i="4"/>
  <c r="AQ31" i="4"/>
  <c r="AY31" i="4"/>
  <c r="D31" i="4"/>
  <c r="AJ31" i="4"/>
  <c r="AR31" i="4"/>
  <c r="AZ31" i="4"/>
  <c r="L31" i="4"/>
  <c r="AG31" i="4"/>
  <c r="AT31" i="4"/>
  <c r="H31" i="4"/>
  <c r="X31" i="4"/>
  <c r="AM31" i="4"/>
  <c r="AU31" i="4"/>
  <c r="I31" i="4"/>
  <c r="T31" i="4"/>
  <c r="AD31" i="4"/>
  <c r="AV31" i="4"/>
  <c r="R31" i="4"/>
  <c r="N31" i="4"/>
  <c r="Y31" i="4"/>
  <c r="AN31" i="4"/>
  <c r="BE31" i="4"/>
  <c r="BL39" i="4"/>
  <c r="BL41" i="4"/>
  <c r="BL43" i="4"/>
  <c r="BL44" i="4"/>
  <c r="BL49" i="4"/>
  <c r="BL53" i="4"/>
  <c r="BL55" i="4"/>
  <c r="BL56" i="4"/>
  <c r="BL60" i="4"/>
  <c r="BL38" i="4"/>
  <c r="BL40" i="4"/>
  <c r="BL42" i="4"/>
  <c r="BL52" i="4"/>
  <c r="BL54" i="4"/>
  <c r="BL61" i="4"/>
  <c r="BL62" i="4"/>
  <c r="BL65" i="4"/>
  <c r="BL66" i="4"/>
  <c r="BL46" i="4"/>
  <c r="BL48" i="4"/>
  <c r="BL50" i="4"/>
  <c r="BL57" i="4"/>
  <c r="BL63" i="4"/>
  <c r="BL79" i="4"/>
  <c r="BL80" i="4"/>
  <c r="BL51" i="4"/>
  <c r="BL69" i="4"/>
  <c r="BL77" i="4"/>
  <c r="BL85" i="4"/>
  <c r="BL86" i="4"/>
  <c r="BL47" i="4"/>
  <c r="BL64" i="4"/>
  <c r="BL74" i="4"/>
  <c r="BL78" i="4"/>
  <c r="BL83" i="4"/>
  <c r="BL84" i="4"/>
  <c r="BL102" i="4"/>
  <c r="BL107" i="4"/>
  <c r="BL111" i="4"/>
  <c r="BL113" i="4"/>
  <c r="BL115" i="4"/>
  <c r="BL117" i="4"/>
  <c r="BL45" i="4"/>
  <c r="BL58" i="4"/>
  <c r="BL71" i="4"/>
  <c r="BL76" i="4"/>
  <c r="BL96" i="4"/>
  <c r="BL105" i="4"/>
  <c r="BL106" i="4"/>
  <c r="BL114" i="4"/>
  <c r="BL118" i="4"/>
  <c r="BL132" i="4"/>
  <c r="BL133" i="4"/>
  <c r="BL134" i="4"/>
  <c r="BL135" i="4"/>
  <c r="BL67" i="4"/>
  <c r="BL72" i="4"/>
  <c r="BL82" i="4"/>
  <c r="BL88" i="4"/>
  <c r="BL59" i="4"/>
  <c r="BL68" i="4"/>
  <c r="BL73" i="4"/>
  <c r="BL94" i="4"/>
  <c r="BL98" i="4"/>
  <c r="BL99" i="4"/>
  <c r="BL100" i="4"/>
  <c r="BL101" i="4"/>
  <c r="BL90" i="4"/>
  <c r="BL108" i="4"/>
  <c r="BL109" i="4"/>
  <c r="BL110" i="4"/>
  <c r="BL129" i="4"/>
  <c r="BL136" i="4"/>
  <c r="BL137" i="4"/>
  <c r="BL144" i="4"/>
  <c r="BL145" i="4"/>
  <c r="BL161" i="4"/>
  <c r="BL162" i="4"/>
  <c r="BL163" i="4"/>
  <c r="BL70" i="4"/>
  <c r="BL93" i="4"/>
  <c r="BL95" i="4"/>
  <c r="BL121" i="4"/>
  <c r="BL122" i="4"/>
  <c r="BL125" i="4"/>
  <c r="BL126" i="4"/>
  <c r="BL142" i="4"/>
  <c r="BL143" i="4"/>
  <c r="BL150" i="4"/>
  <c r="BL151" i="4"/>
  <c r="BL152" i="4"/>
  <c r="BL153" i="4"/>
  <c r="BL154" i="4"/>
  <c r="BL155" i="4"/>
  <c r="BL156" i="4"/>
  <c r="BL157" i="4"/>
  <c r="BL158" i="4"/>
  <c r="BL159" i="4"/>
  <c r="BL199" i="4"/>
  <c r="BL75" i="4"/>
  <c r="BL87" i="4"/>
  <c r="BL91" i="4"/>
  <c r="BL103" i="4"/>
  <c r="BL112" i="4"/>
  <c r="BL119" i="4"/>
  <c r="BL120" i="4"/>
  <c r="BL127" i="4"/>
  <c r="BL128" i="4"/>
  <c r="BL130" i="4"/>
  <c r="BL131" i="4"/>
  <c r="BL139" i="4"/>
  <c r="BL146" i="4"/>
  <c r="BL165" i="4"/>
  <c r="BL169" i="4"/>
  <c r="BL173" i="4"/>
  <c r="BL177" i="4"/>
  <c r="BL181" i="4"/>
  <c r="BL183" i="4"/>
  <c r="BL186" i="4"/>
  <c r="BL188" i="4"/>
  <c r="BL89" i="4"/>
  <c r="BL92" i="4"/>
  <c r="BL116" i="4"/>
  <c r="BL140" i="4"/>
  <c r="BL149" i="4"/>
  <c r="BL170" i="4"/>
  <c r="BL174" i="4"/>
  <c r="BL178" i="4"/>
  <c r="BL182" i="4"/>
  <c r="BL184" i="4"/>
  <c r="BL193" i="4"/>
  <c r="BL195" i="4"/>
  <c r="BL104" i="4"/>
  <c r="BL123" i="4"/>
  <c r="BL124" i="4"/>
  <c r="BL138" i="4"/>
  <c r="BL147" i="4"/>
  <c r="BL164" i="4"/>
  <c r="BL166" i="4"/>
  <c r="BL171" i="4"/>
  <c r="BL175" i="4"/>
  <c r="BL179" i="4"/>
  <c r="BL189" i="4"/>
  <c r="BL191" i="4"/>
  <c r="BL194" i="4"/>
  <c r="BL196" i="4"/>
  <c r="BL197" i="4"/>
  <c r="BL81" i="4"/>
  <c r="BL167" i="4"/>
  <c r="BL176" i="4"/>
  <c r="BL148" i="4"/>
  <c r="BL172" i="4"/>
  <c r="BL198" i="4"/>
  <c r="BL97" i="4"/>
  <c r="BL141" i="4"/>
  <c r="BL160" i="4"/>
  <c r="BL180" i="4"/>
  <c r="BL185" i="4"/>
  <c r="BL190" i="4"/>
  <c r="BL168" i="4"/>
  <c r="BL187" i="4"/>
  <c r="BL192" i="4"/>
  <c r="BG31" i="4"/>
  <c r="BF31" i="4"/>
  <c r="BD31" i="4"/>
  <c r="BM45" i="4"/>
  <c r="BM46" i="4"/>
  <c r="BM47" i="4"/>
  <c r="BM48" i="4"/>
  <c r="BM50" i="4"/>
  <c r="BM57" i="4"/>
  <c r="BM58" i="4"/>
  <c r="BM63" i="4"/>
  <c r="BM39" i="4"/>
  <c r="BM41" i="4"/>
  <c r="BM43" i="4"/>
  <c r="BM44" i="4"/>
  <c r="BM49" i="4"/>
  <c r="BM53" i="4"/>
  <c r="BM55" i="4"/>
  <c r="BM56" i="4"/>
  <c r="BM60" i="4"/>
  <c r="BM59" i="4"/>
  <c r="BM67" i="4"/>
  <c r="BM68" i="4"/>
  <c r="BM69" i="4"/>
  <c r="BM72" i="4"/>
  <c r="BM73" i="4"/>
  <c r="BM38" i="4"/>
  <c r="BM40" i="4"/>
  <c r="BM42" i="4"/>
  <c r="BM52" i="4"/>
  <c r="BM61" i="4"/>
  <c r="BM62" i="4"/>
  <c r="BM71" i="4"/>
  <c r="BM76" i="4"/>
  <c r="BM51" i="4"/>
  <c r="BM77" i="4"/>
  <c r="BM85" i="4"/>
  <c r="BM86" i="4"/>
  <c r="BM99" i="4"/>
  <c r="BM103" i="4"/>
  <c r="BM108" i="4"/>
  <c r="BM112" i="4"/>
  <c r="BM114" i="4"/>
  <c r="BM116" i="4"/>
  <c r="BM118" i="4"/>
  <c r="BM70" i="4"/>
  <c r="BM75" i="4"/>
  <c r="BM81" i="4"/>
  <c r="BM87" i="4"/>
  <c r="BM89" i="4"/>
  <c r="BM91" i="4"/>
  <c r="BM93" i="4"/>
  <c r="BM95" i="4"/>
  <c r="BM104" i="4"/>
  <c r="BM113" i="4"/>
  <c r="BM117" i="4"/>
  <c r="BM54" i="4"/>
  <c r="BM64" i="4"/>
  <c r="BM66" i="4"/>
  <c r="BM78" i="4"/>
  <c r="BM79" i="4"/>
  <c r="BM84" i="4"/>
  <c r="BM80" i="4"/>
  <c r="BM82" i="4"/>
  <c r="BM88" i="4"/>
  <c r="BM90" i="4"/>
  <c r="BM92" i="4"/>
  <c r="BM97" i="4"/>
  <c r="BM109" i="4"/>
  <c r="BM110" i="4"/>
  <c r="BM65" i="4"/>
  <c r="BM105" i="4"/>
  <c r="BM106" i="4"/>
  <c r="BM107" i="4"/>
  <c r="BM115" i="4"/>
  <c r="BM119" i="4"/>
  <c r="BM120" i="4"/>
  <c r="BM123" i="4"/>
  <c r="BM124" i="4"/>
  <c r="BM127" i="4"/>
  <c r="BM128" i="4"/>
  <c r="BM130" i="4"/>
  <c r="BM131" i="4"/>
  <c r="BM132" i="4"/>
  <c r="BM138" i="4"/>
  <c r="BM139" i="4"/>
  <c r="BM146" i="4"/>
  <c r="BM147" i="4"/>
  <c r="BM164" i="4"/>
  <c r="BM165" i="4"/>
  <c r="BM83" i="4"/>
  <c r="BM94" i="4"/>
  <c r="BM111" i="4"/>
  <c r="BM129" i="4"/>
  <c r="BM133" i="4"/>
  <c r="BM136" i="4"/>
  <c r="BM137" i="4"/>
  <c r="BM144" i="4"/>
  <c r="BM145" i="4"/>
  <c r="BM161" i="4"/>
  <c r="BM162" i="4"/>
  <c r="BM163" i="4"/>
  <c r="BM183" i="4"/>
  <c r="BM184" i="4"/>
  <c r="BM187" i="4"/>
  <c r="BM188" i="4"/>
  <c r="BM191" i="4"/>
  <c r="BM192" i="4"/>
  <c r="BM195" i="4"/>
  <c r="BM196" i="4"/>
  <c r="BM198" i="4"/>
  <c r="BM101" i="4"/>
  <c r="BM141" i="4"/>
  <c r="BM148" i="4"/>
  <c r="BM160" i="4"/>
  <c r="BM167" i="4"/>
  <c r="BM168" i="4"/>
  <c r="BM172" i="4"/>
  <c r="BM176" i="4"/>
  <c r="BM180" i="4"/>
  <c r="BM185" i="4"/>
  <c r="BM190" i="4"/>
  <c r="BM199" i="4"/>
  <c r="BM96" i="4"/>
  <c r="BM121" i="4"/>
  <c r="BM122" i="4"/>
  <c r="BM134" i="4"/>
  <c r="BM142" i="4"/>
  <c r="BM151" i="4"/>
  <c r="BM153" i="4"/>
  <c r="BM155" i="4"/>
  <c r="BM157" i="4"/>
  <c r="BM159" i="4"/>
  <c r="BM169" i="4"/>
  <c r="BM173" i="4"/>
  <c r="BM177" i="4"/>
  <c r="BM181" i="4"/>
  <c r="BM186" i="4"/>
  <c r="BM98" i="4"/>
  <c r="BM100" i="4"/>
  <c r="BM102" i="4"/>
  <c r="BM135" i="4"/>
  <c r="BM140" i="4"/>
  <c r="BM149" i="4"/>
  <c r="BM170" i="4"/>
  <c r="BM174" i="4"/>
  <c r="BM178" i="4"/>
  <c r="BM182" i="4"/>
  <c r="BM193" i="4"/>
  <c r="BM143" i="4"/>
  <c r="BM154" i="4"/>
  <c r="BM197" i="4"/>
  <c r="BM179" i="4"/>
  <c r="BM189" i="4"/>
  <c r="BM152" i="4"/>
  <c r="BM171" i="4"/>
  <c r="BM74" i="4"/>
  <c r="BM126" i="4"/>
  <c r="BM156" i="4"/>
  <c r="BM194" i="4"/>
  <c r="BM125" i="4"/>
  <c r="BM150" i="4"/>
  <c r="BM158" i="4"/>
  <c r="BM166" i="4"/>
  <c r="BM175" i="4"/>
  <c r="BN51" i="4"/>
  <c r="BN59" i="4"/>
  <c r="BN64" i="4"/>
  <c r="BN45" i="4"/>
  <c r="BN46" i="4"/>
  <c r="BN47" i="4"/>
  <c r="BN48" i="4"/>
  <c r="BN50" i="4"/>
  <c r="BN57" i="4"/>
  <c r="BN58" i="4"/>
  <c r="BN63" i="4"/>
  <c r="BN52" i="4"/>
  <c r="BN54" i="4"/>
  <c r="BN61" i="4"/>
  <c r="BN65" i="4"/>
  <c r="BN44" i="4"/>
  <c r="BN53" i="4"/>
  <c r="BN55" i="4"/>
  <c r="BN41" i="4"/>
  <c r="BN49" i="4"/>
  <c r="BN56" i="4"/>
  <c r="BN68" i="4"/>
  <c r="BN70" i="4"/>
  <c r="BN73" i="4"/>
  <c r="BN75" i="4"/>
  <c r="BN80" i="4"/>
  <c r="BN81" i="4"/>
  <c r="BN82" i="4"/>
  <c r="BN87" i="4"/>
  <c r="BN88" i="4"/>
  <c r="BN89" i="4"/>
  <c r="BN90" i="4"/>
  <c r="BN91" i="4"/>
  <c r="BN92" i="4"/>
  <c r="BN93" i="4"/>
  <c r="BN40" i="4"/>
  <c r="BN62" i="4"/>
  <c r="BN69" i="4"/>
  <c r="BN71" i="4"/>
  <c r="BN76" i="4"/>
  <c r="BN100" i="4"/>
  <c r="BN104" i="4"/>
  <c r="BN105" i="4"/>
  <c r="BN109" i="4"/>
  <c r="BN42" i="4"/>
  <c r="BN60" i="4"/>
  <c r="BN74" i="4"/>
  <c r="BN83" i="4"/>
  <c r="BN94" i="4"/>
  <c r="BN98" i="4"/>
  <c r="BN101" i="4"/>
  <c r="BN102" i="4"/>
  <c r="BN103" i="4"/>
  <c r="BN119" i="4"/>
  <c r="BN121" i="4"/>
  <c r="BN123" i="4"/>
  <c r="BN125" i="4"/>
  <c r="BN127" i="4"/>
  <c r="BN130" i="4"/>
  <c r="BN43" i="4"/>
  <c r="BN77" i="4"/>
  <c r="BN86" i="4"/>
  <c r="BN38" i="4"/>
  <c r="BN66" i="4"/>
  <c r="BN67" i="4"/>
  <c r="BN72" i="4"/>
  <c r="BN78" i="4"/>
  <c r="BN79" i="4"/>
  <c r="BN84" i="4"/>
  <c r="BN96" i="4"/>
  <c r="BN106" i="4"/>
  <c r="BN107" i="4"/>
  <c r="BN108" i="4"/>
  <c r="BN85" i="4"/>
  <c r="BN112" i="4"/>
  <c r="BN118" i="4"/>
  <c r="BN135" i="4"/>
  <c r="BN140" i="4"/>
  <c r="BN141" i="4"/>
  <c r="BN148" i="4"/>
  <c r="BN149" i="4"/>
  <c r="BN160" i="4"/>
  <c r="BN39" i="4"/>
  <c r="BN110" i="4"/>
  <c r="BN114" i="4"/>
  <c r="BN115" i="4"/>
  <c r="BN120" i="4"/>
  <c r="BN124" i="4"/>
  <c r="BN128" i="4"/>
  <c r="BN131" i="4"/>
  <c r="BN132" i="4"/>
  <c r="BN138" i="4"/>
  <c r="BN139" i="4"/>
  <c r="BN146" i="4"/>
  <c r="BN147" i="4"/>
  <c r="BN164" i="4"/>
  <c r="BN165" i="4"/>
  <c r="BN166" i="4"/>
  <c r="BN167" i="4"/>
  <c r="BN197" i="4"/>
  <c r="BN97" i="4"/>
  <c r="BN99" i="4"/>
  <c r="BN113" i="4"/>
  <c r="BN126" i="4"/>
  <c r="BN143" i="4"/>
  <c r="BN150" i="4"/>
  <c r="BN152" i="4"/>
  <c r="BN154" i="4"/>
  <c r="BN156" i="4"/>
  <c r="BN158" i="4"/>
  <c r="BN171" i="4"/>
  <c r="BN175" i="4"/>
  <c r="BN179" i="4"/>
  <c r="BN187" i="4"/>
  <c r="BN189" i="4"/>
  <c r="BN192" i="4"/>
  <c r="BN194" i="4"/>
  <c r="BN111" i="4"/>
  <c r="BN117" i="4"/>
  <c r="BN129" i="4"/>
  <c r="BN133" i="4"/>
  <c r="BN137" i="4"/>
  <c r="BN144" i="4"/>
  <c r="BN161" i="4"/>
  <c r="BN163" i="4"/>
  <c r="BN168" i="4"/>
  <c r="BN172" i="4"/>
  <c r="BN176" i="4"/>
  <c r="BN180" i="4"/>
  <c r="BN183" i="4"/>
  <c r="BN185" i="4"/>
  <c r="BN188" i="4"/>
  <c r="BN190" i="4"/>
  <c r="BN116" i="4"/>
  <c r="BN122" i="4"/>
  <c r="BN134" i="4"/>
  <c r="BN142" i="4"/>
  <c r="BN151" i="4"/>
  <c r="BN153" i="4"/>
  <c r="BN155" i="4"/>
  <c r="BN157" i="4"/>
  <c r="BN159" i="4"/>
  <c r="BN169" i="4"/>
  <c r="BN173" i="4"/>
  <c r="BN177" i="4"/>
  <c r="BN181" i="4"/>
  <c r="BN184" i="4"/>
  <c r="BN186" i="4"/>
  <c r="BN195" i="4"/>
  <c r="BN198" i="4"/>
  <c r="BN95" i="4"/>
  <c r="BN162" i="4"/>
  <c r="BN174" i="4"/>
  <c r="BN191" i="4"/>
  <c r="BN196" i="4"/>
  <c r="BN178" i="4"/>
  <c r="BN193" i="4"/>
  <c r="BN145" i="4"/>
  <c r="BN170" i="4"/>
  <c r="BN199" i="4"/>
  <c r="BN136" i="4"/>
  <c r="BN182" i="4"/>
  <c r="BO38" i="4"/>
  <c r="BO40" i="4"/>
  <c r="BO42" i="4"/>
  <c r="BO52" i="4"/>
  <c r="BO54" i="4"/>
  <c r="BO61" i="4"/>
  <c r="BO62" i="4"/>
  <c r="BO65" i="4"/>
  <c r="BO66" i="4"/>
  <c r="BO51" i="4"/>
  <c r="BO59" i="4"/>
  <c r="BO64" i="4"/>
  <c r="BO39" i="4"/>
  <c r="BO41" i="4"/>
  <c r="BO43" i="4"/>
  <c r="BO49" i="4"/>
  <c r="BO56" i="4"/>
  <c r="BO70" i="4"/>
  <c r="BO71" i="4"/>
  <c r="BO74" i="4"/>
  <c r="BO75" i="4"/>
  <c r="BO76" i="4"/>
  <c r="BO77" i="4"/>
  <c r="BO78" i="4"/>
  <c r="BO46" i="4"/>
  <c r="BO48" i="4"/>
  <c r="BO50" i="4"/>
  <c r="BO45" i="4"/>
  <c r="BO58" i="4"/>
  <c r="BO60" i="4"/>
  <c r="BO67" i="4"/>
  <c r="BO72" i="4"/>
  <c r="BO79" i="4"/>
  <c r="BO83" i="4"/>
  <c r="BO84" i="4"/>
  <c r="BO44" i="4"/>
  <c r="BO55" i="4"/>
  <c r="BO68" i="4"/>
  <c r="BO73" i="4"/>
  <c r="BO80" i="4"/>
  <c r="BO81" i="4"/>
  <c r="BO82" i="4"/>
  <c r="BO87" i="4"/>
  <c r="BO88" i="4"/>
  <c r="BO89" i="4"/>
  <c r="BO90" i="4"/>
  <c r="BO91" i="4"/>
  <c r="BO92" i="4"/>
  <c r="BO93" i="4"/>
  <c r="BO94" i="4"/>
  <c r="BO95" i="4"/>
  <c r="BO96" i="4"/>
  <c r="BO97" i="4"/>
  <c r="BO98" i="4"/>
  <c r="BO101" i="4"/>
  <c r="BO106" i="4"/>
  <c r="BO110" i="4"/>
  <c r="BO53" i="4"/>
  <c r="BO85" i="4"/>
  <c r="BO99" i="4"/>
  <c r="BO100" i="4"/>
  <c r="BO111" i="4"/>
  <c r="BO112" i="4"/>
  <c r="BO115" i="4"/>
  <c r="BO116" i="4"/>
  <c r="BO120" i="4"/>
  <c r="BO122" i="4"/>
  <c r="BO124" i="4"/>
  <c r="BO126" i="4"/>
  <c r="BO128" i="4"/>
  <c r="BO129" i="4"/>
  <c r="BO131" i="4"/>
  <c r="BO57" i="4"/>
  <c r="BO86" i="4"/>
  <c r="BO105" i="4"/>
  <c r="BO47" i="4"/>
  <c r="BO69" i="4"/>
  <c r="BO102" i="4"/>
  <c r="BO103" i="4"/>
  <c r="BO104" i="4"/>
  <c r="BO113" i="4"/>
  <c r="BO134" i="4"/>
  <c r="BO142" i="4"/>
  <c r="BO143" i="4"/>
  <c r="BO150" i="4"/>
  <c r="BO151" i="4"/>
  <c r="BO152" i="4"/>
  <c r="BO153" i="4"/>
  <c r="BO154" i="4"/>
  <c r="BO155" i="4"/>
  <c r="BO156" i="4"/>
  <c r="BO157" i="4"/>
  <c r="BO158" i="4"/>
  <c r="BO159" i="4"/>
  <c r="BO107" i="4"/>
  <c r="BO108" i="4"/>
  <c r="BO109" i="4"/>
  <c r="BO118" i="4"/>
  <c r="BO119" i="4"/>
  <c r="BO123" i="4"/>
  <c r="BO127" i="4"/>
  <c r="BO130" i="4"/>
  <c r="BO135" i="4"/>
  <c r="BO140" i="4"/>
  <c r="BO141" i="4"/>
  <c r="BO148" i="4"/>
  <c r="BO149" i="4"/>
  <c r="BO160" i="4"/>
  <c r="BO168" i="4"/>
  <c r="BO169" i="4"/>
  <c r="BO170" i="4"/>
  <c r="BO171" i="4"/>
  <c r="BO172" i="4"/>
  <c r="BO173" i="4"/>
  <c r="BO174" i="4"/>
  <c r="BO175" i="4"/>
  <c r="BO176" i="4"/>
  <c r="BO177" i="4"/>
  <c r="BO178" i="4"/>
  <c r="BO179" i="4"/>
  <c r="BO180" i="4"/>
  <c r="BO181" i="4"/>
  <c r="BO182" i="4"/>
  <c r="BO185" i="4"/>
  <c r="BO186" i="4"/>
  <c r="BO189" i="4"/>
  <c r="BO190" i="4"/>
  <c r="BO193" i="4"/>
  <c r="BO194" i="4"/>
  <c r="BO125" i="4"/>
  <c r="BO136" i="4"/>
  <c r="BO145" i="4"/>
  <c r="BO162" i="4"/>
  <c r="BO166" i="4"/>
  <c r="BO191" i="4"/>
  <c r="BO196" i="4"/>
  <c r="BO197" i="4"/>
  <c r="BO132" i="4"/>
  <c r="BO139" i="4"/>
  <c r="BO146" i="4"/>
  <c r="BO165" i="4"/>
  <c r="BO167" i="4"/>
  <c r="BO187" i="4"/>
  <c r="BO192" i="4"/>
  <c r="BO63" i="4"/>
  <c r="BO117" i="4"/>
  <c r="BO121" i="4"/>
  <c r="BO133" i="4"/>
  <c r="BO137" i="4"/>
  <c r="BO144" i="4"/>
  <c r="BO161" i="4"/>
  <c r="BO163" i="4"/>
  <c r="BO183" i="4"/>
  <c r="BO188" i="4"/>
  <c r="BO199" i="4"/>
  <c r="BO198" i="4"/>
  <c r="BO164" i="4"/>
  <c r="BO138" i="4"/>
  <c r="BO114" i="4"/>
  <c r="BO184" i="4"/>
  <c r="BO147" i="4"/>
  <c r="BO195" i="4"/>
  <c r="BJ51" i="4"/>
  <c r="BJ59" i="4"/>
  <c r="BJ64" i="4"/>
  <c r="BR64" i="4" s="1"/>
  <c r="BJ45" i="4"/>
  <c r="BJ46" i="4"/>
  <c r="BJ47" i="4"/>
  <c r="BJ48" i="4"/>
  <c r="BJ50" i="4"/>
  <c r="BJ57" i="4"/>
  <c r="BJ58" i="4"/>
  <c r="BJ63" i="4"/>
  <c r="BJ38" i="4"/>
  <c r="BR38" i="4" s="1"/>
  <c r="BJ40" i="4"/>
  <c r="BJ42" i="4"/>
  <c r="BJ62" i="4"/>
  <c r="BJ66" i="4"/>
  <c r="BR66" i="4" s="1"/>
  <c r="BJ39" i="4"/>
  <c r="BR39" i="4" s="1"/>
  <c r="BJ41" i="4"/>
  <c r="BJ43" i="4"/>
  <c r="BJ49" i="4"/>
  <c r="BJ56" i="4"/>
  <c r="BJ44" i="4"/>
  <c r="BJ55" i="4"/>
  <c r="BJ67" i="4"/>
  <c r="BJ72" i="4"/>
  <c r="BJ74" i="4"/>
  <c r="BJ78" i="4"/>
  <c r="BJ79" i="4"/>
  <c r="BJ81" i="4"/>
  <c r="BJ82" i="4"/>
  <c r="BJ87" i="4"/>
  <c r="BJ88" i="4"/>
  <c r="BR88" i="4" s="1"/>
  <c r="BJ89" i="4"/>
  <c r="BJ90" i="4"/>
  <c r="BJ91" i="4"/>
  <c r="BJ92" i="4"/>
  <c r="BR92" i="4" s="1"/>
  <c r="BJ93" i="4"/>
  <c r="BJ54" i="4"/>
  <c r="BJ65" i="4"/>
  <c r="BR65" i="4" s="1"/>
  <c r="BJ68" i="4"/>
  <c r="BR68" i="4" s="1"/>
  <c r="BJ70" i="4"/>
  <c r="BJ73" i="4"/>
  <c r="BJ75" i="4"/>
  <c r="BJ80" i="4"/>
  <c r="BJ100" i="4"/>
  <c r="BJ104" i="4"/>
  <c r="BJ105" i="4"/>
  <c r="BJ109" i="4"/>
  <c r="BR109" i="4" s="1"/>
  <c r="BJ77" i="4"/>
  <c r="BJ84" i="4"/>
  <c r="BJ97" i="4"/>
  <c r="BJ99" i="4"/>
  <c r="BR99" i="4" s="1"/>
  <c r="BJ110" i="4"/>
  <c r="BJ111" i="4"/>
  <c r="BJ112" i="4"/>
  <c r="BJ115" i="4"/>
  <c r="BJ116" i="4"/>
  <c r="BJ119" i="4"/>
  <c r="BJ121" i="4"/>
  <c r="BJ123" i="4"/>
  <c r="BJ125" i="4"/>
  <c r="BJ127" i="4"/>
  <c r="BJ130" i="4"/>
  <c r="BJ69" i="4"/>
  <c r="BR69" i="4" s="1"/>
  <c r="BJ85" i="4"/>
  <c r="BR85" i="4" s="1"/>
  <c r="BJ52" i="4"/>
  <c r="BJ61" i="4"/>
  <c r="BJ83" i="4"/>
  <c r="BR83" i="4" s="1"/>
  <c r="BJ95" i="4"/>
  <c r="BJ76" i="4"/>
  <c r="BJ94" i="4"/>
  <c r="BJ117" i="4"/>
  <c r="BJ122" i="4"/>
  <c r="BJ126" i="4"/>
  <c r="BJ134" i="4"/>
  <c r="BJ140" i="4"/>
  <c r="BR140" i="4" s="1"/>
  <c r="BJ141" i="4"/>
  <c r="BJ148" i="4"/>
  <c r="BJ149" i="4"/>
  <c r="BJ160" i="4"/>
  <c r="BJ60" i="4"/>
  <c r="BJ86" i="4"/>
  <c r="BJ96" i="4"/>
  <c r="BJ113" i="4"/>
  <c r="BR113" i="4" s="1"/>
  <c r="BJ135" i="4"/>
  <c r="BJ138" i="4"/>
  <c r="BJ139" i="4"/>
  <c r="BJ146" i="4"/>
  <c r="BR146" i="4" s="1"/>
  <c r="BJ147" i="4"/>
  <c r="BJ164" i="4"/>
  <c r="BJ165" i="4"/>
  <c r="BJ166" i="4"/>
  <c r="BR166" i="4" s="1"/>
  <c r="BJ167" i="4"/>
  <c r="BJ197" i="4"/>
  <c r="BJ107" i="4"/>
  <c r="BJ129" i="4"/>
  <c r="BR129" i="4" s="1"/>
  <c r="BJ133" i="4"/>
  <c r="BJ142" i="4"/>
  <c r="BJ151" i="4"/>
  <c r="BJ153" i="4"/>
  <c r="BR153" i="4" s="1"/>
  <c r="BJ155" i="4"/>
  <c r="BJ157" i="4"/>
  <c r="BJ159" i="4"/>
  <c r="BJ170" i="4"/>
  <c r="BJ174" i="4"/>
  <c r="BJ178" i="4"/>
  <c r="BJ182" i="4"/>
  <c r="BJ191" i="4"/>
  <c r="BJ193" i="4"/>
  <c r="BJ196" i="4"/>
  <c r="BJ71" i="4"/>
  <c r="BJ98" i="4"/>
  <c r="BR98" i="4" s="1"/>
  <c r="BJ102" i="4"/>
  <c r="BJ124" i="4"/>
  <c r="BJ136" i="4"/>
  <c r="BJ145" i="4"/>
  <c r="BJ162" i="4"/>
  <c r="BJ171" i="4"/>
  <c r="BJ175" i="4"/>
  <c r="BJ179" i="4"/>
  <c r="BJ187" i="4"/>
  <c r="BJ189" i="4"/>
  <c r="BJ192" i="4"/>
  <c r="BJ194" i="4"/>
  <c r="BR194" i="4" s="1"/>
  <c r="BJ106" i="4"/>
  <c r="BJ108" i="4"/>
  <c r="BJ114" i="4"/>
  <c r="BJ143" i="4"/>
  <c r="BR143" i="4" s="1"/>
  <c r="BJ150" i="4"/>
  <c r="BJ152" i="4"/>
  <c r="BJ154" i="4"/>
  <c r="BJ156" i="4"/>
  <c r="BR156" i="4" s="1"/>
  <c r="BJ158" i="4"/>
  <c r="BJ168" i="4"/>
  <c r="BJ172" i="4"/>
  <c r="BJ176" i="4"/>
  <c r="BJ180" i="4"/>
  <c r="BJ183" i="4"/>
  <c r="BJ185" i="4"/>
  <c r="BJ188" i="4"/>
  <c r="BJ190" i="4"/>
  <c r="BJ199" i="4"/>
  <c r="BJ103" i="4"/>
  <c r="BJ120" i="4"/>
  <c r="BR120" i="4" s="1"/>
  <c r="BJ131" i="4"/>
  <c r="BJ169" i="4"/>
  <c r="BJ137" i="4"/>
  <c r="BJ186" i="4"/>
  <c r="BJ53" i="4"/>
  <c r="BJ128" i="4"/>
  <c r="BJ132" i="4"/>
  <c r="BJ144" i="4"/>
  <c r="BR144" i="4" s="1"/>
  <c r="BJ163" i="4"/>
  <c r="BJ173" i="4"/>
  <c r="BJ195" i="4"/>
  <c r="BJ181" i="4"/>
  <c r="BJ118" i="4"/>
  <c r="BJ161" i="4"/>
  <c r="BJ177" i="4"/>
  <c r="BJ184" i="4"/>
  <c r="BR184" i="4" s="1"/>
  <c r="BJ198" i="4"/>
  <c r="BJ101" i="4"/>
  <c r="BK38" i="4"/>
  <c r="BK40" i="4"/>
  <c r="BK42" i="4"/>
  <c r="BK52" i="4"/>
  <c r="BS52" i="4" s="1"/>
  <c r="BK54" i="4"/>
  <c r="BK61" i="4"/>
  <c r="BK62" i="4"/>
  <c r="BK65" i="4"/>
  <c r="BU65" i="4" s="1"/>
  <c r="BK66" i="4"/>
  <c r="BK51" i="4"/>
  <c r="BT51" i="4" s="1"/>
  <c r="BK59" i="4"/>
  <c r="BK64" i="4"/>
  <c r="BK44" i="4"/>
  <c r="BK53" i="4"/>
  <c r="BS53" i="4" s="1"/>
  <c r="BK55" i="4"/>
  <c r="BK60" i="4"/>
  <c r="BK70" i="4"/>
  <c r="BK71" i="4"/>
  <c r="BS71" i="4" s="1"/>
  <c r="BK74" i="4"/>
  <c r="BK75" i="4"/>
  <c r="BK76" i="4"/>
  <c r="BK77" i="4"/>
  <c r="BK78" i="4"/>
  <c r="BK45" i="4"/>
  <c r="BK47" i="4"/>
  <c r="BK48" i="4"/>
  <c r="BK83" i="4"/>
  <c r="BK84" i="4"/>
  <c r="BS84" i="4" s="1"/>
  <c r="BK39" i="4"/>
  <c r="BK43" i="4"/>
  <c r="BK63" i="4"/>
  <c r="BK67" i="4"/>
  <c r="BK72" i="4"/>
  <c r="BK79" i="4"/>
  <c r="BK81" i="4"/>
  <c r="BK82" i="4"/>
  <c r="BK87" i="4"/>
  <c r="BK88" i="4"/>
  <c r="BK89" i="4"/>
  <c r="BK90" i="4"/>
  <c r="BS90" i="4" s="1"/>
  <c r="BK91" i="4"/>
  <c r="BK92" i="4"/>
  <c r="BK93" i="4"/>
  <c r="BK94" i="4"/>
  <c r="BK95" i="4"/>
  <c r="BK96" i="4"/>
  <c r="BS96" i="4" s="1"/>
  <c r="BK97" i="4"/>
  <c r="BK98" i="4"/>
  <c r="BK101" i="4"/>
  <c r="BK106" i="4"/>
  <c r="BU106" i="4" s="1"/>
  <c r="BK110" i="4"/>
  <c r="BK56" i="4"/>
  <c r="BK86" i="4"/>
  <c r="BK107" i="4"/>
  <c r="BK108" i="4"/>
  <c r="BK109" i="4"/>
  <c r="BK120" i="4"/>
  <c r="BK122" i="4"/>
  <c r="BV122" i="4" s="1"/>
  <c r="BK124" i="4"/>
  <c r="BK126" i="4"/>
  <c r="BK128" i="4"/>
  <c r="BK129" i="4"/>
  <c r="BK131" i="4"/>
  <c r="BK46" i="4"/>
  <c r="BK57" i="4"/>
  <c r="BK68" i="4"/>
  <c r="BK73" i="4"/>
  <c r="BU73" i="4" s="1"/>
  <c r="BK80" i="4"/>
  <c r="BK41" i="4"/>
  <c r="BK49" i="4"/>
  <c r="BK69" i="4"/>
  <c r="BK85" i="4"/>
  <c r="BK102" i="4"/>
  <c r="BK103" i="4"/>
  <c r="BS103" i="4" s="1"/>
  <c r="BK104" i="4"/>
  <c r="BK58" i="4"/>
  <c r="BK111" i="4"/>
  <c r="BK114" i="4"/>
  <c r="BU114" i="4" s="1"/>
  <c r="BK121" i="4"/>
  <c r="BK125" i="4"/>
  <c r="BK133" i="4"/>
  <c r="BK142" i="4"/>
  <c r="BK143" i="4"/>
  <c r="BK150" i="4"/>
  <c r="BK151" i="4"/>
  <c r="BK152" i="4"/>
  <c r="BK153" i="4"/>
  <c r="BK154" i="4"/>
  <c r="BK155" i="4"/>
  <c r="BS155" i="4" s="1"/>
  <c r="BK156" i="4"/>
  <c r="BK157" i="4"/>
  <c r="BS157" i="4" s="1"/>
  <c r="BK158" i="4"/>
  <c r="BK159" i="4"/>
  <c r="BK50" i="4"/>
  <c r="BS50" i="4" s="1"/>
  <c r="BK116" i="4"/>
  <c r="BK117" i="4"/>
  <c r="BK134" i="4"/>
  <c r="BK140" i="4"/>
  <c r="BK141" i="4"/>
  <c r="BS141" i="4" s="1"/>
  <c r="BK148" i="4"/>
  <c r="BK149" i="4"/>
  <c r="BS149" i="4" s="1"/>
  <c r="BK160" i="4"/>
  <c r="BK168" i="4"/>
  <c r="BK169" i="4"/>
  <c r="BS169" i="4" s="1"/>
  <c r="BK170" i="4"/>
  <c r="BK171" i="4"/>
  <c r="BK172" i="4"/>
  <c r="BS172" i="4" s="1"/>
  <c r="BK173" i="4"/>
  <c r="BK174" i="4"/>
  <c r="BK175" i="4"/>
  <c r="BS175" i="4" s="1"/>
  <c r="BK176" i="4"/>
  <c r="BK177" i="4"/>
  <c r="BK178" i="4"/>
  <c r="BS178" i="4" s="1"/>
  <c r="BK179" i="4"/>
  <c r="BK180" i="4"/>
  <c r="BS180" i="4" s="1"/>
  <c r="BK181" i="4"/>
  <c r="BK182" i="4"/>
  <c r="BK185" i="4"/>
  <c r="BS185" i="4" s="1"/>
  <c r="BK186" i="4"/>
  <c r="BK189" i="4"/>
  <c r="BK190" i="4"/>
  <c r="BK193" i="4"/>
  <c r="BK194" i="4"/>
  <c r="BK105" i="4"/>
  <c r="BK118" i="4"/>
  <c r="BK132" i="4"/>
  <c r="BK137" i="4"/>
  <c r="BK144" i="4"/>
  <c r="BK161" i="4"/>
  <c r="BK163" i="4"/>
  <c r="BS163" i="4" s="1"/>
  <c r="BK184" i="4"/>
  <c r="BK195" i="4"/>
  <c r="BK198" i="4"/>
  <c r="BK100" i="4"/>
  <c r="BS100" i="4" s="1"/>
  <c r="BK123" i="4"/>
  <c r="BK135" i="4"/>
  <c r="BK138" i="4"/>
  <c r="BK147" i="4"/>
  <c r="BK164" i="4"/>
  <c r="BS164" i="4" s="1"/>
  <c r="BK166" i="4"/>
  <c r="BK191" i="4"/>
  <c r="BK196" i="4"/>
  <c r="BV196" i="4" s="1"/>
  <c r="BK115" i="4"/>
  <c r="BK136" i="4"/>
  <c r="BK145" i="4"/>
  <c r="BK162" i="4"/>
  <c r="BS162" i="4" s="1"/>
  <c r="BK167" i="4"/>
  <c r="BK187" i="4"/>
  <c r="BK192" i="4"/>
  <c r="BK127" i="4"/>
  <c r="BS127" i="4" s="1"/>
  <c r="BK146" i="4"/>
  <c r="BK165" i="4"/>
  <c r="BK183" i="4"/>
  <c r="BS183" i="4" s="1"/>
  <c r="BK188" i="4"/>
  <c r="BV188" i="4" s="1"/>
  <c r="BK130" i="4"/>
  <c r="BS130" i="4" s="1"/>
  <c r="BK112" i="4"/>
  <c r="BU112" i="4" s="1"/>
  <c r="BK119" i="4"/>
  <c r="BS119" i="4" s="1"/>
  <c r="BK197" i="4"/>
  <c r="BK99" i="4"/>
  <c r="BK113" i="4"/>
  <c r="BK139" i="4"/>
  <c r="BK199" i="4"/>
  <c r="BS199" i="4" s="1"/>
  <c r="BP39" i="4"/>
  <c r="BP41" i="4"/>
  <c r="BP43" i="4"/>
  <c r="BP44" i="4"/>
  <c r="BX44" i="4" s="1"/>
  <c r="BP49" i="4"/>
  <c r="BP53" i="4"/>
  <c r="BP55" i="4"/>
  <c r="BP56" i="4"/>
  <c r="BP60" i="4"/>
  <c r="BP38" i="4"/>
  <c r="BP40" i="4"/>
  <c r="BP42" i="4"/>
  <c r="BP52" i="4"/>
  <c r="BP54" i="4"/>
  <c r="BP61" i="4"/>
  <c r="BP62" i="4"/>
  <c r="BX62" i="4" s="1"/>
  <c r="BP65" i="4"/>
  <c r="BX65" i="4" s="1"/>
  <c r="BP45" i="4"/>
  <c r="BX45" i="4" s="1"/>
  <c r="BP47" i="4"/>
  <c r="BP58" i="4"/>
  <c r="BP79" i="4"/>
  <c r="BP57" i="4"/>
  <c r="BP59" i="4"/>
  <c r="BP66" i="4"/>
  <c r="BX66" i="4" s="1"/>
  <c r="BP74" i="4"/>
  <c r="BP78" i="4"/>
  <c r="BP85" i="4"/>
  <c r="BP86" i="4"/>
  <c r="BX86" i="4" s="1"/>
  <c r="BP48" i="4"/>
  <c r="BP67" i="4"/>
  <c r="BP70" i="4"/>
  <c r="BP72" i="4"/>
  <c r="BP75" i="4"/>
  <c r="BX75" i="4" s="1"/>
  <c r="BP83" i="4"/>
  <c r="BP84" i="4"/>
  <c r="BP102" i="4"/>
  <c r="BX102" i="4" s="1"/>
  <c r="BP107" i="4"/>
  <c r="BP111" i="4"/>
  <c r="BP113" i="4"/>
  <c r="BP115" i="4"/>
  <c r="BP117" i="4"/>
  <c r="BP50" i="4"/>
  <c r="BP63" i="4"/>
  <c r="BP69" i="4"/>
  <c r="BX69" i="4" s="1"/>
  <c r="BP97" i="4"/>
  <c r="BP108" i="4"/>
  <c r="BP109" i="4"/>
  <c r="BP110" i="4"/>
  <c r="BP132" i="4"/>
  <c r="BP133" i="4"/>
  <c r="BP134" i="4"/>
  <c r="BP135" i="4"/>
  <c r="BP51" i="4"/>
  <c r="BP71" i="4"/>
  <c r="BP76" i="4"/>
  <c r="BP81" i="4"/>
  <c r="BX81" i="4" s="1"/>
  <c r="BP87" i="4"/>
  <c r="BP89" i="4"/>
  <c r="BX89" i="4" s="1"/>
  <c r="BP46" i="4"/>
  <c r="BP64" i="4"/>
  <c r="BP77" i="4"/>
  <c r="BP95" i="4"/>
  <c r="BP103" i="4"/>
  <c r="BP104" i="4"/>
  <c r="BX104" i="4" s="1"/>
  <c r="BP82" i="4"/>
  <c r="BP91" i="4"/>
  <c r="BX91" i="4" s="1"/>
  <c r="BP98" i="4"/>
  <c r="BP99" i="4"/>
  <c r="BP100" i="4"/>
  <c r="BP101" i="4"/>
  <c r="BP116" i="4"/>
  <c r="BP121" i="4"/>
  <c r="BP122" i="4"/>
  <c r="BP125" i="4"/>
  <c r="BP126" i="4"/>
  <c r="BP136" i="4"/>
  <c r="BP137" i="4"/>
  <c r="BP144" i="4"/>
  <c r="BP145" i="4"/>
  <c r="BP161" i="4"/>
  <c r="BX161" i="4" s="1"/>
  <c r="BP162" i="4"/>
  <c r="BP163" i="4"/>
  <c r="BP73" i="4"/>
  <c r="BP80" i="4"/>
  <c r="BP88" i="4"/>
  <c r="BP90" i="4"/>
  <c r="BP105" i="4"/>
  <c r="BP106" i="4"/>
  <c r="BP112" i="4"/>
  <c r="BP142" i="4"/>
  <c r="BP143" i="4"/>
  <c r="BP150" i="4"/>
  <c r="BX150" i="4" s="1"/>
  <c r="BP151" i="4"/>
  <c r="BP152" i="4"/>
  <c r="BP153" i="4"/>
  <c r="BP154" i="4"/>
  <c r="BP155" i="4"/>
  <c r="BP156" i="4"/>
  <c r="BX156" i="4" s="1"/>
  <c r="BP157" i="4"/>
  <c r="BX157" i="4" s="1"/>
  <c r="BP158" i="4"/>
  <c r="BX158" i="4" s="1"/>
  <c r="BP159" i="4"/>
  <c r="BP199" i="4"/>
  <c r="BP68" i="4"/>
  <c r="BP114" i="4"/>
  <c r="BX114" i="4" s="1"/>
  <c r="BP138" i="4"/>
  <c r="BP147" i="4"/>
  <c r="BP164" i="4"/>
  <c r="BP170" i="4"/>
  <c r="BP174" i="4"/>
  <c r="BP178" i="4"/>
  <c r="BP182" i="4"/>
  <c r="BX182" i="4" s="1"/>
  <c r="BP184" i="4"/>
  <c r="BP193" i="4"/>
  <c r="BP195" i="4"/>
  <c r="BP198" i="4"/>
  <c r="BX198" i="4" s="1"/>
  <c r="BP94" i="4"/>
  <c r="BP118" i="4"/>
  <c r="BP119" i="4"/>
  <c r="BP120" i="4"/>
  <c r="BP127" i="4"/>
  <c r="BP128" i="4"/>
  <c r="BP130" i="4"/>
  <c r="BP131" i="4"/>
  <c r="BX131" i="4" s="1"/>
  <c r="BP141" i="4"/>
  <c r="BP148" i="4"/>
  <c r="BP160" i="4"/>
  <c r="BP166" i="4"/>
  <c r="BP171" i="4"/>
  <c r="BX171" i="4" s="1"/>
  <c r="BP175" i="4"/>
  <c r="BP179" i="4"/>
  <c r="BP189" i="4"/>
  <c r="BP191" i="4"/>
  <c r="BP194" i="4"/>
  <c r="BP92" i="4"/>
  <c r="BP96" i="4"/>
  <c r="BP129" i="4"/>
  <c r="BX129" i="4" s="1"/>
  <c r="BP139" i="4"/>
  <c r="BP146" i="4"/>
  <c r="BP165" i="4"/>
  <c r="BP167" i="4"/>
  <c r="BP168" i="4"/>
  <c r="BP172" i="4"/>
  <c r="BP176" i="4"/>
  <c r="BP180" i="4"/>
  <c r="BP185" i="4"/>
  <c r="BP187" i="4"/>
  <c r="BP190" i="4"/>
  <c r="BP192" i="4"/>
  <c r="BP123" i="4"/>
  <c r="BP140" i="4"/>
  <c r="BP181" i="4"/>
  <c r="BP186" i="4"/>
  <c r="BP93" i="4"/>
  <c r="BX93" i="4" s="1"/>
  <c r="BP124" i="4"/>
  <c r="BP149" i="4"/>
  <c r="BX149" i="4" s="1"/>
  <c r="BP169" i="4"/>
  <c r="BX169" i="4" s="1"/>
  <c r="BP183" i="4"/>
  <c r="BP188" i="4"/>
  <c r="BP196" i="4"/>
  <c r="BP197" i="4"/>
  <c r="BP177" i="4"/>
  <c r="BP173" i="4"/>
  <c r="BS54" i="4"/>
  <c r="BS75" i="4"/>
  <c r="BS88" i="4"/>
  <c r="BR121" i="4"/>
  <c r="BS173" i="4"/>
  <c r="BR141" i="4"/>
  <c r="BS189" i="4"/>
  <c r="BR149" i="4"/>
  <c r="BR145" i="4"/>
  <c r="BR139" i="4"/>
  <c r="BS76" i="4"/>
  <c r="BR67" i="4"/>
  <c r="BR56" i="4"/>
  <c r="BS44" i="4"/>
  <c r="BT131" i="4"/>
  <c r="BS107" i="4"/>
  <c r="BR54" i="4"/>
  <c r="BS153" i="4"/>
  <c r="BQ45" i="4"/>
  <c r="BQ46" i="4"/>
  <c r="BQ47" i="4"/>
  <c r="BQ48" i="4"/>
  <c r="BQ50" i="4"/>
  <c r="BQ57" i="4"/>
  <c r="BQ58" i="4"/>
  <c r="BQ63" i="4"/>
  <c r="BQ39" i="4"/>
  <c r="BQ41" i="4"/>
  <c r="BQ43" i="4"/>
  <c r="BQ44" i="4"/>
  <c r="BQ49" i="4"/>
  <c r="BQ53" i="4"/>
  <c r="BQ55" i="4"/>
  <c r="BQ56" i="4"/>
  <c r="BQ60" i="4"/>
  <c r="BQ51" i="4"/>
  <c r="BQ64" i="4"/>
  <c r="BQ66" i="4"/>
  <c r="BQ67" i="4"/>
  <c r="BQ68" i="4"/>
  <c r="BQ69" i="4"/>
  <c r="BQ72" i="4"/>
  <c r="BQ73" i="4"/>
  <c r="BQ52" i="4"/>
  <c r="BQ54" i="4"/>
  <c r="BQ38" i="4"/>
  <c r="BQ42" i="4"/>
  <c r="BQ77" i="4"/>
  <c r="BQ59" i="4"/>
  <c r="BQ61" i="4"/>
  <c r="BQ74" i="4"/>
  <c r="BQ78" i="4"/>
  <c r="BQ79" i="4"/>
  <c r="BQ85" i="4"/>
  <c r="BQ86" i="4"/>
  <c r="BQ99" i="4"/>
  <c r="BQ103" i="4"/>
  <c r="BQ108" i="4"/>
  <c r="BQ112" i="4"/>
  <c r="BQ114" i="4"/>
  <c r="BQ116" i="4"/>
  <c r="BQ118" i="4"/>
  <c r="BQ65" i="4"/>
  <c r="BQ80" i="4"/>
  <c r="BQ82" i="4"/>
  <c r="BQ88" i="4"/>
  <c r="BQ90" i="4"/>
  <c r="BQ92" i="4"/>
  <c r="BQ96" i="4"/>
  <c r="BQ105" i="4"/>
  <c r="BQ106" i="4"/>
  <c r="BQ107" i="4"/>
  <c r="BQ40" i="4"/>
  <c r="BQ62" i="4"/>
  <c r="BQ70" i="4"/>
  <c r="BQ75" i="4"/>
  <c r="BQ83" i="4"/>
  <c r="BQ71" i="4"/>
  <c r="BQ76" i="4"/>
  <c r="BQ81" i="4"/>
  <c r="BQ87" i="4"/>
  <c r="BQ89" i="4"/>
  <c r="BQ91" i="4"/>
  <c r="BQ93" i="4"/>
  <c r="BQ94" i="4"/>
  <c r="BQ98" i="4"/>
  <c r="BQ100" i="4"/>
  <c r="BQ101" i="4"/>
  <c r="BQ102" i="4"/>
  <c r="BQ97" i="4"/>
  <c r="BQ117" i="4"/>
  <c r="BQ129" i="4"/>
  <c r="BQ133" i="4"/>
  <c r="BQ138" i="4"/>
  <c r="BQ139" i="4"/>
  <c r="BQ146" i="4"/>
  <c r="BQ147" i="4"/>
  <c r="BQ164" i="4"/>
  <c r="BQ165" i="4"/>
  <c r="BQ104" i="4"/>
  <c r="BQ113" i="4"/>
  <c r="BQ121" i="4"/>
  <c r="BQ122" i="4"/>
  <c r="BQ125" i="4"/>
  <c r="BQ126" i="4"/>
  <c r="BQ134" i="4"/>
  <c r="BQ136" i="4"/>
  <c r="BQ137" i="4"/>
  <c r="BQ144" i="4"/>
  <c r="BQ145" i="4"/>
  <c r="BQ161" i="4"/>
  <c r="BQ162" i="4"/>
  <c r="BQ163" i="4"/>
  <c r="BQ183" i="4"/>
  <c r="BQ184" i="4"/>
  <c r="BQ187" i="4"/>
  <c r="BQ188" i="4"/>
  <c r="BQ191" i="4"/>
  <c r="BQ192" i="4"/>
  <c r="BQ195" i="4"/>
  <c r="BQ196" i="4"/>
  <c r="BQ198" i="4"/>
  <c r="BQ95" i="4"/>
  <c r="BQ123" i="4"/>
  <c r="BQ124" i="4"/>
  <c r="BQ140" i="4"/>
  <c r="BQ149" i="4"/>
  <c r="BQ169" i="4"/>
  <c r="BQ173" i="4"/>
  <c r="BQ177" i="4"/>
  <c r="BQ181" i="4"/>
  <c r="BQ186" i="4"/>
  <c r="BQ109" i="4"/>
  <c r="BQ143" i="4"/>
  <c r="BQ150" i="4"/>
  <c r="BQ152" i="4"/>
  <c r="BQ154" i="4"/>
  <c r="BQ156" i="4"/>
  <c r="BQ158" i="4"/>
  <c r="BQ170" i="4"/>
  <c r="BQ174" i="4"/>
  <c r="BQ178" i="4"/>
  <c r="BQ182" i="4"/>
  <c r="BQ193" i="4"/>
  <c r="BQ84" i="4"/>
  <c r="BQ111" i="4"/>
  <c r="BQ119" i="4"/>
  <c r="BQ120" i="4"/>
  <c r="BQ127" i="4"/>
  <c r="BQ128" i="4"/>
  <c r="BQ130" i="4"/>
  <c r="BQ131" i="4"/>
  <c r="BQ132" i="4"/>
  <c r="BQ141" i="4"/>
  <c r="BQ148" i="4"/>
  <c r="BQ160" i="4"/>
  <c r="BQ166" i="4"/>
  <c r="BQ171" i="4"/>
  <c r="BQ175" i="4"/>
  <c r="BQ179" i="4"/>
  <c r="BQ189" i="4"/>
  <c r="BQ194" i="4"/>
  <c r="BQ197" i="4"/>
  <c r="BQ110" i="4"/>
  <c r="BQ115" i="4"/>
  <c r="BQ151" i="4"/>
  <c r="BQ159" i="4"/>
  <c r="BQ172" i="4"/>
  <c r="BQ199" i="4"/>
  <c r="BQ142" i="4"/>
  <c r="BQ153" i="4"/>
  <c r="BQ168" i="4"/>
  <c r="BQ135" i="4"/>
  <c r="BQ157" i="4"/>
  <c r="BQ167" i="4"/>
  <c r="BQ176" i="4"/>
  <c r="BQ155" i="4"/>
  <c r="BQ180" i="4"/>
  <c r="BQ185" i="4"/>
  <c r="BQ190" i="4"/>
  <c r="BR59" i="4"/>
  <c r="BR45" i="4"/>
  <c r="BR47" i="4"/>
  <c r="BR48" i="4"/>
  <c r="BR57" i="4"/>
  <c r="BR63" i="4"/>
  <c r="BR62" i="4"/>
  <c r="BR43" i="4"/>
  <c r="BR53" i="4"/>
  <c r="BR71" i="4"/>
  <c r="BR76" i="4"/>
  <c r="BR80" i="4"/>
  <c r="BR81" i="4"/>
  <c r="BR87" i="4"/>
  <c r="BR89" i="4"/>
  <c r="BR90" i="4"/>
  <c r="BR91" i="4"/>
  <c r="BR93" i="4"/>
  <c r="BR60" i="4"/>
  <c r="BR77" i="4"/>
  <c r="BR100" i="4"/>
  <c r="BR104" i="4"/>
  <c r="BR73" i="4"/>
  <c r="BR95" i="4"/>
  <c r="BR114" i="4"/>
  <c r="BR118" i="4"/>
  <c r="BR130" i="4"/>
  <c r="BR74" i="4"/>
  <c r="BR70" i="4"/>
  <c r="BR75" i="4"/>
  <c r="BR97" i="4"/>
  <c r="BR79" i="4"/>
  <c r="BR96" i="4"/>
  <c r="BR124" i="4"/>
  <c r="BR128" i="4"/>
  <c r="BR132" i="4"/>
  <c r="BR148" i="4"/>
  <c r="BR160" i="4"/>
  <c r="BR101" i="4"/>
  <c r="BR102" i="4"/>
  <c r="BR103" i="4"/>
  <c r="BR116" i="4"/>
  <c r="BR138" i="4"/>
  <c r="BR164" i="4"/>
  <c r="BR165" i="4"/>
  <c r="BR55" i="4"/>
  <c r="BR142" i="4"/>
  <c r="BR151" i="4"/>
  <c r="BR155" i="4"/>
  <c r="BR157" i="4"/>
  <c r="BR159" i="4"/>
  <c r="BR168" i="4"/>
  <c r="BR172" i="4"/>
  <c r="BR176" i="4"/>
  <c r="BR180" i="4"/>
  <c r="BR183" i="4"/>
  <c r="BR185" i="4"/>
  <c r="BR188" i="4"/>
  <c r="BR190" i="4"/>
  <c r="BR61" i="4"/>
  <c r="BR112" i="4"/>
  <c r="BR126" i="4"/>
  <c r="BR136" i="4"/>
  <c r="BR162" i="4"/>
  <c r="BR169" i="4"/>
  <c r="BR173" i="4"/>
  <c r="BR177" i="4"/>
  <c r="BR186" i="4"/>
  <c r="BR195" i="4"/>
  <c r="BR94" i="4"/>
  <c r="BR150" i="4"/>
  <c r="BR152" i="4"/>
  <c r="BR154" i="4"/>
  <c r="BR158" i="4"/>
  <c r="BR170" i="4"/>
  <c r="BR174" i="4"/>
  <c r="BR178" i="4"/>
  <c r="BR182" i="4"/>
  <c r="BR191" i="4"/>
  <c r="BR193" i="4"/>
  <c r="BR196" i="4"/>
  <c r="BR134" i="4"/>
  <c r="BR179" i="4"/>
  <c r="BR189" i="4"/>
  <c r="BR122" i="4"/>
  <c r="BR175" i="4"/>
  <c r="BR192" i="4"/>
  <c r="BR86" i="4"/>
  <c r="BR161" i="4"/>
  <c r="BR187" i="4"/>
  <c r="BR163" i="4"/>
  <c r="BR171" i="4"/>
  <c r="BS51" i="4"/>
  <c r="BS65" i="4"/>
  <c r="BS73" i="4"/>
  <c r="BS122" i="4"/>
  <c r="BS124" i="4"/>
  <c r="BS126" i="4"/>
  <c r="BS128" i="4"/>
  <c r="BS110" i="4"/>
  <c r="BS182" i="4"/>
  <c r="BS190" i="4"/>
  <c r="BS194" i="4"/>
  <c r="BS112" i="4"/>
  <c r="BS118" i="4"/>
  <c r="BS108" i="4"/>
  <c r="BS116" i="4"/>
  <c r="BS106" i="4"/>
  <c r="BX56" i="4"/>
  <c r="BX97" i="4"/>
  <c r="BX163" i="4"/>
  <c r="BX172" i="4"/>
  <c r="BX190" i="4"/>
  <c r="BR42" i="4"/>
  <c r="BR44" i="4"/>
  <c r="BS59" i="4"/>
  <c r="BS64" i="4"/>
  <c r="BR105" i="4"/>
  <c r="BR115" i="4"/>
  <c r="BR125" i="4"/>
  <c r="BX185" i="4"/>
  <c r="BS198" i="4"/>
  <c r="BS193" i="4"/>
  <c r="BS125" i="4"/>
  <c r="BR167" i="4"/>
  <c r="BS111" i="4"/>
  <c r="BS195" i="4"/>
  <c r="BS187" i="4"/>
  <c r="BR137" i="4"/>
  <c r="BR147" i="4"/>
  <c r="BR135" i="4"/>
  <c r="BR106" i="4"/>
  <c r="BS74" i="4"/>
  <c r="BS98" i="4"/>
  <c r="BT112" i="4"/>
  <c r="BS86" i="4"/>
  <c r="BS70" i="4"/>
  <c r="BR52" i="4"/>
  <c r="BM37" i="4"/>
  <c r="BQ37" i="4"/>
  <c r="BJ37" i="4"/>
  <c r="BN37" i="4"/>
  <c r="BK37" i="4"/>
  <c r="BO37" i="4"/>
  <c r="BL37" i="4"/>
  <c r="BP37" i="4"/>
  <c r="BM33" i="4"/>
  <c r="BQ33" i="4"/>
  <c r="BJ33" i="4"/>
  <c r="BN33" i="4"/>
  <c r="BK33" i="4"/>
  <c r="BO33" i="4"/>
  <c r="BL33" i="4"/>
  <c r="BP33" i="4"/>
  <c r="BM34" i="4"/>
  <c r="BQ34" i="4"/>
  <c r="BJ34" i="4"/>
  <c r="BR34" i="4" s="1"/>
  <c r="BN34" i="4"/>
  <c r="BK34" i="4"/>
  <c r="BO34" i="4"/>
  <c r="BL34" i="4"/>
  <c r="BP34" i="4"/>
  <c r="BJ32" i="4"/>
  <c r="BN32" i="4"/>
  <c r="BK32" i="4"/>
  <c r="BO32" i="4"/>
  <c r="BL32" i="4"/>
  <c r="BP32" i="4"/>
  <c r="BM32" i="4"/>
  <c r="BQ32" i="4"/>
  <c r="BL36" i="4"/>
  <c r="BP36" i="4"/>
  <c r="BM36" i="4"/>
  <c r="BQ36" i="4"/>
  <c r="BJ36" i="4"/>
  <c r="BN36" i="4"/>
  <c r="BK36" i="4"/>
  <c r="BO36" i="4"/>
  <c r="BM35" i="4"/>
  <c r="BQ35" i="4"/>
  <c r="BJ35" i="4"/>
  <c r="BR35" i="4" s="1"/>
  <c r="BN35" i="4"/>
  <c r="BK35" i="4"/>
  <c r="BO35" i="4"/>
  <c r="BL35" i="4"/>
  <c r="BP35" i="4"/>
  <c r="A33" i="4"/>
  <c r="A3" i="11" s="1"/>
  <c r="A3" i="12" s="1"/>
  <c r="A34" i="4"/>
  <c r="A4" i="11" s="1"/>
  <c r="A4" i="12" s="1"/>
  <c r="A35" i="4"/>
  <c r="A5" i="11" s="1"/>
  <c r="A5" i="12" s="1"/>
  <c r="A36" i="4"/>
  <c r="A6" i="11" s="1"/>
  <c r="A6" i="12" s="1"/>
  <c r="A37" i="4"/>
  <c r="A7" i="11" s="1"/>
  <c r="A7" i="12" s="1"/>
  <c r="A38" i="4"/>
  <c r="A8" i="11" s="1"/>
  <c r="A8" i="12" s="1"/>
  <c r="A39" i="4"/>
  <c r="A9" i="11" s="1"/>
  <c r="A9" i="12" s="1"/>
  <c r="A40" i="4"/>
  <c r="A10" i="11" s="1"/>
  <c r="A10" i="12" s="1"/>
  <c r="A41" i="4"/>
  <c r="A11" i="11" s="1"/>
  <c r="A11" i="12" s="1"/>
  <c r="A42" i="4"/>
  <c r="A12" i="11" s="1"/>
  <c r="A12" i="12" s="1"/>
  <c r="A43" i="4"/>
  <c r="A13" i="11" s="1"/>
  <c r="A13" i="12" s="1"/>
  <c r="A44" i="4"/>
  <c r="A14" i="11" s="1"/>
  <c r="A14" i="12" s="1"/>
  <c r="A45" i="4"/>
  <c r="A15" i="11" s="1"/>
  <c r="A15" i="12" s="1"/>
  <c r="A46" i="4"/>
  <c r="A16" i="11" s="1"/>
  <c r="A16" i="12" s="1"/>
  <c r="A47" i="4"/>
  <c r="A17" i="11" s="1"/>
  <c r="A17" i="12" s="1"/>
  <c r="A48" i="4"/>
  <c r="A18" i="11" s="1"/>
  <c r="A18" i="12" s="1"/>
  <c r="A49" i="4"/>
  <c r="A19" i="11" s="1"/>
  <c r="A19" i="12" s="1"/>
  <c r="A50" i="4"/>
  <c r="A20" i="11" s="1"/>
  <c r="A20" i="12" s="1"/>
  <c r="A51" i="4"/>
  <c r="A21" i="11" s="1"/>
  <c r="A21" i="12" s="1"/>
  <c r="A52" i="4"/>
  <c r="A22" i="11" s="1"/>
  <c r="A22" i="12" s="1"/>
  <c r="A53" i="4"/>
  <c r="A23" i="11" s="1"/>
  <c r="A23" i="12" s="1"/>
  <c r="A54" i="4"/>
  <c r="A24" i="11" s="1"/>
  <c r="A24" i="12" s="1"/>
  <c r="A55" i="4"/>
  <c r="A25" i="11" s="1"/>
  <c r="A25" i="12" s="1"/>
  <c r="A56" i="4"/>
  <c r="A26" i="11" s="1"/>
  <c r="A26" i="12" s="1"/>
  <c r="A57" i="4"/>
  <c r="A27" i="11" s="1"/>
  <c r="A27" i="12" s="1"/>
  <c r="A58" i="4"/>
  <c r="A28" i="11" s="1"/>
  <c r="A28" i="12" s="1"/>
  <c r="A59" i="4"/>
  <c r="A29" i="11" s="1"/>
  <c r="A29" i="12" s="1"/>
  <c r="A60" i="4"/>
  <c r="A30" i="11" s="1"/>
  <c r="A30" i="12" s="1"/>
  <c r="A61" i="4"/>
  <c r="A31" i="11" s="1"/>
  <c r="A31" i="12" s="1"/>
  <c r="A62" i="4"/>
  <c r="A32" i="11" s="1"/>
  <c r="A32" i="12" s="1"/>
  <c r="A63" i="4"/>
  <c r="A33" i="11" s="1"/>
  <c r="A33" i="12" s="1"/>
  <c r="A64" i="4"/>
  <c r="A34" i="11" s="1"/>
  <c r="A34" i="12" s="1"/>
  <c r="A65" i="4"/>
  <c r="A35" i="11" s="1"/>
  <c r="A35" i="12" s="1"/>
  <c r="A66" i="4"/>
  <c r="A36" i="11" s="1"/>
  <c r="A36" i="12" s="1"/>
  <c r="A67" i="4"/>
  <c r="A37" i="11" s="1"/>
  <c r="A37" i="12" s="1"/>
  <c r="A68" i="4"/>
  <c r="A38" i="11" s="1"/>
  <c r="A38" i="12" s="1"/>
  <c r="A69" i="4"/>
  <c r="A39" i="11" s="1"/>
  <c r="A39" i="12" s="1"/>
  <c r="A70" i="4"/>
  <c r="A40" i="11" s="1"/>
  <c r="A40" i="12" s="1"/>
  <c r="A71" i="4"/>
  <c r="A41" i="11" s="1"/>
  <c r="A41" i="12" s="1"/>
  <c r="A72" i="4"/>
  <c r="A42" i="11" s="1"/>
  <c r="A42" i="12" s="1"/>
  <c r="A73" i="4"/>
  <c r="A43" i="11" s="1"/>
  <c r="A43" i="12" s="1"/>
  <c r="A74" i="4"/>
  <c r="A44" i="11" s="1"/>
  <c r="A44" i="12" s="1"/>
  <c r="A75" i="4"/>
  <c r="A45" i="11" s="1"/>
  <c r="A45" i="12" s="1"/>
  <c r="A76" i="4"/>
  <c r="A46" i="11" s="1"/>
  <c r="A46" i="12" s="1"/>
  <c r="A77" i="4"/>
  <c r="A47" i="11" s="1"/>
  <c r="A47" i="12" s="1"/>
  <c r="A78" i="4"/>
  <c r="A48" i="11" s="1"/>
  <c r="A48" i="12" s="1"/>
  <c r="A79" i="4"/>
  <c r="A49" i="11" s="1"/>
  <c r="A49" i="12" s="1"/>
  <c r="A80" i="4"/>
  <c r="A50" i="11" s="1"/>
  <c r="A50" i="12" s="1"/>
  <c r="A81" i="4"/>
  <c r="A51" i="11" s="1"/>
  <c r="A51" i="12" s="1"/>
  <c r="A82" i="4"/>
  <c r="A52" i="11" s="1"/>
  <c r="A52" i="12" s="1"/>
  <c r="A83" i="4"/>
  <c r="A53" i="11" s="1"/>
  <c r="A53" i="12" s="1"/>
  <c r="A84" i="4"/>
  <c r="A54" i="11" s="1"/>
  <c r="A54" i="12" s="1"/>
  <c r="A85" i="4"/>
  <c r="A55" i="11" s="1"/>
  <c r="A55" i="12" s="1"/>
  <c r="A86" i="4"/>
  <c r="A56" i="11" s="1"/>
  <c r="A56" i="12" s="1"/>
  <c r="A87" i="4"/>
  <c r="A57" i="11" s="1"/>
  <c r="A57" i="12" s="1"/>
  <c r="A88" i="4"/>
  <c r="A58" i="11" s="1"/>
  <c r="A58" i="12" s="1"/>
  <c r="A89" i="4"/>
  <c r="A59" i="11" s="1"/>
  <c r="A59" i="12" s="1"/>
  <c r="A90" i="4"/>
  <c r="A60" i="11" s="1"/>
  <c r="A60" i="12" s="1"/>
  <c r="A91" i="4"/>
  <c r="A61" i="11" s="1"/>
  <c r="A61" i="12" s="1"/>
  <c r="A92" i="4"/>
  <c r="A62" i="11" s="1"/>
  <c r="A62" i="12" s="1"/>
  <c r="A93" i="4"/>
  <c r="A63" i="11" s="1"/>
  <c r="A63" i="12" s="1"/>
  <c r="A94" i="4"/>
  <c r="A64" i="11" s="1"/>
  <c r="A64" i="12" s="1"/>
  <c r="A95" i="4"/>
  <c r="A65" i="11" s="1"/>
  <c r="A65" i="12" s="1"/>
  <c r="A96" i="4"/>
  <c r="A66" i="11" s="1"/>
  <c r="A66" i="12" s="1"/>
  <c r="A97" i="4"/>
  <c r="A67" i="11" s="1"/>
  <c r="A67" i="12" s="1"/>
  <c r="A98" i="4"/>
  <c r="A68" i="11" s="1"/>
  <c r="A68" i="12" s="1"/>
  <c r="A99" i="4"/>
  <c r="A69" i="11" s="1"/>
  <c r="A69" i="12" s="1"/>
  <c r="A100" i="4"/>
  <c r="A70" i="11" s="1"/>
  <c r="A70" i="12" s="1"/>
  <c r="A101" i="4"/>
  <c r="A71" i="11" s="1"/>
  <c r="A71" i="12" s="1"/>
  <c r="A102" i="4"/>
  <c r="A72" i="11" s="1"/>
  <c r="A72" i="12" s="1"/>
  <c r="A103" i="4"/>
  <c r="A73" i="11" s="1"/>
  <c r="A73" i="12" s="1"/>
  <c r="A104" i="4"/>
  <c r="A74" i="11" s="1"/>
  <c r="A74" i="12" s="1"/>
  <c r="A105" i="4"/>
  <c r="A75" i="11" s="1"/>
  <c r="A75" i="12" s="1"/>
  <c r="A106" i="4"/>
  <c r="A76" i="11" s="1"/>
  <c r="A76" i="12" s="1"/>
  <c r="A107" i="4"/>
  <c r="A77" i="11" s="1"/>
  <c r="A77" i="12" s="1"/>
  <c r="A108" i="4"/>
  <c r="A78" i="11" s="1"/>
  <c r="A78" i="12" s="1"/>
  <c r="A109" i="4"/>
  <c r="A79" i="11" s="1"/>
  <c r="A79" i="12" s="1"/>
  <c r="A110" i="4"/>
  <c r="A80" i="11" s="1"/>
  <c r="A80" i="12" s="1"/>
  <c r="A111" i="4"/>
  <c r="A81" i="11" s="1"/>
  <c r="A81" i="12" s="1"/>
  <c r="A112" i="4"/>
  <c r="A82" i="11" s="1"/>
  <c r="A82" i="12" s="1"/>
  <c r="A113" i="4"/>
  <c r="A83" i="11" s="1"/>
  <c r="A83" i="12" s="1"/>
  <c r="A114" i="4"/>
  <c r="A84" i="11" s="1"/>
  <c r="A84" i="12" s="1"/>
  <c r="A115" i="4"/>
  <c r="A85" i="11" s="1"/>
  <c r="A85" i="12" s="1"/>
  <c r="A116" i="4"/>
  <c r="A86" i="11" s="1"/>
  <c r="A86" i="12" s="1"/>
  <c r="A117" i="4"/>
  <c r="A87" i="11" s="1"/>
  <c r="A87" i="12" s="1"/>
  <c r="A118" i="4"/>
  <c r="A88" i="11" s="1"/>
  <c r="A88" i="12" s="1"/>
  <c r="A119" i="4"/>
  <c r="A89" i="11" s="1"/>
  <c r="A89" i="12" s="1"/>
  <c r="A120" i="4"/>
  <c r="A90" i="11" s="1"/>
  <c r="A90" i="12" s="1"/>
  <c r="A121" i="4"/>
  <c r="A91" i="11" s="1"/>
  <c r="A91" i="12" s="1"/>
  <c r="A122" i="4"/>
  <c r="A92" i="11" s="1"/>
  <c r="A92" i="12" s="1"/>
  <c r="A123" i="4"/>
  <c r="A93" i="11" s="1"/>
  <c r="A93" i="12" s="1"/>
  <c r="A124" i="4"/>
  <c r="A94" i="11" s="1"/>
  <c r="A94" i="12" s="1"/>
  <c r="A125" i="4"/>
  <c r="A95" i="11" s="1"/>
  <c r="A95" i="12" s="1"/>
  <c r="A126" i="4"/>
  <c r="A96" i="11" s="1"/>
  <c r="A96" i="12" s="1"/>
  <c r="A127" i="4"/>
  <c r="A97" i="11" s="1"/>
  <c r="A97" i="12" s="1"/>
  <c r="A128" i="4"/>
  <c r="A98" i="11" s="1"/>
  <c r="A98" i="12" s="1"/>
  <c r="A129" i="4"/>
  <c r="A99" i="11" s="1"/>
  <c r="A99" i="12" s="1"/>
  <c r="A130" i="4"/>
  <c r="A100" i="11" s="1"/>
  <c r="A100" i="12" s="1"/>
  <c r="A131" i="4"/>
  <c r="A101" i="11" s="1"/>
  <c r="A101" i="12" s="1"/>
  <c r="A132" i="4"/>
  <c r="A102" i="11" s="1"/>
  <c r="A102" i="12" s="1"/>
  <c r="A133" i="4"/>
  <c r="A103" i="11" s="1"/>
  <c r="A103" i="12" s="1"/>
  <c r="A134" i="4"/>
  <c r="A104" i="11" s="1"/>
  <c r="A104" i="12" s="1"/>
  <c r="A135" i="4"/>
  <c r="A105" i="11" s="1"/>
  <c r="A105" i="12" s="1"/>
  <c r="A136" i="4"/>
  <c r="A106" i="11" s="1"/>
  <c r="A106" i="12" s="1"/>
  <c r="A137" i="4"/>
  <c r="A107" i="11" s="1"/>
  <c r="A107" i="12" s="1"/>
  <c r="A138" i="4"/>
  <c r="A108" i="11" s="1"/>
  <c r="A108" i="12" s="1"/>
  <c r="A139" i="4"/>
  <c r="A109" i="11" s="1"/>
  <c r="A109" i="12" s="1"/>
  <c r="A140" i="4"/>
  <c r="A110" i="11" s="1"/>
  <c r="A110" i="12" s="1"/>
  <c r="A141" i="4"/>
  <c r="A111" i="11" s="1"/>
  <c r="A111" i="12" s="1"/>
  <c r="A142" i="4"/>
  <c r="A112" i="11" s="1"/>
  <c r="A112" i="12" s="1"/>
  <c r="A143" i="4"/>
  <c r="A113" i="11" s="1"/>
  <c r="A113" i="12" s="1"/>
  <c r="A144" i="4"/>
  <c r="A114" i="11" s="1"/>
  <c r="A114" i="12" s="1"/>
  <c r="A145" i="4"/>
  <c r="A115" i="11" s="1"/>
  <c r="A115" i="12" s="1"/>
  <c r="A146" i="4"/>
  <c r="A116" i="11" s="1"/>
  <c r="A116" i="12" s="1"/>
  <c r="A147" i="4"/>
  <c r="A117" i="11" s="1"/>
  <c r="A117" i="12" s="1"/>
  <c r="A148" i="4"/>
  <c r="A118" i="11" s="1"/>
  <c r="A118" i="12" s="1"/>
  <c r="A149" i="4"/>
  <c r="A119" i="11" s="1"/>
  <c r="A119" i="12" s="1"/>
  <c r="A150" i="4"/>
  <c r="A120" i="11" s="1"/>
  <c r="A120" i="12" s="1"/>
  <c r="A151" i="4"/>
  <c r="A121" i="11" s="1"/>
  <c r="A121" i="12" s="1"/>
  <c r="A152" i="4"/>
  <c r="A122" i="11" s="1"/>
  <c r="A122" i="12" s="1"/>
  <c r="A153" i="4"/>
  <c r="A123" i="11" s="1"/>
  <c r="A123" i="12" s="1"/>
  <c r="A154" i="4"/>
  <c r="A124" i="11" s="1"/>
  <c r="A124" i="12" s="1"/>
  <c r="A155" i="4"/>
  <c r="A125" i="11" s="1"/>
  <c r="A125" i="12" s="1"/>
  <c r="A156" i="4"/>
  <c r="A126" i="11" s="1"/>
  <c r="A126" i="12" s="1"/>
  <c r="A157" i="4"/>
  <c r="A127" i="11" s="1"/>
  <c r="A127" i="12" s="1"/>
  <c r="A158" i="4"/>
  <c r="A128" i="11" s="1"/>
  <c r="A128" i="12" s="1"/>
  <c r="A159" i="4"/>
  <c r="A129" i="11" s="1"/>
  <c r="A129" i="12" s="1"/>
  <c r="A160" i="4"/>
  <c r="A130" i="11" s="1"/>
  <c r="A130" i="12" s="1"/>
  <c r="A161" i="4"/>
  <c r="A131" i="11" s="1"/>
  <c r="A131" i="12" s="1"/>
  <c r="A162" i="4"/>
  <c r="A132" i="11" s="1"/>
  <c r="A132" i="12" s="1"/>
  <c r="A163" i="4"/>
  <c r="A133" i="11" s="1"/>
  <c r="A133" i="12" s="1"/>
  <c r="A164" i="4"/>
  <c r="A134" i="11" s="1"/>
  <c r="A134" i="12" s="1"/>
  <c r="A165" i="4"/>
  <c r="A135" i="11" s="1"/>
  <c r="A135" i="12" s="1"/>
  <c r="A166" i="4"/>
  <c r="A136" i="11" s="1"/>
  <c r="A136" i="12" s="1"/>
  <c r="A167" i="4"/>
  <c r="A137" i="11" s="1"/>
  <c r="A137" i="12" s="1"/>
  <c r="A168" i="4"/>
  <c r="A138" i="11" s="1"/>
  <c r="A138" i="12" s="1"/>
  <c r="A169" i="4"/>
  <c r="A139" i="11" s="1"/>
  <c r="A139" i="12" s="1"/>
  <c r="A170" i="4"/>
  <c r="A140" i="11" s="1"/>
  <c r="A140" i="12" s="1"/>
  <c r="A171" i="4"/>
  <c r="A141" i="11" s="1"/>
  <c r="A141" i="12" s="1"/>
  <c r="A172" i="4"/>
  <c r="A142" i="11" s="1"/>
  <c r="A142" i="12" s="1"/>
  <c r="A173" i="4"/>
  <c r="A143" i="11" s="1"/>
  <c r="A143" i="12" s="1"/>
  <c r="A174" i="4"/>
  <c r="A144" i="11" s="1"/>
  <c r="A144" i="12" s="1"/>
  <c r="A175" i="4"/>
  <c r="A145" i="11" s="1"/>
  <c r="A145" i="12" s="1"/>
  <c r="A176" i="4"/>
  <c r="A146" i="11" s="1"/>
  <c r="A146" i="12" s="1"/>
  <c r="A177" i="4"/>
  <c r="A147" i="11" s="1"/>
  <c r="A147" i="12" s="1"/>
  <c r="A178" i="4"/>
  <c r="A148" i="11" s="1"/>
  <c r="A148" i="12" s="1"/>
  <c r="A179" i="4"/>
  <c r="A149" i="11" s="1"/>
  <c r="A149" i="12" s="1"/>
  <c r="A180" i="4"/>
  <c r="A150" i="11" s="1"/>
  <c r="A150" i="12" s="1"/>
  <c r="A181" i="4"/>
  <c r="A151" i="11" s="1"/>
  <c r="A151" i="12" s="1"/>
  <c r="A182" i="4"/>
  <c r="A152" i="11" s="1"/>
  <c r="A152" i="12" s="1"/>
  <c r="A183" i="4"/>
  <c r="A153" i="11" s="1"/>
  <c r="A153" i="12" s="1"/>
  <c r="A184" i="4"/>
  <c r="A154" i="11" s="1"/>
  <c r="A154" i="12" s="1"/>
  <c r="A185" i="4"/>
  <c r="A155" i="11" s="1"/>
  <c r="A155" i="12" s="1"/>
  <c r="A186" i="4"/>
  <c r="A156" i="11" s="1"/>
  <c r="A156" i="12" s="1"/>
  <c r="A187" i="4"/>
  <c r="A157" i="11" s="1"/>
  <c r="A157" i="12" s="1"/>
  <c r="A188" i="4"/>
  <c r="A158" i="11" s="1"/>
  <c r="A158" i="12" s="1"/>
  <c r="A189" i="4"/>
  <c r="A159" i="11" s="1"/>
  <c r="A159" i="12" s="1"/>
  <c r="A190" i="4"/>
  <c r="A160" i="11" s="1"/>
  <c r="A160" i="12" s="1"/>
  <c r="A191" i="4"/>
  <c r="A161" i="11" s="1"/>
  <c r="A161" i="12" s="1"/>
  <c r="A192" i="4"/>
  <c r="A162" i="11" s="1"/>
  <c r="A162" i="12" s="1"/>
  <c r="A193" i="4"/>
  <c r="A163" i="11" s="1"/>
  <c r="A163" i="12" s="1"/>
  <c r="A194" i="4"/>
  <c r="A164" i="11" s="1"/>
  <c r="A164" i="12" s="1"/>
  <c r="A195" i="4"/>
  <c r="A165" i="11" s="1"/>
  <c r="A165" i="12" s="1"/>
  <c r="A196" i="4"/>
  <c r="A166" i="11" s="1"/>
  <c r="A166" i="12" s="1"/>
  <c r="A197" i="4"/>
  <c r="A167" i="11" s="1"/>
  <c r="A167" i="12" s="1"/>
  <c r="A198" i="4"/>
  <c r="A168" i="11" s="1"/>
  <c r="A168" i="12" s="1"/>
  <c r="A199" i="4"/>
  <c r="A169" i="11" s="1"/>
  <c r="A169" i="12" s="1"/>
  <c r="B32" i="4"/>
  <c r="B2" i="11" s="1"/>
  <c r="B2" i="12" s="1"/>
  <c r="A32" i="4"/>
  <c r="A2" i="11" s="1"/>
  <c r="A2" i="12" s="1"/>
  <c r="B3" i="4"/>
  <c r="B4" i="4"/>
  <c r="B5" i="4"/>
  <c r="B6" i="4"/>
  <c r="BX132" i="4" l="1"/>
  <c r="BX84" i="4"/>
  <c r="BX197" i="4"/>
  <c r="BS181" i="4"/>
  <c r="BS188" i="4"/>
  <c r="BS179" i="4"/>
  <c r="BS160" i="4"/>
  <c r="BS117" i="4"/>
  <c r="BS123" i="4"/>
  <c r="BS80" i="4"/>
  <c r="BS67" i="4"/>
  <c r="BS49" i="4"/>
  <c r="BX50" i="4"/>
  <c r="BS45" i="4"/>
  <c r="BX178" i="4"/>
  <c r="BX173" i="4"/>
  <c r="BX54" i="4"/>
  <c r="BX95" i="4"/>
  <c r="BX108" i="4"/>
  <c r="BX94" i="4"/>
  <c r="BS66" i="4"/>
  <c r="CA66" i="4" s="1"/>
  <c r="BS99" i="4"/>
  <c r="BX67" i="4"/>
  <c r="BR49" i="4"/>
  <c r="BX181" i="4"/>
  <c r="BX120" i="4"/>
  <c r="BX153" i="4"/>
  <c r="BX143" i="4"/>
  <c r="BX73" i="4"/>
  <c r="BX98" i="4"/>
  <c r="BX76" i="4"/>
  <c r="BX134" i="4"/>
  <c r="BX63" i="4"/>
  <c r="BX70" i="4"/>
  <c r="BX59" i="4"/>
  <c r="BX61" i="4"/>
  <c r="BV192" i="4"/>
  <c r="BS145" i="4"/>
  <c r="BS191" i="4"/>
  <c r="BS170" i="4"/>
  <c r="BV41" i="4"/>
  <c r="BX109" i="4"/>
  <c r="BS120" i="4"/>
  <c r="BR50" i="4"/>
  <c r="BX71" i="4"/>
  <c r="BS69" i="4"/>
  <c r="BR181" i="4"/>
  <c r="BS129" i="4"/>
  <c r="CA129" i="4" s="1"/>
  <c r="BX124" i="4"/>
  <c r="BX140" i="4"/>
  <c r="BX90" i="4"/>
  <c r="BX57" i="4"/>
  <c r="BV126" i="4"/>
  <c r="BU67" i="4"/>
  <c r="BV45" i="4"/>
  <c r="BS197" i="4"/>
  <c r="BX106" i="4"/>
  <c r="BS196" i="4"/>
  <c r="BS192" i="4"/>
  <c r="BS114" i="4"/>
  <c r="BT114" i="4"/>
  <c r="BX177" i="4"/>
  <c r="BX168" i="4"/>
  <c r="BX194" i="4"/>
  <c r="BX148" i="4"/>
  <c r="BX82" i="4"/>
  <c r="BX77" i="4"/>
  <c r="BX87" i="4"/>
  <c r="BX51" i="4"/>
  <c r="BX117" i="4"/>
  <c r="BX74" i="4"/>
  <c r="BX79" i="4"/>
  <c r="BS115" i="4"/>
  <c r="BV184" i="4"/>
  <c r="BV194" i="4"/>
  <c r="BV186" i="4"/>
  <c r="BU116" i="4"/>
  <c r="BU69" i="4"/>
  <c r="BV124" i="4"/>
  <c r="BU108" i="4"/>
  <c r="BU110" i="4"/>
  <c r="BU118" i="4"/>
  <c r="BV190" i="4"/>
  <c r="BV120" i="4"/>
  <c r="BX179" i="4"/>
  <c r="BX147" i="4"/>
  <c r="BX142" i="4"/>
  <c r="BX53" i="4"/>
  <c r="BX40" i="4"/>
  <c r="BS40" i="4"/>
  <c r="BX64" i="4"/>
  <c r="BX85" i="4"/>
  <c r="BX42" i="4"/>
  <c r="BS72" i="4"/>
  <c r="BS78" i="4"/>
  <c r="BS55" i="4"/>
  <c r="BX58" i="4"/>
  <c r="BX52" i="4"/>
  <c r="BS42" i="4"/>
  <c r="BS38" i="4"/>
  <c r="BX55" i="4"/>
  <c r="BU51" i="4"/>
  <c r="BR72" i="4"/>
  <c r="BR78" i="4"/>
  <c r="BX78" i="4"/>
  <c r="BV128" i="4"/>
  <c r="BS39" i="4"/>
  <c r="BV39" i="4"/>
  <c r="BX46" i="4"/>
  <c r="CA50" i="4"/>
  <c r="BX135" i="4"/>
  <c r="BY95" i="4"/>
  <c r="BY67" i="4"/>
  <c r="BX189" i="4"/>
  <c r="BS47" i="4"/>
  <c r="BY106" i="4"/>
  <c r="BY156" i="4"/>
  <c r="BY71" i="4"/>
  <c r="BY108" i="4"/>
  <c r="CA64" i="4"/>
  <c r="BY124" i="4"/>
  <c r="BX193" i="4"/>
  <c r="BX100" i="4"/>
  <c r="BY128" i="4"/>
  <c r="BZ121" i="4"/>
  <c r="BY66" i="4"/>
  <c r="BX188" i="4"/>
  <c r="BX199" i="4"/>
  <c r="BZ42" i="4"/>
  <c r="BX167" i="4"/>
  <c r="BX137" i="4"/>
  <c r="BS137" i="4"/>
  <c r="BX186" i="4"/>
  <c r="BS184" i="4"/>
  <c r="BY81" i="4"/>
  <c r="BY114" i="4"/>
  <c r="BX112" i="4"/>
  <c r="BX176" i="4"/>
  <c r="BX164" i="4"/>
  <c r="BX105" i="4"/>
  <c r="BX184" i="4"/>
  <c r="CA178" i="4"/>
  <c r="CA88" i="4"/>
  <c r="CA49" i="4"/>
  <c r="BY112" i="4"/>
  <c r="BZ109" i="4"/>
  <c r="J4" i="4"/>
  <c r="E4" i="4"/>
  <c r="I4" i="4"/>
  <c r="N4" i="4"/>
  <c r="R4" i="4"/>
  <c r="V4" i="4"/>
  <c r="Z4" i="4"/>
  <c r="AD4" i="4"/>
  <c r="AH4" i="4"/>
  <c r="AL4" i="4"/>
  <c r="AP4" i="4"/>
  <c r="AT4" i="4"/>
  <c r="AX4" i="4"/>
  <c r="F4" i="4"/>
  <c r="K4" i="4"/>
  <c r="O4" i="4"/>
  <c r="S4" i="4"/>
  <c r="W4" i="4"/>
  <c r="AA4" i="4"/>
  <c r="AE4" i="4"/>
  <c r="AI4" i="4"/>
  <c r="AM4" i="4"/>
  <c r="AU4" i="4"/>
  <c r="AY4" i="4"/>
  <c r="AQ4" i="4"/>
  <c r="G4" i="4"/>
  <c r="P4" i="4"/>
  <c r="X4" i="4"/>
  <c r="AF4" i="4"/>
  <c r="AN4" i="4"/>
  <c r="AV4" i="4"/>
  <c r="L4" i="4"/>
  <c r="T4" i="4"/>
  <c r="AB4" i="4"/>
  <c r="AJ4" i="4"/>
  <c r="AR4" i="4"/>
  <c r="AZ4" i="4"/>
  <c r="H4" i="4"/>
  <c r="Y4" i="4"/>
  <c r="AO4" i="4"/>
  <c r="M4" i="4"/>
  <c r="AC4" i="4"/>
  <c r="AS4" i="4"/>
  <c r="D4" i="4"/>
  <c r="U4" i="4"/>
  <c r="AK4" i="4"/>
  <c r="BA4" i="4"/>
  <c r="Q4" i="4"/>
  <c r="AG4" i="4"/>
  <c r="AW4" i="4"/>
  <c r="BF4" i="4"/>
  <c r="BG4" i="4"/>
  <c r="BD4" i="4"/>
  <c r="BE4" i="4"/>
  <c r="BH4" i="4"/>
  <c r="BX113" i="4"/>
  <c r="CA145" i="4"/>
  <c r="BX133" i="4"/>
  <c r="G3" i="4"/>
  <c r="K3" i="4"/>
  <c r="O3" i="4"/>
  <c r="S3" i="4"/>
  <c r="W3" i="4"/>
  <c r="AA3" i="4"/>
  <c r="AE3" i="4"/>
  <c r="AI3" i="4"/>
  <c r="AM3" i="4"/>
  <c r="AQ3" i="4"/>
  <c r="AU3" i="4"/>
  <c r="AY3" i="4"/>
  <c r="D3" i="4"/>
  <c r="H3" i="4"/>
  <c r="L3" i="4"/>
  <c r="P3" i="4"/>
  <c r="T3" i="4"/>
  <c r="X3" i="4"/>
  <c r="AB3" i="4"/>
  <c r="AF3" i="4"/>
  <c r="AJ3" i="4"/>
  <c r="AN3" i="4"/>
  <c r="AR3" i="4"/>
  <c r="AV3" i="4"/>
  <c r="AZ3" i="4"/>
  <c r="AG3" i="4"/>
  <c r="AO3" i="4"/>
  <c r="AW3" i="4"/>
  <c r="E3" i="4"/>
  <c r="I3" i="4"/>
  <c r="M3" i="4"/>
  <c r="Q3" i="4"/>
  <c r="U3" i="4"/>
  <c r="Y3" i="4"/>
  <c r="AC3" i="4"/>
  <c r="AK3" i="4"/>
  <c r="AS3" i="4"/>
  <c r="BA3" i="4"/>
  <c r="J3" i="4"/>
  <c r="Z3" i="4"/>
  <c r="AP3" i="4"/>
  <c r="N3" i="4"/>
  <c r="AD3" i="4"/>
  <c r="AT3" i="4"/>
  <c r="F3" i="4"/>
  <c r="V3" i="4"/>
  <c r="AL3" i="4"/>
  <c r="R3" i="4"/>
  <c r="AH3" i="4"/>
  <c r="AX3" i="4"/>
  <c r="BG3" i="4"/>
  <c r="BD3" i="4"/>
  <c r="BH3" i="4"/>
  <c r="BF3" i="4"/>
  <c r="BE3" i="4"/>
  <c r="F6" i="4"/>
  <c r="J6" i="4"/>
  <c r="N6" i="4"/>
  <c r="R6" i="4"/>
  <c r="V6" i="4"/>
  <c r="Z6" i="4"/>
  <c r="AD6" i="4"/>
  <c r="AH6" i="4"/>
  <c r="AL6" i="4"/>
  <c r="AP6" i="4"/>
  <c r="AT6" i="4"/>
  <c r="AX6" i="4"/>
  <c r="G6" i="4"/>
  <c r="O6" i="4"/>
  <c r="W6" i="4"/>
  <c r="AA6" i="4"/>
  <c r="AI6" i="4"/>
  <c r="AQ6" i="4"/>
  <c r="AU6" i="4"/>
  <c r="AB6" i="4"/>
  <c r="K6" i="4"/>
  <c r="S6" i="4"/>
  <c r="AE6" i="4"/>
  <c r="AM6" i="4"/>
  <c r="AY6" i="4"/>
  <c r="D6" i="4"/>
  <c r="L6" i="4"/>
  <c r="T6" i="4"/>
  <c r="X6" i="4"/>
  <c r="AJ6" i="4"/>
  <c r="AR6" i="4"/>
  <c r="AZ6" i="4"/>
  <c r="H6" i="4"/>
  <c r="P6" i="4"/>
  <c r="AF6" i="4"/>
  <c r="AN6" i="4"/>
  <c r="AV6" i="4"/>
  <c r="E6" i="4"/>
  <c r="U6" i="4"/>
  <c r="AK6" i="4"/>
  <c r="BA6" i="4"/>
  <c r="I6" i="4"/>
  <c r="Y6" i="4"/>
  <c r="AO6" i="4"/>
  <c r="AG6" i="4"/>
  <c r="AW6" i="4"/>
  <c r="Q6" i="4"/>
  <c r="M6" i="4"/>
  <c r="AC6" i="4"/>
  <c r="AS6" i="4"/>
  <c r="BD6" i="4"/>
  <c r="BH6" i="4"/>
  <c r="BE6" i="4"/>
  <c r="BG6" i="4"/>
  <c r="BF6" i="4"/>
  <c r="D5" i="4"/>
  <c r="H5" i="4"/>
  <c r="L5" i="4"/>
  <c r="P5" i="4"/>
  <c r="T5" i="4"/>
  <c r="X5" i="4"/>
  <c r="AB5" i="4"/>
  <c r="AF5" i="4"/>
  <c r="AJ5" i="4"/>
  <c r="AN5" i="4"/>
  <c r="AR5" i="4"/>
  <c r="AV5" i="4"/>
  <c r="AZ5" i="4"/>
  <c r="E5" i="4"/>
  <c r="I5" i="4"/>
  <c r="M5" i="4"/>
  <c r="Q5" i="4"/>
  <c r="U5" i="4"/>
  <c r="Y5" i="4"/>
  <c r="AG5" i="4"/>
  <c r="AK5" i="4"/>
  <c r="AO5" i="4"/>
  <c r="AW5" i="4"/>
  <c r="Z5" i="4"/>
  <c r="AC5" i="4"/>
  <c r="AS5" i="4"/>
  <c r="BA5" i="4"/>
  <c r="F5" i="4"/>
  <c r="R5" i="4"/>
  <c r="AD5" i="4"/>
  <c r="AL5" i="4"/>
  <c r="AT5" i="4"/>
  <c r="J5" i="4"/>
  <c r="N5" i="4"/>
  <c r="V5" i="4"/>
  <c r="AH5" i="4"/>
  <c r="AP5" i="4"/>
  <c r="AX5" i="4"/>
  <c r="G5" i="4"/>
  <c r="W5" i="4"/>
  <c r="AM5" i="4"/>
  <c r="K5" i="4"/>
  <c r="AA5" i="4"/>
  <c r="AQ5" i="4"/>
  <c r="S5" i="4"/>
  <c r="AI5" i="4"/>
  <c r="AY5" i="4"/>
  <c r="O5" i="4"/>
  <c r="AE5" i="4"/>
  <c r="AU5" i="4"/>
  <c r="BE5" i="4"/>
  <c r="BF5" i="4"/>
  <c r="BG5" i="4"/>
  <c r="BD5" i="4"/>
  <c r="BH5" i="4"/>
  <c r="BY120" i="4"/>
  <c r="BY152" i="4"/>
  <c r="BY187" i="4"/>
  <c r="CA137" i="4"/>
  <c r="BZ129" i="4"/>
  <c r="BY101" i="4"/>
  <c r="BY75" i="4"/>
  <c r="CA99" i="4"/>
  <c r="BY78" i="4"/>
  <c r="BY77" i="4"/>
  <c r="CA52" i="4"/>
  <c r="BY57" i="4"/>
  <c r="CA149" i="4"/>
  <c r="CA55" i="4"/>
  <c r="BY161" i="4"/>
  <c r="BS41" i="4"/>
  <c r="BX192" i="4"/>
  <c r="BY118" i="4"/>
  <c r="BY61" i="4"/>
  <c r="BX139" i="4"/>
  <c r="BX159" i="4"/>
  <c r="BX155" i="4"/>
  <c r="BX151" i="4"/>
  <c r="BS33" i="4"/>
  <c r="CA160" i="4"/>
  <c r="BZ113" i="4"/>
  <c r="BX183" i="4"/>
  <c r="BV71" i="4"/>
  <c r="BR41" i="4"/>
  <c r="BZ41" i="4" s="1"/>
  <c r="CA190" i="4"/>
  <c r="BZ160" i="4"/>
  <c r="BZ186" i="4"/>
  <c r="BZ125" i="4"/>
  <c r="BZ93" i="4"/>
  <c r="BZ53" i="4"/>
  <c r="CA162" i="4"/>
  <c r="CA122" i="4"/>
  <c r="CA164" i="4"/>
  <c r="BX180" i="4"/>
  <c r="BX121" i="4"/>
  <c r="BS60" i="4"/>
  <c r="CA60" i="4" s="1"/>
  <c r="BX162" i="4"/>
  <c r="BX33" i="4"/>
  <c r="CA126" i="4"/>
  <c r="BY116" i="4"/>
  <c r="CA103" i="4"/>
  <c r="BY55" i="4"/>
  <c r="BX145" i="4"/>
  <c r="BX191" i="4"/>
  <c r="BX174" i="4"/>
  <c r="CA141" i="4"/>
  <c r="BZ180" i="4"/>
  <c r="CA72" i="4"/>
  <c r="BZ44" i="4"/>
  <c r="BZ149" i="4"/>
  <c r="BY176" i="4"/>
  <c r="CA120" i="4"/>
  <c r="CA47" i="4"/>
  <c r="BV36" i="4"/>
  <c r="BX141" i="4"/>
  <c r="BS186" i="4"/>
  <c r="CA186" i="4" s="1"/>
  <c r="BZ115" i="4"/>
  <c r="BY154" i="4"/>
  <c r="BZ163" i="4"/>
  <c r="BZ147" i="4"/>
  <c r="BY102" i="4"/>
  <c r="CA59" i="4"/>
  <c r="BZ54" i="4"/>
  <c r="BT116" i="4"/>
  <c r="CB116" i="4" s="1"/>
  <c r="BS121" i="4"/>
  <c r="BX47" i="4"/>
  <c r="BX41" i="4"/>
  <c r="CA53" i="4"/>
  <c r="BZ187" i="4"/>
  <c r="BZ136" i="4"/>
  <c r="BZ166" i="4"/>
  <c r="BZ195" i="4"/>
  <c r="BZ144" i="4"/>
  <c r="BZ189" i="4"/>
  <c r="BZ181" i="4"/>
  <c r="BZ177" i="4"/>
  <c r="BZ173" i="4"/>
  <c r="BZ148" i="4"/>
  <c r="BZ158" i="4"/>
  <c r="BZ154" i="4"/>
  <c r="BZ150" i="4"/>
  <c r="BZ85" i="4"/>
  <c r="BZ80" i="4"/>
  <c r="BZ94" i="4"/>
  <c r="BZ90" i="4"/>
  <c r="CA73" i="4"/>
  <c r="BZ169" i="4"/>
  <c r="CA112" i="4"/>
  <c r="BZ146" i="4"/>
  <c r="BZ168" i="4"/>
  <c r="BZ104" i="4"/>
  <c r="BZ81" i="4"/>
  <c r="BZ83" i="4"/>
  <c r="BZ74" i="4"/>
  <c r="BZ55" i="4"/>
  <c r="BZ62" i="4"/>
  <c r="BT118" i="4"/>
  <c r="CB118" i="4" s="1"/>
  <c r="BT158" i="4"/>
  <c r="BW162" i="4"/>
  <c r="BT155" i="4"/>
  <c r="CB155" i="4" s="1"/>
  <c r="BT167" i="4"/>
  <c r="BT122" i="4"/>
  <c r="BY125" i="4"/>
  <c r="BT72" i="4"/>
  <c r="CB72" i="4" s="1"/>
  <c r="BT46" i="4"/>
  <c r="BX37" i="4"/>
  <c r="BY122" i="4"/>
  <c r="BY100" i="4"/>
  <c r="CA39" i="4"/>
  <c r="CA45" i="4"/>
  <c r="CA114" i="4"/>
  <c r="BZ162" i="4"/>
  <c r="BZ132" i="4"/>
  <c r="BZ193" i="4"/>
  <c r="BZ185" i="4"/>
  <c r="BZ179" i="4"/>
  <c r="BZ175" i="4"/>
  <c r="BZ140" i="4"/>
  <c r="BZ156" i="4"/>
  <c r="BZ152" i="4"/>
  <c r="BZ142" i="4"/>
  <c r="BZ68" i="4"/>
  <c r="BZ96" i="4"/>
  <c r="BZ92" i="4"/>
  <c r="BZ88" i="4"/>
  <c r="BZ43" i="4"/>
  <c r="BT53" i="4"/>
  <c r="BT184" i="4"/>
  <c r="CB184" i="4" s="1"/>
  <c r="BT120" i="4"/>
  <c r="BT176" i="4"/>
  <c r="BT143" i="4"/>
  <c r="BT194" i="4"/>
  <c r="CB194" i="4" s="1"/>
  <c r="BT153" i="4"/>
  <c r="BY113" i="4"/>
  <c r="BT117" i="4"/>
  <c r="BT69" i="4"/>
  <c r="CB69" i="4" s="1"/>
  <c r="BT123" i="4"/>
  <c r="BY115" i="4"/>
  <c r="BW99" i="4"/>
  <c r="BT80" i="4"/>
  <c r="CB80" i="4" s="1"/>
  <c r="BS68" i="4"/>
  <c r="CA68" i="4" s="1"/>
  <c r="BT92" i="4"/>
  <c r="BT88" i="4"/>
  <c r="CB88" i="4" s="1"/>
  <c r="BT67" i="4"/>
  <c r="CB67" i="4" s="1"/>
  <c r="BT49" i="4"/>
  <c r="BT50" i="4"/>
  <c r="BZ98" i="4"/>
  <c r="BZ191" i="4"/>
  <c r="BZ138" i="4"/>
  <c r="BZ170" i="4"/>
  <c r="BZ134" i="4"/>
  <c r="BZ57" i="4"/>
  <c r="BZ86" i="4"/>
  <c r="BZ72" i="4"/>
  <c r="BZ70" i="4"/>
  <c r="BZ66" i="4"/>
  <c r="BT195" i="4"/>
  <c r="BU132" i="4"/>
  <c r="BT137" i="4"/>
  <c r="BW103" i="4"/>
  <c r="BT154" i="4"/>
  <c r="CB114" i="4"/>
  <c r="BT136" i="4"/>
  <c r="BT151" i="4"/>
  <c r="BT165" i="4"/>
  <c r="BT139" i="4"/>
  <c r="BT96" i="4"/>
  <c r="CB96" i="4" s="1"/>
  <c r="BT130" i="4"/>
  <c r="CB130" i="4" s="1"/>
  <c r="BY121" i="4"/>
  <c r="BT97" i="4"/>
  <c r="BS105" i="4"/>
  <c r="BT91" i="4"/>
  <c r="BT43" i="4"/>
  <c r="BY62" i="4"/>
  <c r="BT63" i="4"/>
  <c r="BY48" i="4"/>
  <c r="CB49" i="4"/>
  <c r="CB50" i="4"/>
  <c r="CB137" i="4"/>
  <c r="BY33" i="4"/>
  <c r="BY37" i="4"/>
  <c r="BY195" i="4"/>
  <c r="BY177" i="4"/>
  <c r="BY132" i="4"/>
  <c r="CA100" i="4"/>
  <c r="BZ77" i="4"/>
  <c r="BT101" i="4"/>
  <c r="BS101" i="4"/>
  <c r="BX101" i="4"/>
  <c r="BV101" i="4"/>
  <c r="BW101" i="4"/>
  <c r="BU101" i="4"/>
  <c r="BZ161" i="4"/>
  <c r="BV161" i="4"/>
  <c r="BW161" i="4"/>
  <c r="BU161" i="4"/>
  <c r="BT173" i="4"/>
  <c r="CA173" i="4"/>
  <c r="BY173" i="4"/>
  <c r="BW173" i="4"/>
  <c r="CB173" i="4"/>
  <c r="BU173" i="4"/>
  <c r="BV173" i="4"/>
  <c r="BU128" i="4"/>
  <c r="BX128" i="4"/>
  <c r="BZ128" i="4"/>
  <c r="BW128" i="4"/>
  <c r="BY169" i="4"/>
  <c r="CA169" i="4"/>
  <c r="BU169" i="4"/>
  <c r="BW169" i="4"/>
  <c r="BY199" i="4"/>
  <c r="BR199" i="4"/>
  <c r="BV199" i="4"/>
  <c r="BU199" i="4"/>
  <c r="BW199" i="4"/>
  <c r="CA183" i="4"/>
  <c r="BZ183" i="4"/>
  <c r="BU183" i="4"/>
  <c r="BW183" i="4"/>
  <c r="BT168" i="4"/>
  <c r="BY168" i="4"/>
  <c r="BS168" i="4"/>
  <c r="CA168" i="4" s="1"/>
  <c r="BU168" i="4"/>
  <c r="BV168" i="4"/>
  <c r="BW168" i="4"/>
  <c r="BS152" i="4"/>
  <c r="CA152" i="4" s="1"/>
  <c r="BX152" i="4"/>
  <c r="BV152" i="4"/>
  <c r="BW152" i="4"/>
  <c r="BU152" i="4"/>
  <c r="BV108" i="4"/>
  <c r="BW108" i="4"/>
  <c r="BU189" i="4"/>
  <c r="CA189" i="4"/>
  <c r="BY189" i="4"/>
  <c r="BV189" i="4"/>
  <c r="BW189" i="4"/>
  <c r="BU171" i="4"/>
  <c r="BY171" i="4"/>
  <c r="BZ171" i="4"/>
  <c r="BW171" i="4"/>
  <c r="BU124" i="4"/>
  <c r="BZ124" i="4"/>
  <c r="BT124" i="4"/>
  <c r="BW124" i="4"/>
  <c r="BU196" i="4"/>
  <c r="CA196" i="4"/>
  <c r="BY196" i="4"/>
  <c r="BZ196" i="4"/>
  <c r="BW196" i="4"/>
  <c r="BU178" i="4"/>
  <c r="BZ178" i="4"/>
  <c r="BY178" i="4"/>
  <c r="BW178" i="4"/>
  <c r="BU157" i="4"/>
  <c r="CA157" i="4"/>
  <c r="BZ157" i="4"/>
  <c r="BY157" i="4"/>
  <c r="BW157" i="4"/>
  <c r="BT157" i="4"/>
  <c r="BS142" i="4"/>
  <c r="CA142" i="4" s="1"/>
  <c r="BY142" i="4"/>
  <c r="BW142" i="4"/>
  <c r="BT142" i="4"/>
  <c r="BU142" i="4"/>
  <c r="BV142" i="4"/>
  <c r="BY197" i="4"/>
  <c r="BU197" i="4"/>
  <c r="BW197" i="4"/>
  <c r="BV197" i="4"/>
  <c r="BT164" i="4"/>
  <c r="CB164" i="4" s="1"/>
  <c r="BY164" i="4"/>
  <c r="BU164" i="4"/>
  <c r="BV164" i="4"/>
  <c r="BS138" i="4"/>
  <c r="CA138" i="4" s="1"/>
  <c r="BY138" i="4"/>
  <c r="BX138" i="4"/>
  <c r="BU138" i="4"/>
  <c r="BW138" i="4"/>
  <c r="BV138" i="4"/>
  <c r="CA86" i="4"/>
  <c r="BY86" i="4"/>
  <c r="BV86" i="4"/>
  <c r="BW86" i="4"/>
  <c r="BS148" i="4"/>
  <c r="CA148" i="4" s="1"/>
  <c r="BY148" i="4"/>
  <c r="BV148" i="4"/>
  <c r="BU148" i="4"/>
  <c r="BW148" i="4"/>
  <c r="BU126" i="4"/>
  <c r="BZ126" i="4"/>
  <c r="BX126" i="4"/>
  <c r="BW126" i="4"/>
  <c r="BU76" i="4"/>
  <c r="BZ76" i="4"/>
  <c r="CA76" i="4"/>
  <c r="BY76" i="4"/>
  <c r="BW76" i="4"/>
  <c r="BZ52" i="4"/>
  <c r="BT52" i="4"/>
  <c r="BV52" i="4"/>
  <c r="BU52" i="4"/>
  <c r="BX127" i="4"/>
  <c r="BR127" i="4"/>
  <c r="BZ127" i="4" s="1"/>
  <c r="BU127" i="4"/>
  <c r="BV127" i="4"/>
  <c r="BW127" i="4"/>
  <c r="BX119" i="4"/>
  <c r="BR119" i="4"/>
  <c r="CA119" i="4" s="1"/>
  <c r="BU119" i="4"/>
  <c r="BV119" i="4"/>
  <c r="BW119" i="4"/>
  <c r="BR111" i="4"/>
  <c r="BZ111" i="4" s="1"/>
  <c r="BX111" i="4"/>
  <c r="BU111" i="4"/>
  <c r="BV111" i="4"/>
  <c r="BW111" i="4"/>
  <c r="BY84" i="4"/>
  <c r="BW84" i="4"/>
  <c r="BS104" i="4"/>
  <c r="CA104" i="4" s="1"/>
  <c r="BY104" i="4"/>
  <c r="BV104" i="4"/>
  <c r="BU104" i="4"/>
  <c r="BY73" i="4"/>
  <c r="BZ73" i="4"/>
  <c r="BV73" i="4"/>
  <c r="BT73" i="4"/>
  <c r="CB73" i="4" s="1"/>
  <c r="CA54" i="4"/>
  <c r="BY54" i="4"/>
  <c r="BV54" i="4"/>
  <c r="BW54" i="4"/>
  <c r="BU90" i="4"/>
  <c r="CA90" i="4"/>
  <c r="BY90" i="4"/>
  <c r="BV90" i="4"/>
  <c r="BT90" i="4"/>
  <c r="CC90" i="4" s="1"/>
  <c r="BY82" i="4"/>
  <c r="BS82" i="4"/>
  <c r="BV82" i="4"/>
  <c r="BW82" i="4"/>
  <c r="BT74" i="4"/>
  <c r="CB74" i="4" s="1"/>
  <c r="BY74" i="4"/>
  <c r="CA74" i="4"/>
  <c r="BV74" i="4"/>
  <c r="BW74" i="4"/>
  <c r="BY44" i="4"/>
  <c r="CA44" i="4"/>
  <c r="BV44" i="4"/>
  <c r="BW44" i="4"/>
  <c r="BU41" i="4"/>
  <c r="BT41" i="4"/>
  <c r="BY41" i="4"/>
  <c r="BW41" i="4"/>
  <c r="BT42" i="4"/>
  <c r="CA42" i="4"/>
  <c r="BW42" i="4"/>
  <c r="BV42" i="4"/>
  <c r="BU42" i="4"/>
  <c r="BY58" i="4"/>
  <c r="BS58" i="4"/>
  <c r="BV58" i="4"/>
  <c r="BW58" i="4"/>
  <c r="BT58" i="4"/>
  <c r="BY47" i="4"/>
  <c r="BT47" i="4"/>
  <c r="BU47" i="4"/>
  <c r="BW47" i="4"/>
  <c r="BT59" i="4"/>
  <c r="BY59" i="4"/>
  <c r="BW59" i="4"/>
  <c r="BZ59" i="4"/>
  <c r="BU59" i="4"/>
  <c r="BY117" i="4"/>
  <c r="BY119" i="4"/>
  <c r="BY46" i="4"/>
  <c r="BY40" i="4"/>
  <c r="BR84" i="4"/>
  <c r="BS159" i="4"/>
  <c r="CA159" i="4" s="1"/>
  <c r="CB124" i="4"/>
  <c r="BW90" i="4"/>
  <c r="BU74" i="4"/>
  <c r="BW80" i="4"/>
  <c r="BV47" i="4"/>
  <c r="BT191" i="4"/>
  <c r="BT115" i="4"/>
  <c r="BT126" i="4"/>
  <c r="CB126" i="4" s="1"/>
  <c r="BT183" i="4"/>
  <c r="BT148" i="4"/>
  <c r="BT197" i="4"/>
  <c r="BT152" i="4"/>
  <c r="BT54" i="4"/>
  <c r="BT84" i="4"/>
  <c r="BT82" i="4"/>
  <c r="BZ172" i="4"/>
  <c r="CA124" i="4"/>
  <c r="CA118" i="4"/>
  <c r="BU198" i="4"/>
  <c r="BR198" i="4"/>
  <c r="BY198" i="4"/>
  <c r="BV198" i="4"/>
  <c r="BW198" i="4"/>
  <c r="BX118" i="4"/>
  <c r="BZ118" i="4"/>
  <c r="BV118" i="4"/>
  <c r="BW118" i="4"/>
  <c r="BU163" i="4"/>
  <c r="CA163" i="4"/>
  <c r="BY163" i="4"/>
  <c r="BV163" i="4"/>
  <c r="BW163" i="4"/>
  <c r="BY53" i="4"/>
  <c r="BU53" i="4"/>
  <c r="BW53" i="4"/>
  <c r="CB53" i="4"/>
  <c r="BV53" i="4"/>
  <c r="BS131" i="4"/>
  <c r="BR131" i="4"/>
  <c r="BU131" i="4"/>
  <c r="BV131" i="4"/>
  <c r="BW131" i="4"/>
  <c r="BU190" i="4"/>
  <c r="BZ190" i="4"/>
  <c r="BY190" i="4"/>
  <c r="BU180" i="4"/>
  <c r="BY180" i="4"/>
  <c r="BW180" i="4"/>
  <c r="BT180" i="4"/>
  <c r="BS158" i="4"/>
  <c r="CA158" i="4" s="1"/>
  <c r="BY158" i="4"/>
  <c r="BW158" i="4"/>
  <c r="BU158" i="4"/>
  <c r="BV158" i="4"/>
  <c r="BS150" i="4"/>
  <c r="CA150" i="4" s="1"/>
  <c r="BY150" i="4"/>
  <c r="BU150" i="4"/>
  <c r="BW150" i="4"/>
  <c r="BV150" i="4"/>
  <c r="BZ106" i="4"/>
  <c r="CA106" i="4"/>
  <c r="BT106" i="4"/>
  <c r="BV106" i="4"/>
  <c r="BW106" i="4"/>
  <c r="BU187" i="4"/>
  <c r="CA187" i="4"/>
  <c r="BX187" i="4"/>
  <c r="BW187" i="4"/>
  <c r="BV187" i="4"/>
  <c r="BY162" i="4"/>
  <c r="BV162" i="4"/>
  <c r="BU162" i="4"/>
  <c r="BT102" i="4"/>
  <c r="BS102" i="4"/>
  <c r="BU102" i="4"/>
  <c r="BV102" i="4"/>
  <c r="BW102" i="4"/>
  <c r="BU193" i="4"/>
  <c r="CA193" i="4"/>
  <c r="BY193" i="4"/>
  <c r="BW193" i="4"/>
  <c r="BV193" i="4"/>
  <c r="BU174" i="4"/>
  <c r="BZ174" i="4"/>
  <c r="BY174" i="4"/>
  <c r="BW174" i="4"/>
  <c r="BU155" i="4"/>
  <c r="CA155" i="4"/>
  <c r="BZ155" i="4"/>
  <c r="BY155" i="4"/>
  <c r="BW155" i="4"/>
  <c r="BS133" i="4"/>
  <c r="BU133" i="4"/>
  <c r="BW133" i="4"/>
  <c r="BY167" i="4"/>
  <c r="BZ167" i="4"/>
  <c r="BU167" i="4"/>
  <c r="BS167" i="4"/>
  <c r="BW167" i="4"/>
  <c r="BV167" i="4"/>
  <c r="BY147" i="4"/>
  <c r="BS147" i="4"/>
  <c r="CA147" i="4" s="1"/>
  <c r="BV147" i="4"/>
  <c r="BW147" i="4"/>
  <c r="BT147" i="4"/>
  <c r="BS135" i="4"/>
  <c r="BZ135" i="4"/>
  <c r="BY135" i="4"/>
  <c r="BV135" i="4"/>
  <c r="BW135" i="4"/>
  <c r="BZ60" i="4"/>
  <c r="BY60" i="4"/>
  <c r="BU60" i="4"/>
  <c r="BW60" i="4"/>
  <c r="BT60" i="4"/>
  <c r="BV60" i="4"/>
  <c r="BZ141" i="4"/>
  <c r="BY141" i="4"/>
  <c r="BV141" i="4"/>
  <c r="BW141" i="4"/>
  <c r="BU122" i="4"/>
  <c r="BZ122" i="4"/>
  <c r="BX122" i="4"/>
  <c r="CB122" i="4"/>
  <c r="BW122" i="4"/>
  <c r="BS95" i="4"/>
  <c r="CA95" i="4" s="1"/>
  <c r="BZ95" i="4"/>
  <c r="BU95" i="4"/>
  <c r="BW95" i="4"/>
  <c r="BS85" i="4"/>
  <c r="BY85" i="4"/>
  <c r="BT85" i="4"/>
  <c r="BU85" i="4"/>
  <c r="BW85" i="4"/>
  <c r="BV85" i="4"/>
  <c r="CA125" i="4"/>
  <c r="BX125" i="4"/>
  <c r="BV125" i="4"/>
  <c r="BW125" i="4"/>
  <c r="BU125" i="4"/>
  <c r="BZ116" i="4"/>
  <c r="BX116" i="4"/>
  <c r="BW116" i="4"/>
  <c r="BV116" i="4"/>
  <c r="BX110" i="4"/>
  <c r="BV110" i="4"/>
  <c r="BW110" i="4"/>
  <c r="BU77" i="4"/>
  <c r="BS77" i="4"/>
  <c r="BW77" i="4"/>
  <c r="BT77" i="4"/>
  <c r="BT100" i="4"/>
  <c r="BV100" i="4"/>
  <c r="BW100" i="4"/>
  <c r="BU70" i="4"/>
  <c r="CA70" i="4"/>
  <c r="BT70" i="4"/>
  <c r="BV70" i="4"/>
  <c r="BS93" i="4"/>
  <c r="BY93" i="4"/>
  <c r="BW93" i="4"/>
  <c r="BT93" i="4"/>
  <c r="BS89" i="4"/>
  <c r="BZ89" i="4"/>
  <c r="BY89" i="4"/>
  <c r="BU89" i="4"/>
  <c r="BW89" i="4"/>
  <c r="BS81" i="4"/>
  <c r="CA81" i="4" s="1"/>
  <c r="BU81" i="4"/>
  <c r="BW81" i="4"/>
  <c r="BV81" i="4"/>
  <c r="BU72" i="4"/>
  <c r="BX72" i="4"/>
  <c r="BY72" i="4"/>
  <c r="BV72" i="4"/>
  <c r="BW72" i="4"/>
  <c r="BY56" i="4"/>
  <c r="BZ56" i="4"/>
  <c r="BS56" i="4"/>
  <c r="BV56" i="4"/>
  <c r="BW56" i="4"/>
  <c r="BU39" i="4"/>
  <c r="BX39" i="4"/>
  <c r="BZ39" i="4"/>
  <c r="BY39" i="4"/>
  <c r="BW39" i="4"/>
  <c r="BR40" i="4"/>
  <c r="BT40" i="4"/>
  <c r="BU40" i="4"/>
  <c r="BW40" i="4"/>
  <c r="BV40" i="4"/>
  <c r="BT57" i="4"/>
  <c r="BS57" i="4"/>
  <c r="BU57" i="4"/>
  <c r="BV57" i="4"/>
  <c r="BW57" i="4"/>
  <c r="BR46" i="4"/>
  <c r="BZ46" i="4" s="1"/>
  <c r="BS46" i="4"/>
  <c r="BU46" i="4"/>
  <c r="BV46" i="4"/>
  <c r="BW46" i="4"/>
  <c r="BY51" i="4"/>
  <c r="BR51" i="4"/>
  <c r="CB51" i="4" s="1"/>
  <c r="BV51" i="4"/>
  <c r="BW51" i="4"/>
  <c r="BY111" i="4"/>
  <c r="BY133" i="4"/>
  <c r="BY52" i="4"/>
  <c r="BY38" i="4"/>
  <c r="BR82" i="4"/>
  <c r="BS161" i="4"/>
  <c r="BR110" i="4"/>
  <c r="BR197" i="4"/>
  <c r="BW164" i="4"/>
  <c r="BV121" i="4"/>
  <c r="CC106" i="4"/>
  <c r="BU87" i="4"/>
  <c r="BW52" i="4"/>
  <c r="BT193" i="4"/>
  <c r="BT150" i="4"/>
  <c r="BT199" i="4"/>
  <c r="BT111" i="4"/>
  <c r="BT128" i="4"/>
  <c r="BT187" i="4"/>
  <c r="BT44" i="4"/>
  <c r="BT161" i="4"/>
  <c r="BT174" i="4"/>
  <c r="BT89" i="4"/>
  <c r="BT56" i="4"/>
  <c r="BT65" i="4"/>
  <c r="CB65" i="4" s="1"/>
  <c r="BZ35" i="4"/>
  <c r="BZ34" i="4"/>
  <c r="CA170" i="4"/>
  <c r="BY126" i="4"/>
  <c r="BY110" i="4"/>
  <c r="BY70" i="4"/>
  <c r="CA116" i="4"/>
  <c r="BZ47" i="4"/>
  <c r="BU184" i="4"/>
  <c r="BY184" i="4"/>
  <c r="CA184" i="4"/>
  <c r="BZ184" i="4"/>
  <c r="BT181" i="4"/>
  <c r="CA181" i="4"/>
  <c r="BY181" i="4"/>
  <c r="BU181" i="4"/>
  <c r="BV181" i="4"/>
  <c r="BW181" i="4"/>
  <c r="BS144" i="4"/>
  <c r="CA144" i="4" s="1"/>
  <c r="BY144" i="4"/>
  <c r="BX144" i="4"/>
  <c r="BV144" i="4"/>
  <c r="BW144" i="4"/>
  <c r="BU144" i="4"/>
  <c r="BU186" i="4"/>
  <c r="BY186" i="4"/>
  <c r="BU120" i="4"/>
  <c r="BZ120" i="4"/>
  <c r="BW120" i="4"/>
  <c r="CB120" i="4"/>
  <c r="BU188" i="4"/>
  <c r="CA188" i="4"/>
  <c r="BZ188" i="4"/>
  <c r="BY188" i="4"/>
  <c r="BU176" i="4"/>
  <c r="BZ176" i="4"/>
  <c r="BW176" i="4"/>
  <c r="BS156" i="4"/>
  <c r="BW156" i="4"/>
  <c r="BV156" i="4"/>
  <c r="BT156" i="4"/>
  <c r="BS143" i="4"/>
  <c r="CA143" i="4" s="1"/>
  <c r="BZ143" i="4"/>
  <c r="BY143" i="4"/>
  <c r="BW143" i="4"/>
  <c r="BV143" i="4"/>
  <c r="BU194" i="4"/>
  <c r="CA194" i="4"/>
  <c r="BZ194" i="4"/>
  <c r="BY194" i="4"/>
  <c r="BT179" i="4"/>
  <c r="CB179" i="4" s="1"/>
  <c r="BY179" i="4"/>
  <c r="CA179" i="4"/>
  <c r="BU179" i="4"/>
  <c r="BV179" i="4"/>
  <c r="BW179" i="4"/>
  <c r="BZ145" i="4"/>
  <c r="BY145" i="4"/>
  <c r="BV145" i="4"/>
  <c r="BW145" i="4"/>
  <c r="BT145" i="4"/>
  <c r="BU98" i="4"/>
  <c r="BY98" i="4"/>
  <c r="CA98" i="4"/>
  <c r="BT98" i="4"/>
  <c r="BW98" i="4"/>
  <c r="BU191" i="4"/>
  <c r="BY191" i="4"/>
  <c r="CA191" i="4"/>
  <c r="BV191" i="4"/>
  <c r="BW191" i="4"/>
  <c r="BT170" i="4"/>
  <c r="BY170" i="4"/>
  <c r="BX170" i="4"/>
  <c r="BW170" i="4"/>
  <c r="BV170" i="4"/>
  <c r="BU170" i="4"/>
  <c r="CA153" i="4"/>
  <c r="BZ153" i="4"/>
  <c r="BY153" i="4"/>
  <c r="BW153" i="4"/>
  <c r="BV153" i="4"/>
  <c r="CB153" i="4"/>
  <c r="BY129" i="4"/>
  <c r="BW129" i="4"/>
  <c r="BU129" i="4"/>
  <c r="BT166" i="4"/>
  <c r="BY166" i="4"/>
  <c r="BS166" i="4"/>
  <c r="BX166" i="4"/>
  <c r="BU166" i="4"/>
  <c r="BV166" i="4"/>
  <c r="BW166" i="4"/>
  <c r="BS146" i="4"/>
  <c r="CA146" i="4" s="1"/>
  <c r="BY146" i="4"/>
  <c r="BX146" i="4"/>
  <c r="BU146" i="4"/>
  <c r="BV146" i="4"/>
  <c r="BW146" i="4"/>
  <c r="BU113" i="4"/>
  <c r="BW113" i="4"/>
  <c r="BV113" i="4"/>
  <c r="BT113" i="4"/>
  <c r="BY160" i="4"/>
  <c r="BX160" i="4"/>
  <c r="BU160" i="4"/>
  <c r="BV160" i="4"/>
  <c r="BW160" i="4"/>
  <c r="BS140" i="4"/>
  <c r="CA140" i="4" s="1"/>
  <c r="BY140" i="4"/>
  <c r="BW140" i="4"/>
  <c r="BU140" i="4"/>
  <c r="BV140" i="4"/>
  <c r="BT140" i="4"/>
  <c r="BR117" i="4"/>
  <c r="CA117" i="4" s="1"/>
  <c r="BV117" i="4"/>
  <c r="BW117" i="4"/>
  <c r="BU117" i="4"/>
  <c r="BS83" i="4"/>
  <c r="CA83" i="4" s="1"/>
  <c r="BY83" i="4"/>
  <c r="BX83" i="4"/>
  <c r="BU83" i="4"/>
  <c r="BW83" i="4"/>
  <c r="BV83" i="4"/>
  <c r="BY69" i="4"/>
  <c r="BZ69" i="4"/>
  <c r="CA69" i="4"/>
  <c r="BV69" i="4"/>
  <c r="BX123" i="4"/>
  <c r="BR123" i="4"/>
  <c r="CA123" i="4" s="1"/>
  <c r="BV123" i="4"/>
  <c r="BW123" i="4"/>
  <c r="BU123" i="4"/>
  <c r="BX115" i="4"/>
  <c r="BV115" i="4"/>
  <c r="CA115" i="4"/>
  <c r="BW115" i="4"/>
  <c r="BU115" i="4"/>
  <c r="BY99" i="4"/>
  <c r="BX99" i="4"/>
  <c r="BU99" i="4"/>
  <c r="BV99" i="4"/>
  <c r="BW109" i="4"/>
  <c r="BU109" i="4"/>
  <c r="BT109" i="4"/>
  <c r="BV109" i="4"/>
  <c r="BV80" i="4"/>
  <c r="BY80" i="4"/>
  <c r="CA80" i="4"/>
  <c r="BU80" i="4"/>
  <c r="BU68" i="4"/>
  <c r="BY68" i="4"/>
  <c r="BX68" i="4"/>
  <c r="BW68" i="4"/>
  <c r="BV68" i="4"/>
  <c r="BU92" i="4"/>
  <c r="BS92" i="4"/>
  <c r="BY92" i="4"/>
  <c r="BX92" i="4"/>
  <c r="BV92" i="4"/>
  <c r="BW92" i="4"/>
  <c r="BU88" i="4"/>
  <c r="BX88" i="4"/>
  <c r="BY88" i="4"/>
  <c r="BV88" i="4"/>
  <c r="BW88" i="4"/>
  <c r="BY79" i="4"/>
  <c r="BS79" i="4"/>
  <c r="BW79" i="4"/>
  <c r="BV79" i="4"/>
  <c r="BU79" i="4"/>
  <c r="BT79" i="4"/>
  <c r="CA67" i="4"/>
  <c r="BZ67" i="4"/>
  <c r="BV67" i="4"/>
  <c r="BY49" i="4"/>
  <c r="BX49" i="4"/>
  <c r="BZ49" i="4"/>
  <c r="BU49" i="4"/>
  <c r="CC49" i="4" s="1"/>
  <c r="BV49" i="4"/>
  <c r="BW49" i="4"/>
  <c r="BU66" i="4"/>
  <c r="BV66" i="4"/>
  <c r="BW66" i="4"/>
  <c r="CA38" i="4"/>
  <c r="BX38" i="4"/>
  <c r="BW38" i="4"/>
  <c r="BV38" i="4"/>
  <c r="BU38" i="4"/>
  <c r="BZ50" i="4"/>
  <c r="BU50" i="4"/>
  <c r="BV50" i="4"/>
  <c r="BW50" i="4"/>
  <c r="BU45" i="4"/>
  <c r="BY45" i="4"/>
  <c r="BT45" i="4"/>
  <c r="BZ45" i="4"/>
  <c r="BW45" i="4"/>
  <c r="BY105" i="4"/>
  <c r="BY127" i="4"/>
  <c r="BY109" i="4"/>
  <c r="BY131" i="4"/>
  <c r="BR133" i="4"/>
  <c r="BS109" i="4"/>
  <c r="BS177" i="4"/>
  <c r="BS176" i="4"/>
  <c r="CA176" i="4" s="1"/>
  <c r="BV129" i="4"/>
  <c r="CC118" i="4"/>
  <c r="BV84" i="4"/>
  <c r="BT66" i="4"/>
  <c r="BW70" i="4"/>
  <c r="BT125" i="4"/>
  <c r="BT144" i="4"/>
  <c r="BT160" i="4"/>
  <c r="BT163" i="4"/>
  <c r="BT38" i="4"/>
  <c r="CB38" i="4" s="1"/>
  <c r="BT68" i="4"/>
  <c r="BT119" i="4"/>
  <c r="CB119" i="4" s="1"/>
  <c r="BT129" i="4"/>
  <c r="BT196" i="4"/>
  <c r="CC196" i="4" s="1"/>
  <c r="BT188" i="4"/>
  <c r="BT192" i="4"/>
  <c r="CB192" i="4" s="1"/>
  <c r="BT135" i="4"/>
  <c r="BT171" i="4"/>
  <c r="BT133" i="4"/>
  <c r="BT104" i="4"/>
  <c r="CB104" i="4" s="1"/>
  <c r="BT87" i="4"/>
  <c r="BT76" i="4"/>
  <c r="BU32" i="4"/>
  <c r="CA180" i="4"/>
  <c r="BZ105" i="4"/>
  <c r="BZ38" i="4"/>
  <c r="BT177" i="4"/>
  <c r="BW177" i="4"/>
  <c r="BV177" i="4"/>
  <c r="BU177" i="4"/>
  <c r="BU195" i="4"/>
  <c r="CC195" i="4" s="1"/>
  <c r="CA195" i="4"/>
  <c r="BW195" i="4"/>
  <c r="BX195" i="4"/>
  <c r="BV195" i="4"/>
  <c r="CB195" i="4"/>
  <c r="BS132" i="4"/>
  <c r="BW132" i="4"/>
  <c r="BV132" i="4"/>
  <c r="BT132" i="4"/>
  <c r="BZ137" i="4"/>
  <c r="BW137" i="4"/>
  <c r="BY137" i="4"/>
  <c r="BV137" i="4"/>
  <c r="BT103" i="4"/>
  <c r="BX103" i="4"/>
  <c r="BY103" i="4"/>
  <c r="BU103" i="4"/>
  <c r="BV103" i="4"/>
  <c r="BU185" i="4"/>
  <c r="CA185" i="4"/>
  <c r="BY185" i="4"/>
  <c r="BV185" i="4"/>
  <c r="BW185" i="4"/>
  <c r="BU172" i="4"/>
  <c r="CA172" i="4"/>
  <c r="BY172" i="4"/>
  <c r="BW172" i="4"/>
  <c r="BT172" i="4"/>
  <c r="BS154" i="4"/>
  <c r="CA154" i="4" s="1"/>
  <c r="BX154" i="4"/>
  <c r="BV154" i="4"/>
  <c r="BW154" i="4"/>
  <c r="BU154" i="4"/>
  <c r="BZ114" i="4"/>
  <c r="BW114" i="4"/>
  <c r="BV114" i="4"/>
  <c r="BU192" i="4"/>
  <c r="BZ192" i="4"/>
  <c r="BY192" i="4"/>
  <c r="CA192" i="4"/>
  <c r="BT175" i="4"/>
  <c r="BY175" i="4"/>
  <c r="CA175" i="4"/>
  <c r="BX175" i="4"/>
  <c r="BV175" i="4"/>
  <c r="BW175" i="4"/>
  <c r="BU175" i="4"/>
  <c r="BS136" i="4"/>
  <c r="CA136" i="4" s="1"/>
  <c r="BY136" i="4"/>
  <c r="BX136" i="4"/>
  <c r="BV136" i="4"/>
  <c r="BU136" i="4"/>
  <c r="BW136" i="4"/>
  <c r="BU71" i="4"/>
  <c r="BZ71" i="4"/>
  <c r="CA71" i="4"/>
  <c r="BU182" i="4"/>
  <c r="BZ182" i="4"/>
  <c r="BY182" i="4"/>
  <c r="CA182" i="4"/>
  <c r="BW182" i="4"/>
  <c r="BU159" i="4"/>
  <c r="BZ159" i="4"/>
  <c r="BY159" i="4"/>
  <c r="BW159" i="4"/>
  <c r="BZ151" i="4"/>
  <c r="BY151" i="4"/>
  <c r="BW151" i="4"/>
  <c r="BV151" i="4"/>
  <c r="BX107" i="4"/>
  <c r="BR107" i="4"/>
  <c r="CA107" i="4" s="1"/>
  <c r="BV107" i="4"/>
  <c r="BW107" i="4"/>
  <c r="BU107" i="4"/>
  <c r="BS165" i="4"/>
  <c r="BZ165" i="4"/>
  <c r="BX165" i="4"/>
  <c r="BU165" i="4"/>
  <c r="BW165" i="4"/>
  <c r="BZ139" i="4"/>
  <c r="BY139" i="4"/>
  <c r="BS139" i="4"/>
  <c r="BW139" i="4"/>
  <c r="BV139" i="4"/>
  <c r="BU96" i="4"/>
  <c r="BX96" i="4"/>
  <c r="CA96" i="4"/>
  <c r="BY96" i="4"/>
  <c r="BW96" i="4"/>
  <c r="BV96" i="4"/>
  <c r="BY149" i="4"/>
  <c r="BV149" i="4"/>
  <c r="BW149" i="4"/>
  <c r="BT149" i="4"/>
  <c r="BS134" i="4"/>
  <c r="CA134" i="4" s="1"/>
  <c r="BY134" i="4"/>
  <c r="BU134" i="4"/>
  <c r="BW134" i="4"/>
  <c r="BV134" i="4"/>
  <c r="BU94" i="4"/>
  <c r="BY94" i="4"/>
  <c r="BS94" i="4"/>
  <c r="BT94" i="4"/>
  <c r="BW94" i="4"/>
  <c r="BV94" i="4"/>
  <c r="BS61" i="4"/>
  <c r="BV61" i="4"/>
  <c r="BW61" i="4"/>
  <c r="BT61" i="4"/>
  <c r="BY130" i="4"/>
  <c r="BZ130" i="4"/>
  <c r="BX130" i="4"/>
  <c r="CA130" i="4"/>
  <c r="BV130" i="4"/>
  <c r="BU130" i="4"/>
  <c r="CA121" i="4"/>
  <c r="BT121" i="4"/>
  <c r="BU121" i="4"/>
  <c r="BW121" i="4"/>
  <c r="BZ112" i="4"/>
  <c r="BV112" i="4"/>
  <c r="CD112" i="4" s="1"/>
  <c r="BW112" i="4"/>
  <c r="CB112" i="4"/>
  <c r="CC112" i="4"/>
  <c r="BS97" i="4"/>
  <c r="CA97" i="4" s="1"/>
  <c r="BZ97" i="4"/>
  <c r="BY97" i="4"/>
  <c r="BW97" i="4"/>
  <c r="BU97" i="4"/>
  <c r="CA105" i="4"/>
  <c r="BV105" i="4"/>
  <c r="BT105" i="4"/>
  <c r="BU105" i="4"/>
  <c r="BW105" i="4"/>
  <c r="BU75" i="4"/>
  <c r="CA75" i="4"/>
  <c r="BZ75" i="4"/>
  <c r="BW75" i="4"/>
  <c r="BY65" i="4"/>
  <c r="CA65" i="4"/>
  <c r="BZ65" i="4"/>
  <c r="CC65" i="4"/>
  <c r="BV65" i="4"/>
  <c r="BS91" i="4"/>
  <c r="BZ91" i="4"/>
  <c r="BY91" i="4"/>
  <c r="BW91" i="4"/>
  <c r="BU91" i="4"/>
  <c r="CC91" i="4" s="1"/>
  <c r="BS87" i="4"/>
  <c r="BY87" i="4"/>
  <c r="BZ87" i="4"/>
  <c r="BW87" i="4"/>
  <c r="BT78" i="4"/>
  <c r="CB78" i="4" s="1"/>
  <c r="CA78" i="4"/>
  <c r="BZ78" i="4"/>
  <c r="BU78" i="4"/>
  <c r="BW78" i="4"/>
  <c r="BT55" i="4"/>
  <c r="BW55" i="4"/>
  <c r="BU55" i="4"/>
  <c r="BV55" i="4"/>
  <c r="BU43" i="4"/>
  <c r="BX43" i="4"/>
  <c r="BY43" i="4"/>
  <c r="BS43" i="4"/>
  <c r="BV43" i="4"/>
  <c r="BW43" i="4"/>
  <c r="BV62" i="4"/>
  <c r="BS62" i="4"/>
  <c r="CA62" i="4" s="1"/>
  <c r="BW62" i="4"/>
  <c r="BT62" i="4"/>
  <c r="BU62" i="4"/>
  <c r="BZ63" i="4"/>
  <c r="BS63" i="4"/>
  <c r="BV63" i="4"/>
  <c r="BY63" i="4"/>
  <c r="BW63" i="4"/>
  <c r="BU63" i="4"/>
  <c r="BS48" i="4"/>
  <c r="CA48" i="4" s="1"/>
  <c r="BZ48" i="4"/>
  <c r="BV48" i="4"/>
  <c r="BW48" i="4"/>
  <c r="BU48" i="4"/>
  <c r="BT48" i="4"/>
  <c r="BV64" i="4"/>
  <c r="BY64" i="4"/>
  <c r="BZ64" i="4"/>
  <c r="BU64" i="4"/>
  <c r="BW64" i="4"/>
  <c r="BY183" i="4"/>
  <c r="BY165" i="4"/>
  <c r="BY123" i="4"/>
  <c r="BY107" i="4"/>
  <c r="BY50" i="4"/>
  <c r="BY42" i="4"/>
  <c r="BR58" i="4"/>
  <c r="BZ58" i="4" s="1"/>
  <c r="BR108" i="4"/>
  <c r="BS113" i="4"/>
  <c r="BS171" i="4"/>
  <c r="BS151" i="4"/>
  <c r="CA151" i="4" s="1"/>
  <c r="BS174" i="4"/>
  <c r="BU156" i="4"/>
  <c r="BW130" i="4"/>
  <c r="BT108" i="4"/>
  <c r="BT99" i="4"/>
  <c r="CC114" i="4"/>
  <c r="BU100" i="4"/>
  <c r="BU93" i="4"/>
  <c r="BT81" i="4"/>
  <c r="BU61" i="4"/>
  <c r="BT189" i="4"/>
  <c r="BT64" i="4"/>
  <c r="BT107" i="4"/>
  <c r="BT127" i="4"/>
  <c r="BT146" i="4"/>
  <c r="BT134" i="4"/>
  <c r="BT185" i="4"/>
  <c r="BT39" i="4"/>
  <c r="BT83" i="4"/>
  <c r="BT110" i="4"/>
  <c r="BT138" i="4"/>
  <c r="BT162" i="4"/>
  <c r="CC162" i="4" s="1"/>
  <c r="BT182" i="4"/>
  <c r="CB182" i="4" s="1"/>
  <c r="BT186" i="4"/>
  <c r="BT190" i="4"/>
  <c r="BT178" i="4"/>
  <c r="BT169" i="4"/>
  <c r="BT159" i="4"/>
  <c r="BT141" i="4"/>
  <c r="BT86" i="4"/>
  <c r="CB86" i="4" s="1"/>
  <c r="BT95" i="4"/>
  <c r="BT71" i="4"/>
  <c r="BT75" i="4"/>
  <c r="CE152" i="4"/>
  <c r="BW190" i="4"/>
  <c r="BU141" i="4"/>
  <c r="BV174" i="4"/>
  <c r="BW186" i="4"/>
  <c r="BU139" i="4"/>
  <c r="BZ103" i="4"/>
  <c r="BZ101" i="4"/>
  <c r="BU135" i="4"/>
  <c r="BW69" i="4"/>
  <c r="BZ61" i="4"/>
  <c r="CA128" i="4"/>
  <c r="BV183" i="4"/>
  <c r="BX48" i="4"/>
  <c r="BW192" i="4"/>
  <c r="BV97" i="4"/>
  <c r="BV176" i="4"/>
  <c r="BX196" i="4"/>
  <c r="BZ164" i="4"/>
  <c r="BW184" i="4"/>
  <c r="BV169" i="4"/>
  <c r="BV91" i="4"/>
  <c r="BV159" i="4"/>
  <c r="BV155" i="4"/>
  <c r="CG155" i="4" s="1"/>
  <c r="BU151" i="4"/>
  <c r="BV95" i="4"/>
  <c r="BU137" i="4"/>
  <c r="BZ100" i="4"/>
  <c r="BW73" i="4"/>
  <c r="BU82" i="4"/>
  <c r="BV76" i="4"/>
  <c r="BU86" i="4"/>
  <c r="BU54" i="4"/>
  <c r="BV78" i="4"/>
  <c r="BV165" i="4"/>
  <c r="BV180" i="4"/>
  <c r="BT198" i="4"/>
  <c r="BW194" i="4"/>
  <c r="BU147" i="4"/>
  <c r="BW104" i="4"/>
  <c r="BV182" i="4"/>
  <c r="BU149" i="4"/>
  <c r="BV89" i="4"/>
  <c r="BV87" i="4"/>
  <c r="BV93" i="4"/>
  <c r="BZ99" i="4"/>
  <c r="BV133" i="4"/>
  <c r="BW71" i="4"/>
  <c r="BZ102" i="4"/>
  <c r="BX80" i="4"/>
  <c r="BW65" i="4"/>
  <c r="BX60" i="4"/>
  <c r="BV98" i="4"/>
  <c r="BV59" i="4"/>
  <c r="BV172" i="4"/>
  <c r="BV171" i="4"/>
  <c r="BV178" i="4"/>
  <c r="BW188" i="4"/>
  <c r="BV75" i="4"/>
  <c r="BV157" i="4"/>
  <c r="CE157" i="4" s="1"/>
  <c r="BU153" i="4"/>
  <c r="BU143" i="4"/>
  <c r="BU145" i="4"/>
  <c r="BW67" i="4"/>
  <c r="BU58" i="4"/>
  <c r="BU84" i="4"/>
  <c r="BV77" i="4"/>
  <c r="BZ79" i="4"/>
  <c r="BU56" i="4"/>
  <c r="BU44" i="4"/>
  <c r="BT35" i="4"/>
  <c r="BY34" i="4"/>
  <c r="BS37" i="4"/>
  <c r="BT37" i="4"/>
  <c r="BV37" i="4"/>
  <c r="BU36" i="4"/>
  <c r="BV35" i="4"/>
  <c r="BW36" i="4"/>
  <c r="BV34" i="4"/>
  <c r="BU34" i="4"/>
  <c r="BY35" i="4"/>
  <c r="BU33" i="4"/>
  <c r="BT33" i="4"/>
  <c r="BS34" i="4"/>
  <c r="BS36" i="4"/>
  <c r="BW33" i="4"/>
  <c r="BT32" i="4"/>
  <c r="BY32" i="4"/>
  <c r="BR37" i="4"/>
  <c r="BR33" i="4"/>
  <c r="BR36" i="4"/>
  <c r="BS35" i="4"/>
  <c r="BV32" i="4"/>
  <c r="BS32" i="4"/>
  <c r="BX35" i="4"/>
  <c r="BX36" i="4"/>
  <c r="BW35" i="4"/>
  <c r="BU35" i="4"/>
  <c r="BY36" i="4"/>
  <c r="BR32" i="4"/>
  <c r="BT36" i="4"/>
  <c r="BW34" i="4"/>
  <c r="BT34" i="4"/>
  <c r="BX34" i="4"/>
  <c r="BX32" i="4"/>
  <c r="BV33" i="4"/>
  <c r="BW37" i="4"/>
  <c r="BU37" i="4"/>
  <c r="BW32" i="4"/>
  <c r="A3" i="5"/>
  <c r="B3" i="5"/>
  <c r="C3" i="5"/>
  <c r="A4" i="5"/>
  <c r="B4" i="5"/>
  <c r="C4" i="5"/>
  <c r="A5" i="5"/>
  <c r="B5" i="5"/>
  <c r="C5" i="5"/>
  <c r="A6" i="5"/>
  <c r="B6" i="5"/>
  <c r="C6" i="5"/>
  <c r="A7" i="5"/>
  <c r="B7" i="5"/>
  <c r="C7" i="5"/>
  <c r="A8" i="5"/>
  <c r="B8" i="5"/>
  <c r="C8" i="5"/>
  <c r="A9" i="5"/>
  <c r="B9" i="5"/>
  <c r="C9" i="5"/>
  <c r="A10" i="5"/>
  <c r="B10" i="5"/>
  <c r="C10" i="5"/>
  <c r="A11" i="5"/>
  <c r="B11" i="5"/>
  <c r="C11" i="5"/>
  <c r="B2" i="5"/>
  <c r="C2" i="5"/>
  <c r="A2" i="5"/>
  <c r="D1" i="5"/>
  <c r="M2" i="2" s="1"/>
  <c r="E1" i="5"/>
  <c r="N2" i="2" s="1"/>
  <c r="F1" i="5"/>
  <c r="O2" i="2" s="1"/>
  <c r="G1" i="5"/>
  <c r="P2" i="2" s="1"/>
  <c r="H1" i="5"/>
  <c r="Q2" i="2" s="1"/>
  <c r="A51" i="3"/>
  <c r="A42" i="3"/>
  <c r="A43" i="3"/>
  <c r="A44" i="3"/>
  <c r="A45" i="3"/>
  <c r="A46" i="3"/>
  <c r="A47" i="3"/>
  <c r="A48" i="3"/>
  <c r="A49" i="3"/>
  <c r="A50" i="3"/>
  <c r="A32" i="3"/>
  <c r="A33" i="3"/>
  <c r="A34" i="3"/>
  <c r="A35" i="3"/>
  <c r="A36" i="3"/>
  <c r="A37" i="3"/>
  <c r="A38" i="3"/>
  <c r="A39" i="3"/>
  <c r="A40" i="3"/>
  <c r="A41" i="3"/>
  <c r="CI129" i="4" l="1"/>
  <c r="CC116" i="4"/>
  <c r="CE163" i="4"/>
  <c r="CB186" i="4"/>
  <c r="CJ186" i="4" s="1"/>
  <c r="CC160" i="4"/>
  <c r="CB57" i="4"/>
  <c r="CC146" i="4"/>
  <c r="CB105" i="4"/>
  <c r="CJ105" i="4" s="1"/>
  <c r="CG54" i="4"/>
  <c r="CI42" i="4"/>
  <c r="CB60" i="4"/>
  <c r="CA41" i="4"/>
  <c r="CI41" i="4" s="1"/>
  <c r="CC86" i="4"/>
  <c r="CD69" i="4"/>
  <c r="CD122" i="4"/>
  <c r="CI88" i="4"/>
  <c r="CE150" i="4"/>
  <c r="CE101" i="4"/>
  <c r="CE176" i="4"/>
  <c r="CC81" i="4"/>
  <c r="CC87" i="4"/>
  <c r="CD127" i="4"/>
  <c r="CE83" i="4"/>
  <c r="CG145" i="4"/>
  <c r="CD138" i="4"/>
  <c r="CC67" i="4"/>
  <c r="CK67" i="4" s="1"/>
  <c r="CC100" i="4"/>
  <c r="CC130" i="4"/>
  <c r="CK130" i="4" s="1"/>
  <c r="CC69" i="4"/>
  <c r="CC122" i="4"/>
  <c r="CL122" i="4" s="1"/>
  <c r="CF124" i="4"/>
  <c r="CI55" i="4"/>
  <c r="CB161" i="4"/>
  <c r="CJ88" i="4"/>
  <c r="CE181" i="4"/>
  <c r="CI145" i="4"/>
  <c r="CC71" i="4"/>
  <c r="CH125" i="4"/>
  <c r="CG57" i="4"/>
  <c r="CE148" i="4"/>
  <c r="CE172" i="4"/>
  <c r="CK65" i="4"/>
  <c r="CD44" i="4"/>
  <c r="CF84" i="4"/>
  <c r="CG143" i="4"/>
  <c r="CE89" i="4"/>
  <c r="CI185" i="4"/>
  <c r="CD65" i="4"/>
  <c r="CC96" i="4"/>
  <c r="CF70" i="4"/>
  <c r="CI187" i="4"/>
  <c r="CB150" i="4"/>
  <c r="CJ150" i="4" s="1"/>
  <c r="CE197" i="4"/>
  <c r="CD148" i="4"/>
  <c r="CG90" i="4"/>
  <c r="CG153" i="4"/>
  <c r="CI178" i="4"/>
  <c r="CC149" i="4"/>
  <c r="CG194" i="4"/>
  <c r="CJ69" i="4"/>
  <c r="CC139" i="4"/>
  <c r="CC134" i="4"/>
  <c r="CD144" i="4"/>
  <c r="CC128" i="4"/>
  <c r="CC180" i="4"/>
  <c r="CC124" i="4"/>
  <c r="CB109" i="4"/>
  <c r="CC181" i="4"/>
  <c r="CB166" i="4"/>
  <c r="CB35" i="4"/>
  <c r="CD192" i="4"/>
  <c r="CI66" i="4"/>
  <c r="CC45" i="4"/>
  <c r="CB181" i="4"/>
  <c r="CB89" i="4"/>
  <c r="CC60" i="4"/>
  <c r="CK60" i="4" s="1"/>
  <c r="CF90" i="4"/>
  <c r="CE42" i="4"/>
  <c r="CB93" i="4"/>
  <c r="CF168" i="4"/>
  <c r="CD74" i="4"/>
  <c r="CC94" i="4"/>
  <c r="CE80" i="4"/>
  <c r="CF33" i="4"/>
  <c r="CC101" i="4"/>
  <c r="CF123" i="4"/>
  <c r="CE55" i="4"/>
  <c r="CC57" i="4"/>
  <c r="CB177" i="4"/>
  <c r="CB142" i="4"/>
  <c r="CE173" i="4"/>
  <c r="CD159" i="4"/>
  <c r="CH136" i="4"/>
  <c r="CD85" i="4"/>
  <c r="CE118" i="4"/>
  <c r="CC157" i="4"/>
  <c r="CG192" i="4"/>
  <c r="CB133" i="4"/>
  <c r="CG120" i="4"/>
  <c r="CJ53" i="4"/>
  <c r="CA111" i="4"/>
  <c r="CC142" i="4"/>
  <c r="CB108" i="4"/>
  <c r="CC43" i="4"/>
  <c r="CB66" i="4"/>
  <c r="CJ66" i="4" s="1"/>
  <c r="CH140" i="4"/>
  <c r="CI181" i="4"/>
  <c r="CE158" i="4"/>
  <c r="CJ72" i="4"/>
  <c r="CE93" i="4"/>
  <c r="CA43" i="4"/>
  <c r="CI149" i="4"/>
  <c r="CF88" i="4"/>
  <c r="CE140" i="4"/>
  <c r="CI81" i="4"/>
  <c r="CF197" i="4"/>
  <c r="CG84" i="4"/>
  <c r="CD126" i="4"/>
  <c r="CE183" i="4"/>
  <c r="CI118" i="4"/>
  <c r="CH75" i="4"/>
  <c r="CG141" i="4"/>
  <c r="CG96" i="4"/>
  <c r="CG182" i="4"/>
  <c r="CE71" i="4"/>
  <c r="CE129" i="4"/>
  <c r="CG45" i="4"/>
  <c r="CG50" i="4"/>
  <c r="CK49" i="4"/>
  <c r="CC92" i="4"/>
  <c r="CI80" i="4"/>
  <c r="CG166" i="4"/>
  <c r="CF65" i="4"/>
  <c r="CC110" i="4"/>
  <c r="BZ110" i="4"/>
  <c r="CD60" i="4"/>
  <c r="CL60" i="4" s="1"/>
  <c r="CD163" i="4"/>
  <c r="CE90" i="4"/>
  <c r="BZ119" i="4"/>
  <c r="CB127" i="4"/>
  <c r="CE142" i="4"/>
  <c r="CD124" i="4"/>
  <c r="CD173" i="4"/>
  <c r="CJ173" i="4"/>
  <c r="CF118" i="4"/>
  <c r="CG159" i="4"/>
  <c r="CE175" i="4"/>
  <c r="CE192" i="4"/>
  <c r="CH50" i="4"/>
  <c r="CL69" i="4"/>
  <c r="CG179" i="4"/>
  <c r="CE120" i="4"/>
  <c r="CJ181" i="4"/>
  <c r="CF184" i="4"/>
  <c r="CC80" i="4"/>
  <c r="CK80" i="4" s="1"/>
  <c r="CD56" i="4"/>
  <c r="CC44" i="4"/>
  <c r="CE72" i="4"/>
  <c r="CH72" i="4"/>
  <c r="CI125" i="4"/>
  <c r="CD147" i="4"/>
  <c r="CG180" i="4"/>
  <c r="CH183" i="4"/>
  <c r="CG164" i="4"/>
  <c r="CG157" i="4"/>
  <c r="CB168" i="4"/>
  <c r="CA110" i="4"/>
  <c r="CD34" i="4"/>
  <c r="CE33" i="4"/>
  <c r="CE95" i="4"/>
  <c r="CG65" i="4"/>
  <c r="CH112" i="4"/>
  <c r="CG94" i="4"/>
  <c r="CB149" i="4"/>
  <c r="CF96" i="4"/>
  <c r="CC133" i="4"/>
  <c r="CD117" i="4"/>
  <c r="CI160" i="4"/>
  <c r="CC143" i="4"/>
  <c r="CB95" i="4"/>
  <c r="CJ95" i="4" s="1"/>
  <c r="CG147" i="4"/>
  <c r="CE187" i="4"/>
  <c r="CC150" i="4"/>
  <c r="CJ80" i="4"/>
  <c r="CA127" i="4"/>
  <c r="CI173" i="4"/>
  <c r="CH34" i="4"/>
  <c r="CH190" i="4"/>
  <c r="CI190" i="4"/>
  <c r="CC151" i="4"/>
  <c r="CI175" i="4"/>
  <c r="CG171" i="4"/>
  <c r="CI48" i="4"/>
  <c r="CD91" i="4"/>
  <c r="CH91" i="4"/>
  <c r="CG91" i="4"/>
  <c r="CG165" i="4"/>
  <c r="CF165" i="4"/>
  <c r="CC165" i="4"/>
  <c r="CH165" i="4"/>
  <c r="CB165" i="4"/>
  <c r="CD165" i="4"/>
  <c r="CE165" i="4"/>
  <c r="CJ96" i="4"/>
  <c r="CE91" i="4"/>
  <c r="CI182" i="4"/>
  <c r="CJ182" i="4"/>
  <c r="CF182" i="4"/>
  <c r="CG43" i="4"/>
  <c r="CC78" i="4"/>
  <c r="CD78" i="4"/>
  <c r="CF78" i="4"/>
  <c r="CJ78" i="4"/>
  <c r="CE78" i="4"/>
  <c r="CF91" i="4"/>
  <c r="CL65" i="4"/>
  <c r="CD75" i="4"/>
  <c r="CF105" i="4"/>
  <c r="CC61" i="4"/>
  <c r="CD61" i="4"/>
  <c r="CA61" i="4"/>
  <c r="CB61" i="4"/>
  <c r="CG61" i="4"/>
  <c r="CE61" i="4"/>
  <c r="CH61" i="4"/>
  <c r="CE96" i="4"/>
  <c r="CA165" i="4"/>
  <c r="CB107" i="4"/>
  <c r="CE107" i="4"/>
  <c r="CD107" i="4"/>
  <c r="CG107" i="4"/>
  <c r="BZ107" i="4"/>
  <c r="CC107" i="4"/>
  <c r="CC159" i="4"/>
  <c r="CE182" i="4"/>
  <c r="CF154" i="4"/>
  <c r="CH172" i="4"/>
  <c r="CG132" i="4"/>
  <c r="CH132" i="4"/>
  <c r="CF132" i="4"/>
  <c r="CD132" i="4"/>
  <c r="CE132" i="4"/>
  <c r="CC132" i="4"/>
  <c r="CB132" i="4"/>
  <c r="CI188" i="4"/>
  <c r="CH188" i="4"/>
  <c r="CH177" i="4"/>
  <c r="CG177" i="4"/>
  <c r="CD177" i="4"/>
  <c r="CB83" i="4"/>
  <c r="CJ83" i="4" s="1"/>
  <c r="CC170" i="4"/>
  <c r="CE170" i="4"/>
  <c r="CH170" i="4"/>
  <c r="CD170" i="4"/>
  <c r="CI170" i="4"/>
  <c r="CG170" i="4"/>
  <c r="CD98" i="4"/>
  <c r="CH98" i="4"/>
  <c r="CE98" i="4"/>
  <c r="CF98" i="4"/>
  <c r="CB98" i="4"/>
  <c r="CC156" i="4"/>
  <c r="CF156" i="4"/>
  <c r="CB156" i="4"/>
  <c r="CH156" i="4"/>
  <c r="CD156" i="4"/>
  <c r="CC188" i="4"/>
  <c r="CE186" i="4"/>
  <c r="CE144" i="4"/>
  <c r="CI184" i="4"/>
  <c r="CE171" i="4"/>
  <c r="CH193" i="4"/>
  <c r="CD193" i="4"/>
  <c r="CC193" i="4"/>
  <c r="CG193" i="4"/>
  <c r="CG161" i="4"/>
  <c r="CF161" i="4"/>
  <c r="CF40" i="4"/>
  <c r="BZ40" i="4"/>
  <c r="CH40" i="4" s="1"/>
  <c r="CD40" i="4"/>
  <c r="CC40" i="4"/>
  <c r="CG40" i="4"/>
  <c r="CB40" i="4"/>
  <c r="CI70" i="4"/>
  <c r="CF100" i="4"/>
  <c r="CB100" i="4"/>
  <c r="CI100" i="4"/>
  <c r="CD100" i="4"/>
  <c r="CE77" i="4"/>
  <c r="CH77" i="4"/>
  <c r="CB77" i="4"/>
  <c r="CG77" i="4"/>
  <c r="CF77" i="4"/>
  <c r="CA77" i="4"/>
  <c r="CF110" i="4"/>
  <c r="CG116" i="4"/>
  <c r="CE116" i="4"/>
  <c r="CK116" i="4"/>
  <c r="CJ116" i="4"/>
  <c r="CI116" i="4"/>
  <c r="CF116" i="4"/>
  <c r="CB135" i="4"/>
  <c r="CE135" i="4"/>
  <c r="CH135" i="4"/>
  <c r="CF135" i="4"/>
  <c r="CF167" i="4"/>
  <c r="CH167" i="4"/>
  <c r="CB167" i="4"/>
  <c r="CG167" i="4"/>
  <c r="CE167" i="4"/>
  <c r="CC167" i="4"/>
  <c r="CF155" i="4"/>
  <c r="CJ155" i="4"/>
  <c r="CI155" i="4"/>
  <c r="CE155" i="4"/>
  <c r="CG174" i="4"/>
  <c r="CB193" i="4"/>
  <c r="CB190" i="4"/>
  <c r="CJ190" i="4" s="1"/>
  <c r="CE198" i="4"/>
  <c r="CD198" i="4"/>
  <c r="CA198" i="4"/>
  <c r="CF198" i="4"/>
  <c r="BZ198" i="4"/>
  <c r="CG198" i="4"/>
  <c r="CF115" i="4"/>
  <c r="CB115" i="4"/>
  <c r="CJ115" i="4" s="1"/>
  <c r="CH115" i="4"/>
  <c r="CE115" i="4"/>
  <c r="CG115" i="4"/>
  <c r="CC115" i="4"/>
  <c r="CD115" i="4"/>
  <c r="CC59" i="4"/>
  <c r="CH59" i="4"/>
  <c r="CI59" i="4"/>
  <c r="CG59" i="4"/>
  <c r="CF59" i="4"/>
  <c r="CD59" i="4"/>
  <c r="CF41" i="4"/>
  <c r="CH41" i="4"/>
  <c r="CE41" i="4"/>
  <c r="CJ74" i="4"/>
  <c r="CI74" i="4"/>
  <c r="CF82" i="4"/>
  <c r="CF104" i="4"/>
  <c r="CD52" i="4"/>
  <c r="CF52" i="4"/>
  <c r="CB52" i="4"/>
  <c r="CJ52" i="4" s="1"/>
  <c r="CH52" i="4"/>
  <c r="CE52" i="4"/>
  <c r="CG52" i="4"/>
  <c r="CI52" i="4"/>
  <c r="CH76" i="4"/>
  <c r="CE138" i="4"/>
  <c r="CF157" i="4"/>
  <c r="CH178" i="4"/>
  <c r="CF171" i="4"/>
  <c r="CD199" i="4"/>
  <c r="CG199" i="4"/>
  <c r="CC199" i="4"/>
  <c r="CF199" i="4"/>
  <c r="CH161" i="4"/>
  <c r="CC52" i="4"/>
  <c r="CE65" i="4"/>
  <c r="CC75" i="4"/>
  <c r="CD105" i="4"/>
  <c r="CG130" i="4"/>
  <c r="CK96" i="4"/>
  <c r="CI183" i="4"/>
  <c r="CH171" i="4"/>
  <c r="CJ50" i="4"/>
  <c r="CJ49" i="4"/>
  <c r="CI67" i="4"/>
  <c r="CE67" i="4"/>
  <c r="CE88" i="4"/>
  <c r="CE153" i="4"/>
  <c r="CH194" i="4"/>
  <c r="CH120" i="4"/>
  <c r="CG72" i="4"/>
  <c r="CF72" i="4"/>
  <c r="CE60" i="4"/>
  <c r="CG60" i="4"/>
  <c r="CI195" i="4"/>
  <c r="CD58" i="4"/>
  <c r="CB58" i="4"/>
  <c r="CH58" i="4"/>
  <c r="CE58" i="4"/>
  <c r="CC58" i="4"/>
  <c r="CG58" i="4"/>
  <c r="CG97" i="4"/>
  <c r="CF97" i="4"/>
  <c r="CC97" i="4"/>
  <c r="CD97" i="4"/>
  <c r="CH134" i="4"/>
  <c r="CI134" i="4"/>
  <c r="CF134" i="4"/>
  <c r="CD134" i="4"/>
  <c r="CH139" i="4"/>
  <c r="CF139" i="4"/>
  <c r="CE139" i="4"/>
  <c r="CB139" i="4"/>
  <c r="CG71" i="4"/>
  <c r="CH71" i="4"/>
  <c r="CG87" i="4"/>
  <c r="CH87" i="4"/>
  <c r="CF87" i="4"/>
  <c r="CD87" i="4"/>
  <c r="CB134" i="4"/>
  <c r="CF149" i="4"/>
  <c r="CE149" i="4"/>
  <c r="CD149" i="4"/>
  <c r="CG169" i="4"/>
  <c r="CI169" i="4"/>
  <c r="CF169" i="4"/>
  <c r="CE169" i="4"/>
  <c r="CC169" i="4"/>
  <c r="CF189" i="4"/>
  <c r="CG189" i="4"/>
  <c r="CD189" i="4"/>
  <c r="CC189" i="4"/>
  <c r="CB189" i="4"/>
  <c r="CH189" i="4"/>
  <c r="CE113" i="4"/>
  <c r="CF113" i="4"/>
  <c r="CG113" i="4"/>
  <c r="CC113" i="4"/>
  <c r="CH113" i="4"/>
  <c r="CB48" i="4"/>
  <c r="CJ48" i="4" s="1"/>
  <c r="CG48" i="4"/>
  <c r="CE48" i="4"/>
  <c r="CC48" i="4"/>
  <c r="CH48" i="4"/>
  <c r="CD48" i="4"/>
  <c r="CF48" i="4"/>
  <c r="CG78" i="4"/>
  <c r="CA91" i="4"/>
  <c r="CB97" i="4"/>
  <c r="CE121" i="4"/>
  <c r="CF121" i="4"/>
  <c r="CD121" i="4"/>
  <c r="CC121" i="4"/>
  <c r="CG121" i="4"/>
  <c r="CH121" i="4"/>
  <c r="CA94" i="4"/>
  <c r="CH149" i="4"/>
  <c r="CA139" i="4"/>
  <c r="CI139" i="4" s="1"/>
  <c r="CC182" i="4"/>
  <c r="CK182" i="4" s="1"/>
  <c r="CF71" i="4"/>
  <c r="CG175" i="4"/>
  <c r="CE154" i="4"/>
  <c r="CB172" i="4"/>
  <c r="CI172" i="4"/>
  <c r="CF172" i="4"/>
  <c r="CF185" i="4"/>
  <c r="CD68" i="4"/>
  <c r="CC68" i="4"/>
  <c r="CH79" i="4"/>
  <c r="CD79" i="4"/>
  <c r="CA79" i="4"/>
  <c r="CI79" i="4" s="1"/>
  <c r="CB79" i="4"/>
  <c r="CG79" i="4"/>
  <c r="CE79" i="4"/>
  <c r="CG69" i="4"/>
  <c r="CG146" i="4"/>
  <c r="CE194" i="4"/>
  <c r="CF186" i="4"/>
  <c r="CE184" i="4"/>
  <c r="CJ149" i="4"/>
  <c r="CE128" i="4"/>
  <c r="CG128" i="4"/>
  <c r="CB128" i="4"/>
  <c r="CF128" i="4"/>
  <c r="CI128" i="4"/>
  <c r="CI198" i="4"/>
  <c r="CK149" i="4"/>
  <c r="CB33" i="4"/>
  <c r="CC37" i="4"/>
  <c r="CH137" i="4"/>
  <c r="CI137" i="4"/>
  <c r="CD137" i="4"/>
  <c r="CE137" i="4"/>
  <c r="CE177" i="4"/>
  <c r="CF86" i="4"/>
  <c r="CJ86" i="4"/>
  <c r="CH86" i="4"/>
  <c r="CB178" i="4"/>
  <c r="CJ178" i="4" s="1"/>
  <c r="CF178" i="4"/>
  <c r="CD162" i="4"/>
  <c r="CE162" i="4"/>
  <c r="CG162" i="4"/>
  <c r="CH162" i="4"/>
  <c r="CB162" i="4"/>
  <c r="CI39" i="4"/>
  <c r="CH39" i="4"/>
  <c r="CE39" i="4"/>
  <c r="CF39" i="4"/>
  <c r="CD99" i="4"/>
  <c r="CE99" i="4"/>
  <c r="CH99" i="4"/>
  <c r="CG99" i="4"/>
  <c r="CF99" i="4"/>
  <c r="CC99" i="4"/>
  <c r="CB99" i="4"/>
  <c r="CE174" i="4"/>
  <c r="CB174" i="4"/>
  <c r="CA174" i="4"/>
  <c r="CF174" i="4"/>
  <c r="CG108" i="4"/>
  <c r="CE108" i="4"/>
  <c r="CF108" i="4"/>
  <c r="CA63" i="4"/>
  <c r="CI63" i="4" s="1"/>
  <c r="CB63" i="4"/>
  <c r="CG63" i="4"/>
  <c r="CH63" i="4"/>
  <c r="CE63" i="4"/>
  <c r="CF63" i="4"/>
  <c r="CD63" i="4"/>
  <c r="CC63" i="4"/>
  <c r="CI62" i="4"/>
  <c r="CD43" i="4"/>
  <c r="CB43" i="4"/>
  <c r="CH43" i="4"/>
  <c r="CI43" i="4"/>
  <c r="CF43" i="4"/>
  <c r="CE43" i="4"/>
  <c r="CB55" i="4"/>
  <c r="CH78" i="4"/>
  <c r="CB87" i="4"/>
  <c r="CA87" i="4"/>
  <c r="CB91" i="4"/>
  <c r="CE75" i="4"/>
  <c r="CI105" i="4"/>
  <c r="CH97" i="4"/>
  <c r="CB121" i="4"/>
  <c r="CE94" i="4"/>
  <c r="CG134" i="4"/>
  <c r="CG149" i="4"/>
  <c r="CG139" i="4"/>
  <c r="CF107" i="4"/>
  <c r="CB151" i="4"/>
  <c r="CF159" i="4"/>
  <c r="CD182" i="4"/>
  <c r="CB71" i="4"/>
  <c r="CK71" i="4" s="1"/>
  <c r="CI136" i="4"/>
  <c r="CD136" i="4"/>
  <c r="CF136" i="4"/>
  <c r="CB136" i="4"/>
  <c r="CC136" i="4"/>
  <c r="CG136" i="4"/>
  <c r="CC192" i="4"/>
  <c r="CK192" i="4" s="1"/>
  <c r="CF192" i="4"/>
  <c r="CH114" i="4"/>
  <c r="CE114" i="4"/>
  <c r="CJ114" i="4"/>
  <c r="CG114" i="4"/>
  <c r="CI114" i="4"/>
  <c r="CD114" i="4"/>
  <c r="CL114" i="4" s="1"/>
  <c r="CF114" i="4"/>
  <c r="CB154" i="4"/>
  <c r="CJ154" i="4" s="1"/>
  <c r="CD172" i="4"/>
  <c r="CE185" i="4"/>
  <c r="CE195" i="4"/>
  <c r="CC177" i="4"/>
  <c r="CF177" i="4"/>
  <c r="CE146" i="4"/>
  <c r="CE76" i="4"/>
  <c r="CG76" i="4"/>
  <c r="CI76" i="4"/>
  <c r="CF76" i="4"/>
  <c r="CB196" i="4"/>
  <c r="CK196" i="4" s="1"/>
  <c r="CI196" i="4"/>
  <c r="CD38" i="4"/>
  <c r="CG38" i="4"/>
  <c r="CF38" i="4"/>
  <c r="CH38" i="4"/>
  <c r="CJ38" i="4"/>
  <c r="CC38" i="4"/>
  <c r="CB125" i="4"/>
  <c r="CJ125" i="4" s="1"/>
  <c r="CD125" i="4"/>
  <c r="CE125" i="4"/>
  <c r="CC125" i="4"/>
  <c r="CG125" i="4"/>
  <c r="CE66" i="4"/>
  <c r="CG66" i="4"/>
  <c r="CD66" i="4"/>
  <c r="CC66" i="4"/>
  <c r="CH66" i="4"/>
  <c r="CB113" i="4"/>
  <c r="CF109" i="4"/>
  <c r="CC109" i="4"/>
  <c r="CH109" i="4"/>
  <c r="CE109" i="4"/>
  <c r="CG109" i="4"/>
  <c r="CD109" i="4"/>
  <c r="CD45" i="4"/>
  <c r="CI38" i="4"/>
  <c r="CF66" i="4"/>
  <c r="CF67" i="4"/>
  <c r="CC79" i="4"/>
  <c r="CK79" i="4" s="1"/>
  <c r="CA109" i="4"/>
  <c r="CG83" i="4"/>
  <c r="CH83" i="4"/>
  <c r="CD83" i="4"/>
  <c r="CF83" i="4"/>
  <c r="CC83" i="4"/>
  <c r="CB117" i="4"/>
  <c r="CC166" i="4"/>
  <c r="CC153" i="4"/>
  <c r="CK153" i="4" s="1"/>
  <c r="CH153" i="4"/>
  <c r="CB170" i="4"/>
  <c r="CK170" i="4" s="1"/>
  <c r="CG98" i="4"/>
  <c r="CF145" i="4"/>
  <c r="CB145" i="4"/>
  <c r="CD145" i="4"/>
  <c r="CE145" i="4"/>
  <c r="CH145" i="4"/>
  <c r="CC194" i="4"/>
  <c r="CK194" i="4" s="1"/>
  <c r="CG156" i="4"/>
  <c r="CD176" i="4"/>
  <c r="CE188" i="4"/>
  <c r="CD120" i="4"/>
  <c r="CD186" i="4"/>
  <c r="CG186" i="4"/>
  <c r="CF181" i="4"/>
  <c r="CD184" i="4"/>
  <c r="CG184" i="4"/>
  <c r="CG53" i="4"/>
  <c r="CI99" i="4"/>
  <c r="CE82" i="4"/>
  <c r="CB82" i="4"/>
  <c r="CD51" i="4"/>
  <c r="BZ51" i="4"/>
  <c r="CG51" i="4"/>
  <c r="CA51" i="4"/>
  <c r="CE51" i="4"/>
  <c r="CF51" i="4"/>
  <c r="CA46" i="4"/>
  <c r="CI46" i="4" s="1"/>
  <c r="CB46" i="4"/>
  <c r="CH46" i="4"/>
  <c r="CF46" i="4"/>
  <c r="CG46" i="4"/>
  <c r="CD46" i="4"/>
  <c r="CA57" i="4"/>
  <c r="CJ57" i="4" s="1"/>
  <c r="CD57" i="4"/>
  <c r="CH57" i="4"/>
  <c r="CE57" i="4"/>
  <c r="CF57" i="4"/>
  <c r="CB39" i="4"/>
  <c r="CJ39" i="4" s="1"/>
  <c r="CC56" i="4"/>
  <c r="CA56" i="4"/>
  <c r="CF56" i="4"/>
  <c r="CE56" i="4"/>
  <c r="CH56" i="4"/>
  <c r="CG56" i="4"/>
  <c r="CB56" i="4"/>
  <c r="CD93" i="4"/>
  <c r="CC93" i="4"/>
  <c r="CG93" i="4"/>
  <c r="CH93" i="4"/>
  <c r="CF93" i="4"/>
  <c r="CG70" i="4"/>
  <c r="CE70" i="4"/>
  <c r="CH70" i="4"/>
  <c r="CC70" i="4"/>
  <c r="CD70" i="4"/>
  <c r="CB85" i="4"/>
  <c r="CF85" i="4"/>
  <c r="CH85" i="4"/>
  <c r="CC85" i="4"/>
  <c r="CG85" i="4"/>
  <c r="CJ122" i="4"/>
  <c r="CE122" i="4"/>
  <c r="CH141" i="4"/>
  <c r="CH60" i="4"/>
  <c r="CC135" i="4"/>
  <c r="CG135" i="4"/>
  <c r="CD133" i="4"/>
  <c r="CC155" i="4"/>
  <c r="CK155" i="4" s="1"/>
  <c r="CH155" i="4"/>
  <c r="CC174" i="4"/>
  <c r="CH174" i="4"/>
  <c r="CB187" i="4"/>
  <c r="CB106" i="4"/>
  <c r="CK106" i="4" s="1"/>
  <c r="CI106" i="4"/>
  <c r="CG106" i="4"/>
  <c r="CD106" i="4"/>
  <c r="CH106" i="4"/>
  <c r="CE106" i="4"/>
  <c r="CF106" i="4"/>
  <c r="CI158" i="4"/>
  <c r="CH158" i="4"/>
  <c r="CD158" i="4"/>
  <c r="CG158" i="4"/>
  <c r="CC158" i="4"/>
  <c r="CB158" i="4"/>
  <c r="CJ158" i="4" s="1"/>
  <c r="CF158" i="4"/>
  <c r="CE190" i="4"/>
  <c r="CC190" i="4"/>
  <c r="CC198" i="4"/>
  <c r="CG55" i="4"/>
  <c r="CE86" i="4"/>
  <c r="CD191" i="4"/>
  <c r="CC191" i="4"/>
  <c r="CB191" i="4"/>
  <c r="CF191" i="4"/>
  <c r="CH191" i="4"/>
  <c r="CG191" i="4"/>
  <c r="CJ191" i="4"/>
  <c r="CI159" i="4"/>
  <c r="CH159" i="4"/>
  <c r="CF58" i="4"/>
  <c r="CD42" i="4"/>
  <c r="CF42" i="4"/>
  <c r="CC42" i="4"/>
  <c r="CB42" i="4"/>
  <c r="CJ42" i="4" s="1"/>
  <c r="CG42" i="4"/>
  <c r="CC41" i="4"/>
  <c r="CD82" i="4"/>
  <c r="CG82" i="4"/>
  <c r="CI90" i="4"/>
  <c r="CB90" i="4"/>
  <c r="CH90" i="4"/>
  <c r="CD90" i="4"/>
  <c r="CD54" i="4"/>
  <c r="CE73" i="4"/>
  <c r="CI73" i="4"/>
  <c r="CG73" i="4"/>
  <c r="CF73" i="4"/>
  <c r="CD73" i="4"/>
  <c r="CC73" i="4"/>
  <c r="CG104" i="4"/>
  <c r="CJ104" i="4"/>
  <c r="CE104" i="4"/>
  <c r="CI104" i="4"/>
  <c r="CC104" i="4"/>
  <c r="CD104" i="4"/>
  <c r="CH104" i="4"/>
  <c r="CF111" i="4"/>
  <c r="CD111" i="4"/>
  <c r="CH111" i="4"/>
  <c r="CB111" i="4"/>
  <c r="CJ111" i="4" s="1"/>
  <c r="CE111" i="4"/>
  <c r="CG111" i="4"/>
  <c r="CC111" i="4"/>
  <c r="CB76" i="4"/>
  <c r="CI148" i="4"/>
  <c r="CC148" i="4"/>
  <c r="CF148" i="4"/>
  <c r="CH148" i="4"/>
  <c r="CG148" i="4"/>
  <c r="CB148" i="4"/>
  <c r="CL148" i="4" s="1"/>
  <c r="CB138" i="4"/>
  <c r="CJ138" i="4" s="1"/>
  <c r="CC138" i="4"/>
  <c r="CD142" i="4"/>
  <c r="CH142" i="4"/>
  <c r="CI142" i="4"/>
  <c r="CJ142" i="4"/>
  <c r="CL142" i="4"/>
  <c r="CF142" i="4"/>
  <c r="CK142" i="4"/>
  <c r="CB157" i="4"/>
  <c r="CJ157" i="4" s="1"/>
  <c r="CH196" i="4"/>
  <c r="CD171" i="4"/>
  <c r="CD108" i="4"/>
  <c r="CA108" i="4"/>
  <c r="CG168" i="4"/>
  <c r="CH168" i="4"/>
  <c r="CD168" i="4"/>
  <c r="CI168" i="4"/>
  <c r="CE168" i="4"/>
  <c r="CB183" i="4"/>
  <c r="CJ183" i="4" s="1"/>
  <c r="BZ199" i="4"/>
  <c r="CH199" i="4" s="1"/>
  <c r="CB169" i="4"/>
  <c r="CJ169" i="4" s="1"/>
  <c r="CH169" i="4"/>
  <c r="CC173" i="4"/>
  <c r="CK173" i="4" s="1"/>
  <c r="CD161" i="4"/>
  <c r="CA161" i="4"/>
  <c r="CJ161" i="4" s="1"/>
  <c r="CB101" i="4"/>
  <c r="CF101" i="4"/>
  <c r="CG101" i="4"/>
  <c r="CD101" i="4"/>
  <c r="CH101" i="4"/>
  <c r="CI78" i="4"/>
  <c r="CI121" i="4"/>
  <c r="CI65" i="4"/>
  <c r="CH105" i="4"/>
  <c r="CE105" i="4"/>
  <c r="CE134" i="4"/>
  <c r="CH96" i="4"/>
  <c r="CJ137" i="4"/>
  <c r="CF61" i="4"/>
  <c r="CI191" i="4"/>
  <c r="CI50" i="4"/>
  <c r="CD50" i="4"/>
  <c r="CF49" i="4"/>
  <c r="CI49" i="4"/>
  <c r="CH67" i="4"/>
  <c r="CH88" i="4"/>
  <c r="CB68" i="4"/>
  <c r="CJ68" i="4" s="1"/>
  <c r="CG68" i="4"/>
  <c r="CD80" i="4"/>
  <c r="CE69" i="4"/>
  <c r="CI120" i="4"/>
  <c r="CH100" i="4"/>
  <c r="CC72" i="4"/>
  <c r="CK72" i="4" s="1"/>
  <c r="CG122" i="4"/>
  <c r="CJ60" i="4"/>
  <c r="CF60" i="4"/>
  <c r="CG118" i="4"/>
  <c r="CK114" i="4"/>
  <c r="CI193" i="4"/>
  <c r="CG172" i="4"/>
  <c r="CF55" i="4"/>
  <c r="CC175" i="4"/>
  <c r="CF175" i="4"/>
  <c r="CH175" i="4"/>
  <c r="CI192" i="4"/>
  <c r="CC172" i="4"/>
  <c r="CD103" i="4"/>
  <c r="CC103" i="4"/>
  <c r="CE103" i="4"/>
  <c r="CB103" i="4"/>
  <c r="CJ103" i="4" s="1"/>
  <c r="CG103" i="4"/>
  <c r="CF103" i="4"/>
  <c r="CH103" i="4"/>
  <c r="CF137" i="4"/>
  <c r="CE85" i="4"/>
  <c r="CG129" i="4"/>
  <c r="CF129" i="4"/>
  <c r="CC129" i="4"/>
  <c r="CD129" i="4"/>
  <c r="CB129" i="4"/>
  <c r="CB163" i="4"/>
  <c r="CJ163" i="4" s="1"/>
  <c r="CI163" i="4"/>
  <c r="CF163" i="4"/>
  <c r="CH163" i="4"/>
  <c r="CE84" i="4"/>
  <c r="CG133" i="4"/>
  <c r="CE133" i="4"/>
  <c r="CF133" i="4"/>
  <c r="CC88" i="4"/>
  <c r="CK88" i="4" s="1"/>
  <c r="CG88" i="4"/>
  <c r="CE92" i="4"/>
  <c r="CD92" i="4"/>
  <c r="CH92" i="4"/>
  <c r="CF92" i="4"/>
  <c r="CB92" i="4"/>
  <c r="CA92" i="4"/>
  <c r="CI68" i="4"/>
  <c r="CF69" i="4"/>
  <c r="CD113" i="4"/>
  <c r="CA113" i="4"/>
  <c r="CK113" i="4" s="1"/>
  <c r="CB146" i="4"/>
  <c r="CJ146" i="4" s="1"/>
  <c r="CA166" i="4"/>
  <c r="CJ166" i="4" s="1"/>
  <c r="CH166" i="4"/>
  <c r="CD166" i="4"/>
  <c r="CE166" i="4"/>
  <c r="CI166" i="4"/>
  <c r="CJ170" i="4"/>
  <c r="CF170" i="4"/>
  <c r="CC98" i="4"/>
  <c r="CH179" i="4"/>
  <c r="CF194" i="4"/>
  <c r="CI194" i="4"/>
  <c r="CB143" i="4"/>
  <c r="CK143" i="4" s="1"/>
  <c r="CE143" i="4"/>
  <c r="CH143" i="4"/>
  <c r="CI143" i="4"/>
  <c r="CF143" i="4"/>
  <c r="CE156" i="4"/>
  <c r="CG176" i="4"/>
  <c r="CD188" i="4"/>
  <c r="CG188" i="4"/>
  <c r="CF188" i="4"/>
  <c r="CF120" i="4"/>
  <c r="CH184" i="4"/>
  <c r="CE59" i="4"/>
  <c r="CE136" i="4"/>
  <c r="CH44" i="4"/>
  <c r="CG44" i="4"/>
  <c r="CB44" i="4"/>
  <c r="CJ44" i="4" s="1"/>
  <c r="CI44" i="4"/>
  <c r="CF44" i="4"/>
  <c r="CD197" i="4"/>
  <c r="CC197" i="4"/>
  <c r="BZ197" i="4"/>
  <c r="CB197" i="4"/>
  <c r="CG197" i="4"/>
  <c r="CE46" i="4"/>
  <c r="CD39" i="4"/>
  <c r="CE81" i="4"/>
  <c r="CH89" i="4"/>
  <c r="CG89" i="4"/>
  <c r="CC89" i="4"/>
  <c r="CD89" i="4"/>
  <c r="CF89" i="4"/>
  <c r="CE100" i="4"/>
  <c r="CI95" i="4"/>
  <c r="CA135" i="4"/>
  <c r="CI135" i="4" s="1"/>
  <c r="CB147" i="4"/>
  <c r="CH147" i="4"/>
  <c r="CE147" i="4"/>
  <c r="CI147" i="4"/>
  <c r="CF147" i="4"/>
  <c r="BZ133" i="4"/>
  <c r="CH133" i="4" s="1"/>
  <c r="CD155" i="4"/>
  <c r="CL155" i="4" s="1"/>
  <c r="CD174" i="4"/>
  <c r="CF193" i="4"/>
  <c r="CB102" i="4"/>
  <c r="CG102" i="4"/>
  <c r="CC102" i="4"/>
  <c r="CH102" i="4"/>
  <c r="CD102" i="4"/>
  <c r="CA102" i="4"/>
  <c r="CI102" i="4" s="1"/>
  <c r="CF102" i="4"/>
  <c r="CE102" i="4"/>
  <c r="CG150" i="4"/>
  <c r="CI150" i="4"/>
  <c r="CH150" i="4"/>
  <c r="CK150" i="4"/>
  <c r="CD150" i="4"/>
  <c r="CF150" i="4"/>
  <c r="CF180" i="4"/>
  <c r="CB180" i="4"/>
  <c r="CJ180" i="4" s="1"/>
  <c r="CI180" i="4"/>
  <c r="CE180" i="4"/>
  <c r="CK190" i="4"/>
  <c r="CG190" i="4"/>
  <c r="CE131" i="4"/>
  <c r="CC131" i="4"/>
  <c r="CB131" i="4"/>
  <c r="CA131" i="4"/>
  <c r="CF131" i="4"/>
  <c r="CD131" i="4"/>
  <c r="BZ131" i="4"/>
  <c r="CG131" i="4"/>
  <c r="CI103" i="4"/>
  <c r="CE196" i="4"/>
  <c r="CE54" i="4"/>
  <c r="CB54" i="4"/>
  <c r="CI54" i="4"/>
  <c r="CF54" i="4"/>
  <c r="CC54" i="4"/>
  <c r="CG183" i="4"/>
  <c r="CC183" i="4"/>
  <c r="CF183" i="4"/>
  <c r="CD84" i="4"/>
  <c r="CA84" i="4"/>
  <c r="CB84" i="4"/>
  <c r="CA58" i="4"/>
  <c r="CD41" i="4"/>
  <c r="CC82" i="4"/>
  <c r="CA82" i="4"/>
  <c r="CC84" i="4"/>
  <c r="BZ84" i="4"/>
  <c r="CH84" i="4" s="1"/>
  <c r="CF127" i="4"/>
  <c r="CD76" i="4"/>
  <c r="CI86" i="4"/>
  <c r="CK86" i="4"/>
  <c r="CI138" i="4"/>
  <c r="CH138" i="4"/>
  <c r="CF138" i="4"/>
  <c r="CF164" i="4"/>
  <c r="CJ164" i="4"/>
  <c r="CE164" i="4"/>
  <c r="CC164" i="4"/>
  <c r="CK164" i="4" s="1"/>
  <c r="CH164" i="4"/>
  <c r="CD164" i="4"/>
  <c r="CA197" i="4"/>
  <c r="CG142" i="4"/>
  <c r="CK157" i="4"/>
  <c r="CH157" i="4"/>
  <c r="CD157" i="4"/>
  <c r="CC178" i="4"/>
  <c r="CK178" i="4" s="1"/>
  <c r="CG196" i="4"/>
  <c r="CG124" i="4"/>
  <c r="CK124" i="4"/>
  <c r="CI124" i="4"/>
  <c r="CJ124" i="4"/>
  <c r="CH124" i="4"/>
  <c r="CE124" i="4"/>
  <c r="CC171" i="4"/>
  <c r="CA171" i="4"/>
  <c r="CJ168" i="4"/>
  <c r="CD183" i="4"/>
  <c r="CD128" i="4"/>
  <c r="CG173" i="4"/>
  <c r="CH173" i="4"/>
  <c r="CC161" i="4"/>
  <c r="CE87" i="4"/>
  <c r="CH65" i="4"/>
  <c r="CC105" i="4"/>
  <c r="CI96" i="4"/>
  <c r="CD96" i="4"/>
  <c r="CL96" i="4" s="1"/>
  <c r="CI165" i="4"/>
  <c r="CH118" i="4"/>
  <c r="CA177" i="4"/>
  <c r="CI177" i="4" s="1"/>
  <c r="CL80" i="4"/>
  <c r="CC50" i="4"/>
  <c r="CK50" i="4" s="1"/>
  <c r="CE50" i="4"/>
  <c r="CH49" i="4"/>
  <c r="CD49" i="4"/>
  <c r="CL49" i="4" s="1"/>
  <c r="CG67" i="4"/>
  <c r="CD88" i="4"/>
  <c r="CE68" i="4"/>
  <c r="CF80" i="4"/>
  <c r="CG80" i="4"/>
  <c r="CH69" i="4"/>
  <c r="CE191" i="4"/>
  <c r="CJ120" i="4"/>
  <c r="CJ184" i="4"/>
  <c r="CH129" i="4"/>
  <c r="BZ82" i="4"/>
  <c r="CD72" i="4"/>
  <c r="CI122" i="4"/>
  <c r="CI60" i="4"/>
  <c r="CG178" i="4"/>
  <c r="CL124" i="4"/>
  <c r="CD153" i="4"/>
  <c r="CI153" i="4"/>
  <c r="CG75" i="4"/>
  <c r="CF75" i="4"/>
  <c r="CI75" i="4"/>
  <c r="CB75" i="4"/>
  <c r="CE141" i="4"/>
  <c r="CB141" i="4"/>
  <c r="CI141" i="4"/>
  <c r="CD141" i="4"/>
  <c r="CH185" i="4"/>
  <c r="CD185" i="4"/>
  <c r="CC185" i="4"/>
  <c r="CG185" i="4"/>
  <c r="CI151" i="4"/>
  <c r="CF151" i="4"/>
  <c r="CD151" i="4"/>
  <c r="CL151" i="4" s="1"/>
  <c r="CK151" i="4"/>
  <c r="CH151" i="4"/>
  <c r="CE151" i="4"/>
  <c r="CD55" i="4"/>
  <c r="CC55" i="4"/>
  <c r="CH55" i="4"/>
  <c r="CI97" i="4"/>
  <c r="CI130" i="4"/>
  <c r="CJ130" i="4"/>
  <c r="CE130" i="4"/>
  <c r="CD130" i="4"/>
  <c r="CF130" i="4"/>
  <c r="CB94" i="4"/>
  <c r="CJ94" i="4" s="1"/>
  <c r="CD94" i="4"/>
  <c r="CH94" i="4"/>
  <c r="CF94" i="4"/>
  <c r="CI94" i="4"/>
  <c r="CD175" i="4"/>
  <c r="CH186" i="4"/>
  <c r="CI186" i="4"/>
  <c r="CD64" i="4"/>
  <c r="CF64" i="4"/>
  <c r="CH64" i="4"/>
  <c r="CG64" i="4"/>
  <c r="CE64" i="4"/>
  <c r="CC64" i="4"/>
  <c r="CB64" i="4"/>
  <c r="CH62" i="4"/>
  <c r="CE62" i="4"/>
  <c r="CG62" i="4"/>
  <c r="CF62" i="4"/>
  <c r="CB62" i="4"/>
  <c r="CJ62" i="4" s="1"/>
  <c r="CC62" i="4"/>
  <c r="CD62" i="4"/>
  <c r="CI91" i="4"/>
  <c r="CE97" i="4"/>
  <c r="CG112" i="4"/>
  <c r="CF112" i="4"/>
  <c r="CL112" i="4"/>
  <c r="CJ112" i="4"/>
  <c r="CE112" i="4"/>
  <c r="CI112" i="4"/>
  <c r="CK112" i="4"/>
  <c r="CD139" i="4"/>
  <c r="CJ151" i="4"/>
  <c r="CG151" i="4"/>
  <c r="CB159" i="4"/>
  <c r="CH182" i="4"/>
  <c r="CD71" i="4"/>
  <c r="CB175" i="4"/>
  <c r="CK175" i="4" s="1"/>
  <c r="CI154" i="4"/>
  <c r="CG154" i="4"/>
  <c r="CH154" i="4"/>
  <c r="CC154" i="4"/>
  <c r="CB185" i="4"/>
  <c r="CC137" i="4"/>
  <c r="CK137" i="4" s="1"/>
  <c r="CG137" i="4"/>
  <c r="CH195" i="4"/>
  <c r="CK195" i="4"/>
  <c r="CJ195" i="4"/>
  <c r="CG195" i="4"/>
  <c r="CD195" i="4"/>
  <c r="CL195" i="4" s="1"/>
  <c r="CE178" i="4"/>
  <c r="CI64" i="4"/>
  <c r="CE199" i="4"/>
  <c r="CH192" i="4"/>
  <c r="CJ192" i="4"/>
  <c r="CF119" i="4"/>
  <c r="CG160" i="4"/>
  <c r="CF160" i="4"/>
  <c r="CD160" i="4"/>
  <c r="CE160" i="4"/>
  <c r="CH160" i="4"/>
  <c r="CB160" i="4"/>
  <c r="CK160" i="4" s="1"/>
  <c r="CC95" i="4"/>
  <c r="CI176" i="4"/>
  <c r="CB176" i="4"/>
  <c r="CF176" i="4"/>
  <c r="CE45" i="4"/>
  <c r="CI45" i="4"/>
  <c r="CF45" i="4"/>
  <c r="CB45" i="4"/>
  <c r="CH45" i="4"/>
  <c r="CF79" i="4"/>
  <c r="CG92" i="4"/>
  <c r="CF68" i="4"/>
  <c r="CI115" i="4"/>
  <c r="CD123" i="4"/>
  <c r="CB123" i="4"/>
  <c r="CE123" i="4"/>
  <c r="BZ123" i="4"/>
  <c r="CH123" i="4" s="1"/>
  <c r="CG123" i="4"/>
  <c r="CC123" i="4"/>
  <c r="CK69" i="4"/>
  <c r="CI83" i="4"/>
  <c r="BZ117" i="4"/>
  <c r="CE117" i="4"/>
  <c r="CF117" i="4"/>
  <c r="CG117" i="4"/>
  <c r="CC117" i="4"/>
  <c r="CC140" i="4"/>
  <c r="CG140" i="4"/>
  <c r="CI140" i="4"/>
  <c r="CD140" i="4"/>
  <c r="CF140" i="4"/>
  <c r="CB140" i="4"/>
  <c r="CK146" i="4"/>
  <c r="CI146" i="4"/>
  <c r="CD146" i="4"/>
  <c r="CF146" i="4"/>
  <c r="CH146" i="4"/>
  <c r="CF166" i="4"/>
  <c r="CF153" i="4"/>
  <c r="CI98" i="4"/>
  <c r="CC145" i="4"/>
  <c r="CE179" i="4"/>
  <c r="CC179" i="4"/>
  <c r="CK179" i="4" s="1"/>
  <c r="CD179" i="4"/>
  <c r="CF179" i="4"/>
  <c r="CD194" i="4"/>
  <c r="CL194" i="4" s="1"/>
  <c r="CJ194" i="4"/>
  <c r="CD143" i="4"/>
  <c r="CA156" i="4"/>
  <c r="CC176" i="4"/>
  <c r="CB188" i="4"/>
  <c r="CL188" i="4" s="1"/>
  <c r="CC120" i="4"/>
  <c r="CL120" i="4" s="1"/>
  <c r="CC186" i="4"/>
  <c r="CI144" i="4"/>
  <c r="CB144" i="4"/>
  <c r="CJ144" i="4" s="1"/>
  <c r="CG144" i="4"/>
  <c r="CF144" i="4"/>
  <c r="CH144" i="4"/>
  <c r="CC144" i="4"/>
  <c r="CL144" i="4" s="1"/>
  <c r="CD181" i="4"/>
  <c r="CG181" i="4"/>
  <c r="CH181" i="4"/>
  <c r="CC184" i="4"/>
  <c r="CI162" i="4"/>
  <c r="CE44" i="4"/>
  <c r="CH187" i="4"/>
  <c r="CJ187" i="4"/>
  <c r="CD187" i="4"/>
  <c r="CC187" i="4"/>
  <c r="CG187" i="4"/>
  <c r="CF187" i="4"/>
  <c r="CD77" i="4"/>
  <c r="CD110" i="4"/>
  <c r="CH110" i="4"/>
  <c r="CE110" i="4"/>
  <c r="CI110" i="4"/>
  <c r="CG110" i="4"/>
  <c r="CC51" i="4"/>
  <c r="CC46" i="4"/>
  <c r="CA40" i="4"/>
  <c r="CC39" i="4"/>
  <c r="CG39" i="4"/>
  <c r="CI72" i="4"/>
  <c r="CD81" i="4"/>
  <c r="CB81" i="4"/>
  <c r="CF81" i="4"/>
  <c r="CG81" i="4"/>
  <c r="CH81" i="4"/>
  <c r="CA89" i="4"/>
  <c r="CA93" i="4"/>
  <c r="CB70" i="4"/>
  <c r="CG100" i="4"/>
  <c r="CC77" i="4"/>
  <c r="CB110" i="4"/>
  <c r="CK110" i="4" s="1"/>
  <c r="CD116" i="4"/>
  <c r="CL116" i="4" s="1"/>
  <c r="CF125" i="4"/>
  <c r="CA85" i="4"/>
  <c r="CF95" i="4"/>
  <c r="CD95" i="4"/>
  <c r="CH95" i="4"/>
  <c r="CG95" i="4"/>
  <c r="CC141" i="4"/>
  <c r="CD135" i="4"/>
  <c r="CC147" i="4"/>
  <c r="CD167" i="4"/>
  <c r="CA167" i="4"/>
  <c r="CA133" i="4"/>
  <c r="CE193" i="4"/>
  <c r="CD180" i="4"/>
  <c r="CH180" i="4"/>
  <c r="CD190" i="4"/>
  <c r="CF190" i="4"/>
  <c r="CE53" i="4"/>
  <c r="CF53" i="4"/>
  <c r="CC53" i="4"/>
  <c r="CD53" i="4"/>
  <c r="CI53" i="4"/>
  <c r="CH53" i="4"/>
  <c r="CC163" i="4"/>
  <c r="CG163" i="4"/>
  <c r="CD118" i="4"/>
  <c r="CL118" i="4" s="1"/>
  <c r="CJ118" i="4"/>
  <c r="CB198" i="4"/>
  <c r="CF141" i="4"/>
  <c r="CE189" i="4"/>
  <c r="CH152" i="4"/>
  <c r="CF126" i="4"/>
  <c r="CG126" i="4"/>
  <c r="CH126" i="4"/>
  <c r="CJ126" i="4"/>
  <c r="CE126" i="4"/>
  <c r="CI126" i="4"/>
  <c r="CC126" i="4"/>
  <c r="CK126" i="4" s="1"/>
  <c r="CB59" i="4"/>
  <c r="CC47" i="4"/>
  <c r="CI47" i="4"/>
  <c r="CE47" i="4"/>
  <c r="CF47" i="4"/>
  <c r="CB47" i="4"/>
  <c r="CD47" i="4"/>
  <c r="CG47" i="4"/>
  <c r="CH47" i="4"/>
  <c r="CB41" i="4"/>
  <c r="CG41" i="4"/>
  <c r="CC74" i="4"/>
  <c r="CK74" i="4" s="1"/>
  <c r="CF74" i="4"/>
  <c r="CG74" i="4"/>
  <c r="CE74" i="4"/>
  <c r="CH74" i="4"/>
  <c r="CH54" i="4"/>
  <c r="CJ73" i="4"/>
  <c r="CH73" i="4"/>
  <c r="CI111" i="4"/>
  <c r="CI119" i="4"/>
  <c r="CJ119" i="4"/>
  <c r="CH119" i="4"/>
  <c r="CE119" i="4"/>
  <c r="CG119" i="4"/>
  <c r="CD119" i="4"/>
  <c r="CC119" i="4"/>
  <c r="CK119" i="4" s="1"/>
  <c r="CH127" i="4"/>
  <c r="CI127" i="4"/>
  <c r="CE127" i="4"/>
  <c r="CG127" i="4"/>
  <c r="CC127" i="4"/>
  <c r="CC76" i="4"/>
  <c r="CD86" i="4"/>
  <c r="CL86" i="4" s="1"/>
  <c r="CG86" i="4"/>
  <c r="CG138" i="4"/>
  <c r="CI157" i="4"/>
  <c r="CD178" i="4"/>
  <c r="CD196" i="4"/>
  <c r="CL196" i="4" s="1"/>
  <c r="CF196" i="4"/>
  <c r="CB171" i="4"/>
  <c r="CC108" i="4"/>
  <c r="BZ108" i="4"/>
  <c r="CJ108" i="4" s="1"/>
  <c r="CI152" i="4"/>
  <c r="CB152" i="4"/>
  <c r="CD152" i="4"/>
  <c r="CF152" i="4"/>
  <c r="CG152" i="4"/>
  <c r="CC152" i="4"/>
  <c r="CC168" i="4"/>
  <c r="CK168" i="4" s="1"/>
  <c r="CB199" i="4"/>
  <c r="CA199" i="4"/>
  <c r="CD169" i="4"/>
  <c r="CF173" i="4"/>
  <c r="CE161" i="4"/>
  <c r="CA101" i="4"/>
  <c r="CI101" i="4" s="1"/>
  <c r="CG49" i="4"/>
  <c r="CH42" i="4"/>
  <c r="CJ65" i="4"/>
  <c r="CG105" i="4"/>
  <c r="CH130" i="4"/>
  <c r="CE159" i="4"/>
  <c r="CD154" i="4"/>
  <c r="CF195" i="4"/>
  <c r="CH116" i="4"/>
  <c r="CH176" i="4"/>
  <c r="CI71" i="4"/>
  <c r="CH128" i="4"/>
  <c r="CF50" i="4"/>
  <c r="CE38" i="4"/>
  <c r="CE49" i="4"/>
  <c r="CD67" i="4"/>
  <c r="CL67" i="4" s="1"/>
  <c r="CJ67" i="4"/>
  <c r="CH68" i="4"/>
  <c r="CH80" i="4"/>
  <c r="CI69" i="4"/>
  <c r="CJ153" i="4"/>
  <c r="CJ179" i="4"/>
  <c r="CH122" i="4"/>
  <c r="CI164" i="4"/>
  <c r="CA132" i="4"/>
  <c r="CE40" i="4"/>
  <c r="CK122" i="4"/>
  <c r="CF122" i="4"/>
  <c r="CK118" i="4"/>
  <c r="CF162" i="4"/>
  <c r="CI179" i="4"/>
  <c r="CK129" i="4"/>
  <c r="CI189" i="4"/>
  <c r="CA36" i="4"/>
  <c r="CF36" i="4"/>
  <c r="BZ36" i="4"/>
  <c r="CH36" i="4" s="1"/>
  <c r="CC35" i="4"/>
  <c r="CC34" i="4"/>
  <c r="CG34" i="4"/>
  <c r="CB34" i="4"/>
  <c r="CE34" i="4"/>
  <c r="CA33" i="4"/>
  <c r="BZ33" i="4"/>
  <c r="CB36" i="4"/>
  <c r="BZ32" i="4"/>
  <c r="CH32" i="4" s="1"/>
  <c r="CC32" i="4"/>
  <c r="CD32" i="4"/>
  <c r="CE32" i="4"/>
  <c r="CB32" i="4"/>
  <c r="CA32" i="4"/>
  <c r="CG35" i="4"/>
  <c r="CF35" i="4"/>
  <c r="CF34" i="4"/>
  <c r="CG32" i="4"/>
  <c r="CE35" i="4"/>
  <c r="CH35" i="4"/>
  <c r="CG37" i="4"/>
  <c r="BZ37" i="4"/>
  <c r="CH37" i="4" s="1"/>
  <c r="CD37" i="4"/>
  <c r="CB37" i="4"/>
  <c r="CE37" i="4"/>
  <c r="CE36" i="4"/>
  <c r="CA37" i="4"/>
  <c r="CA35" i="4"/>
  <c r="CF32" i="4"/>
  <c r="CD35" i="4"/>
  <c r="CA34" i="4"/>
  <c r="CJ35" i="4"/>
  <c r="CD36" i="4"/>
  <c r="CC36" i="4"/>
  <c r="CG36" i="4"/>
  <c r="CG33" i="4"/>
  <c r="CC33" i="4"/>
  <c r="CF37" i="4"/>
  <c r="CD33" i="4"/>
  <c r="M31" i="2"/>
  <c r="M29" i="2"/>
  <c r="M27" i="2"/>
  <c r="M25" i="2"/>
  <c r="M30" i="2"/>
  <c r="M26" i="2"/>
  <c r="M21" i="2"/>
  <c r="M20" i="2"/>
  <c r="M17" i="2"/>
  <c r="M15" i="2"/>
  <c r="M13" i="2"/>
  <c r="M11" i="2"/>
  <c r="M9" i="2"/>
  <c r="M7" i="2"/>
  <c r="M5" i="2"/>
  <c r="M23" i="2"/>
  <c r="M22" i="2"/>
  <c r="M28" i="2"/>
  <c r="M24" i="2"/>
  <c r="M16" i="2"/>
  <c r="M14" i="2"/>
  <c r="M12" i="2"/>
  <c r="M10" i="2"/>
  <c r="M8" i="2"/>
  <c r="M6" i="2"/>
  <c r="M4" i="2"/>
  <c r="M19" i="2"/>
  <c r="M18" i="2"/>
  <c r="M3" i="2"/>
  <c r="P30" i="2"/>
  <c r="P28" i="2"/>
  <c r="P26" i="2"/>
  <c r="P24" i="2"/>
  <c r="P22" i="2"/>
  <c r="P20" i="2"/>
  <c r="P18" i="2"/>
  <c r="P31" i="2"/>
  <c r="P27" i="2"/>
  <c r="P19" i="2"/>
  <c r="P17" i="2"/>
  <c r="P15" i="2"/>
  <c r="P13" i="2"/>
  <c r="P11" i="2"/>
  <c r="P9" i="2"/>
  <c r="P7" i="2"/>
  <c r="P5" i="2"/>
  <c r="P3" i="2"/>
  <c r="P21" i="2"/>
  <c r="P29" i="2"/>
  <c r="P25" i="2"/>
  <c r="P23" i="2"/>
  <c r="P16" i="2"/>
  <c r="P14" i="2"/>
  <c r="P12" i="2"/>
  <c r="P10" i="2"/>
  <c r="P8" i="2"/>
  <c r="P6" i="2"/>
  <c r="P4" i="2"/>
  <c r="O30" i="2"/>
  <c r="O28" i="2"/>
  <c r="O26" i="2"/>
  <c r="O24" i="2"/>
  <c r="O29" i="2"/>
  <c r="O25" i="2"/>
  <c r="O23" i="2"/>
  <c r="O16" i="2"/>
  <c r="O14" i="2"/>
  <c r="O12" i="2"/>
  <c r="O10" i="2"/>
  <c r="O8" i="2"/>
  <c r="O6" i="2"/>
  <c r="O4" i="2"/>
  <c r="O18" i="2"/>
  <c r="O31" i="2"/>
  <c r="O27" i="2"/>
  <c r="O20" i="2"/>
  <c r="O19" i="2"/>
  <c r="O17" i="2"/>
  <c r="O15" i="2"/>
  <c r="O13" i="2"/>
  <c r="O11" i="2"/>
  <c r="O9" i="2"/>
  <c r="O7" i="2"/>
  <c r="O5" i="2"/>
  <c r="O3" i="2"/>
  <c r="O22" i="2"/>
  <c r="O21" i="2"/>
  <c r="Q31" i="2"/>
  <c r="Q29" i="2"/>
  <c r="Q27" i="2"/>
  <c r="Q25" i="2"/>
  <c r="Q28" i="2"/>
  <c r="Q24" i="2"/>
  <c r="Q19" i="2"/>
  <c r="Q18" i="2"/>
  <c r="Q17" i="2"/>
  <c r="Q15" i="2"/>
  <c r="Q13" i="2"/>
  <c r="Q11" i="2"/>
  <c r="Q9" i="2"/>
  <c r="Q7" i="2"/>
  <c r="Q5" i="2"/>
  <c r="Q3" i="2"/>
  <c r="Q21" i="2"/>
  <c r="Q20" i="2"/>
  <c r="Q30" i="2"/>
  <c r="Q26" i="2"/>
  <c r="Q23" i="2"/>
  <c r="Q22" i="2"/>
  <c r="Q16" i="2"/>
  <c r="Q14" i="2"/>
  <c r="Q12" i="2"/>
  <c r="Q10" i="2"/>
  <c r="Q8" i="2"/>
  <c r="Q6" i="2"/>
  <c r="Q4" i="2"/>
  <c r="N31" i="2"/>
  <c r="N29" i="2"/>
  <c r="N27" i="2"/>
  <c r="N25" i="2"/>
  <c r="N23" i="2"/>
  <c r="N21" i="2"/>
  <c r="N19" i="2"/>
  <c r="N22" i="2"/>
  <c r="N28" i="2"/>
  <c r="N24" i="2"/>
  <c r="N16" i="2"/>
  <c r="N14" i="2"/>
  <c r="N12" i="2"/>
  <c r="N10" i="2"/>
  <c r="N8" i="2"/>
  <c r="N6" i="2"/>
  <c r="N4" i="2"/>
  <c r="N18" i="2"/>
  <c r="N30" i="2"/>
  <c r="N26" i="2"/>
  <c r="N20" i="2"/>
  <c r="N17" i="2"/>
  <c r="N15" i="2"/>
  <c r="N13" i="2"/>
  <c r="N11" i="2"/>
  <c r="N9" i="2"/>
  <c r="N7" i="2"/>
  <c r="N5" i="2"/>
  <c r="N3" i="2"/>
  <c r="A12" i="2"/>
  <c r="A13" i="2"/>
  <c r="A14" i="2"/>
  <c r="A15" i="2"/>
  <c r="A16" i="2"/>
  <c r="A17" i="2"/>
  <c r="A18" i="2"/>
  <c r="A19" i="2"/>
  <c r="A20" i="2"/>
  <c r="A21" i="2"/>
  <c r="A22" i="2"/>
  <c r="A23" i="2"/>
  <c r="A24" i="2"/>
  <c r="A25" i="2"/>
  <c r="A26" i="2"/>
  <c r="A27" i="2"/>
  <c r="A28" i="2"/>
  <c r="A29" i="2"/>
  <c r="A30" i="2"/>
  <c r="A31" i="2"/>
  <c r="A3" i="2"/>
  <c r="A4" i="2"/>
  <c r="A5" i="2"/>
  <c r="A6" i="2"/>
  <c r="A7" i="2"/>
  <c r="A8" i="2"/>
  <c r="A9" i="2"/>
  <c r="A10" i="2"/>
  <c r="A11" i="2"/>
  <c r="A2" i="2"/>
  <c r="CJ143" i="4" l="1"/>
  <c r="CL184" i="4"/>
  <c r="CK163" i="4"/>
  <c r="CL146" i="4"/>
  <c r="CK93" i="4"/>
  <c r="CL161" i="4"/>
  <c r="CL145" i="4"/>
  <c r="CK76" i="4"/>
  <c r="CK75" i="4"/>
  <c r="CL125" i="4"/>
  <c r="CJ127" i="4"/>
  <c r="CL181" i="4"/>
  <c r="CK127" i="4"/>
  <c r="CL59" i="4"/>
  <c r="CK167" i="4"/>
  <c r="CK181" i="4"/>
  <c r="CL186" i="4"/>
  <c r="CL156" i="4"/>
  <c r="CL105" i="4"/>
  <c r="CL157" i="4"/>
  <c r="CK95" i="4"/>
  <c r="CK43" i="4"/>
  <c r="CK81" i="4"/>
  <c r="CL159" i="4"/>
  <c r="CL130" i="4"/>
  <c r="CL150" i="4"/>
  <c r="CK58" i="4"/>
  <c r="CK83" i="4"/>
  <c r="CL85" i="4"/>
  <c r="CL57" i="4"/>
  <c r="CL52" i="4"/>
  <c r="CL40" i="4"/>
  <c r="CK70" i="4"/>
  <c r="CL88" i="4"/>
  <c r="CJ79" i="4"/>
  <c r="CL173" i="4"/>
  <c r="CK120" i="4"/>
  <c r="CL171" i="4"/>
  <c r="CK89" i="4"/>
  <c r="CL192" i="4"/>
  <c r="CL153" i="4"/>
  <c r="CL138" i="4"/>
  <c r="CK183" i="4"/>
  <c r="CK57" i="4"/>
  <c r="CL97" i="4"/>
  <c r="CK134" i="4"/>
  <c r="CL149" i="4"/>
  <c r="F2" i="2"/>
  <c r="G2" i="2"/>
  <c r="H2" i="2"/>
  <c r="I2" i="2"/>
  <c r="CL75" i="4"/>
  <c r="CK136" i="4"/>
  <c r="CJ136" i="4"/>
  <c r="CL136" i="4"/>
  <c r="CL74" i="4"/>
  <c r="CL185" i="4"/>
  <c r="CK138" i="4"/>
  <c r="CL90" i="4"/>
  <c r="CI57" i="4"/>
  <c r="CJ165" i="4"/>
  <c r="CL94" i="4"/>
  <c r="CL182" i="4"/>
  <c r="CL193" i="4"/>
  <c r="CL166" i="4"/>
  <c r="CI36" i="4"/>
  <c r="CJ34" i="4"/>
  <c r="CK111" i="4"/>
  <c r="CL38" i="4"/>
  <c r="CL121" i="4"/>
  <c r="CK144" i="4"/>
  <c r="CL179" i="4"/>
  <c r="CL100" i="4"/>
  <c r="CK140" i="4"/>
  <c r="CK62" i="4"/>
  <c r="CL73" i="4"/>
  <c r="CK41" i="4"/>
  <c r="CJ33" i="4"/>
  <c r="CK176" i="4"/>
  <c r="CK148" i="4"/>
  <c r="CL126" i="4"/>
  <c r="CK117" i="4"/>
  <c r="CL78" i="4"/>
  <c r="CL152" i="4"/>
  <c r="CL66" i="4"/>
  <c r="CJ110" i="4"/>
  <c r="CL110" i="4"/>
  <c r="CL187" i="4"/>
  <c r="CJ84" i="4"/>
  <c r="CJ36" i="4"/>
  <c r="CK152" i="4"/>
  <c r="CK186" i="4"/>
  <c r="CL140" i="4"/>
  <c r="CJ140" i="4"/>
  <c r="CK123" i="4"/>
  <c r="CJ75" i="4"/>
  <c r="CK82" i="4"/>
  <c r="CL183" i="4"/>
  <c r="CK147" i="4"/>
  <c r="CI199" i="4"/>
  <c r="CL104" i="4"/>
  <c r="CK191" i="4"/>
  <c r="CK125" i="4"/>
  <c r="CJ196" i="4"/>
  <c r="CK87" i="4"/>
  <c r="CK139" i="4"/>
  <c r="CJ139" i="4"/>
  <c r="CL190" i="4"/>
  <c r="CJ152" i="4"/>
  <c r="CL141" i="4"/>
  <c r="CL76" i="4"/>
  <c r="CK109" i="4"/>
  <c r="CJ97" i="4"/>
  <c r="CI87" i="4"/>
  <c r="CH117" i="4"/>
  <c r="CL154" i="4"/>
  <c r="CJ185" i="4"/>
  <c r="CK171" i="4"/>
  <c r="CI133" i="4"/>
  <c r="CJ148" i="4"/>
  <c r="CK99" i="4"/>
  <c r="CK94" i="4"/>
  <c r="CJ91" i="4"/>
  <c r="CJ198" i="4"/>
  <c r="CL61" i="4"/>
  <c r="CL64" i="4"/>
  <c r="CI84" i="4"/>
  <c r="CK55" i="4"/>
  <c r="CJ87" i="4"/>
  <c r="J2" i="2"/>
  <c r="CI32" i="4"/>
  <c r="K2" i="2"/>
  <c r="CJ32" i="4"/>
  <c r="CL32" i="4"/>
  <c r="CL119" i="4"/>
  <c r="CL81" i="4"/>
  <c r="CK187" i="4"/>
  <c r="CJ117" i="4"/>
  <c r="CI117" i="4"/>
  <c r="CJ160" i="4"/>
  <c r="CL160" i="4"/>
  <c r="CK154" i="4"/>
  <c r="CL137" i="4"/>
  <c r="CL50" i="4"/>
  <c r="CJ131" i="4"/>
  <c r="CK102" i="4"/>
  <c r="CL102" i="4"/>
  <c r="CJ147" i="4"/>
  <c r="CK133" i="4"/>
  <c r="CL163" i="4"/>
  <c r="CL129" i="4"/>
  <c r="CJ129" i="4"/>
  <c r="CL175" i="4"/>
  <c r="CL168" i="4"/>
  <c r="CK90" i="4"/>
  <c r="CJ90" i="4"/>
  <c r="CL191" i="4"/>
  <c r="CK85" i="4"/>
  <c r="CI51" i="4"/>
  <c r="CL51" i="4"/>
  <c r="CJ51" i="4"/>
  <c r="CI82" i="4"/>
  <c r="CI171" i="4"/>
  <c r="CK188" i="4"/>
  <c r="CK145" i="4"/>
  <c r="CL174" i="4"/>
  <c r="CI174" i="4"/>
  <c r="CK174" i="4"/>
  <c r="CL39" i="4"/>
  <c r="CK39" i="4"/>
  <c r="CJ176" i="4"/>
  <c r="CK100" i="4"/>
  <c r="CI40" i="4"/>
  <c r="CK128" i="4"/>
  <c r="CL128" i="4"/>
  <c r="CL79" i="4"/>
  <c r="CL68" i="4"/>
  <c r="CL48" i="4"/>
  <c r="CK169" i="4"/>
  <c r="CJ134" i="4"/>
  <c r="CI58" i="4"/>
  <c r="CJ199" i="4"/>
  <c r="CJ41" i="4"/>
  <c r="CK59" i="4"/>
  <c r="CJ167" i="4"/>
  <c r="CI167" i="4"/>
  <c r="CI85" i="4"/>
  <c r="CI161" i="4"/>
  <c r="CK193" i="4"/>
  <c r="CL83" i="4"/>
  <c r="CJ132" i="4"/>
  <c r="CL91" i="4"/>
  <c r="CJ64" i="4"/>
  <c r="CL43" i="4"/>
  <c r="CL176" i="4"/>
  <c r="CL35" i="4"/>
  <c r="CJ101" i="4"/>
  <c r="CK101" i="4"/>
  <c r="CK53" i="4"/>
  <c r="CL53" i="4"/>
  <c r="CJ81" i="4"/>
  <c r="CJ188" i="4"/>
  <c r="CL117" i="4"/>
  <c r="CI123" i="4"/>
  <c r="CJ123" i="4"/>
  <c r="CL62" i="4"/>
  <c r="CK185" i="4"/>
  <c r="CJ59" i="4"/>
  <c r="CJ175" i="4"/>
  <c r="CH131" i="4"/>
  <c r="CK131" i="4"/>
  <c r="CI131" i="4"/>
  <c r="CL131" i="4"/>
  <c r="CK180" i="4"/>
  <c r="CL180" i="4"/>
  <c r="CL147" i="4"/>
  <c r="CL143" i="4"/>
  <c r="CJ133" i="4"/>
  <c r="CL72" i="4"/>
  <c r="CL101" i="4"/>
  <c r="CJ159" i="4"/>
  <c r="CJ85" i="4"/>
  <c r="CL70" i="4"/>
  <c r="CL93" i="4"/>
  <c r="CI93" i="4"/>
  <c r="CK56" i="4"/>
  <c r="CH82" i="4"/>
  <c r="CK38" i="4"/>
  <c r="CJ76" i="4"/>
  <c r="CJ63" i="4"/>
  <c r="CK108" i="4"/>
  <c r="CK162" i="4"/>
  <c r="CJ162" i="4"/>
  <c r="CL162" i="4"/>
  <c r="CL169" i="4"/>
  <c r="CK68" i="4"/>
  <c r="CJ145" i="4"/>
  <c r="CJ128" i="4"/>
  <c r="CK121" i="4"/>
  <c r="CL113" i="4"/>
  <c r="CL139" i="4"/>
  <c r="CJ71" i="4"/>
  <c r="CL56" i="4"/>
  <c r="CJ58" i="4"/>
  <c r="CL199" i="4"/>
  <c r="CL41" i="4"/>
  <c r="CK115" i="4"/>
  <c r="CK77" i="4"/>
  <c r="CJ77" i="4"/>
  <c r="CL77" i="4"/>
  <c r="CI77" i="4"/>
  <c r="CJ100" i="4"/>
  <c r="CJ40" i="4"/>
  <c r="CK40" i="4"/>
  <c r="CK156" i="4"/>
  <c r="CK98" i="4"/>
  <c r="CJ98" i="4"/>
  <c r="CK177" i="4"/>
  <c r="CJ107" i="4"/>
  <c r="CK64" i="4"/>
  <c r="CK165" i="4"/>
  <c r="CJ171" i="4"/>
  <c r="CK73" i="4"/>
  <c r="CJ109" i="4"/>
  <c r="CL127" i="4"/>
  <c r="CL63" i="4"/>
  <c r="CK132" i="4"/>
  <c r="CL132" i="4"/>
  <c r="CK141" i="4"/>
  <c r="CL108" i="4"/>
  <c r="CL164" i="4"/>
  <c r="CK84" i="4"/>
  <c r="CL54" i="4"/>
  <c r="CK54" i="4"/>
  <c r="CJ54" i="4"/>
  <c r="CL89" i="4"/>
  <c r="CJ89" i="4"/>
  <c r="CK44" i="4"/>
  <c r="CL44" i="4"/>
  <c r="CK159" i="4"/>
  <c r="CL158" i="4"/>
  <c r="CK158" i="4"/>
  <c r="CJ93" i="4"/>
  <c r="CI89" i="4"/>
  <c r="CK46" i="4"/>
  <c r="CJ82" i="4"/>
  <c r="CL109" i="4"/>
  <c r="CL55" i="4"/>
  <c r="CJ55" i="4"/>
  <c r="CI108" i="4"/>
  <c r="CK172" i="4"/>
  <c r="CL172" i="4"/>
  <c r="CJ177" i="4"/>
  <c r="CL167" i="4"/>
  <c r="CJ135" i="4"/>
  <c r="CJ193" i="4"/>
  <c r="CL177" i="4"/>
  <c r="CL107" i="4"/>
  <c r="CH107" i="4"/>
  <c r="CK105" i="4"/>
  <c r="CL165" i="4"/>
  <c r="CK91" i="4"/>
  <c r="CH51" i="4"/>
  <c r="CI107" i="4"/>
  <c r="CJ174" i="4"/>
  <c r="CK184" i="4"/>
  <c r="CL36" i="4"/>
  <c r="CL47" i="4"/>
  <c r="CJ47" i="4"/>
  <c r="CK47" i="4"/>
  <c r="CL95" i="4"/>
  <c r="CK45" i="4"/>
  <c r="CL45" i="4"/>
  <c r="CJ45" i="4"/>
  <c r="CJ141" i="4"/>
  <c r="CL84" i="4"/>
  <c r="CJ102" i="4"/>
  <c r="CK135" i="4"/>
  <c r="CL135" i="4"/>
  <c r="CI197" i="4"/>
  <c r="CJ197" i="4"/>
  <c r="CL197" i="4"/>
  <c r="CK197" i="4"/>
  <c r="CH197" i="4"/>
  <c r="CK166" i="4"/>
  <c r="CJ92" i="4"/>
  <c r="CL92" i="4"/>
  <c r="CI92" i="4"/>
  <c r="CK92" i="4"/>
  <c r="CL133" i="4"/>
  <c r="CL103" i="4"/>
  <c r="CK103" i="4"/>
  <c r="CH108" i="4"/>
  <c r="CK199" i="4"/>
  <c r="CL111" i="4"/>
  <c r="CK104" i="4"/>
  <c r="CK42" i="4"/>
  <c r="CL42" i="4"/>
  <c r="CL106" i="4"/>
  <c r="CJ106" i="4"/>
  <c r="CJ70" i="4"/>
  <c r="CI56" i="4"/>
  <c r="CJ46" i="4"/>
  <c r="CL46" i="4"/>
  <c r="CL82" i="4"/>
  <c r="CK66" i="4"/>
  <c r="CJ43" i="4"/>
  <c r="CK63" i="4"/>
  <c r="CJ99" i="4"/>
  <c r="CL99" i="4"/>
  <c r="CL178" i="4"/>
  <c r="CJ156" i="4"/>
  <c r="CK51" i="4"/>
  <c r="CJ172" i="4"/>
  <c r="CK48" i="4"/>
  <c r="CJ113" i="4"/>
  <c r="CJ189" i="4"/>
  <c r="CL189" i="4"/>
  <c r="CK189" i="4"/>
  <c r="CL87" i="4"/>
  <c r="CL71" i="4"/>
  <c r="CL134" i="4"/>
  <c r="CK97" i="4"/>
  <c r="CL58" i="4"/>
  <c r="CK161" i="4"/>
  <c r="CK52" i="4"/>
  <c r="CL115" i="4"/>
  <c r="CK198" i="4"/>
  <c r="CL198" i="4"/>
  <c r="CI156" i="4"/>
  <c r="CL98" i="4"/>
  <c r="CL170" i="4"/>
  <c r="CI113" i="4"/>
  <c r="CI132" i="4"/>
  <c r="CK107" i="4"/>
  <c r="CI61" i="4"/>
  <c r="CJ61" i="4"/>
  <c r="CK61" i="4"/>
  <c r="CK78" i="4"/>
  <c r="CH198" i="4"/>
  <c r="CJ121" i="4"/>
  <c r="CL123" i="4"/>
  <c r="CI109" i="4"/>
  <c r="CJ56" i="4"/>
  <c r="CI34" i="4"/>
  <c r="CL37" i="4"/>
  <c r="CI37" i="4"/>
  <c r="CL34" i="4"/>
  <c r="CK34" i="4"/>
  <c r="CH33" i="4"/>
  <c r="CK36" i="4"/>
  <c r="CK33" i="4"/>
  <c r="CI33" i="4"/>
  <c r="CL33" i="4"/>
  <c r="CK37" i="4"/>
  <c r="CK35" i="4"/>
  <c r="CK32" i="4"/>
  <c r="CI35" i="4"/>
  <c r="CJ37" i="4"/>
  <c r="F3" i="2"/>
  <c r="I3" i="2"/>
  <c r="F4" i="2"/>
  <c r="I4" i="2"/>
  <c r="F5" i="2"/>
  <c r="I5" i="2"/>
  <c r="F6" i="2"/>
  <c r="I6" i="2"/>
  <c r="F7" i="2"/>
  <c r="I7" i="2"/>
  <c r="F8" i="2"/>
  <c r="I8" i="2"/>
  <c r="F9" i="2"/>
  <c r="I9" i="2"/>
  <c r="F10" i="2"/>
  <c r="I10" i="2"/>
  <c r="F11" i="2"/>
  <c r="I11" i="2"/>
  <c r="F12" i="2"/>
  <c r="I12" i="2"/>
  <c r="G3" i="2"/>
  <c r="J3" i="2"/>
  <c r="G4" i="2"/>
  <c r="J4" i="2"/>
  <c r="G5" i="2"/>
  <c r="J5" i="2"/>
  <c r="G6" i="2"/>
  <c r="J6" i="2"/>
  <c r="G7" i="2"/>
  <c r="J7" i="2"/>
  <c r="G8" i="2"/>
  <c r="J8" i="2"/>
  <c r="G9" i="2"/>
  <c r="J9" i="2"/>
  <c r="G10" i="2"/>
  <c r="J10" i="2"/>
  <c r="G11" i="2"/>
  <c r="J11" i="2"/>
  <c r="G12" i="2"/>
  <c r="J12" i="2"/>
  <c r="G13" i="2"/>
  <c r="J13" i="2"/>
  <c r="G14" i="2"/>
  <c r="J14" i="2"/>
  <c r="G15" i="2"/>
  <c r="J15" i="2"/>
  <c r="G16" i="2"/>
  <c r="J16" i="2"/>
  <c r="G17" i="2"/>
  <c r="J17" i="2"/>
  <c r="G18" i="2"/>
  <c r="J18" i="2"/>
  <c r="G19" i="2"/>
  <c r="J19" i="2"/>
  <c r="G20" i="2"/>
  <c r="J20" i="2"/>
  <c r="G21" i="2"/>
  <c r="J21" i="2"/>
  <c r="G22" i="2"/>
  <c r="J22" i="2"/>
  <c r="G23" i="2"/>
  <c r="J23" i="2"/>
  <c r="G24" i="2"/>
  <c r="J24" i="2"/>
  <c r="G25" i="2"/>
  <c r="J25" i="2"/>
  <c r="G26" i="2"/>
  <c r="J26" i="2"/>
  <c r="G27" i="2"/>
  <c r="J27" i="2"/>
  <c r="G28" i="2"/>
  <c r="J28" i="2"/>
  <c r="G29" i="2"/>
  <c r="J29" i="2"/>
  <c r="G30" i="2"/>
  <c r="J30" i="2"/>
  <c r="G31" i="2"/>
  <c r="J31" i="2"/>
  <c r="H3" i="2"/>
  <c r="H4" i="2"/>
  <c r="H5" i="2"/>
  <c r="H6" i="2"/>
  <c r="H7" i="2"/>
  <c r="H8" i="2"/>
  <c r="H9" i="2"/>
  <c r="H10" i="2"/>
  <c r="H11" i="2"/>
  <c r="H12" i="2"/>
  <c r="F13" i="2"/>
  <c r="F15" i="2"/>
  <c r="F17" i="2"/>
  <c r="F19" i="2"/>
  <c r="F21" i="2"/>
  <c r="F23" i="2"/>
  <c r="F25" i="2"/>
  <c r="F27" i="2"/>
  <c r="F29" i="2"/>
  <c r="F31" i="2"/>
  <c r="K4" i="2"/>
  <c r="K6" i="2"/>
  <c r="K9" i="2"/>
  <c r="K12" i="2"/>
  <c r="K14" i="2"/>
  <c r="K16" i="2"/>
  <c r="H13" i="2"/>
  <c r="K13" i="2"/>
  <c r="I14" i="2"/>
  <c r="H15" i="2"/>
  <c r="K15" i="2"/>
  <c r="I16" i="2"/>
  <c r="H17" i="2"/>
  <c r="K17" i="2"/>
  <c r="I18" i="2"/>
  <c r="H19" i="2"/>
  <c r="K19" i="2"/>
  <c r="I20" i="2"/>
  <c r="H21" i="2"/>
  <c r="K21" i="2"/>
  <c r="I22" i="2"/>
  <c r="H23" i="2"/>
  <c r="K23" i="2"/>
  <c r="I24" i="2"/>
  <c r="H25" i="2"/>
  <c r="K25" i="2"/>
  <c r="I26" i="2"/>
  <c r="H27" i="2"/>
  <c r="K27" i="2"/>
  <c r="I28" i="2"/>
  <c r="H29" i="2"/>
  <c r="K29" i="2"/>
  <c r="I30" i="2"/>
  <c r="H31" i="2"/>
  <c r="K31" i="2"/>
  <c r="K5" i="2"/>
  <c r="K8" i="2"/>
  <c r="K11" i="2"/>
  <c r="H14" i="2"/>
  <c r="H16" i="2"/>
  <c r="H18" i="2"/>
  <c r="F14" i="2"/>
  <c r="F16" i="2"/>
  <c r="F18" i="2"/>
  <c r="F20" i="2"/>
  <c r="F22" i="2"/>
  <c r="F24" i="2"/>
  <c r="F26" i="2"/>
  <c r="F28" i="2"/>
  <c r="F30" i="2"/>
  <c r="K3" i="2"/>
  <c r="K7" i="2"/>
  <c r="K10" i="2"/>
  <c r="I13" i="2"/>
  <c r="I15" i="2"/>
  <c r="I17" i="2"/>
  <c r="K18" i="2"/>
  <c r="I19" i="2"/>
  <c r="H22" i="2"/>
  <c r="K24" i="2"/>
  <c r="I27" i="2"/>
  <c r="H30" i="2"/>
  <c r="H26" i="2"/>
  <c r="K28" i="2"/>
  <c r="H20" i="2"/>
  <c r="K22" i="2"/>
  <c r="I25" i="2"/>
  <c r="H28" i="2"/>
  <c r="K30" i="2"/>
  <c r="K20" i="2"/>
  <c r="I23" i="2"/>
  <c r="I31" i="2"/>
  <c r="I21" i="2"/>
  <c r="H24" i="2"/>
  <c r="K26" i="2"/>
  <c r="I29" i="2"/>
  <c r="A31" i="3"/>
  <c r="A27" i="3"/>
  <c r="A28" i="3"/>
  <c r="A29" i="3"/>
  <c r="A30" i="3"/>
  <c r="A22" i="3"/>
  <c r="A23" i="3"/>
  <c r="A24" i="3"/>
  <c r="A25" i="3"/>
  <c r="A26" i="3"/>
  <c r="A21" i="3" l="1"/>
  <c r="A5" i="3"/>
  <c r="A6" i="3"/>
  <c r="A7" i="3"/>
  <c r="A8" i="3"/>
  <c r="A9" i="3"/>
  <c r="A10" i="3"/>
  <c r="A11" i="3"/>
  <c r="A12" i="3"/>
  <c r="A13" i="3"/>
  <c r="A14" i="3"/>
  <c r="A15" i="3"/>
  <c r="A16" i="3"/>
  <c r="A17" i="3"/>
  <c r="A18" i="3"/>
  <c r="A19" i="3"/>
  <c r="A20" i="3"/>
  <c r="A3" i="3"/>
  <c r="A4" i="3"/>
  <c r="A2" i="3"/>
  <c r="B3" i="13"/>
  <c r="A3" i="13" s="1"/>
  <c r="G1" i="1" l="1"/>
  <c r="K1" i="1"/>
  <c r="O1" i="1"/>
  <c r="S1" i="1"/>
  <c r="W1" i="1"/>
  <c r="AA1" i="1"/>
  <c r="AE1" i="1"/>
  <c r="AI1" i="1"/>
  <c r="AM1" i="1"/>
  <c r="AQ1" i="1"/>
  <c r="AU1" i="1"/>
  <c r="AY1" i="1"/>
  <c r="H1" i="1"/>
  <c r="L1" i="1"/>
  <c r="P1" i="1"/>
  <c r="T1" i="1"/>
  <c r="X1" i="1"/>
  <c r="AB1" i="1"/>
  <c r="AF1" i="1"/>
  <c r="AJ1" i="1"/>
  <c r="AN1" i="1"/>
  <c r="AR1" i="1"/>
  <c r="AV1" i="1"/>
  <c r="AZ1" i="1"/>
  <c r="E1" i="1"/>
  <c r="I1" i="1"/>
  <c r="M1" i="1"/>
  <c r="Q1" i="1"/>
  <c r="U1" i="1"/>
  <c r="Y1" i="1"/>
  <c r="AC1" i="1"/>
  <c r="AG1" i="1"/>
  <c r="AK1" i="1"/>
  <c r="AO1" i="1"/>
  <c r="AS1" i="1"/>
  <c r="AW1" i="1"/>
  <c r="BA1" i="1"/>
  <c r="F1" i="1"/>
  <c r="J1" i="1"/>
  <c r="N1" i="1"/>
  <c r="R1" i="1"/>
  <c r="V1" i="1"/>
  <c r="Z1" i="1"/>
  <c r="AD1" i="1"/>
  <c r="AH1" i="1"/>
  <c r="AL1" i="1"/>
  <c r="AP1" i="1"/>
  <c r="AT1" i="1"/>
  <c r="AX1" i="1"/>
  <c r="BB1" i="1"/>
  <c r="AW1" i="4"/>
  <c r="AW1" i="11" s="1"/>
  <c r="AW1" i="12" s="1"/>
  <c r="AW1" i="13" s="1"/>
  <c r="AK1" i="4"/>
  <c r="AK1" i="11" s="1"/>
  <c r="AK1" i="12" s="1"/>
  <c r="AK1" i="13" s="1"/>
  <c r="U1" i="4"/>
  <c r="U1" i="11" s="1"/>
  <c r="U1" i="12" s="1"/>
  <c r="U1" i="13" s="1"/>
  <c r="I1" i="4"/>
  <c r="I1" i="11" s="1"/>
  <c r="I1" i="12" s="1"/>
  <c r="I1" i="13" s="1"/>
  <c r="AZ1" i="4"/>
  <c r="AZ1" i="11" s="1"/>
  <c r="AZ1" i="12" s="1"/>
  <c r="AZ1" i="13" s="1"/>
  <c r="AV1" i="4"/>
  <c r="AV1" i="11" s="1"/>
  <c r="AV1" i="12" s="1"/>
  <c r="AV1" i="13" s="1"/>
  <c r="AR1" i="4"/>
  <c r="AR1" i="11" s="1"/>
  <c r="AR1" i="12" s="1"/>
  <c r="AR1" i="13" s="1"/>
  <c r="AN1" i="4"/>
  <c r="AN1" i="11" s="1"/>
  <c r="AN1" i="12" s="1"/>
  <c r="AN1" i="13" s="1"/>
  <c r="AJ1" i="4"/>
  <c r="AJ1" i="11" s="1"/>
  <c r="AJ1" i="12" s="1"/>
  <c r="AJ1" i="13" s="1"/>
  <c r="AF1" i="4"/>
  <c r="AF1" i="11" s="1"/>
  <c r="AF1" i="12" s="1"/>
  <c r="AF1" i="13" s="1"/>
  <c r="AB1" i="4"/>
  <c r="AB1" i="11" s="1"/>
  <c r="AB1" i="12" s="1"/>
  <c r="AB1" i="13" s="1"/>
  <c r="X1" i="4"/>
  <c r="X1" i="11" s="1"/>
  <c r="X1" i="12" s="1"/>
  <c r="X1" i="13" s="1"/>
  <c r="T1" i="4"/>
  <c r="T1" i="11" s="1"/>
  <c r="T1" i="12" s="1"/>
  <c r="T1" i="13" s="1"/>
  <c r="P1" i="4"/>
  <c r="P1" i="11" s="1"/>
  <c r="P1" i="12" s="1"/>
  <c r="P1" i="13" s="1"/>
  <c r="L1" i="4"/>
  <c r="L1" i="11" s="1"/>
  <c r="L1" i="12" s="1"/>
  <c r="L1" i="13" s="1"/>
  <c r="H1" i="4"/>
  <c r="H1" i="11" s="1"/>
  <c r="H1" i="12" s="1"/>
  <c r="H1" i="13" s="1"/>
  <c r="D1" i="4"/>
  <c r="D1" i="11" s="1"/>
  <c r="D1" i="12" s="1"/>
  <c r="D1" i="13" s="1"/>
  <c r="AY1" i="4"/>
  <c r="AY1" i="11" s="1"/>
  <c r="AY1" i="12" s="1"/>
  <c r="AY1" i="13" s="1"/>
  <c r="AQ1" i="4"/>
  <c r="AQ1" i="11" s="1"/>
  <c r="AQ1" i="12" s="1"/>
  <c r="AQ1" i="13" s="1"/>
  <c r="AM1" i="4"/>
  <c r="AM1" i="11" s="1"/>
  <c r="AM1" i="12" s="1"/>
  <c r="AM1" i="13" s="1"/>
  <c r="AI1" i="4"/>
  <c r="AI1" i="11" s="1"/>
  <c r="AI1" i="12" s="1"/>
  <c r="AI1" i="13" s="1"/>
  <c r="AA1" i="4"/>
  <c r="AA1" i="11" s="1"/>
  <c r="AA1" i="12" s="1"/>
  <c r="AA1" i="13" s="1"/>
  <c r="W1" i="4"/>
  <c r="W1" i="11" s="1"/>
  <c r="W1" i="12" s="1"/>
  <c r="W1" i="13" s="1"/>
  <c r="O1" i="4"/>
  <c r="O1" i="11" s="1"/>
  <c r="O1" i="12" s="1"/>
  <c r="O1" i="13" s="1"/>
  <c r="G1" i="4"/>
  <c r="G1" i="11" s="1"/>
  <c r="G1" i="12" s="1"/>
  <c r="G1" i="13" s="1"/>
  <c r="AP1" i="4"/>
  <c r="AP1" i="11" s="1"/>
  <c r="AP1" i="12" s="1"/>
  <c r="AP1" i="13" s="1"/>
  <c r="Z1" i="4"/>
  <c r="Z1" i="11" s="1"/>
  <c r="Z1" i="12" s="1"/>
  <c r="Z1" i="13" s="1"/>
  <c r="N1" i="4"/>
  <c r="N1" i="11" s="1"/>
  <c r="N1" i="12" s="1"/>
  <c r="N1" i="13" s="1"/>
  <c r="BA1" i="4"/>
  <c r="BA1" i="11" s="1"/>
  <c r="BA1" i="12" s="1"/>
  <c r="BA1" i="13" s="1"/>
  <c r="AG1" i="4"/>
  <c r="AG1" i="11" s="1"/>
  <c r="AG1" i="12" s="1"/>
  <c r="AG1" i="13" s="1"/>
  <c r="Q1" i="4"/>
  <c r="Q1" i="11" s="1"/>
  <c r="Q1" i="12" s="1"/>
  <c r="Q1" i="13" s="1"/>
  <c r="AU1" i="4"/>
  <c r="AU1" i="11" s="1"/>
  <c r="AU1" i="12" s="1"/>
  <c r="AU1" i="13" s="1"/>
  <c r="AE1" i="4"/>
  <c r="AE1" i="11" s="1"/>
  <c r="AE1" i="12" s="1"/>
  <c r="AE1" i="13" s="1"/>
  <c r="S1" i="4"/>
  <c r="S1" i="11" s="1"/>
  <c r="S1" i="12" s="1"/>
  <c r="S1" i="13" s="1"/>
  <c r="K1" i="4"/>
  <c r="K1" i="11" s="1"/>
  <c r="K1" i="12" s="1"/>
  <c r="K1" i="13" s="1"/>
  <c r="AX1" i="4"/>
  <c r="AX1" i="11" s="1"/>
  <c r="AX1" i="12" s="1"/>
  <c r="AX1" i="13" s="1"/>
  <c r="AT1" i="4"/>
  <c r="AT1" i="11" s="1"/>
  <c r="AT1" i="12" s="1"/>
  <c r="AT1" i="13" s="1"/>
  <c r="AH1" i="4"/>
  <c r="AH1" i="11" s="1"/>
  <c r="AH1" i="12" s="1"/>
  <c r="AH1" i="13" s="1"/>
  <c r="AD1" i="4"/>
  <c r="AD1" i="11" s="1"/>
  <c r="AD1" i="12" s="1"/>
  <c r="AD1" i="13" s="1"/>
  <c r="R1" i="4"/>
  <c r="R1" i="11" s="1"/>
  <c r="R1" i="12" s="1"/>
  <c r="R1" i="13" s="1"/>
  <c r="F1" i="4"/>
  <c r="F1" i="11" s="1"/>
  <c r="F1" i="12" s="1"/>
  <c r="F1" i="13" s="1"/>
  <c r="AO1" i="4"/>
  <c r="AO1" i="11" s="1"/>
  <c r="AO1" i="12" s="1"/>
  <c r="AO1" i="13" s="1"/>
  <c r="Y1" i="4"/>
  <c r="Y1" i="11" s="1"/>
  <c r="Y1" i="12" s="1"/>
  <c r="Y1" i="13" s="1"/>
  <c r="E1" i="4"/>
  <c r="E1" i="11" s="1"/>
  <c r="E1" i="12" s="1"/>
  <c r="E1" i="13" s="1"/>
  <c r="AL1" i="4"/>
  <c r="AL1" i="11" s="1"/>
  <c r="AL1" i="12" s="1"/>
  <c r="AL1" i="13" s="1"/>
  <c r="V1" i="4"/>
  <c r="V1" i="11" s="1"/>
  <c r="V1" i="12" s="1"/>
  <c r="V1" i="13" s="1"/>
  <c r="J1" i="4"/>
  <c r="J1" i="11" s="1"/>
  <c r="J1" i="12" s="1"/>
  <c r="J1" i="13" s="1"/>
  <c r="AS1" i="4"/>
  <c r="AS1" i="11" s="1"/>
  <c r="AS1" i="12" s="1"/>
  <c r="AS1" i="13" s="1"/>
  <c r="AC1" i="4"/>
  <c r="AC1" i="11" s="1"/>
  <c r="AC1" i="12" s="1"/>
  <c r="AC1" i="13" s="1"/>
  <c r="M1" i="4"/>
  <c r="M1" i="11" s="1"/>
  <c r="M1" i="12" s="1"/>
  <c r="M1" i="13" s="1"/>
  <c r="D3" i="13"/>
  <c r="H3" i="13"/>
  <c r="L3" i="13"/>
  <c r="P3" i="13"/>
  <c r="T3" i="13"/>
  <c r="X3" i="13"/>
  <c r="AB3" i="13"/>
  <c r="AF3" i="13"/>
  <c r="AJ3" i="13"/>
  <c r="AN3" i="13"/>
  <c r="AR3" i="13"/>
  <c r="AV3" i="13"/>
  <c r="AZ3" i="13"/>
  <c r="E3" i="13"/>
  <c r="I3" i="13"/>
  <c r="M3" i="13"/>
  <c r="Q3" i="13"/>
  <c r="U3" i="13"/>
  <c r="Y3" i="13"/>
  <c r="AC3" i="13"/>
  <c r="AG3" i="13"/>
  <c r="AK3" i="13"/>
  <c r="AO3" i="13"/>
  <c r="AS3" i="13"/>
  <c r="AW3" i="13"/>
  <c r="BA3" i="13"/>
  <c r="C4" i="13"/>
  <c r="B4" i="13" s="1"/>
  <c r="A4" i="13" s="1"/>
  <c r="F3" i="13"/>
  <c r="J3" i="13"/>
  <c r="N3" i="13"/>
  <c r="R3" i="13"/>
  <c r="V3" i="13"/>
  <c r="Z3" i="13"/>
  <c r="AD3" i="13"/>
  <c r="AH3" i="13"/>
  <c r="AL3" i="13"/>
  <c r="AP3" i="13"/>
  <c r="AT3" i="13"/>
  <c r="AX3" i="13"/>
  <c r="G3" i="13"/>
  <c r="K3" i="13"/>
  <c r="O3" i="13"/>
  <c r="S3" i="13"/>
  <c r="W3" i="13"/>
  <c r="AA3" i="13"/>
  <c r="AE3" i="13"/>
  <c r="AI3" i="13"/>
  <c r="AM3" i="13"/>
  <c r="AQ3" i="13"/>
  <c r="AU3" i="13"/>
  <c r="AY3" i="13"/>
  <c r="C5" i="13" l="1"/>
  <c r="B5" i="13" s="1"/>
  <c r="A5" i="13" s="1"/>
  <c r="E4" i="13"/>
  <c r="I4" i="13"/>
  <c r="M4" i="13"/>
  <c r="R4" i="13"/>
  <c r="V4" i="13"/>
  <c r="Z4" i="13"/>
  <c r="AD4" i="13"/>
  <c r="AJ4" i="13"/>
  <c r="AZ4" i="13"/>
  <c r="F4" i="13"/>
  <c r="K4" i="13"/>
  <c r="Q4" i="13"/>
  <c r="W4" i="13"/>
  <c r="AB4" i="13"/>
  <c r="AG4" i="13"/>
  <c r="G4" i="13"/>
  <c r="L4" i="13"/>
  <c r="S4" i="13"/>
  <c r="X4" i="13"/>
  <c r="AC4" i="13"/>
  <c r="AN4" i="13"/>
  <c r="H4" i="13"/>
  <c r="T4" i="13"/>
  <c r="AE4" i="13"/>
  <c r="J4" i="13"/>
  <c r="U4" i="13"/>
  <c r="AF4" i="13"/>
  <c r="O4" i="13"/>
  <c r="AR4" i="13"/>
  <c r="P4" i="13"/>
  <c r="AV4" i="13"/>
  <c r="Y4" i="13"/>
  <c r="AA4" i="13"/>
  <c r="AU4" i="13"/>
  <c r="AQ4" i="13"/>
  <c r="AO4" i="13"/>
  <c r="AX4" i="13"/>
  <c r="AH4" i="13"/>
  <c r="AM4" i="13"/>
  <c r="BA4" i="13"/>
  <c r="AK4" i="13"/>
  <c r="AT4" i="13"/>
  <c r="N4" i="13"/>
  <c r="AI4" i="13"/>
  <c r="AW4" i="13"/>
  <c r="AP4" i="13"/>
  <c r="D4" i="13"/>
  <c r="AY4" i="13"/>
  <c r="AS4" i="13"/>
  <c r="AL4" i="13"/>
  <c r="C6" i="13" l="1"/>
  <c r="B6" i="13" s="1"/>
  <c r="A6" i="13" s="1"/>
  <c r="H5" i="13"/>
  <c r="L5" i="13"/>
  <c r="Q5" i="13"/>
  <c r="U5" i="13"/>
  <c r="Z5" i="13"/>
  <c r="AD5" i="13"/>
  <c r="AI5" i="13"/>
  <c r="AY5" i="13"/>
  <c r="E5" i="13"/>
  <c r="J5" i="13"/>
  <c r="P5" i="13"/>
  <c r="V5" i="13"/>
  <c r="AB5" i="13"/>
  <c r="AG5" i="13"/>
  <c r="F5" i="13"/>
  <c r="K5" i="13"/>
  <c r="R5" i="13"/>
  <c r="W5" i="13"/>
  <c r="AC5" i="13"/>
  <c r="AM5" i="13"/>
  <c r="G5" i="13"/>
  <c r="S5" i="13"/>
  <c r="AE5" i="13"/>
  <c r="I5" i="13"/>
  <c r="T5" i="13"/>
  <c r="AF5" i="13"/>
  <c r="Y5" i="13"/>
  <c r="AA5" i="13"/>
  <c r="AQ5" i="13"/>
  <c r="AU5" i="13"/>
  <c r="M5" i="13"/>
  <c r="O5" i="13"/>
  <c r="AX5" i="13"/>
  <c r="AP5" i="13"/>
  <c r="AZ5" i="13"/>
  <c r="AR5" i="13"/>
  <c r="AW5" i="13"/>
  <c r="D5" i="13"/>
  <c r="AT5" i="13"/>
  <c r="AL5" i="13"/>
  <c r="AN5" i="13"/>
  <c r="AS5" i="13"/>
  <c r="AH5" i="13"/>
  <c r="AJ5" i="13"/>
  <c r="X5" i="13"/>
  <c r="AO5" i="13"/>
  <c r="N5" i="13"/>
  <c r="AV5" i="13"/>
  <c r="BA5" i="13"/>
  <c r="AK5" i="13"/>
  <c r="C7" i="13" l="1"/>
  <c r="B7" i="13" s="1"/>
  <c r="A7" i="13" s="1"/>
  <c r="H6" i="13"/>
  <c r="L6" i="13"/>
  <c r="P6" i="13"/>
  <c r="T6" i="13"/>
  <c r="Y6" i="13"/>
  <c r="AC6" i="13"/>
  <c r="AG6" i="13"/>
  <c r="AT6" i="13"/>
  <c r="E6" i="13"/>
  <c r="J6" i="13"/>
  <c r="O6" i="13"/>
  <c r="U6" i="13"/>
  <c r="AA6" i="13"/>
  <c r="AF6" i="13"/>
  <c r="AX6" i="13"/>
  <c r="F6" i="13"/>
  <c r="K6" i="13"/>
  <c r="Q6" i="13"/>
  <c r="V6" i="13"/>
  <c r="AB6" i="13"/>
  <c r="AH6" i="13"/>
  <c r="G6" i="13"/>
  <c r="R6" i="13"/>
  <c r="AD6" i="13"/>
  <c r="I6" i="13"/>
  <c r="S6" i="13"/>
  <c r="AE6" i="13"/>
  <c r="M6" i="13"/>
  <c r="AL6" i="13"/>
  <c r="N6" i="13"/>
  <c r="AP6" i="13"/>
  <c r="W6" i="13"/>
  <c r="Z6" i="13"/>
  <c r="AS6" i="13"/>
  <c r="AI6" i="13"/>
  <c r="AZ6" i="13"/>
  <c r="AV6" i="13"/>
  <c r="AU6" i="13"/>
  <c r="AR6" i="13"/>
  <c r="D6" i="13"/>
  <c r="BA6" i="13"/>
  <c r="AO6" i="13"/>
  <c r="AQ6" i="13"/>
  <c r="AN6" i="13"/>
  <c r="X6" i="13"/>
  <c r="AW6" i="13"/>
  <c r="AK6" i="13"/>
  <c r="AY6" i="13"/>
  <c r="AM6" i="13"/>
  <c r="AJ6" i="13"/>
  <c r="C8" i="13" l="1"/>
  <c r="B8" i="13" s="1"/>
  <c r="A8" i="13" s="1"/>
  <c r="G7" i="13"/>
  <c r="K7" i="13"/>
  <c r="P7" i="13"/>
  <c r="T7" i="13"/>
  <c r="X7" i="13"/>
  <c r="AB7" i="13"/>
  <c r="AF7" i="13"/>
  <c r="AN7" i="13"/>
  <c r="AV7" i="13"/>
  <c r="I7" i="13"/>
  <c r="O7" i="13"/>
  <c r="U7" i="13"/>
  <c r="Z7" i="13"/>
  <c r="AE7" i="13"/>
  <c r="AO7" i="13"/>
  <c r="AZ7" i="13"/>
  <c r="E7" i="13"/>
  <c r="J7" i="13"/>
  <c r="Q7" i="13"/>
  <c r="V7" i="13"/>
  <c r="AA7" i="13"/>
  <c r="AG7" i="13"/>
  <c r="AR7" i="13"/>
  <c r="BA7" i="13"/>
  <c r="F7" i="13"/>
  <c r="R7" i="13"/>
  <c r="AC7" i="13"/>
  <c r="AS7" i="13"/>
  <c r="H7" i="13"/>
  <c r="S7" i="13"/>
  <c r="AD7" i="13"/>
  <c r="AW7" i="13"/>
  <c r="W7" i="13"/>
  <c r="Y7" i="13"/>
  <c r="L7" i="13"/>
  <c r="M7" i="13"/>
  <c r="AJ7" i="13"/>
  <c r="AK7" i="13"/>
  <c r="AP7" i="13"/>
  <c r="AU7" i="13"/>
  <c r="AL7" i="13"/>
  <c r="AQ7" i="13"/>
  <c r="AX7" i="13"/>
  <c r="AH7" i="13"/>
  <c r="N7" i="13"/>
  <c r="AM7" i="13"/>
  <c r="D7" i="13"/>
  <c r="AT7" i="13"/>
  <c r="AY7" i="13"/>
  <c r="AI7" i="13"/>
  <c r="C9" i="13" l="1"/>
  <c r="B9" i="13" s="1"/>
  <c r="A9" i="13" s="1"/>
  <c r="G8" i="13"/>
  <c r="O8" i="13"/>
  <c r="S8" i="13"/>
  <c r="AA8" i="13"/>
  <c r="AI8" i="13"/>
  <c r="AQ8" i="13"/>
  <c r="AY8" i="13"/>
  <c r="L8" i="13"/>
  <c r="T8" i="13"/>
  <c r="AE8" i="13"/>
  <c r="AN8" i="13"/>
  <c r="AZ8" i="13"/>
  <c r="P8" i="13"/>
  <c r="W8" i="13"/>
  <c r="AF8" i="13"/>
  <c r="AR8" i="13"/>
  <c r="Q8" i="13"/>
  <c r="AJ8" i="13"/>
  <c r="R8" i="13"/>
  <c r="AM8" i="13"/>
  <c r="H8" i="13"/>
  <c r="AU8" i="13"/>
  <c r="K8" i="13"/>
  <c r="AV8" i="13"/>
  <c r="X8" i="13"/>
  <c r="AB8" i="13"/>
  <c r="AW8" i="13"/>
  <c r="AP8" i="13"/>
  <c r="J8" i="13"/>
  <c r="D8" i="13"/>
  <c r="BA8" i="13"/>
  <c r="AS8" i="13"/>
  <c r="M8" i="13"/>
  <c r="E8" i="13"/>
  <c r="AL8" i="13"/>
  <c r="Z8" i="13"/>
  <c r="F8" i="13"/>
  <c r="AO8" i="13"/>
  <c r="AG8" i="13"/>
  <c r="Y8" i="13"/>
  <c r="I8" i="13"/>
  <c r="AX8" i="13"/>
  <c r="AH8" i="13"/>
  <c r="V8" i="13"/>
  <c r="AK8" i="13"/>
  <c r="AC8" i="13"/>
  <c r="U8" i="13"/>
  <c r="AT8" i="13"/>
  <c r="AD8" i="13"/>
  <c r="N8" i="13"/>
  <c r="C10" i="13" l="1"/>
  <c r="B10" i="13" s="1"/>
  <c r="A10" i="13" s="1"/>
  <c r="F9" i="13"/>
  <c r="M9" i="13"/>
  <c r="R9" i="13"/>
  <c r="Y9" i="13"/>
  <c r="AD9" i="13"/>
  <c r="AI9" i="13"/>
  <c r="AO9" i="13"/>
  <c r="AT9" i="13"/>
  <c r="AY9" i="13"/>
  <c r="I9" i="13"/>
  <c r="Q9" i="13"/>
  <c r="Z9" i="13"/>
  <c r="AG9" i="13"/>
  <c r="AM9" i="13"/>
  <c r="AU9" i="13"/>
  <c r="D9" i="13"/>
  <c r="J9" i="13"/>
  <c r="U9" i="13"/>
  <c r="AA9" i="13"/>
  <c r="AH9" i="13"/>
  <c r="AP9" i="13"/>
  <c r="AW9" i="13"/>
  <c r="E9" i="13"/>
  <c r="V9" i="13"/>
  <c r="AK9" i="13"/>
  <c r="AX9" i="13"/>
  <c r="G9" i="13"/>
  <c r="X9" i="13"/>
  <c r="AL9" i="13"/>
  <c r="BA9" i="13"/>
  <c r="AC9" i="13"/>
  <c r="AE9" i="13"/>
  <c r="AQ9" i="13"/>
  <c r="AS9" i="13"/>
  <c r="N9" i="13"/>
  <c r="P9" i="13"/>
  <c r="W9" i="13"/>
  <c r="K9" i="13"/>
  <c r="AN9" i="13"/>
  <c r="L9" i="13"/>
  <c r="S9" i="13"/>
  <c r="AZ9" i="13"/>
  <c r="AJ9" i="13"/>
  <c r="AF9" i="13"/>
  <c r="H9" i="13"/>
  <c r="AV9" i="13"/>
  <c r="AB9" i="13"/>
  <c r="O9" i="13"/>
  <c r="AR9" i="13"/>
  <c r="T9" i="13"/>
  <c r="C11" i="13" l="1"/>
  <c r="B11" i="13" s="1"/>
  <c r="A11" i="13" s="1"/>
  <c r="G10" i="13"/>
  <c r="L10" i="13"/>
  <c r="Q10" i="13"/>
  <c r="V10" i="13"/>
  <c r="AA10" i="13"/>
  <c r="AF10" i="13"/>
  <c r="AK10" i="13"/>
  <c r="AP10" i="13"/>
  <c r="AV10" i="13"/>
  <c r="BA10" i="13"/>
  <c r="E10" i="13"/>
  <c r="J10" i="13"/>
  <c r="R10" i="13"/>
  <c r="Y10" i="13"/>
  <c r="AD10" i="13"/>
  <c r="AL10" i="13"/>
  <c r="AS10" i="13"/>
  <c r="AZ10" i="13"/>
  <c r="F10" i="13"/>
  <c r="M10" i="13"/>
  <c r="T10" i="13"/>
  <c r="Z10" i="13"/>
  <c r="AG10" i="13"/>
  <c r="AN10" i="13"/>
  <c r="AT10" i="13"/>
  <c r="N10" i="13"/>
  <c r="AB10" i="13"/>
  <c r="AO10" i="13"/>
  <c r="P10" i="13"/>
  <c r="AC10" i="13"/>
  <c r="AR10" i="13"/>
  <c r="H10" i="13"/>
  <c r="AH10" i="13"/>
  <c r="I10" i="13"/>
  <c r="AJ10" i="13"/>
  <c r="AW10" i="13"/>
  <c r="AX10" i="13"/>
  <c r="U10" i="13"/>
  <c r="X10" i="13"/>
  <c r="AM10" i="13"/>
  <c r="W10" i="13"/>
  <c r="O10" i="13"/>
  <c r="K10" i="13"/>
  <c r="AY10" i="13"/>
  <c r="AI10" i="13"/>
  <c r="AU10" i="13"/>
  <c r="AQ10" i="13"/>
  <c r="AE10" i="13"/>
  <c r="S10" i="13"/>
  <c r="D10" i="13"/>
  <c r="C12" i="13" l="1"/>
  <c r="B12" i="13" s="1"/>
  <c r="A12" i="13" s="1"/>
  <c r="H11" i="13"/>
  <c r="M11" i="13"/>
  <c r="Q11" i="13"/>
  <c r="W11" i="13"/>
  <c r="AA11" i="13"/>
  <c r="AF11" i="13"/>
  <c r="AK11" i="13"/>
  <c r="AQ11" i="13"/>
  <c r="AV11" i="13"/>
  <c r="BA11" i="13"/>
  <c r="I11" i="13"/>
  <c r="O11" i="13"/>
  <c r="U11" i="13"/>
  <c r="AB11" i="13"/>
  <c r="AI11" i="13"/>
  <c r="AO11" i="13"/>
  <c r="AW11" i="13"/>
  <c r="E11" i="13"/>
  <c r="K11" i="13"/>
  <c r="P11" i="13"/>
  <c r="X11" i="13"/>
  <c r="AC11" i="13"/>
  <c r="AJ11" i="13"/>
  <c r="AR11" i="13"/>
  <c r="AY11" i="13"/>
  <c r="F11" i="13"/>
  <c r="S11" i="13"/>
  <c r="AE11" i="13"/>
  <c r="AS11" i="13"/>
  <c r="G11" i="13"/>
  <c r="T11" i="13"/>
  <c r="AG11" i="13"/>
  <c r="AU11" i="13"/>
  <c r="L11" i="13"/>
  <c r="AM11" i="13"/>
  <c r="N11" i="13"/>
  <c r="AN11" i="13"/>
  <c r="AZ11" i="13"/>
  <c r="Y11" i="13"/>
  <c r="Z11" i="13"/>
  <c r="AL11" i="13"/>
  <c r="J11" i="13"/>
  <c r="AX11" i="13"/>
  <c r="AH11" i="13"/>
  <c r="AT11" i="13"/>
  <c r="AD11" i="13"/>
  <c r="V11" i="13"/>
  <c r="D11" i="13"/>
  <c r="AP11" i="13"/>
  <c r="R11" i="13"/>
  <c r="C13" i="13" l="1"/>
  <c r="B13" i="13" s="1"/>
  <c r="A13" i="13" s="1"/>
  <c r="H12" i="13"/>
  <c r="L12" i="13"/>
  <c r="P12" i="13"/>
  <c r="T12" i="13"/>
  <c r="X12" i="13"/>
  <c r="AB12" i="13"/>
  <c r="AF12" i="13"/>
  <c r="AJ12" i="13"/>
  <c r="AN12" i="13"/>
  <c r="AR12" i="13"/>
  <c r="AV12" i="13"/>
  <c r="AZ12" i="13"/>
  <c r="F12" i="13"/>
  <c r="K12" i="13"/>
  <c r="Q12" i="13"/>
  <c r="V12" i="13"/>
  <c r="AA12" i="13"/>
  <c r="AG12" i="13"/>
  <c r="AL12" i="13"/>
  <c r="AQ12" i="13"/>
  <c r="AW12" i="13"/>
  <c r="G12" i="13"/>
  <c r="M12" i="13"/>
  <c r="R12" i="13"/>
  <c r="W12" i="13"/>
  <c r="AC12" i="13"/>
  <c r="AH12" i="13"/>
  <c r="AM12" i="13"/>
  <c r="AS12" i="13"/>
  <c r="AX12" i="13"/>
  <c r="I12" i="13"/>
  <c r="S12" i="13"/>
  <c r="AD12" i="13"/>
  <c r="AO12" i="13"/>
  <c r="AY12" i="13"/>
  <c r="J12" i="13"/>
  <c r="U12" i="13"/>
  <c r="AE12" i="13"/>
  <c r="AP12" i="13"/>
  <c r="BA12" i="13"/>
  <c r="N12" i="13"/>
  <c r="AI12" i="13"/>
  <c r="O12" i="13"/>
  <c r="AK12" i="13"/>
  <c r="AT12" i="13"/>
  <c r="E12" i="13"/>
  <c r="AU12" i="13"/>
  <c r="Y12" i="13"/>
  <c r="Z12" i="13"/>
  <c r="D12" i="13"/>
  <c r="C14" i="13" l="1"/>
  <c r="B14" i="13" s="1"/>
  <c r="A14" i="13" s="1"/>
  <c r="D13" i="13"/>
  <c r="H13" i="13"/>
  <c r="L13" i="13"/>
  <c r="P13" i="13"/>
  <c r="T13" i="13"/>
  <c r="X13" i="13"/>
  <c r="AB13" i="13"/>
  <c r="AF13" i="13"/>
  <c r="AJ13" i="13"/>
  <c r="AN13" i="13"/>
  <c r="AR13" i="13"/>
  <c r="AV13" i="13"/>
  <c r="AZ13" i="13"/>
  <c r="E13" i="13"/>
  <c r="I13" i="13"/>
  <c r="M13" i="13"/>
  <c r="Q13" i="13"/>
  <c r="U13" i="13"/>
  <c r="Y13" i="13"/>
  <c r="AC13" i="13"/>
  <c r="AG13" i="13"/>
  <c r="AK13" i="13"/>
  <c r="AO13" i="13"/>
  <c r="AS13" i="13"/>
  <c r="AW13" i="13"/>
  <c r="BA13" i="13"/>
  <c r="J13" i="13"/>
  <c r="R13" i="13"/>
  <c r="Z13" i="13"/>
  <c r="AH13" i="13"/>
  <c r="AP13" i="13"/>
  <c r="AX13" i="13"/>
  <c r="K13" i="13"/>
  <c r="S13" i="13"/>
  <c r="AA13" i="13"/>
  <c r="AI13" i="13"/>
  <c r="AQ13" i="13"/>
  <c r="AY13" i="13"/>
  <c r="F13" i="13"/>
  <c r="V13" i="13"/>
  <c r="AL13" i="13"/>
  <c r="G13" i="13"/>
  <c r="W13" i="13"/>
  <c r="AM13" i="13"/>
  <c r="AD13" i="13"/>
  <c r="AE13" i="13"/>
  <c r="N13" i="13"/>
  <c r="AT13" i="13"/>
  <c r="AU13" i="13"/>
  <c r="O13" i="13"/>
  <c r="C15" i="13" l="1"/>
  <c r="B15" i="13" s="1"/>
  <c r="A15" i="13" s="1"/>
  <c r="G14" i="13"/>
  <c r="K14" i="13"/>
  <c r="O14" i="13"/>
  <c r="S14" i="13"/>
  <c r="W14" i="13"/>
  <c r="AA14" i="13"/>
  <c r="AE14" i="13"/>
  <c r="AI14" i="13"/>
  <c r="AM14" i="13"/>
  <c r="AQ14" i="13"/>
  <c r="AU14" i="13"/>
  <c r="AY14" i="13"/>
  <c r="H14" i="13"/>
  <c r="L14" i="13"/>
  <c r="P14" i="13"/>
  <c r="T14" i="13"/>
  <c r="X14" i="13"/>
  <c r="AB14" i="13"/>
  <c r="AF14" i="13"/>
  <c r="AJ14" i="13"/>
  <c r="AN14" i="13"/>
  <c r="AR14" i="13"/>
  <c r="AV14" i="13"/>
  <c r="I14" i="13"/>
  <c r="Q14" i="13"/>
  <c r="Y14" i="13"/>
  <c r="AG14" i="13"/>
  <c r="AO14" i="13"/>
  <c r="AW14" i="13"/>
  <c r="J14" i="13"/>
  <c r="R14" i="13"/>
  <c r="Z14" i="13"/>
  <c r="AH14" i="13"/>
  <c r="AP14" i="13"/>
  <c r="AX14" i="13"/>
  <c r="E14" i="13"/>
  <c r="U14" i="13"/>
  <c r="AK14" i="13"/>
  <c r="AZ14" i="13"/>
  <c r="F14" i="13"/>
  <c r="V14" i="13"/>
  <c r="AL14" i="13"/>
  <c r="BA14" i="13"/>
  <c r="M14" i="13"/>
  <c r="AS14" i="13"/>
  <c r="N14" i="13"/>
  <c r="AT14" i="13"/>
  <c r="AC14" i="13"/>
  <c r="AD14" i="13"/>
  <c r="D14" i="13"/>
  <c r="C16" i="13" l="1"/>
  <c r="B16" i="13" s="1"/>
  <c r="A16" i="13" s="1"/>
  <c r="F15" i="13"/>
  <c r="J15" i="13"/>
  <c r="N15" i="13"/>
  <c r="R15" i="13"/>
  <c r="V15" i="13"/>
  <c r="Z15" i="13"/>
  <c r="AD15" i="13"/>
  <c r="AH15" i="13"/>
  <c r="AL15" i="13"/>
  <c r="AP15" i="13"/>
  <c r="AT15" i="13"/>
  <c r="AX15" i="13"/>
  <c r="E15" i="13"/>
  <c r="K15" i="13"/>
  <c r="P15" i="13"/>
  <c r="U15" i="13"/>
  <c r="AA15" i="13"/>
  <c r="AF15" i="13"/>
  <c r="AK15" i="13"/>
  <c r="AQ15" i="13"/>
  <c r="AV15" i="13"/>
  <c r="BA15" i="13"/>
  <c r="G15" i="13"/>
  <c r="L15" i="13"/>
  <c r="Q15" i="13"/>
  <c r="W15" i="13"/>
  <c r="AB15" i="13"/>
  <c r="AG15" i="13"/>
  <c r="AM15" i="13"/>
  <c r="AR15" i="13"/>
  <c r="AW15" i="13"/>
  <c r="M15" i="13"/>
  <c r="X15" i="13"/>
  <c r="AI15" i="13"/>
  <c r="AS15" i="13"/>
  <c r="O15" i="13"/>
  <c r="Y15" i="13"/>
  <c r="AJ15" i="13"/>
  <c r="AU15" i="13"/>
  <c r="S15" i="13"/>
  <c r="AN15" i="13"/>
  <c r="T15" i="13"/>
  <c r="AO15" i="13"/>
  <c r="H15" i="13"/>
  <c r="AC15" i="13"/>
  <c r="AY15" i="13"/>
  <c r="AZ15" i="13"/>
  <c r="I15" i="13"/>
  <c r="AE15" i="13"/>
  <c r="D15" i="13"/>
  <c r="C17" i="13" l="1"/>
  <c r="B17" i="13" s="1"/>
  <c r="A17" i="13" s="1"/>
  <c r="E16" i="13"/>
  <c r="I16" i="13"/>
  <c r="M16" i="13"/>
  <c r="Q16" i="13"/>
  <c r="U16" i="13"/>
  <c r="Y16" i="13"/>
  <c r="AC16" i="13"/>
  <c r="AG16" i="13"/>
  <c r="AK16" i="13"/>
  <c r="AO16" i="13"/>
  <c r="AS16" i="13"/>
  <c r="AW16" i="13"/>
  <c r="BA16" i="13"/>
  <c r="J16" i="13"/>
  <c r="O16" i="13"/>
  <c r="T16" i="13"/>
  <c r="Z16" i="13"/>
  <c r="AE16" i="13"/>
  <c r="AJ16" i="13"/>
  <c r="AP16" i="13"/>
  <c r="AU16" i="13"/>
  <c r="AZ16" i="13"/>
  <c r="F16" i="13"/>
  <c r="K16" i="13"/>
  <c r="P16" i="13"/>
  <c r="V16" i="13"/>
  <c r="AA16" i="13"/>
  <c r="AF16" i="13"/>
  <c r="AL16" i="13"/>
  <c r="AQ16" i="13"/>
  <c r="AV16" i="13"/>
  <c r="G16" i="13"/>
  <c r="R16" i="13"/>
  <c r="AB16" i="13"/>
  <c r="AM16" i="13"/>
  <c r="AX16" i="13"/>
  <c r="H16" i="13"/>
  <c r="S16" i="13"/>
  <c r="AD16" i="13"/>
  <c r="AN16" i="13"/>
  <c r="AY16" i="13"/>
  <c r="L16" i="13"/>
  <c r="AH16" i="13"/>
  <c r="N16" i="13"/>
  <c r="AI16" i="13"/>
  <c r="W16" i="13"/>
  <c r="AR16" i="13"/>
  <c r="X16" i="13"/>
  <c r="AT16" i="13"/>
  <c r="D16" i="13"/>
  <c r="C18" i="13" l="1"/>
  <c r="B18" i="13" s="1"/>
  <c r="A18" i="13" s="1"/>
  <c r="G17" i="13"/>
  <c r="K17" i="13"/>
  <c r="O17" i="13"/>
  <c r="H17" i="13"/>
  <c r="M17" i="13"/>
  <c r="R17" i="13"/>
  <c r="V17" i="13"/>
  <c r="Z17" i="13"/>
  <c r="AD17" i="13"/>
  <c r="AH17" i="13"/>
  <c r="AL17" i="13"/>
  <c r="AP17" i="13"/>
  <c r="AT17" i="13"/>
  <c r="AX17" i="13"/>
  <c r="D17" i="13"/>
  <c r="I17" i="13"/>
  <c r="N17" i="13"/>
  <c r="S17" i="13"/>
  <c r="W17" i="13"/>
  <c r="AA17" i="13"/>
  <c r="AE17" i="13"/>
  <c r="AI17" i="13"/>
  <c r="AM17" i="13"/>
  <c r="AQ17" i="13"/>
  <c r="AU17" i="13"/>
  <c r="AY17" i="13"/>
  <c r="J17" i="13"/>
  <c r="T17" i="13"/>
  <c r="AB17" i="13"/>
  <c r="AJ17" i="13"/>
  <c r="AR17" i="13"/>
  <c r="AZ17" i="13"/>
  <c r="L17" i="13"/>
  <c r="U17" i="13"/>
  <c r="AC17" i="13"/>
  <c r="AK17" i="13"/>
  <c r="AS17" i="13"/>
  <c r="BA17" i="13"/>
  <c r="E17" i="13"/>
  <c r="X17" i="13"/>
  <c r="AN17" i="13"/>
  <c r="F17" i="13"/>
  <c r="Y17" i="13"/>
  <c r="AO17" i="13"/>
  <c r="P17" i="13"/>
  <c r="AF17" i="13"/>
  <c r="AV17" i="13"/>
  <c r="AG17" i="13"/>
  <c r="AW17" i="13"/>
  <c r="Q17" i="13"/>
  <c r="C19" i="13" l="1"/>
  <c r="B19" i="13" s="1"/>
  <c r="A19" i="13" s="1"/>
  <c r="E18" i="13"/>
  <c r="I18" i="13"/>
  <c r="M18" i="13"/>
  <c r="Q18" i="13"/>
  <c r="U18" i="13"/>
  <c r="Y18" i="13"/>
  <c r="AC18" i="13"/>
  <c r="AG18" i="13"/>
  <c r="AK18" i="13"/>
  <c r="AO18" i="13"/>
  <c r="AS18" i="13"/>
  <c r="AW18" i="13"/>
  <c r="BA18" i="13"/>
  <c r="F18" i="13"/>
  <c r="J18" i="13"/>
  <c r="N18" i="13"/>
  <c r="R18" i="13"/>
  <c r="V18" i="13"/>
  <c r="Z18" i="13"/>
  <c r="AD18" i="13"/>
  <c r="AH18" i="13"/>
  <c r="AL18" i="13"/>
  <c r="AP18" i="13"/>
  <c r="AT18" i="13"/>
  <c r="AX18" i="13"/>
  <c r="K18" i="13"/>
  <c r="S18" i="13"/>
  <c r="AA18" i="13"/>
  <c r="AI18" i="13"/>
  <c r="AQ18" i="13"/>
  <c r="AY18" i="13"/>
  <c r="L18" i="13"/>
  <c r="T18" i="13"/>
  <c r="AB18" i="13"/>
  <c r="AJ18" i="13"/>
  <c r="AR18" i="13"/>
  <c r="AZ18" i="13"/>
  <c r="G18" i="13"/>
  <c r="W18" i="13"/>
  <c r="AM18" i="13"/>
  <c r="H18" i="13"/>
  <c r="X18" i="13"/>
  <c r="AN18" i="13"/>
  <c r="O18" i="13"/>
  <c r="AE18" i="13"/>
  <c r="AU18" i="13"/>
  <c r="AV18" i="13"/>
  <c r="P18" i="13"/>
  <c r="AF18" i="13"/>
  <c r="D18" i="13"/>
  <c r="C20" i="13" l="1"/>
  <c r="B20" i="13" s="1"/>
  <c r="A20" i="13" s="1"/>
  <c r="H19" i="13"/>
  <c r="L19" i="13"/>
  <c r="P19" i="13"/>
  <c r="T19" i="13"/>
  <c r="X19" i="13"/>
  <c r="AB19" i="13"/>
  <c r="AF19" i="13"/>
  <c r="AJ19" i="13"/>
  <c r="AN19" i="13"/>
  <c r="AR19" i="13"/>
  <c r="AV19" i="13"/>
  <c r="AZ19" i="13"/>
  <c r="E19" i="13"/>
  <c r="I19" i="13"/>
  <c r="M19" i="13"/>
  <c r="Q19" i="13"/>
  <c r="U19" i="13"/>
  <c r="Y19" i="13"/>
  <c r="AC19" i="13"/>
  <c r="AG19" i="13"/>
  <c r="AK19" i="13"/>
  <c r="AO19" i="13"/>
  <c r="AS19" i="13"/>
  <c r="AW19" i="13"/>
  <c r="BA19" i="13"/>
  <c r="J19" i="13"/>
  <c r="R19" i="13"/>
  <c r="Z19" i="13"/>
  <c r="AH19" i="13"/>
  <c r="AP19" i="13"/>
  <c r="AX19" i="13"/>
  <c r="K19" i="13"/>
  <c r="S19" i="13"/>
  <c r="AA19" i="13"/>
  <c r="AI19" i="13"/>
  <c r="AQ19" i="13"/>
  <c r="AY19" i="13"/>
  <c r="F19" i="13"/>
  <c r="V19" i="13"/>
  <c r="AL19" i="13"/>
  <c r="G19" i="13"/>
  <c r="W19" i="13"/>
  <c r="AM19" i="13"/>
  <c r="N19" i="13"/>
  <c r="AD19" i="13"/>
  <c r="AT19" i="13"/>
  <c r="O19" i="13"/>
  <c r="AE19" i="13"/>
  <c r="AU19" i="13"/>
  <c r="D19" i="13"/>
  <c r="C21" i="13" l="1"/>
  <c r="B21" i="13" s="1"/>
  <c r="A21" i="13" s="1"/>
  <c r="G20" i="13"/>
  <c r="K20" i="13"/>
  <c r="O20" i="13"/>
  <c r="S20" i="13"/>
  <c r="W20" i="13"/>
  <c r="AA20" i="13"/>
  <c r="AE20" i="13"/>
  <c r="AI20" i="13"/>
  <c r="AM20" i="13"/>
  <c r="AQ20" i="13"/>
  <c r="AU20" i="13"/>
  <c r="AY20" i="13"/>
  <c r="H20" i="13"/>
  <c r="L20" i="13"/>
  <c r="P20" i="13"/>
  <c r="T20" i="13"/>
  <c r="X20" i="13"/>
  <c r="AB20" i="13"/>
  <c r="AF20" i="13"/>
  <c r="AJ20" i="13"/>
  <c r="AN20" i="13"/>
  <c r="AR20" i="13"/>
  <c r="AV20" i="13"/>
  <c r="AZ20" i="13"/>
  <c r="I20" i="13"/>
  <c r="Q20" i="13"/>
  <c r="Y20" i="13"/>
  <c r="AG20" i="13"/>
  <c r="AO20" i="13"/>
  <c r="AW20" i="13"/>
  <c r="J20" i="13"/>
  <c r="R20" i="13"/>
  <c r="Z20" i="13"/>
  <c r="AH20" i="13"/>
  <c r="AP20" i="13"/>
  <c r="AX20" i="13"/>
  <c r="E20" i="13"/>
  <c r="U20" i="13"/>
  <c r="AK20" i="13"/>
  <c r="BA20" i="13"/>
  <c r="F20" i="13"/>
  <c r="V20" i="13"/>
  <c r="AL20" i="13"/>
  <c r="M20" i="13"/>
  <c r="AC20" i="13"/>
  <c r="AS20" i="13"/>
  <c r="N20" i="13"/>
  <c r="AD20" i="13"/>
  <c r="AT20" i="13"/>
  <c r="D20" i="13"/>
  <c r="C22" i="13" l="1"/>
  <c r="B22" i="13" s="1"/>
  <c r="A22" i="13" s="1"/>
  <c r="F21" i="13"/>
  <c r="J21" i="13"/>
  <c r="N21" i="13"/>
  <c r="R21" i="13"/>
  <c r="V21" i="13"/>
  <c r="Z21" i="13"/>
  <c r="AD21" i="13"/>
  <c r="AH21" i="13"/>
  <c r="AL21" i="13"/>
  <c r="AP21" i="13"/>
  <c r="AT21" i="13"/>
  <c r="AX21" i="13"/>
  <c r="G21" i="13"/>
  <c r="K21" i="13"/>
  <c r="O21" i="13"/>
  <c r="S21" i="13"/>
  <c r="W21" i="13"/>
  <c r="AA21" i="13"/>
  <c r="AE21" i="13"/>
  <c r="AI21" i="13"/>
  <c r="AM21" i="13"/>
  <c r="AQ21" i="13"/>
  <c r="AU21" i="13"/>
  <c r="AY21" i="13"/>
  <c r="H21" i="13"/>
  <c r="P21" i="13"/>
  <c r="X21" i="13"/>
  <c r="AF21" i="13"/>
  <c r="AN21" i="13"/>
  <c r="AV21" i="13"/>
  <c r="I21" i="13"/>
  <c r="Q21" i="13"/>
  <c r="Y21" i="13"/>
  <c r="AG21" i="13"/>
  <c r="AO21" i="13"/>
  <c r="AW21" i="13"/>
  <c r="T21" i="13"/>
  <c r="AJ21" i="13"/>
  <c r="AZ21" i="13"/>
  <c r="E21" i="13"/>
  <c r="U21" i="13"/>
  <c r="AK21" i="13"/>
  <c r="BA21" i="13"/>
  <c r="L21" i="13"/>
  <c r="AB21" i="13"/>
  <c r="AR21" i="13"/>
  <c r="AC21" i="13"/>
  <c r="AS21" i="13"/>
  <c r="M21" i="13"/>
  <c r="D21" i="13"/>
  <c r="E22" i="13" l="1"/>
  <c r="I22" i="13"/>
  <c r="M22" i="13"/>
  <c r="Q22" i="13"/>
  <c r="U22" i="13"/>
  <c r="Y22" i="13"/>
  <c r="AC22" i="13"/>
  <c r="AG22" i="13"/>
  <c r="AK22" i="13"/>
  <c r="AO22" i="13"/>
  <c r="AS22" i="13"/>
  <c r="AW22" i="13"/>
  <c r="BA22" i="13"/>
  <c r="F22" i="13"/>
  <c r="J22" i="13"/>
  <c r="N22" i="13"/>
  <c r="R22" i="13"/>
  <c r="V22" i="13"/>
  <c r="Z22" i="13"/>
  <c r="AD22" i="13"/>
  <c r="AH22" i="13"/>
  <c r="AL22" i="13"/>
  <c r="AP22" i="13"/>
  <c r="AT22" i="13"/>
  <c r="AX22" i="13"/>
  <c r="G22" i="13"/>
  <c r="O22" i="13"/>
  <c r="W22" i="13"/>
  <c r="AE22" i="13"/>
  <c r="AM22" i="13"/>
  <c r="AU22" i="13"/>
  <c r="H22" i="13"/>
  <c r="P22" i="13"/>
  <c r="X22" i="13"/>
  <c r="AF22" i="13"/>
  <c r="AN22" i="13"/>
  <c r="AV22" i="13"/>
  <c r="S22" i="13"/>
  <c r="AI22" i="13"/>
  <c r="AY22" i="13"/>
  <c r="T22" i="13"/>
  <c r="AJ22" i="13"/>
  <c r="AZ22" i="13"/>
  <c r="K22" i="13"/>
  <c r="AA22" i="13"/>
  <c r="AQ22" i="13"/>
  <c r="AR22" i="13"/>
  <c r="L22" i="13"/>
  <c r="AB22" i="13"/>
  <c r="C23" i="13"/>
  <c r="B23" i="13" s="1"/>
  <c r="A23" i="13" s="1"/>
  <c r="D22" i="13"/>
  <c r="H23" i="13" l="1"/>
  <c r="L23" i="13"/>
  <c r="P23" i="13"/>
  <c r="T23" i="13"/>
  <c r="X23" i="13"/>
  <c r="AB23" i="13"/>
  <c r="AF23" i="13"/>
  <c r="AJ23" i="13"/>
  <c r="AN23" i="13"/>
  <c r="AR23" i="13"/>
  <c r="AV23" i="13"/>
  <c r="AZ23" i="13"/>
  <c r="E23" i="13"/>
  <c r="I23" i="13"/>
  <c r="M23" i="13"/>
  <c r="Q23" i="13"/>
  <c r="U23" i="13"/>
  <c r="Y23" i="13"/>
  <c r="AC23" i="13"/>
  <c r="AG23" i="13"/>
  <c r="AK23" i="13"/>
  <c r="AO23" i="13"/>
  <c r="AS23" i="13"/>
  <c r="AW23" i="13"/>
  <c r="BA23" i="13"/>
  <c r="F23" i="13"/>
  <c r="N23" i="13"/>
  <c r="V23" i="13"/>
  <c r="AD23" i="13"/>
  <c r="AL23" i="13"/>
  <c r="AT23" i="13"/>
  <c r="G23" i="13"/>
  <c r="O23" i="13"/>
  <c r="W23" i="13"/>
  <c r="AE23" i="13"/>
  <c r="AM23" i="13"/>
  <c r="AU23" i="13"/>
  <c r="R23" i="13"/>
  <c r="AH23" i="13"/>
  <c r="AX23" i="13"/>
  <c r="S23" i="13"/>
  <c r="AI23" i="13"/>
  <c r="AY23" i="13"/>
  <c r="J23" i="13"/>
  <c r="Z23" i="13"/>
  <c r="AP23" i="13"/>
  <c r="K23" i="13"/>
  <c r="AA23" i="13"/>
  <c r="AQ23" i="13"/>
  <c r="D23" i="13"/>
  <c r="C24" i="13"/>
  <c r="B24" i="13" s="1"/>
  <c r="A24" i="13" s="1"/>
  <c r="G24" i="13" l="1"/>
  <c r="K24" i="13"/>
  <c r="O24" i="13"/>
  <c r="S24" i="13"/>
  <c r="W24" i="13"/>
  <c r="AA24" i="13"/>
  <c r="AE24" i="13"/>
  <c r="AI24" i="13"/>
  <c r="AM24" i="13"/>
  <c r="AQ24" i="13"/>
  <c r="AU24" i="13"/>
  <c r="AY24" i="13"/>
  <c r="H24" i="13"/>
  <c r="L24" i="13"/>
  <c r="P24" i="13"/>
  <c r="T24" i="13"/>
  <c r="X24" i="13"/>
  <c r="AB24" i="13"/>
  <c r="AF24" i="13"/>
  <c r="AJ24" i="13"/>
  <c r="AN24" i="13"/>
  <c r="AR24" i="13"/>
  <c r="AV24" i="13"/>
  <c r="AZ24" i="13"/>
  <c r="E24" i="13"/>
  <c r="M24" i="13"/>
  <c r="U24" i="13"/>
  <c r="AC24" i="13"/>
  <c r="AK24" i="13"/>
  <c r="AS24" i="13"/>
  <c r="BA24" i="13"/>
  <c r="F24" i="13"/>
  <c r="N24" i="13"/>
  <c r="V24" i="13"/>
  <c r="AD24" i="13"/>
  <c r="AL24" i="13"/>
  <c r="AT24" i="13"/>
  <c r="Q24" i="13"/>
  <c r="AG24" i="13"/>
  <c r="AW24" i="13"/>
  <c r="R24" i="13"/>
  <c r="AH24" i="13"/>
  <c r="AX24" i="13"/>
  <c r="I24" i="13"/>
  <c r="Y24" i="13"/>
  <c r="AO24" i="13"/>
  <c r="J24" i="13"/>
  <c r="Z24" i="13"/>
  <c r="AP24" i="13"/>
  <c r="D24" i="13"/>
  <c r="C25" i="13"/>
  <c r="B25" i="13" s="1"/>
  <c r="A25" i="13" s="1"/>
  <c r="F25" i="13" l="1"/>
  <c r="J25" i="13"/>
  <c r="N25" i="13"/>
  <c r="R25" i="13"/>
  <c r="V25" i="13"/>
  <c r="Z25" i="13"/>
  <c r="AD25" i="13"/>
  <c r="AH25" i="13"/>
  <c r="AL25" i="13"/>
  <c r="AP25" i="13"/>
  <c r="AT25" i="13"/>
  <c r="G25" i="13"/>
  <c r="K25" i="13"/>
  <c r="O25" i="13"/>
  <c r="S25" i="13"/>
  <c r="W25" i="13"/>
  <c r="AA25" i="13"/>
  <c r="AE25" i="13"/>
  <c r="L25" i="13"/>
  <c r="T25" i="13"/>
  <c r="AB25" i="13"/>
  <c r="AI25" i="13"/>
  <c r="AN25" i="13"/>
  <c r="AS25" i="13"/>
  <c r="AX25" i="13"/>
  <c r="E25" i="13"/>
  <c r="M25" i="13"/>
  <c r="U25" i="13"/>
  <c r="AC25" i="13"/>
  <c r="AJ25" i="13"/>
  <c r="AO25" i="13"/>
  <c r="AU25" i="13"/>
  <c r="AY25" i="13"/>
  <c r="P25" i="13"/>
  <c r="AF25" i="13"/>
  <c r="AQ25" i="13"/>
  <c r="AZ25" i="13"/>
  <c r="Q25" i="13"/>
  <c r="AG25" i="13"/>
  <c r="AR25" i="13"/>
  <c r="BA25" i="13"/>
  <c r="H25" i="13"/>
  <c r="X25" i="13"/>
  <c r="AK25" i="13"/>
  <c r="AV25" i="13"/>
  <c r="Y25" i="13"/>
  <c r="AM25" i="13"/>
  <c r="AW25" i="13"/>
  <c r="I25" i="13"/>
  <c r="D25" i="13"/>
  <c r="C26" i="13"/>
  <c r="B26" i="13" s="1"/>
  <c r="A26" i="13" s="1"/>
  <c r="E26" i="13" l="1"/>
  <c r="I26" i="13"/>
  <c r="M26" i="13"/>
  <c r="Q26" i="13"/>
  <c r="U26" i="13"/>
  <c r="Y26" i="13"/>
  <c r="AC26" i="13"/>
  <c r="AG26" i="13"/>
  <c r="AK26" i="13"/>
  <c r="AO26" i="13"/>
  <c r="AS26" i="13"/>
  <c r="AW26" i="13"/>
  <c r="BA26" i="13"/>
  <c r="F26" i="13"/>
  <c r="J26" i="13"/>
  <c r="N26" i="13"/>
  <c r="R26" i="13"/>
  <c r="V26" i="13"/>
  <c r="Z26" i="13"/>
  <c r="AD26" i="13"/>
  <c r="AH26" i="13"/>
  <c r="AL26" i="13"/>
  <c r="AP26" i="13"/>
  <c r="AT26" i="13"/>
  <c r="AX26" i="13"/>
  <c r="K26" i="13"/>
  <c r="S26" i="13"/>
  <c r="AA26" i="13"/>
  <c r="AI26" i="13"/>
  <c r="AQ26" i="13"/>
  <c r="AY26" i="13"/>
  <c r="L26" i="13"/>
  <c r="T26" i="13"/>
  <c r="AB26" i="13"/>
  <c r="AJ26" i="13"/>
  <c r="AR26" i="13"/>
  <c r="AZ26" i="13"/>
  <c r="G26" i="13"/>
  <c r="O26" i="13"/>
  <c r="W26" i="13"/>
  <c r="AE26" i="13"/>
  <c r="AM26" i="13"/>
  <c r="AU26" i="13"/>
  <c r="P26" i="13"/>
  <c r="AV26" i="13"/>
  <c r="X26" i="13"/>
  <c r="AF26" i="13"/>
  <c r="H26" i="13"/>
  <c r="AN26" i="13"/>
  <c r="D26" i="13"/>
  <c r="C27" i="13"/>
  <c r="B27" i="13" s="1"/>
  <c r="A27" i="13" s="1"/>
  <c r="H27" i="13" l="1"/>
  <c r="L27" i="13"/>
  <c r="P27" i="13"/>
  <c r="T27" i="13"/>
  <c r="X27" i="13"/>
  <c r="AB27" i="13"/>
  <c r="AF27" i="13"/>
  <c r="AJ27" i="13"/>
  <c r="AN27" i="13"/>
  <c r="AR27" i="13"/>
  <c r="AV27" i="13"/>
  <c r="AZ27" i="13"/>
  <c r="E27" i="13"/>
  <c r="I27" i="13"/>
  <c r="M27" i="13"/>
  <c r="Q27" i="13"/>
  <c r="U27" i="13"/>
  <c r="Y27" i="13"/>
  <c r="AC27" i="13"/>
  <c r="AG27" i="13"/>
  <c r="AK27" i="13"/>
  <c r="AO27" i="13"/>
  <c r="AS27" i="13"/>
  <c r="AW27" i="13"/>
  <c r="BA27" i="13"/>
  <c r="J27" i="13"/>
  <c r="R27" i="13"/>
  <c r="Z27" i="13"/>
  <c r="AH27" i="13"/>
  <c r="AP27" i="13"/>
  <c r="AX27" i="13"/>
  <c r="K27" i="13"/>
  <c r="S27" i="13"/>
  <c r="AA27" i="13"/>
  <c r="AI27" i="13"/>
  <c r="AQ27" i="13"/>
  <c r="AY27" i="13"/>
  <c r="F27" i="13"/>
  <c r="N27" i="13"/>
  <c r="V27" i="13"/>
  <c r="AD27" i="13"/>
  <c r="AL27" i="13"/>
  <c r="AT27" i="13"/>
  <c r="AE27" i="13"/>
  <c r="G27" i="13"/>
  <c r="AM27" i="13"/>
  <c r="O27" i="13"/>
  <c r="AU27" i="13"/>
  <c r="W27" i="13"/>
  <c r="D27" i="13"/>
  <c r="C28" i="13"/>
  <c r="B28" i="13" s="1"/>
  <c r="A28" i="13" s="1"/>
  <c r="G28" i="13" l="1"/>
  <c r="K28" i="13"/>
  <c r="O28" i="13"/>
  <c r="S28" i="13"/>
  <c r="W28" i="13"/>
  <c r="AA28" i="13"/>
  <c r="AE28" i="13"/>
  <c r="AI28" i="13"/>
  <c r="AM28" i="13"/>
  <c r="AQ28" i="13"/>
  <c r="AU28" i="13"/>
  <c r="AY28" i="13"/>
  <c r="H28" i="13"/>
  <c r="L28" i="13"/>
  <c r="P28" i="13"/>
  <c r="T28" i="13"/>
  <c r="X28" i="13"/>
  <c r="AB28" i="13"/>
  <c r="AF28" i="13"/>
  <c r="AJ28" i="13"/>
  <c r="AN28" i="13"/>
  <c r="AR28" i="13"/>
  <c r="AV28" i="13"/>
  <c r="AZ28" i="13"/>
  <c r="I28" i="13"/>
  <c r="Q28" i="13"/>
  <c r="Y28" i="13"/>
  <c r="AG28" i="13"/>
  <c r="AO28" i="13"/>
  <c r="AW28" i="13"/>
  <c r="J28" i="13"/>
  <c r="R28" i="13"/>
  <c r="Z28" i="13"/>
  <c r="AH28" i="13"/>
  <c r="AP28" i="13"/>
  <c r="AX28" i="13"/>
  <c r="E28" i="13"/>
  <c r="M28" i="13"/>
  <c r="U28" i="13"/>
  <c r="AC28" i="13"/>
  <c r="AK28" i="13"/>
  <c r="AS28" i="13"/>
  <c r="BA28" i="13"/>
  <c r="N28" i="13"/>
  <c r="AT28" i="13"/>
  <c r="V28" i="13"/>
  <c r="AD28" i="13"/>
  <c r="F28" i="13"/>
  <c r="AL28" i="13"/>
  <c r="D28" i="13"/>
  <c r="C29" i="13"/>
  <c r="B29" i="13" s="1"/>
  <c r="A29" i="13" s="1"/>
  <c r="F29" i="13" l="1"/>
  <c r="J29" i="13"/>
  <c r="N29" i="13"/>
  <c r="R29" i="13"/>
  <c r="V29" i="13"/>
  <c r="Z29" i="13"/>
  <c r="AD29" i="13"/>
  <c r="AH29" i="13"/>
  <c r="AL29" i="13"/>
  <c r="AP29" i="13"/>
  <c r="AT29" i="13"/>
  <c r="AX29" i="13"/>
  <c r="G29" i="13"/>
  <c r="K29" i="13"/>
  <c r="O29" i="13"/>
  <c r="S29" i="13"/>
  <c r="W29" i="13"/>
  <c r="AA29" i="13"/>
  <c r="AE29" i="13"/>
  <c r="AI29" i="13"/>
  <c r="AM29" i="13"/>
  <c r="AQ29" i="13"/>
  <c r="AU29" i="13"/>
  <c r="AY29" i="13"/>
  <c r="H29" i="13"/>
  <c r="P29" i="13"/>
  <c r="X29" i="13"/>
  <c r="AF29" i="13"/>
  <c r="AN29" i="13"/>
  <c r="AV29" i="13"/>
  <c r="I29" i="13"/>
  <c r="Q29" i="13"/>
  <c r="Y29" i="13"/>
  <c r="AG29" i="13"/>
  <c r="AO29" i="13"/>
  <c r="AW29" i="13"/>
  <c r="L29" i="13"/>
  <c r="T29" i="13"/>
  <c r="AB29" i="13"/>
  <c r="AJ29" i="13"/>
  <c r="AR29" i="13"/>
  <c r="AZ29" i="13"/>
  <c r="AC29" i="13"/>
  <c r="E29" i="13"/>
  <c r="AK29" i="13"/>
  <c r="M29" i="13"/>
  <c r="AS29" i="13"/>
  <c r="BA29" i="13"/>
  <c r="U29" i="13"/>
  <c r="D29" i="13"/>
  <c r="C30" i="13"/>
  <c r="B30" i="13" s="1"/>
  <c r="A30" i="13" s="1"/>
  <c r="E30" i="13" l="1"/>
  <c r="I30" i="13"/>
  <c r="M30" i="13"/>
  <c r="Q30" i="13"/>
  <c r="U30" i="13"/>
  <c r="Y30" i="13"/>
  <c r="AC30" i="13"/>
  <c r="AG30" i="13"/>
  <c r="AK30" i="13"/>
  <c r="AO30" i="13"/>
  <c r="AS30" i="13"/>
  <c r="AW30" i="13"/>
  <c r="BA30" i="13"/>
  <c r="F30" i="13"/>
  <c r="J30" i="13"/>
  <c r="N30" i="13"/>
  <c r="R30" i="13"/>
  <c r="V30" i="13"/>
  <c r="Z30" i="13"/>
  <c r="AD30" i="13"/>
  <c r="AH30" i="13"/>
  <c r="AL30" i="13"/>
  <c r="AP30" i="13"/>
  <c r="AT30" i="13"/>
  <c r="AX30" i="13"/>
  <c r="G30" i="13"/>
  <c r="O30" i="13"/>
  <c r="W30" i="13"/>
  <c r="AE30" i="13"/>
  <c r="AM30" i="13"/>
  <c r="AU30" i="13"/>
  <c r="H30" i="13"/>
  <c r="P30" i="13"/>
  <c r="X30" i="13"/>
  <c r="AF30" i="13"/>
  <c r="AN30" i="13"/>
  <c r="AV30" i="13"/>
  <c r="K30" i="13"/>
  <c r="S30" i="13"/>
  <c r="AA30" i="13"/>
  <c r="AI30" i="13"/>
  <c r="AQ30" i="13"/>
  <c r="AY30" i="13"/>
  <c r="L30" i="13"/>
  <c r="AR30" i="13"/>
  <c r="T30" i="13"/>
  <c r="AZ30" i="13"/>
  <c r="AB30" i="13"/>
  <c r="AJ30" i="13"/>
  <c r="D30" i="13"/>
  <c r="C31" i="13"/>
  <c r="B31" i="13" s="1"/>
  <c r="A31" i="13" s="1"/>
  <c r="H31" i="13" l="1"/>
  <c r="L31" i="13"/>
  <c r="P31" i="13"/>
  <c r="T31" i="13"/>
  <c r="X31" i="13"/>
  <c r="AB31" i="13"/>
  <c r="AF31" i="13"/>
  <c r="AJ31" i="13"/>
  <c r="AN31" i="13"/>
  <c r="AR31" i="13"/>
  <c r="AV31" i="13"/>
  <c r="AZ31" i="13"/>
  <c r="E31" i="13"/>
  <c r="I31" i="13"/>
  <c r="M31" i="13"/>
  <c r="Q31" i="13"/>
  <c r="U31" i="13"/>
  <c r="Y31" i="13"/>
  <c r="AC31" i="13"/>
  <c r="AG31" i="13"/>
  <c r="AK31" i="13"/>
  <c r="AO31" i="13"/>
  <c r="AS31" i="13"/>
  <c r="AW31" i="13"/>
  <c r="BA31" i="13"/>
  <c r="F31" i="13"/>
  <c r="N31" i="13"/>
  <c r="V31" i="13"/>
  <c r="AD31" i="13"/>
  <c r="AL31" i="13"/>
  <c r="AT31" i="13"/>
  <c r="G31" i="13"/>
  <c r="O31" i="13"/>
  <c r="W31" i="13"/>
  <c r="AE31" i="13"/>
  <c r="AM31" i="13"/>
  <c r="AU31" i="13"/>
  <c r="J31" i="13"/>
  <c r="R31" i="13"/>
  <c r="Z31" i="13"/>
  <c r="AH31" i="13"/>
  <c r="AP31" i="13"/>
  <c r="AX31" i="13"/>
  <c r="AA31" i="13"/>
  <c r="AI31" i="13"/>
  <c r="K31" i="13"/>
  <c r="AQ31" i="13"/>
  <c r="S31" i="13"/>
  <c r="AY31" i="13"/>
  <c r="D31" i="13"/>
  <c r="C32" i="13"/>
  <c r="B32" i="13" s="1"/>
  <c r="A32" i="13" s="1"/>
  <c r="G32" i="13" l="1"/>
  <c r="K32" i="13"/>
  <c r="O32" i="13"/>
  <c r="S32" i="13"/>
  <c r="W32" i="13"/>
  <c r="AA32" i="13"/>
  <c r="AE32" i="13"/>
  <c r="AI32" i="13"/>
  <c r="AM32" i="13"/>
  <c r="H32" i="13"/>
  <c r="L32" i="13"/>
  <c r="P32" i="13"/>
  <c r="T32" i="13"/>
  <c r="X32" i="13"/>
  <c r="AB32" i="13"/>
  <c r="AF32" i="13"/>
  <c r="AJ32" i="13"/>
  <c r="AN32" i="13"/>
  <c r="E32" i="13"/>
  <c r="M32" i="13"/>
  <c r="U32" i="13"/>
  <c r="AC32" i="13"/>
  <c r="AK32" i="13"/>
  <c r="AQ32" i="13"/>
  <c r="AU32" i="13"/>
  <c r="AY32" i="13"/>
  <c r="F32" i="13"/>
  <c r="N32" i="13"/>
  <c r="V32" i="13"/>
  <c r="AD32" i="13"/>
  <c r="AL32" i="13"/>
  <c r="AR32" i="13"/>
  <c r="AV32" i="13"/>
  <c r="AZ32" i="13"/>
  <c r="I32" i="13"/>
  <c r="Q32" i="13"/>
  <c r="Y32" i="13"/>
  <c r="AG32" i="13"/>
  <c r="AO32" i="13"/>
  <c r="J32" i="13"/>
  <c r="AP32" i="13"/>
  <c r="AX32" i="13"/>
  <c r="R32" i="13"/>
  <c r="AS32" i="13"/>
  <c r="BA32" i="13"/>
  <c r="Z32" i="13"/>
  <c r="AT32" i="13"/>
  <c r="AH32" i="13"/>
  <c r="AW32" i="13"/>
  <c r="D32" i="13"/>
  <c r="C33" i="13"/>
  <c r="B33" i="13" s="1"/>
  <c r="A33" i="13" s="1"/>
  <c r="E33" i="13" l="1"/>
  <c r="I33" i="13"/>
  <c r="M33" i="13"/>
  <c r="Q33" i="13"/>
  <c r="U33" i="13"/>
  <c r="Y33" i="13"/>
  <c r="AC33" i="13"/>
  <c r="AG33" i="13"/>
  <c r="AK33" i="13"/>
  <c r="AO33" i="13"/>
  <c r="AS33" i="13"/>
  <c r="AW33" i="13"/>
  <c r="BA33" i="13"/>
  <c r="F33" i="13"/>
  <c r="J33" i="13"/>
  <c r="N33" i="13"/>
  <c r="R33" i="13"/>
  <c r="V33" i="13"/>
  <c r="Z33" i="13"/>
  <c r="AD33" i="13"/>
  <c r="AH33" i="13"/>
  <c r="AL33" i="13"/>
  <c r="AP33" i="13"/>
  <c r="AT33" i="13"/>
  <c r="AX33" i="13"/>
  <c r="H33" i="13"/>
  <c r="P33" i="13"/>
  <c r="X33" i="13"/>
  <c r="AF33" i="13"/>
  <c r="AN33" i="13"/>
  <c r="AV33" i="13"/>
  <c r="K33" i="13"/>
  <c r="S33" i="13"/>
  <c r="AA33" i="13"/>
  <c r="AI33" i="13"/>
  <c r="AQ33" i="13"/>
  <c r="AY33" i="13"/>
  <c r="D33" i="13"/>
  <c r="L33" i="13"/>
  <c r="T33" i="13"/>
  <c r="AB33" i="13"/>
  <c r="AJ33" i="13"/>
  <c r="AR33" i="13"/>
  <c r="AZ33" i="13"/>
  <c r="W33" i="13"/>
  <c r="AE33" i="13"/>
  <c r="G33" i="13"/>
  <c r="AM33" i="13"/>
  <c r="O33" i="13"/>
  <c r="AU33" i="13"/>
  <c r="C34" i="13"/>
  <c r="B34" i="13" s="1"/>
  <c r="A34" i="13" s="1"/>
  <c r="H34" i="13" l="1"/>
  <c r="L34" i="13"/>
  <c r="P34" i="13"/>
  <c r="T34" i="13"/>
  <c r="X34" i="13"/>
  <c r="AB34" i="13"/>
  <c r="AF34" i="13"/>
  <c r="AJ34" i="13"/>
  <c r="AN34" i="13"/>
  <c r="AR34" i="13"/>
  <c r="AV34" i="13"/>
  <c r="AZ34" i="13"/>
  <c r="E34" i="13"/>
  <c r="I34" i="13"/>
  <c r="M34" i="13"/>
  <c r="Q34" i="13"/>
  <c r="U34" i="13"/>
  <c r="Y34" i="13"/>
  <c r="AC34" i="13"/>
  <c r="AG34" i="13"/>
  <c r="AK34" i="13"/>
  <c r="AO34" i="13"/>
  <c r="AS34" i="13"/>
  <c r="AW34" i="13"/>
  <c r="BA34" i="13"/>
  <c r="G34" i="13"/>
  <c r="O34" i="13"/>
  <c r="W34" i="13"/>
  <c r="AE34" i="13"/>
  <c r="AM34" i="13"/>
  <c r="AU34" i="13"/>
  <c r="J34" i="13"/>
  <c r="R34" i="13"/>
  <c r="Z34" i="13"/>
  <c r="AH34" i="13"/>
  <c r="AP34" i="13"/>
  <c r="AX34" i="13"/>
  <c r="K34" i="13"/>
  <c r="S34" i="13"/>
  <c r="AA34" i="13"/>
  <c r="AI34" i="13"/>
  <c r="AQ34" i="13"/>
  <c r="AY34" i="13"/>
  <c r="F34" i="13"/>
  <c r="AL34" i="13"/>
  <c r="N34" i="13"/>
  <c r="AT34" i="13"/>
  <c r="V34" i="13"/>
  <c r="AD34" i="13"/>
  <c r="D34" i="13"/>
  <c r="C35" i="13"/>
  <c r="B35" i="13" s="1"/>
  <c r="A35" i="13" s="1"/>
  <c r="G35" i="13" l="1"/>
  <c r="K35" i="13"/>
  <c r="O35" i="13"/>
  <c r="S35" i="13"/>
  <c r="W35" i="13"/>
  <c r="AA35" i="13"/>
  <c r="AE35" i="13"/>
  <c r="AI35" i="13"/>
  <c r="AM35" i="13"/>
  <c r="AQ35" i="13"/>
  <c r="AU35" i="13"/>
  <c r="AY35" i="13"/>
  <c r="H35" i="13"/>
  <c r="L35" i="13"/>
  <c r="P35" i="13"/>
  <c r="T35" i="13"/>
  <c r="X35" i="13"/>
  <c r="AB35" i="13"/>
  <c r="AF35" i="13"/>
  <c r="AJ35" i="13"/>
  <c r="AN35" i="13"/>
  <c r="AR35" i="13"/>
  <c r="AV35" i="13"/>
  <c r="AZ35" i="13"/>
  <c r="F35" i="13"/>
  <c r="N35" i="13"/>
  <c r="V35" i="13"/>
  <c r="AD35" i="13"/>
  <c r="AL35" i="13"/>
  <c r="AT35" i="13"/>
  <c r="I35" i="13"/>
  <c r="Q35" i="13"/>
  <c r="Y35" i="13"/>
  <c r="AG35" i="13"/>
  <c r="AO35" i="13"/>
  <c r="AW35" i="13"/>
  <c r="J35" i="13"/>
  <c r="R35" i="13"/>
  <c r="Z35" i="13"/>
  <c r="AH35" i="13"/>
  <c r="AP35" i="13"/>
  <c r="AX35" i="13"/>
  <c r="U35" i="13"/>
  <c r="BA35" i="13"/>
  <c r="AC35" i="13"/>
  <c r="E35" i="13"/>
  <c r="AK35" i="13"/>
  <c r="M35" i="13"/>
  <c r="AS35" i="13"/>
  <c r="D35" i="13"/>
  <c r="C36" i="13"/>
  <c r="B36" i="13" s="1"/>
  <c r="A36" i="13" s="1"/>
  <c r="F36" i="13" l="1"/>
  <c r="J36" i="13"/>
  <c r="N36" i="13"/>
  <c r="R36" i="13"/>
  <c r="V36" i="13"/>
  <c r="Z36" i="13"/>
  <c r="AD36" i="13"/>
  <c r="AH36" i="13"/>
  <c r="AL36" i="13"/>
  <c r="AP36" i="13"/>
  <c r="AT36" i="13"/>
  <c r="AX36" i="13"/>
  <c r="G36" i="13"/>
  <c r="K36" i="13"/>
  <c r="O36" i="13"/>
  <c r="S36" i="13"/>
  <c r="W36" i="13"/>
  <c r="AA36" i="13"/>
  <c r="AE36" i="13"/>
  <c r="AI36" i="13"/>
  <c r="AM36" i="13"/>
  <c r="AQ36" i="13"/>
  <c r="AU36" i="13"/>
  <c r="AY36" i="13"/>
  <c r="E36" i="13"/>
  <c r="M36" i="13"/>
  <c r="U36" i="13"/>
  <c r="AC36" i="13"/>
  <c r="AK36" i="13"/>
  <c r="AS36" i="13"/>
  <c r="BA36" i="13"/>
  <c r="H36" i="13"/>
  <c r="P36" i="13"/>
  <c r="X36" i="13"/>
  <c r="AF36" i="13"/>
  <c r="AN36" i="13"/>
  <c r="AV36" i="13"/>
  <c r="I36" i="13"/>
  <c r="Q36" i="13"/>
  <c r="Y36" i="13"/>
  <c r="AG36" i="13"/>
  <c r="AO36" i="13"/>
  <c r="AW36" i="13"/>
  <c r="AJ36" i="13"/>
  <c r="L36" i="13"/>
  <c r="AR36" i="13"/>
  <c r="T36" i="13"/>
  <c r="AZ36" i="13"/>
  <c r="AB36" i="13"/>
  <c r="D36" i="13"/>
  <c r="C37" i="13"/>
  <c r="B37" i="13" s="1"/>
  <c r="A37" i="13" s="1"/>
  <c r="E37" i="13" l="1"/>
  <c r="I37" i="13"/>
  <c r="M37" i="13"/>
  <c r="Q37" i="13"/>
  <c r="U37" i="13"/>
  <c r="Y37" i="13"/>
  <c r="AC37" i="13"/>
  <c r="AG37" i="13"/>
  <c r="AK37" i="13"/>
  <c r="AO37" i="13"/>
  <c r="AS37" i="13"/>
  <c r="AW37" i="13"/>
  <c r="BA37" i="13"/>
  <c r="F37" i="13"/>
  <c r="J37" i="13"/>
  <c r="N37" i="13"/>
  <c r="R37" i="13"/>
  <c r="V37" i="13"/>
  <c r="Z37" i="13"/>
  <c r="AD37" i="13"/>
  <c r="AH37" i="13"/>
  <c r="AL37" i="13"/>
  <c r="AP37" i="13"/>
  <c r="AT37" i="13"/>
  <c r="AX37" i="13"/>
  <c r="L37" i="13"/>
  <c r="T37" i="13"/>
  <c r="AB37" i="13"/>
  <c r="AJ37" i="13"/>
  <c r="AR37" i="13"/>
  <c r="AZ37" i="13"/>
  <c r="G37" i="13"/>
  <c r="O37" i="13"/>
  <c r="W37" i="13"/>
  <c r="AE37" i="13"/>
  <c r="AM37" i="13"/>
  <c r="AU37" i="13"/>
  <c r="H37" i="13"/>
  <c r="P37" i="13"/>
  <c r="X37" i="13"/>
  <c r="AF37" i="13"/>
  <c r="AN37" i="13"/>
  <c r="AV37" i="13"/>
  <c r="S37" i="13"/>
  <c r="AY37" i="13"/>
  <c r="AA37" i="13"/>
  <c r="AI37" i="13"/>
  <c r="K37" i="13"/>
  <c r="AQ37" i="13"/>
  <c r="D37" i="13"/>
  <c r="C38" i="13"/>
  <c r="B38" i="13" s="1"/>
  <c r="A38" i="13" s="1"/>
  <c r="H38" i="13" l="1"/>
  <c r="L38" i="13"/>
  <c r="P38" i="13"/>
  <c r="T38" i="13"/>
  <c r="X38" i="13"/>
  <c r="AB38" i="13"/>
  <c r="AF38" i="13"/>
  <c r="AJ38" i="13"/>
  <c r="AN38" i="13"/>
  <c r="AR38" i="13"/>
  <c r="AV38" i="13"/>
  <c r="AZ38" i="13"/>
  <c r="E38" i="13"/>
  <c r="I38" i="13"/>
  <c r="M38" i="13"/>
  <c r="Q38" i="13"/>
  <c r="U38" i="13"/>
  <c r="Y38" i="13"/>
  <c r="AC38" i="13"/>
  <c r="AG38" i="13"/>
  <c r="AK38" i="13"/>
  <c r="AO38" i="13"/>
  <c r="AS38" i="13"/>
  <c r="AW38" i="13"/>
  <c r="BA38" i="13"/>
  <c r="K38" i="13"/>
  <c r="S38" i="13"/>
  <c r="AA38" i="13"/>
  <c r="AI38" i="13"/>
  <c r="AQ38" i="13"/>
  <c r="AY38" i="13"/>
  <c r="F38" i="13"/>
  <c r="N38" i="13"/>
  <c r="V38" i="13"/>
  <c r="AD38" i="13"/>
  <c r="AL38" i="13"/>
  <c r="AT38" i="13"/>
  <c r="G38" i="13"/>
  <c r="O38" i="13"/>
  <c r="W38" i="13"/>
  <c r="AE38" i="13"/>
  <c r="AM38" i="13"/>
  <c r="AU38" i="13"/>
  <c r="AH38" i="13"/>
  <c r="J38" i="13"/>
  <c r="AP38" i="13"/>
  <c r="R38" i="13"/>
  <c r="AX38" i="13"/>
  <c r="Z38" i="13"/>
  <c r="D38" i="13"/>
  <c r="C39" i="13"/>
  <c r="B39" i="13" s="1"/>
  <c r="A39" i="13" s="1"/>
  <c r="G39" i="13" l="1"/>
  <c r="K39" i="13"/>
  <c r="O39" i="13"/>
  <c r="S39" i="13"/>
  <c r="W39" i="13"/>
  <c r="AA39" i="13"/>
  <c r="AE39" i="13"/>
  <c r="AI39" i="13"/>
  <c r="AM39" i="13"/>
  <c r="AQ39" i="13"/>
  <c r="AU39" i="13"/>
  <c r="AY39" i="13"/>
  <c r="H39" i="13"/>
  <c r="L39" i="13"/>
  <c r="P39" i="13"/>
  <c r="T39" i="13"/>
  <c r="X39" i="13"/>
  <c r="AB39" i="13"/>
  <c r="AF39" i="13"/>
  <c r="AJ39" i="13"/>
  <c r="AN39" i="13"/>
  <c r="AR39" i="13"/>
  <c r="AV39" i="13"/>
  <c r="AZ39" i="13"/>
  <c r="J39" i="13"/>
  <c r="R39" i="13"/>
  <c r="Z39" i="13"/>
  <c r="AH39" i="13"/>
  <c r="AP39" i="13"/>
  <c r="AX39" i="13"/>
  <c r="E39" i="13"/>
  <c r="M39" i="13"/>
  <c r="U39" i="13"/>
  <c r="AC39" i="13"/>
  <c r="AK39" i="13"/>
  <c r="AS39" i="13"/>
  <c r="BA39" i="13"/>
  <c r="F39" i="13"/>
  <c r="N39" i="13"/>
  <c r="V39" i="13"/>
  <c r="AD39" i="13"/>
  <c r="AL39" i="13"/>
  <c r="AT39" i="13"/>
  <c r="Q39" i="13"/>
  <c r="AW39" i="13"/>
  <c r="Y39" i="13"/>
  <c r="AG39" i="13"/>
  <c r="I39" i="13"/>
  <c r="AO39" i="13"/>
  <c r="D39" i="13"/>
  <c r="C40" i="13"/>
  <c r="B40" i="13" s="1"/>
  <c r="A40" i="13" s="1"/>
  <c r="F40" i="13" l="1"/>
  <c r="J40" i="13"/>
  <c r="N40" i="13"/>
  <c r="R40" i="13"/>
  <c r="V40" i="13"/>
  <c r="Z40" i="13"/>
  <c r="AD40" i="13"/>
  <c r="AH40" i="13"/>
  <c r="AL40" i="13"/>
  <c r="AP40" i="13"/>
  <c r="AT40" i="13"/>
  <c r="AX40" i="13"/>
  <c r="G40" i="13"/>
  <c r="K40" i="13"/>
  <c r="O40" i="13"/>
  <c r="S40" i="13"/>
  <c r="W40" i="13"/>
  <c r="AA40" i="13"/>
  <c r="AE40" i="13"/>
  <c r="AI40" i="13"/>
  <c r="AM40" i="13"/>
  <c r="AQ40" i="13"/>
  <c r="AU40" i="13"/>
  <c r="AY40" i="13"/>
  <c r="I40" i="13"/>
  <c r="Q40" i="13"/>
  <c r="Y40" i="13"/>
  <c r="AG40" i="13"/>
  <c r="AO40" i="13"/>
  <c r="AW40" i="13"/>
  <c r="L40" i="13"/>
  <c r="T40" i="13"/>
  <c r="AB40" i="13"/>
  <c r="AJ40" i="13"/>
  <c r="AR40" i="13"/>
  <c r="AZ40" i="13"/>
  <c r="E40" i="13"/>
  <c r="M40" i="13"/>
  <c r="U40" i="13"/>
  <c r="AC40" i="13"/>
  <c r="AK40" i="13"/>
  <c r="AS40" i="13"/>
  <c r="BA40" i="13"/>
  <c r="AF40" i="13"/>
  <c r="H40" i="13"/>
  <c r="AN40" i="13"/>
  <c r="P40" i="13"/>
  <c r="AV40" i="13"/>
  <c r="X40" i="13"/>
  <c r="D40" i="13"/>
  <c r="C41" i="13"/>
  <c r="B41" i="13" s="1"/>
  <c r="A41" i="13" s="1"/>
  <c r="D41" i="13" l="1"/>
  <c r="H41" i="13"/>
  <c r="L41" i="13"/>
  <c r="P41" i="13"/>
  <c r="T41" i="13"/>
  <c r="X41" i="13"/>
  <c r="AB41" i="13"/>
  <c r="AF41" i="13"/>
  <c r="AJ41" i="13"/>
  <c r="AN41" i="13"/>
  <c r="AR41" i="13"/>
  <c r="AV41" i="13"/>
  <c r="AZ41" i="13"/>
  <c r="E41" i="13"/>
  <c r="I41" i="13"/>
  <c r="M41" i="13"/>
  <c r="Q41" i="13"/>
  <c r="U41" i="13"/>
  <c r="Y41" i="13"/>
  <c r="AC41" i="13"/>
  <c r="AG41" i="13"/>
  <c r="AK41" i="13"/>
  <c r="AO41" i="13"/>
  <c r="AS41" i="13"/>
  <c r="AW41" i="13"/>
  <c r="BA41" i="13"/>
  <c r="G41" i="13"/>
  <c r="O41" i="13"/>
  <c r="W41" i="13"/>
  <c r="AE41" i="13"/>
  <c r="AM41" i="13"/>
  <c r="AU41" i="13"/>
  <c r="J41" i="13"/>
  <c r="R41" i="13"/>
  <c r="Z41" i="13"/>
  <c r="AH41" i="13"/>
  <c r="AP41" i="13"/>
  <c r="AX41" i="13"/>
  <c r="K41" i="13"/>
  <c r="S41" i="13"/>
  <c r="AA41" i="13"/>
  <c r="AI41" i="13"/>
  <c r="AQ41" i="13"/>
  <c r="AY41" i="13"/>
  <c r="N41" i="13"/>
  <c r="AT41" i="13"/>
  <c r="V41" i="13"/>
  <c r="AD41" i="13"/>
  <c r="F41" i="13"/>
  <c r="AL41" i="13"/>
  <c r="C42" i="13"/>
  <c r="B42" i="13" s="1"/>
  <c r="A42" i="13" s="1"/>
  <c r="G42" i="13" l="1"/>
  <c r="K42" i="13"/>
  <c r="O42" i="13"/>
  <c r="S42" i="13"/>
  <c r="W42" i="13"/>
  <c r="AA42" i="13"/>
  <c r="AE42" i="13"/>
  <c r="AI42" i="13"/>
  <c r="AM42" i="13"/>
  <c r="AQ42" i="13"/>
  <c r="AU42" i="13"/>
  <c r="AY42" i="13"/>
  <c r="H42" i="13"/>
  <c r="L42" i="13"/>
  <c r="P42" i="13"/>
  <c r="T42" i="13"/>
  <c r="X42" i="13"/>
  <c r="AB42" i="13"/>
  <c r="AF42" i="13"/>
  <c r="AJ42" i="13"/>
  <c r="AN42" i="13"/>
  <c r="AR42" i="13"/>
  <c r="AV42" i="13"/>
  <c r="AZ42" i="13"/>
  <c r="F42" i="13"/>
  <c r="N42" i="13"/>
  <c r="V42" i="13"/>
  <c r="AD42" i="13"/>
  <c r="AL42" i="13"/>
  <c r="AT42" i="13"/>
  <c r="I42" i="13"/>
  <c r="Q42" i="13"/>
  <c r="Y42" i="13"/>
  <c r="AG42" i="13"/>
  <c r="AO42" i="13"/>
  <c r="AW42" i="13"/>
  <c r="J42" i="13"/>
  <c r="R42" i="13"/>
  <c r="Z42" i="13"/>
  <c r="AH42" i="13"/>
  <c r="AP42" i="13"/>
  <c r="AX42" i="13"/>
  <c r="AC42" i="13"/>
  <c r="E42" i="13"/>
  <c r="AK42" i="13"/>
  <c r="M42" i="13"/>
  <c r="AS42" i="13"/>
  <c r="U42" i="13"/>
  <c r="BA42" i="13"/>
  <c r="D42" i="13"/>
  <c r="C43" i="13"/>
  <c r="B43" i="13" s="1"/>
  <c r="A43" i="13" s="1"/>
  <c r="F43" i="13" l="1"/>
  <c r="J43" i="13"/>
  <c r="N43" i="13"/>
  <c r="R43" i="13"/>
  <c r="V43" i="13"/>
  <c r="Z43" i="13"/>
  <c r="AD43" i="13"/>
  <c r="AH43" i="13"/>
  <c r="AL43" i="13"/>
  <c r="AP43" i="13"/>
  <c r="AT43" i="13"/>
  <c r="AX43" i="13"/>
  <c r="G43" i="13"/>
  <c r="K43" i="13"/>
  <c r="O43" i="13"/>
  <c r="S43" i="13"/>
  <c r="W43" i="13"/>
  <c r="AA43" i="13"/>
  <c r="AE43" i="13"/>
  <c r="AI43" i="13"/>
  <c r="AM43" i="13"/>
  <c r="AQ43" i="13"/>
  <c r="AU43" i="13"/>
  <c r="AY43" i="13"/>
  <c r="E43" i="13"/>
  <c r="M43" i="13"/>
  <c r="U43" i="13"/>
  <c r="AC43" i="13"/>
  <c r="AK43" i="13"/>
  <c r="AS43" i="13"/>
  <c r="BA43" i="13"/>
  <c r="H43" i="13"/>
  <c r="P43" i="13"/>
  <c r="X43" i="13"/>
  <c r="AF43" i="13"/>
  <c r="AN43" i="13"/>
  <c r="AV43" i="13"/>
  <c r="I43" i="13"/>
  <c r="Q43" i="13"/>
  <c r="Y43" i="13"/>
  <c r="AG43" i="13"/>
  <c r="AO43" i="13"/>
  <c r="AW43" i="13"/>
  <c r="L43" i="13"/>
  <c r="AR43" i="13"/>
  <c r="T43" i="13"/>
  <c r="AZ43" i="13"/>
  <c r="AB43" i="13"/>
  <c r="AJ43" i="13"/>
  <c r="D43" i="13"/>
  <c r="C44" i="13"/>
  <c r="B44" i="13" s="1"/>
  <c r="A44" i="13" s="1"/>
  <c r="E44" i="13" l="1"/>
  <c r="I44" i="13"/>
  <c r="M44" i="13"/>
  <c r="Q44" i="13"/>
  <c r="U44" i="13"/>
  <c r="Y44" i="13"/>
  <c r="AC44" i="13"/>
  <c r="AG44" i="13"/>
  <c r="AK44" i="13"/>
  <c r="AO44" i="13"/>
  <c r="AS44" i="13"/>
  <c r="AW44" i="13"/>
  <c r="BA44" i="13"/>
  <c r="F44" i="13"/>
  <c r="J44" i="13"/>
  <c r="N44" i="13"/>
  <c r="R44" i="13"/>
  <c r="V44" i="13"/>
  <c r="Z44" i="13"/>
  <c r="AD44" i="13"/>
  <c r="AH44" i="13"/>
  <c r="AL44" i="13"/>
  <c r="AP44" i="13"/>
  <c r="AT44" i="13"/>
  <c r="AX44" i="13"/>
  <c r="L44" i="13"/>
  <c r="T44" i="13"/>
  <c r="AB44" i="13"/>
  <c r="AJ44" i="13"/>
  <c r="AR44" i="13"/>
  <c r="AZ44" i="13"/>
  <c r="G44" i="13"/>
  <c r="O44" i="13"/>
  <c r="W44" i="13"/>
  <c r="AE44" i="13"/>
  <c r="AM44" i="13"/>
  <c r="AU44" i="13"/>
  <c r="H44" i="13"/>
  <c r="P44" i="13"/>
  <c r="X44" i="13"/>
  <c r="AF44" i="13"/>
  <c r="AN44" i="13"/>
  <c r="AV44" i="13"/>
  <c r="AA44" i="13"/>
  <c r="AI44" i="13"/>
  <c r="K44" i="13"/>
  <c r="AQ44" i="13"/>
  <c r="S44" i="13"/>
  <c r="AY44" i="13"/>
  <c r="D44" i="13"/>
  <c r="C45" i="13"/>
  <c r="B45" i="13" s="1"/>
  <c r="A45" i="13" s="1"/>
  <c r="H45" i="13" l="1"/>
  <c r="L45" i="13"/>
  <c r="P45" i="13"/>
  <c r="T45" i="13"/>
  <c r="X45" i="13"/>
  <c r="AB45" i="13"/>
  <c r="AF45" i="13"/>
  <c r="AJ45" i="13"/>
  <c r="AN45" i="13"/>
  <c r="AR45" i="13"/>
  <c r="AV45" i="13"/>
  <c r="AZ45" i="13"/>
  <c r="E45" i="13"/>
  <c r="I45" i="13"/>
  <c r="M45" i="13"/>
  <c r="Q45" i="13"/>
  <c r="U45" i="13"/>
  <c r="Y45" i="13"/>
  <c r="AC45" i="13"/>
  <c r="AG45" i="13"/>
  <c r="AK45" i="13"/>
  <c r="AO45" i="13"/>
  <c r="AS45" i="13"/>
  <c r="AW45" i="13"/>
  <c r="BA45" i="13"/>
  <c r="K45" i="13"/>
  <c r="S45" i="13"/>
  <c r="AA45" i="13"/>
  <c r="AI45" i="13"/>
  <c r="AQ45" i="13"/>
  <c r="AY45" i="13"/>
  <c r="F45" i="13"/>
  <c r="N45" i="13"/>
  <c r="V45" i="13"/>
  <c r="AD45" i="13"/>
  <c r="AL45" i="13"/>
  <c r="AT45" i="13"/>
  <c r="G45" i="13"/>
  <c r="O45" i="13"/>
  <c r="W45" i="13"/>
  <c r="AE45" i="13"/>
  <c r="AM45" i="13"/>
  <c r="AU45" i="13"/>
  <c r="J45" i="13"/>
  <c r="AP45" i="13"/>
  <c r="R45" i="13"/>
  <c r="AX45" i="13"/>
  <c r="Z45" i="13"/>
  <c r="AH45" i="13"/>
  <c r="D45" i="13"/>
  <c r="C46" i="13"/>
  <c r="B46" i="13" s="1"/>
  <c r="A46" i="13" s="1"/>
  <c r="G46" i="13" l="1"/>
  <c r="K46" i="13"/>
  <c r="O46" i="13"/>
  <c r="S46" i="13"/>
  <c r="W46" i="13"/>
  <c r="AA46" i="13"/>
  <c r="AE46" i="13"/>
  <c r="AI46" i="13"/>
  <c r="AM46" i="13"/>
  <c r="AQ46" i="13"/>
  <c r="AU46" i="13"/>
  <c r="AY46" i="13"/>
  <c r="H46" i="13"/>
  <c r="L46" i="13"/>
  <c r="P46" i="13"/>
  <c r="T46" i="13"/>
  <c r="X46" i="13"/>
  <c r="AB46" i="13"/>
  <c r="AF46" i="13"/>
  <c r="AJ46" i="13"/>
  <c r="AN46" i="13"/>
  <c r="AR46" i="13"/>
  <c r="AV46" i="13"/>
  <c r="AZ46" i="13"/>
  <c r="J46" i="13"/>
  <c r="R46" i="13"/>
  <c r="Z46" i="13"/>
  <c r="AH46" i="13"/>
  <c r="E46" i="13"/>
  <c r="M46" i="13"/>
  <c r="U46" i="13"/>
  <c r="AC46" i="13"/>
  <c r="AK46" i="13"/>
  <c r="F46" i="13"/>
  <c r="N46" i="13"/>
  <c r="V46" i="13"/>
  <c r="AL46" i="13"/>
  <c r="AT46" i="13"/>
  <c r="Y46" i="13"/>
  <c r="AO46" i="13"/>
  <c r="AW46" i="13"/>
  <c r="I46" i="13"/>
  <c r="AD46" i="13"/>
  <c r="AP46" i="13"/>
  <c r="AX46" i="13"/>
  <c r="Q46" i="13"/>
  <c r="AG46" i="13"/>
  <c r="AS46" i="13"/>
  <c r="BA46" i="13"/>
  <c r="D46" i="13"/>
  <c r="C47" i="13"/>
  <c r="B47" i="13" s="1"/>
  <c r="A47" i="13" s="1"/>
  <c r="F47" i="13" l="1"/>
  <c r="J47" i="13"/>
  <c r="N47" i="13"/>
  <c r="R47" i="13"/>
  <c r="V47" i="13"/>
  <c r="Z47" i="13"/>
  <c r="AD47" i="13"/>
  <c r="AH47" i="13"/>
  <c r="AL47" i="13"/>
  <c r="AP47" i="13"/>
  <c r="AT47" i="13"/>
  <c r="AX47" i="13"/>
  <c r="G47" i="13"/>
  <c r="K47" i="13"/>
  <c r="O47" i="13"/>
  <c r="S47" i="13"/>
  <c r="W47" i="13"/>
  <c r="AA47" i="13"/>
  <c r="AE47" i="13"/>
  <c r="AI47" i="13"/>
  <c r="AM47" i="13"/>
  <c r="AQ47" i="13"/>
  <c r="AU47" i="13"/>
  <c r="AY47" i="13"/>
  <c r="E47" i="13"/>
  <c r="M47" i="13"/>
  <c r="U47" i="13"/>
  <c r="AC47" i="13"/>
  <c r="AK47" i="13"/>
  <c r="AS47" i="13"/>
  <c r="BA47" i="13"/>
  <c r="H47" i="13"/>
  <c r="P47" i="13"/>
  <c r="X47" i="13"/>
  <c r="AF47" i="13"/>
  <c r="AN47" i="13"/>
  <c r="AV47" i="13"/>
  <c r="I47" i="13"/>
  <c r="Q47" i="13"/>
  <c r="Y47" i="13"/>
  <c r="AG47" i="13"/>
  <c r="AO47" i="13"/>
  <c r="AW47" i="13"/>
  <c r="L47" i="13"/>
  <c r="T47" i="13"/>
  <c r="AB47" i="13"/>
  <c r="AJ47" i="13"/>
  <c r="AR47" i="13"/>
  <c r="AZ47" i="13"/>
  <c r="D47" i="13"/>
  <c r="C48" i="13"/>
  <c r="B48" i="13" s="1"/>
  <c r="A48" i="13" s="1"/>
  <c r="E48" i="13" l="1"/>
  <c r="I48" i="13"/>
  <c r="M48" i="13"/>
  <c r="Q48" i="13"/>
  <c r="U48" i="13"/>
  <c r="F48" i="13"/>
  <c r="J48" i="13"/>
  <c r="N48" i="13"/>
  <c r="R48" i="13"/>
  <c r="L48" i="13"/>
  <c r="T48" i="13"/>
  <c r="Y48" i="13"/>
  <c r="AC48" i="13"/>
  <c r="AG48" i="13"/>
  <c r="AK48" i="13"/>
  <c r="AO48" i="13"/>
  <c r="AS48" i="13"/>
  <c r="AW48" i="13"/>
  <c r="BA48" i="13"/>
  <c r="G48" i="13"/>
  <c r="O48" i="13"/>
  <c r="V48" i="13"/>
  <c r="Z48" i="13"/>
  <c r="AD48" i="13"/>
  <c r="AH48" i="13"/>
  <c r="AL48" i="13"/>
  <c r="AP48" i="13"/>
  <c r="AT48" i="13"/>
  <c r="AX48" i="13"/>
  <c r="H48" i="13"/>
  <c r="P48" i="13"/>
  <c r="W48" i="13"/>
  <c r="AA48" i="13"/>
  <c r="AE48" i="13"/>
  <c r="AI48" i="13"/>
  <c r="AM48" i="13"/>
  <c r="AQ48" i="13"/>
  <c r="AU48" i="13"/>
  <c r="AY48" i="13"/>
  <c r="K48" i="13"/>
  <c r="S48" i="13"/>
  <c r="X48" i="13"/>
  <c r="AB48" i="13"/>
  <c r="AF48" i="13"/>
  <c r="AJ48" i="13"/>
  <c r="AN48" i="13"/>
  <c r="AR48" i="13"/>
  <c r="AV48" i="13"/>
  <c r="AZ48" i="13"/>
  <c r="D48" i="13"/>
  <c r="C49" i="13"/>
  <c r="B49" i="13" s="1"/>
  <c r="A49" i="13" s="1"/>
  <c r="G49" i="13" l="1"/>
  <c r="K49" i="13"/>
  <c r="O49" i="13"/>
  <c r="S49" i="13"/>
  <c r="W49" i="13"/>
  <c r="AA49" i="13"/>
  <c r="AE49" i="13"/>
  <c r="AI49" i="13"/>
  <c r="AM49" i="13"/>
  <c r="AQ49" i="13"/>
  <c r="AU49" i="13"/>
  <c r="AY49" i="13"/>
  <c r="D49" i="13"/>
  <c r="H49" i="13"/>
  <c r="L49" i="13"/>
  <c r="P49" i="13"/>
  <c r="T49" i="13"/>
  <c r="X49" i="13"/>
  <c r="AB49" i="13"/>
  <c r="AF49" i="13"/>
  <c r="AJ49" i="13"/>
  <c r="AN49" i="13"/>
  <c r="AR49" i="13"/>
  <c r="AV49" i="13"/>
  <c r="AZ49" i="13"/>
  <c r="E49" i="13"/>
  <c r="I49" i="13"/>
  <c r="M49" i="13"/>
  <c r="Q49" i="13"/>
  <c r="U49" i="13"/>
  <c r="Y49" i="13"/>
  <c r="AC49" i="13"/>
  <c r="AG49" i="13"/>
  <c r="AK49" i="13"/>
  <c r="AO49" i="13"/>
  <c r="AS49" i="13"/>
  <c r="AW49" i="13"/>
  <c r="BA49" i="13"/>
  <c r="F49" i="13"/>
  <c r="J49" i="13"/>
  <c r="N49" i="13"/>
  <c r="R49" i="13"/>
  <c r="V49" i="13"/>
  <c r="Z49" i="13"/>
  <c r="AD49" i="13"/>
  <c r="AH49" i="13"/>
  <c r="AL49" i="13"/>
  <c r="AP49" i="13"/>
  <c r="AT49" i="13"/>
  <c r="AX49" i="13"/>
  <c r="C50" i="13"/>
  <c r="B50" i="13" s="1"/>
  <c r="A50" i="13" s="1"/>
  <c r="F50" i="13" l="1"/>
  <c r="J50" i="13"/>
  <c r="N50" i="13"/>
  <c r="R50" i="13"/>
  <c r="V50" i="13"/>
  <c r="Z50" i="13"/>
  <c r="AD50" i="13"/>
  <c r="AH50" i="13"/>
  <c r="AL50" i="13"/>
  <c r="AP50" i="13"/>
  <c r="AT50" i="13"/>
  <c r="AX50" i="13"/>
  <c r="G50" i="13"/>
  <c r="K50" i="13"/>
  <c r="O50" i="13"/>
  <c r="S50" i="13"/>
  <c r="W50" i="13"/>
  <c r="AA50" i="13"/>
  <c r="AE50" i="13"/>
  <c r="AI50" i="13"/>
  <c r="AM50" i="13"/>
  <c r="AQ50" i="13"/>
  <c r="AU50" i="13"/>
  <c r="AY50" i="13"/>
  <c r="H50" i="13"/>
  <c r="L50" i="13"/>
  <c r="P50" i="13"/>
  <c r="T50" i="13"/>
  <c r="X50" i="13"/>
  <c r="AB50" i="13"/>
  <c r="AF50" i="13"/>
  <c r="AJ50" i="13"/>
  <c r="AN50" i="13"/>
  <c r="AR50" i="13"/>
  <c r="AV50" i="13"/>
  <c r="AZ50" i="13"/>
  <c r="E50" i="13"/>
  <c r="I50" i="13"/>
  <c r="M50" i="13"/>
  <c r="Q50" i="13"/>
  <c r="U50" i="13"/>
  <c r="Y50" i="13"/>
  <c r="AC50" i="13"/>
  <c r="AG50" i="13"/>
  <c r="AK50" i="13"/>
  <c r="AO50" i="13"/>
  <c r="AS50" i="13"/>
  <c r="AW50" i="13"/>
  <c r="BA50" i="13"/>
  <c r="D50" i="13"/>
  <c r="C51" i="13"/>
  <c r="B51" i="13" s="1"/>
  <c r="A51" i="13" s="1"/>
  <c r="E51" i="13" l="1"/>
  <c r="I51" i="13"/>
  <c r="M51" i="13"/>
  <c r="Q51" i="13"/>
  <c r="U51" i="13"/>
  <c r="Y51" i="13"/>
  <c r="AC51" i="13"/>
  <c r="AG51" i="13"/>
  <c r="AK51" i="13"/>
  <c r="AO51" i="13"/>
  <c r="AS51" i="13"/>
  <c r="AW51" i="13"/>
  <c r="BA51" i="13"/>
  <c r="F51" i="13"/>
  <c r="J51" i="13"/>
  <c r="N51" i="13"/>
  <c r="R51" i="13"/>
  <c r="V51" i="13"/>
  <c r="Z51" i="13"/>
  <c r="AD51" i="13"/>
  <c r="AH51" i="13"/>
  <c r="AL51" i="13"/>
  <c r="AP51" i="13"/>
  <c r="AT51" i="13"/>
  <c r="AX51" i="13"/>
  <c r="G51" i="13"/>
  <c r="K51" i="13"/>
  <c r="O51" i="13"/>
  <c r="S51" i="13"/>
  <c r="W51" i="13"/>
  <c r="AA51" i="13"/>
  <c r="AE51" i="13"/>
  <c r="AI51" i="13"/>
  <c r="AM51" i="13"/>
  <c r="AQ51" i="13"/>
  <c r="AU51" i="13"/>
  <c r="AY51" i="13"/>
  <c r="H51" i="13"/>
  <c r="L51" i="13"/>
  <c r="P51" i="13"/>
  <c r="T51" i="13"/>
  <c r="X51" i="13"/>
  <c r="AB51" i="13"/>
  <c r="AF51" i="13"/>
  <c r="AJ51" i="13"/>
  <c r="AN51" i="13"/>
  <c r="AR51" i="13"/>
  <c r="AV51" i="13"/>
  <c r="AZ51" i="13"/>
  <c r="D51" i="13"/>
  <c r="C52" i="13"/>
  <c r="B52" i="13" s="1"/>
  <c r="A52" i="13" s="1"/>
  <c r="H52" i="13" l="1"/>
  <c r="L52" i="13"/>
  <c r="P52" i="13"/>
  <c r="T52" i="13"/>
  <c r="X52" i="13"/>
  <c r="AB52" i="13"/>
  <c r="AF52" i="13"/>
  <c r="AJ52" i="13"/>
  <c r="AN52" i="13"/>
  <c r="AR52" i="13"/>
  <c r="AV52" i="13"/>
  <c r="AZ52" i="13"/>
  <c r="E52" i="13"/>
  <c r="I52" i="13"/>
  <c r="M52" i="13"/>
  <c r="Q52" i="13"/>
  <c r="U52" i="13"/>
  <c r="Y52" i="13"/>
  <c r="AC52" i="13"/>
  <c r="AG52" i="13"/>
  <c r="AK52" i="13"/>
  <c r="AO52" i="13"/>
  <c r="AS52" i="13"/>
  <c r="AW52" i="13"/>
  <c r="BA52" i="13"/>
  <c r="F52" i="13"/>
  <c r="J52" i="13"/>
  <c r="N52" i="13"/>
  <c r="R52" i="13"/>
  <c r="V52" i="13"/>
  <c r="Z52" i="13"/>
  <c r="AD52" i="13"/>
  <c r="AH52" i="13"/>
  <c r="AL52" i="13"/>
  <c r="AP52" i="13"/>
  <c r="AT52" i="13"/>
  <c r="AX52" i="13"/>
  <c r="G52" i="13"/>
  <c r="K52" i="13"/>
  <c r="O52" i="13"/>
  <c r="S52" i="13"/>
  <c r="W52" i="13"/>
  <c r="AA52" i="13"/>
  <c r="AE52" i="13"/>
  <c r="AI52" i="13"/>
  <c r="AM52" i="13"/>
  <c r="AQ52" i="13"/>
  <c r="AU52" i="13"/>
  <c r="AY52" i="13"/>
  <c r="D52" i="13"/>
  <c r="C53" i="13"/>
  <c r="B53" i="13" s="1"/>
  <c r="A53" i="13" s="1"/>
  <c r="G53" i="13" l="1"/>
  <c r="K53" i="13"/>
  <c r="O53" i="13"/>
  <c r="S53" i="13"/>
  <c r="W53" i="13"/>
  <c r="AA53" i="13"/>
  <c r="AE53" i="13"/>
  <c r="AI53" i="13"/>
  <c r="AM53" i="13"/>
  <c r="AQ53" i="13"/>
  <c r="AU53" i="13"/>
  <c r="AY53" i="13"/>
  <c r="H53" i="13"/>
  <c r="L53" i="13"/>
  <c r="P53" i="13"/>
  <c r="T53" i="13"/>
  <c r="X53" i="13"/>
  <c r="AB53" i="13"/>
  <c r="AF53" i="13"/>
  <c r="AJ53" i="13"/>
  <c r="AN53" i="13"/>
  <c r="AR53" i="13"/>
  <c r="AV53" i="13"/>
  <c r="AZ53" i="13"/>
  <c r="E53" i="13"/>
  <c r="I53" i="13"/>
  <c r="M53" i="13"/>
  <c r="Q53" i="13"/>
  <c r="U53" i="13"/>
  <c r="Y53" i="13"/>
  <c r="AC53" i="13"/>
  <c r="AG53" i="13"/>
  <c r="AK53" i="13"/>
  <c r="AO53" i="13"/>
  <c r="AS53" i="13"/>
  <c r="AW53" i="13"/>
  <c r="BA53" i="13"/>
  <c r="F53" i="13"/>
  <c r="J53" i="13"/>
  <c r="N53" i="13"/>
  <c r="R53" i="13"/>
  <c r="V53" i="13"/>
  <c r="Z53" i="13"/>
  <c r="AD53" i="13"/>
  <c r="AH53" i="13"/>
  <c r="AL53" i="13"/>
  <c r="AP53" i="13"/>
  <c r="AT53" i="13"/>
  <c r="AX53" i="13"/>
  <c r="D53" i="13"/>
  <c r="C54" i="13"/>
  <c r="B54" i="13" s="1"/>
  <c r="A54" i="13" s="1"/>
  <c r="F54" i="13" l="1"/>
  <c r="J54" i="13"/>
  <c r="N54" i="13"/>
  <c r="R54" i="13"/>
  <c r="V54" i="13"/>
  <c r="Z54" i="13"/>
  <c r="AD54" i="13"/>
  <c r="AH54" i="13"/>
  <c r="AL54" i="13"/>
  <c r="AP54" i="13"/>
  <c r="AT54" i="13"/>
  <c r="AX54" i="13"/>
  <c r="G54" i="13"/>
  <c r="K54" i="13"/>
  <c r="O54" i="13"/>
  <c r="S54" i="13"/>
  <c r="W54" i="13"/>
  <c r="AA54" i="13"/>
  <c r="AE54" i="13"/>
  <c r="AI54" i="13"/>
  <c r="AM54" i="13"/>
  <c r="AQ54" i="13"/>
  <c r="AU54" i="13"/>
  <c r="AY54" i="13"/>
  <c r="H54" i="13"/>
  <c r="L54" i="13"/>
  <c r="P54" i="13"/>
  <c r="T54" i="13"/>
  <c r="X54" i="13"/>
  <c r="AB54" i="13"/>
  <c r="AF54" i="13"/>
  <c r="AJ54" i="13"/>
  <c r="AN54" i="13"/>
  <c r="AR54" i="13"/>
  <c r="AV54" i="13"/>
  <c r="AZ54" i="13"/>
  <c r="E54" i="13"/>
  <c r="I54" i="13"/>
  <c r="M54" i="13"/>
  <c r="Q54" i="13"/>
  <c r="U54" i="13"/>
  <c r="Y54" i="13"/>
  <c r="AC54" i="13"/>
  <c r="AG54" i="13"/>
  <c r="AK54" i="13"/>
  <c r="AO54" i="13"/>
  <c r="AS54" i="13"/>
  <c r="AW54" i="13"/>
  <c r="BA54" i="13"/>
  <c r="D54" i="13"/>
  <c r="C55" i="13"/>
  <c r="B55" i="13" s="1"/>
  <c r="A55" i="13" s="1"/>
  <c r="E55" i="13" l="1"/>
  <c r="I55" i="13"/>
  <c r="M55" i="13"/>
  <c r="Q55" i="13"/>
  <c r="U55" i="13"/>
  <c r="Y55" i="13"/>
  <c r="AC55" i="13"/>
  <c r="AG55" i="13"/>
  <c r="AK55" i="13"/>
  <c r="AO55" i="13"/>
  <c r="AS55" i="13"/>
  <c r="AW55" i="13"/>
  <c r="BA55" i="13"/>
  <c r="F55" i="13"/>
  <c r="J55" i="13"/>
  <c r="N55" i="13"/>
  <c r="R55" i="13"/>
  <c r="V55" i="13"/>
  <c r="Z55" i="13"/>
  <c r="AD55" i="13"/>
  <c r="AH55" i="13"/>
  <c r="AL55" i="13"/>
  <c r="AP55" i="13"/>
  <c r="AT55" i="13"/>
  <c r="AX55" i="13"/>
  <c r="G55" i="13"/>
  <c r="K55" i="13"/>
  <c r="O55" i="13"/>
  <c r="S55" i="13"/>
  <c r="W55" i="13"/>
  <c r="AA55" i="13"/>
  <c r="AE55" i="13"/>
  <c r="AI55" i="13"/>
  <c r="AM55" i="13"/>
  <c r="AQ55" i="13"/>
  <c r="AU55" i="13"/>
  <c r="AY55" i="13"/>
  <c r="H55" i="13"/>
  <c r="L55" i="13"/>
  <c r="P55" i="13"/>
  <c r="T55" i="13"/>
  <c r="AJ55" i="13"/>
  <c r="AZ55" i="13"/>
  <c r="X55" i="13"/>
  <c r="AN55" i="13"/>
  <c r="AB55" i="13"/>
  <c r="AR55" i="13"/>
  <c r="AF55" i="13"/>
  <c r="AV55" i="13"/>
  <c r="D55" i="13"/>
  <c r="C56" i="13"/>
  <c r="B56" i="13" s="1"/>
  <c r="A56" i="13" s="1"/>
  <c r="H56" i="13" l="1"/>
  <c r="L56" i="13"/>
  <c r="P56" i="13"/>
  <c r="T56" i="13"/>
  <c r="X56" i="13"/>
  <c r="AB56" i="13"/>
  <c r="AF56" i="13"/>
  <c r="AJ56" i="13"/>
  <c r="AN56" i="13"/>
  <c r="AR56" i="13"/>
  <c r="AV56" i="13"/>
  <c r="AZ56" i="13"/>
  <c r="E56" i="13"/>
  <c r="I56" i="13"/>
  <c r="M56" i="13"/>
  <c r="Q56" i="13"/>
  <c r="U56" i="13"/>
  <c r="Y56" i="13"/>
  <c r="AC56" i="13"/>
  <c r="AG56" i="13"/>
  <c r="AK56" i="13"/>
  <c r="AO56" i="13"/>
  <c r="AS56" i="13"/>
  <c r="AW56" i="13"/>
  <c r="BA56" i="13"/>
  <c r="F56" i="13"/>
  <c r="J56" i="13"/>
  <c r="N56" i="13"/>
  <c r="R56" i="13"/>
  <c r="V56" i="13"/>
  <c r="Z56" i="13"/>
  <c r="AD56" i="13"/>
  <c r="AH56" i="13"/>
  <c r="AL56" i="13"/>
  <c r="AP56" i="13"/>
  <c r="AT56" i="13"/>
  <c r="AX56" i="13"/>
  <c r="S56" i="13"/>
  <c r="AI56" i="13"/>
  <c r="AY56" i="13"/>
  <c r="G56" i="13"/>
  <c r="W56" i="13"/>
  <c r="AM56" i="13"/>
  <c r="K56" i="13"/>
  <c r="AA56" i="13"/>
  <c r="AQ56" i="13"/>
  <c r="O56" i="13"/>
  <c r="AE56" i="13"/>
  <c r="AU56" i="13"/>
  <c r="D56" i="13"/>
  <c r="C57" i="13"/>
  <c r="B57" i="13" s="1"/>
  <c r="A57" i="13" s="1"/>
  <c r="F57" i="13" l="1"/>
  <c r="J57" i="13"/>
  <c r="N57" i="13"/>
  <c r="R57" i="13"/>
  <c r="V57" i="13"/>
  <c r="Z57" i="13"/>
  <c r="AD57" i="13"/>
  <c r="AH57" i="13"/>
  <c r="AL57" i="13"/>
  <c r="AP57" i="13"/>
  <c r="AT57" i="13"/>
  <c r="AX57" i="13"/>
  <c r="G57" i="13"/>
  <c r="K57" i="13"/>
  <c r="O57" i="13"/>
  <c r="S57" i="13"/>
  <c r="W57" i="13"/>
  <c r="AA57" i="13"/>
  <c r="AE57" i="13"/>
  <c r="AI57" i="13"/>
  <c r="AM57" i="13"/>
  <c r="AQ57" i="13"/>
  <c r="AU57" i="13"/>
  <c r="AY57" i="13"/>
  <c r="D57" i="13"/>
  <c r="H57" i="13"/>
  <c r="L57" i="13"/>
  <c r="P57" i="13"/>
  <c r="T57" i="13"/>
  <c r="X57" i="13"/>
  <c r="AB57" i="13"/>
  <c r="AF57" i="13"/>
  <c r="AJ57" i="13"/>
  <c r="AN57" i="13"/>
  <c r="AR57" i="13"/>
  <c r="AV57" i="13"/>
  <c r="AZ57" i="13"/>
  <c r="Q57" i="13"/>
  <c r="AG57" i="13"/>
  <c r="AW57" i="13"/>
  <c r="E57" i="13"/>
  <c r="U57" i="13"/>
  <c r="AK57" i="13"/>
  <c r="BA57" i="13"/>
  <c r="I57" i="13"/>
  <c r="Y57" i="13"/>
  <c r="AO57" i="13"/>
  <c r="M57" i="13"/>
  <c r="AC57" i="13"/>
  <c r="AS57" i="13"/>
  <c r="C58" i="13"/>
  <c r="B58" i="13" s="1"/>
  <c r="A58" i="13" s="1"/>
  <c r="E58" i="13" l="1"/>
  <c r="I58" i="13"/>
  <c r="M58" i="13"/>
  <c r="Q58" i="13"/>
  <c r="U58" i="13"/>
  <c r="Y58" i="13"/>
  <c r="AC58" i="13"/>
  <c r="F58" i="13"/>
  <c r="J58" i="13"/>
  <c r="N58" i="13"/>
  <c r="R58" i="13"/>
  <c r="V58" i="13"/>
  <c r="Z58" i="13"/>
  <c r="AD58" i="13"/>
  <c r="AH58" i="13"/>
  <c r="AL58" i="13"/>
  <c r="AP58" i="13"/>
  <c r="AT58" i="13"/>
  <c r="AX58" i="13"/>
  <c r="G58" i="13"/>
  <c r="K58" i="13"/>
  <c r="O58" i="13"/>
  <c r="S58" i="13"/>
  <c r="W58" i="13"/>
  <c r="AA58" i="13"/>
  <c r="AE58" i="13"/>
  <c r="AI58" i="13"/>
  <c r="AM58" i="13"/>
  <c r="AQ58" i="13"/>
  <c r="AU58" i="13"/>
  <c r="AY58" i="13"/>
  <c r="P58" i="13"/>
  <c r="AF58" i="13"/>
  <c r="AN58" i="13"/>
  <c r="AV58" i="13"/>
  <c r="T58" i="13"/>
  <c r="AG58" i="13"/>
  <c r="AO58" i="13"/>
  <c r="AW58" i="13"/>
  <c r="H58" i="13"/>
  <c r="X58" i="13"/>
  <c r="AJ58" i="13"/>
  <c r="AR58" i="13"/>
  <c r="AZ58" i="13"/>
  <c r="L58" i="13"/>
  <c r="AB58" i="13"/>
  <c r="AK58" i="13"/>
  <c r="AS58" i="13"/>
  <c r="BA58" i="13"/>
  <c r="D58" i="13"/>
  <c r="C59" i="13"/>
  <c r="B59" i="13" s="1"/>
  <c r="A59" i="13" s="1"/>
  <c r="E59" i="13" l="1"/>
  <c r="I59" i="13"/>
  <c r="M59" i="13"/>
  <c r="F59" i="13"/>
  <c r="J59" i="13"/>
  <c r="G59" i="13"/>
  <c r="N59" i="13"/>
  <c r="R59" i="13"/>
  <c r="V59" i="13"/>
  <c r="Z59" i="13"/>
  <c r="AD59" i="13"/>
  <c r="AH59" i="13"/>
  <c r="AL59" i="13"/>
  <c r="AP59" i="13"/>
  <c r="AT59" i="13"/>
  <c r="AX59" i="13"/>
  <c r="H59" i="13"/>
  <c r="O59" i="13"/>
  <c r="S59" i="13"/>
  <c r="W59" i="13"/>
  <c r="AA59" i="13"/>
  <c r="AE59" i="13"/>
  <c r="AI59" i="13"/>
  <c r="AM59" i="13"/>
  <c r="AQ59" i="13"/>
  <c r="AU59" i="13"/>
  <c r="AY59" i="13"/>
  <c r="K59" i="13"/>
  <c r="P59" i="13"/>
  <c r="T59" i="13"/>
  <c r="X59" i="13"/>
  <c r="AB59" i="13"/>
  <c r="AF59" i="13"/>
  <c r="AJ59" i="13"/>
  <c r="AN59" i="13"/>
  <c r="AR59" i="13"/>
  <c r="AV59" i="13"/>
  <c r="AZ59" i="13"/>
  <c r="L59" i="13"/>
  <c r="Q59" i="13"/>
  <c r="U59" i="13"/>
  <c r="Y59" i="13"/>
  <c r="AC59" i="13"/>
  <c r="AG59" i="13"/>
  <c r="AK59" i="13"/>
  <c r="AO59" i="13"/>
  <c r="AS59" i="13"/>
  <c r="AW59" i="13"/>
  <c r="BA59" i="13"/>
  <c r="D59" i="13"/>
  <c r="C60" i="13"/>
  <c r="B60" i="13" s="1"/>
  <c r="A60" i="13" s="1"/>
  <c r="E60" i="13" l="1"/>
  <c r="I60" i="13"/>
  <c r="M60" i="13"/>
  <c r="Q60" i="13"/>
  <c r="U60" i="13"/>
  <c r="Y60" i="13"/>
  <c r="AC60" i="13"/>
  <c r="AG60" i="13"/>
  <c r="AK60" i="13"/>
  <c r="AO60" i="13"/>
  <c r="AS60" i="13"/>
  <c r="AW60" i="13"/>
  <c r="BA60" i="13"/>
  <c r="F60" i="13"/>
  <c r="J60" i="13"/>
  <c r="N60" i="13"/>
  <c r="R60" i="13"/>
  <c r="V60" i="13"/>
  <c r="Z60" i="13"/>
  <c r="AD60" i="13"/>
  <c r="AH60" i="13"/>
  <c r="AL60" i="13"/>
  <c r="AP60" i="13"/>
  <c r="AT60" i="13"/>
  <c r="AX60" i="13"/>
  <c r="G60" i="13"/>
  <c r="K60" i="13"/>
  <c r="O60" i="13"/>
  <c r="S60" i="13"/>
  <c r="W60" i="13"/>
  <c r="AA60" i="13"/>
  <c r="AE60" i="13"/>
  <c r="AI60" i="13"/>
  <c r="AM60" i="13"/>
  <c r="AQ60" i="13"/>
  <c r="AU60" i="13"/>
  <c r="AY60" i="13"/>
  <c r="H60" i="13"/>
  <c r="L60" i="13"/>
  <c r="P60" i="13"/>
  <c r="T60" i="13"/>
  <c r="X60" i="13"/>
  <c r="AB60" i="13"/>
  <c r="AF60" i="13"/>
  <c r="AJ60" i="13"/>
  <c r="AN60" i="13"/>
  <c r="AR60" i="13"/>
  <c r="AV60" i="13"/>
  <c r="AZ60" i="13"/>
  <c r="D60" i="13"/>
  <c r="C61" i="13"/>
  <c r="B61" i="13" s="1"/>
  <c r="A61" i="13" s="1"/>
  <c r="H61" i="13" l="1"/>
  <c r="L61" i="13"/>
  <c r="P61" i="13"/>
  <c r="T61" i="13"/>
  <c r="X61" i="13"/>
  <c r="AB61" i="13"/>
  <c r="AF61" i="13"/>
  <c r="AJ61" i="13"/>
  <c r="AN61" i="13"/>
  <c r="AR61" i="13"/>
  <c r="AV61" i="13"/>
  <c r="AZ61" i="13"/>
  <c r="E61" i="13"/>
  <c r="I61" i="13"/>
  <c r="M61" i="13"/>
  <c r="Q61" i="13"/>
  <c r="U61" i="13"/>
  <c r="Y61" i="13"/>
  <c r="AC61" i="13"/>
  <c r="AG61" i="13"/>
  <c r="AK61" i="13"/>
  <c r="AO61" i="13"/>
  <c r="AS61" i="13"/>
  <c r="AW61" i="13"/>
  <c r="BA61" i="13"/>
  <c r="F61" i="13"/>
  <c r="J61" i="13"/>
  <c r="N61" i="13"/>
  <c r="R61" i="13"/>
  <c r="V61" i="13"/>
  <c r="Z61" i="13"/>
  <c r="AD61" i="13"/>
  <c r="AH61" i="13"/>
  <c r="AL61" i="13"/>
  <c r="AP61" i="13"/>
  <c r="AT61" i="13"/>
  <c r="AX61" i="13"/>
  <c r="G61" i="13"/>
  <c r="K61" i="13"/>
  <c r="O61" i="13"/>
  <c r="S61" i="13"/>
  <c r="W61" i="13"/>
  <c r="AA61" i="13"/>
  <c r="AE61" i="13"/>
  <c r="AI61" i="13"/>
  <c r="AM61" i="13"/>
  <c r="AQ61" i="13"/>
  <c r="AU61" i="13"/>
  <c r="AY61" i="13"/>
  <c r="D61" i="13"/>
  <c r="C62" i="13"/>
  <c r="B62" i="13" s="1"/>
  <c r="A62" i="13" s="1"/>
  <c r="G62" i="13" l="1"/>
  <c r="K62" i="13"/>
  <c r="O62" i="13"/>
  <c r="S62" i="13"/>
  <c r="W62" i="13"/>
  <c r="AA62" i="13"/>
  <c r="AE62" i="13"/>
  <c r="AI62" i="13"/>
  <c r="AM62" i="13"/>
  <c r="AQ62" i="13"/>
  <c r="AU62" i="13"/>
  <c r="AY62" i="13"/>
  <c r="H62" i="13"/>
  <c r="L62" i="13"/>
  <c r="P62" i="13"/>
  <c r="T62" i="13"/>
  <c r="X62" i="13"/>
  <c r="AB62" i="13"/>
  <c r="AF62" i="13"/>
  <c r="AJ62" i="13"/>
  <c r="AN62" i="13"/>
  <c r="AR62" i="13"/>
  <c r="AV62" i="13"/>
  <c r="AZ62" i="13"/>
  <c r="E62" i="13"/>
  <c r="I62" i="13"/>
  <c r="M62" i="13"/>
  <c r="Q62" i="13"/>
  <c r="U62" i="13"/>
  <c r="Y62" i="13"/>
  <c r="AC62" i="13"/>
  <c r="AG62" i="13"/>
  <c r="AK62" i="13"/>
  <c r="AO62" i="13"/>
  <c r="AS62" i="13"/>
  <c r="AW62" i="13"/>
  <c r="BA62" i="13"/>
  <c r="F62" i="13"/>
  <c r="J62" i="13"/>
  <c r="N62" i="13"/>
  <c r="R62" i="13"/>
  <c r="V62" i="13"/>
  <c r="Z62" i="13"/>
  <c r="AD62" i="13"/>
  <c r="AH62" i="13"/>
  <c r="AL62" i="13"/>
  <c r="AP62" i="13"/>
  <c r="AT62" i="13"/>
  <c r="AX62" i="13"/>
  <c r="D62" i="13"/>
  <c r="C63" i="13"/>
  <c r="B63" i="13" s="1"/>
  <c r="A63" i="13" s="1"/>
  <c r="F63" i="13" l="1"/>
  <c r="J63" i="13"/>
  <c r="N63" i="13"/>
  <c r="R63" i="13"/>
  <c r="V63" i="13"/>
  <c r="Z63" i="13"/>
  <c r="AD63" i="13"/>
  <c r="AH63" i="13"/>
  <c r="AL63" i="13"/>
  <c r="AP63" i="13"/>
  <c r="AT63" i="13"/>
  <c r="AX63" i="13"/>
  <c r="G63" i="13"/>
  <c r="K63" i="13"/>
  <c r="O63" i="13"/>
  <c r="S63" i="13"/>
  <c r="W63" i="13"/>
  <c r="AA63" i="13"/>
  <c r="AE63" i="13"/>
  <c r="AI63" i="13"/>
  <c r="AM63" i="13"/>
  <c r="AQ63" i="13"/>
  <c r="AU63" i="13"/>
  <c r="AY63" i="13"/>
  <c r="H63" i="13"/>
  <c r="L63" i="13"/>
  <c r="P63" i="13"/>
  <c r="T63" i="13"/>
  <c r="X63" i="13"/>
  <c r="AB63" i="13"/>
  <c r="AF63" i="13"/>
  <c r="AJ63" i="13"/>
  <c r="AN63" i="13"/>
  <c r="AR63" i="13"/>
  <c r="AV63" i="13"/>
  <c r="AZ63" i="13"/>
  <c r="E63" i="13"/>
  <c r="I63" i="13"/>
  <c r="M63" i="13"/>
  <c r="Q63" i="13"/>
  <c r="U63" i="13"/>
  <c r="Y63" i="13"/>
  <c r="AC63" i="13"/>
  <c r="AG63" i="13"/>
  <c r="AK63" i="13"/>
  <c r="AO63" i="13"/>
  <c r="AS63" i="13"/>
  <c r="AW63" i="13"/>
  <c r="BA63" i="13"/>
  <c r="D63" i="13"/>
  <c r="C64" i="13"/>
  <c r="B64" i="13" s="1"/>
  <c r="A64" i="13" s="1"/>
  <c r="E64" i="13" l="1"/>
  <c r="I64" i="13"/>
  <c r="M64" i="13"/>
  <c r="Q64" i="13"/>
  <c r="U64" i="13"/>
  <c r="Y64" i="13"/>
  <c r="AC64" i="13"/>
  <c r="AG64" i="13"/>
  <c r="AK64" i="13"/>
  <c r="AO64" i="13"/>
  <c r="AS64" i="13"/>
  <c r="AW64" i="13"/>
  <c r="BA64" i="13"/>
  <c r="F64" i="13"/>
  <c r="J64" i="13"/>
  <c r="N64" i="13"/>
  <c r="R64" i="13"/>
  <c r="V64" i="13"/>
  <c r="Z64" i="13"/>
  <c r="AD64" i="13"/>
  <c r="AH64" i="13"/>
  <c r="AL64" i="13"/>
  <c r="AP64" i="13"/>
  <c r="AT64" i="13"/>
  <c r="AX64" i="13"/>
  <c r="G64" i="13"/>
  <c r="K64" i="13"/>
  <c r="O64" i="13"/>
  <c r="S64" i="13"/>
  <c r="W64" i="13"/>
  <c r="AA64" i="13"/>
  <c r="AE64" i="13"/>
  <c r="AI64" i="13"/>
  <c r="AM64" i="13"/>
  <c r="AQ64" i="13"/>
  <c r="AU64" i="13"/>
  <c r="AY64" i="13"/>
  <c r="H64" i="13"/>
  <c r="L64" i="13"/>
  <c r="P64" i="13"/>
  <c r="T64" i="13"/>
  <c r="X64" i="13"/>
  <c r="AB64" i="13"/>
  <c r="AF64" i="13"/>
  <c r="AJ64" i="13"/>
  <c r="AN64" i="13"/>
  <c r="AR64" i="13"/>
  <c r="AV64" i="13"/>
  <c r="AZ64" i="13"/>
  <c r="D64" i="13"/>
  <c r="C65" i="13"/>
  <c r="B65" i="13" s="1"/>
  <c r="A65" i="13" s="1"/>
  <c r="G65" i="13" l="1"/>
  <c r="K65" i="13"/>
  <c r="O65" i="13"/>
  <c r="S65" i="13"/>
  <c r="W65" i="13"/>
  <c r="AA65" i="13"/>
  <c r="AE65" i="13"/>
  <c r="AI65" i="13"/>
  <c r="AM65" i="13"/>
  <c r="AQ65" i="13"/>
  <c r="AU65" i="13"/>
  <c r="AY65" i="13"/>
  <c r="D65" i="13"/>
  <c r="H65" i="13"/>
  <c r="L65" i="13"/>
  <c r="P65" i="13"/>
  <c r="T65" i="13"/>
  <c r="X65" i="13"/>
  <c r="AB65" i="13"/>
  <c r="AF65" i="13"/>
  <c r="AJ65" i="13"/>
  <c r="AN65" i="13"/>
  <c r="AR65" i="13"/>
  <c r="AV65" i="13"/>
  <c r="AZ65" i="13"/>
  <c r="E65" i="13"/>
  <c r="I65" i="13"/>
  <c r="M65" i="13"/>
  <c r="Q65" i="13"/>
  <c r="U65" i="13"/>
  <c r="Y65" i="13"/>
  <c r="AC65" i="13"/>
  <c r="AG65" i="13"/>
  <c r="AK65" i="13"/>
  <c r="AO65" i="13"/>
  <c r="AS65" i="13"/>
  <c r="AW65" i="13"/>
  <c r="BA65" i="13"/>
  <c r="F65" i="13"/>
  <c r="J65" i="13"/>
  <c r="N65" i="13"/>
  <c r="R65" i="13"/>
  <c r="V65" i="13"/>
  <c r="Z65" i="13"/>
  <c r="AD65" i="13"/>
  <c r="AH65" i="13"/>
  <c r="AL65" i="13"/>
  <c r="AP65" i="13"/>
  <c r="AT65" i="13"/>
  <c r="AX65" i="13"/>
  <c r="C66" i="13"/>
  <c r="B66" i="13" s="1"/>
  <c r="A66" i="13" s="1"/>
  <c r="F66" i="13" l="1"/>
  <c r="J66" i="13"/>
  <c r="N66" i="13"/>
  <c r="R66" i="13"/>
  <c r="V66" i="13"/>
  <c r="Z66" i="13"/>
  <c r="AD66" i="13"/>
  <c r="AH66" i="13"/>
  <c r="AL66" i="13"/>
  <c r="AP66" i="13"/>
  <c r="AT66" i="13"/>
  <c r="AX66" i="13"/>
  <c r="G66" i="13"/>
  <c r="K66" i="13"/>
  <c r="O66" i="13"/>
  <c r="S66" i="13"/>
  <c r="W66" i="13"/>
  <c r="AA66" i="13"/>
  <c r="AE66" i="13"/>
  <c r="AI66" i="13"/>
  <c r="AM66" i="13"/>
  <c r="AQ66" i="13"/>
  <c r="AU66" i="13"/>
  <c r="AY66" i="13"/>
  <c r="H66" i="13"/>
  <c r="L66" i="13"/>
  <c r="P66" i="13"/>
  <c r="T66" i="13"/>
  <c r="X66" i="13"/>
  <c r="AB66" i="13"/>
  <c r="AF66" i="13"/>
  <c r="AJ66" i="13"/>
  <c r="AN66" i="13"/>
  <c r="AR66" i="13"/>
  <c r="AV66" i="13"/>
  <c r="AZ66" i="13"/>
  <c r="E66" i="13"/>
  <c r="I66" i="13"/>
  <c r="M66" i="13"/>
  <c r="Q66" i="13"/>
  <c r="U66" i="13"/>
  <c r="Y66" i="13"/>
  <c r="AC66" i="13"/>
  <c r="AG66" i="13"/>
  <c r="AK66" i="13"/>
  <c r="AO66" i="13"/>
  <c r="AS66" i="13"/>
  <c r="AW66" i="13"/>
  <c r="BA66" i="13"/>
  <c r="D66" i="13"/>
  <c r="C67" i="13"/>
  <c r="B67" i="13" s="1"/>
  <c r="A67" i="13" s="1"/>
  <c r="E67" i="13" l="1"/>
  <c r="I67" i="13"/>
  <c r="M67" i="13"/>
  <c r="Q67" i="13"/>
  <c r="U67" i="13"/>
  <c r="Y67" i="13"/>
  <c r="AC67" i="13"/>
  <c r="AG67" i="13"/>
  <c r="AK67" i="13"/>
  <c r="AO67" i="13"/>
  <c r="AS67" i="13"/>
  <c r="AW67" i="13"/>
  <c r="BA67" i="13"/>
  <c r="F67" i="13"/>
  <c r="J67" i="13"/>
  <c r="N67" i="13"/>
  <c r="R67" i="13"/>
  <c r="V67" i="13"/>
  <c r="Z67" i="13"/>
  <c r="AD67" i="13"/>
  <c r="AH67" i="13"/>
  <c r="AL67" i="13"/>
  <c r="AP67" i="13"/>
  <c r="AT67" i="13"/>
  <c r="AX67" i="13"/>
  <c r="G67" i="13"/>
  <c r="K67" i="13"/>
  <c r="O67" i="13"/>
  <c r="S67" i="13"/>
  <c r="W67" i="13"/>
  <c r="AA67" i="13"/>
  <c r="AE67" i="13"/>
  <c r="AI67" i="13"/>
  <c r="AM67" i="13"/>
  <c r="AQ67" i="13"/>
  <c r="AU67" i="13"/>
  <c r="AY67" i="13"/>
  <c r="H67" i="13"/>
  <c r="L67" i="13"/>
  <c r="P67" i="13"/>
  <c r="T67" i="13"/>
  <c r="X67" i="13"/>
  <c r="AB67" i="13"/>
  <c r="AF67" i="13"/>
  <c r="AJ67" i="13"/>
  <c r="AN67" i="13"/>
  <c r="AR67" i="13"/>
  <c r="AV67" i="13"/>
  <c r="AZ67" i="13"/>
  <c r="D67" i="13"/>
  <c r="C68" i="13"/>
  <c r="B68" i="13" s="1"/>
  <c r="A68" i="13" s="1"/>
  <c r="H68" i="13" l="1"/>
  <c r="L68" i="13"/>
  <c r="P68" i="13"/>
  <c r="T68" i="13"/>
  <c r="X68" i="13"/>
  <c r="AB68" i="13"/>
  <c r="AF68" i="13"/>
  <c r="AJ68" i="13"/>
  <c r="AN68" i="13"/>
  <c r="AR68" i="13"/>
  <c r="AV68" i="13"/>
  <c r="AZ68" i="13"/>
  <c r="E68" i="13"/>
  <c r="I68" i="13"/>
  <c r="M68" i="13"/>
  <c r="Q68" i="13"/>
  <c r="U68" i="13"/>
  <c r="Y68" i="13"/>
  <c r="AC68" i="13"/>
  <c r="AG68" i="13"/>
  <c r="AK68" i="13"/>
  <c r="AO68" i="13"/>
  <c r="AS68" i="13"/>
  <c r="AW68" i="13"/>
  <c r="BA68" i="13"/>
  <c r="F68" i="13"/>
  <c r="J68" i="13"/>
  <c r="N68" i="13"/>
  <c r="R68" i="13"/>
  <c r="V68" i="13"/>
  <c r="Z68" i="13"/>
  <c r="AD68" i="13"/>
  <c r="AH68" i="13"/>
  <c r="AL68" i="13"/>
  <c r="AP68" i="13"/>
  <c r="AT68" i="13"/>
  <c r="AX68" i="13"/>
  <c r="G68" i="13"/>
  <c r="K68" i="13"/>
  <c r="O68" i="13"/>
  <c r="S68" i="13"/>
  <c r="W68" i="13"/>
  <c r="AA68" i="13"/>
  <c r="AE68" i="13"/>
  <c r="AI68" i="13"/>
  <c r="AM68" i="13"/>
  <c r="AQ68" i="13"/>
  <c r="AU68" i="13"/>
  <c r="AY68" i="13"/>
  <c r="D68" i="13"/>
  <c r="C69" i="13"/>
  <c r="B69" i="13" s="1"/>
  <c r="A69" i="13" s="1"/>
  <c r="G69" i="13" l="1"/>
  <c r="K69" i="13"/>
  <c r="O69" i="13"/>
  <c r="S69" i="13"/>
  <c r="W69" i="13"/>
  <c r="AA69" i="13"/>
  <c r="AE69" i="13"/>
  <c r="AI69" i="13"/>
  <c r="AM69" i="13"/>
  <c r="AQ69" i="13"/>
  <c r="AU69" i="13"/>
  <c r="AY69" i="13"/>
  <c r="H69" i="13"/>
  <c r="L69" i="13"/>
  <c r="P69" i="13"/>
  <c r="T69" i="13"/>
  <c r="X69" i="13"/>
  <c r="AB69" i="13"/>
  <c r="AF69" i="13"/>
  <c r="AJ69" i="13"/>
  <c r="AN69" i="13"/>
  <c r="AR69" i="13"/>
  <c r="AV69" i="13"/>
  <c r="AZ69" i="13"/>
  <c r="E69" i="13"/>
  <c r="I69" i="13"/>
  <c r="M69" i="13"/>
  <c r="Q69" i="13"/>
  <c r="U69" i="13"/>
  <c r="Y69" i="13"/>
  <c r="AC69" i="13"/>
  <c r="AG69" i="13"/>
  <c r="AK69" i="13"/>
  <c r="AO69" i="13"/>
  <c r="AS69" i="13"/>
  <c r="AW69" i="13"/>
  <c r="BA69" i="13"/>
  <c r="F69" i="13"/>
  <c r="J69" i="13"/>
  <c r="N69" i="13"/>
  <c r="R69" i="13"/>
  <c r="V69" i="13"/>
  <c r="Z69" i="13"/>
  <c r="AD69" i="13"/>
  <c r="AH69" i="13"/>
  <c r="AL69" i="13"/>
  <c r="AP69" i="13"/>
  <c r="AT69" i="13"/>
  <c r="AX69" i="13"/>
  <c r="D69" i="13"/>
  <c r="C70" i="13"/>
  <c r="B70" i="13" s="1"/>
  <c r="A70" i="13" s="1"/>
  <c r="F70" i="13" l="1"/>
  <c r="J70" i="13"/>
  <c r="N70" i="13"/>
  <c r="R70" i="13"/>
  <c r="V70" i="13"/>
  <c r="Z70" i="13"/>
  <c r="AD70" i="13"/>
  <c r="AH70" i="13"/>
  <c r="AL70" i="13"/>
  <c r="AP70" i="13"/>
  <c r="AT70" i="13"/>
  <c r="AX70" i="13"/>
  <c r="G70" i="13"/>
  <c r="K70" i="13"/>
  <c r="O70" i="13"/>
  <c r="S70" i="13"/>
  <c r="W70" i="13"/>
  <c r="AA70" i="13"/>
  <c r="AE70" i="13"/>
  <c r="AI70" i="13"/>
  <c r="AM70" i="13"/>
  <c r="AQ70" i="13"/>
  <c r="AU70" i="13"/>
  <c r="AY70" i="13"/>
  <c r="H70" i="13"/>
  <c r="L70" i="13"/>
  <c r="P70" i="13"/>
  <c r="T70" i="13"/>
  <c r="X70" i="13"/>
  <c r="AB70" i="13"/>
  <c r="AF70" i="13"/>
  <c r="AJ70" i="13"/>
  <c r="AN70" i="13"/>
  <c r="AR70" i="13"/>
  <c r="AV70" i="13"/>
  <c r="AZ70" i="13"/>
  <c r="E70" i="13"/>
  <c r="I70" i="13"/>
  <c r="M70" i="13"/>
  <c r="Q70" i="13"/>
  <c r="U70" i="13"/>
  <c r="Y70" i="13"/>
  <c r="AC70" i="13"/>
  <c r="AG70" i="13"/>
  <c r="AK70" i="13"/>
  <c r="AO70" i="13"/>
  <c r="AS70" i="13"/>
  <c r="AW70" i="13"/>
  <c r="BA70" i="13"/>
  <c r="D70" i="13"/>
  <c r="C71" i="13"/>
  <c r="B71" i="13" s="1"/>
  <c r="A71" i="13" s="1"/>
  <c r="D71" i="13" l="1"/>
  <c r="H71" i="13"/>
  <c r="L71" i="13"/>
  <c r="P71" i="13"/>
  <c r="T71" i="13"/>
  <c r="X71" i="13"/>
  <c r="AB71" i="13"/>
  <c r="AF71" i="13"/>
  <c r="AJ71" i="13"/>
  <c r="AN71" i="13"/>
  <c r="AR71" i="13"/>
  <c r="AV71" i="13"/>
  <c r="AZ71" i="13"/>
  <c r="E71" i="13"/>
  <c r="I71" i="13"/>
  <c r="M71" i="13"/>
  <c r="Q71" i="13"/>
  <c r="U71" i="13"/>
  <c r="Y71" i="13"/>
  <c r="AC71" i="13"/>
  <c r="AG71" i="13"/>
  <c r="AK71" i="13"/>
  <c r="AO71" i="13"/>
  <c r="AS71" i="13"/>
  <c r="AW71" i="13"/>
  <c r="BA71" i="13"/>
  <c r="F71" i="13"/>
  <c r="J71" i="13"/>
  <c r="N71" i="13"/>
  <c r="R71" i="13"/>
  <c r="V71" i="13"/>
  <c r="Z71" i="13"/>
  <c r="AD71" i="13"/>
  <c r="AH71" i="13"/>
  <c r="AL71" i="13"/>
  <c r="AP71" i="13"/>
  <c r="AT71" i="13"/>
  <c r="AX71" i="13"/>
  <c r="G71" i="13"/>
  <c r="K71" i="13"/>
  <c r="O71" i="13"/>
  <c r="S71" i="13"/>
  <c r="W71" i="13"/>
  <c r="AA71" i="13"/>
  <c r="AE71" i="13"/>
  <c r="AI71" i="13"/>
  <c r="AM71" i="13"/>
  <c r="AQ71" i="13"/>
  <c r="AU71" i="13"/>
  <c r="AY71" i="13"/>
  <c r="C72" i="13"/>
  <c r="B72" i="13" s="1"/>
  <c r="A72" i="13" s="1"/>
  <c r="H72" i="13" l="1"/>
  <c r="L72" i="13"/>
  <c r="P72" i="13"/>
  <c r="T72" i="13"/>
  <c r="X72" i="13"/>
  <c r="AB72" i="13"/>
  <c r="AF72" i="13"/>
  <c r="E72" i="13"/>
  <c r="I72" i="13"/>
  <c r="M72" i="13"/>
  <c r="Q72" i="13"/>
  <c r="U72" i="13"/>
  <c r="Y72" i="13"/>
  <c r="AC72" i="13"/>
  <c r="K72" i="13"/>
  <c r="S72" i="13"/>
  <c r="AA72" i="13"/>
  <c r="AH72" i="13"/>
  <c r="AL72" i="13"/>
  <c r="AP72" i="13"/>
  <c r="AT72" i="13"/>
  <c r="AX72" i="13"/>
  <c r="F72" i="13"/>
  <c r="N72" i="13"/>
  <c r="V72" i="13"/>
  <c r="AD72" i="13"/>
  <c r="AI72" i="13"/>
  <c r="AM72" i="13"/>
  <c r="AQ72" i="13"/>
  <c r="AU72" i="13"/>
  <c r="AY72" i="13"/>
  <c r="G72" i="13"/>
  <c r="O72" i="13"/>
  <c r="W72" i="13"/>
  <c r="AE72" i="13"/>
  <c r="AJ72" i="13"/>
  <c r="AN72" i="13"/>
  <c r="AR72" i="13"/>
  <c r="AV72" i="13"/>
  <c r="AZ72" i="13"/>
  <c r="J72" i="13"/>
  <c r="AK72" i="13"/>
  <c r="BA72" i="13"/>
  <c r="R72" i="13"/>
  <c r="AO72" i="13"/>
  <c r="Z72" i="13"/>
  <c r="AS72" i="13"/>
  <c r="AG72" i="13"/>
  <c r="AW72" i="13"/>
  <c r="D72" i="13"/>
  <c r="C73" i="13"/>
  <c r="B73" i="13" s="1"/>
  <c r="A73" i="13" s="1"/>
  <c r="D73" i="13" l="1"/>
  <c r="H73" i="13"/>
  <c r="L73" i="13"/>
  <c r="P73" i="13"/>
  <c r="T73" i="13"/>
  <c r="X73" i="13"/>
  <c r="AB73" i="13"/>
  <c r="AF73" i="13"/>
  <c r="AJ73" i="13"/>
  <c r="AN73" i="13"/>
  <c r="AR73" i="13"/>
  <c r="AV73" i="13"/>
  <c r="AZ73" i="13"/>
  <c r="E73" i="13"/>
  <c r="I73" i="13"/>
  <c r="M73" i="13"/>
  <c r="Q73" i="13"/>
  <c r="U73" i="13"/>
  <c r="Y73" i="13"/>
  <c r="AC73" i="13"/>
  <c r="AG73" i="13"/>
  <c r="AK73" i="13"/>
  <c r="AO73" i="13"/>
  <c r="AS73" i="13"/>
  <c r="AW73" i="13"/>
  <c r="BA73" i="13"/>
  <c r="F73" i="13"/>
  <c r="J73" i="13"/>
  <c r="N73" i="13"/>
  <c r="R73" i="13"/>
  <c r="V73" i="13"/>
  <c r="Z73" i="13"/>
  <c r="AD73" i="13"/>
  <c r="AH73" i="13"/>
  <c r="AL73" i="13"/>
  <c r="AP73" i="13"/>
  <c r="AT73" i="13"/>
  <c r="AX73" i="13"/>
  <c r="S73" i="13"/>
  <c r="AI73" i="13"/>
  <c r="AY73" i="13"/>
  <c r="G73" i="13"/>
  <c r="W73" i="13"/>
  <c r="AM73" i="13"/>
  <c r="K73" i="13"/>
  <c r="AA73" i="13"/>
  <c r="AQ73" i="13"/>
  <c r="O73" i="13"/>
  <c r="AE73" i="13"/>
  <c r="AU73" i="13"/>
  <c r="C74" i="13"/>
  <c r="B74" i="13" s="1"/>
  <c r="A74" i="13" s="1"/>
  <c r="G74" i="13" l="1"/>
  <c r="K74" i="13"/>
  <c r="O74" i="13"/>
  <c r="S74" i="13"/>
  <c r="W74" i="13"/>
  <c r="AA74" i="13"/>
  <c r="AE74" i="13"/>
  <c r="AI74" i="13"/>
  <c r="AM74" i="13"/>
  <c r="AQ74" i="13"/>
  <c r="AU74" i="13"/>
  <c r="AY74" i="13"/>
  <c r="H74" i="13"/>
  <c r="L74" i="13"/>
  <c r="P74" i="13"/>
  <c r="T74" i="13"/>
  <c r="X74" i="13"/>
  <c r="AB74" i="13"/>
  <c r="AF74" i="13"/>
  <c r="AJ74" i="13"/>
  <c r="AN74" i="13"/>
  <c r="AR74" i="13"/>
  <c r="AV74" i="13"/>
  <c r="AZ74" i="13"/>
  <c r="E74" i="13"/>
  <c r="I74" i="13"/>
  <c r="M74" i="13"/>
  <c r="Q74" i="13"/>
  <c r="U74" i="13"/>
  <c r="Y74" i="13"/>
  <c r="AC74" i="13"/>
  <c r="AG74" i="13"/>
  <c r="AK74" i="13"/>
  <c r="AO74" i="13"/>
  <c r="AS74" i="13"/>
  <c r="AW74" i="13"/>
  <c r="BA74" i="13"/>
  <c r="R74" i="13"/>
  <c r="AH74" i="13"/>
  <c r="AX74" i="13"/>
  <c r="F74" i="13"/>
  <c r="V74" i="13"/>
  <c r="AL74" i="13"/>
  <c r="J74" i="13"/>
  <c r="Z74" i="13"/>
  <c r="AP74" i="13"/>
  <c r="N74" i="13"/>
  <c r="AD74" i="13"/>
  <c r="AT74" i="13"/>
  <c r="D74" i="13"/>
  <c r="C75" i="13"/>
  <c r="B75" i="13" s="1"/>
  <c r="A75" i="13" s="1"/>
  <c r="E75" i="13" l="1"/>
  <c r="I75" i="13"/>
  <c r="M75" i="13"/>
  <c r="Q75" i="13"/>
  <c r="U75" i="13"/>
  <c r="Y75" i="13"/>
  <c r="AC75" i="13"/>
  <c r="AG75" i="13"/>
  <c r="AK75" i="13"/>
  <c r="AO75" i="13"/>
  <c r="AS75" i="13"/>
  <c r="AW75" i="13"/>
  <c r="BA75" i="13"/>
  <c r="F75" i="13"/>
  <c r="J75" i="13"/>
  <c r="N75" i="13"/>
  <c r="R75" i="13"/>
  <c r="V75" i="13"/>
  <c r="Z75" i="13"/>
  <c r="AD75" i="13"/>
  <c r="AH75" i="13"/>
  <c r="AL75" i="13"/>
  <c r="AP75" i="13"/>
  <c r="AT75" i="13"/>
  <c r="AX75" i="13"/>
  <c r="G75" i="13"/>
  <c r="K75" i="13"/>
  <c r="O75" i="13"/>
  <c r="S75" i="13"/>
  <c r="W75" i="13"/>
  <c r="AA75" i="13"/>
  <c r="AE75" i="13"/>
  <c r="AI75" i="13"/>
  <c r="AM75" i="13"/>
  <c r="AQ75" i="13"/>
  <c r="AU75" i="13"/>
  <c r="AY75" i="13"/>
  <c r="P75" i="13"/>
  <c r="AF75" i="13"/>
  <c r="AV75" i="13"/>
  <c r="D75" i="13"/>
  <c r="T75" i="13"/>
  <c r="AJ75" i="13"/>
  <c r="AZ75" i="13"/>
  <c r="H75" i="13"/>
  <c r="X75" i="13"/>
  <c r="AN75" i="13"/>
  <c r="L75" i="13"/>
  <c r="AB75" i="13"/>
  <c r="AR75" i="13"/>
  <c r="C76" i="13"/>
  <c r="B76" i="13" s="1"/>
  <c r="A76" i="13" s="1"/>
  <c r="H76" i="13" l="1"/>
  <c r="L76" i="13"/>
  <c r="P76" i="13"/>
  <c r="T76" i="13"/>
  <c r="X76" i="13"/>
  <c r="AB76" i="13"/>
  <c r="AF76" i="13"/>
  <c r="AJ76" i="13"/>
  <c r="AN76" i="13"/>
  <c r="AR76" i="13"/>
  <c r="AV76" i="13"/>
  <c r="AZ76" i="13"/>
  <c r="E76" i="13"/>
  <c r="I76" i="13"/>
  <c r="M76" i="13"/>
  <c r="Q76" i="13"/>
  <c r="U76" i="13"/>
  <c r="Y76" i="13"/>
  <c r="AC76" i="13"/>
  <c r="AG76" i="13"/>
  <c r="AK76" i="13"/>
  <c r="AO76" i="13"/>
  <c r="AS76" i="13"/>
  <c r="AW76" i="13"/>
  <c r="BA76" i="13"/>
  <c r="F76" i="13"/>
  <c r="J76" i="13"/>
  <c r="N76" i="13"/>
  <c r="R76" i="13"/>
  <c r="V76" i="13"/>
  <c r="Z76" i="13"/>
  <c r="AD76" i="13"/>
  <c r="AH76" i="13"/>
  <c r="AL76" i="13"/>
  <c r="AP76" i="13"/>
  <c r="AT76" i="13"/>
  <c r="AX76" i="13"/>
  <c r="O76" i="13"/>
  <c r="AE76" i="13"/>
  <c r="AU76" i="13"/>
  <c r="S76" i="13"/>
  <c r="AI76" i="13"/>
  <c r="AY76" i="13"/>
  <c r="G76" i="13"/>
  <c r="W76" i="13"/>
  <c r="AM76" i="13"/>
  <c r="K76" i="13"/>
  <c r="AA76" i="13"/>
  <c r="AQ76" i="13"/>
  <c r="D76" i="13"/>
  <c r="C77" i="13"/>
  <c r="B77" i="13" s="1"/>
  <c r="A77" i="13" s="1"/>
  <c r="F77" i="13" l="1"/>
  <c r="J77" i="13"/>
  <c r="N77" i="13"/>
  <c r="R77" i="13"/>
  <c r="V77" i="13"/>
  <c r="Z77" i="13"/>
  <c r="AD77" i="13"/>
  <c r="AH77" i="13"/>
  <c r="AL77" i="13"/>
  <c r="AP77" i="13"/>
  <c r="AT77" i="13"/>
  <c r="AX77" i="13"/>
  <c r="G77" i="13"/>
  <c r="K77" i="13"/>
  <c r="O77" i="13"/>
  <c r="S77" i="13"/>
  <c r="W77" i="13"/>
  <c r="AA77" i="13"/>
  <c r="AE77" i="13"/>
  <c r="AI77" i="13"/>
  <c r="AM77" i="13"/>
  <c r="AQ77" i="13"/>
  <c r="AU77" i="13"/>
  <c r="AY77" i="13"/>
  <c r="D77" i="13"/>
  <c r="H77" i="13"/>
  <c r="L77" i="13"/>
  <c r="P77" i="13"/>
  <c r="T77" i="13"/>
  <c r="X77" i="13"/>
  <c r="AB77" i="13"/>
  <c r="AF77" i="13"/>
  <c r="AJ77" i="13"/>
  <c r="AN77" i="13"/>
  <c r="AR77" i="13"/>
  <c r="AV77" i="13"/>
  <c r="AZ77" i="13"/>
  <c r="M77" i="13"/>
  <c r="AC77" i="13"/>
  <c r="AS77" i="13"/>
  <c r="Q77" i="13"/>
  <c r="AG77" i="13"/>
  <c r="AW77" i="13"/>
  <c r="E77" i="13"/>
  <c r="U77" i="13"/>
  <c r="AK77" i="13"/>
  <c r="BA77" i="13"/>
  <c r="I77" i="13"/>
  <c r="Y77" i="13"/>
  <c r="AO77" i="13"/>
  <c r="C78" i="13"/>
  <c r="B78" i="13" s="1"/>
  <c r="A78" i="13" s="1"/>
  <c r="E78" i="13" l="1"/>
  <c r="I78" i="13"/>
  <c r="M78" i="13"/>
  <c r="Q78" i="13"/>
  <c r="U78" i="13"/>
  <c r="Y78" i="13"/>
  <c r="AC78" i="13"/>
  <c r="AG78" i="13"/>
  <c r="AK78" i="13"/>
  <c r="AO78" i="13"/>
  <c r="AS78" i="13"/>
  <c r="AW78" i="13"/>
  <c r="BA78" i="13"/>
  <c r="F78" i="13"/>
  <c r="J78" i="13"/>
  <c r="N78" i="13"/>
  <c r="R78" i="13"/>
  <c r="V78" i="13"/>
  <c r="Z78" i="13"/>
  <c r="AD78" i="13"/>
  <c r="AH78" i="13"/>
  <c r="AL78" i="13"/>
  <c r="AP78" i="13"/>
  <c r="AT78" i="13"/>
  <c r="AX78" i="13"/>
  <c r="G78" i="13"/>
  <c r="K78" i="13"/>
  <c r="O78" i="13"/>
  <c r="S78" i="13"/>
  <c r="W78" i="13"/>
  <c r="AA78" i="13"/>
  <c r="AE78" i="13"/>
  <c r="AI78" i="13"/>
  <c r="AM78" i="13"/>
  <c r="AQ78" i="13"/>
  <c r="AU78" i="13"/>
  <c r="AY78" i="13"/>
  <c r="L78" i="13"/>
  <c r="AB78" i="13"/>
  <c r="AR78" i="13"/>
  <c r="P78" i="13"/>
  <c r="AF78" i="13"/>
  <c r="AV78" i="13"/>
  <c r="T78" i="13"/>
  <c r="AJ78" i="13"/>
  <c r="AZ78" i="13"/>
  <c r="H78" i="13"/>
  <c r="X78" i="13"/>
  <c r="AN78" i="13"/>
  <c r="D78" i="13"/>
  <c r="C79" i="13"/>
  <c r="B79" i="13" s="1"/>
  <c r="A79" i="13" s="1"/>
  <c r="G79" i="13" l="1"/>
  <c r="K79" i="13"/>
  <c r="O79" i="13"/>
  <c r="S79" i="13"/>
  <c r="W79" i="13"/>
  <c r="AA79" i="13"/>
  <c r="AE79" i="13"/>
  <c r="AI79" i="13"/>
  <c r="AM79" i="13"/>
  <c r="AQ79" i="13"/>
  <c r="AU79" i="13"/>
  <c r="AY79" i="13"/>
  <c r="D79" i="13"/>
  <c r="H79" i="13"/>
  <c r="L79" i="13"/>
  <c r="P79" i="13"/>
  <c r="T79" i="13"/>
  <c r="X79" i="13"/>
  <c r="AB79" i="13"/>
  <c r="AF79" i="13"/>
  <c r="AJ79" i="13"/>
  <c r="AN79" i="13"/>
  <c r="AR79" i="13"/>
  <c r="AV79" i="13"/>
  <c r="AZ79" i="13"/>
  <c r="E79" i="13"/>
  <c r="I79" i="13"/>
  <c r="M79" i="13"/>
  <c r="Q79" i="13"/>
  <c r="U79" i="13"/>
  <c r="Y79" i="13"/>
  <c r="AC79" i="13"/>
  <c r="AG79" i="13"/>
  <c r="AK79" i="13"/>
  <c r="AO79" i="13"/>
  <c r="AS79" i="13"/>
  <c r="AW79" i="13"/>
  <c r="BA79" i="13"/>
  <c r="J79" i="13"/>
  <c r="Z79" i="13"/>
  <c r="AP79" i="13"/>
  <c r="N79" i="13"/>
  <c r="AD79" i="13"/>
  <c r="AT79" i="13"/>
  <c r="R79" i="13"/>
  <c r="AH79" i="13"/>
  <c r="AX79" i="13"/>
  <c r="F79" i="13"/>
  <c r="V79" i="13"/>
  <c r="AL79" i="13"/>
  <c r="C80" i="13"/>
  <c r="B80" i="13" s="1"/>
  <c r="A80" i="13" s="1"/>
  <c r="F80" i="13" l="1"/>
  <c r="J80" i="13"/>
  <c r="N80" i="13"/>
  <c r="R80" i="13"/>
  <c r="V80" i="13"/>
  <c r="Z80" i="13"/>
  <c r="AD80" i="13"/>
  <c r="AH80" i="13"/>
  <c r="AL80" i="13"/>
  <c r="AP80" i="13"/>
  <c r="AT80" i="13"/>
  <c r="AX80" i="13"/>
  <c r="G80" i="13"/>
  <c r="K80" i="13"/>
  <c r="O80" i="13"/>
  <c r="S80" i="13"/>
  <c r="W80" i="13"/>
  <c r="AA80" i="13"/>
  <c r="AE80" i="13"/>
  <c r="AI80" i="13"/>
  <c r="AM80" i="13"/>
  <c r="AQ80" i="13"/>
  <c r="AU80" i="13"/>
  <c r="AY80" i="13"/>
  <c r="H80" i="13"/>
  <c r="L80" i="13"/>
  <c r="P80" i="13"/>
  <c r="T80" i="13"/>
  <c r="X80" i="13"/>
  <c r="AB80" i="13"/>
  <c r="AF80" i="13"/>
  <c r="AJ80" i="13"/>
  <c r="AN80" i="13"/>
  <c r="AR80" i="13"/>
  <c r="AV80" i="13"/>
  <c r="AZ80" i="13"/>
  <c r="I80" i="13"/>
  <c r="Y80" i="13"/>
  <c r="AO80" i="13"/>
  <c r="M80" i="13"/>
  <c r="AC80" i="13"/>
  <c r="AS80" i="13"/>
  <c r="Q80" i="13"/>
  <c r="AG80" i="13"/>
  <c r="AW80" i="13"/>
  <c r="E80" i="13"/>
  <c r="U80" i="13"/>
  <c r="AK80" i="13"/>
  <c r="BA80" i="13"/>
  <c r="D80" i="13"/>
  <c r="C81" i="13"/>
  <c r="B81" i="13" s="1"/>
  <c r="A81" i="13" s="1"/>
  <c r="D81" i="13" l="1"/>
  <c r="H81" i="13"/>
  <c r="L81" i="13"/>
  <c r="P81" i="13"/>
  <c r="T81" i="13"/>
  <c r="X81" i="13"/>
  <c r="AB81" i="13"/>
  <c r="AF81" i="13"/>
  <c r="AJ81" i="13"/>
  <c r="AN81" i="13"/>
  <c r="AR81" i="13"/>
  <c r="AV81" i="13"/>
  <c r="AZ81" i="13"/>
  <c r="E81" i="13"/>
  <c r="I81" i="13"/>
  <c r="M81" i="13"/>
  <c r="Q81" i="13"/>
  <c r="U81" i="13"/>
  <c r="Y81" i="13"/>
  <c r="AC81" i="13"/>
  <c r="AG81" i="13"/>
  <c r="AK81" i="13"/>
  <c r="AO81" i="13"/>
  <c r="AS81" i="13"/>
  <c r="AW81" i="13"/>
  <c r="BA81" i="13"/>
  <c r="F81" i="13"/>
  <c r="J81" i="13"/>
  <c r="N81" i="13"/>
  <c r="R81" i="13"/>
  <c r="V81" i="13"/>
  <c r="Z81" i="13"/>
  <c r="AD81" i="13"/>
  <c r="AH81" i="13"/>
  <c r="AL81" i="13"/>
  <c r="AP81" i="13"/>
  <c r="AT81" i="13"/>
  <c r="AX81" i="13"/>
  <c r="G81" i="13"/>
  <c r="W81" i="13"/>
  <c r="AM81" i="13"/>
  <c r="K81" i="13"/>
  <c r="AA81" i="13"/>
  <c r="AQ81" i="13"/>
  <c r="O81" i="13"/>
  <c r="AE81" i="13"/>
  <c r="AU81" i="13"/>
  <c r="S81" i="13"/>
  <c r="AI81" i="13"/>
  <c r="AY81" i="13"/>
  <c r="C82" i="13"/>
  <c r="B82" i="13" s="1"/>
  <c r="A82" i="13" s="1"/>
  <c r="G82" i="13" l="1"/>
  <c r="K82" i="13"/>
  <c r="O82" i="13"/>
  <c r="S82" i="13"/>
  <c r="W82" i="13"/>
  <c r="AA82" i="13"/>
  <c r="AE82" i="13"/>
  <c r="AI82" i="13"/>
  <c r="AM82" i="13"/>
  <c r="AQ82" i="13"/>
  <c r="AU82" i="13"/>
  <c r="AY82" i="13"/>
  <c r="H82" i="13"/>
  <c r="L82" i="13"/>
  <c r="P82" i="13"/>
  <c r="T82" i="13"/>
  <c r="X82" i="13"/>
  <c r="AB82" i="13"/>
  <c r="AF82" i="13"/>
  <c r="AJ82" i="13"/>
  <c r="AN82" i="13"/>
  <c r="AR82" i="13"/>
  <c r="AV82" i="13"/>
  <c r="AZ82" i="13"/>
  <c r="E82" i="13"/>
  <c r="I82" i="13"/>
  <c r="M82" i="13"/>
  <c r="Q82" i="13"/>
  <c r="U82" i="13"/>
  <c r="Y82" i="13"/>
  <c r="AC82" i="13"/>
  <c r="AG82" i="13"/>
  <c r="AK82" i="13"/>
  <c r="AO82" i="13"/>
  <c r="AS82" i="13"/>
  <c r="AW82" i="13"/>
  <c r="BA82" i="13"/>
  <c r="F82" i="13"/>
  <c r="V82" i="13"/>
  <c r="AL82" i="13"/>
  <c r="J82" i="13"/>
  <c r="Z82" i="13"/>
  <c r="AP82" i="13"/>
  <c r="N82" i="13"/>
  <c r="AD82" i="13"/>
  <c r="AT82" i="13"/>
  <c r="R82" i="13"/>
  <c r="AH82" i="13"/>
  <c r="AX82" i="13"/>
  <c r="D82" i="13"/>
  <c r="C83" i="13"/>
  <c r="B83" i="13" s="1"/>
  <c r="A83" i="13" s="1"/>
  <c r="E83" i="13" l="1"/>
  <c r="I83" i="13"/>
  <c r="M83" i="13"/>
  <c r="Q83" i="13"/>
  <c r="U83" i="13"/>
  <c r="Y83" i="13"/>
  <c r="AC83" i="13"/>
  <c r="AG83" i="13"/>
  <c r="AK83" i="13"/>
  <c r="AO83" i="13"/>
  <c r="AS83" i="13"/>
  <c r="AW83" i="13"/>
  <c r="BA83" i="13"/>
  <c r="F83" i="13"/>
  <c r="J83" i="13"/>
  <c r="N83" i="13"/>
  <c r="R83" i="13"/>
  <c r="V83" i="13"/>
  <c r="Z83" i="13"/>
  <c r="AD83" i="13"/>
  <c r="AH83" i="13"/>
  <c r="AL83" i="13"/>
  <c r="AP83" i="13"/>
  <c r="AT83" i="13"/>
  <c r="AX83" i="13"/>
  <c r="G83" i="13"/>
  <c r="K83" i="13"/>
  <c r="O83" i="13"/>
  <c r="S83" i="13"/>
  <c r="W83" i="13"/>
  <c r="AA83" i="13"/>
  <c r="AE83" i="13"/>
  <c r="AI83" i="13"/>
  <c r="AM83" i="13"/>
  <c r="AQ83" i="13"/>
  <c r="AU83" i="13"/>
  <c r="AY83" i="13"/>
  <c r="D83" i="13"/>
  <c r="T83" i="13"/>
  <c r="AJ83" i="13"/>
  <c r="AZ83" i="13"/>
  <c r="H83" i="13"/>
  <c r="X83" i="13"/>
  <c r="AN83" i="13"/>
  <c r="L83" i="13"/>
  <c r="AB83" i="13"/>
  <c r="AR83" i="13"/>
  <c r="P83" i="13"/>
  <c r="AF83" i="13"/>
  <c r="AV83" i="13"/>
  <c r="C84" i="13"/>
  <c r="B84" i="13" s="1"/>
  <c r="A84" i="13" s="1"/>
  <c r="H84" i="13" l="1"/>
  <c r="L84" i="13"/>
  <c r="P84" i="13"/>
  <c r="T84" i="13"/>
  <c r="X84" i="13"/>
  <c r="AB84" i="13"/>
  <c r="AF84" i="13"/>
  <c r="AJ84" i="13"/>
  <c r="AN84" i="13"/>
  <c r="AR84" i="13"/>
  <c r="AV84" i="13"/>
  <c r="AZ84" i="13"/>
  <c r="E84" i="13"/>
  <c r="I84" i="13"/>
  <c r="M84" i="13"/>
  <c r="Q84" i="13"/>
  <c r="U84" i="13"/>
  <c r="Y84" i="13"/>
  <c r="AC84" i="13"/>
  <c r="AG84" i="13"/>
  <c r="AK84" i="13"/>
  <c r="AO84" i="13"/>
  <c r="AS84" i="13"/>
  <c r="AW84" i="13"/>
  <c r="BA84" i="13"/>
  <c r="F84" i="13"/>
  <c r="J84" i="13"/>
  <c r="N84" i="13"/>
  <c r="R84" i="13"/>
  <c r="V84" i="13"/>
  <c r="Z84" i="13"/>
  <c r="AD84" i="13"/>
  <c r="AH84" i="13"/>
  <c r="AL84" i="13"/>
  <c r="AP84" i="13"/>
  <c r="AT84" i="13"/>
  <c r="AX84" i="13"/>
  <c r="S84" i="13"/>
  <c r="AI84" i="13"/>
  <c r="AY84" i="13"/>
  <c r="G84" i="13"/>
  <c r="W84" i="13"/>
  <c r="AM84" i="13"/>
  <c r="K84" i="13"/>
  <c r="AA84" i="13"/>
  <c r="AQ84" i="13"/>
  <c r="O84" i="13"/>
  <c r="AE84" i="13"/>
  <c r="AU84" i="13"/>
  <c r="D84" i="13"/>
  <c r="C85" i="13"/>
  <c r="B85" i="13" s="1"/>
  <c r="A85" i="13" s="1"/>
  <c r="F85" i="13" l="1"/>
  <c r="J85" i="13"/>
  <c r="N85" i="13"/>
  <c r="R85" i="13"/>
  <c r="V85" i="13"/>
  <c r="Z85" i="13"/>
  <c r="AD85" i="13"/>
  <c r="AH85" i="13"/>
  <c r="AL85" i="13"/>
  <c r="AP85" i="13"/>
  <c r="AT85" i="13"/>
  <c r="AX85" i="13"/>
  <c r="G85" i="13"/>
  <c r="K85" i="13"/>
  <c r="O85" i="13"/>
  <c r="S85" i="13"/>
  <c r="W85" i="13"/>
  <c r="AA85" i="13"/>
  <c r="AE85" i="13"/>
  <c r="AI85" i="13"/>
  <c r="AM85" i="13"/>
  <c r="AQ85" i="13"/>
  <c r="AU85" i="13"/>
  <c r="AY85" i="13"/>
  <c r="D85" i="13"/>
  <c r="H85" i="13"/>
  <c r="L85" i="13"/>
  <c r="P85" i="13"/>
  <c r="T85" i="13"/>
  <c r="X85" i="13"/>
  <c r="AB85" i="13"/>
  <c r="AF85" i="13"/>
  <c r="AJ85" i="13"/>
  <c r="AN85" i="13"/>
  <c r="AR85" i="13"/>
  <c r="AV85" i="13"/>
  <c r="AZ85" i="13"/>
  <c r="Q85" i="13"/>
  <c r="AG85" i="13"/>
  <c r="AW85" i="13"/>
  <c r="E85" i="13"/>
  <c r="U85" i="13"/>
  <c r="AK85" i="13"/>
  <c r="BA85" i="13"/>
  <c r="I85" i="13"/>
  <c r="Y85" i="13"/>
  <c r="AO85" i="13"/>
  <c r="M85" i="13"/>
  <c r="AC85" i="13"/>
  <c r="AS85" i="13"/>
  <c r="C86" i="13"/>
  <c r="B86" i="13" s="1"/>
  <c r="A86" i="13" s="1"/>
  <c r="E86" i="13" l="1"/>
  <c r="I86" i="13"/>
  <c r="M86" i="13"/>
  <c r="Q86" i="13"/>
  <c r="U86" i="13"/>
  <c r="Y86" i="13"/>
  <c r="AC86" i="13"/>
  <c r="AG86" i="13"/>
  <c r="AK86" i="13"/>
  <c r="AO86" i="13"/>
  <c r="AS86" i="13"/>
  <c r="AW86" i="13"/>
  <c r="BA86" i="13"/>
  <c r="F86" i="13"/>
  <c r="J86" i="13"/>
  <c r="N86" i="13"/>
  <c r="R86" i="13"/>
  <c r="V86" i="13"/>
  <c r="Z86" i="13"/>
  <c r="AD86" i="13"/>
  <c r="AH86" i="13"/>
  <c r="AL86" i="13"/>
  <c r="AP86" i="13"/>
  <c r="AT86" i="13"/>
  <c r="AX86" i="13"/>
  <c r="G86" i="13"/>
  <c r="K86" i="13"/>
  <c r="O86" i="13"/>
  <c r="S86" i="13"/>
  <c r="W86" i="13"/>
  <c r="AA86" i="13"/>
  <c r="AE86" i="13"/>
  <c r="AI86" i="13"/>
  <c r="AM86" i="13"/>
  <c r="AQ86" i="13"/>
  <c r="AU86" i="13"/>
  <c r="AY86" i="13"/>
  <c r="P86" i="13"/>
  <c r="AF86" i="13"/>
  <c r="AV86" i="13"/>
  <c r="T86" i="13"/>
  <c r="AJ86" i="13"/>
  <c r="AZ86" i="13"/>
  <c r="H86" i="13"/>
  <c r="X86" i="13"/>
  <c r="AN86" i="13"/>
  <c r="L86" i="13"/>
  <c r="AB86" i="13"/>
  <c r="AR86" i="13"/>
  <c r="D86" i="13"/>
  <c r="C87" i="13"/>
  <c r="B87" i="13" s="1"/>
  <c r="A87" i="13" s="1"/>
  <c r="G87" i="13" l="1"/>
  <c r="K87" i="13"/>
  <c r="O87" i="13"/>
  <c r="S87" i="13"/>
  <c r="W87" i="13"/>
  <c r="AA87" i="13"/>
  <c r="AE87" i="13"/>
  <c r="AI87" i="13"/>
  <c r="AM87" i="13"/>
  <c r="AQ87" i="13"/>
  <c r="AU87" i="13"/>
  <c r="AY87" i="13"/>
  <c r="D87" i="13"/>
  <c r="H87" i="13"/>
  <c r="L87" i="13"/>
  <c r="P87" i="13"/>
  <c r="T87" i="13"/>
  <c r="X87" i="13"/>
  <c r="AB87" i="13"/>
  <c r="AF87" i="13"/>
  <c r="AJ87" i="13"/>
  <c r="AN87" i="13"/>
  <c r="AR87" i="13"/>
  <c r="AV87" i="13"/>
  <c r="AZ87" i="13"/>
  <c r="E87" i="13"/>
  <c r="I87" i="13"/>
  <c r="M87" i="13"/>
  <c r="Q87" i="13"/>
  <c r="U87" i="13"/>
  <c r="Y87" i="13"/>
  <c r="AC87" i="13"/>
  <c r="AG87" i="13"/>
  <c r="AK87" i="13"/>
  <c r="AO87" i="13"/>
  <c r="AS87" i="13"/>
  <c r="AW87" i="13"/>
  <c r="BA87" i="13"/>
  <c r="N87" i="13"/>
  <c r="AD87" i="13"/>
  <c r="AT87" i="13"/>
  <c r="R87" i="13"/>
  <c r="AH87" i="13"/>
  <c r="AX87" i="13"/>
  <c r="F87" i="13"/>
  <c r="V87" i="13"/>
  <c r="AL87" i="13"/>
  <c r="J87" i="13"/>
  <c r="Z87" i="13"/>
  <c r="AP87" i="13"/>
  <c r="C88" i="13"/>
  <c r="B88" i="13" s="1"/>
  <c r="A88" i="13" s="1"/>
  <c r="F88" i="13" l="1"/>
  <c r="J88" i="13"/>
  <c r="N88" i="13"/>
  <c r="R88" i="13"/>
  <c r="V88" i="13"/>
  <c r="Z88" i="13"/>
  <c r="AD88" i="13"/>
  <c r="AH88" i="13"/>
  <c r="AL88" i="13"/>
  <c r="AP88" i="13"/>
  <c r="AT88" i="13"/>
  <c r="AX88" i="13"/>
  <c r="G88" i="13"/>
  <c r="K88" i="13"/>
  <c r="O88" i="13"/>
  <c r="S88" i="13"/>
  <c r="W88" i="13"/>
  <c r="AA88" i="13"/>
  <c r="AE88" i="13"/>
  <c r="AI88" i="13"/>
  <c r="AM88" i="13"/>
  <c r="AQ88" i="13"/>
  <c r="AU88" i="13"/>
  <c r="AY88" i="13"/>
  <c r="H88" i="13"/>
  <c r="L88" i="13"/>
  <c r="P88" i="13"/>
  <c r="T88" i="13"/>
  <c r="X88" i="13"/>
  <c r="AB88" i="13"/>
  <c r="AF88" i="13"/>
  <c r="AJ88" i="13"/>
  <c r="AN88" i="13"/>
  <c r="AR88" i="13"/>
  <c r="AV88" i="13"/>
  <c r="AZ88" i="13"/>
  <c r="M88" i="13"/>
  <c r="AC88" i="13"/>
  <c r="AS88" i="13"/>
  <c r="Q88" i="13"/>
  <c r="AG88" i="13"/>
  <c r="AW88" i="13"/>
  <c r="E88" i="13"/>
  <c r="U88" i="13"/>
  <c r="AK88" i="13"/>
  <c r="BA88" i="13"/>
  <c r="I88" i="13"/>
  <c r="Y88" i="13"/>
  <c r="AO88" i="13"/>
  <c r="D88" i="13"/>
  <c r="C89" i="13"/>
  <c r="B89" i="13" s="1"/>
  <c r="A89" i="13" s="1"/>
  <c r="D89" i="13" l="1"/>
  <c r="H89" i="13"/>
  <c r="L89" i="13"/>
  <c r="P89" i="13"/>
  <c r="T89" i="13"/>
  <c r="X89" i="13"/>
  <c r="AB89" i="13"/>
  <c r="AF89" i="13"/>
  <c r="AJ89" i="13"/>
  <c r="AN89" i="13"/>
  <c r="AR89" i="13"/>
  <c r="AV89" i="13"/>
  <c r="AZ89" i="13"/>
  <c r="E89" i="13"/>
  <c r="I89" i="13"/>
  <c r="M89" i="13"/>
  <c r="Q89" i="13"/>
  <c r="U89" i="13"/>
  <c r="Y89" i="13"/>
  <c r="AC89" i="13"/>
  <c r="AG89" i="13"/>
  <c r="AK89" i="13"/>
  <c r="AO89" i="13"/>
  <c r="AS89" i="13"/>
  <c r="AW89" i="13"/>
  <c r="BA89" i="13"/>
  <c r="F89" i="13"/>
  <c r="J89" i="13"/>
  <c r="N89" i="13"/>
  <c r="R89" i="13"/>
  <c r="V89" i="13"/>
  <c r="Z89" i="13"/>
  <c r="AD89" i="13"/>
  <c r="AH89" i="13"/>
  <c r="AL89" i="13"/>
  <c r="AP89" i="13"/>
  <c r="AT89" i="13"/>
  <c r="AX89" i="13"/>
  <c r="K89" i="13"/>
  <c r="AA89" i="13"/>
  <c r="AQ89" i="13"/>
  <c r="O89" i="13"/>
  <c r="AE89" i="13"/>
  <c r="AU89" i="13"/>
  <c r="S89" i="13"/>
  <c r="AI89" i="13"/>
  <c r="AY89" i="13"/>
  <c r="G89" i="13"/>
  <c r="W89" i="13"/>
  <c r="AM89" i="13"/>
  <c r="C90" i="13"/>
  <c r="B90" i="13" s="1"/>
  <c r="A90" i="13" s="1"/>
  <c r="F90" i="13" l="1"/>
  <c r="J90" i="13"/>
  <c r="N90" i="13"/>
  <c r="R90" i="13"/>
  <c r="V90" i="13"/>
  <c r="Z90" i="13"/>
  <c r="AD90" i="13"/>
  <c r="AH90" i="13"/>
  <c r="AL90" i="13"/>
  <c r="AP90" i="13"/>
  <c r="AT90" i="13"/>
  <c r="AX90" i="13"/>
  <c r="G90" i="13"/>
  <c r="K90" i="13"/>
  <c r="O90" i="13"/>
  <c r="S90" i="13"/>
  <c r="W90" i="13"/>
  <c r="AA90" i="13"/>
  <c r="AE90" i="13"/>
  <c r="AI90" i="13"/>
  <c r="AM90" i="13"/>
  <c r="AQ90" i="13"/>
  <c r="AU90" i="13"/>
  <c r="AY90" i="13"/>
  <c r="D90" i="13"/>
  <c r="H90" i="13"/>
  <c r="L90" i="13"/>
  <c r="P90" i="13"/>
  <c r="T90" i="13"/>
  <c r="X90" i="13"/>
  <c r="AB90" i="13"/>
  <c r="AF90" i="13"/>
  <c r="AJ90" i="13"/>
  <c r="AN90" i="13"/>
  <c r="AR90" i="13"/>
  <c r="AV90" i="13"/>
  <c r="AZ90" i="13"/>
  <c r="I90" i="13"/>
  <c r="Y90" i="13"/>
  <c r="AO90" i="13"/>
  <c r="M90" i="13"/>
  <c r="AC90" i="13"/>
  <c r="AS90" i="13"/>
  <c r="Q90" i="13"/>
  <c r="AG90" i="13"/>
  <c r="AW90" i="13"/>
  <c r="E90" i="13"/>
  <c r="U90" i="13"/>
  <c r="AK90" i="13"/>
  <c r="BA90" i="13"/>
  <c r="C91" i="13"/>
  <c r="B91" i="13" s="1"/>
  <c r="A91" i="13" s="1"/>
  <c r="D91" i="13" l="1"/>
  <c r="H91" i="13"/>
  <c r="L91" i="13"/>
  <c r="P91" i="13"/>
  <c r="T91" i="13"/>
  <c r="X91" i="13"/>
  <c r="AB91" i="13"/>
  <c r="E91" i="13"/>
  <c r="I91" i="13"/>
  <c r="M91" i="13"/>
  <c r="Q91" i="13"/>
  <c r="U91" i="13"/>
  <c r="Y91" i="13"/>
  <c r="AC91" i="13"/>
  <c r="AG91" i="13"/>
  <c r="AK91" i="13"/>
  <c r="AO91" i="13"/>
  <c r="AS91" i="13"/>
  <c r="AW91" i="13"/>
  <c r="BA91" i="13"/>
  <c r="F91" i="13"/>
  <c r="J91" i="13"/>
  <c r="N91" i="13"/>
  <c r="R91" i="13"/>
  <c r="V91" i="13"/>
  <c r="Z91" i="13"/>
  <c r="AD91" i="13"/>
  <c r="G91" i="13"/>
  <c r="W91" i="13"/>
  <c r="AH91" i="13"/>
  <c r="AM91" i="13"/>
  <c r="AR91" i="13"/>
  <c r="AX91" i="13"/>
  <c r="K91" i="13"/>
  <c r="AA91" i="13"/>
  <c r="AI91" i="13"/>
  <c r="AN91" i="13"/>
  <c r="AT91" i="13"/>
  <c r="AY91" i="13"/>
  <c r="O91" i="13"/>
  <c r="AE91" i="13"/>
  <c r="AJ91" i="13"/>
  <c r="AP91" i="13"/>
  <c r="AU91" i="13"/>
  <c r="AZ91" i="13"/>
  <c r="S91" i="13"/>
  <c r="AF91" i="13"/>
  <c r="AL91" i="13"/>
  <c r="AQ91" i="13"/>
  <c r="AV91" i="13"/>
  <c r="C92" i="13"/>
  <c r="B92" i="13" s="1"/>
  <c r="A92" i="13" s="1"/>
  <c r="G92" i="13" l="1"/>
  <c r="K92" i="13"/>
  <c r="O92" i="13"/>
  <c r="S92" i="13"/>
  <c r="W92" i="13"/>
  <c r="AA92" i="13"/>
  <c r="AE92" i="13"/>
  <c r="AI92" i="13"/>
  <c r="AM92" i="13"/>
  <c r="AQ92" i="13"/>
  <c r="AU92" i="13"/>
  <c r="AY92" i="13"/>
  <c r="E92" i="13"/>
  <c r="J92" i="13"/>
  <c r="P92" i="13"/>
  <c r="U92" i="13"/>
  <c r="Z92" i="13"/>
  <c r="AF92" i="13"/>
  <c r="AK92" i="13"/>
  <c r="AP92" i="13"/>
  <c r="AV92" i="13"/>
  <c r="BA92" i="13"/>
  <c r="F92" i="13"/>
  <c r="L92" i="13"/>
  <c r="Q92" i="13"/>
  <c r="V92" i="13"/>
  <c r="AB92" i="13"/>
  <c r="AG92" i="13"/>
  <c r="AL92" i="13"/>
  <c r="AR92" i="13"/>
  <c r="AW92" i="13"/>
  <c r="H92" i="13"/>
  <c r="M92" i="13"/>
  <c r="R92" i="13"/>
  <c r="X92" i="13"/>
  <c r="AC92" i="13"/>
  <c r="AH92" i="13"/>
  <c r="AN92" i="13"/>
  <c r="AS92" i="13"/>
  <c r="AX92" i="13"/>
  <c r="D92" i="13"/>
  <c r="I92" i="13"/>
  <c r="N92" i="13"/>
  <c r="T92" i="13"/>
  <c r="Y92" i="13"/>
  <c r="AD92" i="13"/>
  <c r="AJ92" i="13"/>
  <c r="AO92" i="13"/>
  <c r="AT92" i="13"/>
  <c r="AZ92" i="13"/>
  <c r="C93" i="13"/>
  <c r="B93" i="13" s="1"/>
  <c r="A93" i="13" s="1"/>
  <c r="E93" i="13" l="1"/>
  <c r="I93" i="13"/>
  <c r="M93" i="13"/>
  <c r="Q93" i="13"/>
  <c r="U93" i="13"/>
  <c r="Y93" i="13"/>
  <c r="AC93" i="13"/>
  <c r="AG93" i="13"/>
  <c r="AK93" i="13"/>
  <c r="AO93" i="13"/>
  <c r="AS93" i="13"/>
  <c r="AW93" i="13"/>
  <c r="BA93" i="13"/>
  <c r="H93" i="13"/>
  <c r="N93" i="13"/>
  <c r="S93" i="13"/>
  <c r="X93" i="13"/>
  <c r="AD93" i="13"/>
  <c r="AI93" i="13"/>
  <c r="AN93" i="13"/>
  <c r="AT93" i="13"/>
  <c r="AY93" i="13"/>
  <c r="D93" i="13"/>
  <c r="J93" i="13"/>
  <c r="O93" i="13"/>
  <c r="T93" i="13"/>
  <c r="Z93" i="13"/>
  <c r="AE93" i="13"/>
  <c r="AJ93" i="13"/>
  <c r="AP93" i="13"/>
  <c r="AU93" i="13"/>
  <c r="AZ93" i="13"/>
  <c r="F93" i="13"/>
  <c r="K93" i="13"/>
  <c r="P93" i="13"/>
  <c r="V93" i="13"/>
  <c r="AA93" i="13"/>
  <c r="AF93" i="13"/>
  <c r="AL93" i="13"/>
  <c r="AQ93" i="13"/>
  <c r="AV93" i="13"/>
  <c r="G93" i="13"/>
  <c r="L93" i="13"/>
  <c r="R93" i="13"/>
  <c r="W93" i="13"/>
  <c r="AB93" i="13"/>
  <c r="AH93" i="13"/>
  <c r="AM93" i="13"/>
  <c r="AR93" i="13"/>
  <c r="AX93" i="13"/>
  <c r="C94" i="13"/>
  <c r="B94" i="13" s="1"/>
  <c r="A94" i="13" s="1"/>
  <c r="G94" i="13" l="1"/>
  <c r="K94" i="13"/>
  <c r="O94" i="13"/>
  <c r="S94" i="13"/>
  <c r="W94" i="13"/>
  <c r="AA94" i="13"/>
  <c r="AE94" i="13"/>
  <c r="AI94" i="13"/>
  <c r="AM94" i="13"/>
  <c r="AQ94" i="13"/>
  <c r="AU94" i="13"/>
  <c r="AY94" i="13"/>
  <c r="F94" i="13"/>
  <c r="L94" i="13"/>
  <c r="Q94" i="13"/>
  <c r="V94" i="13"/>
  <c r="AB94" i="13"/>
  <c r="AG94" i="13"/>
  <c r="AL94" i="13"/>
  <c r="AR94" i="13"/>
  <c r="AW94" i="13"/>
  <c r="H94" i="13"/>
  <c r="M94" i="13"/>
  <c r="R94" i="13"/>
  <c r="X94" i="13"/>
  <c r="AC94" i="13"/>
  <c r="AH94" i="13"/>
  <c r="AN94" i="13"/>
  <c r="AS94" i="13"/>
  <c r="AX94" i="13"/>
  <c r="D94" i="13"/>
  <c r="I94" i="13"/>
  <c r="N94" i="13"/>
  <c r="T94" i="13"/>
  <c r="Y94" i="13"/>
  <c r="AD94" i="13"/>
  <c r="AJ94" i="13"/>
  <c r="AO94" i="13"/>
  <c r="AT94" i="13"/>
  <c r="AZ94" i="13"/>
  <c r="E94" i="13"/>
  <c r="J94" i="13"/>
  <c r="P94" i="13"/>
  <c r="U94" i="13"/>
  <c r="Z94" i="13"/>
  <c r="AF94" i="13"/>
  <c r="AK94" i="13"/>
  <c r="AP94" i="13"/>
  <c r="AV94" i="13"/>
  <c r="BA94" i="13"/>
  <c r="C95" i="13"/>
  <c r="B95" i="13" s="1"/>
  <c r="A95" i="13" s="1"/>
  <c r="E95" i="13" l="1"/>
  <c r="I95" i="13"/>
  <c r="M95" i="13"/>
  <c r="Q95" i="13"/>
  <c r="U95" i="13"/>
  <c r="Y95" i="13"/>
  <c r="AC95" i="13"/>
  <c r="AG95" i="13"/>
  <c r="AK95" i="13"/>
  <c r="AO95" i="13"/>
  <c r="AS95" i="13"/>
  <c r="AW95" i="13"/>
  <c r="BA95" i="13"/>
  <c r="D95" i="13"/>
  <c r="J95" i="13"/>
  <c r="O95" i="13"/>
  <c r="T95" i="13"/>
  <c r="Z95" i="13"/>
  <c r="AE95" i="13"/>
  <c r="AJ95" i="13"/>
  <c r="AP95" i="13"/>
  <c r="AU95" i="13"/>
  <c r="AZ95" i="13"/>
  <c r="F95" i="13"/>
  <c r="K95" i="13"/>
  <c r="P95" i="13"/>
  <c r="V95" i="13"/>
  <c r="AA95" i="13"/>
  <c r="AF95" i="13"/>
  <c r="AL95" i="13"/>
  <c r="AQ95" i="13"/>
  <c r="AV95" i="13"/>
  <c r="G95" i="13"/>
  <c r="L95" i="13"/>
  <c r="R95" i="13"/>
  <c r="W95" i="13"/>
  <c r="AB95" i="13"/>
  <c r="AH95" i="13"/>
  <c r="AM95" i="13"/>
  <c r="AR95" i="13"/>
  <c r="AX95" i="13"/>
  <c r="H95" i="13"/>
  <c r="N95" i="13"/>
  <c r="S95" i="13"/>
  <c r="X95" i="13"/>
  <c r="AD95" i="13"/>
  <c r="AI95" i="13"/>
  <c r="AN95" i="13"/>
  <c r="AT95" i="13"/>
  <c r="AY95" i="13"/>
  <c r="C96" i="13"/>
  <c r="B96" i="13" s="1"/>
  <c r="A96" i="13" s="1"/>
  <c r="G96" i="13" l="1"/>
  <c r="K96" i="13"/>
  <c r="O96" i="13"/>
  <c r="S96" i="13"/>
  <c r="W96" i="13"/>
  <c r="AA96" i="13"/>
  <c r="AE96" i="13"/>
  <c r="AI96" i="13"/>
  <c r="AM96" i="13"/>
  <c r="AQ96" i="13"/>
  <c r="AU96" i="13"/>
  <c r="AY96" i="13"/>
  <c r="H96" i="13"/>
  <c r="M96" i="13"/>
  <c r="R96" i="13"/>
  <c r="X96" i="13"/>
  <c r="AC96" i="13"/>
  <c r="AH96" i="13"/>
  <c r="AN96" i="13"/>
  <c r="AS96" i="13"/>
  <c r="AX96" i="13"/>
  <c r="D96" i="13"/>
  <c r="I96" i="13"/>
  <c r="N96" i="13"/>
  <c r="T96" i="13"/>
  <c r="Y96" i="13"/>
  <c r="AD96" i="13"/>
  <c r="AJ96" i="13"/>
  <c r="AO96" i="13"/>
  <c r="AT96" i="13"/>
  <c r="AZ96" i="13"/>
  <c r="E96" i="13"/>
  <c r="J96" i="13"/>
  <c r="P96" i="13"/>
  <c r="U96" i="13"/>
  <c r="Z96" i="13"/>
  <c r="AF96" i="13"/>
  <c r="AK96" i="13"/>
  <c r="AP96" i="13"/>
  <c r="AV96" i="13"/>
  <c r="BA96" i="13"/>
  <c r="F96" i="13"/>
  <c r="L96" i="13"/>
  <c r="Q96" i="13"/>
  <c r="V96" i="13"/>
  <c r="AB96" i="13"/>
  <c r="AG96" i="13"/>
  <c r="AL96" i="13"/>
  <c r="AR96" i="13"/>
  <c r="AW96" i="13"/>
  <c r="C97" i="13"/>
  <c r="B97" i="13" s="1"/>
  <c r="A97" i="13" s="1"/>
  <c r="E97" i="13" l="1"/>
  <c r="I97" i="13"/>
  <c r="M97" i="13"/>
  <c r="Q97" i="13"/>
  <c r="U97" i="13"/>
  <c r="Y97" i="13"/>
  <c r="AC97" i="13"/>
  <c r="AG97" i="13"/>
  <c r="AK97" i="13"/>
  <c r="AO97" i="13"/>
  <c r="AS97" i="13"/>
  <c r="AW97" i="13"/>
  <c r="BA97" i="13"/>
  <c r="F97" i="13"/>
  <c r="K97" i="13"/>
  <c r="P97" i="13"/>
  <c r="V97" i="13"/>
  <c r="AA97" i="13"/>
  <c r="AF97" i="13"/>
  <c r="AL97" i="13"/>
  <c r="AQ97" i="13"/>
  <c r="AV97" i="13"/>
  <c r="G97" i="13"/>
  <c r="L97" i="13"/>
  <c r="R97" i="13"/>
  <c r="W97" i="13"/>
  <c r="AB97" i="13"/>
  <c r="AH97" i="13"/>
  <c r="AM97" i="13"/>
  <c r="AR97" i="13"/>
  <c r="AX97" i="13"/>
  <c r="H97" i="13"/>
  <c r="N97" i="13"/>
  <c r="S97" i="13"/>
  <c r="X97" i="13"/>
  <c r="AD97" i="13"/>
  <c r="AI97" i="13"/>
  <c r="AN97" i="13"/>
  <c r="AT97" i="13"/>
  <c r="AY97" i="13"/>
  <c r="D97" i="13"/>
  <c r="J97" i="13"/>
  <c r="O97" i="13"/>
  <c r="T97" i="13"/>
  <c r="Z97" i="13"/>
  <c r="AE97" i="13"/>
  <c r="AJ97" i="13"/>
  <c r="AP97" i="13"/>
  <c r="AU97" i="13"/>
  <c r="AZ97" i="13"/>
  <c r="C98" i="13"/>
  <c r="B98" i="13" s="1"/>
  <c r="A98" i="13" s="1"/>
  <c r="G98" i="13" l="1"/>
  <c r="K98" i="13"/>
  <c r="O98" i="13"/>
  <c r="S98" i="13"/>
  <c r="W98" i="13"/>
  <c r="AA98" i="13"/>
  <c r="AE98" i="13"/>
  <c r="AI98" i="13"/>
  <c r="AM98" i="13"/>
  <c r="AQ98" i="13"/>
  <c r="AU98" i="13"/>
  <c r="AY98" i="13"/>
  <c r="D98" i="13"/>
  <c r="I98" i="13"/>
  <c r="N98" i="13"/>
  <c r="T98" i="13"/>
  <c r="Y98" i="13"/>
  <c r="AD98" i="13"/>
  <c r="AJ98" i="13"/>
  <c r="AO98" i="13"/>
  <c r="AT98" i="13"/>
  <c r="AZ98" i="13"/>
  <c r="E98" i="13"/>
  <c r="J98" i="13"/>
  <c r="P98" i="13"/>
  <c r="U98" i="13"/>
  <c r="Z98" i="13"/>
  <c r="AF98" i="13"/>
  <c r="AK98" i="13"/>
  <c r="AP98" i="13"/>
  <c r="AV98" i="13"/>
  <c r="BA98" i="13"/>
  <c r="F98" i="13"/>
  <c r="L98" i="13"/>
  <c r="Q98" i="13"/>
  <c r="V98" i="13"/>
  <c r="AB98" i="13"/>
  <c r="AG98" i="13"/>
  <c r="AL98" i="13"/>
  <c r="AR98" i="13"/>
  <c r="AW98" i="13"/>
  <c r="H98" i="13"/>
  <c r="M98" i="13"/>
  <c r="R98" i="13"/>
  <c r="X98" i="13"/>
  <c r="AC98" i="13"/>
  <c r="AH98" i="13"/>
  <c r="AN98" i="13"/>
  <c r="AS98" i="13"/>
  <c r="AX98" i="13"/>
  <c r="C99" i="13"/>
  <c r="B99" i="13" s="1"/>
  <c r="A99" i="13" s="1"/>
  <c r="E99" i="13" l="1"/>
  <c r="I99" i="13"/>
  <c r="M99" i="13"/>
  <c r="Q99" i="13"/>
  <c r="U99" i="13"/>
  <c r="Y99" i="13"/>
  <c r="AC99" i="13"/>
  <c r="AG99" i="13"/>
  <c r="AK99" i="13"/>
  <c r="G99" i="13"/>
  <c r="L99" i="13"/>
  <c r="R99" i="13"/>
  <c r="W99" i="13"/>
  <c r="AB99" i="13"/>
  <c r="AH99" i="13"/>
  <c r="AM99" i="13"/>
  <c r="AQ99" i="13"/>
  <c r="AU99" i="13"/>
  <c r="AY99" i="13"/>
  <c r="H99" i="13"/>
  <c r="N99" i="13"/>
  <c r="S99" i="13"/>
  <c r="X99" i="13"/>
  <c r="AD99" i="13"/>
  <c r="AI99" i="13"/>
  <c r="AN99" i="13"/>
  <c r="AR99" i="13"/>
  <c r="AV99" i="13"/>
  <c r="AZ99" i="13"/>
  <c r="D99" i="13"/>
  <c r="J99" i="13"/>
  <c r="O99" i="13"/>
  <c r="T99" i="13"/>
  <c r="Z99" i="13"/>
  <c r="AE99" i="13"/>
  <c r="AJ99" i="13"/>
  <c r="AO99" i="13"/>
  <c r="AS99" i="13"/>
  <c r="AW99" i="13"/>
  <c r="BA99" i="13"/>
  <c r="F99" i="13"/>
  <c r="K99" i="13"/>
  <c r="P99" i="13"/>
  <c r="V99" i="13"/>
  <c r="AA99" i="13"/>
  <c r="AF99" i="13"/>
  <c r="AL99" i="13"/>
  <c r="AP99" i="13"/>
  <c r="AT99" i="13"/>
  <c r="AX99" i="13"/>
  <c r="C100" i="13"/>
  <c r="B100" i="13" s="1"/>
  <c r="A100" i="13" s="1"/>
  <c r="E100" i="13" l="1"/>
  <c r="I100" i="13"/>
  <c r="M100" i="13"/>
  <c r="Q100" i="13"/>
  <c r="U100" i="13"/>
  <c r="Y100" i="13"/>
  <c r="AC100" i="13"/>
  <c r="AG100" i="13"/>
  <c r="AK100" i="13"/>
  <c r="AO100" i="13"/>
  <c r="AS100" i="13"/>
  <c r="AW100" i="13"/>
  <c r="BA100" i="13"/>
  <c r="F100" i="13"/>
  <c r="J100" i="13"/>
  <c r="N100" i="13"/>
  <c r="R100" i="13"/>
  <c r="V100" i="13"/>
  <c r="Z100" i="13"/>
  <c r="AD100" i="13"/>
  <c r="AH100" i="13"/>
  <c r="AL100" i="13"/>
  <c r="AP100" i="13"/>
  <c r="AT100" i="13"/>
  <c r="AX100" i="13"/>
  <c r="G100" i="13"/>
  <c r="K100" i="13"/>
  <c r="O100" i="13"/>
  <c r="S100" i="13"/>
  <c r="W100" i="13"/>
  <c r="AA100" i="13"/>
  <c r="AE100" i="13"/>
  <c r="AI100" i="13"/>
  <c r="AM100" i="13"/>
  <c r="AQ100" i="13"/>
  <c r="AU100" i="13"/>
  <c r="AY100" i="13"/>
  <c r="D100" i="13"/>
  <c r="H100" i="13"/>
  <c r="L100" i="13"/>
  <c r="P100" i="13"/>
  <c r="T100" i="13"/>
  <c r="X100" i="13"/>
  <c r="AB100" i="13"/>
  <c r="AF100" i="13"/>
  <c r="AJ100" i="13"/>
  <c r="AN100" i="13"/>
  <c r="AR100" i="13"/>
  <c r="AV100" i="13"/>
  <c r="AZ100" i="13"/>
  <c r="C101" i="13"/>
  <c r="B101" i="13" s="1"/>
  <c r="A101" i="13" s="1"/>
  <c r="G101" i="13" l="1"/>
  <c r="K101" i="13"/>
  <c r="O101" i="13"/>
  <c r="S101" i="13"/>
  <c r="W101" i="13"/>
  <c r="AA101" i="13"/>
  <c r="AE101" i="13"/>
  <c r="AI101" i="13"/>
  <c r="AM101" i="13"/>
  <c r="AQ101" i="13"/>
  <c r="AU101" i="13"/>
  <c r="AY101" i="13"/>
  <c r="D101" i="13"/>
  <c r="H101" i="13"/>
  <c r="L101" i="13"/>
  <c r="P101" i="13"/>
  <c r="T101" i="13"/>
  <c r="X101" i="13"/>
  <c r="AB101" i="13"/>
  <c r="AF101" i="13"/>
  <c r="AJ101" i="13"/>
  <c r="AN101" i="13"/>
  <c r="AR101" i="13"/>
  <c r="AV101" i="13"/>
  <c r="AZ101" i="13"/>
  <c r="E101" i="13"/>
  <c r="I101" i="13"/>
  <c r="M101" i="13"/>
  <c r="Q101" i="13"/>
  <c r="U101" i="13"/>
  <c r="Y101" i="13"/>
  <c r="AC101" i="13"/>
  <c r="AG101" i="13"/>
  <c r="AK101" i="13"/>
  <c r="AO101" i="13"/>
  <c r="AS101" i="13"/>
  <c r="AW101" i="13"/>
  <c r="BA101" i="13"/>
  <c r="F101" i="13"/>
  <c r="J101" i="13"/>
  <c r="N101" i="13"/>
  <c r="R101" i="13"/>
  <c r="V101" i="13"/>
  <c r="Z101" i="13"/>
  <c r="AD101" i="13"/>
  <c r="AH101" i="13"/>
  <c r="AL101" i="13"/>
  <c r="AP101" i="13"/>
  <c r="AT101" i="13"/>
  <c r="AX101" i="13"/>
  <c r="C102" i="13"/>
  <c r="B102" i="13" s="1"/>
  <c r="A102" i="13" s="1"/>
  <c r="E102" i="13" l="1"/>
  <c r="I102" i="13"/>
  <c r="M102" i="13"/>
  <c r="Q102" i="13"/>
  <c r="U102" i="13"/>
  <c r="Y102" i="13"/>
  <c r="AC102" i="13"/>
  <c r="AG102" i="13"/>
  <c r="AK102" i="13"/>
  <c r="AO102" i="13"/>
  <c r="AS102" i="13"/>
  <c r="AW102" i="13"/>
  <c r="BA102" i="13"/>
  <c r="F102" i="13"/>
  <c r="J102" i="13"/>
  <c r="N102" i="13"/>
  <c r="R102" i="13"/>
  <c r="V102" i="13"/>
  <c r="Z102" i="13"/>
  <c r="AD102" i="13"/>
  <c r="AH102" i="13"/>
  <c r="AL102" i="13"/>
  <c r="AP102" i="13"/>
  <c r="AT102" i="13"/>
  <c r="AX102" i="13"/>
  <c r="G102" i="13"/>
  <c r="K102" i="13"/>
  <c r="O102" i="13"/>
  <c r="S102" i="13"/>
  <c r="W102" i="13"/>
  <c r="AA102" i="13"/>
  <c r="AE102" i="13"/>
  <c r="AI102" i="13"/>
  <c r="AM102" i="13"/>
  <c r="AQ102" i="13"/>
  <c r="AU102" i="13"/>
  <c r="AY102" i="13"/>
  <c r="D102" i="13"/>
  <c r="H102" i="13"/>
  <c r="L102" i="13"/>
  <c r="P102" i="13"/>
  <c r="T102" i="13"/>
  <c r="X102" i="13"/>
  <c r="AB102" i="13"/>
  <c r="AF102" i="13"/>
  <c r="AJ102" i="13"/>
  <c r="AN102" i="13"/>
  <c r="AR102" i="13"/>
  <c r="AV102" i="13"/>
  <c r="AZ102" i="13"/>
  <c r="C103" i="13"/>
  <c r="B103" i="13" s="1"/>
  <c r="A103" i="13" s="1"/>
  <c r="G103" i="13" l="1"/>
  <c r="K103" i="13"/>
  <c r="O103" i="13"/>
  <c r="S103" i="13"/>
  <c r="W103" i="13"/>
  <c r="AA103" i="13"/>
  <c r="AE103" i="13"/>
  <c r="AI103" i="13"/>
  <c r="AM103" i="13"/>
  <c r="AQ103" i="13"/>
  <c r="AU103" i="13"/>
  <c r="AY103" i="13"/>
  <c r="D103" i="13"/>
  <c r="H103" i="13"/>
  <c r="L103" i="13"/>
  <c r="P103" i="13"/>
  <c r="T103" i="13"/>
  <c r="X103" i="13"/>
  <c r="AB103" i="13"/>
  <c r="AF103" i="13"/>
  <c r="AJ103" i="13"/>
  <c r="AN103" i="13"/>
  <c r="AR103" i="13"/>
  <c r="AV103" i="13"/>
  <c r="AZ103" i="13"/>
  <c r="E103" i="13"/>
  <c r="I103" i="13"/>
  <c r="M103" i="13"/>
  <c r="Q103" i="13"/>
  <c r="U103" i="13"/>
  <c r="Y103" i="13"/>
  <c r="AC103" i="13"/>
  <c r="AG103" i="13"/>
  <c r="AK103" i="13"/>
  <c r="AO103" i="13"/>
  <c r="AS103" i="13"/>
  <c r="AW103" i="13"/>
  <c r="BA103" i="13"/>
  <c r="F103" i="13"/>
  <c r="J103" i="13"/>
  <c r="N103" i="13"/>
  <c r="R103" i="13"/>
  <c r="V103" i="13"/>
  <c r="Z103" i="13"/>
  <c r="AD103" i="13"/>
  <c r="AH103" i="13"/>
  <c r="AL103" i="13"/>
  <c r="AP103" i="13"/>
  <c r="AT103" i="13"/>
  <c r="AX103" i="13"/>
  <c r="C104" i="13"/>
  <c r="B104" i="13" s="1"/>
  <c r="A104" i="13" s="1"/>
  <c r="E104" i="13" l="1"/>
  <c r="I104" i="13"/>
  <c r="M104" i="13"/>
  <c r="Q104" i="13"/>
  <c r="U104" i="13"/>
  <c r="Y104" i="13"/>
  <c r="AC104" i="13"/>
  <c r="AG104" i="13"/>
  <c r="AK104" i="13"/>
  <c r="AO104" i="13"/>
  <c r="AS104" i="13"/>
  <c r="AW104" i="13"/>
  <c r="BA104" i="13"/>
  <c r="F104" i="13"/>
  <c r="J104" i="13"/>
  <c r="N104" i="13"/>
  <c r="R104" i="13"/>
  <c r="V104" i="13"/>
  <c r="Z104" i="13"/>
  <c r="AD104" i="13"/>
  <c r="AH104" i="13"/>
  <c r="AL104" i="13"/>
  <c r="AP104" i="13"/>
  <c r="AT104" i="13"/>
  <c r="AX104" i="13"/>
  <c r="G104" i="13"/>
  <c r="K104" i="13"/>
  <c r="O104" i="13"/>
  <c r="S104" i="13"/>
  <c r="W104" i="13"/>
  <c r="AA104" i="13"/>
  <c r="AE104" i="13"/>
  <c r="AI104" i="13"/>
  <c r="AM104" i="13"/>
  <c r="AQ104" i="13"/>
  <c r="AU104" i="13"/>
  <c r="AY104" i="13"/>
  <c r="D104" i="13"/>
  <c r="H104" i="13"/>
  <c r="L104" i="13"/>
  <c r="P104" i="13"/>
  <c r="T104" i="13"/>
  <c r="X104" i="13"/>
  <c r="AB104" i="13"/>
  <c r="AF104" i="13"/>
  <c r="AJ104" i="13"/>
  <c r="AN104" i="13"/>
  <c r="AR104" i="13"/>
  <c r="AV104" i="13"/>
  <c r="AZ104" i="13"/>
  <c r="C105" i="13"/>
  <c r="B105" i="13" s="1"/>
  <c r="A105" i="13" s="1"/>
  <c r="G105" i="13" l="1"/>
  <c r="K105" i="13"/>
  <c r="O105" i="13"/>
  <c r="S105" i="13"/>
  <c r="W105" i="13"/>
  <c r="AA105" i="13"/>
  <c r="AE105" i="13"/>
  <c r="AI105" i="13"/>
  <c r="AM105" i="13"/>
  <c r="AQ105" i="13"/>
  <c r="AU105" i="13"/>
  <c r="AY105" i="13"/>
  <c r="D105" i="13"/>
  <c r="H105" i="13"/>
  <c r="L105" i="13"/>
  <c r="P105" i="13"/>
  <c r="T105" i="13"/>
  <c r="X105" i="13"/>
  <c r="AB105" i="13"/>
  <c r="AF105" i="13"/>
  <c r="AJ105" i="13"/>
  <c r="AN105" i="13"/>
  <c r="AR105" i="13"/>
  <c r="AV105" i="13"/>
  <c r="AZ105" i="13"/>
  <c r="E105" i="13"/>
  <c r="I105" i="13"/>
  <c r="M105" i="13"/>
  <c r="Q105" i="13"/>
  <c r="U105" i="13"/>
  <c r="Y105" i="13"/>
  <c r="AC105" i="13"/>
  <c r="AG105" i="13"/>
  <c r="AK105" i="13"/>
  <c r="AO105" i="13"/>
  <c r="AS105" i="13"/>
  <c r="AW105" i="13"/>
  <c r="BA105" i="13"/>
  <c r="F105" i="13"/>
  <c r="J105" i="13"/>
  <c r="N105" i="13"/>
  <c r="R105" i="13"/>
  <c r="V105" i="13"/>
  <c r="Z105" i="13"/>
  <c r="AD105" i="13"/>
  <c r="AH105" i="13"/>
  <c r="AL105" i="13"/>
  <c r="AP105" i="13"/>
  <c r="AT105" i="13"/>
  <c r="AX105" i="13"/>
  <c r="C106" i="13"/>
  <c r="B106" i="13" s="1"/>
  <c r="A106" i="13" s="1"/>
  <c r="E106" i="13" l="1"/>
  <c r="I106" i="13"/>
  <c r="M106" i="13"/>
  <c r="Q106" i="13"/>
  <c r="U106" i="13"/>
  <c r="Y106" i="13"/>
  <c r="AC106" i="13"/>
  <c r="AG106" i="13"/>
  <c r="AK106" i="13"/>
  <c r="AO106" i="13"/>
  <c r="AS106" i="13"/>
  <c r="AW106" i="13"/>
  <c r="BA106" i="13"/>
  <c r="F106" i="13"/>
  <c r="J106" i="13"/>
  <c r="N106" i="13"/>
  <c r="R106" i="13"/>
  <c r="V106" i="13"/>
  <c r="Z106" i="13"/>
  <c r="AD106" i="13"/>
  <c r="AH106" i="13"/>
  <c r="AL106" i="13"/>
  <c r="AP106" i="13"/>
  <c r="AT106" i="13"/>
  <c r="AX106" i="13"/>
  <c r="G106" i="13"/>
  <c r="K106" i="13"/>
  <c r="O106" i="13"/>
  <c r="S106" i="13"/>
  <c r="W106" i="13"/>
  <c r="AA106" i="13"/>
  <c r="AE106" i="13"/>
  <c r="AI106" i="13"/>
  <c r="AM106" i="13"/>
  <c r="AQ106" i="13"/>
  <c r="AU106" i="13"/>
  <c r="AY106" i="13"/>
  <c r="D106" i="13"/>
  <c r="H106" i="13"/>
  <c r="L106" i="13"/>
  <c r="P106" i="13"/>
  <c r="T106" i="13"/>
  <c r="X106" i="13"/>
  <c r="AB106" i="13"/>
  <c r="AF106" i="13"/>
  <c r="AJ106" i="13"/>
  <c r="AN106" i="13"/>
  <c r="AR106" i="13"/>
  <c r="AV106" i="13"/>
  <c r="AZ106" i="13"/>
  <c r="C107" i="13"/>
  <c r="B107" i="13" s="1"/>
  <c r="A107" i="13" s="1"/>
  <c r="G107" i="13" l="1"/>
  <c r="K107" i="13"/>
  <c r="O107" i="13"/>
  <c r="S107" i="13"/>
  <c r="W107" i="13"/>
  <c r="AA107" i="13"/>
  <c r="AE107" i="13"/>
  <c r="AI107" i="13"/>
  <c r="AM107" i="13"/>
  <c r="AQ107" i="13"/>
  <c r="AU107" i="13"/>
  <c r="AY107" i="13"/>
  <c r="D107" i="13"/>
  <c r="H107" i="13"/>
  <c r="L107" i="13"/>
  <c r="P107" i="13"/>
  <c r="T107" i="13"/>
  <c r="X107" i="13"/>
  <c r="AB107" i="13"/>
  <c r="AF107" i="13"/>
  <c r="AJ107" i="13"/>
  <c r="AN107" i="13"/>
  <c r="AR107" i="13"/>
  <c r="AV107" i="13"/>
  <c r="AZ107" i="13"/>
  <c r="E107" i="13"/>
  <c r="I107" i="13"/>
  <c r="M107" i="13"/>
  <c r="Q107" i="13"/>
  <c r="U107" i="13"/>
  <c r="Y107" i="13"/>
  <c r="AC107" i="13"/>
  <c r="AG107" i="13"/>
  <c r="AK107" i="13"/>
  <c r="AO107" i="13"/>
  <c r="AS107" i="13"/>
  <c r="AW107" i="13"/>
  <c r="BA107" i="13"/>
  <c r="F107" i="13"/>
  <c r="J107" i="13"/>
  <c r="N107" i="13"/>
  <c r="R107" i="13"/>
  <c r="V107" i="13"/>
  <c r="Z107" i="13"/>
  <c r="AD107" i="13"/>
  <c r="AH107" i="13"/>
  <c r="AL107" i="13"/>
  <c r="AP107" i="13"/>
  <c r="AT107" i="13"/>
  <c r="AX107" i="13"/>
  <c r="C108" i="13"/>
  <c r="B108" i="13" s="1"/>
  <c r="A108" i="13" s="1"/>
  <c r="E108" i="13" l="1"/>
  <c r="I108" i="13"/>
  <c r="M108" i="13"/>
  <c r="Q108" i="13"/>
  <c r="U108" i="13"/>
  <c r="Y108" i="13"/>
  <c r="AC108" i="13"/>
  <c r="AG108" i="13"/>
  <c r="AK108" i="13"/>
  <c r="AO108" i="13"/>
  <c r="AS108" i="13"/>
  <c r="AW108" i="13"/>
  <c r="BA108" i="13"/>
  <c r="F108" i="13"/>
  <c r="J108" i="13"/>
  <c r="N108" i="13"/>
  <c r="R108" i="13"/>
  <c r="V108" i="13"/>
  <c r="Z108" i="13"/>
  <c r="AD108" i="13"/>
  <c r="AH108" i="13"/>
  <c r="AL108" i="13"/>
  <c r="AP108" i="13"/>
  <c r="AT108" i="13"/>
  <c r="AX108" i="13"/>
  <c r="G108" i="13"/>
  <c r="K108" i="13"/>
  <c r="O108" i="13"/>
  <c r="S108" i="13"/>
  <c r="W108" i="13"/>
  <c r="AA108" i="13"/>
  <c r="AE108" i="13"/>
  <c r="AI108" i="13"/>
  <c r="AM108" i="13"/>
  <c r="AQ108" i="13"/>
  <c r="AU108" i="13"/>
  <c r="AY108" i="13"/>
  <c r="D108" i="13"/>
  <c r="H108" i="13"/>
  <c r="L108" i="13"/>
  <c r="P108" i="13"/>
  <c r="T108" i="13"/>
  <c r="X108" i="13"/>
  <c r="AB108" i="13"/>
  <c r="AF108" i="13"/>
  <c r="AJ108" i="13"/>
  <c r="AN108" i="13"/>
  <c r="AR108" i="13"/>
  <c r="AV108" i="13"/>
  <c r="AZ108" i="13"/>
  <c r="C109" i="13"/>
  <c r="B109" i="13" s="1"/>
  <c r="A109" i="13" s="1"/>
  <c r="G109" i="13" l="1"/>
  <c r="K109" i="13"/>
  <c r="O109" i="13"/>
  <c r="S109" i="13"/>
  <c r="W109" i="13"/>
  <c r="AA109" i="13"/>
  <c r="AE109" i="13"/>
  <c r="AI109" i="13"/>
  <c r="AM109" i="13"/>
  <c r="AQ109" i="13"/>
  <c r="AU109" i="13"/>
  <c r="AY109" i="13"/>
  <c r="D109" i="13"/>
  <c r="H109" i="13"/>
  <c r="L109" i="13"/>
  <c r="P109" i="13"/>
  <c r="T109" i="13"/>
  <c r="X109" i="13"/>
  <c r="AB109" i="13"/>
  <c r="AF109" i="13"/>
  <c r="AJ109" i="13"/>
  <c r="AN109" i="13"/>
  <c r="AR109" i="13"/>
  <c r="AV109" i="13"/>
  <c r="AZ109" i="13"/>
  <c r="E109" i="13"/>
  <c r="I109" i="13"/>
  <c r="M109" i="13"/>
  <c r="Q109" i="13"/>
  <c r="U109" i="13"/>
  <c r="Y109" i="13"/>
  <c r="AC109" i="13"/>
  <c r="AG109" i="13"/>
  <c r="AK109" i="13"/>
  <c r="AO109" i="13"/>
  <c r="AS109" i="13"/>
  <c r="AW109" i="13"/>
  <c r="BA109" i="13"/>
  <c r="F109" i="13"/>
  <c r="J109" i="13"/>
  <c r="N109" i="13"/>
  <c r="R109" i="13"/>
  <c r="V109" i="13"/>
  <c r="Z109" i="13"/>
  <c r="AD109" i="13"/>
  <c r="AH109" i="13"/>
  <c r="AL109" i="13"/>
  <c r="AP109" i="13"/>
  <c r="AT109" i="13"/>
  <c r="AX109" i="13"/>
  <c r="C110" i="13"/>
  <c r="B110" i="13" s="1"/>
  <c r="A110" i="13" s="1"/>
  <c r="E110" i="13" l="1"/>
  <c r="I110" i="13"/>
  <c r="M110" i="13"/>
  <c r="Q110" i="13"/>
  <c r="U110" i="13"/>
  <c r="Y110" i="13"/>
  <c r="AC110" i="13"/>
  <c r="AG110" i="13"/>
  <c r="AK110" i="13"/>
  <c r="AO110" i="13"/>
  <c r="AS110" i="13"/>
  <c r="AW110" i="13"/>
  <c r="BA110" i="13"/>
  <c r="F110" i="13"/>
  <c r="J110" i="13"/>
  <c r="N110" i="13"/>
  <c r="R110" i="13"/>
  <c r="V110" i="13"/>
  <c r="Z110" i="13"/>
  <c r="AD110" i="13"/>
  <c r="AH110" i="13"/>
  <c r="AL110" i="13"/>
  <c r="AP110" i="13"/>
  <c r="AT110" i="13"/>
  <c r="AX110" i="13"/>
  <c r="G110" i="13"/>
  <c r="K110" i="13"/>
  <c r="O110" i="13"/>
  <c r="S110" i="13"/>
  <c r="W110" i="13"/>
  <c r="AA110" i="13"/>
  <c r="AE110" i="13"/>
  <c r="AI110" i="13"/>
  <c r="AM110" i="13"/>
  <c r="AQ110" i="13"/>
  <c r="AU110" i="13"/>
  <c r="AY110" i="13"/>
  <c r="D110" i="13"/>
  <c r="H110" i="13"/>
  <c r="L110" i="13"/>
  <c r="P110" i="13"/>
  <c r="T110" i="13"/>
  <c r="X110" i="13"/>
  <c r="AB110" i="13"/>
  <c r="AF110" i="13"/>
  <c r="AJ110" i="13"/>
  <c r="AN110" i="13"/>
  <c r="AR110" i="13"/>
  <c r="AV110" i="13"/>
  <c r="AZ110" i="13"/>
  <c r="C111" i="13"/>
  <c r="B111" i="13" s="1"/>
  <c r="A111" i="13" s="1"/>
  <c r="G111" i="13" l="1"/>
  <c r="K111" i="13"/>
  <c r="O111" i="13"/>
  <c r="S111" i="13"/>
  <c r="W111" i="13"/>
  <c r="AA111" i="13"/>
  <c r="AE111" i="13"/>
  <c r="AI111" i="13"/>
  <c r="AM111" i="13"/>
  <c r="AQ111" i="13"/>
  <c r="AU111" i="13"/>
  <c r="AY111" i="13"/>
  <c r="D111" i="13"/>
  <c r="H111" i="13"/>
  <c r="L111" i="13"/>
  <c r="P111" i="13"/>
  <c r="T111" i="13"/>
  <c r="X111" i="13"/>
  <c r="AB111" i="13"/>
  <c r="AF111" i="13"/>
  <c r="AJ111" i="13"/>
  <c r="AN111" i="13"/>
  <c r="AR111" i="13"/>
  <c r="AV111" i="13"/>
  <c r="AZ111" i="13"/>
  <c r="E111" i="13"/>
  <c r="I111" i="13"/>
  <c r="M111" i="13"/>
  <c r="Q111" i="13"/>
  <c r="U111" i="13"/>
  <c r="Y111" i="13"/>
  <c r="AC111" i="13"/>
  <c r="AG111" i="13"/>
  <c r="AK111" i="13"/>
  <c r="AO111" i="13"/>
  <c r="AS111" i="13"/>
  <c r="AW111" i="13"/>
  <c r="BA111" i="13"/>
  <c r="F111" i="13"/>
  <c r="J111" i="13"/>
  <c r="N111" i="13"/>
  <c r="R111" i="13"/>
  <c r="V111" i="13"/>
  <c r="Z111" i="13"/>
  <c r="AD111" i="13"/>
  <c r="AH111" i="13"/>
  <c r="AL111" i="13"/>
  <c r="AP111" i="13"/>
  <c r="AT111" i="13"/>
  <c r="AX111" i="13"/>
  <c r="C112" i="13"/>
  <c r="B112" i="13" s="1"/>
  <c r="A112" i="13" s="1"/>
  <c r="E112" i="13" l="1"/>
  <c r="I112" i="13"/>
  <c r="M112" i="13"/>
  <c r="Q112" i="13"/>
  <c r="U112" i="13"/>
  <c r="Y112" i="13"/>
  <c r="AC112" i="13"/>
  <c r="AG112" i="13"/>
  <c r="AK112" i="13"/>
  <c r="AO112" i="13"/>
  <c r="AS112" i="13"/>
  <c r="AW112" i="13"/>
  <c r="BA112" i="13"/>
  <c r="F112" i="13"/>
  <c r="J112" i="13"/>
  <c r="N112" i="13"/>
  <c r="R112" i="13"/>
  <c r="V112" i="13"/>
  <c r="Z112" i="13"/>
  <c r="AD112" i="13"/>
  <c r="AH112" i="13"/>
  <c r="AL112" i="13"/>
  <c r="AP112" i="13"/>
  <c r="AT112" i="13"/>
  <c r="AX112" i="13"/>
  <c r="G112" i="13"/>
  <c r="K112" i="13"/>
  <c r="O112" i="13"/>
  <c r="S112" i="13"/>
  <c r="W112" i="13"/>
  <c r="AA112" i="13"/>
  <c r="AE112" i="13"/>
  <c r="AI112" i="13"/>
  <c r="AM112" i="13"/>
  <c r="AQ112" i="13"/>
  <c r="AU112" i="13"/>
  <c r="AY112" i="13"/>
  <c r="D112" i="13"/>
  <c r="H112" i="13"/>
  <c r="L112" i="13"/>
  <c r="P112" i="13"/>
  <c r="T112" i="13"/>
  <c r="X112" i="13"/>
  <c r="AB112" i="13"/>
  <c r="AF112" i="13"/>
  <c r="AJ112" i="13"/>
  <c r="AN112" i="13"/>
  <c r="AR112" i="13"/>
  <c r="AV112" i="13"/>
  <c r="AZ112" i="13"/>
  <c r="C113" i="13"/>
  <c r="B113" i="13" s="1"/>
  <c r="A113" i="13" s="1"/>
  <c r="G113" i="13" l="1"/>
  <c r="K113" i="13"/>
  <c r="O113" i="13"/>
  <c r="S113" i="13"/>
  <c r="W113" i="13"/>
  <c r="AA113" i="13"/>
  <c r="AE113" i="13"/>
  <c r="AI113" i="13"/>
  <c r="AM113" i="13"/>
  <c r="AQ113" i="13"/>
  <c r="AU113" i="13"/>
  <c r="AY113" i="13"/>
  <c r="D113" i="13"/>
  <c r="H113" i="13"/>
  <c r="L113" i="13"/>
  <c r="P113" i="13"/>
  <c r="T113" i="13"/>
  <c r="X113" i="13"/>
  <c r="AB113" i="13"/>
  <c r="AF113" i="13"/>
  <c r="AJ113" i="13"/>
  <c r="AN113" i="13"/>
  <c r="AR113" i="13"/>
  <c r="AV113" i="13"/>
  <c r="AZ113" i="13"/>
  <c r="E113" i="13"/>
  <c r="I113" i="13"/>
  <c r="M113" i="13"/>
  <c r="Q113" i="13"/>
  <c r="U113" i="13"/>
  <c r="Y113" i="13"/>
  <c r="AC113" i="13"/>
  <c r="AG113" i="13"/>
  <c r="AK113" i="13"/>
  <c r="AO113" i="13"/>
  <c r="AS113" i="13"/>
  <c r="AW113" i="13"/>
  <c r="BA113" i="13"/>
  <c r="F113" i="13"/>
  <c r="J113" i="13"/>
  <c r="N113" i="13"/>
  <c r="R113" i="13"/>
  <c r="V113" i="13"/>
  <c r="Z113" i="13"/>
  <c r="AD113" i="13"/>
  <c r="AH113" i="13"/>
  <c r="AL113" i="13"/>
  <c r="AP113" i="13"/>
  <c r="AT113" i="13"/>
  <c r="AX113" i="13"/>
  <c r="C114" i="13"/>
  <c r="B114" i="13" s="1"/>
  <c r="A114" i="13" s="1"/>
  <c r="E114" i="13" l="1"/>
  <c r="I114" i="13"/>
  <c r="M114" i="13"/>
  <c r="Q114" i="13"/>
  <c r="U114" i="13"/>
  <c r="Y114" i="13"/>
  <c r="AC114" i="13"/>
  <c r="AG114" i="13"/>
  <c r="AK114" i="13"/>
  <c r="AO114" i="13"/>
  <c r="AS114" i="13"/>
  <c r="AW114" i="13"/>
  <c r="BA114" i="13"/>
  <c r="F114" i="13"/>
  <c r="J114" i="13"/>
  <c r="N114" i="13"/>
  <c r="R114" i="13"/>
  <c r="V114" i="13"/>
  <c r="Z114" i="13"/>
  <c r="AD114" i="13"/>
  <c r="AH114" i="13"/>
  <c r="AL114" i="13"/>
  <c r="AP114" i="13"/>
  <c r="AT114" i="13"/>
  <c r="AX114" i="13"/>
  <c r="G114" i="13"/>
  <c r="K114" i="13"/>
  <c r="O114" i="13"/>
  <c r="S114" i="13"/>
  <c r="W114" i="13"/>
  <c r="AA114" i="13"/>
  <c r="AE114" i="13"/>
  <c r="AI114" i="13"/>
  <c r="AM114" i="13"/>
  <c r="AQ114" i="13"/>
  <c r="AU114" i="13"/>
  <c r="AY114" i="13"/>
  <c r="D114" i="13"/>
  <c r="H114" i="13"/>
  <c r="L114" i="13"/>
  <c r="P114" i="13"/>
  <c r="T114" i="13"/>
  <c r="X114" i="13"/>
  <c r="AB114" i="13"/>
  <c r="AF114" i="13"/>
  <c r="AJ114" i="13"/>
  <c r="AN114" i="13"/>
  <c r="AR114" i="13"/>
  <c r="AV114" i="13"/>
  <c r="AZ114" i="13"/>
  <c r="C115" i="13"/>
  <c r="B115" i="13" s="1"/>
  <c r="A115" i="13" s="1"/>
  <c r="G115" i="13" l="1"/>
  <c r="K115" i="13"/>
  <c r="O115" i="13"/>
  <c r="S115" i="13"/>
  <c r="W115" i="13"/>
  <c r="AA115" i="13"/>
  <c r="AE115" i="13"/>
  <c r="AI115" i="13"/>
  <c r="AM115" i="13"/>
  <c r="AQ115" i="13"/>
  <c r="D115" i="13"/>
  <c r="H115" i="13"/>
  <c r="L115" i="13"/>
  <c r="P115" i="13"/>
  <c r="T115" i="13"/>
  <c r="X115" i="13"/>
  <c r="AB115" i="13"/>
  <c r="AF115" i="13"/>
  <c r="AJ115" i="13"/>
  <c r="AN115" i="13"/>
  <c r="AR115" i="13"/>
  <c r="AV115" i="13"/>
  <c r="AZ115" i="13"/>
  <c r="E115" i="13"/>
  <c r="I115" i="13"/>
  <c r="M115" i="13"/>
  <c r="Q115" i="13"/>
  <c r="U115" i="13"/>
  <c r="Y115" i="13"/>
  <c r="AC115" i="13"/>
  <c r="AG115" i="13"/>
  <c r="AK115" i="13"/>
  <c r="AO115" i="13"/>
  <c r="AS115" i="13"/>
  <c r="AW115" i="13"/>
  <c r="BA115" i="13"/>
  <c r="F115" i="13"/>
  <c r="J115" i="13"/>
  <c r="N115" i="13"/>
  <c r="R115" i="13"/>
  <c r="V115" i="13"/>
  <c r="Z115" i="13"/>
  <c r="AD115" i="13"/>
  <c r="AH115" i="13"/>
  <c r="AL115" i="13"/>
  <c r="AP115" i="13"/>
  <c r="AT115" i="13"/>
  <c r="AU115" i="13"/>
  <c r="AX115" i="13"/>
  <c r="AY115" i="13"/>
  <c r="C116" i="13"/>
  <c r="B116" i="13" s="1"/>
  <c r="A116" i="13" s="1"/>
  <c r="F116" i="13" l="1"/>
  <c r="G116" i="13"/>
  <c r="D116" i="13"/>
  <c r="J116" i="13"/>
  <c r="N116" i="13"/>
  <c r="R116" i="13"/>
  <c r="V116" i="13"/>
  <c r="Z116" i="13"/>
  <c r="AD116" i="13"/>
  <c r="AH116" i="13"/>
  <c r="AL116" i="13"/>
  <c r="AP116" i="13"/>
  <c r="AT116" i="13"/>
  <c r="AX116" i="13"/>
  <c r="E116" i="13"/>
  <c r="K116" i="13"/>
  <c r="O116" i="13"/>
  <c r="S116" i="13"/>
  <c r="W116" i="13"/>
  <c r="AA116" i="13"/>
  <c r="AE116" i="13"/>
  <c r="AI116" i="13"/>
  <c r="AM116" i="13"/>
  <c r="AQ116" i="13"/>
  <c r="AU116" i="13"/>
  <c r="AY116" i="13"/>
  <c r="H116" i="13"/>
  <c r="L116" i="13"/>
  <c r="P116" i="13"/>
  <c r="T116" i="13"/>
  <c r="X116" i="13"/>
  <c r="AB116" i="13"/>
  <c r="AF116" i="13"/>
  <c r="AJ116" i="13"/>
  <c r="AN116" i="13"/>
  <c r="AR116" i="13"/>
  <c r="AV116" i="13"/>
  <c r="AZ116" i="13"/>
  <c r="I116" i="13"/>
  <c r="M116" i="13"/>
  <c r="Q116" i="13"/>
  <c r="U116" i="13"/>
  <c r="Y116" i="13"/>
  <c r="AC116" i="13"/>
  <c r="AG116" i="13"/>
  <c r="AK116" i="13"/>
  <c r="AO116" i="13"/>
  <c r="AS116" i="13"/>
  <c r="AW116" i="13"/>
  <c r="BA116" i="13"/>
  <c r="C117" i="13"/>
  <c r="B117" i="13" s="1"/>
  <c r="A117" i="13" s="1"/>
  <c r="D117" i="13" l="1"/>
  <c r="H117" i="13"/>
  <c r="L117" i="13"/>
  <c r="P117" i="13"/>
  <c r="T117" i="13"/>
  <c r="X117" i="13"/>
  <c r="AB117" i="13"/>
  <c r="AF117" i="13"/>
  <c r="AJ117" i="13"/>
  <c r="AN117" i="13"/>
  <c r="AR117" i="13"/>
  <c r="AV117" i="13"/>
  <c r="AZ117" i="13"/>
  <c r="E117" i="13"/>
  <c r="I117" i="13"/>
  <c r="M117" i="13"/>
  <c r="Q117" i="13"/>
  <c r="U117" i="13"/>
  <c r="Y117" i="13"/>
  <c r="AC117" i="13"/>
  <c r="AG117" i="13"/>
  <c r="AK117" i="13"/>
  <c r="AO117" i="13"/>
  <c r="AS117" i="13"/>
  <c r="AW117" i="13"/>
  <c r="BA117" i="13"/>
  <c r="F117" i="13"/>
  <c r="J117" i="13"/>
  <c r="N117" i="13"/>
  <c r="R117" i="13"/>
  <c r="V117" i="13"/>
  <c r="Z117" i="13"/>
  <c r="AD117" i="13"/>
  <c r="AH117" i="13"/>
  <c r="AL117" i="13"/>
  <c r="AP117" i="13"/>
  <c r="AT117" i="13"/>
  <c r="AX117" i="13"/>
  <c r="G117" i="13"/>
  <c r="K117" i="13"/>
  <c r="O117" i="13"/>
  <c r="S117" i="13"/>
  <c r="W117" i="13"/>
  <c r="AA117" i="13"/>
  <c r="AE117" i="13"/>
  <c r="AI117" i="13"/>
  <c r="AM117" i="13"/>
  <c r="AQ117" i="13"/>
  <c r="AU117" i="13"/>
  <c r="AY117" i="13"/>
  <c r="C118" i="13"/>
  <c r="B118" i="13" s="1"/>
  <c r="A118" i="13" s="1"/>
  <c r="F118" i="13" l="1"/>
  <c r="J118" i="13"/>
  <c r="N118" i="13"/>
  <c r="R118" i="13"/>
  <c r="V118" i="13"/>
  <c r="Z118" i="13"/>
  <c r="AD118" i="13"/>
  <c r="AH118" i="13"/>
  <c r="AL118" i="13"/>
  <c r="AP118" i="13"/>
  <c r="AT118" i="13"/>
  <c r="AX118" i="13"/>
  <c r="G118" i="13"/>
  <c r="K118" i="13"/>
  <c r="O118" i="13"/>
  <c r="S118" i="13"/>
  <c r="W118" i="13"/>
  <c r="AA118" i="13"/>
  <c r="AE118" i="13"/>
  <c r="AI118" i="13"/>
  <c r="AM118" i="13"/>
  <c r="AQ118" i="13"/>
  <c r="AU118" i="13"/>
  <c r="AY118" i="13"/>
  <c r="D118" i="13"/>
  <c r="H118" i="13"/>
  <c r="L118" i="13"/>
  <c r="P118" i="13"/>
  <c r="T118" i="13"/>
  <c r="X118" i="13"/>
  <c r="AB118" i="13"/>
  <c r="AF118" i="13"/>
  <c r="AJ118" i="13"/>
  <c r="AN118" i="13"/>
  <c r="AR118" i="13"/>
  <c r="AV118" i="13"/>
  <c r="AZ118" i="13"/>
  <c r="E118" i="13"/>
  <c r="I118" i="13"/>
  <c r="M118" i="13"/>
  <c r="Q118" i="13"/>
  <c r="U118" i="13"/>
  <c r="Y118" i="13"/>
  <c r="AC118" i="13"/>
  <c r="AG118" i="13"/>
  <c r="AK118" i="13"/>
  <c r="AO118" i="13"/>
  <c r="AS118" i="13"/>
  <c r="AW118" i="13"/>
  <c r="BA118" i="13"/>
  <c r="C119" i="13"/>
  <c r="B119" i="13" s="1"/>
  <c r="A119" i="13" s="1"/>
  <c r="D119" i="13" l="1"/>
  <c r="H119" i="13"/>
  <c r="L119" i="13"/>
  <c r="P119" i="13"/>
  <c r="T119" i="13"/>
  <c r="X119" i="13"/>
  <c r="AB119" i="13"/>
  <c r="AF119" i="13"/>
  <c r="AJ119" i="13"/>
  <c r="AN119" i="13"/>
  <c r="AR119" i="13"/>
  <c r="AV119" i="13"/>
  <c r="AZ119" i="13"/>
  <c r="E119" i="13"/>
  <c r="I119" i="13"/>
  <c r="M119" i="13"/>
  <c r="Q119" i="13"/>
  <c r="U119" i="13"/>
  <c r="Y119" i="13"/>
  <c r="AC119" i="13"/>
  <c r="AG119" i="13"/>
  <c r="AK119" i="13"/>
  <c r="AO119" i="13"/>
  <c r="AS119" i="13"/>
  <c r="AW119" i="13"/>
  <c r="BA119" i="13"/>
  <c r="F119" i="13"/>
  <c r="J119" i="13"/>
  <c r="N119" i="13"/>
  <c r="R119" i="13"/>
  <c r="V119" i="13"/>
  <c r="Z119" i="13"/>
  <c r="AD119" i="13"/>
  <c r="AH119" i="13"/>
  <c r="AL119" i="13"/>
  <c r="AP119" i="13"/>
  <c r="AT119" i="13"/>
  <c r="AX119" i="13"/>
  <c r="G119" i="13"/>
  <c r="K119" i="13"/>
  <c r="O119" i="13"/>
  <c r="S119" i="13"/>
  <c r="W119" i="13"/>
  <c r="AA119" i="13"/>
  <c r="AE119" i="13"/>
  <c r="AI119" i="13"/>
  <c r="AM119" i="13"/>
  <c r="AQ119" i="13"/>
  <c r="AU119" i="13"/>
  <c r="AY119" i="13"/>
  <c r="C120" i="13"/>
  <c r="B120" i="13" s="1"/>
  <c r="A120" i="13" s="1"/>
  <c r="F120" i="13" l="1"/>
  <c r="J120" i="13"/>
  <c r="N120" i="13"/>
  <c r="R120" i="13"/>
  <c r="V120" i="13"/>
  <c r="Z120" i="13"/>
  <c r="AD120" i="13"/>
  <c r="AH120" i="13"/>
  <c r="AL120" i="13"/>
  <c r="AP120" i="13"/>
  <c r="AT120" i="13"/>
  <c r="AX120" i="13"/>
  <c r="G120" i="13"/>
  <c r="K120" i="13"/>
  <c r="O120" i="13"/>
  <c r="S120" i="13"/>
  <c r="W120" i="13"/>
  <c r="AA120" i="13"/>
  <c r="AE120" i="13"/>
  <c r="AI120" i="13"/>
  <c r="AM120" i="13"/>
  <c r="AQ120" i="13"/>
  <c r="AU120" i="13"/>
  <c r="AY120" i="13"/>
  <c r="D120" i="13"/>
  <c r="H120" i="13"/>
  <c r="L120" i="13"/>
  <c r="P120" i="13"/>
  <c r="T120" i="13"/>
  <c r="X120" i="13"/>
  <c r="AB120" i="13"/>
  <c r="AF120" i="13"/>
  <c r="AJ120" i="13"/>
  <c r="AN120" i="13"/>
  <c r="AR120" i="13"/>
  <c r="AV120" i="13"/>
  <c r="AZ120" i="13"/>
  <c r="E120" i="13"/>
  <c r="I120" i="13"/>
  <c r="M120" i="13"/>
  <c r="Q120" i="13"/>
  <c r="U120" i="13"/>
  <c r="Y120" i="13"/>
  <c r="AC120" i="13"/>
  <c r="AG120" i="13"/>
  <c r="AK120" i="13"/>
  <c r="AO120" i="13"/>
  <c r="AS120" i="13"/>
  <c r="AW120" i="13"/>
  <c r="BA120" i="13"/>
  <c r="C121" i="13"/>
  <c r="B121" i="13" s="1"/>
  <c r="A121" i="13" s="1"/>
  <c r="D121" i="13" l="1"/>
  <c r="H121" i="13"/>
  <c r="L121" i="13"/>
  <c r="P121" i="13"/>
  <c r="T121" i="13"/>
  <c r="X121" i="13"/>
  <c r="AB121" i="13"/>
  <c r="AF121" i="13"/>
  <c r="AJ121" i="13"/>
  <c r="AN121" i="13"/>
  <c r="AR121" i="13"/>
  <c r="AV121" i="13"/>
  <c r="AZ121" i="13"/>
  <c r="E121" i="13"/>
  <c r="I121" i="13"/>
  <c r="M121" i="13"/>
  <c r="Q121" i="13"/>
  <c r="U121" i="13"/>
  <c r="Y121" i="13"/>
  <c r="AC121" i="13"/>
  <c r="AG121" i="13"/>
  <c r="AK121" i="13"/>
  <c r="AO121" i="13"/>
  <c r="AS121" i="13"/>
  <c r="AW121" i="13"/>
  <c r="BA121" i="13"/>
  <c r="F121" i="13"/>
  <c r="J121" i="13"/>
  <c r="N121" i="13"/>
  <c r="R121" i="13"/>
  <c r="V121" i="13"/>
  <c r="Z121" i="13"/>
  <c r="AD121" i="13"/>
  <c r="AH121" i="13"/>
  <c r="AL121" i="13"/>
  <c r="AP121" i="13"/>
  <c r="AT121" i="13"/>
  <c r="AX121" i="13"/>
  <c r="G121" i="13"/>
  <c r="K121" i="13"/>
  <c r="O121" i="13"/>
  <c r="S121" i="13"/>
  <c r="W121" i="13"/>
  <c r="AA121" i="13"/>
  <c r="AE121" i="13"/>
  <c r="AI121" i="13"/>
  <c r="AM121" i="13"/>
  <c r="AQ121" i="13"/>
  <c r="AU121" i="13"/>
  <c r="AY121" i="13"/>
  <c r="C122" i="13"/>
  <c r="B122" i="13" s="1"/>
  <c r="A122" i="13" s="1"/>
  <c r="F122" i="13" l="1"/>
  <c r="J122" i="13"/>
  <c r="N122" i="13"/>
  <c r="R122" i="13"/>
  <c r="V122" i="13"/>
  <c r="Z122" i="13"/>
  <c r="AD122" i="13"/>
  <c r="AH122" i="13"/>
  <c r="AL122" i="13"/>
  <c r="AP122" i="13"/>
  <c r="AT122" i="13"/>
  <c r="AX122" i="13"/>
  <c r="G122" i="13"/>
  <c r="K122" i="13"/>
  <c r="O122" i="13"/>
  <c r="S122" i="13"/>
  <c r="W122" i="13"/>
  <c r="AA122" i="13"/>
  <c r="AE122" i="13"/>
  <c r="AI122" i="13"/>
  <c r="AM122" i="13"/>
  <c r="AQ122" i="13"/>
  <c r="AU122" i="13"/>
  <c r="AY122" i="13"/>
  <c r="D122" i="13"/>
  <c r="H122" i="13"/>
  <c r="L122" i="13"/>
  <c r="P122" i="13"/>
  <c r="T122" i="13"/>
  <c r="X122" i="13"/>
  <c r="AB122" i="13"/>
  <c r="AF122" i="13"/>
  <c r="AJ122" i="13"/>
  <c r="AN122" i="13"/>
  <c r="AR122" i="13"/>
  <c r="AV122" i="13"/>
  <c r="AZ122" i="13"/>
  <c r="E122" i="13"/>
  <c r="I122" i="13"/>
  <c r="M122" i="13"/>
  <c r="Q122" i="13"/>
  <c r="U122" i="13"/>
  <c r="Y122" i="13"/>
  <c r="AC122" i="13"/>
  <c r="AG122" i="13"/>
  <c r="AK122" i="13"/>
  <c r="AO122" i="13"/>
  <c r="AS122" i="13"/>
  <c r="AW122" i="13"/>
  <c r="BA122" i="13"/>
  <c r="C123" i="13"/>
  <c r="B123" i="13" s="1"/>
  <c r="A123" i="13" s="1"/>
  <c r="D123" i="13" l="1"/>
  <c r="H123" i="13"/>
  <c r="L123" i="13"/>
  <c r="P123" i="13"/>
  <c r="T123" i="13"/>
  <c r="X123" i="13"/>
  <c r="AB123" i="13"/>
  <c r="AF123" i="13"/>
  <c r="AJ123" i="13"/>
  <c r="AN123" i="13"/>
  <c r="AR123" i="13"/>
  <c r="AV123" i="13"/>
  <c r="AZ123" i="13"/>
  <c r="E123" i="13"/>
  <c r="I123" i="13"/>
  <c r="M123" i="13"/>
  <c r="Q123" i="13"/>
  <c r="U123" i="13"/>
  <c r="Y123" i="13"/>
  <c r="AC123" i="13"/>
  <c r="AG123" i="13"/>
  <c r="AK123" i="13"/>
  <c r="AO123" i="13"/>
  <c r="AS123" i="13"/>
  <c r="AW123" i="13"/>
  <c r="BA123" i="13"/>
  <c r="F123" i="13"/>
  <c r="J123" i="13"/>
  <c r="N123" i="13"/>
  <c r="R123" i="13"/>
  <c r="V123" i="13"/>
  <c r="Z123" i="13"/>
  <c r="AD123" i="13"/>
  <c r="AH123" i="13"/>
  <c r="AL123" i="13"/>
  <c r="AP123" i="13"/>
  <c r="AT123" i="13"/>
  <c r="AX123" i="13"/>
  <c r="G123" i="13"/>
  <c r="K123" i="13"/>
  <c r="O123" i="13"/>
  <c r="S123" i="13"/>
  <c r="W123" i="13"/>
  <c r="AA123" i="13"/>
  <c r="AE123" i="13"/>
  <c r="AI123" i="13"/>
  <c r="AM123" i="13"/>
  <c r="AQ123" i="13"/>
  <c r="AU123" i="13"/>
  <c r="AY123" i="13"/>
  <c r="C124" i="13"/>
  <c r="B124" i="13" s="1"/>
  <c r="A124" i="13" s="1"/>
  <c r="F124" i="13" l="1"/>
  <c r="J124" i="13"/>
  <c r="N124" i="13"/>
  <c r="R124" i="13"/>
  <c r="V124" i="13"/>
  <c r="Z124" i="13"/>
  <c r="AD124" i="13"/>
  <c r="AH124" i="13"/>
  <c r="AL124" i="13"/>
  <c r="AP124" i="13"/>
  <c r="AT124" i="13"/>
  <c r="AX124" i="13"/>
  <c r="G124" i="13"/>
  <c r="K124" i="13"/>
  <c r="O124" i="13"/>
  <c r="S124" i="13"/>
  <c r="W124" i="13"/>
  <c r="AA124" i="13"/>
  <c r="AE124" i="13"/>
  <c r="AI124" i="13"/>
  <c r="AM124" i="13"/>
  <c r="AQ124" i="13"/>
  <c r="AU124" i="13"/>
  <c r="AY124" i="13"/>
  <c r="D124" i="13"/>
  <c r="H124" i="13"/>
  <c r="L124" i="13"/>
  <c r="P124" i="13"/>
  <c r="T124" i="13"/>
  <c r="X124" i="13"/>
  <c r="AB124" i="13"/>
  <c r="AF124" i="13"/>
  <c r="AJ124" i="13"/>
  <c r="AN124" i="13"/>
  <c r="AR124" i="13"/>
  <c r="AV124" i="13"/>
  <c r="AZ124" i="13"/>
  <c r="E124" i="13"/>
  <c r="I124" i="13"/>
  <c r="M124" i="13"/>
  <c r="Q124" i="13"/>
  <c r="U124" i="13"/>
  <c r="Y124" i="13"/>
  <c r="AC124" i="13"/>
  <c r="AG124" i="13"/>
  <c r="AK124" i="13"/>
  <c r="AO124" i="13"/>
  <c r="AS124" i="13"/>
  <c r="AW124" i="13"/>
  <c r="BA124" i="13"/>
  <c r="C125" i="13"/>
  <c r="B125" i="13" s="1"/>
  <c r="A125" i="13" s="1"/>
  <c r="D125" i="13" l="1"/>
  <c r="H125" i="13"/>
  <c r="L125" i="13"/>
  <c r="P125" i="13"/>
  <c r="T125" i="13"/>
  <c r="X125" i="13"/>
  <c r="AB125" i="13"/>
  <c r="AF125" i="13"/>
  <c r="AJ125" i="13"/>
  <c r="AN125" i="13"/>
  <c r="AR125" i="13"/>
  <c r="AV125" i="13"/>
  <c r="AZ125" i="13"/>
  <c r="E125" i="13"/>
  <c r="I125" i="13"/>
  <c r="M125" i="13"/>
  <c r="Q125" i="13"/>
  <c r="U125" i="13"/>
  <c r="Y125" i="13"/>
  <c r="AC125" i="13"/>
  <c r="AG125" i="13"/>
  <c r="AK125" i="13"/>
  <c r="AO125" i="13"/>
  <c r="AS125" i="13"/>
  <c r="AW125" i="13"/>
  <c r="BA125" i="13"/>
  <c r="F125" i="13"/>
  <c r="J125" i="13"/>
  <c r="N125" i="13"/>
  <c r="R125" i="13"/>
  <c r="V125" i="13"/>
  <c r="Z125" i="13"/>
  <c r="AD125" i="13"/>
  <c r="AH125" i="13"/>
  <c r="AL125" i="13"/>
  <c r="AP125" i="13"/>
  <c r="AT125" i="13"/>
  <c r="AX125" i="13"/>
  <c r="G125" i="13"/>
  <c r="K125" i="13"/>
  <c r="O125" i="13"/>
  <c r="S125" i="13"/>
  <c r="W125" i="13"/>
  <c r="AA125" i="13"/>
  <c r="AE125" i="13"/>
  <c r="AI125" i="13"/>
  <c r="AM125" i="13"/>
  <c r="AQ125" i="13"/>
  <c r="AU125" i="13"/>
  <c r="AY125" i="13"/>
  <c r="C126" i="13"/>
  <c r="B126" i="13" s="1"/>
  <c r="A126" i="13" s="1"/>
  <c r="F126" i="13" l="1"/>
  <c r="J126" i="13"/>
  <c r="N126" i="13"/>
  <c r="R126" i="13"/>
  <c r="V126" i="13"/>
  <c r="Z126" i="13"/>
  <c r="AD126" i="13"/>
  <c r="AH126" i="13"/>
  <c r="AL126" i="13"/>
  <c r="AP126" i="13"/>
  <c r="AT126" i="13"/>
  <c r="AX126" i="13"/>
  <c r="G126" i="13"/>
  <c r="K126" i="13"/>
  <c r="O126" i="13"/>
  <c r="S126" i="13"/>
  <c r="W126" i="13"/>
  <c r="AA126" i="13"/>
  <c r="AE126" i="13"/>
  <c r="AI126" i="13"/>
  <c r="AM126" i="13"/>
  <c r="AQ126" i="13"/>
  <c r="AU126" i="13"/>
  <c r="AY126" i="13"/>
  <c r="D126" i="13"/>
  <c r="H126" i="13"/>
  <c r="L126" i="13"/>
  <c r="P126" i="13"/>
  <c r="T126" i="13"/>
  <c r="X126" i="13"/>
  <c r="AB126" i="13"/>
  <c r="AF126" i="13"/>
  <c r="AJ126" i="13"/>
  <c r="AN126" i="13"/>
  <c r="AR126" i="13"/>
  <c r="AV126" i="13"/>
  <c r="AZ126" i="13"/>
  <c r="E126" i="13"/>
  <c r="I126" i="13"/>
  <c r="M126" i="13"/>
  <c r="Q126" i="13"/>
  <c r="U126" i="13"/>
  <c r="Y126" i="13"/>
  <c r="AC126" i="13"/>
  <c r="AG126" i="13"/>
  <c r="AK126" i="13"/>
  <c r="AO126" i="13"/>
  <c r="AS126" i="13"/>
  <c r="AW126" i="13"/>
  <c r="BA126" i="13"/>
  <c r="C127" i="13"/>
  <c r="B127" i="13" s="1"/>
  <c r="A127" i="13" s="1"/>
  <c r="D127" i="13" l="1"/>
  <c r="H127" i="13"/>
  <c r="L127" i="13"/>
  <c r="P127" i="13"/>
  <c r="T127" i="13"/>
  <c r="X127" i="13"/>
  <c r="AB127" i="13"/>
  <c r="AF127" i="13"/>
  <c r="AJ127" i="13"/>
  <c r="AN127" i="13"/>
  <c r="AR127" i="13"/>
  <c r="AV127" i="13"/>
  <c r="AZ127" i="13"/>
  <c r="E127" i="13"/>
  <c r="I127" i="13"/>
  <c r="M127" i="13"/>
  <c r="Q127" i="13"/>
  <c r="U127" i="13"/>
  <c r="Y127" i="13"/>
  <c r="AC127" i="13"/>
  <c r="AG127" i="13"/>
  <c r="AK127" i="13"/>
  <c r="AO127" i="13"/>
  <c r="AS127" i="13"/>
  <c r="AW127" i="13"/>
  <c r="BA127" i="13"/>
  <c r="F127" i="13"/>
  <c r="J127" i="13"/>
  <c r="N127" i="13"/>
  <c r="R127" i="13"/>
  <c r="V127" i="13"/>
  <c r="Z127" i="13"/>
  <c r="AD127" i="13"/>
  <c r="AH127" i="13"/>
  <c r="AL127" i="13"/>
  <c r="AP127" i="13"/>
  <c r="AT127" i="13"/>
  <c r="AX127" i="13"/>
  <c r="G127" i="13"/>
  <c r="K127" i="13"/>
  <c r="O127" i="13"/>
  <c r="S127" i="13"/>
  <c r="W127" i="13"/>
  <c r="AA127" i="13"/>
  <c r="AE127" i="13"/>
  <c r="AI127" i="13"/>
  <c r="AM127" i="13"/>
  <c r="AQ127" i="13"/>
  <c r="AU127" i="13"/>
  <c r="AY127" i="13"/>
  <c r="C128" i="13"/>
  <c r="B128" i="13" s="1"/>
  <c r="A128" i="13" s="1"/>
  <c r="F128" i="13" l="1"/>
  <c r="J128" i="13"/>
  <c r="N128" i="13"/>
  <c r="R128" i="13"/>
  <c r="V128" i="13"/>
  <c r="Z128" i="13"/>
  <c r="AD128" i="13"/>
  <c r="AH128" i="13"/>
  <c r="AL128" i="13"/>
  <c r="AP128" i="13"/>
  <c r="AT128" i="13"/>
  <c r="AX128" i="13"/>
  <c r="G128" i="13"/>
  <c r="K128" i="13"/>
  <c r="O128" i="13"/>
  <c r="S128" i="13"/>
  <c r="W128" i="13"/>
  <c r="AA128" i="13"/>
  <c r="AE128" i="13"/>
  <c r="AI128" i="13"/>
  <c r="AM128" i="13"/>
  <c r="AQ128" i="13"/>
  <c r="AU128" i="13"/>
  <c r="AY128" i="13"/>
  <c r="D128" i="13"/>
  <c r="H128" i="13"/>
  <c r="L128" i="13"/>
  <c r="P128" i="13"/>
  <c r="T128" i="13"/>
  <c r="X128" i="13"/>
  <c r="AB128" i="13"/>
  <c r="AF128" i="13"/>
  <c r="AJ128" i="13"/>
  <c r="AN128" i="13"/>
  <c r="AR128" i="13"/>
  <c r="AV128" i="13"/>
  <c r="AZ128" i="13"/>
  <c r="E128" i="13"/>
  <c r="I128" i="13"/>
  <c r="M128" i="13"/>
  <c r="Q128" i="13"/>
  <c r="U128" i="13"/>
  <c r="Y128" i="13"/>
  <c r="AC128" i="13"/>
  <c r="AG128" i="13"/>
  <c r="AK128" i="13"/>
  <c r="AO128" i="13"/>
  <c r="AS128" i="13"/>
  <c r="AW128" i="13"/>
  <c r="BA128" i="13"/>
  <c r="C129" i="13"/>
  <c r="B129" i="13" s="1"/>
  <c r="A129" i="13" s="1"/>
  <c r="D129" i="13" l="1"/>
  <c r="H129" i="13"/>
  <c r="L129" i="13"/>
  <c r="P129" i="13"/>
  <c r="T129" i="13"/>
  <c r="X129" i="13"/>
  <c r="AB129" i="13"/>
  <c r="AF129" i="13"/>
  <c r="AJ129" i="13"/>
  <c r="AN129" i="13"/>
  <c r="AR129" i="13"/>
  <c r="AV129" i="13"/>
  <c r="AZ129" i="13"/>
  <c r="E129" i="13"/>
  <c r="I129" i="13"/>
  <c r="M129" i="13"/>
  <c r="Q129" i="13"/>
  <c r="U129" i="13"/>
  <c r="Y129" i="13"/>
  <c r="AC129" i="13"/>
  <c r="AG129" i="13"/>
  <c r="AK129" i="13"/>
  <c r="AO129" i="13"/>
  <c r="AS129" i="13"/>
  <c r="AW129" i="13"/>
  <c r="BA129" i="13"/>
  <c r="F129" i="13"/>
  <c r="J129" i="13"/>
  <c r="N129" i="13"/>
  <c r="R129" i="13"/>
  <c r="V129" i="13"/>
  <c r="Z129" i="13"/>
  <c r="AD129" i="13"/>
  <c r="AH129" i="13"/>
  <c r="AL129" i="13"/>
  <c r="AP129" i="13"/>
  <c r="AT129" i="13"/>
  <c r="AX129" i="13"/>
  <c r="G129" i="13"/>
  <c r="K129" i="13"/>
  <c r="O129" i="13"/>
  <c r="S129" i="13"/>
  <c r="W129" i="13"/>
  <c r="AA129" i="13"/>
  <c r="AE129" i="13"/>
  <c r="AI129" i="13"/>
  <c r="AM129" i="13"/>
  <c r="AQ129" i="13"/>
  <c r="AU129" i="13"/>
  <c r="AY129" i="13"/>
  <c r="C130" i="13"/>
  <c r="B130" i="13" s="1"/>
  <c r="A130" i="13" s="1"/>
  <c r="F130" i="13" l="1"/>
  <c r="J130" i="13"/>
  <c r="N130" i="13"/>
  <c r="R130" i="13"/>
  <c r="V130" i="13"/>
  <c r="Z130" i="13"/>
  <c r="AD130" i="13"/>
  <c r="AH130" i="13"/>
  <c r="AL130" i="13"/>
  <c r="AP130" i="13"/>
  <c r="AT130" i="13"/>
  <c r="AX130" i="13"/>
  <c r="G130" i="13"/>
  <c r="K130" i="13"/>
  <c r="O130" i="13"/>
  <c r="S130" i="13"/>
  <c r="W130" i="13"/>
  <c r="AA130" i="13"/>
  <c r="AE130" i="13"/>
  <c r="AI130" i="13"/>
  <c r="AM130" i="13"/>
  <c r="AQ130" i="13"/>
  <c r="AU130" i="13"/>
  <c r="AY130" i="13"/>
  <c r="D130" i="13"/>
  <c r="H130" i="13"/>
  <c r="L130" i="13"/>
  <c r="P130" i="13"/>
  <c r="T130" i="13"/>
  <c r="X130" i="13"/>
  <c r="AB130" i="13"/>
  <c r="AF130" i="13"/>
  <c r="AJ130" i="13"/>
  <c r="AN130" i="13"/>
  <c r="AR130" i="13"/>
  <c r="AV130" i="13"/>
  <c r="AZ130" i="13"/>
  <c r="E130" i="13"/>
  <c r="I130" i="13"/>
  <c r="M130" i="13"/>
  <c r="Q130" i="13"/>
  <c r="U130" i="13"/>
  <c r="Y130" i="13"/>
  <c r="AC130" i="13"/>
  <c r="AG130" i="13"/>
  <c r="AK130" i="13"/>
  <c r="AO130" i="13"/>
  <c r="AS130" i="13"/>
  <c r="AW130" i="13"/>
  <c r="BA130" i="13"/>
  <c r="C131" i="13"/>
  <c r="B131" i="13" s="1"/>
  <c r="A131" i="13" s="1"/>
  <c r="D131" i="13" l="1"/>
  <c r="H131" i="13"/>
  <c r="L131" i="13"/>
  <c r="P131" i="13"/>
  <c r="T131" i="13"/>
  <c r="X131" i="13"/>
  <c r="AB131" i="13"/>
  <c r="AF131" i="13"/>
  <c r="AJ131" i="13"/>
  <c r="AN131" i="13"/>
  <c r="AR131" i="13"/>
  <c r="AV131" i="13"/>
  <c r="AZ131" i="13"/>
  <c r="E131" i="13"/>
  <c r="I131" i="13"/>
  <c r="M131" i="13"/>
  <c r="Q131" i="13"/>
  <c r="U131" i="13"/>
  <c r="Y131" i="13"/>
  <c r="AC131" i="13"/>
  <c r="AG131" i="13"/>
  <c r="AK131" i="13"/>
  <c r="AO131" i="13"/>
  <c r="AS131" i="13"/>
  <c r="AW131" i="13"/>
  <c r="BA131" i="13"/>
  <c r="F131" i="13"/>
  <c r="J131" i="13"/>
  <c r="N131" i="13"/>
  <c r="R131" i="13"/>
  <c r="V131" i="13"/>
  <c r="Z131" i="13"/>
  <c r="AD131" i="13"/>
  <c r="AH131" i="13"/>
  <c r="AL131" i="13"/>
  <c r="AP131" i="13"/>
  <c r="AT131" i="13"/>
  <c r="AX131" i="13"/>
  <c r="G131" i="13"/>
  <c r="K131" i="13"/>
  <c r="O131" i="13"/>
  <c r="S131" i="13"/>
  <c r="W131" i="13"/>
  <c r="AA131" i="13"/>
  <c r="AE131" i="13"/>
  <c r="AI131" i="13"/>
  <c r="AM131" i="13"/>
  <c r="AQ131" i="13"/>
  <c r="AU131" i="13"/>
  <c r="AY131" i="13"/>
  <c r="C132" i="13"/>
  <c r="B132" i="13" s="1"/>
  <c r="A132" i="13" s="1"/>
  <c r="F132" i="13" l="1"/>
  <c r="J132" i="13"/>
  <c r="N132" i="13"/>
  <c r="R132" i="13"/>
  <c r="V132" i="13"/>
  <c r="Z132" i="13"/>
  <c r="AD132" i="13"/>
  <c r="AH132" i="13"/>
  <c r="AL132" i="13"/>
  <c r="AP132" i="13"/>
  <c r="AT132" i="13"/>
  <c r="AX132" i="13"/>
  <c r="G132" i="13"/>
  <c r="K132" i="13"/>
  <c r="O132" i="13"/>
  <c r="S132" i="13"/>
  <c r="W132" i="13"/>
  <c r="AA132" i="13"/>
  <c r="AE132" i="13"/>
  <c r="AI132" i="13"/>
  <c r="AM132" i="13"/>
  <c r="AQ132" i="13"/>
  <c r="AU132" i="13"/>
  <c r="AY132" i="13"/>
  <c r="D132" i="13"/>
  <c r="H132" i="13"/>
  <c r="L132" i="13"/>
  <c r="P132" i="13"/>
  <c r="T132" i="13"/>
  <c r="X132" i="13"/>
  <c r="AB132" i="13"/>
  <c r="AF132" i="13"/>
  <c r="AJ132" i="13"/>
  <c r="AN132" i="13"/>
  <c r="AR132" i="13"/>
  <c r="AV132" i="13"/>
  <c r="AZ132" i="13"/>
  <c r="E132" i="13"/>
  <c r="I132" i="13"/>
  <c r="M132" i="13"/>
  <c r="Q132" i="13"/>
  <c r="U132" i="13"/>
  <c r="Y132" i="13"/>
  <c r="AC132" i="13"/>
  <c r="AG132" i="13"/>
  <c r="AK132" i="13"/>
  <c r="AO132" i="13"/>
  <c r="AS132" i="13"/>
  <c r="AW132" i="13"/>
  <c r="BA132" i="13"/>
  <c r="C133" i="13"/>
  <c r="B133" i="13" s="1"/>
  <c r="A133" i="13" s="1"/>
  <c r="D133" i="13" l="1"/>
  <c r="H133" i="13"/>
  <c r="L133" i="13"/>
  <c r="P133" i="13"/>
  <c r="T133" i="13"/>
  <c r="X133" i="13"/>
  <c r="AB133" i="13"/>
  <c r="AF133" i="13"/>
  <c r="AJ133" i="13"/>
  <c r="AN133" i="13"/>
  <c r="AR133" i="13"/>
  <c r="AV133" i="13"/>
  <c r="AZ133" i="13"/>
  <c r="E133" i="13"/>
  <c r="I133" i="13"/>
  <c r="M133" i="13"/>
  <c r="Q133" i="13"/>
  <c r="U133" i="13"/>
  <c r="Y133" i="13"/>
  <c r="AC133" i="13"/>
  <c r="AG133" i="13"/>
  <c r="AK133" i="13"/>
  <c r="AO133" i="13"/>
  <c r="AS133" i="13"/>
  <c r="AW133" i="13"/>
  <c r="BA133" i="13"/>
  <c r="F133" i="13"/>
  <c r="J133" i="13"/>
  <c r="N133" i="13"/>
  <c r="R133" i="13"/>
  <c r="V133" i="13"/>
  <c r="Z133" i="13"/>
  <c r="AD133" i="13"/>
  <c r="AH133" i="13"/>
  <c r="AL133" i="13"/>
  <c r="AP133" i="13"/>
  <c r="AT133" i="13"/>
  <c r="AX133" i="13"/>
  <c r="G133" i="13"/>
  <c r="K133" i="13"/>
  <c r="O133" i="13"/>
  <c r="S133" i="13"/>
  <c r="W133" i="13"/>
  <c r="AA133" i="13"/>
  <c r="AE133" i="13"/>
  <c r="AI133" i="13"/>
  <c r="AM133" i="13"/>
  <c r="AQ133" i="13"/>
  <c r="AU133" i="13"/>
  <c r="AY133" i="13"/>
  <c r="C134" i="13"/>
  <c r="B134" i="13" s="1"/>
  <c r="A134" i="13" s="1"/>
  <c r="F134" i="13" l="1"/>
  <c r="J134" i="13"/>
  <c r="N134" i="13"/>
  <c r="R134" i="13"/>
  <c r="V134" i="13"/>
  <c r="Z134" i="13"/>
  <c r="AD134" i="13"/>
  <c r="AH134" i="13"/>
  <c r="AL134" i="13"/>
  <c r="AP134" i="13"/>
  <c r="AT134" i="13"/>
  <c r="AX134" i="13"/>
  <c r="G134" i="13"/>
  <c r="K134" i="13"/>
  <c r="O134" i="13"/>
  <c r="S134" i="13"/>
  <c r="W134" i="13"/>
  <c r="AA134" i="13"/>
  <c r="AE134" i="13"/>
  <c r="AI134" i="13"/>
  <c r="AM134" i="13"/>
  <c r="AQ134" i="13"/>
  <c r="AU134" i="13"/>
  <c r="AY134" i="13"/>
  <c r="D134" i="13"/>
  <c r="H134" i="13"/>
  <c r="L134" i="13"/>
  <c r="P134" i="13"/>
  <c r="T134" i="13"/>
  <c r="X134" i="13"/>
  <c r="AB134" i="13"/>
  <c r="AF134" i="13"/>
  <c r="AJ134" i="13"/>
  <c r="AN134" i="13"/>
  <c r="AR134" i="13"/>
  <c r="AV134" i="13"/>
  <c r="AZ134" i="13"/>
  <c r="E134" i="13"/>
  <c r="I134" i="13"/>
  <c r="M134" i="13"/>
  <c r="Q134" i="13"/>
  <c r="U134" i="13"/>
  <c r="Y134" i="13"/>
  <c r="AC134" i="13"/>
  <c r="AG134" i="13"/>
  <c r="AK134" i="13"/>
  <c r="AO134" i="13"/>
  <c r="AS134" i="13"/>
  <c r="AW134" i="13"/>
  <c r="BA134" i="13"/>
  <c r="C135" i="13"/>
  <c r="B135" i="13" s="1"/>
  <c r="A135" i="13" s="1"/>
  <c r="D135" i="13" l="1"/>
  <c r="H135" i="13"/>
  <c r="L135" i="13"/>
  <c r="P135" i="13"/>
  <c r="T135" i="13"/>
  <c r="X135" i="13"/>
  <c r="AB135" i="13"/>
  <c r="AF135" i="13"/>
  <c r="AJ135" i="13"/>
  <c r="AN135" i="13"/>
  <c r="AR135" i="13"/>
  <c r="AV135" i="13"/>
  <c r="AZ135" i="13"/>
  <c r="E135" i="13"/>
  <c r="I135" i="13"/>
  <c r="M135" i="13"/>
  <c r="Q135" i="13"/>
  <c r="U135" i="13"/>
  <c r="Y135" i="13"/>
  <c r="AC135" i="13"/>
  <c r="AG135" i="13"/>
  <c r="AK135" i="13"/>
  <c r="AO135" i="13"/>
  <c r="AS135" i="13"/>
  <c r="AW135" i="13"/>
  <c r="BA135" i="13"/>
  <c r="F135" i="13"/>
  <c r="J135" i="13"/>
  <c r="N135" i="13"/>
  <c r="R135" i="13"/>
  <c r="V135" i="13"/>
  <c r="Z135" i="13"/>
  <c r="AD135" i="13"/>
  <c r="AH135" i="13"/>
  <c r="AL135" i="13"/>
  <c r="AP135" i="13"/>
  <c r="AT135" i="13"/>
  <c r="AX135" i="13"/>
  <c r="G135" i="13"/>
  <c r="K135" i="13"/>
  <c r="O135" i="13"/>
  <c r="S135" i="13"/>
  <c r="W135" i="13"/>
  <c r="AA135" i="13"/>
  <c r="AE135" i="13"/>
  <c r="AI135" i="13"/>
  <c r="AM135" i="13"/>
  <c r="AQ135" i="13"/>
  <c r="AU135" i="13"/>
  <c r="AY135" i="13"/>
  <c r="C136" i="13"/>
  <c r="B136" i="13" s="1"/>
  <c r="A136" i="13" s="1"/>
  <c r="F136" i="13" l="1"/>
  <c r="J136" i="13"/>
  <c r="N136" i="13"/>
  <c r="R136" i="13"/>
  <c r="V136" i="13"/>
  <c r="Z136" i="13"/>
  <c r="AD136" i="13"/>
  <c r="AH136" i="13"/>
  <c r="AL136" i="13"/>
  <c r="AP136" i="13"/>
  <c r="AT136" i="13"/>
  <c r="AX136" i="13"/>
  <c r="G136" i="13"/>
  <c r="K136" i="13"/>
  <c r="O136" i="13"/>
  <c r="S136" i="13"/>
  <c r="W136" i="13"/>
  <c r="AA136" i="13"/>
  <c r="AE136" i="13"/>
  <c r="AI136" i="13"/>
  <c r="AM136" i="13"/>
  <c r="AQ136" i="13"/>
  <c r="AU136" i="13"/>
  <c r="AY136" i="13"/>
  <c r="D136" i="13"/>
  <c r="H136" i="13"/>
  <c r="L136" i="13"/>
  <c r="P136" i="13"/>
  <c r="T136" i="13"/>
  <c r="X136" i="13"/>
  <c r="AB136" i="13"/>
  <c r="AF136" i="13"/>
  <c r="AJ136" i="13"/>
  <c r="AN136" i="13"/>
  <c r="AR136" i="13"/>
  <c r="AV136" i="13"/>
  <c r="AZ136" i="13"/>
  <c r="E136" i="13"/>
  <c r="I136" i="13"/>
  <c r="M136" i="13"/>
  <c r="Q136" i="13"/>
  <c r="U136" i="13"/>
  <c r="Y136" i="13"/>
  <c r="AC136" i="13"/>
  <c r="AG136" i="13"/>
  <c r="AK136" i="13"/>
  <c r="AO136" i="13"/>
  <c r="AS136" i="13"/>
  <c r="AW136" i="13"/>
  <c r="BA136" i="13"/>
  <c r="C137" i="13"/>
  <c r="B137" i="13" s="1"/>
  <c r="A137" i="13" s="1"/>
  <c r="D137" i="13" l="1"/>
  <c r="H137" i="13"/>
  <c r="L137" i="13"/>
  <c r="P137" i="13"/>
  <c r="T137" i="13"/>
  <c r="X137" i="13"/>
  <c r="AB137" i="13"/>
  <c r="AF137" i="13"/>
  <c r="AJ137" i="13"/>
  <c r="AN137" i="13"/>
  <c r="AR137" i="13"/>
  <c r="AV137" i="13"/>
  <c r="AZ137" i="13"/>
  <c r="E137" i="13"/>
  <c r="I137" i="13"/>
  <c r="M137" i="13"/>
  <c r="Q137" i="13"/>
  <c r="U137" i="13"/>
  <c r="Y137" i="13"/>
  <c r="AC137" i="13"/>
  <c r="AG137" i="13"/>
  <c r="AK137" i="13"/>
  <c r="AO137" i="13"/>
  <c r="AS137" i="13"/>
  <c r="AW137" i="13"/>
  <c r="BA137" i="13"/>
  <c r="F137" i="13"/>
  <c r="J137" i="13"/>
  <c r="N137" i="13"/>
  <c r="R137" i="13"/>
  <c r="V137" i="13"/>
  <c r="Z137" i="13"/>
  <c r="AD137" i="13"/>
  <c r="AH137" i="13"/>
  <c r="AL137" i="13"/>
  <c r="AP137" i="13"/>
  <c r="AT137" i="13"/>
  <c r="AX137" i="13"/>
  <c r="G137" i="13"/>
  <c r="K137" i="13"/>
  <c r="O137" i="13"/>
  <c r="S137" i="13"/>
  <c r="W137" i="13"/>
  <c r="AA137" i="13"/>
  <c r="AE137" i="13"/>
  <c r="AI137" i="13"/>
  <c r="AM137" i="13"/>
  <c r="AQ137" i="13"/>
  <c r="AU137" i="13"/>
  <c r="AY137" i="13"/>
  <c r="C138" i="13"/>
  <c r="B138" i="13" s="1"/>
  <c r="A138" i="13" s="1"/>
  <c r="F138" i="13" l="1"/>
  <c r="J138" i="13"/>
  <c r="N138" i="13"/>
  <c r="R138" i="13"/>
  <c r="V138" i="13"/>
  <c r="Z138" i="13"/>
  <c r="AD138" i="13"/>
  <c r="AH138" i="13"/>
  <c r="AL138" i="13"/>
  <c r="AP138" i="13"/>
  <c r="AT138" i="13"/>
  <c r="AX138" i="13"/>
  <c r="G138" i="13"/>
  <c r="K138" i="13"/>
  <c r="O138" i="13"/>
  <c r="S138" i="13"/>
  <c r="W138" i="13"/>
  <c r="AA138" i="13"/>
  <c r="AE138" i="13"/>
  <c r="AI138" i="13"/>
  <c r="AM138" i="13"/>
  <c r="AQ138" i="13"/>
  <c r="AU138" i="13"/>
  <c r="AY138" i="13"/>
  <c r="D138" i="13"/>
  <c r="H138" i="13"/>
  <c r="L138" i="13"/>
  <c r="P138" i="13"/>
  <c r="T138" i="13"/>
  <c r="X138" i="13"/>
  <c r="AB138" i="13"/>
  <c r="AF138" i="13"/>
  <c r="AJ138" i="13"/>
  <c r="AN138" i="13"/>
  <c r="AR138" i="13"/>
  <c r="AV138" i="13"/>
  <c r="AZ138" i="13"/>
  <c r="E138" i="13"/>
  <c r="I138" i="13"/>
  <c r="M138" i="13"/>
  <c r="Q138" i="13"/>
  <c r="U138" i="13"/>
  <c r="Y138" i="13"/>
  <c r="AC138" i="13"/>
  <c r="AG138" i="13"/>
  <c r="AK138" i="13"/>
  <c r="AO138" i="13"/>
  <c r="AS138" i="13"/>
  <c r="AW138" i="13"/>
  <c r="BA138" i="13"/>
  <c r="C139" i="13"/>
  <c r="B139" i="13" s="1"/>
  <c r="A139" i="13" s="1"/>
  <c r="D139" i="13" l="1"/>
  <c r="H139" i="13"/>
  <c r="L139" i="13"/>
  <c r="P139" i="13"/>
  <c r="T139" i="13"/>
  <c r="X139" i="13"/>
  <c r="AB139" i="13"/>
  <c r="AF139" i="13"/>
  <c r="AJ139" i="13"/>
  <c r="AN139" i="13"/>
  <c r="AR139" i="13"/>
  <c r="AV139" i="13"/>
  <c r="AZ139" i="13"/>
  <c r="E139" i="13"/>
  <c r="I139" i="13"/>
  <c r="M139" i="13"/>
  <c r="Q139" i="13"/>
  <c r="U139" i="13"/>
  <c r="Y139" i="13"/>
  <c r="AC139" i="13"/>
  <c r="AG139" i="13"/>
  <c r="AK139" i="13"/>
  <c r="AO139" i="13"/>
  <c r="AS139" i="13"/>
  <c r="AW139" i="13"/>
  <c r="BA139" i="13"/>
  <c r="F139" i="13"/>
  <c r="J139" i="13"/>
  <c r="N139" i="13"/>
  <c r="R139" i="13"/>
  <c r="V139" i="13"/>
  <c r="Z139" i="13"/>
  <c r="AD139" i="13"/>
  <c r="AH139" i="13"/>
  <c r="AL139" i="13"/>
  <c r="AP139" i="13"/>
  <c r="AT139" i="13"/>
  <c r="AX139" i="13"/>
  <c r="G139" i="13"/>
  <c r="K139" i="13"/>
  <c r="O139" i="13"/>
  <c r="S139" i="13"/>
  <c r="W139" i="13"/>
  <c r="AA139" i="13"/>
  <c r="AE139" i="13"/>
  <c r="AI139" i="13"/>
  <c r="AM139" i="13"/>
  <c r="AQ139" i="13"/>
  <c r="AU139" i="13"/>
  <c r="AY139" i="13"/>
  <c r="C140" i="13"/>
  <c r="B140" i="13" s="1"/>
  <c r="A140" i="13" s="1"/>
  <c r="F140" i="13" l="1"/>
  <c r="J140" i="13"/>
  <c r="N140" i="13"/>
  <c r="R140" i="13"/>
  <c r="V140" i="13"/>
  <c r="Z140" i="13"/>
  <c r="AD140" i="13"/>
  <c r="AH140" i="13"/>
  <c r="AL140" i="13"/>
  <c r="AP140" i="13"/>
  <c r="AT140" i="13"/>
  <c r="AX140" i="13"/>
  <c r="G140" i="13"/>
  <c r="K140" i="13"/>
  <c r="O140" i="13"/>
  <c r="S140" i="13"/>
  <c r="W140" i="13"/>
  <c r="AA140" i="13"/>
  <c r="AE140" i="13"/>
  <c r="AI140" i="13"/>
  <c r="AM140" i="13"/>
  <c r="AQ140" i="13"/>
  <c r="AU140" i="13"/>
  <c r="AY140" i="13"/>
  <c r="D140" i="13"/>
  <c r="H140" i="13"/>
  <c r="L140" i="13"/>
  <c r="P140" i="13"/>
  <c r="T140" i="13"/>
  <c r="X140" i="13"/>
  <c r="AB140" i="13"/>
  <c r="AF140" i="13"/>
  <c r="AJ140" i="13"/>
  <c r="AN140" i="13"/>
  <c r="AR140" i="13"/>
  <c r="AV140" i="13"/>
  <c r="AZ140" i="13"/>
  <c r="E140" i="13"/>
  <c r="I140" i="13"/>
  <c r="M140" i="13"/>
  <c r="Q140" i="13"/>
  <c r="U140" i="13"/>
  <c r="Y140" i="13"/>
  <c r="AC140" i="13"/>
  <c r="AG140" i="13"/>
  <c r="AK140" i="13"/>
  <c r="AO140" i="13"/>
  <c r="AS140" i="13"/>
  <c r="AW140" i="13"/>
  <c r="BA140" i="13"/>
  <c r="C141" i="13"/>
  <c r="B141" i="13" s="1"/>
  <c r="A141" i="13" s="1"/>
  <c r="D141" i="13" l="1"/>
  <c r="H141" i="13"/>
  <c r="L141" i="13"/>
  <c r="P141" i="13"/>
  <c r="T141" i="13"/>
  <c r="X141" i="13"/>
  <c r="AB141" i="13"/>
  <c r="AF141" i="13"/>
  <c r="AJ141" i="13"/>
  <c r="AN141" i="13"/>
  <c r="AR141" i="13"/>
  <c r="AV141" i="13"/>
  <c r="AZ141" i="13"/>
  <c r="E141" i="13"/>
  <c r="I141" i="13"/>
  <c r="M141" i="13"/>
  <c r="Q141" i="13"/>
  <c r="U141" i="13"/>
  <c r="Y141" i="13"/>
  <c r="AC141" i="13"/>
  <c r="AG141" i="13"/>
  <c r="AK141" i="13"/>
  <c r="AO141" i="13"/>
  <c r="AS141" i="13"/>
  <c r="AW141" i="13"/>
  <c r="BA141" i="13"/>
  <c r="F141" i="13"/>
  <c r="J141" i="13"/>
  <c r="N141" i="13"/>
  <c r="R141" i="13"/>
  <c r="V141" i="13"/>
  <c r="Z141" i="13"/>
  <c r="AD141" i="13"/>
  <c r="AH141" i="13"/>
  <c r="AL141" i="13"/>
  <c r="AP141" i="13"/>
  <c r="AT141" i="13"/>
  <c r="AX141" i="13"/>
  <c r="G141" i="13"/>
  <c r="K141" i="13"/>
  <c r="O141" i="13"/>
  <c r="S141" i="13"/>
  <c r="W141" i="13"/>
  <c r="AA141" i="13"/>
  <c r="AE141" i="13"/>
  <c r="AI141" i="13"/>
  <c r="AM141" i="13"/>
  <c r="AQ141" i="13"/>
  <c r="AU141" i="13"/>
  <c r="AY141" i="13"/>
  <c r="C142" i="13"/>
  <c r="B142" i="13" s="1"/>
  <c r="A142" i="13" s="1"/>
  <c r="F142" i="13" l="1"/>
  <c r="J142" i="13"/>
  <c r="N142" i="13"/>
  <c r="R142" i="13"/>
  <c r="V142" i="13"/>
  <c r="Z142" i="13"/>
  <c r="AD142" i="13"/>
  <c r="AH142" i="13"/>
  <c r="AL142" i="13"/>
  <c r="AP142" i="13"/>
  <c r="AT142" i="13"/>
  <c r="AX142" i="13"/>
  <c r="G142" i="13"/>
  <c r="K142" i="13"/>
  <c r="O142" i="13"/>
  <c r="S142" i="13"/>
  <c r="W142" i="13"/>
  <c r="AA142" i="13"/>
  <c r="AE142" i="13"/>
  <c r="AI142" i="13"/>
  <c r="AM142" i="13"/>
  <c r="AQ142" i="13"/>
  <c r="AU142" i="13"/>
  <c r="AY142" i="13"/>
  <c r="D142" i="13"/>
  <c r="H142" i="13"/>
  <c r="L142" i="13"/>
  <c r="P142" i="13"/>
  <c r="T142" i="13"/>
  <c r="X142" i="13"/>
  <c r="AB142" i="13"/>
  <c r="AF142" i="13"/>
  <c r="AJ142" i="13"/>
  <c r="AN142" i="13"/>
  <c r="AR142" i="13"/>
  <c r="AV142" i="13"/>
  <c r="AZ142" i="13"/>
  <c r="E142" i="13"/>
  <c r="I142" i="13"/>
  <c r="M142" i="13"/>
  <c r="Q142" i="13"/>
  <c r="U142" i="13"/>
  <c r="Y142" i="13"/>
  <c r="AC142" i="13"/>
  <c r="AG142" i="13"/>
  <c r="AK142" i="13"/>
  <c r="AO142" i="13"/>
  <c r="AS142" i="13"/>
  <c r="AW142" i="13"/>
  <c r="BA142" i="13"/>
  <c r="C143" i="13"/>
  <c r="B143" i="13" s="1"/>
  <c r="A143" i="13" s="1"/>
  <c r="D143" i="13" l="1"/>
  <c r="H143" i="13"/>
  <c r="L143" i="13"/>
  <c r="E143" i="13"/>
  <c r="I143" i="13"/>
  <c r="M143" i="13"/>
  <c r="Q143" i="13"/>
  <c r="F143" i="13"/>
  <c r="J143" i="13"/>
  <c r="G143" i="13"/>
  <c r="K143" i="13"/>
  <c r="N143" i="13"/>
  <c r="S143" i="13"/>
  <c r="W143" i="13"/>
  <c r="AA143" i="13"/>
  <c r="AE143" i="13"/>
  <c r="AI143" i="13"/>
  <c r="AM143" i="13"/>
  <c r="AQ143" i="13"/>
  <c r="AU143" i="13"/>
  <c r="AY143" i="13"/>
  <c r="O143" i="13"/>
  <c r="T143" i="13"/>
  <c r="X143" i="13"/>
  <c r="AB143" i="13"/>
  <c r="AF143" i="13"/>
  <c r="AJ143" i="13"/>
  <c r="AN143" i="13"/>
  <c r="AR143" i="13"/>
  <c r="AV143" i="13"/>
  <c r="AZ143" i="13"/>
  <c r="P143" i="13"/>
  <c r="U143" i="13"/>
  <c r="Y143" i="13"/>
  <c r="AC143" i="13"/>
  <c r="AG143" i="13"/>
  <c r="AK143" i="13"/>
  <c r="AO143" i="13"/>
  <c r="AS143" i="13"/>
  <c r="AW143" i="13"/>
  <c r="BA143" i="13"/>
  <c r="R143" i="13"/>
  <c r="V143" i="13"/>
  <c r="Z143" i="13"/>
  <c r="AD143" i="13"/>
  <c r="AH143" i="13"/>
  <c r="AL143" i="13"/>
  <c r="AP143" i="13"/>
  <c r="AT143" i="13"/>
  <c r="AX143" i="13"/>
  <c r="C144" i="13"/>
  <c r="B144" i="13" s="1"/>
  <c r="A144" i="13" s="1"/>
  <c r="E144" i="13" l="1"/>
  <c r="I144" i="13"/>
  <c r="M144" i="13"/>
  <c r="Q144" i="13"/>
  <c r="U144" i="13"/>
  <c r="Y144" i="13"/>
  <c r="AC144" i="13"/>
  <c r="AG144" i="13"/>
  <c r="AK144" i="13"/>
  <c r="AO144" i="13"/>
  <c r="AS144" i="13"/>
  <c r="AW144" i="13"/>
  <c r="BA144" i="13"/>
  <c r="F144" i="13"/>
  <c r="J144" i="13"/>
  <c r="N144" i="13"/>
  <c r="R144" i="13"/>
  <c r="V144" i="13"/>
  <c r="Z144" i="13"/>
  <c r="AD144" i="13"/>
  <c r="AH144" i="13"/>
  <c r="AL144" i="13"/>
  <c r="AP144" i="13"/>
  <c r="AT144" i="13"/>
  <c r="AX144" i="13"/>
  <c r="G144" i="13"/>
  <c r="K144" i="13"/>
  <c r="O144" i="13"/>
  <c r="S144" i="13"/>
  <c r="W144" i="13"/>
  <c r="AA144" i="13"/>
  <c r="AE144" i="13"/>
  <c r="AI144" i="13"/>
  <c r="AM144" i="13"/>
  <c r="AQ144" i="13"/>
  <c r="AU144" i="13"/>
  <c r="AY144" i="13"/>
  <c r="D144" i="13"/>
  <c r="H144" i="13"/>
  <c r="L144" i="13"/>
  <c r="P144" i="13"/>
  <c r="T144" i="13"/>
  <c r="X144" i="13"/>
  <c r="AB144" i="13"/>
  <c r="AF144" i="13"/>
  <c r="AJ144" i="13"/>
  <c r="AN144" i="13"/>
  <c r="AR144" i="13"/>
  <c r="AV144" i="13"/>
  <c r="AZ144" i="13"/>
  <c r="C145" i="13"/>
  <c r="B145" i="13" s="1"/>
  <c r="A145" i="13" s="1"/>
  <c r="G145" i="13" l="1"/>
  <c r="K145" i="13"/>
  <c r="O145" i="13"/>
  <c r="S145" i="13"/>
  <c r="W145" i="13"/>
  <c r="AA145" i="13"/>
  <c r="AE145" i="13"/>
  <c r="AI145" i="13"/>
  <c r="AM145" i="13"/>
  <c r="AQ145" i="13"/>
  <c r="AU145" i="13"/>
  <c r="AY145" i="13"/>
  <c r="D145" i="13"/>
  <c r="H145" i="13"/>
  <c r="L145" i="13"/>
  <c r="P145" i="13"/>
  <c r="T145" i="13"/>
  <c r="X145" i="13"/>
  <c r="AB145" i="13"/>
  <c r="AF145" i="13"/>
  <c r="AJ145" i="13"/>
  <c r="AN145" i="13"/>
  <c r="AR145" i="13"/>
  <c r="AV145" i="13"/>
  <c r="AZ145" i="13"/>
  <c r="E145" i="13"/>
  <c r="I145" i="13"/>
  <c r="M145" i="13"/>
  <c r="Q145" i="13"/>
  <c r="U145" i="13"/>
  <c r="Y145" i="13"/>
  <c r="AC145" i="13"/>
  <c r="AG145" i="13"/>
  <c r="AK145" i="13"/>
  <c r="AO145" i="13"/>
  <c r="AS145" i="13"/>
  <c r="AW145" i="13"/>
  <c r="BA145" i="13"/>
  <c r="F145" i="13"/>
  <c r="J145" i="13"/>
  <c r="N145" i="13"/>
  <c r="R145" i="13"/>
  <c r="V145" i="13"/>
  <c r="Z145" i="13"/>
  <c r="AD145" i="13"/>
  <c r="AH145" i="13"/>
  <c r="AL145" i="13"/>
  <c r="AP145" i="13"/>
  <c r="AT145" i="13"/>
  <c r="AX145" i="13"/>
  <c r="C146" i="13"/>
  <c r="B146" i="13" s="1"/>
  <c r="A146" i="13" s="1"/>
  <c r="E146" i="13" l="1"/>
  <c r="I146" i="13"/>
  <c r="M146" i="13"/>
  <c r="Q146" i="13"/>
  <c r="U146" i="13"/>
  <c r="Y146" i="13"/>
  <c r="AC146" i="13"/>
  <c r="AG146" i="13"/>
  <c r="AK146" i="13"/>
  <c r="AO146" i="13"/>
  <c r="AS146" i="13"/>
  <c r="AW146" i="13"/>
  <c r="BA146" i="13"/>
  <c r="F146" i="13"/>
  <c r="J146" i="13"/>
  <c r="N146" i="13"/>
  <c r="R146" i="13"/>
  <c r="V146" i="13"/>
  <c r="Z146" i="13"/>
  <c r="AD146" i="13"/>
  <c r="AH146" i="13"/>
  <c r="AL146" i="13"/>
  <c r="AP146" i="13"/>
  <c r="AT146" i="13"/>
  <c r="AX146" i="13"/>
  <c r="G146" i="13"/>
  <c r="K146" i="13"/>
  <c r="O146" i="13"/>
  <c r="S146" i="13"/>
  <c r="W146" i="13"/>
  <c r="AA146" i="13"/>
  <c r="AE146" i="13"/>
  <c r="AI146" i="13"/>
  <c r="AM146" i="13"/>
  <c r="AQ146" i="13"/>
  <c r="AU146" i="13"/>
  <c r="AY146" i="13"/>
  <c r="D146" i="13"/>
  <c r="H146" i="13"/>
  <c r="L146" i="13"/>
  <c r="P146" i="13"/>
  <c r="T146" i="13"/>
  <c r="X146" i="13"/>
  <c r="AB146" i="13"/>
  <c r="AF146" i="13"/>
  <c r="AJ146" i="13"/>
  <c r="AN146" i="13"/>
  <c r="AR146" i="13"/>
  <c r="AV146" i="13"/>
  <c r="AZ146" i="13"/>
  <c r="C147" i="13"/>
  <c r="B147" i="13" s="1"/>
  <c r="A147" i="13" s="1"/>
  <c r="G147" i="13" l="1"/>
  <c r="K147" i="13"/>
  <c r="O147" i="13"/>
  <c r="S147" i="13"/>
  <c r="W147" i="13"/>
  <c r="AA147" i="13"/>
  <c r="AE147" i="13"/>
  <c r="AI147" i="13"/>
  <c r="AM147" i="13"/>
  <c r="AQ147" i="13"/>
  <c r="AU147" i="13"/>
  <c r="AY147" i="13"/>
  <c r="D147" i="13"/>
  <c r="H147" i="13"/>
  <c r="L147" i="13"/>
  <c r="P147" i="13"/>
  <c r="T147" i="13"/>
  <c r="X147" i="13"/>
  <c r="AB147" i="13"/>
  <c r="AF147" i="13"/>
  <c r="AJ147" i="13"/>
  <c r="AN147" i="13"/>
  <c r="AR147" i="13"/>
  <c r="AV147" i="13"/>
  <c r="AZ147" i="13"/>
  <c r="E147" i="13"/>
  <c r="I147" i="13"/>
  <c r="M147" i="13"/>
  <c r="Q147" i="13"/>
  <c r="U147" i="13"/>
  <c r="Y147" i="13"/>
  <c r="AC147" i="13"/>
  <c r="AG147" i="13"/>
  <c r="AK147" i="13"/>
  <c r="AO147" i="13"/>
  <c r="AS147" i="13"/>
  <c r="AW147" i="13"/>
  <c r="BA147" i="13"/>
  <c r="F147" i="13"/>
  <c r="J147" i="13"/>
  <c r="N147" i="13"/>
  <c r="R147" i="13"/>
  <c r="V147" i="13"/>
  <c r="Z147" i="13"/>
  <c r="AD147" i="13"/>
  <c r="AH147" i="13"/>
  <c r="AL147" i="13"/>
  <c r="AP147" i="13"/>
  <c r="AT147" i="13"/>
  <c r="AX147" i="13"/>
  <c r="C148" i="13"/>
  <c r="B148" i="13" s="1"/>
  <c r="A148" i="13" s="1"/>
  <c r="E148" i="13" l="1"/>
  <c r="I148" i="13"/>
  <c r="M148" i="13"/>
  <c r="Q148" i="13"/>
  <c r="U148" i="13"/>
  <c r="Y148" i="13"/>
  <c r="AC148" i="13"/>
  <c r="AG148" i="13"/>
  <c r="AK148" i="13"/>
  <c r="AO148" i="13"/>
  <c r="AS148" i="13"/>
  <c r="AW148" i="13"/>
  <c r="BA148" i="13"/>
  <c r="F148" i="13"/>
  <c r="J148" i="13"/>
  <c r="N148" i="13"/>
  <c r="R148" i="13"/>
  <c r="V148" i="13"/>
  <c r="Z148" i="13"/>
  <c r="AD148" i="13"/>
  <c r="AH148" i="13"/>
  <c r="AL148" i="13"/>
  <c r="AP148" i="13"/>
  <c r="AT148" i="13"/>
  <c r="AX148" i="13"/>
  <c r="G148" i="13"/>
  <c r="K148" i="13"/>
  <c r="O148" i="13"/>
  <c r="S148" i="13"/>
  <c r="W148" i="13"/>
  <c r="AA148" i="13"/>
  <c r="AE148" i="13"/>
  <c r="AI148" i="13"/>
  <c r="AM148" i="13"/>
  <c r="AQ148" i="13"/>
  <c r="AU148" i="13"/>
  <c r="AY148" i="13"/>
  <c r="D148" i="13"/>
  <c r="H148" i="13"/>
  <c r="L148" i="13"/>
  <c r="P148" i="13"/>
  <c r="T148" i="13"/>
  <c r="X148" i="13"/>
  <c r="AB148" i="13"/>
  <c r="AF148" i="13"/>
  <c r="AJ148" i="13"/>
  <c r="AN148" i="13"/>
  <c r="AR148" i="13"/>
  <c r="AV148" i="13"/>
  <c r="AZ148" i="13"/>
  <c r="C149" i="13"/>
  <c r="B149" i="13" s="1"/>
  <c r="A149" i="13" s="1"/>
  <c r="G149" i="13" l="1"/>
  <c r="K149" i="13"/>
  <c r="O149" i="13"/>
  <c r="S149" i="13"/>
  <c r="W149" i="13"/>
  <c r="AA149" i="13"/>
  <c r="AE149" i="13"/>
  <c r="AI149" i="13"/>
  <c r="AM149" i="13"/>
  <c r="AQ149" i="13"/>
  <c r="AU149" i="13"/>
  <c r="AY149" i="13"/>
  <c r="D149" i="13"/>
  <c r="H149" i="13"/>
  <c r="L149" i="13"/>
  <c r="P149" i="13"/>
  <c r="T149" i="13"/>
  <c r="X149" i="13"/>
  <c r="AB149" i="13"/>
  <c r="AF149" i="13"/>
  <c r="AJ149" i="13"/>
  <c r="AN149" i="13"/>
  <c r="AR149" i="13"/>
  <c r="AV149" i="13"/>
  <c r="AZ149" i="13"/>
  <c r="E149" i="13"/>
  <c r="I149" i="13"/>
  <c r="M149" i="13"/>
  <c r="Q149" i="13"/>
  <c r="U149" i="13"/>
  <c r="Y149" i="13"/>
  <c r="AC149" i="13"/>
  <c r="AG149" i="13"/>
  <c r="AK149" i="13"/>
  <c r="AO149" i="13"/>
  <c r="AS149" i="13"/>
  <c r="AW149" i="13"/>
  <c r="BA149" i="13"/>
  <c r="F149" i="13"/>
  <c r="J149" i="13"/>
  <c r="N149" i="13"/>
  <c r="R149" i="13"/>
  <c r="V149" i="13"/>
  <c r="Z149" i="13"/>
  <c r="AD149" i="13"/>
  <c r="AH149" i="13"/>
  <c r="AL149" i="13"/>
  <c r="AP149" i="13"/>
  <c r="AT149" i="13"/>
  <c r="AX149" i="13"/>
  <c r="C150" i="13"/>
  <c r="B150" i="13" s="1"/>
  <c r="A150" i="13" s="1"/>
  <c r="E150" i="13" l="1"/>
  <c r="I150" i="13"/>
  <c r="M150" i="13"/>
  <c r="Q150" i="13"/>
  <c r="U150" i="13"/>
  <c r="Y150" i="13"/>
  <c r="AC150" i="13"/>
  <c r="AG150" i="13"/>
  <c r="AK150" i="13"/>
  <c r="AO150" i="13"/>
  <c r="AS150" i="13"/>
  <c r="AW150" i="13"/>
  <c r="BA150" i="13"/>
  <c r="F150" i="13"/>
  <c r="J150" i="13"/>
  <c r="N150" i="13"/>
  <c r="R150" i="13"/>
  <c r="V150" i="13"/>
  <c r="Z150" i="13"/>
  <c r="AD150" i="13"/>
  <c r="AH150" i="13"/>
  <c r="AL150" i="13"/>
  <c r="AP150" i="13"/>
  <c r="AT150" i="13"/>
  <c r="AX150" i="13"/>
  <c r="G150" i="13"/>
  <c r="K150" i="13"/>
  <c r="O150" i="13"/>
  <c r="S150" i="13"/>
  <c r="W150" i="13"/>
  <c r="AA150" i="13"/>
  <c r="AE150" i="13"/>
  <c r="AI150" i="13"/>
  <c r="AM150" i="13"/>
  <c r="AQ150" i="13"/>
  <c r="AU150" i="13"/>
  <c r="AY150" i="13"/>
  <c r="D150" i="13"/>
  <c r="H150" i="13"/>
  <c r="L150" i="13"/>
  <c r="P150" i="13"/>
  <c r="T150" i="13"/>
  <c r="X150" i="13"/>
  <c r="AB150" i="13"/>
  <c r="AF150" i="13"/>
  <c r="AJ150" i="13"/>
  <c r="AN150" i="13"/>
  <c r="AR150" i="13"/>
  <c r="AV150" i="13"/>
  <c r="AZ150" i="13"/>
  <c r="C151" i="13"/>
  <c r="B151" i="13" s="1"/>
  <c r="A151" i="13" s="1"/>
  <c r="G151" i="13" l="1"/>
  <c r="K151" i="13"/>
  <c r="O151" i="13"/>
  <c r="S151" i="13"/>
  <c r="W151" i="13"/>
  <c r="AA151" i="13"/>
  <c r="AE151" i="13"/>
  <c r="AI151" i="13"/>
  <c r="AM151" i="13"/>
  <c r="AQ151" i="13"/>
  <c r="AU151" i="13"/>
  <c r="AY151" i="13"/>
  <c r="D151" i="13"/>
  <c r="H151" i="13"/>
  <c r="L151" i="13"/>
  <c r="P151" i="13"/>
  <c r="T151" i="13"/>
  <c r="X151" i="13"/>
  <c r="AB151" i="13"/>
  <c r="AF151" i="13"/>
  <c r="AJ151" i="13"/>
  <c r="AN151" i="13"/>
  <c r="AR151" i="13"/>
  <c r="AV151" i="13"/>
  <c r="AZ151" i="13"/>
  <c r="E151" i="13"/>
  <c r="I151" i="13"/>
  <c r="M151" i="13"/>
  <c r="Q151" i="13"/>
  <c r="U151" i="13"/>
  <c r="Y151" i="13"/>
  <c r="AC151" i="13"/>
  <c r="AG151" i="13"/>
  <c r="AK151" i="13"/>
  <c r="AO151" i="13"/>
  <c r="AS151" i="13"/>
  <c r="AW151" i="13"/>
  <c r="BA151" i="13"/>
  <c r="F151" i="13"/>
  <c r="J151" i="13"/>
  <c r="N151" i="13"/>
  <c r="R151" i="13"/>
  <c r="V151" i="13"/>
  <c r="Z151" i="13"/>
  <c r="AD151" i="13"/>
  <c r="AH151" i="13"/>
  <c r="AL151" i="13"/>
  <c r="AP151" i="13"/>
  <c r="AT151" i="13"/>
  <c r="AX151" i="13"/>
  <c r="C152" i="13"/>
  <c r="B152" i="13" s="1"/>
  <c r="A152" i="13" s="1"/>
  <c r="E152" i="13" l="1"/>
  <c r="I152" i="13"/>
  <c r="M152" i="13"/>
  <c r="Q152" i="13"/>
  <c r="U152" i="13"/>
  <c r="Y152" i="13"/>
  <c r="AC152" i="13"/>
  <c r="AG152" i="13"/>
  <c r="AK152" i="13"/>
  <c r="AO152" i="13"/>
  <c r="AS152" i="13"/>
  <c r="AW152" i="13"/>
  <c r="BA152" i="13"/>
  <c r="F152" i="13"/>
  <c r="J152" i="13"/>
  <c r="N152" i="13"/>
  <c r="R152" i="13"/>
  <c r="V152" i="13"/>
  <c r="Z152" i="13"/>
  <c r="AD152" i="13"/>
  <c r="AH152" i="13"/>
  <c r="AL152" i="13"/>
  <c r="AP152" i="13"/>
  <c r="AT152" i="13"/>
  <c r="AX152" i="13"/>
  <c r="G152" i="13"/>
  <c r="K152" i="13"/>
  <c r="O152" i="13"/>
  <c r="S152" i="13"/>
  <c r="W152" i="13"/>
  <c r="AA152" i="13"/>
  <c r="AE152" i="13"/>
  <c r="AI152" i="13"/>
  <c r="AM152" i="13"/>
  <c r="AQ152" i="13"/>
  <c r="AU152" i="13"/>
  <c r="AY152" i="13"/>
  <c r="D152" i="13"/>
  <c r="H152" i="13"/>
  <c r="L152" i="13"/>
  <c r="P152" i="13"/>
  <c r="T152" i="13"/>
  <c r="X152" i="13"/>
  <c r="AB152" i="13"/>
  <c r="AF152" i="13"/>
  <c r="AJ152" i="13"/>
  <c r="AN152" i="13"/>
  <c r="AR152" i="13"/>
  <c r="AV152" i="13"/>
  <c r="AZ152" i="13"/>
  <c r="C153" i="13"/>
  <c r="B153" i="13" s="1"/>
  <c r="A153" i="13" s="1"/>
  <c r="G153" i="13" l="1"/>
  <c r="K153" i="13"/>
  <c r="O153" i="13"/>
  <c r="S153" i="13"/>
  <c r="W153" i="13"/>
  <c r="AA153" i="13"/>
  <c r="AE153" i="13"/>
  <c r="AI153" i="13"/>
  <c r="AM153" i="13"/>
  <c r="AQ153" i="13"/>
  <c r="AU153" i="13"/>
  <c r="AY153" i="13"/>
  <c r="D153" i="13"/>
  <c r="H153" i="13"/>
  <c r="L153" i="13"/>
  <c r="P153" i="13"/>
  <c r="T153" i="13"/>
  <c r="X153" i="13"/>
  <c r="AB153" i="13"/>
  <c r="AF153" i="13"/>
  <c r="AJ153" i="13"/>
  <c r="AN153" i="13"/>
  <c r="AR153" i="13"/>
  <c r="AV153" i="13"/>
  <c r="AZ153" i="13"/>
  <c r="E153" i="13"/>
  <c r="I153" i="13"/>
  <c r="M153" i="13"/>
  <c r="Q153" i="13"/>
  <c r="U153" i="13"/>
  <c r="Y153" i="13"/>
  <c r="AC153" i="13"/>
  <c r="AG153" i="13"/>
  <c r="AK153" i="13"/>
  <c r="AO153" i="13"/>
  <c r="AS153" i="13"/>
  <c r="AW153" i="13"/>
  <c r="BA153" i="13"/>
  <c r="F153" i="13"/>
  <c r="J153" i="13"/>
  <c r="N153" i="13"/>
  <c r="R153" i="13"/>
  <c r="V153" i="13"/>
  <c r="Z153" i="13"/>
  <c r="AD153" i="13"/>
  <c r="AH153" i="13"/>
  <c r="AL153" i="13"/>
  <c r="AP153" i="13"/>
  <c r="AT153" i="13"/>
  <c r="AX153" i="13"/>
  <c r="C154" i="13"/>
  <c r="B154" i="13" s="1"/>
  <c r="A154" i="13" s="1"/>
  <c r="E154" i="13" l="1"/>
  <c r="I154" i="13"/>
  <c r="M154" i="13"/>
  <c r="Q154" i="13"/>
  <c r="U154" i="13"/>
  <c r="Y154" i="13"/>
  <c r="AC154" i="13"/>
  <c r="AG154" i="13"/>
  <c r="AK154" i="13"/>
  <c r="AO154" i="13"/>
  <c r="AS154" i="13"/>
  <c r="AW154" i="13"/>
  <c r="BA154" i="13"/>
  <c r="F154" i="13"/>
  <c r="J154" i="13"/>
  <c r="N154" i="13"/>
  <c r="R154" i="13"/>
  <c r="V154" i="13"/>
  <c r="Z154" i="13"/>
  <c r="AD154" i="13"/>
  <c r="AH154" i="13"/>
  <c r="AL154" i="13"/>
  <c r="AP154" i="13"/>
  <c r="AT154" i="13"/>
  <c r="AX154" i="13"/>
  <c r="G154" i="13"/>
  <c r="K154" i="13"/>
  <c r="O154" i="13"/>
  <c r="S154" i="13"/>
  <c r="W154" i="13"/>
  <c r="AA154" i="13"/>
  <c r="AE154" i="13"/>
  <c r="AI154" i="13"/>
  <c r="AM154" i="13"/>
  <c r="AQ154" i="13"/>
  <c r="AU154" i="13"/>
  <c r="AY154" i="13"/>
  <c r="D154" i="13"/>
  <c r="H154" i="13"/>
  <c r="L154" i="13"/>
  <c r="P154" i="13"/>
  <c r="T154" i="13"/>
  <c r="X154" i="13"/>
  <c r="AB154" i="13"/>
  <c r="AF154" i="13"/>
  <c r="AJ154" i="13"/>
  <c r="AN154" i="13"/>
  <c r="AR154" i="13"/>
  <c r="AV154" i="13"/>
  <c r="AZ154" i="13"/>
  <c r="C155" i="13"/>
  <c r="B155" i="13" s="1"/>
  <c r="A155" i="13" s="1"/>
  <c r="G155" i="13" l="1"/>
  <c r="K155" i="13"/>
  <c r="O155" i="13"/>
  <c r="S155" i="13"/>
  <c r="W155" i="13"/>
  <c r="AA155" i="13"/>
  <c r="AE155" i="13"/>
  <c r="AI155" i="13"/>
  <c r="AM155" i="13"/>
  <c r="AQ155" i="13"/>
  <c r="AU155" i="13"/>
  <c r="AY155" i="13"/>
  <c r="D155" i="13"/>
  <c r="H155" i="13"/>
  <c r="L155" i="13"/>
  <c r="P155" i="13"/>
  <c r="T155" i="13"/>
  <c r="X155" i="13"/>
  <c r="AB155" i="13"/>
  <c r="AF155" i="13"/>
  <c r="AJ155" i="13"/>
  <c r="AN155" i="13"/>
  <c r="AR155" i="13"/>
  <c r="AV155" i="13"/>
  <c r="AZ155" i="13"/>
  <c r="E155" i="13"/>
  <c r="I155" i="13"/>
  <c r="M155" i="13"/>
  <c r="Q155" i="13"/>
  <c r="U155" i="13"/>
  <c r="Y155" i="13"/>
  <c r="AC155" i="13"/>
  <c r="AG155" i="13"/>
  <c r="AK155" i="13"/>
  <c r="AO155" i="13"/>
  <c r="AS155" i="13"/>
  <c r="AW155" i="13"/>
  <c r="BA155" i="13"/>
  <c r="F155" i="13"/>
  <c r="J155" i="13"/>
  <c r="N155" i="13"/>
  <c r="R155" i="13"/>
  <c r="V155" i="13"/>
  <c r="Z155" i="13"/>
  <c r="AD155" i="13"/>
  <c r="AH155" i="13"/>
  <c r="AL155" i="13"/>
  <c r="AP155" i="13"/>
  <c r="AT155" i="13"/>
  <c r="AX155" i="13"/>
  <c r="C156" i="13"/>
  <c r="B156" i="13" s="1"/>
  <c r="A156" i="13" s="1"/>
  <c r="E156" i="13" l="1"/>
  <c r="I156" i="13"/>
  <c r="M156" i="13"/>
  <c r="Q156" i="13"/>
  <c r="U156" i="13"/>
  <c r="Y156" i="13"/>
  <c r="AC156" i="13"/>
  <c r="AG156" i="13"/>
  <c r="AK156" i="13"/>
  <c r="AO156" i="13"/>
  <c r="AS156" i="13"/>
  <c r="AW156" i="13"/>
  <c r="BA156" i="13"/>
  <c r="F156" i="13"/>
  <c r="J156" i="13"/>
  <c r="N156" i="13"/>
  <c r="R156" i="13"/>
  <c r="V156" i="13"/>
  <c r="Z156" i="13"/>
  <c r="AD156" i="13"/>
  <c r="AH156" i="13"/>
  <c r="AL156" i="13"/>
  <c r="AP156" i="13"/>
  <c r="AT156" i="13"/>
  <c r="AX156" i="13"/>
  <c r="G156" i="13"/>
  <c r="K156" i="13"/>
  <c r="O156" i="13"/>
  <c r="S156" i="13"/>
  <c r="W156" i="13"/>
  <c r="AA156" i="13"/>
  <c r="AE156" i="13"/>
  <c r="AI156" i="13"/>
  <c r="AM156" i="13"/>
  <c r="AQ156" i="13"/>
  <c r="AU156" i="13"/>
  <c r="AY156" i="13"/>
  <c r="D156" i="13"/>
  <c r="H156" i="13"/>
  <c r="L156" i="13"/>
  <c r="P156" i="13"/>
  <c r="T156" i="13"/>
  <c r="X156" i="13"/>
  <c r="AB156" i="13"/>
  <c r="AF156" i="13"/>
  <c r="AJ156" i="13"/>
  <c r="AN156" i="13"/>
  <c r="AR156" i="13"/>
  <c r="AV156" i="13"/>
  <c r="AZ156" i="13"/>
  <c r="C157" i="13"/>
  <c r="B157" i="13" s="1"/>
  <c r="A157" i="13" s="1"/>
  <c r="G157" i="13" l="1"/>
  <c r="K157" i="13"/>
  <c r="O157" i="13"/>
  <c r="S157" i="13"/>
  <c r="W157" i="13"/>
  <c r="AA157" i="13"/>
  <c r="AE157" i="13"/>
  <c r="AI157" i="13"/>
  <c r="AM157" i="13"/>
  <c r="AQ157" i="13"/>
  <c r="AU157" i="13"/>
  <c r="AY157" i="13"/>
  <c r="D157" i="13"/>
  <c r="H157" i="13"/>
  <c r="L157" i="13"/>
  <c r="P157" i="13"/>
  <c r="T157" i="13"/>
  <c r="X157" i="13"/>
  <c r="AB157" i="13"/>
  <c r="AF157" i="13"/>
  <c r="AJ157" i="13"/>
  <c r="AN157" i="13"/>
  <c r="AR157" i="13"/>
  <c r="AV157" i="13"/>
  <c r="AZ157" i="13"/>
  <c r="E157" i="13"/>
  <c r="I157" i="13"/>
  <c r="M157" i="13"/>
  <c r="Q157" i="13"/>
  <c r="U157" i="13"/>
  <c r="Y157" i="13"/>
  <c r="AC157" i="13"/>
  <c r="AG157" i="13"/>
  <c r="AK157" i="13"/>
  <c r="AO157" i="13"/>
  <c r="AS157" i="13"/>
  <c r="AW157" i="13"/>
  <c r="BA157" i="13"/>
  <c r="F157" i="13"/>
  <c r="J157" i="13"/>
  <c r="N157" i="13"/>
  <c r="R157" i="13"/>
  <c r="V157" i="13"/>
  <c r="Z157" i="13"/>
  <c r="AD157" i="13"/>
  <c r="AH157" i="13"/>
  <c r="AL157" i="13"/>
  <c r="AP157" i="13"/>
  <c r="AT157" i="13"/>
  <c r="AX157" i="13"/>
  <c r="C158" i="13"/>
  <c r="B158" i="13" s="1"/>
  <c r="A158" i="13" s="1"/>
  <c r="E158" i="13" l="1"/>
  <c r="I158" i="13"/>
  <c r="M158" i="13"/>
  <c r="Q158" i="13"/>
  <c r="U158" i="13"/>
  <c r="Y158" i="13"/>
  <c r="AC158" i="13"/>
  <c r="AG158" i="13"/>
  <c r="AK158" i="13"/>
  <c r="AO158" i="13"/>
  <c r="AS158" i="13"/>
  <c r="AW158" i="13"/>
  <c r="BA158" i="13"/>
  <c r="F158" i="13"/>
  <c r="J158" i="13"/>
  <c r="N158" i="13"/>
  <c r="R158" i="13"/>
  <c r="V158" i="13"/>
  <c r="Z158" i="13"/>
  <c r="AD158" i="13"/>
  <c r="AH158" i="13"/>
  <c r="AL158" i="13"/>
  <c r="AP158" i="13"/>
  <c r="AT158" i="13"/>
  <c r="AX158" i="13"/>
  <c r="G158" i="13"/>
  <c r="K158" i="13"/>
  <c r="O158" i="13"/>
  <c r="S158" i="13"/>
  <c r="W158" i="13"/>
  <c r="AA158" i="13"/>
  <c r="AE158" i="13"/>
  <c r="AI158" i="13"/>
  <c r="AM158" i="13"/>
  <c r="AQ158" i="13"/>
  <c r="AU158" i="13"/>
  <c r="AY158" i="13"/>
  <c r="D158" i="13"/>
  <c r="H158" i="13"/>
  <c r="L158" i="13"/>
  <c r="P158" i="13"/>
  <c r="T158" i="13"/>
  <c r="X158" i="13"/>
  <c r="AB158" i="13"/>
  <c r="AF158" i="13"/>
  <c r="AJ158" i="13"/>
  <c r="AN158" i="13"/>
  <c r="AR158" i="13"/>
  <c r="AV158" i="13"/>
  <c r="AZ158" i="13"/>
  <c r="C159" i="13"/>
  <c r="B159" i="13" s="1"/>
  <c r="A159" i="13" s="1"/>
  <c r="G159" i="13" l="1"/>
  <c r="K159" i="13"/>
  <c r="O159" i="13"/>
  <c r="S159" i="13"/>
  <c r="W159" i="13"/>
  <c r="AA159" i="13"/>
  <c r="AE159" i="13"/>
  <c r="AI159" i="13"/>
  <c r="AM159" i="13"/>
  <c r="AQ159" i="13"/>
  <c r="AU159" i="13"/>
  <c r="AY159" i="13"/>
  <c r="D159" i="13"/>
  <c r="H159" i="13"/>
  <c r="L159" i="13"/>
  <c r="P159" i="13"/>
  <c r="T159" i="13"/>
  <c r="X159" i="13"/>
  <c r="AB159" i="13"/>
  <c r="AF159" i="13"/>
  <c r="AJ159" i="13"/>
  <c r="AN159" i="13"/>
  <c r="AR159" i="13"/>
  <c r="AV159" i="13"/>
  <c r="AZ159" i="13"/>
  <c r="E159" i="13"/>
  <c r="I159" i="13"/>
  <c r="M159" i="13"/>
  <c r="Q159" i="13"/>
  <c r="U159" i="13"/>
  <c r="Y159" i="13"/>
  <c r="AC159" i="13"/>
  <c r="AG159" i="13"/>
  <c r="AK159" i="13"/>
  <c r="AO159" i="13"/>
  <c r="AS159" i="13"/>
  <c r="AW159" i="13"/>
  <c r="BA159" i="13"/>
  <c r="F159" i="13"/>
  <c r="J159" i="13"/>
  <c r="N159" i="13"/>
  <c r="R159" i="13"/>
  <c r="V159" i="13"/>
  <c r="Z159" i="13"/>
  <c r="AD159" i="13"/>
  <c r="AH159" i="13"/>
  <c r="AL159" i="13"/>
  <c r="AP159" i="13"/>
  <c r="AT159" i="13"/>
  <c r="AX159" i="13"/>
  <c r="C160" i="13"/>
  <c r="B160" i="13" s="1"/>
  <c r="A160" i="13" s="1"/>
  <c r="E160" i="13" l="1"/>
  <c r="I160" i="13"/>
  <c r="M160" i="13"/>
  <c r="Q160" i="13"/>
  <c r="U160" i="13"/>
  <c r="Y160" i="13"/>
  <c r="AC160" i="13"/>
  <c r="AG160" i="13"/>
  <c r="AK160" i="13"/>
  <c r="AO160" i="13"/>
  <c r="AS160" i="13"/>
  <c r="AW160" i="13"/>
  <c r="BA160" i="13"/>
  <c r="F160" i="13"/>
  <c r="J160" i="13"/>
  <c r="N160" i="13"/>
  <c r="R160" i="13"/>
  <c r="V160" i="13"/>
  <c r="Z160" i="13"/>
  <c r="AD160" i="13"/>
  <c r="AH160" i="13"/>
  <c r="AL160" i="13"/>
  <c r="AP160" i="13"/>
  <c r="AT160" i="13"/>
  <c r="AX160" i="13"/>
  <c r="G160" i="13"/>
  <c r="K160" i="13"/>
  <c r="O160" i="13"/>
  <c r="S160" i="13"/>
  <c r="W160" i="13"/>
  <c r="AA160" i="13"/>
  <c r="AE160" i="13"/>
  <c r="AI160" i="13"/>
  <c r="AM160" i="13"/>
  <c r="AQ160" i="13"/>
  <c r="AU160" i="13"/>
  <c r="AY160" i="13"/>
  <c r="D160" i="13"/>
  <c r="H160" i="13"/>
  <c r="L160" i="13"/>
  <c r="P160" i="13"/>
  <c r="T160" i="13"/>
  <c r="X160" i="13"/>
  <c r="AB160" i="13"/>
  <c r="AF160" i="13"/>
  <c r="AJ160" i="13"/>
  <c r="AN160" i="13"/>
  <c r="AR160" i="13"/>
  <c r="AV160" i="13"/>
  <c r="AZ160" i="13"/>
  <c r="C161" i="13"/>
  <c r="B161" i="13" s="1"/>
  <c r="A161" i="13" s="1"/>
  <c r="G161" i="13" l="1"/>
  <c r="K161" i="13"/>
  <c r="O161" i="13"/>
  <c r="S161" i="13"/>
  <c r="W161" i="13"/>
  <c r="AA161" i="13"/>
  <c r="AE161" i="13"/>
  <c r="AI161" i="13"/>
  <c r="AM161" i="13"/>
  <c r="AQ161" i="13"/>
  <c r="AU161" i="13"/>
  <c r="AY161" i="13"/>
  <c r="D161" i="13"/>
  <c r="H161" i="13"/>
  <c r="L161" i="13"/>
  <c r="P161" i="13"/>
  <c r="T161" i="13"/>
  <c r="X161" i="13"/>
  <c r="AB161" i="13"/>
  <c r="AF161" i="13"/>
  <c r="AJ161" i="13"/>
  <c r="AN161" i="13"/>
  <c r="AR161" i="13"/>
  <c r="AV161" i="13"/>
  <c r="AZ161" i="13"/>
  <c r="E161" i="13"/>
  <c r="I161" i="13"/>
  <c r="M161" i="13"/>
  <c r="Q161" i="13"/>
  <c r="U161" i="13"/>
  <c r="Y161" i="13"/>
  <c r="AC161" i="13"/>
  <c r="AG161" i="13"/>
  <c r="AK161" i="13"/>
  <c r="AO161" i="13"/>
  <c r="AS161" i="13"/>
  <c r="AW161" i="13"/>
  <c r="BA161" i="13"/>
  <c r="F161" i="13"/>
  <c r="J161" i="13"/>
  <c r="N161" i="13"/>
  <c r="R161" i="13"/>
  <c r="V161" i="13"/>
  <c r="Z161" i="13"/>
  <c r="AD161" i="13"/>
  <c r="AH161" i="13"/>
  <c r="AL161" i="13"/>
  <c r="AP161" i="13"/>
  <c r="AT161" i="13"/>
  <c r="AX161" i="13"/>
  <c r="C162" i="13"/>
  <c r="B162" i="13" s="1"/>
  <c r="A162" i="13" s="1"/>
  <c r="E162" i="13" l="1"/>
  <c r="I162" i="13"/>
  <c r="M162" i="13"/>
  <c r="Q162" i="13"/>
  <c r="U162" i="13"/>
  <c r="Y162" i="13"/>
  <c r="AC162" i="13"/>
  <c r="AG162" i="13"/>
  <c r="AK162" i="13"/>
  <c r="AO162" i="13"/>
  <c r="AS162" i="13"/>
  <c r="AW162" i="13"/>
  <c r="BA162" i="13"/>
  <c r="F162" i="13"/>
  <c r="J162" i="13"/>
  <c r="N162" i="13"/>
  <c r="R162" i="13"/>
  <c r="V162" i="13"/>
  <c r="Z162" i="13"/>
  <c r="AD162" i="13"/>
  <c r="AH162" i="13"/>
  <c r="AL162" i="13"/>
  <c r="AP162" i="13"/>
  <c r="AT162" i="13"/>
  <c r="AX162" i="13"/>
  <c r="G162" i="13"/>
  <c r="K162" i="13"/>
  <c r="O162" i="13"/>
  <c r="S162" i="13"/>
  <c r="W162" i="13"/>
  <c r="AA162" i="13"/>
  <c r="AE162" i="13"/>
  <c r="AI162" i="13"/>
  <c r="AM162" i="13"/>
  <c r="AQ162" i="13"/>
  <c r="AU162" i="13"/>
  <c r="AY162" i="13"/>
  <c r="D162" i="13"/>
  <c r="H162" i="13"/>
  <c r="L162" i="13"/>
  <c r="P162" i="13"/>
  <c r="T162" i="13"/>
  <c r="X162" i="13"/>
  <c r="AB162" i="13"/>
  <c r="AF162" i="13"/>
  <c r="AJ162" i="13"/>
  <c r="AN162" i="13"/>
  <c r="AR162" i="13"/>
  <c r="AV162" i="13"/>
  <c r="AZ162" i="13"/>
  <c r="C163" i="13"/>
  <c r="B163" i="13" s="1"/>
  <c r="A163" i="13" s="1"/>
  <c r="G163" i="13" l="1"/>
  <c r="K163" i="13"/>
  <c r="O163" i="13"/>
  <c r="S163" i="13"/>
  <c r="W163" i="13"/>
  <c r="AA163" i="13"/>
  <c r="AE163" i="13"/>
  <c r="AI163" i="13"/>
  <c r="AM163" i="13"/>
  <c r="AQ163" i="13"/>
  <c r="AU163" i="13"/>
  <c r="AY163" i="13"/>
  <c r="D163" i="13"/>
  <c r="H163" i="13"/>
  <c r="L163" i="13"/>
  <c r="P163" i="13"/>
  <c r="T163" i="13"/>
  <c r="X163" i="13"/>
  <c r="AB163" i="13"/>
  <c r="AF163" i="13"/>
  <c r="AJ163" i="13"/>
  <c r="AN163" i="13"/>
  <c r="AR163" i="13"/>
  <c r="AV163" i="13"/>
  <c r="AZ163" i="13"/>
  <c r="E163" i="13"/>
  <c r="I163" i="13"/>
  <c r="M163" i="13"/>
  <c r="Q163" i="13"/>
  <c r="U163" i="13"/>
  <c r="Y163" i="13"/>
  <c r="AC163" i="13"/>
  <c r="AG163" i="13"/>
  <c r="AK163" i="13"/>
  <c r="AO163" i="13"/>
  <c r="AS163" i="13"/>
  <c r="AW163" i="13"/>
  <c r="BA163" i="13"/>
  <c r="F163" i="13"/>
  <c r="J163" i="13"/>
  <c r="N163" i="13"/>
  <c r="R163" i="13"/>
  <c r="V163" i="13"/>
  <c r="Z163" i="13"/>
  <c r="AD163" i="13"/>
  <c r="AH163" i="13"/>
  <c r="AL163" i="13"/>
  <c r="AP163" i="13"/>
  <c r="AT163" i="13"/>
  <c r="AX163" i="13"/>
  <c r="C164" i="13"/>
  <c r="B164" i="13" s="1"/>
  <c r="A164" i="13" s="1"/>
  <c r="E164" i="13" l="1"/>
  <c r="I164" i="13"/>
  <c r="M164" i="13"/>
  <c r="Q164" i="13"/>
  <c r="U164" i="13"/>
  <c r="Y164" i="13"/>
  <c r="AC164" i="13"/>
  <c r="AG164" i="13"/>
  <c r="AK164" i="13"/>
  <c r="AO164" i="13"/>
  <c r="AS164" i="13"/>
  <c r="AW164" i="13"/>
  <c r="BA164" i="13"/>
  <c r="F164" i="13"/>
  <c r="J164" i="13"/>
  <c r="N164" i="13"/>
  <c r="R164" i="13"/>
  <c r="V164" i="13"/>
  <c r="Z164" i="13"/>
  <c r="AD164" i="13"/>
  <c r="AH164" i="13"/>
  <c r="AL164" i="13"/>
  <c r="AP164" i="13"/>
  <c r="AT164" i="13"/>
  <c r="AX164" i="13"/>
  <c r="G164" i="13"/>
  <c r="K164" i="13"/>
  <c r="O164" i="13"/>
  <c r="S164" i="13"/>
  <c r="W164" i="13"/>
  <c r="AA164" i="13"/>
  <c r="AE164" i="13"/>
  <c r="AI164" i="13"/>
  <c r="AM164" i="13"/>
  <c r="AQ164" i="13"/>
  <c r="AU164" i="13"/>
  <c r="AY164" i="13"/>
  <c r="D164" i="13"/>
  <c r="H164" i="13"/>
  <c r="L164" i="13"/>
  <c r="P164" i="13"/>
  <c r="T164" i="13"/>
  <c r="X164" i="13"/>
  <c r="AB164" i="13"/>
  <c r="AF164" i="13"/>
  <c r="AJ164" i="13"/>
  <c r="AN164" i="13"/>
  <c r="AR164" i="13"/>
  <c r="AV164" i="13"/>
  <c r="AZ164" i="13"/>
  <c r="C165" i="13"/>
  <c r="B165" i="13" s="1"/>
  <c r="A165" i="13" s="1"/>
  <c r="G165" i="13" l="1"/>
  <c r="K165" i="13"/>
  <c r="O165" i="13"/>
  <c r="S165" i="13"/>
  <c r="W165" i="13"/>
  <c r="AA165" i="13"/>
  <c r="AE165" i="13"/>
  <c r="AI165" i="13"/>
  <c r="AM165" i="13"/>
  <c r="AQ165" i="13"/>
  <c r="AU165" i="13"/>
  <c r="AY165" i="13"/>
  <c r="D165" i="13"/>
  <c r="H165" i="13"/>
  <c r="L165" i="13"/>
  <c r="P165" i="13"/>
  <c r="T165" i="13"/>
  <c r="X165" i="13"/>
  <c r="AB165" i="13"/>
  <c r="AF165" i="13"/>
  <c r="AJ165" i="13"/>
  <c r="AN165" i="13"/>
  <c r="AR165" i="13"/>
  <c r="AV165" i="13"/>
  <c r="AZ165" i="13"/>
  <c r="E165" i="13"/>
  <c r="I165" i="13"/>
  <c r="M165" i="13"/>
  <c r="Q165" i="13"/>
  <c r="U165" i="13"/>
  <c r="Y165" i="13"/>
  <c r="AC165" i="13"/>
  <c r="AG165" i="13"/>
  <c r="AK165" i="13"/>
  <c r="AO165" i="13"/>
  <c r="AS165" i="13"/>
  <c r="AW165" i="13"/>
  <c r="BA165" i="13"/>
  <c r="F165" i="13"/>
  <c r="J165" i="13"/>
  <c r="N165" i="13"/>
  <c r="R165" i="13"/>
  <c r="V165" i="13"/>
  <c r="Z165" i="13"/>
  <c r="AD165" i="13"/>
  <c r="AH165" i="13"/>
  <c r="AL165" i="13"/>
  <c r="AP165" i="13"/>
  <c r="AT165" i="13"/>
  <c r="AX165" i="13"/>
  <c r="C166" i="13"/>
  <c r="B166" i="13" s="1"/>
  <c r="A166" i="13" s="1"/>
  <c r="E166" i="13" l="1"/>
  <c r="I166" i="13"/>
  <c r="M166" i="13"/>
  <c r="Q166" i="13"/>
  <c r="U166" i="13"/>
  <c r="Y166" i="13"/>
  <c r="AC166" i="13"/>
  <c r="AG166" i="13"/>
  <c r="AK166" i="13"/>
  <c r="AO166" i="13"/>
  <c r="AS166" i="13"/>
  <c r="AW166" i="13"/>
  <c r="BA166" i="13"/>
  <c r="F166" i="13"/>
  <c r="J166" i="13"/>
  <c r="N166" i="13"/>
  <c r="R166" i="13"/>
  <c r="V166" i="13"/>
  <c r="Z166" i="13"/>
  <c r="AD166" i="13"/>
  <c r="AH166" i="13"/>
  <c r="AL166" i="13"/>
  <c r="AP166" i="13"/>
  <c r="AT166" i="13"/>
  <c r="AX166" i="13"/>
  <c r="G166" i="13"/>
  <c r="K166" i="13"/>
  <c r="O166" i="13"/>
  <c r="S166" i="13"/>
  <c r="W166" i="13"/>
  <c r="AA166" i="13"/>
  <c r="AE166" i="13"/>
  <c r="AI166" i="13"/>
  <c r="AM166" i="13"/>
  <c r="AQ166" i="13"/>
  <c r="AU166" i="13"/>
  <c r="AY166" i="13"/>
  <c r="D166" i="13"/>
  <c r="H166" i="13"/>
  <c r="L166" i="13"/>
  <c r="P166" i="13"/>
  <c r="T166" i="13"/>
  <c r="X166" i="13"/>
  <c r="AB166" i="13"/>
  <c r="AF166" i="13"/>
  <c r="AJ166" i="13"/>
  <c r="AN166" i="13"/>
  <c r="AR166" i="13"/>
  <c r="AV166" i="13"/>
  <c r="AZ166" i="13"/>
  <c r="C167" i="13"/>
  <c r="B167" i="13" s="1"/>
  <c r="A167" i="13" s="1"/>
  <c r="G167" i="13" l="1"/>
  <c r="K167" i="13"/>
  <c r="O167" i="13"/>
  <c r="S167" i="13"/>
  <c r="W167" i="13"/>
  <c r="AA167" i="13"/>
  <c r="AE167" i="13"/>
  <c r="AI167" i="13"/>
  <c r="AM167" i="13"/>
  <c r="AQ167" i="13"/>
  <c r="AU167" i="13"/>
  <c r="AY167" i="13"/>
  <c r="D167" i="13"/>
  <c r="H167" i="13"/>
  <c r="L167" i="13"/>
  <c r="P167" i="13"/>
  <c r="T167" i="13"/>
  <c r="X167" i="13"/>
  <c r="AB167" i="13"/>
  <c r="AF167" i="13"/>
  <c r="AJ167" i="13"/>
  <c r="AN167" i="13"/>
  <c r="AR167" i="13"/>
  <c r="AV167" i="13"/>
  <c r="AZ167" i="13"/>
  <c r="E167" i="13"/>
  <c r="I167" i="13"/>
  <c r="M167" i="13"/>
  <c r="Q167" i="13"/>
  <c r="U167" i="13"/>
  <c r="Y167" i="13"/>
  <c r="AC167" i="13"/>
  <c r="AG167" i="13"/>
  <c r="AK167" i="13"/>
  <c r="AO167" i="13"/>
  <c r="AS167" i="13"/>
  <c r="AW167" i="13"/>
  <c r="BA167" i="13"/>
  <c r="F167" i="13"/>
  <c r="J167" i="13"/>
  <c r="N167" i="13"/>
  <c r="R167" i="13"/>
  <c r="V167" i="13"/>
  <c r="Z167" i="13"/>
  <c r="AD167" i="13"/>
  <c r="AH167" i="13"/>
  <c r="AL167" i="13"/>
  <c r="AP167" i="13"/>
  <c r="AT167" i="13"/>
  <c r="AX167" i="13"/>
  <c r="C168" i="13"/>
  <c r="B168" i="13" s="1"/>
  <c r="A168" i="13" s="1"/>
  <c r="E168" i="13" l="1"/>
  <c r="I168" i="13"/>
  <c r="M168" i="13"/>
  <c r="Q168" i="13"/>
  <c r="U168" i="13"/>
  <c r="Y168" i="13"/>
  <c r="AC168" i="13"/>
  <c r="AG168" i="13"/>
  <c r="AK168" i="13"/>
  <c r="AO168" i="13"/>
  <c r="AS168" i="13"/>
  <c r="AW168" i="13"/>
  <c r="BA168" i="13"/>
  <c r="F168" i="13"/>
  <c r="J168" i="13"/>
  <c r="N168" i="13"/>
  <c r="R168" i="13"/>
  <c r="V168" i="13"/>
  <c r="Z168" i="13"/>
  <c r="AD168" i="13"/>
  <c r="AH168" i="13"/>
  <c r="AL168" i="13"/>
  <c r="AP168" i="13"/>
  <c r="AT168" i="13"/>
  <c r="AX168" i="13"/>
  <c r="G168" i="13"/>
  <c r="K168" i="13"/>
  <c r="O168" i="13"/>
  <c r="S168" i="13"/>
  <c r="W168" i="13"/>
  <c r="AA168" i="13"/>
  <c r="AE168" i="13"/>
  <c r="AI168" i="13"/>
  <c r="AM168" i="13"/>
  <c r="AQ168" i="13"/>
  <c r="AU168" i="13"/>
  <c r="AY168" i="13"/>
  <c r="D168" i="13"/>
  <c r="H168" i="13"/>
  <c r="L168" i="13"/>
  <c r="P168" i="13"/>
  <c r="T168" i="13"/>
  <c r="X168" i="13"/>
  <c r="AB168" i="13"/>
  <c r="AF168" i="13"/>
  <c r="AJ168" i="13"/>
  <c r="AN168" i="13"/>
  <c r="AR168" i="13"/>
  <c r="AV168" i="13"/>
  <c r="AZ168" i="13"/>
  <c r="C169" i="13"/>
  <c r="B169" i="13" s="1"/>
  <c r="A169" i="13" s="1"/>
  <c r="G169" i="13" l="1"/>
  <c r="K169" i="13"/>
  <c r="O169" i="13"/>
  <c r="S169" i="13"/>
  <c r="W169" i="13"/>
  <c r="AA169" i="13"/>
  <c r="AE169" i="13"/>
  <c r="AI169" i="13"/>
  <c r="AM169" i="13"/>
  <c r="AQ169" i="13"/>
  <c r="AU169" i="13"/>
  <c r="AY169" i="13"/>
  <c r="D169" i="13"/>
  <c r="H169" i="13"/>
  <c r="L169" i="13"/>
  <c r="P169" i="13"/>
  <c r="T169" i="13"/>
  <c r="X169" i="13"/>
  <c r="AB169" i="13"/>
  <c r="AF169" i="13"/>
  <c r="AJ169" i="13"/>
  <c r="AN169" i="13"/>
  <c r="AR169" i="13"/>
  <c r="AV169" i="13"/>
  <c r="AZ169" i="13"/>
  <c r="E169" i="13"/>
  <c r="I169" i="13"/>
  <c r="M169" i="13"/>
  <c r="Q169" i="13"/>
  <c r="U169" i="13"/>
  <c r="Y169" i="13"/>
  <c r="AC169" i="13"/>
  <c r="AG169" i="13"/>
  <c r="AK169" i="13"/>
  <c r="AO169" i="13"/>
  <c r="AS169" i="13"/>
  <c r="AW169" i="13"/>
  <c r="BA169" i="13"/>
  <c r="F169" i="13"/>
  <c r="J169" i="13"/>
  <c r="N169" i="13"/>
  <c r="R169" i="13"/>
  <c r="V169" i="13"/>
  <c r="Z169" i="13"/>
  <c r="AD169" i="13"/>
  <c r="AH169" i="13"/>
  <c r="AL169" i="13"/>
  <c r="AP169" i="13"/>
  <c r="AT169" i="13"/>
  <c r="AX169" i="13"/>
  <c r="C170" i="13"/>
  <c r="B170" i="13" s="1"/>
  <c r="A170" i="13" s="1"/>
  <c r="E170" i="13" l="1"/>
  <c r="I170" i="13"/>
  <c r="M170" i="13"/>
  <c r="Q170" i="13"/>
  <c r="U170" i="13"/>
  <c r="Y170" i="13"/>
  <c r="AC170" i="13"/>
  <c r="F170" i="13"/>
  <c r="J170" i="13"/>
  <c r="N170" i="13"/>
  <c r="R170" i="13"/>
  <c r="V170" i="13"/>
  <c r="Z170" i="13"/>
  <c r="AD170" i="13"/>
  <c r="G170" i="13"/>
  <c r="K170" i="13"/>
  <c r="O170" i="13"/>
  <c r="S170" i="13"/>
  <c r="W170" i="13"/>
  <c r="AA170" i="13"/>
  <c r="AE170" i="13"/>
  <c r="D170" i="13"/>
  <c r="H170" i="13"/>
  <c r="L170" i="13"/>
  <c r="P170" i="13"/>
  <c r="T170" i="13"/>
  <c r="X170" i="13"/>
  <c r="AB170" i="13"/>
  <c r="AF170" i="13"/>
  <c r="AJ170" i="13"/>
  <c r="AN170" i="13"/>
  <c r="AR170" i="13"/>
  <c r="AV170" i="13"/>
  <c r="AZ170" i="13"/>
  <c r="AG170" i="13"/>
  <c r="AK170" i="13"/>
  <c r="AO170" i="13"/>
  <c r="AS170" i="13"/>
  <c r="AW170" i="13"/>
  <c r="BA170" i="13"/>
  <c r="AH170" i="13"/>
  <c r="AL170" i="13"/>
  <c r="AP170" i="13"/>
  <c r="AT170" i="13"/>
  <c r="AX170" i="13"/>
  <c r="AI170" i="13"/>
  <c r="AM170" i="13"/>
  <c r="AQ170" i="13"/>
  <c r="AU170" i="13"/>
  <c r="AY170" i="13"/>
  <c r="C171" i="13"/>
  <c r="B171" i="13" s="1"/>
  <c r="A171" i="13" s="1"/>
  <c r="F171" i="13" l="1"/>
  <c r="J171" i="13"/>
  <c r="N171" i="13"/>
  <c r="R171" i="13"/>
  <c r="V171" i="13"/>
  <c r="Z171" i="13"/>
  <c r="AD171" i="13"/>
  <c r="AH171" i="13"/>
  <c r="AL171" i="13"/>
  <c r="AP171" i="13"/>
  <c r="AT171" i="13"/>
  <c r="AX171" i="13"/>
  <c r="G171" i="13"/>
  <c r="K171" i="13"/>
  <c r="O171" i="13"/>
  <c r="S171" i="13"/>
  <c r="W171" i="13"/>
  <c r="AA171" i="13"/>
  <c r="AE171" i="13"/>
  <c r="AI171" i="13"/>
  <c r="AM171" i="13"/>
  <c r="AQ171" i="13"/>
  <c r="AU171" i="13"/>
  <c r="AY171" i="13"/>
  <c r="D171" i="13"/>
  <c r="H171" i="13"/>
  <c r="L171" i="13"/>
  <c r="P171" i="13"/>
  <c r="T171" i="13"/>
  <c r="X171" i="13"/>
  <c r="AB171" i="13"/>
  <c r="AF171" i="13"/>
  <c r="AJ171" i="13"/>
  <c r="AN171" i="13"/>
  <c r="AR171" i="13"/>
  <c r="AV171" i="13"/>
  <c r="AZ171" i="13"/>
  <c r="E171" i="13"/>
  <c r="I171" i="13"/>
  <c r="M171" i="13"/>
  <c r="Q171" i="13"/>
  <c r="U171" i="13"/>
  <c r="Y171" i="13"/>
  <c r="AC171" i="13"/>
  <c r="AG171" i="13"/>
  <c r="AK171" i="13"/>
  <c r="AO171" i="13"/>
  <c r="AS171" i="13"/>
  <c r="AW171" i="13"/>
  <c r="BA171" i="13"/>
  <c r="C172" i="13"/>
  <c r="B172" i="13" s="1"/>
  <c r="A172" i="13" s="1"/>
  <c r="D172" i="13" l="1"/>
  <c r="H172" i="13"/>
  <c r="L172" i="13"/>
  <c r="P172" i="13"/>
  <c r="T172" i="13"/>
  <c r="X172" i="13"/>
  <c r="AB172" i="13"/>
  <c r="AF172" i="13"/>
  <c r="AJ172" i="13"/>
  <c r="AN172" i="13"/>
  <c r="AR172" i="13"/>
  <c r="AV172" i="13"/>
  <c r="AZ172" i="13"/>
  <c r="E172" i="13"/>
  <c r="I172" i="13"/>
  <c r="M172" i="13"/>
  <c r="Q172" i="13"/>
  <c r="U172" i="13"/>
  <c r="Y172" i="13"/>
  <c r="AC172" i="13"/>
  <c r="AG172" i="13"/>
  <c r="AK172" i="13"/>
  <c r="AO172" i="13"/>
  <c r="AS172" i="13"/>
  <c r="AW172" i="13"/>
  <c r="BA172" i="13"/>
  <c r="F172" i="13"/>
  <c r="J172" i="13"/>
  <c r="N172" i="13"/>
  <c r="R172" i="13"/>
  <c r="V172" i="13"/>
  <c r="Z172" i="13"/>
  <c r="AD172" i="13"/>
  <c r="AH172" i="13"/>
  <c r="AL172" i="13"/>
  <c r="AP172" i="13"/>
  <c r="AT172" i="13"/>
  <c r="AX172" i="13"/>
  <c r="G172" i="13"/>
  <c r="K172" i="13"/>
  <c r="O172" i="13"/>
  <c r="S172" i="13"/>
  <c r="W172" i="13"/>
  <c r="AA172" i="13"/>
  <c r="AE172" i="13"/>
  <c r="AI172" i="13"/>
  <c r="AM172" i="13"/>
  <c r="AQ172" i="13"/>
  <c r="AU172" i="13"/>
  <c r="AY172" i="13"/>
  <c r="C173" i="13"/>
  <c r="B173" i="13" s="1"/>
  <c r="A173" i="13" s="1"/>
  <c r="F173" i="13" l="1"/>
  <c r="J173" i="13"/>
  <c r="N173" i="13"/>
  <c r="R173" i="13"/>
  <c r="V173" i="13"/>
  <c r="Z173" i="13"/>
  <c r="AD173" i="13"/>
  <c r="AH173" i="13"/>
  <c r="AL173" i="13"/>
  <c r="AP173" i="13"/>
  <c r="AT173" i="13"/>
  <c r="AX173" i="13"/>
  <c r="G173" i="13"/>
  <c r="K173" i="13"/>
  <c r="O173" i="13"/>
  <c r="S173" i="13"/>
  <c r="W173" i="13"/>
  <c r="AA173" i="13"/>
  <c r="AE173" i="13"/>
  <c r="AI173" i="13"/>
  <c r="AM173" i="13"/>
  <c r="AQ173" i="13"/>
  <c r="AU173" i="13"/>
  <c r="AY173" i="13"/>
  <c r="D173" i="13"/>
  <c r="H173" i="13"/>
  <c r="L173" i="13"/>
  <c r="P173" i="13"/>
  <c r="T173" i="13"/>
  <c r="X173" i="13"/>
  <c r="AB173" i="13"/>
  <c r="AF173" i="13"/>
  <c r="AJ173" i="13"/>
  <c r="AN173" i="13"/>
  <c r="AR173" i="13"/>
  <c r="AV173" i="13"/>
  <c r="AZ173" i="13"/>
  <c r="E173" i="13"/>
  <c r="I173" i="13"/>
  <c r="M173" i="13"/>
  <c r="Q173" i="13"/>
  <c r="U173" i="13"/>
  <c r="Y173" i="13"/>
  <c r="AC173" i="13"/>
  <c r="AG173" i="13"/>
  <c r="AK173" i="13"/>
  <c r="AO173" i="13"/>
  <c r="AS173" i="13"/>
  <c r="AW173" i="13"/>
  <c r="BA173" i="13"/>
  <c r="C174" i="13"/>
  <c r="B174" i="13" s="1"/>
  <c r="A174" i="13" s="1"/>
  <c r="D174" i="13" l="1"/>
  <c r="H174" i="13"/>
  <c r="L174" i="13"/>
  <c r="P174" i="13"/>
  <c r="T174" i="13"/>
  <c r="X174" i="13"/>
  <c r="AB174" i="13"/>
  <c r="AF174" i="13"/>
  <c r="AJ174" i="13"/>
  <c r="AN174" i="13"/>
  <c r="AR174" i="13"/>
  <c r="AV174" i="13"/>
  <c r="AZ174" i="13"/>
  <c r="E174" i="13"/>
  <c r="I174" i="13"/>
  <c r="M174" i="13"/>
  <c r="Q174" i="13"/>
  <c r="U174" i="13"/>
  <c r="Y174" i="13"/>
  <c r="AC174" i="13"/>
  <c r="AG174" i="13"/>
  <c r="AK174" i="13"/>
  <c r="AO174" i="13"/>
  <c r="AS174" i="13"/>
  <c r="AW174" i="13"/>
  <c r="BA174" i="13"/>
  <c r="F174" i="13"/>
  <c r="J174" i="13"/>
  <c r="N174" i="13"/>
  <c r="R174" i="13"/>
  <c r="V174" i="13"/>
  <c r="Z174" i="13"/>
  <c r="AD174" i="13"/>
  <c r="AH174" i="13"/>
  <c r="AL174" i="13"/>
  <c r="AP174" i="13"/>
  <c r="AT174" i="13"/>
  <c r="AX174" i="13"/>
  <c r="G174" i="13"/>
  <c r="K174" i="13"/>
  <c r="O174" i="13"/>
  <c r="S174" i="13"/>
  <c r="W174" i="13"/>
  <c r="AA174" i="13"/>
  <c r="AE174" i="13"/>
  <c r="AI174" i="13"/>
  <c r="AM174" i="13"/>
  <c r="AQ174" i="13"/>
  <c r="AU174" i="13"/>
  <c r="AY174" i="13"/>
  <c r="C175" i="13"/>
  <c r="B175" i="13" s="1"/>
  <c r="A175" i="13" s="1"/>
  <c r="F175" i="13" l="1"/>
  <c r="J175" i="13"/>
  <c r="N175" i="13"/>
  <c r="R175" i="13"/>
  <c r="V175" i="13"/>
  <c r="Z175" i="13"/>
  <c r="AD175" i="13"/>
  <c r="AH175" i="13"/>
  <c r="AL175" i="13"/>
  <c r="AP175" i="13"/>
  <c r="AT175" i="13"/>
  <c r="AX175" i="13"/>
  <c r="G175" i="13"/>
  <c r="K175" i="13"/>
  <c r="O175" i="13"/>
  <c r="S175" i="13"/>
  <c r="W175" i="13"/>
  <c r="AA175" i="13"/>
  <c r="AE175" i="13"/>
  <c r="AI175" i="13"/>
  <c r="AM175" i="13"/>
  <c r="AQ175" i="13"/>
  <c r="AU175" i="13"/>
  <c r="AY175" i="13"/>
  <c r="D175" i="13"/>
  <c r="H175" i="13"/>
  <c r="L175" i="13"/>
  <c r="P175" i="13"/>
  <c r="T175" i="13"/>
  <c r="X175" i="13"/>
  <c r="AB175" i="13"/>
  <c r="AF175" i="13"/>
  <c r="AJ175" i="13"/>
  <c r="AN175" i="13"/>
  <c r="AR175" i="13"/>
  <c r="AV175" i="13"/>
  <c r="AZ175" i="13"/>
  <c r="E175" i="13"/>
  <c r="I175" i="13"/>
  <c r="M175" i="13"/>
  <c r="Q175" i="13"/>
  <c r="U175" i="13"/>
  <c r="Y175" i="13"/>
  <c r="AC175" i="13"/>
  <c r="AG175" i="13"/>
  <c r="AK175" i="13"/>
  <c r="AO175" i="13"/>
  <c r="AS175" i="13"/>
  <c r="AW175" i="13"/>
  <c r="BA175" i="13"/>
  <c r="C176" i="13"/>
  <c r="B176" i="13" s="1"/>
  <c r="A176" i="13" s="1"/>
  <c r="D176" i="13" l="1"/>
  <c r="H176" i="13"/>
  <c r="L176" i="13"/>
  <c r="P176" i="13"/>
  <c r="T176" i="13"/>
  <c r="X176" i="13"/>
  <c r="AB176" i="13"/>
  <c r="AF176" i="13"/>
  <c r="AJ176" i="13"/>
  <c r="AN176" i="13"/>
  <c r="AR176" i="13"/>
  <c r="AV176" i="13"/>
  <c r="AZ176" i="13"/>
  <c r="E176" i="13"/>
  <c r="I176" i="13"/>
  <c r="M176" i="13"/>
  <c r="Q176" i="13"/>
  <c r="U176" i="13"/>
  <c r="Y176" i="13"/>
  <c r="AC176" i="13"/>
  <c r="AG176" i="13"/>
  <c r="AK176" i="13"/>
  <c r="AO176" i="13"/>
  <c r="AS176" i="13"/>
  <c r="AW176" i="13"/>
  <c r="BA176" i="13"/>
  <c r="F176" i="13"/>
  <c r="J176" i="13"/>
  <c r="N176" i="13"/>
  <c r="R176" i="13"/>
  <c r="V176" i="13"/>
  <c r="Z176" i="13"/>
  <c r="AD176" i="13"/>
  <c r="AH176" i="13"/>
  <c r="AL176" i="13"/>
  <c r="AP176" i="13"/>
  <c r="AT176" i="13"/>
  <c r="AX176" i="13"/>
  <c r="G176" i="13"/>
  <c r="K176" i="13"/>
  <c r="O176" i="13"/>
  <c r="S176" i="13"/>
  <c r="W176" i="13"/>
  <c r="AA176" i="13"/>
  <c r="AE176" i="13"/>
  <c r="AI176" i="13"/>
  <c r="AM176" i="13"/>
  <c r="AQ176" i="13"/>
  <c r="AU176" i="13"/>
  <c r="AY176" i="13"/>
  <c r="C177" i="13"/>
  <c r="B177" i="13" s="1"/>
  <c r="A177" i="13" s="1"/>
  <c r="F177" i="13" l="1"/>
  <c r="J177" i="13"/>
  <c r="N177" i="13"/>
  <c r="R177" i="13"/>
  <c r="V177" i="13"/>
  <c r="Z177" i="13"/>
  <c r="AD177" i="13"/>
  <c r="AH177" i="13"/>
  <c r="AL177" i="13"/>
  <c r="AP177" i="13"/>
  <c r="AT177" i="13"/>
  <c r="AX177" i="13"/>
  <c r="G177" i="13"/>
  <c r="K177" i="13"/>
  <c r="O177" i="13"/>
  <c r="S177" i="13"/>
  <c r="W177" i="13"/>
  <c r="AA177" i="13"/>
  <c r="AE177" i="13"/>
  <c r="AI177" i="13"/>
  <c r="AM177" i="13"/>
  <c r="AQ177" i="13"/>
  <c r="AU177" i="13"/>
  <c r="AY177" i="13"/>
  <c r="D177" i="13"/>
  <c r="H177" i="13"/>
  <c r="L177" i="13"/>
  <c r="P177" i="13"/>
  <c r="T177" i="13"/>
  <c r="X177" i="13"/>
  <c r="AB177" i="13"/>
  <c r="AF177" i="13"/>
  <c r="AJ177" i="13"/>
  <c r="AN177" i="13"/>
  <c r="AR177" i="13"/>
  <c r="AV177" i="13"/>
  <c r="AZ177" i="13"/>
  <c r="E177" i="13"/>
  <c r="I177" i="13"/>
  <c r="M177" i="13"/>
  <c r="Q177" i="13"/>
  <c r="U177" i="13"/>
  <c r="Y177" i="13"/>
  <c r="AC177" i="13"/>
  <c r="AG177" i="13"/>
  <c r="AK177" i="13"/>
  <c r="AO177" i="13"/>
  <c r="AS177" i="13"/>
  <c r="AW177" i="13"/>
  <c r="BA177" i="13"/>
  <c r="C178" i="13"/>
  <c r="B178" i="13" s="1"/>
  <c r="A178" i="13" s="1"/>
  <c r="D178" i="13" l="1"/>
  <c r="H178" i="13"/>
  <c r="L178" i="13"/>
  <c r="P178" i="13"/>
  <c r="T178" i="13"/>
  <c r="X178" i="13"/>
  <c r="AB178" i="13"/>
  <c r="AF178" i="13"/>
  <c r="AJ178" i="13"/>
  <c r="AN178" i="13"/>
  <c r="AR178" i="13"/>
  <c r="AV178" i="13"/>
  <c r="AZ178" i="13"/>
  <c r="E178" i="13"/>
  <c r="I178" i="13"/>
  <c r="M178" i="13"/>
  <c r="Q178" i="13"/>
  <c r="U178" i="13"/>
  <c r="Y178" i="13"/>
  <c r="AC178" i="13"/>
  <c r="AG178" i="13"/>
  <c r="AK178" i="13"/>
  <c r="AO178" i="13"/>
  <c r="AS178" i="13"/>
  <c r="AW178" i="13"/>
  <c r="BA178" i="13"/>
  <c r="F178" i="13"/>
  <c r="J178" i="13"/>
  <c r="N178" i="13"/>
  <c r="R178" i="13"/>
  <c r="V178" i="13"/>
  <c r="Z178" i="13"/>
  <c r="AD178" i="13"/>
  <c r="AH178" i="13"/>
  <c r="AL178" i="13"/>
  <c r="AP178" i="13"/>
  <c r="AT178" i="13"/>
  <c r="AX178" i="13"/>
  <c r="G178" i="13"/>
  <c r="K178" i="13"/>
  <c r="O178" i="13"/>
  <c r="S178" i="13"/>
  <c r="W178" i="13"/>
  <c r="AA178" i="13"/>
  <c r="AE178" i="13"/>
  <c r="AI178" i="13"/>
  <c r="AM178" i="13"/>
  <c r="AQ178" i="13"/>
  <c r="AU178" i="13"/>
  <c r="AY178" i="13"/>
  <c r="C179" i="13"/>
  <c r="B179" i="13" s="1"/>
  <c r="A179" i="13" s="1"/>
  <c r="F179" i="13" l="1"/>
  <c r="J179" i="13"/>
  <c r="N179" i="13"/>
  <c r="R179" i="13"/>
  <c r="V179" i="13"/>
  <c r="Z179" i="13"/>
  <c r="AD179" i="13"/>
  <c r="AH179" i="13"/>
  <c r="AL179" i="13"/>
  <c r="AP179" i="13"/>
  <c r="AT179" i="13"/>
  <c r="AX179" i="13"/>
  <c r="G179" i="13"/>
  <c r="K179" i="13"/>
  <c r="O179" i="13"/>
  <c r="S179" i="13"/>
  <c r="W179" i="13"/>
  <c r="AA179" i="13"/>
  <c r="AE179" i="13"/>
  <c r="AI179" i="13"/>
  <c r="AM179" i="13"/>
  <c r="AQ179" i="13"/>
  <c r="AU179" i="13"/>
  <c r="AY179" i="13"/>
  <c r="D179" i="13"/>
  <c r="H179" i="13"/>
  <c r="L179" i="13"/>
  <c r="P179" i="13"/>
  <c r="T179" i="13"/>
  <c r="X179" i="13"/>
  <c r="AB179" i="13"/>
  <c r="AF179" i="13"/>
  <c r="AJ179" i="13"/>
  <c r="AN179" i="13"/>
  <c r="AR179" i="13"/>
  <c r="AV179" i="13"/>
  <c r="AZ179" i="13"/>
  <c r="E179" i="13"/>
  <c r="I179" i="13"/>
  <c r="M179" i="13"/>
  <c r="Q179" i="13"/>
  <c r="U179" i="13"/>
  <c r="Y179" i="13"/>
  <c r="AC179" i="13"/>
  <c r="AG179" i="13"/>
  <c r="AK179" i="13"/>
  <c r="AO179" i="13"/>
  <c r="AS179" i="13"/>
  <c r="AW179" i="13"/>
  <c r="BA179" i="13"/>
  <c r="C180" i="13"/>
  <c r="B180" i="13" s="1"/>
  <c r="A180" i="13" s="1"/>
  <c r="D180" i="13" l="1"/>
  <c r="H180" i="13"/>
  <c r="L180" i="13"/>
  <c r="P180" i="13"/>
  <c r="T180" i="13"/>
  <c r="X180" i="13"/>
  <c r="AB180" i="13"/>
  <c r="AF180" i="13"/>
  <c r="AJ180" i="13"/>
  <c r="AN180" i="13"/>
  <c r="AR180" i="13"/>
  <c r="AV180" i="13"/>
  <c r="AZ180" i="13"/>
  <c r="E180" i="13"/>
  <c r="I180" i="13"/>
  <c r="M180" i="13"/>
  <c r="Q180" i="13"/>
  <c r="U180" i="13"/>
  <c r="Y180" i="13"/>
  <c r="AC180" i="13"/>
  <c r="AG180" i="13"/>
  <c r="AK180" i="13"/>
  <c r="AO180" i="13"/>
  <c r="AS180" i="13"/>
  <c r="AW180" i="13"/>
  <c r="BA180" i="13"/>
  <c r="F180" i="13"/>
  <c r="J180" i="13"/>
  <c r="N180" i="13"/>
  <c r="R180" i="13"/>
  <c r="V180" i="13"/>
  <c r="Z180" i="13"/>
  <c r="AD180" i="13"/>
  <c r="AH180" i="13"/>
  <c r="AL180" i="13"/>
  <c r="AP180" i="13"/>
  <c r="AT180" i="13"/>
  <c r="AX180" i="13"/>
  <c r="G180" i="13"/>
  <c r="K180" i="13"/>
  <c r="O180" i="13"/>
  <c r="S180" i="13"/>
  <c r="W180" i="13"/>
  <c r="AA180" i="13"/>
  <c r="AE180" i="13"/>
  <c r="AI180" i="13"/>
  <c r="AM180" i="13"/>
  <c r="AQ180" i="13"/>
  <c r="AU180" i="13"/>
  <c r="AY180" i="13"/>
  <c r="C181" i="13"/>
  <c r="B181" i="13" s="1"/>
  <c r="A181" i="13" s="1"/>
  <c r="F181" i="13" l="1"/>
  <c r="J181" i="13"/>
  <c r="N181" i="13"/>
  <c r="R181" i="13"/>
  <c r="V181" i="13"/>
  <c r="Z181" i="13"/>
  <c r="AD181" i="13"/>
  <c r="AH181" i="13"/>
  <c r="AL181" i="13"/>
  <c r="AP181" i="13"/>
  <c r="AT181" i="13"/>
  <c r="AX181" i="13"/>
  <c r="G181" i="13"/>
  <c r="K181" i="13"/>
  <c r="O181" i="13"/>
  <c r="S181" i="13"/>
  <c r="W181" i="13"/>
  <c r="AA181" i="13"/>
  <c r="AE181" i="13"/>
  <c r="AI181" i="13"/>
  <c r="AM181" i="13"/>
  <c r="AQ181" i="13"/>
  <c r="AU181" i="13"/>
  <c r="AY181" i="13"/>
  <c r="D181" i="13"/>
  <c r="H181" i="13"/>
  <c r="L181" i="13"/>
  <c r="P181" i="13"/>
  <c r="T181" i="13"/>
  <c r="X181" i="13"/>
  <c r="AB181" i="13"/>
  <c r="AF181" i="13"/>
  <c r="AJ181" i="13"/>
  <c r="AN181" i="13"/>
  <c r="AR181" i="13"/>
  <c r="AV181" i="13"/>
  <c r="AZ181" i="13"/>
  <c r="E181" i="13"/>
  <c r="I181" i="13"/>
  <c r="M181" i="13"/>
  <c r="Q181" i="13"/>
  <c r="U181" i="13"/>
  <c r="Y181" i="13"/>
  <c r="AC181" i="13"/>
  <c r="AG181" i="13"/>
  <c r="AK181" i="13"/>
  <c r="AO181" i="13"/>
  <c r="AS181" i="13"/>
  <c r="AW181" i="13"/>
  <c r="BA181" i="13"/>
  <c r="C182" i="13"/>
  <c r="B182" i="13" s="1"/>
  <c r="A182" i="13" s="1"/>
  <c r="D182" i="13" l="1"/>
  <c r="H182" i="13"/>
  <c r="L182" i="13"/>
  <c r="P182" i="13"/>
  <c r="T182" i="13"/>
  <c r="X182" i="13"/>
  <c r="AB182" i="13"/>
  <c r="AF182" i="13"/>
  <c r="AJ182" i="13"/>
  <c r="AN182" i="13"/>
  <c r="AR182" i="13"/>
  <c r="AV182" i="13"/>
  <c r="AZ182" i="13"/>
  <c r="E182" i="13"/>
  <c r="I182" i="13"/>
  <c r="M182" i="13"/>
  <c r="Q182" i="13"/>
  <c r="U182" i="13"/>
  <c r="Y182" i="13"/>
  <c r="AC182" i="13"/>
  <c r="AG182" i="13"/>
  <c r="AK182" i="13"/>
  <c r="AO182" i="13"/>
  <c r="AS182" i="13"/>
  <c r="AW182" i="13"/>
  <c r="BA182" i="13"/>
  <c r="F182" i="13"/>
  <c r="J182" i="13"/>
  <c r="N182" i="13"/>
  <c r="R182" i="13"/>
  <c r="V182" i="13"/>
  <c r="Z182" i="13"/>
  <c r="AD182" i="13"/>
  <c r="AH182" i="13"/>
  <c r="AL182" i="13"/>
  <c r="AP182" i="13"/>
  <c r="AT182" i="13"/>
  <c r="AX182" i="13"/>
  <c r="G182" i="13"/>
  <c r="K182" i="13"/>
  <c r="O182" i="13"/>
  <c r="S182" i="13"/>
  <c r="W182" i="13"/>
  <c r="AA182" i="13"/>
  <c r="AE182" i="13"/>
  <c r="AI182" i="13"/>
  <c r="AM182" i="13"/>
  <c r="AQ182" i="13"/>
  <c r="AU182" i="13"/>
  <c r="AY182" i="13"/>
  <c r="C183" i="13"/>
  <c r="B183" i="13" s="1"/>
  <c r="A183" i="13" s="1"/>
  <c r="F183" i="13" l="1"/>
  <c r="J183" i="13"/>
  <c r="N183" i="13"/>
  <c r="R183" i="13"/>
  <c r="V183" i="13"/>
  <c r="Z183" i="13"/>
  <c r="AD183" i="13"/>
  <c r="AH183" i="13"/>
  <c r="AL183" i="13"/>
  <c r="AP183" i="13"/>
  <c r="AT183" i="13"/>
  <c r="AX183" i="13"/>
  <c r="G183" i="13"/>
  <c r="K183" i="13"/>
  <c r="O183" i="13"/>
  <c r="S183" i="13"/>
  <c r="W183" i="13"/>
  <c r="AA183" i="13"/>
  <c r="AE183" i="13"/>
  <c r="AI183" i="13"/>
  <c r="AM183" i="13"/>
  <c r="AQ183" i="13"/>
  <c r="AU183" i="13"/>
  <c r="AY183" i="13"/>
  <c r="D183" i="13"/>
  <c r="H183" i="13"/>
  <c r="L183" i="13"/>
  <c r="P183" i="13"/>
  <c r="T183" i="13"/>
  <c r="X183" i="13"/>
  <c r="AB183" i="13"/>
  <c r="AF183" i="13"/>
  <c r="AJ183" i="13"/>
  <c r="AN183" i="13"/>
  <c r="AR183" i="13"/>
  <c r="AV183" i="13"/>
  <c r="AZ183" i="13"/>
  <c r="E183" i="13"/>
  <c r="I183" i="13"/>
  <c r="M183" i="13"/>
  <c r="Q183" i="13"/>
  <c r="U183" i="13"/>
  <c r="Y183" i="13"/>
  <c r="AC183" i="13"/>
  <c r="AG183" i="13"/>
  <c r="AK183" i="13"/>
  <c r="AO183" i="13"/>
  <c r="AS183" i="13"/>
  <c r="AW183" i="13"/>
  <c r="BA183" i="13"/>
  <c r="C184" i="13"/>
  <c r="B184" i="13" s="1"/>
  <c r="A184" i="13" s="1"/>
  <c r="D184" i="13" l="1"/>
  <c r="H184" i="13"/>
  <c r="L184" i="13"/>
  <c r="P184" i="13"/>
  <c r="T184" i="13"/>
  <c r="X184" i="13"/>
  <c r="AB184" i="13"/>
  <c r="AF184" i="13"/>
  <c r="AJ184" i="13"/>
  <c r="AN184" i="13"/>
  <c r="AR184" i="13"/>
  <c r="AV184" i="13"/>
  <c r="AZ184" i="13"/>
  <c r="E184" i="13"/>
  <c r="I184" i="13"/>
  <c r="M184" i="13"/>
  <c r="Q184" i="13"/>
  <c r="U184" i="13"/>
  <c r="Y184" i="13"/>
  <c r="AC184" i="13"/>
  <c r="AG184" i="13"/>
  <c r="AK184" i="13"/>
  <c r="AO184" i="13"/>
  <c r="AS184" i="13"/>
  <c r="AW184" i="13"/>
  <c r="BA184" i="13"/>
  <c r="F184" i="13"/>
  <c r="J184" i="13"/>
  <c r="N184" i="13"/>
  <c r="R184" i="13"/>
  <c r="V184" i="13"/>
  <c r="Z184" i="13"/>
  <c r="AD184" i="13"/>
  <c r="AH184" i="13"/>
  <c r="AL184" i="13"/>
  <c r="AP184" i="13"/>
  <c r="AT184" i="13"/>
  <c r="AX184" i="13"/>
  <c r="G184" i="13"/>
  <c r="K184" i="13"/>
  <c r="O184" i="13"/>
  <c r="S184" i="13"/>
  <c r="W184" i="13"/>
  <c r="AA184" i="13"/>
  <c r="AE184" i="13"/>
  <c r="AI184" i="13"/>
  <c r="AM184" i="13"/>
  <c r="AQ184" i="13"/>
  <c r="AU184" i="13"/>
  <c r="AY184" i="13"/>
  <c r="C185" i="13"/>
  <c r="B185" i="13" s="1"/>
  <c r="A185" i="13" s="1"/>
  <c r="F185" i="13" l="1"/>
  <c r="J185" i="13"/>
  <c r="N185" i="13"/>
  <c r="R185" i="13"/>
  <c r="V185" i="13"/>
  <c r="Z185" i="13"/>
  <c r="AD185" i="13"/>
  <c r="AH185" i="13"/>
  <c r="AL185" i="13"/>
  <c r="AP185" i="13"/>
  <c r="AT185" i="13"/>
  <c r="AX185" i="13"/>
  <c r="G185" i="13"/>
  <c r="K185" i="13"/>
  <c r="O185" i="13"/>
  <c r="S185" i="13"/>
  <c r="W185" i="13"/>
  <c r="AA185" i="13"/>
  <c r="AE185" i="13"/>
  <c r="AI185" i="13"/>
  <c r="AM185" i="13"/>
  <c r="AQ185" i="13"/>
  <c r="AU185" i="13"/>
  <c r="AY185" i="13"/>
  <c r="D185" i="13"/>
  <c r="H185" i="13"/>
  <c r="L185" i="13"/>
  <c r="P185" i="13"/>
  <c r="T185" i="13"/>
  <c r="X185" i="13"/>
  <c r="AB185" i="13"/>
  <c r="AF185" i="13"/>
  <c r="AJ185" i="13"/>
  <c r="AN185" i="13"/>
  <c r="AR185" i="13"/>
  <c r="AV185" i="13"/>
  <c r="AZ185" i="13"/>
  <c r="E185" i="13"/>
  <c r="I185" i="13"/>
  <c r="M185" i="13"/>
  <c r="Q185" i="13"/>
  <c r="U185" i="13"/>
  <c r="Y185" i="13"/>
  <c r="AC185" i="13"/>
  <c r="AG185" i="13"/>
  <c r="AK185" i="13"/>
  <c r="AO185" i="13"/>
  <c r="AS185" i="13"/>
  <c r="AW185" i="13"/>
  <c r="BA185" i="13"/>
  <c r="C186" i="13"/>
  <c r="B186" i="13" s="1"/>
  <c r="A186" i="13" s="1"/>
  <c r="D186" i="13" l="1"/>
  <c r="H186" i="13"/>
  <c r="L186" i="13"/>
  <c r="P186" i="13"/>
  <c r="T186" i="13"/>
  <c r="X186" i="13"/>
  <c r="AB186" i="13"/>
  <c r="AF186" i="13"/>
  <c r="AJ186" i="13"/>
  <c r="AN186" i="13"/>
  <c r="AR186" i="13"/>
  <c r="AV186" i="13"/>
  <c r="AZ186" i="13"/>
  <c r="E186" i="13"/>
  <c r="I186" i="13"/>
  <c r="M186" i="13"/>
  <c r="Q186" i="13"/>
  <c r="U186" i="13"/>
  <c r="Y186" i="13"/>
  <c r="AC186" i="13"/>
  <c r="AG186" i="13"/>
  <c r="AK186" i="13"/>
  <c r="AO186" i="13"/>
  <c r="AS186" i="13"/>
  <c r="AW186" i="13"/>
  <c r="BA186" i="13"/>
  <c r="F186" i="13"/>
  <c r="J186" i="13"/>
  <c r="N186" i="13"/>
  <c r="R186" i="13"/>
  <c r="V186" i="13"/>
  <c r="Z186" i="13"/>
  <c r="AD186" i="13"/>
  <c r="AH186" i="13"/>
  <c r="AL186" i="13"/>
  <c r="AP186" i="13"/>
  <c r="AT186" i="13"/>
  <c r="AX186" i="13"/>
  <c r="G186" i="13"/>
  <c r="K186" i="13"/>
  <c r="O186" i="13"/>
  <c r="S186" i="13"/>
  <c r="W186" i="13"/>
  <c r="AA186" i="13"/>
  <c r="AE186" i="13"/>
  <c r="AI186" i="13"/>
  <c r="AM186" i="13"/>
  <c r="AQ186" i="13"/>
  <c r="AU186" i="13"/>
  <c r="AY186" i="13"/>
  <c r="C187" i="13"/>
  <c r="B187" i="13" s="1"/>
  <c r="A187" i="13" s="1"/>
  <c r="F187" i="13" l="1"/>
  <c r="J187" i="13"/>
  <c r="N187" i="13"/>
  <c r="R187" i="13"/>
  <c r="V187" i="13"/>
  <c r="Z187" i="13"/>
  <c r="AD187" i="13"/>
  <c r="AH187" i="13"/>
  <c r="AL187" i="13"/>
  <c r="AP187" i="13"/>
  <c r="AT187" i="13"/>
  <c r="AX187" i="13"/>
  <c r="G187" i="13"/>
  <c r="K187" i="13"/>
  <c r="O187" i="13"/>
  <c r="S187" i="13"/>
  <c r="W187" i="13"/>
  <c r="AA187" i="13"/>
  <c r="AE187" i="13"/>
  <c r="AI187" i="13"/>
  <c r="AM187" i="13"/>
  <c r="AQ187" i="13"/>
  <c r="AU187" i="13"/>
  <c r="AY187" i="13"/>
  <c r="D187" i="13"/>
  <c r="H187" i="13"/>
  <c r="L187" i="13"/>
  <c r="P187" i="13"/>
  <c r="T187" i="13"/>
  <c r="X187" i="13"/>
  <c r="AB187" i="13"/>
  <c r="AF187" i="13"/>
  <c r="AJ187" i="13"/>
  <c r="AN187" i="13"/>
  <c r="AR187" i="13"/>
  <c r="AV187" i="13"/>
  <c r="AZ187" i="13"/>
  <c r="E187" i="13"/>
  <c r="I187" i="13"/>
  <c r="M187" i="13"/>
  <c r="Q187" i="13"/>
  <c r="U187" i="13"/>
  <c r="Y187" i="13"/>
  <c r="AC187" i="13"/>
  <c r="AG187" i="13"/>
  <c r="AK187" i="13"/>
  <c r="AO187" i="13"/>
  <c r="AS187" i="13"/>
  <c r="AW187" i="13"/>
  <c r="BA187" i="13"/>
  <c r="C188" i="13"/>
  <c r="B188" i="13" s="1"/>
  <c r="A188" i="13" s="1"/>
  <c r="D188" i="13" l="1"/>
  <c r="H188" i="13"/>
  <c r="L188" i="13"/>
  <c r="P188" i="13"/>
  <c r="T188" i="13"/>
  <c r="X188" i="13"/>
  <c r="AB188" i="13"/>
  <c r="AF188" i="13"/>
  <c r="AJ188" i="13"/>
  <c r="AN188" i="13"/>
  <c r="AR188" i="13"/>
  <c r="AV188" i="13"/>
  <c r="AZ188" i="13"/>
  <c r="E188" i="13"/>
  <c r="I188" i="13"/>
  <c r="M188" i="13"/>
  <c r="Q188" i="13"/>
  <c r="U188" i="13"/>
  <c r="Y188" i="13"/>
  <c r="AC188" i="13"/>
  <c r="AG188" i="13"/>
  <c r="AK188" i="13"/>
  <c r="AO188" i="13"/>
  <c r="AS188" i="13"/>
  <c r="AW188" i="13"/>
  <c r="BA188" i="13"/>
  <c r="F188" i="13"/>
  <c r="J188" i="13"/>
  <c r="N188" i="13"/>
  <c r="R188" i="13"/>
  <c r="V188" i="13"/>
  <c r="Z188" i="13"/>
  <c r="AD188" i="13"/>
  <c r="AH188" i="13"/>
  <c r="AL188" i="13"/>
  <c r="AP188" i="13"/>
  <c r="AT188" i="13"/>
  <c r="AX188" i="13"/>
  <c r="G188" i="13"/>
  <c r="K188" i="13"/>
  <c r="O188" i="13"/>
  <c r="S188" i="13"/>
  <c r="W188" i="13"/>
  <c r="AA188" i="13"/>
  <c r="AE188" i="13"/>
  <c r="AI188" i="13"/>
  <c r="AM188" i="13"/>
  <c r="AQ188" i="13"/>
  <c r="AU188" i="13"/>
  <c r="AY188" i="13"/>
  <c r="C189" i="13"/>
  <c r="B189" i="13" s="1"/>
  <c r="A189" i="13" s="1"/>
  <c r="F189" i="13" l="1"/>
  <c r="J189" i="13"/>
  <c r="N189" i="13"/>
  <c r="R189" i="13"/>
  <c r="V189" i="13"/>
  <c r="Z189" i="13"/>
  <c r="AD189" i="13"/>
  <c r="AH189" i="13"/>
  <c r="AL189" i="13"/>
  <c r="AP189" i="13"/>
  <c r="AT189" i="13"/>
  <c r="AX189" i="13"/>
  <c r="G189" i="13"/>
  <c r="K189" i="13"/>
  <c r="O189" i="13"/>
  <c r="S189" i="13"/>
  <c r="W189" i="13"/>
  <c r="AA189" i="13"/>
  <c r="AE189" i="13"/>
  <c r="AI189" i="13"/>
  <c r="AM189" i="13"/>
  <c r="AQ189" i="13"/>
  <c r="AU189" i="13"/>
  <c r="AY189" i="13"/>
  <c r="D189" i="13"/>
  <c r="H189" i="13"/>
  <c r="L189" i="13"/>
  <c r="P189" i="13"/>
  <c r="T189" i="13"/>
  <c r="X189" i="13"/>
  <c r="AB189" i="13"/>
  <c r="AF189" i="13"/>
  <c r="AJ189" i="13"/>
  <c r="AN189" i="13"/>
  <c r="AR189" i="13"/>
  <c r="AV189" i="13"/>
  <c r="AZ189" i="13"/>
  <c r="E189" i="13"/>
  <c r="I189" i="13"/>
  <c r="M189" i="13"/>
  <c r="Q189" i="13"/>
  <c r="U189" i="13"/>
  <c r="Y189" i="13"/>
  <c r="AC189" i="13"/>
  <c r="AG189" i="13"/>
  <c r="AK189" i="13"/>
  <c r="AO189" i="13"/>
  <c r="AS189" i="13"/>
  <c r="AW189" i="13"/>
  <c r="BA189" i="13"/>
  <c r="C190" i="13"/>
  <c r="B190" i="13" s="1"/>
  <c r="A190" i="13" s="1"/>
  <c r="D190" i="13" l="1"/>
  <c r="H190" i="13"/>
  <c r="L190" i="13"/>
  <c r="P190" i="13"/>
  <c r="T190" i="13"/>
  <c r="X190" i="13"/>
  <c r="AB190" i="13"/>
  <c r="AF190" i="13"/>
  <c r="AJ190" i="13"/>
  <c r="AN190" i="13"/>
  <c r="AR190" i="13"/>
  <c r="AV190" i="13"/>
  <c r="AZ190" i="13"/>
  <c r="E190" i="13"/>
  <c r="I190" i="13"/>
  <c r="M190" i="13"/>
  <c r="Q190" i="13"/>
  <c r="U190" i="13"/>
  <c r="Y190" i="13"/>
  <c r="AC190" i="13"/>
  <c r="AG190" i="13"/>
  <c r="AK190" i="13"/>
  <c r="AO190" i="13"/>
  <c r="AS190" i="13"/>
  <c r="AW190" i="13"/>
  <c r="BA190" i="13"/>
  <c r="F190" i="13"/>
  <c r="J190" i="13"/>
  <c r="N190" i="13"/>
  <c r="R190" i="13"/>
  <c r="V190" i="13"/>
  <c r="Z190" i="13"/>
  <c r="AD190" i="13"/>
  <c r="AH190" i="13"/>
  <c r="AL190" i="13"/>
  <c r="AP190" i="13"/>
  <c r="AT190" i="13"/>
  <c r="AX190" i="13"/>
  <c r="G190" i="13"/>
  <c r="K190" i="13"/>
  <c r="O190" i="13"/>
  <c r="S190" i="13"/>
  <c r="W190" i="13"/>
  <c r="AA190" i="13"/>
  <c r="AE190" i="13"/>
  <c r="AI190" i="13"/>
  <c r="AM190" i="13"/>
  <c r="AQ190" i="13"/>
  <c r="AU190" i="13"/>
  <c r="AY190" i="13"/>
  <c r="C191" i="13"/>
  <c r="B191" i="13" s="1"/>
  <c r="A191" i="13" s="1"/>
  <c r="F191" i="13" l="1"/>
  <c r="J191" i="13"/>
  <c r="N191" i="13"/>
  <c r="R191" i="13"/>
  <c r="V191" i="13"/>
  <c r="Z191" i="13"/>
  <c r="AD191" i="13"/>
  <c r="AH191" i="13"/>
  <c r="AL191" i="13"/>
  <c r="AP191" i="13"/>
  <c r="AT191" i="13"/>
  <c r="AX191" i="13"/>
  <c r="G191" i="13"/>
  <c r="K191" i="13"/>
  <c r="O191" i="13"/>
  <c r="S191" i="13"/>
  <c r="W191" i="13"/>
  <c r="AA191" i="13"/>
  <c r="AE191" i="13"/>
  <c r="AI191" i="13"/>
  <c r="AM191" i="13"/>
  <c r="AQ191" i="13"/>
  <c r="AU191" i="13"/>
  <c r="AY191" i="13"/>
  <c r="D191" i="13"/>
  <c r="H191" i="13"/>
  <c r="L191" i="13"/>
  <c r="P191" i="13"/>
  <c r="T191" i="13"/>
  <c r="X191" i="13"/>
  <c r="AB191" i="13"/>
  <c r="AF191" i="13"/>
  <c r="AJ191" i="13"/>
  <c r="AN191" i="13"/>
  <c r="AR191" i="13"/>
  <c r="AV191" i="13"/>
  <c r="AZ191" i="13"/>
  <c r="E191" i="13"/>
  <c r="I191" i="13"/>
  <c r="M191" i="13"/>
  <c r="Q191" i="13"/>
  <c r="U191" i="13"/>
  <c r="Y191" i="13"/>
  <c r="AC191" i="13"/>
  <c r="AG191" i="13"/>
  <c r="AK191" i="13"/>
  <c r="AO191" i="13"/>
  <c r="AS191" i="13"/>
  <c r="AW191" i="13"/>
  <c r="BA191" i="13"/>
  <c r="C192" i="13"/>
  <c r="B192" i="13" s="1"/>
  <c r="A192" i="13" s="1"/>
  <c r="D192" i="13" l="1"/>
  <c r="H192" i="13"/>
  <c r="L192" i="13"/>
  <c r="P192" i="13"/>
  <c r="T192" i="13"/>
  <c r="X192" i="13"/>
  <c r="AB192" i="13"/>
  <c r="AF192" i="13"/>
  <c r="AJ192" i="13"/>
  <c r="AN192" i="13"/>
  <c r="AR192" i="13"/>
  <c r="AV192" i="13"/>
  <c r="AZ192" i="13"/>
  <c r="E192" i="13"/>
  <c r="I192" i="13"/>
  <c r="M192" i="13"/>
  <c r="Q192" i="13"/>
  <c r="U192" i="13"/>
  <c r="Y192" i="13"/>
  <c r="AC192" i="13"/>
  <c r="AG192" i="13"/>
  <c r="AK192" i="13"/>
  <c r="AO192" i="13"/>
  <c r="AS192" i="13"/>
  <c r="AW192" i="13"/>
  <c r="BA192" i="13"/>
  <c r="F192" i="13"/>
  <c r="J192" i="13"/>
  <c r="N192" i="13"/>
  <c r="R192" i="13"/>
  <c r="V192" i="13"/>
  <c r="Z192" i="13"/>
  <c r="AD192" i="13"/>
  <c r="AH192" i="13"/>
  <c r="AL192" i="13"/>
  <c r="AP192" i="13"/>
  <c r="AT192" i="13"/>
  <c r="AX192" i="13"/>
  <c r="G192" i="13"/>
  <c r="K192" i="13"/>
  <c r="O192" i="13"/>
  <c r="S192" i="13"/>
  <c r="W192" i="13"/>
  <c r="AA192" i="13"/>
  <c r="AE192" i="13"/>
  <c r="AI192" i="13"/>
  <c r="AM192" i="13"/>
  <c r="AQ192" i="13"/>
  <c r="AU192" i="13"/>
  <c r="AY192" i="13"/>
  <c r="C193" i="13"/>
  <c r="B193" i="13" s="1"/>
  <c r="A193" i="13" s="1"/>
  <c r="F193" i="13" l="1"/>
  <c r="J193" i="13"/>
  <c r="N193" i="13"/>
  <c r="R193" i="13"/>
  <c r="V193" i="13"/>
  <c r="Z193" i="13"/>
  <c r="AD193" i="13"/>
  <c r="AH193" i="13"/>
  <c r="AL193" i="13"/>
  <c r="AP193" i="13"/>
  <c r="AT193" i="13"/>
  <c r="AX193" i="13"/>
  <c r="G193" i="13"/>
  <c r="K193" i="13"/>
  <c r="O193" i="13"/>
  <c r="S193" i="13"/>
  <c r="W193" i="13"/>
  <c r="AA193" i="13"/>
  <c r="AE193" i="13"/>
  <c r="AI193" i="13"/>
  <c r="AM193" i="13"/>
  <c r="AQ193" i="13"/>
  <c r="AU193" i="13"/>
  <c r="AY193" i="13"/>
  <c r="D193" i="13"/>
  <c r="H193" i="13"/>
  <c r="L193" i="13"/>
  <c r="P193" i="13"/>
  <c r="T193" i="13"/>
  <c r="X193" i="13"/>
  <c r="AB193" i="13"/>
  <c r="AF193" i="13"/>
  <c r="AJ193" i="13"/>
  <c r="AN193" i="13"/>
  <c r="AR193" i="13"/>
  <c r="AV193" i="13"/>
  <c r="AZ193" i="13"/>
  <c r="E193" i="13"/>
  <c r="I193" i="13"/>
  <c r="M193" i="13"/>
  <c r="Q193" i="13"/>
  <c r="U193" i="13"/>
  <c r="Y193" i="13"/>
  <c r="AC193" i="13"/>
  <c r="AG193" i="13"/>
  <c r="AK193" i="13"/>
  <c r="AO193" i="13"/>
  <c r="AS193" i="13"/>
  <c r="AW193" i="13"/>
  <c r="BA193" i="13"/>
  <c r="C194" i="13"/>
  <c r="B194" i="13" s="1"/>
  <c r="A194" i="13" s="1"/>
  <c r="D194" i="13" l="1"/>
  <c r="H194" i="13"/>
  <c r="L194" i="13"/>
  <c r="P194" i="13"/>
  <c r="T194" i="13"/>
  <c r="X194" i="13"/>
  <c r="AB194" i="13"/>
  <c r="AF194" i="13"/>
  <c r="AJ194" i="13"/>
  <c r="AN194" i="13"/>
  <c r="AR194" i="13"/>
  <c r="AV194" i="13"/>
  <c r="AZ194" i="13"/>
  <c r="E194" i="13"/>
  <c r="I194" i="13"/>
  <c r="M194" i="13"/>
  <c r="Q194" i="13"/>
  <c r="U194" i="13"/>
  <c r="Y194" i="13"/>
  <c r="AC194" i="13"/>
  <c r="AG194" i="13"/>
  <c r="AK194" i="13"/>
  <c r="AO194" i="13"/>
  <c r="AS194" i="13"/>
  <c r="AW194" i="13"/>
  <c r="BA194" i="13"/>
  <c r="F194" i="13"/>
  <c r="J194" i="13"/>
  <c r="N194" i="13"/>
  <c r="R194" i="13"/>
  <c r="V194" i="13"/>
  <c r="Z194" i="13"/>
  <c r="AD194" i="13"/>
  <c r="AH194" i="13"/>
  <c r="AL194" i="13"/>
  <c r="AP194" i="13"/>
  <c r="AT194" i="13"/>
  <c r="AX194" i="13"/>
  <c r="G194" i="13"/>
  <c r="K194" i="13"/>
  <c r="O194" i="13"/>
  <c r="S194" i="13"/>
  <c r="W194" i="13"/>
  <c r="AA194" i="13"/>
  <c r="AE194" i="13"/>
  <c r="AI194" i="13"/>
  <c r="AM194" i="13"/>
  <c r="AQ194" i="13"/>
  <c r="AU194" i="13"/>
  <c r="AY194" i="13"/>
  <c r="C195" i="13"/>
  <c r="B195" i="13" s="1"/>
  <c r="A195" i="13" s="1"/>
  <c r="F195" i="13" l="1"/>
  <c r="J195" i="13"/>
  <c r="N195" i="13"/>
  <c r="R195" i="13"/>
  <c r="V195" i="13"/>
  <c r="Z195" i="13"/>
  <c r="AD195" i="13"/>
  <c r="AH195" i="13"/>
  <c r="AL195" i="13"/>
  <c r="AP195" i="13"/>
  <c r="AT195" i="13"/>
  <c r="AX195" i="13"/>
  <c r="G195" i="13"/>
  <c r="K195" i="13"/>
  <c r="O195" i="13"/>
  <c r="S195" i="13"/>
  <c r="W195" i="13"/>
  <c r="AA195" i="13"/>
  <c r="AE195" i="13"/>
  <c r="AI195" i="13"/>
  <c r="AM195" i="13"/>
  <c r="AQ195" i="13"/>
  <c r="AU195" i="13"/>
  <c r="AY195" i="13"/>
  <c r="D195" i="13"/>
  <c r="H195" i="13"/>
  <c r="L195" i="13"/>
  <c r="P195" i="13"/>
  <c r="T195" i="13"/>
  <c r="X195" i="13"/>
  <c r="AB195" i="13"/>
  <c r="AF195" i="13"/>
  <c r="AJ195" i="13"/>
  <c r="AN195" i="13"/>
  <c r="AR195" i="13"/>
  <c r="AV195" i="13"/>
  <c r="AZ195" i="13"/>
  <c r="E195" i="13"/>
  <c r="I195" i="13"/>
  <c r="M195" i="13"/>
  <c r="Q195" i="13"/>
  <c r="U195" i="13"/>
  <c r="Y195" i="13"/>
  <c r="AC195" i="13"/>
  <c r="AG195" i="13"/>
  <c r="AK195" i="13"/>
  <c r="AO195" i="13"/>
  <c r="AS195" i="13"/>
  <c r="AW195" i="13"/>
  <c r="BA195" i="13"/>
  <c r="C196" i="13"/>
  <c r="B196" i="13" s="1"/>
  <c r="A196" i="13" s="1"/>
  <c r="D196" i="13" l="1"/>
  <c r="H196" i="13"/>
  <c r="L196" i="13"/>
  <c r="P196" i="13"/>
  <c r="T196" i="13"/>
  <c r="X196" i="13"/>
  <c r="AB196" i="13"/>
  <c r="AF196" i="13"/>
  <c r="AJ196" i="13"/>
  <c r="AN196" i="13"/>
  <c r="AR196" i="13"/>
  <c r="AV196" i="13"/>
  <c r="AZ196" i="13"/>
  <c r="E196" i="13"/>
  <c r="I196" i="13"/>
  <c r="M196" i="13"/>
  <c r="Q196" i="13"/>
  <c r="U196" i="13"/>
  <c r="Y196" i="13"/>
  <c r="AC196" i="13"/>
  <c r="AG196" i="13"/>
  <c r="AK196" i="13"/>
  <c r="AO196" i="13"/>
  <c r="AS196" i="13"/>
  <c r="AW196" i="13"/>
  <c r="BA196" i="13"/>
  <c r="F196" i="13"/>
  <c r="J196" i="13"/>
  <c r="N196" i="13"/>
  <c r="R196" i="13"/>
  <c r="V196" i="13"/>
  <c r="Z196" i="13"/>
  <c r="AD196" i="13"/>
  <c r="AH196" i="13"/>
  <c r="AL196" i="13"/>
  <c r="AP196" i="13"/>
  <c r="AT196" i="13"/>
  <c r="AX196" i="13"/>
  <c r="G196" i="13"/>
  <c r="K196" i="13"/>
  <c r="O196" i="13"/>
  <c r="S196" i="13"/>
  <c r="W196" i="13"/>
  <c r="AA196" i="13"/>
  <c r="AE196" i="13"/>
  <c r="AI196" i="13"/>
  <c r="AM196" i="13"/>
  <c r="AQ196" i="13"/>
  <c r="AU196" i="13"/>
  <c r="AY196" i="13"/>
  <c r="C197" i="13"/>
  <c r="B197" i="13" s="1"/>
  <c r="A197" i="13" s="1"/>
  <c r="F197" i="13" l="1"/>
  <c r="J197" i="13"/>
  <c r="N197" i="13"/>
  <c r="R197" i="13"/>
  <c r="V197" i="13"/>
  <c r="Z197" i="13"/>
  <c r="AD197" i="13"/>
  <c r="AH197" i="13"/>
  <c r="AL197" i="13"/>
  <c r="AP197" i="13"/>
  <c r="AT197" i="13"/>
  <c r="AX197" i="13"/>
  <c r="G197" i="13"/>
  <c r="K197" i="13"/>
  <c r="O197" i="13"/>
  <c r="S197" i="13"/>
  <c r="W197" i="13"/>
  <c r="AA197" i="13"/>
  <c r="AE197" i="13"/>
  <c r="AI197" i="13"/>
  <c r="AM197" i="13"/>
  <c r="AQ197" i="13"/>
  <c r="AU197" i="13"/>
  <c r="AY197" i="13"/>
  <c r="D197" i="13"/>
  <c r="H197" i="13"/>
  <c r="L197" i="13"/>
  <c r="P197" i="13"/>
  <c r="T197" i="13"/>
  <c r="X197" i="13"/>
  <c r="AB197" i="13"/>
  <c r="AF197" i="13"/>
  <c r="AJ197" i="13"/>
  <c r="AN197" i="13"/>
  <c r="AR197" i="13"/>
  <c r="AV197" i="13"/>
  <c r="AZ197" i="13"/>
  <c r="E197" i="13"/>
  <c r="I197" i="13"/>
  <c r="M197" i="13"/>
  <c r="Q197" i="13"/>
  <c r="U197" i="13"/>
  <c r="Y197" i="13"/>
  <c r="AC197" i="13"/>
  <c r="AG197" i="13"/>
  <c r="AK197" i="13"/>
  <c r="AO197" i="13"/>
  <c r="AS197" i="13"/>
  <c r="AW197" i="13"/>
  <c r="BA197" i="13"/>
  <c r="C198" i="13"/>
  <c r="B198" i="13" s="1"/>
  <c r="A198" i="13" s="1"/>
  <c r="D198" i="13" l="1"/>
  <c r="H198" i="13"/>
  <c r="L198" i="13"/>
  <c r="P198" i="13"/>
  <c r="T198" i="13"/>
  <c r="X198" i="13"/>
  <c r="AB198" i="13"/>
  <c r="AF198" i="13"/>
  <c r="AJ198" i="13"/>
  <c r="AN198" i="13"/>
  <c r="AR198" i="13"/>
  <c r="AV198" i="13"/>
  <c r="AZ198" i="13"/>
  <c r="E198" i="13"/>
  <c r="I198" i="13"/>
  <c r="M198" i="13"/>
  <c r="Q198" i="13"/>
  <c r="U198" i="13"/>
  <c r="Y198" i="13"/>
  <c r="AC198" i="13"/>
  <c r="AG198" i="13"/>
  <c r="AK198" i="13"/>
  <c r="AO198" i="13"/>
  <c r="AS198" i="13"/>
  <c r="AW198" i="13"/>
  <c r="BA198" i="13"/>
  <c r="F198" i="13"/>
  <c r="J198" i="13"/>
  <c r="N198" i="13"/>
  <c r="R198" i="13"/>
  <c r="V198" i="13"/>
  <c r="Z198" i="13"/>
  <c r="AD198" i="13"/>
  <c r="AH198" i="13"/>
  <c r="AL198" i="13"/>
  <c r="AP198" i="13"/>
  <c r="AT198" i="13"/>
  <c r="AX198" i="13"/>
  <c r="G198" i="13"/>
  <c r="K198" i="13"/>
  <c r="O198" i="13"/>
  <c r="S198" i="13"/>
  <c r="W198" i="13"/>
  <c r="AA198" i="13"/>
  <c r="AE198" i="13"/>
  <c r="AI198" i="13"/>
  <c r="AM198" i="13"/>
  <c r="AQ198" i="13"/>
  <c r="AU198" i="13"/>
  <c r="AY198" i="13"/>
  <c r="C199" i="13"/>
  <c r="B199" i="13" s="1"/>
  <c r="A199" i="13" s="1"/>
  <c r="F199" i="13" l="1"/>
  <c r="J199" i="13"/>
  <c r="N199" i="13"/>
  <c r="R199" i="13"/>
  <c r="V199" i="13"/>
  <c r="Z199" i="13"/>
  <c r="AD199" i="13"/>
  <c r="AH199" i="13"/>
  <c r="AL199" i="13"/>
  <c r="AP199" i="13"/>
  <c r="AT199" i="13"/>
  <c r="AX199" i="13"/>
  <c r="G199" i="13"/>
  <c r="K199" i="13"/>
  <c r="O199" i="13"/>
  <c r="S199" i="13"/>
  <c r="W199" i="13"/>
  <c r="AA199" i="13"/>
  <c r="AE199" i="13"/>
  <c r="AI199" i="13"/>
  <c r="AM199" i="13"/>
  <c r="AQ199" i="13"/>
  <c r="AU199" i="13"/>
  <c r="AY199" i="13"/>
  <c r="D199" i="13"/>
  <c r="H199" i="13"/>
  <c r="L199" i="13"/>
  <c r="P199" i="13"/>
  <c r="T199" i="13"/>
  <c r="X199" i="13"/>
  <c r="AB199" i="13"/>
  <c r="AF199" i="13"/>
  <c r="AJ199" i="13"/>
  <c r="AN199" i="13"/>
  <c r="AR199" i="13"/>
  <c r="AV199" i="13"/>
  <c r="AZ199" i="13"/>
  <c r="E199" i="13"/>
  <c r="I199" i="13"/>
  <c r="M199" i="13"/>
  <c r="Q199" i="13"/>
  <c r="U199" i="13"/>
  <c r="Y199" i="13"/>
  <c r="AC199" i="13"/>
  <c r="AG199" i="13"/>
  <c r="AK199" i="13"/>
  <c r="AO199" i="13"/>
  <c r="AS199" i="13"/>
  <c r="AW199" i="13"/>
  <c r="BA199" i="13"/>
</calcChain>
</file>

<file path=xl/sharedStrings.xml><?xml version="1.0" encoding="utf-8"?>
<sst xmlns="http://schemas.openxmlformats.org/spreadsheetml/2006/main" count="105" uniqueCount="85">
  <si>
    <t>記号</t>
    <rPh sb="0" eb="2">
      <t>キゴ</t>
    </rPh>
    <phoneticPr fontId="1"/>
  </si>
  <si>
    <t>役職名</t>
    <rPh sb="0" eb="2">
      <t>ヤクショク</t>
    </rPh>
    <phoneticPr fontId="1"/>
  </si>
  <si>
    <t>氏名</t>
    <rPh sb="0" eb="2">
      <t>シメ</t>
    </rPh>
    <phoneticPr fontId="1"/>
  </si>
  <si>
    <t>No.</t>
    <phoneticPr fontId="1"/>
  </si>
  <si>
    <t>時間帯名</t>
    <rPh sb="0" eb="2">
      <t>ジカンタ</t>
    </rPh>
    <phoneticPr fontId="1"/>
  </si>
  <si>
    <t>オレンジ</t>
    <phoneticPr fontId="1"/>
  </si>
  <si>
    <t>赤</t>
    <rPh sb="0" eb="1">
      <t>アk</t>
    </rPh>
    <phoneticPr fontId="1"/>
  </si>
  <si>
    <t>色</t>
    <rPh sb="0" eb="1">
      <t>イロ</t>
    </rPh>
    <phoneticPr fontId="1"/>
  </si>
  <si>
    <t>所属</t>
    <rPh sb="0" eb="2">
      <t>ショゾk</t>
    </rPh>
    <phoneticPr fontId="1"/>
  </si>
  <si>
    <t>第1希望</t>
    <rPh sb="0" eb="1">
      <t>ダイ</t>
    </rPh>
    <phoneticPr fontId="1"/>
  </si>
  <si>
    <t>第2希望</t>
    <rPh sb="0" eb="1">
      <t>ダイ</t>
    </rPh>
    <phoneticPr fontId="1"/>
  </si>
  <si>
    <t>第3希望</t>
    <rPh sb="0" eb="1">
      <t>ダイ</t>
    </rPh>
    <phoneticPr fontId="1"/>
  </si>
  <si>
    <t>第4希望</t>
    <rPh sb="0" eb="1">
      <t>ダイ</t>
    </rPh>
    <phoneticPr fontId="1"/>
  </si>
  <si>
    <t>第5希望</t>
    <rPh sb="0" eb="1">
      <t>ダイ</t>
    </rPh>
    <phoneticPr fontId="1"/>
  </si>
  <si>
    <t>役職</t>
    <rPh sb="0" eb="2">
      <t>ヤk</t>
    </rPh>
    <phoneticPr fontId="1"/>
  </si>
  <si>
    <t>オレンジ</t>
  </si>
  <si>
    <t>黄色</t>
    <rPh sb="0" eb="2">
      <t>キイr</t>
    </rPh>
    <phoneticPr fontId="1"/>
  </si>
  <si>
    <t>緑</t>
    <rPh sb="0" eb="1">
      <t>ミドr</t>
    </rPh>
    <phoneticPr fontId="1"/>
  </si>
  <si>
    <t>青</t>
  </si>
  <si>
    <t>青</t>
    <rPh sb="0" eb="1">
      <t>ア</t>
    </rPh>
    <phoneticPr fontId="1"/>
  </si>
  <si>
    <t>紫</t>
    <rPh sb="0" eb="1">
      <t>ムラサk</t>
    </rPh>
    <phoneticPr fontId="1"/>
  </si>
  <si>
    <t>定員</t>
    <rPh sb="0" eb="2">
      <t>テイイn</t>
    </rPh>
    <phoneticPr fontId="1"/>
  </si>
  <si>
    <t>色分け書式</t>
    <rPh sb="0" eb="2">
      <t>イロワk</t>
    </rPh>
    <phoneticPr fontId="1"/>
  </si>
  <si>
    <t>コマ数</t>
    <phoneticPr fontId="1"/>
  </si>
  <si>
    <t>役職数</t>
    <rPh sb="0" eb="2">
      <t>ヤクショク</t>
    </rPh>
    <phoneticPr fontId="1"/>
  </si>
  <si>
    <t>希望役職数</t>
    <rPh sb="0" eb="2">
      <t>キボ</t>
    </rPh>
    <phoneticPr fontId="1"/>
  </si>
  <si>
    <t>時間帯数</t>
    <rPh sb="0" eb="2">
      <t>ジカンタ</t>
    </rPh>
    <phoneticPr fontId="1"/>
  </si>
  <si>
    <t>色数</t>
    <rPh sb="0" eb="2">
      <t>イロk</t>
    </rPh>
    <phoneticPr fontId="1"/>
  </si>
  <si>
    <t>第1</t>
    <rPh sb="0" eb="1">
      <t>ダイ</t>
    </rPh>
    <phoneticPr fontId="1"/>
  </si>
  <si>
    <t>第2</t>
    <rPh sb="0" eb="1">
      <t>ダイ</t>
    </rPh>
    <phoneticPr fontId="1"/>
  </si>
  <si>
    <t>第3</t>
    <rPh sb="0" eb="1">
      <t>ダイ</t>
    </rPh>
    <phoneticPr fontId="1"/>
  </si>
  <si>
    <t>第4</t>
    <rPh sb="0" eb="1">
      <t>ダイ</t>
    </rPh>
    <phoneticPr fontId="1"/>
  </si>
  <si>
    <t>第5</t>
    <rPh sb="0" eb="1">
      <t>ダイ</t>
    </rPh>
    <phoneticPr fontId="1"/>
  </si>
  <si>
    <t>Shiftterはシフト組みを効率化するためのツールです。</t>
    <phoneticPr fontId="1"/>
  </si>
  <si>
    <t>1.まず、シフトを組む時間帯(コマ)を「時間帯一覧」に入力します。</t>
    <rPh sb="0" eb="1">
      <t>j</t>
    </rPh>
    <phoneticPr fontId="1"/>
  </si>
  <si>
    <t>手順</t>
    <rPh sb="0" eb="2">
      <t>テジュn</t>
    </rPh>
    <phoneticPr fontId="1"/>
  </si>
  <si>
    <t>基本的に灰色のセルはロックがかかっていて文字が入力できません。白のマスに文字を入力して行くことになります。</t>
    <rPh sb="0" eb="2">
      <t>キホンテキ</t>
    </rPh>
    <phoneticPr fontId="1"/>
  </si>
  <si>
    <t>3.次に、「時間希望調査」の右3行に名簿を入力します。「No」「所属」は単にわかりやすくするものなので特にソフト上の決まりはありません。</t>
    <rPh sb="0" eb="1">
      <t>ツg</t>
    </rPh>
    <phoneticPr fontId="1"/>
  </si>
  <si>
    <t>6.これで情報は揃いました。シフト組みの作業に入ります。「シフト組み」のシートを使います。</t>
    <rPh sb="0" eb="2">
      <t>ジョウホ</t>
    </rPh>
    <phoneticPr fontId="1"/>
  </si>
  <si>
    <t>4.その後に「時間希望調査」にシフトに入ってもいい時間を調査したものを入力します。「o(オー)」「?」「x(エックス)」で入力してください。リストから選択もできます。「x」のマスは黒く塗りつぶされます。</t>
    <rPh sb="0" eb="1">
      <t>ツg</t>
    </rPh>
    <phoneticPr fontId="1"/>
  </si>
  <si>
    <t>2.次に、シフトを組まなければいけない役職を「役職一覧」に入力します。「記号」はこれから作業して行く際に用いるもので、短ければ作業を効率化できます。「色」は表などに表示される色です(リストから洗濯してください)。「人数」にはコマごとに必要な人数を入れてください。</t>
    <rPh sb="0" eb="1">
      <t>ツg</t>
    </rPh>
    <phoneticPr fontId="1"/>
  </si>
  <si>
    <t>8.次に、表の白い部分に役職を記号で入力して行きます。時間帯希望調査が「x」のマスは黒塗りになっていて、「?」のマスは灰色になっています。上にはコマごとに役職についている人数が表示されます。また、右には人ごとに入っているコマの数が役職別/合計で表示されます。</t>
    <rPh sb="0" eb="1">
      <t>ツg</t>
    </rPh>
    <phoneticPr fontId="1"/>
  </si>
  <si>
    <t>このファイルについて(上級者向け)</t>
    <rPh sb="0" eb="1">
      <t>ジョ</t>
    </rPh>
    <phoneticPr fontId="1"/>
  </si>
  <si>
    <t>このファイルは基本的に関数と条件付き書式、入力規則で構成されています。ボタンを押した時の処理はマクロを用いていますが、マクロイベントは用いていません(undoができなくなるため)。</t>
    <rPh sb="0" eb="2">
      <t>キホンt</t>
    </rPh>
    <phoneticPr fontId="1"/>
  </si>
  <si>
    <t>注意事項</t>
    <rPh sb="0" eb="2">
      <t>チュ</t>
    </rPh>
    <phoneticPr fontId="1"/>
  </si>
  <si>
    <t>・ボタン操作をすると操作履歴が消え、「元に戻す」ができなくなります。気をつけてください。(Excelの仕様)</t>
    <rPh sb="0" eb="1">
      <t>ブt</t>
    </rPh>
    <phoneticPr fontId="1"/>
  </si>
  <si>
    <t>また、シートの保護をかけていますが、パスワードはかけていません。</t>
    <rPh sb="0" eb="2">
      <t>シートノホゴw</t>
    </rPh>
    <phoneticPr fontId="1"/>
  </si>
  <si>
    <t>5.あと、各人がやりたい役職の希望を「役職希望調査」に入力してください。これはなくても構いません。各役職に関して、希望した人数は「役職一覧」で見ることができます。</t>
    <rPh sb="0" eb="2">
      <t>ドウj</t>
    </rPh>
    <phoneticPr fontId="1"/>
  </si>
  <si>
    <t>仕様</t>
    <rPh sb="0" eb="2">
      <t>シヨ</t>
    </rPh>
    <phoneticPr fontId="1"/>
  </si>
  <si>
    <t>注意事項</t>
  </si>
  <si>
    <t>・ボタン操作をすると操作履歴が消え、「元に戻す」ができなくなります。気をつけてください。(Excelの仕様)</t>
  </si>
  <si>
    <t>7.まず、役職や時間帯の枠をmaxまでは使い切ってないと思うので、使ってない行/列を非表示にします。「コマンド」の「非表示行更新」を押してください。</t>
    <rPh sb="0" eb="2">
      <t>ヤクsh</t>
    </rPh>
    <phoneticPr fontId="1"/>
  </si>
  <si>
    <t>Shiftter ver.1.0.0</t>
    <phoneticPr fontId="1"/>
  </si>
  <si>
    <t>備考</t>
    <rPh sb="0" eb="2">
      <t>ビコ</t>
    </rPh>
    <phoneticPr fontId="1"/>
  </si>
  <si>
    <t>No</t>
    <phoneticPr fontId="1"/>
  </si>
  <si>
    <t>x</t>
    <phoneticPr fontId="1"/>
  </si>
  <si>
    <t>o</t>
    <phoneticPr fontId="1"/>
  </si>
  <si>
    <t>10:00</t>
    <phoneticPr fontId="1"/>
  </si>
  <si>
    <t>10:30</t>
    <phoneticPr fontId="1"/>
  </si>
  <si>
    <t>11:00</t>
    <phoneticPr fontId="1"/>
  </si>
  <si>
    <t>11:30</t>
    <phoneticPr fontId="1"/>
  </si>
  <si>
    <t>12:00</t>
    <phoneticPr fontId="1"/>
  </si>
  <si>
    <t>12:30</t>
    <phoneticPr fontId="1"/>
  </si>
  <si>
    <t>13:00</t>
    <phoneticPr fontId="1"/>
  </si>
  <si>
    <t>13:30</t>
    <phoneticPr fontId="1"/>
  </si>
  <si>
    <t>14:00</t>
    <phoneticPr fontId="1"/>
  </si>
  <si>
    <t>A</t>
    <phoneticPr fontId="1"/>
  </si>
  <si>
    <t>あ</t>
    <phoneticPr fontId="1"/>
  </si>
  <si>
    <t>B</t>
    <phoneticPr fontId="1"/>
  </si>
  <si>
    <t>い</t>
    <phoneticPr fontId="1"/>
  </si>
  <si>
    <t>黄色</t>
  </si>
  <si>
    <t>C</t>
    <phoneticPr fontId="1"/>
  </si>
  <si>
    <t>う</t>
    <phoneticPr fontId="1"/>
  </si>
  <si>
    <t>緑</t>
  </si>
  <si>
    <t>D</t>
    <phoneticPr fontId="1"/>
  </si>
  <si>
    <t>え</t>
    <phoneticPr fontId="1"/>
  </si>
  <si>
    <t>E</t>
    <phoneticPr fontId="1"/>
  </si>
  <si>
    <t>お</t>
    <phoneticPr fontId="1"/>
  </si>
  <si>
    <t>F</t>
    <phoneticPr fontId="1"/>
  </si>
  <si>
    <t>ka</t>
    <phoneticPr fontId="1"/>
  </si>
  <si>
    <t>キズナアイ</t>
    <rPh sb="0" eb="2">
      <t>キズn</t>
    </rPh>
    <phoneticPr fontId="1"/>
  </si>
  <si>
    <t>?</t>
  </si>
  <si>
    <t>輝夜月</t>
    <rPh sb="0" eb="2">
      <t>カグy</t>
    </rPh>
    <phoneticPr fontId="1"/>
  </si>
  <si>
    <t>ときのそら</t>
    <rPh sb="0" eb="1">
      <t>トキn</t>
    </rPh>
    <phoneticPr fontId="1"/>
  </si>
  <si>
    <t>はじめしゃちょー</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</si>
</sst>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font>
      <sz val="12"/>
      <color theme="1"/>
      <name val="游ゴシック"/>
      <family val="2"/>
      <charset val="128"/>
      <scheme val="minor"/>
    </font>
    <font>
      <sz val="6"/>
      <name val="游ゴシック"/>
      <family val="2"/>
      <charset val="128"/>
      <scheme val="minor"/>
    </font>
    <font>
      <sz val="14"/>
      <color rgb="FFFF0000"/>
      <name val="游ゴシック"/>
      <family val="3"/>
      <charset val="128"/>
      <scheme val="minor"/>
    </font>
    <font>
      <sz val="12"/>
      <color rgb="FF000000"/>
      <name val="Yu Gothic"/>
      <family val="3"/>
      <charset val="128"/>
    </font>
    <font>
      <sz val="12"/>
      <color rgb="FF000000"/>
      <name val="游ゴシック"/>
      <family val="3"/>
      <charset val="128"/>
    </font>
  </fonts>
  <fills count="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FF00"/>
        <bgColor rgb="FF000000"/>
      </patternFill>
    </fill>
    <fill>
      <patternFill patternType="solid">
        <fgColor theme="0"/>
        <bgColor indexed="64"/>
      </patternFill>
    </fill>
    <fill>
      <patternFill patternType="solid">
        <fgColor theme="0" tint="-0.14996795556505021"/>
        <bgColor indexed="64"/>
      </patternFill>
    </fill>
  </fills>
  <borders count="1">
    <border>
      <left/>
      <right/>
      <top/>
      <bottom/>
      <diagonal/>
    </border>
  </borders>
  <cellStyleXfs count="1">
    <xf numFmtId="0" fontId="0" fillId="0" borderId="0">
      <alignment vertical="center"/>
    </xf>
  </cellStyleXfs>
  <cellXfs count="19">
    <xf numFmtId="0" fontId="0" fillId="0" borderId="0" xfId="0">
      <alignment vertical="center"/>
    </xf>
    <xf numFmtId="0" fontId="0" fillId="2" borderId="0" xfId="0" applyFill="1">
      <alignment vertical="center"/>
    </xf>
    <xf numFmtId="0" fontId="0" fillId="0" borderId="0" xfId="0" applyFill="1">
      <alignment vertical="center"/>
    </xf>
    <xf numFmtId="49" fontId="0" fillId="2" borderId="0" xfId="0" applyNumberFormat="1" applyFill="1">
      <alignment vertical="center"/>
    </xf>
    <xf numFmtId="0" fontId="0" fillId="0" borderId="0" xfId="0" applyFill="1" applyProtection="1">
      <alignment vertical="center"/>
      <protection locked="0"/>
    </xf>
    <xf numFmtId="0" fontId="0" fillId="2" borderId="0" xfId="0" applyFill="1" applyProtection="1">
      <alignment vertical="center"/>
    </xf>
    <xf numFmtId="49" fontId="0" fillId="0" borderId="0" xfId="0" applyNumberFormat="1" applyFill="1" applyProtection="1">
      <alignment vertical="center"/>
      <protection locked="0"/>
    </xf>
    <xf numFmtId="49" fontId="0" fillId="0" borderId="0" xfId="0" quotePrefix="1" applyNumberFormat="1" applyFill="1" applyProtection="1">
      <alignment vertical="center"/>
      <protection locked="0"/>
    </xf>
    <xf numFmtId="0" fontId="0" fillId="2" borderId="0" xfId="0" applyFill="1" applyAlignment="1">
      <alignment vertical="center" wrapText="1"/>
    </xf>
    <xf numFmtId="0" fontId="2" fillId="3" borderId="0" xfId="0" applyFont="1" applyFill="1" applyAlignment="1">
      <alignment vertical="center" wrapText="1"/>
    </xf>
    <xf numFmtId="0" fontId="0" fillId="2" borderId="0" xfId="0" applyFill="1" applyProtection="1">
      <alignment vertical="center"/>
      <protection hidden="1"/>
    </xf>
    <xf numFmtId="0" fontId="0" fillId="0" borderId="0" xfId="0" applyFill="1" applyProtection="1">
      <alignment vertical="center"/>
      <protection locked="0" hidden="1"/>
    </xf>
    <xf numFmtId="0" fontId="0" fillId="2" borderId="0" xfId="0" applyFill="1" applyProtection="1">
      <alignment vertical="center"/>
      <protection locked="0" hidden="1"/>
    </xf>
    <xf numFmtId="0" fontId="2" fillId="4" borderId="0" xfId="0" applyFont="1" applyFill="1" applyAlignment="1">
      <alignment vertical="center" wrapText="1"/>
    </xf>
    <xf numFmtId="0" fontId="0" fillId="5" borderId="0" xfId="0" applyFill="1" applyProtection="1">
      <alignment vertical="center"/>
      <protection hidden="1"/>
    </xf>
    <xf numFmtId="0" fontId="0" fillId="0" borderId="0" xfId="0" applyNumberFormat="1" applyFont="1" applyFill="1" applyAlignment="1" applyProtection="1">
      <alignment vertical="center"/>
      <protection locked="0"/>
    </xf>
    <xf numFmtId="0" fontId="0" fillId="6" borderId="0" xfId="0" applyNumberFormat="1" applyFont="1" applyFill="1" applyAlignment="1" applyProtection="1">
      <alignment vertical="center"/>
    </xf>
    <xf numFmtId="0" fontId="0" fillId="0" borderId="0" xfId="0" applyFill="1" applyProtection="1">
      <alignment vertical="center"/>
    </xf>
    <xf numFmtId="0" fontId="0" fillId="2" borderId="0" xfId="0" applyFill="1" applyAlignment="1" applyProtection="1">
      <alignment horizontal="center" vertical="center"/>
      <protection hidden="1"/>
    </xf>
  </cellXfs>
  <cellStyles count="1">
    <cellStyle name="標準" xfId="0" builtinId="0"/>
  </cellStyles>
  <dxfs count="94">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ont>
        <b val="0"/>
        <i/>
        <strike/>
        <color auto="1"/>
      </font>
      <fill>
        <patternFill>
          <bgColor theme="0" tint="-0.499984740745262"/>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ont>
        <b/>
        <i val="0"/>
        <color theme="9"/>
      </font>
      <fill>
        <patternFill>
          <bgColor theme="1" tint="4.9989318521683403E-2"/>
        </patternFill>
      </fill>
    </dxf>
    <dxf>
      <font>
        <b val="0"/>
        <i/>
        <strike/>
        <color auto="1"/>
      </font>
      <fill>
        <patternFill>
          <bgColor theme="0" tint="-0.499984740745262"/>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ont>
        <b/>
        <i val="0"/>
        <color theme="9"/>
      </font>
      <fill>
        <patternFill>
          <bgColor theme="1" tint="4.9989318521683403E-2"/>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B0F0"/>
        </patternFill>
      </fill>
    </dxf>
    <dxf>
      <fill>
        <patternFill>
          <bgColor rgb="FF0070C0"/>
        </patternFill>
      </fill>
    </dxf>
    <dxf>
      <fill>
        <patternFill>
          <bgColor rgb="FF7030A0"/>
        </patternFill>
      </fill>
    </dxf>
    <dxf>
      <font>
        <color auto="1"/>
      </font>
      <fill>
        <patternFill patternType="solid">
          <bgColor theme="0" tint="-0.14996795556505021"/>
        </patternFill>
      </fill>
    </dxf>
    <dxf>
      <font>
        <b/>
        <i val="0"/>
        <color theme="9"/>
      </font>
      <fill>
        <patternFill>
          <fgColor auto="1"/>
          <bgColor theme="1"/>
        </patternFill>
      </fill>
    </dxf>
    <dxf>
      <font>
        <color rgb="FF0070C0"/>
      </font>
    </dxf>
    <dxf>
      <font>
        <b/>
        <i val="0"/>
        <color theme="9"/>
      </font>
    </dxf>
    <dxf>
      <font>
        <color rgb="FF0070C0"/>
      </font>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ont>
        <b val="0"/>
        <i/>
        <strike/>
      </font>
      <fill>
        <patternFill>
          <bgColor theme="0" tint="-0.499984740745262"/>
        </patternFill>
      </fill>
    </dxf>
    <dxf>
      <font>
        <b/>
        <i val="0"/>
        <color theme="9"/>
      </font>
      <fill>
        <patternFill>
          <bgColor theme="1"/>
        </patternFill>
      </fill>
    </dxf>
    <dxf>
      <font>
        <strike/>
      </font>
      <fill>
        <patternFill>
          <bgColor theme="0" tint="-0.499984740745262"/>
        </patternFill>
      </fill>
    </dxf>
    <dxf>
      <font>
        <b val="0"/>
        <i/>
        <strike/>
      </font>
      <fill>
        <patternFill>
          <bgColor theme="0" tint="-0.499984740745262"/>
        </patternFill>
      </fill>
    </dxf>
    <dxf>
      <font>
        <b/>
        <i val="0"/>
        <color theme="9"/>
      </font>
      <fill>
        <patternFill>
          <bgColor theme="1"/>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s>
  <tableStyles count="0" defaultTableStyle="TableStyleMedium2" defaultPivotStyle="PivotStyleLight16"/>
  <colors>
    <mruColors>
      <color rgb="FFFFD965"/>
      <color rgb="FFFFF690"/>
      <color rgb="FF95FF6C"/>
      <color rgb="FF7FCAFF"/>
      <color rgb="FF3EA23D"/>
      <color rgb="FFFFFF98"/>
      <color rgb="FFE1B9FF"/>
      <color rgb="FFFF4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5</xdr:row>
          <xdr:rowOff>0</xdr:rowOff>
        </xdr:from>
        <xdr:to>
          <xdr:col>1</xdr:col>
          <xdr:colOff>1371600</xdr:colOff>
          <xdr:row>6</xdr:row>
          <xdr:rowOff>127000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700-0000022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Yu Gothic" charset="-128"/>
                  <a:ea typeface="Yu Gothic" charset="-128"/>
                </a:rPr>
                <a:t>非表示行更新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1905000</xdr:colOff>
          <xdr:row>5</xdr:row>
          <xdr:rowOff>12700</xdr:rowOff>
        </xdr:from>
        <xdr:to>
          <xdr:col>1</xdr:col>
          <xdr:colOff>4165600</xdr:colOff>
          <xdr:row>6</xdr:row>
          <xdr:rowOff>139700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700-0000032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共有用ファイル書き出し</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スリップストリーム">
      <a:dk1>
        <a:sysClr val="windowText" lastClr="000000"/>
      </a:dk1>
      <a:lt1>
        <a:sysClr val="window" lastClr="FFFFFF"/>
      </a:lt1>
      <a:dk2>
        <a:srgbClr val="212745"/>
      </a:dk2>
      <a:lt2>
        <a:srgbClr val="B4DCFA"/>
      </a:lt2>
      <a:accent1>
        <a:srgbClr val="4E67C8"/>
      </a:accent1>
      <a:accent2>
        <a:srgbClr val="5ECCF3"/>
      </a:accent2>
      <a:accent3>
        <a:srgbClr val="A7EA52"/>
      </a:accent3>
      <a:accent4>
        <a:srgbClr val="5DCEAF"/>
      </a:accent4>
      <a:accent5>
        <a:srgbClr val="FF8021"/>
      </a:accent5>
      <a:accent6>
        <a:srgbClr val="F14124"/>
      </a:accent6>
      <a:hlink>
        <a:srgbClr val="56C7AA"/>
      </a:hlink>
      <a:folHlink>
        <a:srgbClr val="59A8D1"/>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D22FC-67AD-7241-A4B0-53E1B8269BB9}">
  <sheetPr codeName="readme"/>
  <dimension ref="A1:D23"/>
  <sheetViews>
    <sheetView tabSelected="1" workbookViewId="0">
      <selection activeCell="A16" sqref="A16"/>
    </sheetView>
  </sheetViews>
  <sheetFormatPr baseColWidth="10" defaultRowHeight="20"/>
  <cols>
    <col min="1" max="1" width="166.140625" style="8" customWidth="1"/>
    <col min="2" max="16384" width="10.7109375" style="1"/>
  </cols>
  <sheetData>
    <row r="1" spans="1:4" ht="21">
      <c r="A1" s="8" t="s">
        <v>52</v>
      </c>
      <c r="C1" s="1" t="s">
        <v>48</v>
      </c>
    </row>
    <row r="2" spans="1:4">
      <c r="C2" s="1" t="s">
        <v>24</v>
      </c>
      <c r="D2" s="1">
        <v>30</v>
      </c>
    </row>
    <row r="3" spans="1:4" ht="21">
      <c r="A3" s="8" t="s">
        <v>33</v>
      </c>
      <c r="C3" s="1" t="s">
        <v>25</v>
      </c>
      <c r="D3" s="1">
        <v>5</v>
      </c>
    </row>
    <row r="4" spans="1:4">
      <c r="C4" s="1" t="s">
        <v>26</v>
      </c>
      <c r="D4" s="1">
        <v>50</v>
      </c>
    </row>
    <row r="5" spans="1:4" ht="21">
      <c r="A5" s="8" t="s">
        <v>36</v>
      </c>
      <c r="C5" s="1" t="s">
        <v>27</v>
      </c>
      <c r="D5" s="1">
        <v>6</v>
      </c>
    </row>
    <row r="7" spans="1:4" ht="21">
      <c r="A7" s="8" t="s">
        <v>35</v>
      </c>
    </row>
    <row r="8" spans="1:4" ht="21">
      <c r="A8" s="8" t="s">
        <v>34</v>
      </c>
    </row>
    <row r="9" spans="1:4" ht="42">
      <c r="A9" s="8" t="s">
        <v>40</v>
      </c>
    </row>
    <row r="10" spans="1:4" ht="21">
      <c r="A10" s="8" t="s">
        <v>37</v>
      </c>
    </row>
    <row r="11" spans="1:4" ht="21">
      <c r="A11" s="8" t="s">
        <v>39</v>
      </c>
    </row>
    <row r="12" spans="1:4" ht="21">
      <c r="A12" s="8" t="s">
        <v>47</v>
      </c>
    </row>
    <row r="13" spans="1:4" ht="21">
      <c r="A13" s="8" t="s">
        <v>38</v>
      </c>
    </row>
    <row r="14" spans="1:4" ht="21">
      <c r="A14" s="8" t="s">
        <v>51</v>
      </c>
    </row>
    <row r="15" spans="1:4" ht="42">
      <c r="A15" s="8" t="s">
        <v>41</v>
      </c>
    </row>
    <row r="18" spans="1:1" ht="25">
      <c r="A18" s="9" t="s">
        <v>44</v>
      </c>
    </row>
    <row r="19" spans="1:1" ht="25">
      <c r="A19" s="9" t="s">
        <v>45</v>
      </c>
    </row>
    <row r="21" spans="1:1" ht="21">
      <c r="A21" s="8" t="s">
        <v>42</v>
      </c>
    </row>
    <row r="22" spans="1:1" ht="21">
      <c r="A22" s="8" t="s">
        <v>43</v>
      </c>
    </row>
    <row r="23" spans="1:1" ht="21">
      <c r="A23" s="8" t="s">
        <v>46</v>
      </c>
    </row>
  </sheetData>
  <sheetProtection sheet="1" objects="1" scenarios="1" selectLockedCells="1"/>
  <phoneticPr fontId="1"/>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1B8BA-7717-8547-857C-7C036572439D}">
  <sheetPr codeName="TimeList"/>
  <dimension ref="A1:B51"/>
  <sheetViews>
    <sheetView workbookViewId="0">
      <selection activeCell="B14" sqref="B14:B36"/>
    </sheetView>
  </sheetViews>
  <sheetFormatPr baseColWidth="10" defaultRowHeight="20"/>
  <cols>
    <col min="1" max="1" width="10.7109375" style="1"/>
    <col min="2" max="2" width="10.7109375" style="3"/>
    <col min="3" max="16384" width="10.7109375" style="1"/>
  </cols>
  <sheetData>
    <row r="1" spans="1:2">
      <c r="A1" s="1" t="s">
        <v>3</v>
      </c>
      <c r="B1" s="3" t="s">
        <v>4</v>
      </c>
    </row>
    <row r="2" spans="1:2">
      <c r="A2" s="1">
        <f>ROW()-1</f>
        <v>1</v>
      </c>
      <c r="B2" s="6" t="s">
        <v>57</v>
      </c>
    </row>
    <row r="3" spans="1:2">
      <c r="A3" s="1">
        <f t="shared" ref="A3:A51" si="0">ROW()-1</f>
        <v>2</v>
      </c>
      <c r="B3" s="6" t="s">
        <v>58</v>
      </c>
    </row>
    <row r="4" spans="1:2">
      <c r="A4" s="1">
        <f t="shared" si="0"/>
        <v>3</v>
      </c>
      <c r="B4" s="6" t="s">
        <v>59</v>
      </c>
    </row>
    <row r="5" spans="1:2">
      <c r="A5" s="1">
        <f t="shared" si="0"/>
        <v>4</v>
      </c>
      <c r="B5" s="6" t="s">
        <v>60</v>
      </c>
    </row>
    <row r="6" spans="1:2">
      <c r="A6" s="1">
        <f t="shared" si="0"/>
        <v>5</v>
      </c>
      <c r="B6" s="6" t="s">
        <v>61</v>
      </c>
    </row>
    <row r="7" spans="1:2">
      <c r="A7" s="1">
        <f t="shared" si="0"/>
        <v>6</v>
      </c>
      <c r="B7" s="7" t="s">
        <v>62</v>
      </c>
    </row>
    <row r="8" spans="1:2">
      <c r="A8" s="1">
        <f t="shared" si="0"/>
        <v>7</v>
      </c>
      <c r="B8" s="7" t="s">
        <v>63</v>
      </c>
    </row>
    <row r="9" spans="1:2">
      <c r="A9" s="1">
        <f t="shared" si="0"/>
        <v>8</v>
      </c>
      <c r="B9" s="7" t="s">
        <v>64</v>
      </c>
    </row>
    <row r="10" spans="1:2">
      <c r="A10" s="1">
        <f t="shared" si="0"/>
        <v>9</v>
      </c>
      <c r="B10" s="7" t="s">
        <v>65</v>
      </c>
    </row>
    <row r="11" spans="1:2">
      <c r="A11" s="1">
        <f t="shared" si="0"/>
        <v>10</v>
      </c>
      <c r="B11" s="7"/>
    </row>
    <row r="12" spans="1:2">
      <c r="A12" s="1">
        <f t="shared" si="0"/>
        <v>11</v>
      </c>
      <c r="B12" s="7"/>
    </row>
    <row r="13" spans="1:2">
      <c r="A13" s="1">
        <f t="shared" si="0"/>
        <v>12</v>
      </c>
      <c r="B13" s="7"/>
    </row>
    <row r="14" spans="1:2">
      <c r="A14" s="1">
        <f t="shared" si="0"/>
        <v>13</v>
      </c>
      <c r="B14" s="7"/>
    </row>
    <row r="15" spans="1:2">
      <c r="A15" s="1">
        <f t="shared" si="0"/>
        <v>14</v>
      </c>
      <c r="B15" s="7"/>
    </row>
    <row r="16" spans="1:2">
      <c r="A16" s="1">
        <f t="shared" si="0"/>
        <v>15</v>
      </c>
      <c r="B16" s="7"/>
    </row>
    <row r="17" spans="1:2">
      <c r="A17" s="1">
        <f t="shared" si="0"/>
        <v>16</v>
      </c>
      <c r="B17" s="7"/>
    </row>
    <row r="18" spans="1:2">
      <c r="A18" s="1">
        <f t="shared" si="0"/>
        <v>17</v>
      </c>
      <c r="B18" s="7"/>
    </row>
    <row r="19" spans="1:2">
      <c r="A19" s="1">
        <f t="shared" si="0"/>
        <v>18</v>
      </c>
      <c r="B19" s="7"/>
    </row>
    <row r="20" spans="1:2">
      <c r="A20" s="1">
        <f t="shared" si="0"/>
        <v>19</v>
      </c>
      <c r="B20" s="7"/>
    </row>
    <row r="21" spans="1:2">
      <c r="A21" s="1">
        <f t="shared" si="0"/>
        <v>20</v>
      </c>
      <c r="B21" s="7"/>
    </row>
    <row r="22" spans="1:2">
      <c r="A22" s="1">
        <f t="shared" si="0"/>
        <v>21</v>
      </c>
      <c r="B22" s="6"/>
    </row>
    <row r="23" spans="1:2">
      <c r="A23" s="1">
        <f t="shared" si="0"/>
        <v>22</v>
      </c>
      <c r="B23" s="6"/>
    </row>
    <row r="24" spans="1:2">
      <c r="A24" s="1">
        <f t="shared" si="0"/>
        <v>23</v>
      </c>
      <c r="B24" s="6"/>
    </row>
    <row r="25" spans="1:2">
      <c r="A25" s="1">
        <f t="shared" si="0"/>
        <v>24</v>
      </c>
      <c r="B25" s="6"/>
    </row>
    <row r="26" spans="1:2">
      <c r="A26" s="1">
        <f t="shared" si="0"/>
        <v>25</v>
      </c>
      <c r="B26" s="6"/>
    </row>
    <row r="27" spans="1:2">
      <c r="A27" s="1">
        <f t="shared" si="0"/>
        <v>26</v>
      </c>
      <c r="B27" s="6"/>
    </row>
    <row r="28" spans="1:2">
      <c r="A28" s="1">
        <f t="shared" si="0"/>
        <v>27</v>
      </c>
      <c r="B28" s="6"/>
    </row>
    <row r="29" spans="1:2">
      <c r="A29" s="1">
        <f t="shared" si="0"/>
        <v>28</v>
      </c>
      <c r="B29" s="6"/>
    </row>
    <row r="30" spans="1:2">
      <c r="A30" s="1">
        <f t="shared" si="0"/>
        <v>29</v>
      </c>
      <c r="B30" s="6"/>
    </row>
    <row r="31" spans="1:2">
      <c r="A31" s="1">
        <f t="shared" si="0"/>
        <v>30</v>
      </c>
      <c r="B31" s="6"/>
    </row>
    <row r="32" spans="1:2">
      <c r="A32" s="1">
        <f t="shared" si="0"/>
        <v>31</v>
      </c>
      <c r="B32" s="6"/>
    </row>
    <row r="33" spans="1:2">
      <c r="A33" s="1">
        <f t="shared" si="0"/>
        <v>32</v>
      </c>
      <c r="B33" s="6"/>
    </row>
    <row r="34" spans="1:2">
      <c r="A34" s="1">
        <f t="shared" si="0"/>
        <v>33</v>
      </c>
      <c r="B34" s="6"/>
    </row>
    <row r="35" spans="1:2">
      <c r="A35" s="1">
        <f t="shared" si="0"/>
        <v>34</v>
      </c>
      <c r="B35" s="6"/>
    </row>
    <row r="36" spans="1:2">
      <c r="A36" s="1">
        <f t="shared" si="0"/>
        <v>35</v>
      </c>
      <c r="B36" s="6"/>
    </row>
    <row r="37" spans="1:2">
      <c r="A37" s="1">
        <f t="shared" si="0"/>
        <v>36</v>
      </c>
      <c r="B37" s="6"/>
    </row>
    <row r="38" spans="1:2">
      <c r="A38" s="1">
        <f t="shared" si="0"/>
        <v>37</v>
      </c>
      <c r="B38" s="6"/>
    </row>
    <row r="39" spans="1:2">
      <c r="A39" s="1">
        <f t="shared" si="0"/>
        <v>38</v>
      </c>
      <c r="B39" s="6"/>
    </row>
    <row r="40" spans="1:2">
      <c r="A40" s="1">
        <f t="shared" si="0"/>
        <v>39</v>
      </c>
      <c r="B40" s="6"/>
    </row>
    <row r="41" spans="1:2">
      <c r="A41" s="1">
        <f t="shared" si="0"/>
        <v>40</v>
      </c>
      <c r="B41" s="6"/>
    </row>
    <row r="42" spans="1:2">
      <c r="A42" s="1">
        <f t="shared" si="0"/>
        <v>41</v>
      </c>
      <c r="B42" s="6"/>
    </row>
    <row r="43" spans="1:2">
      <c r="A43" s="1">
        <f t="shared" si="0"/>
        <v>42</v>
      </c>
      <c r="B43" s="6"/>
    </row>
    <row r="44" spans="1:2">
      <c r="A44" s="1">
        <f t="shared" si="0"/>
        <v>43</v>
      </c>
      <c r="B44" s="6"/>
    </row>
    <row r="45" spans="1:2">
      <c r="A45" s="1">
        <f t="shared" si="0"/>
        <v>44</v>
      </c>
      <c r="B45" s="6"/>
    </row>
    <row r="46" spans="1:2">
      <c r="A46" s="1">
        <f t="shared" si="0"/>
        <v>45</v>
      </c>
      <c r="B46" s="6"/>
    </row>
    <row r="47" spans="1:2">
      <c r="A47" s="1">
        <f t="shared" si="0"/>
        <v>46</v>
      </c>
      <c r="B47" s="6"/>
    </row>
    <row r="48" spans="1:2">
      <c r="A48" s="1">
        <f t="shared" si="0"/>
        <v>47</v>
      </c>
      <c r="B48" s="6"/>
    </row>
    <row r="49" spans="1:2">
      <c r="A49" s="1">
        <f t="shared" si="0"/>
        <v>48</v>
      </c>
      <c r="B49" s="6"/>
    </row>
    <row r="50" spans="1:2">
      <c r="A50" s="1">
        <f t="shared" si="0"/>
        <v>49</v>
      </c>
      <c r="B50" s="6"/>
    </row>
    <row r="51" spans="1:2">
      <c r="A51" s="1">
        <f t="shared" si="0"/>
        <v>50</v>
      </c>
      <c r="B51" s="6"/>
    </row>
  </sheetData>
  <sheetProtection sheet="1" objects="1" scenarios="1" selectLockedCells="1"/>
  <phoneticPr fontId="1"/>
  <pageMargins left="0.7" right="0.7" top="0.75" bottom="0.75" header="0.3" footer="0.3"/>
  <pageSetup paperSize="9"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4D041-65C5-954E-AE0A-7ED37018D2F0}">
  <sheetPr codeName="JobList"/>
  <dimension ref="A1:Q31"/>
  <sheetViews>
    <sheetView topLeftCell="B1" workbookViewId="0">
      <selection activeCell="E8" sqref="E8"/>
    </sheetView>
  </sheetViews>
  <sheetFormatPr baseColWidth="10" defaultRowHeight="20"/>
  <cols>
    <col min="1" max="1" width="0" style="1" hidden="1" customWidth="1"/>
    <col min="2" max="2" width="10" style="1" customWidth="1"/>
    <col min="3" max="3" width="15.42578125" style="1" customWidth="1"/>
    <col min="4" max="5" width="12.7109375" style="1" customWidth="1"/>
    <col min="6" max="12" width="12.7109375" style="1" hidden="1" customWidth="1"/>
    <col min="13" max="16384" width="10.7109375" style="1"/>
  </cols>
  <sheetData>
    <row r="1" spans="1:17">
      <c r="B1" s="1" t="s">
        <v>0</v>
      </c>
      <c r="C1" s="1" t="s">
        <v>1</v>
      </c>
      <c r="D1" s="1" t="s">
        <v>7</v>
      </c>
      <c r="E1" s="1" t="s">
        <v>21</v>
      </c>
      <c r="F1" s="1" t="s">
        <v>6</v>
      </c>
      <c r="G1" s="1" t="s">
        <v>5</v>
      </c>
      <c r="H1" s="1" t="s">
        <v>16</v>
      </c>
      <c r="I1" s="1" t="s">
        <v>17</v>
      </c>
      <c r="J1" s="1" t="s">
        <v>19</v>
      </c>
      <c r="K1" s="1" t="s">
        <v>20</v>
      </c>
      <c r="M1" s="1" t="s">
        <v>9</v>
      </c>
      <c r="N1" s="1" t="s">
        <v>10</v>
      </c>
      <c r="O1" s="1" t="s">
        <v>11</v>
      </c>
      <c r="P1" s="1" t="s">
        <v>12</v>
      </c>
      <c r="Q1" s="1" t="s">
        <v>13</v>
      </c>
    </row>
    <row r="2" spans="1:17">
      <c r="A2" s="1" t="str">
        <f>D2&amp;COUNTIF($D$2:D2,D2)&amp;""</f>
        <v>赤1</v>
      </c>
      <c r="B2" s="4" t="s">
        <v>66</v>
      </c>
      <c r="C2" s="4" t="s">
        <v>67</v>
      </c>
      <c r="D2" s="4" t="s">
        <v>6</v>
      </c>
      <c r="E2" s="4">
        <v>2</v>
      </c>
      <c r="F2" s="1" t="str">
        <f t="shared" ref="F2:K11" si="0">IFERROR(VLOOKUP(F$1&amp;ROW()-1,$A:$B,2,FALSE),"")</f>
        <v>A</v>
      </c>
      <c r="G2" s="1" t="str">
        <f t="shared" si="0"/>
        <v>D</v>
      </c>
      <c r="H2" s="1" t="str">
        <f t="shared" si="0"/>
        <v>B</v>
      </c>
      <c r="I2" s="1" t="str">
        <f t="shared" si="0"/>
        <v>C</v>
      </c>
      <c r="J2" s="1" t="str">
        <f t="shared" si="0"/>
        <v>E</v>
      </c>
      <c r="K2" s="1" t="str">
        <f t="shared" si="0"/>
        <v/>
      </c>
      <c r="M2" s="1">
        <f>COUNTIF('役職希望調査 ・備考'!D:D,$B2)</f>
        <v>0</v>
      </c>
      <c r="N2" s="1">
        <f>COUNTIF('役職希望調査 ・備考'!E:E,$B2)</f>
        <v>0</v>
      </c>
      <c r="O2" s="1">
        <f>COUNTIF('役職希望調査 ・備考'!F:F,$B2)</f>
        <v>0</v>
      </c>
      <c r="P2" s="1">
        <f>COUNTIF('役職希望調査 ・備考'!G:G,$B2)</f>
        <v>0</v>
      </c>
      <c r="Q2" s="1">
        <f>COUNTIF('役職希望調査 ・備考'!H:H,$B2)</f>
        <v>0</v>
      </c>
    </row>
    <row r="3" spans="1:17">
      <c r="A3" s="1" t="str">
        <f>D3&amp;COUNTIF($D$2:D3,D3)</f>
        <v>黄色1</v>
      </c>
      <c r="B3" s="4" t="s">
        <v>68</v>
      </c>
      <c r="C3" s="4" t="s">
        <v>69</v>
      </c>
      <c r="D3" s="4" t="s">
        <v>70</v>
      </c>
      <c r="E3" s="4">
        <v>3</v>
      </c>
      <c r="F3" s="1" t="str">
        <f t="shared" si="0"/>
        <v/>
      </c>
      <c r="G3" s="1" t="str">
        <f t="shared" si="0"/>
        <v/>
      </c>
      <c r="H3" s="1" t="str">
        <f t="shared" si="0"/>
        <v/>
      </c>
      <c r="I3" s="1" t="str">
        <f t="shared" si="0"/>
        <v/>
      </c>
      <c r="J3" s="1" t="str">
        <f t="shared" si="0"/>
        <v/>
      </c>
      <c r="K3" s="1" t="str">
        <f t="shared" si="0"/>
        <v/>
      </c>
      <c r="M3" s="1">
        <f>COUNTIF('役職希望調査 ・備考'!D:D,$B3)</f>
        <v>0</v>
      </c>
      <c r="N3" s="1">
        <f>COUNTIF('役職希望調査 ・備考'!E:E,$B3)</f>
        <v>0</v>
      </c>
      <c r="O3" s="1">
        <f>COUNTIF('役職希望調査 ・備考'!F:F,$B3)</f>
        <v>0</v>
      </c>
      <c r="P3" s="1">
        <f>COUNTIF('役職希望調査 ・備考'!G:G,$B3)</f>
        <v>0</v>
      </c>
      <c r="Q3" s="1">
        <f>COUNTIF('役職希望調査 ・備考'!H:H,$B3)</f>
        <v>0</v>
      </c>
    </row>
    <row r="4" spans="1:17">
      <c r="A4" s="1" t="str">
        <f>D4&amp;COUNTIF($D$2:D4,D4)</f>
        <v>緑1</v>
      </c>
      <c r="B4" s="4" t="s">
        <v>71</v>
      </c>
      <c r="C4" s="4" t="s">
        <v>72</v>
      </c>
      <c r="D4" s="4" t="s">
        <v>73</v>
      </c>
      <c r="E4" s="4">
        <v>4</v>
      </c>
      <c r="F4" s="1" t="str">
        <f t="shared" si="0"/>
        <v/>
      </c>
      <c r="G4" s="1" t="str">
        <f t="shared" si="0"/>
        <v/>
      </c>
      <c r="H4" s="1" t="str">
        <f t="shared" si="0"/>
        <v/>
      </c>
      <c r="I4" s="1" t="str">
        <f t="shared" si="0"/>
        <v/>
      </c>
      <c r="J4" s="1" t="str">
        <f t="shared" si="0"/>
        <v/>
      </c>
      <c r="K4" s="1" t="str">
        <f t="shared" si="0"/>
        <v/>
      </c>
      <c r="M4" s="1">
        <f>COUNTIF('役職希望調査 ・備考'!D:D,$B4)</f>
        <v>0</v>
      </c>
      <c r="N4" s="1">
        <f>COUNTIF('役職希望調査 ・備考'!E:E,$B4)</f>
        <v>0</v>
      </c>
      <c r="O4" s="1">
        <f>COUNTIF('役職希望調査 ・備考'!F:F,$B4)</f>
        <v>0</v>
      </c>
      <c r="P4" s="1">
        <f>COUNTIF('役職希望調査 ・備考'!G:G,$B4)</f>
        <v>0</v>
      </c>
      <c r="Q4" s="1">
        <f>COUNTIF('役職希望調査 ・備考'!H:H,$B4)</f>
        <v>0</v>
      </c>
    </row>
    <row r="5" spans="1:17">
      <c r="A5" s="1" t="str">
        <f>D5&amp;COUNTIF($D$2:D5,D5)</f>
        <v>オレンジ1</v>
      </c>
      <c r="B5" s="4" t="s">
        <v>74</v>
      </c>
      <c r="C5" s="4" t="s">
        <v>75</v>
      </c>
      <c r="D5" s="4" t="s">
        <v>15</v>
      </c>
      <c r="E5" s="4">
        <v>1</v>
      </c>
      <c r="F5" s="1" t="str">
        <f t="shared" si="0"/>
        <v/>
      </c>
      <c r="G5" s="1" t="str">
        <f t="shared" si="0"/>
        <v/>
      </c>
      <c r="H5" s="1" t="str">
        <f t="shared" si="0"/>
        <v/>
      </c>
      <c r="I5" s="1" t="str">
        <f t="shared" si="0"/>
        <v/>
      </c>
      <c r="J5" s="1" t="str">
        <f t="shared" si="0"/>
        <v/>
      </c>
      <c r="K5" s="1" t="str">
        <f t="shared" si="0"/>
        <v/>
      </c>
      <c r="M5" s="1">
        <f>COUNTIF('役職希望調査 ・備考'!D:D,$B5)</f>
        <v>0</v>
      </c>
      <c r="N5" s="1">
        <f>COUNTIF('役職希望調査 ・備考'!E:E,$B5)</f>
        <v>0</v>
      </c>
      <c r="O5" s="1">
        <f>COUNTIF('役職希望調査 ・備考'!F:F,$B5)</f>
        <v>0</v>
      </c>
      <c r="P5" s="1">
        <f>COUNTIF('役職希望調査 ・備考'!G:G,$B5)</f>
        <v>0</v>
      </c>
      <c r="Q5" s="1">
        <f>COUNTIF('役職希望調査 ・備考'!H:H,$B5)</f>
        <v>0</v>
      </c>
    </row>
    <row r="6" spans="1:17">
      <c r="A6" s="1" t="str">
        <f>D6&amp;COUNTIF($D$2:D6,D6)</f>
        <v>青1</v>
      </c>
      <c r="B6" s="4" t="s">
        <v>76</v>
      </c>
      <c r="C6" s="4" t="s">
        <v>77</v>
      </c>
      <c r="D6" s="4" t="s">
        <v>18</v>
      </c>
      <c r="E6" s="4">
        <v>6</v>
      </c>
      <c r="F6" s="1" t="str">
        <f t="shared" si="0"/>
        <v/>
      </c>
      <c r="G6" s="1" t="str">
        <f t="shared" si="0"/>
        <v/>
      </c>
      <c r="H6" s="1" t="str">
        <f t="shared" si="0"/>
        <v/>
      </c>
      <c r="I6" s="1" t="str">
        <f t="shared" si="0"/>
        <v/>
      </c>
      <c r="J6" s="1" t="str">
        <f t="shared" si="0"/>
        <v/>
      </c>
      <c r="K6" s="1" t="str">
        <f t="shared" si="0"/>
        <v/>
      </c>
      <c r="M6" s="1">
        <f>COUNTIF('役職希望調査 ・備考'!D:D,$B6)</f>
        <v>0</v>
      </c>
      <c r="N6" s="1">
        <f>COUNTIF('役職希望調査 ・備考'!E:E,$B6)</f>
        <v>0</v>
      </c>
      <c r="O6" s="1">
        <f>COUNTIF('役職希望調査 ・備考'!F:F,$B6)</f>
        <v>0</v>
      </c>
      <c r="P6" s="1">
        <f>COUNTIF('役職希望調査 ・備考'!G:G,$B6)</f>
        <v>0</v>
      </c>
      <c r="Q6" s="1">
        <f>COUNTIF('役職希望調査 ・備考'!H:H,$B6)</f>
        <v>0</v>
      </c>
    </row>
    <row r="7" spans="1:17">
      <c r="A7" s="1" t="str">
        <f>D7&amp;COUNTIF($D$2:D7,D7)</f>
        <v>0</v>
      </c>
      <c r="B7" s="4" t="s">
        <v>78</v>
      </c>
      <c r="C7" s="4" t="s">
        <v>79</v>
      </c>
      <c r="D7" s="4"/>
      <c r="E7" s="4">
        <v>1</v>
      </c>
      <c r="F7" s="1" t="str">
        <f t="shared" si="0"/>
        <v/>
      </c>
      <c r="G7" s="1" t="str">
        <f t="shared" si="0"/>
        <v/>
      </c>
      <c r="H7" s="1" t="str">
        <f t="shared" si="0"/>
        <v/>
      </c>
      <c r="I7" s="1" t="str">
        <f t="shared" si="0"/>
        <v/>
      </c>
      <c r="J7" s="1" t="str">
        <f t="shared" si="0"/>
        <v/>
      </c>
      <c r="K7" s="1" t="str">
        <f t="shared" si="0"/>
        <v/>
      </c>
      <c r="M7" s="1">
        <f>COUNTIF('役職希望調査 ・備考'!D:D,$B7)</f>
        <v>0</v>
      </c>
      <c r="N7" s="1">
        <f>COUNTIF('役職希望調査 ・備考'!E:E,$B7)</f>
        <v>0</v>
      </c>
      <c r="O7" s="1">
        <f>COUNTIF('役職希望調査 ・備考'!F:F,$B7)</f>
        <v>0</v>
      </c>
      <c r="P7" s="1">
        <f>COUNTIF('役職希望調査 ・備考'!G:G,$B7)</f>
        <v>0</v>
      </c>
      <c r="Q7" s="1">
        <f>COUNTIF('役職希望調査 ・備考'!H:H,$B7)</f>
        <v>0</v>
      </c>
    </row>
    <row r="8" spans="1:17">
      <c r="A8" s="1" t="str">
        <f>D8&amp;COUNTIF($D$2:D8,D8)</f>
        <v>0</v>
      </c>
      <c r="B8" s="4"/>
      <c r="C8" s="4"/>
      <c r="D8" s="4"/>
      <c r="E8" s="4"/>
      <c r="F8" s="1" t="str">
        <f t="shared" si="0"/>
        <v/>
      </c>
      <c r="G8" s="1" t="str">
        <f t="shared" si="0"/>
        <v/>
      </c>
      <c r="H8" s="1" t="str">
        <f t="shared" si="0"/>
        <v/>
      </c>
      <c r="I8" s="1" t="str">
        <f t="shared" si="0"/>
        <v/>
      </c>
      <c r="J8" s="1" t="str">
        <f t="shared" si="0"/>
        <v/>
      </c>
      <c r="K8" s="1" t="str">
        <f t="shared" si="0"/>
        <v/>
      </c>
      <c r="M8" s="1">
        <f>COUNTIF('役職希望調査 ・備考'!D:D,$B8)</f>
        <v>0</v>
      </c>
      <c r="N8" s="1">
        <f>COUNTIF('役職希望調査 ・備考'!E:E,$B8)</f>
        <v>0</v>
      </c>
      <c r="O8" s="1">
        <f>COUNTIF('役職希望調査 ・備考'!F:F,$B8)</f>
        <v>0</v>
      </c>
      <c r="P8" s="1">
        <f>COUNTIF('役職希望調査 ・備考'!G:G,$B8)</f>
        <v>0</v>
      </c>
      <c r="Q8" s="1">
        <f>COUNTIF('役職希望調査 ・備考'!H:H,$B8)</f>
        <v>0</v>
      </c>
    </row>
    <row r="9" spans="1:17">
      <c r="A9" s="1" t="str">
        <f>D9&amp;COUNTIF($D$2:D9,D9)</f>
        <v>0</v>
      </c>
      <c r="B9" s="4"/>
      <c r="C9" s="4"/>
      <c r="D9" s="4"/>
      <c r="E9" s="4"/>
      <c r="F9" s="1" t="str">
        <f t="shared" si="0"/>
        <v/>
      </c>
      <c r="G9" s="1" t="str">
        <f t="shared" si="0"/>
        <v/>
      </c>
      <c r="H9" s="1" t="str">
        <f t="shared" si="0"/>
        <v/>
      </c>
      <c r="I9" s="1" t="str">
        <f t="shared" si="0"/>
        <v/>
      </c>
      <c r="J9" s="1" t="str">
        <f t="shared" si="0"/>
        <v/>
      </c>
      <c r="K9" s="1" t="str">
        <f t="shared" si="0"/>
        <v/>
      </c>
      <c r="M9" s="1">
        <f>COUNTIF('役職希望調査 ・備考'!D:D,$B9)</f>
        <v>0</v>
      </c>
      <c r="N9" s="1">
        <f>COUNTIF('役職希望調査 ・備考'!E:E,$B9)</f>
        <v>0</v>
      </c>
      <c r="O9" s="1">
        <f>COUNTIF('役職希望調査 ・備考'!F:F,$B9)</f>
        <v>0</v>
      </c>
      <c r="P9" s="1">
        <f>COUNTIF('役職希望調査 ・備考'!G:G,$B9)</f>
        <v>0</v>
      </c>
      <c r="Q9" s="1">
        <f>COUNTIF('役職希望調査 ・備考'!H:H,$B9)</f>
        <v>0</v>
      </c>
    </row>
    <row r="10" spans="1:17">
      <c r="A10" s="1" t="str">
        <f>D10&amp;COUNTIF($D$2:D10,D10)</f>
        <v>0</v>
      </c>
      <c r="B10" s="4"/>
      <c r="C10" s="4"/>
      <c r="D10" s="4"/>
      <c r="E10" s="4"/>
      <c r="F10" s="1" t="str">
        <f t="shared" si="0"/>
        <v/>
      </c>
      <c r="G10" s="1" t="str">
        <f t="shared" si="0"/>
        <v/>
      </c>
      <c r="H10" s="1" t="str">
        <f t="shared" si="0"/>
        <v/>
      </c>
      <c r="I10" s="1" t="str">
        <f t="shared" si="0"/>
        <v/>
      </c>
      <c r="J10" s="1" t="str">
        <f t="shared" si="0"/>
        <v/>
      </c>
      <c r="K10" s="1" t="str">
        <f t="shared" si="0"/>
        <v/>
      </c>
      <c r="M10" s="1">
        <f>COUNTIF('役職希望調査 ・備考'!D:D,$B10)</f>
        <v>0</v>
      </c>
      <c r="N10" s="1">
        <f>COUNTIF('役職希望調査 ・備考'!E:E,$B10)</f>
        <v>0</v>
      </c>
      <c r="O10" s="1">
        <f>COUNTIF('役職希望調査 ・備考'!F:F,$B10)</f>
        <v>0</v>
      </c>
      <c r="P10" s="1">
        <f>COUNTIF('役職希望調査 ・備考'!G:G,$B10)</f>
        <v>0</v>
      </c>
      <c r="Q10" s="1">
        <f>COUNTIF('役職希望調査 ・備考'!H:H,$B10)</f>
        <v>0</v>
      </c>
    </row>
    <row r="11" spans="1:17">
      <c r="A11" s="1" t="str">
        <f>D11&amp;COUNTIF($D$2:D11,D11)</f>
        <v>0</v>
      </c>
      <c r="B11" s="4"/>
      <c r="C11" s="4"/>
      <c r="D11" s="4"/>
      <c r="E11" s="4"/>
      <c r="F11" s="1" t="str">
        <f t="shared" si="0"/>
        <v/>
      </c>
      <c r="G11" s="1" t="str">
        <f t="shared" si="0"/>
        <v/>
      </c>
      <c r="H11" s="1" t="str">
        <f t="shared" si="0"/>
        <v/>
      </c>
      <c r="I11" s="1" t="str">
        <f t="shared" si="0"/>
        <v/>
      </c>
      <c r="J11" s="1" t="str">
        <f t="shared" si="0"/>
        <v/>
      </c>
      <c r="K11" s="1" t="str">
        <f t="shared" si="0"/>
        <v/>
      </c>
      <c r="M11" s="1">
        <f>COUNTIF('役職希望調査 ・備考'!D:D,$B11)</f>
        <v>0</v>
      </c>
      <c r="N11" s="1">
        <f>COUNTIF('役職希望調査 ・備考'!E:E,$B11)</f>
        <v>0</v>
      </c>
      <c r="O11" s="1">
        <f>COUNTIF('役職希望調査 ・備考'!F:F,$B11)</f>
        <v>0</v>
      </c>
      <c r="P11" s="1">
        <f>COUNTIF('役職希望調査 ・備考'!G:G,$B11)</f>
        <v>0</v>
      </c>
      <c r="Q11" s="1">
        <f>COUNTIF('役職希望調査 ・備考'!H:H,$B11)</f>
        <v>0</v>
      </c>
    </row>
    <row r="12" spans="1:17">
      <c r="A12" s="1" t="str">
        <f>D12&amp;COUNTIF($D$2:D12,D12)</f>
        <v>0</v>
      </c>
      <c r="B12" s="4"/>
      <c r="C12" s="4"/>
      <c r="D12" s="4"/>
      <c r="E12" s="4"/>
      <c r="F12" s="1" t="str">
        <f t="shared" ref="F12:K21" si="1">IFERROR(VLOOKUP(F$1&amp;ROW()-1,$A:$B,2,FALSE),"")</f>
        <v/>
      </c>
      <c r="G12" s="1" t="str">
        <f t="shared" si="1"/>
        <v/>
      </c>
      <c r="H12" s="1" t="str">
        <f t="shared" si="1"/>
        <v/>
      </c>
      <c r="I12" s="1" t="str">
        <f t="shared" si="1"/>
        <v/>
      </c>
      <c r="J12" s="1" t="str">
        <f t="shared" si="1"/>
        <v/>
      </c>
      <c r="K12" s="1" t="str">
        <f t="shared" si="1"/>
        <v/>
      </c>
      <c r="M12" s="1">
        <f>COUNTIF('役職希望調査 ・備考'!D:D,$B12)</f>
        <v>0</v>
      </c>
      <c r="N12" s="1">
        <f>COUNTIF('役職希望調査 ・備考'!E:E,$B12)</f>
        <v>0</v>
      </c>
      <c r="O12" s="1">
        <f>COUNTIF('役職希望調査 ・備考'!F:F,$B12)</f>
        <v>0</v>
      </c>
      <c r="P12" s="1">
        <f>COUNTIF('役職希望調査 ・備考'!G:G,$B12)</f>
        <v>0</v>
      </c>
      <c r="Q12" s="1">
        <f>COUNTIF('役職希望調査 ・備考'!H:H,$B12)</f>
        <v>0</v>
      </c>
    </row>
    <row r="13" spans="1:17">
      <c r="A13" s="1" t="str">
        <f>D13&amp;COUNTIF($D$2:D13,D13)</f>
        <v>0</v>
      </c>
      <c r="B13" s="4"/>
      <c r="C13" s="4"/>
      <c r="D13" s="4"/>
      <c r="E13" s="4"/>
      <c r="F13" s="1" t="str">
        <f t="shared" si="1"/>
        <v/>
      </c>
      <c r="G13" s="1" t="str">
        <f t="shared" si="1"/>
        <v/>
      </c>
      <c r="H13" s="1" t="str">
        <f t="shared" si="1"/>
        <v/>
      </c>
      <c r="I13" s="1" t="str">
        <f t="shared" si="1"/>
        <v/>
      </c>
      <c r="J13" s="1" t="str">
        <f t="shared" si="1"/>
        <v/>
      </c>
      <c r="K13" s="1" t="str">
        <f t="shared" si="1"/>
        <v/>
      </c>
      <c r="M13" s="1">
        <f>COUNTIF('役職希望調査 ・備考'!D:D,$B13)</f>
        <v>0</v>
      </c>
      <c r="N13" s="1">
        <f>COUNTIF('役職希望調査 ・備考'!E:E,$B13)</f>
        <v>0</v>
      </c>
      <c r="O13" s="1">
        <f>COUNTIF('役職希望調査 ・備考'!F:F,$B13)</f>
        <v>0</v>
      </c>
      <c r="P13" s="1">
        <f>COUNTIF('役職希望調査 ・備考'!G:G,$B13)</f>
        <v>0</v>
      </c>
      <c r="Q13" s="1">
        <f>COUNTIF('役職希望調査 ・備考'!H:H,$B13)</f>
        <v>0</v>
      </c>
    </row>
    <row r="14" spans="1:17">
      <c r="A14" s="1" t="str">
        <f>D14&amp;COUNTIF($D$2:D14,D14)</f>
        <v>0</v>
      </c>
      <c r="B14" s="4"/>
      <c r="C14" s="4"/>
      <c r="D14" s="4"/>
      <c r="E14" s="4"/>
      <c r="F14" s="1" t="str">
        <f t="shared" si="1"/>
        <v/>
      </c>
      <c r="G14" s="1" t="str">
        <f t="shared" si="1"/>
        <v/>
      </c>
      <c r="H14" s="1" t="str">
        <f t="shared" si="1"/>
        <v/>
      </c>
      <c r="I14" s="1" t="str">
        <f t="shared" si="1"/>
        <v/>
      </c>
      <c r="J14" s="1" t="str">
        <f t="shared" si="1"/>
        <v/>
      </c>
      <c r="K14" s="1" t="str">
        <f t="shared" si="1"/>
        <v/>
      </c>
      <c r="M14" s="1">
        <f>COUNTIF('役職希望調査 ・備考'!D:D,$B14)</f>
        <v>0</v>
      </c>
      <c r="N14" s="1">
        <f>COUNTIF('役職希望調査 ・備考'!E:E,$B14)</f>
        <v>0</v>
      </c>
      <c r="O14" s="1">
        <f>COUNTIF('役職希望調査 ・備考'!F:F,$B14)</f>
        <v>0</v>
      </c>
      <c r="P14" s="1">
        <f>COUNTIF('役職希望調査 ・備考'!G:G,$B14)</f>
        <v>0</v>
      </c>
      <c r="Q14" s="1">
        <f>COUNTIF('役職希望調査 ・備考'!H:H,$B14)</f>
        <v>0</v>
      </c>
    </row>
    <row r="15" spans="1:17">
      <c r="A15" s="1" t="str">
        <f>D15&amp;COUNTIF($D$2:D15,D15)</f>
        <v>0</v>
      </c>
      <c r="B15" s="4"/>
      <c r="C15" s="4"/>
      <c r="D15" s="4"/>
      <c r="E15" s="4"/>
      <c r="F15" s="1" t="str">
        <f t="shared" si="1"/>
        <v/>
      </c>
      <c r="G15" s="1" t="str">
        <f t="shared" si="1"/>
        <v/>
      </c>
      <c r="H15" s="1" t="str">
        <f t="shared" si="1"/>
        <v/>
      </c>
      <c r="I15" s="1" t="str">
        <f t="shared" si="1"/>
        <v/>
      </c>
      <c r="J15" s="1" t="str">
        <f t="shared" si="1"/>
        <v/>
      </c>
      <c r="K15" s="1" t="str">
        <f t="shared" si="1"/>
        <v/>
      </c>
      <c r="M15" s="1">
        <f>COUNTIF('役職希望調査 ・備考'!D:D,$B15)</f>
        <v>0</v>
      </c>
      <c r="N15" s="1">
        <f>COUNTIF('役職希望調査 ・備考'!E:E,$B15)</f>
        <v>0</v>
      </c>
      <c r="O15" s="1">
        <f>COUNTIF('役職希望調査 ・備考'!F:F,$B15)</f>
        <v>0</v>
      </c>
      <c r="P15" s="1">
        <f>COUNTIF('役職希望調査 ・備考'!G:G,$B15)</f>
        <v>0</v>
      </c>
      <c r="Q15" s="1">
        <f>COUNTIF('役職希望調査 ・備考'!H:H,$B15)</f>
        <v>0</v>
      </c>
    </row>
    <row r="16" spans="1:17">
      <c r="A16" s="1" t="str">
        <f>D16&amp;COUNTIF($D$2:D16,D16)</f>
        <v>0</v>
      </c>
      <c r="B16" s="4"/>
      <c r="C16" s="4"/>
      <c r="D16" s="4"/>
      <c r="E16" s="4"/>
      <c r="F16" s="1" t="str">
        <f t="shared" si="1"/>
        <v/>
      </c>
      <c r="G16" s="1" t="str">
        <f t="shared" si="1"/>
        <v/>
      </c>
      <c r="H16" s="1" t="str">
        <f t="shared" si="1"/>
        <v/>
      </c>
      <c r="I16" s="1" t="str">
        <f t="shared" si="1"/>
        <v/>
      </c>
      <c r="J16" s="1" t="str">
        <f t="shared" si="1"/>
        <v/>
      </c>
      <c r="K16" s="1" t="str">
        <f t="shared" si="1"/>
        <v/>
      </c>
      <c r="M16" s="1">
        <f>COUNTIF('役職希望調査 ・備考'!D:D,$B16)</f>
        <v>0</v>
      </c>
      <c r="N16" s="1">
        <f>COUNTIF('役職希望調査 ・備考'!E:E,$B16)</f>
        <v>0</v>
      </c>
      <c r="O16" s="1">
        <f>COUNTIF('役職希望調査 ・備考'!F:F,$B16)</f>
        <v>0</v>
      </c>
      <c r="P16" s="1">
        <f>COUNTIF('役職希望調査 ・備考'!G:G,$B16)</f>
        <v>0</v>
      </c>
      <c r="Q16" s="1">
        <f>COUNTIF('役職希望調査 ・備考'!H:H,$B16)</f>
        <v>0</v>
      </c>
    </row>
    <row r="17" spans="1:17">
      <c r="A17" s="1" t="str">
        <f>D17&amp;COUNTIF($D$2:D17,D17)</f>
        <v>0</v>
      </c>
      <c r="B17" s="4"/>
      <c r="C17" s="4"/>
      <c r="D17" s="4"/>
      <c r="E17" s="4"/>
      <c r="F17" s="1" t="str">
        <f t="shared" si="1"/>
        <v/>
      </c>
      <c r="G17" s="1" t="str">
        <f t="shared" si="1"/>
        <v/>
      </c>
      <c r="H17" s="1" t="str">
        <f t="shared" si="1"/>
        <v/>
      </c>
      <c r="I17" s="1" t="str">
        <f t="shared" si="1"/>
        <v/>
      </c>
      <c r="J17" s="1" t="str">
        <f t="shared" si="1"/>
        <v/>
      </c>
      <c r="K17" s="1" t="str">
        <f t="shared" si="1"/>
        <v/>
      </c>
      <c r="M17" s="1">
        <f>COUNTIF('役職希望調査 ・備考'!D:D,$B17)</f>
        <v>0</v>
      </c>
      <c r="N17" s="1">
        <f>COUNTIF('役職希望調査 ・備考'!E:E,$B17)</f>
        <v>0</v>
      </c>
      <c r="O17" s="1">
        <f>COUNTIF('役職希望調査 ・備考'!F:F,$B17)</f>
        <v>0</v>
      </c>
      <c r="P17" s="1">
        <f>COUNTIF('役職希望調査 ・備考'!G:G,$B17)</f>
        <v>0</v>
      </c>
      <c r="Q17" s="1">
        <f>COUNTIF('役職希望調査 ・備考'!H:H,$B17)</f>
        <v>0</v>
      </c>
    </row>
    <row r="18" spans="1:17">
      <c r="A18" s="1" t="str">
        <f>D18&amp;COUNTIF($D$2:D18,D18)</f>
        <v>0</v>
      </c>
      <c r="B18" s="4"/>
      <c r="C18" s="4"/>
      <c r="D18" s="4"/>
      <c r="E18" s="4"/>
      <c r="F18" s="1" t="str">
        <f t="shared" si="1"/>
        <v/>
      </c>
      <c r="G18" s="1" t="str">
        <f t="shared" si="1"/>
        <v/>
      </c>
      <c r="H18" s="1" t="str">
        <f t="shared" si="1"/>
        <v/>
      </c>
      <c r="I18" s="1" t="str">
        <f t="shared" si="1"/>
        <v/>
      </c>
      <c r="J18" s="1" t="str">
        <f t="shared" si="1"/>
        <v/>
      </c>
      <c r="K18" s="1" t="str">
        <f t="shared" si="1"/>
        <v/>
      </c>
      <c r="M18" s="1">
        <f>COUNTIF('役職希望調査 ・備考'!D:D,$B18)</f>
        <v>0</v>
      </c>
      <c r="N18" s="1">
        <f>COUNTIF('役職希望調査 ・備考'!E:E,$B18)</f>
        <v>0</v>
      </c>
      <c r="O18" s="1">
        <f>COUNTIF('役職希望調査 ・備考'!F:F,$B18)</f>
        <v>0</v>
      </c>
      <c r="P18" s="1">
        <f>COUNTIF('役職希望調査 ・備考'!G:G,$B18)</f>
        <v>0</v>
      </c>
      <c r="Q18" s="1">
        <f>COUNTIF('役職希望調査 ・備考'!H:H,$B18)</f>
        <v>0</v>
      </c>
    </row>
    <row r="19" spans="1:17">
      <c r="A19" s="1" t="str">
        <f>D19&amp;COUNTIF($D$2:D19,D19)</f>
        <v>0</v>
      </c>
      <c r="B19" s="4"/>
      <c r="C19" s="4"/>
      <c r="D19" s="4"/>
      <c r="E19" s="4"/>
      <c r="F19" s="1" t="str">
        <f t="shared" si="1"/>
        <v/>
      </c>
      <c r="G19" s="1" t="str">
        <f t="shared" si="1"/>
        <v/>
      </c>
      <c r="H19" s="1" t="str">
        <f t="shared" si="1"/>
        <v/>
      </c>
      <c r="I19" s="1" t="str">
        <f t="shared" si="1"/>
        <v/>
      </c>
      <c r="J19" s="1" t="str">
        <f t="shared" si="1"/>
        <v/>
      </c>
      <c r="K19" s="1" t="str">
        <f t="shared" si="1"/>
        <v/>
      </c>
      <c r="M19" s="1">
        <f>COUNTIF('役職希望調査 ・備考'!D:D,$B19)</f>
        <v>0</v>
      </c>
      <c r="N19" s="1">
        <f>COUNTIF('役職希望調査 ・備考'!E:E,$B19)</f>
        <v>0</v>
      </c>
      <c r="O19" s="1">
        <f>COUNTIF('役職希望調査 ・備考'!F:F,$B19)</f>
        <v>0</v>
      </c>
      <c r="P19" s="1">
        <f>COUNTIF('役職希望調査 ・備考'!G:G,$B19)</f>
        <v>0</v>
      </c>
      <c r="Q19" s="1">
        <f>COUNTIF('役職希望調査 ・備考'!H:H,$B19)</f>
        <v>0</v>
      </c>
    </row>
    <row r="20" spans="1:17">
      <c r="A20" s="1" t="str">
        <f>D20&amp;COUNTIF($D$2:D20,D20)</f>
        <v>0</v>
      </c>
      <c r="B20" s="4"/>
      <c r="C20" s="4"/>
      <c r="D20" s="4"/>
      <c r="E20" s="4"/>
      <c r="F20" s="1" t="str">
        <f t="shared" si="1"/>
        <v/>
      </c>
      <c r="G20" s="1" t="str">
        <f t="shared" si="1"/>
        <v/>
      </c>
      <c r="H20" s="1" t="str">
        <f t="shared" si="1"/>
        <v/>
      </c>
      <c r="I20" s="1" t="str">
        <f t="shared" si="1"/>
        <v/>
      </c>
      <c r="J20" s="1" t="str">
        <f t="shared" si="1"/>
        <v/>
      </c>
      <c r="K20" s="1" t="str">
        <f t="shared" si="1"/>
        <v/>
      </c>
      <c r="M20" s="1">
        <f>COUNTIF('役職希望調査 ・備考'!D:D,$B20)</f>
        <v>0</v>
      </c>
      <c r="N20" s="1">
        <f>COUNTIF('役職希望調査 ・備考'!E:E,$B20)</f>
        <v>0</v>
      </c>
      <c r="O20" s="1">
        <f>COUNTIF('役職希望調査 ・備考'!F:F,$B20)</f>
        <v>0</v>
      </c>
      <c r="P20" s="1">
        <f>COUNTIF('役職希望調査 ・備考'!G:G,$B20)</f>
        <v>0</v>
      </c>
      <c r="Q20" s="1">
        <f>COUNTIF('役職希望調査 ・備考'!H:H,$B20)</f>
        <v>0</v>
      </c>
    </row>
    <row r="21" spans="1:17">
      <c r="A21" s="1" t="str">
        <f>D21&amp;COUNTIF($D$2:D21,D21)</f>
        <v>0</v>
      </c>
      <c r="B21" s="4"/>
      <c r="C21" s="4"/>
      <c r="D21" s="4"/>
      <c r="E21" s="4"/>
      <c r="F21" s="1" t="str">
        <f t="shared" si="1"/>
        <v/>
      </c>
      <c r="G21" s="1" t="str">
        <f t="shared" si="1"/>
        <v/>
      </c>
      <c r="H21" s="1" t="str">
        <f t="shared" si="1"/>
        <v/>
      </c>
      <c r="I21" s="1" t="str">
        <f t="shared" si="1"/>
        <v/>
      </c>
      <c r="J21" s="1" t="str">
        <f t="shared" si="1"/>
        <v/>
      </c>
      <c r="K21" s="1" t="str">
        <f t="shared" si="1"/>
        <v/>
      </c>
      <c r="M21" s="1">
        <f>COUNTIF('役職希望調査 ・備考'!D:D,$B21)</f>
        <v>0</v>
      </c>
      <c r="N21" s="1">
        <f>COUNTIF('役職希望調査 ・備考'!E:E,$B21)</f>
        <v>0</v>
      </c>
      <c r="O21" s="1">
        <f>COUNTIF('役職希望調査 ・備考'!F:F,$B21)</f>
        <v>0</v>
      </c>
      <c r="P21" s="1">
        <f>COUNTIF('役職希望調査 ・備考'!G:G,$B21)</f>
        <v>0</v>
      </c>
      <c r="Q21" s="1">
        <f>COUNTIF('役職希望調査 ・備考'!H:H,$B21)</f>
        <v>0</v>
      </c>
    </row>
    <row r="22" spans="1:17">
      <c r="A22" s="1" t="str">
        <f>D22&amp;COUNTIF($D$2:D22,D22)</f>
        <v>0</v>
      </c>
      <c r="B22" s="4"/>
      <c r="C22" s="4"/>
      <c r="D22" s="4"/>
      <c r="E22" s="4"/>
      <c r="F22" s="1" t="str">
        <f t="shared" ref="F22:K31" si="2">IFERROR(VLOOKUP(F$1&amp;ROW()-1,$A:$B,2,FALSE),"")</f>
        <v/>
      </c>
      <c r="G22" s="1" t="str">
        <f t="shared" si="2"/>
        <v/>
      </c>
      <c r="H22" s="1" t="str">
        <f t="shared" si="2"/>
        <v/>
      </c>
      <c r="I22" s="1" t="str">
        <f t="shared" si="2"/>
        <v/>
      </c>
      <c r="J22" s="1" t="str">
        <f t="shared" si="2"/>
        <v/>
      </c>
      <c r="K22" s="1" t="str">
        <f t="shared" si="2"/>
        <v/>
      </c>
      <c r="M22" s="1">
        <f>COUNTIF('役職希望調査 ・備考'!D:D,$B22)</f>
        <v>0</v>
      </c>
      <c r="N22" s="1">
        <f>COUNTIF('役職希望調査 ・備考'!E:E,$B22)</f>
        <v>0</v>
      </c>
      <c r="O22" s="1">
        <f>COUNTIF('役職希望調査 ・備考'!F:F,$B22)</f>
        <v>0</v>
      </c>
      <c r="P22" s="1">
        <f>COUNTIF('役職希望調査 ・備考'!G:G,$B22)</f>
        <v>0</v>
      </c>
      <c r="Q22" s="1">
        <f>COUNTIF('役職希望調査 ・備考'!H:H,$B22)</f>
        <v>0</v>
      </c>
    </row>
    <row r="23" spans="1:17">
      <c r="A23" s="1" t="str">
        <f>D23&amp;COUNTIF($D$2:D23,D23)</f>
        <v>0</v>
      </c>
      <c r="B23" s="4"/>
      <c r="C23" s="4"/>
      <c r="D23" s="4"/>
      <c r="E23" s="4"/>
      <c r="F23" s="1" t="str">
        <f t="shared" si="2"/>
        <v/>
      </c>
      <c r="G23" s="1" t="str">
        <f t="shared" si="2"/>
        <v/>
      </c>
      <c r="H23" s="1" t="str">
        <f t="shared" si="2"/>
        <v/>
      </c>
      <c r="I23" s="1" t="str">
        <f t="shared" si="2"/>
        <v/>
      </c>
      <c r="J23" s="1" t="str">
        <f t="shared" si="2"/>
        <v/>
      </c>
      <c r="K23" s="1" t="str">
        <f t="shared" si="2"/>
        <v/>
      </c>
      <c r="M23" s="1">
        <f>COUNTIF('役職希望調査 ・備考'!D:D,$B23)</f>
        <v>0</v>
      </c>
      <c r="N23" s="1">
        <f>COUNTIF('役職希望調査 ・備考'!E:E,$B23)</f>
        <v>0</v>
      </c>
      <c r="O23" s="1">
        <f>COUNTIF('役職希望調査 ・備考'!F:F,$B23)</f>
        <v>0</v>
      </c>
      <c r="P23" s="1">
        <f>COUNTIF('役職希望調査 ・備考'!G:G,$B23)</f>
        <v>0</v>
      </c>
      <c r="Q23" s="1">
        <f>COUNTIF('役職希望調査 ・備考'!H:H,$B23)</f>
        <v>0</v>
      </c>
    </row>
    <row r="24" spans="1:17">
      <c r="A24" s="1" t="str">
        <f>D24&amp;COUNTIF($D$2:D24,D24)</f>
        <v>0</v>
      </c>
      <c r="B24" s="4"/>
      <c r="C24" s="4"/>
      <c r="D24" s="4"/>
      <c r="E24" s="4"/>
      <c r="F24" s="1" t="str">
        <f t="shared" si="2"/>
        <v/>
      </c>
      <c r="G24" s="1" t="str">
        <f t="shared" si="2"/>
        <v/>
      </c>
      <c r="H24" s="1" t="str">
        <f t="shared" si="2"/>
        <v/>
      </c>
      <c r="I24" s="1" t="str">
        <f t="shared" si="2"/>
        <v/>
      </c>
      <c r="J24" s="1" t="str">
        <f t="shared" si="2"/>
        <v/>
      </c>
      <c r="K24" s="1" t="str">
        <f t="shared" si="2"/>
        <v/>
      </c>
      <c r="M24" s="1">
        <f>COUNTIF('役職希望調査 ・備考'!D:D,$B24)</f>
        <v>0</v>
      </c>
      <c r="N24" s="1">
        <f>COUNTIF('役職希望調査 ・備考'!E:E,$B24)</f>
        <v>0</v>
      </c>
      <c r="O24" s="1">
        <f>COUNTIF('役職希望調査 ・備考'!F:F,$B24)</f>
        <v>0</v>
      </c>
      <c r="P24" s="1">
        <f>COUNTIF('役職希望調査 ・備考'!G:G,$B24)</f>
        <v>0</v>
      </c>
      <c r="Q24" s="1">
        <f>COUNTIF('役職希望調査 ・備考'!H:H,$B24)</f>
        <v>0</v>
      </c>
    </row>
    <row r="25" spans="1:17">
      <c r="A25" s="1" t="str">
        <f>D25&amp;COUNTIF($D$2:D25,D25)</f>
        <v>0</v>
      </c>
      <c r="B25" s="4"/>
      <c r="C25" s="4"/>
      <c r="D25" s="4"/>
      <c r="E25" s="4"/>
      <c r="F25" s="1" t="str">
        <f t="shared" si="2"/>
        <v/>
      </c>
      <c r="G25" s="1" t="str">
        <f t="shared" si="2"/>
        <v/>
      </c>
      <c r="H25" s="1" t="str">
        <f t="shared" si="2"/>
        <v/>
      </c>
      <c r="I25" s="1" t="str">
        <f t="shared" si="2"/>
        <v/>
      </c>
      <c r="J25" s="1" t="str">
        <f t="shared" si="2"/>
        <v/>
      </c>
      <c r="K25" s="1" t="str">
        <f t="shared" si="2"/>
        <v/>
      </c>
      <c r="M25" s="1">
        <f>COUNTIF('役職希望調査 ・備考'!D:D,$B25)</f>
        <v>0</v>
      </c>
      <c r="N25" s="1">
        <f>COUNTIF('役職希望調査 ・備考'!E:E,$B25)</f>
        <v>0</v>
      </c>
      <c r="O25" s="1">
        <f>COUNTIF('役職希望調査 ・備考'!F:F,$B25)</f>
        <v>0</v>
      </c>
      <c r="P25" s="1">
        <f>COUNTIF('役職希望調査 ・備考'!G:G,$B25)</f>
        <v>0</v>
      </c>
      <c r="Q25" s="1">
        <f>COUNTIF('役職希望調査 ・備考'!H:H,$B25)</f>
        <v>0</v>
      </c>
    </row>
    <row r="26" spans="1:17">
      <c r="A26" s="1" t="str">
        <f>D26&amp;COUNTIF($D$2:D26,D26)</f>
        <v>0</v>
      </c>
      <c r="B26" s="4"/>
      <c r="C26" s="4"/>
      <c r="D26" s="4"/>
      <c r="E26" s="4"/>
      <c r="F26" s="1" t="str">
        <f t="shared" si="2"/>
        <v/>
      </c>
      <c r="G26" s="1" t="str">
        <f t="shared" si="2"/>
        <v/>
      </c>
      <c r="H26" s="1" t="str">
        <f t="shared" si="2"/>
        <v/>
      </c>
      <c r="I26" s="1" t="str">
        <f t="shared" si="2"/>
        <v/>
      </c>
      <c r="J26" s="1" t="str">
        <f t="shared" si="2"/>
        <v/>
      </c>
      <c r="K26" s="1" t="str">
        <f t="shared" si="2"/>
        <v/>
      </c>
      <c r="M26" s="1">
        <f>COUNTIF('役職希望調査 ・備考'!D:D,$B26)</f>
        <v>0</v>
      </c>
      <c r="N26" s="1">
        <f>COUNTIF('役職希望調査 ・備考'!E:E,$B26)</f>
        <v>0</v>
      </c>
      <c r="O26" s="1">
        <f>COUNTIF('役職希望調査 ・備考'!F:F,$B26)</f>
        <v>0</v>
      </c>
      <c r="P26" s="1">
        <f>COUNTIF('役職希望調査 ・備考'!G:G,$B26)</f>
        <v>0</v>
      </c>
      <c r="Q26" s="1">
        <f>COUNTIF('役職希望調査 ・備考'!H:H,$B26)</f>
        <v>0</v>
      </c>
    </row>
    <row r="27" spans="1:17">
      <c r="A27" s="1" t="str">
        <f>D27&amp;COUNTIF($D$2:D27,D27)</f>
        <v>0</v>
      </c>
      <c r="B27" s="4"/>
      <c r="C27" s="4"/>
      <c r="D27" s="4"/>
      <c r="E27" s="4"/>
      <c r="F27" s="1" t="str">
        <f t="shared" si="2"/>
        <v/>
      </c>
      <c r="G27" s="1" t="str">
        <f t="shared" si="2"/>
        <v/>
      </c>
      <c r="H27" s="1" t="str">
        <f t="shared" si="2"/>
        <v/>
      </c>
      <c r="I27" s="1" t="str">
        <f t="shared" si="2"/>
        <v/>
      </c>
      <c r="J27" s="1" t="str">
        <f t="shared" si="2"/>
        <v/>
      </c>
      <c r="K27" s="1" t="str">
        <f t="shared" si="2"/>
        <v/>
      </c>
      <c r="M27" s="1">
        <f>COUNTIF('役職希望調査 ・備考'!D:D,$B27)</f>
        <v>0</v>
      </c>
      <c r="N27" s="1">
        <f>COUNTIF('役職希望調査 ・備考'!E:E,$B27)</f>
        <v>0</v>
      </c>
      <c r="O27" s="1">
        <f>COUNTIF('役職希望調査 ・備考'!F:F,$B27)</f>
        <v>0</v>
      </c>
      <c r="P27" s="1">
        <f>COUNTIF('役職希望調査 ・備考'!G:G,$B27)</f>
        <v>0</v>
      </c>
      <c r="Q27" s="1">
        <f>COUNTIF('役職希望調査 ・備考'!H:H,$B27)</f>
        <v>0</v>
      </c>
    </row>
    <row r="28" spans="1:17">
      <c r="A28" s="1" t="str">
        <f>D28&amp;COUNTIF($D$2:D28,D28)</f>
        <v>0</v>
      </c>
      <c r="B28" s="4"/>
      <c r="C28" s="4"/>
      <c r="D28" s="4"/>
      <c r="E28" s="4"/>
      <c r="F28" s="1" t="str">
        <f t="shared" si="2"/>
        <v/>
      </c>
      <c r="G28" s="1" t="str">
        <f t="shared" si="2"/>
        <v/>
      </c>
      <c r="H28" s="1" t="str">
        <f t="shared" si="2"/>
        <v/>
      </c>
      <c r="I28" s="1" t="str">
        <f t="shared" si="2"/>
        <v/>
      </c>
      <c r="J28" s="1" t="str">
        <f t="shared" si="2"/>
        <v/>
      </c>
      <c r="K28" s="1" t="str">
        <f t="shared" si="2"/>
        <v/>
      </c>
      <c r="M28" s="1">
        <f>COUNTIF('役職希望調査 ・備考'!D:D,$B28)</f>
        <v>0</v>
      </c>
      <c r="N28" s="1">
        <f>COUNTIF('役職希望調査 ・備考'!E:E,$B28)</f>
        <v>0</v>
      </c>
      <c r="O28" s="1">
        <f>COUNTIF('役職希望調査 ・備考'!F:F,$B28)</f>
        <v>0</v>
      </c>
      <c r="P28" s="1">
        <f>COUNTIF('役職希望調査 ・備考'!G:G,$B28)</f>
        <v>0</v>
      </c>
      <c r="Q28" s="1">
        <f>COUNTIF('役職希望調査 ・備考'!H:H,$B28)</f>
        <v>0</v>
      </c>
    </row>
    <row r="29" spans="1:17">
      <c r="A29" s="1" t="str">
        <f>D29&amp;COUNTIF($D$2:D29,D29)</f>
        <v>0</v>
      </c>
      <c r="B29" s="4"/>
      <c r="C29" s="4"/>
      <c r="D29" s="4"/>
      <c r="E29" s="4"/>
      <c r="F29" s="1" t="str">
        <f t="shared" si="2"/>
        <v/>
      </c>
      <c r="G29" s="1" t="str">
        <f t="shared" si="2"/>
        <v/>
      </c>
      <c r="H29" s="1" t="str">
        <f t="shared" si="2"/>
        <v/>
      </c>
      <c r="I29" s="1" t="str">
        <f t="shared" si="2"/>
        <v/>
      </c>
      <c r="J29" s="1" t="str">
        <f t="shared" si="2"/>
        <v/>
      </c>
      <c r="K29" s="1" t="str">
        <f t="shared" si="2"/>
        <v/>
      </c>
      <c r="M29" s="1">
        <f>COUNTIF('役職希望調査 ・備考'!D:D,$B29)</f>
        <v>0</v>
      </c>
      <c r="N29" s="1">
        <f>COUNTIF('役職希望調査 ・備考'!E:E,$B29)</f>
        <v>0</v>
      </c>
      <c r="O29" s="1">
        <f>COUNTIF('役職希望調査 ・備考'!F:F,$B29)</f>
        <v>0</v>
      </c>
      <c r="P29" s="1">
        <f>COUNTIF('役職希望調査 ・備考'!G:G,$B29)</f>
        <v>0</v>
      </c>
      <c r="Q29" s="1">
        <f>COUNTIF('役職希望調査 ・備考'!H:H,$B29)</f>
        <v>0</v>
      </c>
    </row>
    <row r="30" spans="1:17">
      <c r="A30" s="1" t="str">
        <f>D30&amp;COUNTIF($D$2:D30,D30)</f>
        <v>0</v>
      </c>
      <c r="B30" s="4"/>
      <c r="C30" s="4"/>
      <c r="D30" s="4"/>
      <c r="E30" s="4"/>
      <c r="F30" s="1" t="str">
        <f t="shared" si="2"/>
        <v/>
      </c>
      <c r="G30" s="1" t="str">
        <f t="shared" si="2"/>
        <v/>
      </c>
      <c r="H30" s="1" t="str">
        <f t="shared" si="2"/>
        <v/>
      </c>
      <c r="I30" s="1" t="str">
        <f t="shared" si="2"/>
        <v/>
      </c>
      <c r="J30" s="1" t="str">
        <f t="shared" si="2"/>
        <v/>
      </c>
      <c r="K30" s="1" t="str">
        <f t="shared" si="2"/>
        <v/>
      </c>
      <c r="M30" s="1">
        <f>COUNTIF('役職希望調査 ・備考'!D:D,$B30)</f>
        <v>0</v>
      </c>
      <c r="N30" s="1">
        <f>COUNTIF('役職希望調査 ・備考'!E:E,$B30)</f>
        <v>0</v>
      </c>
      <c r="O30" s="1">
        <f>COUNTIF('役職希望調査 ・備考'!F:F,$B30)</f>
        <v>0</v>
      </c>
      <c r="P30" s="1">
        <f>COUNTIF('役職希望調査 ・備考'!G:G,$B30)</f>
        <v>0</v>
      </c>
      <c r="Q30" s="1">
        <f>COUNTIF('役職希望調査 ・備考'!H:H,$B30)</f>
        <v>0</v>
      </c>
    </row>
    <row r="31" spans="1:17">
      <c r="A31" s="1" t="str">
        <f>D31&amp;COUNTIF($D$2:D31,D31)</f>
        <v>0</v>
      </c>
      <c r="B31" s="4"/>
      <c r="C31" s="4"/>
      <c r="D31" s="4"/>
      <c r="E31" s="4"/>
      <c r="F31" s="1" t="str">
        <f t="shared" si="2"/>
        <v/>
      </c>
      <c r="G31" s="1" t="str">
        <f t="shared" si="2"/>
        <v/>
      </c>
      <c r="H31" s="1" t="str">
        <f t="shared" si="2"/>
        <v/>
      </c>
      <c r="I31" s="1" t="str">
        <f t="shared" si="2"/>
        <v/>
      </c>
      <c r="J31" s="1" t="str">
        <f t="shared" si="2"/>
        <v/>
      </c>
      <c r="K31" s="1" t="str">
        <f t="shared" si="2"/>
        <v/>
      </c>
      <c r="M31" s="1">
        <f>COUNTIF('役職希望調査 ・備考'!D:D,$B31)</f>
        <v>0</v>
      </c>
      <c r="N31" s="1">
        <f>COUNTIF('役職希望調査 ・備考'!E:E,$B31)</f>
        <v>0</v>
      </c>
      <c r="O31" s="1">
        <f>COUNTIF('役職希望調査 ・備考'!F:F,$B31)</f>
        <v>0</v>
      </c>
      <c r="P31" s="1">
        <f>COUNTIF('役職希望調査 ・備考'!G:G,$B31)</f>
        <v>0</v>
      </c>
      <c r="Q31" s="1">
        <f>COUNTIF('役職希望調査 ・備考'!H:H,$B31)</f>
        <v>0</v>
      </c>
    </row>
  </sheetData>
  <sheetProtection sheet="1" objects="1" scenarios="1" selectLockedCells="1"/>
  <phoneticPr fontId="1"/>
  <conditionalFormatting sqref="B1:L1 B8:L1048576 F2:L7">
    <cfRule type="expression" dxfId="93" priority="70">
      <formula>COUNTIF($K:$K,$B1)=1</formula>
    </cfRule>
    <cfRule type="expression" dxfId="92" priority="71">
      <formula>COUNTIF($J:$J,$B1)=1</formula>
    </cfRule>
    <cfRule type="expression" dxfId="91" priority="72">
      <formula>COUNTIF($I:$I,$B1)=1</formula>
    </cfRule>
    <cfRule type="expression" dxfId="90" priority="74">
      <formula>COUNTIF($H:$H,$B1)=1</formula>
    </cfRule>
    <cfRule type="expression" dxfId="89" priority="75">
      <formula>COUNTIF($G:$G,$B1)=1</formula>
    </cfRule>
    <cfRule type="expression" dxfId="88" priority="76">
      <formula>COUNTIF($F:$F,$B1)=1</formula>
    </cfRule>
  </conditionalFormatting>
  <conditionalFormatting sqref="B2:E7">
    <cfRule type="expression" dxfId="87" priority="1">
      <formula>COUNTIF($K:$K,$B2)=1</formula>
    </cfRule>
    <cfRule type="expression" dxfId="86" priority="2">
      <formula>COUNTIF($J:$J,$B2)=1</formula>
    </cfRule>
    <cfRule type="expression" dxfId="85" priority="3">
      <formula>COUNTIF($I:$I,$B2)=1</formula>
    </cfRule>
    <cfRule type="expression" dxfId="84" priority="4">
      <formula>COUNTIF($H:$H,$B2)=1</formula>
    </cfRule>
    <cfRule type="expression" dxfId="83" priority="5">
      <formula>COUNTIF($G:$G,$B2)=1</formula>
    </cfRule>
    <cfRule type="expression" dxfId="82" priority="6">
      <formula>COUNTIF($F:$F,$B2)=1</formula>
    </cfRule>
  </conditionalFormatting>
  <dataValidations count="2">
    <dataValidation type="list" errorStyle="warning" allowBlank="1" showInputMessage="1" showErrorMessage="1" errorTitle="無効な色" error="リストにない色を指定すると白として扱われます。" sqref="D1:D1048576" xr:uid="{6B64E666-5143-0142-8649-55A14451218D}">
      <formula1>"赤,オレンジ,黄色,緑,青,紫,白"</formula1>
    </dataValidation>
    <dataValidation type="custom" allowBlank="1" showInputMessage="1" showErrorMessage="1" errorTitle="重複した記号" error="同じ記号は一回までしか使えません。" sqref="B1:C1048576" xr:uid="{3EBB6F62-4BF9-1E4A-9B1B-7D4C8BA2A6ED}">
      <formula1>COUNTIF(B:B,B1)&lt;2</formula1>
    </dataValidation>
  </dataValidations>
  <pageMargins left="0.7" right="0.7" top="0.75" bottom="0.75" header="0.3" footer="0.3"/>
  <pageSetup paperSize="9"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678FC7-F715-9E49-8F81-1359365E3327}">
  <sheetPr codeName="TimeQuestion"/>
  <dimension ref="A1:BB11"/>
  <sheetViews>
    <sheetView workbookViewId="0">
      <pane xSplit="4" ySplit="1" topLeftCell="E2" activePane="bottomRight" state="frozen"/>
      <selection pane="topRight" activeCell="E1" sqref="E1"/>
      <selection pane="bottomLeft" activeCell="A2" sqref="A2"/>
      <selection pane="bottomRight" activeCell="A2" sqref="A2:N14"/>
    </sheetView>
  </sheetViews>
  <sheetFormatPr baseColWidth="10" defaultRowHeight="20"/>
  <cols>
    <col min="1" max="1" width="4.42578125" style="4" bestFit="1" customWidth="1"/>
    <col min="2" max="2" width="5.140625" style="4" bestFit="1" customWidth="1"/>
    <col min="3" max="3" width="15.7109375" style="4" bestFit="1" customWidth="1"/>
    <col min="4" max="4" width="6.85546875" style="4" bestFit="1" customWidth="1"/>
    <col min="5" max="54" width="6.140625" style="4" customWidth="1"/>
    <col min="55" max="16384" width="10.7109375" style="1"/>
  </cols>
  <sheetData>
    <row r="1" spans="1:54" s="5" customFormat="1">
      <c r="A1" s="5" t="s">
        <v>3</v>
      </c>
      <c r="B1" s="5" t="s">
        <v>8</v>
      </c>
      <c r="C1" s="5" t="s">
        <v>2</v>
      </c>
      <c r="D1" s="5" t="s">
        <v>23</v>
      </c>
      <c r="E1" s="5" t="str">
        <f>IFERROR(VLOOKUP(COLUMN()-4,時間帯一覧!$A:$B,2,FALSE),"")&amp;""</f>
        <v>10:00</v>
      </c>
      <c r="F1" s="5" t="str">
        <f>IFERROR(VLOOKUP(COLUMN()-4,時間帯一覧!$A:$B,2,FALSE),"")&amp;""</f>
        <v>10:30</v>
      </c>
      <c r="G1" s="5" t="str">
        <f>IFERROR(VLOOKUP(COLUMN()-4,時間帯一覧!$A:$B,2,FALSE),"")&amp;""</f>
        <v>11:00</v>
      </c>
      <c r="H1" s="5" t="str">
        <f>IFERROR(VLOOKUP(COLUMN()-4,時間帯一覧!$A:$B,2,FALSE),"")&amp;""</f>
        <v>11:30</v>
      </c>
      <c r="I1" s="5" t="str">
        <f>IFERROR(VLOOKUP(COLUMN()-4,時間帯一覧!$A:$B,2,FALSE),"")&amp;""</f>
        <v>12:00</v>
      </c>
      <c r="J1" s="5" t="str">
        <f>IFERROR(VLOOKUP(COLUMN()-4,時間帯一覧!$A:$B,2,FALSE),"")&amp;""</f>
        <v>12:30</v>
      </c>
      <c r="K1" s="5" t="str">
        <f>IFERROR(VLOOKUP(COLUMN()-4,時間帯一覧!$A:$B,2,FALSE),"")&amp;""</f>
        <v>13:00</v>
      </c>
      <c r="L1" s="5" t="str">
        <f>IFERROR(VLOOKUP(COLUMN()-4,時間帯一覧!$A:$B,2,FALSE),"")&amp;""</f>
        <v>13:30</v>
      </c>
      <c r="M1" s="5" t="str">
        <f>IFERROR(VLOOKUP(COLUMN()-4,時間帯一覧!$A:$B,2,FALSE),"")&amp;""</f>
        <v>14:00</v>
      </c>
      <c r="N1" s="5" t="str">
        <f>IFERROR(VLOOKUP(COLUMN()-4,時間帯一覧!$A:$B,2,FALSE),"")&amp;""</f>
        <v/>
      </c>
      <c r="O1" s="5" t="str">
        <f>IFERROR(VLOOKUP(COLUMN()-4,時間帯一覧!$A:$B,2,FALSE),"")&amp;""</f>
        <v/>
      </c>
      <c r="P1" s="5" t="str">
        <f>IFERROR(VLOOKUP(COLUMN()-4,時間帯一覧!$A:$B,2,FALSE),"")&amp;""</f>
        <v/>
      </c>
      <c r="Q1" s="5" t="str">
        <f>IFERROR(VLOOKUP(COLUMN()-4,時間帯一覧!$A:$B,2,FALSE),"")&amp;""</f>
        <v/>
      </c>
      <c r="R1" s="5" t="str">
        <f>IFERROR(VLOOKUP(COLUMN()-4,時間帯一覧!$A:$B,2,FALSE),"")&amp;""</f>
        <v/>
      </c>
      <c r="S1" s="5" t="str">
        <f>IFERROR(VLOOKUP(COLUMN()-4,時間帯一覧!$A:$B,2,FALSE),"")&amp;""</f>
        <v/>
      </c>
      <c r="T1" s="5" t="str">
        <f>IFERROR(VLOOKUP(COLUMN()-4,時間帯一覧!$A:$B,2,FALSE),"")&amp;""</f>
        <v/>
      </c>
      <c r="U1" s="5" t="str">
        <f>IFERROR(VLOOKUP(COLUMN()-4,時間帯一覧!$A:$B,2,FALSE),"")&amp;""</f>
        <v/>
      </c>
      <c r="V1" s="5" t="str">
        <f>IFERROR(VLOOKUP(COLUMN()-4,時間帯一覧!$A:$B,2,FALSE),"")&amp;""</f>
        <v/>
      </c>
      <c r="W1" s="5" t="str">
        <f>IFERROR(VLOOKUP(COLUMN()-4,時間帯一覧!$A:$B,2,FALSE),"")&amp;""</f>
        <v/>
      </c>
      <c r="X1" s="5" t="str">
        <f>IFERROR(VLOOKUP(COLUMN()-4,時間帯一覧!$A:$B,2,FALSE),"")&amp;""</f>
        <v/>
      </c>
      <c r="Y1" s="5" t="str">
        <f>IFERROR(VLOOKUP(COLUMN()-4,時間帯一覧!$A:$B,2,FALSE),"")&amp;""</f>
        <v/>
      </c>
      <c r="Z1" s="5" t="str">
        <f>IFERROR(VLOOKUP(COLUMN()-4,時間帯一覧!$A:$B,2,FALSE),"")&amp;""</f>
        <v/>
      </c>
      <c r="AA1" s="5" t="str">
        <f>IFERROR(VLOOKUP(COLUMN()-4,時間帯一覧!$A:$B,2,FALSE),"")&amp;""</f>
        <v/>
      </c>
      <c r="AB1" s="5" t="str">
        <f>IFERROR(VLOOKUP(COLUMN()-4,時間帯一覧!$A:$B,2,FALSE),"")&amp;""</f>
        <v/>
      </c>
      <c r="AC1" s="5" t="str">
        <f>IFERROR(VLOOKUP(COLUMN()-4,時間帯一覧!$A:$B,2,FALSE),"")&amp;""</f>
        <v/>
      </c>
      <c r="AD1" s="5" t="str">
        <f>IFERROR(VLOOKUP(COLUMN()-4,時間帯一覧!$A:$B,2,FALSE),"")&amp;""</f>
        <v/>
      </c>
      <c r="AE1" s="5" t="str">
        <f>IFERROR(VLOOKUP(COLUMN()-4,時間帯一覧!$A:$B,2,FALSE),"")&amp;""</f>
        <v/>
      </c>
      <c r="AF1" s="5" t="str">
        <f>IFERROR(VLOOKUP(COLUMN()-4,時間帯一覧!$A:$B,2,FALSE),"")&amp;""</f>
        <v/>
      </c>
      <c r="AG1" s="5" t="str">
        <f>IFERROR(VLOOKUP(COLUMN()-4,時間帯一覧!$A:$B,2,FALSE),"")&amp;""</f>
        <v/>
      </c>
      <c r="AH1" s="5" t="str">
        <f>IFERROR(VLOOKUP(COLUMN()-4,時間帯一覧!$A:$B,2,FALSE),"")&amp;""</f>
        <v/>
      </c>
      <c r="AI1" s="5" t="str">
        <f>IFERROR(VLOOKUP(COLUMN()-4,時間帯一覧!$A:$B,2,FALSE),"")&amp;""</f>
        <v/>
      </c>
      <c r="AJ1" s="5" t="str">
        <f>IFERROR(VLOOKUP(COLUMN()-4,時間帯一覧!$A:$B,2,FALSE),"")&amp;""</f>
        <v/>
      </c>
      <c r="AK1" s="5" t="str">
        <f>IFERROR(VLOOKUP(COLUMN()-4,時間帯一覧!$A:$B,2,FALSE),"")&amp;""</f>
        <v/>
      </c>
      <c r="AL1" s="5" t="str">
        <f>IFERROR(VLOOKUP(COLUMN()-4,時間帯一覧!$A:$B,2,FALSE),"")&amp;""</f>
        <v/>
      </c>
      <c r="AM1" s="5" t="str">
        <f>IFERROR(VLOOKUP(COLUMN()-4,時間帯一覧!$A:$B,2,FALSE),"")&amp;""</f>
        <v/>
      </c>
      <c r="AN1" s="5" t="str">
        <f>IFERROR(VLOOKUP(COLUMN()-4,時間帯一覧!$A:$B,2,FALSE),"")&amp;""</f>
        <v/>
      </c>
      <c r="AO1" s="5" t="str">
        <f>IFERROR(VLOOKUP(COLUMN()-4,時間帯一覧!$A:$B,2,FALSE),"")&amp;""</f>
        <v/>
      </c>
      <c r="AP1" s="5" t="str">
        <f>IFERROR(VLOOKUP(COLUMN()-4,時間帯一覧!$A:$B,2,FALSE),"")&amp;""</f>
        <v/>
      </c>
      <c r="AQ1" s="5" t="str">
        <f>IFERROR(VLOOKUP(COLUMN()-4,時間帯一覧!$A:$B,2,FALSE),"")&amp;""</f>
        <v/>
      </c>
      <c r="AR1" s="5" t="str">
        <f>IFERROR(VLOOKUP(COLUMN()-4,時間帯一覧!$A:$B,2,FALSE),"")&amp;""</f>
        <v/>
      </c>
      <c r="AS1" s="5" t="str">
        <f>IFERROR(VLOOKUP(COLUMN()-4,時間帯一覧!$A:$B,2,FALSE),"")&amp;""</f>
        <v/>
      </c>
      <c r="AT1" s="5" t="str">
        <f>IFERROR(VLOOKUP(COLUMN()-4,時間帯一覧!$A:$B,2,FALSE),"")&amp;""</f>
        <v/>
      </c>
      <c r="AU1" s="5" t="str">
        <f>IFERROR(VLOOKUP(COLUMN()-4,時間帯一覧!$A:$B,2,FALSE),"")&amp;""</f>
        <v/>
      </c>
      <c r="AV1" s="5" t="str">
        <f>IFERROR(VLOOKUP(COLUMN()-4,時間帯一覧!$A:$B,2,FALSE),"")&amp;""</f>
        <v/>
      </c>
      <c r="AW1" s="5" t="str">
        <f>IFERROR(VLOOKUP(COLUMN()-4,時間帯一覧!$A:$B,2,FALSE),"")&amp;""</f>
        <v/>
      </c>
      <c r="AX1" s="5" t="str">
        <f>IFERROR(VLOOKUP(COLUMN()-4,時間帯一覧!$A:$B,2,FALSE),"")&amp;""</f>
        <v/>
      </c>
      <c r="AY1" s="5" t="str">
        <f>IFERROR(VLOOKUP(COLUMN()-4,時間帯一覧!$A:$B,2,FALSE),"")&amp;""</f>
        <v/>
      </c>
      <c r="AZ1" s="5" t="str">
        <f>IFERROR(VLOOKUP(COLUMN()-4,時間帯一覧!$A:$B,2,FALSE),"")&amp;""</f>
        <v/>
      </c>
      <c r="BA1" s="5" t="str">
        <f>IFERROR(VLOOKUP(COLUMN()-4,時間帯一覧!$A:$B,2,FALSE),"")&amp;""</f>
        <v/>
      </c>
      <c r="BB1" s="5" t="str">
        <f>IFERROR(VLOOKUP(COLUMN()-4,時間帯一覧!$A:$B,2,FALSE),"")&amp;""</f>
        <v/>
      </c>
    </row>
    <row r="2" spans="1:54">
      <c r="A2" s="4">
        <v>1</v>
      </c>
      <c r="C2" s="4" t="s">
        <v>80</v>
      </c>
      <c r="D2" s="4">
        <v>10</v>
      </c>
      <c r="F2" s="4" t="s">
        <v>56</v>
      </c>
      <c r="G2" s="4" t="s">
        <v>56</v>
      </c>
      <c r="H2" s="4" t="s">
        <v>81</v>
      </c>
      <c r="I2" s="4" t="s">
        <v>55</v>
      </c>
      <c r="J2" s="4" t="s">
        <v>55</v>
      </c>
      <c r="K2" s="4" t="s">
        <v>56</v>
      </c>
      <c r="L2" s="4" t="s">
        <v>55</v>
      </c>
      <c r="M2" s="4" t="s">
        <v>56</v>
      </c>
    </row>
    <row r="3" spans="1:54">
      <c r="A3" s="4">
        <v>2</v>
      </c>
      <c r="C3" s="4" t="s">
        <v>82</v>
      </c>
      <c r="D3" s="4">
        <v>1</v>
      </c>
      <c r="J3" s="4" t="s">
        <v>56</v>
      </c>
    </row>
    <row r="4" spans="1:54">
      <c r="A4" s="4">
        <v>3</v>
      </c>
      <c r="C4" s="4" t="s">
        <v>83</v>
      </c>
      <c r="D4" s="4">
        <v>1</v>
      </c>
    </row>
    <row r="5" spans="1:54">
      <c r="A5" s="4">
        <v>4</v>
      </c>
      <c r="C5" s="4" t="s">
        <v>84</v>
      </c>
      <c r="D5" s="4">
        <v>10</v>
      </c>
    </row>
    <row r="6" spans="1:54">
      <c r="A6" s="4">
        <v>5</v>
      </c>
    </row>
    <row r="7" spans="1:54">
      <c r="A7" s="4">
        <v>6</v>
      </c>
    </row>
    <row r="8" spans="1:54">
      <c r="A8" s="4">
        <v>7</v>
      </c>
    </row>
    <row r="9" spans="1:54">
      <c r="A9" s="4">
        <v>8</v>
      </c>
    </row>
    <row r="10" spans="1:54">
      <c r="A10" s="4">
        <v>9</v>
      </c>
    </row>
    <row r="11" spans="1:54">
      <c r="A11" s="4">
        <v>10</v>
      </c>
    </row>
  </sheetData>
  <sheetProtection sheet="1" objects="1" scenarios="1" selectLockedCells="1"/>
  <phoneticPr fontId="1"/>
  <conditionalFormatting sqref="E1:BB1 E15:BB1048576 O2:BB14">
    <cfRule type="expression" dxfId="81" priority="4">
      <formula>E1="x"</formula>
    </cfRule>
    <cfRule type="expression" dxfId="80" priority="5">
      <formula>E1="?"</formula>
    </cfRule>
  </conditionalFormatting>
  <conditionalFormatting sqref="E52:BB334">
    <cfRule type="expression" dxfId="79" priority="3">
      <formula>E2</formula>
    </cfRule>
  </conditionalFormatting>
  <conditionalFormatting sqref="E2:N14">
    <cfRule type="expression" dxfId="78" priority="1">
      <formula>E2="x"</formula>
    </cfRule>
    <cfRule type="expression" dxfId="77" priority="2">
      <formula>E2="?"</formula>
    </cfRule>
  </conditionalFormatting>
  <dataValidations count="1">
    <dataValidation type="list" errorStyle="warning" allowBlank="1" showInputMessage="1" showErrorMessage="1" errorTitle="選択肢から選んでください。" sqref="E1:BB1048576" xr:uid="{71E8782E-8D47-F34E-BC41-8A15BE146096}">
      <formula1>"o,?,x"</formula1>
    </dataValidation>
  </dataValidations>
  <pageMargins left="0.7" right="0.7" top="0.75" bottom="0.75" header="0.3" footer="0.3"/>
  <pageSetup paperSize="9"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B51A93-7D61-D241-9FD0-0EF9E96E2122}">
  <sheetPr codeName="JobQuestion"/>
  <dimension ref="A1:I292"/>
  <sheetViews>
    <sheetView workbookViewId="0">
      <selection activeCell="D2" sqref="D2"/>
    </sheetView>
  </sheetViews>
  <sheetFormatPr baseColWidth="10" defaultRowHeight="20"/>
  <cols>
    <col min="1" max="2" width="10.7109375" style="1"/>
    <col min="3" max="3" width="15.7109375" style="1" bestFit="1" customWidth="1"/>
    <col min="4" max="8" width="10.7109375" style="4"/>
    <col min="9" max="9" width="50.140625" style="15" customWidth="1"/>
    <col min="10" max="16384" width="10.7109375" style="1"/>
  </cols>
  <sheetData>
    <row r="1" spans="1:9">
      <c r="A1" s="1" t="s">
        <v>3</v>
      </c>
      <c r="B1" s="1" t="s">
        <v>8</v>
      </c>
      <c r="C1" s="1" t="s">
        <v>2</v>
      </c>
      <c r="D1" s="5" t="str">
        <f t="shared" ref="D1:H1" si="0">"第"&amp;COLUMN()-3&amp;"希望"</f>
        <v>第1希望</v>
      </c>
      <c r="E1" s="5" t="str">
        <f t="shared" si="0"/>
        <v>第2希望</v>
      </c>
      <c r="F1" s="5" t="str">
        <f t="shared" si="0"/>
        <v>第3希望</v>
      </c>
      <c r="G1" s="5" t="str">
        <f t="shared" si="0"/>
        <v>第4希望</v>
      </c>
      <c r="H1" s="5" t="str">
        <f t="shared" si="0"/>
        <v>第5希望</v>
      </c>
      <c r="I1" s="16" t="s">
        <v>53</v>
      </c>
    </row>
    <row r="2" spans="1:9">
      <c r="A2" s="1" t="str">
        <f>時間希望調査!A2&amp;""</f>
        <v>1</v>
      </c>
      <c r="B2" s="1" t="str">
        <f>時間希望調査!B2&amp;""</f>
        <v/>
      </c>
      <c r="C2" s="1" t="str">
        <f>時間希望調査!C2&amp;""</f>
        <v>キズナアイ</v>
      </c>
    </row>
    <row r="3" spans="1:9">
      <c r="A3" s="1" t="str">
        <f>時間希望調査!A3&amp;""</f>
        <v>2</v>
      </c>
      <c r="B3" s="1" t="str">
        <f>時間希望調査!B3&amp;""</f>
        <v/>
      </c>
      <c r="C3" s="1" t="str">
        <f>時間希望調査!C3&amp;""</f>
        <v>輝夜月</v>
      </c>
    </row>
    <row r="4" spans="1:9">
      <c r="A4" s="1" t="str">
        <f>時間希望調査!A4&amp;""</f>
        <v>3</v>
      </c>
      <c r="B4" s="1" t="str">
        <f>時間希望調査!B4&amp;""</f>
        <v/>
      </c>
      <c r="C4" s="1" t="str">
        <f>時間希望調査!C4&amp;""</f>
        <v>ときのそら</v>
      </c>
    </row>
    <row r="5" spans="1:9">
      <c r="A5" s="1" t="str">
        <f>時間希望調査!A5&amp;""</f>
        <v>4</v>
      </c>
      <c r="B5" s="1" t="str">
        <f>時間希望調査!B5&amp;""</f>
        <v/>
      </c>
      <c r="C5" s="1" t="str">
        <f>時間希望調査!C5&amp;""</f>
        <v>はじめしゃちょー</v>
      </c>
    </row>
    <row r="6" spans="1:9">
      <c r="A6" s="1" t="str">
        <f>時間希望調査!A6&amp;""</f>
        <v>5</v>
      </c>
      <c r="B6" s="1" t="str">
        <f>時間希望調査!B6&amp;""</f>
        <v/>
      </c>
      <c r="C6" s="1" t="str">
        <f>時間希望調査!C6&amp;""</f>
        <v/>
      </c>
    </row>
    <row r="7" spans="1:9">
      <c r="A7" s="1" t="str">
        <f>時間希望調査!A7&amp;""</f>
        <v>6</v>
      </c>
      <c r="B7" s="1" t="str">
        <f>時間希望調査!B7&amp;""</f>
        <v/>
      </c>
      <c r="C7" s="1" t="str">
        <f>時間希望調査!C7&amp;""</f>
        <v/>
      </c>
    </row>
    <row r="8" spans="1:9">
      <c r="A8" s="1" t="str">
        <f>時間希望調査!A8&amp;""</f>
        <v>7</v>
      </c>
      <c r="B8" s="1" t="str">
        <f>時間希望調査!B8&amp;""</f>
        <v/>
      </c>
      <c r="C8" s="1" t="str">
        <f>時間希望調査!C8&amp;""</f>
        <v/>
      </c>
    </row>
    <row r="9" spans="1:9">
      <c r="A9" s="1" t="str">
        <f>時間希望調査!A9&amp;""</f>
        <v>8</v>
      </c>
      <c r="B9" s="1" t="str">
        <f>時間希望調査!B9&amp;""</f>
        <v/>
      </c>
      <c r="C9" s="1" t="str">
        <f>時間希望調査!C9&amp;""</f>
        <v/>
      </c>
    </row>
    <row r="10" spans="1:9">
      <c r="A10" s="1" t="str">
        <f>時間希望調査!A10&amp;""</f>
        <v>9</v>
      </c>
      <c r="B10" s="1" t="str">
        <f>時間希望調査!B10&amp;""</f>
        <v/>
      </c>
      <c r="C10" s="1" t="str">
        <f>時間希望調査!C10&amp;""</f>
        <v/>
      </c>
    </row>
    <row r="11" spans="1:9">
      <c r="A11" s="1" t="str">
        <f>時間希望調査!A11&amp;""</f>
        <v>10</v>
      </c>
      <c r="B11" s="1" t="str">
        <f>時間希望調査!B11&amp;""</f>
        <v/>
      </c>
      <c r="C11" s="1" t="str">
        <f>時間希望調査!C11&amp;""</f>
        <v/>
      </c>
    </row>
    <row r="12" spans="1:9">
      <c r="A12" s="1" t="str">
        <f>時間希望調査!A12&amp;""</f>
        <v/>
      </c>
      <c r="B12" s="1" t="str">
        <f>時間希望調査!B12&amp;""</f>
        <v/>
      </c>
      <c r="C12" s="1" t="str">
        <f>時間希望調査!C12&amp;""</f>
        <v/>
      </c>
    </row>
    <row r="13" spans="1:9">
      <c r="A13" s="1" t="str">
        <f>時間希望調査!A13&amp;""</f>
        <v/>
      </c>
      <c r="B13" s="1" t="str">
        <f>時間希望調査!B13&amp;""</f>
        <v/>
      </c>
      <c r="C13" s="1" t="str">
        <f>時間希望調査!C13&amp;""</f>
        <v/>
      </c>
    </row>
    <row r="14" spans="1:9">
      <c r="A14" s="1" t="str">
        <f>時間希望調査!A14&amp;""</f>
        <v/>
      </c>
      <c r="B14" s="1" t="str">
        <f>時間希望調査!B14&amp;""</f>
        <v/>
      </c>
      <c r="C14" s="1" t="str">
        <f>時間希望調査!C14&amp;""</f>
        <v/>
      </c>
    </row>
    <row r="15" spans="1:9">
      <c r="A15" s="1" t="str">
        <f>時間希望調査!A15&amp;""</f>
        <v/>
      </c>
      <c r="B15" s="1" t="str">
        <f>時間希望調査!B15&amp;""</f>
        <v/>
      </c>
      <c r="C15" s="1" t="str">
        <f>時間希望調査!C15&amp;""</f>
        <v/>
      </c>
    </row>
    <row r="16" spans="1:9">
      <c r="A16" s="1" t="str">
        <f>時間希望調査!A16&amp;""</f>
        <v/>
      </c>
      <c r="B16" s="1" t="str">
        <f>時間希望調査!B16&amp;""</f>
        <v/>
      </c>
      <c r="C16" s="1" t="str">
        <f>時間希望調査!C16&amp;""</f>
        <v/>
      </c>
    </row>
    <row r="17" spans="1:3">
      <c r="A17" s="1" t="str">
        <f>時間希望調査!A17&amp;""</f>
        <v/>
      </c>
      <c r="B17" s="1" t="str">
        <f>時間希望調査!B17&amp;""</f>
        <v/>
      </c>
      <c r="C17" s="1" t="str">
        <f>時間希望調査!C17&amp;""</f>
        <v/>
      </c>
    </row>
    <row r="18" spans="1:3">
      <c r="A18" s="1" t="str">
        <f>時間希望調査!A18&amp;""</f>
        <v/>
      </c>
      <c r="B18" s="1" t="str">
        <f>時間希望調査!B18&amp;""</f>
        <v/>
      </c>
      <c r="C18" s="1" t="str">
        <f>時間希望調査!C18&amp;""</f>
        <v/>
      </c>
    </row>
    <row r="19" spans="1:3">
      <c r="A19" s="1" t="str">
        <f>時間希望調査!A19&amp;""</f>
        <v/>
      </c>
      <c r="B19" s="1" t="str">
        <f>時間希望調査!B19&amp;""</f>
        <v/>
      </c>
      <c r="C19" s="1" t="str">
        <f>時間希望調査!C19&amp;""</f>
        <v/>
      </c>
    </row>
    <row r="20" spans="1:3">
      <c r="A20" s="1" t="str">
        <f>時間希望調査!A20&amp;""</f>
        <v/>
      </c>
      <c r="B20" s="1" t="str">
        <f>時間希望調査!B20&amp;""</f>
        <v/>
      </c>
      <c r="C20" s="1" t="str">
        <f>時間希望調査!C20&amp;""</f>
        <v/>
      </c>
    </row>
    <row r="21" spans="1:3">
      <c r="A21" s="1" t="str">
        <f>時間希望調査!A21&amp;""</f>
        <v/>
      </c>
      <c r="B21" s="1" t="str">
        <f>時間希望調査!B21&amp;""</f>
        <v/>
      </c>
      <c r="C21" s="1" t="str">
        <f>時間希望調査!C21&amp;""</f>
        <v/>
      </c>
    </row>
    <row r="22" spans="1:3">
      <c r="A22" s="1" t="str">
        <f>時間希望調査!A22&amp;""</f>
        <v/>
      </c>
      <c r="B22" s="1" t="str">
        <f>時間希望調査!B22&amp;""</f>
        <v/>
      </c>
      <c r="C22" s="1" t="str">
        <f>時間希望調査!C22&amp;""</f>
        <v/>
      </c>
    </row>
    <row r="23" spans="1:3">
      <c r="A23" s="1" t="str">
        <f>時間希望調査!A23&amp;""</f>
        <v/>
      </c>
      <c r="B23" s="1" t="str">
        <f>時間希望調査!B23&amp;""</f>
        <v/>
      </c>
      <c r="C23" s="1" t="str">
        <f>時間希望調査!C23&amp;""</f>
        <v/>
      </c>
    </row>
    <row r="24" spans="1:3">
      <c r="A24" s="1" t="str">
        <f>時間希望調査!A24&amp;""</f>
        <v/>
      </c>
      <c r="B24" s="1" t="str">
        <f>時間希望調査!B24&amp;""</f>
        <v/>
      </c>
      <c r="C24" s="1" t="str">
        <f>時間希望調査!C24&amp;""</f>
        <v/>
      </c>
    </row>
    <row r="25" spans="1:3">
      <c r="A25" s="1" t="str">
        <f>時間希望調査!A25&amp;""</f>
        <v/>
      </c>
      <c r="B25" s="1" t="str">
        <f>時間希望調査!B25&amp;""</f>
        <v/>
      </c>
      <c r="C25" s="1" t="str">
        <f>時間希望調査!C25&amp;""</f>
        <v/>
      </c>
    </row>
    <row r="26" spans="1:3">
      <c r="A26" s="1" t="str">
        <f>時間希望調査!A26&amp;""</f>
        <v/>
      </c>
      <c r="B26" s="1" t="str">
        <f>時間希望調査!B26&amp;""</f>
        <v/>
      </c>
      <c r="C26" s="1" t="str">
        <f>時間希望調査!C26&amp;""</f>
        <v/>
      </c>
    </row>
    <row r="27" spans="1:3">
      <c r="A27" s="1" t="str">
        <f>時間希望調査!A27&amp;""</f>
        <v/>
      </c>
      <c r="B27" s="1" t="str">
        <f>時間希望調査!B27&amp;""</f>
        <v/>
      </c>
      <c r="C27" s="1" t="str">
        <f>時間希望調査!C27&amp;""</f>
        <v/>
      </c>
    </row>
    <row r="28" spans="1:3">
      <c r="A28" s="1" t="str">
        <f>時間希望調査!A28&amp;""</f>
        <v/>
      </c>
      <c r="B28" s="1" t="str">
        <f>時間希望調査!B28&amp;""</f>
        <v/>
      </c>
      <c r="C28" s="1" t="str">
        <f>時間希望調査!C28&amp;""</f>
        <v/>
      </c>
    </row>
    <row r="29" spans="1:3">
      <c r="A29" s="1" t="str">
        <f>時間希望調査!A29&amp;""</f>
        <v/>
      </c>
      <c r="B29" s="1" t="str">
        <f>時間希望調査!B29&amp;""</f>
        <v/>
      </c>
      <c r="C29" s="1" t="str">
        <f>時間希望調査!C29&amp;""</f>
        <v/>
      </c>
    </row>
    <row r="30" spans="1:3">
      <c r="A30" s="1" t="str">
        <f>時間希望調査!A30&amp;""</f>
        <v/>
      </c>
      <c r="B30" s="1" t="str">
        <f>時間希望調査!B30&amp;""</f>
        <v/>
      </c>
      <c r="C30" s="1" t="str">
        <f>時間希望調査!C30&amp;""</f>
        <v/>
      </c>
    </row>
    <row r="31" spans="1:3">
      <c r="A31" s="1" t="str">
        <f>時間希望調査!A31&amp;""</f>
        <v/>
      </c>
      <c r="B31" s="1" t="str">
        <f>時間希望調査!B31&amp;""</f>
        <v/>
      </c>
      <c r="C31" s="1" t="str">
        <f>時間希望調査!C31&amp;""</f>
        <v/>
      </c>
    </row>
    <row r="32" spans="1:3">
      <c r="A32" s="1" t="str">
        <f>時間希望調査!A32&amp;""</f>
        <v/>
      </c>
      <c r="B32" s="1" t="str">
        <f>時間希望調査!B32&amp;""</f>
        <v/>
      </c>
      <c r="C32" s="1" t="str">
        <f>時間希望調査!C32&amp;""</f>
        <v/>
      </c>
    </row>
    <row r="33" spans="1:3">
      <c r="A33" s="1" t="str">
        <f>時間希望調査!A33&amp;""</f>
        <v/>
      </c>
      <c r="B33" s="1" t="str">
        <f>時間希望調査!B33&amp;""</f>
        <v/>
      </c>
      <c r="C33" s="1" t="str">
        <f>時間希望調査!C33&amp;""</f>
        <v/>
      </c>
    </row>
    <row r="34" spans="1:3">
      <c r="A34" s="1" t="str">
        <f>時間希望調査!A34&amp;""</f>
        <v/>
      </c>
      <c r="B34" s="1" t="str">
        <f>時間希望調査!B34&amp;""</f>
        <v/>
      </c>
      <c r="C34" s="1" t="str">
        <f>時間希望調査!C34&amp;""</f>
        <v/>
      </c>
    </row>
    <row r="35" spans="1:3">
      <c r="A35" s="1" t="str">
        <f>時間希望調査!A35&amp;""</f>
        <v/>
      </c>
      <c r="B35" s="1" t="str">
        <f>時間希望調査!B35&amp;""</f>
        <v/>
      </c>
      <c r="C35" s="1" t="str">
        <f>時間希望調査!C35&amp;""</f>
        <v/>
      </c>
    </row>
    <row r="36" spans="1:3">
      <c r="A36" s="1" t="str">
        <f>時間希望調査!A36&amp;""</f>
        <v/>
      </c>
      <c r="B36" s="1" t="str">
        <f>時間希望調査!B36&amp;""</f>
        <v/>
      </c>
      <c r="C36" s="1" t="str">
        <f>時間希望調査!C36&amp;""</f>
        <v/>
      </c>
    </row>
    <row r="37" spans="1:3">
      <c r="A37" s="1" t="str">
        <f>時間希望調査!A37&amp;""</f>
        <v/>
      </c>
      <c r="B37" s="1" t="str">
        <f>時間希望調査!B37&amp;""</f>
        <v/>
      </c>
      <c r="C37" s="1" t="str">
        <f>時間希望調査!C37&amp;""</f>
        <v/>
      </c>
    </row>
    <row r="38" spans="1:3">
      <c r="A38" s="1" t="str">
        <f>時間希望調査!A38&amp;""</f>
        <v/>
      </c>
      <c r="B38" s="1" t="str">
        <f>時間希望調査!B38&amp;""</f>
        <v/>
      </c>
      <c r="C38" s="1" t="str">
        <f>時間希望調査!C38&amp;""</f>
        <v/>
      </c>
    </row>
    <row r="39" spans="1:3">
      <c r="A39" s="1" t="str">
        <f>時間希望調査!A39&amp;""</f>
        <v/>
      </c>
      <c r="B39" s="1" t="str">
        <f>時間希望調査!B39&amp;""</f>
        <v/>
      </c>
      <c r="C39" s="1" t="str">
        <f>時間希望調査!C39&amp;""</f>
        <v/>
      </c>
    </row>
    <row r="40" spans="1:3">
      <c r="A40" s="1" t="str">
        <f>時間希望調査!A40&amp;""</f>
        <v/>
      </c>
      <c r="B40" s="1" t="str">
        <f>時間希望調査!B40&amp;""</f>
        <v/>
      </c>
      <c r="C40" s="1" t="str">
        <f>時間希望調査!C40&amp;""</f>
        <v/>
      </c>
    </row>
    <row r="41" spans="1:3">
      <c r="A41" s="1" t="str">
        <f>時間希望調査!A41&amp;""</f>
        <v/>
      </c>
      <c r="B41" s="1" t="str">
        <f>時間希望調査!B41&amp;""</f>
        <v/>
      </c>
      <c r="C41" s="1" t="str">
        <f>時間希望調査!C41&amp;""</f>
        <v/>
      </c>
    </row>
    <row r="42" spans="1:3">
      <c r="A42" s="1" t="str">
        <f>時間希望調査!A42&amp;""</f>
        <v/>
      </c>
      <c r="B42" s="1" t="str">
        <f>時間希望調査!B42&amp;""</f>
        <v/>
      </c>
      <c r="C42" s="1" t="str">
        <f>時間希望調査!C42&amp;""</f>
        <v/>
      </c>
    </row>
    <row r="43" spans="1:3">
      <c r="A43" s="1" t="str">
        <f>時間希望調査!A43&amp;""</f>
        <v/>
      </c>
      <c r="B43" s="1" t="str">
        <f>時間希望調査!B43&amp;""</f>
        <v/>
      </c>
      <c r="C43" s="1" t="str">
        <f>時間希望調査!C43&amp;""</f>
        <v/>
      </c>
    </row>
    <row r="44" spans="1:3">
      <c r="A44" s="1" t="str">
        <f>時間希望調査!A44&amp;""</f>
        <v/>
      </c>
      <c r="B44" s="1" t="str">
        <f>時間希望調査!B44&amp;""</f>
        <v/>
      </c>
      <c r="C44" s="1" t="str">
        <f>時間希望調査!C44&amp;""</f>
        <v/>
      </c>
    </row>
    <row r="45" spans="1:3">
      <c r="A45" s="1" t="str">
        <f>時間希望調査!A45&amp;""</f>
        <v/>
      </c>
      <c r="B45" s="1" t="str">
        <f>時間希望調査!B45&amp;""</f>
        <v/>
      </c>
      <c r="C45" s="1" t="str">
        <f>時間希望調査!C45&amp;""</f>
        <v/>
      </c>
    </row>
    <row r="46" spans="1:3">
      <c r="A46" s="1" t="str">
        <f>時間希望調査!A46&amp;""</f>
        <v/>
      </c>
      <c r="B46" s="1" t="str">
        <f>時間希望調査!B46&amp;""</f>
        <v/>
      </c>
      <c r="C46" s="1" t="str">
        <f>時間希望調査!C46&amp;""</f>
        <v/>
      </c>
    </row>
    <row r="47" spans="1:3">
      <c r="A47" s="1" t="str">
        <f>時間希望調査!A47&amp;""</f>
        <v/>
      </c>
      <c r="B47" s="1" t="str">
        <f>時間希望調査!B47&amp;""</f>
        <v/>
      </c>
      <c r="C47" s="1" t="str">
        <f>時間希望調査!C47&amp;""</f>
        <v/>
      </c>
    </row>
    <row r="48" spans="1:3">
      <c r="A48" s="1" t="str">
        <f>時間希望調査!A48&amp;""</f>
        <v/>
      </c>
      <c r="B48" s="1" t="str">
        <f>時間希望調査!B48&amp;""</f>
        <v/>
      </c>
      <c r="C48" s="1" t="str">
        <f>時間希望調査!C48&amp;""</f>
        <v/>
      </c>
    </row>
    <row r="49" spans="1:3">
      <c r="A49" s="1" t="str">
        <f>時間希望調査!A49&amp;""</f>
        <v/>
      </c>
      <c r="B49" s="1" t="str">
        <f>時間希望調査!B49&amp;""</f>
        <v/>
      </c>
      <c r="C49" s="1" t="str">
        <f>時間希望調査!C49&amp;""</f>
        <v/>
      </c>
    </row>
    <row r="50" spans="1:3">
      <c r="A50" s="1" t="str">
        <f>時間希望調査!A50&amp;""</f>
        <v/>
      </c>
      <c r="B50" s="1" t="str">
        <f>時間希望調査!B50&amp;""</f>
        <v/>
      </c>
      <c r="C50" s="1" t="str">
        <f>時間希望調査!C50&amp;""</f>
        <v/>
      </c>
    </row>
    <row r="51" spans="1:3">
      <c r="A51" s="1" t="str">
        <f>時間希望調査!A51&amp;""</f>
        <v/>
      </c>
      <c r="B51" s="1" t="str">
        <f>時間希望調査!B51&amp;""</f>
        <v/>
      </c>
      <c r="C51" s="1" t="str">
        <f>時間希望調査!C51&amp;""</f>
        <v/>
      </c>
    </row>
    <row r="52" spans="1:3">
      <c r="A52" s="1" t="str">
        <f>時間希望調査!A52&amp;""</f>
        <v/>
      </c>
      <c r="B52" s="1" t="str">
        <f>時間希望調査!B52&amp;""</f>
        <v/>
      </c>
      <c r="C52" s="1" t="str">
        <f>時間希望調査!C52&amp;""</f>
        <v/>
      </c>
    </row>
    <row r="53" spans="1:3">
      <c r="A53" s="1" t="str">
        <f>時間希望調査!A53&amp;""</f>
        <v/>
      </c>
      <c r="B53" s="1" t="str">
        <f>時間希望調査!B53&amp;""</f>
        <v/>
      </c>
      <c r="C53" s="1" t="str">
        <f>時間希望調査!C53&amp;""</f>
        <v/>
      </c>
    </row>
    <row r="54" spans="1:3">
      <c r="A54" s="1" t="str">
        <f>時間希望調査!A54&amp;""</f>
        <v/>
      </c>
      <c r="B54" s="1" t="str">
        <f>時間希望調査!B54&amp;""</f>
        <v/>
      </c>
      <c r="C54" s="1" t="str">
        <f>時間希望調査!C54&amp;""</f>
        <v/>
      </c>
    </row>
    <row r="55" spans="1:3">
      <c r="A55" s="1" t="str">
        <f>時間希望調査!A55&amp;""</f>
        <v/>
      </c>
      <c r="B55" s="1" t="str">
        <f>時間希望調査!B55&amp;""</f>
        <v/>
      </c>
      <c r="C55" s="1" t="str">
        <f>時間希望調査!C55&amp;""</f>
        <v/>
      </c>
    </row>
    <row r="56" spans="1:3">
      <c r="A56" s="1" t="str">
        <f>時間希望調査!A56&amp;""</f>
        <v/>
      </c>
      <c r="B56" s="1" t="str">
        <f>時間希望調査!B56&amp;""</f>
        <v/>
      </c>
      <c r="C56" s="1" t="str">
        <f>時間希望調査!C56&amp;""</f>
        <v/>
      </c>
    </row>
    <row r="57" spans="1:3">
      <c r="A57" s="1" t="str">
        <f>時間希望調査!A57&amp;""</f>
        <v/>
      </c>
      <c r="B57" s="1" t="str">
        <f>時間希望調査!B57&amp;""</f>
        <v/>
      </c>
      <c r="C57" s="1" t="str">
        <f>時間希望調査!C57&amp;""</f>
        <v/>
      </c>
    </row>
    <row r="58" spans="1:3">
      <c r="A58" s="1" t="str">
        <f>時間希望調査!A58&amp;""</f>
        <v/>
      </c>
      <c r="B58" s="1" t="str">
        <f>時間希望調査!B58&amp;""</f>
        <v/>
      </c>
      <c r="C58" s="1" t="str">
        <f>時間希望調査!C58&amp;""</f>
        <v/>
      </c>
    </row>
    <row r="59" spans="1:3">
      <c r="A59" s="1" t="str">
        <f>時間希望調査!A59&amp;""</f>
        <v/>
      </c>
      <c r="B59" s="1" t="str">
        <f>時間希望調査!B59&amp;""</f>
        <v/>
      </c>
      <c r="C59" s="1" t="str">
        <f>時間希望調査!C59&amp;""</f>
        <v/>
      </c>
    </row>
    <row r="60" spans="1:3">
      <c r="A60" s="1" t="str">
        <f>時間希望調査!A60&amp;""</f>
        <v/>
      </c>
      <c r="B60" s="1" t="str">
        <f>時間希望調査!B60&amp;""</f>
        <v/>
      </c>
      <c r="C60" s="1" t="str">
        <f>時間希望調査!C60&amp;""</f>
        <v/>
      </c>
    </row>
    <row r="61" spans="1:3">
      <c r="A61" s="1" t="str">
        <f>時間希望調査!A61&amp;""</f>
        <v/>
      </c>
      <c r="B61" s="1" t="str">
        <f>時間希望調査!B61&amp;""</f>
        <v/>
      </c>
      <c r="C61" s="1" t="str">
        <f>時間希望調査!C61&amp;""</f>
        <v/>
      </c>
    </row>
    <row r="62" spans="1:3">
      <c r="A62" s="1" t="str">
        <f>時間希望調査!A62&amp;""</f>
        <v/>
      </c>
      <c r="B62" s="1" t="str">
        <f>時間希望調査!B62&amp;""</f>
        <v/>
      </c>
      <c r="C62" s="1" t="str">
        <f>時間希望調査!C62&amp;""</f>
        <v/>
      </c>
    </row>
    <row r="63" spans="1:3">
      <c r="A63" s="1" t="str">
        <f>時間希望調査!A63&amp;""</f>
        <v/>
      </c>
      <c r="B63" s="1" t="str">
        <f>時間希望調査!B63&amp;""</f>
        <v/>
      </c>
      <c r="C63" s="1" t="str">
        <f>時間希望調査!C63&amp;""</f>
        <v/>
      </c>
    </row>
    <row r="64" spans="1:3">
      <c r="A64" s="1" t="str">
        <f>時間希望調査!A64&amp;""</f>
        <v/>
      </c>
      <c r="B64" s="1" t="str">
        <f>時間希望調査!B64&amp;""</f>
        <v/>
      </c>
      <c r="C64" s="1" t="str">
        <f>時間希望調査!C64&amp;""</f>
        <v/>
      </c>
    </row>
    <row r="65" spans="1:3">
      <c r="A65" s="1" t="str">
        <f>時間希望調査!A65&amp;""</f>
        <v/>
      </c>
      <c r="B65" s="1" t="str">
        <f>時間希望調査!B65&amp;""</f>
        <v/>
      </c>
      <c r="C65" s="1" t="str">
        <f>時間希望調査!C65&amp;""</f>
        <v/>
      </c>
    </row>
    <row r="66" spans="1:3">
      <c r="A66" s="1" t="str">
        <f>時間希望調査!A66&amp;""</f>
        <v/>
      </c>
      <c r="B66" s="1" t="str">
        <f>時間希望調査!B66&amp;""</f>
        <v/>
      </c>
      <c r="C66" s="1" t="str">
        <f>時間希望調査!C66&amp;""</f>
        <v/>
      </c>
    </row>
    <row r="67" spans="1:3">
      <c r="A67" s="1" t="str">
        <f>時間希望調査!A67&amp;""</f>
        <v/>
      </c>
      <c r="B67" s="1" t="str">
        <f>時間希望調査!B67&amp;""</f>
        <v/>
      </c>
      <c r="C67" s="1" t="str">
        <f>時間希望調査!C67&amp;""</f>
        <v/>
      </c>
    </row>
    <row r="68" spans="1:3">
      <c r="A68" s="1" t="str">
        <f>時間希望調査!A68&amp;""</f>
        <v/>
      </c>
      <c r="B68" s="1" t="str">
        <f>時間希望調査!B68&amp;""</f>
        <v/>
      </c>
      <c r="C68" s="1" t="str">
        <f>時間希望調査!C68&amp;""</f>
        <v/>
      </c>
    </row>
    <row r="69" spans="1:3">
      <c r="A69" s="1" t="str">
        <f>時間希望調査!A69&amp;""</f>
        <v/>
      </c>
      <c r="B69" s="1" t="str">
        <f>時間希望調査!B69&amp;""</f>
        <v/>
      </c>
      <c r="C69" s="1" t="str">
        <f>時間希望調査!C69&amp;""</f>
        <v/>
      </c>
    </row>
    <row r="70" spans="1:3">
      <c r="A70" s="1" t="str">
        <f>時間希望調査!A70&amp;""</f>
        <v/>
      </c>
      <c r="B70" s="1" t="str">
        <f>時間希望調査!B70&amp;""</f>
        <v/>
      </c>
      <c r="C70" s="1" t="str">
        <f>時間希望調査!C70&amp;""</f>
        <v/>
      </c>
    </row>
    <row r="71" spans="1:3">
      <c r="A71" s="1" t="str">
        <f>時間希望調査!A71&amp;""</f>
        <v/>
      </c>
      <c r="B71" s="1" t="str">
        <f>時間希望調査!B71&amp;""</f>
        <v/>
      </c>
      <c r="C71" s="1" t="str">
        <f>時間希望調査!C71&amp;""</f>
        <v/>
      </c>
    </row>
    <row r="72" spans="1:3">
      <c r="A72" s="1" t="str">
        <f>時間希望調査!A72&amp;""</f>
        <v/>
      </c>
      <c r="B72" s="1" t="str">
        <f>時間希望調査!B72&amp;""</f>
        <v/>
      </c>
      <c r="C72" s="1" t="str">
        <f>時間希望調査!C72&amp;""</f>
        <v/>
      </c>
    </row>
    <row r="73" spans="1:3">
      <c r="A73" s="1" t="str">
        <f>時間希望調査!A73&amp;""</f>
        <v/>
      </c>
      <c r="B73" s="1" t="str">
        <f>時間希望調査!B73&amp;""</f>
        <v/>
      </c>
      <c r="C73" s="1" t="str">
        <f>時間希望調査!C73&amp;""</f>
        <v/>
      </c>
    </row>
    <row r="74" spans="1:3">
      <c r="A74" s="1" t="str">
        <f>時間希望調査!A74&amp;""</f>
        <v/>
      </c>
      <c r="B74" s="1" t="str">
        <f>時間希望調査!B74&amp;""</f>
        <v/>
      </c>
      <c r="C74" s="1" t="str">
        <f>時間希望調査!C74&amp;""</f>
        <v/>
      </c>
    </row>
    <row r="75" spans="1:3">
      <c r="A75" s="1" t="str">
        <f>時間希望調査!A75&amp;""</f>
        <v/>
      </c>
      <c r="B75" s="1" t="str">
        <f>時間希望調査!B75&amp;""</f>
        <v/>
      </c>
      <c r="C75" s="1" t="str">
        <f>時間希望調査!C75&amp;""</f>
        <v/>
      </c>
    </row>
    <row r="76" spans="1:3">
      <c r="A76" s="1" t="str">
        <f>時間希望調査!A76&amp;""</f>
        <v/>
      </c>
      <c r="B76" s="1" t="str">
        <f>時間希望調査!B76&amp;""</f>
        <v/>
      </c>
      <c r="C76" s="1" t="str">
        <f>時間希望調査!C76&amp;""</f>
        <v/>
      </c>
    </row>
    <row r="77" spans="1:3">
      <c r="A77" s="1" t="str">
        <f>時間希望調査!A77&amp;""</f>
        <v/>
      </c>
      <c r="B77" s="1" t="str">
        <f>時間希望調査!B77&amp;""</f>
        <v/>
      </c>
      <c r="C77" s="1" t="str">
        <f>時間希望調査!C77&amp;""</f>
        <v/>
      </c>
    </row>
    <row r="78" spans="1:3">
      <c r="A78" s="1" t="str">
        <f>時間希望調査!A78&amp;""</f>
        <v/>
      </c>
      <c r="B78" s="1" t="str">
        <f>時間希望調査!B78&amp;""</f>
        <v/>
      </c>
      <c r="C78" s="1" t="str">
        <f>時間希望調査!C78&amp;""</f>
        <v/>
      </c>
    </row>
    <row r="79" spans="1:3">
      <c r="A79" s="1" t="str">
        <f>時間希望調査!A79&amp;""</f>
        <v/>
      </c>
      <c r="B79" s="1" t="str">
        <f>時間希望調査!B79&amp;""</f>
        <v/>
      </c>
      <c r="C79" s="1" t="str">
        <f>時間希望調査!C79&amp;""</f>
        <v/>
      </c>
    </row>
    <row r="80" spans="1:3">
      <c r="A80" s="1" t="str">
        <f>時間希望調査!A80&amp;""</f>
        <v/>
      </c>
      <c r="B80" s="1" t="str">
        <f>時間希望調査!B80&amp;""</f>
        <v/>
      </c>
      <c r="C80" s="1" t="str">
        <f>時間希望調査!C80&amp;""</f>
        <v/>
      </c>
    </row>
    <row r="81" spans="1:3">
      <c r="A81" s="1" t="str">
        <f>時間希望調査!A81&amp;""</f>
        <v/>
      </c>
      <c r="B81" s="1" t="str">
        <f>時間希望調査!B81&amp;""</f>
        <v/>
      </c>
      <c r="C81" s="1" t="str">
        <f>時間希望調査!C81&amp;""</f>
        <v/>
      </c>
    </row>
    <row r="82" spans="1:3">
      <c r="A82" s="1" t="str">
        <f>時間希望調査!A82&amp;""</f>
        <v/>
      </c>
      <c r="B82" s="1" t="str">
        <f>時間希望調査!B82&amp;""</f>
        <v/>
      </c>
      <c r="C82" s="1" t="str">
        <f>時間希望調査!C82&amp;""</f>
        <v/>
      </c>
    </row>
    <row r="83" spans="1:3">
      <c r="A83" s="1" t="str">
        <f>時間希望調査!A83&amp;""</f>
        <v/>
      </c>
      <c r="B83" s="1" t="str">
        <f>時間希望調査!B83&amp;""</f>
        <v/>
      </c>
      <c r="C83" s="1" t="str">
        <f>時間希望調査!C83&amp;""</f>
        <v/>
      </c>
    </row>
    <row r="84" spans="1:3">
      <c r="A84" s="1" t="str">
        <f>時間希望調査!A84&amp;""</f>
        <v/>
      </c>
      <c r="B84" s="1" t="str">
        <f>時間希望調査!B84&amp;""</f>
        <v/>
      </c>
      <c r="C84" s="1" t="str">
        <f>時間希望調査!C84&amp;""</f>
        <v/>
      </c>
    </row>
    <row r="85" spans="1:3">
      <c r="A85" s="1" t="str">
        <f>時間希望調査!A85&amp;""</f>
        <v/>
      </c>
      <c r="B85" s="1" t="str">
        <f>時間希望調査!B85&amp;""</f>
        <v/>
      </c>
      <c r="C85" s="1" t="str">
        <f>時間希望調査!C85&amp;""</f>
        <v/>
      </c>
    </row>
    <row r="86" spans="1:3">
      <c r="A86" s="1" t="str">
        <f>時間希望調査!A86&amp;""</f>
        <v/>
      </c>
      <c r="B86" s="1" t="str">
        <f>時間希望調査!B86&amp;""</f>
        <v/>
      </c>
      <c r="C86" s="1" t="str">
        <f>時間希望調査!C86&amp;""</f>
        <v/>
      </c>
    </row>
    <row r="87" spans="1:3">
      <c r="A87" s="1" t="str">
        <f>時間希望調査!A87&amp;""</f>
        <v/>
      </c>
      <c r="B87" s="1" t="str">
        <f>時間希望調査!B87&amp;""</f>
        <v/>
      </c>
      <c r="C87" s="1" t="str">
        <f>時間希望調査!C87&amp;""</f>
        <v/>
      </c>
    </row>
    <row r="88" spans="1:3">
      <c r="A88" s="1" t="str">
        <f>時間希望調査!A88&amp;""</f>
        <v/>
      </c>
      <c r="B88" s="1" t="str">
        <f>時間希望調査!B88&amp;""</f>
        <v/>
      </c>
      <c r="C88" s="1" t="str">
        <f>時間希望調査!C88&amp;""</f>
        <v/>
      </c>
    </row>
    <row r="89" spans="1:3">
      <c r="A89" s="1" t="str">
        <f>時間希望調査!A89&amp;""</f>
        <v/>
      </c>
      <c r="B89" s="1" t="str">
        <f>時間希望調査!B89&amp;""</f>
        <v/>
      </c>
      <c r="C89" s="1" t="str">
        <f>時間希望調査!C89&amp;""</f>
        <v/>
      </c>
    </row>
    <row r="90" spans="1:3">
      <c r="A90" s="1" t="str">
        <f>時間希望調査!A90&amp;""</f>
        <v/>
      </c>
      <c r="B90" s="1" t="str">
        <f>時間希望調査!B90&amp;""</f>
        <v/>
      </c>
      <c r="C90" s="1" t="str">
        <f>時間希望調査!C90&amp;""</f>
        <v/>
      </c>
    </row>
    <row r="91" spans="1:3">
      <c r="A91" s="1" t="str">
        <f>時間希望調査!A91&amp;""</f>
        <v/>
      </c>
      <c r="B91" s="1" t="str">
        <f>時間希望調査!B91&amp;""</f>
        <v/>
      </c>
      <c r="C91" s="1" t="str">
        <f>時間希望調査!C91&amp;""</f>
        <v/>
      </c>
    </row>
    <row r="92" spans="1:3">
      <c r="A92" s="1" t="str">
        <f>時間希望調査!A92&amp;""</f>
        <v/>
      </c>
      <c r="B92" s="1" t="str">
        <f>時間希望調査!B92&amp;""</f>
        <v/>
      </c>
      <c r="C92" s="1" t="str">
        <f>時間希望調査!C92&amp;""</f>
        <v/>
      </c>
    </row>
    <row r="93" spans="1:3">
      <c r="A93" s="1" t="str">
        <f>時間希望調査!A93&amp;""</f>
        <v/>
      </c>
      <c r="B93" s="1" t="str">
        <f>時間希望調査!B93&amp;""</f>
        <v/>
      </c>
      <c r="C93" s="1" t="str">
        <f>時間希望調査!C93&amp;""</f>
        <v/>
      </c>
    </row>
    <row r="94" spans="1:3">
      <c r="A94" s="1" t="str">
        <f>時間希望調査!A94&amp;""</f>
        <v/>
      </c>
      <c r="B94" s="1" t="str">
        <f>時間希望調査!B94&amp;""</f>
        <v/>
      </c>
      <c r="C94" s="1" t="str">
        <f>時間希望調査!C94&amp;""</f>
        <v/>
      </c>
    </row>
    <row r="95" spans="1:3">
      <c r="A95" s="1" t="str">
        <f>時間希望調査!A95&amp;""</f>
        <v/>
      </c>
      <c r="B95" s="1" t="str">
        <f>時間希望調査!B95&amp;""</f>
        <v/>
      </c>
      <c r="C95" s="1" t="str">
        <f>時間希望調査!C95&amp;""</f>
        <v/>
      </c>
    </row>
    <row r="96" spans="1:3">
      <c r="A96" s="1" t="str">
        <f>時間希望調査!A96&amp;""</f>
        <v/>
      </c>
      <c r="B96" s="1" t="str">
        <f>時間希望調査!B96&amp;""</f>
        <v/>
      </c>
      <c r="C96" s="1" t="str">
        <f>時間希望調査!C96&amp;""</f>
        <v/>
      </c>
    </row>
    <row r="97" spans="1:3">
      <c r="A97" s="1" t="str">
        <f>時間希望調査!A97&amp;""</f>
        <v/>
      </c>
      <c r="B97" s="1" t="str">
        <f>時間希望調査!B97&amp;""</f>
        <v/>
      </c>
      <c r="C97" s="1" t="str">
        <f>時間希望調査!C97&amp;""</f>
        <v/>
      </c>
    </row>
    <row r="98" spans="1:3">
      <c r="A98" s="1" t="str">
        <f>時間希望調査!A98&amp;""</f>
        <v/>
      </c>
      <c r="B98" s="1" t="str">
        <f>時間希望調査!B98&amp;""</f>
        <v/>
      </c>
      <c r="C98" s="1" t="str">
        <f>時間希望調査!C98&amp;""</f>
        <v/>
      </c>
    </row>
    <row r="99" spans="1:3">
      <c r="A99" s="1" t="str">
        <f>時間希望調査!A99&amp;""</f>
        <v/>
      </c>
      <c r="B99" s="1" t="str">
        <f>時間希望調査!B99&amp;""</f>
        <v/>
      </c>
      <c r="C99" s="1" t="str">
        <f>時間希望調査!C99&amp;""</f>
        <v/>
      </c>
    </row>
    <row r="100" spans="1:3">
      <c r="A100" s="1" t="str">
        <f>時間希望調査!A100&amp;""</f>
        <v/>
      </c>
      <c r="B100" s="1" t="str">
        <f>時間希望調査!B100&amp;""</f>
        <v/>
      </c>
      <c r="C100" s="1" t="str">
        <f>時間希望調査!C100&amp;""</f>
        <v/>
      </c>
    </row>
    <row r="101" spans="1:3">
      <c r="A101" s="1" t="str">
        <f>時間希望調査!A101&amp;""</f>
        <v/>
      </c>
      <c r="B101" s="1" t="str">
        <f>時間希望調査!B101&amp;""</f>
        <v/>
      </c>
      <c r="C101" s="1" t="str">
        <f>時間希望調査!C101&amp;""</f>
        <v/>
      </c>
    </row>
    <row r="102" spans="1:3">
      <c r="A102" s="1" t="str">
        <f>時間希望調査!A102&amp;""</f>
        <v/>
      </c>
      <c r="B102" s="1" t="str">
        <f>時間希望調査!B102&amp;""</f>
        <v/>
      </c>
      <c r="C102" s="1" t="str">
        <f>時間希望調査!C102&amp;""</f>
        <v/>
      </c>
    </row>
    <row r="103" spans="1:3">
      <c r="A103" s="1" t="str">
        <f>時間希望調査!A103&amp;""</f>
        <v/>
      </c>
      <c r="B103" s="1" t="str">
        <f>時間希望調査!B103&amp;""</f>
        <v/>
      </c>
      <c r="C103" s="1" t="str">
        <f>時間希望調査!C103&amp;""</f>
        <v/>
      </c>
    </row>
    <row r="104" spans="1:3">
      <c r="A104" s="1" t="str">
        <f>時間希望調査!A104&amp;""</f>
        <v/>
      </c>
      <c r="B104" s="1" t="str">
        <f>時間希望調査!B104&amp;""</f>
        <v/>
      </c>
      <c r="C104" s="1" t="str">
        <f>時間希望調査!C104&amp;""</f>
        <v/>
      </c>
    </row>
    <row r="105" spans="1:3">
      <c r="A105" s="1" t="str">
        <f>時間希望調査!A105&amp;""</f>
        <v/>
      </c>
      <c r="B105" s="1" t="str">
        <f>時間希望調査!B105&amp;""</f>
        <v/>
      </c>
      <c r="C105" s="1" t="str">
        <f>時間希望調査!C105&amp;""</f>
        <v/>
      </c>
    </row>
    <row r="106" spans="1:3">
      <c r="A106" s="1" t="str">
        <f>時間希望調査!A106&amp;""</f>
        <v/>
      </c>
      <c r="B106" s="1" t="str">
        <f>時間希望調査!B106&amp;""</f>
        <v/>
      </c>
      <c r="C106" s="1" t="str">
        <f>時間希望調査!C106&amp;""</f>
        <v/>
      </c>
    </row>
    <row r="107" spans="1:3">
      <c r="A107" s="1" t="str">
        <f>時間希望調査!A107&amp;""</f>
        <v/>
      </c>
      <c r="B107" s="1" t="str">
        <f>時間希望調査!B107&amp;""</f>
        <v/>
      </c>
      <c r="C107" s="1" t="str">
        <f>時間希望調査!C107&amp;""</f>
        <v/>
      </c>
    </row>
    <row r="108" spans="1:3">
      <c r="A108" s="1" t="str">
        <f>時間希望調査!A108&amp;""</f>
        <v/>
      </c>
      <c r="B108" s="1" t="str">
        <f>時間希望調査!B108&amp;""</f>
        <v/>
      </c>
      <c r="C108" s="1" t="str">
        <f>時間希望調査!C108&amp;""</f>
        <v/>
      </c>
    </row>
    <row r="109" spans="1:3">
      <c r="A109" s="1" t="str">
        <f>時間希望調査!A109&amp;""</f>
        <v/>
      </c>
      <c r="B109" s="1" t="str">
        <f>時間希望調査!B109&amp;""</f>
        <v/>
      </c>
      <c r="C109" s="1" t="str">
        <f>時間希望調査!C109&amp;""</f>
        <v/>
      </c>
    </row>
    <row r="110" spans="1:3">
      <c r="A110" s="1" t="str">
        <f>時間希望調査!A110&amp;""</f>
        <v/>
      </c>
      <c r="B110" s="1" t="str">
        <f>時間希望調査!B110&amp;""</f>
        <v/>
      </c>
      <c r="C110" s="1" t="str">
        <f>時間希望調査!C110&amp;""</f>
        <v/>
      </c>
    </row>
    <row r="111" spans="1:3">
      <c r="A111" s="1" t="str">
        <f>時間希望調査!A111&amp;""</f>
        <v/>
      </c>
      <c r="B111" s="1" t="str">
        <f>時間希望調査!B111&amp;""</f>
        <v/>
      </c>
      <c r="C111" s="1" t="str">
        <f>時間希望調査!C111&amp;""</f>
        <v/>
      </c>
    </row>
    <row r="112" spans="1:3">
      <c r="A112" s="1" t="str">
        <f>時間希望調査!A112&amp;""</f>
        <v/>
      </c>
      <c r="B112" s="1" t="str">
        <f>時間希望調査!B112&amp;""</f>
        <v/>
      </c>
      <c r="C112" s="1" t="str">
        <f>時間希望調査!C112&amp;""</f>
        <v/>
      </c>
    </row>
    <row r="113" spans="1:3">
      <c r="A113" s="1" t="str">
        <f>時間希望調査!A113&amp;""</f>
        <v/>
      </c>
      <c r="B113" s="1" t="str">
        <f>時間希望調査!B113&amp;""</f>
        <v/>
      </c>
      <c r="C113" s="1" t="str">
        <f>時間希望調査!C113&amp;""</f>
        <v/>
      </c>
    </row>
    <row r="114" spans="1:3">
      <c r="A114" s="1" t="str">
        <f>時間希望調査!A114&amp;""</f>
        <v/>
      </c>
      <c r="B114" s="1" t="str">
        <f>時間希望調査!B114&amp;""</f>
        <v/>
      </c>
      <c r="C114" s="1" t="str">
        <f>時間希望調査!C114&amp;""</f>
        <v/>
      </c>
    </row>
    <row r="115" spans="1:3">
      <c r="A115" s="1" t="str">
        <f>時間希望調査!A115&amp;""</f>
        <v/>
      </c>
      <c r="B115" s="1" t="str">
        <f>時間希望調査!B115&amp;""</f>
        <v/>
      </c>
      <c r="C115" s="1" t="str">
        <f>時間希望調査!C115&amp;""</f>
        <v/>
      </c>
    </row>
    <row r="116" spans="1:3">
      <c r="A116" s="1" t="str">
        <f>時間希望調査!A116&amp;""</f>
        <v/>
      </c>
      <c r="B116" s="1" t="str">
        <f>時間希望調査!B116&amp;""</f>
        <v/>
      </c>
      <c r="C116" s="1" t="str">
        <f>時間希望調査!C116&amp;""</f>
        <v/>
      </c>
    </row>
    <row r="117" spans="1:3">
      <c r="A117" s="1" t="str">
        <f>時間希望調査!A117&amp;""</f>
        <v/>
      </c>
      <c r="B117" s="1" t="str">
        <f>時間希望調査!B117&amp;""</f>
        <v/>
      </c>
      <c r="C117" s="1" t="str">
        <f>時間希望調査!C117&amp;""</f>
        <v/>
      </c>
    </row>
    <row r="118" spans="1:3">
      <c r="A118" s="1" t="str">
        <f>時間希望調査!A118&amp;""</f>
        <v/>
      </c>
      <c r="B118" s="1" t="str">
        <f>時間希望調査!B118&amp;""</f>
        <v/>
      </c>
      <c r="C118" s="1" t="str">
        <f>時間希望調査!C118&amp;""</f>
        <v/>
      </c>
    </row>
    <row r="119" spans="1:3">
      <c r="A119" s="1" t="str">
        <f>時間希望調査!A119&amp;""</f>
        <v/>
      </c>
      <c r="B119" s="1" t="str">
        <f>時間希望調査!B119&amp;""</f>
        <v/>
      </c>
      <c r="C119" s="1" t="str">
        <f>時間希望調査!C119&amp;""</f>
        <v/>
      </c>
    </row>
    <row r="120" spans="1:3">
      <c r="A120" s="1" t="str">
        <f>時間希望調査!A120&amp;""</f>
        <v/>
      </c>
      <c r="B120" s="1" t="str">
        <f>時間希望調査!B120&amp;""</f>
        <v/>
      </c>
      <c r="C120" s="1" t="str">
        <f>時間希望調査!C120&amp;""</f>
        <v/>
      </c>
    </row>
    <row r="121" spans="1:3">
      <c r="A121" s="1" t="str">
        <f>時間希望調査!A121&amp;""</f>
        <v/>
      </c>
      <c r="B121" s="1" t="str">
        <f>時間希望調査!B121&amp;""</f>
        <v/>
      </c>
      <c r="C121" s="1" t="str">
        <f>時間希望調査!C121&amp;""</f>
        <v/>
      </c>
    </row>
    <row r="122" spans="1:3">
      <c r="A122" s="1" t="str">
        <f>時間希望調査!A122&amp;""</f>
        <v/>
      </c>
      <c r="B122" s="1" t="str">
        <f>時間希望調査!B122&amp;""</f>
        <v/>
      </c>
      <c r="C122" s="1" t="str">
        <f>時間希望調査!C122&amp;""</f>
        <v/>
      </c>
    </row>
    <row r="123" spans="1:3">
      <c r="A123" s="1" t="str">
        <f>時間希望調査!A123&amp;""</f>
        <v/>
      </c>
      <c r="B123" s="1" t="str">
        <f>時間希望調査!B123&amp;""</f>
        <v/>
      </c>
      <c r="C123" s="1" t="str">
        <f>時間希望調査!C123&amp;""</f>
        <v/>
      </c>
    </row>
    <row r="124" spans="1:3">
      <c r="A124" s="1" t="str">
        <f>時間希望調査!A124&amp;""</f>
        <v/>
      </c>
      <c r="B124" s="1" t="str">
        <f>時間希望調査!B124&amp;""</f>
        <v/>
      </c>
      <c r="C124" s="1" t="str">
        <f>時間希望調査!C124&amp;""</f>
        <v/>
      </c>
    </row>
    <row r="125" spans="1:3">
      <c r="A125" s="1" t="str">
        <f>時間希望調査!A125&amp;""</f>
        <v/>
      </c>
      <c r="B125" s="1" t="str">
        <f>時間希望調査!B125&amp;""</f>
        <v/>
      </c>
      <c r="C125" s="1" t="str">
        <f>時間希望調査!C125&amp;""</f>
        <v/>
      </c>
    </row>
    <row r="126" spans="1:3">
      <c r="A126" s="1" t="str">
        <f>時間希望調査!A126&amp;""</f>
        <v/>
      </c>
      <c r="B126" s="1" t="str">
        <f>時間希望調査!B126&amp;""</f>
        <v/>
      </c>
      <c r="C126" s="1" t="str">
        <f>時間希望調査!C126&amp;""</f>
        <v/>
      </c>
    </row>
    <row r="127" spans="1:3">
      <c r="A127" s="1" t="str">
        <f>時間希望調査!A127&amp;""</f>
        <v/>
      </c>
      <c r="B127" s="1" t="str">
        <f>時間希望調査!B127&amp;""</f>
        <v/>
      </c>
      <c r="C127" s="1" t="str">
        <f>時間希望調査!C127&amp;""</f>
        <v/>
      </c>
    </row>
    <row r="128" spans="1:3">
      <c r="A128" s="1" t="str">
        <f>時間希望調査!A128&amp;""</f>
        <v/>
      </c>
      <c r="B128" s="1" t="str">
        <f>時間希望調査!B128&amp;""</f>
        <v/>
      </c>
      <c r="C128" s="1" t="str">
        <f>時間希望調査!C128&amp;""</f>
        <v/>
      </c>
    </row>
    <row r="129" spans="1:3">
      <c r="A129" s="1" t="str">
        <f>時間希望調査!A129&amp;""</f>
        <v/>
      </c>
      <c r="B129" s="1" t="str">
        <f>時間希望調査!B129&amp;""</f>
        <v/>
      </c>
      <c r="C129" s="1" t="str">
        <f>時間希望調査!C129&amp;""</f>
        <v/>
      </c>
    </row>
    <row r="130" spans="1:3">
      <c r="A130" s="1" t="str">
        <f>時間希望調査!A130&amp;""</f>
        <v/>
      </c>
      <c r="B130" s="1" t="str">
        <f>時間希望調査!B130&amp;""</f>
        <v/>
      </c>
      <c r="C130" s="1" t="str">
        <f>時間希望調査!C130&amp;""</f>
        <v/>
      </c>
    </row>
    <row r="131" spans="1:3">
      <c r="A131" s="1" t="str">
        <f>時間希望調査!A131&amp;""</f>
        <v/>
      </c>
      <c r="B131" s="1" t="str">
        <f>時間希望調査!B131&amp;""</f>
        <v/>
      </c>
      <c r="C131" s="1" t="str">
        <f>時間希望調査!C131&amp;""</f>
        <v/>
      </c>
    </row>
    <row r="132" spans="1:3">
      <c r="A132" s="1" t="str">
        <f>時間希望調査!A132&amp;""</f>
        <v/>
      </c>
      <c r="B132" s="1" t="str">
        <f>時間希望調査!B132&amp;""</f>
        <v/>
      </c>
      <c r="C132" s="1" t="str">
        <f>時間希望調査!C132&amp;""</f>
        <v/>
      </c>
    </row>
    <row r="133" spans="1:3">
      <c r="A133" s="1" t="str">
        <f>時間希望調査!A133&amp;""</f>
        <v/>
      </c>
      <c r="B133" s="1" t="str">
        <f>時間希望調査!B133&amp;""</f>
        <v/>
      </c>
      <c r="C133" s="1" t="str">
        <f>時間希望調査!C133&amp;""</f>
        <v/>
      </c>
    </row>
    <row r="134" spans="1:3">
      <c r="A134" s="1" t="str">
        <f>時間希望調査!A134&amp;""</f>
        <v/>
      </c>
      <c r="B134" s="1" t="str">
        <f>時間希望調査!B134&amp;""</f>
        <v/>
      </c>
      <c r="C134" s="1" t="str">
        <f>時間希望調査!C134&amp;""</f>
        <v/>
      </c>
    </row>
    <row r="135" spans="1:3">
      <c r="A135" s="1" t="str">
        <f>時間希望調査!A135&amp;""</f>
        <v/>
      </c>
      <c r="B135" s="1" t="str">
        <f>時間希望調査!B135&amp;""</f>
        <v/>
      </c>
      <c r="C135" s="1" t="str">
        <f>時間希望調査!C135&amp;""</f>
        <v/>
      </c>
    </row>
    <row r="136" spans="1:3">
      <c r="A136" s="1" t="str">
        <f>時間希望調査!A136&amp;""</f>
        <v/>
      </c>
      <c r="B136" s="1" t="str">
        <f>時間希望調査!B136&amp;""</f>
        <v/>
      </c>
      <c r="C136" s="1" t="str">
        <f>時間希望調査!C136&amp;""</f>
        <v/>
      </c>
    </row>
    <row r="137" spans="1:3">
      <c r="A137" s="1" t="str">
        <f>時間希望調査!A137&amp;""</f>
        <v/>
      </c>
      <c r="B137" s="1" t="str">
        <f>時間希望調査!B137&amp;""</f>
        <v/>
      </c>
      <c r="C137" s="1" t="str">
        <f>時間希望調査!C137&amp;""</f>
        <v/>
      </c>
    </row>
    <row r="138" spans="1:3">
      <c r="A138" s="1" t="str">
        <f>時間希望調査!A138&amp;""</f>
        <v/>
      </c>
      <c r="B138" s="1" t="str">
        <f>時間希望調査!B138&amp;""</f>
        <v/>
      </c>
      <c r="C138" s="1" t="str">
        <f>時間希望調査!C138&amp;""</f>
        <v/>
      </c>
    </row>
    <row r="139" spans="1:3">
      <c r="A139" s="1" t="str">
        <f>時間希望調査!A139&amp;""</f>
        <v/>
      </c>
      <c r="B139" s="1" t="str">
        <f>時間希望調査!B139&amp;""</f>
        <v/>
      </c>
      <c r="C139" s="1" t="str">
        <f>時間希望調査!C139&amp;""</f>
        <v/>
      </c>
    </row>
    <row r="140" spans="1:3">
      <c r="A140" s="1" t="str">
        <f>時間希望調査!A140&amp;""</f>
        <v/>
      </c>
      <c r="B140" s="1" t="str">
        <f>時間希望調査!B140&amp;""</f>
        <v/>
      </c>
      <c r="C140" s="1" t="str">
        <f>時間希望調査!C140&amp;""</f>
        <v/>
      </c>
    </row>
    <row r="141" spans="1:3">
      <c r="A141" s="1" t="str">
        <f>時間希望調査!A141&amp;""</f>
        <v/>
      </c>
      <c r="B141" s="1" t="str">
        <f>時間希望調査!B141&amp;""</f>
        <v/>
      </c>
      <c r="C141" s="1" t="str">
        <f>時間希望調査!C141&amp;""</f>
        <v/>
      </c>
    </row>
    <row r="142" spans="1:3">
      <c r="A142" s="1" t="str">
        <f>時間希望調査!A142&amp;""</f>
        <v/>
      </c>
      <c r="B142" s="1" t="str">
        <f>時間希望調査!B142&amp;""</f>
        <v/>
      </c>
      <c r="C142" s="1" t="str">
        <f>時間希望調査!C142&amp;""</f>
        <v/>
      </c>
    </row>
    <row r="143" spans="1:3">
      <c r="A143" s="1" t="str">
        <f>時間希望調査!A143&amp;""</f>
        <v/>
      </c>
      <c r="B143" s="1" t="str">
        <f>時間希望調査!B143&amp;""</f>
        <v/>
      </c>
      <c r="C143" s="1" t="str">
        <f>時間希望調査!C143&amp;""</f>
        <v/>
      </c>
    </row>
    <row r="144" spans="1:3">
      <c r="A144" s="1" t="str">
        <f>時間希望調査!A144&amp;""</f>
        <v/>
      </c>
      <c r="B144" s="1" t="str">
        <f>時間希望調査!B144&amp;""</f>
        <v/>
      </c>
      <c r="C144" s="1" t="str">
        <f>時間希望調査!C144&amp;""</f>
        <v/>
      </c>
    </row>
    <row r="145" spans="1:3">
      <c r="A145" s="1" t="str">
        <f>時間希望調査!A145&amp;""</f>
        <v/>
      </c>
      <c r="B145" s="1" t="str">
        <f>時間希望調査!B145&amp;""</f>
        <v/>
      </c>
      <c r="C145" s="1" t="str">
        <f>時間希望調査!C145&amp;""</f>
        <v/>
      </c>
    </row>
    <row r="146" spans="1:3">
      <c r="A146" s="1" t="str">
        <f>時間希望調査!A146&amp;""</f>
        <v/>
      </c>
      <c r="B146" s="1" t="str">
        <f>時間希望調査!B146&amp;""</f>
        <v/>
      </c>
      <c r="C146" s="1" t="str">
        <f>時間希望調査!C146&amp;""</f>
        <v/>
      </c>
    </row>
    <row r="147" spans="1:3">
      <c r="A147" s="1" t="str">
        <f>時間希望調査!A147&amp;""</f>
        <v/>
      </c>
      <c r="B147" s="1" t="str">
        <f>時間希望調査!B147&amp;""</f>
        <v/>
      </c>
      <c r="C147" s="1" t="str">
        <f>時間希望調査!C147&amp;""</f>
        <v/>
      </c>
    </row>
    <row r="148" spans="1:3">
      <c r="A148" s="1" t="str">
        <f>時間希望調査!A148&amp;""</f>
        <v/>
      </c>
      <c r="B148" s="1" t="str">
        <f>時間希望調査!B148&amp;""</f>
        <v/>
      </c>
      <c r="C148" s="1" t="str">
        <f>時間希望調査!C148&amp;""</f>
        <v/>
      </c>
    </row>
    <row r="149" spans="1:3">
      <c r="A149" s="1" t="str">
        <f>時間希望調査!A149&amp;""</f>
        <v/>
      </c>
      <c r="B149" s="1" t="str">
        <f>時間希望調査!B149&amp;""</f>
        <v/>
      </c>
      <c r="C149" s="1" t="str">
        <f>時間希望調査!C149&amp;""</f>
        <v/>
      </c>
    </row>
    <row r="150" spans="1:3">
      <c r="A150" s="1" t="str">
        <f>時間希望調査!A150&amp;""</f>
        <v/>
      </c>
      <c r="B150" s="1" t="str">
        <f>時間希望調査!B150&amp;""</f>
        <v/>
      </c>
      <c r="C150" s="1" t="str">
        <f>時間希望調査!C150&amp;""</f>
        <v/>
      </c>
    </row>
    <row r="151" spans="1:3">
      <c r="A151" s="1" t="str">
        <f>時間希望調査!A151&amp;""</f>
        <v/>
      </c>
      <c r="B151" s="1" t="str">
        <f>時間希望調査!B151&amp;""</f>
        <v/>
      </c>
      <c r="C151" s="1" t="str">
        <f>時間希望調査!C151&amp;""</f>
        <v/>
      </c>
    </row>
    <row r="152" spans="1:3">
      <c r="A152" s="1" t="str">
        <f>時間希望調査!A152&amp;""</f>
        <v/>
      </c>
      <c r="B152" s="1" t="str">
        <f>時間希望調査!B152&amp;""</f>
        <v/>
      </c>
      <c r="C152" s="1" t="str">
        <f>時間希望調査!C152&amp;""</f>
        <v/>
      </c>
    </row>
    <row r="153" spans="1:3">
      <c r="A153" s="1" t="str">
        <f>時間希望調査!A153&amp;""</f>
        <v/>
      </c>
      <c r="B153" s="1" t="str">
        <f>時間希望調査!B153&amp;""</f>
        <v/>
      </c>
      <c r="C153" s="1" t="str">
        <f>時間希望調査!C153&amp;""</f>
        <v/>
      </c>
    </row>
    <row r="154" spans="1:3">
      <c r="A154" s="1" t="str">
        <f>時間希望調査!A154&amp;""</f>
        <v/>
      </c>
      <c r="B154" s="1" t="str">
        <f>時間希望調査!B154&amp;""</f>
        <v/>
      </c>
      <c r="C154" s="1" t="str">
        <f>時間希望調査!C154&amp;""</f>
        <v/>
      </c>
    </row>
    <row r="155" spans="1:3">
      <c r="A155" s="1" t="str">
        <f>時間希望調査!A155&amp;""</f>
        <v/>
      </c>
      <c r="B155" s="1" t="str">
        <f>時間希望調査!B155&amp;""</f>
        <v/>
      </c>
      <c r="C155" s="1" t="str">
        <f>時間希望調査!C155&amp;""</f>
        <v/>
      </c>
    </row>
    <row r="156" spans="1:3">
      <c r="A156" s="1" t="str">
        <f>時間希望調査!A156&amp;""</f>
        <v/>
      </c>
      <c r="B156" s="1" t="str">
        <f>時間希望調査!B156&amp;""</f>
        <v/>
      </c>
      <c r="C156" s="1" t="str">
        <f>時間希望調査!C156&amp;""</f>
        <v/>
      </c>
    </row>
    <row r="157" spans="1:3">
      <c r="A157" s="1" t="str">
        <f>時間希望調査!A157&amp;""</f>
        <v/>
      </c>
      <c r="B157" s="1" t="str">
        <f>時間希望調査!B157&amp;""</f>
        <v/>
      </c>
      <c r="C157" s="1" t="str">
        <f>時間希望調査!C157&amp;""</f>
        <v/>
      </c>
    </row>
    <row r="158" spans="1:3">
      <c r="A158" s="1" t="str">
        <f>時間希望調査!A158&amp;""</f>
        <v/>
      </c>
      <c r="B158" s="1" t="str">
        <f>時間希望調査!B158&amp;""</f>
        <v/>
      </c>
      <c r="C158" s="1" t="str">
        <f>時間希望調査!C158&amp;""</f>
        <v/>
      </c>
    </row>
    <row r="159" spans="1:3">
      <c r="A159" s="1" t="str">
        <f>時間希望調査!A159&amp;""</f>
        <v/>
      </c>
      <c r="B159" s="1" t="str">
        <f>時間希望調査!B159&amp;""</f>
        <v/>
      </c>
      <c r="C159" s="1" t="str">
        <f>時間希望調査!C159&amp;""</f>
        <v/>
      </c>
    </row>
    <row r="160" spans="1:3">
      <c r="A160" s="1" t="str">
        <f>時間希望調査!A160&amp;""</f>
        <v/>
      </c>
      <c r="B160" s="1" t="str">
        <f>時間希望調査!B160&amp;""</f>
        <v/>
      </c>
      <c r="C160" s="1" t="str">
        <f>時間希望調査!C160&amp;""</f>
        <v/>
      </c>
    </row>
    <row r="161" spans="1:3">
      <c r="A161" s="1" t="str">
        <f>時間希望調査!A161&amp;""</f>
        <v/>
      </c>
      <c r="B161" s="1" t="str">
        <f>時間希望調査!B161&amp;""</f>
        <v/>
      </c>
      <c r="C161" s="1" t="str">
        <f>時間希望調査!C161&amp;""</f>
        <v/>
      </c>
    </row>
    <row r="162" spans="1:3">
      <c r="A162" s="1" t="str">
        <f>時間希望調査!A162&amp;""</f>
        <v/>
      </c>
      <c r="B162" s="1" t="str">
        <f>時間希望調査!B162&amp;""</f>
        <v/>
      </c>
      <c r="C162" s="1" t="str">
        <f>時間希望調査!C162&amp;""</f>
        <v/>
      </c>
    </row>
    <row r="163" spans="1:3">
      <c r="A163" s="1" t="str">
        <f>時間希望調査!A163&amp;""</f>
        <v/>
      </c>
      <c r="B163" s="1" t="str">
        <f>時間希望調査!B163&amp;""</f>
        <v/>
      </c>
      <c r="C163" s="1" t="str">
        <f>時間希望調査!C163&amp;""</f>
        <v/>
      </c>
    </row>
    <row r="164" spans="1:3">
      <c r="A164" s="1" t="str">
        <f>時間希望調査!A164&amp;""</f>
        <v/>
      </c>
      <c r="B164" s="1" t="str">
        <f>時間希望調査!B164&amp;""</f>
        <v/>
      </c>
      <c r="C164" s="1" t="str">
        <f>時間希望調査!C164&amp;""</f>
        <v/>
      </c>
    </row>
    <row r="165" spans="1:3">
      <c r="A165" s="1" t="str">
        <f>時間希望調査!A165&amp;""</f>
        <v/>
      </c>
      <c r="B165" s="1" t="str">
        <f>時間希望調査!B165&amp;""</f>
        <v/>
      </c>
      <c r="C165" s="1" t="str">
        <f>時間希望調査!C165&amp;""</f>
        <v/>
      </c>
    </row>
    <row r="166" spans="1:3">
      <c r="A166" s="1" t="str">
        <f>時間希望調査!A166&amp;""</f>
        <v/>
      </c>
      <c r="B166" s="1" t="str">
        <f>時間希望調査!B166&amp;""</f>
        <v/>
      </c>
      <c r="C166" s="1" t="str">
        <f>時間希望調査!C166&amp;""</f>
        <v/>
      </c>
    </row>
    <row r="167" spans="1:3">
      <c r="A167" s="1" t="str">
        <f>時間希望調査!A167&amp;""</f>
        <v/>
      </c>
      <c r="B167" s="1" t="str">
        <f>時間希望調査!B167&amp;""</f>
        <v/>
      </c>
      <c r="C167" s="1" t="str">
        <f>時間希望調査!C167&amp;""</f>
        <v/>
      </c>
    </row>
    <row r="168" spans="1:3">
      <c r="A168" s="1" t="str">
        <f>時間希望調査!A168&amp;""</f>
        <v/>
      </c>
      <c r="B168" s="1" t="str">
        <f>時間希望調査!B168&amp;""</f>
        <v/>
      </c>
      <c r="C168" s="1" t="str">
        <f>時間希望調査!C168&amp;""</f>
        <v/>
      </c>
    </row>
    <row r="169" spans="1:3">
      <c r="A169" s="1" t="str">
        <f>時間希望調査!A169&amp;""</f>
        <v/>
      </c>
      <c r="B169" s="1" t="str">
        <f>時間希望調査!B169&amp;""</f>
        <v/>
      </c>
      <c r="C169" s="1" t="str">
        <f>時間希望調査!C169&amp;""</f>
        <v/>
      </c>
    </row>
    <row r="170" spans="1:3">
      <c r="A170" s="1" t="str">
        <f>時間希望調査!A170&amp;""</f>
        <v/>
      </c>
      <c r="B170" s="1" t="str">
        <f>時間希望調査!B170&amp;""</f>
        <v/>
      </c>
      <c r="C170" s="1" t="str">
        <f>時間希望調査!C170&amp;""</f>
        <v/>
      </c>
    </row>
    <row r="171" spans="1:3">
      <c r="A171" s="1" t="str">
        <f>時間希望調査!A171&amp;""</f>
        <v/>
      </c>
      <c r="B171" s="1" t="str">
        <f>時間希望調査!B171&amp;""</f>
        <v/>
      </c>
      <c r="C171" s="1" t="str">
        <f>時間希望調査!C171&amp;""</f>
        <v/>
      </c>
    </row>
    <row r="172" spans="1:3">
      <c r="A172" s="1" t="str">
        <f>時間希望調査!A172&amp;""</f>
        <v/>
      </c>
      <c r="B172" s="1" t="str">
        <f>時間希望調査!B172&amp;""</f>
        <v/>
      </c>
      <c r="C172" s="1" t="str">
        <f>時間希望調査!C172&amp;""</f>
        <v/>
      </c>
    </row>
    <row r="173" spans="1:3">
      <c r="A173" s="1" t="str">
        <f>時間希望調査!A173&amp;""</f>
        <v/>
      </c>
      <c r="B173" s="1" t="str">
        <f>時間希望調査!B173&amp;""</f>
        <v/>
      </c>
      <c r="C173" s="1" t="str">
        <f>時間希望調査!C173&amp;""</f>
        <v/>
      </c>
    </row>
    <row r="174" spans="1:3">
      <c r="A174" s="1" t="str">
        <f>時間希望調査!A174&amp;""</f>
        <v/>
      </c>
      <c r="B174" s="1" t="str">
        <f>時間希望調査!B174&amp;""</f>
        <v/>
      </c>
      <c r="C174" s="1" t="str">
        <f>時間希望調査!C174&amp;""</f>
        <v/>
      </c>
    </row>
    <row r="175" spans="1:3">
      <c r="A175" s="1" t="str">
        <f>時間希望調査!A175&amp;""</f>
        <v/>
      </c>
      <c r="B175" s="1" t="str">
        <f>時間希望調査!B175&amp;""</f>
        <v/>
      </c>
      <c r="C175" s="1" t="str">
        <f>時間希望調査!C175&amp;""</f>
        <v/>
      </c>
    </row>
    <row r="176" spans="1:3">
      <c r="A176" s="1" t="str">
        <f>時間希望調査!A176&amp;""</f>
        <v/>
      </c>
      <c r="B176" s="1" t="str">
        <f>時間希望調査!B176&amp;""</f>
        <v/>
      </c>
      <c r="C176" s="1" t="str">
        <f>時間希望調査!C176&amp;""</f>
        <v/>
      </c>
    </row>
    <row r="177" spans="1:3">
      <c r="A177" s="1" t="str">
        <f>時間希望調査!A177&amp;""</f>
        <v/>
      </c>
      <c r="B177" s="1" t="str">
        <f>時間希望調査!B177&amp;""</f>
        <v/>
      </c>
      <c r="C177" s="1" t="str">
        <f>時間希望調査!C177&amp;""</f>
        <v/>
      </c>
    </row>
    <row r="178" spans="1:3">
      <c r="A178" s="1" t="str">
        <f>時間希望調査!A178&amp;""</f>
        <v/>
      </c>
      <c r="B178" s="1" t="str">
        <f>時間希望調査!B178&amp;""</f>
        <v/>
      </c>
      <c r="C178" s="1" t="str">
        <f>時間希望調査!C178&amp;""</f>
        <v/>
      </c>
    </row>
    <row r="179" spans="1:3">
      <c r="A179" s="1" t="str">
        <f>時間希望調査!A179&amp;""</f>
        <v/>
      </c>
      <c r="B179" s="1" t="str">
        <f>時間希望調査!B179&amp;""</f>
        <v/>
      </c>
      <c r="C179" s="1" t="str">
        <f>時間希望調査!C179&amp;""</f>
        <v/>
      </c>
    </row>
    <row r="180" spans="1:3">
      <c r="A180" s="1" t="str">
        <f>時間希望調査!A180&amp;""</f>
        <v/>
      </c>
      <c r="B180" s="1" t="str">
        <f>時間希望調査!B180&amp;""</f>
        <v/>
      </c>
      <c r="C180" s="1" t="str">
        <f>時間希望調査!C180&amp;""</f>
        <v/>
      </c>
    </row>
    <row r="181" spans="1:3">
      <c r="A181" s="1" t="str">
        <f>時間希望調査!A181&amp;""</f>
        <v/>
      </c>
      <c r="B181" s="1" t="str">
        <f>時間希望調査!B181&amp;""</f>
        <v/>
      </c>
      <c r="C181" s="1" t="str">
        <f>時間希望調査!C181&amp;""</f>
        <v/>
      </c>
    </row>
    <row r="182" spans="1:3">
      <c r="A182" s="1" t="str">
        <f>時間希望調査!A182&amp;""</f>
        <v/>
      </c>
      <c r="B182" s="1" t="str">
        <f>時間希望調査!B182&amp;""</f>
        <v/>
      </c>
      <c r="C182" s="1" t="str">
        <f>時間希望調査!C182&amp;""</f>
        <v/>
      </c>
    </row>
    <row r="183" spans="1:3">
      <c r="A183" s="1" t="str">
        <f>時間希望調査!A183&amp;""</f>
        <v/>
      </c>
      <c r="B183" s="1" t="str">
        <f>時間希望調査!B183&amp;""</f>
        <v/>
      </c>
      <c r="C183" s="1" t="str">
        <f>時間希望調査!C183&amp;""</f>
        <v/>
      </c>
    </row>
    <row r="184" spans="1:3">
      <c r="A184" s="1" t="str">
        <f>時間希望調査!A184&amp;""</f>
        <v/>
      </c>
      <c r="B184" s="1" t="str">
        <f>時間希望調査!B184&amp;""</f>
        <v/>
      </c>
      <c r="C184" s="1" t="str">
        <f>時間希望調査!C184&amp;""</f>
        <v/>
      </c>
    </row>
    <row r="185" spans="1:3">
      <c r="A185" s="1" t="str">
        <f>時間希望調査!A185&amp;""</f>
        <v/>
      </c>
      <c r="B185" s="1" t="str">
        <f>時間希望調査!B185&amp;""</f>
        <v/>
      </c>
      <c r="C185" s="1" t="str">
        <f>時間希望調査!C185&amp;""</f>
        <v/>
      </c>
    </row>
    <row r="186" spans="1:3">
      <c r="A186" s="1" t="str">
        <f>時間希望調査!A186&amp;""</f>
        <v/>
      </c>
      <c r="B186" s="1" t="str">
        <f>時間希望調査!B186&amp;""</f>
        <v/>
      </c>
      <c r="C186" s="1" t="str">
        <f>時間希望調査!C186&amp;""</f>
        <v/>
      </c>
    </row>
    <row r="187" spans="1:3">
      <c r="A187" s="1" t="str">
        <f>時間希望調査!A187&amp;""</f>
        <v/>
      </c>
      <c r="B187" s="1" t="str">
        <f>時間希望調査!B187&amp;""</f>
        <v/>
      </c>
      <c r="C187" s="1" t="str">
        <f>時間希望調査!C187&amp;""</f>
        <v/>
      </c>
    </row>
    <row r="188" spans="1:3">
      <c r="A188" s="1" t="str">
        <f>時間希望調査!A188&amp;""</f>
        <v/>
      </c>
      <c r="B188" s="1" t="str">
        <f>時間希望調査!B188&amp;""</f>
        <v/>
      </c>
      <c r="C188" s="1" t="str">
        <f>時間希望調査!C188&amp;""</f>
        <v/>
      </c>
    </row>
    <row r="189" spans="1:3">
      <c r="A189" s="1" t="str">
        <f>時間希望調査!A189&amp;""</f>
        <v/>
      </c>
      <c r="B189" s="1" t="str">
        <f>時間希望調査!B189&amp;""</f>
        <v/>
      </c>
      <c r="C189" s="1" t="str">
        <f>時間希望調査!C189&amp;""</f>
        <v/>
      </c>
    </row>
    <row r="190" spans="1:3">
      <c r="A190" s="1" t="str">
        <f>時間希望調査!A190&amp;""</f>
        <v/>
      </c>
      <c r="B190" s="1" t="str">
        <f>時間希望調査!B190&amp;""</f>
        <v/>
      </c>
      <c r="C190" s="1" t="str">
        <f>時間希望調査!C190&amp;""</f>
        <v/>
      </c>
    </row>
    <row r="191" spans="1:3">
      <c r="A191" s="1" t="str">
        <f>時間希望調査!A191&amp;""</f>
        <v/>
      </c>
      <c r="B191" s="1" t="str">
        <f>時間希望調査!B191&amp;""</f>
        <v/>
      </c>
      <c r="C191" s="1" t="str">
        <f>時間希望調査!C191&amp;""</f>
        <v/>
      </c>
    </row>
    <row r="192" spans="1:3">
      <c r="A192" s="1" t="str">
        <f>時間希望調査!A192&amp;""</f>
        <v/>
      </c>
      <c r="B192" s="1" t="str">
        <f>時間希望調査!B192&amp;""</f>
        <v/>
      </c>
      <c r="C192" s="1" t="str">
        <f>時間希望調査!C192&amp;""</f>
        <v/>
      </c>
    </row>
    <row r="193" spans="1:3">
      <c r="A193" s="1" t="str">
        <f>時間希望調査!A193&amp;""</f>
        <v/>
      </c>
      <c r="B193" s="1" t="str">
        <f>時間希望調査!B193&amp;""</f>
        <v/>
      </c>
      <c r="C193" s="1" t="str">
        <f>時間希望調査!C193&amp;""</f>
        <v/>
      </c>
    </row>
    <row r="194" spans="1:3">
      <c r="A194" s="1" t="str">
        <f>時間希望調査!A194&amp;""</f>
        <v/>
      </c>
      <c r="B194" s="1" t="str">
        <f>時間希望調査!B194&amp;""</f>
        <v/>
      </c>
      <c r="C194" s="1" t="str">
        <f>時間希望調査!C194&amp;""</f>
        <v/>
      </c>
    </row>
    <row r="195" spans="1:3">
      <c r="A195" s="1" t="str">
        <f>時間希望調査!A195&amp;""</f>
        <v/>
      </c>
      <c r="B195" s="1" t="str">
        <f>時間希望調査!B195&amp;""</f>
        <v/>
      </c>
      <c r="C195" s="1" t="str">
        <f>時間希望調査!C195&amp;""</f>
        <v/>
      </c>
    </row>
    <row r="196" spans="1:3">
      <c r="A196" s="1" t="str">
        <f>時間希望調査!A196&amp;""</f>
        <v/>
      </c>
      <c r="B196" s="1" t="str">
        <f>時間希望調査!B196&amp;""</f>
        <v/>
      </c>
      <c r="C196" s="1" t="str">
        <f>時間希望調査!C196&amp;""</f>
        <v/>
      </c>
    </row>
    <row r="197" spans="1:3">
      <c r="A197" s="1" t="str">
        <f>時間希望調査!A197&amp;""</f>
        <v/>
      </c>
      <c r="B197" s="1" t="str">
        <f>時間希望調査!B197&amp;""</f>
        <v/>
      </c>
      <c r="C197" s="1" t="str">
        <f>時間希望調査!C197&amp;""</f>
        <v/>
      </c>
    </row>
    <row r="198" spans="1:3">
      <c r="A198" s="1" t="str">
        <f>時間希望調査!A198&amp;""</f>
        <v/>
      </c>
      <c r="B198" s="1" t="str">
        <f>時間希望調査!B198&amp;""</f>
        <v/>
      </c>
      <c r="C198" s="1" t="str">
        <f>時間希望調査!C198&amp;""</f>
        <v/>
      </c>
    </row>
    <row r="199" spans="1:3">
      <c r="A199" s="1" t="str">
        <f>時間希望調査!A199&amp;""</f>
        <v/>
      </c>
      <c r="B199" s="1" t="str">
        <f>時間希望調査!B199&amp;""</f>
        <v/>
      </c>
      <c r="C199" s="1" t="str">
        <f>時間希望調査!C199&amp;""</f>
        <v/>
      </c>
    </row>
    <row r="200" spans="1:3">
      <c r="A200" s="1" t="str">
        <f>時間希望調査!A200&amp;""</f>
        <v/>
      </c>
      <c r="B200" s="1" t="str">
        <f>時間希望調査!B200&amp;""</f>
        <v/>
      </c>
      <c r="C200" s="1" t="str">
        <f>時間希望調査!C200&amp;""</f>
        <v/>
      </c>
    </row>
    <row r="201" spans="1:3">
      <c r="A201" s="1" t="str">
        <f>時間希望調査!A201&amp;""</f>
        <v/>
      </c>
      <c r="B201" s="1" t="str">
        <f>時間希望調査!B201&amp;""</f>
        <v/>
      </c>
      <c r="C201" s="1" t="str">
        <f>時間希望調査!C201&amp;""</f>
        <v/>
      </c>
    </row>
    <row r="202" spans="1:3">
      <c r="A202" s="1" t="str">
        <f>時間希望調査!A202&amp;""</f>
        <v/>
      </c>
      <c r="B202" s="1" t="str">
        <f>時間希望調査!B202&amp;""</f>
        <v/>
      </c>
      <c r="C202" s="1" t="str">
        <f>時間希望調査!C202&amp;""</f>
        <v/>
      </c>
    </row>
    <row r="203" spans="1:3">
      <c r="A203" s="1" t="str">
        <f>時間希望調査!A203&amp;""</f>
        <v/>
      </c>
      <c r="B203" s="1" t="str">
        <f>時間希望調査!B203&amp;""</f>
        <v/>
      </c>
      <c r="C203" s="1" t="str">
        <f>時間希望調査!C203&amp;""</f>
        <v/>
      </c>
    </row>
    <row r="204" spans="1:3">
      <c r="A204" s="1" t="str">
        <f>時間希望調査!A204&amp;""</f>
        <v/>
      </c>
      <c r="B204" s="1" t="str">
        <f>時間希望調査!B204&amp;""</f>
        <v/>
      </c>
      <c r="C204" s="1" t="str">
        <f>時間希望調査!C204&amp;""</f>
        <v/>
      </c>
    </row>
    <row r="205" spans="1:3">
      <c r="A205" s="1" t="str">
        <f>時間希望調査!A205&amp;""</f>
        <v/>
      </c>
      <c r="B205" s="1" t="str">
        <f>時間希望調査!B205&amp;""</f>
        <v/>
      </c>
      <c r="C205" s="1" t="str">
        <f>時間希望調査!C205&amp;""</f>
        <v/>
      </c>
    </row>
    <row r="206" spans="1:3">
      <c r="A206" s="1" t="str">
        <f>時間希望調査!A206&amp;""</f>
        <v/>
      </c>
      <c r="B206" s="1" t="str">
        <f>時間希望調査!B206&amp;""</f>
        <v/>
      </c>
      <c r="C206" s="1" t="str">
        <f>時間希望調査!C206&amp;""</f>
        <v/>
      </c>
    </row>
    <row r="207" spans="1:3">
      <c r="A207" s="1" t="str">
        <f>時間希望調査!A207&amp;""</f>
        <v/>
      </c>
      <c r="B207" s="1" t="str">
        <f>時間希望調査!B207&amp;""</f>
        <v/>
      </c>
      <c r="C207" s="1" t="str">
        <f>時間希望調査!C207&amp;""</f>
        <v/>
      </c>
    </row>
    <row r="208" spans="1:3">
      <c r="A208" s="1" t="str">
        <f>時間希望調査!A208&amp;""</f>
        <v/>
      </c>
      <c r="B208" s="1" t="str">
        <f>時間希望調査!B208&amp;""</f>
        <v/>
      </c>
      <c r="C208" s="1" t="str">
        <f>時間希望調査!C208&amp;""</f>
        <v/>
      </c>
    </row>
    <row r="209" spans="1:3">
      <c r="A209" s="1" t="str">
        <f>時間希望調査!A209&amp;""</f>
        <v/>
      </c>
      <c r="B209" s="1" t="str">
        <f>時間希望調査!B209&amp;""</f>
        <v/>
      </c>
      <c r="C209" s="1" t="str">
        <f>時間希望調査!C209&amp;""</f>
        <v/>
      </c>
    </row>
    <row r="210" spans="1:3">
      <c r="A210" s="1" t="str">
        <f>時間希望調査!A210&amp;""</f>
        <v/>
      </c>
      <c r="B210" s="1" t="str">
        <f>時間希望調査!B210&amp;""</f>
        <v/>
      </c>
      <c r="C210" s="1" t="str">
        <f>時間希望調査!C210&amp;""</f>
        <v/>
      </c>
    </row>
    <row r="211" spans="1:3">
      <c r="A211" s="1" t="str">
        <f>時間希望調査!A211&amp;""</f>
        <v/>
      </c>
      <c r="B211" s="1" t="str">
        <f>時間希望調査!B211&amp;""</f>
        <v/>
      </c>
      <c r="C211" s="1" t="str">
        <f>時間希望調査!C211&amp;""</f>
        <v/>
      </c>
    </row>
    <row r="212" spans="1:3">
      <c r="A212" s="1" t="str">
        <f>時間希望調査!A212&amp;""</f>
        <v/>
      </c>
      <c r="B212" s="1" t="str">
        <f>時間希望調査!B212&amp;""</f>
        <v/>
      </c>
      <c r="C212" s="1" t="str">
        <f>時間希望調査!C212&amp;""</f>
        <v/>
      </c>
    </row>
    <row r="213" spans="1:3">
      <c r="A213" s="1" t="str">
        <f>時間希望調査!A213&amp;""</f>
        <v/>
      </c>
      <c r="B213" s="1" t="str">
        <f>時間希望調査!B213&amp;""</f>
        <v/>
      </c>
      <c r="C213" s="1" t="str">
        <f>時間希望調査!C213&amp;""</f>
        <v/>
      </c>
    </row>
    <row r="214" spans="1:3">
      <c r="A214" s="1" t="str">
        <f>時間希望調査!A214&amp;""</f>
        <v/>
      </c>
      <c r="B214" s="1" t="str">
        <f>時間希望調査!B214&amp;""</f>
        <v/>
      </c>
      <c r="C214" s="1" t="str">
        <f>時間希望調査!C214&amp;""</f>
        <v/>
      </c>
    </row>
    <row r="215" spans="1:3">
      <c r="A215" s="1" t="str">
        <f>時間希望調査!A215&amp;""</f>
        <v/>
      </c>
      <c r="B215" s="1" t="str">
        <f>時間希望調査!B215&amp;""</f>
        <v/>
      </c>
      <c r="C215" s="1" t="str">
        <f>時間希望調査!C215&amp;""</f>
        <v/>
      </c>
    </row>
    <row r="216" spans="1:3">
      <c r="A216" s="1" t="str">
        <f>時間希望調査!A216&amp;""</f>
        <v/>
      </c>
      <c r="B216" s="1" t="str">
        <f>時間希望調査!B216&amp;""</f>
        <v/>
      </c>
      <c r="C216" s="1" t="str">
        <f>時間希望調査!C216&amp;""</f>
        <v/>
      </c>
    </row>
    <row r="217" spans="1:3">
      <c r="A217" s="1" t="str">
        <f>時間希望調査!A217&amp;""</f>
        <v/>
      </c>
      <c r="B217" s="1" t="str">
        <f>時間希望調査!B217&amp;""</f>
        <v/>
      </c>
      <c r="C217" s="1" t="str">
        <f>時間希望調査!C217&amp;""</f>
        <v/>
      </c>
    </row>
    <row r="218" spans="1:3">
      <c r="A218" s="1" t="str">
        <f>時間希望調査!A218&amp;""</f>
        <v/>
      </c>
      <c r="B218" s="1" t="str">
        <f>時間希望調査!B218&amp;""</f>
        <v/>
      </c>
      <c r="C218" s="1" t="str">
        <f>時間希望調査!C218&amp;""</f>
        <v/>
      </c>
    </row>
    <row r="219" spans="1:3">
      <c r="A219" s="1" t="str">
        <f>時間希望調査!A219&amp;""</f>
        <v/>
      </c>
      <c r="B219" s="1" t="str">
        <f>時間希望調査!B219&amp;""</f>
        <v/>
      </c>
      <c r="C219" s="1" t="str">
        <f>時間希望調査!C219&amp;""</f>
        <v/>
      </c>
    </row>
    <row r="220" spans="1:3">
      <c r="A220" s="1" t="str">
        <f>時間希望調査!A220&amp;""</f>
        <v/>
      </c>
      <c r="B220" s="1" t="str">
        <f>時間希望調査!B220&amp;""</f>
        <v/>
      </c>
      <c r="C220" s="1" t="str">
        <f>時間希望調査!C220&amp;""</f>
        <v/>
      </c>
    </row>
    <row r="221" spans="1:3">
      <c r="A221" s="1" t="str">
        <f>時間希望調査!A221&amp;""</f>
        <v/>
      </c>
      <c r="B221" s="1" t="str">
        <f>時間希望調査!B221&amp;""</f>
        <v/>
      </c>
      <c r="C221" s="1" t="str">
        <f>時間希望調査!C221&amp;""</f>
        <v/>
      </c>
    </row>
    <row r="222" spans="1:3">
      <c r="A222" s="1" t="str">
        <f>時間希望調査!A222&amp;""</f>
        <v/>
      </c>
      <c r="B222" s="1" t="str">
        <f>時間希望調査!B222&amp;""</f>
        <v/>
      </c>
      <c r="C222" s="1" t="str">
        <f>時間希望調査!C222&amp;""</f>
        <v/>
      </c>
    </row>
    <row r="223" spans="1:3">
      <c r="A223" s="1" t="str">
        <f>時間希望調査!A223&amp;""</f>
        <v/>
      </c>
      <c r="B223" s="1" t="str">
        <f>時間希望調査!B223&amp;""</f>
        <v/>
      </c>
      <c r="C223" s="1" t="str">
        <f>時間希望調査!C223&amp;""</f>
        <v/>
      </c>
    </row>
    <row r="224" spans="1:3">
      <c r="A224" s="1" t="str">
        <f>時間希望調査!A224&amp;""</f>
        <v/>
      </c>
      <c r="B224" s="1" t="str">
        <f>時間希望調査!B224&amp;""</f>
        <v/>
      </c>
      <c r="C224" s="1" t="str">
        <f>時間希望調査!C224&amp;""</f>
        <v/>
      </c>
    </row>
    <row r="225" spans="1:3">
      <c r="A225" s="1" t="str">
        <f>時間希望調査!A225&amp;""</f>
        <v/>
      </c>
      <c r="B225" s="1" t="str">
        <f>時間希望調査!B225&amp;""</f>
        <v/>
      </c>
      <c r="C225" s="1" t="str">
        <f>時間希望調査!C225&amp;""</f>
        <v/>
      </c>
    </row>
    <row r="226" spans="1:3">
      <c r="A226" s="1" t="str">
        <f>時間希望調査!A226&amp;""</f>
        <v/>
      </c>
      <c r="B226" s="1" t="str">
        <f>時間希望調査!B226&amp;""</f>
        <v/>
      </c>
      <c r="C226" s="1" t="str">
        <f>時間希望調査!C226&amp;""</f>
        <v/>
      </c>
    </row>
    <row r="227" spans="1:3">
      <c r="A227" s="1" t="str">
        <f>時間希望調査!A227&amp;""</f>
        <v/>
      </c>
      <c r="B227" s="1" t="str">
        <f>時間希望調査!B227&amp;""</f>
        <v/>
      </c>
      <c r="C227" s="1" t="str">
        <f>時間希望調査!C227&amp;""</f>
        <v/>
      </c>
    </row>
    <row r="228" spans="1:3">
      <c r="A228" s="1" t="str">
        <f>時間希望調査!A228&amp;""</f>
        <v/>
      </c>
      <c r="B228" s="1" t="str">
        <f>時間希望調査!B228&amp;""</f>
        <v/>
      </c>
      <c r="C228" s="1" t="str">
        <f>時間希望調査!C228&amp;""</f>
        <v/>
      </c>
    </row>
    <row r="229" spans="1:3">
      <c r="A229" s="1" t="str">
        <f>時間希望調査!A229&amp;""</f>
        <v/>
      </c>
      <c r="B229" s="1" t="str">
        <f>時間希望調査!B229&amp;""</f>
        <v/>
      </c>
      <c r="C229" s="1" t="str">
        <f>時間希望調査!C229&amp;""</f>
        <v/>
      </c>
    </row>
    <row r="230" spans="1:3">
      <c r="A230" s="1" t="str">
        <f>時間希望調査!A230&amp;""</f>
        <v/>
      </c>
      <c r="B230" s="1" t="str">
        <f>時間希望調査!B230&amp;""</f>
        <v/>
      </c>
      <c r="C230" s="1" t="str">
        <f>時間希望調査!C230&amp;""</f>
        <v/>
      </c>
    </row>
    <row r="231" spans="1:3">
      <c r="A231" s="1" t="str">
        <f>時間希望調査!A231&amp;""</f>
        <v/>
      </c>
      <c r="B231" s="1" t="str">
        <f>時間希望調査!B231&amp;""</f>
        <v/>
      </c>
      <c r="C231" s="1" t="str">
        <f>時間希望調査!C231&amp;""</f>
        <v/>
      </c>
    </row>
    <row r="232" spans="1:3">
      <c r="A232" s="1" t="str">
        <f>時間希望調査!A232&amp;""</f>
        <v/>
      </c>
      <c r="B232" s="1" t="str">
        <f>時間希望調査!B232&amp;""</f>
        <v/>
      </c>
      <c r="C232" s="1" t="str">
        <f>時間希望調査!C232&amp;""</f>
        <v/>
      </c>
    </row>
    <row r="233" spans="1:3">
      <c r="A233" s="1" t="str">
        <f>時間希望調査!A233&amp;""</f>
        <v/>
      </c>
      <c r="B233" s="1" t="str">
        <f>時間希望調査!B233&amp;""</f>
        <v/>
      </c>
      <c r="C233" s="1" t="str">
        <f>時間希望調査!C233&amp;""</f>
        <v/>
      </c>
    </row>
    <row r="234" spans="1:3">
      <c r="A234" s="1" t="str">
        <f>時間希望調査!A234&amp;""</f>
        <v/>
      </c>
      <c r="B234" s="1" t="str">
        <f>時間希望調査!B234&amp;""</f>
        <v/>
      </c>
      <c r="C234" s="1" t="str">
        <f>時間希望調査!C234&amp;""</f>
        <v/>
      </c>
    </row>
    <row r="235" spans="1:3">
      <c r="A235" s="1" t="str">
        <f>時間希望調査!A235&amp;""</f>
        <v/>
      </c>
      <c r="B235" s="1" t="str">
        <f>時間希望調査!B235&amp;""</f>
        <v/>
      </c>
      <c r="C235" s="1" t="str">
        <f>時間希望調査!C235&amp;""</f>
        <v/>
      </c>
    </row>
    <row r="236" spans="1:3">
      <c r="A236" s="1" t="str">
        <f>時間希望調査!A236&amp;""</f>
        <v/>
      </c>
      <c r="B236" s="1" t="str">
        <f>時間希望調査!B236&amp;""</f>
        <v/>
      </c>
      <c r="C236" s="1" t="str">
        <f>時間希望調査!C236&amp;""</f>
        <v/>
      </c>
    </row>
    <row r="237" spans="1:3">
      <c r="A237" s="1" t="str">
        <f>時間希望調査!A237&amp;""</f>
        <v/>
      </c>
      <c r="B237" s="1" t="str">
        <f>時間希望調査!B237&amp;""</f>
        <v/>
      </c>
      <c r="C237" s="1" t="str">
        <f>時間希望調査!C237&amp;""</f>
        <v/>
      </c>
    </row>
    <row r="238" spans="1:3">
      <c r="A238" s="1" t="str">
        <f>時間希望調査!A238&amp;""</f>
        <v/>
      </c>
      <c r="B238" s="1" t="str">
        <f>時間希望調査!B238&amp;""</f>
        <v/>
      </c>
      <c r="C238" s="1" t="str">
        <f>時間希望調査!C238&amp;""</f>
        <v/>
      </c>
    </row>
    <row r="239" spans="1:3">
      <c r="A239" s="1" t="str">
        <f>時間希望調査!A239&amp;""</f>
        <v/>
      </c>
      <c r="B239" s="1" t="str">
        <f>時間希望調査!B239&amp;""</f>
        <v/>
      </c>
      <c r="C239" s="1" t="str">
        <f>時間希望調査!C239&amp;""</f>
        <v/>
      </c>
    </row>
    <row r="240" spans="1:3">
      <c r="A240" s="1" t="str">
        <f>時間希望調査!A240&amp;""</f>
        <v/>
      </c>
      <c r="B240" s="1" t="str">
        <f>時間希望調査!B240&amp;""</f>
        <v/>
      </c>
      <c r="C240" s="1" t="str">
        <f>時間希望調査!C240&amp;""</f>
        <v/>
      </c>
    </row>
    <row r="241" spans="1:3">
      <c r="A241" s="1" t="str">
        <f>時間希望調査!A241&amp;""</f>
        <v/>
      </c>
      <c r="B241" s="1" t="str">
        <f>時間希望調査!B241&amp;""</f>
        <v/>
      </c>
      <c r="C241" s="1" t="str">
        <f>時間希望調査!C241&amp;""</f>
        <v/>
      </c>
    </row>
    <row r="242" spans="1:3">
      <c r="A242" s="1" t="str">
        <f>時間希望調査!A242&amp;""</f>
        <v/>
      </c>
      <c r="B242" s="1" t="str">
        <f>時間希望調査!B242&amp;""</f>
        <v/>
      </c>
      <c r="C242" s="1" t="str">
        <f>時間希望調査!C242&amp;""</f>
        <v/>
      </c>
    </row>
    <row r="243" spans="1:3">
      <c r="A243" s="1" t="str">
        <f>時間希望調査!A243&amp;""</f>
        <v/>
      </c>
      <c r="B243" s="1" t="str">
        <f>時間希望調査!B243&amp;""</f>
        <v/>
      </c>
      <c r="C243" s="1" t="str">
        <f>時間希望調査!C243&amp;""</f>
        <v/>
      </c>
    </row>
    <row r="244" spans="1:3">
      <c r="A244" s="1" t="str">
        <f>時間希望調査!A244&amp;""</f>
        <v/>
      </c>
      <c r="B244" s="1" t="str">
        <f>時間希望調査!B244&amp;""</f>
        <v/>
      </c>
      <c r="C244" s="1" t="str">
        <f>時間希望調査!C244&amp;""</f>
        <v/>
      </c>
    </row>
    <row r="245" spans="1:3">
      <c r="A245" s="1" t="str">
        <f>時間希望調査!A245&amp;""</f>
        <v/>
      </c>
      <c r="B245" s="1" t="str">
        <f>時間希望調査!B245&amp;""</f>
        <v/>
      </c>
      <c r="C245" s="1" t="str">
        <f>時間希望調査!C245&amp;""</f>
        <v/>
      </c>
    </row>
    <row r="246" spans="1:3">
      <c r="A246" s="1" t="str">
        <f>時間希望調査!A246&amp;""</f>
        <v/>
      </c>
      <c r="B246" s="1" t="str">
        <f>時間希望調査!B246&amp;""</f>
        <v/>
      </c>
      <c r="C246" s="1" t="str">
        <f>時間希望調査!C246&amp;""</f>
        <v/>
      </c>
    </row>
    <row r="247" spans="1:3">
      <c r="A247" s="1" t="str">
        <f>時間希望調査!A247&amp;""</f>
        <v/>
      </c>
      <c r="B247" s="1" t="str">
        <f>時間希望調査!B247&amp;""</f>
        <v/>
      </c>
      <c r="C247" s="1" t="str">
        <f>時間希望調査!C247&amp;""</f>
        <v/>
      </c>
    </row>
    <row r="248" spans="1:3">
      <c r="A248" s="1" t="str">
        <f>時間希望調査!A248&amp;""</f>
        <v/>
      </c>
      <c r="B248" s="1" t="str">
        <f>時間希望調査!B248&amp;""</f>
        <v/>
      </c>
      <c r="C248" s="1" t="str">
        <f>時間希望調査!C248&amp;""</f>
        <v/>
      </c>
    </row>
    <row r="249" spans="1:3">
      <c r="A249" s="1" t="str">
        <f>時間希望調査!A249&amp;""</f>
        <v/>
      </c>
      <c r="B249" s="1" t="str">
        <f>時間希望調査!B249&amp;""</f>
        <v/>
      </c>
      <c r="C249" s="1" t="str">
        <f>時間希望調査!C249&amp;""</f>
        <v/>
      </c>
    </row>
    <row r="250" spans="1:3">
      <c r="A250" s="1" t="str">
        <f>時間希望調査!A250&amp;""</f>
        <v/>
      </c>
      <c r="B250" s="1" t="str">
        <f>時間希望調査!B250&amp;""</f>
        <v/>
      </c>
      <c r="C250" s="1" t="str">
        <f>時間希望調査!C250&amp;""</f>
        <v/>
      </c>
    </row>
    <row r="251" spans="1:3">
      <c r="A251" s="1" t="str">
        <f>時間希望調査!A251&amp;""</f>
        <v/>
      </c>
      <c r="B251" s="1" t="str">
        <f>時間希望調査!B251&amp;""</f>
        <v/>
      </c>
      <c r="C251" s="1" t="str">
        <f>時間希望調査!C251&amp;""</f>
        <v/>
      </c>
    </row>
    <row r="252" spans="1:3">
      <c r="A252" s="1" t="str">
        <f>時間希望調査!A252&amp;""</f>
        <v/>
      </c>
      <c r="B252" s="1" t="str">
        <f>時間希望調査!B252&amp;""</f>
        <v/>
      </c>
      <c r="C252" s="1" t="str">
        <f>時間希望調査!C252&amp;""</f>
        <v/>
      </c>
    </row>
    <row r="253" spans="1:3">
      <c r="A253" s="1" t="str">
        <f>時間希望調査!A253&amp;""</f>
        <v/>
      </c>
      <c r="B253" s="1" t="str">
        <f>時間希望調査!B253&amp;""</f>
        <v/>
      </c>
      <c r="C253" s="1" t="str">
        <f>時間希望調査!C253&amp;""</f>
        <v/>
      </c>
    </row>
    <row r="254" spans="1:3">
      <c r="A254" s="1" t="str">
        <f>時間希望調査!A254&amp;""</f>
        <v/>
      </c>
      <c r="B254" s="1" t="str">
        <f>時間希望調査!B254&amp;""</f>
        <v/>
      </c>
      <c r="C254" s="1" t="str">
        <f>時間希望調査!C254&amp;""</f>
        <v/>
      </c>
    </row>
    <row r="255" spans="1:3">
      <c r="A255" s="1" t="str">
        <f>時間希望調査!A255&amp;""</f>
        <v/>
      </c>
      <c r="B255" s="1" t="str">
        <f>時間希望調査!B255&amp;""</f>
        <v/>
      </c>
      <c r="C255" s="1" t="str">
        <f>時間希望調査!C255&amp;""</f>
        <v/>
      </c>
    </row>
    <row r="256" spans="1:3">
      <c r="A256" s="1" t="str">
        <f>時間希望調査!A256&amp;""</f>
        <v/>
      </c>
      <c r="B256" s="1" t="str">
        <f>時間希望調査!B256&amp;""</f>
        <v/>
      </c>
      <c r="C256" s="1" t="str">
        <f>時間希望調査!C256&amp;""</f>
        <v/>
      </c>
    </row>
    <row r="257" spans="1:3">
      <c r="A257" s="1" t="str">
        <f>時間希望調査!A257&amp;""</f>
        <v/>
      </c>
      <c r="B257" s="1" t="str">
        <f>時間希望調査!B257&amp;""</f>
        <v/>
      </c>
      <c r="C257" s="1" t="str">
        <f>時間希望調査!C257&amp;""</f>
        <v/>
      </c>
    </row>
    <row r="258" spans="1:3">
      <c r="A258" s="1" t="str">
        <f>時間希望調査!A258&amp;""</f>
        <v/>
      </c>
      <c r="B258" s="1" t="str">
        <f>時間希望調査!B258&amp;""</f>
        <v/>
      </c>
      <c r="C258" s="1" t="str">
        <f>時間希望調査!C258&amp;""</f>
        <v/>
      </c>
    </row>
    <row r="259" spans="1:3">
      <c r="A259" s="1" t="str">
        <f>時間希望調査!A259&amp;""</f>
        <v/>
      </c>
      <c r="B259" s="1" t="str">
        <f>時間希望調査!B259&amp;""</f>
        <v/>
      </c>
      <c r="C259" s="1" t="str">
        <f>時間希望調査!C259&amp;""</f>
        <v/>
      </c>
    </row>
    <row r="260" spans="1:3">
      <c r="A260" s="1" t="str">
        <f>時間希望調査!A260&amp;""</f>
        <v/>
      </c>
      <c r="B260" s="1" t="str">
        <f>時間希望調査!B260&amp;""</f>
        <v/>
      </c>
      <c r="C260" s="1" t="str">
        <f>時間希望調査!C260&amp;""</f>
        <v/>
      </c>
    </row>
    <row r="261" spans="1:3">
      <c r="A261" s="1" t="str">
        <f>時間希望調査!A261&amp;""</f>
        <v/>
      </c>
      <c r="B261" s="1" t="str">
        <f>時間希望調査!B261&amp;""</f>
        <v/>
      </c>
      <c r="C261" s="1" t="str">
        <f>時間希望調査!C261&amp;""</f>
        <v/>
      </c>
    </row>
    <row r="262" spans="1:3">
      <c r="A262" s="1" t="str">
        <f>時間希望調査!A262&amp;""</f>
        <v/>
      </c>
      <c r="B262" s="1" t="str">
        <f>時間希望調査!B262&amp;""</f>
        <v/>
      </c>
      <c r="C262" s="1" t="str">
        <f>時間希望調査!C262&amp;""</f>
        <v/>
      </c>
    </row>
    <row r="263" spans="1:3">
      <c r="A263" s="1" t="str">
        <f>時間希望調査!A263&amp;""</f>
        <v/>
      </c>
      <c r="B263" s="1" t="str">
        <f>時間希望調査!B263&amp;""</f>
        <v/>
      </c>
      <c r="C263" s="1" t="str">
        <f>時間希望調査!C263&amp;""</f>
        <v/>
      </c>
    </row>
    <row r="264" spans="1:3">
      <c r="A264" s="1" t="str">
        <f>時間希望調査!A264&amp;""</f>
        <v/>
      </c>
      <c r="B264" s="1" t="str">
        <f>時間希望調査!B264&amp;""</f>
        <v/>
      </c>
      <c r="C264" s="1" t="str">
        <f>時間希望調査!C264&amp;""</f>
        <v/>
      </c>
    </row>
    <row r="265" spans="1:3">
      <c r="A265" s="1" t="str">
        <f>時間希望調査!A265&amp;""</f>
        <v/>
      </c>
      <c r="B265" s="1" t="str">
        <f>時間希望調査!B265&amp;""</f>
        <v/>
      </c>
      <c r="C265" s="1" t="str">
        <f>時間希望調査!C265&amp;""</f>
        <v/>
      </c>
    </row>
    <row r="266" spans="1:3">
      <c r="A266" s="1" t="str">
        <f>時間希望調査!A266&amp;""</f>
        <v/>
      </c>
      <c r="B266" s="1" t="str">
        <f>時間希望調査!B266&amp;""</f>
        <v/>
      </c>
      <c r="C266" s="1" t="str">
        <f>時間希望調査!C266&amp;""</f>
        <v/>
      </c>
    </row>
    <row r="267" spans="1:3">
      <c r="A267" s="1" t="str">
        <f>時間希望調査!A267&amp;""</f>
        <v/>
      </c>
      <c r="B267" s="1" t="str">
        <f>時間希望調査!B267&amp;""</f>
        <v/>
      </c>
      <c r="C267" s="1" t="str">
        <f>時間希望調査!C267&amp;""</f>
        <v/>
      </c>
    </row>
    <row r="268" spans="1:3">
      <c r="A268" s="1" t="str">
        <f>時間希望調査!A268&amp;""</f>
        <v/>
      </c>
      <c r="B268" s="1" t="str">
        <f>時間希望調査!B268&amp;""</f>
        <v/>
      </c>
      <c r="C268" s="1" t="str">
        <f>時間希望調査!C268&amp;""</f>
        <v/>
      </c>
    </row>
    <row r="269" spans="1:3">
      <c r="A269" s="1" t="str">
        <f>時間希望調査!A269&amp;""</f>
        <v/>
      </c>
      <c r="B269" s="1" t="str">
        <f>時間希望調査!B269&amp;""</f>
        <v/>
      </c>
      <c r="C269" s="1" t="str">
        <f>時間希望調査!C269&amp;""</f>
        <v/>
      </c>
    </row>
    <row r="270" spans="1:3">
      <c r="A270" s="1" t="str">
        <f>時間希望調査!A270&amp;""</f>
        <v/>
      </c>
      <c r="B270" s="1" t="str">
        <f>時間希望調査!B270&amp;""</f>
        <v/>
      </c>
      <c r="C270" s="1" t="str">
        <f>時間希望調査!C270&amp;""</f>
        <v/>
      </c>
    </row>
    <row r="271" spans="1:3">
      <c r="A271" s="1" t="str">
        <f>時間希望調査!A271&amp;""</f>
        <v/>
      </c>
      <c r="B271" s="1" t="str">
        <f>時間希望調査!B271&amp;""</f>
        <v/>
      </c>
      <c r="C271" s="1" t="str">
        <f>時間希望調査!C271&amp;""</f>
        <v/>
      </c>
    </row>
    <row r="272" spans="1:3">
      <c r="A272" s="1" t="str">
        <f>時間希望調査!A272&amp;""</f>
        <v/>
      </c>
      <c r="B272" s="1" t="str">
        <f>時間希望調査!B272&amp;""</f>
        <v/>
      </c>
      <c r="C272" s="1" t="str">
        <f>時間希望調査!C272&amp;""</f>
        <v/>
      </c>
    </row>
    <row r="273" spans="1:3">
      <c r="A273" s="1" t="str">
        <f>時間希望調査!A273&amp;""</f>
        <v/>
      </c>
      <c r="B273" s="1" t="str">
        <f>時間希望調査!B273&amp;""</f>
        <v/>
      </c>
      <c r="C273" s="1" t="str">
        <f>時間希望調査!C273&amp;""</f>
        <v/>
      </c>
    </row>
    <row r="274" spans="1:3">
      <c r="A274" s="1" t="str">
        <f>時間希望調査!A274&amp;""</f>
        <v/>
      </c>
      <c r="B274" s="1" t="str">
        <f>時間希望調査!B274&amp;""</f>
        <v/>
      </c>
      <c r="C274" s="1" t="str">
        <f>時間希望調査!C274&amp;""</f>
        <v/>
      </c>
    </row>
    <row r="275" spans="1:3">
      <c r="A275" s="1" t="str">
        <f>時間希望調査!A275&amp;""</f>
        <v/>
      </c>
      <c r="B275" s="1" t="str">
        <f>時間希望調査!B275&amp;""</f>
        <v/>
      </c>
      <c r="C275" s="1" t="str">
        <f>時間希望調査!C275&amp;""</f>
        <v/>
      </c>
    </row>
    <row r="276" spans="1:3">
      <c r="A276" s="1" t="str">
        <f>時間希望調査!A276&amp;""</f>
        <v/>
      </c>
      <c r="B276" s="1" t="str">
        <f>時間希望調査!B276&amp;""</f>
        <v/>
      </c>
      <c r="C276" s="1" t="str">
        <f>時間希望調査!C276&amp;""</f>
        <v/>
      </c>
    </row>
    <row r="277" spans="1:3">
      <c r="A277" s="1" t="str">
        <f>時間希望調査!A277&amp;""</f>
        <v/>
      </c>
      <c r="B277" s="1" t="str">
        <f>時間希望調査!B277&amp;""</f>
        <v/>
      </c>
      <c r="C277" s="1" t="str">
        <f>時間希望調査!C277&amp;""</f>
        <v/>
      </c>
    </row>
    <row r="278" spans="1:3">
      <c r="A278" s="1" t="str">
        <f>時間希望調査!A278&amp;""</f>
        <v/>
      </c>
      <c r="B278" s="1" t="str">
        <f>時間希望調査!B278&amp;""</f>
        <v/>
      </c>
      <c r="C278" s="1" t="str">
        <f>時間希望調査!C278&amp;""</f>
        <v/>
      </c>
    </row>
    <row r="279" spans="1:3">
      <c r="A279" s="1" t="str">
        <f>時間希望調査!A279&amp;""</f>
        <v/>
      </c>
      <c r="B279" s="1" t="str">
        <f>時間希望調査!B279&amp;""</f>
        <v/>
      </c>
      <c r="C279" s="1" t="str">
        <f>時間希望調査!C279&amp;""</f>
        <v/>
      </c>
    </row>
    <row r="280" spans="1:3">
      <c r="A280" s="1" t="str">
        <f>時間希望調査!A280&amp;""</f>
        <v/>
      </c>
      <c r="B280" s="1" t="str">
        <f>時間希望調査!B280&amp;""</f>
        <v/>
      </c>
      <c r="C280" s="1" t="str">
        <f>時間希望調査!C280&amp;""</f>
        <v/>
      </c>
    </row>
    <row r="281" spans="1:3">
      <c r="A281" s="1" t="str">
        <f>時間希望調査!A281&amp;""</f>
        <v/>
      </c>
      <c r="B281" s="1" t="str">
        <f>時間希望調査!B281&amp;""</f>
        <v/>
      </c>
      <c r="C281" s="1" t="str">
        <f>時間希望調査!C281&amp;""</f>
        <v/>
      </c>
    </row>
    <row r="282" spans="1:3">
      <c r="A282" s="1" t="str">
        <f>時間希望調査!A282&amp;""</f>
        <v/>
      </c>
      <c r="B282" s="1" t="str">
        <f>時間希望調査!B282&amp;""</f>
        <v/>
      </c>
      <c r="C282" s="1" t="str">
        <f>時間希望調査!C282&amp;""</f>
        <v/>
      </c>
    </row>
    <row r="283" spans="1:3">
      <c r="A283" s="1" t="str">
        <f>時間希望調査!A283&amp;""</f>
        <v/>
      </c>
      <c r="B283" s="1" t="str">
        <f>時間希望調査!B283&amp;""</f>
        <v/>
      </c>
      <c r="C283" s="1" t="str">
        <f>時間希望調査!C283&amp;""</f>
        <v/>
      </c>
    </row>
    <row r="284" spans="1:3">
      <c r="A284" s="1" t="str">
        <f>時間希望調査!A284&amp;""</f>
        <v/>
      </c>
      <c r="B284" s="1" t="str">
        <f>時間希望調査!B284&amp;""</f>
        <v/>
      </c>
      <c r="C284" s="1" t="str">
        <f>時間希望調査!C284&amp;""</f>
        <v/>
      </c>
    </row>
    <row r="285" spans="1:3">
      <c r="A285" s="1" t="str">
        <f>時間希望調査!A285&amp;""</f>
        <v/>
      </c>
      <c r="B285" s="1" t="str">
        <f>時間希望調査!B285&amp;""</f>
        <v/>
      </c>
      <c r="C285" s="1" t="str">
        <f>時間希望調査!C285&amp;""</f>
        <v/>
      </c>
    </row>
    <row r="286" spans="1:3">
      <c r="A286" s="1" t="str">
        <f>時間希望調査!A286&amp;""</f>
        <v/>
      </c>
      <c r="B286" s="1" t="str">
        <f>時間希望調査!B286&amp;""</f>
        <v/>
      </c>
      <c r="C286" s="1" t="str">
        <f>時間希望調査!C286&amp;""</f>
        <v/>
      </c>
    </row>
    <row r="287" spans="1:3">
      <c r="A287" s="1" t="str">
        <f>時間希望調査!A287&amp;""</f>
        <v/>
      </c>
      <c r="B287" s="1" t="str">
        <f>時間希望調査!B287&amp;""</f>
        <v/>
      </c>
      <c r="C287" s="1" t="str">
        <f>時間希望調査!C287&amp;""</f>
        <v/>
      </c>
    </row>
    <row r="288" spans="1:3">
      <c r="A288" s="1" t="str">
        <f>時間希望調査!A288&amp;""</f>
        <v/>
      </c>
      <c r="B288" s="1" t="str">
        <f>時間希望調査!B288&amp;""</f>
        <v/>
      </c>
      <c r="C288" s="1" t="str">
        <f>時間希望調査!C288&amp;""</f>
        <v/>
      </c>
    </row>
    <row r="289" spans="1:3">
      <c r="A289" s="1" t="str">
        <f>時間希望調査!A289&amp;""</f>
        <v/>
      </c>
      <c r="B289" s="1" t="str">
        <f>時間希望調査!B289&amp;""</f>
        <v/>
      </c>
      <c r="C289" s="1" t="str">
        <f>時間希望調査!C289&amp;""</f>
        <v/>
      </c>
    </row>
    <row r="290" spans="1:3">
      <c r="A290" s="1" t="str">
        <f>時間希望調査!A290&amp;""</f>
        <v/>
      </c>
      <c r="B290" s="1" t="str">
        <f>時間希望調査!B290&amp;""</f>
        <v/>
      </c>
      <c r="C290" s="1" t="str">
        <f>時間希望調査!C290&amp;""</f>
        <v/>
      </c>
    </row>
    <row r="291" spans="1:3">
      <c r="A291" s="1" t="str">
        <f>時間希望調査!A291&amp;""</f>
        <v/>
      </c>
      <c r="B291" s="1" t="str">
        <f>時間希望調査!B291&amp;""</f>
        <v/>
      </c>
      <c r="C291" s="1" t="str">
        <f>時間希望調査!C291&amp;""</f>
        <v/>
      </c>
    </row>
    <row r="292" spans="1:3">
      <c r="A292" s="1" t="str">
        <f>時間希望調査!A292&amp;""</f>
        <v/>
      </c>
      <c r="B292" s="1" t="str">
        <f>時間希望調査!B292&amp;""</f>
        <v/>
      </c>
      <c r="C292" s="1" t="str">
        <f>時間希望調査!C292&amp;""</f>
        <v/>
      </c>
    </row>
  </sheetData>
  <sheetProtection sheet="1" selectLockedCells="1"/>
  <phoneticPr fontId="1"/>
  <pageMargins left="0.7" right="0.7" top="0.75" bottom="0.75" header="0.3" footer="0.3"/>
  <pageSetup paperSize="9" orientation="portrait" horizontalDpi="0" verticalDpi="0"/>
  <extLst>
    <ext xmlns:x14="http://schemas.microsoft.com/office/spreadsheetml/2009/9/main" uri="{78C0D931-6437-407d-A8EE-F0AAD7539E65}">
      <x14:conditionalFormattings>
        <x14:conditionalFormatting xmlns:xm="http://schemas.microsoft.com/office/excel/2006/main">
          <x14:cfRule type="expression" priority="1" id="{FE74B99B-C417-514B-A767-87C70547B975}">
            <xm:f>COUNTIF(役職一覧!$K:$K,D1)=1</xm:f>
            <x14:dxf>
              <fill>
                <patternFill>
                  <bgColor rgb="FFE1B9FF"/>
                </patternFill>
              </fill>
            </x14:dxf>
          </x14:cfRule>
          <x14:cfRule type="expression" priority="2" id="{3004D1D6-FFBF-AB49-9DB4-A3522F6FC95C}">
            <xm:f>COUNTIF(役職一覧!$J:$J,D1)=1</xm:f>
            <x14:dxf>
              <fill>
                <patternFill>
                  <bgColor rgb="FF7FCAFF"/>
                </patternFill>
              </fill>
            </x14:dxf>
          </x14:cfRule>
          <x14:cfRule type="expression" priority="3" id="{CEB31849-42B3-3941-BFA3-9E074618BB41}">
            <xm:f>COUNTIF(役職一覧!$I:$I,D1)=1</xm:f>
            <x14:dxf>
              <fill>
                <patternFill>
                  <bgColor rgb="FF95FF6C"/>
                </patternFill>
              </fill>
            </x14:dxf>
          </x14:cfRule>
          <x14:cfRule type="expression" priority="4" id="{7F9DC2A8-F37F-264A-8788-1399EF33C394}">
            <xm:f>COUNTIF(役職一覧!$H:$H,D1)=1</xm:f>
            <x14:dxf>
              <fill>
                <patternFill>
                  <bgColor rgb="FFFFF690"/>
                </patternFill>
              </fill>
            </x14:dxf>
          </x14:cfRule>
          <x14:cfRule type="expression" priority="5" id="{9D577C16-B9C0-D84D-A66E-F8A1090C0BE9}">
            <xm:f>COUNTIF(役職一覧!$G:$G,D1)=1</xm:f>
            <x14:dxf>
              <fill>
                <patternFill>
                  <bgColor rgb="FFFFD965"/>
                </patternFill>
              </fill>
            </x14:dxf>
          </x14:cfRule>
          <x14:cfRule type="expression" priority="6" id="{8B62D444-7822-5F4D-AC54-FC49B5CF847B}">
            <xm:f>COUNTIF(役職一覧!$F:$F,D1)=1</xm:f>
            <x14:dxf>
              <fill>
                <patternFill>
                  <bgColor rgb="FFFFC7CE"/>
                </patternFill>
              </fill>
            </x14:dxf>
          </x14:cfRule>
          <xm:sqref>D1:H1048576</xm:sqref>
        </x14:conditionalFormatting>
      </x14:conditionalFormattings>
    </ext>
    <ext xmlns:x14="http://schemas.microsoft.com/office/spreadsheetml/2009/9/main" uri="{CCE6A557-97BC-4b89-ADB6-D9C93CAAB3DF}">
      <x14:dataValidations xmlns:xm="http://schemas.microsoft.com/office/excel/2006/main" count="2">
        <x14:dataValidation type="list" errorStyle="warning" allowBlank="1" showInputMessage="1" showErrorMessage="1" errorTitle="無効なデータが入力されています" xr:uid="{3EF86F7C-A61A-BD4B-AC07-FB4BB6BCB024}">
          <x14:formula1>
            <xm:f>役職一覧!$B:$B</xm:f>
          </x14:formula1>
          <xm:sqref>D1:E1048576 G1:H1048576 F1 F3:F1048576</xm:sqref>
        </x14:dataValidation>
        <x14:dataValidation type="list" errorStyle="warning" allowBlank="1" showInputMessage="1" showErrorMessage="1" errorTitle="無効なデータが入力されています" xr:uid="{B8ABA937-D821-5B43-9B61-41ED9DA900F8}">
          <x14:formula1>
            <xm:f>役職一覧!$B$2:$B$31</xm:f>
          </x14:formula1>
          <xm:sqref>F2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67A7B7-A118-C24A-8766-C5F43CA65D2C}">
  <sheetPr codeName="Formula"/>
  <dimension ref="B2"/>
  <sheetViews>
    <sheetView workbookViewId="0"/>
  </sheetViews>
  <sheetFormatPr baseColWidth="10" defaultRowHeight="20"/>
  <sheetData>
    <row r="2" spans="2:2">
      <c r="B2" s="2" t="s">
        <v>22</v>
      </c>
    </row>
  </sheetData>
  <phoneticPr fontId="1"/>
  <pageMargins left="0.7" right="0.7" top="0.75" bottom="0.75" header="0.3" footer="0.3"/>
  <pageSetup paperSize="9" orientation="portrait" horizontalDpi="0" verticalDpi="0"/>
  <extLst>
    <ext xmlns:x14="http://schemas.microsoft.com/office/spreadsheetml/2009/9/main" uri="{78C0D931-6437-407d-A8EE-F0AAD7539E65}">
      <x14:conditionalFormattings>
        <x14:conditionalFormatting xmlns:xm="http://schemas.microsoft.com/office/excel/2006/main">
          <x14:cfRule type="expression" priority="1" id="{63393571-81DC-E548-BD90-8D41B402A0DB}">
            <xm:f>COUNTIF(役職一覧!$K:$K,B2)=1</xm:f>
            <x14:dxf>
              <fill>
                <patternFill>
                  <bgColor rgb="FFE1B9FF"/>
                </patternFill>
              </fill>
            </x14:dxf>
          </x14:cfRule>
          <x14:cfRule type="expression" priority="2" id="{6C94FD7D-4A2A-CB46-B8D9-3619AB9D74E6}">
            <xm:f>COUNTIF(役職一覧!$J:$J,B2)=1</xm:f>
            <x14:dxf>
              <fill>
                <patternFill>
                  <bgColor rgb="FF7FCAFF"/>
                </patternFill>
              </fill>
            </x14:dxf>
          </x14:cfRule>
          <x14:cfRule type="expression" priority="3" id="{E136F41D-D735-3D40-B181-33EB42E28A2D}">
            <xm:f>COUNTIF(役職一覧!$I:$I,B2)=1</xm:f>
            <x14:dxf>
              <fill>
                <patternFill>
                  <bgColor rgb="FF95FF6C"/>
                </patternFill>
              </fill>
            </x14:dxf>
          </x14:cfRule>
          <x14:cfRule type="expression" priority="4" id="{AC29ED6D-8A26-A948-8188-A609957A8D2D}">
            <xm:f>COUNTIF(役職一覧!$H:$H,B2)=1</xm:f>
            <x14:dxf>
              <fill>
                <patternFill>
                  <bgColor rgb="FFFFF690"/>
                </patternFill>
              </fill>
            </x14:dxf>
          </x14:cfRule>
          <x14:cfRule type="expression" priority="5" id="{8724D3D4-232D-274B-AF9A-14C89C270567}">
            <xm:f>COUNTIF(役職一覧!$G:$G,B2)=1</xm:f>
            <x14:dxf>
              <fill>
                <patternFill>
                  <bgColor rgb="FFFFD965"/>
                </patternFill>
              </fill>
            </x14:dxf>
          </x14:cfRule>
          <x14:cfRule type="expression" priority="6" id="{EC4B7690-53CF-994C-A7F9-152605D3F772}">
            <xm:f>COUNTIF(役職一覧!$F:$F,B2)=1</xm:f>
            <x14:dxf>
              <fill>
                <patternFill>
                  <bgColor rgb="FFFFC7CE"/>
                </patternFill>
              </fill>
            </x14:dxf>
          </x14:cfRule>
          <xm:sqref>B2</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02424A-B870-284D-993C-F037C7A23009}">
  <sheetPr codeName="Shift"/>
  <dimension ref="A1:CM314"/>
  <sheetViews>
    <sheetView zoomScaleNormal="100" workbookViewId="0">
      <pane xSplit="3" ySplit="31" topLeftCell="D32" activePane="bottomRight" state="frozen"/>
      <selection pane="topRight" activeCell="D1" sqref="D1"/>
      <selection pane="bottomLeft" activeCell="A32" sqref="A32"/>
      <selection pane="bottomRight" activeCell="G36" sqref="G36"/>
    </sheetView>
  </sheetViews>
  <sheetFormatPr baseColWidth="10" defaultRowHeight="20"/>
  <cols>
    <col min="1" max="1" width="3.7109375" style="10" bestFit="1" customWidth="1"/>
    <col min="2" max="2" width="5.140625" style="10" bestFit="1" customWidth="1"/>
    <col min="3" max="3" width="15.7109375" style="10" bestFit="1" customWidth="1"/>
    <col min="4" max="12" width="5.5703125" style="10" customWidth="1"/>
    <col min="13" max="53" width="5.5703125" style="10" hidden="1" customWidth="1"/>
    <col min="54" max="54" width="2.7109375" style="10" bestFit="1" customWidth="1"/>
    <col min="55" max="55" width="3.7109375" style="10" bestFit="1" customWidth="1"/>
    <col min="56" max="58" width="4.42578125" style="10" bestFit="1" customWidth="1"/>
    <col min="59" max="59" width="4.42578125" style="10" customWidth="1"/>
    <col min="60" max="60" width="4.42578125" style="10" bestFit="1" customWidth="1"/>
    <col min="61" max="63" width="2.85546875" style="10" bestFit="1" customWidth="1"/>
    <col min="64" max="64" width="3" style="10" bestFit="1" customWidth="1"/>
    <col min="65" max="65" width="2.7109375" style="10" bestFit="1" customWidth="1"/>
    <col min="66" max="66" width="5.85546875" style="10" customWidth="1"/>
    <col min="67" max="90" width="5.85546875" style="10" hidden="1" customWidth="1"/>
    <col min="91" max="16384" width="10.7109375" style="10"/>
  </cols>
  <sheetData>
    <row r="1" spans="2:91">
      <c r="B1" s="10" t="s">
        <v>14</v>
      </c>
      <c r="C1" s="10" t="s">
        <v>21</v>
      </c>
      <c r="D1" s="10" t="str">
        <f>IFERROR(VLOOKUP(COLUMN()-3,時間帯一覧!$A:$B,2,FALSE),"")&amp;""</f>
        <v>10:00</v>
      </c>
      <c r="E1" s="10" t="str">
        <f>IFERROR(VLOOKUP(COLUMN()-3,時間帯一覧!$A:$B,2,FALSE),"")&amp;""</f>
        <v>10:30</v>
      </c>
      <c r="F1" s="10" t="str">
        <f>IFERROR(VLOOKUP(COLUMN()-3,時間帯一覧!$A:$B,2,FALSE),"")&amp;""</f>
        <v>11:00</v>
      </c>
      <c r="G1" s="10" t="str">
        <f>IFERROR(VLOOKUP(COLUMN()-3,時間帯一覧!$A:$B,2,FALSE),"")&amp;""</f>
        <v>11:30</v>
      </c>
      <c r="H1" s="10" t="str">
        <f>IFERROR(VLOOKUP(COLUMN()-3,時間帯一覧!$A:$B,2,FALSE),"")&amp;""</f>
        <v>12:00</v>
      </c>
      <c r="I1" s="10" t="str">
        <f>IFERROR(VLOOKUP(COLUMN()-3,時間帯一覧!$A:$B,2,FALSE),"")&amp;""</f>
        <v>12:30</v>
      </c>
      <c r="J1" s="10" t="str">
        <f>IFERROR(VLOOKUP(COLUMN()-3,時間帯一覧!$A:$B,2,FALSE),"")&amp;""</f>
        <v>13:00</v>
      </c>
      <c r="K1" s="10" t="str">
        <f>IFERROR(VLOOKUP(COLUMN()-3,時間帯一覧!$A:$B,2,FALSE),"")&amp;""</f>
        <v>13:30</v>
      </c>
      <c r="L1" s="10" t="str">
        <f>IFERROR(VLOOKUP(COLUMN()-3,時間帯一覧!$A:$B,2,FALSE),"")&amp;""</f>
        <v>14:00</v>
      </c>
      <c r="M1" s="10" t="str">
        <f>IFERROR(VLOOKUP(COLUMN()-3,時間帯一覧!$A:$B,2,FALSE),"")&amp;""</f>
        <v/>
      </c>
      <c r="N1" s="10" t="str">
        <f>IFERROR(VLOOKUP(COLUMN()-3,時間帯一覧!$A:$B,2,FALSE),"")&amp;""</f>
        <v/>
      </c>
      <c r="O1" s="10" t="str">
        <f>IFERROR(VLOOKUP(COLUMN()-3,時間帯一覧!$A:$B,2,FALSE),"")&amp;""</f>
        <v/>
      </c>
      <c r="P1" s="10" t="str">
        <f>IFERROR(VLOOKUP(COLUMN()-3,時間帯一覧!$A:$B,2,FALSE),"")&amp;""</f>
        <v/>
      </c>
      <c r="Q1" s="10" t="str">
        <f>IFERROR(VLOOKUP(COLUMN()-3,時間帯一覧!$A:$B,2,FALSE),"")&amp;""</f>
        <v/>
      </c>
      <c r="R1" s="10" t="str">
        <f>IFERROR(VLOOKUP(COLUMN()-3,時間帯一覧!$A:$B,2,FALSE),"")&amp;""</f>
        <v/>
      </c>
      <c r="S1" s="10" t="str">
        <f>IFERROR(VLOOKUP(COLUMN()-3,時間帯一覧!$A:$B,2,FALSE),"")&amp;""</f>
        <v/>
      </c>
      <c r="T1" s="10" t="str">
        <f>IFERROR(VLOOKUP(COLUMN()-3,時間帯一覧!$A:$B,2,FALSE),"")&amp;""</f>
        <v/>
      </c>
      <c r="U1" s="10" t="str">
        <f>IFERROR(VLOOKUP(COLUMN()-3,時間帯一覧!$A:$B,2,FALSE),"")&amp;""</f>
        <v/>
      </c>
      <c r="V1" s="10" t="str">
        <f>IFERROR(VLOOKUP(COLUMN()-3,時間帯一覧!$A:$B,2,FALSE),"")&amp;""</f>
        <v/>
      </c>
      <c r="W1" s="10" t="str">
        <f>IFERROR(VLOOKUP(COLUMN()-3,時間帯一覧!$A:$B,2,FALSE),"")&amp;""</f>
        <v/>
      </c>
      <c r="X1" s="10" t="str">
        <f>IFERROR(VLOOKUP(COLUMN()-3,時間帯一覧!$A:$B,2,FALSE),"")&amp;""</f>
        <v/>
      </c>
      <c r="Y1" s="10" t="str">
        <f>IFERROR(VLOOKUP(COLUMN()-3,時間帯一覧!$A:$B,2,FALSE),"")&amp;""</f>
        <v/>
      </c>
      <c r="Z1" s="10" t="str">
        <f>IFERROR(VLOOKUP(COLUMN()-3,時間帯一覧!$A:$B,2,FALSE),"")&amp;""</f>
        <v/>
      </c>
      <c r="AA1" s="10" t="str">
        <f>IFERROR(VLOOKUP(COLUMN()-3,時間帯一覧!$A:$B,2,FALSE),"")&amp;""</f>
        <v/>
      </c>
      <c r="AB1" s="10" t="str">
        <f>IFERROR(VLOOKUP(COLUMN()-3,時間帯一覧!$A:$B,2,FALSE),"")&amp;""</f>
        <v/>
      </c>
      <c r="AC1" s="10" t="str">
        <f>IFERROR(VLOOKUP(COLUMN()-3,時間帯一覧!$A:$B,2,FALSE),"")&amp;""</f>
        <v/>
      </c>
      <c r="AD1" s="10" t="str">
        <f>IFERROR(VLOOKUP(COLUMN()-3,時間帯一覧!$A:$B,2,FALSE),"")&amp;""</f>
        <v/>
      </c>
      <c r="AE1" s="10" t="str">
        <f>IFERROR(VLOOKUP(COLUMN()-3,時間帯一覧!$A:$B,2,FALSE),"")&amp;""</f>
        <v/>
      </c>
      <c r="AF1" s="10" t="str">
        <f>IFERROR(VLOOKUP(COLUMN()-3,時間帯一覧!$A:$B,2,FALSE),"")&amp;""</f>
        <v/>
      </c>
      <c r="AG1" s="10" t="str">
        <f>IFERROR(VLOOKUP(COLUMN()-3,時間帯一覧!$A:$B,2,FALSE),"")&amp;""</f>
        <v/>
      </c>
      <c r="AH1" s="10" t="str">
        <f>IFERROR(VLOOKUP(COLUMN()-3,時間帯一覧!$A:$B,2,FALSE),"")&amp;""</f>
        <v/>
      </c>
      <c r="AI1" s="10" t="str">
        <f>IFERROR(VLOOKUP(COLUMN()-3,時間帯一覧!$A:$B,2,FALSE),"")&amp;""</f>
        <v/>
      </c>
      <c r="AJ1" s="10" t="str">
        <f>IFERROR(VLOOKUP(COLUMN()-3,時間帯一覧!$A:$B,2,FALSE),"")&amp;""</f>
        <v/>
      </c>
      <c r="AK1" s="10" t="str">
        <f>IFERROR(VLOOKUP(COLUMN()-3,時間帯一覧!$A:$B,2,FALSE),"")&amp;""</f>
        <v/>
      </c>
      <c r="AL1" s="10" t="str">
        <f>IFERROR(VLOOKUP(COLUMN()-3,時間帯一覧!$A:$B,2,FALSE),"")&amp;""</f>
        <v/>
      </c>
      <c r="AM1" s="10" t="str">
        <f>IFERROR(VLOOKUP(COLUMN()-3,時間帯一覧!$A:$B,2,FALSE),"")&amp;""</f>
        <v/>
      </c>
      <c r="AN1" s="10" t="str">
        <f>IFERROR(VLOOKUP(COLUMN()-3,時間帯一覧!$A:$B,2,FALSE),"")&amp;""</f>
        <v/>
      </c>
      <c r="AO1" s="10" t="str">
        <f>IFERROR(VLOOKUP(COLUMN()-3,時間帯一覧!$A:$B,2,FALSE),"")&amp;""</f>
        <v/>
      </c>
      <c r="AP1" s="10" t="str">
        <f>IFERROR(VLOOKUP(COLUMN()-3,時間帯一覧!$A:$B,2,FALSE),"")&amp;""</f>
        <v/>
      </c>
      <c r="AQ1" s="10" t="str">
        <f>IFERROR(VLOOKUP(COLUMN()-3,時間帯一覧!$A:$B,2,FALSE),"")&amp;""</f>
        <v/>
      </c>
      <c r="AR1" s="10" t="str">
        <f>IFERROR(VLOOKUP(COLUMN()-3,時間帯一覧!$A:$B,2,FALSE),"")&amp;""</f>
        <v/>
      </c>
      <c r="AS1" s="10" t="str">
        <f>IFERROR(VLOOKUP(COLUMN()-3,時間帯一覧!$A:$B,2,FALSE),"")&amp;""</f>
        <v/>
      </c>
      <c r="AT1" s="10" t="str">
        <f>IFERROR(VLOOKUP(COLUMN()-3,時間帯一覧!$A:$B,2,FALSE),"")&amp;""</f>
        <v/>
      </c>
      <c r="AU1" s="10" t="str">
        <f>IFERROR(VLOOKUP(COLUMN()-3,時間帯一覧!$A:$B,2,FALSE),"")&amp;""</f>
        <v/>
      </c>
      <c r="AV1" s="10" t="str">
        <f>IFERROR(VLOOKUP(COLUMN()-3,時間帯一覧!$A:$B,2,FALSE),"")&amp;""</f>
        <v/>
      </c>
      <c r="AW1" s="10" t="str">
        <f>IFERROR(VLOOKUP(COLUMN()-3,時間帯一覧!$A:$B,2,FALSE),"")&amp;""</f>
        <v/>
      </c>
      <c r="AX1" s="10" t="str">
        <f>IFERROR(VLOOKUP(COLUMN()-3,時間帯一覧!$A:$B,2,FALSE),"")&amp;""</f>
        <v/>
      </c>
      <c r="AY1" s="10" t="str">
        <f>IFERROR(VLOOKUP(COLUMN()-3,時間帯一覧!$A:$B,2,FALSE),"")&amp;""</f>
        <v/>
      </c>
      <c r="AZ1" s="10" t="str">
        <f>IFERROR(VLOOKUP(COLUMN()-3,時間帯一覧!$A:$B,2,FALSE),"")&amp;""</f>
        <v/>
      </c>
      <c r="BA1" s="10" t="str">
        <f>IFERROR(VLOOKUP(COLUMN()-3,時間帯一覧!$A:$B,2,FALSE),"")&amp;""</f>
        <v/>
      </c>
      <c r="BB1" s="18" t="s">
        <v>23</v>
      </c>
      <c r="BC1" s="18"/>
      <c r="BD1" s="10" t="s">
        <v>28</v>
      </c>
      <c r="BE1" s="10" t="s">
        <v>29</v>
      </c>
      <c r="BF1" s="10" t="s">
        <v>30</v>
      </c>
      <c r="BG1" s="10" t="s">
        <v>31</v>
      </c>
      <c r="BH1" s="10" t="s">
        <v>32</v>
      </c>
      <c r="BI1" s="14" t="str">
        <f t="array" ref="BI1:CL1">TRANSPOSE(役職一覧!B2:B31)&amp;""</f>
        <v>A</v>
      </c>
      <c r="BJ1" s="14" t="str">
        <v>B</v>
      </c>
      <c r="BK1" s="14" t="str">
        <v>C</v>
      </c>
      <c r="BL1" s="14" t="str">
        <v>D</v>
      </c>
      <c r="BM1" s="14" t="str">
        <v>E</v>
      </c>
      <c r="BN1" s="14" t="str">
        <v>F</v>
      </c>
      <c r="BO1" s="14" t="str">
        <v/>
      </c>
      <c r="BP1" s="14" t="str">
        <v/>
      </c>
      <c r="BQ1" s="14" t="str">
        <v/>
      </c>
      <c r="BR1" s="14" t="str">
        <v/>
      </c>
      <c r="BS1" s="14" t="str">
        <v/>
      </c>
      <c r="BT1" s="14" t="str">
        <v/>
      </c>
      <c r="BU1" s="14" t="str">
        <v/>
      </c>
      <c r="BV1" s="14" t="str">
        <v/>
      </c>
      <c r="BW1" s="14" t="str">
        <v/>
      </c>
      <c r="BX1" s="14" t="str">
        <v/>
      </c>
      <c r="BY1" s="14" t="str">
        <v/>
      </c>
      <c r="BZ1" s="14" t="str">
        <v/>
      </c>
      <c r="CA1" s="14" t="str">
        <v/>
      </c>
      <c r="CB1" s="14" t="str">
        <v/>
      </c>
      <c r="CC1" s="14" t="str">
        <v/>
      </c>
      <c r="CD1" s="14" t="str">
        <v/>
      </c>
      <c r="CE1" s="14" t="str">
        <v/>
      </c>
      <c r="CF1" s="14" t="str">
        <v/>
      </c>
      <c r="CG1" s="14" t="str">
        <v/>
      </c>
      <c r="CH1" s="14" t="str">
        <v/>
      </c>
      <c r="CI1" s="14" t="str">
        <v/>
      </c>
      <c r="CJ1" s="14" t="str">
        <v/>
      </c>
      <c r="CK1" s="14" t="str">
        <v/>
      </c>
      <c r="CL1" s="14" t="str">
        <v/>
      </c>
      <c r="CM1" s="10" t="s">
        <v>53</v>
      </c>
    </row>
    <row r="2" spans="2:91">
      <c r="B2" s="14" t="str">
        <f>役職一覧!B2&amp;""</f>
        <v>A</v>
      </c>
      <c r="C2" s="14">
        <f>役職一覧!E2</f>
        <v>2</v>
      </c>
      <c r="D2" s="14">
        <f t="shared" ref="D2:M6" si="0">COUNTIF(D$32:D$334,$B2)</f>
        <v>1</v>
      </c>
      <c r="E2" s="14">
        <f t="shared" si="0"/>
        <v>0</v>
      </c>
      <c r="F2" s="14">
        <f t="shared" si="0"/>
        <v>0</v>
      </c>
      <c r="G2" s="14">
        <f t="shared" si="0"/>
        <v>0</v>
      </c>
      <c r="H2" s="14">
        <f t="shared" si="0"/>
        <v>0</v>
      </c>
      <c r="I2" s="14">
        <f t="shared" si="0"/>
        <v>1</v>
      </c>
      <c r="J2" s="14">
        <f t="shared" si="0"/>
        <v>0</v>
      </c>
      <c r="K2" s="14">
        <f t="shared" si="0"/>
        <v>0</v>
      </c>
      <c r="L2" s="14">
        <f t="shared" si="0"/>
        <v>0</v>
      </c>
      <c r="M2" s="14">
        <f t="shared" si="0"/>
        <v>0</v>
      </c>
      <c r="N2" s="14">
        <f t="shared" ref="N2:W6" si="1">COUNTIF(N$32:N$334,$B2)</f>
        <v>0</v>
      </c>
      <c r="O2" s="14">
        <f t="shared" si="1"/>
        <v>0</v>
      </c>
      <c r="P2" s="14">
        <f t="shared" si="1"/>
        <v>0</v>
      </c>
      <c r="Q2" s="14">
        <f t="shared" si="1"/>
        <v>0</v>
      </c>
      <c r="R2" s="14">
        <f t="shared" si="1"/>
        <v>0</v>
      </c>
      <c r="S2" s="14">
        <f t="shared" si="1"/>
        <v>0</v>
      </c>
      <c r="T2" s="14">
        <f t="shared" si="1"/>
        <v>0</v>
      </c>
      <c r="U2" s="14">
        <f t="shared" si="1"/>
        <v>0</v>
      </c>
      <c r="V2" s="14">
        <f t="shared" si="1"/>
        <v>0</v>
      </c>
      <c r="W2" s="14">
        <f t="shared" si="1"/>
        <v>0</v>
      </c>
      <c r="X2" s="14">
        <f t="shared" ref="X2:AG6" si="2">COUNTIF(X$32:X$334,$B2)</f>
        <v>0</v>
      </c>
      <c r="Y2" s="14">
        <f t="shared" si="2"/>
        <v>0</v>
      </c>
      <c r="Z2" s="14">
        <f t="shared" si="2"/>
        <v>0</v>
      </c>
      <c r="AA2" s="14">
        <f t="shared" si="2"/>
        <v>0</v>
      </c>
      <c r="AB2" s="14">
        <f t="shared" si="2"/>
        <v>0</v>
      </c>
      <c r="AC2" s="14">
        <f t="shared" si="2"/>
        <v>0</v>
      </c>
      <c r="AD2" s="14">
        <f t="shared" si="2"/>
        <v>0</v>
      </c>
      <c r="AE2" s="14">
        <f t="shared" si="2"/>
        <v>0</v>
      </c>
      <c r="AF2" s="14">
        <f t="shared" si="2"/>
        <v>0</v>
      </c>
      <c r="AG2" s="14">
        <f t="shared" si="2"/>
        <v>0</v>
      </c>
      <c r="AH2" s="14">
        <f t="shared" ref="AH2:AQ6" si="3">COUNTIF(AH$32:AH$334,$B2)</f>
        <v>0</v>
      </c>
      <c r="AI2" s="14">
        <f t="shared" si="3"/>
        <v>0</v>
      </c>
      <c r="AJ2" s="14">
        <f t="shared" si="3"/>
        <v>0</v>
      </c>
      <c r="AK2" s="14">
        <f t="shared" si="3"/>
        <v>0</v>
      </c>
      <c r="AL2" s="14">
        <f t="shared" si="3"/>
        <v>0</v>
      </c>
      <c r="AM2" s="14">
        <f t="shared" si="3"/>
        <v>0</v>
      </c>
      <c r="AN2" s="14">
        <f t="shared" si="3"/>
        <v>0</v>
      </c>
      <c r="AO2" s="14">
        <f t="shared" si="3"/>
        <v>0</v>
      </c>
      <c r="AP2" s="14">
        <f t="shared" si="3"/>
        <v>0</v>
      </c>
      <c r="AQ2" s="14">
        <f t="shared" si="3"/>
        <v>0</v>
      </c>
      <c r="AR2" s="14">
        <f t="shared" ref="AR2:BA6" si="4">COUNTIF(AR$32:AR$334,$B2)</f>
        <v>0</v>
      </c>
      <c r="AS2" s="14">
        <f t="shared" si="4"/>
        <v>0</v>
      </c>
      <c r="AT2" s="14">
        <f t="shared" si="4"/>
        <v>0</v>
      </c>
      <c r="AU2" s="14">
        <f t="shared" si="4"/>
        <v>0</v>
      </c>
      <c r="AV2" s="14">
        <f t="shared" si="4"/>
        <v>0</v>
      </c>
      <c r="AW2" s="14">
        <f t="shared" si="4"/>
        <v>0</v>
      </c>
      <c r="AX2" s="14">
        <f t="shared" si="4"/>
        <v>0</v>
      </c>
      <c r="AY2" s="14">
        <f t="shared" si="4"/>
        <v>0</v>
      </c>
      <c r="AZ2" s="14">
        <f t="shared" si="4"/>
        <v>0</v>
      </c>
      <c r="BA2" s="14">
        <f t="shared" si="4"/>
        <v>0</v>
      </c>
      <c r="BB2" s="14"/>
      <c r="BC2" s="14"/>
      <c r="BD2" s="14">
        <f ca="1">COUNTIF(OFFSET(BD$32,0,0,COUNT(時間希望調査!$A:$A)),$B2)</f>
        <v>0</v>
      </c>
      <c r="BE2" s="14">
        <f ca="1">COUNTIF(OFFSET(BE$32,0,0,COUNT(時間希望調査!$A:$A)),$B2)</f>
        <v>0</v>
      </c>
      <c r="BF2" s="14">
        <f ca="1">COUNTIF(OFFSET(BF$32,0,0,COUNT(時間希望調査!$A:$A)),$B2)</f>
        <v>0</v>
      </c>
      <c r="BG2" s="14">
        <f ca="1">COUNTIF(OFFSET(BG$32,0,0,COUNT(時間希望調査!$A:$A)),$B2)</f>
        <v>0</v>
      </c>
      <c r="BH2" s="14">
        <f ca="1">COUNTIF(OFFSET(BH$32,0,0,COUNT(時間希望調査!$A:$A)),$B2)</f>
        <v>0</v>
      </c>
      <c r="BI2" s="14"/>
      <c r="BJ2" s="14"/>
      <c r="BK2" s="14"/>
      <c r="BL2" s="14"/>
      <c r="BM2" s="14"/>
      <c r="BN2" s="14"/>
      <c r="BO2" s="14"/>
      <c r="BP2" s="14"/>
      <c r="BQ2" s="14"/>
      <c r="BR2" s="14"/>
      <c r="BS2" s="14"/>
      <c r="BT2" s="14"/>
      <c r="BU2" s="14"/>
      <c r="BV2" s="14"/>
      <c r="BW2" s="14"/>
      <c r="BX2" s="14"/>
      <c r="BY2" s="14"/>
      <c r="BZ2" s="14"/>
      <c r="CA2" s="14"/>
      <c r="CB2" s="14"/>
      <c r="CC2" s="14"/>
      <c r="CD2" s="14"/>
      <c r="CE2" s="14"/>
      <c r="CF2" s="14"/>
      <c r="CG2" s="14"/>
      <c r="CH2" s="14"/>
      <c r="CI2" s="14"/>
      <c r="CJ2" s="14"/>
      <c r="CK2" s="14"/>
      <c r="CL2" s="14"/>
    </row>
    <row r="3" spans="2:91">
      <c r="B3" s="14" t="str">
        <f>役職一覧!B3&amp;""</f>
        <v>B</v>
      </c>
      <c r="C3" s="14">
        <f>役職一覧!E3</f>
        <v>3</v>
      </c>
      <c r="D3" s="14">
        <f t="shared" si="0"/>
        <v>0</v>
      </c>
      <c r="E3" s="14">
        <f t="shared" si="0"/>
        <v>0</v>
      </c>
      <c r="F3" s="14">
        <f t="shared" si="0"/>
        <v>0</v>
      </c>
      <c r="G3" s="14">
        <f t="shared" si="0"/>
        <v>1</v>
      </c>
      <c r="H3" s="14">
        <f t="shared" si="0"/>
        <v>0</v>
      </c>
      <c r="I3" s="14">
        <f t="shared" si="0"/>
        <v>0</v>
      </c>
      <c r="J3" s="14">
        <f t="shared" si="0"/>
        <v>0</v>
      </c>
      <c r="K3" s="14">
        <f t="shared" si="0"/>
        <v>0</v>
      </c>
      <c r="L3" s="14">
        <f t="shared" si="0"/>
        <v>0</v>
      </c>
      <c r="M3" s="14">
        <f t="shared" si="0"/>
        <v>0</v>
      </c>
      <c r="N3" s="14">
        <f t="shared" si="1"/>
        <v>0</v>
      </c>
      <c r="O3" s="14">
        <f t="shared" si="1"/>
        <v>0</v>
      </c>
      <c r="P3" s="14">
        <f t="shared" si="1"/>
        <v>0</v>
      </c>
      <c r="Q3" s="14">
        <f t="shared" si="1"/>
        <v>0</v>
      </c>
      <c r="R3" s="14">
        <f t="shared" si="1"/>
        <v>0</v>
      </c>
      <c r="S3" s="14">
        <f t="shared" si="1"/>
        <v>0</v>
      </c>
      <c r="T3" s="14">
        <f t="shared" si="1"/>
        <v>0</v>
      </c>
      <c r="U3" s="14">
        <f t="shared" si="1"/>
        <v>0</v>
      </c>
      <c r="V3" s="14">
        <f t="shared" si="1"/>
        <v>0</v>
      </c>
      <c r="W3" s="14">
        <f t="shared" si="1"/>
        <v>0</v>
      </c>
      <c r="X3" s="14">
        <f t="shared" si="2"/>
        <v>0</v>
      </c>
      <c r="Y3" s="14">
        <f t="shared" si="2"/>
        <v>0</v>
      </c>
      <c r="Z3" s="14">
        <f t="shared" si="2"/>
        <v>0</v>
      </c>
      <c r="AA3" s="14">
        <f t="shared" si="2"/>
        <v>0</v>
      </c>
      <c r="AB3" s="14">
        <f t="shared" si="2"/>
        <v>0</v>
      </c>
      <c r="AC3" s="14">
        <f t="shared" si="2"/>
        <v>0</v>
      </c>
      <c r="AD3" s="14">
        <f t="shared" si="2"/>
        <v>0</v>
      </c>
      <c r="AE3" s="14">
        <f t="shared" si="2"/>
        <v>0</v>
      </c>
      <c r="AF3" s="14">
        <f t="shared" si="2"/>
        <v>0</v>
      </c>
      <c r="AG3" s="14">
        <f t="shared" si="2"/>
        <v>0</v>
      </c>
      <c r="AH3" s="14">
        <f t="shared" si="3"/>
        <v>0</v>
      </c>
      <c r="AI3" s="14">
        <f t="shared" si="3"/>
        <v>0</v>
      </c>
      <c r="AJ3" s="14">
        <f t="shared" si="3"/>
        <v>0</v>
      </c>
      <c r="AK3" s="14">
        <f t="shared" si="3"/>
        <v>0</v>
      </c>
      <c r="AL3" s="14">
        <f t="shared" si="3"/>
        <v>0</v>
      </c>
      <c r="AM3" s="14">
        <f t="shared" si="3"/>
        <v>0</v>
      </c>
      <c r="AN3" s="14">
        <f t="shared" si="3"/>
        <v>0</v>
      </c>
      <c r="AO3" s="14">
        <f t="shared" si="3"/>
        <v>0</v>
      </c>
      <c r="AP3" s="14">
        <f t="shared" si="3"/>
        <v>0</v>
      </c>
      <c r="AQ3" s="14">
        <f t="shared" si="3"/>
        <v>0</v>
      </c>
      <c r="AR3" s="14">
        <f t="shared" si="4"/>
        <v>0</v>
      </c>
      <c r="AS3" s="14">
        <f t="shared" si="4"/>
        <v>0</v>
      </c>
      <c r="AT3" s="14">
        <f t="shared" si="4"/>
        <v>0</v>
      </c>
      <c r="AU3" s="14">
        <f t="shared" si="4"/>
        <v>0</v>
      </c>
      <c r="AV3" s="14">
        <f t="shared" si="4"/>
        <v>0</v>
      </c>
      <c r="AW3" s="14">
        <f t="shared" si="4"/>
        <v>0</v>
      </c>
      <c r="AX3" s="14">
        <f t="shared" si="4"/>
        <v>0</v>
      </c>
      <c r="AY3" s="14">
        <f t="shared" si="4"/>
        <v>0</v>
      </c>
      <c r="AZ3" s="14">
        <f t="shared" si="4"/>
        <v>0</v>
      </c>
      <c r="BA3" s="14">
        <f t="shared" si="4"/>
        <v>0</v>
      </c>
      <c r="BB3" s="14"/>
      <c r="BC3" s="14"/>
      <c r="BD3" s="14">
        <f ca="1">COUNTIF(OFFSET(BD$32,0,0,COUNT(時間希望調査!$A:$A)),$B3)</f>
        <v>0</v>
      </c>
      <c r="BE3" s="14">
        <f ca="1">COUNTIF(OFFSET(BE$32,0,0,COUNT(時間希望調査!$A:$A)),$B3)</f>
        <v>0</v>
      </c>
      <c r="BF3" s="14">
        <f ca="1">COUNTIF(OFFSET(BF$32,0,0,COUNT(時間希望調査!$A:$A)),$B3)</f>
        <v>0</v>
      </c>
      <c r="BG3" s="14">
        <f ca="1">COUNTIF(OFFSET(BG$32,0,0,COUNT(時間希望調査!$A:$A)),$B3)</f>
        <v>0</v>
      </c>
      <c r="BH3" s="14">
        <f ca="1">COUNTIF(OFFSET(BH$32,0,0,COUNT(時間希望調査!$A:$A)),$B3)</f>
        <v>0</v>
      </c>
      <c r="BI3" s="14"/>
      <c r="BJ3" s="14"/>
      <c r="BK3" s="14"/>
      <c r="BL3" s="14"/>
      <c r="BM3" s="14"/>
      <c r="BN3" s="14"/>
      <c r="BO3" s="14"/>
      <c r="BP3" s="14"/>
      <c r="BQ3" s="14"/>
      <c r="BR3" s="14"/>
      <c r="BS3" s="14"/>
      <c r="BT3" s="14"/>
      <c r="BU3" s="14"/>
      <c r="BV3" s="14"/>
      <c r="BW3" s="14"/>
      <c r="BX3" s="14"/>
      <c r="BY3" s="14"/>
      <c r="BZ3" s="14"/>
      <c r="CA3" s="14"/>
      <c r="CB3" s="14"/>
      <c r="CC3" s="14"/>
      <c r="CD3" s="14"/>
      <c r="CE3" s="14"/>
      <c r="CF3" s="14"/>
      <c r="CG3" s="14"/>
      <c r="CH3" s="14"/>
      <c r="CI3" s="14"/>
      <c r="CJ3" s="14"/>
      <c r="CK3" s="14"/>
      <c r="CL3" s="14"/>
    </row>
    <row r="4" spans="2:91">
      <c r="B4" s="14" t="str">
        <f>役職一覧!B4&amp;""</f>
        <v>C</v>
      </c>
      <c r="C4" s="14">
        <f>役職一覧!E4</f>
        <v>4</v>
      </c>
      <c r="D4" s="14">
        <f t="shared" si="0"/>
        <v>0</v>
      </c>
      <c r="E4" s="14">
        <f t="shared" si="0"/>
        <v>0</v>
      </c>
      <c r="F4" s="14">
        <f t="shared" si="0"/>
        <v>0</v>
      </c>
      <c r="G4" s="14">
        <f t="shared" si="0"/>
        <v>0</v>
      </c>
      <c r="H4" s="14">
        <f t="shared" si="0"/>
        <v>0</v>
      </c>
      <c r="I4" s="14">
        <f t="shared" si="0"/>
        <v>0</v>
      </c>
      <c r="J4" s="14">
        <f t="shared" si="0"/>
        <v>0</v>
      </c>
      <c r="K4" s="14">
        <f t="shared" si="0"/>
        <v>0</v>
      </c>
      <c r="L4" s="14">
        <f t="shared" si="0"/>
        <v>0</v>
      </c>
      <c r="M4" s="14">
        <f t="shared" si="0"/>
        <v>0</v>
      </c>
      <c r="N4" s="14">
        <f t="shared" si="1"/>
        <v>0</v>
      </c>
      <c r="O4" s="14">
        <f t="shared" si="1"/>
        <v>0</v>
      </c>
      <c r="P4" s="14">
        <f t="shared" si="1"/>
        <v>0</v>
      </c>
      <c r="Q4" s="14">
        <f t="shared" si="1"/>
        <v>0</v>
      </c>
      <c r="R4" s="14">
        <f t="shared" si="1"/>
        <v>0</v>
      </c>
      <c r="S4" s="14">
        <f t="shared" si="1"/>
        <v>0</v>
      </c>
      <c r="T4" s="14">
        <f t="shared" si="1"/>
        <v>0</v>
      </c>
      <c r="U4" s="14">
        <f t="shared" si="1"/>
        <v>0</v>
      </c>
      <c r="V4" s="14">
        <f t="shared" si="1"/>
        <v>0</v>
      </c>
      <c r="W4" s="14">
        <f t="shared" si="1"/>
        <v>0</v>
      </c>
      <c r="X4" s="14">
        <f t="shared" si="2"/>
        <v>0</v>
      </c>
      <c r="Y4" s="14">
        <f t="shared" si="2"/>
        <v>0</v>
      </c>
      <c r="Z4" s="14">
        <f t="shared" si="2"/>
        <v>0</v>
      </c>
      <c r="AA4" s="14">
        <f t="shared" si="2"/>
        <v>0</v>
      </c>
      <c r="AB4" s="14">
        <f t="shared" si="2"/>
        <v>0</v>
      </c>
      <c r="AC4" s="14">
        <f t="shared" si="2"/>
        <v>0</v>
      </c>
      <c r="AD4" s="14">
        <f t="shared" si="2"/>
        <v>0</v>
      </c>
      <c r="AE4" s="14">
        <f t="shared" si="2"/>
        <v>0</v>
      </c>
      <c r="AF4" s="14">
        <f t="shared" si="2"/>
        <v>0</v>
      </c>
      <c r="AG4" s="14">
        <f t="shared" si="2"/>
        <v>0</v>
      </c>
      <c r="AH4" s="14">
        <f t="shared" si="3"/>
        <v>0</v>
      </c>
      <c r="AI4" s="14">
        <f t="shared" si="3"/>
        <v>0</v>
      </c>
      <c r="AJ4" s="14">
        <f t="shared" si="3"/>
        <v>0</v>
      </c>
      <c r="AK4" s="14">
        <f t="shared" si="3"/>
        <v>0</v>
      </c>
      <c r="AL4" s="14">
        <f t="shared" si="3"/>
        <v>0</v>
      </c>
      <c r="AM4" s="14">
        <f t="shared" si="3"/>
        <v>0</v>
      </c>
      <c r="AN4" s="14">
        <f t="shared" si="3"/>
        <v>0</v>
      </c>
      <c r="AO4" s="14">
        <f t="shared" si="3"/>
        <v>0</v>
      </c>
      <c r="AP4" s="14">
        <f t="shared" si="3"/>
        <v>0</v>
      </c>
      <c r="AQ4" s="14">
        <f t="shared" si="3"/>
        <v>0</v>
      </c>
      <c r="AR4" s="14">
        <f t="shared" si="4"/>
        <v>0</v>
      </c>
      <c r="AS4" s="14">
        <f t="shared" si="4"/>
        <v>0</v>
      </c>
      <c r="AT4" s="14">
        <f t="shared" si="4"/>
        <v>0</v>
      </c>
      <c r="AU4" s="14">
        <f t="shared" si="4"/>
        <v>0</v>
      </c>
      <c r="AV4" s="14">
        <f t="shared" si="4"/>
        <v>0</v>
      </c>
      <c r="AW4" s="14">
        <f t="shared" si="4"/>
        <v>0</v>
      </c>
      <c r="AX4" s="14">
        <f t="shared" si="4"/>
        <v>0</v>
      </c>
      <c r="AY4" s="14">
        <f t="shared" si="4"/>
        <v>0</v>
      </c>
      <c r="AZ4" s="14">
        <f t="shared" si="4"/>
        <v>0</v>
      </c>
      <c r="BA4" s="14">
        <f t="shared" si="4"/>
        <v>0</v>
      </c>
      <c r="BB4" s="14"/>
      <c r="BC4" s="14"/>
      <c r="BD4" s="14">
        <f ca="1">COUNTIF(OFFSET(BD$32,0,0,COUNT(時間希望調査!$A:$A)),$B4)</f>
        <v>0</v>
      </c>
      <c r="BE4" s="14">
        <f ca="1">COUNTIF(OFFSET(BE$32,0,0,COUNT(時間希望調査!$A:$A)),$B4)</f>
        <v>0</v>
      </c>
      <c r="BF4" s="14">
        <f ca="1">COUNTIF(OFFSET(BF$32,0,0,COUNT(時間希望調査!$A:$A)),$B4)</f>
        <v>0</v>
      </c>
      <c r="BG4" s="14">
        <f ca="1">COUNTIF(OFFSET(BG$32,0,0,COUNT(時間希望調査!$A:$A)),$B4)</f>
        <v>0</v>
      </c>
      <c r="BH4" s="14">
        <f ca="1">COUNTIF(OFFSET(BH$32,0,0,COUNT(時間希望調査!$A:$A)),$B4)</f>
        <v>0</v>
      </c>
      <c r="BI4" s="14"/>
      <c r="BJ4" s="14"/>
      <c r="BK4" s="14"/>
      <c r="BL4" s="14"/>
      <c r="BM4" s="14"/>
      <c r="BN4" s="14"/>
      <c r="BO4" s="14"/>
      <c r="BP4" s="14"/>
      <c r="BQ4" s="14"/>
      <c r="BR4" s="14"/>
      <c r="BS4" s="14"/>
      <c r="BT4" s="14"/>
      <c r="BU4" s="14"/>
      <c r="BV4" s="14"/>
      <c r="BW4" s="14"/>
      <c r="BX4" s="14"/>
      <c r="BY4" s="14"/>
      <c r="BZ4" s="14"/>
      <c r="CA4" s="14"/>
      <c r="CB4" s="14"/>
      <c r="CC4" s="14"/>
      <c r="CD4" s="14"/>
      <c r="CE4" s="14"/>
      <c r="CF4" s="14"/>
      <c r="CG4" s="14"/>
      <c r="CH4" s="14"/>
      <c r="CI4" s="14"/>
      <c r="CJ4" s="14"/>
      <c r="CK4" s="14"/>
      <c r="CL4" s="14"/>
    </row>
    <row r="5" spans="2:91">
      <c r="B5" s="14" t="str">
        <f>役職一覧!B5&amp;""</f>
        <v>D</v>
      </c>
      <c r="C5" s="14">
        <f>役職一覧!E5</f>
        <v>1</v>
      </c>
      <c r="D5" s="14">
        <f t="shared" si="0"/>
        <v>0</v>
      </c>
      <c r="E5" s="14">
        <f t="shared" si="0"/>
        <v>0</v>
      </c>
      <c r="F5" s="14">
        <f t="shared" si="0"/>
        <v>1</v>
      </c>
      <c r="G5" s="14">
        <f t="shared" si="0"/>
        <v>0</v>
      </c>
      <c r="H5" s="14">
        <f t="shared" si="0"/>
        <v>0</v>
      </c>
      <c r="I5" s="14">
        <f t="shared" si="0"/>
        <v>0</v>
      </c>
      <c r="J5" s="14">
        <f t="shared" si="0"/>
        <v>0</v>
      </c>
      <c r="K5" s="14">
        <f t="shared" si="0"/>
        <v>0</v>
      </c>
      <c r="L5" s="14">
        <f t="shared" si="0"/>
        <v>0</v>
      </c>
      <c r="M5" s="14">
        <f t="shared" si="0"/>
        <v>0</v>
      </c>
      <c r="N5" s="14">
        <f t="shared" si="1"/>
        <v>0</v>
      </c>
      <c r="O5" s="14">
        <f t="shared" si="1"/>
        <v>0</v>
      </c>
      <c r="P5" s="14">
        <f t="shared" si="1"/>
        <v>0</v>
      </c>
      <c r="Q5" s="14">
        <f t="shared" si="1"/>
        <v>0</v>
      </c>
      <c r="R5" s="14">
        <f t="shared" si="1"/>
        <v>0</v>
      </c>
      <c r="S5" s="14">
        <f t="shared" si="1"/>
        <v>0</v>
      </c>
      <c r="T5" s="14">
        <f t="shared" si="1"/>
        <v>0</v>
      </c>
      <c r="U5" s="14">
        <f t="shared" si="1"/>
        <v>0</v>
      </c>
      <c r="V5" s="14">
        <f t="shared" si="1"/>
        <v>0</v>
      </c>
      <c r="W5" s="14">
        <f t="shared" si="1"/>
        <v>0</v>
      </c>
      <c r="X5" s="14">
        <f t="shared" si="2"/>
        <v>0</v>
      </c>
      <c r="Y5" s="14">
        <f t="shared" si="2"/>
        <v>0</v>
      </c>
      <c r="Z5" s="14">
        <f t="shared" si="2"/>
        <v>0</v>
      </c>
      <c r="AA5" s="14">
        <f t="shared" si="2"/>
        <v>0</v>
      </c>
      <c r="AB5" s="14">
        <f t="shared" si="2"/>
        <v>0</v>
      </c>
      <c r="AC5" s="14">
        <f t="shared" si="2"/>
        <v>0</v>
      </c>
      <c r="AD5" s="14">
        <f t="shared" si="2"/>
        <v>0</v>
      </c>
      <c r="AE5" s="14">
        <f t="shared" si="2"/>
        <v>0</v>
      </c>
      <c r="AF5" s="14">
        <f t="shared" si="2"/>
        <v>0</v>
      </c>
      <c r="AG5" s="14">
        <f t="shared" si="2"/>
        <v>0</v>
      </c>
      <c r="AH5" s="14">
        <f t="shared" si="3"/>
        <v>0</v>
      </c>
      <c r="AI5" s="14">
        <f t="shared" si="3"/>
        <v>0</v>
      </c>
      <c r="AJ5" s="14">
        <f t="shared" si="3"/>
        <v>0</v>
      </c>
      <c r="AK5" s="14">
        <f t="shared" si="3"/>
        <v>0</v>
      </c>
      <c r="AL5" s="14">
        <f t="shared" si="3"/>
        <v>0</v>
      </c>
      <c r="AM5" s="14">
        <f t="shared" si="3"/>
        <v>0</v>
      </c>
      <c r="AN5" s="14">
        <f t="shared" si="3"/>
        <v>0</v>
      </c>
      <c r="AO5" s="14">
        <f t="shared" si="3"/>
        <v>0</v>
      </c>
      <c r="AP5" s="14">
        <f t="shared" si="3"/>
        <v>0</v>
      </c>
      <c r="AQ5" s="14">
        <f t="shared" si="3"/>
        <v>0</v>
      </c>
      <c r="AR5" s="14">
        <f t="shared" si="4"/>
        <v>0</v>
      </c>
      <c r="AS5" s="14">
        <f t="shared" si="4"/>
        <v>0</v>
      </c>
      <c r="AT5" s="14">
        <f t="shared" si="4"/>
        <v>0</v>
      </c>
      <c r="AU5" s="14">
        <f t="shared" si="4"/>
        <v>0</v>
      </c>
      <c r="AV5" s="14">
        <f t="shared" si="4"/>
        <v>0</v>
      </c>
      <c r="AW5" s="14">
        <f t="shared" si="4"/>
        <v>0</v>
      </c>
      <c r="AX5" s="14">
        <f t="shared" si="4"/>
        <v>0</v>
      </c>
      <c r="AY5" s="14">
        <f t="shared" si="4"/>
        <v>0</v>
      </c>
      <c r="AZ5" s="14">
        <f t="shared" si="4"/>
        <v>0</v>
      </c>
      <c r="BA5" s="14">
        <f t="shared" si="4"/>
        <v>0</v>
      </c>
      <c r="BB5" s="14"/>
      <c r="BC5" s="14"/>
      <c r="BD5" s="14">
        <f ca="1">COUNTIF(OFFSET(BD$32,0,0,COUNT(時間希望調査!$A:$A)),$B5)</f>
        <v>0</v>
      </c>
      <c r="BE5" s="14">
        <f ca="1">COUNTIF(OFFSET(BE$32,0,0,COUNT(時間希望調査!$A:$A)),$B5)</f>
        <v>0</v>
      </c>
      <c r="BF5" s="14">
        <f ca="1">COUNTIF(OFFSET(BF$32,0,0,COUNT(時間希望調査!$A:$A)),$B5)</f>
        <v>0</v>
      </c>
      <c r="BG5" s="14">
        <f ca="1">COUNTIF(OFFSET(BG$32,0,0,COUNT(時間希望調査!$A:$A)),$B5)</f>
        <v>0</v>
      </c>
      <c r="BH5" s="14">
        <f ca="1">COUNTIF(OFFSET(BH$32,0,0,COUNT(時間希望調査!$A:$A)),$B5)</f>
        <v>0</v>
      </c>
      <c r="BI5" s="14"/>
      <c r="BJ5" s="14"/>
      <c r="BK5" s="14"/>
      <c r="BL5" s="14"/>
      <c r="BM5" s="14"/>
      <c r="BN5" s="14"/>
      <c r="BO5" s="14"/>
      <c r="BP5" s="14"/>
      <c r="BQ5" s="14"/>
      <c r="BR5" s="14"/>
      <c r="BS5" s="14"/>
      <c r="BT5" s="14"/>
      <c r="BU5" s="14"/>
      <c r="BV5" s="14"/>
      <c r="BW5" s="14"/>
      <c r="BX5" s="14"/>
      <c r="BY5" s="14"/>
      <c r="BZ5" s="14"/>
      <c r="CA5" s="14"/>
      <c r="CB5" s="14"/>
      <c r="CC5" s="14"/>
      <c r="CD5" s="14"/>
      <c r="CE5" s="14"/>
      <c r="CF5" s="14"/>
      <c r="CG5" s="14"/>
      <c r="CH5" s="14"/>
      <c r="CI5" s="14"/>
      <c r="CJ5" s="14"/>
      <c r="CK5" s="14"/>
      <c r="CL5" s="14"/>
    </row>
    <row r="6" spans="2:91">
      <c r="B6" s="14" t="str">
        <f>役職一覧!B6&amp;""</f>
        <v>E</v>
      </c>
      <c r="C6" s="14">
        <f>役職一覧!E6</f>
        <v>6</v>
      </c>
      <c r="D6" s="14">
        <f t="shared" si="0"/>
        <v>0</v>
      </c>
      <c r="E6" s="14">
        <f t="shared" si="0"/>
        <v>0</v>
      </c>
      <c r="F6" s="14">
        <f t="shared" si="0"/>
        <v>0</v>
      </c>
      <c r="G6" s="14">
        <f t="shared" si="0"/>
        <v>0</v>
      </c>
      <c r="H6" s="14">
        <f t="shared" si="0"/>
        <v>0</v>
      </c>
      <c r="I6" s="14">
        <f t="shared" si="0"/>
        <v>0</v>
      </c>
      <c r="J6" s="14">
        <f t="shared" si="0"/>
        <v>0</v>
      </c>
      <c r="K6" s="14">
        <f t="shared" si="0"/>
        <v>0</v>
      </c>
      <c r="L6" s="14">
        <f t="shared" si="0"/>
        <v>0</v>
      </c>
      <c r="M6" s="14">
        <f t="shared" si="0"/>
        <v>0</v>
      </c>
      <c r="N6" s="14">
        <f t="shared" si="1"/>
        <v>0</v>
      </c>
      <c r="O6" s="14">
        <f t="shared" si="1"/>
        <v>0</v>
      </c>
      <c r="P6" s="14">
        <f t="shared" si="1"/>
        <v>0</v>
      </c>
      <c r="Q6" s="14">
        <f t="shared" si="1"/>
        <v>0</v>
      </c>
      <c r="R6" s="14">
        <f t="shared" si="1"/>
        <v>0</v>
      </c>
      <c r="S6" s="14">
        <f t="shared" si="1"/>
        <v>0</v>
      </c>
      <c r="T6" s="14">
        <f t="shared" si="1"/>
        <v>0</v>
      </c>
      <c r="U6" s="14">
        <f t="shared" si="1"/>
        <v>0</v>
      </c>
      <c r="V6" s="14">
        <f t="shared" si="1"/>
        <v>0</v>
      </c>
      <c r="W6" s="14">
        <f t="shared" si="1"/>
        <v>0</v>
      </c>
      <c r="X6" s="14">
        <f t="shared" si="2"/>
        <v>0</v>
      </c>
      <c r="Y6" s="14">
        <f t="shared" si="2"/>
        <v>0</v>
      </c>
      <c r="Z6" s="14">
        <f t="shared" si="2"/>
        <v>0</v>
      </c>
      <c r="AA6" s="14">
        <f t="shared" si="2"/>
        <v>0</v>
      </c>
      <c r="AB6" s="14">
        <f t="shared" si="2"/>
        <v>0</v>
      </c>
      <c r="AC6" s="14">
        <f t="shared" si="2"/>
        <v>0</v>
      </c>
      <c r="AD6" s="14">
        <f t="shared" si="2"/>
        <v>0</v>
      </c>
      <c r="AE6" s="14">
        <f t="shared" si="2"/>
        <v>0</v>
      </c>
      <c r="AF6" s="14">
        <f t="shared" si="2"/>
        <v>0</v>
      </c>
      <c r="AG6" s="14">
        <f t="shared" si="2"/>
        <v>0</v>
      </c>
      <c r="AH6" s="14">
        <f t="shared" si="3"/>
        <v>0</v>
      </c>
      <c r="AI6" s="14">
        <f t="shared" si="3"/>
        <v>0</v>
      </c>
      <c r="AJ6" s="14">
        <f t="shared" si="3"/>
        <v>0</v>
      </c>
      <c r="AK6" s="14">
        <f t="shared" si="3"/>
        <v>0</v>
      </c>
      <c r="AL6" s="14">
        <f t="shared" si="3"/>
        <v>0</v>
      </c>
      <c r="AM6" s="14">
        <f t="shared" si="3"/>
        <v>0</v>
      </c>
      <c r="AN6" s="14">
        <f t="shared" si="3"/>
        <v>0</v>
      </c>
      <c r="AO6" s="14">
        <f t="shared" si="3"/>
        <v>0</v>
      </c>
      <c r="AP6" s="14">
        <f t="shared" si="3"/>
        <v>0</v>
      </c>
      <c r="AQ6" s="14">
        <f t="shared" si="3"/>
        <v>0</v>
      </c>
      <c r="AR6" s="14">
        <f t="shared" si="4"/>
        <v>0</v>
      </c>
      <c r="AS6" s="14">
        <f t="shared" si="4"/>
        <v>0</v>
      </c>
      <c r="AT6" s="14">
        <f t="shared" si="4"/>
        <v>0</v>
      </c>
      <c r="AU6" s="14">
        <f t="shared" si="4"/>
        <v>0</v>
      </c>
      <c r="AV6" s="14">
        <f t="shared" si="4"/>
        <v>0</v>
      </c>
      <c r="AW6" s="14">
        <f t="shared" si="4"/>
        <v>0</v>
      </c>
      <c r="AX6" s="14">
        <f t="shared" si="4"/>
        <v>0</v>
      </c>
      <c r="AY6" s="14">
        <f t="shared" si="4"/>
        <v>0</v>
      </c>
      <c r="AZ6" s="14">
        <f t="shared" si="4"/>
        <v>0</v>
      </c>
      <c r="BA6" s="14">
        <f t="shared" si="4"/>
        <v>0</v>
      </c>
      <c r="BB6" s="14"/>
      <c r="BC6" s="14"/>
      <c r="BD6" s="14">
        <f ca="1">COUNTIF(OFFSET(BD$32,0,0,COUNT(時間希望調査!$A:$A)),$B6)</f>
        <v>0</v>
      </c>
      <c r="BE6" s="14">
        <f ca="1">COUNTIF(OFFSET(BE$32,0,0,COUNT(時間希望調査!$A:$A)),$B6)</f>
        <v>0</v>
      </c>
      <c r="BF6" s="14">
        <f ca="1">COUNTIF(OFFSET(BF$32,0,0,COUNT(時間希望調査!$A:$A)),$B6)</f>
        <v>0</v>
      </c>
      <c r="BG6" s="14">
        <f ca="1">COUNTIF(OFFSET(BG$32,0,0,COUNT(時間希望調査!$A:$A)),$B6)</f>
        <v>0</v>
      </c>
      <c r="BH6" s="14">
        <f ca="1">COUNTIF(OFFSET(BH$32,0,0,COUNT(時間希望調査!$A:$A)),$B6)</f>
        <v>0</v>
      </c>
      <c r="BI6" s="14"/>
      <c r="BJ6" s="14"/>
      <c r="BK6" s="14"/>
      <c r="BL6" s="14"/>
      <c r="BM6" s="14"/>
      <c r="BN6" s="14"/>
      <c r="BO6" s="14"/>
      <c r="BP6" s="14"/>
      <c r="BQ6" s="14"/>
      <c r="BR6" s="14"/>
      <c r="BS6" s="14"/>
      <c r="BT6" s="14"/>
      <c r="BU6" s="14"/>
      <c r="BV6" s="14"/>
      <c r="BW6" s="14"/>
      <c r="BX6" s="14"/>
      <c r="BY6" s="14"/>
      <c r="BZ6" s="14"/>
      <c r="CA6" s="14"/>
      <c r="CB6" s="14"/>
      <c r="CC6" s="14"/>
      <c r="CD6" s="14"/>
      <c r="CE6" s="14"/>
      <c r="CF6" s="14"/>
      <c r="CG6" s="14"/>
      <c r="CH6" s="14"/>
      <c r="CI6" s="14"/>
      <c r="CJ6" s="14"/>
      <c r="CK6" s="14"/>
      <c r="CL6" s="14"/>
    </row>
    <row r="7" spans="2:91">
      <c r="B7" s="14" t="str">
        <f>役職一覧!B7&amp;""</f>
        <v>F</v>
      </c>
      <c r="C7" s="14">
        <f>役職一覧!E7</f>
        <v>1</v>
      </c>
      <c r="D7" s="14">
        <f t="shared" ref="D7:N16" si="5">COUNTIF(D$32:D$334,$B7)</f>
        <v>0</v>
      </c>
      <c r="E7" s="14">
        <f t="shared" si="5"/>
        <v>0</v>
      </c>
      <c r="F7" s="14">
        <f t="shared" si="5"/>
        <v>0</v>
      </c>
      <c r="G7" s="14">
        <f t="shared" si="5"/>
        <v>0</v>
      </c>
      <c r="H7" s="14">
        <f t="shared" si="5"/>
        <v>0</v>
      </c>
      <c r="I7" s="14">
        <f t="shared" si="5"/>
        <v>0</v>
      </c>
      <c r="J7" s="14">
        <f t="shared" si="5"/>
        <v>0</v>
      </c>
      <c r="K7" s="14">
        <f t="shared" si="5"/>
        <v>0</v>
      </c>
      <c r="L7" s="14">
        <f t="shared" si="5"/>
        <v>0</v>
      </c>
      <c r="M7" s="14">
        <f t="shared" si="5"/>
        <v>0</v>
      </c>
      <c r="N7" s="14">
        <f t="shared" si="5"/>
        <v>0</v>
      </c>
      <c r="O7" s="14">
        <f t="shared" ref="O7:AD31" si="6">COUNTIF(O$32:O$334,$B7)</f>
        <v>0</v>
      </c>
      <c r="P7" s="14">
        <f t="shared" si="6"/>
        <v>0</v>
      </c>
      <c r="Q7" s="14">
        <f t="shared" si="6"/>
        <v>0</v>
      </c>
      <c r="R7" s="14">
        <f t="shared" si="6"/>
        <v>0</v>
      </c>
      <c r="S7" s="14">
        <f t="shared" si="6"/>
        <v>0</v>
      </c>
      <c r="T7" s="14">
        <f t="shared" si="6"/>
        <v>0</v>
      </c>
      <c r="U7" s="14">
        <f t="shared" si="6"/>
        <v>0</v>
      </c>
      <c r="V7" s="14">
        <f t="shared" si="6"/>
        <v>0</v>
      </c>
      <c r="W7" s="14">
        <f t="shared" si="6"/>
        <v>0</v>
      </c>
      <c r="X7" s="14">
        <f t="shared" si="6"/>
        <v>0</v>
      </c>
      <c r="Y7" s="14">
        <f t="shared" si="6"/>
        <v>0</v>
      </c>
      <c r="Z7" s="14">
        <f t="shared" si="6"/>
        <v>0</v>
      </c>
      <c r="AA7" s="14">
        <f t="shared" si="6"/>
        <v>0</v>
      </c>
      <c r="AB7" s="14">
        <f t="shared" si="6"/>
        <v>0</v>
      </c>
      <c r="AC7" s="14">
        <f t="shared" si="6"/>
        <v>0</v>
      </c>
      <c r="AD7" s="14">
        <f t="shared" si="6"/>
        <v>0</v>
      </c>
      <c r="AE7" s="14">
        <f t="shared" ref="AE7:AT22" si="7">COUNTIF(AE$32:AE$334,$B7)</f>
        <v>0</v>
      </c>
      <c r="AF7" s="14">
        <f t="shared" si="7"/>
        <v>0</v>
      </c>
      <c r="AG7" s="14">
        <f t="shared" si="7"/>
        <v>0</v>
      </c>
      <c r="AH7" s="14">
        <f t="shared" si="7"/>
        <v>0</v>
      </c>
      <c r="AI7" s="14">
        <f t="shared" si="7"/>
        <v>0</v>
      </c>
      <c r="AJ7" s="14">
        <f t="shared" si="7"/>
        <v>0</v>
      </c>
      <c r="AK7" s="14">
        <f t="shared" si="7"/>
        <v>0</v>
      </c>
      <c r="AL7" s="14">
        <f t="shared" si="7"/>
        <v>0</v>
      </c>
      <c r="AM7" s="14">
        <f t="shared" si="7"/>
        <v>0</v>
      </c>
      <c r="AN7" s="14">
        <f t="shared" si="7"/>
        <v>0</v>
      </c>
      <c r="AO7" s="14">
        <f t="shared" si="7"/>
        <v>0</v>
      </c>
      <c r="AP7" s="14">
        <f t="shared" si="7"/>
        <v>0</v>
      </c>
      <c r="AQ7" s="14">
        <f t="shared" si="7"/>
        <v>0</v>
      </c>
      <c r="AR7" s="14">
        <f t="shared" si="7"/>
        <v>0</v>
      </c>
      <c r="AS7" s="14">
        <f t="shared" si="7"/>
        <v>0</v>
      </c>
      <c r="AT7" s="14">
        <f t="shared" si="7"/>
        <v>0</v>
      </c>
      <c r="AU7" s="14">
        <f t="shared" ref="AU7:BA21" si="8">COUNTIF(AU$32:AU$334,$B7)</f>
        <v>0</v>
      </c>
      <c r="AV7" s="14">
        <f t="shared" si="8"/>
        <v>0</v>
      </c>
      <c r="AW7" s="14">
        <f t="shared" si="8"/>
        <v>0</v>
      </c>
      <c r="AX7" s="14">
        <f t="shared" si="8"/>
        <v>0</v>
      </c>
      <c r="AY7" s="14">
        <f t="shared" si="8"/>
        <v>0</v>
      </c>
      <c r="AZ7" s="14">
        <f t="shared" si="8"/>
        <v>0</v>
      </c>
      <c r="BA7" s="14">
        <f t="shared" si="8"/>
        <v>0</v>
      </c>
      <c r="BB7" s="14"/>
      <c r="BC7" s="14"/>
      <c r="BD7" s="14">
        <f ca="1">COUNTIF(OFFSET(BD$32,0,0,COUNT(時間希望調査!$A:$A)),$B7)</f>
        <v>0</v>
      </c>
      <c r="BE7" s="14">
        <f ca="1">COUNTIF(OFFSET(BE$32,0,0,COUNT(時間希望調査!$A:$A)),$B7)</f>
        <v>0</v>
      </c>
      <c r="BF7" s="14">
        <f ca="1">COUNTIF(OFFSET(BF$32,0,0,COUNT(時間希望調査!$A:$A)),$B7)</f>
        <v>0</v>
      </c>
      <c r="BG7" s="14">
        <f ca="1">COUNTIF(OFFSET(BG$32,0,0,COUNT(時間希望調査!$A:$A)),$B7)</f>
        <v>0</v>
      </c>
      <c r="BH7" s="14">
        <f ca="1">COUNTIF(OFFSET(BH$32,0,0,COUNT(時間希望調査!$A:$A)),$B7)</f>
        <v>0</v>
      </c>
      <c r="BI7" s="14"/>
      <c r="BJ7" s="14"/>
      <c r="BK7" s="14"/>
      <c r="BL7" s="14"/>
      <c r="BM7" s="14"/>
      <c r="BN7" s="14"/>
      <c r="BO7" s="14"/>
      <c r="BP7" s="14"/>
      <c r="BQ7" s="14"/>
      <c r="BR7" s="14"/>
      <c r="BS7" s="14"/>
      <c r="BT7" s="14"/>
      <c r="BU7" s="14"/>
      <c r="BV7" s="14"/>
      <c r="BW7" s="14"/>
      <c r="BX7" s="14"/>
      <c r="BY7" s="14"/>
      <c r="BZ7" s="14"/>
      <c r="CA7" s="14"/>
      <c r="CB7" s="14"/>
      <c r="CC7" s="14"/>
      <c r="CD7" s="14"/>
      <c r="CE7" s="14"/>
      <c r="CF7" s="14"/>
      <c r="CG7" s="14"/>
      <c r="CH7" s="14"/>
      <c r="CI7" s="14"/>
      <c r="CJ7" s="14"/>
      <c r="CK7" s="14"/>
      <c r="CL7" s="14"/>
    </row>
    <row r="8" spans="2:91" hidden="1">
      <c r="B8" s="14" t="str">
        <f>役職一覧!B8&amp;""</f>
        <v/>
      </c>
      <c r="C8" s="14">
        <f>役職一覧!E8</f>
        <v>0</v>
      </c>
      <c r="D8" s="14">
        <f t="shared" si="5"/>
        <v>302</v>
      </c>
      <c r="E8" s="14">
        <f t="shared" si="5"/>
        <v>303</v>
      </c>
      <c r="F8" s="14">
        <f t="shared" si="5"/>
        <v>302</v>
      </c>
      <c r="G8" s="14">
        <f t="shared" si="5"/>
        <v>302</v>
      </c>
      <c r="H8" s="14">
        <f t="shared" si="5"/>
        <v>303</v>
      </c>
      <c r="I8" s="14">
        <f t="shared" si="5"/>
        <v>302</v>
      </c>
      <c r="J8" s="14">
        <f t="shared" si="5"/>
        <v>303</v>
      </c>
      <c r="K8" s="14">
        <f t="shared" si="5"/>
        <v>303</v>
      </c>
      <c r="L8" s="14">
        <f t="shared" si="5"/>
        <v>303</v>
      </c>
      <c r="M8" s="14">
        <f t="shared" si="5"/>
        <v>303</v>
      </c>
      <c r="N8" s="14">
        <f t="shared" si="5"/>
        <v>303</v>
      </c>
      <c r="O8" s="14">
        <f t="shared" ref="O8:S22" si="9">COUNTIF(O$32:O$334,$B8)</f>
        <v>303</v>
      </c>
      <c r="P8" s="14">
        <f t="shared" si="9"/>
        <v>303</v>
      </c>
      <c r="Q8" s="14">
        <f t="shared" si="9"/>
        <v>303</v>
      </c>
      <c r="R8" s="14">
        <f t="shared" si="9"/>
        <v>303</v>
      </c>
      <c r="S8" s="14">
        <f t="shared" si="9"/>
        <v>303</v>
      </c>
      <c r="T8" s="14">
        <f t="shared" si="6"/>
        <v>303</v>
      </c>
      <c r="U8" s="14">
        <f t="shared" si="6"/>
        <v>303</v>
      </c>
      <c r="V8" s="14">
        <f t="shared" si="6"/>
        <v>303</v>
      </c>
      <c r="W8" s="14">
        <f t="shared" si="6"/>
        <v>303</v>
      </c>
      <c r="X8" s="14">
        <f t="shared" si="6"/>
        <v>303</v>
      </c>
      <c r="Y8" s="14">
        <f t="shared" si="6"/>
        <v>303</v>
      </c>
      <c r="Z8" s="14">
        <f t="shared" si="6"/>
        <v>303</v>
      </c>
      <c r="AA8" s="14">
        <f t="shared" si="6"/>
        <v>303</v>
      </c>
      <c r="AB8" s="14">
        <f t="shared" si="6"/>
        <v>303</v>
      </c>
      <c r="AC8" s="14">
        <f t="shared" si="6"/>
        <v>303</v>
      </c>
      <c r="AD8" s="14">
        <f t="shared" si="6"/>
        <v>303</v>
      </c>
      <c r="AE8" s="14">
        <f t="shared" si="7"/>
        <v>303</v>
      </c>
      <c r="AF8" s="14">
        <f t="shared" si="7"/>
        <v>303</v>
      </c>
      <c r="AG8" s="14">
        <f t="shared" si="7"/>
        <v>303</v>
      </c>
      <c r="AH8" s="14">
        <f t="shared" si="7"/>
        <v>303</v>
      </c>
      <c r="AI8" s="14">
        <f t="shared" si="7"/>
        <v>303</v>
      </c>
      <c r="AJ8" s="14">
        <f t="shared" si="7"/>
        <v>303</v>
      </c>
      <c r="AK8" s="14">
        <f t="shared" si="7"/>
        <v>303</v>
      </c>
      <c r="AL8" s="14">
        <f t="shared" si="7"/>
        <v>303</v>
      </c>
      <c r="AM8" s="14">
        <f t="shared" si="7"/>
        <v>303</v>
      </c>
      <c r="AN8" s="14">
        <f t="shared" si="7"/>
        <v>303</v>
      </c>
      <c r="AO8" s="14">
        <f t="shared" si="7"/>
        <v>303</v>
      </c>
      <c r="AP8" s="14">
        <f t="shared" si="7"/>
        <v>303</v>
      </c>
      <c r="AQ8" s="14">
        <f t="shared" si="7"/>
        <v>303</v>
      </c>
      <c r="AR8" s="14">
        <f t="shared" si="7"/>
        <v>303</v>
      </c>
      <c r="AS8" s="14">
        <f t="shared" si="7"/>
        <v>303</v>
      </c>
      <c r="AT8" s="14">
        <f t="shared" si="7"/>
        <v>303</v>
      </c>
      <c r="AU8" s="14">
        <f t="shared" si="8"/>
        <v>303</v>
      </c>
      <c r="AV8" s="14">
        <f t="shared" si="8"/>
        <v>303</v>
      </c>
      <c r="AW8" s="14">
        <f t="shared" si="8"/>
        <v>303</v>
      </c>
      <c r="AX8" s="14">
        <f t="shared" si="8"/>
        <v>303</v>
      </c>
      <c r="AY8" s="14">
        <f t="shared" si="8"/>
        <v>303</v>
      </c>
      <c r="AZ8" s="14">
        <f t="shared" si="8"/>
        <v>303</v>
      </c>
      <c r="BA8" s="14">
        <f t="shared" si="8"/>
        <v>303</v>
      </c>
      <c r="BB8" s="14"/>
      <c r="BC8" s="14"/>
      <c r="BD8" s="14">
        <f ca="1">COUNTIF(OFFSET(BD$32,0,0,COUNT(時間希望調査!$A:$A)),$B8)</f>
        <v>10</v>
      </c>
      <c r="BE8" s="14">
        <f ca="1">COUNTIF(OFFSET(BE$32,0,0,COUNT(時間希望調査!$A:$A)),$B8)</f>
        <v>10</v>
      </c>
      <c r="BF8" s="14">
        <f ca="1">COUNTIF(OFFSET(BF$32,0,0,COUNT(時間希望調査!$A:$A)),$B8)</f>
        <v>10</v>
      </c>
      <c r="BG8" s="14">
        <f ca="1">COUNTIF(OFFSET(BG$32,0,0,COUNT(時間希望調査!$A:$A)),$B8)</f>
        <v>10</v>
      </c>
      <c r="BH8" s="14">
        <f ca="1">COUNTIF(OFFSET(BH$32,0,0,COUNT(時間希望調査!$A:$A)),$B8)</f>
        <v>10</v>
      </c>
      <c r="BI8" s="14"/>
      <c r="BJ8" s="14"/>
      <c r="BK8" s="14"/>
      <c r="BL8" s="14"/>
      <c r="BM8" s="14"/>
      <c r="BN8" s="14"/>
      <c r="BO8" s="14"/>
      <c r="BP8" s="14"/>
      <c r="BQ8" s="14"/>
      <c r="BR8" s="14"/>
      <c r="BS8" s="14"/>
      <c r="BT8" s="14"/>
      <c r="BU8" s="14"/>
      <c r="BV8" s="14"/>
      <c r="BW8" s="14"/>
      <c r="BX8" s="14"/>
      <c r="BY8" s="14"/>
      <c r="BZ8" s="14"/>
      <c r="CA8" s="14"/>
      <c r="CB8" s="14"/>
      <c r="CC8" s="14"/>
      <c r="CD8" s="14"/>
      <c r="CE8" s="14"/>
      <c r="CF8" s="14"/>
      <c r="CG8" s="14"/>
      <c r="CH8" s="14"/>
      <c r="CI8" s="14"/>
      <c r="CJ8" s="14"/>
      <c r="CK8" s="14"/>
      <c r="CL8" s="14"/>
    </row>
    <row r="9" spans="2:91" hidden="1">
      <c r="B9" s="14" t="str">
        <f>役職一覧!B9&amp;""</f>
        <v/>
      </c>
      <c r="C9" s="14">
        <f>役職一覧!E9</f>
        <v>0</v>
      </c>
      <c r="D9" s="14">
        <f t="shared" si="5"/>
        <v>302</v>
      </c>
      <c r="E9" s="14">
        <f t="shared" si="5"/>
        <v>303</v>
      </c>
      <c r="F9" s="14">
        <f t="shared" si="5"/>
        <v>302</v>
      </c>
      <c r="G9" s="14">
        <f t="shared" si="5"/>
        <v>302</v>
      </c>
      <c r="H9" s="14">
        <f t="shared" si="5"/>
        <v>303</v>
      </c>
      <c r="I9" s="14">
        <f t="shared" si="5"/>
        <v>302</v>
      </c>
      <c r="J9" s="14">
        <f t="shared" si="5"/>
        <v>303</v>
      </c>
      <c r="K9" s="14">
        <f t="shared" si="5"/>
        <v>303</v>
      </c>
      <c r="L9" s="14">
        <f t="shared" si="5"/>
        <v>303</v>
      </c>
      <c r="M9" s="14">
        <f t="shared" si="5"/>
        <v>303</v>
      </c>
      <c r="N9" s="14">
        <f t="shared" si="5"/>
        <v>303</v>
      </c>
      <c r="O9" s="14">
        <f t="shared" si="9"/>
        <v>303</v>
      </c>
      <c r="P9" s="14">
        <f t="shared" si="9"/>
        <v>303</v>
      </c>
      <c r="Q9" s="14">
        <f t="shared" si="9"/>
        <v>303</v>
      </c>
      <c r="R9" s="14">
        <f t="shared" si="9"/>
        <v>303</v>
      </c>
      <c r="S9" s="14">
        <f t="shared" si="9"/>
        <v>303</v>
      </c>
      <c r="T9" s="14">
        <f t="shared" si="6"/>
        <v>303</v>
      </c>
      <c r="U9" s="14">
        <f t="shared" si="6"/>
        <v>303</v>
      </c>
      <c r="V9" s="14">
        <f t="shared" si="6"/>
        <v>303</v>
      </c>
      <c r="W9" s="14">
        <f t="shared" si="6"/>
        <v>303</v>
      </c>
      <c r="X9" s="14">
        <f t="shared" si="6"/>
        <v>303</v>
      </c>
      <c r="Y9" s="14">
        <f t="shared" si="6"/>
        <v>303</v>
      </c>
      <c r="Z9" s="14">
        <f t="shared" si="6"/>
        <v>303</v>
      </c>
      <c r="AA9" s="14">
        <f t="shared" si="6"/>
        <v>303</v>
      </c>
      <c r="AB9" s="14">
        <f t="shared" si="6"/>
        <v>303</v>
      </c>
      <c r="AC9" s="14">
        <f t="shared" si="6"/>
        <v>303</v>
      </c>
      <c r="AD9" s="14">
        <f t="shared" si="6"/>
        <v>303</v>
      </c>
      <c r="AE9" s="14">
        <f t="shared" si="7"/>
        <v>303</v>
      </c>
      <c r="AF9" s="14">
        <f t="shared" si="7"/>
        <v>303</v>
      </c>
      <c r="AG9" s="14">
        <f t="shared" si="7"/>
        <v>303</v>
      </c>
      <c r="AH9" s="14">
        <f t="shared" si="7"/>
        <v>303</v>
      </c>
      <c r="AI9" s="14">
        <f t="shared" si="7"/>
        <v>303</v>
      </c>
      <c r="AJ9" s="14">
        <f t="shared" si="7"/>
        <v>303</v>
      </c>
      <c r="AK9" s="14">
        <f t="shared" si="7"/>
        <v>303</v>
      </c>
      <c r="AL9" s="14">
        <f t="shared" si="7"/>
        <v>303</v>
      </c>
      <c r="AM9" s="14">
        <f t="shared" si="7"/>
        <v>303</v>
      </c>
      <c r="AN9" s="14">
        <f t="shared" si="7"/>
        <v>303</v>
      </c>
      <c r="AO9" s="14">
        <f t="shared" si="7"/>
        <v>303</v>
      </c>
      <c r="AP9" s="14">
        <f t="shared" si="7"/>
        <v>303</v>
      </c>
      <c r="AQ9" s="14">
        <f t="shared" si="7"/>
        <v>303</v>
      </c>
      <c r="AR9" s="14">
        <f t="shared" si="7"/>
        <v>303</v>
      </c>
      <c r="AS9" s="14">
        <f t="shared" si="7"/>
        <v>303</v>
      </c>
      <c r="AT9" s="14">
        <f t="shared" si="7"/>
        <v>303</v>
      </c>
      <c r="AU9" s="14">
        <f t="shared" si="8"/>
        <v>303</v>
      </c>
      <c r="AV9" s="14">
        <f t="shared" si="8"/>
        <v>303</v>
      </c>
      <c r="AW9" s="14">
        <f t="shared" si="8"/>
        <v>303</v>
      </c>
      <c r="AX9" s="14">
        <f t="shared" si="8"/>
        <v>303</v>
      </c>
      <c r="AY9" s="14">
        <f t="shared" si="8"/>
        <v>303</v>
      </c>
      <c r="AZ9" s="14">
        <f t="shared" si="8"/>
        <v>303</v>
      </c>
      <c r="BA9" s="14">
        <f t="shared" si="8"/>
        <v>303</v>
      </c>
      <c r="BB9" s="14"/>
      <c r="BC9" s="14"/>
      <c r="BD9" s="14">
        <f ca="1">COUNTIF(OFFSET(BD$32,0,0,COUNT(時間希望調査!$A:$A)),$B9)</f>
        <v>10</v>
      </c>
      <c r="BE9" s="14">
        <f ca="1">COUNTIF(OFFSET(BE$32,0,0,COUNT(時間希望調査!$A:$A)),$B9)</f>
        <v>10</v>
      </c>
      <c r="BF9" s="14">
        <f ca="1">COUNTIF(OFFSET(BF$32,0,0,COUNT(時間希望調査!$A:$A)),$B9)</f>
        <v>10</v>
      </c>
      <c r="BG9" s="14">
        <f ca="1">COUNTIF(OFFSET(BG$32,0,0,COUNT(時間希望調査!$A:$A)),$B9)</f>
        <v>10</v>
      </c>
      <c r="BH9" s="14">
        <f ca="1">COUNTIF(OFFSET(BH$32,0,0,COUNT(時間希望調査!$A:$A)),$B9)</f>
        <v>10</v>
      </c>
      <c r="BI9" s="14"/>
      <c r="BJ9" s="14"/>
      <c r="BK9" s="14"/>
      <c r="BL9" s="14"/>
      <c r="BM9" s="14"/>
      <c r="BN9" s="14"/>
      <c r="BO9" s="14"/>
      <c r="BP9" s="14"/>
      <c r="BQ9" s="14"/>
      <c r="BR9" s="14"/>
      <c r="BS9" s="14"/>
      <c r="BT9" s="14"/>
      <c r="BU9" s="14"/>
      <c r="BV9" s="14"/>
      <c r="BW9" s="14"/>
      <c r="BX9" s="14"/>
      <c r="BY9" s="14"/>
      <c r="BZ9" s="14"/>
      <c r="CA9" s="14"/>
      <c r="CB9" s="14"/>
      <c r="CC9" s="14"/>
      <c r="CD9" s="14"/>
      <c r="CE9" s="14"/>
      <c r="CF9" s="14"/>
      <c r="CG9" s="14"/>
      <c r="CH9" s="14"/>
      <c r="CI9" s="14"/>
      <c r="CJ9" s="14"/>
      <c r="CK9" s="14"/>
      <c r="CL9" s="14"/>
    </row>
    <row r="10" spans="2:91" hidden="1">
      <c r="B10" s="14" t="str">
        <f>役職一覧!B10&amp;""</f>
        <v/>
      </c>
      <c r="C10" s="14">
        <f>役職一覧!E10</f>
        <v>0</v>
      </c>
      <c r="D10" s="14">
        <f t="shared" si="5"/>
        <v>302</v>
      </c>
      <c r="E10" s="14">
        <f t="shared" si="5"/>
        <v>303</v>
      </c>
      <c r="F10" s="14">
        <f t="shared" si="5"/>
        <v>302</v>
      </c>
      <c r="G10" s="14">
        <f t="shared" si="5"/>
        <v>302</v>
      </c>
      <c r="H10" s="14">
        <f t="shared" si="5"/>
        <v>303</v>
      </c>
      <c r="I10" s="14">
        <f t="shared" si="5"/>
        <v>302</v>
      </c>
      <c r="J10" s="14">
        <f t="shared" si="5"/>
        <v>303</v>
      </c>
      <c r="K10" s="14">
        <f t="shared" si="5"/>
        <v>303</v>
      </c>
      <c r="L10" s="14">
        <f t="shared" si="5"/>
        <v>303</v>
      </c>
      <c r="M10" s="14">
        <f t="shared" si="5"/>
        <v>303</v>
      </c>
      <c r="N10" s="14">
        <f t="shared" si="5"/>
        <v>303</v>
      </c>
      <c r="O10" s="14">
        <f t="shared" si="9"/>
        <v>303</v>
      </c>
      <c r="P10" s="14">
        <f t="shared" si="9"/>
        <v>303</v>
      </c>
      <c r="Q10" s="14">
        <f t="shared" si="9"/>
        <v>303</v>
      </c>
      <c r="R10" s="14">
        <f t="shared" si="9"/>
        <v>303</v>
      </c>
      <c r="S10" s="14">
        <f t="shared" si="9"/>
        <v>303</v>
      </c>
      <c r="T10" s="14">
        <f t="shared" si="6"/>
        <v>303</v>
      </c>
      <c r="U10" s="14">
        <f t="shared" si="6"/>
        <v>303</v>
      </c>
      <c r="V10" s="14">
        <f t="shared" si="6"/>
        <v>303</v>
      </c>
      <c r="W10" s="14">
        <f t="shared" si="6"/>
        <v>303</v>
      </c>
      <c r="X10" s="14">
        <f t="shared" si="6"/>
        <v>303</v>
      </c>
      <c r="Y10" s="14">
        <f t="shared" si="6"/>
        <v>303</v>
      </c>
      <c r="Z10" s="14">
        <f t="shared" si="6"/>
        <v>303</v>
      </c>
      <c r="AA10" s="14">
        <f t="shared" si="6"/>
        <v>303</v>
      </c>
      <c r="AB10" s="14">
        <f t="shared" si="6"/>
        <v>303</v>
      </c>
      <c r="AC10" s="14">
        <f t="shared" si="6"/>
        <v>303</v>
      </c>
      <c r="AD10" s="14">
        <f t="shared" si="6"/>
        <v>303</v>
      </c>
      <c r="AE10" s="14">
        <f t="shared" si="7"/>
        <v>303</v>
      </c>
      <c r="AF10" s="14">
        <f t="shared" si="7"/>
        <v>303</v>
      </c>
      <c r="AG10" s="14">
        <f t="shared" si="7"/>
        <v>303</v>
      </c>
      <c r="AH10" s="14">
        <f t="shared" si="7"/>
        <v>303</v>
      </c>
      <c r="AI10" s="14">
        <f t="shared" si="7"/>
        <v>303</v>
      </c>
      <c r="AJ10" s="14">
        <f t="shared" si="7"/>
        <v>303</v>
      </c>
      <c r="AK10" s="14">
        <f t="shared" si="7"/>
        <v>303</v>
      </c>
      <c r="AL10" s="14">
        <f t="shared" si="7"/>
        <v>303</v>
      </c>
      <c r="AM10" s="14">
        <f t="shared" si="7"/>
        <v>303</v>
      </c>
      <c r="AN10" s="14">
        <f t="shared" si="7"/>
        <v>303</v>
      </c>
      <c r="AO10" s="14">
        <f t="shared" si="7"/>
        <v>303</v>
      </c>
      <c r="AP10" s="14">
        <f t="shared" si="7"/>
        <v>303</v>
      </c>
      <c r="AQ10" s="14">
        <f t="shared" si="7"/>
        <v>303</v>
      </c>
      <c r="AR10" s="14">
        <f t="shared" si="7"/>
        <v>303</v>
      </c>
      <c r="AS10" s="14">
        <f t="shared" si="7"/>
        <v>303</v>
      </c>
      <c r="AT10" s="14">
        <f t="shared" si="7"/>
        <v>303</v>
      </c>
      <c r="AU10" s="14">
        <f t="shared" si="8"/>
        <v>303</v>
      </c>
      <c r="AV10" s="14">
        <f t="shared" si="8"/>
        <v>303</v>
      </c>
      <c r="AW10" s="14">
        <f t="shared" si="8"/>
        <v>303</v>
      </c>
      <c r="AX10" s="14">
        <f t="shared" si="8"/>
        <v>303</v>
      </c>
      <c r="AY10" s="14">
        <f t="shared" si="8"/>
        <v>303</v>
      </c>
      <c r="AZ10" s="14">
        <f t="shared" si="8"/>
        <v>303</v>
      </c>
      <c r="BA10" s="14">
        <f t="shared" si="8"/>
        <v>303</v>
      </c>
      <c r="BB10" s="14"/>
      <c r="BC10" s="14"/>
      <c r="BD10" s="14">
        <f ca="1">COUNTIF(OFFSET(BD$32,0,0,COUNT(時間希望調査!$A:$A)),$B10)</f>
        <v>10</v>
      </c>
      <c r="BE10" s="14">
        <f ca="1">COUNTIF(OFFSET(BE$32,0,0,COUNT(時間希望調査!$A:$A)),$B10)</f>
        <v>10</v>
      </c>
      <c r="BF10" s="14">
        <f ca="1">COUNTIF(OFFSET(BF$32,0,0,COUNT(時間希望調査!$A:$A)),$B10)</f>
        <v>10</v>
      </c>
      <c r="BG10" s="14">
        <f ca="1">COUNTIF(OFFSET(BG$32,0,0,COUNT(時間希望調査!$A:$A)),$B10)</f>
        <v>10</v>
      </c>
      <c r="BH10" s="14">
        <f ca="1">COUNTIF(OFFSET(BH$32,0,0,COUNT(時間希望調査!$A:$A)),$B10)</f>
        <v>10</v>
      </c>
      <c r="BI10" s="14"/>
      <c r="BJ10" s="14"/>
      <c r="BK10" s="14"/>
      <c r="BL10" s="14"/>
      <c r="BM10" s="14"/>
      <c r="BN10" s="14"/>
      <c r="BO10" s="14"/>
      <c r="BP10" s="14"/>
      <c r="BQ10" s="14"/>
      <c r="BR10" s="14"/>
      <c r="BS10" s="14"/>
      <c r="BT10" s="14"/>
      <c r="BU10" s="14"/>
      <c r="BV10" s="14"/>
      <c r="BW10" s="14"/>
      <c r="BX10" s="14"/>
      <c r="BY10" s="14"/>
      <c r="BZ10" s="14"/>
      <c r="CA10" s="14"/>
      <c r="CB10" s="14"/>
      <c r="CC10" s="14"/>
      <c r="CD10" s="14"/>
      <c r="CE10" s="14"/>
      <c r="CF10" s="14"/>
      <c r="CG10" s="14"/>
      <c r="CH10" s="14"/>
      <c r="CI10" s="14"/>
      <c r="CJ10" s="14"/>
      <c r="CK10" s="14"/>
      <c r="CL10" s="14"/>
    </row>
    <row r="11" spans="2:91" hidden="1">
      <c r="B11" s="14" t="str">
        <f>役職一覧!B11&amp;""</f>
        <v/>
      </c>
      <c r="C11" s="14">
        <f>役職一覧!E11</f>
        <v>0</v>
      </c>
      <c r="D11" s="14">
        <f t="shared" si="5"/>
        <v>302</v>
      </c>
      <c r="E11" s="14">
        <f t="shared" si="5"/>
        <v>303</v>
      </c>
      <c r="F11" s="14">
        <f t="shared" si="5"/>
        <v>302</v>
      </c>
      <c r="G11" s="14">
        <f t="shared" si="5"/>
        <v>302</v>
      </c>
      <c r="H11" s="14">
        <f t="shared" si="5"/>
        <v>303</v>
      </c>
      <c r="I11" s="14">
        <f t="shared" si="5"/>
        <v>302</v>
      </c>
      <c r="J11" s="14">
        <f t="shared" si="5"/>
        <v>303</v>
      </c>
      <c r="K11" s="14">
        <f t="shared" si="5"/>
        <v>303</v>
      </c>
      <c r="L11" s="14">
        <f t="shared" si="5"/>
        <v>303</v>
      </c>
      <c r="M11" s="14">
        <f t="shared" si="5"/>
        <v>303</v>
      </c>
      <c r="N11" s="14">
        <f t="shared" si="5"/>
        <v>303</v>
      </c>
      <c r="O11" s="14">
        <f t="shared" si="9"/>
        <v>303</v>
      </c>
      <c r="P11" s="14">
        <f t="shared" si="9"/>
        <v>303</v>
      </c>
      <c r="Q11" s="14">
        <f t="shared" si="9"/>
        <v>303</v>
      </c>
      <c r="R11" s="14">
        <f t="shared" si="9"/>
        <v>303</v>
      </c>
      <c r="S11" s="14">
        <f t="shared" si="9"/>
        <v>303</v>
      </c>
      <c r="T11" s="14">
        <f t="shared" si="6"/>
        <v>303</v>
      </c>
      <c r="U11" s="14">
        <f t="shared" si="6"/>
        <v>303</v>
      </c>
      <c r="V11" s="14">
        <f t="shared" si="6"/>
        <v>303</v>
      </c>
      <c r="W11" s="14">
        <f t="shared" si="6"/>
        <v>303</v>
      </c>
      <c r="X11" s="14">
        <f t="shared" si="6"/>
        <v>303</v>
      </c>
      <c r="Y11" s="14">
        <f t="shared" si="6"/>
        <v>303</v>
      </c>
      <c r="Z11" s="14">
        <f t="shared" si="6"/>
        <v>303</v>
      </c>
      <c r="AA11" s="14">
        <f t="shared" si="6"/>
        <v>303</v>
      </c>
      <c r="AB11" s="14">
        <f t="shared" si="6"/>
        <v>303</v>
      </c>
      <c r="AC11" s="14">
        <f t="shared" si="6"/>
        <v>303</v>
      </c>
      <c r="AD11" s="14">
        <f t="shared" si="6"/>
        <v>303</v>
      </c>
      <c r="AE11" s="14">
        <f t="shared" si="7"/>
        <v>303</v>
      </c>
      <c r="AF11" s="14">
        <f t="shared" si="7"/>
        <v>303</v>
      </c>
      <c r="AG11" s="14">
        <f t="shared" si="7"/>
        <v>303</v>
      </c>
      <c r="AH11" s="14">
        <f t="shared" si="7"/>
        <v>303</v>
      </c>
      <c r="AI11" s="14">
        <f t="shared" si="7"/>
        <v>303</v>
      </c>
      <c r="AJ11" s="14">
        <f t="shared" si="7"/>
        <v>303</v>
      </c>
      <c r="AK11" s="14">
        <f t="shared" si="7"/>
        <v>303</v>
      </c>
      <c r="AL11" s="14">
        <f t="shared" si="7"/>
        <v>303</v>
      </c>
      <c r="AM11" s="14">
        <f t="shared" si="7"/>
        <v>303</v>
      </c>
      <c r="AN11" s="14">
        <f t="shared" si="7"/>
        <v>303</v>
      </c>
      <c r="AO11" s="14">
        <f t="shared" si="7"/>
        <v>303</v>
      </c>
      <c r="AP11" s="14">
        <f t="shared" si="7"/>
        <v>303</v>
      </c>
      <c r="AQ11" s="14">
        <f t="shared" si="7"/>
        <v>303</v>
      </c>
      <c r="AR11" s="14">
        <f t="shared" si="7"/>
        <v>303</v>
      </c>
      <c r="AS11" s="14">
        <f t="shared" si="7"/>
        <v>303</v>
      </c>
      <c r="AT11" s="14">
        <f t="shared" si="7"/>
        <v>303</v>
      </c>
      <c r="AU11" s="14">
        <f t="shared" si="8"/>
        <v>303</v>
      </c>
      <c r="AV11" s="14">
        <f t="shared" si="8"/>
        <v>303</v>
      </c>
      <c r="AW11" s="14">
        <f t="shared" si="8"/>
        <v>303</v>
      </c>
      <c r="AX11" s="14">
        <f t="shared" si="8"/>
        <v>303</v>
      </c>
      <c r="AY11" s="14">
        <f t="shared" si="8"/>
        <v>303</v>
      </c>
      <c r="AZ11" s="14">
        <f t="shared" si="8"/>
        <v>303</v>
      </c>
      <c r="BA11" s="14">
        <f t="shared" si="8"/>
        <v>303</v>
      </c>
      <c r="BB11" s="14"/>
      <c r="BC11" s="14"/>
      <c r="BD11" s="14">
        <f ca="1">COUNTIF(OFFSET(BD$32,0,0,COUNT(時間希望調査!$A:$A)),$B11)</f>
        <v>10</v>
      </c>
      <c r="BE11" s="14">
        <f ca="1">COUNTIF(OFFSET(BE$32,0,0,COUNT(時間希望調査!$A:$A)),$B11)</f>
        <v>10</v>
      </c>
      <c r="BF11" s="14">
        <f ca="1">COUNTIF(OFFSET(BF$32,0,0,COUNT(時間希望調査!$A:$A)),$B11)</f>
        <v>10</v>
      </c>
      <c r="BG11" s="14">
        <f ca="1">COUNTIF(OFFSET(BG$32,0,0,COUNT(時間希望調査!$A:$A)),$B11)</f>
        <v>10</v>
      </c>
      <c r="BH11" s="14">
        <f ca="1">COUNTIF(OFFSET(BH$32,0,0,COUNT(時間希望調査!$A:$A)),$B11)</f>
        <v>10</v>
      </c>
      <c r="BI11" s="14"/>
      <c r="BJ11" s="14"/>
      <c r="BK11" s="14"/>
      <c r="BL11" s="14"/>
      <c r="BM11" s="14"/>
      <c r="BN11" s="14"/>
      <c r="BO11" s="14"/>
      <c r="BP11" s="14"/>
      <c r="BQ11" s="14"/>
      <c r="BR11" s="14"/>
      <c r="BS11" s="14"/>
      <c r="BT11" s="14"/>
      <c r="BU11" s="14"/>
      <c r="BV11" s="14"/>
      <c r="BW11" s="14"/>
      <c r="BX11" s="14"/>
      <c r="BY11" s="14"/>
      <c r="BZ11" s="14"/>
      <c r="CA11" s="14"/>
      <c r="CB11" s="14"/>
      <c r="CC11" s="14"/>
      <c r="CD11" s="14"/>
      <c r="CE11" s="14"/>
      <c r="CF11" s="14"/>
      <c r="CG11" s="14"/>
      <c r="CH11" s="14"/>
      <c r="CI11" s="14"/>
      <c r="CJ11" s="14"/>
      <c r="CK11" s="14"/>
      <c r="CL11" s="14"/>
    </row>
    <row r="12" spans="2:91" hidden="1">
      <c r="B12" s="14" t="str">
        <f>役職一覧!B12&amp;""</f>
        <v/>
      </c>
      <c r="C12" s="14">
        <f>役職一覧!E12</f>
        <v>0</v>
      </c>
      <c r="D12" s="14">
        <f t="shared" si="5"/>
        <v>302</v>
      </c>
      <c r="E12" s="14">
        <f t="shared" si="5"/>
        <v>303</v>
      </c>
      <c r="F12" s="14">
        <f t="shared" si="5"/>
        <v>302</v>
      </c>
      <c r="G12" s="14">
        <f t="shared" si="5"/>
        <v>302</v>
      </c>
      <c r="H12" s="14">
        <f t="shared" si="5"/>
        <v>303</v>
      </c>
      <c r="I12" s="14">
        <f t="shared" si="5"/>
        <v>302</v>
      </c>
      <c r="J12" s="14">
        <f t="shared" si="5"/>
        <v>303</v>
      </c>
      <c r="K12" s="14">
        <f t="shared" si="5"/>
        <v>303</v>
      </c>
      <c r="L12" s="14">
        <f t="shared" si="5"/>
        <v>303</v>
      </c>
      <c r="M12" s="14">
        <f t="shared" si="5"/>
        <v>303</v>
      </c>
      <c r="N12" s="14">
        <f t="shared" si="5"/>
        <v>303</v>
      </c>
      <c r="O12" s="14">
        <f t="shared" si="9"/>
        <v>303</v>
      </c>
      <c r="P12" s="14">
        <f t="shared" si="9"/>
        <v>303</v>
      </c>
      <c r="Q12" s="14">
        <f t="shared" si="9"/>
        <v>303</v>
      </c>
      <c r="R12" s="14">
        <f t="shared" si="9"/>
        <v>303</v>
      </c>
      <c r="S12" s="14">
        <f t="shared" si="9"/>
        <v>303</v>
      </c>
      <c r="T12" s="14">
        <f t="shared" si="6"/>
        <v>303</v>
      </c>
      <c r="U12" s="14">
        <f t="shared" si="6"/>
        <v>303</v>
      </c>
      <c r="V12" s="14">
        <f t="shared" si="6"/>
        <v>303</v>
      </c>
      <c r="W12" s="14">
        <f t="shared" si="6"/>
        <v>303</v>
      </c>
      <c r="X12" s="14">
        <f t="shared" si="6"/>
        <v>303</v>
      </c>
      <c r="Y12" s="14">
        <f t="shared" si="6"/>
        <v>303</v>
      </c>
      <c r="Z12" s="14">
        <f t="shared" si="6"/>
        <v>303</v>
      </c>
      <c r="AA12" s="14">
        <f t="shared" si="6"/>
        <v>303</v>
      </c>
      <c r="AB12" s="14">
        <f t="shared" si="6"/>
        <v>303</v>
      </c>
      <c r="AC12" s="14">
        <f t="shared" si="6"/>
        <v>303</v>
      </c>
      <c r="AD12" s="14">
        <f t="shared" si="6"/>
        <v>303</v>
      </c>
      <c r="AE12" s="14">
        <f t="shared" si="7"/>
        <v>303</v>
      </c>
      <c r="AF12" s="14">
        <f t="shared" si="7"/>
        <v>303</v>
      </c>
      <c r="AG12" s="14">
        <f t="shared" si="7"/>
        <v>303</v>
      </c>
      <c r="AH12" s="14">
        <f t="shared" si="7"/>
        <v>303</v>
      </c>
      <c r="AI12" s="14">
        <f t="shared" si="7"/>
        <v>303</v>
      </c>
      <c r="AJ12" s="14">
        <f t="shared" si="7"/>
        <v>303</v>
      </c>
      <c r="AK12" s="14">
        <f t="shared" si="7"/>
        <v>303</v>
      </c>
      <c r="AL12" s="14">
        <f t="shared" si="7"/>
        <v>303</v>
      </c>
      <c r="AM12" s="14">
        <f t="shared" si="7"/>
        <v>303</v>
      </c>
      <c r="AN12" s="14">
        <f t="shared" si="7"/>
        <v>303</v>
      </c>
      <c r="AO12" s="14">
        <f t="shared" si="7"/>
        <v>303</v>
      </c>
      <c r="AP12" s="14">
        <f t="shared" si="7"/>
        <v>303</v>
      </c>
      <c r="AQ12" s="14">
        <f t="shared" si="7"/>
        <v>303</v>
      </c>
      <c r="AR12" s="14">
        <f t="shared" si="7"/>
        <v>303</v>
      </c>
      <c r="AS12" s="14">
        <f t="shared" si="7"/>
        <v>303</v>
      </c>
      <c r="AT12" s="14">
        <f t="shared" si="7"/>
        <v>303</v>
      </c>
      <c r="AU12" s="14">
        <f t="shared" si="8"/>
        <v>303</v>
      </c>
      <c r="AV12" s="14">
        <f t="shared" si="8"/>
        <v>303</v>
      </c>
      <c r="AW12" s="14">
        <f t="shared" si="8"/>
        <v>303</v>
      </c>
      <c r="AX12" s="14">
        <f t="shared" si="8"/>
        <v>303</v>
      </c>
      <c r="AY12" s="14">
        <f t="shared" si="8"/>
        <v>303</v>
      </c>
      <c r="AZ12" s="14">
        <f t="shared" si="8"/>
        <v>303</v>
      </c>
      <c r="BA12" s="14">
        <f t="shared" si="8"/>
        <v>303</v>
      </c>
      <c r="BB12" s="14"/>
      <c r="BC12" s="14"/>
      <c r="BD12" s="14">
        <f ca="1">COUNTIF(OFFSET(BD$32,0,0,COUNT(時間希望調査!$A:$A)),$B12)</f>
        <v>10</v>
      </c>
      <c r="BE12" s="14">
        <f ca="1">COUNTIF(OFFSET(BE$32,0,0,COUNT(時間希望調査!$A:$A)),$B12)</f>
        <v>10</v>
      </c>
      <c r="BF12" s="14">
        <f ca="1">COUNTIF(OFFSET(BF$32,0,0,COUNT(時間希望調査!$A:$A)),$B12)</f>
        <v>10</v>
      </c>
      <c r="BG12" s="14">
        <f ca="1">COUNTIF(OFFSET(BG$32,0,0,COUNT(時間希望調査!$A:$A)),$B12)</f>
        <v>10</v>
      </c>
      <c r="BH12" s="14">
        <f ca="1">COUNTIF(OFFSET(BH$32,0,0,COUNT(時間希望調査!$A:$A)),$B12)</f>
        <v>10</v>
      </c>
      <c r="BI12" s="14"/>
      <c r="BJ12" s="14"/>
      <c r="BK12" s="14"/>
      <c r="BL12" s="14"/>
      <c r="BM12" s="14"/>
      <c r="BN12" s="14"/>
      <c r="BO12" s="14"/>
      <c r="BP12" s="14"/>
      <c r="BQ12" s="14"/>
      <c r="BR12" s="14"/>
      <c r="BS12" s="14"/>
      <c r="BT12" s="14"/>
      <c r="BU12" s="14"/>
      <c r="BV12" s="14"/>
      <c r="BW12" s="14"/>
      <c r="BX12" s="14"/>
      <c r="BY12" s="14"/>
      <c r="BZ12" s="14"/>
      <c r="CA12" s="14"/>
      <c r="CB12" s="14"/>
      <c r="CC12" s="14"/>
      <c r="CD12" s="14"/>
      <c r="CE12" s="14"/>
      <c r="CF12" s="14"/>
      <c r="CG12" s="14"/>
      <c r="CH12" s="14"/>
      <c r="CI12" s="14"/>
      <c r="CJ12" s="14"/>
      <c r="CK12" s="14"/>
      <c r="CL12" s="14"/>
    </row>
    <row r="13" spans="2:91" hidden="1">
      <c r="B13" s="14" t="str">
        <f>役職一覧!B13&amp;""</f>
        <v/>
      </c>
      <c r="C13" s="14">
        <f>役職一覧!E13</f>
        <v>0</v>
      </c>
      <c r="D13" s="14">
        <f t="shared" si="5"/>
        <v>302</v>
      </c>
      <c r="E13" s="14">
        <f t="shared" si="5"/>
        <v>303</v>
      </c>
      <c r="F13" s="14">
        <f t="shared" si="5"/>
        <v>302</v>
      </c>
      <c r="G13" s="14">
        <f t="shared" si="5"/>
        <v>302</v>
      </c>
      <c r="H13" s="14">
        <f t="shared" si="5"/>
        <v>303</v>
      </c>
      <c r="I13" s="14">
        <f t="shared" si="5"/>
        <v>302</v>
      </c>
      <c r="J13" s="14">
        <f t="shared" si="5"/>
        <v>303</v>
      </c>
      <c r="K13" s="14">
        <f t="shared" si="5"/>
        <v>303</v>
      </c>
      <c r="L13" s="14">
        <f t="shared" si="5"/>
        <v>303</v>
      </c>
      <c r="M13" s="14">
        <f t="shared" si="5"/>
        <v>303</v>
      </c>
      <c r="N13" s="14">
        <f t="shared" si="5"/>
        <v>303</v>
      </c>
      <c r="O13" s="14">
        <f t="shared" si="9"/>
        <v>303</v>
      </c>
      <c r="P13" s="14">
        <f t="shared" si="9"/>
        <v>303</v>
      </c>
      <c r="Q13" s="14">
        <f t="shared" si="9"/>
        <v>303</v>
      </c>
      <c r="R13" s="14">
        <f t="shared" si="9"/>
        <v>303</v>
      </c>
      <c r="S13" s="14">
        <f t="shared" si="9"/>
        <v>303</v>
      </c>
      <c r="T13" s="14">
        <f t="shared" si="6"/>
        <v>303</v>
      </c>
      <c r="U13" s="14">
        <f t="shared" si="6"/>
        <v>303</v>
      </c>
      <c r="V13" s="14">
        <f t="shared" si="6"/>
        <v>303</v>
      </c>
      <c r="W13" s="14">
        <f t="shared" si="6"/>
        <v>303</v>
      </c>
      <c r="X13" s="14">
        <f t="shared" si="6"/>
        <v>303</v>
      </c>
      <c r="Y13" s="14">
        <f t="shared" si="6"/>
        <v>303</v>
      </c>
      <c r="Z13" s="14">
        <f t="shared" si="6"/>
        <v>303</v>
      </c>
      <c r="AA13" s="14">
        <f t="shared" si="6"/>
        <v>303</v>
      </c>
      <c r="AB13" s="14">
        <f t="shared" si="6"/>
        <v>303</v>
      </c>
      <c r="AC13" s="14">
        <f t="shared" si="6"/>
        <v>303</v>
      </c>
      <c r="AD13" s="14">
        <f t="shared" si="6"/>
        <v>303</v>
      </c>
      <c r="AE13" s="14">
        <f t="shared" si="7"/>
        <v>303</v>
      </c>
      <c r="AF13" s="14">
        <f t="shared" si="7"/>
        <v>303</v>
      </c>
      <c r="AG13" s="14">
        <f t="shared" si="7"/>
        <v>303</v>
      </c>
      <c r="AH13" s="14">
        <f t="shared" si="7"/>
        <v>303</v>
      </c>
      <c r="AI13" s="14">
        <f t="shared" si="7"/>
        <v>303</v>
      </c>
      <c r="AJ13" s="14">
        <f t="shared" si="7"/>
        <v>303</v>
      </c>
      <c r="AK13" s="14">
        <f t="shared" si="7"/>
        <v>303</v>
      </c>
      <c r="AL13" s="14">
        <f t="shared" si="7"/>
        <v>303</v>
      </c>
      <c r="AM13" s="14">
        <f t="shared" si="7"/>
        <v>303</v>
      </c>
      <c r="AN13" s="14">
        <f t="shared" si="7"/>
        <v>303</v>
      </c>
      <c r="AO13" s="14">
        <f t="shared" si="7"/>
        <v>303</v>
      </c>
      <c r="AP13" s="14">
        <f t="shared" si="7"/>
        <v>303</v>
      </c>
      <c r="AQ13" s="14">
        <f t="shared" si="7"/>
        <v>303</v>
      </c>
      <c r="AR13" s="14">
        <f t="shared" si="7"/>
        <v>303</v>
      </c>
      <c r="AS13" s="14">
        <f t="shared" si="7"/>
        <v>303</v>
      </c>
      <c r="AT13" s="14">
        <f t="shared" si="7"/>
        <v>303</v>
      </c>
      <c r="AU13" s="14">
        <f t="shared" si="8"/>
        <v>303</v>
      </c>
      <c r="AV13" s="14">
        <f t="shared" si="8"/>
        <v>303</v>
      </c>
      <c r="AW13" s="14">
        <f t="shared" si="8"/>
        <v>303</v>
      </c>
      <c r="AX13" s="14">
        <f t="shared" si="8"/>
        <v>303</v>
      </c>
      <c r="AY13" s="14">
        <f t="shared" si="8"/>
        <v>303</v>
      </c>
      <c r="AZ13" s="14">
        <f t="shared" si="8"/>
        <v>303</v>
      </c>
      <c r="BA13" s="14">
        <f t="shared" si="8"/>
        <v>303</v>
      </c>
      <c r="BB13" s="14"/>
      <c r="BC13" s="14"/>
      <c r="BD13" s="14">
        <f ca="1">COUNTIF(OFFSET(BD$32,0,0,COUNT(時間希望調査!$A:$A)),$B13)</f>
        <v>10</v>
      </c>
      <c r="BE13" s="14">
        <f ca="1">COUNTIF(OFFSET(BE$32,0,0,COUNT(時間希望調査!$A:$A)),$B13)</f>
        <v>10</v>
      </c>
      <c r="BF13" s="14">
        <f ca="1">COUNTIF(OFFSET(BF$32,0,0,COUNT(時間希望調査!$A:$A)),$B13)</f>
        <v>10</v>
      </c>
      <c r="BG13" s="14">
        <f ca="1">COUNTIF(OFFSET(BG$32,0,0,COUNT(時間希望調査!$A:$A)),$B13)</f>
        <v>10</v>
      </c>
      <c r="BH13" s="14">
        <f ca="1">COUNTIF(OFFSET(BH$32,0,0,COUNT(時間希望調査!$A:$A)),$B13)</f>
        <v>10</v>
      </c>
      <c r="BI13" s="14"/>
      <c r="BJ13" s="14"/>
      <c r="BK13" s="14"/>
      <c r="BL13" s="14"/>
      <c r="BM13" s="14"/>
      <c r="BN13" s="14"/>
      <c r="BO13" s="14"/>
      <c r="BP13" s="14"/>
      <c r="BQ13" s="14"/>
      <c r="BR13" s="14"/>
      <c r="BS13" s="14"/>
      <c r="BT13" s="14"/>
      <c r="BU13" s="14"/>
      <c r="BV13" s="14"/>
      <c r="BW13" s="14"/>
      <c r="BX13" s="14"/>
      <c r="BY13" s="14"/>
      <c r="BZ13" s="14"/>
      <c r="CA13" s="14"/>
      <c r="CB13" s="14"/>
      <c r="CC13" s="14"/>
      <c r="CD13" s="14"/>
      <c r="CE13" s="14"/>
      <c r="CF13" s="14"/>
      <c r="CG13" s="14"/>
      <c r="CH13" s="14"/>
      <c r="CI13" s="14"/>
      <c r="CJ13" s="14"/>
      <c r="CK13" s="14"/>
      <c r="CL13" s="14"/>
    </row>
    <row r="14" spans="2:91" hidden="1">
      <c r="B14" s="14" t="str">
        <f>役職一覧!B14&amp;""</f>
        <v/>
      </c>
      <c r="C14" s="14">
        <f>役職一覧!E14</f>
        <v>0</v>
      </c>
      <c r="D14" s="14">
        <f t="shared" si="5"/>
        <v>302</v>
      </c>
      <c r="E14" s="14">
        <f t="shared" si="5"/>
        <v>303</v>
      </c>
      <c r="F14" s="14">
        <f t="shared" si="5"/>
        <v>302</v>
      </c>
      <c r="G14" s="14">
        <f t="shared" si="5"/>
        <v>302</v>
      </c>
      <c r="H14" s="14">
        <f t="shared" si="5"/>
        <v>303</v>
      </c>
      <c r="I14" s="14">
        <f t="shared" si="5"/>
        <v>302</v>
      </c>
      <c r="J14" s="14">
        <f t="shared" si="5"/>
        <v>303</v>
      </c>
      <c r="K14" s="14">
        <f t="shared" si="5"/>
        <v>303</v>
      </c>
      <c r="L14" s="14">
        <f t="shared" si="5"/>
        <v>303</v>
      </c>
      <c r="M14" s="14">
        <f t="shared" si="5"/>
        <v>303</v>
      </c>
      <c r="N14" s="14">
        <f t="shared" si="5"/>
        <v>303</v>
      </c>
      <c r="O14" s="14">
        <f t="shared" si="9"/>
        <v>303</v>
      </c>
      <c r="P14" s="14">
        <f t="shared" si="9"/>
        <v>303</v>
      </c>
      <c r="Q14" s="14">
        <f t="shared" si="9"/>
        <v>303</v>
      </c>
      <c r="R14" s="14">
        <f t="shared" si="9"/>
        <v>303</v>
      </c>
      <c r="S14" s="14">
        <f t="shared" si="9"/>
        <v>303</v>
      </c>
      <c r="T14" s="14">
        <f t="shared" si="6"/>
        <v>303</v>
      </c>
      <c r="U14" s="14">
        <f t="shared" si="6"/>
        <v>303</v>
      </c>
      <c r="V14" s="14">
        <f t="shared" si="6"/>
        <v>303</v>
      </c>
      <c r="W14" s="14">
        <f t="shared" si="6"/>
        <v>303</v>
      </c>
      <c r="X14" s="14">
        <f t="shared" si="6"/>
        <v>303</v>
      </c>
      <c r="Y14" s="14">
        <f t="shared" si="6"/>
        <v>303</v>
      </c>
      <c r="Z14" s="14">
        <f t="shared" si="6"/>
        <v>303</v>
      </c>
      <c r="AA14" s="14">
        <f t="shared" si="6"/>
        <v>303</v>
      </c>
      <c r="AB14" s="14">
        <f t="shared" si="6"/>
        <v>303</v>
      </c>
      <c r="AC14" s="14">
        <f t="shared" si="6"/>
        <v>303</v>
      </c>
      <c r="AD14" s="14">
        <f t="shared" si="6"/>
        <v>303</v>
      </c>
      <c r="AE14" s="14">
        <f t="shared" si="7"/>
        <v>303</v>
      </c>
      <c r="AF14" s="14">
        <f t="shared" si="7"/>
        <v>303</v>
      </c>
      <c r="AG14" s="14">
        <f t="shared" si="7"/>
        <v>303</v>
      </c>
      <c r="AH14" s="14">
        <f t="shared" si="7"/>
        <v>303</v>
      </c>
      <c r="AI14" s="14">
        <f t="shared" si="7"/>
        <v>303</v>
      </c>
      <c r="AJ14" s="14">
        <f t="shared" si="7"/>
        <v>303</v>
      </c>
      <c r="AK14" s="14">
        <f t="shared" si="7"/>
        <v>303</v>
      </c>
      <c r="AL14" s="14">
        <f t="shared" si="7"/>
        <v>303</v>
      </c>
      <c r="AM14" s="14">
        <f t="shared" si="7"/>
        <v>303</v>
      </c>
      <c r="AN14" s="14">
        <f t="shared" si="7"/>
        <v>303</v>
      </c>
      <c r="AO14" s="14">
        <f t="shared" si="7"/>
        <v>303</v>
      </c>
      <c r="AP14" s="14">
        <f t="shared" si="7"/>
        <v>303</v>
      </c>
      <c r="AQ14" s="14">
        <f t="shared" si="7"/>
        <v>303</v>
      </c>
      <c r="AR14" s="14">
        <f t="shared" si="7"/>
        <v>303</v>
      </c>
      <c r="AS14" s="14">
        <f t="shared" si="7"/>
        <v>303</v>
      </c>
      <c r="AT14" s="14">
        <f t="shared" si="7"/>
        <v>303</v>
      </c>
      <c r="AU14" s="14">
        <f t="shared" si="8"/>
        <v>303</v>
      </c>
      <c r="AV14" s="14">
        <f t="shared" si="8"/>
        <v>303</v>
      </c>
      <c r="AW14" s="14">
        <f t="shared" si="8"/>
        <v>303</v>
      </c>
      <c r="AX14" s="14">
        <f t="shared" si="8"/>
        <v>303</v>
      </c>
      <c r="AY14" s="14">
        <f t="shared" si="8"/>
        <v>303</v>
      </c>
      <c r="AZ14" s="14">
        <f t="shared" si="8"/>
        <v>303</v>
      </c>
      <c r="BA14" s="14">
        <f t="shared" si="8"/>
        <v>303</v>
      </c>
      <c r="BB14" s="14"/>
      <c r="BC14" s="14"/>
      <c r="BD14" s="14">
        <f ca="1">COUNTIF(OFFSET(BD$32,0,0,COUNT(時間希望調査!$A:$A)),$B14)</f>
        <v>10</v>
      </c>
      <c r="BE14" s="14">
        <f ca="1">COUNTIF(OFFSET(BE$32,0,0,COUNT(時間希望調査!$A:$A)),$B14)</f>
        <v>10</v>
      </c>
      <c r="BF14" s="14">
        <f ca="1">COUNTIF(OFFSET(BF$32,0,0,COUNT(時間希望調査!$A:$A)),$B14)</f>
        <v>10</v>
      </c>
      <c r="BG14" s="14">
        <f ca="1">COUNTIF(OFFSET(BG$32,0,0,COUNT(時間希望調査!$A:$A)),$B14)</f>
        <v>10</v>
      </c>
      <c r="BH14" s="14">
        <f ca="1">COUNTIF(OFFSET(BH$32,0,0,COUNT(時間希望調査!$A:$A)),$B14)</f>
        <v>10</v>
      </c>
      <c r="BI14" s="14"/>
      <c r="BJ14" s="14"/>
      <c r="BK14" s="14"/>
      <c r="BL14" s="14"/>
      <c r="BM14" s="14"/>
      <c r="BN14" s="14"/>
      <c r="BO14" s="14"/>
      <c r="BP14" s="14"/>
      <c r="BQ14" s="14"/>
      <c r="BR14" s="14"/>
      <c r="BS14" s="14"/>
      <c r="BT14" s="14"/>
      <c r="BU14" s="14"/>
      <c r="BV14" s="14"/>
      <c r="BW14" s="14"/>
      <c r="BX14" s="14"/>
      <c r="BY14" s="14"/>
      <c r="BZ14" s="14"/>
      <c r="CA14" s="14"/>
      <c r="CB14" s="14"/>
      <c r="CC14" s="14"/>
      <c r="CD14" s="14"/>
      <c r="CE14" s="14"/>
      <c r="CF14" s="14"/>
      <c r="CG14" s="14"/>
      <c r="CH14" s="14"/>
      <c r="CI14" s="14"/>
      <c r="CJ14" s="14"/>
      <c r="CK14" s="14"/>
      <c r="CL14" s="14"/>
    </row>
    <row r="15" spans="2:91" hidden="1">
      <c r="B15" s="14" t="str">
        <f>役職一覧!B15&amp;""</f>
        <v/>
      </c>
      <c r="C15" s="14">
        <f>役職一覧!E15</f>
        <v>0</v>
      </c>
      <c r="D15" s="14">
        <f t="shared" si="5"/>
        <v>302</v>
      </c>
      <c r="E15" s="14">
        <f t="shared" si="5"/>
        <v>303</v>
      </c>
      <c r="F15" s="14">
        <f t="shared" si="5"/>
        <v>302</v>
      </c>
      <c r="G15" s="14">
        <f t="shared" si="5"/>
        <v>302</v>
      </c>
      <c r="H15" s="14">
        <f t="shared" si="5"/>
        <v>303</v>
      </c>
      <c r="I15" s="14">
        <f t="shared" si="5"/>
        <v>302</v>
      </c>
      <c r="J15" s="14">
        <f t="shared" si="5"/>
        <v>303</v>
      </c>
      <c r="K15" s="14">
        <f t="shared" si="5"/>
        <v>303</v>
      </c>
      <c r="L15" s="14">
        <f t="shared" si="5"/>
        <v>303</v>
      </c>
      <c r="M15" s="14">
        <f t="shared" si="5"/>
        <v>303</v>
      </c>
      <c r="N15" s="14">
        <f t="shared" si="5"/>
        <v>303</v>
      </c>
      <c r="O15" s="14">
        <f t="shared" si="9"/>
        <v>303</v>
      </c>
      <c r="P15" s="14">
        <f t="shared" si="9"/>
        <v>303</v>
      </c>
      <c r="Q15" s="14">
        <f t="shared" si="9"/>
        <v>303</v>
      </c>
      <c r="R15" s="14">
        <f t="shared" si="9"/>
        <v>303</v>
      </c>
      <c r="S15" s="14">
        <f t="shared" si="9"/>
        <v>303</v>
      </c>
      <c r="T15" s="14">
        <f t="shared" si="6"/>
        <v>303</v>
      </c>
      <c r="U15" s="14">
        <f t="shared" si="6"/>
        <v>303</v>
      </c>
      <c r="V15" s="14">
        <f t="shared" si="6"/>
        <v>303</v>
      </c>
      <c r="W15" s="14">
        <f t="shared" si="6"/>
        <v>303</v>
      </c>
      <c r="X15" s="14">
        <f t="shared" si="6"/>
        <v>303</v>
      </c>
      <c r="Y15" s="14">
        <f t="shared" si="6"/>
        <v>303</v>
      </c>
      <c r="Z15" s="14">
        <f t="shared" si="6"/>
        <v>303</v>
      </c>
      <c r="AA15" s="14">
        <f t="shared" si="6"/>
        <v>303</v>
      </c>
      <c r="AB15" s="14">
        <f t="shared" si="6"/>
        <v>303</v>
      </c>
      <c r="AC15" s="14">
        <f t="shared" si="6"/>
        <v>303</v>
      </c>
      <c r="AD15" s="14">
        <f t="shared" si="6"/>
        <v>303</v>
      </c>
      <c r="AE15" s="14">
        <f t="shared" si="7"/>
        <v>303</v>
      </c>
      <c r="AF15" s="14">
        <f t="shared" si="7"/>
        <v>303</v>
      </c>
      <c r="AG15" s="14">
        <f t="shared" si="7"/>
        <v>303</v>
      </c>
      <c r="AH15" s="14">
        <f t="shared" si="7"/>
        <v>303</v>
      </c>
      <c r="AI15" s="14">
        <f t="shared" si="7"/>
        <v>303</v>
      </c>
      <c r="AJ15" s="14">
        <f t="shared" si="7"/>
        <v>303</v>
      </c>
      <c r="AK15" s="14">
        <f t="shared" si="7"/>
        <v>303</v>
      </c>
      <c r="AL15" s="14">
        <f t="shared" si="7"/>
        <v>303</v>
      </c>
      <c r="AM15" s="14">
        <f t="shared" si="7"/>
        <v>303</v>
      </c>
      <c r="AN15" s="14">
        <f t="shared" si="7"/>
        <v>303</v>
      </c>
      <c r="AO15" s="14">
        <f t="shared" si="7"/>
        <v>303</v>
      </c>
      <c r="AP15" s="14">
        <f t="shared" si="7"/>
        <v>303</v>
      </c>
      <c r="AQ15" s="14">
        <f t="shared" si="7"/>
        <v>303</v>
      </c>
      <c r="AR15" s="14">
        <f t="shared" si="7"/>
        <v>303</v>
      </c>
      <c r="AS15" s="14">
        <f t="shared" si="7"/>
        <v>303</v>
      </c>
      <c r="AT15" s="14">
        <f t="shared" si="7"/>
        <v>303</v>
      </c>
      <c r="AU15" s="14">
        <f t="shared" si="8"/>
        <v>303</v>
      </c>
      <c r="AV15" s="14">
        <f t="shared" si="8"/>
        <v>303</v>
      </c>
      <c r="AW15" s="14">
        <f t="shared" si="8"/>
        <v>303</v>
      </c>
      <c r="AX15" s="14">
        <f t="shared" si="8"/>
        <v>303</v>
      </c>
      <c r="AY15" s="14">
        <f t="shared" si="8"/>
        <v>303</v>
      </c>
      <c r="AZ15" s="14">
        <f t="shared" si="8"/>
        <v>303</v>
      </c>
      <c r="BA15" s="14">
        <f t="shared" si="8"/>
        <v>303</v>
      </c>
      <c r="BB15" s="14"/>
      <c r="BC15" s="14"/>
      <c r="BD15" s="14">
        <f ca="1">COUNTIF(OFFSET(BD$32,0,0,COUNT(時間希望調査!$A:$A)),$B15)</f>
        <v>10</v>
      </c>
      <c r="BE15" s="14">
        <f ca="1">COUNTIF(OFFSET(BE$32,0,0,COUNT(時間希望調査!$A:$A)),$B15)</f>
        <v>10</v>
      </c>
      <c r="BF15" s="14">
        <f ca="1">COUNTIF(OFFSET(BF$32,0,0,COUNT(時間希望調査!$A:$A)),$B15)</f>
        <v>10</v>
      </c>
      <c r="BG15" s="14">
        <f ca="1">COUNTIF(OFFSET(BG$32,0,0,COUNT(時間希望調査!$A:$A)),$B15)</f>
        <v>10</v>
      </c>
      <c r="BH15" s="14">
        <f ca="1">COUNTIF(OFFSET(BH$32,0,0,COUNT(時間希望調査!$A:$A)),$B15)</f>
        <v>10</v>
      </c>
      <c r="BI15" s="14"/>
      <c r="BJ15" s="14"/>
      <c r="BK15" s="14"/>
      <c r="BL15" s="14"/>
      <c r="BM15" s="14"/>
      <c r="BN15" s="14"/>
      <c r="BO15" s="14"/>
      <c r="BP15" s="14"/>
      <c r="BQ15" s="14"/>
      <c r="BR15" s="14"/>
      <c r="BS15" s="14"/>
      <c r="BT15" s="14"/>
      <c r="BU15" s="14"/>
      <c r="BV15" s="14"/>
      <c r="BW15" s="14"/>
      <c r="BX15" s="14"/>
      <c r="BY15" s="14"/>
      <c r="BZ15" s="14"/>
      <c r="CA15" s="14"/>
      <c r="CB15" s="14"/>
      <c r="CC15" s="14"/>
      <c r="CD15" s="14"/>
      <c r="CE15" s="14"/>
      <c r="CF15" s="14"/>
      <c r="CG15" s="14"/>
      <c r="CH15" s="14"/>
      <c r="CI15" s="14"/>
      <c r="CJ15" s="14"/>
      <c r="CK15" s="14"/>
      <c r="CL15" s="14"/>
    </row>
    <row r="16" spans="2:91" hidden="1">
      <c r="B16" s="14" t="str">
        <f>役職一覧!B16&amp;""</f>
        <v/>
      </c>
      <c r="C16" s="14">
        <f>役職一覧!E16</f>
        <v>0</v>
      </c>
      <c r="D16" s="14">
        <f t="shared" si="5"/>
        <v>302</v>
      </c>
      <c r="E16" s="14">
        <f t="shared" si="5"/>
        <v>303</v>
      </c>
      <c r="F16" s="14">
        <f t="shared" si="5"/>
        <v>302</v>
      </c>
      <c r="G16" s="14">
        <f t="shared" si="5"/>
        <v>302</v>
      </c>
      <c r="H16" s="14">
        <f t="shared" si="5"/>
        <v>303</v>
      </c>
      <c r="I16" s="14">
        <f t="shared" si="5"/>
        <v>302</v>
      </c>
      <c r="J16" s="14">
        <f t="shared" si="5"/>
        <v>303</v>
      </c>
      <c r="K16" s="14">
        <f t="shared" si="5"/>
        <v>303</v>
      </c>
      <c r="L16" s="14">
        <f t="shared" si="5"/>
        <v>303</v>
      </c>
      <c r="M16" s="14">
        <f t="shared" si="5"/>
        <v>303</v>
      </c>
      <c r="N16" s="14">
        <f t="shared" si="5"/>
        <v>303</v>
      </c>
      <c r="O16" s="14">
        <f t="shared" si="9"/>
        <v>303</v>
      </c>
      <c r="P16" s="14">
        <f t="shared" si="9"/>
        <v>303</v>
      </c>
      <c r="Q16" s="14">
        <f t="shared" si="9"/>
        <v>303</v>
      </c>
      <c r="R16" s="14">
        <f t="shared" si="9"/>
        <v>303</v>
      </c>
      <c r="S16" s="14">
        <f t="shared" si="9"/>
        <v>303</v>
      </c>
      <c r="T16" s="14">
        <f t="shared" si="6"/>
        <v>303</v>
      </c>
      <c r="U16" s="14">
        <f t="shared" si="6"/>
        <v>303</v>
      </c>
      <c r="V16" s="14">
        <f t="shared" si="6"/>
        <v>303</v>
      </c>
      <c r="W16" s="14">
        <f t="shared" si="6"/>
        <v>303</v>
      </c>
      <c r="X16" s="14">
        <f t="shared" si="6"/>
        <v>303</v>
      </c>
      <c r="Y16" s="14">
        <f t="shared" si="6"/>
        <v>303</v>
      </c>
      <c r="Z16" s="14">
        <f t="shared" si="6"/>
        <v>303</v>
      </c>
      <c r="AA16" s="14">
        <f t="shared" si="6"/>
        <v>303</v>
      </c>
      <c r="AB16" s="14">
        <f t="shared" si="6"/>
        <v>303</v>
      </c>
      <c r="AC16" s="14">
        <f t="shared" si="6"/>
        <v>303</v>
      </c>
      <c r="AD16" s="14">
        <f t="shared" si="6"/>
        <v>303</v>
      </c>
      <c r="AE16" s="14">
        <f t="shared" si="7"/>
        <v>303</v>
      </c>
      <c r="AF16" s="14">
        <f t="shared" si="7"/>
        <v>303</v>
      </c>
      <c r="AG16" s="14">
        <f t="shared" si="7"/>
        <v>303</v>
      </c>
      <c r="AH16" s="14">
        <f t="shared" si="7"/>
        <v>303</v>
      </c>
      <c r="AI16" s="14">
        <f t="shared" si="7"/>
        <v>303</v>
      </c>
      <c r="AJ16" s="14">
        <f t="shared" si="7"/>
        <v>303</v>
      </c>
      <c r="AK16" s="14">
        <f t="shared" si="7"/>
        <v>303</v>
      </c>
      <c r="AL16" s="14">
        <f t="shared" si="7"/>
        <v>303</v>
      </c>
      <c r="AM16" s="14">
        <f t="shared" si="7"/>
        <v>303</v>
      </c>
      <c r="AN16" s="14">
        <f t="shared" si="7"/>
        <v>303</v>
      </c>
      <c r="AO16" s="14">
        <f t="shared" si="7"/>
        <v>303</v>
      </c>
      <c r="AP16" s="14">
        <f t="shared" si="7"/>
        <v>303</v>
      </c>
      <c r="AQ16" s="14">
        <f t="shared" si="7"/>
        <v>303</v>
      </c>
      <c r="AR16" s="14">
        <f t="shared" si="7"/>
        <v>303</v>
      </c>
      <c r="AS16" s="14">
        <f t="shared" si="7"/>
        <v>303</v>
      </c>
      <c r="AT16" s="14">
        <f t="shared" si="7"/>
        <v>303</v>
      </c>
      <c r="AU16" s="14">
        <f t="shared" si="8"/>
        <v>303</v>
      </c>
      <c r="AV16" s="14">
        <f t="shared" si="8"/>
        <v>303</v>
      </c>
      <c r="AW16" s="14">
        <f t="shared" si="8"/>
        <v>303</v>
      </c>
      <c r="AX16" s="14">
        <f t="shared" si="8"/>
        <v>303</v>
      </c>
      <c r="AY16" s="14">
        <f t="shared" si="8"/>
        <v>303</v>
      </c>
      <c r="AZ16" s="14">
        <f t="shared" si="8"/>
        <v>303</v>
      </c>
      <c r="BA16" s="14">
        <f t="shared" si="8"/>
        <v>303</v>
      </c>
      <c r="BB16" s="14"/>
      <c r="BC16" s="14"/>
      <c r="BD16" s="14">
        <f ca="1">COUNTIF(OFFSET(BD$32,0,0,COUNT(時間希望調査!$A:$A)),$B16)</f>
        <v>10</v>
      </c>
      <c r="BE16" s="14">
        <f ca="1">COUNTIF(OFFSET(BE$32,0,0,COUNT(時間希望調査!$A:$A)),$B16)</f>
        <v>10</v>
      </c>
      <c r="BF16" s="14">
        <f ca="1">COUNTIF(OFFSET(BF$32,0,0,COUNT(時間希望調査!$A:$A)),$B16)</f>
        <v>10</v>
      </c>
      <c r="BG16" s="14">
        <f ca="1">COUNTIF(OFFSET(BG$32,0,0,COUNT(時間希望調査!$A:$A)),$B16)</f>
        <v>10</v>
      </c>
      <c r="BH16" s="14">
        <f ca="1">COUNTIF(OFFSET(BH$32,0,0,COUNT(時間希望調査!$A:$A)),$B16)</f>
        <v>10</v>
      </c>
      <c r="BI16" s="14"/>
      <c r="BJ16" s="14"/>
      <c r="BK16" s="14"/>
      <c r="BL16" s="14"/>
      <c r="BM16" s="14"/>
      <c r="BN16" s="14"/>
      <c r="BO16" s="14"/>
      <c r="BP16" s="14"/>
      <c r="BQ16" s="14"/>
      <c r="BR16" s="14"/>
      <c r="BS16" s="14"/>
      <c r="BT16" s="14"/>
      <c r="BU16" s="14"/>
      <c r="BV16" s="14"/>
      <c r="BW16" s="14"/>
      <c r="BX16" s="14"/>
      <c r="BY16" s="14"/>
      <c r="BZ16" s="14"/>
      <c r="CA16" s="14"/>
      <c r="CB16" s="14"/>
      <c r="CC16" s="14"/>
      <c r="CD16" s="14"/>
      <c r="CE16" s="14"/>
      <c r="CF16" s="14"/>
      <c r="CG16" s="14"/>
      <c r="CH16" s="14"/>
      <c r="CI16" s="14"/>
      <c r="CJ16" s="14"/>
      <c r="CK16" s="14"/>
      <c r="CL16" s="14"/>
    </row>
    <row r="17" spans="1:91" hidden="1">
      <c r="B17" s="14" t="str">
        <f>役職一覧!B17&amp;""</f>
        <v/>
      </c>
      <c r="C17" s="14">
        <f>役職一覧!E17</f>
        <v>0</v>
      </c>
      <c r="D17" s="14">
        <f t="shared" ref="D17:N22" si="10">COUNTIF(D$32:D$334,$B17)</f>
        <v>302</v>
      </c>
      <c r="E17" s="14">
        <f t="shared" si="10"/>
        <v>303</v>
      </c>
      <c r="F17" s="14">
        <f t="shared" si="10"/>
        <v>302</v>
      </c>
      <c r="G17" s="14">
        <f t="shared" si="10"/>
        <v>302</v>
      </c>
      <c r="H17" s="14">
        <f t="shared" si="10"/>
        <v>303</v>
      </c>
      <c r="I17" s="14">
        <f t="shared" si="10"/>
        <v>302</v>
      </c>
      <c r="J17" s="14">
        <f t="shared" si="10"/>
        <v>303</v>
      </c>
      <c r="K17" s="14">
        <f t="shared" si="10"/>
        <v>303</v>
      </c>
      <c r="L17" s="14">
        <f t="shared" si="10"/>
        <v>303</v>
      </c>
      <c r="M17" s="14">
        <f t="shared" si="10"/>
        <v>303</v>
      </c>
      <c r="N17" s="14">
        <f t="shared" si="10"/>
        <v>303</v>
      </c>
      <c r="O17" s="14">
        <f t="shared" si="9"/>
        <v>303</v>
      </c>
      <c r="P17" s="14">
        <f t="shared" si="9"/>
        <v>303</v>
      </c>
      <c r="Q17" s="14">
        <f t="shared" si="9"/>
        <v>303</v>
      </c>
      <c r="R17" s="14">
        <f t="shared" si="9"/>
        <v>303</v>
      </c>
      <c r="S17" s="14">
        <f t="shared" si="9"/>
        <v>303</v>
      </c>
      <c r="T17" s="14">
        <f t="shared" si="6"/>
        <v>303</v>
      </c>
      <c r="U17" s="14">
        <f t="shared" si="6"/>
        <v>303</v>
      </c>
      <c r="V17" s="14">
        <f t="shared" si="6"/>
        <v>303</v>
      </c>
      <c r="W17" s="14">
        <f t="shared" si="6"/>
        <v>303</v>
      </c>
      <c r="X17" s="14">
        <f t="shared" si="6"/>
        <v>303</v>
      </c>
      <c r="Y17" s="14">
        <f t="shared" si="6"/>
        <v>303</v>
      </c>
      <c r="Z17" s="14">
        <f t="shared" si="6"/>
        <v>303</v>
      </c>
      <c r="AA17" s="14">
        <f t="shared" si="6"/>
        <v>303</v>
      </c>
      <c r="AB17" s="14">
        <f t="shared" si="6"/>
        <v>303</v>
      </c>
      <c r="AC17" s="14">
        <f t="shared" si="6"/>
        <v>303</v>
      </c>
      <c r="AD17" s="14">
        <f t="shared" si="6"/>
        <v>303</v>
      </c>
      <c r="AE17" s="14">
        <f t="shared" si="7"/>
        <v>303</v>
      </c>
      <c r="AF17" s="14">
        <f t="shared" si="7"/>
        <v>303</v>
      </c>
      <c r="AG17" s="14">
        <f t="shared" si="7"/>
        <v>303</v>
      </c>
      <c r="AH17" s="14">
        <f t="shared" si="7"/>
        <v>303</v>
      </c>
      <c r="AI17" s="14">
        <f t="shared" si="7"/>
        <v>303</v>
      </c>
      <c r="AJ17" s="14">
        <f t="shared" si="7"/>
        <v>303</v>
      </c>
      <c r="AK17" s="14">
        <f t="shared" si="7"/>
        <v>303</v>
      </c>
      <c r="AL17" s="14">
        <f t="shared" si="7"/>
        <v>303</v>
      </c>
      <c r="AM17" s="14">
        <f t="shared" si="7"/>
        <v>303</v>
      </c>
      <c r="AN17" s="14">
        <f t="shared" si="7"/>
        <v>303</v>
      </c>
      <c r="AO17" s="14">
        <f t="shared" si="7"/>
        <v>303</v>
      </c>
      <c r="AP17" s="14">
        <f t="shared" si="7"/>
        <v>303</v>
      </c>
      <c r="AQ17" s="14">
        <f t="shared" si="7"/>
        <v>303</v>
      </c>
      <c r="AR17" s="14">
        <f t="shared" si="7"/>
        <v>303</v>
      </c>
      <c r="AS17" s="14">
        <f t="shared" si="7"/>
        <v>303</v>
      </c>
      <c r="AT17" s="14">
        <f t="shared" si="7"/>
        <v>303</v>
      </c>
      <c r="AU17" s="14">
        <f t="shared" si="8"/>
        <v>303</v>
      </c>
      <c r="AV17" s="14">
        <f t="shared" si="8"/>
        <v>303</v>
      </c>
      <c r="AW17" s="14">
        <f t="shared" si="8"/>
        <v>303</v>
      </c>
      <c r="AX17" s="14">
        <f t="shared" si="8"/>
        <v>303</v>
      </c>
      <c r="AY17" s="14">
        <f t="shared" si="8"/>
        <v>303</v>
      </c>
      <c r="AZ17" s="14">
        <f t="shared" si="8"/>
        <v>303</v>
      </c>
      <c r="BA17" s="14">
        <f t="shared" si="8"/>
        <v>303</v>
      </c>
      <c r="BB17" s="14"/>
      <c r="BC17" s="14"/>
      <c r="BD17" s="14">
        <f ca="1">COUNTIF(OFFSET(BD$32,0,0,COUNT(時間希望調査!$A:$A)),$B17)</f>
        <v>10</v>
      </c>
      <c r="BE17" s="14">
        <f ca="1">COUNTIF(OFFSET(BE$32,0,0,COUNT(時間希望調査!$A:$A)),$B17)</f>
        <v>10</v>
      </c>
      <c r="BF17" s="14">
        <f ca="1">COUNTIF(OFFSET(BF$32,0,0,COUNT(時間希望調査!$A:$A)),$B17)</f>
        <v>10</v>
      </c>
      <c r="BG17" s="14">
        <f ca="1">COUNTIF(OFFSET(BG$32,0,0,COUNT(時間希望調査!$A:$A)),$B17)</f>
        <v>10</v>
      </c>
      <c r="BH17" s="14">
        <f ca="1">COUNTIF(OFFSET(BH$32,0,0,COUNT(時間希望調査!$A:$A)),$B17)</f>
        <v>10</v>
      </c>
      <c r="BI17" s="14"/>
      <c r="BJ17" s="14"/>
      <c r="BK17" s="14"/>
      <c r="BL17" s="14"/>
      <c r="BM17" s="14"/>
      <c r="BN17" s="14"/>
      <c r="BO17" s="14"/>
      <c r="BP17" s="14"/>
      <c r="BQ17" s="14"/>
      <c r="BR17" s="14"/>
      <c r="BS17" s="14"/>
      <c r="BT17" s="14"/>
      <c r="BU17" s="14"/>
      <c r="BV17" s="14"/>
      <c r="BW17" s="14"/>
      <c r="BX17" s="14"/>
      <c r="BY17" s="14"/>
      <c r="BZ17" s="14"/>
      <c r="CA17" s="14"/>
      <c r="CB17" s="14"/>
      <c r="CC17" s="14"/>
      <c r="CD17" s="14"/>
      <c r="CE17" s="14"/>
      <c r="CF17" s="14"/>
      <c r="CG17" s="14"/>
      <c r="CH17" s="14"/>
      <c r="CI17" s="14"/>
      <c r="CJ17" s="14"/>
      <c r="CK17" s="14"/>
      <c r="CL17" s="14"/>
    </row>
    <row r="18" spans="1:91" hidden="1">
      <c r="B18" s="14" t="str">
        <f>役職一覧!B18&amp;""</f>
        <v/>
      </c>
      <c r="C18" s="14">
        <f>役職一覧!E18</f>
        <v>0</v>
      </c>
      <c r="D18" s="14">
        <f t="shared" si="10"/>
        <v>302</v>
      </c>
      <c r="E18" s="14">
        <f t="shared" si="10"/>
        <v>303</v>
      </c>
      <c r="F18" s="14">
        <f t="shared" si="10"/>
        <v>302</v>
      </c>
      <c r="G18" s="14">
        <f t="shared" si="10"/>
        <v>302</v>
      </c>
      <c r="H18" s="14">
        <f t="shared" si="10"/>
        <v>303</v>
      </c>
      <c r="I18" s="14">
        <f t="shared" si="10"/>
        <v>302</v>
      </c>
      <c r="J18" s="14">
        <f t="shared" si="10"/>
        <v>303</v>
      </c>
      <c r="K18" s="14">
        <f t="shared" si="10"/>
        <v>303</v>
      </c>
      <c r="L18" s="14">
        <f t="shared" si="10"/>
        <v>303</v>
      </c>
      <c r="M18" s="14">
        <f t="shared" si="10"/>
        <v>303</v>
      </c>
      <c r="N18" s="14">
        <f t="shared" si="10"/>
        <v>303</v>
      </c>
      <c r="O18" s="14">
        <f t="shared" si="9"/>
        <v>303</v>
      </c>
      <c r="P18" s="14">
        <f t="shared" si="9"/>
        <v>303</v>
      </c>
      <c r="Q18" s="14">
        <f t="shared" si="9"/>
        <v>303</v>
      </c>
      <c r="R18" s="14">
        <f t="shared" si="9"/>
        <v>303</v>
      </c>
      <c r="S18" s="14">
        <f t="shared" si="9"/>
        <v>303</v>
      </c>
      <c r="T18" s="14">
        <f t="shared" si="6"/>
        <v>303</v>
      </c>
      <c r="U18" s="14">
        <f t="shared" si="6"/>
        <v>303</v>
      </c>
      <c r="V18" s="14">
        <f t="shared" si="6"/>
        <v>303</v>
      </c>
      <c r="W18" s="14">
        <f t="shared" si="6"/>
        <v>303</v>
      </c>
      <c r="X18" s="14">
        <f t="shared" si="6"/>
        <v>303</v>
      </c>
      <c r="Y18" s="14">
        <f t="shared" si="6"/>
        <v>303</v>
      </c>
      <c r="Z18" s="14">
        <f t="shared" si="6"/>
        <v>303</v>
      </c>
      <c r="AA18" s="14">
        <f t="shared" si="6"/>
        <v>303</v>
      </c>
      <c r="AB18" s="14">
        <f t="shared" si="6"/>
        <v>303</v>
      </c>
      <c r="AC18" s="14">
        <f t="shared" si="6"/>
        <v>303</v>
      </c>
      <c r="AD18" s="14">
        <f t="shared" si="6"/>
        <v>303</v>
      </c>
      <c r="AE18" s="14">
        <f t="shared" si="7"/>
        <v>303</v>
      </c>
      <c r="AF18" s="14">
        <f t="shared" si="7"/>
        <v>303</v>
      </c>
      <c r="AG18" s="14">
        <f t="shared" si="7"/>
        <v>303</v>
      </c>
      <c r="AH18" s="14">
        <f t="shared" si="7"/>
        <v>303</v>
      </c>
      <c r="AI18" s="14">
        <f t="shared" si="7"/>
        <v>303</v>
      </c>
      <c r="AJ18" s="14">
        <f t="shared" si="7"/>
        <v>303</v>
      </c>
      <c r="AK18" s="14">
        <f t="shared" si="7"/>
        <v>303</v>
      </c>
      <c r="AL18" s="14">
        <f t="shared" si="7"/>
        <v>303</v>
      </c>
      <c r="AM18" s="14">
        <f t="shared" si="7"/>
        <v>303</v>
      </c>
      <c r="AN18" s="14">
        <f t="shared" si="7"/>
        <v>303</v>
      </c>
      <c r="AO18" s="14">
        <f t="shared" si="7"/>
        <v>303</v>
      </c>
      <c r="AP18" s="14">
        <f t="shared" si="7"/>
        <v>303</v>
      </c>
      <c r="AQ18" s="14">
        <f t="shared" si="7"/>
        <v>303</v>
      </c>
      <c r="AR18" s="14">
        <f t="shared" si="7"/>
        <v>303</v>
      </c>
      <c r="AS18" s="14">
        <f t="shared" si="7"/>
        <v>303</v>
      </c>
      <c r="AT18" s="14">
        <f t="shared" si="7"/>
        <v>303</v>
      </c>
      <c r="AU18" s="14">
        <f t="shared" si="8"/>
        <v>303</v>
      </c>
      <c r="AV18" s="14">
        <f t="shared" si="8"/>
        <v>303</v>
      </c>
      <c r="AW18" s="14">
        <f t="shared" si="8"/>
        <v>303</v>
      </c>
      <c r="AX18" s="14">
        <f t="shared" si="8"/>
        <v>303</v>
      </c>
      <c r="AY18" s="14">
        <f t="shared" si="8"/>
        <v>303</v>
      </c>
      <c r="AZ18" s="14">
        <f t="shared" si="8"/>
        <v>303</v>
      </c>
      <c r="BA18" s="14">
        <f t="shared" si="8"/>
        <v>303</v>
      </c>
      <c r="BB18" s="14"/>
      <c r="BC18" s="14"/>
      <c r="BD18" s="14">
        <f ca="1">COUNTIF(OFFSET(BD$32,0,0,COUNT(時間希望調査!$A:$A)),$B18)</f>
        <v>10</v>
      </c>
      <c r="BE18" s="14">
        <f ca="1">COUNTIF(OFFSET(BE$32,0,0,COUNT(時間希望調査!$A:$A)),$B18)</f>
        <v>10</v>
      </c>
      <c r="BF18" s="14">
        <f ca="1">COUNTIF(OFFSET(BF$32,0,0,COUNT(時間希望調査!$A:$A)),$B18)</f>
        <v>10</v>
      </c>
      <c r="BG18" s="14">
        <f ca="1">COUNTIF(OFFSET(BG$32,0,0,COUNT(時間希望調査!$A:$A)),$B18)</f>
        <v>10</v>
      </c>
      <c r="BH18" s="14">
        <f ca="1">COUNTIF(OFFSET(BH$32,0,0,COUNT(時間希望調査!$A:$A)),$B18)</f>
        <v>10</v>
      </c>
      <c r="BI18" s="14"/>
      <c r="BJ18" s="14"/>
      <c r="BK18" s="14"/>
      <c r="BL18" s="14"/>
      <c r="BM18" s="14"/>
      <c r="BN18" s="14"/>
      <c r="BO18" s="14"/>
      <c r="BP18" s="14"/>
      <c r="BQ18" s="14"/>
      <c r="BR18" s="14"/>
      <c r="BS18" s="14"/>
      <c r="BT18" s="14"/>
      <c r="BU18" s="14"/>
      <c r="BV18" s="14"/>
      <c r="BW18" s="14"/>
      <c r="BX18" s="14"/>
      <c r="BY18" s="14"/>
      <c r="BZ18" s="14"/>
      <c r="CA18" s="14"/>
      <c r="CB18" s="14"/>
      <c r="CC18" s="14"/>
      <c r="CD18" s="14"/>
      <c r="CE18" s="14"/>
      <c r="CF18" s="14"/>
      <c r="CG18" s="14"/>
      <c r="CH18" s="14"/>
      <c r="CI18" s="14"/>
      <c r="CJ18" s="14"/>
      <c r="CK18" s="14"/>
      <c r="CL18" s="14"/>
    </row>
    <row r="19" spans="1:91" hidden="1">
      <c r="B19" s="14" t="str">
        <f>役職一覧!B19&amp;""</f>
        <v/>
      </c>
      <c r="C19" s="14">
        <f>役職一覧!E19</f>
        <v>0</v>
      </c>
      <c r="D19" s="14">
        <f t="shared" si="10"/>
        <v>302</v>
      </c>
      <c r="E19" s="14">
        <f t="shared" si="10"/>
        <v>303</v>
      </c>
      <c r="F19" s="14">
        <f t="shared" si="10"/>
        <v>302</v>
      </c>
      <c r="G19" s="14">
        <f t="shared" si="10"/>
        <v>302</v>
      </c>
      <c r="H19" s="14">
        <f t="shared" si="10"/>
        <v>303</v>
      </c>
      <c r="I19" s="14">
        <f t="shared" si="10"/>
        <v>302</v>
      </c>
      <c r="J19" s="14">
        <f t="shared" si="10"/>
        <v>303</v>
      </c>
      <c r="K19" s="14">
        <f t="shared" si="10"/>
        <v>303</v>
      </c>
      <c r="L19" s="14">
        <f t="shared" si="10"/>
        <v>303</v>
      </c>
      <c r="M19" s="14">
        <f t="shared" si="10"/>
        <v>303</v>
      </c>
      <c r="N19" s="14">
        <f t="shared" si="10"/>
        <v>303</v>
      </c>
      <c r="O19" s="14">
        <f t="shared" si="9"/>
        <v>303</v>
      </c>
      <c r="P19" s="14">
        <f t="shared" si="9"/>
        <v>303</v>
      </c>
      <c r="Q19" s="14">
        <f t="shared" si="9"/>
        <v>303</v>
      </c>
      <c r="R19" s="14">
        <f t="shared" si="9"/>
        <v>303</v>
      </c>
      <c r="S19" s="14">
        <f t="shared" si="9"/>
        <v>303</v>
      </c>
      <c r="T19" s="14">
        <f t="shared" si="6"/>
        <v>303</v>
      </c>
      <c r="U19" s="14">
        <f t="shared" si="6"/>
        <v>303</v>
      </c>
      <c r="V19" s="14">
        <f t="shared" si="6"/>
        <v>303</v>
      </c>
      <c r="W19" s="14">
        <f t="shared" si="6"/>
        <v>303</v>
      </c>
      <c r="X19" s="14">
        <f t="shared" si="6"/>
        <v>303</v>
      </c>
      <c r="Y19" s="14">
        <f t="shared" si="6"/>
        <v>303</v>
      </c>
      <c r="Z19" s="14">
        <f t="shared" si="6"/>
        <v>303</v>
      </c>
      <c r="AA19" s="14">
        <f t="shared" si="6"/>
        <v>303</v>
      </c>
      <c r="AB19" s="14">
        <f t="shared" si="6"/>
        <v>303</v>
      </c>
      <c r="AC19" s="14">
        <f t="shared" si="6"/>
        <v>303</v>
      </c>
      <c r="AD19" s="14">
        <f t="shared" si="6"/>
        <v>303</v>
      </c>
      <c r="AE19" s="14">
        <f t="shared" si="7"/>
        <v>303</v>
      </c>
      <c r="AF19" s="14">
        <f t="shared" si="7"/>
        <v>303</v>
      </c>
      <c r="AG19" s="14">
        <f t="shared" si="7"/>
        <v>303</v>
      </c>
      <c r="AH19" s="14">
        <f t="shared" si="7"/>
        <v>303</v>
      </c>
      <c r="AI19" s="14">
        <f t="shared" si="7"/>
        <v>303</v>
      </c>
      <c r="AJ19" s="14">
        <f t="shared" si="7"/>
        <v>303</v>
      </c>
      <c r="AK19" s="14">
        <f t="shared" si="7"/>
        <v>303</v>
      </c>
      <c r="AL19" s="14">
        <f t="shared" si="7"/>
        <v>303</v>
      </c>
      <c r="AM19" s="14">
        <f t="shared" si="7"/>
        <v>303</v>
      </c>
      <c r="AN19" s="14">
        <f t="shared" si="7"/>
        <v>303</v>
      </c>
      <c r="AO19" s="14">
        <f t="shared" si="7"/>
        <v>303</v>
      </c>
      <c r="AP19" s="14">
        <f t="shared" si="7"/>
        <v>303</v>
      </c>
      <c r="AQ19" s="14">
        <f t="shared" si="7"/>
        <v>303</v>
      </c>
      <c r="AR19" s="14">
        <f t="shared" si="7"/>
        <v>303</v>
      </c>
      <c r="AS19" s="14">
        <f t="shared" si="7"/>
        <v>303</v>
      </c>
      <c r="AT19" s="14">
        <f t="shared" si="7"/>
        <v>303</v>
      </c>
      <c r="AU19" s="14">
        <f t="shared" si="8"/>
        <v>303</v>
      </c>
      <c r="AV19" s="14">
        <f t="shared" si="8"/>
        <v>303</v>
      </c>
      <c r="AW19" s="14">
        <f t="shared" si="8"/>
        <v>303</v>
      </c>
      <c r="AX19" s="14">
        <f t="shared" si="8"/>
        <v>303</v>
      </c>
      <c r="AY19" s="14">
        <f t="shared" si="8"/>
        <v>303</v>
      </c>
      <c r="AZ19" s="14">
        <f t="shared" si="8"/>
        <v>303</v>
      </c>
      <c r="BA19" s="14">
        <f t="shared" si="8"/>
        <v>303</v>
      </c>
      <c r="BB19" s="14"/>
      <c r="BC19" s="14"/>
      <c r="BD19" s="14">
        <f ca="1">COUNTIF(OFFSET(BD$32,0,0,COUNT(時間希望調査!$A:$A)),$B19)</f>
        <v>10</v>
      </c>
      <c r="BE19" s="14">
        <f ca="1">COUNTIF(OFFSET(BE$32,0,0,COUNT(時間希望調査!$A:$A)),$B19)</f>
        <v>10</v>
      </c>
      <c r="BF19" s="14">
        <f ca="1">COUNTIF(OFFSET(BF$32,0,0,COUNT(時間希望調査!$A:$A)),$B19)</f>
        <v>10</v>
      </c>
      <c r="BG19" s="14">
        <f ca="1">COUNTIF(OFFSET(BG$32,0,0,COUNT(時間希望調査!$A:$A)),$B19)</f>
        <v>10</v>
      </c>
      <c r="BH19" s="14">
        <f ca="1">COUNTIF(OFFSET(BH$32,0,0,COUNT(時間希望調査!$A:$A)),$B19)</f>
        <v>10</v>
      </c>
      <c r="BI19" s="14"/>
      <c r="BJ19" s="14"/>
      <c r="BK19" s="14"/>
      <c r="BL19" s="14"/>
      <c r="BM19" s="14"/>
      <c r="BN19" s="14"/>
      <c r="BO19" s="14"/>
      <c r="BP19" s="14"/>
      <c r="BQ19" s="14"/>
      <c r="BR19" s="14"/>
      <c r="BS19" s="14"/>
      <c r="BT19" s="14"/>
      <c r="BU19" s="14"/>
      <c r="BV19" s="14"/>
      <c r="BW19" s="14"/>
      <c r="BX19" s="14"/>
      <c r="BY19" s="14"/>
      <c r="BZ19" s="14"/>
      <c r="CA19" s="14"/>
      <c r="CB19" s="14"/>
      <c r="CC19" s="14"/>
      <c r="CD19" s="14"/>
      <c r="CE19" s="14"/>
      <c r="CF19" s="14"/>
      <c r="CG19" s="14"/>
      <c r="CH19" s="14"/>
      <c r="CI19" s="14"/>
      <c r="CJ19" s="14"/>
      <c r="CK19" s="14"/>
      <c r="CL19" s="14"/>
    </row>
    <row r="20" spans="1:91" hidden="1">
      <c r="B20" s="14" t="str">
        <f>役職一覧!B20&amp;""</f>
        <v/>
      </c>
      <c r="C20" s="14">
        <f>役職一覧!E20</f>
        <v>0</v>
      </c>
      <c r="D20" s="14">
        <f t="shared" si="10"/>
        <v>302</v>
      </c>
      <c r="E20" s="14">
        <f t="shared" si="10"/>
        <v>303</v>
      </c>
      <c r="F20" s="14">
        <f t="shared" si="10"/>
        <v>302</v>
      </c>
      <c r="G20" s="14">
        <f t="shared" si="10"/>
        <v>302</v>
      </c>
      <c r="H20" s="14">
        <f t="shared" si="10"/>
        <v>303</v>
      </c>
      <c r="I20" s="14">
        <f t="shared" si="10"/>
        <v>302</v>
      </c>
      <c r="J20" s="14">
        <f t="shared" si="10"/>
        <v>303</v>
      </c>
      <c r="K20" s="14">
        <f t="shared" si="10"/>
        <v>303</v>
      </c>
      <c r="L20" s="14">
        <f t="shared" si="10"/>
        <v>303</v>
      </c>
      <c r="M20" s="14">
        <f t="shared" si="10"/>
        <v>303</v>
      </c>
      <c r="N20" s="14">
        <f t="shared" si="10"/>
        <v>303</v>
      </c>
      <c r="O20" s="14">
        <f t="shared" si="9"/>
        <v>303</v>
      </c>
      <c r="P20" s="14">
        <f t="shared" si="9"/>
        <v>303</v>
      </c>
      <c r="Q20" s="14">
        <f t="shared" si="9"/>
        <v>303</v>
      </c>
      <c r="R20" s="14">
        <f t="shared" si="9"/>
        <v>303</v>
      </c>
      <c r="S20" s="14">
        <f t="shared" si="9"/>
        <v>303</v>
      </c>
      <c r="T20" s="14">
        <f t="shared" si="6"/>
        <v>303</v>
      </c>
      <c r="U20" s="14">
        <f t="shared" si="6"/>
        <v>303</v>
      </c>
      <c r="V20" s="14">
        <f t="shared" si="6"/>
        <v>303</v>
      </c>
      <c r="W20" s="14">
        <f t="shared" si="6"/>
        <v>303</v>
      </c>
      <c r="X20" s="14">
        <f t="shared" si="6"/>
        <v>303</v>
      </c>
      <c r="Y20" s="14">
        <f t="shared" si="6"/>
        <v>303</v>
      </c>
      <c r="Z20" s="14">
        <f t="shared" si="6"/>
        <v>303</v>
      </c>
      <c r="AA20" s="14">
        <f t="shared" si="6"/>
        <v>303</v>
      </c>
      <c r="AB20" s="14">
        <f t="shared" si="6"/>
        <v>303</v>
      </c>
      <c r="AC20" s="14">
        <f t="shared" si="6"/>
        <v>303</v>
      </c>
      <c r="AD20" s="14">
        <f t="shared" si="6"/>
        <v>303</v>
      </c>
      <c r="AE20" s="14">
        <f t="shared" si="7"/>
        <v>303</v>
      </c>
      <c r="AF20" s="14">
        <f t="shared" si="7"/>
        <v>303</v>
      </c>
      <c r="AG20" s="14">
        <f t="shared" si="7"/>
        <v>303</v>
      </c>
      <c r="AH20" s="14">
        <f t="shared" si="7"/>
        <v>303</v>
      </c>
      <c r="AI20" s="14">
        <f t="shared" si="7"/>
        <v>303</v>
      </c>
      <c r="AJ20" s="14">
        <f t="shared" si="7"/>
        <v>303</v>
      </c>
      <c r="AK20" s="14">
        <f t="shared" si="7"/>
        <v>303</v>
      </c>
      <c r="AL20" s="14">
        <f t="shared" si="7"/>
        <v>303</v>
      </c>
      <c r="AM20" s="14">
        <f t="shared" si="7"/>
        <v>303</v>
      </c>
      <c r="AN20" s="14">
        <f t="shared" si="7"/>
        <v>303</v>
      </c>
      <c r="AO20" s="14">
        <f t="shared" si="7"/>
        <v>303</v>
      </c>
      <c r="AP20" s="14">
        <f t="shared" si="7"/>
        <v>303</v>
      </c>
      <c r="AQ20" s="14">
        <f t="shared" si="7"/>
        <v>303</v>
      </c>
      <c r="AR20" s="14">
        <f t="shared" si="7"/>
        <v>303</v>
      </c>
      <c r="AS20" s="14">
        <f t="shared" si="7"/>
        <v>303</v>
      </c>
      <c r="AT20" s="14">
        <f t="shared" si="7"/>
        <v>303</v>
      </c>
      <c r="AU20" s="14">
        <f t="shared" si="8"/>
        <v>303</v>
      </c>
      <c r="AV20" s="14">
        <f t="shared" si="8"/>
        <v>303</v>
      </c>
      <c r="AW20" s="14">
        <f t="shared" si="8"/>
        <v>303</v>
      </c>
      <c r="AX20" s="14">
        <f t="shared" si="8"/>
        <v>303</v>
      </c>
      <c r="AY20" s="14">
        <f t="shared" si="8"/>
        <v>303</v>
      </c>
      <c r="AZ20" s="14">
        <f t="shared" si="8"/>
        <v>303</v>
      </c>
      <c r="BA20" s="14">
        <f t="shared" si="8"/>
        <v>303</v>
      </c>
      <c r="BB20" s="14"/>
      <c r="BC20" s="14"/>
      <c r="BD20" s="14">
        <f ca="1">COUNTIF(OFFSET(BD$32,0,0,COUNT(時間希望調査!$A:$A)),$B20)</f>
        <v>10</v>
      </c>
      <c r="BE20" s="14">
        <f ca="1">COUNTIF(OFFSET(BE$32,0,0,COUNT(時間希望調査!$A:$A)),$B20)</f>
        <v>10</v>
      </c>
      <c r="BF20" s="14">
        <f ca="1">COUNTIF(OFFSET(BF$32,0,0,COUNT(時間希望調査!$A:$A)),$B20)</f>
        <v>10</v>
      </c>
      <c r="BG20" s="14">
        <f ca="1">COUNTIF(OFFSET(BG$32,0,0,COUNT(時間希望調査!$A:$A)),$B20)</f>
        <v>10</v>
      </c>
      <c r="BH20" s="14">
        <f ca="1">COUNTIF(OFFSET(BH$32,0,0,COUNT(時間希望調査!$A:$A)),$B20)</f>
        <v>10</v>
      </c>
      <c r="BI20" s="14"/>
      <c r="BJ20" s="14"/>
      <c r="BK20" s="14"/>
      <c r="BL20" s="14"/>
      <c r="BM20" s="14"/>
      <c r="BN20" s="14"/>
      <c r="BO20" s="14"/>
      <c r="BP20" s="14"/>
      <c r="BQ20" s="14"/>
      <c r="BR20" s="14"/>
      <c r="BS20" s="14"/>
      <c r="BT20" s="14"/>
      <c r="BU20" s="14"/>
      <c r="BV20" s="14"/>
      <c r="BW20" s="14"/>
      <c r="BX20" s="14"/>
      <c r="BY20" s="14"/>
      <c r="BZ20" s="14"/>
      <c r="CA20" s="14"/>
      <c r="CB20" s="14"/>
      <c r="CC20" s="14"/>
      <c r="CD20" s="14"/>
      <c r="CE20" s="14"/>
      <c r="CF20" s="14"/>
      <c r="CG20" s="14"/>
      <c r="CH20" s="14"/>
      <c r="CI20" s="14"/>
      <c r="CJ20" s="14"/>
      <c r="CK20" s="14"/>
      <c r="CL20" s="14"/>
    </row>
    <row r="21" spans="1:91" hidden="1">
      <c r="B21" s="14" t="str">
        <f>役職一覧!B21&amp;""</f>
        <v/>
      </c>
      <c r="C21" s="14">
        <f>役職一覧!E21</f>
        <v>0</v>
      </c>
      <c r="D21" s="14">
        <f t="shared" si="10"/>
        <v>302</v>
      </c>
      <c r="E21" s="14">
        <f t="shared" si="10"/>
        <v>303</v>
      </c>
      <c r="F21" s="14">
        <f t="shared" si="10"/>
        <v>302</v>
      </c>
      <c r="G21" s="14">
        <f t="shared" si="10"/>
        <v>302</v>
      </c>
      <c r="H21" s="14">
        <f t="shared" si="10"/>
        <v>303</v>
      </c>
      <c r="I21" s="14">
        <f t="shared" si="10"/>
        <v>302</v>
      </c>
      <c r="J21" s="14">
        <f t="shared" si="10"/>
        <v>303</v>
      </c>
      <c r="K21" s="14">
        <f t="shared" si="10"/>
        <v>303</v>
      </c>
      <c r="L21" s="14">
        <f t="shared" si="10"/>
        <v>303</v>
      </c>
      <c r="M21" s="14">
        <f t="shared" si="10"/>
        <v>303</v>
      </c>
      <c r="N21" s="14">
        <f t="shared" si="10"/>
        <v>303</v>
      </c>
      <c r="O21" s="14">
        <f t="shared" si="9"/>
        <v>303</v>
      </c>
      <c r="P21" s="14">
        <f t="shared" si="9"/>
        <v>303</v>
      </c>
      <c r="Q21" s="14">
        <f t="shared" si="9"/>
        <v>303</v>
      </c>
      <c r="R21" s="14">
        <f t="shared" si="9"/>
        <v>303</v>
      </c>
      <c r="S21" s="14">
        <f t="shared" si="9"/>
        <v>303</v>
      </c>
      <c r="T21" s="14">
        <f t="shared" si="6"/>
        <v>303</v>
      </c>
      <c r="U21" s="14">
        <f t="shared" si="6"/>
        <v>303</v>
      </c>
      <c r="V21" s="14">
        <f t="shared" si="6"/>
        <v>303</v>
      </c>
      <c r="W21" s="14">
        <f t="shared" si="6"/>
        <v>303</v>
      </c>
      <c r="X21" s="14">
        <f t="shared" si="6"/>
        <v>303</v>
      </c>
      <c r="Y21" s="14">
        <f t="shared" si="6"/>
        <v>303</v>
      </c>
      <c r="Z21" s="14">
        <f t="shared" si="6"/>
        <v>303</v>
      </c>
      <c r="AA21" s="14">
        <f t="shared" si="6"/>
        <v>303</v>
      </c>
      <c r="AB21" s="14">
        <f t="shared" si="6"/>
        <v>303</v>
      </c>
      <c r="AC21" s="14">
        <f t="shared" si="6"/>
        <v>303</v>
      </c>
      <c r="AD21" s="14">
        <f t="shared" si="6"/>
        <v>303</v>
      </c>
      <c r="AE21" s="14">
        <f t="shared" si="7"/>
        <v>303</v>
      </c>
      <c r="AF21" s="14">
        <f t="shared" si="7"/>
        <v>303</v>
      </c>
      <c r="AG21" s="14">
        <f t="shared" si="7"/>
        <v>303</v>
      </c>
      <c r="AH21" s="14">
        <f t="shared" si="7"/>
        <v>303</v>
      </c>
      <c r="AI21" s="14">
        <f t="shared" si="7"/>
        <v>303</v>
      </c>
      <c r="AJ21" s="14">
        <f t="shared" si="7"/>
        <v>303</v>
      </c>
      <c r="AK21" s="14">
        <f t="shared" si="7"/>
        <v>303</v>
      </c>
      <c r="AL21" s="14">
        <f t="shared" si="7"/>
        <v>303</v>
      </c>
      <c r="AM21" s="14">
        <f t="shared" si="7"/>
        <v>303</v>
      </c>
      <c r="AN21" s="14">
        <f t="shared" si="7"/>
        <v>303</v>
      </c>
      <c r="AO21" s="14">
        <f t="shared" si="7"/>
        <v>303</v>
      </c>
      <c r="AP21" s="14">
        <f t="shared" si="7"/>
        <v>303</v>
      </c>
      <c r="AQ21" s="14">
        <f t="shared" si="7"/>
        <v>303</v>
      </c>
      <c r="AR21" s="14">
        <f t="shared" si="7"/>
        <v>303</v>
      </c>
      <c r="AS21" s="14">
        <f t="shared" si="7"/>
        <v>303</v>
      </c>
      <c r="AT21" s="14">
        <f t="shared" si="7"/>
        <v>303</v>
      </c>
      <c r="AU21" s="14">
        <f t="shared" si="8"/>
        <v>303</v>
      </c>
      <c r="AV21" s="14">
        <f t="shared" si="8"/>
        <v>303</v>
      </c>
      <c r="AW21" s="14">
        <f t="shared" si="8"/>
        <v>303</v>
      </c>
      <c r="AX21" s="14">
        <f t="shared" si="8"/>
        <v>303</v>
      </c>
      <c r="AY21" s="14">
        <f t="shared" si="8"/>
        <v>303</v>
      </c>
      <c r="AZ21" s="14">
        <f t="shared" si="8"/>
        <v>303</v>
      </c>
      <c r="BA21" s="14">
        <f t="shared" si="8"/>
        <v>303</v>
      </c>
      <c r="BB21" s="14"/>
      <c r="BC21" s="14"/>
      <c r="BD21" s="14">
        <f ca="1">COUNTIF(OFFSET(BD$32,0,0,COUNT(時間希望調査!$A:$A)),$B21)</f>
        <v>10</v>
      </c>
      <c r="BE21" s="14">
        <f ca="1">COUNTIF(OFFSET(BE$32,0,0,COUNT(時間希望調査!$A:$A)),$B21)</f>
        <v>10</v>
      </c>
      <c r="BF21" s="14">
        <f ca="1">COUNTIF(OFFSET(BF$32,0,0,COUNT(時間希望調査!$A:$A)),$B21)</f>
        <v>10</v>
      </c>
      <c r="BG21" s="14">
        <f ca="1">COUNTIF(OFFSET(BG$32,0,0,COUNT(時間希望調査!$A:$A)),$B21)</f>
        <v>10</v>
      </c>
      <c r="BH21" s="14">
        <f ca="1">COUNTIF(OFFSET(BH$32,0,0,COUNT(時間希望調査!$A:$A)),$B21)</f>
        <v>10</v>
      </c>
      <c r="BI21" s="14"/>
      <c r="BJ21" s="14"/>
      <c r="BK21" s="14"/>
      <c r="BL21" s="14"/>
      <c r="BM21" s="14"/>
      <c r="BN21" s="14"/>
      <c r="BO21" s="14"/>
      <c r="BP21" s="14"/>
      <c r="BQ21" s="14"/>
      <c r="BR21" s="14"/>
      <c r="BS21" s="14"/>
      <c r="BT21" s="14"/>
      <c r="BU21" s="14"/>
      <c r="BV21" s="14"/>
      <c r="BW21" s="14"/>
      <c r="BX21" s="14"/>
      <c r="BY21" s="14"/>
      <c r="BZ21" s="14"/>
      <c r="CA21" s="14"/>
      <c r="CB21" s="14"/>
      <c r="CC21" s="14"/>
      <c r="CD21" s="14"/>
      <c r="CE21" s="14"/>
      <c r="CF21" s="14"/>
      <c r="CG21" s="14"/>
      <c r="CH21" s="14"/>
      <c r="CI21" s="14"/>
      <c r="CJ21" s="14"/>
      <c r="CK21" s="14"/>
      <c r="CL21" s="14"/>
    </row>
    <row r="22" spans="1:91" hidden="1">
      <c r="B22" s="14" t="str">
        <f>役職一覧!B22&amp;""</f>
        <v/>
      </c>
      <c r="C22" s="14">
        <f>役職一覧!E22</f>
        <v>0</v>
      </c>
      <c r="D22" s="14">
        <f t="shared" si="10"/>
        <v>302</v>
      </c>
      <c r="E22" s="14">
        <f t="shared" si="10"/>
        <v>303</v>
      </c>
      <c r="F22" s="14">
        <f t="shared" si="10"/>
        <v>302</v>
      </c>
      <c r="G22" s="14">
        <f t="shared" si="10"/>
        <v>302</v>
      </c>
      <c r="H22" s="14">
        <f t="shared" si="10"/>
        <v>303</v>
      </c>
      <c r="I22" s="14">
        <f t="shared" si="10"/>
        <v>302</v>
      </c>
      <c r="J22" s="14">
        <f t="shared" si="10"/>
        <v>303</v>
      </c>
      <c r="K22" s="14">
        <f t="shared" si="10"/>
        <v>303</v>
      </c>
      <c r="L22" s="14">
        <f t="shared" si="10"/>
        <v>303</v>
      </c>
      <c r="M22" s="14">
        <f t="shared" si="10"/>
        <v>303</v>
      </c>
      <c r="N22" s="14">
        <f t="shared" si="10"/>
        <v>303</v>
      </c>
      <c r="O22" s="14">
        <f t="shared" si="9"/>
        <v>303</v>
      </c>
      <c r="P22" s="14">
        <f t="shared" si="9"/>
        <v>303</v>
      </c>
      <c r="Q22" s="14">
        <f t="shared" si="9"/>
        <v>303</v>
      </c>
      <c r="R22" s="14">
        <f t="shared" si="9"/>
        <v>303</v>
      </c>
      <c r="S22" s="14">
        <f t="shared" si="9"/>
        <v>303</v>
      </c>
      <c r="T22" s="14">
        <f t="shared" si="6"/>
        <v>303</v>
      </c>
      <c r="U22" s="14">
        <f t="shared" si="6"/>
        <v>303</v>
      </c>
      <c r="V22" s="14">
        <f t="shared" si="6"/>
        <v>303</v>
      </c>
      <c r="W22" s="14">
        <f t="shared" si="6"/>
        <v>303</v>
      </c>
      <c r="X22" s="14">
        <f t="shared" si="6"/>
        <v>303</v>
      </c>
      <c r="Y22" s="14">
        <f t="shared" si="6"/>
        <v>303</v>
      </c>
      <c r="Z22" s="14">
        <f t="shared" si="6"/>
        <v>303</v>
      </c>
      <c r="AA22" s="14">
        <f t="shared" si="6"/>
        <v>303</v>
      </c>
      <c r="AB22" s="14">
        <f t="shared" si="6"/>
        <v>303</v>
      </c>
      <c r="AC22" s="14">
        <f t="shared" si="6"/>
        <v>303</v>
      </c>
      <c r="AD22" s="14">
        <f t="shared" si="6"/>
        <v>303</v>
      </c>
      <c r="AE22" s="14">
        <f t="shared" si="7"/>
        <v>303</v>
      </c>
      <c r="AF22" s="14">
        <f t="shared" si="7"/>
        <v>303</v>
      </c>
      <c r="AG22" s="14">
        <f t="shared" si="7"/>
        <v>303</v>
      </c>
      <c r="AH22" s="14">
        <f t="shared" si="7"/>
        <v>303</v>
      </c>
      <c r="AI22" s="14">
        <f t="shared" si="7"/>
        <v>303</v>
      </c>
      <c r="AJ22" s="14">
        <f t="shared" si="7"/>
        <v>303</v>
      </c>
      <c r="AK22" s="14">
        <f t="shared" si="7"/>
        <v>303</v>
      </c>
      <c r="AL22" s="14">
        <f t="shared" si="7"/>
        <v>303</v>
      </c>
      <c r="AM22" s="14">
        <f t="shared" si="7"/>
        <v>303</v>
      </c>
      <c r="AN22" s="14">
        <f t="shared" si="7"/>
        <v>303</v>
      </c>
      <c r="AO22" s="14">
        <f t="shared" si="7"/>
        <v>303</v>
      </c>
      <c r="AP22" s="14">
        <f t="shared" si="7"/>
        <v>303</v>
      </c>
      <c r="AQ22" s="14">
        <f t="shared" si="7"/>
        <v>303</v>
      </c>
      <c r="AR22" s="14">
        <f t="shared" si="7"/>
        <v>303</v>
      </c>
      <c r="AS22" s="14">
        <f t="shared" si="7"/>
        <v>303</v>
      </c>
      <c r="AT22" s="14">
        <f t="shared" ref="AT22:BA31" si="11">COUNTIF(AT$32:AT$334,$B22)</f>
        <v>303</v>
      </c>
      <c r="AU22" s="14">
        <f t="shared" si="11"/>
        <v>303</v>
      </c>
      <c r="AV22" s="14">
        <f t="shared" si="11"/>
        <v>303</v>
      </c>
      <c r="AW22" s="14">
        <f t="shared" si="11"/>
        <v>303</v>
      </c>
      <c r="AX22" s="14">
        <f t="shared" si="11"/>
        <v>303</v>
      </c>
      <c r="AY22" s="14">
        <f t="shared" si="11"/>
        <v>303</v>
      </c>
      <c r="AZ22" s="14">
        <f t="shared" si="11"/>
        <v>303</v>
      </c>
      <c r="BA22" s="14">
        <f t="shared" si="11"/>
        <v>303</v>
      </c>
      <c r="BB22" s="14"/>
      <c r="BC22" s="14"/>
      <c r="BD22" s="14">
        <f ca="1">COUNTIF(OFFSET(BD$32,0,0,COUNT(時間希望調査!$A:$A)),$B22)</f>
        <v>10</v>
      </c>
      <c r="BE22" s="14">
        <f ca="1">COUNTIF(OFFSET(BE$32,0,0,COUNT(時間希望調査!$A:$A)),$B22)</f>
        <v>10</v>
      </c>
      <c r="BF22" s="14">
        <f ca="1">COUNTIF(OFFSET(BF$32,0,0,COUNT(時間希望調査!$A:$A)),$B22)</f>
        <v>10</v>
      </c>
      <c r="BG22" s="14">
        <f ca="1">COUNTIF(OFFSET(BG$32,0,0,COUNT(時間希望調査!$A:$A)),$B22)</f>
        <v>10</v>
      </c>
      <c r="BH22" s="14">
        <f ca="1">COUNTIF(OFFSET(BH$32,0,0,COUNT(時間希望調査!$A:$A)),$B22)</f>
        <v>10</v>
      </c>
      <c r="BI22" s="14"/>
      <c r="BJ22" s="14"/>
      <c r="BK22" s="14"/>
      <c r="BL22" s="14"/>
      <c r="BM22" s="14"/>
      <c r="BN22" s="14"/>
      <c r="BO22" s="14"/>
      <c r="BP22" s="14"/>
      <c r="BQ22" s="14"/>
      <c r="BR22" s="14"/>
      <c r="BS22" s="14"/>
      <c r="BT22" s="14"/>
      <c r="BU22" s="14"/>
      <c r="BV22" s="14"/>
      <c r="BW22" s="14"/>
      <c r="BX22" s="14"/>
      <c r="BY22" s="14"/>
      <c r="BZ22" s="14"/>
      <c r="CA22" s="14"/>
      <c r="CB22" s="14"/>
      <c r="CC22" s="14"/>
      <c r="CD22" s="14"/>
      <c r="CE22" s="14"/>
      <c r="CF22" s="14"/>
      <c r="CG22" s="14"/>
      <c r="CH22" s="14"/>
      <c r="CI22" s="14"/>
      <c r="CJ22" s="14"/>
      <c r="CK22" s="14"/>
      <c r="CL22" s="14"/>
    </row>
    <row r="23" spans="1:91" hidden="1">
      <c r="B23" s="14" t="str">
        <f>役職一覧!B23&amp;""</f>
        <v/>
      </c>
      <c r="C23" s="14">
        <f>役職一覧!E23</f>
        <v>0</v>
      </c>
      <c r="D23" s="14">
        <f t="shared" ref="D23:M23" si="12">COUNTIF(D$32:D$334,$B23)</f>
        <v>302</v>
      </c>
      <c r="E23" s="14">
        <f t="shared" si="12"/>
        <v>303</v>
      </c>
      <c r="F23" s="14">
        <f t="shared" si="12"/>
        <v>302</v>
      </c>
      <c r="G23" s="14">
        <f t="shared" si="12"/>
        <v>302</v>
      </c>
      <c r="H23" s="14">
        <f t="shared" si="12"/>
        <v>303</v>
      </c>
      <c r="I23" s="14">
        <f t="shared" si="12"/>
        <v>302</v>
      </c>
      <c r="J23" s="14">
        <f t="shared" si="12"/>
        <v>303</v>
      </c>
      <c r="K23" s="14">
        <f t="shared" si="12"/>
        <v>303</v>
      </c>
      <c r="L23" s="14">
        <f t="shared" si="12"/>
        <v>303</v>
      </c>
      <c r="M23" s="14">
        <f t="shared" si="12"/>
        <v>303</v>
      </c>
      <c r="N23" s="14">
        <f t="shared" ref="N23:AC31" si="13">COUNTIF(N$32:N$334,$B23)</f>
        <v>303</v>
      </c>
      <c r="O23" s="14">
        <f t="shared" si="13"/>
        <v>303</v>
      </c>
      <c r="P23" s="14">
        <f t="shared" si="13"/>
        <v>303</v>
      </c>
      <c r="Q23" s="14">
        <f t="shared" si="13"/>
        <v>303</v>
      </c>
      <c r="R23" s="14">
        <f t="shared" si="13"/>
        <v>303</v>
      </c>
      <c r="S23" s="14">
        <f t="shared" si="13"/>
        <v>303</v>
      </c>
      <c r="T23" s="14">
        <f t="shared" si="13"/>
        <v>303</v>
      </c>
      <c r="U23" s="14">
        <f t="shared" si="13"/>
        <v>303</v>
      </c>
      <c r="V23" s="14">
        <f t="shared" si="13"/>
        <v>303</v>
      </c>
      <c r="W23" s="14">
        <f t="shared" si="13"/>
        <v>303</v>
      </c>
      <c r="X23" s="14">
        <f t="shared" si="13"/>
        <v>303</v>
      </c>
      <c r="Y23" s="14">
        <f t="shared" si="13"/>
        <v>303</v>
      </c>
      <c r="Z23" s="14">
        <f t="shared" si="13"/>
        <v>303</v>
      </c>
      <c r="AA23" s="14">
        <f t="shared" si="13"/>
        <v>303</v>
      </c>
      <c r="AB23" s="14">
        <f t="shared" si="13"/>
        <v>303</v>
      </c>
      <c r="AC23" s="14">
        <f t="shared" si="13"/>
        <v>303</v>
      </c>
      <c r="AD23" s="14">
        <f t="shared" si="6"/>
        <v>303</v>
      </c>
      <c r="AE23" s="14">
        <f t="shared" ref="AE23:AT31" si="14">COUNTIF(AE$32:AE$334,$B23)</f>
        <v>303</v>
      </c>
      <c r="AF23" s="14">
        <f t="shared" si="14"/>
        <v>303</v>
      </c>
      <c r="AG23" s="14">
        <f t="shared" si="14"/>
        <v>303</v>
      </c>
      <c r="AH23" s="14">
        <f t="shared" si="14"/>
        <v>303</v>
      </c>
      <c r="AI23" s="14">
        <f t="shared" si="14"/>
        <v>303</v>
      </c>
      <c r="AJ23" s="14">
        <f t="shared" si="14"/>
        <v>303</v>
      </c>
      <c r="AK23" s="14">
        <f t="shared" si="14"/>
        <v>303</v>
      </c>
      <c r="AL23" s="14">
        <f t="shared" si="14"/>
        <v>303</v>
      </c>
      <c r="AM23" s="14">
        <f t="shared" si="14"/>
        <v>303</v>
      </c>
      <c r="AN23" s="14">
        <f t="shared" si="14"/>
        <v>303</v>
      </c>
      <c r="AO23" s="14">
        <f t="shared" si="14"/>
        <v>303</v>
      </c>
      <c r="AP23" s="14">
        <f t="shared" si="14"/>
        <v>303</v>
      </c>
      <c r="AQ23" s="14">
        <f t="shared" si="14"/>
        <v>303</v>
      </c>
      <c r="AR23" s="14">
        <f t="shared" si="14"/>
        <v>303</v>
      </c>
      <c r="AS23" s="14">
        <f t="shared" si="14"/>
        <v>303</v>
      </c>
      <c r="AT23" s="14">
        <f t="shared" si="14"/>
        <v>303</v>
      </c>
      <c r="AU23" s="14">
        <f t="shared" si="11"/>
        <v>303</v>
      </c>
      <c r="AV23" s="14">
        <f t="shared" si="11"/>
        <v>303</v>
      </c>
      <c r="AW23" s="14">
        <f t="shared" si="11"/>
        <v>303</v>
      </c>
      <c r="AX23" s="14">
        <f t="shared" si="11"/>
        <v>303</v>
      </c>
      <c r="AY23" s="14">
        <f t="shared" si="11"/>
        <v>303</v>
      </c>
      <c r="AZ23" s="14">
        <f t="shared" si="11"/>
        <v>303</v>
      </c>
      <c r="BA23" s="14">
        <f t="shared" si="11"/>
        <v>303</v>
      </c>
      <c r="BB23" s="14"/>
      <c r="BC23" s="14"/>
      <c r="BD23" s="14">
        <f ca="1">COUNTIF(OFFSET(BD$32,0,0,COUNT(時間希望調査!$A:$A)),$B23)</f>
        <v>10</v>
      </c>
      <c r="BE23" s="14">
        <f ca="1">COUNTIF(OFFSET(BE$32,0,0,COUNT(時間希望調査!$A:$A)),$B23)</f>
        <v>10</v>
      </c>
      <c r="BF23" s="14">
        <f ca="1">COUNTIF(OFFSET(BF$32,0,0,COUNT(時間希望調査!$A:$A)),$B23)</f>
        <v>10</v>
      </c>
      <c r="BG23" s="14">
        <f ca="1">COUNTIF(OFFSET(BG$32,0,0,COUNT(時間希望調査!$A:$A)),$B23)</f>
        <v>10</v>
      </c>
      <c r="BH23" s="14">
        <f ca="1">COUNTIF(OFFSET(BH$32,0,0,COUNT(時間希望調査!$A:$A)),$B23)</f>
        <v>10</v>
      </c>
      <c r="BI23" s="14"/>
      <c r="BJ23" s="14"/>
      <c r="BK23" s="14"/>
      <c r="BL23" s="14"/>
      <c r="BM23" s="14"/>
      <c r="BN23" s="14"/>
      <c r="BO23" s="14"/>
      <c r="BP23" s="14"/>
      <c r="BQ23" s="14"/>
      <c r="BR23" s="14"/>
      <c r="BS23" s="14"/>
      <c r="BT23" s="14"/>
      <c r="BU23" s="14"/>
      <c r="BV23" s="14"/>
      <c r="BW23" s="14"/>
      <c r="BX23" s="14"/>
      <c r="BY23" s="14"/>
      <c r="BZ23" s="14"/>
      <c r="CA23" s="14"/>
      <c r="CB23" s="14"/>
      <c r="CC23" s="14"/>
      <c r="CD23" s="14"/>
      <c r="CE23" s="14"/>
      <c r="CF23" s="14"/>
      <c r="CG23" s="14"/>
      <c r="CH23" s="14"/>
      <c r="CI23" s="14"/>
      <c r="CJ23" s="14"/>
      <c r="CK23" s="14"/>
      <c r="CL23" s="14"/>
    </row>
    <row r="24" spans="1:91" hidden="1">
      <c r="B24" s="14" t="str">
        <f>役職一覧!B24&amp;""</f>
        <v/>
      </c>
      <c r="C24" s="14">
        <f>役職一覧!E24</f>
        <v>0</v>
      </c>
      <c r="D24" s="14">
        <f t="shared" ref="D24:S31" si="15">COUNTIF(D$32:D$334,$B24)</f>
        <v>302</v>
      </c>
      <c r="E24" s="14">
        <f t="shared" si="15"/>
        <v>303</v>
      </c>
      <c r="F24" s="14">
        <f t="shared" si="15"/>
        <v>302</v>
      </c>
      <c r="G24" s="14">
        <f t="shared" si="15"/>
        <v>302</v>
      </c>
      <c r="H24" s="14">
        <f t="shared" si="15"/>
        <v>303</v>
      </c>
      <c r="I24" s="14">
        <f t="shared" si="15"/>
        <v>302</v>
      </c>
      <c r="J24" s="14">
        <f t="shared" si="15"/>
        <v>303</v>
      </c>
      <c r="K24" s="14">
        <f t="shared" si="15"/>
        <v>303</v>
      </c>
      <c r="L24" s="14">
        <f t="shared" si="15"/>
        <v>303</v>
      </c>
      <c r="M24" s="14">
        <f t="shared" si="15"/>
        <v>303</v>
      </c>
      <c r="N24" s="14">
        <f t="shared" si="15"/>
        <v>303</v>
      </c>
      <c r="O24" s="14">
        <f t="shared" si="15"/>
        <v>303</v>
      </c>
      <c r="P24" s="14">
        <f t="shared" si="15"/>
        <v>303</v>
      </c>
      <c r="Q24" s="14">
        <f t="shared" si="15"/>
        <v>303</v>
      </c>
      <c r="R24" s="14">
        <f t="shared" si="15"/>
        <v>303</v>
      </c>
      <c r="S24" s="14">
        <f t="shared" si="15"/>
        <v>303</v>
      </c>
      <c r="T24" s="14">
        <f t="shared" si="13"/>
        <v>303</v>
      </c>
      <c r="U24" s="14">
        <f t="shared" si="13"/>
        <v>303</v>
      </c>
      <c r="V24" s="14">
        <f t="shared" si="13"/>
        <v>303</v>
      </c>
      <c r="W24" s="14">
        <f t="shared" si="13"/>
        <v>303</v>
      </c>
      <c r="X24" s="14">
        <f t="shared" si="13"/>
        <v>303</v>
      </c>
      <c r="Y24" s="14">
        <f t="shared" si="13"/>
        <v>303</v>
      </c>
      <c r="Z24" s="14">
        <f t="shared" si="13"/>
        <v>303</v>
      </c>
      <c r="AA24" s="14">
        <f t="shared" si="13"/>
        <v>303</v>
      </c>
      <c r="AB24" s="14">
        <f t="shared" si="13"/>
        <v>303</v>
      </c>
      <c r="AC24" s="14">
        <f t="shared" si="13"/>
        <v>303</v>
      </c>
      <c r="AD24" s="14">
        <f t="shared" si="6"/>
        <v>303</v>
      </c>
      <c r="AE24" s="14">
        <f t="shared" si="14"/>
        <v>303</v>
      </c>
      <c r="AF24" s="14">
        <f t="shared" si="14"/>
        <v>303</v>
      </c>
      <c r="AG24" s="14">
        <f t="shared" si="14"/>
        <v>303</v>
      </c>
      <c r="AH24" s="14">
        <f t="shared" si="14"/>
        <v>303</v>
      </c>
      <c r="AI24" s="14">
        <f t="shared" si="14"/>
        <v>303</v>
      </c>
      <c r="AJ24" s="14">
        <f t="shared" si="14"/>
        <v>303</v>
      </c>
      <c r="AK24" s="14">
        <f t="shared" si="14"/>
        <v>303</v>
      </c>
      <c r="AL24" s="14">
        <f t="shared" si="14"/>
        <v>303</v>
      </c>
      <c r="AM24" s="14">
        <f t="shared" si="14"/>
        <v>303</v>
      </c>
      <c r="AN24" s="14">
        <f t="shared" si="14"/>
        <v>303</v>
      </c>
      <c r="AO24" s="14">
        <f t="shared" si="14"/>
        <v>303</v>
      </c>
      <c r="AP24" s="14">
        <f t="shared" si="14"/>
        <v>303</v>
      </c>
      <c r="AQ24" s="14">
        <f t="shared" si="14"/>
        <v>303</v>
      </c>
      <c r="AR24" s="14">
        <f t="shared" si="14"/>
        <v>303</v>
      </c>
      <c r="AS24" s="14">
        <f t="shared" si="14"/>
        <v>303</v>
      </c>
      <c r="AT24" s="14">
        <f t="shared" si="14"/>
        <v>303</v>
      </c>
      <c r="AU24" s="14">
        <f t="shared" si="11"/>
        <v>303</v>
      </c>
      <c r="AV24" s="14">
        <f t="shared" si="11"/>
        <v>303</v>
      </c>
      <c r="AW24" s="14">
        <f t="shared" si="11"/>
        <v>303</v>
      </c>
      <c r="AX24" s="14">
        <f t="shared" si="11"/>
        <v>303</v>
      </c>
      <c r="AY24" s="14">
        <f t="shared" si="11"/>
        <v>303</v>
      </c>
      <c r="AZ24" s="14">
        <f t="shared" si="11"/>
        <v>303</v>
      </c>
      <c r="BA24" s="14">
        <f t="shared" si="11"/>
        <v>303</v>
      </c>
      <c r="BB24" s="14"/>
      <c r="BC24" s="14"/>
      <c r="BD24" s="14">
        <f ca="1">COUNTIF(OFFSET(BD$32,0,0,COUNT(時間希望調査!$A:$A)),$B24)</f>
        <v>10</v>
      </c>
      <c r="BE24" s="14">
        <f ca="1">COUNTIF(OFFSET(BE$32,0,0,COUNT(時間希望調査!$A:$A)),$B24)</f>
        <v>10</v>
      </c>
      <c r="BF24" s="14">
        <f ca="1">COUNTIF(OFFSET(BF$32,0,0,COUNT(時間希望調査!$A:$A)),$B24)</f>
        <v>10</v>
      </c>
      <c r="BG24" s="14">
        <f ca="1">COUNTIF(OFFSET(BG$32,0,0,COUNT(時間希望調査!$A:$A)),$B24)</f>
        <v>10</v>
      </c>
      <c r="BH24" s="14">
        <f ca="1">COUNTIF(OFFSET(BH$32,0,0,COUNT(時間希望調査!$A:$A)),$B24)</f>
        <v>10</v>
      </c>
      <c r="BI24" s="14"/>
      <c r="BJ24" s="14"/>
      <c r="BK24" s="14"/>
      <c r="BL24" s="14"/>
      <c r="BM24" s="14"/>
      <c r="BN24" s="14"/>
      <c r="BO24" s="14"/>
      <c r="BP24" s="14"/>
      <c r="BQ24" s="14"/>
      <c r="BR24" s="14"/>
      <c r="BS24" s="14"/>
      <c r="BT24" s="14"/>
      <c r="BU24" s="14"/>
      <c r="BV24" s="14"/>
      <c r="BW24" s="14"/>
      <c r="BX24" s="14"/>
      <c r="BY24" s="14"/>
      <c r="BZ24" s="14"/>
      <c r="CA24" s="14"/>
      <c r="CB24" s="14"/>
      <c r="CC24" s="14"/>
      <c r="CD24" s="14"/>
      <c r="CE24" s="14"/>
      <c r="CF24" s="14"/>
      <c r="CG24" s="14"/>
      <c r="CH24" s="14"/>
      <c r="CI24" s="14"/>
      <c r="CJ24" s="14"/>
      <c r="CK24" s="14"/>
      <c r="CL24" s="14"/>
    </row>
    <row r="25" spans="1:91" hidden="1">
      <c r="B25" s="14" t="str">
        <f>役職一覧!B25&amp;""</f>
        <v/>
      </c>
      <c r="C25" s="14">
        <f>役職一覧!E25</f>
        <v>0</v>
      </c>
      <c r="D25" s="14">
        <f t="shared" si="15"/>
        <v>302</v>
      </c>
      <c r="E25" s="14">
        <f t="shared" si="15"/>
        <v>303</v>
      </c>
      <c r="F25" s="14">
        <f t="shared" si="15"/>
        <v>302</v>
      </c>
      <c r="G25" s="14">
        <f t="shared" si="15"/>
        <v>302</v>
      </c>
      <c r="H25" s="14">
        <f t="shared" si="15"/>
        <v>303</v>
      </c>
      <c r="I25" s="14">
        <f t="shared" si="15"/>
        <v>302</v>
      </c>
      <c r="J25" s="14">
        <f t="shared" si="15"/>
        <v>303</v>
      </c>
      <c r="K25" s="14">
        <f t="shared" si="15"/>
        <v>303</v>
      </c>
      <c r="L25" s="14">
        <f t="shared" si="15"/>
        <v>303</v>
      </c>
      <c r="M25" s="14">
        <f t="shared" si="15"/>
        <v>303</v>
      </c>
      <c r="N25" s="14">
        <f t="shared" si="15"/>
        <v>303</v>
      </c>
      <c r="O25" s="14">
        <f t="shared" si="15"/>
        <v>303</v>
      </c>
      <c r="P25" s="14">
        <f t="shared" si="15"/>
        <v>303</v>
      </c>
      <c r="Q25" s="14">
        <f t="shared" si="15"/>
        <v>303</v>
      </c>
      <c r="R25" s="14">
        <f t="shared" si="15"/>
        <v>303</v>
      </c>
      <c r="S25" s="14">
        <f t="shared" si="15"/>
        <v>303</v>
      </c>
      <c r="T25" s="14">
        <f t="shared" si="13"/>
        <v>303</v>
      </c>
      <c r="U25" s="14">
        <f t="shared" si="13"/>
        <v>303</v>
      </c>
      <c r="V25" s="14">
        <f t="shared" si="13"/>
        <v>303</v>
      </c>
      <c r="W25" s="14">
        <f t="shared" si="13"/>
        <v>303</v>
      </c>
      <c r="X25" s="14">
        <f t="shared" si="13"/>
        <v>303</v>
      </c>
      <c r="Y25" s="14">
        <f t="shared" si="13"/>
        <v>303</v>
      </c>
      <c r="Z25" s="14">
        <f t="shared" si="13"/>
        <v>303</v>
      </c>
      <c r="AA25" s="14">
        <f t="shared" si="13"/>
        <v>303</v>
      </c>
      <c r="AB25" s="14">
        <f t="shared" si="13"/>
        <v>303</v>
      </c>
      <c r="AC25" s="14">
        <f t="shared" si="13"/>
        <v>303</v>
      </c>
      <c r="AD25" s="14">
        <f t="shared" si="6"/>
        <v>303</v>
      </c>
      <c r="AE25" s="14">
        <f t="shared" si="14"/>
        <v>303</v>
      </c>
      <c r="AF25" s="14">
        <f t="shared" si="14"/>
        <v>303</v>
      </c>
      <c r="AG25" s="14">
        <f t="shared" si="14"/>
        <v>303</v>
      </c>
      <c r="AH25" s="14">
        <f t="shared" si="14"/>
        <v>303</v>
      </c>
      <c r="AI25" s="14">
        <f t="shared" si="14"/>
        <v>303</v>
      </c>
      <c r="AJ25" s="14">
        <f t="shared" si="14"/>
        <v>303</v>
      </c>
      <c r="AK25" s="14">
        <f t="shared" si="14"/>
        <v>303</v>
      </c>
      <c r="AL25" s="14">
        <f t="shared" si="14"/>
        <v>303</v>
      </c>
      <c r="AM25" s="14">
        <f t="shared" si="14"/>
        <v>303</v>
      </c>
      <c r="AN25" s="14">
        <f t="shared" si="14"/>
        <v>303</v>
      </c>
      <c r="AO25" s="14">
        <f t="shared" si="14"/>
        <v>303</v>
      </c>
      <c r="AP25" s="14">
        <f t="shared" si="14"/>
        <v>303</v>
      </c>
      <c r="AQ25" s="14">
        <f t="shared" si="14"/>
        <v>303</v>
      </c>
      <c r="AR25" s="14">
        <f t="shared" si="14"/>
        <v>303</v>
      </c>
      <c r="AS25" s="14">
        <f t="shared" si="14"/>
        <v>303</v>
      </c>
      <c r="AT25" s="14">
        <f t="shared" si="14"/>
        <v>303</v>
      </c>
      <c r="AU25" s="14">
        <f t="shared" si="11"/>
        <v>303</v>
      </c>
      <c r="AV25" s="14">
        <f t="shared" si="11"/>
        <v>303</v>
      </c>
      <c r="AW25" s="14">
        <f t="shared" si="11"/>
        <v>303</v>
      </c>
      <c r="AX25" s="14">
        <f t="shared" si="11"/>
        <v>303</v>
      </c>
      <c r="AY25" s="14">
        <f t="shared" si="11"/>
        <v>303</v>
      </c>
      <c r="AZ25" s="14">
        <f t="shared" si="11"/>
        <v>303</v>
      </c>
      <c r="BA25" s="14">
        <f t="shared" si="11"/>
        <v>303</v>
      </c>
      <c r="BB25" s="14"/>
      <c r="BC25" s="14"/>
      <c r="BD25" s="14">
        <f ca="1">COUNTIF(OFFSET(BD$32,0,0,COUNT(時間希望調査!$A:$A)),$B25)</f>
        <v>10</v>
      </c>
      <c r="BE25" s="14">
        <f ca="1">COUNTIF(OFFSET(BE$32,0,0,COUNT(時間希望調査!$A:$A)),$B25)</f>
        <v>10</v>
      </c>
      <c r="BF25" s="14">
        <f ca="1">COUNTIF(OFFSET(BF$32,0,0,COUNT(時間希望調査!$A:$A)),$B25)</f>
        <v>10</v>
      </c>
      <c r="BG25" s="14">
        <f ca="1">COUNTIF(OFFSET(BG$32,0,0,COUNT(時間希望調査!$A:$A)),$B25)</f>
        <v>10</v>
      </c>
      <c r="BH25" s="14">
        <f ca="1">COUNTIF(OFFSET(BH$32,0,0,COUNT(時間希望調査!$A:$A)),$B25)</f>
        <v>10</v>
      </c>
      <c r="BI25" s="14"/>
      <c r="BJ25" s="14"/>
      <c r="BK25" s="14"/>
      <c r="BL25" s="14"/>
      <c r="BM25" s="14"/>
      <c r="BN25" s="14"/>
      <c r="BO25" s="14"/>
      <c r="BP25" s="14"/>
      <c r="BQ25" s="14"/>
      <c r="BR25" s="14"/>
      <c r="BS25" s="14"/>
      <c r="BT25" s="14"/>
      <c r="BU25" s="14"/>
      <c r="BV25" s="14"/>
      <c r="BW25" s="14"/>
      <c r="BX25" s="14"/>
      <c r="BY25" s="14"/>
      <c r="BZ25" s="14"/>
      <c r="CA25" s="14"/>
      <c r="CB25" s="14"/>
      <c r="CC25" s="14"/>
      <c r="CD25" s="14"/>
      <c r="CE25" s="14"/>
      <c r="CF25" s="14"/>
      <c r="CG25" s="14"/>
      <c r="CH25" s="14"/>
      <c r="CI25" s="14"/>
      <c r="CJ25" s="14"/>
      <c r="CK25" s="14"/>
      <c r="CL25" s="14"/>
    </row>
    <row r="26" spans="1:91" hidden="1">
      <c r="B26" s="14" t="str">
        <f>役職一覧!B26&amp;""</f>
        <v/>
      </c>
      <c r="C26" s="14">
        <f>役職一覧!E26</f>
        <v>0</v>
      </c>
      <c r="D26" s="14">
        <f t="shared" si="15"/>
        <v>302</v>
      </c>
      <c r="E26" s="14">
        <f t="shared" si="15"/>
        <v>303</v>
      </c>
      <c r="F26" s="14">
        <f t="shared" si="15"/>
        <v>302</v>
      </c>
      <c r="G26" s="14">
        <f t="shared" si="15"/>
        <v>302</v>
      </c>
      <c r="H26" s="14">
        <f t="shared" si="15"/>
        <v>303</v>
      </c>
      <c r="I26" s="14">
        <f t="shared" si="15"/>
        <v>302</v>
      </c>
      <c r="J26" s="14">
        <f t="shared" si="15"/>
        <v>303</v>
      </c>
      <c r="K26" s="14">
        <f t="shared" si="15"/>
        <v>303</v>
      </c>
      <c r="L26" s="14">
        <f t="shared" si="15"/>
        <v>303</v>
      </c>
      <c r="M26" s="14">
        <f t="shared" si="15"/>
        <v>303</v>
      </c>
      <c r="N26" s="14">
        <f t="shared" si="15"/>
        <v>303</v>
      </c>
      <c r="O26" s="14">
        <f t="shared" si="15"/>
        <v>303</v>
      </c>
      <c r="P26" s="14">
        <f t="shared" si="15"/>
        <v>303</v>
      </c>
      <c r="Q26" s="14">
        <f t="shared" si="15"/>
        <v>303</v>
      </c>
      <c r="R26" s="14">
        <f t="shared" si="15"/>
        <v>303</v>
      </c>
      <c r="S26" s="14">
        <f t="shared" si="15"/>
        <v>303</v>
      </c>
      <c r="T26" s="14">
        <f t="shared" si="13"/>
        <v>303</v>
      </c>
      <c r="U26" s="14">
        <f t="shared" si="13"/>
        <v>303</v>
      </c>
      <c r="V26" s="14">
        <f t="shared" si="13"/>
        <v>303</v>
      </c>
      <c r="W26" s="14">
        <f t="shared" si="13"/>
        <v>303</v>
      </c>
      <c r="X26" s="14">
        <f t="shared" si="13"/>
        <v>303</v>
      </c>
      <c r="Y26" s="14">
        <f t="shared" si="13"/>
        <v>303</v>
      </c>
      <c r="Z26" s="14">
        <f t="shared" si="13"/>
        <v>303</v>
      </c>
      <c r="AA26" s="14">
        <f t="shared" si="13"/>
        <v>303</v>
      </c>
      <c r="AB26" s="14">
        <f t="shared" si="13"/>
        <v>303</v>
      </c>
      <c r="AC26" s="14">
        <f t="shared" si="13"/>
        <v>303</v>
      </c>
      <c r="AD26" s="14">
        <f t="shared" si="6"/>
        <v>303</v>
      </c>
      <c r="AE26" s="14">
        <f t="shared" si="14"/>
        <v>303</v>
      </c>
      <c r="AF26" s="14">
        <f t="shared" si="14"/>
        <v>303</v>
      </c>
      <c r="AG26" s="14">
        <f t="shared" si="14"/>
        <v>303</v>
      </c>
      <c r="AH26" s="14">
        <f t="shared" si="14"/>
        <v>303</v>
      </c>
      <c r="AI26" s="14">
        <f t="shared" si="14"/>
        <v>303</v>
      </c>
      <c r="AJ26" s="14">
        <f t="shared" si="14"/>
        <v>303</v>
      </c>
      <c r="AK26" s="14">
        <f t="shared" si="14"/>
        <v>303</v>
      </c>
      <c r="AL26" s="14">
        <f t="shared" si="14"/>
        <v>303</v>
      </c>
      <c r="AM26" s="14">
        <f t="shared" si="14"/>
        <v>303</v>
      </c>
      <c r="AN26" s="14">
        <f t="shared" si="14"/>
        <v>303</v>
      </c>
      <c r="AO26" s="14">
        <f t="shared" si="14"/>
        <v>303</v>
      </c>
      <c r="AP26" s="14">
        <f t="shared" si="14"/>
        <v>303</v>
      </c>
      <c r="AQ26" s="14">
        <f t="shared" si="14"/>
        <v>303</v>
      </c>
      <c r="AR26" s="14">
        <f t="shared" si="14"/>
        <v>303</v>
      </c>
      <c r="AS26" s="14">
        <f t="shared" si="14"/>
        <v>303</v>
      </c>
      <c r="AT26" s="14">
        <f t="shared" si="14"/>
        <v>303</v>
      </c>
      <c r="AU26" s="14">
        <f t="shared" si="11"/>
        <v>303</v>
      </c>
      <c r="AV26" s="14">
        <f t="shared" si="11"/>
        <v>303</v>
      </c>
      <c r="AW26" s="14">
        <f t="shared" si="11"/>
        <v>303</v>
      </c>
      <c r="AX26" s="14">
        <f t="shared" si="11"/>
        <v>303</v>
      </c>
      <c r="AY26" s="14">
        <f t="shared" si="11"/>
        <v>303</v>
      </c>
      <c r="AZ26" s="14">
        <f t="shared" si="11"/>
        <v>303</v>
      </c>
      <c r="BA26" s="14">
        <f t="shared" si="11"/>
        <v>303</v>
      </c>
      <c r="BB26" s="14"/>
      <c r="BC26" s="14"/>
      <c r="BD26" s="14">
        <f ca="1">COUNTIF(OFFSET(BD$32,0,0,COUNT(時間希望調査!$A:$A)),$B26)</f>
        <v>10</v>
      </c>
      <c r="BE26" s="14">
        <f ca="1">COUNTIF(OFFSET(BE$32,0,0,COUNT(時間希望調査!$A:$A)),$B26)</f>
        <v>10</v>
      </c>
      <c r="BF26" s="14">
        <f ca="1">COUNTIF(OFFSET(BF$32,0,0,COUNT(時間希望調査!$A:$A)),$B26)</f>
        <v>10</v>
      </c>
      <c r="BG26" s="14">
        <f ca="1">COUNTIF(OFFSET(BG$32,0,0,COUNT(時間希望調査!$A:$A)),$B26)</f>
        <v>10</v>
      </c>
      <c r="BH26" s="14">
        <f ca="1">COUNTIF(OFFSET(BH$32,0,0,COUNT(時間希望調査!$A:$A)),$B26)</f>
        <v>10</v>
      </c>
      <c r="BI26" s="14"/>
      <c r="BJ26" s="14"/>
      <c r="BK26" s="14"/>
      <c r="BL26" s="14"/>
      <c r="BM26" s="14"/>
      <c r="BN26" s="14"/>
      <c r="BO26" s="14"/>
      <c r="BP26" s="14"/>
      <c r="BQ26" s="14"/>
      <c r="BR26" s="14"/>
      <c r="BS26" s="14"/>
      <c r="BT26" s="14"/>
      <c r="BU26" s="14"/>
      <c r="BV26" s="14"/>
      <c r="BW26" s="14"/>
      <c r="BX26" s="14"/>
      <c r="BY26" s="14"/>
      <c r="BZ26" s="14"/>
      <c r="CA26" s="14"/>
      <c r="CB26" s="14"/>
      <c r="CC26" s="14"/>
      <c r="CD26" s="14"/>
      <c r="CE26" s="14"/>
      <c r="CF26" s="14"/>
      <c r="CG26" s="14"/>
      <c r="CH26" s="14"/>
      <c r="CI26" s="14"/>
      <c r="CJ26" s="14"/>
      <c r="CK26" s="14"/>
      <c r="CL26" s="14"/>
    </row>
    <row r="27" spans="1:91" hidden="1">
      <c r="B27" s="14" t="str">
        <f>役職一覧!B27&amp;""</f>
        <v/>
      </c>
      <c r="C27" s="14">
        <f>役職一覧!E27</f>
        <v>0</v>
      </c>
      <c r="D27" s="14">
        <f t="shared" si="15"/>
        <v>302</v>
      </c>
      <c r="E27" s="14">
        <f t="shared" si="15"/>
        <v>303</v>
      </c>
      <c r="F27" s="14">
        <f t="shared" si="15"/>
        <v>302</v>
      </c>
      <c r="G27" s="14">
        <f t="shared" si="15"/>
        <v>302</v>
      </c>
      <c r="H27" s="14">
        <f t="shared" si="15"/>
        <v>303</v>
      </c>
      <c r="I27" s="14">
        <f t="shared" si="15"/>
        <v>302</v>
      </c>
      <c r="J27" s="14">
        <f t="shared" si="15"/>
        <v>303</v>
      </c>
      <c r="K27" s="14">
        <f t="shared" si="15"/>
        <v>303</v>
      </c>
      <c r="L27" s="14">
        <f t="shared" si="15"/>
        <v>303</v>
      </c>
      <c r="M27" s="14">
        <f t="shared" si="15"/>
        <v>303</v>
      </c>
      <c r="N27" s="14">
        <f t="shared" si="15"/>
        <v>303</v>
      </c>
      <c r="O27" s="14">
        <f t="shared" si="15"/>
        <v>303</v>
      </c>
      <c r="P27" s="14">
        <f t="shared" si="15"/>
        <v>303</v>
      </c>
      <c r="Q27" s="14">
        <f t="shared" si="15"/>
        <v>303</v>
      </c>
      <c r="R27" s="14">
        <f t="shared" si="15"/>
        <v>303</v>
      </c>
      <c r="S27" s="14">
        <f t="shared" si="15"/>
        <v>303</v>
      </c>
      <c r="T27" s="14">
        <f t="shared" si="13"/>
        <v>303</v>
      </c>
      <c r="U27" s="14">
        <f t="shared" si="13"/>
        <v>303</v>
      </c>
      <c r="V27" s="14">
        <f t="shared" si="13"/>
        <v>303</v>
      </c>
      <c r="W27" s="14">
        <f t="shared" si="13"/>
        <v>303</v>
      </c>
      <c r="X27" s="14">
        <f t="shared" si="13"/>
        <v>303</v>
      </c>
      <c r="Y27" s="14">
        <f t="shared" si="13"/>
        <v>303</v>
      </c>
      <c r="Z27" s="14">
        <f t="shared" si="13"/>
        <v>303</v>
      </c>
      <c r="AA27" s="14">
        <f t="shared" si="13"/>
        <v>303</v>
      </c>
      <c r="AB27" s="14">
        <f t="shared" si="13"/>
        <v>303</v>
      </c>
      <c r="AC27" s="14">
        <f t="shared" si="13"/>
        <v>303</v>
      </c>
      <c r="AD27" s="14">
        <f t="shared" si="6"/>
        <v>303</v>
      </c>
      <c r="AE27" s="14">
        <f t="shared" si="14"/>
        <v>303</v>
      </c>
      <c r="AF27" s="14">
        <f t="shared" si="14"/>
        <v>303</v>
      </c>
      <c r="AG27" s="14">
        <f t="shared" si="14"/>
        <v>303</v>
      </c>
      <c r="AH27" s="14">
        <f t="shared" si="14"/>
        <v>303</v>
      </c>
      <c r="AI27" s="14">
        <f t="shared" si="14"/>
        <v>303</v>
      </c>
      <c r="AJ27" s="14">
        <f t="shared" si="14"/>
        <v>303</v>
      </c>
      <c r="AK27" s="14">
        <f t="shared" si="14"/>
        <v>303</v>
      </c>
      <c r="AL27" s="14">
        <f t="shared" si="14"/>
        <v>303</v>
      </c>
      <c r="AM27" s="14">
        <f t="shared" si="14"/>
        <v>303</v>
      </c>
      <c r="AN27" s="14">
        <f t="shared" si="14"/>
        <v>303</v>
      </c>
      <c r="AO27" s="14">
        <f t="shared" si="14"/>
        <v>303</v>
      </c>
      <c r="AP27" s="14">
        <f t="shared" si="14"/>
        <v>303</v>
      </c>
      <c r="AQ27" s="14">
        <f t="shared" si="14"/>
        <v>303</v>
      </c>
      <c r="AR27" s="14">
        <f t="shared" si="14"/>
        <v>303</v>
      </c>
      <c r="AS27" s="14">
        <f t="shared" si="14"/>
        <v>303</v>
      </c>
      <c r="AT27" s="14">
        <f t="shared" si="14"/>
        <v>303</v>
      </c>
      <c r="AU27" s="14">
        <f t="shared" si="11"/>
        <v>303</v>
      </c>
      <c r="AV27" s="14">
        <f t="shared" si="11"/>
        <v>303</v>
      </c>
      <c r="AW27" s="14">
        <f t="shared" si="11"/>
        <v>303</v>
      </c>
      <c r="AX27" s="14">
        <f t="shared" si="11"/>
        <v>303</v>
      </c>
      <c r="AY27" s="14">
        <f t="shared" si="11"/>
        <v>303</v>
      </c>
      <c r="AZ27" s="14">
        <f t="shared" si="11"/>
        <v>303</v>
      </c>
      <c r="BA27" s="14">
        <f t="shared" si="11"/>
        <v>303</v>
      </c>
      <c r="BB27" s="14"/>
      <c r="BC27" s="14"/>
      <c r="BD27" s="14">
        <f ca="1">COUNTIF(OFFSET(BD$32,0,0,COUNT(時間希望調査!$A:$A)),$B27)</f>
        <v>10</v>
      </c>
      <c r="BE27" s="14">
        <f ca="1">COUNTIF(OFFSET(BE$32,0,0,COUNT(時間希望調査!$A:$A)),$B27)</f>
        <v>10</v>
      </c>
      <c r="BF27" s="14">
        <f ca="1">COUNTIF(OFFSET(BF$32,0,0,COUNT(時間希望調査!$A:$A)),$B27)</f>
        <v>10</v>
      </c>
      <c r="BG27" s="14">
        <f ca="1">COUNTIF(OFFSET(BG$32,0,0,COUNT(時間希望調査!$A:$A)),$B27)</f>
        <v>10</v>
      </c>
      <c r="BH27" s="14">
        <f ca="1">COUNTIF(OFFSET(BH$32,0,0,COUNT(時間希望調査!$A:$A)),$B27)</f>
        <v>10</v>
      </c>
      <c r="BI27" s="14"/>
      <c r="BJ27" s="14"/>
      <c r="BK27" s="14"/>
      <c r="BL27" s="14"/>
      <c r="BM27" s="14"/>
      <c r="BN27" s="14"/>
      <c r="BO27" s="14"/>
      <c r="BP27" s="14"/>
      <c r="BQ27" s="14"/>
      <c r="BR27" s="14"/>
      <c r="BS27" s="14"/>
      <c r="BT27" s="14"/>
      <c r="BU27" s="14"/>
      <c r="BV27" s="14"/>
      <c r="BW27" s="14"/>
      <c r="BX27" s="14"/>
      <c r="BY27" s="14"/>
      <c r="BZ27" s="14"/>
      <c r="CA27" s="14"/>
      <c r="CB27" s="14"/>
      <c r="CC27" s="14"/>
      <c r="CD27" s="14"/>
      <c r="CE27" s="14"/>
      <c r="CF27" s="14"/>
      <c r="CG27" s="14"/>
      <c r="CH27" s="14"/>
      <c r="CI27" s="14"/>
      <c r="CJ27" s="14"/>
      <c r="CK27" s="14"/>
      <c r="CL27" s="14"/>
    </row>
    <row r="28" spans="1:91" hidden="1">
      <c r="B28" s="14" t="str">
        <f>役職一覧!B28&amp;""</f>
        <v/>
      </c>
      <c r="C28" s="14">
        <f>役職一覧!E28</f>
        <v>0</v>
      </c>
      <c r="D28" s="14">
        <f t="shared" si="15"/>
        <v>302</v>
      </c>
      <c r="E28" s="14">
        <f t="shared" si="15"/>
        <v>303</v>
      </c>
      <c r="F28" s="14">
        <f t="shared" si="15"/>
        <v>302</v>
      </c>
      <c r="G28" s="14">
        <f t="shared" si="15"/>
        <v>302</v>
      </c>
      <c r="H28" s="14">
        <f t="shared" si="15"/>
        <v>303</v>
      </c>
      <c r="I28" s="14">
        <f t="shared" si="15"/>
        <v>302</v>
      </c>
      <c r="J28" s="14">
        <f t="shared" si="15"/>
        <v>303</v>
      </c>
      <c r="K28" s="14">
        <f t="shared" si="15"/>
        <v>303</v>
      </c>
      <c r="L28" s="14">
        <f t="shared" si="15"/>
        <v>303</v>
      </c>
      <c r="M28" s="14">
        <f t="shared" si="15"/>
        <v>303</v>
      </c>
      <c r="N28" s="14">
        <f t="shared" si="15"/>
        <v>303</v>
      </c>
      <c r="O28" s="14">
        <f t="shared" si="15"/>
        <v>303</v>
      </c>
      <c r="P28" s="14">
        <f t="shared" si="15"/>
        <v>303</v>
      </c>
      <c r="Q28" s="14">
        <f t="shared" si="15"/>
        <v>303</v>
      </c>
      <c r="R28" s="14">
        <f t="shared" si="15"/>
        <v>303</v>
      </c>
      <c r="S28" s="14">
        <f t="shared" si="15"/>
        <v>303</v>
      </c>
      <c r="T28" s="14">
        <f t="shared" si="13"/>
        <v>303</v>
      </c>
      <c r="U28" s="14">
        <f t="shared" si="13"/>
        <v>303</v>
      </c>
      <c r="V28" s="14">
        <f t="shared" si="13"/>
        <v>303</v>
      </c>
      <c r="W28" s="14">
        <f t="shared" si="13"/>
        <v>303</v>
      </c>
      <c r="X28" s="14">
        <f t="shared" si="13"/>
        <v>303</v>
      </c>
      <c r="Y28" s="14">
        <f t="shared" si="13"/>
        <v>303</v>
      </c>
      <c r="Z28" s="14">
        <f t="shared" si="13"/>
        <v>303</v>
      </c>
      <c r="AA28" s="14">
        <f t="shared" si="13"/>
        <v>303</v>
      </c>
      <c r="AB28" s="14">
        <f t="shared" si="13"/>
        <v>303</v>
      </c>
      <c r="AC28" s="14">
        <f t="shared" si="13"/>
        <v>303</v>
      </c>
      <c r="AD28" s="14">
        <f t="shared" si="6"/>
        <v>303</v>
      </c>
      <c r="AE28" s="14">
        <f t="shared" si="14"/>
        <v>303</v>
      </c>
      <c r="AF28" s="14">
        <f t="shared" si="14"/>
        <v>303</v>
      </c>
      <c r="AG28" s="14">
        <f t="shared" si="14"/>
        <v>303</v>
      </c>
      <c r="AH28" s="14">
        <f t="shared" si="14"/>
        <v>303</v>
      </c>
      <c r="AI28" s="14">
        <f t="shared" si="14"/>
        <v>303</v>
      </c>
      <c r="AJ28" s="14">
        <f t="shared" si="14"/>
        <v>303</v>
      </c>
      <c r="AK28" s="14">
        <f t="shared" si="14"/>
        <v>303</v>
      </c>
      <c r="AL28" s="14">
        <f t="shared" si="14"/>
        <v>303</v>
      </c>
      <c r="AM28" s="14">
        <f t="shared" si="14"/>
        <v>303</v>
      </c>
      <c r="AN28" s="14">
        <f t="shared" si="14"/>
        <v>303</v>
      </c>
      <c r="AO28" s="14">
        <f t="shared" si="14"/>
        <v>303</v>
      </c>
      <c r="AP28" s="14">
        <f t="shared" si="14"/>
        <v>303</v>
      </c>
      <c r="AQ28" s="14">
        <f t="shared" si="14"/>
        <v>303</v>
      </c>
      <c r="AR28" s="14">
        <f t="shared" si="14"/>
        <v>303</v>
      </c>
      <c r="AS28" s="14">
        <f t="shared" si="14"/>
        <v>303</v>
      </c>
      <c r="AT28" s="14">
        <f t="shared" si="14"/>
        <v>303</v>
      </c>
      <c r="AU28" s="14">
        <f t="shared" si="11"/>
        <v>303</v>
      </c>
      <c r="AV28" s="14">
        <f t="shared" si="11"/>
        <v>303</v>
      </c>
      <c r="AW28" s="14">
        <f t="shared" si="11"/>
        <v>303</v>
      </c>
      <c r="AX28" s="14">
        <f t="shared" si="11"/>
        <v>303</v>
      </c>
      <c r="AY28" s="14">
        <f t="shared" si="11"/>
        <v>303</v>
      </c>
      <c r="AZ28" s="14">
        <f t="shared" si="11"/>
        <v>303</v>
      </c>
      <c r="BA28" s="14">
        <f t="shared" si="11"/>
        <v>303</v>
      </c>
      <c r="BB28" s="14"/>
      <c r="BC28" s="14"/>
      <c r="BD28" s="14">
        <f ca="1">COUNTIF(OFFSET(BD$32,0,0,COUNT(時間希望調査!$A:$A)),$B28)</f>
        <v>10</v>
      </c>
      <c r="BE28" s="14">
        <f ca="1">COUNTIF(OFFSET(BE$32,0,0,COUNT(時間希望調査!$A:$A)),$B28)</f>
        <v>10</v>
      </c>
      <c r="BF28" s="14">
        <f ca="1">COUNTIF(OFFSET(BF$32,0,0,COUNT(時間希望調査!$A:$A)),$B28)</f>
        <v>10</v>
      </c>
      <c r="BG28" s="14">
        <f ca="1">COUNTIF(OFFSET(BG$32,0,0,COUNT(時間希望調査!$A:$A)),$B28)</f>
        <v>10</v>
      </c>
      <c r="BH28" s="14">
        <f ca="1">COUNTIF(OFFSET(BH$32,0,0,COUNT(時間希望調査!$A:$A)),$B28)</f>
        <v>10</v>
      </c>
      <c r="BI28" s="14"/>
      <c r="BJ28" s="14"/>
      <c r="BK28" s="14"/>
      <c r="BL28" s="14"/>
      <c r="BM28" s="14"/>
      <c r="BN28" s="14"/>
      <c r="BO28" s="14"/>
      <c r="BP28" s="14"/>
      <c r="BQ28" s="14"/>
      <c r="BR28" s="14"/>
      <c r="BS28" s="14"/>
      <c r="BT28" s="14"/>
      <c r="BU28" s="14"/>
      <c r="BV28" s="14"/>
      <c r="BW28" s="14"/>
      <c r="BX28" s="14"/>
      <c r="BY28" s="14"/>
      <c r="BZ28" s="14"/>
      <c r="CA28" s="14"/>
      <c r="CB28" s="14"/>
      <c r="CC28" s="14"/>
      <c r="CD28" s="14"/>
      <c r="CE28" s="14"/>
      <c r="CF28" s="14"/>
      <c r="CG28" s="14"/>
      <c r="CH28" s="14"/>
      <c r="CI28" s="14"/>
      <c r="CJ28" s="14"/>
      <c r="CK28" s="14"/>
      <c r="CL28" s="14"/>
    </row>
    <row r="29" spans="1:91" hidden="1">
      <c r="B29" s="14" t="str">
        <f>役職一覧!B29&amp;""</f>
        <v/>
      </c>
      <c r="C29" s="14">
        <f>役職一覧!E29</f>
        <v>0</v>
      </c>
      <c r="D29" s="14">
        <f t="shared" si="15"/>
        <v>302</v>
      </c>
      <c r="E29" s="14">
        <f t="shared" si="15"/>
        <v>303</v>
      </c>
      <c r="F29" s="14">
        <f t="shared" si="15"/>
        <v>302</v>
      </c>
      <c r="G29" s="14">
        <f t="shared" si="15"/>
        <v>302</v>
      </c>
      <c r="H29" s="14">
        <f t="shared" si="15"/>
        <v>303</v>
      </c>
      <c r="I29" s="14">
        <f t="shared" si="15"/>
        <v>302</v>
      </c>
      <c r="J29" s="14">
        <f t="shared" si="15"/>
        <v>303</v>
      </c>
      <c r="K29" s="14">
        <f t="shared" si="15"/>
        <v>303</v>
      </c>
      <c r="L29" s="14">
        <f t="shared" si="15"/>
        <v>303</v>
      </c>
      <c r="M29" s="14">
        <f t="shared" si="15"/>
        <v>303</v>
      </c>
      <c r="N29" s="14">
        <f t="shared" si="15"/>
        <v>303</v>
      </c>
      <c r="O29" s="14">
        <f t="shared" si="15"/>
        <v>303</v>
      </c>
      <c r="P29" s="14">
        <f t="shared" si="15"/>
        <v>303</v>
      </c>
      <c r="Q29" s="14">
        <f t="shared" si="15"/>
        <v>303</v>
      </c>
      <c r="R29" s="14">
        <f t="shared" si="15"/>
        <v>303</v>
      </c>
      <c r="S29" s="14">
        <f t="shared" si="15"/>
        <v>303</v>
      </c>
      <c r="T29" s="14">
        <f t="shared" si="13"/>
        <v>303</v>
      </c>
      <c r="U29" s="14">
        <f t="shared" si="13"/>
        <v>303</v>
      </c>
      <c r="V29" s="14">
        <f t="shared" si="13"/>
        <v>303</v>
      </c>
      <c r="W29" s="14">
        <f t="shared" si="13"/>
        <v>303</v>
      </c>
      <c r="X29" s="14">
        <f t="shared" si="13"/>
        <v>303</v>
      </c>
      <c r="Y29" s="14">
        <f t="shared" si="13"/>
        <v>303</v>
      </c>
      <c r="Z29" s="14">
        <f t="shared" si="13"/>
        <v>303</v>
      </c>
      <c r="AA29" s="14">
        <f t="shared" si="13"/>
        <v>303</v>
      </c>
      <c r="AB29" s="14">
        <f t="shared" si="13"/>
        <v>303</v>
      </c>
      <c r="AC29" s="14">
        <f t="shared" si="13"/>
        <v>303</v>
      </c>
      <c r="AD29" s="14">
        <f t="shared" si="6"/>
        <v>303</v>
      </c>
      <c r="AE29" s="14">
        <f t="shared" si="14"/>
        <v>303</v>
      </c>
      <c r="AF29" s="14">
        <f t="shared" si="14"/>
        <v>303</v>
      </c>
      <c r="AG29" s="14">
        <f t="shared" si="14"/>
        <v>303</v>
      </c>
      <c r="AH29" s="14">
        <f t="shared" si="14"/>
        <v>303</v>
      </c>
      <c r="AI29" s="14">
        <f t="shared" si="14"/>
        <v>303</v>
      </c>
      <c r="AJ29" s="14">
        <f t="shared" si="14"/>
        <v>303</v>
      </c>
      <c r="AK29" s="14">
        <f t="shared" si="14"/>
        <v>303</v>
      </c>
      <c r="AL29" s="14">
        <f t="shared" si="14"/>
        <v>303</v>
      </c>
      <c r="AM29" s="14">
        <f t="shared" si="14"/>
        <v>303</v>
      </c>
      <c r="AN29" s="14">
        <f t="shared" si="14"/>
        <v>303</v>
      </c>
      <c r="AO29" s="14">
        <f t="shared" si="14"/>
        <v>303</v>
      </c>
      <c r="AP29" s="14">
        <f t="shared" si="14"/>
        <v>303</v>
      </c>
      <c r="AQ29" s="14">
        <f t="shared" si="14"/>
        <v>303</v>
      </c>
      <c r="AR29" s="14">
        <f t="shared" si="14"/>
        <v>303</v>
      </c>
      <c r="AS29" s="14">
        <f t="shared" si="14"/>
        <v>303</v>
      </c>
      <c r="AT29" s="14">
        <f t="shared" si="14"/>
        <v>303</v>
      </c>
      <c r="AU29" s="14">
        <f t="shared" si="11"/>
        <v>303</v>
      </c>
      <c r="AV29" s="14">
        <f t="shared" si="11"/>
        <v>303</v>
      </c>
      <c r="AW29" s="14">
        <f t="shared" si="11"/>
        <v>303</v>
      </c>
      <c r="AX29" s="14">
        <f t="shared" si="11"/>
        <v>303</v>
      </c>
      <c r="AY29" s="14">
        <f t="shared" si="11"/>
        <v>303</v>
      </c>
      <c r="AZ29" s="14">
        <f t="shared" si="11"/>
        <v>303</v>
      </c>
      <c r="BA29" s="14">
        <f t="shared" si="11"/>
        <v>303</v>
      </c>
      <c r="BB29" s="14"/>
      <c r="BC29" s="14"/>
      <c r="BD29" s="14">
        <f ca="1">COUNTIF(OFFSET(BD$32,0,0,COUNT(時間希望調査!$A:$A)),$B29)</f>
        <v>10</v>
      </c>
      <c r="BE29" s="14">
        <f ca="1">COUNTIF(OFFSET(BE$32,0,0,COUNT(時間希望調査!$A:$A)),$B29)</f>
        <v>10</v>
      </c>
      <c r="BF29" s="14">
        <f ca="1">COUNTIF(OFFSET(BF$32,0,0,COUNT(時間希望調査!$A:$A)),$B29)</f>
        <v>10</v>
      </c>
      <c r="BG29" s="14">
        <f ca="1">COUNTIF(OFFSET(BG$32,0,0,COUNT(時間希望調査!$A:$A)),$B29)</f>
        <v>10</v>
      </c>
      <c r="BH29" s="14">
        <f ca="1">COUNTIF(OFFSET(BH$32,0,0,COUNT(時間希望調査!$A:$A)),$B29)</f>
        <v>10</v>
      </c>
      <c r="BI29" s="14"/>
      <c r="BJ29" s="14"/>
      <c r="BK29" s="14"/>
      <c r="BL29" s="14"/>
      <c r="BM29" s="14"/>
      <c r="BN29" s="14"/>
      <c r="BO29" s="14"/>
      <c r="BP29" s="14"/>
      <c r="BQ29" s="14"/>
      <c r="BR29" s="14"/>
      <c r="BS29" s="14"/>
      <c r="BT29" s="14"/>
      <c r="BU29" s="14"/>
      <c r="BV29" s="14"/>
      <c r="BW29" s="14"/>
      <c r="BX29" s="14"/>
      <c r="BY29" s="14"/>
      <c r="BZ29" s="14"/>
      <c r="CA29" s="14"/>
      <c r="CB29" s="14"/>
      <c r="CC29" s="14"/>
      <c r="CD29" s="14"/>
      <c r="CE29" s="14"/>
      <c r="CF29" s="14"/>
      <c r="CG29" s="14"/>
      <c r="CH29" s="14"/>
      <c r="CI29" s="14"/>
      <c r="CJ29" s="14"/>
      <c r="CK29" s="14"/>
      <c r="CL29" s="14"/>
    </row>
    <row r="30" spans="1:91" hidden="1">
      <c r="B30" s="14" t="str">
        <f>役職一覧!B30&amp;""</f>
        <v/>
      </c>
      <c r="C30" s="14">
        <f>役職一覧!E30</f>
        <v>0</v>
      </c>
      <c r="D30" s="14">
        <f t="shared" si="15"/>
        <v>302</v>
      </c>
      <c r="E30" s="14">
        <f t="shared" si="15"/>
        <v>303</v>
      </c>
      <c r="F30" s="14">
        <f t="shared" si="15"/>
        <v>302</v>
      </c>
      <c r="G30" s="14">
        <f t="shared" si="15"/>
        <v>302</v>
      </c>
      <c r="H30" s="14">
        <f t="shared" si="15"/>
        <v>303</v>
      </c>
      <c r="I30" s="14">
        <f t="shared" si="15"/>
        <v>302</v>
      </c>
      <c r="J30" s="14">
        <f t="shared" si="15"/>
        <v>303</v>
      </c>
      <c r="K30" s="14">
        <f t="shared" si="15"/>
        <v>303</v>
      </c>
      <c r="L30" s="14">
        <f t="shared" si="15"/>
        <v>303</v>
      </c>
      <c r="M30" s="14">
        <f t="shared" si="15"/>
        <v>303</v>
      </c>
      <c r="N30" s="14">
        <f t="shared" si="15"/>
        <v>303</v>
      </c>
      <c r="O30" s="14">
        <f t="shared" si="15"/>
        <v>303</v>
      </c>
      <c r="P30" s="14">
        <f t="shared" si="15"/>
        <v>303</v>
      </c>
      <c r="Q30" s="14">
        <f t="shared" si="15"/>
        <v>303</v>
      </c>
      <c r="R30" s="14">
        <f t="shared" si="15"/>
        <v>303</v>
      </c>
      <c r="S30" s="14">
        <f t="shared" si="15"/>
        <v>303</v>
      </c>
      <c r="T30" s="14">
        <f t="shared" si="13"/>
        <v>303</v>
      </c>
      <c r="U30" s="14">
        <f t="shared" si="13"/>
        <v>303</v>
      </c>
      <c r="V30" s="14">
        <f t="shared" si="13"/>
        <v>303</v>
      </c>
      <c r="W30" s="14">
        <f t="shared" si="13"/>
        <v>303</v>
      </c>
      <c r="X30" s="14">
        <f t="shared" si="13"/>
        <v>303</v>
      </c>
      <c r="Y30" s="14">
        <f t="shared" si="13"/>
        <v>303</v>
      </c>
      <c r="Z30" s="14">
        <f t="shared" si="13"/>
        <v>303</v>
      </c>
      <c r="AA30" s="14">
        <f t="shared" si="13"/>
        <v>303</v>
      </c>
      <c r="AB30" s="14">
        <f t="shared" si="13"/>
        <v>303</v>
      </c>
      <c r="AC30" s="14">
        <f t="shared" si="13"/>
        <v>303</v>
      </c>
      <c r="AD30" s="14">
        <f t="shared" si="6"/>
        <v>303</v>
      </c>
      <c r="AE30" s="14">
        <f t="shared" si="14"/>
        <v>303</v>
      </c>
      <c r="AF30" s="14">
        <f t="shared" si="14"/>
        <v>303</v>
      </c>
      <c r="AG30" s="14">
        <f t="shared" si="14"/>
        <v>303</v>
      </c>
      <c r="AH30" s="14">
        <f t="shared" si="14"/>
        <v>303</v>
      </c>
      <c r="AI30" s="14">
        <f t="shared" si="14"/>
        <v>303</v>
      </c>
      <c r="AJ30" s="14">
        <f t="shared" si="14"/>
        <v>303</v>
      </c>
      <c r="AK30" s="14">
        <f t="shared" si="14"/>
        <v>303</v>
      </c>
      <c r="AL30" s="14">
        <f t="shared" si="14"/>
        <v>303</v>
      </c>
      <c r="AM30" s="14">
        <f t="shared" si="14"/>
        <v>303</v>
      </c>
      <c r="AN30" s="14">
        <f t="shared" si="14"/>
        <v>303</v>
      </c>
      <c r="AO30" s="14">
        <f t="shared" si="14"/>
        <v>303</v>
      </c>
      <c r="AP30" s="14">
        <f t="shared" si="14"/>
        <v>303</v>
      </c>
      <c r="AQ30" s="14">
        <f t="shared" si="14"/>
        <v>303</v>
      </c>
      <c r="AR30" s="14">
        <f t="shared" si="14"/>
        <v>303</v>
      </c>
      <c r="AS30" s="14">
        <f t="shared" si="14"/>
        <v>303</v>
      </c>
      <c r="AT30" s="14">
        <f t="shared" si="14"/>
        <v>303</v>
      </c>
      <c r="AU30" s="14">
        <f t="shared" si="11"/>
        <v>303</v>
      </c>
      <c r="AV30" s="14">
        <f t="shared" si="11"/>
        <v>303</v>
      </c>
      <c r="AW30" s="14">
        <f t="shared" si="11"/>
        <v>303</v>
      </c>
      <c r="AX30" s="14">
        <f t="shared" si="11"/>
        <v>303</v>
      </c>
      <c r="AY30" s="14">
        <f t="shared" si="11"/>
        <v>303</v>
      </c>
      <c r="AZ30" s="14">
        <f t="shared" si="11"/>
        <v>303</v>
      </c>
      <c r="BA30" s="14">
        <f t="shared" si="11"/>
        <v>303</v>
      </c>
      <c r="BB30" s="14"/>
      <c r="BC30" s="14"/>
      <c r="BD30" s="14">
        <f ca="1">COUNTIF(OFFSET(BD$32,0,0,COUNT(時間希望調査!$A:$A)),$B30)</f>
        <v>10</v>
      </c>
      <c r="BE30" s="14">
        <f ca="1">COUNTIF(OFFSET(BE$32,0,0,COUNT(時間希望調査!$A:$A)),$B30)</f>
        <v>10</v>
      </c>
      <c r="BF30" s="14">
        <f ca="1">COUNTIF(OFFSET(BF$32,0,0,COUNT(時間希望調査!$A:$A)),$B30)</f>
        <v>10</v>
      </c>
      <c r="BG30" s="14">
        <f ca="1">COUNTIF(OFFSET(BG$32,0,0,COUNT(時間希望調査!$A:$A)),$B30)</f>
        <v>10</v>
      </c>
      <c r="BH30" s="14">
        <f ca="1">COUNTIF(OFFSET(BH$32,0,0,COUNT(時間希望調査!$A:$A)),$B30)</f>
        <v>10</v>
      </c>
      <c r="BI30" s="14"/>
      <c r="BJ30" s="14"/>
      <c r="BK30" s="14"/>
      <c r="BL30" s="14"/>
      <c r="BM30" s="14"/>
      <c r="BN30" s="14"/>
      <c r="BO30" s="14"/>
      <c r="BP30" s="14"/>
      <c r="BQ30" s="14"/>
      <c r="BR30" s="14"/>
      <c r="BS30" s="14"/>
      <c r="BT30" s="14"/>
      <c r="BU30" s="14"/>
      <c r="BV30" s="14"/>
      <c r="BW30" s="14"/>
      <c r="BX30" s="14"/>
      <c r="BY30" s="14"/>
      <c r="BZ30" s="14"/>
      <c r="CA30" s="14"/>
      <c r="CB30" s="14"/>
      <c r="CC30" s="14"/>
      <c r="CD30" s="14"/>
      <c r="CE30" s="14"/>
      <c r="CF30" s="14"/>
      <c r="CG30" s="14"/>
      <c r="CH30" s="14"/>
      <c r="CI30" s="14"/>
      <c r="CJ30" s="14"/>
      <c r="CK30" s="14"/>
      <c r="CL30" s="14"/>
    </row>
    <row r="31" spans="1:91" hidden="1">
      <c r="B31" s="14" t="str">
        <f>役職一覧!B31&amp;""</f>
        <v/>
      </c>
      <c r="C31" s="14">
        <f>役職一覧!E31</f>
        <v>0</v>
      </c>
      <c r="D31" s="14">
        <f t="shared" si="15"/>
        <v>302</v>
      </c>
      <c r="E31" s="14">
        <f t="shared" si="15"/>
        <v>303</v>
      </c>
      <c r="F31" s="14">
        <f t="shared" si="15"/>
        <v>302</v>
      </c>
      <c r="G31" s="14">
        <f t="shared" si="15"/>
        <v>302</v>
      </c>
      <c r="H31" s="14">
        <f t="shared" si="15"/>
        <v>303</v>
      </c>
      <c r="I31" s="14">
        <f t="shared" si="15"/>
        <v>302</v>
      </c>
      <c r="J31" s="14">
        <f t="shared" si="15"/>
        <v>303</v>
      </c>
      <c r="K31" s="14">
        <f t="shared" si="15"/>
        <v>303</v>
      </c>
      <c r="L31" s="14">
        <f t="shared" si="15"/>
        <v>303</v>
      </c>
      <c r="M31" s="14">
        <f t="shared" si="15"/>
        <v>303</v>
      </c>
      <c r="N31" s="14">
        <f t="shared" si="15"/>
        <v>303</v>
      </c>
      <c r="O31" s="14">
        <f t="shared" si="15"/>
        <v>303</v>
      </c>
      <c r="P31" s="14">
        <f t="shared" si="15"/>
        <v>303</v>
      </c>
      <c r="Q31" s="14">
        <f t="shared" si="15"/>
        <v>303</v>
      </c>
      <c r="R31" s="14">
        <f t="shared" si="15"/>
        <v>303</v>
      </c>
      <c r="S31" s="14">
        <f t="shared" si="15"/>
        <v>303</v>
      </c>
      <c r="T31" s="14">
        <f t="shared" si="13"/>
        <v>303</v>
      </c>
      <c r="U31" s="14">
        <f t="shared" si="13"/>
        <v>303</v>
      </c>
      <c r="V31" s="14">
        <f t="shared" si="13"/>
        <v>303</v>
      </c>
      <c r="W31" s="14">
        <f t="shared" si="13"/>
        <v>303</v>
      </c>
      <c r="X31" s="14">
        <f t="shared" si="13"/>
        <v>303</v>
      </c>
      <c r="Y31" s="14">
        <f t="shared" si="13"/>
        <v>303</v>
      </c>
      <c r="Z31" s="14">
        <f t="shared" si="13"/>
        <v>303</v>
      </c>
      <c r="AA31" s="14">
        <f t="shared" si="13"/>
        <v>303</v>
      </c>
      <c r="AB31" s="14">
        <f t="shared" si="13"/>
        <v>303</v>
      </c>
      <c r="AC31" s="14">
        <f t="shared" si="13"/>
        <v>303</v>
      </c>
      <c r="AD31" s="14">
        <f t="shared" si="6"/>
        <v>303</v>
      </c>
      <c r="AE31" s="14">
        <f t="shared" si="14"/>
        <v>303</v>
      </c>
      <c r="AF31" s="14">
        <f t="shared" si="14"/>
        <v>303</v>
      </c>
      <c r="AG31" s="14">
        <f t="shared" si="14"/>
        <v>303</v>
      </c>
      <c r="AH31" s="14">
        <f t="shared" si="14"/>
        <v>303</v>
      </c>
      <c r="AI31" s="14">
        <f t="shared" si="14"/>
        <v>303</v>
      </c>
      <c r="AJ31" s="14">
        <f t="shared" si="14"/>
        <v>303</v>
      </c>
      <c r="AK31" s="14">
        <f t="shared" si="14"/>
        <v>303</v>
      </c>
      <c r="AL31" s="14">
        <f t="shared" si="14"/>
        <v>303</v>
      </c>
      <c r="AM31" s="14">
        <f t="shared" si="14"/>
        <v>303</v>
      </c>
      <c r="AN31" s="14">
        <f t="shared" si="14"/>
        <v>303</v>
      </c>
      <c r="AO31" s="14">
        <f t="shared" si="14"/>
        <v>303</v>
      </c>
      <c r="AP31" s="14">
        <f t="shared" si="14"/>
        <v>303</v>
      </c>
      <c r="AQ31" s="14">
        <f t="shared" si="14"/>
        <v>303</v>
      </c>
      <c r="AR31" s="14">
        <f t="shared" si="14"/>
        <v>303</v>
      </c>
      <c r="AS31" s="14">
        <f t="shared" si="14"/>
        <v>303</v>
      </c>
      <c r="AT31" s="14">
        <f t="shared" si="14"/>
        <v>303</v>
      </c>
      <c r="AU31" s="14">
        <f t="shared" si="11"/>
        <v>303</v>
      </c>
      <c r="AV31" s="14">
        <f t="shared" si="11"/>
        <v>303</v>
      </c>
      <c r="AW31" s="14">
        <f t="shared" si="11"/>
        <v>303</v>
      </c>
      <c r="AX31" s="14">
        <f t="shared" si="11"/>
        <v>303</v>
      </c>
      <c r="AY31" s="14">
        <f t="shared" si="11"/>
        <v>303</v>
      </c>
      <c r="AZ31" s="14">
        <f t="shared" si="11"/>
        <v>303</v>
      </c>
      <c r="BA31" s="14">
        <f t="shared" si="11"/>
        <v>303</v>
      </c>
      <c r="BB31" s="14"/>
      <c r="BC31" s="14"/>
      <c r="BD31" s="14">
        <f ca="1">COUNTIF(OFFSET(BD$32,0,0,COUNT(時間希望調査!$A:$A)),$B31)</f>
        <v>10</v>
      </c>
      <c r="BE31" s="14">
        <f ca="1">COUNTIF(OFFSET(BE$32,0,0,COUNT(時間希望調査!$A:$A)),$B31)</f>
        <v>10</v>
      </c>
      <c r="BF31" s="14">
        <f ca="1">COUNTIF(OFFSET(BF$32,0,0,COUNT(時間希望調査!$A:$A)),$B31)</f>
        <v>10</v>
      </c>
      <c r="BG31" s="14">
        <f ca="1">COUNTIF(OFFSET(BG$32,0,0,COUNT(時間希望調査!$A:$A)),$B31)</f>
        <v>10</v>
      </c>
      <c r="BH31" s="14">
        <f ca="1">COUNTIF(OFFSET(BH$32,0,0,COUNT(時間希望調査!$A:$A)),$B31)</f>
        <v>10</v>
      </c>
      <c r="BI31" s="14"/>
      <c r="BJ31" s="14"/>
      <c r="BK31" s="14"/>
      <c r="BL31" s="14"/>
      <c r="BM31" s="14"/>
      <c r="BN31" s="14"/>
      <c r="BO31" s="14"/>
      <c r="BP31" s="14"/>
      <c r="BQ31" s="14"/>
      <c r="BR31" s="14"/>
      <c r="BS31" s="14"/>
      <c r="BT31" s="14"/>
      <c r="BU31" s="14"/>
      <c r="BV31" s="14"/>
      <c r="BW31" s="14"/>
      <c r="BX31" s="14"/>
      <c r="BY31" s="14"/>
      <c r="BZ31" s="14"/>
      <c r="CA31" s="14"/>
      <c r="CB31" s="14"/>
      <c r="CC31" s="14"/>
      <c r="CD31" s="14"/>
      <c r="CE31" s="14"/>
      <c r="CF31" s="14"/>
      <c r="CG31" s="14"/>
      <c r="CH31" s="14"/>
      <c r="CI31" s="14"/>
      <c r="CJ31" s="14"/>
      <c r="CK31" s="14"/>
      <c r="CL31" s="14"/>
    </row>
    <row r="32" spans="1:91">
      <c r="A32" s="10" t="str">
        <f>時間希望調査!A2&amp;""</f>
        <v>1</v>
      </c>
      <c r="B32" s="10" t="str">
        <f>時間希望調査!B2&amp;""</f>
        <v/>
      </c>
      <c r="C32" s="10" t="str">
        <f>時間希望調査!C2&amp;""</f>
        <v>キズナアイ</v>
      </c>
      <c r="D32" s="11" t="s">
        <v>66</v>
      </c>
      <c r="E32" s="11"/>
      <c r="F32" s="11" t="s">
        <v>74</v>
      </c>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0">
        <f>COUNTA(D32:BA32)</f>
        <v>2</v>
      </c>
      <c r="BC32" s="10">
        <f>時間希望調査!D2</f>
        <v>10</v>
      </c>
      <c r="BD32" s="10" t="str">
        <f>'役職希望調査 ・備考'!D2&amp;""</f>
        <v/>
      </c>
      <c r="BE32" s="10" t="str">
        <f>'役職希望調査 ・備考'!E2&amp;""</f>
        <v/>
      </c>
      <c r="BF32" s="10" t="str">
        <f>'役職希望調査 ・備考'!F2&amp;""</f>
        <v/>
      </c>
      <c r="BG32" s="10" t="str">
        <f>'役職希望調査 ・備考'!G2&amp;""</f>
        <v/>
      </c>
      <c r="BH32" s="10" t="str">
        <f>'役職希望調査 ・備考'!H2&amp;""</f>
        <v/>
      </c>
      <c r="BI32" s="10">
        <f t="shared" ref="BI32:BI63" si="16">COUNTIF(D32:BA32,BI$1)</f>
        <v>1</v>
      </c>
      <c r="BJ32" s="10">
        <f t="shared" ref="BJ32:BJ63" si="17">COUNTIF(E32:BB32,BJ$1)</f>
        <v>0</v>
      </c>
      <c r="BK32" s="10">
        <f t="shared" ref="BK32:BK63" si="18">COUNTIF(F32:BC32,BK$1)</f>
        <v>0</v>
      </c>
      <c r="BL32" s="10">
        <f t="shared" ref="BL32:BL63" si="19">COUNTIF(G32:BD32,BL$1)</f>
        <v>0</v>
      </c>
      <c r="BM32" s="10">
        <f t="shared" ref="BM32:BM63" si="20">COUNTIF(H32:BE32,BM$1)</f>
        <v>0</v>
      </c>
      <c r="BN32" s="10">
        <f t="shared" ref="BN32:BN63" si="21">COUNTIF(I32:BF32,BN$1)</f>
        <v>0</v>
      </c>
      <c r="BO32" s="10">
        <f t="shared" ref="BO32:BO63" si="22">COUNTIF(J32:BG32,BO$1)</f>
        <v>48</v>
      </c>
      <c r="BP32" s="10">
        <f t="shared" ref="BP32:BP63" si="23">COUNTIF(K32:BH32,BP$1)</f>
        <v>48</v>
      </c>
      <c r="BQ32" s="10">
        <f t="shared" ref="BQ32:BQ63" si="24">COUNTIF(L32:BI32,BQ$1)</f>
        <v>47</v>
      </c>
      <c r="BR32" s="10">
        <f t="shared" ref="BR32:BR63" si="25">COUNTIF(M32:BJ32,BR$1)</f>
        <v>46</v>
      </c>
      <c r="BS32" s="10">
        <f t="shared" ref="BS32:BS63" si="26">COUNTIF(N32:BK32,BS$1)</f>
        <v>45</v>
      </c>
      <c r="BT32" s="10">
        <f t="shared" ref="BT32:BT63" si="27">COUNTIF(O32:BL32,BT$1)</f>
        <v>44</v>
      </c>
      <c r="BU32" s="10">
        <f t="shared" ref="BU32:BU63" si="28">COUNTIF(P32:BM32,BU$1)</f>
        <v>43</v>
      </c>
      <c r="BV32" s="10">
        <f t="shared" ref="BV32:BV63" si="29">COUNTIF(Q32:BN32,BV$1)</f>
        <v>42</v>
      </c>
      <c r="BW32" s="10">
        <f t="shared" ref="BW32:BW63" si="30">COUNTIF(R32:BO32,BW$1)</f>
        <v>41</v>
      </c>
      <c r="BX32" s="10">
        <f t="shared" ref="BX32:BX63" si="31">COUNTIF(S32:BP32,BX$1)</f>
        <v>40</v>
      </c>
      <c r="BY32" s="10">
        <f t="shared" ref="BY32:BY63" si="32">COUNTIF(T32:BQ32,BY$1)</f>
        <v>39</v>
      </c>
      <c r="BZ32" s="10">
        <f t="shared" ref="BZ32:BZ63" si="33">COUNTIF(U32:BR32,BZ$1)</f>
        <v>38</v>
      </c>
      <c r="CA32" s="10">
        <f t="shared" ref="CA32:CA63" si="34">COUNTIF(V32:BS32,CA$1)</f>
        <v>37</v>
      </c>
      <c r="CB32" s="10">
        <f t="shared" ref="CB32:CB63" si="35">COUNTIF(W32:BT32,CB$1)</f>
        <v>36</v>
      </c>
      <c r="CC32" s="10">
        <f t="shared" ref="CC32:CC63" si="36">COUNTIF(X32:BU32,CC$1)</f>
        <v>35</v>
      </c>
      <c r="CD32" s="10">
        <f t="shared" ref="CD32:CD63" si="37">COUNTIF(Y32:BV32,CD$1)</f>
        <v>34</v>
      </c>
      <c r="CE32" s="10">
        <f t="shared" ref="CE32:CE63" si="38">COUNTIF(Z32:BW32,CE$1)</f>
        <v>33</v>
      </c>
      <c r="CF32" s="10">
        <f t="shared" ref="CF32:CF63" si="39">COUNTIF(AA32:BX32,CF$1)</f>
        <v>32</v>
      </c>
      <c r="CG32" s="10">
        <f t="shared" ref="CG32:CG63" si="40">COUNTIF(AB32:BY32,CG$1)</f>
        <v>31</v>
      </c>
      <c r="CH32" s="10">
        <f t="shared" ref="CH32:CH63" si="41">COUNTIF(AC32:BZ32,CH$1)</f>
        <v>30</v>
      </c>
      <c r="CI32" s="10">
        <f t="shared" ref="CI32:CI63" si="42">COUNTIF(AD32:CA32,CI$1)</f>
        <v>29</v>
      </c>
      <c r="CJ32" s="10">
        <f t="shared" ref="CJ32:CJ63" si="43">COUNTIF(AE32:CB32,CJ$1)</f>
        <v>28</v>
      </c>
      <c r="CK32" s="10">
        <f t="shared" ref="CK32:CK63" si="44">COUNTIF(AF32:CC32,CK$1)</f>
        <v>27</v>
      </c>
      <c r="CL32" s="10">
        <f t="shared" ref="CL32:CL63" si="45">COUNTIF(AG32:CD32,CL$1)</f>
        <v>26</v>
      </c>
      <c r="CM32" s="10" t="str">
        <f>'役職希望調査 ・備考'!I2&amp;""</f>
        <v/>
      </c>
    </row>
    <row r="33" spans="1:91">
      <c r="A33" s="10" t="str">
        <f>時間希望調査!A3&amp;""</f>
        <v>2</v>
      </c>
      <c r="B33" s="10" t="str">
        <f>時間希望調査!B3&amp;""</f>
        <v/>
      </c>
      <c r="C33" s="10" t="str">
        <f>時間希望調査!C3&amp;""</f>
        <v>輝夜月</v>
      </c>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0">
        <f t="shared" ref="BB33:BB96" si="46">COUNTA(D33:BA33)</f>
        <v>0</v>
      </c>
      <c r="BC33" s="10">
        <f>時間希望調査!D3</f>
        <v>1</v>
      </c>
      <c r="BD33" s="10" t="str">
        <f>'役職希望調査 ・備考'!D3&amp;""</f>
        <v/>
      </c>
      <c r="BE33" s="10" t="str">
        <f>'役職希望調査 ・備考'!E3&amp;""</f>
        <v/>
      </c>
      <c r="BF33" s="10" t="str">
        <f>'役職希望調査 ・備考'!F3&amp;""</f>
        <v/>
      </c>
      <c r="BG33" s="10" t="str">
        <f>'役職希望調査 ・備考'!G3&amp;""</f>
        <v/>
      </c>
      <c r="BH33" s="10" t="str">
        <f>'役職希望調査 ・備考'!H3&amp;""</f>
        <v/>
      </c>
      <c r="BI33" s="10">
        <f t="shared" si="16"/>
        <v>0</v>
      </c>
      <c r="BJ33" s="10">
        <f t="shared" si="17"/>
        <v>0</v>
      </c>
      <c r="BK33" s="10">
        <f t="shared" si="18"/>
        <v>0</v>
      </c>
      <c r="BL33" s="10">
        <f t="shared" si="19"/>
        <v>0</v>
      </c>
      <c r="BM33" s="10">
        <f t="shared" si="20"/>
        <v>0</v>
      </c>
      <c r="BN33" s="10">
        <f t="shared" si="21"/>
        <v>0</v>
      </c>
      <c r="BO33" s="10">
        <f t="shared" si="22"/>
        <v>48</v>
      </c>
      <c r="BP33" s="10">
        <f t="shared" si="23"/>
        <v>48</v>
      </c>
      <c r="BQ33" s="10">
        <f t="shared" si="24"/>
        <v>47</v>
      </c>
      <c r="BR33" s="10">
        <f t="shared" si="25"/>
        <v>46</v>
      </c>
      <c r="BS33" s="10">
        <f t="shared" si="26"/>
        <v>45</v>
      </c>
      <c r="BT33" s="10">
        <f t="shared" si="27"/>
        <v>44</v>
      </c>
      <c r="BU33" s="10">
        <f t="shared" si="28"/>
        <v>43</v>
      </c>
      <c r="BV33" s="10">
        <f t="shared" si="29"/>
        <v>42</v>
      </c>
      <c r="BW33" s="10">
        <f t="shared" si="30"/>
        <v>41</v>
      </c>
      <c r="BX33" s="10">
        <f t="shared" si="31"/>
        <v>40</v>
      </c>
      <c r="BY33" s="10">
        <f t="shared" si="32"/>
        <v>39</v>
      </c>
      <c r="BZ33" s="10">
        <f t="shared" si="33"/>
        <v>38</v>
      </c>
      <c r="CA33" s="10">
        <f t="shared" si="34"/>
        <v>37</v>
      </c>
      <c r="CB33" s="10">
        <f t="shared" si="35"/>
        <v>36</v>
      </c>
      <c r="CC33" s="10">
        <f t="shared" si="36"/>
        <v>35</v>
      </c>
      <c r="CD33" s="10">
        <f t="shared" si="37"/>
        <v>34</v>
      </c>
      <c r="CE33" s="10">
        <f t="shared" si="38"/>
        <v>33</v>
      </c>
      <c r="CF33" s="10">
        <f t="shared" si="39"/>
        <v>32</v>
      </c>
      <c r="CG33" s="10">
        <f t="shared" si="40"/>
        <v>31</v>
      </c>
      <c r="CH33" s="10">
        <f t="shared" si="41"/>
        <v>30</v>
      </c>
      <c r="CI33" s="10">
        <f t="shared" si="42"/>
        <v>29</v>
      </c>
      <c r="CJ33" s="10">
        <f t="shared" si="43"/>
        <v>28</v>
      </c>
      <c r="CK33" s="10">
        <f t="shared" si="44"/>
        <v>27</v>
      </c>
      <c r="CL33" s="10">
        <f t="shared" si="45"/>
        <v>26</v>
      </c>
      <c r="CM33" s="10" t="str">
        <f>'役職希望調査 ・備考'!I3&amp;""</f>
        <v/>
      </c>
    </row>
    <row r="34" spans="1:91">
      <c r="A34" s="10" t="str">
        <f>時間希望調査!A4&amp;""</f>
        <v>3</v>
      </c>
      <c r="B34" s="10" t="str">
        <f>時間希望調査!B4&amp;""</f>
        <v/>
      </c>
      <c r="C34" s="10" t="str">
        <f>時間希望調査!C4&amp;""</f>
        <v>ときのそら</v>
      </c>
      <c r="D34" s="11"/>
      <c r="E34" s="11"/>
      <c r="F34" s="11"/>
      <c r="G34" s="11" t="s">
        <v>68</v>
      </c>
      <c r="H34" s="11"/>
      <c r="I34" s="11" t="s">
        <v>66</v>
      </c>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0">
        <f t="shared" si="46"/>
        <v>2</v>
      </c>
      <c r="BC34" s="10">
        <f>時間希望調査!D4</f>
        <v>1</v>
      </c>
      <c r="BD34" s="10" t="str">
        <f>'役職希望調査 ・備考'!D4&amp;""</f>
        <v/>
      </c>
      <c r="BE34" s="10" t="str">
        <f>'役職希望調査 ・備考'!E4&amp;""</f>
        <v/>
      </c>
      <c r="BF34" s="10" t="str">
        <f>'役職希望調査 ・備考'!F4&amp;""</f>
        <v/>
      </c>
      <c r="BG34" s="10" t="str">
        <f>'役職希望調査 ・備考'!G4&amp;""</f>
        <v/>
      </c>
      <c r="BH34" s="10" t="str">
        <f>'役職希望調査 ・備考'!H4&amp;""</f>
        <v/>
      </c>
      <c r="BI34" s="10">
        <f t="shared" si="16"/>
        <v>1</v>
      </c>
      <c r="BJ34" s="10">
        <f t="shared" si="17"/>
        <v>1</v>
      </c>
      <c r="BK34" s="10">
        <f t="shared" si="18"/>
        <v>0</v>
      </c>
      <c r="BL34" s="10">
        <f t="shared" si="19"/>
        <v>0</v>
      </c>
      <c r="BM34" s="10">
        <f t="shared" si="20"/>
        <v>0</v>
      </c>
      <c r="BN34" s="10">
        <f t="shared" si="21"/>
        <v>0</v>
      </c>
      <c r="BO34" s="10">
        <f t="shared" si="22"/>
        <v>48</v>
      </c>
      <c r="BP34" s="10">
        <f t="shared" si="23"/>
        <v>48</v>
      </c>
      <c r="BQ34" s="10">
        <f t="shared" si="24"/>
        <v>47</v>
      </c>
      <c r="BR34" s="10">
        <f t="shared" si="25"/>
        <v>46</v>
      </c>
      <c r="BS34" s="10">
        <f t="shared" si="26"/>
        <v>45</v>
      </c>
      <c r="BT34" s="10">
        <f t="shared" si="27"/>
        <v>44</v>
      </c>
      <c r="BU34" s="10">
        <f t="shared" si="28"/>
        <v>43</v>
      </c>
      <c r="BV34" s="10">
        <f t="shared" si="29"/>
        <v>42</v>
      </c>
      <c r="BW34" s="10">
        <f t="shared" si="30"/>
        <v>41</v>
      </c>
      <c r="BX34" s="10">
        <f t="shared" si="31"/>
        <v>40</v>
      </c>
      <c r="BY34" s="10">
        <f t="shared" si="32"/>
        <v>39</v>
      </c>
      <c r="BZ34" s="10">
        <f t="shared" si="33"/>
        <v>38</v>
      </c>
      <c r="CA34" s="10">
        <f t="shared" si="34"/>
        <v>37</v>
      </c>
      <c r="CB34" s="10">
        <f t="shared" si="35"/>
        <v>36</v>
      </c>
      <c r="CC34" s="10">
        <f t="shared" si="36"/>
        <v>35</v>
      </c>
      <c r="CD34" s="10">
        <f t="shared" si="37"/>
        <v>34</v>
      </c>
      <c r="CE34" s="10">
        <f t="shared" si="38"/>
        <v>33</v>
      </c>
      <c r="CF34" s="10">
        <f t="shared" si="39"/>
        <v>32</v>
      </c>
      <c r="CG34" s="10">
        <f t="shared" si="40"/>
        <v>31</v>
      </c>
      <c r="CH34" s="10">
        <f t="shared" si="41"/>
        <v>30</v>
      </c>
      <c r="CI34" s="10">
        <f t="shared" si="42"/>
        <v>29</v>
      </c>
      <c r="CJ34" s="10">
        <f t="shared" si="43"/>
        <v>28</v>
      </c>
      <c r="CK34" s="10">
        <f t="shared" si="44"/>
        <v>27</v>
      </c>
      <c r="CL34" s="10">
        <f t="shared" si="45"/>
        <v>26</v>
      </c>
      <c r="CM34" s="10" t="str">
        <f>'役職希望調査 ・備考'!I4&amp;""</f>
        <v/>
      </c>
    </row>
    <row r="35" spans="1:91">
      <c r="A35" s="10" t="str">
        <f>時間希望調査!A5&amp;""</f>
        <v>4</v>
      </c>
      <c r="B35" s="10" t="str">
        <f>時間希望調査!B5&amp;""</f>
        <v/>
      </c>
      <c r="C35" s="10" t="str">
        <f>時間希望調査!C5&amp;""</f>
        <v>はじめしゃちょー</v>
      </c>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0">
        <f t="shared" si="46"/>
        <v>0</v>
      </c>
      <c r="BC35" s="10">
        <f>時間希望調査!D5</f>
        <v>10</v>
      </c>
      <c r="BD35" s="10" t="str">
        <f>'役職希望調査 ・備考'!D5&amp;""</f>
        <v/>
      </c>
      <c r="BE35" s="10" t="str">
        <f>'役職希望調査 ・備考'!E5&amp;""</f>
        <v/>
      </c>
      <c r="BF35" s="10" t="str">
        <f>'役職希望調査 ・備考'!F5&amp;""</f>
        <v/>
      </c>
      <c r="BG35" s="10" t="str">
        <f>'役職希望調査 ・備考'!G5&amp;""</f>
        <v/>
      </c>
      <c r="BH35" s="10" t="str">
        <f>'役職希望調査 ・備考'!H5&amp;""</f>
        <v/>
      </c>
      <c r="BI35" s="10">
        <f t="shared" si="16"/>
        <v>0</v>
      </c>
      <c r="BJ35" s="10">
        <f t="shared" si="17"/>
        <v>0</v>
      </c>
      <c r="BK35" s="10">
        <f t="shared" si="18"/>
        <v>0</v>
      </c>
      <c r="BL35" s="10">
        <f t="shared" si="19"/>
        <v>0</v>
      </c>
      <c r="BM35" s="10">
        <f t="shared" si="20"/>
        <v>0</v>
      </c>
      <c r="BN35" s="10">
        <f t="shared" si="21"/>
        <v>0</v>
      </c>
      <c r="BO35" s="10">
        <f t="shared" si="22"/>
        <v>48</v>
      </c>
      <c r="BP35" s="10">
        <f t="shared" si="23"/>
        <v>48</v>
      </c>
      <c r="BQ35" s="10">
        <f t="shared" si="24"/>
        <v>47</v>
      </c>
      <c r="BR35" s="10">
        <f t="shared" si="25"/>
        <v>46</v>
      </c>
      <c r="BS35" s="10">
        <f t="shared" si="26"/>
        <v>45</v>
      </c>
      <c r="BT35" s="10">
        <f t="shared" si="27"/>
        <v>44</v>
      </c>
      <c r="BU35" s="10">
        <f t="shared" si="28"/>
        <v>43</v>
      </c>
      <c r="BV35" s="10">
        <f t="shared" si="29"/>
        <v>42</v>
      </c>
      <c r="BW35" s="10">
        <f t="shared" si="30"/>
        <v>41</v>
      </c>
      <c r="BX35" s="10">
        <f t="shared" si="31"/>
        <v>40</v>
      </c>
      <c r="BY35" s="10">
        <f t="shared" si="32"/>
        <v>39</v>
      </c>
      <c r="BZ35" s="10">
        <f t="shared" si="33"/>
        <v>38</v>
      </c>
      <c r="CA35" s="10">
        <f t="shared" si="34"/>
        <v>37</v>
      </c>
      <c r="CB35" s="10">
        <f t="shared" si="35"/>
        <v>36</v>
      </c>
      <c r="CC35" s="10">
        <f t="shared" si="36"/>
        <v>35</v>
      </c>
      <c r="CD35" s="10">
        <f t="shared" si="37"/>
        <v>34</v>
      </c>
      <c r="CE35" s="10">
        <f t="shared" si="38"/>
        <v>33</v>
      </c>
      <c r="CF35" s="10">
        <f t="shared" si="39"/>
        <v>32</v>
      </c>
      <c r="CG35" s="10">
        <f t="shared" si="40"/>
        <v>31</v>
      </c>
      <c r="CH35" s="10">
        <f t="shared" si="41"/>
        <v>30</v>
      </c>
      <c r="CI35" s="10">
        <f t="shared" si="42"/>
        <v>29</v>
      </c>
      <c r="CJ35" s="10">
        <f t="shared" si="43"/>
        <v>28</v>
      </c>
      <c r="CK35" s="10">
        <f t="shared" si="44"/>
        <v>27</v>
      </c>
      <c r="CL35" s="10">
        <f t="shared" si="45"/>
        <v>26</v>
      </c>
      <c r="CM35" s="10" t="str">
        <f>'役職希望調査 ・備考'!I5&amp;""</f>
        <v/>
      </c>
    </row>
    <row r="36" spans="1:91">
      <c r="A36" s="10" t="str">
        <f>時間希望調査!A6&amp;""</f>
        <v>5</v>
      </c>
      <c r="B36" s="10" t="str">
        <f>時間希望調査!B6&amp;""</f>
        <v/>
      </c>
      <c r="C36" s="10" t="str">
        <f>時間希望調査!C6&amp;""</f>
        <v/>
      </c>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0">
        <f t="shared" si="46"/>
        <v>0</v>
      </c>
      <c r="BC36" s="10">
        <f>時間希望調査!D6</f>
        <v>0</v>
      </c>
      <c r="BD36" s="10" t="str">
        <f>'役職希望調査 ・備考'!D6&amp;""</f>
        <v/>
      </c>
      <c r="BE36" s="10" t="str">
        <f>'役職希望調査 ・備考'!E6&amp;""</f>
        <v/>
      </c>
      <c r="BF36" s="10" t="str">
        <f>'役職希望調査 ・備考'!F6&amp;""</f>
        <v/>
      </c>
      <c r="BG36" s="10" t="str">
        <f>'役職希望調査 ・備考'!G6&amp;""</f>
        <v/>
      </c>
      <c r="BH36" s="10" t="str">
        <f>'役職希望調査 ・備考'!H6&amp;""</f>
        <v/>
      </c>
      <c r="BI36" s="10">
        <f t="shared" si="16"/>
        <v>0</v>
      </c>
      <c r="BJ36" s="10">
        <f t="shared" si="17"/>
        <v>0</v>
      </c>
      <c r="BK36" s="10">
        <f t="shared" si="18"/>
        <v>0</v>
      </c>
      <c r="BL36" s="10">
        <f t="shared" si="19"/>
        <v>0</v>
      </c>
      <c r="BM36" s="10">
        <f t="shared" si="20"/>
        <v>0</v>
      </c>
      <c r="BN36" s="10">
        <f t="shared" si="21"/>
        <v>0</v>
      </c>
      <c r="BO36" s="10">
        <f t="shared" si="22"/>
        <v>48</v>
      </c>
      <c r="BP36" s="10">
        <f t="shared" si="23"/>
        <v>48</v>
      </c>
      <c r="BQ36" s="10">
        <f t="shared" si="24"/>
        <v>47</v>
      </c>
      <c r="BR36" s="10">
        <f t="shared" si="25"/>
        <v>46</v>
      </c>
      <c r="BS36" s="10">
        <f t="shared" si="26"/>
        <v>45</v>
      </c>
      <c r="BT36" s="10">
        <f t="shared" si="27"/>
        <v>44</v>
      </c>
      <c r="BU36" s="10">
        <f t="shared" si="28"/>
        <v>43</v>
      </c>
      <c r="BV36" s="10">
        <f t="shared" si="29"/>
        <v>42</v>
      </c>
      <c r="BW36" s="10">
        <f t="shared" si="30"/>
        <v>41</v>
      </c>
      <c r="BX36" s="10">
        <f t="shared" si="31"/>
        <v>40</v>
      </c>
      <c r="BY36" s="10">
        <f t="shared" si="32"/>
        <v>39</v>
      </c>
      <c r="BZ36" s="10">
        <f t="shared" si="33"/>
        <v>38</v>
      </c>
      <c r="CA36" s="10">
        <f t="shared" si="34"/>
        <v>37</v>
      </c>
      <c r="CB36" s="10">
        <f t="shared" si="35"/>
        <v>36</v>
      </c>
      <c r="CC36" s="10">
        <f t="shared" si="36"/>
        <v>35</v>
      </c>
      <c r="CD36" s="10">
        <f t="shared" si="37"/>
        <v>34</v>
      </c>
      <c r="CE36" s="10">
        <f t="shared" si="38"/>
        <v>33</v>
      </c>
      <c r="CF36" s="10">
        <f t="shared" si="39"/>
        <v>32</v>
      </c>
      <c r="CG36" s="10">
        <f t="shared" si="40"/>
        <v>31</v>
      </c>
      <c r="CH36" s="10">
        <f t="shared" si="41"/>
        <v>30</v>
      </c>
      <c r="CI36" s="10">
        <f t="shared" si="42"/>
        <v>29</v>
      </c>
      <c r="CJ36" s="10">
        <f t="shared" si="43"/>
        <v>28</v>
      </c>
      <c r="CK36" s="10">
        <f t="shared" si="44"/>
        <v>27</v>
      </c>
      <c r="CL36" s="10">
        <f t="shared" si="45"/>
        <v>26</v>
      </c>
      <c r="CM36" s="10" t="str">
        <f>'役職希望調査 ・備考'!I6&amp;""</f>
        <v/>
      </c>
    </row>
    <row r="37" spans="1:91">
      <c r="A37" s="10" t="str">
        <f>時間希望調査!A7&amp;""</f>
        <v>6</v>
      </c>
      <c r="B37" s="10" t="str">
        <f>時間希望調査!B7&amp;""</f>
        <v/>
      </c>
      <c r="C37" s="10" t="str">
        <f>時間希望調査!C7&amp;""</f>
        <v/>
      </c>
      <c r="D37" s="11"/>
      <c r="E37" s="11"/>
      <c r="F37" s="11"/>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0">
        <f t="shared" si="46"/>
        <v>0</v>
      </c>
      <c r="BC37" s="10">
        <f>時間希望調査!D7</f>
        <v>0</v>
      </c>
      <c r="BD37" s="10" t="str">
        <f>'役職希望調査 ・備考'!D7&amp;""</f>
        <v/>
      </c>
      <c r="BE37" s="10" t="str">
        <f>'役職希望調査 ・備考'!E7&amp;""</f>
        <v/>
      </c>
      <c r="BF37" s="10" t="str">
        <f>'役職希望調査 ・備考'!F7&amp;""</f>
        <v/>
      </c>
      <c r="BG37" s="10" t="str">
        <f>'役職希望調査 ・備考'!G7&amp;""</f>
        <v/>
      </c>
      <c r="BH37" s="10" t="str">
        <f>'役職希望調査 ・備考'!H7&amp;""</f>
        <v/>
      </c>
      <c r="BI37" s="10">
        <f t="shared" si="16"/>
        <v>0</v>
      </c>
      <c r="BJ37" s="10">
        <f t="shared" si="17"/>
        <v>0</v>
      </c>
      <c r="BK37" s="10">
        <f t="shared" si="18"/>
        <v>0</v>
      </c>
      <c r="BL37" s="10">
        <f t="shared" si="19"/>
        <v>0</v>
      </c>
      <c r="BM37" s="10">
        <f t="shared" si="20"/>
        <v>0</v>
      </c>
      <c r="BN37" s="10">
        <f t="shared" si="21"/>
        <v>0</v>
      </c>
      <c r="BO37" s="10">
        <f t="shared" si="22"/>
        <v>48</v>
      </c>
      <c r="BP37" s="10">
        <f t="shared" si="23"/>
        <v>48</v>
      </c>
      <c r="BQ37" s="10">
        <f t="shared" si="24"/>
        <v>47</v>
      </c>
      <c r="BR37" s="10">
        <f t="shared" si="25"/>
        <v>46</v>
      </c>
      <c r="BS37" s="10">
        <f t="shared" si="26"/>
        <v>45</v>
      </c>
      <c r="BT37" s="10">
        <f t="shared" si="27"/>
        <v>44</v>
      </c>
      <c r="BU37" s="10">
        <f t="shared" si="28"/>
        <v>43</v>
      </c>
      <c r="BV37" s="10">
        <f t="shared" si="29"/>
        <v>42</v>
      </c>
      <c r="BW37" s="10">
        <f t="shared" si="30"/>
        <v>41</v>
      </c>
      <c r="BX37" s="10">
        <f t="shared" si="31"/>
        <v>40</v>
      </c>
      <c r="BY37" s="10">
        <f t="shared" si="32"/>
        <v>39</v>
      </c>
      <c r="BZ37" s="10">
        <f t="shared" si="33"/>
        <v>38</v>
      </c>
      <c r="CA37" s="10">
        <f t="shared" si="34"/>
        <v>37</v>
      </c>
      <c r="CB37" s="10">
        <f t="shared" si="35"/>
        <v>36</v>
      </c>
      <c r="CC37" s="10">
        <f t="shared" si="36"/>
        <v>35</v>
      </c>
      <c r="CD37" s="10">
        <f t="shared" si="37"/>
        <v>34</v>
      </c>
      <c r="CE37" s="10">
        <f t="shared" si="38"/>
        <v>33</v>
      </c>
      <c r="CF37" s="10">
        <f t="shared" si="39"/>
        <v>32</v>
      </c>
      <c r="CG37" s="10">
        <f t="shared" si="40"/>
        <v>31</v>
      </c>
      <c r="CH37" s="10">
        <f t="shared" si="41"/>
        <v>30</v>
      </c>
      <c r="CI37" s="10">
        <f t="shared" si="42"/>
        <v>29</v>
      </c>
      <c r="CJ37" s="10">
        <f t="shared" si="43"/>
        <v>28</v>
      </c>
      <c r="CK37" s="10">
        <f t="shared" si="44"/>
        <v>27</v>
      </c>
      <c r="CL37" s="10">
        <f t="shared" si="45"/>
        <v>26</v>
      </c>
      <c r="CM37" s="10" t="str">
        <f>'役職希望調査 ・備考'!I7&amp;""</f>
        <v/>
      </c>
    </row>
    <row r="38" spans="1:91">
      <c r="A38" s="10" t="str">
        <f>時間希望調査!A8&amp;""</f>
        <v>7</v>
      </c>
      <c r="B38" s="10" t="str">
        <f>時間希望調査!B8&amp;""</f>
        <v/>
      </c>
      <c r="C38" s="10" t="str">
        <f>時間希望調査!C8&amp;""</f>
        <v/>
      </c>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0">
        <f t="shared" si="46"/>
        <v>0</v>
      </c>
      <c r="BC38" s="10">
        <f>時間希望調査!D8</f>
        <v>0</v>
      </c>
      <c r="BD38" s="10" t="str">
        <f>'役職希望調査 ・備考'!D8&amp;""</f>
        <v/>
      </c>
      <c r="BE38" s="10" t="str">
        <f>'役職希望調査 ・備考'!E8&amp;""</f>
        <v/>
      </c>
      <c r="BF38" s="10" t="str">
        <f>'役職希望調査 ・備考'!F8&amp;""</f>
        <v/>
      </c>
      <c r="BG38" s="10" t="str">
        <f>'役職希望調査 ・備考'!G8&amp;""</f>
        <v/>
      </c>
      <c r="BH38" s="10" t="str">
        <f>'役職希望調査 ・備考'!H8&amp;""</f>
        <v/>
      </c>
      <c r="BI38" s="10">
        <f t="shared" si="16"/>
        <v>0</v>
      </c>
      <c r="BJ38" s="10">
        <f t="shared" si="17"/>
        <v>0</v>
      </c>
      <c r="BK38" s="10">
        <f t="shared" si="18"/>
        <v>0</v>
      </c>
      <c r="BL38" s="10">
        <f t="shared" si="19"/>
        <v>0</v>
      </c>
      <c r="BM38" s="10">
        <f t="shared" si="20"/>
        <v>0</v>
      </c>
      <c r="BN38" s="10">
        <f t="shared" si="21"/>
        <v>0</v>
      </c>
      <c r="BO38" s="10">
        <f t="shared" si="22"/>
        <v>48</v>
      </c>
      <c r="BP38" s="10">
        <f t="shared" si="23"/>
        <v>48</v>
      </c>
      <c r="BQ38" s="10">
        <f t="shared" si="24"/>
        <v>47</v>
      </c>
      <c r="BR38" s="10">
        <f t="shared" si="25"/>
        <v>46</v>
      </c>
      <c r="BS38" s="10">
        <f t="shared" si="26"/>
        <v>45</v>
      </c>
      <c r="BT38" s="10">
        <f t="shared" si="27"/>
        <v>44</v>
      </c>
      <c r="BU38" s="10">
        <f t="shared" si="28"/>
        <v>43</v>
      </c>
      <c r="BV38" s="10">
        <f t="shared" si="29"/>
        <v>42</v>
      </c>
      <c r="BW38" s="10">
        <f t="shared" si="30"/>
        <v>41</v>
      </c>
      <c r="BX38" s="10">
        <f t="shared" si="31"/>
        <v>40</v>
      </c>
      <c r="BY38" s="10">
        <f t="shared" si="32"/>
        <v>39</v>
      </c>
      <c r="BZ38" s="10">
        <f t="shared" si="33"/>
        <v>38</v>
      </c>
      <c r="CA38" s="10">
        <f t="shared" si="34"/>
        <v>37</v>
      </c>
      <c r="CB38" s="10">
        <f t="shared" si="35"/>
        <v>36</v>
      </c>
      <c r="CC38" s="10">
        <f t="shared" si="36"/>
        <v>35</v>
      </c>
      <c r="CD38" s="10">
        <f t="shared" si="37"/>
        <v>34</v>
      </c>
      <c r="CE38" s="10">
        <f t="shared" si="38"/>
        <v>33</v>
      </c>
      <c r="CF38" s="10">
        <f t="shared" si="39"/>
        <v>32</v>
      </c>
      <c r="CG38" s="10">
        <f t="shared" si="40"/>
        <v>31</v>
      </c>
      <c r="CH38" s="10">
        <f t="shared" si="41"/>
        <v>30</v>
      </c>
      <c r="CI38" s="10">
        <f t="shared" si="42"/>
        <v>29</v>
      </c>
      <c r="CJ38" s="10">
        <f t="shared" si="43"/>
        <v>28</v>
      </c>
      <c r="CK38" s="10">
        <f t="shared" si="44"/>
        <v>27</v>
      </c>
      <c r="CL38" s="10">
        <f t="shared" si="45"/>
        <v>26</v>
      </c>
      <c r="CM38" s="10" t="str">
        <f>'役職希望調査 ・備考'!I8&amp;""</f>
        <v/>
      </c>
    </row>
    <row r="39" spans="1:91">
      <c r="A39" s="10" t="str">
        <f>時間希望調査!A9&amp;""</f>
        <v>8</v>
      </c>
      <c r="B39" s="10" t="str">
        <f>時間希望調査!B9&amp;""</f>
        <v/>
      </c>
      <c r="C39" s="10" t="str">
        <f>時間希望調査!C9&amp;""</f>
        <v/>
      </c>
      <c r="D39" s="11"/>
      <c r="E39" s="11"/>
      <c r="F39" s="11"/>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0">
        <f t="shared" si="46"/>
        <v>0</v>
      </c>
      <c r="BC39" s="10">
        <f>時間希望調査!D9</f>
        <v>0</v>
      </c>
      <c r="BD39" s="10" t="str">
        <f>'役職希望調査 ・備考'!D9&amp;""</f>
        <v/>
      </c>
      <c r="BE39" s="10" t="str">
        <f>'役職希望調査 ・備考'!E9&amp;""</f>
        <v/>
      </c>
      <c r="BF39" s="10" t="str">
        <f>'役職希望調査 ・備考'!F9&amp;""</f>
        <v/>
      </c>
      <c r="BG39" s="10" t="str">
        <f>'役職希望調査 ・備考'!G9&amp;""</f>
        <v/>
      </c>
      <c r="BH39" s="10" t="str">
        <f>'役職希望調査 ・備考'!H9&amp;""</f>
        <v/>
      </c>
      <c r="BI39" s="10">
        <f t="shared" si="16"/>
        <v>0</v>
      </c>
      <c r="BJ39" s="10">
        <f t="shared" si="17"/>
        <v>0</v>
      </c>
      <c r="BK39" s="10">
        <f t="shared" si="18"/>
        <v>0</v>
      </c>
      <c r="BL39" s="10">
        <f t="shared" si="19"/>
        <v>0</v>
      </c>
      <c r="BM39" s="10">
        <f t="shared" si="20"/>
        <v>0</v>
      </c>
      <c r="BN39" s="10">
        <f t="shared" si="21"/>
        <v>0</v>
      </c>
      <c r="BO39" s="10">
        <f t="shared" si="22"/>
        <v>48</v>
      </c>
      <c r="BP39" s="10">
        <f t="shared" si="23"/>
        <v>48</v>
      </c>
      <c r="BQ39" s="10">
        <f t="shared" si="24"/>
        <v>47</v>
      </c>
      <c r="BR39" s="10">
        <f t="shared" si="25"/>
        <v>46</v>
      </c>
      <c r="BS39" s="10">
        <f t="shared" si="26"/>
        <v>45</v>
      </c>
      <c r="BT39" s="10">
        <f t="shared" si="27"/>
        <v>44</v>
      </c>
      <c r="BU39" s="10">
        <f t="shared" si="28"/>
        <v>43</v>
      </c>
      <c r="BV39" s="10">
        <f t="shared" si="29"/>
        <v>42</v>
      </c>
      <c r="BW39" s="10">
        <f t="shared" si="30"/>
        <v>41</v>
      </c>
      <c r="BX39" s="10">
        <f t="shared" si="31"/>
        <v>40</v>
      </c>
      <c r="BY39" s="10">
        <f t="shared" si="32"/>
        <v>39</v>
      </c>
      <c r="BZ39" s="10">
        <f t="shared" si="33"/>
        <v>38</v>
      </c>
      <c r="CA39" s="10">
        <f t="shared" si="34"/>
        <v>37</v>
      </c>
      <c r="CB39" s="10">
        <f t="shared" si="35"/>
        <v>36</v>
      </c>
      <c r="CC39" s="10">
        <f t="shared" si="36"/>
        <v>35</v>
      </c>
      <c r="CD39" s="10">
        <f t="shared" si="37"/>
        <v>34</v>
      </c>
      <c r="CE39" s="10">
        <f t="shared" si="38"/>
        <v>33</v>
      </c>
      <c r="CF39" s="10">
        <f t="shared" si="39"/>
        <v>32</v>
      </c>
      <c r="CG39" s="10">
        <f t="shared" si="40"/>
        <v>31</v>
      </c>
      <c r="CH39" s="10">
        <f t="shared" si="41"/>
        <v>30</v>
      </c>
      <c r="CI39" s="10">
        <f t="shared" si="42"/>
        <v>29</v>
      </c>
      <c r="CJ39" s="10">
        <f t="shared" si="43"/>
        <v>28</v>
      </c>
      <c r="CK39" s="10">
        <f t="shared" si="44"/>
        <v>27</v>
      </c>
      <c r="CL39" s="10">
        <f t="shared" si="45"/>
        <v>26</v>
      </c>
      <c r="CM39" s="10" t="str">
        <f>'役職希望調査 ・備考'!I9&amp;""</f>
        <v/>
      </c>
    </row>
    <row r="40" spans="1:91">
      <c r="A40" s="10" t="str">
        <f>時間希望調査!A10&amp;""</f>
        <v>9</v>
      </c>
      <c r="B40" s="10" t="str">
        <f>時間希望調査!B10&amp;""</f>
        <v/>
      </c>
      <c r="C40" s="10" t="str">
        <f>時間希望調査!C10&amp;""</f>
        <v/>
      </c>
      <c r="D40" s="11"/>
      <c r="E40" s="11"/>
      <c r="F40" s="11"/>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0">
        <f t="shared" si="46"/>
        <v>0</v>
      </c>
      <c r="BC40" s="10">
        <f>時間希望調査!D10</f>
        <v>0</v>
      </c>
      <c r="BD40" s="10" t="str">
        <f>'役職希望調査 ・備考'!D10&amp;""</f>
        <v/>
      </c>
      <c r="BE40" s="10" t="str">
        <f>'役職希望調査 ・備考'!E10&amp;""</f>
        <v/>
      </c>
      <c r="BF40" s="10" t="str">
        <f>'役職希望調査 ・備考'!F10&amp;""</f>
        <v/>
      </c>
      <c r="BG40" s="10" t="str">
        <f>'役職希望調査 ・備考'!G10&amp;""</f>
        <v/>
      </c>
      <c r="BH40" s="10" t="str">
        <f>'役職希望調査 ・備考'!H10&amp;""</f>
        <v/>
      </c>
      <c r="BI40" s="10">
        <f t="shared" si="16"/>
        <v>0</v>
      </c>
      <c r="BJ40" s="10">
        <f t="shared" si="17"/>
        <v>0</v>
      </c>
      <c r="BK40" s="10">
        <f t="shared" si="18"/>
        <v>0</v>
      </c>
      <c r="BL40" s="10">
        <f t="shared" si="19"/>
        <v>0</v>
      </c>
      <c r="BM40" s="10">
        <f t="shared" si="20"/>
        <v>0</v>
      </c>
      <c r="BN40" s="10">
        <f t="shared" si="21"/>
        <v>0</v>
      </c>
      <c r="BO40" s="10">
        <f t="shared" si="22"/>
        <v>48</v>
      </c>
      <c r="BP40" s="10">
        <f t="shared" si="23"/>
        <v>48</v>
      </c>
      <c r="BQ40" s="10">
        <f t="shared" si="24"/>
        <v>47</v>
      </c>
      <c r="BR40" s="10">
        <f t="shared" si="25"/>
        <v>46</v>
      </c>
      <c r="BS40" s="10">
        <f t="shared" si="26"/>
        <v>45</v>
      </c>
      <c r="BT40" s="10">
        <f t="shared" si="27"/>
        <v>44</v>
      </c>
      <c r="BU40" s="10">
        <f t="shared" si="28"/>
        <v>43</v>
      </c>
      <c r="BV40" s="10">
        <f t="shared" si="29"/>
        <v>42</v>
      </c>
      <c r="BW40" s="10">
        <f t="shared" si="30"/>
        <v>41</v>
      </c>
      <c r="BX40" s="10">
        <f t="shared" si="31"/>
        <v>40</v>
      </c>
      <c r="BY40" s="10">
        <f t="shared" si="32"/>
        <v>39</v>
      </c>
      <c r="BZ40" s="10">
        <f t="shared" si="33"/>
        <v>38</v>
      </c>
      <c r="CA40" s="10">
        <f t="shared" si="34"/>
        <v>37</v>
      </c>
      <c r="CB40" s="10">
        <f t="shared" si="35"/>
        <v>36</v>
      </c>
      <c r="CC40" s="10">
        <f t="shared" si="36"/>
        <v>35</v>
      </c>
      <c r="CD40" s="10">
        <f t="shared" si="37"/>
        <v>34</v>
      </c>
      <c r="CE40" s="10">
        <f t="shared" si="38"/>
        <v>33</v>
      </c>
      <c r="CF40" s="10">
        <f t="shared" si="39"/>
        <v>32</v>
      </c>
      <c r="CG40" s="10">
        <f t="shared" si="40"/>
        <v>31</v>
      </c>
      <c r="CH40" s="10">
        <f t="shared" si="41"/>
        <v>30</v>
      </c>
      <c r="CI40" s="10">
        <f t="shared" si="42"/>
        <v>29</v>
      </c>
      <c r="CJ40" s="10">
        <f t="shared" si="43"/>
        <v>28</v>
      </c>
      <c r="CK40" s="10">
        <f t="shared" si="44"/>
        <v>27</v>
      </c>
      <c r="CL40" s="10">
        <f t="shared" si="45"/>
        <v>26</v>
      </c>
      <c r="CM40" s="10" t="str">
        <f>'役職希望調査 ・備考'!I10&amp;""</f>
        <v/>
      </c>
    </row>
    <row r="41" spans="1:91">
      <c r="A41" s="10" t="str">
        <f>時間希望調査!A11&amp;""</f>
        <v>10</v>
      </c>
      <c r="B41" s="10" t="str">
        <f>時間希望調査!B11&amp;""</f>
        <v/>
      </c>
      <c r="C41" s="10" t="str">
        <f>時間希望調査!C11&amp;""</f>
        <v/>
      </c>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0">
        <f t="shared" si="46"/>
        <v>0</v>
      </c>
      <c r="BC41" s="10">
        <f>時間希望調査!D11</f>
        <v>0</v>
      </c>
      <c r="BD41" s="10" t="str">
        <f>'役職希望調査 ・備考'!D11&amp;""</f>
        <v/>
      </c>
      <c r="BE41" s="10" t="str">
        <f>'役職希望調査 ・備考'!E11&amp;""</f>
        <v/>
      </c>
      <c r="BF41" s="10" t="str">
        <f>'役職希望調査 ・備考'!F11&amp;""</f>
        <v/>
      </c>
      <c r="BG41" s="10" t="str">
        <f>'役職希望調査 ・備考'!G11&amp;""</f>
        <v/>
      </c>
      <c r="BH41" s="10" t="str">
        <f>'役職希望調査 ・備考'!H11&amp;""</f>
        <v/>
      </c>
      <c r="BI41" s="10">
        <f t="shared" si="16"/>
        <v>0</v>
      </c>
      <c r="BJ41" s="10">
        <f t="shared" si="17"/>
        <v>0</v>
      </c>
      <c r="BK41" s="10">
        <f t="shared" si="18"/>
        <v>0</v>
      </c>
      <c r="BL41" s="10">
        <f t="shared" si="19"/>
        <v>0</v>
      </c>
      <c r="BM41" s="10">
        <f t="shared" si="20"/>
        <v>0</v>
      </c>
      <c r="BN41" s="10">
        <f t="shared" si="21"/>
        <v>0</v>
      </c>
      <c r="BO41" s="10">
        <f t="shared" si="22"/>
        <v>48</v>
      </c>
      <c r="BP41" s="10">
        <f t="shared" si="23"/>
        <v>48</v>
      </c>
      <c r="BQ41" s="10">
        <f t="shared" si="24"/>
        <v>47</v>
      </c>
      <c r="BR41" s="10">
        <f t="shared" si="25"/>
        <v>46</v>
      </c>
      <c r="BS41" s="10">
        <f t="shared" si="26"/>
        <v>45</v>
      </c>
      <c r="BT41" s="10">
        <f t="shared" si="27"/>
        <v>44</v>
      </c>
      <c r="BU41" s="10">
        <f t="shared" si="28"/>
        <v>43</v>
      </c>
      <c r="BV41" s="10">
        <f t="shared" si="29"/>
        <v>42</v>
      </c>
      <c r="BW41" s="10">
        <f t="shared" si="30"/>
        <v>41</v>
      </c>
      <c r="BX41" s="10">
        <f t="shared" si="31"/>
        <v>40</v>
      </c>
      <c r="BY41" s="10">
        <f t="shared" si="32"/>
        <v>39</v>
      </c>
      <c r="BZ41" s="10">
        <f t="shared" si="33"/>
        <v>38</v>
      </c>
      <c r="CA41" s="10">
        <f t="shared" si="34"/>
        <v>37</v>
      </c>
      <c r="CB41" s="10">
        <f t="shared" si="35"/>
        <v>36</v>
      </c>
      <c r="CC41" s="10">
        <f t="shared" si="36"/>
        <v>35</v>
      </c>
      <c r="CD41" s="10">
        <f t="shared" si="37"/>
        <v>34</v>
      </c>
      <c r="CE41" s="10">
        <f t="shared" si="38"/>
        <v>33</v>
      </c>
      <c r="CF41" s="10">
        <f t="shared" si="39"/>
        <v>32</v>
      </c>
      <c r="CG41" s="10">
        <f t="shared" si="40"/>
        <v>31</v>
      </c>
      <c r="CH41" s="10">
        <f t="shared" si="41"/>
        <v>30</v>
      </c>
      <c r="CI41" s="10">
        <f t="shared" si="42"/>
        <v>29</v>
      </c>
      <c r="CJ41" s="10">
        <f t="shared" si="43"/>
        <v>28</v>
      </c>
      <c r="CK41" s="10">
        <f t="shared" si="44"/>
        <v>27</v>
      </c>
      <c r="CL41" s="10">
        <f t="shared" si="45"/>
        <v>26</v>
      </c>
      <c r="CM41" s="10" t="str">
        <f>'役職希望調査 ・備考'!I11&amp;""</f>
        <v/>
      </c>
    </row>
    <row r="42" spans="1:91">
      <c r="A42" s="10" t="str">
        <f>時間希望調査!A12&amp;""</f>
        <v/>
      </c>
      <c r="B42" s="10" t="str">
        <f>時間希望調査!B12&amp;""</f>
        <v/>
      </c>
      <c r="C42" s="10" t="str">
        <f>時間希望調査!C12&amp;""</f>
        <v/>
      </c>
      <c r="D42" s="11"/>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0">
        <f t="shared" si="46"/>
        <v>0</v>
      </c>
      <c r="BC42" s="10">
        <f>時間希望調査!D12</f>
        <v>0</v>
      </c>
      <c r="BD42" s="10" t="str">
        <f>'役職希望調査 ・備考'!D12&amp;""</f>
        <v/>
      </c>
      <c r="BE42" s="10" t="str">
        <f>'役職希望調査 ・備考'!E12&amp;""</f>
        <v/>
      </c>
      <c r="BF42" s="10" t="str">
        <f>'役職希望調査 ・備考'!F12&amp;""</f>
        <v/>
      </c>
      <c r="BG42" s="10" t="str">
        <f>'役職希望調査 ・備考'!G12&amp;""</f>
        <v/>
      </c>
      <c r="BH42" s="10" t="str">
        <f>'役職希望調査 ・備考'!H12&amp;""</f>
        <v/>
      </c>
      <c r="BI42" s="10">
        <f t="shared" si="16"/>
        <v>0</v>
      </c>
      <c r="BJ42" s="10">
        <f t="shared" si="17"/>
        <v>0</v>
      </c>
      <c r="BK42" s="10">
        <f t="shared" si="18"/>
        <v>0</v>
      </c>
      <c r="BL42" s="10">
        <f t="shared" si="19"/>
        <v>0</v>
      </c>
      <c r="BM42" s="10">
        <f t="shared" si="20"/>
        <v>0</v>
      </c>
      <c r="BN42" s="10">
        <f t="shared" si="21"/>
        <v>0</v>
      </c>
      <c r="BO42" s="10">
        <f t="shared" si="22"/>
        <v>48</v>
      </c>
      <c r="BP42" s="10">
        <f t="shared" si="23"/>
        <v>48</v>
      </c>
      <c r="BQ42" s="10">
        <f t="shared" si="24"/>
        <v>47</v>
      </c>
      <c r="BR42" s="10">
        <f t="shared" si="25"/>
        <v>46</v>
      </c>
      <c r="BS42" s="10">
        <f t="shared" si="26"/>
        <v>45</v>
      </c>
      <c r="BT42" s="10">
        <f t="shared" si="27"/>
        <v>44</v>
      </c>
      <c r="BU42" s="10">
        <f t="shared" si="28"/>
        <v>43</v>
      </c>
      <c r="BV42" s="10">
        <f t="shared" si="29"/>
        <v>42</v>
      </c>
      <c r="BW42" s="10">
        <f t="shared" si="30"/>
        <v>41</v>
      </c>
      <c r="BX42" s="10">
        <f t="shared" si="31"/>
        <v>40</v>
      </c>
      <c r="BY42" s="10">
        <f t="shared" si="32"/>
        <v>39</v>
      </c>
      <c r="BZ42" s="10">
        <f t="shared" si="33"/>
        <v>38</v>
      </c>
      <c r="CA42" s="10">
        <f t="shared" si="34"/>
        <v>37</v>
      </c>
      <c r="CB42" s="10">
        <f t="shared" si="35"/>
        <v>36</v>
      </c>
      <c r="CC42" s="10">
        <f t="shared" si="36"/>
        <v>35</v>
      </c>
      <c r="CD42" s="10">
        <f t="shared" si="37"/>
        <v>34</v>
      </c>
      <c r="CE42" s="10">
        <f t="shared" si="38"/>
        <v>33</v>
      </c>
      <c r="CF42" s="10">
        <f t="shared" si="39"/>
        <v>32</v>
      </c>
      <c r="CG42" s="10">
        <f t="shared" si="40"/>
        <v>31</v>
      </c>
      <c r="CH42" s="10">
        <f t="shared" si="41"/>
        <v>30</v>
      </c>
      <c r="CI42" s="10">
        <f t="shared" si="42"/>
        <v>29</v>
      </c>
      <c r="CJ42" s="10">
        <f t="shared" si="43"/>
        <v>28</v>
      </c>
      <c r="CK42" s="10">
        <f t="shared" si="44"/>
        <v>27</v>
      </c>
      <c r="CL42" s="10">
        <f t="shared" si="45"/>
        <v>26</v>
      </c>
      <c r="CM42" s="10" t="str">
        <f>'役職希望調査 ・備考'!I12&amp;""</f>
        <v/>
      </c>
    </row>
    <row r="43" spans="1:91">
      <c r="A43" s="10" t="str">
        <f>時間希望調査!A13&amp;""</f>
        <v/>
      </c>
      <c r="B43" s="10" t="str">
        <f>時間希望調査!B13&amp;""</f>
        <v/>
      </c>
      <c r="C43" s="10" t="str">
        <f>時間希望調査!C13&amp;""</f>
        <v/>
      </c>
      <c r="D43" s="11"/>
      <c r="E43" s="11"/>
      <c r="F43" s="11"/>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0">
        <f t="shared" si="46"/>
        <v>0</v>
      </c>
      <c r="BC43" s="10">
        <f>時間希望調査!D13</f>
        <v>0</v>
      </c>
      <c r="BD43" s="10" t="str">
        <f>'役職希望調査 ・備考'!D13&amp;""</f>
        <v/>
      </c>
      <c r="BE43" s="10" t="str">
        <f>'役職希望調査 ・備考'!E13&amp;""</f>
        <v/>
      </c>
      <c r="BF43" s="10" t="str">
        <f>'役職希望調査 ・備考'!F13&amp;""</f>
        <v/>
      </c>
      <c r="BG43" s="10" t="str">
        <f>'役職希望調査 ・備考'!G13&amp;""</f>
        <v/>
      </c>
      <c r="BH43" s="10" t="str">
        <f>'役職希望調査 ・備考'!H13&amp;""</f>
        <v/>
      </c>
      <c r="BI43" s="10">
        <f t="shared" si="16"/>
        <v>0</v>
      </c>
      <c r="BJ43" s="10">
        <f t="shared" si="17"/>
        <v>0</v>
      </c>
      <c r="BK43" s="10">
        <f t="shared" si="18"/>
        <v>0</v>
      </c>
      <c r="BL43" s="10">
        <f t="shared" si="19"/>
        <v>0</v>
      </c>
      <c r="BM43" s="10">
        <f t="shared" si="20"/>
        <v>0</v>
      </c>
      <c r="BN43" s="10">
        <f t="shared" si="21"/>
        <v>0</v>
      </c>
      <c r="BO43" s="10">
        <f t="shared" si="22"/>
        <v>48</v>
      </c>
      <c r="BP43" s="10">
        <f t="shared" si="23"/>
        <v>48</v>
      </c>
      <c r="BQ43" s="10">
        <f t="shared" si="24"/>
        <v>47</v>
      </c>
      <c r="BR43" s="10">
        <f t="shared" si="25"/>
        <v>46</v>
      </c>
      <c r="BS43" s="10">
        <f t="shared" si="26"/>
        <v>45</v>
      </c>
      <c r="BT43" s="10">
        <f t="shared" si="27"/>
        <v>44</v>
      </c>
      <c r="BU43" s="10">
        <f t="shared" si="28"/>
        <v>43</v>
      </c>
      <c r="BV43" s="10">
        <f t="shared" si="29"/>
        <v>42</v>
      </c>
      <c r="BW43" s="10">
        <f t="shared" si="30"/>
        <v>41</v>
      </c>
      <c r="BX43" s="10">
        <f t="shared" si="31"/>
        <v>40</v>
      </c>
      <c r="BY43" s="10">
        <f t="shared" si="32"/>
        <v>39</v>
      </c>
      <c r="BZ43" s="10">
        <f t="shared" si="33"/>
        <v>38</v>
      </c>
      <c r="CA43" s="10">
        <f t="shared" si="34"/>
        <v>37</v>
      </c>
      <c r="CB43" s="10">
        <f t="shared" si="35"/>
        <v>36</v>
      </c>
      <c r="CC43" s="10">
        <f t="shared" si="36"/>
        <v>35</v>
      </c>
      <c r="CD43" s="10">
        <f t="shared" si="37"/>
        <v>34</v>
      </c>
      <c r="CE43" s="10">
        <f t="shared" si="38"/>
        <v>33</v>
      </c>
      <c r="CF43" s="10">
        <f t="shared" si="39"/>
        <v>32</v>
      </c>
      <c r="CG43" s="10">
        <f t="shared" si="40"/>
        <v>31</v>
      </c>
      <c r="CH43" s="10">
        <f t="shared" si="41"/>
        <v>30</v>
      </c>
      <c r="CI43" s="10">
        <f t="shared" si="42"/>
        <v>29</v>
      </c>
      <c r="CJ43" s="10">
        <f t="shared" si="43"/>
        <v>28</v>
      </c>
      <c r="CK43" s="10">
        <f t="shared" si="44"/>
        <v>27</v>
      </c>
      <c r="CL43" s="10">
        <f t="shared" si="45"/>
        <v>26</v>
      </c>
      <c r="CM43" s="10" t="str">
        <f>'役職希望調査 ・備考'!I13&amp;""</f>
        <v/>
      </c>
    </row>
    <row r="44" spans="1:91">
      <c r="A44" s="10" t="str">
        <f>時間希望調査!A14&amp;""</f>
        <v/>
      </c>
      <c r="B44" s="10" t="str">
        <f>時間希望調査!B14&amp;""</f>
        <v/>
      </c>
      <c r="C44" s="10" t="str">
        <f>時間希望調査!C14&amp;""</f>
        <v/>
      </c>
      <c r="D44" s="11"/>
      <c r="E44" s="11"/>
      <c r="F44" s="11"/>
      <c r="G44" s="11"/>
      <c r="H44" s="11"/>
      <c r="I44" s="11"/>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1"/>
      <c r="AJ44" s="11"/>
      <c r="AK44" s="11"/>
      <c r="AL44" s="11"/>
      <c r="AM44" s="11"/>
      <c r="AN44" s="11"/>
      <c r="AO44" s="11"/>
      <c r="AP44" s="11"/>
      <c r="AQ44" s="11"/>
      <c r="AR44" s="11"/>
      <c r="AS44" s="11"/>
      <c r="AT44" s="11"/>
      <c r="AU44" s="11"/>
      <c r="AV44" s="11"/>
      <c r="AW44" s="11"/>
      <c r="AX44" s="11"/>
      <c r="AY44" s="11"/>
      <c r="AZ44" s="11"/>
      <c r="BA44" s="11"/>
      <c r="BB44" s="10">
        <f t="shared" si="46"/>
        <v>0</v>
      </c>
      <c r="BC44" s="10">
        <f>時間希望調査!D14</f>
        <v>0</v>
      </c>
      <c r="BD44" s="10" t="str">
        <f>'役職希望調査 ・備考'!D14&amp;""</f>
        <v/>
      </c>
      <c r="BE44" s="10" t="str">
        <f>'役職希望調査 ・備考'!E14&amp;""</f>
        <v/>
      </c>
      <c r="BF44" s="10" t="str">
        <f>'役職希望調査 ・備考'!F14&amp;""</f>
        <v/>
      </c>
      <c r="BG44" s="10" t="str">
        <f>'役職希望調査 ・備考'!G14&amp;""</f>
        <v/>
      </c>
      <c r="BH44" s="10" t="str">
        <f>'役職希望調査 ・備考'!H14&amp;""</f>
        <v/>
      </c>
      <c r="BI44" s="10">
        <f t="shared" si="16"/>
        <v>0</v>
      </c>
      <c r="BJ44" s="10">
        <f t="shared" si="17"/>
        <v>0</v>
      </c>
      <c r="BK44" s="10">
        <f t="shared" si="18"/>
        <v>0</v>
      </c>
      <c r="BL44" s="10">
        <f t="shared" si="19"/>
        <v>0</v>
      </c>
      <c r="BM44" s="10">
        <f t="shared" si="20"/>
        <v>0</v>
      </c>
      <c r="BN44" s="10">
        <f t="shared" si="21"/>
        <v>0</v>
      </c>
      <c r="BO44" s="10">
        <f t="shared" si="22"/>
        <v>48</v>
      </c>
      <c r="BP44" s="10">
        <f t="shared" si="23"/>
        <v>48</v>
      </c>
      <c r="BQ44" s="10">
        <f t="shared" si="24"/>
        <v>47</v>
      </c>
      <c r="BR44" s="10">
        <f t="shared" si="25"/>
        <v>46</v>
      </c>
      <c r="BS44" s="10">
        <f t="shared" si="26"/>
        <v>45</v>
      </c>
      <c r="BT44" s="10">
        <f t="shared" si="27"/>
        <v>44</v>
      </c>
      <c r="BU44" s="10">
        <f t="shared" si="28"/>
        <v>43</v>
      </c>
      <c r="BV44" s="10">
        <f t="shared" si="29"/>
        <v>42</v>
      </c>
      <c r="BW44" s="10">
        <f t="shared" si="30"/>
        <v>41</v>
      </c>
      <c r="BX44" s="10">
        <f t="shared" si="31"/>
        <v>40</v>
      </c>
      <c r="BY44" s="10">
        <f t="shared" si="32"/>
        <v>39</v>
      </c>
      <c r="BZ44" s="10">
        <f t="shared" si="33"/>
        <v>38</v>
      </c>
      <c r="CA44" s="10">
        <f t="shared" si="34"/>
        <v>37</v>
      </c>
      <c r="CB44" s="10">
        <f t="shared" si="35"/>
        <v>36</v>
      </c>
      <c r="CC44" s="10">
        <f t="shared" si="36"/>
        <v>35</v>
      </c>
      <c r="CD44" s="10">
        <f t="shared" si="37"/>
        <v>34</v>
      </c>
      <c r="CE44" s="10">
        <f t="shared" si="38"/>
        <v>33</v>
      </c>
      <c r="CF44" s="10">
        <f t="shared" si="39"/>
        <v>32</v>
      </c>
      <c r="CG44" s="10">
        <f t="shared" si="40"/>
        <v>31</v>
      </c>
      <c r="CH44" s="10">
        <f t="shared" si="41"/>
        <v>30</v>
      </c>
      <c r="CI44" s="10">
        <f t="shared" si="42"/>
        <v>29</v>
      </c>
      <c r="CJ44" s="10">
        <f t="shared" si="43"/>
        <v>28</v>
      </c>
      <c r="CK44" s="10">
        <f t="shared" si="44"/>
        <v>27</v>
      </c>
      <c r="CL44" s="10">
        <f t="shared" si="45"/>
        <v>26</v>
      </c>
      <c r="CM44" s="10" t="str">
        <f>'役職希望調査 ・備考'!I14&amp;""</f>
        <v/>
      </c>
    </row>
    <row r="45" spans="1:91">
      <c r="A45" s="10" t="str">
        <f>時間希望調査!A15&amp;""</f>
        <v/>
      </c>
      <c r="B45" s="10" t="str">
        <f>時間希望調査!B15&amp;""</f>
        <v/>
      </c>
      <c r="C45" s="10" t="str">
        <f>時間希望調査!C15&amp;""</f>
        <v/>
      </c>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c r="AN45" s="11"/>
      <c r="AO45" s="11"/>
      <c r="AP45" s="11"/>
      <c r="AQ45" s="11"/>
      <c r="AR45" s="11"/>
      <c r="AS45" s="11"/>
      <c r="AT45" s="11"/>
      <c r="AU45" s="11"/>
      <c r="AV45" s="11"/>
      <c r="AW45" s="11"/>
      <c r="AX45" s="11"/>
      <c r="AY45" s="11"/>
      <c r="AZ45" s="11"/>
      <c r="BA45" s="11"/>
      <c r="BB45" s="10">
        <f t="shared" si="46"/>
        <v>0</v>
      </c>
      <c r="BC45" s="10">
        <f>時間希望調査!D15</f>
        <v>0</v>
      </c>
      <c r="BD45" s="10" t="str">
        <f>'役職希望調査 ・備考'!D15&amp;""</f>
        <v/>
      </c>
      <c r="BE45" s="10" t="str">
        <f>'役職希望調査 ・備考'!E15&amp;""</f>
        <v/>
      </c>
      <c r="BF45" s="10" t="str">
        <f>'役職希望調査 ・備考'!F15&amp;""</f>
        <v/>
      </c>
      <c r="BG45" s="10" t="str">
        <f>'役職希望調査 ・備考'!G15&amp;""</f>
        <v/>
      </c>
      <c r="BH45" s="10" t="str">
        <f>'役職希望調査 ・備考'!H15&amp;""</f>
        <v/>
      </c>
      <c r="BI45" s="10">
        <f t="shared" si="16"/>
        <v>0</v>
      </c>
      <c r="BJ45" s="10">
        <f t="shared" si="17"/>
        <v>0</v>
      </c>
      <c r="BK45" s="10">
        <f t="shared" si="18"/>
        <v>0</v>
      </c>
      <c r="BL45" s="10">
        <f t="shared" si="19"/>
        <v>0</v>
      </c>
      <c r="BM45" s="10">
        <f t="shared" si="20"/>
        <v>0</v>
      </c>
      <c r="BN45" s="10">
        <f t="shared" si="21"/>
        <v>0</v>
      </c>
      <c r="BO45" s="10">
        <f t="shared" si="22"/>
        <v>48</v>
      </c>
      <c r="BP45" s="10">
        <f t="shared" si="23"/>
        <v>48</v>
      </c>
      <c r="BQ45" s="10">
        <f t="shared" si="24"/>
        <v>47</v>
      </c>
      <c r="BR45" s="10">
        <f t="shared" si="25"/>
        <v>46</v>
      </c>
      <c r="BS45" s="10">
        <f t="shared" si="26"/>
        <v>45</v>
      </c>
      <c r="BT45" s="10">
        <f t="shared" si="27"/>
        <v>44</v>
      </c>
      <c r="BU45" s="10">
        <f t="shared" si="28"/>
        <v>43</v>
      </c>
      <c r="BV45" s="10">
        <f t="shared" si="29"/>
        <v>42</v>
      </c>
      <c r="BW45" s="10">
        <f t="shared" si="30"/>
        <v>41</v>
      </c>
      <c r="BX45" s="10">
        <f t="shared" si="31"/>
        <v>40</v>
      </c>
      <c r="BY45" s="10">
        <f t="shared" si="32"/>
        <v>39</v>
      </c>
      <c r="BZ45" s="10">
        <f t="shared" si="33"/>
        <v>38</v>
      </c>
      <c r="CA45" s="10">
        <f t="shared" si="34"/>
        <v>37</v>
      </c>
      <c r="CB45" s="10">
        <f t="shared" si="35"/>
        <v>36</v>
      </c>
      <c r="CC45" s="10">
        <f t="shared" si="36"/>
        <v>35</v>
      </c>
      <c r="CD45" s="10">
        <f t="shared" si="37"/>
        <v>34</v>
      </c>
      <c r="CE45" s="10">
        <f t="shared" si="38"/>
        <v>33</v>
      </c>
      <c r="CF45" s="10">
        <f t="shared" si="39"/>
        <v>32</v>
      </c>
      <c r="CG45" s="10">
        <f t="shared" si="40"/>
        <v>31</v>
      </c>
      <c r="CH45" s="10">
        <f t="shared" si="41"/>
        <v>30</v>
      </c>
      <c r="CI45" s="10">
        <f t="shared" si="42"/>
        <v>29</v>
      </c>
      <c r="CJ45" s="10">
        <f t="shared" si="43"/>
        <v>28</v>
      </c>
      <c r="CK45" s="10">
        <f t="shared" si="44"/>
        <v>27</v>
      </c>
      <c r="CL45" s="10">
        <f t="shared" si="45"/>
        <v>26</v>
      </c>
      <c r="CM45" s="10" t="str">
        <f>'役職希望調査 ・備考'!I15&amp;""</f>
        <v/>
      </c>
    </row>
    <row r="46" spans="1:91">
      <c r="A46" s="10" t="str">
        <f>時間希望調査!A16&amp;""</f>
        <v/>
      </c>
      <c r="B46" s="10" t="str">
        <f>時間希望調査!B16&amp;""</f>
        <v/>
      </c>
      <c r="C46" s="10" t="str">
        <f>時間希望調査!C16&amp;""</f>
        <v/>
      </c>
      <c r="D46" s="11"/>
      <c r="E46" s="11"/>
      <c r="F46" s="11"/>
      <c r="G46" s="11"/>
      <c r="H46" s="11"/>
      <c r="I46" s="11"/>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c r="AN46" s="11"/>
      <c r="AO46" s="11"/>
      <c r="AP46" s="11"/>
      <c r="AQ46" s="11"/>
      <c r="AR46" s="11"/>
      <c r="AS46" s="11"/>
      <c r="AT46" s="11"/>
      <c r="AU46" s="11"/>
      <c r="AV46" s="11"/>
      <c r="AW46" s="11"/>
      <c r="AX46" s="11"/>
      <c r="AY46" s="11"/>
      <c r="AZ46" s="11"/>
      <c r="BA46" s="11"/>
      <c r="BB46" s="10">
        <f t="shared" si="46"/>
        <v>0</v>
      </c>
      <c r="BC46" s="10">
        <f>時間希望調査!D16</f>
        <v>0</v>
      </c>
      <c r="BD46" s="10" t="str">
        <f>'役職希望調査 ・備考'!D16&amp;""</f>
        <v/>
      </c>
      <c r="BE46" s="10" t="str">
        <f>'役職希望調査 ・備考'!E16&amp;""</f>
        <v/>
      </c>
      <c r="BF46" s="10" t="str">
        <f>'役職希望調査 ・備考'!F16&amp;""</f>
        <v/>
      </c>
      <c r="BG46" s="10" t="str">
        <f>'役職希望調査 ・備考'!G16&amp;""</f>
        <v/>
      </c>
      <c r="BH46" s="10" t="str">
        <f>'役職希望調査 ・備考'!H16&amp;""</f>
        <v/>
      </c>
      <c r="BI46" s="10">
        <f t="shared" si="16"/>
        <v>0</v>
      </c>
      <c r="BJ46" s="10">
        <f t="shared" si="17"/>
        <v>0</v>
      </c>
      <c r="BK46" s="10">
        <f t="shared" si="18"/>
        <v>0</v>
      </c>
      <c r="BL46" s="10">
        <f t="shared" si="19"/>
        <v>0</v>
      </c>
      <c r="BM46" s="10">
        <f t="shared" si="20"/>
        <v>0</v>
      </c>
      <c r="BN46" s="10">
        <f t="shared" si="21"/>
        <v>0</v>
      </c>
      <c r="BO46" s="10">
        <f t="shared" si="22"/>
        <v>48</v>
      </c>
      <c r="BP46" s="10">
        <f t="shared" si="23"/>
        <v>48</v>
      </c>
      <c r="BQ46" s="10">
        <f t="shared" si="24"/>
        <v>47</v>
      </c>
      <c r="BR46" s="10">
        <f t="shared" si="25"/>
        <v>46</v>
      </c>
      <c r="BS46" s="10">
        <f t="shared" si="26"/>
        <v>45</v>
      </c>
      <c r="BT46" s="10">
        <f t="shared" si="27"/>
        <v>44</v>
      </c>
      <c r="BU46" s="10">
        <f t="shared" si="28"/>
        <v>43</v>
      </c>
      <c r="BV46" s="10">
        <f t="shared" si="29"/>
        <v>42</v>
      </c>
      <c r="BW46" s="10">
        <f t="shared" si="30"/>
        <v>41</v>
      </c>
      <c r="BX46" s="10">
        <f t="shared" si="31"/>
        <v>40</v>
      </c>
      <c r="BY46" s="10">
        <f t="shared" si="32"/>
        <v>39</v>
      </c>
      <c r="BZ46" s="10">
        <f t="shared" si="33"/>
        <v>38</v>
      </c>
      <c r="CA46" s="10">
        <f t="shared" si="34"/>
        <v>37</v>
      </c>
      <c r="CB46" s="10">
        <f t="shared" si="35"/>
        <v>36</v>
      </c>
      <c r="CC46" s="10">
        <f t="shared" si="36"/>
        <v>35</v>
      </c>
      <c r="CD46" s="10">
        <f t="shared" si="37"/>
        <v>34</v>
      </c>
      <c r="CE46" s="10">
        <f t="shared" si="38"/>
        <v>33</v>
      </c>
      <c r="CF46" s="10">
        <f t="shared" si="39"/>
        <v>32</v>
      </c>
      <c r="CG46" s="10">
        <f t="shared" si="40"/>
        <v>31</v>
      </c>
      <c r="CH46" s="10">
        <f t="shared" si="41"/>
        <v>30</v>
      </c>
      <c r="CI46" s="10">
        <f t="shared" si="42"/>
        <v>29</v>
      </c>
      <c r="CJ46" s="10">
        <f t="shared" si="43"/>
        <v>28</v>
      </c>
      <c r="CK46" s="10">
        <f t="shared" si="44"/>
        <v>27</v>
      </c>
      <c r="CL46" s="10">
        <f t="shared" si="45"/>
        <v>26</v>
      </c>
      <c r="CM46" s="10" t="str">
        <f>'役職希望調査 ・備考'!I16&amp;""</f>
        <v/>
      </c>
    </row>
    <row r="47" spans="1:91">
      <c r="A47" s="10" t="str">
        <f>時間希望調査!A17&amp;""</f>
        <v/>
      </c>
      <c r="B47" s="10" t="str">
        <f>時間希望調査!B17&amp;""</f>
        <v/>
      </c>
      <c r="C47" s="10" t="str">
        <f>時間希望調査!C17&amp;""</f>
        <v/>
      </c>
      <c r="D47" s="11"/>
      <c r="E47" s="11"/>
      <c r="F47" s="11"/>
      <c r="G47" s="11"/>
      <c r="H47" s="11"/>
      <c r="I47" s="11"/>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1"/>
      <c r="AJ47" s="11"/>
      <c r="AK47" s="11"/>
      <c r="AL47" s="11"/>
      <c r="AM47" s="11"/>
      <c r="AN47" s="11"/>
      <c r="AO47" s="11"/>
      <c r="AP47" s="11"/>
      <c r="AQ47" s="11"/>
      <c r="AR47" s="11"/>
      <c r="AS47" s="11"/>
      <c r="AT47" s="11"/>
      <c r="AU47" s="11"/>
      <c r="AV47" s="11"/>
      <c r="AW47" s="11"/>
      <c r="AX47" s="11"/>
      <c r="AY47" s="11"/>
      <c r="AZ47" s="11"/>
      <c r="BA47" s="11"/>
      <c r="BB47" s="10">
        <f t="shared" si="46"/>
        <v>0</v>
      </c>
      <c r="BC47" s="10">
        <f>時間希望調査!D17</f>
        <v>0</v>
      </c>
      <c r="BD47" s="10" t="str">
        <f>'役職希望調査 ・備考'!D17&amp;""</f>
        <v/>
      </c>
      <c r="BE47" s="10" t="str">
        <f>'役職希望調査 ・備考'!E17&amp;""</f>
        <v/>
      </c>
      <c r="BF47" s="10" t="str">
        <f>'役職希望調査 ・備考'!F17&amp;""</f>
        <v/>
      </c>
      <c r="BG47" s="10" t="str">
        <f>'役職希望調査 ・備考'!G17&amp;""</f>
        <v/>
      </c>
      <c r="BH47" s="10" t="str">
        <f>'役職希望調査 ・備考'!H17&amp;""</f>
        <v/>
      </c>
      <c r="BI47" s="10">
        <f t="shared" si="16"/>
        <v>0</v>
      </c>
      <c r="BJ47" s="10">
        <f t="shared" si="17"/>
        <v>0</v>
      </c>
      <c r="BK47" s="10">
        <f t="shared" si="18"/>
        <v>0</v>
      </c>
      <c r="BL47" s="10">
        <f t="shared" si="19"/>
        <v>0</v>
      </c>
      <c r="BM47" s="10">
        <f t="shared" si="20"/>
        <v>0</v>
      </c>
      <c r="BN47" s="10">
        <f t="shared" si="21"/>
        <v>0</v>
      </c>
      <c r="BO47" s="10">
        <f t="shared" si="22"/>
        <v>48</v>
      </c>
      <c r="BP47" s="10">
        <f t="shared" si="23"/>
        <v>48</v>
      </c>
      <c r="BQ47" s="10">
        <f t="shared" si="24"/>
        <v>47</v>
      </c>
      <c r="BR47" s="10">
        <f t="shared" si="25"/>
        <v>46</v>
      </c>
      <c r="BS47" s="10">
        <f t="shared" si="26"/>
        <v>45</v>
      </c>
      <c r="BT47" s="10">
        <f t="shared" si="27"/>
        <v>44</v>
      </c>
      <c r="BU47" s="10">
        <f t="shared" si="28"/>
        <v>43</v>
      </c>
      <c r="BV47" s="10">
        <f t="shared" si="29"/>
        <v>42</v>
      </c>
      <c r="BW47" s="10">
        <f t="shared" si="30"/>
        <v>41</v>
      </c>
      <c r="BX47" s="10">
        <f t="shared" si="31"/>
        <v>40</v>
      </c>
      <c r="BY47" s="10">
        <f t="shared" si="32"/>
        <v>39</v>
      </c>
      <c r="BZ47" s="10">
        <f t="shared" si="33"/>
        <v>38</v>
      </c>
      <c r="CA47" s="10">
        <f t="shared" si="34"/>
        <v>37</v>
      </c>
      <c r="CB47" s="10">
        <f t="shared" si="35"/>
        <v>36</v>
      </c>
      <c r="CC47" s="10">
        <f t="shared" si="36"/>
        <v>35</v>
      </c>
      <c r="CD47" s="10">
        <f t="shared" si="37"/>
        <v>34</v>
      </c>
      <c r="CE47" s="10">
        <f t="shared" si="38"/>
        <v>33</v>
      </c>
      <c r="CF47" s="10">
        <f t="shared" si="39"/>
        <v>32</v>
      </c>
      <c r="CG47" s="10">
        <f t="shared" si="40"/>
        <v>31</v>
      </c>
      <c r="CH47" s="10">
        <f t="shared" si="41"/>
        <v>30</v>
      </c>
      <c r="CI47" s="10">
        <f t="shared" si="42"/>
        <v>29</v>
      </c>
      <c r="CJ47" s="10">
        <f t="shared" si="43"/>
        <v>28</v>
      </c>
      <c r="CK47" s="10">
        <f t="shared" si="44"/>
        <v>27</v>
      </c>
      <c r="CL47" s="10">
        <f t="shared" si="45"/>
        <v>26</v>
      </c>
      <c r="CM47" s="10" t="str">
        <f>'役職希望調査 ・備考'!I17&amp;""</f>
        <v/>
      </c>
    </row>
    <row r="48" spans="1:91">
      <c r="A48" s="10" t="str">
        <f>時間希望調査!A18&amp;""</f>
        <v/>
      </c>
      <c r="B48" s="10" t="str">
        <f>時間希望調査!B18&amp;""</f>
        <v/>
      </c>
      <c r="C48" s="10" t="str">
        <f>時間希望調査!C18&amp;""</f>
        <v/>
      </c>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c r="AN48" s="11"/>
      <c r="AO48" s="11"/>
      <c r="AP48" s="11"/>
      <c r="AQ48" s="11"/>
      <c r="AR48" s="11"/>
      <c r="AS48" s="11"/>
      <c r="AT48" s="11"/>
      <c r="AU48" s="11"/>
      <c r="AV48" s="11"/>
      <c r="AW48" s="11"/>
      <c r="AX48" s="11"/>
      <c r="AY48" s="11"/>
      <c r="AZ48" s="11"/>
      <c r="BA48" s="11"/>
      <c r="BB48" s="10">
        <f t="shared" si="46"/>
        <v>0</v>
      </c>
      <c r="BC48" s="10">
        <f>時間希望調査!D18</f>
        <v>0</v>
      </c>
      <c r="BD48" s="10" t="str">
        <f>'役職希望調査 ・備考'!D18&amp;""</f>
        <v/>
      </c>
      <c r="BE48" s="10" t="str">
        <f>'役職希望調査 ・備考'!E18&amp;""</f>
        <v/>
      </c>
      <c r="BF48" s="10" t="str">
        <f>'役職希望調査 ・備考'!F18&amp;""</f>
        <v/>
      </c>
      <c r="BG48" s="10" t="str">
        <f>'役職希望調査 ・備考'!G18&amp;""</f>
        <v/>
      </c>
      <c r="BH48" s="10" t="str">
        <f>'役職希望調査 ・備考'!H18&amp;""</f>
        <v/>
      </c>
      <c r="BI48" s="10">
        <f t="shared" si="16"/>
        <v>0</v>
      </c>
      <c r="BJ48" s="10">
        <f t="shared" si="17"/>
        <v>0</v>
      </c>
      <c r="BK48" s="10">
        <f t="shared" si="18"/>
        <v>0</v>
      </c>
      <c r="BL48" s="10">
        <f t="shared" si="19"/>
        <v>0</v>
      </c>
      <c r="BM48" s="10">
        <f t="shared" si="20"/>
        <v>0</v>
      </c>
      <c r="BN48" s="10">
        <f t="shared" si="21"/>
        <v>0</v>
      </c>
      <c r="BO48" s="10">
        <f t="shared" si="22"/>
        <v>48</v>
      </c>
      <c r="BP48" s="10">
        <f t="shared" si="23"/>
        <v>48</v>
      </c>
      <c r="BQ48" s="10">
        <f t="shared" si="24"/>
        <v>47</v>
      </c>
      <c r="BR48" s="10">
        <f t="shared" si="25"/>
        <v>46</v>
      </c>
      <c r="BS48" s="10">
        <f t="shared" si="26"/>
        <v>45</v>
      </c>
      <c r="BT48" s="10">
        <f t="shared" si="27"/>
        <v>44</v>
      </c>
      <c r="BU48" s="10">
        <f t="shared" si="28"/>
        <v>43</v>
      </c>
      <c r="BV48" s="10">
        <f t="shared" si="29"/>
        <v>42</v>
      </c>
      <c r="BW48" s="10">
        <f t="shared" si="30"/>
        <v>41</v>
      </c>
      <c r="BX48" s="10">
        <f t="shared" si="31"/>
        <v>40</v>
      </c>
      <c r="BY48" s="10">
        <f t="shared" si="32"/>
        <v>39</v>
      </c>
      <c r="BZ48" s="10">
        <f t="shared" si="33"/>
        <v>38</v>
      </c>
      <c r="CA48" s="10">
        <f t="shared" si="34"/>
        <v>37</v>
      </c>
      <c r="CB48" s="10">
        <f t="shared" si="35"/>
        <v>36</v>
      </c>
      <c r="CC48" s="10">
        <f t="shared" si="36"/>
        <v>35</v>
      </c>
      <c r="CD48" s="10">
        <f t="shared" si="37"/>
        <v>34</v>
      </c>
      <c r="CE48" s="10">
        <f t="shared" si="38"/>
        <v>33</v>
      </c>
      <c r="CF48" s="10">
        <f t="shared" si="39"/>
        <v>32</v>
      </c>
      <c r="CG48" s="10">
        <f t="shared" si="40"/>
        <v>31</v>
      </c>
      <c r="CH48" s="10">
        <f t="shared" si="41"/>
        <v>30</v>
      </c>
      <c r="CI48" s="10">
        <f t="shared" si="42"/>
        <v>29</v>
      </c>
      <c r="CJ48" s="10">
        <f t="shared" si="43"/>
        <v>28</v>
      </c>
      <c r="CK48" s="10">
        <f t="shared" si="44"/>
        <v>27</v>
      </c>
      <c r="CL48" s="10">
        <f t="shared" si="45"/>
        <v>26</v>
      </c>
      <c r="CM48" s="10" t="str">
        <f>'役職希望調査 ・備考'!I18&amp;""</f>
        <v/>
      </c>
    </row>
    <row r="49" spans="1:91">
      <c r="A49" s="10" t="str">
        <f>時間希望調査!A19&amp;""</f>
        <v/>
      </c>
      <c r="B49" s="10" t="str">
        <f>時間希望調査!B19&amp;""</f>
        <v/>
      </c>
      <c r="C49" s="10" t="str">
        <f>時間希望調査!C19&amp;""</f>
        <v/>
      </c>
      <c r="D49" s="11"/>
      <c r="E49" s="11"/>
      <c r="F49" s="11"/>
      <c r="G49" s="11"/>
      <c r="H49" s="11"/>
      <c r="I49" s="11"/>
      <c r="J49" s="11"/>
      <c r="K49" s="11"/>
      <c r="L49" s="11"/>
      <c r="M49" s="11"/>
      <c r="N49" s="11"/>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c r="AN49" s="11"/>
      <c r="AO49" s="11"/>
      <c r="AP49" s="11"/>
      <c r="AQ49" s="11"/>
      <c r="AR49" s="11"/>
      <c r="AS49" s="11"/>
      <c r="AT49" s="11"/>
      <c r="AU49" s="11"/>
      <c r="AV49" s="11"/>
      <c r="AW49" s="11"/>
      <c r="AX49" s="11"/>
      <c r="AY49" s="11"/>
      <c r="AZ49" s="11"/>
      <c r="BA49" s="11"/>
      <c r="BB49" s="10">
        <f t="shared" si="46"/>
        <v>0</v>
      </c>
      <c r="BC49" s="10">
        <f>時間希望調査!D19</f>
        <v>0</v>
      </c>
      <c r="BD49" s="10" t="str">
        <f>'役職希望調査 ・備考'!D19&amp;""</f>
        <v/>
      </c>
      <c r="BE49" s="10" t="str">
        <f>'役職希望調査 ・備考'!E19&amp;""</f>
        <v/>
      </c>
      <c r="BF49" s="10" t="str">
        <f>'役職希望調査 ・備考'!F19&amp;""</f>
        <v/>
      </c>
      <c r="BG49" s="10" t="str">
        <f>'役職希望調査 ・備考'!G19&amp;""</f>
        <v/>
      </c>
      <c r="BH49" s="10" t="str">
        <f>'役職希望調査 ・備考'!H19&amp;""</f>
        <v/>
      </c>
      <c r="BI49" s="10">
        <f t="shared" si="16"/>
        <v>0</v>
      </c>
      <c r="BJ49" s="10">
        <f t="shared" si="17"/>
        <v>0</v>
      </c>
      <c r="BK49" s="10">
        <f t="shared" si="18"/>
        <v>0</v>
      </c>
      <c r="BL49" s="10">
        <f t="shared" si="19"/>
        <v>0</v>
      </c>
      <c r="BM49" s="10">
        <f t="shared" si="20"/>
        <v>0</v>
      </c>
      <c r="BN49" s="10">
        <f t="shared" si="21"/>
        <v>0</v>
      </c>
      <c r="BO49" s="10">
        <f t="shared" si="22"/>
        <v>48</v>
      </c>
      <c r="BP49" s="10">
        <f t="shared" si="23"/>
        <v>48</v>
      </c>
      <c r="BQ49" s="10">
        <f t="shared" si="24"/>
        <v>47</v>
      </c>
      <c r="BR49" s="10">
        <f t="shared" si="25"/>
        <v>46</v>
      </c>
      <c r="BS49" s="10">
        <f t="shared" si="26"/>
        <v>45</v>
      </c>
      <c r="BT49" s="10">
        <f t="shared" si="27"/>
        <v>44</v>
      </c>
      <c r="BU49" s="10">
        <f t="shared" si="28"/>
        <v>43</v>
      </c>
      <c r="BV49" s="10">
        <f t="shared" si="29"/>
        <v>42</v>
      </c>
      <c r="BW49" s="10">
        <f t="shared" si="30"/>
        <v>41</v>
      </c>
      <c r="BX49" s="10">
        <f t="shared" si="31"/>
        <v>40</v>
      </c>
      <c r="BY49" s="10">
        <f t="shared" si="32"/>
        <v>39</v>
      </c>
      <c r="BZ49" s="10">
        <f t="shared" si="33"/>
        <v>38</v>
      </c>
      <c r="CA49" s="10">
        <f t="shared" si="34"/>
        <v>37</v>
      </c>
      <c r="CB49" s="10">
        <f t="shared" si="35"/>
        <v>36</v>
      </c>
      <c r="CC49" s="10">
        <f t="shared" si="36"/>
        <v>35</v>
      </c>
      <c r="CD49" s="10">
        <f t="shared" si="37"/>
        <v>34</v>
      </c>
      <c r="CE49" s="10">
        <f t="shared" si="38"/>
        <v>33</v>
      </c>
      <c r="CF49" s="10">
        <f t="shared" si="39"/>
        <v>32</v>
      </c>
      <c r="CG49" s="10">
        <f t="shared" si="40"/>
        <v>31</v>
      </c>
      <c r="CH49" s="10">
        <f t="shared" si="41"/>
        <v>30</v>
      </c>
      <c r="CI49" s="10">
        <f t="shared" si="42"/>
        <v>29</v>
      </c>
      <c r="CJ49" s="10">
        <f t="shared" si="43"/>
        <v>28</v>
      </c>
      <c r="CK49" s="10">
        <f t="shared" si="44"/>
        <v>27</v>
      </c>
      <c r="CL49" s="10">
        <f t="shared" si="45"/>
        <v>26</v>
      </c>
      <c r="CM49" s="10" t="str">
        <f>'役職希望調査 ・備考'!I19&amp;""</f>
        <v/>
      </c>
    </row>
    <row r="50" spans="1:91">
      <c r="A50" s="10" t="str">
        <f>時間希望調査!A20&amp;""</f>
        <v/>
      </c>
      <c r="B50" s="10" t="str">
        <f>時間希望調査!B20&amp;""</f>
        <v/>
      </c>
      <c r="C50" s="10" t="str">
        <f>時間希望調査!C20&amp;""</f>
        <v/>
      </c>
      <c r="D50" s="11"/>
      <c r="E50" s="11"/>
      <c r="F50" s="11"/>
      <c r="G50" s="11"/>
      <c r="H50" s="11"/>
      <c r="I50" s="11"/>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c r="AN50" s="11"/>
      <c r="AO50" s="11"/>
      <c r="AP50" s="11"/>
      <c r="AQ50" s="11"/>
      <c r="AR50" s="11"/>
      <c r="AS50" s="11"/>
      <c r="AT50" s="11"/>
      <c r="AU50" s="11"/>
      <c r="AV50" s="11"/>
      <c r="AW50" s="11"/>
      <c r="AX50" s="11"/>
      <c r="AY50" s="11"/>
      <c r="AZ50" s="11"/>
      <c r="BA50" s="11"/>
      <c r="BB50" s="10">
        <f t="shared" si="46"/>
        <v>0</v>
      </c>
      <c r="BC50" s="10">
        <f>時間希望調査!D20</f>
        <v>0</v>
      </c>
      <c r="BD50" s="10" t="str">
        <f>'役職希望調査 ・備考'!D20&amp;""</f>
        <v/>
      </c>
      <c r="BE50" s="10" t="str">
        <f>'役職希望調査 ・備考'!E20&amp;""</f>
        <v/>
      </c>
      <c r="BF50" s="10" t="str">
        <f>'役職希望調査 ・備考'!F20&amp;""</f>
        <v/>
      </c>
      <c r="BG50" s="10" t="str">
        <f>'役職希望調査 ・備考'!G20&amp;""</f>
        <v/>
      </c>
      <c r="BH50" s="10" t="str">
        <f>'役職希望調査 ・備考'!H20&amp;""</f>
        <v/>
      </c>
      <c r="BI50" s="10">
        <f t="shared" si="16"/>
        <v>0</v>
      </c>
      <c r="BJ50" s="10">
        <f t="shared" si="17"/>
        <v>0</v>
      </c>
      <c r="BK50" s="10">
        <f t="shared" si="18"/>
        <v>0</v>
      </c>
      <c r="BL50" s="10">
        <f t="shared" si="19"/>
        <v>0</v>
      </c>
      <c r="BM50" s="10">
        <f t="shared" si="20"/>
        <v>0</v>
      </c>
      <c r="BN50" s="10">
        <f t="shared" si="21"/>
        <v>0</v>
      </c>
      <c r="BO50" s="10">
        <f t="shared" si="22"/>
        <v>48</v>
      </c>
      <c r="BP50" s="10">
        <f t="shared" si="23"/>
        <v>48</v>
      </c>
      <c r="BQ50" s="10">
        <f t="shared" si="24"/>
        <v>47</v>
      </c>
      <c r="BR50" s="10">
        <f t="shared" si="25"/>
        <v>46</v>
      </c>
      <c r="BS50" s="10">
        <f t="shared" si="26"/>
        <v>45</v>
      </c>
      <c r="BT50" s="10">
        <f t="shared" si="27"/>
        <v>44</v>
      </c>
      <c r="BU50" s="10">
        <f t="shared" si="28"/>
        <v>43</v>
      </c>
      <c r="BV50" s="10">
        <f t="shared" si="29"/>
        <v>42</v>
      </c>
      <c r="BW50" s="10">
        <f t="shared" si="30"/>
        <v>41</v>
      </c>
      <c r="BX50" s="10">
        <f t="shared" si="31"/>
        <v>40</v>
      </c>
      <c r="BY50" s="10">
        <f t="shared" si="32"/>
        <v>39</v>
      </c>
      <c r="BZ50" s="10">
        <f t="shared" si="33"/>
        <v>38</v>
      </c>
      <c r="CA50" s="10">
        <f t="shared" si="34"/>
        <v>37</v>
      </c>
      <c r="CB50" s="10">
        <f t="shared" si="35"/>
        <v>36</v>
      </c>
      <c r="CC50" s="10">
        <f t="shared" si="36"/>
        <v>35</v>
      </c>
      <c r="CD50" s="10">
        <f t="shared" si="37"/>
        <v>34</v>
      </c>
      <c r="CE50" s="10">
        <f t="shared" si="38"/>
        <v>33</v>
      </c>
      <c r="CF50" s="10">
        <f t="shared" si="39"/>
        <v>32</v>
      </c>
      <c r="CG50" s="10">
        <f t="shared" si="40"/>
        <v>31</v>
      </c>
      <c r="CH50" s="10">
        <f t="shared" si="41"/>
        <v>30</v>
      </c>
      <c r="CI50" s="10">
        <f t="shared" si="42"/>
        <v>29</v>
      </c>
      <c r="CJ50" s="10">
        <f t="shared" si="43"/>
        <v>28</v>
      </c>
      <c r="CK50" s="10">
        <f t="shared" si="44"/>
        <v>27</v>
      </c>
      <c r="CL50" s="10">
        <f t="shared" si="45"/>
        <v>26</v>
      </c>
      <c r="CM50" s="10" t="str">
        <f>'役職希望調査 ・備考'!I20&amp;""</f>
        <v/>
      </c>
    </row>
    <row r="51" spans="1:91">
      <c r="A51" s="10" t="str">
        <f>時間希望調査!A21&amp;""</f>
        <v/>
      </c>
      <c r="B51" s="10" t="str">
        <f>時間希望調査!B21&amp;""</f>
        <v/>
      </c>
      <c r="C51" s="10" t="str">
        <f>時間希望調査!C21&amp;""</f>
        <v/>
      </c>
      <c r="D51" s="11"/>
      <c r="E51" s="11"/>
      <c r="F51" s="11"/>
      <c r="G51" s="11"/>
      <c r="H51" s="11"/>
      <c r="I51" s="11"/>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c r="AO51" s="11"/>
      <c r="AP51" s="11"/>
      <c r="AQ51" s="11"/>
      <c r="AR51" s="11"/>
      <c r="AS51" s="11"/>
      <c r="AT51" s="11"/>
      <c r="AU51" s="11"/>
      <c r="AV51" s="11"/>
      <c r="AW51" s="11"/>
      <c r="AX51" s="11"/>
      <c r="AY51" s="11"/>
      <c r="AZ51" s="11"/>
      <c r="BA51" s="11"/>
      <c r="BB51" s="10">
        <f t="shared" si="46"/>
        <v>0</v>
      </c>
      <c r="BC51" s="10">
        <f>時間希望調査!D21</f>
        <v>0</v>
      </c>
      <c r="BD51" s="10" t="str">
        <f>'役職希望調査 ・備考'!D21&amp;""</f>
        <v/>
      </c>
      <c r="BE51" s="10" t="str">
        <f>'役職希望調査 ・備考'!E21&amp;""</f>
        <v/>
      </c>
      <c r="BF51" s="10" t="str">
        <f>'役職希望調査 ・備考'!F21&amp;""</f>
        <v/>
      </c>
      <c r="BG51" s="10" t="str">
        <f>'役職希望調査 ・備考'!G21&amp;""</f>
        <v/>
      </c>
      <c r="BH51" s="10" t="str">
        <f>'役職希望調査 ・備考'!H21&amp;""</f>
        <v/>
      </c>
      <c r="BI51" s="10">
        <f t="shared" si="16"/>
        <v>0</v>
      </c>
      <c r="BJ51" s="10">
        <f t="shared" si="17"/>
        <v>0</v>
      </c>
      <c r="BK51" s="10">
        <f t="shared" si="18"/>
        <v>0</v>
      </c>
      <c r="BL51" s="10">
        <f t="shared" si="19"/>
        <v>0</v>
      </c>
      <c r="BM51" s="10">
        <f t="shared" si="20"/>
        <v>0</v>
      </c>
      <c r="BN51" s="10">
        <f t="shared" si="21"/>
        <v>0</v>
      </c>
      <c r="BO51" s="10">
        <f t="shared" si="22"/>
        <v>48</v>
      </c>
      <c r="BP51" s="10">
        <f t="shared" si="23"/>
        <v>48</v>
      </c>
      <c r="BQ51" s="10">
        <f t="shared" si="24"/>
        <v>47</v>
      </c>
      <c r="BR51" s="10">
        <f t="shared" si="25"/>
        <v>46</v>
      </c>
      <c r="BS51" s="10">
        <f t="shared" si="26"/>
        <v>45</v>
      </c>
      <c r="BT51" s="10">
        <f t="shared" si="27"/>
        <v>44</v>
      </c>
      <c r="BU51" s="10">
        <f t="shared" si="28"/>
        <v>43</v>
      </c>
      <c r="BV51" s="10">
        <f t="shared" si="29"/>
        <v>42</v>
      </c>
      <c r="BW51" s="10">
        <f t="shared" si="30"/>
        <v>41</v>
      </c>
      <c r="BX51" s="10">
        <f t="shared" si="31"/>
        <v>40</v>
      </c>
      <c r="BY51" s="10">
        <f t="shared" si="32"/>
        <v>39</v>
      </c>
      <c r="BZ51" s="10">
        <f t="shared" si="33"/>
        <v>38</v>
      </c>
      <c r="CA51" s="10">
        <f t="shared" si="34"/>
        <v>37</v>
      </c>
      <c r="CB51" s="10">
        <f t="shared" si="35"/>
        <v>36</v>
      </c>
      <c r="CC51" s="10">
        <f t="shared" si="36"/>
        <v>35</v>
      </c>
      <c r="CD51" s="10">
        <f t="shared" si="37"/>
        <v>34</v>
      </c>
      <c r="CE51" s="10">
        <f t="shared" si="38"/>
        <v>33</v>
      </c>
      <c r="CF51" s="10">
        <f t="shared" si="39"/>
        <v>32</v>
      </c>
      <c r="CG51" s="10">
        <f t="shared" si="40"/>
        <v>31</v>
      </c>
      <c r="CH51" s="10">
        <f t="shared" si="41"/>
        <v>30</v>
      </c>
      <c r="CI51" s="10">
        <f t="shared" si="42"/>
        <v>29</v>
      </c>
      <c r="CJ51" s="10">
        <f t="shared" si="43"/>
        <v>28</v>
      </c>
      <c r="CK51" s="10">
        <f t="shared" si="44"/>
        <v>27</v>
      </c>
      <c r="CL51" s="10">
        <f t="shared" si="45"/>
        <v>26</v>
      </c>
      <c r="CM51" s="10" t="str">
        <f>'役職希望調査 ・備考'!I21&amp;""</f>
        <v/>
      </c>
    </row>
    <row r="52" spans="1:91">
      <c r="A52" s="10" t="str">
        <f>時間希望調査!A22&amp;""</f>
        <v/>
      </c>
      <c r="B52" s="10" t="str">
        <f>時間希望調査!B22&amp;""</f>
        <v/>
      </c>
      <c r="C52" s="10" t="str">
        <f>時間希望調査!C22&amp;""</f>
        <v/>
      </c>
      <c r="D52" s="11"/>
      <c r="E52" s="11"/>
      <c r="F52" s="11"/>
      <c r="G52" s="11"/>
      <c r="H52" s="11"/>
      <c r="I52" s="11"/>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c r="AN52" s="11"/>
      <c r="AO52" s="11"/>
      <c r="AP52" s="11"/>
      <c r="AQ52" s="11"/>
      <c r="AR52" s="11"/>
      <c r="AS52" s="11"/>
      <c r="AT52" s="11"/>
      <c r="AU52" s="11"/>
      <c r="AV52" s="11"/>
      <c r="AW52" s="11"/>
      <c r="AX52" s="11"/>
      <c r="AY52" s="11"/>
      <c r="AZ52" s="11"/>
      <c r="BA52" s="11"/>
      <c r="BB52" s="10">
        <f t="shared" si="46"/>
        <v>0</v>
      </c>
      <c r="BC52" s="10">
        <f>時間希望調査!D22</f>
        <v>0</v>
      </c>
      <c r="BD52" s="10" t="str">
        <f>'役職希望調査 ・備考'!D22&amp;""</f>
        <v/>
      </c>
      <c r="BE52" s="10" t="str">
        <f>'役職希望調査 ・備考'!E22&amp;""</f>
        <v/>
      </c>
      <c r="BF52" s="10" t="str">
        <f>'役職希望調査 ・備考'!F22&amp;""</f>
        <v/>
      </c>
      <c r="BG52" s="10" t="str">
        <f>'役職希望調査 ・備考'!G22&amp;""</f>
        <v/>
      </c>
      <c r="BH52" s="10" t="str">
        <f>'役職希望調査 ・備考'!H22&amp;""</f>
        <v/>
      </c>
      <c r="BI52" s="10">
        <f t="shared" si="16"/>
        <v>0</v>
      </c>
      <c r="BJ52" s="10">
        <f t="shared" si="17"/>
        <v>0</v>
      </c>
      <c r="BK52" s="10">
        <f t="shared" si="18"/>
        <v>0</v>
      </c>
      <c r="BL52" s="10">
        <f t="shared" si="19"/>
        <v>0</v>
      </c>
      <c r="BM52" s="10">
        <f t="shared" si="20"/>
        <v>0</v>
      </c>
      <c r="BN52" s="10">
        <f t="shared" si="21"/>
        <v>0</v>
      </c>
      <c r="BO52" s="10">
        <f t="shared" si="22"/>
        <v>48</v>
      </c>
      <c r="BP52" s="10">
        <f t="shared" si="23"/>
        <v>48</v>
      </c>
      <c r="BQ52" s="10">
        <f t="shared" si="24"/>
        <v>47</v>
      </c>
      <c r="BR52" s="10">
        <f t="shared" si="25"/>
        <v>46</v>
      </c>
      <c r="BS52" s="10">
        <f t="shared" si="26"/>
        <v>45</v>
      </c>
      <c r="BT52" s="10">
        <f t="shared" si="27"/>
        <v>44</v>
      </c>
      <c r="BU52" s="10">
        <f t="shared" si="28"/>
        <v>43</v>
      </c>
      <c r="BV52" s="10">
        <f t="shared" si="29"/>
        <v>42</v>
      </c>
      <c r="BW52" s="10">
        <f t="shared" si="30"/>
        <v>41</v>
      </c>
      <c r="BX52" s="10">
        <f t="shared" si="31"/>
        <v>40</v>
      </c>
      <c r="BY52" s="10">
        <f t="shared" si="32"/>
        <v>39</v>
      </c>
      <c r="BZ52" s="10">
        <f t="shared" si="33"/>
        <v>38</v>
      </c>
      <c r="CA52" s="10">
        <f t="shared" si="34"/>
        <v>37</v>
      </c>
      <c r="CB52" s="10">
        <f t="shared" si="35"/>
        <v>36</v>
      </c>
      <c r="CC52" s="10">
        <f t="shared" si="36"/>
        <v>35</v>
      </c>
      <c r="CD52" s="10">
        <f t="shared" si="37"/>
        <v>34</v>
      </c>
      <c r="CE52" s="10">
        <f t="shared" si="38"/>
        <v>33</v>
      </c>
      <c r="CF52" s="10">
        <f t="shared" si="39"/>
        <v>32</v>
      </c>
      <c r="CG52" s="10">
        <f t="shared" si="40"/>
        <v>31</v>
      </c>
      <c r="CH52" s="10">
        <f t="shared" si="41"/>
        <v>30</v>
      </c>
      <c r="CI52" s="10">
        <f t="shared" si="42"/>
        <v>29</v>
      </c>
      <c r="CJ52" s="10">
        <f t="shared" si="43"/>
        <v>28</v>
      </c>
      <c r="CK52" s="10">
        <f t="shared" si="44"/>
        <v>27</v>
      </c>
      <c r="CL52" s="10">
        <f t="shared" si="45"/>
        <v>26</v>
      </c>
      <c r="CM52" s="10" t="str">
        <f>'役職希望調査 ・備考'!I22&amp;""</f>
        <v/>
      </c>
    </row>
    <row r="53" spans="1:91">
      <c r="A53" s="10" t="str">
        <f>時間希望調査!A23&amp;""</f>
        <v/>
      </c>
      <c r="B53" s="10" t="str">
        <f>時間希望調査!B23&amp;""</f>
        <v/>
      </c>
      <c r="C53" s="10" t="str">
        <f>時間希望調査!C23&amp;""</f>
        <v/>
      </c>
      <c r="D53" s="11"/>
      <c r="E53" s="11"/>
      <c r="F53" s="11"/>
      <c r="G53" s="11"/>
      <c r="H53" s="11"/>
      <c r="I53" s="11"/>
      <c r="J53" s="11"/>
      <c r="K53" s="11"/>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c r="AP53" s="11"/>
      <c r="AQ53" s="11"/>
      <c r="AR53" s="11"/>
      <c r="AS53" s="11"/>
      <c r="AT53" s="11"/>
      <c r="AU53" s="11"/>
      <c r="AV53" s="11"/>
      <c r="AW53" s="11"/>
      <c r="AX53" s="11"/>
      <c r="AY53" s="11"/>
      <c r="AZ53" s="11"/>
      <c r="BA53" s="11"/>
      <c r="BB53" s="10">
        <f t="shared" si="46"/>
        <v>0</v>
      </c>
      <c r="BC53" s="10">
        <f>時間希望調査!D23</f>
        <v>0</v>
      </c>
      <c r="BD53" s="10" t="str">
        <f>'役職希望調査 ・備考'!D23&amp;""</f>
        <v/>
      </c>
      <c r="BE53" s="10" t="str">
        <f>'役職希望調査 ・備考'!E23&amp;""</f>
        <v/>
      </c>
      <c r="BF53" s="10" t="str">
        <f>'役職希望調査 ・備考'!F23&amp;""</f>
        <v/>
      </c>
      <c r="BG53" s="10" t="str">
        <f>'役職希望調査 ・備考'!G23&amp;""</f>
        <v/>
      </c>
      <c r="BH53" s="10" t="str">
        <f>'役職希望調査 ・備考'!H23&amp;""</f>
        <v/>
      </c>
      <c r="BI53" s="10">
        <f t="shared" si="16"/>
        <v>0</v>
      </c>
      <c r="BJ53" s="10">
        <f t="shared" si="17"/>
        <v>0</v>
      </c>
      <c r="BK53" s="10">
        <f t="shared" si="18"/>
        <v>0</v>
      </c>
      <c r="BL53" s="10">
        <f t="shared" si="19"/>
        <v>0</v>
      </c>
      <c r="BM53" s="10">
        <f t="shared" si="20"/>
        <v>0</v>
      </c>
      <c r="BN53" s="10">
        <f t="shared" si="21"/>
        <v>0</v>
      </c>
      <c r="BO53" s="10">
        <f t="shared" si="22"/>
        <v>48</v>
      </c>
      <c r="BP53" s="10">
        <f t="shared" si="23"/>
        <v>48</v>
      </c>
      <c r="BQ53" s="10">
        <f t="shared" si="24"/>
        <v>47</v>
      </c>
      <c r="BR53" s="10">
        <f t="shared" si="25"/>
        <v>46</v>
      </c>
      <c r="BS53" s="10">
        <f t="shared" si="26"/>
        <v>45</v>
      </c>
      <c r="BT53" s="10">
        <f t="shared" si="27"/>
        <v>44</v>
      </c>
      <c r="BU53" s="10">
        <f t="shared" si="28"/>
        <v>43</v>
      </c>
      <c r="BV53" s="10">
        <f t="shared" si="29"/>
        <v>42</v>
      </c>
      <c r="BW53" s="10">
        <f t="shared" si="30"/>
        <v>41</v>
      </c>
      <c r="BX53" s="10">
        <f t="shared" si="31"/>
        <v>40</v>
      </c>
      <c r="BY53" s="10">
        <f t="shared" si="32"/>
        <v>39</v>
      </c>
      <c r="BZ53" s="10">
        <f t="shared" si="33"/>
        <v>38</v>
      </c>
      <c r="CA53" s="10">
        <f t="shared" si="34"/>
        <v>37</v>
      </c>
      <c r="CB53" s="10">
        <f t="shared" si="35"/>
        <v>36</v>
      </c>
      <c r="CC53" s="10">
        <f t="shared" si="36"/>
        <v>35</v>
      </c>
      <c r="CD53" s="10">
        <f t="shared" si="37"/>
        <v>34</v>
      </c>
      <c r="CE53" s="10">
        <f t="shared" si="38"/>
        <v>33</v>
      </c>
      <c r="CF53" s="10">
        <f t="shared" si="39"/>
        <v>32</v>
      </c>
      <c r="CG53" s="10">
        <f t="shared" si="40"/>
        <v>31</v>
      </c>
      <c r="CH53" s="10">
        <f t="shared" si="41"/>
        <v>30</v>
      </c>
      <c r="CI53" s="10">
        <f t="shared" si="42"/>
        <v>29</v>
      </c>
      <c r="CJ53" s="10">
        <f t="shared" si="43"/>
        <v>28</v>
      </c>
      <c r="CK53" s="10">
        <f t="shared" si="44"/>
        <v>27</v>
      </c>
      <c r="CL53" s="10">
        <f t="shared" si="45"/>
        <v>26</v>
      </c>
      <c r="CM53" s="10" t="str">
        <f>'役職希望調査 ・備考'!I23&amp;""</f>
        <v/>
      </c>
    </row>
    <row r="54" spans="1:91">
      <c r="A54" s="10" t="str">
        <f>時間希望調査!A24&amp;""</f>
        <v/>
      </c>
      <c r="B54" s="10" t="str">
        <f>時間希望調査!B24&amp;""</f>
        <v/>
      </c>
      <c r="C54" s="10" t="str">
        <f>時間希望調査!C24&amp;""</f>
        <v/>
      </c>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c r="AP54" s="11"/>
      <c r="AQ54" s="11"/>
      <c r="AR54" s="11"/>
      <c r="AS54" s="11"/>
      <c r="AT54" s="11"/>
      <c r="AU54" s="11"/>
      <c r="AV54" s="11"/>
      <c r="AW54" s="11"/>
      <c r="AX54" s="11"/>
      <c r="AY54" s="11"/>
      <c r="AZ54" s="11"/>
      <c r="BA54" s="11"/>
      <c r="BB54" s="10">
        <f t="shared" si="46"/>
        <v>0</v>
      </c>
      <c r="BC54" s="10">
        <f>時間希望調査!D24</f>
        <v>0</v>
      </c>
      <c r="BD54" s="10" t="str">
        <f>'役職希望調査 ・備考'!D24&amp;""</f>
        <v/>
      </c>
      <c r="BE54" s="10" t="str">
        <f>'役職希望調査 ・備考'!E24&amp;""</f>
        <v/>
      </c>
      <c r="BF54" s="10" t="str">
        <f>'役職希望調査 ・備考'!F24&amp;""</f>
        <v/>
      </c>
      <c r="BG54" s="10" t="str">
        <f>'役職希望調査 ・備考'!G24&amp;""</f>
        <v/>
      </c>
      <c r="BH54" s="10" t="str">
        <f>'役職希望調査 ・備考'!H24&amp;""</f>
        <v/>
      </c>
      <c r="BI54" s="10">
        <f t="shared" si="16"/>
        <v>0</v>
      </c>
      <c r="BJ54" s="10">
        <f t="shared" si="17"/>
        <v>0</v>
      </c>
      <c r="BK54" s="10">
        <f t="shared" si="18"/>
        <v>0</v>
      </c>
      <c r="BL54" s="10">
        <f t="shared" si="19"/>
        <v>0</v>
      </c>
      <c r="BM54" s="10">
        <f t="shared" si="20"/>
        <v>0</v>
      </c>
      <c r="BN54" s="10">
        <f t="shared" si="21"/>
        <v>0</v>
      </c>
      <c r="BO54" s="10">
        <f t="shared" si="22"/>
        <v>48</v>
      </c>
      <c r="BP54" s="10">
        <f t="shared" si="23"/>
        <v>48</v>
      </c>
      <c r="BQ54" s="10">
        <f t="shared" si="24"/>
        <v>47</v>
      </c>
      <c r="BR54" s="10">
        <f t="shared" si="25"/>
        <v>46</v>
      </c>
      <c r="BS54" s="10">
        <f t="shared" si="26"/>
        <v>45</v>
      </c>
      <c r="BT54" s="10">
        <f t="shared" si="27"/>
        <v>44</v>
      </c>
      <c r="BU54" s="10">
        <f t="shared" si="28"/>
        <v>43</v>
      </c>
      <c r="BV54" s="10">
        <f t="shared" si="29"/>
        <v>42</v>
      </c>
      <c r="BW54" s="10">
        <f t="shared" si="30"/>
        <v>41</v>
      </c>
      <c r="BX54" s="10">
        <f t="shared" si="31"/>
        <v>40</v>
      </c>
      <c r="BY54" s="10">
        <f t="shared" si="32"/>
        <v>39</v>
      </c>
      <c r="BZ54" s="10">
        <f t="shared" si="33"/>
        <v>38</v>
      </c>
      <c r="CA54" s="10">
        <f t="shared" si="34"/>
        <v>37</v>
      </c>
      <c r="CB54" s="10">
        <f t="shared" si="35"/>
        <v>36</v>
      </c>
      <c r="CC54" s="10">
        <f t="shared" si="36"/>
        <v>35</v>
      </c>
      <c r="CD54" s="10">
        <f t="shared" si="37"/>
        <v>34</v>
      </c>
      <c r="CE54" s="10">
        <f t="shared" si="38"/>
        <v>33</v>
      </c>
      <c r="CF54" s="10">
        <f t="shared" si="39"/>
        <v>32</v>
      </c>
      <c r="CG54" s="10">
        <f t="shared" si="40"/>
        <v>31</v>
      </c>
      <c r="CH54" s="10">
        <f t="shared" si="41"/>
        <v>30</v>
      </c>
      <c r="CI54" s="10">
        <f t="shared" si="42"/>
        <v>29</v>
      </c>
      <c r="CJ54" s="10">
        <f t="shared" si="43"/>
        <v>28</v>
      </c>
      <c r="CK54" s="10">
        <f t="shared" si="44"/>
        <v>27</v>
      </c>
      <c r="CL54" s="10">
        <f t="shared" si="45"/>
        <v>26</v>
      </c>
      <c r="CM54" s="10" t="str">
        <f>'役職希望調査 ・備考'!I24&amp;""</f>
        <v/>
      </c>
    </row>
    <row r="55" spans="1:91">
      <c r="A55" s="10" t="str">
        <f>時間希望調査!A25&amp;""</f>
        <v/>
      </c>
      <c r="B55" s="10" t="str">
        <f>時間希望調査!B25&amp;""</f>
        <v/>
      </c>
      <c r="C55" s="10" t="str">
        <f>時間希望調査!C25&amp;""</f>
        <v/>
      </c>
      <c r="D55" s="11"/>
      <c r="E55" s="11"/>
      <c r="F55" s="11"/>
      <c r="G55" s="11"/>
      <c r="H55" s="11"/>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11"/>
      <c r="AV55" s="11"/>
      <c r="AW55" s="11"/>
      <c r="AX55" s="11"/>
      <c r="AY55" s="11"/>
      <c r="AZ55" s="11"/>
      <c r="BA55" s="11"/>
      <c r="BB55" s="10">
        <f>COUNTA(D55:BA55)</f>
        <v>0</v>
      </c>
      <c r="BC55" s="10">
        <f>時間希望調査!D25</f>
        <v>0</v>
      </c>
      <c r="BD55" s="10" t="str">
        <f>'役職希望調査 ・備考'!D25&amp;""</f>
        <v/>
      </c>
      <c r="BE55" s="10" t="str">
        <f>'役職希望調査 ・備考'!E25&amp;""</f>
        <v/>
      </c>
      <c r="BF55" s="10" t="str">
        <f>'役職希望調査 ・備考'!F25&amp;""</f>
        <v/>
      </c>
      <c r="BG55" s="10" t="str">
        <f>'役職希望調査 ・備考'!G25&amp;""</f>
        <v/>
      </c>
      <c r="BH55" s="10" t="str">
        <f>'役職希望調査 ・備考'!H25&amp;""</f>
        <v/>
      </c>
      <c r="BI55" s="10">
        <f>COUNTIF(D55:BA55,BI$1)</f>
        <v>0</v>
      </c>
      <c r="BJ55" s="10">
        <f t="shared" si="17"/>
        <v>0</v>
      </c>
      <c r="BK55" s="10">
        <f>COUNTIF(F55:BC55,BK$1)</f>
        <v>0</v>
      </c>
      <c r="BL55" s="10">
        <f t="shared" si="19"/>
        <v>0</v>
      </c>
      <c r="BM55" s="10">
        <f t="shared" si="20"/>
        <v>0</v>
      </c>
      <c r="BN55" s="10">
        <f t="shared" si="21"/>
        <v>0</v>
      </c>
      <c r="BO55" s="10">
        <f t="shared" si="22"/>
        <v>48</v>
      </c>
      <c r="BP55" s="10">
        <f t="shared" si="23"/>
        <v>48</v>
      </c>
      <c r="BQ55" s="10">
        <f t="shared" si="24"/>
        <v>47</v>
      </c>
      <c r="BR55" s="10">
        <f t="shared" si="25"/>
        <v>46</v>
      </c>
      <c r="BS55" s="10">
        <f t="shared" si="26"/>
        <v>45</v>
      </c>
      <c r="BT55" s="10">
        <f t="shared" si="27"/>
        <v>44</v>
      </c>
      <c r="BU55" s="10">
        <f t="shared" si="28"/>
        <v>43</v>
      </c>
      <c r="BV55" s="10">
        <f t="shared" si="29"/>
        <v>42</v>
      </c>
      <c r="BW55" s="10">
        <f t="shared" si="30"/>
        <v>41</v>
      </c>
      <c r="BX55" s="10">
        <f t="shared" si="31"/>
        <v>40</v>
      </c>
      <c r="BY55" s="10">
        <f t="shared" si="32"/>
        <v>39</v>
      </c>
      <c r="BZ55" s="10">
        <f t="shared" si="33"/>
        <v>38</v>
      </c>
      <c r="CA55" s="10">
        <f t="shared" si="34"/>
        <v>37</v>
      </c>
      <c r="CB55" s="10">
        <f t="shared" si="35"/>
        <v>36</v>
      </c>
      <c r="CC55" s="10">
        <f t="shared" si="36"/>
        <v>35</v>
      </c>
      <c r="CD55" s="10">
        <f t="shared" si="37"/>
        <v>34</v>
      </c>
      <c r="CE55" s="10">
        <f t="shared" si="38"/>
        <v>33</v>
      </c>
      <c r="CF55" s="10">
        <f t="shared" si="39"/>
        <v>32</v>
      </c>
      <c r="CG55" s="10">
        <f t="shared" si="40"/>
        <v>31</v>
      </c>
      <c r="CH55" s="10">
        <f t="shared" si="41"/>
        <v>30</v>
      </c>
      <c r="CI55" s="10">
        <f t="shared" si="42"/>
        <v>29</v>
      </c>
      <c r="CJ55" s="10">
        <f t="shared" si="43"/>
        <v>28</v>
      </c>
      <c r="CK55" s="10">
        <f t="shared" si="44"/>
        <v>27</v>
      </c>
      <c r="CL55" s="10">
        <f t="shared" si="45"/>
        <v>26</v>
      </c>
      <c r="CM55" s="10" t="str">
        <f>'役職希望調査 ・備考'!I25&amp;""</f>
        <v/>
      </c>
    </row>
    <row r="56" spans="1:91">
      <c r="A56" s="10" t="str">
        <f>時間希望調査!A26&amp;""</f>
        <v/>
      </c>
      <c r="B56" s="10" t="str">
        <f>時間希望調査!B26&amp;""</f>
        <v/>
      </c>
      <c r="C56" s="10" t="str">
        <f>時間希望調査!C26&amp;""</f>
        <v/>
      </c>
      <c r="D56" s="11"/>
      <c r="E56" s="11"/>
      <c r="F56" s="11"/>
      <c r="G56" s="11"/>
      <c r="H56" s="11"/>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c r="AP56" s="11"/>
      <c r="AQ56" s="11"/>
      <c r="AR56" s="11"/>
      <c r="AS56" s="11"/>
      <c r="AT56" s="11"/>
      <c r="AU56" s="11"/>
      <c r="AV56" s="11"/>
      <c r="AW56" s="11"/>
      <c r="AX56" s="11"/>
      <c r="AY56" s="11"/>
      <c r="AZ56" s="11"/>
      <c r="BA56" s="11"/>
      <c r="BB56" s="10">
        <f t="shared" si="46"/>
        <v>0</v>
      </c>
      <c r="BC56" s="10">
        <f>時間希望調査!D26</f>
        <v>0</v>
      </c>
      <c r="BD56" s="10" t="str">
        <f>'役職希望調査 ・備考'!D26&amp;""</f>
        <v/>
      </c>
      <c r="BE56" s="10" t="str">
        <f>'役職希望調査 ・備考'!E26&amp;""</f>
        <v/>
      </c>
      <c r="BF56" s="10" t="str">
        <f>'役職希望調査 ・備考'!F26&amp;""</f>
        <v/>
      </c>
      <c r="BG56" s="10" t="str">
        <f>'役職希望調査 ・備考'!G26&amp;""</f>
        <v/>
      </c>
      <c r="BH56" s="10" t="str">
        <f>'役職希望調査 ・備考'!H26&amp;""</f>
        <v/>
      </c>
      <c r="BI56" s="10">
        <f t="shared" si="16"/>
        <v>0</v>
      </c>
      <c r="BJ56" s="10">
        <f t="shared" si="17"/>
        <v>0</v>
      </c>
      <c r="BK56" s="10">
        <f t="shared" si="18"/>
        <v>0</v>
      </c>
      <c r="BL56" s="10">
        <f t="shared" si="19"/>
        <v>0</v>
      </c>
      <c r="BM56" s="10">
        <f t="shared" si="20"/>
        <v>0</v>
      </c>
      <c r="BN56" s="10">
        <f t="shared" si="21"/>
        <v>0</v>
      </c>
      <c r="BO56" s="10">
        <f t="shared" si="22"/>
        <v>48</v>
      </c>
      <c r="BP56" s="10">
        <f t="shared" si="23"/>
        <v>48</v>
      </c>
      <c r="BQ56" s="10">
        <f t="shared" si="24"/>
        <v>47</v>
      </c>
      <c r="BR56" s="10">
        <f t="shared" si="25"/>
        <v>46</v>
      </c>
      <c r="BS56" s="10">
        <f t="shared" si="26"/>
        <v>45</v>
      </c>
      <c r="BT56" s="10">
        <f t="shared" si="27"/>
        <v>44</v>
      </c>
      <c r="BU56" s="10">
        <f t="shared" si="28"/>
        <v>43</v>
      </c>
      <c r="BV56" s="10">
        <f t="shared" si="29"/>
        <v>42</v>
      </c>
      <c r="BW56" s="10">
        <f t="shared" si="30"/>
        <v>41</v>
      </c>
      <c r="BX56" s="10">
        <f t="shared" si="31"/>
        <v>40</v>
      </c>
      <c r="BY56" s="10">
        <f t="shared" si="32"/>
        <v>39</v>
      </c>
      <c r="BZ56" s="10">
        <f t="shared" si="33"/>
        <v>38</v>
      </c>
      <c r="CA56" s="10">
        <f t="shared" si="34"/>
        <v>37</v>
      </c>
      <c r="CB56" s="10">
        <f t="shared" si="35"/>
        <v>36</v>
      </c>
      <c r="CC56" s="10">
        <f t="shared" si="36"/>
        <v>35</v>
      </c>
      <c r="CD56" s="10">
        <f t="shared" si="37"/>
        <v>34</v>
      </c>
      <c r="CE56" s="10">
        <f t="shared" si="38"/>
        <v>33</v>
      </c>
      <c r="CF56" s="10">
        <f t="shared" si="39"/>
        <v>32</v>
      </c>
      <c r="CG56" s="10">
        <f t="shared" si="40"/>
        <v>31</v>
      </c>
      <c r="CH56" s="10">
        <f t="shared" si="41"/>
        <v>30</v>
      </c>
      <c r="CI56" s="10">
        <f t="shared" si="42"/>
        <v>29</v>
      </c>
      <c r="CJ56" s="10">
        <f t="shared" si="43"/>
        <v>28</v>
      </c>
      <c r="CK56" s="10">
        <f t="shared" si="44"/>
        <v>27</v>
      </c>
      <c r="CL56" s="10">
        <f t="shared" si="45"/>
        <v>26</v>
      </c>
      <c r="CM56" s="10" t="str">
        <f>'役職希望調査 ・備考'!I26&amp;""</f>
        <v/>
      </c>
    </row>
    <row r="57" spans="1:91">
      <c r="A57" s="10" t="str">
        <f>時間希望調査!A27&amp;""</f>
        <v/>
      </c>
      <c r="B57" s="10" t="str">
        <f>時間希望調査!B27&amp;""</f>
        <v/>
      </c>
      <c r="C57" s="10" t="str">
        <f>時間希望調査!C27&amp;""</f>
        <v/>
      </c>
      <c r="D57" s="11"/>
      <c r="E57" s="11"/>
      <c r="F57" s="11"/>
      <c r="G57" s="11"/>
      <c r="H57" s="11"/>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c r="AP57" s="11"/>
      <c r="AQ57" s="11"/>
      <c r="AR57" s="11"/>
      <c r="AS57" s="11"/>
      <c r="AT57" s="11"/>
      <c r="AU57" s="11"/>
      <c r="AV57" s="11"/>
      <c r="AW57" s="11"/>
      <c r="AX57" s="11"/>
      <c r="AY57" s="11"/>
      <c r="AZ57" s="11"/>
      <c r="BA57" s="11"/>
      <c r="BB57" s="10">
        <f t="shared" si="46"/>
        <v>0</v>
      </c>
      <c r="BC57" s="10">
        <f>時間希望調査!D27</f>
        <v>0</v>
      </c>
      <c r="BD57" s="10" t="str">
        <f>'役職希望調査 ・備考'!D27&amp;""</f>
        <v/>
      </c>
      <c r="BE57" s="10" t="str">
        <f>'役職希望調査 ・備考'!E27&amp;""</f>
        <v/>
      </c>
      <c r="BF57" s="10" t="str">
        <f>'役職希望調査 ・備考'!F27&amp;""</f>
        <v/>
      </c>
      <c r="BG57" s="10" t="str">
        <f>'役職希望調査 ・備考'!G27&amp;""</f>
        <v/>
      </c>
      <c r="BH57" s="10" t="str">
        <f>'役職希望調査 ・備考'!H27&amp;""</f>
        <v/>
      </c>
      <c r="BI57" s="10">
        <f t="shared" si="16"/>
        <v>0</v>
      </c>
      <c r="BJ57" s="10">
        <f t="shared" si="17"/>
        <v>0</v>
      </c>
      <c r="BK57" s="10">
        <f t="shared" si="18"/>
        <v>0</v>
      </c>
      <c r="BL57" s="10">
        <f t="shared" si="19"/>
        <v>0</v>
      </c>
      <c r="BM57" s="10">
        <f t="shared" si="20"/>
        <v>0</v>
      </c>
      <c r="BN57" s="10">
        <f t="shared" si="21"/>
        <v>0</v>
      </c>
      <c r="BO57" s="10">
        <f t="shared" si="22"/>
        <v>48</v>
      </c>
      <c r="BP57" s="10">
        <f t="shared" si="23"/>
        <v>48</v>
      </c>
      <c r="BQ57" s="10">
        <f t="shared" si="24"/>
        <v>47</v>
      </c>
      <c r="BR57" s="10">
        <f t="shared" si="25"/>
        <v>46</v>
      </c>
      <c r="BS57" s="10">
        <f t="shared" si="26"/>
        <v>45</v>
      </c>
      <c r="BT57" s="10">
        <f t="shared" si="27"/>
        <v>44</v>
      </c>
      <c r="BU57" s="10">
        <f t="shared" si="28"/>
        <v>43</v>
      </c>
      <c r="BV57" s="10">
        <f t="shared" si="29"/>
        <v>42</v>
      </c>
      <c r="BW57" s="10">
        <f t="shared" si="30"/>
        <v>41</v>
      </c>
      <c r="BX57" s="10">
        <f t="shared" si="31"/>
        <v>40</v>
      </c>
      <c r="BY57" s="10">
        <f t="shared" si="32"/>
        <v>39</v>
      </c>
      <c r="BZ57" s="10">
        <f t="shared" si="33"/>
        <v>38</v>
      </c>
      <c r="CA57" s="10">
        <f t="shared" si="34"/>
        <v>37</v>
      </c>
      <c r="CB57" s="10">
        <f t="shared" si="35"/>
        <v>36</v>
      </c>
      <c r="CC57" s="10">
        <f t="shared" si="36"/>
        <v>35</v>
      </c>
      <c r="CD57" s="10">
        <f t="shared" si="37"/>
        <v>34</v>
      </c>
      <c r="CE57" s="10">
        <f t="shared" si="38"/>
        <v>33</v>
      </c>
      <c r="CF57" s="10">
        <f t="shared" si="39"/>
        <v>32</v>
      </c>
      <c r="CG57" s="10">
        <f t="shared" si="40"/>
        <v>31</v>
      </c>
      <c r="CH57" s="10">
        <f t="shared" si="41"/>
        <v>30</v>
      </c>
      <c r="CI57" s="10">
        <f t="shared" si="42"/>
        <v>29</v>
      </c>
      <c r="CJ57" s="10">
        <f t="shared" si="43"/>
        <v>28</v>
      </c>
      <c r="CK57" s="10">
        <f t="shared" si="44"/>
        <v>27</v>
      </c>
      <c r="CL57" s="10">
        <f t="shared" si="45"/>
        <v>26</v>
      </c>
      <c r="CM57" s="10" t="str">
        <f>'役職希望調査 ・備考'!I27&amp;""</f>
        <v/>
      </c>
    </row>
    <row r="58" spans="1:91">
      <c r="A58" s="10" t="str">
        <f>時間希望調査!A28&amp;""</f>
        <v/>
      </c>
      <c r="B58" s="10" t="str">
        <f>時間希望調査!B28&amp;""</f>
        <v/>
      </c>
      <c r="C58" s="10" t="str">
        <f>時間希望調査!C28&amp;""</f>
        <v/>
      </c>
      <c r="D58" s="11"/>
      <c r="E58" s="11"/>
      <c r="F58" s="11"/>
      <c r="G58" s="11"/>
      <c r="H58" s="11"/>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c r="AP58" s="11"/>
      <c r="AQ58" s="11"/>
      <c r="AR58" s="11"/>
      <c r="AS58" s="11"/>
      <c r="AT58" s="11"/>
      <c r="AU58" s="11"/>
      <c r="AV58" s="11"/>
      <c r="AW58" s="11"/>
      <c r="AX58" s="11"/>
      <c r="AY58" s="11"/>
      <c r="AZ58" s="11"/>
      <c r="BA58" s="11"/>
      <c r="BB58" s="10">
        <f t="shared" si="46"/>
        <v>0</v>
      </c>
      <c r="BC58" s="10">
        <f>時間希望調査!D28</f>
        <v>0</v>
      </c>
      <c r="BD58" s="10" t="str">
        <f>'役職希望調査 ・備考'!D28&amp;""</f>
        <v/>
      </c>
      <c r="BE58" s="10" t="str">
        <f>'役職希望調査 ・備考'!E28&amp;""</f>
        <v/>
      </c>
      <c r="BF58" s="10" t="str">
        <f>'役職希望調査 ・備考'!F28&amp;""</f>
        <v/>
      </c>
      <c r="BG58" s="10" t="str">
        <f>'役職希望調査 ・備考'!G28&amp;""</f>
        <v/>
      </c>
      <c r="BH58" s="10" t="str">
        <f>'役職希望調査 ・備考'!H28&amp;""</f>
        <v/>
      </c>
      <c r="BI58" s="10">
        <f t="shared" si="16"/>
        <v>0</v>
      </c>
      <c r="BJ58" s="10">
        <f t="shared" si="17"/>
        <v>0</v>
      </c>
      <c r="BK58" s="10">
        <f t="shared" si="18"/>
        <v>0</v>
      </c>
      <c r="BL58" s="10">
        <f t="shared" si="19"/>
        <v>0</v>
      </c>
      <c r="BM58" s="10">
        <f t="shared" si="20"/>
        <v>0</v>
      </c>
      <c r="BN58" s="10">
        <f t="shared" si="21"/>
        <v>0</v>
      </c>
      <c r="BO58" s="10">
        <f t="shared" si="22"/>
        <v>48</v>
      </c>
      <c r="BP58" s="10">
        <f t="shared" si="23"/>
        <v>48</v>
      </c>
      <c r="BQ58" s="10">
        <f t="shared" si="24"/>
        <v>47</v>
      </c>
      <c r="BR58" s="10">
        <f t="shared" si="25"/>
        <v>46</v>
      </c>
      <c r="BS58" s="10">
        <f t="shared" si="26"/>
        <v>45</v>
      </c>
      <c r="BT58" s="10">
        <f t="shared" si="27"/>
        <v>44</v>
      </c>
      <c r="BU58" s="10">
        <f t="shared" si="28"/>
        <v>43</v>
      </c>
      <c r="BV58" s="10">
        <f t="shared" si="29"/>
        <v>42</v>
      </c>
      <c r="BW58" s="10">
        <f t="shared" si="30"/>
        <v>41</v>
      </c>
      <c r="BX58" s="10">
        <f t="shared" si="31"/>
        <v>40</v>
      </c>
      <c r="BY58" s="10">
        <f t="shared" si="32"/>
        <v>39</v>
      </c>
      <c r="BZ58" s="10">
        <f t="shared" si="33"/>
        <v>38</v>
      </c>
      <c r="CA58" s="10">
        <f t="shared" si="34"/>
        <v>37</v>
      </c>
      <c r="CB58" s="10">
        <f t="shared" si="35"/>
        <v>36</v>
      </c>
      <c r="CC58" s="10">
        <f t="shared" si="36"/>
        <v>35</v>
      </c>
      <c r="CD58" s="10">
        <f t="shared" si="37"/>
        <v>34</v>
      </c>
      <c r="CE58" s="10">
        <f t="shared" si="38"/>
        <v>33</v>
      </c>
      <c r="CF58" s="10">
        <f t="shared" si="39"/>
        <v>32</v>
      </c>
      <c r="CG58" s="10">
        <f t="shared" si="40"/>
        <v>31</v>
      </c>
      <c r="CH58" s="10">
        <f t="shared" si="41"/>
        <v>30</v>
      </c>
      <c r="CI58" s="10">
        <f t="shared" si="42"/>
        <v>29</v>
      </c>
      <c r="CJ58" s="10">
        <f t="shared" si="43"/>
        <v>28</v>
      </c>
      <c r="CK58" s="10">
        <f t="shared" si="44"/>
        <v>27</v>
      </c>
      <c r="CL58" s="10">
        <f t="shared" si="45"/>
        <v>26</v>
      </c>
      <c r="CM58" s="10" t="str">
        <f>'役職希望調査 ・備考'!I28&amp;""</f>
        <v/>
      </c>
    </row>
    <row r="59" spans="1:91">
      <c r="A59" s="10" t="str">
        <f>時間希望調査!A29&amp;""</f>
        <v/>
      </c>
      <c r="B59" s="10" t="str">
        <f>時間希望調査!B29&amp;""</f>
        <v/>
      </c>
      <c r="C59" s="10" t="str">
        <f>時間希望調査!C29&amp;""</f>
        <v/>
      </c>
      <c r="D59" s="11"/>
      <c r="E59" s="11"/>
      <c r="F59" s="11"/>
      <c r="G59" s="11"/>
      <c r="H59" s="11"/>
      <c r="I59" s="11"/>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c r="AP59" s="11"/>
      <c r="AQ59" s="11"/>
      <c r="AR59" s="11"/>
      <c r="AS59" s="11"/>
      <c r="AT59" s="11"/>
      <c r="AU59" s="11"/>
      <c r="AV59" s="11"/>
      <c r="AW59" s="11"/>
      <c r="AX59" s="11"/>
      <c r="AY59" s="11"/>
      <c r="AZ59" s="11"/>
      <c r="BA59" s="11"/>
      <c r="BB59" s="10">
        <f t="shared" si="46"/>
        <v>0</v>
      </c>
      <c r="BC59" s="10">
        <f>時間希望調査!D29</f>
        <v>0</v>
      </c>
      <c r="BD59" s="10" t="str">
        <f>'役職希望調査 ・備考'!D29&amp;""</f>
        <v/>
      </c>
      <c r="BE59" s="10" t="str">
        <f>'役職希望調査 ・備考'!E29&amp;""</f>
        <v/>
      </c>
      <c r="BF59" s="10" t="str">
        <f>'役職希望調査 ・備考'!F29&amp;""</f>
        <v/>
      </c>
      <c r="BG59" s="10" t="str">
        <f>'役職希望調査 ・備考'!G29&amp;""</f>
        <v/>
      </c>
      <c r="BH59" s="10" t="str">
        <f>'役職希望調査 ・備考'!H29&amp;""</f>
        <v/>
      </c>
      <c r="BI59" s="10">
        <f t="shared" si="16"/>
        <v>0</v>
      </c>
      <c r="BJ59" s="10">
        <f t="shared" si="17"/>
        <v>0</v>
      </c>
      <c r="BK59" s="10">
        <f t="shared" si="18"/>
        <v>0</v>
      </c>
      <c r="BL59" s="10">
        <f t="shared" si="19"/>
        <v>0</v>
      </c>
      <c r="BM59" s="10">
        <f t="shared" si="20"/>
        <v>0</v>
      </c>
      <c r="BN59" s="10">
        <f t="shared" si="21"/>
        <v>0</v>
      </c>
      <c r="BO59" s="10">
        <f t="shared" si="22"/>
        <v>48</v>
      </c>
      <c r="BP59" s="10">
        <f t="shared" si="23"/>
        <v>48</v>
      </c>
      <c r="BQ59" s="10">
        <f t="shared" si="24"/>
        <v>47</v>
      </c>
      <c r="BR59" s="10">
        <f t="shared" si="25"/>
        <v>46</v>
      </c>
      <c r="BS59" s="10">
        <f t="shared" si="26"/>
        <v>45</v>
      </c>
      <c r="BT59" s="10">
        <f t="shared" si="27"/>
        <v>44</v>
      </c>
      <c r="BU59" s="10">
        <f t="shared" si="28"/>
        <v>43</v>
      </c>
      <c r="BV59" s="10">
        <f t="shared" si="29"/>
        <v>42</v>
      </c>
      <c r="BW59" s="10">
        <f t="shared" si="30"/>
        <v>41</v>
      </c>
      <c r="BX59" s="10">
        <f t="shared" si="31"/>
        <v>40</v>
      </c>
      <c r="BY59" s="10">
        <f t="shared" si="32"/>
        <v>39</v>
      </c>
      <c r="BZ59" s="10">
        <f t="shared" si="33"/>
        <v>38</v>
      </c>
      <c r="CA59" s="10">
        <f t="shared" si="34"/>
        <v>37</v>
      </c>
      <c r="CB59" s="10">
        <f t="shared" si="35"/>
        <v>36</v>
      </c>
      <c r="CC59" s="10">
        <f t="shared" si="36"/>
        <v>35</v>
      </c>
      <c r="CD59" s="10">
        <f t="shared" si="37"/>
        <v>34</v>
      </c>
      <c r="CE59" s="10">
        <f t="shared" si="38"/>
        <v>33</v>
      </c>
      <c r="CF59" s="10">
        <f t="shared" si="39"/>
        <v>32</v>
      </c>
      <c r="CG59" s="10">
        <f t="shared" si="40"/>
        <v>31</v>
      </c>
      <c r="CH59" s="10">
        <f t="shared" si="41"/>
        <v>30</v>
      </c>
      <c r="CI59" s="10">
        <f t="shared" si="42"/>
        <v>29</v>
      </c>
      <c r="CJ59" s="10">
        <f t="shared" si="43"/>
        <v>28</v>
      </c>
      <c r="CK59" s="10">
        <f t="shared" si="44"/>
        <v>27</v>
      </c>
      <c r="CL59" s="10">
        <f t="shared" si="45"/>
        <v>26</v>
      </c>
      <c r="CM59" s="10" t="str">
        <f>'役職希望調査 ・備考'!I29&amp;""</f>
        <v/>
      </c>
    </row>
    <row r="60" spans="1:91">
      <c r="A60" s="10" t="str">
        <f>時間希望調査!A30&amp;""</f>
        <v/>
      </c>
      <c r="B60" s="10" t="str">
        <f>時間希望調査!B30&amp;""</f>
        <v/>
      </c>
      <c r="C60" s="10" t="str">
        <f>時間希望調査!C30&amp;""</f>
        <v/>
      </c>
      <c r="D60" s="11"/>
      <c r="E60" s="11"/>
      <c r="F60" s="11"/>
      <c r="G60" s="11"/>
      <c r="H60" s="11"/>
      <c r="I60" s="11"/>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c r="AP60" s="11"/>
      <c r="AQ60" s="11"/>
      <c r="AR60" s="11"/>
      <c r="AS60" s="11"/>
      <c r="AT60" s="11"/>
      <c r="AU60" s="11"/>
      <c r="AV60" s="11"/>
      <c r="AW60" s="11"/>
      <c r="AX60" s="11"/>
      <c r="AY60" s="11"/>
      <c r="AZ60" s="11"/>
      <c r="BA60" s="11"/>
      <c r="BB60" s="10">
        <f t="shared" si="46"/>
        <v>0</v>
      </c>
      <c r="BC60" s="10">
        <f>時間希望調査!D30</f>
        <v>0</v>
      </c>
      <c r="BD60" s="10" t="str">
        <f>'役職希望調査 ・備考'!D30&amp;""</f>
        <v/>
      </c>
      <c r="BE60" s="10" t="str">
        <f>'役職希望調査 ・備考'!E30&amp;""</f>
        <v/>
      </c>
      <c r="BF60" s="10" t="str">
        <f>'役職希望調査 ・備考'!F30&amp;""</f>
        <v/>
      </c>
      <c r="BG60" s="10" t="str">
        <f>'役職希望調査 ・備考'!G30&amp;""</f>
        <v/>
      </c>
      <c r="BH60" s="10" t="str">
        <f>'役職希望調査 ・備考'!H30&amp;""</f>
        <v/>
      </c>
      <c r="BI60" s="10">
        <f t="shared" si="16"/>
        <v>0</v>
      </c>
      <c r="BJ60" s="10">
        <f t="shared" si="17"/>
        <v>0</v>
      </c>
      <c r="BK60" s="10">
        <f t="shared" si="18"/>
        <v>0</v>
      </c>
      <c r="BL60" s="10">
        <f t="shared" si="19"/>
        <v>0</v>
      </c>
      <c r="BM60" s="10">
        <f t="shared" si="20"/>
        <v>0</v>
      </c>
      <c r="BN60" s="10">
        <f t="shared" si="21"/>
        <v>0</v>
      </c>
      <c r="BO60" s="10">
        <f t="shared" si="22"/>
        <v>48</v>
      </c>
      <c r="BP60" s="10">
        <f t="shared" si="23"/>
        <v>48</v>
      </c>
      <c r="BQ60" s="10">
        <f t="shared" si="24"/>
        <v>47</v>
      </c>
      <c r="BR60" s="10">
        <f t="shared" si="25"/>
        <v>46</v>
      </c>
      <c r="BS60" s="10">
        <f t="shared" si="26"/>
        <v>45</v>
      </c>
      <c r="BT60" s="10">
        <f t="shared" si="27"/>
        <v>44</v>
      </c>
      <c r="BU60" s="10">
        <f t="shared" si="28"/>
        <v>43</v>
      </c>
      <c r="BV60" s="10">
        <f t="shared" si="29"/>
        <v>42</v>
      </c>
      <c r="BW60" s="10">
        <f t="shared" si="30"/>
        <v>41</v>
      </c>
      <c r="BX60" s="10">
        <f t="shared" si="31"/>
        <v>40</v>
      </c>
      <c r="BY60" s="10">
        <f t="shared" si="32"/>
        <v>39</v>
      </c>
      <c r="BZ60" s="10">
        <f t="shared" si="33"/>
        <v>38</v>
      </c>
      <c r="CA60" s="10">
        <f t="shared" si="34"/>
        <v>37</v>
      </c>
      <c r="CB60" s="10">
        <f t="shared" si="35"/>
        <v>36</v>
      </c>
      <c r="CC60" s="10">
        <f t="shared" si="36"/>
        <v>35</v>
      </c>
      <c r="CD60" s="10">
        <f t="shared" si="37"/>
        <v>34</v>
      </c>
      <c r="CE60" s="10">
        <f t="shared" si="38"/>
        <v>33</v>
      </c>
      <c r="CF60" s="10">
        <f t="shared" si="39"/>
        <v>32</v>
      </c>
      <c r="CG60" s="10">
        <f t="shared" si="40"/>
        <v>31</v>
      </c>
      <c r="CH60" s="10">
        <f t="shared" si="41"/>
        <v>30</v>
      </c>
      <c r="CI60" s="10">
        <f t="shared" si="42"/>
        <v>29</v>
      </c>
      <c r="CJ60" s="10">
        <f t="shared" si="43"/>
        <v>28</v>
      </c>
      <c r="CK60" s="10">
        <f t="shared" si="44"/>
        <v>27</v>
      </c>
      <c r="CL60" s="10">
        <f t="shared" si="45"/>
        <v>26</v>
      </c>
      <c r="CM60" s="10" t="str">
        <f>'役職希望調査 ・備考'!I30&amp;""</f>
        <v/>
      </c>
    </row>
    <row r="61" spans="1:91">
      <c r="A61" s="10" t="str">
        <f>時間希望調査!A31&amp;""</f>
        <v/>
      </c>
      <c r="B61" s="10" t="str">
        <f>時間希望調査!B31&amp;""</f>
        <v/>
      </c>
      <c r="C61" s="10" t="str">
        <f>時間希望調査!C31&amp;""</f>
        <v/>
      </c>
      <c r="D61" s="11"/>
      <c r="E61" s="11"/>
      <c r="F61" s="11"/>
      <c r="G61" s="11"/>
      <c r="H61" s="11"/>
      <c r="I61" s="11"/>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c r="AP61" s="11"/>
      <c r="AQ61" s="11"/>
      <c r="AR61" s="11"/>
      <c r="AS61" s="11"/>
      <c r="AT61" s="11"/>
      <c r="AU61" s="11"/>
      <c r="AV61" s="11"/>
      <c r="AW61" s="11"/>
      <c r="AX61" s="11"/>
      <c r="AY61" s="11"/>
      <c r="AZ61" s="11"/>
      <c r="BA61" s="11"/>
      <c r="BB61" s="10">
        <f t="shared" si="46"/>
        <v>0</v>
      </c>
      <c r="BC61" s="10">
        <f>時間希望調査!D31</f>
        <v>0</v>
      </c>
      <c r="BD61" s="10" t="str">
        <f>'役職希望調査 ・備考'!D31&amp;""</f>
        <v/>
      </c>
      <c r="BE61" s="10" t="str">
        <f>'役職希望調査 ・備考'!E31&amp;""</f>
        <v/>
      </c>
      <c r="BF61" s="10" t="str">
        <f>'役職希望調査 ・備考'!F31&amp;""</f>
        <v/>
      </c>
      <c r="BG61" s="10" t="str">
        <f>'役職希望調査 ・備考'!G31&amp;""</f>
        <v/>
      </c>
      <c r="BH61" s="10" t="str">
        <f>'役職希望調査 ・備考'!H31&amp;""</f>
        <v/>
      </c>
      <c r="BI61" s="10">
        <f t="shared" si="16"/>
        <v>0</v>
      </c>
      <c r="BJ61" s="10">
        <f t="shared" si="17"/>
        <v>0</v>
      </c>
      <c r="BK61" s="10">
        <f t="shared" si="18"/>
        <v>0</v>
      </c>
      <c r="BL61" s="10">
        <f t="shared" si="19"/>
        <v>0</v>
      </c>
      <c r="BM61" s="10">
        <f t="shared" si="20"/>
        <v>0</v>
      </c>
      <c r="BN61" s="10">
        <f t="shared" si="21"/>
        <v>0</v>
      </c>
      <c r="BO61" s="10">
        <f t="shared" si="22"/>
        <v>48</v>
      </c>
      <c r="BP61" s="10">
        <f t="shared" si="23"/>
        <v>48</v>
      </c>
      <c r="BQ61" s="10">
        <f t="shared" si="24"/>
        <v>47</v>
      </c>
      <c r="BR61" s="10">
        <f t="shared" si="25"/>
        <v>46</v>
      </c>
      <c r="BS61" s="10">
        <f t="shared" si="26"/>
        <v>45</v>
      </c>
      <c r="BT61" s="10">
        <f t="shared" si="27"/>
        <v>44</v>
      </c>
      <c r="BU61" s="10">
        <f t="shared" si="28"/>
        <v>43</v>
      </c>
      <c r="BV61" s="10">
        <f t="shared" si="29"/>
        <v>42</v>
      </c>
      <c r="BW61" s="10">
        <f t="shared" si="30"/>
        <v>41</v>
      </c>
      <c r="BX61" s="10">
        <f t="shared" si="31"/>
        <v>40</v>
      </c>
      <c r="BY61" s="10">
        <f t="shared" si="32"/>
        <v>39</v>
      </c>
      <c r="BZ61" s="10">
        <f t="shared" si="33"/>
        <v>38</v>
      </c>
      <c r="CA61" s="10">
        <f t="shared" si="34"/>
        <v>37</v>
      </c>
      <c r="CB61" s="10">
        <f t="shared" si="35"/>
        <v>36</v>
      </c>
      <c r="CC61" s="10">
        <f t="shared" si="36"/>
        <v>35</v>
      </c>
      <c r="CD61" s="10">
        <f t="shared" si="37"/>
        <v>34</v>
      </c>
      <c r="CE61" s="10">
        <f t="shared" si="38"/>
        <v>33</v>
      </c>
      <c r="CF61" s="10">
        <f t="shared" si="39"/>
        <v>32</v>
      </c>
      <c r="CG61" s="10">
        <f t="shared" si="40"/>
        <v>31</v>
      </c>
      <c r="CH61" s="10">
        <f t="shared" si="41"/>
        <v>30</v>
      </c>
      <c r="CI61" s="10">
        <f t="shared" si="42"/>
        <v>29</v>
      </c>
      <c r="CJ61" s="10">
        <f t="shared" si="43"/>
        <v>28</v>
      </c>
      <c r="CK61" s="10">
        <f t="shared" si="44"/>
        <v>27</v>
      </c>
      <c r="CL61" s="10">
        <f t="shared" si="45"/>
        <v>26</v>
      </c>
      <c r="CM61" s="10" t="str">
        <f>'役職希望調査 ・備考'!I31&amp;""</f>
        <v/>
      </c>
    </row>
    <row r="62" spans="1:91">
      <c r="A62" s="10" t="str">
        <f>時間希望調査!A32&amp;""</f>
        <v/>
      </c>
      <c r="B62" s="10" t="str">
        <f>時間希望調査!B32&amp;""</f>
        <v/>
      </c>
      <c r="C62" s="10" t="str">
        <f>時間希望調査!C32&amp;""</f>
        <v/>
      </c>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c r="AP62" s="11"/>
      <c r="AQ62" s="11"/>
      <c r="AR62" s="11"/>
      <c r="AS62" s="11"/>
      <c r="AT62" s="11"/>
      <c r="AU62" s="11"/>
      <c r="AV62" s="11"/>
      <c r="AW62" s="11"/>
      <c r="AX62" s="11"/>
      <c r="AY62" s="11"/>
      <c r="AZ62" s="11"/>
      <c r="BA62" s="11"/>
      <c r="BB62" s="10">
        <f t="shared" si="46"/>
        <v>0</v>
      </c>
      <c r="BC62" s="10">
        <f>時間希望調査!D32</f>
        <v>0</v>
      </c>
      <c r="BD62" s="10" t="str">
        <f>'役職希望調査 ・備考'!D32&amp;""</f>
        <v/>
      </c>
      <c r="BE62" s="10" t="str">
        <f>'役職希望調査 ・備考'!E32&amp;""</f>
        <v/>
      </c>
      <c r="BF62" s="10" t="str">
        <f>'役職希望調査 ・備考'!F32&amp;""</f>
        <v/>
      </c>
      <c r="BG62" s="10" t="str">
        <f>'役職希望調査 ・備考'!G32&amp;""</f>
        <v/>
      </c>
      <c r="BH62" s="10" t="str">
        <f>'役職希望調査 ・備考'!H32&amp;""</f>
        <v/>
      </c>
      <c r="BI62" s="10">
        <f t="shared" si="16"/>
        <v>0</v>
      </c>
      <c r="BJ62" s="10">
        <f t="shared" si="17"/>
        <v>0</v>
      </c>
      <c r="BK62" s="10">
        <f t="shared" si="18"/>
        <v>0</v>
      </c>
      <c r="BL62" s="10">
        <f t="shared" si="19"/>
        <v>0</v>
      </c>
      <c r="BM62" s="10">
        <f t="shared" si="20"/>
        <v>0</v>
      </c>
      <c r="BN62" s="10">
        <f t="shared" si="21"/>
        <v>0</v>
      </c>
      <c r="BO62" s="10">
        <f t="shared" si="22"/>
        <v>48</v>
      </c>
      <c r="BP62" s="10">
        <f t="shared" si="23"/>
        <v>48</v>
      </c>
      <c r="BQ62" s="10">
        <f t="shared" si="24"/>
        <v>47</v>
      </c>
      <c r="BR62" s="10">
        <f t="shared" si="25"/>
        <v>46</v>
      </c>
      <c r="BS62" s="10">
        <f t="shared" si="26"/>
        <v>45</v>
      </c>
      <c r="BT62" s="10">
        <f t="shared" si="27"/>
        <v>44</v>
      </c>
      <c r="BU62" s="10">
        <f t="shared" si="28"/>
        <v>43</v>
      </c>
      <c r="BV62" s="10">
        <f t="shared" si="29"/>
        <v>42</v>
      </c>
      <c r="BW62" s="10">
        <f t="shared" si="30"/>
        <v>41</v>
      </c>
      <c r="BX62" s="10">
        <f t="shared" si="31"/>
        <v>40</v>
      </c>
      <c r="BY62" s="10">
        <f t="shared" si="32"/>
        <v>39</v>
      </c>
      <c r="BZ62" s="10">
        <f t="shared" si="33"/>
        <v>38</v>
      </c>
      <c r="CA62" s="10">
        <f t="shared" si="34"/>
        <v>37</v>
      </c>
      <c r="CB62" s="10">
        <f t="shared" si="35"/>
        <v>36</v>
      </c>
      <c r="CC62" s="10">
        <f t="shared" si="36"/>
        <v>35</v>
      </c>
      <c r="CD62" s="10">
        <f t="shared" si="37"/>
        <v>34</v>
      </c>
      <c r="CE62" s="10">
        <f t="shared" si="38"/>
        <v>33</v>
      </c>
      <c r="CF62" s="10">
        <f t="shared" si="39"/>
        <v>32</v>
      </c>
      <c r="CG62" s="10">
        <f t="shared" si="40"/>
        <v>31</v>
      </c>
      <c r="CH62" s="10">
        <f t="shared" si="41"/>
        <v>30</v>
      </c>
      <c r="CI62" s="10">
        <f t="shared" si="42"/>
        <v>29</v>
      </c>
      <c r="CJ62" s="10">
        <f t="shared" si="43"/>
        <v>28</v>
      </c>
      <c r="CK62" s="10">
        <f t="shared" si="44"/>
        <v>27</v>
      </c>
      <c r="CL62" s="10">
        <f t="shared" si="45"/>
        <v>26</v>
      </c>
      <c r="CM62" s="10" t="str">
        <f>'役職希望調査 ・備考'!I32&amp;""</f>
        <v/>
      </c>
    </row>
    <row r="63" spans="1:91">
      <c r="A63" s="10" t="str">
        <f>時間希望調査!A33&amp;""</f>
        <v/>
      </c>
      <c r="B63" s="10" t="str">
        <f>時間希望調査!B33&amp;""</f>
        <v/>
      </c>
      <c r="C63" s="10" t="str">
        <f>時間希望調査!C33&amp;""</f>
        <v/>
      </c>
      <c r="D63" s="11"/>
      <c r="E63" s="11"/>
      <c r="F63" s="11"/>
      <c r="G63" s="11"/>
      <c r="H63" s="11"/>
      <c r="I63" s="11"/>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c r="AP63" s="11"/>
      <c r="AQ63" s="11"/>
      <c r="AR63" s="11"/>
      <c r="AS63" s="11"/>
      <c r="AT63" s="11"/>
      <c r="AU63" s="11"/>
      <c r="AV63" s="11"/>
      <c r="AW63" s="11"/>
      <c r="AX63" s="11"/>
      <c r="AY63" s="11"/>
      <c r="AZ63" s="11"/>
      <c r="BA63" s="11"/>
      <c r="BB63" s="10">
        <f t="shared" si="46"/>
        <v>0</v>
      </c>
      <c r="BC63" s="10">
        <f>時間希望調査!D33</f>
        <v>0</v>
      </c>
      <c r="BD63" s="10" t="str">
        <f>'役職希望調査 ・備考'!D33&amp;""</f>
        <v/>
      </c>
      <c r="BE63" s="10" t="str">
        <f>'役職希望調査 ・備考'!E33&amp;""</f>
        <v/>
      </c>
      <c r="BF63" s="10" t="str">
        <f>'役職希望調査 ・備考'!F33&amp;""</f>
        <v/>
      </c>
      <c r="BG63" s="10" t="str">
        <f>'役職希望調査 ・備考'!G33&amp;""</f>
        <v/>
      </c>
      <c r="BH63" s="10" t="str">
        <f>'役職希望調査 ・備考'!H33&amp;""</f>
        <v/>
      </c>
      <c r="BI63" s="10">
        <f t="shared" si="16"/>
        <v>0</v>
      </c>
      <c r="BJ63" s="10">
        <f t="shared" si="17"/>
        <v>0</v>
      </c>
      <c r="BK63" s="10">
        <f t="shared" si="18"/>
        <v>0</v>
      </c>
      <c r="BL63" s="10">
        <f t="shared" si="19"/>
        <v>0</v>
      </c>
      <c r="BM63" s="10">
        <f t="shared" si="20"/>
        <v>0</v>
      </c>
      <c r="BN63" s="10">
        <f t="shared" si="21"/>
        <v>0</v>
      </c>
      <c r="BO63" s="10">
        <f t="shared" si="22"/>
        <v>48</v>
      </c>
      <c r="BP63" s="10">
        <f t="shared" si="23"/>
        <v>48</v>
      </c>
      <c r="BQ63" s="10">
        <f t="shared" si="24"/>
        <v>47</v>
      </c>
      <c r="BR63" s="10">
        <f t="shared" si="25"/>
        <v>46</v>
      </c>
      <c r="BS63" s="10">
        <f t="shared" si="26"/>
        <v>45</v>
      </c>
      <c r="BT63" s="10">
        <f t="shared" si="27"/>
        <v>44</v>
      </c>
      <c r="BU63" s="10">
        <f t="shared" si="28"/>
        <v>43</v>
      </c>
      <c r="BV63" s="10">
        <f t="shared" si="29"/>
        <v>42</v>
      </c>
      <c r="BW63" s="10">
        <f t="shared" si="30"/>
        <v>41</v>
      </c>
      <c r="BX63" s="10">
        <f t="shared" si="31"/>
        <v>40</v>
      </c>
      <c r="BY63" s="10">
        <f t="shared" si="32"/>
        <v>39</v>
      </c>
      <c r="BZ63" s="10">
        <f t="shared" si="33"/>
        <v>38</v>
      </c>
      <c r="CA63" s="10">
        <f t="shared" si="34"/>
        <v>37</v>
      </c>
      <c r="CB63" s="10">
        <f t="shared" si="35"/>
        <v>36</v>
      </c>
      <c r="CC63" s="10">
        <f t="shared" si="36"/>
        <v>35</v>
      </c>
      <c r="CD63" s="10">
        <f t="shared" si="37"/>
        <v>34</v>
      </c>
      <c r="CE63" s="10">
        <f t="shared" si="38"/>
        <v>33</v>
      </c>
      <c r="CF63" s="10">
        <f t="shared" si="39"/>
        <v>32</v>
      </c>
      <c r="CG63" s="10">
        <f t="shared" si="40"/>
        <v>31</v>
      </c>
      <c r="CH63" s="10">
        <f t="shared" si="41"/>
        <v>30</v>
      </c>
      <c r="CI63" s="10">
        <f t="shared" si="42"/>
        <v>29</v>
      </c>
      <c r="CJ63" s="10">
        <f t="shared" si="43"/>
        <v>28</v>
      </c>
      <c r="CK63" s="10">
        <f t="shared" si="44"/>
        <v>27</v>
      </c>
      <c r="CL63" s="10">
        <f t="shared" si="45"/>
        <v>26</v>
      </c>
      <c r="CM63" s="10" t="str">
        <f>'役職希望調査 ・備考'!I33&amp;""</f>
        <v/>
      </c>
    </row>
    <row r="64" spans="1:91">
      <c r="A64" s="10" t="str">
        <f>時間希望調査!A34&amp;""</f>
        <v/>
      </c>
      <c r="B64" s="10" t="str">
        <f>時間希望調査!B34&amp;""</f>
        <v/>
      </c>
      <c r="C64" s="10" t="str">
        <f>時間希望調査!C34&amp;""</f>
        <v/>
      </c>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c r="AP64" s="11"/>
      <c r="AQ64" s="11"/>
      <c r="AR64" s="11"/>
      <c r="AS64" s="11"/>
      <c r="AT64" s="11"/>
      <c r="AU64" s="11"/>
      <c r="AV64" s="11"/>
      <c r="AW64" s="11"/>
      <c r="AX64" s="11"/>
      <c r="AY64" s="11"/>
      <c r="AZ64" s="11"/>
      <c r="BA64" s="11"/>
      <c r="BB64" s="10">
        <f t="shared" si="46"/>
        <v>0</v>
      </c>
      <c r="BC64" s="10">
        <f>時間希望調査!D34</f>
        <v>0</v>
      </c>
      <c r="BD64" s="10" t="str">
        <f>'役職希望調査 ・備考'!D34&amp;""</f>
        <v/>
      </c>
      <c r="BE64" s="10" t="str">
        <f>'役職希望調査 ・備考'!E34&amp;""</f>
        <v/>
      </c>
      <c r="BF64" s="10" t="str">
        <f>'役職希望調査 ・備考'!F34&amp;""</f>
        <v/>
      </c>
      <c r="BG64" s="10" t="str">
        <f>'役職希望調査 ・備考'!G34&amp;""</f>
        <v/>
      </c>
      <c r="BH64" s="10" t="str">
        <f>'役職希望調査 ・備考'!H34&amp;""</f>
        <v/>
      </c>
      <c r="BI64" s="10">
        <f t="shared" ref="BI64:BI95" si="47">COUNTIF(D64:BA64,BI$1)</f>
        <v>0</v>
      </c>
      <c r="BJ64" s="10">
        <f t="shared" ref="BJ64:BJ95" si="48">COUNTIF(E64:BB64,BJ$1)</f>
        <v>0</v>
      </c>
      <c r="BK64" s="10">
        <f t="shared" ref="BK64:BK95" si="49">COUNTIF(F64:BC64,BK$1)</f>
        <v>0</v>
      </c>
      <c r="BL64" s="10">
        <f t="shared" ref="BL64:BL95" si="50">COUNTIF(G64:BD64,BL$1)</f>
        <v>0</v>
      </c>
      <c r="BM64" s="10">
        <f t="shared" ref="BM64:BM95" si="51">COUNTIF(H64:BE64,BM$1)</f>
        <v>0</v>
      </c>
      <c r="BN64" s="10">
        <f t="shared" ref="BN64:BN95" si="52">COUNTIF(I64:BF64,BN$1)</f>
        <v>0</v>
      </c>
      <c r="BO64" s="10">
        <f t="shared" ref="BO64:BO95" si="53">COUNTIF(J64:BG64,BO$1)</f>
        <v>48</v>
      </c>
      <c r="BP64" s="10">
        <f t="shared" ref="BP64:BP95" si="54">COUNTIF(K64:BH64,BP$1)</f>
        <v>48</v>
      </c>
      <c r="BQ64" s="10">
        <f t="shared" ref="BQ64:BQ95" si="55">COUNTIF(L64:BI64,BQ$1)</f>
        <v>47</v>
      </c>
      <c r="BR64" s="10">
        <f t="shared" ref="BR64:BR95" si="56">COUNTIF(M64:BJ64,BR$1)</f>
        <v>46</v>
      </c>
      <c r="BS64" s="10">
        <f t="shared" ref="BS64:BS95" si="57">COUNTIF(N64:BK64,BS$1)</f>
        <v>45</v>
      </c>
      <c r="BT64" s="10">
        <f t="shared" ref="BT64:BT95" si="58">COUNTIF(O64:BL64,BT$1)</f>
        <v>44</v>
      </c>
      <c r="BU64" s="10">
        <f t="shared" ref="BU64:BU95" si="59">COUNTIF(P64:BM64,BU$1)</f>
        <v>43</v>
      </c>
      <c r="BV64" s="10">
        <f t="shared" ref="BV64:BV95" si="60">COUNTIF(Q64:BN64,BV$1)</f>
        <v>42</v>
      </c>
      <c r="BW64" s="10">
        <f t="shared" ref="BW64:BW95" si="61">COUNTIF(R64:BO64,BW$1)</f>
        <v>41</v>
      </c>
      <c r="BX64" s="10">
        <f t="shared" ref="BX64:BX95" si="62">COUNTIF(S64:BP64,BX$1)</f>
        <v>40</v>
      </c>
      <c r="BY64" s="10">
        <f t="shared" ref="BY64:BY95" si="63">COUNTIF(T64:BQ64,BY$1)</f>
        <v>39</v>
      </c>
      <c r="BZ64" s="10">
        <f t="shared" ref="BZ64:BZ95" si="64">COUNTIF(U64:BR64,BZ$1)</f>
        <v>38</v>
      </c>
      <c r="CA64" s="10">
        <f t="shared" ref="CA64:CA95" si="65">COUNTIF(V64:BS64,CA$1)</f>
        <v>37</v>
      </c>
      <c r="CB64" s="10">
        <f t="shared" ref="CB64:CB95" si="66">COUNTIF(W64:BT64,CB$1)</f>
        <v>36</v>
      </c>
      <c r="CC64" s="10">
        <f t="shared" ref="CC64:CC95" si="67">COUNTIF(X64:BU64,CC$1)</f>
        <v>35</v>
      </c>
      <c r="CD64" s="10">
        <f t="shared" ref="CD64:CD95" si="68">COUNTIF(Y64:BV64,CD$1)</f>
        <v>34</v>
      </c>
      <c r="CE64" s="10">
        <f t="shared" ref="CE64:CE95" si="69">COUNTIF(Z64:BW64,CE$1)</f>
        <v>33</v>
      </c>
      <c r="CF64" s="10">
        <f t="shared" ref="CF64:CF95" si="70">COUNTIF(AA64:BX64,CF$1)</f>
        <v>32</v>
      </c>
      <c r="CG64" s="10">
        <f t="shared" ref="CG64:CG95" si="71">COUNTIF(AB64:BY64,CG$1)</f>
        <v>31</v>
      </c>
      <c r="CH64" s="10">
        <f t="shared" ref="CH64:CH95" si="72">COUNTIF(AC64:BZ64,CH$1)</f>
        <v>30</v>
      </c>
      <c r="CI64" s="10">
        <f t="shared" ref="CI64:CI95" si="73">COUNTIF(AD64:CA64,CI$1)</f>
        <v>29</v>
      </c>
      <c r="CJ64" s="10">
        <f t="shared" ref="CJ64:CJ95" si="74">COUNTIF(AE64:CB64,CJ$1)</f>
        <v>28</v>
      </c>
      <c r="CK64" s="10">
        <f t="shared" ref="CK64:CK95" si="75">COUNTIF(AF64:CC64,CK$1)</f>
        <v>27</v>
      </c>
      <c r="CL64" s="10">
        <f t="shared" ref="CL64:CL95" si="76">COUNTIF(AG64:CD64,CL$1)</f>
        <v>26</v>
      </c>
      <c r="CM64" s="10" t="str">
        <f>'役職希望調査 ・備考'!I34&amp;""</f>
        <v/>
      </c>
    </row>
    <row r="65" spans="1:91">
      <c r="A65" s="10" t="str">
        <f>時間希望調査!A35&amp;""</f>
        <v/>
      </c>
      <c r="B65" s="10" t="str">
        <f>時間希望調査!B35&amp;""</f>
        <v/>
      </c>
      <c r="C65" s="10" t="str">
        <f>時間希望調査!C35&amp;""</f>
        <v/>
      </c>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c r="AP65" s="11"/>
      <c r="AQ65" s="11"/>
      <c r="AR65" s="11"/>
      <c r="AS65" s="11"/>
      <c r="AT65" s="11"/>
      <c r="AU65" s="11"/>
      <c r="AV65" s="11"/>
      <c r="AW65" s="11"/>
      <c r="AX65" s="11"/>
      <c r="AY65" s="11"/>
      <c r="AZ65" s="11"/>
      <c r="BA65" s="11"/>
      <c r="BB65" s="10">
        <f t="shared" si="46"/>
        <v>0</v>
      </c>
      <c r="BC65" s="10">
        <f>時間希望調査!D35</f>
        <v>0</v>
      </c>
      <c r="BD65" s="10" t="str">
        <f>'役職希望調査 ・備考'!D35&amp;""</f>
        <v/>
      </c>
      <c r="BE65" s="10" t="str">
        <f>'役職希望調査 ・備考'!E35&amp;""</f>
        <v/>
      </c>
      <c r="BF65" s="10" t="str">
        <f>'役職希望調査 ・備考'!F35&amp;""</f>
        <v/>
      </c>
      <c r="BG65" s="10" t="str">
        <f>'役職希望調査 ・備考'!G35&amp;""</f>
        <v/>
      </c>
      <c r="BH65" s="10" t="str">
        <f>'役職希望調査 ・備考'!H35&amp;""</f>
        <v/>
      </c>
      <c r="BI65" s="10">
        <f t="shared" si="47"/>
        <v>0</v>
      </c>
      <c r="BJ65" s="10">
        <f t="shared" si="48"/>
        <v>0</v>
      </c>
      <c r="BK65" s="10">
        <f t="shared" si="49"/>
        <v>0</v>
      </c>
      <c r="BL65" s="10">
        <f t="shared" si="50"/>
        <v>0</v>
      </c>
      <c r="BM65" s="10">
        <f t="shared" si="51"/>
        <v>0</v>
      </c>
      <c r="BN65" s="10">
        <f t="shared" si="52"/>
        <v>0</v>
      </c>
      <c r="BO65" s="10">
        <f t="shared" si="53"/>
        <v>48</v>
      </c>
      <c r="BP65" s="10">
        <f t="shared" si="54"/>
        <v>48</v>
      </c>
      <c r="BQ65" s="10">
        <f t="shared" si="55"/>
        <v>47</v>
      </c>
      <c r="BR65" s="10">
        <f t="shared" si="56"/>
        <v>46</v>
      </c>
      <c r="BS65" s="10">
        <f t="shared" si="57"/>
        <v>45</v>
      </c>
      <c r="BT65" s="10">
        <f t="shared" si="58"/>
        <v>44</v>
      </c>
      <c r="BU65" s="10">
        <f t="shared" si="59"/>
        <v>43</v>
      </c>
      <c r="BV65" s="10">
        <f t="shared" si="60"/>
        <v>42</v>
      </c>
      <c r="BW65" s="10">
        <f t="shared" si="61"/>
        <v>41</v>
      </c>
      <c r="BX65" s="10">
        <f t="shared" si="62"/>
        <v>40</v>
      </c>
      <c r="BY65" s="10">
        <f t="shared" si="63"/>
        <v>39</v>
      </c>
      <c r="BZ65" s="10">
        <f t="shared" si="64"/>
        <v>38</v>
      </c>
      <c r="CA65" s="10">
        <f t="shared" si="65"/>
        <v>37</v>
      </c>
      <c r="CB65" s="10">
        <f t="shared" si="66"/>
        <v>36</v>
      </c>
      <c r="CC65" s="10">
        <f t="shared" si="67"/>
        <v>35</v>
      </c>
      <c r="CD65" s="10">
        <f t="shared" si="68"/>
        <v>34</v>
      </c>
      <c r="CE65" s="10">
        <f t="shared" si="69"/>
        <v>33</v>
      </c>
      <c r="CF65" s="10">
        <f t="shared" si="70"/>
        <v>32</v>
      </c>
      <c r="CG65" s="10">
        <f t="shared" si="71"/>
        <v>31</v>
      </c>
      <c r="CH65" s="10">
        <f t="shared" si="72"/>
        <v>30</v>
      </c>
      <c r="CI65" s="10">
        <f t="shared" si="73"/>
        <v>29</v>
      </c>
      <c r="CJ65" s="10">
        <f t="shared" si="74"/>
        <v>28</v>
      </c>
      <c r="CK65" s="10">
        <f t="shared" si="75"/>
        <v>27</v>
      </c>
      <c r="CL65" s="10">
        <f t="shared" si="76"/>
        <v>26</v>
      </c>
      <c r="CM65" s="10" t="str">
        <f>'役職希望調査 ・備考'!I35&amp;""</f>
        <v/>
      </c>
    </row>
    <row r="66" spans="1:91">
      <c r="A66" s="10" t="str">
        <f>時間希望調査!A36&amp;""</f>
        <v/>
      </c>
      <c r="B66" s="10" t="str">
        <f>時間希望調査!B36&amp;""</f>
        <v/>
      </c>
      <c r="C66" s="10" t="str">
        <f>時間希望調査!C36&amp;""</f>
        <v/>
      </c>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c r="AP66" s="11"/>
      <c r="AQ66" s="11"/>
      <c r="AR66" s="11"/>
      <c r="AS66" s="11"/>
      <c r="AT66" s="11"/>
      <c r="AU66" s="11"/>
      <c r="AV66" s="11"/>
      <c r="AW66" s="11"/>
      <c r="AX66" s="11"/>
      <c r="AY66" s="11"/>
      <c r="AZ66" s="11"/>
      <c r="BA66" s="11"/>
      <c r="BB66" s="10">
        <f t="shared" si="46"/>
        <v>0</v>
      </c>
      <c r="BC66" s="10">
        <f>時間希望調査!D36</f>
        <v>0</v>
      </c>
      <c r="BD66" s="10" t="str">
        <f>'役職希望調査 ・備考'!D36&amp;""</f>
        <v/>
      </c>
      <c r="BE66" s="10" t="str">
        <f>'役職希望調査 ・備考'!E36&amp;""</f>
        <v/>
      </c>
      <c r="BF66" s="10" t="str">
        <f>'役職希望調査 ・備考'!F36&amp;""</f>
        <v/>
      </c>
      <c r="BG66" s="10" t="str">
        <f>'役職希望調査 ・備考'!G36&amp;""</f>
        <v/>
      </c>
      <c r="BH66" s="10" t="str">
        <f>'役職希望調査 ・備考'!H36&amp;""</f>
        <v/>
      </c>
      <c r="BI66" s="10">
        <f t="shared" si="47"/>
        <v>0</v>
      </c>
      <c r="BJ66" s="10">
        <f t="shared" si="48"/>
        <v>0</v>
      </c>
      <c r="BK66" s="10">
        <f t="shared" si="49"/>
        <v>0</v>
      </c>
      <c r="BL66" s="10">
        <f t="shared" si="50"/>
        <v>0</v>
      </c>
      <c r="BM66" s="10">
        <f t="shared" si="51"/>
        <v>0</v>
      </c>
      <c r="BN66" s="10">
        <f t="shared" si="52"/>
        <v>0</v>
      </c>
      <c r="BO66" s="10">
        <f t="shared" si="53"/>
        <v>48</v>
      </c>
      <c r="BP66" s="10">
        <f t="shared" si="54"/>
        <v>48</v>
      </c>
      <c r="BQ66" s="10">
        <f t="shared" si="55"/>
        <v>47</v>
      </c>
      <c r="BR66" s="10">
        <f t="shared" si="56"/>
        <v>46</v>
      </c>
      <c r="BS66" s="10">
        <f t="shared" si="57"/>
        <v>45</v>
      </c>
      <c r="BT66" s="10">
        <f t="shared" si="58"/>
        <v>44</v>
      </c>
      <c r="BU66" s="10">
        <f t="shared" si="59"/>
        <v>43</v>
      </c>
      <c r="BV66" s="10">
        <f t="shared" si="60"/>
        <v>42</v>
      </c>
      <c r="BW66" s="10">
        <f t="shared" si="61"/>
        <v>41</v>
      </c>
      <c r="BX66" s="10">
        <f t="shared" si="62"/>
        <v>40</v>
      </c>
      <c r="BY66" s="10">
        <f t="shared" si="63"/>
        <v>39</v>
      </c>
      <c r="BZ66" s="10">
        <f t="shared" si="64"/>
        <v>38</v>
      </c>
      <c r="CA66" s="10">
        <f t="shared" si="65"/>
        <v>37</v>
      </c>
      <c r="CB66" s="10">
        <f t="shared" si="66"/>
        <v>36</v>
      </c>
      <c r="CC66" s="10">
        <f t="shared" si="67"/>
        <v>35</v>
      </c>
      <c r="CD66" s="10">
        <f t="shared" si="68"/>
        <v>34</v>
      </c>
      <c r="CE66" s="10">
        <f t="shared" si="69"/>
        <v>33</v>
      </c>
      <c r="CF66" s="10">
        <f t="shared" si="70"/>
        <v>32</v>
      </c>
      <c r="CG66" s="10">
        <f t="shared" si="71"/>
        <v>31</v>
      </c>
      <c r="CH66" s="10">
        <f t="shared" si="72"/>
        <v>30</v>
      </c>
      <c r="CI66" s="10">
        <f t="shared" si="73"/>
        <v>29</v>
      </c>
      <c r="CJ66" s="10">
        <f t="shared" si="74"/>
        <v>28</v>
      </c>
      <c r="CK66" s="10">
        <f t="shared" si="75"/>
        <v>27</v>
      </c>
      <c r="CL66" s="10">
        <f t="shared" si="76"/>
        <v>26</v>
      </c>
      <c r="CM66" s="10" t="str">
        <f>'役職希望調査 ・備考'!I36&amp;""</f>
        <v/>
      </c>
    </row>
    <row r="67" spans="1:91">
      <c r="A67" s="10" t="str">
        <f>時間希望調査!A37&amp;""</f>
        <v/>
      </c>
      <c r="B67" s="10" t="str">
        <f>時間希望調査!B37&amp;""</f>
        <v/>
      </c>
      <c r="C67" s="10" t="str">
        <f>時間希望調査!C37&amp;""</f>
        <v/>
      </c>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c r="AP67" s="11"/>
      <c r="AQ67" s="11"/>
      <c r="AR67" s="11"/>
      <c r="AS67" s="11"/>
      <c r="AT67" s="11"/>
      <c r="AU67" s="11"/>
      <c r="AV67" s="11"/>
      <c r="AW67" s="11"/>
      <c r="AX67" s="11"/>
      <c r="AY67" s="11"/>
      <c r="AZ67" s="11"/>
      <c r="BA67" s="11"/>
      <c r="BB67" s="10">
        <f t="shared" si="46"/>
        <v>0</v>
      </c>
      <c r="BC67" s="10">
        <f>時間希望調査!D37</f>
        <v>0</v>
      </c>
      <c r="BD67" s="10" t="str">
        <f>'役職希望調査 ・備考'!D37&amp;""</f>
        <v/>
      </c>
      <c r="BE67" s="10" t="str">
        <f>'役職希望調査 ・備考'!E37&amp;""</f>
        <v/>
      </c>
      <c r="BF67" s="10" t="str">
        <f>'役職希望調査 ・備考'!F37&amp;""</f>
        <v/>
      </c>
      <c r="BG67" s="10" t="str">
        <f>'役職希望調査 ・備考'!G37&amp;""</f>
        <v/>
      </c>
      <c r="BH67" s="10" t="str">
        <f>'役職希望調査 ・備考'!H37&amp;""</f>
        <v/>
      </c>
      <c r="BI67" s="10">
        <f t="shared" si="47"/>
        <v>0</v>
      </c>
      <c r="BJ67" s="10">
        <f t="shared" si="48"/>
        <v>0</v>
      </c>
      <c r="BK67" s="10">
        <f t="shared" si="49"/>
        <v>0</v>
      </c>
      <c r="BL67" s="10">
        <f t="shared" si="50"/>
        <v>0</v>
      </c>
      <c r="BM67" s="10">
        <f t="shared" si="51"/>
        <v>0</v>
      </c>
      <c r="BN67" s="10">
        <f t="shared" si="52"/>
        <v>0</v>
      </c>
      <c r="BO67" s="10">
        <f t="shared" si="53"/>
        <v>48</v>
      </c>
      <c r="BP67" s="10">
        <f t="shared" si="54"/>
        <v>48</v>
      </c>
      <c r="BQ67" s="10">
        <f t="shared" si="55"/>
        <v>47</v>
      </c>
      <c r="BR67" s="10">
        <f t="shared" si="56"/>
        <v>46</v>
      </c>
      <c r="BS67" s="10">
        <f t="shared" si="57"/>
        <v>45</v>
      </c>
      <c r="BT67" s="10">
        <f t="shared" si="58"/>
        <v>44</v>
      </c>
      <c r="BU67" s="10">
        <f t="shared" si="59"/>
        <v>43</v>
      </c>
      <c r="BV67" s="10">
        <f t="shared" si="60"/>
        <v>42</v>
      </c>
      <c r="BW67" s="10">
        <f t="shared" si="61"/>
        <v>41</v>
      </c>
      <c r="BX67" s="10">
        <f t="shared" si="62"/>
        <v>40</v>
      </c>
      <c r="BY67" s="10">
        <f t="shared" si="63"/>
        <v>39</v>
      </c>
      <c r="BZ67" s="10">
        <f t="shared" si="64"/>
        <v>38</v>
      </c>
      <c r="CA67" s="10">
        <f t="shared" si="65"/>
        <v>37</v>
      </c>
      <c r="CB67" s="10">
        <f t="shared" si="66"/>
        <v>36</v>
      </c>
      <c r="CC67" s="10">
        <f t="shared" si="67"/>
        <v>35</v>
      </c>
      <c r="CD67" s="10">
        <f t="shared" si="68"/>
        <v>34</v>
      </c>
      <c r="CE67" s="10">
        <f t="shared" si="69"/>
        <v>33</v>
      </c>
      <c r="CF67" s="10">
        <f t="shared" si="70"/>
        <v>32</v>
      </c>
      <c r="CG67" s="10">
        <f t="shared" si="71"/>
        <v>31</v>
      </c>
      <c r="CH67" s="10">
        <f t="shared" si="72"/>
        <v>30</v>
      </c>
      <c r="CI67" s="10">
        <f t="shared" si="73"/>
        <v>29</v>
      </c>
      <c r="CJ67" s="10">
        <f t="shared" si="74"/>
        <v>28</v>
      </c>
      <c r="CK67" s="10">
        <f t="shared" si="75"/>
        <v>27</v>
      </c>
      <c r="CL67" s="10">
        <f t="shared" si="76"/>
        <v>26</v>
      </c>
      <c r="CM67" s="10" t="str">
        <f>'役職希望調査 ・備考'!I37&amp;""</f>
        <v/>
      </c>
    </row>
    <row r="68" spans="1:91">
      <c r="A68" s="10" t="str">
        <f>時間希望調査!A38&amp;""</f>
        <v/>
      </c>
      <c r="B68" s="10" t="str">
        <f>時間希望調査!B38&amp;""</f>
        <v/>
      </c>
      <c r="C68" s="10" t="str">
        <f>時間希望調査!C38&amp;""</f>
        <v/>
      </c>
      <c r="D68" s="11"/>
      <c r="E68" s="11"/>
      <c r="F68" s="11"/>
      <c r="G68" s="11"/>
      <c r="H68" s="1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c r="AP68" s="11"/>
      <c r="AQ68" s="11"/>
      <c r="AR68" s="11"/>
      <c r="AS68" s="11"/>
      <c r="AT68" s="11"/>
      <c r="AU68" s="11"/>
      <c r="AV68" s="11"/>
      <c r="AW68" s="11"/>
      <c r="AX68" s="11"/>
      <c r="AY68" s="11"/>
      <c r="AZ68" s="11"/>
      <c r="BA68" s="11"/>
      <c r="BB68" s="10">
        <f t="shared" si="46"/>
        <v>0</v>
      </c>
      <c r="BC68" s="10">
        <f>時間希望調査!D38</f>
        <v>0</v>
      </c>
      <c r="BD68" s="10" t="str">
        <f>'役職希望調査 ・備考'!D38&amp;""</f>
        <v/>
      </c>
      <c r="BE68" s="10" t="str">
        <f>'役職希望調査 ・備考'!E38&amp;""</f>
        <v/>
      </c>
      <c r="BF68" s="10" t="str">
        <f>'役職希望調査 ・備考'!F38&amp;""</f>
        <v/>
      </c>
      <c r="BG68" s="10" t="str">
        <f>'役職希望調査 ・備考'!G38&amp;""</f>
        <v/>
      </c>
      <c r="BH68" s="10" t="str">
        <f>'役職希望調査 ・備考'!H38&amp;""</f>
        <v/>
      </c>
      <c r="BI68" s="10">
        <f t="shared" si="47"/>
        <v>0</v>
      </c>
      <c r="BJ68" s="10">
        <f t="shared" si="48"/>
        <v>0</v>
      </c>
      <c r="BK68" s="10">
        <f t="shared" si="49"/>
        <v>0</v>
      </c>
      <c r="BL68" s="10">
        <f t="shared" si="50"/>
        <v>0</v>
      </c>
      <c r="BM68" s="10">
        <f t="shared" si="51"/>
        <v>0</v>
      </c>
      <c r="BN68" s="10">
        <f t="shared" si="52"/>
        <v>0</v>
      </c>
      <c r="BO68" s="10">
        <f t="shared" si="53"/>
        <v>48</v>
      </c>
      <c r="BP68" s="10">
        <f t="shared" si="54"/>
        <v>48</v>
      </c>
      <c r="BQ68" s="10">
        <f t="shared" si="55"/>
        <v>47</v>
      </c>
      <c r="BR68" s="10">
        <f t="shared" si="56"/>
        <v>46</v>
      </c>
      <c r="BS68" s="10">
        <f t="shared" si="57"/>
        <v>45</v>
      </c>
      <c r="BT68" s="10">
        <f t="shared" si="58"/>
        <v>44</v>
      </c>
      <c r="BU68" s="10">
        <f t="shared" si="59"/>
        <v>43</v>
      </c>
      <c r="BV68" s="10">
        <f t="shared" si="60"/>
        <v>42</v>
      </c>
      <c r="BW68" s="10">
        <f t="shared" si="61"/>
        <v>41</v>
      </c>
      <c r="BX68" s="10">
        <f t="shared" si="62"/>
        <v>40</v>
      </c>
      <c r="BY68" s="10">
        <f t="shared" si="63"/>
        <v>39</v>
      </c>
      <c r="BZ68" s="10">
        <f t="shared" si="64"/>
        <v>38</v>
      </c>
      <c r="CA68" s="10">
        <f t="shared" si="65"/>
        <v>37</v>
      </c>
      <c r="CB68" s="10">
        <f t="shared" si="66"/>
        <v>36</v>
      </c>
      <c r="CC68" s="10">
        <f t="shared" si="67"/>
        <v>35</v>
      </c>
      <c r="CD68" s="10">
        <f t="shared" si="68"/>
        <v>34</v>
      </c>
      <c r="CE68" s="10">
        <f t="shared" si="69"/>
        <v>33</v>
      </c>
      <c r="CF68" s="10">
        <f t="shared" si="70"/>
        <v>32</v>
      </c>
      <c r="CG68" s="10">
        <f t="shared" si="71"/>
        <v>31</v>
      </c>
      <c r="CH68" s="10">
        <f t="shared" si="72"/>
        <v>30</v>
      </c>
      <c r="CI68" s="10">
        <f t="shared" si="73"/>
        <v>29</v>
      </c>
      <c r="CJ68" s="10">
        <f t="shared" si="74"/>
        <v>28</v>
      </c>
      <c r="CK68" s="10">
        <f t="shared" si="75"/>
        <v>27</v>
      </c>
      <c r="CL68" s="10">
        <f t="shared" si="76"/>
        <v>26</v>
      </c>
      <c r="CM68" s="10" t="str">
        <f>'役職希望調査 ・備考'!I38&amp;""</f>
        <v/>
      </c>
    </row>
    <row r="69" spans="1:91">
      <c r="A69" s="10" t="str">
        <f>時間希望調査!A39&amp;""</f>
        <v/>
      </c>
      <c r="B69" s="10" t="str">
        <f>時間希望調査!B39&amp;""</f>
        <v/>
      </c>
      <c r="C69" s="10" t="str">
        <f>時間希望調査!C39&amp;""</f>
        <v/>
      </c>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c r="AP69" s="11"/>
      <c r="AQ69" s="11"/>
      <c r="AR69" s="11"/>
      <c r="AS69" s="11"/>
      <c r="AT69" s="11"/>
      <c r="AU69" s="11"/>
      <c r="AV69" s="11"/>
      <c r="AW69" s="11"/>
      <c r="AX69" s="11"/>
      <c r="AY69" s="11"/>
      <c r="AZ69" s="11"/>
      <c r="BA69" s="11"/>
      <c r="BB69" s="10">
        <f t="shared" si="46"/>
        <v>0</v>
      </c>
      <c r="BC69" s="10">
        <f>時間希望調査!D39</f>
        <v>0</v>
      </c>
      <c r="BD69" s="10" t="str">
        <f>'役職希望調査 ・備考'!D39&amp;""</f>
        <v/>
      </c>
      <c r="BE69" s="10" t="str">
        <f>'役職希望調査 ・備考'!E39&amp;""</f>
        <v/>
      </c>
      <c r="BF69" s="10" t="str">
        <f>'役職希望調査 ・備考'!F39&amp;""</f>
        <v/>
      </c>
      <c r="BG69" s="10" t="str">
        <f>'役職希望調査 ・備考'!G39&amp;""</f>
        <v/>
      </c>
      <c r="BH69" s="10" t="str">
        <f>'役職希望調査 ・備考'!H39&amp;""</f>
        <v/>
      </c>
      <c r="BI69" s="10">
        <f t="shared" si="47"/>
        <v>0</v>
      </c>
      <c r="BJ69" s="10">
        <f t="shared" si="48"/>
        <v>0</v>
      </c>
      <c r="BK69" s="10">
        <f t="shared" si="49"/>
        <v>0</v>
      </c>
      <c r="BL69" s="10">
        <f t="shared" si="50"/>
        <v>0</v>
      </c>
      <c r="BM69" s="10">
        <f t="shared" si="51"/>
        <v>0</v>
      </c>
      <c r="BN69" s="10">
        <f t="shared" si="52"/>
        <v>0</v>
      </c>
      <c r="BO69" s="10">
        <f t="shared" si="53"/>
        <v>48</v>
      </c>
      <c r="BP69" s="10">
        <f t="shared" si="54"/>
        <v>48</v>
      </c>
      <c r="BQ69" s="10">
        <f t="shared" si="55"/>
        <v>47</v>
      </c>
      <c r="BR69" s="10">
        <f t="shared" si="56"/>
        <v>46</v>
      </c>
      <c r="BS69" s="10">
        <f t="shared" si="57"/>
        <v>45</v>
      </c>
      <c r="BT69" s="10">
        <f t="shared" si="58"/>
        <v>44</v>
      </c>
      <c r="BU69" s="10">
        <f t="shared" si="59"/>
        <v>43</v>
      </c>
      <c r="BV69" s="10">
        <f t="shared" si="60"/>
        <v>42</v>
      </c>
      <c r="BW69" s="10">
        <f t="shared" si="61"/>
        <v>41</v>
      </c>
      <c r="BX69" s="10">
        <f t="shared" si="62"/>
        <v>40</v>
      </c>
      <c r="BY69" s="10">
        <f t="shared" si="63"/>
        <v>39</v>
      </c>
      <c r="BZ69" s="10">
        <f t="shared" si="64"/>
        <v>38</v>
      </c>
      <c r="CA69" s="10">
        <f t="shared" si="65"/>
        <v>37</v>
      </c>
      <c r="CB69" s="10">
        <f t="shared" si="66"/>
        <v>36</v>
      </c>
      <c r="CC69" s="10">
        <f t="shared" si="67"/>
        <v>35</v>
      </c>
      <c r="CD69" s="10">
        <f t="shared" si="68"/>
        <v>34</v>
      </c>
      <c r="CE69" s="10">
        <f t="shared" si="69"/>
        <v>33</v>
      </c>
      <c r="CF69" s="10">
        <f t="shared" si="70"/>
        <v>32</v>
      </c>
      <c r="CG69" s="10">
        <f t="shared" si="71"/>
        <v>31</v>
      </c>
      <c r="CH69" s="10">
        <f t="shared" si="72"/>
        <v>30</v>
      </c>
      <c r="CI69" s="10">
        <f t="shared" si="73"/>
        <v>29</v>
      </c>
      <c r="CJ69" s="10">
        <f t="shared" si="74"/>
        <v>28</v>
      </c>
      <c r="CK69" s="10">
        <f t="shared" si="75"/>
        <v>27</v>
      </c>
      <c r="CL69" s="10">
        <f t="shared" si="76"/>
        <v>26</v>
      </c>
      <c r="CM69" s="10" t="str">
        <f>'役職希望調査 ・備考'!I39&amp;""</f>
        <v/>
      </c>
    </row>
    <row r="70" spans="1:91">
      <c r="A70" s="10" t="str">
        <f>時間希望調査!A40&amp;""</f>
        <v/>
      </c>
      <c r="B70" s="10" t="str">
        <f>時間希望調査!B40&amp;""</f>
        <v/>
      </c>
      <c r="C70" s="10" t="str">
        <f>時間希望調査!C40&amp;""</f>
        <v/>
      </c>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c r="AP70" s="11"/>
      <c r="AQ70" s="11"/>
      <c r="AR70" s="11"/>
      <c r="AS70" s="11"/>
      <c r="AT70" s="11"/>
      <c r="AU70" s="11"/>
      <c r="AV70" s="11"/>
      <c r="AW70" s="11"/>
      <c r="AX70" s="11"/>
      <c r="AY70" s="11"/>
      <c r="AZ70" s="11"/>
      <c r="BA70" s="11"/>
      <c r="BB70" s="10">
        <f t="shared" si="46"/>
        <v>0</v>
      </c>
      <c r="BC70" s="10">
        <f>時間希望調査!D40</f>
        <v>0</v>
      </c>
      <c r="BD70" s="10" t="str">
        <f>'役職希望調査 ・備考'!D40&amp;""</f>
        <v/>
      </c>
      <c r="BE70" s="10" t="str">
        <f>'役職希望調査 ・備考'!E40&amp;""</f>
        <v/>
      </c>
      <c r="BF70" s="10" t="str">
        <f>'役職希望調査 ・備考'!F40&amp;""</f>
        <v/>
      </c>
      <c r="BG70" s="10" t="str">
        <f>'役職希望調査 ・備考'!G40&amp;""</f>
        <v/>
      </c>
      <c r="BH70" s="10" t="str">
        <f>'役職希望調査 ・備考'!H40&amp;""</f>
        <v/>
      </c>
      <c r="BI70" s="10">
        <f t="shared" si="47"/>
        <v>0</v>
      </c>
      <c r="BJ70" s="10">
        <f t="shared" si="48"/>
        <v>0</v>
      </c>
      <c r="BK70" s="10">
        <f t="shared" si="49"/>
        <v>0</v>
      </c>
      <c r="BL70" s="10">
        <f t="shared" si="50"/>
        <v>0</v>
      </c>
      <c r="BM70" s="10">
        <f t="shared" si="51"/>
        <v>0</v>
      </c>
      <c r="BN70" s="10">
        <f t="shared" si="52"/>
        <v>0</v>
      </c>
      <c r="BO70" s="10">
        <f t="shared" si="53"/>
        <v>48</v>
      </c>
      <c r="BP70" s="10">
        <f t="shared" si="54"/>
        <v>48</v>
      </c>
      <c r="BQ70" s="10">
        <f t="shared" si="55"/>
        <v>47</v>
      </c>
      <c r="BR70" s="10">
        <f t="shared" si="56"/>
        <v>46</v>
      </c>
      <c r="BS70" s="10">
        <f t="shared" si="57"/>
        <v>45</v>
      </c>
      <c r="BT70" s="10">
        <f t="shared" si="58"/>
        <v>44</v>
      </c>
      <c r="BU70" s="10">
        <f t="shared" si="59"/>
        <v>43</v>
      </c>
      <c r="BV70" s="10">
        <f t="shared" si="60"/>
        <v>42</v>
      </c>
      <c r="BW70" s="10">
        <f t="shared" si="61"/>
        <v>41</v>
      </c>
      <c r="BX70" s="10">
        <f t="shared" si="62"/>
        <v>40</v>
      </c>
      <c r="BY70" s="10">
        <f t="shared" si="63"/>
        <v>39</v>
      </c>
      <c r="BZ70" s="10">
        <f t="shared" si="64"/>
        <v>38</v>
      </c>
      <c r="CA70" s="10">
        <f t="shared" si="65"/>
        <v>37</v>
      </c>
      <c r="CB70" s="10">
        <f t="shared" si="66"/>
        <v>36</v>
      </c>
      <c r="CC70" s="10">
        <f t="shared" si="67"/>
        <v>35</v>
      </c>
      <c r="CD70" s="10">
        <f t="shared" si="68"/>
        <v>34</v>
      </c>
      <c r="CE70" s="10">
        <f t="shared" si="69"/>
        <v>33</v>
      </c>
      <c r="CF70" s="10">
        <f t="shared" si="70"/>
        <v>32</v>
      </c>
      <c r="CG70" s="10">
        <f t="shared" si="71"/>
        <v>31</v>
      </c>
      <c r="CH70" s="10">
        <f t="shared" si="72"/>
        <v>30</v>
      </c>
      <c r="CI70" s="10">
        <f t="shared" si="73"/>
        <v>29</v>
      </c>
      <c r="CJ70" s="10">
        <f t="shared" si="74"/>
        <v>28</v>
      </c>
      <c r="CK70" s="10">
        <f t="shared" si="75"/>
        <v>27</v>
      </c>
      <c r="CL70" s="10">
        <f t="shared" si="76"/>
        <v>26</v>
      </c>
      <c r="CM70" s="10" t="str">
        <f>'役職希望調査 ・備考'!I40&amp;""</f>
        <v/>
      </c>
    </row>
    <row r="71" spans="1:91">
      <c r="A71" s="10" t="str">
        <f>時間希望調査!A41&amp;""</f>
        <v/>
      </c>
      <c r="B71" s="10" t="str">
        <f>時間希望調査!B41&amp;""</f>
        <v/>
      </c>
      <c r="C71" s="10" t="str">
        <f>時間希望調査!C41&amp;""</f>
        <v/>
      </c>
      <c r="D71" s="11"/>
      <c r="E71" s="11"/>
      <c r="F71" s="11"/>
      <c r="G71" s="11"/>
      <c r="H71" s="11"/>
      <c r="I71" s="11"/>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c r="AP71" s="11"/>
      <c r="AQ71" s="11"/>
      <c r="AR71" s="11"/>
      <c r="AS71" s="11"/>
      <c r="AT71" s="11"/>
      <c r="AU71" s="11"/>
      <c r="AV71" s="11"/>
      <c r="AW71" s="11"/>
      <c r="AX71" s="11"/>
      <c r="AY71" s="11"/>
      <c r="AZ71" s="11"/>
      <c r="BA71" s="11"/>
      <c r="BB71" s="10">
        <f t="shared" si="46"/>
        <v>0</v>
      </c>
      <c r="BC71" s="10">
        <f>時間希望調査!D41</f>
        <v>0</v>
      </c>
      <c r="BD71" s="10" t="str">
        <f>'役職希望調査 ・備考'!D41&amp;""</f>
        <v/>
      </c>
      <c r="BE71" s="10" t="str">
        <f>'役職希望調査 ・備考'!E41&amp;""</f>
        <v/>
      </c>
      <c r="BF71" s="10" t="str">
        <f>'役職希望調査 ・備考'!F41&amp;""</f>
        <v/>
      </c>
      <c r="BG71" s="10" t="str">
        <f>'役職希望調査 ・備考'!G41&amp;""</f>
        <v/>
      </c>
      <c r="BH71" s="10" t="str">
        <f>'役職希望調査 ・備考'!H41&amp;""</f>
        <v/>
      </c>
      <c r="BI71" s="10">
        <f t="shared" si="47"/>
        <v>0</v>
      </c>
      <c r="BJ71" s="10">
        <f t="shared" si="48"/>
        <v>0</v>
      </c>
      <c r="BK71" s="10">
        <f t="shared" si="49"/>
        <v>0</v>
      </c>
      <c r="BL71" s="10">
        <f t="shared" si="50"/>
        <v>0</v>
      </c>
      <c r="BM71" s="10">
        <f t="shared" si="51"/>
        <v>0</v>
      </c>
      <c r="BN71" s="10">
        <f t="shared" si="52"/>
        <v>0</v>
      </c>
      <c r="BO71" s="10">
        <f t="shared" si="53"/>
        <v>48</v>
      </c>
      <c r="BP71" s="10">
        <f t="shared" si="54"/>
        <v>48</v>
      </c>
      <c r="BQ71" s="10">
        <f t="shared" si="55"/>
        <v>47</v>
      </c>
      <c r="BR71" s="10">
        <f t="shared" si="56"/>
        <v>46</v>
      </c>
      <c r="BS71" s="10">
        <f t="shared" si="57"/>
        <v>45</v>
      </c>
      <c r="BT71" s="10">
        <f t="shared" si="58"/>
        <v>44</v>
      </c>
      <c r="BU71" s="10">
        <f t="shared" si="59"/>
        <v>43</v>
      </c>
      <c r="BV71" s="10">
        <f t="shared" si="60"/>
        <v>42</v>
      </c>
      <c r="BW71" s="10">
        <f t="shared" si="61"/>
        <v>41</v>
      </c>
      <c r="BX71" s="10">
        <f t="shared" si="62"/>
        <v>40</v>
      </c>
      <c r="BY71" s="10">
        <f t="shared" si="63"/>
        <v>39</v>
      </c>
      <c r="BZ71" s="10">
        <f t="shared" si="64"/>
        <v>38</v>
      </c>
      <c r="CA71" s="10">
        <f t="shared" si="65"/>
        <v>37</v>
      </c>
      <c r="CB71" s="10">
        <f t="shared" si="66"/>
        <v>36</v>
      </c>
      <c r="CC71" s="10">
        <f t="shared" si="67"/>
        <v>35</v>
      </c>
      <c r="CD71" s="10">
        <f t="shared" si="68"/>
        <v>34</v>
      </c>
      <c r="CE71" s="10">
        <f t="shared" si="69"/>
        <v>33</v>
      </c>
      <c r="CF71" s="10">
        <f t="shared" si="70"/>
        <v>32</v>
      </c>
      <c r="CG71" s="10">
        <f t="shared" si="71"/>
        <v>31</v>
      </c>
      <c r="CH71" s="10">
        <f t="shared" si="72"/>
        <v>30</v>
      </c>
      <c r="CI71" s="10">
        <f t="shared" si="73"/>
        <v>29</v>
      </c>
      <c r="CJ71" s="10">
        <f t="shared" si="74"/>
        <v>28</v>
      </c>
      <c r="CK71" s="10">
        <f t="shared" si="75"/>
        <v>27</v>
      </c>
      <c r="CL71" s="10">
        <f t="shared" si="76"/>
        <v>26</v>
      </c>
      <c r="CM71" s="10" t="str">
        <f>'役職希望調査 ・備考'!I41&amp;""</f>
        <v/>
      </c>
    </row>
    <row r="72" spans="1:91">
      <c r="A72" s="10" t="str">
        <f>時間希望調査!A42&amp;""</f>
        <v/>
      </c>
      <c r="B72" s="10" t="str">
        <f>時間希望調査!B42&amp;""</f>
        <v/>
      </c>
      <c r="C72" s="10" t="str">
        <f>時間希望調査!C42&amp;""</f>
        <v/>
      </c>
      <c r="D72" s="11"/>
      <c r="E72" s="11"/>
      <c r="F72" s="11"/>
      <c r="G72" s="11"/>
      <c r="H72" s="11"/>
      <c r="I72" s="11"/>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c r="AP72" s="11"/>
      <c r="AQ72" s="11"/>
      <c r="AR72" s="11"/>
      <c r="AS72" s="11"/>
      <c r="AT72" s="11"/>
      <c r="AU72" s="11"/>
      <c r="AV72" s="11"/>
      <c r="AW72" s="11"/>
      <c r="AX72" s="11"/>
      <c r="AY72" s="11"/>
      <c r="AZ72" s="11"/>
      <c r="BA72" s="11"/>
      <c r="BB72" s="10">
        <f t="shared" si="46"/>
        <v>0</v>
      </c>
      <c r="BC72" s="10">
        <f>時間希望調査!D42</f>
        <v>0</v>
      </c>
      <c r="BD72" s="10" t="str">
        <f>'役職希望調査 ・備考'!D42&amp;""</f>
        <v/>
      </c>
      <c r="BE72" s="10" t="str">
        <f>'役職希望調査 ・備考'!E42&amp;""</f>
        <v/>
      </c>
      <c r="BF72" s="10" t="str">
        <f>'役職希望調査 ・備考'!F42&amp;""</f>
        <v/>
      </c>
      <c r="BG72" s="10" t="str">
        <f>'役職希望調査 ・備考'!G42&amp;""</f>
        <v/>
      </c>
      <c r="BH72" s="10" t="str">
        <f>'役職希望調査 ・備考'!H42&amp;""</f>
        <v/>
      </c>
      <c r="BI72" s="10">
        <f t="shared" si="47"/>
        <v>0</v>
      </c>
      <c r="BJ72" s="10">
        <f t="shared" si="48"/>
        <v>0</v>
      </c>
      <c r="BK72" s="10">
        <f t="shared" si="49"/>
        <v>0</v>
      </c>
      <c r="BL72" s="10">
        <f t="shared" si="50"/>
        <v>0</v>
      </c>
      <c r="BM72" s="10">
        <f t="shared" si="51"/>
        <v>0</v>
      </c>
      <c r="BN72" s="10">
        <f t="shared" si="52"/>
        <v>0</v>
      </c>
      <c r="BO72" s="10">
        <f t="shared" si="53"/>
        <v>48</v>
      </c>
      <c r="BP72" s="10">
        <f t="shared" si="54"/>
        <v>48</v>
      </c>
      <c r="BQ72" s="10">
        <f t="shared" si="55"/>
        <v>47</v>
      </c>
      <c r="BR72" s="10">
        <f t="shared" si="56"/>
        <v>46</v>
      </c>
      <c r="BS72" s="10">
        <f t="shared" si="57"/>
        <v>45</v>
      </c>
      <c r="BT72" s="10">
        <f t="shared" si="58"/>
        <v>44</v>
      </c>
      <c r="BU72" s="10">
        <f t="shared" si="59"/>
        <v>43</v>
      </c>
      <c r="BV72" s="10">
        <f t="shared" si="60"/>
        <v>42</v>
      </c>
      <c r="BW72" s="10">
        <f t="shared" si="61"/>
        <v>41</v>
      </c>
      <c r="BX72" s="10">
        <f t="shared" si="62"/>
        <v>40</v>
      </c>
      <c r="BY72" s="10">
        <f t="shared" si="63"/>
        <v>39</v>
      </c>
      <c r="BZ72" s="10">
        <f t="shared" si="64"/>
        <v>38</v>
      </c>
      <c r="CA72" s="10">
        <f t="shared" si="65"/>
        <v>37</v>
      </c>
      <c r="CB72" s="10">
        <f t="shared" si="66"/>
        <v>36</v>
      </c>
      <c r="CC72" s="10">
        <f t="shared" si="67"/>
        <v>35</v>
      </c>
      <c r="CD72" s="10">
        <f t="shared" si="68"/>
        <v>34</v>
      </c>
      <c r="CE72" s="10">
        <f t="shared" si="69"/>
        <v>33</v>
      </c>
      <c r="CF72" s="10">
        <f t="shared" si="70"/>
        <v>32</v>
      </c>
      <c r="CG72" s="10">
        <f t="shared" si="71"/>
        <v>31</v>
      </c>
      <c r="CH72" s="10">
        <f t="shared" si="72"/>
        <v>30</v>
      </c>
      <c r="CI72" s="10">
        <f t="shared" si="73"/>
        <v>29</v>
      </c>
      <c r="CJ72" s="10">
        <f t="shared" si="74"/>
        <v>28</v>
      </c>
      <c r="CK72" s="10">
        <f t="shared" si="75"/>
        <v>27</v>
      </c>
      <c r="CL72" s="10">
        <f t="shared" si="76"/>
        <v>26</v>
      </c>
      <c r="CM72" s="10" t="str">
        <f>'役職希望調査 ・備考'!I42&amp;""</f>
        <v/>
      </c>
    </row>
    <row r="73" spans="1:91">
      <c r="A73" s="10" t="str">
        <f>時間希望調査!A43&amp;""</f>
        <v/>
      </c>
      <c r="B73" s="10" t="str">
        <f>時間希望調査!B43&amp;""</f>
        <v/>
      </c>
      <c r="C73" s="10" t="str">
        <f>時間希望調査!C43&amp;""</f>
        <v/>
      </c>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c r="AP73" s="11"/>
      <c r="AQ73" s="11"/>
      <c r="AR73" s="11"/>
      <c r="AS73" s="11"/>
      <c r="AT73" s="11"/>
      <c r="AU73" s="11"/>
      <c r="AV73" s="11"/>
      <c r="AW73" s="11"/>
      <c r="AX73" s="11"/>
      <c r="AY73" s="11"/>
      <c r="AZ73" s="11"/>
      <c r="BA73" s="11"/>
      <c r="BB73" s="10">
        <f t="shared" si="46"/>
        <v>0</v>
      </c>
      <c r="BC73" s="10">
        <f>時間希望調査!D43</f>
        <v>0</v>
      </c>
      <c r="BD73" s="10" t="str">
        <f>'役職希望調査 ・備考'!D43&amp;""</f>
        <v/>
      </c>
      <c r="BE73" s="10" t="str">
        <f>'役職希望調査 ・備考'!E43&amp;""</f>
        <v/>
      </c>
      <c r="BF73" s="10" t="str">
        <f>'役職希望調査 ・備考'!F43&amp;""</f>
        <v/>
      </c>
      <c r="BG73" s="10" t="str">
        <f>'役職希望調査 ・備考'!G43&amp;""</f>
        <v/>
      </c>
      <c r="BH73" s="10" t="str">
        <f>'役職希望調査 ・備考'!H43&amp;""</f>
        <v/>
      </c>
      <c r="BI73" s="10">
        <f t="shared" si="47"/>
        <v>0</v>
      </c>
      <c r="BJ73" s="10">
        <f t="shared" si="48"/>
        <v>0</v>
      </c>
      <c r="BK73" s="10">
        <f t="shared" si="49"/>
        <v>0</v>
      </c>
      <c r="BL73" s="10">
        <f t="shared" si="50"/>
        <v>0</v>
      </c>
      <c r="BM73" s="10">
        <f t="shared" si="51"/>
        <v>0</v>
      </c>
      <c r="BN73" s="10">
        <f t="shared" si="52"/>
        <v>0</v>
      </c>
      <c r="BO73" s="10">
        <f t="shared" si="53"/>
        <v>48</v>
      </c>
      <c r="BP73" s="10">
        <f t="shared" si="54"/>
        <v>48</v>
      </c>
      <c r="BQ73" s="10">
        <f t="shared" si="55"/>
        <v>47</v>
      </c>
      <c r="BR73" s="10">
        <f t="shared" si="56"/>
        <v>46</v>
      </c>
      <c r="BS73" s="10">
        <f t="shared" si="57"/>
        <v>45</v>
      </c>
      <c r="BT73" s="10">
        <f t="shared" si="58"/>
        <v>44</v>
      </c>
      <c r="BU73" s="10">
        <f t="shared" si="59"/>
        <v>43</v>
      </c>
      <c r="BV73" s="10">
        <f t="shared" si="60"/>
        <v>42</v>
      </c>
      <c r="BW73" s="10">
        <f t="shared" si="61"/>
        <v>41</v>
      </c>
      <c r="BX73" s="10">
        <f t="shared" si="62"/>
        <v>40</v>
      </c>
      <c r="BY73" s="10">
        <f t="shared" si="63"/>
        <v>39</v>
      </c>
      <c r="BZ73" s="10">
        <f t="shared" si="64"/>
        <v>38</v>
      </c>
      <c r="CA73" s="10">
        <f t="shared" si="65"/>
        <v>37</v>
      </c>
      <c r="CB73" s="10">
        <f t="shared" si="66"/>
        <v>36</v>
      </c>
      <c r="CC73" s="10">
        <f t="shared" si="67"/>
        <v>35</v>
      </c>
      <c r="CD73" s="10">
        <f t="shared" si="68"/>
        <v>34</v>
      </c>
      <c r="CE73" s="10">
        <f t="shared" si="69"/>
        <v>33</v>
      </c>
      <c r="CF73" s="10">
        <f t="shared" si="70"/>
        <v>32</v>
      </c>
      <c r="CG73" s="10">
        <f t="shared" si="71"/>
        <v>31</v>
      </c>
      <c r="CH73" s="10">
        <f t="shared" si="72"/>
        <v>30</v>
      </c>
      <c r="CI73" s="10">
        <f t="shared" si="73"/>
        <v>29</v>
      </c>
      <c r="CJ73" s="10">
        <f t="shared" si="74"/>
        <v>28</v>
      </c>
      <c r="CK73" s="10">
        <f t="shared" si="75"/>
        <v>27</v>
      </c>
      <c r="CL73" s="10">
        <f t="shared" si="76"/>
        <v>26</v>
      </c>
      <c r="CM73" s="10" t="str">
        <f>'役職希望調査 ・備考'!I43&amp;""</f>
        <v/>
      </c>
    </row>
    <row r="74" spans="1:91">
      <c r="A74" s="10" t="str">
        <f>時間希望調査!A44&amp;""</f>
        <v/>
      </c>
      <c r="B74" s="10" t="str">
        <f>時間希望調査!B44&amp;""</f>
        <v/>
      </c>
      <c r="C74" s="10" t="str">
        <f>時間希望調査!C44&amp;""</f>
        <v/>
      </c>
      <c r="D74" s="11"/>
      <c r="E74" s="11"/>
      <c r="F74" s="11"/>
      <c r="G74" s="11"/>
      <c r="H74" s="11"/>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c r="AP74" s="11"/>
      <c r="AQ74" s="11"/>
      <c r="AR74" s="11"/>
      <c r="AS74" s="11"/>
      <c r="AT74" s="11"/>
      <c r="AU74" s="11"/>
      <c r="AV74" s="11"/>
      <c r="AW74" s="11"/>
      <c r="AX74" s="11"/>
      <c r="AY74" s="11"/>
      <c r="AZ74" s="11"/>
      <c r="BA74" s="11"/>
      <c r="BB74" s="10">
        <f t="shared" si="46"/>
        <v>0</v>
      </c>
      <c r="BC74" s="10">
        <f>時間希望調査!D44</f>
        <v>0</v>
      </c>
      <c r="BD74" s="10" t="str">
        <f>'役職希望調査 ・備考'!D44&amp;""</f>
        <v/>
      </c>
      <c r="BE74" s="10" t="str">
        <f>'役職希望調査 ・備考'!E44&amp;""</f>
        <v/>
      </c>
      <c r="BF74" s="10" t="str">
        <f>'役職希望調査 ・備考'!F44&amp;""</f>
        <v/>
      </c>
      <c r="BG74" s="10" t="str">
        <f>'役職希望調査 ・備考'!G44&amp;""</f>
        <v/>
      </c>
      <c r="BH74" s="10" t="str">
        <f>'役職希望調査 ・備考'!H44&amp;""</f>
        <v/>
      </c>
      <c r="BI74" s="10">
        <f t="shared" si="47"/>
        <v>0</v>
      </c>
      <c r="BJ74" s="10">
        <f t="shared" si="48"/>
        <v>0</v>
      </c>
      <c r="BK74" s="10">
        <f t="shared" si="49"/>
        <v>0</v>
      </c>
      <c r="BL74" s="10">
        <f t="shared" si="50"/>
        <v>0</v>
      </c>
      <c r="BM74" s="10">
        <f t="shared" si="51"/>
        <v>0</v>
      </c>
      <c r="BN74" s="10">
        <f t="shared" si="52"/>
        <v>0</v>
      </c>
      <c r="BO74" s="10">
        <f t="shared" si="53"/>
        <v>48</v>
      </c>
      <c r="BP74" s="10">
        <f t="shared" si="54"/>
        <v>48</v>
      </c>
      <c r="BQ74" s="10">
        <f t="shared" si="55"/>
        <v>47</v>
      </c>
      <c r="BR74" s="10">
        <f t="shared" si="56"/>
        <v>46</v>
      </c>
      <c r="BS74" s="10">
        <f t="shared" si="57"/>
        <v>45</v>
      </c>
      <c r="BT74" s="10">
        <f t="shared" si="58"/>
        <v>44</v>
      </c>
      <c r="BU74" s="10">
        <f t="shared" si="59"/>
        <v>43</v>
      </c>
      <c r="BV74" s="10">
        <f t="shared" si="60"/>
        <v>42</v>
      </c>
      <c r="BW74" s="10">
        <f t="shared" si="61"/>
        <v>41</v>
      </c>
      <c r="BX74" s="10">
        <f t="shared" si="62"/>
        <v>40</v>
      </c>
      <c r="BY74" s="10">
        <f t="shared" si="63"/>
        <v>39</v>
      </c>
      <c r="BZ74" s="10">
        <f t="shared" si="64"/>
        <v>38</v>
      </c>
      <c r="CA74" s="10">
        <f t="shared" si="65"/>
        <v>37</v>
      </c>
      <c r="CB74" s="10">
        <f t="shared" si="66"/>
        <v>36</v>
      </c>
      <c r="CC74" s="10">
        <f t="shared" si="67"/>
        <v>35</v>
      </c>
      <c r="CD74" s="10">
        <f t="shared" si="68"/>
        <v>34</v>
      </c>
      <c r="CE74" s="10">
        <f t="shared" si="69"/>
        <v>33</v>
      </c>
      <c r="CF74" s="10">
        <f t="shared" si="70"/>
        <v>32</v>
      </c>
      <c r="CG74" s="10">
        <f t="shared" si="71"/>
        <v>31</v>
      </c>
      <c r="CH74" s="10">
        <f t="shared" si="72"/>
        <v>30</v>
      </c>
      <c r="CI74" s="10">
        <f t="shared" si="73"/>
        <v>29</v>
      </c>
      <c r="CJ74" s="10">
        <f t="shared" si="74"/>
        <v>28</v>
      </c>
      <c r="CK74" s="10">
        <f t="shared" si="75"/>
        <v>27</v>
      </c>
      <c r="CL74" s="10">
        <f t="shared" si="76"/>
        <v>26</v>
      </c>
      <c r="CM74" s="10" t="str">
        <f>'役職希望調査 ・備考'!I44&amp;""</f>
        <v/>
      </c>
    </row>
    <row r="75" spans="1:91">
      <c r="A75" s="10" t="str">
        <f>時間希望調査!A45&amp;""</f>
        <v/>
      </c>
      <c r="B75" s="10" t="str">
        <f>時間希望調査!B45&amp;""</f>
        <v/>
      </c>
      <c r="C75" s="10" t="str">
        <f>時間希望調査!C45&amp;""</f>
        <v/>
      </c>
      <c r="D75" s="11"/>
      <c r="E75" s="11"/>
      <c r="F75" s="11"/>
      <c r="G75" s="11"/>
      <c r="H75" s="11"/>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c r="AP75" s="11"/>
      <c r="AQ75" s="11"/>
      <c r="AR75" s="11"/>
      <c r="AS75" s="11"/>
      <c r="AT75" s="11"/>
      <c r="AU75" s="11"/>
      <c r="AV75" s="11"/>
      <c r="AW75" s="11"/>
      <c r="AX75" s="11"/>
      <c r="AY75" s="11"/>
      <c r="AZ75" s="11"/>
      <c r="BA75" s="11"/>
      <c r="BB75" s="10">
        <f t="shared" si="46"/>
        <v>0</v>
      </c>
      <c r="BC75" s="10">
        <f>時間希望調査!D45</f>
        <v>0</v>
      </c>
      <c r="BD75" s="10" t="str">
        <f>'役職希望調査 ・備考'!D45&amp;""</f>
        <v/>
      </c>
      <c r="BE75" s="10" t="str">
        <f>'役職希望調査 ・備考'!E45&amp;""</f>
        <v/>
      </c>
      <c r="BF75" s="10" t="str">
        <f>'役職希望調査 ・備考'!F45&amp;""</f>
        <v/>
      </c>
      <c r="BG75" s="10" t="str">
        <f>'役職希望調査 ・備考'!G45&amp;""</f>
        <v/>
      </c>
      <c r="BH75" s="10" t="str">
        <f>'役職希望調査 ・備考'!H45&amp;""</f>
        <v/>
      </c>
      <c r="BI75" s="10">
        <f t="shared" si="47"/>
        <v>0</v>
      </c>
      <c r="BJ75" s="10">
        <f t="shared" si="48"/>
        <v>0</v>
      </c>
      <c r="BK75" s="10">
        <f t="shared" si="49"/>
        <v>0</v>
      </c>
      <c r="BL75" s="10">
        <f t="shared" si="50"/>
        <v>0</v>
      </c>
      <c r="BM75" s="10">
        <f t="shared" si="51"/>
        <v>0</v>
      </c>
      <c r="BN75" s="10">
        <f t="shared" si="52"/>
        <v>0</v>
      </c>
      <c r="BO75" s="10">
        <f t="shared" si="53"/>
        <v>48</v>
      </c>
      <c r="BP75" s="10">
        <f t="shared" si="54"/>
        <v>48</v>
      </c>
      <c r="BQ75" s="10">
        <f t="shared" si="55"/>
        <v>47</v>
      </c>
      <c r="BR75" s="10">
        <f t="shared" si="56"/>
        <v>46</v>
      </c>
      <c r="BS75" s="10">
        <f t="shared" si="57"/>
        <v>45</v>
      </c>
      <c r="BT75" s="10">
        <f t="shared" si="58"/>
        <v>44</v>
      </c>
      <c r="BU75" s="10">
        <f t="shared" si="59"/>
        <v>43</v>
      </c>
      <c r="BV75" s="10">
        <f t="shared" si="60"/>
        <v>42</v>
      </c>
      <c r="BW75" s="10">
        <f t="shared" si="61"/>
        <v>41</v>
      </c>
      <c r="BX75" s="10">
        <f t="shared" si="62"/>
        <v>40</v>
      </c>
      <c r="BY75" s="10">
        <f t="shared" si="63"/>
        <v>39</v>
      </c>
      <c r="BZ75" s="10">
        <f t="shared" si="64"/>
        <v>38</v>
      </c>
      <c r="CA75" s="10">
        <f t="shared" si="65"/>
        <v>37</v>
      </c>
      <c r="CB75" s="10">
        <f t="shared" si="66"/>
        <v>36</v>
      </c>
      <c r="CC75" s="10">
        <f t="shared" si="67"/>
        <v>35</v>
      </c>
      <c r="CD75" s="10">
        <f t="shared" si="68"/>
        <v>34</v>
      </c>
      <c r="CE75" s="10">
        <f t="shared" si="69"/>
        <v>33</v>
      </c>
      <c r="CF75" s="10">
        <f t="shared" si="70"/>
        <v>32</v>
      </c>
      <c r="CG75" s="10">
        <f t="shared" si="71"/>
        <v>31</v>
      </c>
      <c r="CH75" s="10">
        <f t="shared" si="72"/>
        <v>30</v>
      </c>
      <c r="CI75" s="10">
        <f t="shared" si="73"/>
        <v>29</v>
      </c>
      <c r="CJ75" s="10">
        <f t="shared" si="74"/>
        <v>28</v>
      </c>
      <c r="CK75" s="10">
        <f t="shared" si="75"/>
        <v>27</v>
      </c>
      <c r="CL75" s="10">
        <f t="shared" si="76"/>
        <v>26</v>
      </c>
      <c r="CM75" s="10" t="str">
        <f>'役職希望調査 ・備考'!I45&amp;""</f>
        <v/>
      </c>
    </row>
    <row r="76" spans="1:91">
      <c r="A76" s="10" t="str">
        <f>時間希望調査!A46&amp;""</f>
        <v/>
      </c>
      <c r="B76" s="10" t="str">
        <f>時間希望調査!B46&amp;""</f>
        <v/>
      </c>
      <c r="C76" s="10" t="str">
        <f>時間希望調査!C46&amp;""</f>
        <v/>
      </c>
      <c r="D76" s="11"/>
      <c r="E76" s="11"/>
      <c r="F76" s="11"/>
      <c r="G76" s="11"/>
      <c r="H76" s="11"/>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c r="AP76" s="11"/>
      <c r="AQ76" s="11"/>
      <c r="AR76" s="11"/>
      <c r="AS76" s="11"/>
      <c r="AT76" s="11"/>
      <c r="AU76" s="11"/>
      <c r="AV76" s="11"/>
      <c r="AW76" s="11"/>
      <c r="AX76" s="11"/>
      <c r="AY76" s="11"/>
      <c r="AZ76" s="11"/>
      <c r="BA76" s="11"/>
      <c r="BB76" s="10">
        <f t="shared" si="46"/>
        <v>0</v>
      </c>
      <c r="BC76" s="10">
        <f>時間希望調査!D46</f>
        <v>0</v>
      </c>
      <c r="BD76" s="10" t="str">
        <f>'役職希望調査 ・備考'!D46&amp;""</f>
        <v/>
      </c>
      <c r="BE76" s="10" t="str">
        <f>'役職希望調査 ・備考'!E46&amp;""</f>
        <v/>
      </c>
      <c r="BF76" s="10" t="str">
        <f>'役職希望調査 ・備考'!F46&amp;""</f>
        <v/>
      </c>
      <c r="BG76" s="10" t="str">
        <f>'役職希望調査 ・備考'!G46&amp;""</f>
        <v/>
      </c>
      <c r="BH76" s="10" t="str">
        <f>'役職希望調査 ・備考'!H46&amp;""</f>
        <v/>
      </c>
      <c r="BI76" s="10">
        <f t="shared" si="47"/>
        <v>0</v>
      </c>
      <c r="BJ76" s="10">
        <f t="shared" si="48"/>
        <v>0</v>
      </c>
      <c r="BK76" s="10">
        <f t="shared" si="49"/>
        <v>0</v>
      </c>
      <c r="BL76" s="10">
        <f t="shared" si="50"/>
        <v>0</v>
      </c>
      <c r="BM76" s="10">
        <f t="shared" si="51"/>
        <v>0</v>
      </c>
      <c r="BN76" s="10">
        <f t="shared" si="52"/>
        <v>0</v>
      </c>
      <c r="BO76" s="10">
        <f t="shared" si="53"/>
        <v>48</v>
      </c>
      <c r="BP76" s="10">
        <f t="shared" si="54"/>
        <v>48</v>
      </c>
      <c r="BQ76" s="10">
        <f t="shared" si="55"/>
        <v>47</v>
      </c>
      <c r="BR76" s="10">
        <f t="shared" si="56"/>
        <v>46</v>
      </c>
      <c r="BS76" s="10">
        <f t="shared" si="57"/>
        <v>45</v>
      </c>
      <c r="BT76" s="10">
        <f t="shared" si="58"/>
        <v>44</v>
      </c>
      <c r="BU76" s="10">
        <f t="shared" si="59"/>
        <v>43</v>
      </c>
      <c r="BV76" s="10">
        <f t="shared" si="60"/>
        <v>42</v>
      </c>
      <c r="BW76" s="10">
        <f t="shared" si="61"/>
        <v>41</v>
      </c>
      <c r="BX76" s="10">
        <f t="shared" si="62"/>
        <v>40</v>
      </c>
      <c r="BY76" s="10">
        <f t="shared" si="63"/>
        <v>39</v>
      </c>
      <c r="BZ76" s="10">
        <f t="shared" si="64"/>
        <v>38</v>
      </c>
      <c r="CA76" s="10">
        <f t="shared" si="65"/>
        <v>37</v>
      </c>
      <c r="CB76" s="10">
        <f t="shared" si="66"/>
        <v>36</v>
      </c>
      <c r="CC76" s="10">
        <f t="shared" si="67"/>
        <v>35</v>
      </c>
      <c r="CD76" s="10">
        <f t="shared" si="68"/>
        <v>34</v>
      </c>
      <c r="CE76" s="10">
        <f t="shared" si="69"/>
        <v>33</v>
      </c>
      <c r="CF76" s="10">
        <f t="shared" si="70"/>
        <v>32</v>
      </c>
      <c r="CG76" s="10">
        <f t="shared" si="71"/>
        <v>31</v>
      </c>
      <c r="CH76" s="10">
        <f t="shared" si="72"/>
        <v>30</v>
      </c>
      <c r="CI76" s="10">
        <f t="shared" si="73"/>
        <v>29</v>
      </c>
      <c r="CJ76" s="10">
        <f t="shared" si="74"/>
        <v>28</v>
      </c>
      <c r="CK76" s="10">
        <f t="shared" si="75"/>
        <v>27</v>
      </c>
      <c r="CL76" s="10">
        <f t="shared" si="76"/>
        <v>26</v>
      </c>
      <c r="CM76" s="10" t="str">
        <f>'役職希望調査 ・備考'!I46&amp;""</f>
        <v/>
      </c>
    </row>
    <row r="77" spans="1:91">
      <c r="A77" s="10" t="str">
        <f>時間希望調査!A47&amp;""</f>
        <v/>
      </c>
      <c r="B77" s="10" t="str">
        <f>時間希望調査!B47&amp;""</f>
        <v/>
      </c>
      <c r="C77" s="10" t="str">
        <f>時間希望調査!C47&amp;""</f>
        <v/>
      </c>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c r="AP77" s="11"/>
      <c r="AQ77" s="11"/>
      <c r="AR77" s="11"/>
      <c r="AS77" s="11"/>
      <c r="AT77" s="11"/>
      <c r="AU77" s="11"/>
      <c r="AV77" s="11"/>
      <c r="AW77" s="11"/>
      <c r="AX77" s="11"/>
      <c r="AY77" s="11"/>
      <c r="AZ77" s="11"/>
      <c r="BA77" s="11"/>
      <c r="BB77" s="10">
        <f t="shared" si="46"/>
        <v>0</v>
      </c>
      <c r="BC77" s="10">
        <f>時間希望調査!D47</f>
        <v>0</v>
      </c>
      <c r="BD77" s="10" t="str">
        <f>'役職希望調査 ・備考'!D47&amp;""</f>
        <v/>
      </c>
      <c r="BE77" s="10" t="str">
        <f>'役職希望調査 ・備考'!E47&amp;""</f>
        <v/>
      </c>
      <c r="BF77" s="10" t="str">
        <f>'役職希望調査 ・備考'!F47&amp;""</f>
        <v/>
      </c>
      <c r="BG77" s="10" t="str">
        <f>'役職希望調査 ・備考'!G47&amp;""</f>
        <v/>
      </c>
      <c r="BH77" s="10" t="str">
        <f>'役職希望調査 ・備考'!H47&amp;""</f>
        <v/>
      </c>
      <c r="BI77" s="10">
        <f t="shared" si="47"/>
        <v>0</v>
      </c>
      <c r="BJ77" s="10">
        <f t="shared" si="48"/>
        <v>0</v>
      </c>
      <c r="BK77" s="10">
        <f t="shared" si="49"/>
        <v>0</v>
      </c>
      <c r="BL77" s="10">
        <f t="shared" si="50"/>
        <v>0</v>
      </c>
      <c r="BM77" s="10">
        <f t="shared" si="51"/>
        <v>0</v>
      </c>
      <c r="BN77" s="10">
        <f t="shared" si="52"/>
        <v>0</v>
      </c>
      <c r="BO77" s="10">
        <f t="shared" si="53"/>
        <v>48</v>
      </c>
      <c r="BP77" s="10">
        <f t="shared" si="54"/>
        <v>48</v>
      </c>
      <c r="BQ77" s="10">
        <f t="shared" si="55"/>
        <v>47</v>
      </c>
      <c r="BR77" s="10">
        <f t="shared" si="56"/>
        <v>46</v>
      </c>
      <c r="BS77" s="10">
        <f t="shared" si="57"/>
        <v>45</v>
      </c>
      <c r="BT77" s="10">
        <f t="shared" si="58"/>
        <v>44</v>
      </c>
      <c r="BU77" s="10">
        <f t="shared" si="59"/>
        <v>43</v>
      </c>
      <c r="BV77" s="10">
        <f t="shared" si="60"/>
        <v>42</v>
      </c>
      <c r="BW77" s="10">
        <f t="shared" si="61"/>
        <v>41</v>
      </c>
      <c r="BX77" s="10">
        <f t="shared" si="62"/>
        <v>40</v>
      </c>
      <c r="BY77" s="10">
        <f t="shared" si="63"/>
        <v>39</v>
      </c>
      <c r="BZ77" s="10">
        <f t="shared" si="64"/>
        <v>38</v>
      </c>
      <c r="CA77" s="10">
        <f t="shared" si="65"/>
        <v>37</v>
      </c>
      <c r="CB77" s="10">
        <f t="shared" si="66"/>
        <v>36</v>
      </c>
      <c r="CC77" s="10">
        <f t="shared" si="67"/>
        <v>35</v>
      </c>
      <c r="CD77" s="10">
        <f t="shared" si="68"/>
        <v>34</v>
      </c>
      <c r="CE77" s="10">
        <f t="shared" si="69"/>
        <v>33</v>
      </c>
      <c r="CF77" s="10">
        <f t="shared" si="70"/>
        <v>32</v>
      </c>
      <c r="CG77" s="10">
        <f t="shared" si="71"/>
        <v>31</v>
      </c>
      <c r="CH77" s="10">
        <f t="shared" si="72"/>
        <v>30</v>
      </c>
      <c r="CI77" s="10">
        <f t="shared" si="73"/>
        <v>29</v>
      </c>
      <c r="CJ77" s="10">
        <f t="shared" si="74"/>
        <v>28</v>
      </c>
      <c r="CK77" s="10">
        <f t="shared" si="75"/>
        <v>27</v>
      </c>
      <c r="CL77" s="10">
        <f t="shared" si="76"/>
        <v>26</v>
      </c>
      <c r="CM77" s="10" t="str">
        <f>'役職希望調査 ・備考'!I47&amp;""</f>
        <v/>
      </c>
    </row>
    <row r="78" spans="1:91">
      <c r="A78" s="10" t="str">
        <f>時間希望調査!A48&amp;""</f>
        <v/>
      </c>
      <c r="B78" s="10" t="str">
        <f>時間希望調査!B48&amp;""</f>
        <v/>
      </c>
      <c r="C78" s="10" t="str">
        <f>時間希望調査!C48&amp;""</f>
        <v/>
      </c>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11"/>
      <c r="AR78" s="11"/>
      <c r="AS78" s="11"/>
      <c r="AT78" s="11"/>
      <c r="AU78" s="11"/>
      <c r="AV78" s="11"/>
      <c r="AW78" s="11"/>
      <c r="AX78" s="11"/>
      <c r="AY78" s="11"/>
      <c r="AZ78" s="11"/>
      <c r="BA78" s="11"/>
      <c r="BB78" s="10">
        <f t="shared" si="46"/>
        <v>0</v>
      </c>
      <c r="BC78" s="10">
        <f>時間希望調査!D48</f>
        <v>0</v>
      </c>
      <c r="BD78" s="10" t="str">
        <f>'役職希望調査 ・備考'!D48&amp;""</f>
        <v/>
      </c>
      <c r="BE78" s="10" t="str">
        <f>'役職希望調査 ・備考'!E48&amp;""</f>
        <v/>
      </c>
      <c r="BF78" s="10" t="str">
        <f>'役職希望調査 ・備考'!F48&amp;""</f>
        <v/>
      </c>
      <c r="BG78" s="10" t="str">
        <f>'役職希望調査 ・備考'!G48&amp;""</f>
        <v/>
      </c>
      <c r="BH78" s="10" t="str">
        <f>'役職希望調査 ・備考'!H48&amp;""</f>
        <v/>
      </c>
      <c r="BI78" s="10">
        <f t="shared" si="47"/>
        <v>0</v>
      </c>
      <c r="BJ78" s="10">
        <f t="shared" si="48"/>
        <v>0</v>
      </c>
      <c r="BK78" s="10">
        <f t="shared" si="49"/>
        <v>0</v>
      </c>
      <c r="BL78" s="10">
        <f t="shared" si="50"/>
        <v>0</v>
      </c>
      <c r="BM78" s="10">
        <f t="shared" si="51"/>
        <v>0</v>
      </c>
      <c r="BN78" s="10">
        <f t="shared" si="52"/>
        <v>0</v>
      </c>
      <c r="BO78" s="10">
        <f t="shared" si="53"/>
        <v>48</v>
      </c>
      <c r="BP78" s="10">
        <f t="shared" si="54"/>
        <v>48</v>
      </c>
      <c r="BQ78" s="10">
        <f t="shared" si="55"/>
        <v>47</v>
      </c>
      <c r="BR78" s="10">
        <f t="shared" si="56"/>
        <v>46</v>
      </c>
      <c r="BS78" s="10">
        <f t="shared" si="57"/>
        <v>45</v>
      </c>
      <c r="BT78" s="10">
        <f t="shared" si="58"/>
        <v>44</v>
      </c>
      <c r="BU78" s="10">
        <f t="shared" si="59"/>
        <v>43</v>
      </c>
      <c r="BV78" s="10">
        <f t="shared" si="60"/>
        <v>42</v>
      </c>
      <c r="BW78" s="10">
        <f t="shared" si="61"/>
        <v>41</v>
      </c>
      <c r="BX78" s="10">
        <f t="shared" si="62"/>
        <v>40</v>
      </c>
      <c r="BY78" s="10">
        <f t="shared" si="63"/>
        <v>39</v>
      </c>
      <c r="BZ78" s="10">
        <f t="shared" si="64"/>
        <v>38</v>
      </c>
      <c r="CA78" s="10">
        <f t="shared" si="65"/>
        <v>37</v>
      </c>
      <c r="CB78" s="10">
        <f t="shared" si="66"/>
        <v>36</v>
      </c>
      <c r="CC78" s="10">
        <f t="shared" si="67"/>
        <v>35</v>
      </c>
      <c r="CD78" s="10">
        <f t="shared" si="68"/>
        <v>34</v>
      </c>
      <c r="CE78" s="10">
        <f t="shared" si="69"/>
        <v>33</v>
      </c>
      <c r="CF78" s="10">
        <f t="shared" si="70"/>
        <v>32</v>
      </c>
      <c r="CG78" s="10">
        <f t="shared" si="71"/>
        <v>31</v>
      </c>
      <c r="CH78" s="10">
        <f t="shared" si="72"/>
        <v>30</v>
      </c>
      <c r="CI78" s="10">
        <f t="shared" si="73"/>
        <v>29</v>
      </c>
      <c r="CJ78" s="10">
        <f t="shared" si="74"/>
        <v>28</v>
      </c>
      <c r="CK78" s="10">
        <f t="shared" si="75"/>
        <v>27</v>
      </c>
      <c r="CL78" s="10">
        <f t="shared" si="76"/>
        <v>26</v>
      </c>
      <c r="CM78" s="10" t="str">
        <f>'役職希望調査 ・備考'!I48&amp;""</f>
        <v/>
      </c>
    </row>
    <row r="79" spans="1:91">
      <c r="A79" s="10" t="str">
        <f>時間希望調査!A49&amp;""</f>
        <v/>
      </c>
      <c r="B79" s="10" t="str">
        <f>時間希望調査!B49&amp;""</f>
        <v/>
      </c>
      <c r="C79" s="10" t="str">
        <f>時間希望調査!C49&amp;""</f>
        <v/>
      </c>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c r="AP79" s="11"/>
      <c r="AQ79" s="11"/>
      <c r="AR79" s="11"/>
      <c r="AS79" s="11"/>
      <c r="AT79" s="11"/>
      <c r="AU79" s="11"/>
      <c r="AV79" s="11"/>
      <c r="AW79" s="11"/>
      <c r="AX79" s="11"/>
      <c r="AY79" s="11"/>
      <c r="AZ79" s="11"/>
      <c r="BA79" s="11"/>
      <c r="BB79" s="10">
        <f t="shared" si="46"/>
        <v>0</v>
      </c>
      <c r="BC79" s="10">
        <f>時間希望調査!D49</f>
        <v>0</v>
      </c>
      <c r="BD79" s="10" t="str">
        <f>'役職希望調査 ・備考'!D49&amp;""</f>
        <v/>
      </c>
      <c r="BE79" s="10" t="str">
        <f>'役職希望調査 ・備考'!E49&amp;""</f>
        <v/>
      </c>
      <c r="BF79" s="10" t="str">
        <f>'役職希望調査 ・備考'!F49&amp;""</f>
        <v/>
      </c>
      <c r="BG79" s="10" t="str">
        <f>'役職希望調査 ・備考'!G49&amp;""</f>
        <v/>
      </c>
      <c r="BH79" s="10" t="str">
        <f>'役職希望調査 ・備考'!H49&amp;""</f>
        <v/>
      </c>
      <c r="BI79" s="10">
        <f t="shared" si="47"/>
        <v>0</v>
      </c>
      <c r="BJ79" s="10">
        <f t="shared" si="48"/>
        <v>0</v>
      </c>
      <c r="BK79" s="10">
        <f t="shared" si="49"/>
        <v>0</v>
      </c>
      <c r="BL79" s="10">
        <f t="shared" si="50"/>
        <v>0</v>
      </c>
      <c r="BM79" s="10">
        <f t="shared" si="51"/>
        <v>0</v>
      </c>
      <c r="BN79" s="10">
        <f t="shared" si="52"/>
        <v>0</v>
      </c>
      <c r="BO79" s="10">
        <f t="shared" si="53"/>
        <v>48</v>
      </c>
      <c r="BP79" s="10">
        <f t="shared" si="54"/>
        <v>48</v>
      </c>
      <c r="BQ79" s="10">
        <f t="shared" si="55"/>
        <v>47</v>
      </c>
      <c r="BR79" s="10">
        <f t="shared" si="56"/>
        <v>46</v>
      </c>
      <c r="BS79" s="10">
        <f t="shared" si="57"/>
        <v>45</v>
      </c>
      <c r="BT79" s="10">
        <f t="shared" si="58"/>
        <v>44</v>
      </c>
      <c r="BU79" s="10">
        <f t="shared" si="59"/>
        <v>43</v>
      </c>
      <c r="BV79" s="10">
        <f t="shared" si="60"/>
        <v>42</v>
      </c>
      <c r="BW79" s="10">
        <f t="shared" si="61"/>
        <v>41</v>
      </c>
      <c r="BX79" s="10">
        <f t="shared" si="62"/>
        <v>40</v>
      </c>
      <c r="BY79" s="10">
        <f t="shared" si="63"/>
        <v>39</v>
      </c>
      <c r="BZ79" s="10">
        <f t="shared" si="64"/>
        <v>38</v>
      </c>
      <c r="CA79" s="10">
        <f t="shared" si="65"/>
        <v>37</v>
      </c>
      <c r="CB79" s="10">
        <f t="shared" si="66"/>
        <v>36</v>
      </c>
      <c r="CC79" s="10">
        <f t="shared" si="67"/>
        <v>35</v>
      </c>
      <c r="CD79" s="10">
        <f t="shared" si="68"/>
        <v>34</v>
      </c>
      <c r="CE79" s="10">
        <f t="shared" si="69"/>
        <v>33</v>
      </c>
      <c r="CF79" s="10">
        <f t="shared" si="70"/>
        <v>32</v>
      </c>
      <c r="CG79" s="10">
        <f t="shared" si="71"/>
        <v>31</v>
      </c>
      <c r="CH79" s="10">
        <f t="shared" si="72"/>
        <v>30</v>
      </c>
      <c r="CI79" s="10">
        <f t="shared" si="73"/>
        <v>29</v>
      </c>
      <c r="CJ79" s="10">
        <f t="shared" si="74"/>
        <v>28</v>
      </c>
      <c r="CK79" s="10">
        <f t="shared" si="75"/>
        <v>27</v>
      </c>
      <c r="CL79" s="10">
        <f t="shared" si="76"/>
        <v>26</v>
      </c>
      <c r="CM79" s="10" t="str">
        <f>'役職希望調査 ・備考'!I49&amp;""</f>
        <v/>
      </c>
    </row>
    <row r="80" spans="1:91">
      <c r="A80" s="10" t="str">
        <f>時間希望調査!A50&amp;""</f>
        <v/>
      </c>
      <c r="B80" s="10" t="str">
        <f>時間希望調査!B50&amp;""</f>
        <v/>
      </c>
      <c r="C80" s="10" t="str">
        <f>時間希望調査!C50&amp;""</f>
        <v/>
      </c>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c r="AP80" s="11"/>
      <c r="AQ80" s="11"/>
      <c r="AR80" s="11"/>
      <c r="AS80" s="11"/>
      <c r="AT80" s="11"/>
      <c r="AU80" s="11"/>
      <c r="AV80" s="11"/>
      <c r="AW80" s="11"/>
      <c r="AX80" s="11"/>
      <c r="AY80" s="11"/>
      <c r="AZ80" s="11"/>
      <c r="BA80" s="11"/>
      <c r="BB80" s="10">
        <f t="shared" si="46"/>
        <v>0</v>
      </c>
      <c r="BC80" s="10">
        <f>時間希望調査!D50</f>
        <v>0</v>
      </c>
      <c r="BD80" s="10" t="str">
        <f>'役職希望調査 ・備考'!D50&amp;""</f>
        <v/>
      </c>
      <c r="BE80" s="10" t="str">
        <f>'役職希望調査 ・備考'!E50&amp;""</f>
        <v/>
      </c>
      <c r="BF80" s="10" t="str">
        <f>'役職希望調査 ・備考'!F50&amp;""</f>
        <v/>
      </c>
      <c r="BG80" s="10" t="str">
        <f>'役職希望調査 ・備考'!G50&amp;""</f>
        <v/>
      </c>
      <c r="BH80" s="10" t="str">
        <f>'役職希望調査 ・備考'!H50&amp;""</f>
        <v/>
      </c>
      <c r="BI80" s="10">
        <f t="shared" si="47"/>
        <v>0</v>
      </c>
      <c r="BJ80" s="10">
        <f t="shared" si="48"/>
        <v>0</v>
      </c>
      <c r="BK80" s="10">
        <f t="shared" si="49"/>
        <v>0</v>
      </c>
      <c r="BL80" s="10">
        <f t="shared" si="50"/>
        <v>0</v>
      </c>
      <c r="BM80" s="10">
        <f t="shared" si="51"/>
        <v>0</v>
      </c>
      <c r="BN80" s="10">
        <f t="shared" si="52"/>
        <v>0</v>
      </c>
      <c r="BO80" s="10">
        <f t="shared" si="53"/>
        <v>48</v>
      </c>
      <c r="BP80" s="10">
        <f t="shared" si="54"/>
        <v>48</v>
      </c>
      <c r="BQ80" s="10">
        <f t="shared" si="55"/>
        <v>47</v>
      </c>
      <c r="BR80" s="10">
        <f t="shared" si="56"/>
        <v>46</v>
      </c>
      <c r="BS80" s="10">
        <f t="shared" si="57"/>
        <v>45</v>
      </c>
      <c r="BT80" s="10">
        <f t="shared" si="58"/>
        <v>44</v>
      </c>
      <c r="BU80" s="10">
        <f t="shared" si="59"/>
        <v>43</v>
      </c>
      <c r="BV80" s="10">
        <f t="shared" si="60"/>
        <v>42</v>
      </c>
      <c r="BW80" s="10">
        <f t="shared" si="61"/>
        <v>41</v>
      </c>
      <c r="BX80" s="10">
        <f t="shared" si="62"/>
        <v>40</v>
      </c>
      <c r="BY80" s="10">
        <f t="shared" si="63"/>
        <v>39</v>
      </c>
      <c r="BZ80" s="10">
        <f t="shared" si="64"/>
        <v>38</v>
      </c>
      <c r="CA80" s="10">
        <f t="shared" si="65"/>
        <v>37</v>
      </c>
      <c r="CB80" s="10">
        <f t="shared" si="66"/>
        <v>36</v>
      </c>
      <c r="CC80" s="10">
        <f t="shared" si="67"/>
        <v>35</v>
      </c>
      <c r="CD80" s="10">
        <f t="shared" si="68"/>
        <v>34</v>
      </c>
      <c r="CE80" s="10">
        <f t="shared" si="69"/>
        <v>33</v>
      </c>
      <c r="CF80" s="10">
        <f t="shared" si="70"/>
        <v>32</v>
      </c>
      <c r="CG80" s="10">
        <f t="shared" si="71"/>
        <v>31</v>
      </c>
      <c r="CH80" s="10">
        <f t="shared" si="72"/>
        <v>30</v>
      </c>
      <c r="CI80" s="10">
        <f t="shared" si="73"/>
        <v>29</v>
      </c>
      <c r="CJ80" s="10">
        <f t="shared" si="74"/>
        <v>28</v>
      </c>
      <c r="CK80" s="10">
        <f t="shared" si="75"/>
        <v>27</v>
      </c>
      <c r="CL80" s="10">
        <f t="shared" si="76"/>
        <v>26</v>
      </c>
      <c r="CM80" s="10" t="str">
        <f>'役職希望調査 ・備考'!I50&amp;""</f>
        <v/>
      </c>
    </row>
    <row r="81" spans="1:91">
      <c r="A81" s="10" t="str">
        <f>時間希望調査!A51&amp;""</f>
        <v/>
      </c>
      <c r="B81" s="10" t="str">
        <f>時間希望調査!B51&amp;""</f>
        <v/>
      </c>
      <c r="C81" s="10" t="str">
        <f>時間希望調査!C51&amp;""</f>
        <v/>
      </c>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c r="AP81" s="11"/>
      <c r="AQ81" s="11"/>
      <c r="AR81" s="11"/>
      <c r="AS81" s="11"/>
      <c r="AT81" s="11"/>
      <c r="AU81" s="11"/>
      <c r="AV81" s="11"/>
      <c r="AW81" s="11"/>
      <c r="AX81" s="11"/>
      <c r="AY81" s="11"/>
      <c r="AZ81" s="11"/>
      <c r="BA81" s="11"/>
      <c r="BB81" s="10">
        <f t="shared" si="46"/>
        <v>0</v>
      </c>
      <c r="BC81" s="10">
        <f>時間希望調査!D51</f>
        <v>0</v>
      </c>
      <c r="BD81" s="10" t="str">
        <f>'役職希望調査 ・備考'!D51&amp;""</f>
        <v/>
      </c>
      <c r="BE81" s="10" t="str">
        <f>'役職希望調査 ・備考'!E51&amp;""</f>
        <v/>
      </c>
      <c r="BF81" s="10" t="str">
        <f>'役職希望調査 ・備考'!F51&amp;""</f>
        <v/>
      </c>
      <c r="BG81" s="10" t="str">
        <f>'役職希望調査 ・備考'!G51&amp;""</f>
        <v/>
      </c>
      <c r="BH81" s="10" t="str">
        <f>'役職希望調査 ・備考'!H51&amp;""</f>
        <v/>
      </c>
      <c r="BI81" s="10">
        <f t="shared" si="47"/>
        <v>0</v>
      </c>
      <c r="BJ81" s="10">
        <f t="shared" si="48"/>
        <v>0</v>
      </c>
      <c r="BK81" s="10">
        <f t="shared" si="49"/>
        <v>0</v>
      </c>
      <c r="BL81" s="10">
        <f t="shared" si="50"/>
        <v>0</v>
      </c>
      <c r="BM81" s="10">
        <f t="shared" si="51"/>
        <v>0</v>
      </c>
      <c r="BN81" s="10">
        <f t="shared" si="52"/>
        <v>0</v>
      </c>
      <c r="BO81" s="10">
        <f t="shared" si="53"/>
        <v>48</v>
      </c>
      <c r="BP81" s="10">
        <f t="shared" si="54"/>
        <v>48</v>
      </c>
      <c r="BQ81" s="10">
        <f t="shared" si="55"/>
        <v>47</v>
      </c>
      <c r="BR81" s="10">
        <f t="shared" si="56"/>
        <v>46</v>
      </c>
      <c r="BS81" s="10">
        <f t="shared" si="57"/>
        <v>45</v>
      </c>
      <c r="BT81" s="10">
        <f t="shared" si="58"/>
        <v>44</v>
      </c>
      <c r="BU81" s="10">
        <f t="shared" si="59"/>
        <v>43</v>
      </c>
      <c r="BV81" s="10">
        <f t="shared" si="60"/>
        <v>42</v>
      </c>
      <c r="BW81" s="10">
        <f t="shared" si="61"/>
        <v>41</v>
      </c>
      <c r="BX81" s="10">
        <f t="shared" si="62"/>
        <v>40</v>
      </c>
      <c r="BY81" s="10">
        <f t="shared" si="63"/>
        <v>39</v>
      </c>
      <c r="BZ81" s="10">
        <f t="shared" si="64"/>
        <v>38</v>
      </c>
      <c r="CA81" s="10">
        <f t="shared" si="65"/>
        <v>37</v>
      </c>
      <c r="CB81" s="10">
        <f t="shared" si="66"/>
        <v>36</v>
      </c>
      <c r="CC81" s="10">
        <f t="shared" si="67"/>
        <v>35</v>
      </c>
      <c r="CD81" s="10">
        <f t="shared" si="68"/>
        <v>34</v>
      </c>
      <c r="CE81" s="10">
        <f t="shared" si="69"/>
        <v>33</v>
      </c>
      <c r="CF81" s="10">
        <f t="shared" si="70"/>
        <v>32</v>
      </c>
      <c r="CG81" s="10">
        <f t="shared" si="71"/>
        <v>31</v>
      </c>
      <c r="CH81" s="10">
        <f t="shared" si="72"/>
        <v>30</v>
      </c>
      <c r="CI81" s="10">
        <f t="shared" si="73"/>
        <v>29</v>
      </c>
      <c r="CJ81" s="10">
        <f t="shared" si="74"/>
        <v>28</v>
      </c>
      <c r="CK81" s="10">
        <f t="shared" si="75"/>
        <v>27</v>
      </c>
      <c r="CL81" s="10">
        <f t="shared" si="76"/>
        <v>26</v>
      </c>
      <c r="CM81" s="10" t="str">
        <f>'役職希望調査 ・備考'!I51&amp;""</f>
        <v/>
      </c>
    </row>
    <row r="82" spans="1:91">
      <c r="A82" s="10" t="str">
        <f>時間希望調査!A52&amp;""</f>
        <v/>
      </c>
      <c r="B82" s="10" t="str">
        <f>時間希望調査!B52&amp;""</f>
        <v/>
      </c>
      <c r="C82" s="10" t="str">
        <f>時間希望調査!C52&amp;""</f>
        <v/>
      </c>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c r="AP82" s="11"/>
      <c r="AQ82" s="11"/>
      <c r="AR82" s="11"/>
      <c r="AS82" s="11"/>
      <c r="AT82" s="11"/>
      <c r="AU82" s="11"/>
      <c r="AV82" s="11"/>
      <c r="AW82" s="11"/>
      <c r="AX82" s="11"/>
      <c r="AY82" s="11"/>
      <c r="AZ82" s="11"/>
      <c r="BA82" s="11"/>
      <c r="BB82" s="10">
        <f t="shared" si="46"/>
        <v>0</v>
      </c>
      <c r="BC82" s="10">
        <f>時間希望調査!D52</f>
        <v>0</v>
      </c>
      <c r="BD82" s="10" t="str">
        <f>'役職希望調査 ・備考'!D52&amp;""</f>
        <v/>
      </c>
      <c r="BE82" s="10" t="str">
        <f>'役職希望調査 ・備考'!E52&amp;""</f>
        <v/>
      </c>
      <c r="BF82" s="10" t="str">
        <f>'役職希望調査 ・備考'!F52&amp;""</f>
        <v/>
      </c>
      <c r="BG82" s="10" t="str">
        <f>'役職希望調査 ・備考'!G52&amp;""</f>
        <v/>
      </c>
      <c r="BH82" s="10" t="str">
        <f>'役職希望調査 ・備考'!H52&amp;""</f>
        <v/>
      </c>
      <c r="BI82" s="10">
        <f t="shared" si="47"/>
        <v>0</v>
      </c>
      <c r="BJ82" s="10">
        <f t="shared" si="48"/>
        <v>0</v>
      </c>
      <c r="BK82" s="10">
        <f t="shared" si="49"/>
        <v>0</v>
      </c>
      <c r="BL82" s="10">
        <f t="shared" si="50"/>
        <v>0</v>
      </c>
      <c r="BM82" s="10">
        <f t="shared" si="51"/>
        <v>0</v>
      </c>
      <c r="BN82" s="10">
        <f t="shared" si="52"/>
        <v>0</v>
      </c>
      <c r="BO82" s="10">
        <f t="shared" si="53"/>
        <v>48</v>
      </c>
      <c r="BP82" s="10">
        <f t="shared" si="54"/>
        <v>48</v>
      </c>
      <c r="BQ82" s="10">
        <f t="shared" si="55"/>
        <v>47</v>
      </c>
      <c r="BR82" s="10">
        <f t="shared" si="56"/>
        <v>46</v>
      </c>
      <c r="BS82" s="10">
        <f t="shared" si="57"/>
        <v>45</v>
      </c>
      <c r="BT82" s="10">
        <f t="shared" si="58"/>
        <v>44</v>
      </c>
      <c r="BU82" s="10">
        <f t="shared" si="59"/>
        <v>43</v>
      </c>
      <c r="BV82" s="10">
        <f t="shared" si="60"/>
        <v>42</v>
      </c>
      <c r="BW82" s="10">
        <f t="shared" si="61"/>
        <v>41</v>
      </c>
      <c r="BX82" s="10">
        <f t="shared" si="62"/>
        <v>40</v>
      </c>
      <c r="BY82" s="10">
        <f t="shared" si="63"/>
        <v>39</v>
      </c>
      <c r="BZ82" s="10">
        <f t="shared" si="64"/>
        <v>38</v>
      </c>
      <c r="CA82" s="10">
        <f t="shared" si="65"/>
        <v>37</v>
      </c>
      <c r="CB82" s="10">
        <f t="shared" si="66"/>
        <v>36</v>
      </c>
      <c r="CC82" s="10">
        <f t="shared" si="67"/>
        <v>35</v>
      </c>
      <c r="CD82" s="10">
        <f t="shared" si="68"/>
        <v>34</v>
      </c>
      <c r="CE82" s="10">
        <f t="shared" si="69"/>
        <v>33</v>
      </c>
      <c r="CF82" s="10">
        <f t="shared" si="70"/>
        <v>32</v>
      </c>
      <c r="CG82" s="10">
        <f t="shared" si="71"/>
        <v>31</v>
      </c>
      <c r="CH82" s="10">
        <f t="shared" si="72"/>
        <v>30</v>
      </c>
      <c r="CI82" s="10">
        <f t="shared" si="73"/>
        <v>29</v>
      </c>
      <c r="CJ82" s="10">
        <f t="shared" si="74"/>
        <v>28</v>
      </c>
      <c r="CK82" s="10">
        <f t="shared" si="75"/>
        <v>27</v>
      </c>
      <c r="CL82" s="10">
        <f t="shared" si="76"/>
        <v>26</v>
      </c>
      <c r="CM82" s="10" t="str">
        <f>'役職希望調査 ・備考'!I52&amp;""</f>
        <v/>
      </c>
    </row>
    <row r="83" spans="1:91">
      <c r="A83" s="10" t="str">
        <f>時間希望調査!A53&amp;""</f>
        <v/>
      </c>
      <c r="B83" s="10" t="str">
        <f>時間希望調査!B53&amp;""</f>
        <v/>
      </c>
      <c r="C83" s="10" t="str">
        <f>時間希望調査!C53&amp;""</f>
        <v/>
      </c>
      <c r="D83" s="11"/>
      <c r="E83" s="11"/>
      <c r="F83" s="11"/>
      <c r="G83" s="11"/>
      <c r="H83" s="11"/>
      <c r="I83" s="11"/>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c r="AP83" s="11"/>
      <c r="AQ83" s="11"/>
      <c r="AR83" s="11"/>
      <c r="AS83" s="11"/>
      <c r="AT83" s="11"/>
      <c r="AU83" s="11"/>
      <c r="AV83" s="11"/>
      <c r="AW83" s="11"/>
      <c r="AX83" s="11"/>
      <c r="AY83" s="11"/>
      <c r="AZ83" s="11"/>
      <c r="BA83" s="11"/>
      <c r="BB83" s="10">
        <f t="shared" si="46"/>
        <v>0</v>
      </c>
      <c r="BC83" s="10">
        <f>時間希望調査!D53</f>
        <v>0</v>
      </c>
      <c r="BD83" s="10" t="str">
        <f>'役職希望調査 ・備考'!D53&amp;""</f>
        <v/>
      </c>
      <c r="BE83" s="10" t="str">
        <f>'役職希望調査 ・備考'!E53&amp;""</f>
        <v/>
      </c>
      <c r="BF83" s="10" t="str">
        <f>'役職希望調査 ・備考'!F53&amp;""</f>
        <v/>
      </c>
      <c r="BG83" s="10" t="str">
        <f>'役職希望調査 ・備考'!G53&amp;""</f>
        <v/>
      </c>
      <c r="BH83" s="10" t="str">
        <f>'役職希望調査 ・備考'!H53&amp;""</f>
        <v/>
      </c>
      <c r="BI83" s="10">
        <f t="shared" si="47"/>
        <v>0</v>
      </c>
      <c r="BJ83" s="10">
        <f t="shared" si="48"/>
        <v>0</v>
      </c>
      <c r="BK83" s="10">
        <f t="shared" si="49"/>
        <v>0</v>
      </c>
      <c r="BL83" s="10">
        <f t="shared" si="50"/>
        <v>0</v>
      </c>
      <c r="BM83" s="10">
        <f t="shared" si="51"/>
        <v>0</v>
      </c>
      <c r="BN83" s="10">
        <f t="shared" si="52"/>
        <v>0</v>
      </c>
      <c r="BO83" s="10">
        <f t="shared" si="53"/>
        <v>48</v>
      </c>
      <c r="BP83" s="10">
        <f t="shared" si="54"/>
        <v>48</v>
      </c>
      <c r="BQ83" s="10">
        <f t="shared" si="55"/>
        <v>47</v>
      </c>
      <c r="BR83" s="10">
        <f t="shared" si="56"/>
        <v>46</v>
      </c>
      <c r="BS83" s="10">
        <f t="shared" si="57"/>
        <v>45</v>
      </c>
      <c r="BT83" s="10">
        <f t="shared" si="58"/>
        <v>44</v>
      </c>
      <c r="BU83" s="10">
        <f t="shared" si="59"/>
        <v>43</v>
      </c>
      <c r="BV83" s="10">
        <f t="shared" si="60"/>
        <v>42</v>
      </c>
      <c r="BW83" s="10">
        <f t="shared" si="61"/>
        <v>41</v>
      </c>
      <c r="BX83" s="10">
        <f t="shared" si="62"/>
        <v>40</v>
      </c>
      <c r="BY83" s="10">
        <f t="shared" si="63"/>
        <v>39</v>
      </c>
      <c r="BZ83" s="10">
        <f t="shared" si="64"/>
        <v>38</v>
      </c>
      <c r="CA83" s="10">
        <f t="shared" si="65"/>
        <v>37</v>
      </c>
      <c r="CB83" s="10">
        <f t="shared" si="66"/>
        <v>36</v>
      </c>
      <c r="CC83" s="10">
        <f t="shared" si="67"/>
        <v>35</v>
      </c>
      <c r="CD83" s="10">
        <f t="shared" si="68"/>
        <v>34</v>
      </c>
      <c r="CE83" s="10">
        <f t="shared" si="69"/>
        <v>33</v>
      </c>
      <c r="CF83" s="10">
        <f t="shared" si="70"/>
        <v>32</v>
      </c>
      <c r="CG83" s="10">
        <f t="shared" si="71"/>
        <v>31</v>
      </c>
      <c r="CH83" s="10">
        <f t="shared" si="72"/>
        <v>30</v>
      </c>
      <c r="CI83" s="10">
        <f t="shared" si="73"/>
        <v>29</v>
      </c>
      <c r="CJ83" s="10">
        <f t="shared" si="74"/>
        <v>28</v>
      </c>
      <c r="CK83" s="10">
        <f t="shared" si="75"/>
        <v>27</v>
      </c>
      <c r="CL83" s="10">
        <f t="shared" si="76"/>
        <v>26</v>
      </c>
      <c r="CM83" s="10" t="str">
        <f>'役職希望調査 ・備考'!I53&amp;""</f>
        <v/>
      </c>
    </row>
    <row r="84" spans="1:91">
      <c r="A84" s="10" t="str">
        <f>時間希望調査!A54&amp;""</f>
        <v/>
      </c>
      <c r="B84" s="10" t="str">
        <f>時間希望調査!B54&amp;""</f>
        <v/>
      </c>
      <c r="C84" s="10" t="str">
        <f>時間希望調査!C54&amp;""</f>
        <v/>
      </c>
      <c r="D84" s="11"/>
      <c r="E84" s="11"/>
      <c r="F84" s="11"/>
      <c r="G84" s="11"/>
      <c r="H84" s="11"/>
      <c r="I84" s="11"/>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c r="AP84" s="11"/>
      <c r="AQ84" s="11"/>
      <c r="AR84" s="11"/>
      <c r="AS84" s="11"/>
      <c r="AT84" s="11"/>
      <c r="AU84" s="11"/>
      <c r="AV84" s="11"/>
      <c r="AW84" s="11"/>
      <c r="AX84" s="11"/>
      <c r="AY84" s="11"/>
      <c r="AZ84" s="11"/>
      <c r="BA84" s="11"/>
      <c r="BB84" s="10">
        <f t="shared" si="46"/>
        <v>0</v>
      </c>
      <c r="BC84" s="10">
        <f>時間希望調査!D54</f>
        <v>0</v>
      </c>
      <c r="BD84" s="10" t="str">
        <f>'役職希望調査 ・備考'!D54&amp;""</f>
        <v/>
      </c>
      <c r="BE84" s="10" t="str">
        <f>'役職希望調査 ・備考'!E54&amp;""</f>
        <v/>
      </c>
      <c r="BF84" s="10" t="str">
        <f>'役職希望調査 ・備考'!F54&amp;""</f>
        <v/>
      </c>
      <c r="BG84" s="10" t="str">
        <f>'役職希望調査 ・備考'!G54&amp;""</f>
        <v/>
      </c>
      <c r="BH84" s="10" t="str">
        <f>'役職希望調査 ・備考'!H54&amp;""</f>
        <v/>
      </c>
      <c r="BI84" s="10">
        <f t="shared" si="47"/>
        <v>0</v>
      </c>
      <c r="BJ84" s="10">
        <f t="shared" si="48"/>
        <v>0</v>
      </c>
      <c r="BK84" s="10">
        <f t="shared" si="49"/>
        <v>0</v>
      </c>
      <c r="BL84" s="10">
        <f t="shared" si="50"/>
        <v>0</v>
      </c>
      <c r="BM84" s="10">
        <f t="shared" si="51"/>
        <v>0</v>
      </c>
      <c r="BN84" s="10">
        <f t="shared" si="52"/>
        <v>0</v>
      </c>
      <c r="BO84" s="10">
        <f t="shared" si="53"/>
        <v>48</v>
      </c>
      <c r="BP84" s="10">
        <f t="shared" si="54"/>
        <v>48</v>
      </c>
      <c r="BQ84" s="10">
        <f t="shared" si="55"/>
        <v>47</v>
      </c>
      <c r="BR84" s="10">
        <f t="shared" si="56"/>
        <v>46</v>
      </c>
      <c r="BS84" s="10">
        <f t="shared" si="57"/>
        <v>45</v>
      </c>
      <c r="BT84" s="10">
        <f t="shared" si="58"/>
        <v>44</v>
      </c>
      <c r="BU84" s="10">
        <f t="shared" si="59"/>
        <v>43</v>
      </c>
      <c r="BV84" s="10">
        <f t="shared" si="60"/>
        <v>42</v>
      </c>
      <c r="BW84" s="10">
        <f t="shared" si="61"/>
        <v>41</v>
      </c>
      <c r="BX84" s="10">
        <f t="shared" si="62"/>
        <v>40</v>
      </c>
      <c r="BY84" s="10">
        <f t="shared" si="63"/>
        <v>39</v>
      </c>
      <c r="BZ84" s="10">
        <f t="shared" si="64"/>
        <v>38</v>
      </c>
      <c r="CA84" s="10">
        <f t="shared" si="65"/>
        <v>37</v>
      </c>
      <c r="CB84" s="10">
        <f t="shared" si="66"/>
        <v>36</v>
      </c>
      <c r="CC84" s="10">
        <f t="shared" si="67"/>
        <v>35</v>
      </c>
      <c r="CD84" s="10">
        <f t="shared" si="68"/>
        <v>34</v>
      </c>
      <c r="CE84" s="10">
        <f t="shared" si="69"/>
        <v>33</v>
      </c>
      <c r="CF84" s="10">
        <f t="shared" si="70"/>
        <v>32</v>
      </c>
      <c r="CG84" s="10">
        <f t="shared" si="71"/>
        <v>31</v>
      </c>
      <c r="CH84" s="10">
        <f t="shared" si="72"/>
        <v>30</v>
      </c>
      <c r="CI84" s="10">
        <f t="shared" si="73"/>
        <v>29</v>
      </c>
      <c r="CJ84" s="10">
        <f t="shared" si="74"/>
        <v>28</v>
      </c>
      <c r="CK84" s="10">
        <f t="shared" si="75"/>
        <v>27</v>
      </c>
      <c r="CL84" s="10">
        <f t="shared" si="76"/>
        <v>26</v>
      </c>
      <c r="CM84" s="10" t="str">
        <f>'役職希望調査 ・備考'!I54&amp;""</f>
        <v/>
      </c>
    </row>
    <row r="85" spans="1:91">
      <c r="A85" s="10" t="str">
        <f>時間希望調査!A55&amp;""</f>
        <v/>
      </c>
      <c r="B85" s="10" t="str">
        <f>時間希望調査!B55&amp;""</f>
        <v/>
      </c>
      <c r="C85" s="10" t="str">
        <f>時間希望調査!C55&amp;""</f>
        <v/>
      </c>
      <c r="D85" s="11"/>
      <c r="E85" s="11"/>
      <c r="F85" s="11"/>
      <c r="G85" s="11"/>
      <c r="H85" s="11"/>
      <c r="I85" s="11"/>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c r="AP85" s="11"/>
      <c r="AQ85" s="11"/>
      <c r="AR85" s="11"/>
      <c r="AS85" s="11"/>
      <c r="AT85" s="11"/>
      <c r="AU85" s="11"/>
      <c r="AV85" s="11"/>
      <c r="AW85" s="11"/>
      <c r="AX85" s="11"/>
      <c r="AY85" s="11"/>
      <c r="AZ85" s="11"/>
      <c r="BA85" s="11"/>
      <c r="BB85" s="10">
        <f t="shared" si="46"/>
        <v>0</v>
      </c>
      <c r="BC85" s="10">
        <f>時間希望調査!D55</f>
        <v>0</v>
      </c>
      <c r="BD85" s="10" t="str">
        <f>'役職希望調査 ・備考'!D55&amp;""</f>
        <v/>
      </c>
      <c r="BE85" s="10" t="str">
        <f>'役職希望調査 ・備考'!E55&amp;""</f>
        <v/>
      </c>
      <c r="BF85" s="10" t="str">
        <f>'役職希望調査 ・備考'!F55&amp;""</f>
        <v/>
      </c>
      <c r="BG85" s="10" t="str">
        <f>'役職希望調査 ・備考'!G55&amp;""</f>
        <v/>
      </c>
      <c r="BH85" s="10" t="str">
        <f>'役職希望調査 ・備考'!H55&amp;""</f>
        <v/>
      </c>
      <c r="BI85" s="10">
        <f t="shared" si="47"/>
        <v>0</v>
      </c>
      <c r="BJ85" s="10">
        <f t="shared" si="48"/>
        <v>0</v>
      </c>
      <c r="BK85" s="10">
        <f t="shared" si="49"/>
        <v>0</v>
      </c>
      <c r="BL85" s="10">
        <f t="shared" si="50"/>
        <v>0</v>
      </c>
      <c r="BM85" s="10">
        <f t="shared" si="51"/>
        <v>0</v>
      </c>
      <c r="BN85" s="10">
        <f t="shared" si="52"/>
        <v>0</v>
      </c>
      <c r="BO85" s="10">
        <f t="shared" si="53"/>
        <v>48</v>
      </c>
      <c r="BP85" s="10">
        <f t="shared" si="54"/>
        <v>48</v>
      </c>
      <c r="BQ85" s="10">
        <f t="shared" si="55"/>
        <v>47</v>
      </c>
      <c r="BR85" s="10">
        <f t="shared" si="56"/>
        <v>46</v>
      </c>
      <c r="BS85" s="10">
        <f t="shared" si="57"/>
        <v>45</v>
      </c>
      <c r="BT85" s="10">
        <f t="shared" si="58"/>
        <v>44</v>
      </c>
      <c r="BU85" s="10">
        <f t="shared" si="59"/>
        <v>43</v>
      </c>
      <c r="BV85" s="10">
        <f t="shared" si="60"/>
        <v>42</v>
      </c>
      <c r="BW85" s="10">
        <f t="shared" si="61"/>
        <v>41</v>
      </c>
      <c r="BX85" s="10">
        <f t="shared" si="62"/>
        <v>40</v>
      </c>
      <c r="BY85" s="10">
        <f t="shared" si="63"/>
        <v>39</v>
      </c>
      <c r="BZ85" s="10">
        <f t="shared" si="64"/>
        <v>38</v>
      </c>
      <c r="CA85" s="10">
        <f t="shared" si="65"/>
        <v>37</v>
      </c>
      <c r="CB85" s="10">
        <f t="shared" si="66"/>
        <v>36</v>
      </c>
      <c r="CC85" s="10">
        <f t="shared" si="67"/>
        <v>35</v>
      </c>
      <c r="CD85" s="10">
        <f t="shared" si="68"/>
        <v>34</v>
      </c>
      <c r="CE85" s="10">
        <f t="shared" si="69"/>
        <v>33</v>
      </c>
      <c r="CF85" s="10">
        <f t="shared" si="70"/>
        <v>32</v>
      </c>
      <c r="CG85" s="10">
        <f t="shared" si="71"/>
        <v>31</v>
      </c>
      <c r="CH85" s="10">
        <f t="shared" si="72"/>
        <v>30</v>
      </c>
      <c r="CI85" s="10">
        <f t="shared" si="73"/>
        <v>29</v>
      </c>
      <c r="CJ85" s="10">
        <f t="shared" si="74"/>
        <v>28</v>
      </c>
      <c r="CK85" s="10">
        <f t="shared" si="75"/>
        <v>27</v>
      </c>
      <c r="CL85" s="10">
        <f t="shared" si="76"/>
        <v>26</v>
      </c>
      <c r="CM85" s="10" t="str">
        <f>'役職希望調査 ・備考'!I55&amp;""</f>
        <v/>
      </c>
    </row>
    <row r="86" spans="1:91">
      <c r="A86" s="10" t="str">
        <f>時間希望調査!A56&amp;""</f>
        <v/>
      </c>
      <c r="B86" s="10" t="str">
        <f>時間希望調査!B56&amp;""</f>
        <v/>
      </c>
      <c r="C86" s="10" t="str">
        <f>時間希望調査!C56&amp;""</f>
        <v/>
      </c>
      <c r="D86" s="11"/>
      <c r="E86" s="11"/>
      <c r="F86" s="11"/>
      <c r="G86" s="11"/>
      <c r="H86" s="11"/>
      <c r="I86" s="11"/>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c r="AP86" s="11"/>
      <c r="AQ86" s="11"/>
      <c r="AR86" s="11"/>
      <c r="AS86" s="11"/>
      <c r="AT86" s="11"/>
      <c r="AU86" s="11"/>
      <c r="AV86" s="11"/>
      <c r="AW86" s="11"/>
      <c r="AX86" s="11"/>
      <c r="AY86" s="11"/>
      <c r="AZ86" s="11"/>
      <c r="BA86" s="11"/>
      <c r="BB86" s="10">
        <f t="shared" si="46"/>
        <v>0</v>
      </c>
      <c r="BC86" s="10">
        <f>時間希望調査!D56</f>
        <v>0</v>
      </c>
      <c r="BD86" s="10" t="str">
        <f>'役職希望調査 ・備考'!D56&amp;""</f>
        <v/>
      </c>
      <c r="BE86" s="10" t="str">
        <f>'役職希望調査 ・備考'!E56&amp;""</f>
        <v/>
      </c>
      <c r="BF86" s="10" t="str">
        <f>'役職希望調査 ・備考'!F56&amp;""</f>
        <v/>
      </c>
      <c r="BG86" s="10" t="str">
        <f>'役職希望調査 ・備考'!G56&amp;""</f>
        <v/>
      </c>
      <c r="BH86" s="10" t="str">
        <f>'役職希望調査 ・備考'!H56&amp;""</f>
        <v/>
      </c>
      <c r="BI86" s="10">
        <f t="shared" si="47"/>
        <v>0</v>
      </c>
      <c r="BJ86" s="10">
        <f t="shared" si="48"/>
        <v>0</v>
      </c>
      <c r="BK86" s="10">
        <f t="shared" si="49"/>
        <v>0</v>
      </c>
      <c r="BL86" s="10">
        <f t="shared" si="50"/>
        <v>0</v>
      </c>
      <c r="BM86" s="10">
        <f t="shared" si="51"/>
        <v>0</v>
      </c>
      <c r="BN86" s="10">
        <f t="shared" si="52"/>
        <v>0</v>
      </c>
      <c r="BO86" s="10">
        <f t="shared" si="53"/>
        <v>48</v>
      </c>
      <c r="BP86" s="10">
        <f t="shared" si="54"/>
        <v>48</v>
      </c>
      <c r="BQ86" s="10">
        <f t="shared" si="55"/>
        <v>47</v>
      </c>
      <c r="BR86" s="10">
        <f t="shared" si="56"/>
        <v>46</v>
      </c>
      <c r="BS86" s="10">
        <f t="shared" si="57"/>
        <v>45</v>
      </c>
      <c r="BT86" s="10">
        <f t="shared" si="58"/>
        <v>44</v>
      </c>
      <c r="BU86" s="10">
        <f t="shared" si="59"/>
        <v>43</v>
      </c>
      <c r="BV86" s="10">
        <f t="shared" si="60"/>
        <v>42</v>
      </c>
      <c r="BW86" s="10">
        <f t="shared" si="61"/>
        <v>41</v>
      </c>
      <c r="BX86" s="10">
        <f t="shared" si="62"/>
        <v>40</v>
      </c>
      <c r="BY86" s="10">
        <f t="shared" si="63"/>
        <v>39</v>
      </c>
      <c r="BZ86" s="10">
        <f t="shared" si="64"/>
        <v>38</v>
      </c>
      <c r="CA86" s="10">
        <f t="shared" si="65"/>
        <v>37</v>
      </c>
      <c r="CB86" s="10">
        <f t="shared" si="66"/>
        <v>36</v>
      </c>
      <c r="CC86" s="10">
        <f t="shared" si="67"/>
        <v>35</v>
      </c>
      <c r="CD86" s="10">
        <f t="shared" si="68"/>
        <v>34</v>
      </c>
      <c r="CE86" s="10">
        <f t="shared" si="69"/>
        <v>33</v>
      </c>
      <c r="CF86" s="10">
        <f t="shared" si="70"/>
        <v>32</v>
      </c>
      <c r="CG86" s="10">
        <f t="shared" si="71"/>
        <v>31</v>
      </c>
      <c r="CH86" s="10">
        <f t="shared" si="72"/>
        <v>30</v>
      </c>
      <c r="CI86" s="10">
        <f t="shared" si="73"/>
        <v>29</v>
      </c>
      <c r="CJ86" s="10">
        <f t="shared" si="74"/>
        <v>28</v>
      </c>
      <c r="CK86" s="10">
        <f t="shared" si="75"/>
        <v>27</v>
      </c>
      <c r="CL86" s="10">
        <f t="shared" si="76"/>
        <v>26</v>
      </c>
      <c r="CM86" s="10" t="str">
        <f>'役職希望調査 ・備考'!I56&amp;""</f>
        <v/>
      </c>
    </row>
    <row r="87" spans="1:91">
      <c r="A87" s="10" t="str">
        <f>時間希望調査!A57&amp;""</f>
        <v/>
      </c>
      <c r="B87" s="10" t="str">
        <f>時間希望調査!B57&amp;""</f>
        <v/>
      </c>
      <c r="C87" s="10" t="str">
        <f>時間希望調査!C57&amp;""</f>
        <v/>
      </c>
      <c r="D87" s="11"/>
      <c r="E87" s="11"/>
      <c r="F87" s="11"/>
      <c r="G87" s="11"/>
      <c r="H87" s="11"/>
      <c r="I87" s="11"/>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c r="AP87" s="11"/>
      <c r="AQ87" s="11"/>
      <c r="AR87" s="11"/>
      <c r="AS87" s="11"/>
      <c r="AT87" s="11"/>
      <c r="AU87" s="11"/>
      <c r="AV87" s="11"/>
      <c r="AW87" s="11"/>
      <c r="AX87" s="11"/>
      <c r="AY87" s="11"/>
      <c r="AZ87" s="11"/>
      <c r="BA87" s="11"/>
      <c r="BB87" s="10">
        <f t="shared" si="46"/>
        <v>0</v>
      </c>
      <c r="BC87" s="10">
        <f>時間希望調査!D57</f>
        <v>0</v>
      </c>
      <c r="BD87" s="10" t="str">
        <f>'役職希望調査 ・備考'!D57&amp;""</f>
        <v/>
      </c>
      <c r="BE87" s="10" t="str">
        <f>'役職希望調査 ・備考'!E57&amp;""</f>
        <v/>
      </c>
      <c r="BF87" s="10" t="str">
        <f>'役職希望調査 ・備考'!F57&amp;""</f>
        <v/>
      </c>
      <c r="BG87" s="10" t="str">
        <f>'役職希望調査 ・備考'!G57&amp;""</f>
        <v/>
      </c>
      <c r="BH87" s="10" t="str">
        <f>'役職希望調査 ・備考'!H57&amp;""</f>
        <v/>
      </c>
      <c r="BI87" s="10">
        <f t="shared" si="47"/>
        <v>0</v>
      </c>
      <c r="BJ87" s="10">
        <f t="shared" si="48"/>
        <v>0</v>
      </c>
      <c r="BK87" s="10">
        <f t="shared" si="49"/>
        <v>0</v>
      </c>
      <c r="BL87" s="10">
        <f t="shared" si="50"/>
        <v>0</v>
      </c>
      <c r="BM87" s="10">
        <f t="shared" si="51"/>
        <v>0</v>
      </c>
      <c r="BN87" s="10">
        <f t="shared" si="52"/>
        <v>0</v>
      </c>
      <c r="BO87" s="10">
        <f t="shared" si="53"/>
        <v>48</v>
      </c>
      <c r="BP87" s="10">
        <f t="shared" si="54"/>
        <v>48</v>
      </c>
      <c r="BQ87" s="10">
        <f t="shared" si="55"/>
        <v>47</v>
      </c>
      <c r="BR87" s="10">
        <f t="shared" si="56"/>
        <v>46</v>
      </c>
      <c r="BS87" s="10">
        <f t="shared" si="57"/>
        <v>45</v>
      </c>
      <c r="BT87" s="10">
        <f t="shared" si="58"/>
        <v>44</v>
      </c>
      <c r="BU87" s="10">
        <f t="shared" si="59"/>
        <v>43</v>
      </c>
      <c r="BV87" s="10">
        <f t="shared" si="60"/>
        <v>42</v>
      </c>
      <c r="BW87" s="10">
        <f t="shared" si="61"/>
        <v>41</v>
      </c>
      <c r="BX87" s="10">
        <f t="shared" si="62"/>
        <v>40</v>
      </c>
      <c r="BY87" s="10">
        <f t="shared" si="63"/>
        <v>39</v>
      </c>
      <c r="BZ87" s="10">
        <f t="shared" si="64"/>
        <v>38</v>
      </c>
      <c r="CA87" s="10">
        <f t="shared" si="65"/>
        <v>37</v>
      </c>
      <c r="CB87" s="10">
        <f t="shared" si="66"/>
        <v>36</v>
      </c>
      <c r="CC87" s="10">
        <f t="shared" si="67"/>
        <v>35</v>
      </c>
      <c r="CD87" s="10">
        <f t="shared" si="68"/>
        <v>34</v>
      </c>
      <c r="CE87" s="10">
        <f t="shared" si="69"/>
        <v>33</v>
      </c>
      <c r="CF87" s="10">
        <f t="shared" si="70"/>
        <v>32</v>
      </c>
      <c r="CG87" s="10">
        <f t="shared" si="71"/>
        <v>31</v>
      </c>
      <c r="CH87" s="10">
        <f t="shared" si="72"/>
        <v>30</v>
      </c>
      <c r="CI87" s="10">
        <f t="shared" si="73"/>
        <v>29</v>
      </c>
      <c r="CJ87" s="10">
        <f t="shared" si="74"/>
        <v>28</v>
      </c>
      <c r="CK87" s="10">
        <f t="shared" si="75"/>
        <v>27</v>
      </c>
      <c r="CL87" s="10">
        <f t="shared" si="76"/>
        <v>26</v>
      </c>
      <c r="CM87" s="10" t="str">
        <f>'役職希望調査 ・備考'!I57&amp;""</f>
        <v/>
      </c>
    </row>
    <row r="88" spans="1:91">
      <c r="A88" s="10" t="str">
        <f>時間希望調査!A58&amp;""</f>
        <v/>
      </c>
      <c r="B88" s="10" t="str">
        <f>時間希望調査!B58&amp;""</f>
        <v/>
      </c>
      <c r="C88" s="10" t="str">
        <f>時間希望調査!C58&amp;""</f>
        <v/>
      </c>
      <c r="D88" s="11"/>
      <c r="E88" s="11"/>
      <c r="F88" s="11"/>
      <c r="G88" s="11"/>
      <c r="H88" s="11"/>
      <c r="I88" s="11"/>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c r="AP88" s="11"/>
      <c r="AQ88" s="11"/>
      <c r="AR88" s="11"/>
      <c r="AS88" s="11"/>
      <c r="AT88" s="11"/>
      <c r="AU88" s="11"/>
      <c r="AV88" s="11"/>
      <c r="AW88" s="11"/>
      <c r="AX88" s="11"/>
      <c r="AY88" s="11"/>
      <c r="AZ88" s="11"/>
      <c r="BA88" s="11"/>
      <c r="BB88" s="10">
        <f t="shared" si="46"/>
        <v>0</v>
      </c>
      <c r="BC88" s="10">
        <f>時間希望調査!D58</f>
        <v>0</v>
      </c>
      <c r="BD88" s="10" t="str">
        <f>'役職希望調査 ・備考'!D58&amp;""</f>
        <v/>
      </c>
      <c r="BE88" s="10" t="str">
        <f>'役職希望調査 ・備考'!E58&amp;""</f>
        <v/>
      </c>
      <c r="BF88" s="10" t="str">
        <f>'役職希望調査 ・備考'!F58&amp;""</f>
        <v/>
      </c>
      <c r="BG88" s="10" t="str">
        <f>'役職希望調査 ・備考'!G58&amp;""</f>
        <v/>
      </c>
      <c r="BH88" s="10" t="str">
        <f>'役職希望調査 ・備考'!H58&amp;""</f>
        <v/>
      </c>
      <c r="BI88" s="10">
        <f t="shared" si="47"/>
        <v>0</v>
      </c>
      <c r="BJ88" s="10">
        <f t="shared" si="48"/>
        <v>0</v>
      </c>
      <c r="BK88" s="10">
        <f t="shared" si="49"/>
        <v>0</v>
      </c>
      <c r="BL88" s="10">
        <f t="shared" si="50"/>
        <v>0</v>
      </c>
      <c r="BM88" s="10">
        <f t="shared" si="51"/>
        <v>0</v>
      </c>
      <c r="BN88" s="10">
        <f t="shared" si="52"/>
        <v>0</v>
      </c>
      <c r="BO88" s="10">
        <f t="shared" si="53"/>
        <v>48</v>
      </c>
      <c r="BP88" s="10">
        <f t="shared" si="54"/>
        <v>48</v>
      </c>
      <c r="BQ88" s="10">
        <f t="shared" si="55"/>
        <v>47</v>
      </c>
      <c r="BR88" s="10">
        <f t="shared" si="56"/>
        <v>46</v>
      </c>
      <c r="BS88" s="10">
        <f t="shared" si="57"/>
        <v>45</v>
      </c>
      <c r="BT88" s="10">
        <f t="shared" si="58"/>
        <v>44</v>
      </c>
      <c r="BU88" s="10">
        <f t="shared" si="59"/>
        <v>43</v>
      </c>
      <c r="BV88" s="10">
        <f t="shared" si="60"/>
        <v>42</v>
      </c>
      <c r="BW88" s="10">
        <f t="shared" si="61"/>
        <v>41</v>
      </c>
      <c r="BX88" s="10">
        <f t="shared" si="62"/>
        <v>40</v>
      </c>
      <c r="BY88" s="10">
        <f t="shared" si="63"/>
        <v>39</v>
      </c>
      <c r="BZ88" s="10">
        <f t="shared" si="64"/>
        <v>38</v>
      </c>
      <c r="CA88" s="10">
        <f t="shared" si="65"/>
        <v>37</v>
      </c>
      <c r="CB88" s="10">
        <f t="shared" si="66"/>
        <v>36</v>
      </c>
      <c r="CC88" s="10">
        <f t="shared" si="67"/>
        <v>35</v>
      </c>
      <c r="CD88" s="10">
        <f t="shared" si="68"/>
        <v>34</v>
      </c>
      <c r="CE88" s="10">
        <f t="shared" si="69"/>
        <v>33</v>
      </c>
      <c r="CF88" s="10">
        <f t="shared" si="70"/>
        <v>32</v>
      </c>
      <c r="CG88" s="10">
        <f t="shared" si="71"/>
        <v>31</v>
      </c>
      <c r="CH88" s="10">
        <f t="shared" si="72"/>
        <v>30</v>
      </c>
      <c r="CI88" s="10">
        <f t="shared" si="73"/>
        <v>29</v>
      </c>
      <c r="CJ88" s="10">
        <f t="shared" si="74"/>
        <v>28</v>
      </c>
      <c r="CK88" s="10">
        <f t="shared" si="75"/>
        <v>27</v>
      </c>
      <c r="CL88" s="10">
        <f t="shared" si="76"/>
        <v>26</v>
      </c>
      <c r="CM88" s="10" t="str">
        <f>'役職希望調査 ・備考'!I58&amp;""</f>
        <v/>
      </c>
    </row>
    <row r="89" spans="1:91">
      <c r="A89" s="10" t="str">
        <f>時間希望調査!A59&amp;""</f>
        <v/>
      </c>
      <c r="B89" s="10" t="str">
        <f>時間希望調査!B59&amp;""</f>
        <v/>
      </c>
      <c r="C89" s="10" t="str">
        <f>時間希望調査!C59&amp;""</f>
        <v/>
      </c>
      <c r="D89" s="11"/>
      <c r="E89" s="11"/>
      <c r="F89" s="11"/>
      <c r="G89" s="11"/>
      <c r="H89" s="11"/>
      <c r="I89" s="11"/>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c r="AP89" s="11"/>
      <c r="AQ89" s="11"/>
      <c r="AR89" s="11"/>
      <c r="AS89" s="11"/>
      <c r="AT89" s="11"/>
      <c r="AU89" s="11"/>
      <c r="AV89" s="11"/>
      <c r="AW89" s="11"/>
      <c r="AX89" s="11"/>
      <c r="AY89" s="11"/>
      <c r="AZ89" s="11"/>
      <c r="BA89" s="11"/>
      <c r="BB89" s="10">
        <f t="shared" si="46"/>
        <v>0</v>
      </c>
      <c r="BC89" s="10">
        <f>時間希望調査!D59</f>
        <v>0</v>
      </c>
      <c r="BD89" s="10" t="str">
        <f>'役職希望調査 ・備考'!D59&amp;""</f>
        <v/>
      </c>
      <c r="BE89" s="10" t="str">
        <f>'役職希望調査 ・備考'!E59&amp;""</f>
        <v/>
      </c>
      <c r="BF89" s="10" t="str">
        <f>'役職希望調査 ・備考'!F59&amp;""</f>
        <v/>
      </c>
      <c r="BG89" s="10" t="str">
        <f>'役職希望調査 ・備考'!G59&amp;""</f>
        <v/>
      </c>
      <c r="BH89" s="10" t="str">
        <f>'役職希望調査 ・備考'!H59&amp;""</f>
        <v/>
      </c>
      <c r="BI89" s="10">
        <f t="shared" si="47"/>
        <v>0</v>
      </c>
      <c r="BJ89" s="10">
        <f t="shared" si="48"/>
        <v>0</v>
      </c>
      <c r="BK89" s="10">
        <f t="shared" si="49"/>
        <v>0</v>
      </c>
      <c r="BL89" s="10">
        <f t="shared" si="50"/>
        <v>0</v>
      </c>
      <c r="BM89" s="10">
        <f t="shared" si="51"/>
        <v>0</v>
      </c>
      <c r="BN89" s="10">
        <f t="shared" si="52"/>
        <v>0</v>
      </c>
      <c r="BO89" s="10">
        <f t="shared" si="53"/>
        <v>48</v>
      </c>
      <c r="BP89" s="10">
        <f t="shared" si="54"/>
        <v>48</v>
      </c>
      <c r="BQ89" s="10">
        <f t="shared" si="55"/>
        <v>47</v>
      </c>
      <c r="BR89" s="10">
        <f t="shared" si="56"/>
        <v>46</v>
      </c>
      <c r="BS89" s="10">
        <f t="shared" si="57"/>
        <v>45</v>
      </c>
      <c r="BT89" s="10">
        <f t="shared" si="58"/>
        <v>44</v>
      </c>
      <c r="BU89" s="10">
        <f t="shared" si="59"/>
        <v>43</v>
      </c>
      <c r="BV89" s="10">
        <f t="shared" si="60"/>
        <v>42</v>
      </c>
      <c r="BW89" s="10">
        <f t="shared" si="61"/>
        <v>41</v>
      </c>
      <c r="BX89" s="10">
        <f t="shared" si="62"/>
        <v>40</v>
      </c>
      <c r="BY89" s="10">
        <f t="shared" si="63"/>
        <v>39</v>
      </c>
      <c r="BZ89" s="10">
        <f t="shared" si="64"/>
        <v>38</v>
      </c>
      <c r="CA89" s="10">
        <f t="shared" si="65"/>
        <v>37</v>
      </c>
      <c r="CB89" s="10">
        <f t="shared" si="66"/>
        <v>36</v>
      </c>
      <c r="CC89" s="10">
        <f t="shared" si="67"/>
        <v>35</v>
      </c>
      <c r="CD89" s="10">
        <f t="shared" si="68"/>
        <v>34</v>
      </c>
      <c r="CE89" s="10">
        <f t="shared" si="69"/>
        <v>33</v>
      </c>
      <c r="CF89" s="10">
        <f t="shared" si="70"/>
        <v>32</v>
      </c>
      <c r="CG89" s="10">
        <f t="shared" si="71"/>
        <v>31</v>
      </c>
      <c r="CH89" s="10">
        <f t="shared" si="72"/>
        <v>30</v>
      </c>
      <c r="CI89" s="10">
        <f t="shared" si="73"/>
        <v>29</v>
      </c>
      <c r="CJ89" s="10">
        <f t="shared" si="74"/>
        <v>28</v>
      </c>
      <c r="CK89" s="10">
        <f t="shared" si="75"/>
        <v>27</v>
      </c>
      <c r="CL89" s="10">
        <f t="shared" si="76"/>
        <v>26</v>
      </c>
      <c r="CM89" s="10" t="str">
        <f>'役職希望調査 ・備考'!I59&amp;""</f>
        <v/>
      </c>
    </row>
    <row r="90" spans="1:91">
      <c r="A90" s="10" t="str">
        <f>時間希望調査!A60&amp;""</f>
        <v/>
      </c>
      <c r="B90" s="10" t="str">
        <f>時間希望調査!B60&amp;""</f>
        <v/>
      </c>
      <c r="C90" s="10" t="str">
        <f>時間希望調査!C60&amp;""</f>
        <v/>
      </c>
      <c r="D90" s="11"/>
      <c r="E90" s="11"/>
      <c r="F90" s="11"/>
      <c r="G90" s="11"/>
      <c r="H90" s="11"/>
      <c r="I90" s="11"/>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c r="AP90" s="11"/>
      <c r="AQ90" s="11"/>
      <c r="AR90" s="11"/>
      <c r="AS90" s="11"/>
      <c r="AT90" s="11"/>
      <c r="AU90" s="11"/>
      <c r="AV90" s="11"/>
      <c r="AW90" s="11"/>
      <c r="AX90" s="11"/>
      <c r="AY90" s="11"/>
      <c r="AZ90" s="11"/>
      <c r="BA90" s="11"/>
      <c r="BB90" s="10">
        <f t="shared" si="46"/>
        <v>0</v>
      </c>
      <c r="BC90" s="10">
        <f>時間希望調査!D60</f>
        <v>0</v>
      </c>
      <c r="BD90" s="10" t="str">
        <f>'役職希望調査 ・備考'!D60&amp;""</f>
        <v/>
      </c>
      <c r="BE90" s="10" t="str">
        <f>'役職希望調査 ・備考'!E60&amp;""</f>
        <v/>
      </c>
      <c r="BF90" s="10" t="str">
        <f>'役職希望調査 ・備考'!F60&amp;""</f>
        <v/>
      </c>
      <c r="BG90" s="10" t="str">
        <f>'役職希望調査 ・備考'!G60&amp;""</f>
        <v/>
      </c>
      <c r="BH90" s="10" t="str">
        <f>'役職希望調査 ・備考'!H60&amp;""</f>
        <v/>
      </c>
      <c r="BI90" s="10">
        <f t="shared" si="47"/>
        <v>0</v>
      </c>
      <c r="BJ90" s="10">
        <f t="shared" si="48"/>
        <v>0</v>
      </c>
      <c r="BK90" s="10">
        <f t="shared" si="49"/>
        <v>0</v>
      </c>
      <c r="BL90" s="10">
        <f t="shared" si="50"/>
        <v>0</v>
      </c>
      <c r="BM90" s="10">
        <f t="shared" si="51"/>
        <v>0</v>
      </c>
      <c r="BN90" s="10">
        <f t="shared" si="52"/>
        <v>0</v>
      </c>
      <c r="BO90" s="10">
        <f t="shared" si="53"/>
        <v>48</v>
      </c>
      <c r="BP90" s="10">
        <f t="shared" si="54"/>
        <v>48</v>
      </c>
      <c r="BQ90" s="10">
        <f t="shared" si="55"/>
        <v>47</v>
      </c>
      <c r="BR90" s="10">
        <f t="shared" si="56"/>
        <v>46</v>
      </c>
      <c r="BS90" s="10">
        <f t="shared" si="57"/>
        <v>45</v>
      </c>
      <c r="BT90" s="10">
        <f t="shared" si="58"/>
        <v>44</v>
      </c>
      <c r="BU90" s="10">
        <f t="shared" si="59"/>
        <v>43</v>
      </c>
      <c r="BV90" s="10">
        <f t="shared" si="60"/>
        <v>42</v>
      </c>
      <c r="BW90" s="10">
        <f t="shared" si="61"/>
        <v>41</v>
      </c>
      <c r="BX90" s="10">
        <f t="shared" si="62"/>
        <v>40</v>
      </c>
      <c r="BY90" s="10">
        <f t="shared" si="63"/>
        <v>39</v>
      </c>
      <c r="BZ90" s="10">
        <f t="shared" si="64"/>
        <v>38</v>
      </c>
      <c r="CA90" s="10">
        <f t="shared" si="65"/>
        <v>37</v>
      </c>
      <c r="CB90" s="10">
        <f t="shared" si="66"/>
        <v>36</v>
      </c>
      <c r="CC90" s="10">
        <f t="shared" si="67"/>
        <v>35</v>
      </c>
      <c r="CD90" s="10">
        <f t="shared" si="68"/>
        <v>34</v>
      </c>
      <c r="CE90" s="10">
        <f t="shared" si="69"/>
        <v>33</v>
      </c>
      <c r="CF90" s="10">
        <f t="shared" si="70"/>
        <v>32</v>
      </c>
      <c r="CG90" s="10">
        <f t="shared" si="71"/>
        <v>31</v>
      </c>
      <c r="CH90" s="10">
        <f t="shared" si="72"/>
        <v>30</v>
      </c>
      <c r="CI90" s="10">
        <f t="shared" si="73"/>
        <v>29</v>
      </c>
      <c r="CJ90" s="10">
        <f t="shared" si="74"/>
        <v>28</v>
      </c>
      <c r="CK90" s="10">
        <f t="shared" si="75"/>
        <v>27</v>
      </c>
      <c r="CL90" s="10">
        <f t="shared" si="76"/>
        <v>26</v>
      </c>
      <c r="CM90" s="10" t="str">
        <f>'役職希望調査 ・備考'!I60&amp;""</f>
        <v/>
      </c>
    </row>
    <row r="91" spans="1:91">
      <c r="A91" s="10" t="str">
        <f>時間希望調査!A61&amp;""</f>
        <v/>
      </c>
      <c r="B91" s="10" t="str">
        <f>時間希望調査!B61&amp;""</f>
        <v/>
      </c>
      <c r="C91" s="10" t="str">
        <f>時間希望調査!C61&amp;""</f>
        <v/>
      </c>
      <c r="D91" s="11"/>
      <c r="E91" s="11"/>
      <c r="F91" s="11"/>
      <c r="G91" s="11"/>
      <c r="H91" s="11"/>
      <c r="I91" s="11"/>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c r="AP91" s="11"/>
      <c r="AQ91" s="11"/>
      <c r="AR91" s="11"/>
      <c r="AS91" s="11"/>
      <c r="AT91" s="11"/>
      <c r="AU91" s="11"/>
      <c r="AV91" s="11"/>
      <c r="AW91" s="11"/>
      <c r="AX91" s="11"/>
      <c r="AY91" s="11"/>
      <c r="AZ91" s="11"/>
      <c r="BA91" s="11"/>
      <c r="BB91" s="10">
        <f t="shared" si="46"/>
        <v>0</v>
      </c>
      <c r="BC91" s="10">
        <f>時間希望調査!D61</f>
        <v>0</v>
      </c>
      <c r="BD91" s="10" t="str">
        <f>'役職希望調査 ・備考'!D61&amp;""</f>
        <v/>
      </c>
      <c r="BE91" s="10" t="str">
        <f>'役職希望調査 ・備考'!E61&amp;""</f>
        <v/>
      </c>
      <c r="BF91" s="10" t="str">
        <f>'役職希望調査 ・備考'!F61&amp;""</f>
        <v/>
      </c>
      <c r="BG91" s="10" t="str">
        <f>'役職希望調査 ・備考'!G61&amp;""</f>
        <v/>
      </c>
      <c r="BH91" s="10" t="str">
        <f>'役職希望調査 ・備考'!H61&amp;""</f>
        <v/>
      </c>
      <c r="BI91" s="10">
        <f t="shared" si="47"/>
        <v>0</v>
      </c>
      <c r="BJ91" s="10">
        <f t="shared" si="48"/>
        <v>0</v>
      </c>
      <c r="BK91" s="10">
        <f t="shared" si="49"/>
        <v>0</v>
      </c>
      <c r="BL91" s="10">
        <f t="shared" si="50"/>
        <v>0</v>
      </c>
      <c r="BM91" s="10">
        <f t="shared" si="51"/>
        <v>0</v>
      </c>
      <c r="BN91" s="10">
        <f t="shared" si="52"/>
        <v>0</v>
      </c>
      <c r="BO91" s="10">
        <f t="shared" si="53"/>
        <v>48</v>
      </c>
      <c r="BP91" s="10">
        <f t="shared" si="54"/>
        <v>48</v>
      </c>
      <c r="BQ91" s="10">
        <f t="shared" si="55"/>
        <v>47</v>
      </c>
      <c r="BR91" s="10">
        <f t="shared" si="56"/>
        <v>46</v>
      </c>
      <c r="BS91" s="10">
        <f t="shared" si="57"/>
        <v>45</v>
      </c>
      <c r="BT91" s="10">
        <f t="shared" si="58"/>
        <v>44</v>
      </c>
      <c r="BU91" s="10">
        <f t="shared" si="59"/>
        <v>43</v>
      </c>
      <c r="BV91" s="10">
        <f t="shared" si="60"/>
        <v>42</v>
      </c>
      <c r="BW91" s="10">
        <f t="shared" si="61"/>
        <v>41</v>
      </c>
      <c r="BX91" s="10">
        <f t="shared" si="62"/>
        <v>40</v>
      </c>
      <c r="BY91" s="10">
        <f t="shared" si="63"/>
        <v>39</v>
      </c>
      <c r="BZ91" s="10">
        <f t="shared" si="64"/>
        <v>38</v>
      </c>
      <c r="CA91" s="10">
        <f t="shared" si="65"/>
        <v>37</v>
      </c>
      <c r="CB91" s="10">
        <f t="shared" si="66"/>
        <v>36</v>
      </c>
      <c r="CC91" s="10">
        <f t="shared" si="67"/>
        <v>35</v>
      </c>
      <c r="CD91" s="10">
        <f t="shared" si="68"/>
        <v>34</v>
      </c>
      <c r="CE91" s="10">
        <f t="shared" si="69"/>
        <v>33</v>
      </c>
      <c r="CF91" s="10">
        <f t="shared" si="70"/>
        <v>32</v>
      </c>
      <c r="CG91" s="10">
        <f t="shared" si="71"/>
        <v>31</v>
      </c>
      <c r="CH91" s="10">
        <f t="shared" si="72"/>
        <v>30</v>
      </c>
      <c r="CI91" s="10">
        <f t="shared" si="73"/>
        <v>29</v>
      </c>
      <c r="CJ91" s="10">
        <f t="shared" si="74"/>
        <v>28</v>
      </c>
      <c r="CK91" s="10">
        <f t="shared" si="75"/>
        <v>27</v>
      </c>
      <c r="CL91" s="10">
        <f t="shared" si="76"/>
        <v>26</v>
      </c>
      <c r="CM91" s="10" t="str">
        <f>'役職希望調査 ・備考'!I61&amp;""</f>
        <v/>
      </c>
    </row>
    <row r="92" spans="1:91">
      <c r="A92" s="10" t="str">
        <f>時間希望調査!A62&amp;""</f>
        <v/>
      </c>
      <c r="B92" s="10" t="str">
        <f>時間希望調査!B62&amp;""</f>
        <v/>
      </c>
      <c r="C92" s="10" t="str">
        <f>時間希望調査!C62&amp;""</f>
        <v/>
      </c>
      <c r="D92" s="11"/>
      <c r="E92" s="11"/>
      <c r="F92" s="11"/>
      <c r="G92" s="11"/>
      <c r="H92" s="11"/>
      <c r="I92" s="11"/>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c r="AP92" s="11"/>
      <c r="AQ92" s="11"/>
      <c r="AR92" s="11"/>
      <c r="AS92" s="11"/>
      <c r="AT92" s="11"/>
      <c r="AU92" s="11"/>
      <c r="AV92" s="11"/>
      <c r="AW92" s="11"/>
      <c r="AX92" s="11"/>
      <c r="AY92" s="11"/>
      <c r="AZ92" s="11"/>
      <c r="BA92" s="11"/>
      <c r="BB92" s="10">
        <f t="shared" si="46"/>
        <v>0</v>
      </c>
      <c r="BC92" s="10">
        <f>時間希望調査!D62</f>
        <v>0</v>
      </c>
      <c r="BD92" s="10" t="str">
        <f>'役職希望調査 ・備考'!D62&amp;""</f>
        <v/>
      </c>
      <c r="BE92" s="10" t="str">
        <f>'役職希望調査 ・備考'!E62&amp;""</f>
        <v/>
      </c>
      <c r="BF92" s="10" t="str">
        <f>'役職希望調査 ・備考'!F62&amp;""</f>
        <v/>
      </c>
      <c r="BG92" s="10" t="str">
        <f>'役職希望調査 ・備考'!G62&amp;""</f>
        <v/>
      </c>
      <c r="BH92" s="10" t="str">
        <f>'役職希望調査 ・備考'!H62&amp;""</f>
        <v/>
      </c>
      <c r="BI92" s="10">
        <f t="shared" si="47"/>
        <v>0</v>
      </c>
      <c r="BJ92" s="10">
        <f t="shared" si="48"/>
        <v>0</v>
      </c>
      <c r="BK92" s="10">
        <f t="shared" si="49"/>
        <v>0</v>
      </c>
      <c r="BL92" s="10">
        <f t="shared" si="50"/>
        <v>0</v>
      </c>
      <c r="BM92" s="10">
        <f t="shared" si="51"/>
        <v>0</v>
      </c>
      <c r="BN92" s="10">
        <f t="shared" si="52"/>
        <v>0</v>
      </c>
      <c r="BO92" s="10">
        <f t="shared" si="53"/>
        <v>48</v>
      </c>
      <c r="BP92" s="10">
        <f t="shared" si="54"/>
        <v>48</v>
      </c>
      <c r="BQ92" s="10">
        <f t="shared" si="55"/>
        <v>47</v>
      </c>
      <c r="BR92" s="10">
        <f t="shared" si="56"/>
        <v>46</v>
      </c>
      <c r="BS92" s="10">
        <f t="shared" si="57"/>
        <v>45</v>
      </c>
      <c r="BT92" s="10">
        <f t="shared" si="58"/>
        <v>44</v>
      </c>
      <c r="BU92" s="10">
        <f t="shared" si="59"/>
        <v>43</v>
      </c>
      <c r="BV92" s="10">
        <f t="shared" si="60"/>
        <v>42</v>
      </c>
      <c r="BW92" s="10">
        <f t="shared" si="61"/>
        <v>41</v>
      </c>
      <c r="BX92" s="10">
        <f t="shared" si="62"/>
        <v>40</v>
      </c>
      <c r="BY92" s="10">
        <f t="shared" si="63"/>
        <v>39</v>
      </c>
      <c r="BZ92" s="10">
        <f t="shared" si="64"/>
        <v>38</v>
      </c>
      <c r="CA92" s="10">
        <f t="shared" si="65"/>
        <v>37</v>
      </c>
      <c r="CB92" s="10">
        <f t="shared" si="66"/>
        <v>36</v>
      </c>
      <c r="CC92" s="10">
        <f t="shared" si="67"/>
        <v>35</v>
      </c>
      <c r="CD92" s="10">
        <f t="shared" si="68"/>
        <v>34</v>
      </c>
      <c r="CE92" s="10">
        <f t="shared" si="69"/>
        <v>33</v>
      </c>
      <c r="CF92" s="10">
        <f t="shared" si="70"/>
        <v>32</v>
      </c>
      <c r="CG92" s="10">
        <f t="shared" si="71"/>
        <v>31</v>
      </c>
      <c r="CH92" s="10">
        <f t="shared" si="72"/>
        <v>30</v>
      </c>
      <c r="CI92" s="10">
        <f t="shared" si="73"/>
        <v>29</v>
      </c>
      <c r="CJ92" s="10">
        <f t="shared" si="74"/>
        <v>28</v>
      </c>
      <c r="CK92" s="10">
        <f t="shared" si="75"/>
        <v>27</v>
      </c>
      <c r="CL92" s="10">
        <f t="shared" si="76"/>
        <v>26</v>
      </c>
      <c r="CM92" s="10" t="str">
        <f>'役職希望調査 ・備考'!I62&amp;""</f>
        <v/>
      </c>
    </row>
    <row r="93" spans="1:91">
      <c r="A93" s="10" t="str">
        <f>時間希望調査!A63&amp;""</f>
        <v/>
      </c>
      <c r="B93" s="10" t="str">
        <f>時間希望調査!B63&amp;""</f>
        <v/>
      </c>
      <c r="C93" s="10" t="str">
        <f>時間希望調査!C63&amp;""</f>
        <v/>
      </c>
      <c r="D93" s="11"/>
      <c r="E93" s="11"/>
      <c r="F93" s="11"/>
      <c r="G93" s="11"/>
      <c r="H93" s="11"/>
      <c r="I93" s="11"/>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c r="AP93" s="11"/>
      <c r="AQ93" s="11"/>
      <c r="AR93" s="11"/>
      <c r="AS93" s="11"/>
      <c r="AT93" s="11"/>
      <c r="AU93" s="11"/>
      <c r="AV93" s="11"/>
      <c r="AW93" s="11"/>
      <c r="AX93" s="11"/>
      <c r="AY93" s="11"/>
      <c r="AZ93" s="11"/>
      <c r="BA93" s="11"/>
      <c r="BB93" s="10">
        <f t="shared" si="46"/>
        <v>0</v>
      </c>
      <c r="BC93" s="10">
        <f>時間希望調査!D63</f>
        <v>0</v>
      </c>
      <c r="BD93" s="10" t="str">
        <f>'役職希望調査 ・備考'!D63&amp;""</f>
        <v/>
      </c>
      <c r="BE93" s="10" t="str">
        <f>'役職希望調査 ・備考'!E63&amp;""</f>
        <v/>
      </c>
      <c r="BF93" s="10" t="str">
        <f>'役職希望調査 ・備考'!F63&amp;""</f>
        <v/>
      </c>
      <c r="BG93" s="10" t="str">
        <f>'役職希望調査 ・備考'!G63&amp;""</f>
        <v/>
      </c>
      <c r="BH93" s="10" t="str">
        <f>'役職希望調査 ・備考'!H63&amp;""</f>
        <v/>
      </c>
      <c r="BI93" s="10">
        <f t="shared" si="47"/>
        <v>0</v>
      </c>
      <c r="BJ93" s="10">
        <f t="shared" si="48"/>
        <v>0</v>
      </c>
      <c r="BK93" s="10">
        <f t="shared" si="49"/>
        <v>0</v>
      </c>
      <c r="BL93" s="10">
        <f t="shared" si="50"/>
        <v>0</v>
      </c>
      <c r="BM93" s="10">
        <f t="shared" si="51"/>
        <v>0</v>
      </c>
      <c r="BN93" s="10">
        <f t="shared" si="52"/>
        <v>0</v>
      </c>
      <c r="BO93" s="10">
        <f t="shared" si="53"/>
        <v>48</v>
      </c>
      <c r="BP93" s="10">
        <f t="shared" si="54"/>
        <v>48</v>
      </c>
      <c r="BQ93" s="10">
        <f t="shared" si="55"/>
        <v>47</v>
      </c>
      <c r="BR93" s="10">
        <f t="shared" si="56"/>
        <v>46</v>
      </c>
      <c r="BS93" s="10">
        <f t="shared" si="57"/>
        <v>45</v>
      </c>
      <c r="BT93" s="10">
        <f t="shared" si="58"/>
        <v>44</v>
      </c>
      <c r="BU93" s="10">
        <f t="shared" si="59"/>
        <v>43</v>
      </c>
      <c r="BV93" s="10">
        <f t="shared" si="60"/>
        <v>42</v>
      </c>
      <c r="BW93" s="10">
        <f t="shared" si="61"/>
        <v>41</v>
      </c>
      <c r="BX93" s="10">
        <f t="shared" si="62"/>
        <v>40</v>
      </c>
      <c r="BY93" s="10">
        <f t="shared" si="63"/>
        <v>39</v>
      </c>
      <c r="BZ93" s="10">
        <f t="shared" si="64"/>
        <v>38</v>
      </c>
      <c r="CA93" s="10">
        <f t="shared" si="65"/>
        <v>37</v>
      </c>
      <c r="CB93" s="10">
        <f t="shared" si="66"/>
        <v>36</v>
      </c>
      <c r="CC93" s="10">
        <f t="shared" si="67"/>
        <v>35</v>
      </c>
      <c r="CD93" s="10">
        <f t="shared" si="68"/>
        <v>34</v>
      </c>
      <c r="CE93" s="10">
        <f t="shared" si="69"/>
        <v>33</v>
      </c>
      <c r="CF93" s="10">
        <f t="shared" si="70"/>
        <v>32</v>
      </c>
      <c r="CG93" s="10">
        <f t="shared" si="71"/>
        <v>31</v>
      </c>
      <c r="CH93" s="10">
        <f t="shared" si="72"/>
        <v>30</v>
      </c>
      <c r="CI93" s="10">
        <f t="shared" si="73"/>
        <v>29</v>
      </c>
      <c r="CJ93" s="10">
        <f t="shared" si="74"/>
        <v>28</v>
      </c>
      <c r="CK93" s="10">
        <f t="shared" si="75"/>
        <v>27</v>
      </c>
      <c r="CL93" s="10">
        <f t="shared" si="76"/>
        <v>26</v>
      </c>
      <c r="CM93" s="10" t="str">
        <f>'役職希望調査 ・備考'!I63&amp;""</f>
        <v/>
      </c>
    </row>
    <row r="94" spans="1:91">
      <c r="A94" s="10" t="str">
        <f>時間希望調査!A64&amp;""</f>
        <v/>
      </c>
      <c r="B94" s="10" t="str">
        <f>時間希望調査!B64&amp;""</f>
        <v/>
      </c>
      <c r="C94" s="10" t="str">
        <f>時間希望調査!C64&amp;""</f>
        <v/>
      </c>
      <c r="D94" s="11"/>
      <c r="E94" s="11"/>
      <c r="F94" s="11"/>
      <c r="G94" s="11"/>
      <c r="H94" s="11"/>
      <c r="I94" s="11"/>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c r="AP94" s="11"/>
      <c r="AQ94" s="11"/>
      <c r="AR94" s="11"/>
      <c r="AS94" s="11"/>
      <c r="AT94" s="11"/>
      <c r="AU94" s="11"/>
      <c r="AV94" s="11"/>
      <c r="AW94" s="11"/>
      <c r="AX94" s="11"/>
      <c r="AY94" s="11"/>
      <c r="AZ94" s="11"/>
      <c r="BA94" s="11"/>
      <c r="BB94" s="10">
        <f t="shared" si="46"/>
        <v>0</v>
      </c>
      <c r="BC94" s="10">
        <f>時間希望調査!D64</f>
        <v>0</v>
      </c>
      <c r="BD94" s="10" t="str">
        <f>'役職希望調査 ・備考'!D64&amp;""</f>
        <v/>
      </c>
      <c r="BE94" s="10" t="str">
        <f>'役職希望調査 ・備考'!E64&amp;""</f>
        <v/>
      </c>
      <c r="BF94" s="10" t="str">
        <f>'役職希望調査 ・備考'!F64&amp;""</f>
        <v/>
      </c>
      <c r="BG94" s="10" t="str">
        <f>'役職希望調査 ・備考'!G64&amp;""</f>
        <v/>
      </c>
      <c r="BH94" s="10" t="str">
        <f>'役職希望調査 ・備考'!H64&amp;""</f>
        <v/>
      </c>
      <c r="BI94" s="10">
        <f t="shared" si="47"/>
        <v>0</v>
      </c>
      <c r="BJ94" s="10">
        <f t="shared" si="48"/>
        <v>0</v>
      </c>
      <c r="BK94" s="10">
        <f t="shared" si="49"/>
        <v>0</v>
      </c>
      <c r="BL94" s="10">
        <f t="shared" si="50"/>
        <v>0</v>
      </c>
      <c r="BM94" s="10">
        <f t="shared" si="51"/>
        <v>0</v>
      </c>
      <c r="BN94" s="10">
        <f t="shared" si="52"/>
        <v>0</v>
      </c>
      <c r="BO94" s="10">
        <f t="shared" si="53"/>
        <v>48</v>
      </c>
      <c r="BP94" s="10">
        <f t="shared" si="54"/>
        <v>48</v>
      </c>
      <c r="BQ94" s="10">
        <f t="shared" si="55"/>
        <v>47</v>
      </c>
      <c r="BR94" s="10">
        <f t="shared" si="56"/>
        <v>46</v>
      </c>
      <c r="BS94" s="10">
        <f t="shared" si="57"/>
        <v>45</v>
      </c>
      <c r="BT94" s="10">
        <f t="shared" si="58"/>
        <v>44</v>
      </c>
      <c r="BU94" s="10">
        <f t="shared" si="59"/>
        <v>43</v>
      </c>
      <c r="BV94" s="10">
        <f t="shared" si="60"/>
        <v>42</v>
      </c>
      <c r="BW94" s="10">
        <f t="shared" si="61"/>
        <v>41</v>
      </c>
      <c r="BX94" s="10">
        <f t="shared" si="62"/>
        <v>40</v>
      </c>
      <c r="BY94" s="10">
        <f t="shared" si="63"/>
        <v>39</v>
      </c>
      <c r="BZ94" s="10">
        <f t="shared" si="64"/>
        <v>38</v>
      </c>
      <c r="CA94" s="10">
        <f t="shared" si="65"/>
        <v>37</v>
      </c>
      <c r="CB94" s="10">
        <f t="shared" si="66"/>
        <v>36</v>
      </c>
      <c r="CC94" s="10">
        <f t="shared" si="67"/>
        <v>35</v>
      </c>
      <c r="CD94" s="10">
        <f t="shared" si="68"/>
        <v>34</v>
      </c>
      <c r="CE94" s="10">
        <f t="shared" si="69"/>
        <v>33</v>
      </c>
      <c r="CF94" s="10">
        <f t="shared" si="70"/>
        <v>32</v>
      </c>
      <c r="CG94" s="10">
        <f t="shared" si="71"/>
        <v>31</v>
      </c>
      <c r="CH94" s="10">
        <f t="shared" si="72"/>
        <v>30</v>
      </c>
      <c r="CI94" s="10">
        <f t="shared" si="73"/>
        <v>29</v>
      </c>
      <c r="CJ94" s="10">
        <f t="shared" si="74"/>
        <v>28</v>
      </c>
      <c r="CK94" s="10">
        <f t="shared" si="75"/>
        <v>27</v>
      </c>
      <c r="CL94" s="10">
        <f t="shared" si="76"/>
        <v>26</v>
      </c>
      <c r="CM94" s="10" t="str">
        <f>'役職希望調査 ・備考'!I64&amp;""</f>
        <v/>
      </c>
    </row>
    <row r="95" spans="1:91">
      <c r="A95" s="10" t="str">
        <f>時間希望調査!A65&amp;""</f>
        <v/>
      </c>
      <c r="B95" s="10" t="str">
        <f>時間希望調査!B65&amp;""</f>
        <v/>
      </c>
      <c r="C95" s="10" t="str">
        <f>時間希望調査!C65&amp;""</f>
        <v/>
      </c>
      <c r="D95" s="11"/>
      <c r="E95" s="11"/>
      <c r="F95" s="11"/>
      <c r="G95" s="11"/>
      <c r="H95" s="11"/>
      <c r="I95" s="11"/>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c r="AP95" s="11"/>
      <c r="AQ95" s="11"/>
      <c r="AR95" s="11"/>
      <c r="AS95" s="11"/>
      <c r="AT95" s="11"/>
      <c r="AU95" s="11"/>
      <c r="AV95" s="11"/>
      <c r="AW95" s="11"/>
      <c r="AX95" s="11"/>
      <c r="AY95" s="11"/>
      <c r="AZ95" s="11"/>
      <c r="BA95" s="11"/>
      <c r="BB95" s="10">
        <f t="shared" si="46"/>
        <v>0</v>
      </c>
      <c r="BC95" s="10">
        <f>時間希望調査!D65</f>
        <v>0</v>
      </c>
      <c r="BD95" s="10" t="str">
        <f>'役職希望調査 ・備考'!D65&amp;""</f>
        <v/>
      </c>
      <c r="BE95" s="10" t="str">
        <f>'役職希望調査 ・備考'!E65&amp;""</f>
        <v/>
      </c>
      <c r="BF95" s="10" t="str">
        <f>'役職希望調査 ・備考'!F65&amp;""</f>
        <v/>
      </c>
      <c r="BG95" s="10" t="str">
        <f>'役職希望調査 ・備考'!G65&amp;""</f>
        <v/>
      </c>
      <c r="BH95" s="10" t="str">
        <f>'役職希望調査 ・備考'!H65&amp;""</f>
        <v/>
      </c>
      <c r="BI95" s="10">
        <f t="shared" si="47"/>
        <v>0</v>
      </c>
      <c r="BJ95" s="10">
        <f t="shared" si="48"/>
        <v>0</v>
      </c>
      <c r="BK95" s="10">
        <f t="shared" si="49"/>
        <v>0</v>
      </c>
      <c r="BL95" s="10">
        <f t="shared" si="50"/>
        <v>0</v>
      </c>
      <c r="BM95" s="10">
        <f t="shared" si="51"/>
        <v>0</v>
      </c>
      <c r="BN95" s="10">
        <f t="shared" si="52"/>
        <v>0</v>
      </c>
      <c r="BO95" s="10">
        <f t="shared" si="53"/>
        <v>48</v>
      </c>
      <c r="BP95" s="10">
        <f t="shared" si="54"/>
        <v>48</v>
      </c>
      <c r="BQ95" s="10">
        <f t="shared" si="55"/>
        <v>47</v>
      </c>
      <c r="BR95" s="10">
        <f t="shared" si="56"/>
        <v>46</v>
      </c>
      <c r="BS95" s="10">
        <f t="shared" si="57"/>
        <v>45</v>
      </c>
      <c r="BT95" s="10">
        <f t="shared" si="58"/>
        <v>44</v>
      </c>
      <c r="BU95" s="10">
        <f t="shared" si="59"/>
        <v>43</v>
      </c>
      <c r="BV95" s="10">
        <f t="shared" si="60"/>
        <v>42</v>
      </c>
      <c r="BW95" s="10">
        <f t="shared" si="61"/>
        <v>41</v>
      </c>
      <c r="BX95" s="10">
        <f t="shared" si="62"/>
        <v>40</v>
      </c>
      <c r="BY95" s="10">
        <f t="shared" si="63"/>
        <v>39</v>
      </c>
      <c r="BZ95" s="10">
        <f t="shared" si="64"/>
        <v>38</v>
      </c>
      <c r="CA95" s="10">
        <f t="shared" si="65"/>
        <v>37</v>
      </c>
      <c r="CB95" s="10">
        <f t="shared" si="66"/>
        <v>36</v>
      </c>
      <c r="CC95" s="10">
        <f t="shared" si="67"/>
        <v>35</v>
      </c>
      <c r="CD95" s="10">
        <f t="shared" si="68"/>
        <v>34</v>
      </c>
      <c r="CE95" s="10">
        <f t="shared" si="69"/>
        <v>33</v>
      </c>
      <c r="CF95" s="10">
        <f t="shared" si="70"/>
        <v>32</v>
      </c>
      <c r="CG95" s="10">
        <f t="shared" si="71"/>
        <v>31</v>
      </c>
      <c r="CH95" s="10">
        <f t="shared" si="72"/>
        <v>30</v>
      </c>
      <c r="CI95" s="10">
        <f t="shared" si="73"/>
        <v>29</v>
      </c>
      <c r="CJ95" s="10">
        <f t="shared" si="74"/>
        <v>28</v>
      </c>
      <c r="CK95" s="10">
        <f t="shared" si="75"/>
        <v>27</v>
      </c>
      <c r="CL95" s="10">
        <f t="shared" si="76"/>
        <v>26</v>
      </c>
      <c r="CM95" s="10" t="str">
        <f>'役職希望調査 ・備考'!I65&amp;""</f>
        <v/>
      </c>
    </row>
    <row r="96" spans="1:91">
      <c r="A96" s="10" t="str">
        <f>時間希望調査!A66&amp;""</f>
        <v/>
      </c>
      <c r="B96" s="10" t="str">
        <f>時間希望調査!B66&amp;""</f>
        <v/>
      </c>
      <c r="C96" s="10" t="str">
        <f>時間希望調査!C66&amp;""</f>
        <v/>
      </c>
      <c r="D96" s="11"/>
      <c r="E96" s="11"/>
      <c r="F96" s="11"/>
      <c r="G96" s="11"/>
      <c r="H96" s="11"/>
      <c r="I96" s="11"/>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c r="AP96" s="11"/>
      <c r="AQ96" s="11"/>
      <c r="AR96" s="11"/>
      <c r="AS96" s="11"/>
      <c r="AT96" s="11"/>
      <c r="AU96" s="11"/>
      <c r="AV96" s="11"/>
      <c r="AW96" s="11"/>
      <c r="AX96" s="11"/>
      <c r="AY96" s="11"/>
      <c r="AZ96" s="11"/>
      <c r="BA96" s="11"/>
      <c r="BB96" s="10">
        <f t="shared" si="46"/>
        <v>0</v>
      </c>
      <c r="BC96" s="10">
        <f>時間希望調査!D66</f>
        <v>0</v>
      </c>
      <c r="BD96" s="10" t="str">
        <f>'役職希望調査 ・備考'!D66&amp;""</f>
        <v/>
      </c>
      <c r="BE96" s="10" t="str">
        <f>'役職希望調査 ・備考'!E66&amp;""</f>
        <v/>
      </c>
      <c r="BF96" s="10" t="str">
        <f>'役職希望調査 ・備考'!F66&amp;""</f>
        <v/>
      </c>
      <c r="BG96" s="10" t="str">
        <f>'役職希望調査 ・備考'!G66&amp;""</f>
        <v/>
      </c>
      <c r="BH96" s="10" t="str">
        <f>'役職希望調査 ・備考'!H66&amp;""</f>
        <v/>
      </c>
      <c r="BI96" s="10">
        <f t="shared" ref="BI96:BI127" si="77">COUNTIF(D96:BA96,BI$1)</f>
        <v>0</v>
      </c>
      <c r="BJ96" s="10">
        <f t="shared" ref="BJ96:BJ127" si="78">COUNTIF(E96:BB96,BJ$1)</f>
        <v>0</v>
      </c>
      <c r="BK96" s="10">
        <f t="shared" ref="BK96:BK127" si="79">COUNTIF(F96:BC96,BK$1)</f>
        <v>0</v>
      </c>
      <c r="BL96" s="10">
        <f t="shared" ref="BL96:BL127" si="80">COUNTIF(G96:BD96,BL$1)</f>
        <v>0</v>
      </c>
      <c r="BM96" s="10">
        <f t="shared" ref="BM96:BM127" si="81">COUNTIF(H96:BE96,BM$1)</f>
        <v>0</v>
      </c>
      <c r="BN96" s="10">
        <f t="shared" ref="BN96:BN127" si="82">COUNTIF(I96:BF96,BN$1)</f>
        <v>0</v>
      </c>
      <c r="BO96" s="10">
        <f t="shared" ref="BO96:BO127" si="83">COUNTIF(J96:BG96,BO$1)</f>
        <v>48</v>
      </c>
      <c r="BP96" s="10">
        <f t="shared" ref="BP96:BP127" si="84">COUNTIF(K96:BH96,BP$1)</f>
        <v>48</v>
      </c>
      <c r="BQ96" s="10">
        <f t="shared" ref="BQ96:BQ127" si="85">COUNTIF(L96:BI96,BQ$1)</f>
        <v>47</v>
      </c>
      <c r="BR96" s="10">
        <f t="shared" ref="BR96:BR127" si="86">COUNTIF(M96:BJ96,BR$1)</f>
        <v>46</v>
      </c>
      <c r="BS96" s="10">
        <f t="shared" ref="BS96:BS127" si="87">COUNTIF(N96:BK96,BS$1)</f>
        <v>45</v>
      </c>
      <c r="BT96" s="10">
        <f t="shared" ref="BT96:BT127" si="88">COUNTIF(O96:BL96,BT$1)</f>
        <v>44</v>
      </c>
      <c r="BU96" s="10">
        <f t="shared" ref="BU96:BU127" si="89">COUNTIF(P96:BM96,BU$1)</f>
        <v>43</v>
      </c>
      <c r="BV96" s="10">
        <f t="shared" ref="BV96:BV127" si="90">COUNTIF(Q96:BN96,BV$1)</f>
        <v>42</v>
      </c>
      <c r="BW96" s="10">
        <f t="shared" ref="BW96:BW127" si="91">COUNTIF(R96:BO96,BW$1)</f>
        <v>41</v>
      </c>
      <c r="BX96" s="10">
        <f t="shared" ref="BX96:BX127" si="92">COUNTIF(S96:BP96,BX$1)</f>
        <v>40</v>
      </c>
      <c r="BY96" s="10">
        <f t="shared" ref="BY96:BY127" si="93">COUNTIF(T96:BQ96,BY$1)</f>
        <v>39</v>
      </c>
      <c r="BZ96" s="10">
        <f t="shared" ref="BZ96:BZ127" si="94">COUNTIF(U96:BR96,BZ$1)</f>
        <v>38</v>
      </c>
      <c r="CA96" s="10">
        <f t="shared" ref="CA96:CA127" si="95">COUNTIF(V96:BS96,CA$1)</f>
        <v>37</v>
      </c>
      <c r="CB96" s="10">
        <f t="shared" ref="CB96:CB127" si="96">COUNTIF(W96:BT96,CB$1)</f>
        <v>36</v>
      </c>
      <c r="CC96" s="10">
        <f t="shared" ref="CC96:CC127" si="97">COUNTIF(X96:BU96,CC$1)</f>
        <v>35</v>
      </c>
      <c r="CD96" s="10">
        <f t="shared" ref="CD96:CD127" si="98">COUNTIF(Y96:BV96,CD$1)</f>
        <v>34</v>
      </c>
      <c r="CE96" s="10">
        <f t="shared" ref="CE96:CE127" si="99">COUNTIF(Z96:BW96,CE$1)</f>
        <v>33</v>
      </c>
      <c r="CF96" s="10">
        <f t="shared" ref="CF96:CF127" si="100">COUNTIF(AA96:BX96,CF$1)</f>
        <v>32</v>
      </c>
      <c r="CG96" s="10">
        <f t="shared" ref="CG96:CG127" si="101">COUNTIF(AB96:BY96,CG$1)</f>
        <v>31</v>
      </c>
      <c r="CH96" s="10">
        <f t="shared" ref="CH96:CH127" si="102">COUNTIF(AC96:BZ96,CH$1)</f>
        <v>30</v>
      </c>
      <c r="CI96" s="10">
        <f t="shared" ref="CI96:CI127" si="103">COUNTIF(AD96:CA96,CI$1)</f>
        <v>29</v>
      </c>
      <c r="CJ96" s="10">
        <f t="shared" ref="CJ96:CJ127" si="104">COUNTIF(AE96:CB96,CJ$1)</f>
        <v>28</v>
      </c>
      <c r="CK96" s="10">
        <f t="shared" ref="CK96:CK127" si="105">COUNTIF(AF96:CC96,CK$1)</f>
        <v>27</v>
      </c>
      <c r="CL96" s="10">
        <f t="shared" ref="CL96:CL127" si="106">COUNTIF(AG96:CD96,CL$1)</f>
        <v>26</v>
      </c>
      <c r="CM96" s="10" t="str">
        <f>'役職希望調査 ・備考'!I66&amp;""</f>
        <v/>
      </c>
    </row>
    <row r="97" spans="1:91">
      <c r="A97" s="10" t="str">
        <f>時間希望調査!A67&amp;""</f>
        <v/>
      </c>
      <c r="B97" s="10" t="str">
        <f>時間希望調査!B67&amp;""</f>
        <v/>
      </c>
      <c r="C97" s="10" t="str">
        <f>時間希望調査!C67&amp;""</f>
        <v/>
      </c>
      <c r="D97" s="11"/>
      <c r="E97" s="11"/>
      <c r="F97" s="11"/>
      <c r="G97" s="11"/>
      <c r="H97" s="11"/>
      <c r="I97" s="11"/>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c r="AP97" s="11"/>
      <c r="AQ97" s="11"/>
      <c r="AR97" s="11"/>
      <c r="AS97" s="11"/>
      <c r="AT97" s="11"/>
      <c r="AU97" s="11"/>
      <c r="AV97" s="11"/>
      <c r="AW97" s="11"/>
      <c r="AX97" s="11"/>
      <c r="AY97" s="11"/>
      <c r="AZ97" s="11"/>
      <c r="BA97" s="11"/>
      <c r="BB97" s="10">
        <f t="shared" ref="BB97:BB160" si="107">COUNTA(D97:BA97)</f>
        <v>0</v>
      </c>
      <c r="BC97" s="10">
        <f>時間希望調査!D67</f>
        <v>0</v>
      </c>
      <c r="BD97" s="10" t="str">
        <f>'役職希望調査 ・備考'!D67&amp;""</f>
        <v/>
      </c>
      <c r="BE97" s="10" t="str">
        <f>'役職希望調査 ・備考'!E67&amp;""</f>
        <v/>
      </c>
      <c r="BF97" s="10" t="str">
        <f>'役職希望調査 ・備考'!F67&amp;""</f>
        <v/>
      </c>
      <c r="BG97" s="10" t="str">
        <f>'役職希望調査 ・備考'!G67&amp;""</f>
        <v/>
      </c>
      <c r="BH97" s="10" t="str">
        <f>'役職希望調査 ・備考'!H67&amp;""</f>
        <v/>
      </c>
      <c r="BI97" s="10">
        <f t="shared" si="77"/>
        <v>0</v>
      </c>
      <c r="BJ97" s="10">
        <f t="shared" si="78"/>
        <v>0</v>
      </c>
      <c r="BK97" s="10">
        <f t="shared" si="79"/>
        <v>0</v>
      </c>
      <c r="BL97" s="10">
        <f t="shared" si="80"/>
        <v>0</v>
      </c>
      <c r="BM97" s="10">
        <f t="shared" si="81"/>
        <v>0</v>
      </c>
      <c r="BN97" s="10">
        <f t="shared" si="82"/>
        <v>0</v>
      </c>
      <c r="BO97" s="10">
        <f t="shared" si="83"/>
        <v>48</v>
      </c>
      <c r="BP97" s="10">
        <f t="shared" si="84"/>
        <v>48</v>
      </c>
      <c r="BQ97" s="10">
        <f t="shared" si="85"/>
        <v>47</v>
      </c>
      <c r="BR97" s="10">
        <f t="shared" si="86"/>
        <v>46</v>
      </c>
      <c r="BS97" s="10">
        <f t="shared" si="87"/>
        <v>45</v>
      </c>
      <c r="BT97" s="10">
        <f t="shared" si="88"/>
        <v>44</v>
      </c>
      <c r="BU97" s="10">
        <f t="shared" si="89"/>
        <v>43</v>
      </c>
      <c r="BV97" s="10">
        <f t="shared" si="90"/>
        <v>42</v>
      </c>
      <c r="BW97" s="10">
        <f t="shared" si="91"/>
        <v>41</v>
      </c>
      <c r="BX97" s="10">
        <f t="shared" si="92"/>
        <v>40</v>
      </c>
      <c r="BY97" s="10">
        <f t="shared" si="93"/>
        <v>39</v>
      </c>
      <c r="BZ97" s="10">
        <f t="shared" si="94"/>
        <v>38</v>
      </c>
      <c r="CA97" s="10">
        <f t="shared" si="95"/>
        <v>37</v>
      </c>
      <c r="CB97" s="10">
        <f t="shared" si="96"/>
        <v>36</v>
      </c>
      <c r="CC97" s="10">
        <f t="shared" si="97"/>
        <v>35</v>
      </c>
      <c r="CD97" s="10">
        <f t="shared" si="98"/>
        <v>34</v>
      </c>
      <c r="CE97" s="10">
        <f t="shared" si="99"/>
        <v>33</v>
      </c>
      <c r="CF97" s="10">
        <f t="shared" si="100"/>
        <v>32</v>
      </c>
      <c r="CG97" s="10">
        <f t="shared" si="101"/>
        <v>31</v>
      </c>
      <c r="CH97" s="10">
        <f t="shared" si="102"/>
        <v>30</v>
      </c>
      <c r="CI97" s="10">
        <f t="shared" si="103"/>
        <v>29</v>
      </c>
      <c r="CJ97" s="10">
        <f t="shared" si="104"/>
        <v>28</v>
      </c>
      <c r="CK97" s="10">
        <f t="shared" si="105"/>
        <v>27</v>
      </c>
      <c r="CL97" s="10">
        <f t="shared" si="106"/>
        <v>26</v>
      </c>
      <c r="CM97" s="10" t="str">
        <f>'役職希望調査 ・備考'!I67&amp;""</f>
        <v/>
      </c>
    </row>
    <row r="98" spans="1:91">
      <c r="A98" s="10" t="str">
        <f>時間希望調査!A68&amp;""</f>
        <v/>
      </c>
      <c r="B98" s="10" t="str">
        <f>時間希望調査!B68&amp;""</f>
        <v/>
      </c>
      <c r="C98" s="10" t="str">
        <f>時間希望調査!C68&amp;""</f>
        <v/>
      </c>
      <c r="D98" s="11"/>
      <c r="E98" s="11"/>
      <c r="F98" s="11"/>
      <c r="G98" s="11"/>
      <c r="H98" s="11"/>
      <c r="I98" s="11"/>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c r="AP98" s="11"/>
      <c r="AQ98" s="11"/>
      <c r="AR98" s="11"/>
      <c r="AS98" s="11"/>
      <c r="AT98" s="11"/>
      <c r="AU98" s="11"/>
      <c r="AV98" s="11"/>
      <c r="AW98" s="11"/>
      <c r="AX98" s="11"/>
      <c r="AY98" s="11"/>
      <c r="AZ98" s="11"/>
      <c r="BA98" s="11"/>
      <c r="BB98" s="10">
        <f t="shared" si="107"/>
        <v>0</v>
      </c>
      <c r="BC98" s="10">
        <f>時間希望調査!D68</f>
        <v>0</v>
      </c>
      <c r="BD98" s="10" t="str">
        <f>'役職希望調査 ・備考'!D68&amp;""</f>
        <v/>
      </c>
      <c r="BE98" s="10" t="str">
        <f>'役職希望調査 ・備考'!E68&amp;""</f>
        <v/>
      </c>
      <c r="BF98" s="10" t="str">
        <f>'役職希望調査 ・備考'!F68&amp;""</f>
        <v/>
      </c>
      <c r="BG98" s="10" t="str">
        <f>'役職希望調査 ・備考'!G68&amp;""</f>
        <v/>
      </c>
      <c r="BH98" s="10" t="str">
        <f>'役職希望調査 ・備考'!H68&amp;""</f>
        <v/>
      </c>
      <c r="BI98" s="10">
        <f t="shared" si="77"/>
        <v>0</v>
      </c>
      <c r="BJ98" s="10">
        <f t="shared" si="78"/>
        <v>0</v>
      </c>
      <c r="BK98" s="10">
        <f t="shared" si="79"/>
        <v>0</v>
      </c>
      <c r="BL98" s="10">
        <f t="shared" si="80"/>
        <v>0</v>
      </c>
      <c r="BM98" s="10">
        <f t="shared" si="81"/>
        <v>0</v>
      </c>
      <c r="BN98" s="10">
        <f t="shared" si="82"/>
        <v>0</v>
      </c>
      <c r="BO98" s="10">
        <f t="shared" si="83"/>
        <v>48</v>
      </c>
      <c r="BP98" s="10">
        <f t="shared" si="84"/>
        <v>48</v>
      </c>
      <c r="BQ98" s="10">
        <f t="shared" si="85"/>
        <v>47</v>
      </c>
      <c r="BR98" s="10">
        <f t="shared" si="86"/>
        <v>46</v>
      </c>
      <c r="BS98" s="10">
        <f t="shared" si="87"/>
        <v>45</v>
      </c>
      <c r="BT98" s="10">
        <f t="shared" si="88"/>
        <v>44</v>
      </c>
      <c r="BU98" s="10">
        <f t="shared" si="89"/>
        <v>43</v>
      </c>
      <c r="BV98" s="10">
        <f t="shared" si="90"/>
        <v>42</v>
      </c>
      <c r="BW98" s="10">
        <f t="shared" si="91"/>
        <v>41</v>
      </c>
      <c r="BX98" s="10">
        <f t="shared" si="92"/>
        <v>40</v>
      </c>
      <c r="BY98" s="10">
        <f t="shared" si="93"/>
        <v>39</v>
      </c>
      <c r="BZ98" s="10">
        <f t="shared" si="94"/>
        <v>38</v>
      </c>
      <c r="CA98" s="10">
        <f t="shared" si="95"/>
        <v>37</v>
      </c>
      <c r="CB98" s="10">
        <f t="shared" si="96"/>
        <v>36</v>
      </c>
      <c r="CC98" s="10">
        <f t="shared" si="97"/>
        <v>35</v>
      </c>
      <c r="CD98" s="10">
        <f t="shared" si="98"/>
        <v>34</v>
      </c>
      <c r="CE98" s="10">
        <f t="shared" si="99"/>
        <v>33</v>
      </c>
      <c r="CF98" s="10">
        <f t="shared" si="100"/>
        <v>32</v>
      </c>
      <c r="CG98" s="10">
        <f t="shared" si="101"/>
        <v>31</v>
      </c>
      <c r="CH98" s="10">
        <f t="shared" si="102"/>
        <v>30</v>
      </c>
      <c r="CI98" s="10">
        <f t="shared" si="103"/>
        <v>29</v>
      </c>
      <c r="CJ98" s="10">
        <f t="shared" si="104"/>
        <v>28</v>
      </c>
      <c r="CK98" s="10">
        <f t="shared" si="105"/>
        <v>27</v>
      </c>
      <c r="CL98" s="10">
        <f t="shared" si="106"/>
        <v>26</v>
      </c>
      <c r="CM98" s="10" t="str">
        <f>'役職希望調査 ・備考'!I68&amp;""</f>
        <v/>
      </c>
    </row>
    <row r="99" spans="1:91">
      <c r="A99" s="10" t="str">
        <f>時間希望調査!A69&amp;""</f>
        <v/>
      </c>
      <c r="B99" s="10" t="str">
        <f>時間希望調査!B69&amp;""</f>
        <v/>
      </c>
      <c r="C99" s="10" t="str">
        <f>時間希望調査!C69&amp;""</f>
        <v/>
      </c>
      <c r="D99" s="11"/>
      <c r="E99" s="11"/>
      <c r="F99" s="11"/>
      <c r="G99" s="11"/>
      <c r="H99" s="11"/>
      <c r="I99" s="11"/>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c r="AP99" s="11"/>
      <c r="AQ99" s="11"/>
      <c r="AR99" s="11"/>
      <c r="AS99" s="11"/>
      <c r="AT99" s="11"/>
      <c r="AU99" s="11"/>
      <c r="AV99" s="11"/>
      <c r="AW99" s="11"/>
      <c r="AX99" s="11"/>
      <c r="AY99" s="11"/>
      <c r="AZ99" s="11"/>
      <c r="BA99" s="11"/>
      <c r="BB99" s="10">
        <f t="shared" si="107"/>
        <v>0</v>
      </c>
      <c r="BC99" s="10">
        <f>時間希望調査!D69</f>
        <v>0</v>
      </c>
      <c r="BD99" s="10" t="str">
        <f>'役職希望調査 ・備考'!D69&amp;""</f>
        <v/>
      </c>
      <c r="BE99" s="10" t="str">
        <f>'役職希望調査 ・備考'!E69&amp;""</f>
        <v/>
      </c>
      <c r="BF99" s="10" t="str">
        <f>'役職希望調査 ・備考'!F69&amp;""</f>
        <v/>
      </c>
      <c r="BG99" s="10" t="str">
        <f>'役職希望調査 ・備考'!G69&amp;""</f>
        <v/>
      </c>
      <c r="BH99" s="10" t="str">
        <f>'役職希望調査 ・備考'!H69&amp;""</f>
        <v/>
      </c>
      <c r="BI99" s="10">
        <f t="shared" si="77"/>
        <v>0</v>
      </c>
      <c r="BJ99" s="10">
        <f t="shared" si="78"/>
        <v>0</v>
      </c>
      <c r="BK99" s="10">
        <f t="shared" si="79"/>
        <v>0</v>
      </c>
      <c r="BL99" s="10">
        <f t="shared" si="80"/>
        <v>0</v>
      </c>
      <c r="BM99" s="10">
        <f t="shared" si="81"/>
        <v>0</v>
      </c>
      <c r="BN99" s="10">
        <f t="shared" si="82"/>
        <v>0</v>
      </c>
      <c r="BO99" s="10">
        <f t="shared" si="83"/>
        <v>48</v>
      </c>
      <c r="BP99" s="10">
        <f t="shared" si="84"/>
        <v>48</v>
      </c>
      <c r="BQ99" s="10">
        <f t="shared" si="85"/>
        <v>47</v>
      </c>
      <c r="BR99" s="10">
        <f t="shared" si="86"/>
        <v>46</v>
      </c>
      <c r="BS99" s="10">
        <f t="shared" si="87"/>
        <v>45</v>
      </c>
      <c r="BT99" s="10">
        <f t="shared" si="88"/>
        <v>44</v>
      </c>
      <c r="BU99" s="10">
        <f t="shared" si="89"/>
        <v>43</v>
      </c>
      <c r="BV99" s="10">
        <f t="shared" si="90"/>
        <v>42</v>
      </c>
      <c r="BW99" s="10">
        <f t="shared" si="91"/>
        <v>41</v>
      </c>
      <c r="BX99" s="10">
        <f t="shared" si="92"/>
        <v>40</v>
      </c>
      <c r="BY99" s="10">
        <f t="shared" si="93"/>
        <v>39</v>
      </c>
      <c r="BZ99" s="10">
        <f t="shared" si="94"/>
        <v>38</v>
      </c>
      <c r="CA99" s="10">
        <f t="shared" si="95"/>
        <v>37</v>
      </c>
      <c r="CB99" s="10">
        <f t="shared" si="96"/>
        <v>36</v>
      </c>
      <c r="CC99" s="10">
        <f t="shared" si="97"/>
        <v>35</v>
      </c>
      <c r="CD99" s="10">
        <f t="shared" si="98"/>
        <v>34</v>
      </c>
      <c r="CE99" s="10">
        <f t="shared" si="99"/>
        <v>33</v>
      </c>
      <c r="CF99" s="10">
        <f t="shared" si="100"/>
        <v>32</v>
      </c>
      <c r="CG99" s="10">
        <f t="shared" si="101"/>
        <v>31</v>
      </c>
      <c r="CH99" s="10">
        <f t="shared" si="102"/>
        <v>30</v>
      </c>
      <c r="CI99" s="10">
        <f t="shared" si="103"/>
        <v>29</v>
      </c>
      <c r="CJ99" s="10">
        <f t="shared" si="104"/>
        <v>28</v>
      </c>
      <c r="CK99" s="10">
        <f t="shared" si="105"/>
        <v>27</v>
      </c>
      <c r="CL99" s="10">
        <f t="shared" si="106"/>
        <v>26</v>
      </c>
      <c r="CM99" s="10" t="str">
        <f>'役職希望調査 ・備考'!I69&amp;""</f>
        <v/>
      </c>
    </row>
    <row r="100" spans="1:91">
      <c r="A100" s="10" t="str">
        <f>時間希望調査!A70&amp;""</f>
        <v/>
      </c>
      <c r="B100" s="10" t="str">
        <f>時間希望調査!B70&amp;""</f>
        <v/>
      </c>
      <c r="C100" s="10" t="str">
        <f>時間希望調査!C70&amp;""</f>
        <v/>
      </c>
      <c r="D100" s="11"/>
      <c r="E100" s="11"/>
      <c r="F100" s="11"/>
      <c r="G100" s="11"/>
      <c r="H100" s="11"/>
      <c r="I100" s="11"/>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c r="AP100" s="11"/>
      <c r="AQ100" s="11"/>
      <c r="AR100" s="11"/>
      <c r="AS100" s="11"/>
      <c r="AT100" s="11"/>
      <c r="AU100" s="11"/>
      <c r="AV100" s="11"/>
      <c r="AW100" s="11"/>
      <c r="AX100" s="11"/>
      <c r="AY100" s="11"/>
      <c r="AZ100" s="11"/>
      <c r="BA100" s="11"/>
      <c r="BB100" s="10">
        <f t="shared" si="107"/>
        <v>0</v>
      </c>
      <c r="BC100" s="10">
        <f>時間希望調査!D70</f>
        <v>0</v>
      </c>
      <c r="BD100" s="10" t="str">
        <f>'役職希望調査 ・備考'!D70&amp;""</f>
        <v/>
      </c>
      <c r="BE100" s="10" t="str">
        <f>'役職希望調査 ・備考'!E70&amp;""</f>
        <v/>
      </c>
      <c r="BF100" s="10" t="str">
        <f>'役職希望調査 ・備考'!F70&amp;""</f>
        <v/>
      </c>
      <c r="BG100" s="10" t="str">
        <f>'役職希望調査 ・備考'!G70&amp;""</f>
        <v/>
      </c>
      <c r="BH100" s="10" t="str">
        <f>'役職希望調査 ・備考'!H70&amp;""</f>
        <v/>
      </c>
      <c r="BI100" s="10">
        <f t="shared" si="77"/>
        <v>0</v>
      </c>
      <c r="BJ100" s="10">
        <f t="shared" si="78"/>
        <v>0</v>
      </c>
      <c r="BK100" s="10">
        <f t="shared" si="79"/>
        <v>0</v>
      </c>
      <c r="BL100" s="10">
        <f t="shared" si="80"/>
        <v>0</v>
      </c>
      <c r="BM100" s="10">
        <f t="shared" si="81"/>
        <v>0</v>
      </c>
      <c r="BN100" s="10">
        <f t="shared" si="82"/>
        <v>0</v>
      </c>
      <c r="BO100" s="10">
        <f t="shared" si="83"/>
        <v>48</v>
      </c>
      <c r="BP100" s="10">
        <f t="shared" si="84"/>
        <v>48</v>
      </c>
      <c r="BQ100" s="10">
        <f t="shared" si="85"/>
        <v>47</v>
      </c>
      <c r="BR100" s="10">
        <f t="shared" si="86"/>
        <v>46</v>
      </c>
      <c r="BS100" s="10">
        <f t="shared" si="87"/>
        <v>45</v>
      </c>
      <c r="BT100" s="10">
        <f t="shared" si="88"/>
        <v>44</v>
      </c>
      <c r="BU100" s="10">
        <f t="shared" si="89"/>
        <v>43</v>
      </c>
      <c r="BV100" s="10">
        <f t="shared" si="90"/>
        <v>42</v>
      </c>
      <c r="BW100" s="10">
        <f t="shared" si="91"/>
        <v>41</v>
      </c>
      <c r="BX100" s="10">
        <f t="shared" si="92"/>
        <v>40</v>
      </c>
      <c r="BY100" s="10">
        <f t="shared" si="93"/>
        <v>39</v>
      </c>
      <c r="BZ100" s="10">
        <f t="shared" si="94"/>
        <v>38</v>
      </c>
      <c r="CA100" s="10">
        <f t="shared" si="95"/>
        <v>37</v>
      </c>
      <c r="CB100" s="10">
        <f t="shared" si="96"/>
        <v>36</v>
      </c>
      <c r="CC100" s="10">
        <f t="shared" si="97"/>
        <v>35</v>
      </c>
      <c r="CD100" s="10">
        <f t="shared" si="98"/>
        <v>34</v>
      </c>
      <c r="CE100" s="10">
        <f t="shared" si="99"/>
        <v>33</v>
      </c>
      <c r="CF100" s="10">
        <f t="shared" si="100"/>
        <v>32</v>
      </c>
      <c r="CG100" s="10">
        <f t="shared" si="101"/>
        <v>31</v>
      </c>
      <c r="CH100" s="10">
        <f t="shared" si="102"/>
        <v>30</v>
      </c>
      <c r="CI100" s="10">
        <f t="shared" si="103"/>
        <v>29</v>
      </c>
      <c r="CJ100" s="10">
        <f t="shared" si="104"/>
        <v>28</v>
      </c>
      <c r="CK100" s="10">
        <f t="shared" si="105"/>
        <v>27</v>
      </c>
      <c r="CL100" s="10">
        <f t="shared" si="106"/>
        <v>26</v>
      </c>
      <c r="CM100" s="10" t="str">
        <f>'役職希望調査 ・備考'!I70&amp;""</f>
        <v/>
      </c>
    </row>
    <row r="101" spans="1:91">
      <c r="A101" s="10" t="str">
        <f>時間希望調査!A71&amp;""</f>
        <v/>
      </c>
      <c r="B101" s="10" t="str">
        <f>時間希望調査!B71&amp;""</f>
        <v/>
      </c>
      <c r="C101" s="10" t="str">
        <f>時間希望調査!C71&amp;""</f>
        <v/>
      </c>
      <c r="D101" s="11"/>
      <c r="E101" s="11"/>
      <c r="F101" s="11"/>
      <c r="G101" s="11"/>
      <c r="H101" s="11"/>
      <c r="I101" s="11"/>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c r="AP101" s="11"/>
      <c r="AQ101" s="11"/>
      <c r="AR101" s="11"/>
      <c r="AS101" s="11"/>
      <c r="AT101" s="11"/>
      <c r="AU101" s="11"/>
      <c r="AV101" s="11"/>
      <c r="AW101" s="11"/>
      <c r="AX101" s="11"/>
      <c r="AY101" s="11"/>
      <c r="AZ101" s="11"/>
      <c r="BA101" s="11"/>
      <c r="BB101" s="10">
        <f t="shared" si="107"/>
        <v>0</v>
      </c>
      <c r="BC101" s="10">
        <f>時間希望調査!D71</f>
        <v>0</v>
      </c>
      <c r="BD101" s="10" t="str">
        <f>'役職希望調査 ・備考'!D71&amp;""</f>
        <v/>
      </c>
      <c r="BE101" s="10" t="str">
        <f>'役職希望調査 ・備考'!E71&amp;""</f>
        <v/>
      </c>
      <c r="BF101" s="10" t="str">
        <f>'役職希望調査 ・備考'!F71&amp;""</f>
        <v/>
      </c>
      <c r="BG101" s="10" t="str">
        <f>'役職希望調査 ・備考'!G71&amp;""</f>
        <v/>
      </c>
      <c r="BH101" s="10" t="str">
        <f>'役職希望調査 ・備考'!H71&amp;""</f>
        <v/>
      </c>
      <c r="BI101" s="10">
        <f t="shared" si="77"/>
        <v>0</v>
      </c>
      <c r="BJ101" s="10">
        <f t="shared" si="78"/>
        <v>0</v>
      </c>
      <c r="BK101" s="10">
        <f t="shared" si="79"/>
        <v>0</v>
      </c>
      <c r="BL101" s="10">
        <f t="shared" si="80"/>
        <v>0</v>
      </c>
      <c r="BM101" s="10">
        <f t="shared" si="81"/>
        <v>0</v>
      </c>
      <c r="BN101" s="10">
        <f t="shared" si="82"/>
        <v>0</v>
      </c>
      <c r="BO101" s="10">
        <f t="shared" si="83"/>
        <v>48</v>
      </c>
      <c r="BP101" s="10">
        <f t="shared" si="84"/>
        <v>48</v>
      </c>
      <c r="BQ101" s="10">
        <f t="shared" si="85"/>
        <v>47</v>
      </c>
      <c r="BR101" s="10">
        <f t="shared" si="86"/>
        <v>46</v>
      </c>
      <c r="BS101" s="10">
        <f t="shared" si="87"/>
        <v>45</v>
      </c>
      <c r="BT101" s="10">
        <f t="shared" si="88"/>
        <v>44</v>
      </c>
      <c r="BU101" s="10">
        <f t="shared" si="89"/>
        <v>43</v>
      </c>
      <c r="BV101" s="10">
        <f t="shared" si="90"/>
        <v>42</v>
      </c>
      <c r="BW101" s="10">
        <f t="shared" si="91"/>
        <v>41</v>
      </c>
      <c r="BX101" s="10">
        <f t="shared" si="92"/>
        <v>40</v>
      </c>
      <c r="BY101" s="10">
        <f t="shared" si="93"/>
        <v>39</v>
      </c>
      <c r="BZ101" s="10">
        <f t="shared" si="94"/>
        <v>38</v>
      </c>
      <c r="CA101" s="10">
        <f t="shared" si="95"/>
        <v>37</v>
      </c>
      <c r="CB101" s="10">
        <f t="shared" si="96"/>
        <v>36</v>
      </c>
      <c r="CC101" s="10">
        <f t="shared" si="97"/>
        <v>35</v>
      </c>
      <c r="CD101" s="10">
        <f t="shared" si="98"/>
        <v>34</v>
      </c>
      <c r="CE101" s="10">
        <f t="shared" si="99"/>
        <v>33</v>
      </c>
      <c r="CF101" s="10">
        <f t="shared" si="100"/>
        <v>32</v>
      </c>
      <c r="CG101" s="10">
        <f t="shared" si="101"/>
        <v>31</v>
      </c>
      <c r="CH101" s="10">
        <f t="shared" si="102"/>
        <v>30</v>
      </c>
      <c r="CI101" s="10">
        <f t="shared" si="103"/>
        <v>29</v>
      </c>
      <c r="CJ101" s="10">
        <f t="shared" si="104"/>
        <v>28</v>
      </c>
      <c r="CK101" s="10">
        <f t="shared" si="105"/>
        <v>27</v>
      </c>
      <c r="CL101" s="10">
        <f t="shared" si="106"/>
        <v>26</v>
      </c>
      <c r="CM101" s="10" t="str">
        <f>'役職希望調査 ・備考'!I71&amp;""</f>
        <v/>
      </c>
    </row>
    <row r="102" spans="1:91">
      <c r="A102" s="10" t="str">
        <f>時間希望調査!A72&amp;""</f>
        <v/>
      </c>
      <c r="B102" s="10" t="str">
        <f>時間希望調査!B72&amp;""</f>
        <v/>
      </c>
      <c r="C102" s="10" t="str">
        <f>時間希望調査!C72&amp;""</f>
        <v/>
      </c>
      <c r="D102" s="11"/>
      <c r="E102" s="11"/>
      <c r="F102" s="11"/>
      <c r="G102" s="11"/>
      <c r="H102" s="11"/>
      <c r="I102" s="11"/>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c r="AP102" s="11"/>
      <c r="AQ102" s="11"/>
      <c r="AR102" s="11"/>
      <c r="AS102" s="11"/>
      <c r="AT102" s="11"/>
      <c r="AU102" s="11"/>
      <c r="AV102" s="11"/>
      <c r="AW102" s="11"/>
      <c r="AX102" s="11"/>
      <c r="AY102" s="11"/>
      <c r="AZ102" s="11"/>
      <c r="BA102" s="11"/>
      <c r="BB102" s="10">
        <f t="shared" si="107"/>
        <v>0</v>
      </c>
      <c r="BC102" s="10">
        <f>時間希望調査!D72</f>
        <v>0</v>
      </c>
      <c r="BD102" s="10" t="str">
        <f>'役職希望調査 ・備考'!D72&amp;""</f>
        <v/>
      </c>
      <c r="BE102" s="10" t="str">
        <f>'役職希望調査 ・備考'!E72&amp;""</f>
        <v/>
      </c>
      <c r="BF102" s="10" t="str">
        <f>'役職希望調査 ・備考'!F72&amp;""</f>
        <v/>
      </c>
      <c r="BG102" s="10" t="str">
        <f>'役職希望調査 ・備考'!G72&amp;""</f>
        <v/>
      </c>
      <c r="BH102" s="10" t="str">
        <f>'役職希望調査 ・備考'!H72&amp;""</f>
        <v/>
      </c>
      <c r="BI102" s="10">
        <f t="shared" si="77"/>
        <v>0</v>
      </c>
      <c r="BJ102" s="10">
        <f t="shared" si="78"/>
        <v>0</v>
      </c>
      <c r="BK102" s="10">
        <f t="shared" si="79"/>
        <v>0</v>
      </c>
      <c r="BL102" s="10">
        <f t="shared" si="80"/>
        <v>0</v>
      </c>
      <c r="BM102" s="10">
        <f t="shared" si="81"/>
        <v>0</v>
      </c>
      <c r="BN102" s="10">
        <f t="shared" si="82"/>
        <v>0</v>
      </c>
      <c r="BO102" s="10">
        <f t="shared" si="83"/>
        <v>48</v>
      </c>
      <c r="BP102" s="10">
        <f t="shared" si="84"/>
        <v>48</v>
      </c>
      <c r="BQ102" s="10">
        <f t="shared" si="85"/>
        <v>47</v>
      </c>
      <c r="BR102" s="10">
        <f t="shared" si="86"/>
        <v>46</v>
      </c>
      <c r="BS102" s="10">
        <f t="shared" si="87"/>
        <v>45</v>
      </c>
      <c r="BT102" s="10">
        <f t="shared" si="88"/>
        <v>44</v>
      </c>
      <c r="BU102" s="10">
        <f t="shared" si="89"/>
        <v>43</v>
      </c>
      <c r="BV102" s="10">
        <f t="shared" si="90"/>
        <v>42</v>
      </c>
      <c r="BW102" s="10">
        <f t="shared" si="91"/>
        <v>41</v>
      </c>
      <c r="BX102" s="10">
        <f t="shared" si="92"/>
        <v>40</v>
      </c>
      <c r="BY102" s="10">
        <f t="shared" si="93"/>
        <v>39</v>
      </c>
      <c r="BZ102" s="10">
        <f t="shared" si="94"/>
        <v>38</v>
      </c>
      <c r="CA102" s="10">
        <f t="shared" si="95"/>
        <v>37</v>
      </c>
      <c r="CB102" s="10">
        <f t="shared" si="96"/>
        <v>36</v>
      </c>
      <c r="CC102" s="10">
        <f t="shared" si="97"/>
        <v>35</v>
      </c>
      <c r="CD102" s="10">
        <f t="shared" si="98"/>
        <v>34</v>
      </c>
      <c r="CE102" s="10">
        <f t="shared" si="99"/>
        <v>33</v>
      </c>
      <c r="CF102" s="10">
        <f t="shared" si="100"/>
        <v>32</v>
      </c>
      <c r="CG102" s="10">
        <f t="shared" si="101"/>
        <v>31</v>
      </c>
      <c r="CH102" s="10">
        <f t="shared" si="102"/>
        <v>30</v>
      </c>
      <c r="CI102" s="10">
        <f t="shared" si="103"/>
        <v>29</v>
      </c>
      <c r="CJ102" s="10">
        <f t="shared" si="104"/>
        <v>28</v>
      </c>
      <c r="CK102" s="10">
        <f t="shared" si="105"/>
        <v>27</v>
      </c>
      <c r="CL102" s="10">
        <f t="shared" si="106"/>
        <v>26</v>
      </c>
      <c r="CM102" s="10" t="str">
        <f>'役職希望調査 ・備考'!I72&amp;""</f>
        <v/>
      </c>
    </row>
    <row r="103" spans="1:91">
      <c r="A103" s="10" t="str">
        <f>時間希望調査!A73&amp;""</f>
        <v/>
      </c>
      <c r="B103" s="10" t="str">
        <f>時間希望調査!B73&amp;""</f>
        <v/>
      </c>
      <c r="C103" s="10" t="str">
        <f>時間希望調査!C73&amp;""</f>
        <v/>
      </c>
      <c r="D103" s="11"/>
      <c r="E103" s="11"/>
      <c r="F103" s="11"/>
      <c r="G103" s="11"/>
      <c r="H103" s="11"/>
      <c r="I103" s="11"/>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c r="AP103" s="11"/>
      <c r="AQ103" s="11"/>
      <c r="AR103" s="11"/>
      <c r="AS103" s="11"/>
      <c r="AT103" s="11"/>
      <c r="AU103" s="11"/>
      <c r="AV103" s="11"/>
      <c r="AW103" s="11"/>
      <c r="AX103" s="11"/>
      <c r="AY103" s="11"/>
      <c r="AZ103" s="11"/>
      <c r="BA103" s="11"/>
      <c r="BB103" s="10">
        <f t="shared" si="107"/>
        <v>0</v>
      </c>
      <c r="BC103" s="10">
        <f>時間希望調査!D73</f>
        <v>0</v>
      </c>
      <c r="BD103" s="10" t="str">
        <f>'役職希望調査 ・備考'!D73&amp;""</f>
        <v/>
      </c>
      <c r="BE103" s="10" t="str">
        <f>'役職希望調査 ・備考'!E73&amp;""</f>
        <v/>
      </c>
      <c r="BF103" s="10" t="str">
        <f>'役職希望調査 ・備考'!F73&amp;""</f>
        <v/>
      </c>
      <c r="BG103" s="10" t="str">
        <f>'役職希望調査 ・備考'!G73&amp;""</f>
        <v/>
      </c>
      <c r="BH103" s="10" t="str">
        <f>'役職希望調査 ・備考'!H73&amp;""</f>
        <v/>
      </c>
      <c r="BI103" s="10">
        <f t="shared" si="77"/>
        <v>0</v>
      </c>
      <c r="BJ103" s="10">
        <f t="shared" si="78"/>
        <v>0</v>
      </c>
      <c r="BK103" s="10">
        <f t="shared" si="79"/>
        <v>0</v>
      </c>
      <c r="BL103" s="10">
        <f t="shared" si="80"/>
        <v>0</v>
      </c>
      <c r="BM103" s="10">
        <f t="shared" si="81"/>
        <v>0</v>
      </c>
      <c r="BN103" s="10">
        <f t="shared" si="82"/>
        <v>0</v>
      </c>
      <c r="BO103" s="10">
        <f t="shared" si="83"/>
        <v>48</v>
      </c>
      <c r="BP103" s="10">
        <f t="shared" si="84"/>
        <v>48</v>
      </c>
      <c r="BQ103" s="10">
        <f t="shared" si="85"/>
        <v>47</v>
      </c>
      <c r="BR103" s="10">
        <f t="shared" si="86"/>
        <v>46</v>
      </c>
      <c r="BS103" s="10">
        <f t="shared" si="87"/>
        <v>45</v>
      </c>
      <c r="BT103" s="10">
        <f t="shared" si="88"/>
        <v>44</v>
      </c>
      <c r="BU103" s="10">
        <f t="shared" si="89"/>
        <v>43</v>
      </c>
      <c r="BV103" s="10">
        <f t="shared" si="90"/>
        <v>42</v>
      </c>
      <c r="BW103" s="10">
        <f t="shared" si="91"/>
        <v>41</v>
      </c>
      <c r="BX103" s="10">
        <f t="shared" si="92"/>
        <v>40</v>
      </c>
      <c r="BY103" s="10">
        <f t="shared" si="93"/>
        <v>39</v>
      </c>
      <c r="BZ103" s="10">
        <f t="shared" si="94"/>
        <v>38</v>
      </c>
      <c r="CA103" s="10">
        <f t="shared" si="95"/>
        <v>37</v>
      </c>
      <c r="CB103" s="10">
        <f t="shared" si="96"/>
        <v>36</v>
      </c>
      <c r="CC103" s="10">
        <f t="shared" si="97"/>
        <v>35</v>
      </c>
      <c r="CD103" s="10">
        <f t="shared" si="98"/>
        <v>34</v>
      </c>
      <c r="CE103" s="10">
        <f t="shared" si="99"/>
        <v>33</v>
      </c>
      <c r="CF103" s="10">
        <f t="shared" si="100"/>
        <v>32</v>
      </c>
      <c r="CG103" s="10">
        <f t="shared" si="101"/>
        <v>31</v>
      </c>
      <c r="CH103" s="10">
        <f t="shared" si="102"/>
        <v>30</v>
      </c>
      <c r="CI103" s="10">
        <f t="shared" si="103"/>
        <v>29</v>
      </c>
      <c r="CJ103" s="10">
        <f t="shared" si="104"/>
        <v>28</v>
      </c>
      <c r="CK103" s="10">
        <f t="shared" si="105"/>
        <v>27</v>
      </c>
      <c r="CL103" s="10">
        <f t="shared" si="106"/>
        <v>26</v>
      </c>
      <c r="CM103" s="10" t="str">
        <f>'役職希望調査 ・備考'!I73&amp;""</f>
        <v/>
      </c>
    </row>
    <row r="104" spans="1:91">
      <c r="A104" s="10" t="str">
        <f>時間希望調査!A74&amp;""</f>
        <v/>
      </c>
      <c r="B104" s="10" t="str">
        <f>時間希望調査!B74&amp;""</f>
        <v/>
      </c>
      <c r="C104" s="10" t="str">
        <f>時間希望調査!C74&amp;""</f>
        <v/>
      </c>
      <c r="D104" s="11"/>
      <c r="E104" s="11"/>
      <c r="F104" s="11"/>
      <c r="G104" s="11"/>
      <c r="H104" s="11"/>
      <c r="I104" s="11"/>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c r="AP104" s="11"/>
      <c r="AQ104" s="11"/>
      <c r="AR104" s="11"/>
      <c r="AS104" s="11"/>
      <c r="AT104" s="11"/>
      <c r="AU104" s="11"/>
      <c r="AV104" s="11"/>
      <c r="AW104" s="11"/>
      <c r="AX104" s="11"/>
      <c r="AY104" s="11"/>
      <c r="AZ104" s="11"/>
      <c r="BA104" s="11"/>
      <c r="BB104" s="10">
        <f t="shared" si="107"/>
        <v>0</v>
      </c>
      <c r="BC104" s="10">
        <f>時間希望調査!D74</f>
        <v>0</v>
      </c>
      <c r="BD104" s="10" t="str">
        <f>'役職希望調査 ・備考'!D74&amp;""</f>
        <v/>
      </c>
      <c r="BE104" s="10" t="str">
        <f>'役職希望調査 ・備考'!E74&amp;""</f>
        <v/>
      </c>
      <c r="BF104" s="10" t="str">
        <f>'役職希望調査 ・備考'!F74&amp;""</f>
        <v/>
      </c>
      <c r="BG104" s="10" t="str">
        <f>'役職希望調査 ・備考'!G74&amp;""</f>
        <v/>
      </c>
      <c r="BH104" s="10" t="str">
        <f>'役職希望調査 ・備考'!H74&amp;""</f>
        <v/>
      </c>
      <c r="BI104" s="10">
        <f t="shared" si="77"/>
        <v>0</v>
      </c>
      <c r="BJ104" s="10">
        <f t="shared" si="78"/>
        <v>0</v>
      </c>
      <c r="BK104" s="10">
        <f t="shared" si="79"/>
        <v>0</v>
      </c>
      <c r="BL104" s="10">
        <f t="shared" si="80"/>
        <v>0</v>
      </c>
      <c r="BM104" s="10">
        <f t="shared" si="81"/>
        <v>0</v>
      </c>
      <c r="BN104" s="10">
        <f t="shared" si="82"/>
        <v>0</v>
      </c>
      <c r="BO104" s="10">
        <f t="shared" si="83"/>
        <v>48</v>
      </c>
      <c r="BP104" s="10">
        <f t="shared" si="84"/>
        <v>48</v>
      </c>
      <c r="BQ104" s="10">
        <f t="shared" si="85"/>
        <v>47</v>
      </c>
      <c r="BR104" s="10">
        <f t="shared" si="86"/>
        <v>46</v>
      </c>
      <c r="BS104" s="10">
        <f t="shared" si="87"/>
        <v>45</v>
      </c>
      <c r="BT104" s="10">
        <f t="shared" si="88"/>
        <v>44</v>
      </c>
      <c r="BU104" s="10">
        <f t="shared" si="89"/>
        <v>43</v>
      </c>
      <c r="BV104" s="10">
        <f t="shared" si="90"/>
        <v>42</v>
      </c>
      <c r="BW104" s="10">
        <f t="shared" si="91"/>
        <v>41</v>
      </c>
      <c r="BX104" s="10">
        <f t="shared" si="92"/>
        <v>40</v>
      </c>
      <c r="BY104" s="10">
        <f t="shared" si="93"/>
        <v>39</v>
      </c>
      <c r="BZ104" s="10">
        <f t="shared" si="94"/>
        <v>38</v>
      </c>
      <c r="CA104" s="10">
        <f t="shared" si="95"/>
        <v>37</v>
      </c>
      <c r="CB104" s="10">
        <f t="shared" si="96"/>
        <v>36</v>
      </c>
      <c r="CC104" s="10">
        <f t="shared" si="97"/>
        <v>35</v>
      </c>
      <c r="CD104" s="10">
        <f t="shared" si="98"/>
        <v>34</v>
      </c>
      <c r="CE104" s="10">
        <f t="shared" si="99"/>
        <v>33</v>
      </c>
      <c r="CF104" s="10">
        <f t="shared" si="100"/>
        <v>32</v>
      </c>
      <c r="CG104" s="10">
        <f t="shared" si="101"/>
        <v>31</v>
      </c>
      <c r="CH104" s="10">
        <f t="shared" si="102"/>
        <v>30</v>
      </c>
      <c r="CI104" s="10">
        <f t="shared" si="103"/>
        <v>29</v>
      </c>
      <c r="CJ104" s="10">
        <f t="shared" si="104"/>
        <v>28</v>
      </c>
      <c r="CK104" s="10">
        <f t="shared" si="105"/>
        <v>27</v>
      </c>
      <c r="CL104" s="10">
        <f t="shared" si="106"/>
        <v>26</v>
      </c>
      <c r="CM104" s="10" t="str">
        <f>'役職希望調査 ・備考'!I74&amp;""</f>
        <v/>
      </c>
    </row>
    <row r="105" spans="1:91">
      <c r="A105" s="10" t="str">
        <f>時間希望調査!A75&amp;""</f>
        <v/>
      </c>
      <c r="B105" s="10" t="str">
        <f>時間希望調査!B75&amp;""</f>
        <v/>
      </c>
      <c r="C105" s="10" t="str">
        <f>時間希望調査!C75&amp;""</f>
        <v/>
      </c>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11"/>
      <c r="BA105" s="11"/>
      <c r="BB105" s="10">
        <f t="shared" si="107"/>
        <v>0</v>
      </c>
      <c r="BC105" s="10">
        <f>時間希望調査!D75</f>
        <v>0</v>
      </c>
      <c r="BD105" s="10" t="str">
        <f>'役職希望調査 ・備考'!D75&amp;""</f>
        <v/>
      </c>
      <c r="BE105" s="10" t="str">
        <f>'役職希望調査 ・備考'!E75&amp;""</f>
        <v/>
      </c>
      <c r="BF105" s="10" t="str">
        <f>'役職希望調査 ・備考'!F75&amp;""</f>
        <v/>
      </c>
      <c r="BG105" s="10" t="str">
        <f>'役職希望調査 ・備考'!G75&amp;""</f>
        <v/>
      </c>
      <c r="BH105" s="10" t="str">
        <f>'役職希望調査 ・備考'!H75&amp;""</f>
        <v/>
      </c>
      <c r="BI105" s="10">
        <f t="shared" si="77"/>
        <v>0</v>
      </c>
      <c r="BJ105" s="10">
        <f t="shared" si="78"/>
        <v>0</v>
      </c>
      <c r="BK105" s="10">
        <f t="shared" si="79"/>
        <v>0</v>
      </c>
      <c r="BL105" s="10">
        <f t="shared" si="80"/>
        <v>0</v>
      </c>
      <c r="BM105" s="10">
        <f t="shared" si="81"/>
        <v>0</v>
      </c>
      <c r="BN105" s="10">
        <f t="shared" si="82"/>
        <v>0</v>
      </c>
      <c r="BO105" s="10">
        <f t="shared" si="83"/>
        <v>48</v>
      </c>
      <c r="BP105" s="10">
        <f t="shared" si="84"/>
        <v>48</v>
      </c>
      <c r="BQ105" s="10">
        <f t="shared" si="85"/>
        <v>47</v>
      </c>
      <c r="BR105" s="10">
        <f t="shared" si="86"/>
        <v>46</v>
      </c>
      <c r="BS105" s="10">
        <f t="shared" si="87"/>
        <v>45</v>
      </c>
      <c r="BT105" s="10">
        <f t="shared" si="88"/>
        <v>44</v>
      </c>
      <c r="BU105" s="10">
        <f t="shared" si="89"/>
        <v>43</v>
      </c>
      <c r="BV105" s="10">
        <f t="shared" si="90"/>
        <v>42</v>
      </c>
      <c r="BW105" s="10">
        <f t="shared" si="91"/>
        <v>41</v>
      </c>
      <c r="BX105" s="10">
        <f t="shared" si="92"/>
        <v>40</v>
      </c>
      <c r="BY105" s="10">
        <f t="shared" si="93"/>
        <v>39</v>
      </c>
      <c r="BZ105" s="10">
        <f t="shared" si="94"/>
        <v>38</v>
      </c>
      <c r="CA105" s="10">
        <f t="shared" si="95"/>
        <v>37</v>
      </c>
      <c r="CB105" s="10">
        <f t="shared" si="96"/>
        <v>36</v>
      </c>
      <c r="CC105" s="10">
        <f t="shared" si="97"/>
        <v>35</v>
      </c>
      <c r="CD105" s="10">
        <f t="shared" si="98"/>
        <v>34</v>
      </c>
      <c r="CE105" s="10">
        <f t="shared" si="99"/>
        <v>33</v>
      </c>
      <c r="CF105" s="10">
        <f t="shared" si="100"/>
        <v>32</v>
      </c>
      <c r="CG105" s="10">
        <f t="shared" si="101"/>
        <v>31</v>
      </c>
      <c r="CH105" s="10">
        <f t="shared" si="102"/>
        <v>30</v>
      </c>
      <c r="CI105" s="10">
        <f t="shared" si="103"/>
        <v>29</v>
      </c>
      <c r="CJ105" s="10">
        <f t="shared" si="104"/>
        <v>28</v>
      </c>
      <c r="CK105" s="10">
        <f t="shared" si="105"/>
        <v>27</v>
      </c>
      <c r="CL105" s="10">
        <f t="shared" si="106"/>
        <v>26</v>
      </c>
      <c r="CM105" s="10" t="str">
        <f>'役職希望調査 ・備考'!I75&amp;""</f>
        <v/>
      </c>
    </row>
    <row r="106" spans="1:91">
      <c r="A106" s="10" t="str">
        <f>時間希望調査!A76&amp;""</f>
        <v/>
      </c>
      <c r="B106" s="10" t="str">
        <f>時間希望調査!B76&amp;""</f>
        <v/>
      </c>
      <c r="C106" s="10" t="str">
        <f>時間希望調査!C76&amp;""</f>
        <v/>
      </c>
      <c r="D106" s="11"/>
      <c r="E106" s="11"/>
      <c r="F106" s="11"/>
      <c r="G106" s="11"/>
      <c r="H106" s="11"/>
      <c r="I106" s="11"/>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c r="AP106" s="11"/>
      <c r="AQ106" s="11"/>
      <c r="AR106" s="11"/>
      <c r="AS106" s="11"/>
      <c r="AT106" s="11"/>
      <c r="AU106" s="11"/>
      <c r="AV106" s="11"/>
      <c r="AW106" s="11"/>
      <c r="AX106" s="11"/>
      <c r="AY106" s="11"/>
      <c r="AZ106" s="11"/>
      <c r="BA106" s="11"/>
      <c r="BB106" s="10">
        <f t="shared" si="107"/>
        <v>0</v>
      </c>
      <c r="BC106" s="10">
        <f>時間希望調査!D76</f>
        <v>0</v>
      </c>
      <c r="BD106" s="10" t="str">
        <f>'役職希望調査 ・備考'!D76&amp;""</f>
        <v/>
      </c>
      <c r="BE106" s="10" t="str">
        <f>'役職希望調査 ・備考'!E76&amp;""</f>
        <v/>
      </c>
      <c r="BF106" s="10" t="str">
        <f>'役職希望調査 ・備考'!F76&amp;""</f>
        <v/>
      </c>
      <c r="BG106" s="10" t="str">
        <f>'役職希望調査 ・備考'!G76&amp;""</f>
        <v/>
      </c>
      <c r="BH106" s="10" t="str">
        <f>'役職希望調査 ・備考'!H76&amp;""</f>
        <v/>
      </c>
      <c r="BI106" s="10">
        <f t="shared" si="77"/>
        <v>0</v>
      </c>
      <c r="BJ106" s="10">
        <f t="shared" si="78"/>
        <v>0</v>
      </c>
      <c r="BK106" s="10">
        <f t="shared" si="79"/>
        <v>0</v>
      </c>
      <c r="BL106" s="10">
        <f t="shared" si="80"/>
        <v>0</v>
      </c>
      <c r="BM106" s="10">
        <f t="shared" si="81"/>
        <v>0</v>
      </c>
      <c r="BN106" s="10">
        <f t="shared" si="82"/>
        <v>0</v>
      </c>
      <c r="BO106" s="10">
        <f t="shared" si="83"/>
        <v>48</v>
      </c>
      <c r="BP106" s="10">
        <f t="shared" si="84"/>
        <v>48</v>
      </c>
      <c r="BQ106" s="10">
        <f t="shared" si="85"/>
        <v>47</v>
      </c>
      <c r="BR106" s="10">
        <f t="shared" si="86"/>
        <v>46</v>
      </c>
      <c r="BS106" s="10">
        <f t="shared" si="87"/>
        <v>45</v>
      </c>
      <c r="BT106" s="10">
        <f t="shared" si="88"/>
        <v>44</v>
      </c>
      <c r="BU106" s="10">
        <f t="shared" si="89"/>
        <v>43</v>
      </c>
      <c r="BV106" s="10">
        <f t="shared" si="90"/>
        <v>42</v>
      </c>
      <c r="BW106" s="10">
        <f t="shared" si="91"/>
        <v>41</v>
      </c>
      <c r="BX106" s="10">
        <f t="shared" si="92"/>
        <v>40</v>
      </c>
      <c r="BY106" s="10">
        <f t="shared" si="93"/>
        <v>39</v>
      </c>
      <c r="BZ106" s="10">
        <f t="shared" si="94"/>
        <v>38</v>
      </c>
      <c r="CA106" s="10">
        <f t="shared" si="95"/>
        <v>37</v>
      </c>
      <c r="CB106" s="10">
        <f t="shared" si="96"/>
        <v>36</v>
      </c>
      <c r="CC106" s="10">
        <f t="shared" si="97"/>
        <v>35</v>
      </c>
      <c r="CD106" s="10">
        <f t="shared" si="98"/>
        <v>34</v>
      </c>
      <c r="CE106" s="10">
        <f t="shared" si="99"/>
        <v>33</v>
      </c>
      <c r="CF106" s="10">
        <f t="shared" si="100"/>
        <v>32</v>
      </c>
      <c r="CG106" s="10">
        <f t="shared" si="101"/>
        <v>31</v>
      </c>
      <c r="CH106" s="10">
        <f t="shared" si="102"/>
        <v>30</v>
      </c>
      <c r="CI106" s="10">
        <f t="shared" si="103"/>
        <v>29</v>
      </c>
      <c r="CJ106" s="10">
        <f t="shared" si="104"/>
        <v>28</v>
      </c>
      <c r="CK106" s="10">
        <f t="shared" si="105"/>
        <v>27</v>
      </c>
      <c r="CL106" s="10">
        <f t="shared" si="106"/>
        <v>26</v>
      </c>
      <c r="CM106" s="10" t="str">
        <f>'役職希望調査 ・備考'!I76&amp;""</f>
        <v/>
      </c>
    </row>
    <row r="107" spans="1:91">
      <c r="A107" s="10" t="str">
        <f>時間希望調査!A77&amp;""</f>
        <v/>
      </c>
      <c r="B107" s="10" t="str">
        <f>時間希望調査!B77&amp;""</f>
        <v/>
      </c>
      <c r="C107" s="10" t="str">
        <f>時間希望調査!C77&amp;""</f>
        <v/>
      </c>
      <c r="D107" s="11"/>
      <c r="E107" s="11"/>
      <c r="F107" s="11"/>
      <c r="G107" s="11"/>
      <c r="H107" s="11"/>
      <c r="I107" s="11"/>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c r="AP107" s="11"/>
      <c r="AQ107" s="11"/>
      <c r="AR107" s="11"/>
      <c r="AS107" s="11"/>
      <c r="AT107" s="11"/>
      <c r="AU107" s="11"/>
      <c r="AV107" s="11"/>
      <c r="AW107" s="11"/>
      <c r="AX107" s="11"/>
      <c r="AY107" s="11"/>
      <c r="AZ107" s="11"/>
      <c r="BA107" s="11"/>
      <c r="BB107" s="10">
        <f t="shared" si="107"/>
        <v>0</v>
      </c>
      <c r="BC107" s="10">
        <f>時間希望調査!D77</f>
        <v>0</v>
      </c>
      <c r="BD107" s="10" t="str">
        <f>'役職希望調査 ・備考'!D77&amp;""</f>
        <v/>
      </c>
      <c r="BE107" s="10" t="str">
        <f>'役職希望調査 ・備考'!E77&amp;""</f>
        <v/>
      </c>
      <c r="BF107" s="10" t="str">
        <f>'役職希望調査 ・備考'!F77&amp;""</f>
        <v/>
      </c>
      <c r="BG107" s="10" t="str">
        <f>'役職希望調査 ・備考'!G77&amp;""</f>
        <v/>
      </c>
      <c r="BH107" s="10" t="str">
        <f>'役職希望調査 ・備考'!H77&amp;""</f>
        <v/>
      </c>
      <c r="BI107" s="10">
        <f t="shared" si="77"/>
        <v>0</v>
      </c>
      <c r="BJ107" s="10">
        <f t="shared" si="78"/>
        <v>0</v>
      </c>
      <c r="BK107" s="10">
        <f t="shared" si="79"/>
        <v>0</v>
      </c>
      <c r="BL107" s="10">
        <f t="shared" si="80"/>
        <v>0</v>
      </c>
      <c r="BM107" s="10">
        <f t="shared" si="81"/>
        <v>0</v>
      </c>
      <c r="BN107" s="10">
        <f t="shared" si="82"/>
        <v>0</v>
      </c>
      <c r="BO107" s="10">
        <f t="shared" si="83"/>
        <v>48</v>
      </c>
      <c r="BP107" s="10">
        <f t="shared" si="84"/>
        <v>48</v>
      </c>
      <c r="BQ107" s="10">
        <f t="shared" si="85"/>
        <v>47</v>
      </c>
      <c r="BR107" s="10">
        <f t="shared" si="86"/>
        <v>46</v>
      </c>
      <c r="BS107" s="10">
        <f t="shared" si="87"/>
        <v>45</v>
      </c>
      <c r="BT107" s="10">
        <f t="shared" si="88"/>
        <v>44</v>
      </c>
      <c r="BU107" s="10">
        <f t="shared" si="89"/>
        <v>43</v>
      </c>
      <c r="BV107" s="10">
        <f t="shared" si="90"/>
        <v>42</v>
      </c>
      <c r="BW107" s="10">
        <f t="shared" si="91"/>
        <v>41</v>
      </c>
      <c r="BX107" s="10">
        <f t="shared" si="92"/>
        <v>40</v>
      </c>
      <c r="BY107" s="10">
        <f t="shared" si="93"/>
        <v>39</v>
      </c>
      <c r="BZ107" s="10">
        <f t="shared" si="94"/>
        <v>38</v>
      </c>
      <c r="CA107" s="10">
        <f t="shared" si="95"/>
        <v>37</v>
      </c>
      <c r="CB107" s="10">
        <f t="shared" si="96"/>
        <v>36</v>
      </c>
      <c r="CC107" s="10">
        <f t="shared" si="97"/>
        <v>35</v>
      </c>
      <c r="CD107" s="10">
        <f t="shared" si="98"/>
        <v>34</v>
      </c>
      <c r="CE107" s="10">
        <f t="shared" si="99"/>
        <v>33</v>
      </c>
      <c r="CF107" s="10">
        <f t="shared" si="100"/>
        <v>32</v>
      </c>
      <c r="CG107" s="10">
        <f t="shared" si="101"/>
        <v>31</v>
      </c>
      <c r="CH107" s="10">
        <f t="shared" si="102"/>
        <v>30</v>
      </c>
      <c r="CI107" s="10">
        <f t="shared" si="103"/>
        <v>29</v>
      </c>
      <c r="CJ107" s="10">
        <f t="shared" si="104"/>
        <v>28</v>
      </c>
      <c r="CK107" s="10">
        <f t="shared" si="105"/>
        <v>27</v>
      </c>
      <c r="CL107" s="10">
        <f t="shared" si="106"/>
        <v>26</v>
      </c>
      <c r="CM107" s="10" t="str">
        <f>'役職希望調査 ・備考'!I77&amp;""</f>
        <v/>
      </c>
    </row>
    <row r="108" spans="1:91">
      <c r="A108" s="10" t="str">
        <f>時間希望調査!A78&amp;""</f>
        <v/>
      </c>
      <c r="B108" s="10" t="str">
        <f>時間希望調査!B78&amp;""</f>
        <v/>
      </c>
      <c r="C108" s="10" t="str">
        <f>時間希望調査!C78&amp;""</f>
        <v/>
      </c>
      <c r="D108" s="11"/>
      <c r="E108" s="11"/>
      <c r="F108" s="11"/>
      <c r="G108" s="11"/>
      <c r="H108" s="11"/>
      <c r="I108" s="11"/>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c r="AP108" s="11"/>
      <c r="AQ108" s="11"/>
      <c r="AR108" s="11"/>
      <c r="AS108" s="11"/>
      <c r="AT108" s="11"/>
      <c r="AU108" s="11"/>
      <c r="AV108" s="11"/>
      <c r="AW108" s="11"/>
      <c r="AX108" s="11"/>
      <c r="AY108" s="11"/>
      <c r="AZ108" s="11"/>
      <c r="BA108" s="11"/>
      <c r="BB108" s="10">
        <f t="shared" si="107"/>
        <v>0</v>
      </c>
      <c r="BC108" s="10">
        <f>時間希望調査!D78</f>
        <v>0</v>
      </c>
      <c r="BD108" s="10" t="str">
        <f>'役職希望調査 ・備考'!D78&amp;""</f>
        <v/>
      </c>
      <c r="BE108" s="10" t="str">
        <f>'役職希望調査 ・備考'!E78&amp;""</f>
        <v/>
      </c>
      <c r="BF108" s="10" t="str">
        <f>'役職希望調査 ・備考'!F78&amp;""</f>
        <v/>
      </c>
      <c r="BG108" s="10" t="str">
        <f>'役職希望調査 ・備考'!G78&amp;""</f>
        <v/>
      </c>
      <c r="BH108" s="10" t="str">
        <f>'役職希望調査 ・備考'!H78&amp;""</f>
        <v/>
      </c>
      <c r="BI108" s="10">
        <f t="shared" si="77"/>
        <v>0</v>
      </c>
      <c r="BJ108" s="10">
        <f t="shared" si="78"/>
        <v>0</v>
      </c>
      <c r="BK108" s="10">
        <f t="shared" si="79"/>
        <v>0</v>
      </c>
      <c r="BL108" s="10">
        <f t="shared" si="80"/>
        <v>0</v>
      </c>
      <c r="BM108" s="10">
        <f t="shared" si="81"/>
        <v>0</v>
      </c>
      <c r="BN108" s="10">
        <f t="shared" si="82"/>
        <v>0</v>
      </c>
      <c r="BO108" s="10">
        <f t="shared" si="83"/>
        <v>48</v>
      </c>
      <c r="BP108" s="10">
        <f t="shared" si="84"/>
        <v>48</v>
      </c>
      <c r="BQ108" s="10">
        <f t="shared" si="85"/>
        <v>47</v>
      </c>
      <c r="BR108" s="10">
        <f t="shared" si="86"/>
        <v>46</v>
      </c>
      <c r="BS108" s="10">
        <f t="shared" si="87"/>
        <v>45</v>
      </c>
      <c r="BT108" s="10">
        <f t="shared" si="88"/>
        <v>44</v>
      </c>
      <c r="BU108" s="10">
        <f t="shared" si="89"/>
        <v>43</v>
      </c>
      <c r="BV108" s="10">
        <f t="shared" si="90"/>
        <v>42</v>
      </c>
      <c r="BW108" s="10">
        <f t="shared" si="91"/>
        <v>41</v>
      </c>
      <c r="BX108" s="10">
        <f t="shared" si="92"/>
        <v>40</v>
      </c>
      <c r="BY108" s="10">
        <f t="shared" si="93"/>
        <v>39</v>
      </c>
      <c r="BZ108" s="10">
        <f t="shared" si="94"/>
        <v>38</v>
      </c>
      <c r="CA108" s="10">
        <f t="shared" si="95"/>
        <v>37</v>
      </c>
      <c r="CB108" s="10">
        <f t="shared" si="96"/>
        <v>36</v>
      </c>
      <c r="CC108" s="10">
        <f t="shared" si="97"/>
        <v>35</v>
      </c>
      <c r="CD108" s="10">
        <f t="shared" si="98"/>
        <v>34</v>
      </c>
      <c r="CE108" s="10">
        <f t="shared" si="99"/>
        <v>33</v>
      </c>
      <c r="CF108" s="10">
        <f t="shared" si="100"/>
        <v>32</v>
      </c>
      <c r="CG108" s="10">
        <f t="shared" si="101"/>
        <v>31</v>
      </c>
      <c r="CH108" s="10">
        <f t="shared" si="102"/>
        <v>30</v>
      </c>
      <c r="CI108" s="10">
        <f t="shared" si="103"/>
        <v>29</v>
      </c>
      <c r="CJ108" s="10">
        <f t="shared" si="104"/>
        <v>28</v>
      </c>
      <c r="CK108" s="10">
        <f t="shared" si="105"/>
        <v>27</v>
      </c>
      <c r="CL108" s="10">
        <f t="shared" si="106"/>
        <v>26</v>
      </c>
      <c r="CM108" s="10" t="str">
        <f>'役職希望調査 ・備考'!I78&amp;""</f>
        <v/>
      </c>
    </row>
    <row r="109" spans="1:91">
      <c r="A109" s="10" t="str">
        <f>時間希望調査!A79&amp;""</f>
        <v/>
      </c>
      <c r="B109" s="10" t="str">
        <f>時間希望調査!B79&amp;""</f>
        <v/>
      </c>
      <c r="C109" s="10" t="str">
        <f>時間希望調査!C79&amp;""</f>
        <v/>
      </c>
      <c r="D109" s="11"/>
      <c r="E109" s="11"/>
      <c r="F109" s="11"/>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c r="AP109" s="11"/>
      <c r="AQ109" s="11"/>
      <c r="AR109" s="11"/>
      <c r="AS109" s="11"/>
      <c r="AT109" s="11"/>
      <c r="AU109" s="11"/>
      <c r="AV109" s="11"/>
      <c r="AW109" s="11"/>
      <c r="AX109" s="11"/>
      <c r="AY109" s="11"/>
      <c r="AZ109" s="11"/>
      <c r="BA109" s="11"/>
      <c r="BB109" s="10">
        <f t="shared" si="107"/>
        <v>0</v>
      </c>
      <c r="BC109" s="10">
        <f>時間希望調査!D79</f>
        <v>0</v>
      </c>
      <c r="BD109" s="10" t="str">
        <f>'役職希望調査 ・備考'!D79&amp;""</f>
        <v/>
      </c>
      <c r="BE109" s="10" t="str">
        <f>'役職希望調査 ・備考'!E79&amp;""</f>
        <v/>
      </c>
      <c r="BF109" s="10" t="str">
        <f>'役職希望調査 ・備考'!F79&amp;""</f>
        <v/>
      </c>
      <c r="BG109" s="10" t="str">
        <f>'役職希望調査 ・備考'!G79&amp;""</f>
        <v/>
      </c>
      <c r="BH109" s="10" t="str">
        <f>'役職希望調査 ・備考'!H79&amp;""</f>
        <v/>
      </c>
      <c r="BI109" s="10">
        <f t="shared" si="77"/>
        <v>0</v>
      </c>
      <c r="BJ109" s="10">
        <f t="shared" si="78"/>
        <v>0</v>
      </c>
      <c r="BK109" s="10">
        <f t="shared" si="79"/>
        <v>0</v>
      </c>
      <c r="BL109" s="10">
        <f t="shared" si="80"/>
        <v>0</v>
      </c>
      <c r="BM109" s="10">
        <f t="shared" si="81"/>
        <v>0</v>
      </c>
      <c r="BN109" s="10">
        <f t="shared" si="82"/>
        <v>0</v>
      </c>
      <c r="BO109" s="10">
        <f t="shared" si="83"/>
        <v>48</v>
      </c>
      <c r="BP109" s="10">
        <f t="shared" si="84"/>
        <v>48</v>
      </c>
      <c r="BQ109" s="10">
        <f t="shared" si="85"/>
        <v>47</v>
      </c>
      <c r="BR109" s="10">
        <f t="shared" si="86"/>
        <v>46</v>
      </c>
      <c r="BS109" s="10">
        <f t="shared" si="87"/>
        <v>45</v>
      </c>
      <c r="BT109" s="10">
        <f t="shared" si="88"/>
        <v>44</v>
      </c>
      <c r="BU109" s="10">
        <f t="shared" si="89"/>
        <v>43</v>
      </c>
      <c r="BV109" s="10">
        <f t="shared" si="90"/>
        <v>42</v>
      </c>
      <c r="BW109" s="10">
        <f t="shared" si="91"/>
        <v>41</v>
      </c>
      <c r="BX109" s="10">
        <f t="shared" si="92"/>
        <v>40</v>
      </c>
      <c r="BY109" s="10">
        <f t="shared" si="93"/>
        <v>39</v>
      </c>
      <c r="BZ109" s="10">
        <f t="shared" si="94"/>
        <v>38</v>
      </c>
      <c r="CA109" s="10">
        <f t="shared" si="95"/>
        <v>37</v>
      </c>
      <c r="CB109" s="10">
        <f t="shared" si="96"/>
        <v>36</v>
      </c>
      <c r="CC109" s="10">
        <f t="shared" si="97"/>
        <v>35</v>
      </c>
      <c r="CD109" s="10">
        <f t="shared" si="98"/>
        <v>34</v>
      </c>
      <c r="CE109" s="10">
        <f t="shared" si="99"/>
        <v>33</v>
      </c>
      <c r="CF109" s="10">
        <f t="shared" si="100"/>
        <v>32</v>
      </c>
      <c r="CG109" s="10">
        <f t="shared" si="101"/>
        <v>31</v>
      </c>
      <c r="CH109" s="10">
        <f t="shared" si="102"/>
        <v>30</v>
      </c>
      <c r="CI109" s="10">
        <f t="shared" si="103"/>
        <v>29</v>
      </c>
      <c r="CJ109" s="10">
        <f t="shared" si="104"/>
        <v>28</v>
      </c>
      <c r="CK109" s="10">
        <f t="shared" si="105"/>
        <v>27</v>
      </c>
      <c r="CL109" s="10">
        <f t="shared" si="106"/>
        <v>26</v>
      </c>
      <c r="CM109" s="10" t="str">
        <f>'役職希望調査 ・備考'!I79&amp;""</f>
        <v/>
      </c>
    </row>
    <row r="110" spans="1:91">
      <c r="A110" s="10" t="str">
        <f>時間希望調査!A80&amp;""</f>
        <v/>
      </c>
      <c r="B110" s="10" t="str">
        <f>時間希望調査!B80&amp;""</f>
        <v/>
      </c>
      <c r="C110" s="10" t="str">
        <f>時間希望調査!C80&amp;""</f>
        <v/>
      </c>
      <c r="D110" s="11"/>
      <c r="E110" s="11"/>
      <c r="F110" s="11"/>
      <c r="G110" s="11"/>
      <c r="H110" s="11"/>
      <c r="I110" s="11"/>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c r="AP110" s="11"/>
      <c r="AQ110" s="11"/>
      <c r="AR110" s="11"/>
      <c r="AS110" s="11"/>
      <c r="AT110" s="11"/>
      <c r="AU110" s="11"/>
      <c r="AV110" s="11"/>
      <c r="AW110" s="11"/>
      <c r="AX110" s="11"/>
      <c r="AY110" s="11"/>
      <c r="AZ110" s="11"/>
      <c r="BA110" s="11"/>
      <c r="BB110" s="10">
        <f t="shared" si="107"/>
        <v>0</v>
      </c>
      <c r="BC110" s="10">
        <f>時間希望調査!D80</f>
        <v>0</v>
      </c>
      <c r="BD110" s="10" t="str">
        <f>'役職希望調査 ・備考'!D80&amp;""</f>
        <v/>
      </c>
      <c r="BE110" s="10" t="str">
        <f>'役職希望調査 ・備考'!E80&amp;""</f>
        <v/>
      </c>
      <c r="BF110" s="10" t="str">
        <f>'役職希望調査 ・備考'!F80&amp;""</f>
        <v/>
      </c>
      <c r="BG110" s="10" t="str">
        <f>'役職希望調査 ・備考'!G80&amp;""</f>
        <v/>
      </c>
      <c r="BH110" s="10" t="str">
        <f>'役職希望調査 ・備考'!H80&amp;""</f>
        <v/>
      </c>
      <c r="BI110" s="10">
        <f t="shared" si="77"/>
        <v>0</v>
      </c>
      <c r="BJ110" s="10">
        <f t="shared" si="78"/>
        <v>0</v>
      </c>
      <c r="BK110" s="10">
        <f t="shared" si="79"/>
        <v>0</v>
      </c>
      <c r="BL110" s="10">
        <f t="shared" si="80"/>
        <v>0</v>
      </c>
      <c r="BM110" s="10">
        <f t="shared" si="81"/>
        <v>0</v>
      </c>
      <c r="BN110" s="10">
        <f t="shared" si="82"/>
        <v>0</v>
      </c>
      <c r="BO110" s="10">
        <f t="shared" si="83"/>
        <v>48</v>
      </c>
      <c r="BP110" s="10">
        <f t="shared" si="84"/>
        <v>48</v>
      </c>
      <c r="BQ110" s="10">
        <f t="shared" si="85"/>
        <v>47</v>
      </c>
      <c r="BR110" s="10">
        <f t="shared" si="86"/>
        <v>46</v>
      </c>
      <c r="BS110" s="10">
        <f t="shared" si="87"/>
        <v>45</v>
      </c>
      <c r="BT110" s="10">
        <f t="shared" si="88"/>
        <v>44</v>
      </c>
      <c r="BU110" s="10">
        <f t="shared" si="89"/>
        <v>43</v>
      </c>
      <c r="BV110" s="10">
        <f t="shared" si="90"/>
        <v>42</v>
      </c>
      <c r="BW110" s="10">
        <f t="shared" si="91"/>
        <v>41</v>
      </c>
      <c r="BX110" s="10">
        <f t="shared" si="92"/>
        <v>40</v>
      </c>
      <c r="BY110" s="10">
        <f t="shared" si="93"/>
        <v>39</v>
      </c>
      <c r="BZ110" s="10">
        <f t="shared" si="94"/>
        <v>38</v>
      </c>
      <c r="CA110" s="10">
        <f t="shared" si="95"/>
        <v>37</v>
      </c>
      <c r="CB110" s="10">
        <f t="shared" si="96"/>
        <v>36</v>
      </c>
      <c r="CC110" s="10">
        <f t="shared" si="97"/>
        <v>35</v>
      </c>
      <c r="CD110" s="10">
        <f t="shared" si="98"/>
        <v>34</v>
      </c>
      <c r="CE110" s="10">
        <f t="shared" si="99"/>
        <v>33</v>
      </c>
      <c r="CF110" s="10">
        <f t="shared" si="100"/>
        <v>32</v>
      </c>
      <c r="CG110" s="10">
        <f t="shared" si="101"/>
        <v>31</v>
      </c>
      <c r="CH110" s="10">
        <f t="shared" si="102"/>
        <v>30</v>
      </c>
      <c r="CI110" s="10">
        <f t="shared" si="103"/>
        <v>29</v>
      </c>
      <c r="CJ110" s="10">
        <f t="shared" si="104"/>
        <v>28</v>
      </c>
      <c r="CK110" s="10">
        <f t="shared" si="105"/>
        <v>27</v>
      </c>
      <c r="CL110" s="10">
        <f t="shared" si="106"/>
        <v>26</v>
      </c>
      <c r="CM110" s="10" t="str">
        <f>'役職希望調査 ・備考'!I80&amp;""</f>
        <v/>
      </c>
    </row>
    <row r="111" spans="1:91">
      <c r="A111" s="10" t="str">
        <f>時間希望調査!A81&amp;""</f>
        <v/>
      </c>
      <c r="B111" s="10" t="str">
        <f>時間希望調査!B81&amp;""</f>
        <v/>
      </c>
      <c r="C111" s="10" t="str">
        <f>時間希望調査!C81&amp;""</f>
        <v/>
      </c>
      <c r="D111" s="11"/>
      <c r="E111" s="11"/>
      <c r="F111" s="11"/>
      <c r="G111" s="11"/>
      <c r="H111" s="11"/>
      <c r="I111" s="11"/>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c r="AP111" s="11"/>
      <c r="AQ111" s="11"/>
      <c r="AR111" s="11"/>
      <c r="AS111" s="11"/>
      <c r="AT111" s="11"/>
      <c r="AU111" s="11"/>
      <c r="AV111" s="11"/>
      <c r="AW111" s="11"/>
      <c r="AX111" s="11"/>
      <c r="AY111" s="11"/>
      <c r="AZ111" s="11"/>
      <c r="BA111" s="11"/>
      <c r="BB111" s="10">
        <f t="shared" si="107"/>
        <v>0</v>
      </c>
      <c r="BC111" s="10">
        <f>時間希望調査!D81</f>
        <v>0</v>
      </c>
      <c r="BD111" s="10" t="str">
        <f>'役職希望調査 ・備考'!D81&amp;""</f>
        <v/>
      </c>
      <c r="BE111" s="10" t="str">
        <f>'役職希望調査 ・備考'!E81&amp;""</f>
        <v/>
      </c>
      <c r="BF111" s="10" t="str">
        <f>'役職希望調査 ・備考'!F81&amp;""</f>
        <v/>
      </c>
      <c r="BG111" s="10" t="str">
        <f>'役職希望調査 ・備考'!G81&amp;""</f>
        <v/>
      </c>
      <c r="BH111" s="10" t="str">
        <f>'役職希望調査 ・備考'!H81&amp;""</f>
        <v/>
      </c>
      <c r="BI111" s="10">
        <f t="shared" si="77"/>
        <v>0</v>
      </c>
      <c r="BJ111" s="10">
        <f t="shared" si="78"/>
        <v>0</v>
      </c>
      <c r="BK111" s="10">
        <f t="shared" si="79"/>
        <v>0</v>
      </c>
      <c r="BL111" s="10">
        <f t="shared" si="80"/>
        <v>0</v>
      </c>
      <c r="BM111" s="10">
        <f t="shared" si="81"/>
        <v>0</v>
      </c>
      <c r="BN111" s="10">
        <f t="shared" si="82"/>
        <v>0</v>
      </c>
      <c r="BO111" s="10">
        <f t="shared" si="83"/>
        <v>48</v>
      </c>
      <c r="BP111" s="10">
        <f t="shared" si="84"/>
        <v>48</v>
      </c>
      <c r="BQ111" s="10">
        <f t="shared" si="85"/>
        <v>47</v>
      </c>
      <c r="BR111" s="10">
        <f t="shared" si="86"/>
        <v>46</v>
      </c>
      <c r="BS111" s="10">
        <f t="shared" si="87"/>
        <v>45</v>
      </c>
      <c r="BT111" s="10">
        <f t="shared" si="88"/>
        <v>44</v>
      </c>
      <c r="BU111" s="10">
        <f t="shared" si="89"/>
        <v>43</v>
      </c>
      <c r="BV111" s="10">
        <f t="shared" si="90"/>
        <v>42</v>
      </c>
      <c r="BW111" s="10">
        <f t="shared" si="91"/>
        <v>41</v>
      </c>
      <c r="BX111" s="10">
        <f t="shared" si="92"/>
        <v>40</v>
      </c>
      <c r="BY111" s="10">
        <f t="shared" si="93"/>
        <v>39</v>
      </c>
      <c r="BZ111" s="10">
        <f t="shared" si="94"/>
        <v>38</v>
      </c>
      <c r="CA111" s="10">
        <f t="shared" si="95"/>
        <v>37</v>
      </c>
      <c r="CB111" s="10">
        <f t="shared" si="96"/>
        <v>36</v>
      </c>
      <c r="CC111" s="10">
        <f t="shared" si="97"/>
        <v>35</v>
      </c>
      <c r="CD111" s="10">
        <f t="shared" si="98"/>
        <v>34</v>
      </c>
      <c r="CE111" s="10">
        <f t="shared" si="99"/>
        <v>33</v>
      </c>
      <c r="CF111" s="10">
        <f t="shared" si="100"/>
        <v>32</v>
      </c>
      <c r="CG111" s="10">
        <f t="shared" si="101"/>
        <v>31</v>
      </c>
      <c r="CH111" s="10">
        <f t="shared" si="102"/>
        <v>30</v>
      </c>
      <c r="CI111" s="10">
        <f t="shared" si="103"/>
        <v>29</v>
      </c>
      <c r="CJ111" s="10">
        <f t="shared" si="104"/>
        <v>28</v>
      </c>
      <c r="CK111" s="10">
        <f t="shared" si="105"/>
        <v>27</v>
      </c>
      <c r="CL111" s="10">
        <f t="shared" si="106"/>
        <v>26</v>
      </c>
      <c r="CM111" s="10" t="str">
        <f>'役職希望調査 ・備考'!I81&amp;""</f>
        <v/>
      </c>
    </row>
    <row r="112" spans="1:91">
      <c r="A112" s="10" t="str">
        <f>時間希望調査!A82&amp;""</f>
        <v/>
      </c>
      <c r="B112" s="10" t="str">
        <f>時間希望調査!B82&amp;""</f>
        <v/>
      </c>
      <c r="C112" s="10" t="str">
        <f>時間希望調査!C82&amp;""</f>
        <v/>
      </c>
      <c r="D112" s="11"/>
      <c r="E112" s="11"/>
      <c r="F112" s="11"/>
      <c r="G112" s="11"/>
      <c r="H112" s="11"/>
      <c r="I112" s="11"/>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c r="AP112" s="11"/>
      <c r="AQ112" s="11"/>
      <c r="AR112" s="11"/>
      <c r="AS112" s="11"/>
      <c r="AT112" s="11"/>
      <c r="AU112" s="11"/>
      <c r="AV112" s="11"/>
      <c r="AW112" s="11"/>
      <c r="AX112" s="11"/>
      <c r="AY112" s="11"/>
      <c r="AZ112" s="11"/>
      <c r="BA112" s="11"/>
      <c r="BB112" s="10">
        <f t="shared" si="107"/>
        <v>0</v>
      </c>
      <c r="BC112" s="10">
        <f>時間希望調査!D82</f>
        <v>0</v>
      </c>
      <c r="BD112" s="10" t="str">
        <f>'役職希望調査 ・備考'!D82&amp;""</f>
        <v/>
      </c>
      <c r="BE112" s="10" t="str">
        <f>'役職希望調査 ・備考'!E82&amp;""</f>
        <v/>
      </c>
      <c r="BF112" s="10" t="str">
        <f>'役職希望調査 ・備考'!F82&amp;""</f>
        <v/>
      </c>
      <c r="BG112" s="10" t="str">
        <f>'役職希望調査 ・備考'!G82&amp;""</f>
        <v/>
      </c>
      <c r="BH112" s="10" t="str">
        <f>'役職希望調査 ・備考'!H82&amp;""</f>
        <v/>
      </c>
      <c r="BI112" s="10">
        <f t="shared" si="77"/>
        <v>0</v>
      </c>
      <c r="BJ112" s="10">
        <f t="shared" si="78"/>
        <v>0</v>
      </c>
      <c r="BK112" s="10">
        <f t="shared" si="79"/>
        <v>0</v>
      </c>
      <c r="BL112" s="10">
        <f t="shared" si="80"/>
        <v>0</v>
      </c>
      <c r="BM112" s="10">
        <f t="shared" si="81"/>
        <v>0</v>
      </c>
      <c r="BN112" s="10">
        <f t="shared" si="82"/>
        <v>0</v>
      </c>
      <c r="BO112" s="10">
        <f t="shared" si="83"/>
        <v>48</v>
      </c>
      <c r="BP112" s="10">
        <f t="shared" si="84"/>
        <v>48</v>
      </c>
      <c r="BQ112" s="10">
        <f t="shared" si="85"/>
        <v>47</v>
      </c>
      <c r="BR112" s="10">
        <f t="shared" si="86"/>
        <v>46</v>
      </c>
      <c r="BS112" s="10">
        <f t="shared" si="87"/>
        <v>45</v>
      </c>
      <c r="BT112" s="10">
        <f t="shared" si="88"/>
        <v>44</v>
      </c>
      <c r="BU112" s="10">
        <f t="shared" si="89"/>
        <v>43</v>
      </c>
      <c r="BV112" s="10">
        <f t="shared" si="90"/>
        <v>42</v>
      </c>
      <c r="BW112" s="10">
        <f t="shared" si="91"/>
        <v>41</v>
      </c>
      <c r="BX112" s="10">
        <f t="shared" si="92"/>
        <v>40</v>
      </c>
      <c r="BY112" s="10">
        <f t="shared" si="93"/>
        <v>39</v>
      </c>
      <c r="BZ112" s="10">
        <f t="shared" si="94"/>
        <v>38</v>
      </c>
      <c r="CA112" s="10">
        <f t="shared" si="95"/>
        <v>37</v>
      </c>
      <c r="CB112" s="10">
        <f t="shared" si="96"/>
        <v>36</v>
      </c>
      <c r="CC112" s="10">
        <f t="shared" si="97"/>
        <v>35</v>
      </c>
      <c r="CD112" s="10">
        <f t="shared" si="98"/>
        <v>34</v>
      </c>
      <c r="CE112" s="10">
        <f t="shared" si="99"/>
        <v>33</v>
      </c>
      <c r="CF112" s="10">
        <f t="shared" si="100"/>
        <v>32</v>
      </c>
      <c r="CG112" s="10">
        <f t="shared" si="101"/>
        <v>31</v>
      </c>
      <c r="CH112" s="10">
        <f t="shared" si="102"/>
        <v>30</v>
      </c>
      <c r="CI112" s="10">
        <f t="shared" si="103"/>
        <v>29</v>
      </c>
      <c r="CJ112" s="10">
        <f t="shared" si="104"/>
        <v>28</v>
      </c>
      <c r="CK112" s="10">
        <f t="shared" si="105"/>
        <v>27</v>
      </c>
      <c r="CL112" s="10">
        <f t="shared" si="106"/>
        <v>26</v>
      </c>
      <c r="CM112" s="10" t="str">
        <f>'役職希望調査 ・備考'!I82&amp;""</f>
        <v/>
      </c>
    </row>
    <row r="113" spans="1:91">
      <c r="A113" s="10" t="str">
        <f>時間希望調査!A83&amp;""</f>
        <v/>
      </c>
      <c r="B113" s="10" t="str">
        <f>時間希望調査!B83&amp;""</f>
        <v/>
      </c>
      <c r="C113" s="10" t="str">
        <f>時間希望調査!C83&amp;""</f>
        <v/>
      </c>
      <c r="D113" s="11"/>
      <c r="E113" s="11"/>
      <c r="F113" s="11"/>
      <c r="G113" s="11"/>
      <c r="H113" s="11"/>
      <c r="I113" s="11"/>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c r="AP113" s="11"/>
      <c r="AQ113" s="11"/>
      <c r="AR113" s="11"/>
      <c r="AS113" s="11"/>
      <c r="AT113" s="11"/>
      <c r="AU113" s="11"/>
      <c r="AV113" s="11"/>
      <c r="AW113" s="11"/>
      <c r="AX113" s="11"/>
      <c r="AY113" s="11"/>
      <c r="AZ113" s="11"/>
      <c r="BA113" s="11"/>
      <c r="BB113" s="10">
        <f t="shared" si="107"/>
        <v>0</v>
      </c>
      <c r="BC113" s="10">
        <f>時間希望調査!D83</f>
        <v>0</v>
      </c>
      <c r="BD113" s="10" t="str">
        <f>'役職希望調査 ・備考'!D83&amp;""</f>
        <v/>
      </c>
      <c r="BE113" s="10" t="str">
        <f>'役職希望調査 ・備考'!E83&amp;""</f>
        <v/>
      </c>
      <c r="BF113" s="10" t="str">
        <f>'役職希望調査 ・備考'!F83&amp;""</f>
        <v/>
      </c>
      <c r="BG113" s="10" t="str">
        <f>'役職希望調査 ・備考'!G83&amp;""</f>
        <v/>
      </c>
      <c r="BH113" s="10" t="str">
        <f>'役職希望調査 ・備考'!H83&amp;""</f>
        <v/>
      </c>
      <c r="BI113" s="10">
        <f t="shared" si="77"/>
        <v>0</v>
      </c>
      <c r="BJ113" s="10">
        <f t="shared" si="78"/>
        <v>0</v>
      </c>
      <c r="BK113" s="10">
        <f t="shared" si="79"/>
        <v>0</v>
      </c>
      <c r="BL113" s="10">
        <f t="shared" si="80"/>
        <v>0</v>
      </c>
      <c r="BM113" s="10">
        <f t="shared" si="81"/>
        <v>0</v>
      </c>
      <c r="BN113" s="10">
        <f t="shared" si="82"/>
        <v>0</v>
      </c>
      <c r="BO113" s="10">
        <f t="shared" si="83"/>
        <v>48</v>
      </c>
      <c r="BP113" s="10">
        <f t="shared" si="84"/>
        <v>48</v>
      </c>
      <c r="BQ113" s="10">
        <f t="shared" si="85"/>
        <v>47</v>
      </c>
      <c r="BR113" s="10">
        <f t="shared" si="86"/>
        <v>46</v>
      </c>
      <c r="BS113" s="10">
        <f t="shared" si="87"/>
        <v>45</v>
      </c>
      <c r="BT113" s="10">
        <f t="shared" si="88"/>
        <v>44</v>
      </c>
      <c r="BU113" s="10">
        <f t="shared" si="89"/>
        <v>43</v>
      </c>
      <c r="BV113" s="10">
        <f t="shared" si="90"/>
        <v>42</v>
      </c>
      <c r="BW113" s="10">
        <f t="shared" si="91"/>
        <v>41</v>
      </c>
      <c r="BX113" s="10">
        <f t="shared" si="92"/>
        <v>40</v>
      </c>
      <c r="BY113" s="10">
        <f t="shared" si="93"/>
        <v>39</v>
      </c>
      <c r="BZ113" s="10">
        <f t="shared" si="94"/>
        <v>38</v>
      </c>
      <c r="CA113" s="10">
        <f t="shared" si="95"/>
        <v>37</v>
      </c>
      <c r="CB113" s="10">
        <f t="shared" si="96"/>
        <v>36</v>
      </c>
      <c r="CC113" s="10">
        <f t="shared" si="97"/>
        <v>35</v>
      </c>
      <c r="CD113" s="10">
        <f t="shared" si="98"/>
        <v>34</v>
      </c>
      <c r="CE113" s="10">
        <f t="shared" si="99"/>
        <v>33</v>
      </c>
      <c r="CF113" s="10">
        <f t="shared" si="100"/>
        <v>32</v>
      </c>
      <c r="CG113" s="10">
        <f t="shared" si="101"/>
        <v>31</v>
      </c>
      <c r="CH113" s="10">
        <f t="shared" si="102"/>
        <v>30</v>
      </c>
      <c r="CI113" s="10">
        <f t="shared" si="103"/>
        <v>29</v>
      </c>
      <c r="CJ113" s="10">
        <f t="shared" si="104"/>
        <v>28</v>
      </c>
      <c r="CK113" s="10">
        <f t="shared" si="105"/>
        <v>27</v>
      </c>
      <c r="CL113" s="10">
        <f t="shared" si="106"/>
        <v>26</v>
      </c>
      <c r="CM113" s="10" t="str">
        <f>'役職希望調査 ・備考'!I83&amp;""</f>
        <v/>
      </c>
    </row>
    <row r="114" spans="1:91">
      <c r="A114" s="10" t="str">
        <f>時間希望調査!A84&amp;""</f>
        <v/>
      </c>
      <c r="B114" s="10" t="str">
        <f>時間希望調査!B84&amp;""</f>
        <v/>
      </c>
      <c r="C114" s="10" t="str">
        <f>時間希望調査!C84&amp;""</f>
        <v/>
      </c>
      <c r="D114" s="11"/>
      <c r="E114" s="11"/>
      <c r="F114" s="11"/>
      <c r="G114" s="11"/>
      <c r="H114" s="11"/>
      <c r="I114" s="11"/>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c r="AP114" s="11"/>
      <c r="AQ114" s="11"/>
      <c r="AR114" s="11"/>
      <c r="AS114" s="11"/>
      <c r="AT114" s="11"/>
      <c r="AU114" s="11"/>
      <c r="AV114" s="11"/>
      <c r="AW114" s="11"/>
      <c r="AX114" s="11"/>
      <c r="AY114" s="11"/>
      <c r="AZ114" s="11"/>
      <c r="BA114" s="11"/>
      <c r="BB114" s="10">
        <f t="shared" si="107"/>
        <v>0</v>
      </c>
      <c r="BC114" s="10">
        <f>時間希望調査!D84</f>
        <v>0</v>
      </c>
      <c r="BD114" s="10" t="str">
        <f>'役職希望調査 ・備考'!D84&amp;""</f>
        <v/>
      </c>
      <c r="BE114" s="10" t="str">
        <f>'役職希望調査 ・備考'!E84&amp;""</f>
        <v/>
      </c>
      <c r="BF114" s="10" t="str">
        <f>'役職希望調査 ・備考'!F84&amp;""</f>
        <v/>
      </c>
      <c r="BG114" s="10" t="str">
        <f>'役職希望調査 ・備考'!G84&amp;""</f>
        <v/>
      </c>
      <c r="BH114" s="10" t="str">
        <f>'役職希望調査 ・備考'!H84&amp;""</f>
        <v/>
      </c>
      <c r="BI114" s="10">
        <f t="shared" si="77"/>
        <v>0</v>
      </c>
      <c r="BJ114" s="10">
        <f t="shared" si="78"/>
        <v>0</v>
      </c>
      <c r="BK114" s="10">
        <f t="shared" si="79"/>
        <v>0</v>
      </c>
      <c r="BL114" s="10">
        <f t="shared" si="80"/>
        <v>0</v>
      </c>
      <c r="BM114" s="10">
        <f t="shared" si="81"/>
        <v>0</v>
      </c>
      <c r="BN114" s="10">
        <f t="shared" si="82"/>
        <v>0</v>
      </c>
      <c r="BO114" s="10">
        <f t="shared" si="83"/>
        <v>48</v>
      </c>
      <c r="BP114" s="10">
        <f t="shared" si="84"/>
        <v>48</v>
      </c>
      <c r="BQ114" s="10">
        <f t="shared" si="85"/>
        <v>47</v>
      </c>
      <c r="BR114" s="10">
        <f t="shared" si="86"/>
        <v>46</v>
      </c>
      <c r="BS114" s="10">
        <f t="shared" si="87"/>
        <v>45</v>
      </c>
      <c r="BT114" s="10">
        <f t="shared" si="88"/>
        <v>44</v>
      </c>
      <c r="BU114" s="10">
        <f t="shared" si="89"/>
        <v>43</v>
      </c>
      <c r="BV114" s="10">
        <f t="shared" si="90"/>
        <v>42</v>
      </c>
      <c r="BW114" s="10">
        <f t="shared" si="91"/>
        <v>41</v>
      </c>
      <c r="BX114" s="10">
        <f t="shared" si="92"/>
        <v>40</v>
      </c>
      <c r="BY114" s="10">
        <f t="shared" si="93"/>
        <v>39</v>
      </c>
      <c r="BZ114" s="10">
        <f t="shared" si="94"/>
        <v>38</v>
      </c>
      <c r="CA114" s="10">
        <f t="shared" si="95"/>
        <v>37</v>
      </c>
      <c r="CB114" s="10">
        <f t="shared" si="96"/>
        <v>36</v>
      </c>
      <c r="CC114" s="10">
        <f t="shared" si="97"/>
        <v>35</v>
      </c>
      <c r="CD114" s="10">
        <f t="shared" si="98"/>
        <v>34</v>
      </c>
      <c r="CE114" s="10">
        <f t="shared" si="99"/>
        <v>33</v>
      </c>
      <c r="CF114" s="10">
        <f t="shared" si="100"/>
        <v>32</v>
      </c>
      <c r="CG114" s="10">
        <f t="shared" si="101"/>
        <v>31</v>
      </c>
      <c r="CH114" s="10">
        <f t="shared" si="102"/>
        <v>30</v>
      </c>
      <c r="CI114" s="10">
        <f t="shared" si="103"/>
        <v>29</v>
      </c>
      <c r="CJ114" s="10">
        <f t="shared" si="104"/>
        <v>28</v>
      </c>
      <c r="CK114" s="10">
        <f t="shared" si="105"/>
        <v>27</v>
      </c>
      <c r="CL114" s="10">
        <f t="shared" si="106"/>
        <v>26</v>
      </c>
      <c r="CM114" s="10" t="str">
        <f>'役職希望調査 ・備考'!I84&amp;""</f>
        <v/>
      </c>
    </row>
    <row r="115" spans="1:91">
      <c r="A115" s="10" t="str">
        <f>時間希望調査!A85&amp;""</f>
        <v/>
      </c>
      <c r="B115" s="10" t="str">
        <f>時間希望調査!B85&amp;""</f>
        <v/>
      </c>
      <c r="C115" s="10" t="str">
        <f>時間希望調査!C85&amp;""</f>
        <v/>
      </c>
      <c r="D115" s="11"/>
      <c r="E115" s="11"/>
      <c r="F115" s="11"/>
      <c r="G115" s="11"/>
      <c r="H115" s="11"/>
      <c r="I115" s="11"/>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c r="AP115" s="11"/>
      <c r="AQ115" s="11"/>
      <c r="AR115" s="11"/>
      <c r="AS115" s="11"/>
      <c r="AT115" s="11"/>
      <c r="AU115" s="11"/>
      <c r="AV115" s="11"/>
      <c r="AW115" s="11"/>
      <c r="AX115" s="11"/>
      <c r="AY115" s="11"/>
      <c r="AZ115" s="11"/>
      <c r="BA115" s="11"/>
      <c r="BB115" s="10">
        <f t="shared" si="107"/>
        <v>0</v>
      </c>
      <c r="BC115" s="10">
        <f>時間希望調査!D85</f>
        <v>0</v>
      </c>
      <c r="BD115" s="10" t="str">
        <f>'役職希望調査 ・備考'!D85&amp;""</f>
        <v/>
      </c>
      <c r="BE115" s="10" t="str">
        <f>'役職希望調査 ・備考'!E85&amp;""</f>
        <v/>
      </c>
      <c r="BF115" s="10" t="str">
        <f>'役職希望調査 ・備考'!F85&amp;""</f>
        <v/>
      </c>
      <c r="BG115" s="10" t="str">
        <f>'役職希望調査 ・備考'!G85&amp;""</f>
        <v/>
      </c>
      <c r="BH115" s="10" t="str">
        <f>'役職希望調査 ・備考'!H85&amp;""</f>
        <v/>
      </c>
      <c r="BI115" s="10">
        <f t="shared" si="77"/>
        <v>0</v>
      </c>
      <c r="BJ115" s="10">
        <f t="shared" si="78"/>
        <v>0</v>
      </c>
      <c r="BK115" s="10">
        <f t="shared" si="79"/>
        <v>0</v>
      </c>
      <c r="BL115" s="10">
        <f t="shared" si="80"/>
        <v>0</v>
      </c>
      <c r="BM115" s="10">
        <f t="shared" si="81"/>
        <v>0</v>
      </c>
      <c r="BN115" s="10">
        <f t="shared" si="82"/>
        <v>0</v>
      </c>
      <c r="BO115" s="10">
        <f t="shared" si="83"/>
        <v>48</v>
      </c>
      <c r="BP115" s="10">
        <f t="shared" si="84"/>
        <v>48</v>
      </c>
      <c r="BQ115" s="10">
        <f t="shared" si="85"/>
        <v>47</v>
      </c>
      <c r="BR115" s="10">
        <f t="shared" si="86"/>
        <v>46</v>
      </c>
      <c r="BS115" s="10">
        <f t="shared" si="87"/>
        <v>45</v>
      </c>
      <c r="BT115" s="10">
        <f t="shared" si="88"/>
        <v>44</v>
      </c>
      <c r="BU115" s="10">
        <f t="shared" si="89"/>
        <v>43</v>
      </c>
      <c r="BV115" s="10">
        <f t="shared" si="90"/>
        <v>42</v>
      </c>
      <c r="BW115" s="10">
        <f t="shared" si="91"/>
        <v>41</v>
      </c>
      <c r="BX115" s="10">
        <f t="shared" si="92"/>
        <v>40</v>
      </c>
      <c r="BY115" s="10">
        <f t="shared" si="93"/>
        <v>39</v>
      </c>
      <c r="BZ115" s="10">
        <f t="shared" si="94"/>
        <v>38</v>
      </c>
      <c r="CA115" s="10">
        <f t="shared" si="95"/>
        <v>37</v>
      </c>
      <c r="CB115" s="10">
        <f t="shared" si="96"/>
        <v>36</v>
      </c>
      <c r="CC115" s="10">
        <f t="shared" si="97"/>
        <v>35</v>
      </c>
      <c r="CD115" s="10">
        <f t="shared" si="98"/>
        <v>34</v>
      </c>
      <c r="CE115" s="10">
        <f t="shared" si="99"/>
        <v>33</v>
      </c>
      <c r="CF115" s="10">
        <f t="shared" si="100"/>
        <v>32</v>
      </c>
      <c r="CG115" s="10">
        <f t="shared" si="101"/>
        <v>31</v>
      </c>
      <c r="CH115" s="10">
        <f t="shared" si="102"/>
        <v>30</v>
      </c>
      <c r="CI115" s="10">
        <f t="shared" si="103"/>
        <v>29</v>
      </c>
      <c r="CJ115" s="10">
        <f t="shared" si="104"/>
        <v>28</v>
      </c>
      <c r="CK115" s="10">
        <f t="shared" si="105"/>
        <v>27</v>
      </c>
      <c r="CL115" s="10">
        <f t="shared" si="106"/>
        <v>26</v>
      </c>
      <c r="CM115" s="10" t="str">
        <f>'役職希望調査 ・備考'!I85&amp;""</f>
        <v/>
      </c>
    </row>
    <row r="116" spans="1:91">
      <c r="A116" s="10" t="str">
        <f>時間希望調査!A86&amp;""</f>
        <v/>
      </c>
      <c r="B116" s="10" t="str">
        <f>時間希望調査!B86&amp;""</f>
        <v/>
      </c>
      <c r="C116" s="10" t="str">
        <f>時間希望調査!C86&amp;""</f>
        <v/>
      </c>
      <c r="D116" s="11"/>
      <c r="E116" s="11"/>
      <c r="F116" s="11"/>
      <c r="G116" s="11"/>
      <c r="H116" s="11"/>
      <c r="I116" s="11"/>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c r="AP116" s="11"/>
      <c r="AQ116" s="11"/>
      <c r="AR116" s="11"/>
      <c r="AS116" s="11"/>
      <c r="AT116" s="11"/>
      <c r="AU116" s="11"/>
      <c r="AV116" s="11"/>
      <c r="AW116" s="11"/>
      <c r="AX116" s="11"/>
      <c r="AY116" s="11"/>
      <c r="AZ116" s="11"/>
      <c r="BA116" s="11"/>
      <c r="BB116" s="10">
        <f t="shared" si="107"/>
        <v>0</v>
      </c>
      <c r="BC116" s="10">
        <f>時間希望調査!D86</f>
        <v>0</v>
      </c>
      <c r="BD116" s="10" t="str">
        <f>'役職希望調査 ・備考'!D86&amp;""</f>
        <v/>
      </c>
      <c r="BE116" s="10" t="str">
        <f>'役職希望調査 ・備考'!E86&amp;""</f>
        <v/>
      </c>
      <c r="BF116" s="10" t="str">
        <f>'役職希望調査 ・備考'!F86&amp;""</f>
        <v/>
      </c>
      <c r="BG116" s="10" t="str">
        <f>'役職希望調査 ・備考'!G86&amp;""</f>
        <v/>
      </c>
      <c r="BH116" s="10" t="str">
        <f>'役職希望調査 ・備考'!H86&amp;""</f>
        <v/>
      </c>
      <c r="BI116" s="10">
        <f t="shared" si="77"/>
        <v>0</v>
      </c>
      <c r="BJ116" s="10">
        <f t="shared" si="78"/>
        <v>0</v>
      </c>
      <c r="BK116" s="10">
        <f t="shared" si="79"/>
        <v>0</v>
      </c>
      <c r="BL116" s="10">
        <f t="shared" si="80"/>
        <v>0</v>
      </c>
      <c r="BM116" s="10">
        <f t="shared" si="81"/>
        <v>0</v>
      </c>
      <c r="BN116" s="10">
        <f t="shared" si="82"/>
        <v>0</v>
      </c>
      <c r="BO116" s="10">
        <f t="shared" si="83"/>
        <v>48</v>
      </c>
      <c r="BP116" s="10">
        <f t="shared" si="84"/>
        <v>48</v>
      </c>
      <c r="BQ116" s="10">
        <f t="shared" si="85"/>
        <v>47</v>
      </c>
      <c r="BR116" s="10">
        <f t="shared" si="86"/>
        <v>46</v>
      </c>
      <c r="BS116" s="10">
        <f t="shared" si="87"/>
        <v>45</v>
      </c>
      <c r="BT116" s="10">
        <f t="shared" si="88"/>
        <v>44</v>
      </c>
      <c r="BU116" s="10">
        <f t="shared" si="89"/>
        <v>43</v>
      </c>
      <c r="BV116" s="10">
        <f t="shared" si="90"/>
        <v>42</v>
      </c>
      <c r="BW116" s="10">
        <f t="shared" si="91"/>
        <v>41</v>
      </c>
      <c r="BX116" s="10">
        <f t="shared" si="92"/>
        <v>40</v>
      </c>
      <c r="BY116" s="10">
        <f t="shared" si="93"/>
        <v>39</v>
      </c>
      <c r="BZ116" s="10">
        <f t="shared" si="94"/>
        <v>38</v>
      </c>
      <c r="CA116" s="10">
        <f t="shared" si="95"/>
        <v>37</v>
      </c>
      <c r="CB116" s="10">
        <f t="shared" si="96"/>
        <v>36</v>
      </c>
      <c r="CC116" s="10">
        <f t="shared" si="97"/>
        <v>35</v>
      </c>
      <c r="CD116" s="10">
        <f t="shared" si="98"/>
        <v>34</v>
      </c>
      <c r="CE116" s="10">
        <f t="shared" si="99"/>
        <v>33</v>
      </c>
      <c r="CF116" s="10">
        <f t="shared" si="100"/>
        <v>32</v>
      </c>
      <c r="CG116" s="10">
        <f t="shared" si="101"/>
        <v>31</v>
      </c>
      <c r="CH116" s="10">
        <f t="shared" si="102"/>
        <v>30</v>
      </c>
      <c r="CI116" s="10">
        <f t="shared" si="103"/>
        <v>29</v>
      </c>
      <c r="CJ116" s="10">
        <f t="shared" si="104"/>
        <v>28</v>
      </c>
      <c r="CK116" s="10">
        <f t="shared" si="105"/>
        <v>27</v>
      </c>
      <c r="CL116" s="10">
        <f t="shared" si="106"/>
        <v>26</v>
      </c>
      <c r="CM116" s="10" t="str">
        <f>'役職希望調査 ・備考'!I86&amp;""</f>
        <v/>
      </c>
    </row>
    <row r="117" spans="1:91">
      <c r="A117" s="10" t="str">
        <f>時間希望調査!A87&amp;""</f>
        <v/>
      </c>
      <c r="B117" s="10" t="str">
        <f>時間希望調査!B87&amp;""</f>
        <v/>
      </c>
      <c r="C117" s="10" t="str">
        <f>時間希望調査!C87&amp;""</f>
        <v/>
      </c>
      <c r="D117" s="11"/>
      <c r="E117" s="11"/>
      <c r="F117" s="11"/>
      <c r="G117" s="11"/>
      <c r="H117" s="11"/>
      <c r="I117" s="11"/>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c r="AP117" s="11"/>
      <c r="AQ117" s="11"/>
      <c r="AR117" s="11"/>
      <c r="AS117" s="11"/>
      <c r="AT117" s="11"/>
      <c r="AU117" s="11"/>
      <c r="AV117" s="11"/>
      <c r="AW117" s="11"/>
      <c r="AX117" s="11"/>
      <c r="AY117" s="11"/>
      <c r="AZ117" s="11"/>
      <c r="BA117" s="11"/>
      <c r="BB117" s="10">
        <f t="shared" si="107"/>
        <v>0</v>
      </c>
      <c r="BC117" s="10">
        <f>時間希望調査!D87</f>
        <v>0</v>
      </c>
      <c r="BD117" s="10" t="str">
        <f>'役職希望調査 ・備考'!D87&amp;""</f>
        <v/>
      </c>
      <c r="BE117" s="10" t="str">
        <f>'役職希望調査 ・備考'!E87&amp;""</f>
        <v/>
      </c>
      <c r="BF117" s="10" t="str">
        <f>'役職希望調査 ・備考'!F87&amp;""</f>
        <v/>
      </c>
      <c r="BG117" s="10" t="str">
        <f>'役職希望調査 ・備考'!G87&amp;""</f>
        <v/>
      </c>
      <c r="BH117" s="10" t="str">
        <f>'役職希望調査 ・備考'!H87&amp;""</f>
        <v/>
      </c>
      <c r="BI117" s="10">
        <f t="shared" si="77"/>
        <v>0</v>
      </c>
      <c r="BJ117" s="10">
        <f t="shared" si="78"/>
        <v>0</v>
      </c>
      <c r="BK117" s="10">
        <f t="shared" si="79"/>
        <v>0</v>
      </c>
      <c r="BL117" s="10">
        <f t="shared" si="80"/>
        <v>0</v>
      </c>
      <c r="BM117" s="10">
        <f t="shared" si="81"/>
        <v>0</v>
      </c>
      <c r="BN117" s="10">
        <f t="shared" si="82"/>
        <v>0</v>
      </c>
      <c r="BO117" s="10">
        <f t="shared" si="83"/>
        <v>48</v>
      </c>
      <c r="BP117" s="10">
        <f t="shared" si="84"/>
        <v>48</v>
      </c>
      <c r="BQ117" s="10">
        <f t="shared" si="85"/>
        <v>47</v>
      </c>
      <c r="BR117" s="10">
        <f t="shared" si="86"/>
        <v>46</v>
      </c>
      <c r="BS117" s="10">
        <f t="shared" si="87"/>
        <v>45</v>
      </c>
      <c r="BT117" s="10">
        <f t="shared" si="88"/>
        <v>44</v>
      </c>
      <c r="BU117" s="10">
        <f t="shared" si="89"/>
        <v>43</v>
      </c>
      <c r="BV117" s="10">
        <f t="shared" si="90"/>
        <v>42</v>
      </c>
      <c r="BW117" s="10">
        <f t="shared" si="91"/>
        <v>41</v>
      </c>
      <c r="BX117" s="10">
        <f t="shared" si="92"/>
        <v>40</v>
      </c>
      <c r="BY117" s="10">
        <f t="shared" si="93"/>
        <v>39</v>
      </c>
      <c r="BZ117" s="10">
        <f t="shared" si="94"/>
        <v>38</v>
      </c>
      <c r="CA117" s="10">
        <f t="shared" si="95"/>
        <v>37</v>
      </c>
      <c r="CB117" s="10">
        <f t="shared" si="96"/>
        <v>36</v>
      </c>
      <c r="CC117" s="10">
        <f t="shared" si="97"/>
        <v>35</v>
      </c>
      <c r="CD117" s="10">
        <f t="shared" si="98"/>
        <v>34</v>
      </c>
      <c r="CE117" s="10">
        <f t="shared" si="99"/>
        <v>33</v>
      </c>
      <c r="CF117" s="10">
        <f t="shared" si="100"/>
        <v>32</v>
      </c>
      <c r="CG117" s="10">
        <f t="shared" si="101"/>
        <v>31</v>
      </c>
      <c r="CH117" s="10">
        <f t="shared" si="102"/>
        <v>30</v>
      </c>
      <c r="CI117" s="10">
        <f t="shared" si="103"/>
        <v>29</v>
      </c>
      <c r="CJ117" s="10">
        <f t="shared" si="104"/>
        <v>28</v>
      </c>
      <c r="CK117" s="10">
        <f t="shared" si="105"/>
        <v>27</v>
      </c>
      <c r="CL117" s="10">
        <f t="shared" si="106"/>
        <v>26</v>
      </c>
      <c r="CM117" s="10" t="str">
        <f>'役職希望調査 ・備考'!I87&amp;""</f>
        <v/>
      </c>
    </row>
    <row r="118" spans="1:91">
      <c r="A118" s="10" t="str">
        <f>時間希望調査!A88&amp;""</f>
        <v/>
      </c>
      <c r="B118" s="10" t="str">
        <f>時間希望調査!B88&amp;""</f>
        <v/>
      </c>
      <c r="C118" s="10" t="str">
        <f>時間希望調査!C88&amp;""</f>
        <v/>
      </c>
      <c r="D118" s="11"/>
      <c r="E118" s="11"/>
      <c r="F118" s="11"/>
      <c r="G118" s="11"/>
      <c r="H118" s="11"/>
      <c r="I118" s="11"/>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c r="AP118" s="11"/>
      <c r="AQ118" s="11"/>
      <c r="AR118" s="11"/>
      <c r="AS118" s="11"/>
      <c r="AT118" s="11"/>
      <c r="AU118" s="11"/>
      <c r="AV118" s="11"/>
      <c r="AW118" s="11"/>
      <c r="AX118" s="11"/>
      <c r="AY118" s="11"/>
      <c r="AZ118" s="11"/>
      <c r="BA118" s="11"/>
      <c r="BB118" s="10">
        <f t="shared" si="107"/>
        <v>0</v>
      </c>
      <c r="BC118" s="10">
        <f>時間希望調査!D88</f>
        <v>0</v>
      </c>
      <c r="BD118" s="10" t="str">
        <f>'役職希望調査 ・備考'!D88&amp;""</f>
        <v/>
      </c>
      <c r="BE118" s="10" t="str">
        <f>'役職希望調査 ・備考'!E88&amp;""</f>
        <v/>
      </c>
      <c r="BF118" s="10" t="str">
        <f>'役職希望調査 ・備考'!F88&amp;""</f>
        <v/>
      </c>
      <c r="BG118" s="10" t="str">
        <f>'役職希望調査 ・備考'!G88&amp;""</f>
        <v/>
      </c>
      <c r="BH118" s="10" t="str">
        <f>'役職希望調査 ・備考'!H88&amp;""</f>
        <v/>
      </c>
      <c r="BI118" s="10">
        <f t="shared" si="77"/>
        <v>0</v>
      </c>
      <c r="BJ118" s="10">
        <f t="shared" si="78"/>
        <v>0</v>
      </c>
      <c r="BK118" s="10">
        <f t="shared" si="79"/>
        <v>0</v>
      </c>
      <c r="BL118" s="10">
        <f t="shared" si="80"/>
        <v>0</v>
      </c>
      <c r="BM118" s="10">
        <f t="shared" si="81"/>
        <v>0</v>
      </c>
      <c r="BN118" s="10">
        <f t="shared" si="82"/>
        <v>0</v>
      </c>
      <c r="BO118" s="10">
        <f t="shared" si="83"/>
        <v>48</v>
      </c>
      <c r="BP118" s="10">
        <f t="shared" si="84"/>
        <v>48</v>
      </c>
      <c r="BQ118" s="10">
        <f t="shared" si="85"/>
        <v>47</v>
      </c>
      <c r="BR118" s="10">
        <f t="shared" si="86"/>
        <v>46</v>
      </c>
      <c r="BS118" s="10">
        <f t="shared" si="87"/>
        <v>45</v>
      </c>
      <c r="BT118" s="10">
        <f t="shared" si="88"/>
        <v>44</v>
      </c>
      <c r="BU118" s="10">
        <f t="shared" si="89"/>
        <v>43</v>
      </c>
      <c r="BV118" s="10">
        <f t="shared" si="90"/>
        <v>42</v>
      </c>
      <c r="BW118" s="10">
        <f t="shared" si="91"/>
        <v>41</v>
      </c>
      <c r="BX118" s="10">
        <f t="shared" si="92"/>
        <v>40</v>
      </c>
      <c r="BY118" s="10">
        <f t="shared" si="93"/>
        <v>39</v>
      </c>
      <c r="BZ118" s="10">
        <f t="shared" si="94"/>
        <v>38</v>
      </c>
      <c r="CA118" s="10">
        <f t="shared" si="95"/>
        <v>37</v>
      </c>
      <c r="CB118" s="10">
        <f t="shared" si="96"/>
        <v>36</v>
      </c>
      <c r="CC118" s="10">
        <f t="shared" si="97"/>
        <v>35</v>
      </c>
      <c r="CD118" s="10">
        <f t="shared" si="98"/>
        <v>34</v>
      </c>
      <c r="CE118" s="10">
        <f t="shared" si="99"/>
        <v>33</v>
      </c>
      <c r="CF118" s="10">
        <f t="shared" si="100"/>
        <v>32</v>
      </c>
      <c r="CG118" s="10">
        <f t="shared" si="101"/>
        <v>31</v>
      </c>
      <c r="CH118" s="10">
        <f t="shared" si="102"/>
        <v>30</v>
      </c>
      <c r="CI118" s="10">
        <f t="shared" si="103"/>
        <v>29</v>
      </c>
      <c r="CJ118" s="10">
        <f t="shared" si="104"/>
        <v>28</v>
      </c>
      <c r="CK118" s="10">
        <f t="shared" si="105"/>
        <v>27</v>
      </c>
      <c r="CL118" s="10">
        <f t="shared" si="106"/>
        <v>26</v>
      </c>
      <c r="CM118" s="10" t="str">
        <f>'役職希望調査 ・備考'!I88&amp;""</f>
        <v/>
      </c>
    </row>
    <row r="119" spans="1:91">
      <c r="A119" s="10" t="str">
        <f>時間希望調査!A89&amp;""</f>
        <v/>
      </c>
      <c r="B119" s="10" t="str">
        <f>時間希望調査!B89&amp;""</f>
        <v/>
      </c>
      <c r="C119" s="10" t="str">
        <f>時間希望調査!C89&amp;""</f>
        <v/>
      </c>
      <c r="D119" s="11"/>
      <c r="E119" s="11"/>
      <c r="F119" s="11"/>
      <c r="G119" s="11"/>
      <c r="H119" s="11"/>
      <c r="I119" s="11"/>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c r="AP119" s="11"/>
      <c r="AQ119" s="11"/>
      <c r="AR119" s="11"/>
      <c r="AS119" s="11"/>
      <c r="AT119" s="11"/>
      <c r="AU119" s="11"/>
      <c r="AV119" s="11"/>
      <c r="AW119" s="11"/>
      <c r="AX119" s="11"/>
      <c r="AY119" s="11"/>
      <c r="AZ119" s="11"/>
      <c r="BA119" s="11"/>
      <c r="BB119" s="10">
        <f t="shared" si="107"/>
        <v>0</v>
      </c>
      <c r="BC119" s="10">
        <f>時間希望調査!D89</f>
        <v>0</v>
      </c>
      <c r="BD119" s="10" t="str">
        <f>'役職希望調査 ・備考'!D89&amp;""</f>
        <v/>
      </c>
      <c r="BE119" s="10" t="str">
        <f>'役職希望調査 ・備考'!E89&amp;""</f>
        <v/>
      </c>
      <c r="BF119" s="10" t="str">
        <f>'役職希望調査 ・備考'!F89&amp;""</f>
        <v/>
      </c>
      <c r="BG119" s="10" t="str">
        <f>'役職希望調査 ・備考'!G89&amp;""</f>
        <v/>
      </c>
      <c r="BH119" s="10" t="str">
        <f>'役職希望調査 ・備考'!H89&amp;""</f>
        <v/>
      </c>
      <c r="BI119" s="10">
        <f t="shared" si="77"/>
        <v>0</v>
      </c>
      <c r="BJ119" s="10">
        <f t="shared" si="78"/>
        <v>0</v>
      </c>
      <c r="BK119" s="10">
        <f t="shared" si="79"/>
        <v>0</v>
      </c>
      <c r="BL119" s="10">
        <f t="shared" si="80"/>
        <v>0</v>
      </c>
      <c r="BM119" s="10">
        <f t="shared" si="81"/>
        <v>0</v>
      </c>
      <c r="BN119" s="10">
        <f t="shared" si="82"/>
        <v>0</v>
      </c>
      <c r="BO119" s="10">
        <f t="shared" si="83"/>
        <v>48</v>
      </c>
      <c r="BP119" s="10">
        <f t="shared" si="84"/>
        <v>48</v>
      </c>
      <c r="BQ119" s="10">
        <f t="shared" si="85"/>
        <v>47</v>
      </c>
      <c r="BR119" s="10">
        <f t="shared" si="86"/>
        <v>46</v>
      </c>
      <c r="BS119" s="10">
        <f t="shared" si="87"/>
        <v>45</v>
      </c>
      <c r="BT119" s="10">
        <f t="shared" si="88"/>
        <v>44</v>
      </c>
      <c r="BU119" s="10">
        <f t="shared" si="89"/>
        <v>43</v>
      </c>
      <c r="BV119" s="10">
        <f t="shared" si="90"/>
        <v>42</v>
      </c>
      <c r="BW119" s="10">
        <f t="shared" si="91"/>
        <v>41</v>
      </c>
      <c r="BX119" s="10">
        <f t="shared" si="92"/>
        <v>40</v>
      </c>
      <c r="BY119" s="10">
        <f t="shared" si="93"/>
        <v>39</v>
      </c>
      <c r="BZ119" s="10">
        <f t="shared" si="94"/>
        <v>38</v>
      </c>
      <c r="CA119" s="10">
        <f t="shared" si="95"/>
        <v>37</v>
      </c>
      <c r="CB119" s="10">
        <f t="shared" si="96"/>
        <v>36</v>
      </c>
      <c r="CC119" s="10">
        <f t="shared" si="97"/>
        <v>35</v>
      </c>
      <c r="CD119" s="10">
        <f t="shared" si="98"/>
        <v>34</v>
      </c>
      <c r="CE119" s="10">
        <f t="shared" si="99"/>
        <v>33</v>
      </c>
      <c r="CF119" s="10">
        <f t="shared" si="100"/>
        <v>32</v>
      </c>
      <c r="CG119" s="10">
        <f t="shared" si="101"/>
        <v>31</v>
      </c>
      <c r="CH119" s="10">
        <f t="shared" si="102"/>
        <v>30</v>
      </c>
      <c r="CI119" s="10">
        <f t="shared" si="103"/>
        <v>29</v>
      </c>
      <c r="CJ119" s="10">
        <f t="shared" si="104"/>
        <v>28</v>
      </c>
      <c r="CK119" s="10">
        <f t="shared" si="105"/>
        <v>27</v>
      </c>
      <c r="CL119" s="10">
        <f t="shared" si="106"/>
        <v>26</v>
      </c>
      <c r="CM119" s="10" t="str">
        <f>'役職希望調査 ・備考'!I89&amp;""</f>
        <v/>
      </c>
    </row>
    <row r="120" spans="1:91">
      <c r="A120" s="10" t="str">
        <f>時間希望調査!A90&amp;""</f>
        <v/>
      </c>
      <c r="B120" s="10" t="str">
        <f>時間希望調査!B90&amp;""</f>
        <v/>
      </c>
      <c r="C120" s="10" t="str">
        <f>時間希望調査!C90&amp;""</f>
        <v/>
      </c>
      <c r="D120" s="11"/>
      <c r="E120" s="11"/>
      <c r="F120" s="11"/>
      <c r="G120" s="11"/>
      <c r="H120" s="11"/>
      <c r="I120" s="11"/>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c r="AP120" s="11"/>
      <c r="AQ120" s="11"/>
      <c r="AR120" s="11"/>
      <c r="AS120" s="11"/>
      <c r="AT120" s="11"/>
      <c r="AU120" s="11"/>
      <c r="AV120" s="11"/>
      <c r="AW120" s="11"/>
      <c r="AX120" s="11"/>
      <c r="AY120" s="11"/>
      <c r="AZ120" s="11"/>
      <c r="BA120" s="11"/>
      <c r="BB120" s="10">
        <f t="shared" si="107"/>
        <v>0</v>
      </c>
      <c r="BC120" s="10">
        <f>時間希望調査!D90</f>
        <v>0</v>
      </c>
      <c r="BD120" s="10" t="str">
        <f>'役職希望調査 ・備考'!D90&amp;""</f>
        <v/>
      </c>
      <c r="BE120" s="10" t="str">
        <f>'役職希望調査 ・備考'!E90&amp;""</f>
        <v/>
      </c>
      <c r="BF120" s="10" t="str">
        <f>'役職希望調査 ・備考'!F90&amp;""</f>
        <v/>
      </c>
      <c r="BG120" s="10" t="str">
        <f>'役職希望調査 ・備考'!G90&amp;""</f>
        <v/>
      </c>
      <c r="BH120" s="10" t="str">
        <f>'役職希望調査 ・備考'!H90&amp;""</f>
        <v/>
      </c>
      <c r="BI120" s="10">
        <f t="shared" si="77"/>
        <v>0</v>
      </c>
      <c r="BJ120" s="10">
        <f t="shared" si="78"/>
        <v>0</v>
      </c>
      <c r="BK120" s="10">
        <f t="shared" si="79"/>
        <v>0</v>
      </c>
      <c r="BL120" s="10">
        <f t="shared" si="80"/>
        <v>0</v>
      </c>
      <c r="BM120" s="10">
        <f t="shared" si="81"/>
        <v>0</v>
      </c>
      <c r="BN120" s="10">
        <f t="shared" si="82"/>
        <v>0</v>
      </c>
      <c r="BO120" s="10">
        <f t="shared" si="83"/>
        <v>48</v>
      </c>
      <c r="BP120" s="10">
        <f t="shared" si="84"/>
        <v>48</v>
      </c>
      <c r="BQ120" s="10">
        <f t="shared" si="85"/>
        <v>47</v>
      </c>
      <c r="BR120" s="10">
        <f t="shared" si="86"/>
        <v>46</v>
      </c>
      <c r="BS120" s="10">
        <f t="shared" si="87"/>
        <v>45</v>
      </c>
      <c r="BT120" s="10">
        <f t="shared" si="88"/>
        <v>44</v>
      </c>
      <c r="BU120" s="10">
        <f t="shared" si="89"/>
        <v>43</v>
      </c>
      <c r="BV120" s="10">
        <f t="shared" si="90"/>
        <v>42</v>
      </c>
      <c r="BW120" s="10">
        <f t="shared" si="91"/>
        <v>41</v>
      </c>
      <c r="BX120" s="10">
        <f t="shared" si="92"/>
        <v>40</v>
      </c>
      <c r="BY120" s="10">
        <f t="shared" si="93"/>
        <v>39</v>
      </c>
      <c r="BZ120" s="10">
        <f t="shared" si="94"/>
        <v>38</v>
      </c>
      <c r="CA120" s="10">
        <f t="shared" si="95"/>
        <v>37</v>
      </c>
      <c r="CB120" s="10">
        <f t="shared" si="96"/>
        <v>36</v>
      </c>
      <c r="CC120" s="10">
        <f t="shared" si="97"/>
        <v>35</v>
      </c>
      <c r="CD120" s="10">
        <f t="shared" si="98"/>
        <v>34</v>
      </c>
      <c r="CE120" s="10">
        <f t="shared" si="99"/>
        <v>33</v>
      </c>
      <c r="CF120" s="10">
        <f t="shared" si="100"/>
        <v>32</v>
      </c>
      <c r="CG120" s="10">
        <f t="shared" si="101"/>
        <v>31</v>
      </c>
      <c r="CH120" s="10">
        <f t="shared" si="102"/>
        <v>30</v>
      </c>
      <c r="CI120" s="10">
        <f t="shared" si="103"/>
        <v>29</v>
      </c>
      <c r="CJ120" s="10">
        <f t="shared" si="104"/>
        <v>28</v>
      </c>
      <c r="CK120" s="10">
        <f t="shared" si="105"/>
        <v>27</v>
      </c>
      <c r="CL120" s="10">
        <f t="shared" si="106"/>
        <v>26</v>
      </c>
      <c r="CM120" s="10" t="str">
        <f>'役職希望調査 ・備考'!I90&amp;""</f>
        <v/>
      </c>
    </row>
    <row r="121" spans="1:91">
      <c r="A121" s="10" t="str">
        <f>時間希望調査!A91&amp;""</f>
        <v/>
      </c>
      <c r="B121" s="10" t="str">
        <f>時間希望調査!B91&amp;""</f>
        <v/>
      </c>
      <c r="C121" s="10" t="str">
        <f>時間希望調査!C91&amp;""</f>
        <v/>
      </c>
      <c r="D121" s="11"/>
      <c r="E121" s="11"/>
      <c r="F121" s="11"/>
      <c r="G121" s="11"/>
      <c r="H121" s="11"/>
      <c r="I121" s="11"/>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c r="AP121" s="11"/>
      <c r="AQ121" s="11"/>
      <c r="AR121" s="11"/>
      <c r="AS121" s="11"/>
      <c r="AT121" s="11"/>
      <c r="AU121" s="11"/>
      <c r="AV121" s="11"/>
      <c r="AW121" s="11"/>
      <c r="AX121" s="11"/>
      <c r="AY121" s="11"/>
      <c r="AZ121" s="11"/>
      <c r="BA121" s="11"/>
      <c r="BB121" s="10">
        <f t="shared" si="107"/>
        <v>0</v>
      </c>
      <c r="BC121" s="10">
        <f>時間希望調査!D91</f>
        <v>0</v>
      </c>
      <c r="BD121" s="10" t="str">
        <f>'役職希望調査 ・備考'!D91&amp;""</f>
        <v/>
      </c>
      <c r="BE121" s="10" t="str">
        <f>'役職希望調査 ・備考'!E91&amp;""</f>
        <v/>
      </c>
      <c r="BF121" s="10" t="str">
        <f>'役職希望調査 ・備考'!F91&amp;""</f>
        <v/>
      </c>
      <c r="BG121" s="10" t="str">
        <f>'役職希望調査 ・備考'!G91&amp;""</f>
        <v/>
      </c>
      <c r="BH121" s="10" t="str">
        <f>'役職希望調査 ・備考'!H91&amp;""</f>
        <v/>
      </c>
      <c r="BI121" s="10">
        <f t="shared" si="77"/>
        <v>0</v>
      </c>
      <c r="BJ121" s="10">
        <f t="shared" si="78"/>
        <v>0</v>
      </c>
      <c r="BK121" s="10">
        <f t="shared" si="79"/>
        <v>0</v>
      </c>
      <c r="BL121" s="10">
        <f t="shared" si="80"/>
        <v>0</v>
      </c>
      <c r="BM121" s="10">
        <f t="shared" si="81"/>
        <v>0</v>
      </c>
      <c r="BN121" s="10">
        <f t="shared" si="82"/>
        <v>0</v>
      </c>
      <c r="BO121" s="10">
        <f t="shared" si="83"/>
        <v>48</v>
      </c>
      <c r="BP121" s="10">
        <f t="shared" si="84"/>
        <v>48</v>
      </c>
      <c r="BQ121" s="10">
        <f t="shared" si="85"/>
        <v>47</v>
      </c>
      <c r="BR121" s="10">
        <f t="shared" si="86"/>
        <v>46</v>
      </c>
      <c r="BS121" s="10">
        <f t="shared" si="87"/>
        <v>45</v>
      </c>
      <c r="BT121" s="10">
        <f t="shared" si="88"/>
        <v>44</v>
      </c>
      <c r="BU121" s="10">
        <f t="shared" si="89"/>
        <v>43</v>
      </c>
      <c r="BV121" s="10">
        <f t="shared" si="90"/>
        <v>42</v>
      </c>
      <c r="BW121" s="10">
        <f t="shared" si="91"/>
        <v>41</v>
      </c>
      <c r="BX121" s="10">
        <f t="shared" si="92"/>
        <v>40</v>
      </c>
      <c r="BY121" s="10">
        <f t="shared" si="93"/>
        <v>39</v>
      </c>
      <c r="BZ121" s="10">
        <f t="shared" si="94"/>
        <v>38</v>
      </c>
      <c r="CA121" s="10">
        <f t="shared" si="95"/>
        <v>37</v>
      </c>
      <c r="CB121" s="10">
        <f t="shared" si="96"/>
        <v>36</v>
      </c>
      <c r="CC121" s="10">
        <f t="shared" si="97"/>
        <v>35</v>
      </c>
      <c r="CD121" s="10">
        <f t="shared" si="98"/>
        <v>34</v>
      </c>
      <c r="CE121" s="10">
        <f t="shared" si="99"/>
        <v>33</v>
      </c>
      <c r="CF121" s="10">
        <f t="shared" si="100"/>
        <v>32</v>
      </c>
      <c r="CG121" s="10">
        <f t="shared" si="101"/>
        <v>31</v>
      </c>
      <c r="CH121" s="10">
        <f t="shared" si="102"/>
        <v>30</v>
      </c>
      <c r="CI121" s="10">
        <f t="shared" si="103"/>
        <v>29</v>
      </c>
      <c r="CJ121" s="10">
        <f t="shared" si="104"/>
        <v>28</v>
      </c>
      <c r="CK121" s="10">
        <f t="shared" si="105"/>
        <v>27</v>
      </c>
      <c r="CL121" s="10">
        <f t="shared" si="106"/>
        <v>26</v>
      </c>
      <c r="CM121" s="10" t="str">
        <f>'役職希望調査 ・備考'!I91&amp;""</f>
        <v/>
      </c>
    </row>
    <row r="122" spans="1:91">
      <c r="A122" s="10" t="str">
        <f>時間希望調査!A92&amp;""</f>
        <v/>
      </c>
      <c r="B122" s="10" t="str">
        <f>時間希望調査!B92&amp;""</f>
        <v/>
      </c>
      <c r="C122" s="10" t="str">
        <f>時間希望調査!C92&amp;""</f>
        <v/>
      </c>
      <c r="D122" s="11"/>
      <c r="E122" s="11"/>
      <c r="F122" s="11"/>
      <c r="G122" s="11"/>
      <c r="H122" s="11"/>
      <c r="I122" s="11"/>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c r="AP122" s="11"/>
      <c r="AQ122" s="11"/>
      <c r="AR122" s="11"/>
      <c r="AS122" s="11"/>
      <c r="AT122" s="11"/>
      <c r="AU122" s="11"/>
      <c r="AV122" s="11"/>
      <c r="AW122" s="11"/>
      <c r="AX122" s="11"/>
      <c r="AY122" s="11"/>
      <c r="AZ122" s="11"/>
      <c r="BA122" s="11"/>
      <c r="BB122" s="10">
        <f t="shared" si="107"/>
        <v>0</v>
      </c>
      <c r="BC122" s="10">
        <f>時間希望調査!D92</f>
        <v>0</v>
      </c>
      <c r="BD122" s="10" t="str">
        <f>'役職希望調査 ・備考'!D92&amp;""</f>
        <v/>
      </c>
      <c r="BE122" s="10" t="str">
        <f>'役職希望調査 ・備考'!E92&amp;""</f>
        <v/>
      </c>
      <c r="BF122" s="10" t="str">
        <f>'役職希望調査 ・備考'!F92&amp;""</f>
        <v/>
      </c>
      <c r="BG122" s="10" t="str">
        <f>'役職希望調査 ・備考'!G92&amp;""</f>
        <v/>
      </c>
      <c r="BH122" s="10" t="str">
        <f>'役職希望調査 ・備考'!H92&amp;""</f>
        <v/>
      </c>
      <c r="BI122" s="10">
        <f t="shared" si="77"/>
        <v>0</v>
      </c>
      <c r="BJ122" s="10">
        <f t="shared" si="78"/>
        <v>0</v>
      </c>
      <c r="BK122" s="10">
        <f t="shared" si="79"/>
        <v>0</v>
      </c>
      <c r="BL122" s="10">
        <f t="shared" si="80"/>
        <v>0</v>
      </c>
      <c r="BM122" s="10">
        <f t="shared" si="81"/>
        <v>0</v>
      </c>
      <c r="BN122" s="10">
        <f t="shared" si="82"/>
        <v>0</v>
      </c>
      <c r="BO122" s="10">
        <f t="shared" si="83"/>
        <v>48</v>
      </c>
      <c r="BP122" s="10">
        <f t="shared" si="84"/>
        <v>48</v>
      </c>
      <c r="BQ122" s="10">
        <f t="shared" si="85"/>
        <v>47</v>
      </c>
      <c r="BR122" s="10">
        <f t="shared" si="86"/>
        <v>46</v>
      </c>
      <c r="BS122" s="10">
        <f t="shared" si="87"/>
        <v>45</v>
      </c>
      <c r="BT122" s="10">
        <f t="shared" si="88"/>
        <v>44</v>
      </c>
      <c r="BU122" s="10">
        <f t="shared" si="89"/>
        <v>43</v>
      </c>
      <c r="BV122" s="10">
        <f t="shared" si="90"/>
        <v>42</v>
      </c>
      <c r="BW122" s="10">
        <f t="shared" si="91"/>
        <v>41</v>
      </c>
      <c r="BX122" s="10">
        <f t="shared" si="92"/>
        <v>40</v>
      </c>
      <c r="BY122" s="10">
        <f t="shared" si="93"/>
        <v>39</v>
      </c>
      <c r="BZ122" s="10">
        <f t="shared" si="94"/>
        <v>38</v>
      </c>
      <c r="CA122" s="10">
        <f t="shared" si="95"/>
        <v>37</v>
      </c>
      <c r="CB122" s="10">
        <f t="shared" si="96"/>
        <v>36</v>
      </c>
      <c r="CC122" s="10">
        <f t="shared" si="97"/>
        <v>35</v>
      </c>
      <c r="CD122" s="10">
        <f t="shared" si="98"/>
        <v>34</v>
      </c>
      <c r="CE122" s="10">
        <f t="shared" si="99"/>
        <v>33</v>
      </c>
      <c r="CF122" s="10">
        <f t="shared" si="100"/>
        <v>32</v>
      </c>
      <c r="CG122" s="10">
        <f t="shared" si="101"/>
        <v>31</v>
      </c>
      <c r="CH122" s="10">
        <f t="shared" si="102"/>
        <v>30</v>
      </c>
      <c r="CI122" s="10">
        <f t="shared" si="103"/>
        <v>29</v>
      </c>
      <c r="CJ122" s="10">
        <f t="shared" si="104"/>
        <v>28</v>
      </c>
      <c r="CK122" s="10">
        <f t="shared" si="105"/>
        <v>27</v>
      </c>
      <c r="CL122" s="10">
        <f t="shared" si="106"/>
        <v>26</v>
      </c>
      <c r="CM122" s="10" t="str">
        <f>'役職希望調査 ・備考'!I92&amp;""</f>
        <v/>
      </c>
    </row>
    <row r="123" spans="1:91">
      <c r="A123" s="10" t="str">
        <f>時間希望調査!A93&amp;""</f>
        <v/>
      </c>
      <c r="B123" s="10" t="str">
        <f>時間希望調査!B93&amp;""</f>
        <v/>
      </c>
      <c r="C123" s="10" t="str">
        <f>時間希望調査!C93&amp;""</f>
        <v/>
      </c>
      <c r="D123" s="11"/>
      <c r="E123" s="11"/>
      <c r="F123" s="11"/>
      <c r="G123" s="11"/>
      <c r="H123" s="11"/>
      <c r="I123" s="11"/>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c r="AP123" s="11"/>
      <c r="AQ123" s="11"/>
      <c r="AR123" s="11"/>
      <c r="AS123" s="11"/>
      <c r="AT123" s="11"/>
      <c r="AU123" s="11"/>
      <c r="AV123" s="11"/>
      <c r="AW123" s="11"/>
      <c r="AX123" s="11"/>
      <c r="AY123" s="11"/>
      <c r="AZ123" s="11"/>
      <c r="BA123" s="11"/>
      <c r="BB123" s="10">
        <f t="shared" si="107"/>
        <v>0</v>
      </c>
      <c r="BC123" s="10">
        <f>時間希望調査!D93</f>
        <v>0</v>
      </c>
      <c r="BD123" s="10" t="str">
        <f>'役職希望調査 ・備考'!D93&amp;""</f>
        <v/>
      </c>
      <c r="BE123" s="10" t="str">
        <f>'役職希望調査 ・備考'!E93&amp;""</f>
        <v/>
      </c>
      <c r="BF123" s="10" t="str">
        <f>'役職希望調査 ・備考'!F93&amp;""</f>
        <v/>
      </c>
      <c r="BG123" s="10" t="str">
        <f>'役職希望調査 ・備考'!G93&amp;""</f>
        <v/>
      </c>
      <c r="BH123" s="10" t="str">
        <f>'役職希望調査 ・備考'!H93&amp;""</f>
        <v/>
      </c>
      <c r="BI123" s="10">
        <f t="shared" si="77"/>
        <v>0</v>
      </c>
      <c r="BJ123" s="10">
        <f t="shared" si="78"/>
        <v>0</v>
      </c>
      <c r="BK123" s="10">
        <f t="shared" si="79"/>
        <v>0</v>
      </c>
      <c r="BL123" s="10">
        <f t="shared" si="80"/>
        <v>0</v>
      </c>
      <c r="BM123" s="10">
        <f t="shared" si="81"/>
        <v>0</v>
      </c>
      <c r="BN123" s="10">
        <f t="shared" si="82"/>
        <v>0</v>
      </c>
      <c r="BO123" s="10">
        <f t="shared" si="83"/>
        <v>48</v>
      </c>
      <c r="BP123" s="10">
        <f t="shared" si="84"/>
        <v>48</v>
      </c>
      <c r="BQ123" s="10">
        <f t="shared" si="85"/>
        <v>47</v>
      </c>
      <c r="BR123" s="10">
        <f t="shared" si="86"/>
        <v>46</v>
      </c>
      <c r="BS123" s="10">
        <f t="shared" si="87"/>
        <v>45</v>
      </c>
      <c r="BT123" s="10">
        <f t="shared" si="88"/>
        <v>44</v>
      </c>
      <c r="BU123" s="10">
        <f t="shared" si="89"/>
        <v>43</v>
      </c>
      <c r="BV123" s="10">
        <f t="shared" si="90"/>
        <v>42</v>
      </c>
      <c r="BW123" s="10">
        <f t="shared" si="91"/>
        <v>41</v>
      </c>
      <c r="BX123" s="10">
        <f t="shared" si="92"/>
        <v>40</v>
      </c>
      <c r="BY123" s="10">
        <f t="shared" si="93"/>
        <v>39</v>
      </c>
      <c r="BZ123" s="10">
        <f t="shared" si="94"/>
        <v>38</v>
      </c>
      <c r="CA123" s="10">
        <f t="shared" si="95"/>
        <v>37</v>
      </c>
      <c r="CB123" s="10">
        <f t="shared" si="96"/>
        <v>36</v>
      </c>
      <c r="CC123" s="10">
        <f t="shared" si="97"/>
        <v>35</v>
      </c>
      <c r="CD123" s="10">
        <f t="shared" si="98"/>
        <v>34</v>
      </c>
      <c r="CE123" s="10">
        <f t="shared" si="99"/>
        <v>33</v>
      </c>
      <c r="CF123" s="10">
        <f t="shared" si="100"/>
        <v>32</v>
      </c>
      <c r="CG123" s="10">
        <f t="shared" si="101"/>
        <v>31</v>
      </c>
      <c r="CH123" s="10">
        <f t="shared" si="102"/>
        <v>30</v>
      </c>
      <c r="CI123" s="10">
        <f t="shared" si="103"/>
        <v>29</v>
      </c>
      <c r="CJ123" s="10">
        <f t="shared" si="104"/>
        <v>28</v>
      </c>
      <c r="CK123" s="10">
        <f t="shared" si="105"/>
        <v>27</v>
      </c>
      <c r="CL123" s="10">
        <f t="shared" si="106"/>
        <v>26</v>
      </c>
      <c r="CM123" s="10" t="str">
        <f>'役職希望調査 ・備考'!I93&amp;""</f>
        <v/>
      </c>
    </row>
    <row r="124" spans="1:91">
      <c r="A124" s="10" t="str">
        <f>時間希望調査!A94&amp;""</f>
        <v/>
      </c>
      <c r="B124" s="10" t="str">
        <f>時間希望調査!B94&amp;""</f>
        <v/>
      </c>
      <c r="C124" s="10" t="str">
        <f>時間希望調査!C94&amp;""</f>
        <v/>
      </c>
      <c r="D124" s="11"/>
      <c r="E124" s="11"/>
      <c r="F124" s="11"/>
      <c r="G124" s="11"/>
      <c r="H124" s="11"/>
      <c r="I124" s="11"/>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c r="AP124" s="11"/>
      <c r="AQ124" s="11"/>
      <c r="AR124" s="11"/>
      <c r="AS124" s="11"/>
      <c r="AT124" s="11"/>
      <c r="AU124" s="11"/>
      <c r="AV124" s="11"/>
      <c r="AW124" s="11"/>
      <c r="AX124" s="11"/>
      <c r="AY124" s="11"/>
      <c r="AZ124" s="11"/>
      <c r="BA124" s="11"/>
      <c r="BB124" s="10">
        <f t="shared" si="107"/>
        <v>0</v>
      </c>
      <c r="BC124" s="10">
        <f>時間希望調査!D94</f>
        <v>0</v>
      </c>
      <c r="BD124" s="10" t="str">
        <f>'役職希望調査 ・備考'!D94&amp;""</f>
        <v/>
      </c>
      <c r="BE124" s="10" t="str">
        <f>'役職希望調査 ・備考'!E94&amp;""</f>
        <v/>
      </c>
      <c r="BF124" s="10" t="str">
        <f>'役職希望調査 ・備考'!F94&amp;""</f>
        <v/>
      </c>
      <c r="BG124" s="10" t="str">
        <f>'役職希望調査 ・備考'!G94&amp;""</f>
        <v/>
      </c>
      <c r="BH124" s="10" t="str">
        <f>'役職希望調査 ・備考'!H94&amp;""</f>
        <v/>
      </c>
      <c r="BI124" s="10">
        <f t="shared" si="77"/>
        <v>0</v>
      </c>
      <c r="BJ124" s="10">
        <f t="shared" si="78"/>
        <v>0</v>
      </c>
      <c r="BK124" s="10">
        <f t="shared" si="79"/>
        <v>0</v>
      </c>
      <c r="BL124" s="10">
        <f t="shared" si="80"/>
        <v>0</v>
      </c>
      <c r="BM124" s="10">
        <f t="shared" si="81"/>
        <v>0</v>
      </c>
      <c r="BN124" s="10">
        <f t="shared" si="82"/>
        <v>0</v>
      </c>
      <c r="BO124" s="10">
        <f t="shared" si="83"/>
        <v>48</v>
      </c>
      <c r="BP124" s="10">
        <f t="shared" si="84"/>
        <v>48</v>
      </c>
      <c r="BQ124" s="10">
        <f t="shared" si="85"/>
        <v>47</v>
      </c>
      <c r="BR124" s="10">
        <f t="shared" si="86"/>
        <v>46</v>
      </c>
      <c r="BS124" s="10">
        <f t="shared" si="87"/>
        <v>45</v>
      </c>
      <c r="BT124" s="10">
        <f t="shared" si="88"/>
        <v>44</v>
      </c>
      <c r="BU124" s="10">
        <f t="shared" si="89"/>
        <v>43</v>
      </c>
      <c r="BV124" s="10">
        <f t="shared" si="90"/>
        <v>42</v>
      </c>
      <c r="BW124" s="10">
        <f t="shared" si="91"/>
        <v>41</v>
      </c>
      <c r="BX124" s="10">
        <f t="shared" si="92"/>
        <v>40</v>
      </c>
      <c r="BY124" s="10">
        <f t="shared" si="93"/>
        <v>39</v>
      </c>
      <c r="BZ124" s="10">
        <f t="shared" si="94"/>
        <v>38</v>
      </c>
      <c r="CA124" s="10">
        <f t="shared" si="95"/>
        <v>37</v>
      </c>
      <c r="CB124" s="10">
        <f t="shared" si="96"/>
        <v>36</v>
      </c>
      <c r="CC124" s="10">
        <f t="shared" si="97"/>
        <v>35</v>
      </c>
      <c r="CD124" s="10">
        <f t="shared" si="98"/>
        <v>34</v>
      </c>
      <c r="CE124" s="10">
        <f t="shared" si="99"/>
        <v>33</v>
      </c>
      <c r="CF124" s="10">
        <f t="shared" si="100"/>
        <v>32</v>
      </c>
      <c r="CG124" s="10">
        <f t="shared" si="101"/>
        <v>31</v>
      </c>
      <c r="CH124" s="10">
        <f t="shared" si="102"/>
        <v>30</v>
      </c>
      <c r="CI124" s="10">
        <f t="shared" si="103"/>
        <v>29</v>
      </c>
      <c r="CJ124" s="10">
        <f t="shared" si="104"/>
        <v>28</v>
      </c>
      <c r="CK124" s="10">
        <f t="shared" si="105"/>
        <v>27</v>
      </c>
      <c r="CL124" s="10">
        <f t="shared" si="106"/>
        <v>26</v>
      </c>
      <c r="CM124" s="10" t="str">
        <f>'役職希望調査 ・備考'!I94&amp;""</f>
        <v/>
      </c>
    </row>
    <row r="125" spans="1:91">
      <c r="A125" s="10" t="str">
        <f>時間希望調査!A95&amp;""</f>
        <v/>
      </c>
      <c r="B125" s="10" t="str">
        <f>時間希望調査!B95&amp;""</f>
        <v/>
      </c>
      <c r="C125" s="10" t="str">
        <f>時間希望調査!C95&amp;""</f>
        <v/>
      </c>
      <c r="D125" s="11"/>
      <c r="E125" s="11"/>
      <c r="F125" s="11"/>
      <c r="G125" s="11"/>
      <c r="H125" s="11"/>
      <c r="I125" s="11"/>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c r="AP125" s="11"/>
      <c r="AQ125" s="11"/>
      <c r="AR125" s="11"/>
      <c r="AS125" s="11"/>
      <c r="AT125" s="11"/>
      <c r="AU125" s="11"/>
      <c r="AV125" s="11"/>
      <c r="AW125" s="11"/>
      <c r="AX125" s="11"/>
      <c r="AY125" s="11"/>
      <c r="AZ125" s="11"/>
      <c r="BA125" s="11"/>
      <c r="BB125" s="10">
        <f t="shared" si="107"/>
        <v>0</v>
      </c>
      <c r="BC125" s="10">
        <f>時間希望調査!D95</f>
        <v>0</v>
      </c>
      <c r="BD125" s="10" t="str">
        <f>'役職希望調査 ・備考'!D95&amp;""</f>
        <v/>
      </c>
      <c r="BE125" s="10" t="str">
        <f>'役職希望調査 ・備考'!E95&amp;""</f>
        <v/>
      </c>
      <c r="BF125" s="10" t="str">
        <f>'役職希望調査 ・備考'!F95&amp;""</f>
        <v/>
      </c>
      <c r="BG125" s="10" t="str">
        <f>'役職希望調査 ・備考'!G95&amp;""</f>
        <v/>
      </c>
      <c r="BH125" s="10" t="str">
        <f>'役職希望調査 ・備考'!H95&amp;""</f>
        <v/>
      </c>
      <c r="BI125" s="10">
        <f t="shared" si="77"/>
        <v>0</v>
      </c>
      <c r="BJ125" s="10">
        <f t="shared" si="78"/>
        <v>0</v>
      </c>
      <c r="BK125" s="10">
        <f t="shared" si="79"/>
        <v>0</v>
      </c>
      <c r="BL125" s="10">
        <f t="shared" si="80"/>
        <v>0</v>
      </c>
      <c r="BM125" s="10">
        <f t="shared" si="81"/>
        <v>0</v>
      </c>
      <c r="BN125" s="10">
        <f t="shared" si="82"/>
        <v>0</v>
      </c>
      <c r="BO125" s="10">
        <f t="shared" si="83"/>
        <v>48</v>
      </c>
      <c r="BP125" s="10">
        <f t="shared" si="84"/>
        <v>48</v>
      </c>
      <c r="BQ125" s="10">
        <f t="shared" si="85"/>
        <v>47</v>
      </c>
      <c r="BR125" s="10">
        <f t="shared" si="86"/>
        <v>46</v>
      </c>
      <c r="BS125" s="10">
        <f t="shared" si="87"/>
        <v>45</v>
      </c>
      <c r="BT125" s="10">
        <f t="shared" si="88"/>
        <v>44</v>
      </c>
      <c r="BU125" s="10">
        <f t="shared" si="89"/>
        <v>43</v>
      </c>
      <c r="BV125" s="10">
        <f t="shared" si="90"/>
        <v>42</v>
      </c>
      <c r="BW125" s="10">
        <f t="shared" si="91"/>
        <v>41</v>
      </c>
      <c r="BX125" s="10">
        <f t="shared" si="92"/>
        <v>40</v>
      </c>
      <c r="BY125" s="10">
        <f t="shared" si="93"/>
        <v>39</v>
      </c>
      <c r="BZ125" s="10">
        <f t="shared" si="94"/>
        <v>38</v>
      </c>
      <c r="CA125" s="10">
        <f t="shared" si="95"/>
        <v>37</v>
      </c>
      <c r="CB125" s="10">
        <f t="shared" si="96"/>
        <v>36</v>
      </c>
      <c r="CC125" s="10">
        <f t="shared" si="97"/>
        <v>35</v>
      </c>
      <c r="CD125" s="10">
        <f t="shared" si="98"/>
        <v>34</v>
      </c>
      <c r="CE125" s="10">
        <f t="shared" si="99"/>
        <v>33</v>
      </c>
      <c r="CF125" s="10">
        <f t="shared" si="100"/>
        <v>32</v>
      </c>
      <c r="CG125" s="10">
        <f t="shared" si="101"/>
        <v>31</v>
      </c>
      <c r="CH125" s="10">
        <f t="shared" si="102"/>
        <v>30</v>
      </c>
      <c r="CI125" s="10">
        <f t="shared" si="103"/>
        <v>29</v>
      </c>
      <c r="CJ125" s="10">
        <f t="shared" si="104"/>
        <v>28</v>
      </c>
      <c r="CK125" s="10">
        <f t="shared" si="105"/>
        <v>27</v>
      </c>
      <c r="CL125" s="10">
        <f t="shared" si="106"/>
        <v>26</v>
      </c>
      <c r="CM125" s="10" t="str">
        <f>'役職希望調査 ・備考'!I95&amp;""</f>
        <v/>
      </c>
    </row>
    <row r="126" spans="1:91">
      <c r="A126" s="10" t="str">
        <f>時間希望調査!A96&amp;""</f>
        <v/>
      </c>
      <c r="B126" s="10" t="str">
        <f>時間希望調査!B96&amp;""</f>
        <v/>
      </c>
      <c r="C126" s="10" t="str">
        <f>時間希望調査!C96&amp;""</f>
        <v/>
      </c>
      <c r="D126" s="11"/>
      <c r="E126" s="11"/>
      <c r="F126" s="11"/>
      <c r="G126" s="11"/>
      <c r="H126" s="11"/>
      <c r="I126" s="11"/>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c r="AP126" s="11"/>
      <c r="AQ126" s="11"/>
      <c r="AR126" s="11"/>
      <c r="AS126" s="11"/>
      <c r="AT126" s="11"/>
      <c r="AU126" s="11"/>
      <c r="AV126" s="11"/>
      <c r="AW126" s="11"/>
      <c r="AX126" s="11"/>
      <c r="AY126" s="11"/>
      <c r="AZ126" s="11"/>
      <c r="BA126" s="11"/>
      <c r="BB126" s="10">
        <f t="shared" si="107"/>
        <v>0</v>
      </c>
      <c r="BC126" s="10">
        <f>時間希望調査!D96</f>
        <v>0</v>
      </c>
      <c r="BD126" s="10" t="str">
        <f>'役職希望調査 ・備考'!D96&amp;""</f>
        <v/>
      </c>
      <c r="BE126" s="10" t="str">
        <f>'役職希望調査 ・備考'!E96&amp;""</f>
        <v/>
      </c>
      <c r="BF126" s="10" t="str">
        <f>'役職希望調査 ・備考'!F96&amp;""</f>
        <v/>
      </c>
      <c r="BG126" s="10" t="str">
        <f>'役職希望調査 ・備考'!G96&amp;""</f>
        <v/>
      </c>
      <c r="BH126" s="10" t="str">
        <f>'役職希望調査 ・備考'!H96&amp;""</f>
        <v/>
      </c>
      <c r="BI126" s="10">
        <f t="shared" si="77"/>
        <v>0</v>
      </c>
      <c r="BJ126" s="10">
        <f t="shared" si="78"/>
        <v>0</v>
      </c>
      <c r="BK126" s="10">
        <f t="shared" si="79"/>
        <v>0</v>
      </c>
      <c r="BL126" s="10">
        <f t="shared" si="80"/>
        <v>0</v>
      </c>
      <c r="BM126" s="10">
        <f t="shared" si="81"/>
        <v>0</v>
      </c>
      <c r="BN126" s="10">
        <f t="shared" si="82"/>
        <v>0</v>
      </c>
      <c r="BO126" s="10">
        <f t="shared" si="83"/>
        <v>48</v>
      </c>
      <c r="BP126" s="10">
        <f t="shared" si="84"/>
        <v>48</v>
      </c>
      <c r="BQ126" s="10">
        <f t="shared" si="85"/>
        <v>47</v>
      </c>
      <c r="BR126" s="10">
        <f t="shared" si="86"/>
        <v>46</v>
      </c>
      <c r="BS126" s="10">
        <f t="shared" si="87"/>
        <v>45</v>
      </c>
      <c r="BT126" s="10">
        <f t="shared" si="88"/>
        <v>44</v>
      </c>
      <c r="BU126" s="10">
        <f t="shared" si="89"/>
        <v>43</v>
      </c>
      <c r="BV126" s="10">
        <f t="shared" si="90"/>
        <v>42</v>
      </c>
      <c r="BW126" s="10">
        <f t="shared" si="91"/>
        <v>41</v>
      </c>
      <c r="BX126" s="10">
        <f t="shared" si="92"/>
        <v>40</v>
      </c>
      <c r="BY126" s="10">
        <f t="shared" si="93"/>
        <v>39</v>
      </c>
      <c r="BZ126" s="10">
        <f t="shared" si="94"/>
        <v>38</v>
      </c>
      <c r="CA126" s="10">
        <f t="shared" si="95"/>
        <v>37</v>
      </c>
      <c r="CB126" s="10">
        <f t="shared" si="96"/>
        <v>36</v>
      </c>
      <c r="CC126" s="10">
        <f t="shared" si="97"/>
        <v>35</v>
      </c>
      <c r="CD126" s="10">
        <f t="shared" si="98"/>
        <v>34</v>
      </c>
      <c r="CE126" s="10">
        <f t="shared" si="99"/>
        <v>33</v>
      </c>
      <c r="CF126" s="10">
        <f t="shared" si="100"/>
        <v>32</v>
      </c>
      <c r="CG126" s="10">
        <f t="shared" si="101"/>
        <v>31</v>
      </c>
      <c r="CH126" s="10">
        <f t="shared" si="102"/>
        <v>30</v>
      </c>
      <c r="CI126" s="10">
        <f t="shared" si="103"/>
        <v>29</v>
      </c>
      <c r="CJ126" s="10">
        <f t="shared" si="104"/>
        <v>28</v>
      </c>
      <c r="CK126" s="10">
        <f t="shared" si="105"/>
        <v>27</v>
      </c>
      <c r="CL126" s="10">
        <f t="shared" si="106"/>
        <v>26</v>
      </c>
      <c r="CM126" s="10" t="str">
        <f>'役職希望調査 ・備考'!I96&amp;""</f>
        <v/>
      </c>
    </row>
    <row r="127" spans="1:91">
      <c r="A127" s="10" t="str">
        <f>時間希望調査!A97&amp;""</f>
        <v/>
      </c>
      <c r="B127" s="10" t="str">
        <f>時間希望調査!B97&amp;""</f>
        <v/>
      </c>
      <c r="C127" s="10" t="str">
        <f>時間希望調査!C97&amp;""</f>
        <v/>
      </c>
      <c r="D127" s="11"/>
      <c r="E127" s="11"/>
      <c r="F127" s="11"/>
      <c r="G127" s="11"/>
      <c r="H127" s="11"/>
      <c r="I127" s="11"/>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c r="AP127" s="11"/>
      <c r="AQ127" s="11"/>
      <c r="AR127" s="11"/>
      <c r="AS127" s="11"/>
      <c r="AT127" s="11"/>
      <c r="AU127" s="11"/>
      <c r="AV127" s="11"/>
      <c r="AW127" s="11"/>
      <c r="AX127" s="11"/>
      <c r="AY127" s="11"/>
      <c r="AZ127" s="11"/>
      <c r="BA127" s="11"/>
      <c r="BB127" s="10">
        <f t="shared" si="107"/>
        <v>0</v>
      </c>
      <c r="BC127" s="10">
        <f>時間希望調査!D97</f>
        <v>0</v>
      </c>
      <c r="BD127" s="10" t="str">
        <f>'役職希望調査 ・備考'!D97&amp;""</f>
        <v/>
      </c>
      <c r="BE127" s="10" t="str">
        <f>'役職希望調査 ・備考'!E97&amp;""</f>
        <v/>
      </c>
      <c r="BF127" s="10" t="str">
        <f>'役職希望調査 ・備考'!F97&amp;""</f>
        <v/>
      </c>
      <c r="BG127" s="10" t="str">
        <f>'役職希望調査 ・備考'!G97&amp;""</f>
        <v/>
      </c>
      <c r="BH127" s="10" t="str">
        <f>'役職希望調査 ・備考'!H97&amp;""</f>
        <v/>
      </c>
      <c r="BI127" s="10">
        <f t="shared" si="77"/>
        <v>0</v>
      </c>
      <c r="BJ127" s="10">
        <f t="shared" si="78"/>
        <v>0</v>
      </c>
      <c r="BK127" s="10">
        <f t="shared" si="79"/>
        <v>0</v>
      </c>
      <c r="BL127" s="10">
        <f t="shared" si="80"/>
        <v>0</v>
      </c>
      <c r="BM127" s="10">
        <f t="shared" si="81"/>
        <v>0</v>
      </c>
      <c r="BN127" s="10">
        <f t="shared" si="82"/>
        <v>0</v>
      </c>
      <c r="BO127" s="10">
        <f t="shared" si="83"/>
        <v>48</v>
      </c>
      <c r="BP127" s="10">
        <f t="shared" si="84"/>
        <v>48</v>
      </c>
      <c r="BQ127" s="10">
        <f t="shared" si="85"/>
        <v>47</v>
      </c>
      <c r="BR127" s="10">
        <f t="shared" si="86"/>
        <v>46</v>
      </c>
      <c r="BS127" s="10">
        <f t="shared" si="87"/>
        <v>45</v>
      </c>
      <c r="BT127" s="10">
        <f t="shared" si="88"/>
        <v>44</v>
      </c>
      <c r="BU127" s="10">
        <f t="shared" si="89"/>
        <v>43</v>
      </c>
      <c r="BV127" s="10">
        <f t="shared" si="90"/>
        <v>42</v>
      </c>
      <c r="BW127" s="10">
        <f t="shared" si="91"/>
        <v>41</v>
      </c>
      <c r="BX127" s="10">
        <f t="shared" si="92"/>
        <v>40</v>
      </c>
      <c r="BY127" s="10">
        <f t="shared" si="93"/>
        <v>39</v>
      </c>
      <c r="BZ127" s="10">
        <f t="shared" si="94"/>
        <v>38</v>
      </c>
      <c r="CA127" s="10">
        <f t="shared" si="95"/>
        <v>37</v>
      </c>
      <c r="CB127" s="10">
        <f t="shared" si="96"/>
        <v>36</v>
      </c>
      <c r="CC127" s="10">
        <f t="shared" si="97"/>
        <v>35</v>
      </c>
      <c r="CD127" s="10">
        <f t="shared" si="98"/>
        <v>34</v>
      </c>
      <c r="CE127" s="10">
        <f t="shared" si="99"/>
        <v>33</v>
      </c>
      <c r="CF127" s="10">
        <f t="shared" si="100"/>
        <v>32</v>
      </c>
      <c r="CG127" s="10">
        <f t="shared" si="101"/>
        <v>31</v>
      </c>
      <c r="CH127" s="10">
        <f t="shared" si="102"/>
        <v>30</v>
      </c>
      <c r="CI127" s="10">
        <f t="shared" si="103"/>
        <v>29</v>
      </c>
      <c r="CJ127" s="10">
        <f t="shared" si="104"/>
        <v>28</v>
      </c>
      <c r="CK127" s="10">
        <f t="shared" si="105"/>
        <v>27</v>
      </c>
      <c r="CL127" s="10">
        <f t="shared" si="106"/>
        <v>26</v>
      </c>
      <c r="CM127" s="10" t="str">
        <f>'役職希望調査 ・備考'!I97&amp;""</f>
        <v/>
      </c>
    </row>
    <row r="128" spans="1:91">
      <c r="A128" s="10" t="str">
        <f>時間希望調査!A98&amp;""</f>
        <v/>
      </c>
      <c r="B128" s="10" t="str">
        <f>時間希望調査!B98&amp;""</f>
        <v/>
      </c>
      <c r="C128" s="10" t="str">
        <f>時間希望調査!C98&amp;""</f>
        <v/>
      </c>
      <c r="D128" s="11"/>
      <c r="E128" s="11"/>
      <c r="F128" s="11"/>
      <c r="G128" s="11"/>
      <c r="H128" s="11"/>
      <c r="I128" s="11"/>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c r="AP128" s="11"/>
      <c r="AQ128" s="11"/>
      <c r="AR128" s="11"/>
      <c r="AS128" s="11"/>
      <c r="AT128" s="11"/>
      <c r="AU128" s="11"/>
      <c r="AV128" s="11"/>
      <c r="AW128" s="11"/>
      <c r="AX128" s="11"/>
      <c r="AY128" s="11"/>
      <c r="AZ128" s="11"/>
      <c r="BA128" s="11"/>
      <c r="BB128" s="10">
        <f t="shared" si="107"/>
        <v>0</v>
      </c>
      <c r="BC128" s="10">
        <f>時間希望調査!D98</f>
        <v>0</v>
      </c>
      <c r="BD128" s="10" t="str">
        <f>'役職希望調査 ・備考'!D98&amp;""</f>
        <v/>
      </c>
      <c r="BE128" s="10" t="str">
        <f>'役職希望調査 ・備考'!E98&amp;""</f>
        <v/>
      </c>
      <c r="BF128" s="10" t="str">
        <f>'役職希望調査 ・備考'!F98&amp;""</f>
        <v/>
      </c>
      <c r="BG128" s="10" t="str">
        <f>'役職希望調査 ・備考'!G98&amp;""</f>
        <v/>
      </c>
      <c r="BH128" s="10" t="str">
        <f>'役職希望調査 ・備考'!H98&amp;""</f>
        <v/>
      </c>
      <c r="BI128" s="10">
        <f t="shared" ref="BI128:BI159" si="108">COUNTIF(D128:BA128,BI$1)</f>
        <v>0</v>
      </c>
      <c r="BJ128" s="10">
        <f t="shared" ref="BJ128:BJ159" si="109">COUNTIF(E128:BB128,BJ$1)</f>
        <v>0</v>
      </c>
      <c r="BK128" s="10">
        <f t="shared" ref="BK128:BK159" si="110">COUNTIF(F128:BC128,BK$1)</f>
        <v>0</v>
      </c>
      <c r="BL128" s="10">
        <f t="shared" ref="BL128:BL159" si="111">COUNTIF(G128:BD128,BL$1)</f>
        <v>0</v>
      </c>
      <c r="BM128" s="10">
        <f t="shared" ref="BM128:BM159" si="112">COUNTIF(H128:BE128,BM$1)</f>
        <v>0</v>
      </c>
      <c r="BN128" s="10">
        <f t="shared" ref="BN128:BN159" si="113">COUNTIF(I128:BF128,BN$1)</f>
        <v>0</v>
      </c>
      <c r="BO128" s="10">
        <f t="shared" ref="BO128:BO159" si="114">COUNTIF(J128:BG128,BO$1)</f>
        <v>48</v>
      </c>
      <c r="BP128" s="10">
        <f t="shared" ref="BP128:BP159" si="115">COUNTIF(K128:BH128,BP$1)</f>
        <v>48</v>
      </c>
      <c r="BQ128" s="10">
        <f t="shared" ref="BQ128:BQ159" si="116">COUNTIF(L128:BI128,BQ$1)</f>
        <v>47</v>
      </c>
      <c r="BR128" s="10">
        <f t="shared" ref="BR128:BR159" si="117">COUNTIF(M128:BJ128,BR$1)</f>
        <v>46</v>
      </c>
      <c r="BS128" s="10">
        <f t="shared" ref="BS128:BS159" si="118">COUNTIF(N128:BK128,BS$1)</f>
        <v>45</v>
      </c>
      <c r="BT128" s="10">
        <f t="shared" ref="BT128:BT159" si="119">COUNTIF(O128:BL128,BT$1)</f>
        <v>44</v>
      </c>
      <c r="BU128" s="10">
        <f t="shared" ref="BU128:BU159" si="120">COUNTIF(P128:BM128,BU$1)</f>
        <v>43</v>
      </c>
      <c r="BV128" s="10">
        <f t="shared" ref="BV128:BV159" si="121">COUNTIF(Q128:BN128,BV$1)</f>
        <v>42</v>
      </c>
      <c r="BW128" s="10">
        <f t="shared" ref="BW128:BW159" si="122">COUNTIF(R128:BO128,BW$1)</f>
        <v>41</v>
      </c>
      <c r="BX128" s="10">
        <f t="shared" ref="BX128:BX159" si="123">COUNTIF(S128:BP128,BX$1)</f>
        <v>40</v>
      </c>
      <c r="BY128" s="10">
        <f t="shared" ref="BY128:BY159" si="124">COUNTIF(T128:BQ128,BY$1)</f>
        <v>39</v>
      </c>
      <c r="BZ128" s="10">
        <f t="shared" ref="BZ128:BZ159" si="125">COUNTIF(U128:BR128,BZ$1)</f>
        <v>38</v>
      </c>
      <c r="CA128" s="10">
        <f t="shared" ref="CA128:CA159" si="126">COUNTIF(V128:BS128,CA$1)</f>
        <v>37</v>
      </c>
      <c r="CB128" s="10">
        <f t="shared" ref="CB128:CB159" si="127">COUNTIF(W128:BT128,CB$1)</f>
        <v>36</v>
      </c>
      <c r="CC128" s="10">
        <f t="shared" ref="CC128:CC159" si="128">COUNTIF(X128:BU128,CC$1)</f>
        <v>35</v>
      </c>
      <c r="CD128" s="10">
        <f t="shared" ref="CD128:CD159" si="129">COUNTIF(Y128:BV128,CD$1)</f>
        <v>34</v>
      </c>
      <c r="CE128" s="10">
        <f t="shared" ref="CE128:CE159" si="130">COUNTIF(Z128:BW128,CE$1)</f>
        <v>33</v>
      </c>
      <c r="CF128" s="10">
        <f t="shared" ref="CF128:CF159" si="131">COUNTIF(AA128:BX128,CF$1)</f>
        <v>32</v>
      </c>
      <c r="CG128" s="10">
        <f t="shared" ref="CG128:CG159" si="132">COUNTIF(AB128:BY128,CG$1)</f>
        <v>31</v>
      </c>
      <c r="CH128" s="10">
        <f t="shared" ref="CH128:CH159" si="133">COUNTIF(AC128:BZ128,CH$1)</f>
        <v>30</v>
      </c>
      <c r="CI128" s="10">
        <f t="shared" ref="CI128:CI159" si="134">COUNTIF(AD128:CA128,CI$1)</f>
        <v>29</v>
      </c>
      <c r="CJ128" s="10">
        <f t="shared" ref="CJ128:CJ159" si="135">COUNTIF(AE128:CB128,CJ$1)</f>
        <v>28</v>
      </c>
      <c r="CK128" s="10">
        <f t="shared" ref="CK128:CK159" si="136">COUNTIF(AF128:CC128,CK$1)</f>
        <v>27</v>
      </c>
      <c r="CL128" s="10">
        <f t="shared" ref="CL128:CL159" si="137">COUNTIF(AG128:CD128,CL$1)</f>
        <v>26</v>
      </c>
      <c r="CM128" s="10" t="str">
        <f>'役職希望調査 ・備考'!I98&amp;""</f>
        <v/>
      </c>
    </row>
    <row r="129" spans="1:91">
      <c r="A129" s="10" t="str">
        <f>時間希望調査!A99&amp;""</f>
        <v/>
      </c>
      <c r="B129" s="10" t="str">
        <f>時間希望調査!B99&amp;""</f>
        <v/>
      </c>
      <c r="C129" s="10" t="str">
        <f>時間希望調査!C99&amp;""</f>
        <v/>
      </c>
      <c r="D129" s="11"/>
      <c r="E129" s="11"/>
      <c r="F129" s="11"/>
      <c r="G129" s="11"/>
      <c r="H129" s="11"/>
      <c r="I129" s="11"/>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c r="AP129" s="11"/>
      <c r="AQ129" s="11"/>
      <c r="AR129" s="11"/>
      <c r="AS129" s="11"/>
      <c r="AT129" s="11"/>
      <c r="AU129" s="11"/>
      <c r="AV129" s="11"/>
      <c r="AW129" s="11"/>
      <c r="AX129" s="11"/>
      <c r="AY129" s="11"/>
      <c r="AZ129" s="11"/>
      <c r="BA129" s="11"/>
      <c r="BB129" s="10">
        <f t="shared" si="107"/>
        <v>0</v>
      </c>
      <c r="BC129" s="10">
        <f>時間希望調査!D99</f>
        <v>0</v>
      </c>
      <c r="BD129" s="10" t="str">
        <f>'役職希望調査 ・備考'!D99&amp;""</f>
        <v/>
      </c>
      <c r="BE129" s="10" t="str">
        <f>'役職希望調査 ・備考'!E99&amp;""</f>
        <v/>
      </c>
      <c r="BF129" s="10" t="str">
        <f>'役職希望調査 ・備考'!F99&amp;""</f>
        <v/>
      </c>
      <c r="BG129" s="10" t="str">
        <f>'役職希望調査 ・備考'!G99&amp;""</f>
        <v/>
      </c>
      <c r="BH129" s="10" t="str">
        <f>'役職希望調査 ・備考'!H99&amp;""</f>
        <v/>
      </c>
      <c r="BI129" s="10">
        <f t="shared" si="108"/>
        <v>0</v>
      </c>
      <c r="BJ129" s="10">
        <f t="shared" si="109"/>
        <v>0</v>
      </c>
      <c r="BK129" s="10">
        <f t="shared" si="110"/>
        <v>0</v>
      </c>
      <c r="BL129" s="10">
        <f t="shared" si="111"/>
        <v>0</v>
      </c>
      <c r="BM129" s="10">
        <f t="shared" si="112"/>
        <v>0</v>
      </c>
      <c r="BN129" s="10">
        <f t="shared" si="113"/>
        <v>0</v>
      </c>
      <c r="BO129" s="10">
        <f t="shared" si="114"/>
        <v>48</v>
      </c>
      <c r="BP129" s="10">
        <f t="shared" si="115"/>
        <v>48</v>
      </c>
      <c r="BQ129" s="10">
        <f t="shared" si="116"/>
        <v>47</v>
      </c>
      <c r="BR129" s="10">
        <f t="shared" si="117"/>
        <v>46</v>
      </c>
      <c r="BS129" s="10">
        <f t="shared" si="118"/>
        <v>45</v>
      </c>
      <c r="BT129" s="10">
        <f t="shared" si="119"/>
        <v>44</v>
      </c>
      <c r="BU129" s="10">
        <f t="shared" si="120"/>
        <v>43</v>
      </c>
      <c r="BV129" s="10">
        <f t="shared" si="121"/>
        <v>42</v>
      </c>
      <c r="BW129" s="10">
        <f t="shared" si="122"/>
        <v>41</v>
      </c>
      <c r="BX129" s="10">
        <f t="shared" si="123"/>
        <v>40</v>
      </c>
      <c r="BY129" s="10">
        <f t="shared" si="124"/>
        <v>39</v>
      </c>
      <c r="BZ129" s="10">
        <f t="shared" si="125"/>
        <v>38</v>
      </c>
      <c r="CA129" s="10">
        <f t="shared" si="126"/>
        <v>37</v>
      </c>
      <c r="CB129" s="10">
        <f t="shared" si="127"/>
        <v>36</v>
      </c>
      <c r="CC129" s="10">
        <f t="shared" si="128"/>
        <v>35</v>
      </c>
      <c r="CD129" s="10">
        <f t="shared" si="129"/>
        <v>34</v>
      </c>
      <c r="CE129" s="10">
        <f t="shared" si="130"/>
        <v>33</v>
      </c>
      <c r="CF129" s="10">
        <f t="shared" si="131"/>
        <v>32</v>
      </c>
      <c r="CG129" s="10">
        <f t="shared" si="132"/>
        <v>31</v>
      </c>
      <c r="CH129" s="10">
        <f t="shared" si="133"/>
        <v>30</v>
      </c>
      <c r="CI129" s="10">
        <f t="shared" si="134"/>
        <v>29</v>
      </c>
      <c r="CJ129" s="10">
        <f t="shared" si="135"/>
        <v>28</v>
      </c>
      <c r="CK129" s="10">
        <f t="shared" si="136"/>
        <v>27</v>
      </c>
      <c r="CL129" s="10">
        <f t="shared" si="137"/>
        <v>26</v>
      </c>
      <c r="CM129" s="10" t="str">
        <f>'役職希望調査 ・備考'!I99&amp;""</f>
        <v/>
      </c>
    </row>
    <row r="130" spans="1:91">
      <c r="A130" s="10" t="str">
        <f>時間希望調査!A100&amp;""</f>
        <v/>
      </c>
      <c r="B130" s="10" t="str">
        <f>時間希望調査!B100&amp;""</f>
        <v/>
      </c>
      <c r="C130" s="10" t="str">
        <f>時間希望調査!C100&amp;""</f>
        <v/>
      </c>
      <c r="D130" s="11"/>
      <c r="E130" s="11"/>
      <c r="F130" s="11"/>
      <c r="G130" s="11"/>
      <c r="H130" s="11"/>
      <c r="I130" s="11"/>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c r="AP130" s="11"/>
      <c r="AQ130" s="11"/>
      <c r="AR130" s="11"/>
      <c r="AS130" s="11"/>
      <c r="AT130" s="11"/>
      <c r="AU130" s="11"/>
      <c r="AV130" s="11"/>
      <c r="AW130" s="11"/>
      <c r="AX130" s="11"/>
      <c r="AY130" s="11"/>
      <c r="AZ130" s="11"/>
      <c r="BA130" s="11"/>
      <c r="BB130" s="10">
        <f t="shared" si="107"/>
        <v>0</v>
      </c>
      <c r="BC130" s="10">
        <f>時間希望調査!D100</f>
        <v>0</v>
      </c>
      <c r="BD130" s="10" t="str">
        <f>'役職希望調査 ・備考'!D100&amp;""</f>
        <v/>
      </c>
      <c r="BE130" s="10" t="str">
        <f>'役職希望調査 ・備考'!E100&amp;""</f>
        <v/>
      </c>
      <c r="BF130" s="10" t="str">
        <f>'役職希望調査 ・備考'!F100&amp;""</f>
        <v/>
      </c>
      <c r="BG130" s="10" t="str">
        <f>'役職希望調査 ・備考'!G100&amp;""</f>
        <v/>
      </c>
      <c r="BH130" s="10" t="str">
        <f>'役職希望調査 ・備考'!H100&amp;""</f>
        <v/>
      </c>
      <c r="BI130" s="10">
        <f t="shared" si="108"/>
        <v>0</v>
      </c>
      <c r="BJ130" s="10">
        <f t="shared" si="109"/>
        <v>0</v>
      </c>
      <c r="BK130" s="10">
        <f t="shared" si="110"/>
        <v>0</v>
      </c>
      <c r="BL130" s="10">
        <f t="shared" si="111"/>
        <v>0</v>
      </c>
      <c r="BM130" s="10">
        <f t="shared" si="112"/>
        <v>0</v>
      </c>
      <c r="BN130" s="10">
        <f t="shared" si="113"/>
        <v>0</v>
      </c>
      <c r="BO130" s="10">
        <f t="shared" si="114"/>
        <v>48</v>
      </c>
      <c r="BP130" s="10">
        <f t="shared" si="115"/>
        <v>48</v>
      </c>
      <c r="BQ130" s="10">
        <f t="shared" si="116"/>
        <v>47</v>
      </c>
      <c r="BR130" s="10">
        <f t="shared" si="117"/>
        <v>46</v>
      </c>
      <c r="BS130" s="10">
        <f t="shared" si="118"/>
        <v>45</v>
      </c>
      <c r="BT130" s="10">
        <f t="shared" si="119"/>
        <v>44</v>
      </c>
      <c r="BU130" s="10">
        <f t="shared" si="120"/>
        <v>43</v>
      </c>
      <c r="BV130" s="10">
        <f t="shared" si="121"/>
        <v>42</v>
      </c>
      <c r="BW130" s="10">
        <f t="shared" si="122"/>
        <v>41</v>
      </c>
      <c r="BX130" s="10">
        <f t="shared" si="123"/>
        <v>40</v>
      </c>
      <c r="BY130" s="10">
        <f t="shared" si="124"/>
        <v>39</v>
      </c>
      <c r="BZ130" s="10">
        <f t="shared" si="125"/>
        <v>38</v>
      </c>
      <c r="CA130" s="10">
        <f t="shared" si="126"/>
        <v>37</v>
      </c>
      <c r="CB130" s="10">
        <f t="shared" si="127"/>
        <v>36</v>
      </c>
      <c r="CC130" s="10">
        <f t="shared" si="128"/>
        <v>35</v>
      </c>
      <c r="CD130" s="10">
        <f t="shared" si="129"/>
        <v>34</v>
      </c>
      <c r="CE130" s="10">
        <f t="shared" si="130"/>
        <v>33</v>
      </c>
      <c r="CF130" s="10">
        <f t="shared" si="131"/>
        <v>32</v>
      </c>
      <c r="CG130" s="10">
        <f t="shared" si="132"/>
        <v>31</v>
      </c>
      <c r="CH130" s="10">
        <f t="shared" si="133"/>
        <v>30</v>
      </c>
      <c r="CI130" s="10">
        <f t="shared" si="134"/>
        <v>29</v>
      </c>
      <c r="CJ130" s="10">
        <f t="shared" si="135"/>
        <v>28</v>
      </c>
      <c r="CK130" s="10">
        <f t="shared" si="136"/>
        <v>27</v>
      </c>
      <c r="CL130" s="10">
        <f t="shared" si="137"/>
        <v>26</v>
      </c>
      <c r="CM130" s="10" t="str">
        <f>'役職希望調査 ・備考'!I100&amp;""</f>
        <v/>
      </c>
    </row>
    <row r="131" spans="1:91">
      <c r="A131" s="10" t="str">
        <f>時間希望調査!A101&amp;""</f>
        <v/>
      </c>
      <c r="B131" s="10" t="str">
        <f>時間希望調査!B101&amp;""</f>
        <v/>
      </c>
      <c r="C131" s="10" t="str">
        <f>時間希望調査!C101&amp;""</f>
        <v/>
      </c>
      <c r="D131" s="11"/>
      <c r="E131" s="11"/>
      <c r="F131" s="11"/>
      <c r="G131" s="11"/>
      <c r="H131" s="11"/>
      <c r="I131" s="11"/>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c r="AP131" s="11"/>
      <c r="AQ131" s="11"/>
      <c r="AR131" s="11"/>
      <c r="AS131" s="11"/>
      <c r="AT131" s="11"/>
      <c r="AU131" s="11"/>
      <c r="AV131" s="11"/>
      <c r="AW131" s="11"/>
      <c r="AX131" s="11"/>
      <c r="AY131" s="11"/>
      <c r="AZ131" s="11"/>
      <c r="BA131" s="11"/>
      <c r="BB131" s="10">
        <f t="shared" si="107"/>
        <v>0</v>
      </c>
      <c r="BC131" s="10">
        <f>時間希望調査!D101</f>
        <v>0</v>
      </c>
      <c r="BD131" s="10" t="str">
        <f>'役職希望調査 ・備考'!D101&amp;""</f>
        <v/>
      </c>
      <c r="BE131" s="10" t="str">
        <f>'役職希望調査 ・備考'!E101&amp;""</f>
        <v/>
      </c>
      <c r="BF131" s="10" t="str">
        <f>'役職希望調査 ・備考'!F101&amp;""</f>
        <v/>
      </c>
      <c r="BG131" s="10" t="str">
        <f>'役職希望調査 ・備考'!G101&amp;""</f>
        <v/>
      </c>
      <c r="BH131" s="10" t="str">
        <f>'役職希望調査 ・備考'!H101&amp;""</f>
        <v/>
      </c>
      <c r="BI131" s="10">
        <f t="shared" si="108"/>
        <v>0</v>
      </c>
      <c r="BJ131" s="10">
        <f t="shared" si="109"/>
        <v>0</v>
      </c>
      <c r="BK131" s="10">
        <f t="shared" si="110"/>
        <v>0</v>
      </c>
      <c r="BL131" s="10">
        <f t="shared" si="111"/>
        <v>0</v>
      </c>
      <c r="BM131" s="10">
        <f t="shared" si="112"/>
        <v>0</v>
      </c>
      <c r="BN131" s="10">
        <f t="shared" si="113"/>
        <v>0</v>
      </c>
      <c r="BO131" s="10">
        <f t="shared" si="114"/>
        <v>48</v>
      </c>
      <c r="BP131" s="10">
        <f t="shared" si="115"/>
        <v>48</v>
      </c>
      <c r="BQ131" s="10">
        <f t="shared" si="116"/>
        <v>47</v>
      </c>
      <c r="BR131" s="10">
        <f t="shared" si="117"/>
        <v>46</v>
      </c>
      <c r="BS131" s="10">
        <f t="shared" si="118"/>
        <v>45</v>
      </c>
      <c r="BT131" s="10">
        <f t="shared" si="119"/>
        <v>44</v>
      </c>
      <c r="BU131" s="10">
        <f t="shared" si="120"/>
        <v>43</v>
      </c>
      <c r="BV131" s="10">
        <f t="shared" si="121"/>
        <v>42</v>
      </c>
      <c r="BW131" s="10">
        <f t="shared" si="122"/>
        <v>41</v>
      </c>
      <c r="BX131" s="10">
        <f t="shared" si="123"/>
        <v>40</v>
      </c>
      <c r="BY131" s="10">
        <f t="shared" si="124"/>
        <v>39</v>
      </c>
      <c r="BZ131" s="10">
        <f t="shared" si="125"/>
        <v>38</v>
      </c>
      <c r="CA131" s="10">
        <f t="shared" si="126"/>
        <v>37</v>
      </c>
      <c r="CB131" s="10">
        <f t="shared" si="127"/>
        <v>36</v>
      </c>
      <c r="CC131" s="10">
        <f t="shared" si="128"/>
        <v>35</v>
      </c>
      <c r="CD131" s="10">
        <f t="shared" si="129"/>
        <v>34</v>
      </c>
      <c r="CE131" s="10">
        <f t="shared" si="130"/>
        <v>33</v>
      </c>
      <c r="CF131" s="10">
        <f t="shared" si="131"/>
        <v>32</v>
      </c>
      <c r="CG131" s="10">
        <f t="shared" si="132"/>
        <v>31</v>
      </c>
      <c r="CH131" s="10">
        <f t="shared" si="133"/>
        <v>30</v>
      </c>
      <c r="CI131" s="10">
        <f t="shared" si="134"/>
        <v>29</v>
      </c>
      <c r="CJ131" s="10">
        <f t="shared" si="135"/>
        <v>28</v>
      </c>
      <c r="CK131" s="10">
        <f t="shared" si="136"/>
        <v>27</v>
      </c>
      <c r="CL131" s="10">
        <f t="shared" si="137"/>
        <v>26</v>
      </c>
      <c r="CM131" s="10" t="str">
        <f>'役職希望調査 ・備考'!I101&amp;""</f>
        <v/>
      </c>
    </row>
    <row r="132" spans="1:91">
      <c r="A132" s="10" t="str">
        <f>時間希望調査!A102&amp;""</f>
        <v/>
      </c>
      <c r="B132" s="10" t="str">
        <f>時間希望調査!B102&amp;""</f>
        <v/>
      </c>
      <c r="C132" s="10" t="str">
        <f>時間希望調査!C102&amp;""</f>
        <v/>
      </c>
      <c r="D132" s="11"/>
      <c r="E132" s="11"/>
      <c r="F132" s="11"/>
      <c r="G132" s="11"/>
      <c r="H132" s="11"/>
      <c r="I132" s="11"/>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c r="AP132" s="11"/>
      <c r="AQ132" s="11"/>
      <c r="AR132" s="11"/>
      <c r="AS132" s="11"/>
      <c r="AT132" s="11"/>
      <c r="AU132" s="11"/>
      <c r="AV132" s="11"/>
      <c r="AW132" s="11"/>
      <c r="AX132" s="11"/>
      <c r="AY132" s="11"/>
      <c r="AZ132" s="11"/>
      <c r="BA132" s="11"/>
      <c r="BB132" s="10">
        <f t="shared" si="107"/>
        <v>0</v>
      </c>
      <c r="BC132" s="10">
        <f>時間希望調査!D102</f>
        <v>0</v>
      </c>
      <c r="BD132" s="10" t="str">
        <f>'役職希望調査 ・備考'!D102&amp;""</f>
        <v/>
      </c>
      <c r="BE132" s="10" t="str">
        <f>'役職希望調査 ・備考'!E102&amp;""</f>
        <v/>
      </c>
      <c r="BF132" s="10" t="str">
        <f>'役職希望調査 ・備考'!F102&amp;""</f>
        <v/>
      </c>
      <c r="BG132" s="10" t="str">
        <f>'役職希望調査 ・備考'!G102&amp;""</f>
        <v/>
      </c>
      <c r="BH132" s="10" t="str">
        <f>'役職希望調査 ・備考'!H102&amp;""</f>
        <v/>
      </c>
      <c r="BI132" s="10">
        <f t="shared" si="108"/>
        <v>0</v>
      </c>
      <c r="BJ132" s="10">
        <f t="shared" si="109"/>
        <v>0</v>
      </c>
      <c r="BK132" s="10">
        <f t="shared" si="110"/>
        <v>0</v>
      </c>
      <c r="BL132" s="10">
        <f t="shared" si="111"/>
        <v>0</v>
      </c>
      <c r="BM132" s="10">
        <f t="shared" si="112"/>
        <v>0</v>
      </c>
      <c r="BN132" s="10">
        <f t="shared" si="113"/>
        <v>0</v>
      </c>
      <c r="BO132" s="10">
        <f t="shared" si="114"/>
        <v>48</v>
      </c>
      <c r="BP132" s="10">
        <f t="shared" si="115"/>
        <v>48</v>
      </c>
      <c r="BQ132" s="10">
        <f t="shared" si="116"/>
        <v>47</v>
      </c>
      <c r="BR132" s="10">
        <f t="shared" si="117"/>
        <v>46</v>
      </c>
      <c r="BS132" s="10">
        <f t="shared" si="118"/>
        <v>45</v>
      </c>
      <c r="BT132" s="10">
        <f t="shared" si="119"/>
        <v>44</v>
      </c>
      <c r="BU132" s="10">
        <f t="shared" si="120"/>
        <v>43</v>
      </c>
      <c r="BV132" s="10">
        <f t="shared" si="121"/>
        <v>42</v>
      </c>
      <c r="BW132" s="10">
        <f t="shared" si="122"/>
        <v>41</v>
      </c>
      <c r="BX132" s="10">
        <f t="shared" si="123"/>
        <v>40</v>
      </c>
      <c r="BY132" s="10">
        <f t="shared" si="124"/>
        <v>39</v>
      </c>
      <c r="BZ132" s="10">
        <f t="shared" si="125"/>
        <v>38</v>
      </c>
      <c r="CA132" s="10">
        <f t="shared" si="126"/>
        <v>37</v>
      </c>
      <c r="CB132" s="10">
        <f t="shared" si="127"/>
        <v>36</v>
      </c>
      <c r="CC132" s="10">
        <f t="shared" si="128"/>
        <v>35</v>
      </c>
      <c r="CD132" s="10">
        <f t="shared" si="129"/>
        <v>34</v>
      </c>
      <c r="CE132" s="10">
        <f t="shared" si="130"/>
        <v>33</v>
      </c>
      <c r="CF132" s="10">
        <f t="shared" si="131"/>
        <v>32</v>
      </c>
      <c r="CG132" s="10">
        <f t="shared" si="132"/>
        <v>31</v>
      </c>
      <c r="CH132" s="10">
        <f t="shared" si="133"/>
        <v>30</v>
      </c>
      <c r="CI132" s="10">
        <f t="shared" si="134"/>
        <v>29</v>
      </c>
      <c r="CJ132" s="10">
        <f t="shared" si="135"/>
        <v>28</v>
      </c>
      <c r="CK132" s="10">
        <f t="shared" si="136"/>
        <v>27</v>
      </c>
      <c r="CL132" s="10">
        <f t="shared" si="137"/>
        <v>26</v>
      </c>
      <c r="CM132" s="10" t="str">
        <f>'役職希望調査 ・備考'!I102&amp;""</f>
        <v/>
      </c>
    </row>
    <row r="133" spans="1:91">
      <c r="A133" s="10" t="str">
        <f>時間希望調査!A103&amp;""</f>
        <v/>
      </c>
      <c r="B133" s="10" t="str">
        <f>時間希望調査!B103&amp;""</f>
        <v/>
      </c>
      <c r="C133" s="10" t="str">
        <f>時間希望調査!C103&amp;""</f>
        <v/>
      </c>
      <c r="D133" s="11"/>
      <c r="E133" s="11"/>
      <c r="F133" s="11"/>
      <c r="G133" s="11"/>
      <c r="H133" s="11"/>
      <c r="I133" s="11"/>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c r="AP133" s="11"/>
      <c r="AQ133" s="11"/>
      <c r="AR133" s="11"/>
      <c r="AS133" s="11"/>
      <c r="AT133" s="11"/>
      <c r="AU133" s="11"/>
      <c r="AV133" s="11"/>
      <c r="AW133" s="11"/>
      <c r="AX133" s="11"/>
      <c r="AY133" s="11"/>
      <c r="AZ133" s="11"/>
      <c r="BA133" s="11"/>
      <c r="BB133" s="10">
        <f t="shared" si="107"/>
        <v>0</v>
      </c>
      <c r="BC133" s="10">
        <f>時間希望調査!D103</f>
        <v>0</v>
      </c>
      <c r="BD133" s="10" t="str">
        <f>'役職希望調査 ・備考'!D103&amp;""</f>
        <v/>
      </c>
      <c r="BE133" s="10" t="str">
        <f>'役職希望調査 ・備考'!E103&amp;""</f>
        <v/>
      </c>
      <c r="BF133" s="10" t="str">
        <f>'役職希望調査 ・備考'!F103&amp;""</f>
        <v/>
      </c>
      <c r="BG133" s="10" t="str">
        <f>'役職希望調査 ・備考'!G103&amp;""</f>
        <v/>
      </c>
      <c r="BH133" s="10" t="str">
        <f>'役職希望調査 ・備考'!H103&amp;""</f>
        <v/>
      </c>
      <c r="BI133" s="10">
        <f t="shared" si="108"/>
        <v>0</v>
      </c>
      <c r="BJ133" s="10">
        <f t="shared" si="109"/>
        <v>0</v>
      </c>
      <c r="BK133" s="10">
        <f t="shared" si="110"/>
        <v>0</v>
      </c>
      <c r="BL133" s="10">
        <f t="shared" si="111"/>
        <v>0</v>
      </c>
      <c r="BM133" s="10">
        <f t="shared" si="112"/>
        <v>0</v>
      </c>
      <c r="BN133" s="10">
        <f t="shared" si="113"/>
        <v>0</v>
      </c>
      <c r="BO133" s="10">
        <f t="shared" si="114"/>
        <v>48</v>
      </c>
      <c r="BP133" s="10">
        <f t="shared" si="115"/>
        <v>48</v>
      </c>
      <c r="BQ133" s="10">
        <f t="shared" si="116"/>
        <v>47</v>
      </c>
      <c r="BR133" s="10">
        <f t="shared" si="117"/>
        <v>46</v>
      </c>
      <c r="BS133" s="10">
        <f t="shared" si="118"/>
        <v>45</v>
      </c>
      <c r="BT133" s="10">
        <f t="shared" si="119"/>
        <v>44</v>
      </c>
      <c r="BU133" s="10">
        <f t="shared" si="120"/>
        <v>43</v>
      </c>
      <c r="BV133" s="10">
        <f t="shared" si="121"/>
        <v>42</v>
      </c>
      <c r="BW133" s="10">
        <f t="shared" si="122"/>
        <v>41</v>
      </c>
      <c r="BX133" s="10">
        <f t="shared" si="123"/>
        <v>40</v>
      </c>
      <c r="BY133" s="10">
        <f t="shared" si="124"/>
        <v>39</v>
      </c>
      <c r="BZ133" s="10">
        <f t="shared" si="125"/>
        <v>38</v>
      </c>
      <c r="CA133" s="10">
        <f t="shared" si="126"/>
        <v>37</v>
      </c>
      <c r="CB133" s="10">
        <f t="shared" si="127"/>
        <v>36</v>
      </c>
      <c r="CC133" s="10">
        <f t="shared" si="128"/>
        <v>35</v>
      </c>
      <c r="CD133" s="10">
        <f t="shared" si="129"/>
        <v>34</v>
      </c>
      <c r="CE133" s="10">
        <f t="shared" si="130"/>
        <v>33</v>
      </c>
      <c r="CF133" s="10">
        <f t="shared" si="131"/>
        <v>32</v>
      </c>
      <c r="CG133" s="10">
        <f t="shared" si="132"/>
        <v>31</v>
      </c>
      <c r="CH133" s="10">
        <f t="shared" si="133"/>
        <v>30</v>
      </c>
      <c r="CI133" s="10">
        <f t="shared" si="134"/>
        <v>29</v>
      </c>
      <c r="CJ133" s="10">
        <f t="shared" si="135"/>
        <v>28</v>
      </c>
      <c r="CK133" s="10">
        <f t="shared" si="136"/>
        <v>27</v>
      </c>
      <c r="CL133" s="10">
        <f t="shared" si="137"/>
        <v>26</v>
      </c>
      <c r="CM133" s="10" t="str">
        <f>'役職希望調査 ・備考'!I103&amp;""</f>
        <v/>
      </c>
    </row>
    <row r="134" spans="1:91">
      <c r="A134" s="10" t="str">
        <f>時間希望調査!A104&amp;""</f>
        <v/>
      </c>
      <c r="B134" s="10" t="str">
        <f>時間希望調査!B104&amp;""</f>
        <v/>
      </c>
      <c r="C134" s="10" t="str">
        <f>時間希望調査!C104&amp;""</f>
        <v/>
      </c>
      <c r="D134" s="11"/>
      <c r="E134" s="11"/>
      <c r="F134" s="11"/>
      <c r="G134" s="11"/>
      <c r="H134" s="11"/>
      <c r="I134" s="11"/>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c r="AP134" s="11"/>
      <c r="AQ134" s="11"/>
      <c r="AR134" s="11"/>
      <c r="AS134" s="11"/>
      <c r="AT134" s="11"/>
      <c r="AU134" s="11"/>
      <c r="AV134" s="11"/>
      <c r="AW134" s="11"/>
      <c r="AX134" s="11"/>
      <c r="AY134" s="11"/>
      <c r="AZ134" s="11"/>
      <c r="BA134" s="11"/>
      <c r="BB134" s="10">
        <f t="shared" si="107"/>
        <v>0</v>
      </c>
      <c r="BC134" s="10">
        <f>時間希望調査!D104</f>
        <v>0</v>
      </c>
      <c r="BD134" s="10" t="str">
        <f>'役職希望調査 ・備考'!D104&amp;""</f>
        <v/>
      </c>
      <c r="BE134" s="10" t="str">
        <f>'役職希望調査 ・備考'!E104&amp;""</f>
        <v/>
      </c>
      <c r="BF134" s="10" t="str">
        <f>'役職希望調査 ・備考'!F104&amp;""</f>
        <v/>
      </c>
      <c r="BG134" s="10" t="str">
        <f>'役職希望調査 ・備考'!G104&amp;""</f>
        <v/>
      </c>
      <c r="BH134" s="10" t="str">
        <f>'役職希望調査 ・備考'!H104&amp;""</f>
        <v/>
      </c>
      <c r="BI134" s="10">
        <f t="shared" si="108"/>
        <v>0</v>
      </c>
      <c r="BJ134" s="10">
        <f t="shared" si="109"/>
        <v>0</v>
      </c>
      <c r="BK134" s="10">
        <f t="shared" si="110"/>
        <v>0</v>
      </c>
      <c r="BL134" s="10">
        <f t="shared" si="111"/>
        <v>0</v>
      </c>
      <c r="BM134" s="10">
        <f t="shared" si="112"/>
        <v>0</v>
      </c>
      <c r="BN134" s="10">
        <f t="shared" si="113"/>
        <v>0</v>
      </c>
      <c r="BO134" s="10">
        <f t="shared" si="114"/>
        <v>48</v>
      </c>
      <c r="BP134" s="10">
        <f t="shared" si="115"/>
        <v>48</v>
      </c>
      <c r="BQ134" s="10">
        <f t="shared" si="116"/>
        <v>47</v>
      </c>
      <c r="BR134" s="10">
        <f t="shared" si="117"/>
        <v>46</v>
      </c>
      <c r="BS134" s="10">
        <f t="shared" si="118"/>
        <v>45</v>
      </c>
      <c r="BT134" s="10">
        <f t="shared" si="119"/>
        <v>44</v>
      </c>
      <c r="BU134" s="10">
        <f t="shared" si="120"/>
        <v>43</v>
      </c>
      <c r="BV134" s="10">
        <f t="shared" si="121"/>
        <v>42</v>
      </c>
      <c r="BW134" s="10">
        <f t="shared" si="122"/>
        <v>41</v>
      </c>
      <c r="BX134" s="10">
        <f t="shared" si="123"/>
        <v>40</v>
      </c>
      <c r="BY134" s="10">
        <f t="shared" si="124"/>
        <v>39</v>
      </c>
      <c r="BZ134" s="10">
        <f t="shared" si="125"/>
        <v>38</v>
      </c>
      <c r="CA134" s="10">
        <f t="shared" si="126"/>
        <v>37</v>
      </c>
      <c r="CB134" s="10">
        <f t="shared" si="127"/>
        <v>36</v>
      </c>
      <c r="CC134" s="10">
        <f t="shared" si="128"/>
        <v>35</v>
      </c>
      <c r="CD134" s="10">
        <f t="shared" si="129"/>
        <v>34</v>
      </c>
      <c r="CE134" s="10">
        <f t="shared" si="130"/>
        <v>33</v>
      </c>
      <c r="CF134" s="10">
        <f t="shared" si="131"/>
        <v>32</v>
      </c>
      <c r="CG134" s="10">
        <f t="shared" si="132"/>
        <v>31</v>
      </c>
      <c r="CH134" s="10">
        <f t="shared" si="133"/>
        <v>30</v>
      </c>
      <c r="CI134" s="10">
        <f t="shared" si="134"/>
        <v>29</v>
      </c>
      <c r="CJ134" s="10">
        <f t="shared" si="135"/>
        <v>28</v>
      </c>
      <c r="CK134" s="10">
        <f t="shared" si="136"/>
        <v>27</v>
      </c>
      <c r="CL134" s="10">
        <f t="shared" si="137"/>
        <v>26</v>
      </c>
      <c r="CM134" s="10" t="str">
        <f>'役職希望調査 ・備考'!I104&amp;""</f>
        <v/>
      </c>
    </row>
    <row r="135" spans="1:91">
      <c r="A135" s="10" t="str">
        <f>時間希望調査!A105&amp;""</f>
        <v/>
      </c>
      <c r="B135" s="10" t="str">
        <f>時間希望調査!B105&amp;""</f>
        <v/>
      </c>
      <c r="C135" s="10" t="str">
        <f>時間希望調査!C105&amp;""</f>
        <v/>
      </c>
      <c r="D135" s="11"/>
      <c r="E135" s="11"/>
      <c r="F135" s="11"/>
      <c r="G135" s="11"/>
      <c r="H135" s="11"/>
      <c r="I135" s="11"/>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c r="AP135" s="11"/>
      <c r="AQ135" s="11"/>
      <c r="AR135" s="11"/>
      <c r="AS135" s="11"/>
      <c r="AT135" s="11"/>
      <c r="AU135" s="11"/>
      <c r="AV135" s="11"/>
      <c r="AW135" s="11"/>
      <c r="AX135" s="11"/>
      <c r="AY135" s="11"/>
      <c r="AZ135" s="11"/>
      <c r="BA135" s="11"/>
      <c r="BB135" s="10">
        <f t="shared" si="107"/>
        <v>0</v>
      </c>
      <c r="BC135" s="10">
        <f>時間希望調査!D105</f>
        <v>0</v>
      </c>
      <c r="BD135" s="10" t="str">
        <f>'役職希望調査 ・備考'!D105&amp;""</f>
        <v/>
      </c>
      <c r="BE135" s="10" t="str">
        <f>'役職希望調査 ・備考'!E105&amp;""</f>
        <v/>
      </c>
      <c r="BF135" s="10" t="str">
        <f>'役職希望調査 ・備考'!F105&amp;""</f>
        <v/>
      </c>
      <c r="BG135" s="10" t="str">
        <f>'役職希望調査 ・備考'!G105&amp;""</f>
        <v/>
      </c>
      <c r="BH135" s="10" t="str">
        <f>'役職希望調査 ・備考'!H105&amp;""</f>
        <v/>
      </c>
      <c r="BI135" s="10">
        <f t="shared" si="108"/>
        <v>0</v>
      </c>
      <c r="BJ135" s="10">
        <f t="shared" si="109"/>
        <v>0</v>
      </c>
      <c r="BK135" s="10">
        <f t="shared" si="110"/>
        <v>0</v>
      </c>
      <c r="BL135" s="10">
        <f t="shared" si="111"/>
        <v>0</v>
      </c>
      <c r="BM135" s="10">
        <f t="shared" si="112"/>
        <v>0</v>
      </c>
      <c r="BN135" s="10">
        <f t="shared" si="113"/>
        <v>0</v>
      </c>
      <c r="BO135" s="10">
        <f t="shared" si="114"/>
        <v>48</v>
      </c>
      <c r="BP135" s="10">
        <f t="shared" si="115"/>
        <v>48</v>
      </c>
      <c r="BQ135" s="10">
        <f t="shared" si="116"/>
        <v>47</v>
      </c>
      <c r="BR135" s="10">
        <f t="shared" si="117"/>
        <v>46</v>
      </c>
      <c r="BS135" s="10">
        <f t="shared" si="118"/>
        <v>45</v>
      </c>
      <c r="BT135" s="10">
        <f t="shared" si="119"/>
        <v>44</v>
      </c>
      <c r="BU135" s="10">
        <f t="shared" si="120"/>
        <v>43</v>
      </c>
      <c r="BV135" s="10">
        <f t="shared" si="121"/>
        <v>42</v>
      </c>
      <c r="BW135" s="10">
        <f t="shared" si="122"/>
        <v>41</v>
      </c>
      <c r="BX135" s="10">
        <f t="shared" si="123"/>
        <v>40</v>
      </c>
      <c r="BY135" s="10">
        <f t="shared" si="124"/>
        <v>39</v>
      </c>
      <c r="BZ135" s="10">
        <f t="shared" si="125"/>
        <v>38</v>
      </c>
      <c r="CA135" s="10">
        <f t="shared" si="126"/>
        <v>37</v>
      </c>
      <c r="CB135" s="10">
        <f t="shared" si="127"/>
        <v>36</v>
      </c>
      <c r="CC135" s="10">
        <f t="shared" si="128"/>
        <v>35</v>
      </c>
      <c r="CD135" s="10">
        <f t="shared" si="129"/>
        <v>34</v>
      </c>
      <c r="CE135" s="10">
        <f t="shared" si="130"/>
        <v>33</v>
      </c>
      <c r="CF135" s="10">
        <f t="shared" si="131"/>
        <v>32</v>
      </c>
      <c r="CG135" s="10">
        <f t="shared" si="132"/>
        <v>31</v>
      </c>
      <c r="CH135" s="10">
        <f t="shared" si="133"/>
        <v>30</v>
      </c>
      <c r="CI135" s="10">
        <f t="shared" si="134"/>
        <v>29</v>
      </c>
      <c r="CJ135" s="10">
        <f t="shared" si="135"/>
        <v>28</v>
      </c>
      <c r="CK135" s="10">
        <f t="shared" si="136"/>
        <v>27</v>
      </c>
      <c r="CL135" s="10">
        <f t="shared" si="137"/>
        <v>26</v>
      </c>
      <c r="CM135" s="10" t="str">
        <f>'役職希望調査 ・備考'!I105&amp;""</f>
        <v/>
      </c>
    </row>
    <row r="136" spans="1:91">
      <c r="A136" s="10" t="str">
        <f>時間希望調査!A106&amp;""</f>
        <v/>
      </c>
      <c r="B136" s="10" t="str">
        <f>時間希望調査!B106&amp;""</f>
        <v/>
      </c>
      <c r="C136" s="10" t="str">
        <f>時間希望調査!C106&amp;""</f>
        <v/>
      </c>
      <c r="D136" s="11"/>
      <c r="E136" s="11"/>
      <c r="F136" s="11"/>
      <c r="G136" s="11"/>
      <c r="H136" s="11"/>
      <c r="I136" s="11"/>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c r="AP136" s="11"/>
      <c r="AQ136" s="11"/>
      <c r="AR136" s="11"/>
      <c r="AS136" s="11"/>
      <c r="AT136" s="11"/>
      <c r="AU136" s="11"/>
      <c r="AV136" s="11"/>
      <c r="AW136" s="11"/>
      <c r="AX136" s="11"/>
      <c r="AY136" s="11"/>
      <c r="AZ136" s="11"/>
      <c r="BA136" s="11"/>
      <c r="BB136" s="10">
        <f t="shared" si="107"/>
        <v>0</v>
      </c>
      <c r="BC136" s="10">
        <f>時間希望調査!D106</f>
        <v>0</v>
      </c>
      <c r="BD136" s="10" t="str">
        <f>'役職希望調査 ・備考'!D106&amp;""</f>
        <v/>
      </c>
      <c r="BE136" s="10" t="str">
        <f>'役職希望調査 ・備考'!E106&amp;""</f>
        <v/>
      </c>
      <c r="BF136" s="10" t="str">
        <f>'役職希望調査 ・備考'!F106&amp;""</f>
        <v/>
      </c>
      <c r="BG136" s="10" t="str">
        <f>'役職希望調査 ・備考'!G106&amp;""</f>
        <v/>
      </c>
      <c r="BH136" s="10" t="str">
        <f>'役職希望調査 ・備考'!H106&amp;""</f>
        <v/>
      </c>
      <c r="BI136" s="10">
        <f t="shared" si="108"/>
        <v>0</v>
      </c>
      <c r="BJ136" s="10">
        <f t="shared" si="109"/>
        <v>0</v>
      </c>
      <c r="BK136" s="10">
        <f t="shared" si="110"/>
        <v>0</v>
      </c>
      <c r="BL136" s="10">
        <f t="shared" si="111"/>
        <v>0</v>
      </c>
      <c r="BM136" s="10">
        <f t="shared" si="112"/>
        <v>0</v>
      </c>
      <c r="BN136" s="10">
        <f t="shared" si="113"/>
        <v>0</v>
      </c>
      <c r="BO136" s="10">
        <f t="shared" si="114"/>
        <v>48</v>
      </c>
      <c r="BP136" s="10">
        <f t="shared" si="115"/>
        <v>48</v>
      </c>
      <c r="BQ136" s="10">
        <f t="shared" si="116"/>
        <v>47</v>
      </c>
      <c r="BR136" s="10">
        <f t="shared" si="117"/>
        <v>46</v>
      </c>
      <c r="BS136" s="10">
        <f t="shared" si="118"/>
        <v>45</v>
      </c>
      <c r="BT136" s="10">
        <f t="shared" si="119"/>
        <v>44</v>
      </c>
      <c r="BU136" s="10">
        <f t="shared" si="120"/>
        <v>43</v>
      </c>
      <c r="BV136" s="10">
        <f t="shared" si="121"/>
        <v>42</v>
      </c>
      <c r="BW136" s="10">
        <f t="shared" si="122"/>
        <v>41</v>
      </c>
      <c r="BX136" s="10">
        <f t="shared" si="123"/>
        <v>40</v>
      </c>
      <c r="BY136" s="10">
        <f t="shared" si="124"/>
        <v>39</v>
      </c>
      <c r="BZ136" s="10">
        <f t="shared" si="125"/>
        <v>38</v>
      </c>
      <c r="CA136" s="10">
        <f t="shared" si="126"/>
        <v>37</v>
      </c>
      <c r="CB136" s="10">
        <f t="shared" si="127"/>
        <v>36</v>
      </c>
      <c r="CC136" s="10">
        <f t="shared" si="128"/>
        <v>35</v>
      </c>
      <c r="CD136" s="10">
        <f t="shared" si="129"/>
        <v>34</v>
      </c>
      <c r="CE136" s="10">
        <f t="shared" si="130"/>
        <v>33</v>
      </c>
      <c r="CF136" s="10">
        <f t="shared" si="131"/>
        <v>32</v>
      </c>
      <c r="CG136" s="10">
        <f t="shared" si="132"/>
        <v>31</v>
      </c>
      <c r="CH136" s="10">
        <f t="shared" si="133"/>
        <v>30</v>
      </c>
      <c r="CI136" s="10">
        <f t="shared" si="134"/>
        <v>29</v>
      </c>
      <c r="CJ136" s="10">
        <f t="shared" si="135"/>
        <v>28</v>
      </c>
      <c r="CK136" s="10">
        <f t="shared" si="136"/>
        <v>27</v>
      </c>
      <c r="CL136" s="10">
        <f t="shared" si="137"/>
        <v>26</v>
      </c>
      <c r="CM136" s="10" t="str">
        <f>'役職希望調査 ・備考'!I106&amp;""</f>
        <v/>
      </c>
    </row>
    <row r="137" spans="1:91">
      <c r="A137" s="10" t="str">
        <f>時間希望調査!A107&amp;""</f>
        <v/>
      </c>
      <c r="B137" s="10" t="str">
        <f>時間希望調査!B107&amp;""</f>
        <v/>
      </c>
      <c r="C137" s="10" t="str">
        <f>時間希望調査!C107&amp;""</f>
        <v/>
      </c>
      <c r="D137" s="11"/>
      <c r="E137" s="11"/>
      <c r="F137" s="11"/>
      <c r="G137" s="11"/>
      <c r="H137" s="11"/>
      <c r="I137" s="11"/>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c r="AP137" s="11"/>
      <c r="AQ137" s="11"/>
      <c r="AR137" s="11"/>
      <c r="AS137" s="11"/>
      <c r="AT137" s="11"/>
      <c r="AU137" s="11"/>
      <c r="AV137" s="11"/>
      <c r="AW137" s="11"/>
      <c r="AX137" s="11"/>
      <c r="AY137" s="11"/>
      <c r="AZ137" s="11"/>
      <c r="BA137" s="11"/>
      <c r="BB137" s="10">
        <f t="shared" si="107"/>
        <v>0</v>
      </c>
      <c r="BC137" s="10">
        <f>時間希望調査!D107</f>
        <v>0</v>
      </c>
      <c r="BD137" s="10" t="str">
        <f>'役職希望調査 ・備考'!D107&amp;""</f>
        <v/>
      </c>
      <c r="BE137" s="10" t="str">
        <f>'役職希望調査 ・備考'!E107&amp;""</f>
        <v/>
      </c>
      <c r="BF137" s="10" t="str">
        <f>'役職希望調査 ・備考'!F107&amp;""</f>
        <v/>
      </c>
      <c r="BG137" s="10" t="str">
        <f>'役職希望調査 ・備考'!G107&amp;""</f>
        <v/>
      </c>
      <c r="BH137" s="10" t="str">
        <f>'役職希望調査 ・備考'!H107&amp;""</f>
        <v/>
      </c>
      <c r="BI137" s="10">
        <f t="shared" si="108"/>
        <v>0</v>
      </c>
      <c r="BJ137" s="10">
        <f t="shared" si="109"/>
        <v>0</v>
      </c>
      <c r="BK137" s="10">
        <f t="shared" si="110"/>
        <v>0</v>
      </c>
      <c r="BL137" s="10">
        <f t="shared" si="111"/>
        <v>0</v>
      </c>
      <c r="BM137" s="10">
        <f t="shared" si="112"/>
        <v>0</v>
      </c>
      <c r="BN137" s="10">
        <f t="shared" si="113"/>
        <v>0</v>
      </c>
      <c r="BO137" s="10">
        <f t="shared" si="114"/>
        <v>48</v>
      </c>
      <c r="BP137" s="10">
        <f t="shared" si="115"/>
        <v>48</v>
      </c>
      <c r="BQ137" s="10">
        <f t="shared" si="116"/>
        <v>47</v>
      </c>
      <c r="BR137" s="10">
        <f t="shared" si="117"/>
        <v>46</v>
      </c>
      <c r="BS137" s="10">
        <f t="shared" si="118"/>
        <v>45</v>
      </c>
      <c r="BT137" s="10">
        <f t="shared" si="119"/>
        <v>44</v>
      </c>
      <c r="BU137" s="10">
        <f t="shared" si="120"/>
        <v>43</v>
      </c>
      <c r="BV137" s="10">
        <f t="shared" si="121"/>
        <v>42</v>
      </c>
      <c r="BW137" s="10">
        <f t="shared" si="122"/>
        <v>41</v>
      </c>
      <c r="BX137" s="10">
        <f t="shared" si="123"/>
        <v>40</v>
      </c>
      <c r="BY137" s="10">
        <f t="shared" si="124"/>
        <v>39</v>
      </c>
      <c r="BZ137" s="10">
        <f t="shared" si="125"/>
        <v>38</v>
      </c>
      <c r="CA137" s="10">
        <f t="shared" si="126"/>
        <v>37</v>
      </c>
      <c r="CB137" s="10">
        <f t="shared" si="127"/>
        <v>36</v>
      </c>
      <c r="CC137" s="10">
        <f t="shared" si="128"/>
        <v>35</v>
      </c>
      <c r="CD137" s="10">
        <f t="shared" si="129"/>
        <v>34</v>
      </c>
      <c r="CE137" s="10">
        <f t="shared" si="130"/>
        <v>33</v>
      </c>
      <c r="CF137" s="10">
        <f t="shared" si="131"/>
        <v>32</v>
      </c>
      <c r="CG137" s="10">
        <f t="shared" si="132"/>
        <v>31</v>
      </c>
      <c r="CH137" s="10">
        <f t="shared" si="133"/>
        <v>30</v>
      </c>
      <c r="CI137" s="10">
        <f t="shared" si="134"/>
        <v>29</v>
      </c>
      <c r="CJ137" s="10">
        <f t="shared" si="135"/>
        <v>28</v>
      </c>
      <c r="CK137" s="10">
        <f t="shared" si="136"/>
        <v>27</v>
      </c>
      <c r="CL137" s="10">
        <f t="shared" si="137"/>
        <v>26</v>
      </c>
      <c r="CM137" s="10" t="str">
        <f>'役職希望調査 ・備考'!I107&amp;""</f>
        <v/>
      </c>
    </row>
    <row r="138" spans="1:91">
      <c r="A138" s="10" t="str">
        <f>時間希望調査!A108&amp;""</f>
        <v/>
      </c>
      <c r="B138" s="10" t="str">
        <f>時間希望調査!B108&amp;""</f>
        <v/>
      </c>
      <c r="C138" s="10" t="str">
        <f>時間希望調査!C108&amp;""</f>
        <v/>
      </c>
      <c r="D138" s="11"/>
      <c r="E138" s="11"/>
      <c r="F138" s="11"/>
      <c r="G138" s="11"/>
      <c r="H138" s="11"/>
      <c r="I138" s="11"/>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c r="AP138" s="11"/>
      <c r="AQ138" s="11"/>
      <c r="AR138" s="11"/>
      <c r="AS138" s="11"/>
      <c r="AT138" s="11"/>
      <c r="AU138" s="11"/>
      <c r="AV138" s="11"/>
      <c r="AW138" s="11"/>
      <c r="AX138" s="11"/>
      <c r="AY138" s="11"/>
      <c r="AZ138" s="11"/>
      <c r="BA138" s="11"/>
      <c r="BB138" s="10">
        <f t="shared" si="107"/>
        <v>0</v>
      </c>
      <c r="BC138" s="10">
        <f>時間希望調査!D108</f>
        <v>0</v>
      </c>
      <c r="BD138" s="10" t="str">
        <f>'役職希望調査 ・備考'!D108&amp;""</f>
        <v/>
      </c>
      <c r="BE138" s="10" t="str">
        <f>'役職希望調査 ・備考'!E108&amp;""</f>
        <v/>
      </c>
      <c r="BF138" s="10" t="str">
        <f>'役職希望調査 ・備考'!F108&amp;""</f>
        <v/>
      </c>
      <c r="BG138" s="10" t="str">
        <f>'役職希望調査 ・備考'!G108&amp;""</f>
        <v/>
      </c>
      <c r="BH138" s="10" t="str">
        <f>'役職希望調査 ・備考'!H108&amp;""</f>
        <v/>
      </c>
      <c r="BI138" s="10">
        <f t="shared" si="108"/>
        <v>0</v>
      </c>
      <c r="BJ138" s="10">
        <f t="shared" si="109"/>
        <v>0</v>
      </c>
      <c r="BK138" s="10">
        <f t="shared" si="110"/>
        <v>0</v>
      </c>
      <c r="BL138" s="10">
        <f t="shared" si="111"/>
        <v>0</v>
      </c>
      <c r="BM138" s="10">
        <f t="shared" si="112"/>
        <v>0</v>
      </c>
      <c r="BN138" s="10">
        <f t="shared" si="113"/>
        <v>0</v>
      </c>
      <c r="BO138" s="10">
        <f t="shared" si="114"/>
        <v>48</v>
      </c>
      <c r="BP138" s="10">
        <f t="shared" si="115"/>
        <v>48</v>
      </c>
      <c r="BQ138" s="10">
        <f t="shared" si="116"/>
        <v>47</v>
      </c>
      <c r="BR138" s="10">
        <f t="shared" si="117"/>
        <v>46</v>
      </c>
      <c r="BS138" s="10">
        <f t="shared" si="118"/>
        <v>45</v>
      </c>
      <c r="BT138" s="10">
        <f t="shared" si="119"/>
        <v>44</v>
      </c>
      <c r="BU138" s="10">
        <f t="shared" si="120"/>
        <v>43</v>
      </c>
      <c r="BV138" s="10">
        <f t="shared" si="121"/>
        <v>42</v>
      </c>
      <c r="BW138" s="10">
        <f t="shared" si="122"/>
        <v>41</v>
      </c>
      <c r="BX138" s="10">
        <f t="shared" si="123"/>
        <v>40</v>
      </c>
      <c r="BY138" s="10">
        <f t="shared" si="124"/>
        <v>39</v>
      </c>
      <c r="BZ138" s="10">
        <f t="shared" si="125"/>
        <v>38</v>
      </c>
      <c r="CA138" s="10">
        <f t="shared" si="126"/>
        <v>37</v>
      </c>
      <c r="CB138" s="10">
        <f t="shared" si="127"/>
        <v>36</v>
      </c>
      <c r="CC138" s="10">
        <f t="shared" si="128"/>
        <v>35</v>
      </c>
      <c r="CD138" s="10">
        <f t="shared" si="129"/>
        <v>34</v>
      </c>
      <c r="CE138" s="10">
        <f t="shared" si="130"/>
        <v>33</v>
      </c>
      <c r="CF138" s="10">
        <f t="shared" si="131"/>
        <v>32</v>
      </c>
      <c r="CG138" s="10">
        <f t="shared" si="132"/>
        <v>31</v>
      </c>
      <c r="CH138" s="10">
        <f t="shared" si="133"/>
        <v>30</v>
      </c>
      <c r="CI138" s="10">
        <f t="shared" si="134"/>
        <v>29</v>
      </c>
      <c r="CJ138" s="10">
        <f t="shared" si="135"/>
        <v>28</v>
      </c>
      <c r="CK138" s="10">
        <f t="shared" si="136"/>
        <v>27</v>
      </c>
      <c r="CL138" s="10">
        <f t="shared" si="137"/>
        <v>26</v>
      </c>
      <c r="CM138" s="10" t="str">
        <f>'役職希望調査 ・備考'!I108&amp;""</f>
        <v/>
      </c>
    </row>
    <row r="139" spans="1:91">
      <c r="A139" s="10" t="str">
        <f>時間希望調査!A109&amp;""</f>
        <v/>
      </c>
      <c r="B139" s="10" t="str">
        <f>時間希望調査!B109&amp;""</f>
        <v/>
      </c>
      <c r="C139" s="10" t="str">
        <f>時間希望調査!C109&amp;""</f>
        <v/>
      </c>
      <c r="D139" s="11"/>
      <c r="E139" s="11"/>
      <c r="F139" s="11"/>
      <c r="G139" s="11"/>
      <c r="H139" s="11"/>
      <c r="I139" s="11"/>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c r="AP139" s="11"/>
      <c r="AQ139" s="11"/>
      <c r="AR139" s="11"/>
      <c r="AS139" s="11"/>
      <c r="AT139" s="11"/>
      <c r="AU139" s="11"/>
      <c r="AV139" s="11"/>
      <c r="AW139" s="11"/>
      <c r="AX139" s="11"/>
      <c r="AY139" s="11"/>
      <c r="AZ139" s="11"/>
      <c r="BA139" s="11"/>
      <c r="BB139" s="10">
        <f t="shared" si="107"/>
        <v>0</v>
      </c>
      <c r="BC139" s="10">
        <f>時間希望調査!D109</f>
        <v>0</v>
      </c>
      <c r="BD139" s="10" t="str">
        <f>'役職希望調査 ・備考'!D109&amp;""</f>
        <v/>
      </c>
      <c r="BE139" s="10" t="str">
        <f>'役職希望調査 ・備考'!E109&amp;""</f>
        <v/>
      </c>
      <c r="BF139" s="10" t="str">
        <f>'役職希望調査 ・備考'!F109&amp;""</f>
        <v/>
      </c>
      <c r="BG139" s="10" t="str">
        <f>'役職希望調査 ・備考'!G109&amp;""</f>
        <v/>
      </c>
      <c r="BH139" s="10" t="str">
        <f>'役職希望調査 ・備考'!H109&amp;""</f>
        <v/>
      </c>
      <c r="BI139" s="10">
        <f t="shared" si="108"/>
        <v>0</v>
      </c>
      <c r="BJ139" s="10">
        <f t="shared" si="109"/>
        <v>0</v>
      </c>
      <c r="BK139" s="10">
        <f t="shared" si="110"/>
        <v>0</v>
      </c>
      <c r="BL139" s="10">
        <f t="shared" si="111"/>
        <v>0</v>
      </c>
      <c r="BM139" s="10">
        <f t="shared" si="112"/>
        <v>0</v>
      </c>
      <c r="BN139" s="10">
        <f t="shared" si="113"/>
        <v>0</v>
      </c>
      <c r="BO139" s="10">
        <f t="shared" si="114"/>
        <v>48</v>
      </c>
      <c r="BP139" s="10">
        <f t="shared" si="115"/>
        <v>48</v>
      </c>
      <c r="BQ139" s="10">
        <f t="shared" si="116"/>
        <v>47</v>
      </c>
      <c r="BR139" s="10">
        <f t="shared" si="117"/>
        <v>46</v>
      </c>
      <c r="BS139" s="10">
        <f t="shared" si="118"/>
        <v>45</v>
      </c>
      <c r="BT139" s="10">
        <f t="shared" si="119"/>
        <v>44</v>
      </c>
      <c r="BU139" s="10">
        <f t="shared" si="120"/>
        <v>43</v>
      </c>
      <c r="BV139" s="10">
        <f t="shared" si="121"/>
        <v>42</v>
      </c>
      <c r="BW139" s="10">
        <f t="shared" si="122"/>
        <v>41</v>
      </c>
      <c r="BX139" s="10">
        <f t="shared" si="123"/>
        <v>40</v>
      </c>
      <c r="BY139" s="10">
        <f t="shared" si="124"/>
        <v>39</v>
      </c>
      <c r="BZ139" s="10">
        <f t="shared" si="125"/>
        <v>38</v>
      </c>
      <c r="CA139" s="10">
        <f t="shared" si="126"/>
        <v>37</v>
      </c>
      <c r="CB139" s="10">
        <f t="shared" si="127"/>
        <v>36</v>
      </c>
      <c r="CC139" s="10">
        <f t="shared" si="128"/>
        <v>35</v>
      </c>
      <c r="CD139" s="10">
        <f t="shared" si="129"/>
        <v>34</v>
      </c>
      <c r="CE139" s="10">
        <f t="shared" si="130"/>
        <v>33</v>
      </c>
      <c r="CF139" s="10">
        <f t="shared" si="131"/>
        <v>32</v>
      </c>
      <c r="CG139" s="10">
        <f t="shared" si="132"/>
        <v>31</v>
      </c>
      <c r="CH139" s="10">
        <f t="shared" si="133"/>
        <v>30</v>
      </c>
      <c r="CI139" s="10">
        <f t="shared" si="134"/>
        <v>29</v>
      </c>
      <c r="CJ139" s="10">
        <f t="shared" si="135"/>
        <v>28</v>
      </c>
      <c r="CK139" s="10">
        <f t="shared" si="136"/>
        <v>27</v>
      </c>
      <c r="CL139" s="10">
        <f t="shared" si="137"/>
        <v>26</v>
      </c>
      <c r="CM139" s="10" t="str">
        <f>'役職希望調査 ・備考'!I109&amp;""</f>
        <v/>
      </c>
    </row>
    <row r="140" spans="1:91">
      <c r="A140" s="10" t="str">
        <f>時間希望調査!A110&amp;""</f>
        <v/>
      </c>
      <c r="B140" s="10" t="str">
        <f>時間希望調査!B110&amp;""</f>
        <v/>
      </c>
      <c r="C140" s="10" t="str">
        <f>時間希望調査!C110&amp;""</f>
        <v/>
      </c>
      <c r="D140" s="11"/>
      <c r="E140" s="11"/>
      <c r="F140" s="11"/>
      <c r="G140" s="11"/>
      <c r="H140" s="11"/>
      <c r="I140" s="11"/>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c r="AP140" s="11"/>
      <c r="AQ140" s="11"/>
      <c r="AR140" s="11"/>
      <c r="AS140" s="11"/>
      <c r="AT140" s="11"/>
      <c r="AU140" s="11"/>
      <c r="AV140" s="11"/>
      <c r="AW140" s="11"/>
      <c r="AX140" s="11"/>
      <c r="AY140" s="11"/>
      <c r="AZ140" s="11"/>
      <c r="BA140" s="11"/>
      <c r="BB140" s="10">
        <f t="shared" si="107"/>
        <v>0</v>
      </c>
      <c r="BC140" s="10">
        <f>時間希望調査!D110</f>
        <v>0</v>
      </c>
      <c r="BD140" s="10" t="str">
        <f>'役職希望調査 ・備考'!D110&amp;""</f>
        <v/>
      </c>
      <c r="BE140" s="10" t="str">
        <f>'役職希望調査 ・備考'!E110&amp;""</f>
        <v/>
      </c>
      <c r="BF140" s="10" t="str">
        <f>'役職希望調査 ・備考'!F110&amp;""</f>
        <v/>
      </c>
      <c r="BG140" s="10" t="str">
        <f>'役職希望調査 ・備考'!G110&amp;""</f>
        <v/>
      </c>
      <c r="BH140" s="10" t="str">
        <f>'役職希望調査 ・備考'!H110&amp;""</f>
        <v/>
      </c>
      <c r="BI140" s="10">
        <f t="shared" si="108"/>
        <v>0</v>
      </c>
      <c r="BJ140" s="10">
        <f t="shared" si="109"/>
        <v>0</v>
      </c>
      <c r="BK140" s="10">
        <f t="shared" si="110"/>
        <v>0</v>
      </c>
      <c r="BL140" s="10">
        <f t="shared" si="111"/>
        <v>0</v>
      </c>
      <c r="BM140" s="10">
        <f t="shared" si="112"/>
        <v>0</v>
      </c>
      <c r="BN140" s="10">
        <f t="shared" si="113"/>
        <v>0</v>
      </c>
      <c r="BO140" s="10">
        <f t="shared" si="114"/>
        <v>48</v>
      </c>
      <c r="BP140" s="10">
        <f t="shared" si="115"/>
        <v>48</v>
      </c>
      <c r="BQ140" s="10">
        <f t="shared" si="116"/>
        <v>47</v>
      </c>
      <c r="BR140" s="10">
        <f t="shared" si="117"/>
        <v>46</v>
      </c>
      <c r="BS140" s="10">
        <f t="shared" si="118"/>
        <v>45</v>
      </c>
      <c r="BT140" s="10">
        <f t="shared" si="119"/>
        <v>44</v>
      </c>
      <c r="BU140" s="10">
        <f t="shared" si="120"/>
        <v>43</v>
      </c>
      <c r="BV140" s="10">
        <f t="shared" si="121"/>
        <v>42</v>
      </c>
      <c r="BW140" s="10">
        <f t="shared" si="122"/>
        <v>41</v>
      </c>
      <c r="BX140" s="10">
        <f t="shared" si="123"/>
        <v>40</v>
      </c>
      <c r="BY140" s="10">
        <f t="shared" si="124"/>
        <v>39</v>
      </c>
      <c r="BZ140" s="10">
        <f t="shared" si="125"/>
        <v>38</v>
      </c>
      <c r="CA140" s="10">
        <f t="shared" si="126"/>
        <v>37</v>
      </c>
      <c r="CB140" s="10">
        <f t="shared" si="127"/>
        <v>36</v>
      </c>
      <c r="CC140" s="10">
        <f t="shared" si="128"/>
        <v>35</v>
      </c>
      <c r="CD140" s="10">
        <f t="shared" si="129"/>
        <v>34</v>
      </c>
      <c r="CE140" s="10">
        <f t="shared" si="130"/>
        <v>33</v>
      </c>
      <c r="CF140" s="10">
        <f t="shared" si="131"/>
        <v>32</v>
      </c>
      <c r="CG140" s="10">
        <f t="shared" si="132"/>
        <v>31</v>
      </c>
      <c r="CH140" s="10">
        <f t="shared" si="133"/>
        <v>30</v>
      </c>
      <c r="CI140" s="10">
        <f t="shared" si="134"/>
        <v>29</v>
      </c>
      <c r="CJ140" s="10">
        <f t="shared" si="135"/>
        <v>28</v>
      </c>
      <c r="CK140" s="10">
        <f t="shared" si="136"/>
        <v>27</v>
      </c>
      <c r="CL140" s="10">
        <f t="shared" si="137"/>
        <v>26</v>
      </c>
      <c r="CM140" s="10" t="str">
        <f>'役職希望調査 ・備考'!I110&amp;""</f>
        <v/>
      </c>
    </row>
    <row r="141" spans="1:91">
      <c r="A141" s="10" t="str">
        <f>時間希望調査!A111&amp;""</f>
        <v/>
      </c>
      <c r="B141" s="10" t="str">
        <f>時間希望調査!B111&amp;""</f>
        <v/>
      </c>
      <c r="C141" s="10" t="str">
        <f>時間希望調査!C111&amp;""</f>
        <v/>
      </c>
      <c r="D141" s="11"/>
      <c r="E141" s="11"/>
      <c r="F141" s="11"/>
      <c r="G141" s="11"/>
      <c r="H141" s="11"/>
      <c r="I141" s="11"/>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c r="AP141" s="11"/>
      <c r="AQ141" s="11"/>
      <c r="AR141" s="11"/>
      <c r="AS141" s="11"/>
      <c r="AT141" s="11"/>
      <c r="AU141" s="11"/>
      <c r="AV141" s="11"/>
      <c r="AW141" s="11"/>
      <c r="AX141" s="11"/>
      <c r="AY141" s="11"/>
      <c r="AZ141" s="11"/>
      <c r="BA141" s="11"/>
      <c r="BB141" s="10">
        <f t="shared" si="107"/>
        <v>0</v>
      </c>
      <c r="BC141" s="10">
        <f>時間希望調査!D111</f>
        <v>0</v>
      </c>
      <c r="BD141" s="10" t="str">
        <f>'役職希望調査 ・備考'!D111&amp;""</f>
        <v/>
      </c>
      <c r="BE141" s="10" t="str">
        <f>'役職希望調査 ・備考'!E111&amp;""</f>
        <v/>
      </c>
      <c r="BF141" s="10" t="str">
        <f>'役職希望調査 ・備考'!F111&amp;""</f>
        <v/>
      </c>
      <c r="BG141" s="10" t="str">
        <f>'役職希望調査 ・備考'!G111&amp;""</f>
        <v/>
      </c>
      <c r="BH141" s="10" t="str">
        <f>'役職希望調査 ・備考'!H111&amp;""</f>
        <v/>
      </c>
      <c r="BI141" s="10">
        <f t="shared" si="108"/>
        <v>0</v>
      </c>
      <c r="BJ141" s="10">
        <f t="shared" si="109"/>
        <v>0</v>
      </c>
      <c r="BK141" s="10">
        <f t="shared" si="110"/>
        <v>0</v>
      </c>
      <c r="BL141" s="10">
        <f t="shared" si="111"/>
        <v>0</v>
      </c>
      <c r="BM141" s="10">
        <f t="shared" si="112"/>
        <v>0</v>
      </c>
      <c r="BN141" s="10">
        <f t="shared" si="113"/>
        <v>0</v>
      </c>
      <c r="BO141" s="10">
        <f t="shared" si="114"/>
        <v>48</v>
      </c>
      <c r="BP141" s="10">
        <f t="shared" si="115"/>
        <v>48</v>
      </c>
      <c r="BQ141" s="10">
        <f t="shared" si="116"/>
        <v>47</v>
      </c>
      <c r="BR141" s="10">
        <f t="shared" si="117"/>
        <v>46</v>
      </c>
      <c r="BS141" s="10">
        <f t="shared" si="118"/>
        <v>45</v>
      </c>
      <c r="BT141" s="10">
        <f t="shared" si="119"/>
        <v>44</v>
      </c>
      <c r="BU141" s="10">
        <f t="shared" si="120"/>
        <v>43</v>
      </c>
      <c r="BV141" s="10">
        <f t="shared" si="121"/>
        <v>42</v>
      </c>
      <c r="BW141" s="10">
        <f t="shared" si="122"/>
        <v>41</v>
      </c>
      <c r="BX141" s="10">
        <f t="shared" si="123"/>
        <v>40</v>
      </c>
      <c r="BY141" s="10">
        <f t="shared" si="124"/>
        <v>39</v>
      </c>
      <c r="BZ141" s="10">
        <f t="shared" si="125"/>
        <v>38</v>
      </c>
      <c r="CA141" s="10">
        <f t="shared" si="126"/>
        <v>37</v>
      </c>
      <c r="CB141" s="10">
        <f t="shared" si="127"/>
        <v>36</v>
      </c>
      <c r="CC141" s="10">
        <f t="shared" si="128"/>
        <v>35</v>
      </c>
      <c r="CD141" s="10">
        <f t="shared" si="129"/>
        <v>34</v>
      </c>
      <c r="CE141" s="10">
        <f t="shared" si="130"/>
        <v>33</v>
      </c>
      <c r="CF141" s="10">
        <f t="shared" si="131"/>
        <v>32</v>
      </c>
      <c r="CG141" s="10">
        <f t="shared" si="132"/>
        <v>31</v>
      </c>
      <c r="CH141" s="10">
        <f t="shared" si="133"/>
        <v>30</v>
      </c>
      <c r="CI141" s="10">
        <f t="shared" si="134"/>
        <v>29</v>
      </c>
      <c r="CJ141" s="10">
        <f t="shared" si="135"/>
        <v>28</v>
      </c>
      <c r="CK141" s="10">
        <f t="shared" si="136"/>
        <v>27</v>
      </c>
      <c r="CL141" s="10">
        <f t="shared" si="137"/>
        <v>26</v>
      </c>
      <c r="CM141" s="10" t="str">
        <f>'役職希望調査 ・備考'!I111&amp;""</f>
        <v/>
      </c>
    </row>
    <row r="142" spans="1:91">
      <c r="A142" s="10" t="str">
        <f>時間希望調査!A112&amp;""</f>
        <v/>
      </c>
      <c r="B142" s="10" t="str">
        <f>時間希望調査!B112&amp;""</f>
        <v/>
      </c>
      <c r="C142" s="10" t="str">
        <f>時間希望調査!C112&amp;""</f>
        <v/>
      </c>
      <c r="D142" s="11"/>
      <c r="E142" s="11"/>
      <c r="F142" s="11"/>
      <c r="G142" s="11"/>
      <c r="H142" s="11"/>
      <c r="I142" s="11"/>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c r="AP142" s="11"/>
      <c r="AQ142" s="11"/>
      <c r="AR142" s="11"/>
      <c r="AS142" s="11"/>
      <c r="AT142" s="11"/>
      <c r="AU142" s="11"/>
      <c r="AV142" s="11"/>
      <c r="AW142" s="11"/>
      <c r="AX142" s="11"/>
      <c r="AY142" s="11"/>
      <c r="AZ142" s="11"/>
      <c r="BA142" s="11"/>
      <c r="BB142" s="10">
        <f t="shared" si="107"/>
        <v>0</v>
      </c>
      <c r="BC142" s="10">
        <f>時間希望調査!D112</f>
        <v>0</v>
      </c>
      <c r="BD142" s="10" t="str">
        <f>'役職希望調査 ・備考'!D112&amp;""</f>
        <v/>
      </c>
      <c r="BE142" s="10" t="str">
        <f>'役職希望調査 ・備考'!E112&amp;""</f>
        <v/>
      </c>
      <c r="BF142" s="10" t="str">
        <f>'役職希望調査 ・備考'!F112&amp;""</f>
        <v/>
      </c>
      <c r="BG142" s="10" t="str">
        <f>'役職希望調査 ・備考'!G112&amp;""</f>
        <v/>
      </c>
      <c r="BH142" s="10" t="str">
        <f>'役職希望調査 ・備考'!H112&amp;""</f>
        <v/>
      </c>
      <c r="BI142" s="10">
        <f t="shared" si="108"/>
        <v>0</v>
      </c>
      <c r="BJ142" s="10">
        <f t="shared" si="109"/>
        <v>0</v>
      </c>
      <c r="BK142" s="10">
        <f t="shared" si="110"/>
        <v>0</v>
      </c>
      <c r="BL142" s="10">
        <f t="shared" si="111"/>
        <v>0</v>
      </c>
      <c r="BM142" s="10">
        <f t="shared" si="112"/>
        <v>0</v>
      </c>
      <c r="BN142" s="10">
        <f t="shared" si="113"/>
        <v>0</v>
      </c>
      <c r="BO142" s="10">
        <f t="shared" si="114"/>
        <v>48</v>
      </c>
      <c r="BP142" s="10">
        <f t="shared" si="115"/>
        <v>48</v>
      </c>
      <c r="BQ142" s="10">
        <f t="shared" si="116"/>
        <v>47</v>
      </c>
      <c r="BR142" s="10">
        <f t="shared" si="117"/>
        <v>46</v>
      </c>
      <c r="BS142" s="10">
        <f t="shared" si="118"/>
        <v>45</v>
      </c>
      <c r="BT142" s="10">
        <f t="shared" si="119"/>
        <v>44</v>
      </c>
      <c r="BU142" s="10">
        <f t="shared" si="120"/>
        <v>43</v>
      </c>
      <c r="BV142" s="10">
        <f t="shared" si="121"/>
        <v>42</v>
      </c>
      <c r="BW142" s="10">
        <f t="shared" si="122"/>
        <v>41</v>
      </c>
      <c r="BX142" s="10">
        <f t="shared" si="123"/>
        <v>40</v>
      </c>
      <c r="BY142" s="10">
        <f t="shared" si="124"/>
        <v>39</v>
      </c>
      <c r="BZ142" s="10">
        <f t="shared" si="125"/>
        <v>38</v>
      </c>
      <c r="CA142" s="10">
        <f t="shared" si="126"/>
        <v>37</v>
      </c>
      <c r="CB142" s="10">
        <f t="shared" si="127"/>
        <v>36</v>
      </c>
      <c r="CC142" s="10">
        <f t="shared" si="128"/>
        <v>35</v>
      </c>
      <c r="CD142" s="10">
        <f t="shared" si="129"/>
        <v>34</v>
      </c>
      <c r="CE142" s="10">
        <f t="shared" si="130"/>
        <v>33</v>
      </c>
      <c r="CF142" s="10">
        <f t="shared" si="131"/>
        <v>32</v>
      </c>
      <c r="CG142" s="10">
        <f t="shared" si="132"/>
        <v>31</v>
      </c>
      <c r="CH142" s="10">
        <f t="shared" si="133"/>
        <v>30</v>
      </c>
      <c r="CI142" s="10">
        <f t="shared" si="134"/>
        <v>29</v>
      </c>
      <c r="CJ142" s="10">
        <f t="shared" si="135"/>
        <v>28</v>
      </c>
      <c r="CK142" s="10">
        <f t="shared" si="136"/>
        <v>27</v>
      </c>
      <c r="CL142" s="10">
        <f t="shared" si="137"/>
        <v>26</v>
      </c>
      <c r="CM142" s="10" t="str">
        <f>'役職希望調査 ・備考'!I112&amp;""</f>
        <v/>
      </c>
    </row>
    <row r="143" spans="1:91">
      <c r="A143" s="10" t="str">
        <f>時間希望調査!A113&amp;""</f>
        <v/>
      </c>
      <c r="B143" s="10" t="str">
        <f>時間希望調査!B113&amp;""</f>
        <v/>
      </c>
      <c r="C143" s="10" t="str">
        <f>時間希望調査!C113&amp;""</f>
        <v/>
      </c>
      <c r="D143" s="11"/>
      <c r="E143" s="11"/>
      <c r="F143" s="11"/>
      <c r="G143" s="11"/>
      <c r="H143" s="11"/>
      <c r="I143" s="11"/>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c r="AP143" s="11"/>
      <c r="AQ143" s="11"/>
      <c r="AR143" s="11"/>
      <c r="AS143" s="11"/>
      <c r="AT143" s="11"/>
      <c r="AU143" s="11"/>
      <c r="AV143" s="11"/>
      <c r="AW143" s="11"/>
      <c r="AX143" s="11"/>
      <c r="AY143" s="11"/>
      <c r="AZ143" s="11"/>
      <c r="BA143" s="11"/>
      <c r="BB143" s="10">
        <f t="shared" si="107"/>
        <v>0</v>
      </c>
      <c r="BC143" s="10">
        <f>時間希望調査!D113</f>
        <v>0</v>
      </c>
      <c r="BD143" s="10" t="str">
        <f>'役職希望調査 ・備考'!D113&amp;""</f>
        <v/>
      </c>
      <c r="BE143" s="10" t="str">
        <f>'役職希望調査 ・備考'!E113&amp;""</f>
        <v/>
      </c>
      <c r="BF143" s="10" t="str">
        <f>'役職希望調査 ・備考'!F113&amp;""</f>
        <v/>
      </c>
      <c r="BG143" s="10" t="str">
        <f>'役職希望調査 ・備考'!G113&amp;""</f>
        <v/>
      </c>
      <c r="BH143" s="10" t="str">
        <f>'役職希望調査 ・備考'!H113&amp;""</f>
        <v/>
      </c>
      <c r="BI143" s="10">
        <f t="shared" si="108"/>
        <v>0</v>
      </c>
      <c r="BJ143" s="10">
        <f t="shared" si="109"/>
        <v>0</v>
      </c>
      <c r="BK143" s="10">
        <f t="shared" si="110"/>
        <v>0</v>
      </c>
      <c r="BL143" s="10">
        <f t="shared" si="111"/>
        <v>0</v>
      </c>
      <c r="BM143" s="10">
        <f t="shared" si="112"/>
        <v>0</v>
      </c>
      <c r="BN143" s="10">
        <f t="shared" si="113"/>
        <v>0</v>
      </c>
      <c r="BO143" s="10">
        <f t="shared" si="114"/>
        <v>48</v>
      </c>
      <c r="BP143" s="10">
        <f t="shared" si="115"/>
        <v>48</v>
      </c>
      <c r="BQ143" s="10">
        <f t="shared" si="116"/>
        <v>47</v>
      </c>
      <c r="BR143" s="10">
        <f t="shared" si="117"/>
        <v>46</v>
      </c>
      <c r="BS143" s="10">
        <f t="shared" si="118"/>
        <v>45</v>
      </c>
      <c r="BT143" s="10">
        <f t="shared" si="119"/>
        <v>44</v>
      </c>
      <c r="BU143" s="10">
        <f t="shared" si="120"/>
        <v>43</v>
      </c>
      <c r="BV143" s="10">
        <f t="shared" si="121"/>
        <v>42</v>
      </c>
      <c r="BW143" s="10">
        <f t="shared" si="122"/>
        <v>41</v>
      </c>
      <c r="BX143" s="10">
        <f t="shared" si="123"/>
        <v>40</v>
      </c>
      <c r="BY143" s="10">
        <f t="shared" si="124"/>
        <v>39</v>
      </c>
      <c r="BZ143" s="10">
        <f t="shared" si="125"/>
        <v>38</v>
      </c>
      <c r="CA143" s="10">
        <f t="shared" si="126"/>
        <v>37</v>
      </c>
      <c r="CB143" s="10">
        <f t="shared" si="127"/>
        <v>36</v>
      </c>
      <c r="CC143" s="10">
        <f t="shared" si="128"/>
        <v>35</v>
      </c>
      <c r="CD143" s="10">
        <f t="shared" si="129"/>
        <v>34</v>
      </c>
      <c r="CE143" s="10">
        <f t="shared" si="130"/>
        <v>33</v>
      </c>
      <c r="CF143" s="10">
        <f t="shared" si="131"/>
        <v>32</v>
      </c>
      <c r="CG143" s="10">
        <f t="shared" si="132"/>
        <v>31</v>
      </c>
      <c r="CH143" s="10">
        <f t="shared" si="133"/>
        <v>30</v>
      </c>
      <c r="CI143" s="10">
        <f t="shared" si="134"/>
        <v>29</v>
      </c>
      <c r="CJ143" s="10">
        <f t="shared" si="135"/>
        <v>28</v>
      </c>
      <c r="CK143" s="10">
        <f t="shared" si="136"/>
        <v>27</v>
      </c>
      <c r="CL143" s="10">
        <f t="shared" si="137"/>
        <v>26</v>
      </c>
      <c r="CM143" s="10" t="str">
        <f>'役職希望調査 ・備考'!I113&amp;""</f>
        <v/>
      </c>
    </row>
    <row r="144" spans="1:91">
      <c r="A144" s="10" t="str">
        <f>時間希望調査!A114&amp;""</f>
        <v/>
      </c>
      <c r="B144" s="10" t="str">
        <f>時間希望調査!B114&amp;""</f>
        <v/>
      </c>
      <c r="C144" s="10" t="str">
        <f>時間希望調査!C114&amp;""</f>
        <v/>
      </c>
      <c r="D144" s="11"/>
      <c r="E144" s="11"/>
      <c r="F144" s="11"/>
      <c r="G144" s="11"/>
      <c r="H144" s="11"/>
      <c r="I144" s="11"/>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c r="AP144" s="11"/>
      <c r="AQ144" s="11"/>
      <c r="AR144" s="11"/>
      <c r="AS144" s="11"/>
      <c r="AT144" s="11"/>
      <c r="AU144" s="11"/>
      <c r="AV144" s="11"/>
      <c r="AW144" s="11"/>
      <c r="AX144" s="11"/>
      <c r="AY144" s="11"/>
      <c r="AZ144" s="11"/>
      <c r="BA144" s="11"/>
      <c r="BB144" s="10">
        <f t="shared" si="107"/>
        <v>0</v>
      </c>
      <c r="BC144" s="10">
        <f>時間希望調査!D114</f>
        <v>0</v>
      </c>
      <c r="BD144" s="10" t="str">
        <f>'役職希望調査 ・備考'!D114&amp;""</f>
        <v/>
      </c>
      <c r="BE144" s="10" t="str">
        <f>'役職希望調査 ・備考'!E114&amp;""</f>
        <v/>
      </c>
      <c r="BF144" s="10" t="str">
        <f>'役職希望調査 ・備考'!F114&amp;""</f>
        <v/>
      </c>
      <c r="BG144" s="10" t="str">
        <f>'役職希望調査 ・備考'!G114&amp;""</f>
        <v/>
      </c>
      <c r="BH144" s="10" t="str">
        <f>'役職希望調査 ・備考'!H114&amp;""</f>
        <v/>
      </c>
      <c r="BI144" s="10">
        <f t="shared" si="108"/>
        <v>0</v>
      </c>
      <c r="BJ144" s="10">
        <f t="shared" si="109"/>
        <v>0</v>
      </c>
      <c r="BK144" s="10">
        <f t="shared" si="110"/>
        <v>0</v>
      </c>
      <c r="BL144" s="10">
        <f t="shared" si="111"/>
        <v>0</v>
      </c>
      <c r="BM144" s="10">
        <f t="shared" si="112"/>
        <v>0</v>
      </c>
      <c r="BN144" s="10">
        <f t="shared" si="113"/>
        <v>0</v>
      </c>
      <c r="BO144" s="10">
        <f t="shared" si="114"/>
        <v>48</v>
      </c>
      <c r="BP144" s="10">
        <f t="shared" si="115"/>
        <v>48</v>
      </c>
      <c r="BQ144" s="10">
        <f t="shared" si="116"/>
        <v>47</v>
      </c>
      <c r="BR144" s="10">
        <f t="shared" si="117"/>
        <v>46</v>
      </c>
      <c r="BS144" s="10">
        <f t="shared" si="118"/>
        <v>45</v>
      </c>
      <c r="BT144" s="10">
        <f t="shared" si="119"/>
        <v>44</v>
      </c>
      <c r="BU144" s="10">
        <f t="shared" si="120"/>
        <v>43</v>
      </c>
      <c r="BV144" s="10">
        <f t="shared" si="121"/>
        <v>42</v>
      </c>
      <c r="BW144" s="10">
        <f t="shared" si="122"/>
        <v>41</v>
      </c>
      <c r="BX144" s="10">
        <f t="shared" si="123"/>
        <v>40</v>
      </c>
      <c r="BY144" s="10">
        <f t="shared" si="124"/>
        <v>39</v>
      </c>
      <c r="BZ144" s="10">
        <f t="shared" si="125"/>
        <v>38</v>
      </c>
      <c r="CA144" s="10">
        <f t="shared" si="126"/>
        <v>37</v>
      </c>
      <c r="CB144" s="10">
        <f t="shared" si="127"/>
        <v>36</v>
      </c>
      <c r="CC144" s="10">
        <f t="shared" si="128"/>
        <v>35</v>
      </c>
      <c r="CD144" s="10">
        <f t="shared" si="129"/>
        <v>34</v>
      </c>
      <c r="CE144" s="10">
        <f t="shared" si="130"/>
        <v>33</v>
      </c>
      <c r="CF144" s="10">
        <f t="shared" si="131"/>
        <v>32</v>
      </c>
      <c r="CG144" s="10">
        <f t="shared" si="132"/>
        <v>31</v>
      </c>
      <c r="CH144" s="10">
        <f t="shared" si="133"/>
        <v>30</v>
      </c>
      <c r="CI144" s="10">
        <f t="shared" si="134"/>
        <v>29</v>
      </c>
      <c r="CJ144" s="10">
        <f t="shared" si="135"/>
        <v>28</v>
      </c>
      <c r="CK144" s="10">
        <f t="shared" si="136"/>
        <v>27</v>
      </c>
      <c r="CL144" s="10">
        <f t="shared" si="137"/>
        <v>26</v>
      </c>
      <c r="CM144" s="10" t="str">
        <f>'役職希望調査 ・備考'!I114&amp;""</f>
        <v/>
      </c>
    </row>
    <row r="145" spans="1:91">
      <c r="A145" s="10" t="str">
        <f>時間希望調査!A115&amp;""</f>
        <v/>
      </c>
      <c r="B145" s="10" t="str">
        <f>時間希望調査!B115&amp;""</f>
        <v/>
      </c>
      <c r="C145" s="10" t="str">
        <f>時間希望調査!C115&amp;""</f>
        <v/>
      </c>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c r="AP145" s="11"/>
      <c r="AQ145" s="11"/>
      <c r="AR145" s="11"/>
      <c r="AS145" s="11"/>
      <c r="AT145" s="11"/>
      <c r="AU145" s="11"/>
      <c r="AV145" s="11"/>
      <c r="AW145" s="11"/>
      <c r="AX145" s="11"/>
      <c r="AY145" s="11"/>
      <c r="AZ145" s="11"/>
      <c r="BA145" s="11"/>
      <c r="BB145" s="10">
        <f t="shared" si="107"/>
        <v>0</v>
      </c>
      <c r="BC145" s="10">
        <f>時間希望調査!D115</f>
        <v>0</v>
      </c>
      <c r="BD145" s="10" t="str">
        <f>'役職希望調査 ・備考'!D115&amp;""</f>
        <v/>
      </c>
      <c r="BE145" s="10" t="str">
        <f>'役職希望調査 ・備考'!E115&amp;""</f>
        <v/>
      </c>
      <c r="BF145" s="10" t="str">
        <f>'役職希望調査 ・備考'!F115&amp;""</f>
        <v/>
      </c>
      <c r="BG145" s="10" t="str">
        <f>'役職希望調査 ・備考'!G115&amp;""</f>
        <v/>
      </c>
      <c r="BH145" s="10" t="str">
        <f>'役職希望調査 ・備考'!H115&amp;""</f>
        <v/>
      </c>
      <c r="BI145" s="10">
        <f t="shared" si="108"/>
        <v>0</v>
      </c>
      <c r="BJ145" s="10">
        <f t="shared" si="109"/>
        <v>0</v>
      </c>
      <c r="BK145" s="10">
        <f t="shared" si="110"/>
        <v>0</v>
      </c>
      <c r="BL145" s="10">
        <f t="shared" si="111"/>
        <v>0</v>
      </c>
      <c r="BM145" s="10">
        <f t="shared" si="112"/>
        <v>0</v>
      </c>
      <c r="BN145" s="10">
        <f t="shared" si="113"/>
        <v>0</v>
      </c>
      <c r="BO145" s="10">
        <f t="shared" si="114"/>
        <v>48</v>
      </c>
      <c r="BP145" s="10">
        <f t="shared" si="115"/>
        <v>48</v>
      </c>
      <c r="BQ145" s="10">
        <f t="shared" si="116"/>
        <v>47</v>
      </c>
      <c r="BR145" s="10">
        <f t="shared" si="117"/>
        <v>46</v>
      </c>
      <c r="BS145" s="10">
        <f t="shared" si="118"/>
        <v>45</v>
      </c>
      <c r="BT145" s="10">
        <f t="shared" si="119"/>
        <v>44</v>
      </c>
      <c r="BU145" s="10">
        <f t="shared" si="120"/>
        <v>43</v>
      </c>
      <c r="BV145" s="10">
        <f t="shared" si="121"/>
        <v>42</v>
      </c>
      <c r="BW145" s="10">
        <f t="shared" si="122"/>
        <v>41</v>
      </c>
      <c r="BX145" s="10">
        <f t="shared" si="123"/>
        <v>40</v>
      </c>
      <c r="BY145" s="10">
        <f t="shared" si="124"/>
        <v>39</v>
      </c>
      <c r="BZ145" s="10">
        <f t="shared" si="125"/>
        <v>38</v>
      </c>
      <c r="CA145" s="10">
        <f t="shared" si="126"/>
        <v>37</v>
      </c>
      <c r="CB145" s="10">
        <f t="shared" si="127"/>
        <v>36</v>
      </c>
      <c r="CC145" s="10">
        <f t="shared" si="128"/>
        <v>35</v>
      </c>
      <c r="CD145" s="10">
        <f t="shared" si="129"/>
        <v>34</v>
      </c>
      <c r="CE145" s="10">
        <f t="shared" si="130"/>
        <v>33</v>
      </c>
      <c r="CF145" s="10">
        <f t="shared" si="131"/>
        <v>32</v>
      </c>
      <c r="CG145" s="10">
        <f t="shared" si="132"/>
        <v>31</v>
      </c>
      <c r="CH145" s="10">
        <f t="shared" si="133"/>
        <v>30</v>
      </c>
      <c r="CI145" s="10">
        <f t="shared" si="134"/>
        <v>29</v>
      </c>
      <c r="CJ145" s="10">
        <f t="shared" si="135"/>
        <v>28</v>
      </c>
      <c r="CK145" s="10">
        <f t="shared" si="136"/>
        <v>27</v>
      </c>
      <c r="CL145" s="10">
        <f t="shared" si="137"/>
        <v>26</v>
      </c>
      <c r="CM145" s="10" t="str">
        <f>'役職希望調査 ・備考'!I115&amp;""</f>
        <v/>
      </c>
    </row>
    <row r="146" spans="1:91">
      <c r="A146" s="10" t="str">
        <f>時間希望調査!A116&amp;""</f>
        <v/>
      </c>
      <c r="B146" s="10" t="str">
        <f>時間希望調査!B116&amp;""</f>
        <v/>
      </c>
      <c r="C146" s="10" t="str">
        <f>時間希望調査!C116&amp;""</f>
        <v/>
      </c>
      <c r="D146" s="11"/>
      <c r="E146" s="11"/>
      <c r="F146" s="11"/>
      <c r="G146" s="11"/>
      <c r="H146" s="11"/>
      <c r="I146" s="11"/>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c r="AP146" s="11"/>
      <c r="AQ146" s="11"/>
      <c r="AR146" s="11"/>
      <c r="AS146" s="11"/>
      <c r="AT146" s="11"/>
      <c r="AU146" s="11"/>
      <c r="AV146" s="11"/>
      <c r="AW146" s="11"/>
      <c r="AX146" s="11"/>
      <c r="AY146" s="11"/>
      <c r="AZ146" s="11"/>
      <c r="BA146" s="11"/>
      <c r="BB146" s="10">
        <f t="shared" si="107"/>
        <v>0</v>
      </c>
      <c r="BC146" s="10">
        <f>時間希望調査!D116</f>
        <v>0</v>
      </c>
      <c r="BD146" s="10" t="str">
        <f>'役職希望調査 ・備考'!D116&amp;""</f>
        <v/>
      </c>
      <c r="BE146" s="10" t="str">
        <f>'役職希望調査 ・備考'!E116&amp;""</f>
        <v/>
      </c>
      <c r="BF146" s="10" t="str">
        <f>'役職希望調査 ・備考'!F116&amp;""</f>
        <v/>
      </c>
      <c r="BG146" s="10" t="str">
        <f>'役職希望調査 ・備考'!G116&amp;""</f>
        <v/>
      </c>
      <c r="BH146" s="10" t="str">
        <f>'役職希望調査 ・備考'!H116&amp;""</f>
        <v/>
      </c>
      <c r="BI146" s="10">
        <f t="shared" si="108"/>
        <v>0</v>
      </c>
      <c r="BJ146" s="10">
        <f t="shared" si="109"/>
        <v>0</v>
      </c>
      <c r="BK146" s="10">
        <f t="shared" si="110"/>
        <v>0</v>
      </c>
      <c r="BL146" s="10">
        <f t="shared" si="111"/>
        <v>0</v>
      </c>
      <c r="BM146" s="10">
        <f t="shared" si="112"/>
        <v>0</v>
      </c>
      <c r="BN146" s="10">
        <f t="shared" si="113"/>
        <v>0</v>
      </c>
      <c r="BO146" s="10">
        <f t="shared" si="114"/>
        <v>48</v>
      </c>
      <c r="BP146" s="10">
        <f t="shared" si="115"/>
        <v>48</v>
      </c>
      <c r="BQ146" s="10">
        <f t="shared" si="116"/>
        <v>47</v>
      </c>
      <c r="BR146" s="10">
        <f t="shared" si="117"/>
        <v>46</v>
      </c>
      <c r="BS146" s="10">
        <f t="shared" si="118"/>
        <v>45</v>
      </c>
      <c r="BT146" s="10">
        <f t="shared" si="119"/>
        <v>44</v>
      </c>
      <c r="BU146" s="10">
        <f t="shared" si="120"/>
        <v>43</v>
      </c>
      <c r="BV146" s="10">
        <f t="shared" si="121"/>
        <v>42</v>
      </c>
      <c r="BW146" s="10">
        <f t="shared" si="122"/>
        <v>41</v>
      </c>
      <c r="BX146" s="10">
        <f t="shared" si="123"/>
        <v>40</v>
      </c>
      <c r="BY146" s="10">
        <f t="shared" si="124"/>
        <v>39</v>
      </c>
      <c r="BZ146" s="10">
        <f t="shared" si="125"/>
        <v>38</v>
      </c>
      <c r="CA146" s="10">
        <f t="shared" si="126"/>
        <v>37</v>
      </c>
      <c r="CB146" s="10">
        <f t="shared" si="127"/>
        <v>36</v>
      </c>
      <c r="CC146" s="10">
        <f t="shared" si="128"/>
        <v>35</v>
      </c>
      <c r="CD146" s="10">
        <f t="shared" si="129"/>
        <v>34</v>
      </c>
      <c r="CE146" s="10">
        <f t="shared" si="130"/>
        <v>33</v>
      </c>
      <c r="CF146" s="10">
        <f t="shared" si="131"/>
        <v>32</v>
      </c>
      <c r="CG146" s="10">
        <f t="shared" si="132"/>
        <v>31</v>
      </c>
      <c r="CH146" s="10">
        <f t="shared" si="133"/>
        <v>30</v>
      </c>
      <c r="CI146" s="10">
        <f t="shared" si="134"/>
        <v>29</v>
      </c>
      <c r="CJ146" s="10">
        <f t="shared" si="135"/>
        <v>28</v>
      </c>
      <c r="CK146" s="10">
        <f t="shared" si="136"/>
        <v>27</v>
      </c>
      <c r="CL146" s="10">
        <f t="shared" si="137"/>
        <v>26</v>
      </c>
      <c r="CM146" s="10" t="str">
        <f>'役職希望調査 ・備考'!I116&amp;""</f>
        <v/>
      </c>
    </row>
    <row r="147" spans="1:91">
      <c r="A147" s="10" t="str">
        <f>時間希望調査!A117&amp;""</f>
        <v/>
      </c>
      <c r="B147" s="10" t="str">
        <f>時間希望調査!B117&amp;""</f>
        <v/>
      </c>
      <c r="C147" s="10" t="str">
        <f>時間希望調査!C117&amp;""</f>
        <v/>
      </c>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c r="AP147" s="11"/>
      <c r="AQ147" s="11"/>
      <c r="AR147" s="11"/>
      <c r="AS147" s="11"/>
      <c r="AT147" s="11"/>
      <c r="AU147" s="11"/>
      <c r="AV147" s="11"/>
      <c r="AW147" s="11"/>
      <c r="AX147" s="11"/>
      <c r="AY147" s="11"/>
      <c r="AZ147" s="11"/>
      <c r="BA147" s="11"/>
      <c r="BB147" s="10">
        <f t="shared" si="107"/>
        <v>0</v>
      </c>
      <c r="BC147" s="10">
        <f>時間希望調査!D117</f>
        <v>0</v>
      </c>
      <c r="BD147" s="10" t="str">
        <f>'役職希望調査 ・備考'!D117&amp;""</f>
        <v/>
      </c>
      <c r="BE147" s="10" t="str">
        <f>'役職希望調査 ・備考'!E117&amp;""</f>
        <v/>
      </c>
      <c r="BF147" s="10" t="str">
        <f>'役職希望調査 ・備考'!F117&amp;""</f>
        <v/>
      </c>
      <c r="BG147" s="10" t="str">
        <f>'役職希望調査 ・備考'!G117&amp;""</f>
        <v/>
      </c>
      <c r="BH147" s="10" t="str">
        <f>'役職希望調査 ・備考'!H117&amp;""</f>
        <v/>
      </c>
      <c r="BI147" s="10">
        <f t="shared" si="108"/>
        <v>0</v>
      </c>
      <c r="BJ147" s="10">
        <f t="shared" si="109"/>
        <v>0</v>
      </c>
      <c r="BK147" s="10">
        <f t="shared" si="110"/>
        <v>0</v>
      </c>
      <c r="BL147" s="10">
        <f t="shared" si="111"/>
        <v>0</v>
      </c>
      <c r="BM147" s="10">
        <f t="shared" si="112"/>
        <v>0</v>
      </c>
      <c r="BN147" s="10">
        <f t="shared" si="113"/>
        <v>0</v>
      </c>
      <c r="BO147" s="10">
        <f t="shared" si="114"/>
        <v>48</v>
      </c>
      <c r="BP147" s="10">
        <f t="shared" si="115"/>
        <v>48</v>
      </c>
      <c r="BQ147" s="10">
        <f t="shared" si="116"/>
        <v>47</v>
      </c>
      <c r="BR147" s="10">
        <f t="shared" si="117"/>
        <v>46</v>
      </c>
      <c r="BS147" s="10">
        <f t="shared" si="118"/>
        <v>45</v>
      </c>
      <c r="BT147" s="10">
        <f t="shared" si="119"/>
        <v>44</v>
      </c>
      <c r="BU147" s="10">
        <f t="shared" si="120"/>
        <v>43</v>
      </c>
      <c r="BV147" s="10">
        <f t="shared" si="121"/>
        <v>42</v>
      </c>
      <c r="BW147" s="10">
        <f t="shared" si="122"/>
        <v>41</v>
      </c>
      <c r="BX147" s="10">
        <f t="shared" si="123"/>
        <v>40</v>
      </c>
      <c r="BY147" s="10">
        <f t="shared" si="124"/>
        <v>39</v>
      </c>
      <c r="BZ147" s="10">
        <f t="shared" si="125"/>
        <v>38</v>
      </c>
      <c r="CA147" s="10">
        <f t="shared" si="126"/>
        <v>37</v>
      </c>
      <c r="CB147" s="10">
        <f t="shared" si="127"/>
        <v>36</v>
      </c>
      <c r="CC147" s="10">
        <f t="shared" si="128"/>
        <v>35</v>
      </c>
      <c r="CD147" s="10">
        <f t="shared" si="129"/>
        <v>34</v>
      </c>
      <c r="CE147" s="10">
        <f t="shared" si="130"/>
        <v>33</v>
      </c>
      <c r="CF147" s="10">
        <f t="shared" si="131"/>
        <v>32</v>
      </c>
      <c r="CG147" s="10">
        <f t="shared" si="132"/>
        <v>31</v>
      </c>
      <c r="CH147" s="10">
        <f t="shared" si="133"/>
        <v>30</v>
      </c>
      <c r="CI147" s="10">
        <f t="shared" si="134"/>
        <v>29</v>
      </c>
      <c r="CJ147" s="10">
        <f t="shared" si="135"/>
        <v>28</v>
      </c>
      <c r="CK147" s="10">
        <f t="shared" si="136"/>
        <v>27</v>
      </c>
      <c r="CL147" s="10">
        <f t="shared" si="137"/>
        <v>26</v>
      </c>
      <c r="CM147" s="10" t="str">
        <f>'役職希望調査 ・備考'!I117&amp;""</f>
        <v/>
      </c>
    </row>
    <row r="148" spans="1:91">
      <c r="A148" s="10" t="str">
        <f>時間希望調査!A118&amp;""</f>
        <v/>
      </c>
      <c r="B148" s="10" t="str">
        <f>時間希望調査!B118&amp;""</f>
        <v/>
      </c>
      <c r="C148" s="10" t="str">
        <f>時間希望調査!C118&amp;""</f>
        <v/>
      </c>
      <c r="D148" s="11"/>
      <c r="E148" s="11"/>
      <c r="F148" s="11"/>
      <c r="G148" s="11"/>
      <c r="H148" s="11"/>
      <c r="I148" s="11"/>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c r="AP148" s="11"/>
      <c r="AQ148" s="11"/>
      <c r="AR148" s="11"/>
      <c r="AS148" s="11"/>
      <c r="AT148" s="11"/>
      <c r="AU148" s="11"/>
      <c r="AV148" s="11"/>
      <c r="AW148" s="11"/>
      <c r="AX148" s="11"/>
      <c r="AY148" s="11"/>
      <c r="AZ148" s="11"/>
      <c r="BA148" s="11"/>
      <c r="BB148" s="10">
        <f t="shared" si="107"/>
        <v>0</v>
      </c>
      <c r="BC148" s="10">
        <f>時間希望調査!D118</f>
        <v>0</v>
      </c>
      <c r="BD148" s="10" t="str">
        <f>'役職希望調査 ・備考'!D118&amp;""</f>
        <v/>
      </c>
      <c r="BE148" s="10" t="str">
        <f>'役職希望調査 ・備考'!E118&amp;""</f>
        <v/>
      </c>
      <c r="BF148" s="10" t="str">
        <f>'役職希望調査 ・備考'!F118&amp;""</f>
        <v/>
      </c>
      <c r="BG148" s="10" t="str">
        <f>'役職希望調査 ・備考'!G118&amp;""</f>
        <v/>
      </c>
      <c r="BH148" s="10" t="str">
        <f>'役職希望調査 ・備考'!H118&amp;""</f>
        <v/>
      </c>
      <c r="BI148" s="10">
        <f t="shared" si="108"/>
        <v>0</v>
      </c>
      <c r="BJ148" s="10">
        <f t="shared" si="109"/>
        <v>0</v>
      </c>
      <c r="BK148" s="10">
        <f t="shared" si="110"/>
        <v>0</v>
      </c>
      <c r="BL148" s="10">
        <f t="shared" si="111"/>
        <v>0</v>
      </c>
      <c r="BM148" s="10">
        <f t="shared" si="112"/>
        <v>0</v>
      </c>
      <c r="BN148" s="10">
        <f t="shared" si="113"/>
        <v>0</v>
      </c>
      <c r="BO148" s="10">
        <f t="shared" si="114"/>
        <v>48</v>
      </c>
      <c r="BP148" s="10">
        <f t="shared" si="115"/>
        <v>48</v>
      </c>
      <c r="BQ148" s="10">
        <f t="shared" si="116"/>
        <v>47</v>
      </c>
      <c r="BR148" s="10">
        <f t="shared" si="117"/>
        <v>46</v>
      </c>
      <c r="BS148" s="10">
        <f t="shared" si="118"/>
        <v>45</v>
      </c>
      <c r="BT148" s="10">
        <f t="shared" si="119"/>
        <v>44</v>
      </c>
      <c r="BU148" s="10">
        <f t="shared" si="120"/>
        <v>43</v>
      </c>
      <c r="BV148" s="10">
        <f t="shared" si="121"/>
        <v>42</v>
      </c>
      <c r="BW148" s="10">
        <f t="shared" si="122"/>
        <v>41</v>
      </c>
      <c r="BX148" s="10">
        <f t="shared" si="123"/>
        <v>40</v>
      </c>
      <c r="BY148" s="10">
        <f t="shared" si="124"/>
        <v>39</v>
      </c>
      <c r="BZ148" s="10">
        <f t="shared" si="125"/>
        <v>38</v>
      </c>
      <c r="CA148" s="10">
        <f t="shared" si="126"/>
        <v>37</v>
      </c>
      <c r="CB148" s="10">
        <f t="shared" si="127"/>
        <v>36</v>
      </c>
      <c r="CC148" s="10">
        <f t="shared" si="128"/>
        <v>35</v>
      </c>
      <c r="CD148" s="10">
        <f t="shared" si="129"/>
        <v>34</v>
      </c>
      <c r="CE148" s="10">
        <f t="shared" si="130"/>
        <v>33</v>
      </c>
      <c r="CF148" s="10">
        <f t="shared" si="131"/>
        <v>32</v>
      </c>
      <c r="CG148" s="10">
        <f t="shared" si="132"/>
        <v>31</v>
      </c>
      <c r="CH148" s="10">
        <f t="shared" si="133"/>
        <v>30</v>
      </c>
      <c r="CI148" s="10">
        <f t="shared" si="134"/>
        <v>29</v>
      </c>
      <c r="CJ148" s="10">
        <f t="shared" si="135"/>
        <v>28</v>
      </c>
      <c r="CK148" s="10">
        <f t="shared" si="136"/>
        <v>27</v>
      </c>
      <c r="CL148" s="10">
        <f t="shared" si="137"/>
        <v>26</v>
      </c>
      <c r="CM148" s="10" t="str">
        <f>'役職希望調査 ・備考'!I118&amp;""</f>
        <v/>
      </c>
    </row>
    <row r="149" spans="1:91">
      <c r="A149" s="10" t="str">
        <f>時間希望調査!A119&amp;""</f>
        <v/>
      </c>
      <c r="B149" s="10" t="str">
        <f>時間希望調査!B119&amp;""</f>
        <v/>
      </c>
      <c r="C149" s="10" t="str">
        <f>時間希望調査!C119&amp;""</f>
        <v/>
      </c>
      <c r="D149" s="11"/>
      <c r="E149" s="11"/>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c r="AY149" s="11"/>
      <c r="AZ149" s="11"/>
      <c r="BA149" s="11"/>
      <c r="BB149" s="10">
        <f t="shared" si="107"/>
        <v>0</v>
      </c>
      <c r="BC149" s="10">
        <f>時間希望調査!D119</f>
        <v>0</v>
      </c>
      <c r="BD149" s="10" t="str">
        <f>'役職希望調査 ・備考'!D119&amp;""</f>
        <v/>
      </c>
      <c r="BE149" s="10" t="str">
        <f>'役職希望調査 ・備考'!E119&amp;""</f>
        <v/>
      </c>
      <c r="BF149" s="10" t="str">
        <f>'役職希望調査 ・備考'!F119&amp;""</f>
        <v/>
      </c>
      <c r="BG149" s="10" t="str">
        <f>'役職希望調査 ・備考'!G119&amp;""</f>
        <v/>
      </c>
      <c r="BH149" s="10" t="str">
        <f>'役職希望調査 ・備考'!H119&amp;""</f>
        <v/>
      </c>
      <c r="BI149" s="10">
        <f t="shared" si="108"/>
        <v>0</v>
      </c>
      <c r="BJ149" s="10">
        <f t="shared" si="109"/>
        <v>0</v>
      </c>
      <c r="BK149" s="10">
        <f t="shared" si="110"/>
        <v>0</v>
      </c>
      <c r="BL149" s="10">
        <f t="shared" si="111"/>
        <v>0</v>
      </c>
      <c r="BM149" s="10">
        <f t="shared" si="112"/>
        <v>0</v>
      </c>
      <c r="BN149" s="10">
        <f t="shared" si="113"/>
        <v>0</v>
      </c>
      <c r="BO149" s="10">
        <f t="shared" si="114"/>
        <v>48</v>
      </c>
      <c r="BP149" s="10">
        <f t="shared" si="115"/>
        <v>48</v>
      </c>
      <c r="BQ149" s="10">
        <f t="shared" si="116"/>
        <v>47</v>
      </c>
      <c r="BR149" s="10">
        <f t="shared" si="117"/>
        <v>46</v>
      </c>
      <c r="BS149" s="10">
        <f t="shared" si="118"/>
        <v>45</v>
      </c>
      <c r="BT149" s="10">
        <f t="shared" si="119"/>
        <v>44</v>
      </c>
      <c r="BU149" s="10">
        <f t="shared" si="120"/>
        <v>43</v>
      </c>
      <c r="BV149" s="10">
        <f t="shared" si="121"/>
        <v>42</v>
      </c>
      <c r="BW149" s="10">
        <f t="shared" si="122"/>
        <v>41</v>
      </c>
      <c r="BX149" s="10">
        <f t="shared" si="123"/>
        <v>40</v>
      </c>
      <c r="BY149" s="10">
        <f t="shared" si="124"/>
        <v>39</v>
      </c>
      <c r="BZ149" s="10">
        <f t="shared" si="125"/>
        <v>38</v>
      </c>
      <c r="CA149" s="10">
        <f t="shared" si="126"/>
        <v>37</v>
      </c>
      <c r="CB149" s="10">
        <f t="shared" si="127"/>
        <v>36</v>
      </c>
      <c r="CC149" s="10">
        <f t="shared" si="128"/>
        <v>35</v>
      </c>
      <c r="CD149" s="10">
        <f t="shared" si="129"/>
        <v>34</v>
      </c>
      <c r="CE149" s="10">
        <f t="shared" si="130"/>
        <v>33</v>
      </c>
      <c r="CF149" s="10">
        <f t="shared" si="131"/>
        <v>32</v>
      </c>
      <c r="CG149" s="10">
        <f t="shared" si="132"/>
        <v>31</v>
      </c>
      <c r="CH149" s="10">
        <f t="shared" si="133"/>
        <v>30</v>
      </c>
      <c r="CI149" s="10">
        <f t="shared" si="134"/>
        <v>29</v>
      </c>
      <c r="CJ149" s="10">
        <f t="shared" si="135"/>
        <v>28</v>
      </c>
      <c r="CK149" s="10">
        <f t="shared" si="136"/>
        <v>27</v>
      </c>
      <c r="CL149" s="10">
        <f t="shared" si="137"/>
        <v>26</v>
      </c>
      <c r="CM149" s="10" t="str">
        <f>'役職希望調査 ・備考'!I119&amp;""</f>
        <v/>
      </c>
    </row>
    <row r="150" spans="1:91">
      <c r="A150" s="10" t="str">
        <f>時間希望調査!A120&amp;""</f>
        <v/>
      </c>
      <c r="B150" s="10" t="str">
        <f>時間希望調査!B120&amp;""</f>
        <v/>
      </c>
      <c r="C150" s="10" t="str">
        <f>時間希望調査!C120&amp;""</f>
        <v/>
      </c>
      <c r="D150" s="11"/>
      <c r="E150" s="11"/>
      <c r="F150" s="11"/>
      <c r="G150" s="11"/>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c r="AP150" s="11"/>
      <c r="AQ150" s="11"/>
      <c r="AR150" s="11"/>
      <c r="AS150" s="11"/>
      <c r="AT150" s="11"/>
      <c r="AU150" s="11"/>
      <c r="AV150" s="11"/>
      <c r="AW150" s="11"/>
      <c r="AX150" s="11"/>
      <c r="AY150" s="11"/>
      <c r="AZ150" s="11"/>
      <c r="BA150" s="11"/>
      <c r="BB150" s="10">
        <f t="shared" si="107"/>
        <v>0</v>
      </c>
      <c r="BC150" s="10">
        <f>時間希望調査!D120</f>
        <v>0</v>
      </c>
      <c r="BD150" s="10" t="str">
        <f>'役職希望調査 ・備考'!D120&amp;""</f>
        <v/>
      </c>
      <c r="BE150" s="10" t="str">
        <f>'役職希望調査 ・備考'!E120&amp;""</f>
        <v/>
      </c>
      <c r="BF150" s="10" t="str">
        <f>'役職希望調査 ・備考'!F120&amp;""</f>
        <v/>
      </c>
      <c r="BG150" s="10" t="str">
        <f>'役職希望調査 ・備考'!G120&amp;""</f>
        <v/>
      </c>
      <c r="BH150" s="10" t="str">
        <f>'役職希望調査 ・備考'!H120&amp;""</f>
        <v/>
      </c>
      <c r="BI150" s="10">
        <f t="shared" si="108"/>
        <v>0</v>
      </c>
      <c r="BJ150" s="10">
        <f t="shared" si="109"/>
        <v>0</v>
      </c>
      <c r="BK150" s="10">
        <f t="shared" si="110"/>
        <v>0</v>
      </c>
      <c r="BL150" s="10">
        <f t="shared" si="111"/>
        <v>0</v>
      </c>
      <c r="BM150" s="10">
        <f t="shared" si="112"/>
        <v>0</v>
      </c>
      <c r="BN150" s="10">
        <f t="shared" si="113"/>
        <v>0</v>
      </c>
      <c r="BO150" s="10">
        <f t="shared" si="114"/>
        <v>48</v>
      </c>
      <c r="BP150" s="10">
        <f t="shared" si="115"/>
        <v>48</v>
      </c>
      <c r="BQ150" s="10">
        <f t="shared" si="116"/>
        <v>47</v>
      </c>
      <c r="BR150" s="10">
        <f t="shared" si="117"/>
        <v>46</v>
      </c>
      <c r="BS150" s="10">
        <f t="shared" si="118"/>
        <v>45</v>
      </c>
      <c r="BT150" s="10">
        <f t="shared" si="119"/>
        <v>44</v>
      </c>
      <c r="BU150" s="10">
        <f t="shared" si="120"/>
        <v>43</v>
      </c>
      <c r="BV150" s="10">
        <f t="shared" si="121"/>
        <v>42</v>
      </c>
      <c r="BW150" s="10">
        <f t="shared" si="122"/>
        <v>41</v>
      </c>
      <c r="BX150" s="10">
        <f t="shared" si="123"/>
        <v>40</v>
      </c>
      <c r="BY150" s="10">
        <f t="shared" si="124"/>
        <v>39</v>
      </c>
      <c r="BZ150" s="10">
        <f t="shared" si="125"/>
        <v>38</v>
      </c>
      <c r="CA150" s="10">
        <f t="shared" si="126"/>
        <v>37</v>
      </c>
      <c r="CB150" s="10">
        <f t="shared" si="127"/>
        <v>36</v>
      </c>
      <c r="CC150" s="10">
        <f t="shared" si="128"/>
        <v>35</v>
      </c>
      <c r="CD150" s="10">
        <f t="shared" si="129"/>
        <v>34</v>
      </c>
      <c r="CE150" s="10">
        <f t="shared" si="130"/>
        <v>33</v>
      </c>
      <c r="CF150" s="10">
        <f t="shared" si="131"/>
        <v>32</v>
      </c>
      <c r="CG150" s="10">
        <f t="shared" si="132"/>
        <v>31</v>
      </c>
      <c r="CH150" s="10">
        <f t="shared" si="133"/>
        <v>30</v>
      </c>
      <c r="CI150" s="10">
        <f t="shared" si="134"/>
        <v>29</v>
      </c>
      <c r="CJ150" s="10">
        <f t="shared" si="135"/>
        <v>28</v>
      </c>
      <c r="CK150" s="10">
        <f t="shared" si="136"/>
        <v>27</v>
      </c>
      <c r="CL150" s="10">
        <f t="shared" si="137"/>
        <v>26</v>
      </c>
      <c r="CM150" s="10" t="str">
        <f>'役職希望調査 ・備考'!I120&amp;""</f>
        <v/>
      </c>
    </row>
    <row r="151" spans="1:91">
      <c r="A151" s="10" t="str">
        <f>時間希望調査!A121&amp;""</f>
        <v/>
      </c>
      <c r="B151" s="10" t="str">
        <f>時間希望調査!B121&amp;""</f>
        <v/>
      </c>
      <c r="C151" s="10" t="str">
        <f>時間希望調査!C121&amp;""</f>
        <v/>
      </c>
      <c r="D151" s="11"/>
      <c r="E151" s="11"/>
      <c r="F151" s="11"/>
      <c r="G151" s="11"/>
      <c r="H151" s="11"/>
      <c r="I151" s="11"/>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c r="AP151" s="11"/>
      <c r="AQ151" s="11"/>
      <c r="AR151" s="11"/>
      <c r="AS151" s="11"/>
      <c r="AT151" s="11"/>
      <c r="AU151" s="11"/>
      <c r="AV151" s="11"/>
      <c r="AW151" s="11"/>
      <c r="AX151" s="11"/>
      <c r="AY151" s="11"/>
      <c r="AZ151" s="11"/>
      <c r="BA151" s="11"/>
      <c r="BB151" s="10">
        <f t="shared" si="107"/>
        <v>0</v>
      </c>
      <c r="BC151" s="10">
        <f>時間希望調査!D121</f>
        <v>0</v>
      </c>
      <c r="BD151" s="10" t="str">
        <f>'役職希望調査 ・備考'!D121&amp;""</f>
        <v/>
      </c>
      <c r="BE151" s="10" t="str">
        <f>'役職希望調査 ・備考'!E121&amp;""</f>
        <v/>
      </c>
      <c r="BF151" s="10" t="str">
        <f>'役職希望調査 ・備考'!F121&amp;""</f>
        <v/>
      </c>
      <c r="BG151" s="10" t="str">
        <f>'役職希望調査 ・備考'!G121&amp;""</f>
        <v/>
      </c>
      <c r="BH151" s="10" t="str">
        <f>'役職希望調査 ・備考'!H121&amp;""</f>
        <v/>
      </c>
      <c r="BI151" s="10">
        <f t="shared" si="108"/>
        <v>0</v>
      </c>
      <c r="BJ151" s="10">
        <f t="shared" si="109"/>
        <v>0</v>
      </c>
      <c r="BK151" s="10">
        <f t="shared" si="110"/>
        <v>0</v>
      </c>
      <c r="BL151" s="10">
        <f t="shared" si="111"/>
        <v>0</v>
      </c>
      <c r="BM151" s="10">
        <f t="shared" si="112"/>
        <v>0</v>
      </c>
      <c r="BN151" s="10">
        <f t="shared" si="113"/>
        <v>0</v>
      </c>
      <c r="BO151" s="10">
        <f t="shared" si="114"/>
        <v>48</v>
      </c>
      <c r="BP151" s="10">
        <f t="shared" si="115"/>
        <v>48</v>
      </c>
      <c r="BQ151" s="10">
        <f t="shared" si="116"/>
        <v>47</v>
      </c>
      <c r="BR151" s="10">
        <f t="shared" si="117"/>
        <v>46</v>
      </c>
      <c r="BS151" s="10">
        <f t="shared" si="118"/>
        <v>45</v>
      </c>
      <c r="BT151" s="10">
        <f t="shared" si="119"/>
        <v>44</v>
      </c>
      <c r="BU151" s="10">
        <f t="shared" si="120"/>
        <v>43</v>
      </c>
      <c r="BV151" s="10">
        <f t="shared" si="121"/>
        <v>42</v>
      </c>
      <c r="BW151" s="10">
        <f t="shared" si="122"/>
        <v>41</v>
      </c>
      <c r="BX151" s="10">
        <f t="shared" si="123"/>
        <v>40</v>
      </c>
      <c r="BY151" s="10">
        <f t="shared" si="124"/>
        <v>39</v>
      </c>
      <c r="BZ151" s="10">
        <f t="shared" si="125"/>
        <v>38</v>
      </c>
      <c r="CA151" s="10">
        <f t="shared" si="126"/>
        <v>37</v>
      </c>
      <c r="CB151" s="10">
        <f t="shared" si="127"/>
        <v>36</v>
      </c>
      <c r="CC151" s="10">
        <f t="shared" si="128"/>
        <v>35</v>
      </c>
      <c r="CD151" s="10">
        <f t="shared" si="129"/>
        <v>34</v>
      </c>
      <c r="CE151" s="10">
        <f t="shared" si="130"/>
        <v>33</v>
      </c>
      <c r="CF151" s="10">
        <f t="shared" si="131"/>
        <v>32</v>
      </c>
      <c r="CG151" s="10">
        <f t="shared" si="132"/>
        <v>31</v>
      </c>
      <c r="CH151" s="10">
        <f t="shared" si="133"/>
        <v>30</v>
      </c>
      <c r="CI151" s="10">
        <f t="shared" si="134"/>
        <v>29</v>
      </c>
      <c r="CJ151" s="10">
        <f t="shared" si="135"/>
        <v>28</v>
      </c>
      <c r="CK151" s="10">
        <f t="shared" si="136"/>
        <v>27</v>
      </c>
      <c r="CL151" s="10">
        <f t="shared" si="137"/>
        <v>26</v>
      </c>
      <c r="CM151" s="10" t="str">
        <f>'役職希望調査 ・備考'!I121&amp;""</f>
        <v/>
      </c>
    </row>
    <row r="152" spans="1:91">
      <c r="A152" s="10" t="str">
        <f>時間希望調査!A122&amp;""</f>
        <v/>
      </c>
      <c r="B152" s="10" t="str">
        <f>時間希望調査!B122&amp;""</f>
        <v/>
      </c>
      <c r="C152" s="10" t="str">
        <f>時間希望調査!C122&amp;""</f>
        <v/>
      </c>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c r="AP152" s="11"/>
      <c r="AQ152" s="11"/>
      <c r="AR152" s="11"/>
      <c r="AS152" s="11"/>
      <c r="AT152" s="11"/>
      <c r="AU152" s="11"/>
      <c r="AV152" s="11"/>
      <c r="AW152" s="11"/>
      <c r="AX152" s="11"/>
      <c r="AY152" s="11"/>
      <c r="AZ152" s="11"/>
      <c r="BA152" s="11"/>
      <c r="BB152" s="10">
        <f t="shared" si="107"/>
        <v>0</v>
      </c>
      <c r="BC152" s="10">
        <f>時間希望調査!D122</f>
        <v>0</v>
      </c>
      <c r="BD152" s="10" t="str">
        <f>'役職希望調査 ・備考'!D122&amp;""</f>
        <v/>
      </c>
      <c r="BE152" s="10" t="str">
        <f>'役職希望調査 ・備考'!E122&amp;""</f>
        <v/>
      </c>
      <c r="BF152" s="10" t="str">
        <f>'役職希望調査 ・備考'!F122&amp;""</f>
        <v/>
      </c>
      <c r="BG152" s="10" t="str">
        <f>'役職希望調査 ・備考'!G122&amp;""</f>
        <v/>
      </c>
      <c r="BH152" s="10" t="str">
        <f>'役職希望調査 ・備考'!H122&amp;""</f>
        <v/>
      </c>
      <c r="BI152" s="10">
        <f t="shared" si="108"/>
        <v>0</v>
      </c>
      <c r="BJ152" s="10">
        <f t="shared" si="109"/>
        <v>0</v>
      </c>
      <c r="BK152" s="10">
        <f t="shared" si="110"/>
        <v>0</v>
      </c>
      <c r="BL152" s="10">
        <f t="shared" si="111"/>
        <v>0</v>
      </c>
      <c r="BM152" s="10">
        <f t="shared" si="112"/>
        <v>0</v>
      </c>
      <c r="BN152" s="10">
        <f t="shared" si="113"/>
        <v>0</v>
      </c>
      <c r="BO152" s="10">
        <f t="shared" si="114"/>
        <v>48</v>
      </c>
      <c r="BP152" s="10">
        <f t="shared" si="115"/>
        <v>48</v>
      </c>
      <c r="BQ152" s="10">
        <f t="shared" si="116"/>
        <v>47</v>
      </c>
      <c r="BR152" s="10">
        <f t="shared" si="117"/>
        <v>46</v>
      </c>
      <c r="BS152" s="10">
        <f t="shared" si="118"/>
        <v>45</v>
      </c>
      <c r="BT152" s="10">
        <f t="shared" si="119"/>
        <v>44</v>
      </c>
      <c r="BU152" s="10">
        <f t="shared" si="120"/>
        <v>43</v>
      </c>
      <c r="BV152" s="10">
        <f t="shared" si="121"/>
        <v>42</v>
      </c>
      <c r="BW152" s="10">
        <f t="shared" si="122"/>
        <v>41</v>
      </c>
      <c r="BX152" s="10">
        <f t="shared" si="123"/>
        <v>40</v>
      </c>
      <c r="BY152" s="10">
        <f t="shared" si="124"/>
        <v>39</v>
      </c>
      <c r="BZ152" s="10">
        <f t="shared" si="125"/>
        <v>38</v>
      </c>
      <c r="CA152" s="10">
        <f t="shared" si="126"/>
        <v>37</v>
      </c>
      <c r="CB152" s="10">
        <f t="shared" si="127"/>
        <v>36</v>
      </c>
      <c r="CC152" s="10">
        <f t="shared" si="128"/>
        <v>35</v>
      </c>
      <c r="CD152" s="10">
        <f t="shared" si="129"/>
        <v>34</v>
      </c>
      <c r="CE152" s="10">
        <f t="shared" si="130"/>
        <v>33</v>
      </c>
      <c r="CF152" s="10">
        <f t="shared" si="131"/>
        <v>32</v>
      </c>
      <c r="CG152" s="10">
        <f t="shared" si="132"/>
        <v>31</v>
      </c>
      <c r="CH152" s="10">
        <f t="shared" si="133"/>
        <v>30</v>
      </c>
      <c r="CI152" s="10">
        <f t="shared" si="134"/>
        <v>29</v>
      </c>
      <c r="CJ152" s="10">
        <f t="shared" si="135"/>
        <v>28</v>
      </c>
      <c r="CK152" s="10">
        <f t="shared" si="136"/>
        <v>27</v>
      </c>
      <c r="CL152" s="10">
        <f t="shared" si="137"/>
        <v>26</v>
      </c>
      <c r="CM152" s="10" t="str">
        <f>'役職希望調査 ・備考'!I122&amp;""</f>
        <v/>
      </c>
    </row>
    <row r="153" spans="1:91">
      <c r="A153" s="10" t="str">
        <f>時間希望調査!A123&amp;""</f>
        <v/>
      </c>
      <c r="B153" s="10" t="str">
        <f>時間希望調査!B123&amp;""</f>
        <v/>
      </c>
      <c r="C153" s="10" t="str">
        <f>時間希望調査!C123&amp;""</f>
        <v/>
      </c>
      <c r="D153" s="11"/>
      <c r="E153" s="11"/>
      <c r="F153" s="11"/>
      <c r="G153" s="11"/>
      <c r="H153" s="11"/>
      <c r="I153" s="11"/>
      <c r="J153" s="11"/>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c r="AP153" s="11"/>
      <c r="AQ153" s="11"/>
      <c r="AR153" s="11"/>
      <c r="AS153" s="11"/>
      <c r="AT153" s="11"/>
      <c r="AU153" s="11"/>
      <c r="AV153" s="11"/>
      <c r="AW153" s="11"/>
      <c r="AX153" s="11"/>
      <c r="AY153" s="11"/>
      <c r="AZ153" s="11"/>
      <c r="BA153" s="11"/>
      <c r="BB153" s="10">
        <f t="shared" si="107"/>
        <v>0</v>
      </c>
      <c r="BC153" s="10">
        <f>時間希望調査!D123</f>
        <v>0</v>
      </c>
      <c r="BD153" s="10" t="str">
        <f>'役職希望調査 ・備考'!D123&amp;""</f>
        <v/>
      </c>
      <c r="BE153" s="10" t="str">
        <f>'役職希望調査 ・備考'!E123&amp;""</f>
        <v/>
      </c>
      <c r="BF153" s="10" t="str">
        <f>'役職希望調査 ・備考'!F123&amp;""</f>
        <v/>
      </c>
      <c r="BG153" s="10" t="str">
        <f>'役職希望調査 ・備考'!G123&amp;""</f>
        <v/>
      </c>
      <c r="BH153" s="10" t="str">
        <f>'役職希望調査 ・備考'!H123&amp;""</f>
        <v/>
      </c>
      <c r="BI153" s="10">
        <f t="shared" si="108"/>
        <v>0</v>
      </c>
      <c r="BJ153" s="10">
        <f t="shared" si="109"/>
        <v>0</v>
      </c>
      <c r="BK153" s="10">
        <f t="shared" si="110"/>
        <v>0</v>
      </c>
      <c r="BL153" s="10">
        <f t="shared" si="111"/>
        <v>0</v>
      </c>
      <c r="BM153" s="10">
        <f t="shared" si="112"/>
        <v>0</v>
      </c>
      <c r="BN153" s="10">
        <f t="shared" si="113"/>
        <v>0</v>
      </c>
      <c r="BO153" s="10">
        <f t="shared" si="114"/>
        <v>48</v>
      </c>
      <c r="BP153" s="10">
        <f t="shared" si="115"/>
        <v>48</v>
      </c>
      <c r="BQ153" s="10">
        <f t="shared" si="116"/>
        <v>47</v>
      </c>
      <c r="BR153" s="10">
        <f t="shared" si="117"/>
        <v>46</v>
      </c>
      <c r="BS153" s="10">
        <f t="shared" si="118"/>
        <v>45</v>
      </c>
      <c r="BT153" s="10">
        <f t="shared" si="119"/>
        <v>44</v>
      </c>
      <c r="BU153" s="10">
        <f t="shared" si="120"/>
        <v>43</v>
      </c>
      <c r="BV153" s="10">
        <f t="shared" si="121"/>
        <v>42</v>
      </c>
      <c r="BW153" s="10">
        <f t="shared" si="122"/>
        <v>41</v>
      </c>
      <c r="BX153" s="10">
        <f t="shared" si="123"/>
        <v>40</v>
      </c>
      <c r="BY153" s="10">
        <f t="shared" si="124"/>
        <v>39</v>
      </c>
      <c r="BZ153" s="10">
        <f t="shared" si="125"/>
        <v>38</v>
      </c>
      <c r="CA153" s="10">
        <f t="shared" si="126"/>
        <v>37</v>
      </c>
      <c r="CB153" s="10">
        <f t="shared" si="127"/>
        <v>36</v>
      </c>
      <c r="CC153" s="10">
        <f t="shared" si="128"/>
        <v>35</v>
      </c>
      <c r="CD153" s="10">
        <f t="shared" si="129"/>
        <v>34</v>
      </c>
      <c r="CE153" s="10">
        <f t="shared" si="130"/>
        <v>33</v>
      </c>
      <c r="CF153" s="10">
        <f t="shared" si="131"/>
        <v>32</v>
      </c>
      <c r="CG153" s="10">
        <f t="shared" si="132"/>
        <v>31</v>
      </c>
      <c r="CH153" s="10">
        <f t="shared" si="133"/>
        <v>30</v>
      </c>
      <c r="CI153" s="10">
        <f t="shared" si="134"/>
        <v>29</v>
      </c>
      <c r="CJ153" s="10">
        <f t="shared" si="135"/>
        <v>28</v>
      </c>
      <c r="CK153" s="10">
        <f t="shared" si="136"/>
        <v>27</v>
      </c>
      <c r="CL153" s="10">
        <f t="shared" si="137"/>
        <v>26</v>
      </c>
      <c r="CM153" s="10" t="str">
        <f>'役職希望調査 ・備考'!I123&amp;""</f>
        <v/>
      </c>
    </row>
    <row r="154" spans="1:91">
      <c r="A154" s="10" t="str">
        <f>時間希望調査!A124&amp;""</f>
        <v/>
      </c>
      <c r="B154" s="10" t="str">
        <f>時間希望調査!B124&amp;""</f>
        <v/>
      </c>
      <c r="C154" s="10" t="str">
        <f>時間希望調査!C124&amp;""</f>
        <v/>
      </c>
      <c r="D154" s="11"/>
      <c r="E154" s="11"/>
      <c r="F154" s="11"/>
      <c r="G154" s="11"/>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c r="AP154" s="11"/>
      <c r="AQ154" s="11"/>
      <c r="AR154" s="11"/>
      <c r="AS154" s="11"/>
      <c r="AT154" s="11"/>
      <c r="AU154" s="11"/>
      <c r="AV154" s="11"/>
      <c r="AW154" s="11"/>
      <c r="AX154" s="11"/>
      <c r="AY154" s="11"/>
      <c r="AZ154" s="11"/>
      <c r="BA154" s="11"/>
      <c r="BB154" s="10">
        <f t="shared" si="107"/>
        <v>0</v>
      </c>
      <c r="BC154" s="10">
        <f>時間希望調査!D124</f>
        <v>0</v>
      </c>
      <c r="BD154" s="10" t="str">
        <f>'役職希望調査 ・備考'!D124&amp;""</f>
        <v/>
      </c>
      <c r="BE154" s="10" t="str">
        <f>'役職希望調査 ・備考'!E124&amp;""</f>
        <v/>
      </c>
      <c r="BF154" s="10" t="str">
        <f>'役職希望調査 ・備考'!F124&amp;""</f>
        <v/>
      </c>
      <c r="BG154" s="10" t="str">
        <f>'役職希望調査 ・備考'!G124&amp;""</f>
        <v/>
      </c>
      <c r="BH154" s="10" t="str">
        <f>'役職希望調査 ・備考'!H124&amp;""</f>
        <v/>
      </c>
      <c r="BI154" s="10">
        <f t="shared" si="108"/>
        <v>0</v>
      </c>
      <c r="BJ154" s="10">
        <f t="shared" si="109"/>
        <v>0</v>
      </c>
      <c r="BK154" s="10">
        <f t="shared" si="110"/>
        <v>0</v>
      </c>
      <c r="BL154" s="10">
        <f t="shared" si="111"/>
        <v>0</v>
      </c>
      <c r="BM154" s="10">
        <f t="shared" si="112"/>
        <v>0</v>
      </c>
      <c r="BN154" s="10">
        <f t="shared" si="113"/>
        <v>0</v>
      </c>
      <c r="BO154" s="10">
        <f t="shared" si="114"/>
        <v>48</v>
      </c>
      <c r="BP154" s="10">
        <f t="shared" si="115"/>
        <v>48</v>
      </c>
      <c r="BQ154" s="10">
        <f t="shared" si="116"/>
        <v>47</v>
      </c>
      <c r="BR154" s="10">
        <f t="shared" si="117"/>
        <v>46</v>
      </c>
      <c r="BS154" s="10">
        <f t="shared" si="118"/>
        <v>45</v>
      </c>
      <c r="BT154" s="10">
        <f t="shared" si="119"/>
        <v>44</v>
      </c>
      <c r="BU154" s="10">
        <f t="shared" si="120"/>
        <v>43</v>
      </c>
      <c r="BV154" s="10">
        <f t="shared" si="121"/>
        <v>42</v>
      </c>
      <c r="BW154" s="10">
        <f t="shared" si="122"/>
        <v>41</v>
      </c>
      <c r="BX154" s="10">
        <f t="shared" si="123"/>
        <v>40</v>
      </c>
      <c r="BY154" s="10">
        <f t="shared" si="124"/>
        <v>39</v>
      </c>
      <c r="BZ154" s="10">
        <f t="shared" si="125"/>
        <v>38</v>
      </c>
      <c r="CA154" s="10">
        <f t="shared" si="126"/>
        <v>37</v>
      </c>
      <c r="CB154" s="10">
        <f t="shared" si="127"/>
        <v>36</v>
      </c>
      <c r="CC154" s="10">
        <f t="shared" si="128"/>
        <v>35</v>
      </c>
      <c r="CD154" s="10">
        <f t="shared" si="129"/>
        <v>34</v>
      </c>
      <c r="CE154" s="10">
        <f t="shared" si="130"/>
        <v>33</v>
      </c>
      <c r="CF154" s="10">
        <f t="shared" si="131"/>
        <v>32</v>
      </c>
      <c r="CG154" s="10">
        <f t="shared" si="132"/>
        <v>31</v>
      </c>
      <c r="CH154" s="10">
        <f t="shared" si="133"/>
        <v>30</v>
      </c>
      <c r="CI154" s="10">
        <f t="shared" si="134"/>
        <v>29</v>
      </c>
      <c r="CJ154" s="10">
        <f t="shared" si="135"/>
        <v>28</v>
      </c>
      <c r="CK154" s="10">
        <f t="shared" si="136"/>
        <v>27</v>
      </c>
      <c r="CL154" s="10">
        <f t="shared" si="137"/>
        <v>26</v>
      </c>
      <c r="CM154" s="10" t="str">
        <f>'役職希望調査 ・備考'!I124&amp;""</f>
        <v/>
      </c>
    </row>
    <row r="155" spans="1:91">
      <c r="A155" s="10" t="str">
        <f>時間希望調査!A125&amp;""</f>
        <v/>
      </c>
      <c r="B155" s="10" t="str">
        <f>時間希望調査!B125&amp;""</f>
        <v/>
      </c>
      <c r="C155" s="10" t="str">
        <f>時間希望調査!C125&amp;""</f>
        <v/>
      </c>
      <c r="D155" s="11"/>
      <c r="E155" s="11"/>
      <c r="F155" s="11"/>
      <c r="G155" s="11"/>
      <c r="H155" s="11"/>
      <c r="I155" s="11"/>
      <c r="J155" s="11"/>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c r="AP155" s="11"/>
      <c r="AQ155" s="11"/>
      <c r="AR155" s="11"/>
      <c r="AS155" s="11"/>
      <c r="AT155" s="11"/>
      <c r="AU155" s="11"/>
      <c r="AV155" s="11"/>
      <c r="AW155" s="11"/>
      <c r="AX155" s="11"/>
      <c r="AY155" s="11"/>
      <c r="AZ155" s="11"/>
      <c r="BA155" s="11"/>
      <c r="BB155" s="10">
        <f t="shared" si="107"/>
        <v>0</v>
      </c>
      <c r="BC155" s="10">
        <f>時間希望調査!D125</f>
        <v>0</v>
      </c>
      <c r="BD155" s="10" t="str">
        <f>'役職希望調査 ・備考'!D125&amp;""</f>
        <v/>
      </c>
      <c r="BE155" s="10" t="str">
        <f>'役職希望調査 ・備考'!E125&amp;""</f>
        <v/>
      </c>
      <c r="BF155" s="10" t="str">
        <f>'役職希望調査 ・備考'!F125&amp;""</f>
        <v/>
      </c>
      <c r="BG155" s="10" t="str">
        <f>'役職希望調査 ・備考'!G125&amp;""</f>
        <v/>
      </c>
      <c r="BH155" s="10" t="str">
        <f>'役職希望調査 ・備考'!H125&amp;""</f>
        <v/>
      </c>
      <c r="BI155" s="10">
        <f t="shared" si="108"/>
        <v>0</v>
      </c>
      <c r="BJ155" s="10">
        <f t="shared" si="109"/>
        <v>0</v>
      </c>
      <c r="BK155" s="10">
        <f t="shared" si="110"/>
        <v>0</v>
      </c>
      <c r="BL155" s="10">
        <f t="shared" si="111"/>
        <v>0</v>
      </c>
      <c r="BM155" s="10">
        <f t="shared" si="112"/>
        <v>0</v>
      </c>
      <c r="BN155" s="10">
        <f t="shared" si="113"/>
        <v>0</v>
      </c>
      <c r="BO155" s="10">
        <f t="shared" si="114"/>
        <v>48</v>
      </c>
      <c r="BP155" s="10">
        <f t="shared" si="115"/>
        <v>48</v>
      </c>
      <c r="BQ155" s="10">
        <f t="shared" si="116"/>
        <v>47</v>
      </c>
      <c r="BR155" s="10">
        <f t="shared" si="117"/>
        <v>46</v>
      </c>
      <c r="BS155" s="10">
        <f t="shared" si="118"/>
        <v>45</v>
      </c>
      <c r="BT155" s="10">
        <f t="shared" si="119"/>
        <v>44</v>
      </c>
      <c r="BU155" s="10">
        <f t="shared" si="120"/>
        <v>43</v>
      </c>
      <c r="BV155" s="10">
        <f t="shared" si="121"/>
        <v>42</v>
      </c>
      <c r="BW155" s="10">
        <f t="shared" si="122"/>
        <v>41</v>
      </c>
      <c r="BX155" s="10">
        <f t="shared" si="123"/>
        <v>40</v>
      </c>
      <c r="BY155" s="10">
        <f t="shared" si="124"/>
        <v>39</v>
      </c>
      <c r="BZ155" s="10">
        <f t="shared" si="125"/>
        <v>38</v>
      </c>
      <c r="CA155" s="10">
        <f t="shared" si="126"/>
        <v>37</v>
      </c>
      <c r="CB155" s="10">
        <f t="shared" si="127"/>
        <v>36</v>
      </c>
      <c r="CC155" s="10">
        <f t="shared" si="128"/>
        <v>35</v>
      </c>
      <c r="CD155" s="10">
        <f t="shared" si="129"/>
        <v>34</v>
      </c>
      <c r="CE155" s="10">
        <f t="shared" si="130"/>
        <v>33</v>
      </c>
      <c r="CF155" s="10">
        <f t="shared" si="131"/>
        <v>32</v>
      </c>
      <c r="CG155" s="10">
        <f t="shared" si="132"/>
        <v>31</v>
      </c>
      <c r="CH155" s="10">
        <f t="shared" si="133"/>
        <v>30</v>
      </c>
      <c r="CI155" s="10">
        <f t="shared" si="134"/>
        <v>29</v>
      </c>
      <c r="CJ155" s="10">
        <f t="shared" si="135"/>
        <v>28</v>
      </c>
      <c r="CK155" s="10">
        <f t="shared" si="136"/>
        <v>27</v>
      </c>
      <c r="CL155" s="10">
        <f t="shared" si="137"/>
        <v>26</v>
      </c>
      <c r="CM155" s="10" t="str">
        <f>'役職希望調査 ・備考'!I125&amp;""</f>
        <v/>
      </c>
    </row>
    <row r="156" spans="1:91">
      <c r="A156" s="10" t="str">
        <f>時間希望調査!A126&amp;""</f>
        <v/>
      </c>
      <c r="B156" s="10" t="str">
        <f>時間希望調査!B126&amp;""</f>
        <v/>
      </c>
      <c r="C156" s="10" t="str">
        <f>時間希望調査!C126&amp;""</f>
        <v/>
      </c>
      <c r="D156" s="11"/>
      <c r="E156" s="11"/>
      <c r="F156" s="11"/>
      <c r="G156" s="11"/>
      <c r="H156" s="11"/>
      <c r="I156" s="11"/>
      <c r="J156" s="11"/>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c r="AP156" s="11"/>
      <c r="AQ156" s="11"/>
      <c r="AR156" s="11"/>
      <c r="AS156" s="11"/>
      <c r="AT156" s="11"/>
      <c r="AU156" s="11"/>
      <c r="AV156" s="11"/>
      <c r="AW156" s="11"/>
      <c r="AX156" s="11"/>
      <c r="AY156" s="11"/>
      <c r="AZ156" s="11"/>
      <c r="BA156" s="11"/>
      <c r="BB156" s="10">
        <f t="shared" si="107"/>
        <v>0</v>
      </c>
      <c r="BC156" s="10">
        <f>時間希望調査!D126</f>
        <v>0</v>
      </c>
      <c r="BD156" s="10" t="str">
        <f>'役職希望調査 ・備考'!D126&amp;""</f>
        <v/>
      </c>
      <c r="BE156" s="10" t="str">
        <f>'役職希望調査 ・備考'!E126&amp;""</f>
        <v/>
      </c>
      <c r="BF156" s="10" t="str">
        <f>'役職希望調査 ・備考'!F126&amp;""</f>
        <v/>
      </c>
      <c r="BG156" s="10" t="str">
        <f>'役職希望調査 ・備考'!G126&amp;""</f>
        <v/>
      </c>
      <c r="BH156" s="10" t="str">
        <f>'役職希望調査 ・備考'!H126&amp;""</f>
        <v/>
      </c>
      <c r="BI156" s="10">
        <f t="shared" si="108"/>
        <v>0</v>
      </c>
      <c r="BJ156" s="10">
        <f t="shared" si="109"/>
        <v>0</v>
      </c>
      <c r="BK156" s="10">
        <f t="shared" si="110"/>
        <v>0</v>
      </c>
      <c r="BL156" s="10">
        <f t="shared" si="111"/>
        <v>0</v>
      </c>
      <c r="BM156" s="10">
        <f t="shared" si="112"/>
        <v>0</v>
      </c>
      <c r="BN156" s="10">
        <f t="shared" si="113"/>
        <v>0</v>
      </c>
      <c r="BO156" s="10">
        <f t="shared" si="114"/>
        <v>48</v>
      </c>
      <c r="BP156" s="10">
        <f t="shared" si="115"/>
        <v>48</v>
      </c>
      <c r="BQ156" s="10">
        <f t="shared" si="116"/>
        <v>47</v>
      </c>
      <c r="BR156" s="10">
        <f t="shared" si="117"/>
        <v>46</v>
      </c>
      <c r="BS156" s="10">
        <f t="shared" si="118"/>
        <v>45</v>
      </c>
      <c r="BT156" s="10">
        <f t="shared" si="119"/>
        <v>44</v>
      </c>
      <c r="BU156" s="10">
        <f t="shared" si="120"/>
        <v>43</v>
      </c>
      <c r="BV156" s="10">
        <f t="shared" si="121"/>
        <v>42</v>
      </c>
      <c r="BW156" s="10">
        <f t="shared" si="122"/>
        <v>41</v>
      </c>
      <c r="BX156" s="10">
        <f t="shared" si="123"/>
        <v>40</v>
      </c>
      <c r="BY156" s="10">
        <f t="shared" si="124"/>
        <v>39</v>
      </c>
      <c r="BZ156" s="10">
        <f t="shared" si="125"/>
        <v>38</v>
      </c>
      <c r="CA156" s="10">
        <f t="shared" si="126"/>
        <v>37</v>
      </c>
      <c r="CB156" s="10">
        <f t="shared" si="127"/>
        <v>36</v>
      </c>
      <c r="CC156" s="10">
        <f t="shared" si="128"/>
        <v>35</v>
      </c>
      <c r="CD156" s="10">
        <f t="shared" si="129"/>
        <v>34</v>
      </c>
      <c r="CE156" s="10">
        <f t="shared" si="130"/>
        <v>33</v>
      </c>
      <c r="CF156" s="10">
        <f t="shared" si="131"/>
        <v>32</v>
      </c>
      <c r="CG156" s="10">
        <f t="shared" si="132"/>
        <v>31</v>
      </c>
      <c r="CH156" s="10">
        <f t="shared" si="133"/>
        <v>30</v>
      </c>
      <c r="CI156" s="10">
        <f t="shared" si="134"/>
        <v>29</v>
      </c>
      <c r="CJ156" s="10">
        <f t="shared" si="135"/>
        <v>28</v>
      </c>
      <c r="CK156" s="10">
        <f t="shared" si="136"/>
        <v>27</v>
      </c>
      <c r="CL156" s="10">
        <f t="shared" si="137"/>
        <v>26</v>
      </c>
      <c r="CM156" s="10" t="str">
        <f>'役職希望調査 ・備考'!I126&amp;""</f>
        <v/>
      </c>
    </row>
    <row r="157" spans="1:91">
      <c r="A157" s="10" t="str">
        <f>時間希望調査!A127&amp;""</f>
        <v/>
      </c>
      <c r="B157" s="10" t="str">
        <f>時間希望調査!B127&amp;""</f>
        <v/>
      </c>
      <c r="C157" s="10" t="str">
        <f>時間希望調査!C127&amp;""</f>
        <v/>
      </c>
      <c r="D157" s="11"/>
      <c r="E157" s="11"/>
      <c r="F157" s="11"/>
      <c r="G157" s="11"/>
      <c r="H157" s="11"/>
      <c r="I157" s="11"/>
      <c r="J157" s="11"/>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11"/>
      <c r="AZ157" s="11"/>
      <c r="BA157" s="11"/>
      <c r="BB157" s="10">
        <f t="shared" si="107"/>
        <v>0</v>
      </c>
      <c r="BC157" s="10">
        <f>時間希望調査!D127</f>
        <v>0</v>
      </c>
      <c r="BD157" s="10" t="str">
        <f>'役職希望調査 ・備考'!D127&amp;""</f>
        <v/>
      </c>
      <c r="BE157" s="10" t="str">
        <f>'役職希望調査 ・備考'!E127&amp;""</f>
        <v/>
      </c>
      <c r="BF157" s="10" t="str">
        <f>'役職希望調査 ・備考'!F127&amp;""</f>
        <v/>
      </c>
      <c r="BG157" s="10" t="str">
        <f>'役職希望調査 ・備考'!G127&amp;""</f>
        <v/>
      </c>
      <c r="BH157" s="10" t="str">
        <f>'役職希望調査 ・備考'!H127&amp;""</f>
        <v/>
      </c>
      <c r="BI157" s="10">
        <f t="shared" si="108"/>
        <v>0</v>
      </c>
      <c r="BJ157" s="10">
        <f t="shared" si="109"/>
        <v>0</v>
      </c>
      <c r="BK157" s="10">
        <f t="shared" si="110"/>
        <v>0</v>
      </c>
      <c r="BL157" s="10">
        <f t="shared" si="111"/>
        <v>0</v>
      </c>
      <c r="BM157" s="10">
        <f t="shared" si="112"/>
        <v>0</v>
      </c>
      <c r="BN157" s="10">
        <f t="shared" si="113"/>
        <v>0</v>
      </c>
      <c r="BO157" s="10">
        <f t="shared" si="114"/>
        <v>48</v>
      </c>
      <c r="BP157" s="10">
        <f t="shared" si="115"/>
        <v>48</v>
      </c>
      <c r="BQ157" s="10">
        <f t="shared" si="116"/>
        <v>47</v>
      </c>
      <c r="BR157" s="10">
        <f t="shared" si="117"/>
        <v>46</v>
      </c>
      <c r="BS157" s="10">
        <f t="shared" si="118"/>
        <v>45</v>
      </c>
      <c r="BT157" s="10">
        <f t="shared" si="119"/>
        <v>44</v>
      </c>
      <c r="BU157" s="10">
        <f t="shared" si="120"/>
        <v>43</v>
      </c>
      <c r="BV157" s="10">
        <f t="shared" si="121"/>
        <v>42</v>
      </c>
      <c r="BW157" s="10">
        <f t="shared" si="122"/>
        <v>41</v>
      </c>
      <c r="BX157" s="10">
        <f t="shared" si="123"/>
        <v>40</v>
      </c>
      <c r="BY157" s="10">
        <f t="shared" si="124"/>
        <v>39</v>
      </c>
      <c r="BZ157" s="10">
        <f t="shared" si="125"/>
        <v>38</v>
      </c>
      <c r="CA157" s="10">
        <f t="shared" si="126"/>
        <v>37</v>
      </c>
      <c r="CB157" s="10">
        <f t="shared" si="127"/>
        <v>36</v>
      </c>
      <c r="CC157" s="10">
        <f t="shared" si="128"/>
        <v>35</v>
      </c>
      <c r="CD157" s="10">
        <f t="shared" si="129"/>
        <v>34</v>
      </c>
      <c r="CE157" s="10">
        <f t="shared" si="130"/>
        <v>33</v>
      </c>
      <c r="CF157" s="10">
        <f t="shared" si="131"/>
        <v>32</v>
      </c>
      <c r="CG157" s="10">
        <f t="shared" si="132"/>
        <v>31</v>
      </c>
      <c r="CH157" s="10">
        <f t="shared" si="133"/>
        <v>30</v>
      </c>
      <c r="CI157" s="10">
        <f t="shared" si="134"/>
        <v>29</v>
      </c>
      <c r="CJ157" s="10">
        <f t="shared" si="135"/>
        <v>28</v>
      </c>
      <c r="CK157" s="10">
        <f t="shared" si="136"/>
        <v>27</v>
      </c>
      <c r="CL157" s="10">
        <f t="shared" si="137"/>
        <v>26</v>
      </c>
      <c r="CM157" s="10" t="str">
        <f>'役職希望調査 ・備考'!I127&amp;""</f>
        <v/>
      </c>
    </row>
    <row r="158" spans="1:91">
      <c r="A158" s="10" t="str">
        <f>時間希望調査!A128&amp;""</f>
        <v/>
      </c>
      <c r="B158" s="10" t="str">
        <f>時間希望調査!B128&amp;""</f>
        <v/>
      </c>
      <c r="C158" s="10" t="str">
        <f>時間希望調査!C128&amp;""</f>
        <v/>
      </c>
      <c r="D158" s="11"/>
      <c r="E158" s="11"/>
      <c r="F158" s="11"/>
      <c r="G158" s="11"/>
      <c r="H158" s="11"/>
      <c r="I158" s="11"/>
      <c r="J158" s="11"/>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c r="AP158" s="11"/>
      <c r="AQ158" s="11"/>
      <c r="AR158" s="11"/>
      <c r="AS158" s="11"/>
      <c r="AT158" s="11"/>
      <c r="AU158" s="11"/>
      <c r="AV158" s="11"/>
      <c r="AW158" s="11"/>
      <c r="AX158" s="11"/>
      <c r="AY158" s="11"/>
      <c r="AZ158" s="11"/>
      <c r="BA158" s="11"/>
      <c r="BB158" s="10">
        <f t="shared" si="107"/>
        <v>0</v>
      </c>
      <c r="BC158" s="10">
        <f>時間希望調査!D128</f>
        <v>0</v>
      </c>
      <c r="BD158" s="10" t="str">
        <f>'役職希望調査 ・備考'!D128&amp;""</f>
        <v/>
      </c>
      <c r="BE158" s="10" t="str">
        <f>'役職希望調査 ・備考'!E128&amp;""</f>
        <v/>
      </c>
      <c r="BF158" s="10" t="str">
        <f>'役職希望調査 ・備考'!F128&amp;""</f>
        <v/>
      </c>
      <c r="BG158" s="10" t="str">
        <f>'役職希望調査 ・備考'!G128&amp;""</f>
        <v/>
      </c>
      <c r="BH158" s="10" t="str">
        <f>'役職希望調査 ・備考'!H128&amp;""</f>
        <v/>
      </c>
      <c r="BI158" s="10">
        <f t="shared" si="108"/>
        <v>0</v>
      </c>
      <c r="BJ158" s="10">
        <f t="shared" si="109"/>
        <v>0</v>
      </c>
      <c r="BK158" s="10">
        <f t="shared" si="110"/>
        <v>0</v>
      </c>
      <c r="BL158" s="10">
        <f t="shared" si="111"/>
        <v>0</v>
      </c>
      <c r="BM158" s="10">
        <f t="shared" si="112"/>
        <v>0</v>
      </c>
      <c r="BN158" s="10">
        <f t="shared" si="113"/>
        <v>0</v>
      </c>
      <c r="BO158" s="10">
        <f t="shared" si="114"/>
        <v>48</v>
      </c>
      <c r="BP158" s="10">
        <f t="shared" si="115"/>
        <v>48</v>
      </c>
      <c r="BQ158" s="10">
        <f t="shared" si="116"/>
        <v>47</v>
      </c>
      <c r="BR158" s="10">
        <f t="shared" si="117"/>
        <v>46</v>
      </c>
      <c r="BS158" s="10">
        <f t="shared" si="118"/>
        <v>45</v>
      </c>
      <c r="BT158" s="10">
        <f t="shared" si="119"/>
        <v>44</v>
      </c>
      <c r="BU158" s="10">
        <f t="shared" si="120"/>
        <v>43</v>
      </c>
      <c r="BV158" s="10">
        <f t="shared" si="121"/>
        <v>42</v>
      </c>
      <c r="BW158" s="10">
        <f t="shared" si="122"/>
        <v>41</v>
      </c>
      <c r="BX158" s="10">
        <f t="shared" si="123"/>
        <v>40</v>
      </c>
      <c r="BY158" s="10">
        <f t="shared" si="124"/>
        <v>39</v>
      </c>
      <c r="BZ158" s="10">
        <f t="shared" si="125"/>
        <v>38</v>
      </c>
      <c r="CA158" s="10">
        <f t="shared" si="126"/>
        <v>37</v>
      </c>
      <c r="CB158" s="10">
        <f t="shared" si="127"/>
        <v>36</v>
      </c>
      <c r="CC158" s="10">
        <f t="shared" si="128"/>
        <v>35</v>
      </c>
      <c r="CD158" s="10">
        <f t="shared" si="129"/>
        <v>34</v>
      </c>
      <c r="CE158" s="10">
        <f t="shared" si="130"/>
        <v>33</v>
      </c>
      <c r="CF158" s="10">
        <f t="shared" si="131"/>
        <v>32</v>
      </c>
      <c r="CG158" s="10">
        <f t="shared" si="132"/>
        <v>31</v>
      </c>
      <c r="CH158" s="10">
        <f t="shared" si="133"/>
        <v>30</v>
      </c>
      <c r="CI158" s="10">
        <f t="shared" si="134"/>
        <v>29</v>
      </c>
      <c r="CJ158" s="10">
        <f t="shared" si="135"/>
        <v>28</v>
      </c>
      <c r="CK158" s="10">
        <f t="shared" si="136"/>
        <v>27</v>
      </c>
      <c r="CL158" s="10">
        <f t="shared" si="137"/>
        <v>26</v>
      </c>
      <c r="CM158" s="10" t="str">
        <f>'役職希望調査 ・備考'!I128&amp;""</f>
        <v/>
      </c>
    </row>
    <row r="159" spans="1:91">
      <c r="A159" s="10" t="str">
        <f>時間希望調査!A129&amp;""</f>
        <v/>
      </c>
      <c r="B159" s="10" t="str">
        <f>時間希望調査!B129&amp;""</f>
        <v/>
      </c>
      <c r="C159" s="10" t="str">
        <f>時間希望調査!C129&amp;""</f>
        <v/>
      </c>
      <c r="D159" s="11"/>
      <c r="E159" s="11"/>
      <c r="F159" s="11"/>
      <c r="G159" s="11"/>
      <c r="H159" s="11"/>
      <c r="I159" s="11"/>
      <c r="J159" s="11"/>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c r="AP159" s="11"/>
      <c r="AQ159" s="11"/>
      <c r="AR159" s="11"/>
      <c r="AS159" s="11"/>
      <c r="AT159" s="11"/>
      <c r="AU159" s="11"/>
      <c r="AV159" s="11"/>
      <c r="AW159" s="11"/>
      <c r="AX159" s="11"/>
      <c r="AY159" s="11"/>
      <c r="AZ159" s="11"/>
      <c r="BA159" s="11"/>
      <c r="BB159" s="10">
        <f t="shared" si="107"/>
        <v>0</v>
      </c>
      <c r="BC159" s="10">
        <f>時間希望調査!D129</f>
        <v>0</v>
      </c>
      <c r="BD159" s="10" t="str">
        <f>'役職希望調査 ・備考'!D129&amp;""</f>
        <v/>
      </c>
      <c r="BE159" s="10" t="str">
        <f>'役職希望調査 ・備考'!E129&amp;""</f>
        <v/>
      </c>
      <c r="BF159" s="10" t="str">
        <f>'役職希望調査 ・備考'!F129&amp;""</f>
        <v/>
      </c>
      <c r="BG159" s="10" t="str">
        <f>'役職希望調査 ・備考'!G129&amp;""</f>
        <v/>
      </c>
      <c r="BH159" s="10" t="str">
        <f>'役職希望調査 ・備考'!H129&amp;""</f>
        <v/>
      </c>
      <c r="BI159" s="10">
        <f t="shared" si="108"/>
        <v>0</v>
      </c>
      <c r="BJ159" s="10">
        <f t="shared" si="109"/>
        <v>0</v>
      </c>
      <c r="BK159" s="10">
        <f t="shared" si="110"/>
        <v>0</v>
      </c>
      <c r="BL159" s="10">
        <f t="shared" si="111"/>
        <v>0</v>
      </c>
      <c r="BM159" s="10">
        <f t="shared" si="112"/>
        <v>0</v>
      </c>
      <c r="BN159" s="10">
        <f t="shared" si="113"/>
        <v>0</v>
      </c>
      <c r="BO159" s="10">
        <f t="shared" si="114"/>
        <v>48</v>
      </c>
      <c r="BP159" s="10">
        <f t="shared" si="115"/>
        <v>48</v>
      </c>
      <c r="BQ159" s="10">
        <f t="shared" si="116"/>
        <v>47</v>
      </c>
      <c r="BR159" s="10">
        <f t="shared" si="117"/>
        <v>46</v>
      </c>
      <c r="BS159" s="10">
        <f t="shared" si="118"/>
        <v>45</v>
      </c>
      <c r="BT159" s="10">
        <f t="shared" si="119"/>
        <v>44</v>
      </c>
      <c r="BU159" s="10">
        <f t="shared" si="120"/>
        <v>43</v>
      </c>
      <c r="BV159" s="10">
        <f t="shared" si="121"/>
        <v>42</v>
      </c>
      <c r="BW159" s="10">
        <f t="shared" si="122"/>
        <v>41</v>
      </c>
      <c r="BX159" s="10">
        <f t="shared" si="123"/>
        <v>40</v>
      </c>
      <c r="BY159" s="10">
        <f t="shared" si="124"/>
        <v>39</v>
      </c>
      <c r="BZ159" s="10">
        <f t="shared" si="125"/>
        <v>38</v>
      </c>
      <c r="CA159" s="10">
        <f t="shared" si="126"/>
        <v>37</v>
      </c>
      <c r="CB159" s="10">
        <f t="shared" si="127"/>
        <v>36</v>
      </c>
      <c r="CC159" s="10">
        <f t="shared" si="128"/>
        <v>35</v>
      </c>
      <c r="CD159" s="10">
        <f t="shared" si="129"/>
        <v>34</v>
      </c>
      <c r="CE159" s="10">
        <f t="shared" si="130"/>
        <v>33</v>
      </c>
      <c r="CF159" s="10">
        <f t="shared" si="131"/>
        <v>32</v>
      </c>
      <c r="CG159" s="10">
        <f t="shared" si="132"/>
        <v>31</v>
      </c>
      <c r="CH159" s="10">
        <f t="shared" si="133"/>
        <v>30</v>
      </c>
      <c r="CI159" s="10">
        <f t="shared" si="134"/>
        <v>29</v>
      </c>
      <c r="CJ159" s="10">
        <f t="shared" si="135"/>
        <v>28</v>
      </c>
      <c r="CK159" s="10">
        <f t="shared" si="136"/>
        <v>27</v>
      </c>
      <c r="CL159" s="10">
        <f t="shared" si="137"/>
        <v>26</v>
      </c>
      <c r="CM159" s="10" t="str">
        <f>'役職希望調査 ・備考'!I129&amp;""</f>
        <v/>
      </c>
    </row>
    <row r="160" spans="1:91">
      <c r="A160" s="10" t="str">
        <f>時間希望調査!A130&amp;""</f>
        <v/>
      </c>
      <c r="B160" s="10" t="str">
        <f>時間希望調査!B130&amp;""</f>
        <v/>
      </c>
      <c r="C160" s="10" t="str">
        <f>時間希望調査!C130&amp;""</f>
        <v/>
      </c>
      <c r="D160" s="11"/>
      <c r="E160" s="11"/>
      <c r="F160" s="11"/>
      <c r="G160" s="11"/>
      <c r="H160" s="11"/>
      <c r="I160" s="11"/>
      <c r="J160" s="11"/>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c r="AP160" s="11"/>
      <c r="AQ160" s="11"/>
      <c r="AR160" s="11"/>
      <c r="AS160" s="11"/>
      <c r="AT160" s="11"/>
      <c r="AU160" s="11"/>
      <c r="AV160" s="11"/>
      <c r="AW160" s="11"/>
      <c r="AX160" s="11"/>
      <c r="AY160" s="11"/>
      <c r="AZ160" s="11"/>
      <c r="BA160" s="11"/>
      <c r="BB160" s="10">
        <f t="shared" si="107"/>
        <v>0</v>
      </c>
      <c r="BC160" s="10">
        <f>時間希望調査!D130</f>
        <v>0</v>
      </c>
      <c r="BD160" s="10" t="str">
        <f>'役職希望調査 ・備考'!D130&amp;""</f>
        <v/>
      </c>
      <c r="BE160" s="10" t="str">
        <f>'役職希望調査 ・備考'!E130&amp;""</f>
        <v/>
      </c>
      <c r="BF160" s="10" t="str">
        <f>'役職希望調査 ・備考'!F130&amp;""</f>
        <v/>
      </c>
      <c r="BG160" s="10" t="str">
        <f>'役職希望調査 ・備考'!G130&amp;""</f>
        <v/>
      </c>
      <c r="BH160" s="10" t="str">
        <f>'役職希望調査 ・備考'!H130&amp;""</f>
        <v/>
      </c>
      <c r="BI160" s="10">
        <f t="shared" ref="BI160:BI191" si="138">COUNTIF(D160:BA160,BI$1)</f>
        <v>0</v>
      </c>
      <c r="BJ160" s="10">
        <f t="shared" ref="BJ160:BJ191" si="139">COUNTIF(E160:BB160,BJ$1)</f>
        <v>0</v>
      </c>
      <c r="BK160" s="10">
        <f t="shared" ref="BK160:BK191" si="140">COUNTIF(F160:BC160,BK$1)</f>
        <v>0</v>
      </c>
      <c r="BL160" s="10">
        <f t="shared" ref="BL160:BL191" si="141">COUNTIF(G160:BD160,BL$1)</f>
        <v>0</v>
      </c>
      <c r="BM160" s="10">
        <f t="shared" ref="BM160:BM191" si="142">COUNTIF(H160:BE160,BM$1)</f>
        <v>0</v>
      </c>
      <c r="BN160" s="10">
        <f t="shared" ref="BN160:BN191" si="143">COUNTIF(I160:BF160,BN$1)</f>
        <v>0</v>
      </c>
      <c r="BO160" s="10">
        <f t="shared" ref="BO160:BO191" si="144">COUNTIF(J160:BG160,BO$1)</f>
        <v>48</v>
      </c>
      <c r="BP160" s="10">
        <f t="shared" ref="BP160:BP191" si="145">COUNTIF(K160:BH160,BP$1)</f>
        <v>48</v>
      </c>
      <c r="BQ160" s="10">
        <f t="shared" ref="BQ160:BQ191" si="146">COUNTIF(L160:BI160,BQ$1)</f>
        <v>47</v>
      </c>
      <c r="BR160" s="10">
        <f t="shared" ref="BR160:BR191" si="147">COUNTIF(M160:BJ160,BR$1)</f>
        <v>46</v>
      </c>
      <c r="BS160" s="10">
        <f t="shared" ref="BS160:BS191" si="148">COUNTIF(N160:BK160,BS$1)</f>
        <v>45</v>
      </c>
      <c r="BT160" s="10">
        <f t="shared" ref="BT160:BT191" si="149">COUNTIF(O160:BL160,BT$1)</f>
        <v>44</v>
      </c>
      <c r="BU160" s="10">
        <f t="shared" ref="BU160:BU191" si="150">COUNTIF(P160:BM160,BU$1)</f>
        <v>43</v>
      </c>
      <c r="BV160" s="10">
        <f t="shared" ref="BV160:BV191" si="151">COUNTIF(Q160:BN160,BV$1)</f>
        <v>42</v>
      </c>
      <c r="BW160" s="10">
        <f t="shared" ref="BW160:BW191" si="152">COUNTIF(R160:BO160,BW$1)</f>
        <v>41</v>
      </c>
      <c r="BX160" s="10">
        <f t="shared" ref="BX160:BX191" si="153">COUNTIF(S160:BP160,BX$1)</f>
        <v>40</v>
      </c>
      <c r="BY160" s="10">
        <f t="shared" ref="BY160:BY191" si="154">COUNTIF(T160:BQ160,BY$1)</f>
        <v>39</v>
      </c>
      <c r="BZ160" s="10">
        <f t="shared" ref="BZ160:BZ191" si="155">COUNTIF(U160:BR160,BZ$1)</f>
        <v>38</v>
      </c>
      <c r="CA160" s="10">
        <f t="shared" ref="CA160:CA191" si="156">COUNTIF(V160:BS160,CA$1)</f>
        <v>37</v>
      </c>
      <c r="CB160" s="10">
        <f t="shared" ref="CB160:CB191" si="157">COUNTIF(W160:BT160,CB$1)</f>
        <v>36</v>
      </c>
      <c r="CC160" s="10">
        <f t="shared" ref="CC160:CC191" si="158">COUNTIF(X160:BU160,CC$1)</f>
        <v>35</v>
      </c>
      <c r="CD160" s="10">
        <f t="shared" ref="CD160:CD191" si="159">COUNTIF(Y160:BV160,CD$1)</f>
        <v>34</v>
      </c>
      <c r="CE160" s="10">
        <f t="shared" ref="CE160:CE191" si="160">COUNTIF(Z160:BW160,CE$1)</f>
        <v>33</v>
      </c>
      <c r="CF160" s="10">
        <f t="shared" ref="CF160:CF191" si="161">COUNTIF(AA160:BX160,CF$1)</f>
        <v>32</v>
      </c>
      <c r="CG160" s="10">
        <f t="shared" ref="CG160:CG191" si="162">COUNTIF(AB160:BY160,CG$1)</f>
        <v>31</v>
      </c>
      <c r="CH160" s="10">
        <f t="shared" ref="CH160:CH191" si="163">COUNTIF(AC160:BZ160,CH$1)</f>
        <v>30</v>
      </c>
      <c r="CI160" s="10">
        <f t="shared" ref="CI160:CI191" si="164">COUNTIF(AD160:CA160,CI$1)</f>
        <v>29</v>
      </c>
      <c r="CJ160" s="10">
        <f t="shared" ref="CJ160:CJ191" si="165">COUNTIF(AE160:CB160,CJ$1)</f>
        <v>28</v>
      </c>
      <c r="CK160" s="10">
        <f t="shared" ref="CK160:CK191" si="166">COUNTIF(AF160:CC160,CK$1)</f>
        <v>27</v>
      </c>
      <c r="CL160" s="10">
        <f t="shared" ref="CL160:CL191" si="167">COUNTIF(AG160:CD160,CL$1)</f>
        <v>26</v>
      </c>
      <c r="CM160" s="10" t="str">
        <f>'役職希望調査 ・備考'!I130&amp;""</f>
        <v/>
      </c>
    </row>
    <row r="161" spans="1:91">
      <c r="A161" s="10" t="str">
        <f>時間希望調査!A131&amp;""</f>
        <v/>
      </c>
      <c r="B161" s="10" t="str">
        <f>時間希望調査!B131&amp;""</f>
        <v/>
      </c>
      <c r="C161" s="10" t="str">
        <f>時間希望調査!C131&amp;""</f>
        <v/>
      </c>
      <c r="D161" s="11"/>
      <c r="E161" s="11"/>
      <c r="F161" s="11"/>
      <c r="G161" s="11"/>
      <c r="H161" s="11"/>
      <c r="I161" s="11"/>
      <c r="J161" s="11"/>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c r="AP161" s="11"/>
      <c r="AQ161" s="11"/>
      <c r="AR161" s="11"/>
      <c r="AS161" s="11"/>
      <c r="AT161" s="11"/>
      <c r="AU161" s="11"/>
      <c r="AV161" s="11"/>
      <c r="AW161" s="11"/>
      <c r="AX161" s="11"/>
      <c r="AY161" s="11"/>
      <c r="AZ161" s="11"/>
      <c r="BA161" s="11"/>
      <c r="BB161" s="10">
        <f t="shared" ref="BB161:BB199" si="168">COUNTA(D161:BA161)</f>
        <v>0</v>
      </c>
      <c r="BC161" s="10">
        <f>時間希望調査!D131</f>
        <v>0</v>
      </c>
      <c r="BD161" s="10" t="str">
        <f>'役職希望調査 ・備考'!D131&amp;""</f>
        <v/>
      </c>
      <c r="BE161" s="10" t="str">
        <f>'役職希望調査 ・備考'!E131&amp;""</f>
        <v/>
      </c>
      <c r="BF161" s="10" t="str">
        <f>'役職希望調査 ・備考'!F131&amp;""</f>
        <v/>
      </c>
      <c r="BG161" s="10" t="str">
        <f>'役職希望調査 ・備考'!G131&amp;""</f>
        <v/>
      </c>
      <c r="BH161" s="10" t="str">
        <f>'役職希望調査 ・備考'!H131&amp;""</f>
        <v/>
      </c>
      <c r="BI161" s="10">
        <f t="shared" si="138"/>
        <v>0</v>
      </c>
      <c r="BJ161" s="10">
        <f t="shared" si="139"/>
        <v>0</v>
      </c>
      <c r="BK161" s="10">
        <f t="shared" si="140"/>
        <v>0</v>
      </c>
      <c r="BL161" s="10">
        <f t="shared" si="141"/>
        <v>0</v>
      </c>
      <c r="BM161" s="10">
        <f t="shared" si="142"/>
        <v>0</v>
      </c>
      <c r="BN161" s="10">
        <f t="shared" si="143"/>
        <v>0</v>
      </c>
      <c r="BO161" s="10">
        <f t="shared" si="144"/>
        <v>48</v>
      </c>
      <c r="BP161" s="10">
        <f t="shared" si="145"/>
        <v>48</v>
      </c>
      <c r="BQ161" s="10">
        <f t="shared" si="146"/>
        <v>47</v>
      </c>
      <c r="BR161" s="10">
        <f t="shared" si="147"/>
        <v>46</v>
      </c>
      <c r="BS161" s="10">
        <f t="shared" si="148"/>
        <v>45</v>
      </c>
      <c r="BT161" s="10">
        <f t="shared" si="149"/>
        <v>44</v>
      </c>
      <c r="BU161" s="10">
        <f t="shared" si="150"/>
        <v>43</v>
      </c>
      <c r="BV161" s="10">
        <f t="shared" si="151"/>
        <v>42</v>
      </c>
      <c r="BW161" s="10">
        <f t="shared" si="152"/>
        <v>41</v>
      </c>
      <c r="BX161" s="10">
        <f t="shared" si="153"/>
        <v>40</v>
      </c>
      <c r="BY161" s="10">
        <f t="shared" si="154"/>
        <v>39</v>
      </c>
      <c r="BZ161" s="10">
        <f t="shared" si="155"/>
        <v>38</v>
      </c>
      <c r="CA161" s="10">
        <f t="shared" si="156"/>
        <v>37</v>
      </c>
      <c r="CB161" s="10">
        <f t="shared" si="157"/>
        <v>36</v>
      </c>
      <c r="CC161" s="10">
        <f t="shared" si="158"/>
        <v>35</v>
      </c>
      <c r="CD161" s="10">
        <f t="shared" si="159"/>
        <v>34</v>
      </c>
      <c r="CE161" s="10">
        <f t="shared" si="160"/>
        <v>33</v>
      </c>
      <c r="CF161" s="10">
        <f t="shared" si="161"/>
        <v>32</v>
      </c>
      <c r="CG161" s="10">
        <f t="shared" si="162"/>
        <v>31</v>
      </c>
      <c r="CH161" s="10">
        <f t="shared" si="163"/>
        <v>30</v>
      </c>
      <c r="CI161" s="10">
        <f t="shared" si="164"/>
        <v>29</v>
      </c>
      <c r="CJ161" s="10">
        <f t="shared" si="165"/>
        <v>28</v>
      </c>
      <c r="CK161" s="10">
        <f t="shared" si="166"/>
        <v>27</v>
      </c>
      <c r="CL161" s="10">
        <f t="shared" si="167"/>
        <v>26</v>
      </c>
      <c r="CM161" s="10" t="str">
        <f>'役職希望調査 ・備考'!I131&amp;""</f>
        <v/>
      </c>
    </row>
    <row r="162" spans="1:91">
      <c r="A162" s="10" t="str">
        <f>時間希望調査!A132&amp;""</f>
        <v/>
      </c>
      <c r="B162" s="10" t="str">
        <f>時間希望調査!B132&amp;""</f>
        <v/>
      </c>
      <c r="C162" s="10" t="str">
        <f>時間希望調査!C132&amp;""</f>
        <v/>
      </c>
      <c r="D162" s="11"/>
      <c r="E162" s="11"/>
      <c r="F162" s="11"/>
      <c r="G162" s="11"/>
      <c r="H162" s="11"/>
      <c r="I162" s="11"/>
      <c r="J162" s="11"/>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c r="AP162" s="11"/>
      <c r="AQ162" s="11"/>
      <c r="AR162" s="11"/>
      <c r="AS162" s="11"/>
      <c r="AT162" s="11"/>
      <c r="AU162" s="11"/>
      <c r="AV162" s="11"/>
      <c r="AW162" s="11"/>
      <c r="AX162" s="11"/>
      <c r="AY162" s="11"/>
      <c r="AZ162" s="11"/>
      <c r="BA162" s="11"/>
      <c r="BB162" s="10">
        <f t="shared" si="168"/>
        <v>0</v>
      </c>
      <c r="BC162" s="10">
        <f>時間希望調査!D132</f>
        <v>0</v>
      </c>
      <c r="BD162" s="10" t="str">
        <f>'役職希望調査 ・備考'!D132&amp;""</f>
        <v/>
      </c>
      <c r="BE162" s="10" t="str">
        <f>'役職希望調査 ・備考'!E132&amp;""</f>
        <v/>
      </c>
      <c r="BF162" s="10" t="str">
        <f>'役職希望調査 ・備考'!F132&amp;""</f>
        <v/>
      </c>
      <c r="BG162" s="10" t="str">
        <f>'役職希望調査 ・備考'!G132&amp;""</f>
        <v/>
      </c>
      <c r="BH162" s="10" t="str">
        <f>'役職希望調査 ・備考'!H132&amp;""</f>
        <v/>
      </c>
      <c r="BI162" s="10">
        <f t="shared" si="138"/>
        <v>0</v>
      </c>
      <c r="BJ162" s="10">
        <f t="shared" si="139"/>
        <v>0</v>
      </c>
      <c r="BK162" s="10">
        <f t="shared" si="140"/>
        <v>0</v>
      </c>
      <c r="BL162" s="10">
        <f t="shared" si="141"/>
        <v>0</v>
      </c>
      <c r="BM162" s="10">
        <f t="shared" si="142"/>
        <v>0</v>
      </c>
      <c r="BN162" s="10">
        <f t="shared" si="143"/>
        <v>0</v>
      </c>
      <c r="BO162" s="10">
        <f t="shared" si="144"/>
        <v>48</v>
      </c>
      <c r="BP162" s="10">
        <f t="shared" si="145"/>
        <v>48</v>
      </c>
      <c r="BQ162" s="10">
        <f t="shared" si="146"/>
        <v>47</v>
      </c>
      <c r="BR162" s="10">
        <f t="shared" si="147"/>
        <v>46</v>
      </c>
      <c r="BS162" s="10">
        <f t="shared" si="148"/>
        <v>45</v>
      </c>
      <c r="BT162" s="10">
        <f t="shared" si="149"/>
        <v>44</v>
      </c>
      <c r="BU162" s="10">
        <f t="shared" si="150"/>
        <v>43</v>
      </c>
      <c r="BV162" s="10">
        <f t="shared" si="151"/>
        <v>42</v>
      </c>
      <c r="BW162" s="10">
        <f t="shared" si="152"/>
        <v>41</v>
      </c>
      <c r="BX162" s="10">
        <f t="shared" si="153"/>
        <v>40</v>
      </c>
      <c r="BY162" s="10">
        <f t="shared" si="154"/>
        <v>39</v>
      </c>
      <c r="BZ162" s="10">
        <f t="shared" si="155"/>
        <v>38</v>
      </c>
      <c r="CA162" s="10">
        <f t="shared" si="156"/>
        <v>37</v>
      </c>
      <c r="CB162" s="10">
        <f t="shared" si="157"/>
        <v>36</v>
      </c>
      <c r="CC162" s="10">
        <f t="shared" si="158"/>
        <v>35</v>
      </c>
      <c r="CD162" s="10">
        <f t="shared" si="159"/>
        <v>34</v>
      </c>
      <c r="CE162" s="10">
        <f t="shared" si="160"/>
        <v>33</v>
      </c>
      <c r="CF162" s="10">
        <f t="shared" si="161"/>
        <v>32</v>
      </c>
      <c r="CG162" s="10">
        <f t="shared" si="162"/>
        <v>31</v>
      </c>
      <c r="CH162" s="10">
        <f t="shared" si="163"/>
        <v>30</v>
      </c>
      <c r="CI162" s="10">
        <f t="shared" si="164"/>
        <v>29</v>
      </c>
      <c r="CJ162" s="10">
        <f t="shared" si="165"/>
        <v>28</v>
      </c>
      <c r="CK162" s="10">
        <f t="shared" si="166"/>
        <v>27</v>
      </c>
      <c r="CL162" s="10">
        <f t="shared" si="167"/>
        <v>26</v>
      </c>
      <c r="CM162" s="10" t="str">
        <f>'役職希望調査 ・備考'!I132&amp;""</f>
        <v/>
      </c>
    </row>
    <row r="163" spans="1:91">
      <c r="A163" s="10" t="str">
        <f>時間希望調査!A133&amp;""</f>
        <v/>
      </c>
      <c r="B163" s="10" t="str">
        <f>時間希望調査!B133&amp;""</f>
        <v/>
      </c>
      <c r="C163" s="10" t="str">
        <f>時間希望調査!C133&amp;""</f>
        <v/>
      </c>
      <c r="D163" s="11"/>
      <c r="E163" s="11"/>
      <c r="F163" s="11"/>
      <c r="G163" s="11"/>
      <c r="H163" s="11"/>
      <c r="I163" s="11"/>
      <c r="J163" s="11"/>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c r="AP163" s="11"/>
      <c r="AQ163" s="11"/>
      <c r="AR163" s="11"/>
      <c r="AS163" s="11"/>
      <c r="AT163" s="11"/>
      <c r="AU163" s="11"/>
      <c r="AV163" s="11"/>
      <c r="AW163" s="11"/>
      <c r="AX163" s="11"/>
      <c r="AY163" s="11"/>
      <c r="AZ163" s="11"/>
      <c r="BA163" s="11"/>
      <c r="BB163" s="10">
        <f t="shared" si="168"/>
        <v>0</v>
      </c>
      <c r="BC163" s="10">
        <f>時間希望調査!D133</f>
        <v>0</v>
      </c>
      <c r="BD163" s="10" t="str">
        <f>'役職希望調査 ・備考'!D133&amp;""</f>
        <v/>
      </c>
      <c r="BE163" s="10" t="str">
        <f>'役職希望調査 ・備考'!E133&amp;""</f>
        <v/>
      </c>
      <c r="BF163" s="10" t="str">
        <f>'役職希望調査 ・備考'!F133&amp;""</f>
        <v/>
      </c>
      <c r="BG163" s="10" t="str">
        <f>'役職希望調査 ・備考'!G133&amp;""</f>
        <v/>
      </c>
      <c r="BH163" s="10" t="str">
        <f>'役職希望調査 ・備考'!H133&amp;""</f>
        <v/>
      </c>
      <c r="BI163" s="10">
        <f t="shared" si="138"/>
        <v>0</v>
      </c>
      <c r="BJ163" s="10">
        <f t="shared" si="139"/>
        <v>0</v>
      </c>
      <c r="BK163" s="10">
        <f t="shared" si="140"/>
        <v>0</v>
      </c>
      <c r="BL163" s="10">
        <f t="shared" si="141"/>
        <v>0</v>
      </c>
      <c r="BM163" s="10">
        <f t="shared" si="142"/>
        <v>0</v>
      </c>
      <c r="BN163" s="10">
        <f t="shared" si="143"/>
        <v>0</v>
      </c>
      <c r="BO163" s="10">
        <f t="shared" si="144"/>
        <v>48</v>
      </c>
      <c r="BP163" s="10">
        <f t="shared" si="145"/>
        <v>48</v>
      </c>
      <c r="BQ163" s="10">
        <f t="shared" si="146"/>
        <v>47</v>
      </c>
      <c r="BR163" s="10">
        <f t="shared" si="147"/>
        <v>46</v>
      </c>
      <c r="BS163" s="10">
        <f t="shared" si="148"/>
        <v>45</v>
      </c>
      <c r="BT163" s="10">
        <f t="shared" si="149"/>
        <v>44</v>
      </c>
      <c r="BU163" s="10">
        <f t="shared" si="150"/>
        <v>43</v>
      </c>
      <c r="BV163" s="10">
        <f t="shared" si="151"/>
        <v>42</v>
      </c>
      <c r="BW163" s="10">
        <f t="shared" si="152"/>
        <v>41</v>
      </c>
      <c r="BX163" s="10">
        <f t="shared" si="153"/>
        <v>40</v>
      </c>
      <c r="BY163" s="10">
        <f t="shared" si="154"/>
        <v>39</v>
      </c>
      <c r="BZ163" s="10">
        <f t="shared" si="155"/>
        <v>38</v>
      </c>
      <c r="CA163" s="10">
        <f t="shared" si="156"/>
        <v>37</v>
      </c>
      <c r="CB163" s="10">
        <f t="shared" si="157"/>
        <v>36</v>
      </c>
      <c r="CC163" s="10">
        <f t="shared" si="158"/>
        <v>35</v>
      </c>
      <c r="CD163" s="10">
        <f t="shared" si="159"/>
        <v>34</v>
      </c>
      <c r="CE163" s="10">
        <f t="shared" si="160"/>
        <v>33</v>
      </c>
      <c r="CF163" s="10">
        <f t="shared" si="161"/>
        <v>32</v>
      </c>
      <c r="CG163" s="10">
        <f t="shared" si="162"/>
        <v>31</v>
      </c>
      <c r="CH163" s="10">
        <f t="shared" si="163"/>
        <v>30</v>
      </c>
      <c r="CI163" s="10">
        <f t="shared" si="164"/>
        <v>29</v>
      </c>
      <c r="CJ163" s="10">
        <f t="shared" si="165"/>
        <v>28</v>
      </c>
      <c r="CK163" s="10">
        <f t="shared" si="166"/>
        <v>27</v>
      </c>
      <c r="CL163" s="10">
        <f t="shared" si="167"/>
        <v>26</v>
      </c>
      <c r="CM163" s="10" t="str">
        <f>'役職希望調査 ・備考'!I133&amp;""</f>
        <v/>
      </c>
    </row>
    <row r="164" spans="1:91">
      <c r="A164" s="10" t="str">
        <f>時間希望調査!A134&amp;""</f>
        <v/>
      </c>
      <c r="B164" s="10" t="str">
        <f>時間希望調査!B134&amp;""</f>
        <v/>
      </c>
      <c r="C164" s="10" t="str">
        <f>時間希望調査!C134&amp;""</f>
        <v/>
      </c>
      <c r="D164" s="11"/>
      <c r="E164" s="11"/>
      <c r="F164" s="11"/>
      <c r="G164" s="11"/>
      <c r="H164" s="11"/>
      <c r="I164" s="11"/>
      <c r="J164" s="11"/>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c r="AP164" s="11"/>
      <c r="AQ164" s="11"/>
      <c r="AR164" s="11"/>
      <c r="AS164" s="11"/>
      <c r="AT164" s="11"/>
      <c r="AU164" s="11"/>
      <c r="AV164" s="11"/>
      <c r="AW164" s="11"/>
      <c r="AX164" s="11"/>
      <c r="AY164" s="11"/>
      <c r="AZ164" s="11"/>
      <c r="BA164" s="11"/>
      <c r="BB164" s="10">
        <f t="shared" si="168"/>
        <v>0</v>
      </c>
      <c r="BC164" s="10">
        <f>時間希望調査!D134</f>
        <v>0</v>
      </c>
      <c r="BD164" s="10" t="str">
        <f>'役職希望調査 ・備考'!D134&amp;""</f>
        <v/>
      </c>
      <c r="BE164" s="10" t="str">
        <f>'役職希望調査 ・備考'!E134&amp;""</f>
        <v/>
      </c>
      <c r="BF164" s="10" t="str">
        <f>'役職希望調査 ・備考'!F134&amp;""</f>
        <v/>
      </c>
      <c r="BG164" s="10" t="str">
        <f>'役職希望調査 ・備考'!G134&amp;""</f>
        <v/>
      </c>
      <c r="BH164" s="10" t="str">
        <f>'役職希望調査 ・備考'!H134&amp;""</f>
        <v/>
      </c>
      <c r="BI164" s="10">
        <f t="shared" si="138"/>
        <v>0</v>
      </c>
      <c r="BJ164" s="10">
        <f t="shared" si="139"/>
        <v>0</v>
      </c>
      <c r="BK164" s="10">
        <f t="shared" si="140"/>
        <v>0</v>
      </c>
      <c r="BL164" s="10">
        <f t="shared" si="141"/>
        <v>0</v>
      </c>
      <c r="BM164" s="10">
        <f t="shared" si="142"/>
        <v>0</v>
      </c>
      <c r="BN164" s="10">
        <f t="shared" si="143"/>
        <v>0</v>
      </c>
      <c r="BO164" s="10">
        <f t="shared" si="144"/>
        <v>48</v>
      </c>
      <c r="BP164" s="10">
        <f t="shared" si="145"/>
        <v>48</v>
      </c>
      <c r="BQ164" s="10">
        <f t="shared" si="146"/>
        <v>47</v>
      </c>
      <c r="BR164" s="10">
        <f t="shared" si="147"/>
        <v>46</v>
      </c>
      <c r="BS164" s="10">
        <f t="shared" si="148"/>
        <v>45</v>
      </c>
      <c r="BT164" s="10">
        <f t="shared" si="149"/>
        <v>44</v>
      </c>
      <c r="BU164" s="10">
        <f t="shared" si="150"/>
        <v>43</v>
      </c>
      <c r="BV164" s="10">
        <f t="shared" si="151"/>
        <v>42</v>
      </c>
      <c r="BW164" s="10">
        <f t="shared" si="152"/>
        <v>41</v>
      </c>
      <c r="BX164" s="10">
        <f t="shared" si="153"/>
        <v>40</v>
      </c>
      <c r="BY164" s="10">
        <f t="shared" si="154"/>
        <v>39</v>
      </c>
      <c r="BZ164" s="10">
        <f t="shared" si="155"/>
        <v>38</v>
      </c>
      <c r="CA164" s="10">
        <f t="shared" si="156"/>
        <v>37</v>
      </c>
      <c r="CB164" s="10">
        <f t="shared" si="157"/>
        <v>36</v>
      </c>
      <c r="CC164" s="10">
        <f t="shared" si="158"/>
        <v>35</v>
      </c>
      <c r="CD164" s="10">
        <f t="shared" si="159"/>
        <v>34</v>
      </c>
      <c r="CE164" s="10">
        <f t="shared" si="160"/>
        <v>33</v>
      </c>
      <c r="CF164" s="10">
        <f t="shared" si="161"/>
        <v>32</v>
      </c>
      <c r="CG164" s="10">
        <f t="shared" si="162"/>
        <v>31</v>
      </c>
      <c r="CH164" s="10">
        <f t="shared" si="163"/>
        <v>30</v>
      </c>
      <c r="CI164" s="10">
        <f t="shared" si="164"/>
        <v>29</v>
      </c>
      <c r="CJ164" s="10">
        <f t="shared" si="165"/>
        <v>28</v>
      </c>
      <c r="CK164" s="10">
        <f t="shared" si="166"/>
        <v>27</v>
      </c>
      <c r="CL164" s="10">
        <f t="shared" si="167"/>
        <v>26</v>
      </c>
      <c r="CM164" s="10" t="str">
        <f>'役職希望調査 ・備考'!I134&amp;""</f>
        <v/>
      </c>
    </row>
    <row r="165" spans="1:91">
      <c r="A165" s="10" t="str">
        <f>時間希望調査!A135&amp;""</f>
        <v/>
      </c>
      <c r="B165" s="10" t="str">
        <f>時間希望調査!B135&amp;""</f>
        <v/>
      </c>
      <c r="C165" s="10" t="str">
        <f>時間希望調査!C135&amp;""</f>
        <v/>
      </c>
      <c r="D165" s="11"/>
      <c r="E165" s="11"/>
      <c r="F165" s="11"/>
      <c r="G165" s="11"/>
      <c r="H165" s="11"/>
      <c r="I165" s="11"/>
      <c r="J165" s="11"/>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c r="AP165" s="11"/>
      <c r="AQ165" s="11"/>
      <c r="AR165" s="11"/>
      <c r="AS165" s="11"/>
      <c r="AT165" s="11"/>
      <c r="AU165" s="11"/>
      <c r="AV165" s="11"/>
      <c r="AW165" s="11"/>
      <c r="AX165" s="11"/>
      <c r="AY165" s="11"/>
      <c r="AZ165" s="11"/>
      <c r="BA165" s="11"/>
      <c r="BB165" s="10">
        <f t="shared" si="168"/>
        <v>0</v>
      </c>
      <c r="BC165" s="10">
        <f>時間希望調査!D135</f>
        <v>0</v>
      </c>
      <c r="BD165" s="10" t="str">
        <f>'役職希望調査 ・備考'!D135&amp;""</f>
        <v/>
      </c>
      <c r="BE165" s="10" t="str">
        <f>'役職希望調査 ・備考'!E135&amp;""</f>
        <v/>
      </c>
      <c r="BF165" s="10" t="str">
        <f>'役職希望調査 ・備考'!F135&amp;""</f>
        <v/>
      </c>
      <c r="BG165" s="10" t="str">
        <f>'役職希望調査 ・備考'!G135&amp;""</f>
        <v/>
      </c>
      <c r="BH165" s="10" t="str">
        <f>'役職希望調査 ・備考'!H135&amp;""</f>
        <v/>
      </c>
      <c r="BI165" s="10">
        <f t="shared" si="138"/>
        <v>0</v>
      </c>
      <c r="BJ165" s="10">
        <f t="shared" si="139"/>
        <v>0</v>
      </c>
      <c r="BK165" s="10">
        <f t="shared" si="140"/>
        <v>0</v>
      </c>
      <c r="BL165" s="10">
        <f t="shared" si="141"/>
        <v>0</v>
      </c>
      <c r="BM165" s="10">
        <f t="shared" si="142"/>
        <v>0</v>
      </c>
      <c r="BN165" s="10">
        <f t="shared" si="143"/>
        <v>0</v>
      </c>
      <c r="BO165" s="10">
        <f t="shared" si="144"/>
        <v>48</v>
      </c>
      <c r="BP165" s="10">
        <f t="shared" si="145"/>
        <v>48</v>
      </c>
      <c r="BQ165" s="10">
        <f t="shared" si="146"/>
        <v>47</v>
      </c>
      <c r="BR165" s="10">
        <f t="shared" si="147"/>
        <v>46</v>
      </c>
      <c r="BS165" s="10">
        <f t="shared" si="148"/>
        <v>45</v>
      </c>
      <c r="BT165" s="10">
        <f t="shared" si="149"/>
        <v>44</v>
      </c>
      <c r="BU165" s="10">
        <f t="shared" si="150"/>
        <v>43</v>
      </c>
      <c r="BV165" s="10">
        <f t="shared" si="151"/>
        <v>42</v>
      </c>
      <c r="BW165" s="10">
        <f t="shared" si="152"/>
        <v>41</v>
      </c>
      <c r="BX165" s="10">
        <f t="shared" si="153"/>
        <v>40</v>
      </c>
      <c r="BY165" s="10">
        <f t="shared" si="154"/>
        <v>39</v>
      </c>
      <c r="BZ165" s="10">
        <f t="shared" si="155"/>
        <v>38</v>
      </c>
      <c r="CA165" s="10">
        <f t="shared" si="156"/>
        <v>37</v>
      </c>
      <c r="CB165" s="10">
        <f t="shared" si="157"/>
        <v>36</v>
      </c>
      <c r="CC165" s="10">
        <f t="shared" si="158"/>
        <v>35</v>
      </c>
      <c r="CD165" s="10">
        <f t="shared" si="159"/>
        <v>34</v>
      </c>
      <c r="CE165" s="10">
        <f t="shared" si="160"/>
        <v>33</v>
      </c>
      <c r="CF165" s="10">
        <f t="shared" si="161"/>
        <v>32</v>
      </c>
      <c r="CG165" s="10">
        <f t="shared" si="162"/>
        <v>31</v>
      </c>
      <c r="CH165" s="10">
        <f t="shared" si="163"/>
        <v>30</v>
      </c>
      <c r="CI165" s="10">
        <f t="shared" si="164"/>
        <v>29</v>
      </c>
      <c r="CJ165" s="10">
        <f t="shared" si="165"/>
        <v>28</v>
      </c>
      <c r="CK165" s="10">
        <f t="shared" si="166"/>
        <v>27</v>
      </c>
      <c r="CL165" s="10">
        <f t="shared" si="167"/>
        <v>26</v>
      </c>
      <c r="CM165" s="10" t="str">
        <f>'役職希望調査 ・備考'!I135&amp;""</f>
        <v/>
      </c>
    </row>
    <row r="166" spans="1:91">
      <c r="A166" s="10" t="str">
        <f>時間希望調査!A136&amp;""</f>
        <v/>
      </c>
      <c r="B166" s="10" t="str">
        <f>時間希望調査!B136&amp;""</f>
        <v/>
      </c>
      <c r="C166" s="10" t="str">
        <f>時間希望調査!C136&amp;""</f>
        <v/>
      </c>
      <c r="D166" s="11"/>
      <c r="E166" s="11"/>
      <c r="F166" s="11"/>
      <c r="G166" s="11"/>
      <c r="H166" s="11"/>
      <c r="I166" s="11"/>
      <c r="J166" s="11"/>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c r="AP166" s="11"/>
      <c r="AQ166" s="11"/>
      <c r="AR166" s="11"/>
      <c r="AS166" s="11"/>
      <c r="AT166" s="11"/>
      <c r="AU166" s="11"/>
      <c r="AV166" s="11"/>
      <c r="AW166" s="11"/>
      <c r="AX166" s="11"/>
      <c r="AY166" s="11"/>
      <c r="AZ166" s="11"/>
      <c r="BA166" s="11"/>
      <c r="BB166" s="10">
        <f t="shared" si="168"/>
        <v>0</v>
      </c>
      <c r="BC166" s="10">
        <f>時間希望調査!D136</f>
        <v>0</v>
      </c>
      <c r="BD166" s="10" t="str">
        <f>'役職希望調査 ・備考'!D136&amp;""</f>
        <v/>
      </c>
      <c r="BE166" s="10" t="str">
        <f>'役職希望調査 ・備考'!E136&amp;""</f>
        <v/>
      </c>
      <c r="BF166" s="10" t="str">
        <f>'役職希望調査 ・備考'!F136&amp;""</f>
        <v/>
      </c>
      <c r="BG166" s="10" t="str">
        <f>'役職希望調査 ・備考'!G136&amp;""</f>
        <v/>
      </c>
      <c r="BH166" s="10" t="str">
        <f>'役職希望調査 ・備考'!H136&amp;""</f>
        <v/>
      </c>
      <c r="BI166" s="10">
        <f t="shared" si="138"/>
        <v>0</v>
      </c>
      <c r="BJ166" s="10">
        <f t="shared" si="139"/>
        <v>0</v>
      </c>
      <c r="BK166" s="10">
        <f t="shared" si="140"/>
        <v>0</v>
      </c>
      <c r="BL166" s="10">
        <f t="shared" si="141"/>
        <v>0</v>
      </c>
      <c r="BM166" s="10">
        <f t="shared" si="142"/>
        <v>0</v>
      </c>
      <c r="BN166" s="10">
        <f t="shared" si="143"/>
        <v>0</v>
      </c>
      <c r="BO166" s="10">
        <f t="shared" si="144"/>
        <v>48</v>
      </c>
      <c r="BP166" s="10">
        <f t="shared" si="145"/>
        <v>48</v>
      </c>
      <c r="BQ166" s="10">
        <f t="shared" si="146"/>
        <v>47</v>
      </c>
      <c r="BR166" s="10">
        <f t="shared" si="147"/>
        <v>46</v>
      </c>
      <c r="BS166" s="10">
        <f t="shared" si="148"/>
        <v>45</v>
      </c>
      <c r="BT166" s="10">
        <f t="shared" si="149"/>
        <v>44</v>
      </c>
      <c r="BU166" s="10">
        <f t="shared" si="150"/>
        <v>43</v>
      </c>
      <c r="BV166" s="10">
        <f t="shared" si="151"/>
        <v>42</v>
      </c>
      <c r="BW166" s="10">
        <f t="shared" si="152"/>
        <v>41</v>
      </c>
      <c r="BX166" s="10">
        <f t="shared" si="153"/>
        <v>40</v>
      </c>
      <c r="BY166" s="10">
        <f t="shared" si="154"/>
        <v>39</v>
      </c>
      <c r="BZ166" s="10">
        <f t="shared" si="155"/>
        <v>38</v>
      </c>
      <c r="CA166" s="10">
        <f t="shared" si="156"/>
        <v>37</v>
      </c>
      <c r="CB166" s="10">
        <f t="shared" si="157"/>
        <v>36</v>
      </c>
      <c r="CC166" s="10">
        <f t="shared" si="158"/>
        <v>35</v>
      </c>
      <c r="CD166" s="10">
        <f t="shared" si="159"/>
        <v>34</v>
      </c>
      <c r="CE166" s="10">
        <f t="shared" si="160"/>
        <v>33</v>
      </c>
      <c r="CF166" s="10">
        <f t="shared" si="161"/>
        <v>32</v>
      </c>
      <c r="CG166" s="10">
        <f t="shared" si="162"/>
        <v>31</v>
      </c>
      <c r="CH166" s="10">
        <f t="shared" si="163"/>
        <v>30</v>
      </c>
      <c r="CI166" s="10">
        <f t="shared" si="164"/>
        <v>29</v>
      </c>
      <c r="CJ166" s="10">
        <f t="shared" si="165"/>
        <v>28</v>
      </c>
      <c r="CK166" s="10">
        <f t="shared" si="166"/>
        <v>27</v>
      </c>
      <c r="CL166" s="10">
        <f t="shared" si="167"/>
        <v>26</v>
      </c>
      <c r="CM166" s="10" t="str">
        <f>'役職希望調査 ・備考'!I136&amp;""</f>
        <v/>
      </c>
    </row>
    <row r="167" spans="1:91">
      <c r="A167" s="10" t="str">
        <f>時間希望調査!A137&amp;""</f>
        <v/>
      </c>
      <c r="B167" s="10" t="str">
        <f>時間希望調査!B137&amp;""</f>
        <v/>
      </c>
      <c r="C167" s="10" t="str">
        <f>時間希望調査!C137&amp;""</f>
        <v/>
      </c>
      <c r="D167" s="11"/>
      <c r="E167" s="11"/>
      <c r="F167" s="11"/>
      <c r="G167" s="11"/>
      <c r="H167" s="11"/>
      <c r="I167" s="11"/>
      <c r="J167" s="11"/>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c r="AP167" s="11"/>
      <c r="AQ167" s="11"/>
      <c r="AR167" s="11"/>
      <c r="AS167" s="11"/>
      <c r="AT167" s="11"/>
      <c r="AU167" s="11"/>
      <c r="AV167" s="11"/>
      <c r="AW167" s="11"/>
      <c r="AX167" s="11"/>
      <c r="AY167" s="11"/>
      <c r="AZ167" s="11"/>
      <c r="BA167" s="11"/>
      <c r="BB167" s="10">
        <f t="shared" si="168"/>
        <v>0</v>
      </c>
      <c r="BC167" s="10">
        <f>時間希望調査!D137</f>
        <v>0</v>
      </c>
      <c r="BD167" s="10" t="str">
        <f>'役職希望調査 ・備考'!D137&amp;""</f>
        <v/>
      </c>
      <c r="BE167" s="10" t="str">
        <f>'役職希望調査 ・備考'!E137&amp;""</f>
        <v/>
      </c>
      <c r="BF167" s="10" t="str">
        <f>'役職希望調査 ・備考'!F137&amp;""</f>
        <v/>
      </c>
      <c r="BG167" s="10" t="str">
        <f>'役職希望調査 ・備考'!G137&amp;""</f>
        <v/>
      </c>
      <c r="BH167" s="10" t="str">
        <f>'役職希望調査 ・備考'!H137&amp;""</f>
        <v/>
      </c>
      <c r="BI167" s="10">
        <f t="shared" si="138"/>
        <v>0</v>
      </c>
      <c r="BJ167" s="10">
        <f t="shared" si="139"/>
        <v>0</v>
      </c>
      <c r="BK167" s="10">
        <f t="shared" si="140"/>
        <v>0</v>
      </c>
      <c r="BL167" s="10">
        <f t="shared" si="141"/>
        <v>0</v>
      </c>
      <c r="BM167" s="10">
        <f t="shared" si="142"/>
        <v>0</v>
      </c>
      <c r="BN167" s="10">
        <f t="shared" si="143"/>
        <v>0</v>
      </c>
      <c r="BO167" s="10">
        <f t="shared" si="144"/>
        <v>48</v>
      </c>
      <c r="BP167" s="10">
        <f t="shared" si="145"/>
        <v>48</v>
      </c>
      <c r="BQ167" s="10">
        <f t="shared" si="146"/>
        <v>47</v>
      </c>
      <c r="BR167" s="10">
        <f t="shared" si="147"/>
        <v>46</v>
      </c>
      <c r="BS167" s="10">
        <f t="shared" si="148"/>
        <v>45</v>
      </c>
      <c r="BT167" s="10">
        <f t="shared" si="149"/>
        <v>44</v>
      </c>
      <c r="BU167" s="10">
        <f t="shared" si="150"/>
        <v>43</v>
      </c>
      <c r="BV167" s="10">
        <f t="shared" si="151"/>
        <v>42</v>
      </c>
      <c r="BW167" s="10">
        <f t="shared" si="152"/>
        <v>41</v>
      </c>
      <c r="BX167" s="10">
        <f t="shared" si="153"/>
        <v>40</v>
      </c>
      <c r="BY167" s="10">
        <f t="shared" si="154"/>
        <v>39</v>
      </c>
      <c r="BZ167" s="10">
        <f t="shared" si="155"/>
        <v>38</v>
      </c>
      <c r="CA167" s="10">
        <f t="shared" si="156"/>
        <v>37</v>
      </c>
      <c r="CB167" s="10">
        <f t="shared" si="157"/>
        <v>36</v>
      </c>
      <c r="CC167" s="10">
        <f t="shared" si="158"/>
        <v>35</v>
      </c>
      <c r="CD167" s="10">
        <f t="shared" si="159"/>
        <v>34</v>
      </c>
      <c r="CE167" s="10">
        <f t="shared" si="160"/>
        <v>33</v>
      </c>
      <c r="CF167" s="10">
        <f t="shared" si="161"/>
        <v>32</v>
      </c>
      <c r="CG167" s="10">
        <f t="shared" si="162"/>
        <v>31</v>
      </c>
      <c r="CH167" s="10">
        <f t="shared" si="163"/>
        <v>30</v>
      </c>
      <c r="CI167" s="10">
        <f t="shared" si="164"/>
        <v>29</v>
      </c>
      <c r="CJ167" s="10">
        <f t="shared" si="165"/>
        <v>28</v>
      </c>
      <c r="CK167" s="10">
        <f t="shared" si="166"/>
        <v>27</v>
      </c>
      <c r="CL167" s="10">
        <f t="shared" si="167"/>
        <v>26</v>
      </c>
      <c r="CM167" s="10" t="str">
        <f>'役職希望調査 ・備考'!I137&amp;""</f>
        <v/>
      </c>
    </row>
    <row r="168" spans="1:91">
      <c r="A168" s="10" t="str">
        <f>時間希望調査!A138&amp;""</f>
        <v/>
      </c>
      <c r="B168" s="10" t="str">
        <f>時間希望調査!B138&amp;""</f>
        <v/>
      </c>
      <c r="C168" s="10" t="str">
        <f>時間希望調査!C138&amp;""</f>
        <v/>
      </c>
      <c r="D168" s="11"/>
      <c r="E168" s="11"/>
      <c r="F168" s="11"/>
      <c r="G168" s="11"/>
      <c r="H168" s="11"/>
      <c r="I168" s="11"/>
      <c r="J168" s="11"/>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c r="AP168" s="11"/>
      <c r="AQ168" s="11"/>
      <c r="AR168" s="11"/>
      <c r="AS168" s="11"/>
      <c r="AT168" s="11"/>
      <c r="AU168" s="11"/>
      <c r="AV168" s="11"/>
      <c r="AW168" s="11"/>
      <c r="AX168" s="11"/>
      <c r="AY168" s="11"/>
      <c r="AZ168" s="11"/>
      <c r="BA168" s="11"/>
      <c r="BB168" s="10">
        <f t="shared" si="168"/>
        <v>0</v>
      </c>
      <c r="BC168" s="10">
        <f>時間希望調査!D138</f>
        <v>0</v>
      </c>
      <c r="BD168" s="10" t="str">
        <f>'役職希望調査 ・備考'!D138&amp;""</f>
        <v/>
      </c>
      <c r="BE168" s="10" t="str">
        <f>'役職希望調査 ・備考'!E138&amp;""</f>
        <v/>
      </c>
      <c r="BF168" s="10" t="str">
        <f>'役職希望調査 ・備考'!F138&amp;""</f>
        <v/>
      </c>
      <c r="BG168" s="10" t="str">
        <f>'役職希望調査 ・備考'!G138&amp;""</f>
        <v/>
      </c>
      <c r="BH168" s="10" t="str">
        <f>'役職希望調査 ・備考'!H138&amp;""</f>
        <v/>
      </c>
      <c r="BI168" s="10">
        <f t="shared" si="138"/>
        <v>0</v>
      </c>
      <c r="BJ168" s="10">
        <f t="shared" si="139"/>
        <v>0</v>
      </c>
      <c r="BK168" s="10">
        <f t="shared" si="140"/>
        <v>0</v>
      </c>
      <c r="BL168" s="10">
        <f t="shared" si="141"/>
        <v>0</v>
      </c>
      <c r="BM168" s="10">
        <f t="shared" si="142"/>
        <v>0</v>
      </c>
      <c r="BN168" s="10">
        <f t="shared" si="143"/>
        <v>0</v>
      </c>
      <c r="BO168" s="10">
        <f t="shared" si="144"/>
        <v>48</v>
      </c>
      <c r="BP168" s="10">
        <f t="shared" si="145"/>
        <v>48</v>
      </c>
      <c r="BQ168" s="10">
        <f t="shared" si="146"/>
        <v>47</v>
      </c>
      <c r="BR168" s="10">
        <f t="shared" si="147"/>
        <v>46</v>
      </c>
      <c r="BS168" s="10">
        <f t="shared" si="148"/>
        <v>45</v>
      </c>
      <c r="BT168" s="10">
        <f t="shared" si="149"/>
        <v>44</v>
      </c>
      <c r="BU168" s="10">
        <f t="shared" si="150"/>
        <v>43</v>
      </c>
      <c r="BV168" s="10">
        <f t="shared" si="151"/>
        <v>42</v>
      </c>
      <c r="BW168" s="10">
        <f t="shared" si="152"/>
        <v>41</v>
      </c>
      <c r="BX168" s="10">
        <f t="shared" si="153"/>
        <v>40</v>
      </c>
      <c r="BY168" s="10">
        <f t="shared" si="154"/>
        <v>39</v>
      </c>
      <c r="BZ168" s="10">
        <f t="shared" si="155"/>
        <v>38</v>
      </c>
      <c r="CA168" s="10">
        <f t="shared" si="156"/>
        <v>37</v>
      </c>
      <c r="CB168" s="10">
        <f t="shared" si="157"/>
        <v>36</v>
      </c>
      <c r="CC168" s="10">
        <f t="shared" si="158"/>
        <v>35</v>
      </c>
      <c r="CD168" s="10">
        <f t="shared" si="159"/>
        <v>34</v>
      </c>
      <c r="CE168" s="10">
        <f t="shared" si="160"/>
        <v>33</v>
      </c>
      <c r="CF168" s="10">
        <f t="shared" si="161"/>
        <v>32</v>
      </c>
      <c r="CG168" s="10">
        <f t="shared" si="162"/>
        <v>31</v>
      </c>
      <c r="CH168" s="10">
        <f t="shared" si="163"/>
        <v>30</v>
      </c>
      <c r="CI168" s="10">
        <f t="shared" si="164"/>
        <v>29</v>
      </c>
      <c r="CJ168" s="10">
        <f t="shared" si="165"/>
        <v>28</v>
      </c>
      <c r="CK168" s="10">
        <f t="shared" si="166"/>
        <v>27</v>
      </c>
      <c r="CL168" s="10">
        <f t="shared" si="167"/>
        <v>26</v>
      </c>
      <c r="CM168" s="10" t="str">
        <f>'役職希望調査 ・備考'!I138&amp;""</f>
        <v/>
      </c>
    </row>
    <row r="169" spans="1:91">
      <c r="A169" s="10" t="str">
        <f>時間希望調査!A139&amp;""</f>
        <v/>
      </c>
      <c r="B169" s="10" t="str">
        <f>時間希望調査!B139&amp;""</f>
        <v/>
      </c>
      <c r="C169" s="10" t="str">
        <f>時間希望調査!C139&amp;""</f>
        <v/>
      </c>
      <c r="D169" s="11"/>
      <c r="E169" s="11"/>
      <c r="F169" s="11"/>
      <c r="G169" s="11"/>
      <c r="H169" s="11"/>
      <c r="I169" s="11"/>
      <c r="J169" s="11"/>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c r="AP169" s="11"/>
      <c r="AQ169" s="11"/>
      <c r="AR169" s="11"/>
      <c r="AS169" s="11"/>
      <c r="AT169" s="11"/>
      <c r="AU169" s="11"/>
      <c r="AV169" s="11"/>
      <c r="AW169" s="11"/>
      <c r="AX169" s="11"/>
      <c r="AY169" s="11"/>
      <c r="AZ169" s="11"/>
      <c r="BA169" s="11"/>
      <c r="BB169" s="10">
        <f t="shared" si="168"/>
        <v>0</v>
      </c>
      <c r="BC169" s="10">
        <f>時間希望調査!D139</f>
        <v>0</v>
      </c>
      <c r="BD169" s="10" t="str">
        <f>'役職希望調査 ・備考'!D139&amp;""</f>
        <v/>
      </c>
      <c r="BE169" s="10" t="str">
        <f>'役職希望調査 ・備考'!E139&amp;""</f>
        <v/>
      </c>
      <c r="BF169" s="10" t="str">
        <f>'役職希望調査 ・備考'!F139&amp;""</f>
        <v/>
      </c>
      <c r="BG169" s="10" t="str">
        <f>'役職希望調査 ・備考'!G139&amp;""</f>
        <v/>
      </c>
      <c r="BH169" s="10" t="str">
        <f>'役職希望調査 ・備考'!H139&amp;""</f>
        <v/>
      </c>
      <c r="BI169" s="10">
        <f t="shared" si="138"/>
        <v>0</v>
      </c>
      <c r="BJ169" s="10">
        <f t="shared" si="139"/>
        <v>0</v>
      </c>
      <c r="BK169" s="10">
        <f t="shared" si="140"/>
        <v>0</v>
      </c>
      <c r="BL169" s="10">
        <f t="shared" si="141"/>
        <v>0</v>
      </c>
      <c r="BM169" s="10">
        <f t="shared" si="142"/>
        <v>0</v>
      </c>
      <c r="BN169" s="10">
        <f t="shared" si="143"/>
        <v>0</v>
      </c>
      <c r="BO169" s="10">
        <f t="shared" si="144"/>
        <v>48</v>
      </c>
      <c r="BP169" s="10">
        <f t="shared" si="145"/>
        <v>48</v>
      </c>
      <c r="BQ169" s="10">
        <f t="shared" si="146"/>
        <v>47</v>
      </c>
      <c r="BR169" s="10">
        <f t="shared" si="147"/>
        <v>46</v>
      </c>
      <c r="BS169" s="10">
        <f t="shared" si="148"/>
        <v>45</v>
      </c>
      <c r="BT169" s="10">
        <f t="shared" si="149"/>
        <v>44</v>
      </c>
      <c r="BU169" s="10">
        <f t="shared" si="150"/>
        <v>43</v>
      </c>
      <c r="BV169" s="10">
        <f t="shared" si="151"/>
        <v>42</v>
      </c>
      <c r="BW169" s="10">
        <f t="shared" si="152"/>
        <v>41</v>
      </c>
      <c r="BX169" s="10">
        <f t="shared" si="153"/>
        <v>40</v>
      </c>
      <c r="BY169" s="10">
        <f t="shared" si="154"/>
        <v>39</v>
      </c>
      <c r="BZ169" s="10">
        <f t="shared" si="155"/>
        <v>38</v>
      </c>
      <c r="CA169" s="10">
        <f t="shared" si="156"/>
        <v>37</v>
      </c>
      <c r="CB169" s="10">
        <f t="shared" si="157"/>
        <v>36</v>
      </c>
      <c r="CC169" s="10">
        <f t="shared" si="158"/>
        <v>35</v>
      </c>
      <c r="CD169" s="10">
        <f t="shared" si="159"/>
        <v>34</v>
      </c>
      <c r="CE169" s="10">
        <f t="shared" si="160"/>
        <v>33</v>
      </c>
      <c r="CF169" s="10">
        <f t="shared" si="161"/>
        <v>32</v>
      </c>
      <c r="CG169" s="10">
        <f t="shared" si="162"/>
        <v>31</v>
      </c>
      <c r="CH169" s="10">
        <f t="shared" si="163"/>
        <v>30</v>
      </c>
      <c r="CI169" s="10">
        <f t="shared" si="164"/>
        <v>29</v>
      </c>
      <c r="CJ169" s="10">
        <f t="shared" si="165"/>
        <v>28</v>
      </c>
      <c r="CK169" s="10">
        <f t="shared" si="166"/>
        <v>27</v>
      </c>
      <c r="CL169" s="10">
        <f t="shared" si="167"/>
        <v>26</v>
      </c>
      <c r="CM169" s="10" t="str">
        <f>'役職希望調査 ・備考'!I139&amp;""</f>
        <v/>
      </c>
    </row>
    <row r="170" spans="1:91">
      <c r="A170" s="10" t="str">
        <f>時間希望調査!A140&amp;""</f>
        <v/>
      </c>
      <c r="B170" s="10" t="str">
        <f>時間希望調査!B140&amp;""</f>
        <v/>
      </c>
      <c r="C170" s="10" t="str">
        <f>時間希望調査!C140&amp;""</f>
        <v/>
      </c>
      <c r="D170" s="11"/>
      <c r="E170" s="11"/>
      <c r="F170" s="11"/>
      <c r="G170" s="11"/>
      <c r="H170" s="11"/>
      <c r="I170" s="11"/>
      <c r="J170" s="11"/>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c r="AP170" s="11"/>
      <c r="AQ170" s="11"/>
      <c r="AR170" s="11"/>
      <c r="AS170" s="11"/>
      <c r="AT170" s="11"/>
      <c r="AU170" s="11"/>
      <c r="AV170" s="11"/>
      <c r="AW170" s="11"/>
      <c r="AX170" s="11"/>
      <c r="AY170" s="11"/>
      <c r="AZ170" s="11"/>
      <c r="BA170" s="11"/>
      <c r="BB170" s="10">
        <f t="shared" si="168"/>
        <v>0</v>
      </c>
      <c r="BC170" s="10">
        <f>時間希望調査!D140</f>
        <v>0</v>
      </c>
      <c r="BD170" s="10" t="str">
        <f>'役職希望調査 ・備考'!D140&amp;""</f>
        <v/>
      </c>
      <c r="BE170" s="10" t="str">
        <f>'役職希望調査 ・備考'!E140&amp;""</f>
        <v/>
      </c>
      <c r="BF170" s="10" t="str">
        <f>'役職希望調査 ・備考'!F140&amp;""</f>
        <v/>
      </c>
      <c r="BG170" s="10" t="str">
        <f>'役職希望調査 ・備考'!G140&amp;""</f>
        <v/>
      </c>
      <c r="BH170" s="10" t="str">
        <f>'役職希望調査 ・備考'!H140&amp;""</f>
        <v/>
      </c>
      <c r="BI170" s="10">
        <f t="shared" si="138"/>
        <v>0</v>
      </c>
      <c r="BJ170" s="10">
        <f t="shared" si="139"/>
        <v>0</v>
      </c>
      <c r="BK170" s="10">
        <f t="shared" si="140"/>
        <v>0</v>
      </c>
      <c r="BL170" s="10">
        <f t="shared" si="141"/>
        <v>0</v>
      </c>
      <c r="BM170" s="10">
        <f t="shared" si="142"/>
        <v>0</v>
      </c>
      <c r="BN170" s="10">
        <f t="shared" si="143"/>
        <v>0</v>
      </c>
      <c r="BO170" s="10">
        <f t="shared" si="144"/>
        <v>48</v>
      </c>
      <c r="BP170" s="10">
        <f t="shared" si="145"/>
        <v>48</v>
      </c>
      <c r="BQ170" s="10">
        <f t="shared" si="146"/>
        <v>47</v>
      </c>
      <c r="BR170" s="10">
        <f t="shared" si="147"/>
        <v>46</v>
      </c>
      <c r="BS170" s="10">
        <f t="shared" si="148"/>
        <v>45</v>
      </c>
      <c r="BT170" s="10">
        <f t="shared" si="149"/>
        <v>44</v>
      </c>
      <c r="BU170" s="10">
        <f t="shared" si="150"/>
        <v>43</v>
      </c>
      <c r="BV170" s="10">
        <f t="shared" si="151"/>
        <v>42</v>
      </c>
      <c r="BW170" s="10">
        <f t="shared" si="152"/>
        <v>41</v>
      </c>
      <c r="BX170" s="10">
        <f t="shared" si="153"/>
        <v>40</v>
      </c>
      <c r="BY170" s="10">
        <f t="shared" si="154"/>
        <v>39</v>
      </c>
      <c r="BZ170" s="10">
        <f t="shared" si="155"/>
        <v>38</v>
      </c>
      <c r="CA170" s="10">
        <f t="shared" si="156"/>
        <v>37</v>
      </c>
      <c r="CB170" s="10">
        <f t="shared" si="157"/>
        <v>36</v>
      </c>
      <c r="CC170" s="10">
        <f t="shared" si="158"/>
        <v>35</v>
      </c>
      <c r="CD170" s="10">
        <f t="shared" si="159"/>
        <v>34</v>
      </c>
      <c r="CE170" s="10">
        <f t="shared" si="160"/>
        <v>33</v>
      </c>
      <c r="CF170" s="10">
        <f t="shared" si="161"/>
        <v>32</v>
      </c>
      <c r="CG170" s="10">
        <f t="shared" si="162"/>
        <v>31</v>
      </c>
      <c r="CH170" s="10">
        <f t="shared" si="163"/>
        <v>30</v>
      </c>
      <c r="CI170" s="10">
        <f t="shared" si="164"/>
        <v>29</v>
      </c>
      <c r="CJ170" s="10">
        <f t="shared" si="165"/>
        <v>28</v>
      </c>
      <c r="CK170" s="10">
        <f t="shared" si="166"/>
        <v>27</v>
      </c>
      <c r="CL170" s="10">
        <f t="shared" si="167"/>
        <v>26</v>
      </c>
      <c r="CM170" s="10" t="str">
        <f>'役職希望調査 ・備考'!I140&amp;""</f>
        <v/>
      </c>
    </row>
    <row r="171" spans="1:91">
      <c r="A171" s="10" t="str">
        <f>時間希望調査!A141&amp;""</f>
        <v/>
      </c>
      <c r="B171" s="10" t="str">
        <f>時間希望調査!B141&amp;""</f>
        <v/>
      </c>
      <c r="C171" s="10" t="str">
        <f>時間希望調査!C141&amp;""</f>
        <v/>
      </c>
      <c r="D171" s="11"/>
      <c r="E171" s="11"/>
      <c r="F171" s="11"/>
      <c r="G171" s="11"/>
      <c r="H171" s="11"/>
      <c r="I171" s="11"/>
      <c r="J171" s="11"/>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c r="AP171" s="11"/>
      <c r="AQ171" s="11"/>
      <c r="AR171" s="11"/>
      <c r="AS171" s="11"/>
      <c r="AT171" s="11"/>
      <c r="AU171" s="11"/>
      <c r="AV171" s="11"/>
      <c r="AW171" s="11"/>
      <c r="AX171" s="11"/>
      <c r="AY171" s="11"/>
      <c r="AZ171" s="11"/>
      <c r="BA171" s="11"/>
      <c r="BB171" s="10">
        <f t="shared" si="168"/>
        <v>0</v>
      </c>
      <c r="BC171" s="10">
        <f>時間希望調査!D141</f>
        <v>0</v>
      </c>
      <c r="BD171" s="10" t="str">
        <f>'役職希望調査 ・備考'!D141&amp;""</f>
        <v/>
      </c>
      <c r="BE171" s="10" t="str">
        <f>'役職希望調査 ・備考'!E141&amp;""</f>
        <v/>
      </c>
      <c r="BF171" s="10" t="str">
        <f>'役職希望調査 ・備考'!F141&amp;""</f>
        <v/>
      </c>
      <c r="BG171" s="10" t="str">
        <f>'役職希望調査 ・備考'!G141&amp;""</f>
        <v/>
      </c>
      <c r="BH171" s="10" t="str">
        <f>'役職希望調査 ・備考'!H141&amp;""</f>
        <v/>
      </c>
      <c r="BI171" s="10">
        <f t="shared" si="138"/>
        <v>0</v>
      </c>
      <c r="BJ171" s="10">
        <f t="shared" si="139"/>
        <v>0</v>
      </c>
      <c r="BK171" s="10">
        <f t="shared" si="140"/>
        <v>0</v>
      </c>
      <c r="BL171" s="10">
        <f t="shared" si="141"/>
        <v>0</v>
      </c>
      <c r="BM171" s="10">
        <f t="shared" si="142"/>
        <v>0</v>
      </c>
      <c r="BN171" s="10">
        <f t="shared" si="143"/>
        <v>0</v>
      </c>
      <c r="BO171" s="10">
        <f t="shared" si="144"/>
        <v>48</v>
      </c>
      <c r="BP171" s="10">
        <f t="shared" si="145"/>
        <v>48</v>
      </c>
      <c r="BQ171" s="10">
        <f t="shared" si="146"/>
        <v>47</v>
      </c>
      <c r="BR171" s="10">
        <f t="shared" si="147"/>
        <v>46</v>
      </c>
      <c r="BS171" s="10">
        <f t="shared" si="148"/>
        <v>45</v>
      </c>
      <c r="BT171" s="10">
        <f t="shared" si="149"/>
        <v>44</v>
      </c>
      <c r="BU171" s="10">
        <f t="shared" si="150"/>
        <v>43</v>
      </c>
      <c r="BV171" s="10">
        <f t="shared" si="151"/>
        <v>42</v>
      </c>
      <c r="BW171" s="10">
        <f t="shared" si="152"/>
        <v>41</v>
      </c>
      <c r="BX171" s="10">
        <f t="shared" si="153"/>
        <v>40</v>
      </c>
      <c r="BY171" s="10">
        <f t="shared" si="154"/>
        <v>39</v>
      </c>
      <c r="BZ171" s="10">
        <f t="shared" si="155"/>
        <v>38</v>
      </c>
      <c r="CA171" s="10">
        <f t="shared" si="156"/>
        <v>37</v>
      </c>
      <c r="CB171" s="10">
        <f t="shared" si="157"/>
        <v>36</v>
      </c>
      <c r="CC171" s="10">
        <f t="shared" si="158"/>
        <v>35</v>
      </c>
      <c r="CD171" s="10">
        <f t="shared" si="159"/>
        <v>34</v>
      </c>
      <c r="CE171" s="10">
        <f t="shared" si="160"/>
        <v>33</v>
      </c>
      <c r="CF171" s="10">
        <f t="shared" si="161"/>
        <v>32</v>
      </c>
      <c r="CG171" s="10">
        <f t="shared" si="162"/>
        <v>31</v>
      </c>
      <c r="CH171" s="10">
        <f t="shared" si="163"/>
        <v>30</v>
      </c>
      <c r="CI171" s="10">
        <f t="shared" si="164"/>
        <v>29</v>
      </c>
      <c r="CJ171" s="10">
        <f t="shared" si="165"/>
        <v>28</v>
      </c>
      <c r="CK171" s="10">
        <f t="shared" si="166"/>
        <v>27</v>
      </c>
      <c r="CL171" s="10">
        <f t="shared" si="167"/>
        <v>26</v>
      </c>
      <c r="CM171" s="10" t="str">
        <f>'役職希望調査 ・備考'!I141&amp;""</f>
        <v/>
      </c>
    </row>
    <row r="172" spans="1:91">
      <c r="A172" s="10" t="str">
        <f>時間希望調査!A142&amp;""</f>
        <v/>
      </c>
      <c r="B172" s="10" t="str">
        <f>時間希望調査!B142&amp;""</f>
        <v/>
      </c>
      <c r="C172" s="10" t="str">
        <f>時間希望調査!C142&amp;""</f>
        <v/>
      </c>
      <c r="D172" s="11"/>
      <c r="E172" s="11"/>
      <c r="F172" s="11"/>
      <c r="G172" s="11"/>
      <c r="H172" s="11"/>
      <c r="I172" s="11"/>
      <c r="J172" s="11"/>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c r="AP172" s="11"/>
      <c r="AQ172" s="11"/>
      <c r="AR172" s="11"/>
      <c r="AS172" s="11"/>
      <c r="AT172" s="11"/>
      <c r="AU172" s="11"/>
      <c r="AV172" s="11"/>
      <c r="AW172" s="11"/>
      <c r="AX172" s="11"/>
      <c r="AY172" s="11"/>
      <c r="AZ172" s="11"/>
      <c r="BA172" s="11"/>
      <c r="BB172" s="10">
        <f t="shared" si="168"/>
        <v>0</v>
      </c>
      <c r="BC172" s="10">
        <f>時間希望調査!D142</f>
        <v>0</v>
      </c>
      <c r="BD172" s="10" t="str">
        <f>'役職希望調査 ・備考'!D142&amp;""</f>
        <v/>
      </c>
      <c r="BE172" s="10" t="str">
        <f>'役職希望調査 ・備考'!E142&amp;""</f>
        <v/>
      </c>
      <c r="BF172" s="10" t="str">
        <f>'役職希望調査 ・備考'!F142&amp;""</f>
        <v/>
      </c>
      <c r="BG172" s="10" t="str">
        <f>'役職希望調査 ・備考'!G142&amp;""</f>
        <v/>
      </c>
      <c r="BH172" s="10" t="str">
        <f>'役職希望調査 ・備考'!H142&amp;""</f>
        <v/>
      </c>
      <c r="BI172" s="10">
        <f t="shared" si="138"/>
        <v>0</v>
      </c>
      <c r="BJ172" s="10">
        <f t="shared" si="139"/>
        <v>0</v>
      </c>
      <c r="BK172" s="10">
        <f t="shared" si="140"/>
        <v>0</v>
      </c>
      <c r="BL172" s="10">
        <f t="shared" si="141"/>
        <v>0</v>
      </c>
      <c r="BM172" s="10">
        <f t="shared" si="142"/>
        <v>0</v>
      </c>
      <c r="BN172" s="10">
        <f t="shared" si="143"/>
        <v>0</v>
      </c>
      <c r="BO172" s="10">
        <f t="shared" si="144"/>
        <v>48</v>
      </c>
      <c r="BP172" s="10">
        <f t="shared" si="145"/>
        <v>48</v>
      </c>
      <c r="BQ172" s="10">
        <f t="shared" si="146"/>
        <v>47</v>
      </c>
      <c r="BR172" s="10">
        <f t="shared" si="147"/>
        <v>46</v>
      </c>
      <c r="BS172" s="10">
        <f t="shared" si="148"/>
        <v>45</v>
      </c>
      <c r="BT172" s="10">
        <f t="shared" si="149"/>
        <v>44</v>
      </c>
      <c r="BU172" s="10">
        <f t="shared" si="150"/>
        <v>43</v>
      </c>
      <c r="BV172" s="10">
        <f t="shared" si="151"/>
        <v>42</v>
      </c>
      <c r="BW172" s="10">
        <f t="shared" si="152"/>
        <v>41</v>
      </c>
      <c r="BX172" s="10">
        <f t="shared" si="153"/>
        <v>40</v>
      </c>
      <c r="BY172" s="10">
        <f t="shared" si="154"/>
        <v>39</v>
      </c>
      <c r="BZ172" s="10">
        <f t="shared" si="155"/>
        <v>38</v>
      </c>
      <c r="CA172" s="10">
        <f t="shared" si="156"/>
        <v>37</v>
      </c>
      <c r="CB172" s="10">
        <f t="shared" si="157"/>
        <v>36</v>
      </c>
      <c r="CC172" s="10">
        <f t="shared" si="158"/>
        <v>35</v>
      </c>
      <c r="CD172" s="10">
        <f t="shared" si="159"/>
        <v>34</v>
      </c>
      <c r="CE172" s="10">
        <f t="shared" si="160"/>
        <v>33</v>
      </c>
      <c r="CF172" s="10">
        <f t="shared" si="161"/>
        <v>32</v>
      </c>
      <c r="CG172" s="10">
        <f t="shared" si="162"/>
        <v>31</v>
      </c>
      <c r="CH172" s="10">
        <f t="shared" si="163"/>
        <v>30</v>
      </c>
      <c r="CI172" s="10">
        <f t="shared" si="164"/>
        <v>29</v>
      </c>
      <c r="CJ172" s="10">
        <f t="shared" si="165"/>
        <v>28</v>
      </c>
      <c r="CK172" s="10">
        <f t="shared" si="166"/>
        <v>27</v>
      </c>
      <c r="CL172" s="10">
        <f t="shared" si="167"/>
        <v>26</v>
      </c>
      <c r="CM172" s="10" t="str">
        <f>'役職希望調査 ・備考'!I142&amp;""</f>
        <v/>
      </c>
    </row>
    <row r="173" spans="1:91">
      <c r="A173" s="10" t="str">
        <f>時間希望調査!A143&amp;""</f>
        <v/>
      </c>
      <c r="B173" s="10" t="str">
        <f>時間希望調査!B143&amp;""</f>
        <v/>
      </c>
      <c r="C173" s="10" t="str">
        <f>時間希望調査!C143&amp;""</f>
        <v/>
      </c>
      <c r="D173" s="11"/>
      <c r="E173" s="11"/>
      <c r="F173" s="11"/>
      <c r="G173" s="11"/>
      <c r="H173" s="11"/>
      <c r="I173" s="11"/>
      <c r="J173" s="11"/>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c r="AP173" s="11"/>
      <c r="AQ173" s="11"/>
      <c r="AR173" s="11"/>
      <c r="AS173" s="11"/>
      <c r="AT173" s="11"/>
      <c r="AU173" s="11"/>
      <c r="AV173" s="11"/>
      <c r="AW173" s="11"/>
      <c r="AX173" s="11"/>
      <c r="AY173" s="11"/>
      <c r="AZ173" s="11"/>
      <c r="BA173" s="11"/>
      <c r="BB173" s="10">
        <f t="shared" si="168"/>
        <v>0</v>
      </c>
      <c r="BC173" s="10">
        <f>時間希望調査!D143</f>
        <v>0</v>
      </c>
      <c r="BD173" s="10" t="str">
        <f>'役職希望調査 ・備考'!D143&amp;""</f>
        <v/>
      </c>
      <c r="BE173" s="10" t="str">
        <f>'役職希望調査 ・備考'!E143&amp;""</f>
        <v/>
      </c>
      <c r="BF173" s="10" t="str">
        <f>'役職希望調査 ・備考'!F143&amp;""</f>
        <v/>
      </c>
      <c r="BG173" s="10" t="str">
        <f>'役職希望調査 ・備考'!G143&amp;""</f>
        <v/>
      </c>
      <c r="BH173" s="10" t="str">
        <f>'役職希望調査 ・備考'!H143&amp;""</f>
        <v/>
      </c>
      <c r="BI173" s="10">
        <f t="shared" si="138"/>
        <v>0</v>
      </c>
      <c r="BJ173" s="10">
        <f t="shared" si="139"/>
        <v>0</v>
      </c>
      <c r="BK173" s="10">
        <f t="shared" si="140"/>
        <v>0</v>
      </c>
      <c r="BL173" s="10">
        <f t="shared" si="141"/>
        <v>0</v>
      </c>
      <c r="BM173" s="10">
        <f t="shared" si="142"/>
        <v>0</v>
      </c>
      <c r="BN173" s="10">
        <f t="shared" si="143"/>
        <v>0</v>
      </c>
      <c r="BO173" s="10">
        <f t="shared" si="144"/>
        <v>48</v>
      </c>
      <c r="BP173" s="10">
        <f t="shared" si="145"/>
        <v>48</v>
      </c>
      <c r="BQ173" s="10">
        <f t="shared" si="146"/>
        <v>47</v>
      </c>
      <c r="BR173" s="10">
        <f t="shared" si="147"/>
        <v>46</v>
      </c>
      <c r="BS173" s="10">
        <f t="shared" si="148"/>
        <v>45</v>
      </c>
      <c r="BT173" s="10">
        <f t="shared" si="149"/>
        <v>44</v>
      </c>
      <c r="BU173" s="10">
        <f t="shared" si="150"/>
        <v>43</v>
      </c>
      <c r="BV173" s="10">
        <f t="shared" si="151"/>
        <v>42</v>
      </c>
      <c r="BW173" s="10">
        <f t="shared" si="152"/>
        <v>41</v>
      </c>
      <c r="BX173" s="10">
        <f t="shared" si="153"/>
        <v>40</v>
      </c>
      <c r="BY173" s="10">
        <f t="shared" si="154"/>
        <v>39</v>
      </c>
      <c r="BZ173" s="10">
        <f t="shared" si="155"/>
        <v>38</v>
      </c>
      <c r="CA173" s="10">
        <f t="shared" si="156"/>
        <v>37</v>
      </c>
      <c r="CB173" s="10">
        <f t="shared" si="157"/>
        <v>36</v>
      </c>
      <c r="CC173" s="10">
        <f t="shared" si="158"/>
        <v>35</v>
      </c>
      <c r="CD173" s="10">
        <f t="shared" si="159"/>
        <v>34</v>
      </c>
      <c r="CE173" s="10">
        <f t="shared" si="160"/>
        <v>33</v>
      </c>
      <c r="CF173" s="10">
        <f t="shared" si="161"/>
        <v>32</v>
      </c>
      <c r="CG173" s="10">
        <f t="shared" si="162"/>
        <v>31</v>
      </c>
      <c r="CH173" s="10">
        <f t="shared" si="163"/>
        <v>30</v>
      </c>
      <c r="CI173" s="10">
        <f t="shared" si="164"/>
        <v>29</v>
      </c>
      <c r="CJ173" s="10">
        <f t="shared" si="165"/>
        <v>28</v>
      </c>
      <c r="CK173" s="10">
        <f t="shared" si="166"/>
        <v>27</v>
      </c>
      <c r="CL173" s="10">
        <f t="shared" si="167"/>
        <v>26</v>
      </c>
      <c r="CM173" s="10" t="str">
        <f>'役職希望調査 ・備考'!I143&amp;""</f>
        <v/>
      </c>
    </row>
    <row r="174" spans="1:91">
      <c r="A174" s="10" t="str">
        <f>時間希望調査!A144&amp;""</f>
        <v/>
      </c>
      <c r="B174" s="10" t="str">
        <f>時間希望調査!B144&amp;""</f>
        <v/>
      </c>
      <c r="C174" s="10" t="str">
        <f>時間希望調査!C144&amp;""</f>
        <v/>
      </c>
      <c r="D174" s="11"/>
      <c r="E174" s="11"/>
      <c r="F174" s="11"/>
      <c r="G174" s="11"/>
      <c r="H174" s="11"/>
      <c r="I174" s="11"/>
      <c r="J174" s="11"/>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c r="AP174" s="11"/>
      <c r="AQ174" s="11"/>
      <c r="AR174" s="11"/>
      <c r="AS174" s="11"/>
      <c r="AT174" s="11"/>
      <c r="AU174" s="11"/>
      <c r="AV174" s="11"/>
      <c r="AW174" s="11"/>
      <c r="AX174" s="11"/>
      <c r="AY174" s="11"/>
      <c r="AZ174" s="11"/>
      <c r="BA174" s="11"/>
      <c r="BB174" s="10">
        <f t="shared" si="168"/>
        <v>0</v>
      </c>
      <c r="BC174" s="10">
        <f>時間希望調査!D144</f>
        <v>0</v>
      </c>
      <c r="BD174" s="10" t="str">
        <f>'役職希望調査 ・備考'!D144&amp;""</f>
        <v/>
      </c>
      <c r="BE174" s="10" t="str">
        <f>'役職希望調査 ・備考'!E144&amp;""</f>
        <v/>
      </c>
      <c r="BF174" s="10" t="str">
        <f>'役職希望調査 ・備考'!F144&amp;""</f>
        <v/>
      </c>
      <c r="BG174" s="10" t="str">
        <f>'役職希望調査 ・備考'!G144&amp;""</f>
        <v/>
      </c>
      <c r="BH174" s="10" t="str">
        <f>'役職希望調査 ・備考'!H144&amp;""</f>
        <v/>
      </c>
      <c r="BI174" s="10">
        <f t="shared" si="138"/>
        <v>0</v>
      </c>
      <c r="BJ174" s="10">
        <f t="shared" si="139"/>
        <v>0</v>
      </c>
      <c r="BK174" s="10">
        <f t="shared" si="140"/>
        <v>0</v>
      </c>
      <c r="BL174" s="10">
        <f t="shared" si="141"/>
        <v>0</v>
      </c>
      <c r="BM174" s="10">
        <f t="shared" si="142"/>
        <v>0</v>
      </c>
      <c r="BN174" s="10">
        <f t="shared" si="143"/>
        <v>0</v>
      </c>
      <c r="BO174" s="10">
        <f t="shared" si="144"/>
        <v>48</v>
      </c>
      <c r="BP174" s="10">
        <f t="shared" si="145"/>
        <v>48</v>
      </c>
      <c r="BQ174" s="10">
        <f t="shared" si="146"/>
        <v>47</v>
      </c>
      <c r="BR174" s="10">
        <f t="shared" si="147"/>
        <v>46</v>
      </c>
      <c r="BS174" s="10">
        <f t="shared" si="148"/>
        <v>45</v>
      </c>
      <c r="BT174" s="10">
        <f t="shared" si="149"/>
        <v>44</v>
      </c>
      <c r="BU174" s="10">
        <f t="shared" si="150"/>
        <v>43</v>
      </c>
      <c r="BV174" s="10">
        <f t="shared" si="151"/>
        <v>42</v>
      </c>
      <c r="BW174" s="10">
        <f t="shared" si="152"/>
        <v>41</v>
      </c>
      <c r="BX174" s="10">
        <f t="shared" si="153"/>
        <v>40</v>
      </c>
      <c r="BY174" s="10">
        <f t="shared" si="154"/>
        <v>39</v>
      </c>
      <c r="BZ174" s="10">
        <f t="shared" si="155"/>
        <v>38</v>
      </c>
      <c r="CA174" s="10">
        <f t="shared" si="156"/>
        <v>37</v>
      </c>
      <c r="CB174" s="10">
        <f t="shared" si="157"/>
        <v>36</v>
      </c>
      <c r="CC174" s="10">
        <f t="shared" si="158"/>
        <v>35</v>
      </c>
      <c r="CD174" s="10">
        <f t="shared" si="159"/>
        <v>34</v>
      </c>
      <c r="CE174" s="10">
        <f t="shared" si="160"/>
        <v>33</v>
      </c>
      <c r="CF174" s="10">
        <f t="shared" si="161"/>
        <v>32</v>
      </c>
      <c r="CG174" s="10">
        <f t="shared" si="162"/>
        <v>31</v>
      </c>
      <c r="CH174" s="10">
        <f t="shared" si="163"/>
        <v>30</v>
      </c>
      <c r="CI174" s="10">
        <f t="shared" si="164"/>
        <v>29</v>
      </c>
      <c r="CJ174" s="10">
        <f t="shared" si="165"/>
        <v>28</v>
      </c>
      <c r="CK174" s="10">
        <f t="shared" si="166"/>
        <v>27</v>
      </c>
      <c r="CL174" s="10">
        <f t="shared" si="167"/>
        <v>26</v>
      </c>
      <c r="CM174" s="10" t="str">
        <f>'役職希望調査 ・備考'!I144&amp;""</f>
        <v/>
      </c>
    </row>
    <row r="175" spans="1:91">
      <c r="A175" s="10" t="str">
        <f>時間希望調査!A145&amp;""</f>
        <v/>
      </c>
      <c r="B175" s="10" t="str">
        <f>時間希望調査!B145&amp;""</f>
        <v/>
      </c>
      <c r="C175" s="10" t="str">
        <f>時間希望調査!C145&amp;""</f>
        <v/>
      </c>
      <c r="D175" s="11"/>
      <c r="E175" s="11"/>
      <c r="F175" s="11"/>
      <c r="G175" s="11"/>
      <c r="H175" s="11"/>
      <c r="I175" s="11"/>
      <c r="J175" s="11"/>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c r="AP175" s="11"/>
      <c r="AQ175" s="11"/>
      <c r="AR175" s="11"/>
      <c r="AS175" s="11"/>
      <c r="AT175" s="11"/>
      <c r="AU175" s="11"/>
      <c r="AV175" s="11"/>
      <c r="AW175" s="11"/>
      <c r="AX175" s="11"/>
      <c r="AY175" s="11"/>
      <c r="AZ175" s="11"/>
      <c r="BA175" s="11"/>
      <c r="BB175" s="10">
        <f t="shared" si="168"/>
        <v>0</v>
      </c>
      <c r="BC175" s="10">
        <f>時間希望調査!D145</f>
        <v>0</v>
      </c>
      <c r="BD175" s="10" t="str">
        <f>'役職希望調査 ・備考'!D145&amp;""</f>
        <v/>
      </c>
      <c r="BE175" s="10" t="str">
        <f>'役職希望調査 ・備考'!E145&amp;""</f>
        <v/>
      </c>
      <c r="BF175" s="10" t="str">
        <f>'役職希望調査 ・備考'!F145&amp;""</f>
        <v/>
      </c>
      <c r="BG175" s="10" t="str">
        <f>'役職希望調査 ・備考'!G145&amp;""</f>
        <v/>
      </c>
      <c r="BH175" s="10" t="str">
        <f>'役職希望調査 ・備考'!H145&amp;""</f>
        <v/>
      </c>
      <c r="BI175" s="10">
        <f t="shared" si="138"/>
        <v>0</v>
      </c>
      <c r="BJ175" s="10">
        <f t="shared" si="139"/>
        <v>0</v>
      </c>
      <c r="BK175" s="10">
        <f t="shared" si="140"/>
        <v>0</v>
      </c>
      <c r="BL175" s="10">
        <f t="shared" si="141"/>
        <v>0</v>
      </c>
      <c r="BM175" s="10">
        <f t="shared" si="142"/>
        <v>0</v>
      </c>
      <c r="BN175" s="10">
        <f t="shared" si="143"/>
        <v>0</v>
      </c>
      <c r="BO175" s="10">
        <f t="shared" si="144"/>
        <v>48</v>
      </c>
      <c r="BP175" s="10">
        <f t="shared" si="145"/>
        <v>48</v>
      </c>
      <c r="BQ175" s="10">
        <f t="shared" si="146"/>
        <v>47</v>
      </c>
      <c r="BR175" s="10">
        <f t="shared" si="147"/>
        <v>46</v>
      </c>
      <c r="BS175" s="10">
        <f t="shared" si="148"/>
        <v>45</v>
      </c>
      <c r="BT175" s="10">
        <f t="shared" si="149"/>
        <v>44</v>
      </c>
      <c r="BU175" s="10">
        <f t="shared" si="150"/>
        <v>43</v>
      </c>
      <c r="BV175" s="10">
        <f t="shared" si="151"/>
        <v>42</v>
      </c>
      <c r="BW175" s="10">
        <f t="shared" si="152"/>
        <v>41</v>
      </c>
      <c r="BX175" s="10">
        <f t="shared" si="153"/>
        <v>40</v>
      </c>
      <c r="BY175" s="10">
        <f t="shared" si="154"/>
        <v>39</v>
      </c>
      <c r="BZ175" s="10">
        <f t="shared" si="155"/>
        <v>38</v>
      </c>
      <c r="CA175" s="10">
        <f t="shared" si="156"/>
        <v>37</v>
      </c>
      <c r="CB175" s="10">
        <f t="shared" si="157"/>
        <v>36</v>
      </c>
      <c r="CC175" s="10">
        <f t="shared" si="158"/>
        <v>35</v>
      </c>
      <c r="CD175" s="10">
        <f t="shared" si="159"/>
        <v>34</v>
      </c>
      <c r="CE175" s="10">
        <f t="shared" si="160"/>
        <v>33</v>
      </c>
      <c r="CF175" s="10">
        <f t="shared" si="161"/>
        <v>32</v>
      </c>
      <c r="CG175" s="10">
        <f t="shared" si="162"/>
        <v>31</v>
      </c>
      <c r="CH175" s="10">
        <f t="shared" si="163"/>
        <v>30</v>
      </c>
      <c r="CI175" s="10">
        <f t="shared" si="164"/>
        <v>29</v>
      </c>
      <c r="CJ175" s="10">
        <f t="shared" si="165"/>
        <v>28</v>
      </c>
      <c r="CK175" s="10">
        <f t="shared" si="166"/>
        <v>27</v>
      </c>
      <c r="CL175" s="10">
        <f t="shared" si="167"/>
        <v>26</v>
      </c>
      <c r="CM175" s="10" t="str">
        <f>'役職希望調査 ・備考'!I145&amp;""</f>
        <v/>
      </c>
    </row>
    <row r="176" spans="1:91">
      <c r="A176" s="10" t="str">
        <f>時間希望調査!A146&amp;""</f>
        <v/>
      </c>
      <c r="B176" s="10" t="str">
        <f>時間希望調査!B146&amp;""</f>
        <v/>
      </c>
      <c r="C176" s="10" t="str">
        <f>時間希望調査!C146&amp;""</f>
        <v/>
      </c>
      <c r="D176" s="11"/>
      <c r="E176" s="11"/>
      <c r="F176" s="11"/>
      <c r="G176" s="11"/>
      <c r="H176" s="11"/>
      <c r="I176" s="11"/>
      <c r="J176" s="11"/>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c r="AP176" s="11"/>
      <c r="AQ176" s="11"/>
      <c r="AR176" s="11"/>
      <c r="AS176" s="11"/>
      <c r="AT176" s="11"/>
      <c r="AU176" s="11"/>
      <c r="AV176" s="11"/>
      <c r="AW176" s="11"/>
      <c r="AX176" s="11"/>
      <c r="AY176" s="11"/>
      <c r="AZ176" s="11"/>
      <c r="BA176" s="11"/>
      <c r="BB176" s="10">
        <f t="shared" si="168"/>
        <v>0</v>
      </c>
      <c r="BC176" s="10">
        <f>時間希望調査!D146</f>
        <v>0</v>
      </c>
      <c r="BD176" s="10" t="str">
        <f>'役職希望調査 ・備考'!D146&amp;""</f>
        <v/>
      </c>
      <c r="BE176" s="10" t="str">
        <f>'役職希望調査 ・備考'!E146&amp;""</f>
        <v/>
      </c>
      <c r="BF176" s="10" t="str">
        <f>'役職希望調査 ・備考'!F146&amp;""</f>
        <v/>
      </c>
      <c r="BG176" s="10" t="str">
        <f>'役職希望調査 ・備考'!G146&amp;""</f>
        <v/>
      </c>
      <c r="BH176" s="10" t="str">
        <f>'役職希望調査 ・備考'!H146&amp;""</f>
        <v/>
      </c>
      <c r="BI176" s="10">
        <f t="shared" si="138"/>
        <v>0</v>
      </c>
      <c r="BJ176" s="10">
        <f t="shared" si="139"/>
        <v>0</v>
      </c>
      <c r="BK176" s="10">
        <f t="shared" si="140"/>
        <v>0</v>
      </c>
      <c r="BL176" s="10">
        <f t="shared" si="141"/>
        <v>0</v>
      </c>
      <c r="BM176" s="10">
        <f t="shared" si="142"/>
        <v>0</v>
      </c>
      <c r="BN176" s="10">
        <f t="shared" si="143"/>
        <v>0</v>
      </c>
      <c r="BO176" s="10">
        <f t="shared" si="144"/>
        <v>48</v>
      </c>
      <c r="BP176" s="10">
        <f t="shared" si="145"/>
        <v>48</v>
      </c>
      <c r="BQ176" s="10">
        <f t="shared" si="146"/>
        <v>47</v>
      </c>
      <c r="BR176" s="10">
        <f t="shared" si="147"/>
        <v>46</v>
      </c>
      <c r="BS176" s="10">
        <f t="shared" si="148"/>
        <v>45</v>
      </c>
      <c r="BT176" s="10">
        <f t="shared" si="149"/>
        <v>44</v>
      </c>
      <c r="BU176" s="10">
        <f t="shared" si="150"/>
        <v>43</v>
      </c>
      <c r="BV176" s="10">
        <f t="shared" si="151"/>
        <v>42</v>
      </c>
      <c r="BW176" s="10">
        <f t="shared" si="152"/>
        <v>41</v>
      </c>
      <c r="BX176" s="10">
        <f t="shared" si="153"/>
        <v>40</v>
      </c>
      <c r="BY176" s="10">
        <f t="shared" si="154"/>
        <v>39</v>
      </c>
      <c r="BZ176" s="10">
        <f t="shared" si="155"/>
        <v>38</v>
      </c>
      <c r="CA176" s="10">
        <f t="shared" si="156"/>
        <v>37</v>
      </c>
      <c r="CB176" s="10">
        <f t="shared" si="157"/>
        <v>36</v>
      </c>
      <c r="CC176" s="10">
        <f t="shared" si="158"/>
        <v>35</v>
      </c>
      <c r="CD176" s="10">
        <f t="shared" si="159"/>
        <v>34</v>
      </c>
      <c r="CE176" s="10">
        <f t="shared" si="160"/>
        <v>33</v>
      </c>
      <c r="CF176" s="10">
        <f t="shared" si="161"/>
        <v>32</v>
      </c>
      <c r="CG176" s="10">
        <f t="shared" si="162"/>
        <v>31</v>
      </c>
      <c r="CH176" s="10">
        <f t="shared" si="163"/>
        <v>30</v>
      </c>
      <c r="CI176" s="10">
        <f t="shared" si="164"/>
        <v>29</v>
      </c>
      <c r="CJ176" s="10">
        <f t="shared" si="165"/>
        <v>28</v>
      </c>
      <c r="CK176" s="10">
        <f t="shared" si="166"/>
        <v>27</v>
      </c>
      <c r="CL176" s="10">
        <f t="shared" si="167"/>
        <v>26</v>
      </c>
      <c r="CM176" s="10" t="str">
        <f>'役職希望調査 ・備考'!I146&amp;""</f>
        <v/>
      </c>
    </row>
    <row r="177" spans="1:91">
      <c r="A177" s="10" t="str">
        <f>時間希望調査!A147&amp;""</f>
        <v/>
      </c>
      <c r="B177" s="10" t="str">
        <f>時間希望調査!B147&amp;""</f>
        <v/>
      </c>
      <c r="C177" s="10" t="str">
        <f>時間希望調査!C147&amp;""</f>
        <v/>
      </c>
      <c r="D177" s="11"/>
      <c r="E177" s="11"/>
      <c r="F177" s="11"/>
      <c r="G177" s="11"/>
      <c r="H177" s="11"/>
      <c r="I177" s="11"/>
      <c r="J177" s="11"/>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c r="AP177" s="11"/>
      <c r="AQ177" s="11"/>
      <c r="AR177" s="11"/>
      <c r="AS177" s="11"/>
      <c r="AT177" s="11"/>
      <c r="AU177" s="11"/>
      <c r="AV177" s="11"/>
      <c r="AW177" s="11"/>
      <c r="AX177" s="11"/>
      <c r="AY177" s="11"/>
      <c r="AZ177" s="11"/>
      <c r="BA177" s="11"/>
      <c r="BB177" s="10">
        <f t="shared" si="168"/>
        <v>0</v>
      </c>
      <c r="BC177" s="10">
        <f>時間希望調査!D147</f>
        <v>0</v>
      </c>
      <c r="BD177" s="10" t="str">
        <f>'役職希望調査 ・備考'!D147&amp;""</f>
        <v/>
      </c>
      <c r="BE177" s="10" t="str">
        <f>'役職希望調査 ・備考'!E147&amp;""</f>
        <v/>
      </c>
      <c r="BF177" s="10" t="str">
        <f>'役職希望調査 ・備考'!F147&amp;""</f>
        <v/>
      </c>
      <c r="BG177" s="10" t="str">
        <f>'役職希望調査 ・備考'!G147&amp;""</f>
        <v/>
      </c>
      <c r="BH177" s="10" t="str">
        <f>'役職希望調査 ・備考'!H147&amp;""</f>
        <v/>
      </c>
      <c r="BI177" s="10">
        <f t="shared" si="138"/>
        <v>0</v>
      </c>
      <c r="BJ177" s="10">
        <f t="shared" si="139"/>
        <v>0</v>
      </c>
      <c r="BK177" s="10">
        <f t="shared" si="140"/>
        <v>0</v>
      </c>
      <c r="BL177" s="10">
        <f t="shared" si="141"/>
        <v>0</v>
      </c>
      <c r="BM177" s="10">
        <f t="shared" si="142"/>
        <v>0</v>
      </c>
      <c r="BN177" s="10">
        <f t="shared" si="143"/>
        <v>0</v>
      </c>
      <c r="BO177" s="10">
        <f t="shared" si="144"/>
        <v>48</v>
      </c>
      <c r="BP177" s="10">
        <f t="shared" si="145"/>
        <v>48</v>
      </c>
      <c r="BQ177" s="10">
        <f t="shared" si="146"/>
        <v>47</v>
      </c>
      <c r="BR177" s="10">
        <f t="shared" si="147"/>
        <v>46</v>
      </c>
      <c r="BS177" s="10">
        <f t="shared" si="148"/>
        <v>45</v>
      </c>
      <c r="BT177" s="10">
        <f t="shared" si="149"/>
        <v>44</v>
      </c>
      <c r="BU177" s="10">
        <f t="shared" si="150"/>
        <v>43</v>
      </c>
      <c r="BV177" s="10">
        <f t="shared" si="151"/>
        <v>42</v>
      </c>
      <c r="BW177" s="10">
        <f t="shared" si="152"/>
        <v>41</v>
      </c>
      <c r="BX177" s="10">
        <f t="shared" si="153"/>
        <v>40</v>
      </c>
      <c r="BY177" s="10">
        <f t="shared" si="154"/>
        <v>39</v>
      </c>
      <c r="BZ177" s="10">
        <f t="shared" si="155"/>
        <v>38</v>
      </c>
      <c r="CA177" s="10">
        <f t="shared" si="156"/>
        <v>37</v>
      </c>
      <c r="CB177" s="10">
        <f t="shared" si="157"/>
        <v>36</v>
      </c>
      <c r="CC177" s="10">
        <f t="shared" si="158"/>
        <v>35</v>
      </c>
      <c r="CD177" s="10">
        <f t="shared" si="159"/>
        <v>34</v>
      </c>
      <c r="CE177" s="10">
        <f t="shared" si="160"/>
        <v>33</v>
      </c>
      <c r="CF177" s="10">
        <f t="shared" si="161"/>
        <v>32</v>
      </c>
      <c r="CG177" s="10">
        <f t="shared" si="162"/>
        <v>31</v>
      </c>
      <c r="CH177" s="10">
        <f t="shared" si="163"/>
        <v>30</v>
      </c>
      <c r="CI177" s="10">
        <f t="shared" si="164"/>
        <v>29</v>
      </c>
      <c r="CJ177" s="10">
        <f t="shared" si="165"/>
        <v>28</v>
      </c>
      <c r="CK177" s="10">
        <f t="shared" si="166"/>
        <v>27</v>
      </c>
      <c r="CL177" s="10">
        <f t="shared" si="167"/>
        <v>26</v>
      </c>
      <c r="CM177" s="10" t="str">
        <f>'役職希望調査 ・備考'!I147&amp;""</f>
        <v/>
      </c>
    </row>
    <row r="178" spans="1:91">
      <c r="A178" s="10" t="str">
        <f>時間希望調査!A148&amp;""</f>
        <v/>
      </c>
      <c r="B178" s="10" t="str">
        <f>時間希望調査!B148&amp;""</f>
        <v/>
      </c>
      <c r="C178" s="10" t="str">
        <f>時間希望調査!C148&amp;""</f>
        <v/>
      </c>
      <c r="D178" s="11"/>
      <c r="E178" s="11"/>
      <c r="F178" s="11"/>
      <c r="G178" s="11"/>
      <c r="H178" s="11"/>
      <c r="I178" s="11"/>
      <c r="J178" s="11"/>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c r="AP178" s="11"/>
      <c r="AQ178" s="11"/>
      <c r="AR178" s="11"/>
      <c r="AS178" s="11"/>
      <c r="AT178" s="11"/>
      <c r="AU178" s="11"/>
      <c r="AV178" s="11"/>
      <c r="AW178" s="11"/>
      <c r="AX178" s="11"/>
      <c r="AY178" s="11"/>
      <c r="AZ178" s="11"/>
      <c r="BA178" s="11"/>
      <c r="BB178" s="10">
        <f t="shared" si="168"/>
        <v>0</v>
      </c>
      <c r="BC178" s="10">
        <f>時間希望調査!D148</f>
        <v>0</v>
      </c>
      <c r="BD178" s="10" t="str">
        <f>'役職希望調査 ・備考'!D148&amp;""</f>
        <v/>
      </c>
      <c r="BE178" s="10" t="str">
        <f>'役職希望調査 ・備考'!E148&amp;""</f>
        <v/>
      </c>
      <c r="BF178" s="10" t="str">
        <f>'役職希望調査 ・備考'!F148&amp;""</f>
        <v/>
      </c>
      <c r="BG178" s="10" t="str">
        <f>'役職希望調査 ・備考'!G148&amp;""</f>
        <v/>
      </c>
      <c r="BH178" s="10" t="str">
        <f>'役職希望調査 ・備考'!H148&amp;""</f>
        <v/>
      </c>
      <c r="BI178" s="10">
        <f t="shared" si="138"/>
        <v>0</v>
      </c>
      <c r="BJ178" s="10">
        <f t="shared" si="139"/>
        <v>0</v>
      </c>
      <c r="BK178" s="10">
        <f t="shared" si="140"/>
        <v>0</v>
      </c>
      <c r="BL178" s="10">
        <f t="shared" si="141"/>
        <v>0</v>
      </c>
      <c r="BM178" s="10">
        <f t="shared" si="142"/>
        <v>0</v>
      </c>
      <c r="BN178" s="10">
        <f t="shared" si="143"/>
        <v>0</v>
      </c>
      <c r="BO178" s="10">
        <f t="shared" si="144"/>
        <v>48</v>
      </c>
      <c r="BP178" s="10">
        <f t="shared" si="145"/>
        <v>48</v>
      </c>
      <c r="BQ178" s="10">
        <f t="shared" si="146"/>
        <v>47</v>
      </c>
      <c r="BR178" s="10">
        <f t="shared" si="147"/>
        <v>46</v>
      </c>
      <c r="BS178" s="10">
        <f t="shared" si="148"/>
        <v>45</v>
      </c>
      <c r="BT178" s="10">
        <f t="shared" si="149"/>
        <v>44</v>
      </c>
      <c r="BU178" s="10">
        <f t="shared" si="150"/>
        <v>43</v>
      </c>
      <c r="BV178" s="10">
        <f t="shared" si="151"/>
        <v>42</v>
      </c>
      <c r="BW178" s="10">
        <f t="shared" si="152"/>
        <v>41</v>
      </c>
      <c r="BX178" s="10">
        <f t="shared" si="153"/>
        <v>40</v>
      </c>
      <c r="BY178" s="10">
        <f t="shared" si="154"/>
        <v>39</v>
      </c>
      <c r="BZ178" s="10">
        <f t="shared" si="155"/>
        <v>38</v>
      </c>
      <c r="CA178" s="10">
        <f t="shared" si="156"/>
        <v>37</v>
      </c>
      <c r="CB178" s="10">
        <f t="shared" si="157"/>
        <v>36</v>
      </c>
      <c r="CC178" s="10">
        <f t="shared" si="158"/>
        <v>35</v>
      </c>
      <c r="CD178" s="10">
        <f t="shared" si="159"/>
        <v>34</v>
      </c>
      <c r="CE178" s="10">
        <f t="shared" si="160"/>
        <v>33</v>
      </c>
      <c r="CF178" s="10">
        <f t="shared" si="161"/>
        <v>32</v>
      </c>
      <c r="CG178" s="10">
        <f t="shared" si="162"/>
        <v>31</v>
      </c>
      <c r="CH178" s="10">
        <f t="shared" si="163"/>
        <v>30</v>
      </c>
      <c r="CI178" s="10">
        <f t="shared" si="164"/>
        <v>29</v>
      </c>
      <c r="CJ178" s="10">
        <f t="shared" si="165"/>
        <v>28</v>
      </c>
      <c r="CK178" s="10">
        <f t="shared" si="166"/>
        <v>27</v>
      </c>
      <c r="CL178" s="10">
        <f t="shared" si="167"/>
        <v>26</v>
      </c>
      <c r="CM178" s="10" t="str">
        <f>'役職希望調査 ・備考'!I148&amp;""</f>
        <v/>
      </c>
    </row>
    <row r="179" spans="1:91">
      <c r="A179" s="10" t="str">
        <f>時間希望調査!A149&amp;""</f>
        <v/>
      </c>
      <c r="B179" s="10" t="str">
        <f>時間希望調査!B149&amp;""</f>
        <v/>
      </c>
      <c r="C179" s="10" t="str">
        <f>時間希望調査!C149&amp;""</f>
        <v/>
      </c>
      <c r="D179" s="11"/>
      <c r="E179" s="11"/>
      <c r="F179" s="11"/>
      <c r="G179" s="11"/>
      <c r="H179" s="11"/>
      <c r="I179" s="11"/>
      <c r="J179" s="11"/>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c r="AP179" s="11"/>
      <c r="AQ179" s="11"/>
      <c r="AR179" s="11"/>
      <c r="AS179" s="11"/>
      <c r="AT179" s="11"/>
      <c r="AU179" s="11"/>
      <c r="AV179" s="11"/>
      <c r="AW179" s="11"/>
      <c r="AX179" s="11"/>
      <c r="AY179" s="11"/>
      <c r="AZ179" s="11"/>
      <c r="BA179" s="11"/>
      <c r="BB179" s="10">
        <f t="shared" si="168"/>
        <v>0</v>
      </c>
      <c r="BC179" s="10">
        <f>時間希望調査!D149</f>
        <v>0</v>
      </c>
      <c r="BD179" s="10" t="str">
        <f>'役職希望調査 ・備考'!D149&amp;""</f>
        <v/>
      </c>
      <c r="BE179" s="10" t="str">
        <f>'役職希望調査 ・備考'!E149&amp;""</f>
        <v/>
      </c>
      <c r="BF179" s="10" t="str">
        <f>'役職希望調査 ・備考'!F149&amp;""</f>
        <v/>
      </c>
      <c r="BG179" s="10" t="str">
        <f>'役職希望調査 ・備考'!G149&amp;""</f>
        <v/>
      </c>
      <c r="BH179" s="10" t="str">
        <f>'役職希望調査 ・備考'!H149&amp;""</f>
        <v/>
      </c>
      <c r="BI179" s="10">
        <f t="shared" si="138"/>
        <v>0</v>
      </c>
      <c r="BJ179" s="10">
        <f t="shared" si="139"/>
        <v>0</v>
      </c>
      <c r="BK179" s="10">
        <f t="shared" si="140"/>
        <v>0</v>
      </c>
      <c r="BL179" s="10">
        <f t="shared" si="141"/>
        <v>0</v>
      </c>
      <c r="BM179" s="10">
        <f t="shared" si="142"/>
        <v>0</v>
      </c>
      <c r="BN179" s="10">
        <f t="shared" si="143"/>
        <v>0</v>
      </c>
      <c r="BO179" s="10">
        <f t="shared" si="144"/>
        <v>48</v>
      </c>
      <c r="BP179" s="10">
        <f t="shared" si="145"/>
        <v>48</v>
      </c>
      <c r="BQ179" s="10">
        <f t="shared" si="146"/>
        <v>47</v>
      </c>
      <c r="BR179" s="10">
        <f t="shared" si="147"/>
        <v>46</v>
      </c>
      <c r="BS179" s="10">
        <f t="shared" si="148"/>
        <v>45</v>
      </c>
      <c r="BT179" s="10">
        <f t="shared" si="149"/>
        <v>44</v>
      </c>
      <c r="BU179" s="10">
        <f t="shared" si="150"/>
        <v>43</v>
      </c>
      <c r="BV179" s="10">
        <f t="shared" si="151"/>
        <v>42</v>
      </c>
      <c r="BW179" s="10">
        <f t="shared" si="152"/>
        <v>41</v>
      </c>
      <c r="BX179" s="10">
        <f t="shared" si="153"/>
        <v>40</v>
      </c>
      <c r="BY179" s="10">
        <f t="shared" si="154"/>
        <v>39</v>
      </c>
      <c r="BZ179" s="10">
        <f t="shared" si="155"/>
        <v>38</v>
      </c>
      <c r="CA179" s="10">
        <f t="shared" si="156"/>
        <v>37</v>
      </c>
      <c r="CB179" s="10">
        <f t="shared" si="157"/>
        <v>36</v>
      </c>
      <c r="CC179" s="10">
        <f t="shared" si="158"/>
        <v>35</v>
      </c>
      <c r="CD179" s="10">
        <f t="shared" si="159"/>
        <v>34</v>
      </c>
      <c r="CE179" s="10">
        <f t="shared" si="160"/>
        <v>33</v>
      </c>
      <c r="CF179" s="10">
        <f t="shared" si="161"/>
        <v>32</v>
      </c>
      <c r="CG179" s="10">
        <f t="shared" si="162"/>
        <v>31</v>
      </c>
      <c r="CH179" s="10">
        <f t="shared" si="163"/>
        <v>30</v>
      </c>
      <c r="CI179" s="10">
        <f t="shared" si="164"/>
        <v>29</v>
      </c>
      <c r="CJ179" s="10">
        <f t="shared" si="165"/>
        <v>28</v>
      </c>
      <c r="CK179" s="10">
        <f t="shared" si="166"/>
        <v>27</v>
      </c>
      <c r="CL179" s="10">
        <f t="shared" si="167"/>
        <v>26</v>
      </c>
      <c r="CM179" s="10" t="str">
        <f>'役職希望調査 ・備考'!I149&amp;""</f>
        <v/>
      </c>
    </row>
    <row r="180" spans="1:91">
      <c r="A180" s="10" t="str">
        <f>時間希望調査!A150&amp;""</f>
        <v/>
      </c>
      <c r="B180" s="10" t="str">
        <f>時間希望調査!B150&amp;""</f>
        <v/>
      </c>
      <c r="C180" s="10" t="str">
        <f>時間希望調査!C150&amp;""</f>
        <v/>
      </c>
      <c r="D180" s="11"/>
      <c r="E180" s="11"/>
      <c r="F180" s="11"/>
      <c r="G180" s="11"/>
      <c r="H180" s="11"/>
      <c r="I180" s="11"/>
      <c r="J180" s="11"/>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c r="AP180" s="11"/>
      <c r="AQ180" s="11"/>
      <c r="AR180" s="11"/>
      <c r="AS180" s="11"/>
      <c r="AT180" s="11"/>
      <c r="AU180" s="11"/>
      <c r="AV180" s="11"/>
      <c r="AW180" s="11"/>
      <c r="AX180" s="11"/>
      <c r="AY180" s="11"/>
      <c r="AZ180" s="11"/>
      <c r="BA180" s="11"/>
      <c r="BB180" s="10">
        <f t="shared" si="168"/>
        <v>0</v>
      </c>
      <c r="BC180" s="10">
        <f>時間希望調査!D150</f>
        <v>0</v>
      </c>
      <c r="BD180" s="10" t="str">
        <f>'役職希望調査 ・備考'!D150&amp;""</f>
        <v/>
      </c>
      <c r="BE180" s="10" t="str">
        <f>'役職希望調査 ・備考'!E150&amp;""</f>
        <v/>
      </c>
      <c r="BF180" s="10" t="str">
        <f>'役職希望調査 ・備考'!F150&amp;""</f>
        <v/>
      </c>
      <c r="BG180" s="10" t="str">
        <f>'役職希望調査 ・備考'!G150&amp;""</f>
        <v/>
      </c>
      <c r="BH180" s="10" t="str">
        <f>'役職希望調査 ・備考'!H150&amp;""</f>
        <v/>
      </c>
      <c r="BI180" s="10">
        <f t="shared" si="138"/>
        <v>0</v>
      </c>
      <c r="BJ180" s="10">
        <f t="shared" si="139"/>
        <v>0</v>
      </c>
      <c r="BK180" s="10">
        <f t="shared" si="140"/>
        <v>0</v>
      </c>
      <c r="BL180" s="10">
        <f t="shared" si="141"/>
        <v>0</v>
      </c>
      <c r="BM180" s="10">
        <f t="shared" si="142"/>
        <v>0</v>
      </c>
      <c r="BN180" s="10">
        <f t="shared" si="143"/>
        <v>0</v>
      </c>
      <c r="BO180" s="10">
        <f t="shared" si="144"/>
        <v>48</v>
      </c>
      <c r="BP180" s="10">
        <f t="shared" si="145"/>
        <v>48</v>
      </c>
      <c r="BQ180" s="10">
        <f t="shared" si="146"/>
        <v>47</v>
      </c>
      <c r="BR180" s="10">
        <f t="shared" si="147"/>
        <v>46</v>
      </c>
      <c r="BS180" s="10">
        <f t="shared" si="148"/>
        <v>45</v>
      </c>
      <c r="BT180" s="10">
        <f t="shared" si="149"/>
        <v>44</v>
      </c>
      <c r="BU180" s="10">
        <f t="shared" si="150"/>
        <v>43</v>
      </c>
      <c r="BV180" s="10">
        <f t="shared" si="151"/>
        <v>42</v>
      </c>
      <c r="BW180" s="10">
        <f t="shared" si="152"/>
        <v>41</v>
      </c>
      <c r="BX180" s="10">
        <f t="shared" si="153"/>
        <v>40</v>
      </c>
      <c r="BY180" s="10">
        <f t="shared" si="154"/>
        <v>39</v>
      </c>
      <c r="BZ180" s="10">
        <f t="shared" si="155"/>
        <v>38</v>
      </c>
      <c r="CA180" s="10">
        <f t="shared" si="156"/>
        <v>37</v>
      </c>
      <c r="CB180" s="10">
        <f t="shared" si="157"/>
        <v>36</v>
      </c>
      <c r="CC180" s="10">
        <f t="shared" si="158"/>
        <v>35</v>
      </c>
      <c r="CD180" s="10">
        <f t="shared" si="159"/>
        <v>34</v>
      </c>
      <c r="CE180" s="10">
        <f t="shared" si="160"/>
        <v>33</v>
      </c>
      <c r="CF180" s="10">
        <f t="shared" si="161"/>
        <v>32</v>
      </c>
      <c r="CG180" s="10">
        <f t="shared" si="162"/>
        <v>31</v>
      </c>
      <c r="CH180" s="10">
        <f t="shared" si="163"/>
        <v>30</v>
      </c>
      <c r="CI180" s="10">
        <f t="shared" si="164"/>
        <v>29</v>
      </c>
      <c r="CJ180" s="10">
        <f t="shared" si="165"/>
        <v>28</v>
      </c>
      <c r="CK180" s="10">
        <f t="shared" si="166"/>
        <v>27</v>
      </c>
      <c r="CL180" s="10">
        <f t="shared" si="167"/>
        <v>26</v>
      </c>
      <c r="CM180" s="10" t="str">
        <f>'役職希望調査 ・備考'!I150&amp;""</f>
        <v/>
      </c>
    </row>
    <row r="181" spans="1:91">
      <c r="A181" s="10" t="str">
        <f>時間希望調査!A151&amp;""</f>
        <v/>
      </c>
      <c r="B181" s="10" t="str">
        <f>時間希望調査!B151&amp;""</f>
        <v/>
      </c>
      <c r="C181" s="10" t="str">
        <f>時間希望調査!C151&amp;""</f>
        <v/>
      </c>
      <c r="D181" s="11"/>
      <c r="E181" s="11"/>
      <c r="F181" s="11"/>
      <c r="G181" s="11"/>
      <c r="H181" s="11"/>
      <c r="I181" s="11"/>
      <c r="J181" s="11"/>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c r="AP181" s="11"/>
      <c r="AQ181" s="11"/>
      <c r="AR181" s="11"/>
      <c r="AS181" s="11"/>
      <c r="AT181" s="11"/>
      <c r="AU181" s="11"/>
      <c r="AV181" s="11"/>
      <c r="AW181" s="11"/>
      <c r="AX181" s="11"/>
      <c r="AY181" s="11"/>
      <c r="AZ181" s="11"/>
      <c r="BA181" s="11"/>
      <c r="BB181" s="10">
        <f t="shared" si="168"/>
        <v>0</v>
      </c>
      <c r="BC181" s="10">
        <f>時間希望調査!D151</f>
        <v>0</v>
      </c>
      <c r="BD181" s="10" t="str">
        <f>'役職希望調査 ・備考'!D151&amp;""</f>
        <v/>
      </c>
      <c r="BE181" s="10" t="str">
        <f>'役職希望調査 ・備考'!E151&amp;""</f>
        <v/>
      </c>
      <c r="BF181" s="10" t="str">
        <f>'役職希望調査 ・備考'!F151&amp;""</f>
        <v/>
      </c>
      <c r="BG181" s="10" t="str">
        <f>'役職希望調査 ・備考'!G151&amp;""</f>
        <v/>
      </c>
      <c r="BH181" s="10" t="str">
        <f>'役職希望調査 ・備考'!H151&amp;""</f>
        <v/>
      </c>
      <c r="BI181" s="10">
        <f t="shared" si="138"/>
        <v>0</v>
      </c>
      <c r="BJ181" s="10">
        <f t="shared" si="139"/>
        <v>0</v>
      </c>
      <c r="BK181" s="10">
        <f t="shared" si="140"/>
        <v>0</v>
      </c>
      <c r="BL181" s="10">
        <f t="shared" si="141"/>
        <v>0</v>
      </c>
      <c r="BM181" s="10">
        <f t="shared" si="142"/>
        <v>0</v>
      </c>
      <c r="BN181" s="10">
        <f t="shared" si="143"/>
        <v>0</v>
      </c>
      <c r="BO181" s="10">
        <f t="shared" si="144"/>
        <v>48</v>
      </c>
      <c r="BP181" s="10">
        <f t="shared" si="145"/>
        <v>48</v>
      </c>
      <c r="BQ181" s="10">
        <f t="shared" si="146"/>
        <v>47</v>
      </c>
      <c r="BR181" s="10">
        <f t="shared" si="147"/>
        <v>46</v>
      </c>
      <c r="BS181" s="10">
        <f t="shared" si="148"/>
        <v>45</v>
      </c>
      <c r="BT181" s="10">
        <f t="shared" si="149"/>
        <v>44</v>
      </c>
      <c r="BU181" s="10">
        <f t="shared" si="150"/>
        <v>43</v>
      </c>
      <c r="BV181" s="10">
        <f t="shared" si="151"/>
        <v>42</v>
      </c>
      <c r="BW181" s="10">
        <f t="shared" si="152"/>
        <v>41</v>
      </c>
      <c r="BX181" s="10">
        <f t="shared" si="153"/>
        <v>40</v>
      </c>
      <c r="BY181" s="10">
        <f t="shared" si="154"/>
        <v>39</v>
      </c>
      <c r="BZ181" s="10">
        <f t="shared" si="155"/>
        <v>38</v>
      </c>
      <c r="CA181" s="10">
        <f t="shared" si="156"/>
        <v>37</v>
      </c>
      <c r="CB181" s="10">
        <f t="shared" si="157"/>
        <v>36</v>
      </c>
      <c r="CC181" s="10">
        <f t="shared" si="158"/>
        <v>35</v>
      </c>
      <c r="CD181" s="10">
        <f t="shared" si="159"/>
        <v>34</v>
      </c>
      <c r="CE181" s="10">
        <f t="shared" si="160"/>
        <v>33</v>
      </c>
      <c r="CF181" s="10">
        <f t="shared" si="161"/>
        <v>32</v>
      </c>
      <c r="CG181" s="10">
        <f t="shared" si="162"/>
        <v>31</v>
      </c>
      <c r="CH181" s="10">
        <f t="shared" si="163"/>
        <v>30</v>
      </c>
      <c r="CI181" s="10">
        <f t="shared" si="164"/>
        <v>29</v>
      </c>
      <c r="CJ181" s="10">
        <f t="shared" si="165"/>
        <v>28</v>
      </c>
      <c r="CK181" s="10">
        <f t="shared" si="166"/>
        <v>27</v>
      </c>
      <c r="CL181" s="10">
        <f t="shared" si="167"/>
        <v>26</v>
      </c>
      <c r="CM181" s="10" t="str">
        <f>'役職希望調査 ・備考'!I151&amp;""</f>
        <v/>
      </c>
    </row>
    <row r="182" spans="1:91">
      <c r="A182" s="10" t="str">
        <f>時間希望調査!A152&amp;""</f>
        <v/>
      </c>
      <c r="B182" s="10" t="str">
        <f>時間希望調査!B152&amp;""</f>
        <v/>
      </c>
      <c r="C182" s="10" t="str">
        <f>時間希望調査!C152&amp;""</f>
        <v/>
      </c>
      <c r="D182" s="11"/>
      <c r="E182" s="11"/>
      <c r="F182" s="11"/>
      <c r="G182" s="11"/>
      <c r="H182" s="11"/>
      <c r="I182" s="11"/>
      <c r="J182" s="11"/>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c r="AP182" s="11"/>
      <c r="AQ182" s="11"/>
      <c r="AR182" s="11"/>
      <c r="AS182" s="11"/>
      <c r="AT182" s="11"/>
      <c r="AU182" s="11"/>
      <c r="AV182" s="11"/>
      <c r="AW182" s="11"/>
      <c r="AX182" s="11"/>
      <c r="AY182" s="11"/>
      <c r="AZ182" s="11"/>
      <c r="BA182" s="11"/>
      <c r="BB182" s="10">
        <f t="shared" si="168"/>
        <v>0</v>
      </c>
      <c r="BC182" s="10">
        <f>時間希望調査!D152</f>
        <v>0</v>
      </c>
      <c r="BD182" s="10" t="str">
        <f>'役職希望調査 ・備考'!D152&amp;""</f>
        <v/>
      </c>
      <c r="BE182" s="10" t="str">
        <f>'役職希望調査 ・備考'!E152&amp;""</f>
        <v/>
      </c>
      <c r="BF182" s="10" t="str">
        <f>'役職希望調査 ・備考'!F152&amp;""</f>
        <v/>
      </c>
      <c r="BG182" s="10" t="str">
        <f>'役職希望調査 ・備考'!G152&amp;""</f>
        <v/>
      </c>
      <c r="BH182" s="10" t="str">
        <f>'役職希望調査 ・備考'!H152&amp;""</f>
        <v/>
      </c>
      <c r="BI182" s="10">
        <f t="shared" si="138"/>
        <v>0</v>
      </c>
      <c r="BJ182" s="10">
        <f t="shared" si="139"/>
        <v>0</v>
      </c>
      <c r="BK182" s="10">
        <f t="shared" si="140"/>
        <v>0</v>
      </c>
      <c r="BL182" s="10">
        <f t="shared" si="141"/>
        <v>0</v>
      </c>
      <c r="BM182" s="10">
        <f t="shared" si="142"/>
        <v>0</v>
      </c>
      <c r="BN182" s="10">
        <f t="shared" si="143"/>
        <v>0</v>
      </c>
      <c r="BO182" s="10">
        <f t="shared" si="144"/>
        <v>48</v>
      </c>
      <c r="BP182" s="10">
        <f t="shared" si="145"/>
        <v>48</v>
      </c>
      <c r="BQ182" s="10">
        <f t="shared" si="146"/>
        <v>47</v>
      </c>
      <c r="BR182" s="10">
        <f t="shared" si="147"/>
        <v>46</v>
      </c>
      <c r="BS182" s="10">
        <f t="shared" si="148"/>
        <v>45</v>
      </c>
      <c r="BT182" s="10">
        <f t="shared" si="149"/>
        <v>44</v>
      </c>
      <c r="BU182" s="10">
        <f t="shared" si="150"/>
        <v>43</v>
      </c>
      <c r="BV182" s="10">
        <f t="shared" si="151"/>
        <v>42</v>
      </c>
      <c r="BW182" s="10">
        <f t="shared" si="152"/>
        <v>41</v>
      </c>
      <c r="BX182" s="10">
        <f t="shared" si="153"/>
        <v>40</v>
      </c>
      <c r="BY182" s="10">
        <f t="shared" si="154"/>
        <v>39</v>
      </c>
      <c r="BZ182" s="10">
        <f t="shared" si="155"/>
        <v>38</v>
      </c>
      <c r="CA182" s="10">
        <f t="shared" si="156"/>
        <v>37</v>
      </c>
      <c r="CB182" s="10">
        <f t="shared" si="157"/>
        <v>36</v>
      </c>
      <c r="CC182" s="10">
        <f t="shared" si="158"/>
        <v>35</v>
      </c>
      <c r="CD182" s="10">
        <f t="shared" si="159"/>
        <v>34</v>
      </c>
      <c r="CE182" s="10">
        <f t="shared" si="160"/>
        <v>33</v>
      </c>
      <c r="CF182" s="10">
        <f t="shared" si="161"/>
        <v>32</v>
      </c>
      <c r="CG182" s="10">
        <f t="shared" si="162"/>
        <v>31</v>
      </c>
      <c r="CH182" s="10">
        <f t="shared" si="163"/>
        <v>30</v>
      </c>
      <c r="CI182" s="10">
        <f t="shared" si="164"/>
        <v>29</v>
      </c>
      <c r="CJ182" s="10">
        <f t="shared" si="165"/>
        <v>28</v>
      </c>
      <c r="CK182" s="10">
        <f t="shared" si="166"/>
        <v>27</v>
      </c>
      <c r="CL182" s="10">
        <f t="shared" si="167"/>
        <v>26</v>
      </c>
      <c r="CM182" s="10" t="str">
        <f>'役職希望調査 ・備考'!I152&amp;""</f>
        <v/>
      </c>
    </row>
    <row r="183" spans="1:91">
      <c r="A183" s="10" t="str">
        <f>時間希望調査!A153&amp;""</f>
        <v/>
      </c>
      <c r="B183" s="10" t="str">
        <f>時間希望調査!B153&amp;""</f>
        <v/>
      </c>
      <c r="C183" s="10" t="str">
        <f>時間希望調査!C153&amp;""</f>
        <v/>
      </c>
      <c r="D183" s="11"/>
      <c r="E183" s="11"/>
      <c r="F183" s="11"/>
      <c r="G183" s="11"/>
      <c r="H183" s="11"/>
      <c r="I183" s="11"/>
      <c r="J183" s="11"/>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c r="AP183" s="11"/>
      <c r="AQ183" s="11"/>
      <c r="AR183" s="11"/>
      <c r="AS183" s="11"/>
      <c r="AT183" s="11"/>
      <c r="AU183" s="11"/>
      <c r="AV183" s="11"/>
      <c r="AW183" s="11"/>
      <c r="AX183" s="11"/>
      <c r="AY183" s="11"/>
      <c r="AZ183" s="11"/>
      <c r="BA183" s="11"/>
      <c r="BB183" s="10">
        <f t="shared" si="168"/>
        <v>0</v>
      </c>
      <c r="BC183" s="10">
        <f>時間希望調査!D153</f>
        <v>0</v>
      </c>
      <c r="BD183" s="10" t="str">
        <f>'役職希望調査 ・備考'!D153&amp;""</f>
        <v/>
      </c>
      <c r="BE183" s="10" t="str">
        <f>'役職希望調査 ・備考'!E153&amp;""</f>
        <v/>
      </c>
      <c r="BF183" s="10" t="str">
        <f>'役職希望調査 ・備考'!F153&amp;""</f>
        <v/>
      </c>
      <c r="BG183" s="10" t="str">
        <f>'役職希望調査 ・備考'!G153&amp;""</f>
        <v/>
      </c>
      <c r="BH183" s="10" t="str">
        <f>'役職希望調査 ・備考'!H153&amp;""</f>
        <v/>
      </c>
      <c r="BI183" s="10">
        <f t="shared" si="138"/>
        <v>0</v>
      </c>
      <c r="BJ183" s="10">
        <f t="shared" si="139"/>
        <v>0</v>
      </c>
      <c r="BK183" s="10">
        <f t="shared" si="140"/>
        <v>0</v>
      </c>
      <c r="BL183" s="10">
        <f t="shared" si="141"/>
        <v>0</v>
      </c>
      <c r="BM183" s="10">
        <f t="shared" si="142"/>
        <v>0</v>
      </c>
      <c r="BN183" s="10">
        <f t="shared" si="143"/>
        <v>0</v>
      </c>
      <c r="BO183" s="10">
        <f t="shared" si="144"/>
        <v>48</v>
      </c>
      <c r="BP183" s="10">
        <f t="shared" si="145"/>
        <v>48</v>
      </c>
      <c r="BQ183" s="10">
        <f t="shared" si="146"/>
        <v>47</v>
      </c>
      <c r="BR183" s="10">
        <f t="shared" si="147"/>
        <v>46</v>
      </c>
      <c r="BS183" s="10">
        <f t="shared" si="148"/>
        <v>45</v>
      </c>
      <c r="BT183" s="10">
        <f t="shared" si="149"/>
        <v>44</v>
      </c>
      <c r="BU183" s="10">
        <f t="shared" si="150"/>
        <v>43</v>
      </c>
      <c r="BV183" s="10">
        <f t="shared" si="151"/>
        <v>42</v>
      </c>
      <c r="BW183" s="10">
        <f t="shared" si="152"/>
        <v>41</v>
      </c>
      <c r="BX183" s="10">
        <f t="shared" si="153"/>
        <v>40</v>
      </c>
      <c r="BY183" s="10">
        <f t="shared" si="154"/>
        <v>39</v>
      </c>
      <c r="BZ183" s="10">
        <f t="shared" si="155"/>
        <v>38</v>
      </c>
      <c r="CA183" s="10">
        <f t="shared" si="156"/>
        <v>37</v>
      </c>
      <c r="CB183" s="10">
        <f t="shared" si="157"/>
        <v>36</v>
      </c>
      <c r="CC183" s="10">
        <f t="shared" si="158"/>
        <v>35</v>
      </c>
      <c r="CD183" s="10">
        <f t="shared" si="159"/>
        <v>34</v>
      </c>
      <c r="CE183" s="10">
        <f t="shared" si="160"/>
        <v>33</v>
      </c>
      <c r="CF183" s="10">
        <f t="shared" si="161"/>
        <v>32</v>
      </c>
      <c r="CG183" s="10">
        <f t="shared" si="162"/>
        <v>31</v>
      </c>
      <c r="CH183" s="10">
        <f t="shared" si="163"/>
        <v>30</v>
      </c>
      <c r="CI183" s="10">
        <f t="shared" si="164"/>
        <v>29</v>
      </c>
      <c r="CJ183" s="10">
        <f t="shared" si="165"/>
        <v>28</v>
      </c>
      <c r="CK183" s="10">
        <f t="shared" si="166"/>
        <v>27</v>
      </c>
      <c r="CL183" s="10">
        <f t="shared" si="167"/>
        <v>26</v>
      </c>
      <c r="CM183" s="10" t="str">
        <f>'役職希望調査 ・備考'!I153&amp;""</f>
        <v/>
      </c>
    </row>
    <row r="184" spans="1:91">
      <c r="A184" s="10" t="str">
        <f>時間希望調査!A154&amp;""</f>
        <v/>
      </c>
      <c r="B184" s="10" t="str">
        <f>時間希望調査!B154&amp;""</f>
        <v/>
      </c>
      <c r="C184" s="10" t="str">
        <f>時間希望調査!C154&amp;""</f>
        <v/>
      </c>
      <c r="D184" s="11"/>
      <c r="E184" s="11"/>
      <c r="F184" s="11"/>
      <c r="G184" s="11"/>
      <c r="H184" s="11"/>
      <c r="I184" s="11"/>
      <c r="J184" s="11"/>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c r="AP184" s="11"/>
      <c r="AQ184" s="11"/>
      <c r="AR184" s="11"/>
      <c r="AS184" s="11"/>
      <c r="AT184" s="11"/>
      <c r="AU184" s="11"/>
      <c r="AV184" s="11"/>
      <c r="AW184" s="11"/>
      <c r="AX184" s="11"/>
      <c r="AY184" s="11"/>
      <c r="AZ184" s="11"/>
      <c r="BA184" s="11"/>
      <c r="BB184" s="10">
        <f t="shared" si="168"/>
        <v>0</v>
      </c>
      <c r="BC184" s="10">
        <f>時間希望調査!D154</f>
        <v>0</v>
      </c>
      <c r="BD184" s="10" t="str">
        <f>'役職希望調査 ・備考'!D154&amp;""</f>
        <v/>
      </c>
      <c r="BE184" s="10" t="str">
        <f>'役職希望調査 ・備考'!E154&amp;""</f>
        <v/>
      </c>
      <c r="BF184" s="10" t="str">
        <f>'役職希望調査 ・備考'!F154&amp;""</f>
        <v/>
      </c>
      <c r="BG184" s="10" t="str">
        <f>'役職希望調査 ・備考'!G154&amp;""</f>
        <v/>
      </c>
      <c r="BH184" s="10" t="str">
        <f>'役職希望調査 ・備考'!H154&amp;""</f>
        <v/>
      </c>
      <c r="BI184" s="10">
        <f t="shared" si="138"/>
        <v>0</v>
      </c>
      <c r="BJ184" s="10">
        <f t="shared" si="139"/>
        <v>0</v>
      </c>
      <c r="BK184" s="10">
        <f t="shared" si="140"/>
        <v>0</v>
      </c>
      <c r="BL184" s="10">
        <f t="shared" si="141"/>
        <v>0</v>
      </c>
      <c r="BM184" s="10">
        <f t="shared" si="142"/>
        <v>0</v>
      </c>
      <c r="BN184" s="10">
        <f t="shared" si="143"/>
        <v>0</v>
      </c>
      <c r="BO184" s="10">
        <f t="shared" si="144"/>
        <v>48</v>
      </c>
      <c r="BP184" s="10">
        <f t="shared" si="145"/>
        <v>48</v>
      </c>
      <c r="BQ184" s="10">
        <f t="shared" si="146"/>
        <v>47</v>
      </c>
      <c r="BR184" s="10">
        <f t="shared" si="147"/>
        <v>46</v>
      </c>
      <c r="BS184" s="10">
        <f t="shared" si="148"/>
        <v>45</v>
      </c>
      <c r="BT184" s="10">
        <f t="shared" si="149"/>
        <v>44</v>
      </c>
      <c r="BU184" s="10">
        <f t="shared" si="150"/>
        <v>43</v>
      </c>
      <c r="BV184" s="10">
        <f t="shared" si="151"/>
        <v>42</v>
      </c>
      <c r="BW184" s="10">
        <f t="shared" si="152"/>
        <v>41</v>
      </c>
      <c r="BX184" s="10">
        <f t="shared" si="153"/>
        <v>40</v>
      </c>
      <c r="BY184" s="10">
        <f t="shared" si="154"/>
        <v>39</v>
      </c>
      <c r="BZ184" s="10">
        <f t="shared" si="155"/>
        <v>38</v>
      </c>
      <c r="CA184" s="10">
        <f t="shared" si="156"/>
        <v>37</v>
      </c>
      <c r="CB184" s="10">
        <f t="shared" si="157"/>
        <v>36</v>
      </c>
      <c r="CC184" s="10">
        <f t="shared" si="158"/>
        <v>35</v>
      </c>
      <c r="CD184" s="10">
        <f t="shared" si="159"/>
        <v>34</v>
      </c>
      <c r="CE184" s="10">
        <f t="shared" si="160"/>
        <v>33</v>
      </c>
      <c r="CF184" s="10">
        <f t="shared" si="161"/>
        <v>32</v>
      </c>
      <c r="CG184" s="10">
        <f t="shared" si="162"/>
        <v>31</v>
      </c>
      <c r="CH184" s="10">
        <f t="shared" si="163"/>
        <v>30</v>
      </c>
      <c r="CI184" s="10">
        <f t="shared" si="164"/>
        <v>29</v>
      </c>
      <c r="CJ184" s="10">
        <f t="shared" si="165"/>
        <v>28</v>
      </c>
      <c r="CK184" s="10">
        <f t="shared" si="166"/>
        <v>27</v>
      </c>
      <c r="CL184" s="10">
        <f t="shared" si="167"/>
        <v>26</v>
      </c>
      <c r="CM184" s="10" t="str">
        <f>'役職希望調査 ・備考'!I154&amp;""</f>
        <v/>
      </c>
    </row>
    <row r="185" spans="1:91">
      <c r="A185" s="10" t="str">
        <f>時間希望調査!A155&amp;""</f>
        <v/>
      </c>
      <c r="B185" s="10" t="str">
        <f>時間希望調査!B155&amp;""</f>
        <v/>
      </c>
      <c r="C185" s="10" t="str">
        <f>時間希望調査!C155&amp;""</f>
        <v/>
      </c>
      <c r="D185" s="11"/>
      <c r="E185" s="11"/>
      <c r="F185" s="11"/>
      <c r="G185" s="11"/>
      <c r="H185" s="11"/>
      <c r="I185" s="11"/>
      <c r="J185" s="11"/>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c r="AP185" s="11"/>
      <c r="AQ185" s="11"/>
      <c r="AR185" s="11"/>
      <c r="AS185" s="11"/>
      <c r="AT185" s="11"/>
      <c r="AU185" s="11"/>
      <c r="AV185" s="11"/>
      <c r="AW185" s="11"/>
      <c r="AX185" s="11"/>
      <c r="AY185" s="11"/>
      <c r="AZ185" s="11"/>
      <c r="BA185" s="11"/>
      <c r="BB185" s="10">
        <f t="shared" si="168"/>
        <v>0</v>
      </c>
      <c r="BC185" s="10">
        <f>時間希望調査!D155</f>
        <v>0</v>
      </c>
      <c r="BD185" s="10" t="str">
        <f>'役職希望調査 ・備考'!D155&amp;""</f>
        <v/>
      </c>
      <c r="BE185" s="10" t="str">
        <f>'役職希望調査 ・備考'!E155&amp;""</f>
        <v/>
      </c>
      <c r="BF185" s="10" t="str">
        <f>'役職希望調査 ・備考'!F155&amp;""</f>
        <v/>
      </c>
      <c r="BG185" s="10" t="str">
        <f>'役職希望調査 ・備考'!G155&amp;""</f>
        <v/>
      </c>
      <c r="BH185" s="10" t="str">
        <f>'役職希望調査 ・備考'!H155&amp;""</f>
        <v/>
      </c>
      <c r="BI185" s="10">
        <f t="shared" si="138"/>
        <v>0</v>
      </c>
      <c r="BJ185" s="10">
        <f t="shared" si="139"/>
        <v>0</v>
      </c>
      <c r="BK185" s="10">
        <f t="shared" si="140"/>
        <v>0</v>
      </c>
      <c r="BL185" s="10">
        <f t="shared" si="141"/>
        <v>0</v>
      </c>
      <c r="BM185" s="10">
        <f t="shared" si="142"/>
        <v>0</v>
      </c>
      <c r="BN185" s="10">
        <f t="shared" si="143"/>
        <v>0</v>
      </c>
      <c r="BO185" s="10">
        <f t="shared" si="144"/>
        <v>48</v>
      </c>
      <c r="BP185" s="10">
        <f t="shared" si="145"/>
        <v>48</v>
      </c>
      <c r="BQ185" s="10">
        <f t="shared" si="146"/>
        <v>47</v>
      </c>
      <c r="BR185" s="10">
        <f t="shared" si="147"/>
        <v>46</v>
      </c>
      <c r="BS185" s="10">
        <f t="shared" si="148"/>
        <v>45</v>
      </c>
      <c r="BT185" s="10">
        <f t="shared" si="149"/>
        <v>44</v>
      </c>
      <c r="BU185" s="10">
        <f t="shared" si="150"/>
        <v>43</v>
      </c>
      <c r="BV185" s="10">
        <f t="shared" si="151"/>
        <v>42</v>
      </c>
      <c r="BW185" s="10">
        <f t="shared" si="152"/>
        <v>41</v>
      </c>
      <c r="BX185" s="10">
        <f t="shared" si="153"/>
        <v>40</v>
      </c>
      <c r="BY185" s="10">
        <f t="shared" si="154"/>
        <v>39</v>
      </c>
      <c r="BZ185" s="10">
        <f t="shared" si="155"/>
        <v>38</v>
      </c>
      <c r="CA185" s="10">
        <f t="shared" si="156"/>
        <v>37</v>
      </c>
      <c r="CB185" s="10">
        <f t="shared" si="157"/>
        <v>36</v>
      </c>
      <c r="CC185" s="10">
        <f t="shared" si="158"/>
        <v>35</v>
      </c>
      <c r="CD185" s="10">
        <f t="shared" si="159"/>
        <v>34</v>
      </c>
      <c r="CE185" s="10">
        <f t="shared" si="160"/>
        <v>33</v>
      </c>
      <c r="CF185" s="10">
        <f t="shared" si="161"/>
        <v>32</v>
      </c>
      <c r="CG185" s="10">
        <f t="shared" si="162"/>
        <v>31</v>
      </c>
      <c r="CH185" s="10">
        <f t="shared" si="163"/>
        <v>30</v>
      </c>
      <c r="CI185" s="10">
        <f t="shared" si="164"/>
        <v>29</v>
      </c>
      <c r="CJ185" s="10">
        <f t="shared" si="165"/>
        <v>28</v>
      </c>
      <c r="CK185" s="10">
        <f t="shared" si="166"/>
        <v>27</v>
      </c>
      <c r="CL185" s="10">
        <f t="shared" si="167"/>
        <v>26</v>
      </c>
      <c r="CM185" s="10" t="str">
        <f>'役職希望調査 ・備考'!I155&amp;""</f>
        <v/>
      </c>
    </row>
    <row r="186" spans="1:91">
      <c r="A186" s="10" t="str">
        <f>時間希望調査!A156&amp;""</f>
        <v/>
      </c>
      <c r="B186" s="10" t="str">
        <f>時間希望調査!B156&amp;""</f>
        <v/>
      </c>
      <c r="C186" s="10" t="str">
        <f>時間希望調査!C156&amp;""</f>
        <v/>
      </c>
      <c r="D186" s="11"/>
      <c r="E186" s="11"/>
      <c r="F186" s="11"/>
      <c r="G186" s="11"/>
      <c r="H186" s="11"/>
      <c r="I186" s="11"/>
      <c r="J186" s="11"/>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c r="AP186" s="11"/>
      <c r="AQ186" s="11"/>
      <c r="AR186" s="11"/>
      <c r="AS186" s="11"/>
      <c r="AT186" s="11"/>
      <c r="AU186" s="11"/>
      <c r="AV186" s="11"/>
      <c r="AW186" s="11"/>
      <c r="AX186" s="11"/>
      <c r="AY186" s="11"/>
      <c r="AZ186" s="11"/>
      <c r="BA186" s="11"/>
      <c r="BB186" s="10">
        <f t="shared" si="168"/>
        <v>0</v>
      </c>
      <c r="BC186" s="10">
        <f>時間希望調査!D156</f>
        <v>0</v>
      </c>
      <c r="BD186" s="10" t="str">
        <f>'役職希望調査 ・備考'!D156&amp;""</f>
        <v/>
      </c>
      <c r="BE186" s="10" t="str">
        <f>'役職希望調査 ・備考'!E156&amp;""</f>
        <v/>
      </c>
      <c r="BF186" s="10" t="str">
        <f>'役職希望調査 ・備考'!F156&amp;""</f>
        <v/>
      </c>
      <c r="BG186" s="10" t="str">
        <f>'役職希望調査 ・備考'!G156&amp;""</f>
        <v/>
      </c>
      <c r="BH186" s="10" t="str">
        <f>'役職希望調査 ・備考'!H156&amp;""</f>
        <v/>
      </c>
      <c r="BI186" s="10">
        <f t="shared" si="138"/>
        <v>0</v>
      </c>
      <c r="BJ186" s="10">
        <f t="shared" si="139"/>
        <v>0</v>
      </c>
      <c r="BK186" s="10">
        <f t="shared" si="140"/>
        <v>0</v>
      </c>
      <c r="BL186" s="10">
        <f t="shared" si="141"/>
        <v>0</v>
      </c>
      <c r="BM186" s="10">
        <f t="shared" si="142"/>
        <v>0</v>
      </c>
      <c r="BN186" s="10">
        <f t="shared" si="143"/>
        <v>0</v>
      </c>
      <c r="BO186" s="10">
        <f t="shared" si="144"/>
        <v>48</v>
      </c>
      <c r="BP186" s="10">
        <f t="shared" si="145"/>
        <v>48</v>
      </c>
      <c r="BQ186" s="10">
        <f t="shared" si="146"/>
        <v>47</v>
      </c>
      <c r="BR186" s="10">
        <f t="shared" si="147"/>
        <v>46</v>
      </c>
      <c r="BS186" s="10">
        <f t="shared" si="148"/>
        <v>45</v>
      </c>
      <c r="BT186" s="10">
        <f t="shared" si="149"/>
        <v>44</v>
      </c>
      <c r="BU186" s="10">
        <f t="shared" si="150"/>
        <v>43</v>
      </c>
      <c r="BV186" s="10">
        <f t="shared" si="151"/>
        <v>42</v>
      </c>
      <c r="BW186" s="10">
        <f t="shared" si="152"/>
        <v>41</v>
      </c>
      <c r="BX186" s="10">
        <f t="shared" si="153"/>
        <v>40</v>
      </c>
      <c r="BY186" s="10">
        <f t="shared" si="154"/>
        <v>39</v>
      </c>
      <c r="BZ186" s="10">
        <f t="shared" si="155"/>
        <v>38</v>
      </c>
      <c r="CA186" s="10">
        <f t="shared" si="156"/>
        <v>37</v>
      </c>
      <c r="CB186" s="10">
        <f t="shared" si="157"/>
        <v>36</v>
      </c>
      <c r="CC186" s="10">
        <f t="shared" si="158"/>
        <v>35</v>
      </c>
      <c r="CD186" s="10">
        <f t="shared" si="159"/>
        <v>34</v>
      </c>
      <c r="CE186" s="10">
        <f t="shared" si="160"/>
        <v>33</v>
      </c>
      <c r="CF186" s="10">
        <f t="shared" si="161"/>
        <v>32</v>
      </c>
      <c r="CG186" s="10">
        <f t="shared" si="162"/>
        <v>31</v>
      </c>
      <c r="CH186" s="10">
        <f t="shared" si="163"/>
        <v>30</v>
      </c>
      <c r="CI186" s="10">
        <f t="shared" si="164"/>
        <v>29</v>
      </c>
      <c r="CJ186" s="10">
        <f t="shared" si="165"/>
        <v>28</v>
      </c>
      <c r="CK186" s="10">
        <f t="shared" si="166"/>
        <v>27</v>
      </c>
      <c r="CL186" s="10">
        <f t="shared" si="167"/>
        <v>26</v>
      </c>
      <c r="CM186" s="10" t="str">
        <f>'役職希望調査 ・備考'!I156&amp;""</f>
        <v/>
      </c>
    </row>
    <row r="187" spans="1:91">
      <c r="A187" s="10" t="str">
        <f>時間希望調査!A157&amp;""</f>
        <v/>
      </c>
      <c r="B187" s="10" t="str">
        <f>時間希望調査!B157&amp;""</f>
        <v/>
      </c>
      <c r="C187" s="10" t="str">
        <f>時間希望調査!C157&amp;""</f>
        <v/>
      </c>
      <c r="D187" s="11"/>
      <c r="E187" s="11"/>
      <c r="F187" s="11"/>
      <c r="G187" s="11"/>
      <c r="H187" s="11"/>
      <c r="I187" s="11"/>
      <c r="J187" s="11"/>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c r="AP187" s="11"/>
      <c r="AQ187" s="11"/>
      <c r="AR187" s="11"/>
      <c r="AS187" s="11"/>
      <c r="AT187" s="11"/>
      <c r="AU187" s="11"/>
      <c r="AV187" s="11"/>
      <c r="AW187" s="11"/>
      <c r="AX187" s="11"/>
      <c r="AY187" s="11"/>
      <c r="AZ187" s="11"/>
      <c r="BA187" s="11"/>
      <c r="BB187" s="10">
        <f t="shared" si="168"/>
        <v>0</v>
      </c>
      <c r="BC187" s="10">
        <f>時間希望調査!D157</f>
        <v>0</v>
      </c>
      <c r="BD187" s="10" t="str">
        <f>'役職希望調査 ・備考'!D157&amp;""</f>
        <v/>
      </c>
      <c r="BE187" s="10" t="str">
        <f>'役職希望調査 ・備考'!E157&amp;""</f>
        <v/>
      </c>
      <c r="BF187" s="10" t="str">
        <f>'役職希望調査 ・備考'!F157&amp;""</f>
        <v/>
      </c>
      <c r="BG187" s="10" t="str">
        <f>'役職希望調査 ・備考'!G157&amp;""</f>
        <v/>
      </c>
      <c r="BH187" s="10" t="str">
        <f>'役職希望調査 ・備考'!H157&amp;""</f>
        <v/>
      </c>
      <c r="BI187" s="10">
        <f t="shared" si="138"/>
        <v>0</v>
      </c>
      <c r="BJ187" s="10">
        <f t="shared" si="139"/>
        <v>0</v>
      </c>
      <c r="BK187" s="10">
        <f t="shared" si="140"/>
        <v>0</v>
      </c>
      <c r="BL187" s="10">
        <f t="shared" si="141"/>
        <v>0</v>
      </c>
      <c r="BM187" s="10">
        <f t="shared" si="142"/>
        <v>0</v>
      </c>
      <c r="BN187" s="10">
        <f t="shared" si="143"/>
        <v>0</v>
      </c>
      <c r="BO187" s="10">
        <f t="shared" si="144"/>
        <v>48</v>
      </c>
      <c r="BP187" s="10">
        <f t="shared" si="145"/>
        <v>48</v>
      </c>
      <c r="BQ187" s="10">
        <f t="shared" si="146"/>
        <v>47</v>
      </c>
      <c r="BR187" s="10">
        <f t="shared" si="147"/>
        <v>46</v>
      </c>
      <c r="BS187" s="10">
        <f t="shared" si="148"/>
        <v>45</v>
      </c>
      <c r="BT187" s="10">
        <f t="shared" si="149"/>
        <v>44</v>
      </c>
      <c r="BU187" s="10">
        <f t="shared" si="150"/>
        <v>43</v>
      </c>
      <c r="BV187" s="10">
        <f t="shared" si="151"/>
        <v>42</v>
      </c>
      <c r="BW187" s="10">
        <f t="shared" si="152"/>
        <v>41</v>
      </c>
      <c r="BX187" s="10">
        <f t="shared" si="153"/>
        <v>40</v>
      </c>
      <c r="BY187" s="10">
        <f t="shared" si="154"/>
        <v>39</v>
      </c>
      <c r="BZ187" s="10">
        <f t="shared" si="155"/>
        <v>38</v>
      </c>
      <c r="CA187" s="10">
        <f t="shared" si="156"/>
        <v>37</v>
      </c>
      <c r="CB187" s="10">
        <f t="shared" si="157"/>
        <v>36</v>
      </c>
      <c r="CC187" s="10">
        <f t="shared" si="158"/>
        <v>35</v>
      </c>
      <c r="CD187" s="10">
        <f t="shared" si="159"/>
        <v>34</v>
      </c>
      <c r="CE187" s="10">
        <f t="shared" si="160"/>
        <v>33</v>
      </c>
      <c r="CF187" s="10">
        <f t="shared" si="161"/>
        <v>32</v>
      </c>
      <c r="CG187" s="10">
        <f t="shared" si="162"/>
        <v>31</v>
      </c>
      <c r="CH187" s="10">
        <f t="shared" si="163"/>
        <v>30</v>
      </c>
      <c r="CI187" s="10">
        <f t="shared" si="164"/>
        <v>29</v>
      </c>
      <c r="CJ187" s="10">
        <f t="shared" si="165"/>
        <v>28</v>
      </c>
      <c r="CK187" s="10">
        <f t="shared" si="166"/>
        <v>27</v>
      </c>
      <c r="CL187" s="10">
        <f t="shared" si="167"/>
        <v>26</v>
      </c>
      <c r="CM187" s="10" t="str">
        <f>'役職希望調査 ・備考'!I157&amp;""</f>
        <v/>
      </c>
    </row>
    <row r="188" spans="1:91">
      <c r="A188" s="10" t="str">
        <f>時間希望調査!A158&amp;""</f>
        <v/>
      </c>
      <c r="B188" s="10" t="str">
        <f>時間希望調査!B158&amp;""</f>
        <v/>
      </c>
      <c r="C188" s="10" t="str">
        <f>時間希望調査!C158&amp;""</f>
        <v/>
      </c>
      <c r="D188" s="11"/>
      <c r="E188" s="11"/>
      <c r="F188" s="11"/>
      <c r="G188" s="11"/>
      <c r="H188" s="11"/>
      <c r="I188" s="11"/>
      <c r="J188" s="11"/>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c r="AP188" s="11"/>
      <c r="AQ188" s="11"/>
      <c r="AR188" s="11"/>
      <c r="AS188" s="11"/>
      <c r="AT188" s="11"/>
      <c r="AU188" s="11"/>
      <c r="AV188" s="11"/>
      <c r="AW188" s="11"/>
      <c r="AX188" s="11"/>
      <c r="AY188" s="11"/>
      <c r="AZ188" s="11"/>
      <c r="BA188" s="11"/>
      <c r="BB188" s="10">
        <f t="shared" si="168"/>
        <v>0</v>
      </c>
      <c r="BC188" s="10">
        <f>時間希望調査!D158</f>
        <v>0</v>
      </c>
      <c r="BD188" s="10" t="str">
        <f>'役職希望調査 ・備考'!D158&amp;""</f>
        <v/>
      </c>
      <c r="BE188" s="10" t="str">
        <f>'役職希望調査 ・備考'!E158&amp;""</f>
        <v/>
      </c>
      <c r="BF188" s="10" t="str">
        <f>'役職希望調査 ・備考'!F158&amp;""</f>
        <v/>
      </c>
      <c r="BG188" s="10" t="str">
        <f>'役職希望調査 ・備考'!G158&amp;""</f>
        <v/>
      </c>
      <c r="BH188" s="10" t="str">
        <f>'役職希望調査 ・備考'!H158&amp;""</f>
        <v/>
      </c>
      <c r="BI188" s="10">
        <f t="shared" si="138"/>
        <v>0</v>
      </c>
      <c r="BJ188" s="10">
        <f t="shared" si="139"/>
        <v>0</v>
      </c>
      <c r="BK188" s="10">
        <f t="shared" si="140"/>
        <v>0</v>
      </c>
      <c r="BL188" s="10">
        <f t="shared" si="141"/>
        <v>0</v>
      </c>
      <c r="BM188" s="10">
        <f t="shared" si="142"/>
        <v>0</v>
      </c>
      <c r="BN188" s="10">
        <f t="shared" si="143"/>
        <v>0</v>
      </c>
      <c r="BO188" s="10">
        <f t="shared" si="144"/>
        <v>48</v>
      </c>
      <c r="BP188" s="10">
        <f t="shared" si="145"/>
        <v>48</v>
      </c>
      <c r="BQ188" s="10">
        <f t="shared" si="146"/>
        <v>47</v>
      </c>
      <c r="BR188" s="10">
        <f t="shared" si="147"/>
        <v>46</v>
      </c>
      <c r="BS188" s="10">
        <f t="shared" si="148"/>
        <v>45</v>
      </c>
      <c r="BT188" s="10">
        <f t="shared" si="149"/>
        <v>44</v>
      </c>
      <c r="BU188" s="10">
        <f t="shared" si="150"/>
        <v>43</v>
      </c>
      <c r="BV188" s="10">
        <f t="shared" si="151"/>
        <v>42</v>
      </c>
      <c r="BW188" s="10">
        <f t="shared" si="152"/>
        <v>41</v>
      </c>
      <c r="BX188" s="10">
        <f t="shared" si="153"/>
        <v>40</v>
      </c>
      <c r="BY188" s="10">
        <f t="shared" si="154"/>
        <v>39</v>
      </c>
      <c r="BZ188" s="10">
        <f t="shared" si="155"/>
        <v>38</v>
      </c>
      <c r="CA188" s="10">
        <f t="shared" si="156"/>
        <v>37</v>
      </c>
      <c r="CB188" s="10">
        <f t="shared" si="157"/>
        <v>36</v>
      </c>
      <c r="CC188" s="10">
        <f t="shared" si="158"/>
        <v>35</v>
      </c>
      <c r="CD188" s="10">
        <f t="shared" si="159"/>
        <v>34</v>
      </c>
      <c r="CE188" s="10">
        <f t="shared" si="160"/>
        <v>33</v>
      </c>
      <c r="CF188" s="10">
        <f t="shared" si="161"/>
        <v>32</v>
      </c>
      <c r="CG188" s="10">
        <f t="shared" si="162"/>
        <v>31</v>
      </c>
      <c r="CH188" s="10">
        <f t="shared" si="163"/>
        <v>30</v>
      </c>
      <c r="CI188" s="10">
        <f t="shared" si="164"/>
        <v>29</v>
      </c>
      <c r="CJ188" s="10">
        <f t="shared" si="165"/>
        <v>28</v>
      </c>
      <c r="CK188" s="10">
        <f t="shared" si="166"/>
        <v>27</v>
      </c>
      <c r="CL188" s="10">
        <f t="shared" si="167"/>
        <v>26</v>
      </c>
      <c r="CM188" s="10" t="str">
        <f>'役職希望調査 ・備考'!I158&amp;""</f>
        <v/>
      </c>
    </row>
    <row r="189" spans="1:91">
      <c r="A189" s="10" t="str">
        <f>時間希望調査!A159&amp;""</f>
        <v/>
      </c>
      <c r="B189" s="10" t="str">
        <f>時間希望調査!B159&amp;""</f>
        <v/>
      </c>
      <c r="C189" s="10" t="str">
        <f>時間希望調査!C159&amp;""</f>
        <v/>
      </c>
      <c r="D189" s="11"/>
      <c r="E189" s="11"/>
      <c r="F189" s="11"/>
      <c r="G189" s="11"/>
      <c r="H189" s="11"/>
      <c r="I189" s="11"/>
      <c r="J189" s="11"/>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c r="AP189" s="11"/>
      <c r="AQ189" s="11"/>
      <c r="AR189" s="11"/>
      <c r="AS189" s="11"/>
      <c r="AT189" s="11"/>
      <c r="AU189" s="11"/>
      <c r="AV189" s="11"/>
      <c r="AW189" s="11"/>
      <c r="AX189" s="11"/>
      <c r="AY189" s="11"/>
      <c r="AZ189" s="11"/>
      <c r="BA189" s="11"/>
      <c r="BB189" s="10">
        <f t="shared" si="168"/>
        <v>0</v>
      </c>
      <c r="BC189" s="10">
        <f>時間希望調査!D159</f>
        <v>0</v>
      </c>
      <c r="BD189" s="10" t="str">
        <f>'役職希望調査 ・備考'!D159&amp;""</f>
        <v/>
      </c>
      <c r="BE189" s="10" t="str">
        <f>'役職希望調査 ・備考'!E159&amp;""</f>
        <v/>
      </c>
      <c r="BF189" s="10" t="str">
        <f>'役職希望調査 ・備考'!F159&amp;""</f>
        <v/>
      </c>
      <c r="BG189" s="10" t="str">
        <f>'役職希望調査 ・備考'!G159&amp;""</f>
        <v/>
      </c>
      <c r="BH189" s="10" t="str">
        <f>'役職希望調査 ・備考'!H159&amp;""</f>
        <v/>
      </c>
      <c r="BI189" s="10">
        <f t="shared" si="138"/>
        <v>0</v>
      </c>
      <c r="BJ189" s="10">
        <f t="shared" si="139"/>
        <v>0</v>
      </c>
      <c r="BK189" s="10">
        <f t="shared" si="140"/>
        <v>0</v>
      </c>
      <c r="BL189" s="10">
        <f t="shared" si="141"/>
        <v>0</v>
      </c>
      <c r="BM189" s="10">
        <f t="shared" si="142"/>
        <v>0</v>
      </c>
      <c r="BN189" s="10">
        <f t="shared" si="143"/>
        <v>0</v>
      </c>
      <c r="BO189" s="10">
        <f t="shared" si="144"/>
        <v>48</v>
      </c>
      <c r="BP189" s="10">
        <f t="shared" si="145"/>
        <v>48</v>
      </c>
      <c r="BQ189" s="10">
        <f t="shared" si="146"/>
        <v>47</v>
      </c>
      <c r="BR189" s="10">
        <f t="shared" si="147"/>
        <v>46</v>
      </c>
      <c r="BS189" s="10">
        <f t="shared" si="148"/>
        <v>45</v>
      </c>
      <c r="BT189" s="10">
        <f t="shared" si="149"/>
        <v>44</v>
      </c>
      <c r="BU189" s="10">
        <f t="shared" si="150"/>
        <v>43</v>
      </c>
      <c r="BV189" s="10">
        <f t="shared" si="151"/>
        <v>42</v>
      </c>
      <c r="BW189" s="10">
        <f t="shared" si="152"/>
        <v>41</v>
      </c>
      <c r="BX189" s="10">
        <f t="shared" si="153"/>
        <v>40</v>
      </c>
      <c r="BY189" s="10">
        <f t="shared" si="154"/>
        <v>39</v>
      </c>
      <c r="BZ189" s="10">
        <f t="shared" si="155"/>
        <v>38</v>
      </c>
      <c r="CA189" s="10">
        <f t="shared" si="156"/>
        <v>37</v>
      </c>
      <c r="CB189" s="10">
        <f t="shared" si="157"/>
        <v>36</v>
      </c>
      <c r="CC189" s="10">
        <f t="shared" si="158"/>
        <v>35</v>
      </c>
      <c r="CD189" s="10">
        <f t="shared" si="159"/>
        <v>34</v>
      </c>
      <c r="CE189" s="10">
        <f t="shared" si="160"/>
        <v>33</v>
      </c>
      <c r="CF189" s="10">
        <f t="shared" si="161"/>
        <v>32</v>
      </c>
      <c r="CG189" s="10">
        <f t="shared" si="162"/>
        <v>31</v>
      </c>
      <c r="CH189" s="10">
        <f t="shared" si="163"/>
        <v>30</v>
      </c>
      <c r="CI189" s="10">
        <f t="shared" si="164"/>
        <v>29</v>
      </c>
      <c r="CJ189" s="10">
        <f t="shared" si="165"/>
        <v>28</v>
      </c>
      <c r="CK189" s="10">
        <f t="shared" si="166"/>
        <v>27</v>
      </c>
      <c r="CL189" s="10">
        <f t="shared" si="167"/>
        <v>26</v>
      </c>
      <c r="CM189" s="10" t="str">
        <f>'役職希望調査 ・備考'!I159&amp;""</f>
        <v/>
      </c>
    </row>
    <row r="190" spans="1:91">
      <c r="A190" s="10" t="str">
        <f>時間希望調査!A160&amp;""</f>
        <v/>
      </c>
      <c r="B190" s="10" t="str">
        <f>時間希望調査!B160&amp;""</f>
        <v/>
      </c>
      <c r="C190" s="10" t="str">
        <f>時間希望調査!C160&amp;""</f>
        <v/>
      </c>
      <c r="D190" s="11"/>
      <c r="E190" s="11"/>
      <c r="F190" s="11"/>
      <c r="G190" s="11"/>
      <c r="H190" s="11"/>
      <c r="I190" s="11"/>
      <c r="J190" s="11"/>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c r="AP190" s="11"/>
      <c r="AQ190" s="11"/>
      <c r="AR190" s="11"/>
      <c r="AS190" s="11"/>
      <c r="AT190" s="11"/>
      <c r="AU190" s="11"/>
      <c r="AV190" s="11"/>
      <c r="AW190" s="11"/>
      <c r="AX190" s="11"/>
      <c r="AY190" s="11"/>
      <c r="AZ190" s="11"/>
      <c r="BA190" s="11"/>
      <c r="BB190" s="10">
        <f t="shared" si="168"/>
        <v>0</v>
      </c>
      <c r="BC190" s="10">
        <f>時間希望調査!D160</f>
        <v>0</v>
      </c>
      <c r="BD190" s="10" t="str">
        <f>'役職希望調査 ・備考'!D160&amp;""</f>
        <v/>
      </c>
      <c r="BE190" s="10" t="str">
        <f>'役職希望調査 ・備考'!E160&amp;""</f>
        <v/>
      </c>
      <c r="BF190" s="10" t="str">
        <f>'役職希望調査 ・備考'!F160&amp;""</f>
        <v/>
      </c>
      <c r="BG190" s="10" t="str">
        <f>'役職希望調査 ・備考'!G160&amp;""</f>
        <v/>
      </c>
      <c r="BH190" s="10" t="str">
        <f>'役職希望調査 ・備考'!H160&amp;""</f>
        <v/>
      </c>
      <c r="BI190" s="10">
        <f t="shared" si="138"/>
        <v>0</v>
      </c>
      <c r="BJ190" s="10">
        <f t="shared" si="139"/>
        <v>0</v>
      </c>
      <c r="BK190" s="10">
        <f t="shared" si="140"/>
        <v>0</v>
      </c>
      <c r="BL190" s="10">
        <f t="shared" si="141"/>
        <v>0</v>
      </c>
      <c r="BM190" s="10">
        <f t="shared" si="142"/>
        <v>0</v>
      </c>
      <c r="BN190" s="10">
        <f t="shared" si="143"/>
        <v>0</v>
      </c>
      <c r="BO190" s="10">
        <f t="shared" si="144"/>
        <v>48</v>
      </c>
      <c r="BP190" s="10">
        <f t="shared" si="145"/>
        <v>48</v>
      </c>
      <c r="BQ190" s="10">
        <f t="shared" si="146"/>
        <v>47</v>
      </c>
      <c r="BR190" s="10">
        <f t="shared" si="147"/>
        <v>46</v>
      </c>
      <c r="BS190" s="10">
        <f t="shared" si="148"/>
        <v>45</v>
      </c>
      <c r="BT190" s="10">
        <f t="shared" si="149"/>
        <v>44</v>
      </c>
      <c r="BU190" s="10">
        <f t="shared" si="150"/>
        <v>43</v>
      </c>
      <c r="BV190" s="10">
        <f t="shared" si="151"/>
        <v>42</v>
      </c>
      <c r="BW190" s="10">
        <f t="shared" si="152"/>
        <v>41</v>
      </c>
      <c r="BX190" s="10">
        <f t="shared" si="153"/>
        <v>40</v>
      </c>
      <c r="BY190" s="10">
        <f t="shared" si="154"/>
        <v>39</v>
      </c>
      <c r="BZ190" s="10">
        <f t="shared" si="155"/>
        <v>38</v>
      </c>
      <c r="CA190" s="10">
        <f t="shared" si="156"/>
        <v>37</v>
      </c>
      <c r="CB190" s="10">
        <f t="shared" si="157"/>
        <v>36</v>
      </c>
      <c r="CC190" s="10">
        <f t="shared" si="158"/>
        <v>35</v>
      </c>
      <c r="CD190" s="10">
        <f t="shared" si="159"/>
        <v>34</v>
      </c>
      <c r="CE190" s="10">
        <f t="shared" si="160"/>
        <v>33</v>
      </c>
      <c r="CF190" s="10">
        <f t="shared" si="161"/>
        <v>32</v>
      </c>
      <c r="CG190" s="10">
        <f t="shared" si="162"/>
        <v>31</v>
      </c>
      <c r="CH190" s="10">
        <f t="shared" si="163"/>
        <v>30</v>
      </c>
      <c r="CI190" s="10">
        <f t="shared" si="164"/>
        <v>29</v>
      </c>
      <c r="CJ190" s="10">
        <f t="shared" si="165"/>
        <v>28</v>
      </c>
      <c r="CK190" s="10">
        <f t="shared" si="166"/>
        <v>27</v>
      </c>
      <c r="CL190" s="10">
        <f t="shared" si="167"/>
        <v>26</v>
      </c>
      <c r="CM190" s="10" t="str">
        <f>'役職希望調査 ・備考'!I160&amp;""</f>
        <v/>
      </c>
    </row>
    <row r="191" spans="1:91">
      <c r="A191" s="10" t="str">
        <f>時間希望調査!A161&amp;""</f>
        <v/>
      </c>
      <c r="B191" s="10" t="str">
        <f>時間希望調査!B161&amp;""</f>
        <v/>
      </c>
      <c r="C191" s="10" t="str">
        <f>時間希望調査!C161&amp;""</f>
        <v/>
      </c>
      <c r="D191" s="11"/>
      <c r="E191" s="11"/>
      <c r="F191" s="11"/>
      <c r="G191" s="11"/>
      <c r="H191" s="11"/>
      <c r="I191" s="11"/>
      <c r="J191" s="11"/>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c r="AP191" s="11"/>
      <c r="AQ191" s="11"/>
      <c r="AR191" s="11"/>
      <c r="AS191" s="11"/>
      <c r="AT191" s="11"/>
      <c r="AU191" s="11"/>
      <c r="AV191" s="11"/>
      <c r="AW191" s="11"/>
      <c r="AX191" s="11"/>
      <c r="AY191" s="11"/>
      <c r="AZ191" s="11"/>
      <c r="BA191" s="11"/>
      <c r="BB191" s="10">
        <f t="shared" si="168"/>
        <v>0</v>
      </c>
      <c r="BC191" s="10">
        <f>時間希望調査!D161</f>
        <v>0</v>
      </c>
      <c r="BD191" s="10" t="str">
        <f>'役職希望調査 ・備考'!D161&amp;""</f>
        <v/>
      </c>
      <c r="BE191" s="10" t="str">
        <f>'役職希望調査 ・備考'!E161&amp;""</f>
        <v/>
      </c>
      <c r="BF191" s="10" t="str">
        <f>'役職希望調査 ・備考'!F161&amp;""</f>
        <v/>
      </c>
      <c r="BG191" s="10" t="str">
        <f>'役職希望調査 ・備考'!G161&amp;""</f>
        <v/>
      </c>
      <c r="BH191" s="10" t="str">
        <f>'役職希望調査 ・備考'!H161&amp;""</f>
        <v/>
      </c>
      <c r="BI191" s="10">
        <f t="shared" si="138"/>
        <v>0</v>
      </c>
      <c r="BJ191" s="10">
        <f t="shared" si="139"/>
        <v>0</v>
      </c>
      <c r="BK191" s="10">
        <f t="shared" si="140"/>
        <v>0</v>
      </c>
      <c r="BL191" s="10">
        <f t="shared" si="141"/>
        <v>0</v>
      </c>
      <c r="BM191" s="10">
        <f t="shared" si="142"/>
        <v>0</v>
      </c>
      <c r="BN191" s="10">
        <f t="shared" si="143"/>
        <v>0</v>
      </c>
      <c r="BO191" s="10">
        <f t="shared" si="144"/>
        <v>48</v>
      </c>
      <c r="BP191" s="10">
        <f t="shared" si="145"/>
        <v>48</v>
      </c>
      <c r="BQ191" s="10">
        <f t="shared" si="146"/>
        <v>47</v>
      </c>
      <c r="BR191" s="10">
        <f t="shared" si="147"/>
        <v>46</v>
      </c>
      <c r="BS191" s="10">
        <f t="shared" si="148"/>
        <v>45</v>
      </c>
      <c r="BT191" s="10">
        <f t="shared" si="149"/>
        <v>44</v>
      </c>
      <c r="BU191" s="10">
        <f t="shared" si="150"/>
        <v>43</v>
      </c>
      <c r="BV191" s="10">
        <f t="shared" si="151"/>
        <v>42</v>
      </c>
      <c r="BW191" s="10">
        <f t="shared" si="152"/>
        <v>41</v>
      </c>
      <c r="BX191" s="10">
        <f t="shared" si="153"/>
        <v>40</v>
      </c>
      <c r="BY191" s="10">
        <f t="shared" si="154"/>
        <v>39</v>
      </c>
      <c r="BZ191" s="10">
        <f t="shared" si="155"/>
        <v>38</v>
      </c>
      <c r="CA191" s="10">
        <f t="shared" si="156"/>
        <v>37</v>
      </c>
      <c r="CB191" s="10">
        <f t="shared" si="157"/>
        <v>36</v>
      </c>
      <c r="CC191" s="10">
        <f t="shared" si="158"/>
        <v>35</v>
      </c>
      <c r="CD191" s="10">
        <f t="shared" si="159"/>
        <v>34</v>
      </c>
      <c r="CE191" s="10">
        <f t="shared" si="160"/>
        <v>33</v>
      </c>
      <c r="CF191" s="10">
        <f t="shared" si="161"/>
        <v>32</v>
      </c>
      <c r="CG191" s="10">
        <f t="shared" si="162"/>
        <v>31</v>
      </c>
      <c r="CH191" s="10">
        <f t="shared" si="163"/>
        <v>30</v>
      </c>
      <c r="CI191" s="10">
        <f t="shared" si="164"/>
        <v>29</v>
      </c>
      <c r="CJ191" s="10">
        <f t="shared" si="165"/>
        <v>28</v>
      </c>
      <c r="CK191" s="10">
        <f t="shared" si="166"/>
        <v>27</v>
      </c>
      <c r="CL191" s="10">
        <f t="shared" si="167"/>
        <v>26</v>
      </c>
      <c r="CM191" s="10" t="str">
        <f>'役職希望調査 ・備考'!I161&amp;""</f>
        <v/>
      </c>
    </row>
    <row r="192" spans="1:91">
      <c r="A192" s="10" t="str">
        <f>時間希望調査!A162&amp;""</f>
        <v/>
      </c>
      <c r="B192" s="10" t="str">
        <f>時間希望調査!B162&amp;""</f>
        <v/>
      </c>
      <c r="C192" s="10" t="str">
        <f>時間希望調査!C162&amp;""</f>
        <v/>
      </c>
      <c r="D192" s="11"/>
      <c r="E192" s="11"/>
      <c r="F192" s="11"/>
      <c r="G192" s="11"/>
      <c r="H192" s="11"/>
      <c r="I192" s="11"/>
      <c r="J192" s="11"/>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c r="AP192" s="11"/>
      <c r="AQ192" s="11"/>
      <c r="AR192" s="11"/>
      <c r="AS192" s="11"/>
      <c r="AT192" s="11"/>
      <c r="AU192" s="11"/>
      <c r="AV192" s="11"/>
      <c r="AW192" s="11"/>
      <c r="AX192" s="11"/>
      <c r="AY192" s="11"/>
      <c r="AZ192" s="11"/>
      <c r="BA192" s="11"/>
      <c r="BB192" s="10">
        <f t="shared" si="168"/>
        <v>0</v>
      </c>
      <c r="BC192" s="10">
        <f>時間希望調査!D162</f>
        <v>0</v>
      </c>
      <c r="BD192" s="10" t="str">
        <f>'役職希望調査 ・備考'!D162&amp;""</f>
        <v/>
      </c>
      <c r="BE192" s="10" t="str">
        <f>'役職希望調査 ・備考'!E162&amp;""</f>
        <v/>
      </c>
      <c r="BF192" s="10" t="str">
        <f>'役職希望調査 ・備考'!F162&amp;""</f>
        <v/>
      </c>
      <c r="BG192" s="10" t="str">
        <f>'役職希望調査 ・備考'!G162&amp;""</f>
        <v/>
      </c>
      <c r="BH192" s="10" t="str">
        <f>'役職希望調査 ・備考'!H162&amp;""</f>
        <v/>
      </c>
      <c r="BI192" s="10">
        <f t="shared" ref="BI192:BI199" si="169">COUNTIF(D192:BA192,BI$1)</f>
        <v>0</v>
      </c>
      <c r="BJ192" s="10">
        <f t="shared" ref="BJ192:BJ199" si="170">COUNTIF(E192:BB192,BJ$1)</f>
        <v>0</v>
      </c>
      <c r="BK192" s="10">
        <f t="shared" ref="BK192:BK199" si="171">COUNTIF(F192:BC192,BK$1)</f>
        <v>0</v>
      </c>
      <c r="BL192" s="10">
        <f t="shared" ref="BL192:BL199" si="172">COUNTIF(G192:BD192,BL$1)</f>
        <v>0</v>
      </c>
      <c r="BM192" s="10">
        <f t="shared" ref="BM192:BM199" si="173">COUNTIF(H192:BE192,BM$1)</f>
        <v>0</v>
      </c>
      <c r="BN192" s="10">
        <f t="shared" ref="BN192:BN199" si="174">COUNTIF(I192:BF192,BN$1)</f>
        <v>0</v>
      </c>
      <c r="BO192" s="10">
        <f t="shared" ref="BO192:BO199" si="175">COUNTIF(J192:BG192,BO$1)</f>
        <v>48</v>
      </c>
      <c r="BP192" s="10">
        <f t="shared" ref="BP192:BP199" si="176">COUNTIF(K192:BH192,BP$1)</f>
        <v>48</v>
      </c>
      <c r="BQ192" s="10">
        <f t="shared" ref="BQ192:BQ199" si="177">COUNTIF(L192:BI192,BQ$1)</f>
        <v>47</v>
      </c>
      <c r="BR192" s="10">
        <f t="shared" ref="BR192:BR199" si="178">COUNTIF(M192:BJ192,BR$1)</f>
        <v>46</v>
      </c>
      <c r="BS192" s="10">
        <f t="shared" ref="BS192:BS199" si="179">COUNTIF(N192:BK192,BS$1)</f>
        <v>45</v>
      </c>
      <c r="BT192" s="10">
        <f t="shared" ref="BT192:BT199" si="180">COUNTIF(O192:BL192,BT$1)</f>
        <v>44</v>
      </c>
      <c r="BU192" s="10">
        <f t="shared" ref="BU192:BU199" si="181">COUNTIF(P192:BM192,BU$1)</f>
        <v>43</v>
      </c>
      <c r="BV192" s="10">
        <f t="shared" ref="BV192:BV199" si="182">COUNTIF(Q192:BN192,BV$1)</f>
        <v>42</v>
      </c>
      <c r="BW192" s="10">
        <f t="shared" ref="BW192:BW199" si="183">COUNTIF(R192:BO192,BW$1)</f>
        <v>41</v>
      </c>
      <c r="BX192" s="10">
        <f t="shared" ref="BX192:BX199" si="184">COUNTIF(S192:BP192,BX$1)</f>
        <v>40</v>
      </c>
      <c r="BY192" s="10">
        <f t="shared" ref="BY192:BY199" si="185">COUNTIF(T192:BQ192,BY$1)</f>
        <v>39</v>
      </c>
      <c r="BZ192" s="10">
        <f t="shared" ref="BZ192:BZ199" si="186">COUNTIF(U192:BR192,BZ$1)</f>
        <v>38</v>
      </c>
      <c r="CA192" s="10">
        <f t="shared" ref="CA192:CA199" si="187">COUNTIF(V192:BS192,CA$1)</f>
        <v>37</v>
      </c>
      <c r="CB192" s="10">
        <f t="shared" ref="CB192:CB199" si="188">COUNTIF(W192:BT192,CB$1)</f>
        <v>36</v>
      </c>
      <c r="CC192" s="10">
        <f t="shared" ref="CC192:CC199" si="189">COUNTIF(X192:BU192,CC$1)</f>
        <v>35</v>
      </c>
      <c r="CD192" s="10">
        <f t="shared" ref="CD192:CD199" si="190">COUNTIF(Y192:BV192,CD$1)</f>
        <v>34</v>
      </c>
      <c r="CE192" s="10">
        <f t="shared" ref="CE192:CE199" si="191">COUNTIF(Z192:BW192,CE$1)</f>
        <v>33</v>
      </c>
      <c r="CF192" s="10">
        <f t="shared" ref="CF192:CF199" si="192">COUNTIF(AA192:BX192,CF$1)</f>
        <v>32</v>
      </c>
      <c r="CG192" s="10">
        <f t="shared" ref="CG192:CG199" si="193">COUNTIF(AB192:BY192,CG$1)</f>
        <v>31</v>
      </c>
      <c r="CH192" s="10">
        <f t="shared" ref="CH192:CH199" si="194">COUNTIF(AC192:BZ192,CH$1)</f>
        <v>30</v>
      </c>
      <c r="CI192" s="10">
        <f t="shared" ref="CI192:CI199" si="195">COUNTIF(AD192:CA192,CI$1)</f>
        <v>29</v>
      </c>
      <c r="CJ192" s="10">
        <f t="shared" ref="CJ192:CJ199" si="196">COUNTIF(AE192:CB192,CJ$1)</f>
        <v>28</v>
      </c>
      <c r="CK192" s="10">
        <f t="shared" ref="CK192:CK199" si="197">COUNTIF(AF192:CC192,CK$1)</f>
        <v>27</v>
      </c>
      <c r="CL192" s="10">
        <f t="shared" ref="CL192:CL199" si="198">COUNTIF(AG192:CD192,CL$1)</f>
        <v>26</v>
      </c>
      <c r="CM192" s="10" t="str">
        <f>'役職希望調査 ・備考'!I162&amp;""</f>
        <v/>
      </c>
    </row>
    <row r="193" spans="1:91">
      <c r="A193" s="10" t="str">
        <f>時間希望調査!A163&amp;""</f>
        <v/>
      </c>
      <c r="B193" s="10" t="str">
        <f>時間希望調査!B163&amp;""</f>
        <v/>
      </c>
      <c r="C193" s="10" t="str">
        <f>時間希望調査!C163&amp;""</f>
        <v/>
      </c>
      <c r="D193" s="11"/>
      <c r="E193" s="11"/>
      <c r="F193" s="11"/>
      <c r="G193" s="11"/>
      <c r="H193" s="11"/>
      <c r="I193" s="11"/>
      <c r="J193" s="11"/>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c r="AP193" s="11"/>
      <c r="AQ193" s="11"/>
      <c r="AR193" s="11"/>
      <c r="AS193" s="11"/>
      <c r="AT193" s="11"/>
      <c r="AU193" s="11"/>
      <c r="AV193" s="11"/>
      <c r="AW193" s="11"/>
      <c r="AX193" s="11"/>
      <c r="AY193" s="11"/>
      <c r="AZ193" s="11"/>
      <c r="BA193" s="11"/>
      <c r="BB193" s="10">
        <f t="shared" si="168"/>
        <v>0</v>
      </c>
      <c r="BC193" s="10">
        <f>時間希望調査!D163</f>
        <v>0</v>
      </c>
      <c r="BD193" s="10" t="str">
        <f>'役職希望調査 ・備考'!D163&amp;""</f>
        <v/>
      </c>
      <c r="BE193" s="10" t="str">
        <f>'役職希望調査 ・備考'!E163&amp;""</f>
        <v/>
      </c>
      <c r="BF193" s="10" t="str">
        <f>'役職希望調査 ・備考'!F163&amp;""</f>
        <v/>
      </c>
      <c r="BG193" s="10" t="str">
        <f>'役職希望調査 ・備考'!G163&amp;""</f>
        <v/>
      </c>
      <c r="BH193" s="10" t="str">
        <f>'役職希望調査 ・備考'!H163&amp;""</f>
        <v/>
      </c>
      <c r="BI193" s="10">
        <f t="shared" si="169"/>
        <v>0</v>
      </c>
      <c r="BJ193" s="10">
        <f t="shared" si="170"/>
        <v>0</v>
      </c>
      <c r="BK193" s="10">
        <f t="shared" si="171"/>
        <v>0</v>
      </c>
      <c r="BL193" s="10">
        <f t="shared" si="172"/>
        <v>0</v>
      </c>
      <c r="BM193" s="10">
        <f t="shared" si="173"/>
        <v>0</v>
      </c>
      <c r="BN193" s="10">
        <f t="shared" si="174"/>
        <v>0</v>
      </c>
      <c r="BO193" s="10">
        <f t="shared" si="175"/>
        <v>48</v>
      </c>
      <c r="BP193" s="10">
        <f t="shared" si="176"/>
        <v>48</v>
      </c>
      <c r="BQ193" s="10">
        <f t="shared" si="177"/>
        <v>47</v>
      </c>
      <c r="BR193" s="10">
        <f t="shared" si="178"/>
        <v>46</v>
      </c>
      <c r="BS193" s="10">
        <f t="shared" si="179"/>
        <v>45</v>
      </c>
      <c r="BT193" s="10">
        <f t="shared" si="180"/>
        <v>44</v>
      </c>
      <c r="BU193" s="10">
        <f t="shared" si="181"/>
        <v>43</v>
      </c>
      <c r="BV193" s="10">
        <f t="shared" si="182"/>
        <v>42</v>
      </c>
      <c r="BW193" s="10">
        <f t="shared" si="183"/>
        <v>41</v>
      </c>
      <c r="BX193" s="10">
        <f t="shared" si="184"/>
        <v>40</v>
      </c>
      <c r="BY193" s="10">
        <f t="shared" si="185"/>
        <v>39</v>
      </c>
      <c r="BZ193" s="10">
        <f t="shared" si="186"/>
        <v>38</v>
      </c>
      <c r="CA193" s="10">
        <f t="shared" si="187"/>
        <v>37</v>
      </c>
      <c r="CB193" s="10">
        <f t="shared" si="188"/>
        <v>36</v>
      </c>
      <c r="CC193" s="10">
        <f t="shared" si="189"/>
        <v>35</v>
      </c>
      <c r="CD193" s="10">
        <f t="shared" si="190"/>
        <v>34</v>
      </c>
      <c r="CE193" s="10">
        <f t="shared" si="191"/>
        <v>33</v>
      </c>
      <c r="CF193" s="10">
        <f t="shared" si="192"/>
        <v>32</v>
      </c>
      <c r="CG193" s="10">
        <f t="shared" si="193"/>
        <v>31</v>
      </c>
      <c r="CH193" s="10">
        <f t="shared" si="194"/>
        <v>30</v>
      </c>
      <c r="CI193" s="10">
        <f t="shared" si="195"/>
        <v>29</v>
      </c>
      <c r="CJ193" s="10">
        <f t="shared" si="196"/>
        <v>28</v>
      </c>
      <c r="CK193" s="10">
        <f t="shared" si="197"/>
        <v>27</v>
      </c>
      <c r="CL193" s="10">
        <f t="shared" si="198"/>
        <v>26</v>
      </c>
      <c r="CM193" s="10" t="str">
        <f>'役職希望調査 ・備考'!I163&amp;""</f>
        <v/>
      </c>
    </row>
    <row r="194" spans="1:91">
      <c r="A194" s="10" t="str">
        <f>時間希望調査!A164&amp;""</f>
        <v/>
      </c>
      <c r="B194" s="10" t="str">
        <f>時間希望調査!B164&amp;""</f>
        <v/>
      </c>
      <c r="C194" s="10" t="str">
        <f>時間希望調査!C164&amp;""</f>
        <v/>
      </c>
      <c r="D194" s="11"/>
      <c r="E194" s="11"/>
      <c r="F194" s="11"/>
      <c r="G194" s="11"/>
      <c r="H194" s="11"/>
      <c r="I194" s="11"/>
      <c r="J194" s="11"/>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c r="AP194" s="11"/>
      <c r="AQ194" s="11"/>
      <c r="AR194" s="11"/>
      <c r="AS194" s="11"/>
      <c r="AT194" s="11"/>
      <c r="AU194" s="11"/>
      <c r="AV194" s="11"/>
      <c r="AW194" s="11"/>
      <c r="AX194" s="11"/>
      <c r="AY194" s="11"/>
      <c r="AZ194" s="11"/>
      <c r="BA194" s="11"/>
      <c r="BB194" s="10">
        <f t="shared" si="168"/>
        <v>0</v>
      </c>
      <c r="BC194" s="10">
        <f>時間希望調査!D164</f>
        <v>0</v>
      </c>
      <c r="BD194" s="10" t="str">
        <f>'役職希望調査 ・備考'!D164&amp;""</f>
        <v/>
      </c>
      <c r="BE194" s="10" t="str">
        <f>'役職希望調査 ・備考'!E164&amp;""</f>
        <v/>
      </c>
      <c r="BF194" s="10" t="str">
        <f>'役職希望調査 ・備考'!F164&amp;""</f>
        <v/>
      </c>
      <c r="BG194" s="10" t="str">
        <f>'役職希望調査 ・備考'!G164&amp;""</f>
        <v/>
      </c>
      <c r="BH194" s="10" t="str">
        <f>'役職希望調査 ・備考'!H164&amp;""</f>
        <v/>
      </c>
      <c r="BI194" s="10">
        <f t="shared" si="169"/>
        <v>0</v>
      </c>
      <c r="BJ194" s="10">
        <f t="shared" si="170"/>
        <v>0</v>
      </c>
      <c r="BK194" s="10">
        <f t="shared" si="171"/>
        <v>0</v>
      </c>
      <c r="BL194" s="10">
        <f t="shared" si="172"/>
        <v>0</v>
      </c>
      <c r="BM194" s="10">
        <f t="shared" si="173"/>
        <v>0</v>
      </c>
      <c r="BN194" s="10">
        <f t="shared" si="174"/>
        <v>0</v>
      </c>
      <c r="BO194" s="10">
        <f t="shared" si="175"/>
        <v>48</v>
      </c>
      <c r="BP194" s="10">
        <f t="shared" si="176"/>
        <v>48</v>
      </c>
      <c r="BQ194" s="10">
        <f t="shared" si="177"/>
        <v>47</v>
      </c>
      <c r="BR194" s="10">
        <f t="shared" si="178"/>
        <v>46</v>
      </c>
      <c r="BS194" s="10">
        <f t="shared" si="179"/>
        <v>45</v>
      </c>
      <c r="BT194" s="10">
        <f t="shared" si="180"/>
        <v>44</v>
      </c>
      <c r="BU194" s="10">
        <f t="shared" si="181"/>
        <v>43</v>
      </c>
      <c r="BV194" s="10">
        <f t="shared" si="182"/>
        <v>42</v>
      </c>
      <c r="BW194" s="10">
        <f t="shared" si="183"/>
        <v>41</v>
      </c>
      <c r="BX194" s="10">
        <f t="shared" si="184"/>
        <v>40</v>
      </c>
      <c r="BY194" s="10">
        <f t="shared" si="185"/>
        <v>39</v>
      </c>
      <c r="BZ194" s="10">
        <f t="shared" si="186"/>
        <v>38</v>
      </c>
      <c r="CA194" s="10">
        <f t="shared" si="187"/>
        <v>37</v>
      </c>
      <c r="CB194" s="10">
        <f t="shared" si="188"/>
        <v>36</v>
      </c>
      <c r="CC194" s="10">
        <f t="shared" si="189"/>
        <v>35</v>
      </c>
      <c r="CD194" s="10">
        <f t="shared" si="190"/>
        <v>34</v>
      </c>
      <c r="CE194" s="10">
        <f t="shared" si="191"/>
        <v>33</v>
      </c>
      <c r="CF194" s="10">
        <f t="shared" si="192"/>
        <v>32</v>
      </c>
      <c r="CG194" s="10">
        <f t="shared" si="193"/>
        <v>31</v>
      </c>
      <c r="CH194" s="10">
        <f t="shared" si="194"/>
        <v>30</v>
      </c>
      <c r="CI194" s="10">
        <f t="shared" si="195"/>
        <v>29</v>
      </c>
      <c r="CJ194" s="10">
        <f t="shared" si="196"/>
        <v>28</v>
      </c>
      <c r="CK194" s="10">
        <f t="shared" si="197"/>
        <v>27</v>
      </c>
      <c r="CL194" s="10">
        <f t="shared" si="198"/>
        <v>26</v>
      </c>
      <c r="CM194" s="10" t="str">
        <f>'役職希望調査 ・備考'!I164&amp;""</f>
        <v/>
      </c>
    </row>
    <row r="195" spans="1:91">
      <c r="A195" s="10" t="str">
        <f>時間希望調査!A165&amp;""</f>
        <v/>
      </c>
      <c r="B195" s="10" t="str">
        <f>時間希望調査!B165&amp;""</f>
        <v/>
      </c>
      <c r="C195" s="10" t="str">
        <f>時間希望調査!C165&amp;""</f>
        <v/>
      </c>
      <c r="D195" s="11"/>
      <c r="E195" s="11"/>
      <c r="F195" s="11"/>
      <c r="G195" s="11"/>
      <c r="H195" s="11"/>
      <c r="I195" s="11"/>
      <c r="J195" s="11"/>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c r="AL195" s="11"/>
      <c r="AM195" s="11"/>
      <c r="AN195" s="11"/>
      <c r="AO195" s="11"/>
      <c r="AP195" s="11"/>
      <c r="AQ195" s="11"/>
      <c r="AR195" s="11"/>
      <c r="AS195" s="11"/>
      <c r="AT195" s="11"/>
      <c r="AU195" s="11"/>
      <c r="AV195" s="11"/>
      <c r="AW195" s="11"/>
      <c r="AX195" s="11"/>
      <c r="AY195" s="11"/>
      <c r="AZ195" s="11"/>
      <c r="BA195" s="11"/>
      <c r="BB195" s="10">
        <f t="shared" si="168"/>
        <v>0</v>
      </c>
      <c r="BC195" s="10">
        <f>時間希望調査!D165</f>
        <v>0</v>
      </c>
      <c r="BD195" s="10" t="str">
        <f>'役職希望調査 ・備考'!D165&amp;""</f>
        <v/>
      </c>
      <c r="BE195" s="10" t="str">
        <f>'役職希望調査 ・備考'!E165&amp;""</f>
        <v/>
      </c>
      <c r="BF195" s="10" t="str">
        <f>'役職希望調査 ・備考'!F165&amp;""</f>
        <v/>
      </c>
      <c r="BG195" s="10" t="str">
        <f>'役職希望調査 ・備考'!G165&amp;""</f>
        <v/>
      </c>
      <c r="BH195" s="10" t="str">
        <f>'役職希望調査 ・備考'!H165&amp;""</f>
        <v/>
      </c>
      <c r="BI195" s="10">
        <f t="shared" si="169"/>
        <v>0</v>
      </c>
      <c r="BJ195" s="10">
        <f t="shared" si="170"/>
        <v>0</v>
      </c>
      <c r="BK195" s="10">
        <f t="shared" si="171"/>
        <v>0</v>
      </c>
      <c r="BL195" s="10">
        <f t="shared" si="172"/>
        <v>0</v>
      </c>
      <c r="BM195" s="10">
        <f t="shared" si="173"/>
        <v>0</v>
      </c>
      <c r="BN195" s="10">
        <f t="shared" si="174"/>
        <v>0</v>
      </c>
      <c r="BO195" s="10">
        <f t="shared" si="175"/>
        <v>48</v>
      </c>
      <c r="BP195" s="10">
        <f t="shared" si="176"/>
        <v>48</v>
      </c>
      <c r="BQ195" s="10">
        <f t="shared" si="177"/>
        <v>47</v>
      </c>
      <c r="BR195" s="10">
        <f t="shared" si="178"/>
        <v>46</v>
      </c>
      <c r="BS195" s="10">
        <f t="shared" si="179"/>
        <v>45</v>
      </c>
      <c r="BT195" s="10">
        <f t="shared" si="180"/>
        <v>44</v>
      </c>
      <c r="BU195" s="10">
        <f t="shared" si="181"/>
        <v>43</v>
      </c>
      <c r="BV195" s="10">
        <f t="shared" si="182"/>
        <v>42</v>
      </c>
      <c r="BW195" s="10">
        <f t="shared" si="183"/>
        <v>41</v>
      </c>
      <c r="BX195" s="10">
        <f t="shared" si="184"/>
        <v>40</v>
      </c>
      <c r="BY195" s="10">
        <f t="shared" si="185"/>
        <v>39</v>
      </c>
      <c r="BZ195" s="10">
        <f t="shared" si="186"/>
        <v>38</v>
      </c>
      <c r="CA195" s="10">
        <f t="shared" si="187"/>
        <v>37</v>
      </c>
      <c r="CB195" s="10">
        <f t="shared" si="188"/>
        <v>36</v>
      </c>
      <c r="CC195" s="10">
        <f t="shared" si="189"/>
        <v>35</v>
      </c>
      <c r="CD195" s="10">
        <f t="shared" si="190"/>
        <v>34</v>
      </c>
      <c r="CE195" s="10">
        <f t="shared" si="191"/>
        <v>33</v>
      </c>
      <c r="CF195" s="10">
        <f t="shared" si="192"/>
        <v>32</v>
      </c>
      <c r="CG195" s="10">
        <f t="shared" si="193"/>
        <v>31</v>
      </c>
      <c r="CH195" s="10">
        <f t="shared" si="194"/>
        <v>30</v>
      </c>
      <c r="CI195" s="10">
        <f t="shared" si="195"/>
        <v>29</v>
      </c>
      <c r="CJ195" s="10">
        <f t="shared" si="196"/>
        <v>28</v>
      </c>
      <c r="CK195" s="10">
        <f t="shared" si="197"/>
        <v>27</v>
      </c>
      <c r="CL195" s="10">
        <f t="shared" si="198"/>
        <v>26</v>
      </c>
      <c r="CM195" s="10" t="str">
        <f>'役職希望調査 ・備考'!I165&amp;""</f>
        <v/>
      </c>
    </row>
    <row r="196" spans="1:91">
      <c r="A196" s="10" t="str">
        <f>時間希望調査!A166&amp;""</f>
        <v/>
      </c>
      <c r="B196" s="10" t="str">
        <f>時間希望調査!B166&amp;""</f>
        <v/>
      </c>
      <c r="C196" s="10" t="str">
        <f>時間希望調査!C166&amp;""</f>
        <v/>
      </c>
      <c r="D196" s="11"/>
      <c r="E196" s="11"/>
      <c r="F196" s="11"/>
      <c r="G196" s="11"/>
      <c r="H196" s="11"/>
      <c r="I196" s="11"/>
      <c r="J196" s="11"/>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c r="AJ196" s="11"/>
      <c r="AK196" s="11"/>
      <c r="AL196" s="11"/>
      <c r="AM196" s="11"/>
      <c r="AN196" s="11"/>
      <c r="AO196" s="11"/>
      <c r="AP196" s="11"/>
      <c r="AQ196" s="11"/>
      <c r="AR196" s="11"/>
      <c r="AS196" s="11"/>
      <c r="AT196" s="11"/>
      <c r="AU196" s="11"/>
      <c r="AV196" s="11"/>
      <c r="AW196" s="11"/>
      <c r="AX196" s="11"/>
      <c r="AY196" s="11"/>
      <c r="AZ196" s="11"/>
      <c r="BA196" s="11"/>
      <c r="BB196" s="10">
        <f t="shared" si="168"/>
        <v>0</v>
      </c>
      <c r="BC196" s="10">
        <f>時間希望調査!D166</f>
        <v>0</v>
      </c>
      <c r="BD196" s="10" t="str">
        <f>'役職希望調査 ・備考'!D166&amp;""</f>
        <v/>
      </c>
      <c r="BE196" s="10" t="str">
        <f>'役職希望調査 ・備考'!E166&amp;""</f>
        <v/>
      </c>
      <c r="BF196" s="10" t="str">
        <f>'役職希望調査 ・備考'!F166&amp;""</f>
        <v/>
      </c>
      <c r="BG196" s="10" t="str">
        <f>'役職希望調査 ・備考'!G166&amp;""</f>
        <v/>
      </c>
      <c r="BH196" s="10" t="str">
        <f>'役職希望調査 ・備考'!H166&amp;""</f>
        <v/>
      </c>
      <c r="BI196" s="10">
        <f t="shared" si="169"/>
        <v>0</v>
      </c>
      <c r="BJ196" s="10">
        <f t="shared" si="170"/>
        <v>0</v>
      </c>
      <c r="BK196" s="10">
        <f t="shared" si="171"/>
        <v>0</v>
      </c>
      <c r="BL196" s="10">
        <f t="shared" si="172"/>
        <v>0</v>
      </c>
      <c r="BM196" s="10">
        <f t="shared" si="173"/>
        <v>0</v>
      </c>
      <c r="BN196" s="10">
        <f t="shared" si="174"/>
        <v>0</v>
      </c>
      <c r="BO196" s="10">
        <f t="shared" si="175"/>
        <v>48</v>
      </c>
      <c r="BP196" s="10">
        <f t="shared" si="176"/>
        <v>48</v>
      </c>
      <c r="BQ196" s="10">
        <f t="shared" si="177"/>
        <v>47</v>
      </c>
      <c r="BR196" s="10">
        <f t="shared" si="178"/>
        <v>46</v>
      </c>
      <c r="BS196" s="10">
        <f t="shared" si="179"/>
        <v>45</v>
      </c>
      <c r="BT196" s="10">
        <f t="shared" si="180"/>
        <v>44</v>
      </c>
      <c r="BU196" s="10">
        <f t="shared" si="181"/>
        <v>43</v>
      </c>
      <c r="BV196" s="10">
        <f t="shared" si="182"/>
        <v>42</v>
      </c>
      <c r="BW196" s="10">
        <f t="shared" si="183"/>
        <v>41</v>
      </c>
      <c r="BX196" s="10">
        <f t="shared" si="184"/>
        <v>40</v>
      </c>
      <c r="BY196" s="10">
        <f t="shared" si="185"/>
        <v>39</v>
      </c>
      <c r="BZ196" s="10">
        <f t="shared" si="186"/>
        <v>38</v>
      </c>
      <c r="CA196" s="10">
        <f t="shared" si="187"/>
        <v>37</v>
      </c>
      <c r="CB196" s="10">
        <f t="shared" si="188"/>
        <v>36</v>
      </c>
      <c r="CC196" s="10">
        <f t="shared" si="189"/>
        <v>35</v>
      </c>
      <c r="CD196" s="10">
        <f t="shared" si="190"/>
        <v>34</v>
      </c>
      <c r="CE196" s="10">
        <f t="shared" si="191"/>
        <v>33</v>
      </c>
      <c r="CF196" s="10">
        <f t="shared" si="192"/>
        <v>32</v>
      </c>
      <c r="CG196" s="10">
        <f t="shared" si="193"/>
        <v>31</v>
      </c>
      <c r="CH196" s="10">
        <f t="shared" si="194"/>
        <v>30</v>
      </c>
      <c r="CI196" s="10">
        <f t="shared" si="195"/>
        <v>29</v>
      </c>
      <c r="CJ196" s="10">
        <f t="shared" si="196"/>
        <v>28</v>
      </c>
      <c r="CK196" s="10">
        <f t="shared" si="197"/>
        <v>27</v>
      </c>
      <c r="CL196" s="10">
        <f t="shared" si="198"/>
        <v>26</v>
      </c>
      <c r="CM196" s="10" t="str">
        <f>'役職希望調査 ・備考'!I166&amp;""</f>
        <v/>
      </c>
    </row>
    <row r="197" spans="1:91">
      <c r="A197" s="10" t="str">
        <f>時間希望調査!A167&amp;""</f>
        <v/>
      </c>
      <c r="B197" s="10" t="str">
        <f>時間希望調査!B167&amp;""</f>
        <v/>
      </c>
      <c r="C197" s="10" t="str">
        <f>時間希望調査!C167&amp;""</f>
        <v/>
      </c>
      <c r="D197" s="11"/>
      <c r="E197" s="11"/>
      <c r="F197" s="11"/>
      <c r="G197" s="11"/>
      <c r="H197" s="11"/>
      <c r="I197" s="11"/>
      <c r="J197" s="11"/>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c r="AJ197" s="11"/>
      <c r="AK197" s="11"/>
      <c r="AL197" s="11"/>
      <c r="AM197" s="11"/>
      <c r="AN197" s="11"/>
      <c r="AO197" s="11"/>
      <c r="AP197" s="11"/>
      <c r="AQ197" s="11"/>
      <c r="AR197" s="11"/>
      <c r="AS197" s="11"/>
      <c r="AT197" s="11"/>
      <c r="AU197" s="11"/>
      <c r="AV197" s="11"/>
      <c r="AW197" s="11"/>
      <c r="AX197" s="11"/>
      <c r="AY197" s="11"/>
      <c r="AZ197" s="11"/>
      <c r="BA197" s="11"/>
      <c r="BB197" s="10">
        <f t="shared" si="168"/>
        <v>0</v>
      </c>
      <c r="BC197" s="10">
        <f>時間希望調査!D167</f>
        <v>0</v>
      </c>
      <c r="BD197" s="10" t="str">
        <f>'役職希望調査 ・備考'!D167&amp;""</f>
        <v/>
      </c>
      <c r="BE197" s="10" t="str">
        <f>'役職希望調査 ・備考'!E167&amp;""</f>
        <v/>
      </c>
      <c r="BF197" s="10" t="str">
        <f>'役職希望調査 ・備考'!F167&amp;""</f>
        <v/>
      </c>
      <c r="BG197" s="10" t="str">
        <f>'役職希望調査 ・備考'!G167&amp;""</f>
        <v/>
      </c>
      <c r="BH197" s="10" t="str">
        <f>'役職希望調査 ・備考'!H167&amp;""</f>
        <v/>
      </c>
      <c r="BI197" s="10">
        <f t="shared" si="169"/>
        <v>0</v>
      </c>
      <c r="BJ197" s="10">
        <f t="shared" si="170"/>
        <v>0</v>
      </c>
      <c r="BK197" s="10">
        <f t="shared" si="171"/>
        <v>0</v>
      </c>
      <c r="BL197" s="10">
        <f t="shared" si="172"/>
        <v>0</v>
      </c>
      <c r="BM197" s="10">
        <f t="shared" si="173"/>
        <v>0</v>
      </c>
      <c r="BN197" s="10">
        <f t="shared" si="174"/>
        <v>0</v>
      </c>
      <c r="BO197" s="10">
        <f t="shared" si="175"/>
        <v>48</v>
      </c>
      <c r="BP197" s="10">
        <f t="shared" si="176"/>
        <v>48</v>
      </c>
      <c r="BQ197" s="10">
        <f t="shared" si="177"/>
        <v>47</v>
      </c>
      <c r="BR197" s="10">
        <f t="shared" si="178"/>
        <v>46</v>
      </c>
      <c r="BS197" s="10">
        <f t="shared" si="179"/>
        <v>45</v>
      </c>
      <c r="BT197" s="10">
        <f t="shared" si="180"/>
        <v>44</v>
      </c>
      <c r="BU197" s="10">
        <f t="shared" si="181"/>
        <v>43</v>
      </c>
      <c r="BV197" s="10">
        <f t="shared" si="182"/>
        <v>42</v>
      </c>
      <c r="BW197" s="10">
        <f t="shared" si="183"/>
        <v>41</v>
      </c>
      <c r="BX197" s="10">
        <f t="shared" si="184"/>
        <v>40</v>
      </c>
      <c r="BY197" s="10">
        <f t="shared" si="185"/>
        <v>39</v>
      </c>
      <c r="BZ197" s="10">
        <f t="shared" si="186"/>
        <v>38</v>
      </c>
      <c r="CA197" s="10">
        <f t="shared" si="187"/>
        <v>37</v>
      </c>
      <c r="CB197" s="10">
        <f t="shared" si="188"/>
        <v>36</v>
      </c>
      <c r="CC197" s="10">
        <f t="shared" si="189"/>
        <v>35</v>
      </c>
      <c r="CD197" s="10">
        <f t="shared" si="190"/>
        <v>34</v>
      </c>
      <c r="CE197" s="10">
        <f t="shared" si="191"/>
        <v>33</v>
      </c>
      <c r="CF197" s="10">
        <f t="shared" si="192"/>
        <v>32</v>
      </c>
      <c r="CG197" s="10">
        <f t="shared" si="193"/>
        <v>31</v>
      </c>
      <c r="CH197" s="10">
        <f t="shared" si="194"/>
        <v>30</v>
      </c>
      <c r="CI197" s="10">
        <f t="shared" si="195"/>
        <v>29</v>
      </c>
      <c r="CJ197" s="10">
        <f t="shared" si="196"/>
        <v>28</v>
      </c>
      <c r="CK197" s="10">
        <f t="shared" si="197"/>
        <v>27</v>
      </c>
      <c r="CL197" s="10">
        <f t="shared" si="198"/>
        <v>26</v>
      </c>
      <c r="CM197" s="10" t="str">
        <f>'役職希望調査 ・備考'!I167&amp;""</f>
        <v/>
      </c>
    </row>
    <row r="198" spans="1:91">
      <c r="A198" s="10" t="str">
        <f>時間希望調査!A168&amp;""</f>
        <v/>
      </c>
      <c r="B198" s="10" t="str">
        <f>時間希望調査!B168&amp;""</f>
        <v/>
      </c>
      <c r="C198" s="10" t="str">
        <f>時間希望調査!C168&amp;""</f>
        <v/>
      </c>
      <c r="D198" s="11"/>
      <c r="E198" s="11"/>
      <c r="F198" s="11"/>
      <c r="G198" s="11"/>
      <c r="H198" s="11"/>
      <c r="I198" s="11"/>
      <c r="J198" s="11"/>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c r="AJ198" s="11"/>
      <c r="AK198" s="11"/>
      <c r="AL198" s="11"/>
      <c r="AM198" s="11"/>
      <c r="AN198" s="11"/>
      <c r="AO198" s="11"/>
      <c r="AP198" s="11"/>
      <c r="AQ198" s="11"/>
      <c r="AR198" s="11"/>
      <c r="AS198" s="11"/>
      <c r="AT198" s="11"/>
      <c r="AU198" s="11"/>
      <c r="AV198" s="11"/>
      <c r="AW198" s="11"/>
      <c r="AX198" s="11"/>
      <c r="AY198" s="11"/>
      <c r="AZ198" s="11"/>
      <c r="BA198" s="11"/>
      <c r="BB198" s="10">
        <f t="shared" si="168"/>
        <v>0</v>
      </c>
      <c r="BC198" s="10">
        <f>時間希望調査!D168</f>
        <v>0</v>
      </c>
      <c r="BD198" s="10" t="str">
        <f>'役職希望調査 ・備考'!D168&amp;""</f>
        <v/>
      </c>
      <c r="BE198" s="10" t="str">
        <f>'役職希望調査 ・備考'!E168&amp;""</f>
        <v/>
      </c>
      <c r="BF198" s="10" t="str">
        <f>'役職希望調査 ・備考'!F168&amp;""</f>
        <v/>
      </c>
      <c r="BG198" s="10" t="str">
        <f>'役職希望調査 ・備考'!G168&amp;""</f>
        <v/>
      </c>
      <c r="BH198" s="10" t="str">
        <f>'役職希望調査 ・備考'!H168&amp;""</f>
        <v/>
      </c>
      <c r="BI198" s="10">
        <f t="shared" si="169"/>
        <v>0</v>
      </c>
      <c r="BJ198" s="10">
        <f t="shared" si="170"/>
        <v>0</v>
      </c>
      <c r="BK198" s="10">
        <f t="shared" si="171"/>
        <v>0</v>
      </c>
      <c r="BL198" s="10">
        <f t="shared" si="172"/>
        <v>0</v>
      </c>
      <c r="BM198" s="10">
        <f t="shared" si="173"/>
        <v>0</v>
      </c>
      <c r="BN198" s="10">
        <f t="shared" si="174"/>
        <v>0</v>
      </c>
      <c r="BO198" s="10">
        <f t="shared" si="175"/>
        <v>48</v>
      </c>
      <c r="BP198" s="10">
        <f t="shared" si="176"/>
        <v>48</v>
      </c>
      <c r="BQ198" s="10">
        <f t="shared" si="177"/>
        <v>47</v>
      </c>
      <c r="BR198" s="10">
        <f t="shared" si="178"/>
        <v>46</v>
      </c>
      <c r="BS198" s="10">
        <f t="shared" si="179"/>
        <v>45</v>
      </c>
      <c r="BT198" s="10">
        <f t="shared" si="180"/>
        <v>44</v>
      </c>
      <c r="BU198" s="10">
        <f t="shared" si="181"/>
        <v>43</v>
      </c>
      <c r="BV198" s="10">
        <f t="shared" si="182"/>
        <v>42</v>
      </c>
      <c r="BW198" s="10">
        <f t="shared" si="183"/>
        <v>41</v>
      </c>
      <c r="BX198" s="10">
        <f t="shared" si="184"/>
        <v>40</v>
      </c>
      <c r="BY198" s="10">
        <f t="shared" si="185"/>
        <v>39</v>
      </c>
      <c r="BZ198" s="10">
        <f t="shared" si="186"/>
        <v>38</v>
      </c>
      <c r="CA198" s="10">
        <f t="shared" si="187"/>
        <v>37</v>
      </c>
      <c r="CB198" s="10">
        <f t="shared" si="188"/>
        <v>36</v>
      </c>
      <c r="CC198" s="10">
        <f t="shared" si="189"/>
        <v>35</v>
      </c>
      <c r="CD198" s="10">
        <f t="shared" si="190"/>
        <v>34</v>
      </c>
      <c r="CE198" s="10">
        <f t="shared" si="191"/>
        <v>33</v>
      </c>
      <c r="CF198" s="10">
        <f t="shared" si="192"/>
        <v>32</v>
      </c>
      <c r="CG198" s="10">
        <f t="shared" si="193"/>
        <v>31</v>
      </c>
      <c r="CH198" s="10">
        <f t="shared" si="194"/>
        <v>30</v>
      </c>
      <c r="CI198" s="10">
        <f t="shared" si="195"/>
        <v>29</v>
      </c>
      <c r="CJ198" s="10">
        <f t="shared" si="196"/>
        <v>28</v>
      </c>
      <c r="CK198" s="10">
        <f t="shared" si="197"/>
        <v>27</v>
      </c>
      <c r="CL198" s="10">
        <f t="shared" si="198"/>
        <v>26</v>
      </c>
      <c r="CM198" s="10" t="str">
        <f>'役職希望調査 ・備考'!I168&amp;""</f>
        <v/>
      </c>
    </row>
    <row r="199" spans="1:91">
      <c r="A199" s="10" t="str">
        <f>時間希望調査!A169&amp;""</f>
        <v/>
      </c>
      <c r="B199" s="10" t="str">
        <f>時間希望調査!B169&amp;""</f>
        <v/>
      </c>
      <c r="C199" s="10" t="str">
        <f>時間希望調査!C169&amp;""</f>
        <v/>
      </c>
      <c r="D199" s="11"/>
      <c r="E199" s="11"/>
      <c r="F199" s="11"/>
      <c r="G199" s="11"/>
      <c r="H199" s="11"/>
      <c r="I199" s="11"/>
      <c r="J199" s="11"/>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c r="AJ199" s="11"/>
      <c r="AK199" s="11"/>
      <c r="AL199" s="11"/>
      <c r="AM199" s="11"/>
      <c r="AN199" s="11"/>
      <c r="AO199" s="11"/>
      <c r="AP199" s="11"/>
      <c r="AQ199" s="11"/>
      <c r="AR199" s="11"/>
      <c r="AS199" s="11"/>
      <c r="AT199" s="11"/>
      <c r="AU199" s="11"/>
      <c r="AV199" s="11"/>
      <c r="AW199" s="11"/>
      <c r="AX199" s="11"/>
      <c r="AY199" s="11"/>
      <c r="AZ199" s="11"/>
      <c r="BA199" s="11"/>
      <c r="BB199" s="10">
        <f t="shared" si="168"/>
        <v>0</v>
      </c>
      <c r="BC199" s="10">
        <f>時間希望調査!D169</f>
        <v>0</v>
      </c>
      <c r="BD199" s="10" t="str">
        <f>'役職希望調査 ・備考'!D169&amp;""</f>
        <v/>
      </c>
      <c r="BE199" s="10" t="str">
        <f>'役職希望調査 ・備考'!E169&amp;""</f>
        <v/>
      </c>
      <c r="BF199" s="10" t="str">
        <f>'役職希望調査 ・備考'!F169&amp;""</f>
        <v/>
      </c>
      <c r="BG199" s="10" t="str">
        <f>'役職希望調査 ・備考'!G169&amp;""</f>
        <v/>
      </c>
      <c r="BH199" s="10" t="str">
        <f>'役職希望調査 ・備考'!H169&amp;""</f>
        <v/>
      </c>
      <c r="BI199" s="10">
        <f t="shared" si="169"/>
        <v>0</v>
      </c>
      <c r="BJ199" s="10">
        <f t="shared" si="170"/>
        <v>0</v>
      </c>
      <c r="BK199" s="10">
        <f t="shared" si="171"/>
        <v>0</v>
      </c>
      <c r="BL199" s="10">
        <f t="shared" si="172"/>
        <v>0</v>
      </c>
      <c r="BM199" s="10">
        <f t="shared" si="173"/>
        <v>0</v>
      </c>
      <c r="BN199" s="10">
        <f t="shared" si="174"/>
        <v>0</v>
      </c>
      <c r="BO199" s="10">
        <f t="shared" si="175"/>
        <v>48</v>
      </c>
      <c r="BP199" s="10">
        <f t="shared" si="176"/>
        <v>48</v>
      </c>
      <c r="BQ199" s="10">
        <f t="shared" si="177"/>
        <v>47</v>
      </c>
      <c r="BR199" s="10">
        <f t="shared" si="178"/>
        <v>46</v>
      </c>
      <c r="BS199" s="10">
        <f t="shared" si="179"/>
        <v>45</v>
      </c>
      <c r="BT199" s="10">
        <f t="shared" si="180"/>
        <v>44</v>
      </c>
      <c r="BU199" s="10">
        <f t="shared" si="181"/>
        <v>43</v>
      </c>
      <c r="BV199" s="10">
        <f t="shared" si="182"/>
        <v>42</v>
      </c>
      <c r="BW199" s="10">
        <f t="shared" si="183"/>
        <v>41</v>
      </c>
      <c r="BX199" s="10">
        <f t="shared" si="184"/>
        <v>40</v>
      </c>
      <c r="BY199" s="10">
        <f t="shared" si="185"/>
        <v>39</v>
      </c>
      <c r="BZ199" s="10">
        <f t="shared" si="186"/>
        <v>38</v>
      </c>
      <c r="CA199" s="10">
        <f t="shared" si="187"/>
        <v>37</v>
      </c>
      <c r="CB199" s="10">
        <f t="shared" si="188"/>
        <v>36</v>
      </c>
      <c r="CC199" s="10">
        <f t="shared" si="189"/>
        <v>35</v>
      </c>
      <c r="CD199" s="10">
        <f t="shared" si="190"/>
        <v>34</v>
      </c>
      <c r="CE199" s="10">
        <f t="shared" si="191"/>
        <v>33</v>
      </c>
      <c r="CF199" s="10">
        <f t="shared" si="192"/>
        <v>32</v>
      </c>
      <c r="CG199" s="10">
        <f t="shared" si="193"/>
        <v>31</v>
      </c>
      <c r="CH199" s="10">
        <f t="shared" si="194"/>
        <v>30</v>
      </c>
      <c r="CI199" s="10">
        <f t="shared" si="195"/>
        <v>29</v>
      </c>
      <c r="CJ199" s="10">
        <f t="shared" si="196"/>
        <v>28</v>
      </c>
      <c r="CK199" s="10">
        <f t="shared" si="197"/>
        <v>27</v>
      </c>
      <c r="CL199" s="10">
        <f t="shared" si="198"/>
        <v>26</v>
      </c>
      <c r="CM199" s="10" t="str">
        <f>'役職希望調査 ・備考'!I169&amp;""</f>
        <v/>
      </c>
    </row>
    <row r="200" spans="1:91">
      <c r="D200" s="12"/>
      <c r="E200" s="12"/>
      <c r="F200" s="12"/>
      <c r="G200" s="12"/>
      <c r="H200" s="12"/>
      <c r="I200" s="12"/>
      <c r="J200" s="12"/>
      <c r="K200" s="12"/>
      <c r="L200" s="12"/>
      <c r="M200" s="12"/>
      <c r="N200" s="12"/>
      <c r="O200" s="12"/>
      <c r="P200" s="12"/>
      <c r="Q200" s="12"/>
      <c r="R200" s="12"/>
      <c r="S200" s="12"/>
      <c r="T200" s="12"/>
      <c r="U200" s="12"/>
      <c r="V200" s="12"/>
      <c r="W200" s="12"/>
      <c r="X200" s="12"/>
      <c r="Y200" s="12"/>
      <c r="Z200" s="12"/>
      <c r="AA200" s="12"/>
      <c r="AB200" s="12"/>
      <c r="AC200" s="12"/>
      <c r="AD200" s="12"/>
      <c r="AE200" s="12"/>
      <c r="AF200" s="12"/>
      <c r="AG200" s="12"/>
      <c r="AH200" s="12"/>
      <c r="AI200" s="12"/>
      <c r="AJ200" s="12"/>
      <c r="AK200" s="12"/>
      <c r="AL200" s="12"/>
      <c r="AM200" s="12"/>
      <c r="AN200" s="12"/>
      <c r="AO200" s="12"/>
      <c r="AP200" s="12"/>
      <c r="AQ200" s="12"/>
      <c r="AR200" s="12"/>
      <c r="AS200" s="12"/>
      <c r="AT200" s="12"/>
      <c r="AU200" s="12"/>
      <c r="AV200" s="12"/>
      <c r="AW200" s="12"/>
      <c r="AX200" s="12"/>
      <c r="AY200" s="12"/>
      <c r="AZ200" s="12"/>
      <c r="BA200" s="12"/>
    </row>
    <row r="201" spans="1:91">
      <c r="D201" s="12"/>
      <c r="E201" s="12"/>
      <c r="F201" s="12"/>
      <c r="G201" s="12"/>
      <c r="H201" s="12"/>
      <c r="I201" s="12"/>
      <c r="J201" s="12"/>
      <c r="K201" s="12"/>
      <c r="L201" s="12"/>
      <c r="M201" s="12"/>
      <c r="N201" s="12"/>
      <c r="O201" s="12"/>
      <c r="P201" s="12"/>
      <c r="Q201" s="12"/>
      <c r="R201" s="12"/>
      <c r="S201" s="12"/>
      <c r="T201" s="12"/>
      <c r="U201" s="12"/>
      <c r="V201" s="12"/>
      <c r="W201" s="12"/>
      <c r="X201" s="12"/>
      <c r="Y201" s="12"/>
      <c r="Z201" s="12"/>
      <c r="AA201" s="12"/>
      <c r="AB201" s="12"/>
      <c r="AC201" s="12"/>
      <c r="AD201" s="12"/>
      <c r="AE201" s="12"/>
      <c r="AF201" s="12"/>
      <c r="AG201" s="12"/>
      <c r="AH201" s="12"/>
      <c r="AI201" s="12"/>
      <c r="AJ201" s="12"/>
      <c r="AK201" s="12"/>
      <c r="AL201" s="12"/>
      <c r="AM201" s="12"/>
      <c r="AN201" s="12"/>
      <c r="AO201" s="12"/>
      <c r="AP201" s="12"/>
      <c r="AQ201" s="12"/>
      <c r="AR201" s="12"/>
      <c r="AS201" s="12"/>
      <c r="AT201" s="12"/>
      <c r="AU201" s="12"/>
      <c r="AV201" s="12"/>
      <c r="AW201" s="12"/>
      <c r="AX201" s="12"/>
      <c r="AY201" s="12"/>
      <c r="AZ201" s="12"/>
      <c r="BA201" s="12"/>
    </row>
    <row r="202" spans="1:91">
      <c r="D202" s="12"/>
      <c r="E202" s="12"/>
      <c r="F202" s="12"/>
      <c r="G202" s="12"/>
      <c r="H202" s="12"/>
      <c r="I202" s="12"/>
      <c r="J202" s="12"/>
      <c r="K202" s="12"/>
      <c r="L202" s="12"/>
      <c r="M202" s="12"/>
      <c r="N202" s="12"/>
      <c r="O202" s="12"/>
      <c r="P202" s="12"/>
      <c r="Q202" s="12"/>
      <c r="R202" s="12"/>
      <c r="S202" s="12"/>
      <c r="T202" s="12"/>
      <c r="U202" s="12"/>
      <c r="V202" s="12"/>
      <c r="W202" s="12"/>
      <c r="X202" s="12"/>
      <c r="Y202" s="12"/>
      <c r="Z202" s="12"/>
      <c r="AA202" s="12"/>
      <c r="AB202" s="12"/>
      <c r="AC202" s="12"/>
      <c r="AD202" s="12"/>
      <c r="AE202" s="12"/>
      <c r="AF202" s="12"/>
      <c r="AG202" s="12"/>
      <c r="AH202" s="12"/>
      <c r="AI202" s="12"/>
      <c r="AJ202" s="12"/>
      <c r="AK202" s="12"/>
      <c r="AL202" s="12"/>
      <c r="AM202" s="12"/>
      <c r="AN202" s="12"/>
      <c r="AO202" s="12"/>
      <c r="AP202" s="12"/>
      <c r="AQ202" s="12"/>
      <c r="AR202" s="12"/>
      <c r="AS202" s="12"/>
      <c r="AT202" s="12"/>
      <c r="AU202" s="12"/>
      <c r="AV202" s="12"/>
      <c r="AW202" s="12"/>
      <c r="AX202" s="12"/>
      <c r="AY202" s="12"/>
      <c r="AZ202" s="12"/>
      <c r="BA202" s="12"/>
    </row>
    <row r="203" spans="1:91">
      <c r="D203" s="12"/>
      <c r="E203" s="12"/>
      <c r="F203" s="12"/>
      <c r="G203" s="12"/>
      <c r="H203" s="12"/>
      <c r="I203" s="12"/>
      <c r="J203" s="12"/>
      <c r="K203" s="12"/>
      <c r="L203" s="12"/>
      <c r="M203" s="12"/>
      <c r="N203" s="12"/>
      <c r="O203" s="12"/>
      <c r="P203" s="12"/>
      <c r="Q203" s="12"/>
      <c r="R203" s="12"/>
      <c r="S203" s="12"/>
      <c r="T203" s="12"/>
      <c r="U203" s="12"/>
      <c r="V203" s="12"/>
      <c r="W203" s="12"/>
      <c r="X203" s="12"/>
      <c r="Y203" s="12"/>
      <c r="Z203" s="12"/>
      <c r="AA203" s="12"/>
      <c r="AB203" s="12"/>
      <c r="AC203" s="12"/>
      <c r="AD203" s="12"/>
      <c r="AE203" s="12"/>
      <c r="AF203" s="12"/>
      <c r="AG203" s="12"/>
      <c r="AH203" s="12"/>
      <c r="AI203" s="12"/>
      <c r="AJ203" s="12"/>
      <c r="AK203" s="12"/>
      <c r="AL203" s="12"/>
      <c r="AM203" s="12"/>
      <c r="AN203" s="12"/>
      <c r="AO203" s="12"/>
      <c r="AP203" s="12"/>
      <c r="AQ203" s="12"/>
      <c r="AR203" s="12"/>
      <c r="AS203" s="12"/>
      <c r="AT203" s="12"/>
      <c r="AU203" s="12"/>
      <c r="AV203" s="12"/>
      <c r="AW203" s="12"/>
      <c r="AX203" s="12"/>
      <c r="AY203" s="12"/>
      <c r="AZ203" s="12"/>
      <c r="BA203" s="12"/>
    </row>
    <row r="204" spans="1:91">
      <c r="D204" s="12"/>
      <c r="E204" s="12"/>
      <c r="F204" s="12"/>
      <c r="G204" s="12"/>
      <c r="H204" s="12"/>
      <c r="I204" s="12"/>
      <c r="J204" s="12"/>
      <c r="K204" s="12"/>
      <c r="L204" s="12"/>
      <c r="M204" s="12"/>
      <c r="N204" s="12"/>
      <c r="O204" s="12"/>
      <c r="P204" s="12"/>
      <c r="Q204" s="12"/>
      <c r="R204" s="12"/>
      <c r="S204" s="12"/>
      <c r="T204" s="12"/>
      <c r="U204" s="12"/>
      <c r="V204" s="12"/>
      <c r="W204" s="12"/>
      <c r="X204" s="12"/>
      <c r="Y204" s="12"/>
      <c r="Z204" s="12"/>
      <c r="AA204" s="12"/>
      <c r="AB204" s="12"/>
      <c r="AC204" s="12"/>
      <c r="AD204" s="12"/>
      <c r="AE204" s="12"/>
      <c r="AF204" s="12"/>
      <c r="AG204" s="12"/>
      <c r="AH204" s="12"/>
      <c r="AI204" s="12"/>
      <c r="AJ204" s="12"/>
      <c r="AK204" s="12"/>
      <c r="AL204" s="12"/>
      <c r="AM204" s="12"/>
      <c r="AN204" s="12"/>
      <c r="AO204" s="12"/>
      <c r="AP204" s="12"/>
      <c r="AQ204" s="12"/>
      <c r="AR204" s="12"/>
      <c r="AS204" s="12"/>
      <c r="AT204" s="12"/>
      <c r="AU204" s="12"/>
      <c r="AV204" s="12"/>
      <c r="AW204" s="12"/>
      <c r="AX204" s="12"/>
      <c r="AY204" s="12"/>
      <c r="AZ204" s="12"/>
      <c r="BA204" s="12"/>
    </row>
    <row r="205" spans="1:91">
      <c r="D205" s="12"/>
      <c r="E205" s="12"/>
      <c r="F205" s="12"/>
      <c r="G205" s="12"/>
      <c r="H205" s="12"/>
      <c r="I205" s="12"/>
      <c r="J205" s="12"/>
      <c r="K205" s="12"/>
      <c r="L205" s="12"/>
      <c r="M205" s="12"/>
      <c r="N205" s="12"/>
      <c r="O205" s="12"/>
      <c r="P205" s="12"/>
      <c r="Q205" s="12"/>
      <c r="R205" s="12"/>
      <c r="S205" s="12"/>
      <c r="T205" s="12"/>
      <c r="U205" s="12"/>
      <c r="V205" s="12"/>
      <c r="W205" s="12"/>
      <c r="X205" s="12"/>
      <c r="Y205" s="12"/>
      <c r="Z205" s="12"/>
      <c r="AA205" s="12"/>
      <c r="AB205" s="12"/>
      <c r="AC205" s="12"/>
      <c r="AD205" s="12"/>
      <c r="AE205" s="12"/>
      <c r="AF205" s="12"/>
      <c r="AG205" s="12"/>
      <c r="AH205" s="12"/>
      <c r="AI205" s="12"/>
      <c r="AJ205" s="12"/>
      <c r="AK205" s="12"/>
      <c r="AL205" s="12"/>
      <c r="AM205" s="12"/>
      <c r="AN205" s="12"/>
      <c r="AO205" s="12"/>
      <c r="AP205" s="12"/>
      <c r="AQ205" s="12"/>
      <c r="AR205" s="12"/>
      <c r="AS205" s="12"/>
      <c r="AT205" s="12"/>
      <c r="AU205" s="12"/>
      <c r="AV205" s="12"/>
      <c r="AW205" s="12"/>
      <c r="AX205" s="12"/>
      <c r="AY205" s="12"/>
      <c r="AZ205" s="12"/>
      <c r="BA205" s="12"/>
    </row>
    <row r="206" spans="1:91">
      <c r="D206" s="12"/>
      <c r="E206" s="12"/>
      <c r="F206" s="12"/>
      <c r="G206" s="12"/>
      <c r="H206" s="12"/>
      <c r="I206" s="12"/>
      <c r="J206" s="12"/>
      <c r="K206" s="12"/>
      <c r="L206" s="12"/>
      <c r="M206" s="12"/>
      <c r="N206" s="12"/>
      <c r="O206" s="12"/>
      <c r="P206" s="12"/>
      <c r="Q206" s="12"/>
      <c r="R206" s="12"/>
      <c r="S206" s="12"/>
      <c r="T206" s="12"/>
      <c r="U206" s="12"/>
      <c r="V206" s="12"/>
      <c r="W206" s="12"/>
      <c r="X206" s="12"/>
      <c r="Y206" s="12"/>
      <c r="Z206" s="12"/>
      <c r="AA206" s="12"/>
      <c r="AB206" s="12"/>
      <c r="AC206" s="12"/>
      <c r="AD206" s="12"/>
      <c r="AE206" s="12"/>
      <c r="AF206" s="12"/>
      <c r="AG206" s="12"/>
      <c r="AH206" s="12"/>
      <c r="AI206" s="12"/>
      <c r="AJ206" s="12"/>
      <c r="AK206" s="12"/>
      <c r="AL206" s="12"/>
      <c r="AM206" s="12"/>
      <c r="AN206" s="12"/>
      <c r="AO206" s="12"/>
      <c r="AP206" s="12"/>
      <c r="AQ206" s="12"/>
      <c r="AR206" s="12"/>
      <c r="AS206" s="12"/>
      <c r="AT206" s="12"/>
      <c r="AU206" s="12"/>
      <c r="AV206" s="12"/>
      <c r="AW206" s="12"/>
      <c r="AX206" s="12"/>
      <c r="AY206" s="12"/>
      <c r="AZ206" s="12"/>
      <c r="BA206" s="12"/>
    </row>
    <row r="207" spans="1:91">
      <c r="D207" s="12"/>
      <c r="E207" s="12"/>
      <c r="F207" s="12"/>
      <c r="G207" s="12"/>
      <c r="H207" s="12"/>
      <c r="I207" s="12"/>
      <c r="J207" s="12"/>
      <c r="K207" s="12"/>
      <c r="L207" s="12"/>
      <c r="M207" s="12"/>
      <c r="N207" s="12"/>
      <c r="O207" s="12"/>
      <c r="P207" s="12"/>
      <c r="Q207" s="12"/>
      <c r="R207" s="12"/>
      <c r="S207" s="12"/>
      <c r="T207" s="12"/>
      <c r="U207" s="12"/>
      <c r="V207" s="12"/>
      <c r="W207" s="12"/>
      <c r="X207" s="12"/>
      <c r="Y207" s="12"/>
      <c r="Z207" s="12"/>
      <c r="AA207" s="12"/>
      <c r="AB207" s="12"/>
      <c r="AC207" s="12"/>
      <c r="AD207" s="12"/>
      <c r="AE207" s="12"/>
      <c r="AF207" s="12"/>
      <c r="AG207" s="12"/>
      <c r="AH207" s="12"/>
      <c r="AI207" s="12"/>
      <c r="AJ207" s="12"/>
      <c r="AK207" s="12"/>
      <c r="AL207" s="12"/>
      <c r="AM207" s="12"/>
      <c r="AN207" s="12"/>
      <c r="AO207" s="12"/>
      <c r="AP207" s="12"/>
      <c r="AQ207" s="12"/>
      <c r="AR207" s="12"/>
      <c r="AS207" s="12"/>
      <c r="AT207" s="12"/>
      <c r="AU207" s="12"/>
      <c r="AV207" s="12"/>
      <c r="AW207" s="12"/>
      <c r="AX207" s="12"/>
      <c r="AY207" s="12"/>
      <c r="AZ207" s="12"/>
      <c r="BA207" s="12"/>
    </row>
    <row r="208" spans="1:91">
      <c r="D208" s="12"/>
      <c r="E208" s="12"/>
      <c r="F208" s="12"/>
      <c r="G208" s="12"/>
      <c r="H208" s="12"/>
      <c r="I208" s="12"/>
      <c r="J208" s="12"/>
      <c r="K208" s="12"/>
      <c r="L208" s="12"/>
      <c r="M208" s="12"/>
      <c r="N208" s="12"/>
      <c r="O208" s="12"/>
      <c r="P208" s="12"/>
      <c r="Q208" s="12"/>
      <c r="R208" s="12"/>
      <c r="S208" s="12"/>
      <c r="T208" s="12"/>
      <c r="U208" s="12"/>
      <c r="V208" s="12"/>
      <c r="W208" s="12"/>
      <c r="X208" s="12"/>
      <c r="Y208" s="12"/>
      <c r="Z208" s="12"/>
      <c r="AA208" s="12"/>
      <c r="AB208" s="12"/>
      <c r="AC208" s="12"/>
      <c r="AD208" s="12"/>
      <c r="AE208" s="12"/>
      <c r="AF208" s="12"/>
      <c r="AG208" s="12"/>
      <c r="AH208" s="12"/>
      <c r="AI208" s="12"/>
      <c r="AJ208" s="12"/>
      <c r="AK208" s="12"/>
      <c r="AL208" s="12"/>
      <c r="AM208" s="12"/>
      <c r="AN208" s="12"/>
      <c r="AO208" s="12"/>
      <c r="AP208" s="12"/>
      <c r="AQ208" s="12"/>
      <c r="AR208" s="12"/>
      <c r="AS208" s="12"/>
      <c r="AT208" s="12"/>
      <c r="AU208" s="12"/>
      <c r="AV208" s="12"/>
      <c r="AW208" s="12"/>
      <c r="AX208" s="12"/>
      <c r="AY208" s="12"/>
      <c r="AZ208" s="12"/>
      <c r="BA208" s="12"/>
    </row>
    <row r="209" spans="4:53">
      <c r="D209" s="12"/>
      <c r="E209" s="12"/>
      <c r="F209" s="12"/>
      <c r="G209" s="12"/>
      <c r="H209" s="12"/>
      <c r="I209" s="12"/>
      <c r="J209" s="12"/>
      <c r="K209" s="12"/>
      <c r="L209" s="12"/>
      <c r="M209" s="12"/>
      <c r="N209" s="12"/>
      <c r="O209" s="12"/>
      <c r="P209" s="12"/>
      <c r="Q209" s="12"/>
      <c r="R209" s="12"/>
      <c r="S209" s="12"/>
      <c r="T209" s="12"/>
      <c r="U209" s="12"/>
      <c r="V209" s="12"/>
      <c r="W209" s="12"/>
      <c r="X209" s="12"/>
      <c r="Y209" s="12"/>
      <c r="Z209" s="12"/>
      <c r="AA209" s="12"/>
      <c r="AB209" s="12"/>
      <c r="AC209" s="12"/>
      <c r="AD209" s="12"/>
      <c r="AE209" s="12"/>
      <c r="AF209" s="12"/>
      <c r="AG209" s="12"/>
      <c r="AH209" s="12"/>
      <c r="AI209" s="12"/>
      <c r="AJ209" s="12"/>
      <c r="AK209" s="12"/>
      <c r="AL209" s="12"/>
      <c r="AM209" s="12"/>
      <c r="AN209" s="12"/>
      <c r="AO209" s="12"/>
      <c r="AP209" s="12"/>
      <c r="AQ209" s="12"/>
      <c r="AR209" s="12"/>
      <c r="AS209" s="12"/>
      <c r="AT209" s="12"/>
      <c r="AU209" s="12"/>
      <c r="AV209" s="12"/>
      <c r="AW209" s="12"/>
      <c r="AX209" s="12"/>
      <c r="AY209" s="12"/>
      <c r="AZ209" s="12"/>
      <c r="BA209" s="12"/>
    </row>
    <row r="210" spans="4:53">
      <c r="D210" s="12"/>
      <c r="E210" s="12"/>
      <c r="F210" s="12"/>
      <c r="G210" s="12"/>
      <c r="H210" s="12"/>
      <c r="I210" s="12"/>
      <c r="J210" s="12"/>
      <c r="K210" s="12"/>
      <c r="L210" s="12"/>
      <c r="M210" s="12"/>
      <c r="N210" s="12"/>
      <c r="O210" s="12"/>
      <c r="P210" s="12"/>
      <c r="Q210" s="12"/>
      <c r="R210" s="12"/>
      <c r="S210" s="12"/>
      <c r="T210" s="12"/>
      <c r="U210" s="12"/>
      <c r="V210" s="12"/>
      <c r="W210" s="12"/>
      <c r="X210" s="12"/>
      <c r="Y210" s="12"/>
      <c r="Z210" s="12"/>
      <c r="AA210" s="12"/>
      <c r="AB210" s="12"/>
      <c r="AC210" s="12"/>
      <c r="AD210" s="12"/>
      <c r="AE210" s="12"/>
      <c r="AF210" s="12"/>
      <c r="AG210" s="12"/>
      <c r="AH210" s="12"/>
      <c r="AI210" s="12"/>
      <c r="AJ210" s="12"/>
      <c r="AK210" s="12"/>
      <c r="AL210" s="12"/>
      <c r="AM210" s="12"/>
      <c r="AN210" s="12"/>
      <c r="AO210" s="12"/>
      <c r="AP210" s="12"/>
      <c r="AQ210" s="12"/>
      <c r="AR210" s="12"/>
      <c r="AS210" s="12"/>
      <c r="AT210" s="12"/>
      <c r="AU210" s="12"/>
      <c r="AV210" s="12"/>
      <c r="AW210" s="12"/>
      <c r="AX210" s="12"/>
      <c r="AY210" s="12"/>
      <c r="AZ210" s="12"/>
      <c r="BA210" s="12"/>
    </row>
    <row r="211" spans="4:53">
      <c r="D211" s="12"/>
      <c r="E211" s="12"/>
      <c r="F211" s="12"/>
      <c r="G211" s="12"/>
      <c r="H211" s="12"/>
      <c r="I211" s="12"/>
      <c r="J211" s="12"/>
      <c r="K211" s="12"/>
      <c r="L211" s="12"/>
      <c r="M211" s="12"/>
      <c r="N211" s="12"/>
      <c r="O211" s="12"/>
      <c r="P211" s="12"/>
      <c r="Q211" s="12"/>
      <c r="R211" s="12"/>
      <c r="S211" s="12"/>
      <c r="T211" s="12"/>
      <c r="U211" s="12"/>
      <c r="V211" s="12"/>
      <c r="W211" s="12"/>
      <c r="X211" s="12"/>
      <c r="Y211" s="12"/>
      <c r="Z211" s="12"/>
      <c r="AA211" s="12"/>
      <c r="AB211" s="12"/>
      <c r="AC211" s="12"/>
      <c r="AD211" s="12"/>
      <c r="AE211" s="12"/>
      <c r="AF211" s="12"/>
      <c r="AG211" s="12"/>
      <c r="AH211" s="12"/>
      <c r="AI211" s="12"/>
      <c r="AJ211" s="12"/>
      <c r="AK211" s="12"/>
      <c r="AL211" s="12"/>
      <c r="AM211" s="12"/>
      <c r="AN211" s="12"/>
      <c r="AO211" s="12"/>
      <c r="AP211" s="12"/>
      <c r="AQ211" s="12"/>
      <c r="AR211" s="12"/>
      <c r="AS211" s="12"/>
      <c r="AT211" s="12"/>
      <c r="AU211" s="12"/>
      <c r="AV211" s="12"/>
      <c r="AW211" s="12"/>
      <c r="AX211" s="12"/>
      <c r="AY211" s="12"/>
      <c r="AZ211" s="12"/>
      <c r="BA211" s="12"/>
    </row>
    <row r="212" spans="4:53">
      <c r="D212" s="12"/>
      <c r="E212" s="12"/>
      <c r="F212" s="12"/>
      <c r="G212" s="12"/>
      <c r="H212" s="12"/>
      <c r="I212" s="12"/>
      <c r="J212" s="12"/>
      <c r="K212" s="12"/>
      <c r="L212" s="12"/>
      <c r="M212" s="12"/>
      <c r="N212" s="12"/>
      <c r="O212" s="12"/>
      <c r="P212" s="12"/>
      <c r="Q212" s="12"/>
      <c r="R212" s="12"/>
      <c r="S212" s="12"/>
      <c r="T212" s="12"/>
      <c r="U212" s="12"/>
      <c r="V212" s="12"/>
      <c r="W212" s="12"/>
      <c r="X212" s="12"/>
      <c r="Y212" s="12"/>
      <c r="Z212" s="12"/>
      <c r="AA212" s="12"/>
      <c r="AB212" s="12"/>
      <c r="AC212" s="12"/>
      <c r="AD212" s="12"/>
      <c r="AE212" s="12"/>
      <c r="AF212" s="12"/>
      <c r="AG212" s="12"/>
      <c r="AH212" s="12"/>
      <c r="AI212" s="12"/>
      <c r="AJ212" s="12"/>
      <c r="AK212" s="12"/>
      <c r="AL212" s="12"/>
      <c r="AM212" s="12"/>
      <c r="AN212" s="12"/>
      <c r="AO212" s="12"/>
      <c r="AP212" s="12"/>
      <c r="AQ212" s="12"/>
      <c r="AR212" s="12"/>
      <c r="AS212" s="12"/>
      <c r="AT212" s="12"/>
      <c r="AU212" s="12"/>
      <c r="AV212" s="12"/>
      <c r="AW212" s="12"/>
      <c r="AX212" s="12"/>
      <c r="AY212" s="12"/>
      <c r="AZ212" s="12"/>
      <c r="BA212" s="12"/>
    </row>
    <row r="213" spans="4:53">
      <c r="D213" s="12"/>
      <c r="E213" s="12"/>
      <c r="F213" s="12"/>
      <c r="G213" s="12"/>
      <c r="H213" s="12"/>
      <c r="I213" s="12"/>
      <c r="J213" s="12"/>
      <c r="K213" s="12"/>
      <c r="L213" s="12"/>
      <c r="M213" s="12"/>
      <c r="N213" s="12"/>
      <c r="O213" s="12"/>
      <c r="P213" s="12"/>
      <c r="Q213" s="12"/>
      <c r="R213" s="12"/>
      <c r="S213" s="12"/>
      <c r="T213" s="12"/>
      <c r="U213" s="12"/>
      <c r="V213" s="12"/>
      <c r="W213" s="12"/>
      <c r="X213" s="12"/>
      <c r="Y213" s="12"/>
      <c r="Z213" s="12"/>
      <c r="AA213" s="12"/>
      <c r="AB213" s="12"/>
      <c r="AC213" s="12"/>
      <c r="AD213" s="12"/>
      <c r="AE213" s="12"/>
      <c r="AF213" s="12"/>
      <c r="AG213" s="12"/>
      <c r="AH213" s="12"/>
      <c r="AI213" s="12"/>
      <c r="AJ213" s="12"/>
      <c r="AK213" s="12"/>
      <c r="AL213" s="12"/>
      <c r="AM213" s="12"/>
      <c r="AN213" s="12"/>
      <c r="AO213" s="12"/>
      <c r="AP213" s="12"/>
      <c r="AQ213" s="12"/>
      <c r="AR213" s="12"/>
      <c r="AS213" s="12"/>
      <c r="AT213" s="12"/>
      <c r="AU213" s="12"/>
      <c r="AV213" s="12"/>
      <c r="AW213" s="12"/>
      <c r="AX213" s="12"/>
      <c r="AY213" s="12"/>
      <c r="AZ213" s="12"/>
      <c r="BA213" s="12"/>
    </row>
    <row r="214" spans="4:53">
      <c r="D214" s="12"/>
      <c r="E214" s="12"/>
      <c r="F214" s="12"/>
      <c r="G214" s="12"/>
      <c r="H214" s="12"/>
      <c r="I214" s="12"/>
      <c r="J214" s="12"/>
      <c r="K214" s="12"/>
      <c r="L214" s="12"/>
      <c r="M214" s="12"/>
      <c r="N214" s="12"/>
      <c r="O214" s="12"/>
      <c r="P214" s="12"/>
      <c r="Q214" s="12"/>
      <c r="R214" s="12"/>
      <c r="S214" s="12"/>
      <c r="T214" s="12"/>
      <c r="U214" s="12"/>
      <c r="V214" s="12"/>
      <c r="W214" s="12"/>
      <c r="X214" s="12"/>
      <c r="Y214" s="12"/>
      <c r="Z214" s="12"/>
      <c r="AA214" s="12"/>
      <c r="AB214" s="12"/>
      <c r="AC214" s="12"/>
      <c r="AD214" s="12"/>
      <c r="AE214" s="12"/>
      <c r="AF214" s="12"/>
      <c r="AG214" s="12"/>
      <c r="AH214" s="12"/>
      <c r="AI214" s="12"/>
      <c r="AJ214" s="12"/>
      <c r="AK214" s="12"/>
      <c r="AL214" s="12"/>
      <c r="AM214" s="12"/>
      <c r="AN214" s="12"/>
      <c r="AO214" s="12"/>
      <c r="AP214" s="12"/>
      <c r="AQ214" s="12"/>
      <c r="AR214" s="12"/>
      <c r="AS214" s="12"/>
      <c r="AT214" s="12"/>
      <c r="AU214" s="12"/>
      <c r="AV214" s="12"/>
      <c r="AW214" s="12"/>
      <c r="AX214" s="12"/>
      <c r="AY214" s="12"/>
      <c r="AZ214" s="12"/>
      <c r="BA214" s="12"/>
    </row>
    <row r="215" spans="4:53">
      <c r="D215" s="12"/>
      <c r="E215" s="12"/>
      <c r="F215" s="12"/>
      <c r="G215" s="12"/>
      <c r="H215" s="12"/>
      <c r="I215" s="12"/>
      <c r="J215" s="12"/>
      <c r="K215" s="12"/>
      <c r="L215" s="12"/>
      <c r="M215" s="12"/>
      <c r="N215" s="12"/>
      <c r="O215" s="12"/>
      <c r="P215" s="12"/>
      <c r="Q215" s="12"/>
      <c r="R215" s="12"/>
      <c r="S215" s="12"/>
      <c r="T215" s="12"/>
      <c r="U215" s="12"/>
      <c r="V215" s="12"/>
      <c r="W215" s="12"/>
      <c r="X215" s="12"/>
      <c r="Y215" s="12"/>
      <c r="Z215" s="12"/>
      <c r="AA215" s="12"/>
      <c r="AB215" s="12"/>
      <c r="AC215" s="12"/>
      <c r="AD215" s="12"/>
      <c r="AE215" s="12"/>
      <c r="AF215" s="12"/>
      <c r="AG215" s="12"/>
      <c r="AH215" s="12"/>
      <c r="AI215" s="12"/>
      <c r="AJ215" s="12"/>
      <c r="AK215" s="12"/>
      <c r="AL215" s="12"/>
      <c r="AM215" s="12"/>
      <c r="AN215" s="12"/>
      <c r="AO215" s="12"/>
      <c r="AP215" s="12"/>
      <c r="AQ215" s="12"/>
      <c r="AR215" s="12"/>
      <c r="AS215" s="12"/>
      <c r="AT215" s="12"/>
      <c r="AU215" s="12"/>
      <c r="AV215" s="12"/>
      <c r="AW215" s="12"/>
      <c r="AX215" s="12"/>
      <c r="AY215" s="12"/>
      <c r="AZ215" s="12"/>
      <c r="BA215" s="12"/>
    </row>
    <row r="216" spans="4:53">
      <c r="D216" s="12"/>
      <c r="E216" s="12"/>
      <c r="F216" s="12"/>
      <c r="G216" s="12"/>
      <c r="H216" s="12"/>
      <c r="I216" s="12"/>
      <c r="J216" s="12"/>
      <c r="K216" s="12"/>
      <c r="L216" s="12"/>
      <c r="M216" s="12"/>
      <c r="N216" s="12"/>
      <c r="O216" s="12"/>
      <c r="P216" s="12"/>
      <c r="Q216" s="12"/>
      <c r="R216" s="12"/>
      <c r="S216" s="12"/>
      <c r="T216" s="12"/>
      <c r="U216" s="12"/>
      <c r="V216" s="12"/>
      <c r="W216" s="12"/>
      <c r="X216" s="12"/>
      <c r="Y216" s="12"/>
      <c r="Z216" s="12"/>
      <c r="AA216" s="12"/>
      <c r="AB216" s="12"/>
      <c r="AC216" s="12"/>
      <c r="AD216" s="12"/>
      <c r="AE216" s="12"/>
      <c r="AF216" s="12"/>
      <c r="AG216" s="12"/>
      <c r="AH216" s="12"/>
      <c r="AI216" s="12"/>
      <c r="AJ216" s="12"/>
      <c r="AK216" s="12"/>
      <c r="AL216" s="12"/>
      <c r="AM216" s="12"/>
      <c r="AN216" s="12"/>
      <c r="AO216" s="12"/>
      <c r="AP216" s="12"/>
      <c r="AQ216" s="12"/>
      <c r="AR216" s="12"/>
      <c r="AS216" s="12"/>
      <c r="AT216" s="12"/>
      <c r="AU216" s="12"/>
      <c r="AV216" s="12"/>
      <c r="AW216" s="12"/>
      <c r="AX216" s="12"/>
      <c r="AY216" s="12"/>
      <c r="AZ216" s="12"/>
      <c r="BA216" s="12"/>
    </row>
    <row r="217" spans="4:53">
      <c r="D217" s="12"/>
      <c r="E217" s="12"/>
      <c r="F217" s="12"/>
      <c r="G217" s="12"/>
      <c r="H217" s="12"/>
      <c r="I217" s="12"/>
      <c r="J217" s="12"/>
      <c r="K217" s="12"/>
      <c r="L217" s="12"/>
      <c r="M217" s="12"/>
      <c r="N217" s="12"/>
      <c r="O217" s="12"/>
      <c r="P217" s="12"/>
      <c r="Q217" s="12"/>
      <c r="R217" s="12"/>
      <c r="S217" s="12"/>
      <c r="T217" s="12"/>
      <c r="U217" s="12"/>
      <c r="V217" s="12"/>
      <c r="W217" s="12"/>
      <c r="X217" s="12"/>
      <c r="Y217" s="12"/>
      <c r="Z217" s="12"/>
      <c r="AA217" s="12"/>
      <c r="AB217" s="12"/>
      <c r="AC217" s="12"/>
      <c r="AD217" s="12"/>
      <c r="AE217" s="12"/>
      <c r="AF217" s="12"/>
      <c r="AG217" s="12"/>
      <c r="AH217" s="12"/>
      <c r="AI217" s="12"/>
      <c r="AJ217" s="12"/>
      <c r="AK217" s="12"/>
      <c r="AL217" s="12"/>
      <c r="AM217" s="12"/>
      <c r="AN217" s="12"/>
      <c r="AO217" s="12"/>
      <c r="AP217" s="12"/>
      <c r="AQ217" s="12"/>
      <c r="AR217" s="12"/>
      <c r="AS217" s="12"/>
      <c r="AT217" s="12"/>
      <c r="AU217" s="12"/>
      <c r="AV217" s="12"/>
      <c r="AW217" s="12"/>
      <c r="AX217" s="12"/>
      <c r="AY217" s="12"/>
      <c r="AZ217" s="12"/>
      <c r="BA217" s="12"/>
    </row>
    <row r="218" spans="4:53">
      <c r="D218" s="12"/>
      <c r="E218" s="12"/>
      <c r="F218" s="12"/>
      <c r="G218" s="12"/>
      <c r="H218" s="12"/>
      <c r="I218" s="12"/>
      <c r="J218" s="12"/>
      <c r="K218" s="12"/>
      <c r="L218" s="12"/>
      <c r="M218" s="12"/>
      <c r="N218" s="12"/>
      <c r="O218" s="12"/>
      <c r="P218" s="12"/>
      <c r="Q218" s="12"/>
      <c r="R218" s="12"/>
      <c r="S218" s="12"/>
      <c r="T218" s="12"/>
      <c r="U218" s="12"/>
      <c r="V218" s="12"/>
      <c r="W218" s="12"/>
      <c r="X218" s="12"/>
      <c r="Y218" s="12"/>
      <c r="Z218" s="12"/>
      <c r="AA218" s="12"/>
      <c r="AB218" s="12"/>
      <c r="AC218" s="12"/>
      <c r="AD218" s="12"/>
      <c r="AE218" s="12"/>
      <c r="AF218" s="12"/>
      <c r="AG218" s="12"/>
      <c r="AH218" s="12"/>
      <c r="AI218" s="12"/>
      <c r="AJ218" s="12"/>
      <c r="AK218" s="12"/>
      <c r="AL218" s="12"/>
      <c r="AM218" s="12"/>
      <c r="AN218" s="12"/>
      <c r="AO218" s="12"/>
      <c r="AP218" s="12"/>
      <c r="AQ218" s="12"/>
      <c r="AR218" s="12"/>
      <c r="AS218" s="12"/>
      <c r="AT218" s="12"/>
      <c r="AU218" s="12"/>
      <c r="AV218" s="12"/>
      <c r="AW218" s="12"/>
      <c r="AX218" s="12"/>
      <c r="AY218" s="12"/>
      <c r="AZ218" s="12"/>
      <c r="BA218" s="12"/>
    </row>
    <row r="219" spans="4:53">
      <c r="D219" s="12"/>
      <c r="E219" s="12"/>
      <c r="F219" s="12"/>
      <c r="G219" s="12"/>
      <c r="H219" s="12"/>
      <c r="I219" s="12"/>
      <c r="J219" s="12"/>
      <c r="K219" s="12"/>
      <c r="L219" s="12"/>
      <c r="M219" s="12"/>
      <c r="N219" s="12"/>
      <c r="O219" s="12"/>
      <c r="P219" s="12"/>
      <c r="Q219" s="12"/>
      <c r="R219" s="12"/>
      <c r="S219" s="12"/>
      <c r="T219" s="12"/>
      <c r="U219" s="12"/>
      <c r="V219" s="12"/>
      <c r="W219" s="12"/>
      <c r="X219" s="12"/>
      <c r="Y219" s="12"/>
      <c r="Z219" s="12"/>
      <c r="AA219" s="12"/>
      <c r="AB219" s="12"/>
      <c r="AC219" s="12"/>
      <c r="AD219" s="12"/>
      <c r="AE219" s="12"/>
      <c r="AF219" s="12"/>
      <c r="AG219" s="12"/>
      <c r="AH219" s="12"/>
      <c r="AI219" s="12"/>
      <c r="AJ219" s="12"/>
      <c r="AK219" s="12"/>
      <c r="AL219" s="12"/>
      <c r="AM219" s="12"/>
      <c r="AN219" s="12"/>
      <c r="AO219" s="12"/>
      <c r="AP219" s="12"/>
      <c r="AQ219" s="12"/>
      <c r="AR219" s="12"/>
      <c r="AS219" s="12"/>
      <c r="AT219" s="12"/>
      <c r="AU219" s="12"/>
      <c r="AV219" s="12"/>
      <c r="AW219" s="12"/>
      <c r="AX219" s="12"/>
      <c r="AY219" s="12"/>
      <c r="AZ219" s="12"/>
      <c r="BA219" s="12"/>
    </row>
    <row r="220" spans="4:53">
      <c r="D220" s="12"/>
      <c r="E220" s="12"/>
      <c r="F220" s="12"/>
      <c r="G220" s="12"/>
      <c r="H220" s="12"/>
      <c r="I220" s="12"/>
      <c r="J220" s="12"/>
      <c r="K220" s="12"/>
      <c r="L220" s="12"/>
      <c r="M220" s="12"/>
      <c r="N220" s="12"/>
      <c r="O220" s="12"/>
      <c r="P220" s="12"/>
      <c r="Q220" s="12"/>
      <c r="R220" s="12"/>
      <c r="S220" s="12"/>
      <c r="T220" s="12"/>
      <c r="U220" s="12"/>
      <c r="V220" s="12"/>
      <c r="W220" s="12"/>
      <c r="X220" s="12"/>
      <c r="Y220" s="12"/>
      <c r="Z220" s="12"/>
      <c r="AA220" s="12"/>
      <c r="AB220" s="12"/>
      <c r="AC220" s="12"/>
      <c r="AD220" s="12"/>
      <c r="AE220" s="12"/>
      <c r="AF220" s="12"/>
      <c r="AG220" s="12"/>
      <c r="AH220" s="12"/>
      <c r="AI220" s="12"/>
      <c r="AJ220" s="12"/>
      <c r="AK220" s="12"/>
      <c r="AL220" s="12"/>
      <c r="AM220" s="12"/>
      <c r="AN220" s="12"/>
      <c r="AO220" s="12"/>
      <c r="AP220" s="12"/>
      <c r="AQ220" s="12"/>
      <c r="AR220" s="12"/>
      <c r="AS220" s="12"/>
      <c r="AT220" s="12"/>
      <c r="AU220" s="12"/>
      <c r="AV220" s="12"/>
      <c r="AW220" s="12"/>
      <c r="AX220" s="12"/>
      <c r="AY220" s="12"/>
      <c r="AZ220" s="12"/>
      <c r="BA220" s="12"/>
    </row>
    <row r="221" spans="4:53">
      <c r="D221" s="12"/>
      <c r="E221" s="12"/>
      <c r="F221" s="12"/>
      <c r="G221" s="12"/>
      <c r="H221" s="12"/>
      <c r="I221" s="12"/>
      <c r="J221" s="12"/>
      <c r="K221" s="12"/>
      <c r="L221" s="12"/>
      <c r="M221" s="12"/>
      <c r="N221" s="12"/>
      <c r="O221" s="12"/>
      <c r="P221" s="12"/>
      <c r="Q221" s="12"/>
      <c r="R221" s="12"/>
      <c r="S221" s="12"/>
      <c r="T221" s="12"/>
      <c r="U221" s="12"/>
      <c r="V221" s="12"/>
      <c r="W221" s="12"/>
      <c r="X221" s="12"/>
      <c r="Y221" s="12"/>
      <c r="Z221" s="12"/>
      <c r="AA221" s="12"/>
      <c r="AB221" s="12"/>
      <c r="AC221" s="12"/>
      <c r="AD221" s="12"/>
      <c r="AE221" s="12"/>
      <c r="AF221" s="12"/>
      <c r="AG221" s="12"/>
      <c r="AH221" s="12"/>
      <c r="AI221" s="12"/>
      <c r="AJ221" s="12"/>
      <c r="AK221" s="12"/>
      <c r="AL221" s="12"/>
      <c r="AM221" s="12"/>
      <c r="AN221" s="12"/>
      <c r="AO221" s="12"/>
      <c r="AP221" s="12"/>
      <c r="AQ221" s="12"/>
      <c r="AR221" s="12"/>
      <c r="AS221" s="12"/>
      <c r="AT221" s="12"/>
      <c r="AU221" s="12"/>
      <c r="AV221" s="12"/>
      <c r="AW221" s="12"/>
      <c r="AX221" s="12"/>
      <c r="AY221" s="12"/>
      <c r="AZ221" s="12"/>
      <c r="BA221" s="12"/>
    </row>
    <row r="222" spans="4:53">
      <c r="D222" s="12"/>
      <c r="E222" s="12"/>
      <c r="F222" s="12"/>
      <c r="G222" s="12"/>
      <c r="H222" s="12"/>
      <c r="I222" s="12"/>
      <c r="J222" s="12"/>
      <c r="K222" s="12"/>
      <c r="L222" s="12"/>
      <c r="M222" s="12"/>
      <c r="N222" s="12"/>
      <c r="O222" s="12"/>
      <c r="P222" s="12"/>
      <c r="Q222" s="12"/>
      <c r="R222" s="12"/>
      <c r="S222" s="12"/>
      <c r="T222" s="12"/>
      <c r="U222" s="12"/>
      <c r="V222" s="12"/>
      <c r="W222" s="12"/>
      <c r="X222" s="12"/>
      <c r="Y222" s="12"/>
      <c r="Z222" s="12"/>
      <c r="AA222" s="12"/>
      <c r="AB222" s="12"/>
      <c r="AC222" s="12"/>
      <c r="AD222" s="12"/>
      <c r="AE222" s="12"/>
      <c r="AF222" s="12"/>
      <c r="AG222" s="12"/>
      <c r="AH222" s="12"/>
      <c r="AI222" s="12"/>
      <c r="AJ222" s="12"/>
      <c r="AK222" s="12"/>
      <c r="AL222" s="12"/>
      <c r="AM222" s="12"/>
      <c r="AN222" s="12"/>
      <c r="AO222" s="12"/>
      <c r="AP222" s="12"/>
      <c r="AQ222" s="12"/>
      <c r="AR222" s="12"/>
      <c r="AS222" s="12"/>
      <c r="AT222" s="12"/>
      <c r="AU222" s="12"/>
      <c r="AV222" s="12"/>
      <c r="AW222" s="12"/>
      <c r="AX222" s="12"/>
      <c r="AY222" s="12"/>
      <c r="AZ222" s="12"/>
      <c r="BA222" s="12"/>
    </row>
    <row r="223" spans="4:53">
      <c r="D223" s="12"/>
      <c r="E223" s="12"/>
      <c r="F223" s="12"/>
      <c r="G223" s="12"/>
      <c r="H223" s="12"/>
      <c r="I223" s="12"/>
      <c r="J223" s="12"/>
      <c r="K223" s="12"/>
      <c r="L223" s="12"/>
      <c r="M223" s="12"/>
      <c r="N223" s="12"/>
      <c r="O223" s="12"/>
      <c r="P223" s="12"/>
      <c r="Q223" s="12"/>
      <c r="R223" s="12"/>
      <c r="S223" s="12"/>
      <c r="T223" s="12"/>
      <c r="U223" s="12"/>
      <c r="V223" s="12"/>
      <c r="W223" s="12"/>
      <c r="X223" s="12"/>
      <c r="Y223" s="12"/>
      <c r="Z223" s="12"/>
      <c r="AA223" s="12"/>
      <c r="AB223" s="12"/>
      <c r="AC223" s="12"/>
      <c r="AD223" s="12"/>
      <c r="AE223" s="12"/>
      <c r="AF223" s="12"/>
      <c r="AG223" s="12"/>
      <c r="AH223" s="12"/>
      <c r="AI223" s="12"/>
      <c r="AJ223" s="12"/>
      <c r="AK223" s="12"/>
      <c r="AL223" s="12"/>
      <c r="AM223" s="12"/>
      <c r="AN223" s="12"/>
      <c r="AO223" s="12"/>
      <c r="AP223" s="12"/>
      <c r="AQ223" s="12"/>
      <c r="AR223" s="12"/>
      <c r="AS223" s="12"/>
      <c r="AT223" s="12"/>
      <c r="AU223" s="12"/>
      <c r="AV223" s="12"/>
      <c r="AW223" s="12"/>
      <c r="AX223" s="12"/>
      <c r="AY223" s="12"/>
      <c r="AZ223" s="12"/>
      <c r="BA223" s="12"/>
    </row>
    <row r="224" spans="4:53">
      <c r="D224" s="12"/>
      <c r="E224" s="12"/>
      <c r="F224" s="12"/>
      <c r="G224" s="12"/>
      <c r="H224" s="12"/>
      <c r="I224" s="12"/>
      <c r="J224" s="12"/>
      <c r="K224" s="12"/>
      <c r="L224" s="12"/>
      <c r="M224" s="12"/>
      <c r="N224" s="12"/>
      <c r="O224" s="12"/>
      <c r="P224" s="12"/>
      <c r="Q224" s="12"/>
      <c r="R224" s="12"/>
      <c r="S224" s="12"/>
      <c r="T224" s="12"/>
      <c r="U224" s="12"/>
      <c r="V224" s="12"/>
      <c r="W224" s="12"/>
      <c r="X224" s="12"/>
      <c r="Y224" s="12"/>
      <c r="Z224" s="12"/>
      <c r="AA224" s="12"/>
      <c r="AB224" s="12"/>
      <c r="AC224" s="12"/>
      <c r="AD224" s="12"/>
      <c r="AE224" s="12"/>
      <c r="AF224" s="12"/>
      <c r="AG224" s="12"/>
      <c r="AH224" s="12"/>
      <c r="AI224" s="12"/>
      <c r="AJ224" s="12"/>
      <c r="AK224" s="12"/>
      <c r="AL224" s="12"/>
      <c r="AM224" s="12"/>
      <c r="AN224" s="12"/>
      <c r="AO224" s="12"/>
      <c r="AP224" s="12"/>
      <c r="AQ224" s="12"/>
      <c r="AR224" s="12"/>
      <c r="AS224" s="12"/>
      <c r="AT224" s="12"/>
      <c r="AU224" s="12"/>
      <c r="AV224" s="12"/>
      <c r="AW224" s="12"/>
      <c r="AX224" s="12"/>
      <c r="AY224" s="12"/>
      <c r="AZ224" s="12"/>
      <c r="BA224" s="12"/>
    </row>
    <row r="225" spans="4:53">
      <c r="D225" s="12"/>
      <c r="E225" s="12"/>
      <c r="F225" s="12"/>
      <c r="G225" s="12"/>
      <c r="H225" s="12"/>
      <c r="I225" s="12"/>
      <c r="J225" s="12"/>
      <c r="K225" s="12"/>
      <c r="L225" s="12"/>
      <c r="M225" s="12"/>
      <c r="N225" s="12"/>
      <c r="O225" s="12"/>
      <c r="P225" s="12"/>
      <c r="Q225" s="12"/>
      <c r="R225" s="12"/>
      <c r="S225" s="12"/>
      <c r="T225" s="12"/>
      <c r="U225" s="12"/>
      <c r="V225" s="12"/>
      <c r="W225" s="12"/>
      <c r="X225" s="12"/>
      <c r="Y225" s="12"/>
      <c r="Z225" s="12"/>
      <c r="AA225" s="12"/>
      <c r="AB225" s="12"/>
      <c r="AC225" s="12"/>
      <c r="AD225" s="12"/>
      <c r="AE225" s="12"/>
      <c r="AF225" s="12"/>
      <c r="AG225" s="12"/>
      <c r="AH225" s="12"/>
      <c r="AI225" s="12"/>
      <c r="AJ225" s="12"/>
      <c r="AK225" s="12"/>
      <c r="AL225" s="12"/>
      <c r="AM225" s="12"/>
      <c r="AN225" s="12"/>
      <c r="AO225" s="12"/>
      <c r="AP225" s="12"/>
      <c r="AQ225" s="12"/>
      <c r="AR225" s="12"/>
      <c r="AS225" s="12"/>
      <c r="AT225" s="12"/>
      <c r="AU225" s="12"/>
      <c r="AV225" s="12"/>
      <c r="AW225" s="12"/>
      <c r="AX225" s="12"/>
      <c r="AY225" s="12"/>
      <c r="AZ225" s="12"/>
      <c r="BA225" s="12"/>
    </row>
    <row r="226" spans="4:53">
      <c r="D226" s="12"/>
      <c r="E226" s="12"/>
      <c r="F226" s="12"/>
      <c r="G226" s="12"/>
      <c r="H226" s="12"/>
      <c r="I226" s="12"/>
      <c r="J226" s="12"/>
      <c r="K226" s="12"/>
      <c r="L226" s="12"/>
      <c r="M226" s="12"/>
      <c r="N226" s="12"/>
      <c r="O226" s="12"/>
      <c r="P226" s="12"/>
      <c r="Q226" s="12"/>
      <c r="R226" s="12"/>
      <c r="S226" s="12"/>
      <c r="T226" s="12"/>
      <c r="U226" s="12"/>
      <c r="V226" s="12"/>
      <c r="W226" s="12"/>
      <c r="X226" s="12"/>
      <c r="Y226" s="12"/>
      <c r="Z226" s="12"/>
      <c r="AA226" s="12"/>
      <c r="AB226" s="12"/>
      <c r="AC226" s="12"/>
      <c r="AD226" s="12"/>
      <c r="AE226" s="12"/>
      <c r="AF226" s="12"/>
      <c r="AG226" s="12"/>
      <c r="AH226" s="12"/>
      <c r="AI226" s="12"/>
      <c r="AJ226" s="12"/>
      <c r="AK226" s="12"/>
      <c r="AL226" s="12"/>
      <c r="AM226" s="12"/>
      <c r="AN226" s="12"/>
      <c r="AO226" s="12"/>
      <c r="AP226" s="12"/>
      <c r="AQ226" s="12"/>
      <c r="AR226" s="12"/>
      <c r="AS226" s="12"/>
      <c r="AT226" s="12"/>
      <c r="AU226" s="12"/>
      <c r="AV226" s="12"/>
      <c r="AW226" s="12"/>
      <c r="AX226" s="12"/>
      <c r="AY226" s="12"/>
      <c r="AZ226" s="12"/>
      <c r="BA226" s="12"/>
    </row>
    <row r="227" spans="4:53">
      <c r="D227" s="12"/>
      <c r="E227" s="12"/>
      <c r="F227" s="12"/>
      <c r="G227" s="12"/>
      <c r="H227" s="12"/>
      <c r="I227" s="12"/>
      <c r="J227" s="12"/>
      <c r="K227" s="12"/>
      <c r="L227" s="12"/>
      <c r="M227" s="12"/>
      <c r="N227" s="12"/>
      <c r="O227" s="12"/>
      <c r="P227" s="12"/>
      <c r="Q227" s="12"/>
      <c r="R227" s="12"/>
      <c r="S227" s="12"/>
      <c r="T227" s="12"/>
      <c r="U227" s="12"/>
      <c r="V227" s="12"/>
      <c r="W227" s="12"/>
      <c r="X227" s="12"/>
      <c r="Y227" s="12"/>
      <c r="Z227" s="12"/>
      <c r="AA227" s="12"/>
      <c r="AB227" s="12"/>
      <c r="AC227" s="12"/>
      <c r="AD227" s="12"/>
      <c r="AE227" s="12"/>
      <c r="AF227" s="12"/>
      <c r="AG227" s="12"/>
      <c r="AH227" s="12"/>
      <c r="AI227" s="12"/>
      <c r="AJ227" s="12"/>
      <c r="AK227" s="12"/>
      <c r="AL227" s="12"/>
      <c r="AM227" s="12"/>
      <c r="AN227" s="12"/>
      <c r="AO227" s="12"/>
      <c r="AP227" s="12"/>
      <c r="AQ227" s="12"/>
      <c r="AR227" s="12"/>
      <c r="AS227" s="12"/>
      <c r="AT227" s="12"/>
      <c r="AU227" s="12"/>
      <c r="AV227" s="12"/>
      <c r="AW227" s="12"/>
      <c r="AX227" s="12"/>
      <c r="AY227" s="12"/>
      <c r="AZ227" s="12"/>
      <c r="BA227" s="12"/>
    </row>
    <row r="228" spans="4:53">
      <c r="D228" s="12"/>
      <c r="E228" s="12"/>
      <c r="F228" s="12"/>
      <c r="G228" s="12"/>
      <c r="H228" s="12"/>
      <c r="I228" s="12"/>
      <c r="J228" s="12"/>
      <c r="K228" s="12"/>
      <c r="L228" s="12"/>
      <c r="M228" s="12"/>
      <c r="N228" s="12"/>
      <c r="O228" s="12"/>
      <c r="P228" s="12"/>
      <c r="Q228" s="12"/>
      <c r="R228" s="12"/>
      <c r="S228" s="12"/>
      <c r="T228" s="12"/>
      <c r="U228" s="12"/>
      <c r="V228" s="12"/>
      <c r="W228" s="12"/>
      <c r="X228" s="12"/>
      <c r="Y228" s="12"/>
      <c r="Z228" s="12"/>
      <c r="AA228" s="12"/>
      <c r="AB228" s="12"/>
      <c r="AC228" s="12"/>
      <c r="AD228" s="12"/>
      <c r="AE228" s="12"/>
      <c r="AF228" s="12"/>
      <c r="AG228" s="12"/>
      <c r="AH228" s="12"/>
      <c r="AI228" s="12"/>
      <c r="AJ228" s="12"/>
      <c r="AK228" s="12"/>
      <c r="AL228" s="12"/>
      <c r="AM228" s="12"/>
      <c r="AN228" s="12"/>
      <c r="AO228" s="12"/>
      <c r="AP228" s="12"/>
      <c r="AQ228" s="12"/>
      <c r="AR228" s="12"/>
      <c r="AS228" s="12"/>
      <c r="AT228" s="12"/>
      <c r="AU228" s="12"/>
      <c r="AV228" s="12"/>
      <c r="AW228" s="12"/>
      <c r="AX228" s="12"/>
      <c r="AY228" s="12"/>
      <c r="AZ228" s="12"/>
      <c r="BA228" s="12"/>
    </row>
    <row r="229" spans="4:53">
      <c r="D229" s="12"/>
      <c r="E229" s="12"/>
      <c r="F229" s="12"/>
      <c r="G229" s="12"/>
      <c r="H229" s="12"/>
      <c r="I229" s="12"/>
      <c r="J229" s="12"/>
      <c r="K229" s="12"/>
      <c r="L229" s="12"/>
      <c r="M229" s="12"/>
      <c r="N229" s="12"/>
      <c r="O229" s="12"/>
      <c r="P229" s="12"/>
      <c r="Q229" s="12"/>
      <c r="R229" s="12"/>
      <c r="S229" s="12"/>
      <c r="T229" s="12"/>
      <c r="U229" s="12"/>
      <c r="V229" s="12"/>
      <c r="W229" s="12"/>
      <c r="X229" s="12"/>
      <c r="Y229" s="12"/>
      <c r="Z229" s="12"/>
      <c r="AA229" s="12"/>
      <c r="AB229" s="12"/>
      <c r="AC229" s="12"/>
      <c r="AD229" s="12"/>
      <c r="AE229" s="12"/>
      <c r="AF229" s="12"/>
      <c r="AG229" s="12"/>
      <c r="AH229" s="12"/>
      <c r="AI229" s="12"/>
      <c r="AJ229" s="12"/>
      <c r="AK229" s="12"/>
      <c r="AL229" s="12"/>
      <c r="AM229" s="12"/>
      <c r="AN229" s="12"/>
      <c r="AO229" s="12"/>
      <c r="AP229" s="12"/>
      <c r="AQ229" s="12"/>
      <c r="AR229" s="12"/>
      <c r="AS229" s="12"/>
      <c r="AT229" s="12"/>
      <c r="AU229" s="12"/>
      <c r="AV229" s="12"/>
      <c r="AW229" s="12"/>
      <c r="AX229" s="12"/>
      <c r="AY229" s="12"/>
      <c r="AZ229" s="12"/>
      <c r="BA229" s="12"/>
    </row>
    <row r="230" spans="4:53">
      <c r="D230" s="12"/>
      <c r="E230" s="12"/>
      <c r="F230" s="12"/>
      <c r="G230" s="12"/>
      <c r="H230" s="12"/>
      <c r="I230" s="12"/>
      <c r="J230" s="12"/>
      <c r="K230" s="12"/>
      <c r="L230" s="12"/>
      <c r="M230" s="12"/>
      <c r="N230" s="12"/>
      <c r="O230" s="12"/>
      <c r="P230" s="12"/>
      <c r="Q230" s="12"/>
      <c r="R230" s="12"/>
      <c r="S230" s="12"/>
      <c r="T230" s="12"/>
      <c r="U230" s="12"/>
      <c r="V230" s="12"/>
      <c r="W230" s="12"/>
      <c r="X230" s="12"/>
      <c r="Y230" s="12"/>
      <c r="Z230" s="12"/>
      <c r="AA230" s="12"/>
      <c r="AB230" s="12"/>
      <c r="AC230" s="12"/>
      <c r="AD230" s="12"/>
      <c r="AE230" s="12"/>
      <c r="AF230" s="12"/>
      <c r="AG230" s="12"/>
      <c r="AH230" s="12"/>
      <c r="AI230" s="12"/>
      <c r="AJ230" s="12"/>
      <c r="AK230" s="12"/>
      <c r="AL230" s="12"/>
      <c r="AM230" s="12"/>
      <c r="AN230" s="12"/>
      <c r="AO230" s="12"/>
      <c r="AP230" s="12"/>
      <c r="AQ230" s="12"/>
      <c r="AR230" s="12"/>
      <c r="AS230" s="12"/>
      <c r="AT230" s="12"/>
      <c r="AU230" s="12"/>
      <c r="AV230" s="12"/>
      <c r="AW230" s="12"/>
      <c r="AX230" s="12"/>
      <c r="AY230" s="12"/>
      <c r="AZ230" s="12"/>
      <c r="BA230" s="12"/>
    </row>
    <row r="231" spans="4:53">
      <c r="D231" s="12"/>
      <c r="E231" s="12"/>
      <c r="F231" s="12"/>
      <c r="G231" s="12"/>
      <c r="H231" s="12"/>
      <c r="I231" s="12"/>
      <c r="J231" s="12"/>
      <c r="K231" s="12"/>
      <c r="L231" s="12"/>
      <c r="M231" s="12"/>
      <c r="N231" s="12"/>
      <c r="O231" s="12"/>
      <c r="P231" s="12"/>
      <c r="Q231" s="12"/>
      <c r="R231" s="12"/>
      <c r="S231" s="12"/>
      <c r="T231" s="12"/>
      <c r="U231" s="12"/>
      <c r="V231" s="12"/>
      <c r="W231" s="12"/>
      <c r="X231" s="12"/>
      <c r="Y231" s="12"/>
      <c r="Z231" s="12"/>
      <c r="AA231" s="12"/>
      <c r="AB231" s="12"/>
      <c r="AC231" s="12"/>
      <c r="AD231" s="12"/>
      <c r="AE231" s="12"/>
      <c r="AF231" s="12"/>
      <c r="AG231" s="12"/>
      <c r="AH231" s="12"/>
      <c r="AI231" s="12"/>
      <c r="AJ231" s="12"/>
      <c r="AK231" s="12"/>
      <c r="AL231" s="12"/>
      <c r="AM231" s="12"/>
      <c r="AN231" s="12"/>
      <c r="AO231" s="12"/>
      <c r="AP231" s="12"/>
      <c r="AQ231" s="12"/>
      <c r="AR231" s="12"/>
      <c r="AS231" s="12"/>
      <c r="AT231" s="12"/>
      <c r="AU231" s="12"/>
      <c r="AV231" s="12"/>
      <c r="AW231" s="12"/>
      <c r="AX231" s="12"/>
      <c r="AY231" s="12"/>
      <c r="AZ231" s="12"/>
      <c r="BA231" s="12"/>
    </row>
    <row r="232" spans="4:53">
      <c r="D232" s="12"/>
      <c r="E232" s="12"/>
      <c r="F232" s="12"/>
      <c r="G232" s="12"/>
      <c r="H232" s="12"/>
      <c r="I232" s="12"/>
      <c r="J232" s="12"/>
      <c r="K232" s="12"/>
      <c r="L232" s="12"/>
      <c r="M232" s="12"/>
      <c r="N232" s="12"/>
      <c r="O232" s="12"/>
      <c r="P232" s="12"/>
      <c r="Q232" s="12"/>
      <c r="R232" s="12"/>
      <c r="S232" s="12"/>
      <c r="T232" s="12"/>
      <c r="U232" s="12"/>
      <c r="V232" s="12"/>
      <c r="W232" s="12"/>
      <c r="X232" s="12"/>
      <c r="Y232" s="12"/>
      <c r="Z232" s="12"/>
      <c r="AA232" s="12"/>
      <c r="AB232" s="12"/>
      <c r="AC232" s="12"/>
      <c r="AD232" s="12"/>
      <c r="AE232" s="12"/>
      <c r="AF232" s="12"/>
      <c r="AG232" s="12"/>
      <c r="AH232" s="12"/>
      <c r="AI232" s="12"/>
      <c r="AJ232" s="12"/>
      <c r="AK232" s="12"/>
      <c r="AL232" s="12"/>
      <c r="AM232" s="12"/>
      <c r="AN232" s="12"/>
      <c r="AO232" s="12"/>
      <c r="AP232" s="12"/>
      <c r="AQ232" s="12"/>
      <c r="AR232" s="12"/>
      <c r="AS232" s="12"/>
      <c r="AT232" s="12"/>
      <c r="AU232" s="12"/>
      <c r="AV232" s="12"/>
      <c r="AW232" s="12"/>
      <c r="AX232" s="12"/>
      <c r="AY232" s="12"/>
      <c r="AZ232" s="12"/>
      <c r="BA232" s="12"/>
    </row>
    <row r="233" spans="4:53">
      <c r="D233" s="12"/>
      <c r="E233" s="12"/>
      <c r="F233" s="12"/>
      <c r="G233" s="12"/>
      <c r="H233" s="12"/>
      <c r="I233" s="12"/>
      <c r="J233" s="12"/>
      <c r="K233" s="12"/>
      <c r="L233" s="12"/>
      <c r="M233" s="12"/>
      <c r="N233" s="12"/>
      <c r="O233" s="12"/>
      <c r="P233" s="12"/>
      <c r="Q233" s="12"/>
      <c r="R233" s="12"/>
      <c r="S233" s="12"/>
      <c r="T233" s="12"/>
      <c r="U233" s="12"/>
      <c r="V233" s="12"/>
      <c r="W233" s="12"/>
      <c r="X233" s="12"/>
      <c r="Y233" s="12"/>
      <c r="Z233" s="12"/>
      <c r="AA233" s="12"/>
      <c r="AB233" s="12"/>
      <c r="AC233" s="12"/>
      <c r="AD233" s="12"/>
      <c r="AE233" s="12"/>
      <c r="AF233" s="12"/>
      <c r="AG233" s="12"/>
      <c r="AH233" s="12"/>
      <c r="AI233" s="12"/>
      <c r="AJ233" s="12"/>
      <c r="AK233" s="12"/>
      <c r="AL233" s="12"/>
      <c r="AM233" s="12"/>
      <c r="AN233" s="12"/>
      <c r="AO233" s="12"/>
      <c r="AP233" s="12"/>
      <c r="AQ233" s="12"/>
      <c r="AR233" s="12"/>
      <c r="AS233" s="12"/>
      <c r="AT233" s="12"/>
      <c r="AU233" s="12"/>
      <c r="AV233" s="12"/>
      <c r="AW233" s="12"/>
      <c r="AX233" s="12"/>
      <c r="AY233" s="12"/>
      <c r="AZ233" s="12"/>
      <c r="BA233" s="12"/>
    </row>
    <row r="234" spans="4:53">
      <c r="D234" s="12"/>
      <c r="E234" s="12"/>
      <c r="F234" s="12"/>
      <c r="G234" s="12"/>
      <c r="H234" s="12"/>
      <c r="I234" s="12"/>
      <c r="J234" s="12"/>
      <c r="K234" s="12"/>
      <c r="L234" s="12"/>
      <c r="M234" s="12"/>
      <c r="N234" s="12"/>
      <c r="O234" s="12"/>
      <c r="P234" s="12"/>
      <c r="Q234" s="12"/>
      <c r="R234" s="12"/>
      <c r="S234" s="12"/>
      <c r="T234" s="12"/>
      <c r="U234" s="12"/>
      <c r="V234" s="12"/>
      <c r="W234" s="12"/>
      <c r="X234" s="12"/>
      <c r="Y234" s="12"/>
      <c r="Z234" s="12"/>
      <c r="AA234" s="12"/>
      <c r="AB234" s="12"/>
      <c r="AC234" s="12"/>
      <c r="AD234" s="12"/>
      <c r="AE234" s="12"/>
      <c r="AF234" s="12"/>
      <c r="AG234" s="12"/>
      <c r="AH234" s="12"/>
      <c r="AI234" s="12"/>
      <c r="AJ234" s="12"/>
      <c r="AK234" s="12"/>
      <c r="AL234" s="12"/>
      <c r="AM234" s="12"/>
      <c r="AN234" s="12"/>
      <c r="AO234" s="12"/>
      <c r="AP234" s="12"/>
      <c r="AQ234" s="12"/>
      <c r="AR234" s="12"/>
      <c r="AS234" s="12"/>
      <c r="AT234" s="12"/>
      <c r="AU234" s="12"/>
      <c r="AV234" s="12"/>
      <c r="AW234" s="12"/>
      <c r="AX234" s="12"/>
      <c r="AY234" s="12"/>
      <c r="AZ234" s="12"/>
      <c r="BA234" s="12"/>
    </row>
    <row r="235" spans="4:53">
      <c r="D235" s="12"/>
      <c r="E235" s="12"/>
      <c r="F235" s="12"/>
      <c r="G235" s="12"/>
      <c r="H235" s="12"/>
      <c r="I235" s="12"/>
      <c r="J235" s="12"/>
      <c r="K235" s="12"/>
      <c r="L235" s="12"/>
      <c r="M235" s="12"/>
      <c r="N235" s="12"/>
      <c r="O235" s="12"/>
      <c r="P235" s="12"/>
      <c r="Q235" s="12"/>
      <c r="R235" s="12"/>
      <c r="S235" s="12"/>
      <c r="T235" s="12"/>
      <c r="U235" s="12"/>
      <c r="V235" s="12"/>
      <c r="W235" s="12"/>
      <c r="X235" s="12"/>
      <c r="Y235" s="12"/>
      <c r="Z235" s="12"/>
      <c r="AA235" s="12"/>
      <c r="AB235" s="12"/>
      <c r="AC235" s="12"/>
      <c r="AD235" s="12"/>
      <c r="AE235" s="12"/>
      <c r="AF235" s="12"/>
      <c r="AG235" s="12"/>
      <c r="AH235" s="12"/>
      <c r="AI235" s="12"/>
      <c r="AJ235" s="12"/>
      <c r="AK235" s="12"/>
      <c r="AL235" s="12"/>
      <c r="AM235" s="12"/>
      <c r="AN235" s="12"/>
      <c r="AO235" s="12"/>
      <c r="AP235" s="12"/>
      <c r="AQ235" s="12"/>
      <c r="AR235" s="12"/>
      <c r="AS235" s="12"/>
      <c r="AT235" s="12"/>
      <c r="AU235" s="12"/>
      <c r="AV235" s="12"/>
      <c r="AW235" s="12"/>
      <c r="AX235" s="12"/>
      <c r="AY235" s="12"/>
      <c r="AZ235" s="12"/>
      <c r="BA235" s="12"/>
    </row>
    <row r="236" spans="4:53">
      <c r="D236" s="12"/>
      <c r="E236" s="12"/>
      <c r="F236" s="12"/>
      <c r="G236" s="12"/>
      <c r="H236" s="12"/>
      <c r="I236" s="12"/>
      <c r="J236" s="12"/>
      <c r="K236" s="12"/>
      <c r="L236" s="12"/>
      <c r="M236" s="12"/>
      <c r="N236" s="12"/>
      <c r="O236" s="12"/>
      <c r="P236" s="12"/>
      <c r="Q236" s="12"/>
      <c r="R236" s="12"/>
      <c r="S236" s="12"/>
      <c r="T236" s="12"/>
      <c r="U236" s="12"/>
      <c r="V236" s="12"/>
      <c r="W236" s="12"/>
      <c r="X236" s="12"/>
      <c r="Y236" s="12"/>
      <c r="Z236" s="12"/>
      <c r="AA236" s="12"/>
      <c r="AB236" s="12"/>
      <c r="AC236" s="12"/>
      <c r="AD236" s="12"/>
      <c r="AE236" s="12"/>
      <c r="AF236" s="12"/>
      <c r="AG236" s="12"/>
      <c r="AH236" s="12"/>
      <c r="AI236" s="12"/>
      <c r="AJ236" s="12"/>
      <c r="AK236" s="12"/>
      <c r="AL236" s="12"/>
      <c r="AM236" s="12"/>
      <c r="AN236" s="12"/>
      <c r="AO236" s="12"/>
      <c r="AP236" s="12"/>
      <c r="AQ236" s="12"/>
      <c r="AR236" s="12"/>
      <c r="AS236" s="12"/>
      <c r="AT236" s="12"/>
      <c r="AU236" s="12"/>
      <c r="AV236" s="12"/>
      <c r="AW236" s="12"/>
      <c r="AX236" s="12"/>
      <c r="AY236" s="12"/>
      <c r="AZ236" s="12"/>
      <c r="BA236" s="12"/>
    </row>
    <row r="237" spans="4:53">
      <c r="D237" s="12"/>
      <c r="E237" s="12"/>
      <c r="F237" s="12"/>
      <c r="G237" s="12"/>
      <c r="H237" s="12"/>
      <c r="I237" s="12"/>
      <c r="J237" s="12"/>
      <c r="K237" s="12"/>
      <c r="L237" s="12"/>
      <c r="M237" s="12"/>
      <c r="N237" s="12"/>
      <c r="O237" s="12"/>
      <c r="P237" s="12"/>
      <c r="Q237" s="12"/>
      <c r="R237" s="12"/>
      <c r="S237" s="12"/>
      <c r="T237" s="12"/>
      <c r="U237" s="12"/>
      <c r="V237" s="12"/>
      <c r="W237" s="12"/>
      <c r="X237" s="12"/>
      <c r="Y237" s="12"/>
      <c r="Z237" s="12"/>
      <c r="AA237" s="12"/>
      <c r="AB237" s="12"/>
      <c r="AC237" s="12"/>
      <c r="AD237" s="12"/>
      <c r="AE237" s="12"/>
      <c r="AF237" s="12"/>
      <c r="AG237" s="12"/>
      <c r="AH237" s="12"/>
      <c r="AI237" s="12"/>
      <c r="AJ237" s="12"/>
      <c r="AK237" s="12"/>
      <c r="AL237" s="12"/>
      <c r="AM237" s="12"/>
      <c r="AN237" s="12"/>
      <c r="AO237" s="12"/>
      <c r="AP237" s="12"/>
      <c r="AQ237" s="12"/>
      <c r="AR237" s="12"/>
      <c r="AS237" s="12"/>
      <c r="AT237" s="12"/>
      <c r="AU237" s="12"/>
      <c r="AV237" s="12"/>
      <c r="AW237" s="12"/>
      <c r="AX237" s="12"/>
      <c r="AY237" s="12"/>
      <c r="AZ237" s="12"/>
      <c r="BA237" s="12"/>
    </row>
    <row r="238" spans="4:53">
      <c r="D238" s="12"/>
      <c r="E238" s="12"/>
      <c r="F238" s="12"/>
      <c r="G238" s="12"/>
      <c r="H238" s="12"/>
      <c r="I238" s="12"/>
      <c r="J238" s="12"/>
      <c r="K238" s="12"/>
      <c r="L238" s="12"/>
      <c r="M238" s="12"/>
      <c r="N238" s="12"/>
      <c r="O238" s="12"/>
      <c r="P238" s="12"/>
      <c r="Q238" s="12"/>
      <c r="R238" s="12"/>
      <c r="S238" s="12"/>
      <c r="T238" s="12"/>
      <c r="U238" s="12"/>
      <c r="V238" s="12"/>
      <c r="W238" s="12"/>
      <c r="X238" s="12"/>
      <c r="Y238" s="12"/>
      <c r="Z238" s="12"/>
      <c r="AA238" s="12"/>
      <c r="AB238" s="12"/>
      <c r="AC238" s="12"/>
      <c r="AD238" s="12"/>
      <c r="AE238" s="12"/>
      <c r="AF238" s="12"/>
      <c r="AG238" s="12"/>
      <c r="AH238" s="12"/>
      <c r="AI238" s="12"/>
      <c r="AJ238" s="12"/>
      <c r="AK238" s="12"/>
      <c r="AL238" s="12"/>
      <c r="AM238" s="12"/>
      <c r="AN238" s="12"/>
      <c r="AO238" s="12"/>
      <c r="AP238" s="12"/>
      <c r="AQ238" s="12"/>
      <c r="AR238" s="12"/>
      <c r="AS238" s="12"/>
      <c r="AT238" s="12"/>
      <c r="AU238" s="12"/>
      <c r="AV238" s="12"/>
      <c r="AW238" s="12"/>
      <c r="AX238" s="12"/>
      <c r="AY238" s="12"/>
      <c r="AZ238" s="12"/>
      <c r="BA238" s="12"/>
    </row>
    <row r="239" spans="4:53">
      <c r="D239" s="12"/>
      <c r="E239" s="12"/>
      <c r="F239" s="12"/>
      <c r="G239" s="12"/>
      <c r="H239" s="12"/>
      <c r="I239" s="12"/>
      <c r="J239" s="12"/>
      <c r="K239" s="12"/>
      <c r="L239" s="12"/>
      <c r="M239" s="12"/>
      <c r="N239" s="12"/>
      <c r="O239" s="12"/>
      <c r="P239" s="12"/>
      <c r="Q239" s="12"/>
      <c r="R239" s="12"/>
      <c r="S239" s="12"/>
      <c r="T239" s="12"/>
      <c r="U239" s="12"/>
      <c r="V239" s="12"/>
      <c r="W239" s="12"/>
      <c r="X239" s="12"/>
      <c r="Y239" s="12"/>
      <c r="Z239" s="12"/>
      <c r="AA239" s="12"/>
      <c r="AB239" s="12"/>
      <c r="AC239" s="12"/>
      <c r="AD239" s="12"/>
      <c r="AE239" s="12"/>
      <c r="AF239" s="12"/>
      <c r="AG239" s="12"/>
      <c r="AH239" s="12"/>
      <c r="AI239" s="12"/>
      <c r="AJ239" s="12"/>
      <c r="AK239" s="12"/>
      <c r="AL239" s="12"/>
      <c r="AM239" s="12"/>
      <c r="AN239" s="12"/>
      <c r="AO239" s="12"/>
      <c r="AP239" s="12"/>
      <c r="AQ239" s="12"/>
      <c r="AR239" s="12"/>
      <c r="AS239" s="12"/>
      <c r="AT239" s="12"/>
      <c r="AU239" s="12"/>
      <c r="AV239" s="12"/>
      <c r="AW239" s="12"/>
      <c r="AX239" s="12"/>
      <c r="AY239" s="12"/>
      <c r="AZ239" s="12"/>
      <c r="BA239" s="12"/>
    </row>
    <row r="240" spans="4:53">
      <c r="D240" s="12"/>
      <c r="E240" s="12"/>
      <c r="F240" s="12"/>
      <c r="G240" s="12"/>
      <c r="H240" s="12"/>
      <c r="I240" s="12"/>
      <c r="J240" s="12"/>
      <c r="K240" s="12"/>
      <c r="L240" s="12"/>
      <c r="M240" s="12"/>
      <c r="N240" s="12"/>
      <c r="O240" s="12"/>
      <c r="P240" s="12"/>
      <c r="Q240" s="12"/>
      <c r="R240" s="12"/>
      <c r="S240" s="12"/>
      <c r="T240" s="12"/>
      <c r="U240" s="12"/>
      <c r="V240" s="12"/>
      <c r="W240" s="12"/>
      <c r="X240" s="12"/>
      <c r="Y240" s="12"/>
      <c r="Z240" s="12"/>
      <c r="AA240" s="12"/>
      <c r="AB240" s="12"/>
      <c r="AC240" s="12"/>
      <c r="AD240" s="12"/>
      <c r="AE240" s="12"/>
      <c r="AF240" s="12"/>
      <c r="AG240" s="12"/>
      <c r="AH240" s="12"/>
      <c r="AI240" s="12"/>
      <c r="AJ240" s="12"/>
      <c r="AK240" s="12"/>
      <c r="AL240" s="12"/>
      <c r="AM240" s="12"/>
      <c r="AN240" s="12"/>
      <c r="AO240" s="12"/>
      <c r="AP240" s="12"/>
      <c r="AQ240" s="12"/>
      <c r="AR240" s="12"/>
      <c r="AS240" s="12"/>
      <c r="AT240" s="12"/>
      <c r="AU240" s="12"/>
      <c r="AV240" s="12"/>
      <c r="AW240" s="12"/>
      <c r="AX240" s="12"/>
      <c r="AY240" s="12"/>
      <c r="AZ240" s="12"/>
      <c r="BA240" s="12"/>
    </row>
    <row r="241" spans="4:53">
      <c r="D241" s="12"/>
      <c r="E241" s="12"/>
      <c r="F241" s="12"/>
      <c r="G241" s="12"/>
      <c r="H241" s="12"/>
      <c r="I241" s="12"/>
      <c r="J241" s="12"/>
      <c r="K241" s="12"/>
      <c r="L241" s="12"/>
      <c r="M241" s="12"/>
      <c r="N241" s="12"/>
      <c r="O241" s="12"/>
      <c r="P241" s="12"/>
      <c r="Q241" s="12"/>
      <c r="R241" s="12"/>
      <c r="S241" s="12"/>
      <c r="T241" s="12"/>
      <c r="U241" s="12"/>
      <c r="V241" s="12"/>
      <c r="W241" s="12"/>
      <c r="X241" s="12"/>
      <c r="Y241" s="12"/>
      <c r="Z241" s="12"/>
      <c r="AA241" s="12"/>
      <c r="AB241" s="12"/>
      <c r="AC241" s="12"/>
      <c r="AD241" s="12"/>
      <c r="AE241" s="12"/>
      <c r="AF241" s="12"/>
      <c r="AG241" s="12"/>
      <c r="AH241" s="12"/>
      <c r="AI241" s="12"/>
      <c r="AJ241" s="12"/>
      <c r="AK241" s="12"/>
      <c r="AL241" s="12"/>
      <c r="AM241" s="12"/>
      <c r="AN241" s="12"/>
      <c r="AO241" s="12"/>
      <c r="AP241" s="12"/>
      <c r="AQ241" s="12"/>
      <c r="AR241" s="12"/>
      <c r="AS241" s="12"/>
      <c r="AT241" s="12"/>
      <c r="AU241" s="12"/>
      <c r="AV241" s="12"/>
      <c r="AW241" s="12"/>
      <c r="AX241" s="12"/>
      <c r="AY241" s="12"/>
      <c r="AZ241" s="12"/>
      <c r="BA241" s="12"/>
    </row>
    <row r="242" spans="4:53">
      <c r="D242" s="12"/>
      <c r="E242" s="12"/>
      <c r="F242" s="12"/>
      <c r="G242" s="12"/>
      <c r="H242" s="12"/>
      <c r="I242" s="12"/>
      <c r="J242" s="12"/>
      <c r="K242" s="12"/>
      <c r="L242" s="12"/>
      <c r="M242" s="12"/>
      <c r="N242" s="12"/>
      <c r="O242" s="12"/>
      <c r="P242" s="12"/>
      <c r="Q242" s="12"/>
      <c r="R242" s="12"/>
      <c r="S242" s="12"/>
      <c r="T242" s="12"/>
      <c r="U242" s="12"/>
      <c r="V242" s="12"/>
      <c r="W242" s="12"/>
      <c r="X242" s="12"/>
      <c r="Y242" s="12"/>
      <c r="Z242" s="12"/>
      <c r="AA242" s="12"/>
      <c r="AB242" s="12"/>
      <c r="AC242" s="12"/>
      <c r="AD242" s="12"/>
      <c r="AE242" s="12"/>
      <c r="AF242" s="12"/>
      <c r="AG242" s="12"/>
      <c r="AH242" s="12"/>
      <c r="AI242" s="12"/>
      <c r="AJ242" s="12"/>
      <c r="AK242" s="12"/>
      <c r="AL242" s="12"/>
      <c r="AM242" s="12"/>
      <c r="AN242" s="12"/>
      <c r="AO242" s="12"/>
      <c r="AP242" s="12"/>
      <c r="AQ242" s="12"/>
      <c r="AR242" s="12"/>
      <c r="AS242" s="12"/>
      <c r="AT242" s="12"/>
      <c r="AU242" s="12"/>
      <c r="AV242" s="12"/>
      <c r="AW242" s="12"/>
      <c r="AX242" s="12"/>
      <c r="AY242" s="12"/>
      <c r="AZ242" s="12"/>
      <c r="BA242" s="12"/>
    </row>
    <row r="243" spans="4:53">
      <c r="D243" s="12"/>
      <c r="E243" s="12"/>
      <c r="F243" s="12"/>
      <c r="G243" s="12"/>
      <c r="H243" s="12"/>
      <c r="I243" s="12"/>
      <c r="J243" s="12"/>
      <c r="K243" s="12"/>
      <c r="L243" s="12"/>
      <c r="M243" s="12"/>
      <c r="N243" s="12"/>
      <c r="O243" s="12"/>
      <c r="P243" s="12"/>
      <c r="Q243" s="12"/>
      <c r="R243" s="12"/>
      <c r="S243" s="12"/>
      <c r="T243" s="12"/>
      <c r="U243" s="12"/>
      <c r="V243" s="12"/>
      <c r="W243" s="12"/>
      <c r="X243" s="12"/>
      <c r="Y243" s="12"/>
      <c r="Z243" s="12"/>
      <c r="AA243" s="12"/>
      <c r="AB243" s="12"/>
      <c r="AC243" s="12"/>
      <c r="AD243" s="12"/>
      <c r="AE243" s="12"/>
      <c r="AF243" s="12"/>
      <c r="AG243" s="12"/>
      <c r="AH243" s="12"/>
      <c r="AI243" s="12"/>
      <c r="AJ243" s="12"/>
      <c r="AK243" s="12"/>
      <c r="AL243" s="12"/>
      <c r="AM243" s="12"/>
      <c r="AN243" s="12"/>
      <c r="AO243" s="12"/>
      <c r="AP243" s="12"/>
      <c r="AQ243" s="12"/>
      <c r="AR243" s="12"/>
      <c r="AS243" s="12"/>
      <c r="AT243" s="12"/>
      <c r="AU243" s="12"/>
      <c r="AV243" s="12"/>
      <c r="AW243" s="12"/>
      <c r="AX243" s="12"/>
      <c r="AY243" s="12"/>
      <c r="AZ243" s="12"/>
      <c r="BA243" s="12"/>
    </row>
    <row r="244" spans="4:53">
      <c r="D244" s="12"/>
      <c r="E244" s="12"/>
      <c r="F244" s="12"/>
      <c r="G244" s="12"/>
      <c r="H244" s="12"/>
      <c r="I244" s="12"/>
      <c r="J244" s="12"/>
      <c r="K244" s="12"/>
      <c r="L244" s="12"/>
      <c r="M244" s="12"/>
      <c r="N244" s="12"/>
      <c r="O244" s="12"/>
      <c r="P244" s="12"/>
      <c r="Q244" s="12"/>
      <c r="R244" s="12"/>
      <c r="S244" s="12"/>
      <c r="T244" s="12"/>
      <c r="U244" s="12"/>
      <c r="V244" s="12"/>
      <c r="W244" s="12"/>
      <c r="X244" s="12"/>
      <c r="Y244" s="12"/>
      <c r="Z244" s="12"/>
      <c r="AA244" s="12"/>
      <c r="AB244" s="12"/>
      <c r="AC244" s="12"/>
      <c r="AD244" s="12"/>
      <c r="AE244" s="12"/>
      <c r="AF244" s="12"/>
      <c r="AG244" s="12"/>
      <c r="AH244" s="12"/>
      <c r="AI244" s="12"/>
      <c r="AJ244" s="12"/>
      <c r="AK244" s="12"/>
      <c r="AL244" s="12"/>
      <c r="AM244" s="12"/>
      <c r="AN244" s="12"/>
      <c r="AO244" s="12"/>
      <c r="AP244" s="12"/>
      <c r="AQ244" s="12"/>
      <c r="AR244" s="12"/>
      <c r="AS244" s="12"/>
      <c r="AT244" s="12"/>
      <c r="AU244" s="12"/>
      <c r="AV244" s="12"/>
      <c r="AW244" s="12"/>
      <c r="AX244" s="12"/>
      <c r="AY244" s="12"/>
      <c r="AZ244" s="12"/>
      <c r="BA244" s="12"/>
    </row>
    <row r="245" spans="4:53">
      <c r="D245" s="12"/>
      <c r="E245" s="12"/>
      <c r="F245" s="12"/>
      <c r="G245" s="12"/>
      <c r="H245" s="12"/>
      <c r="I245" s="12"/>
      <c r="J245" s="12"/>
      <c r="K245" s="12"/>
      <c r="L245" s="12"/>
      <c r="M245" s="12"/>
      <c r="N245" s="12"/>
      <c r="O245" s="12"/>
      <c r="P245" s="12"/>
      <c r="Q245" s="12"/>
      <c r="R245" s="12"/>
      <c r="S245" s="12"/>
      <c r="T245" s="12"/>
      <c r="U245" s="12"/>
      <c r="V245" s="12"/>
      <c r="W245" s="12"/>
      <c r="X245" s="12"/>
      <c r="Y245" s="12"/>
      <c r="Z245" s="12"/>
      <c r="AA245" s="12"/>
      <c r="AB245" s="12"/>
      <c r="AC245" s="12"/>
      <c r="AD245" s="12"/>
      <c r="AE245" s="12"/>
      <c r="AF245" s="12"/>
      <c r="AG245" s="12"/>
      <c r="AH245" s="12"/>
      <c r="AI245" s="12"/>
      <c r="AJ245" s="12"/>
      <c r="AK245" s="12"/>
      <c r="AL245" s="12"/>
      <c r="AM245" s="12"/>
      <c r="AN245" s="12"/>
      <c r="AO245" s="12"/>
      <c r="AP245" s="12"/>
      <c r="AQ245" s="12"/>
      <c r="AR245" s="12"/>
      <c r="AS245" s="12"/>
      <c r="AT245" s="12"/>
      <c r="AU245" s="12"/>
      <c r="AV245" s="12"/>
      <c r="AW245" s="12"/>
      <c r="AX245" s="12"/>
      <c r="AY245" s="12"/>
      <c r="AZ245" s="12"/>
      <c r="BA245" s="12"/>
    </row>
    <row r="246" spans="4:53">
      <c r="D246" s="12"/>
      <c r="E246" s="12"/>
      <c r="F246" s="12"/>
      <c r="G246" s="12"/>
      <c r="H246" s="12"/>
      <c r="I246" s="12"/>
      <c r="J246" s="12"/>
      <c r="K246" s="12"/>
      <c r="L246" s="12"/>
      <c r="M246" s="12"/>
      <c r="N246" s="12"/>
      <c r="O246" s="12"/>
      <c r="P246" s="12"/>
      <c r="Q246" s="12"/>
      <c r="R246" s="12"/>
      <c r="S246" s="12"/>
      <c r="T246" s="12"/>
      <c r="U246" s="12"/>
      <c r="V246" s="12"/>
      <c r="W246" s="12"/>
      <c r="X246" s="12"/>
      <c r="Y246" s="12"/>
      <c r="Z246" s="12"/>
      <c r="AA246" s="12"/>
      <c r="AB246" s="12"/>
      <c r="AC246" s="12"/>
      <c r="AD246" s="12"/>
      <c r="AE246" s="12"/>
      <c r="AF246" s="12"/>
      <c r="AG246" s="12"/>
      <c r="AH246" s="12"/>
      <c r="AI246" s="12"/>
      <c r="AJ246" s="12"/>
      <c r="AK246" s="12"/>
      <c r="AL246" s="12"/>
      <c r="AM246" s="12"/>
      <c r="AN246" s="12"/>
      <c r="AO246" s="12"/>
      <c r="AP246" s="12"/>
      <c r="AQ246" s="12"/>
      <c r="AR246" s="12"/>
      <c r="AS246" s="12"/>
      <c r="AT246" s="12"/>
      <c r="AU246" s="12"/>
      <c r="AV246" s="12"/>
      <c r="AW246" s="12"/>
      <c r="AX246" s="12"/>
      <c r="AY246" s="12"/>
      <c r="AZ246" s="12"/>
      <c r="BA246" s="12"/>
    </row>
    <row r="247" spans="4:53">
      <c r="D247" s="12"/>
      <c r="E247" s="12"/>
      <c r="F247" s="12"/>
      <c r="G247" s="12"/>
      <c r="H247" s="12"/>
      <c r="I247" s="12"/>
      <c r="J247" s="12"/>
      <c r="K247" s="12"/>
      <c r="L247" s="12"/>
      <c r="M247" s="12"/>
      <c r="N247" s="12"/>
      <c r="O247" s="12"/>
      <c r="P247" s="12"/>
      <c r="Q247" s="12"/>
      <c r="R247" s="12"/>
      <c r="S247" s="12"/>
      <c r="T247" s="12"/>
      <c r="U247" s="12"/>
      <c r="V247" s="12"/>
      <c r="W247" s="12"/>
      <c r="X247" s="12"/>
      <c r="Y247" s="12"/>
      <c r="Z247" s="12"/>
      <c r="AA247" s="12"/>
      <c r="AB247" s="12"/>
      <c r="AC247" s="12"/>
      <c r="AD247" s="12"/>
      <c r="AE247" s="12"/>
      <c r="AF247" s="12"/>
      <c r="AG247" s="12"/>
      <c r="AH247" s="12"/>
      <c r="AI247" s="12"/>
      <c r="AJ247" s="12"/>
      <c r="AK247" s="12"/>
      <c r="AL247" s="12"/>
      <c r="AM247" s="12"/>
      <c r="AN247" s="12"/>
      <c r="AO247" s="12"/>
      <c r="AP247" s="12"/>
      <c r="AQ247" s="12"/>
      <c r="AR247" s="12"/>
      <c r="AS247" s="12"/>
      <c r="AT247" s="12"/>
      <c r="AU247" s="12"/>
      <c r="AV247" s="12"/>
      <c r="AW247" s="12"/>
      <c r="AX247" s="12"/>
      <c r="AY247" s="12"/>
      <c r="AZ247" s="12"/>
      <c r="BA247" s="12"/>
    </row>
    <row r="248" spans="4:53">
      <c r="D248" s="12"/>
      <c r="E248" s="12"/>
      <c r="F248" s="12"/>
      <c r="G248" s="12"/>
      <c r="H248" s="12"/>
      <c r="I248" s="12"/>
      <c r="J248" s="12"/>
      <c r="K248" s="12"/>
      <c r="L248" s="12"/>
      <c r="M248" s="12"/>
      <c r="N248" s="12"/>
      <c r="O248" s="12"/>
      <c r="P248" s="12"/>
      <c r="Q248" s="12"/>
      <c r="R248" s="12"/>
      <c r="S248" s="12"/>
      <c r="T248" s="12"/>
      <c r="U248" s="12"/>
      <c r="V248" s="12"/>
      <c r="W248" s="12"/>
      <c r="X248" s="12"/>
      <c r="Y248" s="12"/>
      <c r="Z248" s="12"/>
      <c r="AA248" s="12"/>
      <c r="AB248" s="12"/>
      <c r="AC248" s="12"/>
      <c r="AD248" s="12"/>
      <c r="AE248" s="12"/>
      <c r="AF248" s="12"/>
      <c r="AG248" s="12"/>
      <c r="AH248" s="12"/>
      <c r="AI248" s="12"/>
      <c r="AJ248" s="12"/>
      <c r="AK248" s="12"/>
      <c r="AL248" s="12"/>
      <c r="AM248" s="12"/>
      <c r="AN248" s="12"/>
      <c r="AO248" s="12"/>
      <c r="AP248" s="12"/>
      <c r="AQ248" s="12"/>
      <c r="AR248" s="12"/>
      <c r="AS248" s="12"/>
      <c r="AT248" s="12"/>
      <c r="AU248" s="12"/>
      <c r="AV248" s="12"/>
      <c r="AW248" s="12"/>
      <c r="AX248" s="12"/>
      <c r="AY248" s="12"/>
      <c r="AZ248" s="12"/>
      <c r="BA248" s="12"/>
    </row>
    <row r="249" spans="4:53">
      <c r="D249" s="12"/>
      <c r="E249" s="12"/>
      <c r="F249" s="12"/>
      <c r="G249" s="12"/>
      <c r="H249" s="12"/>
      <c r="I249" s="12"/>
      <c r="J249" s="12"/>
      <c r="K249" s="12"/>
      <c r="L249" s="12"/>
      <c r="M249" s="12"/>
      <c r="N249" s="12"/>
      <c r="O249" s="12"/>
      <c r="P249" s="12"/>
      <c r="Q249" s="12"/>
      <c r="R249" s="12"/>
      <c r="S249" s="12"/>
      <c r="T249" s="12"/>
      <c r="U249" s="12"/>
      <c r="V249" s="12"/>
      <c r="W249" s="12"/>
      <c r="X249" s="12"/>
      <c r="Y249" s="12"/>
      <c r="Z249" s="12"/>
      <c r="AA249" s="12"/>
      <c r="AB249" s="12"/>
      <c r="AC249" s="12"/>
      <c r="AD249" s="12"/>
      <c r="AE249" s="12"/>
      <c r="AF249" s="12"/>
      <c r="AG249" s="12"/>
      <c r="AH249" s="12"/>
      <c r="AI249" s="12"/>
      <c r="AJ249" s="12"/>
      <c r="AK249" s="12"/>
      <c r="AL249" s="12"/>
      <c r="AM249" s="12"/>
      <c r="AN249" s="12"/>
      <c r="AO249" s="12"/>
      <c r="AP249" s="12"/>
      <c r="AQ249" s="12"/>
      <c r="AR249" s="12"/>
      <c r="AS249" s="12"/>
      <c r="AT249" s="12"/>
      <c r="AU249" s="12"/>
      <c r="AV249" s="12"/>
      <c r="AW249" s="12"/>
      <c r="AX249" s="12"/>
      <c r="AY249" s="12"/>
      <c r="AZ249" s="12"/>
      <c r="BA249" s="12"/>
    </row>
    <row r="250" spans="4:53">
      <c r="D250" s="12"/>
      <c r="E250" s="12"/>
      <c r="F250" s="12"/>
      <c r="G250" s="12"/>
      <c r="H250" s="12"/>
      <c r="I250" s="12"/>
      <c r="J250" s="12"/>
      <c r="K250" s="12"/>
      <c r="L250" s="12"/>
      <c r="M250" s="12"/>
      <c r="N250" s="12"/>
      <c r="O250" s="12"/>
      <c r="P250" s="12"/>
      <c r="Q250" s="12"/>
      <c r="R250" s="12"/>
      <c r="S250" s="12"/>
      <c r="T250" s="12"/>
      <c r="U250" s="12"/>
      <c r="V250" s="12"/>
      <c r="W250" s="12"/>
      <c r="X250" s="12"/>
      <c r="Y250" s="12"/>
      <c r="Z250" s="12"/>
      <c r="AA250" s="12"/>
      <c r="AB250" s="12"/>
      <c r="AC250" s="12"/>
      <c r="AD250" s="12"/>
      <c r="AE250" s="12"/>
      <c r="AF250" s="12"/>
      <c r="AG250" s="12"/>
      <c r="AH250" s="12"/>
      <c r="AI250" s="12"/>
      <c r="AJ250" s="12"/>
      <c r="AK250" s="12"/>
      <c r="AL250" s="12"/>
      <c r="AM250" s="12"/>
      <c r="AN250" s="12"/>
      <c r="AO250" s="12"/>
      <c r="AP250" s="12"/>
      <c r="AQ250" s="12"/>
      <c r="AR250" s="12"/>
      <c r="AS250" s="12"/>
      <c r="AT250" s="12"/>
      <c r="AU250" s="12"/>
      <c r="AV250" s="12"/>
      <c r="AW250" s="12"/>
      <c r="AX250" s="12"/>
      <c r="AY250" s="12"/>
      <c r="AZ250" s="12"/>
      <c r="BA250" s="12"/>
    </row>
    <row r="251" spans="4:53">
      <c r="D251" s="12"/>
      <c r="E251" s="12"/>
      <c r="F251" s="12"/>
      <c r="G251" s="12"/>
      <c r="H251" s="12"/>
      <c r="I251" s="12"/>
      <c r="J251" s="12"/>
      <c r="K251" s="12"/>
      <c r="L251" s="12"/>
      <c r="M251" s="12"/>
      <c r="N251" s="12"/>
      <c r="O251" s="12"/>
      <c r="P251" s="12"/>
      <c r="Q251" s="12"/>
      <c r="R251" s="12"/>
      <c r="S251" s="12"/>
      <c r="T251" s="12"/>
      <c r="U251" s="12"/>
      <c r="V251" s="12"/>
      <c r="W251" s="12"/>
      <c r="X251" s="12"/>
      <c r="Y251" s="12"/>
      <c r="Z251" s="12"/>
      <c r="AA251" s="12"/>
      <c r="AB251" s="12"/>
      <c r="AC251" s="12"/>
      <c r="AD251" s="12"/>
      <c r="AE251" s="12"/>
      <c r="AF251" s="12"/>
      <c r="AG251" s="12"/>
      <c r="AH251" s="12"/>
      <c r="AI251" s="12"/>
      <c r="AJ251" s="12"/>
      <c r="AK251" s="12"/>
      <c r="AL251" s="12"/>
      <c r="AM251" s="12"/>
      <c r="AN251" s="12"/>
      <c r="AO251" s="12"/>
      <c r="AP251" s="12"/>
      <c r="AQ251" s="12"/>
      <c r="AR251" s="12"/>
      <c r="AS251" s="12"/>
      <c r="AT251" s="12"/>
      <c r="AU251" s="12"/>
      <c r="AV251" s="12"/>
      <c r="AW251" s="12"/>
      <c r="AX251" s="12"/>
      <c r="AY251" s="12"/>
      <c r="AZ251" s="12"/>
      <c r="BA251" s="12"/>
    </row>
    <row r="252" spans="4:53">
      <c r="D252" s="12"/>
      <c r="E252" s="12"/>
      <c r="F252" s="12"/>
      <c r="G252" s="12"/>
      <c r="H252" s="12"/>
      <c r="I252" s="12"/>
      <c r="J252" s="12"/>
      <c r="K252" s="12"/>
      <c r="L252" s="12"/>
      <c r="M252" s="12"/>
      <c r="N252" s="12"/>
      <c r="O252" s="12"/>
      <c r="P252" s="12"/>
      <c r="Q252" s="12"/>
      <c r="R252" s="12"/>
      <c r="S252" s="12"/>
      <c r="T252" s="12"/>
      <c r="U252" s="12"/>
      <c r="V252" s="12"/>
      <c r="W252" s="12"/>
      <c r="X252" s="12"/>
      <c r="Y252" s="12"/>
      <c r="Z252" s="12"/>
      <c r="AA252" s="12"/>
      <c r="AB252" s="12"/>
      <c r="AC252" s="12"/>
      <c r="AD252" s="12"/>
      <c r="AE252" s="12"/>
      <c r="AF252" s="12"/>
      <c r="AG252" s="12"/>
      <c r="AH252" s="12"/>
      <c r="AI252" s="12"/>
      <c r="AJ252" s="12"/>
      <c r="AK252" s="12"/>
      <c r="AL252" s="12"/>
      <c r="AM252" s="12"/>
      <c r="AN252" s="12"/>
      <c r="AO252" s="12"/>
      <c r="AP252" s="12"/>
      <c r="AQ252" s="12"/>
      <c r="AR252" s="12"/>
      <c r="AS252" s="12"/>
      <c r="AT252" s="12"/>
      <c r="AU252" s="12"/>
      <c r="AV252" s="12"/>
      <c r="AW252" s="12"/>
      <c r="AX252" s="12"/>
      <c r="AY252" s="12"/>
      <c r="AZ252" s="12"/>
      <c r="BA252" s="12"/>
    </row>
    <row r="253" spans="4:53">
      <c r="D253" s="12"/>
      <c r="E253" s="12"/>
      <c r="F253" s="12"/>
      <c r="G253" s="12"/>
      <c r="H253" s="12"/>
      <c r="I253" s="12"/>
      <c r="J253" s="12"/>
      <c r="K253" s="12"/>
      <c r="L253" s="12"/>
      <c r="M253" s="12"/>
      <c r="N253" s="12"/>
      <c r="O253" s="12"/>
      <c r="P253" s="12"/>
      <c r="Q253" s="12"/>
      <c r="R253" s="12"/>
      <c r="S253" s="12"/>
      <c r="T253" s="12"/>
      <c r="U253" s="12"/>
      <c r="V253" s="12"/>
      <c r="W253" s="12"/>
      <c r="X253" s="12"/>
      <c r="Y253" s="12"/>
      <c r="Z253" s="12"/>
      <c r="AA253" s="12"/>
      <c r="AB253" s="12"/>
      <c r="AC253" s="12"/>
      <c r="AD253" s="12"/>
      <c r="AE253" s="12"/>
      <c r="AF253" s="12"/>
      <c r="AG253" s="12"/>
      <c r="AH253" s="12"/>
      <c r="AI253" s="12"/>
      <c r="AJ253" s="12"/>
      <c r="AK253" s="12"/>
      <c r="AL253" s="12"/>
      <c r="AM253" s="12"/>
      <c r="AN253" s="12"/>
      <c r="AO253" s="12"/>
      <c r="AP253" s="12"/>
      <c r="AQ253" s="12"/>
      <c r="AR253" s="12"/>
      <c r="AS253" s="12"/>
      <c r="AT253" s="12"/>
      <c r="AU253" s="12"/>
      <c r="AV253" s="12"/>
      <c r="AW253" s="12"/>
      <c r="AX253" s="12"/>
      <c r="AY253" s="12"/>
      <c r="AZ253" s="12"/>
      <c r="BA253" s="12"/>
    </row>
    <row r="254" spans="4:53">
      <c r="D254" s="12"/>
      <c r="E254" s="12"/>
      <c r="F254" s="12"/>
      <c r="G254" s="12"/>
      <c r="H254" s="12"/>
      <c r="I254" s="12"/>
      <c r="J254" s="12"/>
      <c r="K254" s="12"/>
      <c r="L254" s="12"/>
      <c r="M254" s="12"/>
      <c r="N254" s="12"/>
      <c r="O254" s="12"/>
      <c r="P254" s="12"/>
      <c r="Q254" s="12"/>
      <c r="R254" s="12"/>
      <c r="S254" s="12"/>
      <c r="T254" s="12"/>
      <c r="U254" s="12"/>
      <c r="V254" s="12"/>
      <c r="W254" s="12"/>
      <c r="X254" s="12"/>
      <c r="Y254" s="12"/>
      <c r="Z254" s="12"/>
      <c r="AA254" s="12"/>
      <c r="AB254" s="12"/>
      <c r="AC254" s="12"/>
      <c r="AD254" s="12"/>
      <c r="AE254" s="12"/>
      <c r="AF254" s="12"/>
      <c r="AG254" s="12"/>
      <c r="AH254" s="12"/>
      <c r="AI254" s="12"/>
      <c r="AJ254" s="12"/>
      <c r="AK254" s="12"/>
      <c r="AL254" s="12"/>
      <c r="AM254" s="12"/>
      <c r="AN254" s="12"/>
      <c r="AO254" s="12"/>
      <c r="AP254" s="12"/>
      <c r="AQ254" s="12"/>
      <c r="AR254" s="12"/>
      <c r="AS254" s="12"/>
      <c r="AT254" s="12"/>
      <c r="AU254" s="12"/>
      <c r="AV254" s="12"/>
      <c r="AW254" s="12"/>
      <c r="AX254" s="12"/>
      <c r="AY254" s="12"/>
      <c r="AZ254" s="12"/>
      <c r="BA254" s="12"/>
    </row>
    <row r="255" spans="4:53">
      <c r="D255" s="12"/>
      <c r="E255" s="12"/>
      <c r="F255" s="12"/>
      <c r="G255" s="12"/>
      <c r="H255" s="12"/>
      <c r="I255" s="12"/>
      <c r="J255" s="12"/>
      <c r="K255" s="12"/>
      <c r="L255" s="12"/>
      <c r="M255" s="12"/>
      <c r="N255" s="12"/>
      <c r="O255" s="12"/>
      <c r="P255" s="12"/>
      <c r="Q255" s="12"/>
      <c r="R255" s="12"/>
      <c r="S255" s="12"/>
      <c r="T255" s="12"/>
      <c r="U255" s="12"/>
      <c r="V255" s="12"/>
      <c r="W255" s="12"/>
      <c r="X255" s="12"/>
      <c r="Y255" s="12"/>
      <c r="Z255" s="12"/>
      <c r="AA255" s="12"/>
      <c r="AB255" s="12"/>
      <c r="AC255" s="12"/>
      <c r="AD255" s="12"/>
      <c r="AE255" s="12"/>
      <c r="AF255" s="12"/>
      <c r="AG255" s="12"/>
      <c r="AH255" s="12"/>
      <c r="AI255" s="12"/>
      <c r="AJ255" s="12"/>
      <c r="AK255" s="12"/>
      <c r="AL255" s="12"/>
      <c r="AM255" s="12"/>
      <c r="AN255" s="12"/>
      <c r="AO255" s="12"/>
      <c r="AP255" s="12"/>
      <c r="AQ255" s="12"/>
      <c r="AR255" s="12"/>
      <c r="AS255" s="12"/>
      <c r="AT255" s="12"/>
      <c r="AU255" s="12"/>
      <c r="AV255" s="12"/>
      <c r="AW255" s="12"/>
      <c r="AX255" s="12"/>
      <c r="AY255" s="12"/>
      <c r="AZ255" s="12"/>
      <c r="BA255" s="12"/>
    </row>
    <row r="256" spans="4:53">
      <c r="D256" s="12"/>
      <c r="E256" s="12"/>
      <c r="F256" s="12"/>
      <c r="G256" s="12"/>
      <c r="H256" s="12"/>
      <c r="I256" s="12"/>
      <c r="J256" s="12"/>
      <c r="K256" s="12"/>
      <c r="L256" s="12"/>
      <c r="M256" s="12"/>
      <c r="N256" s="12"/>
      <c r="O256" s="12"/>
      <c r="P256" s="12"/>
      <c r="Q256" s="12"/>
      <c r="R256" s="12"/>
      <c r="S256" s="12"/>
      <c r="T256" s="12"/>
      <c r="U256" s="12"/>
      <c r="V256" s="12"/>
      <c r="W256" s="12"/>
      <c r="X256" s="12"/>
      <c r="Y256" s="12"/>
      <c r="Z256" s="12"/>
      <c r="AA256" s="12"/>
      <c r="AB256" s="12"/>
      <c r="AC256" s="12"/>
      <c r="AD256" s="12"/>
      <c r="AE256" s="12"/>
      <c r="AF256" s="12"/>
      <c r="AG256" s="12"/>
      <c r="AH256" s="12"/>
      <c r="AI256" s="12"/>
      <c r="AJ256" s="12"/>
      <c r="AK256" s="12"/>
      <c r="AL256" s="12"/>
      <c r="AM256" s="12"/>
      <c r="AN256" s="12"/>
      <c r="AO256" s="12"/>
      <c r="AP256" s="12"/>
      <c r="AQ256" s="12"/>
      <c r="AR256" s="12"/>
      <c r="AS256" s="12"/>
      <c r="AT256" s="12"/>
      <c r="AU256" s="12"/>
      <c r="AV256" s="12"/>
      <c r="AW256" s="12"/>
      <c r="AX256" s="12"/>
      <c r="AY256" s="12"/>
      <c r="AZ256" s="12"/>
      <c r="BA256" s="12"/>
    </row>
    <row r="257" spans="4:53">
      <c r="D257" s="12"/>
      <c r="E257" s="12"/>
      <c r="F257" s="12"/>
      <c r="G257" s="12"/>
      <c r="H257" s="12"/>
      <c r="I257" s="12"/>
      <c r="J257" s="12"/>
      <c r="K257" s="12"/>
      <c r="L257" s="12"/>
      <c r="M257" s="12"/>
      <c r="N257" s="12"/>
      <c r="O257" s="12"/>
      <c r="P257" s="12"/>
      <c r="Q257" s="12"/>
      <c r="R257" s="12"/>
      <c r="S257" s="12"/>
      <c r="T257" s="12"/>
      <c r="U257" s="12"/>
      <c r="V257" s="12"/>
      <c r="W257" s="12"/>
      <c r="X257" s="12"/>
      <c r="Y257" s="12"/>
      <c r="Z257" s="12"/>
      <c r="AA257" s="12"/>
      <c r="AB257" s="12"/>
      <c r="AC257" s="12"/>
      <c r="AD257" s="12"/>
      <c r="AE257" s="12"/>
      <c r="AF257" s="12"/>
      <c r="AG257" s="12"/>
      <c r="AH257" s="12"/>
      <c r="AI257" s="12"/>
      <c r="AJ257" s="12"/>
      <c r="AK257" s="12"/>
      <c r="AL257" s="12"/>
      <c r="AM257" s="12"/>
      <c r="AN257" s="12"/>
      <c r="AO257" s="12"/>
      <c r="AP257" s="12"/>
      <c r="AQ257" s="12"/>
      <c r="AR257" s="12"/>
      <c r="AS257" s="12"/>
      <c r="AT257" s="12"/>
      <c r="AU257" s="12"/>
      <c r="AV257" s="12"/>
      <c r="AW257" s="12"/>
      <c r="AX257" s="12"/>
      <c r="AY257" s="12"/>
      <c r="AZ257" s="12"/>
      <c r="BA257" s="12"/>
    </row>
    <row r="258" spans="4:53">
      <c r="D258" s="12"/>
      <c r="E258" s="12"/>
      <c r="F258" s="12"/>
      <c r="G258" s="12"/>
      <c r="H258" s="12"/>
      <c r="I258" s="12"/>
      <c r="J258" s="12"/>
      <c r="K258" s="12"/>
      <c r="L258" s="12"/>
      <c r="M258" s="12"/>
      <c r="N258" s="12"/>
      <c r="O258" s="12"/>
      <c r="P258" s="12"/>
      <c r="Q258" s="12"/>
      <c r="R258" s="12"/>
      <c r="S258" s="12"/>
      <c r="T258" s="12"/>
      <c r="U258" s="12"/>
      <c r="V258" s="12"/>
      <c r="W258" s="12"/>
      <c r="X258" s="12"/>
      <c r="Y258" s="12"/>
      <c r="Z258" s="12"/>
      <c r="AA258" s="12"/>
      <c r="AB258" s="12"/>
      <c r="AC258" s="12"/>
      <c r="AD258" s="12"/>
      <c r="AE258" s="12"/>
      <c r="AF258" s="12"/>
      <c r="AG258" s="12"/>
      <c r="AH258" s="12"/>
      <c r="AI258" s="12"/>
      <c r="AJ258" s="12"/>
      <c r="AK258" s="12"/>
      <c r="AL258" s="12"/>
      <c r="AM258" s="12"/>
      <c r="AN258" s="12"/>
      <c r="AO258" s="12"/>
      <c r="AP258" s="12"/>
      <c r="AQ258" s="12"/>
      <c r="AR258" s="12"/>
      <c r="AS258" s="12"/>
      <c r="AT258" s="12"/>
      <c r="AU258" s="12"/>
      <c r="AV258" s="12"/>
      <c r="AW258" s="12"/>
      <c r="AX258" s="12"/>
      <c r="AY258" s="12"/>
      <c r="AZ258" s="12"/>
      <c r="BA258" s="12"/>
    </row>
    <row r="259" spans="4:53">
      <c r="D259" s="12"/>
      <c r="E259" s="12"/>
      <c r="F259" s="12"/>
      <c r="G259" s="12"/>
      <c r="H259" s="12"/>
      <c r="I259" s="12"/>
      <c r="J259" s="12"/>
      <c r="K259" s="12"/>
      <c r="L259" s="12"/>
      <c r="M259" s="12"/>
      <c r="N259" s="12"/>
      <c r="O259" s="12"/>
      <c r="P259" s="12"/>
      <c r="Q259" s="12"/>
      <c r="R259" s="12"/>
      <c r="S259" s="12"/>
      <c r="T259" s="12"/>
      <c r="U259" s="12"/>
      <c r="V259" s="12"/>
      <c r="W259" s="12"/>
      <c r="X259" s="12"/>
      <c r="Y259" s="12"/>
      <c r="Z259" s="12"/>
      <c r="AA259" s="12"/>
      <c r="AB259" s="12"/>
      <c r="AC259" s="12"/>
      <c r="AD259" s="12"/>
      <c r="AE259" s="12"/>
      <c r="AF259" s="12"/>
      <c r="AG259" s="12"/>
      <c r="AH259" s="12"/>
      <c r="AI259" s="12"/>
      <c r="AJ259" s="12"/>
      <c r="AK259" s="12"/>
      <c r="AL259" s="12"/>
      <c r="AM259" s="12"/>
      <c r="AN259" s="12"/>
      <c r="AO259" s="12"/>
      <c r="AP259" s="12"/>
      <c r="AQ259" s="12"/>
      <c r="AR259" s="12"/>
      <c r="AS259" s="12"/>
      <c r="AT259" s="12"/>
      <c r="AU259" s="12"/>
      <c r="AV259" s="12"/>
      <c r="AW259" s="12"/>
      <c r="AX259" s="12"/>
      <c r="AY259" s="12"/>
      <c r="AZ259" s="12"/>
      <c r="BA259" s="12"/>
    </row>
    <row r="260" spans="4:53">
      <c r="D260" s="12"/>
      <c r="E260" s="12"/>
      <c r="F260" s="12"/>
      <c r="G260" s="12"/>
      <c r="H260" s="12"/>
      <c r="I260" s="12"/>
      <c r="J260" s="12"/>
      <c r="K260" s="12"/>
      <c r="L260" s="12"/>
      <c r="M260" s="12"/>
      <c r="N260" s="12"/>
      <c r="O260" s="12"/>
      <c r="P260" s="12"/>
      <c r="Q260" s="12"/>
      <c r="R260" s="12"/>
      <c r="S260" s="12"/>
      <c r="T260" s="12"/>
      <c r="U260" s="12"/>
      <c r="V260" s="12"/>
      <c r="W260" s="12"/>
      <c r="X260" s="12"/>
      <c r="Y260" s="12"/>
      <c r="Z260" s="12"/>
      <c r="AA260" s="12"/>
      <c r="AB260" s="12"/>
      <c r="AC260" s="12"/>
      <c r="AD260" s="12"/>
      <c r="AE260" s="12"/>
      <c r="AF260" s="12"/>
      <c r="AG260" s="12"/>
      <c r="AH260" s="12"/>
      <c r="AI260" s="12"/>
      <c r="AJ260" s="12"/>
      <c r="AK260" s="12"/>
      <c r="AL260" s="12"/>
      <c r="AM260" s="12"/>
      <c r="AN260" s="12"/>
      <c r="AO260" s="12"/>
      <c r="AP260" s="12"/>
      <c r="AQ260" s="12"/>
      <c r="AR260" s="12"/>
      <c r="AS260" s="12"/>
      <c r="AT260" s="12"/>
      <c r="AU260" s="12"/>
      <c r="AV260" s="12"/>
      <c r="AW260" s="12"/>
      <c r="AX260" s="12"/>
      <c r="AY260" s="12"/>
      <c r="AZ260" s="12"/>
      <c r="BA260" s="12"/>
    </row>
    <row r="261" spans="4:53">
      <c r="D261" s="12"/>
      <c r="E261" s="12"/>
      <c r="F261" s="12"/>
      <c r="G261" s="12"/>
      <c r="H261" s="12"/>
      <c r="I261" s="12"/>
      <c r="J261" s="12"/>
      <c r="K261" s="12"/>
      <c r="L261" s="12"/>
      <c r="M261" s="12"/>
      <c r="N261" s="12"/>
      <c r="O261" s="12"/>
      <c r="P261" s="12"/>
      <c r="Q261" s="12"/>
      <c r="R261" s="12"/>
      <c r="S261" s="12"/>
      <c r="T261" s="12"/>
      <c r="U261" s="12"/>
      <c r="V261" s="12"/>
      <c r="W261" s="12"/>
      <c r="X261" s="12"/>
      <c r="Y261" s="12"/>
      <c r="Z261" s="12"/>
      <c r="AA261" s="12"/>
      <c r="AB261" s="12"/>
      <c r="AC261" s="12"/>
      <c r="AD261" s="12"/>
      <c r="AE261" s="12"/>
      <c r="AF261" s="12"/>
      <c r="AG261" s="12"/>
      <c r="AH261" s="12"/>
      <c r="AI261" s="12"/>
      <c r="AJ261" s="12"/>
      <c r="AK261" s="12"/>
      <c r="AL261" s="12"/>
      <c r="AM261" s="12"/>
      <c r="AN261" s="12"/>
      <c r="AO261" s="12"/>
      <c r="AP261" s="12"/>
      <c r="AQ261" s="12"/>
      <c r="AR261" s="12"/>
      <c r="AS261" s="12"/>
      <c r="AT261" s="12"/>
      <c r="AU261" s="12"/>
      <c r="AV261" s="12"/>
      <c r="AW261" s="12"/>
      <c r="AX261" s="12"/>
      <c r="AY261" s="12"/>
      <c r="AZ261" s="12"/>
      <c r="BA261" s="12"/>
    </row>
    <row r="262" spans="4:53">
      <c r="D262" s="12"/>
      <c r="E262" s="12"/>
      <c r="F262" s="12"/>
      <c r="G262" s="12"/>
      <c r="H262" s="12"/>
      <c r="I262" s="12"/>
      <c r="J262" s="12"/>
      <c r="K262" s="12"/>
      <c r="L262" s="12"/>
      <c r="M262" s="12"/>
      <c r="N262" s="12"/>
      <c r="O262" s="12"/>
      <c r="P262" s="12"/>
      <c r="Q262" s="12"/>
      <c r="R262" s="12"/>
      <c r="S262" s="12"/>
      <c r="T262" s="12"/>
      <c r="U262" s="12"/>
      <c r="V262" s="12"/>
      <c r="W262" s="12"/>
      <c r="X262" s="12"/>
      <c r="Y262" s="12"/>
      <c r="Z262" s="12"/>
      <c r="AA262" s="12"/>
      <c r="AB262" s="12"/>
      <c r="AC262" s="12"/>
      <c r="AD262" s="12"/>
      <c r="AE262" s="12"/>
      <c r="AF262" s="12"/>
      <c r="AG262" s="12"/>
      <c r="AH262" s="12"/>
      <c r="AI262" s="12"/>
      <c r="AJ262" s="12"/>
      <c r="AK262" s="12"/>
      <c r="AL262" s="12"/>
      <c r="AM262" s="12"/>
      <c r="AN262" s="12"/>
      <c r="AO262" s="12"/>
      <c r="AP262" s="12"/>
      <c r="AQ262" s="12"/>
      <c r="AR262" s="12"/>
      <c r="AS262" s="12"/>
      <c r="AT262" s="12"/>
      <c r="AU262" s="12"/>
      <c r="AV262" s="12"/>
      <c r="AW262" s="12"/>
      <c r="AX262" s="12"/>
      <c r="AY262" s="12"/>
      <c r="AZ262" s="12"/>
      <c r="BA262" s="12"/>
    </row>
    <row r="263" spans="4:53">
      <c r="D263" s="12"/>
      <c r="E263" s="12"/>
      <c r="F263" s="12"/>
      <c r="G263" s="12"/>
      <c r="H263" s="12"/>
      <c r="I263" s="12"/>
      <c r="J263" s="12"/>
      <c r="K263" s="12"/>
      <c r="L263" s="12"/>
      <c r="M263" s="12"/>
      <c r="N263" s="12"/>
      <c r="O263" s="12"/>
      <c r="P263" s="12"/>
      <c r="Q263" s="12"/>
      <c r="R263" s="12"/>
      <c r="S263" s="12"/>
      <c r="T263" s="12"/>
      <c r="U263" s="12"/>
      <c r="V263" s="12"/>
      <c r="W263" s="12"/>
      <c r="X263" s="12"/>
      <c r="Y263" s="12"/>
      <c r="Z263" s="12"/>
      <c r="AA263" s="12"/>
      <c r="AB263" s="12"/>
      <c r="AC263" s="12"/>
      <c r="AD263" s="12"/>
      <c r="AE263" s="12"/>
      <c r="AF263" s="12"/>
      <c r="AG263" s="12"/>
      <c r="AH263" s="12"/>
      <c r="AI263" s="12"/>
      <c r="AJ263" s="12"/>
      <c r="AK263" s="12"/>
      <c r="AL263" s="12"/>
      <c r="AM263" s="12"/>
      <c r="AN263" s="12"/>
      <c r="AO263" s="12"/>
      <c r="AP263" s="12"/>
      <c r="AQ263" s="12"/>
      <c r="AR263" s="12"/>
      <c r="AS263" s="12"/>
      <c r="AT263" s="12"/>
      <c r="AU263" s="12"/>
      <c r="AV263" s="12"/>
      <c r="AW263" s="12"/>
      <c r="AX263" s="12"/>
      <c r="AY263" s="12"/>
      <c r="AZ263" s="12"/>
      <c r="BA263" s="12"/>
    </row>
    <row r="264" spans="4:53">
      <c r="D264" s="12"/>
      <c r="E264" s="12"/>
      <c r="F264" s="12"/>
      <c r="G264" s="12"/>
      <c r="H264" s="12"/>
      <c r="I264" s="12"/>
      <c r="J264" s="12"/>
      <c r="K264" s="12"/>
      <c r="L264" s="12"/>
      <c r="M264" s="12"/>
      <c r="N264" s="12"/>
      <c r="O264" s="12"/>
      <c r="P264" s="12"/>
      <c r="Q264" s="12"/>
      <c r="R264" s="12"/>
      <c r="S264" s="12"/>
      <c r="T264" s="12"/>
      <c r="U264" s="12"/>
      <c r="V264" s="12"/>
      <c r="W264" s="12"/>
      <c r="X264" s="12"/>
      <c r="Y264" s="12"/>
      <c r="Z264" s="12"/>
      <c r="AA264" s="12"/>
      <c r="AB264" s="12"/>
      <c r="AC264" s="12"/>
      <c r="AD264" s="12"/>
      <c r="AE264" s="12"/>
      <c r="AF264" s="12"/>
      <c r="AG264" s="12"/>
      <c r="AH264" s="12"/>
      <c r="AI264" s="12"/>
      <c r="AJ264" s="12"/>
      <c r="AK264" s="12"/>
      <c r="AL264" s="12"/>
      <c r="AM264" s="12"/>
      <c r="AN264" s="12"/>
      <c r="AO264" s="12"/>
      <c r="AP264" s="12"/>
      <c r="AQ264" s="12"/>
      <c r="AR264" s="12"/>
      <c r="AS264" s="12"/>
      <c r="AT264" s="12"/>
      <c r="AU264" s="12"/>
      <c r="AV264" s="12"/>
      <c r="AW264" s="12"/>
      <c r="AX264" s="12"/>
      <c r="AY264" s="12"/>
      <c r="AZ264" s="12"/>
      <c r="BA264" s="12"/>
    </row>
    <row r="265" spans="4:53">
      <c r="D265" s="12"/>
      <c r="E265" s="12"/>
      <c r="F265" s="12"/>
      <c r="G265" s="12"/>
      <c r="H265" s="12"/>
      <c r="I265" s="12"/>
      <c r="J265" s="12"/>
      <c r="K265" s="12"/>
      <c r="L265" s="12"/>
      <c r="M265" s="12"/>
      <c r="N265" s="12"/>
      <c r="O265" s="12"/>
      <c r="P265" s="12"/>
      <c r="Q265" s="12"/>
      <c r="R265" s="12"/>
      <c r="S265" s="12"/>
      <c r="T265" s="12"/>
      <c r="U265" s="12"/>
      <c r="V265" s="12"/>
      <c r="W265" s="12"/>
      <c r="X265" s="12"/>
      <c r="Y265" s="12"/>
      <c r="Z265" s="12"/>
      <c r="AA265" s="12"/>
      <c r="AB265" s="12"/>
      <c r="AC265" s="12"/>
      <c r="AD265" s="12"/>
      <c r="AE265" s="12"/>
      <c r="AF265" s="12"/>
      <c r="AG265" s="12"/>
      <c r="AH265" s="12"/>
      <c r="AI265" s="12"/>
      <c r="AJ265" s="12"/>
      <c r="AK265" s="12"/>
      <c r="AL265" s="12"/>
      <c r="AM265" s="12"/>
      <c r="AN265" s="12"/>
      <c r="AO265" s="12"/>
      <c r="AP265" s="12"/>
      <c r="AQ265" s="12"/>
      <c r="AR265" s="12"/>
      <c r="AS265" s="12"/>
      <c r="AT265" s="12"/>
      <c r="AU265" s="12"/>
      <c r="AV265" s="12"/>
      <c r="AW265" s="12"/>
      <c r="AX265" s="12"/>
      <c r="AY265" s="12"/>
      <c r="AZ265" s="12"/>
      <c r="BA265" s="12"/>
    </row>
    <row r="266" spans="4:53">
      <c r="D266" s="12"/>
      <c r="E266" s="12"/>
      <c r="F266" s="12"/>
      <c r="G266" s="12"/>
      <c r="H266" s="12"/>
      <c r="I266" s="12"/>
      <c r="J266" s="12"/>
      <c r="K266" s="12"/>
      <c r="L266" s="12"/>
      <c r="M266" s="12"/>
      <c r="N266" s="12"/>
      <c r="O266" s="12"/>
      <c r="P266" s="12"/>
      <c r="Q266" s="12"/>
      <c r="R266" s="12"/>
      <c r="S266" s="12"/>
      <c r="T266" s="12"/>
      <c r="U266" s="12"/>
      <c r="V266" s="12"/>
      <c r="W266" s="12"/>
      <c r="X266" s="12"/>
      <c r="Y266" s="12"/>
      <c r="Z266" s="12"/>
      <c r="AA266" s="12"/>
      <c r="AB266" s="12"/>
      <c r="AC266" s="12"/>
      <c r="AD266" s="12"/>
      <c r="AE266" s="12"/>
      <c r="AF266" s="12"/>
      <c r="AG266" s="12"/>
      <c r="AH266" s="12"/>
      <c r="AI266" s="12"/>
      <c r="AJ266" s="12"/>
      <c r="AK266" s="12"/>
      <c r="AL266" s="12"/>
      <c r="AM266" s="12"/>
      <c r="AN266" s="12"/>
      <c r="AO266" s="12"/>
      <c r="AP266" s="12"/>
      <c r="AQ266" s="12"/>
      <c r="AR266" s="12"/>
      <c r="AS266" s="12"/>
      <c r="AT266" s="12"/>
      <c r="AU266" s="12"/>
      <c r="AV266" s="12"/>
      <c r="AW266" s="12"/>
      <c r="AX266" s="12"/>
      <c r="AY266" s="12"/>
      <c r="AZ266" s="12"/>
      <c r="BA266" s="12"/>
    </row>
    <row r="267" spans="4:53">
      <c r="D267" s="12"/>
      <c r="E267" s="12"/>
      <c r="F267" s="12"/>
      <c r="G267" s="12"/>
      <c r="H267" s="12"/>
      <c r="I267" s="12"/>
      <c r="J267" s="12"/>
      <c r="K267" s="12"/>
      <c r="L267" s="12"/>
      <c r="M267" s="12"/>
      <c r="N267" s="12"/>
      <c r="O267" s="12"/>
      <c r="P267" s="12"/>
      <c r="Q267" s="12"/>
      <c r="R267" s="12"/>
      <c r="S267" s="12"/>
      <c r="T267" s="12"/>
      <c r="U267" s="12"/>
      <c r="V267" s="12"/>
      <c r="W267" s="12"/>
      <c r="X267" s="12"/>
      <c r="Y267" s="12"/>
      <c r="Z267" s="12"/>
      <c r="AA267" s="12"/>
      <c r="AB267" s="12"/>
      <c r="AC267" s="12"/>
      <c r="AD267" s="12"/>
      <c r="AE267" s="12"/>
      <c r="AF267" s="12"/>
      <c r="AG267" s="12"/>
      <c r="AH267" s="12"/>
      <c r="AI267" s="12"/>
      <c r="AJ267" s="12"/>
      <c r="AK267" s="12"/>
      <c r="AL267" s="12"/>
      <c r="AM267" s="12"/>
      <c r="AN267" s="12"/>
      <c r="AO267" s="12"/>
      <c r="AP267" s="12"/>
      <c r="AQ267" s="12"/>
      <c r="AR267" s="12"/>
      <c r="AS267" s="12"/>
      <c r="AT267" s="12"/>
      <c r="AU267" s="12"/>
      <c r="AV267" s="12"/>
      <c r="AW267" s="12"/>
      <c r="AX267" s="12"/>
      <c r="AY267" s="12"/>
      <c r="AZ267" s="12"/>
      <c r="BA267" s="12"/>
    </row>
    <row r="268" spans="4:53">
      <c r="D268" s="12"/>
      <c r="E268" s="12"/>
      <c r="F268" s="12"/>
      <c r="G268" s="12"/>
      <c r="H268" s="12"/>
      <c r="I268" s="12"/>
      <c r="J268" s="12"/>
      <c r="K268" s="12"/>
      <c r="L268" s="12"/>
      <c r="M268" s="12"/>
      <c r="N268" s="12"/>
      <c r="O268" s="12"/>
      <c r="P268" s="12"/>
      <c r="Q268" s="12"/>
      <c r="R268" s="12"/>
      <c r="S268" s="12"/>
      <c r="T268" s="12"/>
      <c r="U268" s="12"/>
      <c r="V268" s="12"/>
      <c r="W268" s="12"/>
      <c r="X268" s="12"/>
      <c r="Y268" s="12"/>
      <c r="Z268" s="12"/>
      <c r="AA268" s="12"/>
      <c r="AB268" s="12"/>
      <c r="AC268" s="12"/>
      <c r="AD268" s="12"/>
      <c r="AE268" s="12"/>
      <c r="AF268" s="12"/>
      <c r="AG268" s="12"/>
      <c r="AH268" s="12"/>
      <c r="AI268" s="12"/>
      <c r="AJ268" s="12"/>
      <c r="AK268" s="12"/>
      <c r="AL268" s="12"/>
      <c r="AM268" s="12"/>
      <c r="AN268" s="12"/>
      <c r="AO268" s="12"/>
      <c r="AP268" s="12"/>
      <c r="AQ268" s="12"/>
      <c r="AR268" s="12"/>
      <c r="AS268" s="12"/>
      <c r="AT268" s="12"/>
      <c r="AU268" s="12"/>
      <c r="AV268" s="12"/>
      <c r="AW268" s="12"/>
      <c r="AX268" s="12"/>
      <c r="AY268" s="12"/>
      <c r="AZ268" s="12"/>
      <c r="BA268" s="12"/>
    </row>
    <row r="269" spans="4:53">
      <c r="D269" s="12"/>
      <c r="E269" s="12"/>
      <c r="F269" s="12"/>
      <c r="G269" s="12"/>
      <c r="H269" s="12"/>
      <c r="I269" s="12"/>
      <c r="J269" s="12"/>
      <c r="K269" s="12"/>
      <c r="L269" s="12"/>
      <c r="M269" s="12"/>
      <c r="N269" s="12"/>
      <c r="O269" s="12"/>
      <c r="P269" s="12"/>
      <c r="Q269" s="12"/>
      <c r="R269" s="12"/>
      <c r="S269" s="12"/>
      <c r="T269" s="12"/>
      <c r="U269" s="12"/>
      <c r="V269" s="12"/>
      <c r="W269" s="12"/>
      <c r="X269" s="12"/>
      <c r="Y269" s="12"/>
      <c r="Z269" s="12"/>
      <c r="AA269" s="12"/>
      <c r="AB269" s="12"/>
      <c r="AC269" s="12"/>
      <c r="AD269" s="12"/>
      <c r="AE269" s="12"/>
      <c r="AF269" s="12"/>
      <c r="AG269" s="12"/>
      <c r="AH269" s="12"/>
      <c r="AI269" s="12"/>
      <c r="AJ269" s="12"/>
      <c r="AK269" s="12"/>
      <c r="AL269" s="12"/>
      <c r="AM269" s="12"/>
      <c r="AN269" s="12"/>
      <c r="AO269" s="12"/>
      <c r="AP269" s="12"/>
      <c r="AQ269" s="12"/>
      <c r="AR269" s="12"/>
      <c r="AS269" s="12"/>
      <c r="AT269" s="12"/>
      <c r="AU269" s="12"/>
      <c r="AV269" s="12"/>
      <c r="AW269" s="12"/>
      <c r="AX269" s="12"/>
      <c r="AY269" s="12"/>
      <c r="AZ269" s="12"/>
      <c r="BA269" s="12"/>
    </row>
    <row r="270" spans="4:53">
      <c r="D270" s="12"/>
      <c r="E270" s="12"/>
      <c r="F270" s="12"/>
      <c r="G270" s="12"/>
      <c r="H270" s="12"/>
      <c r="I270" s="12"/>
      <c r="J270" s="12"/>
      <c r="K270" s="12"/>
      <c r="L270" s="12"/>
      <c r="M270" s="12"/>
      <c r="N270" s="12"/>
      <c r="O270" s="12"/>
      <c r="P270" s="12"/>
      <c r="Q270" s="12"/>
      <c r="R270" s="12"/>
      <c r="S270" s="12"/>
      <c r="T270" s="12"/>
      <c r="U270" s="12"/>
      <c r="V270" s="12"/>
      <c r="W270" s="12"/>
      <c r="X270" s="12"/>
      <c r="Y270" s="12"/>
      <c r="Z270" s="12"/>
      <c r="AA270" s="12"/>
      <c r="AB270" s="12"/>
      <c r="AC270" s="12"/>
      <c r="AD270" s="12"/>
      <c r="AE270" s="12"/>
      <c r="AF270" s="12"/>
      <c r="AG270" s="12"/>
      <c r="AH270" s="12"/>
      <c r="AI270" s="12"/>
      <c r="AJ270" s="12"/>
      <c r="AK270" s="12"/>
      <c r="AL270" s="12"/>
      <c r="AM270" s="12"/>
      <c r="AN270" s="12"/>
      <c r="AO270" s="12"/>
      <c r="AP270" s="12"/>
      <c r="AQ270" s="12"/>
      <c r="AR270" s="12"/>
      <c r="AS270" s="12"/>
      <c r="AT270" s="12"/>
      <c r="AU270" s="12"/>
      <c r="AV270" s="12"/>
      <c r="AW270" s="12"/>
      <c r="AX270" s="12"/>
      <c r="AY270" s="12"/>
      <c r="AZ270" s="12"/>
      <c r="BA270" s="12"/>
    </row>
    <row r="271" spans="4:53">
      <c r="D271" s="12"/>
      <c r="E271" s="12"/>
      <c r="F271" s="12"/>
      <c r="G271" s="12"/>
      <c r="H271" s="12"/>
      <c r="I271" s="12"/>
      <c r="J271" s="12"/>
      <c r="K271" s="12"/>
      <c r="L271" s="12"/>
      <c r="M271" s="12"/>
      <c r="N271" s="12"/>
      <c r="O271" s="12"/>
      <c r="P271" s="12"/>
      <c r="Q271" s="12"/>
      <c r="R271" s="12"/>
      <c r="S271" s="12"/>
      <c r="T271" s="12"/>
      <c r="U271" s="12"/>
      <c r="V271" s="12"/>
      <c r="W271" s="12"/>
      <c r="X271" s="12"/>
      <c r="Y271" s="12"/>
      <c r="Z271" s="12"/>
      <c r="AA271" s="12"/>
      <c r="AB271" s="12"/>
      <c r="AC271" s="12"/>
      <c r="AD271" s="12"/>
      <c r="AE271" s="12"/>
      <c r="AF271" s="12"/>
      <c r="AG271" s="12"/>
      <c r="AH271" s="12"/>
      <c r="AI271" s="12"/>
      <c r="AJ271" s="12"/>
      <c r="AK271" s="12"/>
      <c r="AL271" s="12"/>
      <c r="AM271" s="12"/>
      <c r="AN271" s="12"/>
      <c r="AO271" s="12"/>
      <c r="AP271" s="12"/>
      <c r="AQ271" s="12"/>
      <c r="AR271" s="12"/>
      <c r="AS271" s="12"/>
      <c r="AT271" s="12"/>
      <c r="AU271" s="12"/>
      <c r="AV271" s="12"/>
      <c r="AW271" s="12"/>
      <c r="AX271" s="12"/>
      <c r="AY271" s="12"/>
      <c r="AZ271" s="12"/>
      <c r="BA271" s="12"/>
    </row>
    <row r="272" spans="4:53">
      <c r="D272" s="12"/>
      <c r="E272" s="12"/>
      <c r="F272" s="12"/>
      <c r="G272" s="12"/>
      <c r="H272" s="12"/>
      <c r="I272" s="12"/>
      <c r="J272" s="12"/>
      <c r="K272" s="12"/>
      <c r="L272" s="12"/>
      <c r="M272" s="12"/>
      <c r="N272" s="12"/>
      <c r="O272" s="12"/>
      <c r="P272" s="12"/>
      <c r="Q272" s="12"/>
      <c r="R272" s="12"/>
      <c r="S272" s="12"/>
      <c r="T272" s="12"/>
      <c r="U272" s="12"/>
      <c r="V272" s="12"/>
      <c r="W272" s="12"/>
      <c r="X272" s="12"/>
      <c r="Y272" s="12"/>
      <c r="Z272" s="12"/>
      <c r="AA272" s="12"/>
      <c r="AB272" s="12"/>
      <c r="AC272" s="12"/>
      <c r="AD272" s="12"/>
      <c r="AE272" s="12"/>
      <c r="AF272" s="12"/>
      <c r="AG272" s="12"/>
      <c r="AH272" s="12"/>
      <c r="AI272" s="12"/>
      <c r="AJ272" s="12"/>
      <c r="AK272" s="12"/>
      <c r="AL272" s="12"/>
      <c r="AM272" s="12"/>
      <c r="AN272" s="12"/>
      <c r="AO272" s="12"/>
      <c r="AP272" s="12"/>
      <c r="AQ272" s="12"/>
      <c r="AR272" s="12"/>
      <c r="AS272" s="12"/>
      <c r="AT272" s="12"/>
      <c r="AU272" s="12"/>
      <c r="AV272" s="12"/>
      <c r="AW272" s="12"/>
      <c r="AX272" s="12"/>
      <c r="AY272" s="12"/>
      <c r="AZ272" s="12"/>
      <c r="BA272" s="12"/>
    </row>
    <row r="273" spans="4:53">
      <c r="D273" s="12"/>
      <c r="E273" s="12"/>
      <c r="F273" s="12"/>
      <c r="G273" s="12"/>
      <c r="H273" s="12"/>
      <c r="I273" s="12"/>
      <c r="J273" s="12"/>
      <c r="K273" s="12"/>
      <c r="L273" s="12"/>
      <c r="M273" s="12"/>
      <c r="N273" s="12"/>
      <c r="O273" s="12"/>
      <c r="P273" s="12"/>
      <c r="Q273" s="12"/>
      <c r="R273" s="12"/>
      <c r="S273" s="12"/>
      <c r="T273" s="12"/>
      <c r="U273" s="12"/>
      <c r="V273" s="12"/>
      <c r="W273" s="12"/>
      <c r="X273" s="12"/>
      <c r="Y273" s="12"/>
      <c r="Z273" s="12"/>
      <c r="AA273" s="12"/>
      <c r="AB273" s="12"/>
      <c r="AC273" s="12"/>
      <c r="AD273" s="12"/>
      <c r="AE273" s="12"/>
      <c r="AF273" s="12"/>
      <c r="AG273" s="12"/>
      <c r="AH273" s="12"/>
      <c r="AI273" s="12"/>
      <c r="AJ273" s="12"/>
      <c r="AK273" s="12"/>
      <c r="AL273" s="12"/>
      <c r="AM273" s="12"/>
      <c r="AN273" s="12"/>
      <c r="AO273" s="12"/>
      <c r="AP273" s="12"/>
      <c r="AQ273" s="12"/>
      <c r="AR273" s="12"/>
      <c r="AS273" s="12"/>
      <c r="AT273" s="12"/>
      <c r="AU273" s="12"/>
      <c r="AV273" s="12"/>
      <c r="AW273" s="12"/>
      <c r="AX273" s="12"/>
      <c r="AY273" s="12"/>
      <c r="AZ273" s="12"/>
      <c r="BA273" s="12"/>
    </row>
    <row r="274" spans="4:53">
      <c r="D274" s="12"/>
      <c r="E274" s="12"/>
      <c r="F274" s="12"/>
      <c r="G274" s="12"/>
      <c r="H274" s="12"/>
      <c r="I274" s="12"/>
      <c r="J274" s="12"/>
      <c r="K274" s="12"/>
      <c r="L274" s="12"/>
      <c r="M274" s="12"/>
      <c r="N274" s="12"/>
      <c r="O274" s="12"/>
      <c r="P274" s="12"/>
      <c r="Q274" s="12"/>
      <c r="R274" s="12"/>
      <c r="S274" s="12"/>
      <c r="T274" s="12"/>
      <c r="U274" s="12"/>
      <c r="V274" s="12"/>
      <c r="W274" s="12"/>
      <c r="X274" s="12"/>
      <c r="Y274" s="12"/>
      <c r="Z274" s="12"/>
      <c r="AA274" s="12"/>
      <c r="AB274" s="12"/>
      <c r="AC274" s="12"/>
      <c r="AD274" s="12"/>
      <c r="AE274" s="12"/>
      <c r="AF274" s="12"/>
      <c r="AG274" s="12"/>
      <c r="AH274" s="12"/>
      <c r="AI274" s="12"/>
      <c r="AJ274" s="12"/>
      <c r="AK274" s="12"/>
      <c r="AL274" s="12"/>
      <c r="AM274" s="12"/>
      <c r="AN274" s="12"/>
      <c r="AO274" s="12"/>
      <c r="AP274" s="12"/>
      <c r="AQ274" s="12"/>
      <c r="AR274" s="12"/>
      <c r="AS274" s="12"/>
      <c r="AT274" s="12"/>
      <c r="AU274" s="12"/>
      <c r="AV274" s="12"/>
      <c r="AW274" s="12"/>
      <c r="AX274" s="12"/>
      <c r="AY274" s="12"/>
      <c r="AZ274" s="12"/>
      <c r="BA274" s="12"/>
    </row>
    <row r="275" spans="4:53">
      <c r="D275" s="12"/>
      <c r="E275" s="12"/>
      <c r="F275" s="12"/>
      <c r="G275" s="12"/>
      <c r="H275" s="12"/>
      <c r="I275" s="12"/>
      <c r="J275" s="12"/>
      <c r="K275" s="12"/>
      <c r="L275" s="12"/>
      <c r="M275" s="12"/>
      <c r="N275" s="12"/>
      <c r="O275" s="12"/>
      <c r="P275" s="12"/>
      <c r="Q275" s="12"/>
      <c r="R275" s="12"/>
      <c r="S275" s="12"/>
      <c r="T275" s="12"/>
      <c r="U275" s="12"/>
      <c r="V275" s="12"/>
      <c r="W275" s="12"/>
      <c r="X275" s="12"/>
      <c r="Y275" s="12"/>
      <c r="Z275" s="12"/>
      <c r="AA275" s="12"/>
      <c r="AB275" s="12"/>
      <c r="AC275" s="12"/>
      <c r="AD275" s="12"/>
      <c r="AE275" s="12"/>
      <c r="AF275" s="12"/>
      <c r="AG275" s="12"/>
      <c r="AH275" s="12"/>
      <c r="AI275" s="12"/>
      <c r="AJ275" s="12"/>
      <c r="AK275" s="12"/>
      <c r="AL275" s="12"/>
      <c r="AM275" s="12"/>
      <c r="AN275" s="12"/>
      <c r="AO275" s="12"/>
      <c r="AP275" s="12"/>
      <c r="AQ275" s="12"/>
      <c r="AR275" s="12"/>
      <c r="AS275" s="12"/>
      <c r="AT275" s="12"/>
      <c r="AU275" s="12"/>
      <c r="AV275" s="12"/>
      <c r="AW275" s="12"/>
      <c r="AX275" s="12"/>
      <c r="AY275" s="12"/>
      <c r="AZ275" s="12"/>
      <c r="BA275" s="12"/>
    </row>
    <row r="276" spans="4:53">
      <c r="D276" s="12"/>
      <c r="E276" s="12"/>
      <c r="F276" s="12"/>
      <c r="G276" s="12"/>
      <c r="H276" s="12"/>
      <c r="I276" s="12"/>
      <c r="J276" s="12"/>
      <c r="K276" s="12"/>
      <c r="L276" s="12"/>
      <c r="M276" s="12"/>
      <c r="N276" s="12"/>
      <c r="O276" s="12"/>
      <c r="P276" s="12"/>
      <c r="Q276" s="12"/>
      <c r="R276" s="12"/>
      <c r="S276" s="12"/>
      <c r="T276" s="12"/>
      <c r="U276" s="12"/>
      <c r="V276" s="12"/>
      <c r="W276" s="12"/>
      <c r="X276" s="12"/>
      <c r="Y276" s="12"/>
      <c r="Z276" s="12"/>
      <c r="AA276" s="12"/>
      <c r="AB276" s="12"/>
      <c r="AC276" s="12"/>
      <c r="AD276" s="12"/>
      <c r="AE276" s="12"/>
      <c r="AF276" s="12"/>
      <c r="AG276" s="12"/>
      <c r="AH276" s="12"/>
      <c r="AI276" s="12"/>
      <c r="AJ276" s="12"/>
      <c r="AK276" s="12"/>
      <c r="AL276" s="12"/>
      <c r="AM276" s="12"/>
      <c r="AN276" s="12"/>
      <c r="AO276" s="12"/>
      <c r="AP276" s="12"/>
      <c r="AQ276" s="12"/>
      <c r="AR276" s="12"/>
      <c r="AS276" s="12"/>
      <c r="AT276" s="12"/>
      <c r="AU276" s="12"/>
      <c r="AV276" s="12"/>
      <c r="AW276" s="12"/>
      <c r="AX276" s="12"/>
      <c r="AY276" s="12"/>
      <c r="AZ276" s="12"/>
      <c r="BA276" s="12"/>
    </row>
    <row r="277" spans="4:53">
      <c r="D277" s="12"/>
      <c r="E277" s="12"/>
      <c r="F277" s="12"/>
      <c r="G277" s="12"/>
      <c r="H277" s="12"/>
      <c r="I277" s="12"/>
      <c r="J277" s="12"/>
      <c r="K277" s="12"/>
      <c r="L277" s="12"/>
      <c r="M277" s="12"/>
      <c r="N277" s="12"/>
      <c r="O277" s="12"/>
      <c r="P277" s="12"/>
      <c r="Q277" s="12"/>
      <c r="R277" s="12"/>
      <c r="S277" s="12"/>
      <c r="T277" s="12"/>
      <c r="U277" s="12"/>
      <c r="V277" s="12"/>
      <c r="W277" s="12"/>
      <c r="X277" s="12"/>
      <c r="Y277" s="12"/>
      <c r="Z277" s="12"/>
      <c r="AA277" s="12"/>
      <c r="AB277" s="12"/>
      <c r="AC277" s="12"/>
      <c r="AD277" s="12"/>
      <c r="AE277" s="12"/>
      <c r="AF277" s="12"/>
      <c r="AG277" s="12"/>
      <c r="AH277" s="12"/>
      <c r="AI277" s="12"/>
      <c r="AJ277" s="12"/>
      <c r="AK277" s="12"/>
      <c r="AL277" s="12"/>
      <c r="AM277" s="12"/>
      <c r="AN277" s="12"/>
      <c r="AO277" s="12"/>
      <c r="AP277" s="12"/>
      <c r="AQ277" s="12"/>
      <c r="AR277" s="12"/>
      <c r="AS277" s="12"/>
      <c r="AT277" s="12"/>
      <c r="AU277" s="12"/>
      <c r="AV277" s="12"/>
      <c r="AW277" s="12"/>
      <c r="AX277" s="12"/>
      <c r="AY277" s="12"/>
      <c r="AZ277" s="12"/>
      <c r="BA277" s="12"/>
    </row>
    <row r="278" spans="4:53">
      <c r="D278" s="12"/>
      <c r="E278" s="12"/>
      <c r="F278" s="12"/>
      <c r="G278" s="12"/>
      <c r="H278" s="12"/>
      <c r="I278" s="12"/>
      <c r="J278" s="12"/>
      <c r="K278" s="12"/>
      <c r="L278" s="12"/>
      <c r="M278" s="12"/>
      <c r="N278" s="12"/>
      <c r="O278" s="12"/>
      <c r="P278" s="12"/>
      <c r="Q278" s="12"/>
      <c r="R278" s="12"/>
      <c r="S278" s="12"/>
      <c r="T278" s="12"/>
      <c r="U278" s="12"/>
      <c r="V278" s="12"/>
      <c r="W278" s="12"/>
      <c r="X278" s="12"/>
      <c r="Y278" s="12"/>
      <c r="Z278" s="12"/>
      <c r="AA278" s="12"/>
      <c r="AB278" s="12"/>
      <c r="AC278" s="12"/>
      <c r="AD278" s="12"/>
      <c r="AE278" s="12"/>
      <c r="AF278" s="12"/>
      <c r="AG278" s="12"/>
      <c r="AH278" s="12"/>
      <c r="AI278" s="12"/>
      <c r="AJ278" s="12"/>
      <c r="AK278" s="12"/>
      <c r="AL278" s="12"/>
      <c r="AM278" s="12"/>
      <c r="AN278" s="12"/>
      <c r="AO278" s="12"/>
      <c r="AP278" s="12"/>
      <c r="AQ278" s="12"/>
      <c r="AR278" s="12"/>
      <c r="AS278" s="12"/>
      <c r="AT278" s="12"/>
      <c r="AU278" s="12"/>
      <c r="AV278" s="12"/>
      <c r="AW278" s="12"/>
      <c r="AX278" s="12"/>
      <c r="AY278" s="12"/>
      <c r="AZ278" s="12"/>
      <c r="BA278" s="12"/>
    </row>
    <row r="279" spans="4:53">
      <c r="D279" s="12"/>
      <c r="E279" s="12"/>
      <c r="F279" s="12"/>
      <c r="G279" s="12"/>
      <c r="H279" s="12"/>
      <c r="I279" s="12"/>
      <c r="J279" s="12"/>
      <c r="K279" s="12"/>
      <c r="L279" s="12"/>
      <c r="M279" s="12"/>
      <c r="N279" s="12"/>
      <c r="O279" s="12"/>
      <c r="P279" s="12"/>
      <c r="Q279" s="12"/>
      <c r="R279" s="12"/>
      <c r="S279" s="12"/>
      <c r="T279" s="12"/>
      <c r="U279" s="12"/>
      <c r="V279" s="12"/>
      <c r="W279" s="12"/>
      <c r="X279" s="12"/>
      <c r="Y279" s="12"/>
      <c r="Z279" s="12"/>
      <c r="AA279" s="12"/>
      <c r="AB279" s="12"/>
      <c r="AC279" s="12"/>
      <c r="AD279" s="12"/>
      <c r="AE279" s="12"/>
      <c r="AF279" s="12"/>
      <c r="AG279" s="12"/>
      <c r="AH279" s="12"/>
      <c r="AI279" s="12"/>
      <c r="AJ279" s="12"/>
      <c r="AK279" s="12"/>
      <c r="AL279" s="12"/>
      <c r="AM279" s="12"/>
      <c r="AN279" s="12"/>
      <c r="AO279" s="12"/>
      <c r="AP279" s="12"/>
      <c r="AQ279" s="12"/>
      <c r="AR279" s="12"/>
      <c r="AS279" s="12"/>
      <c r="AT279" s="12"/>
      <c r="AU279" s="12"/>
      <c r="AV279" s="12"/>
      <c r="AW279" s="12"/>
      <c r="AX279" s="12"/>
      <c r="AY279" s="12"/>
      <c r="AZ279" s="12"/>
      <c r="BA279" s="12"/>
    </row>
    <row r="280" spans="4:53">
      <c r="D280" s="12"/>
      <c r="E280" s="12"/>
      <c r="F280" s="12"/>
      <c r="G280" s="12"/>
      <c r="H280" s="12"/>
      <c r="I280" s="12"/>
      <c r="J280" s="12"/>
      <c r="K280" s="12"/>
      <c r="L280" s="12"/>
      <c r="M280" s="12"/>
      <c r="N280" s="12"/>
      <c r="O280" s="12"/>
      <c r="P280" s="12"/>
      <c r="Q280" s="12"/>
      <c r="R280" s="12"/>
      <c r="S280" s="12"/>
      <c r="T280" s="12"/>
      <c r="U280" s="12"/>
      <c r="V280" s="12"/>
      <c r="W280" s="12"/>
      <c r="X280" s="12"/>
      <c r="Y280" s="12"/>
      <c r="Z280" s="12"/>
      <c r="AA280" s="12"/>
      <c r="AB280" s="12"/>
      <c r="AC280" s="12"/>
      <c r="AD280" s="12"/>
      <c r="AE280" s="12"/>
      <c r="AF280" s="12"/>
      <c r="AG280" s="12"/>
      <c r="AH280" s="12"/>
      <c r="AI280" s="12"/>
      <c r="AJ280" s="12"/>
      <c r="AK280" s="12"/>
      <c r="AL280" s="12"/>
      <c r="AM280" s="12"/>
      <c r="AN280" s="12"/>
      <c r="AO280" s="12"/>
      <c r="AP280" s="12"/>
      <c r="AQ280" s="12"/>
      <c r="AR280" s="12"/>
      <c r="AS280" s="12"/>
      <c r="AT280" s="12"/>
      <c r="AU280" s="12"/>
      <c r="AV280" s="12"/>
      <c r="AW280" s="12"/>
      <c r="AX280" s="12"/>
      <c r="AY280" s="12"/>
      <c r="AZ280" s="12"/>
      <c r="BA280" s="12"/>
    </row>
    <row r="281" spans="4:53">
      <c r="D281" s="12"/>
      <c r="E281" s="12"/>
      <c r="F281" s="12"/>
      <c r="G281" s="12"/>
      <c r="H281" s="12"/>
      <c r="I281" s="12"/>
      <c r="J281" s="12"/>
      <c r="K281" s="12"/>
      <c r="L281" s="12"/>
      <c r="M281" s="12"/>
      <c r="N281" s="12"/>
      <c r="O281" s="12"/>
      <c r="P281" s="12"/>
      <c r="Q281" s="12"/>
      <c r="R281" s="12"/>
      <c r="S281" s="12"/>
      <c r="T281" s="12"/>
      <c r="U281" s="12"/>
      <c r="V281" s="12"/>
      <c r="W281" s="12"/>
      <c r="X281" s="12"/>
      <c r="Y281" s="12"/>
      <c r="Z281" s="12"/>
      <c r="AA281" s="12"/>
      <c r="AB281" s="12"/>
      <c r="AC281" s="12"/>
      <c r="AD281" s="12"/>
      <c r="AE281" s="12"/>
      <c r="AF281" s="12"/>
      <c r="AG281" s="12"/>
      <c r="AH281" s="12"/>
      <c r="AI281" s="12"/>
      <c r="AJ281" s="12"/>
      <c r="AK281" s="12"/>
      <c r="AL281" s="12"/>
      <c r="AM281" s="12"/>
      <c r="AN281" s="12"/>
      <c r="AO281" s="12"/>
      <c r="AP281" s="12"/>
      <c r="AQ281" s="12"/>
      <c r="AR281" s="12"/>
      <c r="AS281" s="12"/>
      <c r="AT281" s="12"/>
      <c r="AU281" s="12"/>
      <c r="AV281" s="12"/>
      <c r="AW281" s="12"/>
      <c r="AX281" s="12"/>
      <c r="AY281" s="12"/>
      <c r="AZ281" s="12"/>
      <c r="BA281" s="12"/>
    </row>
    <row r="282" spans="4:53">
      <c r="D282" s="12"/>
      <c r="E282" s="12"/>
      <c r="F282" s="12"/>
      <c r="G282" s="12"/>
      <c r="H282" s="12"/>
      <c r="I282" s="12"/>
      <c r="J282" s="12"/>
      <c r="K282" s="12"/>
      <c r="L282" s="12"/>
      <c r="M282" s="12"/>
      <c r="N282" s="12"/>
      <c r="O282" s="12"/>
      <c r="P282" s="12"/>
      <c r="Q282" s="12"/>
      <c r="R282" s="12"/>
      <c r="S282" s="12"/>
      <c r="T282" s="12"/>
      <c r="U282" s="12"/>
      <c r="V282" s="12"/>
      <c r="W282" s="12"/>
      <c r="X282" s="12"/>
      <c r="Y282" s="12"/>
      <c r="Z282" s="12"/>
      <c r="AA282" s="12"/>
      <c r="AB282" s="12"/>
      <c r="AC282" s="12"/>
      <c r="AD282" s="12"/>
      <c r="AE282" s="12"/>
      <c r="AF282" s="12"/>
      <c r="AG282" s="12"/>
      <c r="AH282" s="12"/>
      <c r="AI282" s="12"/>
      <c r="AJ282" s="12"/>
      <c r="AK282" s="12"/>
      <c r="AL282" s="12"/>
      <c r="AM282" s="12"/>
      <c r="AN282" s="12"/>
      <c r="AO282" s="12"/>
      <c r="AP282" s="12"/>
      <c r="AQ282" s="12"/>
      <c r="AR282" s="12"/>
      <c r="AS282" s="12"/>
      <c r="AT282" s="12"/>
      <c r="AU282" s="12"/>
      <c r="AV282" s="12"/>
      <c r="AW282" s="12"/>
      <c r="AX282" s="12"/>
      <c r="AY282" s="12"/>
      <c r="AZ282" s="12"/>
      <c r="BA282" s="12"/>
    </row>
    <row r="283" spans="4:53">
      <c r="D283" s="12"/>
      <c r="E283" s="12"/>
      <c r="F283" s="12"/>
      <c r="G283" s="12"/>
      <c r="H283" s="12"/>
      <c r="I283" s="12"/>
      <c r="J283" s="12"/>
      <c r="K283" s="12"/>
      <c r="L283" s="12"/>
      <c r="M283" s="12"/>
      <c r="N283" s="12"/>
      <c r="O283" s="12"/>
      <c r="P283" s="12"/>
      <c r="Q283" s="12"/>
      <c r="R283" s="12"/>
      <c r="S283" s="12"/>
      <c r="T283" s="12"/>
      <c r="U283" s="12"/>
      <c r="V283" s="12"/>
      <c r="W283" s="12"/>
      <c r="X283" s="12"/>
      <c r="Y283" s="12"/>
      <c r="Z283" s="12"/>
      <c r="AA283" s="12"/>
      <c r="AB283" s="12"/>
      <c r="AC283" s="12"/>
      <c r="AD283" s="12"/>
      <c r="AE283" s="12"/>
      <c r="AF283" s="12"/>
      <c r="AG283" s="12"/>
      <c r="AH283" s="12"/>
      <c r="AI283" s="12"/>
      <c r="AJ283" s="12"/>
      <c r="AK283" s="12"/>
      <c r="AL283" s="12"/>
      <c r="AM283" s="12"/>
      <c r="AN283" s="12"/>
      <c r="AO283" s="12"/>
      <c r="AP283" s="12"/>
      <c r="AQ283" s="12"/>
      <c r="AR283" s="12"/>
      <c r="AS283" s="12"/>
      <c r="AT283" s="12"/>
      <c r="AU283" s="12"/>
      <c r="AV283" s="12"/>
      <c r="AW283" s="12"/>
      <c r="AX283" s="12"/>
      <c r="AY283" s="12"/>
      <c r="AZ283" s="12"/>
      <c r="BA283" s="12"/>
    </row>
    <row r="284" spans="4:53">
      <c r="D284" s="12"/>
      <c r="E284" s="12"/>
      <c r="F284" s="12"/>
      <c r="G284" s="12"/>
      <c r="H284" s="12"/>
      <c r="I284" s="12"/>
      <c r="J284" s="12"/>
      <c r="K284" s="12"/>
      <c r="L284" s="12"/>
      <c r="M284" s="12"/>
      <c r="N284" s="12"/>
      <c r="O284" s="12"/>
      <c r="P284" s="12"/>
      <c r="Q284" s="12"/>
      <c r="R284" s="12"/>
      <c r="S284" s="12"/>
      <c r="T284" s="12"/>
      <c r="U284" s="12"/>
      <c r="V284" s="12"/>
      <c r="W284" s="12"/>
      <c r="X284" s="12"/>
      <c r="Y284" s="12"/>
      <c r="Z284" s="12"/>
      <c r="AA284" s="12"/>
      <c r="AB284" s="12"/>
      <c r="AC284" s="12"/>
      <c r="AD284" s="12"/>
      <c r="AE284" s="12"/>
      <c r="AF284" s="12"/>
      <c r="AG284" s="12"/>
      <c r="AH284" s="12"/>
      <c r="AI284" s="12"/>
      <c r="AJ284" s="12"/>
      <c r="AK284" s="12"/>
      <c r="AL284" s="12"/>
      <c r="AM284" s="12"/>
      <c r="AN284" s="12"/>
      <c r="AO284" s="12"/>
      <c r="AP284" s="12"/>
      <c r="AQ284" s="12"/>
      <c r="AR284" s="12"/>
      <c r="AS284" s="12"/>
      <c r="AT284" s="12"/>
      <c r="AU284" s="12"/>
      <c r="AV284" s="12"/>
      <c r="AW284" s="12"/>
      <c r="AX284" s="12"/>
      <c r="AY284" s="12"/>
      <c r="AZ284" s="12"/>
      <c r="BA284" s="12"/>
    </row>
    <row r="285" spans="4:53">
      <c r="D285" s="12"/>
      <c r="E285" s="12"/>
      <c r="F285" s="12"/>
      <c r="G285" s="12"/>
      <c r="H285" s="12"/>
      <c r="I285" s="12"/>
      <c r="J285" s="12"/>
      <c r="K285" s="12"/>
      <c r="L285" s="12"/>
      <c r="M285" s="12"/>
      <c r="N285" s="12"/>
      <c r="O285" s="12"/>
      <c r="P285" s="12"/>
      <c r="Q285" s="12"/>
      <c r="R285" s="12"/>
      <c r="S285" s="12"/>
      <c r="T285" s="12"/>
      <c r="U285" s="12"/>
      <c r="V285" s="12"/>
      <c r="W285" s="12"/>
      <c r="X285" s="12"/>
      <c r="Y285" s="12"/>
      <c r="Z285" s="12"/>
      <c r="AA285" s="12"/>
      <c r="AB285" s="12"/>
      <c r="AC285" s="12"/>
      <c r="AD285" s="12"/>
      <c r="AE285" s="12"/>
      <c r="AF285" s="12"/>
      <c r="AG285" s="12"/>
      <c r="AH285" s="12"/>
      <c r="AI285" s="12"/>
      <c r="AJ285" s="12"/>
      <c r="AK285" s="12"/>
      <c r="AL285" s="12"/>
      <c r="AM285" s="12"/>
      <c r="AN285" s="12"/>
      <c r="AO285" s="12"/>
      <c r="AP285" s="12"/>
      <c r="AQ285" s="12"/>
      <c r="AR285" s="12"/>
      <c r="AS285" s="12"/>
      <c r="AT285" s="12"/>
      <c r="AU285" s="12"/>
      <c r="AV285" s="12"/>
      <c r="AW285" s="12"/>
      <c r="AX285" s="12"/>
      <c r="AY285" s="12"/>
      <c r="AZ285" s="12"/>
      <c r="BA285" s="12"/>
    </row>
    <row r="286" spans="4:53">
      <c r="D286" s="12"/>
      <c r="E286" s="12"/>
      <c r="F286" s="12"/>
      <c r="G286" s="12"/>
      <c r="H286" s="12"/>
      <c r="I286" s="12"/>
      <c r="J286" s="12"/>
      <c r="K286" s="12"/>
      <c r="L286" s="12"/>
      <c r="M286" s="12"/>
      <c r="N286" s="12"/>
      <c r="O286" s="12"/>
      <c r="P286" s="12"/>
      <c r="Q286" s="12"/>
      <c r="R286" s="12"/>
      <c r="S286" s="12"/>
      <c r="T286" s="12"/>
      <c r="U286" s="12"/>
      <c r="V286" s="12"/>
      <c r="W286" s="12"/>
      <c r="X286" s="12"/>
      <c r="Y286" s="12"/>
      <c r="Z286" s="12"/>
      <c r="AA286" s="12"/>
      <c r="AB286" s="12"/>
      <c r="AC286" s="12"/>
      <c r="AD286" s="12"/>
      <c r="AE286" s="12"/>
      <c r="AF286" s="12"/>
      <c r="AG286" s="12"/>
      <c r="AH286" s="12"/>
      <c r="AI286" s="12"/>
      <c r="AJ286" s="12"/>
      <c r="AK286" s="12"/>
      <c r="AL286" s="12"/>
      <c r="AM286" s="12"/>
      <c r="AN286" s="12"/>
      <c r="AO286" s="12"/>
      <c r="AP286" s="12"/>
      <c r="AQ286" s="12"/>
      <c r="AR286" s="12"/>
      <c r="AS286" s="12"/>
      <c r="AT286" s="12"/>
      <c r="AU286" s="12"/>
      <c r="AV286" s="12"/>
      <c r="AW286" s="12"/>
      <c r="AX286" s="12"/>
      <c r="AY286" s="12"/>
      <c r="AZ286" s="12"/>
      <c r="BA286" s="12"/>
    </row>
    <row r="287" spans="4:53">
      <c r="D287" s="12"/>
      <c r="E287" s="12"/>
      <c r="F287" s="12"/>
      <c r="G287" s="12"/>
      <c r="H287" s="12"/>
      <c r="I287" s="12"/>
      <c r="J287" s="12"/>
      <c r="K287" s="12"/>
      <c r="L287" s="12"/>
      <c r="M287" s="12"/>
      <c r="N287" s="12"/>
      <c r="O287" s="12"/>
      <c r="P287" s="12"/>
      <c r="Q287" s="12"/>
      <c r="R287" s="12"/>
      <c r="S287" s="12"/>
      <c r="T287" s="12"/>
      <c r="U287" s="12"/>
      <c r="V287" s="12"/>
      <c r="W287" s="12"/>
      <c r="X287" s="12"/>
      <c r="Y287" s="12"/>
      <c r="Z287" s="12"/>
      <c r="AA287" s="12"/>
      <c r="AB287" s="12"/>
      <c r="AC287" s="12"/>
      <c r="AD287" s="12"/>
      <c r="AE287" s="12"/>
      <c r="AF287" s="12"/>
      <c r="AG287" s="12"/>
      <c r="AH287" s="12"/>
      <c r="AI287" s="12"/>
      <c r="AJ287" s="12"/>
      <c r="AK287" s="12"/>
      <c r="AL287" s="12"/>
      <c r="AM287" s="12"/>
      <c r="AN287" s="12"/>
      <c r="AO287" s="12"/>
      <c r="AP287" s="12"/>
      <c r="AQ287" s="12"/>
      <c r="AR287" s="12"/>
      <c r="AS287" s="12"/>
      <c r="AT287" s="12"/>
      <c r="AU287" s="12"/>
      <c r="AV287" s="12"/>
      <c r="AW287" s="12"/>
      <c r="AX287" s="12"/>
      <c r="AY287" s="12"/>
      <c r="AZ287" s="12"/>
      <c r="BA287" s="12"/>
    </row>
    <row r="288" spans="4:53">
      <c r="D288" s="12"/>
      <c r="E288" s="12"/>
      <c r="F288" s="12"/>
      <c r="G288" s="12"/>
      <c r="H288" s="12"/>
      <c r="I288" s="12"/>
      <c r="J288" s="12"/>
      <c r="K288" s="12"/>
      <c r="L288" s="12"/>
      <c r="M288" s="12"/>
      <c r="N288" s="12"/>
      <c r="O288" s="12"/>
      <c r="P288" s="12"/>
      <c r="Q288" s="12"/>
      <c r="R288" s="12"/>
      <c r="S288" s="12"/>
      <c r="T288" s="12"/>
      <c r="U288" s="12"/>
      <c r="V288" s="12"/>
      <c r="W288" s="12"/>
      <c r="X288" s="12"/>
      <c r="Y288" s="12"/>
      <c r="Z288" s="12"/>
      <c r="AA288" s="12"/>
      <c r="AB288" s="12"/>
      <c r="AC288" s="12"/>
      <c r="AD288" s="12"/>
      <c r="AE288" s="12"/>
      <c r="AF288" s="12"/>
      <c r="AG288" s="12"/>
      <c r="AH288" s="12"/>
      <c r="AI288" s="12"/>
      <c r="AJ288" s="12"/>
      <c r="AK288" s="12"/>
      <c r="AL288" s="12"/>
      <c r="AM288" s="12"/>
      <c r="AN288" s="12"/>
      <c r="AO288" s="12"/>
      <c r="AP288" s="12"/>
      <c r="AQ288" s="12"/>
      <c r="AR288" s="12"/>
      <c r="AS288" s="12"/>
      <c r="AT288" s="12"/>
      <c r="AU288" s="12"/>
      <c r="AV288" s="12"/>
      <c r="AW288" s="12"/>
      <c r="AX288" s="12"/>
      <c r="AY288" s="12"/>
      <c r="AZ288" s="12"/>
      <c r="BA288" s="12"/>
    </row>
    <row r="289" spans="4:53">
      <c r="D289" s="12"/>
      <c r="E289" s="12"/>
      <c r="F289" s="12"/>
      <c r="G289" s="12"/>
      <c r="H289" s="12"/>
      <c r="I289" s="12"/>
      <c r="J289" s="12"/>
      <c r="K289" s="12"/>
      <c r="L289" s="12"/>
      <c r="M289" s="12"/>
      <c r="N289" s="12"/>
      <c r="O289" s="12"/>
      <c r="P289" s="12"/>
      <c r="Q289" s="12"/>
      <c r="R289" s="12"/>
      <c r="S289" s="12"/>
      <c r="T289" s="12"/>
      <c r="U289" s="12"/>
      <c r="V289" s="12"/>
      <c r="W289" s="12"/>
      <c r="X289" s="12"/>
      <c r="Y289" s="12"/>
      <c r="Z289" s="12"/>
      <c r="AA289" s="12"/>
      <c r="AB289" s="12"/>
      <c r="AC289" s="12"/>
      <c r="AD289" s="12"/>
      <c r="AE289" s="12"/>
      <c r="AF289" s="12"/>
      <c r="AG289" s="12"/>
      <c r="AH289" s="12"/>
      <c r="AI289" s="12"/>
      <c r="AJ289" s="12"/>
      <c r="AK289" s="12"/>
      <c r="AL289" s="12"/>
      <c r="AM289" s="12"/>
      <c r="AN289" s="12"/>
      <c r="AO289" s="12"/>
      <c r="AP289" s="12"/>
      <c r="AQ289" s="12"/>
      <c r="AR289" s="12"/>
      <c r="AS289" s="12"/>
      <c r="AT289" s="12"/>
      <c r="AU289" s="12"/>
      <c r="AV289" s="12"/>
      <c r="AW289" s="12"/>
      <c r="AX289" s="12"/>
      <c r="AY289" s="12"/>
      <c r="AZ289" s="12"/>
      <c r="BA289" s="12"/>
    </row>
    <row r="290" spans="4:53">
      <c r="D290" s="12"/>
      <c r="E290" s="12"/>
      <c r="F290" s="12"/>
      <c r="G290" s="12"/>
      <c r="H290" s="12"/>
      <c r="I290" s="12"/>
      <c r="J290" s="12"/>
      <c r="K290" s="12"/>
      <c r="L290" s="12"/>
      <c r="M290" s="12"/>
      <c r="N290" s="12"/>
      <c r="O290" s="12"/>
      <c r="P290" s="12"/>
      <c r="Q290" s="12"/>
      <c r="R290" s="12"/>
      <c r="S290" s="12"/>
      <c r="T290" s="12"/>
      <c r="U290" s="12"/>
      <c r="V290" s="12"/>
      <c r="W290" s="12"/>
      <c r="X290" s="12"/>
      <c r="Y290" s="12"/>
      <c r="Z290" s="12"/>
      <c r="AA290" s="12"/>
      <c r="AB290" s="12"/>
      <c r="AC290" s="12"/>
      <c r="AD290" s="12"/>
      <c r="AE290" s="12"/>
      <c r="AF290" s="12"/>
      <c r="AG290" s="12"/>
      <c r="AH290" s="12"/>
      <c r="AI290" s="12"/>
      <c r="AJ290" s="12"/>
      <c r="AK290" s="12"/>
      <c r="AL290" s="12"/>
      <c r="AM290" s="12"/>
      <c r="AN290" s="12"/>
      <c r="AO290" s="12"/>
      <c r="AP290" s="12"/>
      <c r="AQ290" s="12"/>
      <c r="AR290" s="12"/>
      <c r="AS290" s="12"/>
      <c r="AT290" s="12"/>
      <c r="AU290" s="12"/>
      <c r="AV290" s="12"/>
      <c r="AW290" s="12"/>
      <c r="AX290" s="12"/>
      <c r="AY290" s="12"/>
      <c r="AZ290" s="12"/>
      <c r="BA290" s="12"/>
    </row>
    <row r="291" spans="4:53">
      <c r="D291" s="12"/>
      <c r="E291" s="12"/>
      <c r="F291" s="12"/>
      <c r="G291" s="12"/>
      <c r="H291" s="12"/>
      <c r="I291" s="12"/>
      <c r="J291" s="12"/>
      <c r="K291" s="12"/>
      <c r="L291" s="12"/>
      <c r="M291" s="12"/>
      <c r="N291" s="12"/>
      <c r="O291" s="12"/>
      <c r="P291" s="12"/>
      <c r="Q291" s="12"/>
      <c r="R291" s="12"/>
      <c r="S291" s="12"/>
      <c r="T291" s="12"/>
      <c r="U291" s="12"/>
      <c r="V291" s="12"/>
      <c r="W291" s="12"/>
      <c r="X291" s="12"/>
      <c r="Y291" s="12"/>
      <c r="Z291" s="12"/>
      <c r="AA291" s="12"/>
      <c r="AB291" s="12"/>
      <c r="AC291" s="12"/>
      <c r="AD291" s="12"/>
      <c r="AE291" s="12"/>
      <c r="AF291" s="12"/>
      <c r="AG291" s="12"/>
      <c r="AH291" s="12"/>
      <c r="AI291" s="12"/>
      <c r="AJ291" s="12"/>
      <c r="AK291" s="12"/>
      <c r="AL291" s="12"/>
      <c r="AM291" s="12"/>
      <c r="AN291" s="12"/>
      <c r="AO291" s="12"/>
      <c r="AP291" s="12"/>
      <c r="AQ291" s="12"/>
      <c r="AR291" s="12"/>
      <c r="AS291" s="12"/>
      <c r="AT291" s="12"/>
      <c r="AU291" s="12"/>
      <c r="AV291" s="12"/>
      <c r="AW291" s="12"/>
      <c r="AX291" s="12"/>
      <c r="AY291" s="12"/>
      <c r="AZ291" s="12"/>
      <c r="BA291" s="12"/>
    </row>
    <row r="292" spans="4:53">
      <c r="D292" s="12"/>
      <c r="E292" s="12"/>
      <c r="F292" s="12"/>
      <c r="G292" s="12"/>
      <c r="H292" s="12"/>
      <c r="I292" s="12"/>
      <c r="J292" s="12"/>
      <c r="K292" s="12"/>
      <c r="L292" s="12"/>
      <c r="M292" s="12"/>
      <c r="N292" s="12"/>
      <c r="O292" s="12"/>
      <c r="P292" s="12"/>
      <c r="Q292" s="12"/>
      <c r="R292" s="12"/>
      <c r="S292" s="12"/>
      <c r="T292" s="12"/>
      <c r="U292" s="12"/>
      <c r="V292" s="12"/>
      <c r="W292" s="12"/>
      <c r="X292" s="12"/>
      <c r="Y292" s="12"/>
      <c r="Z292" s="12"/>
      <c r="AA292" s="12"/>
      <c r="AB292" s="12"/>
      <c r="AC292" s="12"/>
      <c r="AD292" s="12"/>
      <c r="AE292" s="12"/>
      <c r="AF292" s="12"/>
      <c r="AG292" s="12"/>
      <c r="AH292" s="12"/>
      <c r="AI292" s="12"/>
      <c r="AJ292" s="12"/>
      <c r="AK292" s="12"/>
      <c r="AL292" s="12"/>
      <c r="AM292" s="12"/>
      <c r="AN292" s="12"/>
      <c r="AO292" s="12"/>
      <c r="AP292" s="12"/>
      <c r="AQ292" s="12"/>
      <c r="AR292" s="12"/>
      <c r="AS292" s="12"/>
      <c r="AT292" s="12"/>
      <c r="AU292" s="12"/>
      <c r="AV292" s="12"/>
      <c r="AW292" s="12"/>
      <c r="AX292" s="12"/>
      <c r="AY292" s="12"/>
      <c r="AZ292" s="12"/>
      <c r="BA292" s="12"/>
    </row>
    <row r="293" spans="4:53">
      <c r="D293" s="12"/>
      <c r="E293" s="12"/>
      <c r="F293" s="12"/>
      <c r="G293" s="12"/>
      <c r="H293" s="12"/>
      <c r="I293" s="12"/>
      <c r="J293" s="12"/>
      <c r="K293" s="12"/>
      <c r="L293" s="12"/>
      <c r="M293" s="12"/>
      <c r="N293" s="12"/>
      <c r="O293" s="12"/>
      <c r="P293" s="12"/>
      <c r="Q293" s="12"/>
      <c r="R293" s="12"/>
      <c r="S293" s="12"/>
      <c r="T293" s="12"/>
      <c r="U293" s="12"/>
      <c r="V293" s="12"/>
      <c r="W293" s="12"/>
      <c r="X293" s="12"/>
      <c r="Y293" s="12"/>
      <c r="Z293" s="12"/>
      <c r="AA293" s="12"/>
      <c r="AB293" s="12"/>
      <c r="AC293" s="12"/>
      <c r="AD293" s="12"/>
      <c r="AE293" s="12"/>
      <c r="AF293" s="12"/>
      <c r="AG293" s="12"/>
      <c r="AH293" s="12"/>
      <c r="AI293" s="12"/>
      <c r="AJ293" s="12"/>
      <c r="AK293" s="12"/>
      <c r="AL293" s="12"/>
      <c r="AM293" s="12"/>
      <c r="AN293" s="12"/>
      <c r="AO293" s="12"/>
      <c r="AP293" s="12"/>
      <c r="AQ293" s="12"/>
      <c r="AR293" s="12"/>
      <c r="AS293" s="12"/>
      <c r="AT293" s="12"/>
      <c r="AU293" s="12"/>
      <c r="AV293" s="12"/>
      <c r="AW293" s="12"/>
      <c r="AX293" s="12"/>
      <c r="AY293" s="12"/>
      <c r="AZ293" s="12"/>
      <c r="BA293" s="12"/>
    </row>
    <row r="294" spans="4:53">
      <c r="D294" s="12"/>
      <c r="E294" s="12"/>
      <c r="F294" s="12"/>
      <c r="G294" s="12"/>
      <c r="H294" s="12"/>
      <c r="I294" s="12"/>
      <c r="J294" s="12"/>
      <c r="K294" s="12"/>
      <c r="L294" s="12"/>
      <c r="M294" s="12"/>
      <c r="N294" s="12"/>
      <c r="O294" s="12"/>
      <c r="P294" s="12"/>
      <c r="Q294" s="12"/>
      <c r="R294" s="12"/>
      <c r="S294" s="12"/>
      <c r="T294" s="12"/>
      <c r="U294" s="12"/>
      <c r="V294" s="12"/>
      <c r="W294" s="12"/>
      <c r="X294" s="12"/>
      <c r="Y294" s="12"/>
      <c r="Z294" s="12"/>
      <c r="AA294" s="12"/>
      <c r="AB294" s="12"/>
      <c r="AC294" s="12"/>
      <c r="AD294" s="12"/>
      <c r="AE294" s="12"/>
      <c r="AF294" s="12"/>
      <c r="AG294" s="12"/>
      <c r="AH294" s="12"/>
      <c r="AI294" s="12"/>
      <c r="AJ294" s="12"/>
      <c r="AK294" s="12"/>
      <c r="AL294" s="12"/>
      <c r="AM294" s="12"/>
      <c r="AN294" s="12"/>
      <c r="AO294" s="12"/>
      <c r="AP294" s="12"/>
      <c r="AQ294" s="12"/>
      <c r="AR294" s="12"/>
      <c r="AS294" s="12"/>
      <c r="AT294" s="12"/>
      <c r="AU294" s="12"/>
      <c r="AV294" s="12"/>
      <c r="AW294" s="12"/>
      <c r="AX294" s="12"/>
      <c r="AY294" s="12"/>
      <c r="AZ294" s="12"/>
      <c r="BA294" s="12"/>
    </row>
    <row r="295" spans="4:53">
      <c r="D295" s="12"/>
      <c r="E295" s="12"/>
      <c r="F295" s="12"/>
      <c r="G295" s="12"/>
      <c r="H295" s="12"/>
      <c r="I295" s="12"/>
      <c r="J295" s="12"/>
      <c r="K295" s="12"/>
      <c r="L295" s="12"/>
      <c r="M295" s="12"/>
      <c r="N295" s="12"/>
      <c r="O295" s="12"/>
      <c r="P295" s="12"/>
      <c r="Q295" s="12"/>
      <c r="R295" s="12"/>
      <c r="S295" s="12"/>
      <c r="T295" s="12"/>
      <c r="U295" s="12"/>
      <c r="V295" s="12"/>
      <c r="W295" s="12"/>
      <c r="X295" s="12"/>
      <c r="Y295" s="12"/>
      <c r="Z295" s="12"/>
      <c r="AA295" s="12"/>
      <c r="AB295" s="12"/>
      <c r="AC295" s="12"/>
      <c r="AD295" s="12"/>
      <c r="AE295" s="12"/>
      <c r="AF295" s="12"/>
      <c r="AG295" s="12"/>
      <c r="AH295" s="12"/>
      <c r="AI295" s="12"/>
      <c r="AJ295" s="12"/>
      <c r="AK295" s="12"/>
      <c r="AL295" s="12"/>
      <c r="AM295" s="12"/>
      <c r="AN295" s="12"/>
      <c r="AO295" s="12"/>
      <c r="AP295" s="12"/>
      <c r="AQ295" s="12"/>
      <c r="AR295" s="12"/>
      <c r="AS295" s="12"/>
      <c r="AT295" s="12"/>
      <c r="AU295" s="12"/>
      <c r="AV295" s="12"/>
      <c r="AW295" s="12"/>
      <c r="AX295" s="12"/>
      <c r="AY295" s="12"/>
      <c r="AZ295" s="12"/>
      <c r="BA295" s="12"/>
    </row>
    <row r="296" spans="4:53">
      <c r="D296" s="12"/>
      <c r="E296" s="12"/>
      <c r="F296" s="12"/>
      <c r="G296" s="12"/>
      <c r="H296" s="12"/>
      <c r="I296" s="12"/>
      <c r="J296" s="12"/>
      <c r="K296" s="12"/>
      <c r="L296" s="12"/>
      <c r="M296" s="12"/>
      <c r="N296" s="12"/>
      <c r="O296" s="12"/>
      <c r="P296" s="12"/>
      <c r="Q296" s="12"/>
      <c r="R296" s="12"/>
      <c r="S296" s="12"/>
      <c r="T296" s="12"/>
      <c r="U296" s="12"/>
      <c r="V296" s="12"/>
      <c r="W296" s="12"/>
      <c r="X296" s="12"/>
      <c r="Y296" s="12"/>
      <c r="Z296" s="12"/>
      <c r="AA296" s="12"/>
      <c r="AB296" s="12"/>
      <c r="AC296" s="12"/>
      <c r="AD296" s="12"/>
      <c r="AE296" s="12"/>
      <c r="AF296" s="12"/>
      <c r="AG296" s="12"/>
      <c r="AH296" s="12"/>
      <c r="AI296" s="12"/>
      <c r="AJ296" s="12"/>
      <c r="AK296" s="12"/>
      <c r="AL296" s="12"/>
      <c r="AM296" s="12"/>
      <c r="AN296" s="12"/>
      <c r="AO296" s="12"/>
      <c r="AP296" s="12"/>
      <c r="AQ296" s="12"/>
      <c r="AR296" s="12"/>
      <c r="AS296" s="12"/>
      <c r="AT296" s="12"/>
      <c r="AU296" s="12"/>
      <c r="AV296" s="12"/>
      <c r="AW296" s="12"/>
      <c r="AX296" s="12"/>
      <c r="AY296" s="12"/>
      <c r="AZ296" s="12"/>
      <c r="BA296" s="12"/>
    </row>
    <row r="297" spans="4:53">
      <c r="D297" s="12"/>
      <c r="E297" s="12"/>
      <c r="F297" s="12"/>
      <c r="G297" s="12"/>
      <c r="H297" s="12"/>
      <c r="I297" s="12"/>
      <c r="J297" s="12"/>
      <c r="K297" s="12"/>
      <c r="L297" s="12"/>
      <c r="M297" s="12"/>
      <c r="N297" s="12"/>
      <c r="O297" s="12"/>
      <c r="P297" s="12"/>
      <c r="Q297" s="12"/>
      <c r="R297" s="12"/>
      <c r="S297" s="12"/>
      <c r="T297" s="12"/>
      <c r="U297" s="12"/>
      <c r="V297" s="12"/>
      <c r="W297" s="12"/>
      <c r="X297" s="12"/>
      <c r="Y297" s="12"/>
      <c r="Z297" s="12"/>
      <c r="AA297" s="12"/>
      <c r="AB297" s="12"/>
      <c r="AC297" s="12"/>
      <c r="AD297" s="12"/>
      <c r="AE297" s="12"/>
      <c r="AF297" s="12"/>
      <c r="AG297" s="12"/>
      <c r="AH297" s="12"/>
      <c r="AI297" s="12"/>
      <c r="AJ297" s="12"/>
      <c r="AK297" s="12"/>
      <c r="AL297" s="12"/>
      <c r="AM297" s="12"/>
      <c r="AN297" s="12"/>
      <c r="AO297" s="12"/>
      <c r="AP297" s="12"/>
      <c r="AQ297" s="12"/>
      <c r="AR297" s="12"/>
      <c r="AS297" s="12"/>
      <c r="AT297" s="12"/>
      <c r="AU297" s="12"/>
      <c r="AV297" s="12"/>
      <c r="AW297" s="12"/>
      <c r="AX297" s="12"/>
      <c r="AY297" s="12"/>
      <c r="AZ297" s="12"/>
      <c r="BA297" s="12"/>
    </row>
    <row r="298" spans="4:53">
      <c r="D298" s="12"/>
      <c r="E298" s="12"/>
      <c r="F298" s="12"/>
      <c r="G298" s="12"/>
      <c r="H298" s="12"/>
      <c r="I298" s="12"/>
      <c r="J298" s="12"/>
      <c r="K298" s="12"/>
      <c r="L298" s="12"/>
      <c r="M298" s="12"/>
      <c r="N298" s="12"/>
      <c r="O298" s="12"/>
      <c r="P298" s="12"/>
      <c r="Q298" s="12"/>
      <c r="R298" s="12"/>
      <c r="S298" s="12"/>
      <c r="T298" s="12"/>
      <c r="U298" s="12"/>
      <c r="V298" s="12"/>
      <c r="W298" s="12"/>
      <c r="X298" s="12"/>
      <c r="Y298" s="12"/>
      <c r="Z298" s="12"/>
      <c r="AA298" s="12"/>
      <c r="AB298" s="12"/>
      <c r="AC298" s="12"/>
      <c r="AD298" s="12"/>
      <c r="AE298" s="12"/>
      <c r="AF298" s="12"/>
      <c r="AG298" s="12"/>
      <c r="AH298" s="12"/>
      <c r="AI298" s="12"/>
      <c r="AJ298" s="12"/>
      <c r="AK298" s="12"/>
      <c r="AL298" s="12"/>
      <c r="AM298" s="12"/>
      <c r="AN298" s="12"/>
      <c r="AO298" s="12"/>
      <c r="AP298" s="12"/>
      <c r="AQ298" s="12"/>
      <c r="AR298" s="12"/>
      <c r="AS298" s="12"/>
      <c r="AT298" s="12"/>
      <c r="AU298" s="12"/>
      <c r="AV298" s="12"/>
      <c r="AW298" s="12"/>
      <c r="AX298" s="12"/>
      <c r="AY298" s="12"/>
      <c r="AZ298" s="12"/>
      <c r="BA298" s="12"/>
    </row>
    <row r="299" spans="4:53">
      <c r="D299" s="12"/>
      <c r="E299" s="12"/>
      <c r="F299" s="12"/>
      <c r="G299" s="12"/>
      <c r="H299" s="12"/>
      <c r="I299" s="12"/>
      <c r="J299" s="12"/>
      <c r="K299" s="12"/>
      <c r="L299" s="12"/>
      <c r="M299" s="12"/>
      <c r="N299" s="12"/>
      <c r="O299" s="12"/>
      <c r="P299" s="12"/>
      <c r="Q299" s="12"/>
      <c r="R299" s="12"/>
      <c r="S299" s="12"/>
      <c r="T299" s="12"/>
      <c r="U299" s="12"/>
      <c r="V299" s="12"/>
      <c r="W299" s="12"/>
      <c r="X299" s="12"/>
      <c r="Y299" s="12"/>
      <c r="Z299" s="12"/>
      <c r="AA299" s="12"/>
      <c r="AB299" s="12"/>
      <c r="AC299" s="12"/>
      <c r="AD299" s="12"/>
      <c r="AE299" s="12"/>
      <c r="AF299" s="12"/>
      <c r="AG299" s="12"/>
      <c r="AH299" s="12"/>
      <c r="AI299" s="12"/>
      <c r="AJ299" s="12"/>
      <c r="AK299" s="12"/>
      <c r="AL299" s="12"/>
      <c r="AM299" s="12"/>
      <c r="AN299" s="12"/>
      <c r="AO299" s="12"/>
      <c r="AP299" s="12"/>
      <c r="AQ299" s="12"/>
      <c r="AR299" s="12"/>
      <c r="AS299" s="12"/>
      <c r="AT299" s="12"/>
      <c r="AU299" s="12"/>
      <c r="AV299" s="12"/>
      <c r="AW299" s="12"/>
      <c r="AX299" s="12"/>
      <c r="AY299" s="12"/>
      <c r="AZ299" s="12"/>
      <c r="BA299" s="12"/>
    </row>
    <row r="300" spans="4:53">
      <c r="D300" s="12"/>
      <c r="E300" s="12"/>
      <c r="F300" s="12"/>
      <c r="G300" s="12"/>
      <c r="H300" s="12"/>
      <c r="I300" s="12"/>
      <c r="J300" s="12"/>
      <c r="K300" s="12"/>
      <c r="L300" s="12"/>
      <c r="M300" s="12"/>
      <c r="N300" s="12"/>
      <c r="O300" s="12"/>
      <c r="P300" s="12"/>
      <c r="Q300" s="12"/>
      <c r="R300" s="12"/>
      <c r="S300" s="12"/>
      <c r="T300" s="12"/>
      <c r="U300" s="12"/>
      <c r="V300" s="12"/>
      <c r="W300" s="12"/>
      <c r="X300" s="12"/>
      <c r="Y300" s="12"/>
      <c r="Z300" s="12"/>
      <c r="AA300" s="12"/>
      <c r="AB300" s="12"/>
      <c r="AC300" s="12"/>
      <c r="AD300" s="12"/>
      <c r="AE300" s="12"/>
      <c r="AF300" s="12"/>
      <c r="AG300" s="12"/>
      <c r="AH300" s="12"/>
      <c r="AI300" s="12"/>
      <c r="AJ300" s="12"/>
      <c r="AK300" s="12"/>
      <c r="AL300" s="12"/>
      <c r="AM300" s="12"/>
      <c r="AN300" s="12"/>
      <c r="AO300" s="12"/>
      <c r="AP300" s="12"/>
      <c r="AQ300" s="12"/>
      <c r="AR300" s="12"/>
      <c r="AS300" s="12"/>
      <c r="AT300" s="12"/>
      <c r="AU300" s="12"/>
      <c r="AV300" s="12"/>
      <c r="AW300" s="12"/>
      <c r="AX300" s="12"/>
      <c r="AY300" s="12"/>
      <c r="AZ300" s="12"/>
      <c r="BA300" s="12"/>
    </row>
    <row r="301" spans="4:53">
      <c r="D301" s="12"/>
      <c r="E301" s="12"/>
      <c r="F301" s="12"/>
      <c r="G301" s="12"/>
      <c r="H301" s="12"/>
      <c r="I301" s="12"/>
      <c r="J301" s="12"/>
      <c r="K301" s="12"/>
      <c r="L301" s="12"/>
      <c r="M301" s="12"/>
      <c r="N301" s="12"/>
      <c r="O301" s="12"/>
      <c r="P301" s="12"/>
      <c r="Q301" s="12"/>
      <c r="R301" s="12"/>
      <c r="S301" s="12"/>
      <c r="T301" s="12"/>
      <c r="U301" s="12"/>
      <c r="V301" s="12"/>
      <c r="W301" s="12"/>
      <c r="X301" s="12"/>
      <c r="Y301" s="12"/>
      <c r="Z301" s="12"/>
      <c r="AA301" s="12"/>
      <c r="AB301" s="12"/>
      <c r="AC301" s="12"/>
      <c r="AD301" s="12"/>
      <c r="AE301" s="12"/>
      <c r="AF301" s="12"/>
      <c r="AG301" s="12"/>
      <c r="AH301" s="12"/>
      <c r="AI301" s="12"/>
      <c r="AJ301" s="12"/>
      <c r="AK301" s="12"/>
      <c r="AL301" s="12"/>
      <c r="AM301" s="12"/>
      <c r="AN301" s="12"/>
      <c r="AO301" s="12"/>
      <c r="AP301" s="12"/>
      <c r="AQ301" s="12"/>
      <c r="AR301" s="12"/>
      <c r="AS301" s="12"/>
      <c r="AT301" s="12"/>
      <c r="AU301" s="12"/>
      <c r="AV301" s="12"/>
      <c r="AW301" s="12"/>
      <c r="AX301" s="12"/>
      <c r="AY301" s="12"/>
      <c r="AZ301" s="12"/>
      <c r="BA301" s="12"/>
    </row>
    <row r="302" spans="4:53">
      <c r="D302" s="12"/>
      <c r="E302" s="12"/>
      <c r="F302" s="12"/>
      <c r="G302" s="12"/>
      <c r="H302" s="12"/>
      <c r="I302" s="12"/>
      <c r="J302" s="12"/>
      <c r="K302" s="12"/>
      <c r="L302" s="12"/>
      <c r="M302" s="12"/>
      <c r="N302" s="12"/>
      <c r="O302" s="12"/>
      <c r="P302" s="12"/>
      <c r="Q302" s="12"/>
      <c r="R302" s="12"/>
      <c r="S302" s="12"/>
      <c r="T302" s="12"/>
      <c r="U302" s="12"/>
      <c r="V302" s="12"/>
      <c r="W302" s="12"/>
      <c r="X302" s="12"/>
      <c r="Y302" s="12"/>
      <c r="Z302" s="12"/>
      <c r="AA302" s="12"/>
      <c r="AB302" s="12"/>
      <c r="AC302" s="12"/>
      <c r="AD302" s="12"/>
      <c r="AE302" s="12"/>
      <c r="AF302" s="12"/>
      <c r="AG302" s="12"/>
      <c r="AH302" s="12"/>
      <c r="AI302" s="12"/>
      <c r="AJ302" s="12"/>
      <c r="AK302" s="12"/>
      <c r="AL302" s="12"/>
      <c r="AM302" s="12"/>
      <c r="AN302" s="12"/>
      <c r="AO302" s="12"/>
      <c r="AP302" s="12"/>
      <c r="AQ302" s="12"/>
      <c r="AR302" s="12"/>
      <c r="AS302" s="12"/>
      <c r="AT302" s="12"/>
      <c r="AU302" s="12"/>
      <c r="AV302" s="12"/>
      <c r="AW302" s="12"/>
      <c r="AX302" s="12"/>
      <c r="AY302" s="12"/>
      <c r="AZ302" s="12"/>
      <c r="BA302" s="12"/>
    </row>
    <row r="303" spans="4:53">
      <c r="D303" s="12"/>
      <c r="E303" s="12"/>
      <c r="F303" s="12"/>
      <c r="G303" s="12"/>
      <c r="H303" s="12"/>
      <c r="I303" s="12"/>
      <c r="J303" s="12"/>
      <c r="K303" s="12"/>
      <c r="L303" s="12"/>
      <c r="M303" s="12"/>
      <c r="N303" s="12"/>
      <c r="O303" s="12"/>
      <c r="P303" s="12"/>
      <c r="Q303" s="12"/>
      <c r="R303" s="12"/>
      <c r="S303" s="12"/>
      <c r="T303" s="12"/>
      <c r="U303" s="12"/>
      <c r="V303" s="12"/>
      <c r="W303" s="12"/>
      <c r="X303" s="12"/>
      <c r="Y303" s="12"/>
      <c r="Z303" s="12"/>
      <c r="AA303" s="12"/>
      <c r="AB303" s="12"/>
      <c r="AC303" s="12"/>
      <c r="AD303" s="12"/>
      <c r="AE303" s="12"/>
      <c r="AF303" s="12"/>
      <c r="AG303" s="12"/>
      <c r="AH303" s="12"/>
      <c r="AI303" s="12"/>
      <c r="AJ303" s="12"/>
      <c r="AK303" s="12"/>
      <c r="AL303" s="12"/>
      <c r="AM303" s="12"/>
      <c r="AN303" s="12"/>
      <c r="AO303" s="12"/>
      <c r="AP303" s="12"/>
      <c r="AQ303" s="12"/>
      <c r="AR303" s="12"/>
      <c r="AS303" s="12"/>
      <c r="AT303" s="12"/>
      <c r="AU303" s="12"/>
      <c r="AV303" s="12"/>
      <c r="AW303" s="12"/>
      <c r="AX303" s="12"/>
      <c r="AY303" s="12"/>
      <c r="AZ303" s="12"/>
      <c r="BA303" s="12"/>
    </row>
    <row r="304" spans="4:53">
      <c r="D304" s="12"/>
      <c r="E304" s="12"/>
      <c r="F304" s="12"/>
      <c r="G304" s="12"/>
      <c r="H304" s="12"/>
      <c r="I304" s="12"/>
      <c r="J304" s="12"/>
      <c r="K304" s="12"/>
      <c r="L304" s="12"/>
      <c r="M304" s="12"/>
      <c r="N304" s="12"/>
      <c r="O304" s="12"/>
      <c r="P304" s="12"/>
      <c r="Q304" s="12"/>
      <c r="R304" s="12"/>
      <c r="S304" s="12"/>
      <c r="T304" s="12"/>
      <c r="U304" s="12"/>
      <c r="V304" s="12"/>
      <c r="W304" s="12"/>
      <c r="X304" s="12"/>
      <c r="Y304" s="12"/>
      <c r="Z304" s="12"/>
      <c r="AA304" s="12"/>
      <c r="AB304" s="12"/>
      <c r="AC304" s="12"/>
      <c r="AD304" s="12"/>
      <c r="AE304" s="12"/>
      <c r="AF304" s="12"/>
      <c r="AG304" s="12"/>
      <c r="AH304" s="12"/>
      <c r="AI304" s="12"/>
      <c r="AJ304" s="12"/>
      <c r="AK304" s="12"/>
      <c r="AL304" s="12"/>
      <c r="AM304" s="12"/>
      <c r="AN304" s="12"/>
      <c r="AO304" s="12"/>
      <c r="AP304" s="12"/>
      <c r="AQ304" s="12"/>
      <c r="AR304" s="12"/>
      <c r="AS304" s="12"/>
      <c r="AT304" s="12"/>
      <c r="AU304" s="12"/>
      <c r="AV304" s="12"/>
      <c r="AW304" s="12"/>
      <c r="AX304" s="12"/>
      <c r="AY304" s="12"/>
      <c r="AZ304" s="12"/>
      <c r="BA304" s="12"/>
    </row>
    <row r="305" spans="4:53">
      <c r="D305" s="12"/>
      <c r="E305" s="12"/>
      <c r="F305" s="12"/>
      <c r="G305" s="12"/>
      <c r="H305" s="12"/>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O305" s="12"/>
      <c r="AP305" s="12"/>
      <c r="AQ305" s="12"/>
      <c r="AR305" s="12"/>
      <c r="AS305" s="12"/>
      <c r="AT305" s="12"/>
      <c r="AU305" s="12"/>
      <c r="AV305" s="12"/>
      <c r="AW305" s="12"/>
      <c r="AX305" s="12"/>
      <c r="AY305" s="12"/>
      <c r="AZ305" s="12"/>
      <c r="BA305" s="12"/>
    </row>
    <row r="306" spans="4:53">
      <c r="D306" s="12"/>
      <c r="E306" s="12"/>
      <c r="F306" s="12"/>
      <c r="G306" s="12"/>
      <c r="H306" s="12"/>
      <c r="I306" s="12"/>
      <c r="J306" s="12"/>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O306" s="12"/>
      <c r="AP306" s="12"/>
      <c r="AQ306" s="12"/>
      <c r="AR306" s="12"/>
      <c r="AS306" s="12"/>
      <c r="AT306" s="12"/>
      <c r="AU306" s="12"/>
      <c r="AV306" s="12"/>
      <c r="AW306" s="12"/>
      <c r="AX306" s="12"/>
      <c r="AY306" s="12"/>
      <c r="AZ306" s="12"/>
      <c r="BA306" s="12"/>
    </row>
    <row r="307" spans="4:53">
      <c r="D307" s="12"/>
      <c r="E307" s="12"/>
      <c r="F307" s="12"/>
      <c r="G307" s="12"/>
      <c r="H307" s="12"/>
      <c r="I307" s="12"/>
      <c r="J307" s="12"/>
      <c r="K307" s="12"/>
      <c r="L307" s="12"/>
      <c r="M307" s="12"/>
      <c r="N307" s="12"/>
      <c r="O307" s="12"/>
      <c r="P307" s="12"/>
      <c r="Q307" s="12"/>
      <c r="R307" s="12"/>
      <c r="S307" s="12"/>
      <c r="T307" s="12"/>
      <c r="U307" s="12"/>
      <c r="V307" s="12"/>
      <c r="W307" s="12"/>
      <c r="X307" s="12"/>
      <c r="Y307" s="12"/>
      <c r="Z307" s="12"/>
      <c r="AA307" s="12"/>
      <c r="AB307" s="12"/>
      <c r="AC307" s="12"/>
      <c r="AD307" s="12"/>
      <c r="AE307" s="12"/>
      <c r="AF307" s="12"/>
      <c r="AG307" s="12"/>
      <c r="AH307" s="12"/>
      <c r="AI307" s="12"/>
      <c r="AJ307" s="12"/>
      <c r="AK307" s="12"/>
      <c r="AL307" s="12"/>
      <c r="AM307" s="12"/>
      <c r="AN307" s="12"/>
      <c r="AO307" s="12"/>
      <c r="AP307" s="12"/>
      <c r="AQ307" s="12"/>
      <c r="AR307" s="12"/>
      <c r="AS307" s="12"/>
      <c r="AT307" s="12"/>
      <c r="AU307" s="12"/>
      <c r="AV307" s="12"/>
      <c r="AW307" s="12"/>
      <c r="AX307" s="12"/>
      <c r="AY307" s="12"/>
      <c r="AZ307" s="12"/>
      <c r="BA307" s="12"/>
    </row>
    <row r="308" spans="4:53">
      <c r="D308" s="12"/>
      <c r="E308" s="12"/>
      <c r="F308" s="12"/>
      <c r="G308" s="12"/>
      <c r="H308" s="12"/>
      <c r="I308" s="12"/>
      <c r="J308" s="12"/>
      <c r="K308" s="12"/>
      <c r="L308" s="12"/>
      <c r="M308" s="12"/>
      <c r="N308" s="12"/>
      <c r="O308" s="12"/>
      <c r="P308" s="12"/>
      <c r="Q308" s="12"/>
      <c r="R308" s="12"/>
      <c r="S308" s="12"/>
      <c r="T308" s="12"/>
      <c r="U308" s="12"/>
      <c r="V308" s="12"/>
      <c r="W308" s="12"/>
      <c r="X308" s="12"/>
      <c r="Y308" s="12"/>
      <c r="Z308" s="12"/>
      <c r="AA308" s="12"/>
      <c r="AB308" s="12"/>
      <c r="AC308" s="12"/>
      <c r="AD308" s="12"/>
      <c r="AE308" s="12"/>
      <c r="AF308" s="12"/>
      <c r="AG308" s="12"/>
      <c r="AH308" s="12"/>
      <c r="AI308" s="12"/>
      <c r="AJ308" s="12"/>
      <c r="AK308" s="12"/>
      <c r="AL308" s="12"/>
      <c r="AM308" s="12"/>
      <c r="AN308" s="12"/>
      <c r="AO308" s="12"/>
      <c r="AP308" s="12"/>
      <c r="AQ308" s="12"/>
      <c r="AR308" s="12"/>
      <c r="AS308" s="12"/>
      <c r="AT308" s="12"/>
      <c r="AU308" s="12"/>
      <c r="AV308" s="12"/>
      <c r="AW308" s="12"/>
      <c r="AX308" s="12"/>
      <c r="AY308" s="12"/>
      <c r="AZ308" s="12"/>
      <c r="BA308" s="12"/>
    </row>
    <row r="309" spans="4:53">
      <c r="D309" s="12"/>
      <c r="E309" s="12"/>
      <c r="F309" s="12"/>
      <c r="G309" s="12"/>
      <c r="H309" s="12"/>
      <c r="I309" s="12"/>
      <c r="J309" s="12"/>
      <c r="K309" s="12"/>
      <c r="L309" s="12"/>
      <c r="M309" s="12"/>
      <c r="N309" s="12"/>
      <c r="O309" s="12"/>
      <c r="P309" s="12"/>
      <c r="Q309" s="12"/>
      <c r="R309" s="12"/>
      <c r="S309" s="12"/>
      <c r="T309" s="12"/>
      <c r="U309" s="12"/>
      <c r="V309" s="12"/>
      <c r="W309" s="12"/>
      <c r="X309" s="12"/>
      <c r="Y309" s="12"/>
      <c r="Z309" s="12"/>
      <c r="AA309" s="12"/>
      <c r="AB309" s="12"/>
      <c r="AC309" s="12"/>
      <c r="AD309" s="12"/>
      <c r="AE309" s="12"/>
      <c r="AF309" s="12"/>
      <c r="AG309" s="12"/>
      <c r="AH309" s="12"/>
      <c r="AI309" s="12"/>
      <c r="AJ309" s="12"/>
      <c r="AK309" s="12"/>
      <c r="AL309" s="12"/>
      <c r="AM309" s="12"/>
      <c r="AN309" s="12"/>
      <c r="AO309" s="12"/>
      <c r="AP309" s="12"/>
      <c r="AQ309" s="12"/>
      <c r="AR309" s="12"/>
      <c r="AS309" s="12"/>
      <c r="AT309" s="12"/>
      <c r="AU309" s="12"/>
      <c r="AV309" s="12"/>
      <c r="AW309" s="12"/>
      <c r="AX309" s="12"/>
      <c r="AY309" s="12"/>
      <c r="AZ309" s="12"/>
      <c r="BA309" s="12"/>
    </row>
    <row r="310" spans="4:53">
      <c r="D310" s="12"/>
      <c r="E310" s="12"/>
      <c r="F310" s="12"/>
      <c r="G310" s="12"/>
      <c r="H310" s="12"/>
      <c r="I310" s="12"/>
      <c r="J310" s="12"/>
      <c r="K310" s="12"/>
      <c r="L310" s="12"/>
      <c r="M310" s="12"/>
      <c r="N310" s="12"/>
      <c r="O310" s="12"/>
      <c r="P310" s="12"/>
      <c r="Q310" s="12"/>
      <c r="R310" s="12"/>
      <c r="S310" s="12"/>
      <c r="T310" s="12"/>
      <c r="U310" s="12"/>
      <c r="V310" s="12"/>
      <c r="W310" s="12"/>
      <c r="X310" s="12"/>
      <c r="Y310" s="12"/>
      <c r="Z310" s="12"/>
      <c r="AA310" s="12"/>
      <c r="AB310" s="12"/>
      <c r="AC310" s="12"/>
      <c r="AD310" s="12"/>
      <c r="AE310" s="12"/>
      <c r="AF310" s="12"/>
      <c r="AG310" s="12"/>
      <c r="AH310" s="12"/>
      <c r="AI310" s="12"/>
      <c r="AJ310" s="12"/>
      <c r="AK310" s="12"/>
      <c r="AL310" s="12"/>
      <c r="AM310" s="12"/>
      <c r="AN310" s="12"/>
      <c r="AO310" s="12"/>
      <c r="AP310" s="12"/>
      <c r="AQ310" s="12"/>
      <c r="AR310" s="12"/>
      <c r="AS310" s="12"/>
      <c r="AT310" s="12"/>
      <c r="AU310" s="12"/>
      <c r="AV310" s="12"/>
      <c r="AW310" s="12"/>
      <c r="AX310" s="12"/>
      <c r="AY310" s="12"/>
      <c r="AZ310" s="12"/>
      <c r="BA310" s="12"/>
    </row>
    <row r="311" spans="4:53">
      <c r="D311" s="12"/>
      <c r="E311" s="12"/>
      <c r="F311" s="12"/>
      <c r="G311" s="12"/>
      <c r="H311" s="12"/>
      <c r="I311" s="12"/>
      <c r="J311" s="12"/>
      <c r="K311" s="12"/>
      <c r="L311" s="12"/>
      <c r="M311" s="12"/>
      <c r="N311" s="12"/>
      <c r="O311" s="12"/>
      <c r="P311" s="12"/>
      <c r="Q311" s="12"/>
      <c r="R311" s="12"/>
      <c r="S311" s="12"/>
      <c r="T311" s="12"/>
      <c r="U311" s="12"/>
      <c r="V311" s="12"/>
      <c r="W311" s="12"/>
      <c r="X311" s="12"/>
      <c r="Y311" s="12"/>
      <c r="Z311" s="12"/>
      <c r="AA311" s="12"/>
      <c r="AB311" s="12"/>
      <c r="AC311" s="12"/>
      <c r="AD311" s="12"/>
      <c r="AE311" s="12"/>
      <c r="AF311" s="12"/>
      <c r="AG311" s="12"/>
      <c r="AH311" s="12"/>
      <c r="AI311" s="12"/>
      <c r="AJ311" s="12"/>
      <c r="AK311" s="12"/>
      <c r="AL311" s="12"/>
      <c r="AM311" s="12"/>
      <c r="AN311" s="12"/>
      <c r="AO311" s="12"/>
      <c r="AP311" s="12"/>
      <c r="AQ311" s="12"/>
      <c r="AR311" s="12"/>
      <c r="AS311" s="12"/>
      <c r="AT311" s="12"/>
      <c r="AU311" s="12"/>
      <c r="AV311" s="12"/>
      <c r="AW311" s="12"/>
      <c r="AX311" s="12"/>
      <c r="AY311" s="12"/>
      <c r="AZ311" s="12"/>
      <c r="BA311" s="12"/>
    </row>
    <row r="312" spans="4:53">
      <c r="D312" s="12"/>
      <c r="E312" s="12"/>
      <c r="F312" s="12"/>
      <c r="G312" s="12"/>
      <c r="H312" s="12"/>
      <c r="I312" s="12"/>
      <c r="J312" s="12"/>
      <c r="K312" s="12"/>
      <c r="L312" s="12"/>
      <c r="M312" s="12"/>
      <c r="N312" s="12"/>
      <c r="O312" s="12"/>
      <c r="P312" s="12"/>
      <c r="Q312" s="12"/>
      <c r="R312" s="12"/>
      <c r="S312" s="12"/>
      <c r="T312" s="12"/>
      <c r="U312" s="12"/>
      <c r="V312" s="12"/>
      <c r="W312" s="12"/>
      <c r="X312" s="12"/>
      <c r="Y312" s="12"/>
      <c r="Z312" s="12"/>
      <c r="AA312" s="12"/>
      <c r="AB312" s="12"/>
      <c r="AC312" s="12"/>
      <c r="AD312" s="12"/>
      <c r="AE312" s="12"/>
      <c r="AF312" s="12"/>
      <c r="AG312" s="12"/>
      <c r="AH312" s="12"/>
      <c r="AI312" s="12"/>
      <c r="AJ312" s="12"/>
      <c r="AK312" s="12"/>
      <c r="AL312" s="12"/>
      <c r="AM312" s="12"/>
      <c r="AN312" s="12"/>
      <c r="AO312" s="12"/>
      <c r="AP312" s="12"/>
      <c r="AQ312" s="12"/>
      <c r="AR312" s="12"/>
      <c r="AS312" s="12"/>
      <c r="AT312" s="12"/>
      <c r="AU312" s="12"/>
      <c r="AV312" s="12"/>
      <c r="AW312" s="12"/>
      <c r="AX312" s="12"/>
      <c r="AY312" s="12"/>
      <c r="AZ312" s="12"/>
      <c r="BA312" s="12"/>
    </row>
    <row r="313" spans="4:53">
      <c r="D313" s="12"/>
      <c r="E313" s="12"/>
      <c r="F313" s="12"/>
      <c r="G313" s="12"/>
      <c r="H313" s="12"/>
      <c r="I313" s="12"/>
      <c r="J313" s="12"/>
      <c r="K313" s="12"/>
      <c r="L313" s="12"/>
      <c r="M313" s="12"/>
      <c r="N313" s="12"/>
      <c r="O313" s="12"/>
      <c r="P313" s="12"/>
      <c r="Q313" s="12"/>
      <c r="R313" s="12"/>
      <c r="S313" s="12"/>
      <c r="T313" s="12"/>
      <c r="U313" s="12"/>
      <c r="V313" s="12"/>
      <c r="W313" s="12"/>
      <c r="X313" s="12"/>
      <c r="Y313" s="12"/>
      <c r="Z313" s="12"/>
      <c r="AA313" s="12"/>
      <c r="AB313" s="12"/>
      <c r="AC313" s="12"/>
      <c r="AD313" s="12"/>
      <c r="AE313" s="12"/>
      <c r="AF313" s="12"/>
      <c r="AG313" s="12"/>
      <c r="AH313" s="12"/>
      <c r="AI313" s="12"/>
      <c r="AJ313" s="12"/>
      <c r="AK313" s="12"/>
      <c r="AL313" s="12"/>
      <c r="AM313" s="12"/>
      <c r="AN313" s="12"/>
      <c r="AO313" s="12"/>
      <c r="AP313" s="12"/>
      <c r="AQ313" s="12"/>
      <c r="AR313" s="12"/>
      <c r="AS313" s="12"/>
      <c r="AT313" s="12"/>
      <c r="AU313" s="12"/>
      <c r="AV313" s="12"/>
      <c r="AW313" s="12"/>
      <c r="AX313" s="12"/>
      <c r="AY313" s="12"/>
      <c r="AZ313" s="12"/>
      <c r="BA313" s="12"/>
    </row>
    <row r="314" spans="4:53">
      <c r="D314" s="12"/>
      <c r="E314" s="12"/>
      <c r="F314" s="12"/>
      <c r="G314" s="12"/>
      <c r="H314" s="12"/>
      <c r="I314" s="12"/>
      <c r="J314" s="12"/>
      <c r="K314" s="12"/>
      <c r="L314" s="12"/>
      <c r="M314" s="12"/>
      <c r="N314" s="12"/>
      <c r="O314" s="12"/>
      <c r="P314" s="12"/>
      <c r="Q314" s="12"/>
      <c r="R314" s="12"/>
      <c r="S314" s="12"/>
      <c r="T314" s="12"/>
      <c r="U314" s="12"/>
      <c r="V314" s="12"/>
      <c r="W314" s="12"/>
      <c r="X314" s="12"/>
      <c r="Y314" s="12"/>
      <c r="Z314" s="12"/>
      <c r="AA314" s="12"/>
      <c r="AB314" s="12"/>
      <c r="AC314" s="12"/>
      <c r="AD314" s="12"/>
      <c r="AE314" s="12"/>
      <c r="AF314" s="12"/>
      <c r="AG314" s="12"/>
      <c r="AH314" s="12"/>
      <c r="AI314" s="12"/>
      <c r="AJ314" s="12"/>
      <c r="AK314" s="12"/>
      <c r="AL314" s="12"/>
      <c r="AM314" s="12"/>
      <c r="AN314" s="12"/>
      <c r="AO314" s="12"/>
      <c r="AP314" s="12"/>
      <c r="AQ314" s="12"/>
      <c r="AR314" s="12"/>
      <c r="AS314" s="12"/>
      <c r="AT314" s="12"/>
      <c r="AU314" s="12"/>
      <c r="AV314" s="12"/>
      <c r="AW314" s="12"/>
      <c r="AX314" s="12"/>
      <c r="AY314" s="12"/>
      <c r="AZ314" s="12"/>
      <c r="BA314" s="12"/>
    </row>
  </sheetData>
  <sheetProtection sheet="1" objects="1" scenarios="1" formatColumns="0" formatRows="0"/>
  <mergeCells count="1">
    <mergeCell ref="BB1:BC1"/>
  </mergeCells>
  <phoneticPr fontId="1"/>
  <conditionalFormatting sqref="D2:BA31">
    <cfRule type="expression" dxfId="64" priority="107">
      <formula>D2&gt;$C2</formula>
    </cfRule>
    <cfRule type="expression" dxfId="63" priority="108">
      <formula>D2&lt;$C2</formula>
    </cfRule>
  </conditionalFormatting>
  <conditionalFormatting sqref="BB2:BC1048576 BB1">
    <cfRule type="expression" dxfId="62" priority="14">
      <formula>$BB1&lt;$BC1</formula>
    </cfRule>
    <cfRule type="expression" dxfId="61" priority="15">
      <formula>$BB1&gt;$BC1</formula>
    </cfRule>
  </conditionalFormatting>
  <conditionalFormatting sqref="BB1:BC1">
    <cfRule type="expression" dxfId="60" priority="1">
      <formula>TRUE</formula>
    </cfRule>
  </conditionalFormatting>
  <pageMargins left="0.7" right="0.7" top="0.75" bottom="0.75" header="0.3" footer="0.3"/>
  <pageSetup paperSize="9" orientation="portrait" horizontalDpi="0" verticalDpi="0"/>
  <extLst>
    <ext xmlns:x14="http://schemas.microsoft.com/office/spreadsheetml/2009/9/main" uri="{78C0D931-6437-407d-A8EE-F0AAD7539E65}">
      <x14:conditionalFormattings>
        <x14:conditionalFormatting xmlns:xm="http://schemas.microsoft.com/office/excel/2006/main">
          <x14:cfRule type="expression" priority="109" id="{4DE85962-3131-E04D-91EB-23C0EAD19317}">
            <xm:f>COUNTIF(役職一覧!#REF!,$B2)=1</xm:f>
            <x14:dxf>
              <fill>
                <patternFill>
                  <bgColor rgb="FF7030A0"/>
                </patternFill>
              </fill>
            </x14:dxf>
          </x14:cfRule>
          <x14:cfRule type="expression" priority="110" id="{A3FE1E97-9D87-624A-8647-8864615C1EF4}">
            <xm:f>COUNTIF(役職一覧!#REF!,$B2)=1</xm:f>
            <x14:dxf>
              <fill>
                <patternFill>
                  <bgColor rgb="FF0070C0"/>
                </patternFill>
              </fill>
            </x14:dxf>
          </x14:cfRule>
          <x14:cfRule type="expression" priority="111" id="{04566CAB-F5BA-144E-A80B-26EB0074CD0D}">
            <xm:f>COUNTIF(役職一覧!#REF!,$B2)=1</xm:f>
            <x14:dxf>
              <fill>
                <patternFill>
                  <bgColor rgb="FF00B0F0"/>
                </patternFill>
              </fill>
            </x14:dxf>
          </x14:cfRule>
          <x14:cfRule type="expression" priority="112" id="{B3D6F974-6802-EB46-BBCA-93813E672958}">
            <xm:f>COUNTIF(役職一覧!#REF!,$B2)=1</xm:f>
            <x14:dxf>
              <fill>
                <patternFill>
                  <bgColor rgb="FF00B050"/>
                </patternFill>
              </fill>
            </x14:dxf>
          </x14:cfRule>
          <x14:cfRule type="expression" priority="113" id="{175EF85A-84C0-AB48-9B4A-28239AB30092}">
            <xm:f>COUNTIF(役職一覧!#REF!,$B2)=1</xm:f>
            <x14:dxf>
              <fill>
                <patternFill>
                  <bgColor rgb="FF92D050"/>
                </patternFill>
              </fill>
            </x14:dxf>
          </x14:cfRule>
          <x14:cfRule type="expression" priority="114" id="{72845407-C6EC-D84F-B3CC-9AE97EE846F8}">
            <xm:f>COUNTIF(役職一覧!#REF!,$B2)=1</xm:f>
            <x14:dxf>
              <fill>
                <patternFill>
                  <bgColor rgb="FFFFFF00"/>
                </patternFill>
              </fill>
            </x14:dxf>
          </x14:cfRule>
          <x14:cfRule type="expression" priority="115" id="{B5720D7B-913C-0C49-9D2B-C3C4D9FD3EBD}">
            <xm:f>COUNTIF(役職一覧!#REF!,$B2)=1</xm:f>
            <x14:dxf>
              <fill>
                <patternFill>
                  <bgColor rgb="FFFFC000"/>
                </patternFill>
              </fill>
            </x14:dxf>
          </x14:cfRule>
          <x14:cfRule type="expression" priority="116" id="{10C96DDB-EA6A-2E49-97B6-A1986719F46A}">
            <xm:f>COUNTIF(役職一覧!#REF!,$B2)=1</xm:f>
            <x14:dxf>
              <fill>
                <patternFill>
                  <bgColor rgb="FFFF0000"/>
                </patternFill>
              </fill>
            </x14:dxf>
          </x14:cfRule>
          <xm:sqref>D2:BH31</xm:sqref>
        </x14:conditionalFormatting>
        <x14:conditionalFormatting xmlns:xm="http://schemas.microsoft.com/office/excel/2006/main">
          <x14:cfRule type="expression" priority="123" id="{B635DACD-0CEF-CA45-866E-B72F69EDE3A7}">
            <xm:f>COUNTIF(役職一覧!$K:$K,$B2)=1</xm:f>
            <x14:dxf>
              <fill>
                <patternFill>
                  <bgColor rgb="FFE1B9FF"/>
                </patternFill>
              </fill>
            </x14:dxf>
          </x14:cfRule>
          <x14:cfRule type="expression" priority="124" id="{35EF950E-B3D6-5B4E-A983-C4D4B3B3D153}">
            <xm:f>COUNTIF(役職一覧!$J:$J,$B2)=1</xm:f>
            <x14:dxf>
              <fill>
                <patternFill>
                  <bgColor rgb="FF7FCAFF"/>
                </patternFill>
              </fill>
            </x14:dxf>
          </x14:cfRule>
          <x14:cfRule type="expression" priority="125" id="{2AFF768E-8BDE-344A-9CC6-E9358C6A11AA}">
            <xm:f>COUNTIF(役職一覧!$I:$I,$B2)=1</xm:f>
            <x14:dxf>
              <fill>
                <patternFill>
                  <bgColor rgb="FF95FF6C"/>
                </patternFill>
              </fill>
            </x14:dxf>
          </x14:cfRule>
          <x14:cfRule type="expression" priority="126" id="{9A9D20B4-3243-8449-A1A9-18AB6BEBFBB8}">
            <xm:f>COUNTIF(役職一覧!$H:$H,$B2)=1</xm:f>
            <x14:dxf>
              <fill>
                <patternFill>
                  <bgColor rgb="FFFFF690"/>
                </patternFill>
              </fill>
            </x14:dxf>
          </x14:cfRule>
          <x14:cfRule type="expression" priority="127" id="{7E63E16C-0CEA-0049-91D2-0D31459B2718}">
            <xm:f>COUNTIF(役職一覧!$G:$G,$B2)=1</xm:f>
            <x14:dxf>
              <fill>
                <patternFill>
                  <bgColor rgb="FFFFD965"/>
                </patternFill>
              </fill>
            </x14:dxf>
          </x14:cfRule>
          <x14:cfRule type="expression" priority="128" id="{30D81371-27C0-2F46-B041-F190D9D4BB71}">
            <xm:f>COUNTIF(役職一覧!$F:$F,$B2)=1</xm:f>
            <x14:dxf>
              <fill>
                <patternFill>
                  <bgColor rgb="FFFFC7CE"/>
                </patternFill>
              </fill>
            </x14:dxf>
          </x14:cfRule>
          <xm:sqref>B2:BH31</xm:sqref>
        </x14:conditionalFormatting>
        <x14:conditionalFormatting xmlns:xm="http://schemas.microsoft.com/office/excel/2006/main">
          <x14:cfRule type="expression" priority="16" id="{22460168-6EB1-EC4F-9B2D-FB6CEF478183}">
            <xm:f>時間希望調査!E2="x"</xm:f>
            <x14:dxf>
              <font>
                <b/>
                <i val="0"/>
                <color theme="9"/>
              </font>
              <fill>
                <patternFill>
                  <bgColor theme="1" tint="4.9989318521683403E-2"/>
                </patternFill>
              </fill>
            </x14:dxf>
          </x14:cfRule>
          <x14:cfRule type="expression" priority="18" id="{43F082D7-6080-004E-AC73-42C8EB35AE78}">
            <xm:f>COUNTIF(役職一覧!$K:$K,D32)=1</xm:f>
            <x14:dxf>
              <fill>
                <patternFill>
                  <bgColor rgb="FFE1B9FF"/>
                </patternFill>
              </fill>
            </x14:dxf>
          </x14:cfRule>
          <x14:cfRule type="expression" priority="19" id="{3F8B033E-0F08-D748-AE61-91DA0E84C0B1}">
            <xm:f>COUNTIF(役職一覧!$J:$J,D32)=1</xm:f>
            <x14:dxf>
              <fill>
                <patternFill>
                  <bgColor rgb="FF7FCAFF"/>
                </patternFill>
              </fill>
            </x14:dxf>
          </x14:cfRule>
          <x14:cfRule type="expression" priority="20" id="{63580684-1894-534A-AC1E-33457AAAE8C4}">
            <xm:f>COUNTIF(役職一覧!$I:$I,D32)=1</xm:f>
            <x14:dxf>
              <fill>
                <patternFill>
                  <bgColor rgb="FF95FF6C"/>
                </patternFill>
              </fill>
            </x14:dxf>
          </x14:cfRule>
          <x14:cfRule type="expression" priority="21" id="{AA53F354-8A1B-114E-8309-94AAB77F0C05}">
            <xm:f>COUNTIF(役職一覧!$H:$H,D32)=1</xm:f>
            <x14:dxf>
              <fill>
                <patternFill>
                  <bgColor rgb="FFFFF690"/>
                </patternFill>
              </fill>
            </x14:dxf>
          </x14:cfRule>
          <x14:cfRule type="expression" priority="22" id="{3C8B42D3-B9D4-2A4B-ABEF-D4D340A0EA73}">
            <xm:f>COUNTIF(役職一覧!$G:$G,D32)=1</xm:f>
            <x14:dxf>
              <fill>
                <patternFill>
                  <bgColor rgb="FFFFD965"/>
                </patternFill>
              </fill>
            </x14:dxf>
          </x14:cfRule>
          <x14:cfRule type="expression" priority="23" id="{57C4E4B5-A380-384B-923D-8FF17C21282F}">
            <xm:f>COUNTIF(役職一覧!$F:$F,D32)=1</xm:f>
            <x14:dxf>
              <fill>
                <patternFill>
                  <bgColor rgb="FFFFC7CE"/>
                </patternFill>
              </fill>
            </x14:dxf>
          </x14:cfRule>
          <x14:cfRule type="expression" priority="24" id="{6A792184-3F68-5B43-974A-7099F9541036}">
            <xm:f>時間希望調査!E2="?"</xm:f>
            <x14:dxf>
              <font>
                <b val="0"/>
                <i/>
                <strike/>
                <color auto="1"/>
              </font>
              <fill>
                <patternFill>
                  <bgColor theme="0" tint="-0.499984740745262"/>
                </patternFill>
              </fill>
            </x14:dxf>
          </x14:cfRule>
          <xm:sqref>D32:BB314</xm:sqref>
        </x14:conditionalFormatting>
        <x14:conditionalFormatting xmlns:xm="http://schemas.microsoft.com/office/excel/2006/main">
          <x14:cfRule type="expression" priority="137" id="{22460168-6EB1-EC4F-9B2D-FB6CEF478183}">
            <xm:f>時間希望調査!BC2="x"</xm:f>
            <x14:dxf>
              <font>
                <b/>
                <i val="0"/>
                <color theme="9"/>
              </font>
              <fill>
                <patternFill>
                  <bgColor theme="1" tint="4.9989318521683403E-2"/>
                </patternFill>
              </fill>
            </x14:dxf>
          </x14:cfRule>
          <x14:cfRule type="expression" priority="138" id="{43F082D7-6080-004E-AC73-42C8EB35AE78}">
            <xm:f>COUNTIF(役職一覧!$K:$K,BC32)=1</xm:f>
            <x14:dxf>
              <fill>
                <patternFill>
                  <bgColor rgb="FFE1B9FF"/>
                </patternFill>
              </fill>
            </x14:dxf>
          </x14:cfRule>
          <x14:cfRule type="expression" priority="139" id="{3F8B033E-0F08-D748-AE61-91DA0E84C0B1}">
            <xm:f>COUNTIF(役職一覧!$J:$J,BC32)=1</xm:f>
            <x14:dxf>
              <fill>
                <patternFill>
                  <bgColor rgb="FF7FCAFF"/>
                </patternFill>
              </fill>
            </x14:dxf>
          </x14:cfRule>
          <x14:cfRule type="expression" priority="140" id="{63580684-1894-534A-AC1E-33457AAAE8C4}">
            <xm:f>COUNTIF(役職一覧!$I:$I,BC32)=1</xm:f>
            <x14:dxf>
              <fill>
                <patternFill>
                  <bgColor rgb="FF95FF6C"/>
                </patternFill>
              </fill>
            </x14:dxf>
          </x14:cfRule>
          <x14:cfRule type="expression" priority="141" id="{AA53F354-8A1B-114E-8309-94AAB77F0C05}">
            <xm:f>COUNTIF(役職一覧!$H:$H,BC32)=1</xm:f>
            <x14:dxf>
              <fill>
                <patternFill>
                  <bgColor rgb="FFFFF690"/>
                </patternFill>
              </fill>
            </x14:dxf>
          </x14:cfRule>
          <x14:cfRule type="expression" priority="142" id="{3C8B42D3-B9D4-2A4B-ABEF-D4D340A0EA73}">
            <xm:f>COUNTIF(役職一覧!$G:$G,BC32)=1</xm:f>
            <x14:dxf>
              <fill>
                <patternFill>
                  <bgColor rgb="FFFFD965"/>
                </patternFill>
              </fill>
            </x14:dxf>
          </x14:cfRule>
          <x14:cfRule type="expression" priority="143" id="{57C4E4B5-A380-384B-923D-8FF17C21282F}">
            <xm:f>COUNTIF(役職一覧!$F:$F,BC32)=1</xm:f>
            <x14:dxf>
              <fill>
                <patternFill>
                  <bgColor rgb="FFFFC7CE"/>
                </patternFill>
              </fill>
            </x14:dxf>
          </x14:cfRule>
          <x14:cfRule type="expression" priority="144" id="{6A792184-3F68-5B43-974A-7099F9541036}">
            <xm:f>時間希望調査!BC2="?"</xm:f>
            <x14:dxf>
              <font>
                <b val="0"/>
                <i/>
                <strike/>
                <color auto="1"/>
              </font>
              <fill>
                <patternFill>
                  <bgColor theme="0" tint="-0.499984740745262"/>
                </patternFill>
              </fill>
            </x14:dxf>
          </x14:cfRule>
          <xm:sqref>BC32:BC314</xm:sqref>
        </x14:conditionalFormatting>
        <x14:conditionalFormatting xmlns:xm="http://schemas.microsoft.com/office/excel/2006/main">
          <x14:cfRule type="expression" priority="8" id="{7C70844F-4230-DB41-BE8B-3D25F0693CB9}">
            <xm:f>COUNTIF(役職一覧!$K:$K,BD32)=1</xm:f>
            <x14:dxf>
              <fill>
                <patternFill>
                  <bgColor rgb="FFE1B9FF"/>
                </patternFill>
              </fill>
            </x14:dxf>
          </x14:cfRule>
          <x14:cfRule type="expression" priority="9" id="{95EEE267-9A9B-D24B-93B2-476876E57142}">
            <xm:f>COUNTIF(役職一覧!$J:$J,BD32)=1</xm:f>
            <x14:dxf>
              <fill>
                <patternFill>
                  <bgColor rgb="FF7FCAFF"/>
                </patternFill>
              </fill>
            </x14:dxf>
          </x14:cfRule>
          <x14:cfRule type="expression" priority="10" id="{54B8F3C8-7D36-F441-82E0-FB44DE0DD3A5}">
            <xm:f>COUNTIF(役職一覧!$I:$I,BD32)=1</xm:f>
            <x14:dxf>
              <fill>
                <patternFill>
                  <bgColor rgb="FF95FF6C"/>
                </patternFill>
              </fill>
            </x14:dxf>
          </x14:cfRule>
          <x14:cfRule type="expression" priority="11" id="{2CE915BC-B23F-2E45-948C-CE1FC211F958}">
            <xm:f>COUNTIF(役職一覧!$H:$H,BD32)=1</xm:f>
            <x14:dxf>
              <fill>
                <patternFill>
                  <bgColor rgb="FFFFF690"/>
                </patternFill>
              </fill>
            </x14:dxf>
          </x14:cfRule>
          <x14:cfRule type="expression" priority="12" id="{A44EEB63-72F3-374C-B364-0611F9E7A3D3}">
            <xm:f>COUNTIF(役職一覧!$G:$G,BD32)=1</xm:f>
            <x14:dxf>
              <fill>
                <patternFill>
                  <bgColor rgb="FFFFD965"/>
                </patternFill>
              </fill>
            </x14:dxf>
          </x14:cfRule>
          <x14:cfRule type="expression" priority="13" id="{64A36A5F-0B98-1642-9DB0-1AF338395FC9}">
            <xm:f>COUNTIF(役職一覧!$F:$F,BD32)=1</xm:f>
            <x14:dxf>
              <fill>
                <patternFill>
                  <bgColor rgb="FFFFC7CE"/>
                </patternFill>
              </fill>
            </x14:dxf>
          </x14:cfRule>
          <xm:sqref>BD32:BH199</xm:sqref>
        </x14:conditionalFormatting>
        <x14:conditionalFormatting xmlns:xm="http://schemas.microsoft.com/office/excel/2006/main">
          <x14:cfRule type="expression" priority="2" id="{086A87CF-60D1-2E45-8CFE-B132C7FFEC01}">
            <xm:f>COUNTIF(役職一覧!$K:$K,BI$1)=1</xm:f>
            <x14:dxf>
              <fill>
                <patternFill>
                  <bgColor rgb="FFE1B9FF"/>
                </patternFill>
              </fill>
            </x14:dxf>
          </x14:cfRule>
          <x14:cfRule type="expression" priority="3" id="{0AF35C4A-21C5-2442-B2F0-D22837C90288}">
            <xm:f>COUNTIF(役職一覧!$J:$J,BI$1)=1</xm:f>
            <x14:dxf>
              <fill>
                <patternFill>
                  <bgColor rgb="FF7FCAFF"/>
                </patternFill>
              </fill>
            </x14:dxf>
          </x14:cfRule>
          <x14:cfRule type="expression" priority="4" id="{E739ACF2-8520-A041-AF95-F8F4DABE4084}">
            <xm:f>COUNTIF(役職一覧!$I:$I,BI$1)=1</xm:f>
            <x14:dxf>
              <fill>
                <patternFill>
                  <bgColor rgb="FF95FF6C"/>
                </patternFill>
              </fill>
            </x14:dxf>
          </x14:cfRule>
          <x14:cfRule type="expression" priority="5" id="{4BE72DAD-B5DB-F242-8F75-A9F9E7486E9E}">
            <xm:f>COUNTIF(役職一覧!$H:$H,BI$1)=1</xm:f>
            <x14:dxf>
              <fill>
                <patternFill>
                  <bgColor rgb="FFFFF690"/>
                </patternFill>
              </fill>
            </x14:dxf>
          </x14:cfRule>
          <x14:cfRule type="expression" priority="6" id="{517A2679-4841-304F-8466-CBA226943B91}">
            <xm:f>COUNTIF(役職一覧!$G:$G,BI$1)=1</xm:f>
            <x14:dxf>
              <fill>
                <patternFill>
                  <bgColor rgb="FFFFD965"/>
                </patternFill>
              </fill>
            </x14:dxf>
          </x14:cfRule>
          <x14:cfRule type="expression" priority="7" id="{71E97FF2-E259-124E-914A-7B10485B6A4F}">
            <xm:f>COUNTIF(役職一覧!$F:$F,BI$1)=1</xm:f>
            <x14:dxf>
              <fill>
                <patternFill>
                  <bgColor rgb="FFFFC7CE"/>
                </patternFill>
              </fill>
            </x14:dxf>
          </x14:cfRule>
          <xm:sqref>BI1:CL1048576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868A9FF0-D26E-1D43-962D-788A73C84E52}">
          <x14:formula1>
            <xm:f>役職一覧!$B$2:$B$31</xm:f>
          </x14:formula1>
          <xm:sqref>E200:BA314 D32:BA199</xm:sqref>
        </x14:dataValidation>
        <x14:dataValidation type="list" allowBlank="1" showInputMessage="1" showErrorMessage="1" errorTitle="無効な値です" xr:uid="{5B8CEC2C-3333-1D47-86BA-FC39E80DF650}">
          <x14:formula1>
            <xm:f>役職一覧!$B$2:$B$31</xm:f>
          </x14:formula1>
          <xm:sqref>D1:D31 D200:D1048576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65EC5-964B-2D45-BF99-B92CAB06A4A3}">
  <sheetPr codeName="Command"/>
  <dimension ref="B2:B3"/>
  <sheetViews>
    <sheetView workbookViewId="0">
      <selection activeCell="B7" sqref="B7"/>
    </sheetView>
  </sheetViews>
  <sheetFormatPr baseColWidth="10" defaultRowHeight="20"/>
  <cols>
    <col min="1" max="1" width="10.7109375" style="1"/>
    <col min="2" max="2" width="136.5703125" style="1" customWidth="1"/>
    <col min="3" max="16384" width="10.7109375" style="1"/>
  </cols>
  <sheetData>
    <row r="2" spans="2:2" ht="25">
      <c r="B2" s="13" t="s">
        <v>49</v>
      </c>
    </row>
    <row r="3" spans="2:2" ht="25">
      <c r="B3" s="13" t="s">
        <v>50</v>
      </c>
    </row>
  </sheetData>
  <sheetProtection sheet="1" selectLockedCells="1"/>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2" r:id="rId3" name="Button 2">
              <controlPr defaultSize="0" print="0" autoFill="0" autoPict="0" macro="[0]!シフト組み_非表示更新">
                <anchor moveWithCells="1" sizeWithCells="1">
                  <from>
                    <xdr:col>1</xdr:col>
                    <xdr:colOff>0</xdr:colOff>
                    <xdr:row>5</xdr:row>
                    <xdr:rowOff>0</xdr:rowOff>
                  </from>
                  <to>
                    <xdr:col>1</xdr:col>
                    <xdr:colOff>1371600</xdr:colOff>
                    <xdr:row>6</xdr:row>
                    <xdr:rowOff>127000</xdr:rowOff>
                  </to>
                </anchor>
              </controlPr>
            </control>
          </mc:Choice>
        </mc:AlternateContent>
        <mc:AlternateContent xmlns:mc="http://schemas.openxmlformats.org/markup-compatibility/2006">
          <mc:Choice Requires="x14">
            <control shapeId="10243" r:id="rId4" name="Button 3">
              <controlPr defaultSize="0" print="0" autoFill="0" autoPict="0" macro="[0]!Share1_export">
                <anchor moveWithCells="1" sizeWithCells="1">
                  <from>
                    <xdr:col>1</xdr:col>
                    <xdr:colOff>1905000</xdr:colOff>
                    <xdr:row>5</xdr:row>
                    <xdr:rowOff>12700</xdr:rowOff>
                  </from>
                  <to>
                    <xdr:col>1</xdr:col>
                    <xdr:colOff>4165600</xdr:colOff>
                    <xdr:row>6</xdr:row>
                    <xdr:rowOff>139700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39B6B-6F7C-DA4F-9289-AD093EFB24DD}">
  <sheetPr codeName="Share1"/>
  <dimension ref="A1:BA169"/>
  <sheetViews>
    <sheetView zoomScale="101" workbookViewId="0">
      <selection activeCell="E12" sqref="E12"/>
    </sheetView>
  </sheetViews>
  <sheetFormatPr baseColWidth="10" defaultRowHeight="20"/>
  <cols>
    <col min="1" max="1" width="5.7109375" style="1" customWidth="1"/>
    <col min="2" max="2" width="10.7109375" style="1"/>
    <col min="3" max="3" width="20.85546875" style="1" customWidth="1"/>
    <col min="4" max="53" width="6.85546875" style="1" customWidth="1"/>
    <col min="54" max="16384" width="10.7109375" style="1"/>
  </cols>
  <sheetData>
    <row r="1" spans="1:53">
      <c r="A1" s="2" t="s">
        <v>54</v>
      </c>
      <c r="B1" s="2" t="s">
        <v>8</v>
      </c>
      <c r="C1" s="2" t="s">
        <v>2</v>
      </c>
      <c r="D1" s="2" t="str">
        <f>シフト組み!D1&amp;""</f>
        <v>10:00</v>
      </c>
      <c r="E1" s="2" t="str">
        <f>シフト組み!E1&amp;""</f>
        <v>10:30</v>
      </c>
      <c r="F1" s="2" t="str">
        <f>シフト組み!F1&amp;""</f>
        <v>11:00</v>
      </c>
      <c r="G1" s="2" t="str">
        <f>シフト組み!G1&amp;""</f>
        <v>11:30</v>
      </c>
      <c r="H1" s="2" t="str">
        <f>シフト組み!H1&amp;""</f>
        <v>12:00</v>
      </c>
      <c r="I1" s="2" t="str">
        <f>シフト組み!I1&amp;""</f>
        <v>12:30</v>
      </c>
      <c r="J1" s="2" t="str">
        <f>シフト組み!J1&amp;""</f>
        <v>13:00</v>
      </c>
      <c r="K1" s="2" t="str">
        <f>シフト組み!K1&amp;""</f>
        <v>13:30</v>
      </c>
      <c r="L1" s="2" t="str">
        <f>シフト組み!L1&amp;""</f>
        <v>14:00</v>
      </c>
      <c r="M1" s="2" t="str">
        <f>シフト組み!M1&amp;""</f>
        <v/>
      </c>
      <c r="N1" s="2" t="str">
        <f>シフト組み!N1&amp;""</f>
        <v/>
      </c>
      <c r="O1" s="2" t="str">
        <f>シフト組み!O1&amp;""</f>
        <v/>
      </c>
      <c r="P1" s="2" t="str">
        <f>シフト組み!P1&amp;""</f>
        <v/>
      </c>
      <c r="Q1" s="2" t="str">
        <f>シフト組み!Q1&amp;""</f>
        <v/>
      </c>
      <c r="R1" s="2" t="str">
        <f>シフト組み!R1&amp;""</f>
        <v/>
      </c>
      <c r="S1" s="2" t="str">
        <f>シフト組み!S1&amp;""</f>
        <v/>
      </c>
      <c r="T1" s="2" t="str">
        <f>シフト組み!T1&amp;""</f>
        <v/>
      </c>
      <c r="U1" s="2" t="str">
        <f>シフト組み!U1&amp;""</f>
        <v/>
      </c>
      <c r="V1" s="2" t="str">
        <f>シフト組み!V1&amp;""</f>
        <v/>
      </c>
      <c r="W1" s="2" t="str">
        <f>シフト組み!W1&amp;""</f>
        <v/>
      </c>
      <c r="X1" s="2" t="str">
        <f>シフト組み!X1&amp;""</f>
        <v/>
      </c>
      <c r="Y1" s="2" t="str">
        <f>シフト組み!Y1&amp;""</f>
        <v/>
      </c>
      <c r="Z1" s="2" t="str">
        <f>シフト組み!Z1&amp;""</f>
        <v/>
      </c>
      <c r="AA1" s="2" t="str">
        <f>シフト組み!AA1&amp;""</f>
        <v/>
      </c>
      <c r="AB1" s="2" t="str">
        <f>シフト組み!AB1&amp;""</f>
        <v/>
      </c>
      <c r="AC1" s="2" t="str">
        <f>シフト組み!AC1&amp;""</f>
        <v/>
      </c>
      <c r="AD1" s="2" t="str">
        <f>シフト組み!AD1&amp;""</f>
        <v/>
      </c>
      <c r="AE1" s="2" t="str">
        <f>シフト組み!AE1&amp;""</f>
        <v/>
      </c>
      <c r="AF1" s="2" t="str">
        <f>シフト組み!AF1&amp;""</f>
        <v/>
      </c>
      <c r="AG1" s="2" t="str">
        <f>シフト組み!AG1&amp;""</f>
        <v/>
      </c>
      <c r="AH1" s="2" t="str">
        <f>シフト組み!AH1&amp;""</f>
        <v/>
      </c>
      <c r="AI1" s="2" t="str">
        <f>シフト組み!AI1&amp;""</f>
        <v/>
      </c>
      <c r="AJ1" s="2" t="str">
        <f>シフト組み!AJ1&amp;""</f>
        <v/>
      </c>
      <c r="AK1" s="2" t="str">
        <f>シフト組み!AK1&amp;""</f>
        <v/>
      </c>
      <c r="AL1" s="2" t="str">
        <f>シフト組み!AL1&amp;""</f>
        <v/>
      </c>
      <c r="AM1" s="2" t="str">
        <f>シフト組み!AM1&amp;""</f>
        <v/>
      </c>
      <c r="AN1" s="2" t="str">
        <f>シフト組み!AN1&amp;""</f>
        <v/>
      </c>
      <c r="AO1" s="2" t="str">
        <f>シフト組み!AO1&amp;""</f>
        <v/>
      </c>
      <c r="AP1" s="2" t="str">
        <f>シフト組み!AP1&amp;""</f>
        <v/>
      </c>
      <c r="AQ1" s="2" t="str">
        <f>シフト組み!AQ1&amp;""</f>
        <v/>
      </c>
      <c r="AR1" s="2" t="str">
        <f>シフト組み!AR1&amp;""</f>
        <v/>
      </c>
      <c r="AS1" s="2" t="str">
        <f>シフト組み!AS1&amp;""</f>
        <v/>
      </c>
      <c r="AT1" s="2" t="str">
        <f>シフト組み!AT1&amp;""</f>
        <v/>
      </c>
      <c r="AU1" s="2" t="str">
        <f>シフト組み!AU1&amp;""</f>
        <v/>
      </c>
      <c r="AV1" s="2" t="str">
        <f>シフト組み!AV1&amp;""</f>
        <v/>
      </c>
      <c r="AW1" s="2" t="str">
        <f>シフト組み!AW1&amp;""</f>
        <v/>
      </c>
      <c r="AX1" s="2" t="str">
        <f>シフト組み!AX1&amp;""</f>
        <v/>
      </c>
      <c r="AY1" s="2" t="str">
        <f>シフト組み!AY1&amp;""</f>
        <v/>
      </c>
      <c r="AZ1" s="2" t="str">
        <f>シフト組み!AZ1&amp;""</f>
        <v/>
      </c>
      <c r="BA1" s="2" t="str">
        <f>シフト組み!BA1&amp;""</f>
        <v/>
      </c>
    </row>
    <row r="2" spans="1:53">
      <c r="A2" s="2" t="str">
        <f>シフト組み!A32&amp;""</f>
        <v>1</v>
      </c>
      <c r="B2" s="2" t="str">
        <f>シフト組み!B32&amp;""</f>
        <v/>
      </c>
      <c r="C2" s="2" t="str">
        <f>シフト組み!C32&amp;""</f>
        <v>キズナアイ</v>
      </c>
      <c r="D2" s="17" t="str">
        <f>IFERROR(VLOOKUP(シフト組み!D32,役職一覧!$B:$D,2,FALSE),"")</f>
        <v>あ</v>
      </c>
      <c r="E2" s="17" t="str">
        <f>IFERROR(VLOOKUP(シフト組み!E32,役職一覧!$B:$D,2,FALSE),"")</f>
        <v/>
      </c>
      <c r="F2" s="17" t="str">
        <f>IFERROR(VLOOKUP(シフト組み!F32,役職一覧!$B:$D,2,FALSE),"")</f>
        <v>え</v>
      </c>
      <c r="G2" s="17" t="str">
        <f>IFERROR(VLOOKUP(シフト組み!G32,役職一覧!$B:$D,2,FALSE),"")</f>
        <v/>
      </c>
      <c r="H2" s="17" t="str">
        <f>IFERROR(VLOOKUP(シフト組み!H32,役職一覧!$B:$D,2,FALSE),"")</f>
        <v/>
      </c>
      <c r="I2" s="17" t="str">
        <f>IFERROR(VLOOKUP(シフト組み!I32,役職一覧!$B:$D,2,FALSE),"")</f>
        <v/>
      </c>
      <c r="J2" s="17" t="str">
        <f>IFERROR(VLOOKUP(シフト組み!J32,役職一覧!$B:$D,2,FALSE),"")</f>
        <v/>
      </c>
      <c r="K2" s="17" t="str">
        <f>IFERROR(VLOOKUP(シフト組み!K32,役職一覧!$B:$D,2,FALSE),"")</f>
        <v/>
      </c>
      <c r="L2" s="17" t="str">
        <f>IFERROR(VLOOKUP(シフト組み!L32,役職一覧!$B:$D,2,FALSE),"")</f>
        <v/>
      </c>
      <c r="M2" s="17" t="str">
        <f>IFERROR(VLOOKUP(シフト組み!M32,役職一覧!$B:$D,2,FALSE),"")</f>
        <v/>
      </c>
      <c r="N2" s="17" t="str">
        <f>IFERROR(VLOOKUP(シフト組み!N32,役職一覧!$B:$D,2,FALSE),"")</f>
        <v/>
      </c>
      <c r="O2" s="17" t="str">
        <f>IFERROR(VLOOKUP(シフト組み!O32,役職一覧!$B:$D,2,FALSE),"")</f>
        <v/>
      </c>
      <c r="P2" s="17" t="str">
        <f>IFERROR(VLOOKUP(シフト組み!P32,役職一覧!$B:$D,2,FALSE),"")</f>
        <v/>
      </c>
      <c r="Q2" s="17" t="str">
        <f>IFERROR(VLOOKUP(シフト組み!Q32,役職一覧!$B:$D,2,FALSE),"")</f>
        <v/>
      </c>
      <c r="R2" s="17" t="str">
        <f>IFERROR(VLOOKUP(シフト組み!R32,役職一覧!$B:$D,2,FALSE),"")</f>
        <v/>
      </c>
      <c r="S2" s="17" t="str">
        <f>IFERROR(VLOOKUP(シフト組み!S32,役職一覧!$B:$D,2,FALSE),"")</f>
        <v/>
      </c>
      <c r="T2" s="17" t="str">
        <f>IFERROR(VLOOKUP(シフト組み!T32,役職一覧!$B:$D,2,FALSE),"")</f>
        <v/>
      </c>
      <c r="U2" s="17" t="str">
        <f>IFERROR(VLOOKUP(シフト組み!U32,役職一覧!$B:$D,2,FALSE),"")</f>
        <v/>
      </c>
      <c r="V2" s="17" t="str">
        <f>IFERROR(VLOOKUP(シフト組み!V32,役職一覧!$B:$D,2,FALSE),"")</f>
        <v/>
      </c>
      <c r="W2" s="17" t="str">
        <f>IFERROR(VLOOKUP(シフト組み!W32,役職一覧!$B:$D,2,FALSE),"")</f>
        <v/>
      </c>
      <c r="X2" s="17" t="str">
        <f>IFERROR(VLOOKUP(シフト組み!X32,役職一覧!$B:$D,2,FALSE),"")</f>
        <v/>
      </c>
      <c r="Y2" s="17" t="str">
        <f>IFERROR(VLOOKUP(シフト組み!Y32,役職一覧!$B:$D,2,FALSE),"")</f>
        <v/>
      </c>
      <c r="Z2" s="17" t="str">
        <f>IFERROR(VLOOKUP(シフト組み!Z32,役職一覧!$B:$D,2,FALSE),"")</f>
        <v/>
      </c>
      <c r="AA2" s="17" t="str">
        <f>IFERROR(VLOOKUP(シフト組み!AA32,役職一覧!$B:$D,2,FALSE),"")</f>
        <v/>
      </c>
      <c r="AB2" s="17" t="str">
        <f>IFERROR(VLOOKUP(シフト組み!AB32,役職一覧!$B:$D,2,FALSE),"")</f>
        <v/>
      </c>
      <c r="AC2" s="17" t="str">
        <f>IFERROR(VLOOKUP(シフト組み!AC32,役職一覧!$B:$D,2,FALSE),"")</f>
        <v/>
      </c>
      <c r="AD2" s="17" t="str">
        <f>IFERROR(VLOOKUP(シフト組み!AD32,役職一覧!$B:$D,2,FALSE),"")</f>
        <v/>
      </c>
      <c r="AE2" s="17" t="str">
        <f>IFERROR(VLOOKUP(シフト組み!AE32,役職一覧!$B:$D,2,FALSE),"")</f>
        <v/>
      </c>
      <c r="AF2" s="17" t="str">
        <f>IFERROR(VLOOKUP(シフト組み!AF32,役職一覧!$B:$D,2,FALSE),"")</f>
        <v/>
      </c>
      <c r="AG2" s="17" t="str">
        <f>IFERROR(VLOOKUP(シフト組み!AG32,役職一覧!$B:$D,2,FALSE),"")</f>
        <v/>
      </c>
      <c r="AH2" s="17" t="str">
        <f>IFERROR(VLOOKUP(シフト組み!AH32,役職一覧!$B:$D,3,FALSE),"")</f>
        <v/>
      </c>
      <c r="AI2" s="17" t="str">
        <f>IFERROR(VLOOKUP(シフト組み!AI32,役職一覧!$B:$D,3,FALSE),"")</f>
        <v/>
      </c>
      <c r="AJ2" s="17" t="str">
        <f>IFERROR(VLOOKUP(シフト組み!AJ32,役職一覧!$B:$D,3,FALSE),"")</f>
        <v/>
      </c>
      <c r="AK2" s="17" t="str">
        <f>IFERROR(VLOOKUP(シフト組み!AK32,役職一覧!$B:$D,3,FALSE),"")</f>
        <v/>
      </c>
      <c r="AL2" s="17" t="str">
        <f>IFERROR(VLOOKUP(シフト組み!AL32,役職一覧!$B:$D,3,FALSE),"")</f>
        <v/>
      </c>
      <c r="AM2" s="17" t="str">
        <f>IFERROR(VLOOKUP(シフト組み!AM32,役職一覧!$B:$D,3,FALSE),"")</f>
        <v/>
      </c>
      <c r="AN2" s="17" t="str">
        <f>IFERROR(VLOOKUP(シフト組み!AN32,役職一覧!$B:$D,3,FALSE),"")</f>
        <v/>
      </c>
      <c r="AO2" s="17" t="str">
        <f>IFERROR(VLOOKUP(シフト組み!AO32,役職一覧!$B:$D,3,FALSE),"")</f>
        <v/>
      </c>
      <c r="AP2" s="17" t="str">
        <f>IFERROR(VLOOKUP(シフト組み!AP32,役職一覧!$B:$D,3,FALSE),"")</f>
        <v/>
      </c>
      <c r="AQ2" s="17" t="str">
        <f>IFERROR(VLOOKUP(シフト組み!AQ32,役職一覧!$B:$D,3,FALSE),"")</f>
        <v/>
      </c>
      <c r="AR2" s="17" t="str">
        <f>IFERROR(VLOOKUP(シフト組み!AR32,役職一覧!$B:$D,3,FALSE),"")</f>
        <v/>
      </c>
      <c r="AS2" s="17" t="str">
        <f>IFERROR(VLOOKUP(シフト組み!AS32,役職一覧!$B:$D,3,FALSE),"")</f>
        <v/>
      </c>
      <c r="AT2" s="17" t="str">
        <f>IFERROR(VLOOKUP(シフト組み!AT32,役職一覧!$B:$D,3,FALSE),"")</f>
        <v/>
      </c>
      <c r="AU2" s="17" t="str">
        <f>IFERROR(VLOOKUP(シフト組み!AU32,役職一覧!$B:$D,3,FALSE),"")</f>
        <v/>
      </c>
      <c r="AV2" s="17" t="str">
        <f>IFERROR(VLOOKUP(シフト組み!AV32,役職一覧!$B:$D,3,FALSE),"")</f>
        <v/>
      </c>
      <c r="AW2" s="17" t="str">
        <f>IFERROR(VLOOKUP(シフト組み!AW32,役職一覧!$B:$D,3,FALSE),"")</f>
        <v/>
      </c>
      <c r="AX2" s="17" t="str">
        <f>IFERROR(VLOOKUP(シフト組み!AX32,役職一覧!$B:$D,3,FALSE),"")</f>
        <v/>
      </c>
      <c r="AY2" s="17" t="str">
        <f>IFERROR(VLOOKUP(シフト組み!AY32,役職一覧!$B:$D,3,FALSE),"")</f>
        <v/>
      </c>
      <c r="AZ2" s="17" t="str">
        <f>IFERROR(VLOOKUP(シフト組み!AZ32,役職一覧!$B:$D,3,FALSE),"")</f>
        <v/>
      </c>
      <c r="BA2" s="17" t="str">
        <f>IFERROR(VLOOKUP(シフト組み!BA32,役職一覧!$B:$D,3,FALSE),"")</f>
        <v/>
      </c>
    </row>
    <row r="3" spans="1:53">
      <c r="A3" s="2" t="str">
        <f>シフト組み!A33&amp;""</f>
        <v>2</v>
      </c>
      <c r="B3" s="2" t="str">
        <f>シフト組み!B33&amp;""</f>
        <v/>
      </c>
      <c r="C3" s="2" t="str">
        <f>シフト組み!C33&amp;""</f>
        <v>輝夜月</v>
      </c>
      <c r="D3" s="17" t="str">
        <f>IFERROR(VLOOKUP(シフト組み!D33,役職一覧!$B:$D,2,FALSE),"")</f>
        <v/>
      </c>
      <c r="E3" s="17" t="str">
        <f>IFERROR(VLOOKUP(シフト組み!E33,役職一覧!$B:$D,2,FALSE),"")</f>
        <v/>
      </c>
      <c r="F3" s="17" t="str">
        <f>IFERROR(VLOOKUP(シフト組み!F33,役職一覧!$B:$D,2,FALSE),"")</f>
        <v/>
      </c>
      <c r="G3" s="17" t="str">
        <f>IFERROR(VLOOKUP(シフト組み!G33,役職一覧!$B:$D,2,FALSE),"")</f>
        <v/>
      </c>
      <c r="H3" s="17" t="str">
        <f>IFERROR(VLOOKUP(シフト組み!H33,役職一覧!$B:$D,2,FALSE),"")</f>
        <v/>
      </c>
      <c r="I3" s="17" t="str">
        <f>IFERROR(VLOOKUP(シフト組み!I33,役職一覧!$B:$D,2,FALSE),"")</f>
        <v/>
      </c>
      <c r="J3" s="17" t="str">
        <f>IFERROR(VLOOKUP(シフト組み!J33,役職一覧!$B:$D,2,FALSE),"")</f>
        <v/>
      </c>
      <c r="K3" s="17" t="str">
        <f>IFERROR(VLOOKUP(シフト組み!K33,役職一覧!$B:$D,2,FALSE),"")</f>
        <v/>
      </c>
      <c r="L3" s="17" t="str">
        <f>IFERROR(VLOOKUP(シフト組み!L33,役職一覧!$B:$D,2,FALSE),"")</f>
        <v/>
      </c>
      <c r="M3" s="17" t="str">
        <f>IFERROR(VLOOKUP(シフト組み!M33,役職一覧!$B:$D,2,FALSE),"")</f>
        <v/>
      </c>
      <c r="N3" s="17" t="str">
        <f>IFERROR(VLOOKUP(シフト組み!N33,役職一覧!$B:$D,2,FALSE),"")</f>
        <v/>
      </c>
      <c r="O3" s="17" t="str">
        <f>IFERROR(VLOOKUP(シフト組み!O33,役職一覧!$B:$D,2,FALSE),"")</f>
        <v/>
      </c>
      <c r="P3" s="17" t="str">
        <f>IFERROR(VLOOKUP(シフト組み!P33,役職一覧!$B:$D,2,FALSE),"")</f>
        <v/>
      </c>
      <c r="Q3" s="17" t="str">
        <f>IFERROR(VLOOKUP(シフト組み!Q33,役職一覧!$B:$D,2,FALSE),"")</f>
        <v/>
      </c>
      <c r="R3" s="17" t="str">
        <f>IFERROR(VLOOKUP(シフト組み!R33,役職一覧!$B:$D,2,FALSE),"")</f>
        <v/>
      </c>
      <c r="S3" s="17" t="str">
        <f>IFERROR(VLOOKUP(シフト組み!S33,役職一覧!$B:$D,2,FALSE),"")</f>
        <v/>
      </c>
      <c r="T3" s="17" t="str">
        <f>IFERROR(VLOOKUP(シフト組み!T33,役職一覧!$B:$D,2,FALSE),"")</f>
        <v/>
      </c>
      <c r="U3" s="17" t="str">
        <f>IFERROR(VLOOKUP(シフト組み!U33,役職一覧!$B:$D,2,FALSE),"")</f>
        <v/>
      </c>
      <c r="V3" s="17" t="str">
        <f>IFERROR(VLOOKUP(シフト組み!V33,役職一覧!$B:$D,2,FALSE),"")</f>
        <v/>
      </c>
      <c r="W3" s="17" t="str">
        <f>IFERROR(VLOOKUP(シフト組み!W33,役職一覧!$B:$D,2,FALSE),"")</f>
        <v/>
      </c>
      <c r="X3" s="17" t="str">
        <f>IFERROR(VLOOKUP(シフト組み!X33,役職一覧!$B:$D,2,FALSE),"")</f>
        <v/>
      </c>
      <c r="Y3" s="17" t="str">
        <f>IFERROR(VLOOKUP(シフト組み!Y33,役職一覧!$B:$D,2,FALSE),"")</f>
        <v/>
      </c>
      <c r="Z3" s="17" t="str">
        <f>IFERROR(VLOOKUP(シフト組み!Z33,役職一覧!$B:$D,2,FALSE),"")</f>
        <v/>
      </c>
      <c r="AA3" s="17" t="str">
        <f>IFERROR(VLOOKUP(シフト組み!AA33,役職一覧!$B:$D,2,FALSE),"")</f>
        <v/>
      </c>
      <c r="AB3" s="17" t="str">
        <f>IFERROR(VLOOKUP(シフト組み!AB33,役職一覧!$B:$D,2,FALSE),"")</f>
        <v/>
      </c>
      <c r="AC3" s="17" t="str">
        <f>IFERROR(VLOOKUP(シフト組み!AC33,役職一覧!$B:$D,2,FALSE),"")</f>
        <v/>
      </c>
      <c r="AD3" s="17" t="str">
        <f>IFERROR(VLOOKUP(シフト組み!AD33,役職一覧!$B:$D,2,FALSE),"")</f>
        <v/>
      </c>
      <c r="AE3" s="17" t="str">
        <f>IFERROR(VLOOKUP(シフト組み!AE33,役職一覧!$B:$D,2,FALSE),"")</f>
        <v/>
      </c>
      <c r="AF3" s="17" t="str">
        <f>IFERROR(VLOOKUP(シフト組み!AF33,役職一覧!$B:$D,2,FALSE),"")</f>
        <v/>
      </c>
      <c r="AG3" s="17" t="str">
        <f>IFERROR(VLOOKUP(シフト組み!AG33,役職一覧!$B:$D,2,FALSE),"")</f>
        <v/>
      </c>
      <c r="AH3" s="17" t="str">
        <f>IFERROR(VLOOKUP(シフト組み!AH33,役職一覧!$B:$D,3,FALSE),"")</f>
        <v/>
      </c>
      <c r="AI3" s="17" t="str">
        <f>IFERROR(VLOOKUP(シフト組み!AI33,役職一覧!$B:$D,3,FALSE),"")</f>
        <v/>
      </c>
      <c r="AJ3" s="17" t="str">
        <f>IFERROR(VLOOKUP(シフト組み!AJ33,役職一覧!$B:$D,3,FALSE),"")</f>
        <v/>
      </c>
      <c r="AK3" s="17" t="str">
        <f>IFERROR(VLOOKUP(シフト組み!AK33,役職一覧!$B:$D,3,FALSE),"")</f>
        <v/>
      </c>
      <c r="AL3" s="17" t="str">
        <f>IFERROR(VLOOKUP(シフト組み!AL33,役職一覧!$B:$D,3,FALSE),"")</f>
        <v/>
      </c>
      <c r="AM3" s="17" t="str">
        <f>IFERROR(VLOOKUP(シフト組み!AM33,役職一覧!$B:$D,3,FALSE),"")</f>
        <v/>
      </c>
      <c r="AN3" s="17" t="str">
        <f>IFERROR(VLOOKUP(シフト組み!AN33,役職一覧!$B:$D,3,FALSE),"")</f>
        <v/>
      </c>
      <c r="AO3" s="17" t="str">
        <f>IFERROR(VLOOKUP(シフト組み!AO33,役職一覧!$B:$D,3,FALSE),"")</f>
        <v/>
      </c>
      <c r="AP3" s="17" t="str">
        <f>IFERROR(VLOOKUP(シフト組み!AP33,役職一覧!$B:$D,3,FALSE),"")</f>
        <v/>
      </c>
      <c r="AQ3" s="17" t="str">
        <f>IFERROR(VLOOKUP(シフト組み!AQ33,役職一覧!$B:$D,3,FALSE),"")</f>
        <v/>
      </c>
      <c r="AR3" s="17" t="str">
        <f>IFERROR(VLOOKUP(シフト組み!AR33,役職一覧!$B:$D,3,FALSE),"")</f>
        <v/>
      </c>
      <c r="AS3" s="17" t="str">
        <f>IFERROR(VLOOKUP(シフト組み!AS33,役職一覧!$B:$D,3,FALSE),"")</f>
        <v/>
      </c>
      <c r="AT3" s="17" t="str">
        <f>IFERROR(VLOOKUP(シフト組み!AT33,役職一覧!$B:$D,3,FALSE),"")</f>
        <v/>
      </c>
      <c r="AU3" s="17" t="str">
        <f>IFERROR(VLOOKUP(シフト組み!AU33,役職一覧!$B:$D,3,FALSE),"")</f>
        <v/>
      </c>
      <c r="AV3" s="17" t="str">
        <f>IFERROR(VLOOKUP(シフト組み!AV33,役職一覧!$B:$D,3,FALSE),"")</f>
        <v/>
      </c>
      <c r="AW3" s="17" t="str">
        <f>IFERROR(VLOOKUP(シフト組み!AW33,役職一覧!$B:$D,3,FALSE),"")</f>
        <v/>
      </c>
      <c r="AX3" s="17" t="str">
        <f>IFERROR(VLOOKUP(シフト組み!AX33,役職一覧!$B:$D,3,FALSE),"")</f>
        <v/>
      </c>
      <c r="AY3" s="17" t="str">
        <f>IFERROR(VLOOKUP(シフト組み!AY33,役職一覧!$B:$D,3,FALSE),"")</f>
        <v/>
      </c>
      <c r="AZ3" s="17" t="str">
        <f>IFERROR(VLOOKUP(シフト組み!AZ33,役職一覧!$B:$D,3,FALSE),"")</f>
        <v/>
      </c>
      <c r="BA3" s="17" t="str">
        <f>IFERROR(VLOOKUP(シフト組み!BA33,役職一覧!$B:$D,3,FALSE),"")</f>
        <v/>
      </c>
    </row>
    <row r="4" spans="1:53">
      <c r="A4" s="2" t="str">
        <f>シフト組み!A34&amp;""</f>
        <v>3</v>
      </c>
      <c r="B4" s="2" t="str">
        <f>シフト組み!B34&amp;""</f>
        <v/>
      </c>
      <c r="C4" s="2" t="str">
        <f>シフト組み!C34&amp;""</f>
        <v>ときのそら</v>
      </c>
      <c r="D4" s="17" t="str">
        <f>IFERROR(VLOOKUP(シフト組み!D34,役職一覧!$B:$D,2,FALSE),"")</f>
        <v/>
      </c>
      <c r="E4" s="17" t="str">
        <f>IFERROR(VLOOKUP(シフト組み!E34,役職一覧!$B:$D,2,FALSE),"")</f>
        <v/>
      </c>
      <c r="F4" s="17" t="str">
        <f>IFERROR(VLOOKUP(シフト組み!F34,役職一覧!$B:$D,2,FALSE),"")</f>
        <v/>
      </c>
      <c r="G4" s="17" t="str">
        <f>IFERROR(VLOOKUP(シフト組み!G34,役職一覧!$B:$D,2,FALSE),"")</f>
        <v>い</v>
      </c>
      <c r="H4" s="17" t="str">
        <f>IFERROR(VLOOKUP(シフト組み!H34,役職一覧!$B:$D,2,FALSE),"")</f>
        <v/>
      </c>
      <c r="I4" s="17" t="str">
        <f>IFERROR(VLOOKUP(シフト組み!I34,役職一覧!$B:$D,2,FALSE),"")</f>
        <v>あ</v>
      </c>
      <c r="J4" s="17" t="str">
        <f>IFERROR(VLOOKUP(シフト組み!J34,役職一覧!$B:$D,2,FALSE),"")</f>
        <v/>
      </c>
      <c r="K4" s="17" t="str">
        <f>IFERROR(VLOOKUP(シフト組み!K34,役職一覧!$B:$D,2,FALSE),"")</f>
        <v/>
      </c>
      <c r="L4" s="17" t="str">
        <f>IFERROR(VLOOKUP(シフト組み!L34,役職一覧!$B:$D,2,FALSE),"")</f>
        <v/>
      </c>
      <c r="M4" s="17" t="str">
        <f>IFERROR(VLOOKUP(シフト組み!M34,役職一覧!$B:$D,2,FALSE),"")</f>
        <v/>
      </c>
      <c r="N4" s="17" t="str">
        <f>IFERROR(VLOOKUP(シフト組み!N34,役職一覧!$B:$D,2,FALSE),"")</f>
        <v/>
      </c>
      <c r="O4" s="17" t="str">
        <f>IFERROR(VLOOKUP(シフト組み!O34,役職一覧!$B:$D,2,FALSE),"")</f>
        <v/>
      </c>
      <c r="P4" s="17" t="str">
        <f>IFERROR(VLOOKUP(シフト組み!P34,役職一覧!$B:$D,2,FALSE),"")</f>
        <v/>
      </c>
      <c r="Q4" s="17" t="str">
        <f>IFERROR(VLOOKUP(シフト組み!Q34,役職一覧!$B:$D,2,FALSE),"")</f>
        <v/>
      </c>
      <c r="R4" s="17" t="str">
        <f>IFERROR(VLOOKUP(シフト組み!R34,役職一覧!$B:$D,2,FALSE),"")</f>
        <v/>
      </c>
      <c r="S4" s="17" t="str">
        <f>IFERROR(VLOOKUP(シフト組み!S34,役職一覧!$B:$D,2,FALSE),"")</f>
        <v/>
      </c>
      <c r="T4" s="17" t="str">
        <f>IFERROR(VLOOKUP(シフト組み!T34,役職一覧!$B:$D,2,FALSE),"")</f>
        <v/>
      </c>
      <c r="U4" s="17" t="str">
        <f>IFERROR(VLOOKUP(シフト組み!U34,役職一覧!$B:$D,2,FALSE),"")</f>
        <v/>
      </c>
      <c r="V4" s="17" t="str">
        <f>IFERROR(VLOOKUP(シフト組み!V34,役職一覧!$B:$D,2,FALSE),"")</f>
        <v/>
      </c>
      <c r="W4" s="17" t="str">
        <f>IFERROR(VLOOKUP(シフト組み!W34,役職一覧!$B:$D,2,FALSE),"")</f>
        <v/>
      </c>
      <c r="X4" s="17" t="str">
        <f>IFERROR(VLOOKUP(シフト組み!X34,役職一覧!$B:$D,2,FALSE),"")</f>
        <v/>
      </c>
      <c r="Y4" s="17" t="str">
        <f>IFERROR(VLOOKUP(シフト組み!Y34,役職一覧!$B:$D,2,FALSE),"")</f>
        <v/>
      </c>
      <c r="Z4" s="17" t="str">
        <f>IFERROR(VLOOKUP(シフト組み!Z34,役職一覧!$B:$D,2,FALSE),"")</f>
        <v/>
      </c>
      <c r="AA4" s="17" t="str">
        <f>IFERROR(VLOOKUP(シフト組み!AA34,役職一覧!$B:$D,2,FALSE),"")</f>
        <v/>
      </c>
      <c r="AB4" s="17" t="str">
        <f>IFERROR(VLOOKUP(シフト組み!AB34,役職一覧!$B:$D,2,FALSE),"")</f>
        <v/>
      </c>
      <c r="AC4" s="17" t="str">
        <f>IFERROR(VLOOKUP(シフト組み!AC34,役職一覧!$B:$D,2,FALSE),"")</f>
        <v/>
      </c>
      <c r="AD4" s="17" t="str">
        <f>IFERROR(VLOOKUP(シフト組み!AD34,役職一覧!$B:$D,2,FALSE),"")</f>
        <v/>
      </c>
      <c r="AE4" s="17" t="str">
        <f>IFERROR(VLOOKUP(シフト組み!AE34,役職一覧!$B:$D,2,FALSE),"")</f>
        <v/>
      </c>
      <c r="AF4" s="17" t="str">
        <f>IFERROR(VLOOKUP(シフト組み!AF34,役職一覧!$B:$D,2,FALSE),"")</f>
        <v/>
      </c>
      <c r="AG4" s="17" t="str">
        <f>IFERROR(VLOOKUP(シフト組み!AG34,役職一覧!$B:$D,2,FALSE),"")</f>
        <v/>
      </c>
      <c r="AH4" s="17" t="str">
        <f>IFERROR(VLOOKUP(シフト組み!AH34,役職一覧!$B:$D,3,FALSE),"")</f>
        <v/>
      </c>
      <c r="AI4" s="17" t="str">
        <f>IFERROR(VLOOKUP(シフト組み!AI34,役職一覧!$B:$D,3,FALSE),"")</f>
        <v/>
      </c>
      <c r="AJ4" s="17" t="str">
        <f>IFERROR(VLOOKUP(シフト組み!AJ34,役職一覧!$B:$D,3,FALSE),"")</f>
        <v/>
      </c>
      <c r="AK4" s="17" t="str">
        <f>IFERROR(VLOOKUP(シフト組み!AK34,役職一覧!$B:$D,3,FALSE),"")</f>
        <v/>
      </c>
      <c r="AL4" s="17" t="str">
        <f>IFERROR(VLOOKUP(シフト組み!AL34,役職一覧!$B:$D,3,FALSE),"")</f>
        <v/>
      </c>
      <c r="AM4" s="17" t="str">
        <f>IFERROR(VLOOKUP(シフト組み!AM34,役職一覧!$B:$D,3,FALSE),"")</f>
        <v/>
      </c>
      <c r="AN4" s="17" t="str">
        <f>IFERROR(VLOOKUP(シフト組み!AN34,役職一覧!$B:$D,3,FALSE),"")</f>
        <v/>
      </c>
      <c r="AO4" s="17" t="str">
        <f>IFERROR(VLOOKUP(シフト組み!AO34,役職一覧!$B:$D,3,FALSE),"")</f>
        <v/>
      </c>
      <c r="AP4" s="17" t="str">
        <f>IFERROR(VLOOKUP(シフト組み!AP34,役職一覧!$B:$D,3,FALSE),"")</f>
        <v/>
      </c>
      <c r="AQ4" s="17" t="str">
        <f>IFERROR(VLOOKUP(シフト組み!AQ34,役職一覧!$B:$D,3,FALSE),"")</f>
        <v/>
      </c>
      <c r="AR4" s="17" t="str">
        <f>IFERROR(VLOOKUP(シフト組み!AR34,役職一覧!$B:$D,3,FALSE),"")</f>
        <v/>
      </c>
      <c r="AS4" s="17" t="str">
        <f>IFERROR(VLOOKUP(シフト組み!AS34,役職一覧!$B:$D,3,FALSE),"")</f>
        <v/>
      </c>
      <c r="AT4" s="17" t="str">
        <f>IFERROR(VLOOKUP(シフト組み!AT34,役職一覧!$B:$D,3,FALSE),"")</f>
        <v/>
      </c>
      <c r="AU4" s="17" t="str">
        <f>IFERROR(VLOOKUP(シフト組み!AU34,役職一覧!$B:$D,3,FALSE),"")</f>
        <v/>
      </c>
      <c r="AV4" s="17" t="str">
        <f>IFERROR(VLOOKUP(シフト組み!AV34,役職一覧!$B:$D,3,FALSE),"")</f>
        <v/>
      </c>
      <c r="AW4" s="17" t="str">
        <f>IFERROR(VLOOKUP(シフト組み!AW34,役職一覧!$B:$D,3,FALSE),"")</f>
        <v/>
      </c>
      <c r="AX4" s="17" t="str">
        <f>IFERROR(VLOOKUP(シフト組み!AX34,役職一覧!$B:$D,3,FALSE),"")</f>
        <v/>
      </c>
      <c r="AY4" s="17" t="str">
        <f>IFERROR(VLOOKUP(シフト組み!AY34,役職一覧!$B:$D,3,FALSE),"")</f>
        <v/>
      </c>
      <c r="AZ4" s="17" t="str">
        <f>IFERROR(VLOOKUP(シフト組み!AZ34,役職一覧!$B:$D,3,FALSE),"")</f>
        <v/>
      </c>
      <c r="BA4" s="17" t="str">
        <f>IFERROR(VLOOKUP(シフト組み!BA34,役職一覧!$B:$D,3,FALSE),"")</f>
        <v/>
      </c>
    </row>
    <row r="5" spans="1:53">
      <c r="A5" s="2" t="str">
        <f>シフト組み!A35&amp;""</f>
        <v>4</v>
      </c>
      <c r="B5" s="2" t="str">
        <f>シフト組み!B35&amp;""</f>
        <v/>
      </c>
      <c r="C5" s="2" t="str">
        <f>シフト組み!C35&amp;""</f>
        <v>はじめしゃちょー</v>
      </c>
      <c r="D5" s="17" t="str">
        <f>IFERROR(VLOOKUP(シフト組み!D35,役職一覧!$B:$D,2,FALSE),"")</f>
        <v/>
      </c>
      <c r="E5" s="17" t="str">
        <f>IFERROR(VLOOKUP(シフト組み!E35,役職一覧!$B:$D,2,FALSE),"")</f>
        <v/>
      </c>
      <c r="F5" s="17" t="str">
        <f>IFERROR(VLOOKUP(シフト組み!F35,役職一覧!$B:$D,2,FALSE),"")</f>
        <v/>
      </c>
      <c r="G5" s="17" t="str">
        <f>IFERROR(VLOOKUP(シフト組み!G35,役職一覧!$B:$D,2,FALSE),"")</f>
        <v/>
      </c>
      <c r="H5" s="17" t="str">
        <f>IFERROR(VLOOKUP(シフト組み!H35,役職一覧!$B:$D,2,FALSE),"")</f>
        <v/>
      </c>
      <c r="I5" s="17" t="str">
        <f>IFERROR(VLOOKUP(シフト組み!I35,役職一覧!$B:$D,2,FALSE),"")</f>
        <v/>
      </c>
      <c r="J5" s="17" t="str">
        <f>IFERROR(VLOOKUP(シフト組み!J35,役職一覧!$B:$D,2,FALSE),"")</f>
        <v/>
      </c>
      <c r="K5" s="17" t="str">
        <f>IFERROR(VLOOKUP(シフト組み!K35,役職一覧!$B:$D,2,FALSE),"")</f>
        <v/>
      </c>
      <c r="L5" s="17" t="str">
        <f>IFERROR(VLOOKUP(シフト組み!L35,役職一覧!$B:$D,2,FALSE),"")</f>
        <v/>
      </c>
      <c r="M5" s="17" t="str">
        <f>IFERROR(VLOOKUP(シフト組み!M35,役職一覧!$B:$D,2,FALSE),"")</f>
        <v/>
      </c>
      <c r="N5" s="17" t="str">
        <f>IFERROR(VLOOKUP(シフト組み!N35,役職一覧!$B:$D,2,FALSE),"")</f>
        <v/>
      </c>
      <c r="O5" s="17" t="str">
        <f>IFERROR(VLOOKUP(シフト組み!O35,役職一覧!$B:$D,2,FALSE),"")</f>
        <v/>
      </c>
      <c r="P5" s="17" t="str">
        <f>IFERROR(VLOOKUP(シフト組み!P35,役職一覧!$B:$D,2,FALSE),"")</f>
        <v/>
      </c>
      <c r="Q5" s="17" t="str">
        <f>IFERROR(VLOOKUP(シフト組み!Q35,役職一覧!$B:$D,2,FALSE),"")</f>
        <v/>
      </c>
      <c r="R5" s="17" t="str">
        <f>IFERROR(VLOOKUP(シフト組み!R35,役職一覧!$B:$D,2,FALSE),"")</f>
        <v/>
      </c>
      <c r="S5" s="17" t="str">
        <f>IFERROR(VLOOKUP(シフト組み!S35,役職一覧!$B:$D,2,FALSE),"")</f>
        <v/>
      </c>
      <c r="T5" s="17" t="str">
        <f>IFERROR(VLOOKUP(シフト組み!T35,役職一覧!$B:$D,2,FALSE),"")</f>
        <v/>
      </c>
      <c r="U5" s="17" t="str">
        <f>IFERROR(VLOOKUP(シフト組み!U35,役職一覧!$B:$D,2,FALSE),"")</f>
        <v/>
      </c>
      <c r="V5" s="17" t="str">
        <f>IFERROR(VLOOKUP(シフト組み!V35,役職一覧!$B:$D,2,FALSE),"")</f>
        <v/>
      </c>
      <c r="W5" s="17" t="str">
        <f>IFERROR(VLOOKUP(シフト組み!W35,役職一覧!$B:$D,2,FALSE),"")</f>
        <v/>
      </c>
      <c r="X5" s="17" t="str">
        <f>IFERROR(VLOOKUP(シフト組み!X35,役職一覧!$B:$D,2,FALSE),"")</f>
        <v/>
      </c>
      <c r="Y5" s="17" t="str">
        <f>IFERROR(VLOOKUP(シフト組み!Y35,役職一覧!$B:$D,2,FALSE),"")</f>
        <v/>
      </c>
      <c r="Z5" s="17" t="str">
        <f>IFERROR(VLOOKUP(シフト組み!Z35,役職一覧!$B:$D,2,FALSE),"")</f>
        <v/>
      </c>
      <c r="AA5" s="17" t="str">
        <f>IFERROR(VLOOKUP(シフト組み!AA35,役職一覧!$B:$D,2,FALSE),"")</f>
        <v/>
      </c>
      <c r="AB5" s="17" t="str">
        <f>IFERROR(VLOOKUP(シフト組み!AB35,役職一覧!$B:$D,2,FALSE),"")</f>
        <v/>
      </c>
      <c r="AC5" s="17" t="str">
        <f>IFERROR(VLOOKUP(シフト組み!AC35,役職一覧!$B:$D,2,FALSE),"")</f>
        <v/>
      </c>
      <c r="AD5" s="17" t="str">
        <f>IFERROR(VLOOKUP(シフト組み!AD35,役職一覧!$B:$D,2,FALSE),"")</f>
        <v/>
      </c>
      <c r="AE5" s="17" t="str">
        <f>IFERROR(VLOOKUP(シフト組み!AE35,役職一覧!$B:$D,2,FALSE),"")</f>
        <v/>
      </c>
      <c r="AF5" s="17" t="str">
        <f>IFERROR(VLOOKUP(シフト組み!AF35,役職一覧!$B:$D,2,FALSE),"")</f>
        <v/>
      </c>
      <c r="AG5" s="17" t="str">
        <f>IFERROR(VLOOKUP(シフト組み!AG35,役職一覧!$B:$D,2,FALSE),"")</f>
        <v/>
      </c>
      <c r="AH5" s="17" t="str">
        <f>IFERROR(VLOOKUP(シフト組み!AH35,役職一覧!$B:$D,3,FALSE),"")</f>
        <v/>
      </c>
      <c r="AI5" s="17" t="str">
        <f>IFERROR(VLOOKUP(シフト組み!AI35,役職一覧!$B:$D,3,FALSE),"")</f>
        <v/>
      </c>
      <c r="AJ5" s="17" t="str">
        <f>IFERROR(VLOOKUP(シフト組み!AJ35,役職一覧!$B:$D,3,FALSE),"")</f>
        <v/>
      </c>
      <c r="AK5" s="17" t="str">
        <f>IFERROR(VLOOKUP(シフト組み!AK35,役職一覧!$B:$D,3,FALSE),"")</f>
        <v/>
      </c>
      <c r="AL5" s="17" t="str">
        <f>IFERROR(VLOOKUP(シフト組み!AL35,役職一覧!$B:$D,3,FALSE),"")</f>
        <v/>
      </c>
      <c r="AM5" s="17" t="str">
        <f>IFERROR(VLOOKUP(シフト組み!AM35,役職一覧!$B:$D,3,FALSE),"")</f>
        <v/>
      </c>
      <c r="AN5" s="17" t="str">
        <f>IFERROR(VLOOKUP(シフト組み!AN35,役職一覧!$B:$D,3,FALSE),"")</f>
        <v/>
      </c>
      <c r="AO5" s="17" t="str">
        <f>IFERROR(VLOOKUP(シフト組み!AO35,役職一覧!$B:$D,3,FALSE),"")</f>
        <v/>
      </c>
      <c r="AP5" s="17" t="str">
        <f>IFERROR(VLOOKUP(シフト組み!AP35,役職一覧!$B:$D,3,FALSE),"")</f>
        <v/>
      </c>
      <c r="AQ5" s="17" t="str">
        <f>IFERROR(VLOOKUP(シフト組み!AQ35,役職一覧!$B:$D,3,FALSE),"")</f>
        <v/>
      </c>
      <c r="AR5" s="17" t="str">
        <f>IFERROR(VLOOKUP(シフト組み!AR35,役職一覧!$B:$D,3,FALSE),"")</f>
        <v/>
      </c>
      <c r="AS5" s="17" t="str">
        <f>IFERROR(VLOOKUP(シフト組み!AS35,役職一覧!$B:$D,3,FALSE),"")</f>
        <v/>
      </c>
      <c r="AT5" s="17" t="str">
        <f>IFERROR(VLOOKUP(シフト組み!AT35,役職一覧!$B:$D,3,FALSE),"")</f>
        <v/>
      </c>
      <c r="AU5" s="17" t="str">
        <f>IFERROR(VLOOKUP(シフト組み!AU35,役職一覧!$B:$D,3,FALSE),"")</f>
        <v/>
      </c>
      <c r="AV5" s="17" t="str">
        <f>IFERROR(VLOOKUP(シフト組み!AV35,役職一覧!$B:$D,3,FALSE),"")</f>
        <v/>
      </c>
      <c r="AW5" s="17" t="str">
        <f>IFERROR(VLOOKUP(シフト組み!AW35,役職一覧!$B:$D,3,FALSE),"")</f>
        <v/>
      </c>
      <c r="AX5" s="17" t="str">
        <f>IFERROR(VLOOKUP(シフト組み!AX35,役職一覧!$B:$D,3,FALSE),"")</f>
        <v/>
      </c>
      <c r="AY5" s="17" t="str">
        <f>IFERROR(VLOOKUP(シフト組み!AY35,役職一覧!$B:$D,3,FALSE),"")</f>
        <v/>
      </c>
      <c r="AZ5" s="17" t="str">
        <f>IFERROR(VLOOKUP(シフト組み!AZ35,役職一覧!$B:$D,3,FALSE),"")</f>
        <v/>
      </c>
      <c r="BA5" s="17" t="str">
        <f>IFERROR(VLOOKUP(シフト組み!BA35,役職一覧!$B:$D,3,FALSE),"")</f>
        <v/>
      </c>
    </row>
    <row r="6" spans="1:53">
      <c r="A6" s="2" t="str">
        <f>シフト組み!A36&amp;""</f>
        <v>5</v>
      </c>
      <c r="B6" s="2" t="str">
        <f>シフト組み!B36&amp;""</f>
        <v/>
      </c>
      <c r="C6" s="2" t="str">
        <f>シフト組み!C36&amp;""</f>
        <v/>
      </c>
      <c r="D6" s="17" t="str">
        <f>IFERROR(VLOOKUP(シフト組み!D36,役職一覧!$B:$D,2,FALSE),"")</f>
        <v/>
      </c>
      <c r="E6" s="17" t="str">
        <f>IFERROR(VLOOKUP(シフト組み!E36,役職一覧!$B:$D,2,FALSE),"")</f>
        <v/>
      </c>
      <c r="F6" s="17" t="str">
        <f>IFERROR(VLOOKUP(シフト組み!F36,役職一覧!$B:$D,2,FALSE),"")</f>
        <v/>
      </c>
      <c r="G6" s="17" t="str">
        <f>IFERROR(VLOOKUP(シフト組み!G36,役職一覧!$B:$D,2,FALSE),"")</f>
        <v/>
      </c>
      <c r="H6" s="17" t="str">
        <f>IFERROR(VLOOKUP(シフト組み!H36,役職一覧!$B:$D,2,FALSE),"")</f>
        <v/>
      </c>
      <c r="I6" s="17" t="str">
        <f>IFERROR(VLOOKUP(シフト組み!I36,役職一覧!$B:$D,2,FALSE),"")</f>
        <v/>
      </c>
      <c r="J6" s="17" t="str">
        <f>IFERROR(VLOOKUP(シフト組み!J36,役職一覧!$B:$D,2,FALSE),"")</f>
        <v/>
      </c>
      <c r="K6" s="17" t="str">
        <f>IFERROR(VLOOKUP(シフト組み!K36,役職一覧!$B:$D,2,FALSE),"")</f>
        <v/>
      </c>
      <c r="L6" s="17" t="str">
        <f>IFERROR(VLOOKUP(シフト組み!L36,役職一覧!$B:$D,2,FALSE),"")</f>
        <v/>
      </c>
      <c r="M6" s="17" t="str">
        <f>IFERROR(VLOOKUP(シフト組み!M36,役職一覧!$B:$D,2,FALSE),"")</f>
        <v/>
      </c>
      <c r="N6" s="17" t="str">
        <f>IFERROR(VLOOKUP(シフト組み!N36,役職一覧!$B:$D,2,FALSE),"")</f>
        <v/>
      </c>
      <c r="O6" s="17" t="str">
        <f>IFERROR(VLOOKUP(シフト組み!O36,役職一覧!$B:$D,2,FALSE),"")</f>
        <v/>
      </c>
      <c r="P6" s="17" t="str">
        <f>IFERROR(VLOOKUP(シフト組み!P36,役職一覧!$B:$D,2,FALSE),"")</f>
        <v/>
      </c>
      <c r="Q6" s="17" t="str">
        <f>IFERROR(VLOOKUP(シフト組み!Q36,役職一覧!$B:$D,2,FALSE),"")</f>
        <v/>
      </c>
      <c r="R6" s="17" t="str">
        <f>IFERROR(VLOOKUP(シフト組み!R36,役職一覧!$B:$D,2,FALSE),"")</f>
        <v/>
      </c>
      <c r="S6" s="17" t="str">
        <f>IFERROR(VLOOKUP(シフト組み!S36,役職一覧!$B:$D,2,FALSE),"")</f>
        <v/>
      </c>
      <c r="T6" s="17" t="str">
        <f>IFERROR(VLOOKUP(シフト組み!T36,役職一覧!$B:$D,2,FALSE),"")</f>
        <v/>
      </c>
      <c r="U6" s="17" t="str">
        <f>IFERROR(VLOOKUP(シフト組み!U36,役職一覧!$B:$D,2,FALSE),"")</f>
        <v/>
      </c>
      <c r="V6" s="17" t="str">
        <f>IFERROR(VLOOKUP(シフト組み!V36,役職一覧!$B:$D,2,FALSE),"")</f>
        <v/>
      </c>
      <c r="W6" s="17" t="str">
        <f>IFERROR(VLOOKUP(シフト組み!W36,役職一覧!$B:$D,2,FALSE),"")</f>
        <v/>
      </c>
      <c r="X6" s="17" t="str">
        <f>IFERROR(VLOOKUP(シフト組み!X36,役職一覧!$B:$D,2,FALSE),"")</f>
        <v/>
      </c>
      <c r="Y6" s="17" t="str">
        <f>IFERROR(VLOOKUP(シフト組み!Y36,役職一覧!$B:$D,2,FALSE),"")</f>
        <v/>
      </c>
      <c r="Z6" s="17" t="str">
        <f>IFERROR(VLOOKUP(シフト組み!Z36,役職一覧!$B:$D,2,FALSE),"")</f>
        <v/>
      </c>
      <c r="AA6" s="17" t="str">
        <f>IFERROR(VLOOKUP(シフト組み!AA36,役職一覧!$B:$D,2,FALSE),"")</f>
        <v/>
      </c>
      <c r="AB6" s="17" t="str">
        <f>IFERROR(VLOOKUP(シフト組み!AB36,役職一覧!$B:$D,2,FALSE),"")</f>
        <v/>
      </c>
      <c r="AC6" s="17" t="str">
        <f>IFERROR(VLOOKUP(シフト組み!AC36,役職一覧!$B:$D,2,FALSE),"")</f>
        <v/>
      </c>
      <c r="AD6" s="17" t="str">
        <f>IFERROR(VLOOKUP(シフト組み!AD36,役職一覧!$B:$D,2,FALSE),"")</f>
        <v/>
      </c>
      <c r="AE6" s="17" t="str">
        <f>IFERROR(VLOOKUP(シフト組み!AE36,役職一覧!$B:$D,2,FALSE),"")</f>
        <v/>
      </c>
      <c r="AF6" s="17" t="str">
        <f>IFERROR(VLOOKUP(シフト組み!AF36,役職一覧!$B:$D,2,FALSE),"")</f>
        <v/>
      </c>
      <c r="AG6" s="17" t="str">
        <f>IFERROR(VLOOKUP(シフト組み!AG36,役職一覧!$B:$D,2,FALSE),"")</f>
        <v/>
      </c>
      <c r="AH6" s="17" t="str">
        <f>IFERROR(VLOOKUP(シフト組み!AH36,役職一覧!$B:$D,3,FALSE),"")</f>
        <v/>
      </c>
      <c r="AI6" s="17" t="str">
        <f>IFERROR(VLOOKUP(シフト組み!AI36,役職一覧!$B:$D,3,FALSE),"")</f>
        <v/>
      </c>
      <c r="AJ6" s="17" t="str">
        <f>IFERROR(VLOOKUP(シフト組み!AJ36,役職一覧!$B:$D,3,FALSE),"")</f>
        <v/>
      </c>
      <c r="AK6" s="17" t="str">
        <f>IFERROR(VLOOKUP(シフト組み!AK36,役職一覧!$B:$D,3,FALSE),"")</f>
        <v/>
      </c>
      <c r="AL6" s="17" t="str">
        <f>IFERROR(VLOOKUP(シフト組み!AL36,役職一覧!$B:$D,3,FALSE),"")</f>
        <v/>
      </c>
      <c r="AM6" s="17" t="str">
        <f>IFERROR(VLOOKUP(シフト組み!AM36,役職一覧!$B:$D,3,FALSE),"")</f>
        <v/>
      </c>
      <c r="AN6" s="17" t="str">
        <f>IFERROR(VLOOKUP(シフト組み!AN36,役職一覧!$B:$D,3,FALSE),"")</f>
        <v/>
      </c>
      <c r="AO6" s="17" t="str">
        <f>IFERROR(VLOOKUP(シフト組み!AO36,役職一覧!$B:$D,3,FALSE),"")</f>
        <v/>
      </c>
      <c r="AP6" s="17" t="str">
        <f>IFERROR(VLOOKUP(シフト組み!AP36,役職一覧!$B:$D,3,FALSE),"")</f>
        <v/>
      </c>
      <c r="AQ6" s="17" t="str">
        <f>IFERROR(VLOOKUP(シフト組み!AQ36,役職一覧!$B:$D,3,FALSE),"")</f>
        <v/>
      </c>
      <c r="AR6" s="17" t="str">
        <f>IFERROR(VLOOKUP(シフト組み!AR36,役職一覧!$B:$D,3,FALSE),"")</f>
        <v/>
      </c>
      <c r="AS6" s="17" t="str">
        <f>IFERROR(VLOOKUP(シフト組み!AS36,役職一覧!$B:$D,3,FALSE),"")</f>
        <v/>
      </c>
      <c r="AT6" s="17" t="str">
        <f>IFERROR(VLOOKUP(シフト組み!AT36,役職一覧!$B:$D,3,FALSE),"")</f>
        <v/>
      </c>
      <c r="AU6" s="17" t="str">
        <f>IFERROR(VLOOKUP(シフト組み!AU36,役職一覧!$B:$D,3,FALSE),"")</f>
        <v/>
      </c>
      <c r="AV6" s="17" t="str">
        <f>IFERROR(VLOOKUP(シフト組み!AV36,役職一覧!$B:$D,3,FALSE),"")</f>
        <v/>
      </c>
      <c r="AW6" s="17" t="str">
        <f>IFERROR(VLOOKUP(シフト組み!AW36,役職一覧!$B:$D,3,FALSE),"")</f>
        <v/>
      </c>
      <c r="AX6" s="17" t="str">
        <f>IFERROR(VLOOKUP(シフト組み!AX36,役職一覧!$B:$D,3,FALSE),"")</f>
        <v/>
      </c>
      <c r="AY6" s="17" t="str">
        <f>IFERROR(VLOOKUP(シフト組み!AY36,役職一覧!$B:$D,3,FALSE),"")</f>
        <v/>
      </c>
      <c r="AZ6" s="17" t="str">
        <f>IFERROR(VLOOKUP(シフト組み!AZ36,役職一覧!$B:$D,3,FALSE),"")</f>
        <v/>
      </c>
      <c r="BA6" s="17" t="str">
        <f>IFERROR(VLOOKUP(シフト組み!BA36,役職一覧!$B:$D,3,FALSE),"")</f>
        <v/>
      </c>
    </row>
    <row r="7" spans="1:53">
      <c r="A7" s="2" t="str">
        <f>シフト組み!A37&amp;""</f>
        <v>6</v>
      </c>
      <c r="B7" s="2" t="str">
        <f>シフト組み!B37&amp;""</f>
        <v/>
      </c>
      <c r="C7" s="2" t="str">
        <f>シフト組み!C37&amp;""</f>
        <v/>
      </c>
      <c r="D7" s="17" t="str">
        <f>IFERROR(VLOOKUP(シフト組み!D37,役職一覧!$B:$D,2,FALSE),"")</f>
        <v/>
      </c>
      <c r="E7" s="17" t="str">
        <f>IFERROR(VLOOKUP(シフト組み!E37,役職一覧!$B:$D,2,FALSE),"")</f>
        <v/>
      </c>
      <c r="F7" s="17" t="str">
        <f>IFERROR(VLOOKUP(シフト組み!F37,役職一覧!$B:$D,2,FALSE),"")</f>
        <v/>
      </c>
      <c r="G7" s="17" t="str">
        <f>IFERROR(VLOOKUP(シフト組み!G37,役職一覧!$B:$D,2,FALSE),"")</f>
        <v/>
      </c>
      <c r="H7" s="17" t="str">
        <f>IFERROR(VLOOKUP(シフト組み!H37,役職一覧!$B:$D,2,FALSE),"")</f>
        <v/>
      </c>
      <c r="I7" s="17" t="str">
        <f>IFERROR(VLOOKUP(シフト組み!I37,役職一覧!$B:$D,2,FALSE),"")</f>
        <v/>
      </c>
      <c r="J7" s="17" t="str">
        <f>IFERROR(VLOOKUP(シフト組み!J37,役職一覧!$B:$D,2,FALSE),"")</f>
        <v/>
      </c>
      <c r="K7" s="17" t="str">
        <f>IFERROR(VLOOKUP(シフト組み!K37,役職一覧!$B:$D,2,FALSE),"")</f>
        <v/>
      </c>
      <c r="L7" s="17" t="str">
        <f>IFERROR(VLOOKUP(シフト組み!L37,役職一覧!$B:$D,2,FALSE),"")</f>
        <v/>
      </c>
      <c r="M7" s="17" t="str">
        <f>IFERROR(VLOOKUP(シフト組み!M37,役職一覧!$B:$D,2,FALSE),"")</f>
        <v/>
      </c>
      <c r="N7" s="17" t="str">
        <f>IFERROR(VLOOKUP(シフト組み!N37,役職一覧!$B:$D,2,FALSE),"")</f>
        <v/>
      </c>
      <c r="O7" s="17" t="str">
        <f>IFERROR(VLOOKUP(シフト組み!O37,役職一覧!$B:$D,2,FALSE),"")</f>
        <v/>
      </c>
      <c r="P7" s="17" t="str">
        <f>IFERROR(VLOOKUP(シフト組み!P37,役職一覧!$B:$D,2,FALSE),"")</f>
        <v/>
      </c>
      <c r="Q7" s="17" t="str">
        <f>IFERROR(VLOOKUP(シフト組み!Q37,役職一覧!$B:$D,2,FALSE),"")</f>
        <v/>
      </c>
      <c r="R7" s="17" t="str">
        <f>IFERROR(VLOOKUP(シフト組み!R37,役職一覧!$B:$D,2,FALSE),"")</f>
        <v/>
      </c>
      <c r="S7" s="17" t="str">
        <f>IFERROR(VLOOKUP(シフト組み!S37,役職一覧!$B:$D,2,FALSE),"")</f>
        <v/>
      </c>
      <c r="T7" s="17" t="str">
        <f>IFERROR(VLOOKUP(シフト組み!T37,役職一覧!$B:$D,2,FALSE),"")</f>
        <v/>
      </c>
      <c r="U7" s="17" t="str">
        <f>IFERROR(VLOOKUP(シフト組み!U37,役職一覧!$B:$D,2,FALSE),"")</f>
        <v/>
      </c>
      <c r="V7" s="17" t="str">
        <f>IFERROR(VLOOKUP(シフト組み!V37,役職一覧!$B:$D,2,FALSE),"")</f>
        <v/>
      </c>
      <c r="W7" s="17" t="str">
        <f>IFERROR(VLOOKUP(シフト組み!W37,役職一覧!$B:$D,2,FALSE),"")</f>
        <v/>
      </c>
      <c r="X7" s="17" t="str">
        <f>IFERROR(VLOOKUP(シフト組み!X37,役職一覧!$B:$D,2,FALSE),"")</f>
        <v/>
      </c>
      <c r="Y7" s="17" t="str">
        <f>IFERROR(VLOOKUP(シフト組み!Y37,役職一覧!$B:$D,2,FALSE),"")</f>
        <v/>
      </c>
      <c r="Z7" s="17" t="str">
        <f>IFERROR(VLOOKUP(シフト組み!Z37,役職一覧!$B:$D,2,FALSE),"")</f>
        <v/>
      </c>
      <c r="AA7" s="17" t="str">
        <f>IFERROR(VLOOKUP(シフト組み!AA37,役職一覧!$B:$D,2,FALSE),"")</f>
        <v/>
      </c>
      <c r="AB7" s="17" t="str">
        <f>IFERROR(VLOOKUP(シフト組み!AB37,役職一覧!$B:$D,2,FALSE),"")</f>
        <v/>
      </c>
      <c r="AC7" s="17" t="str">
        <f>IFERROR(VLOOKUP(シフト組み!AC37,役職一覧!$B:$D,2,FALSE),"")</f>
        <v/>
      </c>
      <c r="AD7" s="17" t="str">
        <f>IFERROR(VLOOKUP(シフト組み!AD37,役職一覧!$B:$D,2,FALSE),"")</f>
        <v/>
      </c>
      <c r="AE7" s="17" t="str">
        <f>IFERROR(VLOOKUP(シフト組み!AE37,役職一覧!$B:$D,2,FALSE),"")</f>
        <v/>
      </c>
      <c r="AF7" s="17" t="str">
        <f>IFERROR(VLOOKUP(シフト組み!AF37,役職一覧!$B:$D,2,FALSE),"")</f>
        <v/>
      </c>
      <c r="AG7" s="17" t="str">
        <f>IFERROR(VLOOKUP(シフト組み!AG37,役職一覧!$B:$D,2,FALSE),"")</f>
        <v/>
      </c>
      <c r="AH7" s="17" t="str">
        <f>IFERROR(VLOOKUP(シフト組み!AH37,役職一覧!$B:$D,3,FALSE),"")</f>
        <v/>
      </c>
      <c r="AI7" s="17" t="str">
        <f>IFERROR(VLOOKUP(シフト組み!AI37,役職一覧!$B:$D,3,FALSE),"")</f>
        <v/>
      </c>
      <c r="AJ7" s="17" t="str">
        <f>IFERROR(VLOOKUP(シフト組み!AJ37,役職一覧!$B:$D,3,FALSE),"")</f>
        <v/>
      </c>
      <c r="AK7" s="17" t="str">
        <f>IFERROR(VLOOKUP(シフト組み!AK37,役職一覧!$B:$D,3,FALSE),"")</f>
        <v/>
      </c>
      <c r="AL7" s="17" t="str">
        <f>IFERROR(VLOOKUP(シフト組み!AL37,役職一覧!$B:$D,3,FALSE),"")</f>
        <v/>
      </c>
      <c r="AM7" s="17" t="str">
        <f>IFERROR(VLOOKUP(シフト組み!AM37,役職一覧!$B:$D,3,FALSE),"")</f>
        <v/>
      </c>
      <c r="AN7" s="17" t="str">
        <f>IFERROR(VLOOKUP(シフト組み!AN37,役職一覧!$B:$D,3,FALSE),"")</f>
        <v/>
      </c>
      <c r="AO7" s="17" t="str">
        <f>IFERROR(VLOOKUP(シフト組み!AO37,役職一覧!$B:$D,3,FALSE),"")</f>
        <v/>
      </c>
      <c r="AP7" s="17" t="str">
        <f>IFERROR(VLOOKUP(シフト組み!AP37,役職一覧!$B:$D,3,FALSE),"")</f>
        <v/>
      </c>
      <c r="AQ7" s="17" t="str">
        <f>IFERROR(VLOOKUP(シフト組み!AQ37,役職一覧!$B:$D,3,FALSE),"")</f>
        <v/>
      </c>
      <c r="AR7" s="17" t="str">
        <f>IFERROR(VLOOKUP(シフト組み!AR37,役職一覧!$B:$D,3,FALSE),"")</f>
        <v/>
      </c>
      <c r="AS7" s="17" t="str">
        <f>IFERROR(VLOOKUP(シフト組み!AS37,役職一覧!$B:$D,3,FALSE),"")</f>
        <v/>
      </c>
      <c r="AT7" s="17" t="str">
        <f>IFERROR(VLOOKUP(シフト組み!AT37,役職一覧!$B:$D,3,FALSE),"")</f>
        <v/>
      </c>
      <c r="AU7" s="17" t="str">
        <f>IFERROR(VLOOKUP(シフト組み!AU37,役職一覧!$B:$D,3,FALSE),"")</f>
        <v/>
      </c>
      <c r="AV7" s="17" t="str">
        <f>IFERROR(VLOOKUP(シフト組み!AV37,役職一覧!$B:$D,3,FALSE),"")</f>
        <v/>
      </c>
      <c r="AW7" s="17" t="str">
        <f>IFERROR(VLOOKUP(シフト組み!AW37,役職一覧!$B:$D,3,FALSE),"")</f>
        <v/>
      </c>
      <c r="AX7" s="17" t="str">
        <f>IFERROR(VLOOKUP(シフト組み!AX37,役職一覧!$B:$D,3,FALSE),"")</f>
        <v/>
      </c>
      <c r="AY7" s="17" t="str">
        <f>IFERROR(VLOOKUP(シフト組み!AY37,役職一覧!$B:$D,3,FALSE),"")</f>
        <v/>
      </c>
      <c r="AZ7" s="17" t="str">
        <f>IFERROR(VLOOKUP(シフト組み!AZ37,役職一覧!$B:$D,3,FALSE),"")</f>
        <v/>
      </c>
      <c r="BA7" s="17" t="str">
        <f>IFERROR(VLOOKUP(シフト組み!BA37,役職一覧!$B:$D,3,FALSE),"")</f>
        <v/>
      </c>
    </row>
    <row r="8" spans="1:53">
      <c r="A8" s="2" t="str">
        <f>シフト組み!A38&amp;""</f>
        <v>7</v>
      </c>
      <c r="B8" s="2" t="str">
        <f>シフト組み!B38&amp;""</f>
        <v/>
      </c>
      <c r="C8" s="2" t="str">
        <f>シフト組み!C38&amp;""</f>
        <v/>
      </c>
      <c r="D8" s="17" t="str">
        <f>IFERROR(VLOOKUP(シフト組み!D38,役職一覧!$B:$D,2,FALSE),"")</f>
        <v/>
      </c>
      <c r="E8" s="17" t="str">
        <f>IFERROR(VLOOKUP(シフト組み!E38,役職一覧!$B:$D,2,FALSE),"")</f>
        <v/>
      </c>
      <c r="F8" s="17" t="str">
        <f>IFERROR(VLOOKUP(シフト組み!F38,役職一覧!$B:$D,2,FALSE),"")</f>
        <v/>
      </c>
      <c r="G8" s="17" t="str">
        <f>IFERROR(VLOOKUP(シフト組み!G38,役職一覧!$B:$D,2,FALSE),"")</f>
        <v/>
      </c>
      <c r="H8" s="17" t="str">
        <f>IFERROR(VLOOKUP(シフト組み!H38,役職一覧!$B:$D,2,FALSE),"")</f>
        <v/>
      </c>
      <c r="I8" s="17" t="str">
        <f>IFERROR(VLOOKUP(シフト組み!I38,役職一覧!$B:$D,2,FALSE),"")</f>
        <v/>
      </c>
      <c r="J8" s="17" t="str">
        <f>IFERROR(VLOOKUP(シフト組み!J38,役職一覧!$B:$D,2,FALSE),"")</f>
        <v/>
      </c>
      <c r="K8" s="17" t="str">
        <f>IFERROR(VLOOKUP(シフト組み!K38,役職一覧!$B:$D,2,FALSE),"")</f>
        <v/>
      </c>
      <c r="L8" s="17" t="str">
        <f>IFERROR(VLOOKUP(シフト組み!L38,役職一覧!$B:$D,2,FALSE),"")</f>
        <v/>
      </c>
      <c r="M8" s="17" t="str">
        <f>IFERROR(VLOOKUP(シフト組み!M38,役職一覧!$B:$D,2,FALSE),"")</f>
        <v/>
      </c>
      <c r="N8" s="17" t="str">
        <f>IFERROR(VLOOKUP(シフト組み!N38,役職一覧!$B:$D,2,FALSE),"")</f>
        <v/>
      </c>
      <c r="O8" s="17" t="str">
        <f>IFERROR(VLOOKUP(シフト組み!O38,役職一覧!$B:$D,2,FALSE),"")</f>
        <v/>
      </c>
      <c r="P8" s="17" t="str">
        <f>IFERROR(VLOOKUP(シフト組み!P38,役職一覧!$B:$D,2,FALSE),"")</f>
        <v/>
      </c>
      <c r="Q8" s="17" t="str">
        <f>IFERROR(VLOOKUP(シフト組み!Q38,役職一覧!$B:$D,2,FALSE),"")</f>
        <v/>
      </c>
      <c r="R8" s="17" t="str">
        <f>IFERROR(VLOOKUP(シフト組み!R38,役職一覧!$B:$D,2,FALSE),"")</f>
        <v/>
      </c>
      <c r="S8" s="17" t="str">
        <f>IFERROR(VLOOKUP(シフト組み!S38,役職一覧!$B:$D,2,FALSE),"")</f>
        <v/>
      </c>
      <c r="T8" s="17" t="str">
        <f>IFERROR(VLOOKUP(シフト組み!T38,役職一覧!$B:$D,2,FALSE),"")</f>
        <v/>
      </c>
      <c r="U8" s="17" t="str">
        <f>IFERROR(VLOOKUP(シフト組み!U38,役職一覧!$B:$D,2,FALSE),"")</f>
        <v/>
      </c>
      <c r="V8" s="17" t="str">
        <f>IFERROR(VLOOKUP(シフト組み!V38,役職一覧!$B:$D,2,FALSE),"")</f>
        <v/>
      </c>
      <c r="W8" s="17" t="str">
        <f>IFERROR(VLOOKUP(シフト組み!W38,役職一覧!$B:$D,2,FALSE),"")</f>
        <v/>
      </c>
      <c r="X8" s="17" t="str">
        <f>IFERROR(VLOOKUP(シフト組み!X38,役職一覧!$B:$D,2,FALSE),"")</f>
        <v/>
      </c>
      <c r="Y8" s="17" t="str">
        <f>IFERROR(VLOOKUP(シフト組み!Y38,役職一覧!$B:$D,2,FALSE),"")</f>
        <v/>
      </c>
      <c r="Z8" s="17" t="str">
        <f>IFERROR(VLOOKUP(シフト組み!Z38,役職一覧!$B:$D,2,FALSE),"")</f>
        <v/>
      </c>
      <c r="AA8" s="17" t="str">
        <f>IFERROR(VLOOKUP(シフト組み!AA38,役職一覧!$B:$D,2,FALSE),"")</f>
        <v/>
      </c>
      <c r="AB8" s="17" t="str">
        <f>IFERROR(VLOOKUP(シフト組み!AB38,役職一覧!$B:$D,2,FALSE),"")</f>
        <v/>
      </c>
      <c r="AC8" s="17" t="str">
        <f>IFERROR(VLOOKUP(シフト組み!AC38,役職一覧!$B:$D,2,FALSE),"")</f>
        <v/>
      </c>
      <c r="AD8" s="17" t="str">
        <f>IFERROR(VLOOKUP(シフト組み!AD38,役職一覧!$B:$D,2,FALSE),"")</f>
        <v/>
      </c>
      <c r="AE8" s="17" t="str">
        <f>IFERROR(VLOOKUP(シフト組み!AE38,役職一覧!$B:$D,2,FALSE),"")</f>
        <v/>
      </c>
      <c r="AF8" s="17" t="str">
        <f>IFERROR(VLOOKUP(シフト組み!AF38,役職一覧!$B:$D,2,FALSE),"")</f>
        <v/>
      </c>
      <c r="AG8" s="17" t="str">
        <f>IFERROR(VLOOKUP(シフト組み!AG38,役職一覧!$B:$D,2,FALSE),"")</f>
        <v/>
      </c>
      <c r="AH8" s="17" t="str">
        <f>IFERROR(VLOOKUP(シフト組み!AH38,役職一覧!$B:$D,3,FALSE),"")</f>
        <v/>
      </c>
      <c r="AI8" s="17" t="str">
        <f>IFERROR(VLOOKUP(シフト組み!AI38,役職一覧!$B:$D,3,FALSE),"")</f>
        <v/>
      </c>
      <c r="AJ8" s="17" t="str">
        <f>IFERROR(VLOOKUP(シフト組み!AJ38,役職一覧!$B:$D,3,FALSE),"")</f>
        <v/>
      </c>
      <c r="AK8" s="17" t="str">
        <f>IFERROR(VLOOKUP(シフト組み!AK38,役職一覧!$B:$D,3,FALSE),"")</f>
        <v/>
      </c>
      <c r="AL8" s="17" t="str">
        <f>IFERROR(VLOOKUP(シフト組み!AL38,役職一覧!$B:$D,3,FALSE),"")</f>
        <v/>
      </c>
      <c r="AM8" s="17" t="str">
        <f>IFERROR(VLOOKUP(シフト組み!AM38,役職一覧!$B:$D,3,FALSE),"")</f>
        <v/>
      </c>
      <c r="AN8" s="17" t="str">
        <f>IFERROR(VLOOKUP(シフト組み!AN38,役職一覧!$B:$D,3,FALSE),"")</f>
        <v/>
      </c>
      <c r="AO8" s="17" t="str">
        <f>IFERROR(VLOOKUP(シフト組み!AO38,役職一覧!$B:$D,3,FALSE),"")</f>
        <v/>
      </c>
      <c r="AP8" s="17" t="str">
        <f>IFERROR(VLOOKUP(シフト組み!AP38,役職一覧!$B:$D,3,FALSE),"")</f>
        <v/>
      </c>
      <c r="AQ8" s="17" t="str">
        <f>IFERROR(VLOOKUP(シフト組み!AQ38,役職一覧!$B:$D,3,FALSE),"")</f>
        <v/>
      </c>
      <c r="AR8" s="17" t="str">
        <f>IFERROR(VLOOKUP(シフト組み!AR38,役職一覧!$B:$D,3,FALSE),"")</f>
        <v/>
      </c>
      <c r="AS8" s="17" t="str">
        <f>IFERROR(VLOOKUP(シフト組み!AS38,役職一覧!$B:$D,3,FALSE),"")</f>
        <v/>
      </c>
      <c r="AT8" s="17" t="str">
        <f>IFERROR(VLOOKUP(シフト組み!AT38,役職一覧!$B:$D,3,FALSE),"")</f>
        <v/>
      </c>
      <c r="AU8" s="17" t="str">
        <f>IFERROR(VLOOKUP(シフト組み!AU38,役職一覧!$B:$D,3,FALSE),"")</f>
        <v/>
      </c>
      <c r="AV8" s="17" t="str">
        <f>IFERROR(VLOOKUP(シフト組み!AV38,役職一覧!$B:$D,3,FALSE),"")</f>
        <v/>
      </c>
      <c r="AW8" s="17" t="str">
        <f>IFERROR(VLOOKUP(シフト組み!AW38,役職一覧!$B:$D,3,FALSE),"")</f>
        <v/>
      </c>
      <c r="AX8" s="17" t="str">
        <f>IFERROR(VLOOKUP(シフト組み!AX38,役職一覧!$B:$D,3,FALSE),"")</f>
        <v/>
      </c>
      <c r="AY8" s="17" t="str">
        <f>IFERROR(VLOOKUP(シフト組み!AY38,役職一覧!$B:$D,3,FALSE),"")</f>
        <v/>
      </c>
      <c r="AZ8" s="17" t="str">
        <f>IFERROR(VLOOKUP(シフト組み!AZ38,役職一覧!$B:$D,3,FALSE),"")</f>
        <v/>
      </c>
      <c r="BA8" s="17" t="str">
        <f>IFERROR(VLOOKUP(シフト組み!BA38,役職一覧!$B:$D,3,FALSE),"")</f>
        <v/>
      </c>
    </row>
    <row r="9" spans="1:53">
      <c r="A9" s="2" t="str">
        <f>シフト組み!A39&amp;""</f>
        <v>8</v>
      </c>
      <c r="B9" s="2" t="str">
        <f>シフト組み!B39&amp;""</f>
        <v/>
      </c>
      <c r="C9" s="2" t="str">
        <f>シフト組み!C39&amp;""</f>
        <v/>
      </c>
      <c r="D9" s="17" t="str">
        <f>IFERROR(VLOOKUP(シフト組み!D39,役職一覧!$B:$D,2,FALSE),"")</f>
        <v/>
      </c>
      <c r="E9" s="17" t="str">
        <f>IFERROR(VLOOKUP(シフト組み!E39,役職一覧!$B:$D,2,FALSE),"")</f>
        <v/>
      </c>
      <c r="F9" s="17" t="str">
        <f>IFERROR(VLOOKUP(シフト組み!F39,役職一覧!$B:$D,2,FALSE),"")</f>
        <v/>
      </c>
      <c r="G9" s="17" t="str">
        <f>IFERROR(VLOOKUP(シフト組み!G39,役職一覧!$B:$D,2,FALSE),"")</f>
        <v/>
      </c>
      <c r="H9" s="17" t="str">
        <f>IFERROR(VLOOKUP(シフト組み!H39,役職一覧!$B:$D,2,FALSE),"")</f>
        <v/>
      </c>
      <c r="I9" s="17" t="str">
        <f>IFERROR(VLOOKUP(シフト組み!I39,役職一覧!$B:$D,2,FALSE),"")</f>
        <v/>
      </c>
      <c r="J9" s="17" t="str">
        <f>IFERROR(VLOOKUP(シフト組み!J39,役職一覧!$B:$D,2,FALSE),"")</f>
        <v/>
      </c>
      <c r="K9" s="17" t="str">
        <f>IFERROR(VLOOKUP(シフト組み!K39,役職一覧!$B:$D,2,FALSE),"")</f>
        <v/>
      </c>
      <c r="L9" s="17" t="str">
        <f>IFERROR(VLOOKUP(シフト組み!L39,役職一覧!$B:$D,2,FALSE),"")</f>
        <v/>
      </c>
      <c r="M9" s="17" t="str">
        <f>IFERROR(VLOOKUP(シフト組み!M39,役職一覧!$B:$D,2,FALSE),"")</f>
        <v/>
      </c>
      <c r="N9" s="17" t="str">
        <f>IFERROR(VLOOKUP(シフト組み!N39,役職一覧!$B:$D,2,FALSE),"")</f>
        <v/>
      </c>
      <c r="O9" s="17" t="str">
        <f>IFERROR(VLOOKUP(シフト組み!O39,役職一覧!$B:$D,2,FALSE),"")</f>
        <v/>
      </c>
      <c r="P9" s="17" t="str">
        <f>IFERROR(VLOOKUP(シフト組み!P39,役職一覧!$B:$D,2,FALSE),"")</f>
        <v/>
      </c>
      <c r="Q9" s="17" t="str">
        <f>IFERROR(VLOOKUP(シフト組み!Q39,役職一覧!$B:$D,2,FALSE),"")</f>
        <v/>
      </c>
      <c r="R9" s="17" t="str">
        <f>IFERROR(VLOOKUP(シフト組み!R39,役職一覧!$B:$D,2,FALSE),"")</f>
        <v/>
      </c>
      <c r="S9" s="17" t="str">
        <f>IFERROR(VLOOKUP(シフト組み!S39,役職一覧!$B:$D,2,FALSE),"")</f>
        <v/>
      </c>
      <c r="T9" s="17" t="str">
        <f>IFERROR(VLOOKUP(シフト組み!T39,役職一覧!$B:$D,2,FALSE),"")</f>
        <v/>
      </c>
      <c r="U9" s="17" t="str">
        <f>IFERROR(VLOOKUP(シフト組み!U39,役職一覧!$B:$D,2,FALSE),"")</f>
        <v/>
      </c>
      <c r="V9" s="17" t="str">
        <f>IFERROR(VLOOKUP(シフト組み!V39,役職一覧!$B:$D,2,FALSE),"")</f>
        <v/>
      </c>
      <c r="W9" s="17" t="str">
        <f>IFERROR(VLOOKUP(シフト組み!W39,役職一覧!$B:$D,2,FALSE),"")</f>
        <v/>
      </c>
      <c r="X9" s="17" t="str">
        <f>IFERROR(VLOOKUP(シフト組み!X39,役職一覧!$B:$D,2,FALSE),"")</f>
        <v/>
      </c>
      <c r="Y9" s="17" t="str">
        <f>IFERROR(VLOOKUP(シフト組み!Y39,役職一覧!$B:$D,2,FALSE),"")</f>
        <v/>
      </c>
      <c r="Z9" s="17" t="str">
        <f>IFERROR(VLOOKUP(シフト組み!Z39,役職一覧!$B:$D,2,FALSE),"")</f>
        <v/>
      </c>
      <c r="AA9" s="17" t="str">
        <f>IFERROR(VLOOKUP(シフト組み!AA39,役職一覧!$B:$D,2,FALSE),"")</f>
        <v/>
      </c>
      <c r="AB9" s="17" t="str">
        <f>IFERROR(VLOOKUP(シフト組み!AB39,役職一覧!$B:$D,2,FALSE),"")</f>
        <v/>
      </c>
      <c r="AC9" s="17" t="str">
        <f>IFERROR(VLOOKUP(シフト組み!AC39,役職一覧!$B:$D,2,FALSE),"")</f>
        <v/>
      </c>
      <c r="AD9" s="17" t="str">
        <f>IFERROR(VLOOKUP(シフト組み!AD39,役職一覧!$B:$D,2,FALSE),"")</f>
        <v/>
      </c>
      <c r="AE9" s="17" t="str">
        <f>IFERROR(VLOOKUP(シフト組み!AE39,役職一覧!$B:$D,2,FALSE),"")</f>
        <v/>
      </c>
      <c r="AF9" s="17" t="str">
        <f>IFERROR(VLOOKUP(シフト組み!AF39,役職一覧!$B:$D,2,FALSE),"")</f>
        <v/>
      </c>
      <c r="AG9" s="17" t="str">
        <f>IFERROR(VLOOKUP(シフト組み!AG39,役職一覧!$B:$D,2,FALSE),"")</f>
        <v/>
      </c>
      <c r="AH9" s="17" t="str">
        <f>IFERROR(VLOOKUP(シフト組み!AH39,役職一覧!$B:$D,3,FALSE),"")</f>
        <v/>
      </c>
      <c r="AI9" s="17" t="str">
        <f>IFERROR(VLOOKUP(シフト組み!AI39,役職一覧!$B:$D,3,FALSE),"")</f>
        <v/>
      </c>
      <c r="AJ9" s="17" t="str">
        <f>IFERROR(VLOOKUP(シフト組み!AJ39,役職一覧!$B:$D,3,FALSE),"")</f>
        <v/>
      </c>
      <c r="AK9" s="17" t="str">
        <f>IFERROR(VLOOKUP(シフト組み!AK39,役職一覧!$B:$D,3,FALSE),"")</f>
        <v/>
      </c>
      <c r="AL9" s="17" t="str">
        <f>IFERROR(VLOOKUP(シフト組み!AL39,役職一覧!$B:$D,3,FALSE),"")</f>
        <v/>
      </c>
      <c r="AM9" s="17" t="str">
        <f>IFERROR(VLOOKUP(シフト組み!AM39,役職一覧!$B:$D,3,FALSE),"")</f>
        <v/>
      </c>
      <c r="AN9" s="17" t="str">
        <f>IFERROR(VLOOKUP(シフト組み!AN39,役職一覧!$B:$D,3,FALSE),"")</f>
        <v/>
      </c>
      <c r="AO9" s="17" t="str">
        <f>IFERROR(VLOOKUP(シフト組み!AO39,役職一覧!$B:$D,3,FALSE),"")</f>
        <v/>
      </c>
      <c r="AP9" s="17" t="str">
        <f>IFERROR(VLOOKUP(シフト組み!AP39,役職一覧!$B:$D,3,FALSE),"")</f>
        <v/>
      </c>
      <c r="AQ9" s="17" t="str">
        <f>IFERROR(VLOOKUP(シフト組み!AQ39,役職一覧!$B:$D,3,FALSE),"")</f>
        <v/>
      </c>
      <c r="AR9" s="17" t="str">
        <f>IFERROR(VLOOKUP(シフト組み!AR39,役職一覧!$B:$D,3,FALSE),"")</f>
        <v/>
      </c>
      <c r="AS9" s="17" t="str">
        <f>IFERROR(VLOOKUP(シフト組み!AS39,役職一覧!$B:$D,3,FALSE),"")</f>
        <v/>
      </c>
      <c r="AT9" s="17" t="str">
        <f>IFERROR(VLOOKUP(シフト組み!AT39,役職一覧!$B:$D,3,FALSE),"")</f>
        <v/>
      </c>
      <c r="AU9" s="17" t="str">
        <f>IFERROR(VLOOKUP(シフト組み!AU39,役職一覧!$B:$D,3,FALSE),"")</f>
        <v/>
      </c>
      <c r="AV9" s="17" t="str">
        <f>IFERROR(VLOOKUP(シフト組み!AV39,役職一覧!$B:$D,3,FALSE),"")</f>
        <v/>
      </c>
      <c r="AW9" s="17" t="str">
        <f>IFERROR(VLOOKUP(シフト組み!AW39,役職一覧!$B:$D,3,FALSE),"")</f>
        <v/>
      </c>
      <c r="AX9" s="17" t="str">
        <f>IFERROR(VLOOKUP(シフト組み!AX39,役職一覧!$B:$D,3,FALSE),"")</f>
        <v/>
      </c>
      <c r="AY9" s="17" t="str">
        <f>IFERROR(VLOOKUP(シフト組み!AY39,役職一覧!$B:$D,3,FALSE),"")</f>
        <v/>
      </c>
      <c r="AZ9" s="17" t="str">
        <f>IFERROR(VLOOKUP(シフト組み!AZ39,役職一覧!$B:$D,3,FALSE),"")</f>
        <v/>
      </c>
      <c r="BA9" s="17" t="str">
        <f>IFERROR(VLOOKUP(シフト組み!BA39,役職一覧!$B:$D,3,FALSE),"")</f>
        <v/>
      </c>
    </row>
    <row r="10" spans="1:53">
      <c r="A10" s="2" t="str">
        <f>シフト組み!A40&amp;""</f>
        <v>9</v>
      </c>
      <c r="B10" s="2" t="str">
        <f>シフト組み!B40&amp;""</f>
        <v/>
      </c>
      <c r="C10" s="2" t="str">
        <f>シフト組み!C40&amp;""</f>
        <v/>
      </c>
      <c r="D10" s="17" t="str">
        <f>IFERROR(VLOOKUP(シフト組み!D40,役職一覧!$B:$D,2,FALSE),"")</f>
        <v/>
      </c>
      <c r="E10" s="17" t="str">
        <f>IFERROR(VLOOKUP(シフト組み!E40,役職一覧!$B:$D,2,FALSE),"")</f>
        <v/>
      </c>
      <c r="F10" s="17" t="str">
        <f>IFERROR(VLOOKUP(シフト組み!F40,役職一覧!$B:$D,2,FALSE),"")</f>
        <v/>
      </c>
      <c r="G10" s="17" t="str">
        <f>IFERROR(VLOOKUP(シフト組み!G40,役職一覧!$B:$D,2,FALSE),"")</f>
        <v/>
      </c>
      <c r="H10" s="17" t="str">
        <f>IFERROR(VLOOKUP(シフト組み!H40,役職一覧!$B:$D,2,FALSE),"")</f>
        <v/>
      </c>
      <c r="I10" s="17" t="str">
        <f>IFERROR(VLOOKUP(シフト組み!I40,役職一覧!$B:$D,2,FALSE),"")</f>
        <v/>
      </c>
      <c r="J10" s="17" t="str">
        <f>IFERROR(VLOOKUP(シフト組み!J40,役職一覧!$B:$D,2,FALSE),"")</f>
        <v/>
      </c>
      <c r="K10" s="17" t="str">
        <f>IFERROR(VLOOKUP(シフト組み!K40,役職一覧!$B:$D,2,FALSE),"")</f>
        <v/>
      </c>
      <c r="L10" s="17" t="str">
        <f>IFERROR(VLOOKUP(シフト組み!L40,役職一覧!$B:$D,2,FALSE),"")</f>
        <v/>
      </c>
      <c r="M10" s="17" t="str">
        <f>IFERROR(VLOOKUP(シフト組み!M40,役職一覧!$B:$D,2,FALSE),"")</f>
        <v/>
      </c>
      <c r="N10" s="17" t="str">
        <f>IFERROR(VLOOKUP(シフト組み!N40,役職一覧!$B:$D,2,FALSE),"")</f>
        <v/>
      </c>
      <c r="O10" s="17" t="str">
        <f>IFERROR(VLOOKUP(シフト組み!O40,役職一覧!$B:$D,2,FALSE),"")</f>
        <v/>
      </c>
      <c r="P10" s="17" t="str">
        <f>IFERROR(VLOOKUP(シフト組み!P40,役職一覧!$B:$D,2,FALSE),"")</f>
        <v/>
      </c>
      <c r="Q10" s="17" t="str">
        <f>IFERROR(VLOOKUP(シフト組み!Q40,役職一覧!$B:$D,2,FALSE),"")</f>
        <v/>
      </c>
      <c r="R10" s="17" t="str">
        <f>IFERROR(VLOOKUP(シフト組み!R40,役職一覧!$B:$D,2,FALSE),"")</f>
        <v/>
      </c>
      <c r="S10" s="17" t="str">
        <f>IFERROR(VLOOKUP(シフト組み!S40,役職一覧!$B:$D,2,FALSE),"")</f>
        <v/>
      </c>
      <c r="T10" s="17" t="str">
        <f>IFERROR(VLOOKUP(シフト組み!T40,役職一覧!$B:$D,2,FALSE),"")</f>
        <v/>
      </c>
      <c r="U10" s="17" t="str">
        <f>IFERROR(VLOOKUP(シフト組み!U40,役職一覧!$B:$D,2,FALSE),"")</f>
        <v/>
      </c>
      <c r="V10" s="17" t="str">
        <f>IFERROR(VLOOKUP(シフト組み!V40,役職一覧!$B:$D,2,FALSE),"")</f>
        <v/>
      </c>
      <c r="W10" s="17" t="str">
        <f>IFERROR(VLOOKUP(シフト組み!W40,役職一覧!$B:$D,2,FALSE),"")</f>
        <v/>
      </c>
      <c r="X10" s="17" t="str">
        <f>IFERROR(VLOOKUP(シフト組み!X40,役職一覧!$B:$D,2,FALSE),"")</f>
        <v/>
      </c>
      <c r="Y10" s="17" t="str">
        <f>IFERROR(VLOOKUP(シフト組み!Y40,役職一覧!$B:$D,2,FALSE),"")</f>
        <v/>
      </c>
      <c r="Z10" s="17" t="str">
        <f>IFERROR(VLOOKUP(シフト組み!Z40,役職一覧!$B:$D,2,FALSE),"")</f>
        <v/>
      </c>
      <c r="AA10" s="17" t="str">
        <f>IFERROR(VLOOKUP(シフト組み!AA40,役職一覧!$B:$D,2,FALSE),"")</f>
        <v/>
      </c>
      <c r="AB10" s="17" t="str">
        <f>IFERROR(VLOOKUP(シフト組み!AB40,役職一覧!$B:$D,2,FALSE),"")</f>
        <v/>
      </c>
      <c r="AC10" s="17" t="str">
        <f>IFERROR(VLOOKUP(シフト組み!AC40,役職一覧!$B:$D,2,FALSE),"")</f>
        <v/>
      </c>
      <c r="AD10" s="17" t="str">
        <f>IFERROR(VLOOKUP(シフト組み!AD40,役職一覧!$B:$D,2,FALSE),"")</f>
        <v/>
      </c>
      <c r="AE10" s="17" t="str">
        <f>IFERROR(VLOOKUP(シフト組み!AE40,役職一覧!$B:$D,2,FALSE),"")</f>
        <v/>
      </c>
      <c r="AF10" s="17" t="str">
        <f>IFERROR(VLOOKUP(シフト組み!AF40,役職一覧!$B:$D,2,FALSE),"")</f>
        <v/>
      </c>
      <c r="AG10" s="17" t="str">
        <f>IFERROR(VLOOKUP(シフト組み!AG40,役職一覧!$B:$D,2,FALSE),"")</f>
        <v/>
      </c>
      <c r="AH10" s="17" t="str">
        <f>IFERROR(VLOOKUP(シフト組み!AH40,役職一覧!$B:$D,3,FALSE),"")</f>
        <v/>
      </c>
      <c r="AI10" s="17" t="str">
        <f>IFERROR(VLOOKUP(シフト組み!AI40,役職一覧!$B:$D,3,FALSE),"")</f>
        <v/>
      </c>
      <c r="AJ10" s="17" t="str">
        <f>IFERROR(VLOOKUP(シフト組み!AJ40,役職一覧!$B:$D,3,FALSE),"")</f>
        <v/>
      </c>
      <c r="AK10" s="17" t="str">
        <f>IFERROR(VLOOKUP(シフト組み!AK40,役職一覧!$B:$D,3,FALSE),"")</f>
        <v/>
      </c>
      <c r="AL10" s="17" t="str">
        <f>IFERROR(VLOOKUP(シフト組み!AL40,役職一覧!$B:$D,3,FALSE),"")</f>
        <v/>
      </c>
      <c r="AM10" s="17" t="str">
        <f>IFERROR(VLOOKUP(シフト組み!AM40,役職一覧!$B:$D,3,FALSE),"")</f>
        <v/>
      </c>
      <c r="AN10" s="17" t="str">
        <f>IFERROR(VLOOKUP(シフト組み!AN40,役職一覧!$B:$D,3,FALSE),"")</f>
        <v/>
      </c>
      <c r="AO10" s="17" t="str">
        <f>IFERROR(VLOOKUP(シフト組み!AO40,役職一覧!$B:$D,3,FALSE),"")</f>
        <v/>
      </c>
      <c r="AP10" s="17" t="str">
        <f>IFERROR(VLOOKUP(シフト組み!AP40,役職一覧!$B:$D,3,FALSE),"")</f>
        <v/>
      </c>
      <c r="AQ10" s="17" t="str">
        <f>IFERROR(VLOOKUP(シフト組み!AQ40,役職一覧!$B:$D,3,FALSE),"")</f>
        <v/>
      </c>
      <c r="AR10" s="17" t="str">
        <f>IFERROR(VLOOKUP(シフト組み!AR40,役職一覧!$B:$D,3,FALSE),"")</f>
        <v/>
      </c>
      <c r="AS10" s="17" t="str">
        <f>IFERROR(VLOOKUP(シフト組み!AS40,役職一覧!$B:$D,3,FALSE),"")</f>
        <v/>
      </c>
      <c r="AT10" s="17" t="str">
        <f>IFERROR(VLOOKUP(シフト組み!AT40,役職一覧!$B:$D,3,FALSE),"")</f>
        <v/>
      </c>
      <c r="AU10" s="17" t="str">
        <f>IFERROR(VLOOKUP(シフト組み!AU40,役職一覧!$B:$D,3,FALSE),"")</f>
        <v/>
      </c>
      <c r="AV10" s="17" t="str">
        <f>IFERROR(VLOOKUP(シフト組み!AV40,役職一覧!$B:$D,3,FALSE),"")</f>
        <v/>
      </c>
      <c r="AW10" s="17" t="str">
        <f>IFERROR(VLOOKUP(シフト組み!AW40,役職一覧!$B:$D,3,FALSE),"")</f>
        <v/>
      </c>
      <c r="AX10" s="17" t="str">
        <f>IFERROR(VLOOKUP(シフト組み!AX40,役職一覧!$B:$D,3,FALSE),"")</f>
        <v/>
      </c>
      <c r="AY10" s="17" t="str">
        <f>IFERROR(VLOOKUP(シフト組み!AY40,役職一覧!$B:$D,3,FALSE),"")</f>
        <v/>
      </c>
      <c r="AZ10" s="17" t="str">
        <f>IFERROR(VLOOKUP(シフト組み!AZ40,役職一覧!$B:$D,3,FALSE),"")</f>
        <v/>
      </c>
      <c r="BA10" s="17" t="str">
        <f>IFERROR(VLOOKUP(シフト組み!BA40,役職一覧!$B:$D,3,FALSE),"")</f>
        <v/>
      </c>
    </row>
    <row r="11" spans="1:53">
      <c r="A11" s="2" t="str">
        <f>シフト組み!A41&amp;""</f>
        <v>10</v>
      </c>
      <c r="B11" s="2" t="str">
        <f>シフト組み!B41&amp;""</f>
        <v/>
      </c>
      <c r="C11" s="2" t="str">
        <f>シフト組み!C41&amp;""</f>
        <v/>
      </c>
      <c r="D11" s="17" t="str">
        <f>IFERROR(VLOOKUP(シフト組み!D41,役職一覧!$B:$D,2,FALSE),"")</f>
        <v/>
      </c>
      <c r="E11" s="17" t="str">
        <f>IFERROR(VLOOKUP(シフト組み!E41,役職一覧!$B:$D,2,FALSE),"")</f>
        <v/>
      </c>
      <c r="F11" s="17" t="str">
        <f>IFERROR(VLOOKUP(シフト組み!F41,役職一覧!$B:$D,2,FALSE),"")</f>
        <v/>
      </c>
      <c r="G11" s="17" t="str">
        <f>IFERROR(VLOOKUP(シフト組み!G41,役職一覧!$B:$D,2,FALSE),"")</f>
        <v/>
      </c>
      <c r="H11" s="17" t="str">
        <f>IFERROR(VLOOKUP(シフト組み!H41,役職一覧!$B:$D,2,FALSE),"")</f>
        <v/>
      </c>
      <c r="I11" s="17" t="str">
        <f>IFERROR(VLOOKUP(シフト組み!I41,役職一覧!$B:$D,2,FALSE),"")</f>
        <v/>
      </c>
      <c r="J11" s="17" t="str">
        <f>IFERROR(VLOOKUP(シフト組み!J41,役職一覧!$B:$D,2,FALSE),"")</f>
        <v/>
      </c>
      <c r="K11" s="17" t="str">
        <f>IFERROR(VLOOKUP(シフト組み!K41,役職一覧!$B:$D,2,FALSE),"")</f>
        <v/>
      </c>
      <c r="L11" s="17" t="str">
        <f>IFERROR(VLOOKUP(シフト組み!L41,役職一覧!$B:$D,2,FALSE),"")</f>
        <v/>
      </c>
      <c r="M11" s="17" t="str">
        <f>IFERROR(VLOOKUP(シフト組み!M41,役職一覧!$B:$D,2,FALSE),"")</f>
        <v/>
      </c>
      <c r="N11" s="17" t="str">
        <f>IFERROR(VLOOKUP(シフト組み!N41,役職一覧!$B:$D,2,FALSE),"")</f>
        <v/>
      </c>
      <c r="O11" s="17" t="str">
        <f>IFERROR(VLOOKUP(シフト組み!O41,役職一覧!$B:$D,2,FALSE),"")</f>
        <v/>
      </c>
      <c r="P11" s="17" t="str">
        <f>IFERROR(VLOOKUP(シフト組み!P41,役職一覧!$B:$D,2,FALSE),"")</f>
        <v/>
      </c>
      <c r="Q11" s="17" t="str">
        <f>IFERROR(VLOOKUP(シフト組み!Q41,役職一覧!$B:$D,2,FALSE),"")</f>
        <v/>
      </c>
      <c r="R11" s="17" t="str">
        <f>IFERROR(VLOOKUP(シフト組み!R41,役職一覧!$B:$D,2,FALSE),"")</f>
        <v/>
      </c>
      <c r="S11" s="17" t="str">
        <f>IFERROR(VLOOKUP(シフト組み!S41,役職一覧!$B:$D,2,FALSE),"")</f>
        <v/>
      </c>
      <c r="T11" s="17" t="str">
        <f>IFERROR(VLOOKUP(シフト組み!T41,役職一覧!$B:$D,2,FALSE),"")</f>
        <v/>
      </c>
      <c r="U11" s="17" t="str">
        <f>IFERROR(VLOOKUP(シフト組み!U41,役職一覧!$B:$D,2,FALSE),"")</f>
        <v/>
      </c>
      <c r="V11" s="17" t="str">
        <f>IFERROR(VLOOKUP(シフト組み!V41,役職一覧!$B:$D,2,FALSE),"")</f>
        <v/>
      </c>
      <c r="W11" s="17" t="str">
        <f>IFERROR(VLOOKUP(シフト組み!W41,役職一覧!$B:$D,2,FALSE),"")</f>
        <v/>
      </c>
      <c r="X11" s="17" t="str">
        <f>IFERROR(VLOOKUP(シフト組み!X41,役職一覧!$B:$D,2,FALSE),"")</f>
        <v/>
      </c>
      <c r="Y11" s="17" t="str">
        <f>IFERROR(VLOOKUP(シフト組み!Y41,役職一覧!$B:$D,2,FALSE),"")</f>
        <v/>
      </c>
      <c r="Z11" s="17" t="str">
        <f>IFERROR(VLOOKUP(シフト組み!Z41,役職一覧!$B:$D,2,FALSE),"")</f>
        <v/>
      </c>
      <c r="AA11" s="17" t="str">
        <f>IFERROR(VLOOKUP(シフト組み!AA41,役職一覧!$B:$D,2,FALSE),"")</f>
        <v/>
      </c>
      <c r="AB11" s="17" t="str">
        <f>IFERROR(VLOOKUP(シフト組み!AB41,役職一覧!$B:$D,2,FALSE),"")</f>
        <v/>
      </c>
      <c r="AC11" s="17" t="str">
        <f>IFERROR(VLOOKUP(シフト組み!AC41,役職一覧!$B:$D,2,FALSE),"")</f>
        <v/>
      </c>
      <c r="AD11" s="17" t="str">
        <f>IFERROR(VLOOKUP(シフト組み!AD41,役職一覧!$B:$D,2,FALSE),"")</f>
        <v/>
      </c>
      <c r="AE11" s="17" t="str">
        <f>IFERROR(VLOOKUP(シフト組み!AE41,役職一覧!$B:$D,2,FALSE),"")</f>
        <v/>
      </c>
      <c r="AF11" s="17" t="str">
        <f>IFERROR(VLOOKUP(シフト組み!AF41,役職一覧!$B:$D,2,FALSE),"")</f>
        <v/>
      </c>
      <c r="AG11" s="17" t="str">
        <f>IFERROR(VLOOKUP(シフト組み!AG41,役職一覧!$B:$D,2,FALSE),"")</f>
        <v/>
      </c>
      <c r="AH11" s="17" t="str">
        <f>IFERROR(VLOOKUP(シフト組み!AH41,役職一覧!$B:$D,3,FALSE),"")</f>
        <v/>
      </c>
      <c r="AI11" s="17" t="str">
        <f>IFERROR(VLOOKUP(シフト組み!AI41,役職一覧!$B:$D,3,FALSE),"")</f>
        <v/>
      </c>
      <c r="AJ11" s="17" t="str">
        <f>IFERROR(VLOOKUP(シフト組み!AJ41,役職一覧!$B:$D,3,FALSE),"")</f>
        <v/>
      </c>
      <c r="AK11" s="17" t="str">
        <f>IFERROR(VLOOKUP(シフト組み!AK41,役職一覧!$B:$D,3,FALSE),"")</f>
        <v/>
      </c>
      <c r="AL11" s="17" t="str">
        <f>IFERROR(VLOOKUP(シフト組み!AL41,役職一覧!$B:$D,3,FALSE),"")</f>
        <v/>
      </c>
      <c r="AM11" s="17" t="str">
        <f>IFERROR(VLOOKUP(シフト組み!AM41,役職一覧!$B:$D,3,FALSE),"")</f>
        <v/>
      </c>
      <c r="AN11" s="17" t="str">
        <f>IFERROR(VLOOKUP(シフト組み!AN41,役職一覧!$B:$D,3,FALSE),"")</f>
        <v/>
      </c>
      <c r="AO11" s="17" t="str">
        <f>IFERROR(VLOOKUP(シフト組み!AO41,役職一覧!$B:$D,3,FALSE),"")</f>
        <v/>
      </c>
      <c r="AP11" s="17" t="str">
        <f>IFERROR(VLOOKUP(シフト組み!AP41,役職一覧!$B:$D,3,FALSE),"")</f>
        <v/>
      </c>
      <c r="AQ11" s="17" t="str">
        <f>IFERROR(VLOOKUP(シフト組み!AQ41,役職一覧!$B:$D,3,FALSE),"")</f>
        <v/>
      </c>
      <c r="AR11" s="17" t="str">
        <f>IFERROR(VLOOKUP(シフト組み!AR41,役職一覧!$B:$D,3,FALSE),"")</f>
        <v/>
      </c>
      <c r="AS11" s="17" t="str">
        <f>IFERROR(VLOOKUP(シフト組み!AS41,役職一覧!$B:$D,3,FALSE),"")</f>
        <v/>
      </c>
      <c r="AT11" s="17" t="str">
        <f>IFERROR(VLOOKUP(シフト組み!AT41,役職一覧!$B:$D,3,FALSE),"")</f>
        <v/>
      </c>
      <c r="AU11" s="17" t="str">
        <f>IFERROR(VLOOKUP(シフト組み!AU41,役職一覧!$B:$D,3,FALSE),"")</f>
        <v/>
      </c>
      <c r="AV11" s="17" t="str">
        <f>IFERROR(VLOOKUP(シフト組み!AV41,役職一覧!$B:$D,3,FALSE),"")</f>
        <v/>
      </c>
      <c r="AW11" s="17" t="str">
        <f>IFERROR(VLOOKUP(シフト組み!AW41,役職一覧!$B:$D,3,FALSE),"")</f>
        <v/>
      </c>
      <c r="AX11" s="17" t="str">
        <f>IFERROR(VLOOKUP(シフト組み!AX41,役職一覧!$B:$D,3,FALSE),"")</f>
        <v/>
      </c>
      <c r="AY11" s="17" t="str">
        <f>IFERROR(VLOOKUP(シフト組み!AY41,役職一覧!$B:$D,3,FALSE),"")</f>
        <v/>
      </c>
      <c r="AZ11" s="17" t="str">
        <f>IFERROR(VLOOKUP(シフト組み!AZ41,役職一覧!$B:$D,3,FALSE),"")</f>
        <v/>
      </c>
      <c r="BA11" s="17" t="str">
        <f>IFERROR(VLOOKUP(シフト組み!BA41,役職一覧!$B:$D,3,FALSE),"")</f>
        <v/>
      </c>
    </row>
    <row r="12" spans="1:53">
      <c r="A12" s="2" t="str">
        <f>シフト組み!A42&amp;""</f>
        <v/>
      </c>
      <c r="B12" s="2" t="str">
        <f>シフト組み!B42&amp;""</f>
        <v/>
      </c>
      <c r="C12" s="2" t="str">
        <f>シフト組み!C42&amp;""</f>
        <v/>
      </c>
      <c r="D12" s="17" t="str">
        <f>IFERROR(VLOOKUP(シフト組み!D42,役職一覧!$B:$D,2,FALSE),"")</f>
        <v/>
      </c>
      <c r="E12" s="17" t="str">
        <f>IFERROR(VLOOKUP(シフト組み!E42,役職一覧!$B:$D,2,FALSE),"")</f>
        <v/>
      </c>
      <c r="F12" s="17" t="str">
        <f>IFERROR(VLOOKUP(シフト組み!F42,役職一覧!$B:$D,2,FALSE),"")</f>
        <v/>
      </c>
      <c r="G12" s="17" t="str">
        <f>IFERROR(VLOOKUP(シフト組み!G42,役職一覧!$B:$D,2,FALSE),"")</f>
        <v/>
      </c>
      <c r="H12" s="17" t="str">
        <f>IFERROR(VLOOKUP(シフト組み!H42,役職一覧!$B:$D,2,FALSE),"")</f>
        <v/>
      </c>
      <c r="I12" s="17" t="str">
        <f>IFERROR(VLOOKUP(シフト組み!I42,役職一覧!$B:$D,2,FALSE),"")</f>
        <v/>
      </c>
      <c r="J12" s="17" t="str">
        <f>IFERROR(VLOOKUP(シフト組み!J42,役職一覧!$B:$D,2,FALSE),"")</f>
        <v/>
      </c>
      <c r="K12" s="17" t="str">
        <f>IFERROR(VLOOKUP(シフト組み!K42,役職一覧!$B:$D,2,FALSE),"")</f>
        <v/>
      </c>
      <c r="L12" s="17" t="str">
        <f>IFERROR(VLOOKUP(シフト組み!L42,役職一覧!$B:$D,2,FALSE),"")</f>
        <v/>
      </c>
      <c r="M12" s="17" t="str">
        <f>IFERROR(VLOOKUP(シフト組み!M42,役職一覧!$B:$D,2,FALSE),"")</f>
        <v/>
      </c>
      <c r="N12" s="17" t="str">
        <f>IFERROR(VLOOKUP(シフト組み!N42,役職一覧!$B:$D,2,FALSE),"")</f>
        <v/>
      </c>
      <c r="O12" s="17" t="str">
        <f>IFERROR(VLOOKUP(シフト組み!O42,役職一覧!$B:$D,2,FALSE),"")</f>
        <v/>
      </c>
      <c r="P12" s="17" t="str">
        <f>IFERROR(VLOOKUP(シフト組み!P42,役職一覧!$B:$D,2,FALSE),"")</f>
        <v/>
      </c>
      <c r="Q12" s="17" t="str">
        <f>IFERROR(VLOOKUP(シフト組み!Q42,役職一覧!$B:$D,2,FALSE),"")</f>
        <v/>
      </c>
      <c r="R12" s="17" t="str">
        <f>IFERROR(VLOOKUP(シフト組み!R42,役職一覧!$B:$D,2,FALSE),"")</f>
        <v/>
      </c>
      <c r="S12" s="17" t="str">
        <f>IFERROR(VLOOKUP(シフト組み!S42,役職一覧!$B:$D,2,FALSE),"")</f>
        <v/>
      </c>
      <c r="T12" s="17" t="str">
        <f>IFERROR(VLOOKUP(シフト組み!T42,役職一覧!$B:$D,2,FALSE),"")</f>
        <v/>
      </c>
      <c r="U12" s="17" t="str">
        <f>IFERROR(VLOOKUP(シフト組み!U42,役職一覧!$B:$D,2,FALSE),"")</f>
        <v/>
      </c>
      <c r="V12" s="17" t="str">
        <f>IFERROR(VLOOKUP(シフト組み!V42,役職一覧!$B:$D,2,FALSE),"")</f>
        <v/>
      </c>
      <c r="W12" s="17" t="str">
        <f>IFERROR(VLOOKUP(シフト組み!W42,役職一覧!$B:$D,2,FALSE),"")</f>
        <v/>
      </c>
      <c r="X12" s="17" t="str">
        <f>IFERROR(VLOOKUP(シフト組み!X42,役職一覧!$B:$D,2,FALSE),"")</f>
        <v/>
      </c>
      <c r="Y12" s="17" t="str">
        <f>IFERROR(VLOOKUP(シフト組み!Y42,役職一覧!$B:$D,2,FALSE),"")</f>
        <v/>
      </c>
      <c r="Z12" s="17" t="str">
        <f>IFERROR(VLOOKUP(シフト組み!Z42,役職一覧!$B:$D,2,FALSE),"")</f>
        <v/>
      </c>
      <c r="AA12" s="17" t="str">
        <f>IFERROR(VLOOKUP(シフト組み!AA42,役職一覧!$B:$D,2,FALSE),"")</f>
        <v/>
      </c>
      <c r="AB12" s="17" t="str">
        <f>IFERROR(VLOOKUP(シフト組み!AB42,役職一覧!$B:$D,2,FALSE),"")</f>
        <v/>
      </c>
      <c r="AC12" s="17" t="str">
        <f>IFERROR(VLOOKUP(シフト組み!AC42,役職一覧!$B:$D,2,FALSE),"")</f>
        <v/>
      </c>
      <c r="AD12" s="17" t="str">
        <f>IFERROR(VLOOKUP(シフト組み!AD42,役職一覧!$B:$D,2,FALSE),"")</f>
        <v/>
      </c>
      <c r="AE12" s="17" t="str">
        <f>IFERROR(VLOOKUP(シフト組み!AE42,役職一覧!$B:$D,2,FALSE),"")</f>
        <v/>
      </c>
      <c r="AF12" s="17" t="str">
        <f>IFERROR(VLOOKUP(シフト組み!AF42,役職一覧!$B:$D,2,FALSE),"")</f>
        <v/>
      </c>
      <c r="AG12" s="17" t="str">
        <f>IFERROR(VLOOKUP(シフト組み!AG42,役職一覧!$B:$D,2,FALSE),"")</f>
        <v/>
      </c>
      <c r="AH12" s="17" t="str">
        <f>IFERROR(VLOOKUP(シフト組み!AH42,役職一覧!$B:$D,3,FALSE),"")</f>
        <v/>
      </c>
      <c r="AI12" s="17" t="str">
        <f>IFERROR(VLOOKUP(シフト組み!AI42,役職一覧!$B:$D,3,FALSE),"")</f>
        <v/>
      </c>
      <c r="AJ12" s="17" t="str">
        <f>IFERROR(VLOOKUP(シフト組み!AJ42,役職一覧!$B:$D,3,FALSE),"")</f>
        <v/>
      </c>
      <c r="AK12" s="17" t="str">
        <f>IFERROR(VLOOKUP(シフト組み!AK42,役職一覧!$B:$D,3,FALSE),"")</f>
        <v/>
      </c>
      <c r="AL12" s="17" t="str">
        <f>IFERROR(VLOOKUP(シフト組み!AL42,役職一覧!$B:$D,3,FALSE),"")</f>
        <v/>
      </c>
      <c r="AM12" s="17" t="str">
        <f>IFERROR(VLOOKUP(シフト組み!AM42,役職一覧!$B:$D,3,FALSE),"")</f>
        <v/>
      </c>
      <c r="AN12" s="17" t="str">
        <f>IFERROR(VLOOKUP(シフト組み!AN42,役職一覧!$B:$D,3,FALSE),"")</f>
        <v/>
      </c>
      <c r="AO12" s="17" t="str">
        <f>IFERROR(VLOOKUP(シフト組み!AO42,役職一覧!$B:$D,3,FALSE),"")</f>
        <v/>
      </c>
      <c r="AP12" s="17" t="str">
        <f>IFERROR(VLOOKUP(シフト組み!AP42,役職一覧!$B:$D,3,FALSE),"")</f>
        <v/>
      </c>
      <c r="AQ12" s="17" t="str">
        <f>IFERROR(VLOOKUP(シフト組み!AQ42,役職一覧!$B:$D,3,FALSE),"")</f>
        <v/>
      </c>
      <c r="AR12" s="17" t="str">
        <f>IFERROR(VLOOKUP(シフト組み!AR42,役職一覧!$B:$D,3,FALSE),"")</f>
        <v/>
      </c>
      <c r="AS12" s="17" t="str">
        <f>IFERROR(VLOOKUP(シフト組み!AS42,役職一覧!$B:$D,3,FALSE),"")</f>
        <v/>
      </c>
      <c r="AT12" s="17" t="str">
        <f>IFERROR(VLOOKUP(シフト組み!AT42,役職一覧!$B:$D,3,FALSE),"")</f>
        <v/>
      </c>
      <c r="AU12" s="17" t="str">
        <f>IFERROR(VLOOKUP(シフト組み!AU42,役職一覧!$B:$D,3,FALSE),"")</f>
        <v/>
      </c>
      <c r="AV12" s="17" t="str">
        <f>IFERROR(VLOOKUP(シフト組み!AV42,役職一覧!$B:$D,3,FALSE),"")</f>
        <v/>
      </c>
      <c r="AW12" s="17" t="str">
        <f>IFERROR(VLOOKUP(シフト組み!AW42,役職一覧!$B:$D,3,FALSE),"")</f>
        <v/>
      </c>
      <c r="AX12" s="17" t="str">
        <f>IFERROR(VLOOKUP(シフト組み!AX42,役職一覧!$B:$D,3,FALSE),"")</f>
        <v/>
      </c>
      <c r="AY12" s="17" t="str">
        <f>IFERROR(VLOOKUP(シフト組み!AY42,役職一覧!$B:$D,3,FALSE),"")</f>
        <v/>
      </c>
      <c r="AZ12" s="17" t="str">
        <f>IFERROR(VLOOKUP(シフト組み!AZ42,役職一覧!$B:$D,3,FALSE),"")</f>
        <v/>
      </c>
      <c r="BA12" s="17" t="str">
        <f>IFERROR(VLOOKUP(シフト組み!BA42,役職一覧!$B:$D,3,FALSE),"")</f>
        <v/>
      </c>
    </row>
    <row r="13" spans="1:53">
      <c r="A13" s="2" t="str">
        <f>シフト組み!A43&amp;""</f>
        <v/>
      </c>
      <c r="B13" s="2" t="str">
        <f>シフト組み!B43&amp;""</f>
        <v/>
      </c>
      <c r="C13" s="2" t="str">
        <f>シフト組み!C43&amp;""</f>
        <v/>
      </c>
      <c r="D13" s="17" t="str">
        <f>IFERROR(VLOOKUP(シフト組み!D43,役職一覧!$B:$D,2,FALSE),"")</f>
        <v/>
      </c>
      <c r="E13" s="17" t="str">
        <f>IFERROR(VLOOKUP(シフト組み!E43,役職一覧!$B:$D,2,FALSE),"")</f>
        <v/>
      </c>
      <c r="F13" s="17" t="str">
        <f>IFERROR(VLOOKUP(シフト組み!F43,役職一覧!$B:$D,2,FALSE),"")</f>
        <v/>
      </c>
      <c r="G13" s="17" t="str">
        <f>IFERROR(VLOOKUP(シフト組み!G43,役職一覧!$B:$D,2,FALSE),"")</f>
        <v/>
      </c>
      <c r="H13" s="17" t="str">
        <f>IFERROR(VLOOKUP(シフト組み!H43,役職一覧!$B:$D,2,FALSE),"")</f>
        <v/>
      </c>
      <c r="I13" s="17" t="str">
        <f>IFERROR(VLOOKUP(シフト組み!I43,役職一覧!$B:$D,2,FALSE),"")</f>
        <v/>
      </c>
      <c r="J13" s="17" t="str">
        <f>IFERROR(VLOOKUP(シフト組み!J43,役職一覧!$B:$D,2,FALSE),"")</f>
        <v/>
      </c>
      <c r="K13" s="17" t="str">
        <f>IFERROR(VLOOKUP(シフト組み!K43,役職一覧!$B:$D,2,FALSE),"")</f>
        <v/>
      </c>
      <c r="L13" s="17" t="str">
        <f>IFERROR(VLOOKUP(シフト組み!L43,役職一覧!$B:$D,2,FALSE),"")</f>
        <v/>
      </c>
      <c r="M13" s="17" t="str">
        <f>IFERROR(VLOOKUP(シフト組み!M43,役職一覧!$B:$D,2,FALSE),"")</f>
        <v/>
      </c>
      <c r="N13" s="17" t="str">
        <f>IFERROR(VLOOKUP(シフト組み!N43,役職一覧!$B:$D,2,FALSE),"")</f>
        <v/>
      </c>
      <c r="O13" s="17" t="str">
        <f>IFERROR(VLOOKUP(シフト組み!O43,役職一覧!$B:$D,2,FALSE),"")</f>
        <v/>
      </c>
      <c r="P13" s="17" t="str">
        <f>IFERROR(VLOOKUP(シフト組み!P43,役職一覧!$B:$D,2,FALSE),"")</f>
        <v/>
      </c>
      <c r="Q13" s="17" t="str">
        <f>IFERROR(VLOOKUP(シフト組み!Q43,役職一覧!$B:$D,2,FALSE),"")</f>
        <v/>
      </c>
      <c r="R13" s="17" t="str">
        <f>IFERROR(VLOOKUP(シフト組み!R43,役職一覧!$B:$D,2,FALSE),"")</f>
        <v/>
      </c>
      <c r="S13" s="17" t="str">
        <f>IFERROR(VLOOKUP(シフト組み!S43,役職一覧!$B:$D,2,FALSE),"")</f>
        <v/>
      </c>
      <c r="T13" s="17" t="str">
        <f>IFERROR(VLOOKUP(シフト組み!T43,役職一覧!$B:$D,2,FALSE),"")</f>
        <v/>
      </c>
      <c r="U13" s="17" t="str">
        <f>IFERROR(VLOOKUP(シフト組み!U43,役職一覧!$B:$D,2,FALSE),"")</f>
        <v/>
      </c>
      <c r="V13" s="17" t="str">
        <f>IFERROR(VLOOKUP(シフト組み!V43,役職一覧!$B:$D,2,FALSE),"")</f>
        <v/>
      </c>
      <c r="W13" s="17" t="str">
        <f>IFERROR(VLOOKUP(シフト組み!W43,役職一覧!$B:$D,2,FALSE),"")</f>
        <v/>
      </c>
      <c r="X13" s="17" t="str">
        <f>IFERROR(VLOOKUP(シフト組み!X43,役職一覧!$B:$D,2,FALSE),"")</f>
        <v/>
      </c>
      <c r="Y13" s="17" t="str">
        <f>IFERROR(VLOOKUP(シフト組み!Y43,役職一覧!$B:$D,2,FALSE),"")</f>
        <v/>
      </c>
      <c r="Z13" s="17" t="str">
        <f>IFERROR(VLOOKUP(シフト組み!Z43,役職一覧!$B:$D,2,FALSE),"")</f>
        <v/>
      </c>
      <c r="AA13" s="17" t="str">
        <f>IFERROR(VLOOKUP(シフト組み!AA43,役職一覧!$B:$D,2,FALSE),"")</f>
        <v/>
      </c>
      <c r="AB13" s="17" t="str">
        <f>IFERROR(VLOOKUP(シフト組み!AB43,役職一覧!$B:$D,2,FALSE),"")</f>
        <v/>
      </c>
      <c r="AC13" s="17" t="str">
        <f>IFERROR(VLOOKUP(シフト組み!AC43,役職一覧!$B:$D,2,FALSE),"")</f>
        <v/>
      </c>
      <c r="AD13" s="17" t="str">
        <f>IFERROR(VLOOKUP(シフト組み!AD43,役職一覧!$B:$D,2,FALSE),"")</f>
        <v/>
      </c>
      <c r="AE13" s="17" t="str">
        <f>IFERROR(VLOOKUP(シフト組み!AE43,役職一覧!$B:$D,2,FALSE),"")</f>
        <v/>
      </c>
      <c r="AF13" s="17" t="str">
        <f>IFERROR(VLOOKUP(シフト組み!AF43,役職一覧!$B:$D,2,FALSE),"")</f>
        <v/>
      </c>
      <c r="AG13" s="17" t="str">
        <f>IFERROR(VLOOKUP(シフト組み!AG43,役職一覧!$B:$D,2,FALSE),"")</f>
        <v/>
      </c>
      <c r="AH13" s="17" t="str">
        <f>IFERROR(VLOOKUP(シフト組み!AH43,役職一覧!$B:$D,3,FALSE),"")</f>
        <v/>
      </c>
      <c r="AI13" s="17" t="str">
        <f>IFERROR(VLOOKUP(シフト組み!AI43,役職一覧!$B:$D,3,FALSE),"")</f>
        <v/>
      </c>
      <c r="AJ13" s="17" t="str">
        <f>IFERROR(VLOOKUP(シフト組み!AJ43,役職一覧!$B:$D,3,FALSE),"")</f>
        <v/>
      </c>
      <c r="AK13" s="17" t="str">
        <f>IFERROR(VLOOKUP(シフト組み!AK43,役職一覧!$B:$D,3,FALSE),"")</f>
        <v/>
      </c>
      <c r="AL13" s="17" t="str">
        <f>IFERROR(VLOOKUP(シフト組み!AL43,役職一覧!$B:$D,3,FALSE),"")</f>
        <v/>
      </c>
      <c r="AM13" s="17" t="str">
        <f>IFERROR(VLOOKUP(シフト組み!AM43,役職一覧!$B:$D,3,FALSE),"")</f>
        <v/>
      </c>
      <c r="AN13" s="17" t="str">
        <f>IFERROR(VLOOKUP(シフト組み!AN43,役職一覧!$B:$D,3,FALSE),"")</f>
        <v/>
      </c>
      <c r="AO13" s="17" t="str">
        <f>IFERROR(VLOOKUP(シフト組み!AO43,役職一覧!$B:$D,3,FALSE),"")</f>
        <v/>
      </c>
      <c r="AP13" s="17" t="str">
        <f>IFERROR(VLOOKUP(シフト組み!AP43,役職一覧!$B:$D,3,FALSE),"")</f>
        <v/>
      </c>
      <c r="AQ13" s="17" t="str">
        <f>IFERROR(VLOOKUP(シフト組み!AQ43,役職一覧!$B:$D,3,FALSE),"")</f>
        <v/>
      </c>
      <c r="AR13" s="17" t="str">
        <f>IFERROR(VLOOKUP(シフト組み!AR43,役職一覧!$B:$D,3,FALSE),"")</f>
        <v/>
      </c>
      <c r="AS13" s="17" t="str">
        <f>IFERROR(VLOOKUP(シフト組み!AS43,役職一覧!$B:$D,3,FALSE),"")</f>
        <v/>
      </c>
      <c r="AT13" s="17" t="str">
        <f>IFERROR(VLOOKUP(シフト組み!AT43,役職一覧!$B:$D,3,FALSE),"")</f>
        <v/>
      </c>
      <c r="AU13" s="17" t="str">
        <f>IFERROR(VLOOKUP(シフト組み!AU43,役職一覧!$B:$D,3,FALSE),"")</f>
        <v/>
      </c>
      <c r="AV13" s="17" t="str">
        <f>IFERROR(VLOOKUP(シフト組み!AV43,役職一覧!$B:$D,3,FALSE),"")</f>
        <v/>
      </c>
      <c r="AW13" s="17" t="str">
        <f>IFERROR(VLOOKUP(シフト組み!AW43,役職一覧!$B:$D,3,FALSE),"")</f>
        <v/>
      </c>
      <c r="AX13" s="17" t="str">
        <f>IFERROR(VLOOKUP(シフト組み!AX43,役職一覧!$B:$D,3,FALSE),"")</f>
        <v/>
      </c>
      <c r="AY13" s="17" t="str">
        <f>IFERROR(VLOOKUP(シフト組み!AY43,役職一覧!$B:$D,3,FALSE),"")</f>
        <v/>
      </c>
      <c r="AZ13" s="17" t="str">
        <f>IFERROR(VLOOKUP(シフト組み!AZ43,役職一覧!$B:$D,3,FALSE),"")</f>
        <v/>
      </c>
      <c r="BA13" s="17" t="str">
        <f>IFERROR(VLOOKUP(シフト組み!BA43,役職一覧!$B:$D,3,FALSE),"")</f>
        <v/>
      </c>
    </row>
    <row r="14" spans="1:53">
      <c r="A14" s="2" t="str">
        <f>シフト組み!A44&amp;""</f>
        <v/>
      </c>
      <c r="B14" s="2" t="str">
        <f>シフト組み!B44&amp;""</f>
        <v/>
      </c>
      <c r="C14" s="2" t="str">
        <f>シフト組み!C44&amp;""</f>
        <v/>
      </c>
      <c r="D14" s="17" t="str">
        <f>IFERROR(VLOOKUP(シフト組み!D44,役職一覧!$B:$D,2,FALSE),"")</f>
        <v/>
      </c>
      <c r="E14" s="17" t="str">
        <f>IFERROR(VLOOKUP(シフト組み!E44,役職一覧!$B:$D,2,FALSE),"")</f>
        <v/>
      </c>
      <c r="F14" s="17" t="str">
        <f>IFERROR(VLOOKUP(シフト組み!F44,役職一覧!$B:$D,2,FALSE),"")</f>
        <v/>
      </c>
      <c r="G14" s="17" t="str">
        <f>IFERROR(VLOOKUP(シフト組み!G44,役職一覧!$B:$D,2,FALSE),"")</f>
        <v/>
      </c>
      <c r="H14" s="17" t="str">
        <f>IFERROR(VLOOKUP(シフト組み!H44,役職一覧!$B:$D,2,FALSE),"")</f>
        <v/>
      </c>
      <c r="I14" s="17" t="str">
        <f>IFERROR(VLOOKUP(シフト組み!I44,役職一覧!$B:$D,2,FALSE),"")</f>
        <v/>
      </c>
      <c r="J14" s="17" t="str">
        <f>IFERROR(VLOOKUP(シフト組み!J44,役職一覧!$B:$D,2,FALSE),"")</f>
        <v/>
      </c>
      <c r="K14" s="17" t="str">
        <f>IFERROR(VLOOKUP(シフト組み!K44,役職一覧!$B:$D,2,FALSE),"")</f>
        <v/>
      </c>
      <c r="L14" s="17" t="str">
        <f>IFERROR(VLOOKUP(シフト組み!L44,役職一覧!$B:$D,2,FALSE),"")</f>
        <v/>
      </c>
      <c r="M14" s="17" t="str">
        <f>IFERROR(VLOOKUP(シフト組み!M44,役職一覧!$B:$D,2,FALSE),"")</f>
        <v/>
      </c>
      <c r="N14" s="17" t="str">
        <f>IFERROR(VLOOKUP(シフト組み!N44,役職一覧!$B:$D,2,FALSE),"")</f>
        <v/>
      </c>
      <c r="O14" s="17" t="str">
        <f>IFERROR(VLOOKUP(シフト組み!O44,役職一覧!$B:$D,2,FALSE),"")</f>
        <v/>
      </c>
      <c r="P14" s="17" t="str">
        <f>IFERROR(VLOOKUP(シフト組み!P44,役職一覧!$B:$D,2,FALSE),"")</f>
        <v/>
      </c>
      <c r="Q14" s="17" t="str">
        <f>IFERROR(VLOOKUP(シフト組み!Q44,役職一覧!$B:$D,2,FALSE),"")</f>
        <v/>
      </c>
      <c r="R14" s="17" t="str">
        <f>IFERROR(VLOOKUP(シフト組み!R44,役職一覧!$B:$D,2,FALSE),"")</f>
        <v/>
      </c>
      <c r="S14" s="17" t="str">
        <f>IFERROR(VLOOKUP(シフト組み!S44,役職一覧!$B:$D,2,FALSE),"")</f>
        <v/>
      </c>
      <c r="T14" s="17" t="str">
        <f>IFERROR(VLOOKUP(シフト組み!T44,役職一覧!$B:$D,2,FALSE),"")</f>
        <v/>
      </c>
      <c r="U14" s="17" t="str">
        <f>IFERROR(VLOOKUP(シフト組み!U44,役職一覧!$B:$D,2,FALSE),"")</f>
        <v/>
      </c>
      <c r="V14" s="17" t="str">
        <f>IFERROR(VLOOKUP(シフト組み!V44,役職一覧!$B:$D,2,FALSE),"")</f>
        <v/>
      </c>
      <c r="W14" s="17" t="str">
        <f>IFERROR(VLOOKUP(シフト組み!W44,役職一覧!$B:$D,2,FALSE),"")</f>
        <v/>
      </c>
      <c r="X14" s="17" t="str">
        <f>IFERROR(VLOOKUP(シフト組み!X44,役職一覧!$B:$D,2,FALSE),"")</f>
        <v/>
      </c>
      <c r="Y14" s="17" t="str">
        <f>IFERROR(VLOOKUP(シフト組み!Y44,役職一覧!$B:$D,2,FALSE),"")</f>
        <v/>
      </c>
      <c r="Z14" s="17" t="str">
        <f>IFERROR(VLOOKUP(シフト組み!Z44,役職一覧!$B:$D,2,FALSE),"")</f>
        <v/>
      </c>
      <c r="AA14" s="17" t="str">
        <f>IFERROR(VLOOKUP(シフト組み!AA44,役職一覧!$B:$D,2,FALSE),"")</f>
        <v/>
      </c>
      <c r="AB14" s="17" t="str">
        <f>IFERROR(VLOOKUP(シフト組み!AB44,役職一覧!$B:$D,2,FALSE),"")</f>
        <v/>
      </c>
      <c r="AC14" s="17" t="str">
        <f>IFERROR(VLOOKUP(シフト組み!AC44,役職一覧!$B:$D,2,FALSE),"")</f>
        <v/>
      </c>
      <c r="AD14" s="17" t="str">
        <f>IFERROR(VLOOKUP(シフト組み!AD44,役職一覧!$B:$D,2,FALSE),"")</f>
        <v/>
      </c>
      <c r="AE14" s="17" t="str">
        <f>IFERROR(VLOOKUP(シフト組み!AE44,役職一覧!$B:$D,2,FALSE),"")</f>
        <v/>
      </c>
      <c r="AF14" s="17" t="str">
        <f>IFERROR(VLOOKUP(シフト組み!AF44,役職一覧!$B:$D,2,FALSE),"")</f>
        <v/>
      </c>
      <c r="AG14" s="17" t="str">
        <f>IFERROR(VLOOKUP(シフト組み!AG44,役職一覧!$B:$D,2,FALSE),"")</f>
        <v/>
      </c>
      <c r="AH14" s="17" t="str">
        <f>IFERROR(VLOOKUP(シフト組み!AH44,役職一覧!$B:$D,3,FALSE),"")</f>
        <v/>
      </c>
      <c r="AI14" s="17" t="str">
        <f>IFERROR(VLOOKUP(シフト組み!AI44,役職一覧!$B:$D,3,FALSE),"")</f>
        <v/>
      </c>
      <c r="AJ14" s="17" t="str">
        <f>IFERROR(VLOOKUP(シフト組み!AJ44,役職一覧!$B:$D,3,FALSE),"")</f>
        <v/>
      </c>
      <c r="AK14" s="17" t="str">
        <f>IFERROR(VLOOKUP(シフト組み!AK44,役職一覧!$B:$D,3,FALSE),"")</f>
        <v/>
      </c>
      <c r="AL14" s="17" t="str">
        <f>IFERROR(VLOOKUP(シフト組み!AL44,役職一覧!$B:$D,3,FALSE),"")</f>
        <v/>
      </c>
      <c r="AM14" s="17" t="str">
        <f>IFERROR(VLOOKUP(シフト組み!AM44,役職一覧!$B:$D,3,FALSE),"")</f>
        <v/>
      </c>
      <c r="AN14" s="17" t="str">
        <f>IFERROR(VLOOKUP(シフト組み!AN44,役職一覧!$B:$D,3,FALSE),"")</f>
        <v/>
      </c>
      <c r="AO14" s="17" t="str">
        <f>IFERROR(VLOOKUP(シフト組み!AO44,役職一覧!$B:$D,3,FALSE),"")</f>
        <v/>
      </c>
      <c r="AP14" s="17" t="str">
        <f>IFERROR(VLOOKUP(シフト組み!AP44,役職一覧!$B:$D,3,FALSE),"")</f>
        <v/>
      </c>
      <c r="AQ14" s="17" t="str">
        <f>IFERROR(VLOOKUP(シフト組み!AQ44,役職一覧!$B:$D,3,FALSE),"")</f>
        <v/>
      </c>
      <c r="AR14" s="17" t="str">
        <f>IFERROR(VLOOKUP(シフト組み!AR44,役職一覧!$B:$D,3,FALSE),"")</f>
        <v/>
      </c>
      <c r="AS14" s="17" t="str">
        <f>IFERROR(VLOOKUP(シフト組み!AS44,役職一覧!$B:$D,3,FALSE),"")</f>
        <v/>
      </c>
      <c r="AT14" s="17" t="str">
        <f>IFERROR(VLOOKUP(シフト組み!AT44,役職一覧!$B:$D,3,FALSE),"")</f>
        <v/>
      </c>
      <c r="AU14" s="17" t="str">
        <f>IFERROR(VLOOKUP(シフト組み!AU44,役職一覧!$B:$D,3,FALSE),"")</f>
        <v/>
      </c>
      <c r="AV14" s="17" t="str">
        <f>IFERROR(VLOOKUP(シフト組み!AV44,役職一覧!$B:$D,3,FALSE),"")</f>
        <v/>
      </c>
      <c r="AW14" s="17" t="str">
        <f>IFERROR(VLOOKUP(シフト組み!AW44,役職一覧!$B:$D,3,FALSE),"")</f>
        <v/>
      </c>
      <c r="AX14" s="17" t="str">
        <f>IFERROR(VLOOKUP(シフト組み!AX44,役職一覧!$B:$D,3,FALSE),"")</f>
        <v/>
      </c>
      <c r="AY14" s="17" t="str">
        <f>IFERROR(VLOOKUP(シフト組み!AY44,役職一覧!$B:$D,3,FALSE),"")</f>
        <v/>
      </c>
      <c r="AZ14" s="17" t="str">
        <f>IFERROR(VLOOKUP(シフト組み!AZ44,役職一覧!$B:$D,3,FALSE),"")</f>
        <v/>
      </c>
      <c r="BA14" s="17" t="str">
        <f>IFERROR(VLOOKUP(シフト組み!BA44,役職一覧!$B:$D,3,FALSE),"")</f>
        <v/>
      </c>
    </row>
    <row r="15" spans="1:53">
      <c r="A15" s="2" t="str">
        <f>シフト組み!A45&amp;""</f>
        <v/>
      </c>
      <c r="B15" s="2" t="str">
        <f>シフト組み!B45&amp;""</f>
        <v/>
      </c>
      <c r="C15" s="2" t="str">
        <f>シフト組み!C45&amp;""</f>
        <v/>
      </c>
      <c r="D15" s="17" t="str">
        <f>IFERROR(VLOOKUP(シフト組み!D45,役職一覧!$B:$D,2,FALSE),"")</f>
        <v/>
      </c>
      <c r="E15" s="17" t="str">
        <f>IFERROR(VLOOKUP(シフト組み!E45,役職一覧!$B:$D,2,FALSE),"")</f>
        <v/>
      </c>
      <c r="F15" s="17" t="str">
        <f>IFERROR(VLOOKUP(シフト組み!F45,役職一覧!$B:$D,2,FALSE),"")</f>
        <v/>
      </c>
      <c r="G15" s="17" t="str">
        <f>IFERROR(VLOOKUP(シフト組み!G45,役職一覧!$B:$D,2,FALSE),"")</f>
        <v/>
      </c>
      <c r="H15" s="17" t="str">
        <f>IFERROR(VLOOKUP(シフト組み!H45,役職一覧!$B:$D,2,FALSE),"")</f>
        <v/>
      </c>
      <c r="I15" s="17" t="str">
        <f>IFERROR(VLOOKUP(シフト組み!I45,役職一覧!$B:$D,2,FALSE),"")</f>
        <v/>
      </c>
      <c r="J15" s="17" t="str">
        <f>IFERROR(VLOOKUP(シフト組み!J45,役職一覧!$B:$D,2,FALSE),"")</f>
        <v/>
      </c>
      <c r="K15" s="17" t="str">
        <f>IFERROR(VLOOKUP(シフト組み!K45,役職一覧!$B:$D,2,FALSE),"")</f>
        <v/>
      </c>
      <c r="L15" s="17" t="str">
        <f>IFERROR(VLOOKUP(シフト組み!L45,役職一覧!$B:$D,2,FALSE),"")</f>
        <v/>
      </c>
      <c r="M15" s="17" t="str">
        <f>IFERROR(VLOOKUP(シフト組み!M45,役職一覧!$B:$D,2,FALSE),"")</f>
        <v/>
      </c>
      <c r="N15" s="17" t="str">
        <f>IFERROR(VLOOKUP(シフト組み!N45,役職一覧!$B:$D,2,FALSE),"")</f>
        <v/>
      </c>
      <c r="O15" s="17" t="str">
        <f>IFERROR(VLOOKUP(シフト組み!O45,役職一覧!$B:$D,2,FALSE),"")</f>
        <v/>
      </c>
      <c r="P15" s="17" t="str">
        <f>IFERROR(VLOOKUP(シフト組み!P45,役職一覧!$B:$D,2,FALSE),"")</f>
        <v/>
      </c>
      <c r="Q15" s="17" t="str">
        <f>IFERROR(VLOOKUP(シフト組み!Q45,役職一覧!$B:$D,2,FALSE),"")</f>
        <v/>
      </c>
      <c r="R15" s="17" t="str">
        <f>IFERROR(VLOOKUP(シフト組み!R45,役職一覧!$B:$D,2,FALSE),"")</f>
        <v/>
      </c>
      <c r="S15" s="17" t="str">
        <f>IFERROR(VLOOKUP(シフト組み!S45,役職一覧!$B:$D,2,FALSE),"")</f>
        <v/>
      </c>
      <c r="T15" s="17" t="str">
        <f>IFERROR(VLOOKUP(シフト組み!T45,役職一覧!$B:$D,2,FALSE),"")</f>
        <v/>
      </c>
      <c r="U15" s="17" t="str">
        <f>IFERROR(VLOOKUP(シフト組み!U45,役職一覧!$B:$D,2,FALSE),"")</f>
        <v/>
      </c>
      <c r="V15" s="17" t="str">
        <f>IFERROR(VLOOKUP(シフト組み!V45,役職一覧!$B:$D,2,FALSE),"")</f>
        <v/>
      </c>
      <c r="W15" s="17" t="str">
        <f>IFERROR(VLOOKUP(シフト組み!W45,役職一覧!$B:$D,2,FALSE),"")</f>
        <v/>
      </c>
      <c r="X15" s="17" t="str">
        <f>IFERROR(VLOOKUP(シフト組み!X45,役職一覧!$B:$D,2,FALSE),"")</f>
        <v/>
      </c>
      <c r="Y15" s="17" t="str">
        <f>IFERROR(VLOOKUP(シフト組み!Y45,役職一覧!$B:$D,2,FALSE),"")</f>
        <v/>
      </c>
      <c r="Z15" s="17" t="str">
        <f>IFERROR(VLOOKUP(シフト組み!Z45,役職一覧!$B:$D,2,FALSE),"")</f>
        <v/>
      </c>
      <c r="AA15" s="17" t="str">
        <f>IFERROR(VLOOKUP(シフト組み!AA45,役職一覧!$B:$D,2,FALSE),"")</f>
        <v/>
      </c>
      <c r="AB15" s="17" t="str">
        <f>IFERROR(VLOOKUP(シフト組み!AB45,役職一覧!$B:$D,2,FALSE),"")</f>
        <v/>
      </c>
      <c r="AC15" s="17" t="str">
        <f>IFERROR(VLOOKUP(シフト組み!AC45,役職一覧!$B:$D,2,FALSE),"")</f>
        <v/>
      </c>
      <c r="AD15" s="17" t="str">
        <f>IFERROR(VLOOKUP(シフト組み!AD45,役職一覧!$B:$D,2,FALSE),"")</f>
        <v/>
      </c>
      <c r="AE15" s="17" t="str">
        <f>IFERROR(VLOOKUP(シフト組み!AE45,役職一覧!$B:$D,2,FALSE),"")</f>
        <v/>
      </c>
      <c r="AF15" s="17" t="str">
        <f>IFERROR(VLOOKUP(シフト組み!AF45,役職一覧!$B:$D,2,FALSE),"")</f>
        <v/>
      </c>
      <c r="AG15" s="17" t="str">
        <f>IFERROR(VLOOKUP(シフト組み!AG45,役職一覧!$B:$D,2,FALSE),"")</f>
        <v/>
      </c>
      <c r="AH15" s="17" t="str">
        <f>IFERROR(VLOOKUP(シフト組み!AH45,役職一覧!$B:$D,3,FALSE),"")</f>
        <v/>
      </c>
      <c r="AI15" s="17" t="str">
        <f>IFERROR(VLOOKUP(シフト組み!AI45,役職一覧!$B:$D,3,FALSE),"")</f>
        <v/>
      </c>
      <c r="AJ15" s="17" t="str">
        <f>IFERROR(VLOOKUP(シフト組み!AJ45,役職一覧!$B:$D,3,FALSE),"")</f>
        <v/>
      </c>
      <c r="AK15" s="17" t="str">
        <f>IFERROR(VLOOKUP(シフト組み!AK45,役職一覧!$B:$D,3,FALSE),"")</f>
        <v/>
      </c>
      <c r="AL15" s="17" t="str">
        <f>IFERROR(VLOOKUP(シフト組み!AL45,役職一覧!$B:$D,3,FALSE),"")</f>
        <v/>
      </c>
      <c r="AM15" s="17" t="str">
        <f>IFERROR(VLOOKUP(シフト組み!AM45,役職一覧!$B:$D,3,FALSE),"")</f>
        <v/>
      </c>
      <c r="AN15" s="17" t="str">
        <f>IFERROR(VLOOKUP(シフト組み!AN45,役職一覧!$B:$D,3,FALSE),"")</f>
        <v/>
      </c>
      <c r="AO15" s="17" t="str">
        <f>IFERROR(VLOOKUP(シフト組み!AO45,役職一覧!$B:$D,3,FALSE),"")</f>
        <v/>
      </c>
      <c r="AP15" s="17" t="str">
        <f>IFERROR(VLOOKUP(シフト組み!AP45,役職一覧!$B:$D,3,FALSE),"")</f>
        <v/>
      </c>
      <c r="AQ15" s="17" t="str">
        <f>IFERROR(VLOOKUP(シフト組み!AQ45,役職一覧!$B:$D,3,FALSE),"")</f>
        <v/>
      </c>
      <c r="AR15" s="17" t="str">
        <f>IFERROR(VLOOKUP(シフト組み!AR45,役職一覧!$B:$D,3,FALSE),"")</f>
        <v/>
      </c>
      <c r="AS15" s="17" t="str">
        <f>IFERROR(VLOOKUP(シフト組み!AS45,役職一覧!$B:$D,3,FALSE),"")</f>
        <v/>
      </c>
      <c r="AT15" s="17" t="str">
        <f>IFERROR(VLOOKUP(シフト組み!AT45,役職一覧!$B:$D,3,FALSE),"")</f>
        <v/>
      </c>
      <c r="AU15" s="17" t="str">
        <f>IFERROR(VLOOKUP(シフト組み!AU45,役職一覧!$B:$D,3,FALSE),"")</f>
        <v/>
      </c>
      <c r="AV15" s="17" t="str">
        <f>IFERROR(VLOOKUP(シフト組み!AV45,役職一覧!$B:$D,3,FALSE),"")</f>
        <v/>
      </c>
      <c r="AW15" s="17" t="str">
        <f>IFERROR(VLOOKUP(シフト組み!AW45,役職一覧!$B:$D,3,FALSE),"")</f>
        <v/>
      </c>
      <c r="AX15" s="17" t="str">
        <f>IFERROR(VLOOKUP(シフト組み!AX45,役職一覧!$B:$D,3,FALSE),"")</f>
        <v/>
      </c>
      <c r="AY15" s="17" t="str">
        <f>IFERROR(VLOOKUP(シフト組み!AY45,役職一覧!$B:$D,3,FALSE),"")</f>
        <v/>
      </c>
      <c r="AZ15" s="17" t="str">
        <f>IFERROR(VLOOKUP(シフト組み!AZ45,役職一覧!$B:$D,3,FALSE),"")</f>
        <v/>
      </c>
      <c r="BA15" s="17" t="str">
        <f>IFERROR(VLOOKUP(シフト組み!BA45,役職一覧!$B:$D,3,FALSE),"")</f>
        <v/>
      </c>
    </row>
    <row r="16" spans="1:53">
      <c r="A16" s="2" t="str">
        <f>シフト組み!A46&amp;""</f>
        <v/>
      </c>
      <c r="B16" s="2" t="str">
        <f>シフト組み!B46&amp;""</f>
        <v/>
      </c>
      <c r="C16" s="2" t="str">
        <f>シフト組み!C46&amp;""</f>
        <v/>
      </c>
      <c r="D16" s="17" t="str">
        <f>IFERROR(VLOOKUP(シフト組み!D46,役職一覧!$B:$D,2,FALSE),"")</f>
        <v/>
      </c>
      <c r="E16" s="17" t="str">
        <f>IFERROR(VLOOKUP(シフト組み!E46,役職一覧!$B:$D,2,FALSE),"")</f>
        <v/>
      </c>
      <c r="F16" s="17" t="str">
        <f>IFERROR(VLOOKUP(シフト組み!F46,役職一覧!$B:$D,2,FALSE),"")</f>
        <v/>
      </c>
      <c r="G16" s="17" t="str">
        <f>IFERROR(VLOOKUP(シフト組み!G46,役職一覧!$B:$D,2,FALSE),"")</f>
        <v/>
      </c>
      <c r="H16" s="17" t="str">
        <f>IFERROR(VLOOKUP(シフト組み!H46,役職一覧!$B:$D,2,FALSE),"")</f>
        <v/>
      </c>
      <c r="I16" s="17" t="str">
        <f>IFERROR(VLOOKUP(シフト組み!I46,役職一覧!$B:$D,2,FALSE),"")</f>
        <v/>
      </c>
      <c r="J16" s="17" t="str">
        <f>IFERROR(VLOOKUP(シフト組み!J46,役職一覧!$B:$D,2,FALSE),"")</f>
        <v/>
      </c>
      <c r="K16" s="17" t="str">
        <f>IFERROR(VLOOKUP(シフト組み!K46,役職一覧!$B:$D,2,FALSE),"")</f>
        <v/>
      </c>
      <c r="L16" s="17" t="str">
        <f>IFERROR(VLOOKUP(シフト組み!L46,役職一覧!$B:$D,2,FALSE),"")</f>
        <v/>
      </c>
      <c r="M16" s="17" t="str">
        <f>IFERROR(VLOOKUP(シフト組み!M46,役職一覧!$B:$D,2,FALSE),"")</f>
        <v/>
      </c>
      <c r="N16" s="17" t="str">
        <f>IFERROR(VLOOKUP(シフト組み!N46,役職一覧!$B:$D,2,FALSE),"")</f>
        <v/>
      </c>
      <c r="O16" s="17" t="str">
        <f>IFERROR(VLOOKUP(シフト組み!O46,役職一覧!$B:$D,2,FALSE),"")</f>
        <v/>
      </c>
      <c r="P16" s="17" t="str">
        <f>IFERROR(VLOOKUP(シフト組み!P46,役職一覧!$B:$D,2,FALSE),"")</f>
        <v/>
      </c>
      <c r="Q16" s="17" t="str">
        <f>IFERROR(VLOOKUP(シフト組み!Q46,役職一覧!$B:$D,2,FALSE),"")</f>
        <v/>
      </c>
      <c r="R16" s="17" t="str">
        <f>IFERROR(VLOOKUP(シフト組み!R46,役職一覧!$B:$D,2,FALSE),"")</f>
        <v/>
      </c>
      <c r="S16" s="17" t="str">
        <f>IFERROR(VLOOKUP(シフト組み!S46,役職一覧!$B:$D,2,FALSE),"")</f>
        <v/>
      </c>
      <c r="T16" s="17" t="str">
        <f>IFERROR(VLOOKUP(シフト組み!T46,役職一覧!$B:$D,2,FALSE),"")</f>
        <v/>
      </c>
      <c r="U16" s="17" t="str">
        <f>IFERROR(VLOOKUP(シフト組み!U46,役職一覧!$B:$D,2,FALSE),"")</f>
        <v/>
      </c>
      <c r="V16" s="17" t="str">
        <f>IFERROR(VLOOKUP(シフト組み!V46,役職一覧!$B:$D,2,FALSE),"")</f>
        <v/>
      </c>
      <c r="W16" s="17" t="str">
        <f>IFERROR(VLOOKUP(シフト組み!W46,役職一覧!$B:$D,2,FALSE),"")</f>
        <v/>
      </c>
      <c r="X16" s="17" t="str">
        <f>IFERROR(VLOOKUP(シフト組み!X46,役職一覧!$B:$D,2,FALSE),"")</f>
        <v/>
      </c>
      <c r="Y16" s="17" t="str">
        <f>IFERROR(VLOOKUP(シフト組み!Y46,役職一覧!$B:$D,2,FALSE),"")</f>
        <v/>
      </c>
      <c r="Z16" s="17" t="str">
        <f>IFERROR(VLOOKUP(シフト組み!Z46,役職一覧!$B:$D,2,FALSE),"")</f>
        <v/>
      </c>
      <c r="AA16" s="17" t="str">
        <f>IFERROR(VLOOKUP(シフト組み!AA46,役職一覧!$B:$D,2,FALSE),"")</f>
        <v/>
      </c>
      <c r="AB16" s="17" t="str">
        <f>IFERROR(VLOOKUP(シフト組み!AB46,役職一覧!$B:$D,2,FALSE),"")</f>
        <v/>
      </c>
      <c r="AC16" s="17" t="str">
        <f>IFERROR(VLOOKUP(シフト組み!AC46,役職一覧!$B:$D,2,FALSE),"")</f>
        <v/>
      </c>
      <c r="AD16" s="17" t="str">
        <f>IFERROR(VLOOKUP(シフト組み!AD46,役職一覧!$B:$D,2,FALSE),"")</f>
        <v/>
      </c>
      <c r="AE16" s="17" t="str">
        <f>IFERROR(VLOOKUP(シフト組み!AE46,役職一覧!$B:$D,2,FALSE),"")</f>
        <v/>
      </c>
      <c r="AF16" s="17" t="str">
        <f>IFERROR(VLOOKUP(シフト組み!AF46,役職一覧!$B:$D,2,FALSE),"")</f>
        <v/>
      </c>
      <c r="AG16" s="17" t="str">
        <f>IFERROR(VLOOKUP(シフト組み!AG46,役職一覧!$B:$D,2,FALSE),"")</f>
        <v/>
      </c>
      <c r="AH16" s="17" t="str">
        <f>IFERROR(VLOOKUP(シフト組み!AH46,役職一覧!$B:$D,3,FALSE),"")</f>
        <v/>
      </c>
      <c r="AI16" s="17" t="str">
        <f>IFERROR(VLOOKUP(シフト組み!AI46,役職一覧!$B:$D,3,FALSE),"")</f>
        <v/>
      </c>
      <c r="AJ16" s="17" t="str">
        <f>IFERROR(VLOOKUP(シフト組み!AJ46,役職一覧!$B:$D,3,FALSE),"")</f>
        <v/>
      </c>
      <c r="AK16" s="17" t="str">
        <f>IFERROR(VLOOKUP(シフト組み!AK46,役職一覧!$B:$D,3,FALSE),"")</f>
        <v/>
      </c>
      <c r="AL16" s="17" t="str">
        <f>IFERROR(VLOOKUP(シフト組み!AL46,役職一覧!$B:$D,3,FALSE),"")</f>
        <v/>
      </c>
      <c r="AM16" s="17" t="str">
        <f>IFERROR(VLOOKUP(シフト組み!AM46,役職一覧!$B:$D,3,FALSE),"")</f>
        <v/>
      </c>
      <c r="AN16" s="17" t="str">
        <f>IFERROR(VLOOKUP(シフト組み!AN46,役職一覧!$B:$D,3,FALSE),"")</f>
        <v/>
      </c>
      <c r="AO16" s="17" t="str">
        <f>IFERROR(VLOOKUP(シフト組み!AO46,役職一覧!$B:$D,3,FALSE),"")</f>
        <v/>
      </c>
      <c r="AP16" s="17" t="str">
        <f>IFERROR(VLOOKUP(シフト組み!AP46,役職一覧!$B:$D,3,FALSE),"")</f>
        <v/>
      </c>
      <c r="AQ16" s="17" t="str">
        <f>IFERROR(VLOOKUP(シフト組み!AQ46,役職一覧!$B:$D,3,FALSE),"")</f>
        <v/>
      </c>
      <c r="AR16" s="17" t="str">
        <f>IFERROR(VLOOKUP(シフト組み!AR46,役職一覧!$B:$D,3,FALSE),"")</f>
        <v/>
      </c>
      <c r="AS16" s="17" t="str">
        <f>IFERROR(VLOOKUP(シフト組み!AS46,役職一覧!$B:$D,3,FALSE),"")</f>
        <v/>
      </c>
      <c r="AT16" s="17" t="str">
        <f>IFERROR(VLOOKUP(シフト組み!AT46,役職一覧!$B:$D,3,FALSE),"")</f>
        <v/>
      </c>
      <c r="AU16" s="17" t="str">
        <f>IFERROR(VLOOKUP(シフト組み!AU46,役職一覧!$B:$D,3,FALSE),"")</f>
        <v/>
      </c>
      <c r="AV16" s="17" t="str">
        <f>IFERROR(VLOOKUP(シフト組み!AV46,役職一覧!$B:$D,3,FALSE),"")</f>
        <v/>
      </c>
      <c r="AW16" s="17" t="str">
        <f>IFERROR(VLOOKUP(シフト組み!AW46,役職一覧!$B:$D,3,FALSE),"")</f>
        <v/>
      </c>
      <c r="AX16" s="17" t="str">
        <f>IFERROR(VLOOKUP(シフト組み!AX46,役職一覧!$B:$D,3,FALSE),"")</f>
        <v/>
      </c>
      <c r="AY16" s="17" t="str">
        <f>IFERROR(VLOOKUP(シフト組み!AY46,役職一覧!$B:$D,3,FALSE),"")</f>
        <v/>
      </c>
      <c r="AZ16" s="17" t="str">
        <f>IFERROR(VLOOKUP(シフト組み!AZ46,役職一覧!$B:$D,3,FALSE),"")</f>
        <v/>
      </c>
      <c r="BA16" s="17" t="str">
        <f>IFERROR(VLOOKUP(シフト組み!BA46,役職一覧!$B:$D,3,FALSE),"")</f>
        <v/>
      </c>
    </row>
    <row r="17" spans="1:53">
      <c r="A17" s="2" t="str">
        <f>シフト組み!A47&amp;""</f>
        <v/>
      </c>
      <c r="B17" s="2" t="str">
        <f>シフト組み!B47&amp;""</f>
        <v/>
      </c>
      <c r="C17" s="2" t="str">
        <f>シフト組み!C47&amp;""</f>
        <v/>
      </c>
      <c r="D17" s="17" t="str">
        <f>IFERROR(VLOOKUP(シフト組み!D47,役職一覧!$B:$D,2,FALSE),"")</f>
        <v/>
      </c>
      <c r="E17" s="17" t="str">
        <f>IFERROR(VLOOKUP(シフト組み!E47,役職一覧!$B:$D,2,FALSE),"")</f>
        <v/>
      </c>
      <c r="F17" s="17" t="str">
        <f>IFERROR(VLOOKUP(シフト組み!F47,役職一覧!$B:$D,2,FALSE),"")</f>
        <v/>
      </c>
      <c r="G17" s="17" t="str">
        <f>IFERROR(VLOOKUP(シフト組み!G47,役職一覧!$B:$D,2,FALSE),"")</f>
        <v/>
      </c>
      <c r="H17" s="17" t="str">
        <f>IFERROR(VLOOKUP(シフト組み!H47,役職一覧!$B:$D,2,FALSE),"")</f>
        <v/>
      </c>
      <c r="I17" s="17" t="str">
        <f>IFERROR(VLOOKUP(シフト組み!I47,役職一覧!$B:$D,2,FALSE),"")</f>
        <v/>
      </c>
      <c r="J17" s="17" t="str">
        <f>IFERROR(VLOOKUP(シフト組み!J47,役職一覧!$B:$D,2,FALSE),"")</f>
        <v/>
      </c>
      <c r="K17" s="17" t="str">
        <f>IFERROR(VLOOKUP(シフト組み!K47,役職一覧!$B:$D,2,FALSE),"")</f>
        <v/>
      </c>
      <c r="L17" s="17" t="str">
        <f>IFERROR(VLOOKUP(シフト組み!L47,役職一覧!$B:$D,2,FALSE),"")</f>
        <v/>
      </c>
      <c r="M17" s="17" t="str">
        <f>IFERROR(VLOOKUP(シフト組み!M47,役職一覧!$B:$D,2,FALSE),"")</f>
        <v/>
      </c>
      <c r="N17" s="17" t="str">
        <f>IFERROR(VLOOKUP(シフト組み!N47,役職一覧!$B:$D,2,FALSE),"")</f>
        <v/>
      </c>
      <c r="O17" s="17" t="str">
        <f>IFERROR(VLOOKUP(シフト組み!O47,役職一覧!$B:$D,2,FALSE),"")</f>
        <v/>
      </c>
      <c r="P17" s="17" t="str">
        <f>IFERROR(VLOOKUP(シフト組み!P47,役職一覧!$B:$D,2,FALSE),"")</f>
        <v/>
      </c>
      <c r="Q17" s="17" t="str">
        <f>IFERROR(VLOOKUP(シフト組み!Q47,役職一覧!$B:$D,2,FALSE),"")</f>
        <v/>
      </c>
      <c r="R17" s="17" t="str">
        <f>IFERROR(VLOOKUP(シフト組み!R47,役職一覧!$B:$D,2,FALSE),"")</f>
        <v/>
      </c>
      <c r="S17" s="17" t="str">
        <f>IFERROR(VLOOKUP(シフト組み!S47,役職一覧!$B:$D,2,FALSE),"")</f>
        <v/>
      </c>
      <c r="T17" s="17" t="str">
        <f>IFERROR(VLOOKUP(シフト組み!T47,役職一覧!$B:$D,2,FALSE),"")</f>
        <v/>
      </c>
      <c r="U17" s="17" t="str">
        <f>IFERROR(VLOOKUP(シフト組み!U47,役職一覧!$B:$D,2,FALSE),"")</f>
        <v/>
      </c>
      <c r="V17" s="17" t="str">
        <f>IFERROR(VLOOKUP(シフト組み!V47,役職一覧!$B:$D,2,FALSE),"")</f>
        <v/>
      </c>
      <c r="W17" s="17" t="str">
        <f>IFERROR(VLOOKUP(シフト組み!W47,役職一覧!$B:$D,2,FALSE),"")</f>
        <v/>
      </c>
      <c r="X17" s="17" t="str">
        <f>IFERROR(VLOOKUP(シフト組み!X47,役職一覧!$B:$D,2,FALSE),"")</f>
        <v/>
      </c>
      <c r="Y17" s="17" t="str">
        <f>IFERROR(VLOOKUP(シフト組み!Y47,役職一覧!$B:$D,2,FALSE),"")</f>
        <v/>
      </c>
      <c r="Z17" s="17" t="str">
        <f>IFERROR(VLOOKUP(シフト組み!Z47,役職一覧!$B:$D,2,FALSE),"")</f>
        <v/>
      </c>
      <c r="AA17" s="17" t="str">
        <f>IFERROR(VLOOKUP(シフト組み!AA47,役職一覧!$B:$D,2,FALSE),"")</f>
        <v/>
      </c>
      <c r="AB17" s="17" t="str">
        <f>IFERROR(VLOOKUP(シフト組み!AB47,役職一覧!$B:$D,2,FALSE),"")</f>
        <v/>
      </c>
      <c r="AC17" s="17" t="str">
        <f>IFERROR(VLOOKUP(シフト組み!AC47,役職一覧!$B:$D,2,FALSE),"")</f>
        <v/>
      </c>
      <c r="AD17" s="17" t="str">
        <f>IFERROR(VLOOKUP(シフト組み!AD47,役職一覧!$B:$D,2,FALSE),"")</f>
        <v/>
      </c>
      <c r="AE17" s="17" t="str">
        <f>IFERROR(VLOOKUP(シフト組み!AE47,役職一覧!$B:$D,2,FALSE),"")</f>
        <v/>
      </c>
      <c r="AF17" s="17" t="str">
        <f>IFERROR(VLOOKUP(シフト組み!AF47,役職一覧!$B:$D,2,FALSE),"")</f>
        <v/>
      </c>
      <c r="AG17" s="17" t="str">
        <f>IFERROR(VLOOKUP(シフト組み!AG47,役職一覧!$B:$D,2,FALSE),"")</f>
        <v/>
      </c>
      <c r="AH17" s="17" t="str">
        <f>IFERROR(VLOOKUP(シフト組み!AH47,役職一覧!$B:$D,3,FALSE),"")</f>
        <v/>
      </c>
      <c r="AI17" s="17" t="str">
        <f>IFERROR(VLOOKUP(シフト組み!AI47,役職一覧!$B:$D,3,FALSE),"")</f>
        <v/>
      </c>
      <c r="AJ17" s="17" t="str">
        <f>IFERROR(VLOOKUP(シフト組み!AJ47,役職一覧!$B:$D,3,FALSE),"")</f>
        <v/>
      </c>
      <c r="AK17" s="17" t="str">
        <f>IFERROR(VLOOKUP(シフト組み!AK47,役職一覧!$B:$D,3,FALSE),"")</f>
        <v/>
      </c>
      <c r="AL17" s="17" t="str">
        <f>IFERROR(VLOOKUP(シフト組み!AL47,役職一覧!$B:$D,3,FALSE),"")</f>
        <v/>
      </c>
      <c r="AM17" s="17" t="str">
        <f>IFERROR(VLOOKUP(シフト組み!AM47,役職一覧!$B:$D,3,FALSE),"")</f>
        <v/>
      </c>
      <c r="AN17" s="17" t="str">
        <f>IFERROR(VLOOKUP(シフト組み!AN47,役職一覧!$B:$D,3,FALSE),"")</f>
        <v/>
      </c>
      <c r="AO17" s="17" t="str">
        <f>IFERROR(VLOOKUP(シフト組み!AO47,役職一覧!$B:$D,3,FALSE),"")</f>
        <v/>
      </c>
      <c r="AP17" s="17" t="str">
        <f>IFERROR(VLOOKUP(シフト組み!AP47,役職一覧!$B:$D,3,FALSE),"")</f>
        <v/>
      </c>
      <c r="AQ17" s="17" t="str">
        <f>IFERROR(VLOOKUP(シフト組み!AQ47,役職一覧!$B:$D,3,FALSE),"")</f>
        <v/>
      </c>
      <c r="AR17" s="17" t="str">
        <f>IFERROR(VLOOKUP(シフト組み!AR47,役職一覧!$B:$D,3,FALSE),"")</f>
        <v/>
      </c>
      <c r="AS17" s="17" t="str">
        <f>IFERROR(VLOOKUP(シフト組み!AS47,役職一覧!$B:$D,3,FALSE),"")</f>
        <v/>
      </c>
      <c r="AT17" s="17" t="str">
        <f>IFERROR(VLOOKUP(シフト組み!AT47,役職一覧!$B:$D,3,FALSE),"")</f>
        <v/>
      </c>
      <c r="AU17" s="17" t="str">
        <f>IFERROR(VLOOKUP(シフト組み!AU47,役職一覧!$B:$D,3,FALSE),"")</f>
        <v/>
      </c>
      <c r="AV17" s="17" t="str">
        <f>IFERROR(VLOOKUP(シフト組み!AV47,役職一覧!$B:$D,3,FALSE),"")</f>
        <v/>
      </c>
      <c r="AW17" s="17" t="str">
        <f>IFERROR(VLOOKUP(シフト組み!AW47,役職一覧!$B:$D,3,FALSE),"")</f>
        <v/>
      </c>
      <c r="AX17" s="17" t="str">
        <f>IFERROR(VLOOKUP(シフト組み!AX47,役職一覧!$B:$D,3,FALSE),"")</f>
        <v/>
      </c>
      <c r="AY17" s="17" t="str">
        <f>IFERROR(VLOOKUP(シフト組み!AY47,役職一覧!$B:$D,3,FALSE),"")</f>
        <v/>
      </c>
      <c r="AZ17" s="17" t="str">
        <f>IFERROR(VLOOKUP(シフト組み!AZ47,役職一覧!$B:$D,3,FALSE),"")</f>
        <v/>
      </c>
      <c r="BA17" s="17" t="str">
        <f>IFERROR(VLOOKUP(シフト組み!BA47,役職一覧!$B:$D,3,FALSE),"")</f>
        <v/>
      </c>
    </row>
    <row r="18" spans="1:53">
      <c r="A18" s="2" t="str">
        <f>シフト組み!A48&amp;""</f>
        <v/>
      </c>
      <c r="B18" s="2" t="str">
        <f>シフト組み!B48&amp;""</f>
        <v/>
      </c>
      <c r="C18" s="2" t="str">
        <f>シフト組み!C48&amp;""</f>
        <v/>
      </c>
      <c r="D18" s="17" t="str">
        <f>IFERROR(VLOOKUP(シフト組み!D48,役職一覧!$B:$D,2,FALSE),"")</f>
        <v/>
      </c>
      <c r="E18" s="17" t="str">
        <f>IFERROR(VLOOKUP(シフト組み!E48,役職一覧!$B:$D,2,FALSE),"")</f>
        <v/>
      </c>
      <c r="F18" s="17" t="str">
        <f>IFERROR(VLOOKUP(シフト組み!F48,役職一覧!$B:$D,2,FALSE),"")</f>
        <v/>
      </c>
      <c r="G18" s="17" t="str">
        <f>IFERROR(VLOOKUP(シフト組み!G48,役職一覧!$B:$D,2,FALSE),"")</f>
        <v/>
      </c>
      <c r="H18" s="17" t="str">
        <f>IFERROR(VLOOKUP(シフト組み!H48,役職一覧!$B:$D,2,FALSE),"")</f>
        <v/>
      </c>
      <c r="I18" s="17" t="str">
        <f>IFERROR(VLOOKUP(シフト組み!I48,役職一覧!$B:$D,2,FALSE),"")</f>
        <v/>
      </c>
      <c r="J18" s="17" t="str">
        <f>IFERROR(VLOOKUP(シフト組み!J48,役職一覧!$B:$D,2,FALSE),"")</f>
        <v/>
      </c>
      <c r="K18" s="17" t="str">
        <f>IFERROR(VLOOKUP(シフト組み!K48,役職一覧!$B:$D,2,FALSE),"")</f>
        <v/>
      </c>
      <c r="L18" s="17" t="str">
        <f>IFERROR(VLOOKUP(シフト組み!L48,役職一覧!$B:$D,2,FALSE),"")</f>
        <v/>
      </c>
      <c r="M18" s="17" t="str">
        <f>IFERROR(VLOOKUP(シフト組み!M48,役職一覧!$B:$D,2,FALSE),"")</f>
        <v/>
      </c>
      <c r="N18" s="17" t="str">
        <f>IFERROR(VLOOKUP(シフト組み!N48,役職一覧!$B:$D,2,FALSE),"")</f>
        <v/>
      </c>
      <c r="O18" s="17" t="str">
        <f>IFERROR(VLOOKUP(シフト組み!O48,役職一覧!$B:$D,2,FALSE),"")</f>
        <v/>
      </c>
      <c r="P18" s="17" t="str">
        <f>IFERROR(VLOOKUP(シフト組み!P48,役職一覧!$B:$D,2,FALSE),"")</f>
        <v/>
      </c>
      <c r="Q18" s="17" t="str">
        <f>IFERROR(VLOOKUP(シフト組み!Q48,役職一覧!$B:$D,2,FALSE),"")</f>
        <v/>
      </c>
      <c r="R18" s="17" t="str">
        <f>IFERROR(VLOOKUP(シフト組み!R48,役職一覧!$B:$D,2,FALSE),"")</f>
        <v/>
      </c>
      <c r="S18" s="17" t="str">
        <f>IFERROR(VLOOKUP(シフト組み!S48,役職一覧!$B:$D,2,FALSE),"")</f>
        <v/>
      </c>
      <c r="T18" s="17" t="str">
        <f>IFERROR(VLOOKUP(シフト組み!T48,役職一覧!$B:$D,2,FALSE),"")</f>
        <v/>
      </c>
      <c r="U18" s="17" t="str">
        <f>IFERROR(VLOOKUP(シフト組み!U48,役職一覧!$B:$D,2,FALSE),"")</f>
        <v/>
      </c>
      <c r="V18" s="17" t="str">
        <f>IFERROR(VLOOKUP(シフト組み!V48,役職一覧!$B:$D,2,FALSE),"")</f>
        <v/>
      </c>
      <c r="W18" s="17" t="str">
        <f>IFERROR(VLOOKUP(シフト組み!W48,役職一覧!$B:$D,2,FALSE),"")</f>
        <v/>
      </c>
      <c r="X18" s="17" t="str">
        <f>IFERROR(VLOOKUP(シフト組み!X48,役職一覧!$B:$D,2,FALSE),"")</f>
        <v/>
      </c>
      <c r="Y18" s="17" t="str">
        <f>IFERROR(VLOOKUP(シフト組み!Y48,役職一覧!$B:$D,2,FALSE),"")</f>
        <v/>
      </c>
      <c r="Z18" s="17" t="str">
        <f>IFERROR(VLOOKUP(シフト組み!Z48,役職一覧!$B:$D,2,FALSE),"")</f>
        <v/>
      </c>
      <c r="AA18" s="17" t="str">
        <f>IFERROR(VLOOKUP(シフト組み!AA48,役職一覧!$B:$D,2,FALSE),"")</f>
        <v/>
      </c>
      <c r="AB18" s="17" t="str">
        <f>IFERROR(VLOOKUP(シフト組み!AB48,役職一覧!$B:$D,2,FALSE),"")</f>
        <v/>
      </c>
      <c r="AC18" s="17" t="str">
        <f>IFERROR(VLOOKUP(シフト組み!AC48,役職一覧!$B:$D,2,FALSE),"")</f>
        <v/>
      </c>
      <c r="AD18" s="17" t="str">
        <f>IFERROR(VLOOKUP(シフト組み!AD48,役職一覧!$B:$D,2,FALSE),"")</f>
        <v/>
      </c>
      <c r="AE18" s="17" t="str">
        <f>IFERROR(VLOOKUP(シフト組み!AE48,役職一覧!$B:$D,2,FALSE),"")</f>
        <v/>
      </c>
      <c r="AF18" s="17" t="str">
        <f>IFERROR(VLOOKUP(シフト組み!AF48,役職一覧!$B:$D,2,FALSE),"")</f>
        <v/>
      </c>
      <c r="AG18" s="17" t="str">
        <f>IFERROR(VLOOKUP(シフト組み!AG48,役職一覧!$B:$D,2,FALSE),"")</f>
        <v/>
      </c>
      <c r="AH18" s="17" t="str">
        <f>IFERROR(VLOOKUP(シフト組み!AH48,役職一覧!$B:$D,3,FALSE),"")</f>
        <v/>
      </c>
      <c r="AI18" s="17" t="str">
        <f>IFERROR(VLOOKUP(シフト組み!AI48,役職一覧!$B:$D,3,FALSE),"")</f>
        <v/>
      </c>
      <c r="AJ18" s="17" t="str">
        <f>IFERROR(VLOOKUP(シフト組み!AJ48,役職一覧!$B:$D,3,FALSE),"")</f>
        <v/>
      </c>
      <c r="AK18" s="17" t="str">
        <f>IFERROR(VLOOKUP(シフト組み!AK48,役職一覧!$B:$D,3,FALSE),"")</f>
        <v/>
      </c>
      <c r="AL18" s="17" t="str">
        <f>IFERROR(VLOOKUP(シフト組み!AL48,役職一覧!$B:$D,3,FALSE),"")</f>
        <v/>
      </c>
      <c r="AM18" s="17" t="str">
        <f>IFERROR(VLOOKUP(シフト組み!AM48,役職一覧!$B:$D,3,FALSE),"")</f>
        <v/>
      </c>
      <c r="AN18" s="17" t="str">
        <f>IFERROR(VLOOKUP(シフト組み!AN48,役職一覧!$B:$D,3,FALSE),"")</f>
        <v/>
      </c>
      <c r="AO18" s="17" t="str">
        <f>IFERROR(VLOOKUP(シフト組み!AO48,役職一覧!$B:$D,3,FALSE),"")</f>
        <v/>
      </c>
      <c r="AP18" s="17" t="str">
        <f>IFERROR(VLOOKUP(シフト組み!AP48,役職一覧!$B:$D,3,FALSE),"")</f>
        <v/>
      </c>
      <c r="AQ18" s="17" t="str">
        <f>IFERROR(VLOOKUP(シフト組み!AQ48,役職一覧!$B:$D,3,FALSE),"")</f>
        <v/>
      </c>
      <c r="AR18" s="17" t="str">
        <f>IFERROR(VLOOKUP(シフト組み!AR48,役職一覧!$B:$D,3,FALSE),"")</f>
        <v/>
      </c>
      <c r="AS18" s="17" t="str">
        <f>IFERROR(VLOOKUP(シフト組み!AS48,役職一覧!$B:$D,3,FALSE),"")</f>
        <v/>
      </c>
      <c r="AT18" s="17" t="str">
        <f>IFERROR(VLOOKUP(シフト組み!AT48,役職一覧!$B:$D,3,FALSE),"")</f>
        <v/>
      </c>
      <c r="AU18" s="17" t="str">
        <f>IFERROR(VLOOKUP(シフト組み!AU48,役職一覧!$B:$D,3,FALSE),"")</f>
        <v/>
      </c>
      <c r="AV18" s="17" t="str">
        <f>IFERROR(VLOOKUP(シフト組み!AV48,役職一覧!$B:$D,3,FALSE),"")</f>
        <v/>
      </c>
      <c r="AW18" s="17" t="str">
        <f>IFERROR(VLOOKUP(シフト組み!AW48,役職一覧!$B:$D,3,FALSE),"")</f>
        <v/>
      </c>
      <c r="AX18" s="17" t="str">
        <f>IFERROR(VLOOKUP(シフト組み!AX48,役職一覧!$B:$D,3,FALSE),"")</f>
        <v/>
      </c>
      <c r="AY18" s="17" t="str">
        <f>IFERROR(VLOOKUP(シフト組み!AY48,役職一覧!$B:$D,3,FALSE),"")</f>
        <v/>
      </c>
      <c r="AZ18" s="17" t="str">
        <f>IFERROR(VLOOKUP(シフト組み!AZ48,役職一覧!$B:$D,3,FALSE),"")</f>
        <v/>
      </c>
      <c r="BA18" s="17" t="str">
        <f>IFERROR(VLOOKUP(シフト組み!BA48,役職一覧!$B:$D,3,FALSE),"")</f>
        <v/>
      </c>
    </row>
    <row r="19" spans="1:53">
      <c r="A19" s="2" t="str">
        <f>シフト組み!A49&amp;""</f>
        <v/>
      </c>
      <c r="B19" s="2" t="str">
        <f>シフト組み!B49&amp;""</f>
        <v/>
      </c>
      <c r="C19" s="2" t="str">
        <f>シフト組み!C49&amp;""</f>
        <v/>
      </c>
      <c r="D19" s="17" t="str">
        <f>IFERROR(VLOOKUP(シフト組み!D49,役職一覧!$B:$D,2,FALSE),"")</f>
        <v/>
      </c>
      <c r="E19" s="17" t="str">
        <f>IFERROR(VLOOKUP(シフト組み!E49,役職一覧!$B:$D,2,FALSE),"")</f>
        <v/>
      </c>
      <c r="F19" s="17" t="str">
        <f>IFERROR(VLOOKUP(シフト組み!F49,役職一覧!$B:$D,2,FALSE),"")</f>
        <v/>
      </c>
      <c r="G19" s="17" t="str">
        <f>IFERROR(VLOOKUP(シフト組み!G49,役職一覧!$B:$D,2,FALSE),"")</f>
        <v/>
      </c>
      <c r="H19" s="17" t="str">
        <f>IFERROR(VLOOKUP(シフト組み!H49,役職一覧!$B:$D,2,FALSE),"")</f>
        <v/>
      </c>
      <c r="I19" s="17" t="str">
        <f>IFERROR(VLOOKUP(シフト組み!I49,役職一覧!$B:$D,2,FALSE),"")</f>
        <v/>
      </c>
      <c r="J19" s="17" t="str">
        <f>IFERROR(VLOOKUP(シフト組み!J49,役職一覧!$B:$D,2,FALSE),"")</f>
        <v/>
      </c>
      <c r="K19" s="17" t="str">
        <f>IFERROR(VLOOKUP(シフト組み!K49,役職一覧!$B:$D,2,FALSE),"")</f>
        <v/>
      </c>
      <c r="L19" s="17" t="str">
        <f>IFERROR(VLOOKUP(シフト組み!L49,役職一覧!$B:$D,2,FALSE),"")</f>
        <v/>
      </c>
      <c r="M19" s="17" t="str">
        <f>IFERROR(VLOOKUP(シフト組み!M49,役職一覧!$B:$D,2,FALSE),"")</f>
        <v/>
      </c>
      <c r="N19" s="17" t="str">
        <f>IFERROR(VLOOKUP(シフト組み!N49,役職一覧!$B:$D,2,FALSE),"")</f>
        <v/>
      </c>
      <c r="O19" s="17" t="str">
        <f>IFERROR(VLOOKUP(シフト組み!O49,役職一覧!$B:$D,2,FALSE),"")</f>
        <v/>
      </c>
      <c r="P19" s="17" t="str">
        <f>IFERROR(VLOOKUP(シフト組み!P49,役職一覧!$B:$D,2,FALSE),"")</f>
        <v/>
      </c>
      <c r="Q19" s="17" t="str">
        <f>IFERROR(VLOOKUP(シフト組み!Q49,役職一覧!$B:$D,2,FALSE),"")</f>
        <v/>
      </c>
      <c r="R19" s="17" t="str">
        <f>IFERROR(VLOOKUP(シフト組み!R49,役職一覧!$B:$D,2,FALSE),"")</f>
        <v/>
      </c>
      <c r="S19" s="17" t="str">
        <f>IFERROR(VLOOKUP(シフト組み!S49,役職一覧!$B:$D,2,FALSE),"")</f>
        <v/>
      </c>
      <c r="T19" s="17" t="str">
        <f>IFERROR(VLOOKUP(シフト組み!T49,役職一覧!$B:$D,2,FALSE),"")</f>
        <v/>
      </c>
      <c r="U19" s="17" t="str">
        <f>IFERROR(VLOOKUP(シフト組み!U49,役職一覧!$B:$D,2,FALSE),"")</f>
        <v/>
      </c>
      <c r="V19" s="17" t="str">
        <f>IFERROR(VLOOKUP(シフト組み!V49,役職一覧!$B:$D,2,FALSE),"")</f>
        <v/>
      </c>
      <c r="W19" s="17" t="str">
        <f>IFERROR(VLOOKUP(シフト組み!W49,役職一覧!$B:$D,2,FALSE),"")</f>
        <v/>
      </c>
      <c r="X19" s="17" t="str">
        <f>IFERROR(VLOOKUP(シフト組み!X49,役職一覧!$B:$D,2,FALSE),"")</f>
        <v/>
      </c>
      <c r="Y19" s="17" t="str">
        <f>IFERROR(VLOOKUP(シフト組み!Y49,役職一覧!$B:$D,2,FALSE),"")</f>
        <v/>
      </c>
      <c r="Z19" s="17" t="str">
        <f>IFERROR(VLOOKUP(シフト組み!Z49,役職一覧!$B:$D,2,FALSE),"")</f>
        <v/>
      </c>
      <c r="AA19" s="17" t="str">
        <f>IFERROR(VLOOKUP(シフト組み!AA49,役職一覧!$B:$D,2,FALSE),"")</f>
        <v/>
      </c>
      <c r="AB19" s="17" t="str">
        <f>IFERROR(VLOOKUP(シフト組み!AB49,役職一覧!$B:$D,2,FALSE),"")</f>
        <v/>
      </c>
      <c r="AC19" s="17" t="str">
        <f>IFERROR(VLOOKUP(シフト組み!AC49,役職一覧!$B:$D,2,FALSE),"")</f>
        <v/>
      </c>
      <c r="AD19" s="17" t="str">
        <f>IFERROR(VLOOKUP(シフト組み!AD49,役職一覧!$B:$D,2,FALSE),"")</f>
        <v/>
      </c>
      <c r="AE19" s="17" t="str">
        <f>IFERROR(VLOOKUP(シフト組み!AE49,役職一覧!$B:$D,2,FALSE),"")</f>
        <v/>
      </c>
      <c r="AF19" s="17" t="str">
        <f>IFERROR(VLOOKUP(シフト組み!AF49,役職一覧!$B:$D,2,FALSE),"")</f>
        <v/>
      </c>
      <c r="AG19" s="17" t="str">
        <f>IFERROR(VLOOKUP(シフト組み!AG49,役職一覧!$B:$D,2,FALSE),"")</f>
        <v/>
      </c>
      <c r="AH19" s="17" t="str">
        <f>IFERROR(VLOOKUP(シフト組み!AH49,役職一覧!$B:$D,3,FALSE),"")</f>
        <v/>
      </c>
      <c r="AI19" s="17" t="str">
        <f>IFERROR(VLOOKUP(シフト組み!AI49,役職一覧!$B:$D,3,FALSE),"")</f>
        <v/>
      </c>
      <c r="AJ19" s="17" t="str">
        <f>IFERROR(VLOOKUP(シフト組み!AJ49,役職一覧!$B:$D,3,FALSE),"")</f>
        <v/>
      </c>
      <c r="AK19" s="17" t="str">
        <f>IFERROR(VLOOKUP(シフト組み!AK49,役職一覧!$B:$D,3,FALSE),"")</f>
        <v/>
      </c>
      <c r="AL19" s="17" t="str">
        <f>IFERROR(VLOOKUP(シフト組み!AL49,役職一覧!$B:$D,3,FALSE),"")</f>
        <v/>
      </c>
      <c r="AM19" s="17" t="str">
        <f>IFERROR(VLOOKUP(シフト組み!AM49,役職一覧!$B:$D,3,FALSE),"")</f>
        <v/>
      </c>
      <c r="AN19" s="17" t="str">
        <f>IFERROR(VLOOKUP(シフト組み!AN49,役職一覧!$B:$D,3,FALSE),"")</f>
        <v/>
      </c>
      <c r="AO19" s="17" t="str">
        <f>IFERROR(VLOOKUP(シフト組み!AO49,役職一覧!$B:$D,3,FALSE),"")</f>
        <v/>
      </c>
      <c r="AP19" s="17" t="str">
        <f>IFERROR(VLOOKUP(シフト組み!AP49,役職一覧!$B:$D,3,FALSE),"")</f>
        <v/>
      </c>
      <c r="AQ19" s="17" t="str">
        <f>IFERROR(VLOOKUP(シフト組み!AQ49,役職一覧!$B:$D,3,FALSE),"")</f>
        <v/>
      </c>
      <c r="AR19" s="17" t="str">
        <f>IFERROR(VLOOKUP(シフト組み!AR49,役職一覧!$B:$D,3,FALSE),"")</f>
        <v/>
      </c>
      <c r="AS19" s="17" t="str">
        <f>IFERROR(VLOOKUP(シフト組み!AS49,役職一覧!$B:$D,3,FALSE),"")</f>
        <v/>
      </c>
      <c r="AT19" s="17" t="str">
        <f>IFERROR(VLOOKUP(シフト組み!AT49,役職一覧!$B:$D,3,FALSE),"")</f>
        <v/>
      </c>
      <c r="AU19" s="17" t="str">
        <f>IFERROR(VLOOKUP(シフト組み!AU49,役職一覧!$B:$D,3,FALSE),"")</f>
        <v/>
      </c>
      <c r="AV19" s="17" t="str">
        <f>IFERROR(VLOOKUP(シフト組み!AV49,役職一覧!$B:$D,3,FALSE),"")</f>
        <v/>
      </c>
      <c r="AW19" s="17" t="str">
        <f>IFERROR(VLOOKUP(シフト組み!AW49,役職一覧!$B:$D,3,FALSE),"")</f>
        <v/>
      </c>
      <c r="AX19" s="17" t="str">
        <f>IFERROR(VLOOKUP(シフト組み!AX49,役職一覧!$B:$D,3,FALSE),"")</f>
        <v/>
      </c>
      <c r="AY19" s="17" t="str">
        <f>IFERROR(VLOOKUP(シフト組み!AY49,役職一覧!$B:$D,3,FALSE),"")</f>
        <v/>
      </c>
      <c r="AZ19" s="17" t="str">
        <f>IFERROR(VLOOKUP(シフト組み!AZ49,役職一覧!$B:$D,3,FALSE),"")</f>
        <v/>
      </c>
      <c r="BA19" s="17" t="str">
        <f>IFERROR(VLOOKUP(シフト組み!BA49,役職一覧!$B:$D,3,FALSE),"")</f>
        <v/>
      </c>
    </row>
    <row r="20" spans="1:53">
      <c r="A20" s="2" t="str">
        <f>シフト組み!A50&amp;""</f>
        <v/>
      </c>
      <c r="B20" s="2" t="str">
        <f>シフト組み!B50&amp;""</f>
        <v/>
      </c>
      <c r="C20" s="2" t="str">
        <f>シフト組み!C50&amp;""</f>
        <v/>
      </c>
      <c r="D20" s="17" t="str">
        <f>IFERROR(VLOOKUP(シフト組み!D50,役職一覧!$B:$D,2,FALSE),"")</f>
        <v/>
      </c>
      <c r="E20" s="17" t="str">
        <f>IFERROR(VLOOKUP(シフト組み!E50,役職一覧!$B:$D,2,FALSE),"")</f>
        <v/>
      </c>
      <c r="F20" s="17" t="str">
        <f>IFERROR(VLOOKUP(シフト組み!F50,役職一覧!$B:$D,2,FALSE),"")</f>
        <v/>
      </c>
      <c r="G20" s="17" t="str">
        <f>IFERROR(VLOOKUP(シフト組み!G50,役職一覧!$B:$D,2,FALSE),"")</f>
        <v/>
      </c>
      <c r="H20" s="17" t="str">
        <f>IFERROR(VLOOKUP(シフト組み!H50,役職一覧!$B:$D,2,FALSE),"")</f>
        <v/>
      </c>
      <c r="I20" s="17" t="str">
        <f>IFERROR(VLOOKUP(シフト組み!I50,役職一覧!$B:$D,2,FALSE),"")</f>
        <v/>
      </c>
      <c r="J20" s="17" t="str">
        <f>IFERROR(VLOOKUP(シフト組み!J50,役職一覧!$B:$D,2,FALSE),"")</f>
        <v/>
      </c>
      <c r="K20" s="17" t="str">
        <f>IFERROR(VLOOKUP(シフト組み!K50,役職一覧!$B:$D,2,FALSE),"")</f>
        <v/>
      </c>
      <c r="L20" s="17" t="str">
        <f>IFERROR(VLOOKUP(シフト組み!L50,役職一覧!$B:$D,2,FALSE),"")</f>
        <v/>
      </c>
      <c r="M20" s="17" t="str">
        <f>IFERROR(VLOOKUP(シフト組み!M50,役職一覧!$B:$D,2,FALSE),"")</f>
        <v/>
      </c>
      <c r="N20" s="17" t="str">
        <f>IFERROR(VLOOKUP(シフト組み!N50,役職一覧!$B:$D,2,FALSE),"")</f>
        <v/>
      </c>
      <c r="O20" s="17" t="str">
        <f>IFERROR(VLOOKUP(シフト組み!O50,役職一覧!$B:$D,2,FALSE),"")</f>
        <v/>
      </c>
      <c r="P20" s="17" t="str">
        <f>IFERROR(VLOOKUP(シフト組み!P50,役職一覧!$B:$D,2,FALSE),"")</f>
        <v/>
      </c>
      <c r="Q20" s="17" t="str">
        <f>IFERROR(VLOOKUP(シフト組み!Q50,役職一覧!$B:$D,2,FALSE),"")</f>
        <v/>
      </c>
      <c r="R20" s="17" t="str">
        <f>IFERROR(VLOOKUP(シフト組み!R50,役職一覧!$B:$D,2,FALSE),"")</f>
        <v/>
      </c>
      <c r="S20" s="17" t="str">
        <f>IFERROR(VLOOKUP(シフト組み!S50,役職一覧!$B:$D,2,FALSE),"")</f>
        <v/>
      </c>
      <c r="T20" s="17" t="str">
        <f>IFERROR(VLOOKUP(シフト組み!T50,役職一覧!$B:$D,2,FALSE),"")</f>
        <v/>
      </c>
      <c r="U20" s="17" t="str">
        <f>IFERROR(VLOOKUP(シフト組み!U50,役職一覧!$B:$D,2,FALSE),"")</f>
        <v/>
      </c>
      <c r="V20" s="17" t="str">
        <f>IFERROR(VLOOKUP(シフト組み!V50,役職一覧!$B:$D,2,FALSE),"")</f>
        <v/>
      </c>
      <c r="W20" s="17" t="str">
        <f>IFERROR(VLOOKUP(シフト組み!W50,役職一覧!$B:$D,2,FALSE),"")</f>
        <v/>
      </c>
      <c r="X20" s="17" t="str">
        <f>IFERROR(VLOOKUP(シフト組み!X50,役職一覧!$B:$D,2,FALSE),"")</f>
        <v/>
      </c>
      <c r="Y20" s="17" t="str">
        <f>IFERROR(VLOOKUP(シフト組み!Y50,役職一覧!$B:$D,2,FALSE),"")</f>
        <v/>
      </c>
      <c r="Z20" s="17" t="str">
        <f>IFERROR(VLOOKUP(シフト組み!Z50,役職一覧!$B:$D,2,FALSE),"")</f>
        <v/>
      </c>
      <c r="AA20" s="17" t="str">
        <f>IFERROR(VLOOKUP(シフト組み!AA50,役職一覧!$B:$D,2,FALSE),"")</f>
        <v/>
      </c>
      <c r="AB20" s="17" t="str">
        <f>IFERROR(VLOOKUP(シフト組み!AB50,役職一覧!$B:$D,2,FALSE),"")</f>
        <v/>
      </c>
      <c r="AC20" s="17" t="str">
        <f>IFERROR(VLOOKUP(シフト組み!AC50,役職一覧!$B:$D,2,FALSE),"")</f>
        <v/>
      </c>
      <c r="AD20" s="17" t="str">
        <f>IFERROR(VLOOKUP(シフト組み!AD50,役職一覧!$B:$D,2,FALSE),"")</f>
        <v/>
      </c>
      <c r="AE20" s="17" t="str">
        <f>IFERROR(VLOOKUP(シフト組み!AE50,役職一覧!$B:$D,2,FALSE),"")</f>
        <v/>
      </c>
      <c r="AF20" s="17" t="str">
        <f>IFERROR(VLOOKUP(シフト組み!AF50,役職一覧!$B:$D,2,FALSE),"")</f>
        <v/>
      </c>
      <c r="AG20" s="17" t="str">
        <f>IFERROR(VLOOKUP(シフト組み!AG50,役職一覧!$B:$D,2,FALSE),"")</f>
        <v/>
      </c>
      <c r="AH20" s="17" t="str">
        <f>IFERROR(VLOOKUP(シフト組み!AH50,役職一覧!$B:$D,3,FALSE),"")</f>
        <v/>
      </c>
      <c r="AI20" s="17" t="str">
        <f>IFERROR(VLOOKUP(シフト組み!AI50,役職一覧!$B:$D,3,FALSE),"")</f>
        <v/>
      </c>
      <c r="AJ20" s="17" t="str">
        <f>IFERROR(VLOOKUP(シフト組み!AJ50,役職一覧!$B:$D,3,FALSE),"")</f>
        <v/>
      </c>
      <c r="AK20" s="17" t="str">
        <f>IFERROR(VLOOKUP(シフト組み!AK50,役職一覧!$B:$D,3,FALSE),"")</f>
        <v/>
      </c>
      <c r="AL20" s="17" t="str">
        <f>IFERROR(VLOOKUP(シフト組み!AL50,役職一覧!$B:$D,3,FALSE),"")</f>
        <v/>
      </c>
      <c r="AM20" s="17" t="str">
        <f>IFERROR(VLOOKUP(シフト組み!AM50,役職一覧!$B:$D,3,FALSE),"")</f>
        <v/>
      </c>
      <c r="AN20" s="17" t="str">
        <f>IFERROR(VLOOKUP(シフト組み!AN50,役職一覧!$B:$D,3,FALSE),"")</f>
        <v/>
      </c>
      <c r="AO20" s="17" t="str">
        <f>IFERROR(VLOOKUP(シフト組み!AO50,役職一覧!$B:$D,3,FALSE),"")</f>
        <v/>
      </c>
      <c r="AP20" s="17" t="str">
        <f>IFERROR(VLOOKUP(シフト組み!AP50,役職一覧!$B:$D,3,FALSE),"")</f>
        <v/>
      </c>
      <c r="AQ20" s="17" t="str">
        <f>IFERROR(VLOOKUP(シフト組み!AQ50,役職一覧!$B:$D,3,FALSE),"")</f>
        <v/>
      </c>
      <c r="AR20" s="17" t="str">
        <f>IFERROR(VLOOKUP(シフト組み!AR50,役職一覧!$B:$D,3,FALSE),"")</f>
        <v/>
      </c>
      <c r="AS20" s="17" t="str">
        <f>IFERROR(VLOOKUP(シフト組み!AS50,役職一覧!$B:$D,3,FALSE),"")</f>
        <v/>
      </c>
      <c r="AT20" s="17" t="str">
        <f>IFERROR(VLOOKUP(シフト組み!AT50,役職一覧!$B:$D,3,FALSE),"")</f>
        <v/>
      </c>
      <c r="AU20" s="17" t="str">
        <f>IFERROR(VLOOKUP(シフト組み!AU50,役職一覧!$B:$D,3,FALSE),"")</f>
        <v/>
      </c>
      <c r="AV20" s="17" t="str">
        <f>IFERROR(VLOOKUP(シフト組み!AV50,役職一覧!$B:$D,3,FALSE),"")</f>
        <v/>
      </c>
      <c r="AW20" s="17" t="str">
        <f>IFERROR(VLOOKUP(シフト組み!AW50,役職一覧!$B:$D,3,FALSE),"")</f>
        <v/>
      </c>
      <c r="AX20" s="17" t="str">
        <f>IFERROR(VLOOKUP(シフト組み!AX50,役職一覧!$B:$D,3,FALSE),"")</f>
        <v/>
      </c>
      <c r="AY20" s="17" t="str">
        <f>IFERROR(VLOOKUP(シフト組み!AY50,役職一覧!$B:$D,3,FALSE),"")</f>
        <v/>
      </c>
      <c r="AZ20" s="17" t="str">
        <f>IFERROR(VLOOKUP(シフト組み!AZ50,役職一覧!$B:$D,3,FALSE),"")</f>
        <v/>
      </c>
      <c r="BA20" s="17" t="str">
        <f>IFERROR(VLOOKUP(シフト組み!BA50,役職一覧!$B:$D,3,FALSE),"")</f>
        <v/>
      </c>
    </row>
    <row r="21" spans="1:53">
      <c r="A21" s="2" t="str">
        <f>シフト組み!A51&amp;""</f>
        <v/>
      </c>
      <c r="B21" s="2" t="str">
        <f>シフト組み!B51&amp;""</f>
        <v/>
      </c>
      <c r="C21" s="2" t="str">
        <f>シフト組み!C51&amp;""</f>
        <v/>
      </c>
      <c r="D21" s="17" t="str">
        <f>IFERROR(VLOOKUP(シフト組み!D51,役職一覧!$B:$D,2,FALSE),"")</f>
        <v/>
      </c>
      <c r="E21" s="17" t="str">
        <f>IFERROR(VLOOKUP(シフト組み!E51,役職一覧!$B:$D,2,FALSE),"")</f>
        <v/>
      </c>
      <c r="F21" s="17" t="str">
        <f>IFERROR(VLOOKUP(シフト組み!F51,役職一覧!$B:$D,2,FALSE),"")</f>
        <v/>
      </c>
      <c r="G21" s="17" t="str">
        <f>IFERROR(VLOOKUP(シフト組み!G51,役職一覧!$B:$D,2,FALSE),"")</f>
        <v/>
      </c>
      <c r="H21" s="17" t="str">
        <f>IFERROR(VLOOKUP(シフト組み!H51,役職一覧!$B:$D,2,FALSE),"")</f>
        <v/>
      </c>
      <c r="I21" s="17" t="str">
        <f>IFERROR(VLOOKUP(シフト組み!I51,役職一覧!$B:$D,2,FALSE),"")</f>
        <v/>
      </c>
      <c r="J21" s="17" t="str">
        <f>IFERROR(VLOOKUP(シフト組み!J51,役職一覧!$B:$D,2,FALSE),"")</f>
        <v/>
      </c>
      <c r="K21" s="17" t="str">
        <f>IFERROR(VLOOKUP(シフト組み!K51,役職一覧!$B:$D,2,FALSE),"")</f>
        <v/>
      </c>
      <c r="L21" s="17" t="str">
        <f>IFERROR(VLOOKUP(シフト組み!L51,役職一覧!$B:$D,2,FALSE),"")</f>
        <v/>
      </c>
      <c r="M21" s="17" t="str">
        <f>IFERROR(VLOOKUP(シフト組み!M51,役職一覧!$B:$D,2,FALSE),"")</f>
        <v/>
      </c>
      <c r="N21" s="17" t="str">
        <f>IFERROR(VLOOKUP(シフト組み!N51,役職一覧!$B:$D,2,FALSE),"")</f>
        <v/>
      </c>
      <c r="O21" s="17" t="str">
        <f>IFERROR(VLOOKUP(シフト組み!O51,役職一覧!$B:$D,2,FALSE),"")</f>
        <v/>
      </c>
      <c r="P21" s="17" t="str">
        <f>IFERROR(VLOOKUP(シフト組み!P51,役職一覧!$B:$D,2,FALSE),"")</f>
        <v/>
      </c>
      <c r="Q21" s="17" t="str">
        <f>IFERROR(VLOOKUP(シフト組み!Q51,役職一覧!$B:$D,2,FALSE),"")</f>
        <v/>
      </c>
      <c r="R21" s="17" t="str">
        <f>IFERROR(VLOOKUP(シフト組み!R51,役職一覧!$B:$D,2,FALSE),"")</f>
        <v/>
      </c>
      <c r="S21" s="17" t="str">
        <f>IFERROR(VLOOKUP(シフト組み!S51,役職一覧!$B:$D,2,FALSE),"")</f>
        <v/>
      </c>
      <c r="T21" s="17" t="str">
        <f>IFERROR(VLOOKUP(シフト組み!T51,役職一覧!$B:$D,2,FALSE),"")</f>
        <v/>
      </c>
      <c r="U21" s="17" t="str">
        <f>IFERROR(VLOOKUP(シフト組み!U51,役職一覧!$B:$D,2,FALSE),"")</f>
        <v/>
      </c>
      <c r="V21" s="17" t="str">
        <f>IFERROR(VLOOKUP(シフト組み!V51,役職一覧!$B:$D,2,FALSE),"")</f>
        <v/>
      </c>
      <c r="W21" s="17" t="str">
        <f>IFERROR(VLOOKUP(シフト組み!W51,役職一覧!$B:$D,2,FALSE),"")</f>
        <v/>
      </c>
      <c r="X21" s="17" t="str">
        <f>IFERROR(VLOOKUP(シフト組み!X51,役職一覧!$B:$D,2,FALSE),"")</f>
        <v/>
      </c>
      <c r="Y21" s="17" t="str">
        <f>IFERROR(VLOOKUP(シフト組み!Y51,役職一覧!$B:$D,2,FALSE),"")</f>
        <v/>
      </c>
      <c r="Z21" s="17" t="str">
        <f>IFERROR(VLOOKUP(シフト組み!Z51,役職一覧!$B:$D,2,FALSE),"")</f>
        <v/>
      </c>
      <c r="AA21" s="17" t="str">
        <f>IFERROR(VLOOKUP(シフト組み!AA51,役職一覧!$B:$D,2,FALSE),"")</f>
        <v/>
      </c>
      <c r="AB21" s="17" t="str">
        <f>IFERROR(VLOOKUP(シフト組み!AB51,役職一覧!$B:$D,2,FALSE),"")</f>
        <v/>
      </c>
      <c r="AC21" s="17" t="str">
        <f>IFERROR(VLOOKUP(シフト組み!AC51,役職一覧!$B:$D,2,FALSE),"")</f>
        <v/>
      </c>
      <c r="AD21" s="17" t="str">
        <f>IFERROR(VLOOKUP(シフト組み!AD51,役職一覧!$B:$D,2,FALSE),"")</f>
        <v/>
      </c>
      <c r="AE21" s="17" t="str">
        <f>IFERROR(VLOOKUP(シフト組み!AE51,役職一覧!$B:$D,2,FALSE),"")</f>
        <v/>
      </c>
      <c r="AF21" s="17" t="str">
        <f>IFERROR(VLOOKUP(シフト組み!AF51,役職一覧!$B:$D,2,FALSE),"")</f>
        <v/>
      </c>
      <c r="AG21" s="17" t="str">
        <f>IFERROR(VLOOKUP(シフト組み!AG51,役職一覧!$B:$D,2,FALSE),"")</f>
        <v/>
      </c>
      <c r="AH21" s="17" t="str">
        <f>IFERROR(VLOOKUP(シフト組み!AH51,役職一覧!$B:$D,3,FALSE),"")</f>
        <v/>
      </c>
      <c r="AI21" s="17" t="str">
        <f>IFERROR(VLOOKUP(シフト組み!AI51,役職一覧!$B:$D,3,FALSE),"")</f>
        <v/>
      </c>
      <c r="AJ21" s="17" t="str">
        <f>IFERROR(VLOOKUP(シフト組み!AJ51,役職一覧!$B:$D,3,FALSE),"")</f>
        <v/>
      </c>
      <c r="AK21" s="17" t="str">
        <f>IFERROR(VLOOKUP(シフト組み!AK51,役職一覧!$B:$D,3,FALSE),"")</f>
        <v/>
      </c>
      <c r="AL21" s="17" t="str">
        <f>IFERROR(VLOOKUP(シフト組み!AL51,役職一覧!$B:$D,3,FALSE),"")</f>
        <v/>
      </c>
      <c r="AM21" s="17" t="str">
        <f>IFERROR(VLOOKUP(シフト組み!AM51,役職一覧!$B:$D,3,FALSE),"")</f>
        <v/>
      </c>
      <c r="AN21" s="17" t="str">
        <f>IFERROR(VLOOKUP(シフト組み!AN51,役職一覧!$B:$D,3,FALSE),"")</f>
        <v/>
      </c>
      <c r="AO21" s="17" t="str">
        <f>IFERROR(VLOOKUP(シフト組み!AO51,役職一覧!$B:$D,3,FALSE),"")</f>
        <v/>
      </c>
      <c r="AP21" s="17" t="str">
        <f>IFERROR(VLOOKUP(シフト組み!AP51,役職一覧!$B:$D,3,FALSE),"")</f>
        <v/>
      </c>
      <c r="AQ21" s="17" t="str">
        <f>IFERROR(VLOOKUP(シフト組み!AQ51,役職一覧!$B:$D,3,FALSE),"")</f>
        <v/>
      </c>
      <c r="AR21" s="17" t="str">
        <f>IFERROR(VLOOKUP(シフト組み!AR51,役職一覧!$B:$D,3,FALSE),"")</f>
        <v/>
      </c>
      <c r="AS21" s="17" t="str">
        <f>IFERROR(VLOOKUP(シフト組み!AS51,役職一覧!$B:$D,3,FALSE),"")</f>
        <v/>
      </c>
      <c r="AT21" s="17" t="str">
        <f>IFERROR(VLOOKUP(シフト組み!AT51,役職一覧!$B:$D,3,FALSE),"")</f>
        <v/>
      </c>
      <c r="AU21" s="17" t="str">
        <f>IFERROR(VLOOKUP(シフト組み!AU51,役職一覧!$B:$D,3,FALSE),"")</f>
        <v/>
      </c>
      <c r="AV21" s="17" t="str">
        <f>IFERROR(VLOOKUP(シフト組み!AV51,役職一覧!$B:$D,3,FALSE),"")</f>
        <v/>
      </c>
      <c r="AW21" s="17" t="str">
        <f>IFERROR(VLOOKUP(シフト組み!AW51,役職一覧!$B:$D,3,FALSE),"")</f>
        <v/>
      </c>
      <c r="AX21" s="17" t="str">
        <f>IFERROR(VLOOKUP(シフト組み!AX51,役職一覧!$B:$D,3,FALSE),"")</f>
        <v/>
      </c>
      <c r="AY21" s="17" t="str">
        <f>IFERROR(VLOOKUP(シフト組み!AY51,役職一覧!$B:$D,3,FALSE),"")</f>
        <v/>
      </c>
      <c r="AZ21" s="17" t="str">
        <f>IFERROR(VLOOKUP(シフト組み!AZ51,役職一覧!$B:$D,3,FALSE),"")</f>
        <v/>
      </c>
      <c r="BA21" s="17" t="str">
        <f>IFERROR(VLOOKUP(シフト組み!BA51,役職一覧!$B:$D,3,FALSE),"")</f>
        <v/>
      </c>
    </row>
    <row r="22" spans="1:53">
      <c r="A22" s="2" t="str">
        <f>シフト組み!A52&amp;""</f>
        <v/>
      </c>
      <c r="B22" s="2" t="str">
        <f>シフト組み!B52&amp;""</f>
        <v/>
      </c>
      <c r="C22" s="2" t="str">
        <f>シフト組み!C52&amp;""</f>
        <v/>
      </c>
      <c r="D22" s="17" t="str">
        <f>IFERROR(VLOOKUP(シフト組み!D52,役職一覧!$B:$D,2,FALSE),"")</f>
        <v/>
      </c>
      <c r="E22" s="17" t="str">
        <f>IFERROR(VLOOKUP(シフト組み!E52,役職一覧!$B:$D,2,FALSE),"")</f>
        <v/>
      </c>
      <c r="F22" s="17" t="str">
        <f>IFERROR(VLOOKUP(シフト組み!F52,役職一覧!$B:$D,2,FALSE),"")</f>
        <v/>
      </c>
      <c r="G22" s="17" t="str">
        <f>IFERROR(VLOOKUP(シフト組み!G52,役職一覧!$B:$D,2,FALSE),"")</f>
        <v/>
      </c>
      <c r="H22" s="17" t="str">
        <f>IFERROR(VLOOKUP(シフト組み!H52,役職一覧!$B:$D,2,FALSE),"")</f>
        <v/>
      </c>
      <c r="I22" s="17" t="str">
        <f>IFERROR(VLOOKUP(シフト組み!I52,役職一覧!$B:$D,2,FALSE),"")</f>
        <v/>
      </c>
      <c r="J22" s="17" t="str">
        <f>IFERROR(VLOOKUP(シフト組み!J52,役職一覧!$B:$D,2,FALSE),"")</f>
        <v/>
      </c>
      <c r="K22" s="17" t="str">
        <f>IFERROR(VLOOKUP(シフト組み!K52,役職一覧!$B:$D,2,FALSE),"")</f>
        <v/>
      </c>
      <c r="L22" s="17" t="str">
        <f>IFERROR(VLOOKUP(シフト組み!L52,役職一覧!$B:$D,2,FALSE),"")</f>
        <v/>
      </c>
      <c r="M22" s="17" t="str">
        <f>IFERROR(VLOOKUP(シフト組み!M52,役職一覧!$B:$D,2,FALSE),"")</f>
        <v/>
      </c>
      <c r="N22" s="17" t="str">
        <f>IFERROR(VLOOKUP(シフト組み!N52,役職一覧!$B:$D,2,FALSE),"")</f>
        <v/>
      </c>
      <c r="O22" s="17" t="str">
        <f>IFERROR(VLOOKUP(シフト組み!O52,役職一覧!$B:$D,2,FALSE),"")</f>
        <v/>
      </c>
      <c r="P22" s="17" t="str">
        <f>IFERROR(VLOOKUP(シフト組み!P52,役職一覧!$B:$D,2,FALSE),"")</f>
        <v/>
      </c>
      <c r="Q22" s="17" t="str">
        <f>IFERROR(VLOOKUP(シフト組み!Q52,役職一覧!$B:$D,2,FALSE),"")</f>
        <v/>
      </c>
      <c r="R22" s="17" t="str">
        <f>IFERROR(VLOOKUP(シフト組み!R52,役職一覧!$B:$D,2,FALSE),"")</f>
        <v/>
      </c>
      <c r="S22" s="17" t="str">
        <f>IFERROR(VLOOKUP(シフト組み!S52,役職一覧!$B:$D,2,FALSE),"")</f>
        <v/>
      </c>
      <c r="T22" s="17" t="str">
        <f>IFERROR(VLOOKUP(シフト組み!T52,役職一覧!$B:$D,2,FALSE),"")</f>
        <v/>
      </c>
      <c r="U22" s="17" t="str">
        <f>IFERROR(VLOOKUP(シフト組み!U52,役職一覧!$B:$D,2,FALSE),"")</f>
        <v/>
      </c>
      <c r="V22" s="17" t="str">
        <f>IFERROR(VLOOKUP(シフト組み!V52,役職一覧!$B:$D,2,FALSE),"")</f>
        <v/>
      </c>
      <c r="W22" s="17" t="str">
        <f>IFERROR(VLOOKUP(シフト組み!W52,役職一覧!$B:$D,2,FALSE),"")</f>
        <v/>
      </c>
      <c r="X22" s="17" t="str">
        <f>IFERROR(VLOOKUP(シフト組み!X52,役職一覧!$B:$D,2,FALSE),"")</f>
        <v/>
      </c>
      <c r="Y22" s="17" t="str">
        <f>IFERROR(VLOOKUP(シフト組み!Y52,役職一覧!$B:$D,2,FALSE),"")</f>
        <v/>
      </c>
      <c r="Z22" s="17" t="str">
        <f>IFERROR(VLOOKUP(シフト組み!Z52,役職一覧!$B:$D,2,FALSE),"")</f>
        <v/>
      </c>
      <c r="AA22" s="17" t="str">
        <f>IFERROR(VLOOKUP(シフト組み!AA52,役職一覧!$B:$D,2,FALSE),"")</f>
        <v/>
      </c>
      <c r="AB22" s="17" t="str">
        <f>IFERROR(VLOOKUP(シフト組み!AB52,役職一覧!$B:$D,2,FALSE),"")</f>
        <v/>
      </c>
      <c r="AC22" s="17" t="str">
        <f>IFERROR(VLOOKUP(シフト組み!AC52,役職一覧!$B:$D,2,FALSE),"")</f>
        <v/>
      </c>
      <c r="AD22" s="17" t="str">
        <f>IFERROR(VLOOKUP(シフト組み!AD52,役職一覧!$B:$D,2,FALSE),"")</f>
        <v/>
      </c>
      <c r="AE22" s="17" t="str">
        <f>IFERROR(VLOOKUP(シフト組み!AE52,役職一覧!$B:$D,2,FALSE),"")</f>
        <v/>
      </c>
      <c r="AF22" s="17" t="str">
        <f>IFERROR(VLOOKUP(シフト組み!AF52,役職一覧!$B:$D,2,FALSE),"")</f>
        <v/>
      </c>
      <c r="AG22" s="17" t="str">
        <f>IFERROR(VLOOKUP(シフト組み!AG52,役職一覧!$B:$D,2,FALSE),"")</f>
        <v/>
      </c>
      <c r="AH22" s="17" t="str">
        <f>IFERROR(VLOOKUP(シフト組み!AH52,役職一覧!$B:$D,3,FALSE),"")</f>
        <v/>
      </c>
      <c r="AI22" s="17" t="str">
        <f>IFERROR(VLOOKUP(シフト組み!AI52,役職一覧!$B:$D,3,FALSE),"")</f>
        <v/>
      </c>
      <c r="AJ22" s="17" t="str">
        <f>IFERROR(VLOOKUP(シフト組み!AJ52,役職一覧!$B:$D,3,FALSE),"")</f>
        <v/>
      </c>
      <c r="AK22" s="17" t="str">
        <f>IFERROR(VLOOKUP(シフト組み!AK52,役職一覧!$B:$D,3,FALSE),"")</f>
        <v/>
      </c>
      <c r="AL22" s="17" t="str">
        <f>IFERROR(VLOOKUP(シフト組み!AL52,役職一覧!$B:$D,3,FALSE),"")</f>
        <v/>
      </c>
      <c r="AM22" s="17" t="str">
        <f>IFERROR(VLOOKUP(シフト組み!AM52,役職一覧!$B:$D,3,FALSE),"")</f>
        <v/>
      </c>
      <c r="AN22" s="17" t="str">
        <f>IFERROR(VLOOKUP(シフト組み!AN52,役職一覧!$B:$D,3,FALSE),"")</f>
        <v/>
      </c>
      <c r="AO22" s="17" t="str">
        <f>IFERROR(VLOOKUP(シフト組み!AO52,役職一覧!$B:$D,3,FALSE),"")</f>
        <v/>
      </c>
      <c r="AP22" s="17" t="str">
        <f>IFERROR(VLOOKUP(シフト組み!AP52,役職一覧!$B:$D,3,FALSE),"")</f>
        <v/>
      </c>
      <c r="AQ22" s="17" t="str">
        <f>IFERROR(VLOOKUP(シフト組み!AQ52,役職一覧!$B:$D,3,FALSE),"")</f>
        <v/>
      </c>
      <c r="AR22" s="17" t="str">
        <f>IFERROR(VLOOKUP(シフト組み!AR52,役職一覧!$B:$D,3,FALSE),"")</f>
        <v/>
      </c>
      <c r="AS22" s="17" t="str">
        <f>IFERROR(VLOOKUP(シフト組み!AS52,役職一覧!$B:$D,3,FALSE),"")</f>
        <v/>
      </c>
      <c r="AT22" s="17" t="str">
        <f>IFERROR(VLOOKUP(シフト組み!AT52,役職一覧!$B:$D,3,FALSE),"")</f>
        <v/>
      </c>
      <c r="AU22" s="17" t="str">
        <f>IFERROR(VLOOKUP(シフト組み!AU52,役職一覧!$B:$D,3,FALSE),"")</f>
        <v/>
      </c>
      <c r="AV22" s="17" t="str">
        <f>IFERROR(VLOOKUP(シフト組み!AV52,役職一覧!$B:$D,3,FALSE),"")</f>
        <v/>
      </c>
      <c r="AW22" s="17" t="str">
        <f>IFERROR(VLOOKUP(シフト組み!AW52,役職一覧!$B:$D,3,FALSE),"")</f>
        <v/>
      </c>
      <c r="AX22" s="17" t="str">
        <f>IFERROR(VLOOKUP(シフト組み!AX52,役職一覧!$B:$D,3,FALSE),"")</f>
        <v/>
      </c>
      <c r="AY22" s="17" t="str">
        <f>IFERROR(VLOOKUP(シフト組み!AY52,役職一覧!$B:$D,3,FALSE),"")</f>
        <v/>
      </c>
      <c r="AZ22" s="17" t="str">
        <f>IFERROR(VLOOKUP(シフト組み!AZ52,役職一覧!$B:$D,3,FALSE),"")</f>
        <v/>
      </c>
      <c r="BA22" s="17" t="str">
        <f>IFERROR(VLOOKUP(シフト組み!BA52,役職一覧!$B:$D,3,FALSE),"")</f>
        <v/>
      </c>
    </row>
    <row r="23" spans="1:53">
      <c r="A23" s="2" t="str">
        <f>シフト組み!A53&amp;""</f>
        <v/>
      </c>
      <c r="B23" s="2" t="str">
        <f>シフト組み!B53&amp;""</f>
        <v/>
      </c>
      <c r="C23" s="2" t="str">
        <f>シフト組み!C53&amp;""</f>
        <v/>
      </c>
      <c r="D23" s="17" t="str">
        <f>IFERROR(VLOOKUP(シフト組み!D53,役職一覧!$B:$D,2,FALSE),"")</f>
        <v/>
      </c>
      <c r="E23" s="17" t="str">
        <f>IFERROR(VLOOKUP(シフト組み!E53,役職一覧!$B:$D,2,FALSE),"")</f>
        <v/>
      </c>
      <c r="F23" s="17" t="str">
        <f>IFERROR(VLOOKUP(シフト組み!F53,役職一覧!$B:$D,2,FALSE),"")</f>
        <v/>
      </c>
      <c r="G23" s="17" t="str">
        <f>IFERROR(VLOOKUP(シフト組み!G53,役職一覧!$B:$D,2,FALSE),"")</f>
        <v/>
      </c>
      <c r="H23" s="17" t="str">
        <f>IFERROR(VLOOKUP(シフト組み!H53,役職一覧!$B:$D,2,FALSE),"")</f>
        <v/>
      </c>
      <c r="I23" s="17" t="str">
        <f>IFERROR(VLOOKUP(シフト組み!I53,役職一覧!$B:$D,2,FALSE),"")</f>
        <v/>
      </c>
      <c r="J23" s="17" t="str">
        <f>IFERROR(VLOOKUP(シフト組み!J53,役職一覧!$B:$D,2,FALSE),"")</f>
        <v/>
      </c>
      <c r="K23" s="17" t="str">
        <f>IFERROR(VLOOKUP(シフト組み!K53,役職一覧!$B:$D,2,FALSE),"")</f>
        <v/>
      </c>
      <c r="L23" s="17" t="str">
        <f>IFERROR(VLOOKUP(シフト組み!L53,役職一覧!$B:$D,2,FALSE),"")</f>
        <v/>
      </c>
      <c r="M23" s="17" t="str">
        <f>IFERROR(VLOOKUP(シフト組み!M53,役職一覧!$B:$D,2,FALSE),"")</f>
        <v/>
      </c>
      <c r="N23" s="17" t="str">
        <f>IFERROR(VLOOKUP(シフト組み!N53,役職一覧!$B:$D,2,FALSE),"")</f>
        <v/>
      </c>
      <c r="O23" s="17" t="str">
        <f>IFERROR(VLOOKUP(シフト組み!O53,役職一覧!$B:$D,2,FALSE),"")</f>
        <v/>
      </c>
      <c r="P23" s="17" t="str">
        <f>IFERROR(VLOOKUP(シフト組み!P53,役職一覧!$B:$D,2,FALSE),"")</f>
        <v/>
      </c>
      <c r="Q23" s="17" t="str">
        <f>IFERROR(VLOOKUP(シフト組み!Q53,役職一覧!$B:$D,2,FALSE),"")</f>
        <v/>
      </c>
      <c r="R23" s="17" t="str">
        <f>IFERROR(VLOOKUP(シフト組み!R53,役職一覧!$B:$D,2,FALSE),"")</f>
        <v/>
      </c>
      <c r="S23" s="17" t="str">
        <f>IFERROR(VLOOKUP(シフト組み!S53,役職一覧!$B:$D,2,FALSE),"")</f>
        <v/>
      </c>
      <c r="T23" s="17" t="str">
        <f>IFERROR(VLOOKUP(シフト組み!T53,役職一覧!$B:$D,2,FALSE),"")</f>
        <v/>
      </c>
      <c r="U23" s="17" t="str">
        <f>IFERROR(VLOOKUP(シフト組み!U53,役職一覧!$B:$D,2,FALSE),"")</f>
        <v/>
      </c>
      <c r="V23" s="17" t="str">
        <f>IFERROR(VLOOKUP(シフト組み!V53,役職一覧!$B:$D,2,FALSE),"")</f>
        <v/>
      </c>
      <c r="W23" s="17" t="str">
        <f>IFERROR(VLOOKUP(シフト組み!W53,役職一覧!$B:$D,2,FALSE),"")</f>
        <v/>
      </c>
      <c r="X23" s="17" t="str">
        <f>IFERROR(VLOOKUP(シフト組み!X53,役職一覧!$B:$D,2,FALSE),"")</f>
        <v/>
      </c>
      <c r="Y23" s="17" t="str">
        <f>IFERROR(VLOOKUP(シフト組み!Y53,役職一覧!$B:$D,2,FALSE),"")</f>
        <v/>
      </c>
      <c r="Z23" s="17" t="str">
        <f>IFERROR(VLOOKUP(シフト組み!Z53,役職一覧!$B:$D,2,FALSE),"")</f>
        <v/>
      </c>
      <c r="AA23" s="17" t="str">
        <f>IFERROR(VLOOKUP(シフト組み!AA53,役職一覧!$B:$D,2,FALSE),"")</f>
        <v/>
      </c>
      <c r="AB23" s="17" t="str">
        <f>IFERROR(VLOOKUP(シフト組み!AB53,役職一覧!$B:$D,2,FALSE),"")</f>
        <v/>
      </c>
      <c r="AC23" s="17" t="str">
        <f>IFERROR(VLOOKUP(シフト組み!AC53,役職一覧!$B:$D,2,FALSE),"")</f>
        <v/>
      </c>
      <c r="AD23" s="17" t="str">
        <f>IFERROR(VLOOKUP(シフト組み!AD53,役職一覧!$B:$D,2,FALSE),"")</f>
        <v/>
      </c>
      <c r="AE23" s="17" t="str">
        <f>IFERROR(VLOOKUP(シフト組み!AE53,役職一覧!$B:$D,2,FALSE),"")</f>
        <v/>
      </c>
      <c r="AF23" s="17" t="str">
        <f>IFERROR(VLOOKUP(シフト組み!AF53,役職一覧!$B:$D,2,FALSE),"")</f>
        <v/>
      </c>
      <c r="AG23" s="17" t="str">
        <f>IFERROR(VLOOKUP(シフト組み!AG53,役職一覧!$B:$D,2,FALSE),"")</f>
        <v/>
      </c>
      <c r="AH23" s="17" t="str">
        <f>IFERROR(VLOOKUP(シフト組み!AH53,役職一覧!$B:$D,3,FALSE),"")</f>
        <v/>
      </c>
      <c r="AI23" s="17" t="str">
        <f>IFERROR(VLOOKUP(シフト組み!AI53,役職一覧!$B:$D,3,FALSE),"")</f>
        <v/>
      </c>
      <c r="AJ23" s="17" t="str">
        <f>IFERROR(VLOOKUP(シフト組み!AJ53,役職一覧!$B:$D,3,FALSE),"")</f>
        <v/>
      </c>
      <c r="AK23" s="17" t="str">
        <f>IFERROR(VLOOKUP(シフト組み!AK53,役職一覧!$B:$D,3,FALSE),"")</f>
        <v/>
      </c>
      <c r="AL23" s="17" t="str">
        <f>IFERROR(VLOOKUP(シフト組み!AL53,役職一覧!$B:$D,3,FALSE),"")</f>
        <v/>
      </c>
      <c r="AM23" s="17" t="str">
        <f>IFERROR(VLOOKUP(シフト組み!AM53,役職一覧!$B:$D,3,FALSE),"")</f>
        <v/>
      </c>
      <c r="AN23" s="17" t="str">
        <f>IFERROR(VLOOKUP(シフト組み!AN53,役職一覧!$B:$D,3,FALSE),"")</f>
        <v/>
      </c>
      <c r="AO23" s="17" t="str">
        <f>IFERROR(VLOOKUP(シフト組み!AO53,役職一覧!$B:$D,3,FALSE),"")</f>
        <v/>
      </c>
      <c r="AP23" s="17" t="str">
        <f>IFERROR(VLOOKUP(シフト組み!AP53,役職一覧!$B:$D,3,FALSE),"")</f>
        <v/>
      </c>
      <c r="AQ23" s="17" t="str">
        <f>IFERROR(VLOOKUP(シフト組み!AQ53,役職一覧!$B:$D,3,FALSE),"")</f>
        <v/>
      </c>
      <c r="AR23" s="17" t="str">
        <f>IFERROR(VLOOKUP(シフト組み!AR53,役職一覧!$B:$D,3,FALSE),"")</f>
        <v/>
      </c>
      <c r="AS23" s="17" t="str">
        <f>IFERROR(VLOOKUP(シフト組み!AS53,役職一覧!$B:$D,3,FALSE),"")</f>
        <v/>
      </c>
      <c r="AT23" s="17" t="str">
        <f>IFERROR(VLOOKUP(シフト組み!AT53,役職一覧!$B:$D,3,FALSE),"")</f>
        <v/>
      </c>
      <c r="AU23" s="17" t="str">
        <f>IFERROR(VLOOKUP(シフト組み!AU53,役職一覧!$B:$D,3,FALSE),"")</f>
        <v/>
      </c>
      <c r="AV23" s="17" t="str">
        <f>IFERROR(VLOOKUP(シフト組み!AV53,役職一覧!$B:$D,3,FALSE),"")</f>
        <v/>
      </c>
      <c r="AW23" s="17" t="str">
        <f>IFERROR(VLOOKUP(シフト組み!AW53,役職一覧!$B:$D,3,FALSE),"")</f>
        <v/>
      </c>
      <c r="AX23" s="17" t="str">
        <f>IFERROR(VLOOKUP(シフト組み!AX53,役職一覧!$B:$D,3,FALSE),"")</f>
        <v/>
      </c>
      <c r="AY23" s="17" t="str">
        <f>IFERROR(VLOOKUP(シフト組み!AY53,役職一覧!$B:$D,3,FALSE),"")</f>
        <v/>
      </c>
      <c r="AZ23" s="17" t="str">
        <f>IFERROR(VLOOKUP(シフト組み!AZ53,役職一覧!$B:$D,3,FALSE),"")</f>
        <v/>
      </c>
      <c r="BA23" s="17" t="str">
        <f>IFERROR(VLOOKUP(シフト組み!BA53,役職一覧!$B:$D,3,FALSE),"")</f>
        <v/>
      </c>
    </row>
    <row r="24" spans="1:53">
      <c r="A24" s="2" t="str">
        <f>シフト組み!A54&amp;""</f>
        <v/>
      </c>
      <c r="B24" s="2" t="str">
        <f>シフト組み!B54&amp;""</f>
        <v/>
      </c>
      <c r="C24" s="2" t="str">
        <f>シフト組み!C54&amp;""</f>
        <v/>
      </c>
      <c r="D24" s="17" t="str">
        <f>IFERROR(VLOOKUP(シフト組み!D54,役職一覧!$B:$D,2,FALSE),"")</f>
        <v/>
      </c>
      <c r="E24" s="17" t="str">
        <f>IFERROR(VLOOKUP(シフト組み!E54,役職一覧!$B:$D,2,FALSE),"")</f>
        <v/>
      </c>
      <c r="F24" s="17" t="str">
        <f>IFERROR(VLOOKUP(シフト組み!F54,役職一覧!$B:$D,2,FALSE),"")</f>
        <v/>
      </c>
      <c r="G24" s="17" t="str">
        <f>IFERROR(VLOOKUP(シフト組み!G54,役職一覧!$B:$D,2,FALSE),"")</f>
        <v/>
      </c>
      <c r="H24" s="17" t="str">
        <f>IFERROR(VLOOKUP(シフト組み!H54,役職一覧!$B:$D,2,FALSE),"")</f>
        <v/>
      </c>
      <c r="I24" s="17" t="str">
        <f>IFERROR(VLOOKUP(シフト組み!I54,役職一覧!$B:$D,2,FALSE),"")</f>
        <v/>
      </c>
      <c r="J24" s="17" t="str">
        <f>IFERROR(VLOOKUP(シフト組み!J54,役職一覧!$B:$D,2,FALSE),"")</f>
        <v/>
      </c>
      <c r="K24" s="17" t="str">
        <f>IFERROR(VLOOKUP(シフト組み!K54,役職一覧!$B:$D,2,FALSE),"")</f>
        <v/>
      </c>
      <c r="L24" s="17" t="str">
        <f>IFERROR(VLOOKUP(シフト組み!L54,役職一覧!$B:$D,2,FALSE),"")</f>
        <v/>
      </c>
      <c r="M24" s="17" t="str">
        <f>IFERROR(VLOOKUP(シフト組み!M54,役職一覧!$B:$D,2,FALSE),"")</f>
        <v/>
      </c>
      <c r="N24" s="17" t="str">
        <f>IFERROR(VLOOKUP(シフト組み!N54,役職一覧!$B:$D,2,FALSE),"")</f>
        <v/>
      </c>
      <c r="O24" s="17" t="str">
        <f>IFERROR(VLOOKUP(シフト組み!O54,役職一覧!$B:$D,2,FALSE),"")</f>
        <v/>
      </c>
      <c r="P24" s="17" t="str">
        <f>IFERROR(VLOOKUP(シフト組み!P54,役職一覧!$B:$D,2,FALSE),"")</f>
        <v/>
      </c>
      <c r="Q24" s="17" t="str">
        <f>IFERROR(VLOOKUP(シフト組み!Q54,役職一覧!$B:$D,2,FALSE),"")</f>
        <v/>
      </c>
      <c r="R24" s="17" t="str">
        <f>IFERROR(VLOOKUP(シフト組み!R54,役職一覧!$B:$D,2,FALSE),"")</f>
        <v/>
      </c>
      <c r="S24" s="17" t="str">
        <f>IFERROR(VLOOKUP(シフト組み!S54,役職一覧!$B:$D,2,FALSE),"")</f>
        <v/>
      </c>
      <c r="T24" s="17" t="str">
        <f>IFERROR(VLOOKUP(シフト組み!T54,役職一覧!$B:$D,2,FALSE),"")</f>
        <v/>
      </c>
      <c r="U24" s="17" t="str">
        <f>IFERROR(VLOOKUP(シフト組み!U54,役職一覧!$B:$D,2,FALSE),"")</f>
        <v/>
      </c>
      <c r="V24" s="17" t="str">
        <f>IFERROR(VLOOKUP(シフト組み!V54,役職一覧!$B:$D,2,FALSE),"")</f>
        <v/>
      </c>
      <c r="W24" s="17" t="str">
        <f>IFERROR(VLOOKUP(シフト組み!W54,役職一覧!$B:$D,2,FALSE),"")</f>
        <v/>
      </c>
      <c r="X24" s="17" t="str">
        <f>IFERROR(VLOOKUP(シフト組み!X54,役職一覧!$B:$D,2,FALSE),"")</f>
        <v/>
      </c>
      <c r="Y24" s="17" t="str">
        <f>IFERROR(VLOOKUP(シフト組み!Y54,役職一覧!$B:$D,2,FALSE),"")</f>
        <v/>
      </c>
      <c r="Z24" s="17" t="str">
        <f>IFERROR(VLOOKUP(シフト組み!Z54,役職一覧!$B:$D,2,FALSE),"")</f>
        <v/>
      </c>
      <c r="AA24" s="17" t="str">
        <f>IFERROR(VLOOKUP(シフト組み!AA54,役職一覧!$B:$D,2,FALSE),"")</f>
        <v/>
      </c>
      <c r="AB24" s="17" t="str">
        <f>IFERROR(VLOOKUP(シフト組み!AB54,役職一覧!$B:$D,2,FALSE),"")</f>
        <v/>
      </c>
      <c r="AC24" s="17" t="str">
        <f>IFERROR(VLOOKUP(シフト組み!AC54,役職一覧!$B:$D,2,FALSE),"")</f>
        <v/>
      </c>
      <c r="AD24" s="17" t="str">
        <f>IFERROR(VLOOKUP(シフト組み!AD54,役職一覧!$B:$D,2,FALSE),"")</f>
        <v/>
      </c>
      <c r="AE24" s="17" t="str">
        <f>IFERROR(VLOOKUP(シフト組み!AE54,役職一覧!$B:$D,2,FALSE),"")</f>
        <v/>
      </c>
      <c r="AF24" s="17" t="str">
        <f>IFERROR(VLOOKUP(シフト組み!AF54,役職一覧!$B:$D,2,FALSE),"")</f>
        <v/>
      </c>
      <c r="AG24" s="17" t="str">
        <f>IFERROR(VLOOKUP(シフト組み!AG54,役職一覧!$B:$D,2,FALSE),"")</f>
        <v/>
      </c>
      <c r="AH24" s="17" t="str">
        <f>IFERROR(VLOOKUP(シフト組み!AH54,役職一覧!$B:$D,3,FALSE),"")</f>
        <v/>
      </c>
      <c r="AI24" s="17" t="str">
        <f>IFERROR(VLOOKUP(シフト組み!AI54,役職一覧!$B:$D,3,FALSE),"")</f>
        <v/>
      </c>
      <c r="AJ24" s="17" t="str">
        <f>IFERROR(VLOOKUP(シフト組み!AJ54,役職一覧!$B:$D,3,FALSE),"")</f>
        <v/>
      </c>
      <c r="AK24" s="17" t="str">
        <f>IFERROR(VLOOKUP(シフト組み!AK54,役職一覧!$B:$D,3,FALSE),"")</f>
        <v/>
      </c>
      <c r="AL24" s="17" t="str">
        <f>IFERROR(VLOOKUP(シフト組み!AL54,役職一覧!$B:$D,3,FALSE),"")</f>
        <v/>
      </c>
      <c r="AM24" s="17" t="str">
        <f>IFERROR(VLOOKUP(シフト組み!AM54,役職一覧!$B:$D,3,FALSE),"")</f>
        <v/>
      </c>
      <c r="AN24" s="17" t="str">
        <f>IFERROR(VLOOKUP(シフト組み!AN54,役職一覧!$B:$D,3,FALSE),"")</f>
        <v/>
      </c>
      <c r="AO24" s="17" t="str">
        <f>IFERROR(VLOOKUP(シフト組み!AO54,役職一覧!$B:$D,3,FALSE),"")</f>
        <v/>
      </c>
      <c r="AP24" s="17" t="str">
        <f>IFERROR(VLOOKUP(シフト組み!AP54,役職一覧!$B:$D,3,FALSE),"")</f>
        <v/>
      </c>
      <c r="AQ24" s="17" t="str">
        <f>IFERROR(VLOOKUP(シフト組み!AQ54,役職一覧!$B:$D,3,FALSE),"")</f>
        <v/>
      </c>
      <c r="AR24" s="17" t="str">
        <f>IFERROR(VLOOKUP(シフト組み!AR54,役職一覧!$B:$D,3,FALSE),"")</f>
        <v/>
      </c>
      <c r="AS24" s="17" t="str">
        <f>IFERROR(VLOOKUP(シフト組み!AS54,役職一覧!$B:$D,3,FALSE),"")</f>
        <v/>
      </c>
      <c r="AT24" s="17" t="str">
        <f>IFERROR(VLOOKUP(シフト組み!AT54,役職一覧!$B:$D,3,FALSE),"")</f>
        <v/>
      </c>
      <c r="AU24" s="17" t="str">
        <f>IFERROR(VLOOKUP(シフト組み!AU54,役職一覧!$B:$D,3,FALSE),"")</f>
        <v/>
      </c>
      <c r="AV24" s="17" t="str">
        <f>IFERROR(VLOOKUP(シフト組み!AV54,役職一覧!$B:$D,3,FALSE),"")</f>
        <v/>
      </c>
      <c r="AW24" s="17" t="str">
        <f>IFERROR(VLOOKUP(シフト組み!AW54,役職一覧!$B:$D,3,FALSE),"")</f>
        <v/>
      </c>
      <c r="AX24" s="17" t="str">
        <f>IFERROR(VLOOKUP(シフト組み!AX54,役職一覧!$B:$D,3,FALSE),"")</f>
        <v/>
      </c>
      <c r="AY24" s="17" t="str">
        <f>IFERROR(VLOOKUP(シフト組み!AY54,役職一覧!$B:$D,3,FALSE),"")</f>
        <v/>
      </c>
      <c r="AZ24" s="17" t="str">
        <f>IFERROR(VLOOKUP(シフト組み!AZ54,役職一覧!$B:$D,3,FALSE),"")</f>
        <v/>
      </c>
      <c r="BA24" s="17" t="str">
        <f>IFERROR(VLOOKUP(シフト組み!BA54,役職一覧!$B:$D,3,FALSE),"")</f>
        <v/>
      </c>
    </row>
    <row r="25" spans="1:53">
      <c r="A25" s="2" t="str">
        <f>シフト組み!A55&amp;""</f>
        <v/>
      </c>
      <c r="B25" s="2" t="str">
        <f>シフト組み!B55&amp;""</f>
        <v/>
      </c>
      <c r="C25" s="2" t="str">
        <f>シフト組み!C55&amp;""</f>
        <v/>
      </c>
      <c r="D25" s="17" t="str">
        <f>IFERROR(VLOOKUP(シフト組み!D55,役職一覧!$B:$D,2,FALSE),"")</f>
        <v/>
      </c>
      <c r="E25" s="17" t="str">
        <f>IFERROR(VLOOKUP(シフト組み!E55,役職一覧!$B:$D,2,FALSE),"")</f>
        <v/>
      </c>
      <c r="F25" s="17" t="str">
        <f>IFERROR(VLOOKUP(シフト組み!F55,役職一覧!$B:$D,2,FALSE),"")</f>
        <v/>
      </c>
      <c r="G25" s="17" t="str">
        <f>IFERROR(VLOOKUP(シフト組み!G55,役職一覧!$B:$D,2,FALSE),"")</f>
        <v/>
      </c>
      <c r="H25" s="17" t="str">
        <f>IFERROR(VLOOKUP(シフト組み!H55,役職一覧!$B:$D,2,FALSE),"")</f>
        <v/>
      </c>
      <c r="I25" s="17" t="str">
        <f>IFERROR(VLOOKUP(シフト組み!I55,役職一覧!$B:$D,2,FALSE),"")</f>
        <v/>
      </c>
      <c r="J25" s="17" t="str">
        <f>IFERROR(VLOOKUP(シフト組み!J55,役職一覧!$B:$D,2,FALSE),"")</f>
        <v/>
      </c>
      <c r="K25" s="17" t="str">
        <f>IFERROR(VLOOKUP(シフト組み!K55,役職一覧!$B:$D,2,FALSE),"")</f>
        <v/>
      </c>
      <c r="L25" s="17" t="str">
        <f>IFERROR(VLOOKUP(シフト組み!L55,役職一覧!$B:$D,2,FALSE),"")</f>
        <v/>
      </c>
      <c r="M25" s="17" t="str">
        <f>IFERROR(VLOOKUP(シフト組み!M55,役職一覧!$B:$D,2,FALSE),"")</f>
        <v/>
      </c>
      <c r="N25" s="17" t="str">
        <f>IFERROR(VLOOKUP(シフト組み!N55,役職一覧!$B:$D,2,FALSE),"")</f>
        <v/>
      </c>
      <c r="O25" s="17" t="str">
        <f>IFERROR(VLOOKUP(シフト組み!O55,役職一覧!$B:$D,2,FALSE),"")</f>
        <v/>
      </c>
      <c r="P25" s="17" t="str">
        <f>IFERROR(VLOOKUP(シフト組み!P55,役職一覧!$B:$D,2,FALSE),"")</f>
        <v/>
      </c>
      <c r="Q25" s="17" t="str">
        <f>IFERROR(VLOOKUP(シフト組み!Q55,役職一覧!$B:$D,2,FALSE),"")</f>
        <v/>
      </c>
      <c r="R25" s="17" t="str">
        <f>IFERROR(VLOOKUP(シフト組み!R55,役職一覧!$B:$D,2,FALSE),"")</f>
        <v/>
      </c>
      <c r="S25" s="17" t="str">
        <f>IFERROR(VLOOKUP(シフト組み!S55,役職一覧!$B:$D,2,FALSE),"")</f>
        <v/>
      </c>
      <c r="T25" s="17" t="str">
        <f>IFERROR(VLOOKUP(シフト組み!T55,役職一覧!$B:$D,2,FALSE),"")</f>
        <v/>
      </c>
      <c r="U25" s="17" t="str">
        <f>IFERROR(VLOOKUP(シフト組み!U55,役職一覧!$B:$D,2,FALSE),"")</f>
        <v/>
      </c>
      <c r="V25" s="17" t="str">
        <f>IFERROR(VLOOKUP(シフト組み!V55,役職一覧!$B:$D,2,FALSE),"")</f>
        <v/>
      </c>
      <c r="W25" s="17" t="str">
        <f>IFERROR(VLOOKUP(シフト組み!W55,役職一覧!$B:$D,2,FALSE),"")</f>
        <v/>
      </c>
      <c r="X25" s="17" t="str">
        <f>IFERROR(VLOOKUP(シフト組み!X55,役職一覧!$B:$D,2,FALSE),"")</f>
        <v/>
      </c>
      <c r="Y25" s="17" t="str">
        <f>IFERROR(VLOOKUP(シフト組み!Y55,役職一覧!$B:$D,2,FALSE),"")</f>
        <v/>
      </c>
      <c r="Z25" s="17" t="str">
        <f>IFERROR(VLOOKUP(シフト組み!Z55,役職一覧!$B:$D,2,FALSE),"")</f>
        <v/>
      </c>
      <c r="AA25" s="17" t="str">
        <f>IFERROR(VLOOKUP(シフト組み!AA55,役職一覧!$B:$D,2,FALSE),"")</f>
        <v/>
      </c>
      <c r="AB25" s="17" t="str">
        <f>IFERROR(VLOOKUP(シフト組み!AB55,役職一覧!$B:$D,2,FALSE),"")</f>
        <v/>
      </c>
      <c r="AC25" s="17" t="str">
        <f>IFERROR(VLOOKUP(シフト組み!AC55,役職一覧!$B:$D,2,FALSE),"")</f>
        <v/>
      </c>
      <c r="AD25" s="17" t="str">
        <f>IFERROR(VLOOKUP(シフト組み!AD55,役職一覧!$B:$D,2,FALSE),"")</f>
        <v/>
      </c>
      <c r="AE25" s="17" t="str">
        <f>IFERROR(VLOOKUP(シフト組み!AE55,役職一覧!$B:$D,2,FALSE),"")</f>
        <v/>
      </c>
      <c r="AF25" s="17" t="str">
        <f>IFERROR(VLOOKUP(シフト組み!AF55,役職一覧!$B:$D,2,FALSE),"")</f>
        <v/>
      </c>
      <c r="AG25" s="17" t="str">
        <f>IFERROR(VLOOKUP(シフト組み!AG55,役職一覧!$B:$D,2,FALSE),"")</f>
        <v/>
      </c>
      <c r="AH25" s="17" t="str">
        <f>IFERROR(VLOOKUP(シフト組み!AH55,役職一覧!$B:$D,3,FALSE),"")</f>
        <v/>
      </c>
      <c r="AI25" s="17" t="str">
        <f>IFERROR(VLOOKUP(シフト組み!AI55,役職一覧!$B:$D,3,FALSE),"")</f>
        <v/>
      </c>
      <c r="AJ25" s="17" t="str">
        <f>IFERROR(VLOOKUP(シフト組み!AJ55,役職一覧!$B:$D,3,FALSE),"")</f>
        <v/>
      </c>
      <c r="AK25" s="17" t="str">
        <f>IFERROR(VLOOKUP(シフト組み!AK55,役職一覧!$B:$D,3,FALSE),"")</f>
        <v/>
      </c>
      <c r="AL25" s="17" t="str">
        <f>IFERROR(VLOOKUP(シフト組み!AL55,役職一覧!$B:$D,3,FALSE),"")</f>
        <v/>
      </c>
      <c r="AM25" s="17" t="str">
        <f>IFERROR(VLOOKUP(シフト組み!AM55,役職一覧!$B:$D,3,FALSE),"")</f>
        <v/>
      </c>
      <c r="AN25" s="17" t="str">
        <f>IFERROR(VLOOKUP(シフト組み!AN55,役職一覧!$B:$D,3,FALSE),"")</f>
        <v/>
      </c>
      <c r="AO25" s="17" t="str">
        <f>IFERROR(VLOOKUP(シフト組み!AO55,役職一覧!$B:$D,3,FALSE),"")</f>
        <v/>
      </c>
      <c r="AP25" s="17" t="str">
        <f>IFERROR(VLOOKUP(シフト組み!AP55,役職一覧!$B:$D,3,FALSE),"")</f>
        <v/>
      </c>
      <c r="AQ25" s="17" t="str">
        <f>IFERROR(VLOOKUP(シフト組み!AQ55,役職一覧!$B:$D,3,FALSE),"")</f>
        <v/>
      </c>
      <c r="AR25" s="17" t="str">
        <f>IFERROR(VLOOKUP(シフト組み!AR55,役職一覧!$B:$D,3,FALSE),"")</f>
        <v/>
      </c>
      <c r="AS25" s="17" t="str">
        <f>IFERROR(VLOOKUP(シフト組み!AS55,役職一覧!$B:$D,3,FALSE),"")</f>
        <v/>
      </c>
      <c r="AT25" s="17" t="str">
        <f>IFERROR(VLOOKUP(シフト組み!AT55,役職一覧!$B:$D,3,FALSE),"")</f>
        <v/>
      </c>
      <c r="AU25" s="17" t="str">
        <f>IFERROR(VLOOKUP(シフト組み!AU55,役職一覧!$B:$D,3,FALSE),"")</f>
        <v/>
      </c>
      <c r="AV25" s="17" t="str">
        <f>IFERROR(VLOOKUP(シフト組み!AV55,役職一覧!$B:$D,3,FALSE),"")</f>
        <v/>
      </c>
      <c r="AW25" s="17" t="str">
        <f>IFERROR(VLOOKUP(シフト組み!AW55,役職一覧!$B:$D,3,FALSE),"")</f>
        <v/>
      </c>
      <c r="AX25" s="17" t="str">
        <f>IFERROR(VLOOKUP(シフト組み!AX55,役職一覧!$B:$D,3,FALSE),"")</f>
        <v/>
      </c>
      <c r="AY25" s="17" t="str">
        <f>IFERROR(VLOOKUP(シフト組み!AY55,役職一覧!$B:$D,3,FALSE),"")</f>
        <v/>
      </c>
      <c r="AZ25" s="17" t="str">
        <f>IFERROR(VLOOKUP(シフト組み!AZ55,役職一覧!$B:$D,3,FALSE),"")</f>
        <v/>
      </c>
      <c r="BA25" s="17" t="str">
        <f>IFERROR(VLOOKUP(シフト組み!BA55,役職一覧!$B:$D,3,FALSE),"")</f>
        <v/>
      </c>
    </row>
    <row r="26" spans="1:53">
      <c r="A26" s="2" t="str">
        <f>シフト組み!A56&amp;""</f>
        <v/>
      </c>
      <c r="B26" s="2" t="str">
        <f>シフト組み!B56&amp;""</f>
        <v/>
      </c>
      <c r="C26" s="2" t="str">
        <f>シフト組み!C56&amp;""</f>
        <v/>
      </c>
      <c r="D26" s="17" t="str">
        <f>IFERROR(VLOOKUP(シフト組み!D56,役職一覧!$B:$D,2,FALSE),"")</f>
        <v/>
      </c>
      <c r="E26" s="17" t="str">
        <f>IFERROR(VLOOKUP(シフト組み!E56,役職一覧!$B:$D,2,FALSE),"")</f>
        <v/>
      </c>
      <c r="F26" s="17" t="str">
        <f>IFERROR(VLOOKUP(シフト組み!F56,役職一覧!$B:$D,2,FALSE),"")</f>
        <v/>
      </c>
      <c r="G26" s="17" t="str">
        <f>IFERROR(VLOOKUP(シフト組み!G56,役職一覧!$B:$D,2,FALSE),"")</f>
        <v/>
      </c>
      <c r="H26" s="17" t="str">
        <f>IFERROR(VLOOKUP(シフト組み!H56,役職一覧!$B:$D,2,FALSE),"")</f>
        <v/>
      </c>
      <c r="I26" s="17" t="str">
        <f>IFERROR(VLOOKUP(シフト組み!I56,役職一覧!$B:$D,2,FALSE),"")</f>
        <v/>
      </c>
      <c r="J26" s="17" t="str">
        <f>IFERROR(VLOOKUP(シフト組み!J56,役職一覧!$B:$D,2,FALSE),"")</f>
        <v/>
      </c>
      <c r="K26" s="17" t="str">
        <f>IFERROR(VLOOKUP(シフト組み!K56,役職一覧!$B:$D,2,FALSE),"")</f>
        <v/>
      </c>
      <c r="L26" s="17" t="str">
        <f>IFERROR(VLOOKUP(シフト組み!L56,役職一覧!$B:$D,2,FALSE),"")</f>
        <v/>
      </c>
      <c r="M26" s="17" t="str">
        <f>IFERROR(VLOOKUP(シフト組み!M56,役職一覧!$B:$D,2,FALSE),"")</f>
        <v/>
      </c>
      <c r="N26" s="17" t="str">
        <f>IFERROR(VLOOKUP(シフト組み!N56,役職一覧!$B:$D,2,FALSE),"")</f>
        <v/>
      </c>
      <c r="O26" s="17" t="str">
        <f>IFERROR(VLOOKUP(シフト組み!O56,役職一覧!$B:$D,2,FALSE),"")</f>
        <v/>
      </c>
      <c r="P26" s="17" t="str">
        <f>IFERROR(VLOOKUP(シフト組み!P56,役職一覧!$B:$D,2,FALSE),"")</f>
        <v/>
      </c>
      <c r="Q26" s="17" t="str">
        <f>IFERROR(VLOOKUP(シフト組み!Q56,役職一覧!$B:$D,2,FALSE),"")</f>
        <v/>
      </c>
      <c r="R26" s="17" t="str">
        <f>IFERROR(VLOOKUP(シフト組み!R56,役職一覧!$B:$D,2,FALSE),"")</f>
        <v/>
      </c>
      <c r="S26" s="17" t="str">
        <f>IFERROR(VLOOKUP(シフト組み!S56,役職一覧!$B:$D,2,FALSE),"")</f>
        <v/>
      </c>
      <c r="T26" s="17" t="str">
        <f>IFERROR(VLOOKUP(シフト組み!T56,役職一覧!$B:$D,2,FALSE),"")</f>
        <v/>
      </c>
      <c r="U26" s="17" t="str">
        <f>IFERROR(VLOOKUP(シフト組み!U56,役職一覧!$B:$D,2,FALSE),"")</f>
        <v/>
      </c>
      <c r="V26" s="17" t="str">
        <f>IFERROR(VLOOKUP(シフト組み!V56,役職一覧!$B:$D,2,FALSE),"")</f>
        <v/>
      </c>
      <c r="W26" s="17" t="str">
        <f>IFERROR(VLOOKUP(シフト組み!W56,役職一覧!$B:$D,2,FALSE),"")</f>
        <v/>
      </c>
      <c r="X26" s="17" t="str">
        <f>IFERROR(VLOOKUP(シフト組み!X56,役職一覧!$B:$D,2,FALSE),"")</f>
        <v/>
      </c>
      <c r="Y26" s="17" t="str">
        <f>IFERROR(VLOOKUP(シフト組み!Y56,役職一覧!$B:$D,2,FALSE),"")</f>
        <v/>
      </c>
      <c r="Z26" s="17" t="str">
        <f>IFERROR(VLOOKUP(シフト組み!Z56,役職一覧!$B:$D,2,FALSE),"")</f>
        <v/>
      </c>
      <c r="AA26" s="17" t="str">
        <f>IFERROR(VLOOKUP(シフト組み!AA56,役職一覧!$B:$D,2,FALSE),"")</f>
        <v/>
      </c>
      <c r="AB26" s="17" t="str">
        <f>IFERROR(VLOOKUP(シフト組み!AB56,役職一覧!$B:$D,2,FALSE),"")</f>
        <v/>
      </c>
      <c r="AC26" s="17" t="str">
        <f>IFERROR(VLOOKUP(シフト組み!AC56,役職一覧!$B:$D,2,FALSE),"")</f>
        <v/>
      </c>
      <c r="AD26" s="17" t="str">
        <f>IFERROR(VLOOKUP(シフト組み!AD56,役職一覧!$B:$D,2,FALSE),"")</f>
        <v/>
      </c>
      <c r="AE26" s="17" t="str">
        <f>IFERROR(VLOOKUP(シフト組み!AE56,役職一覧!$B:$D,2,FALSE),"")</f>
        <v/>
      </c>
      <c r="AF26" s="17" t="str">
        <f>IFERROR(VLOOKUP(シフト組み!AF56,役職一覧!$B:$D,2,FALSE),"")</f>
        <v/>
      </c>
      <c r="AG26" s="17" t="str">
        <f>IFERROR(VLOOKUP(シフト組み!AG56,役職一覧!$B:$D,2,FALSE),"")</f>
        <v/>
      </c>
      <c r="AH26" s="17" t="str">
        <f>IFERROR(VLOOKUP(シフト組み!AH56,役職一覧!$B:$D,3,FALSE),"")</f>
        <v/>
      </c>
      <c r="AI26" s="17" t="str">
        <f>IFERROR(VLOOKUP(シフト組み!AI56,役職一覧!$B:$D,3,FALSE),"")</f>
        <v/>
      </c>
      <c r="AJ26" s="17" t="str">
        <f>IFERROR(VLOOKUP(シフト組み!AJ56,役職一覧!$B:$D,3,FALSE),"")</f>
        <v/>
      </c>
      <c r="AK26" s="17" t="str">
        <f>IFERROR(VLOOKUP(シフト組み!AK56,役職一覧!$B:$D,3,FALSE),"")</f>
        <v/>
      </c>
      <c r="AL26" s="17" t="str">
        <f>IFERROR(VLOOKUP(シフト組み!AL56,役職一覧!$B:$D,3,FALSE),"")</f>
        <v/>
      </c>
      <c r="AM26" s="17" t="str">
        <f>IFERROR(VLOOKUP(シフト組み!AM56,役職一覧!$B:$D,3,FALSE),"")</f>
        <v/>
      </c>
      <c r="AN26" s="17" t="str">
        <f>IFERROR(VLOOKUP(シフト組み!AN56,役職一覧!$B:$D,3,FALSE),"")</f>
        <v/>
      </c>
      <c r="AO26" s="17" t="str">
        <f>IFERROR(VLOOKUP(シフト組み!AO56,役職一覧!$B:$D,3,FALSE),"")</f>
        <v/>
      </c>
      <c r="AP26" s="17" t="str">
        <f>IFERROR(VLOOKUP(シフト組み!AP56,役職一覧!$B:$D,3,FALSE),"")</f>
        <v/>
      </c>
      <c r="AQ26" s="17" t="str">
        <f>IFERROR(VLOOKUP(シフト組み!AQ56,役職一覧!$B:$D,3,FALSE),"")</f>
        <v/>
      </c>
      <c r="AR26" s="17" t="str">
        <f>IFERROR(VLOOKUP(シフト組み!AR56,役職一覧!$B:$D,3,FALSE),"")</f>
        <v/>
      </c>
      <c r="AS26" s="17" t="str">
        <f>IFERROR(VLOOKUP(シフト組み!AS56,役職一覧!$B:$D,3,FALSE),"")</f>
        <v/>
      </c>
      <c r="AT26" s="17" t="str">
        <f>IFERROR(VLOOKUP(シフト組み!AT56,役職一覧!$B:$D,3,FALSE),"")</f>
        <v/>
      </c>
      <c r="AU26" s="17" t="str">
        <f>IFERROR(VLOOKUP(シフト組み!AU56,役職一覧!$B:$D,3,FALSE),"")</f>
        <v/>
      </c>
      <c r="AV26" s="17" t="str">
        <f>IFERROR(VLOOKUP(シフト組み!AV56,役職一覧!$B:$D,3,FALSE),"")</f>
        <v/>
      </c>
      <c r="AW26" s="17" t="str">
        <f>IFERROR(VLOOKUP(シフト組み!AW56,役職一覧!$B:$D,3,FALSE),"")</f>
        <v/>
      </c>
      <c r="AX26" s="17" t="str">
        <f>IFERROR(VLOOKUP(シフト組み!AX56,役職一覧!$B:$D,3,FALSE),"")</f>
        <v/>
      </c>
      <c r="AY26" s="17" t="str">
        <f>IFERROR(VLOOKUP(シフト組み!AY56,役職一覧!$B:$D,3,FALSE),"")</f>
        <v/>
      </c>
      <c r="AZ26" s="17" t="str">
        <f>IFERROR(VLOOKUP(シフト組み!AZ56,役職一覧!$B:$D,3,FALSE),"")</f>
        <v/>
      </c>
      <c r="BA26" s="17" t="str">
        <f>IFERROR(VLOOKUP(シフト組み!BA56,役職一覧!$B:$D,3,FALSE),"")</f>
        <v/>
      </c>
    </row>
    <row r="27" spans="1:53">
      <c r="A27" s="2" t="str">
        <f>シフト組み!A57&amp;""</f>
        <v/>
      </c>
      <c r="B27" s="2" t="str">
        <f>シフト組み!B57&amp;""</f>
        <v/>
      </c>
      <c r="C27" s="2" t="str">
        <f>シフト組み!C57&amp;""</f>
        <v/>
      </c>
      <c r="D27" s="17" t="str">
        <f>IFERROR(VLOOKUP(シフト組み!D57,役職一覧!$B:$D,2,FALSE),"")</f>
        <v/>
      </c>
      <c r="E27" s="17" t="str">
        <f>IFERROR(VLOOKUP(シフト組み!E57,役職一覧!$B:$D,2,FALSE),"")</f>
        <v/>
      </c>
      <c r="F27" s="17" t="str">
        <f>IFERROR(VLOOKUP(シフト組み!F57,役職一覧!$B:$D,2,FALSE),"")</f>
        <v/>
      </c>
      <c r="G27" s="17" t="str">
        <f>IFERROR(VLOOKUP(シフト組み!G57,役職一覧!$B:$D,2,FALSE),"")</f>
        <v/>
      </c>
      <c r="H27" s="17" t="str">
        <f>IFERROR(VLOOKUP(シフト組み!H57,役職一覧!$B:$D,2,FALSE),"")</f>
        <v/>
      </c>
      <c r="I27" s="17" t="str">
        <f>IFERROR(VLOOKUP(シフト組み!I57,役職一覧!$B:$D,2,FALSE),"")</f>
        <v/>
      </c>
      <c r="J27" s="17" t="str">
        <f>IFERROR(VLOOKUP(シフト組み!J57,役職一覧!$B:$D,2,FALSE),"")</f>
        <v/>
      </c>
      <c r="K27" s="17" t="str">
        <f>IFERROR(VLOOKUP(シフト組み!K57,役職一覧!$B:$D,2,FALSE),"")</f>
        <v/>
      </c>
      <c r="L27" s="17" t="str">
        <f>IFERROR(VLOOKUP(シフト組み!L57,役職一覧!$B:$D,2,FALSE),"")</f>
        <v/>
      </c>
      <c r="M27" s="17" t="str">
        <f>IFERROR(VLOOKUP(シフト組み!M57,役職一覧!$B:$D,2,FALSE),"")</f>
        <v/>
      </c>
      <c r="N27" s="17" t="str">
        <f>IFERROR(VLOOKUP(シフト組み!N57,役職一覧!$B:$D,2,FALSE),"")</f>
        <v/>
      </c>
      <c r="O27" s="17" t="str">
        <f>IFERROR(VLOOKUP(シフト組み!O57,役職一覧!$B:$D,2,FALSE),"")</f>
        <v/>
      </c>
      <c r="P27" s="17" t="str">
        <f>IFERROR(VLOOKUP(シフト組み!P57,役職一覧!$B:$D,2,FALSE),"")</f>
        <v/>
      </c>
      <c r="Q27" s="17" t="str">
        <f>IFERROR(VLOOKUP(シフト組み!Q57,役職一覧!$B:$D,2,FALSE),"")</f>
        <v/>
      </c>
      <c r="R27" s="17" t="str">
        <f>IFERROR(VLOOKUP(シフト組み!R57,役職一覧!$B:$D,2,FALSE),"")</f>
        <v/>
      </c>
      <c r="S27" s="17" t="str">
        <f>IFERROR(VLOOKUP(シフト組み!S57,役職一覧!$B:$D,2,FALSE),"")</f>
        <v/>
      </c>
      <c r="T27" s="17" t="str">
        <f>IFERROR(VLOOKUP(シフト組み!T57,役職一覧!$B:$D,2,FALSE),"")</f>
        <v/>
      </c>
      <c r="U27" s="17" t="str">
        <f>IFERROR(VLOOKUP(シフト組み!U57,役職一覧!$B:$D,2,FALSE),"")</f>
        <v/>
      </c>
      <c r="V27" s="17" t="str">
        <f>IFERROR(VLOOKUP(シフト組み!V57,役職一覧!$B:$D,2,FALSE),"")</f>
        <v/>
      </c>
      <c r="W27" s="17" t="str">
        <f>IFERROR(VLOOKUP(シフト組み!W57,役職一覧!$B:$D,2,FALSE),"")</f>
        <v/>
      </c>
      <c r="X27" s="17" t="str">
        <f>IFERROR(VLOOKUP(シフト組み!X57,役職一覧!$B:$D,2,FALSE),"")</f>
        <v/>
      </c>
      <c r="Y27" s="17" t="str">
        <f>IFERROR(VLOOKUP(シフト組み!Y57,役職一覧!$B:$D,2,FALSE),"")</f>
        <v/>
      </c>
      <c r="Z27" s="17" t="str">
        <f>IFERROR(VLOOKUP(シフト組み!Z57,役職一覧!$B:$D,2,FALSE),"")</f>
        <v/>
      </c>
      <c r="AA27" s="17" t="str">
        <f>IFERROR(VLOOKUP(シフト組み!AA57,役職一覧!$B:$D,2,FALSE),"")</f>
        <v/>
      </c>
      <c r="AB27" s="17" t="str">
        <f>IFERROR(VLOOKUP(シフト組み!AB57,役職一覧!$B:$D,2,FALSE),"")</f>
        <v/>
      </c>
      <c r="AC27" s="17" t="str">
        <f>IFERROR(VLOOKUP(シフト組み!AC57,役職一覧!$B:$D,2,FALSE),"")</f>
        <v/>
      </c>
      <c r="AD27" s="17" t="str">
        <f>IFERROR(VLOOKUP(シフト組み!AD57,役職一覧!$B:$D,2,FALSE),"")</f>
        <v/>
      </c>
      <c r="AE27" s="17" t="str">
        <f>IFERROR(VLOOKUP(シフト組み!AE57,役職一覧!$B:$D,2,FALSE),"")</f>
        <v/>
      </c>
      <c r="AF27" s="17" t="str">
        <f>IFERROR(VLOOKUP(シフト組み!AF57,役職一覧!$B:$D,2,FALSE),"")</f>
        <v/>
      </c>
      <c r="AG27" s="17" t="str">
        <f>IFERROR(VLOOKUP(シフト組み!AG57,役職一覧!$B:$D,2,FALSE),"")</f>
        <v/>
      </c>
      <c r="AH27" s="17" t="str">
        <f>IFERROR(VLOOKUP(シフト組み!AH57,役職一覧!$B:$D,3,FALSE),"")</f>
        <v/>
      </c>
      <c r="AI27" s="17" t="str">
        <f>IFERROR(VLOOKUP(シフト組み!AI57,役職一覧!$B:$D,3,FALSE),"")</f>
        <v/>
      </c>
      <c r="AJ27" s="17" t="str">
        <f>IFERROR(VLOOKUP(シフト組み!AJ57,役職一覧!$B:$D,3,FALSE),"")</f>
        <v/>
      </c>
      <c r="AK27" s="17" t="str">
        <f>IFERROR(VLOOKUP(シフト組み!AK57,役職一覧!$B:$D,3,FALSE),"")</f>
        <v/>
      </c>
      <c r="AL27" s="17" t="str">
        <f>IFERROR(VLOOKUP(シフト組み!AL57,役職一覧!$B:$D,3,FALSE),"")</f>
        <v/>
      </c>
      <c r="AM27" s="17" t="str">
        <f>IFERROR(VLOOKUP(シフト組み!AM57,役職一覧!$B:$D,3,FALSE),"")</f>
        <v/>
      </c>
      <c r="AN27" s="17" t="str">
        <f>IFERROR(VLOOKUP(シフト組み!AN57,役職一覧!$B:$D,3,FALSE),"")</f>
        <v/>
      </c>
      <c r="AO27" s="17" t="str">
        <f>IFERROR(VLOOKUP(シフト組み!AO57,役職一覧!$B:$D,3,FALSE),"")</f>
        <v/>
      </c>
      <c r="AP27" s="17" t="str">
        <f>IFERROR(VLOOKUP(シフト組み!AP57,役職一覧!$B:$D,3,FALSE),"")</f>
        <v/>
      </c>
      <c r="AQ27" s="17" t="str">
        <f>IFERROR(VLOOKUP(シフト組み!AQ57,役職一覧!$B:$D,3,FALSE),"")</f>
        <v/>
      </c>
      <c r="AR27" s="17" t="str">
        <f>IFERROR(VLOOKUP(シフト組み!AR57,役職一覧!$B:$D,3,FALSE),"")</f>
        <v/>
      </c>
      <c r="AS27" s="17" t="str">
        <f>IFERROR(VLOOKUP(シフト組み!AS57,役職一覧!$B:$D,3,FALSE),"")</f>
        <v/>
      </c>
      <c r="AT27" s="17" t="str">
        <f>IFERROR(VLOOKUP(シフト組み!AT57,役職一覧!$B:$D,3,FALSE),"")</f>
        <v/>
      </c>
      <c r="AU27" s="17" t="str">
        <f>IFERROR(VLOOKUP(シフト組み!AU57,役職一覧!$B:$D,3,FALSE),"")</f>
        <v/>
      </c>
      <c r="AV27" s="17" t="str">
        <f>IFERROR(VLOOKUP(シフト組み!AV57,役職一覧!$B:$D,3,FALSE),"")</f>
        <v/>
      </c>
      <c r="AW27" s="17" t="str">
        <f>IFERROR(VLOOKUP(シフト組み!AW57,役職一覧!$B:$D,3,FALSE),"")</f>
        <v/>
      </c>
      <c r="AX27" s="17" t="str">
        <f>IFERROR(VLOOKUP(シフト組み!AX57,役職一覧!$B:$D,3,FALSE),"")</f>
        <v/>
      </c>
      <c r="AY27" s="17" t="str">
        <f>IFERROR(VLOOKUP(シフト組み!AY57,役職一覧!$B:$D,3,FALSE),"")</f>
        <v/>
      </c>
      <c r="AZ27" s="17" t="str">
        <f>IFERROR(VLOOKUP(シフト組み!AZ57,役職一覧!$B:$D,3,FALSE),"")</f>
        <v/>
      </c>
      <c r="BA27" s="17" t="str">
        <f>IFERROR(VLOOKUP(シフト組み!BA57,役職一覧!$B:$D,3,FALSE),"")</f>
        <v/>
      </c>
    </row>
    <row r="28" spans="1:53">
      <c r="A28" s="2" t="str">
        <f>シフト組み!A58&amp;""</f>
        <v/>
      </c>
      <c r="B28" s="2" t="str">
        <f>シフト組み!B58&amp;""</f>
        <v/>
      </c>
      <c r="C28" s="2" t="str">
        <f>シフト組み!C58&amp;""</f>
        <v/>
      </c>
      <c r="D28" s="17" t="str">
        <f>IFERROR(VLOOKUP(シフト組み!D58,役職一覧!$B:$D,2,FALSE),"")</f>
        <v/>
      </c>
      <c r="E28" s="17" t="str">
        <f>IFERROR(VLOOKUP(シフト組み!E58,役職一覧!$B:$D,2,FALSE),"")</f>
        <v/>
      </c>
      <c r="F28" s="17" t="str">
        <f>IFERROR(VLOOKUP(シフト組み!F58,役職一覧!$B:$D,2,FALSE),"")</f>
        <v/>
      </c>
      <c r="G28" s="17" t="str">
        <f>IFERROR(VLOOKUP(シフト組み!G58,役職一覧!$B:$D,2,FALSE),"")</f>
        <v/>
      </c>
      <c r="H28" s="17" t="str">
        <f>IFERROR(VLOOKUP(シフト組み!H58,役職一覧!$B:$D,2,FALSE),"")</f>
        <v/>
      </c>
      <c r="I28" s="17" t="str">
        <f>IFERROR(VLOOKUP(シフト組み!I58,役職一覧!$B:$D,2,FALSE),"")</f>
        <v/>
      </c>
      <c r="J28" s="17" t="str">
        <f>IFERROR(VLOOKUP(シフト組み!J58,役職一覧!$B:$D,2,FALSE),"")</f>
        <v/>
      </c>
      <c r="K28" s="17" t="str">
        <f>IFERROR(VLOOKUP(シフト組み!K58,役職一覧!$B:$D,2,FALSE),"")</f>
        <v/>
      </c>
      <c r="L28" s="17" t="str">
        <f>IFERROR(VLOOKUP(シフト組み!L58,役職一覧!$B:$D,2,FALSE),"")</f>
        <v/>
      </c>
      <c r="M28" s="17" t="str">
        <f>IFERROR(VLOOKUP(シフト組み!M58,役職一覧!$B:$D,2,FALSE),"")</f>
        <v/>
      </c>
      <c r="N28" s="17" t="str">
        <f>IFERROR(VLOOKUP(シフト組み!N58,役職一覧!$B:$D,2,FALSE),"")</f>
        <v/>
      </c>
      <c r="O28" s="17" t="str">
        <f>IFERROR(VLOOKUP(シフト組み!O58,役職一覧!$B:$D,2,FALSE),"")</f>
        <v/>
      </c>
      <c r="P28" s="17" t="str">
        <f>IFERROR(VLOOKUP(シフト組み!P58,役職一覧!$B:$D,2,FALSE),"")</f>
        <v/>
      </c>
      <c r="Q28" s="17" t="str">
        <f>IFERROR(VLOOKUP(シフト組み!Q58,役職一覧!$B:$D,2,FALSE),"")</f>
        <v/>
      </c>
      <c r="R28" s="17" t="str">
        <f>IFERROR(VLOOKUP(シフト組み!R58,役職一覧!$B:$D,2,FALSE),"")</f>
        <v/>
      </c>
      <c r="S28" s="17" t="str">
        <f>IFERROR(VLOOKUP(シフト組み!S58,役職一覧!$B:$D,2,FALSE),"")</f>
        <v/>
      </c>
      <c r="T28" s="17" t="str">
        <f>IFERROR(VLOOKUP(シフト組み!T58,役職一覧!$B:$D,2,FALSE),"")</f>
        <v/>
      </c>
      <c r="U28" s="17" t="str">
        <f>IFERROR(VLOOKUP(シフト組み!U58,役職一覧!$B:$D,2,FALSE),"")</f>
        <v/>
      </c>
      <c r="V28" s="17" t="str">
        <f>IFERROR(VLOOKUP(シフト組み!V58,役職一覧!$B:$D,2,FALSE),"")</f>
        <v/>
      </c>
      <c r="W28" s="17" t="str">
        <f>IFERROR(VLOOKUP(シフト組み!W58,役職一覧!$B:$D,2,FALSE),"")</f>
        <v/>
      </c>
      <c r="X28" s="17" t="str">
        <f>IFERROR(VLOOKUP(シフト組み!X58,役職一覧!$B:$D,2,FALSE),"")</f>
        <v/>
      </c>
      <c r="Y28" s="17" t="str">
        <f>IFERROR(VLOOKUP(シフト組み!Y58,役職一覧!$B:$D,2,FALSE),"")</f>
        <v/>
      </c>
      <c r="Z28" s="17" t="str">
        <f>IFERROR(VLOOKUP(シフト組み!Z58,役職一覧!$B:$D,2,FALSE),"")</f>
        <v/>
      </c>
      <c r="AA28" s="17" t="str">
        <f>IFERROR(VLOOKUP(シフト組み!AA58,役職一覧!$B:$D,2,FALSE),"")</f>
        <v/>
      </c>
      <c r="AB28" s="17" t="str">
        <f>IFERROR(VLOOKUP(シフト組み!AB58,役職一覧!$B:$D,2,FALSE),"")</f>
        <v/>
      </c>
      <c r="AC28" s="17" t="str">
        <f>IFERROR(VLOOKUP(シフト組み!AC58,役職一覧!$B:$D,2,FALSE),"")</f>
        <v/>
      </c>
      <c r="AD28" s="17" t="str">
        <f>IFERROR(VLOOKUP(シフト組み!AD58,役職一覧!$B:$D,2,FALSE),"")</f>
        <v/>
      </c>
      <c r="AE28" s="17" t="str">
        <f>IFERROR(VLOOKUP(シフト組み!AE58,役職一覧!$B:$D,2,FALSE),"")</f>
        <v/>
      </c>
      <c r="AF28" s="17" t="str">
        <f>IFERROR(VLOOKUP(シフト組み!AF58,役職一覧!$B:$D,2,FALSE),"")</f>
        <v/>
      </c>
      <c r="AG28" s="17" t="str">
        <f>IFERROR(VLOOKUP(シフト組み!AG58,役職一覧!$B:$D,2,FALSE),"")</f>
        <v/>
      </c>
      <c r="AH28" s="17" t="str">
        <f>IFERROR(VLOOKUP(シフト組み!AH58,役職一覧!$B:$D,3,FALSE),"")</f>
        <v/>
      </c>
      <c r="AI28" s="17" t="str">
        <f>IFERROR(VLOOKUP(シフト組み!AI58,役職一覧!$B:$D,3,FALSE),"")</f>
        <v/>
      </c>
      <c r="AJ28" s="17" t="str">
        <f>IFERROR(VLOOKUP(シフト組み!AJ58,役職一覧!$B:$D,3,FALSE),"")</f>
        <v/>
      </c>
      <c r="AK28" s="17" t="str">
        <f>IFERROR(VLOOKUP(シフト組み!AK58,役職一覧!$B:$D,3,FALSE),"")</f>
        <v/>
      </c>
      <c r="AL28" s="17" t="str">
        <f>IFERROR(VLOOKUP(シフト組み!AL58,役職一覧!$B:$D,3,FALSE),"")</f>
        <v/>
      </c>
      <c r="AM28" s="17" t="str">
        <f>IFERROR(VLOOKUP(シフト組み!AM58,役職一覧!$B:$D,3,FALSE),"")</f>
        <v/>
      </c>
      <c r="AN28" s="17" t="str">
        <f>IFERROR(VLOOKUP(シフト組み!AN58,役職一覧!$B:$D,3,FALSE),"")</f>
        <v/>
      </c>
      <c r="AO28" s="17" t="str">
        <f>IFERROR(VLOOKUP(シフト組み!AO58,役職一覧!$B:$D,3,FALSE),"")</f>
        <v/>
      </c>
      <c r="AP28" s="17" t="str">
        <f>IFERROR(VLOOKUP(シフト組み!AP58,役職一覧!$B:$D,3,FALSE),"")</f>
        <v/>
      </c>
      <c r="AQ28" s="17" t="str">
        <f>IFERROR(VLOOKUP(シフト組み!AQ58,役職一覧!$B:$D,3,FALSE),"")</f>
        <v/>
      </c>
      <c r="AR28" s="17" t="str">
        <f>IFERROR(VLOOKUP(シフト組み!AR58,役職一覧!$B:$D,3,FALSE),"")</f>
        <v/>
      </c>
      <c r="AS28" s="17" t="str">
        <f>IFERROR(VLOOKUP(シフト組み!AS58,役職一覧!$B:$D,3,FALSE),"")</f>
        <v/>
      </c>
      <c r="AT28" s="17" t="str">
        <f>IFERROR(VLOOKUP(シフト組み!AT58,役職一覧!$B:$D,3,FALSE),"")</f>
        <v/>
      </c>
      <c r="AU28" s="17" t="str">
        <f>IFERROR(VLOOKUP(シフト組み!AU58,役職一覧!$B:$D,3,FALSE),"")</f>
        <v/>
      </c>
      <c r="AV28" s="17" t="str">
        <f>IFERROR(VLOOKUP(シフト組み!AV58,役職一覧!$B:$D,3,FALSE),"")</f>
        <v/>
      </c>
      <c r="AW28" s="17" t="str">
        <f>IFERROR(VLOOKUP(シフト組み!AW58,役職一覧!$B:$D,3,FALSE),"")</f>
        <v/>
      </c>
      <c r="AX28" s="17" t="str">
        <f>IFERROR(VLOOKUP(シフト組み!AX58,役職一覧!$B:$D,3,FALSE),"")</f>
        <v/>
      </c>
      <c r="AY28" s="17" t="str">
        <f>IFERROR(VLOOKUP(シフト組み!AY58,役職一覧!$B:$D,3,FALSE),"")</f>
        <v/>
      </c>
      <c r="AZ28" s="17" t="str">
        <f>IFERROR(VLOOKUP(シフト組み!AZ58,役職一覧!$B:$D,3,FALSE),"")</f>
        <v/>
      </c>
      <c r="BA28" s="17" t="str">
        <f>IFERROR(VLOOKUP(シフト組み!BA58,役職一覧!$B:$D,3,FALSE),"")</f>
        <v/>
      </c>
    </row>
    <row r="29" spans="1:53">
      <c r="A29" s="2" t="str">
        <f>シフト組み!A59&amp;""</f>
        <v/>
      </c>
      <c r="B29" s="2" t="str">
        <f>シフト組み!B59&amp;""</f>
        <v/>
      </c>
      <c r="C29" s="2" t="str">
        <f>シフト組み!C59&amp;""</f>
        <v/>
      </c>
      <c r="D29" s="17" t="str">
        <f>IFERROR(VLOOKUP(シフト組み!D59,役職一覧!$B:$D,2,FALSE),"")</f>
        <v/>
      </c>
      <c r="E29" s="17" t="str">
        <f>IFERROR(VLOOKUP(シフト組み!E59,役職一覧!$B:$D,2,FALSE),"")</f>
        <v/>
      </c>
      <c r="F29" s="17" t="str">
        <f>IFERROR(VLOOKUP(シフト組み!F59,役職一覧!$B:$D,2,FALSE),"")</f>
        <v/>
      </c>
      <c r="G29" s="17" t="str">
        <f>IFERROR(VLOOKUP(シフト組み!G59,役職一覧!$B:$D,2,FALSE),"")</f>
        <v/>
      </c>
      <c r="H29" s="17" t="str">
        <f>IFERROR(VLOOKUP(シフト組み!H59,役職一覧!$B:$D,2,FALSE),"")</f>
        <v/>
      </c>
      <c r="I29" s="17" t="str">
        <f>IFERROR(VLOOKUP(シフト組み!I59,役職一覧!$B:$D,2,FALSE),"")</f>
        <v/>
      </c>
      <c r="J29" s="17" t="str">
        <f>IFERROR(VLOOKUP(シフト組み!J59,役職一覧!$B:$D,2,FALSE),"")</f>
        <v/>
      </c>
      <c r="K29" s="17" t="str">
        <f>IFERROR(VLOOKUP(シフト組み!K59,役職一覧!$B:$D,2,FALSE),"")</f>
        <v/>
      </c>
      <c r="L29" s="17" t="str">
        <f>IFERROR(VLOOKUP(シフト組み!L59,役職一覧!$B:$D,2,FALSE),"")</f>
        <v/>
      </c>
      <c r="M29" s="17" t="str">
        <f>IFERROR(VLOOKUP(シフト組み!M59,役職一覧!$B:$D,2,FALSE),"")</f>
        <v/>
      </c>
      <c r="N29" s="17" t="str">
        <f>IFERROR(VLOOKUP(シフト組み!N59,役職一覧!$B:$D,2,FALSE),"")</f>
        <v/>
      </c>
      <c r="O29" s="17" t="str">
        <f>IFERROR(VLOOKUP(シフト組み!O59,役職一覧!$B:$D,2,FALSE),"")</f>
        <v/>
      </c>
      <c r="P29" s="17" t="str">
        <f>IFERROR(VLOOKUP(シフト組み!P59,役職一覧!$B:$D,2,FALSE),"")</f>
        <v/>
      </c>
      <c r="Q29" s="17" t="str">
        <f>IFERROR(VLOOKUP(シフト組み!Q59,役職一覧!$B:$D,2,FALSE),"")</f>
        <v/>
      </c>
      <c r="R29" s="17" t="str">
        <f>IFERROR(VLOOKUP(シフト組み!R59,役職一覧!$B:$D,2,FALSE),"")</f>
        <v/>
      </c>
      <c r="S29" s="17" t="str">
        <f>IFERROR(VLOOKUP(シフト組み!S59,役職一覧!$B:$D,2,FALSE),"")</f>
        <v/>
      </c>
      <c r="T29" s="17" t="str">
        <f>IFERROR(VLOOKUP(シフト組み!T59,役職一覧!$B:$D,2,FALSE),"")</f>
        <v/>
      </c>
      <c r="U29" s="17" t="str">
        <f>IFERROR(VLOOKUP(シフト組み!U59,役職一覧!$B:$D,2,FALSE),"")</f>
        <v/>
      </c>
      <c r="V29" s="17" t="str">
        <f>IFERROR(VLOOKUP(シフト組み!V59,役職一覧!$B:$D,2,FALSE),"")</f>
        <v/>
      </c>
      <c r="W29" s="17" t="str">
        <f>IFERROR(VLOOKUP(シフト組み!W59,役職一覧!$B:$D,2,FALSE),"")</f>
        <v/>
      </c>
      <c r="X29" s="17" t="str">
        <f>IFERROR(VLOOKUP(シフト組み!X59,役職一覧!$B:$D,2,FALSE),"")</f>
        <v/>
      </c>
      <c r="Y29" s="17" t="str">
        <f>IFERROR(VLOOKUP(シフト組み!Y59,役職一覧!$B:$D,2,FALSE),"")</f>
        <v/>
      </c>
      <c r="Z29" s="17" t="str">
        <f>IFERROR(VLOOKUP(シフト組み!Z59,役職一覧!$B:$D,2,FALSE),"")</f>
        <v/>
      </c>
      <c r="AA29" s="17" t="str">
        <f>IFERROR(VLOOKUP(シフト組み!AA59,役職一覧!$B:$D,2,FALSE),"")</f>
        <v/>
      </c>
      <c r="AB29" s="17" t="str">
        <f>IFERROR(VLOOKUP(シフト組み!AB59,役職一覧!$B:$D,2,FALSE),"")</f>
        <v/>
      </c>
      <c r="AC29" s="17" t="str">
        <f>IFERROR(VLOOKUP(シフト組み!AC59,役職一覧!$B:$D,2,FALSE),"")</f>
        <v/>
      </c>
      <c r="AD29" s="17" t="str">
        <f>IFERROR(VLOOKUP(シフト組み!AD59,役職一覧!$B:$D,2,FALSE),"")</f>
        <v/>
      </c>
      <c r="AE29" s="17" t="str">
        <f>IFERROR(VLOOKUP(シフト組み!AE59,役職一覧!$B:$D,2,FALSE),"")</f>
        <v/>
      </c>
      <c r="AF29" s="17" t="str">
        <f>IFERROR(VLOOKUP(シフト組み!AF59,役職一覧!$B:$D,2,FALSE),"")</f>
        <v/>
      </c>
      <c r="AG29" s="17" t="str">
        <f>IFERROR(VLOOKUP(シフト組み!AG59,役職一覧!$B:$D,2,FALSE),"")</f>
        <v/>
      </c>
      <c r="AH29" s="17" t="str">
        <f>IFERROR(VLOOKUP(シフト組み!AH59,役職一覧!$B:$D,3,FALSE),"")</f>
        <v/>
      </c>
      <c r="AI29" s="17" t="str">
        <f>IFERROR(VLOOKUP(シフト組み!AI59,役職一覧!$B:$D,3,FALSE),"")</f>
        <v/>
      </c>
      <c r="AJ29" s="17" t="str">
        <f>IFERROR(VLOOKUP(シフト組み!AJ59,役職一覧!$B:$D,3,FALSE),"")</f>
        <v/>
      </c>
      <c r="AK29" s="17" t="str">
        <f>IFERROR(VLOOKUP(シフト組み!AK59,役職一覧!$B:$D,3,FALSE),"")</f>
        <v/>
      </c>
      <c r="AL29" s="17" t="str">
        <f>IFERROR(VLOOKUP(シフト組み!AL59,役職一覧!$B:$D,3,FALSE),"")</f>
        <v/>
      </c>
      <c r="AM29" s="17" t="str">
        <f>IFERROR(VLOOKUP(シフト組み!AM59,役職一覧!$B:$D,3,FALSE),"")</f>
        <v/>
      </c>
      <c r="AN29" s="17" t="str">
        <f>IFERROR(VLOOKUP(シフト組み!AN59,役職一覧!$B:$D,3,FALSE),"")</f>
        <v/>
      </c>
      <c r="AO29" s="17" t="str">
        <f>IFERROR(VLOOKUP(シフト組み!AO59,役職一覧!$B:$D,3,FALSE),"")</f>
        <v/>
      </c>
      <c r="AP29" s="17" t="str">
        <f>IFERROR(VLOOKUP(シフト組み!AP59,役職一覧!$B:$D,3,FALSE),"")</f>
        <v/>
      </c>
      <c r="AQ29" s="17" t="str">
        <f>IFERROR(VLOOKUP(シフト組み!AQ59,役職一覧!$B:$D,3,FALSE),"")</f>
        <v/>
      </c>
      <c r="AR29" s="17" t="str">
        <f>IFERROR(VLOOKUP(シフト組み!AR59,役職一覧!$B:$D,3,FALSE),"")</f>
        <v/>
      </c>
      <c r="AS29" s="17" t="str">
        <f>IFERROR(VLOOKUP(シフト組み!AS59,役職一覧!$B:$D,3,FALSE),"")</f>
        <v/>
      </c>
      <c r="AT29" s="17" t="str">
        <f>IFERROR(VLOOKUP(シフト組み!AT59,役職一覧!$B:$D,3,FALSE),"")</f>
        <v/>
      </c>
      <c r="AU29" s="17" t="str">
        <f>IFERROR(VLOOKUP(シフト組み!AU59,役職一覧!$B:$D,3,FALSE),"")</f>
        <v/>
      </c>
      <c r="AV29" s="17" t="str">
        <f>IFERROR(VLOOKUP(シフト組み!AV59,役職一覧!$B:$D,3,FALSE),"")</f>
        <v/>
      </c>
      <c r="AW29" s="17" t="str">
        <f>IFERROR(VLOOKUP(シフト組み!AW59,役職一覧!$B:$D,3,FALSE),"")</f>
        <v/>
      </c>
      <c r="AX29" s="17" t="str">
        <f>IFERROR(VLOOKUP(シフト組み!AX59,役職一覧!$B:$D,3,FALSE),"")</f>
        <v/>
      </c>
      <c r="AY29" s="17" t="str">
        <f>IFERROR(VLOOKUP(シフト組み!AY59,役職一覧!$B:$D,3,FALSE),"")</f>
        <v/>
      </c>
      <c r="AZ29" s="17" t="str">
        <f>IFERROR(VLOOKUP(シフト組み!AZ59,役職一覧!$B:$D,3,FALSE),"")</f>
        <v/>
      </c>
      <c r="BA29" s="17" t="str">
        <f>IFERROR(VLOOKUP(シフト組み!BA59,役職一覧!$B:$D,3,FALSE),"")</f>
        <v/>
      </c>
    </row>
    <row r="30" spans="1:53">
      <c r="A30" s="2" t="str">
        <f>シフト組み!A60&amp;""</f>
        <v/>
      </c>
      <c r="B30" s="2" t="str">
        <f>シフト組み!B60&amp;""</f>
        <v/>
      </c>
      <c r="C30" s="2" t="str">
        <f>シフト組み!C60&amp;""</f>
        <v/>
      </c>
      <c r="D30" s="17" t="str">
        <f>IFERROR(VLOOKUP(シフト組み!D60,役職一覧!$B:$D,2,FALSE),"")</f>
        <v/>
      </c>
      <c r="E30" s="17" t="str">
        <f>IFERROR(VLOOKUP(シフト組み!E60,役職一覧!$B:$D,2,FALSE),"")</f>
        <v/>
      </c>
      <c r="F30" s="17" t="str">
        <f>IFERROR(VLOOKUP(シフト組み!F60,役職一覧!$B:$D,2,FALSE),"")</f>
        <v/>
      </c>
      <c r="G30" s="17" t="str">
        <f>IFERROR(VLOOKUP(シフト組み!G60,役職一覧!$B:$D,2,FALSE),"")</f>
        <v/>
      </c>
      <c r="H30" s="17" t="str">
        <f>IFERROR(VLOOKUP(シフト組み!H60,役職一覧!$B:$D,2,FALSE),"")</f>
        <v/>
      </c>
      <c r="I30" s="17" t="str">
        <f>IFERROR(VLOOKUP(シフト組み!I60,役職一覧!$B:$D,2,FALSE),"")</f>
        <v/>
      </c>
      <c r="J30" s="17" t="str">
        <f>IFERROR(VLOOKUP(シフト組み!J60,役職一覧!$B:$D,2,FALSE),"")</f>
        <v/>
      </c>
      <c r="K30" s="17" t="str">
        <f>IFERROR(VLOOKUP(シフト組み!K60,役職一覧!$B:$D,2,FALSE),"")</f>
        <v/>
      </c>
      <c r="L30" s="17" t="str">
        <f>IFERROR(VLOOKUP(シフト組み!L60,役職一覧!$B:$D,2,FALSE),"")</f>
        <v/>
      </c>
      <c r="M30" s="17" t="str">
        <f>IFERROR(VLOOKUP(シフト組み!M60,役職一覧!$B:$D,2,FALSE),"")</f>
        <v/>
      </c>
      <c r="N30" s="17" t="str">
        <f>IFERROR(VLOOKUP(シフト組み!N60,役職一覧!$B:$D,2,FALSE),"")</f>
        <v/>
      </c>
      <c r="O30" s="17" t="str">
        <f>IFERROR(VLOOKUP(シフト組み!O60,役職一覧!$B:$D,2,FALSE),"")</f>
        <v/>
      </c>
      <c r="P30" s="17" t="str">
        <f>IFERROR(VLOOKUP(シフト組み!P60,役職一覧!$B:$D,2,FALSE),"")</f>
        <v/>
      </c>
      <c r="Q30" s="17" t="str">
        <f>IFERROR(VLOOKUP(シフト組み!Q60,役職一覧!$B:$D,2,FALSE),"")</f>
        <v/>
      </c>
      <c r="R30" s="17" t="str">
        <f>IFERROR(VLOOKUP(シフト組み!R60,役職一覧!$B:$D,2,FALSE),"")</f>
        <v/>
      </c>
      <c r="S30" s="17" t="str">
        <f>IFERROR(VLOOKUP(シフト組み!S60,役職一覧!$B:$D,2,FALSE),"")</f>
        <v/>
      </c>
      <c r="T30" s="17" t="str">
        <f>IFERROR(VLOOKUP(シフト組み!T60,役職一覧!$B:$D,2,FALSE),"")</f>
        <v/>
      </c>
      <c r="U30" s="17" t="str">
        <f>IFERROR(VLOOKUP(シフト組み!U60,役職一覧!$B:$D,2,FALSE),"")</f>
        <v/>
      </c>
      <c r="V30" s="17" t="str">
        <f>IFERROR(VLOOKUP(シフト組み!V60,役職一覧!$B:$D,2,FALSE),"")</f>
        <v/>
      </c>
      <c r="W30" s="17" t="str">
        <f>IFERROR(VLOOKUP(シフト組み!W60,役職一覧!$B:$D,2,FALSE),"")</f>
        <v/>
      </c>
      <c r="X30" s="17" t="str">
        <f>IFERROR(VLOOKUP(シフト組み!X60,役職一覧!$B:$D,2,FALSE),"")</f>
        <v/>
      </c>
      <c r="Y30" s="17" t="str">
        <f>IFERROR(VLOOKUP(シフト組み!Y60,役職一覧!$B:$D,2,FALSE),"")</f>
        <v/>
      </c>
      <c r="Z30" s="17" t="str">
        <f>IFERROR(VLOOKUP(シフト組み!Z60,役職一覧!$B:$D,2,FALSE),"")</f>
        <v/>
      </c>
      <c r="AA30" s="17" t="str">
        <f>IFERROR(VLOOKUP(シフト組み!AA60,役職一覧!$B:$D,2,FALSE),"")</f>
        <v/>
      </c>
      <c r="AB30" s="17" t="str">
        <f>IFERROR(VLOOKUP(シフト組み!AB60,役職一覧!$B:$D,2,FALSE),"")</f>
        <v/>
      </c>
      <c r="AC30" s="17" t="str">
        <f>IFERROR(VLOOKUP(シフト組み!AC60,役職一覧!$B:$D,2,FALSE),"")</f>
        <v/>
      </c>
      <c r="AD30" s="17" t="str">
        <f>IFERROR(VLOOKUP(シフト組み!AD60,役職一覧!$B:$D,2,FALSE),"")</f>
        <v/>
      </c>
      <c r="AE30" s="17" t="str">
        <f>IFERROR(VLOOKUP(シフト組み!AE60,役職一覧!$B:$D,2,FALSE),"")</f>
        <v/>
      </c>
      <c r="AF30" s="17" t="str">
        <f>IFERROR(VLOOKUP(シフト組み!AF60,役職一覧!$B:$D,2,FALSE),"")</f>
        <v/>
      </c>
      <c r="AG30" s="17" t="str">
        <f>IFERROR(VLOOKUP(シフト組み!AG60,役職一覧!$B:$D,2,FALSE),"")</f>
        <v/>
      </c>
      <c r="AH30" s="17" t="str">
        <f>IFERROR(VLOOKUP(シフト組み!AH60,役職一覧!$B:$D,3,FALSE),"")</f>
        <v/>
      </c>
      <c r="AI30" s="17" t="str">
        <f>IFERROR(VLOOKUP(シフト組み!AI60,役職一覧!$B:$D,3,FALSE),"")</f>
        <v/>
      </c>
      <c r="AJ30" s="17" t="str">
        <f>IFERROR(VLOOKUP(シフト組み!AJ60,役職一覧!$B:$D,3,FALSE),"")</f>
        <v/>
      </c>
      <c r="AK30" s="17" t="str">
        <f>IFERROR(VLOOKUP(シフト組み!AK60,役職一覧!$B:$D,3,FALSE),"")</f>
        <v/>
      </c>
      <c r="AL30" s="17" t="str">
        <f>IFERROR(VLOOKUP(シフト組み!AL60,役職一覧!$B:$D,3,FALSE),"")</f>
        <v/>
      </c>
      <c r="AM30" s="17" t="str">
        <f>IFERROR(VLOOKUP(シフト組み!AM60,役職一覧!$B:$D,3,FALSE),"")</f>
        <v/>
      </c>
      <c r="AN30" s="17" t="str">
        <f>IFERROR(VLOOKUP(シフト組み!AN60,役職一覧!$B:$D,3,FALSE),"")</f>
        <v/>
      </c>
      <c r="AO30" s="17" t="str">
        <f>IFERROR(VLOOKUP(シフト組み!AO60,役職一覧!$B:$D,3,FALSE),"")</f>
        <v/>
      </c>
      <c r="AP30" s="17" t="str">
        <f>IFERROR(VLOOKUP(シフト組み!AP60,役職一覧!$B:$D,3,FALSE),"")</f>
        <v/>
      </c>
      <c r="AQ30" s="17" t="str">
        <f>IFERROR(VLOOKUP(シフト組み!AQ60,役職一覧!$B:$D,3,FALSE),"")</f>
        <v/>
      </c>
      <c r="AR30" s="17" t="str">
        <f>IFERROR(VLOOKUP(シフト組み!AR60,役職一覧!$B:$D,3,FALSE),"")</f>
        <v/>
      </c>
      <c r="AS30" s="17" t="str">
        <f>IFERROR(VLOOKUP(シフト組み!AS60,役職一覧!$B:$D,3,FALSE),"")</f>
        <v/>
      </c>
      <c r="AT30" s="17" t="str">
        <f>IFERROR(VLOOKUP(シフト組み!AT60,役職一覧!$B:$D,3,FALSE),"")</f>
        <v/>
      </c>
      <c r="AU30" s="17" t="str">
        <f>IFERROR(VLOOKUP(シフト組み!AU60,役職一覧!$B:$D,3,FALSE),"")</f>
        <v/>
      </c>
      <c r="AV30" s="17" t="str">
        <f>IFERROR(VLOOKUP(シフト組み!AV60,役職一覧!$B:$D,3,FALSE),"")</f>
        <v/>
      </c>
      <c r="AW30" s="17" t="str">
        <f>IFERROR(VLOOKUP(シフト組み!AW60,役職一覧!$B:$D,3,FALSE),"")</f>
        <v/>
      </c>
      <c r="AX30" s="17" t="str">
        <f>IFERROR(VLOOKUP(シフト組み!AX60,役職一覧!$B:$D,3,FALSE),"")</f>
        <v/>
      </c>
      <c r="AY30" s="17" t="str">
        <f>IFERROR(VLOOKUP(シフト組み!AY60,役職一覧!$B:$D,3,FALSE),"")</f>
        <v/>
      </c>
      <c r="AZ30" s="17" t="str">
        <f>IFERROR(VLOOKUP(シフト組み!AZ60,役職一覧!$B:$D,3,FALSE),"")</f>
        <v/>
      </c>
      <c r="BA30" s="17" t="str">
        <f>IFERROR(VLOOKUP(シフト組み!BA60,役職一覧!$B:$D,3,FALSE),"")</f>
        <v/>
      </c>
    </row>
    <row r="31" spans="1:53">
      <c r="A31" s="2" t="str">
        <f>シフト組み!A61&amp;""</f>
        <v/>
      </c>
      <c r="B31" s="2" t="str">
        <f>シフト組み!B61&amp;""</f>
        <v/>
      </c>
      <c r="C31" s="2" t="str">
        <f>シフト組み!C61&amp;""</f>
        <v/>
      </c>
      <c r="D31" s="17" t="str">
        <f>IFERROR(VLOOKUP(シフト組み!D61,役職一覧!$B:$D,2,FALSE),"")</f>
        <v/>
      </c>
      <c r="E31" s="17" t="str">
        <f>IFERROR(VLOOKUP(シフト組み!E61,役職一覧!$B:$D,2,FALSE),"")</f>
        <v/>
      </c>
      <c r="F31" s="17" t="str">
        <f>IFERROR(VLOOKUP(シフト組み!F61,役職一覧!$B:$D,2,FALSE),"")</f>
        <v/>
      </c>
      <c r="G31" s="17" t="str">
        <f>IFERROR(VLOOKUP(シフト組み!G61,役職一覧!$B:$D,2,FALSE),"")</f>
        <v/>
      </c>
      <c r="H31" s="17" t="str">
        <f>IFERROR(VLOOKUP(シフト組み!H61,役職一覧!$B:$D,2,FALSE),"")</f>
        <v/>
      </c>
      <c r="I31" s="17" t="str">
        <f>IFERROR(VLOOKUP(シフト組み!I61,役職一覧!$B:$D,2,FALSE),"")</f>
        <v/>
      </c>
      <c r="J31" s="17" t="str">
        <f>IFERROR(VLOOKUP(シフト組み!J61,役職一覧!$B:$D,2,FALSE),"")</f>
        <v/>
      </c>
      <c r="K31" s="17" t="str">
        <f>IFERROR(VLOOKUP(シフト組み!K61,役職一覧!$B:$D,2,FALSE),"")</f>
        <v/>
      </c>
      <c r="L31" s="17" t="str">
        <f>IFERROR(VLOOKUP(シフト組み!L61,役職一覧!$B:$D,2,FALSE),"")</f>
        <v/>
      </c>
      <c r="M31" s="17" t="str">
        <f>IFERROR(VLOOKUP(シフト組み!M61,役職一覧!$B:$D,2,FALSE),"")</f>
        <v/>
      </c>
      <c r="N31" s="17" t="str">
        <f>IFERROR(VLOOKUP(シフト組み!N61,役職一覧!$B:$D,2,FALSE),"")</f>
        <v/>
      </c>
      <c r="O31" s="17" t="str">
        <f>IFERROR(VLOOKUP(シフト組み!O61,役職一覧!$B:$D,2,FALSE),"")</f>
        <v/>
      </c>
      <c r="P31" s="17" t="str">
        <f>IFERROR(VLOOKUP(シフト組み!P61,役職一覧!$B:$D,2,FALSE),"")</f>
        <v/>
      </c>
      <c r="Q31" s="17" t="str">
        <f>IFERROR(VLOOKUP(シフト組み!Q61,役職一覧!$B:$D,2,FALSE),"")</f>
        <v/>
      </c>
      <c r="R31" s="17" t="str">
        <f>IFERROR(VLOOKUP(シフト組み!R61,役職一覧!$B:$D,2,FALSE),"")</f>
        <v/>
      </c>
      <c r="S31" s="17" t="str">
        <f>IFERROR(VLOOKUP(シフト組み!S61,役職一覧!$B:$D,2,FALSE),"")</f>
        <v/>
      </c>
      <c r="T31" s="17" t="str">
        <f>IFERROR(VLOOKUP(シフト組み!T61,役職一覧!$B:$D,2,FALSE),"")</f>
        <v/>
      </c>
      <c r="U31" s="17" t="str">
        <f>IFERROR(VLOOKUP(シフト組み!U61,役職一覧!$B:$D,2,FALSE),"")</f>
        <v/>
      </c>
      <c r="V31" s="17" t="str">
        <f>IFERROR(VLOOKUP(シフト組み!V61,役職一覧!$B:$D,2,FALSE),"")</f>
        <v/>
      </c>
      <c r="W31" s="17" t="str">
        <f>IFERROR(VLOOKUP(シフト組み!W61,役職一覧!$B:$D,2,FALSE),"")</f>
        <v/>
      </c>
      <c r="X31" s="17" t="str">
        <f>IFERROR(VLOOKUP(シフト組み!X61,役職一覧!$B:$D,2,FALSE),"")</f>
        <v/>
      </c>
      <c r="Y31" s="17" t="str">
        <f>IFERROR(VLOOKUP(シフト組み!Y61,役職一覧!$B:$D,2,FALSE),"")</f>
        <v/>
      </c>
      <c r="Z31" s="17" t="str">
        <f>IFERROR(VLOOKUP(シフト組み!Z61,役職一覧!$B:$D,2,FALSE),"")</f>
        <v/>
      </c>
      <c r="AA31" s="17" t="str">
        <f>IFERROR(VLOOKUP(シフト組み!AA61,役職一覧!$B:$D,2,FALSE),"")</f>
        <v/>
      </c>
      <c r="AB31" s="17" t="str">
        <f>IFERROR(VLOOKUP(シフト組み!AB61,役職一覧!$B:$D,2,FALSE),"")</f>
        <v/>
      </c>
      <c r="AC31" s="17" t="str">
        <f>IFERROR(VLOOKUP(シフト組み!AC61,役職一覧!$B:$D,2,FALSE),"")</f>
        <v/>
      </c>
      <c r="AD31" s="17" t="str">
        <f>IFERROR(VLOOKUP(シフト組み!AD61,役職一覧!$B:$D,2,FALSE),"")</f>
        <v/>
      </c>
      <c r="AE31" s="17" t="str">
        <f>IFERROR(VLOOKUP(シフト組み!AE61,役職一覧!$B:$D,2,FALSE),"")</f>
        <v/>
      </c>
      <c r="AF31" s="17" t="str">
        <f>IFERROR(VLOOKUP(シフト組み!AF61,役職一覧!$B:$D,2,FALSE),"")</f>
        <v/>
      </c>
      <c r="AG31" s="17" t="str">
        <f>IFERROR(VLOOKUP(シフト組み!AG61,役職一覧!$B:$D,2,FALSE),"")</f>
        <v/>
      </c>
      <c r="AH31" s="17" t="str">
        <f>IFERROR(VLOOKUP(シフト組み!AH61,役職一覧!$B:$D,3,FALSE),"")</f>
        <v/>
      </c>
      <c r="AI31" s="17" t="str">
        <f>IFERROR(VLOOKUP(シフト組み!AI61,役職一覧!$B:$D,3,FALSE),"")</f>
        <v/>
      </c>
      <c r="AJ31" s="17" t="str">
        <f>IFERROR(VLOOKUP(シフト組み!AJ61,役職一覧!$B:$D,3,FALSE),"")</f>
        <v/>
      </c>
      <c r="AK31" s="17" t="str">
        <f>IFERROR(VLOOKUP(シフト組み!AK61,役職一覧!$B:$D,3,FALSE),"")</f>
        <v/>
      </c>
      <c r="AL31" s="17" t="str">
        <f>IFERROR(VLOOKUP(シフト組み!AL61,役職一覧!$B:$D,3,FALSE),"")</f>
        <v/>
      </c>
      <c r="AM31" s="17" t="str">
        <f>IFERROR(VLOOKUP(シフト組み!AM61,役職一覧!$B:$D,3,FALSE),"")</f>
        <v/>
      </c>
      <c r="AN31" s="17" t="str">
        <f>IFERROR(VLOOKUP(シフト組み!AN61,役職一覧!$B:$D,3,FALSE),"")</f>
        <v/>
      </c>
      <c r="AO31" s="17" t="str">
        <f>IFERROR(VLOOKUP(シフト組み!AO61,役職一覧!$B:$D,3,FALSE),"")</f>
        <v/>
      </c>
      <c r="AP31" s="17" t="str">
        <f>IFERROR(VLOOKUP(シフト組み!AP61,役職一覧!$B:$D,3,FALSE),"")</f>
        <v/>
      </c>
      <c r="AQ31" s="17" t="str">
        <f>IFERROR(VLOOKUP(シフト組み!AQ61,役職一覧!$B:$D,3,FALSE),"")</f>
        <v/>
      </c>
      <c r="AR31" s="17" t="str">
        <f>IFERROR(VLOOKUP(シフト組み!AR61,役職一覧!$B:$D,3,FALSE),"")</f>
        <v/>
      </c>
      <c r="AS31" s="17" t="str">
        <f>IFERROR(VLOOKUP(シフト組み!AS61,役職一覧!$B:$D,3,FALSE),"")</f>
        <v/>
      </c>
      <c r="AT31" s="17" t="str">
        <f>IFERROR(VLOOKUP(シフト組み!AT61,役職一覧!$B:$D,3,FALSE),"")</f>
        <v/>
      </c>
      <c r="AU31" s="17" t="str">
        <f>IFERROR(VLOOKUP(シフト組み!AU61,役職一覧!$B:$D,3,FALSE),"")</f>
        <v/>
      </c>
      <c r="AV31" s="17" t="str">
        <f>IFERROR(VLOOKUP(シフト組み!AV61,役職一覧!$B:$D,3,FALSE),"")</f>
        <v/>
      </c>
      <c r="AW31" s="17" t="str">
        <f>IFERROR(VLOOKUP(シフト組み!AW61,役職一覧!$B:$D,3,FALSE),"")</f>
        <v/>
      </c>
      <c r="AX31" s="17" t="str">
        <f>IFERROR(VLOOKUP(シフト組み!AX61,役職一覧!$B:$D,3,FALSE),"")</f>
        <v/>
      </c>
      <c r="AY31" s="17" t="str">
        <f>IFERROR(VLOOKUP(シフト組み!AY61,役職一覧!$B:$D,3,FALSE),"")</f>
        <v/>
      </c>
      <c r="AZ31" s="17" t="str">
        <f>IFERROR(VLOOKUP(シフト組み!AZ61,役職一覧!$B:$D,3,FALSE),"")</f>
        <v/>
      </c>
      <c r="BA31" s="17" t="str">
        <f>IFERROR(VLOOKUP(シフト組み!BA61,役職一覧!$B:$D,3,FALSE),"")</f>
        <v/>
      </c>
    </row>
    <row r="32" spans="1:53">
      <c r="A32" s="2" t="str">
        <f>シフト組み!A62&amp;""</f>
        <v/>
      </c>
      <c r="B32" s="2" t="str">
        <f>シフト組み!B62&amp;""</f>
        <v/>
      </c>
      <c r="C32" s="2" t="str">
        <f>シフト組み!C62&amp;""</f>
        <v/>
      </c>
      <c r="D32" s="17" t="str">
        <f>IFERROR(VLOOKUP(シフト組み!D62,役職一覧!$B:$D,2,FALSE),"")</f>
        <v/>
      </c>
      <c r="E32" s="17" t="str">
        <f>IFERROR(VLOOKUP(シフト組み!E62,役職一覧!$B:$D,2,FALSE),"")</f>
        <v/>
      </c>
      <c r="F32" s="17" t="str">
        <f>IFERROR(VLOOKUP(シフト組み!F62,役職一覧!$B:$D,2,FALSE),"")</f>
        <v/>
      </c>
      <c r="G32" s="17" t="str">
        <f>IFERROR(VLOOKUP(シフト組み!G62,役職一覧!$B:$D,2,FALSE),"")</f>
        <v/>
      </c>
      <c r="H32" s="17" t="str">
        <f>IFERROR(VLOOKUP(シフト組み!H62,役職一覧!$B:$D,2,FALSE),"")</f>
        <v/>
      </c>
      <c r="I32" s="17" t="str">
        <f>IFERROR(VLOOKUP(シフト組み!I62,役職一覧!$B:$D,2,FALSE),"")</f>
        <v/>
      </c>
      <c r="J32" s="17" t="str">
        <f>IFERROR(VLOOKUP(シフト組み!J62,役職一覧!$B:$D,2,FALSE),"")</f>
        <v/>
      </c>
      <c r="K32" s="17" t="str">
        <f>IFERROR(VLOOKUP(シフト組み!K62,役職一覧!$B:$D,2,FALSE),"")</f>
        <v/>
      </c>
      <c r="L32" s="17" t="str">
        <f>IFERROR(VLOOKUP(シフト組み!L62,役職一覧!$B:$D,2,FALSE),"")</f>
        <v/>
      </c>
      <c r="M32" s="17" t="str">
        <f>IFERROR(VLOOKUP(シフト組み!M62,役職一覧!$B:$D,2,FALSE),"")</f>
        <v/>
      </c>
      <c r="N32" s="17" t="str">
        <f>IFERROR(VLOOKUP(シフト組み!N62,役職一覧!$B:$D,2,FALSE),"")</f>
        <v/>
      </c>
      <c r="O32" s="17" t="str">
        <f>IFERROR(VLOOKUP(シフト組み!O62,役職一覧!$B:$D,2,FALSE),"")</f>
        <v/>
      </c>
      <c r="P32" s="17" t="str">
        <f>IFERROR(VLOOKUP(シフト組み!P62,役職一覧!$B:$D,2,FALSE),"")</f>
        <v/>
      </c>
      <c r="Q32" s="17" t="str">
        <f>IFERROR(VLOOKUP(シフト組み!Q62,役職一覧!$B:$D,2,FALSE),"")</f>
        <v/>
      </c>
      <c r="R32" s="17" t="str">
        <f>IFERROR(VLOOKUP(シフト組み!R62,役職一覧!$B:$D,2,FALSE),"")</f>
        <v/>
      </c>
      <c r="S32" s="17" t="str">
        <f>IFERROR(VLOOKUP(シフト組み!S62,役職一覧!$B:$D,2,FALSE),"")</f>
        <v/>
      </c>
      <c r="T32" s="17" t="str">
        <f>IFERROR(VLOOKUP(シフト組み!T62,役職一覧!$B:$D,2,FALSE),"")</f>
        <v/>
      </c>
      <c r="U32" s="17" t="str">
        <f>IFERROR(VLOOKUP(シフト組み!U62,役職一覧!$B:$D,2,FALSE),"")</f>
        <v/>
      </c>
      <c r="V32" s="17" t="str">
        <f>IFERROR(VLOOKUP(シフト組み!V62,役職一覧!$B:$D,2,FALSE),"")</f>
        <v/>
      </c>
      <c r="W32" s="17" t="str">
        <f>IFERROR(VLOOKUP(シフト組み!W62,役職一覧!$B:$D,2,FALSE),"")</f>
        <v/>
      </c>
      <c r="X32" s="17" t="str">
        <f>IFERROR(VLOOKUP(シフト組み!X62,役職一覧!$B:$D,2,FALSE),"")</f>
        <v/>
      </c>
      <c r="Y32" s="17" t="str">
        <f>IFERROR(VLOOKUP(シフト組み!Y62,役職一覧!$B:$D,2,FALSE),"")</f>
        <v/>
      </c>
      <c r="Z32" s="17" t="str">
        <f>IFERROR(VLOOKUP(シフト組み!Z62,役職一覧!$B:$D,2,FALSE),"")</f>
        <v/>
      </c>
      <c r="AA32" s="17" t="str">
        <f>IFERROR(VLOOKUP(シフト組み!AA62,役職一覧!$B:$D,2,FALSE),"")</f>
        <v/>
      </c>
      <c r="AB32" s="17" t="str">
        <f>IFERROR(VLOOKUP(シフト組み!AB62,役職一覧!$B:$D,2,FALSE),"")</f>
        <v/>
      </c>
      <c r="AC32" s="17" t="str">
        <f>IFERROR(VLOOKUP(シフト組み!AC62,役職一覧!$B:$D,2,FALSE),"")</f>
        <v/>
      </c>
      <c r="AD32" s="17" t="str">
        <f>IFERROR(VLOOKUP(シフト組み!AD62,役職一覧!$B:$D,2,FALSE),"")</f>
        <v/>
      </c>
      <c r="AE32" s="17" t="str">
        <f>IFERROR(VLOOKUP(シフト組み!AE62,役職一覧!$B:$D,2,FALSE),"")</f>
        <v/>
      </c>
      <c r="AF32" s="17" t="str">
        <f>IFERROR(VLOOKUP(シフト組み!AF62,役職一覧!$B:$D,2,FALSE),"")</f>
        <v/>
      </c>
      <c r="AG32" s="17" t="str">
        <f>IFERROR(VLOOKUP(シフト組み!AG62,役職一覧!$B:$D,2,FALSE),"")</f>
        <v/>
      </c>
      <c r="AH32" s="17" t="str">
        <f>IFERROR(VLOOKUP(シフト組み!AH62,役職一覧!$B:$D,3,FALSE),"")</f>
        <v/>
      </c>
      <c r="AI32" s="17" t="str">
        <f>IFERROR(VLOOKUP(シフト組み!AI62,役職一覧!$B:$D,3,FALSE),"")</f>
        <v/>
      </c>
      <c r="AJ32" s="17" t="str">
        <f>IFERROR(VLOOKUP(シフト組み!AJ62,役職一覧!$B:$D,3,FALSE),"")</f>
        <v/>
      </c>
      <c r="AK32" s="17" t="str">
        <f>IFERROR(VLOOKUP(シフト組み!AK62,役職一覧!$B:$D,3,FALSE),"")</f>
        <v/>
      </c>
      <c r="AL32" s="17" t="str">
        <f>IFERROR(VLOOKUP(シフト組み!AL62,役職一覧!$B:$D,3,FALSE),"")</f>
        <v/>
      </c>
      <c r="AM32" s="17" t="str">
        <f>IFERROR(VLOOKUP(シフト組み!AM62,役職一覧!$B:$D,3,FALSE),"")</f>
        <v/>
      </c>
      <c r="AN32" s="17" t="str">
        <f>IFERROR(VLOOKUP(シフト組み!AN62,役職一覧!$B:$D,3,FALSE),"")</f>
        <v/>
      </c>
      <c r="AO32" s="17" t="str">
        <f>IFERROR(VLOOKUP(シフト組み!AO62,役職一覧!$B:$D,3,FALSE),"")</f>
        <v/>
      </c>
      <c r="AP32" s="17" t="str">
        <f>IFERROR(VLOOKUP(シフト組み!AP62,役職一覧!$B:$D,3,FALSE),"")</f>
        <v/>
      </c>
      <c r="AQ32" s="17" t="str">
        <f>IFERROR(VLOOKUP(シフト組み!AQ62,役職一覧!$B:$D,3,FALSE),"")</f>
        <v/>
      </c>
      <c r="AR32" s="17" t="str">
        <f>IFERROR(VLOOKUP(シフト組み!AR62,役職一覧!$B:$D,3,FALSE),"")</f>
        <v/>
      </c>
      <c r="AS32" s="17" t="str">
        <f>IFERROR(VLOOKUP(シフト組み!AS62,役職一覧!$B:$D,3,FALSE),"")</f>
        <v/>
      </c>
      <c r="AT32" s="17" t="str">
        <f>IFERROR(VLOOKUP(シフト組み!AT62,役職一覧!$B:$D,3,FALSE),"")</f>
        <v/>
      </c>
      <c r="AU32" s="17" t="str">
        <f>IFERROR(VLOOKUP(シフト組み!AU62,役職一覧!$B:$D,3,FALSE),"")</f>
        <v/>
      </c>
      <c r="AV32" s="17" t="str">
        <f>IFERROR(VLOOKUP(シフト組み!AV62,役職一覧!$B:$D,3,FALSE),"")</f>
        <v/>
      </c>
      <c r="AW32" s="17" t="str">
        <f>IFERROR(VLOOKUP(シフト組み!AW62,役職一覧!$B:$D,3,FALSE),"")</f>
        <v/>
      </c>
      <c r="AX32" s="17" t="str">
        <f>IFERROR(VLOOKUP(シフト組み!AX62,役職一覧!$B:$D,3,FALSE),"")</f>
        <v/>
      </c>
      <c r="AY32" s="17" t="str">
        <f>IFERROR(VLOOKUP(シフト組み!AY62,役職一覧!$B:$D,3,FALSE),"")</f>
        <v/>
      </c>
      <c r="AZ32" s="17" t="str">
        <f>IFERROR(VLOOKUP(シフト組み!AZ62,役職一覧!$B:$D,3,FALSE),"")</f>
        <v/>
      </c>
      <c r="BA32" s="17" t="str">
        <f>IFERROR(VLOOKUP(シフト組み!BA62,役職一覧!$B:$D,3,FALSE),"")</f>
        <v/>
      </c>
    </row>
    <row r="33" spans="1:53">
      <c r="A33" s="2" t="str">
        <f>シフト組み!A63&amp;""</f>
        <v/>
      </c>
      <c r="B33" s="2" t="str">
        <f>シフト組み!B63&amp;""</f>
        <v/>
      </c>
      <c r="C33" s="2" t="str">
        <f>シフト組み!C63&amp;""</f>
        <v/>
      </c>
      <c r="D33" s="17" t="str">
        <f>IFERROR(VLOOKUP(シフト組み!D63,役職一覧!$B:$D,2,FALSE),"")</f>
        <v/>
      </c>
      <c r="E33" s="17" t="str">
        <f>IFERROR(VLOOKUP(シフト組み!E63,役職一覧!$B:$D,2,FALSE),"")</f>
        <v/>
      </c>
      <c r="F33" s="17" t="str">
        <f>IFERROR(VLOOKUP(シフト組み!F63,役職一覧!$B:$D,2,FALSE),"")</f>
        <v/>
      </c>
      <c r="G33" s="17" t="str">
        <f>IFERROR(VLOOKUP(シフト組み!G63,役職一覧!$B:$D,2,FALSE),"")</f>
        <v/>
      </c>
      <c r="H33" s="17" t="str">
        <f>IFERROR(VLOOKUP(シフト組み!H63,役職一覧!$B:$D,2,FALSE),"")</f>
        <v/>
      </c>
      <c r="I33" s="17" t="str">
        <f>IFERROR(VLOOKUP(シフト組み!I63,役職一覧!$B:$D,2,FALSE),"")</f>
        <v/>
      </c>
      <c r="J33" s="17" t="str">
        <f>IFERROR(VLOOKUP(シフト組み!J63,役職一覧!$B:$D,2,FALSE),"")</f>
        <v/>
      </c>
      <c r="K33" s="17" t="str">
        <f>IFERROR(VLOOKUP(シフト組み!K63,役職一覧!$B:$D,2,FALSE),"")</f>
        <v/>
      </c>
      <c r="L33" s="17" t="str">
        <f>IFERROR(VLOOKUP(シフト組み!L63,役職一覧!$B:$D,2,FALSE),"")</f>
        <v/>
      </c>
      <c r="M33" s="17" t="str">
        <f>IFERROR(VLOOKUP(シフト組み!M63,役職一覧!$B:$D,2,FALSE),"")</f>
        <v/>
      </c>
      <c r="N33" s="17" t="str">
        <f>IFERROR(VLOOKUP(シフト組み!N63,役職一覧!$B:$D,2,FALSE),"")</f>
        <v/>
      </c>
      <c r="O33" s="17" t="str">
        <f>IFERROR(VLOOKUP(シフト組み!O63,役職一覧!$B:$D,2,FALSE),"")</f>
        <v/>
      </c>
      <c r="P33" s="17" t="str">
        <f>IFERROR(VLOOKUP(シフト組み!P63,役職一覧!$B:$D,2,FALSE),"")</f>
        <v/>
      </c>
      <c r="Q33" s="17" t="str">
        <f>IFERROR(VLOOKUP(シフト組み!Q63,役職一覧!$B:$D,2,FALSE),"")</f>
        <v/>
      </c>
      <c r="R33" s="17" t="str">
        <f>IFERROR(VLOOKUP(シフト組み!R63,役職一覧!$B:$D,2,FALSE),"")</f>
        <v/>
      </c>
      <c r="S33" s="17" t="str">
        <f>IFERROR(VLOOKUP(シフト組み!S63,役職一覧!$B:$D,2,FALSE),"")</f>
        <v/>
      </c>
      <c r="T33" s="17" t="str">
        <f>IFERROR(VLOOKUP(シフト組み!T63,役職一覧!$B:$D,2,FALSE),"")</f>
        <v/>
      </c>
      <c r="U33" s="17" t="str">
        <f>IFERROR(VLOOKUP(シフト組み!U63,役職一覧!$B:$D,2,FALSE),"")</f>
        <v/>
      </c>
      <c r="V33" s="17" t="str">
        <f>IFERROR(VLOOKUP(シフト組み!V63,役職一覧!$B:$D,2,FALSE),"")</f>
        <v/>
      </c>
      <c r="W33" s="17" t="str">
        <f>IFERROR(VLOOKUP(シフト組み!W63,役職一覧!$B:$D,2,FALSE),"")</f>
        <v/>
      </c>
      <c r="X33" s="17" t="str">
        <f>IFERROR(VLOOKUP(シフト組み!X63,役職一覧!$B:$D,2,FALSE),"")</f>
        <v/>
      </c>
      <c r="Y33" s="17" t="str">
        <f>IFERROR(VLOOKUP(シフト組み!Y63,役職一覧!$B:$D,2,FALSE),"")</f>
        <v/>
      </c>
      <c r="Z33" s="17" t="str">
        <f>IFERROR(VLOOKUP(シフト組み!Z63,役職一覧!$B:$D,2,FALSE),"")</f>
        <v/>
      </c>
      <c r="AA33" s="17" t="str">
        <f>IFERROR(VLOOKUP(シフト組み!AA63,役職一覧!$B:$D,2,FALSE),"")</f>
        <v/>
      </c>
      <c r="AB33" s="17" t="str">
        <f>IFERROR(VLOOKUP(シフト組み!AB63,役職一覧!$B:$D,2,FALSE),"")</f>
        <v/>
      </c>
      <c r="AC33" s="17" t="str">
        <f>IFERROR(VLOOKUP(シフト組み!AC63,役職一覧!$B:$D,2,FALSE),"")</f>
        <v/>
      </c>
      <c r="AD33" s="17" t="str">
        <f>IFERROR(VLOOKUP(シフト組み!AD63,役職一覧!$B:$D,2,FALSE),"")</f>
        <v/>
      </c>
      <c r="AE33" s="17" t="str">
        <f>IFERROR(VLOOKUP(シフト組み!AE63,役職一覧!$B:$D,2,FALSE),"")</f>
        <v/>
      </c>
      <c r="AF33" s="17" t="str">
        <f>IFERROR(VLOOKUP(シフト組み!AF63,役職一覧!$B:$D,2,FALSE),"")</f>
        <v/>
      </c>
      <c r="AG33" s="17" t="str">
        <f>IFERROR(VLOOKUP(シフト組み!AG63,役職一覧!$B:$D,2,FALSE),"")</f>
        <v/>
      </c>
      <c r="AH33" s="17" t="str">
        <f>IFERROR(VLOOKUP(シフト組み!AH63,役職一覧!$B:$D,3,FALSE),"")</f>
        <v/>
      </c>
      <c r="AI33" s="17" t="str">
        <f>IFERROR(VLOOKUP(シフト組み!AI63,役職一覧!$B:$D,3,FALSE),"")</f>
        <v/>
      </c>
      <c r="AJ33" s="17" t="str">
        <f>IFERROR(VLOOKUP(シフト組み!AJ63,役職一覧!$B:$D,3,FALSE),"")</f>
        <v/>
      </c>
      <c r="AK33" s="17" t="str">
        <f>IFERROR(VLOOKUP(シフト組み!AK63,役職一覧!$B:$D,3,FALSE),"")</f>
        <v/>
      </c>
      <c r="AL33" s="17" t="str">
        <f>IFERROR(VLOOKUP(シフト組み!AL63,役職一覧!$B:$D,3,FALSE),"")</f>
        <v/>
      </c>
      <c r="AM33" s="17" t="str">
        <f>IFERROR(VLOOKUP(シフト組み!AM63,役職一覧!$B:$D,3,FALSE),"")</f>
        <v/>
      </c>
      <c r="AN33" s="17" t="str">
        <f>IFERROR(VLOOKUP(シフト組み!AN63,役職一覧!$B:$D,3,FALSE),"")</f>
        <v/>
      </c>
      <c r="AO33" s="17" t="str">
        <f>IFERROR(VLOOKUP(シフト組み!AO63,役職一覧!$B:$D,3,FALSE),"")</f>
        <v/>
      </c>
      <c r="AP33" s="17" t="str">
        <f>IFERROR(VLOOKUP(シフト組み!AP63,役職一覧!$B:$D,3,FALSE),"")</f>
        <v/>
      </c>
      <c r="AQ33" s="17" t="str">
        <f>IFERROR(VLOOKUP(シフト組み!AQ63,役職一覧!$B:$D,3,FALSE),"")</f>
        <v/>
      </c>
      <c r="AR33" s="17" t="str">
        <f>IFERROR(VLOOKUP(シフト組み!AR63,役職一覧!$B:$D,3,FALSE),"")</f>
        <v/>
      </c>
      <c r="AS33" s="17" t="str">
        <f>IFERROR(VLOOKUP(シフト組み!AS63,役職一覧!$B:$D,3,FALSE),"")</f>
        <v/>
      </c>
      <c r="AT33" s="17" t="str">
        <f>IFERROR(VLOOKUP(シフト組み!AT63,役職一覧!$B:$D,3,FALSE),"")</f>
        <v/>
      </c>
      <c r="AU33" s="17" t="str">
        <f>IFERROR(VLOOKUP(シフト組み!AU63,役職一覧!$B:$D,3,FALSE),"")</f>
        <v/>
      </c>
      <c r="AV33" s="17" t="str">
        <f>IFERROR(VLOOKUP(シフト組み!AV63,役職一覧!$B:$D,3,FALSE),"")</f>
        <v/>
      </c>
      <c r="AW33" s="17" t="str">
        <f>IFERROR(VLOOKUP(シフト組み!AW63,役職一覧!$B:$D,3,FALSE),"")</f>
        <v/>
      </c>
      <c r="AX33" s="17" t="str">
        <f>IFERROR(VLOOKUP(シフト組み!AX63,役職一覧!$B:$D,3,FALSE),"")</f>
        <v/>
      </c>
      <c r="AY33" s="17" t="str">
        <f>IFERROR(VLOOKUP(シフト組み!AY63,役職一覧!$B:$D,3,FALSE),"")</f>
        <v/>
      </c>
      <c r="AZ33" s="17" t="str">
        <f>IFERROR(VLOOKUP(シフト組み!AZ63,役職一覧!$B:$D,3,FALSE),"")</f>
        <v/>
      </c>
      <c r="BA33" s="17" t="str">
        <f>IFERROR(VLOOKUP(シフト組み!BA63,役職一覧!$B:$D,3,FALSE),"")</f>
        <v/>
      </c>
    </row>
    <row r="34" spans="1:53">
      <c r="A34" s="2" t="str">
        <f>シフト組み!A64&amp;""</f>
        <v/>
      </c>
      <c r="B34" s="2" t="str">
        <f>シフト組み!B64&amp;""</f>
        <v/>
      </c>
      <c r="C34" s="2" t="str">
        <f>シフト組み!C64&amp;""</f>
        <v/>
      </c>
      <c r="D34" s="17" t="str">
        <f>IFERROR(VLOOKUP(シフト組み!D64,役職一覧!$B:$D,2,FALSE),"")</f>
        <v/>
      </c>
      <c r="E34" s="17" t="str">
        <f>IFERROR(VLOOKUP(シフト組み!E64,役職一覧!$B:$D,2,FALSE),"")</f>
        <v/>
      </c>
      <c r="F34" s="17" t="str">
        <f>IFERROR(VLOOKUP(シフト組み!F64,役職一覧!$B:$D,2,FALSE),"")</f>
        <v/>
      </c>
      <c r="G34" s="17" t="str">
        <f>IFERROR(VLOOKUP(シフト組み!G64,役職一覧!$B:$D,2,FALSE),"")</f>
        <v/>
      </c>
      <c r="H34" s="17" t="str">
        <f>IFERROR(VLOOKUP(シフト組み!H64,役職一覧!$B:$D,2,FALSE),"")</f>
        <v/>
      </c>
      <c r="I34" s="17" t="str">
        <f>IFERROR(VLOOKUP(シフト組み!I64,役職一覧!$B:$D,2,FALSE),"")</f>
        <v/>
      </c>
      <c r="J34" s="17" t="str">
        <f>IFERROR(VLOOKUP(シフト組み!J64,役職一覧!$B:$D,2,FALSE),"")</f>
        <v/>
      </c>
      <c r="K34" s="17" t="str">
        <f>IFERROR(VLOOKUP(シフト組み!K64,役職一覧!$B:$D,2,FALSE),"")</f>
        <v/>
      </c>
      <c r="L34" s="17" t="str">
        <f>IFERROR(VLOOKUP(シフト組み!L64,役職一覧!$B:$D,2,FALSE),"")</f>
        <v/>
      </c>
      <c r="M34" s="17" t="str">
        <f>IFERROR(VLOOKUP(シフト組み!M64,役職一覧!$B:$D,2,FALSE),"")</f>
        <v/>
      </c>
      <c r="N34" s="17" t="str">
        <f>IFERROR(VLOOKUP(シフト組み!N64,役職一覧!$B:$D,2,FALSE),"")</f>
        <v/>
      </c>
      <c r="O34" s="17" t="str">
        <f>IFERROR(VLOOKUP(シフト組み!O64,役職一覧!$B:$D,2,FALSE),"")</f>
        <v/>
      </c>
      <c r="P34" s="17" t="str">
        <f>IFERROR(VLOOKUP(シフト組み!P64,役職一覧!$B:$D,2,FALSE),"")</f>
        <v/>
      </c>
      <c r="Q34" s="17" t="str">
        <f>IFERROR(VLOOKUP(シフト組み!Q64,役職一覧!$B:$D,2,FALSE),"")</f>
        <v/>
      </c>
      <c r="R34" s="17" t="str">
        <f>IFERROR(VLOOKUP(シフト組み!R64,役職一覧!$B:$D,2,FALSE),"")</f>
        <v/>
      </c>
      <c r="S34" s="17" t="str">
        <f>IFERROR(VLOOKUP(シフト組み!S64,役職一覧!$B:$D,2,FALSE),"")</f>
        <v/>
      </c>
      <c r="T34" s="17" t="str">
        <f>IFERROR(VLOOKUP(シフト組み!T64,役職一覧!$B:$D,2,FALSE),"")</f>
        <v/>
      </c>
      <c r="U34" s="17" t="str">
        <f>IFERROR(VLOOKUP(シフト組み!U64,役職一覧!$B:$D,2,FALSE),"")</f>
        <v/>
      </c>
      <c r="V34" s="17" t="str">
        <f>IFERROR(VLOOKUP(シフト組み!V64,役職一覧!$B:$D,2,FALSE),"")</f>
        <v/>
      </c>
      <c r="W34" s="17" t="str">
        <f>IFERROR(VLOOKUP(シフト組み!W64,役職一覧!$B:$D,2,FALSE),"")</f>
        <v/>
      </c>
      <c r="X34" s="17" t="str">
        <f>IFERROR(VLOOKUP(シフト組み!X64,役職一覧!$B:$D,2,FALSE),"")</f>
        <v/>
      </c>
      <c r="Y34" s="17" t="str">
        <f>IFERROR(VLOOKUP(シフト組み!Y64,役職一覧!$B:$D,2,FALSE),"")</f>
        <v/>
      </c>
      <c r="Z34" s="17" t="str">
        <f>IFERROR(VLOOKUP(シフト組み!Z64,役職一覧!$B:$D,2,FALSE),"")</f>
        <v/>
      </c>
      <c r="AA34" s="17" t="str">
        <f>IFERROR(VLOOKUP(シフト組み!AA64,役職一覧!$B:$D,2,FALSE),"")</f>
        <v/>
      </c>
      <c r="AB34" s="17" t="str">
        <f>IFERROR(VLOOKUP(シフト組み!AB64,役職一覧!$B:$D,2,FALSE),"")</f>
        <v/>
      </c>
      <c r="AC34" s="17" t="str">
        <f>IFERROR(VLOOKUP(シフト組み!AC64,役職一覧!$B:$D,2,FALSE),"")</f>
        <v/>
      </c>
      <c r="AD34" s="17" t="str">
        <f>IFERROR(VLOOKUP(シフト組み!AD64,役職一覧!$B:$D,2,FALSE),"")</f>
        <v/>
      </c>
      <c r="AE34" s="17" t="str">
        <f>IFERROR(VLOOKUP(シフト組み!AE64,役職一覧!$B:$D,2,FALSE),"")</f>
        <v/>
      </c>
      <c r="AF34" s="17" t="str">
        <f>IFERROR(VLOOKUP(シフト組み!AF64,役職一覧!$B:$D,2,FALSE),"")</f>
        <v/>
      </c>
      <c r="AG34" s="17" t="str">
        <f>IFERROR(VLOOKUP(シフト組み!AG64,役職一覧!$B:$D,2,FALSE),"")</f>
        <v/>
      </c>
      <c r="AH34" s="17" t="str">
        <f>IFERROR(VLOOKUP(シフト組み!AH64,役職一覧!$B:$D,3,FALSE),"")</f>
        <v/>
      </c>
      <c r="AI34" s="17" t="str">
        <f>IFERROR(VLOOKUP(シフト組み!AI64,役職一覧!$B:$D,3,FALSE),"")</f>
        <v/>
      </c>
      <c r="AJ34" s="17" t="str">
        <f>IFERROR(VLOOKUP(シフト組み!AJ64,役職一覧!$B:$D,3,FALSE),"")</f>
        <v/>
      </c>
      <c r="AK34" s="17" t="str">
        <f>IFERROR(VLOOKUP(シフト組み!AK64,役職一覧!$B:$D,3,FALSE),"")</f>
        <v/>
      </c>
      <c r="AL34" s="17" t="str">
        <f>IFERROR(VLOOKUP(シフト組み!AL64,役職一覧!$B:$D,3,FALSE),"")</f>
        <v/>
      </c>
      <c r="AM34" s="17" t="str">
        <f>IFERROR(VLOOKUP(シフト組み!AM64,役職一覧!$B:$D,3,FALSE),"")</f>
        <v/>
      </c>
      <c r="AN34" s="17" t="str">
        <f>IFERROR(VLOOKUP(シフト組み!AN64,役職一覧!$B:$D,3,FALSE),"")</f>
        <v/>
      </c>
      <c r="AO34" s="17" t="str">
        <f>IFERROR(VLOOKUP(シフト組み!AO64,役職一覧!$B:$D,3,FALSE),"")</f>
        <v/>
      </c>
      <c r="AP34" s="17" t="str">
        <f>IFERROR(VLOOKUP(シフト組み!AP64,役職一覧!$B:$D,3,FALSE),"")</f>
        <v/>
      </c>
      <c r="AQ34" s="17" t="str">
        <f>IFERROR(VLOOKUP(シフト組み!AQ64,役職一覧!$B:$D,3,FALSE),"")</f>
        <v/>
      </c>
      <c r="AR34" s="17" t="str">
        <f>IFERROR(VLOOKUP(シフト組み!AR64,役職一覧!$B:$D,3,FALSE),"")</f>
        <v/>
      </c>
      <c r="AS34" s="17" t="str">
        <f>IFERROR(VLOOKUP(シフト組み!AS64,役職一覧!$B:$D,3,FALSE),"")</f>
        <v/>
      </c>
      <c r="AT34" s="17" t="str">
        <f>IFERROR(VLOOKUP(シフト組み!AT64,役職一覧!$B:$D,3,FALSE),"")</f>
        <v/>
      </c>
      <c r="AU34" s="17" t="str">
        <f>IFERROR(VLOOKUP(シフト組み!AU64,役職一覧!$B:$D,3,FALSE),"")</f>
        <v/>
      </c>
      <c r="AV34" s="17" t="str">
        <f>IFERROR(VLOOKUP(シフト組み!AV64,役職一覧!$B:$D,3,FALSE),"")</f>
        <v/>
      </c>
      <c r="AW34" s="17" t="str">
        <f>IFERROR(VLOOKUP(シフト組み!AW64,役職一覧!$B:$D,3,FALSE),"")</f>
        <v/>
      </c>
      <c r="AX34" s="17" t="str">
        <f>IFERROR(VLOOKUP(シフト組み!AX64,役職一覧!$B:$D,3,FALSE),"")</f>
        <v/>
      </c>
      <c r="AY34" s="17" t="str">
        <f>IFERROR(VLOOKUP(シフト組み!AY64,役職一覧!$B:$D,3,FALSE),"")</f>
        <v/>
      </c>
      <c r="AZ34" s="17" t="str">
        <f>IFERROR(VLOOKUP(シフト組み!AZ64,役職一覧!$B:$D,3,FALSE),"")</f>
        <v/>
      </c>
      <c r="BA34" s="17" t="str">
        <f>IFERROR(VLOOKUP(シフト組み!BA64,役職一覧!$B:$D,3,FALSE),"")</f>
        <v/>
      </c>
    </row>
    <row r="35" spans="1:53">
      <c r="A35" s="2" t="str">
        <f>シフト組み!A65&amp;""</f>
        <v/>
      </c>
      <c r="B35" s="2" t="str">
        <f>シフト組み!B65&amp;""</f>
        <v/>
      </c>
      <c r="C35" s="2" t="str">
        <f>シフト組み!C65&amp;""</f>
        <v/>
      </c>
      <c r="D35" s="17" t="str">
        <f>IFERROR(VLOOKUP(シフト組み!D65,役職一覧!$B:$D,2,FALSE),"")</f>
        <v/>
      </c>
      <c r="E35" s="17" t="str">
        <f>IFERROR(VLOOKUP(シフト組み!E65,役職一覧!$B:$D,2,FALSE),"")</f>
        <v/>
      </c>
      <c r="F35" s="17" t="str">
        <f>IFERROR(VLOOKUP(シフト組み!F65,役職一覧!$B:$D,2,FALSE),"")</f>
        <v/>
      </c>
      <c r="G35" s="17" t="str">
        <f>IFERROR(VLOOKUP(シフト組み!G65,役職一覧!$B:$D,2,FALSE),"")</f>
        <v/>
      </c>
      <c r="H35" s="17" t="str">
        <f>IFERROR(VLOOKUP(シフト組み!H65,役職一覧!$B:$D,2,FALSE),"")</f>
        <v/>
      </c>
      <c r="I35" s="17" t="str">
        <f>IFERROR(VLOOKUP(シフト組み!I65,役職一覧!$B:$D,2,FALSE),"")</f>
        <v/>
      </c>
      <c r="J35" s="17" t="str">
        <f>IFERROR(VLOOKUP(シフト組み!J65,役職一覧!$B:$D,2,FALSE),"")</f>
        <v/>
      </c>
      <c r="K35" s="17" t="str">
        <f>IFERROR(VLOOKUP(シフト組み!K65,役職一覧!$B:$D,2,FALSE),"")</f>
        <v/>
      </c>
      <c r="L35" s="17" t="str">
        <f>IFERROR(VLOOKUP(シフト組み!L65,役職一覧!$B:$D,2,FALSE),"")</f>
        <v/>
      </c>
      <c r="M35" s="17" t="str">
        <f>IFERROR(VLOOKUP(シフト組み!M65,役職一覧!$B:$D,2,FALSE),"")</f>
        <v/>
      </c>
      <c r="N35" s="17" t="str">
        <f>IFERROR(VLOOKUP(シフト組み!N65,役職一覧!$B:$D,2,FALSE),"")</f>
        <v/>
      </c>
      <c r="O35" s="17" t="str">
        <f>IFERROR(VLOOKUP(シフト組み!O65,役職一覧!$B:$D,2,FALSE),"")</f>
        <v/>
      </c>
      <c r="P35" s="17" t="str">
        <f>IFERROR(VLOOKUP(シフト組み!P65,役職一覧!$B:$D,2,FALSE),"")</f>
        <v/>
      </c>
      <c r="Q35" s="17" t="str">
        <f>IFERROR(VLOOKUP(シフト組み!Q65,役職一覧!$B:$D,2,FALSE),"")</f>
        <v/>
      </c>
      <c r="R35" s="17" t="str">
        <f>IFERROR(VLOOKUP(シフト組み!R65,役職一覧!$B:$D,2,FALSE),"")</f>
        <v/>
      </c>
      <c r="S35" s="17" t="str">
        <f>IFERROR(VLOOKUP(シフト組み!S65,役職一覧!$B:$D,2,FALSE),"")</f>
        <v/>
      </c>
      <c r="T35" s="17" t="str">
        <f>IFERROR(VLOOKUP(シフト組み!T65,役職一覧!$B:$D,2,FALSE),"")</f>
        <v/>
      </c>
      <c r="U35" s="17" t="str">
        <f>IFERROR(VLOOKUP(シフト組み!U65,役職一覧!$B:$D,2,FALSE),"")</f>
        <v/>
      </c>
      <c r="V35" s="17" t="str">
        <f>IFERROR(VLOOKUP(シフト組み!V65,役職一覧!$B:$D,2,FALSE),"")</f>
        <v/>
      </c>
      <c r="W35" s="17" t="str">
        <f>IFERROR(VLOOKUP(シフト組み!W65,役職一覧!$B:$D,2,FALSE),"")</f>
        <v/>
      </c>
      <c r="X35" s="17" t="str">
        <f>IFERROR(VLOOKUP(シフト組み!X65,役職一覧!$B:$D,2,FALSE),"")</f>
        <v/>
      </c>
      <c r="Y35" s="17" t="str">
        <f>IFERROR(VLOOKUP(シフト組み!Y65,役職一覧!$B:$D,2,FALSE),"")</f>
        <v/>
      </c>
      <c r="Z35" s="17" t="str">
        <f>IFERROR(VLOOKUP(シフト組み!Z65,役職一覧!$B:$D,2,FALSE),"")</f>
        <v/>
      </c>
      <c r="AA35" s="17" t="str">
        <f>IFERROR(VLOOKUP(シフト組み!AA65,役職一覧!$B:$D,2,FALSE),"")</f>
        <v/>
      </c>
      <c r="AB35" s="17" t="str">
        <f>IFERROR(VLOOKUP(シフト組み!AB65,役職一覧!$B:$D,2,FALSE),"")</f>
        <v/>
      </c>
      <c r="AC35" s="17" t="str">
        <f>IFERROR(VLOOKUP(シフト組み!AC65,役職一覧!$B:$D,2,FALSE),"")</f>
        <v/>
      </c>
      <c r="AD35" s="17" t="str">
        <f>IFERROR(VLOOKUP(シフト組み!AD65,役職一覧!$B:$D,2,FALSE),"")</f>
        <v/>
      </c>
      <c r="AE35" s="17" t="str">
        <f>IFERROR(VLOOKUP(シフト組み!AE65,役職一覧!$B:$D,2,FALSE),"")</f>
        <v/>
      </c>
      <c r="AF35" s="17" t="str">
        <f>IFERROR(VLOOKUP(シフト組み!AF65,役職一覧!$B:$D,2,FALSE),"")</f>
        <v/>
      </c>
      <c r="AG35" s="17" t="str">
        <f>IFERROR(VLOOKUP(シフト組み!AG65,役職一覧!$B:$D,2,FALSE),"")</f>
        <v/>
      </c>
      <c r="AH35" s="17" t="str">
        <f>IFERROR(VLOOKUP(シフト組み!AH65,役職一覧!$B:$D,3,FALSE),"")</f>
        <v/>
      </c>
      <c r="AI35" s="17" t="str">
        <f>IFERROR(VLOOKUP(シフト組み!AI65,役職一覧!$B:$D,3,FALSE),"")</f>
        <v/>
      </c>
      <c r="AJ35" s="17" t="str">
        <f>IFERROR(VLOOKUP(シフト組み!AJ65,役職一覧!$B:$D,3,FALSE),"")</f>
        <v/>
      </c>
      <c r="AK35" s="17" t="str">
        <f>IFERROR(VLOOKUP(シフト組み!AK65,役職一覧!$B:$D,3,FALSE),"")</f>
        <v/>
      </c>
      <c r="AL35" s="17" t="str">
        <f>IFERROR(VLOOKUP(シフト組み!AL65,役職一覧!$B:$D,3,FALSE),"")</f>
        <v/>
      </c>
      <c r="AM35" s="17" t="str">
        <f>IFERROR(VLOOKUP(シフト組み!AM65,役職一覧!$B:$D,3,FALSE),"")</f>
        <v/>
      </c>
      <c r="AN35" s="17" t="str">
        <f>IFERROR(VLOOKUP(シフト組み!AN65,役職一覧!$B:$D,3,FALSE),"")</f>
        <v/>
      </c>
      <c r="AO35" s="17" t="str">
        <f>IFERROR(VLOOKUP(シフト組み!AO65,役職一覧!$B:$D,3,FALSE),"")</f>
        <v/>
      </c>
      <c r="AP35" s="17" t="str">
        <f>IFERROR(VLOOKUP(シフト組み!AP65,役職一覧!$B:$D,3,FALSE),"")</f>
        <v/>
      </c>
      <c r="AQ35" s="17" t="str">
        <f>IFERROR(VLOOKUP(シフト組み!AQ65,役職一覧!$B:$D,3,FALSE),"")</f>
        <v/>
      </c>
      <c r="AR35" s="17" t="str">
        <f>IFERROR(VLOOKUP(シフト組み!AR65,役職一覧!$B:$D,3,FALSE),"")</f>
        <v/>
      </c>
      <c r="AS35" s="17" t="str">
        <f>IFERROR(VLOOKUP(シフト組み!AS65,役職一覧!$B:$D,3,FALSE),"")</f>
        <v/>
      </c>
      <c r="AT35" s="17" t="str">
        <f>IFERROR(VLOOKUP(シフト組み!AT65,役職一覧!$B:$D,3,FALSE),"")</f>
        <v/>
      </c>
      <c r="AU35" s="17" t="str">
        <f>IFERROR(VLOOKUP(シフト組み!AU65,役職一覧!$B:$D,3,FALSE),"")</f>
        <v/>
      </c>
      <c r="AV35" s="17" t="str">
        <f>IFERROR(VLOOKUP(シフト組み!AV65,役職一覧!$B:$D,3,FALSE),"")</f>
        <v/>
      </c>
      <c r="AW35" s="17" t="str">
        <f>IFERROR(VLOOKUP(シフト組み!AW65,役職一覧!$B:$D,3,FALSE),"")</f>
        <v/>
      </c>
      <c r="AX35" s="17" t="str">
        <f>IFERROR(VLOOKUP(シフト組み!AX65,役職一覧!$B:$D,3,FALSE),"")</f>
        <v/>
      </c>
      <c r="AY35" s="17" t="str">
        <f>IFERROR(VLOOKUP(シフト組み!AY65,役職一覧!$B:$D,3,FALSE),"")</f>
        <v/>
      </c>
      <c r="AZ35" s="17" t="str">
        <f>IFERROR(VLOOKUP(シフト組み!AZ65,役職一覧!$B:$D,3,FALSE),"")</f>
        <v/>
      </c>
      <c r="BA35" s="17" t="str">
        <f>IFERROR(VLOOKUP(シフト組み!BA65,役職一覧!$B:$D,3,FALSE),"")</f>
        <v/>
      </c>
    </row>
    <row r="36" spans="1:53">
      <c r="A36" s="2" t="str">
        <f>シフト組み!A66&amp;""</f>
        <v/>
      </c>
      <c r="B36" s="2" t="str">
        <f>シフト組み!B66&amp;""</f>
        <v/>
      </c>
      <c r="C36" s="2" t="str">
        <f>シフト組み!C66&amp;""</f>
        <v/>
      </c>
      <c r="D36" s="17" t="str">
        <f>IFERROR(VLOOKUP(シフト組み!D66,役職一覧!$B:$D,2,FALSE),"")</f>
        <v/>
      </c>
      <c r="E36" s="17" t="str">
        <f>IFERROR(VLOOKUP(シフト組み!E66,役職一覧!$B:$D,2,FALSE),"")</f>
        <v/>
      </c>
      <c r="F36" s="17" t="str">
        <f>IFERROR(VLOOKUP(シフト組み!F66,役職一覧!$B:$D,2,FALSE),"")</f>
        <v/>
      </c>
      <c r="G36" s="17" t="str">
        <f>IFERROR(VLOOKUP(シフト組み!G66,役職一覧!$B:$D,2,FALSE),"")</f>
        <v/>
      </c>
      <c r="H36" s="17" t="str">
        <f>IFERROR(VLOOKUP(シフト組み!H66,役職一覧!$B:$D,2,FALSE),"")</f>
        <v/>
      </c>
      <c r="I36" s="17" t="str">
        <f>IFERROR(VLOOKUP(シフト組み!I66,役職一覧!$B:$D,2,FALSE),"")</f>
        <v/>
      </c>
      <c r="J36" s="17" t="str">
        <f>IFERROR(VLOOKUP(シフト組み!J66,役職一覧!$B:$D,2,FALSE),"")</f>
        <v/>
      </c>
      <c r="K36" s="17" t="str">
        <f>IFERROR(VLOOKUP(シフト組み!K66,役職一覧!$B:$D,2,FALSE),"")</f>
        <v/>
      </c>
      <c r="L36" s="17" t="str">
        <f>IFERROR(VLOOKUP(シフト組み!L66,役職一覧!$B:$D,2,FALSE),"")</f>
        <v/>
      </c>
      <c r="M36" s="17" t="str">
        <f>IFERROR(VLOOKUP(シフト組み!M66,役職一覧!$B:$D,2,FALSE),"")</f>
        <v/>
      </c>
      <c r="N36" s="17" t="str">
        <f>IFERROR(VLOOKUP(シフト組み!N66,役職一覧!$B:$D,2,FALSE),"")</f>
        <v/>
      </c>
      <c r="O36" s="17" t="str">
        <f>IFERROR(VLOOKUP(シフト組み!O66,役職一覧!$B:$D,2,FALSE),"")</f>
        <v/>
      </c>
      <c r="P36" s="17" t="str">
        <f>IFERROR(VLOOKUP(シフト組み!P66,役職一覧!$B:$D,2,FALSE),"")</f>
        <v/>
      </c>
      <c r="Q36" s="17" t="str">
        <f>IFERROR(VLOOKUP(シフト組み!Q66,役職一覧!$B:$D,2,FALSE),"")</f>
        <v/>
      </c>
      <c r="R36" s="17" t="str">
        <f>IFERROR(VLOOKUP(シフト組み!R66,役職一覧!$B:$D,2,FALSE),"")</f>
        <v/>
      </c>
      <c r="S36" s="17" t="str">
        <f>IFERROR(VLOOKUP(シフト組み!S66,役職一覧!$B:$D,2,FALSE),"")</f>
        <v/>
      </c>
      <c r="T36" s="17" t="str">
        <f>IFERROR(VLOOKUP(シフト組み!T66,役職一覧!$B:$D,2,FALSE),"")</f>
        <v/>
      </c>
      <c r="U36" s="17" t="str">
        <f>IFERROR(VLOOKUP(シフト組み!U66,役職一覧!$B:$D,2,FALSE),"")</f>
        <v/>
      </c>
      <c r="V36" s="17" t="str">
        <f>IFERROR(VLOOKUP(シフト組み!V66,役職一覧!$B:$D,2,FALSE),"")</f>
        <v/>
      </c>
      <c r="W36" s="17" t="str">
        <f>IFERROR(VLOOKUP(シフト組み!W66,役職一覧!$B:$D,2,FALSE),"")</f>
        <v/>
      </c>
      <c r="X36" s="17" t="str">
        <f>IFERROR(VLOOKUP(シフト組み!X66,役職一覧!$B:$D,2,FALSE),"")</f>
        <v/>
      </c>
      <c r="Y36" s="17" t="str">
        <f>IFERROR(VLOOKUP(シフト組み!Y66,役職一覧!$B:$D,2,FALSE),"")</f>
        <v/>
      </c>
      <c r="Z36" s="17" t="str">
        <f>IFERROR(VLOOKUP(シフト組み!Z66,役職一覧!$B:$D,2,FALSE),"")</f>
        <v/>
      </c>
      <c r="AA36" s="17" t="str">
        <f>IFERROR(VLOOKUP(シフト組み!AA66,役職一覧!$B:$D,2,FALSE),"")</f>
        <v/>
      </c>
      <c r="AB36" s="17" t="str">
        <f>IFERROR(VLOOKUP(シフト組み!AB66,役職一覧!$B:$D,2,FALSE),"")</f>
        <v/>
      </c>
      <c r="AC36" s="17" t="str">
        <f>IFERROR(VLOOKUP(シフト組み!AC66,役職一覧!$B:$D,2,FALSE),"")</f>
        <v/>
      </c>
      <c r="AD36" s="17" t="str">
        <f>IFERROR(VLOOKUP(シフト組み!AD66,役職一覧!$B:$D,2,FALSE),"")</f>
        <v/>
      </c>
      <c r="AE36" s="17" t="str">
        <f>IFERROR(VLOOKUP(シフト組み!AE66,役職一覧!$B:$D,2,FALSE),"")</f>
        <v/>
      </c>
      <c r="AF36" s="17" t="str">
        <f>IFERROR(VLOOKUP(シフト組み!AF66,役職一覧!$B:$D,2,FALSE),"")</f>
        <v/>
      </c>
      <c r="AG36" s="17" t="str">
        <f>IFERROR(VLOOKUP(シフト組み!AG66,役職一覧!$B:$D,2,FALSE),"")</f>
        <v/>
      </c>
      <c r="AH36" s="17" t="str">
        <f>IFERROR(VLOOKUP(シフト組み!AH66,役職一覧!$B:$D,3,FALSE),"")</f>
        <v/>
      </c>
      <c r="AI36" s="17" t="str">
        <f>IFERROR(VLOOKUP(シフト組み!AI66,役職一覧!$B:$D,3,FALSE),"")</f>
        <v/>
      </c>
      <c r="AJ36" s="17" t="str">
        <f>IFERROR(VLOOKUP(シフト組み!AJ66,役職一覧!$B:$D,3,FALSE),"")</f>
        <v/>
      </c>
      <c r="AK36" s="17" t="str">
        <f>IFERROR(VLOOKUP(シフト組み!AK66,役職一覧!$B:$D,3,FALSE),"")</f>
        <v/>
      </c>
      <c r="AL36" s="17" t="str">
        <f>IFERROR(VLOOKUP(シフト組み!AL66,役職一覧!$B:$D,3,FALSE),"")</f>
        <v/>
      </c>
      <c r="AM36" s="17" t="str">
        <f>IFERROR(VLOOKUP(シフト組み!AM66,役職一覧!$B:$D,3,FALSE),"")</f>
        <v/>
      </c>
      <c r="AN36" s="17" t="str">
        <f>IFERROR(VLOOKUP(シフト組み!AN66,役職一覧!$B:$D,3,FALSE),"")</f>
        <v/>
      </c>
      <c r="AO36" s="17" t="str">
        <f>IFERROR(VLOOKUP(シフト組み!AO66,役職一覧!$B:$D,3,FALSE),"")</f>
        <v/>
      </c>
      <c r="AP36" s="17" t="str">
        <f>IFERROR(VLOOKUP(シフト組み!AP66,役職一覧!$B:$D,3,FALSE),"")</f>
        <v/>
      </c>
      <c r="AQ36" s="17" t="str">
        <f>IFERROR(VLOOKUP(シフト組み!AQ66,役職一覧!$B:$D,3,FALSE),"")</f>
        <v/>
      </c>
      <c r="AR36" s="17" t="str">
        <f>IFERROR(VLOOKUP(シフト組み!AR66,役職一覧!$B:$D,3,FALSE),"")</f>
        <v/>
      </c>
      <c r="AS36" s="17" t="str">
        <f>IFERROR(VLOOKUP(シフト組み!AS66,役職一覧!$B:$D,3,FALSE),"")</f>
        <v/>
      </c>
      <c r="AT36" s="17" t="str">
        <f>IFERROR(VLOOKUP(シフト組み!AT66,役職一覧!$B:$D,3,FALSE),"")</f>
        <v/>
      </c>
      <c r="AU36" s="17" t="str">
        <f>IFERROR(VLOOKUP(シフト組み!AU66,役職一覧!$B:$D,3,FALSE),"")</f>
        <v/>
      </c>
      <c r="AV36" s="17" t="str">
        <f>IFERROR(VLOOKUP(シフト組み!AV66,役職一覧!$B:$D,3,FALSE),"")</f>
        <v/>
      </c>
      <c r="AW36" s="17" t="str">
        <f>IFERROR(VLOOKUP(シフト組み!AW66,役職一覧!$B:$D,3,FALSE),"")</f>
        <v/>
      </c>
      <c r="AX36" s="17" t="str">
        <f>IFERROR(VLOOKUP(シフト組み!AX66,役職一覧!$B:$D,3,FALSE),"")</f>
        <v/>
      </c>
      <c r="AY36" s="17" t="str">
        <f>IFERROR(VLOOKUP(シフト組み!AY66,役職一覧!$B:$D,3,FALSE),"")</f>
        <v/>
      </c>
      <c r="AZ36" s="17" t="str">
        <f>IFERROR(VLOOKUP(シフト組み!AZ66,役職一覧!$B:$D,3,FALSE),"")</f>
        <v/>
      </c>
      <c r="BA36" s="17" t="str">
        <f>IFERROR(VLOOKUP(シフト組み!BA66,役職一覧!$B:$D,3,FALSE),"")</f>
        <v/>
      </c>
    </row>
    <row r="37" spans="1:53">
      <c r="A37" s="2" t="str">
        <f>シフト組み!A67&amp;""</f>
        <v/>
      </c>
      <c r="B37" s="2" t="str">
        <f>シフト組み!B67&amp;""</f>
        <v/>
      </c>
      <c r="C37" s="2" t="str">
        <f>シフト組み!C67&amp;""</f>
        <v/>
      </c>
      <c r="D37" s="17" t="str">
        <f>IFERROR(VLOOKUP(シフト組み!D67,役職一覧!$B:$D,2,FALSE),"")</f>
        <v/>
      </c>
      <c r="E37" s="17" t="str">
        <f>IFERROR(VLOOKUP(シフト組み!E67,役職一覧!$B:$D,2,FALSE),"")</f>
        <v/>
      </c>
      <c r="F37" s="17" t="str">
        <f>IFERROR(VLOOKUP(シフト組み!F67,役職一覧!$B:$D,2,FALSE),"")</f>
        <v/>
      </c>
      <c r="G37" s="17" t="str">
        <f>IFERROR(VLOOKUP(シフト組み!G67,役職一覧!$B:$D,2,FALSE),"")</f>
        <v/>
      </c>
      <c r="H37" s="17" t="str">
        <f>IFERROR(VLOOKUP(シフト組み!H67,役職一覧!$B:$D,2,FALSE),"")</f>
        <v/>
      </c>
      <c r="I37" s="17" t="str">
        <f>IFERROR(VLOOKUP(シフト組み!I67,役職一覧!$B:$D,2,FALSE),"")</f>
        <v/>
      </c>
      <c r="J37" s="17" t="str">
        <f>IFERROR(VLOOKUP(シフト組み!J67,役職一覧!$B:$D,2,FALSE),"")</f>
        <v/>
      </c>
      <c r="K37" s="17" t="str">
        <f>IFERROR(VLOOKUP(シフト組み!K67,役職一覧!$B:$D,2,FALSE),"")</f>
        <v/>
      </c>
      <c r="L37" s="17" t="str">
        <f>IFERROR(VLOOKUP(シフト組み!L67,役職一覧!$B:$D,2,FALSE),"")</f>
        <v/>
      </c>
      <c r="M37" s="17" t="str">
        <f>IFERROR(VLOOKUP(シフト組み!M67,役職一覧!$B:$D,2,FALSE),"")</f>
        <v/>
      </c>
      <c r="N37" s="17" t="str">
        <f>IFERROR(VLOOKUP(シフト組み!N67,役職一覧!$B:$D,2,FALSE),"")</f>
        <v/>
      </c>
      <c r="O37" s="17" t="str">
        <f>IFERROR(VLOOKUP(シフト組み!O67,役職一覧!$B:$D,2,FALSE),"")</f>
        <v/>
      </c>
      <c r="P37" s="17" t="str">
        <f>IFERROR(VLOOKUP(シフト組み!P67,役職一覧!$B:$D,2,FALSE),"")</f>
        <v/>
      </c>
      <c r="Q37" s="17" t="str">
        <f>IFERROR(VLOOKUP(シフト組み!Q67,役職一覧!$B:$D,2,FALSE),"")</f>
        <v/>
      </c>
      <c r="R37" s="17" t="str">
        <f>IFERROR(VLOOKUP(シフト組み!R67,役職一覧!$B:$D,2,FALSE),"")</f>
        <v/>
      </c>
      <c r="S37" s="17" t="str">
        <f>IFERROR(VLOOKUP(シフト組み!S67,役職一覧!$B:$D,2,FALSE),"")</f>
        <v/>
      </c>
      <c r="T37" s="17" t="str">
        <f>IFERROR(VLOOKUP(シフト組み!T67,役職一覧!$B:$D,2,FALSE),"")</f>
        <v/>
      </c>
      <c r="U37" s="17" t="str">
        <f>IFERROR(VLOOKUP(シフト組み!U67,役職一覧!$B:$D,2,FALSE),"")</f>
        <v/>
      </c>
      <c r="V37" s="17" t="str">
        <f>IFERROR(VLOOKUP(シフト組み!V67,役職一覧!$B:$D,2,FALSE),"")</f>
        <v/>
      </c>
      <c r="W37" s="17" t="str">
        <f>IFERROR(VLOOKUP(シフト組み!W67,役職一覧!$B:$D,2,FALSE),"")</f>
        <v/>
      </c>
      <c r="X37" s="17" t="str">
        <f>IFERROR(VLOOKUP(シフト組み!X67,役職一覧!$B:$D,2,FALSE),"")</f>
        <v/>
      </c>
      <c r="Y37" s="17" t="str">
        <f>IFERROR(VLOOKUP(シフト組み!Y67,役職一覧!$B:$D,2,FALSE),"")</f>
        <v/>
      </c>
      <c r="Z37" s="17" t="str">
        <f>IFERROR(VLOOKUP(シフト組み!Z67,役職一覧!$B:$D,2,FALSE),"")</f>
        <v/>
      </c>
      <c r="AA37" s="17" t="str">
        <f>IFERROR(VLOOKUP(シフト組み!AA67,役職一覧!$B:$D,2,FALSE),"")</f>
        <v/>
      </c>
      <c r="AB37" s="17" t="str">
        <f>IFERROR(VLOOKUP(シフト組み!AB67,役職一覧!$B:$D,2,FALSE),"")</f>
        <v/>
      </c>
      <c r="AC37" s="17" t="str">
        <f>IFERROR(VLOOKUP(シフト組み!AC67,役職一覧!$B:$D,2,FALSE),"")</f>
        <v/>
      </c>
      <c r="AD37" s="17" t="str">
        <f>IFERROR(VLOOKUP(シフト組み!AD67,役職一覧!$B:$D,2,FALSE),"")</f>
        <v/>
      </c>
      <c r="AE37" s="17" t="str">
        <f>IFERROR(VLOOKUP(シフト組み!AE67,役職一覧!$B:$D,2,FALSE),"")</f>
        <v/>
      </c>
      <c r="AF37" s="17" t="str">
        <f>IFERROR(VLOOKUP(シフト組み!AF67,役職一覧!$B:$D,2,FALSE),"")</f>
        <v/>
      </c>
      <c r="AG37" s="17" t="str">
        <f>IFERROR(VLOOKUP(シフト組み!AG67,役職一覧!$B:$D,2,FALSE),"")</f>
        <v/>
      </c>
      <c r="AH37" s="17" t="str">
        <f>IFERROR(VLOOKUP(シフト組み!AH67,役職一覧!$B:$D,3,FALSE),"")</f>
        <v/>
      </c>
      <c r="AI37" s="17" t="str">
        <f>IFERROR(VLOOKUP(シフト組み!AI67,役職一覧!$B:$D,3,FALSE),"")</f>
        <v/>
      </c>
      <c r="AJ37" s="17" t="str">
        <f>IFERROR(VLOOKUP(シフト組み!AJ67,役職一覧!$B:$D,3,FALSE),"")</f>
        <v/>
      </c>
      <c r="AK37" s="17" t="str">
        <f>IFERROR(VLOOKUP(シフト組み!AK67,役職一覧!$B:$D,3,FALSE),"")</f>
        <v/>
      </c>
      <c r="AL37" s="17" t="str">
        <f>IFERROR(VLOOKUP(シフト組み!AL67,役職一覧!$B:$D,3,FALSE),"")</f>
        <v/>
      </c>
      <c r="AM37" s="17" t="str">
        <f>IFERROR(VLOOKUP(シフト組み!AM67,役職一覧!$B:$D,3,FALSE),"")</f>
        <v/>
      </c>
      <c r="AN37" s="17" t="str">
        <f>IFERROR(VLOOKUP(シフト組み!AN67,役職一覧!$B:$D,3,FALSE),"")</f>
        <v/>
      </c>
      <c r="AO37" s="17" t="str">
        <f>IFERROR(VLOOKUP(シフト組み!AO67,役職一覧!$B:$D,3,FALSE),"")</f>
        <v/>
      </c>
      <c r="AP37" s="17" t="str">
        <f>IFERROR(VLOOKUP(シフト組み!AP67,役職一覧!$B:$D,3,FALSE),"")</f>
        <v/>
      </c>
      <c r="AQ37" s="17" t="str">
        <f>IFERROR(VLOOKUP(シフト組み!AQ67,役職一覧!$B:$D,3,FALSE),"")</f>
        <v/>
      </c>
      <c r="AR37" s="17" t="str">
        <f>IFERROR(VLOOKUP(シフト組み!AR67,役職一覧!$B:$D,3,FALSE),"")</f>
        <v/>
      </c>
      <c r="AS37" s="17" t="str">
        <f>IFERROR(VLOOKUP(シフト組み!AS67,役職一覧!$B:$D,3,FALSE),"")</f>
        <v/>
      </c>
      <c r="AT37" s="17" t="str">
        <f>IFERROR(VLOOKUP(シフト組み!AT67,役職一覧!$B:$D,3,FALSE),"")</f>
        <v/>
      </c>
      <c r="AU37" s="17" t="str">
        <f>IFERROR(VLOOKUP(シフト組み!AU67,役職一覧!$B:$D,3,FALSE),"")</f>
        <v/>
      </c>
      <c r="AV37" s="17" t="str">
        <f>IFERROR(VLOOKUP(シフト組み!AV67,役職一覧!$B:$D,3,FALSE),"")</f>
        <v/>
      </c>
      <c r="AW37" s="17" t="str">
        <f>IFERROR(VLOOKUP(シフト組み!AW67,役職一覧!$B:$D,3,FALSE),"")</f>
        <v/>
      </c>
      <c r="AX37" s="17" t="str">
        <f>IFERROR(VLOOKUP(シフト組み!AX67,役職一覧!$B:$D,3,FALSE),"")</f>
        <v/>
      </c>
      <c r="AY37" s="17" t="str">
        <f>IFERROR(VLOOKUP(シフト組み!AY67,役職一覧!$B:$D,3,FALSE),"")</f>
        <v/>
      </c>
      <c r="AZ37" s="17" t="str">
        <f>IFERROR(VLOOKUP(シフト組み!AZ67,役職一覧!$B:$D,3,FALSE),"")</f>
        <v/>
      </c>
      <c r="BA37" s="17" t="str">
        <f>IFERROR(VLOOKUP(シフト組み!BA67,役職一覧!$B:$D,3,FALSE),"")</f>
        <v/>
      </c>
    </row>
    <row r="38" spans="1:53">
      <c r="A38" s="2" t="str">
        <f>シフト組み!A68&amp;""</f>
        <v/>
      </c>
      <c r="B38" s="2" t="str">
        <f>シフト組み!B68&amp;""</f>
        <v/>
      </c>
      <c r="C38" s="2" t="str">
        <f>シフト組み!C68&amp;""</f>
        <v/>
      </c>
      <c r="D38" s="17" t="str">
        <f>IFERROR(VLOOKUP(シフト組み!D68,役職一覧!$B:$D,2,FALSE),"")</f>
        <v/>
      </c>
      <c r="E38" s="17" t="str">
        <f>IFERROR(VLOOKUP(シフト組み!E68,役職一覧!$B:$D,2,FALSE),"")</f>
        <v/>
      </c>
      <c r="F38" s="17" t="str">
        <f>IFERROR(VLOOKUP(シフト組み!F68,役職一覧!$B:$D,2,FALSE),"")</f>
        <v/>
      </c>
      <c r="G38" s="17" t="str">
        <f>IFERROR(VLOOKUP(シフト組み!G68,役職一覧!$B:$D,2,FALSE),"")</f>
        <v/>
      </c>
      <c r="H38" s="17" t="str">
        <f>IFERROR(VLOOKUP(シフト組み!H68,役職一覧!$B:$D,2,FALSE),"")</f>
        <v/>
      </c>
      <c r="I38" s="17" t="str">
        <f>IFERROR(VLOOKUP(シフト組み!I68,役職一覧!$B:$D,2,FALSE),"")</f>
        <v/>
      </c>
      <c r="J38" s="17" t="str">
        <f>IFERROR(VLOOKUP(シフト組み!J68,役職一覧!$B:$D,2,FALSE),"")</f>
        <v/>
      </c>
      <c r="K38" s="17" t="str">
        <f>IFERROR(VLOOKUP(シフト組み!K68,役職一覧!$B:$D,2,FALSE),"")</f>
        <v/>
      </c>
      <c r="L38" s="17" t="str">
        <f>IFERROR(VLOOKUP(シフト組み!L68,役職一覧!$B:$D,2,FALSE),"")</f>
        <v/>
      </c>
      <c r="M38" s="17" t="str">
        <f>IFERROR(VLOOKUP(シフト組み!M68,役職一覧!$B:$D,2,FALSE),"")</f>
        <v/>
      </c>
      <c r="N38" s="17" t="str">
        <f>IFERROR(VLOOKUP(シフト組み!N68,役職一覧!$B:$D,2,FALSE),"")</f>
        <v/>
      </c>
      <c r="O38" s="17" t="str">
        <f>IFERROR(VLOOKUP(シフト組み!O68,役職一覧!$B:$D,2,FALSE),"")</f>
        <v/>
      </c>
      <c r="P38" s="17" t="str">
        <f>IFERROR(VLOOKUP(シフト組み!P68,役職一覧!$B:$D,2,FALSE),"")</f>
        <v/>
      </c>
      <c r="Q38" s="17" t="str">
        <f>IFERROR(VLOOKUP(シフト組み!Q68,役職一覧!$B:$D,2,FALSE),"")</f>
        <v/>
      </c>
      <c r="R38" s="17" t="str">
        <f>IFERROR(VLOOKUP(シフト組み!R68,役職一覧!$B:$D,2,FALSE),"")</f>
        <v/>
      </c>
      <c r="S38" s="17" t="str">
        <f>IFERROR(VLOOKUP(シフト組み!S68,役職一覧!$B:$D,2,FALSE),"")</f>
        <v/>
      </c>
      <c r="T38" s="17" t="str">
        <f>IFERROR(VLOOKUP(シフト組み!T68,役職一覧!$B:$D,2,FALSE),"")</f>
        <v/>
      </c>
      <c r="U38" s="17" t="str">
        <f>IFERROR(VLOOKUP(シフト組み!U68,役職一覧!$B:$D,2,FALSE),"")</f>
        <v/>
      </c>
      <c r="V38" s="17" t="str">
        <f>IFERROR(VLOOKUP(シフト組み!V68,役職一覧!$B:$D,2,FALSE),"")</f>
        <v/>
      </c>
      <c r="W38" s="17" t="str">
        <f>IFERROR(VLOOKUP(シフト組み!W68,役職一覧!$B:$D,2,FALSE),"")</f>
        <v/>
      </c>
      <c r="X38" s="17" t="str">
        <f>IFERROR(VLOOKUP(シフト組み!X68,役職一覧!$B:$D,2,FALSE),"")</f>
        <v/>
      </c>
      <c r="Y38" s="17" t="str">
        <f>IFERROR(VLOOKUP(シフト組み!Y68,役職一覧!$B:$D,2,FALSE),"")</f>
        <v/>
      </c>
      <c r="Z38" s="17" t="str">
        <f>IFERROR(VLOOKUP(シフト組み!Z68,役職一覧!$B:$D,2,FALSE),"")</f>
        <v/>
      </c>
      <c r="AA38" s="17" t="str">
        <f>IFERROR(VLOOKUP(シフト組み!AA68,役職一覧!$B:$D,2,FALSE),"")</f>
        <v/>
      </c>
      <c r="AB38" s="17" t="str">
        <f>IFERROR(VLOOKUP(シフト組み!AB68,役職一覧!$B:$D,2,FALSE),"")</f>
        <v/>
      </c>
      <c r="AC38" s="17" t="str">
        <f>IFERROR(VLOOKUP(シフト組み!AC68,役職一覧!$B:$D,2,FALSE),"")</f>
        <v/>
      </c>
      <c r="AD38" s="17" t="str">
        <f>IFERROR(VLOOKUP(シフト組み!AD68,役職一覧!$B:$D,2,FALSE),"")</f>
        <v/>
      </c>
      <c r="AE38" s="17" t="str">
        <f>IFERROR(VLOOKUP(シフト組み!AE68,役職一覧!$B:$D,2,FALSE),"")</f>
        <v/>
      </c>
      <c r="AF38" s="17" t="str">
        <f>IFERROR(VLOOKUP(シフト組み!AF68,役職一覧!$B:$D,2,FALSE),"")</f>
        <v/>
      </c>
      <c r="AG38" s="17" t="str">
        <f>IFERROR(VLOOKUP(シフト組み!AG68,役職一覧!$B:$D,2,FALSE),"")</f>
        <v/>
      </c>
      <c r="AH38" s="17" t="str">
        <f>IFERROR(VLOOKUP(シフト組み!AH68,役職一覧!$B:$D,3,FALSE),"")</f>
        <v/>
      </c>
      <c r="AI38" s="17" t="str">
        <f>IFERROR(VLOOKUP(シフト組み!AI68,役職一覧!$B:$D,3,FALSE),"")</f>
        <v/>
      </c>
      <c r="AJ38" s="17" t="str">
        <f>IFERROR(VLOOKUP(シフト組み!AJ68,役職一覧!$B:$D,3,FALSE),"")</f>
        <v/>
      </c>
      <c r="AK38" s="17" t="str">
        <f>IFERROR(VLOOKUP(シフト組み!AK68,役職一覧!$B:$D,3,FALSE),"")</f>
        <v/>
      </c>
      <c r="AL38" s="17" t="str">
        <f>IFERROR(VLOOKUP(シフト組み!AL68,役職一覧!$B:$D,3,FALSE),"")</f>
        <v/>
      </c>
      <c r="AM38" s="17" t="str">
        <f>IFERROR(VLOOKUP(シフト組み!AM68,役職一覧!$B:$D,3,FALSE),"")</f>
        <v/>
      </c>
      <c r="AN38" s="17" t="str">
        <f>IFERROR(VLOOKUP(シフト組み!AN68,役職一覧!$B:$D,3,FALSE),"")</f>
        <v/>
      </c>
      <c r="AO38" s="17" t="str">
        <f>IFERROR(VLOOKUP(シフト組み!AO68,役職一覧!$B:$D,3,FALSE),"")</f>
        <v/>
      </c>
      <c r="AP38" s="17" t="str">
        <f>IFERROR(VLOOKUP(シフト組み!AP68,役職一覧!$B:$D,3,FALSE),"")</f>
        <v/>
      </c>
      <c r="AQ38" s="17" t="str">
        <f>IFERROR(VLOOKUP(シフト組み!AQ68,役職一覧!$B:$D,3,FALSE),"")</f>
        <v/>
      </c>
      <c r="AR38" s="17" t="str">
        <f>IFERROR(VLOOKUP(シフト組み!AR68,役職一覧!$B:$D,3,FALSE),"")</f>
        <v/>
      </c>
      <c r="AS38" s="17" t="str">
        <f>IFERROR(VLOOKUP(シフト組み!AS68,役職一覧!$B:$D,3,FALSE),"")</f>
        <v/>
      </c>
      <c r="AT38" s="17" t="str">
        <f>IFERROR(VLOOKUP(シフト組み!AT68,役職一覧!$B:$D,3,FALSE),"")</f>
        <v/>
      </c>
      <c r="AU38" s="17" t="str">
        <f>IFERROR(VLOOKUP(シフト組み!AU68,役職一覧!$B:$D,3,FALSE),"")</f>
        <v/>
      </c>
      <c r="AV38" s="17" t="str">
        <f>IFERROR(VLOOKUP(シフト組み!AV68,役職一覧!$B:$D,3,FALSE),"")</f>
        <v/>
      </c>
      <c r="AW38" s="17" t="str">
        <f>IFERROR(VLOOKUP(シフト組み!AW68,役職一覧!$B:$D,3,FALSE),"")</f>
        <v/>
      </c>
      <c r="AX38" s="17" t="str">
        <f>IFERROR(VLOOKUP(シフト組み!AX68,役職一覧!$B:$D,3,FALSE),"")</f>
        <v/>
      </c>
      <c r="AY38" s="17" t="str">
        <f>IFERROR(VLOOKUP(シフト組み!AY68,役職一覧!$B:$D,3,FALSE),"")</f>
        <v/>
      </c>
      <c r="AZ38" s="17" t="str">
        <f>IFERROR(VLOOKUP(シフト組み!AZ68,役職一覧!$B:$D,3,FALSE),"")</f>
        <v/>
      </c>
      <c r="BA38" s="17" t="str">
        <f>IFERROR(VLOOKUP(シフト組み!BA68,役職一覧!$B:$D,3,FALSE),"")</f>
        <v/>
      </c>
    </row>
    <row r="39" spans="1:53">
      <c r="A39" s="2" t="str">
        <f>シフト組み!A69&amp;""</f>
        <v/>
      </c>
      <c r="B39" s="2" t="str">
        <f>シフト組み!B69&amp;""</f>
        <v/>
      </c>
      <c r="C39" s="2" t="str">
        <f>シフト組み!C69&amp;""</f>
        <v/>
      </c>
      <c r="D39" s="17" t="str">
        <f>IFERROR(VLOOKUP(シフト組み!D69,役職一覧!$B:$D,2,FALSE),"")</f>
        <v/>
      </c>
      <c r="E39" s="17" t="str">
        <f>IFERROR(VLOOKUP(シフト組み!E69,役職一覧!$B:$D,2,FALSE),"")</f>
        <v/>
      </c>
      <c r="F39" s="17" t="str">
        <f>IFERROR(VLOOKUP(シフト組み!F69,役職一覧!$B:$D,2,FALSE),"")</f>
        <v/>
      </c>
      <c r="G39" s="17" t="str">
        <f>IFERROR(VLOOKUP(シフト組み!G69,役職一覧!$B:$D,2,FALSE),"")</f>
        <v/>
      </c>
      <c r="H39" s="17" t="str">
        <f>IFERROR(VLOOKUP(シフト組み!H69,役職一覧!$B:$D,2,FALSE),"")</f>
        <v/>
      </c>
      <c r="I39" s="17" t="str">
        <f>IFERROR(VLOOKUP(シフト組み!I69,役職一覧!$B:$D,2,FALSE),"")</f>
        <v/>
      </c>
      <c r="J39" s="17" t="str">
        <f>IFERROR(VLOOKUP(シフト組み!J69,役職一覧!$B:$D,2,FALSE),"")</f>
        <v/>
      </c>
      <c r="K39" s="17" t="str">
        <f>IFERROR(VLOOKUP(シフト組み!K69,役職一覧!$B:$D,2,FALSE),"")</f>
        <v/>
      </c>
      <c r="L39" s="17" t="str">
        <f>IFERROR(VLOOKUP(シフト組み!L69,役職一覧!$B:$D,2,FALSE),"")</f>
        <v/>
      </c>
      <c r="M39" s="17" t="str">
        <f>IFERROR(VLOOKUP(シフト組み!M69,役職一覧!$B:$D,2,FALSE),"")</f>
        <v/>
      </c>
      <c r="N39" s="17" t="str">
        <f>IFERROR(VLOOKUP(シフト組み!N69,役職一覧!$B:$D,2,FALSE),"")</f>
        <v/>
      </c>
      <c r="O39" s="17" t="str">
        <f>IFERROR(VLOOKUP(シフト組み!O69,役職一覧!$B:$D,2,FALSE),"")</f>
        <v/>
      </c>
      <c r="P39" s="17" t="str">
        <f>IFERROR(VLOOKUP(シフト組み!P69,役職一覧!$B:$D,2,FALSE),"")</f>
        <v/>
      </c>
      <c r="Q39" s="17" t="str">
        <f>IFERROR(VLOOKUP(シフト組み!Q69,役職一覧!$B:$D,2,FALSE),"")</f>
        <v/>
      </c>
      <c r="R39" s="17" t="str">
        <f>IFERROR(VLOOKUP(シフト組み!R69,役職一覧!$B:$D,2,FALSE),"")</f>
        <v/>
      </c>
      <c r="S39" s="17" t="str">
        <f>IFERROR(VLOOKUP(シフト組み!S69,役職一覧!$B:$D,2,FALSE),"")</f>
        <v/>
      </c>
      <c r="T39" s="17" t="str">
        <f>IFERROR(VLOOKUP(シフト組み!T69,役職一覧!$B:$D,2,FALSE),"")</f>
        <v/>
      </c>
      <c r="U39" s="17" t="str">
        <f>IFERROR(VLOOKUP(シフト組み!U69,役職一覧!$B:$D,2,FALSE),"")</f>
        <v/>
      </c>
      <c r="V39" s="17" t="str">
        <f>IFERROR(VLOOKUP(シフト組み!V69,役職一覧!$B:$D,2,FALSE),"")</f>
        <v/>
      </c>
      <c r="W39" s="17" t="str">
        <f>IFERROR(VLOOKUP(シフト組み!W69,役職一覧!$B:$D,2,FALSE),"")</f>
        <v/>
      </c>
      <c r="X39" s="17" t="str">
        <f>IFERROR(VLOOKUP(シフト組み!X69,役職一覧!$B:$D,2,FALSE),"")</f>
        <v/>
      </c>
      <c r="Y39" s="17" t="str">
        <f>IFERROR(VLOOKUP(シフト組み!Y69,役職一覧!$B:$D,2,FALSE),"")</f>
        <v/>
      </c>
      <c r="Z39" s="17" t="str">
        <f>IFERROR(VLOOKUP(シフト組み!Z69,役職一覧!$B:$D,2,FALSE),"")</f>
        <v/>
      </c>
      <c r="AA39" s="17" t="str">
        <f>IFERROR(VLOOKUP(シフト組み!AA69,役職一覧!$B:$D,2,FALSE),"")</f>
        <v/>
      </c>
      <c r="AB39" s="17" t="str">
        <f>IFERROR(VLOOKUP(シフト組み!AB69,役職一覧!$B:$D,2,FALSE),"")</f>
        <v/>
      </c>
      <c r="AC39" s="17" t="str">
        <f>IFERROR(VLOOKUP(シフト組み!AC69,役職一覧!$B:$D,2,FALSE),"")</f>
        <v/>
      </c>
      <c r="AD39" s="17" t="str">
        <f>IFERROR(VLOOKUP(シフト組み!AD69,役職一覧!$B:$D,2,FALSE),"")</f>
        <v/>
      </c>
      <c r="AE39" s="17" t="str">
        <f>IFERROR(VLOOKUP(シフト組み!AE69,役職一覧!$B:$D,2,FALSE),"")</f>
        <v/>
      </c>
      <c r="AF39" s="17" t="str">
        <f>IFERROR(VLOOKUP(シフト組み!AF69,役職一覧!$B:$D,2,FALSE),"")</f>
        <v/>
      </c>
      <c r="AG39" s="17" t="str">
        <f>IFERROR(VLOOKUP(シフト組み!AG69,役職一覧!$B:$D,2,FALSE),"")</f>
        <v/>
      </c>
      <c r="AH39" s="17" t="str">
        <f>IFERROR(VLOOKUP(シフト組み!AH69,役職一覧!$B:$D,3,FALSE),"")</f>
        <v/>
      </c>
      <c r="AI39" s="17" t="str">
        <f>IFERROR(VLOOKUP(シフト組み!AI69,役職一覧!$B:$D,3,FALSE),"")</f>
        <v/>
      </c>
      <c r="AJ39" s="17" t="str">
        <f>IFERROR(VLOOKUP(シフト組み!AJ69,役職一覧!$B:$D,3,FALSE),"")</f>
        <v/>
      </c>
      <c r="AK39" s="17" t="str">
        <f>IFERROR(VLOOKUP(シフト組み!AK69,役職一覧!$B:$D,3,FALSE),"")</f>
        <v/>
      </c>
      <c r="AL39" s="17" t="str">
        <f>IFERROR(VLOOKUP(シフト組み!AL69,役職一覧!$B:$D,3,FALSE),"")</f>
        <v/>
      </c>
      <c r="AM39" s="17" t="str">
        <f>IFERROR(VLOOKUP(シフト組み!AM69,役職一覧!$B:$D,3,FALSE),"")</f>
        <v/>
      </c>
      <c r="AN39" s="17" t="str">
        <f>IFERROR(VLOOKUP(シフト組み!AN69,役職一覧!$B:$D,3,FALSE),"")</f>
        <v/>
      </c>
      <c r="AO39" s="17" t="str">
        <f>IFERROR(VLOOKUP(シフト組み!AO69,役職一覧!$B:$D,3,FALSE),"")</f>
        <v/>
      </c>
      <c r="AP39" s="17" t="str">
        <f>IFERROR(VLOOKUP(シフト組み!AP69,役職一覧!$B:$D,3,FALSE),"")</f>
        <v/>
      </c>
      <c r="AQ39" s="17" t="str">
        <f>IFERROR(VLOOKUP(シフト組み!AQ69,役職一覧!$B:$D,3,FALSE),"")</f>
        <v/>
      </c>
      <c r="AR39" s="17" t="str">
        <f>IFERROR(VLOOKUP(シフト組み!AR69,役職一覧!$B:$D,3,FALSE),"")</f>
        <v/>
      </c>
      <c r="AS39" s="17" t="str">
        <f>IFERROR(VLOOKUP(シフト組み!AS69,役職一覧!$B:$D,3,FALSE),"")</f>
        <v/>
      </c>
      <c r="AT39" s="17" t="str">
        <f>IFERROR(VLOOKUP(シフト組み!AT69,役職一覧!$B:$D,3,FALSE),"")</f>
        <v/>
      </c>
      <c r="AU39" s="17" t="str">
        <f>IFERROR(VLOOKUP(シフト組み!AU69,役職一覧!$B:$D,3,FALSE),"")</f>
        <v/>
      </c>
      <c r="AV39" s="17" t="str">
        <f>IFERROR(VLOOKUP(シフト組み!AV69,役職一覧!$B:$D,3,FALSE),"")</f>
        <v/>
      </c>
      <c r="AW39" s="17" t="str">
        <f>IFERROR(VLOOKUP(シフト組み!AW69,役職一覧!$B:$D,3,FALSE),"")</f>
        <v/>
      </c>
      <c r="AX39" s="17" t="str">
        <f>IFERROR(VLOOKUP(シフト組み!AX69,役職一覧!$B:$D,3,FALSE),"")</f>
        <v/>
      </c>
      <c r="AY39" s="17" t="str">
        <f>IFERROR(VLOOKUP(シフト組み!AY69,役職一覧!$B:$D,3,FALSE),"")</f>
        <v/>
      </c>
      <c r="AZ39" s="17" t="str">
        <f>IFERROR(VLOOKUP(シフト組み!AZ69,役職一覧!$B:$D,3,FALSE),"")</f>
        <v/>
      </c>
      <c r="BA39" s="17" t="str">
        <f>IFERROR(VLOOKUP(シフト組み!BA69,役職一覧!$B:$D,3,FALSE),"")</f>
        <v/>
      </c>
    </row>
    <row r="40" spans="1:53">
      <c r="A40" s="2" t="str">
        <f>シフト組み!A70&amp;""</f>
        <v/>
      </c>
      <c r="B40" s="2" t="str">
        <f>シフト組み!B70&amp;""</f>
        <v/>
      </c>
      <c r="C40" s="2" t="str">
        <f>シフト組み!C70&amp;""</f>
        <v/>
      </c>
      <c r="D40" s="17" t="str">
        <f>IFERROR(VLOOKUP(シフト組み!D70,役職一覧!$B:$D,2,FALSE),"")</f>
        <v/>
      </c>
      <c r="E40" s="17" t="str">
        <f>IFERROR(VLOOKUP(シフト組み!E70,役職一覧!$B:$D,2,FALSE),"")</f>
        <v/>
      </c>
      <c r="F40" s="17" t="str">
        <f>IFERROR(VLOOKUP(シフト組み!F70,役職一覧!$B:$D,2,FALSE),"")</f>
        <v/>
      </c>
      <c r="G40" s="17" t="str">
        <f>IFERROR(VLOOKUP(シフト組み!G70,役職一覧!$B:$D,2,FALSE),"")</f>
        <v/>
      </c>
      <c r="H40" s="17" t="str">
        <f>IFERROR(VLOOKUP(シフト組み!H70,役職一覧!$B:$D,2,FALSE),"")</f>
        <v/>
      </c>
      <c r="I40" s="17" t="str">
        <f>IFERROR(VLOOKUP(シフト組み!I70,役職一覧!$B:$D,2,FALSE),"")</f>
        <v/>
      </c>
      <c r="J40" s="17" t="str">
        <f>IFERROR(VLOOKUP(シフト組み!J70,役職一覧!$B:$D,2,FALSE),"")</f>
        <v/>
      </c>
      <c r="K40" s="17" t="str">
        <f>IFERROR(VLOOKUP(シフト組み!K70,役職一覧!$B:$D,2,FALSE),"")</f>
        <v/>
      </c>
      <c r="L40" s="17" t="str">
        <f>IFERROR(VLOOKUP(シフト組み!L70,役職一覧!$B:$D,2,FALSE),"")</f>
        <v/>
      </c>
      <c r="M40" s="17" t="str">
        <f>IFERROR(VLOOKUP(シフト組み!M70,役職一覧!$B:$D,2,FALSE),"")</f>
        <v/>
      </c>
      <c r="N40" s="17" t="str">
        <f>IFERROR(VLOOKUP(シフト組み!N70,役職一覧!$B:$D,2,FALSE),"")</f>
        <v/>
      </c>
      <c r="O40" s="17" t="str">
        <f>IFERROR(VLOOKUP(シフト組み!O70,役職一覧!$B:$D,2,FALSE),"")</f>
        <v/>
      </c>
      <c r="P40" s="17" t="str">
        <f>IFERROR(VLOOKUP(シフト組み!P70,役職一覧!$B:$D,2,FALSE),"")</f>
        <v/>
      </c>
      <c r="Q40" s="17" t="str">
        <f>IFERROR(VLOOKUP(シフト組み!Q70,役職一覧!$B:$D,2,FALSE),"")</f>
        <v/>
      </c>
      <c r="R40" s="17" t="str">
        <f>IFERROR(VLOOKUP(シフト組み!R70,役職一覧!$B:$D,2,FALSE),"")</f>
        <v/>
      </c>
      <c r="S40" s="17" t="str">
        <f>IFERROR(VLOOKUP(シフト組み!S70,役職一覧!$B:$D,2,FALSE),"")</f>
        <v/>
      </c>
      <c r="T40" s="17" t="str">
        <f>IFERROR(VLOOKUP(シフト組み!T70,役職一覧!$B:$D,2,FALSE),"")</f>
        <v/>
      </c>
      <c r="U40" s="17" t="str">
        <f>IFERROR(VLOOKUP(シフト組み!U70,役職一覧!$B:$D,2,FALSE),"")</f>
        <v/>
      </c>
      <c r="V40" s="17" t="str">
        <f>IFERROR(VLOOKUP(シフト組み!V70,役職一覧!$B:$D,2,FALSE),"")</f>
        <v/>
      </c>
      <c r="W40" s="17" t="str">
        <f>IFERROR(VLOOKUP(シフト組み!W70,役職一覧!$B:$D,2,FALSE),"")</f>
        <v/>
      </c>
      <c r="X40" s="17" t="str">
        <f>IFERROR(VLOOKUP(シフト組み!X70,役職一覧!$B:$D,2,FALSE),"")</f>
        <v/>
      </c>
      <c r="Y40" s="17" t="str">
        <f>IFERROR(VLOOKUP(シフト組み!Y70,役職一覧!$B:$D,2,FALSE),"")</f>
        <v/>
      </c>
      <c r="Z40" s="17" t="str">
        <f>IFERROR(VLOOKUP(シフト組み!Z70,役職一覧!$B:$D,2,FALSE),"")</f>
        <v/>
      </c>
      <c r="AA40" s="17" t="str">
        <f>IFERROR(VLOOKUP(シフト組み!AA70,役職一覧!$B:$D,2,FALSE),"")</f>
        <v/>
      </c>
      <c r="AB40" s="17" t="str">
        <f>IFERROR(VLOOKUP(シフト組み!AB70,役職一覧!$B:$D,2,FALSE),"")</f>
        <v/>
      </c>
      <c r="AC40" s="17" t="str">
        <f>IFERROR(VLOOKUP(シフト組み!AC70,役職一覧!$B:$D,2,FALSE),"")</f>
        <v/>
      </c>
      <c r="AD40" s="17" t="str">
        <f>IFERROR(VLOOKUP(シフト組み!AD70,役職一覧!$B:$D,2,FALSE),"")</f>
        <v/>
      </c>
      <c r="AE40" s="17" t="str">
        <f>IFERROR(VLOOKUP(シフト組み!AE70,役職一覧!$B:$D,2,FALSE),"")</f>
        <v/>
      </c>
      <c r="AF40" s="17" t="str">
        <f>IFERROR(VLOOKUP(シフト組み!AF70,役職一覧!$B:$D,2,FALSE),"")</f>
        <v/>
      </c>
      <c r="AG40" s="17" t="str">
        <f>IFERROR(VLOOKUP(シフト組み!AG70,役職一覧!$B:$D,2,FALSE),"")</f>
        <v/>
      </c>
      <c r="AH40" s="17" t="str">
        <f>IFERROR(VLOOKUP(シフト組み!AH70,役職一覧!$B:$D,3,FALSE),"")</f>
        <v/>
      </c>
      <c r="AI40" s="17" t="str">
        <f>IFERROR(VLOOKUP(シフト組み!AI70,役職一覧!$B:$D,3,FALSE),"")</f>
        <v/>
      </c>
      <c r="AJ40" s="17" t="str">
        <f>IFERROR(VLOOKUP(シフト組み!AJ70,役職一覧!$B:$D,3,FALSE),"")</f>
        <v/>
      </c>
      <c r="AK40" s="17" t="str">
        <f>IFERROR(VLOOKUP(シフト組み!AK70,役職一覧!$B:$D,3,FALSE),"")</f>
        <v/>
      </c>
      <c r="AL40" s="17" t="str">
        <f>IFERROR(VLOOKUP(シフト組み!AL70,役職一覧!$B:$D,3,FALSE),"")</f>
        <v/>
      </c>
      <c r="AM40" s="17" t="str">
        <f>IFERROR(VLOOKUP(シフト組み!AM70,役職一覧!$B:$D,3,FALSE),"")</f>
        <v/>
      </c>
      <c r="AN40" s="17" t="str">
        <f>IFERROR(VLOOKUP(シフト組み!AN70,役職一覧!$B:$D,3,FALSE),"")</f>
        <v/>
      </c>
      <c r="AO40" s="17" t="str">
        <f>IFERROR(VLOOKUP(シフト組み!AO70,役職一覧!$B:$D,3,FALSE),"")</f>
        <v/>
      </c>
      <c r="AP40" s="17" t="str">
        <f>IFERROR(VLOOKUP(シフト組み!AP70,役職一覧!$B:$D,3,FALSE),"")</f>
        <v/>
      </c>
      <c r="AQ40" s="17" t="str">
        <f>IFERROR(VLOOKUP(シフト組み!AQ70,役職一覧!$B:$D,3,FALSE),"")</f>
        <v/>
      </c>
      <c r="AR40" s="17" t="str">
        <f>IFERROR(VLOOKUP(シフト組み!AR70,役職一覧!$B:$D,3,FALSE),"")</f>
        <v/>
      </c>
      <c r="AS40" s="17" t="str">
        <f>IFERROR(VLOOKUP(シフト組み!AS70,役職一覧!$B:$D,3,FALSE),"")</f>
        <v/>
      </c>
      <c r="AT40" s="17" t="str">
        <f>IFERROR(VLOOKUP(シフト組み!AT70,役職一覧!$B:$D,3,FALSE),"")</f>
        <v/>
      </c>
      <c r="AU40" s="17" t="str">
        <f>IFERROR(VLOOKUP(シフト組み!AU70,役職一覧!$B:$D,3,FALSE),"")</f>
        <v/>
      </c>
      <c r="AV40" s="17" t="str">
        <f>IFERROR(VLOOKUP(シフト組み!AV70,役職一覧!$B:$D,3,FALSE),"")</f>
        <v/>
      </c>
      <c r="AW40" s="17" t="str">
        <f>IFERROR(VLOOKUP(シフト組み!AW70,役職一覧!$B:$D,3,FALSE),"")</f>
        <v/>
      </c>
      <c r="AX40" s="17" t="str">
        <f>IFERROR(VLOOKUP(シフト組み!AX70,役職一覧!$B:$D,3,FALSE),"")</f>
        <v/>
      </c>
      <c r="AY40" s="17" t="str">
        <f>IFERROR(VLOOKUP(シフト組み!AY70,役職一覧!$B:$D,3,FALSE),"")</f>
        <v/>
      </c>
      <c r="AZ40" s="17" t="str">
        <f>IFERROR(VLOOKUP(シフト組み!AZ70,役職一覧!$B:$D,3,FALSE),"")</f>
        <v/>
      </c>
      <c r="BA40" s="17" t="str">
        <f>IFERROR(VLOOKUP(シフト組み!BA70,役職一覧!$B:$D,3,FALSE),"")</f>
        <v/>
      </c>
    </row>
    <row r="41" spans="1:53">
      <c r="A41" s="2" t="str">
        <f>シフト組み!A71&amp;""</f>
        <v/>
      </c>
      <c r="B41" s="2" t="str">
        <f>シフト組み!B71&amp;""</f>
        <v/>
      </c>
      <c r="C41" s="2" t="str">
        <f>シフト組み!C71&amp;""</f>
        <v/>
      </c>
      <c r="D41" s="17" t="str">
        <f>IFERROR(VLOOKUP(シフト組み!D71,役職一覧!$B:$D,2,FALSE),"")</f>
        <v/>
      </c>
      <c r="E41" s="17" t="str">
        <f>IFERROR(VLOOKUP(シフト組み!E71,役職一覧!$B:$D,2,FALSE),"")</f>
        <v/>
      </c>
      <c r="F41" s="17" t="str">
        <f>IFERROR(VLOOKUP(シフト組み!F71,役職一覧!$B:$D,2,FALSE),"")</f>
        <v/>
      </c>
      <c r="G41" s="17" t="str">
        <f>IFERROR(VLOOKUP(シフト組み!G71,役職一覧!$B:$D,2,FALSE),"")</f>
        <v/>
      </c>
      <c r="H41" s="17" t="str">
        <f>IFERROR(VLOOKUP(シフト組み!H71,役職一覧!$B:$D,2,FALSE),"")</f>
        <v/>
      </c>
      <c r="I41" s="17" t="str">
        <f>IFERROR(VLOOKUP(シフト組み!I71,役職一覧!$B:$D,2,FALSE),"")</f>
        <v/>
      </c>
      <c r="J41" s="17" t="str">
        <f>IFERROR(VLOOKUP(シフト組み!J71,役職一覧!$B:$D,2,FALSE),"")</f>
        <v/>
      </c>
      <c r="K41" s="17" t="str">
        <f>IFERROR(VLOOKUP(シフト組み!K71,役職一覧!$B:$D,2,FALSE),"")</f>
        <v/>
      </c>
      <c r="L41" s="17" t="str">
        <f>IFERROR(VLOOKUP(シフト組み!L71,役職一覧!$B:$D,2,FALSE),"")</f>
        <v/>
      </c>
      <c r="M41" s="17" t="str">
        <f>IFERROR(VLOOKUP(シフト組み!M71,役職一覧!$B:$D,2,FALSE),"")</f>
        <v/>
      </c>
      <c r="N41" s="17" t="str">
        <f>IFERROR(VLOOKUP(シフト組み!N71,役職一覧!$B:$D,2,FALSE),"")</f>
        <v/>
      </c>
      <c r="O41" s="17" t="str">
        <f>IFERROR(VLOOKUP(シフト組み!O71,役職一覧!$B:$D,2,FALSE),"")</f>
        <v/>
      </c>
      <c r="P41" s="17" t="str">
        <f>IFERROR(VLOOKUP(シフト組み!P71,役職一覧!$B:$D,2,FALSE),"")</f>
        <v/>
      </c>
      <c r="Q41" s="17" t="str">
        <f>IFERROR(VLOOKUP(シフト組み!Q71,役職一覧!$B:$D,2,FALSE),"")</f>
        <v/>
      </c>
      <c r="R41" s="17" t="str">
        <f>IFERROR(VLOOKUP(シフト組み!R71,役職一覧!$B:$D,2,FALSE),"")</f>
        <v/>
      </c>
      <c r="S41" s="17" t="str">
        <f>IFERROR(VLOOKUP(シフト組み!S71,役職一覧!$B:$D,2,FALSE),"")</f>
        <v/>
      </c>
      <c r="T41" s="17" t="str">
        <f>IFERROR(VLOOKUP(シフト組み!T71,役職一覧!$B:$D,2,FALSE),"")</f>
        <v/>
      </c>
      <c r="U41" s="17" t="str">
        <f>IFERROR(VLOOKUP(シフト組み!U71,役職一覧!$B:$D,2,FALSE),"")</f>
        <v/>
      </c>
      <c r="V41" s="17" t="str">
        <f>IFERROR(VLOOKUP(シフト組み!V71,役職一覧!$B:$D,2,FALSE),"")</f>
        <v/>
      </c>
      <c r="W41" s="17" t="str">
        <f>IFERROR(VLOOKUP(シフト組み!W71,役職一覧!$B:$D,2,FALSE),"")</f>
        <v/>
      </c>
      <c r="X41" s="17" t="str">
        <f>IFERROR(VLOOKUP(シフト組み!X71,役職一覧!$B:$D,2,FALSE),"")</f>
        <v/>
      </c>
      <c r="Y41" s="17" t="str">
        <f>IFERROR(VLOOKUP(シフト組み!Y71,役職一覧!$B:$D,2,FALSE),"")</f>
        <v/>
      </c>
      <c r="Z41" s="17" t="str">
        <f>IFERROR(VLOOKUP(シフト組み!Z71,役職一覧!$B:$D,2,FALSE),"")</f>
        <v/>
      </c>
      <c r="AA41" s="17" t="str">
        <f>IFERROR(VLOOKUP(シフト組み!AA71,役職一覧!$B:$D,2,FALSE),"")</f>
        <v/>
      </c>
      <c r="AB41" s="17" t="str">
        <f>IFERROR(VLOOKUP(シフト組み!AB71,役職一覧!$B:$D,2,FALSE),"")</f>
        <v/>
      </c>
      <c r="AC41" s="17" t="str">
        <f>IFERROR(VLOOKUP(シフト組み!AC71,役職一覧!$B:$D,2,FALSE),"")</f>
        <v/>
      </c>
      <c r="AD41" s="17" t="str">
        <f>IFERROR(VLOOKUP(シフト組み!AD71,役職一覧!$B:$D,2,FALSE),"")</f>
        <v/>
      </c>
      <c r="AE41" s="17" t="str">
        <f>IFERROR(VLOOKUP(シフト組み!AE71,役職一覧!$B:$D,2,FALSE),"")</f>
        <v/>
      </c>
      <c r="AF41" s="17" t="str">
        <f>IFERROR(VLOOKUP(シフト組み!AF71,役職一覧!$B:$D,2,FALSE),"")</f>
        <v/>
      </c>
      <c r="AG41" s="17" t="str">
        <f>IFERROR(VLOOKUP(シフト組み!AG71,役職一覧!$B:$D,2,FALSE),"")</f>
        <v/>
      </c>
      <c r="AH41" s="17" t="str">
        <f>IFERROR(VLOOKUP(シフト組み!AH71,役職一覧!$B:$D,3,FALSE),"")</f>
        <v/>
      </c>
      <c r="AI41" s="17" t="str">
        <f>IFERROR(VLOOKUP(シフト組み!AI71,役職一覧!$B:$D,3,FALSE),"")</f>
        <v/>
      </c>
      <c r="AJ41" s="17" t="str">
        <f>IFERROR(VLOOKUP(シフト組み!AJ71,役職一覧!$B:$D,3,FALSE),"")</f>
        <v/>
      </c>
      <c r="AK41" s="17" t="str">
        <f>IFERROR(VLOOKUP(シフト組み!AK71,役職一覧!$B:$D,3,FALSE),"")</f>
        <v/>
      </c>
      <c r="AL41" s="17" t="str">
        <f>IFERROR(VLOOKUP(シフト組み!AL71,役職一覧!$B:$D,3,FALSE),"")</f>
        <v/>
      </c>
      <c r="AM41" s="17" t="str">
        <f>IFERROR(VLOOKUP(シフト組み!AM71,役職一覧!$B:$D,3,FALSE),"")</f>
        <v/>
      </c>
      <c r="AN41" s="17" t="str">
        <f>IFERROR(VLOOKUP(シフト組み!AN71,役職一覧!$B:$D,3,FALSE),"")</f>
        <v/>
      </c>
      <c r="AO41" s="17" t="str">
        <f>IFERROR(VLOOKUP(シフト組み!AO71,役職一覧!$B:$D,3,FALSE),"")</f>
        <v/>
      </c>
      <c r="AP41" s="17" t="str">
        <f>IFERROR(VLOOKUP(シフト組み!AP71,役職一覧!$B:$D,3,FALSE),"")</f>
        <v/>
      </c>
      <c r="AQ41" s="17" t="str">
        <f>IFERROR(VLOOKUP(シフト組み!AQ71,役職一覧!$B:$D,3,FALSE),"")</f>
        <v/>
      </c>
      <c r="AR41" s="17" t="str">
        <f>IFERROR(VLOOKUP(シフト組み!AR71,役職一覧!$B:$D,3,FALSE),"")</f>
        <v/>
      </c>
      <c r="AS41" s="17" t="str">
        <f>IFERROR(VLOOKUP(シフト組み!AS71,役職一覧!$B:$D,3,FALSE),"")</f>
        <v/>
      </c>
      <c r="AT41" s="17" t="str">
        <f>IFERROR(VLOOKUP(シフト組み!AT71,役職一覧!$B:$D,3,FALSE),"")</f>
        <v/>
      </c>
      <c r="AU41" s="17" t="str">
        <f>IFERROR(VLOOKUP(シフト組み!AU71,役職一覧!$B:$D,3,FALSE),"")</f>
        <v/>
      </c>
      <c r="AV41" s="17" t="str">
        <f>IFERROR(VLOOKUP(シフト組み!AV71,役職一覧!$B:$D,3,FALSE),"")</f>
        <v/>
      </c>
      <c r="AW41" s="17" t="str">
        <f>IFERROR(VLOOKUP(シフト組み!AW71,役職一覧!$B:$D,3,FALSE),"")</f>
        <v/>
      </c>
      <c r="AX41" s="17" t="str">
        <f>IFERROR(VLOOKUP(シフト組み!AX71,役職一覧!$B:$D,3,FALSE),"")</f>
        <v/>
      </c>
      <c r="AY41" s="17" t="str">
        <f>IFERROR(VLOOKUP(シフト組み!AY71,役職一覧!$B:$D,3,FALSE),"")</f>
        <v/>
      </c>
      <c r="AZ41" s="17" t="str">
        <f>IFERROR(VLOOKUP(シフト組み!AZ71,役職一覧!$B:$D,3,FALSE),"")</f>
        <v/>
      </c>
      <c r="BA41" s="17" t="str">
        <f>IFERROR(VLOOKUP(シフト組み!BA71,役職一覧!$B:$D,3,FALSE),"")</f>
        <v/>
      </c>
    </row>
    <row r="42" spans="1:53">
      <c r="A42" s="2" t="str">
        <f>シフト組み!A72&amp;""</f>
        <v/>
      </c>
      <c r="B42" s="2" t="str">
        <f>シフト組み!B72&amp;""</f>
        <v/>
      </c>
      <c r="C42" s="2" t="str">
        <f>シフト組み!C72&amp;""</f>
        <v/>
      </c>
      <c r="D42" s="17" t="str">
        <f>IFERROR(VLOOKUP(シフト組み!D72,役職一覧!$B:$D,2,FALSE),"")</f>
        <v/>
      </c>
      <c r="E42" s="17" t="str">
        <f>IFERROR(VLOOKUP(シフト組み!E72,役職一覧!$B:$D,2,FALSE),"")</f>
        <v/>
      </c>
      <c r="F42" s="17" t="str">
        <f>IFERROR(VLOOKUP(シフト組み!F72,役職一覧!$B:$D,2,FALSE),"")</f>
        <v/>
      </c>
      <c r="G42" s="17" t="str">
        <f>IFERROR(VLOOKUP(シフト組み!G72,役職一覧!$B:$D,2,FALSE),"")</f>
        <v/>
      </c>
      <c r="H42" s="17" t="str">
        <f>IFERROR(VLOOKUP(シフト組み!H72,役職一覧!$B:$D,2,FALSE),"")</f>
        <v/>
      </c>
      <c r="I42" s="17" t="str">
        <f>IFERROR(VLOOKUP(シフト組み!I72,役職一覧!$B:$D,2,FALSE),"")</f>
        <v/>
      </c>
      <c r="J42" s="17" t="str">
        <f>IFERROR(VLOOKUP(シフト組み!J72,役職一覧!$B:$D,2,FALSE),"")</f>
        <v/>
      </c>
      <c r="K42" s="17" t="str">
        <f>IFERROR(VLOOKUP(シフト組み!K72,役職一覧!$B:$D,2,FALSE),"")</f>
        <v/>
      </c>
      <c r="L42" s="17" t="str">
        <f>IFERROR(VLOOKUP(シフト組み!L72,役職一覧!$B:$D,2,FALSE),"")</f>
        <v/>
      </c>
      <c r="M42" s="17" t="str">
        <f>IFERROR(VLOOKUP(シフト組み!M72,役職一覧!$B:$D,2,FALSE),"")</f>
        <v/>
      </c>
      <c r="N42" s="17" t="str">
        <f>IFERROR(VLOOKUP(シフト組み!N72,役職一覧!$B:$D,2,FALSE),"")</f>
        <v/>
      </c>
      <c r="O42" s="17" t="str">
        <f>IFERROR(VLOOKUP(シフト組み!O72,役職一覧!$B:$D,2,FALSE),"")</f>
        <v/>
      </c>
      <c r="P42" s="17" t="str">
        <f>IFERROR(VLOOKUP(シフト組み!P72,役職一覧!$B:$D,2,FALSE),"")</f>
        <v/>
      </c>
      <c r="Q42" s="17" t="str">
        <f>IFERROR(VLOOKUP(シフト組み!Q72,役職一覧!$B:$D,2,FALSE),"")</f>
        <v/>
      </c>
      <c r="R42" s="17" t="str">
        <f>IFERROR(VLOOKUP(シフト組み!R72,役職一覧!$B:$D,2,FALSE),"")</f>
        <v/>
      </c>
      <c r="S42" s="17" t="str">
        <f>IFERROR(VLOOKUP(シフト組み!S72,役職一覧!$B:$D,2,FALSE),"")</f>
        <v/>
      </c>
      <c r="T42" s="17" t="str">
        <f>IFERROR(VLOOKUP(シフト組み!T72,役職一覧!$B:$D,2,FALSE),"")</f>
        <v/>
      </c>
      <c r="U42" s="17" t="str">
        <f>IFERROR(VLOOKUP(シフト組み!U72,役職一覧!$B:$D,2,FALSE),"")</f>
        <v/>
      </c>
      <c r="V42" s="17" t="str">
        <f>IFERROR(VLOOKUP(シフト組み!V72,役職一覧!$B:$D,2,FALSE),"")</f>
        <v/>
      </c>
      <c r="W42" s="17" t="str">
        <f>IFERROR(VLOOKUP(シフト組み!W72,役職一覧!$B:$D,2,FALSE),"")</f>
        <v/>
      </c>
      <c r="X42" s="17" t="str">
        <f>IFERROR(VLOOKUP(シフト組み!X72,役職一覧!$B:$D,2,FALSE),"")</f>
        <v/>
      </c>
      <c r="Y42" s="17" t="str">
        <f>IFERROR(VLOOKUP(シフト組み!Y72,役職一覧!$B:$D,2,FALSE),"")</f>
        <v/>
      </c>
      <c r="Z42" s="17" t="str">
        <f>IFERROR(VLOOKUP(シフト組み!Z72,役職一覧!$B:$D,2,FALSE),"")</f>
        <v/>
      </c>
      <c r="AA42" s="17" t="str">
        <f>IFERROR(VLOOKUP(シフト組み!AA72,役職一覧!$B:$D,2,FALSE),"")</f>
        <v/>
      </c>
      <c r="AB42" s="17" t="str">
        <f>IFERROR(VLOOKUP(シフト組み!AB72,役職一覧!$B:$D,2,FALSE),"")</f>
        <v/>
      </c>
      <c r="AC42" s="17" t="str">
        <f>IFERROR(VLOOKUP(シフト組み!AC72,役職一覧!$B:$D,2,FALSE),"")</f>
        <v/>
      </c>
      <c r="AD42" s="17" t="str">
        <f>IFERROR(VLOOKUP(シフト組み!AD72,役職一覧!$B:$D,2,FALSE),"")</f>
        <v/>
      </c>
      <c r="AE42" s="17" t="str">
        <f>IFERROR(VLOOKUP(シフト組み!AE72,役職一覧!$B:$D,2,FALSE),"")</f>
        <v/>
      </c>
      <c r="AF42" s="17" t="str">
        <f>IFERROR(VLOOKUP(シフト組み!AF72,役職一覧!$B:$D,2,FALSE),"")</f>
        <v/>
      </c>
      <c r="AG42" s="17" t="str">
        <f>IFERROR(VLOOKUP(シフト組み!AG72,役職一覧!$B:$D,2,FALSE),"")</f>
        <v/>
      </c>
      <c r="AH42" s="17" t="str">
        <f>IFERROR(VLOOKUP(シフト組み!AH72,役職一覧!$B:$D,3,FALSE),"")</f>
        <v/>
      </c>
      <c r="AI42" s="17" t="str">
        <f>IFERROR(VLOOKUP(シフト組み!AI72,役職一覧!$B:$D,3,FALSE),"")</f>
        <v/>
      </c>
      <c r="AJ42" s="17" t="str">
        <f>IFERROR(VLOOKUP(シフト組み!AJ72,役職一覧!$B:$D,3,FALSE),"")</f>
        <v/>
      </c>
      <c r="AK42" s="17" t="str">
        <f>IFERROR(VLOOKUP(シフト組み!AK72,役職一覧!$B:$D,3,FALSE),"")</f>
        <v/>
      </c>
      <c r="AL42" s="17" t="str">
        <f>IFERROR(VLOOKUP(シフト組み!AL72,役職一覧!$B:$D,3,FALSE),"")</f>
        <v/>
      </c>
      <c r="AM42" s="17" t="str">
        <f>IFERROR(VLOOKUP(シフト組み!AM72,役職一覧!$B:$D,3,FALSE),"")</f>
        <v/>
      </c>
      <c r="AN42" s="17" t="str">
        <f>IFERROR(VLOOKUP(シフト組み!AN72,役職一覧!$B:$D,3,FALSE),"")</f>
        <v/>
      </c>
      <c r="AO42" s="17" t="str">
        <f>IFERROR(VLOOKUP(シフト組み!AO72,役職一覧!$B:$D,3,FALSE),"")</f>
        <v/>
      </c>
      <c r="AP42" s="17" t="str">
        <f>IFERROR(VLOOKUP(シフト組み!AP72,役職一覧!$B:$D,3,FALSE),"")</f>
        <v/>
      </c>
      <c r="AQ42" s="17" t="str">
        <f>IFERROR(VLOOKUP(シフト組み!AQ72,役職一覧!$B:$D,3,FALSE),"")</f>
        <v/>
      </c>
      <c r="AR42" s="17" t="str">
        <f>IFERROR(VLOOKUP(シフト組み!AR72,役職一覧!$B:$D,3,FALSE),"")</f>
        <v/>
      </c>
      <c r="AS42" s="17" t="str">
        <f>IFERROR(VLOOKUP(シフト組み!AS72,役職一覧!$B:$D,3,FALSE),"")</f>
        <v/>
      </c>
      <c r="AT42" s="17" t="str">
        <f>IFERROR(VLOOKUP(シフト組み!AT72,役職一覧!$B:$D,3,FALSE),"")</f>
        <v/>
      </c>
      <c r="AU42" s="17" t="str">
        <f>IFERROR(VLOOKUP(シフト組み!AU72,役職一覧!$B:$D,3,FALSE),"")</f>
        <v/>
      </c>
      <c r="AV42" s="17" t="str">
        <f>IFERROR(VLOOKUP(シフト組み!AV72,役職一覧!$B:$D,3,FALSE),"")</f>
        <v/>
      </c>
      <c r="AW42" s="17" t="str">
        <f>IFERROR(VLOOKUP(シフト組み!AW72,役職一覧!$B:$D,3,FALSE),"")</f>
        <v/>
      </c>
      <c r="AX42" s="17" t="str">
        <f>IFERROR(VLOOKUP(シフト組み!AX72,役職一覧!$B:$D,3,FALSE),"")</f>
        <v/>
      </c>
      <c r="AY42" s="17" t="str">
        <f>IFERROR(VLOOKUP(シフト組み!AY72,役職一覧!$B:$D,3,FALSE),"")</f>
        <v/>
      </c>
      <c r="AZ42" s="17" t="str">
        <f>IFERROR(VLOOKUP(シフト組み!AZ72,役職一覧!$B:$D,3,FALSE),"")</f>
        <v/>
      </c>
      <c r="BA42" s="17" t="str">
        <f>IFERROR(VLOOKUP(シフト組み!BA72,役職一覧!$B:$D,3,FALSE),"")</f>
        <v/>
      </c>
    </row>
    <row r="43" spans="1:53">
      <c r="A43" s="2" t="str">
        <f>シフト組み!A73&amp;""</f>
        <v/>
      </c>
      <c r="B43" s="2" t="str">
        <f>シフト組み!B73&amp;""</f>
        <v/>
      </c>
      <c r="C43" s="2" t="str">
        <f>シフト組み!C73&amp;""</f>
        <v/>
      </c>
      <c r="D43" s="17" t="str">
        <f>IFERROR(VLOOKUP(シフト組み!D73,役職一覧!$B:$D,2,FALSE),"")</f>
        <v/>
      </c>
      <c r="E43" s="17" t="str">
        <f>IFERROR(VLOOKUP(シフト組み!E73,役職一覧!$B:$D,2,FALSE),"")</f>
        <v/>
      </c>
      <c r="F43" s="17" t="str">
        <f>IFERROR(VLOOKUP(シフト組み!F73,役職一覧!$B:$D,2,FALSE),"")</f>
        <v/>
      </c>
      <c r="G43" s="17" t="str">
        <f>IFERROR(VLOOKUP(シフト組み!G73,役職一覧!$B:$D,2,FALSE),"")</f>
        <v/>
      </c>
      <c r="H43" s="17" t="str">
        <f>IFERROR(VLOOKUP(シフト組み!H73,役職一覧!$B:$D,2,FALSE),"")</f>
        <v/>
      </c>
      <c r="I43" s="17" t="str">
        <f>IFERROR(VLOOKUP(シフト組み!I73,役職一覧!$B:$D,2,FALSE),"")</f>
        <v/>
      </c>
      <c r="J43" s="17" t="str">
        <f>IFERROR(VLOOKUP(シフト組み!J73,役職一覧!$B:$D,2,FALSE),"")</f>
        <v/>
      </c>
      <c r="K43" s="17" t="str">
        <f>IFERROR(VLOOKUP(シフト組み!K73,役職一覧!$B:$D,2,FALSE),"")</f>
        <v/>
      </c>
      <c r="L43" s="17" t="str">
        <f>IFERROR(VLOOKUP(シフト組み!L73,役職一覧!$B:$D,2,FALSE),"")</f>
        <v/>
      </c>
      <c r="M43" s="17" t="str">
        <f>IFERROR(VLOOKUP(シフト組み!M73,役職一覧!$B:$D,2,FALSE),"")</f>
        <v/>
      </c>
      <c r="N43" s="17" t="str">
        <f>IFERROR(VLOOKUP(シフト組み!N73,役職一覧!$B:$D,2,FALSE),"")</f>
        <v/>
      </c>
      <c r="O43" s="17" t="str">
        <f>IFERROR(VLOOKUP(シフト組み!O73,役職一覧!$B:$D,2,FALSE),"")</f>
        <v/>
      </c>
      <c r="P43" s="17" t="str">
        <f>IFERROR(VLOOKUP(シフト組み!P73,役職一覧!$B:$D,2,FALSE),"")</f>
        <v/>
      </c>
      <c r="Q43" s="17" t="str">
        <f>IFERROR(VLOOKUP(シフト組み!Q73,役職一覧!$B:$D,2,FALSE),"")</f>
        <v/>
      </c>
      <c r="R43" s="17" t="str">
        <f>IFERROR(VLOOKUP(シフト組み!R73,役職一覧!$B:$D,2,FALSE),"")</f>
        <v/>
      </c>
      <c r="S43" s="17" t="str">
        <f>IFERROR(VLOOKUP(シフト組み!S73,役職一覧!$B:$D,2,FALSE),"")</f>
        <v/>
      </c>
      <c r="T43" s="17" t="str">
        <f>IFERROR(VLOOKUP(シフト組み!T73,役職一覧!$B:$D,2,FALSE),"")</f>
        <v/>
      </c>
      <c r="U43" s="17" t="str">
        <f>IFERROR(VLOOKUP(シフト組み!U73,役職一覧!$B:$D,2,FALSE),"")</f>
        <v/>
      </c>
      <c r="V43" s="17" t="str">
        <f>IFERROR(VLOOKUP(シフト組み!V73,役職一覧!$B:$D,2,FALSE),"")</f>
        <v/>
      </c>
      <c r="W43" s="17" t="str">
        <f>IFERROR(VLOOKUP(シフト組み!W73,役職一覧!$B:$D,2,FALSE),"")</f>
        <v/>
      </c>
      <c r="X43" s="17" t="str">
        <f>IFERROR(VLOOKUP(シフト組み!X73,役職一覧!$B:$D,2,FALSE),"")</f>
        <v/>
      </c>
      <c r="Y43" s="17" t="str">
        <f>IFERROR(VLOOKUP(シフト組み!Y73,役職一覧!$B:$D,2,FALSE),"")</f>
        <v/>
      </c>
      <c r="Z43" s="17" t="str">
        <f>IFERROR(VLOOKUP(シフト組み!Z73,役職一覧!$B:$D,2,FALSE),"")</f>
        <v/>
      </c>
      <c r="AA43" s="17" t="str">
        <f>IFERROR(VLOOKUP(シフト組み!AA73,役職一覧!$B:$D,2,FALSE),"")</f>
        <v/>
      </c>
      <c r="AB43" s="17" t="str">
        <f>IFERROR(VLOOKUP(シフト組み!AB73,役職一覧!$B:$D,2,FALSE),"")</f>
        <v/>
      </c>
      <c r="AC43" s="17" t="str">
        <f>IFERROR(VLOOKUP(シフト組み!AC73,役職一覧!$B:$D,2,FALSE),"")</f>
        <v/>
      </c>
      <c r="AD43" s="17" t="str">
        <f>IFERROR(VLOOKUP(シフト組み!AD73,役職一覧!$B:$D,2,FALSE),"")</f>
        <v/>
      </c>
      <c r="AE43" s="17" t="str">
        <f>IFERROR(VLOOKUP(シフト組み!AE73,役職一覧!$B:$D,2,FALSE),"")</f>
        <v/>
      </c>
      <c r="AF43" s="17" t="str">
        <f>IFERROR(VLOOKUP(シフト組み!AF73,役職一覧!$B:$D,2,FALSE),"")</f>
        <v/>
      </c>
      <c r="AG43" s="17" t="str">
        <f>IFERROR(VLOOKUP(シフト組み!AG73,役職一覧!$B:$D,2,FALSE),"")</f>
        <v/>
      </c>
      <c r="AH43" s="17" t="str">
        <f>IFERROR(VLOOKUP(シフト組み!AH73,役職一覧!$B:$D,3,FALSE),"")</f>
        <v/>
      </c>
      <c r="AI43" s="17" t="str">
        <f>IFERROR(VLOOKUP(シフト組み!AI73,役職一覧!$B:$D,3,FALSE),"")</f>
        <v/>
      </c>
      <c r="AJ43" s="17" t="str">
        <f>IFERROR(VLOOKUP(シフト組み!AJ73,役職一覧!$B:$D,3,FALSE),"")</f>
        <v/>
      </c>
      <c r="AK43" s="17" t="str">
        <f>IFERROR(VLOOKUP(シフト組み!AK73,役職一覧!$B:$D,3,FALSE),"")</f>
        <v/>
      </c>
      <c r="AL43" s="17" t="str">
        <f>IFERROR(VLOOKUP(シフト組み!AL73,役職一覧!$B:$D,3,FALSE),"")</f>
        <v/>
      </c>
      <c r="AM43" s="17" t="str">
        <f>IFERROR(VLOOKUP(シフト組み!AM73,役職一覧!$B:$D,3,FALSE),"")</f>
        <v/>
      </c>
      <c r="AN43" s="17" t="str">
        <f>IFERROR(VLOOKUP(シフト組み!AN73,役職一覧!$B:$D,3,FALSE),"")</f>
        <v/>
      </c>
      <c r="AO43" s="17" t="str">
        <f>IFERROR(VLOOKUP(シフト組み!AO73,役職一覧!$B:$D,3,FALSE),"")</f>
        <v/>
      </c>
      <c r="AP43" s="17" t="str">
        <f>IFERROR(VLOOKUP(シフト組み!AP73,役職一覧!$B:$D,3,FALSE),"")</f>
        <v/>
      </c>
      <c r="AQ43" s="17" t="str">
        <f>IFERROR(VLOOKUP(シフト組み!AQ73,役職一覧!$B:$D,3,FALSE),"")</f>
        <v/>
      </c>
      <c r="AR43" s="17" t="str">
        <f>IFERROR(VLOOKUP(シフト組み!AR73,役職一覧!$B:$D,3,FALSE),"")</f>
        <v/>
      </c>
      <c r="AS43" s="17" t="str">
        <f>IFERROR(VLOOKUP(シフト組み!AS73,役職一覧!$B:$D,3,FALSE),"")</f>
        <v/>
      </c>
      <c r="AT43" s="17" t="str">
        <f>IFERROR(VLOOKUP(シフト組み!AT73,役職一覧!$B:$D,3,FALSE),"")</f>
        <v/>
      </c>
      <c r="AU43" s="17" t="str">
        <f>IFERROR(VLOOKUP(シフト組み!AU73,役職一覧!$B:$D,3,FALSE),"")</f>
        <v/>
      </c>
      <c r="AV43" s="17" t="str">
        <f>IFERROR(VLOOKUP(シフト組み!AV73,役職一覧!$B:$D,3,FALSE),"")</f>
        <v/>
      </c>
      <c r="AW43" s="17" t="str">
        <f>IFERROR(VLOOKUP(シフト組み!AW73,役職一覧!$B:$D,3,FALSE),"")</f>
        <v/>
      </c>
      <c r="AX43" s="17" t="str">
        <f>IFERROR(VLOOKUP(シフト組み!AX73,役職一覧!$B:$D,3,FALSE),"")</f>
        <v/>
      </c>
      <c r="AY43" s="17" t="str">
        <f>IFERROR(VLOOKUP(シフト組み!AY73,役職一覧!$B:$D,3,FALSE),"")</f>
        <v/>
      </c>
      <c r="AZ43" s="17" t="str">
        <f>IFERROR(VLOOKUP(シフト組み!AZ73,役職一覧!$B:$D,3,FALSE),"")</f>
        <v/>
      </c>
      <c r="BA43" s="17" t="str">
        <f>IFERROR(VLOOKUP(シフト組み!BA73,役職一覧!$B:$D,3,FALSE),"")</f>
        <v/>
      </c>
    </row>
    <row r="44" spans="1:53">
      <c r="A44" s="2" t="str">
        <f>シフト組み!A74&amp;""</f>
        <v/>
      </c>
      <c r="B44" s="2" t="str">
        <f>シフト組み!B74&amp;""</f>
        <v/>
      </c>
      <c r="C44" s="2" t="str">
        <f>シフト組み!C74&amp;""</f>
        <v/>
      </c>
      <c r="D44" s="17" t="str">
        <f>IFERROR(VLOOKUP(シフト組み!D74,役職一覧!$B:$D,2,FALSE),"")</f>
        <v/>
      </c>
      <c r="E44" s="17" t="str">
        <f>IFERROR(VLOOKUP(シフト組み!E74,役職一覧!$B:$D,2,FALSE),"")</f>
        <v/>
      </c>
      <c r="F44" s="17" t="str">
        <f>IFERROR(VLOOKUP(シフト組み!F74,役職一覧!$B:$D,2,FALSE),"")</f>
        <v/>
      </c>
      <c r="G44" s="17" t="str">
        <f>IFERROR(VLOOKUP(シフト組み!G74,役職一覧!$B:$D,2,FALSE),"")</f>
        <v/>
      </c>
      <c r="H44" s="17" t="str">
        <f>IFERROR(VLOOKUP(シフト組み!H74,役職一覧!$B:$D,2,FALSE),"")</f>
        <v/>
      </c>
      <c r="I44" s="17" t="str">
        <f>IFERROR(VLOOKUP(シフト組み!I74,役職一覧!$B:$D,2,FALSE),"")</f>
        <v/>
      </c>
      <c r="J44" s="17" t="str">
        <f>IFERROR(VLOOKUP(シフト組み!J74,役職一覧!$B:$D,2,FALSE),"")</f>
        <v/>
      </c>
      <c r="K44" s="17" t="str">
        <f>IFERROR(VLOOKUP(シフト組み!K74,役職一覧!$B:$D,2,FALSE),"")</f>
        <v/>
      </c>
      <c r="L44" s="17" t="str">
        <f>IFERROR(VLOOKUP(シフト組み!L74,役職一覧!$B:$D,2,FALSE),"")</f>
        <v/>
      </c>
      <c r="M44" s="17" t="str">
        <f>IFERROR(VLOOKUP(シフト組み!M74,役職一覧!$B:$D,2,FALSE),"")</f>
        <v/>
      </c>
      <c r="N44" s="17" t="str">
        <f>IFERROR(VLOOKUP(シフト組み!N74,役職一覧!$B:$D,2,FALSE),"")</f>
        <v/>
      </c>
      <c r="O44" s="17" t="str">
        <f>IFERROR(VLOOKUP(シフト組み!O74,役職一覧!$B:$D,2,FALSE),"")</f>
        <v/>
      </c>
      <c r="P44" s="17" t="str">
        <f>IFERROR(VLOOKUP(シフト組み!P74,役職一覧!$B:$D,2,FALSE),"")</f>
        <v/>
      </c>
      <c r="Q44" s="17" t="str">
        <f>IFERROR(VLOOKUP(シフト組み!Q74,役職一覧!$B:$D,2,FALSE),"")</f>
        <v/>
      </c>
      <c r="R44" s="17" t="str">
        <f>IFERROR(VLOOKUP(シフト組み!R74,役職一覧!$B:$D,2,FALSE),"")</f>
        <v/>
      </c>
      <c r="S44" s="17" t="str">
        <f>IFERROR(VLOOKUP(シフト組み!S74,役職一覧!$B:$D,2,FALSE),"")</f>
        <v/>
      </c>
      <c r="T44" s="17" t="str">
        <f>IFERROR(VLOOKUP(シフト組み!T74,役職一覧!$B:$D,2,FALSE),"")</f>
        <v/>
      </c>
      <c r="U44" s="17" t="str">
        <f>IFERROR(VLOOKUP(シフト組み!U74,役職一覧!$B:$D,2,FALSE),"")</f>
        <v/>
      </c>
      <c r="V44" s="17" t="str">
        <f>IFERROR(VLOOKUP(シフト組み!V74,役職一覧!$B:$D,2,FALSE),"")</f>
        <v/>
      </c>
      <c r="W44" s="17" t="str">
        <f>IFERROR(VLOOKUP(シフト組み!W74,役職一覧!$B:$D,2,FALSE),"")</f>
        <v/>
      </c>
      <c r="X44" s="17" t="str">
        <f>IFERROR(VLOOKUP(シフト組み!X74,役職一覧!$B:$D,2,FALSE),"")</f>
        <v/>
      </c>
      <c r="Y44" s="17" t="str">
        <f>IFERROR(VLOOKUP(シフト組み!Y74,役職一覧!$B:$D,2,FALSE),"")</f>
        <v/>
      </c>
      <c r="Z44" s="17" t="str">
        <f>IFERROR(VLOOKUP(シフト組み!Z74,役職一覧!$B:$D,2,FALSE),"")</f>
        <v/>
      </c>
      <c r="AA44" s="17" t="str">
        <f>IFERROR(VLOOKUP(シフト組み!AA74,役職一覧!$B:$D,2,FALSE),"")</f>
        <v/>
      </c>
      <c r="AB44" s="17" t="str">
        <f>IFERROR(VLOOKUP(シフト組み!AB74,役職一覧!$B:$D,2,FALSE),"")</f>
        <v/>
      </c>
      <c r="AC44" s="17" t="str">
        <f>IFERROR(VLOOKUP(シフト組み!AC74,役職一覧!$B:$D,2,FALSE),"")</f>
        <v/>
      </c>
      <c r="AD44" s="17" t="str">
        <f>IFERROR(VLOOKUP(シフト組み!AD74,役職一覧!$B:$D,2,FALSE),"")</f>
        <v/>
      </c>
      <c r="AE44" s="17" t="str">
        <f>IFERROR(VLOOKUP(シフト組み!AE74,役職一覧!$B:$D,2,FALSE),"")</f>
        <v/>
      </c>
      <c r="AF44" s="17" t="str">
        <f>IFERROR(VLOOKUP(シフト組み!AF74,役職一覧!$B:$D,2,FALSE),"")</f>
        <v/>
      </c>
      <c r="AG44" s="17" t="str">
        <f>IFERROR(VLOOKUP(シフト組み!AG74,役職一覧!$B:$D,2,FALSE),"")</f>
        <v/>
      </c>
      <c r="AH44" s="17" t="str">
        <f>IFERROR(VLOOKUP(シフト組み!AH74,役職一覧!$B:$D,3,FALSE),"")</f>
        <v/>
      </c>
      <c r="AI44" s="17" t="str">
        <f>IFERROR(VLOOKUP(シフト組み!AI74,役職一覧!$B:$D,3,FALSE),"")</f>
        <v/>
      </c>
      <c r="AJ44" s="17" t="str">
        <f>IFERROR(VLOOKUP(シフト組み!AJ74,役職一覧!$B:$D,3,FALSE),"")</f>
        <v/>
      </c>
      <c r="AK44" s="17" t="str">
        <f>IFERROR(VLOOKUP(シフト組み!AK74,役職一覧!$B:$D,3,FALSE),"")</f>
        <v/>
      </c>
      <c r="AL44" s="17" t="str">
        <f>IFERROR(VLOOKUP(シフト組み!AL74,役職一覧!$B:$D,3,FALSE),"")</f>
        <v/>
      </c>
      <c r="AM44" s="17" t="str">
        <f>IFERROR(VLOOKUP(シフト組み!AM74,役職一覧!$B:$D,3,FALSE),"")</f>
        <v/>
      </c>
      <c r="AN44" s="17" t="str">
        <f>IFERROR(VLOOKUP(シフト組み!AN74,役職一覧!$B:$D,3,FALSE),"")</f>
        <v/>
      </c>
      <c r="AO44" s="17" t="str">
        <f>IFERROR(VLOOKUP(シフト組み!AO74,役職一覧!$B:$D,3,FALSE),"")</f>
        <v/>
      </c>
      <c r="AP44" s="17" t="str">
        <f>IFERROR(VLOOKUP(シフト組み!AP74,役職一覧!$B:$D,3,FALSE),"")</f>
        <v/>
      </c>
      <c r="AQ44" s="17" t="str">
        <f>IFERROR(VLOOKUP(シフト組み!AQ74,役職一覧!$B:$D,3,FALSE),"")</f>
        <v/>
      </c>
      <c r="AR44" s="17" t="str">
        <f>IFERROR(VLOOKUP(シフト組み!AR74,役職一覧!$B:$D,3,FALSE),"")</f>
        <v/>
      </c>
      <c r="AS44" s="17" t="str">
        <f>IFERROR(VLOOKUP(シフト組み!AS74,役職一覧!$B:$D,3,FALSE),"")</f>
        <v/>
      </c>
      <c r="AT44" s="17" t="str">
        <f>IFERROR(VLOOKUP(シフト組み!AT74,役職一覧!$B:$D,3,FALSE),"")</f>
        <v/>
      </c>
      <c r="AU44" s="17" t="str">
        <f>IFERROR(VLOOKUP(シフト組み!AU74,役職一覧!$B:$D,3,FALSE),"")</f>
        <v/>
      </c>
      <c r="AV44" s="17" t="str">
        <f>IFERROR(VLOOKUP(シフト組み!AV74,役職一覧!$B:$D,3,FALSE),"")</f>
        <v/>
      </c>
      <c r="AW44" s="17" t="str">
        <f>IFERROR(VLOOKUP(シフト組み!AW74,役職一覧!$B:$D,3,FALSE),"")</f>
        <v/>
      </c>
      <c r="AX44" s="17" t="str">
        <f>IFERROR(VLOOKUP(シフト組み!AX74,役職一覧!$B:$D,3,FALSE),"")</f>
        <v/>
      </c>
      <c r="AY44" s="17" t="str">
        <f>IFERROR(VLOOKUP(シフト組み!AY74,役職一覧!$B:$D,3,FALSE),"")</f>
        <v/>
      </c>
      <c r="AZ44" s="17" t="str">
        <f>IFERROR(VLOOKUP(シフト組み!AZ74,役職一覧!$B:$D,3,FALSE),"")</f>
        <v/>
      </c>
      <c r="BA44" s="17" t="str">
        <f>IFERROR(VLOOKUP(シフト組み!BA74,役職一覧!$B:$D,3,FALSE),"")</f>
        <v/>
      </c>
    </row>
    <row r="45" spans="1:53">
      <c r="A45" s="2" t="str">
        <f>シフト組み!A75&amp;""</f>
        <v/>
      </c>
      <c r="B45" s="2" t="str">
        <f>シフト組み!B75&amp;""</f>
        <v/>
      </c>
      <c r="C45" s="2" t="str">
        <f>シフト組み!C75&amp;""</f>
        <v/>
      </c>
      <c r="D45" s="17" t="str">
        <f>IFERROR(VLOOKUP(シフト組み!D75,役職一覧!$B:$D,2,FALSE),"")</f>
        <v/>
      </c>
      <c r="E45" s="17" t="str">
        <f>IFERROR(VLOOKUP(シフト組み!E75,役職一覧!$B:$D,2,FALSE),"")</f>
        <v/>
      </c>
      <c r="F45" s="17" t="str">
        <f>IFERROR(VLOOKUP(シフト組み!F75,役職一覧!$B:$D,2,FALSE),"")</f>
        <v/>
      </c>
      <c r="G45" s="17" t="str">
        <f>IFERROR(VLOOKUP(シフト組み!G75,役職一覧!$B:$D,2,FALSE),"")</f>
        <v/>
      </c>
      <c r="H45" s="17" t="str">
        <f>IFERROR(VLOOKUP(シフト組み!H75,役職一覧!$B:$D,2,FALSE),"")</f>
        <v/>
      </c>
      <c r="I45" s="17" t="str">
        <f>IFERROR(VLOOKUP(シフト組み!I75,役職一覧!$B:$D,2,FALSE),"")</f>
        <v/>
      </c>
      <c r="J45" s="17" t="str">
        <f>IFERROR(VLOOKUP(シフト組み!J75,役職一覧!$B:$D,2,FALSE),"")</f>
        <v/>
      </c>
      <c r="K45" s="17" t="str">
        <f>IFERROR(VLOOKUP(シフト組み!K75,役職一覧!$B:$D,2,FALSE),"")</f>
        <v/>
      </c>
      <c r="L45" s="17" t="str">
        <f>IFERROR(VLOOKUP(シフト組み!L75,役職一覧!$B:$D,2,FALSE),"")</f>
        <v/>
      </c>
      <c r="M45" s="17" t="str">
        <f>IFERROR(VLOOKUP(シフト組み!M75,役職一覧!$B:$D,2,FALSE),"")</f>
        <v/>
      </c>
      <c r="N45" s="17" t="str">
        <f>IFERROR(VLOOKUP(シフト組み!N75,役職一覧!$B:$D,2,FALSE),"")</f>
        <v/>
      </c>
      <c r="O45" s="17" t="str">
        <f>IFERROR(VLOOKUP(シフト組み!O75,役職一覧!$B:$D,2,FALSE),"")</f>
        <v/>
      </c>
      <c r="P45" s="17" t="str">
        <f>IFERROR(VLOOKUP(シフト組み!P75,役職一覧!$B:$D,2,FALSE),"")</f>
        <v/>
      </c>
      <c r="Q45" s="17" t="str">
        <f>IFERROR(VLOOKUP(シフト組み!Q75,役職一覧!$B:$D,2,FALSE),"")</f>
        <v/>
      </c>
      <c r="R45" s="17" t="str">
        <f>IFERROR(VLOOKUP(シフト組み!R75,役職一覧!$B:$D,2,FALSE),"")</f>
        <v/>
      </c>
      <c r="S45" s="17" t="str">
        <f>IFERROR(VLOOKUP(シフト組み!S75,役職一覧!$B:$D,2,FALSE),"")</f>
        <v/>
      </c>
      <c r="T45" s="17" t="str">
        <f>IFERROR(VLOOKUP(シフト組み!T75,役職一覧!$B:$D,2,FALSE),"")</f>
        <v/>
      </c>
      <c r="U45" s="17" t="str">
        <f>IFERROR(VLOOKUP(シフト組み!U75,役職一覧!$B:$D,2,FALSE),"")</f>
        <v/>
      </c>
      <c r="V45" s="17" t="str">
        <f>IFERROR(VLOOKUP(シフト組み!V75,役職一覧!$B:$D,2,FALSE),"")</f>
        <v/>
      </c>
      <c r="W45" s="17" t="str">
        <f>IFERROR(VLOOKUP(シフト組み!W75,役職一覧!$B:$D,2,FALSE),"")</f>
        <v/>
      </c>
      <c r="X45" s="17" t="str">
        <f>IFERROR(VLOOKUP(シフト組み!X75,役職一覧!$B:$D,2,FALSE),"")</f>
        <v/>
      </c>
      <c r="Y45" s="17" t="str">
        <f>IFERROR(VLOOKUP(シフト組み!Y75,役職一覧!$B:$D,2,FALSE),"")</f>
        <v/>
      </c>
      <c r="Z45" s="17" t="str">
        <f>IFERROR(VLOOKUP(シフト組み!Z75,役職一覧!$B:$D,2,FALSE),"")</f>
        <v/>
      </c>
      <c r="AA45" s="17" t="str">
        <f>IFERROR(VLOOKUP(シフト組み!AA75,役職一覧!$B:$D,2,FALSE),"")</f>
        <v/>
      </c>
      <c r="AB45" s="17" t="str">
        <f>IFERROR(VLOOKUP(シフト組み!AB75,役職一覧!$B:$D,2,FALSE),"")</f>
        <v/>
      </c>
      <c r="AC45" s="17" t="str">
        <f>IFERROR(VLOOKUP(シフト組み!AC75,役職一覧!$B:$D,2,FALSE),"")</f>
        <v/>
      </c>
      <c r="AD45" s="17" t="str">
        <f>IFERROR(VLOOKUP(シフト組み!AD75,役職一覧!$B:$D,2,FALSE),"")</f>
        <v/>
      </c>
      <c r="AE45" s="17" t="str">
        <f>IFERROR(VLOOKUP(シフト組み!AE75,役職一覧!$B:$D,2,FALSE),"")</f>
        <v/>
      </c>
      <c r="AF45" s="17" t="str">
        <f>IFERROR(VLOOKUP(シフト組み!AF75,役職一覧!$B:$D,2,FALSE),"")</f>
        <v/>
      </c>
      <c r="AG45" s="17" t="str">
        <f>IFERROR(VLOOKUP(シフト組み!AG75,役職一覧!$B:$D,2,FALSE),"")</f>
        <v/>
      </c>
      <c r="AH45" s="17" t="str">
        <f>IFERROR(VLOOKUP(シフト組み!AH75,役職一覧!$B:$D,3,FALSE),"")</f>
        <v/>
      </c>
      <c r="AI45" s="17" t="str">
        <f>IFERROR(VLOOKUP(シフト組み!AI75,役職一覧!$B:$D,3,FALSE),"")</f>
        <v/>
      </c>
      <c r="AJ45" s="17" t="str">
        <f>IFERROR(VLOOKUP(シフト組み!AJ75,役職一覧!$B:$D,3,FALSE),"")</f>
        <v/>
      </c>
      <c r="AK45" s="17" t="str">
        <f>IFERROR(VLOOKUP(シフト組み!AK75,役職一覧!$B:$D,3,FALSE),"")</f>
        <v/>
      </c>
      <c r="AL45" s="17" t="str">
        <f>IFERROR(VLOOKUP(シフト組み!AL75,役職一覧!$B:$D,3,FALSE),"")</f>
        <v/>
      </c>
      <c r="AM45" s="17" t="str">
        <f>IFERROR(VLOOKUP(シフト組み!AM75,役職一覧!$B:$D,3,FALSE),"")</f>
        <v/>
      </c>
      <c r="AN45" s="17" t="str">
        <f>IFERROR(VLOOKUP(シフト組み!AN75,役職一覧!$B:$D,3,FALSE),"")</f>
        <v/>
      </c>
      <c r="AO45" s="17" t="str">
        <f>IFERROR(VLOOKUP(シフト組み!AO75,役職一覧!$B:$D,3,FALSE),"")</f>
        <v/>
      </c>
      <c r="AP45" s="17" t="str">
        <f>IFERROR(VLOOKUP(シフト組み!AP75,役職一覧!$B:$D,3,FALSE),"")</f>
        <v/>
      </c>
      <c r="AQ45" s="17" t="str">
        <f>IFERROR(VLOOKUP(シフト組み!AQ75,役職一覧!$B:$D,3,FALSE),"")</f>
        <v/>
      </c>
      <c r="AR45" s="17" t="str">
        <f>IFERROR(VLOOKUP(シフト組み!AR75,役職一覧!$B:$D,3,FALSE),"")</f>
        <v/>
      </c>
      <c r="AS45" s="17" t="str">
        <f>IFERROR(VLOOKUP(シフト組み!AS75,役職一覧!$B:$D,3,FALSE),"")</f>
        <v/>
      </c>
      <c r="AT45" s="17" t="str">
        <f>IFERROR(VLOOKUP(シフト組み!AT75,役職一覧!$B:$D,3,FALSE),"")</f>
        <v/>
      </c>
      <c r="AU45" s="17" t="str">
        <f>IFERROR(VLOOKUP(シフト組み!AU75,役職一覧!$B:$D,3,FALSE),"")</f>
        <v/>
      </c>
      <c r="AV45" s="17" t="str">
        <f>IFERROR(VLOOKUP(シフト組み!AV75,役職一覧!$B:$D,3,FALSE),"")</f>
        <v/>
      </c>
      <c r="AW45" s="17" t="str">
        <f>IFERROR(VLOOKUP(シフト組み!AW75,役職一覧!$B:$D,3,FALSE),"")</f>
        <v/>
      </c>
      <c r="AX45" s="17" t="str">
        <f>IFERROR(VLOOKUP(シフト組み!AX75,役職一覧!$B:$D,3,FALSE),"")</f>
        <v/>
      </c>
      <c r="AY45" s="17" t="str">
        <f>IFERROR(VLOOKUP(シフト組み!AY75,役職一覧!$B:$D,3,FALSE),"")</f>
        <v/>
      </c>
      <c r="AZ45" s="17" t="str">
        <f>IFERROR(VLOOKUP(シフト組み!AZ75,役職一覧!$B:$D,3,FALSE),"")</f>
        <v/>
      </c>
      <c r="BA45" s="17" t="str">
        <f>IFERROR(VLOOKUP(シフト組み!BA75,役職一覧!$B:$D,3,FALSE),"")</f>
        <v/>
      </c>
    </row>
    <row r="46" spans="1:53">
      <c r="A46" s="2" t="str">
        <f>シフト組み!A76&amp;""</f>
        <v/>
      </c>
      <c r="B46" s="2" t="str">
        <f>シフト組み!B76&amp;""</f>
        <v/>
      </c>
      <c r="C46" s="2" t="str">
        <f>シフト組み!C76&amp;""</f>
        <v/>
      </c>
      <c r="D46" s="17" t="str">
        <f>IFERROR(VLOOKUP(シフト組み!D76,役職一覧!$B:$D,2,FALSE),"")</f>
        <v/>
      </c>
      <c r="E46" s="17" t="str">
        <f>IFERROR(VLOOKUP(シフト組み!E76,役職一覧!$B:$D,2,FALSE),"")</f>
        <v/>
      </c>
      <c r="F46" s="17" t="str">
        <f>IFERROR(VLOOKUP(シフト組み!F76,役職一覧!$B:$D,2,FALSE),"")</f>
        <v/>
      </c>
      <c r="G46" s="17" t="str">
        <f>IFERROR(VLOOKUP(シフト組み!G76,役職一覧!$B:$D,2,FALSE),"")</f>
        <v/>
      </c>
      <c r="H46" s="17" t="str">
        <f>IFERROR(VLOOKUP(シフト組み!H76,役職一覧!$B:$D,2,FALSE),"")</f>
        <v/>
      </c>
      <c r="I46" s="17" t="str">
        <f>IFERROR(VLOOKUP(シフト組み!I76,役職一覧!$B:$D,2,FALSE),"")</f>
        <v/>
      </c>
      <c r="J46" s="17" t="str">
        <f>IFERROR(VLOOKUP(シフト組み!J76,役職一覧!$B:$D,2,FALSE),"")</f>
        <v/>
      </c>
      <c r="K46" s="17" t="str">
        <f>IFERROR(VLOOKUP(シフト組み!K76,役職一覧!$B:$D,2,FALSE),"")</f>
        <v/>
      </c>
      <c r="L46" s="17" t="str">
        <f>IFERROR(VLOOKUP(シフト組み!L76,役職一覧!$B:$D,2,FALSE),"")</f>
        <v/>
      </c>
      <c r="M46" s="17" t="str">
        <f>IFERROR(VLOOKUP(シフト組み!M76,役職一覧!$B:$D,2,FALSE),"")</f>
        <v/>
      </c>
      <c r="N46" s="17" t="str">
        <f>IFERROR(VLOOKUP(シフト組み!N76,役職一覧!$B:$D,2,FALSE),"")</f>
        <v/>
      </c>
      <c r="O46" s="17" t="str">
        <f>IFERROR(VLOOKUP(シフト組み!O76,役職一覧!$B:$D,2,FALSE),"")</f>
        <v/>
      </c>
      <c r="P46" s="17" t="str">
        <f>IFERROR(VLOOKUP(シフト組み!P76,役職一覧!$B:$D,2,FALSE),"")</f>
        <v/>
      </c>
      <c r="Q46" s="17" t="str">
        <f>IFERROR(VLOOKUP(シフト組み!Q76,役職一覧!$B:$D,2,FALSE),"")</f>
        <v/>
      </c>
      <c r="R46" s="17" t="str">
        <f>IFERROR(VLOOKUP(シフト組み!R76,役職一覧!$B:$D,2,FALSE),"")</f>
        <v/>
      </c>
      <c r="S46" s="17" t="str">
        <f>IFERROR(VLOOKUP(シフト組み!S76,役職一覧!$B:$D,2,FALSE),"")</f>
        <v/>
      </c>
      <c r="T46" s="17" t="str">
        <f>IFERROR(VLOOKUP(シフト組み!T76,役職一覧!$B:$D,2,FALSE),"")</f>
        <v/>
      </c>
      <c r="U46" s="17" t="str">
        <f>IFERROR(VLOOKUP(シフト組み!U76,役職一覧!$B:$D,2,FALSE),"")</f>
        <v/>
      </c>
      <c r="V46" s="17" t="str">
        <f>IFERROR(VLOOKUP(シフト組み!V76,役職一覧!$B:$D,2,FALSE),"")</f>
        <v/>
      </c>
      <c r="W46" s="17" t="str">
        <f>IFERROR(VLOOKUP(シフト組み!W76,役職一覧!$B:$D,2,FALSE),"")</f>
        <v/>
      </c>
      <c r="X46" s="17" t="str">
        <f>IFERROR(VLOOKUP(シフト組み!X76,役職一覧!$B:$D,2,FALSE),"")</f>
        <v/>
      </c>
      <c r="Y46" s="17" t="str">
        <f>IFERROR(VLOOKUP(シフト組み!Y76,役職一覧!$B:$D,2,FALSE),"")</f>
        <v/>
      </c>
      <c r="Z46" s="17" t="str">
        <f>IFERROR(VLOOKUP(シフト組み!Z76,役職一覧!$B:$D,2,FALSE),"")</f>
        <v/>
      </c>
      <c r="AA46" s="17" t="str">
        <f>IFERROR(VLOOKUP(シフト組み!AA76,役職一覧!$B:$D,2,FALSE),"")</f>
        <v/>
      </c>
      <c r="AB46" s="17" t="str">
        <f>IFERROR(VLOOKUP(シフト組み!AB76,役職一覧!$B:$D,2,FALSE),"")</f>
        <v/>
      </c>
      <c r="AC46" s="17" t="str">
        <f>IFERROR(VLOOKUP(シフト組み!AC76,役職一覧!$B:$D,2,FALSE),"")</f>
        <v/>
      </c>
      <c r="AD46" s="17" t="str">
        <f>IFERROR(VLOOKUP(シフト組み!AD76,役職一覧!$B:$D,2,FALSE),"")</f>
        <v/>
      </c>
      <c r="AE46" s="17" t="str">
        <f>IFERROR(VLOOKUP(シフト組み!AE76,役職一覧!$B:$D,2,FALSE),"")</f>
        <v/>
      </c>
      <c r="AF46" s="17" t="str">
        <f>IFERROR(VLOOKUP(シフト組み!AF76,役職一覧!$B:$D,2,FALSE),"")</f>
        <v/>
      </c>
      <c r="AG46" s="17" t="str">
        <f>IFERROR(VLOOKUP(シフト組み!AG76,役職一覧!$B:$D,2,FALSE),"")</f>
        <v/>
      </c>
      <c r="AH46" s="17" t="str">
        <f>IFERROR(VLOOKUP(シフト組み!AH76,役職一覧!$B:$D,3,FALSE),"")</f>
        <v/>
      </c>
      <c r="AI46" s="17" t="str">
        <f>IFERROR(VLOOKUP(シフト組み!AI76,役職一覧!$B:$D,3,FALSE),"")</f>
        <v/>
      </c>
      <c r="AJ46" s="17" t="str">
        <f>IFERROR(VLOOKUP(シフト組み!AJ76,役職一覧!$B:$D,3,FALSE),"")</f>
        <v/>
      </c>
      <c r="AK46" s="17" t="str">
        <f>IFERROR(VLOOKUP(シフト組み!AK76,役職一覧!$B:$D,3,FALSE),"")</f>
        <v/>
      </c>
      <c r="AL46" s="17" t="str">
        <f>IFERROR(VLOOKUP(シフト組み!AL76,役職一覧!$B:$D,3,FALSE),"")</f>
        <v/>
      </c>
      <c r="AM46" s="17" t="str">
        <f>IFERROR(VLOOKUP(シフト組み!AM76,役職一覧!$B:$D,3,FALSE),"")</f>
        <v/>
      </c>
      <c r="AN46" s="17" t="str">
        <f>IFERROR(VLOOKUP(シフト組み!AN76,役職一覧!$B:$D,3,FALSE),"")</f>
        <v/>
      </c>
      <c r="AO46" s="17" t="str">
        <f>IFERROR(VLOOKUP(シフト組み!AO76,役職一覧!$B:$D,3,FALSE),"")</f>
        <v/>
      </c>
      <c r="AP46" s="17" t="str">
        <f>IFERROR(VLOOKUP(シフト組み!AP76,役職一覧!$B:$D,3,FALSE),"")</f>
        <v/>
      </c>
      <c r="AQ46" s="17" t="str">
        <f>IFERROR(VLOOKUP(シフト組み!AQ76,役職一覧!$B:$D,3,FALSE),"")</f>
        <v/>
      </c>
      <c r="AR46" s="17" t="str">
        <f>IFERROR(VLOOKUP(シフト組み!AR76,役職一覧!$B:$D,3,FALSE),"")</f>
        <v/>
      </c>
      <c r="AS46" s="17" t="str">
        <f>IFERROR(VLOOKUP(シフト組み!AS76,役職一覧!$B:$D,3,FALSE),"")</f>
        <v/>
      </c>
      <c r="AT46" s="17" t="str">
        <f>IFERROR(VLOOKUP(シフト組み!AT76,役職一覧!$B:$D,3,FALSE),"")</f>
        <v/>
      </c>
      <c r="AU46" s="17" t="str">
        <f>IFERROR(VLOOKUP(シフト組み!AU76,役職一覧!$B:$D,3,FALSE),"")</f>
        <v/>
      </c>
      <c r="AV46" s="17" t="str">
        <f>IFERROR(VLOOKUP(シフト組み!AV76,役職一覧!$B:$D,3,FALSE),"")</f>
        <v/>
      </c>
      <c r="AW46" s="17" t="str">
        <f>IFERROR(VLOOKUP(シフト組み!AW76,役職一覧!$B:$D,3,FALSE),"")</f>
        <v/>
      </c>
      <c r="AX46" s="17" t="str">
        <f>IFERROR(VLOOKUP(シフト組み!AX76,役職一覧!$B:$D,3,FALSE),"")</f>
        <v/>
      </c>
      <c r="AY46" s="17" t="str">
        <f>IFERROR(VLOOKUP(シフト組み!AY76,役職一覧!$B:$D,3,FALSE),"")</f>
        <v/>
      </c>
      <c r="AZ46" s="17" t="str">
        <f>IFERROR(VLOOKUP(シフト組み!AZ76,役職一覧!$B:$D,3,FALSE),"")</f>
        <v/>
      </c>
      <c r="BA46" s="17" t="str">
        <f>IFERROR(VLOOKUP(シフト組み!BA76,役職一覧!$B:$D,3,FALSE),"")</f>
        <v/>
      </c>
    </row>
    <row r="47" spans="1:53">
      <c r="A47" s="2" t="str">
        <f>シフト組み!A77&amp;""</f>
        <v/>
      </c>
      <c r="B47" s="2" t="str">
        <f>シフト組み!B77&amp;""</f>
        <v/>
      </c>
      <c r="C47" s="2" t="str">
        <f>シフト組み!C77&amp;""</f>
        <v/>
      </c>
      <c r="D47" s="17" t="str">
        <f>IFERROR(VLOOKUP(シフト組み!D77,役職一覧!$B:$D,2,FALSE),"")</f>
        <v/>
      </c>
      <c r="E47" s="17" t="str">
        <f>IFERROR(VLOOKUP(シフト組み!E77,役職一覧!$B:$D,2,FALSE),"")</f>
        <v/>
      </c>
      <c r="F47" s="17" t="str">
        <f>IFERROR(VLOOKUP(シフト組み!F77,役職一覧!$B:$D,2,FALSE),"")</f>
        <v/>
      </c>
      <c r="G47" s="17" t="str">
        <f>IFERROR(VLOOKUP(シフト組み!G77,役職一覧!$B:$D,2,FALSE),"")</f>
        <v/>
      </c>
      <c r="H47" s="17" t="str">
        <f>IFERROR(VLOOKUP(シフト組み!H77,役職一覧!$B:$D,2,FALSE),"")</f>
        <v/>
      </c>
      <c r="I47" s="17" t="str">
        <f>IFERROR(VLOOKUP(シフト組み!I77,役職一覧!$B:$D,2,FALSE),"")</f>
        <v/>
      </c>
      <c r="J47" s="17" t="str">
        <f>IFERROR(VLOOKUP(シフト組み!J77,役職一覧!$B:$D,2,FALSE),"")</f>
        <v/>
      </c>
      <c r="K47" s="17" t="str">
        <f>IFERROR(VLOOKUP(シフト組み!K77,役職一覧!$B:$D,2,FALSE),"")</f>
        <v/>
      </c>
      <c r="L47" s="17" t="str">
        <f>IFERROR(VLOOKUP(シフト組み!L77,役職一覧!$B:$D,2,FALSE),"")</f>
        <v/>
      </c>
      <c r="M47" s="17" t="str">
        <f>IFERROR(VLOOKUP(シフト組み!M77,役職一覧!$B:$D,2,FALSE),"")</f>
        <v/>
      </c>
      <c r="N47" s="17" t="str">
        <f>IFERROR(VLOOKUP(シフト組み!N77,役職一覧!$B:$D,2,FALSE),"")</f>
        <v/>
      </c>
      <c r="O47" s="17" t="str">
        <f>IFERROR(VLOOKUP(シフト組み!O77,役職一覧!$B:$D,2,FALSE),"")</f>
        <v/>
      </c>
      <c r="P47" s="17" t="str">
        <f>IFERROR(VLOOKUP(シフト組み!P77,役職一覧!$B:$D,2,FALSE),"")</f>
        <v/>
      </c>
      <c r="Q47" s="17" t="str">
        <f>IFERROR(VLOOKUP(シフト組み!Q77,役職一覧!$B:$D,2,FALSE),"")</f>
        <v/>
      </c>
      <c r="R47" s="17" t="str">
        <f>IFERROR(VLOOKUP(シフト組み!R77,役職一覧!$B:$D,2,FALSE),"")</f>
        <v/>
      </c>
      <c r="S47" s="17" t="str">
        <f>IFERROR(VLOOKUP(シフト組み!S77,役職一覧!$B:$D,2,FALSE),"")</f>
        <v/>
      </c>
      <c r="T47" s="17" t="str">
        <f>IFERROR(VLOOKUP(シフト組み!T77,役職一覧!$B:$D,2,FALSE),"")</f>
        <v/>
      </c>
      <c r="U47" s="17" t="str">
        <f>IFERROR(VLOOKUP(シフト組み!U77,役職一覧!$B:$D,2,FALSE),"")</f>
        <v/>
      </c>
      <c r="V47" s="17" t="str">
        <f>IFERROR(VLOOKUP(シフト組み!V77,役職一覧!$B:$D,2,FALSE),"")</f>
        <v/>
      </c>
      <c r="W47" s="17" t="str">
        <f>IFERROR(VLOOKUP(シフト組み!W77,役職一覧!$B:$D,2,FALSE),"")</f>
        <v/>
      </c>
      <c r="X47" s="17" t="str">
        <f>IFERROR(VLOOKUP(シフト組み!X77,役職一覧!$B:$D,2,FALSE),"")</f>
        <v/>
      </c>
      <c r="Y47" s="17" t="str">
        <f>IFERROR(VLOOKUP(シフト組み!Y77,役職一覧!$B:$D,2,FALSE),"")</f>
        <v/>
      </c>
      <c r="Z47" s="17" t="str">
        <f>IFERROR(VLOOKUP(シフト組み!Z77,役職一覧!$B:$D,2,FALSE),"")</f>
        <v/>
      </c>
      <c r="AA47" s="17" t="str">
        <f>IFERROR(VLOOKUP(シフト組み!AA77,役職一覧!$B:$D,2,FALSE),"")</f>
        <v/>
      </c>
      <c r="AB47" s="17" t="str">
        <f>IFERROR(VLOOKUP(シフト組み!AB77,役職一覧!$B:$D,2,FALSE),"")</f>
        <v/>
      </c>
      <c r="AC47" s="17" t="str">
        <f>IFERROR(VLOOKUP(シフト組み!AC77,役職一覧!$B:$D,2,FALSE),"")</f>
        <v/>
      </c>
      <c r="AD47" s="17" t="str">
        <f>IFERROR(VLOOKUP(シフト組み!AD77,役職一覧!$B:$D,2,FALSE),"")</f>
        <v/>
      </c>
      <c r="AE47" s="17" t="str">
        <f>IFERROR(VLOOKUP(シフト組み!AE77,役職一覧!$B:$D,2,FALSE),"")</f>
        <v/>
      </c>
      <c r="AF47" s="17" t="str">
        <f>IFERROR(VLOOKUP(シフト組み!AF77,役職一覧!$B:$D,2,FALSE),"")</f>
        <v/>
      </c>
      <c r="AG47" s="17" t="str">
        <f>IFERROR(VLOOKUP(シフト組み!AG77,役職一覧!$B:$D,2,FALSE),"")</f>
        <v/>
      </c>
      <c r="AH47" s="17" t="str">
        <f>IFERROR(VLOOKUP(シフト組み!AH77,役職一覧!$B:$D,3,FALSE),"")</f>
        <v/>
      </c>
      <c r="AI47" s="17" t="str">
        <f>IFERROR(VLOOKUP(シフト組み!AI77,役職一覧!$B:$D,3,FALSE),"")</f>
        <v/>
      </c>
      <c r="AJ47" s="17" t="str">
        <f>IFERROR(VLOOKUP(シフト組み!AJ77,役職一覧!$B:$D,3,FALSE),"")</f>
        <v/>
      </c>
      <c r="AK47" s="17" t="str">
        <f>IFERROR(VLOOKUP(シフト組み!AK77,役職一覧!$B:$D,3,FALSE),"")</f>
        <v/>
      </c>
      <c r="AL47" s="17" t="str">
        <f>IFERROR(VLOOKUP(シフト組み!AL77,役職一覧!$B:$D,3,FALSE),"")</f>
        <v/>
      </c>
      <c r="AM47" s="17" t="str">
        <f>IFERROR(VLOOKUP(シフト組み!AM77,役職一覧!$B:$D,3,FALSE),"")</f>
        <v/>
      </c>
      <c r="AN47" s="17" t="str">
        <f>IFERROR(VLOOKUP(シフト組み!AN77,役職一覧!$B:$D,3,FALSE),"")</f>
        <v/>
      </c>
      <c r="AO47" s="17" t="str">
        <f>IFERROR(VLOOKUP(シフト組み!AO77,役職一覧!$B:$D,3,FALSE),"")</f>
        <v/>
      </c>
      <c r="AP47" s="17" t="str">
        <f>IFERROR(VLOOKUP(シフト組み!AP77,役職一覧!$B:$D,3,FALSE),"")</f>
        <v/>
      </c>
      <c r="AQ47" s="17" t="str">
        <f>IFERROR(VLOOKUP(シフト組み!AQ77,役職一覧!$B:$D,3,FALSE),"")</f>
        <v/>
      </c>
      <c r="AR47" s="17" t="str">
        <f>IFERROR(VLOOKUP(シフト組み!AR77,役職一覧!$B:$D,3,FALSE),"")</f>
        <v/>
      </c>
      <c r="AS47" s="17" t="str">
        <f>IFERROR(VLOOKUP(シフト組み!AS77,役職一覧!$B:$D,3,FALSE),"")</f>
        <v/>
      </c>
      <c r="AT47" s="17" t="str">
        <f>IFERROR(VLOOKUP(シフト組み!AT77,役職一覧!$B:$D,3,FALSE),"")</f>
        <v/>
      </c>
      <c r="AU47" s="17" t="str">
        <f>IFERROR(VLOOKUP(シフト組み!AU77,役職一覧!$B:$D,3,FALSE),"")</f>
        <v/>
      </c>
      <c r="AV47" s="17" t="str">
        <f>IFERROR(VLOOKUP(シフト組み!AV77,役職一覧!$B:$D,3,FALSE),"")</f>
        <v/>
      </c>
      <c r="AW47" s="17" t="str">
        <f>IFERROR(VLOOKUP(シフト組み!AW77,役職一覧!$B:$D,3,FALSE),"")</f>
        <v/>
      </c>
      <c r="AX47" s="17" t="str">
        <f>IFERROR(VLOOKUP(シフト組み!AX77,役職一覧!$B:$D,3,FALSE),"")</f>
        <v/>
      </c>
      <c r="AY47" s="17" t="str">
        <f>IFERROR(VLOOKUP(シフト組み!AY77,役職一覧!$B:$D,3,FALSE),"")</f>
        <v/>
      </c>
      <c r="AZ47" s="17" t="str">
        <f>IFERROR(VLOOKUP(シフト組み!AZ77,役職一覧!$B:$D,3,FALSE),"")</f>
        <v/>
      </c>
      <c r="BA47" s="17" t="str">
        <f>IFERROR(VLOOKUP(シフト組み!BA77,役職一覧!$B:$D,3,FALSE),"")</f>
        <v/>
      </c>
    </row>
    <row r="48" spans="1:53">
      <c r="A48" s="2" t="str">
        <f>シフト組み!A78&amp;""</f>
        <v/>
      </c>
      <c r="B48" s="2" t="str">
        <f>シフト組み!B78&amp;""</f>
        <v/>
      </c>
      <c r="C48" s="2" t="str">
        <f>シフト組み!C78&amp;""</f>
        <v/>
      </c>
      <c r="D48" s="17" t="str">
        <f>IFERROR(VLOOKUP(シフト組み!D78,役職一覧!$B:$D,2,FALSE),"")</f>
        <v/>
      </c>
      <c r="E48" s="17" t="str">
        <f>IFERROR(VLOOKUP(シフト組み!E78,役職一覧!$B:$D,2,FALSE),"")</f>
        <v/>
      </c>
      <c r="F48" s="17" t="str">
        <f>IFERROR(VLOOKUP(シフト組み!F78,役職一覧!$B:$D,2,FALSE),"")</f>
        <v/>
      </c>
      <c r="G48" s="17" t="str">
        <f>IFERROR(VLOOKUP(シフト組み!G78,役職一覧!$B:$D,2,FALSE),"")</f>
        <v/>
      </c>
      <c r="H48" s="17" t="str">
        <f>IFERROR(VLOOKUP(シフト組み!H78,役職一覧!$B:$D,2,FALSE),"")</f>
        <v/>
      </c>
      <c r="I48" s="17" t="str">
        <f>IFERROR(VLOOKUP(シフト組み!I78,役職一覧!$B:$D,2,FALSE),"")</f>
        <v/>
      </c>
      <c r="J48" s="17" t="str">
        <f>IFERROR(VLOOKUP(シフト組み!J78,役職一覧!$B:$D,2,FALSE),"")</f>
        <v/>
      </c>
      <c r="K48" s="17" t="str">
        <f>IFERROR(VLOOKUP(シフト組み!K78,役職一覧!$B:$D,2,FALSE),"")</f>
        <v/>
      </c>
      <c r="L48" s="17" t="str">
        <f>IFERROR(VLOOKUP(シフト組み!L78,役職一覧!$B:$D,2,FALSE),"")</f>
        <v/>
      </c>
      <c r="M48" s="17" t="str">
        <f>IFERROR(VLOOKUP(シフト組み!M78,役職一覧!$B:$D,2,FALSE),"")</f>
        <v/>
      </c>
      <c r="N48" s="17" t="str">
        <f>IFERROR(VLOOKUP(シフト組み!N78,役職一覧!$B:$D,2,FALSE),"")</f>
        <v/>
      </c>
      <c r="O48" s="17" t="str">
        <f>IFERROR(VLOOKUP(シフト組み!O78,役職一覧!$B:$D,2,FALSE),"")</f>
        <v/>
      </c>
      <c r="P48" s="17" t="str">
        <f>IFERROR(VLOOKUP(シフト組み!P78,役職一覧!$B:$D,2,FALSE),"")</f>
        <v/>
      </c>
      <c r="Q48" s="17" t="str">
        <f>IFERROR(VLOOKUP(シフト組み!Q78,役職一覧!$B:$D,2,FALSE),"")</f>
        <v/>
      </c>
      <c r="R48" s="17" t="str">
        <f>IFERROR(VLOOKUP(シフト組み!R78,役職一覧!$B:$D,2,FALSE),"")</f>
        <v/>
      </c>
      <c r="S48" s="17" t="str">
        <f>IFERROR(VLOOKUP(シフト組み!S78,役職一覧!$B:$D,2,FALSE),"")</f>
        <v/>
      </c>
      <c r="T48" s="17" t="str">
        <f>IFERROR(VLOOKUP(シフト組み!T78,役職一覧!$B:$D,2,FALSE),"")</f>
        <v/>
      </c>
      <c r="U48" s="17" t="str">
        <f>IFERROR(VLOOKUP(シフト組み!U78,役職一覧!$B:$D,2,FALSE),"")</f>
        <v/>
      </c>
      <c r="V48" s="17" t="str">
        <f>IFERROR(VLOOKUP(シフト組み!V78,役職一覧!$B:$D,2,FALSE),"")</f>
        <v/>
      </c>
      <c r="W48" s="17" t="str">
        <f>IFERROR(VLOOKUP(シフト組み!W78,役職一覧!$B:$D,2,FALSE),"")</f>
        <v/>
      </c>
      <c r="X48" s="17" t="str">
        <f>IFERROR(VLOOKUP(シフト組み!X78,役職一覧!$B:$D,2,FALSE),"")</f>
        <v/>
      </c>
      <c r="Y48" s="17" t="str">
        <f>IFERROR(VLOOKUP(シフト組み!Y78,役職一覧!$B:$D,2,FALSE),"")</f>
        <v/>
      </c>
      <c r="Z48" s="17" t="str">
        <f>IFERROR(VLOOKUP(シフト組み!Z78,役職一覧!$B:$D,2,FALSE),"")</f>
        <v/>
      </c>
      <c r="AA48" s="17" t="str">
        <f>IFERROR(VLOOKUP(シフト組み!AA78,役職一覧!$B:$D,2,FALSE),"")</f>
        <v/>
      </c>
      <c r="AB48" s="17" t="str">
        <f>IFERROR(VLOOKUP(シフト組み!AB78,役職一覧!$B:$D,2,FALSE),"")</f>
        <v/>
      </c>
      <c r="AC48" s="17" t="str">
        <f>IFERROR(VLOOKUP(シフト組み!AC78,役職一覧!$B:$D,2,FALSE),"")</f>
        <v/>
      </c>
      <c r="AD48" s="17" t="str">
        <f>IFERROR(VLOOKUP(シフト組み!AD78,役職一覧!$B:$D,2,FALSE),"")</f>
        <v/>
      </c>
      <c r="AE48" s="17" t="str">
        <f>IFERROR(VLOOKUP(シフト組み!AE78,役職一覧!$B:$D,2,FALSE),"")</f>
        <v/>
      </c>
      <c r="AF48" s="17" t="str">
        <f>IFERROR(VLOOKUP(シフト組み!AF78,役職一覧!$B:$D,2,FALSE),"")</f>
        <v/>
      </c>
      <c r="AG48" s="17" t="str">
        <f>IFERROR(VLOOKUP(シフト組み!AG78,役職一覧!$B:$D,2,FALSE),"")</f>
        <v/>
      </c>
      <c r="AH48" s="17" t="str">
        <f>IFERROR(VLOOKUP(シフト組み!AH78,役職一覧!$B:$D,3,FALSE),"")</f>
        <v/>
      </c>
      <c r="AI48" s="17" t="str">
        <f>IFERROR(VLOOKUP(シフト組み!AI78,役職一覧!$B:$D,3,FALSE),"")</f>
        <v/>
      </c>
      <c r="AJ48" s="17" t="str">
        <f>IFERROR(VLOOKUP(シフト組み!AJ78,役職一覧!$B:$D,3,FALSE),"")</f>
        <v/>
      </c>
      <c r="AK48" s="17" t="str">
        <f>IFERROR(VLOOKUP(シフト組み!AK78,役職一覧!$B:$D,3,FALSE),"")</f>
        <v/>
      </c>
      <c r="AL48" s="17" t="str">
        <f>IFERROR(VLOOKUP(シフト組み!AL78,役職一覧!$B:$D,3,FALSE),"")</f>
        <v/>
      </c>
      <c r="AM48" s="17" t="str">
        <f>IFERROR(VLOOKUP(シフト組み!AM78,役職一覧!$B:$D,3,FALSE),"")</f>
        <v/>
      </c>
      <c r="AN48" s="17" t="str">
        <f>IFERROR(VLOOKUP(シフト組み!AN78,役職一覧!$B:$D,3,FALSE),"")</f>
        <v/>
      </c>
      <c r="AO48" s="17" t="str">
        <f>IFERROR(VLOOKUP(シフト組み!AO78,役職一覧!$B:$D,3,FALSE),"")</f>
        <v/>
      </c>
      <c r="AP48" s="17" t="str">
        <f>IFERROR(VLOOKUP(シフト組み!AP78,役職一覧!$B:$D,3,FALSE),"")</f>
        <v/>
      </c>
      <c r="AQ48" s="17" t="str">
        <f>IFERROR(VLOOKUP(シフト組み!AQ78,役職一覧!$B:$D,3,FALSE),"")</f>
        <v/>
      </c>
      <c r="AR48" s="17" t="str">
        <f>IFERROR(VLOOKUP(シフト組み!AR78,役職一覧!$B:$D,3,FALSE),"")</f>
        <v/>
      </c>
      <c r="AS48" s="17" t="str">
        <f>IFERROR(VLOOKUP(シフト組み!AS78,役職一覧!$B:$D,3,FALSE),"")</f>
        <v/>
      </c>
      <c r="AT48" s="17" t="str">
        <f>IFERROR(VLOOKUP(シフト組み!AT78,役職一覧!$B:$D,3,FALSE),"")</f>
        <v/>
      </c>
      <c r="AU48" s="17" t="str">
        <f>IFERROR(VLOOKUP(シフト組み!AU78,役職一覧!$B:$D,3,FALSE),"")</f>
        <v/>
      </c>
      <c r="AV48" s="17" t="str">
        <f>IFERROR(VLOOKUP(シフト組み!AV78,役職一覧!$B:$D,3,FALSE),"")</f>
        <v/>
      </c>
      <c r="AW48" s="17" t="str">
        <f>IFERROR(VLOOKUP(シフト組み!AW78,役職一覧!$B:$D,3,FALSE),"")</f>
        <v/>
      </c>
      <c r="AX48" s="17" t="str">
        <f>IFERROR(VLOOKUP(シフト組み!AX78,役職一覧!$B:$D,3,FALSE),"")</f>
        <v/>
      </c>
      <c r="AY48" s="17" t="str">
        <f>IFERROR(VLOOKUP(シフト組み!AY78,役職一覧!$B:$D,3,FALSE),"")</f>
        <v/>
      </c>
      <c r="AZ48" s="17" t="str">
        <f>IFERROR(VLOOKUP(シフト組み!AZ78,役職一覧!$B:$D,3,FALSE),"")</f>
        <v/>
      </c>
      <c r="BA48" s="17" t="str">
        <f>IFERROR(VLOOKUP(シフト組み!BA78,役職一覧!$B:$D,3,FALSE),"")</f>
        <v/>
      </c>
    </row>
    <row r="49" spans="1:53">
      <c r="A49" s="2" t="str">
        <f>シフト組み!A79&amp;""</f>
        <v/>
      </c>
      <c r="B49" s="2" t="str">
        <f>シフト組み!B79&amp;""</f>
        <v/>
      </c>
      <c r="C49" s="2" t="str">
        <f>シフト組み!C79&amp;""</f>
        <v/>
      </c>
      <c r="D49" s="17" t="str">
        <f>IFERROR(VLOOKUP(シフト組み!D79,役職一覧!$B:$D,2,FALSE),"")</f>
        <v/>
      </c>
      <c r="E49" s="17" t="str">
        <f>IFERROR(VLOOKUP(シフト組み!E79,役職一覧!$B:$D,2,FALSE),"")</f>
        <v/>
      </c>
      <c r="F49" s="17" t="str">
        <f>IFERROR(VLOOKUP(シフト組み!F79,役職一覧!$B:$D,2,FALSE),"")</f>
        <v/>
      </c>
      <c r="G49" s="17" t="str">
        <f>IFERROR(VLOOKUP(シフト組み!G79,役職一覧!$B:$D,2,FALSE),"")</f>
        <v/>
      </c>
      <c r="H49" s="17" t="str">
        <f>IFERROR(VLOOKUP(シフト組み!H79,役職一覧!$B:$D,2,FALSE),"")</f>
        <v/>
      </c>
      <c r="I49" s="17" t="str">
        <f>IFERROR(VLOOKUP(シフト組み!I79,役職一覧!$B:$D,2,FALSE),"")</f>
        <v/>
      </c>
      <c r="J49" s="17" t="str">
        <f>IFERROR(VLOOKUP(シフト組み!J79,役職一覧!$B:$D,2,FALSE),"")</f>
        <v/>
      </c>
      <c r="K49" s="17" t="str">
        <f>IFERROR(VLOOKUP(シフト組み!K79,役職一覧!$B:$D,2,FALSE),"")</f>
        <v/>
      </c>
      <c r="L49" s="17" t="str">
        <f>IFERROR(VLOOKUP(シフト組み!L79,役職一覧!$B:$D,2,FALSE),"")</f>
        <v/>
      </c>
      <c r="M49" s="17" t="str">
        <f>IFERROR(VLOOKUP(シフト組み!M79,役職一覧!$B:$D,2,FALSE),"")</f>
        <v/>
      </c>
      <c r="N49" s="17" t="str">
        <f>IFERROR(VLOOKUP(シフト組み!N79,役職一覧!$B:$D,2,FALSE),"")</f>
        <v/>
      </c>
      <c r="O49" s="17" t="str">
        <f>IFERROR(VLOOKUP(シフト組み!O79,役職一覧!$B:$D,2,FALSE),"")</f>
        <v/>
      </c>
      <c r="P49" s="17" t="str">
        <f>IFERROR(VLOOKUP(シフト組み!P79,役職一覧!$B:$D,2,FALSE),"")</f>
        <v/>
      </c>
      <c r="Q49" s="17" t="str">
        <f>IFERROR(VLOOKUP(シフト組み!Q79,役職一覧!$B:$D,2,FALSE),"")</f>
        <v/>
      </c>
      <c r="R49" s="17" t="str">
        <f>IFERROR(VLOOKUP(シフト組み!R79,役職一覧!$B:$D,2,FALSE),"")</f>
        <v/>
      </c>
      <c r="S49" s="17" t="str">
        <f>IFERROR(VLOOKUP(シフト組み!S79,役職一覧!$B:$D,2,FALSE),"")</f>
        <v/>
      </c>
      <c r="T49" s="17" t="str">
        <f>IFERROR(VLOOKUP(シフト組み!T79,役職一覧!$B:$D,2,FALSE),"")</f>
        <v/>
      </c>
      <c r="U49" s="17" t="str">
        <f>IFERROR(VLOOKUP(シフト組み!U79,役職一覧!$B:$D,2,FALSE),"")</f>
        <v/>
      </c>
      <c r="V49" s="17" t="str">
        <f>IFERROR(VLOOKUP(シフト組み!V79,役職一覧!$B:$D,2,FALSE),"")</f>
        <v/>
      </c>
      <c r="W49" s="17" t="str">
        <f>IFERROR(VLOOKUP(シフト組み!W79,役職一覧!$B:$D,2,FALSE),"")</f>
        <v/>
      </c>
      <c r="X49" s="17" t="str">
        <f>IFERROR(VLOOKUP(シフト組み!X79,役職一覧!$B:$D,2,FALSE),"")</f>
        <v/>
      </c>
      <c r="Y49" s="17" t="str">
        <f>IFERROR(VLOOKUP(シフト組み!Y79,役職一覧!$B:$D,2,FALSE),"")</f>
        <v/>
      </c>
      <c r="Z49" s="17" t="str">
        <f>IFERROR(VLOOKUP(シフト組み!Z79,役職一覧!$B:$D,2,FALSE),"")</f>
        <v/>
      </c>
      <c r="AA49" s="17" t="str">
        <f>IFERROR(VLOOKUP(シフト組み!AA79,役職一覧!$B:$D,2,FALSE),"")</f>
        <v/>
      </c>
      <c r="AB49" s="17" t="str">
        <f>IFERROR(VLOOKUP(シフト組み!AB79,役職一覧!$B:$D,2,FALSE),"")</f>
        <v/>
      </c>
      <c r="AC49" s="17" t="str">
        <f>IFERROR(VLOOKUP(シフト組み!AC79,役職一覧!$B:$D,2,FALSE),"")</f>
        <v/>
      </c>
      <c r="AD49" s="17" t="str">
        <f>IFERROR(VLOOKUP(シフト組み!AD79,役職一覧!$B:$D,2,FALSE),"")</f>
        <v/>
      </c>
      <c r="AE49" s="17" t="str">
        <f>IFERROR(VLOOKUP(シフト組み!AE79,役職一覧!$B:$D,2,FALSE),"")</f>
        <v/>
      </c>
      <c r="AF49" s="17" t="str">
        <f>IFERROR(VLOOKUP(シフト組み!AF79,役職一覧!$B:$D,2,FALSE),"")</f>
        <v/>
      </c>
      <c r="AG49" s="17" t="str">
        <f>IFERROR(VLOOKUP(シフト組み!AG79,役職一覧!$B:$D,2,FALSE),"")</f>
        <v/>
      </c>
      <c r="AH49" s="17" t="str">
        <f>IFERROR(VLOOKUP(シフト組み!AH79,役職一覧!$B:$D,3,FALSE),"")</f>
        <v/>
      </c>
      <c r="AI49" s="17" t="str">
        <f>IFERROR(VLOOKUP(シフト組み!AI79,役職一覧!$B:$D,3,FALSE),"")</f>
        <v/>
      </c>
      <c r="AJ49" s="17" t="str">
        <f>IFERROR(VLOOKUP(シフト組み!AJ79,役職一覧!$B:$D,3,FALSE),"")</f>
        <v/>
      </c>
      <c r="AK49" s="17" t="str">
        <f>IFERROR(VLOOKUP(シフト組み!AK79,役職一覧!$B:$D,3,FALSE),"")</f>
        <v/>
      </c>
      <c r="AL49" s="17" t="str">
        <f>IFERROR(VLOOKUP(シフト組み!AL79,役職一覧!$B:$D,3,FALSE),"")</f>
        <v/>
      </c>
      <c r="AM49" s="17" t="str">
        <f>IFERROR(VLOOKUP(シフト組み!AM79,役職一覧!$B:$D,3,FALSE),"")</f>
        <v/>
      </c>
      <c r="AN49" s="17" t="str">
        <f>IFERROR(VLOOKUP(シフト組み!AN79,役職一覧!$B:$D,3,FALSE),"")</f>
        <v/>
      </c>
      <c r="AO49" s="17" t="str">
        <f>IFERROR(VLOOKUP(シフト組み!AO79,役職一覧!$B:$D,3,FALSE),"")</f>
        <v/>
      </c>
      <c r="AP49" s="17" t="str">
        <f>IFERROR(VLOOKUP(シフト組み!AP79,役職一覧!$B:$D,3,FALSE),"")</f>
        <v/>
      </c>
      <c r="AQ49" s="17" t="str">
        <f>IFERROR(VLOOKUP(シフト組み!AQ79,役職一覧!$B:$D,3,FALSE),"")</f>
        <v/>
      </c>
      <c r="AR49" s="17" t="str">
        <f>IFERROR(VLOOKUP(シフト組み!AR79,役職一覧!$B:$D,3,FALSE),"")</f>
        <v/>
      </c>
      <c r="AS49" s="17" t="str">
        <f>IFERROR(VLOOKUP(シフト組み!AS79,役職一覧!$B:$D,3,FALSE),"")</f>
        <v/>
      </c>
      <c r="AT49" s="17" t="str">
        <f>IFERROR(VLOOKUP(シフト組み!AT79,役職一覧!$B:$D,3,FALSE),"")</f>
        <v/>
      </c>
      <c r="AU49" s="17" t="str">
        <f>IFERROR(VLOOKUP(シフト組み!AU79,役職一覧!$B:$D,3,FALSE),"")</f>
        <v/>
      </c>
      <c r="AV49" s="17" t="str">
        <f>IFERROR(VLOOKUP(シフト組み!AV79,役職一覧!$B:$D,3,FALSE),"")</f>
        <v/>
      </c>
      <c r="AW49" s="17" t="str">
        <f>IFERROR(VLOOKUP(シフト組み!AW79,役職一覧!$B:$D,3,FALSE),"")</f>
        <v/>
      </c>
      <c r="AX49" s="17" t="str">
        <f>IFERROR(VLOOKUP(シフト組み!AX79,役職一覧!$B:$D,3,FALSE),"")</f>
        <v/>
      </c>
      <c r="AY49" s="17" t="str">
        <f>IFERROR(VLOOKUP(シフト組み!AY79,役職一覧!$B:$D,3,FALSE),"")</f>
        <v/>
      </c>
      <c r="AZ49" s="17" t="str">
        <f>IFERROR(VLOOKUP(シフト組み!AZ79,役職一覧!$B:$D,3,FALSE),"")</f>
        <v/>
      </c>
      <c r="BA49" s="17" t="str">
        <f>IFERROR(VLOOKUP(シフト組み!BA79,役職一覧!$B:$D,3,FALSE),"")</f>
        <v/>
      </c>
    </row>
    <row r="50" spans="1:53">
      <c r="A50" s="2" t="str">
        <f>シフト組み!A80&amp;""</f>
        <v/>
      </c>
      <c r="B50" s="2" t="str">
        <f>シフト組み!B80&amp;""</f>
        <v/>
      </c>
      <c r="C50" s="2" t="str">
        <f>シフト組み!C80&amp;""</f>
        <v/>
      </c>
      <c r="D50" s="17" t="str">
        <f>IFERROR(VLOOKUP(シフト組み!D80,役職一覧!$B:$D,2,FALSE),"")</f>
        <v/>
      </c>
      <c r="E50" s="17" t="str">
        <f>IFERROR(VLOOKUP(シフト組み!E80,役職一覧!$B:$D,2,FALSE),"")</f>
        <v/>
      </c>
      <c r="F50" s="17" t="str">
        <f>IFERROR(VLOOKUP(シフト組み!F80,役職一覧!$B:$D,2,FALSE),"")</f>
        <v/>
      </c>
      <c r="G50" s="17" t="str">
        <f>IFERROR(VLOOKUP(シフト組み!G80,役職一覧!$B:$D,2,FALSE),"")</f>
        <v/>
      </c>
      <c r="H50" s="17" t="str">
        <f>IFERROR(VLOOKUP(シフト組み!H80,役職一覧!$B:$D,2,FALSE),"")</f>
        <v/>
      </c>
      <c r="I50" s="17" t="str">
        <f>IFERROR(VLOOKUP(シフト組み!I80,役職一覧!$B:$D,2,FALSE),"")</f>
        <v/>
      </c>
      <c r="J50" s="17" t="str">
        <f>IFERROR(VLOOKUP(シフト組み!J80,役職一覧!$B:$D,2,FALSE),"")</f>
        <v/>
      </c>
      <c r="K50" s="17" t="str">
        <f>IFERROR(VLOOKUP(シフト組み!K80,役職一覧!$B:$D,2,FALSE),"")</f>
        <v/>
      </c>
      <c r="L50" s="17" t="str">
        <f>IFERROR(VLOOKUP(シフト組み!L80,役職一覧!$B:$D,2,FALSE),"")</f>
        <v/>
      </c>
      <c r="M50" s="17" t="str">
        <f>IFERROR(VLOOKUP(シフト組み!M80,役職一覧!$B:$D,2,FALSE),"")</f>
        <v/>
      </c>
      <c r="N50" s="17" t="str">
        <f>IFERROR(VLOOKUP(シフト組み!N80,役職一覧!$B:$D,2,FALSE),"")</f>
        <v/>
      </c>
      <c r="O50" s="17" t="str">
        <f>IFERROR(VLOOKUP(シフト組み!O80,役職一覧!$B:$D,2,FALSE),"")</f>
        <v/>
      </c>
      <c r="P50" s="17" t="str">
        <f>IFERROR(VLOOKUP(シフト組み!P80,役職一覧!$B:$D,2,FALSE),"")</f>
        <v/>
      </c>
      <c r="Q50" s="17" t="str">
        <f>IFERROR(VLOOKUP(シフト組み!Q80,役職一覧!$B:$D,2,FALSE),"")</f>
        <v/>
      </c>
      <c r="R50" s="17" t="str">
        <f>IFERROR(VLOOKUP(シフト組み!R80,役職一覧!$B:$D,2,FALSE),"")</f>
        <v/>
      </c>
      <c r="S50" s="17" t="str">
        <f>IFERROR(VLOOKUP(シフト組み!S80,役職一覧!$B:$D,2,FALSE),"")</f>
        <v/>
      </c>
      <c r="T50" s="17" t="str">
        <f>IFERROR(VLOOKUP(シフト組み!T80,役職一覧!$B:$D,2,FALSE),"")</f>
        <v/>
      </c>
      <c r="U50" s="17" t="str">
        <f>IFERROR(VLOOKUP(シフト組み!U80,役職一覧!$B:$D,2,FALSE),"")</f>
        <v/>
      </c>
      <c r="V50" s="17" t="str">
        <f>IFERROR(VLOOKUP(シフト組み!V80,役職一覧!$B:$D,2,FALSE),"")</f>
        <v/>
      </c>
      <c r="W50" s="17" t="str">
        <f>IFERROR(VLOOKUP(シフト組み!W80,役職一覧!$B:$D,2,FALSE),"")</f>
        <v/>
      </c>
      <c r="X50" s="17" t="str">
        <f>IFERROR(VLOOKUP(シフト組み!X80,役職一覧!$B:$D,2,FALSE),"")</f>
        <v/>
      </c>
      <c r="Y50" s="17" t="str">
        <f>IFERROR(VLOOKUP(シフト組み!Y80,役職一覧!$B:$D,2,FALSE),"")</f>
        <v/>
      </c>
      <c r="Z50" s="17" t="str">
        <f>IFERROR(VLOOKUP(シフト組み!Z80,役職一覧!$B:$D,2,FALSE),"")</f>
        <v/>
      </c>
      <c r="AA50" s="17" t="str">
        <f>IFERROR(VLOOKUP(シフト組み!AA80,役職一覧!$B:$D,2,FALSE),"")</f>
        <v/>
      </c>
      <c r="AB50" s="17" t="str">
        <f>IFERROR(VLOOKUP(シフト組み!AB80,役職一覧!$B:$D,2,FALSE),"")</f>
        <v/>
      </c>
      <c r="AC50" s="17" t="str">
        <f>IFERROR(VLOOKUP(シフト組み!AC80,役職一覧!$B:$D,2,FALSE),"")</f>
        <v/>
      </c>
      <c r="AD50" s="17" t="str">
        <f>IFERROR(VLOOKUP(シフト組み!AD80,役職一覧!$B:$D,2,FALSE),"")</f>
        <v/>
      </c>
      <c r="AE50" s="17" t="str">
        <f>IFERROR(VLOOKUP(シフト組み!AE80,役職一覧!$B:$D,2,FALSE),"")</f>
        <v/>
      </c>
      <c r="AF50" s="17" t="str">
        <f>IFERROR(VLOOKUP(シフト組み!AF80,役職一覧!$B:$D,2,FALSE),"")</f>
        <v/>
      </c>
      <c r="AG50" s="17" t="str">
        <f>IFERROR(VLOOKUP(シフト組み!AG80,役職一覧!$B:$D,2,FALSE),"")</f>
        <v/>
      </c>
      <c r="AH50" s="17" t="str">
        <f>IFERROR(VLOOKUP(シフト組み!AH80,役職一覧!$B:$D,3,FALSE),"")</f>
        <v/>
      </c>
      <c r="AI50" s="17" t="str">
        <f>IFERROR(VLOOKUP(シフト組み!AI80,役職一覧!$B:$D,3,FALSE),"")</f>
        <v/>
      </c>
      <c r="AJ50" s="17" t="str">
        <f>IFERROR(VLOOKUP(シフト組み!AJ80,役職一覧!$B:$D,3,FALSE),"")</f>
        <v/>
      </c>
      <c r="AK50" s="17" t="str">
        <f>IFERROR(VLOOKUP(シフト組み!AK80,役職一覧!$B:$D,3,FALSE),"")</f>
        <v/>
      </c>
      <c r="AL50" s="17" t="str">
        <f>IFERROR(VLOOKUP(シフト組み!AL80,役職一覧!$B:$D,3,FALSE),"")</f>
        <v/>
      </c>
      <c r="AM50" s="17" t="str">
        <f>IFERROR(VLOOKUP(シフト組み!AM80,役職一覧!$B:$D,3,FALSE),"")</f>
        <v/>
      </c>
      <c r="AN50" s="17" t="str">
        <f>IFERROR(VLOOKUP(シフト組み!AN80,役職一覧!$B:$D,3,FALSE),"")</f>
        <v/>
      </c>
      <c r="AO50" s="17" t="str">
        <f>IFERROR(VLOOKUP(シフト組み!AO80,役職一覧!$B:$D,3,FALSE),"")</f>
        <v/>
      </c>
      <c r="AP50" s="17" t="str">
        <f>IFERROR(VLOOKUP(シフト組み!AP80,役職一覧!$B:$D,3,FALSE),"")</f>
        <v/>
      </c>
      <c r="AQ50" s="17" t="str">
        <f>IFERROR(VLOOKUP(シフト組み!AQ80,役職一覧!$B:$D,3,FALSE),"")</f>
        <v/>
      </c>
      <c r="AR50" s="17" t="str">
        <f>IFERROR(VLOOKUP(シフト組み!AR80,役職一覧!$B:$D,3,FALSE),"")</f>
        <v/>
      </c>
      <c r="AS50" s="17" t="str">
        <f>IFERROR(VLOOKUP(シフト組み!AS80,役職一覧!$B:$D,3,FALSE),"")</f>
        <v/>
      </c>
      <c r="AT50" s="17" t="str">
        <f>IFERROR(VLOOKUP(シフト組み!AT80,役職一覧!$B:$D,3,FALSE),"")</f>
        <v/>
      </c>
      <c r="AU50" s="17" t="str">
        <f>IFERROR(VLOOKUP(シフト組み!AU80,役職一覧!$B:$D,3,FALSE),"")</f>
        <v/>
      </c>
      <c r="AV50" s="17" t="str">
        <f>IFERROR(VLOOKUP(シフト組み!AV80,役職一覧!$B:$D,3,FALSE),"")</f>
        <v/>
      </c>
      <c r="AW50" s="17" t="str">
        <f>IFERROR(VLOOKUP(シフト組み!AW80,役職一覧!$B:$D,3,FALSE),"")</f>
        <v/>
      </c>
      <c r="AX50" s="17" t="str">
        <f>IFERROR(VLOOKUP(シフト組み!AX80,役職一覧!$B:$D,3,FALSE),"")</f>
        <v/>
      </c>
      <c r="AY50" s="17" t="str">
        <f>IFERROR(VLOOKUP(シフト組み!AY80,役職一覧!$B:$D,3,FALSE),"")</f>
        <v/>
      </c>
      <c r="AZ50" s="17" t="str">
        <f>IFERROR(VLOOKUP(シフト組み!AZ80,役職一覧!$B:$D,3,FALSE),"")</f>
        <v/>
      </c>
      <c r="BA50" s="17" t="str">
        <f>IFERROR(VLOOKUP(シフト組み!BA80,役職一覧!$B:$D,3,FALSE),"")</f>
        <v/>
      </c>
    </row>
    <row r="51" spans="1:53">
      <c r="A51" s="2" t="str">
        <f>シフト組み!A81&amp;""</f>
        <v/>
      </c>
      <c r="B51" s="2" t="str">
        <f>シフト組み!B81&amp;""</f>
        <v/>
      </c>
      <c r="C51" s="2" t="str">
        <f>シフト組み!C81&amp;""</f>
        <v/>
      </c>
      <c r="D51" s="17" t="str">
        <f>IFERROR(VLOOKUP(シフト組み!D81,役職一覧!$B:$D,2,FALSE),"")</f>
        <v/>
      </c>
      <c r="E51" s="17" t="str">
        <f>IFERROR(VLOOKUP(シフト組み!E81,役職一覧!$B:$D,2,FALSE),"")</f>
        <v/>
      </c>
      <c r="F51" s="17" t="str">
        <f>IFERROR(VLOOKUP(シフト組み!F81,役職一覧!$B:$D,2,FALSE),"")</f>
        <v/>
      </c>
      <c r="G51" s="17" t="str">
        <f>IFERROR(VLOOKUP(シフト組み!G81,役職一覧!$B:$D,2,FALSE),"")</f>
        <v/>
      </c>
      <c r="H51" s="17" t="str">
        <f>IFERROR(VLOOKUP(シフト組み!H81,役職一覧!$B:$D,2,FALSE),"")</f>
        <v/>
      </c>
      <c r="I51" s="17" t="str">
        <f>IFERROR(VLOOKUP(シフト組み!I81,役職一覧!$B:$D,2,FALSE),"")</f>
        <v/>
      </c>
      <c r="J51" s="17" t="str">
        <f>IFERROR(VLOOKUP(シフト組み!J81,役職一覧!$B:$D,2,FALSE),"")</f>
        <v/>
      </c>
      <c r="K51" s="17" t="str">
        <f>IFERROR(VLOOKUP(シフト組み!K81,役職一覧!$B:$D,2,FALSE),"")</f>
        <v/>
      </c>
      <c r="L51" s="17" t="str">
        <f>IFERROR(VLOOKUP(シフト組み!L81,役職一覧!$B:$D,2,FALSE),"")</f>
        <v/>
      </c>
      <c r="M51" s="17" t="str">
        <f>IFERROR(VLOOKUP(シフト組み!M81,役職一覧!$B:$D,2,FALSE),"")</f>
        <v/>
      </c>
      <c r="N51" s="17" t="str">
        <f>IFERROR(VLOOKUP(シフト組み!N81,役職一覧!$B:$D,2,FALSE),"")</f>
        <v/>
      </c>
      <c r="O51" s="17" t="str">
        <f>IFERROR(VLOOKUP(シフト組み!O81,役職一覧!$B:$D,2,FALSE),"")</f>
        <v/>
      </c>
      <c r="P51" s="17" t="str">
        <f>IFERROR(VLOOKUP(シフト組み!P81,役職一覧!$B:$D,2,FALSE),"")</f>
        <v/>
      </c>
      <c r="Q51" s="17" t="str">
        <f>IFERROR(VLOOKUP(シフト組み!Q81,役職一覧!$B:$D,2,FALSE),"")</f>
        <v/>
      </c>
      <c r="R51" s="17" t="str">
        <f>IFERROR(VLOOKUP(シフト組み!R81,役職一覧!$B:$D,2,FALSE),"")</f>
        <v/>
      </c>
      <c r="S51" s="17" t="str">
        <f>IFERROR(VLOOKUP(シフト組み!S81,役職一覧!$B:$D,2,FALSE),"")</f>
        <v/>
      </c>
      <c r="T51" s="17" t="str">
        <f>IFERROR(VLOOKUP(シフト組み!T81,役職一覧!$B:$D,2,FALSE),"")</f>
        <v/>
      </c>
      <c r="U51" s="17" t="str">
        <f>IFERROR(VLOOKUP(シフト組み!U81,役職一覧!$B:$D,2,FALSE),"")</f>
        <v/>
      </c>
      <c r="V51" s="17" t="str">
        <f>IFERROR(VLOOKUP(シフト組み!V81,役職一覧!$B:$D,2,FALSE),"")</f>
        <v/>
      </c>
      <c r="W51" s="17" t="str">
        <f>IFERROR(VLOOKUP(シフト組み!W81,役職一覧!$B:$D,2,FALSE),"")</f>
        <v/>
      </c>
      <c r="X51" s="17" t="str">
        <f>IFERROR(VLOOKUP(シフト組み!X81,役職一覧!$B:$D,2,FALSE),"")</f>
        <v/>
      </c>
      <c r="Y51" s="17" t="str">
        <f>IFERROR(VLOOKUP(シフト組み!Y81,役職一覧!$B:$D,2,FALSE),"")</f>
        <v/>
      </c>
      <c r="Z51" s="17" t="str">
        <f>IFERROR(VLOOKUP(シフト組み!Z81,役職一覧!$B:$D,2,FALSE),"")</f>
        <v/>
      </c>
      <c r="AA51" s="17" t="str">
        <f>IFERROR(VLOOKUP(シフト組み!AA81,役職一覧!$B:$D,2,FALSE),"")</f>
        <v/>
      </c>
      <c r="AB51" s="17" t="str">
        <f>IFERROR(VLOOKUP(シフト組み!AB81,役職一覧!$B:$D,2,FALSE),"")</f>
        <v/>
      </c>
      <c r="AC51" s="17" t="str">
        <f>IFERROR(VLOOKUP(シフト組み!AC81,役職一覧!$B:$D,2,FALSE),"")</f>
        <v/>
      </c>
      <c r="AD51" s="17" t="str">
        <f>IFERROR(VLOOKUP(シフト組み!AD81,役職一覧!$B:$D,2,FALSE),"")</f>
        <v/>
      </c>
      <c r="AE51" s="17" t="str">
        <f>IFERROR(VLOOKUP(シフト組み!AE81,役職一覧!$B:$D,2,FALSE),"")</f>
        <v/>
      </c>
      <c r="AF51" s="17" t="str">
        <f>IFERROR(VLOOKUP(シフト組み!AF81,役職一覧!$B:$D,2,FALSE),"")</f>
        <v/>
      </c>
      <c r="AG51" s="17" t="str">
        <f>IFERROR(VLOOKUP(シフト組み!AG81,役職一覧!$B:$D,2,FALSE),"")</f>
        <v/>
      </c>
      <c r="AH51" s="17" t="str">
        <f>IFERROR(VLOOKUP(シフト組み!AH81,役職一覧!$B:$D,3,FALSE),"")</f>
        <v/>
      </c>
      <c r="AI51" s="17" t="str">
        <f>IFERROR(VLOOKUP(シフト組み!AI81,役職一覧!$B:$D,3,FALSE),"")</f>
        <v/>
      </c>
      <c r="AJ51" s="17" t="str">
        <f>IFERROR(VLOOKUP(シフト組み!AJ81,役職一覧!$B:$D,3,FALSE),"")</f>
        <v/>
      </c>
      <c r="AK51" s="17" t="str">
        <f>IFERROR(VLOOKUP(シフト組み!AK81,役職一覧!$B:$D,3,FALSE),"")</f>
        <v/>
      </c>
      <c r="AL51" s="17" t="str">
        <f>IFERROR(VLOOKUP(シフト組み!AL81,役職一覧!$B:$D,3,FALSE),"")</f>
        <v/>
      </c>
      <c r="AM51" s="17" t="str">
        <f>IFERROR(VLOOKUP(シフト組み!AM81,役職一覧!$B:$D,3,FALSE),"")</f>
        <v/>
      </c>
      <c r="AN51" s="17" t="str">
        <f>IFERROR(VLOOKUP(シフト組み!AN81,役職一覧!$B:$D,3,FALSE),"")</f>
        <v/>
      </c>
      <c r="AO51" s="17" t="str">
        <f>IFERROR(VLOOKUP(シフト組み!AO81,役職一覧!$B:$D,3,FALSE),"")</f>
        <v/>
      </c>
      <c r="AP51" s="17" t="str">
        <f>IFERROR(VLOOKUP(シフト組み!AP81,役職一覧!$B:$D,3,FALSE),"")</f>
        <v/>
      </c>
      <c r="AQ51" s="17" t="str">
        <f>IFERROR(VLOOKUP(シフト組み!AQ81,役職一覧!$B:$D,3,FALSE),"")</f>
        <v/>
      </c>
      <c r="AR51" s="17" t="str">
        <f>IFERROR(VLOOKUP(シフト組み!AR81,役職一覧!$B:$D,3,FALSE),"")</f>
        <v/>
      </c>
      <c r="AS51" s="17" t="str">
        <f>IFERROR(VLOOKUP(シフト組み!AS81,役職一覧!$B:$D,3,FALSE),"")</f>
        <v/>
      </c>
      <c r="AT51" s="17" t="str">
        <f>IFERROR(VLOOKUP(シフト組み!AT81,役職一覧!$B:$D,3,FALSE),"")</f>
        <v/>
      </c>
      <c r="AU51" s="17" t="str">
        <f>IFERROR(VLOOKUP(シフト組み!AU81,役職一覧!$B:$D,3,FALSE),"")</f>
        <v/>
      </c>
      <c r="AV51" s="17" t="str">
        <f>IFERROR(VLOOKUP(シフト組み!AV81,役職一覧!$B:$D,3,FALSE),"")</f>
        <v/>
      </c>
      <c r="AW51" s="17" t="str">
        <f>IFERROR(VLOOKUP(シフト組み!AW81,役職一覧!$B:$D,3,FALSE),"")</f>
        <v/>
      </c>
      <c r="AX51" s="17" t="str">
        <f>IFERROR(VLOOKUP(シフト組み!AX81,役職一覧!$B:$D,3,FALSE),"")</f>
        <v/>
      </c>
      <c r="AY51" s="17" t="str">
        <f>IFERROR(VLOOKUP(シフト組み!AY81,役職一覧!$B:$D,3,FALSE),"")</f>
        <v/>
      </c>
      <c r="AZ51" s="17" t="str">
        <f>IFERROR(VLOOKUP(シフト組み!AZ81,役職一覧!$B:$D,3,FALSE),"")</f>
        <v/>
      </c>
      <c r="BA51" s="17" t="str">
        <f>IFERROR(VLOOKUP(シフト組み!BA81,役職一覧!$B:$D,3,FALSE),"")</f>
        <v/>
      </c>
    </row>
    <row r="52" spans="1:53">
      <c r="A52" s="2" t="str">
        <f>シフト組み!A82&amp;""</f>
        <v/>
      </c>
      <c r="B52" s="2" t="str">
        <f>シフト組み!B82&amp;""</f>
        <v/>
      </c>
      <c r="C52" s="2" t="str">
        <f>シフト組み!C82&amp;""</f>
        <v/>
      </c>
      <c r="D52" s="17" t="str">
        <f>IFERROR(VLOOKUP(シフト組み!D82,役職一覧!$B:$D,2,FALSE),"")</f>
        <v/>
      </c>
      <c r="E52" s="17" t="str">
        <f>IFERROR(VLOOKUP(シフト組み!E82,役職一覧!$B:$D,2,FALSE),"")</f>
        <v/>
      </c>
      <c r="F52" s="17" t="str">
        <f>IFERROR(VLOOKUP(シフト組み!F82,役職一覧!$B:$D,2,FALSE),"")</f>
        <v/>
      </c>
      <c r="G52" s="17" t="str">
        <f>IFERROR(VLOOKUP(シフト組み!G82,役職一覧!$B:$D,2,FALSE),"")</f>
        <v/>
      </c>
      <c r="H52" s="17" t="str">
        <f>IFERROR(VLOOKUP(シフト組み!H82,役職一覧!$B:$D,2,FALSE),"")</f>
        <v/>
      </c>
      <c r="I52" s="17" t="str">
        <f>IFERROR(VLOOKUP(シフト組み!I82,役職一覧!$B:$D,2,FALSE),"")</f>
        <v/>
      </c>
      <c r="J52" s="17" t="str">
        <f>IFERROR(VLOOKUP(シフト組み!J82,役職一覧!$B:$D,2,FALSE),"")</f>
        <v/>
      </c>
      <c r="K52" s="17" t="str">
        <f>IFERROR(VLOOKUP(シフト組み!K82,役職一覧!$B:$D,2,FALSE),"")</f>
        <v/>
      </c>
      <c r="L52" s="17" t="str">
        <f>IFERROR(VLOOKUP(シフト組み!L82,役職一覧!$B:$D,2,FALSE),"")</f>
        <v/>
      </c>
      <c r="M52" s="17" t="str">
        <f>IFERROR(VLOOKUP(シフト組み!M82,役職一覧!$B:$D,2,FALSE),"")</f>
        <v/>
      </c>
      <c r="N52" s="17" t="str">
        <f>IFERROR(VLOOKUP(シフト組み!N82,役職一覧!$B:$D,2,FALSE),"")</f>
        <v/>
      </c>
      <c r="O52" s="17" t="str">
        <f>IFERROR(VLOOKUP(シフト組み!O82,役職一覧!$B:$D,2,FALSE),"")</f>
        <v/>
      </c>
      <c r="P52" s="17" t="str">
        <f>IFERROR(VLOOKUP(シフト組み!P82,役職一覧!$B:$D,2,FALSE),"")</f>
        <v/>
      </c>
      <c r="Q52" s="17" t="str">
        <f>IFERROR(VLOOKUP(シフト組み!Q82,役職一覧!$B:$D,2,FALSE),"")</f>
        <v/>
      </c>
      <c r="R52" s="17" t="str">
        <f>IFERROR(VLOOKUP(シフト組み!R82,役職一覧!$B:$D,2,FALSE),"")</f>
        <v/>
      </c>
      <c r="S52" s="17" t="str">
        <f>IFERROR(VLOOKUP(シフト組み!S82,役職一覧!$B:$D,2,FALSE),"")</f>
        <v/>
      </c>
      <c r="T52" s="17" t="str">
        <f>IFERROR(VLOOKUP(シフト組み!T82,役職一覧!$B:$D,2,FALSE),"")</f>
        <v/>
      </c>
      <c r="U52" s="17" t="str">
        <f>IFERROR(VLOOKUP(シフト組み!U82,役職一覧!$B:$D,2,FALSE),"")</f>
        <v/>
      </c>
      <c r="V52" s="17" t="str">
        <f>IFERROR(VLOOKUP(シフト組み!V82,役職一覧!$B:$D,2,FALSE),"")</f>
        <v/>
      </c>
      <c r="W52" s="17" t="str">
        <f>IFERROR(VLOOKUP(シフト組み!W82,役職一覧!$B:$D,2,FALSE),"")</f>
        <v/>
      </c>
      <c r="X52" s="17" t="str">
        <f>IFERROR(VLOOKUP(シフト組み!X82,役職一覧!$B:$D,2,FALSE),"")</f>
        <v/>
      </c>
      <c r="Y52" s="17" t="str">
        <f>IFERROR(VLOOKUP(シフト組み!Y82,役職一覧!$B:$D,2,FALSE),"")</f>
        <v/>
      </c>
      <c r="Z52" s="17" t="str">
        <f>IFERROR(VLOOKUP(シフト組み!Z82,役職一覧!$B:$D,2,FALSE),"")</f>
        <v/>
      </c>
      <c r="AA52" s="17" t="str">
        <f>IFERROR(VLOOKUP(シフト組み!AA82,役職一覧!$B:$D,2,FALSE),"")</f>
        <v/>
      </c>
      <c r="AB52" s="17" t="str">
        <f>IFERROR(VLOOKUP(シフト組み!AB82,役職一覧!$B:$D,2,FALSE),"")</f>
        <v/>
      </c>
      <c r="AC52" s="17" t="str">
        <f>IFERROR(VLOOKUP(シフト組み!AC82,役職一覧!$B:$D,2,FALSE),"")</f>
        <v/>
      </c>
      <c r="AD52" s="17" t="str">
        <f>IFERROR(VLOOKUP(シフト組み!AD82,役職一覧!$B:$D,2,FALSE),"")</f>
        <v/>
      </c>
      <c r="AE52" s="17" t="str">
        <f>IFERROR(VLOOKUP(シフト組み!AE82,役職一覧!$B:$D,2,FALSE),"")</f>
        <v/>
      </c>
      <c r="AF52" s="17" t="str">
        <f>IFERROR(VLOOKUP(シフト組み!AF82,役職一覧!$B:$D,2,FALSE),"")</f>
        <v/>
      </c>
      <c r="AG52" s="17" t="str">
        <f>IFERROR(VLOOKUP(シフト組み!AG82,役職一覧!$B:$D,2,FALSE),"")</f>
        <v/>
      </c>
      <c r="AH52" s="17" t="str">
        <f>IFERROR(VLOOKUP(シフト組み!AH82,役職一覧!$B:$D,3,FALSE),"")</f>
        <v/>
      </c>
      <c r="AI52" s="17" t="str">
        <f>IFERROR(VLOOKUP(シフト組み!AI82,役職一覧!$B:$D,3,FALSE),"")</f>
        <v/>
      </c>
      <c r="AJ52" s="17" t="str">
        <f>IFERROR(VLOOKUP(シフト組み!AJ82,役職一覧!$B:$D,3,FALSE),"")</f>
        <v/>
      </c>
      <c r="AK52" s="17" t="str">
        <f>IFERROR(VLOOKUP(シフト組み!AK82,役職一覧!$B:$D,3,FALSE),"")</f>
        <v/>
      </c>
      <c r="AL52" s="17" t="str">
        <f>IFERROR(VLOOKUP(シフト組み!AL82,役職一覧!$B:$D,3,FALSE),"")</f>
        <v/>
      </c>
      <c r="AM52" s="17" t="str">
        <f>IFERROR(VLOOKUP(シフト組み!AM82,役職一覧!$B:$D,3,FALSE),"")</f>
        <v/>
      </c>
      <c r="AN52" s="17" t="str">
        <f>IFERROR(VLOOKUP(シフト組み!AN82,役職一覧!$B:$D,3,FALSE),"")</f>
        <v/>
      </c>
      <c r="AO52" s="17" t="str">
        <f>IFERROR(VLOOKUP(シフト組み!AO82,役職一覧!$B:$D,3,FALSE),"")</f>
        <v/>
      </c>
      <c r="AP52" s="17" t="str">
        <f>IFERROR(VLOOKUP(シフト組み!AP82,役職一覧!$B:$D,3,FALSE),"")</f>
        <v/>
      </c>
      <c r="AQ52" s="17" t="str">
        <f>IFERROR(VLOOKUP(シフト組み!AQ82,役職一覧!$B:$D,3,FALSE),"")</f>
        <v/>
      </c>
      <c r="AR52" s="17" t="str">
        <f>IFERROR(VLOOKUP(シフト組み!AR82,役職一覧!$B:$D,3,FALSE),"")</f>
        <v/>
      </c>
      <c r="AS52" s="17" t="str">
        <f>IFERROR(VLOOKUP(シフト組み!AS82,役職一覧!$B:$D,3,FALSE),"")</f>
        <v/>
      </c>
      <c r="AT52" s="17" t="str">
        <f>IFERROR(VLOOKUP(シフト組み!AT82,役職一覧!$B:$D,3,FALSE),"")</f>
        <v/>
      </c>
      <c r="AU52" s="17" t="str">
        <f>IFERROR(VLOOKUP(シフト組み!AU82,役職一覧!$B:$D,3,FALSE),"")</f>
        <v/>
      </c>
      <c r="AV52" s="17" t="str">
        <f>IFERROR(VLOOKUP(シフト組み!AV82,役職一覧!$B:$D,3,FALSE),"")</f>
        <v/>
      </c>
      <c r="AW52" s="17" t="str">
        <f>IFERROR(VLOOKUP(シフト組み!AW82,役職一覧!$B:$D,3,FALSE),"")</f>
        <v/>
      </c>
      <c r="AX52" s="17" t="str">
        <f>IFERROR(VLOOKUP(シフト組み!AX82,役職一覧!$B:$D,3,FALSE),"")</f>
        <v/>
      </c>
      <c r="AY52" s="17" t="str">
        <f>IFERROR(VLOOKUP(シフト組み!AY82,役職一覧!$B:$D,3,FALSE),"")</f>
        <v/>
      </c>
      <c r="AZ52" s="17" t="str">
        <f>IFERROR(VLOOKUP(シフト組み!AZ82,役職一覧!$B:$D,3,FALSE),"")</f>
        <v/>
      </c>
      <c r="BA52" s="17" t="str">
        <f>IFERROR(VLOOKUP(シフト組み!BA82,役職一覧!$B:$D,3,FALSE),"")</f>
        <v/>
      </c>
    </row>
    <row r="53" spans="1:53">
      <c r="A53" s="2" t="str">
        <f>シフト組み!A83&amp;""</f>
        <v/>
      </c>
      <c r="B53" s="2" t="str">
        <f>シフト組み!B83&amp;""</f>
        <v/>
      </c>
      <c r="C53" s="2" t="str">
        <f>シフト組み!C83&amp;""</f>
        <v/>
      </c>
      <c r="D53" s="17" t="str">
        <f>IFERROR(VLOOKUP(シフト組み!D83,役職一覧!$B:$D,2,FALSE),"")</f>
        <v/>
      </c>
      <c r="E53" s="17" t="str">
        <f>IFERROR(VLOOKUP(シフト組み!E83,役職一覧!$B:$D,2,FALSE),"")</f>
        <v/>
      </c>
      <c r="F53" s="17" t="str">
        <f>IFERROR(VLOOKUP(シフト組み!F83,役職一覧!$B:$D,2,FALSE),"")</f>
        <v/>
      </c>
      <c r="G53" s="17" t="str">
        <f>IFERROR(VLOOKUP(シフト組み!G83,役職一覧!$B:$D,2,FALSE),"")</f>
        <v/>
      </c>
      <c r="H53" s="17" t="str">
        <f>IFERROR(VLOOKUP(シフト組み!H83,役職一覧!$B:$D,2,FALSE),"")</f>
        <v/>
      </c>
      <c r="I53" s="17" t="str">
        <f>IFERROR(VLOOKUP(シフト組み!I83,役職一覧!$B:$D,2,FALSE),"")</f>
        <v/>
      </c>
      <c r="J53" s="17" t="str">
        <f>IFERROR(VLOOKUP(シフト組み!J83,役職一覧!$B:$D,2,FALSE),"")</f>
        <v/>
      </c>
      <c r="K53" s="17" t="str">
        <f>IFERROR(VLOOKUP(シフト組み!K83,役職一覧!$B:$D,2,FALSE),"")</f>
        <v/>
      </c>
      <c r="L53" s="17" t="str">
        <f>IFERROR(VLOOKUP(シフト組み!L83,役職一覧!$B:$D,2,FALSE),"")</f>
        <v/>
      </c>
      <c r="M53" s="17" t="str">
        <f>IFERROR(VLOOKUP(シフト組み!M83,役職一覧!$B:$D,2,FALSE),"")</f>
        <v/>
      </c>
      <c r="N53" s="17" t="str">
        <f>IFERROR(VLOOKUP(シフト組み!N83,役職一覧!$B:$D,2,FALSE),"")</f>
        <v/>
      </c>
      <c r="O53" s="17" t="str">
        <f>IFERROR(VLOOKUP(シフト組み!O83,役職一覧!$B:$D,2,FALSE),"")</f>
        <v/>
      </c>
      <c r="P53" s="17" t="str">
        <f>IFERROR(VLOOKUP(シフト組み!P83,役職一覧!$B:$D,2,FALSE),"")</f>
        <v/>
      </c>
      <c r="Q53" s="17" t="str">
        <f>IFERROR(VLOOKUP(シフト組み!Q83,役職一覧!$B:$D,2,FALSE),"")</f>
        <v/>
      </c>
      <c r="R53" s="17" t="str">
        <f>IFERROR(VLOOKUP(シフト組み!R83,役職一覧!$B:$D,2,FALSE),"")</f>
        <v/>
      </c>
      <c r="S53" s="17" t="str">
        <f>IFERROR(VLOOKUP(シフト組み!S83,役職一覧!$B:$D,2,FALSE),"")</f>
        <v/>
      </c>
      <c r="T53" s="17" t="str">
        <f>IFERROR(VLOOKUP(シフト組み!T83,役職一覧!$B:$D,2,FALSE),"")</f>
        <v/>
      </c>
      <c r="U53" s="17" t="str">
        <f>IFERROR(VLOOKUP(シフト組み!U83,役職一覧!$B:$D,2,FALSE),"")</f>
        <v/>
      </c>
      <c r="V53" s="17" t="str">
        <f>IFERROR(VLOOKUP(シフト組み!V83,役職一覧!$B:$D,2,FALSE),"")</f>
        <v/>
      </c>
      <c r="W53" s="17" t="str">
        <f>IFERROR(VLOOKUP(シフト組み!W83,役職一覧!$B:$D,2,FALSE),"")</f>
        <v/>
      </c>
      <c r="X53" s="17" t="str">
        <f>IFERROR(VLOOKUP(シフト組み!X83,役職一覧!$B:$D,2,FALSE),"")</f>
        <v/>
      </c>
      <c r="Y53" s="17" t="str">
        <f>IFERROR(VLOOKUP(シフト組み!Y83,役職一覧!$B:$D,2,FALSE),"")</f>
        <v/>
      </c>
      <c r="Z53" s="17" t="str">
        <f>IFERROR(VLOOKUP(シフト組み!Z83,役職一覧!$B:$D,2,FALSE),"")</f>
        <v/>
      </c>
      <c r="AA53" s="17" t="str">
        <f>IFERROR(VLOOKUP(シフト組み!AA83,役職一覧!$B:$D,2,FALSE),"")</f>
        <v/>
      </c>
      <c r="AB53" s="17" t="str">
        <f>IFERROR(VLOOKUP(シフト組み!AB83,役職一覧!$B:$D,2,FALSE),"")</f>
        <v/>
      </c>
      <c r="AC53" s="17" t="str">
        <f>IFERROR(VLOOKUP(シフト組み!AC83,役職一覧!$B:$D,2,FALSE),"")</f>
        <v/>
      </c>
      <c r="AD53" s="17" t="str">
        <f>IFERROR(VLOOKUP(シフト組み!AD83,役職一覧!$B:$D,2,FALSE),"")</f>
        <v/>
      </c>
      <c r="AE53" s="17" t="str">
        <f>IFERROR(VLOOKUP(シフト組み!AE83,役職一覧!$B:$D,2,FALSE),"")</f>
        <v/>
      </c>
      <c r="AF53" s="17" t="str">
        <f>IFERROR(VLOOKUP(シフト組み!AF83,役職一覧!$B:$D,2,FALSE),"")</f>
        <v/>
      </c>
      <c r="AG53" s="17" t="str">
        <f>IFERROR(VLOOKUP(シフト組み!AG83,役職一覧!$B:$D,2,FALSE),"")</f>
        <v/>
      </c>
      <c r="AH53" s="17" t="str">
        <f>IFERROR(VLOOKUP(シフト組み!AH83,役職一覧!$B:$D,3,FALSE),"")</f>
        <v/>
      </c>
      <c r="AI53" s="17" t="str">
        <f>IFERROR(VLOOKUP(シフト組み!AI83,役職一覧!$B:$D,3,FALSE),"")</f>
        <v/>
      </c>
      <c r="AJ53" s="17" t="str">
        <f>IFERROR(VLOOKUP(シフト組み!AJ83,役職一覧!$B:$D,3,FALSE),"")</f>
        <v/>
      </c>
      <c r="AK53" s="17" t="str">
        <f>IFERROR(VLOOKUP(シフト組み!AK83,役職一覧!$B:$D,3,FALSE),"")</f>
        <v/>
      </c>
      <c r="AL53" s="17" t="str">
        <f>IFERROR(VLOOKUP(シフト組み!AL83,役職一覧!$B:$D,3,FALSE),"")</f>
        <v/>
      </c>
      <c r="AM53" s="17" t="str">
        <f>IFERROR(VLOOKUP(シフト組み!AM83,役職一覧!$B:$D,3,FALSE),"")</f>
        <v/>
      </c>
      <c r="AN53" s="17" t="str">
        <f>IFERROR(VLOOKUP(シフト組み!AN83,役職一覧!$B:$D,3,FALSE),"")</f>
        <v/>
      </c>
      <c r="AO53" s="17" t="str">
        <f>IFERROR(VLOOKUP(シフト組み!AO83,役職一覧!$B:$D,3,FALSE),"")</f>
        <v/>
      </c>
      <c r="AP53" s="17" t="str">
        <f>IFERROR(VLOOKUP(シフト組み!AP83,役職一覧!$B:$D,3,FALSE),"")</f>
        <v/>
      </c>
      <c r="AQ53" s="17" t="str">
        <f>IFERROR(VLOOKUP(シフト組み!AQ83,役職一覧!$B:$D,3,FALSE),"")</f>
        <v/>
      </c>
      <c r="AR53" s="17" t="str">
        <f>IFERROR(VLOOKUP(シフト組み!AR83,役職一覧!$B:$D,3,FALSE),"")</f>
        <v/>
      </c>
      <c r="AS53" s="17" t="str">
        <f>IFERROR(VLOOKUP(シフト組み!AS83,役職一覧!$B:$D,3,FALSE),"")</f>
        <v/>
      </c>
      <c r="AT53" s="17" t="str">
        <f>IFERROR(VLOOKUP(シフト組み!AT83,役職一覧!$B:$D,3,FALSE),"")</f>
        <v/>
      </c>
      <c r="AU53" s="17" t="str">
        <f>IFERROR(VLOOKUP(シフト組み!AU83,役職一覧!$B:$D,3,FALSE),"")</f>
        <v/>
      </c>
      <c r="AV53" s="17" t="str">
        <f>IFERROR(VLOOKUP(シフト組み!AV83,役職一覧!$B:$D,3,FALSE),"")</f>
        <v/>
      </c>
      <c r="AW53" s="17" t="str">
        <f>IFERROR(VLOOKUP(シフト組み!AW83,役職一覧!$B:$D,3,FALSE),"")</f>
        <v/>
      </c>
      <c r="AX53" s="17" t="str">
        <f>IFERROR(VLOOKUP(シフト組み!AX83,役職一覧!$B:$D,3,FALSE),"")</f>
        <v/>
      </c>
      <c r="AY53" s="17" t="str">
        <f>IFERROR(VLOOKUP(シフト組み!AY83,役職一覧!$B:$D,3,FALSE),"")</f>
        <v/>
      </c>
      <c r="AZ53" s="17" t="str">
        <f>IFERROR(VLOOKUP(シフト組み!AZ83,役職一覧!$B:$D,3,FALSE),"")</f>
        <v/>
      </c>
      <c r="BA53" s="17" t="str">
        <f>IFERROR(VLOOKUP(シフト組み!BA83,役職一覧!$B:$D,3,FALSE),"")</f>
        <v/>
      </c>
    </row>
    <row r="54" spans="1:53">
      <c r="A54" s="2" t="str">
        <f>シフト組み!A84&amp;""</f>
        <v/>
      </c>
      <c r="B54" s="2" t="str">
        <f>シフト組み!B84&amp;""</f>
        <v/>
      </c>
      <c r="C54" s="2" t="str">
        <f>シフト組み!C84&amp;""</f>
        <v/>
      </c>
      <c r="D54" s="17" t="str">
        <f>IFERROR(VLOOKUP(シフト組み!D84,役職一覧!$B:$D,2,FALSE),"")</f>
        <v/>
      </c>
      <c r="E54" s="17" t="str">
        <f>IFERROR(VLOOKUP(シフト組み!E84,役職一覧!$B:$D,2,FALSE),"")</f>
        <v/>
      </c>
      <c r="F54" s="17" t="str">
        <f>IFERROR(VLOOKUP(シフト組み!F84,役職一覧!$B:$D,2,FALSE),"")</f>
        <v/>
      </c>
      <c r="G54" s="17" t="str">
        <f>IFERROR(VLOOKUP(シフト組み!G84,役職一覧!$B:$D,2,FALSE),"")</f>
        <v/>
      </c>
      <c r="H54" s="17" t="str">
        <f>IFERROR(VLOOKUP(シフト組み!H84,役職一覧!$B:$D,2,FALSE),"")</f>
        <v/>
      </c>
      <c r="I54" s="17" t="str">
        <f>IFERROR(VLOOKUP(シフト組み!I84,役職一覧!$B:$D,2,FALSE),"")</f>
        <v/>
      </c>
      <c r="J54" s="17" t="str">
        <f>IFERROR(VLOOKUP(シフト組み!J84,役職一覧!$B:$D,2,FALSE),"")</f>
        <v/>
      </c>
      <c r="K54" s="17" t="str">
        <f>IFERROR(VLOOKUP(シフト組み!K84,役職一覧!$B:$D,2,FALSE),"")</f>
        <v/>
      </c>
      <c r="L54" s="17" t="str">
        <f>IFERROR(VLOOKUP(シフト組み!L84,役職一覧!$B:$D,2,FALSE),"")</f>
        <v/>
      </c>
      <c r="M54" s="17" t="str">
        <f>IFERROR(VLOOKUP(シフト組み!M84,役職一覧!$B:$D,2,FALSE),"")</f>
        <v/>
      </c>
      <c r="N54" s="17" t="str">
        <f>IFERROR(VLOOKUP(シフト組み!N84,役職一覧!$B:$D,2,FALSE),"")</f>
        <v/>
      </c>
      <c r="O54" s="17" t="str">
        <f>IFERROR(VLOOKUP(シフト組み!O84,役職一覧!$B:$D,2,FALSE),"")</f>
        <v/>
      </c>
      <c r="P54" s="17" t="str">
        <f>IFERROR(VLOOKUP(シフト組み!P84,役職一覧!$B:$D,2,FALSE),"")</f>
        <v/>
      </c>
      <c r="Q54" s="17" t="str">
        <f>IFERROR(VLOOKUP(シフト組み!Q84,役職一覧!$B:$D,2,FALSE),"")</f>
        <v/>
      </c>
      <c r="R54" s="17" t="str">
        <f>IFERROR(VLOOKUP(シフト組み!R84,役職一覧!$B:$D,2,FALSE),"")</f>
        <v/>
      </c>
      <c r="S54" s="17" t="str">
        <f>IFERROR(VLOOKUP(シフト組み!S84,役職一覧!$B:$D,2,FALSE),"")</f>
        <v/>
      </c>
      <c r="T54" s="17" t="str">
        <f>IFERROR(VLOOKUP(シフト組み!T84,役職一覧!$B:$D,2,FALSE),"")</f>
        <v/>
      </c>
      <c r="U54" s="17" t="str">
        <f>IFERROR(VLOOKUP(シフト組み!U84,役職一覧!$B:$D,2,FALSE),"")</f>
        <v/>
      </c>
      <c r="V54" s="17" t="str">
        <f>IFERROR(VLOOKUP(シフト組み!V84,役職一覧!$B:$D,2,FALSE),"")</f>
        <v/>
      </c>
      <c r="W54" s="17" t="str">
        <f>IFERROR(VLOOKUP(シフト組み!W84,役職一覧!$B:$D,2,FALSE),"")</f>
        <v/>
      </c>
      <c r="X54" s="17" t="str">
        <f>IFERROR(VLOOKUP(シフト組み!X84,役職一覧!$B:$D,2,FALSE),"")</f>
        <v/>
      </c>
      <c r="Y54" s="17" t="str">
        <f>IFERROR(VLOOKUP(シフト組み!Y84,役職一覧!$B:$D,2,FALSE),"")</f>
        <v/>
      </c>
      <c r="Z54" s="17" t="str">
        <f>IFERROR(VLOOKUP(シフト組み!Z84,役職一覧!$B:$D,2,FALSE),"")</f>
        <v/>
      </c>
      <c r="AA54" s="17" t="str">
        <f>IFERROR(VLOOKUP(シフト組み!AA84,役職一覧!$B:$D,2,FALSE),"")</f>
        <v/>
      </c>
      <c r="AB54" s="17" t="str">
        <f>IFERROR(VLOOKUP(シフト組み!AB84,役職一覧!$B:$D,2,FALSE),"")</f>
        <v/>
      </c>
      <c r="AC54" s="17" t="str">
        <f>IFERROR(VLOOKUP(シフト組み!AC84,役職一覧!$B:$D,2,FALSE),"")</f>
        <v/>
      </c>
      <c r="AD54" s="17" t="str">
        <f>IFERROR(VLOOKUP(シフト組み!AD84,役職一覧!$B:$D,2,FALSE),"")</f>
        <v/>
      </c>
      <c r="AE54" s="17" t="str">
        <f>IFERROR(VLOOKUP(シフト組み!AE84,役職一覧!$B:$D,2,FALSE),"")</f>
        <v/>
      </c>
      <c r="AF54" s="17" t="str">
        <f>IFERROR(VLOOKUP(シフト組み!AF84,役職一覧!$B:$D,2,FALSE),"")</f>
        <v/>
      </c>
      <c r="AG54" s="17" t="str">
        <f>IFERROR(VLOOKUP(シフト組み!AG84,役職一覧!$B:$D,2,FALSE),"")</f>
        <v/>
      </c>
      <c r="AH54" s="17" t="str">
        <f>IFERROR(VLOOKUP(シフト組み!AH84,役職一覧!$B:$D,3,FALSE),"")</f>
        <v/>
      </c>
      <c r="AI54" s="17" t="str">
        <f>IFERROR(VLOOKUP(シフト組み!AI84,役職一覧!$B:$D,3,FALSE),"")</f>
        <v/>
      </c>
      <c r="AJ54" s="17" t="str">
        <f>IFERROR(VLOOKUP(シフト組み!AJ84,役職一覧!$B:$D,3,FALSE),"")</f>
        <v/>
      </c>
      <c r="AK54" s="17" t="str">
        <f>IFERROR(VLOOKUP(シフト組み!AK84,役職一覧!$B:$D,3,FALSE),"")</f>
        <v/>
      </c>
      <c r="AL54" s="17" t="str">
        <f>IFERROR(VLOOKUP(シフト組み!AL84,役職一覧!$B:$D,3,FALSE),"")</f>
        <v/>
      </c>
      <c r="AM54" s="17" t="str">
        <f>IFERROR(VLOOKUP(シフト組み!AM84,役職一覧!$B:$D,3,FALSE),"")</f>
        <v/>
      </c>
      <c r="AN54" s="17" t="str">
        <f>IFERROR(VLOOKUP(シフト組み!AN84,役職一覧!$B:$D,3,FALSE),"")</f>
        <v/>
      </c>
      <c r="AO54" s="17" t="str">
        <f>IFERROR(VLOOKUP(シフト組み!AO84,役職一覧!$B:$D,3,FALSE),"")</f>
        <v/>
      </c>
      <c r="AP54" s="17" t="str">
        <f>IFERROR(VLOOKUP(シフト組み!AP84,役職一覧!$B:$D,3,FALSE),"")</f>
        <v/>
      </c>
      <c r="AQ54" s="17" t="str">
        <f>IFERROR(VLOOKUP(シフト組み!AQ84,役職一覧!$B:$D,3,FALSE),"")</f>
        <v/>
      </c>
      <c r="AR54" s="17" t="str">
        <f>IFERROR(VLOOKUP(シフト組み!AR84,役職一覧!$B:$D,3,FALSE),"")</f>
        <v/>
      </c>
      <c r="AS54" s="17" t="str">
        <f>IFERROR(VLOOKUP(シフト組み!AS84,役職一覧!$B:$D,3,FALSE),"")</f>
        <v/>
      </c>
      <c r="AT54" s="17" t="str">
        <f>IFERROR(VLOOKUP(シフト組み!AT84,役職一覧!$B:$D,3,FALSE),"")</f>
        <v/>
      </c>
      <c r="AU54" s="17" t="str">
        <f>IFERROR(VLOOKUP(シフト組み!AU84,役職一覧!$B:$D,3,FALSE),"")</f>
        <v/>
      </c>
      <c r="AV54" s="17" t="str">
        <f>IFERROR(VLOOKUP(シフト組み!AV84,役職一覧!$B:$D,3,FALSE),"")</f>
        <v/>
      </c>
      <c r="AW54" s="17" t="str">
        <f>IFERROR(VLOOKUP(シフト組み!AW84,役職一覧!$B:$D,3,FALSE),"")</f>
        <v/>
      </c>
      <c r="AX54" s="17" t="str">
        <f>IFERROR(VLOOKUP(シフト組み!AX84,役職一覧!$B:$D,3,FALSE),"")</f>
        <v/>
      </c>
      <c r="AY54" s="17" t="str">
        <f>IFERROR(VLOOKUP(シフト組み!AY84,役職一覧!$B:$D,3,FALSE),"")</f>
        <v/>
      </c>
      <c r="AZ54" s="17" t="str">
        <f>IFERROR(VLOOKUP(シフト組み!AZ84,役職一覧!$B:$D,3,FALSE),"")</f>
        <v/>
      </c>
      <c r="BA54" s="17" t="str">
        <f>IFERROR(VLOOKUP(シフト組み!BA84,役職一覧!$B:$D,3,FALSE),"")</f>
        <v/>
      </c>
    </row>
    <row r="55" spans="1:53">
      <c r="A55" s="2" t="str">
        <f>シフト組み!A85&amp;""</f>
        <v/>
      </c>
      <c r="B55" s="2" t="str">
        <f>シフト組み!B85&amp;""</f>
        <v/>
      </c>
      <c r="C55" s="2" t="str">
        <f>シフト組み!C85&amp;""</f>
        <v/>
      </c>
      <c r="D55" s="17" t="str">
        <f>IFERROR(VLOOKUP(シフト組み!D85,役職一覧!$B:$D,2,FALSE),"")</f>
        <v/>
      </c>
      <c r="E55" s="17" t="str">
        <f>IFERROR(VLOOKUP(シフト組み!E85,役職一覧!$B:$D,2,FALSE),"")</f>
        <v/>
      </c>
      <c r="F55" s="17" t="str">
        <f>IFERROR(VLOOKUP(シフト組み!F85,役職一覧!$B:$D,2,FALSE),"")</f>
        <v/>
      </c>
      <c r="G55" s="17" t="str">
        <f>IFERROR(VLOOKUP(シフト組み!G85,役職一覧!$B:$D,2,FALSE),"")</f>
        <v/>
      </c>
      <c r="H55" s="17" t="str">
        <f>IFERROR(VLOOKUP(シフト組み!H85,役職一覧!$B:$D,2,FALSE),"")</f>
        <v/>
      </c>
      <c r="I55" s="17" t="str">
        <f>IFERROR(VLOOKUP(シフト組み!I85,役職一覧!$B:$D,2,FALSE),"")</f>
        <v/>
      </c>
      <c r="J55" s="17" t="str">
        <f>IFERROR(VLOOKUP(シフト組み!J85,役職一覧!$B:$D,2,FALSE),"")</f>
        <v/>
      </c>
      <c r="K55" s="17" t="str">
        <f>IFERROR(VLOOKUP(シフト組み!K85,役職一覧!$B:$D,2,FALSE),"")</f>
        <v/>
      </c>
      <c r="L55" s="17" t="str">
        <f>IFERROR(VLOOKUP(シフト組み!L85,役職一覧!$B:$D,2,FALSE),"")</f>
        <v/>
      </c>
      <c r="M55" s="17" t="str">
        <f>IFERROR(VLOOKUP(シフト組み!M85,役職一覧!$B:$D,2,FALSE),"")</f>
        <v/>
      </c>
      <c r="N55" s="17" t="str">
        <f>IFERROR(VLOOKUP(シフト組み!N85,役職一覧!$B:$D,2,FALSE),"")</f>
        <v/>
      </c>
      <c r="O55" s="17" t="str">
        <f>IFERROR(VLOOKUP(シフト組み!O85,役職一覧!$B:$D,2,FALSE),"")</f>
        <v/>
      </c>
      <c r="P55" s="17" t="str">
        <f>IFERROR(VLOOKUP(シフト組み!P85,役職一覧!$B:$D,2,FALSE),"")</f>
        <v/>
      </c>
      <c r="Q55" s="17" t="str">
        <f>IFERROR(VLOOKUP(シフト組み!Q85,役職一覧!$B:$D,2,FALSE),"")</f>
        <v/>
      </c>
      <c r="R55" s="17" t="str">
        <f>IFERROR(VLOOKUP(シフト組み!R85,役職一覧!$B:$D,2,FALSE),"")</f>
        <v/>
      </c>
      <c r="S55" s="17" t="str">
        <f>IFERROR(VLOOKUP(シフト組み!S85,役職一覧!$B:$D,2,FALSE),"")</f>
        <v/>
      </c>
      <c r="T55" s="17" t="str">
        <f>IFERROR(VLOOKUP(シフト組み!T85,役職一覧!$B:$D,2,FALSE),"")</f>
        <v/>
      </c>
      <c r="U55" s="17" t="str">
        <f>IFERROR(VLOOKUP(シフト組み!U85,役職一覧!$B:$D,2,FALSE),"")</f>
        <v/>
      </c>
      <c r="V55" s="17" t="str">
        <f>IFERROR(VLOOKUP(シフト組み!V85,役職一覧!$B:$D,2,FALSE),"")</f>
        <v/>
      </c>
      <c r="W55" s="17" t="str">
        <f>IFERROR(VLOOKUP(シフト組み!W85,役職一覧!$B:$D,2,FALSE),"")</f>
        <v/>
      </c>
      <c r="X55" s="17" t="str">
        <f>IFERROR(VLOOKUP(シフト組み!X85,役職一覧!$B:$D,2,FALSE),"")</f>
        <v/>
      </c>
      <c r="Y55" s="17" t="str">
        <f>IFERROR(VLOOKUP(シフト組み!Y85,役職一覧!$B:$D,2,FALSE),"")</f>
        <v/>
      </c>
      <c r="Z55" s="17" t="str">
        <f>IFERROR(VLOOKUP(シフト組み!Z85,役職一覧!$B:$D,2,FALSE),"")</f>
        <v/>
      </c>
      <c r="AA55" s="17" t="str">
        <f>IFERROR(VLOOKUP(シフト組み!AA85,役職一覧!$B:$D,2,FALSE),"")</f>
        <v/>
      </c>
      <c r="AB55" s="17" t="str">
        <f>IFERROR(VLOOKUP(シフト組み!AB85,役職一覧!$B:$D,2,FALSE),"")</f>
        <v/>
      </c>
      <c r="AC55" s="17" t="str">
        <f>IFERROR(VLOOKUP(シフト組み!AC85,役職一覧!$B:$D,2,FALSE),"")</f>
        <v/>
      </c>
      <c r="AD55" s="17" t="str">
        <f>IFERROR(VLOOKUP(シフト組み!AD85,役職一覧!$B:$D,2,FALSE),"")</f>
        <v/>
      </c>
      <c r="AE55" s="17" t="str">
        <f>IFERROR(VLOOKUP(シフト組み!AE85,役職一覧!$B:$D,2,FALSE),"")</f>
        <v/>
      </c>
      <c r="AF55" s="17" t="str">
        <f>IFERROR(VLOOKUP(シフト組み!AF85,役職一覧!$B:$D,2,FALSE),"")</f>
        <v/>
      </c>
      <c r="AG55" s="17" t="str">
        <f>IFERROR(VLOOKUP(シフト組み!AG85,役職一覧!$B:$D,2,FALSE),"")</f>
        <v/>
      </c>
      <c r="AH55" s="17" t="str">
        <f>IFERROR(VLOOKUP(シフト組み!AH85,役職一覧!$B:$D,3,FALSE),"")</f>
        <v/>
      </c>
      <c r="AI55" s="17" t="str">
        <f>IFERROR(VLOOKUP(シフト組み!AI85,役職一覧!$B:$D,3,FALSE),"")</f>
        <v/>
      </c>
      <c r="AJ55" s="17" t="str">
        <f>IFERROR(VLOOKUP(シフト組み!AJ85,役職一覧!$B:$D,3,FALSE),"")</f>
        <v/>
      </c>
      <c r="AK55" s="17" t="str">
        <f>IFERROR(VLOOKUP(シフト組み!AK85,役職一覧!$B:$D,3,FALSE),"")</f>
        <v/>
      </c>
      <c r="AL55" s="17" t="str">
        <f>IFERROR(VLOOKUP(シフト組み!AL85,役職一覧!$B:$D,3,FALSE),"")</f>
        <v/>
      </c>
      <c r="AM55" s="17" t="str">
        <f>IFERROR(VLOOKUP(シフト組み!AM85,役職一覧!$B:$D,3,FALSE),"")</f>
        <v/>
      </c>
      <c r="AN55" s="17" t="str">
        <f>IFERROR(VLOOKUP(シフト組み!AN85,役職一覧!$B:$D,3,FALSE),"")</f>
        <v/>
      </c>
      <c r="AO55" s="17" t="str">
        <f>IFERROR(VLOOKUP(シフト組み!AO85,役職一覧!$B:$D,3,FALSE),"")</f>
        <v/>
      </c>
      <c r="AP55" s="17" t="str">
        <f>IFERROR(VLOOKUP(シフト組み!AP85,役職一覧!$B:$D,3,FALSE),"")</f>
        <v/>
      </c>
      <c r="AQ55" s="17" t="str">
        <f>IFERROR(VLOOKUP(シフト組み!AQ85,役職一覧!$B:$D,3,FALSE),"")</f>
        <v/>
      </c>
      <c r="AR55" s="17" t="str">
        <f>IFERROR(VLOOKUP(シフト組み!AR85,役職一覧!$B:$D,3,FALSE),"")</f>
        <v/>
      </c>
      <c r="AS55" s="17" t="str">
        <f>IFERROR(VLOOKUP(シフト組み!AS85,役職一覧!$B:$D,3,FALSE),"")</f>
        <v/>
      </c>
      <c r="AT55" s="17" t="str">
        <f>IFERROR(VLOOKUP(シフト組み!AT85,役職一覧!$B:$D,3,FALSE),"")</f>
        <v/>
      </c>
      <c r="AU55" s="17" t="str">
        <f>IFERROR(VLOOKUP(シフト組み!AU85,役職一覧!$B:$D,3,FALSE),"")</f>
        <v/>
      </c>
      <c r="AV55" s="17" t="str">
        <f>IFERROR(VLOOKUP(シフト組み!AV85,役職一覧!$B:$D,3,FALSE),"")</f>
        <v/>
      </c>
      <c r="AW55" s="17" t="str">
        <f>IFERROR(VLOOKUP(シフト組み!AW85,役職一覧!$B:$D,3,FALSE),"")</f>
        <v/>
      </c>
      <c r="AX55" s="17" t="str">
        <f>IFERROR(VLOOKUP(シフト組み!AX85,役職一覧!$B:$D,3,FALSE),"")</f>
        <v/>
      </c>
      <c r="AY55" s="17" t="str">
        <f>IFERROR(VLOOKUP(シフト組み!AY85,役職一覧!$B:$D,3,FALSE),"")</f>
        <v/>
      </c>
      <c r="AZ55" s="17" t="str">
        <f>IFERROR(VLOOKUP(シフト組み!AZ85,役職一覧!$B:$D,3,FALSE),"")</f>
        <v/>
      </c>
      <c r="BA55" s="17" t="str">
        <f>IFERROR(VLOOKUP(シフト組み!BA85,役職一覧!$B:$D,3,FALSE),"")</f>
        <v/>
      </c>
    </row>
    <row r="56" spans="1:53">
      <c r="A56" s="2" t="str">
        <f>シフト組み!A86&amp;""</f>
        <v/>
      </c>
      <c r="B56" s="2" t="str">
        <f>シフト組み!B86&amp;""</f>
        <v/>
      </c>
      <c r="C56" s="2" t="str">
        <f>シフト組み!C86&amp;""</f>
        <v/>
      </c>
      <c r="D56" s="17" t="str">
        <f>IFERROR(VLOOKUP(シフト組み!D86,役職一覧!$B:$D,2,FALSE),"")</f>
        <v/>
      </c>
      <c r="E56" s="17" t="str">
        <f>IFERROR(VLOOKUP(シフト組み!E86,役職一覧!$B:$D,2,FALSE),"")</f>
        <v/>
      </c>
      <c r="F56" s="17" t="str">
        <f>IFERROR(VLOOKUP(シフト組み!F86,役職一覧!$B:$D,2,FALSE),"")</f>
        <v/>
      </c>
      <c r="G56" s="17" t="str">
        <f>IFERROR(VLOOKUP(シフト組み!G86,役職一覧!$B:$D,2,FALSE),"")</f>
        <v/>
      </c>
      <c r="H56" s="17" t="str">
        <f>IFERROR(VLOOKUP(シフト組み!H86,役職一覧!$B:$D,2,FALSE),"")</f>
        <v/>
      </c>
      <c r="I56" s="17" t="str">
        <f>IFERROR(VLOOKUP(シフト組み!I86,役職一覧!$B:$D,2,FALSE),"")</f>
        <v/>
      </c>
      <c r="J56" s="17" t="str">
        <f>IFERROR(VLOOKUP(シフト組み!J86,役職一覧!$B:$D,2,FALSE),"")</f>
        <v/>
      </c>
      <c r="K56" s="17" t="str">
        <f>IFERROR(VLOOKUP(シフト組み!K86,役職一覧!$B:$D,2,FALSE),"")</f>
        <v/>
      </c>
      <c r="L56" s="17" t="str">
        <f>IFERROR(VLOOKUP(シフト組み!L86,役職一覧!$B:$D,2,FALSE),"")</f>
        <v/>
      </c>
      <c r="M56" s="17" t="str">
        <f>IFERROR(VLOOKUP(シフト組み!M86,役職一覧!$B:$D,2,FALSE),"")</f>
        <v/>
      </c>
      <c r="N56" s="17" t="str">
        <f>IFERROR(VLOOKUP(シフト組み!N86,役職一覧!$B:$D,2,FALSE),"")</f>
        <v/>
      </c>
      <c r="O56" s="17" t="str">
        <f>IFERROR(VLOOKUP(シフト組み!O86,役職一覧!$B:$D,2,FALSE),"")</f>
        <v/>
      </c>
      <c r="P56" s="17" t="str">
        <f>IFERROR(VLOOKUP(シフト組み!P86,役職一覧!$B:$D,2,FALSE),"")</f>
        <v/>
      </c>
      <c r="Q56" s="17" t="str">
        <f>IFERROR(VLOOKUP(シフト組み!Q86,役職一覧!$B:$D,2,FALSE),"")</f>
        <v/>
      </c>
      <c r="R56" s="17" t="str">
        <f>IFERROR(VLOOKUP(シフト組み!R86,役職一覧!$B:$D,2,FALSE),"")</f>
        <v/>
      </c>
      <c r="S56" s="17" t="str">
        <f>IFERROR(VLOOKUP(シフト組み!S86,役職一覧!$B:$D,2,FALSE),"")</f>
        <v/>
      </c>
      <c r="T56" s="17" t="str">
        <f>IFERROR(VLOOKUP(シフト組み!T86,役職一覧!$B:$D,2,FALSE),"")</f>
        <v/>
      </c>
      <c r="U56" s="17" t="str">
        <f>IFERROR(VLOOKUP(シフト組み!U86,役職一覧!$B:$D,2,FALSE),"")</f>
        <v/>
      </c>
      <c r="V56" s="17" t="str">
        <f>IFERROR(VLOOKUP(シフト組み!V86,役職一覧!$B:$D,2,FALSE),"")</f>
        <v/>
      </c>
      <c r="W56" s="17" t="str">
        <f>IFERROR(VLOOKUP(シフト組み!W86,役職一覧!$B:$D,2,FALSE),"")</f>
        <v/>
      </c>
      <c r="X56" s="17" t="str">
        <f>IFERROR(VLOOKUP(シフト組み!X86,役職一覧!$B:$D,2,FALSE),"")</f>
        <v/>
      </c>
      <c r="Y56" s="17" t="str">
        <f>IFERROR(VLOOKUP(シフト組み!Y86,役職一覧!$B:$D,2,FALSE),"")</f>
        <v/>
      </c>
      <c r="Z56" s="17" t="str">
        <f>IFERROR(VLOOKUP(シフト組み!Z86,役職一覧!$B:$D,2,FALSE),"")</f>
        <v/>
      </c>
      <c r="AA56" s="17" t="str">
        <f>IFERROR(VLOOKUP(シフト組み!AA86,役職一覧!$B:$D,2,FALSE),"")</f>
        <v/>
      </c>
      <c r="AB56" s="17" t="str">
        <f>IFERROR(VLOOKUP(シフト組み!AB86,役職一覧!$B:$D,2,FALSE),"")</f>
        <v/>
      </c>
      <c r="AC56" s="17" t="str">
        <f>IFERROR(VLOOKUP(シフト組み!AC86,役職一覧!$B:$D,2,FALSE),"")</f>
        <v/>
      </c>
      <c r="AD56" s="17" t="str">
        <f>IFERROR(VLOOKUP(シフト組み!AD86,役職一覧!$B:$D,2,FALSE),"")</f>
        <v/>
      </c>
      <c r="AE56" s="17" t="str">
        <f>IFERROR(VLOOKUP(シフト組み!AE86,役職一覧!$B:$D,2,FALSE),"")</f>
        <v/>
      </c>
      <c r="AF56" s="17" t="str">
        <f>IFERROR(VLOOKUP(シフト組み!AF86,役職一覧!$B:$D,2,FALSE),"")</f>
        <v/>
      </c>
      <c r="AG56" s="17" t="str">
        <f>IFERROR(VLOOKUP(シフト組み!AG86,役職一覧!$B:$D,2,FALSE),"")</f>
        <v/>
      </c>
      <c r="AH56" s="17" t="str">
        <f>IFERROR(VLOOKUP(シフト組み!AH86,役職一覧!$B:$D,3,FALSE),"")</f>
        <v/>
      </c>
      <c r="AI56" s="17" t="str">
        <f>IFERROR(VLOOKUP(シフト組み!AI86,役職一覧!$B:$D,3,FALSE),"")</f>
        <v/>
      </c>
      <c r="AJ56" s="17" t="str">
        <f>IFERROR(VLOOKUP(シフト組み!AJ86,役職一覧!$B:$D,3,FALSE),"")</f>
        <v/>
      </c>
      <c r="AK56" s="17" t="str">
        <f>IFERROR(VLOOKUP(シフト組み!AK86,役職一覧!$B:$D,3,FALSE),"")</f>
        <v/>
      </c>
      <c r="AL56" s="17" t="str">
        <f>IFERROR(VLOOKUP(シフト組み!AL86,役職一覧!$B:$D,3,FALSE),"")</f>
        <v/>
      </c>
      <c r="AM56" s="17" t="str">
        <f>IFERROR(VLOOKUP(シフト組み!AM86,役職一覧!$B:$D,3,FALSE),"")</f>
        <v/>
      </c>
      <c r="AN56" s="17" t="str">
        <f>IFERROR(VLOOKUP(シフト組み!AN86,役職一覧!$B:$D,3,FALSE),"")</f>
        <v/>
      </c>
      <c r="AO56" s="17" t="str">
        <f>IFERROR(VLOOKUP(シフト組み!AO86,役職一覧!$B:$D,3,FALSE),"")</f>
        <v/>
      </c>
      <c r="AP56" s="17" t="str">
        <f>IFERROR(VLOOKUP(シフト組み!AP86,役職一覧!$B:$D,3,FALSE),"")</f>
        <v/>
      </c>
      <c r="AQ56" s="17" t="str">
        <f>IFERROR(VLOOKUP(シフト組み!AQ86,役職一覧!$B:$D,3,FALSE),"")</f>
        <v/>
      </c>
      <c r="AR56" s="17" t="str">
        <f>IFERROR(VLOOKUP(シフト組み!AR86,役職一覧!$B:$D,3,FALSE),"")</f>
        <v/>
      </c>
      <c r="AS56" s="17" t="str">
        <f>IFERROR(VLOOKUP(シフト組み!AS86,役職一覧!$B:$D,3,FALSE),"")</f>
        <v/>
      </c>
      <c r="AT56" s="17" t="str">
        <f>IFERROR(VLOOKUP(シフト組み!AT86,役職一覧!$B:$D,3,FALSE),"")</f>
        <v/>
      </c>
      <c r="AU56" s="17" t="str">
        <f>IFERROR(VLOOKUP(シフト組み!AU86,役職一覧!$B:$D,3,FALSE),"")</f>
        <v/>
      </c>
      <c r="AV56" s="17" t="str">
        <f>IFERROR(VLOOKUP(シフト組み!AV86,役職一覧!$B:$D,3,FALSE),"")</f>
        <v/>
      </c>
      <c r="AW56" s="17" t="str">
        <f>IFERROR(VLOOKUP(シフト組み!AW86,役職一覧!$B:$D,3,FALSE),"")</f>
        <v/>
      </c>
      <c r="AX56" s="17" t="str">
        <f>IFERROR(VLOOKUP(シフト組み!AX86,役職一覧!$B:$D,3,FALSE),"")</f>
        <v/>
      </c>
      <c r="AY56" s="17" t="str">
        <f>IFERROR(VLOOKUP(シフト組み!AY86,役職一覧!$B:$D,3,FALSE),"")</f>
        <v/>
      </c>
      <c r="AZ56" s="17" t="str">
        <f>IFERROR(VLOOKUP(シフト組み!AZ86,役職一覧!$B:$D,3,FALSE),"")</f>
        <v/>
      </c>
      <c r="BA56" s="17" t="str">
        <f>IFERROR(VLOOKUP(シフト組み!BA86,役職一覧!$B:$D,3,FALSE),"")</f>
        <v/>
      </c>
    </row>
    <row r="57" spans="1:53">
      <c r="A57" s="2" t="str">
        <f>シフト組み!A87&amp;""</f>
        <v/>
      </c>
      <c r="B57" s="2" t="str">
        <f>シフト組み!B87&amp;""</f>
        <v/>
      </c>
      <c r="C57" s="2" t="str">
        <f>シフト組み!C87&amp;""</f>
        <v/>
      </c>
      <c r="D57" s="17" t="str">
        <f>IFERROR(VLOOKUP(シフト組み!D87,役職一覧!$B:$D,2,FALSE),"")</f>
        <v/>
      </c>
      <c r="E57" s="17" t="str">
        <f>IFERROR(VLOOKUP(シフト組み!E87,役職一覧!$B:$D,2,FALSE),"")</f>
        <v/>
      </c>
      <c r="F57" s="17" t="str">
        <f>IFERROR(VLOOKUP(シフト組み!F87,役職一覧!$B:$D,2,FALSE),"")</f>
        <v/>
      </c>
      <c r="G57" s="17" t="str">
        <f>IFERROR(VLOOKUP(シフト組み!G87,役職一覧!$B:$D,2,FALSE),"")</f>
        <v/>
      </c>
      <c r="H57" s="17" t="str">
        <f>IFERROR(VLOOKUP(シフト組み!H87,役職一覧!$B:$D,2,FALSE),"")</f>
        <v/>
      </c>
      <c r="I57" s="17" t="str">
        <f>IFERROR(VLOOKUP(シフト組み!I87,役職一覧!$B:$D,2,FALSE),"")</f>
        <v/>
      </c>
      <c r="J57" s="17" t="str">
        <f>IFERROR(VLOOKUP(シフト組み!J87,役職一覧!$B:$D,2,FALSE),"")</f>
        <v/>
      </c>
      <c r="K57" s="17" t="str">
        <f>IFERROR(VLOOKUP(シフト組み!K87,役職一覧!$B:$D,2,FALSE),"")</f>
        <v/>
      </c>
      <c r="L57" s="17" t="str">
        <f>IFERROR(VLOOKUP(シフト組み!L87,役職一覧!$B:$D,2,FALSE),"")</f>
        <v/>
      </c>
      <c r="M57" s="17" t="str">
        <f>IFERROR(VLOOKUP(シフト組み!M87,役職一覧!$B:$D,2,FALSE),"")</f>
        <v/>
      </c>
      <c r="N57" s="17" t="str">
        <f>IFERROR(VLOOKUP(シフト組み!N87,役職一覧!$B:$D,2,FALSE),"")</f>
        <v/>
      </c>
      <c r="O57" s="17" t="str">
        <f>IFERROR(VLOOKUP(シフト組み!O87,役職一覧!$B:$D,2,FALSE),"")</f>
        <v/>
      </c>
      <c r="P57" s="17" t="str">
        <f>IFERROR(VLOOKUP(シフト組み!P87,役職一覧!$B:$D,2,FALSE),"")</f>
        <v/>
      </c>
      <c r="Q57" s="17" t="str">
        <f>IFERROR(VLOOKUP(シフト組み!Q87,役職一覧!$B:$D,2,FALSE),"")</f>
        <v/>
      </c>
      <c r="R57" s="17" t="str">
        <f>IFERROR(VLOOKUP(シフト組み!R87,役職一覧!$B:$D,2,FALSE),"")</f>
        <v/>
      </c>
      <c r="S57" s="17" t="str">
        <f>IFERROR(VLOOKUP(シフト組み!S87,役職一覧!$B:$D,2,FALSE),"")</f>
        <v/>
      </c>
      <c r="T57" s="17" t="str">
        <f>IFERROR(VLOOKUP(シフト組み!T87,役職一覧!$B:$D,2,FALSE),"")</f>
        <v/>
      </c>
      <c r="U57" s="17" t="str">
        <f>IFERROR(VLOOKUP(シフト組み!U87,役職一覧!$B:$D,2,FALSE),"")</f>
        <v/>
      </c>
      <c r="V57" s="17" t="str">
        <f>IFERROR(VLOOKUP(シフト組み!V87,役職一覧!$B:$D,2,FALSE),"")</f>
        <v/>
      </c>
      <c r="W57" s="17" t="str">
        <f>IFERROR(VLOOKUP(シフト組み!W87,役職一覧!$B:$D,2,FALSE),"")</f>
        <v/>
      </c>
      <c r="X57" s="17" t="str">
        <f>IFERROR(VLOOKUP(シフト組み!X87,役職一覧!$B:$D,2,FALSE),"")</f>
        <v/>
      </c>
      <c r="Y57" s="17" t="str">
        <f>IFERROR(VLOOKUP(シフト組み!Y87,役職一覧!$B:$D,2,FALSE),"")</f>
        <v/>
      </c>
      <c r="Z57" s="17" t="str">
        <f>IFERROR(VLOOKUP(シフト組み!Z87,役職一覧!$B:$D,2,FALSE),"")</f>
        <v/>
      </c>
      <c r="AA57" s="17" t="str">
        <f>IFERROR(VLOOKUP(シフト組み!AA87,役職一覧!$B:$D,2,FALSE),"")</f>
        <v/>
      </c>
      <c r="AB57" s="17" t="str">
        <f>IFERROR(VLOOKUP(シフト組み!AB87,役職一覧!$B:$D,2,FALSE),"")</f>
        <v/>
      </c>
      <c r="AC57" s="17" t="str">
        <f>IFERROR(VLOOKUP(シフト組み!AC87,役職一覧!$B:$D,2,FALSE),"")</f>
        <v/>
      </c>
      <c r="AD57" s="17" t="str">
        <f>IFERROR(VLOOKUP(シフト組み!AD87,役職一覧!$B:$D,2,FALSE),"")</f>
        <v/>
      </c>
      <c r="AE57" s="17" t="str">
        <f>IFERROR(VLOOKUP(シフト組み!AE87,役職一覧!$B:$D,2,FALSE),"")</f>
        <v/>
      </c>
      <c r="AF57" s="17" t="str">
        <f>IFERROR(VLOOKUP(シフト組み!AF87,役職一覧!$B:$D,2,FALSE),"")</f>
        <v/>
      </c>
      <c r="AG57" s="17" t="str">
        <f>IFERROR(VLOOKUP(シフト組み!AG87,役職一覧!$B:$D,2,FALSE),"")</f>
        <v/>
      </c>
      <c r="AH57" s="17" t="str">
        <f>IFERROR(VLOOKUP(シフト組み!AH87,役職一覧!$B:$D,3,FALSE),"")</f>
        <v/>
      </c>
      <c r="AI57" s="17" t="str">
        <f>IFERROR(VLOOKUP(シフト組み!AI87,役職一覧!$B:$D,3,FALSE),"")</f>
        <v/>
      </c>
      <c r="AJ57" s="17" t="str">
        <f>IFERROR(VLOOKUP(シフト組み!AJ87,役職一覧!$B:$D,3,FALSE),"")</f>
        <v/>
      </c>
      <c r="AK57" s="17" t="str">
        <f>IFERROR(VLOOKUP(シフト組み!AK87,役職一覧!$B:$D,3,FALSE),"")</f>
        <v/>
      </c>
      <c r="AL57" s="17" t="str">
        <f>IFERROR(VLOOKUP(シフト組み!AL87,役職一覧!$B:$D,3,FALSE),"")</f>
        <v/>
      </c>
      <c r="AM57" s="17" t="str">
        <f>IFERROR(VLOOKUP(シフト組み!AM87,役職一覧!$B:$D,3,FALSE),"")</f>
        <v/>
      </c>
      <c r="AN57" s="17" t="str">
        <f>IFERROR(VLOOKUP(シフト組み!AN87,役職一覧!$B:$D,3,FALSE),"")</f>
        <v/>
      </c>
      <c r="AO57" s="17" t="str">
        <f>IFERROR(VLOOKUP(シフト組み!AO87,役職一覧!$B:$D,3,FALSE),"")</f>
        <v/>
      </c>
      <c r="AP57" s="17" t="str">
        <f>IFERROR(VLOOKUP(シフト組み!AP87,役職一覧!$B:$D,3,FALSE),"")</f>
        <v/>
      </c>
      <c r="AQ57" s="17" t="str">
        <f>IFERROR(VLOOKUP(シフト組み!AQ87,役職一覧!$B:$D,3,FALSE),"")</f>
        <v/>
      </c>
      <c r="AR57" s="17" t="str">
        <f>IFERROR(VLOOKUP(シフト組み!AR87,役職一覧!$B:$D,3,FALSE),"")</f>
        <v/>
      </c>
      <c r="AS57" s="17" t="str">
        <f>IFERROR(VLOOKUP(シフト組み!AS87,役職一覧!$B:$D,3,FALSE),"")</f>
        <v/>
      </c>
      <c r="AT57" s="17" t="str">
        <f>IFERROR(VLOOKUP(シフト組み!AT87,役職一覧!$B:$D,3,FALSE),"")</f>
        <v/>
      </c>
      <c r="AU57" s="17" t="str">
        <f>IFERROR(VLOOKUP(シフト組み!AU87,役職一覧!$B:$D,3,FALSE),"")</f>
        <v/>
      </c>
      <c r="AV57" s="17" t="str">
        <f>IFERROR(VLOOKUP(シフト組み!AV87,役職一覧!$B:$D,3,FALSE),"")</f>
        <v/>
      </c>
      <c r="AW57" s="17" t="str">
        <f>IFERROR(VLOOKUP(シフト組み!AW87,役職一覧!$B:$D,3,FALSE),"")</f>
        <v/>
      </c>
      <c r="AX57" s="17" t="str">
        <f>IFERROR(VLOOKUP(シフト組み!AX87,役職一覧!$B:$D,3,FALSE),"")</f>
        <v/>
      </c>
      <c r="AY57" s="17" t="str">
        <f>IFERROR(VLOOKUP(シフト組み!AY87,役職一覧!$B:$D,3,FALSE),"")</f>
        <v/>
      </c>
      <c r="AZ57" s="17" t="str">
        <f>IFERROR(VLOOKUP(シフト組み!AZ87,役職一覧!$B:$D,3,FALSE),"")</f>
        <v/>
      </c>
      <c r="BA57" s="17" t="str">
        <f>IFERROR(VLOOKUP(シフト組み!BA87,役職一覧!$B:$D,3,FALSE),"")</f>
        <v/>
      </c>
    </row>
    <row r="58" spans="1:53">
      <c r="A58" s="2" t="str">
        <f>シフト組み!A88&amp;""</f>
        <v/>
      </c>
      <c r="B58" s="2" t="str">
        <f>シフト組み!B88&amp;""</f>
        <v/>
      </c>
      <c r="C58" s="2" t="str">
        <f>シフト組み!C88&amp;""</f>
        <v/>
      </c>
      <c r="D58" s="17" t="str">
        <f>IFERROR(VLOOKUP(シフト組み!D88,役職一覧!$B:$D,2,FALSE),"")</f>
        <v/>
      </c>
      <c r="E58" s="17" t="str">
        <f>IFERROR(VLOOKUP(シフト組み!E88,役職一覧!$B:$D,2,FALSE),"")</f>
        <v/>
      </c>
      <c r="F58" s="17" t="str">
        <f>IFERROR(VLOOKUP(シフト組み!F88,役職一覧!$B:$D,2,FALSE),"")</f>
        <v/>
      </c>
      <c r="G58" s="17" t="str">
        <f>IFERROR(VLOOKUP(シフト組み!G88,役職一覧!$B:$D,2,FALSE),"")</f>
        <v/>
      </c>
      <c r="H58" s="17" t="str">
        <f>IFERROR(VLOOKUP(シフト組み!H88,役職一覧!$B:$D,2,FALSE),"")</f>
        <v/>
      </c>
      <c r="I58" s="17" t="str">
        <f>IFERROR(VLOOKUP(シフト組み!I88,役職一覧!$B:$D,2,FALSE),"")</f>
        <v/>
      </c>
      <c r="J58" s="17" t="str">
        <f>IFERROR(VLOOKUP(シフト組み!J88,役職一覧!$B:$D,2,FALSE),"")</f>
        <v/>
      </c>
      <c r="K58" s="17" t="str">
        <f>IFERROR(VLOOKUP(シフト組み!K88,役職一覧!$B:$D,2,FALSE),"")</f>
        <v/>
      </c>
      <c r="L58" s="17" t="str">
        <f>IFERROR(VLOOKUP(シフト組み!L88,役職一覧!$B:$D,2,FALSE),"")</f>
        <v/>
      </c>
      <c r="M58" s="17" t="str">
        <f>IFERROR(VLOOKUP(シフト組み!M88,役職一覧!$B:$D,2,FALSE),"")</f>
        <v/>
      </c>
      <c r="N58" s="17" t="str">
        <f>IFERROR(VLOOKUP(シフト組み!N88,役職一覧!$B:$D,2,FALSE),"")</f>
        <v/>
      </c>
      <c r="O58" s="17" t="str">
        <f>IFERROR(VLOOKUP(シフト組み!O88,役職一覧!$B:$D,2,FALSE),"")</f>
        <v/>
      </c>
      <c r="P58" s="17" t="str">
        <f>IFERROR(VLOOKUP(シフト組み!P88,役職一覧!$B:$D,2,FALSE),"")</f>
        <v/>
      </c>
      <c r="Q58" s="17" t="str">
        <f>IFERROR(VLOOKUP(シフト組み!Q88,役職一覧!$B:$D,2,FALSE),"")</f>
        <v/>
      </c>
      <c r="R58" s="17" t="str">
        <f>IFERROR(VLOOKUP(シフト組み!R88,役職一覧!$B:$D,2,FALSE),"")</f>
        <v/>
      </c>
      <c r="S58" s="17" t="str">
        <f>IFERROR(VLOOKUP(シフト組み!S88,役職一覧!$B:$D,2,FALSE),"")</f>
        <v/>
      </c>
      <c r="T58" s="17" t="str">
        <f>IFERROR(VLOOKUP(シフト組み!T88,役職一覧!$B:$D,2,FALSE),"")</f>
        <v/>
      </c>
      <c r="U58" s="17" t="str">
        <f>IFERROR(VLOOKUP(シフト組み!U88,役職一覧!$B:$D,2,FALSE),"")</f>
        <v/>
      </c>
      <c r="V58" s="17" t="str">
        <f>IFERROR(VLOOKUP(シフト組み!V88,役職一覧!$B:$D,2,FALSE),"")</f>
        <v/>
      </c>
      <c r="W58" s="17" t="str">
        <f>IFERROR(VLOOKUP(シフト組み!W88,役職一覧!$B:$D,2,FALSE),"")</f>
        <v/>
      </c>
      <c r="X58" s="17" t="str">
        <f>IFERROR(VLOOKUP(シフト組み!X88,役職一覧!$B:$D,2,FALSE),"")</f>
        <v/>
      </c>
      <c r="Y58" s="17" t="str">
        <f>IFERROR(VLOOKUP(シフト組み!Y88,役職一覧!$B:$D,2,FALSE),"")</f>
        <v/>
      </c>
      <c r="Z58" s="17" t="str">
        <f>IFERROR(VLOOKUP(シフト組み!Z88,役職一覧!$B:$D,2,FALSE),"")</f>
        <v/>
      </c>
      <c r="AA58" s="17" t="str">
        <f>IFERROR(VLOOKUP(シフト組み!AA88,役職一覧!$B:$D,2,FALSE),"")</f>
        <v/>
      </c>
      <c r="AB58" s="17" t="str">
        <f>IFERROR(VLOOKUP(シフト組み!AB88,役職一覧!$B:$D,2,FALSE),"")</f>
        <v/>
      </c>
      <c r="AC58" s="17" t="str">
        <f>IFERROR(VLOOKUP(シフト組み!AC88,役職一覧!$B:$D,2,FALSE),"")</f>
        <v/>
      </c>
      <c r="AD58" s="17" t="str">
        <f>IFERROR(VLOOKUP(シフト組み!AD88,役職一覧!$B:$D,2,FALSE),"")</f>
        <v/>
      </c>
      <c r="AE58" s="17" t="str">
        <f>IFERROR(VLOOKUP(シフト組み!AE88,役職一覧!$B:$D,2,FALSE),"")</f>
        <v/>
      </c>
      <c r="AF58" s="17" t="str">
        <f>IFERROR(VLOOKUP(シフト組み!AF88,役職一覧!$B:$D,2,FALSE),"")</f>
        <v/>
      </c>
      <c r="AG58" s="17" t="str">
        <f>IFERROR(VLOOKUP(シフト組み!AG88,役職一覧!$B:$D,2,FALSE),"")</f>
        <v/>
      </c>
      <c r="AH58" s="17" t="str">
        <f>IFERROR(VLOOKUP(シフト組み!AH88,役職一覧!$B:$D,3,FALSE),"")</f>
        <v/>
      </c>
      <c r="AI58" s="17" t="str">
        <f>IFERROR(VLOOKUP(シフト組み!AI88,役職一覧!$B:$D,3,FALSE),"")</f>
        <v/>
      </c>
      <c r="AJ58" s="17" t="str">
        <f>IFERROR(VLOOKUP(シフト組み!AJ88,役職一覧!$B:$D,3,FALSE),"")</f>
        <v/>
      </c>
      <c r="AK58" s="17" t="str">
        <f>IFERROR(VLOOKUP(シフト組み!AK88,役職一覧!$B:$D,3,FALSE),"")</f>
        <v/>
      </c>
      <c r="AL58" s="17" t="str">
        <f>IFERROR(VLOOKUP(シフト組み!AL88,役職一覧!$B:$D,3,FALSE),"")</f>
        <v/>
      </c>
      <c r="AM58" s="17" t="str">
        <f>IFERROR(VLOOKUP(シフト組み!AM88,役職一覧!$B:$D,3,FALSE),"")</f>
        <v/>
      </c>
      <c r="AN58" s="17" t="str">
        <f>IFERROR(VLOOKUP(シフト組み!AN88,役職一覧!$B:$D,3,FALSE),"")</f>
        <v/>
      </c>
      <c r="AO58" s="17" t="str">
        <f>IFERROR(VLOOKUP(シフト組み!AO88,役職一覧!$B:$D,3,FALSE),"")</f>
        <v/>
      </c>
      <c r="AP58" s="17" t="str">
        <f>IFERROR(VLOOKUP(シフト組み!AP88,役職一覧!$B:$D,3,FALSE),"")</f>
        <v/>
      </c>
      <c r="AQ58" s="17" t="str">
        <f>IFERROR(VLOOKUP(シフト組み!AQ88,役職一覧!$B:$D,3,FALSE),"")</f>
        <v/>
      </c>
      <c r="AR58" s="17" t="str">
        <f>IFERROR(VLOOKUP(シフト組み!AR88,役職一覧!$B:$D,3,FALSE),"")</f>
        <v/>
      </c>
      <c r="AS58" s="17" t="str">
        <f>IFERROR(VLOOKUP(シフト組み!AS88,役職一覧!$B:$D,3,FALSE),"")</f>
        <v/>
      </c>
      <c r="AT58" s="17" t="str">
        <f>IFERROR(VLOOKUP(シフト組み!AT88,役職一覧!$B:$D,3,FALSE),"")</f>
        <v/>
      </c>
      <c r="AU58" s="17" t="str">
        <f>IFERROR(VLOOKUP(シフト組み!AU88,役職一覧!$B:$D,3,FALSE),"")</f>
        <v/>
      </c>
      <c r="AV58" s="17" t="str">
        <f>IFERROR(VLOOKUP(シフト組み!AV88,役職一覧!$B:$D,3,FALSE),"")</f>
        <v/>
      </c>
      <c r="AW58" s="17" t="str">
        <f>IFERROR(VLOOKUP(シフト組み!AW88,役職一覧!$B:$D,3,FALSE),"")</f>
        <v/>
      </c>
      <c r="AX58" s="17" t="str">
        <f>IFERROR(VLOOKUP(シフト組み!AX88,役職一覧!$B:$D,3,FALSE),"")</f>
        <v/>
      </c>
      <c r="AY58" s="17" t="str">
        <f>IFERROR(VLOOKUP(シフト組み!AY88,役職一覧!$B:$D,3,FALSE),"")</f>
        <v/>
      </c>
      <c r="AZ58" s="17" t="str">
        <f>IFERROR(VLOOKUP(シフト組み!AZ88,役職一覧!$B:$D,3,FALSE),"")</f>
        <v/>
      </c>
      <c r="BA58" s="17" t="str">
        <f>IFERROR(VLOOKUP(シフト組み!BA88,役職一覧!$B:$D,3,FALSE),"")</f>
        <v/>
      </c>
    </row>
    <row r="59" spans="1:53">
      <c r="A59" s="2" t="str">
        <f>シフト組み!A89&amp;""</f>
        <v/>
      </c>
      <c r="B59" s="2" t="str">
        <f>シフト組み!B89&amp;""</f>
        <v/>
      </c>
      <c r="C59" s="2" t="str">
        <f>シフト組み!C89&amp;""</f>
        <v/>
      </c>
      <c r="D59" s="17" t="str">
        <f>IFERROR(VLOOKUP(シフト組み!D89,役職一覧!$B:$D,2,FALSE),"")</f>
        <v/>
      </c>
      <c r="E59" s="17" t="str">
        <f>IFERROR(VLOOKUP(シフト組み!E89,役職一覧!$B:$D,2,FALSE),"")</f>
        <v/>
      </c>
      <c r="F59" s="17" t="str">
        <f>IFERROR(VLOOKUP(シフト組み!F89,役職一覧!$B:$D,2,FALSE),"")</f>
        <v/>
      </c>
      <c r="G59" s="17" t="str">
        <f>IFERROR(VLOOKUP(シフト組み!G89,役職一覧!$B:$D,2,FALSE),"")</f>
        <v/>
      </c>
      <c r="H59" s="17" t="str">
        <f>IFERROR(VLOOKUP(シフト組み!H89,役職一覧!$B:$D,2,FALSE),"")</f>
        <v/>
      </c>
      <c r="I59" s="17" t="str">
        <f>IFERROR(VLOOKUP(シフト組み!I89,役職一覧!$B:$D,2,FALSE),"")</f>
        <v/>
      </c>
      <c r="J59" s="17" t="str">
        <f>IFERROR(VLOOKUP(シフト組み!J89,役職一覧!$B:$D,2,FALSE),"")</f>
        <v/>
      </c>
      <c r="K59" s="17" t="str">
        <f>IFERROR(VLOOKUP(シフト組み!K89,役職一覧!$B:$D,2,FALSE),"")</f>
        <v/>
      </c>
      <c r="L59" s="17" t="str">
        <f>IFERROR(VLOOKUP(シフト組み!L89,役職一覧!$B:$D,2,FALSE),"")</f>
        <v/>
      </c>
      <c r="M59" s="17" t="str">
        <f>IFERROR(VLOOKUP(シフト組み!M89,役職一覧!$B:$D,2,FALSE),"")</f>
        <v/>
      </c>
      <c r="N59" s="17" t="str">
        <f>IFERROR(VLOOKUP(シフト組み!N89,役職一覧!$B:$D,2,FALSE),"")</f>
        <v/>
      </c>
      <c r="O59" s="17" t="str">
        <f>IFERROR(VLOOKUP(シフト組み!O89,役職一覧!$B:$D,2,FALSE),"")</f>
        <v/>
      </c>
      <c r="P59" s="17" t="str">
        <f>IFERROR(VLOOKUP(シフト組み!P89,役職一覧!$B:$D,2,FALSE),"")</f>
        <v/>
      </c>
      <c r="Q59" s="17" t="str">
        <f>IFERROR(VLOOKUP(シフト組み!Q89,役職一覧!$B:$D,2,FALSE),"")</f>
        <v/>
      </c>
      <c r="R59" s="17" t="str">
        <f>IFERROR(VLOOKUP(シフト組み!R89,役職一覧!$B:$D,2,FALSE),"")</f>
        <v/>
      </c>
      <c r="S59" s="17" t="str">
        <f>IFERROR(VLOOKUP(シフト組み!S89,役職一覧!$B:$D,2,FALSE),"")</f>
        <v/>
      </c>
      <c r="T59" s="17" t="str">
        <f>IFERROR(VLOOKUP(シフト組み!T89,役職一覧!$B:$D,2,FALSE),"")</f>
        <v/>
      </c>
      <c r="U59" s="17" t="str">
        <f>IFERROR(VLOOKUP(シフト組み!U89,役職一覧!$B:$D,2,FALSE),"")</f>
        <v/>
      </c>
      <c r="V59" s="17" t="str">
        <f>IFERROR(VLOOKUP(シフト組み!V89,役職一覧!$B:$D,2,FALSE),"")</f>
        <v/>
      </c>
      <c r="W59" s="17" t="str">
        <f>IFERROR(VLOOKUP(シフト組み!W89,役職一覧!$B:$D,2,FALSE),"")</f>
        <v/>
      </c>
      <c r="X59" s="17" t="str">
        <f>IFERROR(VLOOKUP(シフト組み!X89,役職一覧!$B:$D,2,FALSE),"")</f>
        <v/>
      </c>
      <c r="Y59" s="17" t="str">
        <f>IFERROR(VLOOKUP(シフト組み!Y89,役職一覧!$B:$D,2,FALSE),"")</f>
        <v/>
      </c>
      <c r="Z59" s="17" t="str">
        <f>IFERROR(VLOOKUP(シフト組み!Z89,役職一覧!$B:$D,2,FALSE),"")</f>
        <v/>
      </c>
      <c r="AA59" s="17" t="str">
        <f>IFERROR(VLOOKUP(シフト組み!AA89,役職一覧!$B:$D,2,FALSE),"")</f>
        <v/>
      </c>
      <c r="AB59" s="17" t="str">
        <f>IFERROR(VLOOKUP(シフト組み!AB89,役職一覧!$B:$D,2,FALSE),"")</f>
        <v/>
      </c>
      <c r="AC59" s="17" t="str">
        <f>IFERROR(VLOOKUP(シフト組み!AC89,役職一覧!$B:$D,2,FALSE),"")</f>
        <v/>
      </c>
      <c r="AD59" s="17" t="str">
        <f>IFERROR(VLOOKUP(シフト組み!AD89,役職一覧!$B:$D,2,FALSE),"")</f>
        <v/>
      </c>
      <c r="AE59" s="17" t="str">
        <f>IFERROR(VLOOKUP(シフト組み!AE89,役職一覧!$B:$D,2,FALSE),"")</f>
        <v/>
      </c>
      <c r="AF59" s="17" t="str">
        <f>IFERROR(VLOOKUP(シフト組み!AF89,役職一覧!$B:$D,2,FALSE),"")</f>
        <v/>
      </c>
      <c r="AG59" s="17" t="str">
        <f>IFERROR(VLOOKUP(シフト組み!AG89,役職一覧!$B:$D,2,FALSE),"")</f>
        <v/>
      </c>
      <c r="AH59" s="17" t="str">
        <f>IFERROR(VLOOKUP(シフト組み!AH89,役職一覧!$B:$D,3,FALSE),"")</f>
        <v/>
      </c>
      <c r="AI59" s="17" t="str">
        <f>IFERROR(VLOOKUP(シフト組み!AI89,役職一覧!$B:$D,3,FALSE),"")</f>
        <v/>
      </c>
      <c r="AJ59" s="17" t="str">
        <f>IFERROR(VLOOKUP(シフト組み!AJ89,役職一覧!$B:$D,3,FALSE),"")</f>
        <v/>
      </c>
      <c r="AK59" s="17" t="str">
        <f>IFERROR(VLOOKUP(シフト組み!AK89,役職一覧!$B:$D,3,FALSE),"")</f>
        <v/>
      </c>
      <c r="AL59" s="17" t="str">
        <f>IFERROR(VLOOKUP(シフト組み!AL89,役職一覧!$B:$D,3,FALSE),"")</f>
        <v/>
      </c>
      <c r="AM59" s="17" t="str">
        <f>IFERROR(VLOOKUP(シフト組み!AM89,役職一覧!$B:$D,3,FALSE),"")</f>
        <v/>
      </c>
      <c r="AN59" s="17" t="str">
        <f>IFERROR(VLOOKUP(シフト組み!AN89,役職一覧!$B:$D,3,FALSE),"")</f>
        <v/>
      </c>
      <c r="AO59" s="17" t="str">
        <f>IFERROR(VLOOKUP(シフト組み!AO89,役職一覧!$B:$D,3,FALSE),"")</f>
        <v/>
      </c>
      <c r="AP59" s="17" t="str">
        <f>IFERROR(VLOOKUP(シフト組み!AP89,役職一覧!$B:$D,3,FALSE),"")</f>
        <v/>
      </c>
      <c r="AQ59" s="17" t="str">
        <f>IFERROR(VLOOKUP(シフト組み!AQ89,役職一覧!$B:$D,3,FALSE),"")</f>
        <v/>
      </c>
      <c r="AR59" s="17" t="str">
        <f>IFERROR(VLOOKUP(シフト組み!AR89,役職一覧!$B:$D,3,FALSE),"")</f>
        <v/>
      </c>
      <c r="AS59" s="17" t="str">
        <f>IFERROR(VLOOKUP(シフト組み!AS89,役職一覧!$B:$D,3,FALSE),"")</f>
        <v/>
      </c>
      <c r="AT59" s="17" t="str">
        <f>IFERROR(VLOOKUP(シフト組み!AT89,役職一覧!$B:$D,3,FALSE),"")</f>
        <v/>
      </c>
      <c r="AU59" s="17" t="str">
        <f>IFERROR(VLOOKUP(シフト組み!AU89,役職一覧!$B:$D,3,FALSE),"")</f>
        <v/>
      </c>
      <c r="AV59" s="17" t="str">
        <f>IFERROR(VLOOKUP(シフト組み!AV89,役職一覧!$B:$D,3,FALSE),"")</f>
        <v/>
      </c>
      <c r="AW59" s="17" t="str">
        <f>IFERROR(VLOOKUP(シフト組み!AW89,役職一覧!$B:$D,3,FALSE),"")</f>
        <v/>
      </c>
      <c r="AX59" s="17" t="str">
        <f>IFERROR(VLOOKUP(シフト組み!AX89,役職一覧!$B:$D,3,FALSE),"")</f>
        <v/>
      </c>
      <c r="AY59" s="17" t="str">
        <f>IFERROR(VLOOKUP(シフト組み!AY89,役職一覧!$B:$D,3,FALSE),"")</f>
        <v/>
      </c>
      <c r="AZ59" s="17" t="str">
        <f>IFERROR(VLOOKUP(シフト組み!AZ89,役職一覧!$B:$D,3,FALSE),"")</f>
        <v/>
      </c>
      <c r="BA59" s="17" t="str">
        <f>IFERROR(VLOOKUP(シフト組み!BA89,役職一覧!$B:$D,3,FALSE),"")</f>
        <v/>
      </c>
    </row>
    <row r="60" spans="1:53">
      <c r="A60" s="2" t="str">
        <f>シフト組み!A90&amp;""</f>
        <v/>
      </c>
      <c r="B60" s="2" t="str">
        <f>シフト組み!B90&amp;""</f>
        <v/>
      </c>
      <c r="C60" s="2" t="str">
        <f>シフト組み!C90&amp;""</f>
        <v/>
      </c>
      <c r="D60" s="17" t="str">
        <f>IFERROR(VLOOKUP(シフト組み!D90,役職一覧!$B:$D,2,FALSE),"")</f>
        <v/>
      </c>
      <c r="E60" s="17" t="str">
        <f>IFERROR(VLOOKUP(シフト組み!E90,役職一覧!$B:$D,2,FALSE),"")</f>
        <v/>
      </c>
      <c r="F60" s="17" t="str">
        <f>IFERROR(VLOOKUP(シフト組み!F90,役職一覧!$B:$D,2,FALSE),"")</f>
        <v/>
      </c>
      <c r="G60" s="17" t="str">
        <f>IFERROR(VLOOKUP(シフト組み!G90,役職一覧!$B:$D,2,FALSE),"")</f>
        <v/>
      </c>
      <c r="H60" s="17" t="str">
        <f>IFERROR(VLOOKUP(シフト組み!H90,役職一覧!$B:$D,2,FALSE),"")</f>
        <v/>
      </c>
      <c r="I60" s="17" t="str">
        <f>IFERROR(VLOOKUP(シフト組み!I90,役職一覧!$B:$D,2,FALSE),"")</f>
        <v/>
      </c>
      <c r="J60" s="17" t="str">
        <f>IFERROR(VLOOKUP(シフト組み!J90,役職一覧!$B:$D,2,FALSE),"")</f>
        <v/>
      </c>
      <c r="K60" s="17" t="str">
        <f>IFERROR(VLOOKUP(シフト組み!K90,役職一覧!$B:$D,2,FALSE),"")</f>
        <v/>
      </c>
      <c r="L60" s="17" t="str">
        <f>IFERROR(VLOOKUP(シフト組み!L90,役職一覧!$B:$D,2,FALSE),"")</f>
        <v/>
      </c>
      <c r="M60" s="17" t="str">
        <f>IFERROR(VLOOKUP(シフト組み!M90,役職一覧!$B:$D,2,FALSE),"")</f>
        <v/>
      </c>
      <c r="N60" s="17" t="str">
        <f>IFERROR(VLOOKUP(シフト組み!N90,役職一覧!$B:$D,2,FALSE),"")</f>
        <v/>
      </c>
      <c r="O60" s="17" t="str">
        <f>IFERROR(VLOOKUP(シフト組み!O90,役職一覧!$B:$D,2,FALSE),"")</f>
        <v/>
      </c>
      <c r="P60" s="17" t="str">
        <f>IFERROR(VLOOKUP(シフト組み!P90,役職一覧!$B:$D,2,FALSE),"")</f>
        <v/>
      </c>
      <c r="Q60" s="17" t="str">
        <f>IFERROR(VLOOKUP(シフト組み!Q90,役職一覧!$B:$D,2,FALSE),"")</f>
        <v/>
      </c>
      <c r="R60" s="17" t="str">
        <f>IFERROR(VLOOKUP(シフト組み!R90,役職一覧!$B:$D,2,FALSE),"")</f>
        <v/>
      </c>
      <c r="S60" s="17" t="str">
        <f>IFERROR(VLOOKUP(シフト組み!S90,役職一覧!$B:$D,2,FALSE),"")</f>
        <v/>
      </c>
      <c r="T60" s="17" t="str">
        <f>IFERROR(VLOOKUP(シフト組み!T90,役職一覧!$B:$D,2,FALSE),"")</f>
        <v/>
      </c>
      <c r="U60" s="17" t="str">
        <f>IFERROR(VLOOKUP(シフト組み!U90,役職一覧!$B:$D,2,FALSE),"")</f>
        <v/>
      </c>
      <c r="V60" s="17" t="str">
        <f>IFERROR(VLOOKUP(シフト組み!V90,役職一覧!$B:$D,2,FALSE),"")</f>
        <v/>
      </c>
      <c r="W60" s="17" t="str">
        <f>IFERROR(VLOOKUP(シフト組み!W90,役職一覧!$B:$D,2,FALSE),"")</f>
        <v/>
      </c>
      <c r="X60" s="17" t="str">
        <f>IFERROR(VLOOKUP(シフト組み!X90,役職一覧!$B:$D,2,FALSE),"")</f>
        <v/>
      </c>
      <c r="Y60" s="17" t="str">
        <f>IFERROR(VLOOKUP(シフト組み!Y90,役職一覧!$B:$D,2,FALSE),"")</f>
        <v/>
      </c>
      <c r="Z60" s="17" t="str">
        <f>IFERROR(VLOOKUP(シフト組み!Z90,役職一覧!$B:$D,2,FALSE),"")</f>
        <v/>
      </c>
      <c r="AA60" s="17" t="str">
        <f>IFERROR(VLOOKUP(シフト組み!AA90,役職一覧!$B:$D,2,FALSE),"")</f>
        <v/>
      </c>
      <c r="AB60" s="17" t="str">
        <f>IFERROR(VLOOKUP(シフト組み!AB90,役職一覧!$B:$D,2,FALSE),"")</f>
        <v/>
      </c>
      <c r="AC60" s="17" t="str">
        <f>IFERROR(VLOOKUP(シフト組み!AC90,役職一覧!$B:$D,2,FALSE),"")</f>
        <v/>
      </c>
      <c r="AD60" s="17" t="str">
        <f>IFERROR(VLOOKUP(シフト組み!AD90,役職一覧!$B:$D,2,FALSE),"")</f>
        <v/>
      </c>
      <c r="AE60" s="17" t="str">
        <f>IFERROR(VLOOKUP(シフト組み!AE90,役職一覧!$B:$D,2,FALSE),"")</f>
        <v/>
      </c>
      <c r="AF60" s="17" t="str">
        <f>IFERROR(VLOOKUP(シフト組み!AF90,役職一覧!$B:$D,2,FALSE),"")</f>
        <v/>
      </c>
      <c r="AG60" s="17" t="str">
        <f>IFERROR(VLOOKUP(シフト組み!AG90,役職一覧!$B:$D,2,FALSE),"")</f>
        <v/>
      </c>
      <c r="AH60" s="17" t="str">
        <f>IFERROR(VLOOKUP(シフト組み!AH90,役職一覧!$B:$D,3,FALSE),"")</f>
        <v/>
      </c>
      <c r="AI60" s="17" t="str">
        <f>IFERROR(VLOOKUP(シフト組み!AI90,役職一覧!$B:$D,3,FALSE),"")</f>
        <v/>
      </c>
      <c r="AJ60" s="17" t="str">
        <f>IFERROR(VLOOKUP(シフト組み!AJ90,役職一覧!$B:$D,3,FALSE),"")</f>
        <v/>
      </c>
      <c r="AK60" s="17" t="str">
        <f>IFERROR(VLOOKUP(シフト組み!AK90,役職一覧!$B:$D,3,FALSE),"")</f>
        <v/>
      </c>
      <c r="AL60" s="17" t="str">
        <f>IFERROR(VLOOKUP(シフト組み!AL90,役職一覧!$B:$D,3,FALSE),"")</f>
        <v/>
      </c>
      <c r="AM60" s="17" t="str">
        <f>IFERROR(VLOOKUP(シフト組み!AM90,役職一覧!$B:$D,3,FALSE),"")</f>
        <v/>
      </c>
      <c r="AN60" s="17" t="str">
        <f>IFERROR(VLOOKUP(シフト組み!AN90,役職一覧!$B:$D,3,FALSE),"")</f>
        <v/>
      </c>
      <c r="AO60" s="17" t="str">
        <f>IFERROR(VLOOKUP(シフト組み!AO90,役職一覧!$B:$D,3,FALSE),"")</f>
        <v/>
      </c>
      <c r="AP60" s="17" t="str">
        <f>IFERROR(VLOOKUP(シフト組み!AP90,役職一覧!$B:$D,3,FALSE),"")</f>
        <v/>
      </c>
      <c r="AQ60" s="17" t="str">
        <f>IFERROR(VLOOKUP(シフト組み!AQ90,役職一覧!$B:$D,3,FALSE),"")</f>
        <v/>
      </c>
      <c r="AR60" s="17" t="str">
        <f>IFERROR(VLOOKUP(シフト組み!AR90,役職一覧!$B:$D,3,FALSE),"")</f>
        <v/>
      </c>
      <c r="AS60" s="17" t="str">
        <f>IFERROR(VLOOKUP(シフト組み!AS90,役職一覧!$B:$D,3,FALSE),"")</f>
        <v/>
      </c>
      <c r="AT60" s="17" t="str">
        <f>IFERROR(VLOOKUP(シフト組み!AT90,役職一覧!$B:$D,3,FALSE),"")</f>
        <v/>
      </c>
      <c r="AU60" s="17" t="str">
        <f>IFERROR(VLOOKUP(シフト組み!AU90,役職一覧!$B:$D,3,FALSE),"")</f>
        <v/>
      </c>
      <c r="AV60" s="17" t="str">
        <f>IFERROR(VLOOKUP(シフト組み!AV90,役職一覧!$B:$D,3,FALSE),"")</f>
        <v/>
      </c>
      <c r="AW60" s="17" t="str">
        <f>IFERROR(VLOOKUP(シフト組み!AW90,役職一覧!$B:$D,3,FALSE),"")</f>
        <v/>
      </c>
      <c r="AX60" s="17" t="str">
        <f>IFERROR(VLOOKUP(シフト組み!AX90,役職一覧!$B:$D,3,FALSE),"")</f>
        <v/>
      </c>
      <c r="AY60" s="17" t="str">
        <f>IFERROR(VLOOKUP(シフト組み!AY90,役職一覧!$B:$D,3,FALSE),"")</f>
        <v/>
      </c>
      <c r="AZ60" s="17" t="str">
        <f>IFERROR(VLOOKUP(シフト組み!AZ90,役職一覧!$B:$D,3,FALSE),"")</f>
        <v/>
      </c>
      <c r="BA60" s="17" t="str">
        <f>IFERROR(VLOOKUP(シフト組み!BA90,役職一覧!$B:$D,3,FALSE),"")</f>
        <v/>
      </c>
    </row>
    <row r="61" spans="1:53">
      <c r="A61" s="2" t="str">
        <f>シフト組み!A91&amp;""</f>
        <v/>
      </c>
      <c r="B61" s="2" t="str">
        <f>シフト組み!B91&amp;""</f>
        <v/>
      </c>
      <c r="C61" s="2" t="str">
        <f>シフト組み!C91&amp;""</f>
        <v/>
      </c>
      <c r="D61" s="17" t="str">
        <f>IFERROR(VLOOKUP(シフト組み!D91,役職一覧!$B:$D,2,FALSE),"")</f>
        <v/>
      </c>
      <c r="E61" s="17" t="str">
        <f>IFERROR(VLOOKUP(シフト組み!E91,役職一覧!$B:$D,2,FALSE),"")</f>
        <v/>
      </c>
      <c r="F61" s="17" t="str">
        <f>IFERROR(VLOOKUP(シフト組み!F91,役職一覧!$B:$D,2,FALSE),"")</f>
        <v/>
      </c>
      <c r="G61" s="17" t="str">
        <f>IFERROR(VLOOKUP(シフト組み!G91,役職一覧!$B:$D,2,FALSE),"")</f>
        <v/>
      </c>
      <c r="H61" s="17" t="str">
        <f>IFERROR(VLOOKUP(シフト組み!H91,役職一覧!$B:$D,2,FALSE),"")</f>
        <v/>
      </c>
      <c r="I61" s="17" t="str">
        <f>IFERROR(VLOOKUP(シフト組み!I91,役職一覧!$B:$D,2,FALSE),"")</f>
        <v/>
      </c>
      <c r="J61" s="17" t="str">
        <f>IFERROR(VLOOKUP(シフト組み!J91,役職一覧!$B:$D,2,FALSE),"")</f>
        <v/>
      </c>
      <c r="K61" s="17" t="str">
        <f>IFERROR(VLOOKUP(シフト組み!K91,役職一覧!$B:$D,2,FALSE),"")</f>
        <v/>
      </c>
      <c r="L61" s="17" t="str">
        <f>IFERROR(VLOOKUP(シフト組み!L91,役職一覧!$B:$D,2,FALSE),"")</f>
        <v/>
      </c>
      <c r="M61" s="17" t="str">
        <f>IFERROR(VLOOKUP(シフト組み!M91,役職一覧!$B:$D,2,FALSE),"")</f>
        <v/>
      </c>
      <c r="N61" s="17" t="str">
        <f>IFERROR(VLOOKUP(シフト組み!N91,役職一覧!$B:$D,2,FALSE),"")</f>
        <v/>
      </c>
      <c r="O61" s="17" t="str">
        <f>IFERROR(VLOOKUP(シフト組み!O91,役職一覧!$B:$D,2,FALSE),"")</f>
        <v/>
      </c>
      <c r="P61" s="17" t="str">
        <f>IFERROR(VLOOKUP(シフト組み!P91,役職一覧!$B:$D,2,FALSE),"")</f>
        <v/>
      </c>
      <c r="Q61" s="17" t="str">
        <f>IFERROR(VLOOKUP(シフト組み!Q91,役職一覧!$B:$D,2,FALSE),"")</f>
        <v/>
      </c>
      <c r="R61" s="17" t="str">
        <f>IFERROR(VLOOKUP(シフト組み!R91,役職一覧!$B:$D,2,FALSE),"")</f>
        <v/>
      </c>
      <c r="S61" s="17" t="str">
        <f>IFERROR(VLOOKUP(シフト組み!S91,役職一覧!$B:$D,2,FALSE),"")</f>
        <v/>
      </c>
      <c r="T61" s="17" t="str">
        <f>IFERROR(VLOOKUP(シフト組み!T91,役職一覧!$B:$D,2,FALSE),"")</f>
        <v/>
      </c>
      <c r="U61" s="17" t="str">
        <f>IFERROR(VLOOKUP(シフト組み!U91,役職一覧!$B:$D,2,FALSE),"")</f>
        <v/>
      </c>
      <c r="V61" s="17" t="str">
        <f>IFERROR(VLOOKUP(シフト組み!V91,役職一覧!$B:$D,2,FALSE),"")</f>
        <v/>
      </c>
      <c r="W61" s="17" t="str">
        <f>IFERROR(VLOOKUP(シフト組み!W91,役職一覧!$B:$D,2,FALSE),"")</f>
        <v/>
      </c>
      <c r="X61" s="17" t="str">
        <f>IFERROR(VLOOKUP(シフト組み!X91,役職一覧!$B:$D,2,FALSE),"")</f>
        <v/>
      </c>
      <c r="Y61" s="17" t="str">
        <f>IFERROR(VLOOKUP(シフト組み!Y91,役職一覧!$B:$D,2,FALSE),"")</f>
        <v/>
      </c>
      <c r="Z61" s="17" t="str">
        <f>IFERROR(VLOOKUP(シフト組み!Z91,役職一覧!$B:$D,2,FALSE),"")</f>
        <v/>
      </c>
      <c r="AA61" s="17" t="str">
        <f>IFERROR(VLOOKUP(シフト組み!AA91,役職一覧!$B:$D,2,FALSE),"")</f>
        <v/>
      </c>
      <c r="AB61" s="17" t="str">
        <f>IFERROR(VLOOKUP(シフト組み!AB91,役職一覧!$B:$D,2,FALSE),"")</f>
        <v/>
      </c>
      <c r="AC61" s="17" t="str">
        <f>IFERROR(VLOOKUP(シフト組み!AC91,役職一覧!$B:$D,2,FALSE),"")</f>
        <v/>
      </c>
      <c r="AD61" s="17" t="str">
        <f>IFERROR(VLOOKUP(シフト組み!AD91,役職一覧!$B:$D,2,FALSE),"")</f>
        <v/>
      </c>
      <c r="AE61" s="17" t="str">
        <f>IFERROR(VLOOKUP(シフト組み!AE91,役職一覧!$B:$D,2,FALSE),"")</f>
        <v/>
      </c>
      <c r="AF61" s="17" t="str">
        <f>IFERROR(VLOOKUP(シフト組み!AF91,役職一覧!$B:$D,2,FALSE),"")</f>
        <v/>
      </c>
      <c r="AG61" s="17" t="str">
        <f>IFERROR(VLOOKUP(シフト組み!AG91,役職一覧!$B:$D,2,FALSE),"")</f>
        <v/>
      </c>
      <c r="AH61" s="17" t="str">
        <f>IFERROR(VLOOKUP(シフト組み!AH91,役職一覧!$B:$D,3,FALSE),"")</f>
        <v/>
      </c>
      <c r="AI61" s="17" t="str">
        <f>IFERROR(VLOOKUP(シフト組み!AI91,役職一覧!$B:$D,3,FALSE),"")</f>
        <v/>
      </c>
      <c r="AJ61" s="17" t="str">
        <f>IFERROR(VLOOKUP(シフト組み!AJ91,役職一覧!$B:$D,3,FALSE),"")</f>
        <v/>
      </c>
      <c r="AK61" s="17" t="str">
        <f>IFERROR(VLOOKUP(シフト組み!AK91,役職一覧!$B:$D,3,FALSE),"")</f>
        <v/>
      </c>
      <c r="AL61" s="17" t="str">
        <f>IFERROR(VLOOKUP(シフト組み!AL91,役職一覧!$B:$D,3,FALSE),"")</f>
        <v/>
      </c>
      <c r="AM61" s="17" t="str">
        <f>IFERROR(VLOOKUP(シフト組み!AM91,役職一覧!$B:$D,3,FALSE),"")</f>
        <v/>
      </c>
      <c r="AN61" s="17" t="str">
        <f>IFERROR(VLOOKUP(シフト組み!AN91,役職一覧!$B:$D,3,FALSE),"")</f>
        <v/>
      </c>
      <c r="AO61" s="17" t="str">
        <f>IFERROR(VLOOKUP(シフト組み!AO91,役職一覧!$B:$D,3,FALSE),"")</f>
        <v/>
      </c>
      <c r="AP61" s="17" t="str">
        <f>IFERROR(VLOOKUP(シフト組み!AP91,役職一覧!$B:$D,3,FALSE),"")</f>
        <v/>
      </c>
      <c r="AQ61" s="17" t="str">
        <f>IFERROR(VLOOKUP(シフト組み!AQ91,役職一覧!$B:$D,3,FALSE),"")</f>
        <v/>
      </c>
      <c r="AR61" s="17" t="str">
        <f>IFERROR(VLOOKUP(シフト組み!AR91,役職一覧!$B:$D,3,FALSE),"")</f>
        <v/>
      </c>
      <c r="AS61" s="17" t="str">
        <f>IFERROR(VLOOKUP(シフト組み!AS91,役職一覧!$B:$D,3,FALSE),"")</f>
        <v/>
      </c>
      <c r="AT61" s="17" t="str">
        <f>IFERROR(VLOOKUP(シフト組み!AT91,役職一覧!$B:$D,3,FALSE),"")</f>
        <v/>
      </c>
      <c r="AU61" s="17" t="str">
        <f>IFERROR(VLOOKUP(シフト組み!AU91,役職一覧!$B:$D,3,FALSE),"")</f>
        <v/>
      </c>
      <c r="AV61" s="17" t="str">
        <f>IFERROR(VLOOKUP(シフト組み!AV91,役職一覧!$B:$D,3,FALSE),"")</f>
        <v/>
      </c>
      <c r="AW61" s="17" t="str">
        <f>IFERROR(VLOOKUP(シフト組み!AW91,役職一覧!$B:$D,3,FALSE),"")</f>
        <v/>
      </c>
      <c r="AX61" s="17" t="str">
        <f>IFERROR(VLOOKUP(シフト組み!AX91,役職一覧!$B:$D,3,FALSE),"")</f>
        <v/>
      </c>
      <c r="AY61" s="17" t="str">
        <f>IFERROR(VLOOKUP(シフト組み!AY91,役職一覧!$B:$D,3,FALSE),"")</f>
        <v/>
      </c>
      <c r="AZ61" s="17" t="str">
        <f>IFERROR(VLOOKUP(シフト組み!AZ91,役職一覧!$B:$D,3,FALSE),"")</f>
        <v/>
      </c>
      <c r="BA61" s="17" t="str">
        <f>IFERROR(VLOOKUP(シフト組み!BA91,役職一覧!$B:$D,3,FALSE),"")</f>
        <v/>
      </c>
    </row>
    <row r="62" spans="1:53">
      <c r="A62" s="2" t="str">
        <f>シフト組み!A92&amp;""</f>
        <v/>
      </c>
      <c r="B62" s="2" t="str">
        <f>シフト組み!B92&amp;""</f>
        <v/>
      </c>
      <c r="C62" s="2" t="str">
        <f>シフト組み!C92&amp;""</f>
        <v/>
      </c>
      <c r="D62" s="17" t="str">
        <f>IFERROR(VLOOKUP(シフト組み!D92,役職一覧!$B:$D,2,FALSE),"")</f>
        <v/>
      </c>
      <c r="E62" s="17" t="str">
        <f>IFERROR(VLOOKUP(シフト組み!E92,役職一覧!$B:$D,2,FALSE),"")</f>
        <v/>
      </c>
      <c r="F62" s="17" t="str">
        <f>IFERROR(VLOOKUP(シフト組み!F92,役職一覧!$B:$D,2,FALSE),"")</f>
        <v/>
      </c>
      <c r="G62" s="17" t="str">
        <f>IFERROR(VLOOKUP(シフト組み!G92,役職一覧!$B:$D,2,FALSE),"")</f>
        <v/>
      </c>
      <c r="H62" s="17" t="str">
        <f>IFERROR(VLOOKUP(シフト組み!H92,役職一覧!$B:$D,2,FALSE),"")</f>
        <v/>
      </c>
      <c r="I62" s="17" t="str">
        <f>IFERROR(VLOOKUP(シフト組み!I92,役職一覧!$B:$D,2,FALSE),"")</f>
        <v/>
      </c>
      <c r="J62" s="17" t="str">
        <f>IFERROR(VLOOKUP(シフト組み!J92,役職一覧!$B:$D,2,FALSE),"")</f>
        <v/>
      </c>
      <c r="K62" s="17" t="str">
        <f>IFERROR(VLOOKUP(シフト組み!K92,役職一覧!$B:$D,2,FALSE),"")</f>
        <v/>
      </c>
      <c r="L62" s="17" t="str">
        <f>IFERROR(VLOOKUP(シフト組み!L92,役職一覧!$B:$D,2,FALSE),"")</f>
        <v/>
      </c>
      <c r="M62" s="17" t="str">
        <f>IFERROR(VLOOKUP(シフト組み!M92,役職一覧!$B:$D,2,FALSE),"")</f>
        <v/>
      </c>
      <c r="N62" s="17" t="str">
        <f>IFERROR(VLOOKUP(シフト組み!N92,役職一覧!$B:$D,2,FALSE),"")</f>
        <v/>
      </c>
      <c r="O62" s="17" t="str">
        <f>IFERROR(VLOOKUP(シフト組み!O92,役職一覧!$B:$D,2,FALSE),"")</f>
        <v/>
      </c>
      <c r="P62" s="17" t="str">
        <f>IFERROR(VLOOKUP(シフト組み!P92,役職一覧!$B:$D,2,FALSE),"")</f>
        <v/>
      </c>
      <c r="Q62" s="17" t="str">
        <f>IFERROR(VLOOKUP(シフト組み!Q92,役職一覧!$B:$D,2,FALSE),"")</f>
        <v/>
      </c>
      <c r="R62" s="17" t="str">
        <f>IFERROR(VLOOKUP(シフト組み!R92,役職一覧!$B:$D,2,FALSE),"")</f>
        <v/>
      </c>
      <c r="S62" s="17" t="str">
        <f>IFERROR(VLOOKUP(シフト組み!S92,役職一覧!$B:$D,2,FALSE),"")</f>
        <v/>
      </c>
      <c r="T62" s="17" t="str">
        <f>IFERROR(VLOOKUP(シフト組み!T92,役職一覧!$B:$D,2,FALSE),"")</f>
        <v/>
      </c>
      <c r="U62" s="17" t="str">
        <f>IFERROR(VLOOKUP(シフト組み!U92,役職一覧!$B:$D,2,FALSE),"")</f>
        <v/>
      </c>
      <c r="V62" s="17" t="str">
        <f>IFERROR(VLOOKUP(シフト組み!V92,役職一覧!$B:$D,2,FALSE),"")</f>
        <v/>
      </c>
      <c r="W62" s="17" t="str">
        <f>IFERROR(VLOOKUP(シフト組み!W92,役職一覧!$B:$D,2,FALSE),"")</f>
        <v/>
      </c>
      <c r="X62" s="17" t="str">
        <f>IFERROR(VLOOKUP(シフト組み!X92,役職一覧!$B:$D,2,FALSE),"")</f>
        <v/>
      </c>
      <c r="Y62" s="17" t="str">
        <f>IFERROR(VLOOKUP(シフト組み!Y92,役職一覧!$B:$D,2,FALSE),"")</f>
        <v/>
      </c>
      <c r="Z62" s="17" t="str">
        <f>IFERROR(VLOOKUP(シフト組み!Z92,役職一覧!$B:$D,2,FALSE),"")</f>
        <v/>
      </c>
      <c r="AA62" s="17" t="str">
        <f>IFERROR(VLOOKUP(シフト組み!AA92,役職一覧!$B:$D,2,FALSE),"")</f>
        <v/>
      </c>
      <c r="AB62" s="17" t="str">
        <f>IFERROR(VLOOKUP(シフト組み!AB92,役職一覧!$B:$D,2,FALSE),"")</f>
        <v/>
      </c>
      <c r="AC62" s="17" t="str">
        <f>IFERROR(VLOOKUP(シフト組み!AC92,役職一覧!$B:$D,2,FALSE),"")</f>
        <v/>
      </c>
      <c r="AD62" s="17" t="str">
        <f>IFERROR(VLOOKUP(シフト組み!AD92,役職一覧!$B:$D,2,FALSE),"")</f>
        <v/>
      </c>
      <c r="AE62" s="17" t="str">
        <f>IFERROR(VLOOKUP(シフト組み!AE92,役職一覧!$B:$D,2,FALSE),"")</f>
        <v/>
      </c>
      <c r="AF62" s="17" t="str">
        <f>IFERROR(VLOOKUP(シフト組み!AF92,役職一覧!$B:$D,2,FALSE),"")</f>
        <v/>
      </c>
      <c r="AG62" s="17" t="str">
        <f>IFERROR(VLOOKUP(シフト組み!AG92,役職一覧!$B:$D,2,FALSE),"")</f>
        <v/>
      </c>
      <c r="AH62" s="17" t="str">
        <f>IFERROR(VLOOKUP(シフト組み!AH92,役職一覧!$B:$D,3,FALSE),"")</f>
        <v/>
      </c>
      <c r="AI62" s="17" t="str">
        <f>IFERROR(VLOOKUP(シフト組み!AI92,役職一覧!$B:$D,3,FALSE),"")</f>
        <v/>
      </c>
      <c r="AJ62" s="17" t="str">
        <f>IFERROR(VLOOKUP(シフト組み!AJ92,役職一覧!$B:$D,3,FALSE),"")</f>
        <v/>
      </c>
      <c r="AK62" s="17" t="str">
        <f>IFERROR(VLOOKUP(シフト組み!AK92,役職一覧!$B:$D,3,FALSE),"")</f>
        <v/>
      </c>
      <c r="AL62" s="17" t="str">
        <f>IFERROR(VLOOKUP(シフト組み!AL92,役職一覧!$B:$D,3,FALSE),"")</f>
        <v/>
      </c>
      <c r="AM62" s="17" t="str">
        <f>IFERROR(VLOOKUP(シフト組み!AM92,役職一覧!$B:$D,3,FALSE),"")</f>
        <v/>
      </c>
      <c r="AN62" s="17" t="str">
        <f>IFERROR(VLOOKUP(シフト組み!AN92,役職一覧!$B:$D,3,FALSE),"")</f>
        <v/>
      </c>
      <c r="AO62" s="17" t="str">
        <f>IFERROR(VLOOKUP(シフト組み!AO92,役職一覧!$B:$D,3,FALSE),"")</f>
        <v/>
      </c>
      <c r="AP62" s="17" t="str">
        <f>IFERROR(VLOOKUP(シフト組み!AP92,役職一覧!$B:$D,3,FALSE),"")</f>
        <v/>
      </c>
      <c r="AQ62" s="17" t="str">
        <f>IFERROR(VLOOKUP(シフト組み!AQ92,役職一覧!$B:$D,3,FALSE),"")</f>
        <v/>
      </c>
      <c r="AR62" s="17" t="str">
        <f>IFERROR(VLOOKUP(シフト組み!AR92,役職一覧!$B:$D,3,FALSE),"")</f>
        <v/>
      </c>
      <c r="AS62" s="17" t="str">
        <f>IFERROR(VLOOKUP(シフト組み!AS92,役職一覧!$B:$D,3,FALSE),"")</f>
        <v/>
      </c>
      <c r="AT62" s="17" t="str">
        <f>IFERROR(VLOOKUP(シフト組み!AT92,役職一覧!$B:$D,3,FALSE),"")</f>
        <v/>
      </c>
      <c r="AU62" s="17" t="str">
        <f>IFERROR(VLOOKUP(シフト組み!AU92,役職一覧!$B:$D,3,FALSE),"")</f>
        <v/>
      </c>
      <c r="AV62" s="17" t="str">
        <f>IFERROR(VLOOKUP(シフト組み!AV92,役職一覧!$B:$D,3,FALSE),"")</f>
        <v/>
      </c>
      <c r="AW62" s="17" t="str">
        <f>IFERROR(VLOOKUP(シフト組み!AW92,役職一覧!$B:$D,3,FALSE),"")</f>
        <v/>
      </c>
      <c r="AX62" s="17" t="str">
        <f>IFERROR(VLOOKUP(シフト組み!AX92,役職一覧!$B:$D,3,FALSE),"")</f>
        <v/>
      </c>
      <c r="AY62" s="17" t="str">
        <f>IFERROR(VLOOKUP(シフト組み!AY92,役職一覧!$B:$D,3,FALSE),"")</f>
        <v/>
      </c>
      <c r="AZ62" s="17" t="str">
        <f>IFERROR(VLOOKUP(シフト組み!AZ92,役職一覧!$B:$D,3,FALSE),"")</f>
        <v/>
      </c>
      <c r="BA62" s="17" t="str">
        <f>IFERROR(VLOOKUP(シフト組み!BA92,役職一覧!$B:$D,3,FALSE),"")</f>
        <v/>
      </c>
    </row>
    <row r="63" spans="1:53">
      <c r="A63" s="2" t="str">
        <f>シフト組み!A93&amp;""</f>
        <v/>
      </c>
      <c r="B63" s="2" t="str">
        <f>シフト組み!B93&amp;""</f>
        <v/>
      </c>
      <c r="C63" s="2" t="str">
        <f>シフト組み!C93&amp;""</f>
        <v/>
      </c>
      <c r="D63" s="17" t="str">
        <f>IFERROR(VLOOKUP(シフト組み!D93,役職一覧!$B:$D,2,FALSE),"")</f>
        <v/>
      </c>
      <c r="E63" s="17" t="str">
        <f>IFERROR(VLOOKUP(シフト組み!E93,役職一覧!$B:$D,2,FALSE),"")</f>
        <v/>
      </c>
      <c r="F63" s="17" t="str">
        <f>IFERROR(VLOOKUP(シフト組み!F93,役職一覧!$B:$D,2,FALSE),"")</f>
        <v/>
      </c>
      <c r="G63" s="17" t="str">
        <f>IFERROR(VLOOKUP(シフト組み!G93,役職一覧!$B:$D,2,FALSE),"")</f>
        <v/>
      </c>
      <c r="H63" s="17" t="str">
        <f>IFERROR(VLOOKUP(シフト組み!H93,役職一覧!$B:$D,2,FALSE),"")</f>
        <v/>
      </c>
      <c r="I63" s="17" t="str">
        <f>IFERROR(VLOOKUP(シフト組み!I93,役職一覧!$B:$D,2,FALSE),"")</f>
        <v/>
      </c>
      <c r="J63" s="17" t="str">
        <f>IFERROR(VLOOKUP(シフト組み!J93,役職一覧!$B:$D,2,FALSE),"")</f>
        <v/>
      </c>
      <c r="K63" s="17" t="str">
        <f>IFERROR(VLOOKUP(シフト組み!K93,役職一覧!$B:$D,2,FALSE),"")</f>
        <v/>
      </c>
      <c r="L63" s="17" t="str">
        <f>IFERROR(VLOOKUP(シフト組み!L93,役職一覧!$B:$D,2,FALSE),"")</f>
        <v/>
      </c>
      <c r="M63" s="17" t="str">
        <f>IFERROR(VLOOKUP(シフト組み!M93,役職一覧!$B:$D,2,FALSE),"")</f>
        <v/>
      </c>
      <c r="N63" s="17" t="str">
        <f>IFERROR(VLOOKUP(シフト組み!N93,役職一覧!$B:$D,2,FALSE),"")</f>
        <v/>
      </c>
      <c r="O63" s="17" t="str">
        <f>IFERROR(VLOOKUP(シフト組み!O93,役職一覧!$B:$D,2,FALSE),"")</f>
        <v/>
      </c>
      <c r="P63" s="17" t="str">
        <f>IFERROR(VLOOKUP(シフト組み!P93,役職一覧!$B:$D,2,FALSE),"")</f>
        <v/>
      </c>
      <c r="Q63" s="17" t="str">
        <f>IFERROR(VLOOKUP(シフト組み!Q93,役職一覧!$B:$D,2,FALSE),"")</f>
        <v/>
      </c>
      <c r="R63" s="17" t="str">
        <f>IFERROR(VLOOKUP(シフト組み!R93,役職一覧!$B:$D,2,FALSE),"")</f>
        <v/>
      </c>
      <c r="S63" s="17" t="str">
        <f>IFERROR(VLOOKUP(シフト組み!S93,役職一覧!$B:$D,2,FALSE),"")</f>
        <v/>
      </c>
      <c r="T63" s="17" t="str">
        <f>IFERROR(VLOOKUP(シフト組み!T93,役職一覧!$B:$D,2,FALSE),"")</f>
        <v/>
      </c>
      <c r="U63" s="17" t="str">
        <f>IFERROR(VLOOKUP(シフト組み!U93,役職一覧!$B:$D,2,FALSE),"")</f>
        <v/>
      </c>
      <c r="V63" s="17" t="str">
        <f>IFERROR(VLOOKUP(シフト組み!V93,役職一覧!$B:$D,2,FALSE),"")</f>
        <v/>
      </c>
      <c r="W63" s="17" t="str">
        <f>IFERROR(VLOOKUP(シフト組み!W93,役職一覧!$B:$D,2,FALSE),"")</f>
        <v/>
      </c>
      <c r="X63" s="17" t="str">
        <f>IFERROR(VLOOKUP(シフト組み!X93,役職一覧!$B:$D,2,FALSE),"")</f>
        <v/>
      </c>
      <c r="Y63" s="17" t="str">
        <f>IFERROR(VLOOKUP(シフト組み!Y93,役職一覧!$B:$D,2,FALSE),"")</f>
        <v/>
      </c>
      <c r="Z63" s="17" t="str">
        <f>IFERROR(VLOOKUP(シフト組み!Z93,役職一覧!$B:$D,2,FALSE),"")</f>
        <v/>
      </c>
      <c r="AA63" s="17" t="str">
        <f>IFERROR(VLOOKUP(シフト組み!AA93,役職一覧!$B:$D,2,FALSE),"")</f>
        <v/>
      </c>
      <c r="AB63" s="17" t="str">
        <f>IFERROR(VLOOKUP(シフト組み!AB93,役職一覧!$B:$D,2,FALSE),"")</f>
        <v/>
      </c>
      <c r="AC63" s="17" t="str">
        <f>IFERROR(VLOOKUP(シフト組み!AC93,役職一覧!$B:$D,2,FALSE),"")</f>
        <v/>
      </c>
      <c r="AD63" s="17" t="str">
        <f>IFERROR(VLOOKUP(シフト組み!AD93,役職一覧!$B:$D,2,FALSE),"")</f>
        <v/>
      </c>
      <c r="AE63" s="17" t="str">
        <f>IFERROR(VLOOKUP(シフト組み!AE93,役職一覧!$B:$D,2,FALSE),"")</f>
        <v/>
      </c>
      <c r="AF63" s="17" t="str">
        <f>IFERROR(VLOOKUP(シフト組み!AF93,役職一覧!$B:$D,2,FALSE),"")</f>
        <v/>
      </c>
      <c r="AG63" s="17" t="str">
        <f>IFERROR(VLOOKUP(シフト組み!AG93,役職一覧!$B:$D,2,FALSE),"")</f>
        <v/>
      </c>
      <c r="AH63" s="17" t="str">
        <f>IFERROR(VLOOKUP(シフト組み!AH93,役職一覧!$B:$D,3,FALSE),"")</f>
        <v/>
      </c>
      <c r="AI63" s="17" t="str">
        <f>IFERROR(VLOOKUP(シフト組み!AI93,役職一覧!$B:$D,3,FALSE),"")</f>
        <v/>
      </c>
      <c r="AJ63" s="17" t="str">
        <f>IFERROR(VLOOKUP(シフト組み!AJ93,役職一覧!$B:$D,3,FALSE),"")</f>
        <v/>
      </c>
      <c r="AK63" s="17" t="str">
        <f>IFERROR(VLOOKUP(シフト組み!AK93,役職一覧!$B:$D,3,FALSE),"")</f>
        <v/>
      </c>
      <c r="AL63" s="17" t="str">
        <f>IFERROR(VLOOKUP(シフト組み!AL93,役職一覧!$B:$D,3,FALSE),"")</f>
        <v/>
      </c>
      <c r="AM63" s="17" t="str">
        <f>IFERROR(VLOOKUP(シフト組み!AM93,役職一覧!$B:$D,3,FALSE),"")</f>
        <v/>
      </c>
      <c r="AN63" s="17" t="str">
        <f>IFERROR(VLOOKUP(シフト組み!AN93,役職一覧!$B:$D,3,FALSE),"")</f>
        <v/>
      </c>
      <c r="AO63" s="17" t="str">
        <f>IFERROR(VLOOKUP(シフト組み!AO93,役職一覧!$B:$D,3,FALSE),"")</f>
        <v/>
      </c>
      <c r="AP63" s="17" t="str">
        <f>IFERROR(VLOOKUP(シフト組み!AP93,役職一覧!$B:$D,3,FALSE),"")</f>
        <v/>
      </c>
      <c r="AQ63" s="17" t="str">
        <f>IFERROR(VLOOKUP(シフト組み!AQ93,役職一覧!$B:$D,3,FALSE),"")</f>
        <v/>
      </c>
      <c r="AR63" s="17" t="str">
        <f>IFERROR(VLOOKUP(シフト組み!AR93,役職一覧!$B:$D,3,FALSE),"")</f>
        <v/>
      </c>
      <c r="AS63" s="17" t="str">
        <f>IFERROR(VLOOKUP(シフト組み!AS93,役職一覧!$B:$D,3,FALSE),"")</f>
        <v/>
      </c>
      <c r="AT63" s="17" t="str">
        <f>IFERROR(VLOOKUP(シフト組み!AT93,役職一覧!$B:$D,3,FALSE),"")</f>
        <v/>
      </c>
      <c r="AU63" s="17" t="str">
        <f>IFERROR(VLOOKUP(シフト組み!AU93,役職一覧!$B:$D,3,FALSE),"")</f>
        <v/>
      </c>
      <c r="AV63" s="17" t="str">
        <f>IFERROR(VLOOKUP(シフト組み!AV93,役職一覧!$B:$D,3,FALSE),"")</f>
        <v/>
      </c>
      <c r="AW63" s="17" t="str">
        <f>IFERROR(VLOOKUP(シフト組み!AW93,役職一覧!$B:$D,3,FALSE),"")</f>
        <v/>
      </c>
      <c r="AX63" s="17" t="str">
        <f>IFERROR(VLOOKUP(シフト組み!AX93,役職一覧!$B:$D,3,FALSE),"")</f>
        <v/>
      </c>
      <c r="AY63" s="17" t="str">
        <f>IFERROR(VLOOKUP(シフト組み!AY93,役職一覧!$B:$D,3,FALSE),"")</f>
        <v/>
      </c>
      <c r="AZ63" s="17" t="str">
        <f>IFERROR(VLOOKUP(シフト組み!AZ93,役職一覧!$B:$D,3,FALSE),"")</f>
        <v/>
      </c>
      <c r="BA63" s="17" t="str">
        <f>IFERROR(VLOOKUP(シフト組み!BA93,役職一覧!$B:$D,3,FALSE),"")</f>
        <v/>
      </c>
    </row>
    <row r="64" spans="1:53">
      <c r="A64" s="2" t="str">
        <f>シフト組み!A94&amp;""</f>
        <v/>
      </c>
      <c r="B64" s="2" t="str">
        <f>シフト組み!B94&amp;""</f>
        <v/>
      </c>
      <c r="C64" s="2" t="str">
        <f>シフト組み!C94&amp;""</f>
        <v/>
      </c>
      <c r="D64" s="17" t="str">
        <f>IFERROR(VLOOKUP(シフト組み!D94,役職一覧!$B:$D,2,FALSE),"")</f>
        <v/>
      </c>
      <c r="E64" s="17" t="str">
        <f>IFERROR(VLOOKUP(シフト組み!E94,役職一覧!$B:$D,2,FALSE),"")</f>
        <v/>
      </c>
      <c r="F64" s="17" t="str">
        <f>IFERROR(VLOOKUP(シフト組み!F94,役職一覧!$B:$D,2,FALSE),"")</f>
        <v/>
      </c>
      <c r="G64" s="17" t="str">
        <f>IFERROR(VLOOKUP(シフト組み!G94,役職一覧!$B:$D,2,FALSE),"")</f>
        <v/>
      </c>
      <c r="H64" s="17" t="str">
        <f>IFERROR(VLOOKUP(シフト組み!H94,役職一覧!$B:$D,2,FALSE),"")</f>
        <v/>
      </c>
      <c r="I64" s="17" t="str">
        <f>IFERROR(VLOOKUP(シフト組み!I94,役職一覧!$B:$D,2,FALSE),"")</f>
        <v/>
      </c>
      <c r="J64" s="17" t="str">
        <f>IFERROR(VLOOKUP(シフト組み!J94,役職一覧!$B:$D,2,FALSE),"")</f>
        <v/>
      </c>
      <c r="K64" s="17" t="str">
        <f>IFERROR(VLOOKUP(シフト組み!K94,役職一覧!$B:$D,2,FALSE),"")</f>
        <v/>
      </c>
      <c r="L64" s="17" t="str">
        <f>IFERROR(VLOOKUP(シフト組み!L94,役職一覧!$B:$D,2,FALSE),"")</f>
        <v/>
      </c>
      <c r="M64" s="17" t="str">
        <f>IFERROR(VLOOKUP(シフト組み!M94,役職一覧!$B:$D,2,FALSE),"")</f>
        <v/>
      </c>
      <c r="N64" s="17" t="str">
        <f>IFERROR(VLOOKUP(シフト組み!N94,役職一覧!$B:$D,2,FALSE),"")</f>
        <v/>
      </c>
      <c r="O64" s="17" t="str">
        <f>IFERROR(VLOOKUP(シフト組み!O94,役職一覧!$B:$D,2,FALSE),"")</f>
        <v/>
      </c>
      <c r="P64" s="17" t="str">
        <f>IFERROR(VLOOKUP(シフト組み!P94,役職一覧!$B:$D,2,FALSE),"")</f>
        <v/>
      </c>
      <c r="Q64" s="17" t="str">
        <f>IFERROR(VLOOKUP(シフト組み!Q94,役職一覧!$B:$D,2,FALSE),"")</f>
        <v/>
      </c>
      <c r="R64" s="17" t="str">
        <f>IFERROR(VLOOKUP(シフト組み!R94,役職一覧!$B:$D,2,FALSE),"")</f>
        <v/>
      </c>
      <c r="S64" s="17" t="str">
        <f>IFERROR(VLOOKUP(シフト組み!S94,役職一覧!$B:$D,2,FALSE),"")</f>
        <v/>
      </c>
      <c r="T64" s="17" t="str">
        <f>IFERROR(VLOOKUP(シフト組み!T94,役職一覧!$B:$D,2,FALSE),"")</f>
        <v/>
      </c>
      <c r="U64" s="17" t="str">
        <f>IFERROR(VLOOKUP(シフト組み!U94,役職一覧!$B:$D,2,FALSE),"")</f>
        <v/>
      </c>
      <c r="V64" s="17" t="str">
        <f>IFERROR(VLOOKUP(シフト組み!V94,役職一覧!$B:$D,2,FALSE),"")</f>
        <v/>
      </c>
      <c r="W64" s="17" t="str">
        <f>IFERROR(VLOOKUP(シフト組み!W94,役職一覧!$B:$D,2,FALSE),"")</f>
        <v/>
      </c>
      <c r="X64" s="17" t="str">
        <f>IFERROR(VLOOKUP(シフト組み!X94,役職一覧!$B:$D,2,FALSE),"")</f>
        <v/>
      </c>
      <c r="Y64" s="17" t="str">
        <f>IFERROR(VLOOKUP(シフト組み!Y94,役職一覧!$B:$D,2,FALSE),"")</f>
        <v/>
      </c>
      <c r="Z64" s="17" t="str">
        <f>IFERROR(VLOOKUP(シフト組み!Z94,役職一覧!$B:$D,2,FALSE),"")</f>
        <v/>
      </c>
      <c r="AA64" s="17" t="str">
        <f>IFERROR(VLOOKUP(シフト組み!AA94,役職一覧!$B:$D,2,FALSE),"")</f>
        <v/>
      </c>
      <c r="AB64" s="17" t="str">
        <f>IFERROR(VLOOKUP(シフト組み!AB94,役職一覧!$B:$D,2,FALSE),"")</f>
        <v/>
      </c>
      <c r="AC64" s="17" t="str">
        <f>IFERROR(VLOOKUP(シフト組み!AC94,役職一覧!$B:$D,2,FALSE),"")</f>
        <v/>
      </c>
      <c r="AD64" s="17" t="str">
        <f>IFERROR(VLOOKUP(シフト組み!AD94,役職一覧!$B:$D,2,FALSE),"")</f>
        <v/>
      </c>
      <c r="AE64" s="17" t="str">
        <f>IFERROR(VLOOKUP(シフト組み!AE94,役職一覧!$B:$D,2,FALSE),"")</f>
        <v/>
      </c>
      <c r="AF64" s="17" t="str">
        <f>IFERROR(VLOOKUP(シフト組み!AF94,役職一覧!$B:$D,2,FALSE),"")</f>
        <v/>
      </c>
      <c r="AG64" s="17" t="str">
        <f>IFERROR(VLOOKUP(シフト組み!AG94,役職一覧!$B:$D,2,FALSE),"")</f>
        <v/>
      </c>
      <c r="AH64" s="17" t="str">
        <f>IFERROR(VLOOKUP(シフト組み!AH94,役職一覧!$B:$D,3,FALSE),"")</f>
        <v/>
      </c>
      <c r="AI64" s="17" t="str">
        <f>IFERROR(VLOOKUP(シフト組み!AI94,役職一覧!$B:$D,3,FALSE),"")</f>
        <v/>
      </c>
      <c r="AJ64" s="17" t="str">
        <f>IFERROR(VLOOKUP(シフト組み!AJ94,役職一覧!$B:$D,3,FALSE),"")</f>
        <v/>
      </c>
      <c r="AK64" s="17" t="str">
        <f>IFERROR(VLOOKUP(シフト組み!AK94,役職一覧!$B:$D,3,FALSE),"")</f>
        <v/>
      </c>
      <c r="AL64" s="17" t="str">
        <f>IFERROR(VLOOKUP(シフト組み!AL94,役職一覧!$B:$D,3,FALSE),"")</f>
        <v/>
      </c>
      <c r="AM64" s="17" t="str">
        <f>IFERROR(VLOOKUP(シフト組み!AM94,役職一覧!$B:$D,3,FALSE),"")</f>
        <v/>
      </c>
      <c r="AN64" s="17" t="str">
        <f>IFERROR(VLOOKUP(シフト組み!AN94,役職一覧!$B:$D,3,FALSE),"")</f>
        <v/>
      </c>
      <c r="AO64" s="17" t="str">
        <f>IFERROR(VLOOKUP(シフト組み!AO94,役職一覧!$B:$D,3,FALSE),"")</f>
        <v/>
      </c>
      <c r="AP64" s="17" t="str">
        <f>IFERROR(VLOOKUP(シフト組み!AP94,役職一覧!$B:$D,3,FALSE),"")</f>
        <v/>
      </c>
      <c r="AQ64" s="17" t="str">
        <f>IFERROR(VLOOKUP(シフト組み!AQ94,役職一覧!$B:$D,3,FALSE),"")</f>
        <v/>
      </c>
      <c r="AR64" s="17" t="str">
        <f>IFERROR(VLOOKUP(シフト組み!AR94,役職一覧!$B:$D,3,FALSE),"")</f>
        <v/>
      </c>
      <c r="AS64" s="17" t="str">
        <f>IFERROR(VLOOKUP(シフト組み!AS94,役職一覧!$B:$D,3,FALSE),"")</f>
        <v/>
      </c>
      <c r="AT64" s="17" t="str">
        <f>IFERROR(VLOOKUP(シフト組み!AT94,役職一覧!$B:$D,3,FALSE),"")</f>
        <v/>
      </c>
      <c r="AU64" s="17" t="str">
        <f>IFERROR(VLOOKUP(シフト組み!AU94,役職一覧!$B:$D,3,FALSE),"")</f>
        <v/>
      </c>
      <c r="AV64" s="17" t="str">
        <f>IFERROR(VLOOKUP(シフト組み!AV94,役職一覧!$B:$D,3,FALSE),"")</f>
        <v/>
      </c>
      <c r="AW64" s="17" t="str">
        <f>IFERROR(VLOOKUP(シフト組み!AW94,役職一覧!$B:$D,3,FALSE),"")</f>
        <v/>
      </c>
      <c r="AX64" s="17" t="str">
        <f>IFERROR(VLOOKUP(シフト組み!AX94,役職一覧!$B:$D,3,FALSE),"")</f>
        <v/>
      </c>
      <c r="AY64" s="17" t="str">
        <f>IFERROR(VLOOKUP(シフト組み!AY94,役職一覧!$B:$D,3,FALSE),"")</f>
        <v/>
      </c>
      <c r="AZ64" s="17" t="str">
        <f>IFERROR(VLOOKUP(シフト組み!AZ94,役職一覧!$B:$D,3,FALSE),"")</f>
        <v/>
      </c>
      <c r="BA64" s="17" t="str">
        <f>IFERROR(VLOOKUP(シフト組み!BA94,役職一覧!$B:$D,3,FALSE),"")</f>
        <v/>
      </c>
    </row>
    <row r="65" spans="1:53">
      <c r="A65" s="2" t="str">
        <f>シフト組み!A95&amp;""</f>
        <v/>
      </c>
      <c r="B65" s="2" t="str">
        <f>シフト組み!B95&amp;""</f>
        <v/>
      </c>
      <c r="C65" s="2" t="str">
        <f>シフト組み!C95&amp;""</f>
        <v/>
      </c>
      <c r="D65" s="17" t="str">
        <f>IFERROR(VLOOKUP(シフト組み!D95,役職一覧!$B:$D,2,FALSE),"")</f>
        <v/>
      </c>
      <c r="E65" s="17" t="str">
        <f>IFERROR(VLOOKUP(シフト組み!E95,役職一覧!$B:$D,2,FALSE),"")</f>
        <v/>
      </c>
      <c r="F65" s="17" t="str">
        <f>IFERROR(VLOOKUP(シフト組み!F95,役職一覧!$B:$D,2,FALSE),"")</f>
        <v/>
      </c>
      <c r="G65" s="17" t="str">
        <f>IFERROR(VLOOKUP(シフト組み!G95,役職一覧!$B:$D,2,FALSE),"")</f>
        <v/>
      </c>
      <c r="H65" s="17" t="str">
        <f>IFERROR(VLOOKUP(シフト組み!H95,役職一覧!$B:$D,2,FALSE),"")</f>
        <v/>
      </c>
      <c r="I65" s="17" t="str">
        <f>IFERROR(VLOOKUP(シフト組み!I95,役職一覧!$B:$D,2,FALSE),"")</f>
        <v/>
      </c>
      <c r="J65" s="17" t="str">
        <f>IFERROR(VLOOKUP(シフト組み!J95,役職一覧!$B:$D,2,FALSE),"")</f>
        <v/>
      </c>
      <c r="K65" s="17" t="str">
        <f>IFERROR(VLOOKUP(シフト組み!K95,役職一覧!$B:$D,2,FALSE),"")</f>
        <v/>
      </c>
      <c r="L65" s="17" t="str">
        <f>IFERROR(VLOOKUP(シフト組み!L95,役職一覧!$B:$D,2,FALSE),"")</f>
        <v/>
      </c>
      <c r="M65" s="17" t="str">
        <f>IFERROR(VLOOKUP(シフト組み!M95,役職一覧!$B:$D,2,FALSE),"")</f>
        <v/>
      </c>
      <c r="N65" s="17" t="str">
        <f>IFERROR(VLOOKUP(シフト組み!N95,役職一覧!$B:$D,2,FALSE),"")</f>
        <v/>
      </c>
      <c r="O65" s="17" t="str">
        <f>IFERROR(VLOOKUP(シフト組み!O95,役職一覧!$B:$D,2,FALSE),"")</f>
        <v/>
      </c>
      <c r="P65" s="17" t="str">
        <f>IFERROR(VLOOKUP(シフト組み!P95,役職一覧!$B:$D,2,FALSE),"")</f>
        <v/>
      </c>
      <c r="Q65" s="17" t="str">
        <f>IFERROR(VLOOKUP(シフト組み!Q95,役職一覧!$B:$D,2,FALSE),"")</f>
        <v/>
      </c>
      <c r="R65" s="17" t="str">
        <f>IFERROR(VLOOKUP(シフト組み!R95,役職一覧!$B:$D,2,FALSE),"")</f>
        <v/>
      </c>
      <c r="S65" s="17" t="str">
        <f>IFERROR(VLOOKUP(シフト組み!S95,役職一覧!$B:$D,2,FALSE),"")</f>
        <v/>
      </c>
      <c r="T65" s="17" t="str">
        <f>IFERROR(VLOOKUP(シフト組み!T95,役職一覧!$B:$D,2,FALSE),"")</f>
        <v/>
      </c>
      <c r="U65" s="17" t="str">
        <f>IFERROR(VLOOKUP(シフト組み!U95,役職一覧!$B:$D,2,FALSE),"")</f>
        <v/>
      </c>
      <c r="V65" s="17" t="str">
        <f>IFERROR(VLOOKUP(シフト組み!V95,役職一覧!$B:$D,2,FALSE),"")</f>
        <v/>
      </c>
      <c r="W65" s="17" t="str">
        <f>IFERROR(VLOOKUP(シフト組み!W95,役職一覧!$B:$D,2,FALSE),"")</f>
        <v/>
      </c>
      <c r="X65" s="17" t="str">
        <f>IFERROR(VLOOKUP(シフト組み!X95,役職一覧!$B:$D,2,FALSE),"")</f>
        <v/>
      </c>
      <c r="Y65" s="17" t="str">
        <f>IFERROR(VLOOKUP(シフト組み!Y95,役職一覧!$B:$D,2,FALSE),"")</f>
        <v/>
      </c>
      <c r="Z65" s="17" t="str">
        <f>IFERROR(VLOOKUP(シフト組み!Z95,役職一覧!$B:$D,2,FALSE),"")</f>
        <v/>
      </c>
      <c r="AA65" s="17" t="str">
        <f>IFERROR(VLOOKUP(シフト組み!AA95,役職一覧!$B:$D,2,FALSE),"")</f>
        <v/>
      </c>
      <c r="AB65" s="17" t="str">
        <f>IFERROR(VLOOKUP(シフト組み!AB95,役職一覧!$B:$D,2,FALSE),"")</f>
        <v/>
      </c>
      <c r="AC65" s="17" t="str">
        <f>IFERROR(VLOOKUP(シフト組み!AC95,役職一覧!$B:$D,2,FALSE),"")</f>
        <v/>
      </c>
      <c r="AD65" s="17" t="str">
        <f>IFERROR(VLOOKUP(シフト組み!AD95,役職一覧!$B:$D,2,FALSE),"")</f>
        <v/>
      </c>
      <c r="AE65" s="17" t="str">
        <f>IFERROR(VLOOKUP(シフト組み!AE95,役職一覧!$B:$D,2,FALSE),"")</f>
        <v/>
      </c>
      <c r="AF65" s="17" t="str">
        <f>IFERROR(VLOOKUP(シフト組み!AF95,役職一覧!$B:$D,2,FALSE),"")</f>
        <v/>
      </c>
      <c r="AG65" s="17" t="str">
        <f>IFERROR(VLOOKUP(シフト組み!AG95,役職一覧!$B:$D,2,FALSE),"")</f>
        <v/>
      </c>
      <c r="AH65" s="17" t="str">
        <f>IFERROR(VLOOKUP(シフト組み!AH95,役職一覧!$B:$D,3,FALSE),"")</f>
        <v/>
      </c>
      <c r="AI65" s="17" t="str">
        <f>IFERROR(VLOOKUP(シフト組み!AI95,役職一覧!$B:$D,3,FALSE),"")</f>
        <v/>
      </c>
      <c r="AJ65" s="17" t="str">
        <f>IFERROR(VLOOKUP(シフト組み!AJ95,役職一覧!$B:$D,3,FALSE),"")</f>
        <v/>
      </c>
      <c r="AK65" s="17" t="str">
        <f>IFERROR(VLOOKUP(シフト組み!AK95,役職一覧!$B:$D,3,FALSE),"")</f>
        <v/>
      </c>
      <c r="AL65" s="17" t="str">
        <f>IFERROR(VLOOKUP(シフト組み!AL95,役職一覧!$B:$D,3,FALSE),"")</f>
        <v/>
      </c>
      <c r="AM65" s="17" t="str">
        <f>IFERROR(VLOOKUP(シフト組み!AM95,役職一覧!$B:$D,3,FALSE),"")</f>
        <v/>
      </c>
      <c r="AN65" s="17" t="str">
        <f>IFERROR(VLOOKUP(シフト組み!AN95,役職一覧!$B:$D,3,FALSE),"")</f>
        <v/>
      </c>
      <c r="AO65" s="17" t="str">
        <f>IFERROR(VLOOKUP(シフト組み!AO95,役職一覧!$B:$D,3,FALSE),"")</f>
        <v/>
      </c>
      <c r="AP65" s="17" t="str">
        <f>IFERROR(VLOOKUP(シフト組み!AP95,役職一覧!$B:$D,3,FALSE),"")</f>
        <v/>
      </c>
      <c r="AQ65" s="17" t="str">
        <f>IFERROR(VLOOKUP(シフト組み!AQ95,役職一覧!$B:$D,3,FALSE),"")</f>
        <v/>
      </c>
      <c r="AR65" s="17" t="str">
        <f>IFERROR(VLOOKUP(シフト組み!AR95,役職一覧!$B:$D,3,FALSE),"")</f>
        <v/>
      </c>
      <c r="AS65" s="17" t="str">
        <f>IFERROR(VLOOKUP(シフト組み!AS95,役職一覧!$B:$D,3,FALSE),"")</f>
        <v/>
      </c>
      <c r="AT65" s="17" t="str">
        <f>IFERROR(VLOOKUP(シフト組み!AT95,役職一覧!$B:$D,3,FALSE),"")</f>
        <v/>
      </c>
      <c r="AU65" s="17" t="str">
        <f>IFERROR(VLOOKUP(シフト組み!AU95,役職一覧!$B:$D,3,FALSE),"")</f>
        <v/>
      </c>
      <c r="AV65" s="17" t="str">
        <f>IFERROR(VLOOKUP(シフト組み!AV95,役職一覧!$B:$D,3,FALSE),"")</f>
        <v/>
      </c>
      <c r="AW65" s="17" t="str">
        <f>IFERROR(VLOOKUP(シフト組み!AW95,役職一覧!$B:$D,3,FALSE),"")</f>
        <v/>
      </c>
      <c r="AX65" s="17" t="str">
        <f>IFERROR(VLOOKUP(シフト組み!AX95,役職一覧!$B:$D,3,FALSE),"")</f>
        <v/>
      </c>
      <c r="AY65" s="17" t="str">
        <f>IFERROR(VLOOKUP(シフト組み!AY95,役職一覧!$B:$D,3,FALSE),"")</f>
        <v/>
      </c>
      <c r="AZ65" s="17" t="str">
        <f>IFERROR(VLOOKUP(シフト組み!AZ95,役職一覧!$B:$D,3,FALSE),"")</f>
        <v/>
      </c>
      <c r="BA65" s="17" t="str">
        <f>IFERROR(VLOOKUP(シフト組み!BA95,役職一覧!$B:$D,3,FALSE),"")</f>
        <v/>
      </c>
    </row>
    <row r="66" spans="1:53">
      <c r="A66" s="2" t="str">
        <f>シフト組み!A96&amp;""</f>
        <v/>
      </c>
      <c r="B66" s="2" t="str">
        <f>シフト組み!B96&amp;""</f>
        <v/>
      </c>
      <c r="C66" s="2" t="str">
        <f>シフト組み!C96&amp;""</f>
        <v/>
      </c>
      <c r="D66" s="17" t="str">
        <f>IFERROR(VLOOKUP(シフト組み!D96,役職一覧!$B:$D,2,FALSE),"")</f>
        <v/>
      </c>
      <c r="E66" s="17" t="str">
        <f>IFERROR(VLOOKUP(シフト組み!E96,役職一覧!$B:$D,2,FALSE),"")</f>
        <v/>
      </c>
      <c r="F66" s="17" t="str">
        <f>IFERROR(VLOOKUP(シフト組み!F96,役職一覧!$B:$D,2,FALSE),"")</f>
        <v/>
      </c>
      <c r="G66" s="17" t="str">
        <f>IFERROR(VLOOKUP(シフト組み!G96,役職一覧!$B:$D,2,FALSE),"")</f>
        <v/>
      </c>
      <c r="H66" s="17" t="str">
        <f>IFERROR(VLOOKUP(シフト組み!H96,役職一覧!$B:$D,2,FALSE),"")</f>
        <v/>
      </c>
      <c r="I66" s="17" t="str">
        <f>IFERROR(VLOOKUP(シフト組み!I96,役職一覧!$B:$D,2,FALSE),"")</f>
        <v/>
      </c>
      <c r="J66" s="17" t="str">
        <f>IFERROR(VLOOKUP(シフト組み!J96,役職一覧!$B:$D,2,FALSE),"")</f>
        <v/>
      </c>
      <c r="K66" s="17" t="str">
        <f>IFERROR(VLOOKUP(シフト組み!K96,役職一覧!$B:$D,2,FALSE),"")</f>
        <v/>
      </c>
      <c r="L66" s="17" t="str">
        <f>IFERROR(VLOOKUP(シフト組み!L96,役職一覧!$B:$D,2,FALSE),"")</f>
        <v/>
      </c>
      <c r="M66" s="17" t="str">
        <f>IFERROR(VLOOKUP(シフト組み!M96,役職一覧!$B:$D,2,FALSE),"")</f>
        <v/>
      </c>
      <c r="N66" s="17" t="str">
        <f>IFERROR(VLOOKUP(シフト組み!N96,役職一覧!$B:$D,2,FALSE),"")</f>
        <v/>
      </c>
      <c r="O66" s="17" t="str">
        <f>IFERROR(VLOOKUP(シフト組み!O96,役職一覧!$B:$D,2,FALSE),"")</f>
        <v/>
      </c>
      <c r="P66" s="17" t="str">
        <f>IFERROR(VLOOKUP(シフト組み!P96,役職一覧!$B:$D,2,FALSE),"")</f>
        <v/>
      </c>
      <c r="Q66" s="17" t="str">
        <f>IFERROR(VLOOKUP(シフト組み!Q96,役職一覧!$B:$D,2,FALSE),"")</f>
        <v/>
      </c>
      <c r="R66" s="17" t="str">
        <f>IFERROR(VLOOKUP(シフト組み!R96,役職一覧!$B:$D,2,FALSE),"")</f>
        <v/>
      </c>
      <c r="S66" s="17" t="str">
        <f>IFERROR(VLOOKUP(シフト組み!S96,役職一覧!$B:$D,2,FALSE),"")</f>
        <v/>
      </c>
      <c r="T66" s="17" t="str">
        <f>IFERROR(VLOOKUP(シフト組み!T96,役職一覧!$B:$D,2,FALSE),"")</f>
        <v/>
      </c>
      <c r="U66" s="17" t="str">
        <f>IFERROR(VLOOKUP(シフト組み!U96,役職一覧!$B:$D,2,FALSE),"")</f>
        <v/>
      </c>
      <c r="V66" s="17" t="str">
        <f>IFERROR(VLOOKUP(シフト組み!V96,役職一覧!$B:$D,2,FALSE),"")</f>
        <v/>
      </c>
      <c r="W66" s="17" t="str">
        <f>IFERROR(VLOOKUP(シフト組み!W96,役職一覧!$B:$D,2,FALSE),"")</f>
        <v/>
      </c>
      <c r="X66" s="17" t="str">
        <f>IFERROR(VLOOKUP(シフト組み!X96,役職一覧!$B:$D,2,FALSE),"")</f>
        <v/>
      </c>
      <c r="Y66" s="17" t="str">
        <f>IFERROR(VLOOKUP(シフト組み!Y96,役職一覧!$B:$D,2,FALSE),"")</f>
        <v/>
      </c>
      <c r="Z66" s="17" t="str">
        <f>IFERROR(VLOOKUP(シフト組み!Z96,役職一覧!$B:$D,2,FALSE),"")</f>
        <v/>
      </c>
      <c r="AA66" s="17" t="str">
        <f>IFERROR(VLOOKUP(シフト組み!AA96,役職一覧!$B:$D,2,FALSE),"")</f>
        <v/>
      </c>
      <c r="AB66" s="17" t="str">
        <f>IFERROR(VLOOKUP(シフト組み!AB96,役職一覧!$B:$D,2,FALSE),"")</f>
        <v/>
      </c>
      <c r="AC66" s="17" t="str">
        <f>IFERROR(VLOOKUP(シフト組み!AC96,役職一覧!$B:$D,2,FALSE),"")</f>
        <v/>
      </c>
      <c r="AD66" s="17" t="str">
        <f>IFERROR(VLOOKUP(シフト組み!AD96,役職一覧!$B:$D,2,FALSE),"")</f>
        <v/>
      </c>
      <c r="AE66" s="17" t="str">
        <f>IFERROR(VLOOKUP(シフト組み!AE96,役職一覧!$B:$D,2,FALSE),"")</f>
        <v/>
      </c>
      <c r="AF66" s="17" t="str">
        <f>IFERROR(VLOOKUP(シフト組み!AF96,役職一覧!$B:$D,2,FALSE),"")</f>
        <v/>
      </c>
      <c r="AG66" s="17" t="str">
        <f>IFERROR(VLOOKUP(シフト組み!AG96,役職一覧!$B:$D,2,FALSE),"")</f>
        <v/>
      </c>
      <c r="AH66" s="17" t="str">
        <f>IFERROR(VLOOKUP(シフト組み!AH96,役職一覧!$B:$D,3,FALSE),"")</f>
        <v/>
      </c>
      <c r="AI66" s="17" t="str">
        <f>IFERROR(VLOOKUP(シフト組み!AI96,役職一覧!$B:$D,3,FALSE),"")</f>
        <v/>
      </c>
      <c r="AJ66" s="17" t="str">
        <f>IFERROR(VLOOKUP(シフト組み!AJ96,役職一覧!$B:$D,3,FALSE),"")</f>
        <v/>
      </c>
      <c r="AK66" s="17" t="str">
        <f>IFERROR(VLOOKUP(シフト組み!AK96,役職一覧!$B:$D,3,FALSE),"")</f>
        <v/>
      </c>
      <c r="AL66" s="17" t="str">
        <f>IFERROR(VLOOKUP(シフト組み!AL96,役職一覧!$B:$D,3,FALSE),"")</f>
        <v/>
      </c>
      <c r="AM66" s="17" t="str">
        <f>IFERROR(VLOOKUP(シフト組み!AM96,役職一覧!$B:$D,3,FALSE),"")</f>
        <v/>
      </c>
      <c r="AN66" s="17" t="str">
        <f>IFERROR(VLOOKUP(シフト組み!AN96,役職一覧!$B:$D,3,FALSE),"")</f>
        <v/>
      </c>
      <c r="AO66" s="17" t="str">
        <f>IFERROR(VLOOKUP(シフト組み!AO96,役職一覧!$B:$D,3,FALSE),"")</f>
        <v/>
      </c>
      <c r="AP66" s="17" t="str">
        <f>IFERROR(VLOOKUP(シフト組み!AP96,役職一覧!$B:$D,3,FALSE),"")</f>
        <v/>
      </c>
      <c r="AQ66" s="17" t="str">
        <f>IFERROR(VLOOKUP(シフト組み!AQ96,役職一覧!$B:$D,3,FALSE),"")</f>
        <v/>
      </c>
      <c r="AR66" s="17" t="str">
        <f>IFERROR(VLOOKUP(シフト組み!AR96,役職一覧!$B:$D,3,FALSE),"")</f>
        <v/>
      </c>
      <c r="AS66" s="17" t="str">
        <f>IFERROR(VLOOKUP(シフト組み!AS96,役職一覧!$B:$D,3,FALSE),"")</f>
        <v/>
      </c>
      <c r="AT66" s="17" t="str">
        <f>IFERROR(VLOOKUP(シフト組み!AT96,役職一覧!$B:$D,3,FALSE),"")</f>
        <v/>
      </c>
      <c r="AU66" s="17" t="str">
        <f>IFERROR(VLOOKUP(シフト組み!AU96,役職一覧!$B:$D,3,FALSE),"")</f>
        <v/>
      </c>
      <c r="AV66" s="17" t="str">
        <f>IFERROR(VLOOKUP(シフト組み!AV96,役職一覧!$B:$D,3,FALSE),"")</f>
        <v/>
      </c>
      <c r="AW66" s="17" t="str">
        <f>IFERROR(VLOOKUP(シフト組み!AW96,役職一覧!$B:$D,3,FALSE),"")</f>
        <v/>
      </c>
      <c r="AX66" s="17" t="str">
        <f>IFERROR(VLOOKUP(シフト組み!AX96,役職一覧!$B:$D,3,FALSE),"")</f>
        <v/>
      </c>
      <c r="AY66" s="17" t="str">
        <f>IFERROR(VLOOKUP(シフト組み!AY96,役職一覧!$B:$D,3,FALSE),"")</f>
        <v/>
      </c>
      <c r="AZ66" s="17" t="str">
        <f>IFERROR(VLOOKUP(シフト組み!AZ96,役職一覧!$B:$D,3,FALSE),"")</f>
        <v/>
      </c>
      <c r="BA66" s="17" t="str">
        <f>IFERROR(VLOOKUP(シフト組み!BA96,役職一覧!$B:$D,3,FALSE),"")</f>
        <v/>
      </c>
    </row>
    <row r="67" spans="1:53">
      <c r="A67" s="2" t="str">
        <f>シフト組み!A97&amp;""</f>
        <v/>
      </c>
      <c r="B67" s="2" t="str">
        <f>シフト組み!B97&amp;""</f>
        <v/>
      </c>
      <c r="C67" s="2" t="str">
        <f>シフト組み!C97&amp;""</f>
        <v/>
      </c>
      <c r="D67" s="17" t="str">
        <f>IFERROR(VLOOKUP(シフト組み!D97,役職一覧!$B:$D,2,FALSE),"")</f>
        <v/>
      </c>
      <c r="E67" s="17" t="str">
        <f>IFERROR(VLOOKUP(シフト組み!E97,役職一覧!$B:$D,2,FALSE),"")</f>
        <v/>
      </c>
      <c r="F67" s="17" t="str">
        <f>IFERROR(VLOOKUP(シフト組み!F97,役職一覧!$B:$D,2,FALSE),"")</f>
        <v/>
      </c>
      <c r="G67" s="17" t="str">
        <f>IFERROR(VLOOKUP(シフト組み!G97,役職一覧!$B:$D,2,FALSE),"")</f>
        <v/>
      </c>
      <c r="H67" s="17" t="str">
        <f>IFERROR(VLOOKUP(シフト組み!H97,役職一覧!$B:$D,2,FALSE),"")</f>
        <v/>
      </c>
      <c r="I67" s="17" t="str">
        <f>IFERROR(VLOOKUP(シフト組み!I97,役職一覧!$B:$D,2,FALSE),"")</f>
        <v/>
      </c>
      <c r="J67" s="17" t="str">
        <f>IFERROR(VLOOKUP(シフト組み!J97,役職一覧!$B:$D,2,FALSE),"")</f>
        <v/>
      </c>
      <c r="K67" s="17" t="str">
        <f>IFERROR(VLOOKUP(シフト組み!K97,役職一覧!$B:$D,2,FALSE),"")</f>
        <v/>
      </c>
      <c r="L67" s="17" t="str">
        <f>IFERROR(VLOOKUP(シフト組み!L97,役職一覧!$B:$D,2,FALSE),"")</f>
        <v/>
      </c>
      <c r="M67" s="17" t="str">
        <f>IFERROR(VLOOKUP(シフト組み!M97,役職一覧!$B:$D,2,FALSE),"")</f>
        <v/>
      </c>
      <c r="N67" s="17" t="str">
        <f>IFERROR(VLOOKUP(シフト組み!N97,役職一覧!$B:$D,2,FALSE),"")</f>
        <v/>
      </c>
      <c r="O67" s="17" t="str">
        <f>IFERROR(VLOOKUP(シフト組み!O97,役職一覧!$B:$D,2,FALSE),"")</f>
        <v/>
      </c>
      <c r="P67" s="17" t="str">
        <f>IFERROR(VLOOKUP(シフト組み!P97,役職一覧!$B:$D,2,FALSE),"")</f>
        <v/>
      </c>
      <c r="Q67" s="17" t="str">
        <f>IFERROR(VLOOKUP(シフト組み!Q97,役職一覧!$B:$D,2,FALSE),"")</f>
        <v/>
      </c>
      <c r="R67" s="17" t="str">
        <f>IFERROR(VLOOKUP(シフト組み!R97,役職一覧!$B:$D,2,FALSE),"")</f>
        <v/>
      </c>
      <c r="S67" s="17" t="str">
        <f>IFERROR(VLOOKUP(シフト組み!S97,役職一覧!$B:$D,2,FALSE),"")</f>
        <v/>
      </c>
      <c r="T67" s="17" t="str">
        <f>IFERROR(VLOOKUP(シフト組み!T97,役職一覧!$B:$D,2,FALSE),"")</f>
        <v/>
      </c>
      <c r="U67" s="17" t="str">
        <f>IFERROR(VLOOKUP(シフト組み!U97,役職一覧!$B:$D,2,FALSE),"")</f>
        <v/>
      </c>
      <c r="V67" s="17" t="str">
        <f>IFERROR(VLOOKUP(シフト組み!V97,役職一覧!$B:$D,2,FALSE),"")</f>
        <v/>
      </c>
      <c r="W67" s="17" t="str">
        <f>IFERROR(VLOOKUP(シフト組み!W97,役職一覧!$B:$D,2,FALSE),"")</f>
        <v/>
      </c>
      <c r="X67" s="17" t="str">
        <f>IFERROR(VLOOKUP(シフト組み!X97,役職一覧!$B:$D,2,FALSE),"")</f>
        <v/>
      </c>
      <c r="Y67" s="17" t="str">
        <f>IFERROR(VLOOKUP(シフト組み!Y97,役職一覧!$B:$D,2,FALSE),"")</f>
        <v/>
      </c>
      <c r="Z67" s="17" t="str">
        <f>IFERROR(VLOOKUP(シフト組み!Z97,役職一覧!$B:$D,2,FALSE),"")</f>
        <v/>
      </c>
      <c r="AA67" s="17" t="str">
        <f>IFERROR(VLOOKUP(シフト組み!AA97,役職一覧!$B:$D,2,FALSE),"")</f>
        <v/>
      </c>
      <c r="AB67" s="17" t="str">
        <f>IFERROR(VLOOKUP(シフト組み!AB97,役職一覧!$B:$D,2,FALSE),"")</f>
        <v/>
      </c>
      <c r="AC67" s="17" t="str">
        <f>IFERROR(VLOOKUP(シフト組み!AC97,役職一覧!$B:$D,2,FALSE),"")</f>
        <v/>
      </c>
      <c r="AD67" s="17" t="str">
        <f>IFERROR(VLOOKUP(シフト組み!AD97,役職一覧!$B:$D,2,FALSE),"")</f>
        <v/>
      </c>
      <c r="AE67" s="17" t="str">
        <f>IFERROR(VLOOKUP(シフト組み!AE97,役職一覧!$B:$D,2,FALSE),"")</f>
        <v/>
      </c>
      <c r="AF67" s="17" t="str">
        <f>IFERROR(VLOOKUP(シフト組み!AF97,役職一覧!$B:$D,2,FALSE),"")</f>
        <v/>
      </c>
      <c r="AG67" s="17" t="str">
        <f>IFERROR(VLOOKUP(シフト組み!AG97,役職一覧!$B:$D,2,FALSE),"")</f>
        <v/>
      </c>
      <c r="AH67" s="17" t="str">
        <f>IFERROR(VLOOKUP(シフト組み!AH97,役職一覧!$B:$D,3,FALSE),"")</f>
        <v/>
      </c>
      <c r="AI67" s="17" t="str">
        <f>IFERROR(VLOOKUP(シフト組み!AI97,役職一覧!$B:$D,3,FALSE),"")</f>
        <v/>
      </c>
      <c r="AJ67" s="17" t="str">
        <f>IFERROR(VLOOKUP(シフト組み!AJ97,役職一覧!$B:$D,3,FALSE),"")</f>
        <v/>
      </c>
      <c r="AK67" s="17" t="str">
        <f>IFERROR(VLOOKUP(シフト組み!AK97,役職一覧!$B:$D,3,FALSE),"")</f>
        <v/>
      </c>
      <c r="AL67" s="17" t="str">
        <f>IFERROR(VLOOKUP(シフト組み!AL97,役職一覧!$B:$D,3,FALSE),"")</f>
        <v/>
      </c>
      <c r="AM67" s="17" t="str">
        <f>IFERROR(VLOOKUP(シフト組み!AM97,役職一覧!$B:$D,3,FALSE),"")</f>
        <v/>
      </c>
      <c r="AN67" s="17" t="str">
        <f>IFERROR(VLOOKUP(シフト組み!AN97,役職一覧!$B:$D,3,FALSE),"")</f>
        <v/>
      </c>
      <c r="AO67" s="17" t="str">
        <f>IFERROR(VLOOKUP(シフト組み!AO97,役職一覧!$B:$D,3,FALSE),"")</f>
        <v/>
      </c>
      <c r="AP67" s="17" t="str">
        <f>IFERROR(VLOOKUP(シフト組み!AP97,役職一覧!$B:$D,3,FALSE),"")</f>
        <v/>
      </c>
      <c r="AQ67" s="17" t="str">
        <f>IFERROR(VLOOKUP(シフト組み!AQ97,役職一覧!$B:$D,3,FALSE),"")</f>
        <v/>
      </c>
      <c r="AR67" s="17" t="str">
        <f>IFERROR(VLOOKUP(シフト組み!AR97,役職一覧!$B:$D,3,FALSE),"")</f>
        <v/>
      </c>
      <c r="AS67" s="17" t="str">
        <f>IFERROR(VLOOKUP(シフト組み!AS97,役職一覧!$B:$D,3,FALSE),"")</f>
        <v/>
      </c>
      <c r="AT67" s="17" t="str">
        <f>IFERROR(VLOOKUP(シフト組み!AT97,役職一覧!$B:$D,3,FALSE),"")</f>
        <v/>
      </c>
      <c r="AU67" s="17" t="str">
        <f>IFERROR(VLOOKUP(シフト組み!AU97,役職一覧!$B:$D,3,FALSE),"")</f>
        <v/>
      </c>
      <c r="AV67" s="17" t="str">
        <f>IFERROR(VLOOKUP(シフト組み!AV97,役職一覧!$B:$D,3,FALSE),"")</f>
        <v/>
      </c>
      <c r="AW67" s="17" t="str">
        <f>IFERROR(VLOOKUP(シフト組み!AW97,役職一覧!$B:$D,3,FALSE),"")</f>
        <v/>
      </c>
      <c r="AX67" s="17" t="str">
        <f>IFERROR(VLOOKUP(シフト組み!AX97,役職一覧!$B:$D,3,FALSE),"")</f>
        <v/>
      </c>
      <c r="AY67" s="17" t="str">
        <f>IFERROR(VLOOKUP(シフト組み!AY97,役職一覧!$B:$D,3,FALSE),"")</f>
        <v/>
      </c>
      <c r="AZ67" s="17" t="str">
        <f>IFERROR(VLOOKUP(シフト組み!AZ97,役職一覧!$B:$D,3,FALSE),"")</f>
        <v/>
      </c>
      <c r="BA67" s="17" t="str">
        <f>IFERROR(VLOOKUP(シフト組み!BA97,役職一覧!$B:$D,3,FALSE),"")</f>
        <v/>
      </c>
    </row>
    <row r="68" spans="1:53">
      <c r="A68" s="2" t="str">
        <f>シフト組み!A98&amp;""</f>
        <v/>
      </c>
      <c r="B68" s="2" t="str">
        <f>シフト組み!B98&amp;""</f>
        <v/>
      </c>
      <c r="C68" s="2" t="str">
        <f>シフト組み!C98&amp;""</f>
        <v/>
      </c>
      <c r="D68" s="17" t="str">
        <f>IFERROR(VLOOKUP(シフト組み!D98,役職一覧!$B:$D,2,FALSE),"")</f>
        <v/>
      </c>
      <c r="E68" s="17" t="str">
        <f>IFERROR(VLOOKUP(シフト組み!E98,役職一覧!$B:$D,2,FALSE),"")</f>
        <v/>
      </c>
      <c r="F68" s="17" t="str">
        <f>IFERROR(VLOOKUP(シフト組み!F98,役職一覧!$B:$D,2,FALSE),"")</f>
        <v/>
      </c>
      <c r="G68" s="17" t="str">
        <f>IFERROR(VLOOKUP(シフト組み!G98,役職一覧!$B:$D,2,FALSE),"")</f>
        <v/>
      </c>
      <c r="H68" s="17" t="str">
        <f>IFERROR(VLOOKUP(シフト組み!H98,役職一覧!$B:$D,2,FALSE),"")</f>
        <v/>
      </c>
      <c r="I68" s="17" t="str">
        <f>IFERROR(VLOOKUP(シフト組み!I98,役職一覧!$B:$D,2,FALSE),"")</f>
        <v/>
      </c>
      <c r="J68" s="17" t="str">
        <f>IFERROR(VLOOKUP(シフト組み!J98,役職一覧!$B:$D,2,FALSE),"")</f>
        <v/>
      </c>
      <c r="K68" s="17" t="str">
        <f>IFERROR(VLOOKUP(シフト組み!K98,役職一覧!$B:$D,2,FALSE),"")</f>
        <v/>
      </c>
      <c r="L68" s="17" t="str">
        <f>IFERROR(VLOOKUP(シフト組み!L98,役職一覧!$B:$D,2,FALSE),"")</f>
        <v/>
      </c>
      <c r="M68" s="17" t="str">
        <f>IFERROR(VLOOKUP(シフト組み!M98,役職一覧!$B:$D,2,FALSE),"")</f>
        <v/>
      </c>
      <c r="N68" s="17" t="str">
        <f>IFERROR(VLOOKUP(シフト組み!N98,役職一覧!$B:$D,2,FALSE),"")</f>
        <v/>
      </c>
      <c r="O68" s="17" t="str">
        <f>IFERROR(VLOOKUP(シフト組み!O98,役職一覧!$B:$D,2,FALSE),"")</f>
        <v/>
      </c>
      <c r="P68" s="17" t="str">
        <f>IFERROR(VLOOKUP(シフト組み!P98,役職一覧!$B:$D,2,FALSE),"")</f>
        <v/>
      </c>
      <c r="Q68" s="17" t="str">
        <f>IFERROR(VLOOKUP(シフト組み!Q98,役職一覧!$B:$D,2,FALSE),"")</f>
        <v/>
      </c>
      <c r="R68" s="17" t="str">
        <f>IFERROR(VLOOKUP(シフト組み!R98,役職一覧!$B:$D,2,FALSE),"")</f>
        <v/>
      </c>
      <c r="S68" s="17" t="str">
        <f>IFERROR(VLOOKUP(シフト組み!S98,役職一覧!$B:$D,2,FALSE),"")</f>
        <v/>
      </c>
      <c r="T68" s="17" t="str">
        <f>IFERROR(VLOOKUP(シフト組み!T98,役職一覧!$B:$D,2,FALSE),"")</f>
        <v/>
      </c>
      <c r="U68" s="17" t="str">
        <f>IFERROR(VLOOKUP(シフト組み!U98,役職一覧!$B:$D,2,FALSE),"")</f>
        <v/>
      </c>
      <c r="V68" s="17" t="str">
        <f>IFERROR(VLOOKUP(シフト組み!V98,役職一覧!$B:$D,2,FALSE),"")</f>
        <v/>
      </c>
      <c r="W68" s="17" t="str">
        <f>IFERROR(VLOOKUP(シフト組み!W98,役職一覧!$B:$D,2,FALSE),"")</f>
        <v/>
      </c>
      <c r="X68" s="17" t="str">
        <f>IFERROR(VLOOKUP(シフト組み!X98,役職一覧!$B:$D,2,FALSE),"")</f>
        <v/>
      </c>
      <c r="Y68" s="17" t="str">
        <f>IFERROR(VLOOKUP(シフト組み!Y98,役職一覧!$B:$D,2,FALSE),"")</f>
        <v/>
      </c>
      <c r="Z68" s="17" t="str">
        <f>IFERROR(VLOOKUP(シフト組み!Z98,役職一覧!$B:$D,2,FALSE),"")</f>
        <v/>
      </c>
      <c r="AA68" s="17" t="str">
        <f>IFERROR(VLOOKUP(シフト組み!AA98,役職一覧!$B:$D,2,FALSE),"")</f>
        <v/>
      </c>
      <c r="AB68" s="17" t="str">
        <f>IFERROR(VLOOKUP(シフト組み!AB98,役職一覧!$B:$D,2,FALSE),"")</f>
        <v/>
      </c>
      <c r="AC68" s="17" t="str">
        <f>IFERROR(VLOOKUP(シフト組み!AC98,役職一覧!$B:$D,2,FALSE),"")</f>
        <v/>
      </c>
      <c r="AD68" s="17" t="str">
        <f>IFERROR(VLOOKUP(シフト組み!AD98,役職一覧!$B:$D,2,FALSE),"")</f>
        <v/>
      </c>
      <c r="AE68" s="17" t="str">
        <f>IFERROR(VLOOKUP(シフト組み!AE98,役職一覧!$B:$D,2,FALSE),"")</f>
        <v/>
      </c>
      <c r="AF68" s="17" t="str">
        <f>IFERROR(VLOOKUP(シフト組み!AF98,役職一覧!$B:$D,2,FALSE),"")</f>
        <v/>
      </c>
      <c r="AG68" s="17" t="str">
        <f>IFERROR(VLOOKUP(シフト組み!AG98,役職一覧!$B:$D,2,FALSE),"")</f>
        <v/>
      </c>
      <c r="AH68" s="17" t="str">
        <f>IFERROR(VLOOKUP(シフト組み!AH98,役職一覧!$B:$D,3,FALSE),"")</f>
        <v/>
      </c>
      <c r="AI68" s="17" t="str">
        <f>IFERROR(VLOOKUP(シフト組み!AI98,役職一覧!$B:$D,3,FALSE),"")</f>
        <v/>
      </c>
      <c r="AJ68" s="17" t="str">
        <f>IFERROR(VLOOKUP(シフト組み!AJ98,役職一覧!$B:$D,3,FALSE),"")</f>
        <v/>
      </c>
      <c r="AK68" s="17" t="str">
        <f>IFERROR(VLOOKUP(シフト組み!AK98,役職一覧!$B:$D,3,FALSE),"")</f>
        <v/>
      </c>
      <c r="AL68" s="17" t="str">
        <f>IFERROR(VLOOKUP(シフト組み!AL98,役職一覧!$B:$D,3,FALSE),"")</f>
        <v/>
      </c>
      <c r="AM68" s="17" t="str">
        <f>IFERROR(VLOOKUP(シフト組み!AM98,役職一覧!$B:$D,3,FALSE),"")</f>
        <v/>
      </c>
      <c r="AN68" s="17" t="str">
        <f>IFERROR(VLOOKUP(シフト組み!AN98,役職一覧!$B:$D,3,FALSE),"")</f>
        <v/>
      </c>
      <c r="AO68" s="17" t="str">
        <f>IFERROR(VLOOKUP(シフト組み!AO98,役職一覧!$B:$D,3,FALSE),"")</f>
        <v/>
      </c>
      <c r="AP68" s="17" t="str">
        <f>IFERROR(VLOOKUP(シフト組み!AP98,役職一覧!$B:$D,3,FALSE),"")</f>
        <v/>
      </c>
      <c r="AQ68" s="17" t="str">
        <f>IFERROR(VLOOKUP(シフト組み!AQ98,役職一覧!$B:$D,3,FALSE),"")</f>
        <v/>
      </c>
      <c r="AR68" s="17" t="str">
        <f>IFERROR(VLOOKUP(シフト組み!AR98,役職一覧!$B:$D,3,FALSE),"")</f>
        <v/>
      </c>
      <c r="AS68" s="17" t="str">
        <f>IFERROR(VLOOKUP(シフト組み!AS98,役職一覧!$B:$D,3,FALSE),"")</f>
        <v/>
      </c>
      <c r="AT68" s="17" t="str">
        <f>IFERROR(VLOOKUP(シフト組み!AT98,役職一覧!$B:$D,3,FALSE),"")</f>
        <v/>
      </c>
      <c r="AU68" s="17" t="str">
        <f>IFERROR(VLOOKUP(シフト組み!AU98,役職一覧!$B:$D,3,FALSE),"")</f>
        <v/>
      </c>
      <c r="AV68" s="17" t="str">
        <f>IFERROR(VLOOKUP(シフト組み!AV98,役職一覧!$B:$D,3,FALSE),"")</f>
        <v/>
      </c>
      <c r="AW68" s="17" t="str">
        <f>IFERROR(VLOOKUP(シフト組み!AW98,役職一覧!$B:$D,3,FALSE),"")</f>
        <v/>
      </c>
      <c r="AX68" s="17" t="str">
        <f>IFERROR(VLOOKUP(シフト組み!AX98,役職一覧!$B:$D,3,FALSE),"")</f>
        <v/>
      </c>
      <c r="AY68" s="17" t="str">
        <f>IFERROR(VLOOKUP(シフト組み!AY98,役職一覧!$B:$D,3,FALSE),"")</f>
        <v/>
      </c>
      <c r="AZ68" s="17" t="str">
        <f>IFERROR(VLOOKUP(シフト組み!AZ98,役職一覧!$B:$D,3,FALSE),"")</f>
        <v/>
      </c>
      <c r="BA68" s="17" t="str">
        <f>IFERROR(VLOOKUP(シフト組み!BA98,役職一覧!$B:$D,3,FALSE),"")</f>
        <v/>
      </c>
    </row>
    <row r="69" spans="1:53">
      <c r="A69" s="2" t="str">
        <f>シフト組み!A99&amp;""</f>
        <v/>
      </c>
      <c r="B69" s="2" t="str">
        <f>シフト組み!B99&amp;""</f>
        <v/>
      </c>
      <c r="C69" s="2" t="str">
        <f>シフト組み!C99&amp;""</f>
        <v/>
      </c>
      <c r="D69" s="17" t="str">
        <f>IFERROR(VLOOKUP(シフト組み!D99,役職一覧!$B:$D,2,FALSE),"")</f>
        <v/>
      </c>
      <c r="E69" s="17" t="str">
        <f>IFERROR(VLOOKUP(シフト組み!E99,役職一覧!$B:$D,2,FALSE),"")</f>
        <v/>
      </c>
      <c r="F69" s="17" t="str">
        <f>IFERROR(VLOOKUP(シフト組み!F99,役職一覧!$B:$D,2,FALSE),"")</f>
        <v/>
      </c>
      <c r="G69" s="17" t="str">
        <f>IFERROR(VLOOKUP(シフト組み!G99,役職一覧!$B:$D,2,FALSE),"")</f>
        <v/>
      </c>
      <c r="H69" s="17" t="str">
        <f>IFERROR(VLOOKUP(シフト組み!H99,役職一覧!$B:$D,2,FALSE),"")</f>
        <v/>
      </c>
      <c r="I69" s="17" t="str">
        <f>IFERROR(VLOOKUP(シフト組み!I99,役職一覧!$B:$D,2,FALSE),"")</f>
        <v/>
      </c>
      <c r="J69" s="17" t="str">
        <f>IFERROR(VLOOKUP(シフト組み!J99,役職一覧!$B:$D,2,FALSE),"")</f>
        <v/>
      </c>
      <c r="K69" s="17" t="str">
        <f>IFERROR(VLOOKUP(シフト組み!K99,役職一覧!$B:$D,2,FALSE),"")</f>
        <v/>
      </c>
      <c r="L69" s="17" t="str">
        <f>IFERROR(VLOOKUP(シフト組み!L99,役職一覧!$B:$D,2,FALSE),"")</f>
        <v/>
      </c>
      <c r="M69" s="17" t="str">
        <f>IFERROR(VLOOKUP(シフト組み!M99,役職一覧!$B:$D,2,FALSE),"")</f>
        <v/>
      </c>
      <c r="N69" s="17" t="str">
        <f>IFERROR(VLOOKUP(シフト組み!N99,役職一覧!$B:$D,2,FALSE),"")</f>
        <v/>
      </c>
      <c r="O69" s="17" t="str">
        <f>IFERROR(VLOOKUP(シフト組み!O99,役職一覧!$B:$D,2,FALSE),"")</f>
        <v/>
      </c>
      <c r="P69" s="17" t="str">
        <f>IFERROR(VLOOKUP(シフト組み!P99,役職一覧!$B:$D,2,FALSE),"")</f>
        <v/>
      </c>
      <c r="Q69" s="17" t="str">
        <f>IFERROR(VLOOKUP(シフト組み!Q99,役職一覧!$B:$D,2,FALSE),"")</f>
        <v/>
      </c>
      <c r="R69" s="17" t="str">
        <f>IFERROR(VLOOKUP(シフト組み!R99,役職一覧!$B:$D,2,FALSE),"")</f>
        <v/>
      </c>
      <c r="S69" s="17" t="str">
        <f>IFERROR(VLOOKUP(シフト組み!S99,役職一覧!$B:$D,2,FALSE),"")</f>
        <v/>
      </c>
      <c r="T69" s="17" t="str">
        <f>IFERROR(VLOOKUP(シフト組み!T99,役職一覧!$B:$D,2,FALSE),"")</f>
        <v/>
      </c>
      <c r="U69" s="17" t="str">
        <f>IFERROR(VLOOKUP(シフト組み!U99,役職一覧!$B:$D,2,FALSE),"")</f>
        <v/>
      </c>
      <c r="V69" s="17" t="str">
        <f>IFERROR(VLOOKUP(シフト組み!V99,役職一覧!$B:$D,2,FALSE),"")</f>
        <v/>
      </c>
      <c r="W69" s="17" t="str">
        <f>IFERROR(VLOOKUP(シフト組み!W99,役職一覧!$B:$D,2,FALSE),"")</f>
        <v/>
      </c>
      <c r="X69" s="17" t="str">
        <f>IFERROR(VLOOKUP(シフト組み!X99,役職一覧!$B:$D,2,FALSE),"")</f>
        <v/>
      </c>
      <c r="Y69" s="17" t="str">
        <f>IFERROR(VLOOKUP(シフト組み!Y99,役職一覧!$B:$D,2,FALSE),"")</f>
        <v/>
      </c>
      <c r="Z69" s="17" t="str">
        <f>IFERROR(VLOOKUP(シフト組み!Z99,役職一覧!$B:$D,2,FALSE),"")</f>
        <v/>
      </c>
      <c r="AA69" s="17" t="str">
        <f>IFERROR(VLOOKUP(シフト組み!AA99,役職一覧!$B:$D,2,FALSE),"")</f>
        <v/>
      </c>
      <c r="AB69" s="17" t="str">
        <f>IFERROR(VLOOKUP(シフト組み!AB99,役職一覧!$B:$D,2,FALSE),"")</f>
        <v/>
      </c>
      <c r="AC69" s="17" t="str">
        <f>IFERROR(VLOOKUP(シフト組み!AC99,役職一覧!$B:$D,2,FALSE),"")</f>
        <v/>
      </c>
      <c r="AD69" s="17" t="str">
        <f>IFERROR(VLOOKUP(シフト組み!AD99,役職一覧!$B:$D,2,FALSE),"")</f>
        <v/>
      </c>
      <c r="AE69" s="17" t="str">
        <f>IFERROR(VLOOKUP(シフト組み!AE99,役職一覧!$B:$D,2,FALSE),"")</f>
        <v/>
      </c>
      <c r="AF69" s="17" t="str">
        <f>IFERROR(VLOOKUP(シフト組み!AF99,役職一覧!$B:$D,2,FALSE),"")</f>
        <v/>
      </c>
      <c r="AG69" s="17" t="str">
        <f>IFERROR(VLOOKUP(シフト組み!AG99,役職一覧!$B:$D,2,FALSE),"")</f>
        <v/>
      </c>
      <c r="AH69" s="17" t="str">
        <f>IFERROR(VLOOKUP(シフト組み!AH99,役職一覧!$B:$D,3,FALSE),"")</f>
        <v/>
      </c>
      <c r="AI69" s="17" t="str">
        <f>IFERROR(VLOOKUP(シフト組み!AI99,役職一覧!$B:$D,3,FALSE),"")</f>
        <v/>
      </c>
      <c r="AJ69" s="17" t="str">
        <f>IFERROR(VLOOKUP(シフト組み!AJ99,役職一覧!$B:$D,3,FALSE),"")</f>
        <v/>
      </c>
      <c r="AK69" s="17" t="str">
        <f>IFERROR(VLOOKUP(シフト組み!AK99,役職一覧!$B:$D,3,FALSE),"")</f>
        <v/>
      </c>
      <c r="AL69" s="17" t="str">
        <f>IFERROR(VLOOKUP(シフト組み!AL99,役職一覧!$B:$D,3,FALSE),"")</f>
        <v/>
      </c>
      <c r="AM69" s="17" t="str">
        <f>IFERROR(VLOOKUP(シフト組み!AM99,役職一覧!$B:$D,3,FALSE),"")</f>
        <v/>
      </c>
      <c r="AN69" s="17" t="str">
        <f>IFERROR(VLOOKUP(シフト組み!AN99,役職一覧!$B:$D,3,FALSE),"")</f>
        <v/>
      </c>
      <c r="AO69" s="17" t="str">
        <f>IFERROR(VLOOKUP(シフト組み!AO99,役職一覧!$B:$D,3,FALSE),"")</f>
        <v/>
      </c>
      <c r="AP69" s="17" t="str">
        <f>IFERROR(VLOOKUP(シフト組み!AP99,役職一覧!$B:$D,3,FALSE),"")</f>
        <v/>
      </c>
      <c r="AQ69" s="17" t="str">
        <f>IFERROR(VLOOKUP(シフト組み!AQ99,役職一覧!$B:$D,3,FALSE),"")</f>
        <v/>
      </c>
      <c r="AR69" s="17" t="str">
        <f>IFERROR(VLOOKUP(シフト組み!AR99,役職一覧!$B:$D,3,FALSE),"")</f>
        <v/>
      </c>
      <c r="AS69" s="17" t="str">
        <f>IFERROR(VLOOKUP(シフト組み!AS99,役職一覧!$B:$D,3,FALSE),"")</f>
        <v/>
      </c>
      <c r="AT69" s="17" t="str">
        <f>IFERROR(VLOOKUP(シフト組み!AT99,役職一覧!$B:$D,3,FALSE),"")</f>
        <v/>
      </c>
      <c r="AU69" s="17" t="str">
        <f>IFERROR(VLOOKUP(シフト組み!AU99,役職一覧!$B:$D,3,FALSE),"")</f>
        <v/>
      </c>
      <c r="AV69" s="17" t="str">
        <f>IFERROR(VLOOKUP(シフト組み!AV99,役職一覧!$B:$D,3,FALSE),"")</f>
        <v/>
      </c>
      <c r="AW69" s="17" t="str">
        <f>IFERROR(VLOOKUP(シフト組み!AW99,役職一覧!$B:$D,3,FALSE),"")</f>
        <v/>
      </c>
      <c r="AX69" s="17" t="str">
        <f>IFERROR(VLOOKUP(シフト組み!AX99,役職一覧!$B:$D,3,FALSE),"")</f>
        <v/>
      </c>
      <c r="AY69" s="17" t="str">
        <f>IFERROR(VLOOKUP(シフト組み!AY99,役職一覧!$B:$D,3,FALSE),"")</f>
        <v/>
      </c>
      <c r="AZ69" s="17" t="str">
        <f>IFERROR(VLOOKUP(シフト組み!AZ99,役職一覧!$B:$D,3,FALSE),"")</f>
        <v/>
      </c>
      <c r="BA69" s="17" t="str">
        <f>IFERROR(VLOOKUP(シフト組み!BA99,役職一覧!$B:$D,3,FALSE),"")</f>
        <v/>
      </c>
    </row>
    <row r="70" spans="1:53">
      <c r="A70" s="2" t="str">
        <f>シフト組み!A100&amp;""</f>
        <v/>
      </c>
      <c r="B70" s="2" t="str">
        <f>シフト組み!B100&amp;""</f>
        <v/>
      </c>
      <c r="C70" s="2" t="str">
        <f>シフト組み!C100&amp;""</f>
        <v/>
      </c>
      <c r="D70" s="17" t="str">
        <f>IFERROR(VLOOKUP(シフト組み!D100,役職一覧!$B:$D,2,FALSE),"")</f>
        <v/>
      </c>
      <c r="E70" s="17" t="str">
        <f>IFERROR(VLOOKUP(シフト組み!E100,役職一覧!$B:$D,2,FALSE),"")</f>
        <v/>
      </c>
      <c r="F70" s="17" t="str">
        <f>IFERROR(VLOOKUP(シフト組み!F100,役職一覧!$B:$D,2,FALSE),"")</f>
        <v/>
      </c>
      <c r="G70" s="17" t="str">
        <f>IFERROR(VLOOKUP(シフト組み!G100,役職一覧!$B:$D,2,FALSE),"")</f>
        <v/>
      </c>
      <c r="H70" s="17" t="str">
        <f>IFERROR(VLOOKUP(シフト組み!H100,役職一覧!$B:$D,2,FALSE),"")</f>
        <v/>
      </c>
      <c r="I70" s="17" t="str">
        <f>IFERROR(VLOOKUP(シフト組み!I100,役職一覧!$B:$D,2,FALSE),"")</f>
        <v/>
      </c>
      <c r="J70" s="17" t="str">
        <f>IFERROR(VLOOKUP(シフト組み!J100,役職一覧!$B:$D,2,FALSE),"")</f>
        <v/>
      </c>
      <c r="K70" s="17" t="str">
        <f>IFERROR(VLOOKUP(シフト組み!K100,役職一覧!$B:$D,2,FALSE),"")</f>
        <v/>
      </c>
      <c r="L70" s="17" t="str">
        <f>IFERROR(VLOOKUP(シフト組み!L100,役職一覧!$B:$D,2,FALSE),"")</f>
        <v/>
      </c>
      <c r="M70" s="17" t="str">
        <f>IFERROR(VLOOKUP(シフト組み!M100,役職一覧!$B:$D,2,FALSE),"")</f>
        <v/>
      </c>
      <c r="N70" s="17" t="str">
        <f>IFERROR(VLOOKUP(シフト組み!N100,役職一覧!$B:$D,2,FALSE),"")</f>
        <v/>
      </c>
      <c r="O70" s="17" t="str">
        <f>IFERROR(VLOOKUP(シフト組み!O100,役職一覧!$B:$D,2,FALSE),"")</f>
        <v/>
      </c>
      <c r="P70" s="17" t="str">
        <f>IFERROR(VLOOKUP(シフト組み!P100,役職一覧!$B:$D,2,FALSE),"")</f>
        <v/>
      </c>
      <c r="Q70" s="17" t="str">
        <f>IFERROR(VLOOKUP(シフト組み!Q100,役職一覧!$B:$D,2,FALSE),"")</f>
        <v/>
      </c>
      <c r="R70" s="17" t="str">
        <f>IFERROR(VLOOKUP(シフト組み!R100,役職一覧!$B:$D,2,FALSE),"")</f>
        <v/>
      </c>
      <c r="S70" s="17" t="str">
        <f>IFERROR(VLOOKUP(シフト組み!S100,役職一覧!$B:$D,2,FALSE),"")</f>
        <v/>
      </c>
      <c r="T70" s="17" t="str">
        <f>IFERROR(VLOOKUP(シフト組み!T100,役職一覧!$B:$D,2,FALSE),"")</f>
        <v/>
      </c>
      <c r="U70" s="17" t="str">
        <f>IFERROR(VLOOKUP(シフト組み!U100,役職一覧!$B:$D,2,FALSE),"")</f>
        <v/>
      </c>
      <c r="V70" s="17" t="str">
        <f>IFERROR(VLOOKUP(シフト組み!V100,役職一覧!$B:$D,2,FALSE),"")</f>
        <v/>
      </c>
      <c r="W70" s="17" t="str">
        <f>IFERROR(VLOOKUP(シフト組み!W100,役職一覧!$B:$D,2,FALSE),"")</f>
        <v/>
      </c>
      <c r="X70" s="17" t="str">
        <f>IFERROR(VLOOKUP(シフト組み!X100,役職一覧!$B:$D,2,FALSE),"")</f>
        <v/>
      </c>
      <c r="Y70" s="17" t="str">
        <f>IFERROR(VLOOKUP(シフト組み!Y100,役職一覧!$B:$D,2,FALSE),"")</f>
        <v/>
      </c>
      <c r="Z70" s="17" t="str">
        <f>IFERROR(VLOOKUP(シフト組み!Z100,役職一覧!$B:$D,2,FALSE),"")</f>
        <v/>
      </c>
      <c r="AA70" s="17" t="str">
        <f>IFERROR(VLOOKUP(シフト組み!AA100,役職一覧!$B:$D,2,FALSE),"")</f>
        <v/>
      </c>
      <c r="AB70" s="17" t="str">
        <f>IFERROR(VLOOKUP(シフト組み!AB100,役職一覧!$B:$D,2,FALSE),"")</f>
        <v/>
      </c>
      <c r="AC70" s="17" t="str">
        <f>IFERROR(VLOOKUP(シフト組み!AC100,役職一覧!$B:$D,2,FALSE),"")</f>
        <v/>
      </c>
      <c r="AD70" s="17" t="str">
        <f>IFERROR(VLOOKUP(シフト組み!AD100,役職一覧!$B:$D,2,FALSE),"")</f>
        <v/>
      </c>
      <c r="AE70" s="17" t="str">
        <f>IFERROR(VLOOKUP(シフト組み!AE100,役職一覧!$B:$D,2,FALSE),"")</f>
        <v/>
      </c>
      <c r="AF70" s="17" t="str">
        <f>IFERROR(VLOOKUP(シフト組み!AF100,役職一覧!$B:$D,2,FALSE),"")</f>
        <v/>
      </c>
      <c r="AG70" s="17" t="str">
        <f>IFERROR(VLOOKUP(シフト組み!AG100,役職一覧!$B:$D,2,FALSE),"")</f>
        <v/>
      </c>
      <c r="AH70" s="17" t="str">
        <f>IFERROR(VLOOKUP(シフト組み!AH100,役職一覧!$B:$D,3,FALSE),"")</f>
        <v/>
      </c>
      <c r="AI70" s="17" t="str">
        <f>IFERROR(VLOOKUP(シフト組み!AI100,役職一覧!$B:$D,3,FALSE),"")</f>
        <v/>
      </c>
      <c r="AJ70" s="17" t="str">
        <f>IFERROR(VLOOKUP(シフト組み!AJ100,役職一覧!$B:$D,3,FALSE),"")</f>
        <v/>
      </c>
      <c r="AK70" s="17" t="str">
        <f>IFERROR(VLOOKUP(シフト組み!AK100,役職一覧!$B:$D,3,FALSE),"")</f>
        <v/>
      </c>
      <c r="AL70" s="17" t="str">
        <f>IFERROR(VLOOKUP(シフト組み!AL100,役職一覧!$B:$D,3,FALSE),"")</f>
        <v/>
      </c>
      <c r="AM70" s="17" t="str">
        <f>IFERROR(VLOOKUP(シフト組み!AM100,役職一覧!$B:$D,3,FALSE),"")</f>
        <v/>
      </c>
      <c r="AN70" s="17" t="str">
        <f>IFERROR(VLOOKUP(シフト組み!AN100,役職一覧!$B:$D,3,FALSE),"")</f>
        <v/>
      </c>
      <c r="AO70" s="17" t="str">
        <f>IFERROR(VLOOKUP(シフト組み!AO100,役職一覧!$B:$D,3,FALSE),"")</f>
        <v/>
      </c>
      <c r="AP70" s="17" t="str">
        <f>IFERROR(VLOOKUP(シフト組み!AP100,役職一覧!$B:$D,3,FALSE),"")</f>
        <v/>
      </c>
      <c r="AQ70" s="17" t="str">
        <f>IFERROR(VLOOKUP(シフト組み!AQ100,役職一覧!$B:$D,3,FALSE),"")</f>
        <v/>
      </c>
      <c r="AR70" s="17" t="str">
        <f>IFERROR(VLOOKUP(シフト組み!AR100,役職一覧!$B:$D,3,FALSE),"")</f>
        <v/>
      </c>
      <c r="AS70" s="17" t="str">
        <f>IFERROR(VLOOKUP(シフト組み!AS100,役職一覧!$B:$D,3,FALSE),"")</f>
        <v/>
      </c>
      <c r="AT70" s="17" t="str">
        <f>IFERROR(VLOOKUP(シフト組み!AT100,役職一覧!$B:$D,3,FALSE),"")</f>
        <v/>
      </c>
      <c r="AU70" s="17" t="str">
        <f>IFERROR(VLOOKUP(シフト組み!AU100,役職一覧!$B:$D,3,FALSE),"")</f>
        <v/>
      </c>
      <c r="AV70" s="17" t="str">
        <f>IFERROR(VLOOKUP(シフト組み!AV100,役職一覧!$B:$D,3,FALSE),"")</f>
        <v/>
      </c>
      <c r="AW70" s="17" t="str">
        <f>IFERROR(VLOOKUP(シフト組み!AW100,役職一覧!$B:$D,3,FALSE),"")</f>
        <v/>
      </c>
      <c r="AX70" s="17" t="str">
        <f>IFERROR(VLOOKUP(シフト組み!AX100,役職一覧!$B:$D,3,FALSE),"")</f>
        <v/>
      </c>
      <c r="AY70" s="17" t="str">
        <f>IFERROR(VLOOKUP(シフト組み!AY100,役職一覧!$B:$D,3,FALSE),"")</f>
        <v/>
      </c>
      <c r="AZ70" s="17" t="str">
        <f>IFERROR(VLOOKUP(シフト組み!AZ100,役職一覧!$B:$D,3,FALSE),"")</f>
        <v/>
      </c>
      <c r="BA70" s="17" t="str">
        <f>IFERROR(VLOOKUP(シフト組み!BA100,役職一覧!$B:$D,3,FALSE),"")</f>
        <v/>
      </c>
    </row>
    <row r="71" spans="1:53">
      <c r="A71" s="2" t="str">
        <f>シフト組み!A101&amp;""</f>
        <v/>
      </c>
      <c r="B71" s="2" t="str">
        <f>シフト組み!B101&amp;""</f>
        <v/>
      </c>
      <c r="C71" s="2" t="str">
        <f>シフト組み!C101&amp;""</f>
        <v/>
      </c>
      <c r="D71" s="17" t="str">
        <f>IFERROR(VLOOKUP(シフト組み!D101,役職一覧!$B:$D,2,FALSE),"")</f>
        <v/>
      </c>
      <c r="E71" s="17" t="str">
        <f>IFERROR(VLOOKUP(シフト組み!E101,役職一覧!$B:$D,2,FALSE),"")</f>
        <v/>
      </c>
      <c r="F71" s="17" t="str">
        <f>IFERROR(VLOOKUP(シフト組み!F101,役職一覧!$B:$D,2,FALSE),"")</f>
        <v/>
      </c>
      <c r="G71" s="17" t="str">
        <f>IFERROR(VLOOKUP(シフト組み!G101,役職一覧!$B:$D,2,FALSE),"")</f>
        <v/>
      </c>
      <c r="H71" s="17" t="str">
        <f>IFERROR(VLOOKUP(シフト組み!H101,役職一覧!$B:$D,2,FALSE),"")</f>
        <v/>
      </c>
      <c r="I71" s="17" t="str">
        <f>IFERROR(VLOOKUP(シフト組み!I101,役職一覧!$B:$D,2,FALSE),"")</f>
        <v/>
      </c>
      <c r="J71" s="17" t="str">
        <f>IFERROR(VLOOKUP(シフト組み!J101,役職一覧!$B:$D,2,FALSE),"")</f>
        <v/>
      </c>
      <c r="K71" s="17" t="str">
        <f>IFERROR(VLOOKUP(シフト組み!K101,役職一覧!$B:$D,2,FALSE),"")</f>
        <v/>
      </c>
      <c r="L71" s="17" t="str">
        <f>IFERROR(VLOOKUP(シフト組み!L101,役職一覧!$B:$D,2,FALSE),"")</f>
        <v/>
      </c>
      <c r="M71" s="17" t="str">
        <f>IFERROR(VLOOKUP(シフト組み!M101,役職一覧!$B:$D,2,FALSE),"")</f>
        <v/>
      </c>
      <c r="N71" s="17" t="str">
        <f>IFERROR(VLOOKUP(シフト組み!N101,役職一覧!$B:$D,2,FALSE),"")</f>
        <v/>
      </c>
      <c r="O71" s="17" t="str">
        <f>IFERROR(VLOOKUP(シフト組み!O101,役職一覧!$B:$D,2,FALSE),"")</f>
        <v/>
      </c>
      <c r="P71" s="17" t="str">
        <f>IFERROR(VLOOKUP(シフト組み!P101,役職一覧!$B:$D,2,FALSE),"")</f>
        <v/>
      </c>
      <c r="Q71" s="17" t="str">
        <f>IFERROR(VLOOKUP(シフト組み!Q101,役職一覧!$B:$D,2,FALSE),"")</f>
        <v/>
      </c>
      <c r="R71" s="17" t="str">
        <f>IFERROR(VLOOKUP(シフト組み!R101,役職一覧!$B:$D,2,FALSE),"")</f>
        <v/>
      </c>
      <c r="S71" s="17" t="str">
        <f>IFERROR(VLOOKUP(シフト組み!S101,役職一覧!$B:$D,2,FALSE),"")</f>
        <v/>
      </c>
      <c r="T71" s="17" t="str">
        <f>IFERROR(VLOOKUP(シフト組み!T101,役職一覧!$B:$D,2,FALSE),"")</f>
        <v/>
      </c>
      <c r="U71" s="17" t="str">
        <f>IFERROR(VLOOKUP(シフト組み!U101,役職一覧!$B:$D,2,FALSE),"")</f>
        <v/>
      </c>
      <c r="V71" s="17" t="str">
        <f>IFERROR(VLOOKUP(シフト組み!V101,役職一覧!$B:$D,2,FALSE),"")</f>
        <v/>
      </c>
      <c r="W71" s="17" t="str">
        <f>IFERROR(VLOOKUP(シフト組み!W101,役職一覧!$B:$D,2,FALSE),"")</f>
        <v/>
      </c>
      <c r="X71" s="17" t="str">
        <f>IFERROR(VLOOKUP(シフト組み!X101,役職一覧!$B:$D,2,FALSE),"")</f>
        <v/>
      </c>
      <c r="Y71" s="17" t="str">
        <f>IFERROR(VLOOKUP(シフト組み!Y101,役職一覧!$B:$D,2,FALSE),"")</f>
        <v/>
      </c>
      <c r="Z71" s="17" t="str">
        <f>IFERROR(VLOOKUP(シフト組み!Z101,役職一覧!$B:$D,2,FALSE),"")</f>
        <v/>
      </c>
      <c r="AA71" s="17" t="str">
        <f>IFERROR(VLOOKUP(シフト組み!AA101,役職一覧!$B:$D,2,FALSE),"")</f>
        <v/>
      </c>
      <c r="AB71" s="17" t="str">
        <f>IFERROR(VLOOKUP(シフト組み!AB101,役職一覧!$B:$D,2,FALSE),"")</f>
        <v/>
      </c>
      <c r="AC71" s="17" t="str">
        <f>IFERROR(VLOOKUP(シフト組み!AC101,役職一覧!$B:$D,2,FALSE),"")</f>
        <v/>
      </c>
      <c r="AD71" s="17" t="str">
        <f>IFERROR(VLOOKUP(シフト組み!AD101,役職一覧!$B:$D,2,FALSE),"")</f>
        <v/>
      </c>
      <c r="AE71" s="17" t="str">
        <f>IFERROR(VLOOKUP(シフト組み!AE101,役職一覧!$B:$D,2,FALSE),"")</f>
        <v/>
      </c>
      <c r="AF71" s="17" t="str">
        <f>IFERROR(VLOOKUP(シフト組み!AF101,役職一覧!$B:$D,2,FALSE),"")</f>
        <v/>
      </c>
      <c r="AG71" s="17" t="str">
        <f>IFERROR(VLOOKUP(シフト組み!AG101,役職一覧!$B:$D,2,FALSE),"")</f>
        <v/>
      </c>
      <c r="AH71" s="17" t="str">
        <f>IFERROR(VLOOKUP(シフト組み!AH101,役職一覧!$B:$D,3,FALSE),"")</f>
        <v/>
      </c>
      <c r="AI71" s="17" t="str">
        <f>IFERROR(VLOOKUP(シフト組み!AI101,役職一覧!$B:$D,3,FALSE),"")</f>
        <v/>
      </c>
      <c r="AJ71" s="17" t="str">
        <f>IFERROR(VLOOKUP(シフト組み!AJ101,役職一覧!$B:$D,3,FALSE),"")</f>
        <v/>
      </c>
      <c r="AK71" s="17" t="str">
        <f>IFERROR(VLOOKUP(シフト組み!AK101,役職一覧!$B:$D,3,FALSE),"")</f>
        <v/>
      </c>
      <c r="AL71" s="17" t="str">
        <f>IFERROR(VLOOKUP(シフト組み!AL101,役職一覧!$B:$D,3,FALSE),"")</f>
        <v/>
      </c>
      <c r="AM71" s="17" t="str">
        <f>IFERROR(VLOOKUP(シフト組み!AM101,役職一覧!$B:$D,3,FALSE),"")</f>
        <v/>
      </c>
      <c r="AN71" s="17" t="str">
        <f>IFERROR(VLOOKUP(シフト組み!AN101,役職一覧!$B:$D,3,FALSE),"")</f>
        <v/>
      </c>
      <c r="AO71" s="17" t="str">
        <f>IFERROR(VLOOKUP(シフト組み!AO101,役職一覧!$B:$D,3,FALSE),"")</f>
        <v/>
      </c>
      <c r="AP71" s="17" t="str">
        <f>IFERROR(VLOOKUP(シフト組み!AP101,役職一覧!$B:$D,3,FALSE),"")</f>
        <v/>
      </c>
      <c r="AQ71" s="17" t="str">
        <f>IFERROR(VLOOKUP(シフト組み!AQ101,役職一覧!$B:$D,3,FALSE),"")</f>
        <v/>
      </c>
      <c r="AR71" s="17" t="str">
        <f>IFERROR(VLOOKUP(シフト組み!AR101,役職一覧!$B:$D,3,FALSE),"")</f>
        <v/>
      </c>
      <c r="AS71" s="17" t="str">
        <f>IFERROR(VLOOKUP(シフト組み!AS101,役職一覧!$B:$D,3,FALSE),"")</f>
        <v/>
      </c>
      <c r="AT71" s="17" t="str">
        <f>IFERROR(VLOOKUP(シフト組み!AT101,役職一覧!$B:$D,3,FALSE),"")</f>
        <v/>
      </c>
      <c r="AU71" s="17" t="str">
        <f>IFERROR(VLOOKUP(シフト組み!AU101,役職一覧!$B:$D,3,FALSE),"")</f>
        <v/>
      </c>
      <c r="AV71" s="17" t="str">
        <f>IFERROR(VLOOKUP(シフト組み!AV101,役職一覧!$B:$D,3,FALSE),"")</f>
        <v/>
      </c>
      <c r="AW71" s="17" t="str">
        <f>IFERROR(VLOOKUP(シフト組み!AW101,役職一覧!$B:$D,3,FALSE),"")</f>
        <v/>
      </c>
      <c r="AX71" s="17" t="str">
        <f>IFERROR(VLOOKUP(シフト組み!AX101,役職一覧!$B:$D,3,FALSE),"")</f>
        <v/>
      </c>
      <c r="AY71" s="17" t="str">
        <f>IFERROR(VLOOKUP(シフト組み!AY101,役職一覧!$B:$D,3,FALSE),"")</f>
        <v/>
      </c>
      <c r="AZ71" s="17" t="str">
        <f>IFERROR(VLOOKUP(シフト組み!AZ101,役職一覧!$B:$D,3,FALSE),"")</f>
        <v/>
      </c>
      <c r="BA71" s="17" t="str">
        <f>IFERROR(VLOOKUP(シフト組み!BA101,役職一覧!$B:$D,3,FALSE),"")</f>
        <v/>
      </c>
    </row>
    <row r="72" spans="1:53">
      <c r="A72" s="2" t="str">
        <f>シフト組み!A102&amp;""</f>
        <v/>
      </c>
      <c r="B72" s="2" t="str">
        <f>シフト組み!B102&amp;""</f>
        <v/>
      </c>
      <c r="C72" s="2" t="str">
        <f>シフト組み!C102&amp;""</f>
        <v/>
      </c>
      <c r="D72" s="17" t="str">
        <f>IFERROR(VLOOKUP(シフト組み!D102,役職一覧!$B:$D,2,FALSE),"")</f>
        <v/>
      </c>
      <c r="E72" s="17" t="str">
        <f>IFERROR(VLOOKUP(シフト組み!E102,役職一覧!$B:$D,2,FALSE),"")</f>
        <v/>
      </c>
      <c r="F72" s="17" t="str">
        <f>IFERROR(VLOOKUP(シフト組み!F102,役職一覧!$B:$D,2,FALSE),"")</f>
        <v/>
      </c>
      <c r="G72" s="17" t="str">
        <f>IFERROR(VLOOKUP(シフト組み!G102,役職一覧!$B:$D,2,FALSE),"")</f>
        <v/>
      </c>
      <c r="H72" s="17" t="str">
        <f>IFERROR(VLOOKUP(シフト組み!H102,役職一覧!$B:$D,2,FALSE),"")</f>
        <v/>
      </c>
      <c r="I72" s="17" t="str">
        <f>IFERROR(VLOOKUP(シフト組み!I102,役職一覧!$B:$D,2,FALSE),"")</f>
        <v/>
      </c>
      <c r="J72" s="17" t="str">
        <f>IFERROR(VLOOKUP(シフト組み!J102,役職一覧!$B:$D,2,FALSE),"")</f>
        <v/>
      </c>
      <c r="K72" s="17" t="str">
        <f>IFERROR(VLOOKUP(シフト組み!K102,役職一覧!$B:$D,2,FALSE),"")</f>
        <v/>
      </c>
      <c r="L72" s="17" t="str">
        <f>IFERROR(VLOOKUP(シフト組み!L102,役職一覧!$B:$D,2,FALSE),"")</f>
        <v/>
      </c>
      <c r="M72" s="17" t="str">
        <f>IFERROR(VLOOKUP(シフト組み!M102,役職一覧!$B:$D,2,FALSE),"")</f>
        <v/>
      </c>
      <c r="N72" s="17" t="str">
        <f>IFERROR(VLOOKUP(シフト組み!N102,役職一覧!$B:$D,2,FALSE),"")</f>
        <v/>
      </c>
      <c r="O72" s="17" t="str">
        <f>IFERROR(VLOOKUP(シフト組み!O102,役職一覧!$B:$D,2,FALSE),"")</f>
        <v/>
      </c>
      <c r="P72" s="17" t="str">
        <f>IFERROR(VLOOKUP(シフト組み!P102,役職一覧!$B:$D,2,FALSE),"")</f>
        <v/>
      </c>
      <c r="Q72" s="17" t="str">
        <f>IFERROR(VLOOKUP(シフト組み!Q102,役職一覧!$B:$D,2,FALSE),"")</f>
        <v/>
      </c>
      <c r="R72" s="17" t="str">
        <f>IFERROR(VLOOKUP(シフト組み!R102,役職一覧!$B:$D,2,FALSE),"")</f>
        <v/>
      </c>
      <c r="S72" s="17" t="str">
        <f>IFERROR(VLOOKUP(シフト組み!S102,役職一覧!$B:$D,2,FALSE),"")</f>
        <v/>
      </c>
      <c r="T72" s="17" t="str">
        <f>IFERROR(VLOOKUP(シフト組み!T102,役職一覧!$B:$D,2,FALSE),"")</f>
        <v/>
      </c>
      <c r="U72" s="17" t="str">
        <f>IFERROR(VLOOKUP(シフト組み!U102,役職一覧!$B:$D,2,FALSE),"")</f>
        <v/>
      </c>
      <c r="V72" s="17" t="str">
        <f>IFERROR(VLOOKUP(シフト組み!V102,役職一覧!$B:$D,2,FALSE),"")</f>
        <v/>
      </c>
      <c r="W72" s="17" t="str">
        <f>IFERROR(VLOOKUP(シフト組み!W102,役職一覧!$B:$D,2,FALSE),"")</f>
        <v/>
      </c>
      <c r="X72" s="17" t="str">
        <f>IFERROR(VLOOKUP(シフト組み!X102,役職一覧!$B:$D,2,FALSE),"")</f>
        <v/>
      </c>
      <c r="Y72" s="17" t="str">
        <f>IFERROR(VLOOKUP(シフト組み!Y102,役職一覧!$B:$D,2,FALSE),"")</f>
        <v/>
      </c>
      <c r="Z72" s="17" t="str">
        <f>IFERROR(VLOOKUP(シフト組み!Z102,役職一覧!$B:$D,2,FALSE),"")</f>
        <v/>
      </c>
      <c r="AA72" s="17" t="str">
        <f>IFERROR(VLOOKUP(シフト組み!AA102,役職一覧!$B:$D,2,FALSE),"")</f>
        <v/>
      </c>
      <c r="AB72" s="17" t="str">
        <f>IFERROR(VLOOKUP(シフト組み!AB102,役職一覧!$B:$D,2,FALSE),"")</f>
        <v/>
      </c>
      <c r="AC72" s="17" t="str">
        <f>IFERROR(VLOOKUP(シフト組み!AC102,役職一覧!$B:$D,2,FALSE),"")</f>
        <v/>
      </c>
      <c r="AD72" s="17" t="str">
        <f>IFERROR(VLOOKUP(シフト組み!AD102,役職一覧!$B:$D,2,FALSE),"")</f>
        <v/>
      </c>
      <c r="AE72" s="17" t="str">
        <f>IFERROR(VLOOKUP(シフト組み!AE102,役職一覧!$B:$D,2,FALSE),"")</f>
        <v/>
      </c>
      <c r="AF72" s="17" t="str">
        <f>IFERROR(VLOOKUP(シフト組み!AF102,役職一覧!$B:$D,2,FALSE),"")</f>
        <v/>
      </c>
      <c r="AG72" s="17" t="str">
        <f>IFERROR(VLOOKUP(シフト組み!AG102,役職一覧!$B:$D,2,FALSE),"")</f>
        <v/>
      </c>
      <c r="AH72" s="17" t="str">
        <f>IFERROR(VLOOKUP(シフト組み!AH102,役職一覧!$B:$D,3,FALSE),"")</f>
        <v/>
      </c>
      <c r="AI72" s="17" t="str">
        <f>IFERROR(VLOOKUP(シフト組み!AI102,役職一覧!$B:$D,3,FALSE),"")</f>
        <v/>
      </c>
      <c r="AJ72" s="17" t="str">
        <f>IFERROR(VLOOKUP(シフト組み!AJ102,役職一覧!$B:$D,3,FALSE),"")</f>
        <v/>
      </c>
      <c r="AK72" s="17" t="str">
        <f>IFERROR(VLOOKUP(シフト組み!AK102,役職一覧!$B:$D,3,FALSE),"")</f>
        <v/>
      </c>
      <c r="AL72" s="17" t="str">
        <f>IFERROR(VLOOKUP(シフト組み!AL102,役職一覧!$B:$D,3,FALSE),"")</f>
        <v/>
      </c>
      <c r="AM72" s="17" t="str">
        <f>IFERROR(VLOOKUP(シフト組み!AM102,役職一覧!$B:$D,3,FALSE),"")</f>
        <v/>
      </c>
      <c r="AN72" s="17" t="str">
        <f>IFERROR(VLOOKUP(シフト組み!AN102,役職一覧!$B:$D,3,FALSE),"")</f>
        <v/>
      </c>
      <c r="AO72" s="17" t="str">
        <f>IFERROR(VLOOKUP(シフト組み!AO102,役職一覧!$B:$D,3,FALSE),"")</f>
        <v/>
      </c>
      <c r="AP72" s="17" t="str">
        <f>IFERROR(VLOOKUP(シフト組み!AP102,役職一覧!$B:$D,3,FALSE),"")</f>
        <v/>
      </c>
      <c r="AQ72" s="17" t="str">
        <f>IFERROR(VLOOKUP(シフト組み!AQ102,役職一覧!$B:$D,3,FALSE),"")</f>
        <v/>
      </c>
      <c r="AR72" s="17" t="str">
        <f>IFERROR(VLOOKUP(シフト組み!AR102,役職一覧!$B:$D,3,FALSE),"")</f>
        <v/>
      </c>
      <c r="AS72" s="17" t="str">
        <f>IFERROR(VLOOKUP(シフト組み!AS102,役職一覧!$B:$D,3,FALSE),"")</f>
        <v/>
      </c>
      <c r="AT72" s="17" t="str">
        <f>IFERROR(VLOOKUP(シフト組み!AT102,役職一覧!$B:$D,3,FALSE),"")</f>
        <v/>
      </c>
      <c r="AU72" s="17" t="str">
        <f>IFERROR(VLOOKUP(シフト組み!AU102,役職一覧!$B:$D,3,FALSE),"")</f>
        <v/>
      </c>
      <c r="AV72" s="17" t="str">
        <f>IFERROR(VLOOKUP(シフト組み!AV102,役職一覧!$B:$D,3,FALSE),"")</f>
        <v/>
      </c>
      <c r="AW72" s="17" t="str">
        <f>IFERROR(VLOOKUP(シフト組み!AW102,役職一覧!$B:$D,3,FALSE),"")</f>
        <v/>
      </c>
      <c r="AX72" s="17" t="str">
        <f>IFERROR(VLOOKUP(シフト組み!AX102,役職一覧!$B:$D,3,FALSE),"")</f>
        <v/>
      </c>
      <c r="AY72" s="17" t="str">
        <f>IFERROR(VLOOKUP(シフト組み!AY102,役職一覧!$B:$D,3,FALSE),"")</f>
        <v/>
      </c>
      <c r="AZ72" s="17" t="str">
        <f>IFERROR(VLOOKUP(シフト組み!AZ102,役職一覧!$B:$D,3,FALSE),"")</f>
        <v/>
      </c>
      <c r="BA72" s="17" t="str">
        <f>IFERROR(VLOOKUP(シフト組み!BA102,役職一覧!$B:$D,3,FALSE),"")</f>
        <v/>
      </c>
    </row>
    <row r="73" spans="1:53">
      <c r="A73" s="2" t="str">
        <f>シフト組み!A103&amp;""</f>
        <v/>
      </c>
      <c r="B73" s="2" t="str">
        <f>シフト組み!B103&amp;""</f>
        <v/>
      </c>
      <c r="C73" s="2" t="str">
        <f>シフト組み!C103&amp;""</f>
        <v/>
      </c>
      <c r="D73" s="17" t="str">
        <f>IFERROR(VLOOKUP(シフト組み!D103,役職一覧!$B:$D,2,FALSE),"")</f>
        <v/>
      </c>
      <c r="E73" s="17" t="str">
        <f>IFERROR(VLOOKUP(シフト組み!E103,役職一覧!$B:$D,2,FALSE),"")</f>
        <v/>
      </c>
      <c r="F73" s="17" t="str">
        <f>IFERROR(VLOOKUP(シフト組み!F103,役職一覧!$B:$D,2,FALSE),"")</f>
        <v/>
      </c>
      <c r="G73" s="17" t="str">
        <f>IFERROR(VLOOKUP(シフト組み!G103,役職一覧!$B:$D,2,FALSE),"")</f>
        <v/>
      </c>
      <c r="H73" s="17" t="str">
        <f>IFERROR(VLOOKUP(シフト組み!H103,役職一覧!$B:$D,2,FALSE),"")</f>
        <v/>
      </c>
      <c r="I73" s="17" t="str">
        <f>IFERROR(VLOOKUP(シフト組み!I103,役職一覧!$B:$D,2,FALSE),"")</f>
        <v/>
      </c>
      <c r="J73" s="17" t="str">
        <f>IFERROR(VLOOKUP(シフト組み!J103,役職一覧!$B:$D,2,FALSE),"")</f>
        <v/>
      </c>
      <c r="K73" s="17" t="str">
        <f>IFERROR(VLOOKUP(シフト組み!K103,役職一覧!$B:$D,2,FALSE),"")</f>
        <v/>
      </c>
      <c r="L73" s="17" t="str">
        <f>IFERROR(VLOOKUP(シフト組み!L103,役職一覧!$B:$D,2,FALSE),"")</f>
        <v/>
      </c>
      <c r="M73" s="17" t="str">
        <f>IFERROR(VLOOKUP(シフト組み!M103,役職一覧!$B:$D,2,FALSE),"")</f>
        <v/>
      </c>
      <c r="N73" s="17" t="str">
        <f>IFERROR(VLOOKUP(シフト組み!N103,役職一覧!$B:$D,2,FALSE),"")</f>
        <v/>
      </c>
      <c r="O73" s="17" t="str">
        <f>IFERROR(VLOOKUP(シフト組み!O103,役職一覧!$B:$D,2,FALSE),"")</f>
        <v/>
      </c>
      <c r="P73" s="17" t="str">
        <f>IFERROR(VLOOKUP(シフト組み!P103,役職一覧!$B:$D,2,FALSE),"")</f>
        <v/>
      </c>
      <c r="Q73" s="17" t="str">
        <f>IFERROR(VLOOKUP(シフト組み!Q103,役職一覧!$B:$D,2,FALSE),"")</f>
        <v/>
      </c>
      <c r="R73" s="17" t="str">
        <f>IFERROR(VLOOKUP(シフト組み!R103,役職一覧!$B:$D,2,FALSE),"")</f>
        <v/>
      </c>
      <c r="S73" s="17" t="str">
        <f>IFERROR(VLOOKUP(シフト組み!S103,役職一覧!$B:$D,2,FALSE),"")</f>
        <v/>
      </c>
      <c r="T73" s="17" t="str">
        <f>IFERROR(VLOOKUP(シフト組み!T103,役職一覧!$B:$D,2,FALSE),"")</f>
        <v/>
      </c>
      <c r="U73" s="17" t="str">
        <f>IFERROR(VLOOKUP(シフト組み!U103,役職一覧!$B:$D,2,FALSE),"")</f>
        <v/>
      </c>
      <c r="V73" s="17" t="str">
        <f>IFERROR(VLOOKUP(シフト組み!V103,役職一覧!$B:$D,2,FALSE),"")</f>
        <v/>
      </c>
      <c r="W73" s="17" t="str">
        <f>IFERROR(VLOOKUP(シフト組み!W103,役職一覧!$B:$D,2,FALSE),"")</f>
        <v/>
      </c>
      <c r="X73" s="17" t="str">
        <f>IFERROR(VLOOKUP(シフト組み!X103,役職一覧!$B:$D,2,FALSE),"")</f>
        <v/>
      </c>
      <c r="Y73" s="17" t="str">
        <f>IFERROR(VLOOKUP(シフト組み!Y103,役職一覧!$B:$D,2,FALSE),"")</f>
        <v/>
      </c>
      <c r="Z73" s="17" t="str">
        <f>IFERROR(VLOOKUP(シフト組み!Z103,役職一覧!$B:$D,2,FALSE),"")</f>
        <v/>
      </c>
      <c r="AA73" s="17" t="str">
        <f>IFERROR(VLOOKUP(シフト組み!AA103,役職一覧!$B:$D,2,FALSE),"")</f>
        <v/>
      </c>
      <c r="AB73" s="17" t="str">
        <f>IFERROR(VLOOKUP(シフト組み!AB103,役職一覧!$B:$D,2,FALSE),"")</f>
        <v/>
      </c>
      <c r="AC73" s="17" t="str">
        <f>IFERROR(VLOOKUP(シフト組み!AC103,役職一覧!$B:$D,2,FALSE),"")</f>
        <v/>
      </c>
      <c r="AD73" s="17" t="str">
        <f>IFERROR(VLOOKUP(シフト組み!AD103,役職一覧!$B:$D,2,FALSE),"")</f>
        <v/>
      </c>
      <c r="AE73" s="17" t="str">
        <f>IFERROR(VLOOKUP(シフト組み!AE103,役職一覧!$B:$D,2,FALSE),"")</f>
        <v/>
      </c>
      <c r="AF73" s="17" t="str">
        <f>IFERROR(VLOOKUP(シフト組み!AF103,役職一覧!$B:$D,2,FALSE),"")</f>
        <v/>
      </c>
      <c r="AG73" s="17" t="str">
        <f>IFERROR(VLOOKUP(シフト組み!AG103,役職一覧!$B:$D,2,FALSE),"")</f>
        <v/>
      </c>
      <c r="AH73" s="17" t="str">
        <f>IFERROR(VLOOKUP(シフト組み!AH103,役職一覧!$B:$D,3,FALSE),"")</f>
        <v/>
      </c>
      <c r="AI73" s="17" t="str">
        <f>IFERROR(VLOOKUP(シフト組み!AI103,役職一覧!$B:$D,3,FALSE),"")</f>
        <v/>
      </c>
      <c r="AJ73" s="17" t="str">
        <f>IFERROR(VLOOKUP(シフト組み!AJ103,役職一覧!$B:$D,3,FALSE),"")</f>
        <v/>
      </c>
      <c r="AK73" s="17" t="str">
        <f>IFERROR(VLOOKUP(シフト組み!AK103,役職一覧!$B:$D,3,FALSE),"")</f>
        <v/>
      </c>
      <c r="AL73" s="17" t="str">
        <f>IFERROR(VLOOKUP(シフト組み!AL103,役職一覧!$B:$D,3,FALSE),"")</f>
        <v/>
      </c>
      <c r="AM73" s="17" t="str">
        <f>IFERROR(VLOOKUP(シフト組み!AM103,役職一覧!$B:$D,3,FALSE),"")</f>
        <v/>
      </c>
      <c r="AN73" s="17" t="str">
        <f>IFERROR(VLOOKUP(シフト組み!AN103,役職一覧!$B:$D,3,FALSE),"")</f>
        <v/>
      </c>
      <c r="AO73" s="17" t="str">
        <f>IFERROR(VLOOKUP(シフト組み!AO103,役職一覧!$B:$D,3,FALSE),"")</f>
        <v/>
      </c>
      <c r="AP73" s="17" t="str">
        <f>IFERROR(VLOOKUP(シフト組み!AP103,役職一覧!$B:$D,3,FALSE),"")</f>
        <v/>
      </c>
      <c r="AQ73" s="17" t="str">
        <f>IFERROR(VLOOKUP(シフト組み!AQ103,役職一覧!$B:$D,3,FALSE),"")</f>
        <v/>
      </c>
      <c r="AR73" s="17" t="str">
        <f>IFERROR(VLOOKUP(シフト組み!AR103,役職一覧!$B:$D,3,FALSE),"")</f>
        <v/>
      </c>
      <c r="AS73" s="17" t="str">
        <f>IFERROR(VLOOKUP(シフト組み!AS103,役職一覧!$B:$D,3,FALSE),"")</f>
        <v/>
      </c>
      <c r="AT73" s="17" t="str">
        <f>IFERROR(VLOOKUP(シフト組み!AT103,役職一覧!$B:$D,3,FALSE),"")</f>
        <v/>
      </c>
      <c r="AU73" s="17" t="str">
        <f>IFERROR(VLOOKUP(シフト組み!AU103,役職一覧!$B:$D,3,FALSE),"")</f>
        <v/>
      </c>
      <c r="AV73" s="17" t="str">
        <f>IFERROR(VLOOKUP(シフト組み!AV103,役職一覧!$B:$D,3,FALSE),"")</f>
        <v/>
      </c>
      <c r="AW73" s="17" t="str">
        <f>IFERROR(VLOOKUP(シフト組み!AW103,役職一覧!$B:$D,3,FALSE),"")</f>
        <v/>
      </c>
      <c r="AX73" s="17" t="str">
        <f>IFERROR(VLOOKUP(シフト組み!AX103,役職一覧!$B:$D,3,FALSE),"")</f>
        <v/>
      </c>
      <c r="AY73" s="17" t="str">
        <f>IFERROR(VLOOKUP(シフト組み!AY103,役職一覧!$B:$D,3,FALSE),"")</f>
        <v/>
      </c>
      <c r="AZ73" s="17" t="str">
        <f>IFERROR(VLOOKUP(シフト組み!AZ103,役職一覧!$B:$D,3,FALSE),"")</f>
        <v/>
      </c>
      <c r="BA73" s="17" t="str">
        <f>IFERROR(VLOOKUP(シフト組み!BA103,役職一覧!$B:$D,3,FALSE),"")</f>
        <v/>
      </c>
    </row>
    <row r="74" spans="1:53">
      <c r="A74" s="2" t="str">
        <f>シフト組み!A104&amp;""</f>
        <v/>
      </c>
      <c r="B74" s="2" t="str">
        <f>シフト組み!B104&amp;""</f>
        <v/>
      </c>
      <c r="C74" s="2" t="str">
        <f>シフト組み!C104&amp;""</f>
        <v/>
      </c>
      <c r="D74" s="17" t="str">
        <f>IFERROR(VLOOKUP(シフト組み!D104,役職一覧!$B:$D,2,FALSE),"")</f>
        <v/>
      </c>
      <c r="E74" s="17" t="str">
        <f>IFERROR(VLOOKUP(シフト組み!E104,役職一覧!$B:$D,2,FALSE),"")</f>
        <v/>
      </c>
      <c r="F74" s="17" t="str">
        <f>IFERROR(VLOOKUP(シフト組み!F104,役職一覧!$B:$D,2,FALSE),"")</f>
        <v/>
      </c>
      <c r="G74" s="17" t="str">
        <f>IFERROR(VLOOKUP(シフト組み!G104,役職一覧!$B:$D,2,FALSE),"")</f>
        <v/>
      </c>
      <c r="H74" s="17" t="str">
        <f>IFERROR(VLOOKUP(シフト組み!H104,役職一覧!$B:$D,2,FALSE),"")</f>
        <v/>
      </c>
      <c r="I74" s="17" t="str">
        <f>IFERROR(VLOOKUP(シフト組み!I104,役職一覧!$B:$D,2,FALSE),"")</f>
        <v/>
      </c>
      <c r="J74" s="17" t="str">
        <f>IFERROR(VLOOKUP(シフト組み!J104,役職一覧!$B:$D,2,FALSE),"")</f>
        <v/>
      </c>
      <c r="K74" s="17" t="str">
        <f>IFERROR(VLOOKUP(シフト組み!K104,役職一覧!$B:$D,2,FALSE),"")</f>
        <v/>
      </c>
      <c r="L74" s="17" t="str">
        <f>IFERROR(VLOOKUP(シフト組み!L104,役職一覧!$B:$D,2,FALSE),"")</f>
        <v/>
      </c>
      <c r="M74" s="17" t="str">
        <f>IFERROR(VLOOKUP(シフト組み!M104,役職一覧!$B:$D,2,FALSE),"")</f>
        <v/>
      </c>
      <c r="N74" s="17" t="str">
        <f>IFERROR(VLOOKUP(シフト組み!N104,役職一覧!$B:$D,2,FALSE),"")</f>
        <v/>
      </c>
      <c r="O74" s="17" t="str">
        <f>IFERROR(VLOOKUP(シフト組み!O104,役職一覧!$B:$D,2,FALSE),"")</f>
        <v/>
      </c>
      <c r="P74" s="17" t="str">
        <f>IFERROR(VLOOKUP(シフト組み!P104,役職一覧!$B:$D,2,FALSE),"")</f>
        <v/>
      </c>
      <c r="Q74" s="17" t="str">
        <f>IFERROR(VLOOKUP(シフト組み!Q104,役職一覧!$B:$D,2,FALSE),"")</f>
        <v/>
      </c>
      <c r="R74" s="17" t="str">
        <f>IFERROR(VLOOKUP(シフト組み!R104,役職一覧!$B:$D,2,FALSE),"")</f>
        <v/>
      </c>
      <c r="S74" s="17" t="str">
        <f>IFERROR(VLOOKUP(シフト組み!S104,役職一覧!$B:$D,2,FALSE),"")</f>
        <v/>
      </c>
      <c r="T74" s="17" t="str">
        <f>IFERROR(VLOOKUP(シフト組み!T104,役職一覧!$B:$D,2,FALSE),"")</f>
        <v/>
      </c>
      <c r="U74" s="17" t="str">
        <f>IFERROR(VLOOKUP(シフト組み!U104,役職一覧!$B:$D,2,FALSE),"")</f>
        <v/>
      </c>
      <c r="V74" s="17" t="str">
        <f>IFERROR(VLOOKUP(シフト組み!V104,役職一覧!$B:$D,2,FALSE),"")</f>
        <v/>
      </c>
      <c r="W74" s="17" t="str">
        <f>IFERROR(VLOOKUP(シフト組み!W104,役職一覧!$B:$D,2,FALSE),"")</f>
        <v/>
      </c>
      <c r="X74" s="17" t="str">
        <f>IFERROR(VLOOKUP(シフト組み!X104,役職一覧!$B:$D,2,FALSE),"")</f>
        <v/>
      </c>
      <c r="Y74" s="17" t="str">
        <f>IFERROR(VLOOKUP(シフト組み!Y104,役職一覧!$B:$D,2,FALSE),"")</f>
        <v/>
      </c>
      <c r="Z74" s="17" t="str">
        <f>IFERROR(VLOOKUP(シフト組み!Z104,役職一覧!$B:$D,2,FALSE),"")</f>
        <v/>
      </c>
      <c r="AA74" s="17" t="str">
        <f>IFERROR(VLOOKUP(シフト組み!AA104,役職一覧!$B:$D,2,FALSE),"")</f>
        <v/>
      </c>
      <c r="AB74" s="17" t="str">
        <f>IFERROR(VLOOKUP(シフト組み!AB104,役職一覧!$B:$D,2,FALSE),"")</f>
        <v/>
      </c>
      <c r="AC74" s="17" t="str">
        <f>IFERROR(VLOOKUP(シフト組み!AC104,役職一覧!$B:$D,2,FALSE),"")</f>
        <v/>
      </c>
      <c r="AD74" s="17" t="str">
        <f>IFERROR(VLOOKUP(シフト組み!AD104,役職一覧!$B:$D,2,FALSE),"")</f>
        <v/>
      </c>
      <c r="AE74" s="17" t="str">
        <f>IFERROR(VLOOKUP(シフト組み!AE104,役職一覧!$B:$D,2,FALSE),"")</f>
        <v/>
      </c>
      <c r="AF74" s="17" t="str">
        <f>IFERROR(VLOOKUP(シフト組み!AF104,役職一覧!$B:$D,2,FALSE),"")</f>
        <v/>
      </c>
      <c r="AG74" s="17" t="str">
        <f>IFERROR(VLOOKUP(シフト組み!AG104,役職一覧!$B:$D,2,FALSE),"")</f>
        <v/>
      </c>
      <c r="AH74" s="17" t="str">
        <f>IFERROR(VLOOKUP(シフト組み!AH104,役職一覧!$B:$D,3,FALSE),"")</f>
        <v/>
      </c>
      <c r="AI74" s="17" t="str">
        <f>IFERROR(VLOOKUP(シフト組み!AI104,役職一覧!$B:$D,3,FALSE),"")</f>
        <v/>
      </c>
      <c r="AJ74" s="17" t="str">
        <f>IFERROR(VLOOKUP(シフト組み!AJ104,役職一覧!$B:$D,3,FALSE),"")</f>
        <v/>
      </c>
      <c r="AK74" s="17" t="str">
        <f>IFERROR(VLOOKUP(シフト組み!AK104,役職一覧!$B:$D,3,FALSE),"")</f>
        <v/>
      </c>
      <c r="AL74" s="17" t="str">
        <f>IFERROR(VLOOKUP(シフト組み!AL104,役職一覧!$B:$D,3,FALSE),"")</f>
        <v/>
      </c>
      <c r="AM74" s="17" t="str">
        <f>IFERROR(VLOOKUP(シフト組み!AM104,役職一覧!$B:$D,3,FALSE),"")</f>
        <v/>
      </c>
      <c r="AN74" s="17" t="str">
        <f>IFERROR(VLOOKUP(シフト組み!AN104,役職一覧!$B:$D,3,FALSE),"")</f>
        <v/>
      </c>
      <c r="AO74" s="17" t="str">
        <f>IFERROR(VLOOKUP(シフト組み!AO104,役職一覧!$B:$D,3,FALSE),"")</f>
        <v/>
      </c>
      <c r="AP74" s="17" t="str">
        <f>IFERROR(VLOOKUP(シフト組み!AP104,役職一覧!$B:$D,3,FALSE),"")</f>
        <v/>
      </c>
      <c r="AQ74" s="17" t="str">
        <f>IFERROR(VLOOKUP(シフト組み!AQ104,役職一覧!$B:$D,3,FALSE),"")</f>
        <v/>
      </c>
      <c r="AR74" s="17" t="str">
        <f>IFERROR(VLOOKUP(シフト組み!AR104,役職一覧!$B:$D,3,FALSE),"")</f>
        <v/>
      </c>
      <c r="AS74" s="17" t="str">
        <f>IFERROR(VLOOKUP(シフト組み!AS104,役職一覧!$B:$D,3,FALSE),"")</f>
        <v/>
      </c>
      <c r="AT74" s="17" t="str">
        <f>IFERROR(VLOOKUP(シフト組み!AT104,役職一覧!$B:$D,3,FALSE),"")</f>
        <v/>
      </c>
      <c r="AU74" s="17" t="str">
        <f>IFERROR(VLOOKUP(シフト組み!AU104,役職一覧!$B:$D,3,FALSE),"")</f>
        <v/>
      </c>
      <c r="AV74" s="17" t="str">
        <f>IFERROR(VLOOKUP(シフト組み!AV104,役職一覧!$B:$D,3,FALSE),"")</f>
        <v/>
      </c>
      <c r="AW74" s="17" t="str">
        <f>IFERROR(VLOOKUP(シフト組み!AW104,役職一覧!$B:$D,3,FALSE),"")</f>
        <v/>
      </c>
      <c r="AX74" s="17" t="str">
        <f>IFERROR(VLOOKUP(シフト組み!AX104,役職一覧!$B:$D,3,FALSE),"")</f>
        <v/>
      </c>
      <c r="AY74" s="17" t="str">
        <f>IFERROR(VLOOKUP(シフト組み!AY104,役職一覧!$B:$D,3,FALSE),"")</f>
        <v/>
      </c>
      <c r="AZ74" s="17" t="str">
        <f>IFERROR(VLOOKUP(シフト組み!AZ104,役職一覧!$B:$D,3,FALSE),"")</f>
        <v/>
      </c>
      <c r="BA74" s="17" t="str">
        <f>IFERROR(VLOOKUP(シフト組み!BA104,役職一覧!$B:$D,3,FALSE),"")</f>
        <v/>
      </c>
    </row>
    <row r="75" spans="1:53">
      <c r="A75" s="2" t="str">
        <f>シフト組み!A105&amp;""</f>
        <v/>
      </c>
      <c r="B75" s="2" t="str">
        <f>シフト組み!B105&amp;""</f>
        <v/>
      </c>
      <c r="C75" s="2" t="str">
        <f>シフト組み!C105&amp;""</f>
        <v/>
      </c>
      <c r="D75" s="17" t="str">
        <f>IFERROR(VLOOKUP(シフト組み!D105,役職一覧!$B:$D,2,FALSE),"")</f>
        <v/>
      </c>
      <c r="E75" s="17" t="str">
        <f>IFERROR(VLOOKUP(シフト組み!E105,役職一覧!$B:$D,2,FALSE),"")</f>
        <v/>
      </c>
      <c r="F75" s="17" t="str">
        <f>IFERROR(VLOOKUP(シフト組み!F105,役職一覧!$B:$D,2,FALSE),"")</f>
        <v/>
      </c>
      <c r="G75" s="17" t="str">
        <f>IFERROR(VLOOKUP(シフト組み!G105,役職一覧!$B:$D,2,FALSE),"")</f>
        <v/>
      </c>
      <c r="H75" s="17" t="str">
        <f>IFERROR(VLOOKUP(シフト組み!H105,役職一覧!$B:$D,2,FALSE),"")</f>
        <v/>
      </c>
      <c r="I75" s="17" t="str">
        <f>IFERROR(VLOOKUP(シフト組み!I105,役職一覧!$B:$D,2,FALSE),"")</f>
        <v/>
      </c>
      <c r="J75" s="17" t="str">
        <f>IFERROR(VLOOKUP(シフト組み!J105,役職一覧!$B:$D,2,FALSE),"")</f>
        <v/>
      </c>
      <c r="K75" s="17" t="str">
        <f>IFERROR(VLOOKUP(シフト組み!K105,役職一覧!$B:$D,2,FALSE),"")</f>
        <v/>
      </c>
      <c r="L75" s="17" t="str">
        <f>IFERROR(VLOOKUP(シフト組み!L105,役職一覧!$B:$D,2,FALSE),"")</f>
        <v/>
      </c>
      <c r="M75" s="17" t="str">
        <f>IFERROR(VLOOKUP(シフト組み!M105,役職一覧!$B:$D,2,FALSE),"")</f>
        <v/>
      </c>
      <c r="N75" s="17" t="str">
        <f>IFERROR(VLOOKUP(シフト組み!N105,役職一覧!$B:$D,2,FALSE),"")</f>
        <v/>
      </c>
      <c r="O75" s="17" t="str">
        <f>IFERROR(VLOOKUP(シフト組み!O105,役職一覧!$B:$D,2,FALSE),"")</f>
        <v/>
      </c>
      <c r="P75" s="17" t="str">
        <f>IFERROR(VLOOKUP(シフト組み!P105,役職一覧!$B:$D,2,FALSE),"")</f>
        <v/>
      </c>
      <c r="Q75" s="17" t="str">
        <f>IFERROR(VLOOKUP(シフト組み!Q105,役職一覧!$B:$D,2,FALSE),"")</f>
        <v/>
      </c>
      <c r="R75" s="17" t="str">
        <f>IFERROR(VLOOKUP(シフト組み!R105,役職一覧!$B:$D,2,FALSE),"")</f>
        <v/>
      </c>
      <c r="S75" s="17" t="str">
        <f>IFERROR(VLOOKUP(シフト組み!S105,役職一覧!$B:$D,2,FALSE),"")</f>
        <v/>
      </c>
      <c r="T75" s="17" t="str">
        <f>IFERROR(VLOOKUP(シフト組み!T105,役職一覧!$B:$D,2,FALSE),"")</f>
        <v/>
      </c>
      <c r="U75" s="17" t="str">
        <f>IFERROR(VLOOKUP(シフト組み!U105,役職一覧!$B:$D,2,FALSE),"")</f>
        <v/>
      </c>
      <c r="V75" s="17" t="str">
        <f>IFERROR(VLOOKUP(シフト組み!V105,役職一覧!$B:$D,2,FALSE),"")</f>
        <v/>
      </c>
      <c r="W75" s="17" t="str">
        <f>IFERROR(VLOOKUP(シフト組み!W105,役職一覧!$B:$D,2,FALSE),"")</f>
        <v/>
      </c>
      <c r="X75" s="17" t="str">
        <f>IFERROR(VLOOKUP(シフト組み!X105,役職一覧!$B:$D,2,FALSE),"")</f>
        <v/>
      </c>
      <c r="Y75" s="17" t="str">
        <f>IFERROR(VLOOKUP(シフト組み!Y105,役職一覧!$B:$D,2,FALSE),"")</f>
        <v/>
      </c>
      <c r="Z75" s="17" t="str">
        <f>IFERROR(VLOOKUP(シフト組み!Z105,役職一覧!$B:$D,2,FALSE),"")</f>
        <v/>
      </c>
      <c r="AA75" s="17" t="str">
        <f>IFERROR(VLOOKUP(シフト組み!AA105,役職一覧!$B:$D,2,FALSE),"")</f>
        <v/>
      </c>
      <c r="AB75" s="17" t="str">
        <f>IFERROR(VLOOKUP(シフト組み!AB105,役職一覧!$B:$D,2,FALSE),"")</f>
        <v/>
      </c>
      <c r="AC75" s="17" t="str">
        <f>IFERROR(VLOOKUP(シフト組み!AC105,役職一覧!$B:$D,2,FALSE),"")</f>
        <v/>
      </c>
      <c r="AD75" s="17" t="str">
        <f>IFERROR(VLOOKUP(シフト組み!AD105,役職一覧!$B:$D,2,FALSE),"")</f>
        <v/>
      </c>
      <c r="AE75" s="17" t="str">
        <f>IFERROR(VLOOKUP(シフト組み!AE105,役職一覧!$B:$D,2,FALSE),"")</f>
        <v/>
      </c>
      <c r="AF75" s="17" t="str">
        <f>IFERROR(VLOOKUP(シフト組み!AF105,役職一覧!$B:$D,2,FALSE),"")</f>
        <v/>
      </c>
      <c r="AG75" s="17" t="str">
        <f>IFERROR(VLOOKUP(シフト組み!AG105,役職一覧!$B:$D,2,FALSE),"")</f>
        <v/>
      </c>
      <c r="AH75" s="17" t="str">
        <f>IFERROR(VLOOKUP(シフト組み!AH105,役職一覧!$B:$D,3,FALSE),"")</f>
        <v/>
      </c>
      <c r="AI75" s="17" t="str">
        <f>IFERROR(VLOOKUP(シフト組み!AI105,役職一覧!$B:$D,3,FALSE),"")</f>
        <v/>
      </c>
      <c r="AJ75" s="17" t="str">
        <f>IFERROR(VLOOKUP(シフト組み!AJ105,役職一覧!$B:$D,3,FALSE),"")</f>
        <v/>
      </c>
      <c r="AK75" s="17" t="str">
        <f>IFERROR(VLOOKUP(シフト組み!AK105,役職一覧!$B:$D,3,FALSE),"")</f>
        <v/>
      </c>
      <c r="AL75" s="17" t="str">
        <f>IFERROR(VLOOKUP(シフト組み!AL105,役職一覧!$B:$D,3,FALSE),"")</f>
        <v/>
      </c>
      <c r="AM75" s="17" t="str">
        <f>IFERROR(VLOOKUP(シフト組み!AM105,役職一覧!$B:$D,3,FALSE),"")</f>
        <v/>
      </c>
      <c r="AN75" s="17" t="str">
        <f>IFERROR(VLOOKUP(シフト組み!AN105,役職一覧!$B:$D,3,FALSE),"")</f>
        <v/>
      </c>
      <c r="AO75" s="17" t="str">
        <f>IFERROR(VLOOKUP(シフト組み!AO105,役職一覧!$B:$D,3,FALSE),"")</f>
        <v/>
      </c>
      <c r="AP75" s="17" t="str">
        <f>IFERROR(VLOOKUP(シフト組み!AP105,役職一覧!$B:$D,3,FALSE),"")</f>
        <v/>
      </c>
      <c r="AQ75" s="17" t="str">
        <f>IFERROR(VLOOKUP(シフト組み!AQ105,役職一覧!$B:$D,3,FALSE),"")</f>
        <v/>
      </c>
      <c r="AR75" s="17" t="str">
        <f>IFERROR(VLOOKUP(シフト組み!AR105,役職一覧!$B:$D,3,FALSE),"")</f>
        <v/>
      </c>
      <c r="AS75" s="17" t="str">
        <f>IFERROR(VLOOKUP(シフト組み!AS105,役職一覧!$B:$D,3,FALSE),"")</f>
        <v/>
      </c>
      <c r="AT75" s="17" t="str">
        <f>IFERROR(VLOOKUP(シフト組み!AT105,役職一覧!$B:$D,3,FALSE),"")</f>
        <v/>
      </c>
      <c r="AU75" s="17" t="str">
        <f>IFERROR(VLOOKUP(シフト組み!AU105,役職一覧!$B:$D,3,FALSE),"")</f>
        <v/>
      </c>
      <c r="AV75" s="17" t="str">
        <f>IFERROR(VLOOKUP(シフト組み!AV105,役職一覧!$B:$D,3,FALSE),"")</f>
        <v/>
      </c>
      <c r="AW75" s="17" t="str">
        <f>IFERROR(VLOOKUP(シフト組み!AW105,役職一覧!$B:$D,3,FALSE),"")</f>
        <v/>
      </c>
      <c r="AX75" s="17" t="str">
        <f>IFERROR(VLOOKUP(シフト組み!AX105,役職一覧!$B:$D,3,FALSE),"")</f>
        <v/>
      </c>
      <c r="AY75" s="17" t="str">
        <f>IFERROR(VLOOKUP(シフト組み!AY105,役職一覧!$B:$D,3,FALSE),"")</f>
        <v/>
      </c>
      <c r="AZ75" s="17" t="str">
        <f>IFERROR(VLOOKUP(シフト組み!AZ105,役職一覧!$B:$D,3,FALSE),"")</f>
        <v/>
      </c>
      <c r="BA75" s="17" t="str">
        <f>IFERROR(VLOOKUP(シフト組み!BA105,役職一覧!$B:$D,3,FALSE),"")</f>
        <v/>
      </c>
    </row>
    <row r="76" spans="1:53">
      <c r="A76" s="2" t="str">
        <f>シフト組み!A106&amp;""</f>
        <v/>
      </c>
      <c r="B76" s="2" t="str">
        <f>シフト組み!B106&amp;""</f>
        <v/>
      </c>
      <c r="C76" s="2" t="str">
        <f>シフト組み!C106&amp;""</f>
        <v/>
      </c>
      <c r="D76" s="17" t="str">
        <f>IFERROR(VLOOKUP(シフト組み!D106,役職一覧!$B:$D,2,FALSE),"")</f>
        <v/>
      </c>
      <c r="E76" s="17" t="str">
        <f>IFERROR(VLOOKUP(シフト組み!E106,役職一覧!$B:$D,2,FALSE),"")</f>
        <v/>
      </c>
      <c r="F76" s="17" t="str">
        <f>IFERROR(VLOOKUP(シフト組み!F106,役職一覧!$B:$D,2,FALSE),"")</f>
        <v/>
      </c>
      <c r="G76" s="17" t="str">
        <f>IFERROR(VLOOKUP(シフト組み!G106,役職一覧!$B:$D,2,FALSE),"")</f>
        <v/>
      </c>
      <c r="H76" s="17" t="str">
        <f>IFERROR(VLOOKUP(シフト組み!H106,役職一覧!$B:$D,2,FALSE),"")</f>
        <v/>
      </c>
      <c r="I76" s="17" t="str">
        <f>IFERROR(VLOOKUP(シフト組み!I106,役職一覧!$B:$D,2,FALSE),"")</f>
        <v/>
      </c>
      <c r="J76" s="17" t="str">
        <f>IFERROR(VLOOKUP(シフト組み!J106,役職一覧!$B:$D,2,FALSE),"")</f>
        <v/>
      </c>
      <c r="K76" s="17" t="str">
        <f>IFERROR(VLOOKUP(シフト組み!K106,役職一覧!$B:$D,2,FALSE),"")</f>
        <v/>
      </c>
      <c r="L76" s="17" t="str">
        <f>IFERROR(VLOOKUP(シフト組み!L106,役職一覧!$B:$D,2,FALSE),"")</f>
        <v/>
      </c>
      <c r="M76" s="17" t="str">
        <f>IFERROR(VLOOKUP(シフト組み!M106,役職一覧!$B:$D,2,FALSE),"")</f>
        <v/>
      </c>
      <c r="N76" s="17" t="str">
        <f>IFERROR(VLOOKUP(シフト組み!N106,役職一覧!$B:$D,2,FALSE),"")</f>
        <v/>
      </c>
      <c r="O76" s="17" t="str">
        <f>IFERROR(VLOOKUP(シフト組み!O106,役職一覧!$B:$D,2,FALSE),"")</f>
        <v/>
      </c>
      <c r="P76" s="17" t="str">
        <f>IFERROR(VLOOKUP(シフト組み!P106,役職一覧!$B:$D,2,FALSE),"")</f>
        <v/>
      </c>
      <c r="Q76" s="17" t="str">
        <f>IFERROR(VLOOKUP(シフト組み!Q106,役職一覧!$B:$D,2,FALSE),"")</f>
        <v/>
      </c>
      <c r="R76" s="17" t="str">
        <f>IFERROR(VLOOKUP(シフト組み!R106,役職一覧!$B:$D,2,FALSE),"")</f>
        <v/>
      </c>
      <c r="S76" s="17" t="str">
        <f>IFERROR(VLOOKUP(シフト組み!S106,役職一覧!$B:$D,2,FALSE),"")</f>
        <v/>
      </c>
      <c r="T76" s="17" t="str">
        <f>IFERROR(VLOOKUP(シフト組み!T106,役職一覧!$B:$D,2,FALSE),"")</f>
        <v/>
      </c>
      <c r="U76" s="17" t="str">
        <f>IFERROR(VLOOKUP(シフト組み!U106,役職一覧!$B:$D,2,FALSE),"")</f>
        <v/>
      </c>
      <c r="V76" s="17" t="str">
        <f>IFERROR(VLOOKUP(シフト組み!V106,役職一覧!$B:$D,2,FALSE),"")</f>
        <v/>
      </c>
      <c r="W76" s="17" t="str">
        <f>IFERROR(VLOOKUP(シフト組み!W106,役職一覧!$B:$D,2,FALSE),"")</f>
        <v/>
      </c>
      <c r="X76" s="17" t="str">
        <f>IFERROR(VLOOKUP(シフト組み!X106,役職一覧!$B:$D,2,FALSE),"")</f>
        <v/>
      </c>
      <c r="Y76" s="17" t="str">
        <f>IFERROR(VLOOKUP(シフト組み!Y106,役職一覧!$B:$D,2,FALSE),"")</f>
        <v/>
      </c>
      <c r="Z76" s="17" t="str">
        <f>IFERROR(VLOOKUP(シフト組み!Z106,役職一覧!$B:$D,2,FALSE),"")</f>
        <v/>
      </c>
      <c r="AA76" s="17" t="str">
        <f>IFERROR(VLOOKUP(シフト組み!AA106,役職一覧!$B:$D,2,FALSE),"")</f>
        <v/>
      </c>
      <c r="AB76" s="17" t="str">
        <f>IFERROR(VLOOKUP(シフト組み!AB106,役職一覧!$B:$D,2,FALSE),"")</f>
        <v/>
      </c>
      <c r="AC76" s="17" t="str">
        <f>IFERROR(VLOOKUP(シフト組み!AC106,役職一覧!$B:$D,2,FALSE),"")</f>
        <v/>
      </c>
      <c r="AD76" s="17" t="str">
        <f>IFERROR(VLOOKUP(シフト組み!AD106,役職一覧!$B:$D,2,FALSE),"")</f>
        <v/>
      </c>
      <c r="AE76" s="17" t="str">
        <f>IFERROR(VLOOKUP(シフト組み!AE106,役職一覧!$B:$D,2,FALSE),"")</f>
        <v/>
      </c>
      <c r="AF76" s="17" t="str">
        <f>IFERROR(VLOOKUP(シフト組み!AF106,役職一覧!$B:$D,2,FALSE),"")</f>
        <v/>
      </c>
      <c r="AG76" s="17" t="str">
        <f>IFERROR(VLOOKUP(シフト組み!AG106,役職一覧!$B:$D,2,FALSE),"")</f>
        <v/>
      </c>
      <c r="AH76" s="17" t="str">
        <f>IFERROR(VLOOKUP(シフト組み!AH106,役職一覧!$B:$D,3,FALSE),"")</f>
        <v/>
      </c>
      <c r="AI76" s="17" t="str">
        <f>IFERROR(VLOOKUP(シフト組み!AI106,役職一覧!$B:$D,3,FALSE),"")</f>
        <v/>
      </c>
      <c r="AJ76" s="17" t="str">
        <f>IFERROR(VLOOKUP(シフト組み!AJ106,役職一覧!$B:$D,3,FALSE),"")</f>
        <v/>
      </c>
      <c r="AK76" s="17" t="str">
        <f>IFERROR(VLOOKUP(シフト組み!AK106,役職一覧!$B:$D,3,FALSE),"")</f>
        <v/>
      </c>
      <c r="AL76" s="17" t="str">
        <f>IFERROR(VLOOKUP(シフト組み!AL106,役職一覧!$B:$D,3,FALSE),"")</f>
        <v/>
      </c>
      <c r="AM76" s="17" t="str">
        <f>IFERROR(VLOOKUP(シフト組み!AM106,役職一覧!$B:$D,3,FALSE),"")</f>
        <v/>
      </c>
      <c r="AN76" s="17" t="str">
        <f>IFERROR(VLOOKUP(シフト組み!AN106,役職一覧!$B:$D,3,FALSE),"")</f>
        <v/>
      </c>
      <c r="AO76" s="17" t="str">
        <f>IFERROR(VLOOKUP(シフト組み!AO106,役職一覧!$B:$D,3,FALSE),"")</f>
        <v/>
      </c>
      <c r="AP76" s="17" t="str">
        <f>IFERROR(VLOOKUP(シフト組み!AP106,役職一覧!$B:$D,3,FALSE),"")</f>
        <v/>
      </c>
      <c r="AQ76" s="17" t="str">
        <f>IFERROR(VLOOKUP(シフト組み!AQ106,役職一覧!$B:$D,3,FALSE),"")</f>
        <v/>
      </c>
      <c r="AR76" s="17" t="str">
        <f>IFERROR(VLOOKUP(シフト組み!AR106,役職一覧!$B:$D,3,FALSE),"")</f>
        <v/>
      </c>
      <c r="AS76" s="17" t="str">
        <f>IFERROR(VLOOKUP(シフト組み!AS106,役職一覧!$B:$D,3,FALSE),"")</f>
        <v/>
      </c>
      <c r="AT76" s="17" t="str">
        <f>IFERROR(VLOOKUP(シフト組み!AT106,役職一覧!$B:$D,3,FALSE),"")</f>
        <v/>
      </c>
      <c r="AU76" s="17" t="str">
        <f>IFERROR(VLOOKUP(シフト組み!AU106,役職一覧!$B:$D,3,FALSE),"")</f>
        <v/>
      </c>
      <c r="AV76" s="17" t="str">
        <f>IFERROR(VLOOKUP(シフト組み!AV106,役職一覧!$B:$D,3,FALSE),"")</f>
        <v/>
      </c>
      <c r="AW76" s="17" t="str">
        <f>IFERROR(VLOOKUP(シフト組み!AW106,役職一覧!$B:$D,3,FALSE),"")</f>
        <v/>
      </c>
      <c r="AX76" s="17" t="str">
        <f>IFERROR(VLOOKUP(シフト組み!AX106,役職一覧!$B:$D,3,FALSE),"")</f>
        <v/>
      </c>
      <c r="AY76" s="17" t="str">
        <f>IFERROR(VLOOKUP(シフト組み!AY106,役職一覧!$B:$D,3,FALSE),"")</f>
        <v/>
      </c>
      <c r="AZ76" s="17" t="str">
        <f>IFERROR(VLOOKUP(シフト組み!AZ106,役職一覧!$B:$D,3,FALSE),"")</f>
        <v/>
      </c>
      <c r="BA76" s="17" t="str">
        <f>IFERROR(VLOOKUP(シフト組み!BA106,役職一覧!$B:$D,3,FALSE),"")</f>
        <v/>
      </c>
    </row>
    <row r="77" spans="1:53">
      <c r="A77" s="2" t="str">
        <f>シフト組み!A107&amp;""</f>
        <v/>
      </c>
      <c r="B77" s="2" t="str">
        <f>シフト組み!B107&amp;""</f>
        <v/>
      </c>
      <c r="C77" s="2" t="str">
        <f>シフト組み!C107&amp;""</f>
        <v/>
      </c>
      <c r="D77" s="17" t="str">
        <f>IFERROR(VLOOKUP(シフト組み!D107,役職一覧!$B:$D,2,FALSE),"")</f>
        <v/>
      </c>
      <c r="E77" s="17" t="str">
        <f>IFERROR(VLOOKUP(シフト組み!E107,役職一覧!$B:$D,2,FALSE),"")</f>
        <v/>
      </c>
      <c r="F77" s="17" t="str">
        <f>IFERROR(VLOOKUP(シフト組み!F107,役職一覧!$B:$D,2,FALSE),"")</f>
        <v/>
      </c>
      <c r="G77" s="17" t="str">
        <f>IFERROR(VLOOKUP(シフト組み!G107,役職一覧!$B:$D,2,FALSE),"")</f>
        <v/>
      </c>
      <c r="H77" s="17" t="str">
        <f>IFERROR(VLOOKUP(シフト組み!H107,役職一覧!$B:$D,2,FALSE),"")</f>
        <v/>
      </c>
      <c r="I77" s="17" t="str">
        <f>IFERROR(VLOOKUP(シフト組み!I107,役職一覧!$B:$D,2,FALSE),"")</f>
        <v/>
      </c>
      <c r="J77" s="17" t="str">
        <f>IFERROR(VLOOKUP(シフト組み!J107,役職一覧!$B:$D,2,FALSE),"")</f>
        <v/>
      </c>
      <c r="K77" s="17" t="str">
        <f>IFERROR(VLOOKUP(シフト組み!K107,役職一覧!$B:$D,2,FALSE),"")</f>
        <v/>
      </c>
      <c r="L77" s="17" t="str">
        <f>IFERROR(VLOOKUP(シフト組み!L107,役職一覧!$B:$D,2,FALSE),"")</f>
        <v/>
      </c>
      <c r="M77" s="17" t="str">
        <f>IFERROR(VLOOKUP(シフト組み!M107,役職一覧!$B:$D,2,FALSE),"")</f>
        <v/>
      </c>
      <c r="N77" s="17" t="str">
        <f>IFERROR(VLOOKUP(シフト組み!N107,役職一覧!$B:$D,2,FALSE),"")</f>
        <v/>
      </c>
      <c r="O77" s="17" t="str">
        <f>IFERROR(VLOOKUP(シフト組み!O107,役職一覧!$B:$D,2,FALSE),"")</f>
        <v/>
      </c>
      <c r="P77" s="17" t="str">
        <f>IFERROR(VLOOKUP(シフト組み!P107,役職一覧!$B:$D,2,FALSE),"")</f>
        <v/>
      </c>
      <c r="Q77" s="17" t="str">
        <f>IFERROR(VLOOKUP(シフト組み!Q107,役職一覧!$B:$D,2,FALSE),"")</f>
        <v/>
      </c>
      <c r="R77" s="17" t="str">
        <f>IFERROR(VLOOKUP(シフト組み!R107,役職一覧!$B:$D,2,FALSE),"")</f>
        <v/>
      </c>
      <c r="S77" s="17" t="str">
        <f>IFERROR(VLOOKUP(シフト組み!S107,役職一覧!$B:$D,2,FALSE),"")</f>
        <v/>
      </c>
      <c r="T77" s="17" t="str">
        <f>IFERROR(VLOOKUP(シフト組み!T107,役職一覧!$B:$D,2,FALSE),"")</f>
        <v/>
      </c>
      <c r="U77" s="17" t="str">
        <f>IFERROR(VLOOKUP(シフト組み!U107,役職一覧!$B:$D,2,FALSE),"")</f>
        <v/>
      </c>
      <c r="V77" s="17" t="str">
        <f>IFERROR(VLOOKUP(シフト組み!V107,役職一覧!$B:$D,2,FALSE),"")</f>
        <v/>
      </c>
      <c r="W77" s="17" t="str">
        <f>IFERROR(VLOOKUP(シフト組み!W107,役職一覧!$B:$D,2,FALSE),"")</f>
        <v/>
      </c>
      <c r="X77" s="17" t="str">
        <f>IFERROR(VLOOKUP(シフト組み!X107,役職一覧!$B:$D,2,FALSE),"")</f>
        <v/>
      </c>
      <c r="Y77" s="17" t="str">
        <f>IFERROR(VLOOKUP(シフト組み!Y107,役職一覧!$B:$D,2,FALSE),"")</f>
        <v/>
      </c>
      <c r="Z77" s="17" t="str">
        <f>IFERROR(VLOOKUP(シフト組み!Z107,役職一覧!$B:$D,2,FALSE),"")</f>
        <v/>
      </c>
      <c r="AA77" s="17" t="str">
        <f>IFERROR(VLOOKUP(シフト組み!AA107,役職一覧!$B:$D,2,FALSE),"")</f>
        <v/>
      </c>
      <c r="AB77" s="17" t="str">
        <f>IFERROR(VLOOKUP(シフト組み!AB107,役職一覧!$B:$D,2,FALSE),"")</f>
        <v/>
      </c>
      <c r="AC77" s="17" t="str">
        <f>IFERROR(VLOOKUP(シフト組み!AC107,役職一覧!$B:$D,2,FALSE),"")</f>
        <v/>
      </c>
      <c r="AD77" s="17" t="str">
        <f>IFERROR(VLOOKUP(シフト組み!AD107,役職一覧!$B:$D,2,FALSE),"")</f>
        <v/>
      </c>
      <c r="AE77" s="17" t="str">
        <f>IFERROR(VLOOKUP(シフト組み!AE107,役職一覧!$B:$D,2,FALSE),"")</f>
        <v/>
      </c>
      <c r="AF77" s="17" t="str">
        <f>IFERROR(VLOOKUP(シフト組み!AF107,役職一覧!$B:$D,2,FALSE),"")</f>
        <v/>
      </c>
      <c r="AG77" s="17" t="str">
        <f>IFERROR(VLOOKUP(シフト組み!AG107,役職一覧!$B:$D,2,FALSE),"")</f>
        <v/>
      </c>
      <c r="AH77" s="17" t="str">
        <f>IFERROR(VLOOKUP(シフト組み!AH107,役職一覧!$B:$D,3,FALSE),"")</f>
        <v/>
      </c>
      <c r="AI77" s="17" t="str">
        <f>IFERROR(VLOOKUP(シフト組み!AI107,役職一覧!$B:$D,3,FALSE),"")</f>
        <v/>
      </c>
      <c r="AJ77" s="17" t="str">
        <f>IFERROR(VLOOKUP(シフト組み!AJ107,役職一覧!$B:$D,3,FALSE),"")</f>
        <v/>
      </c>
      <c r="AK77" s="17" t="str">
        <f>IFERROR(VLOOKUP(シフト組み!AK107,役職一覧!$B:$D,3,FALSE),"")</f>
        <v/>
      </c>
      <c r="AL77" s="17" t="str">
        <f>IFERROR(VLOOKUP(シフト組み!AL107,役職一覧!$B:$D,3,FALSE),"")</f>
        <v/>
      </c>
      <c r="AM77" s="17" t="str">
        <f>IFERROR(VLOOKUP(シフト組み!AM107,役職一覧!$B:$D,3,FALSE),"")</f>
        <v/>
      </c>
      <c r="AN77" s="17" t="str">
        <f>IFERROR(VLOOKUP(シフト組み!AN107,役職一覧!$B:$D,3,FALSE),"")</f>
        <v/>
      </c>
      <c r="AO77" s="17" t="str">
        <f>IFERROR(VLOOKUP(シフト組み!AO107,役職一覧!$B:$D,3,FALSE),"")</f>
        <v/>
      </c>
      <c r="AP77" s="17" t="str">
        <f>IFERROR(VLOOKUP(シフト組み!AP107,役職一覧!$B:$D,3,FALSE),"")</f>
        <v/>
      </c>
      <c r="AQ77" s="17" t="str">
        <f>IFERROR(VLOOKUP(シフト組み!AQ107,役職一覧!$B:$D,3,FALSE),"")</f>
        <v/>
      </c>
      <c r="AR77" s="17" t="str">
        <f>IFERROR(VLOOKUP(シフト組み!AR107,役職一覧!$B:$D,3,FALSE),"")</f>
        <v/>
      </c>
      <c r="AS77" s="17" t="str">
        <f>IFERROR(VLOOKUP(シフト組み!AS107,役職一覧!$B:$D,3,FALSE),"")</f>
        <v/>
      </c>
      <c r="AT77" s="17" t="str">
        <f>IFERROR(VLOOKUP(シフト組み!AT107,役職一覧!$B:$D,3,FALSE),"")</f>
        <v/>
      </c>
      <c r="AU77" s="17" t="str">
        <f>IFERROR(VLOOKUP(シフト組み!AU107,役職一覧!$B:$D,3,FALSE),"")</f>
        <v/>
      </c>
      <c r="AV77" s="17" t="str">
        <f>IFERROR(VLOOKUP(シフト組み!AV107,役職一覧!$B:$D,3,FALSE),"")</f>
        <v/>
      </c>
      <c r="AW77" s="17" t="str">
        <f>IFERROR(VLOOKUP(シフト組み!AW107,役職一覧!$B:$D,3,FALSE),"")</f>
        <v/>
      </c>
      <c r="AX77" s="17" t="str">
        <f>IFERROR(VLOOKUP(シフト組み!AX107,役職一覧!$B:$D,3,FALSE),"")</f>
        <v/>
      </c>
      <c r="AY77" s="17" t="str">
        <f>IFERROR(VLOOKUP(シフト組み!AY107,役職一覧!$B:$D,3,FALSE),"")</f>
        <v/>
      </c>
      <c r="AZ77" s="17" t="str">
        <f>IFERROR(VLOOKUP(シフト組み!AZ107,役職一覧!$B:$D,3,FALSE),"")</f>
        <v/>
      </c>
      <c r="BA77" s="17" t="str">
        <f>IFERROR(VLOOKUP(シフト組み!BA107,役職一覧!$B:$D,3,FALSE),"")</f>
        <v/>
      </c>
    </row>
    <row r="78" spans="1:53">
      <c r="A78" s="2" t="str">
        <f>シフト組み!A108&amp;""</f>
        <v/>
      </c>
      <c r="B78" s="2" t="str">
        <f>シフト組み!B108&amp;""</f>
        <v/>
      </c>
      <c r="C78" s="2" t="str">
        <f>シフト組み!C108&amp;""</f>
        <v/>
      </c>
      <c r="D78" s="17" t="str">
        <f>IFERROR(VLOOKUP(シフト組み!D108,役職一覧!$B:$D,2,FALSE),"")</f>
        <v/>
      </c>
      <c r="E78" s="17" t="str">
        <f>IFERROR(VLOOKUP(シフト組み!E108,役職一覧!$B:$D,2,FALSE),"")</f>
        <v/>
      </c>
      <c r="F78" s="17" t="str">
        <f>IFERROR(VLOOKUP(シフト組み!F108,役職一覧!$B:$D,2,FALSE),"")</f>
        <v/>
      </c>
      <c r="G78" s="17" t="str">
        <f>IFERROR(VLOOKUP(シフト組み!G108,役職一覧!$B:$D,2,FALSE),"")</f>
        <v/>
      </c>
      <c r="H78" s="17" t="str">
        <f>IFERROR(VLOOKUP(シフト組み!H108,役職一覧!$B:$D,2,FALSE),"")</f>
        <v/>
      </c>
      <c r="I78" s="17" t="str">
        <f>IFERROR(VLOOKUP(シフト組み!I108,役職一覧!$B:$D,2,FALSE),"")</f>
        <v/>
      </c>
      <c r="J78" s="17" t="str">
        <f>IFERROR(VLOOKUP(シフト組み!J108,役職一覧!$B:$D,2,FALSE),"")</f>
        <v/>
      </c>
      <c r="K78" s="17" t="str">
        <f>IFERROR(VLOOKUP(シフト組み!K108,役職一覧!$B:$D,2,FALSE),"")</f>
        <v/>
      </c>
      <c r="L78" s="17" t="str">
        <f>IFERROR(VLOOKUP(シフト組み!L108,役職一覧!$B:$D,2,FALSE),"")</f>
        <v/>
      </c>
      <c r="M78" s="17" t="str">
        <f>IFERROR(VLOOKUP(シフト組み!M108,役職一覧!$B:$D,2,FALSE),"")</f>
        <v/>
      </c>
      <c r="N78" s="17" t="str">
        <f>IFERROR(VLOOKUP(シフト組み!N108,役職一覧!$B:$D,2,FALSE),"")</f>
        <v/>
      </c>
      <c r="O78" s="17" t="str">
        <f>IFERROR(VLOOKUP(シフト組み!O108,役職一覧!$B:$D,2,FALSE),"")</f>
        <v/>
      </c>
      <c r="P78" s="17" t="str">
        <f>IFERROR(VLOOKUP(シフト組み!P108,役職一覧!$B:$D,2,FALSE),"")</f>
        <v/>
      </c>
      <c r="Q78" s="17" t="str">
        <f>IFERROR(VLOOKUP(シフト組み!Q108,役職一覧!$B:$D,2,FALSE),"")</f>
        <v/>
      </c>
      <c r="R78" s="17" t="str">
        <f>IFERROR(VLOOKUP(シフト組み!R108,役職一覧!$B:$D,2,FALSE),"")</f>
        <v/>
      </c>
      <c r="S78" s="17" t="str">
        <f>IFERROR(VLOOKUP(シフト組み!S108,役職一覧!$B:$D,2,FALSE),"")</f>
        <v/>
      </c>
      <c r="T78" s="17" t="str">
        <f>IFERROR(VLOOKUP(シフト組み!T108,役職一覧!$B:$D,2,FALSE),"")</f>
        <v/>
      </c>
      <c r="U78" s="17" t="str">
        <f>IFERROR(VLOOKUP(シフト組み!U108,役職一覧!$B:$D,2,FALSE),"")</f>
        <v/>
      </c>
      <c r="V78" s="17" t="str">
        <f>IFERROR(VLOOKUP(シフト組み!V108,役職一覧!$B:$D,2,FALSE),"")</f>
        <v/>
      </c>
      <c r="W78" s="17" t="str">
        <f>IFERROR(VLOOKUP(シフト組み!W108,役職一覧!$B:$D,2,FALSE),"")</f>
        <v/>
      </c>
      <c r="X78" s="17" t="str">
        <f>IFERROR(VLOOKUP(シフト組み!X108,役職一覧!$B:$D,2,FALSE),"")</f>
        <v/>
      </c>
      <c r="Y78" s="17" t="str">
        <f>IFERROR(VLOOKUP(シフト組み!Y108,役職一覧!$B:$D,2,FALSE),"")</f>
        <v/>
      </c>
      <c r="Z78" s="17" t="str">
        <f>IFERROR(VLOOKUP(シフト組み!Z108,役職一覧!$B:$D,2,FALSE),"")</f>
        <v/>
      </c>
      <c r="AA78" s="17" t="str">
        <f>IFERROR(VLOOKUP(シフト組み!AA108,役職一覧!$B:$D,2,FALSE),"")</f>
        <v/>
      </c>
      <c r="AB78" s="17" t="str">
        <f>IFERROR(VLOOKUP(シフト組み!AB108,役職一覧!$B:$D,2,FALSE),"")</f>
        <v/>
      </c>
      <c r="AC78" s="17" t="str">
        <f>IFERROR(VLOOKUP(シフト組み!AC108,役職一覧!$B:$D,2,FALSE),"")</f>
        <v/>
      </c>
      <c r="AD78" s="17" t="str">
        <f>IFERROR(VLOOKUP(シフト組み!AD108,役職一覧!$B:$D,2,FALSE),"")</f>
        <v/>
      </c>
      <c r="AE78" s="17" t="str">
        <f>IFERROR(VLOOKUP(シフト組み!AE108,役職一覧!$B:$D,2,FALSE),"")</f>
        <v/>
      </c>
      <c r="AF78" s="17" t="str">
        <f>IFERROR(VLOOKUP(シフト組み!AF108,役職一覧!$B:$D,2,FALSE),"")</f>
        <v/>
      </c>
      <c r="AG78" s="17" t="str">
        <f>IFERROR(VLOOKUP(シフト組み!AG108,役職一覧!$B:$D,2,FALSE),"")</f>
        <v/>
      </c>
      <c r="AH78" s="17" t="str">
        <f>IFERROR(VLOOKUP(シフト組み!AH108,役職一覧!$B:$D,3,FALSE),"")</f>
        <v/>
      </c>
      <c r="AI78" s="17" t="str">
        <f>IFERROR(VLOOKUP(シフト組み!AI108,役職一覧!$B:$D,3,FALSE),"")</f>
        <v/>
      </c>
      <c r="AJ78" s="17" t="str">
        <f>IFERROR(VLOOKUP(シフト組み!AJ108,役職一覧!$B:$D,3,FALSE),"")</f>
        <v/>
      </c>
      <c r="AK78" s="17" t="str">
        <f>IFERROR(VLOOKUP(シフト組み!AK108,役職一覧!$B:$D,3,FALSE),"")</f>
        <v/>
      </c>
      <c r="AL78" s="17" t="str">
        <f>IFERROR(VLOOKUP(シフト組み!AL108,役職一覧!$B:$D,3,FALSE),"")</f>
        <v/>
      </c>
      <c r="AM78" s="17" t="str">
        <f>IFERROR(VLOOKUP(シフト組み!AM108,役職一覧!$B:$D,3,FALSE),"")</f>
        <v/>
      </c>
      <c r="AN78" s="17" t="str">
        <f>IFERROR(VLOOKUP(シフト組み!AN108,役職一覧!$B:$D,3,FALSE),"")</f>
        <v/>
      </c>
      <c r="AO78" s="17" t="str">
        <f>IFERROR(VLOOKUP(シフト組み!AO108,役職一覧!$B:$D,3,FALSE),"")</f>
        <v/>
      </c>
      <c r="AP78" s="17" t="str">
        <f>IFERROR(VLOOKUP(シフト組み!AP108,役職一覧!$B:$D,3,FALSE),"")</f>
        <v/>
      </c>
      <c r="AQ78" s="17" t="str">
        <f>IFERROR(VLOOKUP(シフト組み!AQ108,役職一覧!$B:$D,3,FALSE),"")</f>
        <v/>
      </c>
      <c r="AR78" s="17" t="str">
        <f>IFERROR(VLOOKUP(シフト組み!AR108,役職一覧!$B:$D,3,FALSE),"")</f>
        <v/>
      </c>
      <c r="AS78" s="17" t="str">
        <f>IFERROR(VLOOKUP(シフト組み!AS108,役職一覧!$B:$D,3,FALSE),"")</f>
        <v/>
      </c>
      <c r="AT78" s="17" t="str">
        <f>IFERROR(VLOOKUP(シフト組み!AT108,役職一覧!$B:$D,3,FALSE),"")</f>
        <v/>
      </c>
      <c r="AU78" s="17" t="str">
        <f>IFERROR(VLOOKUP(シフト組み!AU108,役職一覧!$B:$D,3,FALSE),"")</f>
        <v/>
      </c>
      <c r="AV78" s="17" t="str">
        <f>IFERROR(VLOOKUP(シフト組み!AV108,役職一覧!$B:$D,3,FALSE),"")</f>
        <v/>
      </c>
      <c r="AW78" s="17" t="str">
        <f>IFERROR(VLOOKUP(シフト組み!AW108,役職一覧!$B:$D,3,FALSE),"")</f>
        <v/>
      </c>
      <c r="AX78" s="17" t="str">
        <f>IFERROR(VLOOKUP(シフト組み!AX108,役職一覧!$B:$D,3,FALSE),"")</f>
        <v/>
      </c>
      <c r="AY78" s="17" t="str">
        <f>IFERROR(VLOOKUP(シフト組み!AY108,役職一覧!$B:$D,3,FALSE),"")</f>
        <v/>
      </c>
      <c r="AZ78" s="17" t="str">
        <f>IFERROR(VLOOKUP(シフト組み!AZ108,役職一覧!$B:$D,3,FALSE),"")</f>
        <v/>
      </c>
      <c r="BA78" s="17" t="str">
        <f>IFERROR(VLOOKUP(シフト組み!BA108,役職一覧!$B:$D,3,FALSE),"")</f>
        <v/>
      </c>
    </row>
    <row r="79" spans="1:53">
      <c r="A79" s="2" t="str">
        <f>シフト組み!A109&amp;""</f>
        <v/>
      </c>
      <c r="B79" s="2" t="str">
        <f>シフト組み!B109&amp;""</f>
        <v/>
      </c>
      <c r="C79" s="2" t="str">
        <f>シフト組み!C109&amp;""</f>
        <v/>
      </c>
      <c r="D79" s="17" t="str">
        <f>IFERROR(VLOOKUP(シフト組み!D109,役職一覧!$B:$D,2,FALSE),"")</f>
        <v/>
      </c>
      <c r="E79" s="17" t="str">
        <f>IFERROR(VLOOKUP(シフト組み!E109,役職一覧!$B:$D,2,FALSE),"")</f>
        <v/>
      </c>
      <c r="F79" s="17" t="str">
        <f>IFERROR(VLOOKUP(シフト組み!F109,役職一覧!$B:$D,2,FALSE),"")</f>
        <v/>
      </c>
      <c r="G79" s="17" t="str">
        <f>IFERROR(VLOOKUP(シフト組み!G109,役職一覧!$B:$D,2,FALSE),"")</f>
        <v/>
      </c>
      <c r="H79" s="17" t="str">
        <f>IFERROR(VLOOKUP(シフト組み!H109,役職一覧!$B:$D,2,FALSE),"")</f>
        <v/>
      </c>
      <c r="I79" s="17" t="str">
        <f>IFERROR(VLOOKUP(シフト組み!I109,役職一覧!$B:$D,2,FALSE),"")</f>
        <v/>
      </c>
      <c r="J79" s="17" t="str">
        <f>IFERROR(VLOOKUP(シフト組み!J109,役職一覧!$B:$D,2,FALSE),"")</f>
        <v/>
      </c>
      <c r="K79" s="17" t="str">
        <f>IFERROR(VLOOKUP(シフト組み!K109,役職一覧!$B:$D,2,FALSE),"")</f>
        <v/>
      </c>
      <c r="L79" s="17" t="str">
        <f>IFERROR(VLOOKUP(シフト組み!L109,役職一覧!$B:$D,2,FALSE),"")</f>
        <v/>
      </c>
      <c r="M79" s="17" t="str">
        <f>IFERROR(VLOOKUP(シフト組み!M109,役職一覧!$B:$D,2,FALSE),"")</f>
        <v/>
      </c>
      <c r="N79" s="17" t="str">
        <f>IFERROR(VLOOKUP(シフト組み!N109,役職一覧!$B:$D,2,FALSE),"")</f>
        <v/>
      </c>
      <c r="O79" s="17" t="str">
        <f>IFERROR(VLOOKUP(シフト組み!O109,役職一覧!$B:$D,2,FALSE),"")</f>
        <v/>
      </c>
      <c r="P79" s="17" t="str">
        <f>IFERROR(VLOOKUP(シフト組み!P109,役職一覧!$B:$D,2,FALSE),"")</f>
        <v/>
      </c>
      <c r="Q79" s="17" t="str">
        <f>IFERROR(VLOOKUP(シフト組み!Q109,役職一覧!$B:$D,2,FALSE),"")</f>
        <v/>
      </c>
      <c r="R79" s="17" t="str">
        <f>IFERROR(VLOOKUP(シフト組み!R109,役職一覧!$B:$D,2,FALSE),"")</f>
        <v/>
      </c>
      <c r="S79" s="17" t="str">
        <f>IFERROR(VLOOKUP(シフト組み!S109,役職一覧!$B:$D,2,FALSE),"")</f>
        <v/>
      </c>
      <c r="T79" s="17" t="str">
        <f>IFERROR(VLOOKUP(シフト組み!T109,役職一覧!$B:$D,2,FALSE),"")</f>
        <v/>
      </c>
      <c r="U79" s="17" t="str">
        <f>IFERROR(VLOOKUP(シフト組み!U109,役職一覧!$B:$D,2,FALSE),"")</f>
        <v/>
      </c>
      <c r="V79" s="17" t="str">
        <f>IFERROR(VLOOKUP(シフト組み!V109,役職一覧!$B:$D,2,FALSE),"")</f>
        <v/>
      </c>
      <c r="W79" s="17" t="str">
        <f>IFERROR(VLOOKUP(シフト組み!W109,役職一覧!$B:$D,2,FALSE),"")</f>
        <v/>
      </c>
      <c r="X79" s="17" t="str">
        <f>IFERROR(VLOOKUP(シフト組み!X109,役職一覧!$B:$D,2,FALSE),"")</f>
        <v/>
      </c>
      <c r="Y79" s="17" t="str">
        <f>IFERROR(VLOOKUP(シフト組み!Y109,役職一覧!$B:$D,2,FALSE),"")</f>
        <v/>
      </c>
      <c r="Z79" s="17" t="str">
        <f>IFERROR(VLOOKUP(シフト組み!Z109,役職一覧!$B:$D,2,FALSE),"")</f>
        <v/>
      </c>
      <c r="AA79" s="17" t="str">
        <f>IFERROR(VLOOKUP(シフト組み!AA109,役職一覧!$B:$D,2,FALSE),"")</f>
        <v/>
      </c>
      <c r="AB79" s="17" t="str">
        <f>IFERROR(VLOOKUP(シフト組み!AB109,役職一覧!$B:$D,2,FALSE),"")</f>
        <v/>
      </c>
      <c r="AC79" s="17" t="str">
        <f>IFERROR(VLOOKUP(シフト組み!AC109,役職一覧!$B:$D,2,FALSE),"")</f>
        <v/>
      </c>
      <c r="AD79" s="17" t="str">
        <f>IFERROR(VLOOKUP(シフト組み!AD109,役職一覧!$B:$D,2,FALSE),"")</f>
        <v/>
      </c>
      <c r="AE79" s="17" t="str">
        <f>IFERROR(VLOOKUP(シフト組み!AE109,役職一覧!$B:$D,2,FALSE),"")</f>
        <v/>
      </c>
      <c r="AF79" s="17" t="str">
        <f>IFERROR(VLOOKUP(シフト組み!AF109,役職一覧!$B:$D,2,FALSE),"")</f>
        <v/>
      </c>
      <c r="AG79" s="17" t="str">
        <f>IFERROR(VLOOKUP(シフト組み!AG109,役職一覧!$B:$D,2,FALSE),"")</f>
        <v/>
      </c>
      <c r="AH79" s="17" t="str">
        <f>IFERROR(VLOOKUP(シフト組み!AH109,役職一覧!$B:$D,3,FALSE),"")</f>
        <v/>
      </c>
      <c r="AI79" s="17" t="str">
        <f>IFERROR(VLOOKUP(シフト組み!AI109,役職一覧!$B:$D,3,FALSE),"")</f>
        <v/>
      </c>
      <c r="AJ79" s="17" t="str">
        <f>IFERROR(VLOOKUP(シフト組み!AJ109,役職一覧!$B:$D,3,FALSE),"")</f>
        <v/>
      </c>
      <c r="AK79" s="17" t="str">
        <f>IFERROR(VLOOKUP(シフト組み!AK109,役職一覧!$B:$D,3,FALSE),"")</f>
        <v/>
      </c>
      <c r="AL79" s="17" t="str">
        <f>IFERROR(VLOOKUP(シフト組み!AL109,役職一覧!$B:$D,3,FALSE),"")</f>
        <v/>
      </c>
      <c r="AM79" s="17" t="str">
        <f>IFERROR(VLOOKUP(シフト組み!AM109,役職一覧!$B:$D,3,FALSE),"")</f>
        <v/>
      </c>
      <c r="AN79" s="17" t="str">
        <f>IFERROR(VLOOKUP(シフト組み!AN109,役職一覧!$B:$D,3,FALSE),"")</f>
        <v/>
      </c>
      <c r="AO79" s="17" t="str">
        <f>IFERROR(VLOOKUP(シフト組み!AO109,役職一覧!$B:$D,3,FALSE),"")</f>
        <v/>
      </c>
      <c r="AP79" s="17" t="str">
        <f>IFERROR(VLOOKUP(シフト組み!AP109,役職一覧!$B:$D,3,FALSE),"")</f>
        <v/>
      </c>
      <c r="AQ79" s="17" t="str">
        <f>IFERROR(VLOOKUP(シフト組み!AQ109,役職一覧!$B:$D,3,FALSE),"")</f>
        <v/>
      </c>
      <c r="AR79" s="17" t="str">
        <f>IFERROR(VLOOKUP(シフト組み!AR109,役職一覧!$B:$D,3,FALSE),"")</f>
        <v/>
      </c>
      <c r="AS79" s="17" t="str">
        <f>IFERROR(VLOOKUP(シフト組み!AS109,役職一覧!$B:$D,3,FALSE),"")</f>
        <v/>
      </c>
      <c r="AT79" s="17" t="str">
        <f>IFERROR(VLOOKUP(シフト組み!AT109,役職一覧!$B:$D,3,FALSE),"")</f>
        <v/>
      </c>
      <c r="AU79" s="17" t="str">
        <f>IFERROR(VLOOKUP(シフト組み!AU109,役職一覧!$B:$D,3,FALSE),"")</f>
        <v/>
      </c>
      <c r="AV79" s="17" t="str">
        <f>IFERROR(VLOOKUP(シフト組み!AV109,役職一覧!$B:$D,3,FALSE),"")</f>
        <v/>
      </c>
      <c r="AW79" s="17" t="str">
        <f>IFERROR(VLOOKUP(シフト組み!AW109,役職一覧!$B:$D,3,FALSE),"")</f>
        <v/>
      </c>
      <c r="AX79" s="17" t="str">
        <f>IFERROR(VLOOKUP(シフト組み!AX109,役職一覧!$B:$D,3,FALSE),"")</f>
        <v/>
      </c>
      <c r="AY79" s="17" t="str">
        <f>IFERROR(VLOOKUP(シフト組み!AY109,役職一覧!$B:$D,3,FALSE),"")</f>
        <v/>
      </c>
      <c r="AZ79" s="17" t="str">
        <f>IFERROR(VLOOKUP(シフト組み!AZ109,役職一覧!$B:$D,3,FALSE),"")</f>
        <v/>
      </c>
      <c r="BA79" s="17" t="str">
        <f>IFERROR(VLOOKUP(シフト組み!BA109,役職一覧!$B:$D,3,FALSE),"")</f>
        <v/>
      </c>
    </row>
    <row r="80" spans="1:53">
      <c r="A80" s="2" t="str">
        <f>シフト組み!A110&amp;""</f>
        <v/>
      </c>
      <c r="B80" s="2" t="str">
        <f>シフト組み!B110&amp;""</f>
        <v/>
      </c>
      <c r="C80" s="2" t="str">
        <f>シフト組み!C110&amp;""</f>
        <v/>
      </c>
      <c r="D80" s="17" t="str">
        <f>IFERROR(VLOOKUP(シフト組み!D110,役職一覧!$B:$D,2,FALSE),"")</f>
        <v/>
      </c>
      <c r="E80" s="17" t="str">
        <f>IFERROR(VLOOKUP(シフト組み!E110,役職一覧!$B:$D,2,FALSE),"")</f>
        <v/>
      </c>
      <c r="F80" s="17" t="str">
        <f>IFERROR(VLOOKUP(シフト組み!F110,役職一覧!$B:$D,2,FALSE),"")</f>
        <v/>
      </c>
      <c r="G80" s="17" t="str">
        <f>IFERROR(VLOOKUP(シフト組み!G110,役職一覧!$B:$D,2,FALSE),"")</f>
        <v/>
      </c>
      <c r="H80" s="17" t="str">
        <f>IFERROR(VLOOKUP(シフト組み!H110,役職一覧!$B:$D,2,FALSE),"")</f>
        <v/>
      </c>
      <c r="I80" s="17" t="str">
        <f>IFERROR(VLOOKUP(シフト組み!I110,役職一覧!$B:$D,2,FALSE),"")</f>
        <v/>
      </c>
      <c r="J80" s="17" t="str">
        <f>IFERROR(VLOOKUP(シフト組み!J110,役職一覧!$B:$D,2,FALSE),"")</f>
        <v/>
      </c>
      <c r="K80" s="17" t="str">
        <f>IFERROR(VLOOKUP(シフト組み!K110,役職一覧!$B:$D,2,FALSE),"")</f>
        <v/>
      </c>
      <c r="L80" s="17" t="str">
        <f>IFERROR(VLOOKUP(シフト組み!L110,役職一覧!$B:$D,2,FALSE),"")</f>
        <v/>
      </c>
      <c r="M80" s="17" t="str">
        <f>IFERROR(VLOOKUP(シフト組み!M110,役職一覧!$B:$D,2,FALSE),"")</f>
        <v/>
      </c>
      <c r="N80" s="17" t="str">
        <f>IFERROR(VLOOKUP(シフト組み!N110,役職一覧!$B:$D,2,FALSE),"")</f>
        <v/>
      </c>
      <c r="O80" s="17" t="str">
        <f>IFERROR(VLOOKUP(シフト組み!O110,役職一覧!$B:$D,2,FALSE),"")</f>
        <v/>
      </c>
      <c r="P80" s="17" t="str">
        <f>IFERROR(VLOOKUP(シフト組み!P110,役職一覧!$B:$D,2,FALSE),"")</f>
        <v/>
      </c>
      <c r="Q80" s="17" t="str">
        <f>IFERROR(VLOOKUP(シフト組み!Q110,役職一覧!$B:$D,2,FALSE),"")</f>
        <v/>
      </c>
      <c r="R80" s="17" t="str">
        <f>IFERROR(VLOOKUP(シフト組み!R110,役職一覧!$B:$D,2,FALSE),"")</f>
        <v/>
      </c>
      <c r="S80" s="17" t="str">
        <f>IFERROR(VLOOKUP(シフト組み!S110,役職一覧!$B:$D,2,FALSE),"")</f>
        <v/>
      </c>
      <c r="T80" s="17" t="str">
        <f>IFERROR(VLOOKUP(シフト組み!T110,役職一覧!$B:$D,2,FALSE),"")</f>
        <v/>
      </c>
      <c r="U80" s="17" t="str">
        <f>IFERROR(VLOOKUP(シフト組み!U110,役職一覧!$B:$D,2,FALSE),"")</f>
        <v/>
      </c>
      <c r="V80" s="17" t="str">
        <f>IFERROR(VLOOKUP(シフト組み!V110,役職一覧!$B:$D,2,FALSE),"")</f>
        <v/>
      </c>
      <c r="W80" s="17" t="str">
        <f>IFERROR(VLOOKUP(シフト組み!W110,役職一覧!$B:$D,2,FALSE),"")</f>
        <v/>
      </c>
      <c r="X80" s="17" t="str">
        <f>IFERROR(VLOOKUP(シフト組み!X110,役職一覧!$B:$D,2,FALSE),"")</f>
        <v/>
      </c>
      <c r="Y80" s="17" t="str">
        <f>IFERROR(VLOOKUP(シフト組み!Y110,役職一覧!$B:$D,2,FALSE),"")</f>
        <v/>
      </c>
      <c r="Z80" s="17" t="str">
        <f>IFERROR(VLOOKUP(シフト組み!Z110,役職一覧!$B:$D,2,FALSE),"")</f>
        <v/>
      </c>
      <c r="AA80" s="17" t="str">
        <f>IFERROR(VLOOKUP(シフト組み!AA110,役職一覧!$B:$D,2,FALSE),"")</f>
        <v/>
      </c>
      <c r="AB80" s="17" t="str">
        <f>IFERROR(VLOOKUP(シフト組み!AB110,役職一覧!$B:$D,2,FALSE),"")</f>
        <v/>
      </c>
      <c r="AC80" s="17" t="str">
        <f>IFERROR(VLOOKUP(シフト組み!AC110,役職一覧!$B:$D,2,FALSE),"")</f>
        <v/>
      </c>
      <c r="AD80" s="17" t="str">
        <f>IFERROR(VLOOKUP(シフト組み!AD110,役職一覧!$B:$D,2,FALSE),"")</f>
        <v/>
      </c>
      <c r="AE80" s="17" t="str">
        <f>IFERROR(VLOOKUP(シフト組み!AE110,役職一覧!$B:$D,2,FALSE),"")</f>
        <v/>
      </c>
      <c r="AF80" s="17" t="str">
        <f>IFERROR(VLOOKUP(シフト組み!AF110,役職一覧!$B:$D,2,FALSE),"")</f>
        <v/>
      </c>
      <c r="AG80" s="17" t="str">
        <f>IFERROR(VLOOKUP(シフト組み!AG110,役職一覧!$B:$D,2,FALSE),"")</f>
        <v/>
      </c>
      <c r="AH80" s="17" t="str">
        <f>IFERROR(VLOOKUP(シフト組み!AH110,役職一覧!$B:$D,3,FALSE),"")</f>
        <v/>
      </c>
      <c r="AI80" s="17" t="str">
        <f>IFERROR(VLOOKUP(シフト組み!AI110,役職一覧!$B:$D,3,FALSE),"")</f>
        <v/>
      </c>
      <c r="AJ80" s="17" t="str">
        <f>IFERROR(VLOOKUP(シフト組み!AJ110,役職一覧!$B:$D,3,FALSE),"")</f>
        <v/>
      </c>
      <c r="AK80" s="17" t="str">
        <f>IFERROR(VLOOKUP(シフト組み!AK110,役職一覧!$B:$D,3,FALSE),"")</f>
        <v/>
      </c>
      <c r="AL80" s="17" t="str">
        <f>IFERROR(VLOOKUP(シフト組み!AL110,役職一覧!$B:$D,3,FALSE),"")</f>
        <v/>
      </c>
      <c r="AM80" s="17" t="str">
        <f>IFERROR(VLOOKUP(シフト組み!AM110,役職一覧!$B:$D,3,FALSE),"")</f>
        <v/>
      </c>
      <c r="AN80" s="17" t="str">
        <f>IFERROR(VLOOKUP(シフト組み!AN110,役職一覧!$B:$D,3,FALSE),"")</f>
        <v/>
      </c>
      <c r="AO80" s="17" t="str">
        <f>IFERROR(VLOOKUP(シフト組み!AO110,役職一覧!$B:$D,3,FALSE),"")</f>
        <v/>
      </c>
      <c r="AP80" s="17" t="str">
        <f>IFERROR(VLOOKUP(シフト組み!AP110,役職一覧!$B:$D,3,FALSE),"")</f>
        <v/>
      </c>
      <c r="AQ80" s="17" t="str">
        <f>IFERROR(VLOOKUP(シフト組み!AQ110,役職一覧!$B:$D,3,FALSE),"")</f>
        <v/>
      </c>
      <c r="AR80" s="17" t="str">
        <f>IFERROR(VLOOKUP(シフト組み!AR110,役職一覧!$B:$D,3,FALSE),"")</f>
        <v/>
      </c>
      <c r="AS80" s="17" t="str">
        <f>IFERROR(VLOOKUP(シフト組み!AS110,役職一覧!$B:$D,3,FALSE),"")</f>
        <v/>
      </c>
      <c r="AT80" s="17" t="str">
        <f>IFERROR(VLOOKUP(シフト組み!AT110,役職一覧!$B:$D,3,FALSE),"")</f>
        <v/>
      </c>
      <c r="AU80" s="17" t="str">
        <f>IFERROR(VLOOKUP(シフト組み!AU110,役職一覧!$B:$D,3,FALSE),"")</f>
        <v/>
      </c>
      <c r="AV80" s="17" t="str">
        <f>IFERROR(VLOOKUP(シフト組み!AV110,役職一覧!$B:$D,3,FALSE),"")</f>
        <v/>
      </c>
      <c r="AW80" s="17" t="str">
        <f>IFERROR(VLOOKUP(シフト組み!AW110,役職一覧!$B:$D,3,FALSE),"")</f>
        <v/>
      </c>
      <c r="AX80" s="17" t="str">
        <f>IFERROR(VLOOKUP(シフト組み!AX110,役職一覧!$B:$D,3,FALSE),"")</f>
        <v/>
      </c>
      <c r="AY80" s="17" t="str">
        <f>IFERROR(VLOOKUP(シフト組み!AY110,役職一覧!$B:$D,3,FALSE),"")</f>
        <v/>
      </c>
      <c r="AZ80" s="17" t="str">
        <f>IFERROR(VLOOKUP(シフト組み!AZ110,役職一覧!$B:$D,3,FALSE),"")</f>
        <v/>
      </c>
      <c r="BA80" s="17" t="str">
        <f>IFERROR(VLOOKUP(シフト組み!BA110,役職一覧!$B:$D,3,FALSE),"")</f>
        <v/>
      </c>
    </row>
    <row r="81" spans="1:53">
      <c r="A81" s="2" t="str">
        <f>シフト組み!A111&amp;""</f>
        <v/>
      </c>
      <c r="B81" s="2" t="str">
        <f>シフト組み!B111&amp;""</f>
        <v/>
      </c>
      <c r="C81" s="2" t="str">
        <f>シフト組み!C111&amp;""</f>
        <v/>
      </c>
      <c r="D81" s="17" t="str">
        <f>IFERROR(VLOOKUP(シフト組み!D111,役職一覧!$B:$D,2,FALSE),"")</f>
        <v/>
      </c>
      <c r="E81" s="17" t="str">
        <f>IFERROR(VLOOKUP(シフト組み!E111,役職一覧!$B:$D,2,FALSE),"")</f>
        <v/>
      </c>
      <c r="F81" s="17" t="str">
        <f>IFERROR(VLOOKUP(シフト組み!F111,役職一覧!$B:$D,2,FALSE),"")</f>
        <v/>
      </c>
      <c r="G81" s="17" t="str">
        <f>IFERROR(VLOOKUP(シフト組み!G111,役職一覧!$B:$D,2,FALSE),"")</f>
        <v/>
      </c>
      <c r="H81" s="17" t="str">
        <f>IFERROR(VLOOKUP(シフト組み!H111,役職一覧!$B:$D,2,FALSE),"")</f>
        <v/>
      </c>
      <c r="I81" s="17" t="str">
        <f>IFERROR(VLOOKUP(シフト組み!I111,役職一覧!$B:$D,2,FALSE),"")</f>
        <v/>
      </c>
      <c r="J81" s="17" t="str">
        <f>IFERROR(VLOOKUP(シフト組み!J111,役職一覧!$B:$D,2,FALSE),"")</f>
        <v/>
      </c>
      <c r="K81" s="17" t="str">
        <f>IFERROR(VLOOKUP(シフト組み!K111,役職一覧!$B:$D,2,FALSE),"")</f>
        <v/>
      </c>
      <c r="L81" s="17" t="str">
        <f>IFERROR(VLOOKUP(シフト組み!L111,役職一覧!$B:$D,2,FALSE),"")</f>
        <v/>
      </c>
      <c r="M81" s="17" t="str">
        <f>IFERROR(VLOOKUP(シフト組み!M111,役職一覧!$B:$D,2,FALSE),"")</f>
        <v/>
      </c>
      <c r="N81" s="17" t="str">
        <f>IFERROR(VLOOKUP(シフト組み!N111,役職一覧!$B:$D,2,FALSE),"")</f>
        <v/>
      </c>
      <c r="O81" s="17" t="str">
        <f>IFERROR(VLOOKUP(シフト組み!O111,役職一覧!$B:$D,2,FALSE),"")</f>
        <v/>
      </c>
      <c r="P81" s="17" t="str">
        <f>IFERROR(VLOOKUP(シフト組み!P111,役職一覧!$B:$D,2,FALSE),"")</f>
        <v/>
      </c>
      <c r="Q81" s="17" t="str">
        <f>IFERROR(VLOOKUP(シフト組み!Q111,役職一覧!$B:$D,2,FALSE),"")</f>
        <v/>
      </c>
      <c r="R81" s="17" t="str">
        <f>IFERROR(VLOOKUP(シフト組み!R111,役職一覧!$B:$D,2,FALSE),"")</f>
        <v/>
      </c>
      <c r="S81" s="17" t="str">
        <f>IFERROR(VLOOKUP(シフト組み!S111,役職一覧!$B:$D,2,FALSE),"")</f>
        <v/>
      </c>
      <c r="T81" s="17" t="str">
        <f>IFERROR(VLOOKUP(シフト組み!T111,役職一覧!$B:$D,2,FALSE),"")</f>
        <v/>
      </c>
      <c r="U81" s="17" t="str">
        <f>IFERROR(VLOOKUP(シフト組み!U111,役職一覧!$B:$D,2,FALSE),"")</f>
        <v/>
      </c>
      <c r="V81" s="17" t="str">
        <f>IFERROR(VLOOKUP(シフト組み!V111,役職一覧!$B:$D,2,FALSE),"")</f>
        <v/>
      </c>
      <c r="W81" s="17" t="str">
        <f>IFERROR(VLOOKUP(シフト組み!W111,役職一覧!$B:$D,2,FALSE),"")</f>
        <v/>
      </c>
      <c r="X81" s="17" t="str">
        <f>IFERROR(VLOOKUP(シフト組み!X111,役職一覧!$B:$D,2,FALSE),"")</f>
        <v/>
      </c>
      <c r="Y81" s="17" t="str">
        <f>IFERROR(VLOOKUP(シフト組み!Y111,役職一覧!$B:$D,2,FALSE),"")</f>
        <v/>
      </c>
      <c r="Z81" s="17" t="str">
        <f>IFERROR(VLOOKUP(シフト組み!Z111,役職一覧!$B:$D,2,FALSE),"")</f>
        <v/>
      </c>
      <c r="AA81" s="17" t="str">
        <f>IFERROR(VLOOKUP(シフト組み!AA111,役職一覧!$B:$D,2,FALSE),"")</f>
        <v/>
      </c>
      <c r="AB81" s="17" t="str">
        <f>IFERROR(VLOOKUP(シフト組み!AB111,役職一覧!$B:$D,2,FALSE),"")</f>
        <v/>
      </c>
      <c r="AC81" s="17" t="str">
        <f>IFERROR(VLOOKUP(シフト組み!AC111,役職一覧!$B:$D,2,FALSE),"")</f>
        <v/>
      </c>
      <c r="AD81" s="17" t="str">
        <f>IFERROR(VLOOKUP(シフト組み!AD111,役職一覧!$B:$D,2,FALSE),"")</f>
        <v/>
      </c>
      <c r="AE81" s="17" t="str">
        <f>IFERROR(VLOOKUP(シフト組み!AE111,役職一覧!$B:$D,2,FALSE),"")</f>
        <v/>
      </c>
      <c r="AF81" s="17" t="str">
        <f>IFERROR(VLOOKUP(シフト組み!AF111,役職一覧!$B:$D,2,FALSE),"")</f>
        <v/>
      </c>
      <c r="AG81" s="17" t="str">
        <f>IFERROR(VLOOKUP(シフト組み!AG111,役職一覧!$B:$D,2,FALSE),"")</f>
        <v/>
      </c>
      <c r="AH81" s="17" t="str">
        <f>IFERROR(VLOOKUP(シフト組み!AH111,役職一覧!$B:$D,3,FALSE),"")</f>
        <v/>
      </c>
      <c r="AI81" s="17" t="str">
        <f>IFERROR(VLOOKUP(シフト組み!AI111,役職一覧!$B:$D,3,FALSE),"")</f>
        <v/>
      </c>
      <c r="AJ81" s="17" t="str">
        <f>IFERROR(VLOOKUP(シフト組み!AJ111,役職一覧!$B:$D,3,FALSE),"")</f>
        <v/>
      </c>
      <c r="AK81" s="17" t="str">
        <f>IFERROR(VLOOKUP(シフト組み!AK111,役職一覧!$B:$D,3,FALSE),"")</f>
        <v/>
      </c>
      <c r="AL81" s="17" t="str">
        <f>IFERROR(VLOOKUP(シフト組み!AL111,役職一覧!$B:$D,3,FALSE),"")</f>
        <v/>
      </c>
      <c r="AM81" s="17" t="str">
        <f>IFERROR(VLOOKUP(シフト組み!AM111,役職一覧!$B:$D,3,FALSE),"")</f>
        <v/>
      </c>
      <c r="AN81" s="17" t="str">
        <f>IFERROR(VLOOKUP(シフト組み!AN111,役職一覧!$B:$D,3,FALSE),"")</f>
        <v/>
      </c>
      <c r="AO81" s="17" t="str">
        <f>IFERROR(VLOOKUP(シフト組み!AO111,役職一覧!$B:$D,3,FALSE),"")</f>
        <v/>
      </c>
      <c r="AP81" s="17" t="str">
        <f>IFERROR(VLOOKUP(シフト組み!AP111,役職一覧!$B:$D,3,FALSE),"")</f>
        <v/>
      </c>
      <c r="AQ81" s="17" t="str">
        <f>IFERROR(VLOOKUP(シフト組み!AQ111,役職一覧!$B:$D,3,FALSE),"")</f>
        <v/>
      </c>
      <c r="AR81" s="17" t="str">
        <f>IFERROR(VLOOKUP(シフト組み!AR111,役職一覧!$B:$D,3,FALSE),"")</f>
        <v/>
      </c>
      <c r="AS81" s="17" t="str">
        <f>IFERROR(VLOOKUP(シフト組み!AS111,役職一覧!$B:$D,3,FALSE),"")</f>
        <v/>
      </c>
      <c r="AT81" s="17" t="str">
        <f>IFERROR(VLOOKUP(シフト組み!AT111,役職一覧!$B:$D,3,FALSE),"")</f>
        <v/>
      </c>
      <c r="AU81" s="17" t="str">
        <f>IFERROR(VLOOKUP(シフト組み!AU111,役職一覧!$B:$D,3,FALSE),"")</f>
        <v/>
      </c>
      <c r="AV81" s="17" t="str">
        <f>IFERROR(VLOOKUP(シフト組み!AV111,役職一覧!$B:$D,3,FALSE),"")</f>
        <v/>
      </c>
      <c r="AW81" s="17" t="str">
        <f>IFERROR(VLOOKUP(シフト組み!AW111,役職一覧!$B:$D,3,FALSE),"")</f>
        <v/>
      </c>
      <c r="AX81" s="17" t="str">
        <f>IFERROR(VLOOKUP(シフト組み!AX111,役職一覧!$B:$D,3,FALSE),"")</f>
        <v/>
      </c>
      <c r="AY81" s="17" t="str">
        <f>IFERROR(VLOOKUP(シフト組み!AY111,役職一覧!$B:$D,3,FALSE),"")</f>
        <v/>
      </c>
      <c r="AZ81" s="17" t="str">
        <f>IFERROR(VLOOKUP(シフト組み!AZ111,役職一覧!$B:$D,3,FALSE),"")</f>
        <v/>
      </c>
      <c r="BA81" s="17" t="str">
        <f>IFERROR(VLOOKUP(シフト組み!BA111,役職一覧!$B:$D,3,FALSE),"")</f>
        <v/>
      </c>
    </row>
    <row r="82" spans="1:53">
      <c r="A82" s="2" t="str">
        <f>シフト組み!A112&amp;""</f>
        <v/>
      </c>
      <c r="B82" s="2" t="str">
        <f>シフト組み!B112&amp;""</f>
        <v/>
      </c>
      <c r="C82" s="2" t="str">
        <f>シフト組み!C112&amp;""</f>
        <v/>
      </c>
      <c r="D82" s="17" t="str">
        <f>IFERROR(VLOOKUP(シフト組み!D112,役職一覧!$B:$D,2,FALSE),"")</f>
        <v/>
      </c>
      <c r="E82" s="17" t="str">
        <f>IFERROR(VLOOKUP(シフト組み!E112,役職一覧!$B:$D,2,FALSE),"")</f>
        <v/>
      </c>
      <c r="F82" s="17" t="str">
        <f>IFERROR(VLOOKUP(シフト組み!F112,役職一覧!$B:$D,2,FALSE),"")</f>
        <v/>
      </c>
      <c r="G82" s="17" t="str">
        <f>IFERROR(VLOOKUP(シフト組み!G112,役職一覧!$B:$D,2,FALSE),"")</f>
        <v/>
      </c>
      <c r="H82" s="17" t="str">
        <f>IFERROR(VLOOKUP(シフト組み!H112,役職一覧!$B:$D,2,FALSE),"")</f>
        <v/>
      </c>
      <c r="I82" s="17" t="str">
        <f>IFERROR(VLOOKUP(シフト組み!I112,役職一覧!$B:$D,2,FALSE),"")</f>
        <v/>
      </c>
      <c r="J82" s="17" t="str">
        <f>IFERROR(VLOOKUP(シフト組み!J112,役職一覧!$B:$D,2,FALSE),"")</f>
        <v/>
      </c>
      <c r="K82" s="17" t="str">
        <f>IFERROR(VLOOKUP(シフト組み!K112,役職一覧!$B:$D,2,FALSE),"")</f>
        <v/>
      </c>
      <c r="L82" s="17" t="str">
        <f>IFERROR(VLOOKUP(シフト組み!L112,役職一覧!$B:$D,2,FALSE),"")</f>
        <v/>
      </c>
      <c r="M82" s="17" t="str">
        <f>IFERROR(VLOOKUP(シフト組み!M112,役職一覧!$B:$D,2,FALSE),"")</f>
        <v/>
      </c>
      <c r="N82" s="17" t="str">
        <f>IFERROR(VLOOKUP(シフト組み!N112,役職一覧!$B:$D,2,FALSE),"")</f>
        <v/>
      </c>
      <c r="O82" s="17" t="str">
        <f>IFERROR(VLOOKUP(シフト組み!O112,役職一覧!$B:$D,2,FALSE),"")</f>
        <v/>
      </c>
      <c r="P82" s="17" t="str">
        <f>IFERROR(VLOOKUP(シフト組み!P112,役職一覧!$B:$D,2,FALSE),"")</f>
        <v/>
      </c>
      <c r="Q82" s="17" t="str">
        <f>IFERROR(VLOOKUP(シフト組み!Q112,役職一覧!$B:$D,2,FALSE),"")</f>
        <v/>
      </c>
      <c r="R82" s="17" t="str">
        <f>IFERROR(VLOOKUP(シフト組み!R112,役職一覧!$B:$D,2,FALSE),"")</f>
        <v/>
      </c>
      <c r="S82" s="17" t="str">
        <f>IFERROR(VLOOKUP(シフト組み!S112,役職一覧!$B:$D,2,FALSE),"")</f>
        <v/>
      </c>
      <c r="T82" s="17" t="str">
        <f>IFERROR(VLOOKUP(シフト組み!T112,役職一覧!$B:$D,2,FALSE),"")</f>
        <v/>
      </c>
      <c r="U82" s="17" t="str">
        <f>IFERROR(VLOOKUP(シフト組み!U112,役職一覧!$B:$D,2,FALSE),"")</f>
        <v/>
      </c>
      <c r="V82" s="17" t="str">
        <f>IFERROR(VLOOKUP(シフト組み!V112,役職一覧!$B:$D,2,FALSE),"")</f>
        <v/>
      </c>
      <c r="W82" s="17" t="str">
        <f>IFERROR(VLOOKUP(シフト組み!W112,役職一覧!$B:$D,2,FALSE),"")</f>
        <v/>
      </c>
      <c r="X82" s="17" t="str">
        <f>IFERROR(VLOOKUP(シフト組み!X112,役職一覧!$B:$D,2,FALSE),"")</f>
        <v/>
      </c>
      <c r="Y82" s="17" t="str">
        <f>IFERROR(VLOOKUP(シフト組み!Y112,役職一覧!$B:$D,2,FALSE),"")</f>
        <v/>
      </c>
      <c r="Z82" s="17" t="str">
        <f>IFERROR(VLOOKUP(シフト組み!Z112,役職一覧!$B:$D,2,FALSE),"")</f>
        <v/>
      </c>
      <c r="AA82" s="17" t="str">
        <f>IFERROR(VLOOKUP(シフト組み!AA112,役職一覧!$B:$D,2,FALSE),"")</f>
        <v/>
      </c>
      <c r="AB82" s="17" t="str">
        <f>IFERROR(VLOOKUP(シフト組み!AB112,役職一覧!$B:$D,2,FALSE),"")</f>
        <v/>
      </c>
      <c r="AC82" s="17" t="str">
        <f>IFERROR(VLOOKUP(シフト組み!AC112,役職一覧!$B:$D,2,FALSE),"")</f>
        <v/>
      </c>
      <c r="AD82" s="17" t="str">
        <f>IFERROR(VLOOKUP(シフト組み!AD112,役職一覧!$B:$D,2,FALSE),"")</f>
        <v/>
      </c>
      <c r="AE82" s="17" t="str">
        <f>IFERROR(VLOOKUP(シフト組み!AE112,役職一覧!$B:$D,2,FALSE),"")</f>
        <v/>
      </c>
      <c r="AF82" s="17" t="str">
        <f>IFERROR(VLOOKUP(シフト組み!AF112,役職一覧!$B:$D,2,FALSE),"")</f>
        <v/>
      </c>
      <c r="AG82" s="17" t="str">
        <f>IFERROR(VLOOKUP(シフト組み!AG112,役職一覧!$B:$D,2,FALSE),"")</f>
        <v/>
      </c>
      <c r="AH82" s="17" t="str">
        <f>IFERROR(VLOOKUP(シフト組み!AH112,役職一覧!$B:$D,3,FALSE),"")</f>
        <v/>
      </c>
      <c r="AI82" s="17" t="str">
        <f>IFERROR(VLOOKUP(シフト組み!AI112,役職一覧!$B:$D,3,FALSE),"")</f>
        <v/>
      </c>
      <c r="AJ82" s="17" t="str">
        <f>IFERROR(VLOOKUP(シフト組み!AJ112,役職一覧!$B:$D,3,FALSE),"")</f>
        <v/>
      </c>
      <c r="AK82" s="17" t="str">
        <f>IFERROR(VLOOKUP(シフト組み!AK112,役職一覧!$B:$D,3,FALSE),"")</f>
        <v/>
      </c>
      <c r="AL82" s="17" t="str">
        <f>IFERROR(VLOOKUP(シフト組み!AL112,役職一覧!$B:$D,3,FALSE),"")</f>
        <v/>
      </c>
      <c r="AM82" s="17" t="str">
        <f>IFERROR(VLOOKUP(シフト組み!AM112,役職一覧!$B:$D,3,FALSE),"")</f>
        <v/>
      </c>
      <c r="AN82" s="17" t="str">
        <f>IFERROR(VLOOKUP(シフト組み!AN112,役職一覧!$B:$D,3,FALSE),"")</f>
        <v/>
      </c>
      <c r="AO82" s="17" t="str">
        <f>IFERROR(VLOOKUP(シフト組み!AO112,役職一覧!$B:$D,3,FALSE),"")</f>
        <v/>
      </c>
      <c r="AP82" s="17" t="str">
        <f>IFERROR(VLOOKUP(シフト組み!AP112,役職一覧!$B:$D,3,FALSE),"")</f>
        <v/>
      </c>
      <c r="AQ82" s="17" t="str">
        <f>IFERROR(VLOOKUP(シフト組み!AQ112,役職一覧!$B:$D,3,FALSE),"")</f>
        <v/>
      </c>
      <c r="AR82" s="17" t="str">
        <f>IFERROR(VLOOKUP(シフト組み!AR112,役職一覧!$B:$D,3,FALSE),"")</f>
        <v/>
      </c>
      <c r="AS82" s="17" t="str">
        <f>IFERROR(VLOOKUP(シフト組み!AS112,役職一覧!$B:$D,3,FALSE),"")</f>
        <v/>
      </c>
      <c r="AT82" s="17" t="str">
        <f>IFERROR(VLOOKUP(シフト組み!AT112,役職一覧!$B:$D,3,FALSE),"")</f>
        <v/>
      </c>
      <c r="AU82" s="17" t="str">
        <f>IFERROR(VLOOKUP(シフト組み!AU112,役職一覧!$B:$D,3,FALSE),"")</f>
        <v/>
      </c>
      <c r="AV82" s="17" t="str">
        <f>IFERROR(VLOOKUP(シフト組み!AV112,役職一覧!$B:$D,3,FALSE),"")</f>
        <v/>
      </c>
      <c r="AW82" s="17" t="str">
        <f>IFERROR(VLOOKUP(シフト組み!AW112,役職一覧!$B:$D,3,FALSE),"")</f>
        <v/>
      </c>
      <c r="AX82" s="17" t="str">
        <f>IFERROR(VLOOKUP(シフト組み!AX112,役職一覧!$B:$D,3,FALSE),"")</f>
        <v/>
      </c>
      <c r="AY82" s="17" t="str">
        <f>IFERROR(VLOOKUP(シフト組み!AY112,役職一覧!$B:$D,3,FALSE),"")</f>
        <v/>
      </c>
      <c r="AZ82" s="17" t="str">
        <f>IFERROR(VLOOKUP(シフト組み!AZ112,役職一覧!$B:$D,3,FALSE),"")</f>
        <v/>
      </c>
      <c r="BA82" s="17" t="str">
        <f>IFERROR(VLOOKUP(シフト組み!BA112,役職一覧!$B:$D,3,FALSE),"")</f>
        <v/>
      </c>
    </row>
    <row r="83" spans="1:53">
      <c r="A83" s="2" t="str">
        <f>シフト組み!A113&amp;""</f>
        <v/>
      </c>
      <c r="B83" s="2" t="str">
        <f>シフト組み!B113&amp;""</f>
        <v/>
      </c>
      <c r="C83" s="2" t="str">
        <f>シフト組み!C113&amp;""</f>
        <v/>
      </c>
      <c r="D83" s="17" t="str">
        <f>IFERROR(VLOOKUP(シフト組み!D113,役職一覧!$B:$D,2,FALSE),"")</f>
        <v/>
      </c>
      <c r="E83" s="17" t="str">
        <f>IFERROR(VLOOKUP(シフト組み!E113,役職一覧!$B:$D,2,FALSE),"")</f>
        <v/>
      </c>
      <c r="F83" s="17" t="str">
        <f>IFERROR(VLOOKUP(シフト組み!F113,役職一覧!$B:$D,2,FALSE),"")</f>
        <v/>
      </c>
      <c r="G83" s="17" t="str">
        <f>IFERROR(VLOOKUP(シフト組み!G113,役職一覧!$B:$D,2,FALSE),"")</f>
        <v/>
      </c>
      <c r="H83" s="17" t="str">
        <f>IFERROR(VLOOKUP(シフト組み!H113,役職一覧!$B:$D,2,FALSE),"")</f>
        <v/>
      </c>
      <c r="I83" s="17" t="str">
        <f>IFERROR(VLOOKUP(シフト組み!I113,役職一覧!$B:$D,2,FALSE),"")</f>
        <v/>
      </c>
      <c r="J83" s="17" t="str">
        <f>IFERROR(VLOOKUP(シフト組み!J113,役職一覧!$B:$D,2,FALSE),"")</f>
        <v/>
      </c>
      <c r="K83" s="17" t="str">
        <f>IFERROR(VLOOKUP(シフト組み!K113,役職一覧!$B:$D,2,FALSE),"")</f>
        <v/>
      </c>
      <c r="L83" s="17" t="str">
        <f>IFERROR(VLOOKUP(シフト組み!L113,役職一覧!$B:$D,2,FALSE),"")</f>
        <v/>
      </c>
      <c r="M83" s="17" t="str">
        <f>IFERROR(VLOOKUP(シフト組み!M113,役職一覧!$B:$D,2,FALSE),"")</f>
        <v/>
      </c>
      <c r="N83" s="17" t="str">
        <f>IFERROR(VLOOKUP(シフト組み!N113,役職一覧!$B:$D,2,FALSE),"")</f>
        <v/>
      </c>
      <c r="O83" s="17" t="str">
        <f>IFERROR(VLOOKUP(シフト組み!O113,役職一覧!$B:$D,2,FALSE),"")</f>
        <v/>
      </c>
      <c r="P83" s="17" t="str">
        <f>IFERROR(VLOOKUP(シフト組み!P113,役職一覧!$B:$D,2,FALSE),"")</f>
        <v/>
      </c>
      <c r="Q83" s="17" t="str">
        <f>IFERROR(VLOOKUP(シフト組み!Q113,役職一覧!$B:$D,2,FALSE),"")</f>
        <v/>
      </c>
      <c r="R83" s="17" t="str">
        <f>IFERROR(VLOOKUP(シフト組み!R113,役職一覧!$B:$D,2,FALSE),"")</f>
        <v/>
      </c>
      <c r="S83" s="17" t="str">
        <f>IFERROR(VLOOKUP(シフト組み!S113,役職一覧!$B:$D,2,FALSE),"")</f>
        <v/>
      </c>
      <c r="T83" s="17" t="str">
        <f>IFERROR(VLOOKUP(シフト組み!T113,役職一覧!$B:$D,2,FALSE),"")</f>
        <v/>
      </c>
      <c r="U83" s="17" t="str">
        <f>IFERROR(VLOOKUP(シフト組み!U113,役職一覧!$B:$D,2,FALSE),"")</f>
        <v/>
      </c>
      <c r="V83" s="17" t="str">
        <f>IFERROR(VLOOKUP(シフト組み!V113,役職一覧!$B:$D,2,FALSE),"")</f>
        <v/>
      </c>
      <c r="W83" s="17" t="str">
        <f>IFERROR(VLOOKUP(シフト組み!W113,役職一覧!$B:$D,2,FALSE),"")</f>
        <v/>
      </c>
      <c r="X83" s="17" t="str">
        <f>IFERROR(VLOOKUP(シフト組み!X113,役職一覧!$B:$D,2,FALSE),"")</f>
        <v/>
      </c>
      <c r="Y83" s="17" t="str">
        <f>IFERROR(VLOOKUP(シフト組み!Y113,役職一覧!$B:$D,2,FALSE),"")</f>
        <v/>
      </c>
      <c r="Z83" s="17" t="str">
        <f>IFERROR(VLOOKUP(シフト組み!Z113,役職一覧!$B:$D,2,FALSE),"")</f>
        <v/>
      </c>
      <c r="AA83" s="17" t="str">
        <f>IFERROR(VLOOKUP(シフト組み!AA113,役職一覧!$B:$D,2,FALSE),"")</f>
        <v/>
      </c>
      <c r="AB83" s="17" t="str">
        <f>IFERROR(VLOOKUP(シフト組み!AB113,役職一覧!$B:$D,2,FALSE),"")</f>
        <v/>
      </c>
      <c r="AC83" s="17" t="str">
        <f>IFERROR(VLOOKUP(シフト組み!AC113,役職一覧!$B:$D,2,FALSE),"")</f>
        <v/>
      </c>
      <c r="AD83" s="17" t="str">
        <f>IFERROR(VLOOKUP(シフト組み!AD113,役職一覧!$B:$D,2,FALSE),"")</f>
        <v/>
      </c>
      <c r="AE83" s="17" t="str">
        <f>IFERROR(VLOOKUP(シフト組み!AE113,役職一覧!$B:$D,2,FALSE),"")</f>
        <v/>
      </c>
      <c r="AF83" s="17" t="str">
        <f>IFERROR(VLOOKUP(シフト組み!AF113,役職一覧!$B:$D,2,FALSE),"")</f>
        <v/>
      </c>
      <c r="AG83" s="17" t="str">
        <f>IFERROR(VLOOKUP(シフト組み!AG113,役職一覧!$B:$D,2,FALSE),"")</f>
        <v/>
      </c>
      <c r="AH83" s="17" t="str">
        <f>IFERROR(VLOOKUP(シフト組み!AH113,役職一覧!$B:$D,3,FALSE),"")</f>
        <v/>
      </c>
      <c r="AI83" s="17" t="str">
        <f>IFERROR(VLOOKUP(シフト組み!AI113,役職一覧!$B:$D,3,FALSE),"")</f>
        <v/>
      </c>
      <c r="AJ83" s="17" t="str">
        <f>IFERROR(VLOOKUP(シフト組み!AJ113,役職一覧!$B:$D,3,FALSE),"")</f>
        <v/>
      </c>
      <c r="AK83" s="17" t="str">
        <f>IFERROR(VLOOKUP(シフト組み!AK113,役職一覧!$B:$D,3,FALSE),"")</f>
        <v/>
      </c>
      <c r="AL83" s="17" t="str">
        <f>IFERROR(VLOOKUP(シフト組み!AL113,役職一覧!$B:$D,3,FALSE),"")</f>
        <v/>
      </c>
      <c r="AM83" s="17" t="str">
        <f>IFERROR(VLOOKUP(シフト組み!AM113,役職一覧!$B:$D,3,FALSE),"")</f>
        <v/>
      </c>
      <c r="AN83" s="17" t="str">
        <f>IFERROR(VLOOKUP(シフト組み!AN113,役職一覧!$B:$D,3,FALSE),"")</f>
        <v/>
      </c>
      <c r="AO83" s="17" t="str">
        <f>IFERROR(VLOOKUP(シフト組み!AO113,役職一覧!$B:$D,3,FALSE),"")</f>
        <v/>
      </c>
      <c r="AP83" s="17" t="str">
        <f>IFERROR(VLOOKUP(シフト組み!AP113,役職一覧!$B:$D,3,FALSE),"")</f>
        <v/>
      </c>
      <c r="AQ83" s="17" t="str">
        <f>IFERROR(VLOOKUP(シフト組み!AQ113,役職一覧!$B:$D,3,FALSE),"")</f>
        <v/>
      </c>
      <c r="AR83" s="17" t="str">
        <f>IFERROR(VLOOKUP(シフト組み!AR113,役職一覧!$B:$D,3,FALSE),"")</f>
        <v/>
      </c>
      <c r="AS83" s="17" t="str">
        <f>IFERROR(VLOOKUP(シフト組み!AS113,役職一覧!$B:$D,3,FALSE),"")</f>
        <v/>
      </c>
      <c r="AT83" s="17" t="str">
        <f>IFERROR(VLOOKUP(シフト組み!AT113,役職一覧!$B:$D,3,FALSE),"")</f>
        <v/>
      </c>
      <c r="AU83" s="17" t="str">
        <f>IFERROR(VLOOKUP(シフト組み!AU113,役職一覧!$B:$D,3,FALSE),"")</f>
        <v/>
      </c>
      <c r="AV83" s="17" t="str">
        <f>IFERROR(VLOOKUP(シフト組み!AV113,役職一覧!$B:$D,3,FALSE),"")</f>
        <v/>
      </c>
      <c r="AW83" s="17" t="str">
        <f>IFERROR(VLOOKUP(シフト組み!AW113,役職一覧!$B:$D,3,FALSE),"")</f>
        <v/>
      </c>
      <c r="AX83" s="17" t="str">
        <f>IFERROR(VLOOKUP(シフト組み!AX113,役職一覧!$B:$D,3,FALSE),"")</f>
        <v/>
      </c>
      <c r="AY83" s="17" t="str">
        <f>IFERROR(VLOOKUP(シフト組み!AY113,役職一覧!$B:$D,3,FALSE),"")</f>
        <v/>
      </c>
      <c r="AZ83" s="17" t="str">
        <f>IFERROR(VLOOKUP(シフト組み!AZ113,役職一覧!$B:$D,3,FALSE),"")</f>
        <v/>
      </c>
      <c r="BA83" s="17" t="str">
        <f>IFERROR(VLOOKUP(シフト組み!BA113,役職一覧!$B:$D,3,FALSE),"")</f>
        <v/>
      </c>
    </row>
    <row r="84" spans="1:53">
      <c r="A84" s="2" t="str">
        <f>シフト組み!A114&amp;""</f>
        <v/>
      </c>
      <c r="B84" s="2" t="str">
        <f>シフト組み!B114&amp;""</f>
        <v/>
      </c>
      <c r="C84" s="2" t="str">
        <f>シフト組み!C114&amp;""</f>
        <v/>
      </c>
      <c r="D84" s="17" t="str">
        <f>IFERROR(VLOOKUP(シフト組み!D114,役職一覧!$B:$D,2,FALSE),"")</f>
        <v/>
      </c>
      <c r="E84" s="17" t="str">
        <f>IFERROR(VLOOKUP(シフト組み!E114,役職一覧!$B:$D,2,FALSE),"")</f>
        <v/>
      </c>
      <c r="F84" s="17" t="str">
        <f>IFERROR(VLOOKUP(シフト組み!F114,役職一覧!$B:$D,2,FALSE),"")</f>
        <v/>
      </c>
      <c r="G84" s="17" t="str">
        <f>IFERROR(VLOOKUP(シフト組み!G114,役職一覧!$B:$D,2,FALSE),"")</f>
        <v/>
      </c>
      <c r="H84" s="17" t="str">
        <f>IFERROR(VLOOKUP(シフト組み!H114,役職一覧!$B:$D,2,FALSE),"")</f>
        <v/>
      </c>
      <c r="I84" s="17" t="str">
        <f>IFERROR(VLOOKUP(シフト組み!I114,役職一覧!$B:$D,2,FALSE),"")</f>
        <v/>
      </c>
      <c r="J84" s="17" t="str">
        <f>IFERROR(VLOOKUP(シフト組み!J114,役職一覧!$B:$D,2,FALSE),"")</f>
        <v/>
      </c>
      <c r="K84" s="17" t="str">
        <f>IFERROR(VLOOKUP(シフト組み!K114,役職一覧!$B:$D,2,FALSE),"")</f>
        <v/>
      </c>
      <c r="L84" s="17" t="str">
        <f>IFERROR(VLOOKUP(シフト組み!L114,役職一覧!$B:$D,2,FALSE),"")</f>
        <v/>
      </c>
      <c r="M84" s="17" t="str">
        <f>IFERROR(VLOOKUP(シフト組み!M114,役職一覧!$B:$D,2,FALSE),"")</f>
        <v/>
      </c>
      <c r="N84" s="17" t="str">
        <f>IFERROR(VLOOKUP(シフト組み!N114,役職一覧!$B:$D,2,FALSE),"")</f>
        <v/>
      </c>
      <c r="O84" s="17" t="str">
        <f>IFERROR(VLOOKUP(シフト組み!O114,役職一覧!$B:$D,2,FALSE),"")</f>
        <v/>
      </c>
      <c r="P84" s="17" t="str">
        <f>IFERROR(VLOOKUP(シフト組み!P114,役職一覧!$B:$D,2,FALSE),"")</f>
        <v/>
      </c>
      <c r="Q84" s="17" t="str">
        <f>IFERROR(VLOOKUP(シフト組み!Q114,役職一覧!$B:$D,2,FALSE),"")</f>
        <v/>
      </c>
      <c r="R84" s="17" t="str">
        <f>IFERROR(VLOOKUP(シフト組み!R114,役職一覧!$B:$D,2,FALSE),"")</f>
        <v/>
      </c>
      <c r="S84" s="17" t="str">
        <f>IFERROR(VLOOKUP(シフト組み!S114,役職一覧!$B:$D,2,FALSE),"")</f>
        <v/>
      </c>
      <c r="T84" s="17" t="str">
        <f>IFERROR(VLOOKUP(シフト組み!T114,役職一覧!$B:$D,2,FALSE),"")</f>
        <v/>
      </c>
      <c r="U84" s="17" t="str">
        <f>IFERROR(VLOOKUP(シフト組み!U114,役職一覧!$B:$D,2,FALSE),"")</f>
        <v/>
      </c>
      <c r="V84" s="17" t="str">
        <f>IFERROR(VLOOKUP(シフト組み!V114,役職一覧!$B:$D,2,FALSE),"")</f>
        <v/>
      </c>
      <c r="W84" s="17" t="str">
        <f>IFERROR(VLOOKUP(シフト組み!W114,役職一覧!$B:$D,2,FALSE),"")</f>
        <v/>
      </c>
      <c r="X84" s="17" t="str">
        <f>IFERROR(VLOOKUP(シフト組み!X114,役職一覧!$B:$D,2,FALSE),"")</f>
        <v/>
      </c>
      <c r="Y84" s="17" t="str">
        <f>IFERROR(VLOOKUP(シフト組み!Y114,役職一覧!$B:$D,2,FALSE),"")</f>
        <v/>
      </c>
      <c r="Z84" s="17" t="str">
        <f>IFERROR(VLOOKUP(シフト組み!Z114,役職一覧!$B:$D,2,FALSE),"")</f>
        <v/>
      </c>
      <c r="AA84" s="17" t="str">
        <f>IFERROR(VLOOKUP(シフト組み!AA114,役職一覧!$B:$D,2,FALSE),"")</f>
        <v/>
      </c>
      <c r="AB84" s="17" t="str">
        <f>IFERROR(VLOOKUP(シフト組み!AB114,役職一覧!$B:$D,2,FALSE),"")</f>
        <v/>
      </c>
      <c r="AC84" s="17" t="str">
        <f>IFERROR(VLOOKUP(シフト組み!AC114,役職一覧!$B:$D,2,FALSE),"")</f>
        <v/>
      </c>
      <c r="AD84" s="17" t="str">
        <f>IFERROR(VLOOKUP(シフト組み!AD114,役職一覧!$B:$D,2,FALSE),"")</f>
        <v/>
      </c>
      <c r="AE84" s="17" t="str">
        <f>IFERROR(VLOOKUP(シフト組み!AE114,役職一覧!$B:$D,2,FALSE),"")</f>
        <v/>
      </c>
      <c r="AF84" s="17" t="str">
        <f>IFERROR(VLOOKUP(シフト組み!AF114,役職一覧!$B:$D,2,FALSE),"")</f>
        <v/>
      </c>
      <c r="AG84" s="17" t="str">
        <f>IFERROR(VLOOKUP(シフト組み!AG114,役職一覧!$B:$D,2,FALSE),"")</f>
        <v/>
      </c>
      <c r="AH84" s="17" t="str">
        <f>IFERROR(VLOOKUP(シフト組み!AH114,役職一覧!$B:$D,3,FALSE),"")</f>
        <v/>
      </c>
      <c r="AI84" s="17" t="str">
        <f>IFERROR(VLOOKUP(シフト組み!AI114,役職一覧!$B:$D,3,FALSE),"")</f>
        <v/>
      </c>
      <c r="AJ84" s="17" t="str">
        <f>IFERROR(VLOOKUP(シフト組み!AJ114,役職一覧!$B:$D,3,FALSE),"")</f>
        <v/>
      </c>
      <c r="AK84" s="17" t="str">
        <f>IFERROR(VLOOKUP(シフト組み!AK114,役職一覧!$B:$D,3,FALSE),"")</f>
        <v/>
      </c>
      <c r="AL84" s="17" t="str">
        <f>IFERROR(VLOOKUP(シフト組み!AL114,役職一覧!$B:$D,3,FALSE),"")</f>
        <v/>
      </c>
      <c r="AM84" s="17" t="str">
        <f>IFERROR(VLOOKUP(シフト組み!AM114,役職一覧!$B:$D,3,FALSE),"")</f>
        <v/>
      </c>
      <c r="AN84" s="17" t="str">
        <f>IFERROR(VLOOKUP(シフト組み!AN114,役職一覧!$B:$D,3,FALSE),"")</f>
        <v/>
      </c>
      <c r="AO84" s="17" t="str">
        <f>IFERROR(VLOOKUP(シフト組み!AO114,役職一覧!$B:$D,3,FALSE),"")</f>
        <v/>
      </c>
      <c r="AP84" s="17" t="str">
        <f>IFERROR(VLOOKUP(シフト組み!AP114,役職一覧!$B:$D,3,FALSE),"")</f>
        <v/>
      </c>
      <c r="AQ84" s="17" t="str">
        <f>IFERROR(VLOOKUP(シフト組み!AQ114,役職一覧!$B:$D,3,FALSE),"")</f>
        <v/>
      </c>
      <c r="AR84" s="17" t="str">
        <f>IFERROR(VLOOKUP(シフト組み!AR114,役職一覧!$B:$D,3,FALSE),"")</f>
        <v/>
      </c>
      <c r="AS84" s="17" t="str">
        <f>IFERROR(VLOOKUP(シフト組み!AS114,役職一覧!$B:$D,3,FALSE),"")</f>
        <v/>
      </c>
      <c r="AT84" s="17" t="str">
        <f>IFERROR(VLOOKUP(シフト組み!AT114,役職一覧!$B:$D,3,FALSE),"")</f>
        <v/>
      </c>
      <c r="AU84" s="17" t="str">
        <f>IFERROR(VLOOKUP(シフト組み!AU114,役職一覧!$B:$D,3,FALSE),"")</f>
        <v/>
      </c>
      <c r="AV84" s="17" t="str">
        <f>IFERROR(VLOOKUP(シフト組み!AV114,役職一覧!$B:$D,3,FALSE),"")</f>
        <v/>
      </c>
      <c r="AW84" s="17" t="str">
        <f>IFERROR(VLOOKUP(シフト組み!AW114,役職一覧!$B:$D,3,FALSE),"")</f>
        <v/>
      </c>
      <c r="AX84" s="17" t="str">
        <f>IFERROR(VLOOKUP(シフト組み!AX114,役職一覧!$B:$D,3,FALSE),"")</f>
        <v/>
      </c>
      <c r="AY84" s="17" t="str">
        <f>IFERROR(VLOOKUP(シフト組み!AY114,役職一覧!$B:$D,3,FALSE),"")</f>
        <v/>
      </c>
      <c r="AZ84" s="17" t="str">
        <f>IFERROR(VLOOKUP(シフト組み!AZ114,役職一覧!$B:$D,3,FALSE),"")</f>
        <v/>
      </c>
      <c r="BA84" s="17" t="str">
        <f>IFERROR(VLOOKUP(シフト組み!BA114,役職一覧!$B:$D,3,FALSE),"")</f>
        <v/>
      </c>
    </row>
    <row r="85" spans="1:53">
      <c r="A85" s="2" t="str">
        <f>シフト組み!A115&amp;""</f>
        <v/>
      </c>
      <c r="B85" s="2" t="str">
        <f>シフト組み!B115&amp;""</f>
        <v/>
      </c>
      <c r="C85" s="2" t="str">
        <f>シフト組み!C115&amp;""</f>
        <v/>
      </c>
      <c r="D85" s="17" t="str">
        <f>IFERROR(VLOOKUP(シフト組み!D115,役職一覧!$B:$D,2,FALSE),"")</f>
        <v/>
      </c>
      <c r="E85" s="17" t="str">
        <f>IFERROR(VLOOKUP(シフト組み!E115,役職一覧!$B:$D,2,FALSE),"")</f>
        <v/>
      </c>
      <c r="F85" s="17" t="str">
        <f>IFERROR(VLOOKUP(シフト組み!F115,役職一覧!$B:$D,2,FALSE),"")</f>
        <v/>
      </c>
      <c r="G85" s="17" t="str">
        <f>IFERROR(VLOOKUP(シフト組み!G115,役職一覧!$B:$D,2,FALSE),"")</f>
        <v/>
      </c>
      <c r="H85" s="17" t="str">
        <f>IFERROR(VLOOKUP(シフト組み!H115,役職一覧!$B:$D,2,FALSE),"")</f>
        <v/>
      </c>
      <c r="I85" s="17" t="str">
        <f>IFERROR(VLOOKUP(シフト組み!I115,役職一覧!$B:$D,2,FALSE),"")</f>
        <v/>
      </c>
      <c r="J85" s="17" t="str">
        <f>IFERROR(VLOOKUP(シフト組み!J115,役職一覧!$B:$D,2,FALSE),"")</f>
        <v/>
      </c>
      <c r="K85" s="17" t="str">
        <f>IFERROR(VLOOKUP(シフト組み!K115,役職一覧!$B:$D,2,FALSE),"")</f>
        <v/>
      </c>
      <c r="L85" s="17" t="str">
        <f>IFERROR(VLOOKUP(シフト組み!L115,役職一覧!$B:$D,2,FALSE),"")</f>
        <v/>
      </c>
      <c r="M85" s="17" t="str">
        <f>IFERROR(VLOOKUP(シフト組み!M115,役職一覧!$B:$D,2,FALSE),"")</f>
        <v/>
      </c>
      <c r="N85" s="17" t="str">
        <f>IFERROR(VLOOKUP(シフト組み!N115,役職一覧!$B:$D,2,FALSE),"")</f>
        <v/>
      </c>
      <c r="O85" s="17" t="str">
        <f>IFERROR(VLOOKUP(シフト組み!O115,役職一覧!$B:$D,2,FALSE),"")</f>
        <v/>
      </c>
      <c r="P85" s="17" t="str">
        <f>IFERROR(VLOOKUP(シフト組み!P115,役職一覧!$B:$D,2,FALSE),"")</f>
        <v/>
      </c>
      <c r="Q85" s="17" t="str">
        <f>IFERROR(VLOOKUP(シフト組み!Q115,役職一覧!$B:$D,2,FALSE),"")</f>
        <v/>
      </c>
      <c r="R85" s="17" t="str">
        <f>IFERROR(VLOOKUP(シフト組み!R115,役職一覧!$B:$D,2,FALSE),"")</f>
        <v/>
      </c>
      <c r="S85" s="17" t="str">
        <f>IFERROR(VLOOKUP(シフト組み!S115,役職一覧!$B:$D,2,FALSE),"")</f>
        <v/>
      </c>
      <c r="T85" s="17" t="str">
        <f>IFERROR(VLOOKUP(シフト組み!T115,役職一覧!$B:$D,2,FALSE),"")</f>
        <v/>
      </c>
      <c r="U85" s="17" t="str">
        <f>IFERROR(VLOOKUP(シフト組み!U115,役職一覧!$B:$D,2,FALSE),"")</f>
        <v/>
      </c>
      <c r="V85" s="17" t="str">
        <f>IFERROR(VLOOKUP(シフト組み!V115,役職一覧!$B:$D,2,FALSE),"")</f>
        <v/>
      </c>
      <c r="W85" s="17" t="str">
        <f>IFERROR(VLOOKUP(シフト組み!W115,役職一覧!$B:$D,2,FALSE),"")</f>
        <v/>
      </c>
      <c r="X85" s="17" t="str">
        <f>IFERROR(VLOOKUP(シフト組み!X115,役職一覧!$B:$D,2,FALSE),"")</f>
        <v/>
      </c>
      <c r="Y85" s="17" t="str">
        <f>IFERROR(VLOOKUP(シフト組み!Y115,役職一覧!$B:$D,2,FALSE),"")</f>
        <v/>
      </c>
      <c r="Z85" s="17" t="str">
        <f>IFERROR(VLOOKUP(シフト組み!Z115,役職一覧!$B:$D,2,FALSE),"")</f>
        <v/>
      </c>
      <c r="AA85" s="17" t="str">
        <f>IFERROR(VLOOKUP(シフト組み!AA115,役職一覧!$B:$D,2,FALSE),"")</f>
        <v/>
      </c>
      <c r="AB85" s="17" t="str">
        <f>IFERROR(VLOOKUP(シフト組み!AB115,役職一覧!$B:$D,2,FALSE),"")</f>
        <v/>
      </c>
      <c r="AC85" s="17" t="str">
        <f>IFERROR(VLOOKUP(シフト組み!AC115,役職一覧!$B:$D,2,FALSE),"")</f>
        <v/>
      </c>
      <c r="AD85" s="17" t="str">
        <f>IFERROR(VLOOKUP(シフト組み!AD115,役職一覧!$B:$D,2,FALSE),"")</f>
        <v/>
      </c>
      <c r="AE85" s="17" t="str">
        <f>IFERROR(VLOOKUP(シフト組み!AE115,役職一覧!$B:$D,2,FALSE),"")</f>
        <v/>
      </c>
      <c r="AF85" s="17" t="str">
        <f>IFERROR(VLOOKUP(シフト組み!AF115,役職一覧!$B:$D,2,FALSE),"")</f>
        <v/>
      </c>
      <c r="AG85" s="17" t="str">
        <f>IFERROR(VLOOKUP(シフト組み!AG115,役職一覧!$B:$D,2,FALSE),"")</f>
        <v/>
      </c>
      <c r="AH85" s="17" t="str">
        <f>IFERROR(VLOOKUP(シフト組み!AH115,役職一覧!$B:$D,3,FALSE),"")</f>
        <v/>
      </c>
      <c r="AI85" s="17" t="str">
        <f>IFERROR(VLOOKUP(シフト組み!AI115,役職一覧!$B:$D,3,FALSE),"")</f>
        <v/>
      </c>
      <c r="AJ85" s="17" t="str">
        <f>IFERROR(VLOOKUP(シフト組み!AJ115,役職一覧!$B:$D,3,FALSE),"")</f>
        <v/>
      </c>
      <c r="AK85" s="17" t="str">
        <f>IFERROR(VLOOKUP(シフト組み!AK115,役職一覧!$B:$D,3,FALSE),"")</f>
        <v/>
      </c>
      <c r="AL85" s="17" t="str">
        <f>IFERROR(VLOOKUP(シフト組み!AL115,役職一覧!$B:$D,3,FALSE),"")</f>
        <v/>
      </c>
      <c r="AM85" s="17" t="str">
        <f>IFERROR(VLOOKUP(シフト組み!AM115,役職一覧!$B:$D,3,FALSE),"")</f>
        <v/>
      </c>
      <c r="AN85" s="17" t="str">
        <f>IFERROR(VLOOKUP(シフト組み!AN115,役職一覧!$B:$D,3,FALSE),"")</f>
        <v/>
      </c>
      <c r="AO85" s="17" t="str">
        <f>IFERROR(VLOOKUP(シフト組み!AO115,役職一覧!$B:$D,3,FALSE),"")</f>
        <v/>
      </c>
      <c r="AP85" s="17" t="str">
        <f>IFERROR(VLOOKUP(シフト組み!AP115,役職一覧!$B:$D,3,FALSE),"")</f>
        <v/>
      </c>
      <c r="AQ85" s="17" t="str">
        <f>IFERROR(VLOOKUP(シフト組み!AQ115,役職一覧!$B:$D,3,FALSE),"")</f>
        <v/>
      </c>
      <c r="AR85" s="17" t="str">
        <f>IFERROR(VLOOKUP(シフト組み!AR115,役職一覧!$B:$D,3,FALSE),"")</f>
        <v/>
      </c>
      <c r="AS85" s="17" t="str">
        <f>IFERROR(VLOOKUP(シフト組み!AS115,役職一覧!$B:$D,3,FALSE),"")</f>
        <v/>
      </c>
      <c r="AT85" s="17" t="str">
        <f>IFERROR(VLOOKUP(シフト組み!AT115,役職一覧!$B:$D,3,FALSE),"")</f>
        <v/>
      </c>
      <c r="AU85" s="17" t="str">
        <f>IFERROR(VLOOKUP(シフト組み!AU115,役職一覧!$B:$D,3,FALSE),"")</f>
        <v/>
      </c>
      <c r="AV85" s="17" t="str">
        <f>IFERROR(VLOOKUP(シフト組み!AV115,役職一覧!$B:$D,3,FALSE),"")</f>
        <v/>
      </c>
      <c r="AW85" s="17" t="str">
        <f>IFERROR(VLOOKUP(シフト組み!AW115,役職一覧!$B:$D,3,FALSE),"")</f>
        <v/>
      </c>
      <c r="AX85" s="17" t="str">
        <f>IFERROR(VLOOKUP(シフト組み!AX115,役職一覧!$B:$D,3,FALSE),"")</f>
        <v/>
      </c>
      <c r="AY85" s="17" t="str">
        <f>IFERROR(VLOOKUP(シフト組み!AY115,役職一覧!$B:$D,3,FALSE),"")</f>
        <v/>
      </c>
      <c r="AZ85" s="17" t="str">
        <f>IFERROR(VLOOKUP(シフト組み!AZ115,役職一覧!$B:$D,3,FALSE),"")</f>
        <v/>
      </c>
      <c r="BA85" s="17" t="str">
        <f>IFERROR(VLOOKUP(シフト組み!BA115,役職一覧!$B:$D,3,FALSE),"")</f>
        <v/>
      </c>
    </row>
    <row r="86" spans="1:53">
      <c r="A86" s="2" t="str">
        <f>シフト組み!A116&amp;""</f>
        <v/>
      </c>
      <c r="B86" s="2" t="str">
        <f>シフト組み!B116&amp;""</f>
        <v/>
      </c>
      <c r="C86" s="2" t="str">
        <f>シフト組み!C116&amp;""</f>
        <v/>
      </c>
      <c r="D86" s="17" t="str">
        <f>IFERROR(VLOOKUP(シフト組み!D116,役職一覧!$B:$D,2,FALSE),"")</f>
        <v/>
      </c>
      <c r="E86" s="17" t="str">
        <f>IFERROR(VLOOKUP(シフト組み!E116,役職一覧!$B:$D,2,FALSE),"")</f>
        <v/>
      </c>
      <c r="F86" s="17" t="str">
        <f>IFERROR(VLOOKUP(シフト組み!F116,役職一覧!$B:$D,2,FALSE),"")</f>
        <v/>
      </c>
      <c r="G86" s="17" t="str">
        <f>IFERROR(VLOOKUP(シフト組み!G116,役職一覧!$B:$D,2,FALSE),"")</f>
        <v/>
      </c>
      <c r="H86" s="17" t="str">
        <f>IFERROR(VLOOKUP(シフト組み!H116,役職一覧!$B:$D,2,FALSE),"")</f>
        <v/>
      </c>
      <c r="I86" s="17" t="str">
        <f>IFERROR(VLOOKUP(シフト組み!I116,役職一覧!$B:$D,2,FALSE),"")</f>
        <v/>
      </c>
      <c r="J86" s="17" t="str">
        <f>IFERROR(VLOOKUP(シフト組み!J116,役職一覧!$B:$D,2,FALSE),"")</f>
        <v/>
      </c>
      <c r="K86" s="17" t="str">
        <f>IFERROR(VLOOKUP(シフト組み!K116,役職一覧!$B:$D,2,FALSE),"")</f>
        <v/>
      </c>
      <c r="L86" s="17" t="str">
        <f>IFERROR(VLOOKUP(シフト組み!L116,役職一覧!$B:$D,2,FALSE),"")</f>
        <v/>
      </c>
      <c r="M86" s="17" t="str">
        <f>IFERROR(VLOOKUP(シフト組み!M116,役職一覧!$B:$D,2,FALSE),"")</f>
        <v/>
      </c>
      <c r="N86" s="17" t="str">
        <f>IFERROR(VLOOKUP(シフト組み!N116,役職一覧!$B:$D,2,FALSE),"")</f>
        <v/>
      </c>
      <c r="O86" s="17" t="str">
        <f>IFERROR(VLOOKUP(シフト組み!O116,役職一覧!$B:$D,2,FALSE),"")</f>
        <v/>
      </c>
      <c r="P86" s="17" t="str">
        <f>IFERROR(VLOOKUP(シフト組み!P116,役職一覧!$B:$D,2,FALSE),"")</f>
        <v/>
      </c>
      <c r="Q86" s="17" t="str">
        <f>IFERROR(VLOOKUP(シフト組み!Q116,役職一覧!$B:$D,2,FALSE),"")</f>
        <v/>
      </c>
      <c r="R86" s="17" t="str">
        <f>IFERROR(VLOOKUP(シフト組み!R116,役職一覧!$B:$D,2,FALSE),"")</f>
        <v/>
      </c>
      <c r="S86" s="17" t="str">
        <f>IFERROR(VLOOKUP(シフト組み!S116,役職一覧!$B:$D,2,FALSE),"")</f>
        <v/>
      </c>
      <c r="T86" s="17" t="str">
        <f>IFERROR(VLOOKUP(シフト組み!T116,役職一覧!$B:$D,2,FALSE),"")</f>
        <v/>
      </c>
      <c r="U86" s="17" t="str">
        <f>IFERROR(VLOOKUP(シフト組み!U116,役職一覧!$B:$D,2,FALSE),"")</f>
        <v/>
      </c>
      <c r="V86" s="17" t="str">
        <f>IFERROR(VLOOKUP(シフト組み!V116,役職一覧!$B:$D,2,FALSE),"")</f>
        <v/>
      </c>
      <c r="W86" s="17" t="str">
        <f>IFERROR(VLOOKUP(シフト組み!W116,役職一覧!$B:$D,2,FALSE),"")</f>
        <v/>
      </c>
      <c r="X86" s="17" t="str">
        <f>IFERROR(VLOOKUP(シフト組み!X116,役職一覧!$B:$D,2,FALSE),"")</f>
        <v/>
      </c>
      <c r="Y86" s="17" t="str">
        <f>IFERROR(VLOOKUP(シフト組み!Y116,役職一覧!$B:$D,2,FALSE),"")</f>
        <v/>
      </c>
      <c r="Z86" s="17" t="str">
        <f>IFERROR(VLOOKUP(シフト組み!Z116,役職一覧!$B:$D,2,FALSE),"")</f>
        <v/>
      </c>
      <c r="AA86" s="17" t="str">
        <f>IFERROR(VLOOKUP(シフト組み!AA116,役職一覧!$B:$D,2,FALSE),"")</f>
        <v/>
      </c>
      <c r="AB86" s="17" t="str">
        <f>IFERROR(VLOOKUP(シフト組み!AB116,役職一覧!$B:$D,2,FALSE),"")</f>
        <v/>
      </c>
      <c r="AC86" s="17" t="str">
        <f>IFERROR(VLOOKUP(シフト組み!AC116,役職一覧!$B:$D,2,FALSE),"")</f>
        <v/>
      </c>
      <c r="AD86" s="17" t="str">
        <f>IFERROR(VLOOKUP(シフト組み!AD116,役職一覧!$B:$D,2,FALSE),"")</f>
        <v/>
      </c>
      <c r="AE86" s="17" t="str">
        <f>IFERROR(VLOOKUP(シフト組み!AE116,役職一覧!$B:$D,2,FALSE),"")</f>
        <v/>
      </c>
      <c r="AF86" s="17" t="str">
        <f>IFERROR(VLOOKUP(シフト組み!AF116,役職一覧!$B:$D,2,FALSE),"")</f>
        <v/>
      </c>
      <c r="AG86" s="17" t="str">
        <f>IFERROR(VLOOKUP(シフト組み!AG116,役職一覧!$B:$D,2,FALSE),"")</f>
        <v/>
      </c>
      <c r="AH86" s="17" t="str">
        <f>IFERROR(VLOOKUP(シフト組み!AH116,役職一覧!$B:$D,3,FALSE),"")</f>
        <v/>
      </c>
      <c r="AI86" s="17" t="str">
        <f>IFERROR(VLOOKUP(シフト組み!AI116,役職一覧!$B:$D,3,FALSE),"")</f>
        <v/>
      </c>
      <c r="AJ86" s="17" t="str">
        <f>IFERROR(VLOOKUP(シフト組み!AJ116,役職一覧!$B:$D,3,FALSE),"")</f>
        <v/>
      </c>
      <c r="AK86" s="17" t="str">
        <f>IFERROR(VLOOKUP(シフト組み!AK116,役職一覧!$B:$D,3,FALSE),"")</f>
        <v/>
      </c>
      <c r="AL86" s="17" t="str">
        <f>IFERROR(VLOOKUP(シフト組み!AL116,役職一覧!$B:$D,3,FALSE),"")</f>
        <v/>
      </c>
      <c r="AM86" s="17" t="str">
        <f>IFERROR(VLOOKUP(シフト組み!AM116,役職一覧!$B:$D,3,FALSE),"")</f>
        <v/>
      </c>
      <c r="AN86" s="17" t="str">
        <f>IFERROR(VLOOKUP(シフト組み!AN116,役職一覧!$B:$D,3,FALSE),"")</f>
        <v/>
      </c>
      <c r="AO86" s="17" t="str">
        <f>IFERROR(VLOOKUP(シフト組み!AO116,役職一覧!$B:$D,3,FALSE),"")</f>
        <v/>
      </c>
      <c r="AP86" s="17" t="str">
        <f>IFERROR(VLOOKUP(シフト組み!AP116,役職一覧!$B:$D,3,FALSE),"")</f>
        <v/>
      </c>
      <c r="AQ86" s="17" t="str">
        <f>IFERROR(VLOOKUP(シフト組み!AQ116,役職一覧!$B:$D,3,FALSE),"")</f>
        <v/>
      </c>
      <c r="AR86" s="17" t="str">
        <f>IFERROR(VLOOKUP(シフト組み!AR116,役職一覧!$B:$D,3,FALSE),"")</f>
        <v/>
      </c>
      <c r="AS86" s="17" t="str">
        <f>IFERROR(VLOOKUP(シフト組み!AS116,役職一覧!$B:$D,3,FALSE),"")</f>
        <v/>
      </c>
      <c r="AT86" s="17" t="str">
        <f>IFERROR(VLOOKUP(シフト組み!AT116,役職一覧!$B:$D,3,FALSE),"")</f>
        <v/>
      </c>
      <c r="AU86" s="17" t="str">
        <f>IFERROR(VLOOKUP(シフト組み!AU116,役職一覧!$B:$D,3,FALSE),"")</f>
        <v/>
      </c>
      <c r="AV86" s="17" t="str">
        <f>IFERROR(VLOOKUP(シフト組み!AV116,役職一覧!$B:$D,3,FALSE),"")</f>
        <v/>
      </c>
      <c r="AW86" s="17" t="str">
        <f>IFERROR(VLOOKUP(シフト組み!AW116,役職一覧!$B:$D,3,FALSE),"")</f>
        <v/>
      </c>
      <c r="AX86" s="17" t="str">
        <f>IFERROR(VLOOKUP(シフト組み!AX116,役職一覧!$B:$D,3,FALSE),"")</f>
        <v/>
      </c>
      <c r="AY86" s="17" t="str">
        <f>IFERROR(VLOOKUP(シフト組み!AY116,役職一覧!$B:$D,3,FALSE),"")</f>
        <v/>
      </c>
      <c r="AZ86" s="17" t="str">
        <f>IFERROR(VLOOKUP(シフト組み!AZ116,役職一覧!$B:$D,3,FALSE),"")</f>
        <v/>
      </c>
      <c r="BA86" s="17" t="str">
        <f>IFERROR(VLOOKUP(シフト組み!BA116,役職一覧!$B:$D,3,FALSE),"")</f>
        <v/>
      </c>
    </row>
    <row r="87" spans="1:53">
      <c r="A87" s="2" t="str">
        <f>シフト組み!A117&amp;""</f>
        <v/>
      </c>
      <c r="B87" s="2" t="str">
        <f>シフト組み!B117&amp;""</f>
        <v/>
      </c>
      <c r="C87" s="2" t="str">
        <f>シフト組み!C117&amp;""</f>
        <v/>
      </c>
      <c r="D87" s="17" t="str">
        <f>IFERROR(VLOOKUP(シフト組み!D117,役職一覧!$B:$D,2,FALSE),"")</f>
        <v/>
      </c>
      <c r="E87" s="17" t="str">
        <f>IFERROR(VLOOKUP(シフト組み!E117,役職一覧!$B:$D,2,FALSE),"")</f>
        <v/>
      </c>
      <c r="F87" s="17" t="str">
        <f>IFERROR(VLOOKUP(シフト組み!F117,役職一覧!$B:$D,2,FALSE),"")</f>
        <v/>
      </c>
      <c r="G87" s="17" t="str">
        <f>IFERROR(VLOOKUP(シフト組み!G117,役職一覧!$B:$D,2,FALSE),"")</f>
        <v/>
      </c>
      <c r="H87" s="17" t="str">
        <f>IFERROR(VLOOKUP(シフト組み!H117,役職一覧!$B:$D,2,FALSE),"")</f>
        <v/>
      </c>
      <c r="I87" s="17" t="str">
        <f>IFERROR(VLOOKUP(シフト組み!I117,役職一覧!$B:$D,2,FALSE),"")</f>
        <v/>
      </c>
      <c r="J87" s="17" t="str">
        <f>IFERROR(VLOOKUP(シフト組み!J117,役職一覧!$B:$D,2,FALSE),"")</f>
        <v/>
      </c>
      <c r="K87" s="17" t="str">
        <f>IFERROR(VLOOKUP(シフト組み!K117,役職一覧!$B:$D,2,FALSE),"")</f>
        <v/>
      </c>
      <c r="L87" s="17" t="str">
        <f>IFERROR(VLOOKUP(シフト組み!L117,役職一覧!$B:$D,2,FALSE),"")</f>
        <v/>
      </c>
      <c r="M87" s="17" t="str">
        <f>IFERROR(VLOOKUP(シフト組み!M117,役職一覧!$B:$D,2,FALSE),"")</f>
        <v/>
      </c>
      <c r="N87" s="17" t="str">
        <f>IFERROR(VLOOKUP(シフト組み!N117,役職一覧!$B:$D,2,FALSE),"")</f>
        <v/>
      </c>
      <c r="O87" s="17" t="str">
        <f>IFERROR(VLOOKUP(シフト組み!O117,役職一覧!$B:$D,2,FALSE),"")</f>
        <v/>
      </c>
      <c r="P87" s="17" t="str">
        <f>IFERROR(VLOOKUP(シフト組み!P117,役職一覧!$B:$D,2,FALSE),"")</f>
        <v/>
      </c>
      <c r="Q87" s="17" t="str">
        <f>IFERROR(VLOOKUP(シフト組み!Q117,役職一覧!$B:$D,2,FALSE),"")</f>
        <v/>
      </c>
      <c r="R87" s="17" t="str">
        <f>IFERROR(VLOOKUP(シフト組み!R117,役職一覧!$B:$D,2,FALSE),"")</f>
        <v/>
      </c>
      <c r="S87" s="17" t="str">
        <f>IFERROR(VLOOKUP(シフト組み!S117,役職一覧!$B:$D,2,FALSE),"")</f>
        <v/>
      </c>
      <c r="T87" s="17" t="str">
        <f>IFERROR(VLOOKUP(シフト組み!T117,役職一覧!$B:$D,2,FALSE),"")</f>
        <v/>
      </c>
      <c r="U87" s="17" t="str">
        <f>IFERROR(VLOOKUP(シフト組み!U117,役職一覧!$B:$D,2,FALSE),"")</f>
        <v/>
      </c>
      <c r="V87" s="17" t="str">
        <f>IFERROR(VLOOKUP(シフト組み!V117,役職一覧!$B:$D,2,FALSE),"")</f>
        <v/>
      </c>
      <c r="W87" s="17" t="str">
        <f>IFERROR(VLOOKUP(シフト組み!W117,役職一覧!$B:$D,2,FALSE),"")</f>
        <v/>
      </c>
      <c r="X87" s="17" t="str">
        <f>IFERROR(VLOOKUP(シフト組み!X117,役職一覧!$B:$D,2,FALSE),"")</f>
        <v/>
      </c>
      <c r="Y87" s="17" t="str">
        <f>IFERROR(VLOOKUP(シフト組み!Y117,役職一覧!$B:$D,2,FALSE),"")</f>
        <v/>
      </c>
      <c r="Z87" s="17" t="str">
        <f>IFERROR(VLOOKUP(シフト組み!Z117,役職一覧!$B:$D,2,FALSE),"")</f>
        <v/>
      </c>
      <c r="AA87" s="17" t="str">
        <f>IFERROR(VLOOKUP(シフト組み!AA117,役職一覧!$B:$D,2,FALSE),"")</f>
        <v/>
      </c>
      <c r="AB87" s="17" t="str">
        <f>IFERROR(VLOOKUP(シフト組み!AB117,役職一覧!$B:$D,2,FALSE),"")</f>
        <v/>
      </c>
      <c r="AC87" s="17" t="str">
        <f>IFERROR(VLOOKUP(シフト組み!AC117,役職一覧!$B:$D,2,FALSE),"")</f>
        <v/>
      </c>
      <c r="AD87" s="17" t="str">
        <f>IFERROR(VLOOKUP(シフト組み!AD117,役職一覧!$B:$D,2,FALSE),"")</f>
        <v/>
      </c>
      <c r="AE87" s="17" t="str">
        <f>IFERROR(VLOOKUP(シフト組み!AE117,役職一覧!$B:$D,2,FALSE),"")</f>
        <v/>
      </c>
      <c r="AF87" s="17" t="str">
        <f>IFERROR(VLOOKUP(シフト組み!AF117,役職一覧!$B:$D,2,FALSE),"")</f>
        <v/>
      </c>
      <c r="AG87" s="17" t="str">
        <f>IFERROR(VLOOKUP(シフト組み!AG117,役職一覧!$B:$D,2,FALSE),"")</f>
        <v/>
      </c>
      <c r="AH87" s="17" t="str">
        <f>IFERROR(VLOOKUP(シフト組み!AH117,役職一覧!$B:$D,3,FALSE),"")</f>
        <v/>
      </c>
      <c r="AI87" s="17" t="str">
        <f>IFERROR(VLOOKUP(シフト組み!AI117,役職一覧!$B:$D,3,FALSE),"")</f>
        <v/>
      </c>
      <c r="AJ87" s="17" t="str">
        <f>IFERROR(VLOOKUP(シフト組み!AJ117,役職一覧!$B:$D,3,FALSE),"")</f>
        <v/>
      </c>
      <c r="AK87" s="17" t="str">
        <f>IFERROR(VLOOKUP(シフト組み!AK117,役職一覧!$B:$D,3,FALSE),"")</f>
        <v/>
      </c>
      <c r="AL87" s="17" t="str">
        <f>IFERROR(VLOOKUP(シフト組み!AL117,役職一覧!$B:$D,3,FALSE),"")</f>
        <v/>
      </c>
      <c r="AM87" s="17" t="str">
        <f>IFERROR(VLOOKUP(シフト組み!AM117,役職一覧!$B:$D,3,FALSE),"")</f>
        <v/>
      </c>
      <c r="AN87" s="17" t="str">
        <f>IFERROR(VLOOKUP(シフト組み!AN117,役職一覧!$B:$D,3,FALSE),"")</f>
        <v/>
      </c>
      <c r="AO87" s="17" t="str">
        <f>IFERROR(VLOOKUP(シフト組み!AO117,役職一覧!$B:$D,3,FALSE),"")</f>
        <v/>
      </c>
      <c r="AP87" s="17" t="str">
        <f>IFERROR(VLOOKUP(シフト組み!AP117,役職一覧!$B:$D,3,FALSE),"")</f>
        <v/>
      </c>
      <c r="AQ87" s="17" t="str">
        <f>IFERROR(VLOOKUP(シフト組み!AQ117,役職一覧!$B:$D,3,FALSE),"")</f>
        <v/>
      </c>
      <c r="AR87" s="17" t="str">
        <f>IFERROR(VLOOKUP(シフト組み!AR117,役職一覧!$B:$D,3,FALSE),"")</f>
        <v/>
      </c>
      <c r="AS87" s="17" t="str">
        <f>IFERROR(VLOOKUP(シフト組み!AS117,役職一覧!$B:$D,3,FALSE),"")</f>
        <v/>
      </c>
      <c r="AT87" s="17" t="str">
        <f>IFERROR(VLOOKUP(シフト組み!AT117,役職一覧!$B:$D,3,FALSE),"")</f>
        <v/>
      </c>
      <c r="AU87" s="17" t="str">
        <f>IFERROR(VLOOKUP(シフト組み!AU117,役職一覧!$B:$D,3,FALSE),"")</f>
        <v/>
      </c>
      <c r="AV87" s="17" t="str">
        <f>IFERROR(VLOOKUP(シフト組み!AV117,役職一覧!$B:$D,3,FALSE),"")</f>
        <v/>
      </c>
      <c r="AW87" s="17" t="str">
        <f>IFERROR(VLOOKUP(シフト組み!AW117,役職一覧!$B:$D,3,FALSE),"")</f>
        <v/>
      </c>
      <c r="AX87" s="17" t="str">
        <f>IFERROR(VLOOKUP(シフト組み!AX117,役職一覧!$B:$D,3,FALSE),"")</f>
        <v/>
      </c>
      <c r="AY87" s="17" t="str">
        <f>IFERROR(VLOOKUP(シフト組み!AY117,役職一覧!$B:$D,3,FALSE),"")</f>
        <v/>
      </c>
      <c r="AZ87" s="17" t="str">
        <f>IFERROR(VLOOKUP(シフト組み!AZ117,役職一覧!$B:$D,3,FALSE),"")</f>
        <v/>
      </c>
      <c r="BA87" s="17" t="str">
        <f>IFERROR(VLOOKUP(シフト組み!BA117,役職一覧!$B:$D,3,FALSE),"")</f>
        <v/>
      </c>
    </row>
    <row r="88" spans="1:53">
      <c r="A88" s="2" t="str">
        <f>シフト組み!A118&amp;""</f>
        <v/>
      </c>
      <c r="B88" s="2" t="str">
        <f>シフト組み!B118&amp;""</f>
        <v/>
      </c>
      <c r="C88" s="2" t="str">
        <f>シフト組み!C118&amp;""</f>
        <v/>
      </c>
      <c r="D88" s="17" t="str">
        <f>IFERROR(VLOOKUP(シフト組み!D118,役職一覧!$B:$D,2,FALSE),"")</f>
        <v/>
      </c>
      <c r="E88" s="17" t="str">
        <f>IFERROR(VLOOKUP(シフト組み!E118,役職一覧!$B:$D,2,FALSE),"")</f>
        <v/>
      </c>
      <c r="F88" s="17" t="str">
        <f>IFERROR(VLOOKUP(シフト組み!F118,役職一覧!$B:$D,2,FALSE),"")</f>
        <v/>
      </c>
      <c r="G88" s="17" t="str">
        <f>IFERROR(VLOOKUP(シフト組み!G118,役職一覧!$B:$D,2,FALSE),"")</f>
        <v/>
      </c>
      <c r="H88" s="17" t="str">
        <f>IFERROR(VLOOKUP(シフト組み!H118,役職一覧!$B:$D,2,FALSE),"")</f>
        <v/>
      </c>
      <c r="I88" s="17" t="str">
        <f>IFERROR(VLOOKUP(シフト組み!I118,役職一覧!$B:$D,2,FALSE),"")</f>
        <v/>
      </c>
      <c r="J88" s="17" t="str">
        <f>IFERROR(VLOOKUP(シフト組み!J118,役職一覧!$B:$D,2,FALSE),"")</f>
        <v/>
      </c>
      <c r="K88" s="17" t="str">
        <f>IFERROR(VLOOKUP(シフト組み!K118,役職一覧!$B:$D,2,FALSE),"")</f>
        <v/>
      </c>
      <c r="L88" s="17" t="str">
        <f>IFERROR(VLOOKUP(シフト組み!L118,役職一覧!$B:$D,2,FALSE),"")</f>
        <v/>
      </c>
      <c r="M88" s="17" t="str">
        <f>IFERROR(VLOOKUP(シフト組み!M118,役職一覧!$B:$D,2,FALSE),"")</f>
        <v/>
      </c>
      <c r="N88" s="17" t="str">
        <f>IFERROR(VLOOKUP(シフト組み!N118,役職一覧!$B:$D,2,FALSE),"")</f>
        <v/>
      </c>
      <c r="O88" s="17" t="str">
        <f>IFERROR(VLOOKUP(シフト組み!O118,役職一覧!$B:$D,2,FALSE),"")</f>
        <v/>
      </c>
      <c r="P88" s="17" t="str">
        <f>IFERROR(VLOOKUP(シフト組み!P118,役職一覧!$B:$D,2,FALSE),"")</f>
        <v/>
      </c>
      <c r="Q88" s="17" t="str">
        <f>IFERROR(VLOOKUP(シフト組み!Q118,役職一覧!$B:$D,2,FALSE),"")</f>
        <v/>
      </c>
      <c r="R88" s="17" t="str">
        <f>IFERROR(VLOOKUP(シフト組み!R118,役職一覧!$B:$D,2,FALSE),"")</f>
        <v/>
      </c>
      <c r="S88" s="17" t="str">
        <f>IFERROR(VLOOKUP(シフト組み!S118,役職一覧!$B:$D,2,FALSE),"")</f>
        <v/>
      </c>
      <c r="T88" s="17" t="str">
        <f>IFERROR(VLOOKUP(シフト組み!T118,役職一覧!$B:$D,2,FALSE),"")</f>
        <v/>
      </c>
      <c r="U88" s="17" t="str">
        <f>IFERROR(VLOOKUP(シフト組み!U118,役職一覧!$B:$D,2,FALSE),"")</f>
        <v/>
      </c>
      <c r="V88" s="17" t="str">
        <f>IFERROR(VLOOKUP(シフト組み!V118,役職一覧!$B:$D,2,FALSE),"")</f>
        <v/>
      </c>
      <c r="W88" s="17" t="str">
        <f>IFERROR(VLOOKUP(シフト組み!W118,役職一覧!$B:$D,2,FALSE),"")</f>
        <v/>
      </c>
      <c r="X88" s="17" t="str">
        <f>IFERROR(VLOOKUP(シフト組み!X118,役職一覧!$B:$D,2,FALSE),"")</f>
        <v/>
      </c>
      <c r="Y88" s="17" t="str">
        <f>IFERROR(VLOOKUP(シフト組み!Y118,役職一覧!$B:$D,2,FALSE),"")</f>
        <v/>
      </c>
      <c r="Z88" s="17" t="str">
        <f>IFERROR(VLOOKUP(シフト組み!Z118,役職一覧!$B:$D,2,FALSE),"")</f>
        <v/>
      </c>
      <c r="AA88" s="17" t="str">
        <f>IFERROR(VLOOKUP(シフト組み!AA118,役職一覧!$B:$D,2,FALSE),"")</f>
        <v/>
      </c>
      <c r="AB88" s="17" t="str">
        <f>IFERROR(VLOOKUP(シフト組み!AB118,役職一覧!$B:$D,2,FALSE),"")</f>
        <v/>
      </c>
      <c r="AC88" s="17" t="str">
        <f>IFERROR(VLOOKUP(シフト組み!AC118,役職一覧!$B:$D,2,FALSE),"")</f>
        <v/>
      </c>
      <c r="AD88" s="17" t="str">
        <f>IFERROR(VLOOKUP(シフト組み!AD118,役職一覧!$B:$D,2,FALSE),"")</f>
        <v/>
      </c>
      <c r="AE88" s="17" t="str">
        <f>IFERROR(VLOOKUP(シフト組み!AE118,役職一覧!$B:$D,2,FALSE),"")</f>
        <v/>
      </c>
      <c r="AF88" s="17" t="str">
        <f>IFERROR(VLOOKUP(シフト組み!AF118,役職一覧!$B:$D,2,FALSE),"")</f>
        <v/>
      </c>
      <c r="AG88" s="17" t="str">
        <f>IFERROR(VLOOKUP(シフト組み!AG118,役職一覧!$B:$D,2,FALSE),"")</f>
        <v/>
      </c>
      <c r="AH88" s="17" t="str">
        <f>IFERROR(VLOOKUP(シフト組み!AH118,役職一覧!$B:$D,3,FALSE),"")</f>
        <v/>
      </c>
      <c r="AI88" s="17" t="str">
        <f>IFERROR(VLOOKUP(シフト組み!AI118,役職一覧!$B:$D,3,FALSE),"")</f>
        <v/>
      </c>
      <c r="AJ88" s="17" t="str">
        <f>IFERROR(VLOOKUP(シフト組み!AJ118,役職一覧!$B:$D,3,FALSE),"")</f>
        <v/>
      </c>
      <c r="AK88" s="17" t="str">
        <f>IFERROR(VLOOKUP(シフト組み!AK118,役職一覧!$B:$D,3,FALSE),"")</f>
        <v/>
      </c>
      <c r="AL88" s="17" t="str">
        <f>IFERROR(VLOOKUP(シフト組み!AL118,役職一覧!$B:$D,3,FALSE),"")</f>
        <v/>
      </c>
      <c r="AM88" s="17" t="str">
        <f>IFERROR(VLOOKUP(シフト組み!AM118,役職一覧!$B:$D,3,FALSE),"")</f>
        <v/>
      </c>
      <c r="AN88" s="17" t="str">
        <f>IFERROR(VLOOKUP(シフト組み!AN118,役職一覧!$B:$D,3,FALSE),"")</f>
        <v/>
      </c>
      <c r="AO88" s="17" t="str">
        <f>IFERROR(VLOOKUP(シフト組み!AO118,役職一覧!$B:$D,3,FALSE),"")</f>
        <v/>
      </c>
      <c r="AP88" s="17" t="str">
        <f>IFERROR(VLOOKUP(シフト組み!AP118,役職一覧!$B:$D,3,FALSE),"")</f>
        <v/>
      </c>
      <c r="AQ88" s="17" t="str">
        <f>IFERROR(VLOOKUP(シフト組み!AQ118,役職一覧!$B:$D,3,FALSE),"")</f>
        <v/>
      </c>
      <c r="AR88" s="17" t="str">
        <f>IFERROR(VLOOKUP(シフト組み!AR118,役職一覧!$B:$D,3,FALSE),"")</f>
        <v/>
      </c>
      <c r="AS88" s="17" t="str">
        <f>IFERROR(VLOOKUP(シフト組み!AS118,役職一覧!$B:$D,3,FALSE),"")</f>
        <v/>
      </c>
      <c r="AT88" s="17" t="str">
        <f>IFERROR(VLOOKUP(シフト組み!AT118,役職一覧!$B:$D,3,FALSE),"")</f>
        <v/>
      </c>
      <c r="AU88" s="17" t="str">
        <f>IFERROR(VLOOKUP(シフト組み!AU118,役職一覧!$B:$D,3,FALSE),"")</f>
        <v/>
      </c>
      <c r="AV88" s="17" t="str">
        <f>IFERROR(VLOOKUP(シフト組み!AV118,役職一覧!$B:$D,3,FALSE),"")</f>
        <v/>
      </c>
      <c r="AW88" s="17" t="str">
        <f>IFERROR(VLOOKUP(シフト組み!AW118,役職一覧!$B:$D,3,FALSE),"")</f>
        <v/>
      </c>
      <c r="AX88" s="17" t="str">
        <f>IFERROR(VLOOKUP(シフト組み!AX118,役職一覧!$B:$D,3,FALSE),"")</f>
        <v/>
      </c>
      <c r="AY88" s="17" t="str">
        <f>IFERROR(VLOOKUP(シフト組み!AY118,役職一覧!$B:$D,3,FALSE),"")</f>
        <v/>
      </c>
      <c r="AZ88" s="17" t="str">
        <f>IFERROR(VLOOKUP(シフト組み!AZ118,役職一覧!$B:$D,3,FALSE),"")</f>
        <v/>
      </c>
      <c r="BA88" s="17" t="str">
        <f>IFERROR(VLOOKUP(シフト組み!BA118,役職一覧!$B:$D,3,FALSE),"")</f>
        <v/>
      </c>
    </row>
    <row r="89" spans="1:53">
      <c r="A89" s="2" t="str">
        <f>シフト組み!A119&amp;""</f>
        <v/>
      </c>
      <c r="B89" s="2" t="str">
        <f>シフト組み!B119&amp;""</f>
        <v/>
      </c>
      <c r="C89" s="2" t="str">
        <f>シフト組み!C119&amp;""</f>
        <v/>
      </c>
      <c r="D89" s="17" t="str">
        <f>IFERROR(VLOOKUP(シフト組み!D119,役職一覧!$B:$D,2,FALSE),"")</f>
        <v/>
      </c>
      <c r="E89" s="17" t="str">
        <f>IFERROR(VLOOKUP(シフト組み!E119,役職一覧!$B:$D,2,FALSE),"")</f>
        <v/>
      </c>
      <c r="F89" s="17" t="str">
        <f>IFERROR(VLOOKUP(シフト組み!F119,役職一覧!$B:$D,2,FALSE),"")</f>
        <v/>
      </c>
      <c r="G89" s="17" t="str">
        <f>IFERROR(VLOOKUP(シフト組み!G119,役職一覧!$B:$D,2,FALSE),"")</f>
        <v/>
      </c>
      <c r="H89" s="17" t="str">
        <f>IFERROR(VLOOKUP(シフト組み!H119,役職一覧!$B:$D,2,FALSE),"")</f>
        <v/>
      </c>
      <c r="I89" s="17" t="str">
        <f>IFERROR(VLOOKUP(シフト組み!I119,役職一覧!$B:$D,2,FALSE),"")</f>
        <v/>
      </c>
      <c r="J89" s="17" t="str">
        <f>IFERROR(VLOOKUP(シフト組み!J119,役職一覧!$B:$D,2,FALSE),"")</f>
        <v/>
      </c>
      <c r="K89" s="17" t="str">
        <f>IFERROR(VLOOKUP(シフト組み!K119,役職一覧!$B:$D,2,FALSE),"")</f>
        <v/>
      </c>
      <c r="L89" s="17" t="str">
        <f>IFERROR(VLOOKUP(シフト組み!L119,役職一覧!$B:$D,2,FALSE),"")</f>
        <v/>
      </c>
      <c r="M89" s="17" t="str">
        <f>IFERROR(VLOOKUP(シフト組み!M119,役職一覧!$B:$D,2,FALSE),"")</f>
        <v/>
      </c>
      <c r="N89" s="17" t="str">
        <f>IFERROR(VLOOKUP(シフト組み!N119,役職一覧!$B:$D,2,FALSE),"")</f>
        <v/>
      </c>
      <c r="O89" s="17" t="str">
        <f>IFERROR(VLOOKUP(シフト組み!O119,役職一覧!$B:$D,2,FALSE),"")</f>
        <v/>
      </c>
      <c r="P89" s="17" t="str">
        <f>IFERROR(VLOOKUP(シフト組み!P119,役職一覧!$B:$D,2,FALSE),"")</f>
        <v/>
      </c>
      <c r="Q89" s="17" t="str">
        <f>IFERROR(VLOOKUP(シフト組み!Q119,役職一覧!$B:$D,2,FALSE),"")</f>
        <v/>
      </c>
      <c r="R89" s="17" t="str">
        <f>IFERROR(VLOOKUP(シフト組み!R119,役職一覧!$B:$D,2,FALSE),"")</f>
        <v/>
      </c>
      <c r="S89" s="17" t="str">
        <f>IFERROR(VLOOKUP(シフト組み!S119,役職一覧!$B:$D,2,FALSE),"")</f>
        <v/>
      </c>
      <c r="T89" s="17" t="str">
        <f>IFERROR(VLOOKUP(シフト組み!T119,役職一覧!$B:$D,2,FALSE),"")</f>
        <v/>
      </c>
      <c r="U89" s="17" t="str">
        <f>IFERROR(VLOOKUP(シフト組み!U119,役職一覧!$B:$D,2,FALSE),"")</f>
        <v/>
      </c>
      <c r="V89" s="17" t="str">
        <f>IFERROR(VLOOKUP(シフト組み!V119,役職一覧!$B:$D,2,FALSE),"")</f>
        <v/>
      </c>
      <c r="W89" s="17" t="str">
        <f>IFERROR(VLOOKUP(シフト組み!W119,役職一覧!$B:$D,2,FALSE),"")</f>
        <v/>
      </c>
      <c r="X89" s="17" t="str">
        <f>IFERROR(VLOOKUP(シフト組み!X119,役職一覧!$B:$D,2,FALSE),"")</f>
        <v/>
      </c>
      <c r="Y89" s="17" t="str">
        <f>IFERROR(VLOOKUP(シフト組み!Y119,役職一覧!$B:$D,2,FALSE),"")</f>
        <v/>
      </c>
      <c r="Z89" s="17" t="str">
        <f>IFERROR(VLOOKUP(シフト組み!Z119,役職一覧!$B:$D,2,FALSE),"")</f>
        <v/>
      </c>
      <c r="AA89" s="17" t="str">
        <f>IFERROR(VLOOKUP(シフト組み!AA119,役職一覧!$B:$D,2,FALSE),"")</f>
        <v/>
      </c>
      <c r="AB89" s="17" t="str">
        <f>IFERROR(VLOOKUP(シフト組み!AB119,役職一覧!$B:$D,2,FALSE),"")</f>
        <v/>
      </c>
      <c r="AC89" s="17" t="str">
        <f>IFERROR(VLOOKUP(シフト組み!AC119,役職一覧!$B:$D,2,FALSE),"")</f>
        <v/>
      </c>
      <c r="AD89" s="17" t="str">
        <f>IFERROR(VLOOKUP(シフト組み!AD119,役職一覧!$B:$D,2,FALSE),"")</f>
        <v/>
      </c>
      <c r="AE89" s="17" t="str">
        <f>IFERROR(VLOOKUP(シフト組み!AE119,役職一覧!$B:$D,2,FALSE),"")</f>
        <v/>
      </c>
      <c r="AF89" s="17" t="str">
        <f>IFERROR(VLOOKUP(シフト組み!AF119,役職一覧!$B:$D,2,FALSE),"")</f>
        <v/>
      </c>
      <c r="AG89" s="17" t="str">
        <f>IFERROR(VLOOKUP(シフト組み!AG119,役職一覧!$B:$D,2,FALSE),"")</f>
        <v/>
      </c>
      <c r="AH89" s="17" t="str">
        <f>IFERROR(VLOOKUP(シフト組み!AH119,役職一覧!$B:$D,3,FALSE),"")</f>
        <v/>
      </c>
      <c r="AI89" s="17" t="str">
        <f>IFERROR(VLOOKUP(シフト組み!AI119,役職一覧!$B:$D,3,FALSE),"")</f>
        <v/>
      </c>
      <c r="AJ89" s="17" t="str">
        <f>IFERROR(VLOOKUP(シフト組み!AJ119,役職一覧!$B:$D,3,FALSE),"")</f>
        <v/>
      </c>
      <c r="AK89" s="17" t="str">
        <f>IFERROR(VLOOKUP(シフト組み!AK119,役職一覧!$B:$D,3,FALSE),"")</f>
        <v/>
      </c>
      <c r="AL89" s="17" t="str">
        <f>IFERROR(VLOOKUP(シフト組み!AL119,役職一覧!$B:$D,3,FALSE),"")</f>
        <v/>
      </c>
      <c r="AM89" s="17" t="str">
        <f>IFERROR(VLOOKUP(シフト組み!AM119,役職一覧!$B:$D,3,FALSE),"")</f>
        <v/>
      </c>
      <c r="AN89" s="17" t="str">
        <f>IFERROR(VLOOKUP(シフト組み!AN119,役職一覧!$B:$D,3,FALSE),"")</f>
        <v/>
      </c>
      <c r="AO89" s="17" t="str">
        <f>IFERROR(VLOOKUP(シフト組み!AO119,役職一覧!$B:$D,3,FALSE),"")</f>
        <v/>
      </c>
      <c r="AP89" s="17" t="str">
        <f>IFERROR(VLOOKUP(シフト組み!AP119,役職一覧!$B:$D,3,FALSE),"")</f>
        <v/>
      </c>
      <c r="AQ89" s="17" t="str">
        <f>IFERROR(VLOOKUP(シフト組み!AQ119,役職一覧!$B:$D,3,FALSE),"")</f>
        <v/>
      </c>
      <c r="AR89" s="17" t="str">
        <f>IFERROR(VLOOKUP(シフト組み!AR119,役職一覧!$B:$D,3,FALSE),"")</f>
        <v/>
      </c>
      <c r="AS89" s="17" t="str">
        <f>IFERROR(VLOOKUP(シフト組み!AS119,役職一覧!$B:$D,3,FALSE),"")</f>
        <v/>
      </c>
      <c r="AT89" s="17" t="str">
        <f>IFERROR(VLOOKUP(シフト組み!AT119,役職一覧!$B:$D,3,FALSE),"")</f>
        <v/>
      </c>
      <c r="AU89" s="17" t="str">
        <f>IFERROR(VLOOKUP(シフト組み!AU119,役職一覧!$B:$D,3,FALSE),"")</f>
        <v/>
      </c>
      <c r="AV89" s="17" t="str">
        <f>IFERROR(VLOOKUP(シフト組み!AV119,役職一覧!$B:$D,3,FALSE),"")</f>
        <v/>
      </c>
      <c r="AW89" s="17" t="str">
        <f>IFERROR(VLOOKUP(シフト組み!AW119,役職一覧!$B:$D,3,FALSE),"")</f>
        <v/>
      </c>
      <c r="AX89" s="17" t="str">
        <f>IFERROR(VLOOKUP(シフト組み!AX119,役職一覧!$B:$D,3,FALSE),"")</f>
        <v/>
      </c>
      <c r="AY89" s="17" t="str">
        <f>IFERROR(VLOOKUP(シフト組み!AY119,役職一覧!$B:$D,3,FALSE),"")</f>
        <v/>
      </c>
      <c r="AZ89" s="17" t="str">
        <f>IFERROR(VLOOKUP(シフト組み!AZ119,役職一覧!$B:$D,3,FALSE),"")</f>
        <v/>
      </c>
      <c r="BA89" s="17" t="str">
        <f>IFERROR(VLOOKUP(シフト組み!BA119,役職一覧!$B:$D,3,FALSE),"")</f>
        <v/>
      </c>
    </row>
    <row r="90" spans="1:53">
      <c r="A90" s="2" t="str">
        <f>シフト組み!A120&amp;""</f>
        <v/>
      </c>
      <c r="B90" s="2" t="str">
        <f>シフト組み!B120&amp;""</f>
        <v/>
      </c>
      <c r="C90" s="2" t="str">
        <f>シフト組み!C120&amp;""</f>
        <v/>
      </c>
      <c r="D90" s="17" t="str">
        <f>IFERROR(VLOOKUP(シフト組み!D120,役職一覧!$B:$D,2,FALSE),"")</f>
        <v/>
      </c>
      <c r="E90" s="17" t="str">
        <f>IFERROR(VLOOKUP(シフト組み!E120,役職一覧!$B:$D,2,FALSE),"")</f>
        <v/>
      </c>
      <c r="F90" s="17" t="str">
        <f>IFERROR(VLOOKUP(シフト組み!F120,役職一覧!$B:$D,2,FALSE),"")</f>
        <v/>
      </c>
      <c r="G90" s="17" t="str">
        <f>IFERROR(VLOOKUP(シフト組み!G120,役職一覧!$B:$D,2,FALSE),"")</f>
        <v/>
      </c>
      <c r="H90" s="17" t="str">
        <f>IFERROR(VLOOKUP(シフト組み!H120,役職一覧!$B:$D,2,FALSE),"")</f>
        <v/>
      </c>
      <c r="I90" s="17" t="str">
        <f>IFERROR(VLOOKUP(シフト組み!I120,役職一覧!$B:$D,2,FALSE),"")</f>
        <v/>
      </c>
      <c r="J90" s="17" t="str">
        <f>IFERROR(VLOOKUP(シフト組み!J120,役職一覧!$B:$D,2,FALSE),"")</f>
        <v/>
      </c>
      <c r="K90" s="17" t="str">
        <f>IFERROR(VLOOKUP(シフト組み!K120,役職一覧!$B:$D,2,FALSE),"")</f>
        <v/>
      </c>
      <c r="L90" s="17" t="str">
        <f>IFERROR(VLOOKUP(シフト組み!L120,役職一覧!$B:$D,2,FALSE),"")</f>
        <v/>
      </c>
      <c r="M90" s="17" t="str">
        <f>IFERROR(VLOOKUP(シフト組み!M120,役職一覧!$B:$D,2,FALSE),"")</f>
        <v/>
      </c>
      <c r="N90" s="17" t="str">
        <f>IFERROR(VLOOKUP(シフト組み!N120,役職一覧!$B:$D,2,FALSE),"")</f>
        <v/>
      </c>
      <c r="O90" s="17" t="str">
        <f>IFERROR(VLOOKUP(シフト組み!O120,役職一覧!$B:$D,2,FALSE),"")</f>
        <v/>
      </c>
      <c r="P90" s="17" t="str">
        <f>IFERROR(VLOOKUP(シフト組み!P120,役職一覧!$B:$D,2,FALSE),"")</f>
        <v/>
      </c>
      <c r="Q90" s="17" t="str">
        <f>IFERROR(VLOOKUP(シフト組み!Q120,役職一覧!$B:$D,2,FALSE),"")</f>
        <v/>
      </c>
      <c r="R90" s="17" t="str">
        <f>IFERROR(VLOOKUP(シフト組み!R120,役職一覧!$B:$D,2,FALSE),"")</f>
        <v/>
      </c>
      <c r="S90" s="17" t="str">
        <f>IFERROR(VLOOKUP(シフト組み!S120,役職一覧!$B:$D,2,FALSE),"")</f>
        <v/>
      </c>
      <c r="T90" s="17" t="str">
        <f>IFERROR(VLOOKUP(シフト組み!T120,役職一覧!$B:$D,2,FALSE),"")</f>
        <v/>
      </c>
      <c r="U90" s="17" t="str">
        <f>IFERROR(VLOOKUP(シフト組み!U120,役職一覧!$B:$D,2,FALSE),"")</f>
        <v/>
      </c>
      <c r="V90" s="17" t="str">
        <f>IFERROR(VLOOKUP(シフト組み!V120,役職一覧!$B:$D,2,FALSE),"")</f>
        <v/>
      </c>
      <c r="W90" s="17" t="str">
        <f>IFERROR(VLOOKUP(シフト組み!W120,役職一覧!$B:$D,2,FALSE),"")</f>
        <v/>
      </c>
      <c r="X90" s="17" t="str">
        <f>IFERROR(VLOOKUP(シフト組み!X120,役職一覧!$B:$D,2,FALSE),"")</f>
        <v/>
      </c>
      <c r="Y90" s="17" t="str">
        <f>IFERROR(VLOOKUP(シフト組み!Y120,役職一覧!$B:$D,2,FALSE),"")</f>
        <v/>
      </c>
      <c r="Z90" s="17" t="str">
        <f>IFERROR(VLOOKUP(シフト組み!Z120,役職一覧!$B:$D,2,FALSE),"")</f>
        <v/>
      </c>
      <c r="AA90" s="17" t="str">
        <f>IFERROR(VLOOKUP(シフト組み!AA120,役職一覧!$B:$D,2,FALSE),"")</f>
        <v/>
      </c>
      <c r="AB90" s="17" t="str">
        <f>IFERROR(VLOOKUP(シフト組み!AB120,役職一覧!$B:$D,2,FALSE),"")</f>
        <v/>
      </c>
      <c r="AC90" s="17" t="str">
        <f>IFERROR(VLOOKUP(シフト組み!AC120,役職一覧!$B:$D,2,FALSE),"")</f>
        <v/>
      </c>
      <c r="AD90" s="17" t="str">
        <f>IFERROR(VLOOKUP(シフト組み!AD120,役職一覧!$B:$D,2,FALSE),"")</f>
        <v/>
      </c>
      <c r="AE90" s="17" t="str">
        <f>IFERROR(VLOOKUP(シフト組み!AE120,役職一覧!$B:$D,2,FALSE),"")</f>
        <v/>
      </c>
      <c r="AF90" s="17" t="str">
        <f>IFERROR(VLOOKUP(シフト組み!AF120,役職一覧!$B:$D,2,FALSE),"")</f>
        <v/>
      </c>
      <c r="AG90" s="17" t="str">
        <f>IFERROR(VLOOKUP(シフト組み!AG120,役職一覧!$B:$D,2,FALSE),"")</f>
        <v/>
      </c>
      <c r="AH90" s="17" t="str">
        <f>IFERROR(VLOOKUP(シフト組み!AH120,役職一覧!$B:$D,3,FALSE),"")</f>
        <v/>
      </c>
      <c r="AI90" s="17" t="str">
        <f>IFERROR(VLOOKUP(シフト組み!AI120,役職一覧!$B:$D,3,FALSE),"")</f>
        <v/>
      </c>
      <c r="AJ90" s="17" t="str">
        <f>IFERROR(VLOOKUP(シフト組み!AJ120,役職一覧!$B:$D,3,FALSE),"")</f>
        <v/>
      </c>
      <c r="AK90" s="17" t="str">
        <f>IFERROR(VLOOKUP(シフト組み!AK120,役職一覧!$B:$D,3,FALSE),"")</f>
        <v/>
      </c>
      <c r="AL90" s="17" t="str">
        <f>IFERROR(VLOOKUP(シフト組み!AL120,役職一覧!$B:$D,3,FALSE),"")</f>
        <v/>
      </c>
      <c r="AM90" s="17" t="str">
        <f>IFERROR(VLOOKUP(シフト組み!AM120,役職一覧!$B:$D,3,FALSE),"")</f>
        <v/>
      </c>
      <c r="AN90" s="17" t="str">
        <f>IFERROR(VLOOKUP(シフト組み!AN120,役職一覧!$B:$D,3,FALSE),"")</f>
        <v/>
      </c>
      <c r="AO90" s="17" t="str">
        <f>IFERROR(VLOOKUP(シフト組み!AO120,役職一覧!$B:$D,3,FALSE),"")</f>
        <v/>
      </c>
      <c r="AP90" s="17" t="str">
        <f>IFERROR(VLOOKUP(シフト組み!AP120,役職一覧!$B:$D,3,FALSE),"")</f>
        <v/>
      </c>
      <c r="AQ90" s="17" t="str">
        <f>IFERROR(VLOOKUP(シフト組み!AQ120,役職一覧!$B:$D,3,FALSE),"")</f>
        <v/>
      </c>
      <c r="AR90" s="17" t="str">
        <f>IFERROR(VLOOKUP(シフト組み!AR120,役職一覧!$B:$D,3,FALSE),"")</f>
        <v/>
      </c>
      <c r="AS90" s="17" t="str">
        <f>IFERROR(VLOOKUP(シフト組み!AS120,役職一覧!$B:$D,3,FALSE),"")</f>
        <v/>
      </c>
      <c r="AT90" s="17" t="str">
        <f>IFERROR(VLOOKUP(シフト組み!AT120,役職一覧!$B:$D,3,FALSE),"")</f>
        <v/>
      </c>
      <c r="AU90" s="17" t="str">
        <f>IFERROR(VLOOKUP(シフト組み!AU120,役職一覧!$B:$D,3,FALSE),"")</f>
        <v/>
      </c>
      <c r="AV90" s="17" t="str">
        <f>IFERROR(VLOOKUP(シフト組み!AV120,役職一覧!$B:$D,3,FALSE),"")</f>
        <v/>
      </c>
      <c r="AW90" s="17" t="str">
        <f>IFERROR(VLOOKUP(シフト組み!AW120,役職一覧!$B:$D,3,FALSE),"")</f>
        <v/>
      </c>
      <c r="AX90" s="17" t="str">
        <f>IFERROR(VLOOKUP(シフト組み!AX120,役職一覧!$B:$D,3,FALSE),"")</f>
        <v/>
      </c>
      <c r="AY90" s="17" t="str">
        <f>IFERROR(VLOOKUP(シフト組み!AY120,役職一覧!$B:$D,3,FALSE),"")</f>
        <v/>
      </c>
      <c r="AZ90" s="17" t="str">
        <f>IFERROR(VLOOKUP(シフト組み!AZ120,役職一覧!$B:$D,3,FALSE),"")</f>
        <v/>
      </c>
      <c r="BA90" s="17" t="str">
        <f>IFERROR(VLOOKUP(シフト組み!BA120,役職一覧!$B:$D,3,FALSE),"")</f>
        <v/>
      </c>
    </row>
    <row r="91" spans="1:53">
      <c r="A91" s="2" t="str">
        <f>シフト組み!A121&amp;""</f>
        <v/>
      </c>
      <c r="B91" s="2" t="str">
        <f>シフト組み!B121&amp;""</f>
        <v/>
      </c>
      <c r="C91" s="2" t="str">
        <f>シフト組み!C121&amp;""</f>
        <v/>
      </c>
      <c r="D91" s="17" t="str">
        <f>IFERROR(VLOOKUP(シフト組み!D121,役職一覧!$B:$D,2,FALSE),"")</f>
        <v/>
      </c>
      <c r="E91" s="17" t="str">
        <f>IFERROR(VLOOKUP(シフト組み!E121,役職一覧!$B:$D,2,FALSE),"")</f>
        <v/>
      </c>
      <c r="F91" s="17" t="str">
        <f>IFERROR(VLOOKUP(シフト組み!F121,役職一覧!$B:$D,2,FALSE),"")</f>
        <v/>
      </c>
      <c r="G91" s="17" t="str">
        <f>IFERROR(VLOOKUP(シフト組み!G121,役職一覧!$B:$D,2,FALSE),"")</f>
        <v/>
      </c>
      <c r="H91" s="17" t="str">
        <f>IFERROR(VLOOKUP(シフト組み!H121,役職一覧!$B:$D,2,FALSE),"")</f>
        <v/>
      </c>
      <c r="I91" s="17" t="str">
        <f>IFERROR(VLOOKUP(シフト組み!I121,役職一覧!$B:$D,2,FALSE),"")</f>
        <v/>
      </c>
      <c r="J91" s="17" t="str">
        <f>IFERROR(VLOOKUP(シフト組み!J121,役職一覧!$B:$D,2,FALSE),"")</f>
        <v/>
      </c>
      <c r="K91" s="17" t="str">
        <f>IFERROR(VLOOKUP(シフト組み!K121,役職一覧!$B:$D,2,FALSE),"")</f>
        <v/>
      </c>
      <c r="L91" s="17" t="str">
        <f>IFERROR(VLOOKUP(シフト組み!L121,役職一覧!$B:$D,2,FALSE),"")</f>
        <v/>
      </c>
      <c r="M91" s="17" t="str">
        <f>IFERROR(VLOOKUP(シフト組み!M121,役職一覧!$B:$D,2,FALSE),"")</f>
        <v/>
      </c>
      <c r="N91" s="17" t="str">
        <f>IFERROR(VLOOKUP(シフト組み!N121,役職一覧!$B:$D,2,FALSE),"")</f>
        <v/>
      </c>
      <c r="O91" s="17" t="str">
        <f>IFERROR(VLOOKUP(シフト組み!O121,役職一覧!$B:$D,2,FALSE),"")</f>
        <v/>
      </c>
      <c r="P91" s="17" t="str">
        <f>IFERROR(VLOOKUP(シフト組み!P121,役職一覧!$B:$D,2,FALSE),"")</f>
        <v/>
      </c>
      <c r="Q91" s="17" t="str">
        <f>IFERROR(VLOOKUP(シフト組み!Q121,役職一覧!$B:$D,2,FALSE),"")</f>
        <v/>
      </c>
      <c r="R91" s="17" t="str">
        <f>IFERROR(VLOOKUP(シフト組み!R121,役職一覧!$B:$D,2,FALSE),"")</f>
        <v/>
      </c>
      <c r="S91" s="17" t="str">
        <f>IFERROR(VLOOKUP(シフト組み!S121,役職一覧!$B:$D,2,FALSE),"")</f>
        <v/>
      </c>
      <c r="T91" s="17" t="str">
        <f>IFERROR(VLOOKUP(シフト組み!T121,役職一覧!$B:$D,2,FALSE),"")</f>
        <v/>
      </c>
      <c r="U91" s="17" t="str">
        <f>IFERROR(VLOOKUP(シフト組み!U121,役職一覧!$B:$D,2,FALSE),"")</f>
        <v/>
      </c>
      <c r="V91" s="17" t="str">
        <f>IFERROR(VLOOKUP(シフト組み!V121,役職一覧!$B:$D,2,FALSE),"")</f>
        <v/>
      </c>
      <c r="W91" s="17" t="str">
        <f>IFERROR(VLOOKUP(シフト組み!W121,役職一覧!$B:$D,2,FALSE),"")</f>
        <v/>
      </c>
      <c r="X91" s="17" t="str">
        <f>IFERROR(VLOOKUP(シフト組み!X121,役職一覧!$B:$D,2,FALSE),"")</f>
        <v/>
      </c>
      <c r="Y91" s="17" t="str">
        <f>IFERROR(VLOOKUP(シフト組み!Y121,役職一覧!$B:$D,2,FALSE),"")</f>
        <v/>
      </c>
      <c r="Z91" s="17" t="str">
        <f>IFERROR(VLOOKUP(シフト組み!Z121,役職一覧!$B:$D,2,FALSE),"")</f>
        <v/>
      </c>
      <c r="AA91" s="17" t="str">
        <f>IFERROR(VLOOKUP(シフト組み!AA121,役職一覧!$B:$D,2,FALSE),"")</f>
        <v/>
      </c>
      <c r="AB91" s="17" t="str">
        <f>IFERROR(VLOOKUP(シフト組み!AB121,役職一覧!$B:$D,2,FALSE),"")</f>
        <v/>
      </c>
      <c r="AC91" s="17" t="str">
        <f>IFERROR(VLOOKUP(シフト組み!AC121,役職一覧!$B:$D,2,FALSE),"")</f>
        <v/>
      </c>
      <c r="AD91" s="17" t="str">
        <f>IFERROR(VLOOKUP(シフト組み!AD121,役職一覧!$B:$D,2,FALSE),"")</f>
        <v/>
      </c>
      <c r="AE91" s="17" t="str">
        <f>IFERROR(VLOOKUP(シフト組み!AE121,役職一覧!$B:$D,2,FALSE),"")</f>
        <v/>
      </c>
      <c r="AF91" s="17" t="str">
        <f>IFERROR(VLOOKUP(シフト組み!AF121,役職一覧!$B:$D,2,FALSE),"")</f>
        <v/>
      </c>
      <c r="AG91" s="17" t="str">
        <f>IFERROR(VLOOKUP(シフト組み!AG121,役職一覧!$B:$D,2,FALSE),"")</f>
        <v/>
      </c>
      <c r="AH91" s="17" t="str">
        <f>IFERROR(VLOOKUP(シフト組み!AH121,役職一覧!$B:$D,3,FALSE),"")</f>
        <v/>
      </c>
      <c r="AI91" s="17" t="str">
        <f>IFERROR(VLOOKUP(シフト組み!AI121,役職一覧!$B:$D,3,FALSE),"")</f>
        <v/>
      </c>
      <c r="AJ91" s="17" t="str">
        <f>IFERROR(VLOOKUP(シフト組み!AJ121,役職一覧!$B:$D,3,FALSE),"")</f>
        <v/>
      </c>
      <c r="AK91" s="17" t="str">
        <f>IFERROR(VLOOKUP(シフト組み!AK121,役職一覧!$B:$D,3,FALSE),"")</f>
        <v/>
      </c>
      <c r="AL91" s="17" t="str">
        <f>IFERROR(VLOOKUP(シフト組み!AL121,役職一覧!$B:$D,3,FALSE),"")</f>
        <v/>
      </c>
      <c r="AM91" s="17" t="str">
        <f>IFERROR(VLOOKUP(シフト組み!AM121,役職一覧!$B:$D,3,FALSE),"")</f>
        <v/>
      </c>
      <c r="AN91" s="17" t="str">
        <f>IFERROR(VLOOKUP(シフト組み!AN121,役職一覧!$B:$D,3,FALSE),"")</f>
        <v/>
      </c>
      <c r="AO91" s="17" t="str">
        <f>IFERROR(VLOOKUP(シフト組み!AO121,役職一覧!$B:$D,3,FALSE),"")</f>
        <v/>
      </c>
      <c r="AP91" s="17" t="str">
        <f>IFERROR(VLOOKUP(シフト組み!AP121,役職一覧!$B:$D,3,FALSE),"")</f>
        <v/>
      </c>
      <c r="AQ91" s="17" t="str">
        <f>IFERROR(VLOOKUP(シフト組み!AQ121,役職一覧!$B:$D,3,FALSE),"")</f>
        <v/>
      </c>
      <c r="AR91" s="17" t="str">
        <f>IFERROR(VLOOKUP(シフト組み!AR121,役職一覧!$B:$D,3,FALSE),"")</f>
        <v/>
      </c>
      <c r="AS91" s="17" t="str">
        <f>IFERROR(VLOOKUP(シフト組み!AS121,役職一覧!$B:$D,3,FALSE),"")</f>
        <v/>
      </c>
      <c r="AT91" s="17" t="str">
        <f>IFERROR(VLOOKUP(シフト組み!AT121,役職一覧!$B:$D,3,FALSE),"")</f>
        <v/>
      </c>
      <c r="AU91" s="17" t="str">
        <f>IFERROR(VLOOKUP(シフト組み!AU121,役職一覧!$B:$D,3,FALSE),"")</f>
        <v/>
      </c>
      <c r="AV91" s="17" t="str">
        <f>IFERROR(VLOOKUP(シフト組み!AV121,役職一覧!$B:$D,3,FALSE),"")</f>
        <v/>
      </c>
      <c r="AW91" s="17" t="str">
        <f>IFERROR(VLOOKUP(シフト組み!AW121,役職一覧!$B:$D,3,FALSE),"")</f>
        <v/>
      </c>
      <c r="AX91" s="17" t="str">
        <f>IFERROR(VLOOKUP(シフト組み!AX121,役職一覧!$B:$D,3,FALSE),"")</f>
        <v/>
      </c>
      <c r="AY91" s="17" t="str">
        <f>IFERROR(VLOOKUP(シフト組み!AY121,役職一覧!$B:$D,3,FALSE),"")</f>
        <v/>
      </c>
      <c r="AZ91" s="17" t="str">
        <f>IFERROR(VLOOKUP(シフト組み!AZ121,役職一覧!$B:$D,3,FALSE),"")</f>
        <v/>
      </c>
      <c r="BA91" s="17" t="str">
        <f>IFERROR(VLOOKUP(シフト組み!BA121,役職一覧!$B:$D,3,FALSE),"")</f>
        <v/>
      </c>
    </row>
    <row r="92" spans="1:53">
      <c r="A92" s="2" t="str">
        <f>シフト組み!A122&amp;""</f>
        <v/>
      </c>
      <c r="B92" s="2" t="str">
        <f>シフト組み!B122&amp;""</f>
        <v/>
      </c>
      <c r="C92" s="2" t="str">
        <f>シフト組み!C122&amp;""</f>
        <v/>
      </c>
      <c r="D92" s="17" t="str">
        <f>IFERROR(VLOOKUP(シフト組み!D122,役職一覧!$B:$D,2,FALSE),"")</f>
        <v/>
      </c>
      <c r="E92" s="17" t="str">
        <f>IFERROR(VLOOKUP(シフト組み!E122,役職一覧!$B:$D,2,FALSE),"")</f>
        <v/>
      </c>
      <c r="F92" s="17" t="str">
        <f>IFERROR(VLOOKUP(シフト組み!F122,役職一覧!$B:$D,2,FALSE),"")</f>
        <v/>
      </c>
      <c r="G92" s="17" t="str">
        <f>IFERROR(VLOOKUP(シフト組み!G122,役職一覧!$B:$D,2,FALSE),"")</f>
        <v/>
      </c>
      <c r="H92" s="17" t="str">
        <f>IFERROR(VLOOKUP(シフト組み!H122,役職一覧!$B:$D,2,FALSE),"")</f>
        <v/>
      </c>
      <c r="I92" s="17" t="str">
        <f>IFERROR(VLOOKUP(シフト組み!I122,役職一覧!$B:$D,2,FALSE),"")</f>
        <v/>
      </c>
      <c r="J92" s="17" t="str">
        <f>IFERROR(VLOOKUP(シフト組み!J122,役職一覧!$B:$D,2,FALSE),"")</f>
        <v/>
      </c>
      <c r="K92" s="17" t="str">
        <f>IFERROR(VLOOKUP(シフト組み!K122,役職一覧!$B:$D,2,FALSE),"")</f>
        <v/>
      </c>
      <c r="L92" s="17" t="str">
        <f>IFERROR(VLOOKUP(シフト組み!L122,役職一覧!$B:$D,2,FALSE),"")</f>
        <v/>
      </c>
      <c r="M92" s="17" t="str">
        <f>IFERROR(VLOOKUP(シフト組み!M122,役職一覧!$B:$D,2,FALSE),"")</f>
        <v/>
      </c>
      <c r="N92" s="17" t="str">
        <f>IFERROR(VLOOKUP(シフト組み!N122,役職一覧!$B:$D,2,FALSE),"")</f>
        <v/>
      </c>
      <c r="O92" s="17" t="str">
        <f>IFERROR(VLOOKUP(シフト組み!O122,役職一覧!$B:$D,2,FALSE),"")</f>
        <v/>
      </c>
      <c r="P92" s="17" t="str">
        <f>IFERROR(VLOOKUP(シフト組み!P122,役職一覧!$B:$D,2,FALSE),"")</f>
        <v/>
      </c>
      <c r="Q92" s="17" t="str">
        <f>IFERROR(VLOOKUP(シフト組み!Q122,役職一覧!$B:$D,2,FALSE),"")</f>
        <v/>
      </c>
      <c r="R92" s="17" t="str">
        <f>IFERROR(VLOOKUP(シフト組み!R122,役職一覧!$B:$D,2,FALSE),"")</f>
        <v/>
      </c>
      <c r="S92" s="17" t="str">
        <f>IFERROR(VLOOKUP(シフト組み!S122,役職一覧!$B:$D,2,FALSE),"")</f>
        <v/>
      </c>
      <c r="T92" s="17" t="str">
        <f>IFERROR(VLOOKUP(シフト組み!T122,役職一覧!$B:$D,2,FALSE),"")</f>
        <v/>
      </c>
      <c r="U92" s="17" t="str">
        <f>IFERROR(VLOOKUP(シフト組み!U122,役職一覧!$B:$D,2,FALSE),"")</f>
        <v/>
      </c>
      <c r="V92" s="17" t="str">
        <f>IFERROR(VLOOKUP(シフト組み!V122,役職一覧!$B:$D,2,FALSE),"")</f>
        <v/>
      </c>
      <c r="W92" s="17" t="str">
        <f>IFERROR(VLOOKUP(シフト組み!W122,役職一覧!$B:$D,2,FALSE),"")</f>
        <v/>
      </c>
      <c r="X92" s="17" t="str">
        <f>IFERROR(VLOOKUP(シフト組み!X122,役職一覧!$B:$D,2,FALSE),"")</f>
        <v/>
      </c>
      <c r="Y92" s="17" t="str">
        <f>IFERROR(VLOOKUP(シフト組み!Y122,役職一覧!$B:$D,2,FALSE),"")</f>
        <v/>
      </c>
      <c r="Z92" s="17" t="str">
        <f>IFERROR(VLOOKUP(シフト組み!Z122,役職一覧!$B:$D,2,FALSE),"")</f>
        <v/>
      </c>
      <c r="AA92" s="17" t="str">
        <f>IFERROR(VLOOKUP(シフト組み!AA122,役職一覧!$B:$D,2,FALSE),"")</f>
        <v/>
      </c>
      <c r="AB92" s="17" t="str">
        <f>IFERROR(VLOOKUP(シフト組み!AB122,役職一覧!$B:$D,2,FALSE),"")</f>
        <v/>
      </c>
      <c r="AC92" s="17" t="str">
        <f>IFERROR(VLOOKUP(シフト組み!AC122,役職一覧!$B:$D,2,FALSE),"")</f>
        <v/>
      </c>
      <c r="AD92" s="17" t="str">
        <f>IFERROR(VLOOKUP(シフト組み!AD122,役職一覧!$B:$D,2,FALSE),"")</f>
        <v/>
      </c>
      <c r="AE92" s="17" t="str">
        <f>IFERROR(VLOOKUP(シフト組み!AE122,役職一覧!$B:$D,2,FALSE),"")</f>
        <v/>
      </c>
      <c r="AF92" s="17" t="str">
        <f>IFERROR(VLOOKUP(シフト組み!AF122,役職一覧!$B:$D,2,FALSE),"")</f>
        <v/>
      </c>
      <c r="AG92" s="17" t="str">
        <f>IFERROR(VLOOKUP(シフト組み!AG122,役職一覧!$B:$D,2,FALSE),"")</f>
        <v/>
      </c>
      <c r="AH92" s="17" t="str">
        <f>IFERROR(VLOOKUP(シフト組み!AH122,役職一覧!$B:$D,3,FALSE),"")</f>
        <v/>
      </c>
      <c r="AI92" s="17" t="str">
        <f>IFERROR(VLOOKUP(シフト組み!AI122,役職一覧!$B:$D,3,FALSE),"")</f>
        <v/>
      </c>
      <c r="AJ92" s="17" t="str">
        <f>IFERROR(VLOOKUP(シフト組み!AJ122,役職一覧!$B:$D,3,FALSE),"")</f>
        <v/>
      </c>
      <c r="AK92" s="17" t="str">
        <f>IFERROR(VLOOKUP(シフト組み!AK122,役職一覧!$B:$D,3,FALSE),"")</f>
        <v/>
      </c>
      <c r="AL92" s="17" t="str">
        <f>IFERROR(VLOOKUP(シフト組み!AL122,役職一覧!$B:$D,3,FALSE),"")</f>
        <v/>
      </c>
      <c r="AM92" s="17" t="str">
        <f>IFERROR(VLOOKUP(シフト組み!AM122,役職一覧!$B:$D,3,FALSE),"")</f>
        <v/>
      </c>
      <c r="AN92" s="17" t="str">
        <f>IFERROR(VLOOKUP(シフト組み!AN122,役職一覧!$B:$D,3,FALSE),"")</f>
        <v/>
      </c>
      <c r="AO92" s="17" t="str">
        <f>IFERROR(VLOOKUP(シフト組み!AO122,役職一覧!$B:$D,3,FALSE),"")</f>
        <v/>
      </c>
      <c r="AP92" s="17" t="str">
        <f>IFERROR(VLOOKUP(シフト組み!AP122,役職一覧!$B:$D,3,FALSE),"")</f>
        <v/>
      </c>
      <c r="AQ92" s="17" t="str">
        <f>IFERROR(VLOOKUP(シフト組み!AQ122,役職一覧!$B:$D,3,FALSE),"")</f>
        <v/>
      </c>
      <c r="AR92" s="17" t="str">
        <f>IFERROR(VLOOKUP(シフト組み!AR122,役職一覧!$B:$D,3,FALSE),"")</f>
        <v/>
      </c>
      <c r="AS92" s="17" t="str">
        <f>IFERROR(VLOOKUP(シフト組み!AS122,役職一覧!$B:$D,3,FALSE),"")</f>
        <v/>
      </c>
      <c r="AT92" s="17" t="str">
        <f>IFERROR(VLOOKUP(シフト組み!AT122,役職一覧!$B:$D,3,FALSE),"")</f>
        <v/>
      </c>
      <c r="AU92" s="17" t="str">
        <f>IFERROR(VLOOKUP(シフト組み!AU122,役職一覧!$B:$D,3,FALSE),"")</f>
        <v/>
      </c>
      <c r="AV92" s="17" t="str">
        <f>IFERROR(VLOOKUP(シフト組み!AV122,役職一覧!$B:$D,3,FALSE),"")</f>
        <v/>
      </c>
      <c r="AW92" s="17" t="str">
        <f>IFERROR(VLOOKUP(シフト組み!AW122,役職一覧!$B:$D,3,FALSE),"")</f>
        <v/>
      </c>
      <c r="AX92" s="17" t="str">
        <f>IFERROR(VLOOKUP(シフト組み!AX122,役職一覧!$B:$D,3,FALSE),"")</f>
        <v/>
      </c>
      <c r="AY92" s="17" t="str">
        <f>IFERROR(VLOOKUP(シフト組み!AY122,役職一覧!$B:$D,3,FALSE),"")</f>
        <v/>
      </c>
      <c r="AZ92" s="17" t="str">
        <f>IFERROR(VLOOKUP(シフト組み!AZ122,役職一覧!$B:$D,3,FALSE),"")</f>
        <v/>
      </c>
      <c r="BA92" s="17" t="str">
        <f>IFERROR(VLOOKUP(シフト組み!BA122,役職一覧!$B:$D,3,FALSE),"")</f>
        <v/>
      </c>
    </row>
    <row r="93" spans="1:53">
      <c r="A93" s="2" t="str">
        <f>シフト組み!A123&amp;""</f>
        <v/>
      </c>
      <c r="B93" s="2" t="str">
        <f>シフト組み!B123&amp;""</f>
        <v/>
      </c>
      <c r="C93" s="2" t="str">
        <f>シフト組み!C123&amp;""</f>
        <v/>
      </c>
      <c r="D93" s="17" t="str">
        <f>IFERROR(VLOOKUP(シフト組み!D123,役職一覧!$B:$D,2,FALSE),"")</f>
        <v/>
      </c>
      <c r="E93" s="17" t="str">
        <f>IFERROR(VLOOKUP(シフト組み!E123,役職一覧!$B:$D,2,FALSE),"")</f>
        <v/>
      </c>
      <c r="F93" s="17" t="str">
        <f>IFERROR(VLOOKUP(シフト組み!F123,役職一覧!$B:$D,2,FALSE),"")</f>
        <v/>
      </c>
      <c r="G93" s="17" t="str">
        <f>IFERROR(VLOOKUP(シフト組み!G123,役職一覧!$B:$D,2,FALSE),"")</f>
        <v/>
      </c>
      <c r="H93" s="17" t="str">
        <f>IFERROR(VLOOKUP(シフト組み!H123,役職一覧!$B:$D,2,FALSE),"")</f>
        <v/>
      </c>
      <c r="I93" s="17" t="str">
        <f>IFERROR(VLOOKUP(シフト組み!I123,役職一覧!$B:$D,2,FALSE),"")</f>
        <v/>
      </c>
      <c r="J93" s="17" t="str">
        <f>IFERROR(VLOOKUP(シフト組み!J123,役職一覧!$B:$D,2,FALSE),"")</f>
        <v/>
      </c>
      <c r="K93" s="17" t="str">
        <f>IFERROR(VLOOKUP(シフト組み!K123,役職一覧!$B:$D,2,FALSE),"")</f>
        <v/>
      </c>
      <c r="L93" s="17" t="str">
        <f>IFERROR(VLOOKUP(シフト組み!L123,役職一覧!$B:$D,2,FALSE),"")</f>
        <v/>
      </c>
      <c r="M93" s="17" t="str">
        <f>IFERROR(VLOOKUP(シフト組み!M123,役職一覧!$B:$D,2,FALSE),"")</f>
        <v/>
      </c>
      <c r="N93" s="17" t="str">
        <f>IFERROR(VLOOKUP(シフト組み!N123,役職一覧!$B:$D,2,FALSE),"")</f>
        <v/>
      </c>
      <c r="O93" s="17" t="str">
        <f>IFERROR(VLOOKUP(シフト組み!O123,役職一覧!$B:$D,2,FALSE),"")</f>
        <v/>
      </c>
      <c r="P93" s="17" t="str">
        <f>IFERROR(VLOOKUP(シフト組み!P123,役職一覧!$B:$D,2,FALSE),"")</f>
        <v/>
      </c>
      <c r="Q93" s="17" t="str">
        <f>IFERROR(VLOOKUP(シフト組み!Q123,役職一覧!$B:$D,2,FALSE),"")</f>
        <v/>
      </c>
      <c r="R93" s="17" t="str">
        <f>IFERROR(VLOOKUP(シフト組み!R123,役職一覧!$B:$D,2,FALSE),"")</f>
        <v/>
      </c>
      <c r="S93" s="17" t="str">
        <f>IFERROR(VLOOKUP(シフト組み!S123,役職一覧!$B:$D,2,FALSE),"")</f>
        <v/>
      </c>
      <c r="T93" s="17" t="str">
        <f>IFERROR(VLOOKUP(シフト組み!T123,役職一覧!$B:$D,2,FALSE),"")</f>
        <v/>
      </c>
      <c r="U93" s="17" t="str">
        <f>IFERROR(VLOOKUP(シフト組み!U123,役職一覧!$B:$D,2,FALSE),"")</f>
        <v/>
      </c>
      <c r="V93" s="17" t="str">
        <f>IFERROR(VLOOKUP(シフト組み!V123,役職一覧!$B:$D,2,FALSE),"")</f>
        <v/>
      </c>
      <c r="W93" s="17" t="str">
        <f>IFERROR(VLOOKUP(シフト組み!W123,役職一覧!$B:$D,2,FALSE),"")</f>
        <v/>
      </c>
      <c r="X93" s="17" t="str">
        <f>IFERROR(VLOOKUP(シフト組み!X123,役職一覧!$B:$D,2,FALSE),"")</f>
        <v/>
      </c>
      <c r="Y93" s="17" t="str">
        <f>IFERROR(VLOOKUP(シフト組み!Y123,役職一覧!$B:$D,2,FALSE),"")</f>
        <v/>
      </c>
      <c r="Z93" s="17" t="str">
        <f>IFERROR(VLOOKUP(シフト組み!Z123,役職一覧!$B:$D,2,FALSE),"")</f>
        <v/>
      </c>
      <c r="AA93" s="17" t="str">
        <f>IFERROR(VLOOKUP(シフト組み!AA123,役職一覧!$B:$D,2,FALSE),"")</f>
        <v/>
      </c>
      <c r="AB93" s="17" t="str">
        <f>IFERROR(VLOOKUP(シフト組み!AB123,役職一覧!$B:$D,2,FALSE),"")</f>
        <v/>
      </c>
      <c r="AC93" s="17" t="str">
        <f>IFERROR(VLOOKUP(シフト組み!AC123,役職一覧!$B:$D,2,FALSE),"")</f>
        <v/>
      </c>
      <c r="AD93" s="17" t="str">
        <f>IFERROR(VLOOKUP(シフト組み!AD123,役職一覧!$B:$D,2,FALSE),"")</f>
        <v/>
      </c>
      <c r="AE93" s="17" t="str">
        <f>IFERROR(VLOOKUP(シフト組み!AE123,役職一覧!$B:$D,2,FALSE),"")</f>
        <v/>
      </c>
      <c r="AF93" s="17" t="str">
        <f>IFERROR(VLOOKUP(シフト組み!AF123,役職一覧!$B:$D,2,FALSE),"")</f>
        <v/>
      </c>
      <c r="AG93" s="17" t="str">
        <f>IFERROR(VLOOKUP(シフト組み!AG123,役職一覧!$B:$D,2,FALSE),"")</f>
        <v/>
      </c>
      <c r="AH93" s="17" t="str">
        <f>IFERROR(VLOOKUP(シフト組み!AH123,役職一覧!$B:$D,3,FALSE),"")</f>
        <v/>
      </c>
      <c r="AI93" s="17" t="str">
        <f>IFERROR(VLOOKUP(シフト組み!AI123,役職一覧!$B:$D,3,FALSE),"")</f>
        <v/>
      </c>
      <c r="AJ93" s="17" t="str">
        <f>IFERROR(VLOOKUP(シフト組み!AJ123,役職一覧!$B:$D,3,FALSE),"")</f>
        <v/>
      </c>
      <c r="AK93" s="17" t="str">
        <f>IFERROR(VLOOKUP(シフト組み!AK123,役職一覧!$B:$D,3,FALSE),"")</f>
        <v/>
      </c>
      <c r="AL93" s="17" t="str">
        <f>IFERROR(VLOOKUP(シフト組み!AL123,役職一覧!$B:$D,3,FALSE),"")</f>
        <v/>
      </c>
      <c r="AM93" s="17" t="str">
        <f>IFERROR(VLOOKUP(シフト組み!AM123,役職一覧!$B:$D,3,FALSE),"")</f>
        <v/>
      </c>
      <c r="AN93" s="17" t="str">
        <f>IFERROR(VLOOKUP(シフト組み!AN123,役職一覧!$B:$D,3,FALSE),"")</f>
        <v/>
      </c>
      <c r="AO93" s="17" t="str">
        <f>IFERROR(VLOOKUP(シフト組み!AO123,役職一覧!$B:$D,3,FALSE),"")</f>
        <v/>
      </c>
      <c r="AP93" s="17" t="str">
        <f>IFERROR(VLOOKUP(シフト組み!AP123,役職一覧!$B:$D,3,FALSE),"")</f>
        <v/>
      </c>
      <c r="AQ93" s="17" t="str">
        <f>IFERROR(VLOOKUP(シフト組み!AQ123,役職一覧!$B:$D,3,FALSE),"")</f>
        <v/>
      </c>
      <c r="AR93" s="17" t="str">
        <f>IFERROR(VLOOKUP(シフト組み!AR123,役職一覧!$B:$D,3,FALSE),"")</f>
        <v/>
      </c>
      <c r="AS93" s="17" t="str">
        <f>IFERROR(VLOOKUP(シフト組み!AS123,役職一覧!$B:$D,3,FALSE),"")</f>
        <v/>
      </c>
      <c r="AT93" s="17" t="str">
        <f>IFERROR(VLOOKUP(シフト組み!AT123,役職一覧!$B:$D,3,FALSE),"")</f>
        <v/>
      </c>
      <c r="AU93" s="17" t="str">
        <f>IFERROR(VLOOKUP(シフト組み!AU123,役職一覧!$B:$D,3,FALSE),"")</f>
        <v/>
      </c>
      <c r="AV93" s="17" t="str">
        <f>IFERROR(VLOOKUP(シフト組み!AV123,役職一覧!$B:$D,3,FALSE),"")</f>
        <v/>
      </c>
      <c r="AW93" s="17" t="str">
        <f>IFERROR(VLOOKUP(シフト組み!AW123,役職一覧!$B:$D,3,FALSE),"")</f>
        <v/>
      </c>
      <c r="AX93" s="17" t="str">
        <f>IFERROR(VLOOKUP(シフト組み!AX123,役職一覧!$B:$D,3,FALSE),"")</f>
        <v/>
      </c>
      <c r="AY93" s="17" t="str">
        <f>IFERROR(VLOOKUP(シフト組み!AY123,役職一覧!$B:$D,3,FALSE),"")</f>
        <v/>
      </c>
      <c r="AZ93" s="17" t="str">
        <f>IFERROR(VLOOKUP(シフト組み!AZ123,役職一覧!$B:$D,3,FALSE),"")</f>
        <v/>
      </c>
      <c r="BA93" s="17" t="str">
        <f>IFERROR(VLOOKUP(シフト組み!BA123,役職一覧!$B:$D,3,FALSE),"")</f>
        <v/>
      </c>
    </row>
    <row r="94" spans="1:53">
      <c r="A94" s="2" t="str">
        <f>シフト組み!A124&amp;""</f>
        <v/>
      </c>
      <c r="B94" s="2" t="str">
        <f>シフト組み!B124&amp;""</f>
        <v/>
      </c>
      <c r="C94" s="2" t="str">
        <f>シフト組み!C124&amp;""</f>
        <v/>
      </c>
      <c r="D94" s="17" t="str">
        <f>IFERROR(VLOOKUP(シフト組み!D124,役職一覧!$B:$D,2,FALSE),"")</f>
        <v/>
      </c>
      <c r="E94" s="17" t="str">
        <f>IFERROR(VLOOKUP(シフト組み!E124,役職一覧!$B:$D,2,FALSE),"")</f>
        <v/>
      </c>
      <c r="F94" s="17" t="str">
        <f>IFERROR(VLOOKUP(シフト組み!F124,役職一覧!$B:$D,2,FALSE),"")</f>
        <v/>
      </c>
      <c r="G94" s="17" t="str">
        <f>IFERROR(VLOOKUP(シフト組み!G124,役職一覧!$B:$D,2,FALSE),"")</f>
        <v/>
      </c>
      <c r="H94" s="17" t="str">
        <f>IFERROR(VLOOKUP(シフト組み!H124,役職一覧!$B:$D,2,FALSE),"")</f>
        <v/>
      </c>
      <c r="I94" s="17" t="str">
        <f>IFERROR(VLOOKUP(シフト組み!I124,役職一覧!$B:$D,2,FALSE),"")</f>
        <v/>
      </c>
      <c r="J94" s="17" t="str">
        <f>IFERROR(VLOOKUP(シフト組み!J124,役職一覧!$B:$D,2,FALSE),"")</f>
        <v/>
      </c>
      <c r="K94" s="17" t="str">
        <f>IFERROR(VLOOKUP(シフト組み!K124,役職一覧!$B:$D,2,FALSE),"")</f>
        <v/>
      </c>
      <c r="L94" s="17" t="str">
        <f>IFERROR(VLOOKUP(シフト組み!L124,役職一覧!$B:$D,2,FALSE),"")</f>
        <v/>
      </c>
      <c r="M94" s="17" t="str">
        <f>IFERROR(VLOOKUP(シフト組み!M124,役職一覧!$B:$D,2,FALSE),"")</f>
        <v/>
      </c>
      <c r="N94" s="17" t="str">
        <f>IFERROR(VLOOKUP(シフト組み!N124,役職一覧!$B:$D,2,FALSE),"")</f>
        <v/>
      </c>
      <c r="O94" s="17" t="str">
        <f>IFERROR(VLOOKUP(シフト組み!O124,役職一覧!$B:$D,2,FALSE),"")</f>
        <v/>
      </c>
      <c r="P94" s="17" t="str">
        <f>IFERROR(VLOOKUP(シフト組み!P124,役職一覧!$B:$D,2,FALSE),"")</f>
        <v/>
      </c>
      <c r="Q94" s="17" t="str">
        <f>IFERROR(VLOOKUP(シフト組み!Q124,役職一覧!$B:$D,2,FALSE),"")</f>
        <v/>
      </c>
      <c r="R94" s="17" t="str">
        <f>IFERROR(VLOOKUP(シフト組み!R124,役職一覧!$B:$D,2,FALSE),"")</f>
        <v/>
      </c>
      <c r="S94" s="17" t="str">
        <f>IFERROR(VLOOKUP(シフト組み!S124,役職一覧!$B:$D,2,FALSE),"")</f>
        <v/>
      </c>
      <c r="T94" s="17" t="str">
        <f>IFERROR(VLOOKUP(シフト組み!T124,役職一覧!$B:$D,2,FALSE),"")</f>
        <v/>
      </c>
      <c r="U94" s="17" t="str">
        <f>IFERROR(VLOOKUP(シフト組み!U124,役職一覧!$B:$D,2,FALSE),"")</f>
        <v/>
      </c>
      <c r="V94" s="17" t="str">
        <f>IFERROR(VLOOKUP(シフト組み!V124,役職一覧!$B:$D,2,FALSE),"")</f>
        <v/>
      </c>
      <c r="W94" s="17" t="str">
        <f>IFERROR(VLOOKUP(シフト組み!W124,役職一覧!$B:$D,2,FALSE),"")</f>
        <v/>
      </c>
      <c r="X94" s="17" t="str">
        <f>IFERROR(VLOOKUP(シフト組み!X124,役職一覧!$B:$D,2,FALSE),"")</f>
        <v/>
      </c>
      <c r="Y94" s="17" t="str">
        <f>IFERROR(VLOOKUP(シフト組み!Y124,役職一覧!$B:$D,2,FALSE),"")</f>
        <v/>
      </c>
      <c r="Z94" s="17" t="str">
        <f>IFERROR(VLOOKUP(シフト組み!Z124,役職一覧!$B:$D,2,FALSE),"")</f>
        <v/>
      </c>
      <c r="AA94" s="17" t="str">
        <f>IFERROR(VLOOKUP(シフト組み!AA124,役職一覧!$B:$D,2,FALSE),"")</f>
        <v/>
      </c>
      <c r="AB94" s="17" t="str">
        <f>IFERROR(VLOOKUP(シフト組み!AB124,役職一覧!$B:$D,2,FALSE),"")</f>
        <v/>
      </c>
      <c r="AC94" s="17" t="str">
        <f>IFERROR(VLOOKUP(シフト組み!AC124,役職一覧!$B:$D,2,FALSE),"")</f>
        <v/>
      </c>
      <c r="AD94" s="17" t="str">
        <f>IFERROR(VLOOKUP(シフト組み!AD124,役職一覧!$B:$D,2,FALSE),"")</f>
        <v/>
      </c>
      <c r="AE94" s="17" t="str">
        <f>IFERROR(VLOOKUP(シフト組み!AE124,役職一覧!$B:$D,2,FALSE),"")</f>
        <v/>
      </c>
      <c r="AF94" s="17" t="str">
        <f>IFERROR(VLOOKUP(シフト組み!AF124,役職一覧!$B:$D,2,FALSE),"")</f>
        <v/>
      </c>
      <c r="AG94" s="17" t="str">
        <f>IFERROR(VLOOKUP(シフト組み!AG124,役職一覧!$B:$D,2,FALSE),"")</f>
        <v/>
      </c>
      <c r="AH94" s="17" t="str">
        <f>IFERROR(VLOOKUP(シフト組み!AH124,役職一覧!$B:$D,3,FALSE),"")</f>
        <v/>
      </c>
      <c r="AI94" s="17" t="str">
        <f>IFERROR(VLOOKUP(シフト組み!AI124,役職一覧!$B:$D,3,FALSE),"")</f>
        <v/>
      </c>
      <c r="AJ94" s="17" t="str">
        <f>IFERROR(VLOOKUP(シフト組み!AJ124,役職一覧!$B:$D,3,FALSE),"")</f>
        <v/>
      </c>
      <c r="AK94" s="17" t="str">
        <f>IFERROR(VLOOKUP(シフト組み!AK124,役職一覧!$B:$D,3,FALSE),"")</f>
        <v/>
      </c>
      <c r="AL94" s="17" t="str">
        <f>IFERROR(VLOOKUP(シフト組み!AL124,役職一覧!$B:$D,3,FALSE),"")</f>
        <v/>
      </c>
      <c r="AM94" s="17" t="str">
        <f>IFERROR(VLOOKUP(シフト組み!AM124,役職一覧!$B:$D,3,FALSE),"")</f>
        <v/>
      </c>
      <c r="AN94" s="17" t="str">
        <f>IFERROR(VLOOKUP(シフト組み!AN124,役職一覧!$B:$D,3,FALSE),"")</f>
        <v/>
      </c>
      <c r="AO94" s="17" t="str">
        <f>IFERROR(VLOOKUP(シフト組み!AO124,役職一覧!$B:$D,3,FALSE),"")</f>
        <v/>
      </c>
      <c r="AP94" s="17" t="str">
        <f>IFERROR(VLOOKUP(シフト組み!AP124,役職一覧!$B:$D,3,FALSE),"")</f>
        <v/>
      </c>
      <c r="AQ94" s="17" t="str">
        <f>IFERROR(VLOOKUP(シフト組み!AQ124,役職一覧!$B:$D,3,FALSE),"")</f>
        <v/>
      </c>
      <c r="AR94" s="17" t="str">
        <f>IFERROR(VLOOKUP(シフト組み!AR124,役職一覧!$B:$D,3,FALSE),"")</f>
        <v/>
      </c>
      <c r="AS94" s="17" t="str">
        <f>IFERROR(VLOOKUP(シフト組み!AS124,役職一覧!$B:$D,3,FALSE),"")</f>
        <v/>
      </c>
      <c r="AT94" s="17" t="str">
        <f>IFERROR(VLOOKUP(シフト組み!AT124,役職一覧!$B:$D,3,FALSE),"")</f>
        <v/>
      </c>
      <c r="AU94" s="17" t="str">
        <f>IFERROR(VLOOKUP(シフト組み!AU124,役職一覧!$B:$D,3,FALSE),"")</f>
        <v/>
      </c>
      <c r="AV94" s="17" t="str">
        <f>IFERROR(VLOOKUP(シフト組み!AV124,役職一覧!$B:$D,3,FALSE),"")</f>
        <v/>
      </c>
      <c r="AW94" s="17" t="str">
        <f>IFERROR(VLOOKUP(シフト組み!AW124,役職一覧!$B:$D,3,FALSE),"")</f>
        <v/>
      </c>
      <c r="AX94" s="17" t="str">
        <f>IFERROR(VLOOKUP(シフト組み!AX124,役職一覧!$B:$D,3,FALSE),"")</f>
        <v/>
      </c>
      <c r="AY94" s="17" t="str">
        <f>IFERROR(VLOOKUP(シフト組み!AY124,役職一覧!$B:$D,3,FALSE),"")</f>
        <v/>
      </c>
      <c r="AZ94" s="17" t="str">
        <f>IFERROR(VLOOKUP(シフト組み!AZ124,役職一覧!$B:$D,3,FALSE),"")</f>
        <v/>
      </c>
      <c r="BA94" s="17" t="str">
        <f>IFERROR(VLOOKUP(シフト組み!BA124,役職一覧!$B:$D,3,FALSE),"")</f>
        <v/>
      </c>
    </row>
    <row r="95" spans="1:53">
      <c r="A95" s="2" t="str">
        <f>シフト組み!A125&amp;""</f>
        <v/>
      </c>
      <c r="B95" s="2" t="str">
        <f>シフト組み!B125&amp;""</f>
        <v/>
      </c>
      <c r="C95" s="2" t="str">
        <f>シフト組み!C125&amp;""</f>
        <v/>
      </c>
      <c r="D95" s="17" t="str">
        <f>IFERROR(VLOOKUP(シフト組み!D125,役職一覧!$B:$D,2,FALSE),"")</f>
        <v/>
      </c>
      <c r="E95" s="17" t="str">
        <f>IFERROR(VLOOKUP(シフト組み!E125,役職一覧!$B:$D,2,FALSE),"")</f>
        <v/>
      </c>
      <c r="F95" s="17" t="str">
        <f>IFERROR(VLOOKUP(シフト組み!F125,役職一覧!$B:$D,2,FALSE),"")</f>
        <v/>
      </c>
      <c r="G95" s="17" t="str">
        <f>IFERROR(VLOOKUP(シフト組み!G125,役職一覧!$B:$D,2,FALSE),"")</f>
        <v/>
      </c>
      <c r="H95" s="17" t="str">
        <f>IFERROR(VLOOKUP(シフト組み!H125,役職一覧!$B:$D,2,FALSE),"")</f>
        <v/>
      </c>
      <c r="I95" s="17" t="str">
        <f>IFERROR(VLOOKUP(シフト組み!I125,役職一覧!$B:$D,2,FALSE),"")</f>
        <v/>
      </c>
      <c r="J95" s="17" t="str">
        <f>IFERROR(VLOOKUP(シフト組み!J125,役職一覧!$B:$D,2,FALSE),"")</f>
        <v/>
      </c>
      <c r="K95" s="17" t="str">
        <f>IFERROR(VLOOKUP(シフト組み!K125,役職一覧!$B:$D,2,FALSE),"")</f>
        <v/>
      </c>
      <c r="L95" s="17" t="str">
        <f>IFERROR(VLOOKUP(シフト組み!L125,役職一覧!$B:$D,2,FALSE),"")</f>
        <v/>
      </c>
      <c r="M95" s="17" t="str">
        <f>IFERROR(VLOOKUP(シフト組み!M125,役職一覧!$B:$D,2,FALSE),"")</f>
        <v/>
      </c>
      <c r="N95" s="17" t="str">
        <f>IFERROR(VLOOKUP(シフト組み!N125,役職一覧!$B:$D,2,FALSE),"")</f>
        <v/>
      </c>
      <c r="O95" s="17" t="str">
        <f>IFERROR(VLOOKUP(シフト組み!O125,役職一覧!$B:$D,2,FALSE),"")</f>
        <v/>
      </c>
      <c r="P95" s="17" t="str">
        <f>IFERROR(VLOOKUP(シフト組み!P125,役職一覧!$B:$D,2,FALSE),"")</f>
        <v/>
      </c>
      <c r="Q95" s="17" t="str">
        <f>IFERROR(VLOOKUP(シフト組み!Q125,役職一覧!$B:$D,2,FALSE),"")</f>
        <v/>
      </c>
      <c r="R95" s="17" t="str">
        <f>IFERROR(VLOOKUP(シフト組み!R125,役職一覧!$B:$D,2,FALSE),"")</f>
        <v/>
      </c>
      <c r="S95" s="17" t="str">
        <f>IFERROR(VLOOKUP(シフト組み!S125,役職一覧!$B:$D,2,FALSE),"")</f>
        <v/>
      </c>
      <c r="T95" s="17" t="str">
        <f>IFERROR(VLOOKUP(シフト組み!T125,役職一覧!$B:$D,2,FALSE),"")</f>
        <v/>
      </c>
      <c r="U95" s="17" t="str">
        <f>IFERROR(VLOOKUP(シフト組み!U125,役職一覧!$B:$D,2,FALSE),"")</f>
        <v/>
      </c>
      <c r="V95" s="17" t="str">
        <f>IFERROR(VLOOKUP(シフト組み!V125,役職一覧!$B:$D,2,FALSE),"")</f>
        <v/>
      </c>
      <c r="W95" s="17" t="str">
        <f>IFERROR(VLOOKUP(シフト組み!W125,役職一覧!$B:$D,2,FALSE),"")</f>
        <v/>
      </c>
      <c r="X95" s="17" t="str">
        <f>IFERROR(VLOOKUP(シフト組み!X125,役職一覧!$B:$D,2,FALSE),"")</f>
        <v/>
      </c>
      <c r="Y95" s="17" t="str">
        <f>IFERROR(VLOOKUP(シフト組み!Y125,役職一覧!$B:$D,2,FALSE),"")</f>
        <v/>
      </c>
      <c r="Z95" s="17" t="str">
        <f>IFERROR(VLOOKUP(シフト組み!Z125,役職一覧!$B:$D,2,FALSE),"")</f>
        <v/>
      </c>
      <c r="AA95" s="17" t="str">
        <f>IFERROR(VLOOKUP(シフト組み!AA125,役職一覧!$B:$D,2,FALSE),"")</f>
        <v/>
      </c>
      <c r="AB95" s="17" t="str">
        <f>IFERROR(VLOOKUP(シフト組み!AB125,役職一覧!$B:$D,2,FALSE),"")</f>
        <v/>
      </c>
      <c r="AC95" s="17" t="str">
        <f>IFERROR(VLOOKUP(シフト組み!AC125,役職一覧!$B:$D,2,FALSE),"")</f>
        <v/>
      </c>
      <c r="AD95" s="17" t="str">
        <f>IFERROR(VLOOKUP(シフト組み!AD125,役職一覧!$B:$D,2,FALSE),"")</f>
        <v/>
      </c>
      <c r="AE95" s="17" t="str">
        <f>IFERROR(VLOOKUP(シフト組み!AE125,役職一覧!$B:$D,2,FALSE),"")</f>
        <v/>
      </c>
      <c r="AF95" s="17" t="str">
        <f>IFERROR(VLOOKUP(シフト組み!AF125,役職一覧!$B:$D,2,FALSE),"")</f>
        <v/>
      </c>
      <c r="AG95" s="17" t="str">
        <f>IFERROR(VLOOKUP(シフト組み!AG125,役職一覧!$B:$D,2,FALSE),"")</f>
        <v/>
      </c>
      <c r="AH95" s="17" t="str">
        <f>IFERROR(VLOOKUP(シフト組み!AH125,役職一覧!$B:$D,3,FALSE),"")</f>
        <v/>
      </c>
      <c r="AI95" s="17" t="str">
        <f>IFERROR(VLOOKUP(シフト組み!AI125,役職一覧!$B:$D,3,FALSE),"")</f>
        <v/>
      </c>
      <c r="AJ95" s="17" t="str">
        <f>IFERROR(VLOOKUP(シフト組み!AJ125,役職一覧!$B:$D,3,FALSE),"")</f>
        <v/>
      </c>
      <c r="AK95" s="17" t="str">
        <f>IFERROR(VLOOKUP(シフト組み!AK125,役職一覧!$B:$D,3,FALSE),"")</f>
        <v/>
      </c>
      <c r="AL95" s="17" t="str">
        <f>IFERROR(VLOOKUP(シフト組み!AL125,役職一覧!$B:$D,3,FALSE),"")</f>
        <v/>
      </c>
      <c r="AM95" s="17" t="str">
        <f>IFERROR(VLOOKUP(シフト組み!AM125,役職一覧!$B:$D,3,FALSE),"")</f>
        <v/>
      </c>
      <c r="AN95" s="17" t="str">
        <f>IFERROR(VLOOKUP(シフト組み!AN125,役職一覧!$B:$D,3,FALSE),"")</f>
        <v/>
      </c>
      <c r="AO95" s="17" t="str">
        <f>IFERROR(VLOOKUP(シフト組み!AO125,役職一覧!$B:$D,3,FALSE),"")</f>
        <v/>
      </c>
      <c r="AP95" s="17" t="str">
        <f>IFERROR(VLOOKUP(シフト組み!AP125,役職一覧!$B:$D,3,FALSE),"")</f>
        <v/>
      </c>
      <c r="AQ95" s="17" t="str">
        <f>IFERROR(VLOOKUP(シフト組み!AQ125,役職一覧!$B:$D,3,FALSE),"")</f>
        <v/>
      </c>
      <c r="AR95" s="17" t="str">
        <f>IFERROR(VLOOKUP(シフト組み!AR125,役職一覧!$B:$D,3,FALSE),"")</f>
        <v/>
      </c>
      <c r="AS95" s="17" t="str">
        <f>IFERROR(VLOOKUP(シフト組み!AS125,役職一覧!$B:$D,3,FALSE),"")</f>
        <v/>
      </c>
      <c r="AT95" s="17" t="str">
        <f>IFERROR(VLOOKUP(シフト組み!AT125,役職一覧!$B:$D,3,FALSE),"")</f>
        <v/>
      </c>
      <c r="AU95" s="17" t="str">
        <f>IFERROR(VLOOKUP(シフト組み!AU125,役職一覧!$B:$D,3,FALSE),"")</f>
        <v/>
      </c>
      <c r="AV95" s="17" t="str">
        <f>IFERROR(VLOOKUP(シフト組み!AV125,役職一覧!$B:$D,3,FALSE),"")</f>
        <v/>
      </c>
      <c r="AW95" s="17" t="str">
        <f>IFERROR(VLOOKUP(シフト組み!AW125,役職一覧!$B:$D,3,FALSE),"")</f>
        <v/>
      </c>
      <c r="AX95" s="17" t="str">
        <f>IFERROR(VLOOKUP(シフト組み!AX125,役職一覧!$B:$D,3,FALSE),"")</f>
        <v/>
      </c>
      <c r="AY95" s="17" t="str">
        <f>IFERROR(VLOOKUP(シフト組み!AY125,役職一覧!$B:$D,3,FALSE),"")</f>
        <v/>
      </c>
      <c r="AZ95" s="17" t="str">
        <f>IFERROR(VLOOKUP(シフト組み!AZ125,役職一覧!$B:$D,3,FALSE),"")</f>
        <v/>
      </c>
      <c r="BA95" s="17" t="str">
        <f>IFERROR(VLOOKUP(シフト組み!BA125,役職一覧!$B:$D,3,FALSE),"")</f>
        <v/>
      </c>
    </row>
    <row r="96" spans="1:53">
      <c r="A96" s="2" t="str">
        <f>シフト組み!A126&amp;""</f>
        <v/>
      </c>
      <c r="B96" s="2" t="str">
        <f>シフト組み!B126&amp;""</f>
        <v/>
      </c>
      <c r="C96" s="2" t="str">
        <f>シフト組み!C126&amp;""</f>
        <v/>
      </c>
      <c r="D96" s="17" t="str">
        <f>IFERROR(VLOOKUP(シフト組み!D126,役職一覧!$B:$D,2,FALSE),"")</f>
        <v/>
      </c>
      <c r="E96" s="17" t="str">
        <f>IFERROR(VLOOKUP(シフト組み!E126,役職一覧!$B:$D,2,FALSE),"")</f>
        <v/>
      </c>
      <c r="F96" s="17" t="str">
        <f>IFERROR(VLOOKUP(シフト組み!F126,役職一覧!$B:$D,2,FALSE),"")</f>
        <v/>
      </c>
      <c r="G96" s="17" t="str">
        <f>IFERROR(VLOOKUP(シフト組み!G126,役職一覧!$B:$D,2,FALSE),"")</f>
        <v/>
      </c>
      <c r="H96" s="17" t="str">
        <f>IFERROR(VLOOKUP(シフト組み!H126,役職一覧!$B:$D,2,FALSE),"")</f>
        <v/>
      </c>
      <c r="I96" s="17" t="str">
        <f>IFERROR(VLOOKUP(シフト組み!I126,役職一覧!$B:$D,2,FALSE),"")</f>
        <v/>
      </c>
      <c r="J96" s="17" t="str">
        <f>IFERROR(VLOOKUP(シフト組み!J126,役職一覧!$B:$D,2,FALSE),"")</f>
        <v/>
      </c>
      <c r="K96" s="17" t="str">
        <f>IFERROR(VLOOKUP(シフト組み!K126,役職一覧!$B:$D,2,FALSE),"")</f>
        <v/>
      </c>
      <c r="L96" s="17" t="str">
        <f>IFERROR(VLOOKUP(シフト組み!L126,役職一覧!$B:$D,2,FALSE),"")</f>
        <v/>
      </c>
      <c r="M96" s="17" t="str">
        <f>IFERROR(VLOOKUP(シフト組み!M126,役職一覧!$B:$D,2,FALSE),"")</f>
        <v/>
      </c>
      <c r="N96" s="17" t="str">
        <f>IFERROR(VLOOKUP(シフト組み!N126,役職一覧!$B:$D,2,FALSE),"")</f>
        <v/>
      </c>
      <c r="O96" s="17" t="str">
        <f>IFERROR(VLOOKUP(シフト組み!O126,役職一覧!$B:$D,2,FALSE),"")</f>
        <v/>
      </c>
      <c r="P96" s="17" t="str">
        <f>IFERROR(VLOOKUP(シフト組み!P126,役職一覧!$B:$D,2,FALSE),"")</f>
        <v/>
      </c>
      <c r="Q96" s="17" t="str">
        <f>IFERROR(VLOOKUP(シフト組み!Q126,役職一覧!$B:$D,2,FALSE),"")</f>
        <v/>
      </c>
      <c r="R96" s="17" t="str">
        <f>IFERROR(VLOOKUP(シフト組み!R126,役職一覧!$B:$D,2,FALSE),"")</f>
        <v/>
      </c>
      <c r="S96" s="17" t="str">
        <f>IFERROR(VLOOKUP(シフト組み!S126,役職一覧!$B:$D,2,FALSE),"")</f>
        <v/>
      </c>
      <c r="T96" s="17" t="str">
        <f>IFERROR(VLOOKUP(シフト組み!T126,役職一覧!$B:$D,2,FALSE),"")</f>
        <v/>
      </c>
      <c r="U96" s="17" t="str">
        <f>IFERROR(VLOOKUP(シフト組み!U126,役職一覧!$B:$D,2,FALSE),"")</f>
        <v/>
      </c>
      <c r="V96" s="17" t="str">
        <f>IFERROR(VLOOKUP(シフト組み!V126,役職一覧!$B:$D,2,FALSE),"")</f>
        <v/>
      </c>
      <c r="W96" s="17" t="str">
        <f>IFERROR(VLOOKUP(シフト組み!W126,役職一覧!$B:$D,2,FALSE),"")</f>
        <v/>
      </c>
      <c r="X96" s="17" t="str">
        <f>IFERROR(VLOOKUP(シフト組み!X126,役職一覧!$B:$D,2,FALSE),"")</f>
        <v/>
      </c>
      <c r="Y96" s="17" t="str">
        <f>IFERROR(VLOOKUP(シフト組み!Y126,役職一覧!$B:$D,2,FALSE),"")</f>
        <v/>
      </c>
      <c r="Z96" s="17" t="str">
        <f>IFERROR(VLOOKUP(シフト組み!Z126,役職一覧!$B:$D,2,FALSE),"")</f>
        <v/>
      </c>
      <c r="AA96" s="17" t="str">
        <f>IFERROR(VLOOKUP(シフト組み!AA126,役職一覧!$B:$D,2,FALSE),"")</f>
        <v/>
      </c>
      <c r="AB96" s="17" t="str">
        <f>IFERROR(VLOOKUP(シフト組み!AB126,役職一覧!$B:$D,2,FALSE),"")</f>
        <v/>
      </c>
      <c r="AC96" s="17" t="str">
        <f>IFERROR(VLOOKUP(シフト組み!AC126,役職一覧!$B:$D,2,FALSE),"")</f>
        <v/>
      </c>
      <c r="AD96" s="17" t="str">
        <f>IFERROR(VLOOKUP(シフト組み!AD126,役職一覧!$B:$D,2,FALSE),"")</f>
        <v/>
      </c>
      <c r="AE96" s="17" t="str">
        <f>IFERROR(VLOOKUP(シフト組み!AE126,役職一覧!$B:$D,2,FALSE),"")</f>
        <v/>
      </c>
      <c r="AF96" s="17" t="str">
        <f>IFERROR(VLOOKUP(シフト組み!AF126,役職一覧!$B:$D,2,FALSE),"")</f>
        <v/>
      </c>
      <c r="AG96" s="17" t="str">
        <f>IFERROR(VLOOKUP(シフト組み!AG126,役職一覧!$B:$D,2,FALSE),"")</f>
        <v/>
      </c>
      <c r="AH96" s="17" t="str">
        <f>IFERROR(VLOOKUP(シフト組み!AH126,役職一覧!$B:$D,3,FALSE),"")</f>
        <v/>
      </c>
      <c r="AI96" s="17" t="str">
        <f>IFERROR(VLOOKUP(シフト組み!AI126,役職一覧!$B:$D,3,FALSE),"")</f>
        <v/>
      </c>
      <c r="AJ96" s="17" t="str">
        <f>IFERROR(VLOOKUP(シフト組み!AJ126,役職一覧!$B:$D,3,FALSE),"")</f>
        <v/>
      </c>
      <c r="AK96" s="17" t="str">
        <f>IFERROR(VLOOKUP(シフト組み!AK126,役職一覧!$B:$D,3,FALSE),"")</f>
        <v/>
      </c>
      <c r="AL96" s="17" t="str">
        <f>IFERROR(VLOOKUP(シフト組み!AL126,役職一覧!$B:$D,3,FALSE),"")</f>
        <v/>
      </c>
      <c r="AM96" s="17" t="str">
        <f>IFERROR(VLOOKUP(シフト組み!AM126,役職一覧!$B:$D,3,FALSE),"")</f>
        <v/>
      </c>
      <c r="AN96" s="17" t="str">
        <f>IFERROR(VLOOKUP(シフト組み!AN126,役職一覧!$B:$D,3,FALSE),"")</f>
        <v/>
      </c>
      <c r="AO96" s="17" t="str">
        <f>IFERROR(VLOOKUP(シフト組み!AO126,役職一覧!$B:$D,3,FALSE),"")</f>
        <v/>
      </c>
      <c r="AP96" s="17" t="str">
        <f>IFERROR(VLOOKUP(シフト組み!AP126,役職一覧!$B:$D,3,FALSE),"")</f>
        <v/>
      </c>
      <c r="AQ96" s="17" t="str">
        <f>IFERROR(VLOOKUP(シフト組み!AQ126,役職一覧!$B:$D,3,FALSE),"")</f>
        <v/>
      </c>
      <c r="AR96" s="17" t="str">
        <f>IFERROR(VLOOKUP(シフト組み!AR126,役職一覧!$B:$D,3,FALSE),"")</f>
        <v/>
      </c>
      <c r="AS96" s="17" t="str">
        <f>IFERROR(VLOOKUP(シフト組み!AS126,役職一覧!$B:$D,3,FALSE),"")</f>
        <v/>
      </c>
      <c r="AT96" s="17" t="str">
        <f>IFERROR(VLOOKUP(シフト組み!AT126,役職一覧!$B:$D,3,FALSE),"")</f>
        <v/>
      </c>
      <c r="AU96" s="17" t="str">
        <f>IFERROR(VLOOKUP(シフト組み!AU126,役職一覧!$B:$D,3,FALSE),"")</f>
        <v/>
      </c>
      <c r="AV96" s="17" t="str">
        <f>IFERROR(VLOOKUP(シフト組み!AV126,役職一覧!$B:$D,3,FALSE),"")</f>
        <v/>
      </c>
      <c r="AW96" s="17" t="str">
        <f>IFERROR(VLOOKUP(シフト組み!AW126,役職一覧!$B:$D,3,FALSE),"")</f>
        <v/>
      </c>
      <c r="AX96" s="17" t="str">
        <f>IFERROR(VLOOKUP(シフト組み!AX126,役職一覧!$B:$D,3,FALSE),"")</f>
        <v/>
      </c>
      <c r="AY96" s="17" t="str">
        <f>IFERROR(VLOOKUP(シフト組み!AY126,役職一覧!$B:$D,3,FALSE),"")</f>
        <v/>
      </c>
      <c r="AZ96" s="17" t="str">
        <f>IFERROR(VLOOKUP(シフト組み!AZ126,役職一覧!$B:$D,3,FALSE),"")</f>
        <v/>
      </c>
      <c r="BA96" s="17" t="str">
        <f>IFERROR(VLOOKUP(シフト組み!BA126,役職一覧!$B:$D,3,FALSE),"")</f>
        <v/>
      </c>
    </row>
    <row r="97" spans="1:53">
      <c r="A97" s="2" t="str">
        <f>シフト組み!A127&amp;""</f>
        <v/>
      </c>
      <c r="B97" s="2" t="str">
        <f>シフト組み!B127&amp;""</f>
        <v/>
      </c>
      <c r="C97" s="2" t="str">
        <f>シフト組み!C127&amp;""</f>
        <v/>
      </c>
      <c r="D97" s="17" t="str">
        <f>IFERROR(VLOOKUP(シフト組み!D127,役職一覧!$B:$D,2,FALSE),"")</f>
        <v/>
      </c>
      <c r="E97" s="17" t="str">
        <f>IFERROR(VLOOKUP(シフト組み!E127,役職一覧!$B:$D,2,FALSE),"")</f>
        <v/>
      </c>
      <c r="F97" s="17" t="str">
        <f>IFERROR(VLOOKUP(シフト組み!F127,役職一覧!$B:$D,2,FALSE),"")</f>
        <v/>
      </c>
      <c r="G97" s="17" t="str">
        <f>IFERROR(VLOOKUP(シフト組み!G127,役職一覧!$B:$D,2,FALSE),"")</f>
        <v/>
      </c>
      <c r="H97" s="17" t="str">
        <f>IFERROR(VLOOKUP(シフト組み!H127,役職一覧!$B:$D,2,FALSE),"")</f>
        <v/>
      </c>
      <c r="I97" s="17" t="str">
        <f>IFERROR(VLOOKUP(シフト組み!I127,役職一覧!$B:$D,2,FALSE),"")</f>
        <v/>
      </c>
      <c r="J97" s="17" t="str">
        <f>IFERROR(VLOOKUP(シフト組み!J127,役職一覧!$B:$D,2,FALSE),"")</f>
        <v/>
      </c>
      <c r="K97" s="17" t="str">
        <f>IFERROR(VLOOKUP(シフト組み!K127,役職一覧!$B:$D,2,FALSE),"")</f>
        <v/>
      </c>
      <c r="L97" s="17" t="str">
        <f>IFERROR(VLOOKUP(シフト組み!L127,役職一覧!$B:$D,2,FALSE),"")</f>
        <v/>
      </c>
      <c r="M97" s="17" t="str">
        <f>IFERROR(VLOOKUP(シフト組み!M127,役職一覧!$B:$D,2,FALSE),"")</f>
        <v/>
      </c>
      <c r="N97" s="17" t="str">
        <f>IFERROR(VLOOKUP(シフト組み!N127,役職一覧!$B:$D,2,FALSE),"")</f>
        <v/>
      </c>
      <c r="O97" s="17" t="str">
        <f>IFERROR(VLOOKUP(シフト組み!O127,役職一覧!$B:$D,2,FALSE),"")</f>
        <v/>
      </c>
      <c r="P97" s="17" t="str">
        <f>IFERROR(VLOOKUP(シフト組み!P127,役職一覧!$B:$D,2,FALSE),"")</f>
        <v/>
      </c>
      <c r="Q97" s="17" t="str">
        <f>IFERROR(VLOOKUP(シフト組み!Q127,役職一覧!$B:$D,2,FALSE),"")</f>
        <v/>
      </c>
      <c r="R97" s="17" t="str">
        <f>IFERROR(VLOOKUP(シフト組み!R127,役職一覧!$B:$D,2,FALSE),"")</f>
        <v/>
      </c>
      <c r="S97" s="17" t="str">
        <f>IFERROR(VLOOKUP(シフト組み!S127,役職一覧!$B:$D,2,FALSE),"")</f>
        <v/>
      </c>
      <c r="T97" s="17" t="str">
        <f>IFERROR(VLOOKUP(シフト組み!T127,役職一覧!$B:$D,2,FALSE),"")</f>
        <v/>
      </c>
      <c r="U97" s="17" t="str">
        <f>IFERROR(VLOOKUP(シフト組み!U127,役職一覧!$B:$D,2,FALSE),"")</f>
        <v/>
      </c>
      <c r="V97" s="17" t="str">
        <f>IFERROR(VLOOKUP(シフト組み!V127,役職一覧!$B:$D,2,FALSE),"")</f>
        <v/>
      </c>
      <c r="W97" s="17" t="str">
        <f>IFERROR(VLOOKUP(シフト組み!W127,役職一覧!$B:$D,2,FALSE),"")</f>
        <v/>
      </c>
      <c r="X97" s="17" t="str">
        <f>IFERROR(VLOOKUP(シフト組み!X127,役職一覧!$B:$D,2,FALSE),"")</f>
        <v/>
      </c>
      <c r="Y97" s="17" t="str">
        <f>IFERROR(VLOOKUP(シフト組み!Y127,役職一覧!$B:$D,2,FALSE),"")</f>
        <v/>
      </c>
      <c r="Z97" s="17" t="str">
        <f>IFERROR(VLOOKUP(シフト組み!Z127,役職一覧!$B:$D,2,FALSE),"")</f>
        <v/>
      </c>
      <c r="AA97" s="17" t="str">
        <f>IFERROR(VLOOKUP(シフト組み!AA127,役職一覧!$B:$D,2,FALSE),"")</f>
        <v/>
      </c>
      <c r="AB97" s="17" t="str">
        <f>IFERROR(VLOOKUP(シフト組み!AB127,役職一覧!$B:$D,2,FALSE),"")</f>
        <v/>
      </c>
      <c r="AC97" s="17" t="str">
        <f>IFERROR(VLOOKUP(シフト組み!AC127,役職一覧!$B:$D,2,FALSE),"")</f>
        <v/>
      </c>
      <c r="AD97" s="17" t="str">
        <f>IFERROR(VLOOKUP(シフト組み!AD127,役職一覧!$B:$D,2,FALSE),"")</f>
        <v/>
      </c>
      <c r="AE97" s="17" t="str">
        <f>IFERROR(VLOOKUP(シフト組み!AE127,役職一覧!$B:$D,2,FALSE),"")</f>
        <v/>
      </c>
      <c r="AF97" s="17" t="str">
        <f>IFERROR(VLOOKUP(シフト組み!AF127,役職一覧!$B:$D,2,FALSE),"")</f>
        <v/>
      </c>
      <c r="AG97" s="17" t="str">
        <f>IFERROR(VLOOKUP(シフト組み!AG127,役職一覧!$B:$D,2,FALSE),"")</f>
        <v/>
      </c>
      <c r="AH97" s="17" t="str">
        <f>IFERROR(VLOOKUP(シフト組み!AH127,役職一覧!$B:$D,3,FALSE),"")</f>
        <v/>
      </c>
      <c r="AI97" s="17" t="str">
        <f>IFERROR(VLOOKUP(シフト組み!AI127,役職一覧!$B:$D,3,FALSE),"")</f>
        <v/>
      </c>
      <c r="AJ97" s="17" t="str">
        <f>IFERROR(VLOOKUP(シフト組み!AJ127,役職一覧!$B:$D,3,FALSE),"")</f>
        <v/>
      </c>
      <c r="AK97" s="17" t="str">
        <f>IFERROR(VLOOKUP(シフト組み!AK127,役職一覧!$B:$D,3,FALSE),"")</f>
        <v/>
      </c>
      <c r="AL97" s="17" t="str">
        <f>IFERROR(VLOOKUP(シフト組み!AL127,役職一覧!$B:$D,3,FALSE),"")</f>
        <v/>
      </c>
      <c r="AM97" s="17" t="str">
        <f>IFERROR(VLOOKUP(シフト組み!AM127,役職一覧!$B:$D,3,FALSE),"")</f>
        <v/>
      </c>
      <c r="AN97" s="17" t="str">
        <f>IFERROR(VLOOKUP(シフト組み!AN127,役職一覧!$B:$D,3,FALSE),"")</f>
        <v/>
      </c>
      <c r="AO97" s="17" t="str">
        <f>IFERROR(VLOOKUP(シフト組み!AO127,役職一覧!$B:$D,3,FALSE),"")</f>
        <v/>
      </c>
      <c r="AP97" s="17" t="str">
        <f>IFERROR(VLOOKUP(シフト組み!AP127,役職一覧!$B:$D,3,FALSE),"")</f>
        <v/>
      </c>
      <c r="AQ97" s="17" t="str">
        <f>IFERROR(VLOOKUP(シフト組み!AQ127,役職一覧!$B:$D,3,FALSE),"")</f>
        <v/>
      </c>
      <c r="AR97" s="17" t="str">
        <f>IFERROR(VLOOKUP(シフト組み!AR127,役職一覧!$B:$D,3,FALSE),"")</f>
        <v/>
      </c>
      <c r="AS97" s="17" t="str">
        <f>IFERROR(VLOOKUP(シフト組み!AS127,役職一覧!$B:$D,3,FALSE),"")</f>
        <v/>
      </c>
      <c r="AT97" s="17" t="str">
        <f>IFERROR(VLOOKUP(シフト組み!AT127,役職一覧!$B:$D,3,FALSE),"")</f>
        <v/>
      </c>
      <c r="AU97" s="17" t="str">
        <f>IFERROR(VLOOKUP(シフト組み!AU127,役職一覧!$B:$D,3,FALSE),"")</f>
        <v/>
      </c>
      <c r="AV97" s="17" t="str">
        <f>IFERROR(VLOOKUP(シフト組み!AV127,役職一覧!$B:$D,3,FALSE),"")</f>
        <v/>
      </c>
      <c r="AW97" s="17" t="str">
        <f>IFERROR(VLOOKUP(シフト組み!AW127,役職一覧!$B:$D,3,FALSE),"")</f>
        <v/>
      </c>
      <c r="AX97" s="17" t="str">
        <f>IFERROR(VLOOKUP(シフト組み!AX127,役職一覧!$B:$D,3,FALSE),"")</f>
        <v/>
      </c>
      <c r="AY97" s="17" t="str">
        <f>IFERROR(VLOOKUP(シフト組み!AY127,役職一覧!$B:$D,3,FALSE),"")</f>
        <v/>
      </c>
      <c r="AZ97" s="17" t="str">
        <f>IFERROR(VLOOKUP(シフト組み!AZ127,役職一覧!$B:$D,3,FALSE),"")</f>
        <v/>
      </c>
      <c r="BA97" s="17" t="str">
        <f>IFERROR(VLOOKUP(シフト組み!BA127,役職一覧!$B:$D,3,FALSE),"")</f>
        <v/>
      </c>
    </row>
    <row r="98" spans="1:53">
      <c r="A98" s="2" t="str">
        <f>シフト組み!A128&amp;""</f>
        <v/>
      </c>
      <c r="B98" s="2" t="str">
        <f>シフト組み!B128&amp;""</f>
        <v/>
      </c>
      <c r="C98" s="2" t="str">
        <f>シフト組み!C128&amp;""</f>
        <v/>
      </c>
      <c r="D98" s="17" t="str">
        <f>IFERROR(VLOOKUP(シフト組み!D128,役職一覧!$B:$D,2,FALSE),"")</f>
        <v/>
      </c>
      <c r="E98" s="17" t="str">
        <f>IFERROR(VLOOKUP(シフト組み!E128,役職一覧!$B:$D,2,FALSE),"")</f>
        <v/>
      </c>
      <c r="F98" s="17" t="str">
        <f>IFERROR(VLOOKUP(シフト組み!F128,役職一覧!$B:$D,2,FALSE),"")</f>
        <v/>
      </c>
      <c r="G98" s="17" t="str">
        <f>IFERROR(VLOOKUP(シフト組み!G128,役職一覧!$B:$D,2,FALSE),"")</f>
        <v/>
      </c>
      <c r="H98" s="17" t="str">
        <f>IFERROR(VLOOKUP(シフト組み!H128,役職一覧!$B:$D,2,FALSE),"")</f>
        <v/>
      </c>
      <c r="I98" s="17" t="str">
        <f>IFERROR(VLOOKUP(シフト組み!I128,役職一覧!$B:$D,2,FALSE),"")</f>
        <v/>
      </c>
      <c r="J98" s="17" t="str">
        <f>IFERROR(VLOOKUP(シフト組み!J128,役職一覧!$B:$D,2,FALSE),"")</f>
        <v/>
      </c>
      <c r="K98" s="17" t="str">
        <f>IFERROR(VLOOKUP(シフト組み!K128,役職一覧!$B:$D,2,FALSE),"")</f>
        <v/>
      </c>
      <c r="L98" s="17" t="str">
        <f>IFERROR(VLOOKUP(シフト組み!L128,役職一覧!$B:$D,2,FALSE),"")</f>
        <v/>
      </c>
      <c r="M98" s="17" t="str">
        <f>IFERROR(VLOOKUP(シフト組み!M128,役職一覧!$B:$D,2,FALSE),"")</f>
        <v/>
      </c>
      <c r="N98" s="17" t="str">
        <f>IFERROR(VLOOKUP(シフト組み!N128,役職一覧!$B:$D,2,FALSE),"")</f>
        <v/>
      </c>
      <c r="O98" s="17" t="str">
        <f>IFERROR(VLOOKUP(シフト組み!O128,役職一覧!$B:$D,2,FALSE),"")</f>
        <v/>
      </c>
      <c r="P98" s="17" t="str">
        <f>IFERROR(VLOOKUP(シフト組み!P128,役職一覧!$B:$D,2,FALSE),"")</f>
        <v/>
      </c>
      <c r="Q98" s="17" t="str">
        <f>IFERROR(VLOOKUP(シフト組み!Q128,役職一覧!$B:$D,2,FALSE),"")</f>
        <v/>
      </c>
      <c r="R98" s="17" t="str">
        <f>IFERROR(VLOOKUP(シフト組み!R128,役職一覧!$B:$D,2,FALSE),"")</f>
        <v/>
      </c>
      <c r="S98" s="17" t="str">
        <f>IFERROR(VLOOKUP(シフト組み!S128,役職一覧!$B:$D,2,FALSE),"")</f>
        <v/>
      </c>
      <c r="T98" s="17" t="str">
        <f>IFERROR(VLOOKUP(シフト組み!T128,役職一覧!$B:$D,2,FALSE),"")</f>
        <v/>
      </c>
      <c r="U98" s="17" t="str">
        <f>IFERROR(VLOOKUP(シフト組み!U128,役職一覧!$B:$D,2,FALSE),"")</f>
        <v/>
      </c>
      <c r="V98" s="17" t="str">
        <f>IFERROR(VLOOKUP(シフト組み!V128,役職一覧!$B:$D,2,FALSE),"")</f>
        <v/>
      </c>
      <c r="W98" s="17" t="str">
        <f>IFERROR(VLOOKUP(シフト組み!W128,役職一覧!$B:$D,2,FALSE),"")</f>
        <v/>
      </c>
      <c r="X98" s="17" t="str">
        <f>IFERROR(VLOOKUP(シフト組み!X128,役職一覧!$B:$D,2,FALSE),"")</f>
        <v/>
      </c>
      <c r="Y98" s="17" t="str">
        <f>IFERROR(VLOOKUP(シフト組み!Y128,役職一覧!$B:$D,2,FALSE),"")</f>
        <v/>
      </c>
      <c r="Z98" s="17" t="str">
        <f>IFERROR(VLOOKUP(シフト組み!Z128,役職一覧!$B:$D,2,FALSE),"")</f>
        <v/>
      </c>
      <c r="AA98" s="17" t="str">
        <f>IFERROR(VLOOKUP(シフト組み!AA128,役職一覧!$B:$D,2,FALSE),"")</f>
        <v/>
      </c>
      <c r="AB98" s="17" t="str">
        <f>IFERROR(VLOOKUP(シフト組み!AB128,役職一覧!$B:$D,2,FALSE),"")</f>
        <v/>
      </c>
      <c r="AC98" s="17" t="str">
        <f>IFERROR(VLOOKUP(シフト組み!AC128,役職一覧!$B:$D,2,FALSE),"")</f>
        <v/>
      </c>
      <c r="AD98" s="17" t="str">
        <f>IFERROR(VLOOKUP(シフト組み!AD128,役職一覧!$B:$D,2,FALSE),"")</f>
        <v/>
      </c>
      <c r="AE98" s="17" t="str">
        <f>IFERROR(VLOOKUP(シフト組み!AE128,役職一覧!$B:$D,2,FALSE),"")</f>
        <v/>
      </c>
      <c r="AF98" s="17" t="str">
        <f>IFERROR(VLOOKUP(シフト組み!AF128,役職一覧!$B:$D,2,FALSE),"")</f>
        <v/>
      </c>
      <c r="AG98" s="17" t="str">
        <f>IFERROR(VLOOKUP(シフト組み!AG128,役職一覧!$B:$D,2,FALSE),"")</f>
        <v/>
      </c>
      <c r="AH98" s="17" t="str">
        <f>IFERROR(VLOOKUP(シフト組み!AH128,役職一覧!$B:$D,3,FALSE),"")</f>
        <v/>
      </c>
      <c r="AI98" s="17" t="str">
        <f>IFERROR(VLOOKUP(シフト組み!AI128,役職一覧!$B:$D,3,FALSE),"")</f>
        <v/>
      </c>
      <c r="AJ98" s="17" t="str">
        <f>IFERROR(VLOOKUP(シフト組み!AJ128,役職一覧!$B:$D,3,FALSE),"")</f>
        <v/>
      </c>
      <c r="AK98" s="17" t="str">
        <f>IFERROR(VLOOKUP(シフト組み!AK128,役職一覧!$B:$D,3,FALSE),"")</f>
        <v/>
      </c>
      <c r="AL98" s="17" t="str">
        <f>IFERROR(VLOOKUP(シフト組み!AL128,役職一覧!$B:$D,3,FALSE),"")</f>
        <v/>
      </c>
      <c r="AM98" s="17" t="str">
        <f>IFERROR(VLOOKUP(シフト組み!AM128,役職一覧!$B:$D,3,FALSE),"")</f>
        <v/>
      </c>
      <c r="AN98" s="17" t="str">
        <f>IFERROR(VLOOKUP(シフト組み!AN128,役職一覧!$B:$D,3,FALSE),"")</f>
        <v/>
      </c>
      <c r="AO98" s="17" t="str">
        <f>IFERROR(VLOOKUP(シフト組み!AO128,役職一覧!$B:$D,3,FALSE),"")</f>
        <v/>
      </c>
      <c r="AP98" s="17" t="str">
        <f>IFERROR(VLOOKUP(シフト組み!AP128,役職一覧!$B:$D,3,FALSE),"")</f>
        <v/>
      </c>
      <c r="AQ98" s="17" t="str">
        <f>IFERROR(VLOOKUP(シフト組み!AQ128,役職一覧!$B:$D,3,FALSE),"")</f>
        <v/>
      </c>
      <c r="AR98" s="17" t="str">
        <f>IFERROR(VLOOKUP(シフト組み!AR128,役職一覧!$B:$D,3,FALSE),"")</f>
        <v/>
      </c>
      <c r="AS98" s="17" t="str">
        <f>IFERROR(VLOOKUP(シフト組み!AS128,役職一覧!$B:$D,3,FALSE),"")</f>
        <v/>
      </c>
      <c r="AT98" s="17" t="str">
        <f>IFERROR(VLOOKUP(シフト組み!AT128,役職一覧!$B:$D,3,FALSE),"")</f>
        <v/>
      </c>
      <c r="AU98" s="17" t="str">
        <f>IFERROR(VLOOKUP(シフト組み!AU128,役職一覧!$B:$D,3,FALSE),"")</f>
        <v/>
      </c>
      <c r="AV98" s="17" t="str">
        <f>IFERROR(VLOOKUP(シフト組み!AV128,役職一覧!$B:$D,3,FALSE),"")</f>
        <v/>
      </c>
      <c r="AW98" s="17" t="str">
        <f>IFERROR(VLOOKUP(シフト組み!AW128,役職一覧!$B:$D,3,FALSE),"")</f>
        <v/>
      </c>
      <c r="AX98" s="17" t="str">
        <f>IFERROR(VLOOKUP(シフト組み!AX128,役職一覧!$B:$D,3,FALSE),"")</f>
        <v/>
      </c>
      <c r="AY98" s="17" t="str">
        <f>IFERROR(VLOOKUP(シフト組み!AY128,役職一覧!$B:$D,3,FALSE),"")</f>
        <v/>
      </c>
      <c r="AZ98" s="17" t="str">
        <f>IFERROR(VLOOKUP(シフト組み!AZ128,役職一覧!$B:$D,3,FALSE),"")</f>
        <v/>
      </c>
      <c r="BA98" s="17" t="str">
        <f>IFERROR(VLOOKUP(シフト組み!BA128,役職一覧!$B:$D,3,FALSE),"")</f>
        <v/>
      </c>
    </row>
    <row r="99" spans="1:53">
      <c r="A99" s="2" t="str">
        <f>シフト組み!A129&amp;""</f>
        <v/>
      </c>
      <c r="B99" s="2" t="str">
        <f>シフト組み!B129&amp;""</f>
        <v/>
      </c>
      <c r="C99" s="2" t="str">
        <f>シフト組み!C129&amp;""</f>
        <v/>
      </c>
      <c r="D99" s="17" t="str">
        <f>IFERROR(VLOOKUP(シフト組み!D129,役職一覧!$B:$D,2,FALSE),"")</f>
        <v/>
      </c>
      <c r="E99" s="17" t="str">
        <f>IFERROR(VLOOKUP(シフト組み!E129,役職一覧!$B:$D,2,FALSE),"")</f>
        <v/>
      </c>
      <c r="F99" s="17" t="str">
        <f>IFERROR(VLOOKUP(シフト組み!F129,役職一覧!$B:$D,2,FALSE),"")</f>
        <v/>
      </c>
      <c r="G99" s="17" t="str">
        <f>IFERROR(VLOOKUP(シフト組み!G129,役職一覧!$B:$D,2,FALSE),"")</f>
        <v/>
      </c>
      <c r="H99" s="17" t="str">
        <f>IFERROR(VLOOKUP(シフト組み!H129,役職一覧!$B:$D,2,FALSE),"")</f>
        <v/>
      </c>
      <c r="I99" s="17" t="str">
        <f>IFERROR(VLOOKUP(シフト組み!I129,役職一覧!$B:$D,2,FALSE),"")</f>
        <v/>
      </c>
      <c r="J99" s="17" t="str">
        <f>IFERROR(VLOOKUP(シフト組み!J129,役職一覧!$B:$D,2,FALSE),"")</f>
        <v/>
      </c>
      <c r="K99" s="17" t="str">
        <f>IFERROR(VLOOKUP(シフト組み!K129,役職一覧!$B:$D,2,FALSE),"")</f>
        <v/>
      </c>
      <c r="L99" s="17" t="str">
        <f>IFERROR(VLOOKUP(シフト組み!L129,役職一覧!$B:$D,2,FALSE),"")</f>
        <v/>
      </c>
      <c r="M99" s="17" t="str">
        <f>IFERROR(VLOOKUP(シフト組み!M129,役職一覧!$B:$D,2,FALSE),"")</f>
        <v/>
      </c>
      <c r="N99" s="17" t="str">
        <f>IFERROR(VLOOKUP(シフト組み!N129,役職一覧!$B:$D,2,FALSE),"")</f>
        <v/>
      </c>
      <c r="O99" s="17" t="str">
        <f>IFERROR(VLOOKUP(シフト組み!O129,役職一覧!$B:$D,2,FALSE),"")</f>
        <v/>
      </c>
      <c r="P99" s="17" t="str">
        <f>IFERROR(VLOOKUP(シフト組み!P129,役職一覧!$B:$D,2,FALSE),"")</f>
        <v/>
      </c>
      <c r="Q99" s="17" t="str">
        <f>IFERROR(VLOOKUP(シフト組み!Q129,役職一覧!$B:$D,2,FALSE),"")</f>
        <v/>
      </c>
      <c r="R99" s="17" t="str">
        <f>IFERROR(VLOOKUP(シフト組み!R129,役職一覧!$B:$D,2,FALSE),"")</f>
        <v/>
      </c>
      <c r="S99" s="17" t="str">
        <f>IFERROR(VLOOKUP(シフト組み!S129,役職一覧!$B:$D,2,FALSE),"")</f>
        <v/>
      </c>
      <c r="T99" s="17" t="str">
        <f>IFERROR(VLOOKUP(シフト組み!T129,役職一覧!$B:$D,2,FALSE),"")</f>
        <v/>
      </c>
      <c r="U99" s="17" t="str">
        <f>IFERROR(VLOOKUP(シフト組み!U129,役職一覧!$B:$D,2,FALSE),"")</f>
        <v/>
      </c>
      <c r="V99" s="17" t="str">
        <f>IFERROR(VLOOKUP(シフト組み!V129,役職一覧!$B:$D,2,FALSE),"")</f>
        <v/>
      </c>
      <c r="W99" s="17" t="str">
        <f>IFERROR(VLOOKUP(シフト組み!W129,役職一覧!$B:$D,2,FALSE),"")</f>
        <v/>
      </c>
      <c r="X99" s="17" t="str">
        <f>IFERROR(VLOOKUP(シフト組み!X129,役職一覧!$B:$D,2,FALSE),"")</f>
        <v/>
      </c>
      <c r="Y99" s="17" t="str">
        <f>IFERROR(VLOOKUP(シフト組み!Y129,役職一覧!$B:$D,2,FALSE),"")</f>
        <v/>
      </c>
      <c r="Z99" s="17" t="str">
        <f>IFERROR(VLOOKUP(シフト組み!Z129,役職一覧!$B:$D,2,FALSE),"")</f>
        <v/>
      </c>
      <c r="AA99" s="17" t="str">
        <f>IFERROR(VLOOKUP(シフト組み!AA129,役職一覧!$B:$D,2,FALSE),"")</f>
        <v/>
      </c>
      <c r="AB99" s="17" t="str">
        <f>IFERROR(VLOOKUP(シフト組み!AB129,役職一覧!$B:$D,2,FALSE),"")</f>
        <v/>
      </c>
      <c r="AC99" s="17" t="str">
        <f>IFERROR(VLOOKUP(シフト組み!AC129,役職一覧!$B:$D,2,FALSE),"")</f>
        <v/>
      </c>
      <c r="AD99" s="17" t="str">
        <f>IFERROR(VLOOKUP(シフト組み!AD129,役職一覧!$B:$D,2,FALSE),"")</f>
        <v/>
      </c>
      <c r="AE99" s="17" t="str">
        <f>IFERROR(VLOOKUP(シフト組み!AE129,役職一覧!$B:$D,2,FALSE),"")</f>
        <v/>
      </c>
      <c r="AF99" s="17" t="str">
        <f>IFERROR(VLOOKUP(シフト組み!AF129,役職一覧!$B:$D,2,FALSE),"")</f>
        <v/>
      </c>
      <c r="AG99" s="17" t="str">
        <f>IFERROR(VLOOKUP(シフト組み!AG129,役職一覧!$B:$D,2,FALSE),"")</f>
        <v/>
      </c>
      <c r="AH99" s="17" t="str">
        <f>IFERROR(VLOOKUP(シフト組み!AH129,役職一覧!$B:$D,3,FALSE),"")</f>
        <v/>
      </c>
      <c r="AI99" s="17" t="str">
        <f>IFERROR(VLOOKUP(シフト組み!AI129,役職一覧!$B:$D,3,FALSE),"")</f>
        <v/>
      </c>
      <c r="AJ99" s="17" t="str">
        <f>IFERROR(VLOOKUP(シフト組み!AJ129,役職一覧!$B:$D,3,FALSE),"")</f>
        <v/>
      </c>
      <c r="AK99" s="17" t="str">
        <f>IFERROR(VLOOKUP(シフト組み!AK129,役職一覧!$B:$D,3,FALSE),"")</f>
        <v/>
      </c>
      <c r="AL99" s="17" t="str">
        <f>IFERROR(VLOOKUP(シフト組み!AL129,役職一覧!$B:$D,3,FALSE),"")</f>
        <v/>
      </c>
      <c r="AM99" s="17" t="str">
        <f>IFERROR(VLOOKUP(シフト組み!AM129,役職一覧!$B:$D,3,FALSE),"")</f>
        <v/>
      </c>
      <c r="AN99" s="17" t="str">
        <f>IFERROR(VLOOKUP(シフト組み!AN129,役職一覧!$B:$D,3,FALSE),"")</f>
        <v/>
      </c>
      <c r="AO99" s="17" t="str">
        <f>IFERROR(VLOOKUP(シフト組み!AO129,役職一覧!$B:$D,3,FALSE),"")</f>
        <v/>
      </c>
      <c r="AP99" s="17" t="str">
        <f>IFERROR(VLOOKUP(シフト組み!AP129,役職一覧!$B:$D,3,FALSE),"")</f>
        <v/>
      </c>
      <c r="AQ99" s="17" t="str">
        <f>IFERROR(VLOOKUP(シフト組み!AQ129,役職一覧!$B:$D,3,FALSE),"")</f>
        <v/>
      </c>
      <c r="AR99" s="17" t="str">
        <f>IFERROR(VLOOKUP(シフト組み!AR129,役職一覧!$B:$D,3,FALSE),"")</f>
        <v/>
      </c>
      <c r="AS99" s="17" t="str">
        <f>IFERROR(VLOOKUP(シフト組み!AS129,役職一覧!$B:$D,3,FALSE),"")</f>
        <v/>
      </c>
      <c r="AT99" s="17" t="str">
        <f>IFERROR(VLOOKUP(シフト組み!AT129,役職一覧!$B:$D,3,FALSE),"")</f>
        <v/>
      </c>
      <c r="AU99" s="17" t="str">
        <f>IFERROR(VLOOKUP(シフト組み!AU129,役職一覧!$B:$D,3,FALSE),"")</f>
        <v/>
      </c>
      <c r="AV99" s="17" t="str">
        <f>IFERROR(VLOOKUP(シフト組み!AV129,役職一覧!$B:$D,3,FALSE),"")</f>
        <v/>
      </c>
      <c r="AW99" s="17" t="str">
        <f>IFERROR(VLOOKUP(シフト組み!AW129,役職一覧!$B:$D,3,FALSE),"")</f>
        <v/>
      </c>
      <c r="AX99" s="17" t="str">
        <f>IFERROR(VLOOKUP(シフト組み!AX129,役職一覧!$B:$D,3,FALSE),"")</f>
        <v/>
      </c>
      <c r="AY99" s="17" t="str">
        <f>IFERROR(VLOOKUP(シフト組み!AY129,役職一覧!$B:$D,3,FALSE),"")</f>
        <v/>
      </c>
      <c r="AZ99" s="17" t="str">
        <f>IFERROR(VLOOKUP(シフト組み!AZ129,役職一覧!$B:$D,3,FALSE),"")</f>
        <v/>
      </c>
      <c r="BA99" s="17" t="str">
        <f>IFERROR(VLOOKUP(シフト組み!BA129,役職一覧!$B:$D,3,FALSE),"")</f>
        <v/>
      </c>
    </row>
    <row r="100" spans="1:53">
      <c r="A100" s="2" t="str">
        <f>シフト組み!A130&amp;""</f>
        <v/>
      </c>
      <c r="B100" s="2" t="str">
        <f>シフト組み!B130&amp;""</f>
        <v/>
      </c>
      <c r="C100" s="2" t="str">
        <f>シフト組み!C130&amp;""</f>
        <v/>
      </c>
      <c r="D100" s="17" t="str">
        <f>IFERROR(VLOOKUP(シフト組み!D130,役職一覧!$B:$D,2,FALSE),"")</f>
        <v/>
      </c>
      <c r="E100" s="17" t="str">
        <f>IFERROR(VLOOKUP(シフト組み!E130,役職一覧!$B:$D,2,FALSE),"")</f>
        <v/>
      </c>
      <c r="F100" s="17" t="str">
        <f>IFERROR(VLOOKUP(シフト組み!F130,役職一覧!$B:$D,2,FALSE),"")</f>
        <v/>
      </c>
      <c r="G100" s="17" t="str">
        <f>IFERROR(VLOOKUP(シフト組み!G130,役職一覧!$B:$D,2,FALSE),"")</f>
        <v/>
      </c>
      <c r="H100" s="17" t="str">
        <f>IFERROR(VLOOKUP(シフト組み!H130,役職一覧!$B:$D,2,FALSE),"")</f>
        <v/>
      </c>
      <c r="I100" s="17" t="str">
        <f>IFERROR(VLOOKUP(シフト組み!I130,役職一覧!$B:$D,2,FALSE),"")</f>
        <v/>
      </c>
      <c r="J100" s="17" t="str">
        <f>IFERROR(VLOOKUP(シフト組み!J130,役職一覧!$B:$D,2,FALSE),"")</f>
        <v/>
      </c>
      <c r="K100" s="17" t="str">
        <f>IFERROR(VLOOKUP(シフト組み!K130,役職一覧!$B:$D,2,FALSE),"")</f>
        <v/>
      </c>
      <c r="L100" s="17" t="str">
        <f>IFERROR(VLOOKUP(シフト組み!L130,役職一覧!$B:$D,2,FALSE),"")</f>
        <v/>
      </c>
      <c r="M100" s="17" t="str">
        <f>IFERROR(VLOOKUP(シフト組み!M130,役職一覧!$B:$D,2,FALSE),"")</f>
        <v/>
      </c>
      <c r="N100" s="17" t="str">
        <f>IFERROR(VLOOKUP(シフト組み!N130,役職一覧!$B:$D,2,FALSE),"")</f>
        <v/>
      </c>
      <c r="O100" s="17" t="str">
        <f>IFERROR(VLOOKUP(シフト組み!O130,役職一覧!$B:$D,2,FALSE),"")</f>
        <v/>
      </c>
      <c r="P100" s="17" t="str">
        <f>IFERROR(VLOOKUP(シフト組み!P130,役職一覧!$B:$D,2,FALSE),"")</f>
        <v/>
      </c>
      <c r="Q100" s="17" t="str">
        <f>IFERROR(VLOOKUP(シフト組み!Q130,役職一覧!$B:$D,2,FALSE),"")</f>
        <v/>
      </c>
      <c r="R100" s="17" t="str">
        <f>IFERROR(VLOOKUP(シフト組み!R130,役職一覧!$B:$D,2,FALSE),"")</f>
        <v/>
      </c>
      <c r="S100" s="17" t="str">
        <f>IFERROR(VLOOKUP(シフト組み!S130,役職一覧!$B:$D,2,FALSE),"")</f>
        <v/>
      </c>
      <c r="T100" s="17" t="str">
        <f>IFERROR(VLOOKUP(シフト組み!T130,役職一覧!$B:$D,2,FALSE),"")</f>
        <v/>
      </c>
      <c r="U100" s="17" t="str">
        <f>IFERROR(VLOOKUP(シフト組み!U130,役職一覧!$B:$D,2,FALSE),"")</f>
        <v/>
      </c>
      <c r="V100" s="17" t="str">
        <f>IFERROR(VLOOKUP(シフト組み!V130,役職一覧!$B:$D,2,FALSE),"")</f>
        <v/>
      </c>
      <c r="W100" s="17" t="str">
        <f>IFERROR(VLOOKUP(シフト組み!W130,役職一覧!$B:$D,2,FALSE),"")</f>
        <v/>
      </c>
      <c r="X100" s="17" t="str">
        <f>IFERROR(VLOOKUP(シフト組み!X130,役職一覧!$B:$D,2,FALSE),"")</f>
        <v/>
      </c>
      <c r="Y100" s="17" t="str">
        <f>IFERROR(VLOOKUP(シフト組み!Y130,役職一覧!$B:$D,2,FALSE),"")</f>
        <v/>
      </c>
      <c r="Z100" s="17" t="str">
        <f>IFERROR(VLOOKUP(シフト組み!Z130,役職一覧!$B:$D,2,FALSE),"")</f>
        <v/>
      </c>
      <c r="AA100" s="17" t="str">
        <f>IFERROR(VLOOKUP(シフト組み!AA130,役職一覧!$B:$D,2,FALSE),"")</f>
        <v/>
      </c>
      <c r="AB100" s="17" t="str">
        <f>IFERROR(VLOOKUP(シフト組み!AB130,役職一覧!$B:$D,2,FALSE),"")</f>
        <v/>
      </c>
      <c r="AC100" s="17" t="str">
        <f>IFERROR(VLOOKUP(シフト組み!AC130,役職一覧!$B:$D,2,FALSE),"")</f>
        <v/>
      </c>
      <c r="AD100" s="17" t="str">
        <f>IFERROR(VLOOKUP(シフト組み!AD130,役職一覧!$B:$D,2,FALSE),"")</f>
        <v/>
      </c>
      <c r="AE100" s="17" t="str">
        <f>IFERROR(VLOOKUP(シフト組み!AE130,役職一覧!$B:$D,2,FALSE),"")</f>
        <v/>
      </c>
      <c r="AF100" s="17" t="str">
        <f>IFERROR(VLOOKUP(シフト組み!AF130,役職一覧!$B:$D,2,FALSE),"")</f>
        <v/>
      </c>
      <c r="AG100" s="17" t="str">
        <f>IFERROR(VLOOKUP(シフト組み!AG130,役職一覧!$B:$D,2,FALSE),"")</f>
        <v/>
      </c>
      <c r="AH100" s="17" t="str">
        <f>IFERROR(VLOOKUP(シフト組み!AH130,役職一覧!$B:$D,3,FALSE),"")</f>
        <v/>
      </c>
      <c r="AI100" s="17" t="str">
        <f>IFERROR(VLOOKUP(シフト組み!AI130,役職一覧!$B:$D,3,FALSE),"")</f>
        <v/>
      </c>
      <c r="AJ100" s="17" t="str">
        <f>IFERROR(VLOOKUP(シフト組み!AJ130,役職一覧!$B:$D,3,FALSE),"")</f>
        <v/>
      </c>
      <c r="AK100" s="17" t="str">
        <f>IFERROR(VLOOKUP(シフト組み!AK130,役職一覧!$B:$D,3,FALSE),"")</f>
        <v/>
      </c>
      <c r="AL100" s="17" t="str">
        <f>IFERROR(VLOOKUP(シフト組み!AL130,役職一覧!$B:$D,3,FALSE),"")</f>
        <v/>
      </c>
      <c r="AM100" s="17" t="str">
        <f>IFERROR(VLOOKUP(シフト組み!AM130,役職一覧!$B:$D,3,FALSE),"")</f>
        <v/>
      </c>
      <c r="AN100" s="17" t="str">
        <f>IFERROR(VLOOKUP(シフト組み!AN130,役職一覧!$B:$D,3,FALSE),"")</f>
        <v/>
      </c>
      <c r="AO100" s="17" t="str">
        <f>IFERROR(VLOOKUP(シフト組み!AO130,役職一覧!$B:$D,3,FALSE),"")</f>
        <v/>
      </c>
      <c r="AP100" s="17" t="str">
        <f>IFERROR(VLOOKUP(シフト組み!AP130,役職一覧!$B:$D,3,FALSE),"")</f>
        <v/>
      </c>
      <c r="AQ100" s="17" t="str">
        <f>IFERROR(VLOOKUP(シフト組み!AQ130,役職一覧!$B:$D,3,FALSE),"")</f>
        <v/>
      </c>
      <c r="AR100" s="17" t="str">
        <f>IFERROR(VLOOKUP(シフト組み!AR130,役職一覧!$B:$D,3,FALSE),"")</f>
        <v/>
      </c>
      <c r="AS100" s="17" t="str">
        <f>IFERROR(VLOOKUP(シフト組み!AS130,役職一覧!$B:$D,3,FALSE),"")</f>
        <v/>
      </c>
      <c r="AT100" s="17" t="str">
        <f>IFERROR(VLOOKUP(シフト組み!AT130,役職一覧!$B:$D,3,FALSE),"")</f>
        <v/>
      </c>
      <c r="AU100" s="17" t="str">
        <f>IFERROR(VLOOKUP(シフト組み!AU130,役職一覧!$B:$D,3,FALSE),"")</f>
        <v/>
      </c>
      <c r="AV100" s="17" t="str">
        <f>IFERROR(VLOOKUP(シフト組み!AV130,役職一覧!$B:$D,3,FALSE),"")</f>
        <v/>
      </c>
      <c r="AW100" s="17" t="str">
        <f>IFERROR(VLOOKUP(シフト組み!AW130,役職一覧!$B:$D,3,FALSE),"")</f>
        <v/>
      </c>
      <c r="AX100" s="17" t="str">
        <f>IFERROR(VLOOKUP(シフト組み!AX130,役職一覧!$B:$D,3,FALSE),"")</f>
        <v/>
      </c>
      <c r="AY100" s="17" t="str">
        <f>IFERROR(VLOOKUP(シフト組み!AY130,役職一覧!$B:$D,3,FALSE),"")</f>
        <v/>
      </c>
      <c r="AZ100" s="17" t="str">
        <f>IFERROR(VLOOKUP(シフト組み!AZ130,役職一覧!$B:$D,3,FALSE),"")</f>
        <v/>
      </c>
      <c r="BA100" s="17" t="str">
        <f>IFERROR(VLOOKUP(シフト組み!BA130,役職一覧!$B:$D,3,FALSE),"")</f>
        <v/>
      </c>
    </row>
    <row r="101" spans="1:53">
      <c r="A101" s="2" t="str">
        <f>シフト組み!A131&amp;""</f>
        <v/>
      </c>
      <c r="B101" s="2" t="str">
        <f>シフト組み!B131&amp;""</f>
        <v/>
      </c>
      <c r="C101" s="2" t="str">
        <f>シフト組み!C131&amp;""</f>
        <v/>
      </c>
      <c r="D101" s="17" t="str">
        <f>IFERROR(VLOOKUP(シフト組み!D131,役職一覧!$B:$D,2,FALSE),"")</f>
        <v/>
      </c>
      <c r="E101" s="17" t="str">
        <f>IFERROR(VLOOKUP(シフト組み!E131,役職一覧!$B:$D,2,FALSE),"")</f>
        <v/>
      </c>
      <c r="F101" s="17" t="str">
        <f>IFERROR(VLOOKUP(シフト組み!F131,役職一覧!$B:$D,2,FALSE),"")</f>
        <v/>
      </c>
      <c r="G101" s="17" t="str">
        <f>IFERROR(VLOOKUP(シフト組み!G131,役職一覧!$B:$D,2,FALSE),"")</f>
        <v/>
      </c>
      <c r="H101" s="17" t="str">
        <f>IFERROR(VLOOKUP(シフト組み!H131,役職一覧!$B:$D,2,FALSE),"")</f>
        <v/>
      </c>
      <c r="I101" s="17" t="str">
        <f>IFERROR(VLOOKUP(シフト組み!I131,役職一覧!$B:$D,2,FALSE),"")</f>
        <v/>
      </c>
      <c r="J101" s="17" t="str">
        <f>IFERROR(VLOOKUP(シフト組み!J131,役職一覧!$B:$D,2,FALSE),"")</f>
        <v/>
      </c>
      <c r="K101" s="17" t="str">
        <f>IFERROR(VLOOKUP(シフト組み!K131,役職一覧!$B:$D,2,FALSE),"")</f>
        <v/>
      </c>
      <c r="L101" s="17" t="str">
        <f>IFERROR(VLOOKUP(シフト組み!L131,役職一覧!$B:$D,2,FALSE),"")</f>
        <v/>
      </c>
      <c r="M101" s="17" t="str">
        <f>IFERROR(VLOOKUP(シフト組み!M131,役職一覧!$B:$D,2,FALSE),"")</f>
        <v/>
      </c>
      <c r="N101" s="17" t="str">
        <f>IFERROR(VLOOKUP(シフト組み!N131,役職一覧!$B:$D,2,FALSE),"")</f>
        <v/>
      </c>
      <c r="O101" s="17" t="str">
        <f>IFERROR(VLOOKUP(シフト組み!O131,役職一覧!$B:$D,2,FALSE),"")</f>
        <v/>
      </c>
      <c r="P101" s="17" t="str">
        <f>IFERROR(VLOOKUP(シフト組み!P131,役職一覧!$B:$D,2,FALSE),"")</f>
        <v/>
      </c>
      <c r="Q101" s="17" t="str">
        <f>IFERROR(VLOOKUP(シフト組み!Q131,役職一覧!$B:$D,2,FALSE),"")</f>
        <v/>
      </c>
      <c r="R101" s="17" t="str">
        <f>IFERROR(VLOOKUP(シフト組み!R131,役職一覧!$B:$D,2,FALSE),"")</f>
        <v/>
      </c>
      <c r="S101" s="17" t="str">
        <f>IFERROR(VLOOKUP(シフト組み!S131,役職一覧!$B:$D,2,FALSE),"")</f>
        <v/>
      </c>
      <c r="T101" s="17" t="str">
        <f>IFERROR(VLOOKUP(シフト組み!T131,役職一覧!$B:$D,2,FALSE),"")</f>
        <v/>
      </c>
      <c r="U101" s="17" t="str">
        <f>IFERROR(VLOOKUP(シフト組み!U131,役職一覧!$B:$D,2,FALSE),"")</f>
        <v/>
      </c>
      <c r="V101" s="17" t="str">
        <f>IFERROR(VLOOKUP(シフト組み!V131,役職一覧!$B:$D,2,FALSE),"")</f>
        <v/>
      </c>
      <c r="W101" s="17" t="str">
        <f>IFERROR(VLOOKUP(シフト組み!W131,役職一覧!$B:$D,2,FALSE),"")</f>
        <v/>
      </c>
      <c r="X101" s="17" t="str">
        <f>IFERROR(VLOOKUP(シフト組み!X131,役職一覧!$B:$D,2,FALSE),"")</f>
        <v/>
      </c>
      <c r="Y101" s="17" t="str">
        <f>IFERROR(VLOOKUP(シフト組み!Y131,役職一覧!$B:$D,2,FALSE),"")</f>
        <v/>
      </c>
      <c r="Z101" s="17" t="str">
        <f>IFERROR(VLOOKUP(シフト組み!Z131,役職一覧!$B:$D,2,FALSE),"")</f>
        <v/>
      </c>
      <c r="AA101" s="17" t="str">
        <f>IFERROR(VLOOKUP(シフト組み!AA131,役職一覧!$B:$D,2,FALSE),"")</f>
        <v/>
      </c>
      <c r="AB101" s="17" t="str">
        <f>IFERROR(VLOOKUP(シフト組み!AB131,役職一覧!$B:$D,2,FALSE),"")</f>
        <v/>
      </c>
      <c r="AC101" s="17" t="str">
        <f>IFERROR(VLOOKUP(シフト組み!AC131,役職一覧!$B:$D,2,FALSE),"")</f>
        <v/>
      </c>
      <c r="AD101" s="17" t="str">
        <f>IFERROR(VLOOKUP(シフト組み!AD131,役職一覧!$B:$D,2,FALSE),"")</f>
        <v/>
      </c>
      <c r="AE101" s="17" t="str">
        <f>IFERROR(VLOOKUP(シフト組み!AE131,役職一覧!$B:$D,2,FALSE),"")</f>
        <v/>
      </c>
      <c r="AF101" s="17" t="str">
        <f>IFERROR(VLOOKUP(シフト組み!AF131,役職一覧!$B:$D,2,FALSE),"")</f>
        <v/>
      </c>
      <c r="AG101" s="17" t="str">
        <f>IFERROR(VLOOKUP(シフト組み!AG131,役職一覧!$B:$D,2,FALSE),"")</f>
        <v/>
      </c>
      <c r="AH101" s="17" t="str">
        <f>IFERROR(VLOOKUP(シフト組み!AH131,役職一覧!$B:$D,3,FALSE),"")</f>
        <v/>
      </c>
      <c r="AI101" s="17" t="str">
        <f>IFERROR(VLOOKUP(シフト組み!AI131,役職一覧!$B:$D,3,FALSE),"")</f>
        <v/>
      </c>
      <c r="AJ101" s="17" t="str">
        <f>IFERROR(VLOOKUP(シフト組み!AJ131,役職一覧!$B:$D,3,FALSE),"")</f>
        <v/>
      </c>
      <c r="AK101" s="17" t="str">
        <f>IFERROR(VLOOKUP(シフト組み!AK131,役職一覧!$B:$D,3,FALSE),"")</f>
        <v/>
      </c>
      <c r="AL101" s="17" t="str">
        <f>IFERROR(VLOOKUP(シフト組み!AL131,役職一覧!$B:$D,3,FALSE),"")</f>
        <v/>
      </c>
      <c r="AM101" s="17" t="str">
        <f>IFERROR(VLOOKUP(シフト組み!AM131,役職一覧!$B:$D,3,FALSE),"")</f>
        <v/>
      </c>
      <c r="AN101" s="17" t="str">
        <f>IFERROR(VLOOKUP(シフト組み!AN131,役職一覧!$B:$D,3,FALSE),"")</f>
        <v/>
      </c>
      <c r="AO101" s="17" t="str">
        <f>IFERROR(VLOOKUP(シフト組み!AO131,役職一覧!$B:$D,3,FALSE),"")</f>
        <v/>
      </c>
      <c r="AP101" s="17" t="str">
        <f>IFERROR(VLOOKUP(シフト組み!AP131,役職一覧!$B:$D,3,FALSE),"")</f>
        <v/>
      </c>
      <c r="AQ101" s="17" t="str">
        <f>IFERROR(VLOOKUP(シフト組み!AQ131,役職一覧!$B:$D,3,FALSE),"")</f>
        <v/>
      </c>
      <c r="AR101" s="17" t="str">
        <f>IFERROR(VLOOKUP(シフト組み!AR131,役職一覧!$B:$D,3,FALSE),"")</f>
        <v/>
      </c>
      <c r="AS101" s="17" t="str">
        <f>IFERROR(VLOOKUP(シフト組み!AS131,役職一覧!$B:$D,3,FALSE),"")</f>
        <v/>
      </c>
      <c r="AT101" s="17" t="str">
        <f>IFERROR(VLOOKUP(シフト組み!AT131,役職一覧!$B:$D,3,FALSE),"")</f>
        <v/>
      </c>
      <c r="AU101" s="17" t="str">
        <f>IFERROR(VLOOKUP(シフト組み!AU131,役職一覧!$B:$D,3,FALSE),"")</f>
        <v/>
      </c>
      <c r="AV101" s="17" t="str">
        <f>IFERROR(VLOOKUP(シフト組み!AV131,役職一覧!$B:$D,3,FALSE),"")</f>
        <v/>
      </c>
      <c r="AW101" s="17" t="str">
        <f>IFERROR(VLOOKUP(シフト組み!AW131,役職一覧!$B:$D,3,FALSE),"")</f>
        <v/>
      </c>
      <c r="AX101" s="17" t="str">
        <f>IFERROR(VLOOKUP(シフト組み!AX131,役職一覧!$B:$D,3,FALSE),"")</f>
        <v/>
      </c>
      <c r="AY101" s="17" t="str">
        <f>IFERROR(VLOOKUP(シフト組み!AY131,役職一覧!$B:$D,3,FALSE),"")</f>
        <v/>
      </c>
      <c r="AZ101" s="17" t="str">
        <f>IFERROR(VLOOKUP(シフト組み!AZ131,役職一覧!$B:$D,3,FALSE),"")</f>
        <v/>
      </c>
      <c r="BA101" s="17" t="str">
        <f>IFERROR(VLOOKUP(シフト組み!BA131,役職一覧!$B:$D,3,FALSE),"")</f>
        <v/>
      </c>
    </row>
    <row r="102" spans="1:53">
      <c r="A102" s="2" t="str">
        <f>シフト組み!A132&amp;""</f>
        <v/>
      </c>
      <c r="B102" s="2" t="str">
        <f>シフト組み!B132&amp;""</f>
        <v/>
      </c>
      <c r="C102" s="2" t="str">
        <f>シフト組み!C132&amp;""</f>
        <v/>
      </c>
      <c r="D102" s="17" t="str">
        <f>IFERROR(VLOOKUP(シフト組み!D132,役職一覧!$B:$D,2,FALSE),"")</f>
        <v/>
      </c>
      <c r="E102" s="17" t="str">
        <f>IFERROR(VLOOKUP(シフト組み!E132,役職一覧!$B:$D,2,FALSE),"")</f>
        <v/>
      </c>
      <c r="F102" s="17" t="str">
        <f>IFERROR(VLOOKUP(シフト組み!F132,役職一覧!$B:$D,2,FALSE),"")</f>
        <v/>
      </c>
      <c r="G102" s="17" t="str">
        <f>IFERROR(VLOOKUP(シフト組み!G132,役職一覧!$B:$D,2,FALSE),"")</f>
        <v/>
      </c>
      <c r="H102" s="17" t="str">
        <f>IFERROR(VLOOKUP(シフト組み!H132,役職一覧!$B:$D,2,FALSE),"")</f>
        <v/>
      </c>
      <c r="I102" s="17" t="str">
        <f>IFERROR(VLOOKUP(シフト組み!I132,役職一覧!$B:$D,2,FALSE),"")</f>
        <v/>
      </c>
      <c r="J102" s="17" t="str">
        <f>IFERROR(VLOOKUP(シフト組み!J132,役職一覧!$B:$D,2,FALSE),"")</f>
        <v/>
      </c>
      <c r="K102" s="17" t="str">
        <f>IFERROR(VLOOKUP(シフト組み!K132,役職一覧!$B:$D,2,FALSE),"")</f>
        <v/>
      </c>
      <c r="L102" s="17" t="str">
        <f>IFERROR(VLOOKUP(シフト組み!L132,役職一覧!$B:$D,2,FALSE),"")</f>
        <v/>
      </c>
      <c r="M102" s="17" t="str">
        <f>IFERROR(VLOOKUP(シフト組み!M132,役職一覧!$B:$D,2,FALSE),"")</f>
        <v/>
      </c>
      <c r="N102" s="17" t="str">
        <f>IFERROR(VLOOKUP(シフト組み!N132,役職一覧!$B:$D,2,FALSE),"")</f>
        <v/>
      </c>
      <c r="O102" s="17" t="str">
        <f>IFERROR(VLOOKUP(シフト組み!O132,役職一覧!$B:$D,2,FALSE),"")</f>
        <v/>
      </c>
      <c r="P102" s="17" t="str">
        <f>IFERROR(VLOOKUP(シフト組み!P132,役職一覧!$B:$D,2,FALSE),"")</f>
        <v/>
      </c>
      <c r="Q102" s="17" t="str">
        <f>IFERROR(VLOOKUP(シフト組み!Q132,役職一覧!$B:$D,2,FALSE),"")</f>
        <v/>
      </c>
      <c r="R102" s="17" t="str">
        <f>IFERROR(VLOOKUP(シフト組み!R132,役職一覧!$B:$D,2,FALSE),"")</f>
        <v/>
      </c>
      <c r="S102" s="17" t="str">
        <f>IFERROR(VLOOKUP(シフト組み!S132,役職一覧!$B:$D,2,FALSE),"")</f>
        <v/>
      </c>
      <c r="T102" s="17" t="str">
        <f>IFERROR(VLOOKUP(シフト組み!T132,役職一覧!$B:$D,2,FALSE),"")</f>
        <v/>
      </c>
      <c r="U102" s="17" t="str">
        <f>IFERROR(VLOOKUP(シフト組み!U132,役職一覧!$B:$D,2,FALSE),"")</f>
        <v/>
      </c>
      <c r="V102" s="17" t="str">
        <f>IFERROR(VLOOKUP(シフト組み!V132,役職一覧!$B:$D,2,FALSE),"")</f>
        <v/>
      </c>
      <c r="W102" s="17" t="str">
        <f>IFERROR(VLOOKUP(シフト組み!W132,役職一覧!$B:$D,2,FALSE),"")</f>
        <v/>
      </c>
      <c r="X102" s="17" t="str">
        <f>IFERROR(VLOOKUP(シフト組み!X132,役職一覧!$B:$D,2,FALSE),"")</f>
        <v/>
      </c>
      <c r="Y102" s="17" t="str">
        <f>IFERROR(VLOOKUP(シフト組み!Y132,役職一覧!$B:$D,2,FALSE),"")</f>
        <v/>
      </c>
      <c r="Z102" s="17" t="str">
        <f>IFERROR(VLOOKUP(シフト組み!Z132,役職一覧!$B:$D,2,FALSE),"")</f>
        <v/>
      </c>
      <c r="AA102" s="17" t="str">
        <f>IFERROR(VLOOKUP(シフト組み!AA132,役職一覧!$B:$D,2,FALSE),"")</f>
        <v/>
      </c>
      <c r="AB102" s="17" t="str">
        <f>IFERROR(VLOOKUP(シフト組み!AB132,役職一覧!$B:$D,2,FALSE),"")</f>
        <v/>
      </c>
      <c r="AC102" s="17" t="str">
        <f>IFERROR(VLOOKUP(シフト組み!AC132,役職一覧!$B:$D,2,FALSE),"")</f>
        <v/>
      </c>
      <c r="AD102" s="17" t="str">
        <f>IFERROR(VLOOKUP(シフト組み!AD132,役職一覧!$B:$D,2,FALSE),"")</f>
        <v/>
      </c>
      <c r="AE102" s="17" t="str">
        <f>IFERROR(VLOOKUP(シフト組み!AE132,役職一覧!$B:$D,2,FALSE),"")</f>
        <v/>
      </c>
      <c r="AF102" s="17" t="str">
        <f>IFERROR(VLOOKUP(シフト組み!AF132,役職一覧!$B:$D,2,FALSE),"")</f>
        <v/>
      </c>
      <c r="AG102" s="17" t="str">
        <f>IFERROR(VLOOKUP(シフト組み!AG132,役職一覧!$B:$D,2,FALSE),"")</f>
        <v/>
      </c>
      <c r="AH102" s="17" t="str">
        <f>IFERROR(VLOOKUP(シフト組み!AH132,役職一覧!$B:$D,3,FALSE),"")</f>
        <v/>
      </c>
      <c r="AI102" s="17" t="str">
        <f>IFERROR(VLOOKUP(シフト組み!AI132,役職一覧!$B:$D,3,FALSE),"")</f>
        <v/>
      </c>
      <c r="AJ102" s="17" t="str">
        <f>IFERROR(VLOOKUP(シフト組み!AJ132,役職一覧!$B:$D,3,FALSE),"")</f>
        <v/>
      </c>
      <c r="AK102" s="17" t="str">
        <f>IFERROR(VLOOKUP(シフト組み!AK132,役職一覧!$B:$D,3,FALSE),"")</f>
        <v/>
      </c>
      <c r="AL102" s="17" t="str">
        <f>IFERROR(VLOOKUP(シフト組み!AL132,役職一覧!$B:$D,3,FALSE),"")</f>
        <v/>
      </c>
      <c r="AM102" s="17" t="str">
        <f>IFERROR(VLOOKUP(シフト組み!AM132,役職一覧!$B:$D,3,FALSE),"")</f>
        <v/>
      </c>
      <c r="AN102" s="17" t="str">
        <f>IFERROR(VLOOKUP(シフト組み!AN132,役職一覧!$B:$D,3,FALSE),"")</f>
        <v/>
      </c>
      <c r="AO102" s="17" t="str">
        <f>IFERROR(VLOOKUP(シフト組み!AO132,役職一覧!$B:$D,3,FALSE),"")</f>
        <v/>
      </c>
      <c r="AP102" s="17" t="str">
        <f>IFERROR(VLOOKUP(シフト組み!AP132,役職一覧!$B:$D,3,FALSE),"")</f>
        <v/>
      </c>
      <c r="AQ102" s="17" t="str">
        <f>IFERROR(VLOOKUP(シフト組み!AQ132,役職一覧!$B:$D,3,FALSE),"")</f>
        <v/>
      </c>
      <c r="AR102" s="17" t="str">
        <f>IFERROR(VLOOKUP(シフト組み!AR132,役職一覧!$B:$D,3,FALSE),"")</f>
        <v/>
      </c>
      <c r="AS102" s="17" t="str">
        <f>IFERROR(VLOOKUP(シフト組み!AS132,役職一覧!$B:$D,3,FALSE),"")</f>
        <v/>
      </c>
      <c r="AT102" s="17" t="str">
        <f>IFERROR(VLOOKUP(シフト組み!AT132,役職一覧!$B:$D,3,FALSE),"")</f>
        <v/>
      </c>
      <c r="AU102" s="17" t="str">
        <f>IFERROR(VLOOKUP(シフト組み!AU132,役職一覧!$B:$D,3,FALSE),"")</f>
        <v/>
      </c>
      <c r="AV102" s="17" t="str">
        <f>IFERROR(VLOOKUP(シフト組み!AV132,役職一覧!$B:$D,3,FALSE),"")</f>
        <v/>
      </c>
      <c r="AW102" s="17" t="str">
        <f>IFERROR(VLOOKUP(シフト組み!AW132,役職一覧!$B:$D,3,FALSE),"")</f>
        <v/>
      </c>
      <c r="AX102" s="17" t="str">
        <f>IFERROR(VLOOKUP(シフト組み!AX132,役職一覧!$B:$D,3,FALSE),"")</f>
        <v/>
      </c>
      <c r="AY102" s="17" t="str">
        <f>IFERROR(VLOOKUP(シフト組み!AY132,役職一覧!$B:$D,3,FALSE),"")</f>
        <v/>
      </c>
      <c r="AZ102" s="17" t="str">
        <f>IFERROR(VLOOKUP(シフト組み!AZ132,役職一覧!$B:$D,3,FALSE),"")</f>
        <v/>
      </c>
      <c r="BA102" s="17" t="str">
        <f>IFERROR(VLOOKUP(シフト組み!BA132,役職一覧!$B:$D,3,FALSE),"")</f>
        <v/>
      </c>
    </row>
    <row r="103" spans="1:53">
      <c r="A103" s="2" t="str">
        <f>シフト組み!A133&amp;""</f>
        <v/>
      </c>
      <c r="B103" s="2" t="str">
        <f>シフト組み!B133&amp;""</f>
        <v/>
      </c>
      <c r="C103" s="2" t="str">
        <f>シフト組み!C133&amp;""</f>
        <v/>
      </c>
      <c r="D103" s="17" t="str">
        <f>IFERROR(VLOOKUP(シフト組み!D133,役職一覧!$B:$D,2,FALSE),"")</f>
        <v/>
      </c>
      <c r="E103" s="17" t="str">
        <f>IFERROR(VLOOKUP(シフト組み!E133,役職一覧!$B:$D,2,FALSE),"")</f>
        <v/>
      </c>
      <c r="F103" s="17" t="str">
        <f>IFERROR(VLOOKUP(シフト組み!F133,役職一覧!$B:$D,2,FALSE),"")</f>
        <v/>
      </c>
      <c r="G103" s="17" t="str">
        <f>IFERROR(VLOOKUP(シフト組み!G133,役職一覧!$B:$D,2,FALSE),"")</f>
        <v/>
      </c>
      <c r="H103" s="17" t="str">
        <f>IFERROR(VLOOKUP(シフト組み!H133,役職一覧!$B:$D,2,FALSE),"")</f>
        <v/>
      </c>
      <c r="I103" s="17" t="str">
        <f>IFERROR(VLOOKUP(シフト組み!I133,役職一覧!$B:$D,2,FALSE),"")</f>
        <v/>
      </c>
      <c r="J103" s="17" t="str">
        <f>IFERROR(VLOOKUP(シフト組み!J133,役職一覧!$B:$D,2,FALSE),"")</f>
        <v/>
      </c>
      <c r="K103" s="17" t="str">
        <f>IFERROR(VLOOKUP(シフト組み!K133,役職一覧!$B:$D,2,FALSE),"")</f>
        <v/>
      </c>
      <c r="L103" s="17" t="str">
        <f>IFERROR(VLOOKUP(シフト組み!L133,役職一覧!$B:$D,2,FALSE),"")</f>
        <v/>
      </c>
      <c r="M103" s="17" t="str">
        <f>IFERROR(VLOOKUP(シフト組み!M133,役職一覧!$B:$D,2,FALSE),"")</f>
        <v/>
      </c>
      <c r="N103" s="17" t="str">
        <f>IFERROR(VLOOKUP(シフト組み!N133,役職一覧!$B:$D,2,FALSE),"")</f>
        <v/>
      </c>
      <c r="O103" s="17" t="str">
        <f>IFERROR(VLOOKUP(シフト組み!O133,役職一覧!$B:$D,2,FALSE),"")</f>
        <v/>
      </c>
      <c r="P103" s="17" t="str">
        <f>IFERROR(VLOOKUP(シフト組み!P133,役職一覧!$B:$D,2,FALSE),"")</f>
        <v/>
      </c>
      <c r="Q103" s="17" t="str">
        <f>IFERROR(VLOOKUP(シフト組み!Q133,役職一覧!$B:$D,2,FALSE),"")</f>
        <v/>
      </c>
      <c r="R103" s="17" t="str">
        <f>IFERROR(VLOOKUP(シフト組み!R133,役職一覧!$B:$D,2,FALSE),"")</f>
        <v/>
      </c>
      <c r="S103" s="17" t="str">
        <f>IFERROR(VLOOKUP(シフト組み!S133,役職一覧!$B:$D,2,FALSE),"")</f>
        <v/>
      </c>
      <c r="T103" s="17" t="str">
        <f>IFERROR(VLOOKUP(シフト組み!T133,役職一覧!$B:$D,2,FALSE),"")</f>
        <v/>
      </c>
      <c r="U103" s="17" t="str">
        <f>IFERROR(VLOOKUP(シフト組み!U133,役職一覧!$B:$D,2,FALSE),"")</f>
        <v/>
      </c>
      <c r="V103" s="17" t="str">
        <f>IFERROR(VLOOKUP(シフト組み!V133,役職一覧!$B:$D,2,FALSE),"")</f>
        <v/>
      </c>
      <c r="W103" s="17" t="str">
        <f>IFERROR(VLOOKUP(シフト組み!W133,役職一覧!$B:$D,2,FALSE),"")</f>
        <v/>
      </c>
      <c r="X103" s="17" t="str">
        <f>IFERROR(VLOOKUP(シフト組み!X133,役職一覧!$B:$D,2,FALSE),"")</f>
        <v/>
      </c>
      <c r="Y103" s="17" t="str">
        <f>IFERROR(VLOOKUP(シフト組み!Y133,役職一覧!$B:$D,2,FALSE),"")</f>
        <v/>
      </c>
      <c r="Z103" s="17" t="str">
        <f>IFERROR(VLOOKUP(シフト組み!Z133,役職一覧!$B:$D,2,FALSE),"")</f>
        <v/>
      </c>
      <c r="AA103" s="17" t="str">
        <f>IFERROR(VLOOKUP(シフト組み!AA133,役職一覧!$B:$D,2,FALSE),"")</f>
        <v/>
      </c>
      <c r="AB103" s="17" t="str">
        <f>IFERROR(VLOOKUP(シフト組み!AB133,役職一覧!$B:$D,2,FALSE),"")</f>
        <v/>
      </c>
      <c r="AC103" s="17" t="str">
        <f>IFERROR(VLOOKUP(シフト組み!AC133,役職一覧!$B:$D,2,FALSE),"")</f>
        <v/>
      </c>
      <c r="AD103" s="17" t="str">
        <f>IFERROR(VLOOKUP(シフト組み!AD133,役職一覧!$B:$D,2,FALSE),"")</f>
        <v/>
      </c>
      <c r="AE103" s="17" t="str">
        <f>IFERROR(VLOOKUP(シフト組み!AE133,役職一覧!$B:$D,2,FALSE),"")</f>
        <v/>
      </c>
      <c r="AF103" s="17" t="str">
        <f>IFERROR(VLOOKUP(シフト組み!AF133,役職一覧!$B:$D,2,FALSE),"")</f>
        <v/>
      </c>
      <c r="AG103" s="17" t="str">
        <f>IFERROR(VLOOKUP(シフト組み!AG133,役職一覧!$B:$D,2,FALSE),"")</f>
        <v/>
      </c>
      <c r="AH103" s="17" t="str">
        <f>IFERROR(VLOOKUP(シフト組み!AH133,役職一覧!$B:$D,3,FALSE),"")</f>
        <v/>
      </c>
      <c r="AI103" s="17" t="str">
        <f>IFERROR(VLOOKUP(シフト組み!AI133,役職一覧!$B:$D,3,FALSE),"")</f>
        <v/>
      </c>
      <c r="AJ103" s="17" t="str">
        <f>IFERROR(VLOOKUP(シフト組み!AJ133,役職一覧!$B:$D,3,FALSE),"")</f>
        <v/>
      </c>
      <c r="AK103" s="17" t="str">
        <f>IFERROR(VLOOKUP(シフト組み!AK133,役職一覧!$B:$D,3,FALSE),"")</f>
        <v/>
      </c>
      <c r="AL103" s="17" t="str">
        <f>IFERROR(VLOOKUP(シフト組み!AL133,役職一覧!$B:$D,3,FALSE),"")</f>
        <v/>
      </c>
      <c r="AM103" s="17" t="str">
        <f>IFERROR(VLOOKUP(シフト組み!AM133,役職一覧!$B:$D,3,FALSE),"")</f>
        <v/>
      </c>
      <c r="AN103" s="17" t="str">
        <f>IFERROR(VLOOKUP(シフト組み!AN133,役職一覧!$B:$D,3,FALSE),"")</f>
        <v/>
      </c>
      <c r="AO103" s="17" t="str">
        <f>IFERROR(VLOOKUP(シフト組み!AO133,役職一覧!$B:$D,3,FALSE),"")</f>
        <v/>
      </c>
      <c r="AP103" s="17" t="str">
        <f>IFERROR(VLOOKUP(シフト組み!AP133,役職一覧!$B:$D,3,FALSE),"")</f>
        <v/>
      </c>
      <c r="AQ103" s="17" t="str">
        <f>IFERROR(VLOOKUP(シフト組み!AQ133,役職一覧!$B:$D,3,FALSE),"")</f>
        <v/>
      </c>
      <c r="AR103" s="17" t="str">
        <f>IFERROR(VLOOKUP(シフト組み!AR133,役職一覧!$B:$D,3,FALSE),"")</f>
        <v/>
      </c>
      <c r="AS103" s="17" t="str">
        <f>IFERROR(VLOOKUP(シフト組み!AS133,役職一覧!$B:$D,3,FALSE),"")</f>
        <v/>
      </c>
      <c r="AT103" s="17" t="str">
        <f>IFERROR(VLOOKUP(シフト組み!AT133,役職一覧!$B:$D,3,FALSE),"")</f>
        <v/>
      </c>
      <c r="AU103" s="17" t="str">
        <f>IFERROR(VLOOKUP(シフト組み!AU133,役職一覧!$B:$D,3,FALSE),"")</f>
        <v/>
      </c>
      <c r="AV103" s="17" t="str">
        <f>IFERROR(VLOOKUP(シフト組み!AV133,役職一覧!$B:$D,3,FALSE),"")</f>
        <v/>
      </c>
      <c r="AW103" s="17" t="str">
        <f>IFERROR(VLOOKUP(シフト組み!AW133,役職一覧!$B:$D,3,FALSE),"")</f>
        <v/>
      </c>
      <c r="AX103" s="17" t="str">
        <f>IFERROR(VLOOKUP(シフト組み!AX133,役職一覧!$B:$D,3,FALSE),"")</f>
        <v/>
      </c>
      <c r="AY103" s="17" t="str">
        <f>IFERROR(VLOOKUP(シフト組み!AY133,役職一覧!$B:$D,3,FALSE),"")</f>
        <v/>
      </c>
      <c r="AZ103" s="17" t="str">
        <f>IFERROR(VLOOKUP(シフト組み!AZ133,役職一覧!$B:$D,3,FALSE),"")</f>
        <v/>
      </c>
      <c r="BA103" s="17" t="str">
        <f>IFERROR(VLOOKUP(シフト組み!BA133,役職一覧!$B:$D,3,FALSE),"")</f>
        <v/>
      </c>
    </row>
    <row r="104" spans="1:53">
      <c r="A104" s="2" t="str">
        <f>シフト組み!A134&amp;""</f>
        <v/>
      </c>
      <c r="B104" s="2" t="str">
        <f>シフト組み!B134&amp;""</f>
        <v/>
      </c>
      <c r="C104" s="2" t="str">
        <f>シフト組み!C134&amp;""</f>
        <v/>
      </c>
      <c r="D104" s="17" t="str">
        <f>IFERROR(VLOOKUP(シフト組み!D134,役職一覧!$B:$D,2,FALSE),"")</f>
        <v/>
      </c>
      <c r="E104" s="17" t="str">
        <f>IFERROR(VLOOKUP(シフト組み!E134,役職一覧!$B:$D,2,FALSE),"")</f>
        <v/>
      </c>
      <c r="F104" s="17" t="str">
        <f>IFERROR(VLOOKUP(シフト組み!F134,役職一覧!$B:$D,2,FALSE),"")</f>
        <v/>
      </c>
      <c r="G104" s="17" t="str">
        <f>IFERROR(VLOOKUP(シフト組み!G134,役職一覧!$B:$D,2,FALSE),"")</f>
        <v/>
      </c>
      <c r="H104" s="17" t="str">
        <f>IFERROR(VLOOKUP(シフト組み!H134,役職一覧!$B:$D,2,FALSE),"")</f>
        <v/>
      </c>
      <c r="I104" s="17" t="str">
        <f>IFERROR(VLOOKUP(シフト組み!I134,役職一覧!$B:$D,2,FALSE),"")</f>
        <v/>
      </c>
      <c r="J104" s="17" t="str">
        <f>IFERROR(VLOOKUP(シフト組み!J134,役職一覧!$B:$D,2,FALSE),"")</f>
        <v/>
      </c>
      <c r="K104" s="17" t="str">
        <f>IFERROR(VLOOKUP(シフト組み!K134,役職一覧!$B:$D,2,FALSE),"")</f>
        <v/>
      </c>
      <c r="L104" s="17" t="str">
        <f>IFERROR(VLOOKUP(シフト組み!L134,役職一覧!$B:$D,2,FALSE),"")</f>
        <v/>
      </c>
      <c r="M104" s="17" t="str">
        <f>IFERROR(VLOOKUP(シフト組み!M134,役職一覧!$B:$D,2,FALSE),"")</f>
        <v/>
      </c>
      <c r="N104" s="17" t="str">
        <f>IFERROR(VLOOKUP(シフト組み!N134,役職一覧!$B:$D,2,FALSE),"")</f>
        <v/>
      </c>
      <c r="O104" s="17" t="str">
        <f>IFERROR(VLOOKUP(シフト組み!O134,役職一覧!$B:$D,2,FALSE),"")</f>
        <v/>
      </c>
      <c r="P104" s="17" t="str">
        <f>IFERROR(VLOOKUP(シフト組み!P134,役職一覧!$B:$D,2,FALSE),"")</f>
        <v/>
      </c>
      <c r="Q104" s="17" t="str">
        <f>IFERROR(VLOOKUP(シフト組み!Q134,役職一覧!$B:$D,2,FALSE),"")</f>
        <v/>
      </c>
      <c r="R104" s="17" t="str">
        <f>IFERROR(VLOOKUP(シフト組み!R134,役職一覧!$B:$D,2,FALSE),"")</f>
        <v/>
      </c>
      <c r="S104" s="17" t="str">
        <f>IFERROR(VLOOKUP(シフト組み!S134,役職一覧!$B:$D,2,FALSE),"")</f>
        <v/>
      </c>
      <c r="T104" s="17" t="str">
        <f>IFERROR(VLOOKUP(シフト組み!T134,役職一覧!$B:$D,2,FALSE),"")</f>
        <v/>
      </c>
      <c r="U104" s="17" t="str">
        <f>IFERROR(VLOOKUP(シフト組み!U134,役職一覧!$B:$D,2,FALSE),"")</f>
        <v/>
      </c>
      <c r="V104" s="17" t="str">
        <f>IFERROR(VLOOKUP(シフト組み!V134,役職一覧!$B:$D,2,FALSE),"")</f>
        <v/>
      </c>
      <c r="W104" s="17" t="str">
        <f>IFERROR(VLOOKUP(シフト組み!W134,役職一覧!$B:$D,2,FALSE),"")</f>
        <v/>
      </c>
      <c r="X104" s="17" t="str">
        <f>IFERROR(VLOOKUP(シフト組み!X134,役職一覧!$B:$D,2,FALSE),"")</f>
        <v/>
      </c>
      <c r="Y104" s="17" t="str">
        <f>IFERROR(VLOOKUP(シフト組み!Y134,役職一覧!$B:$D,2,FALSE),"")</f>
        <v/>
      </c>
      <c r="Z104" s="17" t="str">
        <f>IFERROR(VLOOKUP(シフト組み!Z134,役職一覧!$B:$D,2,FALSE),"")</f>
        <v/>
      </c>
      <c r="AA104" s="17" t="str">
        <f>IFERROR(VLOOKUP(シフト組み!AA134,役職一覧!$B:$D,2,FALSE),"")</f>
        <v/>
      </c>
      <c r="AB104" s="17" t="str">
        <f>IFERROR(VLOOKUP(シフト組み!AB134,役職一覧!$B:$D,2,FALSE),"")</f>
        <v/>
      </c>
      <c r="AC104" s="17" t="str">
        <f>IFERROR(VLOOKUP(シフト組み!AC134,役職一覧!$B:$D,2,FALSE),"")</f>
        <v/>
      </c>
      <c r="AD104" s="17" t="str">
        <f>IFERROR(VLOOKUP(シフト組み!AD134,役職一覧!$B:$D,2,FALSE),"")</f>
        <v/>
      </c>
      <c r="AE104" s="17" t="str">
        <f>IFERROR(VLOOKUP(シフト組み!AE134,役職一覧!$B:$D,2,FALSE),"")</f>
        <v/>
      </c>
      <c r="AF104" s="17" t="str">
        <f>IFERROR(VLOOKUP(シフト組み!AF134,役職一覧!$B:$D,2,FALSE),"")</f>
        <v/>
      </c>
      <c r="AG104" s="17" t="str">
        <f>IFERROR(VLOOKUP(シフト組み!AG134,役職一覧!$B:$D,2,FALSE),"")</f>
        <v/>
      </c>
      <c r="AH104" s="17" t="str">
        <f>IFERROR(VLOOKUP(シフト組み!AH134,役職一覧!$B:$D,3,FALSE),"")</f>
        <v/>
      </c>
      <c r="AI104" s="17" t="str">
        <f>IFERROR(VLOOKUP(シフト組み!AI134,役職一覧!$B:$D,3,FALSE),"")</f>
        <v/>
      </c>
      <c r="AJ104" s="17" t="str">
        <f>IFERROR(VLOOKUP(シフト組み!AJ134,役職一覧!$B:$D,3,FALSE),"")</f>
        <v/>
      </c>
      <c r="AK104" s="17" t="str">
        <f>IFERROR(VLOOKUP(シフト組み!AK134,役職一覧!$B:$D,3,FALSE),"")</f>
        <v/>
      </c>
      <c r="AL104" s="17" t="str">
        <f>IFERROR(VLOOKUP(シフト組み!AL134,役職一覧!$B:$D,3,FALSE),"")</f>
        <v/>
      </c>
      <c r="AM104" s="17" t="str">
        <f>IFERROR(VLOOKUP(シフト組み!AM134,役職一覧!$B:$D,3,FALSE),"")</f>
        <v/>
      </c>
      <c r="AN104" s="17" t="str">
        <f>IFERROR(VLOOKUP(シフト組み!AN134,役職一覧!$B:$D,3,FALSE),"")</f>
        <v/>
      </c>
      <c r="AO104" s="17" t="str">
        <f>IFERROR(VLOOKUP(シフト組み!AO134,役職一覧!$B:$D,3,FALSE),"")</f>
        <v/>
      </c>
      <c r="AP104" s="17" t="str">
        <f>IFERROR(VLOOKUP(シフト組み!AP134,役職一覧!$B:$D,3,FALSE),"")</f>
        <v/>
      </c>
      <c r="AQ104" s="17" t="str">
        <f>IFERROR(VLOOKUP(シフト組み!AQ134,役職一覧!$B:$D,3,FALSE),"")</f>
        <v/>
      </c>
      <c r="AR104" s="17" t="str">
        <f>IFERROR(VLOOKUP(シフト組み!AR134,役職一覧!$B:$D,3,FALSE),"")</f>
        <v/>
      </c>
      <c r="AS104" s="17" t="str">
        <f>IFERROR(VLOOKUP(シフト組み!AS134,役職一覧!$B:$D,3,FALSE),"")</f>
        <v/>
      </c>
      <c r="AT104" s="17" t="str">
        <f>IFERROR(VLOOKUP(シフト組み!AT134,役職一覧!$B:$D,3,FALSE),"")</f>
        <v/>
      </c>
      <c r="AU104" s="17" t="str">
        <f>IFERROR(VLOOKUP(シフト組み!AU134,役職一覧!$B:$D,3,FALSE),"")</f>
        <v/>
      </c>
      <c r="AV104" s="17" t="str">
        <f>IFERROR(VLOOKUP(シフト組み!AV134,役職一覧!$B:$D,3,FALSE),"")</f>
        <v/>
      </c>
      <c r="AW104" s="17" t="str">
        <f>IFERROR(VLOOKUP(シフト組み!AW134,役職一覧!$B:$D,3,FALSE),"")</f>
        <v/>
      </c>
      <c r="AX104" s="17" t="str">
        <f>IFERROR(VLOOKUP(シフト組み!AX134,役職一覧!$B:$D,3,FALSE),"")</f>
        <v/>
      </c>
      <c r="AY104" s="17" t="str">
        <f>IFERROR(VLOOKUP(シフト組み!AY134,役職一覧!$B:$D,3,FALSE),"")</f>
        <v/>
      </c>
      <c r="AZ104" s="17" t="str">
        <f>IFERROR(VLOOKUP(シフト組み!AZ134,役職一覧!$B:$D,3,FALSE),"")</f>
        <v/>
      </c>
      <c r="BA104" s="17" t="str">
        <f>IFERROR(VLOOKUP(シフト組み!BA134,役職一覧!$B:$D,3,FALSE),"")</f>
        <v/>
      </c>
    </row>
    <row r="105" spans="1:53">
      <c r="A105" s="2" t="str">
        <f>シフト組み!A135&amp;""</f>
        <v/>
      </c>
      <c r="B105" s="2" t="str">
        <f>シフト組み!B135&amp;""</f>
        <v/>
      </c>
      <c r="C105" s="2" t="str">
        <f>シフト組み!C135&amp;""</f>
        <v/>
      </c>
      <c r="D105" s="17" t="str">
        <f>IFERROR(VLOOKUP(シフト組み!D135,役職一覧!$B:$D,2,FALSE),"")</f>
        <v/>
      </c>
      <c r="E105" s="17" t="str">
        <f>IFERROR(VLOOKUP(シフト組み!E135,役職一覧!$B:$D,2,FALSE),"")</f>
        <v/>
      </c>
      <c r="F105" s="17" t="str">
        <f>IFERROR(VLOOKUP(シフト組み!F135,役職一覧!$B:$D,2,FALSE),"")</f>
        <v/>
      </c>
      <c r="G105" s="17" t="str">
        <f>IFERROR(VLOOKUP(シフト組み!G135,役職一覧!$B:$D,2,FALSE),"")</f>
        <v/>
      </c>
      <c r="H105" s="17" t="str">
        <f>IFERROR(VLOOKUP(シフト組み!H135,役職一覧!$B:$D,2,FALSE),"")</f>
        <v/>
      </c>
      <c r="I105" s="17" t="str">
        <f>IFERROR(VLOOKUP(シフト組み!I135,役職一覧!$B:$D,2,FALSE),"")</f>
        <v/>
      </c>
      <c r="J105" s="17" t="str">
        <f>IFERROR(VLOOKUP(シフト組み!J135,役職一覧!$B:$D,2,FALSE),"")</f>
        <v/>
      </c>
      <c r="K105" s="17" t="str">
        <f>IFERROR(VLOOKUP(シフト組み!K135,役職一覧!$B:$D,2,FALSE),"")</f>
        <v/>
      </c>
      <c r="L105" s="17" t="str">
        <f>IFERROR(VLOOKUP(シフト組み!L135,役職一覧!$B:$D,2,FALSE),"")</f>
        <v/>
      </c>
      <c r="M105" s="17" t="str">
        <f>IFERROR(VLOOKUP(シフト組み!M135,役職一覧!$B:$D,2,FALSE),"")</f>
        <v/>
      </c>
      <c r="N105" s="17" t="str">
        <f>IFERROR(VLOOKUP(シフト組み!N135,役職一覧!$B:$D,2,FALSE),"")</f>
        <v/>
      </c>
      <c r="O105" s="17" t="str">
        <f>IFERROR(VLOOKUP(シフト組み!O135,役職一覧!$B:$D,2,FALSE),"")</f>
        <v/>
      </c>
      <c r="P105" s="17" t="str">
        <f>IFERROR(VLOOKUP(シフト組み!P135,役職一覧!$B:$D,2,FALSE),"")</f>
        <v/>
      </c>
      <c r="Q105" s="17" t="str">
        <f>IFERROR(VLOOKUP(シフト組み!Q135,役職一覧!$B:$D,2,FALSE),"")</f>
        <v/>
      </c>
      <c r="R105" s="17" t="str">
        <f>IFERROR(VLOOKUP(シフト組み!R135,役職一覧!$B:$D,2,FALSE),"")</f>
        <v/>
      </c>
      <c r="S105" s="17" t="str">
        <f>IFERROR(VLOOKUP(シフト組み!S135,役職一覧!$B:$D,2,FALSE),"")</f>
        <v/>
      </c>
      <c r="T105" s="17" t="str">
        <f>IFERROR(VLOOKUP(シフト組み!T135,役職一覧!$B:$D,2,FALSE),"")</f>
        <v/>
      </c>
      <c r="U105" s="17" t="str">
        <f>IFERROR(VLOOKUP(シフト組み!U135,役職一覧!$B:$D,2,FALSE),"")</f>
        <v/>
      </c>
      <c r="V105" s="17" t="str">
        <f>IFERROR(VLOOKUP(シフト組み!V135,役職一覧!$B:$D,2,FALSE),"")</f>
        <v/>
      </c>
      <c r="W105" s="17" t="str">
        <f>IFERROR(VLOOKUP(シフト組み!W135,役職一覧!$B:$D,2,FALSE),"")</f>
        <v/>
      </c>
      <c r="X105" s="17" t="str">
        <f>IFERROR(VLOOKUP(シフト組み!X135,役職一覧!$B:$D,2,FALSE),"")</f>
        <v/>
      </c>
      <c r="Y105" s="17" t="str">
        <f>IFERROR(VLOOKUP(シフト組み!Y135,役職一覧!$B:$D,2,FALSE),"")</f>
        <v/>
      </c>
      <c r="Z105" s="17" t="str">
        <f>IFERROR(VLOOKUP(シフト組み!Z135,役職一覧!$B:$D,2,FALSE),"")</f>
        <v/>
      </c>
      <c r="AA105" s="17" t="str">
        <f>IFERROR(VLOOKUP(シフト組み!AA135,役職一覧!$B:$D,2,FALSE),"")</f>
        <v/>
      </c>
      <c r="AB105" s="17" t="str">
        <f>IFERROR(VLOOKUP(シフト組み!AB135,役職一覧!$B:$D,2,FALSE),"")</f>
        <v/>
      </c>
      <c r="AC105" s="17" t="str">
        <f>IFERROR(VLOOKUP(シフト組み!AC135,役職一覧!$B:$D,2,FALSE),"")</f>
        <v/>
      </c>
      <c r="AD105" s="17" t="str">
        <f>IFERROR(VLOOKUP(シフト組み!AD135,役職一覧!$B:$D,2,FALSE),"")</f>
        <v/>
      </c>
      <c r="AE105" s="17" t="str">
        <f>IFERROR(VLOOKUP(シフト組み!AE135,役職一覧!$B:$D,2,FALSE),"")</f>
        <v/>
      </c>
      <c r="AF105" s="17" t="str">
        <f>IFERROR(VLOOKUP(シフト組み!AF135,役職一覧!$B:$D,2,FALSE),"")</f>
        <v/>
      </c>
      <c r="AG105" s="17" t="str">
        <f>IFERROR(VLOOKUP(シフト組み!AG135,役職一覧!$B:$D,2,FALSE),"")</f>
        <v/>
      </c>
      <c r="AH105" s="17" t="str">
        <f>IFERROR(VLOOKUP(シフト組み!AH135,役職一覧!$B:$D,3,FALSE),"")</f>
        <v/>
      </c>
      <c r="AI105" s="17" t="str">
        <f>IFERROR(VLOOKUP(シフト組み!AI135,役職一覧!$B:$D,3,FALSE),"")</f>
        <v/>
      </c>
      <c r="AJ105" s="17" t="str">
        <f>IFERROR(VLOOKUP(シフト組み!AJ135,役職一覧!$B:$D,3,FALSE),"")</f>
        <v/>
      </c>
      <c r="AK105" s="17" t="str">
        <f>IFERROR(VLOOKUP(シフト組み!AK135,役職一覧!$B:$D,3,FALSE),"")</f>
        <v/>
      </c>
      <c r="AL105" s="17" t="str">
        <f>IFERROR(VLOOKUP(シフト組み!AL135,役職一覧!$B:$D,3,FALSE),"")</f>
        <v/>
      </c>
      <c r="AM105" s="17" t="str">
        <f>IFERROR(VLOOKUP(シフト組み!AM135,役職一覧!$B:$D,3,FALSE),"")</f>
        <v/>
      </c>
      <c r="AN105" s="17" t="str">
        <f>IFERROR(VLOOKUP(シフト組み!AN135,役職一覧!$B:$D,3,FALSE),"")</f>
        <v/>
      </c>
      <c r="AO105" s="17" t="str">
        <f>IFERROR(VLOOKUP(シフト組み!AO135,役職一覧!$B:$D,3,FALSE),"")</f>
        <v/>
      </c>
      <c r="AP105" s="17" t="str">
        <f>IFERROR(VLOOKUP(シフト組み!AP135,役職一覧!$B:$D,3,FALSE),"")</f>
        <v/>
      </c>
      <c r="AQ105" s="17" t="str">
        <f>IFERROR(VLOOKUP(シフト組み!AQ135,役職一覧!$B:$D,3,FALSE),"")</f>
        <v/>
      </c>
      <c r="AR105" s="17" t="str">
        <f>IFERROR(VLOOKUP(シフト組み!AR135,役職一覧!$B:$D,3,FALSE),"")</f>
        <v/>
      </c>
      <c r="AS105" s="17" t="str">
        <f>IFERROR(VLOOKUP(シフト組み!AS135,役職一覧!$B:$D,3,FALSE),"")</f>
        <v/>
      </c>
      <c r="AT105" s="17" t="str">
        <f>IFERROR(VLOOKUP(シフト組み!AT135,役職一覧!$B:$D,3,FALSE),"")</f>
        <v/>
      </c>
      <c r="AU105" s="17" t="str">
        <f>IFERROR(VLOOKUP(シフト組み!AU135,役職一覧!$B:$D,3,FALSE),"")</f>
        <v/>
      </c>
      <c r="AV105" s="17" t="str">
        <f>IFERROR(VLOOKUP(シフト組み!AV135,役職一覧!$B:$D,3,FALSE),"")</f>
        <v/>
      </c>
      <c r="AW105" s="17" t="str">
        <f>IFERROR(VLOOKUP(シフト組み!AW135,役職一覧!$B:$D,3,FALSE),"")</f>
        <v/>
      </c>
      <c r="AX105" s="17" t="str">
        <f>IFERROR(VLOOKUP(シフト組み!AX135,役職一覧!$B:$D,3,FALSE),"")</f>
        <v/>
      </c>
      <c r="AY105" s="17" t="str">
        <f>IFERROR(VLOOKUP(シフト組み!AY135,役職一覧!$B:$D,3,FALSE),"")</f>
        <v/>
      </c>
      <c r="AZ105" s="17" t="str">
        <f>IFERROR(VLOOKUP(シフト組み!AZ135,役職一覧!$B:$D,3,FALSE),"")</f>
        <v/>
      </c>
      <c r="BA105" s="17" t="str">
        <f>IFERROR(VLOOKUP(シフト組み!BA135,役職一覧!$B:$D,3,FALSE),"")</f>
        <v/>
      </c>
    </row>
    <row r="106" spans="1:53">
      <c r="A106" s="2" t="str">
        <f>シフト組み!A136&amp;""</f>
        <v/>
      </c>
      <c r="B106" s="2" t="str">
        <f>シフト組み!B136&amp;""</f>
        <v/>
      </c>
      <c r="C106" s="2" t="str">
        <f>シフト組み!C136&amp;""</f>
        <v/>
      </c>
      <c r="D106" s="17" t="str">
        <f>IFERROR(VLOOKUP(シフト組み!D136,役職一覧!$B:$D,2,FALSE),"")</f>
        <v/>
      </c>
      <c r="E106" s="17" t="str">
        <f>IFERROR(VLOOKUP(シフト組み!E136,役職一覧!$B:$D,2,FALSE),"")</f>
        <v/>
      </c>
      <c r="F106" s="17" t="str">
        <f>IFERROR(VLOOKUP(シフト組み!F136,役職一覧!$B:$D,2,FALSE),"")</f>
        <v/>
      </c>
      <c r="G106" s="17" t="str">
        <f>IFERROR(VLOOKUP(シフト組み!G136,役職一覧!$B:$D,2,FALSE),"")</f>
        <v/>
      </c>
      <c r="H106" s="17" t="str">
        <f>IFERROR(VLOOKUP(シフト組み!H136,役職一覧!$B:$D,2,FALSE),"")</f>
        <v/>
      </c>
      <c r="I106" s="17" t="str">
        <f>IFERROR(VLOOKUP(シフト組み!I136,役職一覧!$B:$D,2,FALSE),"")</f>
        <v/>
      </c>
      <c r="J106" s="17" t="str">
        <f>IFERROR(VLOOKUP(シフト組み!J136,役職一覧!$B:$D,2,FALSE),"")</f>
        <v/>
      </c>
      <c r="K106" s="17" t="str">
        <f>IFERROR(VLOOKUP(シフト組み!K136,役職一覧!$B:$D,2,FALSE),"")</f>
        <v/>
      </c>
      <c r="L106" s="17" t="str">
        <f>IFERROR(VLOOKUP(シフト組み!L136,役職一覧!$B:$D,2,FALSE),"")</f>
        <v/>
      </c>
      <c r="M106" s="17" t="str">
        <f>IFERROR(VLOOKUP(シフト組み!M136,役職一覧!$B:$D,2,FALSE),"")</f>
        <v/>
      </c>
      <c r="N106" s="17" t="str">
        <f>IFERROR(VLOOKUP(シフト組み!N136,役職一覧!$B:$D,2,FALSE),"")</f>
        <v/>
      </c>
      <c r="O106" s="17" t="str">
        <f>IFERROR(VLOOKUP(シフト組み!O136,役職一覧!$B:$D,2,FALSE),"")</f>
        <v/>
      </c>
      <c r="P106" s="17" t="str">
        <f>IFERROR(VLOOKUP(シフト組み!P136,役職一覧!$B:$D,2,FALSE),"")</f>
        <v/>
      </c>
      <c r="Q106" s="17" t="str">
        <f>IFERROR(VLOOKUP(シフト組み!Q136,役職一覧!$B:$D,2,FALSE),"")</f>
        <v/>
      </c>
      <c r="R106" s="17" t="str">
        <f>IFERROR(VLOOKUP(シフト組み!R136,役職一覧!$B:$D,2,FALSE),"")</f>
        <v/>
      </c>
      <c r="S106" s="17" t="str">
        <f>IFERROR(VLOOKUP(シフト組み!S136,役職一覧!$B:$D,2,FALSE),"")</f>
        <v/>
      </c>
      <c r="T106" s="17" t="str">
        <f>IFERROR(VLOOKUP(シフト組み!T136,役職一覧!$B:$D,2,FALSE),"")</f>
        <v/>
      </c>
      <c r="U106" s="17" t="str">
        <f>IFERROR(VLOOKUP(シフト組み!U136,役職一覧!$B:$D,2,FALSE),"")</f>
        <v/>
      </c>
      <c r="V106" s="17" t="str">
        <f>IFERROR(VLOOKUP(シフト組み!V136,役職一覧!$B:$D,2,FALSE),"")</f>
        <v/>
      </c>
      <c r="W106" s="17" t="str">
        <f>IFERROR(VLOOKUP(シフト組み!W136,役職一覧!$B:$D,2,FALSE),"")</f>
        <v/>
      </c>
      <c r="X106" s="17" t="str">
        <f>IFERROR(VLOOKUP(シフト組み!X136,役職一覧!$B:$D,2,FALSE),"")</f>
        <v/>
      </c>
      <c r="Y106" s="17" t="str">
        <f>IFERROR(VLOOKUP(シフト組み!Y136,役職一覧!$B:$D,2,FALSE),"")</f>
        <v/>
      </c>
      <c r="Z106" s="17" t="str">
        <f>IFERROR(VLOOKUP(シフト組み!Z136,役職一覧!$B:$D,2,FALSE),"")</f>
        <v/>
      </c>
      <c r="AA106" s="17" t="str">
        <f>IFERROR(VLOOKUP(シフト組み!AA136,役職一覧!$B:$D,2,FALSE),"")</f>
        <v/>
      </c>
      <c r="AB106" s="17" t="str">
        <f>IFERROR(VLOOKUP(シフト組み!AB136,役職一覧!$B:$D,2,FALSE),"")</f>
        <v/>
      </c>
      <c r="AC106" s="17" t="str">
        <f>IFERROR(VLOOKUP(シフト組み!AC136,役職一覧!$B:$D,2,FALSE),"")</f>
        <v/>
      </c>
      <c r="AD106" s="17" t="str">
        <f>IFERROR(VLOOKUP(シフト組み!AD136,役職一覧!$B:$D,2,FALSE),"")</f>
        <v/>
      </c>
      <c r="AE106" s="17" t="str">
        <f>IFERROR(VLOOKUP(シフト組み!AE136,役職一覧!$B:$D,2,FALSE),"")</f>
        <v/>
      </c>
      <c r="AF106" s="17" t="str">
        <f>IFERROR(VLOOKUP(シフト組み!AF136,役職一覧!$B:$D,2,FALSE),"")</f>
        <v/>
      </c>
      <c r="AG106" s="17" t="str">
        <f>IFERROR(VLOOKUP(シフト組み!AG136,役職一覧!$B:$D,2,FALSE),"")</f>
        <v/>
      </c>
      <c r="AH106" s="17" t="str">
        <f>IFERROR(VLOOKUP(シフト組み!AH136,役職一覧!$B:$D,3,FALSE),"")</f>
        <v/>
      </c>
      <c r="AI106" s="17" t="str">
        <f>IFERROR(VLOOKUP(シフト組み!AI136,役職一覧!$B:$D,3,FALSE),"")</f>
        <v/>
      </c>
      <c r="AJ106" s="17" t="str">
        <f>IFERROR(VLOOKUP(シフト組み!AJ136,役職一覧!$B:$D,3,FALSE),"")</f>
        <v/>
      </c>
      <c r="AK106" s="17" t="str">
        <f>IFERROR(VLOOKUP(シフト組み!AK136,役職一覧!$B:$D,3,FALSE),"")</f>
        <v/>
      </c>
      <c r="AL106" s="17" t="str">
        <f>IFERROR(VLOOKUP(シフト組み!AL136,役職一覧!$B:$D,3,FALSE),"")</f>
        <v/>
      </c>
      <c r="AM106" s="17" t="str">
        <f>IFERROR(VLOOKUP(シフト組み!AM136,役職一覧!$B:$D,3,FALSE),"")</f>
        <v/>
      </c>
      <c r="AN106" s="17" t="str">
        <f>IFERROR(VLOOKUP(シフト組み!AN136,役職一覧!$B:$D,3,FALSE),"")</f>
        <v/>
      </c>
      <c r="AO106" s="17" t="str">
        <f>IFERROR(VLOOKUP(シフト組み!AO136,役職一覧!$B:$D,3,FALSE),"")</f>
        <v/>
      </c>
      <c r="AP106" s="17" t="str">
        <f>IFERROR(VLOOKUP(シフト組み!AP136,役職一覧!$B:$D,3,FALSE),"")</f>
        <v/>
      </c>
      <c r="AQ106" s="17" t="str">
        <f>IFERROR(VLOOKUP(シフト組み!AQ136,役職一覧!$B:$D,3,FALSE),"")</f>
        <v/>
      </c>
      <c r="AR106" s="17" t="str">
        <f>IFERROR(VLOOKUP(シフト組み!AR136,役職一覧!$B:$D,3,FALSE),"")</f>
        <v/>
      </c>
      <c r="AS106" s="17" t="str">
        <f>IFERROR(VLOOKUP(シフト組み!AS136,役職一覧!$B:$D,3,FALSE),"")</f>
        <v/>
      </c>
      <c r="AT106" s="17" t="str">
        <f>IFERROR(VLOOKUP(シフト組み!AT136,役職一覧!$B:$D,3,FALSE),"")</f>
        <v/>
      </c>
      <c r="AU106" s="17" t="str">
        <f>IFERROR(VLOOKUP(シフト組み!AU136,役職一覧!$B:$D,3,FALSE),"")</f>
        <v/>
      </c>
      <c r="AV106" s="17" t="str">
        <f>IFERROR(VLOOKUP(シフト組み!AV136,役職一覧!$B:$D,3,FALSE),"")</f>
        <v/>
      </c>
      <c r="AW106" s="17" t="str">
        <f>IFERROR(VLOOKUP(シフト組み!AW136,役職一覧!$B:$D,3,FALSE),"")</f>
        <v/>
      </c>
      <c r="AX106" s="17" t="str">
        <f>IFERROR(VLOOKUP(シフト組み!AX136,役職一覧!$B:$D,3,FALSE),"")</f>
        <v/>
      </c>
      <c r="AY106" s="17" t="str">
        <f>IFERROR(VLOOKUP(シフト組み!AY136,役職一覧!$B:$D,3,FALSE),"")</f>
        <v/>
      </c>
      <c r="AZ106" s="17" t="str">
        <f>IFERROR(VLOOKUP(シフト組み!AZ136,役職一覧!$B:$D,3,FALSE),"")</f>
        <v/>
      </c>
      <c r="BA106" s="17" t="str">
        <f>IFERROR(VLOOKUP(シフト組み!BA136,役職一覧!$B:$D,3,FALSE),"")</f>
        <v/>
      </c>
    </row>
    <row r="107" spans="1:53">
      <c r="A107" s="2" t="str">
        <f>シフト組み!A137&amp;""</f>
        <v/>
      </c>
      <c r="B107" s="2" t="str">
        <f>シフト組み!B137&amp;""</f>
        <v/>
      </c>
      <c r="C107" s="2" t="str">
        <f>シフト組み!C137&amp;""</f>
        <v/>
      </c>
      <c r="D107" s="17" t="str">
        <f>IFERROR(VLOOKUP(シフト組み!D137,役職一覧!$B:$D,2,FALSE),"")</f>
        <v/>
      </c>
      <c r="E107" s="17" t="str">
        <f>IFERROR(VLOOKUP(シフト組み!E137,役職一覧!$B:$D,2,FALSE),"")</f>
        <v/>
      </c>
      <c r="F107" s="17" t="str">
        <f>IFERROR(VLOOKUP(シフト組み!F137,役職一覧!$B:$D,2,FALSE),"")</f>
        <v/>
      </c>
      <c r="G107" s="17" t="str">
        <f>IFERROR(VLOOKUP(シフト組み!G137,役職一覧!$B:$D,2,FALSE),"")</f>
        <v/>
      </c>
      <c r="H107" s="17" t="str">
        <f>IFERROR(VLOOKUP(シフト組み!H137,役職一覧!$B:$D,2,FALSE),"")</f>
        <v/>
      </c>
      <c r="I107" s="17" t="str">
        <f>IFERROR(VLOOKUP(シフト組み!I137,役職一覧!$B:$D,2,FALSE),"")</f>
        <v/>
      </c>
      <c r="J107" s="17" t="str">
        <f>IFERROR(VLOOKUP(シフト組み!J137,役職一覧!$B:$D,2,FALSE),"")</f>
        <v/>
      </c>
      <c r="K107" s="17" t="str">
        <f>IFERROR(VLOOKUP(シフト組み!K137,役職一覧!$B:$D,2,FALSE),"")</f>
        <v/>
      </c>
      <c r="L107" s="17" t="str">
        <f>IFERROR(VLOOKUP(シフト組み!L137,役職一覧!$B:$D,2,FALSE),"")</f>
        <v/>
      </c>
      <c r="M107" s="17" t="str">
        <f>IFERROR(VLOOKUP(シフト組み!M137,役職一覧!$B:$D,2,FALSE),"")</f>
        <v/>
      </c>
      <c r="N107" s="17" t="str">
        <f>IFERROR(VLOOKUP(シフト組み!N137,役職一覧!$B:$D,2,FALSE),"")</f>
        <v/>
      </c>
      <c r="O107" s="17" t="str">
        <f>IFERROR(VLOOKUP(シフト組み!O137,役職一覧!$B:$D,2,FALSE),"")</f>
        <v/>
      </c>
      <c r="P107" s="17" t="str">
        <f>IFERROR(VLOOKUP(シフト組み!P137,役職一覧!$B:$D,2,FALSE),"")</f>
        <v/>
      </c>
      <c r="Q107" s="17" t="str">
        <f>IFERROR(VLOOKUP(シフト組み!Q137,役職一覧!$B:$D,2,FALSE),"")</f>
        <v/>
      </c>
      <c r="R107" s="17" t="str">
        <f>IFERROR(VLOOKUP(シフト組み!R137,役職一覧!$B:$D,2,FALSE),"")</f>
        <v/>
      </c>
      <c r="S107" s="17" t="str">
        <f>IFERROR(VLOOKUP(シフト組み!S137,役職一覧!$B:$D,2,FALSE),"")</f>
        <v/>
      </c>
      <c r="T107" s="17" t="str">
        <f>IFERROR(VLOOKUP(シフト組み!T137,役職一覧!$B:$D,2,FALSE),"")</f>
        <v/>
      </c>
      <c r="U107" s="17" t="str">
        <f>IFERROR(VLOOKUP(シフト組み!U137,役職一覧!$B:$D,2,FALSE),"")</f>
        <v/>
      </c>
      <c r="V107" s="17" t="str">
        <f>IFERROR(VLOOKUP(シフト組み!V137,役職一覧!$B:$D,2,FALSE),"")</f>
        <v/>
      </c>
      <c r="W107" s="17" t="str">
        <f>IFERROR(VLOOKUP(シフト組み!W137,役職一覧!$B:$D,2,FALSE),"")</f>
        <v/>
      </c>
      <c r="X107" s="17" t="str">
        <f>IFERROR(VLOOKUP(シフト組み!X137,役職一覧!$B:$D,2,FALSE),"")</f>
        <v/>
      </c>
      <c r="Y107" s="17" t="str">
        <f>IFERROR(VLOOKUP(シフト組み!Y137,役職一覧!$B:$D,2,FALSE),"")</f>
        <v/>
      </c>
      <c r="Z107" s="17" t="str">
        <f>IFERROR(VLOOKUP(シフト組み!Z137,役職一覧!$B:$D,2,FALSE),"")</f>
        <v/>
      </c>
      <c r="AA107" s="17" t="str">
        <f>IFERROR(VLOOKUP(シフト組み!AA137,役職一覧!$B:$D,2,FALSE),"")</f>
        <v/>
      </c>
      <c r="AB107" s="17" t="str">
        <f>IFERROR(VLOOKUP(シフト組み!AB137,役職一覧!$B:$D,2,FALSE),"")</f>
        <v/>
      </c>
      <c r="AC107" s="17" t="str">
        <f>IFERROR(VLOOKUP(シフト組み!AC137,役職一覧!$B:$D,2,FALSE),"")</f>
        <v/>
      </c>
      <c r="AD107" s="17" t="str">
        <f>IFERROR(VLOOKUP(シフト組み!AD137,役職一覧!$B:$D,2,FALSE),"")</f>
        <v/>
      </c>
      <c r="AE107" s="17" t="str">
        <f>IFERROR(VLOOKUP(シフト組み!AE137,役職一覧!$B:$D,2,FALSE),"")</f>
        <v/>
      </c>
      <c r="AF107" s="17" t="str">
        <f>IFERROR(VLOOKUP(シフト組み!AF137,役職一覧!$B:$D,2,FALSE),"")</f>
        <v/>
      </c>
      <c r="AG107" s="17" t="str">
        <f>IFERROR(VLOOKUP(シフト組み!AG137,役職一覧!$B:$D,2,FALSE),"")</f>
        <v/>
      </c>
      <c r="AH107" s="17" t="str">
        <f>IFERROR(VLOOKUP(シフト組み!AH137,役職一覧!$B:$D,3,FALSE),"")</f>
        <v/>
      </c>
      <c r="AI107" s="17" t="str">
        <f>IFERROR(VLOOKUP(シフト組み!AI137,役職一覧!$B:$D,3,FALSE),"")</f>
        <v/>
      </c>
      <c r="AJ107" s="17" t="str">
        <f>IFERROR(VLOOKUP(シフト組み!AJ137,役職一覧!$B:$D,3,FALSE),"")</f>
        <v/>
      </c>
      <c r="AK107" s="17" t="str">
        <f>IFERROR(VLOOKUP(シフト組み!AK137,役職一覧!$B:$D,3,FALSE),"")</f>
        <v/>
      </c>
      <c r="AL107" s="17" t="str">
        <f>IFERROR(VLOOKUP(シフト組み!AL137,役職一覧!$B:$D,3,FALSE),"")</f>
        <v/>
      </c>
      <c r="AM107" s="17" t="str">
        <f>IFERROR(VLOOKUP(シフト組み!AM137,役職一覧!$B:$D,3,FALSE),"")</f>
        <v/>
      </c>
      <c r="AN107" s="17" t="str">
        <f>IFERROR(VLOOKUP(シフト組み!AN137,役職一覧!$B:$D,3,FALSE),"")</f>
        <v/>
      </c>
      <c r="AO107" s="17" t="str">
        <f>IFERROR(VLOOKUP(シフト組み!AO137,役職一覧!$B:$D,3,FALSE),"")</f>
        <v/>
      </c>
      <c r="AP107" s="17" t="str">
        <f>IFERROR(VLOOKUP(シフト組み!AP137,役職一覧!$B:$D,3,FALSE),"")</f>
        <v/>
      </c>
      <c r="AQ107" s="17" t="str">
        <f>IFERROR(VLOOKUP(シフト組み!AQ137,役職一覧!$B:$D,3,FALSE),"")</f>
        <v/>
      </c>
      <c r="AR107" s="17" t="str">
        <f>IFERROR(VLOOKUP(シフト組み!AR137,役職一覧!$B:$D,3,FALSE),"")</f>
        <v/>
      </c>
      <c r="AS107" s="17" t="str">
        <f>IFERROR(VLOOKUP(シフト組み!AS137,役職一覧!$B:$D,3,FALSE),"")</f>
        <v/>
      </c>
      <c r="AT107" s="17" t="str">
        <f>IFERROR(VLOOKUP(シフト組み!AT137,役職一覧!$B:$D,3,FALSE),"")</f>
        <v/>
      </c>
      <c r="AU107" s="17" t="str">
        <f>IFERROR(VLOOKUP(シフト組み!AU137,役職一覧!$B:$D,3,FALSE),"")</f>
        <v/>
      </c>
      <c r="AV107" s="17" t="str">
        <f>IFERROR(VLOOKUP(シフト組み!AV137,役職一覧!$B:$D,3,FALSE),"")</f>
        <v/>
      </c>
      <c r="AW107" s="17" t="str">
        <f>IFERROR(VLOOKUP(シフト組み!AW137,役職一覧!$B:$D,3,FALSE),"")</f>
        <v/>
      </c>
      <c r="AX107" s="17" t="str">
        <f>IFERROR(VLOOKUP(シフト組み!AX137,役職一覧!$B:$D,3,FALSE),"")</f>
        <v/>
      </c>
      <c r="AY107" s="17" t="str">
        <f>IFERROR(VLOOKUP(シフト組み!AY137,役職一覧!$B:$D,3,FALSE),"")</f>
        <v/>
      </c>
      <c r="AZ107" s="17" t="str">
        <f>IFERROR(VLOOKUP(シフト組み!AZ137,役職一覧!$B:$D,3,FALSE),"")</f>
        <v/>
      </c>
      <c r="BA107" s="17" t="str">
        <f>IFERROR(VLOOKUP(シフト組み!BA137,役職一覧!$B:$D,3,FALSE),"")</f>
        <v/>
      </c>
    </row>
    <row r="108" spans="1:53">
      <c r="A108" s="2" t="str">
        <f>シフト組み!A138&amp;""</f>
        <v/>
      </c>
      <c r="B108" s="2" t="str">
        <f>シフト組み!B138&amp;""</f>
        <v/>
      </c>
      <c r="C108" s="2" t="str">
        <f>シフト組み!C138&amp;""</f>
        <v/>
      </c>
      <c r="D108" s="17" t="str">
        <f>IFERROR(VLOOKUP(シフト組み!D138,役職一覧!$B:$D,2,FALSE),"")</f>
        <v/>
      </c>
      <c r="E108" s="17" t="str">
        <f>IFERROR(VLOOKUP(シフト組み!E138,役職一覧!$B:$D,2,FALSE),"")</f>
        <v/>
      </c>
      <c r="F108" s="17" t="str">
        <f>IFERROR(VLOOKUP(シフト組み!F138,役職一覧!$B:$D,2,FALSE),"")</f>
        <v/>
      </c>
      <c r="G108" s="17" t="str">
        <f>IFERROR(VLOOKUP(シフト組み!G138,役職一覧!$B:$D,2,FALSE),"")</f>
        <v/>
      </c>
      <c r="H108" s="17" t="str">
        <f>IFERROR(VLOOKUP(シフト組み!H138,役職一覧!$B:$D,2,FALSE),"")</f>
        <v/>
      </c>
      <c r="I108" s="17" t="str">
        <f>IFERROR(VLOOKUP(シフト組み!I138,役職一覧!$B:$D,2,FALSE),"")</f>
        <v/>
      </c>
      <c r="J108" s="17" t="str">
        <f>IFERROR(VLOOKUP(シフト組み!J138,役職一覧!$B:$D,2,FALSE),"")</f>
        <v/>
      </c>
      <c r="K108" s="17" t="str">
        <f>IFERROR(VLOOKUP(シフト組み!K138,役職一覧!$B:$D,2,FALSE),"")</f>
        <v/>
      </c>
      <c r="L108" s="17" t="str">
        <f>IFERROR(VLOOKUP(シフト組み!L138,役職一覧!$B:$D,2,FALSE),"")</f>
        <v/>
      </c>
      <c r="M108" s="17" t="str">
        <f>IFERROR(VLOOKUP(シフト組み!M138,役職一覧!$B:$D,2,FALSE),"")</f>
        <v/>
      </c>
      <c r="N108" s="17" t="str">
        <f>IFERROR(VLOOKUP(シフト組み!N138,役職一覧!$B:$D,2,FALSE),"")</f>
        <v/>
      </c>
      <c r="O108" s="17" t="str">
        <f>IFERROR(VLOOKUP(シフト組み!O138,役職一覧!$B:$D,2,FALSE),"")</f>
        <v/>
      </c>
      <c r="P108" s="17" t="str">
        <f>IFERROR(VLOOKUP(シフト組み!P138,役職一覧!$B:$D,2,FALSE),"")</f>
        <v/>
      </c>
      <c r="Q108" s="17" t="str">
        <f>IFERROR(VLOOKUP(シフト組み!Q138,役職一覧!$B:$D,2,FALSE),"")</f>
        <v/>
      </c>
      <c r="R108" s="17" t="str">
        <f>IFERROR(VLOOKUP(シフト組み!R138,役職一覧!$B:$D,2,FALSE),"")</f>
        <v/>
      </c>
      <c r="S108" s="17" t="str">
        <f>IFERROR(VLOOKUP(シフト組み!S138,役職一覧!$B:$D,2,FALSE),"")</f>
        <v/>
      </c>
      <c r="T108" s="17" t="str">
        <f>IFERROR(VLOOKUP(シフト組み!T138,役職一覧!$B:$D,2,FALSE),"")</f>
        <v/>
      </c>
      <c r="U108" s="17" t="str">
        <f>IFERROR(VLOOKUP(シフト組み!U138,役職一覧!$B:$D,2,FALSE),"")</f>
        <v/>
      </c>
      <c r="V108" s="17" t="str">
        <f>IFERROR(VLOOKUP(シフト組み!V138,役職一覧!$B:$D,2,FALSE),"")</f>
        <v/>
      </c>
      <c r="W108" s="17" t="str">
        <f>IFERROR(VLOOKUP(シフト組み!W138,役職一覧!$B:$D,2,FALSE),"")</f>
        <v/>
      </c>
      <c r="X108" s="17" t="str">
        <f>IFERROR(VLOOKUP(シフト組み!X138,役職一覧!$B:$D,2,FALSE),"")</f>
        <v/>
      </c>
      <c r="Y108" s="17" t="str">
        <f>IFERROR(VLOOKUP(シフト組み!Y138,役職一覧!$B:$D,2,FALSE),"")</f>
        <v/>
      </c>
      <c r="Z108" s="17" t="str">
        <f>IFERROR(VLOOKUP(シフト組み!Z138,役職一覧!$B:$D,2,FALSE),"")</f>
        <v/>
      </c>
      <c r="AA108" s="17" t="str">
        <f>IFERROR(VLOOKUP(シフト組み!AA138,役職一覧!$B:$D,2,FALSE),"")</f>
        <v/>
      </c>
      <c r="AB108" s="17" t="str">
        <f>IFERROR(VLOOKUP(シフト組み!AB138,役職一覧!$B:$D,2,FALSE),"")</f>
        <v/>
      </c>
      <c r="AC108" s="17" t="str">
        <f>IFERROR(VLOOKUP(シフト組み!AC138,役職一覧!$B:$D,2,FALSE),"")</f>
        <v/>
      </c>
      <c r="AD108" s="17" t="str">
        <f>IFERROR(VLOOKUP(シフト組み!AD138,役職一覧!$B:$D,2,FALSE),"")</f>
        <v/>
      </c>
      <c r="AE108" s="17" t="str">
        <f>IFERROR(VLOOKUP(シフト組み!AE138,役職一覧!$B:$D,2,FALSE),"")</f>
        <v/>
      </c>
      <c r="AF108" s="17" t="str">
        <f>IFERROR(VLOOKUP(シフト組み!AF138,役職一覧!$B:$D,2,FALSE),"")</f>
        <v/>
      </c>
      <c r="AG108" s="17" t="str">
        <f>IFERROR(VLOOKUP(シフト組み!AG138,役職一覧!$B:$D,2,FALSE),"")</f>
        <v/>
      </c>
      <c r="AH108" s="17" t="str">
        <f>IFERROR(VLOOKUP(シフト組み!AH138,役職一覧!$B:$D,3,FALSE),"")</f>
        <v/>
      </c>
      <c r="AI108" s="17" t="str">
        <f>IFERROR(VLOOKUP(シフト組み!AI138,役職一覧!$B:$D,3,FALSE),"")</f>
        <v/>
      </c>
      <c r="AJ108" s="17" t="str">
        <f>IFERROR(VLOOKUP(シフト組み!AJ138,役職一覧!$B:$D,3,FALSE),"")</f>
        <v/>
      </c>
      <c r="AK108" s="17" t="str">
        <f>IFERROR(VLOOKUP(シフト組み!AK138,役職一覧!$B:$D,3,FALSE),"")</f>
        <v/>
      </c>
      <c r="AL108" s="17" t="str">
        <f>IFERROR(VLOOKUP(シフト組み!AL138,役職一覧!$B:$D,3,FALSE),"")</f>
        <v/>
      </c>
      <c r="AM108" s="17" t="str">
        <f>IFERROR(VLOOKUP(シフト組み!AM138,役職一覧!$B:$D,3,FALSE),"")</f>
        <v/>
      </c>
      <c r="AN108" s="17" t="str">
        <f>IFERROR(VLOOKUP(シフト組み!AN138,役職一覧!$B:$D,3,FALSE),"")</f>
        <v/>
      </c>
      <c r="AO108" s="17" t="str">
        <f>IFERROR(VLOOKUP(シフト組み!AO138,役職一覧!$B:$D,3,FALSE),"")</f>
        <v/>
      </c>
      <c r="AP108" s="17" t="str">
        <f>IFERROR(VLOOKUP(シフト組み!AP138,役職一覧!$B:$D,3,FALSE),"")</f>
        <v/>
      </c>
      <c r="AQ108" s="17" t="str">
        <f>IFERROR(VLOOKUP(シフト組み!AQ138,役職一覧!$B:$D,3,FALSE),"")</f>
        <v/>
      </c>
      <c r="AR108" s="17" t="str">
        <f>IFERROR(VLOOKUP(シフト組み!AR138,役職一覧!$B:$D,3,FALSE),"")</f>
        <v/>
      </c>
      <c r="AS108" s="17" t="str">
        <f>IFERROR(VLOOKUP(シフト組み!AS138,役職一覧!$B:$D,3,FALSE),"")</f>
        <v/>
      </c>
      <c r="AT108" s="17" t="str">
        <f>IFERROR(VLOOKUP(シフト組み!AT138,役職一覧!$B:$D,3,FALSE),"")</f>
        <v/>
      </c>
      <c r="AU108" s="17" t="str">
        <f>IFERROR(VLOOKUP(シフト組み!AU138,役職一覧!$B:$D,3,FALSE),"")</f>
        <v/>
      </c>
      <c r="AV108" s="17" t="str">
        <f>IFERROR(VLOOKUP(シフト組み!AV138,役職一覧!$B:$D,3,FALSE),"")</f>
        <v/>
      </c>
      <c r="AW108" s="17" t="str">
        <f>IFERROR(VLOOKUP(シフト組み!AW138,役職一覧!$B:$D,3,FALSE),"")</f>
        <v/>
      </c>
      <c r="AX108" s="17" t="str">
        <f>IFERROR(VLOOKUP(シフト組み!AX138,役職一覧!$B:$D,3,FALSE),"")</f>
        <v/>
      </c>
      <c r="AY108" s="17" t="str">
        <f>IFERROR(VLOOKUP(シフト組み!AY138,役職一覧!$B:$D,3,FALSE),"")</f>
        <v/>
      </c>
      <c r="AZ108" s="17" t="str">
        <f>IFERROR(VLOOKUP(シフト組み!AZ138,役職一覧!$B:$D,3,FALSE),"")</f>
        <v/>
      </c>
      <c r="BA108" s="17" t="str">
        <f>IFERROR(VLOOKUP(シフト組み!BA138,役職一覧!$B:$D,3,FALSE),"")</f>
        <v/>
      </c>
    </row>
    <row r="109" spans="1:53">
      <c r="A109" s="2" t="str">
        <f>シフト組み!A139&amp;""</f>
        <v/>
      </c>
      <c r="B109" s="2" t="str">
        <f>シフト組み!B139&amp;""</f>
        <v/>
      </c>
      <c r="C109" s="2" t="str">
        <f>シフト組み!C139&amp;""</f>
        <v/>
      </c>
      <c r="D109" s="17" t="str">
        <f>IFERROR(VLOOKUP(シフト組み!D139,役職一覧!$B:$D,2,FALSE),"")</f>
        <v/>
      </c>
      <c r="E109" s="17" t="str">
        <f>IFERROR(VLOOKUP(シフト組み!E139,役職一覧!$B:$D,2,FALSE),"")</f>
        <v/>
      </c>
      <c r="F109" s="17" t="str">
        <f>IFERROR(VLOOKUP(シフト組み!F139,役職一覧!$B:$D,2,FALSE),"")</f>
        <v/>
      </c>
      <c r="G109" s="17" t="str">
        <f>IFERROR(VLOOKUP(シフト組み!G139,役職一覧!$B:$D,2,FALSE),"")</f>
        <v/>
      </c>
      <c r="H109" s="17" t="str">
        <f>IFERROR(VLOOKUP(シフト組み!H139,役職一覧!$B:$D,2,FALSE),"")</f>
        <v/>
      </c>
      <c r="I109" s="17" t="str">
        <f>IFERROR(VLOOKUP(シフト組み!I139,役職一覧!$B:$D,2,FALSE),"")</f>
        <v/>
      </c>
      <c r="J109" s="17" t="str">
        <f>IFERROR(VLOOKUP(シフト組み!J139,役職一覧!$B:$D,2,FALSE),"")</f>
        <v/>
      </c>
      <c r="K109" s="17" t="str">
        <f>IFERROR(VLOOKUP(シフト組み!K139,役職一覧!$B:$D,2,FALSE),"")</f>
        <v/>
      </c>
      <c r="L109" s="17" t="str">
        <f>IFERROR(VLOOKUP(シフト組み!L139,役職一覧!$B:$D,2,FALSE),"")</f>
        <v/>
      </c>
      <c r="M109" s="17" t="str">
        <f>IFERROR(VLOOKUP(シフト組み!M139,役職一覧!$B:$D,2,FALSE),"")</f>
        <v/>
      </c>
      <c r="N109" s="17" t="str">
        <f>IFERROR(VLOOKUP(シフト組み!N139,役職一覧!$B:$D,2,FALSE),"")</f>
        <v/>
      </c>
      <c r="O109" s="17" t="str">
        <f>IFERROR(VLOOKUP(シフト組み!O139,役職一覧!$B:$D,2,FALSE),"")</f>
        <v/>
      </c>
      <c r="P109" s="17" t="str">
        <f>IFERROR(VLOOKUP(シフト組み!P139,役職一覧!$B:$D,2,FALSE),"")</f>
        <v/>
      </c>
      <c r="Q109" s="17" t="str">
        <f>IFERROR(VLOOKUP(シフト組み!Q139,役職一覧!$B:$D,2,FALSE),"")</f>
        <v/>
      </c>
      <c r="R109" s="17" t="str">
        <f>IFERROR(VLOOKUP(シフト組み!R139,役職一覧!$B:$D,2,FALSE),"")</f>
        <v/>
      </c>
      <c r="S109" s="17" t="str">
        <f>IFERROR(VLOOKUP(シフト組み!S139,役職一覧!$B:$D,2,FALSE),"")</f>
        <v/>
      </c>
      <c r="T109" s="17" t="str">
        <f>IFERROR(VLOOKUP(シフト組み!T139,役職一覧!$B:$D,2,FALSE),"")</f>
        <v/>
      </c>
      <c r="U109" s="17" t="str">
        <f>IFERROR(VLOOKUP(シフト組み!U139,役職一覧!$B:$D,2,FALSE),"")</f>
        <v/>
      </c>
      <c r="V109" s="17" t="str">
        <f>IFERROR(VLOOKUP(シフト組み!V139,役職一覧!$B:$D,2,FALSE),"")</f>
        <v/>
      </c>
      <c r="W109" s="17" t="str">
        <f>IFERROR(VLOOKUP(シフト組み!W139,役職一覧!$B:$D,2,FALSE),"")</f>
        <v/>
      </c>
      <c r="X109" s="17" t="str">
        <f>IFERROR(VLOOKUP(シフト組み!X139,役職一覧!$B:$D,2,FALSE),"")</f>
        <v/>
      </c>
      <c r="Y109" s="17" t="str">
        <f>IFERROR(VLOOKUP(シフト組み!Y139,役職一覧!$B:$D,2,FALSE),"")</f>
        <v/>
      </c>
      <c r="Z109" s="17" t="str">
        <f>IFERROR(VLOOKUP(シフト組み!Z139,役職一覧!$B:$D,2,FALSE),"")</f>
        <v/>
      </c>
      <c r="AA109" s="17" t="str">
        <f>IFERROR(VLOOKUP(シフト組み!AA139,役職一覧!$B:$D,2,FALSE),"")</f>
        <v/>
      </c>
      <c r="AB109" s="17" t="str">
        <f>IFERROR(VLOOKUP(シフト組み!AB139,役職一覧!$B:$D,2,FALSE),"")</f>
        <v/>
      </c>
      <c r="AC109" s="17" t="str">
        <f>IFERROR(VLOOKUP(シフト組み!AC139,役職一覧!$B:$D,2,FALSE),"")</f>
        <v/>
      </c>
      <c r="AD109" s="17" t="str">
        <f>IFERROR(VLOOKUP(シフト組み!AD139,役職一覧!$B:$D,2,FALSE),"")</f>
        <v/>
      </c>
      <c r="AE109" s="17" t="str">
        <f>IFERROR(VLOOKUP(シフト組み!AE139,役職一覧!$B:$D,2,FALSE),"")</f>
        <v/>
      </c>
      <c r="AF109" s="17" t="str">
        <f>IFERROR(VLOOKUP(シフト組み!AF139,役職一覧!$B:$D,2,FALSE),"")</f>
        <v/>
      </c>
      <c r="AG109" s="17" t="str">
        <f>IFERROR(VLOOKUP(シフト組み!AG139,役職一覧!$B:$D,2,FALSE),"")</f>
        <v/>
      </c>
      <c r="AH109" s="17" t="str">
        <f>IFERROR(VLOOKUP(シフト組み!AH139,役職一覧!$B:$D,3,FALSE),"")</f>
        <v/>
      </c>
      <c r="AI109" s="17" t="str">
        <f>IFERROR(VLOOKUP(シフト組み!AI139,役職一覧!$B:$D,3,FALSE),"")</f>
        <v/>
      </c>
      <c r="AJ109" s="17" t="str">
        <f>IFERROR(VLOOKUP(シフト組み!AJ139,役職一覧!$B:$D,3,FALSE),"")</f>
        <v/>
      </c>
      <c r="AK109" s="17" t="str">
        <f>IFERROR(VLOOKUP(シフト組み!AK139,役職一覧!$B:$D,3,FALSE),"")</f>
        <v/>
      </c>
      <c r="AL109" s="17" t="str">
        <f>IFERROR(VLOOKUP(シフト組み!AL139,役職一覧!$B:$D,3,FALSE),"")</f>
        <v/>
      </c>
      <c r="AM109" s="17" t="str">
        <f>IFERROR(VLOOKUP(シフト組み!AM139,役職一覧!$B:$D,3,FALSE),"")</f>
        <v/>
      </c>
      <c r="AN109" s="17" t="str">
        <f>IFERROR(VLOOKUP(シフト組み!AN139,役職一覧!$B:$D,3,FALSE),"")</f>
        <v/>
      </c>
      <c r="AO109" s="17" t="str">
        <f>IFERROR(VLOOKUP(シフト組み!AO139,役職一覧!$B:$D,3,FALSE),"")</f>
        <v/>
      </c>
      <c r="AP109" s="17" t="str">
        <f>IFERROR(VLOOKUP(シフト組み!AP139,役職一覧!$B:$D,3,FALSE),"")</f>
        <v/>
      </c>
      <c r="AQ109" s="17" t="str">
        <f>IFERROR(VLOOKUP(シフト組み!AQ139,役職一覧!$B:$D,3,FALSE),"")</f>
        <v/>
      </c>
      <c r="AR109" s="17" t="str">
        <f>IFERROR(VLOOKUP(シフト組み!AR139,役職一覧!$B:$D,3,FALSE),"")</f>
        <v/>
      </c>
      <c r="AS109" s="17" t="str">
        <f>IFERROR(VLOOKUP(シフト組み!AS139,役職一覧!$B:$D,3,FALSE),"")</f>
        <v/>
      </c>
      <c r="AT109" s="17" t="str">
        <f>IFERROR(VLOOKUP(シフト組み!AT139,役職一覧!$B:$D,3,FALSE),"")</f>
        <v/>
      </c>
      <c r="AU109" s="17" t="str">
        <f>IFERROR(VLOOKUP(シフト組み!AU139,役職一覧!$B:$D,3,FALSE),"")</f>
        <v/>
      </c>
      <c r="AV109" s="17" t="str">
        <f>IFERROR(VLOOKUP(シフト組み!AV139,役職一覧!$B:$D,3,FALSE),"")</f>
        <v/>
      </c>
      <c r="AW109" s="17" t="str">
        <f>IFERROR(VLOOKUP(シフト組み!AW139,役職一覧!$B:$D,3,FALSE),"")</f>
        <v/>
      </c>
      <c r="AX109" s="17" t="str">
        <f>IFERROR(VLOOKUP(シフト組み!AX139,役職一覧!$B:$D,3,FALSE),"")</f>
        <v/>
      </c>
      <c r="AY109" s="17" t="str">
        <f>IFERROR(VLOOKUP(シフト組み!AY139,役職一覧!$B:$D,3,FALSE),"")</f>
        <v/>
      </c>
      <c r="AZ109" s="17" t="str">
        <f>IFERROR(VLOOKUP(シフト組み!AZ139,役職一覧!$B:$D,3,FALSE),"")</f>
        <v/>
      </c>
      <c r="BA109" s="17" t="str">
        <f>IFERROR(VLOOKUP(シフト組み!BA139,役職一覧!$B:$D,3,FALSE),"")</f>
        <v/>
      </c>
    </row>
    <row r="110" spans="1:53">
      <c r="A110" s="2" t="str">
        <f>シフト組み!A140&amp;""</f>
        <v/>
      </c>
      <c r="B110" s="2" t="str">
        <f>シフト組み!B140&amp;""</f>
        <v/>
      </c>
      <c r="C110" s="2" t="str">
        <f>シフト組み!C140&amp;""</f>
        <v/>
      </c>
      <c r="D110" s="17" t="str">
        <f>IFERROR(VLOOKUP(シフト組み!D140,役職一覧!$B:$D,2,FALSE),"")</f>
        <v/>
      </c>
      <c r="E110" s="17" t="str">
        <f>IFERROR(VLOOKUP(シフト組み!E140,役職一覧!$B:$D,2,FALSE),"")</f>
        <v/>
      </c>
      <c r="F110" s="17" t="str">
        <f>IFERROR(VLOOKUP(シフト組み!F140,役職一覧!$B:$D,2,FALSE),"")</f>
        <v/>
      </c>
      <c r="G110" s="17" t="str">
        <f>IFERROR(VLOOKUP(シフト組み!G140,役職一覧!$B:$D,2,FALSE),"")</f>
        <v/>
      </c>
      <c r="H110" s="17" t="str">
        <f>IFERROR(VLOOKUP(シフト組み!H140,役職一覧!$B:$D,2,FALSE),"")</f>
        <v/>
      </c>
      <c r="I110" s="17" t="str">
        <f>IFERROR(VLOOKUP(シフト組み!I140,役職一覧!$B:$D,2,FALSE),"")</f>
        <v/>
      </c>
      <c r="J110" s="17" t="str">
        <f>IFERROR(VLOOKUP(シフト組み!J140,役職一覧!$B:$D,2,FALSE),"")</f>
        <v/>
      </c>
      <c r="K110" s="17" t="str">
        <f>IFERROR(VLOOKUP(シフト組み!K140,役職一覧!$B:$D,2,FALSE),"")</f>
        <v/>
      </c>
      <c r="L110" s="17" t="str">
        <f>IFERROR(VLOOKUP(シフト組み!L140,役職一覧!$B:$D,2,FALSE),"")</f>
        <v/>
      </c>
      <c r="M110" s="17" t="str">
        <f>IFERROR(VLOOKUP(シフト組み!M140,役職一覧!$B:$D,2,FALSE),"")</f>
        <v/>
      </c>
      <c r="N110" s="17" t="str">
        <f>IFERROR(VLOOKUP(シフト組み!N140,役職一覧!$B:$D,2,FALSE),"")</f>
        <v/>
      </c>
      <c r="O110" s="17" t="str">
        <f>IFERROR(VLOOKUP(シフト組み!O140,役職一覧!$B:$D,2,FALSE),"")</f>
        <v/>
      </c>
      <c r="P110" s="17" t="str">
        <f>IFERROR(VLOOKUP(シフト組み!P140,役職一覧!$B:$D,2,FALSE),"")</f>
        <v/>
      </c>
      <c r="Q110" s="17" t="str">
        <f>IFERROR(VLOOKUP(シフト組み!Q140,役職一覧!$B:$D,2,FALSE),"")</f>
        <v/>
      </c>
      <c r="R110" s="17" t="str">
        <f>IFERROR(VLOOKUP(シフト組み!R140,役職一覧!$B:$D,2,FALSE),"")</f>
        <v/>
      </c>
      <c r="S110" s="17" t="str">
        <f>IFERROR(VLOOKUP(シフト組み!S140,役職一覧!$B:$D,2,FALSE),"")</f>
        <v/>
      </c>
      <c r="T110" s="17" t="str">
        <f>IFERROR(VLOOKUP(シフト組み!T140,役職一覧!$B:$D,2,FALSE),"")</f>
        <v/>
      </c>
      <c r="U110" s="17" t="str">
        <f>IFERROR(VLOOKUP(シフト組み!U140,役職一覧!$B:$D,2,FALSE),"")</f>
        <v/>
      </c>
      <c r="V110" s="17" t="str">
        <f>IFERROR(VLOOKUP(シフト組み!V140,役職一覧!$B:$D,2,FALSE),"")</f>
        <v/>
      </c>
      <c r="W110" s="17" t="str">
        <f>IFERROR(VLOOKUP(シフト組み!W140,役職一覧!$B:$D,2,FALSE),"")</f>
        <v/>
      </c>
      <c r="X110" s="17" t="str">
        <f>IFERROR(VLOOKUP(シフト組み!X140,役職一覧!$B:$D,2,FALSE),"")</f>
        <v/>
      </c>
      <c r="Y110" s="17" t="str">
        <f>IFERROR(VLOOKUP(シフト組み!Y140,役職一覧!$B:$D,2,FALSE),"")</f>
        <v/>
      </c>
      <c r="Z110" s="17" t="str">
        <f>IFERROR(VLOOKUP(シフト組み!Z140,役職一覧!$B:$D,2,FALSE),"")</f>
        <v/>
      </c>
      <c r="AA110" s="17" t="str">
        <f>IFERROR(VLOOKUP(シフト組み!AA140,役職一覧!$B:$D,2,FALSE),"")</f>
        <v/>
      </c>
      <c r="AB110" s="17" t="str">
        <f>IFERROR(VLOOKUP(シフト組み!AB140,役職一覧!$B:$D,2,FALSE),"")</f>
        <v/>
      </c>
      <c r="AC110" s="17" t="str">
        <f>IFERROR(VLOOKUP(シフト組み!AC140,役職一覧!$B:$D,2,FALSE),"")</f>
        <v/>
      </c>
      <c r="AD110" s="17" t="str">
        <f>IFERROR(VLOOKUP(シフト組み!AD140,役職一覧!$B:$D,2,FALSE),"")</f>
        <v/>
      </c>
      <c r="AE110" s="17" t="str">
        <f>IFERROR(VLOOKUP(シフト組み!AE140,役職一覧!$B:$D,2,FALSE),"")</f>
        <v/>
      </c>
      <c r="AF110" s="17" t="str">
        <f>IFERROR(VLOOKUP(シフト組み!AF140,役職一覧!$B:$D,2,FALSE),"")</f>
        <v/>
      </c>
      <c r="AG110" s="17" t="str">
        <f>IFERROR(VLOOKUP(シフト組み!AG140,役職一覧!$B:$D,2,FALSE),"")</f>
        <v/>
      </c>
      <c r="AH110" s="17" t="str">
        <f>IFERROR(VLOOKUP(シフト組み!AH140,役職一覧!$B:$D,3,FALSE),"")</f>
        <v/>
      </c>
      <c r="AI110" s="17" t="str">
        <f>IFERROR(VLOOKUP(シフト組み!AI140,役職一覧!$B:$D,3,FALSE),"")</f>
        <v/>
      </c>
      <c r="AJ110" s="17" t="str">
        <f>IFERROR(VLOOKUP(シフト組み!AJ140,役職一覧!$B:$D,3,FALSE),"")</f>
        <v/>
      </c>
      <c r="AK110" s="17" t="str">
        <f>IFERROR(VLOOKUP(シフト組み!AK140,役職一覧!$B:$D,3,FALSE),"")</f>
        <v/>
      </c>
      <c r="AL110" s="17" t="str">
        <f>IFERROR(VLOOKUP(シフト組み!AL140,役職一覧!$B:$D,3,FALSE),"")</f>
        <v/>
      </c>
      <c r="AM110" s="17" t="str">
        <f>IFERROR(VLOOKUP(シフト組み!AM140,役職一覧!$B:$D,3,FALSE),"")</f>
        <v/>
      </c>
      <c r="AN110" s="17" t="str">
        <f>IFERROR(VLOOKUP(シフト組み!AN140,役職一覧!$B:$D,3,FALSE),"")</f>
        <v/>
      </c>
      <c r="AO110" s="17" t="str">
        <f>IFERROR(VLOOKUP(シフト組み!AO140,役職一覧!$B:$D,3,FALSE),"")</f>
        <v/>
      </c>
      <c r="AP110" s="17" t="str">
        <f>IFERROR(VLOOKUP(シフト組み!AP140,役職一覧!$B:$D,3,FALSE),"")</f>
        <v/>
      </c>
      <c r="AQ110" s="17" t="str">
        <f>IFERROR(VLOOKUP(シフト組み!AQ140,役職一覧!$B:$D,3,FALSE),"")</f>
        <v/>
      </c>
      <c r="AR110" s="17" t="str">
        <f>IFERROR(VLOOKUP(シフト組み!AR140,役職一覧!$B:$D,3,FALSE),"")</f>
        <v/>
      </c>
      <c r="AS110" s="17" t="str">
        <f>IFERROR(VLOOKUP(シフト組み!AS140,役職一覧!$B:$D,3,FALSE),"")</f>
        <v/>
      </c>
      <c r="AT110" s="17" t="str">
        <f>IFERROR(VLOOKUP(シフト組み!AT140,役職一覧!$B:$D,3,FALSE),"")</f>
        <v/>
      </c>
      <c r="AU110" s="17" t="str">
        <f>IFERROR(VLOOKUP(シフト組み!AU140,役職一覧!$B:$D,3,FALSE),"")</f>
        <v/>
      </c>
      <c r="AV110" s="17" t="str">
        <f>IFERROR(VLOOKUP(シフト組み!AV140,役職一覧!$B:$D,3,FALSE),"")</f>
        <v/>
      </c>
      <c r="AW110" s="17" t="str">
        <f>IFERROR(VLOOKUP(シフト組み!AW140,役職一覧!$B:$D,3,FALSE),"")</f>
        <v/>
      </c>
      <c r="AX110" s="17" t="str">
        <f>IFERROR(VLOOKUP(シフト組み!AX140,役職一覧!$B:$D,3,FALSE),"")</f>
        <v/>
      </c>
      <c r="AY110" s="17" t="str">
        <f>IFERROR(VLOOKUP(シフト組み!AY140,役職一覧!$B:$D,3,FALSE),"")</f>
        <v/>
      </c>
      <c r="AZ110" s="17" t="str">
        <f>IFERROR(VLOOKUP(シフト組み!AZ140,役職一覧!$B:$D,3,FALSE),"")</f>
        <v/>
      </c>
      <c r="BA110" s="17" t="str">
        <f>IFERROR(VLOOKUP(シフト組み!BA140,役職一覧!$B:$D,3,FALSE),"")</f>
        <v/>
      </c>
    </row>
    <row r="111" spans="1:53">
      <c r="A111" s="2" t="str">
        <f>シフト組み!A141&amp;""</f>
        <v/>
      </c>
      <c r="B111" s="2" t="str">
        <f>シフト組み!B141&amp;""</f>
        <v/>
      </c>
      <c r="C111" s="2" t="str">
        <f>シフト組み!C141&amp;""</f>
        <v/>
      </c>
      <c r="D111" s="17" t="str">
        <f>IFERROR(VLOOKUP(シフト組み!D141,役職一覧!$B:$D,2,FALSE),"")</f>
        <v/>
      </c>
      <c r="E111" s="17" t="str">
        <f>IFERROR(VLOOKUP(シフト組み!E141,役職一覧!$B:$D,2,FALSE),"")</f>
        <v/>
      </c>
      <c r="F111" s="17" t="str">
        <f>IFERROR(VLOOKUP(シフト組み!F141,役職一覧!$B:$D,2,FALSE),"")</f>
        <v/>
      </c>
      <c r="G111" s="17" t="str">
        <f>IFERROR(VLOOKUP(シフト組み!G141,役職一覧!$B:$D,2,FALSE),"")</f>
        <v/>
      </c>
      <c r="H111" s="17" t="str">
        <f>IFERROR(VLOOKUP(シフト組み!H141,役職一覧!$B:$D,2,FALSE),"")</f>
        <v/>
      </c>
      <c r="I111" s="17" t="str">
        <f>IFERROR(VLOOKUP(シフト組み!I141,役職一覧!$B:$D,2,FALSE),"")</f>
        <v/>
      </c>
      <c r="J111" s="17" t="str">
        <f>IFERROR(VLOOKUP(シフト組み!J141,役職一覧!$B:$D,2,FALSE),"")</f>
        <v/>
      </c>
      <c r="K111" s="17" t="str">
        <f>IFERROR(VLOOKUP(シフト組み!K141,役職一覧!$B:$D,2,FALSE),"")</f>
        <v/>
      </c>
      <c r="L111" s="17" t="str">
        <f>IFERROR(VLOOKUP(シフト組み!L141,役職一覧!$B:$D,2,FALSE),"")</f>
        <v/>
      </c>
      <c r="M111" s="17" t="str">
        <f>IFERROR(VLOOKUP(シフト組み!M141,役職一覧!$B:$D,2,FALSE),"")</f>
        <v/>
      </c>
      <c r="N111" s="17" t="str">
        <f>IFERROR(VLOOKUP(シフト組み!N141,役職一覧!$B:$D,2,FALSE),"")</f>
        <v/>
      </c>
      <c r="O111" s="17" t="str">
        <f>IFERROR(VLOOKUP(シフト組み!O141,役職一覧!$B:$D,2,FALSE),"")</f>
        <v/>
      </c>
      <c r="P111" s="17" t="str">
        <f>IFERROR(VLOOKUP(シフト組み!P141,役職一覧!$B:$D,2,FALSE),"")</f>
        <v/>
      </c>
      <c r="Q111" s="17" t="str">
        <f>IFERROR(VLOOKUP(シフト組み!Q141,役職一覧!$B:$D,2,FALSE),"")</f>
        <v/>
      </c>
      <c r="R111" s="17" t="str">
        <f>IFERROR(VLOOKUP(シフト組み!R141,役職一覧!$B:$D,2,FALSE),"")</f>
        <v/>
      </c>
      <c r="S111" s="17" t="str">
        <f>IFERROR(VLOOKUP(シフト組み!S141,役職一覧!$B:$D,2,FALSE),"")</f>
        <v/>
      </c>
      <c r="T111" s="17" t="str">
        <f>IFERROR(VLOOKUP(シフト組み!T141,役職一覧!$B:$D,2,FALSE),"")</f>
        <v/>
      </c>
      <c r="U111" s="17" t="str">
        <f>IFERROR(VLOOKUP(シフト組み!U141,役職一覧!$B:$D,2,FALSE),"")</f>
        <v/>
      </c>
      <c r="V111" s="17" t="str">
        <f>IFERROR(VLOOKUP(シフト組み!V141,役職一覧!$B:$D,2,FALSE),"")</f>
        <v/>
      </c>
      <c r="W111" s="17" t="str">
        <f>IFERROR(VLOOKUP(シフト組み!W141,役職一覧!$B:$D,2,FALSE),"")</f>
        <v/>
      </c>
      <c r="X111" s="17" t="str">
        <f>IFERROR(VLOOKUP(シフト組み!X141,役職一覧!$B:$D,2,FALSE),"")</f>
        <v/>
      </c>
      <c r="Y111" s="17" t="str">
        <f>IFERROR(VLOOKUP(シフト組み!Y141,役職一覧!$B:$D,2,FALSE),"")</f>
        <v/>
      </c>
      <c r="Z111" s="17" t="str">
        <f>IFERROR(VLOOKUP(シフト組み!Z141,役職一覧!$B:$D,2,FALSE),"")</f>
        <v/>
      </c>
      <c r="AA111" s="17" t="str">
        <f>IFERROR(VLOOKUP(シフト組み!AA141,役職一覧!$B:$D,2,FALSE),"")</f>
        <v/>
      </c>
      <c r="AB111" s="17" t="str">
        <f>IFERROR(VLOOKUP(シフト組み!AB141,役職一覧!$B:$D,2,FALSE),"")</f>
        <v/>
      </c>
      <c r="AC111" s="17" t="str">
        <f>IFERROR(VLOOKUP(シフト組み!AC141,役職一覧!$B:$D,2,FALSE),"")</f>
        <v/>
      </c>
      <c r="AD111" s="17" t="str">
        <f>IFERROR(VLOOKUP(シフト組み!AD141,役職一覧!$B:$D,2,FALSE),"")</f>
        <v/>
      </c>
      <c r="AE111" s="17" t="str">
        <f>IFERROR(VLOOKUP(シフト組み!AE141,役職一覧!$B:$D,2,FALSE),"")</f>
        <v/>
      </c>
      <c r="AF111" s="17" t="str">
        <f>IFERROR(VLOOKUP(シフト組み!AF141,役職一覧!$B:$D,2,FALSE),"")</f>
        <v/>
      </c>
      <c r="AG111" s="17" t="str">
        <f>IFERROR(VLOOKUP(シフト組み!AG141,役職一覧!$B:$D,2,FALSE),"")</f>
        <v/>
      </c>
      <c r="AH111" s="17" t="str">
        <f>IFERROR(VLOOKUP(シフト組み!AH141,役職一覧!$B:$D,3,FALSE),"")</f>
        <v/>
      </c>
      <c r="AI111" s="17" t="str">
        <f>IFERROR(VLOOKUP(シフト組み!AI141,役職一覧!$B:$D,3,FALSE),"")</f>
        <v/>
      </c>
      <c r="AJ111" s="17" t="str">
        <f>IFERROR(VLOOKUP(シフト組み!AJ141,役職一覧!$B:$D,3,FALSE),"")</f>
        <v/>
      </c>
      <c r="AK111" s="17" t="str">
        <f>IFERROR(VLOOKUP(シフト組み!AK141,役職一覧!$B:$D,3,FALSE),"")</f>
        <v/>
      </c>
      <c r="AL111" s="17" t="str">
        <f>IFERROR(VLOOKUP(シフト組み!AL141,役職一覧!$B:$D,3,FALSE),"")</f>
        <v/>
      </c>
      <c r="AM111" s="17" t="str">
        <f>IFERROR(VLOOKUP(シフト組み!AM141,役職一覧!$B:$D,3,FALSE),"")</f>
        <v/>
      </c>
      <c r="AN111" s="17" t="str">
        <f>IFERROR(VLOOKUP(シフト組み!AN141,役職一覧!$B:$D,3,FALSE),"")</f>
        <v/>
      </c>
      <c r="AO111" s="17" t="str">
        <f>IFERROR(VLOOKUP(シフト組み!AO141,役職一覧!$B:$D,3,FALSE),"")</f>
        <v/>
      </c>
      <c r="AP111" s="17" t="str">
        <f>IFERROR(VLOOKUP(シフト組み!AP141,役職一覧!$B:$D,3,FALSE),"")</f>
        <v/>
      </c>
      <c r="AQ111" s="17" t="str">
        <f>IFERROR(VLOOKUP(シフト組み!AQ141,役職一覧!$B:$D,3,FALSE),"")</f>
        <v/>
      </c>
      <c r="AR111" s="17" t="str">
        <f>IFERROR(VLOOKUP(シフト組み!AR141,役職一覧!$B:$D,3,FALSE),"")</f>
        <v/>
      </c>
      <c r="AS111" s="17" t="str">
        <f>IFERROR(VLOOKUP(シフト組み!AS141,役職一覧!$B:$D,3,FALSE),"")</f>
        <v/>
      </c>
      <c r="AT111" s="17" t="str">
        <f>IFERROR(VLOOKUP(シフト組み!AT141,役職一覧!$B:$D,3,FALSE),"")</f>
        <v/>
      </c>
      <c r="AU111" s="17" t="str">
        <f>IFERROR(VLOOKUP(シフト組み!AU141,役職一覧!$B:$D,3,FALSE),"")</f>
        <v/>
      </c>
      <c r="AV111" s="17" t="str">
        <f>IFERROR(VLOOKUP(シフト組み!AV141,役職一覧!$B:$D,3,FALSE),"")</f>
        <v/>
      </c>
      <c r="AW111" s="17" t="str">
        <f>IFERROR(VLOOKUP(シフト組み!AW141,役職一覧!$B:$D,3,FALSE),"")</f>
        <v/>
      </c>
      <c r="AX111" s="17" t="str">
        <f>IFERROR(VLOOKUP(シフト組み!AX141,役職一覧!$B:$D,3,FALSE),"")</f>
        <v/>
      </c>
      <c r="AY111" s="17" t="str">
        <f>IFERROR(VLOOKUP(シフト組み!AY141,役職一覧!$B:$D,3,FALSE),"")</f>
        <v/>
      </c>
      <c r="AZ111" s="17" t="str">
        <f>IFERROR(VLOOKUP(シフト組み!AZ141,役職一覧!$B:$D,3,FALSE),"")</f>
        <v/>
      </c>
      <c r="BA111" s="17" t="str">
        <f>IFERROR(VLOOKUP(シフト組み!BA141,役職一覧!$B:$D,3,FALSE),"")</f>
        <v/>
      </c>
    </row>
    <row r="112" spans="1:53">
      <c r="A112" s="2" t="str">
        <f>シフト組み!A142&amp;""</f>
        <v/>
      </c>
      <c r="B112" s="2" t="str">
        <f>シフト組み!B142&amp;""</f>
        <v/>
      </c>
      <c r="C112" s="2" t="str">
        <f>シフト組み!C142&amp;""</f>
        <v/>
      </c>
      <c r="D112" s="17" t="str">
        <f>IFERROR(VLOOKUP(シフト組み!D142,役職一覧!$B:$D,2,FALSE),"")</f>
        <v/>
      </c>
      <c r="E112" s="17" t="str">
        <f>IFERROR(VLOOKUP(シフト組み!E142,役職一覧!$B:$D,2,FALSE),"")</f>
        <v/>
      </c>
      <c r="F112" s="17" t="str">
        <f>IFERROR(VLOOKUP(シフト組み!F142,役職一覧!$B:$D,2,FALSE),"")</f>
        <v/>
      </c>
      <c r="G112" s="17" t="str">
        <f>IFERROR(VLOOKUP(シフト組み!G142,役職一覧!$B:$D,2,FALSE),"")</f>
        <v/>
      </c>
      <c r="H112" s="17" t="str">
        <f>IFERROR(VLOOKUP(シフト組み!H142,役職一覧!$B:$D,2,FALSE),"")</f>
        <v/>
      </c>
      <c r="I112" s="17" t="str">
        <f>IFERROR(VLOOKUP(シフト組み!I142,役職一覧!$B:$D,2,FALSE),"")</f>
        <v/>
      </c>
      <c r="J112" s="17" t="str">
        <f>IFERROR(VLOOKUP(シフト組み!J142,役職一覧!$B:$D,2,FALSE),"")</f>
        <v/>
      </c>
      <c r="K112" s="17" t="str">
        <f>IFERROR(VLOOKUP(シフト組み!K142,役職一覧!$B:$D,2,FALSE),"")</f>
        <v/>
      </c>
      <c r="L112" s="17" t="str">
        <f>IFERROR(VLOOKUP(シフト組み!L142,役職一覧!$B:$D,2,FALSE),"")</f>
        <v/>
      </c>
      <c r="M112" s="17" t="str">
        <f>IFERROR(VLOOKUP(シフト組み!M142,役職一覧!$B:$D,2,FALSE),"")</f>
        <v/>
      </c>
      <c r="N112" s="17" t="str">
        <f>IFERROR(VLOOKUP(シフト組み!N142,役職一覧!$B:$D,2,FALSE),"")</f>
        <v/>
      </c>
      <c r="O112" s="17" t="str">
        <f>IFERROR(VLOOKUP(シフト組み!O142,役職一覧!$B:$D,2,FALSE),"")</f>
        <v/>
      </c>
      <c r="P112" s="17" t="str">
        <f>IFERROR(VLOOKUP(シフト組み!P142,役職一覧!$B:$D,2,FALSE),"")</f>
        <v/>
      </c>
      <c r="Q112" s="17" t="str">
        <f>IFERROR(VLOOKUP(シフト組み!Q142,役職一覧!$B:$D,2,FALSE),"")</f>
        <v/>
      </c>
      <c r="R112" s="17" t="str">
        <f>IFERROR(VLOOKUP(シフト組み!R142,役職一覧!$B:$D,2,FALSE),"")</f>
        <v/>
      </c>
      <c r="S112" s="17" t="str">
        <f>IFERROR(VLOOKUP(シフト組み!S142,役職一覧!$B:$D,2,FALSE),"")</f>
        <v/>
      </c>
      <c r="T112" s="17" t="str">
        <f>IFERROR(VLOOKUP(シフト組み!T142,役職一覧!$B:$D,2,FALSE),"")</f>
        <v/>
      </c>
      <c r="U112" s="17" t="str">
        <f>IFERROR(VLOOKUP(シフト組み!U142,役職一覧!$B:$D,2,FALSE),"")</f>
        <v/>
      </c>
      <c r="V112" s="17" t="str">
        <f>IFERROR(VLOOKUP(シフト組み!V142,役職一覧!$B:$D,2,FALSE),"")</f>
        <v/>
      </c>
      <c r="W112" s="17" t="str">
        <f>IFERROR(VLOOKUP(シフト組み!W142,役職一覧!$B:$D,2,FALSE),"")</f>
        <v/>
      </c>
      <c r="X112" s="17" t="str">
        <f>IFERROR(VLOOKUP(シフト組み!X142,役職一覧!$B:$D,2,FALSE),"")</f>
        <v/>
      </c>
      <c r="Y112" s="17" t="str">
        <f>IFERROR(VLOOKUP(シフト組み!Y142,役職一覧!$B:$D,2,FALSE),"")</f>
        <v/>
      </c>
      <c r="Z112" s="17" t="str">
        <f>IFERROR(VLOOKUP(シフト組み!Z142,役職一覧!$B:$D,2,FALSE),"")</f>
        <v/>
      </c>
      <c r="AA112" s="17" t="str">
        <f>IFERROR(VLOOKUP(シフト組み!AA142,役職一覧!$B:$D,2,FALSE),"")</f>
        <v/>
      </c>
      <c r="AB112" s="17" t="str">
        <f>IFERROR(VLOOKUP(シフト組み!AB142,役職一覧!$B:$D,2,FALSE),"")</f>
        <v/>
      </c>
      <c r="AC112" s="17" t="str">
        <f>IFERROR(VLOOKUP(シフト組み!AC142,役職一覧!$B:$D,2,FALSE),"")</f>
        <v/>
      </c>
      <c r="AD112" s="17" t="str">
        <f>IFERROR(VLOOKUP(シフト組み!AD142,役職一覧!$B:$D,2,FALSE),"")</f>
        <v/>
      </c>
      <c r="AE112" s="17" t="str">
        <f>IFERROR(VLOOKUP(シフト組み!AE142,役職一覧!$B:$D,2,FALSE),"")</f>
        <v/>
      </c>
      <c r="AF112" s="17" t="str">
        <f>IFERROR(VLOOKUP(シフト組み!AF142,役職一覧!$B:$D,2,FALSE),"")</f>
        <v/>
      </c>
      <c r="AG112" s="17" t="str">
        <f>IFERROR(VLOOKUP(シフト組み!AG142,役職一覧!$B:$D,2,FALSE),"")</f>
        <v/>
      </c>
      <c r="AH112" s="17" t="str">
        <f>IFERROR(VLOOKUP(シフト組み!AH142,役職一覧!$B:$D,3,FALSE),"")</f>
        <v/>
      </c>
      <c r="AI112" s="17" t="str">
        <f>IFERROR(VLOOKUP(シフト組み!AI142,役職一覧!$B:$D,3,FALSE),"")</f>
        <v/>
      </c>
      <c r="AJ112" s="17" t="str">
        <f>IFERROR(VLOOKUP(シフト組み!AJ142,役職一覧!$B:$D,3,FALSE),"")</f>
        <v/>
      </c>
      <c r="AK112" s="17" t="str">
        <f>IFERROR(VLOOKUP(シフト組み!AK142,役職一覧!$B:$D,3,FALSE),"")</f>
        <v/>
      </c>
      <c r="AL112" s="17" t="str">
        <f>IFERROR(VLOOKUP(シフト組み!AL142,役職一覧!$B:$D,3,FALSE),"")</f>
        <v/>
      </c>
      <c r="AM112" s="17" t="str">
        <f>IFERROR(VLOOKUP(シフト組み!AM142,役職一覧!$B:$D,3,FALSE),"")</f>
        <v/>
      </c>
      <c r="AN112" s="17" t="str">
        <f>IFERROR(VLOOKUP(シフト組み!AN142,役職一覧!$B:$D,3,FALSE),"")</f>
        <v/>
      </c>
      <c r="AO112" s="17" t="str">
        <f>IFERROR(VLOOKUP(シフト組み!AO142,役職一覧!$B:$D,3,FALSE),"")</f>
        <v/>
      </c>
      <c r="AP112" s="17" t="str">
        <f>IFERROR(VLOOKUP(シフト組み!AP142,役職一覧!$B:$D,3,FALSE),"")</f>
        <v/>
      </c>
      <c r="AQ112" s="17" t="str">
        <f>IFERROR(VLOOKUP(シフト組み!AQ142,役職一覧!$B:$D,3,FALSE),"")</f>
        <v/>
      </c>
      <c r="AR112" s="17" t="str">
        <f>IFERROR(VLOOKUP(シフト組み!AR142,役職一覧!$B:$D,3,FALSE),"")</f>
        <v/>
      </c>
      <c r="AS112" s="17" t="str">
        <f>IFERROR(VLOOKUP(シフト組み!AS142,役職一覧!$B:$D,3,FALSE),"")</f>
        <v/>
      </c>
      <c r="AT112" s="17" t="str">
        <f>IFERROR(VLOOKUP(シフト組み!AT142,役職一覧!$B:$D,3,FALSE),"")</f>
        <v/>
      </c>
      <c r="AU112" s="17" t="str">
        <f>IFERROR(VLOOKUP(シフト組み!AU142,役職一覧!$B:$D,3,FALSE),"")</f>
        <v/>
      </c>
      <c r="AV112" s="17" t="str">
        <f>IFERROR(VLOOKUP(シフト組み!AV142,役職一覧!$B:$D,3,FALSE),"")</f>
        <v/>
      </c>
      <c r="AW112" s="17" t="str">
        <f>IFERROR(VLOOKUP(シフト組み!AW142,役職一覧!$B:$D,3,FALSE),"")</f>
        <v/>
      </c>
      <c r="AX112" s="17" t="str">
        <f>IFERROR(VLOOKUP(シフト組み!AX142,役職一覧!$B:$D,3,FALSE),"")</f>
        <v/>
      </c>
      <c r="AY112" s="17" t="str">
        <f>IFERROR(VLOOKUP(シフト組み!AY142,役職一覧!$B:$D,3,FALSE),"")</f>
        <v/>
      </c>
      <c r="AZ112" s="17" t="str">
        <f>IFERROR(VLOOKUP(シフト組み!AZ142,役職一覧!$B:$D,3,FALSE),"")</f>
        <v/>
      </c>
      <c r="BA112" s="17" t="str">
        <f>IFERROR(VLOOKUP(シフト組み!BA142,役職一覧!$B:$D,3,FALSE),"")</f>
        <v/>
      </c>
    </row>
    <row r="113" spans="1:53">
      <c r="A113" s="2" t="str">
        <f>シフト組み!A143&amp;""</f>
        <v/>
      </c>
      <c r="B113" s="2" t="str">
        <f>シフト組み!B143&amp;""</f>
        <v/>
      </c>
      <c r="C113" s="2" t="str">
        <f>シフト組み!C143&amp;""</f>
        <v/>
      </c>
      <c r="D113" s="17" t="str">
        <f>IFERROR(VLOOKUP(シフト組み!D143,役職一覧!$B:$D,2,FALSE),"")</f>
        <v/>
      </c>
      <c r="E113" s="17" t="str">
        <f>IFERROR(VLOOKUP(シフト組み!E143,役職一覧!$B:$D,2,FALSE),"")</f>
        <v/>
      </c>
      <c r="F113" s="17" t="str">
        <f>IFERROR(VLOOKUP(シフト組み!F143,役職一覧!$B:$D,2,FALSE),"")</f>
        <v/>
      </c>
      <c r="G113" s="17" t="str">
        <f>IFERROR(VLOOKUP(シフト組み!G143,役職一覧!$B:$D,2,FALSE),"")</f>
        <v/>
      </c>
      <c r="H113" s="17" t="str">
        <f>IFERROR(VLOOKUP(シフト組み!H143,役職一覧!$B:$D,2,FALSE),"")</f>
        <v/>
      </c>
      <c r="I113" s="17" t="str">
        <f>IFERROR(VLOOKUP(シフト組み!I143,役職一覧!$B:$D,2,FALSE),"")</f>
        <v/>
      </c>
      <c r="J113" s="17" t="str">
        <f>IFERROR(VLOOKUP(シフト組み!J143,役職一覧!$B:$D,2,FALSE),"")</f>
        <v/>
      </c>
      <c r="K113" s="17" t="str">
        <f>IFERROR(VLOOKUP(シフト組み!K143,役職一覧!$B:$D,2,FALSE),"")</f>
        <v/>
      </c>
      <c r="L113" s="17" t="str">
        <f>IFERROR(VLOOKUP(シフト組み!L143,役職一覧!$B:$D,2,FALSE),"")</f>
        <v/>
      </c>
      <c r="M113" s="17" t="str">
        <f>IFERROR(VLOOKUP(シフト組み!M143,役職一覧!$B:$D,2,FALSE),"")</f>
        <v/>
      </c>
      <c r="N113" s="17" t="str">
        <f>IFERROR(VLOOKUP(シフト組み!N143,役職一覧!$B:$D,2,FALSE),"")</f>
        <v/>
      </c>
      <c r="O113" s="17" t="str">
        <f>IFERROR(VLOOKUP(シフト組み!O143,役職一覧!$B:$D,2,FALSE),"")</f>
        <v/>
      </c>
      <c r="P113" s="17" t="str">
        <f>IFERROR(VLOOKUP(シフト組み!P143,役職一覧!$B:$D,2,FALSE),"")</f>
        <v/>
      </c>
      <c r="Q113" s="17" t="str">
        <f>IFERROR(VLOOKUP(シフト組み!Q143,役職一覧!$B:$D,2,FALSE),"")</f>
        <v/>
      </c>
      <c r="R113" s="17" t="str">
        <f>IFERROR(VLOOKUP(シフト組み!R143,役職一覧!$B:$D,2,FALSE),"")</f>
        <v/>
      </c>
      <c r="S113" s="17" t="str">
        <f>IFERROR(VLOOKUP(シフト組み!S143,役職一覧!$B:$D,2,FALSE),"")</f>
        <v/>
      </c>
      <c r="T113" s="17" t="str">
        <f>IFERROR(VLOOKUP(シフト組み!T143,役職一覧!$B:$D,2,FALSE),"")</f>
        <v/>
      </c>
      <c r="U113" s="17" t="str">
        <f>IFERROR(VLOOKUP(シフト組み!U143,役職一覧!$B:$D,2,FALSE),"")</f>
        <v/>
      </c>
      <c r="V113" s="17" t="str">
        <f>IFERROR(VLOOKUP(シフト組み!V143,役職一覧!$B:$D,2,FALSE),"")</f>
        <v/>
      </c>
      <c r="W113" s="17" t="str">
        <f>IFERROR(VLOOKUP(シフト組み!W143,役職一覧!$B:$D,2,FALSE),"")</f>
        <v/>
      </c>
      <c r="X113" s="17" t="str">
        <f>IFERROR(VLOOKUP(シフト組み!X143,役職一覧!$B:$D,2,FALSE),"")</f>
        <v/>
      </c>
      <c r="Y113" s="17" t="str">
        <f>IFERROR(VLOOKUP(シフト組み!Y143,役職一覧!$B:$D,2,FALSE),"")</f>
        <v/>
      </c>
      <c r="Z113" s="17" t="str">
        <f>IFERROR(VLOOKUP(シフト組み!Z143,役職一覧!$B:$D,2,FALSE),"")</f>
        <v/>
      </c>
      <c r="AA113" s="17" t="str">
        <f>IFERROR(VLOOKUP(シフト組み!AA143,役職一覧!$B:$D,2,FALSE),"")</f>
        <v/>
      </c>
      <c r="AB113" s="17" t="str">
        <f>IFERROR(VLOOKUP(シフト組み!AB143,役職一覧!$B:$D,2,FALSE),"")</f>
        <v/>
      </c>
      <c r="AC113" s="17" t="str">
        <f>IFERROR(VLOOKUP(シフト組み!AC143,役職一覧!$B:$D,2,FALSE),"")</f>
        <v/>
      </c>
      <c r="AD113" s="17" t="str">
        <f>IFERROR(VLOOKUP(シフト組み!AD143,役職一覧!$B:$D,2,FALSE),"")</f>
        <v/>
      </c>
      <c r="AE113" s="17" t="str">
        <f>IFERROR(VLOOKUP(シフト組み!AE143,役職一覧!$B:$D,2,FALSE),"")</f>
        <v/>
      </c>
      <c r="AF113" s="17" t="str">
        <f>IFERROR(VLOOKUP(シフト組み!AF143,役職一覧!$B:$D,2,FALSE),"")</f>
        <v/>
      </c>
      <c r="AG113" s="17" t="str">
        <f>IFERROR(VLOOKUP(シフト組み!AG143,役職一覧!$B:$D,2,FALSE),"")</f>
        <v/>
      </c>
      <c r="AH113" s="17" t="str">
        <f>IFERROR(VLOOKUP(シフト組み!AH143,役職一覧!$B:$D,3,FALSE),"")</f>
        <v/>
      </c>
      <c r="AI113" s="17" t="str">
        <f>IFERROR(VLOOKUP(シフト組み!AI143,役職一覧!$B:$D,3,FALSE),"")</f>
        <v/>
      </c>
      <c r="AJ113" s="17" t="str">
        <f>IFERROR(VLOOKUP(シフト組み!AJ143,役職一覧!$B:$D,3,FALSE),"")</f>
        <v/>
      </c>
      <c r="AK113" s="17" t="str">
        <f>IFERROR(VLOOKUP(シフト組み!AK143,役職一覧!$B:$D,3,FALSE),"")</f>
        <v/>
      </c>
      <c r="AL113" s="17" t="str">
        <f>IFERROR(VLOOKUP(シフト組み!AL143,役職一覧!$B:$D,3,FALSE),"")</f>
        <v/>
      </c>
      <c r="AM113" s="17" t="str">
        <f>IFERROR(VLOOKUP(シフト組み!AM143,役職一覧!$B:$D,3,FALSE),"")</f>
        <v/>
      </c>
      <c r="AN113" s="17" t="str">
        <f>IFERROR(VLOOKUP(シフト組み!AN143,役職一覧!$B:$D,3,FALSE),"")</f>
        <v/>
      </c>
      <c r="AO113" s="17" t="str">
        <f>IFERROR(VLOOKUP(シフト組み!AO143,役職一覧!$B:$D,3,FALSE),"")</f>
        <v/>
      </c>
      <c r="AP113" s="17" t="str">
        <f>IFERROR(VLOOKUP(シフト組み!AP143,役職一覧!$B:$D,3,FALSE),"")</f>
        <v/>
      </c>
      <c r="AQ113" s="17" t="str">
        <f>IFERROR(VLOOKUP(シフト組み!AQ143,役職一覧!$B:$D,3,FALSE),"")</f>
        <v/>
      </c>
      <c r="AR113" s="17" t="str">
        <f>IFERROR(VLOOKUP(シフト組み!AR143,役職一覧!$B:$D,3,FALSE),"")</f>
        <v/>
      </c>
      <c r="AS113" s="17" t="str">
        <f>IFERROR(VLOOKUP(シフト組み!AS143,役職一覧!$B:$D,3,FALSE),"")</f>
        <v/>
      </c>
      <c r="AT113" s="17" t="str">
        <f>IFERROR(VLOOKUP(シフト組み!AT143,役職一覧!$B:$D,3,FALSE),"")</f>
        <v/>
      </c>
      <c r="AU113" s="17" t="str">
        <f>IFERROR(VLOOKUP(シフト組み!AU143,役職一覧!$B:$D,3,FALSE),"")</f>
        <v/>
      </c>
      <c r="AV113" s="17" t="str">
        <f>IFERROR(VLOOKUP(シフト組み!AV143,役職一覧!$B:$D,3,FALSE),"")</f>
        <v/>
      </c>
      <c r="AW113" s="17" t="str">
        <f>IFERROR(VLOOKUP(シフト組み!AW143,役職一覧!$B:$D,3,FALSE),"")</f>
        <v/>
      </c>
      <c r="AX113" s="17" t="str">
        <f>IFERROR(VLOOKUP(シフト組み!AX143,役職一覧!$B:$D,3,FALSE),"")</f>
        <v/>
      </c>
      <c r="AY113" s="17" t="str">
        <f>IFERROR(VLOOKUP(シフト組み!AY143,役職一覧!$B:$D,3,FALSE),"")</f>
        <v/>
      </c>
      <c r="AZ113" s="17" t="str">
        <f>IFERROR(VLOOKUP(シフト組み!AZ143,役職一覧!$B:$D,3,FALSE),"")</f>
        <v/>
      </c>
      <c r="BA113" s="17" t="str">
        <f>IFERROR(VLOOKUP(シフト組み!BA143,役職一覧!$B:$D,3,FALSE),"")</f>
        <v/>
      </c>
    </row>
    <row r="114" spans="1:53">
      <c r="A114" s="2" t="str">
        <f>シフト組み!A144&amp;""</f>
        <v/>
      </c>
      <c r="B114" s="2" t="str">
        <f>シフト組み!B144&amp;""</f>
        <v/>
      </c>
      <c r="C114" s="2" t="str">
        <f>シフト組み!C144&amp;""</f>
        <v/>
      </c>
      <c r="D114" s="17" t="str">
        <f>IFERROR(VLOOKUP(シフト組み!D144,役職一覧!$B:$D,2,FALSE),"")</f>
        <v/>
      </c>
      <c r="E114" s="17" t="str">
        <f>IFERROR(VLOOKUP(シフト組み!E144,役職一覧!$B:$D,2,FALSE),"")</f>
        <v/>
      </c>
      <c r="F114" s="17" t="str">
        <f>IFERROR(VLOOKUP(シフト組み!F144,役職一覧!$B:$D,2,FALSE),"")</f>
        <v/>
      </c>
      <c r="G114" s="17" t="str">
        <f>IFERROR(VLOOKUP(シフト組み!G144,役職一覧!$B:$D,2,FALSE),"")</f>
        <v/>
      </c>
      <c r="H114" s="17" t="str">
        <f>IFERROR(VLOOKUP(シフト組み!H144,役職一覧!$B:$D,2,FALSE),"")</f>
        <v/>
      </c>
      <c r="I114" s="17" t="str">
        <f>IFERROR(VLOOKUP(シフト組み!I144,役職一覧!$B:$D,2,FALSE),"")</f>
        <v/>
      </c>
      <c r="J114" s="17" t="str">
        <f>IFERROR(VLOOKUP(シフト組み!J144,役職一覧!$B:$D,2,FALSE),"")</f>
        <v/>
      </c>
      <c r="K114" s="17" t="str">
        <f>IFERROR(VLOOKUP(シフト組み!K144,役職一覧!$B:$D,2,FALSE),"")</f>
        <v/>
      </c>
      <c r="L114" s="17" t="str">
        <f>IFERROR(VLOOKUP(シフト組み!L144,役職一覧!$B:$D,2,FALSE),"")</f>
        <v/>
      </c>
      <c r="M114" s="17" t="str">
        <f>IFERROR(VLOOKUP(シフト組み!M144,役職一覧!$B:$D,2,FALSE),"")</f>
        <v/>
      </c>
      <c r="N114" s="17" t="str">
        <f>IFERROR(VLOOKUP(シフト組み!N144,役職一覧!$B:$D,2,FALSE),"")</f>
        <v/>
      </c>
      <c r="O114" s="17" t="str">
        <f>IFERROR(VLOOKUP(シフト組み!O144,役職一覧!$B:$D,2,FALSE),"")</f>
        <v/>
      </c>
      <c r="P114" s="17" t="str">
        <f>IFERROR(VLOOKUP(シフト組み!P144,役職一覧!$B:$D,2,FALSE),"")</f>
        <v/>
      </c>
      <c r="Q114" s="17" t="str">
        <f>IFERROR(VLOOKUP(シフト組み!Q144,役職一覧!$B:$D,2,FALSE),"")</f>
        <v/>
      </c>
      <c r="R114" s="17" t="str">
        <f>IFERROR(VLOOKUP(シフト組み!R144,役職一覧!$B:$D,2,FALSE),"")</f>
        <v/>
      </c>
      <c r="S114" s="17" t="str">
        <f>IFERROR(VLOOKUP(シフト組み!S144,役職一覧!$B:$D,2,FALSE),"")</f>
        <v/>
      </c>
      <c r="T114" s="17" t="str">
        <f>IFERROR(VLOOKUP(シフト組み!T144,役職一覧!$B:$D,2,FALSE),"")</f>
        <v/>
      </c>
      <c r="U114" s="17" t="str">
        <f>IFERROR(VLOOKUP(シフト組み!U144,役職一覧!$B:$D,2,FALSE),"")</f>
        <v/>
      </c>
      <c r="V114" s="17" t="str">
        <f>IFERROR(VLOOKUP(シフト組み!V144,役職一覧!$B:$D,2,FALSE),"")</f>
        <v/>
      </c>
      <c r="W114" s="17" t="str">
        <f>IFERROR(VLOOKUP(シフト組み!W144,役職一覧!$B:$D,2,FALSE),"")</f>
        <v/>
      </c>
      <c r="X114" s="17" t="str">
        <f>IFERROR(VLOOKUP(シフト組み!X144,役職一覧!$B:$D,2,FALSE),"")</f>
        <v/>
      </c>
      <c r="Y114" s="17" t="str">
        <f>IFERROR(VLOOKUP(シフト組み!Y144,役職一覧!$B:$D,2,FALSE),"")</f>
        <v/>
      </c>
      <c r="Z114" s="17" t="str">
        <f>IFERROR(VLOOKUP(シフト組み!Z144,役職一覧!$B:$D,2,FALSE),"")</f>
        <v/>
      </c>
      <c r="AA114" s="17" t="str">
        <f>IFERROR(VLOOKUP(シフト組み!AA144,役職一覧!$B:$D,2,FALSE),"")</f>
        <v/>
      </c>
      <c r="AB114" s="17" t="str">
        <f>IFERROR(VLOOKUP(シフト組み!AB144,役職一覧!$B:$D,2,FALSE),"")</f>
        <v/>
      </c>
      <c r="AC114" s="17" t="str">
        <f>IFERROR(VLOOKUP(シフト組み!AC144,役職一覧!$B:$D,2,FALSE),"")</f>
        <v/>
      </c>
      <c r="AD114" s="17" t="str">
        <f>IFERROR(VLOOKUP(シフト組み!AD144,役職一覧!$B:$D,2,FALSE),"")</f>
        <v/>
      </c>
      <c r="AE114" s="17" t="str">
        <f>IFERROR(VLOOKUP(シフト組み!AE144,役職一覧!$B:$D,2,FALSE),"")</f>
        <v/>
      </c>
      <c r="AF114" s="17" t="str">
        <f>IFERROR(VLOOKUP(シフト組み!AF144,役職一覧!$B:$D,2,FALSE),"")</f>
        <v/>
      </c>
      <c r="AG114" s="17" t="str">
        <f>IFERROR(VLOOKUP(シフト組み!AG144,役職一覧!$B:$D,2,FALSE),"")</f>
        <v/>
      </c>
      <c r="AH114" s="17" t="str">
        <f>IFERROR(VLOOKUP(シフト組み!AH144,役職一覧!$B:$D,3,FALSE),"")</f>
        <v/>
      </c>
      <c r="AI114" s="17" t="str">
        <f>IFERROR(VLOOKUP(シフト組み!AI144,役職一覧!$B:$D,3,FALSE),"")</f>
        <v/>
      </c>
      <c r="AJ114" s="17" t="str">
        <f>IFERROR(VLOOKUP(シフト組み!AJ144,役職一覧!$B:$D,3,FALSE),"")</f>
        <v/>
      </c>
      <c r="AK114" s="17" t="str">
        <f>IFERROR(VLOOKUP(シフト組み!AK144,役職一覧!$B:$D,3,FALSE),"")</f>
        <v/>
      </c>
      <c r="AL114" s="17" t="str">
        <f>IFERROR(VLOOKUP(シフト組み!AL144,役職一覧!$B:$D,3,FALSE),"")</f>
        <v/>
      </c>
      <c r="AM114" s="17" t="str">
        <f>IFERROR(VLOOKUP(シフト組み!AM144,役職一覧!$B:$D,3,FALSE),"")</f>
        <v/>
      </c>
      <c r="AN114" s="17" t="str">
        <f>IFERROR(VLOOKUP(シフト組み!AN144,役職一覧!$B:$D,3,FALSE),"")</f>
        <v/>
      </c>
      <c r="AO114" s="17" t="str">
        <f>IFERROR(VLOOKUP(シフト組み!AO144,役職一覧!$B:$D,3,FALSE),"")</f>
        <v/>
      </c>
      <c r="AP114" s="17" t="str">
        <f>IFERROR(VLOOKUP(シフト組み!AP144,役職一覧!$B:$D,3,FALSE),"")</f>
        <v/>
      </c>
      <c r="AQ114" s="17" t="str">
        <f>IFERROR(VLOOKUP(シフト組み!AQ144,役職一覧!$B:$D,3,FALSE),"")</f>
        <v/>
      </c>
      <c r="AR114" s="17" t="str">
        <f>IFERROR(VLOOKUP(シフト組み!AR144,役職一覧!$B:$D,3,FALSE),"")</f>
        <v/>
      </c>
      <c r="AS114" s="17" t="str">
        <f>IFERROR(VLOOKUP(シフト組み!AS144,役職一覧!$B:$D,3,FALSE),"")</f>
        <v/>
      </c>
      <c r="AT114" s="17" t="str">
        <f>IFERROR(VLOOKUP(シフト組み!AT144,役職一覧!$B:$D,3,FALSE),"")</f>
        <v/>
      </c>
      <c r="AU114" s="17" t="str">
        <f>IFERROR(VLOOKUP(シフト組み!AU144,役職一覧!$B:$D,3,FALSE),"")</f>
        <v/>
      </c>
      <c r="AV114" s="17" t="str">
        <f>IFERROR(VLOOKUP(シフト組み!AV144,役職一覧!$B:$D,3,FALSE),"")</f>
        <v/>
      </c>
      <c r="AW114" s="17" t="str">
        <f>IFERROR(VLOOKUP(シフト組み!AW144,役職一覧!$B:$D,3,FALSE),"")</f>
        <v/>
      </c>
      <c r="AX114" s="17" t="str">
        <f>IFERROR(VLOOKUP(シフト組み!AX144,役職一覧!$B:$D,3,FALSE),"")</f>
        <v/>
      </c>
      <c r="AY114" s="17" t="str">
        <f>IFERROR(VLOOKUP(シフト組み!AY144,役職一覧!$B:$D,3,FALSE),"")</f>
        <v/>
      </c>
      <c r="AZ114" s="17" t="str">
        <f>IFERROR(VLOOKUP(シフト組み!AZ144,役職一覧!$B:$D,3,FALSE),"")</f>
        <v/>
      </c>
      <c r="BA114" s="17" t="str">
        <f>IFERROR(VLOOKUP(シフト組み!BA144,役職一覧!$B:$D,3,FALSE),"")</f>
        <v/>
      </c>
    </row>
    <row r="115" spans="1:53">
      <c r="A115" s="2" t="str">
        <f>シフト組み!A145&amp;""</f>
        <v/>
      </c>
      <c r="B115" s="2" t="str">
        <f>シフト組み!B145&amp;""</f>
        <v/>
      </c>
      <c r="C115" s="2" t="str">
        <f>シフト組み!C145&amp;""</f>
        <v/>
      </c>
      <c r="D115" s="17" t="str">
        <f>IFERROR(VLOOKUP(シフト組み!D145,役職一覧!$B:$D,2,FALSE),"")</f>
        <v/>
      </c>
      <c r="E115" s="17" t="str">
        <f>IFERROR(VLOOKUP(シフト組み!E145,役職一覧!$B:$D,2,FALSE),"")</f>
        <v/>
      </c>
      <c r="F115" s="17" t="str">
        <f>IFERROR(VLOOKUP(シフト組み!F145,役職一覧!$B:$D,2,FALSE),"")</f>
        <v/>
      </c>
      <c r="G115" s="17" t="str">
        <f>IFERROR(VLOOKUP(シフト組み!G145,役職一覧!$B:$D,2,FALSE),"")</f>
        <v/>
      </c>
      <c r="H115" s="17" t="str">
        <f>IFERROR(VLOOKUP(シフト組み!H145,役職一覧!$B:$D,2,FALSE),"")</f>
        <v/>
      </c>
      <c r="I115" s="17" t="str">
        <f>IFERROR(VLOOKUP(シフト組み!I145,役職一覧!$B:$D,2,FALSE),"")</f>
        <v/>
      </c>
      <c r="J115" s="17" t="str">
        <f>IFERROR(VLOOKUP(シフト組み!J145,役職一覧!$B:$D,2,FALSE),"")</f>
        <v/>
      </c>
      <c r="K115" s="17" t="str">
        <f>IFERROR(VLOOKUP(シフト組み!K145,役職一覧!$B:$D,2,FALSE),"")</f>
        <v/>
      </c>
      <c r="L115" s="17" t="str">
        <f>IFERROR(VLOOKUP(シフト組み!L145,役職一覧!$B:$D,2,FALSE),"")</f>
        <v/>
      </c>
      <c r="M115" s="17" t="str">
        <f>IFERROR(VLOOKUP(シフト組み!M145,役職一覧!$B:$D,2,FALSE),"")</f>
        <v/>
      </c>
      <c r="N115" s="17" t="str">
        <f>IFERROR(VLOOKUP(シフト組み!N145,役職一覧!$B:$D,2,FALSE),"")</f>
        <v/>
      </c>
      <c r="O115" s="17" t="str">
        <f>IFERROR(VLOOKUP(シフト組み!O145,役職一覧!$B:$D,2,FALSE),"")</f>
        <v/>
      </c>
      <c r="P115" s="17" t="str">
        <f>IFERROR(VLOOKUP(シフト組み!P145,役職一覧!$B:$D,2,FALSE),"")</f>
        <v/>
      </c>
      <c r="Q115" s="17" t="str">
        <f>IFERROR(VLOOKUP(シフト組み!Q145,役職一覧!$B:$D,2,FALSE),"")</f>
        <v/>
      </c>
      <c r="R115" s="17" t="str">
        <f>IFERROR(VLOOKUP(シフト組み!R145,役職一覧!$B:$D,2,FALSE),"")</f>
        <v/>
      </c>
      <c r="S115" s="17" t="str">
        <f>IFERROR(VLOOKUP(シフト組み!S145,役職一覧!$B:$D,2,FALSE),"")</f>
        <v/>
      </c>
      <c r="T115" s="17" t="str">
        <f>IFERROR(VLOOKUP(シフト組み!T145,役職一覧!$B:$D,2,FALSE),"")</f>
        <v/>
      </c>
      <c r="U115" s="17" t="str">
        <f>IFERROR(VLOOKUP(シフト組み!U145,役職一覧!$B:$D,2,FALSE),"")</f>
        <v/>
      </c>
      <c r="V115" s="17" t="str">
        <f>IFERROR(VLOOKUP(シフト組み!V145,役職一覧!$B:$D,2,FALSE),"")</f>
        <v/>
      </c>
      <c r="W115" s="17" t="str">
        <f>IFERROR(VLOOKUP(シフト組み!W145,役職一覧!$B:$D,2,FALSE),"")</f>
        <v/>
      </c>
      <c r="X115" s="17" t="str">
        <f>IFERROR(VLOOKUP(シフト組み!X145,役職一覧!$B:$D,2,FALSE),"")</f>
        <v/>
      </c>
      <c r="Y115" s="17" t="str">
        <f>IFERROR(VLOOKUP(シフト組み!Y145,役職一覧!$B:$D,2,FALSE),"")</f>
        <v/>
      </c>
      <c r="Z115" s="17" t="str">
        <f>IFERROR(VLOOKUP(シフト組み!Z145,役職一覧!$B:$D,2,FALSE),"")</f>
        <v/>
      </c>
      <c r="AA115" s="17" t="str">
        <f>IFERROR(VLOOKUP(シフト組み!AA145,役職一覧!$B:$D,2,FALSE),"")</f>
        <v/>
      </c>
      <c r="AB115" s="17" t="str">
        <f>IFERROR(VLOOKUP(シフト組み!AB145,役職一覧!$B:$D,2,FALSE),"")</f>
        <v/>
      </c>
      <c r="AC115" s="17" t="str">
        <f>IFERROR(VLOOKUP(シフト組み!AC145,役職一覧!$B:$D,2,FALSE),"")</f>
        <v/>
      </c>
      <c r="AD115" s="17" t="str">
        <f>IFERROR(VLOOKUP(シフト組み!AD145,役職一覧!$B:$D,2,FALSE),"")</f>
        <v/>
      </c>
      <c r="AE115" s="17" t="str">
        <f>IFERROR(VLOOKUP(シフト組み!AE145,役職一覧!$B:$D,2,FALSE),"")</f>
        <v/>
      </c>
      <c r="AF115" s="17" t="str">
        <f>IFERROR(VLOOKUP(シフト組み!AF145,役職一覧!$B:$D,2,FALSE),"")</f>
        <v/>
      </c>
      <c r="AG115" s="17" t="str">
        <f>IFERROR(VLOOKUP(シフト組み!AG145,役職一覧!$B:$D,2,FALSE),"")</f>
        <v/>
      </c>
      <c r="AH115" s="17" t="str">
        <f>IFERROR(VLOOKUP(シフト組み!AH145,役職一覧!$B:$D,3,FALSE),"")</f>
        <v/>
      </c>
      <c r="AI115" s="17" t="str">
        <f>IFERROR(VLOOKUP(シフト組み!AI145,役職一覧!$B:$D,3,FALSE),"")</f>
        <v/>
      </c>
      <c r="AJ115" s="17" t="str">
        <f>IFERROR(VLOOKUP(シフト組み!AJ145,役職一覧!$B:$D,3,FALSE),"")</f>
        <v/>
      </c>
      <c r="AK115" s="17" t="str">
        <f>IFERROR(VLOOKUP(シフト組み!AK145,役職一覧!$B:$D,3,FALSE),"")</f>
        <v/>
      </c>
      <c r="AL115" s="17" t="str">
        <f>IFERROR(VLOOKUP(シフト組み!AL145,役職一覧!$B:$D,3,FALSE),"")</f>
        <v/>
      </c>
      <c r="AM115" s="17" t="str">
        <f>IFERROR(VLOOKUP(シフト組み!AM145,役職一覧!$B:$D,3,FALSE),"")</f>
        <v/>
      </c>
      <c r="AN115" s="17" t="str">
        <f>IFERROR(VLOOKUP(シフト組み!AN145,役職一覧!$B:$D,3,FALSE),"")</f>
        <v/>
      </c>
      <c r="AO115" s="17" t="str">
        <f>IFERROR(VLOOKUP(シフト組み!AO145,役職一覧!$B:$D,3,FALSE),"")</f>
        <v/>
      </c>
      <c r="AP115" s="17" t="str">
        <f>IFERROR(VLOOKUP(シフト組み!AP145,役職一覧!$B:$D,3,FALSE),"")</f>
        <v/>
      </c>
      <c r="AQ115" s="17" t="str">
        <f>IFERROR(VLOOKUP(シフト組み!AQ145,役職一覧!$B:$D,3,FALSE),"")</f>
        <v/>
      </c>
      <c r="AR115" s="17" t="str">
        <f>IFERROR(VLOOKUP(シフト組み!AR145,役職一覧!$B:$D,3,FALSE),"")</f>
        <v/>
      </c>
      <c r="AS115" s="17" t="str">
        <f>IFERROR(VLOOKUP(シフト組み!AS145,役職一覧!$B:$D,3,FALSE),"")</f>
        <v/>
      </c>
      <c r="AT115" s="17" t="str">
        <f>IFERROR(VLOOKUP(シフト組み!AT145,役職一覧!$B:$D,3,FALSE),"")</f>
        <v/>
      </c>
      <c r="AU115" s="17" t="str">
        <f>IFERROR(VLOOKUP(シフト組み!AU145,役職一覧!$B:$D,3,FALSE),"")</f>
        <v/>
      </c>
      <c r="AV115" s="17" t="str">
        <f>IFERROR(VLOOKUP(シフト組み!AV145,役職一覧!$B:$D,3,FALSE),"")</f>
        <v/>
      </c>
      <c r="AW115" s="17" t="str">
        <f>IFERROR(VLOOKUP(シフト組み!AW145,役職一覧!$B:$D,3,FALSE),"")</f>
        <v/>
      </c>
      <c r="AX115" s="17" t="str">
        <f>IFERROR(VLOOKUP(シフト組み!AX145,役職一覧!$B:$D,3,FALSE),"")</f>
        <v/>
      </c>
      <c r="AY115" s="17" t="str">
        <f>IFERROR(VLOOKUP(シフト組み!AY145,役職一覧!$B:$D,3,FALSE),"")</f>
        <v/>
      </c>
      <c r="AZ115" s="17" t="str">
        <f>IFERROR(VLOOKUP(シフト組み!AZ145,役職一覧!$B:$D,3,FALSE),"")</f>
        <v/>
      </c>
      <c r="BA115" s="17" t="str">
        <f>IFERROR(VLOOKUP(シフト組み!BA145,役職一覧!$B:$D,3,FALSE),"")</f>
        <v/>
      </c>
    </row>
    <row r="116" spans="1:53">
      <c r="A116" s="2" t="str">
        <f>シフト組み!A146&amp;""</f>
        <v/>
      </c>
      <c r="B116" s="2" t="str">
        <f>シフト組み!B146&amp;""</f>
        <v/>
      </c>
      <c r="C116" s="2" t="str">
        <f>シフト組み!C146&amp;""</f>
        <v/>
      </c>
      <c r="D116" s="17" t="str">
        <f>IFERROR(VLOOKUP(シフト組み!D146,役職一覧!$B:$D,2,FALSE),"")</f>
        <v/>
      </c>
      <c r="E116" s="17" t="str">
        <f>IFERROR(VLOOKUP(シフト組み!E146,役職一覧!$B:$D,2,FALSE),"")</f>
        <v/>
      </c>
      <c r="F116" s="17" t="str">
        <f>IFERROR(VLOOKUP(シフト組み!F146,役職一覧!$B:$D,2,FALSE),"")</f>
        <v/>
      </c>
      <c r="G116" s="17" t="str">
        <f>IFERROR(VLOOKUP(シフト組み!G146,役職一覧!$B:$D,2,FALSE),"")</f>
        <v/>
      </c>
      <c r="H116" s="17" t="str">
        <f>IFERROR(VLOOKUP(シフト組み!H146,役職一覧!$B:$D,2,FALSE),"")</f>
        <v/>
      </c>
      <c r="I116" s="17" t="str">
        <f>IFERROR(VLOOKUP(シフト組み!I146,役職一覧!$B:$D,2,FALSE),"")</f>
        <v/>
      </c>
      <c r="J116" s="17" t="str">
        <f>IFERROR(VLOOKUP(シフト組み!J146,役職一覧!$B:$D,2,FALSE),"")</f>
        <v/>
      </c>
      <c r="K116" s="17" t="str">
        <f>IFERROR(VLOOKUP(シフト組み!K146,役職一覧!$B:$D,2,FALSE),"")</f>
        <v/>
      </c>
      <c r="L116" s="17" t="str">
        <f>IFERROR(VLOOKUP(シフト組み!L146,役職一覧!$B:$D,2,FALSE),"")</f>
        <v/>
      </c>
      <c r="M116" s="17" t="str">
        <f>IFERROR(VLOOKUP(シフト組み!M146,役職一覧!$B:$D,2,FALSE),"")</f>
        <v/>
      </c>
      <c r="N116" s="17" t="str">
        <f>IFERROR(VLOOKUP(シフト組み!N146,役職一覧!$B:$D,2,FALSE),"")</f>
        <v/>
      </c>
      <c r="O116" s="17" t="str">
        <f>IFERROR(VLOOKUP(シフト組み!O146,役職一覧!$B:$D,2,FALSE),"")</f>
        <v/>
      </c>
      <c r="P116" s="17" t="str">
        <f>IFERROR(VLOOKUP(シフト組み!P146,役職一覧!$B:$D,2,FALSE),"")</f>
        <v/>
      </c>
      <c r="Q116" s="17" t="str">
        <f>IFERROR(VLOOKUP(シフト組み!Q146,役職一覧!$B:$D,2,FALSE),"")</f>
        <v/>
      </c>
      <c r="R116" s="17" t="str">
        <f>IFERROR(VLOOKUP(シフト組み!R146,役職一覧!$B:$D,2,FALSE),"")</f>
        <v/>
      </c>
      <c r="S116" s="17" t="str">
        <f>IFERROR(VLOOKUP(シフト組み!S146,役職一覧!$B:$D,2,FALSE),"")</f>
        <v/>
      </c>
      <c r="T116" s="17" t="str">
        <f>IFERROR(VLOOKUP(シフト組み!T146,役職一覧!$B:$D,2,FALSE),"")</f>
        <v/>
      </c>
      <c r="U116" s="17" t="str">
        <f>IFERROR(VLOOKUP(シフト組み!U146,役職一覧!$B:$D,2,FALSE),"")</f>
        <v/>
      </c>
      <c r="V116" s="17" t="str">
        <f>IFERROR(VLOOKUP(シフト組み!V146,役職一覧!$B:$D,2,FALSE),"")</f>
        <v/>
      </c>
      <c r="W116" s="17" t="str">
        <f>IFERROR(VLOOKUP(シフト組み!W146,役職一覧!$B:$D,2,FALSE),"")</f>
        <v/>
      </c>
      <c r="X116" s="17" t="str">
        <f>IFERROR(VLOOKUP(シフト組み!X146,役職一覧!$B:$D,2,FALSE),"")</f>
        <v/>
      </c>
      <c r="Y116" s="17" t="str">
        <f>IFERROR(VLOOKUP(シフト組み!Y146,役職一覧!$B:$D,2,FALSE),"")</f>
        <v/>
      </c>
      <c r="Z116" s="17" t="str">
        <f>IFERROR(VLOOKUP(シフト組み!Z146,役職一覧!$B:$D,2,FALSE),"")</f>
        <v/>
      </c>
      <c r="AA116" s="17" t="str">
        <f>IFERROR(VLOOKUP(シフト組み!AA146,役職一覧!$B:$D,2,FALSE),"")</f>
        <v/>
      </c>
      <c r="AB116" s="17" t="str">
        <f>IFERROR(VLOOKUP(シフト組み!AB146,役職一覧!$B:$D,2,FALSE),"")</f>
        <v/>
      </c>
      <c r="AC116" s="17" t="str">
        <f>IFERROR(VLOOKUP(シフト組み!AC146,役職一覧!$B:$D,2,FALSE),"")</f>
        <v/>
      </c>
      <c r="AD116" s="17" t="str">
        <f>IFERROR(VLOOKUP(シフト組み!AD146,役職一覧!$B:$D,2,FALSE),"")</f>
        <v/>
      </c>
      <c r="AE116" s="17" t="str">
        <f>IFERROR(VLOOKUP(シフト組み!AE146,役職一覧!$B:$D,2,FALSE),"")</f>
        <v/>
      </c>
      <c r="AF116" s="17" t="str">
        <f>IFERROR(VLOOKUP(シフト組み!AF146,役職一覧!$B:$D,2,FALSE),"")</f>
        <v/>
      </c>
      <c r="AG116" s="17" t="str">
        <f>IFERROR(VLOOKUP(シフト組み!AG146,役職一覧!$B:$D,2,FALSE),"")</f>
        <v/>
      </c>
      <c r="AH116" s="17" t="str">
        <f>IFERROR(VLOOKUP(シフト組み!AH146,役職一覧!$B:$D,3,FALSE),"")</f>
        <v/>
      </c>
      <c r="AI116" s="17" t="str">
        <f>IFERROR(VLOOKUP(シフト組み!AI146,役職一覧!$B:$D,3,FALSE),"")</f>
        <v/>
      </c>
      <c r="AJ116" s="17" t="str">
        <f>IFERROR(VLOOKUP(シフト組み!AJ146,役職一覧!$B:$D,3,FALSE),"")</f>
        <v/>
      </c>
      <c r="AK116" s="17" t="str">
        <f>IFERROR(VLOOKUP(シフト組み!AK146,役職一覧!$B:$D,3,FALSE),"")</f>
        <v/>
      </c>
      <c r="AL116" s="17" t="str">
        <f>IFERROR(VLOOKUP(シフト組み!AL146,役職一覧!$B:$D,3,FALSE),"")</f>
        <v/>
      </c>
      <c r="AM116" s="17" t="str">
        <f>IFERROR(VLOOKUP(シフト組み!AM146,役職一覧!$B:$D,3,FALSE),"")</f>
        <v/>
      </c>
      <c r="AN116" s="17" t="str">
        <f>IFERROR(VLOOKUP(シフト組み!AN146,役職一覧!$B:$D,3,FALSE),"")</f>
        <v/>
      </c>
      <c r="AO116" s="17" t="str">
        <f>IFERROR(VLOOKUP(シフト組み!AO146,役職一覧!$B:$D,3,FALSE),"")</f>
        <v/>
      </c>
      <c r="AP116" s="17" t="str">
        <f>IFERROR(VLOOKUP(シフト組み!AP146,役職一覧!$B:$D,3,FALSE),"")</f>
        <v/>
      </c>
      <c r="AQ116" s="17" t="str">
        <f>IFERROR(VLOOKUP(シフト組み!AQ146,役職一覧!$B:$D,3,FALSE),"")</f>
        <v/>
      </c>
      <c r="AR116" s="17" t="str">
        <f>IFERROR(VLOOKUP(シフト組み!AR146,役職一覧!$B:$D,3,FALSE),"")</f>
        <v/>
      </c>
      <c r="AS116" s="17" t="str">
        <f>IFERROR(VLOOKUP(シフト組み!AS146,役職一覧!$B:$D,3,FALSE),"")</f>
        <v/>
      </c>
      <c r="AT116" s="17" t="str">
        <f>IFERROR(VLOOKUP(シフト組み!AT146,役職一覧!$B:$D,3,FALSE),"")</f>
        <v/>
      </c>
      <c r="AU116" s="17" t="str">
        <f>IFERROR(VLOOKUP(シフト組み!AU146,役職一覧!$B:$D,3,FALSE),"")</f>
        <v/>
      </c>
      <c r="AV116" s="17" t="str">
        <f>IFERROR(VLOOKUP(シフト組み!AV146,役職一覧!$B:$D,3,FALSE),"")</f>
        <v/>
      </c>
      <c r="AW116" s="17" t="str">
        <f>IFERROR(VLOOKUP(シフト組み!AW146,役職一覧!$B:$D,3,FALSE),"")</f>
        <v/>
      </c>
      <c r="AX116" s="17" t="str">
        <f>IFERROR(VLOOKUP(シフト組み!AX146,役職一覧!$B:$D,3,FALSE),"")</f>
        <v/>
      </c>
      <c r="AY116" s="17" t="str">
        <f>IFERROR(VLOOKUP(シフト組み!AY146,役職一覧!$B:$D,3,FALSE),"")</f>
        <v/>
      </c>
      <c r="AZ116" s="17" t="str">
        <f>IFERROR(VLOOKUP(シフト組み!AZ146,役職一覧!$B:$D,3,FALSE),"")</f>
        <v/>
      </c>
      <c r="BA116" s="17" t="str">
        <f>IFERROR(VLOOKUP(シフト組み!BA146,役職一覧!$B:$D,3,FALSE),"")</f>
        <v/>
      </c>
    </row>
    <row r="117" spans="1:53">
      <c r="A117" s="2" t="str">
        <f>シフト組み!A147&amp;""</f>
        <v/>
      </c>
      <c r="B117" s="2" t="str">
        <f>シフト組み!B147&amp;""</f>
        <v/>
      </c>
      <c r="C117" s="2" t="str">
        <f>シフト組み!C147&amp;""</f>
        <v/>
      </c>
      <c r="D117" s="17" t="str">
        <f>IFERROR(VLOOKUP(シフト組み!D147,役職一覧!$B:$D,2,FALSE),"")</f>
        <v/>
      </c>
      <c r="E117" s="17" t="str">
        <f>IFERROR(VLOOKUP(シフト組み!E147,役職一覧!$B:$D,2,FALSE),"")</f>
        <v/>
      </c>
      <c r="F117" s="17" t="str">
        <f>IFERROR(VLOOKUP(シフト組み!F147,役職一覧!$B:$D,2,FALSE),"")</f>
        <v/>
      </c>
      <c r="G117" s="17" t="str">
        <f>IFERROR(VLOOKUP(シフト組み!G147,役職一覧!$B:$D,2,FALSE),"")</f>
        <v/>
      </c>
      <c r="H117" s="17" t="str">
        <f>IFERROR(VLOOKUP(シフト組み!H147,役職一覧!$B:$D,2,FALSE),"")</f>
        <v/>
      </c>
      <c r="I117" s="17" t="str">
        <f>IFERROR(VLOOKUP(シフト組み!I147,役職一覧!$B:$D,2,FALSE),"")</f>
        <v/>
      </c>
      <c r="J117" s="17" t="str">
        <f>IFERROR(VLOOKUP(シフト組み!J147,役職一覧!$B:$D,2,FALSE),"")</f>
        <v/>
      </c>
      <c r="K117" s="17" t="str">
        <f>IFERROR(VLOOKUP(シフト組み!K147,役職一覧!$B:$D,2,FALSE),"")</f>
        <v/>
      </c>
      <c r="L117" s="17" t="str">
        <f>IFERROR(VLOOKUP(シフト組み!L147,役職一覧!$B:$D,2,FALSE),"")</f>
        <v/>
      </c>
      <c r="M117" s="17" t="str">
        <f>IFERROR(VLOOKUP(シフト組み!M147,役職一覧!$B:$D,2,FALSE),"")</f>
        <v/>
      </c>
      <c r="N117" s="17" t="str">
        <f>IFERROR(VLOOKUP(シフト組み!N147,役職一覧!$B:$D,2,FALSE),"")</f>
        <v/>
      </c>
      <c r="O117" s="17" t="str">
        <f>IFERROR(VLOOKUP(シフト組み!O147,役職一覧!$B:$D,2,FALSE),"")</f>
        <v/>
      </c>
      <c r="P117" s="17" t="str">
        <f>IFERROR(VLOOKUP(シフト組み!P147,役職一覧!$B:$D,2,FALSE),"")</f>
        <v/>
      </c>
      <c r="Q117" s="17" t="str">
        <f>IFERROR(VLOOKUP(シフト組み!Q147,役職一覧!$B:$D,2,FALSE),"")</f>
        <v/>
      </c>
      <c r="R117" s="17" t="str">
        <f>IFERROR(VLOOKUP(シフト組み!R147,役職一覧!$B:$D,2,FALSE),"")</f>
        <v/>
      </c>
      <c r="S117" s="17" t="str">
        <f>IFERROR(VLOOKUP(シフト組み!S147,役職一覧!$B:$D,2,FALSE),"")</f>
        <v/>
      </c>
      <c r="T117" s="17" t="str">
        <f>IFERROR(VLOOKUP(シフト組み!T147,役職一覧!$B:$D,2,FALSE),"")</f>
        <v/>
      </c>
      <c r="U117" s="17" t="str">
        <f>IFERROR(VLOOKUP(シフト組み!U147,役職一覧!$B:$D,2,FALSE),"")</f>
        <v/>
      </c>
      <c r="V117" s="17" t="str">
        <f>IFERROR(VLOOKUP(シフト組み!V147,役職一覧!$B:$D,2,FALSE),"")</f>
        <v/>
      </c>
      <c r="W117" s="17" t="str">
        <f>IFERROR(VLOOKUP(シフト組み!W147,役職一覧!$B:$D,2,FALSE),"")</f>
        <v/>
      </c>
      <c r="X117" s="17" t="str">
        <f>IFERROR(VLOOKUP(シフト組み!X147,役職一覧!$B:$D,2,FALSE),"")</f>
        <v/>
      </c>
      <c r="Y117" s="17" t="str">
        <f>IFERROR(VLOOKUP(シフト組み!Y147,役職一覧!$B:$D,2,FALSE),"")</f>
        <v/>
      </c>
      <c r="Z117" s="17" t="str">
        <f>IFERROR(VLOOKUP(シフト組み!Z147,役職一覧!$B:$D,2,FALSE),"")</f>
        <v/>
      </c>
      <c r="AA117" s="17" t="str">
        <f>IFERROR(VLOOKUP(シフト組み!AA147,役職一覧!$B:$D,2,FALSE),"")</f>
        <v/>
      </c>
      <c r="AB117" s="17" t="str">
        <f>IFERROR(VLOOKUP(シフト組み!AB147,役職一覧!$B:$D,2,FALSE),"")</f>
        <v/>
      </c>
      <c r="AC117" s="17" t="str">
        <f>IFERROR(VLOOKUP(シフト組み!AC147,役職一覧!$B:$D,2,FALSE),"")</f>
        <v/>
      </c>
      <c r="AD117" s="17" t="str">
        <f>IFERROR(VLOOKUP(シフト組み!AD147,役職一覧!$B:$D,2,FALSE),"")</f>
        <v/>
      </c>
      <c r="AE117" s="17" t="str">
        <f>IFERROR(VLOOKUP(シフト組み!AE147,役職一覧!$B:$D,2,FALSE),"")</f>
        <v/>
      </c>
      <c r="AF117" s="17" t="str">
        <f>IFERROR(VLOOKUP(シフト組み!AF147,役職一覧!$B:$D,2,FALSE),"")</f>
        <v/>
      </c>
      <c r="AG117" s="17" t="str">
        <f>IFERROR(VLOOKUP(シフト組み!AG147,役職一覧!$B:$D,2,FALSE),"")</f>
        <v/>
      </c>
      <c r="AH117" s="17" t="str">
        <f>IFERROR(VLOOKUP(シフト組み!AH147,役職一覧!$B:$D,3,FALSE),"")</f>
        <v/>
      </c>
      <c r="AI117" s="17" t="str">
        <f>IFERROR(VLOOKUP(シフト組み!AI147,役職一覧!$B:$D,3,FALSE),"")</f>
        <v/>
      </c>
      <c r="AJ117" s="17" t="str">
        <f>IFERROR(VLOOKUP(シフト組み!AJ147,役職一覧!$B:$D,3,FALSE),"")</f>
        <v/>
      </c>
      <c r="AK117" s="17" t="str">
        <f>IFERROR(VLOOKUP(シフト組み!AK147,役職一覧!$B:$D,3,FALSE),"")</f>
        <v/>
      </c>
      <c r="AL117" s="17" t="str">
        <f>IFERROR(VLOOKUP(シフト組み!AL147,役職一覧!$B:$D,3,FALSE),"")</f>
        <v/>
      </c>
      <c r="AM117" s="17" t="str">
        <f>IFERROR(VLOOKUP(シフト組み!AM147,役職一覧!$B:$D,3,FALSE),"")</f>
        <v/>
      </c>
      <c r="AN117" s="17" t="str">
        <f>IFERROR(VLOOKUP(シフト組み!AN147,役職一覧!$B:$D,3,FALSE),"")</f>
        <v/>
      </c>
      <c r="AO117" s="17" t="str">
        <f>IFERROR(VLOOKUP(シフト組み!AO147,役職一覧!$B:$D,3,FALSE),"")</f>
        <v/>
      </c>
      <c r="AP117" s="17" t="str">
        <f>IFERROR(VLOOKUP(シフト組み!AP147,役職一覧!$B:$D,3,FALSE),"")</f>
        <v/>
      </c>
      <c r="AQ117" s="17" t="str">
        <f>IFERROR(VLOOKUP(シフト組み!AQ147,役職一覧!$B:$D,3,FALSE),"")</f>
        <v/>
      </c>
      <c r="AR117" s="17" t="str">
        <f>IFERROR(VLOOKUP(シフト組み!AR147,役職一覧!$B:$D,3,FALSE),"")</f>
        <v/>
      </c>
      <c r="AS117" s="17" t="str">
        <f>IFERROR(VLOOKUP(シフト組み!AS147,役職一覧!$B:$D,3,FALSE),"")</f>
        <v/>
      </c>
      <c r="AT117" s="17" t="str">
        <f>IFERROR(VLOOKUP(シフト組み!AT147,役職一覧!$B:$D,3,FALSE),"")</f>
        <v/>
      </c>
      <c r="AU117" s="17" t="str">
        <f>IFERROR(VLOOKUP(シフト組み!AU147,役職一覧!$B:$D,3,FALSE),"")</f>
        <v/>
      </c>
      <c r="AV117" s="17" t="str">
        <f>IFERROR(VLOOKUP(シフト組み!AV147,役職一覧!$B:$D,3,FALSE),"")</f>
        <v/>
      </c>
      <c r="AW117" s="17" t="str">
        <f>IFERROR(VLOOKUP(シフト組み!AW147,役職一覧!$B:$D,3,FALSE),"")</f>
        <v/>
      </c>
      <c r="AX117" s="17" t="str">
        <f>IFERROR(VLOOKUP(シフト組み!AX147,役職一覧!$B:$D,3,FALSE),"")</f>
        <v/>
      </c>
      <c r="AY117" s="17" t="str">
        <f>IFERROR(VLOOKUP(シフト組み!AY147,役職一覧!$B:$D,3,FALSE),"")</f>
        <v/>
      </c>
      <c r="AZ117" s="17" t="str">
        <f>IFERROR(VLOOKUP(シフト組み!AZ147,役職一覧!$B:$D,3,FALSE),"")</f>
        <v/>
      </c>
      <c r="BA117" s="17" t="str">
        <f>IFERROR(VLOOKUP(シフト組み!BA147,役職一覧!$B:$D,3,FALSE),"")</f>
        <v/>
      </c>
    </row>
    <row r="118" spans="1:53">
      <c r="A118" s="2" t="str">
        <f>シフト組み!A148&amp;""</f>
        <v/>
      </c>
      <c r="B118" s="2" t="str">
        <f>シフト組み!B148&amp;""</f>
        <v/>
      </c>
      <c r="C118" s="2" t="str">
        <f>シフト組み!C148&amp;""</f>
        <v/>
      </c>
      <c r="D118" s="17" t="str">
        <f>IFERROR(VLOOKUP(シフト組み!D148,役職一覧!$B:$D,2,FALSE),"")</f>
        <v/>
      </c>
      <c r="E118" s="17" t="str">
        <f>IFERROR(VLOOKUP(シフト組み!E148,役職一覧!$B:$D,2,FALSE),"")</f>
        <v/>
      </c>
      <c r="F118" s="17" t="str">
        <f>IFERROR(VLOOKUP(シフト組み!F148,役職一覧!$B:$D,2,FALSE),"")</f>
        <v/>
      </c>
      <c r="G118" s="17" t="str">
        <f>IFERROR(VLOOKUP(シフト組み!G148,役職一覧!$B:$D,2,FALSE),"")</f>
        <v/>
      </c>
      <c r="H118" s="17" t="str">
        <f>IFERROR(VLOOKUP(シフト組み!H148,役職一覧!$B:$D,2,FALSE),"")</f>
        <v/>
      </c>
      <c r="I118" s="17" t="str">
        <f>IFERROR(VLOOKUP(シフト組み!I148,役職一覧!$B:$D,2,FALSE),"")</f>
        <v/>
      </c>
      <c r="J118" s="17" t="str">
        <f>IFERROR(VLOOKUP(シフト組み!J148,役職一覧!$B:$D,2,FALSE),"")</f>
        <v/>
      </c>
      <c r="K118" s="17" t="str">
        <f>IFERROR(VLOOKUP(シフト組み!K148,役職一覧!$B:$D,2,FALSE),"")</f>
        <v/>
      </c>
      <c r="L118" s="17" t="str">
        <f>IFERROR(VLOOKUP(シフト組み!L148,役職一覧!$B:$D,2,FALSE),"")</f>
        <v/>
      </c>
      <c r="M118" s="17" t="str">
        <f>IFERROR(VLOOKUP(シフト組み!M148,役職一覧!$B:$D,2,FALSE),"")</f>
        <v/>
      </c>
      <c r="N118" s="17" t="str">
        <f>IFERROR(VLOOKUP(シフト組み!N148,役職一覧!$B:$D,2,FALSE),"")</f>
        <v/>
      </c>
      <c r="O118" s="17" t="str">
        <f>IFERROR(VLOOKUP(シフト組み!O148,役職一覧!$B:$D,2,FALSE),"")</f>
        <v/>
      </c>
      <c r="P118" s="17" t="str">
        <f>IFERROR(VLOOKUP(シフト組み!P148,役職一覧!$B:$D,2,FALSE),"")</f>
        <v/>
      </c>
      <c r="Q118" s="17" t="str">
        <f>IFERROR(VLOOKUP(シフト組み!Q148,役職一覧!$B:$D,2,FALSE),"")</f>
        <v/>
      </c>
      <c r="R118" s="17" t="str">
        <f>IFERROR(VLOOKUP(シフト組み!R148,役職一覧!$B:$D,2,FALSE),"")</f>
        <v/>
      </c>
      <c r="S118" s="17" t="str">
        <f>IFERROR(VLOOKUP(シフト組み!S148,役職一覧!$B:$D,2,FALSE),"")</f>
        <v/>
      </c>
      <c r="T118" s="17" t="str">
        <f>IFERROR(VLOOKUP(シフト組み!T148,役職一覧!$B:$D,2,FALSE),"")</f>
        <v/>
      </c>
      <c r="U118" s="17" t="str">
        <f>IFERROR(VLOOKUP(シフト組み!U148,役職一覧!$B:$D,2,FALSE),"")</f>
        <v/>
      </c>
      <c r="V118" s="17" t="str">
        <f>IFERROR(VLOOKUP(シフト組み!V148,役職一覧!$B:$D,2,FALSE),"")</f>
        <v/>
      </c>
      <c r="W118" s="17" t="str">
        <f>IFERROR(VLOOKUP(シフト組み!W148,役職一覧!$B:$D,2,FALSE),"")</f>
        <v/>
      </c>
      <c r="X118" s="17" t="str">
        <f>IFERROR(VLOOKUP(シフト組み!X148,役職一覧!$B:$D,2,FALSE),"")</f>
        <v/>
      </c>
      <c r="Y118" s="17" t="str">
        <f>IFERROR(VLOOKUP(シフト組み!Y148,役職一覧!$B:$D,2,FALSE),"")</f>
        <v/>
      </c>
      <c r="Z118" s="17" t="str">
        <f>IFERROR(VLOOKUP(シフト組み!Z148,役職一覧!$B:$D,2,FALSE),"")</f>
        <v/>
      </c>
      <c r="AA118" s="17" t="str">
        <f>IFERROR(VLOOKUP(シフト組み!AA148,役職一覧!$B:$D,2,FALSE),"")</f>
        <v/>
      </c>
      <c r="AB118" s="17" t="str">
        <f>IFERROR(VLOOKUP(シフト組み!AB148,役職一覧!$B:$D,2,FALSE),"")</f>
        <v/>
      </c>
      <c r="AC118" s="17" t="str">
        <f>IFERROR(VLOOKUP(シフト組み!AC148,役職一覧!$B:$D,2,FALSE),"")</f>
        <v/>
      </c>
      <c r="AD118" s="17" t="str">
        <f>IFERROR(VLOOKUP(シフト組み!AD148,役職一覧!$B:$D,2,FALSE),"")</f>
        <v/>
      </c>
      <c r="AE118" s="17" t="str">
        <f>IFERROR(VLOOKUP(シフト組み!AE148,役職一覧!$B:$D,2,FALSE),"")</f>
        <v/>
      </c>
      <c r="AF118" s="17" t="str">
        <f>IFERROR(VLOOKUP(シフト組み!AF148,役職一覧!$B:$D,2,FALSE),"")</f>
        <v/>
      </c>
      <c r="AG118" s="17" t="str">
        <f>IFERROR(VLOOKUP(シフト組み!AG148,役職一覧!$B:$D,2,FALSE),"")</f>
        <v/>
      </c>
      <c r="AH118" s="17" t="str">
        <f>IFERROR(VLOOKUP(シフト組み!AH148,役職一覧!$B:$D,3,FALSE),"")</f>
        <v/>
      </c>
      <c r="AI118" s="17" t="str">
        <f>IFERROR(VLOOKUP(シフト組み!AI148,役職一覧!$B:$D,3,FALSE),"")</f>
        <v/>
      </c>
      <c r="AJ118" s="17" t="str">
        <f>IFERROR(VLOOKUP(シフト組み!AJ148,役職一覧!$B:$D,3,FALSE),"")</f>
        <v/>
      </c>
      <c r="AK118" s="17" t="str">
        <f>IFERROR(VLOOKUP(シフト組み!AK148,役職一覧!$B:$D,3,FALSE),"")</f>
        <v/>
      </c>
      <c r="AL118" s="17" t="str">
        <f>IFERROR(VLOOKUP(シフト組み!AL148,役職一覧!$B:$D,3,FALSE),"")</f>
        <v/>
      </c>
      <c r="AM118" s="17" t="str">
        <f>IFERROR(VLOOKUP(シフト組み!AM148,役職一覧!$B:$D,3,FALSE),"")</f>
        <v/>
      </c>
      <c r="AN118" s="17" t="str">
        <f>IFERROR(VLOOKUP(シフト組み!AN148,役職一覧!$B:$D,3,FALSE),"")</f>
        <v/>
      </c>
      <c r="AO118" s="17" t="str">
        <f>IFERROR(VLOOKUP(シフト組み!AO148,役職一覧!$B:$D,3,FALSE),"")</f>
        <v/>
      </c>
      <c r="AP118" s="17" t="str">
        <f>IFERROR(VLOOKUP(シフト組み!AP148,役職一覧!$B:$D,3,FALSE),"")</f>
        <v/>
      </c>
      <c r="AQ118" s="17" t="str">
        <f>IFERROR(VLOOKUP(シフト組み!AQ148,役職一覧!$B:$D,3,FALSE),"")</f>
        <v/>
      </c>
      <c r="AR118" s="17" t="str">
        <f>IFERROR(VLOOKUP(シフト組み!AR148,役職一覧!$B:$D,3,FALSE),"")</f>
        <v/>
      </c>
      <c r="AS118" s="17" t="str">
        <f>IFERROR(VLOOKUP(シフト組み!AS148,役職一覧!$B:$D,3,FALSE),"")</f>
        <v/>
      </c>
      <c r="AT118" s="17" t="str">
        <f>IFERROR(VLOOKUP(シフト組み!AT148,役職一覧!$B:$D,3,FALSE),"")</f>
        <v/>
      </c>
      <c r="AU118" s="17" t="str">
        <f>IFERROR(VLOOKUP(シフト組み!AU148,役職一覧!$B:$D,3,FALSE),"")</f>
        <v/>
      </c>
      <c r="AV118" s="17" t="str">
        <f>IFERROR(VLOOKUP(シフト組み!AV148,役職一覧!$B:$D,3,FALSE),"")</f>
        <v/>
      </c>
      <c r="AW118" s="17" t="str">
        <f>IFERROR(VLOOKUP(シフト組み!AW148,役職一覧!$B:$D,3,FALSE),"")</f>
        <v/>
      </c>
      <c r="AX118" s="17" t="str">
        <f>IFERROR(VLOOKUP(シフト組み!AX148,役職一覧!$B:$D,3,FALSE),"")</f>
        <v/>
      </c>
      <c r="AY118" s="17" t="str">
        <f>IFERROR(VLOOKUP(シフト組み!AY148,役職一覧!$B:$D,3,FALSE),"")</f>
        <v/>
      </c>
      <c r="AZ118" s="17" t="str">
        <f>IFERROR(VLOOKUP(シフト組み!AZ148,役職一覧!$B:$D,3,FALSE),"")</f>
        <v/>
      </c>
      <c r="BA118" s="17" t="str">
        <f>IFERROR(VLOOKUP(シフト組み!BA148,役職一覧!$B:$D,3,FALSE),"")</f>
        <v/>
      </c>
    </row>
    <row r="119" spans="1:53">
      <c r="A119" s="2" t="str">
        <f>シフト組み!A149&amp;""</f>
        <v/>
      </c>
      <c r="B119" s="2" t="str">
        <f>シフト組み!B149&amp;""</f>
        <v/>
      </c>
      <c r="C119" s="2" t="str">
        <f>シフト組み!C149&amp;""</f>
        <v/>
      </c>
      <c r="D119" s="17" t="str">
        <f>IFERROR(VLOOKUP(シフト組み!D149,役職一覧!$B:$D,2,FALSE),"")</f>
        <v/>
      </c>
      <c r="E119" s="17" t="str">
        <f>IFERROR(VLOOKUP(シフト組み!E149,役職一覧!$B:$D,2,FALSE),"")</f>
        <v/>
      </c>
      <c r="F119" s="17" t="str">
        <f>IFERROR(VLOOKUP(シフト組み!F149,役職一覧!$B:$D,2,FALSE),"")</f>
        <v/>
      </c>
      <c r="G119" s="17" t="str">
        <f>IFERROR(VLOOKUP(シフト組み!G149,役職一覧!$B:$D,2,FALSE),"")</f>
        <v/>
      </c>
      <c r="H119" s="17" t="str">
        <f>IFERROR(VLOOKUP(シフト組み!H149,役職一覧!$B:$D,2,FALSE),"")</f>
        <v/>
      </c>
      <c r="I119" s="17" t="str">
        <f>IFERROR(VLOOKUP(シフト組み!I149,役職一覧!$B:$D,2,FALSE),"")</f>
        <v/>
      </c>
      <c r="J119" s="17" t="str">
        <f>IFERROR(VLOOKUP(シフト組み!J149,役職一覧!$B:$D,2,FALSE),"")</f>
        <v/>
      </c>
      <c r="K119" s="17" t="str">
        <f>IFERROR(VLOOKUP(シフト組み!K149,役職一覧!$B:$D,2,FALSE),"")</f>
        <v/>
      </c>
      <c r="L119" s="17" t="str">
        <f>IFERROR(VLOOKUP(シフト組み!L149,役職一覧!$B:$D,2,FALSE),"")</f>
        <v/>
      </c>
      <c r="M119" s="17" t="str">
        <f>IFERROR(VLOOKUP(シフト組み!M149,役職一覧!$B:$D,2,FALSE),"")</f>
        <v/>
      </c>
      <c r="N119" s="17" t="str">
        <f>IFERROR(VLOOKUP(シフト組み!N149,役職一覧!$B:$D,2,FALSE),"")</f>
        <v/>
      </c>
      <c r="O119" s="17" t="str">
        <f>IFERROR(VLOOKUP(シフト組み!O149,役職一覧!$B:$D,2,FALSE),"")</f>
        <v/>
      </c>
      <c r="P119" s="17" t="str">
        <f>IFERROR(VLOOKUP(シフト組み!P149,役職一覧!$B:$D,2,FALSE),"")</f>
        <v/>
      </c>
      <c r="Q119" s="17" t="str">
        <f>IFERROR(VLOOKUP(シフト組み!Q149,役職一覧!$B:$D,2,FALSE),"")</f>
        <v/>
      </c>
      <c r="R119" s="17" t="str">
        <f>IFERROR(VLOOKUP(シフト組み!R149,役職一覧!$B:$D,2,FALSE),"")</f>
        <v/>
      </c>
      <c r="S119" s="17" t="str">
        <f>IFERROR(VLOOKUP(シフト組み!S149,役職一覧!$B:$D,2,FALSE),"")</f>
        <v/>
      </c>
      <c r="T119" s="17" t="str">
        <f>IFERROR(VLOOKUP(シフト組み!T149,役職一覧!$B:$D,2,FALSE),"")</f>
        <v/>
      </c>
      <c r="U119" s="17" t="str">
        <f>IFERROR(VLOOKUP(シフト組み!U149,役職一覧!$B:$D,2,FALSE),"")</f>
        <v/>
      </c>
      <c r="V119" s="17" t="str">
        <f>IFERROR(VLOOKUP(シフト組み!V149,役職一覧!$B:$D,2,FALSE),"")</f>
        <v/>
      </c>
      <c r="W119" s="17" t="str">
        <f>IFERROR(VLOOKUP(シフト組み!W149,役職一覧!$B:$D,2,FALSE),"")</f>
        <v/>
      </c>
      <c r="X119" s="17" t="str">
        <f>IFERROR(VLOOKUP(シフト組み!X149,役職一覧!$B:$D,2,FALSE),"")</f>
        <v/>
      </c>
      <c r="Y119" s="17" t="str">
        <f>IFERROR(VLOOKUP(シフト組み!Y149,役職一覧!$B:$D,2,FALSE),"")</f>
        <v/>
      </c>
      <c r="Z119" s="17" t="str">
        <f>IFERROR(VLOOKUP(シフト組み!Z149,役職一覧!$B:$D,2,FALSE),"")</f>
        <v/>
      </c>
      <c r="AA119" s="17" t="str">
        <f>IFERROR(VLOOKUP(シフト組み!AA149,役職一覧!$B:$D,2,FALSE),"")</f>
        <v/>
      </c>
      <c r="AB119" s="17" t="str">
        <f>IFERROR(VLOOKUP(シフト組み!AB149,役職一覧!$B:$D,2,FALSE),"")</f>
        <v/>
      </c>
      <c r="AC119" s="17" t="str">
        <f>IFERROR(VLOOKUP(シフト組み!AC149,役職一覧!$B:$D,2,FALSE),"")</f>
        <v/>
      </c>
      <c r="AD119" s="17" t="str">
        <f>IFERROR(VLOOKUP(シフト組み!AD149,役職一覧!$B:$D,2,FALSE),"")</f>
        <v/>
      </c>
      <c r="AE119" s="17" t="str">
        <f>IFERROR(VLOOKUP(シフト組み!AE149,役職一覧!$B:$D,2,FALSE),"")</f>
        <v/>
      </c>
      <c r="AF119" s="17" t="str">
        <f>IFERROR(VLOOKUP(シフト組み!AF149,役職一覧!$B:$D,2,FALSE),"")</f>
        <v/>
      </c>
      <c r="AG119" s="17" t="str">
        <f>IFERROR(VLOOKUP(シフト組み!AG149,役職一覧!$B:$D,2,FALSE),"")</f>
        <v/>
      </c>
      <c r="AH119" s="17" t="str">
        <f>IFERROR(VLOOKUP(シフト組み!AH149,役職一覧!$B:$D,3,FALSE),"")</f>
        <v/>
      </c>
      <c r="AI119" s="17" t="str">
        <f>IFERROR(VLOOKUP(シフト組み!AI149,役職一覧!$B:$D,3,FALSE),"")</f>
        <v/>
      </c>
      <c r="AJ119" s="17" t="str">
        <f>IFERROR(VLOOKUP(シフト組み!AJ149,役職一覧!$B:$D,3,FALSE),"")</f>
        <v/>
      </c>
      <c r="AK119" s="17" t="str">
        <f>IFERROR(VLOOKUP(シフト組み!AK149,役職一覧!$B:$D,3,FALSE),"")</f>
        <v/>
      </c>
      <c r="AL119" s="17" t="str">
        <f>IFERROR(VLOOKUP(シフト組み!AL149,役職一覧!$B:$D,3,FALSE),"")</f>
        <v/>
      </c>
      <c r="AM119" s="17" t="str">
        <f>IFERROR(VLOOKUP(シフト組み!AM149,役職一覧!$B:$D,3,FALSE),"")</f>
        <v/>
      </c>
      <c r="AN119" s="17" t="str">
        <f>IFERROR(VLOOKUP(シフト組み!AN149,役職一覧!$B:$D,3,FALSE),"")</f>
        <v/>
      </c>
      <c r="AO119" s="17" t="str">
        <f>IFERROR(VLOOKUP(シフト組み!AO149,役職一覧!$B:$D,3,FALSE),"")</f>
        <v/>
      </c>
      <c r="AP119" s="17" t="str">
        <f>IFERROR(VLOOKUP(シフト組み!AP149,役職一覧!$B:$D,3,FALSE),"")</f>
        <v/>
      </c>
      <c r="AQ119" s="17" t="str">
        <f>IFERROR(VLOOKUP(シフト組み!AQ149,役職一覧!$B:$D,3,FALSE),"")</f>
        <v/>
      </c>
      <c r="AR119" s="17" t="str">
        <f>IFERROR(VLOOKUP(シフト組み!AR149,役職一覧!$B:$D,3,FALSE),"")</f>
        <v/>
      </c>
      <c r="AS119" s="17" t="str">
        <f>IFERROR(VLOOKUP(シフト組み!AS149,役職一覧!$B:$D,3,FALSE),"")</f>
        <v/>
      </c>
      <c r="AT119" s="17" t="str">
        <f>IFERROR(VLOOKUP(シフト組み!AT149,役職一覧!$B:$D,3,FALSE),"")</f>
        <v/>
      </c>
      <c r="AU119" s="17" t="str">
        <f>IFERROR(VLOOKUP(シフト組み!AU149,役職一覧!$B:$D,3,FALSE),"")</f>
        <v/>
      </c>
      <c r="AV119" s="17" t="str">
        <f>IFERROR(VLOOKUP(シフト組み!AV149,役職一覧!$B:$D,3,FALSE),"")</f>
        <v/>
      </c>
      <c r="AW119" s="17" t="str">
        <f>IFERROR(VLOOKUP(シフト組み!AW149,役職一覧!$B:$D,3,FALSE),"")</f>
        <v/>
      </c>
      <c r="AX119" s="17" t="str">
        <f>IFERROR(VLOOKUP(シフト組み!AX149,役職一覧!$B:$D,3,FALSE),"")</f>
        <v/>
      </c>
      <c r="AY119" s="17" t="str">
        <f>IFERROR(VLOOKUP(シフト組み!AY149,役職一覧!$B:$D,3,FALSE),"")</f>
        <v/>
      </c>
      <c r="AZ119" s="17" t="str">
        <f>IFERROR(VLOOKUP(シフト組み!AZ149,役職一覧!$B:$D,3,FALSE),"")</f>
        <v/>
      </c>
      <c r="BA119" s="17" t="str">
        <f>IFERROR(VLOOKUP(シフト組み!BA149,役職一覧!$B:$D,3,FALSE),"")</f>
        <v/>
      </c>
    </row>
    <row r="120" spans="1:53">
      <c r="A120" s="2" t="str">
        <f>シフト組み!A150&amp;""</f>
        <v/>
      </c>
      <c r="B120" s="2" t="str">
        <f>シフト組み!B150&amp;""</f>
        <v/>
      </c>
      <c r="C120" s="2" t="str">
        <f>シフト組み!C150&amp;""</f>
        <v/>
      </c>
      <c r="D120" s="17" t="str">
        <f>IFERROR(VLOOKUP(シフト組み!D150,役職一覧!$B:$D,2,FALSE),"")</f>
        <v/>
      </c>
      <c r="E120" s="17" t="str">
        <f>IFERROR(VLOOKUP(シフト組み!E150,役職一覧!$B:$D,2,FALSE),"")</f>
        <v/>
      </c>
      <c r="F120" s="17" t="str">
        <f>IFERROR(VLOOKUP(シフト組み!F150,役職一覧!$B:$D,2,FALSE),"")</f>
        <v/>
      </c>
      <c r="G120" s="17" t="str">
        <f>IFERROR(VLOOKUP(シフト組み!G150,役職一覧!$B:$D,2,FALSE),"")</f>
        <v/>
      </c>
      <c r="H120" s="17" t="str">
        <f>IFERROR(VLOOKUP(シフト組み!H150,役職一覧!$B:$D,2,FALSE),"")</f>
        <v/>
      </c>
      <c r="I120" s="17" t="str">
        <f>IFERROR(VLOOKUP(シフト組み!I150,役職一覧!$B:$D,2,FALSE),"")</f>
        <v/>
      </c>
      <c r="J120" s="17" t="str">
        <f>IFERROR(VLOOKUP(シフト組み!J150,役職一覧!$B:$D,2,FALSE),"")</f>
        <v/>
      </c>
      <c r="K120" s="17" t="str">
        <f>IFERROR(VLOOKUP(シフト組み!K150,役職一覧!$B:$D,2,FALSE),"")</f>
        <v/>
      </c>
      <c r="L120" s="17" t="str">
        <f>IFERROR(VLOOKUP(シフト組み!L150,役職一覧!$B:$D,2,FALSE),"")</f>
        <v/>
      </c>
      <c r="M120" s="17" t="str">
        <f>IFERROR(VLOOKUP(シフト組み!M150,役職一覧!$B:$D,2,FALSE),"")</f>
        <v/>
      </c>
      <c r="N120" s="17" t="str">
        <f>IFERROR(VLOOKUP(シフト組み!N150,役職一覧!$B:$D,2,FALSE),"")</f>
        <v/>
      </c>
      <c r="O120" s="17" t="str">
        <f>IFERROR(VLOOKUP(シフト組み!O150,役職一覧!$B:$D,2,FALSE),"")</f>
        <v/>
      </c>
      <c r="P120" s="17" t="str">
        <f>IFERROR(VLOOKUP(シフト組み!P150,役職一覧!$B:$D,2,FALSE),"")</f>
        <v/>
      </c>
      <c r="Q120" s="17" t="str">
        <f>IFERROR(VLOOKUP(シフト組み!Q150,役職一覧!$B:$D,2,FALSE),"")</f>
        <v/>
      </c>
      <c r="R120" s="17" t="str">
        <f>IFERROR(VLOOKUP(シフト組み!R150,役職一覧!$B:$D,2,FALSE),"")</f>
        <v/>
      </c>
      <c r="S120" s="17" t="str">
        <f>IFERROR(VLOOKUP(シフト組み!S150,役職一覧!$B:$D,2,FALSE),"")</f>
        <v/>
      </c>
      <c r="T120" s="17" t="str">
        <f>IFERROR(VLOOKUP(シフト組み!T150,役職一覧!$B:$D,2,FALSE),"")</f>
        <v/>
      </c>
      <c r="U120" s="17" t="str">
        <f>IFERROR(VLOOKUP(シフト組み!U150,役職一覧!$B:$D,2,FALSE),"")</f>
        <v/>
      </c>
      <c r="V120" s="17" t="str">
        <f>IFERROR(VLOOKUP(シフト組み!V150,役職一覧!$B:$D,2,FALSE),"")</f>
        <v/>
      </c>
      <c r="W120" s="17" t="str">
        <f>IFERROR(VLOOKUP(シフト組み!W150,役職一覧!$B:$D,2,FALSE),"")</f>
        <v/>
      </c>
      <c r="X120" s="17" t="str">
        <f>IFERROR(VLOOKUP(シフト組み!X150,役職一覧!$B:$D,2,FALSE),"")</f>
        <v/>
      </c>
      <c r="Y120" s="17" t="str">
        <f>IFERROR(VLOOKUP(シフト組み!Y150,役職一覧!$B:$D,2,FALSE),"")</f>
        <v/>
      </c>
      <c r="Z120" s="17" t="str">
        <f>IFERROR(VLOOKUP(シフト組み!Z150,役職一覧!$B:$D,2,FALSE),"")</f>
        <v/>
      </c>
      <c r="AA120" s="17" t="str">
        <f>IFERROR(VLOOKUP(シフト組み!AA150,役職一覧!$B:$D,2,FALSE),"")</f>
        <v/>
      </c>
      <c r="AB120" s="17" t="str">
        <f>IFERROR(VLOOKUP(シフト組み!AB150,役職一覧!$B:$D,2,FALSE),"")</f>
        <v/>
      </c>
      <c r="AC120" s="17" t="str">
        <f>IFERROR(VLOOKUP(シフト組み!AC150,役職一覧!$B:$D,2,FALSE),"")</f>
        <v/>
      </c>
      <c r="AD120" s="17" t="str">
        <f>IFERROR(VLOOKUP(シフト組み!AD150,役職一覧!$B:$D,2,FALSE),"")</f>
        <v/>
      </c>
      <c r="AE120" s="17" t="str">
        <f>IFERROR(VLOOKUP(シフト組み!AE150,役職一覧!$B:$D,2,FALSE),"")</f>
        <v/>
      </c>
      <c r="AF120" s="17" t="str">
        <f>IFERROR(VLOOKUP(シフト組み!AF150,役職一覧!$B:$D,2,FALSE),"")</f>
        <v/>
      </c>
      <c r="AG120" s="17" t="str">
        <f>IFERROR(VLOOKUP(シフト組み!AG150,役職一覧!$B:$D,2,FALSE),"")</f>
        <v/>
      </c>
      <c r="AH120" s="17" t="str">
        <f>IFERROR(VLOOKUP(シフト組み!AH150,役職一覧!$B:$D,3,FALSE),"")</f>
        <v/>
      </c>
      <c r="AI120" s="17" t="str">
        <f>IFERROR(VLOOKUP(シフト組み!AI150,役職一覧!$B:$D,3,FALSE),"")</f>
        <v/>
      </c>
      <c r="AJ120" s="17" t="str">
        <f>IFERROR(VLOOKUP(シフト組み!AJ150,役職一覧!$B:$D,3,FALSE),"")</f>
        <v/>
      </c>
      <c r="AK120" s="17" t="str">
        <f>IFERROR(VLOOKUP(シフト組み!AK150,役職一覧!$B:$D,3,FALSE),"")</f>
        <v/>
      </c>
      <c r="AL120" s="17" t="str">
        <f>IFERROR(VLOOKUP(シフト組み!AL150,役職一覧!$B:$D,3,FALSE),"")</f>
        <v/>
      </c>
      <c r="AM120" s="17" t="str">
        <f>IFERROR(VLOOKUP(シフト組み!AM150,役職一覧!$B:$D,3,FALSE),"")</f>
        <v/>
      </c>
      <c r="AN120" s="17" t="str">
        <f>IFERROR(VLOOKUP(シフト組み!AN150,役職一覧!$B:$D,3,FALSE),"")</f>
        <v/>
      </c>
      <c r="AO120" s="17" t="str">
        <f>IFERROR(VLOOKUP(シフト組み!AO150,役職一覧!$B:$D,3,FALSE),"")</f>
        <v/>
      </c>
      <c r="AP120" s="17" t="str">
        <f>IFERROR(VLOOKUP(シフト組み!AP150,役職一覧!$B:$D,3,FALSE),"")</f>
        <v/>
      </c>
      <c r="AQ120" s="17" t="str">
        <f>IFERROR(VLOOKUP(シフト組み!AQ150,役職一覧!$B:$D,3,FALSE),"")</f>
        <v/>
      </c>
      <c r="AR120" s="17" t="str">
        <f>IFERROR(VLOOKUP(シフト組み!AR150,役職一覧!$B:$D,3,FALSE),"")</f>
        <v/>
      </c>
      <c r="AS120" s="17" t="str">
        <f>IFERROR(VLOOKUP(シフト組み!AS150,役職一覧!$B:$D,3,FALSE),"")</f>
        <v/>
      </c>
      <c r="AT120" s="17" t="str">
        <f>IFERROR(VLOOKUP(シフト組み!AT150,役職一覧!$B:$D,3,FALSE),"")</f>
        <v/>
      </c>
      <c r="AU120" s="17" t="str">
        <f>IFERROR(VLOOKUP(シフト組み!AU150,役職一覧!$B:$D,3,FALSE),"")</f>
        <v/>
      </c>
      <c r="AV120" s="17" t="str">
        <f>IFERROR(VLOOKUP(シフト組み!AV150,役職一覧!$B:$D,3,FALSE),"")</f>
        <v/>
      </c>
      <c r="AW120" s="17" t="str">
        <f>IFERROR(VLOOKUP(シフト組み!AW150,役職一覧!$B:$D,3,FALSE),"")</f>
        <v/>
      </c>
      <c r="AX120" s="17" t="str">
        <f>IFERROR(VLOOKUP(シフト組み!AX150,役職一覧!$B:$D,3,FALSE),"")</f>
        <v/>
      </c>
      <c r="AY120" s="17" t="str">
        <f>IFERROR(VLOOKUP(シフト組み!AY150,役職一覧!$B:$D,3,FALSE),"")</f>
        <v/>
      </c>
      <c r="AZ120" s="17" t="str">
        <f>IFERROR(VLOOKUP(シフト組み!AZ150,役職一覧!$B:$D,3,FALSE),"")</f>
        <v/>
      </c>
      <c r="BA120" s="17" t="str">
        <f>IFERROR(VLOOKUP(シフト組み!BA150,役職一覧!$B:$D,3,FALSE),"")</f>
        <v/>
      </c>
    </row>
    <row r="121" spans="1:53">
      <c r="A121" s="2" t="str">
        <f>シフト組み!A151&amp;""</f>
        <v/>
      </c>
      <c r="B121" s="2" t="str">
        <f>シフト組み!B151&amp;""</f>
        <v/>
      </c>
      <c r="C121" s="2" t="str">
        <f>シフト組み!C151&amp;""</f>
        <v/>
      </c>
      <c r="D121" s="17" t="str">
        <f>IFERROR(VLOOKUP(シフト組み!D151,役職一覧!$B:$D,2,FALSE),"")</f>
        <v/>
      </c>
      <c r="E121" s="17" t="str">
        <f>IFERROR(VLOOKUP(シフト組み!E151,役職一覧!$B:$D,2,FALSE),"")</f>
        <v/>
      </c>
      <c r="F121" s="17" t="str">
        <f>IFERROR(VLOOKUP(シフト組み!F151,役職一覧!$B:$D,2,FALSE),"")</f>
        <v/>
      </c>
      <c r="G121" s="17" t="str">
        <f>IFERROR(VLOOKUP(シフト組み!G151,役職一覧!$B:$D,2,FALSE),"")</f>
        <v/>
      </c>
      <c r="H121" s="17" t="str">
        <f>IFERROR(VLOOKUP(シフト組み!H151,役職一覧!$B:$D,2,FALSE),"")</f>
        <v/>
      </c>
      <c r="I121" s="17" t="str">
        <f>IFERROR(VLOOKUP(シフト組み!I151,役職一覧!$B:$D,2,FALSE),"")</f>
        <v/>
      </c>
      <c r="J121" s="17" t="str">
        <f>IFERROR(VLOOKUP(シフト組み!J151,役職一覧!$B:$D,2,FALSE),"")</f>
        <v/>
      </c>
      <c r="K121" s="17" t="str">
        <f>IFERROR(VLOOKUP(シフト組み!K151,役職一覧!$B:$D,2,FALSE),"")</f>
        <v/>
      </c>
      <c r="L121" s="17" t="str">
        <f>IFERROR(VLOOKUP(シフト組み!L151,役職一覧!$B:$D,2,FALSE),"")</f>
        <v/>
      </c>
      <c r="M121" s="17" t="str">
        <f>IFERROR(VLOOKUP(シフト組み!M151,役職一覧!$B:$D,2,FALSE),"")</f>
        <v/>
      </c>
      <c r="N121" s="17" t="str">
        <f>IFERROR(VLOOKUP(シフト組み!N151,役職一覧!$B:$D,2,FALSE),"")</f>
        <v/>
      </c>
      <c r="O121" s="17" t="str">
        <f>IFERROR(VLOOKUP(シフト組み!O151,役職一覧!$B:$D,2,FALSE),"")</f>
        <v/>
      </c>
      <c r="P121" s="17" t="str">
        <f>IFERROR(VLOOKUP(シフト組み!P151,役職一覧!$B:$D,2,FALSE),"")</f>
        <v/>
      </c>
      <c r="Q121" s="17" t="str">
        <f>IFERROR(VLOOKUP(シフト組み!Q151,役職一覧!$B:$D,2,FALSE),"")</f>
        <v/>
      </c>
      <c r="R121" s="17" t="str">
        <f>IFERROR(VLOOKUP(シフト組み!R151,役職一覧!$B:$D,2,FALSE),"")</f>
        <v/>
      </c>
      <c r="S121" s="17" t="str">
        <f>IFERROR(VLOOKUP(シフト組み!S151,役職一覧!$B:$D,2,FALSE),"")</f>
        <v/>
      </c>
      <c r="T121" s="17" t="str">
        <f>IFERROR(VLOOKUP(シフト組み!T151,役職一覧!$B:$D,2,FALSE),"")</f>
        <v/>
      </c>
      <c r="U121" s="17" t="str">
        <f>IFERROR(VLOOKUP(シフト組み!U151,役職一覧!$B:$D,2,FALSE),"")</f>
        <v/>
      </c>
      <c r="V121" s="17" t="str">
        <f>IFERROR(VLOOKUP(シフト組み!V151,役職一覧!$B:$D,2,FALSE),"")</f>
        <v/>
      </c>
      <c r="W121" s="17" t="str">
        <f>IFERROR(VLOOKUP(シフト組み!W151,役職一覧!$B:$D,2,FALSE),"")</f>
        <v/>
      </c>
      <c r="X121" s="17" t="str">
        <f>IFERROR(VLOOKUP(シフト組み!X151,役職一覧!$B:$D,2,FALSE),"")</f>
        <v/>
      </c>
      <c r="Y121" s="17" t="str">
        <f>IFERROR(VLOOKUP(シフト組み!Y151,役職一覧!$B:$D,2,FALSE),"")</f>
        <v/>
      </c>
      <c r="Z121" s="17" t="str">
        <f>IFERROR(VLOOKUP(シフト組み!Z151,役職一覧!$B:$D,2,FALSE),"")</f>
        <v/>
      </c>
      <c r="AA121" s="17" t="str">
        <f>IFERROR(VLOOKUP(シフト組み!AA151,役職一覧!$B:$D,2,FALSE),"")</f>
        <v/>
      </c>
      <c r="AB121" s="17" t="str">
        <f>IFERROR(VLOOKUP(シフト組み!AB151,役職一覧!$B:$D,2,FALSE),"")</f>
        <v/>
      </c>
      <c r="AC121" s="17" t="str">
        <f>IFERROR(VLOOKUP(シフト組み!AC151,役職一覧!$B:$D,2,FALSE),"")</f>
        <v/>
      </c>
      <c r="AD121" s="17" t="str">
        <f>IFERROR(VLOOKUP(シフト組み!AD151,役職一覧!$B:$D,2,FALSE),"")</f>
        <v/>
      </c>
      <c r="AE121" s="17" t="str">
        <f>IFERROR(VLOOKUP(シフト組み!AE151,役職一覧!$B:$D,2,FALSE),"")</f>
        <v/>
      </c>
      <c r="AF121" s="17" t="str">
        <f>IFERROR(VLOOKUP(シフト組み!AF151,役職一覧!$B:$D,2,FALSE),"")</f>
        <v/>
      </c>
      <c r="AG121" s="17" t="str">
        <f>IFERROR(VLOOKUP(シフト組み!AG151,役職一覧!$B:$D,2,FALSE),"")</f>
        <v/>
      </c>
      <c r="AH121" s="17" t="str">
        <f>IFERROR(VLOOKUP(シフト組み!AH151,役職一覧!$B:$D,3,FALSE),"")</f>
        <v/>
      </c>
      <c r="AI121" s="17" t="str">
        <f>IFERROR(VLOOKUP(シフト組み!AI151,役職一覧!$B:$D,3,FALSE),"")</f>
        <v/>
      </c>
      <c r="AJ121" s="17" t="str">
        <f>IFERROR(VLOOKUP(シフト組み!AJ151,役職一覧!$B:$D,3,FALSE),"")</f>
        <v/>
      </c>
      <c r="AK121" s="17" t="str">
        <f>IFERROR(VLOOKUP(シフト組み!AK151,役職一覧!$B:$D,3,FALSE),"")</f>
        <v/>
      </c>
      <c r="AL121" s="17" t="str">
        <f>IFERROR(VLOOKUP(シフト組み!AL151,役職一覧!$B:$D,3,FALSE),"")</f>
        <v/>
      </c>
      <c r="AM121" s="17" t="str">
        <f>IFERROR(VLOOKUP(シフト組み!AM151,役職一覧!$B:$D,3,FALSE),"")</f>
        <v/>
      </c>
      <c r="AN121" s="17" t="str">
        <f>IFERROR(VLOOKUP(シフト組み!AN151,役職一覧!$B:$D,3,FALSE),"")</f>
        <v/>
      </c>
      <c r="AO121" s="17" t="str">
        <f>IFERROR(VLOOKUP(シフト組み!AO151,役職一覧!$B:$D,3,FALSE),"")</f>
        <v/>
      </c>
      <c r="AP121" s="17" t="str">
        <f>IFERROR(VLOOKUP(シフト組み!AP151,役職一覧!$B:$D,3,FALSE),"")</f>
        <v/>
      </c>
      <c r="AQ121" s="17" t="str">
        <f>IFERROR(VLOOKUP(シフト組み!AQ151,役職一覧!$B:$D,3,FALSE),"")</f>
        <v/>
      </c>
      <c r="AR121" s="17" t="str">
        <f>IFERROR(VLOOKUP(シフト組み!AR151,役職一覧!$B:$D,3,FALSE),"")</f>
        <v/>
      </c>
      <c r="AS121" s="17" t="str">
        <f>IFERROR(VLOOKUP(シフト組み!AS151,役職一覧!$B:$D,3,FALSE),"")</f>
        <v/>
      </c>
      <c r="AT121" s="17" t="str">
        <f>IFERROR(VLOOKUP(シフト組み!AT151,役職一覧!$B:$D,3,FALSE),"")</f>
        <v/>
      </c>
      <c r="AU121" s="17" t="str">
        <f>IFERROR(VLOOKUP(シフト組み!AU151,役職一覧!$B:$D,3,FALSE),"")</f>
        <v/>
      </c>
      <c r="AV121" s="17" t="str">
        <f>IFERROR(VLOOKUP(シフト組み!AV151,役職一覧!$B:$D,3,FALSE),"")</f>
        <v/>
      </c>
      <c r="AW121" s="17" t="str">
        <f>IFERROR(VLOOKUP(シフト組み!AW151,役職一覧!$B:$D,3,FALSE),"")</f>
        <v/>
      </c>
      <c r="AX121" s="17" t="str">
        <f>IFERROR(VLOOKUP(シフト組み!AX151,役職一覧!$B:$D,3,FALSE),"")</f>
        <v/>
      </c>
      <c r="AY121" s="17" t="str">
        <f>IFERROR(VLOOKUP(シフト組み!AY151,役職一覧!$B:$D,3,FALSE),"")</f>
        <v/>
      </c>
      <c r="AZ121" s="17" t="str">
        <f>IFERROR(VLOOKUP(シフト組み!AZ151,役職一覧!$B:$D,3,FALSE),"")</f>
        <v/>
      </c>
      <c r="BA121" s="17" t="str">
        <f>IFERROR(VLOOKUP(シフト組み!BA151,役職一覧!$B:$D,3,FALSE),"")</f>
        <v/>
      </c>
    </row>
    <row r="122" spans="1:53">
      <c r="A122" s="2" t="str">
        <f>シフト組み!A152&amp;""</f>
        <v/>
      </c>
      <c r="B122" s="2" t="str">
        <f>シフト組み!B152&amp;""</f>
        <v/>
      </c>
      <c r="C122" s="2" t="str">
        <f>シフト組み!C152&amp;""</f>
        <v/>
      </c>
      <c r="D122" s="17" t="str">
        <f>IFERROR(VLOOKUP(シフト組み!D152,役職一覧!$B:$D,2,FALSE),"")</f>
        <v/>
      </c>
      <c r="E122" s="17" t="str">
        <f>IFERROR(VLOOKUP(シフト組み!E152,役職一覧!$B:$D,2,FALSE),"")</f>
        <v/>
      </c>
      <c r="F122" s="17" t="str">
        <f>IFERROR(VLOOKUP(シフト組み!F152,役職一覧!$B:$D,2,FALSE),"")</f>
        <v/>
      </c>
      <c r="G122" s="17" t="str">
        <f>IFERROR(VLOOKUP(シフト組み!G152,役職一覧!$B:$D,2,FALSE),"")</f>
        <v/>
      </c>
      <c r="H122" s="17" t="str">
        <f>IFERROR(VLOOKUP(シフト組み!H152,役職一覧!$B:$D,2,FALSE),"")</f>
        <v/>
      </c>
      <c r="I122" s="17" t="str">
        <f>IFERROR(VLOOKUP(シフト組み!I152,役職一覧!$B:$D,2,FALSE),"")</f>
        <v/>
      </c>
      <c r="J122" s="17" t="str">
        <f>IFERROR(VLOOKUP(シフト組み!J152,役職一覧!$B:$D,2,FALSE),"")</f>
        <v/>
      </c>
      <c r="K122" s="17" t="str">
        <f>IFERROR(VLOOKUP(シフト組み!K152,役職一覧!$B:$D,2,FALSE),"")</f>
        <v/>
      </c>
      <c r="L122" s="17" t="str">
        <f>IFERROR(VLOOKUP(シフト組み!L152,役職一覧!$B:$D,2,FALSE),"")</f>
        <v/>
      </c>
      <c r="M122" s="17" t="str">
        <f>IFERROR(VLOOKUP(シフト組み!M152,役職一覧!$B:$D,2,FALSE),"")</f>
        <v/>
      </c>
      <c r="N122" s="17" t="str">
        <f>IFERROR(VLOOKUP(シフト組み!N152,役職一覧!$B:$D,2,FALSE),"")</f>
        <v/>
      </c>
      <c r="O122" s="17" t="str">
        <f>IFERROR(VLOOKUP(シフト組み!O152,役職一覧!$B:$D,2,FALSE),"")</f>
        <v/>
      </c>
      <c r="P122" s="17" t="str">
        <f>IFERROR(VLOOKUP(シフト組み!P152,役職一覧!$B:$D,2,FALSE),"")</f>
        <v/>
      </c>
      <c r="Q122" s="17" t="str">
        <f>IFERROR(VLOOKUP(シフト組み!Q152,役職一覧!$B:$D,2,FALSE),"")</f>
        <v/>
      </c>
      <c r="R122" s="17" t="str">
        <f>IFERROR(VLOOKUP(シフト組み!R152,役職一覧!$B:$D,2,FALSE),"")</f>
        <v/>
      </c>
      <c r="S122" s="17" t="str">
        <f>IFERROR(VLOOKUP(シフト組み!S152,役職一覧!$B:$D,2,FALSE),"")</f>
        <v/>
      </c>
      <c r="T122" s="17" t="str">
        <f>IFERROR(VLOOKUP(シフト組み!T152,役職一覧!$B:$D,2,FALSE),"")</f>
        <v/>
      </c>
      <c r="U122" s="17" t="str">
        <f>IFERROR(VLOOKUP(シフト組み!U152,役職一覧!$B:$D,2,FALSE),"")</f>
        <v/>
      </c>
      <c r="V122" s="17" t="str">
        <f>IFERROR(VLOOKUP(シフト組み!V152,役職一覧!$B:$D,2,FALSE),"")</f>
        <v/>
      </c>
      <c r="W122" s="17" t="str">
        <f>IFERROR(VLOOKUP(シフト組み!W152,役職一覧!$B:$D,2,FALSE),"")</f>
        <v/>
      </c>
      <c r="X122" s="17" t="str">
        <f>IFERROR(VLOOKUP(シフト組み!X152,役職一覧!$B:$D,2,FALSE),"")</f>
        <v/>
      </c>
      <c r="Y122" s="17" t="str">
        <f>IFERROR(VLOOKUP(シフト組み!Y152,役職一覧!$B:$D,2,FALSE),"")</f>
        <v/>
      </c>
      <c r="Z122" s="17" t="str">
        <f>IFERROR(VLOOKUP(シフト組み!Z152,役職一覧!$B:$D,2,FALSE),"")</f>
        <v/>
      </c>
      <c r="AA122" s="17" t="str">
        <f>IFERROR(VLOOKUP(シフト組み!AA152,役職一覧!$B:$D,2,FALSE),"")</f>
        <v/>
      </c>
      <c r="AB122" s="17" t="str">
        <f>IFERROR(VLOOKUP(シフト組み!AB152,役職一覧!$B:$D,2,FALSE),"")</f>
        <v/>
      </c>
      <c r="AC122" s="17" t="str">
        <f>IFERROR(VLOOKUP(シフト組み!AC152,役職一覧!$B:$D,2,FALSE),"")</f>
        <v/>
      </c>
      <c r="AD122" s="17" t="str">
        <f>IFERROR(VLOOKUP(シフト組み!AD152,役職一覧!$B:$D,2,FALSE),"")</f>
        <v/>
      </c>
      <c r="AE122" s="17" t="str">
        <f>IFERROR(VLOOKUP(シフト組み!AE152,役職一覧!$B:$D,2,FALSE),"")</f>
        <v/>
      </c>
      <c r="AF122" s="17" t="str">
        <f>IFERROR(VLOOKUP(シフト組み!AF152,役職一覧!$B:$D,2,FALSE),"")</f>
        <v/>
      </c>
      <c r="AG122" s="17" t="str">
        <f>IFERROR(VLOOKUP(シフト組み!AG152,役職一覧!$B:$D,2,FALSE),"")</f>
        <v/>
      </c>
      <c r="AH122" s="17" t="str">
        <f>IFERROR(VLOOKUP(シフト組み!AH152,役職一覧!$B:$D,3,FALSE),"")</f>
        <v/>
      </c>
      <c r="AI122" s="17" t="str">
        <f>IFERROR(VLOOKUP(シフト組み!AI152,役職一覧!$B:$D,3,FALSE),"")</f>
        <v/>
      </c>
      <c r="AJ122" s="17" t="str">
        <f>IFERROR(VLOOKUP(シフト組み!AJ152,役職一覧!$B:$D,3,FALSE),"")</f>
        <v/>
      </c>
      <c r="AK122" s="17" t="str">
        <f>IFERROR(VLOOKUP(シフト組み!AK152,役職一覧!$B:$D,3,FALSE),"")</f>
        <v/>
      </c>
      <c r="AL122" s="17" t="str">
        <f>IFERROR(VLOOKUP(シフト組み!AL152,役職一覧!$B:$D,3,FALSE),"")</f>
        <v/>
      </c>
      <c r="AM122" s="17" t="str">
        <f>IFERROR(VLOOKUP(シフト組み!AM152,役職一覧!$B:$D,3,FALSE),"")</f>
        <v/>
      </c>
      <c r="AN122" s="17" t="str">
        <f>IFERROR(VLOOKUP(シフト組み!AN152,役職一覧!$B:$D,3,FALSE),"")</f>
        <v/>
      </c>
      <c r="AO122" s="17" t="str">
        <f>IFERROR(VLOOKUP(シフト組み!AO152,役職一覧!$B:$D,3,FALSE),"")</f>
        <v/>
      </c>
      <c r="AP122" s="17" t="str">
        <f>IFERROR(VLOOKUP(シフト組み!AP152,役職一覧!$B:$D,3,FALSE),"")</f>
        <v/>
      </c>
      <c r="AQ122" s="17" t="str">
        <f>IFERROR(VLOOKUP(シフト組み!AQ152,役職一覧!$B:$D,3,FALSE),"")</f>
        <v/>
      </c>
      <c r="AR122" s="17" t="str">
        <f>IFERROR(VLOOKUP(シフト組み!AR152,役職一覧!$B:$D,3,FALSE),"")</f>
        <v/>
      </c>
      <c r="AS122" s="17" t="str">
        <f>IFERROR(VLOOKUP(シフト組み!AS152,役職一覧!$B:$D,3,FALSE),"")</f>
        <v/>
      </c>
      <c r="AT122" s="17" t="str">
        <f>IFERROR(VLOOKUP(シフト組み!AT152,役職一覧!$B:$D,3,FALSE),"")</f>
        <v/>
      </c>
      <c r="AU122" s="17" t="str">
        <f>IFERROR(VLOOKUP(シフト組み!AU152,役職一覧!$B:$D,3,FALSE),"")</f>
        <v/>
      </c>
      <c r="AV122" s="17" t="str">
        <f>IFERROR(VLOOKUP(シフト組み!AV152,役職一覧!$B:$D,3,FALSE),"")</f>
        <v/>
      </c>
      <c r="AW122" s="17" t="str">
        <f>IFERROR(VLOOKUP(シフト組み!AW152,役職一覧!$B:$D,3,FALSE),"")</f>
        <v/>
      </c>
      <c r="AX122" s="17" t="str">
        <f>IFERROR(VLOOKUP(シフト組み!AX152,役職一覧!$B:$D,3,FALSE),"")</f>
        <v/>
      </c>
      <c r="AY122" s="17" t="str">
        <f>IFERROR(VLOOKUP(シフト組み!AY152,役職一覧!$B:$D,3,FALSE),"")</f>
        <v/>
      </c>
      <c r="AZ122" s="17" t="str">
        <f>IFERROR(VLOOKUP(シフト組み!AZ152,役職一覧!$B:$D,3,FALSE),"")</f>
        <v/>
      </c>
      <c r="BA122" s="17" t="str">
        <f>IFERROR(VLOOKUP(シフト組み!BA152,役職一覧!$B:$D,3,FALSE),"")</f>
        <v/>
      </c>
    </row>
    <row r="123" spans="1:53">
      <c r="A123" s="2" t="str">
        <f>シフト組み!A153&amp;""</f>
        <v/>
      </c>
      <c r="B123" s="2" t="str">
        <f>シフト組み!B153&amp;""</f>
        <v/>
      </c>
      <c r="C123" s="2" t="str">
        <f>シフト組み!C153&amp;""</f>
        <v/>
      </c>
      <c r="D123" s="17" t="str">
        <f>IFERROR(VLOOKUP(シフト組み!D153,役職一覧!$B:$D,2,FALSE),"")</f>
        <v/>
      </c>
      <c r="E123" s="17" t="str">
        <f>IFERROR(VLOOKUP(シフト組み!E153,役職一覧!$B:$D,2,FALSE),"")</f>
        <v/>
      </c>
      <c r="F123" s="17" t="str">
        <f>IFERROR(VLOOKUP(シフト組み!F153,役職一覧!$B:$D,2,FALSE),"")</f>
        <v/>
      </c>
      <c r="G123" s="17" t="str">
        <f>IFERROR(VLOOKUP(シフト組み!G153,役職一覧!$B:$D,2,FALSE),"")</f>
        <v/>
      </c>
      <c r="H123" s="17" t="str">
        <f>IFERROR(VLOOKUP(シフト組み!H153,役職一覧!$B:$D,2,FALSE),"")</f>
        <v/>
      </c>
      <c r="I123" s="17" t="str">
        <f>IFERROR(VLOOKUP(シフト組み!I153,役職一覧!$B:$D,2,FALSE),"")</f>
        <v/>
      </c>
      <c r="J123" s="17" t="str">
        <f>IFERROR(VLOOKUP(シフト組み!J153,役職一覧!$B:$D,2,FALSE),"")</f>
        <v/>
      </c>
      <c r="K123" s="17" t="str">
        <f>IFERROR(VLOOKUP(シフト組み!K153,役職一覧!$B:$D,2,FALSE),"")</f>
        <v/>
      </c>
      <c r="L123" s="17" t="str">
        <f>IFERROR(VLOOKUP(シフト組み!L153,役職一覧!$B:$D,2,FALSE),"")</f>
        <v/>
      </c>
      <c r="M123" s="17" t="str">
        <f>IFERROR(VLOOKUP(シフト組み!M153,役職一覧!$B:$D,2,FALSE),"")</f>
        <v/>
      </c>
      <c r="N123" s="17" t="str">
        <f>IFERROR(VLOOKUP(シフト組み!N153,役職一覧!$B:$D,2,FALSE),"")</f>
        <v/>
      </c>
      <c r="O123" s="17" t="str">
        <f>IFERROR(VLOOKUP(シフト組み!O153,役職一覧!$B:$D,2,FALSE),"")</f>
        <v/>
      </c>
      <c r="P123" s="17" t="str">
        <f>IFERROR(VLOOKUP(シフト組み!P153,役職一覧!$B:$D,2,FALSE),"")</f>
        <v/>
      </c>
      <c r="Q123" s="17" t="str">
        <f>IFERROR(VLOOKUP(シフト組み!Q153,役職一覧!$B:$D,2,FALSE),"")</f>
        <v/>
      </c>
      <c r="R123" s="17" t="str">
        <f>IFERROR(VLOOKUP(シフト組み!R153,役職一覧!$B:$D,2,FALSE),"")</f>
        <v/>
      </c>
      <c r="S123" s="17" t="str">
        <f>IFERROR(VLOOKUP(シフト組み!S153,役職一覧!$B:$D,2,FALSE),"")</f>
        <v/>
      </c>
      <c r="T123" s="17" t="str">
        <f>IFERROR(VLOOKUP(シフト組み!T153,役職一覧!$B:$D,2,FALSE),"")</f>
        <v/>
      </c>
      <c r="U123" s="17" t="str">
        <f>IFERROR(VLOOKUP(シフト組み!U153,役職一覧!$B:$D,2,FALSE),"")</f>
        <v/>
      </c>
      <c r="V123" s="17" t="str">
        <f>IFERROR(VLOOKUP(シフト組み!V153,役職一覧!$B:$D,2,FALSE),"")</f>
        <v/>
      </c>
      <c r="W123" s="17" t="str">
        <f>IFERROR(VLOOKUP(シフト組み!W153,役職一覧!$B:$D,2,FALSE),"")</f>
        <v/>
      </c>
      <c r="X123" s="17" t="str">
        <f>IFERROR(VLOOKUP(シフト組み!X153,役職一覧!$B:$D,2,FALSE),"")</f>
        <v/>
      </c>
      <c r="Y123" s="17" t="str">
        <f>IFERROR(VLOOKUP(シフト組み!Y153,役職一覧!$B:$D,2,FALSE),"")</f>
        <v/>
      </c>
      <c r="Z123" s="17" t="str">
        <f>IFERROR(VLOOKUP(シフト組み!Z153,役職一覧!$B:$D,2,FALSE),"")</f>
        <v/>
      </c>
      <c r="AA123" s="17" t="str">
        <f>IFERROR(VLOOKUP(シフト組み!AA153,役職一覧!$B:$D,2,FALSE),"")</f>
        <v/>
      </c>
      <c r="AB123" s="17" t="str">
        <f>IFERROR(VLOOKUP(シフト組み!AB153,役職一覧!$B:$D,2,FALSE),"")</f>
        <v/>
      </c>
      <c r="AC123" s="17" t="str">
        <f>IFERROR(VLOOKUP(シフト組み!AC153,役職一覧!$B:$D,2,FALSE),"")</f>
        <v/>
      </c>
      <c r="AD123" s="17" t="str">
        <f>IFERROR(VLOOKUP(シフト組み!AD153,役職一覧!$B:$D,2,FALSE),"")</f>
        <v/>
      </c>
      <c r="AE123" s="17" t="str">
        <f>IFERROR(VLOOKUP(シフト組み!AE153,役職一覧!$B:$D,2,FALSE),"")</f>
        <v/>
      </c>
      <c r="AF123" s="17" t="str">
        <f>IFERROR(VLOOKUP(シフト組み!AF153,役職一覧!$B:$D,2,FALSE),"")</f>
        <v/>
      </c>
      <c r="AG123" s="17" t="str">
        <f>IFERROR(VLOOKUP(シフト組み!AG153,役職一覧!$B:$D,2,FALSE),"")</f>
        <v/>
      </c>
      <c r="AH123" s="17" t="str">
        <f>IFERROR(VLOOKUP(シフト組み!AH153,役職一覧!$B:$D,3,FALSE),"")</f>
        <v/>
      </c>
      <c r="AI123" s="17" t="str">
        <f>IFERROR(VLOOKUP(シフト組み!AI153,役職一覧!$B:$D,3,FALSE),"")</f>
        <v/>
      </c>
      <c r="AJ123" s="17" t="str">
        <f>IFERROR(VLOOKUP(シフト組み!AJ153,役職一覧!$B:$D,3,FALSE),"")</f>
        <v/>
      </c>
      <c r="AK123" s="17" t="str">
        <f>IFERROR(VLOOKUP(シフト組み!AK153,役職一覧!$B:$D,3,FALSE),"")</f>
        <v/>
      </c>
      <c r="AL123" s="17" t="str">
        <f>IFERROR(VLOOKUP(シフト組み!AL153,役職一覧!$B:$D,3,FALSE),"")</f>
        <v/>
      </c>
      <c r="AM123" s="17" t="str">
        <f>IFERROR(VLOOKUP(シフト組み!AM153,役職一覧!$B:$D,3,FALSE),"")</f>
        <v/>
      </c>
      <c r="AN123" s="17" t="str">
        <f>IFERROR(VLOOKUP(シフト組み!AN153,役職一覧!$B:$D,3,FALSE),"")</f>
        <v/>
      </c>
      <c r="AO123" s="17" t="str">
        <f>IFERROR(VLOOKUP(シフト組み!AO153,役職一覧!$B:$D,3,FALSE),"")</f>
        <v/>
      </c>
      <c r="AP123" s="17" t="str">
        <f>IFERROR(VLOOKUP(シフト組み!AP153,役職一覧!$B:$D,3,FALSE),"")</f>
        <v/>
      </c>
      <c r="AQ123" s="17" t="str">
        <f>IFERROR(VLOOKUP(シフト組み!AQ153,役職一覧!$B:$D,3,FALSE),"")</f>
        <v/>
      </c>
      <c r="AR123" s="17" t="str">
        <f>IFERROR(VLOOKUP(シフト組み!AR153,役職一覧!$B:$D,3,FALSE),"")</f>
        <v/>
      </c>
      <c r="AS123" s="17" t="str">
        <f>IFERROR(VLOOKUP(シフト組み!AS153,役職一覧!$B:$D,3,FALSE),"")</f>
        <v/>
      </c>
      <c r="AT123" s="17" t="str">
        <f>IFERROR(VLOOKUP(シフト組み!AT153,役職一覧!$B:$D,3,FALSE),"")</f>
        <v/>
      </c>
      <c r="AU123" s="17" t="str">
        <f>IFERROR(VLOOKUP(シフト組み!AU153,役職一覧!$B:$D,3,FALSE),"")</f>
        <v/>
      </c>
      <c r="AV123" s="17" t="str">
        <f>IFERROR(VLOOKUP(シフト組み!AV153,役職一覧!$B:$D,3,FALSE),"")</f>
        <v/>
      </c>
      <c r="AW123" s="17" t="str">
        <f>IFERROR(VLOOKUP(シフト組み!AW153,役職一覧!$B:$D,3,FALSE),"")</f>
        <v/>
      </c>
      <c r="AX123" s="17" t="str">
        <f>IFERROR(VLOOKUP(シフト組み!AX153,役職一覧!$B:$D,3,FALSE),"")</f>
        <v/>
      </c>
      <c r="AY123" s="17" t="str">
        <f>IFERROR(VLOOKUP(シフト組み!AY153,役職一覧!$B:$D,3,FALSE),"")</f>
        <v/>
      </c>
      <c r="AZ123" s="17" t="str">
        <f>IFERROR(VLOOKUP(シフト組み!AZ153,役職一覧!$B:$D,3,FALSE),"")</f>
        <v/>
      </c>
      <c r="BA123" s="17" t="str">
        <f>IFERROR(VLOOKUP(シフト組み!BA153,役職一覧!$B:$D,3,FALSE),"")</f>
        <v/>
      </c>
    </row>
    <row r="124" spans="1:53">
      <c r="A124" s="2" t="str">
        <f>シフト組み!A154&amp;""</f>
        <v/>
      </c>
      <c r="B124" s="2" t="str">
        <f>シフト組み!B154&amp;""</f>
        <v/>
      </c>
      <c r="C124" s="2" t="str">
        <f>シフト組み!C154&amp;""</f>
        <v/>
      </c>
      <c r="D124" s="17" t="str">
        <f>IFERROR(VLOOKUP(シフト組み!D154,役職一覧!$B:$D,2,FALSE),"")</f>
        <v/>
      </c>
      <c r="E124" s="17" t="str">
        <f>IFERROR(VLOOKUP(シフト組み!E154,役職一覧!$B:$D,2,FALSE),"")</f>
        <v/>
      </c>
      <c r="F124" s="17" t="str">
        <f>IFERROR(VLOOKUP(シフト組み!F154,役職一覧!$B:$D,2,FALSE),"")</f>
        <v/>
      </c>
      <c r="G124" s="17" t="str">
        <f>IFERROR(VLOOKUP(シフト組み!G154,役職一覧!$B:$D,2,FALSE),"")</f>
        <v/>
      </c>
      <c r="H124" s="17" t="str">
        <f>IFERROR(VLOOKUP(シフト組み!H154,役職一覧!$B:$D,2,FALSE),"")</f>
        <v/>
      </c>
      <c r="I124" s="17" t="str">
        <f>IFERROR(VLOOKUP(シフト組み!I154,役職一覧!$B:$D,2,FALSE),"")</f>
        <v/>
      </c>
      <c r="J124" s="17" t="str">
        <f>IFERROR(VLOOKUP(シフト組み!J154,役職一覧!$B:$D,2,FALSE),"")</f>
        <v/>
      </c>
      <c r="K124" s="17" t="str">
        <f>IFERROR(VLOOKUP(シフト組み!K154,役職一覧!$B:$D,2,FALSE),"")</f>
        <v/>
      </c>
      <c r="L124" s="17" t="str">
        <f>IFERROR(VLOOKUP(シフト組み!L154,役職一覧!$B:$D,2,FALSE),"")</f>
        <v/>
      </c>
      <c r="M124" s="17" t="str">
        <f>IFERROR(VLOOKUP(シフト組み!M154,役職一覧!$B:$D,2,FALSE),"")</f>
        <v/>
      </c>
      <c r="N124" s="17" t="str">
        <f>IFERROR(VLOOKUP(シフト組み!N154,役職一覧!$B:$D,2,FALSE),"")</f>
        <v/>
      </c>
      <c r="O124" s="17" t="str">
        <f>IFERROR(VLOOKUP(シフト組み!O154,役職一覧!$B:$D,2,FALSE),"")</f>
        <v/>
      </c>
      <c r="P124" s="17" t="str">
        <f>IFERROR(VLOOKUP(シフト組み!P154,役職一覧!$B:$D,2,FALSE),"")</f>
        <v/>
      </c>
      <c r="Q124" s="17" t="str">
        <f>IFERROR(VLOOKUP(シフト組み!Q154,役職一覧!$B:$D,2,FALSE),"")</f>
        <v/>
      </c>
      <c r="R124" s="17" t="str">
        <f>IFERROR(VLOOKUP(シフト組み!R154,役職一覧!$B:$D,2,FALSE),"")</f>
        <v/>
      </c>
      <c r="S124" s="17" t="str">
        <f>IFERROR(VLOOKUP(シフト組み!S154,役職一覧!$B:$D,2,FALSE),"")</f>
        <v/>
      </c>
      <c r="T124" s="17" t="str">
        <f>IFERROR(VLOOKUP(シフト組み!T154,役職一覧!$B:$D,2,FALSE),"")</f>
        <v/>
      </c>
      <c r="U124" s="17" t="str">
        <f>IFERROR(VLOOKUP(シフト組み!U154,役職一覧!$B:$D,2,FALSE),"")</f>
        <v/>
      </c>
      <c r="V124" s="17" t="str">
        <f>IFERROR(VLOOKUP(シフト組み!V154,役職一覧!$B:$D,2,FALSE),"")</f>
        <v/>
      </c>
      <c r="W124" s="17" t="str">
        <f>IFERROR(VLOOKUP(シフト組み!W154,役職一覧!$B:$D,2,FALSE),"")</f>
        <v/>
      </c>
      <c r="X124" s="17" t="str">
        <f>IFERROR(VLOOKUP(シフト組み!X154,役職一覧!$B:$D,2,FALSE),"")</f>
        <v/>
      </c>
      <c r="Y124" s="17" t="str">
        <f>IFERROR(VLOOKUP(シフト組み!Y154,役職一覧!$B:$D,2,FALSE),"")</f>
        <v/>
      </c>
      <c r="Z124" s="17" t="str">
        <f>IFERROR(VLOOKUP(シフト組み!Z154,役職一覧!$B:$D,2,FALSE),"")</f>
        <v/>
      </c>
      <c r="AA124" s="17" t="str">
        <f>IFERROR(VLOOKUP(シフト組み!AA154,役職一覧!$B:$D,2,FALSE),"")</f>
        <v/>
      </c>
      <c r="AB124" s="17" t="str">
        <f>IFERROR(VLOOKUP(シフト組み!AB154,役職一覧!$B:$D,2,FALSE),"")</f>
        <v/>
      </c>
      <c r="AC124" s="17" t="str">
        <f>IFERROR(VLOOKUP(シフト組み!AC154,役職一覧!$B:$D,2,FALSE),"")</f>
        <v/>
      </c>
      <c r="AD124" s="17" t="str">
        <f>IFERROR(VLOOKUP(シフト組み!AD154,役職一覧!$B:$D,2,FALSE),"")</f>
        <v/>
      </c>
      <c r="AE124" s="17" t="str">
        <f>IFERROR(VLOOKUP(シフト組み!AE154,役職一覧!$B:$D,2,FALSE),"")</f>
        <v/>
      </c>
      <c r="AF124" s="17" t="str">
        <f>IFERROR(VLOOKUP(シフト組み!AF154,役職一覧!$B:$D,2,FALSE),"")</f>
        <v/>
      </c>
      <c r="AG124" s="17" t="str">
        <f>IFERROR(VLOOKUP(シフト組み!AG154,役職一覧!$B:$D,2,FALSE),"")</f>
        <v/>
      </c>
      <c r="AH124" s="17" t="str">
        <f>IFERROR(VLOOKUP(シフト組み!AH154,役職一覧!$B:$D,3,FALSE),"")</f>
        <v/>
      </c>
      <c r="AI124" s="17" t="str">
        <f>IFERROR(VLOOKUP(シフト組み!AI154,役職一覧!$B:$D,3,FALSE),"")</f>
        <v/>
      </c>
      <c r="AJ124" s="17" t="str">
        <f>IFERROR(VLOOKUP(シフト組み!AJ154,役職一覧!$B:$D,3,FALSE),"")</f>
        <v/>
      </c>
      <c r="AK124" s="17" t="str">
        <f>IFERROR(VLOOKUP(シフト組み!AK154,役職一覧!$B:$D,3,FALSE),"")</f>
        <v/>
      </c>
      <c r="AL124" s="17" t="str">
        <f>IFERROR(VLOOKUP(シフト組み!AL154,役職一覧!$B:$D,3,FALSE),"")</f>
        <v/>
      </c>
      <c r="AM124" s="17" t="str">
        <f>IFERROR(VLOOKUP(シフト組み!AM154,役職一覧!$B:$D,3,FALSE),"")</f>
        <v/>
      </c>
      <c r="AN124" s="17" t="str">
        <f>IFERROR(VLOOKUP(シフト組み!AN154,役職一覧!$B:$D,3,FALSE),"")</f>
        <v/>
      </c>
      <c r="AO124" s="17" t="str">
        <f>IFERROR(VLOOKUP(シフト組み!AO154,役職一覧!$B:$D,3,FALSE),"")</f>
        <v/>
      </c>
      <c r="AP124" s="17" t="str">
        <f>IFERROR(VLOOKUP(シフト組み!AP154,役職一覧!$B:$D,3,FALSE),"")</f>
        <v/>
      </c>
      <c r="AQ124" s="17" t="str">
        <f>IFERROR(VLOOKUP(シフト組み!AQ154,役職一覧!$B:$D,3,FALSE),"")</f>
        <v/>
      </c>
      <c r="AR124" s="17" t="str">
        <f>IFERROR(VLOOKUP(シフト組み!AR154,役職一覧!$B:$D,3,FALSE),"")</f>
        <v/>
      </c>
      <c r="AS124" s="17" t="str">
        <f>IFERROR(VLOOKUP(シフト組み!AS154,役職一覧!$B:$D,3,FALSE),"")</f>
        <v/>
      </c>
      <c r="AT124" s="17" t="str">
        <f>IFERROR(VLOOKUP(シフト組み!AT154,役職一覧!$B:$D,3,FALSE),"")</f>
        <v/>
      </c>
      <c r="AU124" s="17" t="str">
        <f>IFERROR(VLOOKUP(シフト組み!AU154,役職一覧!$B:$D,3,FALSE),"")</f>
        <v/>
      </c>
      <c r="AV124" s="17" t="str">
        <f>IFERROR(VLOOKUP(シフト組み!AV154,役職一覧!$B:$D,3,FALSE),"")</f>
        <v/>
      </c>
      <c r="AW124" s="17" t="str">
        <f>IFERROR(VLOOKUP(シフト組み!AW154,役職一覧!$B:$D,3,FALSE),"")</f>
        <v/>
      </c>
      <c r="AX124" s="17" t="str">
        <f>IFERROR(VLOOKUP(シフト組み!AX154,役職一覧!$B:$D,3,FALSE),"")</f>
        <v/>
      </c>
      <c r="AY124" s="17" t="str">
        <f>IFERROR(VLOOKUP(シフト組み!AY154,役職一覧!$B:$D,3,FALSE),"")</f>
        <v/>
      </c>
      <c r="AZ124" s="17" t="str">
        <f>IFERROR(VLOOKUP(シフト組み!AZ154,役職一覧!$B:$D,3,FALSE),"")</f>
        <v/>
      </c>
      <c r="BA124" s="17" t="str">
        <f>IFERROR(VLOOKUP(シフト組み!BA154,役職一覧!$B:$D,3,FALSE),"")</f>
        <v/>
      </c>
    </row>
    <row r="125" spans="1:53">
      <c r="A125" s="2" t="str">
        <f>シフト組み!A155&amp;""</f>
        <v/>
      </c>
      <c r="B125" s="2" t="str">
        <f>シフト組み!B155&amp;""</f>
        <v/>
      </c>
      <c r="C125" s="2" t="str">
        <f>シフト組み!C155&amp;""</f>
        <v/>
      </c>
      <c r="D125" s="17" t="str">
        <f>IFERROR(VLOOKUP(シフト組み!D155,役職一覧!$B:$D,2,FALSE),"")</f>
        <v/>
      </c>
      <c r="E125" s="17" t="str">
        <f>IFERROR(VLOOKUP(シフト組み!E155,役職一覧!$B:$D,2,FALSE),"")</f>
        <v/>
      </c>
      <c r="F125" s="17" t="str">
        <f>IFERROR(VLOOKUP(シフト組み!F155,役職一覧!$B:$D,2,FALSE),"")</f>
        <v/>
      </c>
      <c r="G125" s="17" t="str">
        <f>IFERROR(VLOOKUP(シフト組み!G155,役職一覧!$B:$D,2,FALSE),"")</f>
        <v/>
      </c>
      <c r="H125" s="17" t="str">
        <f>IFERROR(VLOOKUP(シフト組み!H155,役職一覧!$B:$D,2,FALSE),"")</f>
        <v/>
      </c>
      <c r="I125" s="17" t="str">
        <f>IFERROR(VLOOKUP(シフト組み!I155,役職一覧!$B:$D,2,FALSE),"")</f>
        <v/>
      </c>
      <c r="J125" s="17" t="str">
        <f>IFERROR(VLOOKUP(シフト組み!J155,役職一覧!$B:$D,2,FALSE),"")</f>
        <v/>
      </c>
      <c r="K125" s="17" t="str">
        <f>IFERROR(VLOOKUP(シフト組み!K155,役職一覧!$B:$D,2,FALSE),"")</f>
        <v/>
      </c>
      <c r="L125" s="17" t="str">
        <f>IFERROR(VLOOKUP(シフト組み!L155,役職一覧!$B:$D,2,FALSE),"")</f>
        <v/>
      </c>
      <c r="M125" s="17" t="str">
        <f>IFERROR(VLOOKUP(シフト組み!M155,役職一覧!$B:$D,2,FALSE),"")</f>
        <v/>
      </c>
      <c r="N125" s="17" t="str">
        <f>IFERROR(VLOOKUP(シフト組み!N155,役職一覧!$B:$D,2,FALSE),"")</f>
        <v/>
      </c>
      <c r="O125" s="17" t="str">
        <f>IFERROR(VLOOKUP(シフト組み!O155,役職一覧!$B:$D,2,FALSE),"")</f>
        <v/>
      </c>
      <c r="P125" s="17" t="str">
        <f>IFERROR(VLOOKUP(シフト組み!P155,役職一覧!$B:$D,2,FALSE),"")</f>
        <v/>
      </c>
      <c r="Q125" s="17" t="str">
        <f>IFERROR(VLOOKUP(シフト組み!Q155,役職一覧!$B:$D,2,FALSE),"")</f>
        <v/>
      </c>
      <c r="R125" s="17" t="str">
        <f>IFERROR(VLOOKUP(シフト組み!R155,役職一覧!$B:$D,2,FALSE),"")</f>
        <v/>
      </c>
      <c r="S125" s="17" t="str">
        <f>IFERROR(VLOOKUP(シフト組み!S155,役職一覧!$B:$D,2,FALSE),"")</f>
        <v/>
      </c>
      <c r="T125" s="17" t="str">
        <f>IFERROR(VLOOKUP(シフト組み!T155,役職一覧!$B:$D,2,FALSE),"")</f>
        <v/>
      </c>
      <c r="U125" s="17" t="str">
        <f>IFERROR(VLOOKUP(シフト組み!U155,役職一覧!$B:$D,2,FALSE),"")</f>
        <v/>
      </c>
      <c r="V125" s="17" t="str">
        <f>IFERROR(VLOOKUP(シフト組み!V155,役職一覧!$B:$D,2,FALSE),"")</f>
        <v/>
      </c>
      <c r="W125" s="17" t="str">
        <f>IFERROR(VLOOKUP(シフト組み!W155,役職一覧!$B:$D,2,FALSE),"")</f>
        <v/>
      </c>
      <c r="X125" s="17" t="str">
        <f>IFERROR(VLOOKUP(シフト組み!X155,役職一覧!$B:$D,2,FALSE),"")</f>
        <v/>
      </c>
      <c r="Y125" s="17" t="str">
        <f>IFERROR(VLOOKUP(シフト組み!Y155,役職一覧!$B:$D,2,FALSE),"")</f>
        <v/>
      </c>
      <c r="Z125" s="17" t="str">
        <f>IFERROR(VLOOKUP(シフト組み!Z155,役職一覧!$B:$D,2,FALSE),"")</f>
        <v/>
      </c>
      <c r="AA125" s="17" t="str">
        <f>IFERROR(VLOOKUP(シフト組み!AA155,役職一覧!$B:$D,2,FALSE),"")</f>
        <v/>
      </c>
      <c r="AB125" s="17" t="str">
        <f>IFERROR(VLOOKUP(シフト組み!AB155,役職一覧!$B:$D,2,FALSE),"")</f>
        <v/>
      </c>
      <c r="AC125" s="17" t="str">
        <f>IFERROR(VLOOKUP(シフト組み!AC155,役職一覧!$B:$D,2,FALSE),"")</f>
        <v/>
      </c>
      <c r="AD125" s="17" t="str">
        <f>IFERROR(VLOOKUP(シフト組み!AD155,役職一覧!$B:$D,2,FALSE),"")</f>
        <v/>
      </c>
      <c r="AE125" s="17" t="str">
        <f>IFERROR(VLOOKUP(シフト組み!AE155,役職一覧!$B:$D,2,FALSE),"")</f>
        <v/>
      </c>
      <c r="AF125" s="17" t="str">
        <f>IFERROR(VLOOKUP(シフト組み!AF155,役職一覧!$B:$D,2,FALSE),"")</f>
        <v/>
      </c>
      <c r="AG125" s="17" t="str">
        <f>IFERROR(VLOOKUP(シフト組み!AG155,役職一覧!$B:$D,2,FALSE),"")</f>
        <v/>
      </c>
      <c r="AH125" s="17" t="str">
        <f>IFERROR(VLOOKUP(シフト組み!AH155,役職一覧!$B:$D,3,FALSE),"")</f>
        <v/>
      </c>
      <c r="AI125" s="17" t="str">
        <f>IFERROR(VLOOKUP(シフト組み!AI155,役職一覧!$B:$D,3,FALSE),"")</f>
        <v/>
      </c>
      <c r="AJ125" s="17" t="str">
        <f>IFERROR(VLOOKUP(シフト組み!AJ155,役職一覧!$B:$D,3,FALSE),"")</f>
        <v/>
      </c>
      <c r="AK125" s="17" t="str">
        <f>IFERROR(VLOOKUP(シフト組み!AK155,役職一覧!$B:$D,3,FALSE),"")</f>
        <v/>
      </c>
      <c r="AL125" s="17" t="str">
        <f>IFERROR(VLOOKUP(シフト組み!AL155,役職一覧!$B:$D,3,FALSE),"")</f>
        <v/>
      </c>
      <c r="AM125" s="17" t="str">
        <f>IFERROR(VLOOKUP(シフト組み!AM155,役職一覧!$B:$D,3,FALSE),"")</f>
        <v/>
      </c>
      <c r="AN125" s="17" t="str">
        <f>IFERROR(VLOOKUP(シフト組み!AN155,役職一覧!$B:$D,3,FALSE),"")</f>
        <v/>
      </c>
      <c r="AO125" s="17" t="str">
        <f>IFERROR(VLOOKUP(シフト組み!AO155,役職一覧!$B:$D,3,FALSE),"")</f>
        <v/>
      </c>
      <c r="AP125" s="17" t="str">
        <f>IFERROR(VLOOKUP(シフト組み!AP155,役職一覧!$B:$D,3,FALSE),"")</f>
        <v/>
      </c>
      <c r="AQ125" s="17" t="str">
        <f>IFERROR(VLOOKUP(シフト組み!AQ155,役職一覧!$B:$D,3,FALSE),"")</f>
        <v/>
      </c>
      <c r="AR125" s="17" t="str">
        <f>IFERROR(VLOOKUP(シフト組み!AR155,役職一覧!$B:$D,3,FALSE),"")</f>
        <v/>
      </c>
      <c r="AS125" s="17" t="str">
        <f>IFERROR(VLOOKUP(シフト組み!AS155,役職一覧!$B:$D,3,FALSE),"")</f>
        <v/>
      </c>
      <c r="AT125" s="17" t="str">
        <f>IFERROR(VLOOKUP(シフト組み!AT155,役職一覧!$B:$D,3,FALSE),"")</f>
        <v/>
      </c>
      <c r="AU125" s="17" t="str">
        <f>IFERROR(VLOOKUP(シフト組み!AU155,役職一覧!$B:$D,3,FALSE),"")</f>
        <v/>
      </c>
      <c r="AV125" s="17" t="str">
        <f>IFERROR(VLOOKUP(シフト組み!AV155,役職一覧!$B:$D,3,FALSE),"")</f>
        <v/>
      </c>
      <c r="AW125" s="17" t="str">
        <f>IFERROR(VLOOKUP(シフト組み!AW155,役職一覧!$B:$D,3,FALSE),"")</f>
        <v/>
      </c>
      <c r="AX125" s="17" t="str">
        <f>IFERROR(VLOOKUP(シフト組み!AX155,役職一覧!$B:$D,3,FALSE),"")</f>
        <v/>
      </c>
      <c r="AY125" s="17" t="str">
        <f>IFERROR(VLOOKUP(シフト組み!AY155,役職一覧!$B:$D,3,FALSE),"")</f>
        <v/>
      </c>
      <c r="AZ125" s="17" t="str">
        <f>IFERROR(VLOOKUP(シフト組み!AZ155,役職一覧!$B:$D,3,FALSE),"")</f>
        <v/>
      </c>
      <c r="BA125" s="17" t="str">
        <f>IFERROR(VLOOKUP(シフト組み!BA155,役職一覧!$B:$D,3,FALSE),"")</f>
        <v/>
      </c>
    </row>
    <row r="126" spans="1:53">
      <c r="A126" s="2" t="str">
        <f>シフト組み!A156&amp;""</f>
        <v/>
      </c>
      <c r="B126" s="2" t="str">
        <f>シフト組み!B156&amp;""</f>
        <v/>
      </c>
      <c r="C126" s="2" t="str">
        <f>シフト組み!C156&amp;""</f>
        <v/>
      </c>
      <c r="D126" s="17" t="str">
        <f>IFERROR(VLOOKUP(シフト組み!D156,役職一覧!$B:$D,2,FALSE),"")</f>
        <v/>
      </c>
      <c r="E126" s="17" t="str">
        <f>IFERROR(VLOOKUP(シフト組み!E156,役職一覧!$B:$D,2,FALSE),"")</f>
        <v/>
      </c>
      <c r="F126" s="17" t="str">
        <f>IFERROR(VLOOKUP(シフト組み!F156,役職一覧!$B:$D,2,FALSE),"")</f>
        <v/>
      </c>
      <c r="G126" s="17" t="str">
        <f>IFERROR(VLOOKUP(シフト組み!G156,役職一覧!$B:$D,2,FALSE),"")</f>
        <v/>
      </c>
      <c r="H126" s="17" t="str">
        <f>IFERROR(VLOOKUP(シフト組み!H156,役職一覧!$B:$D,2,FALSE),"")</f>
        <v/>
      </c>
      <c r="I126" s="17" t="str">
        <f>IFERROR(VLOOKUP(シフト組み!I156,役職一覧!$B:$D,2,FALSE),"")</f>
        <v/>
      </c>
      <c r="J126" s="17" t="str">
        <f>IFERROR(VLOOKUP(シフト組み!J156,役職一覧!$B:$D,2,FALSE),"")</f>
        <v/>
      </c>
      <c r="K126" s="17" t="str">
        <f>IFERROR(VLOOKUP(シフト組み!K156,役職一覧!$B:$D,2,FALSE),"")</f>
        <v/>
      </c>
      <c r="L126" s="17" t="str">
        <f>IFERROR(VLOOKUP(シフト組み!L156,役職一覧!$B:$D,2,FALSE),"")</f>
        <v/>
      </c>
      <c r="M126" s="17" t="str">
        <f>IFERROR(VLOOKUP(シフト組み!M156,役職一覧!$B:$D,2,FALSE),"")</f>
        <v/>
      </c>
      <c r="N126" s="17" t="str">
        <f>IFERROR(VLOOKUP(シフト組み!N156,役職一覧!$B:$D,2,FALSE),"")</f>
        <v/>
      </c>
      <c r="O126" s="17" t="str">
        <f>IFERROR(VLOOKUP(シフト組み!O156,役職一覧!$B:$D,2,FALSE),"")</f>
        <v/>
      </c>
      <c r="P126" s="17" t="str">
        <f>IFERROR(VLOOKUP(シフト組み!P156,役職一覧!$B:$D,2,FALSE),"")</f>
        <v/>
      </c>
      <c r="Q126" s="17" t="str">
        <f>IFERROR(VLOOKUP(シフト組み!Q156,役職一覧!$B:$D,2,FALSE),"")</f>
        <v/>
      </c>
      <c r="R126" s="17" t="str">
        <f>IFERROR(VLOOKUP(シフト組み!R156,役職一覧!$B:$D,2,FALSE),"")</f>
        <v/>
      </c>
      <c r="S126" s="17" t="str">
        <f>IFERROR(VLOOKUP(シフト組み!S156,役職一覧!$B:$D,2,FALSE),"")</f>
        <v/>
      </c>
      <c r="T126" s="17" t="str">
        <f>IFERROR(VLOOKUP(シフト組み!T156,役職一覧!$B:$D,2,FALSE),"")</f>
        <v/>
      </c>
      <c r="U126" s="17" t="str">
        <f>IFERROR(VLOOKUP(シフト組み!U156,役職一覧!$B:$D,2,FALSE),"")</f>
        <v/>
      </c>
      <c r="V126" s="17" t="str">
        <f>IFERROR(VLOOKUP(シフト組み!V156,役職一覧!$B:$D,2,FALSE),"")</f>
        <v/>
      </c>
      <c r="W126" s="17" t="str">
        <f>IFERROR(VLOOKUP(シフト組み!W156,役職一覧!$B:$D,2,FALSE),"")</f>
        <v/>
      </c>
      <c r="X126" s="17" t="str">
        <f>IFERROR(VLOOKUP(シフト組み!X156,役職一覧!$B:$D,2,FALSE),"")</f>
        <v/>
      </c>
      <c r="Y126" s="17" t="str">
        <f>IFERROR(VLOOKUP(シフト組み!Y156,役職一覧!$B:$D,2,FALSE),"")</f>
        <v/>
      </c>
      <c r="Z126" s="17" t="str">
        <f>IFERROR(VLOOKUP(シフト組み!Z156,役職一覧!$B:$D,2,FALSE),"")</f>
        <v/>
      </c>
      <c r="AA126" s="17" t="str">
        <f>IFERROR(VLOOKUP(シフト組み!AA156,役職一覧!$B:$D,2,FALSE),"")</f>
        <v/>
      </c>
      <c r="AB126" s="17" t="str">
        <f>IFERROR(VLOOKUP(シフト組み!AB156,役職一覧!$B:$D,2,FALSE),"")</f>
        <v/>
      </c>
      <c r="AC126" s="17" t="str">
        <f>IFERROR(VLOOKUP(シフト組み!AC156,役職一覧!$B:$D,2,FALSE),"")</f>
        <v/>
      </c>
      <c r="AD126" s="17" t="str">
        <f>IFERROR(VLOOKUP(シフト組み!AD156,役職一覧!$B:$D,2,FALSE),"")</f>
        <v/>
      </c>
      <c r="AE126" s="17" t="str">
        <f>IFERROR(VLOOKUP(シフト組み!AE156,役職一覧!$B:$D,2,FALSE),"")</f>
        <v/>
      </c>
      <c r="AF126" s="17" t="str">
        <f>IFERROR(VLOOKUP(シフト組み!AF156,役職一覧!$B:$D,2,FALSE),"")</f>
        <v/>
      </c>
      <c r="AG126" s="17" t="str">
        <f>IFERROR(VLOOKUP(シフト組み!AG156,役職一覧!$B:$D,2,FALSE),"")</f>
        <v/>
      </c>
      <c r="AH126" s="17" t="str">
        <f>IFERROR(VLOOKUP(シフト組み!AH156,役職一覧!$B:$D,3,FALSE),"")</f>
        <v/>
      </c>
      <c r="AI126" s="17" t="str">
        <f>IFERROR(VLOOKUP(シフト組み!AI156,役職一覧!$B:$D,3,FALSE),"")</f>
        <v/>
      </c>
      <c r="AJ126" s="17" t="str">
        <f>IFERROR(VLOOKUP(シフト組み!AJ156,役職一覧!$B:$D,3,FALSE),"")</f>
        <v/>
      </c>
      <c r="AK126" s="17" t="str">
        <f>IFERROR(VLOOKUP(シフト組み!AK156,役職一覧!$B:$D,3,FALSE),"")</f>
        <v/>
      </c>
      <c r="AL126" s="17" t="str">
        <f>IFERROR(VLOOKUP(シフト組み!AL156,役職一覧!$B:$D,3,FALSE),"")</f>
        <v/>
      </c>
      <c r="AM126" s="17" t="str">
        <f>IFERROR(VLOOKUP(シフト組み!AM156,役職一覧!$B:$D,3,FALSE),"")</f>
        <v/>
      </c>
      <c r="AN126" s="17" t="str">
        <f>IFERROR(VLOOKUP(シフト組み!AN156,役職一覧!$B:$D,3,FALSE),"")</f>
        <v/>
      </c>
      <c r="AO126" s="17" t="str">
        <f>IFERROR(VLOOKUP(シフト組み!AO156,役職一覧!$B:$D,3,FALSE),"")</f>
        <v/>
      </c>
      <c r="AP126" s="17" t="str">
        <f>IFERROR(VLOOKUP(シフト組み!AP156,役職一覧!$B:$D,3,FALSE),"")</f>
        <v/>
      </c>
      <c r="AQ126" s="17" t="str">
        <f>IFERROR(VLOOKUP(シフト組み!AQ156,役職一覧!$B:$D,3,FALSE),"")</f>
        <v/>
      </c>
      <c r="AR126" s="17" t="str">
        <f>IFERROR(VLOOKUP(シフト組み!AR156,役職一覧!$B:$D,3,FALSE),"")</f>
        <v/>
      </c>
      <c r="AS126" s="17" t="str">
        <f>IFERROR(VLOOKUP(シフト組み!AS156,役職一覧!$B:$D,3,FALSE),"")</f>
        <v/>
      </c>
      <c r="AT126" s="17" t="str">
        <f>IFERROR(VLOOKUP(シフト組み!AT156,役職一覧!$B:$D,3,FALSE),"")</f>
        <v/>
      </c>
      <c r="AU126" s="17" t="str">
        <f>IFERROR(VLOOKUP(シフト組み!AU156,役職一覧!$B:$D,3,FALSE),"")</f>
        <v/>
      </c>
      <c r="AV126" s="17" t="str">
        <f>IFERROR(VLOOKUP(シフト組み!AV156,役職一覧!$B:$D,3,FALSE),"")</f>
        <v/>
      </c>
      <c r="AW126" s="17" t="str">
        <f>IFERROR(VLOOKUP(シフト組み!AW156,役職一覧!$B:$D,3,FALSE),"")</f>
        <v/>
      </c>
      <c r="AX126" s="17" t="str">
        <f>IFERROR(VLOOKUP(シフト組み!AX156,役職一覧!$B:$D,3,FALSE),"")</f>
        <v/>
      </c>
      <c r="AY126" s="17" t="str">
        <f>IFERROR(VLOOKUP(シフト組み!AY156,役職一覧!$B:$D,3,FALSE),"")</f>
        <v/>
      </c>
      <c r="AZ126" s="17" t="str">
        <f>IFERROR(VLOOKUP(シフト組み!AZ156,役職一覧!$B:$D,3,FALSE),"")</f>
        <v/>
      </c>
      <c r="BA126" s="17" t="str">
        <f>IFERROR(VLOOKUP(シフト組み!BA156,役職一覧!$B:$D,3,FALSE),"")</f>
        <v/>
      </c>
    </row>
    <row r="127" spans="1:53">
      <c r="A127" s="2" t="str">
        <f>シフト組み!A157&amp;""</f>
        <v/>
      </c>
      <c r="B127" s="2" t="str">
        <f>シフト組み!B157&amp;""</f>
        <v/>
      </c>
      <c r="C127" s="2" t="str">
        <f>シフト組み!C157&amp;""</f>
        <v/>
      </c>
      <c r="D127" s="17" t="str">
        <f>IFERROR(VLOOKUP(シフト組み!D157,役職一覧!$B:$D,2,FALSE),"")</f>
        <v/>
      </c>
      <c r="E127" s="17" t="str">
        <f>IFERROR(VLOOKUP(シフト組み!E157,役職一覧!$B:$D,2,FALSE),"")</f>
        <v/>
      </c>
      <c r="F127" s="17" t="str">
        <f>IFERROR(VLOOKUP(シフト組み!F157,役職一覧!$B:$D,2,FALSE),"")</f>
        <v/>
      </c>
      <c r="G127" s="17" t="str">
        <f>IFERROR(VLOOKUP(シフト組み!G157,役職一覧!$B:$D,2,FALSE),"")</f>
        <v/>
      </c>
      <c r="H127" s="17" t="str">
        <f>IFERROR(VLOOKUP(シフト組み!H157,役職一覧!$B:$D,2,FALSE),"")</f>
        <v/>
      </c>
      <c r="I127" s="17" t="str">
        <f>IFERROR(VLOOKUP(シフト組み!I157,役職一覧!$B:$D,2,FALSE),"")</f>
        <v/>
      </c>
      <c r="J127" s="17" t="str">
        <f>IFERROR(VLOOKUP(シフト組み!J157,役職一覧!$B:$D,2,FALSE),"")</f>
        <v/>
      </c>
      <c r="K127" s="17" t="str">
        <f>IFERROR(VLOOKUP(シフト組み!K157,役職一覧!$B:$D,2,FALSE),"")</f>
        <v/>
      </c>
      <c r="L127" s="17" t="str">
        <f>IFERROR(VLOOKUP(シフト組み!L157,役職一覧!$B:$D,2,FALSE),"")</f>
        <v/>
      </c>
      <c r="M127" s="17" t="str">
        <f>IFERROR(VLOOKUP(シフト組み!M157,役職一覧!$B:$D,2,FALSE),"")</f>
        <v/>
      </c>
      <c r="N127" s="17" t="str">
        <f>IFERROR(VLOOKUP(シフト組み!N157,役職一覧!$B:$D,2,FALSE),"")</f>
        <v/>
      </c>
      <c r="O127" s="17" t="str">
        <f>IFERROR(VLOOKUP(シフト組み!O157,役職一覧!$B:$D,2,FALSE),"")</f>
        <v/>
      </c>
      <c r="P127" s="17" t="str">
        <f>IFERROR(VLOOKUP(シフト組み!P157,役職一覧!$B:$D,2,FALSE),"")</f>
        <v/>
      </c>
      <c r="Q127" s="17" t="str">
        <f>IFERROR(VLOOKUP(シフト組み!Q157,役職一覧!$B:$D,2,FALSE),"")</f>
        <v/>
      </c>
      <c r="R127" s="17" t="str">
        <f>IFERROR(VLOOKUP(シフト組み!R157,役職一覧!$B:$D,2,FALSE),"")</f>
        <v/>
      </c>
      <c r="S127" s="17" t="str">
        <f>IFERROR(VLOOKUP(シフト組み!S157,役職一覧!$B:$D,2,FALSE),"")</f>
        <v/>
      </c>
      <c r="T127" s="17" t="str">
        <f>IFERROR(VLOOKUP(シフト組み!T157,役職一覧!$B:$D,2,FALSE),"")</f>
        <v/>
      </c>
      <c r="U127" s="17" t="str">
        <f>IFERROR(VLOOKUP(シフト組み!U157,役職一覧!$B:$D,2,FALSE),"")</f>
        <v/>
      </c>
      <c r="V127" s="17" t="str">
        <f>IFERROR(VLOOKUP(シフト組み!V157,役職一覧!$B:$D,2,FALSE),"")</f>
        <v/>
      </c>
      <c r="W127" s="17" t="str">
        <f>IFERROR(VLOOKUP(シフト組み!W157,役職一覧!$B:$D,2,FALSE),"")</f>
        <v/>
      </c>
      <c r="X127" s="17" t="str">
        <f>IFERROR(VLOOKUP(シフト組み!X157,役職一覧!$B:$D,2,FALSE),"")</f>
        <v/>
      </c>
      <c r="Y127" s="17" t="str">
        <f>IFERROR(VLOOKUP(シフト組み!Y157,役職一覧!$B:$D,2,FALSE),"")</f>
        <v/>
      </c>
      <c r="Z127" s="17" t="str">
        <f>IFERROR(VLOOKUP(シフト組み!Z157,役職一覧!$B:$D,2,FALSE),"")</f>
        <v/>
      </c>
      <c r="AA127" s="17" t="str">
        <f>IFERROR(VLOOKUP(シフト組み!AA157,役職一覧!$B:$D,2,FALSE),"")</f>
        <v/>
      </c>
      <c r="AB127" s="17" t="str">
        <f>IFERROR(VLOOKUP(シフト組み!AB157,役職一覧!$B:$D,2,FALSE),"")</f>
        <v/>
      </c>
      <c r="AC127" s="17" t="str">
        <f>IFERROR(VLOOKUP(シフト組み!AC157,役職一覧!$B:$D,2,FALSE),"")</f>
        <v/>
      </c>
      <c r="AD127" s="17" t="str">
        <f>IFERROR(VLOOKUP(シフト組み!AD157,役職一覧!$B:$D,2,FALSE),"")</f>
        <v/>
      </c>
      <c r="AE127" s="17" t="str">
        <f>IFERROR(VLOOKUP(シフト組み!AE157,役職一覧!$B:$D,2,FALSE),"")</f>
        <v/>
      </c>
      <c r="AF127" s="17" t="str">
        <f>IFERROR(VLOOKUP(シフト組み!AF157,役職一覧!$B:$D,2,FALSE),"")</f>
        <v/>
      </c>
      <c r="AG127" s="17" t="str">
        <f>IFERROR(VLOOKUP(シフト組み!AG157,役職一覧!$B:$D,2,FALSE),"")</f>
        <v/>
      </c>
      <c r="AH127" s="17" t="str">
        <f>IFERROR(VLOOKUP(シフト組み!AH157,役職一覧!$B:$D,3,FALSE),"")</f>
        <v/>
      </c>
      <c r="AI127" s="17" t="str">
        <f>IFERROR(VLOOKUP(シフト組み!AI157,役職一覧!$B:$D,3,FALSE),"")</f>
        <v/>
      </c>
      <c r="AJ127" s="17" t="str">
        <f>IFERROR(VLOOKUP(シフト組み!AJ157,役職一覧!$B:$D,3,FALSE),"")</f>
        <v/>
      </c>
      <c r="AK127" s="17" t="str">
        <f>IFERROR(VLOOKUP(シフト組み!AK157,役職一覧!$B:$D,3,FALSE),"")</f>
        <v/>
      </c>
      <c r="AL127" s="17" t="str">
        <f>IFERROR(VLOOKUP(シフト組み!AL157,役職一覧!$B:$D,3,FALSE),"")</f>
        <v/>
      </c>
      <c r="AM127" s="17" t="str">
        <f>IFERROR(VLOOKUP(シフト組み!AM157,役職一覧!$B:$D,3,FALSE),"")</f>
        <v/>
      </c>
      <c r="AN127" s="17" t="str">
        <f>IFERROR(VLOOKUP(シフト組み!AN157,役職一覧!$B:$D,3,FALSE),"")</f>
        <v/>
      </c>
      <c r="AO127" s="17" t="str">
        <f>IFERROR(VLOOKUP(シフト組み!AO157,役職一覧!$B:$D,3,FALSE),"")</f>
        <v/>
      </c>
      <c r="AP127" s="17" t="str">
        <f>IFERROR(VLOOKUP(シフト組み!AP157,役職一覧!$B:$D,3,FALSE),"")</f>
        <v/>
      </c>
      <c r="AQ127" s="17" t="str">
        <f>IFERROR(VLOOKUP(シフト組み!AQ157,役職一覧!$B:$D,3,FALSE),"")</f>
        <v/>
      </c>
      <c r="AR127" s="17" t="str">
        <f>IFERROR(VLOOKUP(シフト組み!AR157,役職一覧!$B:$D,3,FALSE),"")</f>
        <v/>
      </c>
      <c r="AS127" s="17" t="str">
        <f>IFERROR(VLOOKUP(シフト組み!AS157,役職一覧!$B:$D,3,FALSE),"")</f>
        <v/>
      </c>
      <c r="AT127" s="17" t="str">
        <f>IFERROR(VLOOKUP(シフト組み!AT157,役職一覧!$B:$D,3,FALSE),"")</f>
        <v/>
      </c>
      <c r="AU127" s="17" t="str">
        <f>IFERROR(VLOOKUP(シフト組み!AU157,役職一覧!$B:$D,3,FALSE),"")</f>
        <v/>
      </c>
      <c r="AV127" s="17" t="str">
        <f>IFERROR(VLOOKUP(シフト組み!AV157,役職一覧!$B:$D,3,FALSE),"")</f>
        <v/>
      </c>
      <c r="AW127" s="17" t="str">
        <f>IFERROR(VLOOKUP(シフト組み!AW157,役職一覧!$B:$D,3,FALSE),"")</f>
        <v/>
      </c>
      <c r="AX127" s="17" t="str">
        <f>IFERROR(VLOOKUP(シフト組み!AX157,役職一覧!$B:$D,3,FALSE),"")</f>
        <v/>
      </c>
      <c r="AY127" s="17" t="str">
        <f>IFERROR(VLOOKUP(シフト組み!AY157,役職一覧!$B:$D,3,FALSE),"")</f>
        <v/>
      </c>
      <c r="AZ127" s="17" t="str">
        <f>IFERROR(VLOOKUP(シフト組み!AZ157,役職一覧!$B:$D,3,FALSE),"")</f>
        <v/>
      </c>
      <c r="BA127" s="17" t="str">
        <f>IFERROR(VLOOKUP(シフト組み!BA157,役職一覧!$B:$D,3,FALSE),"")</f>
        <v/>
      </c>
    </row>
    <row r="128" spans="1:53">
      <c r="A128" s="2" t="str">
        <f>シフト組み!A158&amp;""</f>
        <v/>
      </c>
      <c r="B128" s="2" t="str">
        <f>シフト組み!B158&amp;""</f>
        <v/>
      </c>
      <c r="C128" s="2" t="str">
        <f>シフト組み!C158&amp;""</f>
        <v/>
      </c>
      <c r="D128" s="17" t="str">
        <f>IFERROR(VLOOKUP(シフト組み!D158,役職一覧!$B:$D,2,FALSE),"")</f>
        <v/>
      </c>
      <c r="E128" s="17" t="str">
        <f>IFERROR(VLOOKUP(シフト組み!E158,役職一覧!$B:$D,2,FALSE),"")</f>
        <v/>
      </c>
      <c r="F128" s="17" t="str">
        <f>IFERROR(VLOOKUP(シフト組み!F158,役職一覧!$B:$D,2,FALSE),"")</f>
        <v/>
      </c>
      <c r="G128" s="17" t="str">
        <f>IFERROR(VLOOKUP(シフト組み!G158,役職一覧!$B:$D,2,FALSE),"")</f>
        <v/>
      </c>
      <c r="H128" s="17" t="str">
        <f>IFERROR(VLOOKUP(シフト組み!H158,役職一覧!$B:$D,2,FALSE),"")</f>
        <v/>
      </c>
      <c r="I128" s="17" t="str">
        <f>IFERROR(VLOOKUP(シフト組み!I158,役職一覧!$B:$D,2,FALSE),"")</f>
        <v/>
      </c>
      <c r="J128" s="17" t="str">
        <f>IFERROR(VLOOKUP(シフト組み!J158,役職一覧!$B:$D,2,FALSE),"")</f>
        <v/>
      </c>
      <c r="K128" s="17" t="str">
        <f>IFERROR(VLOOKUP(シフト組み!K158,役職一覧!$B:$D,2,FALSE),"")</f>
        <v/>
      </c>
      <c r="L128" s="17" t="str">
        <f>IFERROR(VLOOKUP(シフト組み!L158,役職一覧!$B:$D,2,FALSE),"")</f>
        <v/>
      </c>
      <c r="M128" s="17" t="str">
        <f>IFERROR(VLOOKUP(シフト組み!M158,役職一覧!$B:$D,2,FALSE),"")</f>
        <v/>
      </c>
      <c r="N128" s="17" t="str">
        <f>IFERROR(VLOOKUP(シフト組み!N158,役職一覧!$B:$D,2,FALSE),"")</f>
        <v/>
      </c>
      <c r="O128" s="17" t="str">
        <f>IFERROR(VLOOKUP(シフト組み!O158,役職一覧!$B:$D,2,FALSE),"")</f>
        <v/>
      </c>
      <c r="P128" s="17" t="str">
        <f>IFERROR(VLOOKUP(シフト組み!P158,役職一覧!$B:$D,2,FALSE),"")</f>
        <v/>
      </c>
      <c r="Q128" s="17" t="str">
        <f>IFERROR(VLOOKUP(シフト組み!Q158,役職一覧!$B:$D,2,FALSE),"")</f>
        <v/>
      </c>
      <c r="R128" s="17" t="str">
        <f>IFERROR(VLOOKUP(シフト組み!R158,役職一覧!$B:$D,2,FALSE),"")</f>
        <v/>
      </c>
      <c r="S128" s="17" t="str">
        <f>IFERROR(VLOOKUP(シフト組み!S158,役職一覧!$B:$D,2,FALSE),"")</f>
        <v/>
      </c>
      <c r="T128" s="17" t="str">
        <f>IFERROR(VLOOKUP(シフト組み!T158,役職一覧!$B:$D,2,FALSE),"")</f>
        <v/>
      </c>
      <c r="U128" s="17" t="str">
        <f>IFERROR(VLOOKUP(シフト組み!U158,役職一覧!$B:$D,2,FALSE),"")</f>
        <v/>
      </c>
      <c r="V128" s="17" t="str">
        <f>IFERROR(VLOOKUP(シフト組み!V158,役職一覧!$B:$D,2,FALSE),"")</f>
        <v/>
      </c>
      <c r="W128" s="17" t="str">
        <f>IFERROR(VLOOKUP(シフト組み!W158,役職一覧!$B:$D,2,FALSE),"")</f>
        <v/>
      </c>
      <c r="X128" s="17" t="str">
        <f>IFERROR(VLOOKUP(シフト組み!X158,役職一覧!$B:$D,2,FALSE),"")</f>
        <v/>
      </c>
      <c r="Y128" s="17" t="str">
        <f>IFERROR(VLOOKUP(シフト組み!Y158,役職一覧!$B:$D,2,FALSE),"")</f>
        <v/>
      </c>
      <c r="Z128" s="17" t="str">
        <f>IFERROR(VLOOKUP(シフト組み!Z158,役職一覧!$B:$D,2,FALSE),"")</f>
        <v/>
      </c>
      <c r="AA128" s="17" t="str">
        <f>IFERROR(VLOOKUP(シフト組み!AA158,役職一覧!$B:$D,2,FALSE),"")</f>
        <v/>
      </c>
      <c r="AB128" s="17" t="str">
        <f>IFERROR(VLOOKUP(シフト組み!AB158,役職一覧!$B:$D,2,FALSE),"")</f>
        <v/>
      </c>
      <c r="AC128" s="17" t="str">
        <f>IFERROR(VLOOKUP(シフト組み!AC158,役職一覧!$B:$D,2,FALSE),"")</f>
        <v/>
      </c>
      <c r="AD128" s="17" t="str">
        <f>IFERROR(VLOOKUP(シフト組み!AD158,役職一覧!$B:$D,2,FALSE),"")</f>
        <v/>
      </c>
      <c r="AE128" s="17" t="str">
        <f>IFERROR(VLOOKUP(シフト組み!AE158,役職一覧!$B:$D,2,FALSE),"")</f>
        <v/>
      </c>
      <c r="AF128" s="17" t="str">
        <f>IFERROR(VLOOKUP(シフト組み!AF158,役職一覧!$B:$D,2,FALSE),"")</f>
        <v/>
      </c>
      <c r="AG128" s="17" t="str">
        <f>IFERROR(VLOOKUP(シフト組み!AG158,役職一覧!$B:$D,2,FALSE),"")</f>
        <v/>
      </c>
      <c r="AH128" s="17" t="str">
        <f>IFERROR(VLOOKUP(シフト組み!AH158,役職一覧!$B:$D,3,FALSE),"")</f>
        <v/>
      </c>
      <c r="AI128" s="17" t="str">
        <f>IFERROR(VLOOKUP(シフト組み!AI158,役職一覧!$B:$D,3,FALSE),"")</f>
        <v/>
      </c>
      <c r="AJ128" s="17" t="str">
        <f>IFERROR(VLOOKUP(シフト組み!AJ158,役職一覧!$B:$D,3,FALSE),"")</f>
        <v/>
      </c>
      <c r="AK128" s="17" t="str">
        <f>IFERROR(VLOOKUP(シフト組み!AK158,役職一覧!$B:$D,3,FALSE),"")</f>
        <v/>
      </c>
      <c r="AL128" s="17" t="str">
        <f>IFERROR(VLOOKUP(シフト組み!AL158,役職一覧!$B:$D,3,FALSE),"")</f>
        <v/>
      </c>
      <c r="AM128" s="17" t="str">
        <f>IFERROR(VLOOKUP(シフト組み!AM158,役職一覧!$B:$D,3,FALSE),"")</f>
        <v/>
      </c>
      <c r="AN128" s="17" t="str">
        <f>IFERROR(VLOOKUP(シフト組み!AN158,役職一覧!$B:$D,3,FALSE),"")</f>
        <v/>
      </c>
      <c r="AO128" s="17" t="str">
        <f>IFERROR(VLOOKUP(シフト組み!AO158,役職一覧!$B:$D,3,FALSE),"")</f>
        <v/>
      </c>
      <c r="AP128" s="17" t="str">
        <f>IFERROR(VLOOKUP(シフト組み!AP158,役職一覧!$B:$D,3,FALSE),"")</f>
        <v/>
      </c>
      <c r="AQ128" s="17" t="str">
        <f>IFERROR(VLOOKUP(シフト組み!AQ158,役職一覧!$B:$D,3,FALSE),"")</f>
        <v/>
      </c>
      <c r="AR128" s="17" t="str">
        <f>IFERROR(VLOOKUP(シフト組み!AR158,役職一覧!$B:$D,3,FALSE),"")</f>
        <v/>
      </c>
      <c r="AS128" s="17" t="str">
        <f>IFERROR(VLOOKUP(シフト組み!AS158,役職一覧!$B:$D,3,FALSE),"")</f>
        <v/>
      </c>
      <c r="AT128" s="17" t="str">
        <f>IFERROR(VLOOKUP(シフト組み!AT158,役職一覧!$B:$D,3,FALSE),"")</f>
        <v/>
      </c>
      <c r="AU128" s="17" t="str">
        <f>IFERROR(VLOOKUP(シフト組み!AU158,役職一覧!$B:$D,3,FALSE),"")</f>
        <v/>
      </c>
      <c r="AV128" s="17" t="str">
        <f>IFERROR(VLOOKUP(シフト組み!AV158,役職一覧!$B:$D,3,FALSE),"")</f>
        <v/>
      </c>
      <c r="AW128" s="17" t="str">
        <f>IFERROR(VLOOKUP(シフト組み!AW158,役職一覧!$B:$D,3,FALSE),"")</f>
        <v/>
      </c>
      <c r="AX128" s="17" t="str">
        <f>IFERROR(VLOOKUP(シフト組み!AX158,役職一覧!$B:$D,3,FALSE),"")</f>
        <v/>
      </c>
      <c r="AY128" s="17" t="str">
        <f>IFERROR(VLOOKUP(シフト組み!AY158,役職一覧!$B:$D,3,FALSE),"")</f>
        <v/>
      </c>
      <c r="AZ128" s="17" t="str">
        <f>IFERROR(VLOOKUP(シフト組み!AZ158,役職一覧!$B:$D,3,FALSE),"")</f>
        <v/>
      </c>
      <c r="BA128" s="17" t="str">
        <f>IFERROR(VLOOKUP(シフト組み!BA158,役職一覧!$B:$D,3,FALSE),"")</f>
        <v/>
      </c>
    </row>
    <row r="129" spans="1:53">
      <c r="A129" s="2" t="str">
        <f>シフト組み!A159&amp;""</f>
        <v/>
      </c>
      <c r="B129" s="2" t="str">
        <f>シフト組み!B159&amp;""</f>
        <v/>
      </c>
      <c r="C129" s="2" t="str">
        <f>シフト組み!C159&amp;""</f>
        <v/>
      </c>
      <c r="D129" s="17" t="str">
        <f>IFERROR(VLOOKUP(シフト組み!D159,役職一覧!$B:$D,2,FALSE),"")</f>
        <v/>
      </c>
      <c r="E129" s="17" t="str">
        <f>IFERROR(VLOOKUP(シフト組み!E159,役職一覧!$B:$D,2,FALSE),"")</f>
        <v/>
      </c>
      <c r="F129" s="17" t="str">
        <f>IFERROR(VLOOKUP(シフト組み!F159,役職一覧!$B:$D,2,FALSE),"")</f>
        <v/>
      </c>
      <c r="G129" s="17" t="str">
        <f>IFERROR(VLOOKUP(シフト組み!G159,役職一覧!$B:$D,2,FALSE),"")</f>
        <v/>
      </c>
      <c r="H129" s="17" t="str">
        <f>IFERROR(VLOOKUP(シフト組み!H159,役職一覧!$B:$D,2,FALSE),"")</f>
        <v/>
      </c>
      <c r="I129" s="17" t="str">
        <f>IFERROR(VLOOKUP(シフト組み!I159,役職一覧!$B:$D,2,FALSE),"")</f>
        <v/>
      </c>
      <c r="J129" s="17" t="str">
        <f>IFERROR(VLOOKUP(シフト組み!J159,役職一覧!$B:$D,2,FALSE),"")</f>
        <v/>
      </c>
      <c r="K129" s="17" t="str">
        <f>IFERROR(VLOOKUP(シフト組み!K159,役職一覧!$B:$D,2,FALSE),"")</f>
        <v/>
      </c>
      <c r="L129" s="17" t="str">
        <f>IFERROR(VLOOKUP(シフト組み!L159,役職一覧!$B:$D,2,FALSE),"")</f>
        <v/>
      </c>
      <c r="M129" s="17" t="str">
        <f>IFERROR(VLOOKUP(シフト組み!M159,役職一覧!$B:$D,2,FALSE),"")</f>
        <v/>
      </c>
      <c r="N129" s="17" t="str">
        <f>IFERROR(VLOOKUP(シフト組み!N159,役職一覧!$B:$D,2,FALSE),"")</f>
        <v/>
      </c>
      <c r="O129" s="17" t="str">
        <f>IFERROR(VLOOKUP(シフト組み!O159,役職一覧!$B:$D,2,FALSE),"")</f>
        <v/>
      </c>
      <c r="P129" s="17" t="str">
        <f>IFERROR(VLOOKUP(シフト組み!P159,役職一覧!$B:$D,2,FALSE),"")</f>
        <v/>
      </c>
      <c r="Q129" s="17" t="str">
        <f>IFERROR(VLOOKUP(シフト組み!Q159,役職一覧!$B:$D,2,FALSE),"")</f>
        <v/>
      </c>
      <c r="R129" s="17" t="str">
        <f>IFERROR(VLOOKUP(シフト組み!R159,役職一覧!$B:$D,2,FALSE),"")</f>
        <v/>
      </c>
      <c r="S129" s="17" t="str">
        <f>IFERROR(VLOOKUP(シフト組み!S159,役職一覧!$B:$D,2,FALSE),"")</f>
        <v/>
      </c>
      <c r="T129" s="17" t="str">
        <f>IFERROR(VLOOKUP(シフト組み!T159,役職一覧!$B:$D,2,FALSE),"")</f>
        <v/>
      </c>
      <c r="U129" s="17" t="str">
        <f>IFERROR(VLOOKUP(シフト組み!U159,役職一覧!$B:$D,2,FALSE),"")</f>
        <v/>
      </c>
      <c r="V129" s="17" t="str">
        <f>IFERROR(VLOOKUP(シフト組み!V159,役職一覧!$B:$D,2,FALSE),"")</f>
        <v/>
      </c>
      <c r="W129" s="17" t="str">
        <f>IFERROR(VLOOKUP(シフト組み!W159,役職一覧!$B:$D,2,FALSE),"")</f>
        <v/>
      </c>
      <c r="X129" s="17" t="str">
        <f>IFERROR(VLOOKUP(シフト組み!X159,役職一覧!$B:$D,2,FALSE),"")</f>
        <v/>
      </c>
      <c r="Y129" s="17" t="str">
        <f>IFERROR(VLOOKUP(シフト組み!Y159,役職一覧!$B:$D,2,FALSE),"")</f>
        <v/>
      </c>
      <c r="Z129" s="17" t="str">
        <f>IFERROR(VLOOKUP(シフト組み!Z159,役職一覧!$B:$D,2,FALSE),"")</f>
        <v/>
      </c>
      <c r="AA129" s="17" t="str">
        <f>IFERROR(VLOOKUP(シフト組み!AA159,役職一覧!$B:$D,2,FALSE),"")</f>
        <v/>
      </c>
      <c r="AB129" s="17" t="str">
        <f>IFERROR(VLOOKUP(シフト組み!AB159,役職一覧!$B:$D,2,FALSE),"")</f>
        <v/>
      </c>
      <c r="AC129" s="17" t="str">
        <f>IFERROR(VLOOKUP(シフト組み!AC159,役職一覧!$B:$D,2,FALSE),"")</f>
        <v/>
      </c>
      <c r="AD129" s="17" t="str">
        <f>IFERROR(VLOOKUP(シフト組み!AD159,役職一覧!$B:$D,2,FALSE),"")</f>
        <v/>
      </c>
      <c r="AE129" s="17" t="str">
        <f>IFERROR(VLOOKUP(シフト組み!AE159,役職一覧!$B:$D,2,FALSE),"")</f>
        <v/>
      </c>
      <c r="AF129" s="17" t="str">
        <f>IFERROR(VLOOKUP(シフト組み!AF159,役職一覧!$B:$D,2,FALSE),"")</f>
        <v/>
      </c>
      <c r="AG129" s="17" t="str">
        <f>IFERROR(VLOOKUP(シフト組み!AG159,役職一覧!$B:$D,2,FALSE),"")</f>
        <v/>
      </c>
      <c r="AH129" s="17" t="str">
        <f>IFERROR(VLOOKUP(シフト組み!AH159,役職一覧!$B:$D,3,FALSE),"")</f>
        <v/>
      </c>
      <c r="AI129" s="17" t="str">
        <f>IFERROR(VLOOKUP(シフト組み!AI159,役職一覧!$B:$D,3,FALSE),"")</f>
        <v/>
      </c>
      <c r="AJ129" s="17" t="str">
        <f>IFERROR(VLOOKUP(シフト組み!AJ159,役職一覧!$B:$D,3,FALSE),"")</f>
        <v/>
      </c>
      <c r="AK129" s="17" t="str">
        <f>IFERROR(VLOOKUP(シフト組み!AK159,役職一覧!$B:$D,3,FALSE),"")</f>
        <v/>
      </c>
      <c r="AL129" s="17" t="str">
        <f>IFERROR(VLOOKUP(シフト組み!AL159,役職一覧!$B:$D,3,FALSE),"")</f>
        <v/>
      </c>
      <c r="AM129" s="17" t="str">
        <f>IFERROR(VLOOKUP(シフト組み!AM159,役職一覧!$B:$D,3,FALSE),"")</f>
        <v/>
      </c>
      <c r="AN129" s="17" t="str">
        <f>IFERROR(VLOOKUP(シフト組み!AN159,役職一覧!$B:$D,3,FALSE),"")</f>
        <v/>
      </c>
      <c r="AO129" s="17" t="str">
        <f>IFERROR(VLOOKUP(シフト組み!AO159,役職一覧!$B:$D,3,FALSE),"")</f>
        <v/>
      </c>
      <c r="AP129" s="17" t="str">
        <f>IFERROR(VLOOKUP(シフト組み!AP159,役職一覧!$B:$D,3,FALSE),"")</f>
        <v/>
      </c>
      <c r="AQ129" s="17" t="str">
        <f>IFERROR(VLOOKUP(シフト組み!AQ159,役職一覧!$B:$D,3,FALSE),"")</f>
        <v/>
      </c>
      <c r="AR129" s="17" t="str">
        <f>IFERROR(VLOOKUP(シフト組み!AR159,役職一覧!$B:$D,3,FALSE),"")</f>
        <v/>
      </c>
      <c r="AS129" s="17" t="str">
        <f>IFERROR(VLOOKUP(シフト組み!AS159,役職一覧!$B:$D,3,FALSE),"")</f>
        <v/>
      </c>
      <c r="AT129" s="17" t="str">
        <f>IFERROR(VLOOKUP(シフト組み!AT159,役職一覧!$B:$D,3,FALSE),"")</f>
        <v/>
      </c>
      <c r="AU129" s="17" t="str">
        <f>IFERROR(VLOOKUP(シフト組み!AU159,役職一覧!$B:$D,3,FALSE),"")</f>
        <v/>
      </c>
      <c r="AV129" s="17" t="str">
        <f>IFERROR(VLOOKUP(シフト組み!AV159,役職一覧!$B:$D,3,FALSE),"")</f>
        <v/>
      </c>
      <c r="AW129" s="17" t="str">
        <f>IFERROR(VLOOKUP(シフト組み!AW159,役職一覧!$B:$D,3,FALSE),"")</f>
        <v/>
      </c>
      <c r="AX129" s="17" t="str">
        <f>IFERROR(VLOOKUP(シフト組み!AX159,役職一覧!$B:$D,3,FALSE),"")</f>
        <v/>
      </c>
      <c r="AY129" s="17" t="str">
        <f>IFERROR(VLOOKUP(シフト組み!AY159,役職一覧!$B:$D,3,FALSE),"")</f>
        <v/>
      </c>
      <c r="AZ129" s="17" t="str">
        <f>IFERROR(VLOOKUP(シフト組み!AZ159,役職一覧!$B:$D,3,FALSE),"")</f>
        <v/>
      </c>
      <c r="BA129" s="17" t="str">
        <f>IFERROR(VLOOKUP(シフト組み!BA159,役職一覧!$B:$D,3,FALSE),"")</f>
        <v/>
      </c>
    </row>
    <row r="130" spans="1:53">
      <c r="A130" s="2" t="str">
        <f>シフト組み!A160&amp;""</f>
        <v/>
      </c>
      <c r="B130" s="2" t="str">
        <f>シフト組み!B160&amp;""</f>
        <v/>
      </c>
      <c r="C130" s="2" t="str">
        <f>シフト組み!C160&amp;""</f>
        <v/>
      </c>
      <c r="D130" s="17" t="str">
        <f>IFERROR(VLOOKUP(シフト組み!D160,役職一覧!$B:$D,2,FALSE),"")</f>
        <v/>
      </c>
      <c r="E130" s="17" t="str">
        <f>IFERROR(VLOOKUP(シフト組み!E160,役職一覧!$B:$D,2,FALSE),"")</f>
        <v/>
      </c>
      <c r="F130" s="17" t="str">
        <f>IFERROR(VLOOKUP(シフト組み!F160,役職一覧!$B:$D,2,FALSE),"")</f>
        <v/>
      </c>
      <c r="G130" s="17" t="str">
        <f>IFERROR(VLOOKUP(シフト組み!G160,役職一覧!$B:$D,2,FALSE),"")</f>
        <v/>
      </c>
      <c r="H130" s="17" t="str">
        <f>IFERROR(VLOOKUP(シフト組み!H160,役職一覧!$B:$D,2,FALSE),"")</f>
        <v/>
      </c>
      <c r="I130" s="17" t="str">
        <f>IFERROR(VLOOKUP(シフト組み!I160,役職一覧!$B:$D,2,FALSE),"")</f>
        <v/>
      </c>
      <c r="J130" s="17" t="str">
        <f>IFERROR(VLOOKUP(シフト組み!J160,役職一覧!$B:$D,2,FALSE),"")</f>
        <v/>
      </c>
      <c r="K130" s="17" t="str">
        <f>IFERROR(VLOOKUP(シフト組み!K160,役職一覧!$B:$D,2,FALSE),"")</f>
        <v/>
      </c>
      <c r="L130" s="17" t="str">
        <f>IFERROR(VLOOKUP(シフト組み!L160,役職一覧!$B:$D,2,FALSE),"")</f>
        <v/>
      </c>
      <c r="M130" s="17" t="str">
        <f>IFERROR(VLOOKUP(シフト組み!M160,役職一覧!$B:$D,2,FALSE),"")</f>
        <v/>
      </c>
      <c r="N130" s="17" t="str">
        <f>IFERROR(VLOOKUP(シフト組み!N160,役職一覧!$B:$D,2,FALSE),"")</f>
        <v/>
      </c>
      <c r="O130" s="17" t="str">
        <f>IFERROR(VLOOKUP(シフト組み!O160,役職一覧!$B:$D,2,FALSE),"")</f>
        <v/>
      </c>
      <c r="P130" s="17" t="str">
        <f>IFERROR(VLOOKUP(シフト組み!P160,役職一覧!$B:$D,2,FALSE),"")</f>
        <v/>
      </c>
      <c r="Q130" s="17" t="str">
        <f>IFERROR(VLOOKUP(シフト組み!Q160,役職一覧!$B:$D,2,FALSE),"")</f>
        <v/>
      </c>
      <c r="R130" s="17" t="str">
        <f>IFERROR(VLOOKUP(シフト組み!R160,役職一覧!$B:$D,2,FALSE),"")</f>
        <v/>
      </c>
      <c r="S130" s="17" t="str">
        <f>IFERROR(VLOOKUP(シフト組み!S160,役職一覧!$B:$D,2,FALSE),"")</f>
        <v/>
      </c>
      <c r="T130" s="17" t="str">
        <f>IFERROR(VLOOKUP(シフト組み!T160,役職一覧!$B:$D,2,FALSE),"")</f>
        <v/>
      </c>
      <c r="U130" s="17" t="str">
        <f>IFERROR(VLOOKUP(シフト組み!U160,役職一覧!$B:$D,2,FALSE),"")</f>
        <v/>
      </c>
      <c r="V130" s="17" t="str">
        <f>IFERROR(VLOOKUP(シフト組み!V160,役職一覧!$B:$D,2,FALSE),"")</f>
        <v/>
      </c>
      <c r="W130" s="17" t="str">
        <f>IFERROR(VLOOKUP(シフト組み!W160,役職一覧!$B:$D,2,FALSE),"")</f>
        <v/>
      </c>
      <c r="X130" s="17" t="str">
        <f>IFERROR(VLOOKUP(シフト組み!X160,役職一覧!$B:$D,2,FALSE),"")</f>
        <v/>
      </c>
      <c r="Y130" s="17" t="str">
        <f>IFERROR(VLOOKUP(シフト組み!Y160,役職一覧!$B:$D,2,FALSE),"")</f>
        <v/>
      </c>
      <c r="Z130" s="17" t="str">
        <f>IFERROR(VLOOKUP(シフト組み!Z160,役職一覧!$B:$D,2,FALSE),"")</f>
        <v/>
      </c>
      <c r="AA130" s="17" t="str">
        <f>IFERROR(VLOOKUP(シフト組み!AA160,役職一覧!$B:$D,2,FALSE),"")</f>
        <v/>
      </c>
      <c r="AB130" s="17" t="str">
        <f>IFERROR(VLOOKUP(シフト組み!AB160,役職一覧!$B:$D,2,FALSE),"")</f>
        <v/>
      </c>
      <c r="AC130" s="17" t="str">
        <f>IFERROR(VLOOKUP(シフト組み!AC160,役職一覧!$B:$D,2,FALSE),"")</f>
        <v/>
      </c>
      <c r="AD130" s="17" t="str">
        <f>IFERROR(VLOOKUP(シフト組み!AD160,役職一覧!$B:$D,2,FALSE),"")</f>
        <v/>
      </c>
      <c r="AE130" s="17" t="str">
        <f>IFERROR(VLOOKUP(シフト組み!AE160,役職一覧!$B:$D,2,FALSE),"")</f>
        <v/>
      </c>
      <c r="AF130" s="17" t="str">
        <f>IFERROR(VLOOKUP(シフト組み!AF160,役職一覧!$B:$D,2,FALSE),"")</f>
        <v/>
      </c>
      <c r="AG130" s="17" t="str">
        <f>IFERROR(VLOOKUP(シフト組み!AG160,役職一覧!$B:$D,2,FALSE),"")</f>
        <v/>
      </c>
      <c r="AH130" s="17" t="str">
        <f>IFERROR(VLOOKUP(シフト組み!AH160,役職一覧!$B:$D,3,FALSE),"")</f>
        <v/>
      </c>
      <c r="AI130" s="17" t="str">
        <f>IFERROR(VLOOKUP(シフト組み!AI160,役職一覧!$B:$D,3,FALSE),"")</f>
        <v/>
      </c>
      <c r="AJ130" s="17" t="str">
        <f>IFERROR(VLOOKUP(シフト組み!AJ160,役職一覧!$B:$D,3,FALSE),"")</f>
        <v/>
      </c>
      <c r="AK130" s="17" t="str">
        <f>IFERROR(VLOOKUP(シフト組み!AK160,役職一覧!$B:$D,3,FALSE),"")</f>
        <v/>
      </c>
      <c r="AL130" s="17" t="str">
        <f>IFERROR(VLOOKUP(シフト組み!AL160,役職一覧!$B:$D,3,FALSE),"")</f>
        <v/>
      </c>
      <c r="AM130" s="17" t="str">
        <f>IFERROR(VLOOKUP(シフト組み!AM160,役職一覧!$B:$D,3,FALSE),"")</f>
        <v/>
      </c>
      <c r="AN130" s="17" t="str">
        <f>IFERROR(VLOOKUP(シフト組み!AN160,役職一覧!$B:$D,3,FALSE),"")</f>
        <v/>
      </c>
      <c r="AO130" s="17" t="str">
        <f>IFERROR(VLOOKUP(シフト組み!AO160,役職一覧!$B:$D,3,FALSE),"")</f>
        <v/>
      </c>
      <c r="AP130" s="17" t="str">
        <f>IFERROR(VLOOKUP(シフト組み!AP160,役職一覧!$B:$D,3,FALSE),"")</f>
        <v/>
      </c>
      <c r="AQ130" s="17" t="str">
        <f>IFERROR(VLOOKUP(シフト組み!AQ160,役職一覧!$B:$D,3,FALSE),"")</f>
        <v/>
      </c>
      <c r="AR130" s="17" t="str">
        <f>IFERROR(VLOOKUP(シフト組み!AR160,役職一覧!$B:$D,3,FALSE),"")</f>
        <v/>
      </c>
      <c r="AS130" s="17" t="str">
        <f>IFERROR(VLOOKUP(シフト組み!AS160,役職一覧!$B:$D,3,FALSE),"")</f>
        <v/>
      </c>
      <c r="AT130" s="17" t="str">
        <f>IFERROR(VLOOKUP(シフト組み!AT160,役職一覧!$B:$D,3,FALSE),"")</f>
        <v/>
      </c>
      <c r="AU130" s="17" t="str">
        <f>IFERROR(VLOOKUP(シフト組み!AU160,役職一覧!$B:$D,3,FALSE),"")</f>
        <v/>
      </c>
      <c r="AV130" s="17" t="str">
        <f>IFERROR(VLOOKUP(シフト組み!AV160,役職一覧!$B:$D,3,FALSE),"")</f>
        <v/>
      </c>
      <c r="AW130" s="17" t="str">
        <f>IFERROR(VLOOKUP(シフト組み!AW160,役職一覧!$B:$D,3,FALSE),"")</f>
        <v/>
      </c>
      <c r="AX130" s="17" t="str">
        <f>IFERROR(VLOOKUP(シフト組み!AX160,役職一覧!$B:$D,3,FALSE),"")</f>
        <v/>
      </c>
      <c r="AY130" s="17" t="str">
        <f>IFERROR(VLOOKUP(シフト組み!AY160,役職一覧!$B:$D,3,FALSE),"")</f>
        <v/>
      </c>
      <c r="AZ130" s="17" t="str">
        <f>IFERROR(VLOOKUP(シフト組み!AZ160,役職一覧!$B:$D,3,FALSE),"")</f>
        <v/>
      </c>
      <c r="BA130" s="17" t="str">
        <f>IFERROR(VLOOKUP(シフト組み!BA160,役職一覧!$B:$D,3,FALSE),"")</f>
        <v/>
      </c>
    </row>
    <row r="131" spans="1:53">
      <c r="A131" s="2" t="str">
        <f>シフト組み!A161&amp;""</f>
        <v/>
      </c>
      <c r="B131" s="2" t="str">
        <f>シフト組み!B161&amp;""</f>
        <v/>
      </c>
      <c r="C131" s="2" t="str">
        <f>シフト組み!C161&amp;""</f>
        <v/>
      </c>
      <c r="D131" s="17" t="str">
        <f>IFERROR(VLOOKUP(シフト組み!D161,役職一覧!$B:$D,2,FALSE),"")</f>
        <v/>
      </c>
      <c r="E131" s="17" t="str">
        <f>IFERROR(VLOOKUP(シフト組み!E161,役職一覧!$B:$D,2,FALSE),"")</f>
        <v/>
      </c>
      <c r="F131" s="17" t="str">
        <f>IFERROR(VLOOKUP(シフト組み!F161,役職一覧!$B:$D,2,FALSE),"")</f>
        <v/>
      </c>
      <c r="G131" s="17" t="str">
        <f>IFERROR(VLOOKUP(シフト組み!G161,役職一覧!$B:$D,2,FALSE),"")</f>
        <v/>
      </c>
      <c r="H131" s="17" t="str">
        <f>IFERROR(VLOOKUP(シフト組み!H161,役職一覧!$B:$D,2,FALSE),"")</f>
        <v/>
      </c>
      <c r="I131" s="17" t="str">
        <f>IFERROR(VLOOKUP(シフト組み!I161,役職一覧!$B:$D,2,FALSE),"")</f>
        <v/>
      </c>
      <c r="J131" s="17" t="str">
        <f>IFERROR(VLOOKUP(シフト組み!J161,役職一覧!$B:$D,2,FALSE),"")</f>
        <v/>
      </c>
      <c r="K131" s="17" t="str">
        <f>IFERROR(VLOOKUP(シフト組み!K161,役職一覧!$B:$D,2,FALSE),"")</f>
        <v/>
      </c>
      <c r="L131" s="17" t="str">
        <f>IFERROR(VLOOKUP(シフト組み!L161,役職一覧!$B:$D,2,FALSE),"")</f>
        <v/>
      </c>
      <c r="M131" s="17" t="str">
        <f>IFERROR(VLOOKUP(シフト組み!M161,役職一覧!$B:$D,2,FALSE),"")</f>
        <v/>
      </c>
      <c r="N131" s="17" t="str">
        <f>IFERROR(VLOOKUP(シフト組み!N161,役職一覧!$B:$D,2,FALSE),"")</f>
        <v/>
      </c>
      <c r="O131" s="17" t="str">
        <f>IFERROR(VLOOKUP(シフト組み!O161,役職一覧!$B:$D,2,FALSE),"")</f>
        <v/>
      </c>
      <c r="P131" s="17" t="str">
        <f>IFERROR(VLOOKUP(シフト組み!P161,役職一覧!$B:$D,2,FALSE),"")</f>
        <v/>
      </c>
      <c r="Q131" s="17" t="str">
        <f>IFERROR(VLOOKUP(シフト組み!Q161,役職一覧!$B:$D,2,FALSE),"")</f>
        <v/>
      </c>
      <c r="R131" s="17" t="str">
        <f>IFERROR(VLOOKUP(シフト組み!R161,役職一覧!$B:$D,2,FALSE),"")</f>
        <v/>
      </c>
      <c r="S131" s="17" t="str">
        <f>IFERROR(VLOOKUP(シフト組み!S161,役職一覧!$B:$D,2,FALSE),"")</f>
        <v/>
      </c>
      <c r="T131" s="17" t="str">
        <f>IFERROR(VLOOKUP(シフト組み!T161,役職一覧!$B:$D,2,FALSE),"")</f>
        <v/>
      </c>
      <c r="U131" s="17" t="str">
        <f>IFERROR(VLOOKUP(シフト組み!U161,役職一覧!$B:$D,2,FALSE),"")</f>
        <v/>
      </c>
      <c r="V131" s="17" t="str">
        <f>IFERROR(VLOOKUP(シフト組み!V161,役職一覧!$B:$D,2,FALSE),"")</f>
        <v/>
      </c>
      <c r="W131" s="17" t="str">
        <f>IFERROR(VLOOKUP(シフト組み!W161,役職一覧!$B:$D,2,FALSE),"")</f>
        <v/>
      </c>
      <c r="X131" s="17" t="str">
        <f>IFERROR(VLOOKUP(シフト組み!X161,役職一覧!$B:$D,2,FALSE),"")</f>
        <v/>
      </c>
      <c r="Y131" s="17" t="str">
        <f>IFERROR(VLOOKUP(シフト組み!Y161,役職一覧!$B:$D,2,FALSE),"")</f>
        <v/>
      </c>
      <c r="Z131" s="17" t="str">
        <f>IFERROR(VLOOKUP(シフト組み!Z161,役職一覧!$B:$D,2,FALSE),"")</f>
        <v/>
      </c>
      <c r="AA131" s="17" t="str">
        <f>IFERROR(VLOOKUP(シフト組み!AA161,役職一覧!$B:$D,2,FALSE),"")</f>
        <v/>
      </c>
      <c r="AB131" s="17" t="str">
        <f>IFERROR(VLOOKUP(シフト組み!AB161,役職一覧!$B:$D,2,FALSE),"")</f>
        <v/>
      </c>
      <c r="AC131" s="17" t="str">
        <f>IFERROR(VLOOKUP(シフト組み!AC161,役職一覧!$B:$D,2,FALSE),"")</f>
        <v/>
      </c>
      <c r="AD131" s="17" t="str">
        <f>IFERROR(VLOOKUP(シフト組み!AD161,役職一覧!$B:$D,2,FALSE),"")</f>
        <v/>
      </c>
      <c r="AE131" s="17" t="str">
        <f>IFERROR(VLOOKUP(シフト組み!AE161,役職一覧!$B:$D,2,FALSE),"")</f>
        <v/>
      </c>
      <c r="AF131" s="17" t="str">
        <f>IFERROR(VLOOKUP(シフト組み!AF161,役職一覧!$B:$D,2,FALSE),"")</f>
        <v/>
      </c>
      <c r="AG131" s="17" t="str">
        <f>IFERROR(VLOOKUP(シフト組み!AG161,役職一覧!$B:$D,2,FALSE),"")</f>
        <v/>
      </c>
      <c r="AH131" s="17" t="str">
        <f>IFERROR(VLOOKUP(シフト組み!AH161,役職一覧!$B:$D,3,FALSE),"")</f>
        <v/>
      </c>
      <c r="AI131" s="17" t="str">
        <f>IFERROR(VLOOKUP(シフト組み!AI161,役職一覧!$B:$D,3,FALSE),"")</f>
        <v/>
      </c>
      <c r="AJ131" s="17" t="str">
        <f>IFERROR(VLOOKUP(シフト組み!AJ161,役職一覧!$B:$D,3,FALSE),"")</f>
        <v/>
      </c>
      <c r="AK131" s="17" t="str">
        <f>IFERROR(VLOOKUP(シフト組み!AK161,役職一覧!$B:$D,3,FALSE),"")</f>
        <v/>
      </c>
      <c r="AL131" s="17" t="str">
        <f>IFERROR(VLOOKUP(シフト組み!AL161,役職一覧!$B:$D,3,FALSE),"")</f>
        <v/>
      </c>
      <c r="AM131" s="17" t="str">
        <f>IFERROR(VLOOKUP(シフト組み!AM161,役職一覧!$B:$D,3,FALSE),"")</f>
        <v/>
      </c>
      <c r="AN131" s="17" t="str">
        <f>IFERROR(VLOOKUP(シフト組み!AN161,役職一覧!$B:$D,3,FALSE),"")</f>
        <v/>
      </c>
      <c r="AO131" s="17" t="str">
        <f>IFERROR(VLOOKUP(シフト組み!AO161,役職一覧!$B:$D,3,FALSE),"")</f>
        <v/>
      </c>
      <c r="AP131" s="17" t="str">
        <f>IFERROR(VLOOKUP(シフト組み!AP161,役職一覧!$B:$D,3,FALSE),"")</f>
        <v/>
      </c>
      <c r="AQ131" s="17" t="str">
        <f>IFERROR(VLOOKUP(シフト組み!AQ161,役職一覧!$B:$D,3,FALSE),"")</f>
        <v/>
      </c>
      <c r="AR131" s="17" t="str">
        <f>IFERROR(VLOOKUP(シフト組み!AR161,役職一覧!$B:$D,3,FALSE),"")</f>
        <v/>
      </c>
      <c r="AS131" s="17" t="str">
        <f>IFERROR(VLOOKUP(シフト組み!AS161,役職一覧!$B:$D,3,FALSE),"")</f>
        <v/>
      </c>
      <c r="AT131" s="17" t="str">
        <f>IFERROR(VLOOKUP(シフト組み!AT161,役職一覧!$B:$D,3,FALSE),"")</f>
        <v/>
      </c>
      <c r="AU131" s="17" t="str">
        <f>IFERROR(VLOOKUP(シフト組み!AU161,役職一覧!$B:$D,3,FALSE),"")</f>
        <v/>
      </c>
      <c r="AV131" s="17" t="str">
        <f>IFERROR(VLOOKUP(シフト組み!AV161,役職一覧!$B:$D,3,FALSE),"")</f>
        <v/>
      </c>
      <c r="AW131" s="17" t="str">
        <f>IFERROR(VLOOKUP(シフト組み!AW161,役職一覧!$B:$D,3,FALSE),"")</f>
        <v/>
      </c>
      <c r="AX131" s="17" t="str">
        <f>IFERROR(VLOOKUP(シフト組み!AX161,役職一覧!$B:$D,3,FALSE),"")</f>
        <v/>
      </c>
      <c r="AY131" s="17" t="str">
        <f>IFERROR(VLOOKUP(シフト組み!AY161,役職一覧!$B:$D,3,FALSE),"")</f>
        <v/>
      </c>
      <c r="AZ131" s="17" t="str">
        <f>IFERROR(VLOOKUP(シフト組み!AZ161,役職一覧!$B:$D,3,FALSE),"")</f>
        <v/>
      </c>
      <c r="BA131" s="17" t="str">
        <f>IFERROR(VLOOKUP(シフト組み!BA161,役職一覧!$B:$D,3,FALSE),"")</f>
        <v/>
      </c>
    </row>
    <row r="132" spans="1:53">
      <c r="A132" s="2" t="str">
        <f>シフト組み!A162&amp;""</f>
        <v/>
      </c>
      <c r="B132" s="2" t="str">
        <f>シフト組み!B162&amp;""</f>
        <v/>
      </c>
      <c r="C132" s="2" t="str">
        <f>シフト組み!C162&amp;""</f>
        <v/>
      </c>
      <c r="D132" s="17" t="str">
        <f>IFERROR(VLOOKUP(シフト組み!D162,役職一覧!$B:$D,2,FALSE),"")</f>
        <v/>
      </c>
      <c r="E132" s="17" t="str">
        <f>IFERROR(VLOOKUP(シフト組み!E162,役職一覧!$B:$D,2,FALSE),"")</f>
        <v/>
      </c>
      <c r="F132" s="17" t="str">
        <f>IFERROR(VLOOKUP(シフト組み!F162,役職一覧!$B:$D,2,FALSE),"")</f>
        <v/>
      </c>
      <c r="G132" s="17" t="str">
        <f>IFERROR(VLOOKUP(シフト組み!G162,役職一覧!$B:$D,2,FALSE),"")</f>
        <v/>
      </c>
      <c r="H132" s="17" t="str">
        <f>IFERROR(VLOOKUP(シフト組み!H162,役職一覧!$B:$D,2,FALSE),"")</f>
        <v/>
      </c>
      <c r="I132" s="17" t="str">
        <f>IFERROR(VLOOKUP(シフト組み!I162,役職一覧!$B:$D,2,FALSE),"")</f>
        <v/>
      </c>
      <c r="J132" s="17" t="str">
        <f>IFERROR(VLOOKUP(シフト組み!J162,役職一覧!$B:$D,2,FALSE),"")</f>
        <v/>
      </c>
      <c r="K132" s="17" t="str">
        <f>IFERROR(VLOOKUP(シフト組み!K162,役職一覧!$B:$D,2,FALSE),"")</f>
        <v/>
      </c>
      <c r="L132" s="17" t="str">
        <f>IFERROR(VLOOKUP(シフト組み!L162,役職一覧!$B:$D,2,FALSE),"")</f>
        <v/>
      </c>
      <c r="M132" s="17" t="str">
        <f>IFERROR(VLOOKUP(シフト組み!M162,役職一覧!$B:$D,2,FALSE),"")</f>
        <v/>
      </c>
      <c r="N132" s="17" t="str">
        <f>IFERROR(VLOOKUP(シフト組み!N162,役職一覧!$B:$D,2,FALSE),"")</f>
        <v/>
      </c>
      <c r="O132" s="17" t="str">
        <f>IFERROR(VLOOKUP(シフト組み!O162,役職一覧!$B:$D,2,FALSE),"")</f>
        <v/>
      </c>
      <c r="P132" s="17" t="str">
        <f>IFERROR(VLOOKUP(シフト組み!P162,役職一覧!$B:$D,2,FALSE),"")</f>
        <v/>
      </c>
      <c r="Q132" s="17" t="str">
        <f>IFERROR(VLOOKUP(シフト組み!Q162,役職一覧!$B:$D,2,FALSE),"")</f>
        <v/>
      </c>
      <c r="R132" s="17" t="str">
        <f>IFERROR(VLOOKUP(シフト組み!R162,役職一覧!$B:$D,2,FALSE),"")</f>
        <v/>
      </c>
      <c r="S132" s="17" t="str">
        <f>IFERROR(VLOOKUP(シフト組み!S162,役職一覧!$B:$D,2,FALSE),"")</f>
        <v/>
      </c>
      <c r="T132" s="17" t="str">
        <f>IFERROR(VLOOKUP(シフト組み!T162,役職一覧!$B:$D,2,FALSE),"")</f>
        <v/>
      </c>
      <c r="U132" s="17" t="str">
        <f>IFERROR(VLOOKUP(シフト組み!U162,役職一覧!$B:$D,2,FALSE),"")</f>
        <v/>
      </c>
      <c r="V132" s="17" t="str">
        <f>IFERROR(VLOOKUP(シフト組み!V162,役職一覧!$B:$D,2,FALSE),"")</f>
        <v/>
      </c>
      <c r="W132" s="17" t="str">
        <f>IFERROR(VLOOKUP(シフト組み!W162,役職一覧!$B:$D,2,FALSE),"")</f>
        <v/>
      </c>
      <c r="X132" s="17" t="str">
        <f>IFERROR(VLOOKUP(シフト組み!X162,役職一覧!$B:$D,2,FALSE),"")</f>
        <v/>
      </c>
      <c r="Y132" s="17" t="str">
        <f>IFERROR(VLOOKUP(シフト組み!Y162,役職一覧!$B:$D,2,FALSE),"")</f>
        <v/>
      </c>
      <c r="Z132" s="17" t="str">
        <f>IFERROR(VLOOKUP(シフト組み!Z162,役職一覧!$B:$D,2,FALSE),"")</f>
        <v/>
      </c>
      <c r="AA132" s="17" t="str">
        <f>IFERROR(VLOOKUP(シフト組み!AA162,役職一覧!$B:$D,2,FALSE),"")</f>
        <v/>
      </c>
      <c r="AB132" s="17" t="str">
        <f>IFERROR(VLOOKUP(シフト組み!AB162,役職一覧!$B:$D,2,FALSE),"")</f>
        <v/>
      </c>
      <c r="AC132" s="17" t="str">
        <f>IFERROR(VLOOKUP(シフト組み!AC162,役職一覧!$B:$D,2,FALSE),"")</f>
        <v/>
      </c>
      <c r="AD132" s="17" t="str">
        <f>IFERROR(VLOOKUP(シフト組み!AD162,役職一覧!$B:$D,2,FALSE),"")</f>
        <v/>
      </c>
      <c r="AE132" s="17" t="str">
        <f>IFERROR(VLOOKUP(シフト組み!AE162,役職一覧!$B:$D,2,FALSE),"")</f>
        <v/>
      </c>
      <c r="AF132" s="17" t="str">
        <f>IFERROR(VLOOKUP(シフト組み!AF162,役職一覧!$B:$D,2,FALSE),"")</f>
        <v/>
      </c>
      <c r="AG132" s="17" t="str">
        <f>IFERROR(VLOOKUP(シフト組み!AG162,役職一覧!$B:$D,2,FALSE),"")</f>
        <v/>
      </c>
      <c r="AH132" s="17" t="str">
        <f>IFERROR(VLOOKUP(シフト組み!AH162,役職一覧!$B:$D,3,FALSE),"")</f>
        <v/>
      </c>
      <c r="AI132" s="17" t="str">
        <f>IFERROR(VLOOKUP(シフト組み!AI162,役職一覧!$B:$D,3,FALSE),"")</f>
        <v/>
      </c>
      <c r="AJ132" s="17" t="str">
        <f>IFERROR(VLOOKUP(シフト組み!AJ162,役職一覧!$B:$D,3,FALSE),"")</f>
        <v/>
      </c>
      <c r="AK132" s="17" t="str">
        <f>IFERROR(VLOOKUP(シフト組み!AK162,役職一覧!$B:$D,3,FALSE),"")</f>
        <v/>
      </c>
      <c r="AL132" s="17" t="str">
        <f>IFERROR(VLOOKUP(シフト組み!AL162,役職一覧!$B:$D,3,FALSE),"")</f>
        <v/>
      </c>
      <c r="AM132" s="17" t="str">
        <f>IFERROR(VLOOKUP(シフト組み!AM162,役職一覧!$B:$D,3,FALSE),"")</f>
        <v/>
      </c>
      <c r="AN132" s="17" t="str">
        <f>IFERROR(VLOOKUP(シフト組み!AN162,役職一覧!$B:$D,3,FALSE),"")</f>
        <v/>
      </c>
      <c r="AO132" s="17" t="str">
        <f>IFERROR(VLOOKUP(シフト組み!AO162,役職一覧!$B:$D,3,FALSE),"")</f>
        <v/>
      </c>
      <c r="AP132" s="17" t="str">
        <f>IFERROR(VLOOKUP(シフト組み!AP162,役職一覧!$B:$D,3,FALSE),"")</f>
        <v/>
      </c>
      <c r="AQ132" s="17" t="str">
        <f>IFERROR(VLOOKUP(シフト組み!AQ162,役職一覧!$B:$D,3,FALSE),"")</f>
        <v/>
      </c>
      <c r="AR132" s="17" t="str">
        <f>IFERROR(VLOOKUP(シフト組み!AR162,役職一覧!$B:$D,3,FALSE),"")</f>
        <v/>
      </c>
      <c r="AS132" s="17" t="str">
        <f>IFERROR(VLOOKUP(シフト組み!AS162,役職一覧!$B:$D,3,FALSE),"")</f>
        <v/>
      </c>
      <c r="AT132" s="17" t="str">
        <f>IFERROR(VLOOKUP(シフト組み!AT162,役職一覧!$B:$D,3,FALSE),"")</f>
        <v/>
      </c>
      <c r="AU132" s="17" t="str">
        <f>IFERROR(VLOOKUP(シフト組み!AU162,役職一覧!$B:$D,3,FALSE),"")</f>
        <v/>
      </c>
      <c r="AV132" s="17" t="str">
        <f>IFERROR(VLOOKUP(シフト組み!AV162,役職一覧!$B:$D,3,FALSE),"")</f>
        <v/>
      </c>
      <c r="AW132" s="17" t="str">
        <f>IFERROR(VLOOKUP(シフト組み!AW162,役職一覧!$B:$D,3,FALSE),"")</f>
        <v/>
      </c>
      <c r="AX132" s="17" t="str">
        <f>IFERROR(VLOOKUP(シフト組み!AX162,役職一覧!$B:$D,3,FALSE),"")</f>
        <v/>
      </c>
      <c r="AY132" s="17" t="str">
        <f>IFERROR(VLOOKUP(シフト組み!AY162,役職一覧!$B:$D,3,FALSE),"")</f>
        <v/>
      </c>
      <c r="AZ132" s="17" t="str">
        <f>IFERROR(VLOOKUP(シフト組み!AZ162,役職一覧!$B:$D,3,FALSE),"")</f>
        <v/>
      </c>
      <c r="BA132" s="17" t="str">
        <f>IFERROR(VLOOKUP(シフト組み!BA162,役職一覧!$B:$D,3,FALSE),"")</f>
        <v/>
      </c>
    </row>
    <row r="133" spans="1:53">
      <c r="A133" s="2" t="str">
        <f>シフト組み!A163&amp;""</f>
        <v/>
      </c>
      <c r="B133" s="2" t="str">
        <f>シフト組み!B163&amp;""</f>
        <v/>
      </c>
      <c r="C133" s="2" t="str">
        <f>シフト組み!C163&amp;""</f>
        <v/>
      </c>
      <c r="D133" s="17" t="str">
        <f>IFERROR(VLOOKUP(シフト組み!D163,役職一覧!$B:$D,2,FALSE),"")</f>
        <v/>
      </c>
      <c r="E133" s="17" t="str">
        <f>IFERROR(VLOOKUP(シフト組み!E163,役職一覧!$B:$D,2,FALSE),"")</f>
        <v/>
      </c>
      <c r="F133" s="17" t="str">
        <f>IFERROR(VLOOKUP(シフト組み!F163,役職一覧!$B:$D,2,FALSE),"")</f>
        <v/>
      </c>
      <c r="G133" s="17" t="str">
        <f>IFERROR(VLOOKUP(シフト組み!G163,役職一覧!$B:$D,2,FALSE),"")</f>
        <v/>
      </c>
      <c r="H133" s="17" t="str">
        <f>IFERROR(VLOOKUP(シフト組み!H163,役職一覧!$B:$D,2,FALSE),"")</f>
        <v/>
      </c>
      <c r="I133" s="17" t="str">
        <f>IFERROR(VLOOKUP(シフト組み!I163,役職一覧!$B:$D,2,FALSE),"")</f>
        <v/>
      </c>
      <c r="J133" s="17" t="str">
        <f>IFERROR(VLOOKUP(シフト組み!J163,役職一覧!$B:$D,2,FALSE),"")</f>
        <v/>
      </c>
      <c r="K133" s="17" t="str">
        <f>IFERROR(VLOOKUP(シフト組み!K163,役職一覧!$B:$D,2,FALSE),"")</f>
        <v/>
      </c>
      <c r="L133" s="17" t="str">
        <f>IFERROR(VLOOKUP(シフト組み!L163,役職一覧!$B:$D,2,FALSE),"")</f>
        <v/>
      </c>
      <c r="M133" s="17" t="str">
        <f>IFERROR(VLOOKUP(シフト組み!M163,役職一覧!$B:$D,2,FALSE),"")</f>
        <v/>
      </c>
      <c r="N133" s="17" t="str">
        <f>IFERROR(VLOOKUP(シフト組み!N163,役職一覧!$B:$D,2,FALSE),"")</f>
        <v/>
      </c>
      <c r="O133" s="17" t="str">
        <f>IFERROR(VLOOKUP(シフト組み!O163,役職一覧!$B:$D,2,FALSE),"")</f>
        <v/>
      </c>
      <c r="P133" s="17" t="str">
        <f>IFERROR(VLOOKUP(シフト組み!P163,役職一覧!$B:$D,2,FALSE),"")</f>
        <v/>
      </c>
      <c r="Q133" s="17" t="str">
        <f>IFERROR(VLOOKUP(シフト組み!Q163,役職一覧!$B:$D,2,FALSE),"")</f>
        <v/>
      </c>
      <c r="R133" s="17" t="str">
        <f>IFERROR(VLOOKUP(シフト組み!R163,役職一覧!$B:$D,2,FALSE),"")</f>
        <v/>
      </c>
      <c r="S133" s="17" t="str">
        <f>IFERROR(VLOOKUP(シフト組み!S163,役職一覧!$B:$D,2,FALSE),"")</f>
        <v/>
      </c>
      <c r="T133" s="17" t="str">
        <f>IFERROR(VLOOKUP(シフト組み!T163,役職一覧!$B:$D,2,FALSE),"")</f>
        <v/>
      </c>
      <c r="U133" s="17" t="str">
        <f>IFERROR(VLOOKUP(シフト組み!U163,役職一覧!$B:$D,2,FALSE),"")</f>
        <v/>
      </c>
      <c r="V133" s="17" t="str">
        <f>IFERROR(VLOOKUP(シフト組み!V163,役職一覧!$B:$D,2,FALSE),"")</f>
        <v/>
      </c>
      <c r="W133" s="17" t="str">
        <f>IFERROR(VLOOKUP(シフト組み!W163,役職一覧!$B:$D,2,FALSE),"")</f>
        <v/>
      </c>
      <c r="X133" s="17" t="str">
        <f>IFERROR(VLOOKUP(シフト組み!X163,役職一覧!$B:$D,2,FALSE),"")</f>
        <v/>
      </c>
      <c r="Y133" s="17" t="str">
        <f>IFERROR(VLOOKUP(シフト組み!Y163,役職一覧!$B:$D,2,FALSE),"")</f>
        <v/>
      </c>
      <c r="Z133" s="17" t="str">
        <f>IFERROR(VLOOKUP(シフト組み!Z163,役職一覧!$B:$D,2,FALSE),"")</f>
        <v/>
      </c>
      <c r="AA133" s="17" t="str">
        <f>IFERROR(VLOOKUP(シフト組み!AA163,役職一覧!$B:$D,2,FALSE),"")</f>
        <v/>
      </c>
      <c r="AB133" s="17" t="str">
        <f>IFERROR(VLOOKUP(シフト組み!AB163,役職一覧!$B:$D,2,FALSE),"")</f>
        <v/>
      </c>
      <c r="AC133" s="17" t="str">
        <f>IFERROR(VLOOKUP(シフト組み!AC163,役職一覧!$B:$D,2,FALSE),"")</f>
        <v/>
      </c>
      <c r="AD133" s="17" t="str">
        <f>IFERROR(VLOOKUP(シフト組み!AD163,役職一覧!$B:$D,2,FALSE),"")</f>
        <v/>
      </c>
      <c r="AE133" s="17" t="str">
        <f>IFERROR(VLOOKUP(シフト組み!AE163,役職一覧!$B:$D,2,FALSE),"")</f>
        <v/>
      </c>
      <c r="AF133" s="17" t="str">
        <f>IFERROR(VLOOKUP(シフト組み!AF163,役職一覧!$B:$D,2,FALSE),"")</f>
        <v/>
      </c>
      <c r="AG133" s="17" t="str">
        <f>IFERROR(VLOOKUP(シフト組み!AG163,役職一覧!$B:$D,2,FALSE),"")</f>
        <v/>
      </c>
      <c r="AH133" s="17" t="str">
        <f>IFERROR(VLOOKUP(シフト組み!AH163,役職一覧!$B:$D,3,FALSE),"")</f>
        <v/>
      </c>
      <c r="AI133" s="17" t="str">
        <f>IFERROR(VLOOKUP(シフト組み!AI163,役職一覧!$B:$D,3,FALSE),"")</f>
        <v/>
      </c>
      <c r="AJ133" s="17" t="str">
        <f>IFERROR(VLOOKUP(シフト組み!AJ163,役職一覧!$B:$D,3,FALSE),"")</f>
        <v/>
      </c>
      <c r="AK133" s="17" t="str">
        <f>IFERROR(VLOOKUP(シフト組み!AK163,役職一覧!$B:$D,3,FALSE),"")</f>
        <v/>
      </c>
      <c r="AL133" s="17" t="str">
        <f>IFERROR(VLOOKUP(シフト組み!AL163,役職一覧!$B:$D,3,FALSE),"")</f>
        <v/>
      </c>
      <c r="AM133" s="17" t="str">
        <f>IFERROR(VLOOKUP(シフト組み!AM163,役職一覧!$B:$D,3,FALSE),"")</f>
        <v/>
      </c>
      <c r="AN133" s="17" t="str">
        <f>IFERROR(VLOOKUP(シフト組み!AN163,役職一覧!$B:$D,3,FALSE),"")</f>
        <v/>
      </c>
      <c r="AO133" s="17" t="str">
        <f>IFERROR(VLOOKUP(シフト組み!AO163,役職一覧!$B:$D,3,FALSE),"")</f>
        <v/>
      </c>
      <c r="AP133" s="17" t="str">
        <f>IFERROR(VLOOKUP(シフト組み!AP163,役職一覧!$B:$D,3,FALSE),"")</f>
        <v/>
      </c>
      <c r="AQ133" s="17" t="str">
        <f>IFERROR(VLOOKUP(シフト組み!AQ163,役職一覧!$B:$D,3,FALSE),"")</f>
        <v/>
      </c>
      <c r="AR133" s="17" t="str">
        <f>IFERROR(VLOOKUP(シフト組み!AR163,役職一覧!$B:$D,3,FALSE),"")</f>
        <v/>
      </c>
      <c r="AS133" s="17" t="str">
        <f>IFERROR(VLOOKUP(シフト組み!AS163,役職一覧!$B:$D,3,FALSE),"")</f>
        <v/>
      </c>
      <c r="AT133" s="17" t="str">
        <f>IFERROR(VLOOKUP(シフト組み!AT163,役職一覧!$B:$D,3,FALSE),"")</f>
        <v/>
      </c>
      <c r="AU133" s="17" t="str">
        <f>IFERROR(VLOOKUP(シフト組み!AU163,役職一覧!$B:$D,3,FALSE),"")</f>
        <v/>
      </c>
      <c r="AV133" s="17" t="str">
        <f>IFERROR(VLOOKUP(シフト組み!AV163,役職一覧!$B:$D,3,FALSE),"")</f>
        <v/>
      </c>
      <c r="AW133" s="17" t="str">
        <f>IFERROR(VLOOKUP(シフト組み!AW163,役職一覧!$B:$D,3,FALSE),"")</f>
        <v/>
      </c>
      <c r="AX133" s="17" t="str">
        <f>IFERROR(VLOOKUP(シフト組み!AX163,役職一覧!$B:$D,3,FALSE),"")</f>
        <v/>
      </c>
      <c r="AY133" s="17" t="str">
        <f>IFERROR(VLOOKUP(シフト組み!AY163,役職一覧!$B:$D,3,FALSE),"")</f>
        <v/>
      </c>
      <c r="AZ133" s="17" t="str">
        <f>IFERROR(VLOOKUP(シフト組み!AZ163,役職一覧!$B:$D,3,FALSE),"")</f>
        <v/>
      </c>
      <c r="BA133" s="17" t="str">
        <f>IFERROR(VLOOKUP(シフト組み!BA163,役職一覧!$B:$D,3,FALSE),"")</f>
        <v/>
      </c>
    </row>
    <row r="134" spans="1:53">
      <c r="A134" s="2" t="str">
        <f>シフト組み!A164&amp;""</f>
        <v/>
      </c>
      <c r="B134" s="2" t="str">
        <f>シフト組み!B164&amp;""</f>
        <v/>
      </c>
      <c r="C134" s="2" t="str">
        <f>シフト組み!C164&amp;""</f>
        <v/>
      </c>
      <c r="D134" s="17" t="str">
        <f>IFERROR(VLOOKUP(シフト組み!D164,役職一覧!$B:$D,2,FALSE),"")</f>
        <v/>
      </c>
      <c r="E134" s="17" t="str">
        <f>IFERROR(VLOOKUP(シフト組み!E164,役職一覧!$B:$D,2,FALSE),"")</f>
        <v/>
      </c>
      <c r="F134" s="17" t="str">
        <f>IFERROR(VLOOKUP(シフト組み!F164,役職一覧!$B:$D,2,FALSE),"")</f>
        <v/>
      </c>
      <c r="G134" s="17" t="str">
        <f>IFERROR(VLOOKUP(シフト組み!G164,役職一覧!$B:$D,2,FALSE),"")</f>
        <v/>
      </c>
      <c r="H134" s="17" t="str">
        <f>IFERROR(VLOOKUP(シフト組み!H164,役職一覧!$B:$D,2,FALSE),"")</f>
        <v/>
      </c>
      <c r="I134" s="17" t="str">
        <f>IFERROR(VLOOKUP(シフト組み!I164,役職一覧!$B:$D,2,FALSE),"")</f>
        <v/>
      </c>
      <c r="J134" s="17" t="str">
        <f>IFERROR(VLOOKUP(シフト組み!J164,役職一覧!$B:$D,2,FALSE),"")</f>
        <v/>
      </c>
      <c r="K134" s="17" t="str">
        <f>IFERROR(VLOOKUP(シフト組み!K164,役職一覧!$B:$D,2,FALSE),"")</f>
        <v/>
      </c>
      <c r="L134" s="17" t="str">
        <f>IFERROR(VLOOKUP(シフト組み!L164,役職一覧!$B:$D,2,FALSE),"")</f>
        <v/>
      </c>
      <c r="M134" s="17" t="str">
        <f>IFERROR(VLOOKUP(シフト組み!M164,役職一覧!$B:$D,2,FALSE),"")</f>
        <v/>
      </c>
      <c r="N134" s="17" t="str">
        <f>IFERROR(VLOOKUP(シフト組み!N164,役職一覧!$B:$D,2,FALSE),"")</f>
        <v/>
      </c>
      <c r="O134" s="17" t="str">
        <f>IFERROR(VLOOKUP(シフト組み!O164,役職一覧!$B:$D,2,FALSE),"")</f>
        <v/>
      </c>
      <c r="P134" s="17" t="str">
        <f>IFERROR(VLOOKUP(シフト組み!P164,役職一覧!$B:$D,2,FALSE),"")</f>
        <v/>
      </c>
      <c r="Q134" s="17" t="str">
        <f>IFERROR(VLOOKUP(シフト組み!Q164,役職一覧!$B:$D,2,FALSE),"")</f>
        <v/>
      </c>
      <c r="R134" s="17" t="str">
        <f>IFERROR(VLOOKUP(シフト組み!R164,役職一覧!$B:$D,2,FALSE),"")</f>
        <v/>
      </c>
      <c r="S134" s="17" t="str">
        <f>IFERROR(VLOOKUP(シフト組み!S164,役職一覧!$B:$D,2,FALSE),"")</f>
        <v/>
      </c>
      <c r="T134" s="17" t="str">
        <f>IFERROR(VLOOKUP(シフト組み!T164,役職一覧!$B:$D,2,FALSE),"")</f>
        <v/>
      </c>
      <c r="U134" s="17" t="str">
        <f>IFERROR(VLOOKUP(シフト組み!U164,役職一覧!$B:$D,2,FALSE),"")</f>
        <v/>
      </c>
      <c r="V134" s="17" t="str">
        <f>IFERROR(VLOOKUP(シフト組み!V164,役職一覧!$B:$D,2,FALSE),"")</f>
        <v/>
      </c>
      <c r="W134" s="17" t="str">
        <f>IFERROR(VLOOKUP(シフト組み!W164,役職一覧!$B:$D,2,FALSE),"")</f>
        <v/>
      </c>
      <c r="X134" s="17" t="str">
        <f>IFERROR(VLOOKUP(シフト組み!X164,役職一覧!$B:$D,2,FALSE),"")</f>
        <v/>
      </c>
      <c r="Y134" s="17" t="str">
        <f>IFERROR(VLOOKUP(シフト組み!Y164,役職一覧!$B:$D,2,FALSE),"")</f>
        <v/>
      </c>
      <c r="Z134" s="17" t="str">
        <f>IFERROR(VLOOKUP(シフト組み!Z164,役職一覧!$B:$D,2,FALSE),"")</f>
        <v/>
      </c>
      <c r="AA134" s="17" t="str">
        <f>IFERROR(VLOOKUP(シフト組み!AA164,役職一覧!$B:$D,2,FALSE),"")</f>
        <v/>
      </c>
      <c r="AB134" s="17" t="str">
        <f>IFERROR(VLOOKUP(シフト組み!AB164,役職一覧!$B:$D,2,FALSE),"")</f>
        <v/>
      </c>
      <c r="AC134" s="17" t="str">
        <f>IFERROR(VLOOKUP(シフト組み!AC164,役職一覧!$B:$D,2,FALSE),"")</f>
        <v/>
      </c>
      <c r="AD134" s="17" t="str">
        <f>IFERROR(VLOOKUP(シフト組み!AD164,役職一覧!$B:$D,2,FALSE),"")</f>
        <v/>
      </c>
      <c r="AE134" s="17" t="str">
        <f>IFERROR(VLOOKUP(シフト組み!AE164,役職一覧!$B:$D,2,FALSE),"")</f>
        <v/>
      </c>
      <c r="AF134" s="17" t="str">
        <f>IFERROR(VLOOKUP(シフト組み!AF164,役職一覧!$B:$D,2,FALSE),"")</f>
        <v/>
      </c>
      <c r="AG134" s="17" t="str">
        <f>IFERROR(VLOOKUP(シフト組み!AG164,役職一覧!$B:$D,2,FALSE),"")</f>
        <v/>
      </c>
      <c r="AH134" s="17" t="str">
        <f>IFERROR(VLOOKUP(シフト組み!AH164,役職一覧!$B:$D,3,FALSE),"")</f>
        <v/>
      </c>
      <c r="AI134" s="17" t="str">
        <f>IFERROR(VLOOKUP(シフト組み!AI164,役職一覧!$B:$D,3,FALSE),"")</f>
        <v/>
      </c>
      <c r="AJ134" s="17" t="str">
        <f>IFERROR(VLOOKUP(シフト組み!AJ164,役職一覧!$B:$D,3,FALSE),"")</f>
        <v/>
      </c>
      <c r="AK134" s="17" t="str">
        <f>IFERROR(VLOOKUP(シフト組み!AK164,役職一覧!$B:$D,3,FALSE),"")</f>
        <v/>
      </c>
      <c r="AL134" s="17" t="str">
        <f>IFERROR(VLOOKUP(シフト組み!AL164,役職一覧!$B:$D,3,FALSE),"")</f>
        <v/>
      </c>
      <c r="AM134" s="17" t="str">
        <f>IFERROR(VLOOKUP(シフト組み!AM164,役職一覧!$B:$D,3,FALSE),"")</f>
        <v/>
      </c>
      <c r="AN134" s="17" t="str">
        <f>IFERROR(VLOOKUP(シフト組み!AN164,役職一覧!$B:$D,3,FALSE),"")</f>
        <v/>
      </c>
      <c r="AO134" s="17" t="str">
        <f>IFERROR(VLOOKUP(シフト組み!AO164,役職一覧!$B:$D,3,FALSE),"")</f>
        <v/>
      </c>
      <c r="AP134" s="17" t="str">
        <f>IFERROR(VLOOKUP(シフト組み!AP164,役職一覧!$B:$D,3,FALSE),"")</f>
        <v/>
      </c>
      <c r="AQ134" s="17" t="str">
        <f>IFERROR(VLOOKUP(シフト組み!AQ164,役職一覧!$B:$D,3,FALSE),"")</f>
        <v/>
      </c>
      <c r="AR134" s="17" t="str">
        <f>IFERROR(VLOOKUP(シフト組み!AR164,役職一覧!$B:$D,3,FALSE),"")</f>
        <v/>
      </c>
      <c r="AS134" s="17" t="str">
        <f>IFERROR(VLOOKUP(シフト組み!AS164,役職一覧!$B:$D,3,FALSE),"")</f>
        <v/>
      </c>
      <c r="AT134" s="17" t="str">
        <f>IFERROR(VLOOKUP(シフト組み!AT164,役職一覧!$B:$D,3,FALSE),"")</f>
        <v/>
      </c>
      <c r="AU134" s="17" t="str">
        <f>IFERROR(VLOOKUP(シフト組み!AU164,役職一覧!$B:$D,3,FALSE),"")</f>
        <v/>
      </c>
      <c r="AV134" s="17" t="str">
        <f>IFERROR(VLOOKUP(シフト組み!AV164,役職一覧!$B:$D,3,FALSE),"")</f>
        <v/>
      </c>
      <c r="AW134" s="17" t="str">
        <f>IFERROR(VLOOKUP(シフト組み!AW164,役職一覧!$B:$D,3,FALSE),"")</f>
        <v/>
      </c>
      <c r="AX134" s="17" t="str">
        <f>IFERROR(VLOOKUP(シフト組み!AX164,役職一覧!$B:$D,3,FALSE),"")</f>
        <v/>
      </c>
      <c r="AY134" s="17" t="str">
        <f>IFERROR(VLOOKUP(シフト組み!AY164,役職一覧!$B:$D,3,FALSE),"")</f>
        <v/>
      </c>
      <c r="AZ134" s="17" t="str">
        <f>IFERROR(VLOOKUP(シフト組み!AZ164,役職一覧!$B:$D,3,FALSE),"")</f>
        <v/>
      </c>
      <c r="BA134" s="17" t="str">
        <f>IFERROR(VLOOKUP(シフト組み!BA164,役職一覧!$B:$D,3,FALSE),"")</f>
        <v/>
      </c>
    </row>
    <row r="135" spans="1:53">
      <c r="A135" s="2" t="str">
        <f>シフト組み!A165&amp;""</f>
        <v/>
      </c>
      <c r="B135" s="2" t="str">
        <f>シフト組み!B165&amp;""</f>
        <v/>
      </c>
      <c r="C135" s="2" t="str">
        <f>シフト組み!C165&amp;""</f>
        <v/>
      </c>
      <c r="D135" s="17" t="str">
        <f>IFERROR(VLOOKUP(シフト組み!D165,役職一覧!$B:$D,2,FALSE),"")</f>
        <v/>
      </c>
      <c r="E135" s="17" t="str">
        <f>IFERROR(VLOOKUP(シフト組み!E165,役職一覧!$B:$D,2,FALSE),"")</f>
        <v/>
      </c>
      <c r="F135" s="17" t="str">
        <f>IFERROR(VLOOKUP(シフト組み!F165,役職一覧!$B:$D,2,FALSE),"")</f>
        <v/>
      </c>
      <c r="G135" s="17" t="str">
        <f>IFERROR(VLOOKUP(シフト組み!G165,役職一覧!$B:$D,2,FALSE),"")</f>
        <v/>
      </c>
      <c r="H135" s="17" t="str">
        <f>IFERROR(VLOOKUP(シフト組み!H165,役職一覧!$B:$D,2,FALSE),"")</f>
        <v/>
      </c>
      <c r="I135" s="17" t="str">
        <f>IFERROR(VLOOKUP(シフト組み!I165,役職一覧!$B:$D,2,FALSE),"")</f>
        <v/>
      </c>
      <c r="J135" s="17" t="str">
        <f>IFERROR(VLOOKUP(シフト組み!J165,役職一覧!$B:$D,2,FALSE),"")</f>
        <v/>
      </c>
      <c r="K135" s="17" t="str">
        <f>IFERROR(VLOOKUP(シフト組み!K165,役職一覧!$B:$D,2,FALSE),"")</f>
        <v/>
      </c>
      <c r="L135" s="17" t="str">
        <f>IFERROR(VLOOKUP(シフト組み!L165,役職一覧!$B:$D,2,FALSE),"")</f>
        <v/>
      </c>
      <c r="M135" s="17" t="str">
        <f>IFERROR(VLOOKUP(シフト組み!M165,役職一覧!$B:$D,2,FALSE),"")</f>
        <v/>
      </c>
      <c r="N135" s="17" t="str">
        <f>IFERROR(VLOOKUP(シフト組み!N165,役職一覧!$B:$D,2,FALSE),"")</f>
        <v/>
      </c>
      <c r="O135" s="17" t="str">
        <f>IFERROR(VLOOKUP(シフト組み!O165,役職一覧!$B:$D,2,FALSE),"")</f>
        <v/>
      </c>
      <c r="P135" s="17" t="str">
        <f>IFERROR(VLOOKUP(シフト組み!P165,役職一覧!$B:$D,2,FALSE),"")</f>
        <v/>
      </c>
      <c r="Q135" s="17" t="str">
        <f>IFERROR(VLOOKUP(シフト組み!Q165,役職一覧!$B:$D,2,FALSE),"")</f>
        <v/>
      </c>
      <c r="R135" s="17" t="str">
        <f>IFERROR(VLOOKUP(シフト組み!R165,役職一覧!$B:$D,2,FALSE),"")</f>
        <v/>
      </c>
      <c r="S135" s="17" t="str">
        <f>IFERROR(VLOOKUP(シフト組み!S165,役職一覧!$B:$D,2,FALSE),"")</f>
        <v/>
      </c>
      <c r="T135" s="17" t="str">
        <f>IFERROR(VLOOKUP(シフト組み!T165,役職一覧!$B:$D,2,FALSE),"")</f>
        <v/>
      </c>
      <c r="U135" s="17" t="str">
        <f>IFERROR(VLOOKUP(シフト組み!U165,役職一覧!$B:$D,2,FALSE),"")</f>
        <v/>
      </c>
      <c r="V135" s="17" t="str">
        <f>IFERROR(VLOOKUP(シフト組み!V165,役職一覧!$B:$D,2,FALSE),"")</f>
        <v/>
      </c>
      <c r="W135" s="17" t="str">
        <f>IFERROR(VLOOKUP(シフト組み!W165,役職一覧!$B:$D,2,FALSE),"")</f>
        <v/>
      </c>
      <c r="X135" s="17" t="str">
        <f>IFERROR(VLOOKUP(シフト組み!X165,役職一覧!$B:$D,2,FALSE),"")</f>
        <v/>
      </c>
      <c r="Y135" s="17" t="str">
        <f>IFERROR(VLOOKUP(シフト組み!Y165,役職一覧!$B:$D,2,FALSE),"")</f>
        <v/>
      </c>
      <c r="Z135" s="17" t="str">
        <f>IFERROR(VLOOKUP(シフト組み!Z165,役職一覧!$B:$D,2,FALSE),"")</f>
        <v/>
      </c>
      <c r="AA135" s="17" t="str">
        <f>IFERROR(VLOOKUP(シフト組み!AA165,役職一覧!$B:$D,2,FALSE),"")</f>
        <v/>
      </c>
      <c r="AB135" s="17" t="str">
        <f>IFERROR(VLOOKUP(シフト組み!AB165,役職一覧!$B:$D,2,FALSE),"")</f>
        <v/>
      </c>
      <c r="AC135" s="17" t="str">
        <f>IFERROR(VLOOKUP(シフト組み!AC165,役職一覧!$B:$D,2,FALSE),"")</f>
        <v/>
      </c>
      <c r="AD135" s="17" t="str">
        <f>IFERROR(VLOOKUP(シフト組み!AD165,役職一覧!$B:$D,2,FALSE),"")</f>
        <v/>
      </c>
      <c r="AE135" s="17" t="str">
        <f>IFERROR(VLOOKUP(シフト組み!AE165,役職一覧!$B:$D,2,FALSE),"")</f>
        <v/>
      </c>
      <c r="AF135" s="17" t="str">
        <f>IFERROR(VLOOKUP(シフト組み!AF165,役職一覧!$B:$D,2,FALSE),"")</f>
        <v/>
      </c>
      <c r="AG135" s="17" t="str">
        <f>IFERROR(VLOOKUP(シフト組み!AG165,役職一覧!$B:$D,2,FALSE),"")</f>
        <v/>
      </c>
      <c r="AH135" s="17" t="str">
        <f>IFERROR(VLOOKUP(シフト組み!AH165,役職一覧!$B:$D,3,FALSE),"")</f>
        <v/>
      </c>
      <c r="AI135" s="17" t="str">
        <f>IFERROR(VLOOKUP(シフト組み!AI165,役職一覧!$B:$D,3,FALSE),"")</f>
        <v/>
      </c>
      <c r="AJ135" s="17" t="str">
        <f>IFERROR(VLOOKUP(シフト組み!AJ165,役職一覧!$B:$D,3,FALSE),"")</f>
        <v/>
      </c>
      <c r="AK135" s="17" t="str">
        <f>IFERROR(VLOOKUP(シフト組み!AK165,役職一覧!$B:$D,3,FALSE),"")</f>
        <v/>
      </c>
      <c r="AL135" s="17" t="str">
        <f>IFERROR(VLOOKUP(シフト組み!AL165,役職一覧!$B:$D,3,FALSE),"")</f>
        <v/>
      </c>
      <c r="AM135" s="17" t="str">
        <f>IFERROR(VLOOKUP(シフト組み!AM165,役職一覧!$B:$D,3,FALSE),"")</f>
        <v/>
      </c>
      <c r="AN135" s="17" t="str">
        <f>IFERROR(VLOOKUP(シフト組み!AN165,役職一覧!$B:$D,3,FALSE),"")</f>
        <v/>
      </c>
      <c r="AO135" s="17" t="str">
        <f>IFERROR(VLOOKUP(シフト組み!AO165,役職一覧!$B:$D,3,FALSE),"")</f>
        <v/>
      </c>
      <c r="AP135" s="17" t="str">
        <f>IFERROR(VLOOKUP(シフト組み!AP165,役職一覧!$B:$D,3,FALSE),"")</f>
        <v/>
      </c>
      <c r="AQ135" s="17" t="str">
        <f>IFERROR(VLOOKUP(シフト組み!AQ165,役職一覧!$B:$D,3,FALSE),"")</f>
        <v/>
      </c>
      <c r="AR135" s="17" t="str">
        <f>IFERROR(VLOOKUP(シフト組み!AR165,役職一覧!$B:$D,3,FALSE),"")</f>
        <v/>
      </c>
      <c r="AS135" s="17" t="str">
        <f>IFERROR(VLOOKUP(シフト組み!AS165,役職一覧!$B:$D,3,FALSE),"")</f>
        <v/>
      </c>
      <c r="AT135" s="17" t="str">
        <f>IFERROR(VLOOKUP(シフト組み!AT165,役職一覧!$B:$D,3,FALSE),"")</f>
        <v/>
      </c>
      <c r="AU135" s="17" t="str">
        <f>IFERROR(VLOOKUP(シフト組み!AU165,役職一覧!$B:$D,3,FALSE),"")</f>
        <v/>
      </c>
      <c r="AV135" s="17" t="str">
        <f>IFERROR(VLOOKUP(シフト組み!AV165,役職一覧!$B:$D,3,FALSE),"")</f>
        <v/>
      </c>
      <c r="AW135" s="17" t="str">
        <f>IFERROR(VLOOKUP(シフト組み!AW165,役職一覧!$B:$D,3,FALSE),"")</f>
        <v/>
      </c>
      <c r="AX135" s="17" t="str">
        <f>IFERROR(VLOOKUP(シフト組み!AX165,役職一覧!$B:$D,3,FALSE),"")</f>
        <v/>
      </c>
      <c r="AY135" s="17" t="str">
        <f>IFERROR(VLOOKUP(シフト組み!AY165,役職一覧!$B:$D,3,FALSE),"")</f>
        <v/>
      </c>
      <c r="AZ135" s="17" t="str">
        <f>IFERROR(VLOOKUP(シフト組み!AZ165,役職一覧!$B:$D,3,FALSE),"")</f>
        <v/>
      </c>
      <c r="BA135" s="17" t="str">
        <f>IFERROR(VLOOKUP(シフト組み!BA165,役職一覧!$B:$D,3,FALSE),"")</f>
        <v/>
      </c>
    </row>
    <row r="136" spans="1:53">
      <c r="A136" s="2" t="str">
        <f>シフト組み!A166&amp;""</f>
        <v/>
      </c>
      <c r="B136" s="2" t="str">
        <f>シフト組み!B166&amp;""</f>
        <v/>
      </c>
      <c r="C136" s="2" t="str">
        <f>シフト組み!C166&amp;""</f>
        <v/>
      </c>
      <c r="D136" s="17" t="str">
        <f>IFERROR(VLOOKUP(シフト組み!D166,役職一覧!$B:$D,2,FALSE),"")</f>
        <v/>
      </c>
      <c r="E136" s="17" t="str">
        <f>IFERROR(VLOOKUP(シフト組み!E166,役職一覧!$B:$D,2,FALSE),"")</f>
        <v/>
      </c>
      <c r="F136" s="17" t="str">
        <f>IFERROR(VLOOKUP(シフト組み!F166,役職一覧!$B:$D,2,FALSE),"")</f>
        <v/>
      </c>
      <c r="G136" s="17" t="str">
        <f>IFERROR(VLOOKUP(シフト組み!G166,役職一覧!$B:$D,2,FALSE),"")</f>
        <v/>
      </c>
      <c r="H136" s="17" t="str">
        <f>IFERROR(VLOOKUP(シフト組み!H166,役職一覧!$B:$D,2,FALSE),"")</f>
        <v/>
      </c>
      <c r="I136" s="17" t="str">
        <f>IFERROR(VLOOKUP(シフト組み!I166,役職一覧!$B:$D,2,FALSE),"")</f>
        <v/>
      </c>
      <c r="J136" s="17" t="str">
        <f>IFERROR(VLOOKUP(シフト組み!J166,役職一覧!$B:$D,2,FALSE),"")</f>
        <v/>
      </c>
      <c r="K136" s="17" t="str">
        <f>IFERROR(VLOOKUP(シフト組み!K166,役職一覧!$B:$D,2,FALSE),"")</f>
        <v/>
      </c>
      <c r="L136" s="17" t="str">
        <f>IFERROR(VLOOKUP(シフト組み!L166,役職一覧!$B:$D,2,FALSE),"")</f>
        <v/>
      </c>
      <c r="M136" s="17" t="str">
        <f>IFERROR(VLOOKUP(シフト組み!M166,役職一覧!$B:$D,2,FALSE),"")</f>
        <v/>
      </c>
      <c r="N136" s="17" t="str">
        <f>IFERROR(VLOOKUP(シフト組み!N166,役職一覧!$B:$D,2,FALSE),"")</f>
        <v/>
      </c>
      <c r="O136" s="17" t="str">
        <f>IFERROR(VLOOKUP(シフト組み!O166,役職一覧!$B:$D,2,FALSE),"")</f>
        <v/>
      </c>
      <c r="P136" s="17" t="str">
        <f>IFERROR(VLOOKUP(シフト組み!P166,役職一覧!$B:$D,2,FALSE),"")</f>
        <v/>
      </c>
      <c r="Q136" s="17" t="str">
        <f>IFERROR(VLOOKUP(シフト組み!Q166,役職一覧!$B:$D,2,FALSE),"")</f>
        <v/>
      </c>
      <c r="R136" s="17" t="str">
        <f>IFERROR(VLOOKUP(シフト組み!R166,役職一覧!$B:$D,2,FALSE),"")</f>
        <v/>
      </c>
      <c r="S136" s="17" t="str">
        <f>IFERROR(VLOOKUP(シフト組み!S166,役職一覧!$B:$D,2,FALSE),"")</f>
        <v/>
      </c>
      <c r="T136" s="17" t="str">
        <f>IFERROR(VLOOKUP(シフト組み!T166,役職一覧!$B:$D,2,FALSE),"")</f>
        <v/>
      </c>
      <c r="U136" s="17" t="str">
        <f>IFERROR(VLOOKUP(シフト組み!U166,役職一覧!$B:$D,2,FALSE),"")</f>
        <v/>
      </c>
      <c r="V136" s="17" t="str">
        <f>IFERROR(VLOOKUP(シフト組み!V166,役職一覧!$B:$D,2,FALSE),"")</f>
        <v/>
      </c>
      <c r="W136" s="17" t="str">
        <f>IFERROR(VLOOKUP(シフト組み!W166,役職一覧!$B:$D,2,FALSE),"")</f>
        <v/>
      </c>
      <c r="X136" s="17" t="str">
        <f>IFERROR(VLOOKUP(シフト組み!X166,役職一覧!$B:$D,2,FALSE),"")</f>
        <v/>
      </c>
      <c r="Y136" s="17" t="str">
        <f>IFERROR(VLOOKUP(シフト組み!Y166,役職一覧!$B:$D,2,FALSE),"")</f>
        <v/>
      </c>
      <c r="Z136" s="17" t="str">
        <f>IFERROR(VLOOKUP(シフト組み!Z166,役職一覧!$B:$D,2,FALSE),"")</f>
        <v/>
      </c>
      <c r="AA136" s="17" t="str">
        <f>IFERROR(VLOOKUP(シフト組み!AA166,役職一覧!$B:$D,2,FALSE),"")</f>
        <v/>
      </c>
      <c r="AB136" s="17" t="str">
        <f>IFERROR(VLOOKUP(シフト組み!AB166,役職一覧!$B:$D,2,FALSE),"")</f>
        <v/>
      </c>
      <c r="AC136" s="17" t="str">
        <f>IFERROR(VLOOKUP(シフト組み!AC166,役職一覧!$B:$D,2,FALSE),"")</f>
        <v/>
      </c>
      <c r="AD136" s="17" t="str">
        <f>IFERROR(VLOOKUP(シフト組み!AD166,役職一覧!$B:$D,2,FALSE),"")</f>
        <v/>
      </c>
      <c r="AE136" s="17" t="str">
        <f>IFERROR(VLOOKUP(シフト組み!AE166,役職一覧!$B:$D,2,FALSE),"")</f>
        <v/>
      </c>
      <c r="AF136" s="17" t="str">
        <f>IFERROR(VLOOKUP(シフト組み!AF166,役職一覧!$B:$D,2,FALSE),"")</f>
        <v/>
      </c>
      <c r="AG136" s="17" t="str">
        <f>IFERROR(VLOOKUP(シフト組み!AG166,役職一覧!$B:$D,2,FALSE),"")</f>
        <v/>
      </c>
      <c r="AH136" s="17" t="str">
        <f>IFERROR(VLOOKUP(シフト組み!AH166,役職一覧!$B:$D,3,FALSE),"")</f>
        <v/>
      </c>
      <c r="AI136" s="17" t="str">
        <f>IFERROR(VLOOKUP(シフト組み!AI166,役職一覧!$B:$D,3,FALSE),"")</f>
        <v/>
      </c>
      <c r="AJ136" s="17" t="str">
        <f>IFERROR(VLOOKUP(シフト組み!AJ166,役職一覧!$B:$D,3,FALSE),"")</f>
        <v/>
      </c>
      <c r="AK136" s="17" t="str">
        <f>IFERROR(VLOOKUP(シフト組み!AK166,役職一覧!$B:$D,3,FALSE),"")</f>
        <v/>
      </c>
      <c r="AL136" s="17" t="str">
        <f>IFERROR(VLOOKUP(シフト組み!AL166,役職一覧!$B:$D,3,FALSE),"")</f>
        <v/>
      </c>
      <c r="AM136" s="17" t="str">
        <f>IFERROR(VLOOKUP(シフト組み!AM166,役職一覧!$B:$D,3,FALSE),"")</f>
        <v/>
      </c>
      <c r="AN136" s="17" t="str">
        <f>IFERROR(VLOOKUP(シフト組み!AN166,役職一覧!$B:$D,3,FALSE),"")</f>
        <v/>
      </c>
      <c r="AO136" s="17" t="str">
        <f>IFERROR(VLOOKUP(シフト組み!AO166,役職一覧!$B:$D,3,FALSE),"")</f>
        <v/>
      </c>
      <c r="AP136" s="17" t="str">
        <f>IFERROR(VLOOKUP(シフト組み!AP166,役職一覧!$B:$D,3,FALSE),"")</f>
        <v/>
      </c>
      <c r="AQ136" s="17" t="str">
        <f>IFERROR(VLOOKUP(シフト組み!AQ166,役職一覧!$B:$D,3,FALSE),"")</f>
        <v/>
      </c>
      <c r="AR136" s="17" t="str">
        <f>IFERROR(VLOOKUP(シフト組み!AR166,役職一覧!$B:$D,3,FALSE),"")</f>
        <v/>
      </c>
      <c r="AS136" s="17" t="str">
        <f>IFERROR(VLOOKUP(シフト組み!AS166,役職一覧!$B:$D,3,FALSE),"")</f>
        <v/>
      </c>
      <c r="AT136" s="17" t="str">
        <f>IFERROR(VLOOKUP(シフト組み!AT166,役職一覧!$B:$D,3,FALSE),"")</f>
        <v/>
      </c>
      <c r="AU136" s="17" t="str">
        <f>IFERROR(VLOOKUP(シフト組み!AU166,役職一覧!$B:$D,3,FALSE),"")</f>
        <v/>
      </c>
      <c r="AV136" s="17" t="str">
        <f>IFERROR(VLOOKUP(シフト組み!AV166,役職一覧!$B:$D,3,FALSE),"")</f>
        <v/>
      </c>
      <c r="AW136" s="17" t="str">
        <f>IFERROR(VLOOKUP(シフト組み!AW166,役職一覧!$B:$D,3,FALSE),"")</f>
        <v/>
      </c>
      <c r="AX136" s="17" t="str">
        <f>IFERROR(VLOOKUP(シフト組み!AX166,役職一覧!$B:$D,3,FALSE),"")</f>
        <v/>
      </c>
      <c r="AY136" s="17" t="str">
        <f>IFERROR(VLOOKUP(シフト組み!AY166,役職一覧!$B:$D,3,FALSE),"")</f>
        <v/>
      </c>
      <c r="AZ136" s="17" t="str">
        <f>IFERROR(VLOOKUP(シフト組み!AZ166,役職一覧!$B:$D,3,FALSE),"")</f>
        <v/>
      </c>
      <c r="BA136" s="17" t="str">
        <f>IFERROR(VLOOKUP(シフト組み!BA166,役職一覧!$B:$D,3,FALSE),"")</f>
        <v/>
      </c>
    </row>
    <row r="137" spans="1:53">
      <c r="A137" s="2" t="str">
        <f>シフト組み!A167&amp;""</f>
        <v/>
      </c>
      <c r="B137" s="2" t="str">
        <f>シフト組み!B167&amp;""</f>
        <v/>
      </c>
      <c r="C137" s="2" t="str">
        <f>シフト組み!C167&amp;""</f>
        <v/>
      </c>
      <c r="D137" s="17" t="str">
        <f>IFERROR(VLOOKUP(シフト組み!D167,役職一覧!$B:$D,2,FALSE),"")</f>
        <v/>
      </c>
      <c r="E137" s="17" t="str">
        <f>IFERROR(VLOOKUP(シフト組み!E167,役職一覧!$B:$D,2,FALSE),"")</f>
        <v/>
      </c>
      <c r="F137" s="17" t="str">
        <f>IFERROR(VLOOKUP(シフト組み!F167,役職一覧!$B:$D,2,FALSE),"")</f>
        <v/>
      </c>
      <c r="G137" s="17" t="str">
        <f>IFERROR(VLOOKUP(シフト組み!G167,役職一覧!$B:$D,2,FALSE),"")</f>
        <v/>
      </c>
      <c r="H137" s="17" t="str">
        <f>IFERROR(VLOOKUP(シフト組み!H167,役職一覧!$B:$D,2,FALSE),"")</f>
        <v/>
      </c>
      <c r="I137" s="17" t="str">
        <f>IFERROR(VLOOKUP(シフト組み!I167,役職一覧!$B:$D,2,FALSE),"")</f>
        <v/>
      </c>
      <c r="J137" s="17" t="str">
        <f>IFERROR(VLOOKUP(シフト組み!J167,役職一覧!$B:$D,2,FALSE),"")</f>
        <v/>
      </c>
      <c r="K137" s="17" t="str">
        <f>IFERROR(VLOOKUP(シフト組み!K167,役職一覧!$B:$D,2,FALSE),"")</f>
        <v/>
      </c>
      <c r="L137" s="17" t="str">
        <f>IFERROR(VLOOKUP(シフト組み!L167,役職一覧!$B:$D,2,FALSE),"")</f>
        <v/>
      </c>
      <c r="M137" s="17" t="str">
        <f>IFERROR(VLOOKUP(シフト組み!M167,役職一覧!$B:$D,2,FALSE),"")</f>
        <v/>
      </c>
      <c r="N137" s="17" t="str">
        <f>IFERROR(VLOOKUP(シフト組み!N167,役職一覧!$B:$D,2,FALSE),"")</f>
        <v/>
      </c>
      <c r="O137" s="17" t="str">
        <f>IFERROR(VLOOKUP(シフト組み!O167,役職一覧!$B:$D,2,FALSE),"")</f>
        <v/>
      </c>
      <c r="P137" s="17" t="str">
        <f>IFERROR(VLOOKUP(シフト組み!P167,役職一覧!$B:$D,2,FALSE),"")</f>
        <v/>
      </c>
      <c r="Q137" s="17" t="str">
        <f>IFERROR(VLOOKUP(シフト組み!Q167,役職一覧!$B:$D,2,FALSE),"")</f>
        <v/>
      </c>
      <c r="R137" s="17" t="str">
        <f>IFERROR(VLOOKUP(シフト組み!R167,役職一覧!$B:$D,2,FALSE),"")</f>
        <v/>
      </c>
      <c r="S137" s="17" t="str">
        <f>IFERROR(VLOOKUP(シフト組み!S167,役職一覧!$B:$D,2,FALSE),"")</f>
        <v/>
      </c>
      <c r="T137" s="17" t="str">
        <f>IFERROR(VLOOKUP(シフト組み!T167,役職一覧!$B:$D,2,FALSE),"")</f>
        <v/>
      </c>
      <c r="U137" s="17" t="str">
        <f>IFERROR(VLOOKUP(シフト組み!U167,役職一覧!$B:$D,2,FALSE),"")</f>
        <v/>
      </c>
      <c r="V137" s="17" t="str">
        <f>IFERROR(VLOOKUP(シフト組み!V167,役職一覧!$B:$D,2,FALSE),"")</f>
        <v/>
      </c>
      <c r="W137" s="17" t="str">
        <f>IFERROR(VLOOKUP(シフト組み!W167,役職一覧!$B:$D,2,FALSE),"")</f>
        <v/>
      </c>
      <c r="X137" s="17" t="str">
        <f>IFERROR(VLOOKUP(シフト組み!X167,役職一覧!$B:$D,2,FALSE),"")</f>
        <v/>
      </c>
      <c r="Y137" s="17" t="str">
        <f>IFERROR(VLOOKUP(シフト組み!Y167,役職一覧!$B:$D,2,FALSE),"")</f>
        <v/>
      </c>
      <c r="Z137" s="17" t="str">
        <f>IFERROR(VLOOKUP(シフト組み!Z167,役職一覧!$B:$D,2,FALSE),"")</f>
        <v/>
      </c>
      <c r="AA137" s="17" t="str">
        <f>IFERROR(VLOOKUP(シフト組み!AA167,役職一覧!$B:$D,2,FALSE),"")</f>
        <v/>
      </c>
      <c r="AB137" s="17" t="str">
        <f>IFERROR(VLOOKUP(シフト組み!AB167,役職一覧!$B:$D,2,FALSE),"")</f>
        <v/>
      </c>
      <c r="AC137" s="17" t="str">
        <f>IFERROR(VLOOKUP(シフト組み!AC167,役職一覧!$B:$D,2,FALSE),"")</f>
        <v/>
      </c>
      <c r="AD137" s="17" t="str">
        <f>IFERROR(VLOOKUP(シフト組み!AD167,役職一覧!$B:$D,2,FALSE),"")</f>
        <v/>
      </c>
      <c r="AE137" s="17" t="str">
        <f>IFERROR(VLOOKUP(シフト組み!AE167,役職一覧!$B:$D,2,FALSE),"")</f>
        <v/>
      </c>
      <c r="AF137" s="17" t="str">
        <f>IFERROR(VLOOKUP(シフト組み!AF167,役職一覧!$B:$D,2,FALSE),"")</f>
        <v/>
      </c>
      <c r="AG137" s="17" t="str">
        <f>IFERROR(VLOOKUP(シフト組み!AG167,役職一覧!$B:$D,2,FALSE),"")</f>
        <v/>
      </c>
      <c r="AH137" s="17" t="str">
        <f>IFERROR(VLOOKUP(シフト組み!AH167,役職一覧!$B:$D,3,FALSE),"")</f>
        <v/>
      </c>
      <c r="AI137" s="17" t="str">
        <f>IFERROR(VLOOKUP(シフト組み!AI167,役職一覧!$B:$D,3,FALSE),"")</f>
        <v/>
      </c>
      <c r="AJ137" s="17" t="str">
        <f>IFERROR(VLOOKUP(シフト組み!AJ167,役職一覧!$B:$D,3,FALSE),"")</f>
        <v/>
      </c>
      <c r="AK137" s="17" t="str">
        <f>IFERROR(VLOOKUP(シフト組み!AK167,役職一覧!$B:$D,3,FALSE),"")</f>
        <v/>
      </c>
      <c r="AL137" s="17" t="str">
        <f>IFERROR(VLOOKUP(シフト組み!AL167,役職一覧!$B:$D,3,FALSE),"")</f>
        <v/>
      </c>
      <c r="AM137" s="17" t="str">
        <f>IFERROR(VLOOKUP(シフト組み!AM167,役職一覧!$B:$D,3,FALSE),"")</f>
        <v/>
      </c>
      <c r="AN137" s="17" t="str">
        <f>IFERROR(VLOOKUP(シフト組み!AN167,役職一覧!$B:$D,3,FALSE),"")</f>
        <v/>
      </c>
      <c r="AO137" s="17" t="str">
        <f>IFERROR(VLOOKUP(シフト組み!AO167,役職一覧!$B:$D,3,FALSE),"")</f>
        <v/>
      </c>
      <c r="AP137" s="17" t="str">
        <f>IFERROR(VLOOKUP(シフト組み!AP167,役職一覧!$B:$D,3,FALSE),"")</f>
        <v/>
      </c>
      <c r="AQ137" s="17" t="str">
        <f>IFERROR(VLOOKUP(シフト組み!AQ167,役職一覧!$B:$D,3,FALSE),"")</f>
        <v/>
      </c>
      <c r="AR137" s="17" t="str">
        <f>IFERROR(VLOOKUP(シフト組み!AR167,役職一覧!$B:$D,3,FALSE),"")</f>
        <v/>
      </c>
      <c r="AS137" s="17" t="str">
        <f>IFERROR(VLOOKUP(シフト組み!AS167,役職一覧!$B:$D,3,FALSE),"")</f>
        <v/>
      </c>
      <c r="AT137" s="17" t="str">
        <f>IFERROR(VLOOKUP(シフト組み!AT167,役職一覧!$B:$D,3,FALSE),"")</f>
        <v/>
      </c>
      <c r="AU137" s="17" t="str">
        <f>IFERROR(VLOOKUP(シフト組み!AU167,役職一覧!$B:$D,3,FALSE),"")</f>
        <v/>
      </c>
      <c r="AV137" s="17" t="str">
        <f>IFERROR(VLOOKUP(シフト組み!AV167,役職一覧!$B:$D,3,FALSE),"")</f>
        <v/>
      </c>
      <c r="AW137" s="17" t="str">
        <f>IFERROR(VLOOKUP(シフト組み!AW167,役職一覧!$B:$D,3,FALSE),"")</f>
        <v/>
      </c>
      <c r="AX137" s="17" t="str">
        <f>IFERROR(VLOOKUP(シフト組み!AX167,役職一覧!$B:$D,3,FALSE),"")</f>
        <v/>
      </c>
      <c r="AY137" s="17" t="str">
        <f>IFERROR(VLOOKUP(シフト組み!AY167,役職一覧!$B:$D,3,FALSE),"")</f>
        <v/>
      </c>
      <c r="AZ137" s="17" t="str">
        <f>IFERROR(VLOOKUP(シフト組み!AZ167,役職一覧!$B:$D,3,FALSE),"")</f>
        <v/>
      </c>
      <c r="BA137" s="17" t="str">
        <f>IFERROR(VLOOKUP(シフト組み!BA167,役職一覧!$B:$D,3,FALSE),"")</f>
        <v/>
      </c>
    </row>
    <row r="138" spans="1:53">
      <c r="A138" s="2" t="str">
        <f>シフト組み!A168&amp;""</f>
        <v/>
      </c>
      <c r="B138" s="2" t="str">
        <f>シフト組み!B168&amp;""</f>
        <v/>
      </c>
      <c r="C138" s="2" t="str">
        <f>シフト組み!C168&amp;""</f>
        <v/>
      </c>
      <c r="D138" s="17" t="str">
        <f>IFERROR(VLOOKUP(シフト組み!D168,役職一覧!$B:$D,2,FALSE),"")</f>
        <v/>
      </c>
      <c r="E138" s="17" t="str">
        <f>IFERROR(VLOOKUP(シフト組み!E168,役職一覧!$B:$D,2,FALSE),"")</f>
        <v/>
      </c>
      <c r="F138" s="17" t="str">
        <f>IFERROR(VLOOKUP(シフト組み!F168,役職一覧!$B:$D,2,FALSE),"")</f>
        <v/>
      </c>
      <c r="G138" s="17" t="str">
        <f>IFERROR(VLOOKUP(シフト組み!G168,役職一覧!$B:$D,2,FALSE),"")</f>
        <v/>
      </c>
      <c r="H138" s="17" t="str">
        <f>IFERROR(VLOOKUP(シフト組み!H168,役職一覧!$B:$D,2,FALSE),"")</f>
        <v/>
      </c>
      <c r="I138" s="17" t="str">
        <f>IFERROR(VLOOKUP(シフト組み!I168,役職一覧!$B:$D,2,FALSE),"")</f>
        <v/>
      </c>
      <c r="J138" s="17" t="str">
        <f>IFERROR(VLOOKUP(シフト組み!J168,役職一覧!$B:$D,2,FALSE),"")</f>
        <v/>
      </c>
      <c r="K138" s="17" t="str">
        <f>IFERROR(VLOOKUP(シフト組み!K168,役職一覧!$B:$D,2,FALSE),"")</f>
        <v/>
      </c>
      <c r="L138" s="17" t="str">
        <f>IFERROR(VLOOKUP(シフト組み!L168,役職一覧!$B:$D,2,FALSE),"")</f>
        <v/>
      </c>
      <c r="M138" s="17" t="str">
        <f>IFERROR(VLOOKUP(シフト組み!M168,役職一覧!$B:$D,2,FALSE),"")</f>
        <v/>
      </c>
      <c r="N138" s="17" t="str">
        <f>IFERROR(VLOOKUP(シフト組み!N168,役職一覧!$B:$D,2,FALSE),"")</f>
        <v/>
      </c>
      <c r="O138" s="17" t="str">
        <f>IFERROR(VLOOKUP(シフト組み!O168,役職一覧!$B:$D,2,FALSE),"")</f>
        <v/>
      </c>
      <c r="P138" s="17" t="str">
        <f>IFERROR(VLOOKUP(シフト組み!P168,役職一覧!$B:$D,2,FALSE),"")</f>
        <v/>
      </c>
      <c r="Q138" s="17" t="str">
        <f>IFERROR(VLOOKUP(シフト組み!Q168,役職一覧!$B:$D,2,FALSE),"")</f>
        <v/>
      </c>
      <c r="R138" s="17" t="str">
        <f>IFERROR(VLOOKUP(シフト組み!R168,役職一覧!$B:$D,2,FALSE),"")</f>
        <v/>
      </c>
      <c r="S138" s="17" t="str">
        <f>IFERROR(VLOOKUP(シフト組み!S168,役職一覧!$B:$D,2,FALSE),"")</f>
        <v/>
      </c>
      <c r="T138" s="17" t="str">
        <f>IFERROR(VLOOKUP(シフト組み!T168,役職一覧!$B:$D,2,FALSE),"")</f>
        <v/>
      </c>
      <c r="U138" s="17" t="str">
        <f>IFERROR(VLOOKUP(シフト組み!U168,役職一覧!$B:$D,2,FALSE),"")</f>
        <v/>
      </c>
      <c r="V138" s="17" t="str">
        <f>IFERROR(VLOOKUP(シフト組み!V168,役職一覧!$B:$D,2,FALSE),"")</f>
        <v/>
      </c>
      <c r="W138" s="17" t="str">
        <f>IFERROR(VLOOKUP(シフト組み!W168,役職一覧!$B:$D,2,FALSE),"")</f>
        <v/>
      </c>
      <c r="X138" s="17" t="str">
        <f>IFERROR(VLOOKUP(シフト組み!X168,役職一覧!$B:$D,2,FALSE),"")</f>
        <v/>
      </c>
      <c r="Y138" s="17" t="str">
        <f>IFERROR(VLOOKUP(シフト組み!Y168,役職一覧!$B:$D,2,FALSE),"")</f>
        <v/>
      </c>
      <c r="Z138" s="17" t="str">
        <f>IFERROR(VLOOKUP(シフト組み!Z168,役職一覧!$B:$D,2,FALSE),"")</f>
        <v/>
      </c>
      <c r="AA138" s="17" t="str">
        <f>IFERROR(VLOOKUP(シフト組み!AA168,役職一覧!$B:$D,2,FALSE),"")</f>
        <v/>
      </c>
      <c r="AB138" s="17" t="str">
        <f>IFERROR(VLOOKUP(シフト組み!AB168,役職一覧!$B:$D,2,FALSE),"")</f>
        <v/>
      </c>
      <c r="AC138" s="17" t="str">
        <f>IFERROR(VLOOKUP(シフト組み!AC168,役職一覧!$B:$D,2,FALSE),"")</f>
        <v/>
      </c>
      <c r="AD138" s="17" t="str">
        <f>IFERROR(VLOOKUP(シフト組み!AD168,役職一覧!$B:$D,2,FALSE),"")</f>
        <v/>
      </c>
      <c r="AE138" s="17" t="str">
        <f>IFERROR(VLOOKUP(シフト組み!AE168,役職一覧!$B:$D,2,FALSE),"")</f>
        <v/>
      </c>
      <c r="AF138" s="17" t="str">
        <f>IFERROR(VLOOKUP(シフト組み!AF168,役職一覧!$B:$D,2,FALSE),"")</f>
        <v/>
      </c>
      <c r="AG138" s="17" t="str">
        <f>IFERROR(VLOOKUP(シフト組み!AG168,役職一覧!$B:$D,2,FALSE),"")</f>
        <v/>
      </c>
      <c r="AH138" s="17" t="str">
        <f>IFERROR(VLOOKUP(シフト組み!AH168,役職一覧!$B:$D,3,FALSE),"")</f>
        <v/>
      </c>
      <c r="AI138" s="17" t="str">
        <f>IFERROR(VLOOKUP(シフト組み!AI168,役職一覧!$B:$D,3,FALSE),"")</f>
        <v/>
      </c>
      <c r="AJ138" s="17" t="str">
        <f>IFERROR(VLOOKUP(シフト組み!AJ168,役職一覧!$B:$D,3,FALSE),"")</f>
        <v/>
      </c>
      <c r="AK138" s="17" t="str">
        <f>IFERROR(VLOOKUP(シフト組み!AK168,役職一覧!$B:$D,3,FALSE),"")</f>
        <v/>
      </c>
      <c r="AL138" s="17" t="str">
        <f>IFERROR(VLOOKUP(シフト組み!AL168,役職一覧!$B:$D,3,FALSE),"")</f>
        <v/>
      </c>
      <c r="AM138" s="17" t="str">
        <f>IFERROR(VLOOKUP(シフト組み!AM168,役職一覧!$B:$D,3,FALSE),"")</f>
        <v/>
      </c>
      <c r="AN138" s="17" t="str">
        <f>IFERROR(VLOOKUP(シフト組み!AN168,役職一覧!$B:$D,3,FALSE),"")</f>
        <v/>
      </c>
      <c r="AO138" s="17" t="str">
        <f>IFERROR(VLOOKUP(シフト組み!AO168,役職一覧!$B:$D,3,FALSE),"")</f>
        <v/>
      </c>
      <c r="AP138" s="17" t="str">
        <f>IFERROR(VLOOKUP(シフト組み!AP168,役職一覧!$B:$D,3,FALSE),"")</f>
        <v/>
      </c>
      <c r="AQ138" s="17" t="str">
        <f>IFERROR(VLOOKUP(シフト組み!AQ168,役職一覧!$B:$D,3,FALSE),"")</f>
        <v/>
      </c>
      <c r="AR138" s="17" t="str">
        <f>IFERROR(VLOOKUP(シフト組み!AR168,役職一覧!$B:$D,3,FALSE),"")</f>
        <v/>
      </c>
      <c r="AS138" s="17" t="str">
        <f>IFERROR(VLOOKUP(シフト組み!AS168,役職一覧!$B:$D,3,FALSE),"")</f>
        <v/>
      </c>
      <c r="AT138" s="17" t="str">
        <f>IFERROR(VLOOKUP(シフト組み!AT168,役職一覧!$B:$D,3,FALSE),"")</f>
        <v/>
      </c>
      <c r="AU138" s="17" t="str">
        <f>IFERROR(VLOOKUP(シフト組み!AU168,役職一覧!$B:$D,3,FALSE),"")</f>
        <v/>
      </c>
      <c r="AV138" s="17" t="str">
        <f>IFERROR(VLOOKUP(シフト組み!AV168,役職一覧!$B:$D,3,FALSE),"")</f>
        <v/>
      </c>
      <c r="AW138" s="17" t="str">
        <f>IFERROR(VLOOKUP(シフト組み!AW168,役職一覧!$B:$D,3,FALSE),"")</f>
        <v/>
      </c>
      <c r="AX138" s="17" t="str">
        <f>IFERROR(VLOOKUP(シフト組み!AX168,役職一覧!$B:$D,3,FALSE),"")</f>
        <v/>
      </c>
      <c r="AY138" s="17" t="str">
        <f>IFERROR(VLOOKUP(シフト組み!AY168,役職一覧!$B:$D,3,FALSE),"")</f>
        <v/>
      </c>
      <c r="AZ138" s="17" t="str">
        <f>IFERROR(VLOOKUP(シフト組み!AZ168,役職一覧!$B:$D,3,FALSE),"")</f>
        <v/>
      </c>
      <c r="BA138" s="17" t="str">
        <f>IFERROR(VLOOKUP(シフト組み!BA168,役職一覧!$B:$D,3,FALSE),"")</f>
        <v/>
      </c>
    </row>
    <row r="139" spans="1:53">
      <c r="A139" s="2" t="str">
        <f>シフト組み!A169&amp;""</f>
        <v/>
      </c>
      <c r="B139" s="2" t="str">
        <f>シフト組み!B169&amp;""</f>
        <v/>
      </c>
      <c r="C139" s="2" t="str">
        <f>シフト組み!C169&amp;""</f>
        <v/>
      </c>
      <c r="D139" s="17" t="str">
        <f>IFERROR(VLOOKUP(シフト組み!D169,役職一覧!$B:$D,2,FALSE),"")</f>
        <v/>
      </c>
      <c r="E139" s="17" t="str">
        <f>IFERROR(VLOOKUP(シフト組み!E169,役職一覧!$B:$D,2,FALSE),"")</f>
        <v/>
      </c>
      <c r="F139" s="17" t="str">
        <f>IFERROR(VLOOKUP(シフト組み!F169,役職一覧!$B:$D,2,FALSE),"")</f>
        <v/>
      </c>
      <c r="G139" s="17" t="str">
        <f>IFERROR(VLOOKUP(シフト組み!G169,役職一覧!$B:$D,2,FALSE),"")</f>
        <v/>
      </c>
      <c r="H139" s="17" t="str">
        <f>IFERROR(VLOOKUP(シフト組み!H169,役職一覧!$B:$D,2,FALSE),"")</f>
        <v/>
      </c>
      <c r="I139" s="17" t="str">
        <f>IFERROR(VLOOKUP(シフト組み!I169,役職一覧!$B:$D,2,FALSE),"")</f>
        <v/>
      </c>
      <c r="J139" s="17" t="str">
        <f>IFERROR(VLOOKUP(シフト組み!J169,役職一覧!$B:$D,2,FALSE),"")</f>
        <v/>
      </c>
      <c r="K139" s="17" t="str">
        <f>IFERROR(VLOOKUP(シフト組み!K169,役職一覧!$B:$D,2,FALSE),"")</f>
        <v/>
      </c>
      <c r="L139" s="17" t="str">
        <f>IFERROR(VLOOKUP(シフト組み!L169,役職一覧!$B:$D,2,FALSE),"")</f>
        <v/>
      </c>
      <c r="M139" s="17" t="str">
        <f>IFERROR(VLOOKUP(シフト組み!M169,役職一覧!$B:$D,2,FALSE),"")</f>
        <v/>
      </c>
      <c r="N139" s="17" t="str">
        <f>IFERROR(VLOOKUP(シフト組み!N169,役職一覧!$B:$D,2,FALSE),"")</f>
        <v/>
      </c>
      <c r="O139" s="17" t="str">
        <f>IFERROR(VLOOKUP(シフト組み!O169,役職一覧!$B:$D,2,FALSE),"")</f>
        <v/>
      </c>
      <c r="P139" s="17" t="str">
        <f>IFERROR(VLOOKUP(シフト組み!P169,役職一覧!$B:$D,2,FALSE),"")</f>
        <v/>
      </c>
      <c r="Q139" s="17" t="str">
        <f>IFERROR(VLOOKUP(シフト組み!Q169,役職一覧!$B:$D,2,FALSE),"")</f>
        <v/>
      </c>
      <c r="R139" s="17" t="str">
        <f>IFERROR(VLOOKUP(シフト組み!R169,役職一覧!$B:$D,2,FALSE),"")</f>
        <v/>
      </c>
      <c r="S139" s="17" t="str">
        <f>IFERROR(VLOOKUP(シフト組み!S169,役職一覧!$B:$D,2,FALSE),"")</f>
        <v/>
      </c>
      <c r="T139" s="17" t="str">
        <f>IFERROR(VLOOKUP(シフト組み!T169,役職一覧!$B:$D,2,FALSE),"")</f>
        <v/>
      </c>
      <c r="U139" s="17" t="str">
        <f>IFERROR(VLOOKUP(シフト組み!U169,役職一覧!$B:$D,2,FALSE),"")</f>
        <v/>
      </c>
      <c r="V139" s="17" t="str">
        <f>IFERROR(VLOOKUP(シフト組み!V169,役職一覧!$B:$D,2,FALSE),"")</f>
        <v/>
      </c>
      <c r="W139" s="17" t="str">
        <f>IFERROR(VLOOKUP(シフト組み!W169,役職一覧!$B:$D,2,FALSE),"")</f>
        <v/>
      </c>
      <c r="X139" s="17" t="str">
        <f>IFERROR(VLOOKUP(シフト組み!X169,役職一覧!$B:$D,2,FALSE),"")</f>
        <v/>
      </c>
      <c r="Y139" s="17" t="str">
        <f>IFERROR(VLOOKUP(シフト組み!Y169,役職一覧!$B:$D,2,FALSE),"")</f>
        <v/>
      </c>
      <c r="Z139" s="17" t="str">
        <f>IFERROR(VLOOKUP(シフト組み!Z169,役職一覧!$B:$D,2,FALSE),"")</f>
        <v/>
      </c>
      <c r="AA139" s="17" t="str">
        <f>IFERROR(VLOOKUP(シフト組み!AA169,役職一覧!$B:$D,2,FALSE),"")</f>
        <v/>
      </c>
      <c r="AB139" s="17" t="str">
        <f>IFERROR(VLOOKUP(シフト組み!AB169,役職一覧!$B:$D,2,FALSE),"")</f>
        <v/>
      </c>
      <c r="AC139" s="17" t="str">
        <f>IFERROR(VLOOKUP(シフト組み!AC169,役職一覧!$B:$D,2,FALSE),"")</f>
        <v/>
      </c>
      <c r="AD139" s="17" t="str">
        <f>IFERROR(VLOOKUP(シフト組み!AD169,役職一覧!$B:$D,2,FALSE),"")</f>
        <v/>
      </c>
      <c r="AE139" s="17" t="str">
        <f>IFERROR(VLOOKUP(シフト組み!AE169,役職一覧!$B:$D,2,FALSE),"")</f>
        <v/>
      </c>
      <c r="AF139" s="17" t="str">
        <f>IFERROR(VLOOKUP(シフト組み!AF169,役職一覧!$B:$D,2,FALSE),"")</f>
        <v/>
      </c>
      <c r="AG139" s="17" t="str">
        <f>IFERROR(VLOOKUP(シフト組み!AG169,役職一覧!$B:$D,2,FALSE),"")</f>
        <v/>
      </c>
      <c r="AH139" s="17" t="str">
        <f>IFERROR(VLOOKUP(シフト組み!AH169,役職一覧!$B:$D,3,FALSE),"")</f>
        <v/>
      </c>
      <c r="AI139" s="17" t="str">
        <f>IFERROR(VLOOKUP(シフト組み!AI169,役職一覧!$B:$D,3,FALSE),"")</f>
        <v/>
      </c>
      <c r="AJ139" s="17" t="str">
        <f>IFERROR(VLOOKUP(シフト組み!AJ169,役職一覧!$B:$D,3,FALSE),"")</f>
        <v/>
      </c>
      <c r="AK139" s="17" t="str">
        <f>IFERROR(VLOOKUP(シフト組み!AK169,役職一覧!$B:$D,3,FALSE),"")</f>
        <v/>
      </c>
      <c r="AL139" s="17" t="str">
        <f>IFERROR(VLOOKUP(シフト組み!AL169,役職一覧!$B:$D,3,FALSE),"")</f>
        <v/>
      </c>
      <c r="AM139" s="17" t="str">
        <f>IFERROR(VLOOKUP(シフト組み!AM169,役職一覧!$B:$D,3,FALSE),"")</f>
        <v/>
      </c>
      <c r="AN139" s="17" t="str">
        <f>IFERROR(VLOOKUP(シフト組み!AN169,役職一覧!$B:$D,3,FALSE),"")</f>
        <v/>
      </c>
      <c r="AO139" s="17" t="str">
        <f>IFERROR(VLOOKUP(シフト組み!AO169,役職一覧!$B:$D,3,FALSE),"")</f>
        <v/>
      </c>
      <c r="AP139" s="17" t="str">
        <f>IFERROR(VLOOKUP(シフト組み!AP169,役職一覧!$B:$D,3,FALSE),"")</f>
        <v/>
      </c>
      <c r="AQ139" s="17" t="str">
        <f>IFERROR(VLOOKUP(シフト組み!AQ169,役職一覧!$B:$D,3,FALSE),"")</f>
        <v/>
      </c>
      <c r="AR139" s="17" t="str">
        <f>IFERROR(VLOOKUP(シフト組み!AR169,役職一覧!$B:$D,3,FALSE),"")</f>
        <v/>
      </c>
      <c r="AS139" s="17" t="str">
        <f>IFERROR(VLOOKUP(シフト組み!AS169,役職一覧!$B:$D,3,FALSE),"")</f>
        <v/>
      </c>
      <c r="AT139" s="17" t="str">
        <f>IFERROR(VLOOKUP(シフト組み!AT169,役職一覧!$B:$D,3,FALSE),"")</f>
        <v/>
      </c>
      <c r="AU139" s="17" t="str">
        <f>IFERROR(VLOOKUP(シフト組み!AU169,役職一覧!$B:$D,3,FALSE),"")</f>
        <v/>
      </c>
      <c r="AV139" s="17" t="str">
        <f>IFERROR(VLOOKUP(シフト組み!AV169,役職一覧!$B:$D,3,FALSE),"")</f>
        <v/>
      </c>
      <c r="AW139" s="17" t="str">
        <f>IFERROR(VLOOKUP(シフト組み!AW169,役職一覧!$B:$D,3,FALSE),"")</f>
        <v/>
      </c>
      <c r="AX139" s="17" t="str">
        <f>IFERROR(VLOOKUP(シフト組み!AX169,役職一覧!$B:$D,3,FALSE),"")</f>
        <v/>
      </c>
      <c r="AY139" s="17" t="str">
        <f>IFERROR(VLOOKUP(シフト組み!AY169,役職一覧!$B:$D,3,FALSE),"")</f>
        <v/>
      </c>
      <c r="AZ139" s="17" t="str">
        <f>IFERROR(VLOOKUP(シフト組み!AZ169,役職一覧!$B:$D,3,FALSE),"")</f>
        <v/>
      </c>
      <c r="BA139" s="17" t="str">
        <f>IFERROR(VLOOKUP(シフト組み!BA169,役職一覧!$B:$D,3,FALSE),"")</f>
        <v/>
      </c>
    </row>
    <row r="140" spans="1:53">
      <c r="A140" s="2" t="str">
        <f>シフト組み!A170&amp;""</f>
        <v/>
      </c>
      <c r="B140" s="2" t="str">
        <f>シフト組み!B170&amp;""</f>
        <v/>
      </c>
      <c r="C140" s="2" t="str">
        <f>シフト組み!C170&amp;""</f>
        <v/>
      </c>
      <c r="D140" s="17" t="str">
        <f>IFERROR(VLOOKUP(シフト組み!D170,役職一覧!$B:$D,2,FALSE),"")</f>
        <v/>
      </c>
      <c r="E140" s="17" t="str">
        <f>IFERROR(VLOOKUP(シフト組み!E170,役職一覧!$B:$D,2,FALSE),"")</f>
        <v/>
      </c>
      <c r="F140" s="17" t="str">
        <f>IFERROR(VLOOKUP(シフト組み!F170,役職一覧!$B:$D,2,FALSE),"")</f>
        <v/>
      </c>
      <c r="G140" s="17" t="str">
        <f>IFERROR(VLOOKUP(シフト組み!G170,役職一覧!$B:$D,2,FALSE),"")</f>
        <v/>
      </c>
      <c r="H140" s="17" t="str">
        <f>IFERROR(VLOOKUP(シフト組み!H170,役職一覧!$B:$D,2,FALSE),"")</f>
        <v/>
      </c>
      <c r="I140" s="17" t="str">
        <f>IFERROR(VLOOKUP(シフト組み!I170,役職一覧!$B:$D,2,FALSE),"")</f>
        <v/>
      </c>
      <c r="J140" s="17" t="str">
        <f>IFERROR(VLOOKUP(シフト組み!J170,役職一覧!$B:$D,2,FALSE),"")</f>
        <v/>
      </c>
      <c r="K140" s="17" t="str">
        <f>IFERROR(VLOOKUP(シフト組み!K170,役職一覧!$B:$D,2,FALSE),"")</f>
        <v/>
      </c>
      <c r="L140" s="17" t="str">
        <f>IFERROR(VLOOKUP(シフト組み!L170,役職一覧!$B:$D,2,FALSE),"")</f>
        <v/>
      </c>
      <c r="M140" s="17" t="str">
        <f>IFERROR(VLOOKUP(シフト組み!M170,役職一覧!$B:$D,2,FALSE),"")</f>
        <v/>
      </c>
      <c r="N140" s="17" t="str">
        <f>IFERROR(VLOOKUP(シフト組み!N170,役職一覧!$B:$D,2,FALSE),"")</f>
        <v/>
      </c>
      <c r="O140" s="17" t="str">
        <f>IFERROR(VLOOKUP(シフト組み!O170,役職一覧!$B:$D,2,FALSE),"")</f>
        <v/>
      </c>
      <c r="P140" s="17" t="str">
        <f>IFERROR(VLOOKUP(シフト組み!P170,役職一覧!$B:$D,2,FALSE),"")</f>
        <v/>
      </c>
      <c r="Q140" s="17" t="str">
        <f>IFERROR(VLOOKUP(シフト組み!Q170,役職一覧!$B:$D,2,FALSE),"")</f>
        <v/>
      </c>
      <c r="R140" s="17" t="str">
        <f>IFERROR(VLOOKUP(シフト組み!R170,役職一覧!$B:$D,2,FALSE),"")</f>
        <v/>
      </c>
      <c r="S140" s="17" t="str">
        <f>IFERROR(VLOOKUP(シフト組み!S170,役職一覧!$B:$D,2,FALSE),"")</f>
        <v/>
      </c>
      <c r="T140" s="17" t="str">
        <f>IFERROR(VLOOKUP(シフト組み!T170,役職一覧!$B:$D,2,FALSE),"")</f>
        <v/>
      </c>
      <c r="U140" s="17" t="str">
        <f>IFERROR(VLOOKUP(シフト組み!U170,役職一覧!$B:$D,2,FALSE),"")</f>
        <v/>
      </c>
      <c r="V140" s="17" t="str">
        <f>IFERROR(VLOOKUP(シフト組み!V170,役職一覧!$B:$D,2,FALSE),"")</f>
        <v/>
      </c>
      <c r="W140" s="17" t="str">
        <f>IFERROR(VLOOKUP(シフト組み!W170,役職一覧!$B:$D,2,FALSE),"")</f>
        <v/>
      </c>
      <c r="X140" s="17" t="str">
        <f>IFERROR(VLOOKUP(シフト組み!X170,役職一覧!$B:$D,2,FALSE),"")</f>
        <v/>
      </c>
      <c r="Y140" s="17" t="str">
        <f>IFERROR(VLOOKUP(シフト組み!Y170,役職一覧!$B:$D,2,FALSE),"")</f>
        <v/>
      </c>
      <c r="Z140" s="17" t="str">
        <f>IFERROR(VLOOKUP(シフト組み!Z170,役職一覧!$B:$D,2,FALSE),"")</f>
        <v/>
      </c>
      <c r="AA140" s="17" t="str">
        <f>IFERROR(VLOOKUP(シフト組み!AA170,役職一覧!$B:$D,2,FALSE),"")</f>
        <v/>
      </c>
      <c r="AB140" s="17" t="str">
        <f>IFERROR(VLOOKUP(シフト組み!AB170,役職一覧!$B:$D,2,FALSE),"")</f>
        <v/>
      </c>
      <c r="AC140" s="17" t="str">
        <f>IFERROR(VLOOKUP(シフト組み!AC170,役職一覧!$B:$D,2,FALSE),"")</f>
        <v/>
      </c>
      <c r="AD140" s="17" t="str">
        <f>IFERROR(VLOOKUP(シフト組み!AD170,役職一覧!$B:$D,2,FALSE),"")</f>
        <v/>
      </c>
      <c r="AE140" s="17" t="str">
        <f>IFERROR(VLOOKUP(シフト組み!AE170,役職一覧!$B:$D,2,FALSE),"")</f>
        <v/>
      </c>
      <c r="AF140" s="17" t="str">
        <f>IFERROR(VLOOKUP(シフト組み!AF170,役職一覧!$B:$D,2,FALSE),"")</f>
        <v/>
      </c>
      <c r="AG140" s="17" t="str">
        <f>IFERROR(VLOOKUP(シフト組み!AG170,役職一覧!$B:$D,2,FALSE),"")</f>
        <v/>
      </c>
      <c r="AH140" s="17" t="str">
        <f>IFERROR(VLOOKUP(シフト組み!AH170,役職一覧!$B:$D,3,FALSE),"")</f>
        <v/>
      </c>
      <c r="AI140" s="17" t="str">
        <f>IFERROR(VLOOKUP(シフト組み!AI170,役職一覧!$B:$D,3,FALSE),"")</f>
        <v/>
      </c>
      <c r="AJ140" s="17" t="str">
        <f>IFERROR(VLOOKUP(シフト組み!AJ170,役職一覧!$B:$D,3,FALSE),"")</f>
        <v/>
      </c>
      <c r="AK140" s="17" t="str">
        <f>IFERROR(VLOOKUP(シフト組み!AK170,役職一覧!$B:$D,3,FALSE),"")</f>
        <v/>
      </c>
      <c r="AL140" s="17" t="str">
        <f>IFERROR(VLOOKUP(シフト組み!AL170,役職一覧!$B:$D,3,FALSE),"")</f>
        <v/>
      </c>
      <c r="AM140" s="17" t="str">
        <f>IFERROR(VLOOKUP(シフト組み!AM170,役職一覧!$B:$D,3,FALSE),"")</f>
        <v/>
      </c>
      <c r="AN140" s="17" t="str">
        <f>IFERROR(VLOOKUP(シフト組み!AN170,役職一覧!$B:$D,3,FALSE),"")</f>
        <v/>
      </c>
      <c r="AO140" s="17" t="str">
        <f>IFERROR(VLOOKUP(シフト組み!AO170,役職一覧!$B:$D,3,FALSE),"")</f>
        <v/>
      </c>
      <c r="AP140" s="17" t="str">
        <f>IFERROR(VLOOKUP(シフト組み!AP170,役職一覧!$B:$D,3,FALSE),"")</f>
        <v/>
      </c>
      <c r="AQ140" s="17" t="str">
        <f>IFERROR(VLOOKUP(シフト組み!AQ170,役職一覧!$B:$D,3,FALSE),"")</f>
        <v/>
      </c>
      <c r="AR140" s="17" t="str">
        <f>IFERROR(VLOOKUP(シフト組み!AR170,役職一覧!$B:$D,3,FALSE),"")</f>
        <v/>
      </c>
      <c r="AS140" s="17" t="str">
        <f>IFERROR(VLOOKUP(シフト組み!AS170,役職一覧!$B:$D,3,FALSE),"")</f>
        <v/>
      </c>
      <c r="AT140" s="17" t="str">
        <f>IFERROR(VLOOKUP(シフト組み!AT170,役職一覧!$B:$D,3,FALSE),"")</f>
        <v/>
      </c>
      <c r="AU140" s="17" t="str">
        <f>IFERROR(VLOOKUP(シフト組み!AU170,役職一覧!$B:$D,3,FALSE),"")</f>
        <v/>
      </c>
      <c r="AV140" s="17" t="str">
        <f>IFERROR(VLOOKUP(シフト組み!AV170,役職一覧!$B:$D,3,FALSE),"")</f>
        <v/>
      </c>
      <c r="AW140" s="17" t="str">
        <f>IFERROR(VLOOKUP(シフト組み!AW170,役職一覧!$B:$D,3,FALSE),"")</f>
        <v/>
      </c>
      <c r="AX140" s="17" t="str">
        <f>IFERROR(VLOOKUP(シフト組み!AX170,役職一覧!$B:$D,3,FALSE),"")</f>
        <v/>
      </c>
      <c r="AY140" s="17" t="str">
        <f>IFERROR(VLOOKUP(シフト組み!AY170,役職一覧!$B:$D,3,FALSE),"")</f>
        <v/>
      </c>
      <c r="AZ140" s="17" t="str">
        <f>IFERROR(VLOOKUP(シフト組み!AZ170,役職一覧!$B:$D,3,FALSE),"")</f>
        <v/>
      </c>
      <c r="BA140" s="17" t="str">
        <f>IFERROR(VLOOKUP(シフト組み!BA170,役職一覧!$B:$D,3,FALSE),"")</f>
        <v/>
      </c>
    </row>
    <row r="141" spans="1:53">
      <c r="A141" s="2" t="str">
        <f>シフト組み!A171&amp;""</f>
        <v/>
      </c>
      <c r="B141" s="2" t="str">
        <f>シフト組み!B171&amp;""</f>
        <v/>
      </c>
      <c r="C141" s="2" t="str">
        <f>シフト組み!C171&amp;""</f>
        <v/>
      </c>
      <c r="D141" s="17" t="str">
        <f>IFERROR(VLOOKUP(シフト組み!D171,役職一覧!$B:$D,2,FALSE),"")</f>
        <v/>
      </c>
      <c r="E141" s="17" t="str">
        <f>IFERROR(VLOOKUP(シフト組み!E171,役職一覧!$B:$D,2,FALSE),"")</f>
        <v/>
      </c>
      <c r="F141" s="17" t="str">
        <f>IFERROR(VLOOKUP(シフト組み!F171,役職一覧!$B:$D,2,FALSE),"")</f>
        <v/>
      </c>
      <c r="G141" s="17" t="str">
        <f>IFERROR(VLOOKUP(シフト組み!G171,役職一覧!$B:$D,2,FALSE),"")</f>
        <v/>
      </c>
      <c r="H141" s="17" t="str">
        <f>IFERROR(VLOOKUP(シフト組み!H171,役職一覧!$B:$D,2,FALSE),"")</f>
        <v/>
      </c>
      <c r="I141" s="17" t="str">
        <f>IFERROR(VLOOKUP(シフト組み!I171,役職一覧!$B:$D,2,FALSE),"")</f>
        <v/>
      </c>
      <c r="J141" s="17" t="str">
        <f>IFERROR(VLOOKUP(シフト組み!J171,役職一覧!$B:$D,2,FALSE),"")</f>
        <v/>
      </c>
      <c r="K141" s="17" t="str">
        <f>IFERROR(VLOOKUP(シフト組み!K171,役職一覧!$B:$D,2,FALSE),"")</f>
        <v/>
      </c>
      <c r="L141" s="17" t="str">
        <f>IFERROR(VLOOKUP(シフト組み!L171,役職一覧!$B:$D,2,FALSE),"")</f>
        <v/>
      </c>
      <c r="M141" s="17" t="str">
        <f>IFERROR(VLOOKUP(シフト組み!M171,役職一覧!$B:$D,2,FALSE),"")</f>
        <v/>
      </c>
      <c r="N141" s="17" t="str">
        <f>IFERROR(VLOOKUP(シフト組み!N171,役職一覧!$B:$D,2,FALSE),"")</f>
        <v/>
      </c>
      <c r="O141" s="17" t="str">
        <f>IFERROR(VLOOKUP(シフト組み!O171,役職一覧!$B:$D,2,FALSE),"")</f>
        <v/>
      </c>
      <c r="P141" s="17" t="str">
        <f>IFERROR(VLOOKUP(シフト組み!P171,役職一覧!$B:$D,2,FALSE),"")</f>
        <v/>
      </c>
      <c r="Q141" s="17" t="str">
        <f>IFERROR(VLOOKUP(シフト組み!Q171,役職一覧!$B:$D,2,FALSE),"")</f>
        <v/>
      </c>
      <c r="R141" s="17" t="str">
        <f>IFERROR(VLOOKUP(シフト組み!R171,役職一覧!$B:$D,2,FALSE),"")</f>
        <v/>
      </c>
      <c r="S141" s="17" t="str">
        <f>IFERROR(VLOOKUP(シフト組み!S171,役職一覧!$B:$D,2,FALSE),"")</f>
        <v/>
      </c>
      <c r="T141" s="17" t="str">
        <f>IFERROR(VLOOKUP(シフト組み!T171,役職一覧!$B:$D,2,FALSE),"")</f>
        <v/>
      </c>
      <c r="U141" s="17" t="str">
        <f>IFERROR(VLOOKUP(シフト組み!U171,役職一覧!$B:$D,2,FALSE),"")</f>
        <v/>
      </c>
      <c r="V141" s="17" t="str">
        <f>IFERROR(VLOOKUP(シフト組み!V171,役職一覧!$B:$D,2,FALSE),"")</f>
        <v/>
      </c>
      <c r="W141" s="17" t="str">
        <f>IFERROR(VLOOKUP(シフト組み!W171,役職一覧!$B:$D,2,FALSE),"")</f>
        <v/>
      </c>
      <c r="X141" s="17" t="str">
        <f>IFERROR(VLOOKUP(シフト組み!X171,役職一覧!$B:$D,2,FALSE),"")</f>
        <v/>
      </c>
      <c r="Y141" s="17" t="str">
        <f>IFERROR(VLOOKUP(シフト組み!Y171,役職一覧!$B:$D,2,FALSE),"")</f>
        <v/>
      </c>
      <c r="Z141" s="17" t="str">
        <f>IFERROR(VLOOKUP(シフト組み!Z171,役職一覧!$B:$D,2,FALSE),"")</f>
        <v/>
      </c>
      <c r="AA141" s="17" t="str">
        <f>IFERROR(VLOOKUP(シフト組み!AA171,役職一覧!$B:$D,2,FALSE),"")</f>
        <v/>
      </c>
      <c r="AB141" s="17" t="str">
        <f>IFERROR(VLOOKUP(シフト組み!AB171,役職一覧!$B:$D,2,FALSE),"")</f>
        <v/>
      </c>
      <c r="AC141" s="17" t="str">
        <f>IFERROR(VLOOKUP(シフト組み!AC171,役職一覧!$B:$D,2,FALSE),"")</f>
        <v/>
      </c>
      <c r="AD141" s="17" t="str">
        <f>IFERROR(VLOOKUP(シフト組み!AD171,役職一覧!$B:$D,2,FALSE),"")</f>
        <v/>
      </c>
      <c r="AE141" s="17" t="str">
        <f>IFERROR(VLOOKUP(シフト組み!AE171,役職一覧!$B:$D,2,FALSE),"")</f>
        <v/>
      </c>
      <c r="AF141" s="17" t="str">
        <f>IFERROR(VLOOKUP(シフト組み!AF171,役職一覧!$B:$D,2,FALSE),"")</f>
        <v/>
      </c>
      <c r="AG141" s="17" t="str">
        <f>IFERROR(VLOOKUP(シフト組み!AG171,役職一覧!$B:$D,2,FALSE),"")</f>
        <v/>
      </c>
      <c r="AH141" s="17" t="str">
        <f>IFERROR(VLOOKUP(シフト組み!AH171,役職一覧!$B:$D,3,FALSE),"")</f>
        <v/>
      </c>
      <c r="AI141" s="17" t="str">
        <f>IFERROR(VLOOKUP(シフト組み!AI171,役職一覧!$B:$D,3,FALSE),"")</f>
        <v/>
      </c>
      <c r="AJ141" s="17" t="str">
        <f>IFERROR(VLOOKUP(シフト組み!AJ171,役職一覧!$B:$D,3,FALSE),"")</f>
        <v/>
      </c>
      <c r="AK141" s="17" t="str">
        <f>IFERROR(VLOOKUP(シフト組み!AK171,役職一覧!$B:$D,3,FALSE),"")</f>
        <v/>
      </c>
      <c r="AL141" s="17" t="str">
        <f>IFERROR(VLOOKUP(シフト組み!AL171,役職一覧!$B:$D,3,FALSE),"")</f>
        <v/>
      </c>
      <c r="AM141" s="17" t="str">
        <f>IFERROR(VLOOKUP(シフト組み!AM171,役職一覧!$B:$D,3,FALSE),"")</f>
        <v/>
      </c>
      <c r="AN141" s="17" t="str">
        <f>IFERROR(VLOOKUP(シフト組み!AN171,役職一覧!$B:$D,3,FALSE),"")</f>
        <v/>
      </c>
      <c r="AO141" s="17" t="str">
        <f>IFERROR(VLOOKUP(シフト組み!AO171,役職一覧!$B:$D,3,FALSE),"")</f>
        <v/>
      </c>
      <c r="AP141" s="17" t="str">
        <f>IFERROR(VLOOKUP(シフト組み!AP171,役職一覧!$B:$D,3,FALSE),"")</f>
        <v/>
      </c>
      <c r="AQ141" s="17" t="str">
        <f>IFERROR(VLOOKUP(シフト組み!AQ171,役職一覧!$B:$D,3,FALSE),"")</f>
        <v/>
      </c>
      <c r="AR141" s="17" t="str">
        <f>IFERROR(VLOOKUP(シフト組み!AR171,役職一覧!$B:$D,3,FALSE),"")</f>
        <v/>
      </c>
      <c r="AS141" s="17" t="str">
        <f>IFERROR(VLOOKUP(シフト組み!AS171,役職一覧!$B:$D,3,FALSE),"")</f>
        <v/>
      </c>
      <c r="AT141" s="17" t="str">
        <f>IFERROR(VLOOKUP(シフト組み!AT171,役職一覧!$B:$D,3,FALSE),"")</f>
        <v/>
      </c>
      <c r="AU141" s="17" t="str">
        <f>IFERROR(VLOOKUP(シフト組み!AU171,役職一覧!$B:$D,3,FALSE),"")</f>
        <v/>
      </c>
      <c r="AV141" s="17" t="str">
        <f>IFERROR(VLOOKUP(シフト組み!AV171,役職一覧!$B:$D,3,FALSE),"")</f>
        <v/>
      </c>
      <c r="AW141" s="17" t="str">
        <f>IFERROR(VLOOKUP(シフト組み!AW171,役職一覧!$B:$D,3,FALSE),"")</f>
        <v/>
      </c>
      <c r="AX141" s="17" t="str">
        <f>IFERROR(VLOOKUP(シフト組み!AX171,役職一覧!$B:$D,3,FALSE),"")</f>
        <v/>
      </c>
      <c r="AY141" s="17" t="str">
        <f>IFERROR(VLOOKUP(シフト組み!AY171,役職一覧!$B:$D,3,FALSE),"")</f>
        <v/>
      </c>
      <c r="AZ141" s="17" t="str">
        <f>IFERROR(VLOOKUP(シフト組み!AZ171,役職一覧!$B:$D,3,FALSE),"")</f>
        <v/>
      </c>
      <c r="BA141" s="17" t="str">
        <f>IFERROR(VLOOKUP(シフト組み!BA171,役職一覧!$B:$D,3,FALSE),"")</f>
        <v/>
      </c>
    </row>
    <row r="142" spans="1:53">
      <c r="A142" s="2" t="str">
        <f>シフト組み!A172&amp;""</f>
        <v/>
      </c>
      <c r="B142" s="2" t="str">
        <f>シフト組み!B172&amp;""</f>
        <v/>
      </c>
      <c r="C142" s="2" t="str">
        <f>シフト組み!C172&amp;""</f>
        <v/>
      </c>
      <c r="D142" s="17" t="str">
        <f>IFERROR(VLOOKUP(シフト組み!D172,役職一覧!$B:$D,2,FALSE),"")</f>
        <v/>
      </c>
      <c r="E142" s="17" t="str">
        <f>IFERROR(VLOOKUP(シフト組み!E172,役職一覧!$B:$D,2,FALSE),"")</f>
        <v/>
      </c>
      <c r="F142" s="17" t="str">
        <f>IFERROR(VLOOKUP(シフト組み!F172,役職一覧!$B:$D,2,FALSE),"")</f>
        <v/>
      </c>
      <c r="G142" s="17" t="str">
        <f>IFERROR(VLOOKUP(シフト組み!G172,役職一覧!$B:$D,2,FALSE),"")</f>
        <v/>
      </c>
      <c r="H142" s="17" t="str">
        <f>IFERROR(VLOOKUP(シフト組み!H172,役職一覧!$B:$D,2,FALSE),"")</f>
        <v/>
      </c>
      <c r="I142" s="17" t="str">
        <f>IFERROR(VLOOKUP(シフト組み!I172,役職一覧!$B:$D,2,FALSE),"")</f>
        <v/>
      </c>
      <c r="J142" s="17" t="str">
        <f>IFERROR(VLOOKUP(シフト組み!J172,役職一覧!$B:$D,2,FALSE),"")</f>
        <v/>
      </c>
      <c r="K142" s="17" t="str">
        <f>IFERROR(VLOOKUP(シフト組み!K172,役職一覧!$B:$D,2,FALSE),"")</f>
        <v/>
      </c>
      <c r="L142" s="17" t="str">
        <f>IFERROR(VLOOKUP(シフト組み!L172,役職一覧!$B:$D,2,FALSE),"")</f>
        <v/>
      </c>
      <c r="M142" s="17" t="str">
        <f>IFERROR(VLOOKUP(シフト組み!M172,役職一覧!$B:$D,2,FALSE),"")</f>
        <v/>
      </c>
      <c r="N142" s="17" t="str">
        <f>IFERROR(VLOOKUP(シフト組み!N172,役職一覧!$B:$D,2,FALSE),"")</f>
        <v/>
      </c>
      <c r="O142" s="17" t="str">
        <f>IFERROR(VLOOKUP(シフト組み!O172,役職一覧!$B:$D,2,FALSE),"")</f>
        <v/>
      </c>
      <c r="P142" s="17" t="str">
        <f>IFERROR(VLOOKUP(シフト組み!P172,役職一覧!$B:$D,2,FALSE),"")</f>
        <v/>
      </c>
      <c r="Q142" s="17" t="str">
        <f>IFERROR(VLOOKUP(シフト組み!Q172,役職一覧!$B:$D,2,FALSE),"")</f>
        <v/>
      </c>
      <c r="R142" s="17" t="str">
        <f>IFERROR(VLOOKUP(シフト組み!R172,役職一覧!$B:$D,2,FALSE),"")</f>
        <v/>
      </c>
      <c r="S142" s="17" t="str">
        <f>IFERROR(VLOOKUP(シフト組み!S172,役職一覧!$B:$D,2,FALSE),"")</f>
        <v/>
      </c>
      <c r="T142" s="17" t="str">
        <f>IFERROR(VLOOKUP(シフト組み!T172,役職一覧!$B:$D,2,FALSE),"")</f>
        <v/>
      </c>
      <c r="U142" s="17" t="str">
        <f>IFERROR(VLOOKUP(シフト組み!U172,役職一覧!$B:$D,2,FALSE),"")</f>
        <v/>
      </c>
      <c r="V142" s="17" t="str">
        <f>IFERROR(VLOOKUP(シフト組み!V172,役職一覧!$B:$D,2,FALSE),"")</f>
        <v/>
      </c>
      <c r="W142" s="17" t="str">
        <f>IFERROR(VLOOKUP(シフト組み!W172,役職一覧!$B:$D,2,FALSE),"")</f>
        <v/>
      </c>
      <c r="X142" s="17" t="str">
        <f>IFERROR(VLOOKUP(シフト組み!X172,役職一覧!$B:$D,2,FALSE),"")</f>
        <v/>
      </c>
      <c r="Y142" s="17" t="str">
        <f>IFERROR(VLOOKUP(シフト組み!Y172,役職一覧!$B:$D,2,FALSE),"")</f>
        <v/>
      </c>
      <c r="Z142" s="17" t="str">
        <f>IFERROR(VLOOKUP(シフト組み!Z172,役職一覧!$B:$D,2,FALSE),"")</f>
        <v/>
      </c>
      <c r="AA142" s="17" t="str">
        <f>IFERROR(VLOOKUP(シフト組み!AA172,役職一覧!$B:$D,2,FALSE),"")</f>
        <v/>
      </c>
      <c r="AB142" s="17" t="str">
        <f>IFERROR(VLOOKUP(シフト組み!AB172,役職一覧!$B:$D,2,FALSE),"")</f>
        <v/>
      </c>
      <c r="AC142" s="17" t="str">
        <f>IFERROR(VLOOKUP(シフト組み!AC172,役職一覧!$B:$D,2,FALSE),"")</f>
        <v/>
      </c>
      <c r="AD142" s="17" t="str">
        <f>IFERROR(VLOOKUP(シフト組み!AD172,役職一覧!$B:$D,2,FALSE),"")</f>
        <v/>
      </c>
      <c r="AE142" s="17" t="str">
        <f>IFERROR(VLOOKUP(シフト組み!AE172,役職一覧!$B:$D,2,FALSE),"")</f>
        <v/>
      </c>
      <c r="AF142" s="17" t="str">
        <f>IFERROR(VLOOKUP(シフト組み!AF172,役職一覧!$B:$D,2,FALSE),"")</f>
        <v/>
      </c>
      <c r="AG142" s="17" t="str">
        <f>IFERROR(VLOOKUP(シフト組み!AG172,役職一覧!$B:$D,2,FALSE),"")</f>
        <v/>
      </c>
      <c r="AH142" s="17" t="str">
        <f>IFERROR(VLOOKUP(シフト組み!AH172,役職一覧!$B:$D,3,FALSE),"")</f>
        <v/>
      </c>
      <c r="AI142" s="17" t="str">
        <f>IFERROR(VLOOKUP(シフト組み!AI172,役職一覧!$B:$D,3,FALSE),"")</f>
        <v/>
      </c>
      <c r="AJ142" s="17" t="str">
        <f>IFERROR(VLOOKUP(シフト組み!AJ172,役職一覧!$B:$D,3,FALSE),"")</f>
        <v/>
      </c>
      <c r="AK142" s="17" t="str">
        <f>IFERROR(VLOOKUP(シフト組み!AK172,役職一覧!$B:$D,3,FALSE),"")</f>
        <v/>
      </c>
      <c r="AL142" s="17" t="str">
        <f>IFERROR(VLOOKUP(シフト組み!AL172,役職一覧!$B:$D,3,FALSE),"")</f>
        <v/>
      </c>
      <c r="AM142" s="17" t="str">
        <f>IFERROR(VLOOKUP(シフト組み!AM172,役職一覧!$B:$D,3,FALSE),"")</f>
        <v/>
      </c>
      <c r="AN142" s="17" t="str">
        <f>IFERROR(VLOOKUP(シフト組み!AN172,役職一覧!$B:$D,3,FALSE),"")</f>
        <v/>
      </c>
      <c r="AO142" s="17" t="str">
        <f>IFERROR(VLOOKUP(シフト組み!AO172,役職一覧!$B:$D,3,FALSE),"")</f>
        <v/>
      </c>
      <c r="AP142" s="17" t="str">
        <f>IFERROR(VLOOKUP(シフト組み!AP172,役職一覧!$B:$D,3,FALSE),"")</f>
        <v/>
      </c>
      <c r="AQ142" s="17" t="str">
        <f>IFERROR(VLOOKUP(シフト組み!AQ172,役職一覧!$B:$D,3,FALSE),"")</f>
        <v/>
      </c>
      <c r="AR142" s="17" t="str">
        <f>IFERROR(VLOOKUP(シフト組み!AR172,役職一覧!$B:$D,3,FALSE),"")</f>
        <v/>
      </c>
      <c r="AS142" s="17" t="str">
        <f>IFERROR(VLOOKUP(シフト組み!AS172,役職一覧!$B:$D,3,FALSE),"")</f>
        <v/>
      </c>
      <c r="AT142" s="17" t="str">
        <f>IFERROR(VLOOKUP(シフト組み!AT172,役職一覧!$B:$D,3,FALSE),"")</f>
        <v/>
      </c>
      <c r="AU142" s="17" t="str">
        <f>IFERROR(VLOOKUP(シフト組み!AU172,役職一覧!$B:$D,3,FALSE),"")</f>
        <v/>
      </c>
      <c r="AV142" s="17" t="str">
        <f>IFERROR(VLOOKUP(シフト組み!AV172,役職一覧!$B:$D,3,FALSE),"")</f>
        <v/>
      </c>
      <c r="AW142" s="17" t="str">
        <f>IFERROR(VLOOKUP(シフト組み!AW172,役職一覧!$B:$D,3,FALSE),"")</f>
        <v/>
      </c>
      <c r="AX142" s="17" t="str">
        <f>IFERROR(VLOOKUP(シフト組み!AX172,役職一覧!$B:$D,3,FALSE),"")</f>
        <v/>
      </c>
      <c r="AY142" s="17" t="str">
        <f>IFERROR(VLOOKUP(シフト組み!AY172,役職一覧!$B:$D,3,FALSE),"")</f>
        <v/>
      </c>
      <c r="AZ142" s="17" t="str">
        <f>IFERROR(VLOOKUP(シフト組み!AZ172,役職一覧!$B:$D,3,FALSE),"")</f>
        <v/>
      </c>
      <c r="BA142" s="17" t="str">
        <f>IFERROR(VLOOKUP(シフト組み!BA172,役職一覧!$B:$D,3,FALSE),"")</f>
        <v/>
      </c>
    </row>
    <row r="143" spans="1:53">
      <c r="A143" s="2" t="str">
        <f>シフト組み!A173&amp;""</f>
        <v/>
      </c>
      <c r="B143" s="2" t="str">
        <f>シフト組み!B173&amp;""</f>
        <v/>
      </c>
      <c r="C143" s="2" t="str">
        <f>シフト組み!C173&amp;""</f>
        <v/>
      </c>
      <c r="D143" s="17" t="str">
        <f>IFERROR(VLOOKUP(シフト組み!D173,役職一覧!$B:$D,2,FALSE),"")</f>
        <v/>
      </c>
      <c r="E143" s="17" t="str">
        <f>IFERROR(VLOOKUP(シフト組み!E173,役職一覧!$B:$D,2,FALSE),"")</f>
        <v/>
      </c>
      <c r="F143" s="17" t="str">
        <f>IFERROR(VLOOKUP(シフト組み!F173,役職一覧!$B:$D,2,FALSE),"")</f>
        <v/>
      </c>
      <c r="G143" s="17" t="str">
        <f>IFERROR(VLOOKUP(シフト組み!G173,役職一覧!$B:$D,2,FALSE),"")</f>
        <v/>
      </c>
      <c r="H143" s="17" t="str">
        <f>IFERROR(VLOOKUP(シフト組み!H173,役職一覧!$B:$D,2,FALSE),"")</f>
        <v/>
      </c>
      <c r="I143" s="17" t="str">
        <f>IFERROR(VLOOKUP(シフト組み!I173,役職一覧!$B:$D,2,FALSE),"")</f>
        <v/>
      </c>
      <c r="J143" s="17" t="str">
        <f>IFERROR(VLOOKUP(シフト組み!J173,役職一覧!$B:$D,2,FALSE),"")</f>
        <v/>
      </c>
      <c r="K143" s="17" t="str">
        <f>IFERROR(VLOOKUP(シフト組み!K173,役職一覧!$B:$D,2,FALSE),"")</f>
        <v/>
      </c>
      <c r="L143" s="17" t="str">
        <f>IFERROR(VLOOKUP(シフト組み!L173,役職一覧!$B:$D,2,FALSE),"")</f>
        <v/>
      </c>
      <c r="M143" s="17" t="str">
        <f>IFERROR(VLOOKUP(シフト組み!M173,役職一覧!$B:$D,2,FALSE),"")</f>
        <v/>
      </c>
      <c r="N143" s="17" t="str">
        <f>IFERROR(VLOOKUP(シフト組み!N173,役職一覧!$B:$D,2,FALSE),"")</f>
        <v/>
      </c>
      <c r="O143" s="17" t="str">
        <f>IFERROR(VLOOKUP(シフト組み!O173,役職一覧!$B:$D,2,FALSE),"")</f>
        <v/>
      </c>
      <c r="P143" s="17" t="str">
        <f>IFERROR(VLOOKUP(シフト組み!P173,役職一覧!$B:$D,2,FALSE),"")</f>
        <v/>
      </c>
      <c r="Q143" s="17" t="str">
        <f>IFERROR(VLOOKUP(シフト組み!Q173,役職一覧!$B:$D,2,FALSE),"")</f>
        <v/>
      </c>
      <c r="R143" s="17" t="str">
        <f>IFERROR(VLOOKUP(シフト組み!R173,役職一覧!$B:$D,2,FALSE),"")</f>
        <v/>
      </c>
      <c r="S143" s="17" t="str">
        <f>IFERROR(VLOOKUP(シフト組み!S173,役職一覧!$B:$D,2,FALSE),"")</f>
        <v/>
      </c>
      <c r="T143" s="17" t="str">
        <f>IFERROR(VLOOKUP(シフト組み!T173,役職一覧!$B:$D,2,FALSE),"")</f>
        <v/>
      </c>
      <c r="U143" s="17" t="str">
        <f>IFERROR(VLOOKUP(シフト組み!U173,役職一覧!$B:$D,2,FALSE),"")</f>
        <v/>
      </c>
      <c r="V143" s="17" t="str">
        <f>IFERROR(VLOOKUP(シフト組み!V173,役職一覧!$B:$D,2,FALSE),"")</f>
        <v/>
      </c>
      <c r="W143" s="17" t="str">
        <f>IFERROR(VLOOKUP(シフト組み!W173,役職一覧!$B:$D,2,FALSE),"")</f>
        <v/>
      </c>
      <c r="X143" s="17" t="str">
        <f>IFERROR(VLOOKUP(シフト組み!X173,役職一覧!$B:$D,2,FALSE),"")</f>
        <v/>
      </c>
      <c r="Y143" s="17" t="str">
        <f>IFERROR(VLOOKUP(シフト組み!Y173,役職一覧!$B:$D,2,FALSE),"")</f>
        <v/>
      </c>
      <c r="Z143" s="17" t="str">
        <f>IFERROR(VLOOKUP(シフト組み!Z173,役職一覧!$B:$D,2,FALSE),"")</f>
        <v/>
      </c>
      <c r="AA143" s="17" t="str">
        <f>IFERROR(VLOOKUP(シフト組み!AA173,役職一覧!$B:$D,2,FALSE),"")</f>
        <v/>
      </c>
      <c r="AB143" s="17" t="str">
        <f>IFERROR(VLOOKUP(シフト組み!AB173,役職一覧!$B:$D,2,FALSE),"")</f>
        <v/>
      </c>
      <c r="AC143" s="17" t="str">
        <f>IFERROR(VLOOKUP(シフト組み!AC173,役職一覧!$B:$D,2,FALSE),"")</f>
        <v/>
      </c>
      <c r="AD143" s="17" t="str">
        <f>IFERROR(VLOOKUP(シフト組み!AD173,役職一覧!$B:$D,2,FALSE),"")</f>
        <v/>
      </c>
      <c r="AE143" s="17" t="str">
        <f>IFERROR(VLOOKUP(シフト組み!AE173,役職一覧!$B:$D,2,FALSE),"")</f>
        <v/>
      </c>
      <c r="AF143" s="17" t="str">
        <f>IFERROR(VLOOKUP(シフト組み!AF173,役職一覧!$B:$D,2,FALSE),"")</f>
        <v/>
      </c>
      <c r="AG143" s="17" t="str">
        <f>IFERROR(VLOOKUP(シフト組み!AG173,役職一覧!$B:$D,2,FALSE),"")</f>
        <v/>
      </c>
      <c r="AH143" s="17" t="str">
        <f>IFERROR(VLOOKUP(シフト組み!AH173,役職一覧!$B:$D,3,FALSE),"")</f>
        <v/>
      </c>
      <c r="AI143" s="17" t="str">
        <f>IFERROR(VLOOKUP(シフト組み!AI173,役職一覧!$B:$D,3,FALSE),"")</f>
        <v/>
      </c>
      <c r="AJ143" s="17" t="str">
        <f>IFERROR(VLOOKUP(シフト組み!AJ173,役職一覧!$B:$D,3,FALSE),"")</f>
        <v/>
      </c>
      <c r="AK143" s="17" t="str">
        <f>IFERROR(VLOOKUP(シフト組み!AK173,役職一覧!$B:$D,3,FALSE),"")</f>
        <v/>
      </c>
      <c r="AL143" s="17" t="str">
        <f>IFERROR(VLOOKUP(シフト組み!AL173,役職一覧!$B:$D,3,FALSE),"")</f>
        <v/>
      </c>
      <c r="AM143" s="17" t="str">
        <f>IFERROR(VLOOKUP(シフト組み!AM173,役職一覧!$B:$D,3,FALSE),"")</f>
        <v/>
      </c>
      <c r="AN143" s="17" t="str">
        <f>IFERROR(VLOOKUP(シフト組み!AN173,役職一覧!$B:$D,3,FALSE),"")</f>
        <v/>
      </c>
      <c r="AO143" s="17" t="str">
        <f>IFERROR(VLOOKUP(シフト組み!AO173,役職一覧!$B:$D,3,FALSE),"")</f>
        <v/>
      </c>
      <c r="AP143" s="17" t="str">
        <f>IFERROR(VLOOKUP(シフト組み!AP173,役職一覧!$B:$D,3,FALSE),"")</f>
        <v/>
      </c>
      <c r="AQ143" s="17" t="str">
        <f>IFERROR(VLOOKUP(シフト組み!AQ173,役職一覧!$B:$D,3,FALSE),"")</f>
        <v/>
      </c>
      <c r="AR143" s="17" t="str">
        <f>IFERROR(VLOOKUP(シフト組み!AR173,役職一覧!$B:$D,3,FALSE),"")</f>
        <v/>
      </c>
      <c r="AS143" s="17" t="str">
        <f>IFERROR(VLOOKUP(シフト組み!AS173,役職一覧!$B:$D,3,FALSE),"")</f>
        <v/>
      </c>
      <c r="AT143" s="17" t="str">
        <f>IFERROR(VLOOKUP(シフト組み!AT173,役職一覧!$B:$D,3,FALSE),"")</f>
        <v/>
      </c>
      <c r="AU143" s="17" t="str">
        <f>IFERROR(VLOOKUP(シフト組み!AU173,役職一覧!$B:$D,3,FALSE),"")</f>
        <v/>
      </c>
      <c r="AV143" s="17" t="str">
        <f>IFERROR(VLOOKUP(シフト組み!AV173,役職一覧!$B:$D,3,FALSE),"")</f>
        <v/>
      </c>
      <c r="AW143" s="17" t="str">
        <f>IFERROR(VLOOKUP(シフト組み!AW173,役職一覧!$B:$D,3,FALSE),"")</f>
        <v/>
      </c>
      <c r="AX143" s="17" t="str">
        <f>IFERROR(VLOOKUP(シフト組み!AX173,役職一覧!$B:$D,3,FALSE),"")</f>
        <v/>
      </c>
      <c r="AY143" s="17" t="str">
        <f>IFERROR(VLOOKUP(シフト組み!AY173,役職一覧!$B:$D,3,FALSE),"")</f>
        <v/>
      </c>
      <c r="AZ143" s="17" t="str">
        <f>IFERROR(VLOOKUP(シフト組み!AZ173,役職一覧!$B:$D,3,FALSE),"")</f>
        <v/>
      </c>
      <c r="BA143" s="17" t="str">
        <f>IFERROR(VLOOKUP(シフト組み!BA173,役職一覧!$B:$D,3,FALSE),"")</f>
        <v/>
      </c>
    </row>
    <row r="144" spans="1:53">
      <c r="A144" s="2" t="str">
        <f>シフト組み!A174&amp;""</f>
        <v/>
      </c>
      <c r="B144" s="2" t="str">
        <f>シフト組み!B174&amp;""</f>
        <v/>
      </c>
      <c r="C144" s="2" t="str">
        <f>シフト組み!C174&amp;""</f>
        <v/>
      </c>
      <c r="D144" s="17" t="str">
        <f>IFERROR(VLOOKUP(シフト組み!D174,役職一覧!$B:$D,2,FALSE),"")</f>
        <v/>
      </c>
      <c r="E144" s="17" t="str">
        <f>IFERROR(VLOOKUP(シフト組み!E174,役職一覧!$B:$D,2,FALSE),"")</f>
        <v/>
      </c>
      <c r="F144" s="17" t="str">
        <f>IFERROR(VLOOKUP(シフト組み!F174,役職一覧!$B:$D,2,FALSE),"")</f>
        <v/>
      </c>
      <c r="G144" s="17" t="str">
        <f>IFERROR(VLOOKUP(シフト組み!G174,役職一覧!$B:$D,2,FALSE),"")</f>
        <v/>
      </c>
      <c r="H144" s="17" t="str">
        <f>IFERROR(VLOOKUP(シフト組み!H174,役職一覧!$B:$D,2,FALSE),"")</f>
        <v/>
      </c>
      <c r="I144" s="17" t="str">
        <f>IFERROR(VLOOKUP(シフト組み!I174,役職一覧!$B:$D,2,FALSE),"")</f>
        <v/>
      </c>
      <c r="J144" s="17" t="str">
        <f>IFERROR(VLOOKUP(シフト組み!J174,役職一覧!$B:$D,2,FALSE),"")</f>
        <v/>
      </c>
      <c r="K144" s="17" t="str">
        <f>IFERROR(VLOOKUP(シフト組み!K174,役職一覧!$B:$D,2,FALSE),"")</f>
        <v/>
      </c>
      <c r="L144" s="17" t="str">
        <f>IFERROR(VLOOKUP(シフト組み!L174,役職一覧!$B:$D,2,FALSE),"")</f>
        <v/>
      </c>
      <c r="M144" s="17" t="str">
        <f>IFERROR(VLOOKUP(シフト組み!M174,役職一覧!$B:$D,2,FALSE),"")</f>
        <v/>
      </c>
      <c r="N144" s="17" t="str">
        <f>IFERROR(VLOOKUP(シフト組み!N174,役職一覧!$B:$D,2,FALSE),"")</f>
        <v/>
      </c>
      <c r="O144" s="17" t="str">
        <f>IFERROR(VLOOKUP(シフト組み!O174,役職一覧!$B:$D,2,FALSE),"")</f>
        <v/>
      </c>
      <c r="P144" s="17" t="str">
        <f>IFERROR(VLOOKUP(シフト組み!P174,役職一覧!$B:$D,2,FALSE),"")</f>
        <v/>
      </c>
      <c r="Q144" s="17" t="str">
        <f>IFERROR(VLOOKUP(シフト組み!Q174,役職一覧!$B:$D,2,FALSE),"")</f>
        <v/>
      </c>
      <c r="R144" s="17" t="str">
        <f>IFERROR(VLOOKUP(シフト組み!R174,役職一覧!$B:$D,2,FALSE),"")</f>
        <v/>
      </c>
      <c r="S144" s="17" t="str">
        <f>IFERROR(VLOOKUP(シフト組み!S174,役職一覧!$B:$D,2,FALSE),"")</f>
        <v/>
      </c>
      <c r="T144" s="17" t="str">
        <f>IFERROR(VLOOKUP(シフト組み!T174,役職一覧!$B:$D,2,FALSE),"")</f>
        <v/>
      </c>
      <c r="U144" s="17" t="str">
        <f>IFERROR(VLOOKUP(シフト組み!U174,役職一覧!$B:$D,2,FALSE),"")</f>
        <v/>
      </c>
      <c r="V144" s="17" t="str">
        <f>IFERROR(VLOOKUP(シフト組み!V174,役職一覧!$B:$D,2,FALSE),"")</f>
        <v/>
      </c>
      <c r="W144" s="17" t="str">
        <f>IFERROR(VLOOKUP(シフト組み!W174,役職一覧!$B:$D,2,FALSE),"")</f>
        <v/>
      </c>
      <c r="X144" s="17" t="str">
        <f>IFERROR(VLOOKUP(シフト組み!X174,役職一覧!$B:$D,2,FALSE),"")</f>
        <v/>
      </c>
      <c r="Y144" s="17" t="str">
        <f>IFERROR(VLOOKUP(シフト組み!Y174,役職一覧!$B:$D,2,FALSE),"")</f>
        <v/>
      </c>
      <c r="Z144" s="17" t="str">
        <f>IFERROR(VLOOKUP(シフト組み!Z174,役職一覧!$B:$D,2,FALSE),"")</f>
        <v/>
      </c>
      <c r="AA144" s="17" t="str">
        <f>IFERROR(VLOOKUP(シフト組み!AA174,役職一覧!$B:$D,2,FALSE),"")</f>
        <v/>
      </c>
      <c r="AB144" s="17" t="str">
        <f>IFERROR(VLOOKUP(シフト組み!AB174,役職一覧!$B:$D,2,FALSE),"")</f>
        <v/>
      </c>
      <c r="AC144" s="17" t="str">
        <f>IFERROR(VLOOKUP(シフト組み!AC174,役職一覧!$B:$D,2,FALSE),"")</f>
        <v/>
      </c>
      <c r="AD144" s="17" t="str">
        <f>IFERROR(VLOOKUP(シフト組み!AD174,役職一覧!$B:$D,2,FALSE),"")</f>
        <v/>
      </c>
      <c r="AE144" s="17" t="str">
        <f>IFERROR(VLOOKUP(シフト組み!AE174,役職一覧!$B:$D,2,FALSE),"")</f>
        <v/>
      </c>
      <c r="AF144" s="17" t="str">
        <f>IFERROR(VLOOKUP(シフト組み!AF174,役職一覧!$B:$D,2,FALSE),"")</f>
        <v/>
      </c>
      <c r="AG144" s="17" t="str">
        <f>IFERROR(VLOOKUP(シフト組み!AG174,役職一覧!$B:$D,2,FALSE),"")</f>
        <v/>
      </c>
      <c r="AH144" s="17" t="str">
        <f>IFERROR(VLOOKUP(シフト組み!AH174,役職一覧!$B:$D,3,FALSE),"")</f>
        <v/>
      </c>
      <c r="AI144" s="17" t="str">
        <f>IFERROR(VLOOKUP(シフト組み!AI174,役職一覧!$B:$D,3,FALSE),"")</f>
        <v/>
      </c>
      <c r="AJ144" s="17" t="str">
        <f>IFERROR(VLOOKUP(シフト組み!AJ174,役職一覧!$B:$D,3,FALSE),"")</f>
        <v/>
      </c>
      <c r="AK144" s="17" t="str">
        <f>IFERROR(VLOOKUP(シフト組み!AK174,役職一覧!$B:$D,3,FALSE),"")</f>
        <v/>
      </c>
      <c r="AL144" s="17" t="str">
        <f>IFERROR(VLOOKUP(シフト組み!AL174,役職一覧!$B:$D,3,FALSE),"")</f>
        <v/>
      </c>
      <c r="AM144" s="17" t="str">
        <f>IFERROR(VLOOKUP(シフト組み!AM174,役職一覧!$B:$D,3,FALSE),"")</f>
        <v/>
      </c>
      <c r="AN144" s="17" t="str">
        <f>IFERROR(VLOOKUP(シフト組み!AN174,役職一覧!$B:$D,3,FALSE),"")</f>
        <v/>
      </c>
      <c r="AO144" s="17" t="str">
        <f>IFERROR(VLOOKUP(シフト組み!AO174,役職一覧!$B:$D,3,FALSE),"")</f>
        <v/>
      </c>
      <c r="AP144" s="17" t="str">
        <f>IFERROR(VLOOKUP(シフト組み!AP174,役職一覧!$B:$D,3,FALSE),"")</f>
        <v/>
      </c>
      <c r="AQ144" s="17" t="str">
        <f>IFERROR(VLOOKUP(シフト組み!AQ174,役職一覧!$B:$D,3,FALSE),"")</f>
        <v/>
      </c>
      <c r="AR144" s="17" t="str">
        <f>IFERROR(VLOOKUP(シフト組み!AR174,役職一覧!$B:$D,3,FALSE),"")</f>
        <v/>
      </c>
      <c r="AS144" s="17" t="str">
        <f>IFERROR(VLOOKUP(シフト組み!AS174,役職一覧!$B:$D,3,FALSE),"")</f>
        <v/>
      </c>
      <c r="AT144" s="17" t="str">
        <f>IFERROR(VLOOKUP(シフト組み!AT174,役職一覧!$B:$D,3,FALSE),"")</f>
        <v/>
      </c>
      <c r="AU144" s="17" t="str">
        <f>IFERROR(VLOOKUP(シフト組み!AU174,役職一覧!$B:$D,3,FALSE),"")</f>
        <v/>
      </c>
      <c r="AV144" s="17" t="str">
        <f>IFERROR(VLOOKUP(シフト組み!AV174,役職一覧!$B:$D,3,FALSE),"")</f>
        <v/>
      </c>
      <c r="AW144" s="17" t="str">
        <f>IFERROR(VLOOKUP(シフト組み!AW174,役職一覧!$B:$D,3,FALSE),"")</f>
        <v/>
      </c>
      <c r="AX144" s="17" t="str">
        <f>IFERROR(VLOOKUP(シフト組み!AX174,役職一覧!$B:$D,3,FALSE),"")</f>
        <v/>
      </c>
      <c r="AY144" s="17" t="str">
        <f>IFERROR(VLOOKUP(シフト組み!AY174,役職一覧!$B:$D,3,FALSE),"")</f>
        <v/>
      </c>
      <c r="AZ144" s="17" t="str">
        <f>IFERROR(VLOOKUP(シフト組み!AZ174,役職一覧!$B:$D,3,FALSE),"")</f>
        <v/>
      </c>
      <c r="BA144" s="17" t="str">
        <f>IFERROR(VLOOKUP(シフト組み!BA174,役職一覧!$B:$D,3,FALSE),"")</f>
        <v/>
      </c>
    </row>
    <row r="145" spans="1:53">
      <c r="A145" s="2" t="str">
        <f>シフト組み!A175&amp;""</f>
        <v/>
      </c>
      <c r="B145" s="2" t="str">
        <f>シフト組み!B175&amp;""</f>
        <v/>
      </c>
      <c r="C145" s="2" t="str">
        <f>シフト組み!C175&amp;""</f>
        <v/>
      </c>
      <c r="D145" s="17" t="str">
        <f>IFERROR(VLOOKUP(シフト組み!D175,役職一覧!$B:$D,2,FALSE),"")</f>
        <v/>
      </c>
      <c r="E145" s="17" t="str">
        <f>IFERROR(VLOOKUP(シフト組み!E175,役職一覧!$B:$D,2,FALSE),"")</f>
        <v/>
      </c>
      <c r="F145" s="17" t="str">
        <f>IFERROR(VLOOKUP(シフト組み!F175,役職一覧!$B:$D,2,FALSE),"")</f>
        <v/>
      </c>
      <c r="G145" s="17" t="str">
        <f>IFERROR(VLOOKUP(シフト組み!G175,役職一覧!$B:$D,2,FALSE),"")</f>
        <v/>
      </c>
      <c r="H145" s="17" t="str">
        <f>IFERROR(VLOOKUP(シフト組み!H175,役職一覧!$B:$D,2,FALSE),"")</f>
        <v/>
      </c>
      <c r="I145" s="17" t="str">
        <f>IFERROR(VLOOKUP(シフト組み!I175,役職一覧!$B:$D,2,FALSE),"")</f>
        <v/>
      </c>
      <c r="J145" s="17" t="str">
        <f>IFERROR(VLOOKUP(シフト組み!J175,役職一覧!$B:$D,2,FALSE),"")</f>
        <v/>
      </c>
      <c r="K145" s="17" t="str">
        <f>IFERROR(VLOOKUP(シフト組み!K175,役職一覧!$B:$D,2,FALSE),"")</f>
        <v/>
      </c>
      <c r="L145" s="17" t="str">
        <f>IFERROR(VLOOKUP(シフト組み!L175,役職一覧!$B:$D,2,FALSE),"")</f>
        <v/>
      </c>
      <c r="M145" s="17" t="str">
        <f>IFERROR(VLOOKUP(シフト組み!M175,役職一覧!$B:$D,2,FALSE),"")</f>
        <v/>
      </c>
      <c r="N145" s="17" t="str">
        <f>IFERROR(VLOOKUP(シフト組み!N175,役職一覧!$B:$D,2,FALSE),"")</f>
        <v/>
      </c>
      <c r="O145" s="17" t="str">
        <f>IFERROR(VLOOKUP(シフト組み!O175,役職一覧!$B:$D,2,FALSE),"")</f>
        <v/>
      </c>
      <c r="P145" s="17" t="str">
        <f>IFERROR(VLOOKUP(シフト組み!P175,役職一覧!$B:$D,2,FALSE),"")</f>
        <v/>
      </c>
      <c r="Q145" s="17" t="str">
        <f>IFERROR(VLOOKUP(シフト組み!Q175,役職一覧!$B:$D,2,FALSE),"")</f>
        <v/>
      </c>
      <c r="R145" s="17" t="str">
        <f>IFERROR(VLOOKUP(シフト組み!R175,役職一覧!$B:$D,2,FALSE),"")</f>
        <v/>
      </c>
      <c r="S145" s="17" t="str">
        <f>IFERROR(VLOOKUP(シフト組み!S175,役職一覧!$B:$D,2,FALSE),"")</f>
        <v/>
      </c>
      <c r="T145" s="17" t="str">
        <f>IFERROR(VLOOKUP(シフト組み!T175,役職一覧!$B:$D,2,FALSE),"")</f>
        <v/>
      </c>
      <c r="U145" s="17" t="str">
        <f>IFERROR(VLOOKUP(シフト組み!U175,役職一覧!$B:$D,2,FALSE),"")</f>
        <v/>
      </c>
      <c r="V145" s="17" t="str">
        <f>IFERROR(VLOOKUP(シフト組み!V175,役職一覧!$B:$D,2,FALSE),"")</f>
        <v/>
      </c>
      <c r="W145" s="17" t="str">
        <f>IFERROR(VLOOKUP(シフト組み!W175,役職一覧!$B:$D,2,FALSE),"")</f>
        <v/>
      </c>
      <c r="X145" s="17" t="str">
        <f>IFERROR(VLOOKUP(シフト組み!X175,役職一覧!$B:$D,2,FALSE),"")</f>
        <v/>
      </c>
      <c r="Y145" s="17" t="str">
        <f>IFERROR(VLOOKUP(シフト組み!Y175,役職一覧!$B:$D,2,FALSE),"")</f>
        <v/>
      </c>
      <c r="Z145" s="17" t="str">
        <f>IFERROR(VLOOKUP(シフト組み!Z175,役職一覧!$B:$D,2,FALSE),"")</f>
        <v/>
      </c>
      <c r="AA145" s="17" t="str">
        <f>IFERROR(VLOOKUP(シフト組み!AA175,役職一覧!$B:$D,2,FALSE),"")</f>
        <v/>
      </c>
      <c r="AB145" s="17" t="str">
        <f>IFERROR(VLOOKUP(シフト組み!AB175,役職一覧!$B:$D,2,FALSE),"")</f>
        <v/>
      </c>
      <c r="AC145" s="17" t="str">
        <f>IFERROR(VLOOKUP(シフト組み!AC175,役職一覧!$B:$D,2,FALSE),"")</f>
        <v/>
      </c>
      <c r="AD145" s="17" t="str">
        <f>IFERROR(VLOOKUP(シフト組み!AD175,役職一覧!$B:$D,2,FALSE),"")</f>
        <v/>
      </c>
      <c r="AE145" s="17" t="str">
        <f>IFERROR(VLOOKUP(シフト組み!AE175,役職一覧!$B:$D,2,FALSE),"")</f>
        <v/>
      </c>
      <c r="AF145" s="17" t="str">
        <f>IFERROR(VLOOKUP(シフト組み!AF175,役職一覧!$B:$D,2,FALSE),"")</f>
        <v/>
      </c>
      <c r="AG145" s="17" t="str">
        <f>IFERROR(VLOOKUP(シフト組み!AG175,役職一覧!$B:$D,2,FALSE),"")</f>
        <v/>
      </c>
      <c r="AH145" s="17" t="str">
        <f>IFERROR(VLOOKUP(シフト組み!AH175,役職一覧!$B:$D,3,FALSE),"")</f>
        <v/>
      </c>
      <c r="AI145" s="17" t="str">
        <f>IFERROR(VLOOKUP(シフト組み!AI175,役職一覧!$B:$D,3,FALSE),"")</f>
        <v/>
      </c>
      <c r="AJ145" s="17" t="str">
        <f>IFERROR(VLOOKUP(シフト組み!AJ175,役職一覧!$B:$D,3,FALSE),"")</f>
        <v/>
      </c>
      <c r="AK145" s="17" t="str">
        <f>IFERROR(VLOOKUP(シフト組み!AK175,役職一覧!$B:$D,3,FALSE),"")</f>
        <v/>
      </c>
      <c r="AL145" s="17" t="str">
        <f>IFERROR(VLOOKUP(シフト組み!AL175,役職一覧!$B:$D,3,FALSE),"")</f>
        <v/>
      </c>
      <c r="AM145" s="17" t="str">
        <f>IFERROR(VLOOKUP(シフト組み!AM175,役職一覧!$B:$D,3,FALSE),"")</f>
        <v/>
      </c>
      <c r="AN145" s="17" t="str">
        <f>IFERROR(VLOOKUP(シフト組み!AN175,役職一覧!$B:$D,3,FALSE),"")</f>
        <v/>
      </c>
      <c r="AO145" s="17" t="str">
        <f>IFERROR(VLOOKUP(シフト組み!AO175,役職一覧!$B:$D,3,FALSE),"")</f>
        <v/>
      </c>
      <c r="AP145" s="17" t="str">
        <f>IFERROR(VLOOKUP(シフト組み!AP175,役職一覧!$B:$D,3,FALSE),"")</f>
        <v/>
      </c>
      <c r="AQ145" s="17" t="str">
        <f>IFERROR(VLOOKUP(シフト組み!AQ175,役職一覧!$B:$D,3,FALSE),"")</f>
        <v/>
      </c>
      <c r="AR145" s="17" t="str">
        <f>IFERROR(VLOOKUP(シフト組み!AR175,役職一覧!$B:$D,3,FALSE),"")</f>
        <v/>
      </c>
      <c r="AS145" s="17" t="str">
        <f>IFERROR(VLOOKUP(シフト組み!AS175,役職一覧!$B:$D,3,FALSE),"")</f>
        <v/>
      </c>
      <c r="AT145" s="17" t="str">
        <f>IFERROR(VLOOKUP(シフト組み!AT175,役職一覧!$B:$D,3,FALSE),"")</f>
        <v/>
      </c>
      <c r="AU145" s="17" t="str">
        <f>IFERROR(VLOOKUP(シフト組み!AU175,役職一覧!$B:$D,3,FALSE),"")</f>
        <v/>
      </c>
      <c r="AV145" s="17" t="str">
        <f>IFERROR(VLOOKUP(シフト組み!AV175,役職一覧!$B:$D,3,FALSE),"")</f>
        <v/>
      </c>
      <c r="AW145" s="17" t="str">
        <f>IFERROR(VLOOKUP(シフト組み!AW175,役職一覧!$B:$D,3,FALSE),"")</f>
        <v/>
      </c>
      <c r="AX145" s="17" t="str">
        <f>IFERROR(VLOOKUP(シフト組み!AX175,役職一覧!$B:$D,3,FALSE),"")</f>
        <v/>
      </c>
      <c r="AY145" s="17" t="str">
        <f>IFERROR(VLOOKUP(シフト組み!AY175,役職一覧!$B:$D,3,FALSE),"")</f>
        <v/>
      </c>
      <c r="AZ145" s="17" t="str">
        <f>IFERROR(VLOOKUP(シフト組み!AZ175,役職一覧!$B:$D,3,FALSE),"")</f>
        <v/>
      </c>
      <c r="BA145" s="17" t="str">
        <f>IFERROR(VLOOKUP(シフト組み!BA175,役職一覧!$B:$D,3,FALSE),"")</f>
        <v/>
      </c>
    </row>
    <row r="146" spans="1:53">
      <c r="A146" s="2" t="str">
        <f>シフト組み!A176&amp;""</f>
        <v/>
      </c>
      <c r="B146" s="2" t="str">
        <f>シフト組み!B176&amp;""</f>
        <v/>
      </c>
      <c r="C146" s="2" t="str">
        <f>シフト組み!C176&amp;""</f>
        <v/>
      </c>
      <c r="D146" s="17" t="str">
        <f>IFERROR(VLOOKUP(シフト組み!D176,役職一覧!$B:$D,2,FALSE),"")</f>
        <v/>
      </c>
      <c r="E146" s="17" t="str">
        <f>IFERROR(VLOOKUP(シフト組み!E176,役職一覧!$B:$D,2,FALSE),"")</f>
        <v/>
      </c>
      <c r="F146" s="17" t="str">
        <f>IFERROR(VLOOKUP(シフト組み!F176,役職一覧!$B:$D,2,FALSE),"")</f>
        <v/>
      </c>
      <c r="G146" s="17" t="str">
        <f>IFERROR(VLOOKUP(シフト組み!G176,役職一覧!$B:$D,2,FALSE),"")</f>
        <v/>
      </c>
      <c r="H146" s="17" t="str">
        <f>IFERROR(VLOOKUP(シフト組み!H176,役職一覧!$B:$D,2,FALSE),"")</f>
        <v/>
      </c>
      <c r="I146" s="17" t="str">
        <f>IFERROR(VLOOKUP(シフト組み!I176,役職一覧!$B:$D,2,FALSE),"")</f>
        <v/>
      </c>
      <c r="J146" s="17" t="str">
        <f>IFERROR(VLOOKUP(シフト組み!J176,役職一覧!$B:$D,2,FALSE),"")</f>
        <v/>
      </c>
      <c r="K146" s="17" t="str">
        <f>IFERROR(VLOOKUP(シフト組み!K176,役職一覧!$B:$D,2,FALSE),"")</f>
        <v/>
      </c>
      <c r="L146" s="17" t="str">
        <f>IFERROR(VLOOKUP(シフト組み!L176,役職一覧!$B:$D,2,FALSE),"")</f>
        <v/>
      </c>
      <c r="M146" s="17" t="str">
        <f>IFERROR(VLOOKUP(シフト組み!M176,役職一覧!$B:$D,2,FALSE),"")</f>
        <v/>
      </c>
      <c r="N146" s="17" t="str">
        <f>IFERROR(VLOOKUP(シフト組み!N176,役職一覧!$B:$D,2,FALSE),"")</f>
        <v/>
      </c>
      <c r="O146" s="17" t="str">
        <f>IFERROR(VLOOKUP(シフト組み!O176,役職一覧!$B:$D,2,FALSE),"")</f>
        <v/>
      </c>
      <c r="P146" s="17" t="str">
        <f>IFERROR(VLOOKUP(シフト組み!P176,役職一覧!$B:$D,2,FALSE),"")</f>
        <v/>
      </c>
      <c r="Q146" s="17" t="str">
        <f>IFERROR(VLOOKUP(シフト組み!Q176,役職一覧!$B:$D,2,FALSE),"")</f>
        <v/>
      </c>
      <c r="R146" s="17" t="str">
        <f>IFERROR(VLOOKUP(シフト組み!R176,役職一覧!$B:$D,2,FALSE),"")</f>
        <v/>
      </c>
      <c r="S146" s="17" t="str">
        <f>IFERROR(VLOOKUP(シフト組み!S176,役職一覧!$B:$D,2,FALSE),"")</f>
        <v/>
      </c>
      <c r="T146" s="17" t="str">
        <f>IFERROR(VLOOKUP(シフト組み!T176,役職一覧!$B:$D,2,FALSE),"")</f>
        <v/>
      </c>
      <c r="U146" s="17" t="str">
        <f>IFERROR(VLOOKUP(シフト組み!U176,役職一覧!$B:$D,2,FALSE),"")</f>
        <v/>
      </c>
      <c r="V146" s="17" t="str">
        <f>IFERROR(VLOOKUP(シフト組み!V176,役職一覧!$B:$D,2,FALSE),"")</f>
        <v/>
      </c>
      <c r="W146" s="17" t="str">
        <f>IFERROR(VLOOKUP(シフト組み!W176,役職一覧!$B:$D,2,FALSE),"")</f>
        <v/>
      </c>
      <c r="X146" s="17" t="str">
        <f>IFERROR(VLOOKUP(シフト組み!X176,役職一覧!$B:$D,2,FALSE),"")</f>
        <v/>
      </c>
      <c r="Y146" s="17" t="str">
        <f>IFERROR(VLOOKUP(シフト組み!Y176,役職一覧!$B:$D,2,FALSE),"")</f>
        <v/>
      </c>
      <c r="Z146" s="17" t="str">
        <f>IFERROR(VLOOKUP(シフト組み!Z176,役職一覧!$B:$D,2,FALSE),"")</f>
        <v/>
      </c>
      <c r="AA146" s="17" t="str">
        <f>IFERROR(VLOOKUP(シフト組み!AA176,役職一覧!$B:$D,2,FALSE),"")</f>
        <v/>
      </c>
      <c r="AB146" s="17" t="str">
        <f>IFERROR(VLOOKUP(シフト組み!AB176,役職一覧!$B:$D,2,FALSE),"")</f>
        <v/>
      </c>
      <c r="AC146" s="17" t="str">
        <f>IFERROR(VLOOKUP(シフト組み!AC176,役職一覧!$B:$D,2,FALSE),"")</f>
        <v/>
      </c>
      <c r="AD146" s="17" t="str">
        <f>IFERROR(VLOOKUP(シフト組み!AD176,役職一覧!$B:$D,2,FALSE),"")</f>
        <v/>
      </c>
      <c r="AE146" s="17" t="str">
        <f>IFERROR(VLOOKUP(シフト組み!AE176,役職一覧!$B:$D,2,FALSE),"")</f>
        <v/>
      </c>
      <c r="AF146" s="17" t="str">
        <f>IFERROR(VLOOKUP(シフト組み!AF176,役職一覧!$B:$D,2,FALSE),"")</f>
        <v/>
      </c>
      <c r="AG146" s="17" t="str">
        <f>IFERROR(VLOOKUP(シフト組み!AG176,役職一覧!$B:$D,2,FALSE),"")</f>
        <v/>
      </c>
      <c r="AH146" s="17" t="str">
        <f>IFERROR(VLOOKUP(シフト組み!AH176,役職一覧!$B:$D,3,FALSE),"")</f>
        <v/>
      </c>
      <c r="AI146" s="17" t="str">
        <f>IFERROR(VLOOKUP(シフト組み!AI176,役職一覧!$B:$D,3,FALSE),"")</f>
        <v/>
      </c>
      <c r="AJ146" s="17" t="str">
        <f>IFERROR(VLOOKUP(シフト組み!AJ176,役職一覧!$B:$D,3,FALSE),"")</f>
        <v/>
      </c>
      <c r="AK146" s="17" t="str">
        <f>IFERROR(VLOOKUP(シフト組み!AK176,役職一覧!$B:$D,3,FALSE),"")</f>
        <v/>
      </c>
      <c r="AL146" s="17" t="str">
        <f>IFERROR(VLOOKUP(シフト組み!AL176,役職一覧!$B:$D,3,FALSE),"")</f>
        <v/>
      </c>
      <c r="AM146" s="17" t="str">
        <f>IFERROR(VLOOKUP(シフト組み!AM176,役職一覧!$B:$D,3,FALSE),"")</f>
        <v/>
      </c>
      <c r="AN146" s="17" t="str">
        <f>IFERROR(VLOOKUP(シフト組み!AN176,役職一覧!$B:$D,3,FALSE),"")</f>
        <v/>
      </c>
      <c r="AO146" s="17" t="str">
        <f>IFERROR(VLOOKUP(シフト組み!AO176,役職一覧!$B:$D,3,FALSE),"")</f>
        <v/>
      </c>
      <c r="AP146" s="17" t="str">
        <f>IFERROR(VLOOKUP(シフト組み!AP176,役職一覧!$B:$D,3,FALSE),"")</f>
        <v/>
      </c>
      <c r="AQ146" s="17" t="str">
        <f>IFERROR(VLOOKUP(シフト組み!AQ176,役職一覧!$B:$D,3,FALSE),"")</f>
        <v/>
      </c>
      <c r="AR146" s="17" t="str">
        <f>IFERROR(VLOOKUP(シフト組み!AR176,役職一覧!$B:$D,3,FALSE),"")</f>
        <v/>
      </c>
      <c r="AS146" s="17" t="str">
        <f>IFERROR(VLOOKUP(シフト組み!AS176,役職一覧!$B:$D,3,FALSE),"")</f>
        <v/>
      </c>
      <c r="AT146" s="17" t="str">
        <f>IFERROR(VLOOKUP(シフト組み!AT176,役職一覧!$B:$D,3,FALSE),"")</f>
        <v/>
      </c>
      <c r="AU146" s="17" t="str">
        <f>IFERROR(VLOOKUP(シフト組み!AU176,役職一覧!$B:$D,3,FALSE),"")</f>
        <v/>
      </c>
      <c r="AV146" s="17" t="str">
        <f>IFERROR(VLOOKUP(シフト組み!AV176,役職一覧!$B:$D,3,FALSE),"")</f>
        <v/>
      </c>
      <c r="AW146" s="17" t="str">
        <f>IFERROR(VLOOKUP(シフト組み!AW176,役職一覧!$B:$D,3,FALSE),"")</f>
        <v/>
      </c>
      <c r="AX146" s="17" t="str">
        <f>IFERROR(VLOOKUP(シフト組み!AX176,役職一覧!$B:$D,3,FALSE),"")</f>
        <v/>
      </c>
      <c r="AY146" s="17" t="str">
        <f>IFERROR(VLOOKUP(シフト組み!AY176,役職一覧!$B:$D,3,FALSE),"")</f>
        <v/>
      </c>
      <c r="AZ146" s="17" t="str">
        <f>IFERROR(VLOOKUP(シフト組み!AZ176,役職一覧!$B:$D,3,FALSE),"")</f>
        <v/>
      </c>
      <c r="BA146" s="17" t="str">
        <f>IFERROR(VLOOKUP(シフト組み!BA176,役職一覧!$B:$D,3,FALSE),"")</f>
        <v/>
      </c>
    </row>
    <row r="147" spans="1:53">
      <c r="A147" s="2" t="str">
        <f>シフト組み!A177&amp;""</f>
        <v/>
      </c>
      <c r="B147" s="2" t="str">
        <f>シフト組み!B177&amp;""</f>
        <v/>
      </c>
      <c r="C147" s="2" t="str">
        <f>シフト組み!C177&amp;""</f>
        <v/>
      </c>
      <c r="D147" s="17" t="str">
        <f>IFERROR(VLOOKUP(シフト組み!D177,役職一覧!$B:$D,2,FALSE),"")</f>
        <v/>
      </c>
      <c r="E147" s="17" t="str">
        <f>IFERROR(VLOOKUP(シフト組み!E177,役職一覧!$B:$D,2,FALSE),"")</f>
        <v/>
      </c>
      <c r="F147" s="17" t="str">
        <f>IFERROR(VLOOKUP(シフト組み!F177,役職一覧!$B:$D,2,FALSE),"")</f>
        <v/>
      </c>
      <c r="G147" s="17" t="str">
        <f>IFERROR(VLOOKUP(シフト組み!G177,役職一覧!$B:$D,2,FALSE),"")</f>
        <v/>
      </c>
      <c r="H147" s="17" t="str">
        <f>IFERROR(VLOOKUP(シフト組み!H177,役職一覧!$B:$D,2,FALSE),"")</f>
        <v/>
      </c>
      <c r="I147" s="17" t="str">
        <f>IFERROR(VLOOKUP(シフト組み!I177,役職一覧!$B:$D,2,FALSE),"")</f>
        <v/>
      </c>
      <c r="J147" s="17" t="str">
        <f>IFERROR(VLOOKUP(シフト組み!J177,役職一覧!$B:$D,2,FALSE),"")</f>
        <v/>
      </c>
      <c r="K147" s="17" t="str">
        <f>IFERROR(VLOOKUP(シフト組み!K177,役職一覧!$B:$D,2,FALSE),"")</f>
        <v/>
      </c>
      <c r="L147" s="17" t="str">
        <f>IFERROR(VLOOKUP(シフト組み!L177,役職一覧!$B:$D,2,FALSE),"")</f>
        <v/>
      </c>
      <c r="M147" s="17" t="str">
        <f>IFERROR(VLOOKUP(シフト組み!M177,役職一覧!$B:$D,2,FALSE),"")</f>
        <v/>
      </c>
      <c r="N147" s="17" t="str">
        <f>IFERROR(VLOOKUP(シフト組み!N177,役職一覧!$B:$D,2,FALSE),"")</f>
        <v/>
      </c>
      <c r="O147" s="17" t="str">
        <f>IFERROR(VLOOKUP(シフト組み!O177,役職一覧!$B:$D,2,FALSE),"")</f>
        <v/>
      </c>
      <c r="P147" s="17" t="str">
        <f>IFERROR(VLOOKUP(シフト組み!P177,役職一覧!$B:$D,2,FALSE),"")</f>
        <v/>
      </c>
      <c r="Q147" s="17" t="str">
        <f>IFERROR(VLOOKUP(シフト組み!Q177,役職一覧!$B:$D,2,FALSE),"")</f>
        <v/>
      </c>
      <c r="R147" s="17" t="str">
        <f>IFERROR(VLOOKUP(シフト組み!R177,役職一覧!$B:$D,2,FALSE),"")</f>
        <v/>
      </c>
      <c r="S147" s="17" t="str">
        <f>IFERROR(VLOOKUP(シフト組み!S177,役職一覧!$B:$D,2,FALSE),"")</f>
        <v/>
      </c>
      <c r="T147" s="17" t="str">
        <f>IFERROR(VLOOKUP(シフト組み!T177,役職一覧!$B:$D,2,FALSE),"")</f>
        <v/>
      </c>
      <c r="U147" s="17" t="str">
        <f>IFERROR(VLOOKUP(シフト組み!U177,役職一覧!$B:$D,2,FALSE),"")</f>
        <v/>
      </c>
      <c r="V147" s="17" t="str">
        <f>IFERROR(VLOOKUP(シフト組み!V177,役職一覧!$B:$D,2,FALSE),"")</f>
        <v/>
      </c>
      <c r="W147" s="17" t="str">
        <f>IFERROR(VLOOKUP(シフト組み!W177,役職一覧!$B:$D,2,FALSE),"")</f>
        <v/>
      </c>
      <c r="X147" s="17" t="str">
        <f>IFERROR(VLOOKUP(シフト組み!X177,役職一覧!$B:$D,2,FALSE),"")</f>
        <v/>
      </c>
      <c r="Y147" s="17" t="str">
        <f>IFERROR(VLOOKUP(シフト組み!Y177,役職一覧!$B:$D,2,FALSE),"")</f>
        <v/>
      </c>
      <c r="Z147" s="17" t="str">
        <f>IFERROR(VLOOKUP(シフト組み!Z177,役職一覧!$B:$D,2,FALSE),"")</f>
        <v/>
      </c>
      <c r="AA147" s="17" t="str">
        <f>IFERROR(VLOOKUP(シフト組み!AA177,役職一覧!$B:$D,2,FALSE),"")</f>
        <v/>
      </c>
      <c r="AB147" s="17" t="str">
        <f>IFERROR(VLOOKUP(シフト組み!AB177,役職一覧!$B:$D,2,FALSE),"")</f>
        <v/>
      </c>
      <c r="AC147" s="17" t="str">
        <f>IFERROR(VLOOKUP(シフト組み!AC177,役職一覧!$B:$D,2,FALSE),"")</f>
        <v/>
      </c>
      <c r="AD147" s="17" t="str">
        <f>IFERROR(VLOOKUP(シフト組み!AD177,役職一覧!$B:$D,2,FALSE),"")</f>
        <v/>
      </c>
      <c r="AE147" s="17" t="str">
        <f>IFERROR(VLOOKUP(シフト組み!AE177,役職一覧!$B:$D,2,FALSE),"")</f>
        <v/>
      </c>
      <c r="AF147" s="17" t="str">
        <f>IFERROR(VLOOKUP(シフト組み!AF177,役職一覧!$B:$D,2,FALSE),"")</f>
        <v/>
      </c>
      <c r="AG147" s="17" t="str">
        <f>IFERROR(VLOOKUP(シフト組み!AG177,役職一覧!$B:$D,2,FALSE),"")</f>
        <v/>
      </c>
      <c r="AH147" s="17" t="str">
        <f>IFERROR(VLOOKUP(シフト組み!AH177,役職一覧!$B:$D,3,FALSE),"")</f>
        <v/>
      </c>
      <c r="AI147" s="17" t="str">
        <f>IFERROR(VLOOKUP(シフト組み!AI177,役職一覧!$B:$D,3,FALSE),"")</f>
        <v/>
      </c>
      <c r="AJ147" s="17" t="str">
        <f>IFERROR(VLOOKUP(シフト組み!AJ177,役職一覧!$B:$D,3,FALSE),"")</f>
        <v/>
      </c>
      <c r="AK147" s="17" t="str">
        <f>IFERROR(VLOOKUP(シフト組み!AK177,役職一覧!$B:$D,3,FALSE),"")</f>
        <v/>
      </c>
      <c r="AL147" s="17" t="str">
        <f>IFERROR(VLOOKUP(シフト組み!AL177,役職一覧!$B:$D,3,FALSE),"")</f>
        <v/>
      </c>
      <c r="AM147" s="17" t="str">
        <f>IFERROR(VLOOKUP(シフト組み!AM177,役職一覧!$B:$D,3,FALSE),"")</f>
        <v/>
      </c>
      <c r="AN147" s="17" t="str">
        <f>IFERROR(VLOOKUP(シフト組み!AN177,役職一覧!$B:$D,3,FALSE),"")</f>
        <v/>
      </c>
      <c r="AO147" s="17" t="str">
        <f>IFERROR(VLOOKUP(シフト組み!AO177,役職一覧!$B:$D,3,FALSE),"")</f>
        <v/>
      </c>
      <c r="AP147" s="17" t="str">
        <f>IFERROR(VLOOKUP(シフト組み!AP177,役職一覧!$B:$D,3,FALSE),"")</f>
        <v/>
      </c>
      <c r="AQ147" s="17" t="str">
        <f>IFERROR(VLOOKUP(シフト組み!AQ177,役職一覧!$B:$D,3,FALSE),"")</f>
        <v/>
      </c>
      <c r="AR147" s="17" t="str">
        <f>IFERROR(VLOOKUP(シフト組み!AR177,役職一覧!$B:$D,3,FALSE),"")</f>
        <v/>
      </c>
      <c r="AS147" s="17" t="str">
        <f>IFERROR(VLOOKUP(シフト組み!AS177,役職一覧!$B:$D,3,FALSE),"")</f>
        <v/>
      </c>
      <c r="AT147" s="17" t="str">
        <f>IFERROR(VLOOKUP(シフト組み!AT177,役職一覧!$B:$D,3,FALSE),"")</f>
        <v/>
      </c>
      <c r="AU147" s="17" t="str">
        <f>IFERROR(VLOOKUP(シフト組み!AU177,役職一覧!$B:$D,3,FALSE),"")</f>
        <v/>
      </c>
      <c r="AV147" s="17" t="str">
        <f>IFERROR(VLOOKUP(シフト組み!AV177,役職一覧!$B:$D,3,FALSE),"")</f>
        <v/>
      </c>
      <c r="AW147" s="17" t="str">
        <f>IFERROR(VLOOKUP(シフト組み!AW177,役職一覧!$B:$D,3,FALSE),"")</f>
        <v/>
      </c>
      <c r="AX147" s="17" t="str">
        <f>IFERROR(VLOOKUP(シフト組み!AX177,役職一覧!$B:$D,3,FALSE),"")</f>
        <v/>
      </c>
      <c r="AY147" s="17" t="str">
        <f>IFERROR(VLOOKUP(シフト組み!AY177,役職一覧!$B:$D,3,FALSE),"")</f>
        <v/>
      </c>
      <c r="AZ147" s="17" t="str">
        <f>IFERROR(VLOOKUP(シフト組み!AZ177,役職一覧!$B:$D,3,FALSE),"")</f>
        <v/>
      </c>
      <c r="BA147" s="17" t="str">
        <f>IFERROR(VLOOKUP(シフト組み!BA177,役職一覧!$B:$D,3,FALSE),"")</f>
        <v/>
      </c>
    </row>
    <row r="148" spans="1:53">
      <c r="A148" s="2" t="str">
        <f>シフト組み!A178&amp;""</f>
        <v/>
      </c>
      <c r="B148" s="2" t="str">
        <f>シフト組み!B178&amp;""</f>
        <v/>
      </c>
      <c r="C148" s="2" t="str">
        <f>シフト組み!C178&amp;""</f>
        <v/>
      </c>
      <c r="D148" s="17" t="str">
        <f>IFERROR(VLOOKUP(シフト組み!D178,役職一覧!$B:$D,2,FALSE),"")</f>
        <v/>
      </c>
      <c r="E148" s="17" t="str">
        <f>IFERROR(VLOOKUP(シフト組み!E178,役職一覧!$B:$D,2,FALSE),"")</f>
        <v/>
      </c>
      <c r="F148" s="17" t="str">
        <f>IFERROR(VLOOKUP(シフト組み!F178,役職一覧!$B:$D,2,FALSE),"")</f>
        <v/>
      </c>
      <c r="G148" s="17" t="str">
        <f>IFERROR(VLOOKUP(シフト組み!G178,役職一覧!$B:$D,2,FALSE),"")</f>
        <v/>
      </c>
      <c r="H148" s="17" t="str">
        <f>IFERROR(VLOOKUP(シフト組み!H178,役職一覧!$B:$D,2,FALSE),"")</f>
        <v/>
      </c>
      <c r="I148" s="17" t="str">
        <f>IFERROR(VLOOKUP(シフト組み!I178,役職一覧!$B:$D,2,FALSE),"")</f>
        <v/>
      </c>
      <c r="J148" s="17" t="str">
        <f>IFERROR(VLOOKUP(シフト組み!J178,役職一覧!$B:$D,2,FALSE),"")</f>
        <v/>
      </c>
      <c r="K148" s="17" t="str">
        <f>IFERROR(VLOOKUP(シフト組み!K178,役職一覧!$B:$D,2,FALSE),"")</f>
        <v/>
      </c>
      <c r="L148" s="17" t="str">
        <f>IFERROR(VLOOKUP(シフト組み!L178,役職一覧!$B:$D,2,FALSE),"")</f>
        <v/>
      </c>
      <c r="M148" s="17" t="str">
        <f>IFERROR(VLOOKUP(シフト組み!M178,役職一覧!$B:$D,2,FALSE),"")</f>
        <v/>
      </c>
      <c r="N148" s="17" t="str">
        <f>IFERROR(VLOOKUP(シフト組み!N178,役職一覧!$B:$D,2,FALSE),"")</f>
        <v/>
      </c>
      <c r="O148" s="17" t="str">
        <f>IFERROR(VLOOKUP(シフト組み!O178,役職一覧!$B:$D,2,FALSE),"")</f>
        <v/>
      </c>
      <c r="P148" s="17" t="str">
        <f>IFERROR(VLOOKUP(シフト組み!P178,役職一覧!$B:$D,2,FALSE),"")</f>
        <v/>
      </c>
      <c r="Q148" s="17" t="str">
        <f>IFERROR(VLOOKUP(シフト組み!Q178,役職一覧!$B:$D,2,FALSE),"")</f>
        <v/>
      </c>
      <c r="R148" s="17" t="str">
        <f>IFERROR(VLOOKUP(シフト組み!R178,役職一覧!$B:$D,2,FALSE),"")</f>
        <v/>
      </c>
      <c r="S148" s="17" t="str">
        <f>IFERROR(VLOOKUP(シフト組み!S178,役職一覧!$B:$D,2,FALSE),"")</f>
        <v/>
      </c>
      <c r="T148" s="17" t="str">
        <f>IFERROR(VLOOKUP(シフト組み!T178,役職一覧!$B:$D,2,FALSE),"")</f>
        <v/>
      </c>
      <c r="U148" s="17" t="str">
        <f>IFERROR(VLOOKUP(シフト組み!U178,役職一覧!$B:$D,2,FALSE),"")</f>
        <v/>
      </c>
      <c r="V148" s="17" t="str">
        <f>IFERROR(VLOOKUP(シフト組み!V178,役職一覧!$B:$D,2,FALSE),"")</f>
        <v/>
      </c>
      <c r="W148" s="17" t="str">
        <f>IFERROR(VLOOKUP(シフト組み!W178,役職一覧!$B:$D,2,FALSE),"")</f>
        <v/>
      </c>
      <c r="X148" s="17" t="str">
        <f>IFERROR(VLOOKUP(シフト組み!X178,役職一覧!$B:$D,2,FALSE),"")</f>
        <v/>
      </c>
      <c r="Y148" s="17" t="str">
        <f>IFERROR(VLOOKUP(シフト組み!Y178,役職一覧!$B:$D,2,FALSE),"")</f>
        <v/>
      </c>
      <c r="Z148" s="17" t="str">
        <f>IFERROR(VLOOKUP(シフト組み!Z178,役職一覧!$B:$D,2,FALSE),"")</f>
        <v/>
      </c>
      <c r="AA148" s="17" t="str">
        <f>IFERROR(VLOOKUP(シフト組み!AA178,役職一覧!$B:$D,2,FALSE),"")</f>
        <v/>
      </c>
      <c r="AB148" s="17" t="str">
        <f>IFERROR(VLOOKUP(シフト組み!AB178,役職一覧!$B:$D,2,FALSE),"")</f>
        <v/>
      </c>
      <c r="AC148" s="17" t="str">
        <f>IFERROR(VLOOKUP(シフト組み!AC178,役職一覧!$B:$D,2,FALSE),"")</f>
        <v/>
      </c>
      <c r="AD148" s="17" t="str">
        <f>IFERROR(VLOOKUP(シフト組み!AD178,役職一覧!$B:$D,2,FALSE),"")</f>
        <v/>
      </c>
      <c r="AE148" s="17" t="str">
        <f>IFERROR(VLOOKUP(シフト組み!AE178,役職一覧!$B:$D,2,FALSE),"")</f>
        <v/>
      </c>
      <c r="AF148" s="17" t="str">
        <f>IFERROR(VLOOKUP(シフト組み!AF178,役職一覧!$B:$D,2,FALSE),"")</f>
        <v/>
      </c>
      <c r="AG148" s="17" t="str">
        <f>IFERROR(VLOOKUP(シフト組み!AG178,役職一覧!$B:$D,2,FALSE),"")</f>
        <v/>
      </c>
      <c r="AH148" s="17" t="str">
        <f>IFERROR(VLOOKUP(シフト組み!AH178,役職一覧!$B:$D,3,FALSE),"")</f>
        <v/>
      </c>
      <c r="AI148" s="17" t="str">
        <f>IFERROR(VLOOKUP(シフト組み!AI178,役職一覧!$B:$D,3,FALSE),"")</f>
        <v/>
      </c>
      <c r="AJ148" s="17" t="str">
        <f>IFERROR(VLOOKUP(シフト組み!AJ178,役職一覧!$B:$D,3,FALSE),"")</f>
        <v/>
      </c>
      <c r="AK148" s="17" t="str">
        <f>IFERROR(VLOOKUP(シフト組み!AK178,役職一覧!$B:$D,3,FALSE),"")</f>
        <v/>
      </c>
      <c r="AL148" s="17" t="str">
        <f>IFERROR(VLOOKUP(シフト組み!AL178,役職一覧!$B:$D,3,FALSE),"")</f>
        <v/>
      </c>
      <c r="AM148" s="17" t="str">
        <f>IFERROR(VLOOKUP(シフト組み!AM178,役職一覧!$B:$D,3,FALSE),"")</f>
        <v/>
      </c>
      <c r="AN148" s="17" t="str">
        <f>IFERROR(VLOOKUP(シフト組み!AN178,役職一覧!$B:$D,3,FALSE),"")</f>
        <v/>
      </c>
      <c r="AO148" s="17" t="str">
        <f>IFERROR(VLOOKUP(シフト組み!AO178,役職一覧!$B:$D,3,FALSE),"")</f>
        <v/>
      </c>
      <c r="AP148" s="17" t="str">
        <f>IFERROR(VLOOKUP(シフト組み!AP178,役職一覧!$B:$D,3,FALSE),"")</f>
        <v/>
      </c>
      <c r="AQ148" s="17" t="str">
        <f>IFERROR(VLOOKUP(シフト組み!AQ178,役職一覧!$B:$D,3,FALSE),"")</f>
        <v/>
      </c>
      <c r="AR148" s="17" t="str">
        <f>IFERROR(VLOOKUP(シフト組み!AR178,役職一覧!$B:$D,3,FALSE),"")</f>
        <v/>
      </c>
      <c r="AS148" s="17" t="str">
        <f>IFERROR(VLOOKUP(シフト組み!AS178,役職一覧!$B:$D,3,FALSE),"")</f>
        <v/>
      </c>
      <c r="AT148" s="17" t="str">
        <f>IFERROR(VLOOKUP(シフト組み!AT178,役職一覧!$B:$D,3,FALSE),"")</f>
        <v/>
      </c>
      <c r="AU148" s="17" t="str">
        <f>IFERROR(VLOOKUP(シフト組み!AU178,役職一覧!$B:$D,3,FALSE),"")</f>
        <v/>
      </c>
      <c r="AV148" s="17" t="str">
        <f>IFERROR(VLOOKUP(シフト組み!AV178,役職一覧!$B:$D,3,FALSE),"")</f>
        <v/>
      </c>
      <c r="AW148" s="17" t="str">
        <f>IFERROR(VLOOKUP(シフト組み!AW178,役職一覧!$B:$D,3,FALSE),"")</f>
        <v/>
      </c>
      <c r="AX148" s="17" t="str">
        <f>IFERROR(VLOOKUP(シフト組み!AX178,役職一覧!$B:$D,3,FALSE),"")</f>
        <v/>
      </c>
      <c r="AY148" s="17" t="str">
        <f>IFERROR(VLOOKUP(シフト組み!AY178,役職一覧!$B:$D,3,FALSE),"")</f>
        <v/>
      </c>
      <c r="AZ148" s="17" t="str">
        <f>IFERROR(VLOOKUP(シフト組み!AZ178,役職一覧!$B:$D,3,FALSE),"")</f>
        <v/>
      </c>
      <c r="BA148" s="17" t="str">
        <f>IFERROR(VLOOKUP(シフト組み!BA178,役職一覧!$B:$D,3,FALSE),"")</f>
        <v/>
      </c>
    </row>
    <row r="149" spans="1:53">
      <c r="A149" s="2" t="str">
        <f>シフト組み!A179&amp;""</f>
        <v/>
      </c>
      <c r="B149" s="2" t="str">
        <f>シフト組み!B179&amp;""</f>
        <v/>
      </c>
      <c r="C149" s="2" t="str">
        <f>シフト組み!C179&amp;""</f>
        <v/>
      </c>
      <c r="D149" s="17" t="str">
        <f>IFERROR(VLOOKUP(シフト組み!D179,役職一覧!$B:$D,2,FALSE),"")</f>
        <v/>
      </c>
      <c r="E149" s="17" t="str">
        <f>IFERROR(VLOOKUP(シフト組み!E179,役職一覧!$B:$D,2,FALSE),"")</f>
        <v/>
      </c>
      <c r="F149" s="17" t="str">
        <f>IFERROR(VLOOKUP(シフト組み!F179,役職一覧!$B:$D,2,FALSE),"")</f>
        <v/>
      </c>
      <c r="G149" s="17" t="str">
        <f>IFERROR(VLOOKUP(シフト組み!G179,役職一覧!$B:$D,2,FALSE),"")</f>
        <v/>
      </c>
      <c r="H149" s="17" t="str">
        <f>IFERROR(VLOOKUP(シフト組み!H179,役職一覧!$B:$D,2,FALSE),"")</f>
        <v/>
      </c>
      <c r="I149" s="17" t="str">
        <f>IFERROR(VLOOKUP(シフト組み!I179,役職一覧!$B:$D,2,FALSE),"")</f>
        <v/>
      </c>
      <c r="J149" s="17" t="str">
        <f>IFERROR(VLOOKUP(シフト組み!J179,役職一覧!$B:$D,2,FALSE),"")</f>
        <v/>
      </c>
      <c r="K149" s="17" t="str">
        <f>IFERROR(VLOOKUP(シフト組み!K179,役職一覧!$B:$D,2,FALSE),"")</f>
        <v/>
      </c>
      <c r="L149" s="17" t="str">
        <f>IFERROR(VLOOKUP(シフト組み!L179,役職一覧!$B:$D,2,FALSE),"")</f>
        <v/>
      </c>
      <c r="M149" s="17" t="str">
        <f>IFERROR(VLOOKUP(シフト組み!M179,役職一覧!$B:$D,2,FALSE),"")</f>
        <v/>
      </c>
      <c r="N149" s="17" t="str">
        <f>IFERROR(VLOOKUP(シフト組み!N179,役職一覧!$B:$D,2,FALSE),"")</f>
        <v/>
      </c>
      <c r="O149" s="17" t="str">
        <f>IFERROR(VLOOKUP(シフト組み!O179,役職一覧!$B:$D,2,FALSE),"")</f>
        <v/>
      </c>
      <c r="P149" s="17" t="str">
        <f>IFERROR(VLOOKUP(シフト組み!P179,役職一覧!$B:$D,2,FALSE),"")</f>
        <v/>
      </c>
      <c r="Q149" s="17" t="str">
        <f>IFERROR(VLOOKUP(シフト組み!Q179,役職一覧!$B:$D,2,FALSE),"")</f>
        <v/>
      </c>
      <c r="R149" s="17" t="str">
        <f>IFERROR(VLOOKUP(シフト組み!R179,役職一覧!$B:$D,2,FALSE),"")</f>
        <v/>
      </c>
      <c r="S149" s="17" t="str">
        <f>IFERROR(VLOOKUP(シフト組み!S179,役職一覧!$B:$D,2,FALSE),"")</f>
        <v/>
      </c>
      <c r="T149" s="17" t="str">
        <f>IFERROR(VLOOKUP(シフト組み!T179,役職一覧!$B:$D,2,FALSE),"")</f>
        <v/>
      </c>
      <c r="U149" s="17" t="str">
        <f>IFERROR(VLOOKUP(シフト組み!U179,役職一覧!$B:$D,2,FALSE),"")</f>
        <v/>
      </c>
      <c r="V149" s="17" t="str">
        <f>IFERROR(VLOOKUP(シフト組み!V179,役職一覧!$B:$D,2,FALSE),"")</f>
        <v/>
      </c>
      <c r="W149" s="17" t="str">
        <f>IFERROR(VLOOKUP(シフト組み!W179,役職一覧!$B:$D,2,FALSE),"")</f>
        <v/>
      </c>
      <c r="X149" s="17" t="str">
        <f>IFERROR(VLOOKUP(シフト組み!X179,役職一覧!$B:$D,2,FALSE),"")</f>
        <v/>
      </c>
      <c r="Y149" s="17" t="str">
        <f>IFERROR(VLOOKUP(シフト組み!Y179,役職一覧!$B:$D,2,FALSE),"")</f>
        <v/>
      </c>
      <c r="Z149" s="17" t="str">
        <f>IFERROR(VLOOKUP(シフト組み!Z179,役職一覧!$B:$D,2,FALSE),"")</f>
        <v/>
      </c>
      <c r="AA149" s="17" t="str">
        <f>IFERROR(VLOOKUP(シフト組み!AA179,役職一覧!$B:$D,2,FALSE),"")</f>
        <v/>
      </c>
      <c r="AB149" s="17" t="str">
        <f>IFERROR(VLOOKUP(シフト組み!AB179,役職一覧!$B:$D,2,FALSE),"")</f>
        <v/>
      </c>
      <c r="AC149" s="17" t="str">
        <f>IFERROR(VLOOKUP(シフト組み!AC179,役職一覧!$B:$D,2,FALSE),"")</f>
        <v/>
      </c>
      <c r="AD149" s="17" t="str">
        <f>IFERROR(VLOOKUP(シフト組み!AD179,役職一覧!$B:$D,2,FALSE),"")</f>
        <v/>
      </c>
      <c r="AE149" s="17" t="str">
        <f>IFERROR(VLOOKUP(シフト組み!AE179,役職一覧!$B:$D,2,FALSE),"")</f>
        <v/>
      </c>
      <c r="AF149" s="17" t="str">
        <f>IFERROR(VLOOKUP(シフト組み!AF179,役職一覧!$B:$D,2,FALSE),"")</f>
        <v/>
      </c>
      <c r="AG149" s="17" t="str">
        <f>IFERROR(VLOOKUP(シフト組み!AG179,役職一覧!$B:$D,2,FALSE),"")</f>
        <v/>
      </c>
      <c r="AH149" s="17" t="str">
        <f>IFERROR(VLOOKUP(シフト組み!AH179,役職一覧!$B:$D,3,FALSE),"")</f>
        <v/>
      </c>
      <c r="AI149" s="17" t="str">
        <f>IFERROR(VLOOKUP(シフト組み!AI179,役職一覧!$B:$D,3,FALSE),"")</f>
        <v/>
      </c>
      <c r="AJ149" s="17" t="str">
        <f>IFERROR(VLOOKUP(シフト組み!AJ179,役職一覧!$B:$D,3,FALSE),"")</f>
        <v/>
      </c>
      <c r="AK149" s="17" t="str">
        <f>IFERROR(VLOOKUP(シフト組み!AK179,役職一覧!$B:$D,3,FALSE),"")</f>
        <v/>
      </c>
      <c r="AL149" s="17" t="str">
        <f>IFERROR(VLOOKUP(シフト組み!AL179,役職一覧!$B:$D,3,FALSE),"")</f>
        <v/>
      </c>
      <c r="AM149" s="17" t="str">
        <f>IFERROR(VLOOKUP(シフト組み!AM179,役職一覧!$B:$D,3,FALSE),"")</f>
        <v/>
      </c>
      <c r="AN149" s="17" t="str">
        <f>IFERROR(VLOOKUP(シフト組み!AN179,役職一覧!$B:$D,3,FALSE),"")</f>
        <v/>
      </c>
      <c r="AO149" s="17" t="str">
        <f>IFERROR(VLOOKUP(シフト組み!AO179,役職一覧!$B:$D,3,FALSE),"")</f>
        <v/>
      </c>
      <c r="AP149" s="17" t="str">
        <f>IFERROR(VLOOKUP(シフト組み!AP179,役職一覧!$B:$D,3,FALSE),"")</f>
        <v/>
      </c>
      <c r="AQ149" s="17" t="str">
        <f>IFERROR(VLOOKUP(シフト組み!AQ179,役職一覧!$B:$D,3,FALSE),"")</f>
        <v/>
      </c>
      <c r="AR149" s="17" t="str">
        <f>IFERROR(VLOOKUP(シフト組み!AR179,役職一覧!$B:$D,3,FALSE),"")</f>
        <v/>
      </c>
      <c r="AS149" s="17" t="str">
        <f>IFERROR(VLOOKUP(シフト組み!AS179,役職一覧!$B:$D,3,FALSE),"")</f>
        <v/>
      </c>
      <c r="AT149" s="17" t="str">
        <f>IFERROR(VLOOKUP(シフト組み!AT179,役職一覧!$B:$D,3,FALSE),"")</f>
        <v/>
      </c>
      <c r="AU149" s="17" t="str">
        <f>IFERROR(VLOOKUP(シフト組み!AU179,役職一覧!$B:$D,3,FALSE),"")</f>
        <v/>
      </c>
      <c r="AV149" s="17" t="str">
        <f>IFERROR(VLOOKUP(シフト組み!AV179,役職一覧!$B:$D,3,FALSE),"")</f>
        <v/>
      </c>
      <c r="AW149" s="17" t="str">
        <f>IFERROR(VLOOKUP(シフト組み!AW179,役職一覧!$B:$D,3,FALSE),"")</f>
        <v/>
      </c>
      <c r="AX149" s="17" t="str">
        <f>IFERROR(VLOOKUP(シフト組み!AX179,役職一覧!$B:$D,3,FALSE),"")</f>
        <v/>
      </c>
      <c r="AY149" s="17" t="str">
        <f>IFERROR(VLOOKUP(シフト組み!AY179,役職一覧!$B:$D,3,FALSE),"")</f>
        <v/>
      </c>
      <c r="AZ149" s="17" t="str">
        <f>IFERROR(VLOOKUP(シフト組み!AZ179,役職一覧!$B:$D,3,FALSE),"")</f>
        <v/>
      </c>
      <c r="BA149" s="17" t="str">
        <f>IFERROR(VLOOKUP(シフト組み!BA179,役職一覧!$B:$D,3,FALSE),"")</f>
        <v/>
      </c>
    </row>
    <row r="150" spans="1:53">
      <c r="A150" s="2" t="str">
        <f>シフト組み!A180&amp;""</f>
        <v/>
      </c>
      <c r="B150" s="2" t="str">
        <f>シフト組み!B180&amp;""</f>
        <v/>
      </c>
      <c r="C150" s="2" t="str">
        <f>シフト組み!C180&amp;""</f>
        <v/>
      </c>
      <c r="D150" s="17" t="str">
        <f>IFERROR(VLOOKUP(シフト組み!D180,役職一覧!$B:$D,2,FALSE),"")</f>
        <v/>
      </c>
      <c r="E150" s="17" t="str">
        <f>IFERROR(VLOOKUP(シフト組み!E180,役職一覧!$B:$D,2,FALSE),"")</f>
        <v/>
      </c>
      <c r="F150" s="17" t="str">
        <f>IFERROR(VLOOKUP(シフト組み!F180,役職一覧!$B:$D,2,FALSE),"")</f>
        <v/>
      </c>
      <c r="G150" s="17" t="str">
        <f>IFERROR(VLOOKUP(シフト組み!G180,役職一覧!$B:$D,2,FALSE),"")</f>
        <v/>
      </c>
      <c r="H150" s="17" t="str">
        <f>IFERROR(VLOOKUP(シフト組み!H180,役職一覧!$B:$D,2,FALSE),"")</f>
        <v/>
      </c>
      <c r="I150" s="17" t="str">
        <f>IFERROR(VLOOKUP(シフト組み!I180,役職一覧!$B:$D,2,FALSE),"")</f>
        <v/>
      </c>
      <c r="J150" s="17" t="str">
        <f>IFERROR(VLOOKUP(シフト組み!J180,役職一覧!$B:$D,2,FALSE),"")</f>
        <v/>
      </c>
      <c r="K150" s="17" t="str">
        <f>IFERROR(VLOOKUP(シフト組み!K180,役職一覧!$B:$D,2,FALSE),"")</f>
        <v/>
      </c>
      <c r="L150" s="17" t="str">
        <f>IFERROR(VLOOKUP(シフト組み!L180,役職一覧!$B:$D,2,FALSE),"")</f>
        <v/>
      </c>
      <c r="M150" s="17" t="str">
        <f>IFERROR(VLOOKUP(シフト組み!M180,役職一覧!$B:$D,2,FALSE),"")</f>
        <v/>
      </c>
      <c r="N150" s="17" t="str">
        <f>IFERROR(VLOOKUP(シフト組み!N180,役職一覧!$B:$D,2,FALSE),"")</f>
        <v/>
      </c>
      <c r="O150" s="17" t="str">
        <f>IFERROR(VLOOKUP(シフト組み!O180,役職一覧!$B:$D,2,FALSE),"")</f>
        <v/>
      </c>
      <c r="P150" s="17" t="str">
        <f>IFERROR(VLOOKUP(シフト組み!P180,役職一覧!$B:$D,2,FALSE),"")</f>
        <v/>
      </c>
      <c r="Q150" s="17" t="str">
        <f>IFERROR(VLOOKUP(シフト組み!Q180,役職一覧!$B:$D,2,FALSE),"")</f>
        <v/>
      </c>
      <c r="R150" s="17" t="str">
        <f>IFERROR(VLOOKUP(シフト組み!R180,役職一覧!$B:$D,2,FALSE),"")</f>
        <v/>
      </c>
      <c r="S150" s="17" t="str">
        <f>IFERROR(VLOOKUP(シフト組み!S180,役職一覧!$B:$D,2,FALSE),"")</f>
        <v/>
      </c>
      <c r="T150" s="17" t="str">
        <f>IFERROR(VLOOKUP(シフト組み!T180,役職一覧!$B:$D,2,FALSE),"")</f>
        <v/>
      </c>
      <c r="U150" s="17" t="str">
        <f>IFERROR(VLOOKUP(シフト組み!U180,役職一覧!$B:$D,2,FALSE),"")</f>
        <v/>
      </c>
      <c r="V150" s="17" t="str">
        <f>IFERROR(VLOOKUP(シフト組み!V180,役職一覧!$B:$D,2,FALSE),"")</f>
        <v/>
      </c>
      <c r="W150" s="17" t="str">
        <f>IFERROR(VLOOKUP(シフト組み!W180,役職一覧!$B:$D,2,FALSE),"")</f>
        <v/>
      </c>
      <c r="X150" s="17" t="str">
        <f>IFERROR(VLOOKUP(シフト組み!X180,役職一覧!$B:$D,2,FALSE),"")</f>
        <v/>
      </c>
      <c r="Y150" s="17" t="str">
        <f>IFERROR(VLOOKUP(シフト組み!Y180,役職一覧!$B:$D,2,FALSE),"")</f>
        <v/>
      </c>
      <c r="Z150" s="17" t="str">
        <f>IFERROR(VLOOKUP(シフト組み!Z180,役職一覧!$B:$D,2,FALSE),"")</f>
        <v/>
      </c>
      <c r="AA150" s="17" t="str">
        <f>IFERROR(VLOOKUP(シフト組み!AA180,役職一覧!$B:$D,2,FALSE),"")</f>
        <v/>
      </c>
      <c r="AB150" s="17" t="str">
        <f>IFERROR(VLOOKUP(シフト組み!AB180,役職一覧!$B:$D,2,FALSE),"")</f>
        <v/>
      </c>
      <c r="AC150" s="17" t="str">
        <f>IFERROR(VLOOKUP(シフト組み!AC180,役職一覧!$B:$D,2,FALSE),"")</f>
        <v/>
      </c>
      <c r="AD150" s="17" t="str">
        <f>IFERROR(VLOOKUP(シフト組み!AD180,役職一覧!$B:$D,2,FALSE),"")</f>
        <v/>
      </c>
      <c r="AE150" s="17" t="str">
        <f>IFERROR(VLOOKUP(シフト組み!AE180,役職一覧!$B:$D,2,FALSE),"")</f>
        <v/>
      </c>
      <c r="AF150" s="17" t="str">
        <f>IFERROR(VLOOKUP(シフト組み!AF180,役職一覧!$B:$D,2,FALSE),"")</f>
        <v/>
      </c>
      <c r="AG150" s="17" t="str">
        <f>IFERROR(VLOOKUP(シフト組み!AG180,役職一覧!$B:$D,2,FALSE),"")</f>
        <v/>
      </c>
      <c r="AH150" s="17" t="str">
        <f>IFERROR(VLOOKUP(シフト組み!AH180,役職一覧!$B:$D,3,FALSE),"")</f>
        <v/>
      </c>
      <c r="AI150" s="17" t="str">
        <f>IFERROR(VLOOKUP(シフト組み!AI180,役職一覧!$B:$D,3,FALSE),"")</f>
        <v/>
      </c>
      <c r="AJ150" s="17" t="str">
        <f>IFERROR(VLOOKUP(シフト組み!AJ180,役職一覧!$B:$D,3,FALSE),"")</f>
        <v/>
      </c>
      <c r="AK150" s="17" t="str">
        <f>IFERROR(VLOOKUP(シフト組み!AK180,役職一覧!$B:$D,3,FALSE),"")</f>
        <v/>
      </c>
      <c r="AL150" s="17" t="str">
        <f>IFERROR(VLOOKUP(シフト組み!AL180,役職一覧!$B:$D,3,FALSE),"")</f>
        <v/>
      </c>
      <c r="AM150" s="17" t="str">
        <f>IFERROR(VLOOKUP(シフト組み!AM180,役職一覧!$B:$D,3,FALSE),"")</f>
        <v/>
      </c>
      <c r="AN150" s="17" t="str">
        <f>IFERROR(VLOOKUP(シフト組み!AN180,役職一覧!$B:$D,3,FALSE),"")</f>
        <v/>
      </c>
      <c r="AO150" s="17" t="str">
        <f>IFERROR(VLOOKUP(シフト組み!AO180,役職一覧!$B:$D,3,FALSE),"")</f>
        <v/>
      </c>
      <c r="AP150" s="17" t="str">
        <f>IFERROR(VLOOKUP(シフト組み!AP180,役職一覧!$B:$D,3,FALSE),"")</f>
        <v/>
      </c>
      <c r="AQ150" s="17" t="str">
        <f>IFERROR(VLOOKUP(シフト組み!AQ180,役職一覧!$B:$D,3,FALSE),"")</f>
        <v/>
      </c>
      <c r="AR150" s="17" t="str">
        <f>IFERROR(VLOOKUP(シフト組み!AR180,役職一覧!$B:$D,3,FALSE),"")</f>
        <v/>
      </c>
      <c r="AS150" s="17" t="str">
        <f>IFERROR(VLOOKUP(シフト組み!AS180,役職一覧!$B:$D,3,FALSE),"")</f>
        <v/>
      </c>
      <c r="AT150" s="17" t="str">
        <f>IFERROR(VLOOKUP(シフト組み!AT180,役職一覧!$B:$D,3,FALSE),"")</f>
        <v/>
      </c>
      <c r="AU150" s="17" t="str">
        <f>IFERROR(VLOOKUP(シフト組み!AU180,役職一覧!$B:$D,3,FALSE),"")</f>
        <v/>
      </c>
      <c r="AV150" s="17" t="str">
        <f>IFERROR(VLOOKUP(シフト組み!AV180,役職一覧!$B:$D,3,FALSE),"")</f>
        <v/>
      </c>
      <c r="AW150" s="17" t="str">
        <f>IFERROR(VLOOKUP(シフト組み!AW180,役職一覧!$B:$D,3,FALSE),"")</f>
        <v/>
      </c>
      <c r="AX150" s="17" t="str">
        <f>IFERROR(VLOOKUP(シフト組み!AX180,役職一覧!$B:$D,3,FALSE),"")</f>
        <v/>
      </c>
      <c r="AY150" s="17" t="str">
        <f>IFERROR(VLOOKUP(シフト組み!AY180,役職一覧!$B:$D,3,FALSE),"")</f>
        <v/>
      </c>
      <c r="AZ150" s="17" t="str">
        <f>IFERROR(VLOOKUP(シフト組み!AZ180,役職一覧!$B:$D,3,FALSE),"")</f>
        <v/>
      </c>
      <c r="BA150" s="17" t="str">
        <f>IFERROR(VLOOKUP(シフト組み!BA180,役職一覧!$B:$D,3,FALSE),"")</f>
        <v/>
      </c>
    </row>
    <row r="151" spans="1:53">
      <c r="A151" s="2" t="str">
        <f>シフト組み!A181&amp;""</f>
        <v/>
      </c>
      <c r="B151" s="2" t="str">
        <f>シフト組み!B181&amp;""</f>
        <v/>
      </c>
      <c r="C151" s="2" t="str">
        <f>シフト組み!C181&amp;""</f>
        <v/>
      </c>
      <c r="D151" s="17" t="str">
        <f>IFERROR(VLOOKUP(シフト組み!D181,役職一覧!$B:$D,2,FALSE),"")</f>
        <v/>
      </c>
      <c r="E151" s="17" t="str">
        <f>IFERROR(VLOOKUP(シフト組み!E181,役職一覧!$B:$D,2,FALSE),"")</f>
        <v/>
      </c>
      <c r="F151" s="17" t="str">
        <f>IFERROR(VLOOKUP(シフト組み!F181,役職一覧!$B:$D,2,FALSE),"")</f>
        <v/>
      </c>
      <c r="G151" s="17" t="str">
        <f>IFERROR(VLOOKUP(シフト組み!G181,役職一覧!$B:$D,2,FALSE),"")</f>
        <v/>
      </c>
      <c r="H151" s="17" t="str">
        <f>IFERROR(VLOOKUP(シフト組み!H181,役職一覧!$B:$D,2,FALSE),"")</f>
        <v/>
      </c>
      <c r="I151" s="17" t="str">
        <f>IFERROR(VLOOKUP(シフト組み!I181,役職一覧!$B:$D,2,FALSE),"")</f>
        <v/>
      </c>
      <c r="J151" s="17" t="str">
        <f>IFERROR(VLOOKUP(シフト組み!J181,役職一覧!$B:$D,2,FALSE),"")</f>
        <v/>
      </c>
      <c r="K151" s="17" t="str">
        <f>IFERROR(VLOOKUP(シフト組み!K181,役職一覧!$B:$D,2,FALSE),"")</f>
        <v/>
      </c>
      <c r="L151" s="17" t="str">
        <f>IFERROR(VLOOKUP(シフト組み!L181,役職一覧!$B:$D,2,FALSE),"")</f>
        <v/>
      </c>
      <c r="M151" s="17" t="str">
        <f>IFERROR(VLOOKUP(シフト組み!M181,役職一覧!$B:$D,2,FALSE),"")</f>
        <v/>
      </c>
      <c r="N151" s="17" t="str">
        <f>IFERROR(VLOOKUP(シフト組み!N181,役職一覧!$B:$D,2,FALSE),"")</f>
        <v/>
      </c>
      <c r="O151" s="17" t="str">
        <f>IFERROR(VLOOKUP(シフト組み!O181,役職一覧!$B:$D,2,FALSE),"")</f>
        <v/>
      </c>
      <c r="P151" s="17" t="str">
        <f>IFERROR(VLOOKUP(シフト組み!P181,役職一覧!$B:$D,2,FALSE),"")</f>
        <v/>
      </c>
      <c r="Q151" s="17" t="str">
        <f>IFERROR(VLOOKUP(シフト組み!Q181,役職一覧!$B:$D,2,FALSE),"")</f>
        <v/>
      </c>
      <c r="R151" s="17" t="str">
        <f>IFERROR(VLOOKUP(シフト組み!R181,役職一覧!$B:$D,2,FALSE),"")</f>
        <v/>
      </c>
      <c r="S151" s="17" t="str">
        <f>IFERROR(VLOOKUP(シフト組み!S181,役職一覧!$B:$D,2,FALSE),"")</f>
        <v/>
      </c>
      <c r="T151" s="17" t="str">
        <f>IFERROR(VLOOKUP(シフト組み!T181,役職一覧!$B:$D,2,FALSE),"")</f>
        <v/>
      </c>
      <c r="U151" s="17" t="str">
        <f>IFERROR(VLOOKUP(シフト組み!U181,役職一覧!$B:$D,2,FALSE),"")</f>
        <v/>
      </c>
      <c r="V151" s="17" t="str">
        <f>IFERROR(VLOOKUP(シフト組み!V181,役職一覧!$B:$D,2,FALSE),"")</f>
        <v/>
      </c>
      <c r="W151" s="17" t="str">
        <f>IFERROR(VLOOKUP(シフト組み!W181,役職一覧!$B:$D,2,FALSE),"")</f>
        <v/>
      </c>
      <c r="X151" s="17" t="str">
        <f>IFERROR(VLOOKUP(シフト組み!X181,役職一覧!$B:$D,2,FALSE),"")</f>
        <v/>
      </c>
      <c r="Y151" s="17" t="str">
        <f>IFERROR(VLOOKUP(シフト組み!Y181,役職一覧!$B:$D,2,FALSE),"")</f>
        <v/>
      </c>
      <c r="Z151" s="17" t="str">
        <f>IFERROR(VLOOKUP(シフト組み!Z181,役職一覧!$B:$D,2,FALSE),"")</f>
        <v/>
      </c>
      <c r="AA151" s="17" t="str">
        <f>IFERROR(VLOOKUP(シフト組み!AA181,役職一覧!$B:$D,2,FALSE),"")</f>
        <v/>
      </c>
      <c r="AB151" s="17" t="str">
        <f>IFERROR(VLOOKUP(シフト組み!AB181,役職一覧!$B:$D,2,FALSE),"")</f>
        <v/>
      </c>
      <c r="AC151" s="17" t="str">
        <f>IFERROR(VLOOKUP(シフト組み!AC181,役職一覧!$B:$D,2,FALSE),"")</f>
        <v/>
      </c>
      <c r="AD151" s="17" t="str">
        <f>IFERROR(VLOOKUP(シフト組み!AD181,役職一覧!$B:$D,2,FALSE),"")</f>
        <v/>
      </c>
      <c r="AE151" s="17" t="str">
        <f>IFERROR(VLOOKUP(シフト組み!AE181,役職一覧!$B:$D,2,FALSE),"")</f>
        <v/>
      </c>
      <c r="AF151" s="17" t="str">
        <f>IFERROR(VLOOKUP(シフト組み!AF181,役職一覧!$B:$D,2,FALSE),"")</f>
        <v/>
      </c>
      <c r="AG151" s="17" t="str">
        <f>IFERROR(VLOOKUP(シフト組み!AG181,役職一覧!$B:$D,2,FALSE),"")</f>
        <v/>
      </c>
      <c r="AH151" s="17" t="str">
        <f>IFERROR(VLOOKUP(シフト組み!AH181,役職一覧!$B:$D,3,FALSE),"")</f>
        <v/>
      </c>
      <c r="AI151" s="17" t="str">
        <f>IFERROR(VLOOKUP(シフト組み!AI181,役職一覧!$B:$D,3,FALSE),"")</f>
        <v/>
      </c>
      <c r="AJ151" s="17" t="str">
        <f>IFERROR(VLOOKUP(シフト組み!AJ181,役職一覧!$B:$D,3,FALSE),"")</f>
        <v/>
      </c>
      <c r="AK151" s="17" t="str">
        <f>IFERROR(VLOOKUP(シフト組み!AK181,役職一覧!$B:$D,3,FALSE),"")</f>
        <v/>
      </c>
      <c r="AL151" s="17" t="str">
        <f>IFERROR(VLOOKUP(シフト組み!AL181,役職一覧!$B:$D,3,FALSE),"")</f>
        <v/>
      </c>
      <c r="AM151" s="17" t="str">
        <f>IFERROR(VLOOKUP(シフト組み!AM181,役職一覧!$B:$D,3,FALSE),"")</f>
        <v/>
      </c>
      <c r="AN151" s="17" t="str">
        <f>IFERROR(VLOOKUP(シフト組み!AN181,役職一覧!$B:$D,3,FALSE),"")</f>
        <v/>
      </c>
      <c r="AO151" s="17" t="str">
        <f>IFERROR(VLOOKUP(シフト組み!AO181,役職一覧!$B:$D,3,FALSE),"")</f>
        <v/>
      </c>
      <c r="AP151" s="17" t="str">
        <f>IFERROR(VLOOKUP(シフト組み!AP181,役職一覧!$B:$D,3,FALSE),"")</f>
        <v/>
      </c>
      <c r="AQ151" s="17" t="str">
        <f>IFERROR(VLOOKUP(シフト組み!AQ181,役職一覧!$B:$D,3,FALSE),"")</f>
        <v/>
      </c>
      <c r="AR151" s="17" t="str">
        <f>IFERROR(VLOOKUP(シフト組み!AR181,役職一覧!$B:$D,3,FALSE),"")</f>
        <v/>
      </c>
      <c r="AS151" s="17" t="str">
        <f>IFERROR(VLOOKUP(シフト組み!AS181,役職一覧!$B:$D,3,FALSE),"")</f>
        <v/>
      </c>
      <c r="AT151" s="17" t="str">
        <f>IFERROR(VLOOKUP(シフト組み!AT181,役職一覧!$B:$D,3,FALSE),"")</f>
        <v/>
      </c>
      <c r="AU151" s="17" t="str">
        <f>IFERROR(VLOOKUP(シフト組み!AU181,役職一覧!$B:$D,3,FALSE),"")</f>
        <v/>
      </c>
      <c r="AV151" s="17" t="str">
        <f>IFERROR(VLOOKUP(シフト組み!AV181,役職一覧!$B:$D,3,FALSE),"")</f>
        <v/>
      </c>
      <c r="AW151" s="17" t="str">
        <f>IFERROR(VLOOKUP(シフト組み!AW181,役職一覧!$B:$D,3,FALSE),"")</f>
        <v/>
      </c>
      <c r="AX151" s="17" t="str">
        <f>IFERROR(VLOOKUP(シフト組み!AX181,役職一覧!$B:$D,3,FALSE),"")</f>
        <v/>
      </c>
      <c r="AY151" s="17" t="str">
        <f>IFERROR(VLOOKUP(シフト組み!AY181,役職一覧!$B:$D,3,FALSE),"")</f>
        <v/>
      </c>
      <c r="AZ151" s="17" t="str">
        <f>IFERROR(VLOOKUP(シフト組み!AZ181,役職一覧!$B:$D,3,FALSE),"")</f>
        <v/>
      </c>
      <c r="BA151" s="17" t="str">
        <f>IFERROR(VLOOKUP(シフト組み!BA181,役職一覧!$B:$D,3,FALSE),"")</f>
        <v/>
      </c>
    </row>
    <row r="152" spans="1:53">
      <c r="A152" s="2" t="str">
        <f>シフト組み!A182&amp;""</f>
        <v/>
      </c>
      <c r="B152" s="2" t="str">
        <f>シフト組み!B182&amp;""</f>
        <v/>
      </c>
      <c r="C152" s="2" t="str">
        <f>シフト組み!C182&amp;""</f>
        <v/>
      </c>
      <c r="D152" s="17" t="str">
        <f>IFERROR(VLOOKUP(シフト組み!D182,役職一覧!$B:$D,2,FALSE),"")</f>
        <v/>
      </c>
      <c r="E152" s="17" t="str">
        <f>IFERROR(VLOOKUP(シフト組み!E182,役職一覧!$B:$D,2,FALSE),"")</f>
        <v/>
      </c>
      <c r="F152" s="17" t="str">
        <f>IFERROR(VLOOKUP(シフト組み!F182,役職一覧!$B:$D,2,FALSE),"")</f>
        <v/>
      </c>
      <c r="G152" s="17" t="str">
        <f>IFERROR(VLOOKUP(シフト組み!G182,役職一覧!$B:$D,2,FALSE),"")</f>
        <v/>
      </c>
      <c r="H152" s="17" t="str">
        <f>IFERROR(VLOOKUP(シフト組み!H182,役職一覧!$B:$D,2,FALSE),"")</f>
        <v/>
      </c>
      <c r="I152" s="17" t="str">
        <f>IFERROR(VLOOKUP(シフト組み!I182,役職一覧!$B:$D,2,FALSE),"")</f>
        <v/>
      </c>
      <c r="J152" s="17" t="str">
        <f>IFERROR(VLOOKUP(シフト組み!J182,役職一覧!$B:$D,2,FALSE),"")</f>
        <v/>
      </c>
      <c r="K152" s="17" t="str">
        <f>IFERROR(VLOOKUP(シフト組み!K182,役職一覧!$B:$D,2,FALSE),"")</f>
        <v/>
      </c>
      <c r="L152" s="17" t="str">
        <f>IFERROR(VLOOKUP(シフト組み!L182,役職一覧!$B:$D,2,FALSE),"")</f>
        <v/>
      </c>
      <c r="M152" s="17" t="str">
        <f>IFERROR(VLOOKUP(シフト組み!M182,役職一覧!$B:$D,2,FALSE),"")</f>
        <v/>
      </c>
      <c r="N152" s="17" t="str">
        <f>IFERROR(VLOOKUP(シフト組み!N182,役職一覧!$B:$D,2,FALSE),"")</f>
        <v/>
      </c>
      <c r="O152" s="17" t="str">
        <f>IFERROR(VLOOKUP(シフト組み!O182,役職一覧!$B:$D,2,FALSE),"")</f>
        <v/>
      </c>
      <c r="P152" s="17" t="str">
        <f>IFERROR(VLOOKUP(シフト組み!P182,役職一覧!$B:$D,2,FALSE),"")</f>
        <v/>
      </c>
      <c r="Q152" s="17" t="str">
        <f>IFERROR(VLOOKUP(シフト組み!Q182,役職一覧!$B:$D,2,FALSE),"")</f>
        <v/>
      </c>
      <c r="R152" s="17" t="str">
        <f>IFERROR(VLOOKUP(シフト組み!R182,役職一覧!$B:$D,2,FALSE),"")</f>
        <v/>
      </c>
      <c r="S152" s="17" t="str">
        <f>IFERROR(VLOOKUP(シフト組み!S182,役職一覧!$B:$D,2,FALSE),"")</f>
        <v/>
      </c>
      <c r="T152" s="17" t="str">
        <f>IFERROR(VLOOKUP(シフト組み!T182,役職一覧!$B:$D,2,FALSE),"")</f>
        <v/>
      </c>
      <c r="U152" s="17" t="str">
        <f>IFERROR(VLOOKUP(シフト組み!U182,役職一覧!$B:$D,2,FALSE),"")</f>
        <v/>
      </c>
      <c r="V152" s="17" t="str">
        <f>IFERROR(VLOOKUP(シフト組み!V182,役職一覧!$B:$D,2,FALSE),"")</f>
        <v/>
      </c>
      <c r="W152" s="17" t="str">
        <f>IFERROR(VLOOKUP(シフト組み!W182,役職一覧!$B:$D,2,FALSE),"")</f>
        <v/>
      </c>
      <c r="X152" s="17" t="str">
        <f>IFERROR(VLOOKUP(シフト組み!X182,役職一覧!$B:$D,2,FALSE),"")</f>
        <v/>
      </c>
      <c r="Y152" s="17" t="str">
        <f>IFERROR(VLOOKUP(シフト組み!Y182,役職一覧!$B:$D,2,FALSE),"")</f>
        <v/>
      </c>
      <c r="Z152" s="17" t="str">
        <f>IFERROR(VLOOKUP(シフト組み!Z182,役職一覧!$B:$D,2,FALSE),"")</f>
        <v/>
      </c>
      <c r="AA152" s="17" t="str">
        <f>IFERROR(VLOOKUP(シフト組み!AA182,役職一覧!$B:$D,2,FALSE),"")</f>
        <v/>
      </c>
      <c r="AB152" s="17" t="str">
        <f>IFERROR(VLOOKUP(シフト組み!AB182,役職一覧!$B:$D,2,FALSE),"")</f>
        <v/>
      </c>
      <c r="AC152" s="17" t="str">
        <f>IFERROR(VLOOKUP(シフト組み!AC182,役職一覧!$B:$D,2,FALSE),"")</f>
        <v/>
      </c>
      <c r="AD152" s="17" t="str">
        <f>IFERROR(VLOOKUP(シフト組み!AD182,役職一覧!$B:$D,2,FALSE),"")</f>
        <v/>
      </c>
      <c r="AE152" s="17" t="str">
        <f>IFERROR(VLOOKUP(シフト組み!AE182,役職一覧!$B:$D,2,FALSE),"")</f>
        <v/>
      </c>
      <c r="AF152" s="17" t="str">
        <f>IFERROR(VLOOKUP(シフト組み!AF182,役職一覧!$B:$D,2,FALSE),"")</f>
        <v/>
      </c>
      <c r="AG152" s="17" t="str">
        <f>IFERROR(VLOOKUP(シフト組み!AG182,役職一覧!$B:$D,2,FALSE),"")</f>
        <v/>
      </c>
      <c r="AH152" s="17" t="str">
        <f>IFERROR(VLOOKUP(シフト組み!AH182,役職一覧!$B:$D,3,FALSE),"")</f>
        <v/>
      </c>
      <c r="AI152" s="17" t="str">
        <f>IFERROR(VLOOKUP(シフト組み!AI182,役職一覧!$B:$D,3,FALSE),"")</f>
        <v/>
      </c>
      <c r="AJ152" s="17" t="str">
        <f>IFERROR(VLOOKUP(シフト組み!AJ182,役職一覧!$B:$D,3,FALSE),"")</f>
        <v/>
      </c>
      <c r="AK152" s="17" t="str">
        <f>IFERROR(VLOOKUP(シフト組み!AK182,役職一覧!$B:$D,3,FALSE),"")</f>
        <v/>
      </c>
      <c r="AL152" s="17" t="str">
        <f>IFERROR(VLOOKUP(シフト組み!AL182,役職一覧!$B:$D,3,FALSE),"")</f>
        <v/>
      </c>
      <c r="AM152" s="17" t="str">
        <f>IFERROR(VLOOKUP(シフト組み!AM182,役職一覧!$B:$D,3,FALSE),"")</f>
        <v/>
      </c>
      <c r="AN152" s="17" t="str">
        <f>IFERROR(VLOOKUP(シフト組み!AN182,役職一覧!$B:$D,3,FALSE),"")</f>
        <v/>
      </c>
      <c r="AO152" s="17" t="str">
        <f>IFERROR(VLOOKUP(シフト組み!AO182,役職一覧!$B:$D,3,FALSE),"")</f>
        <v/>
      </c>
      <c r="AP152" s="17" t="str">
        <f>IFERROR(VLOOKUP(シフト組み!AP182,役職一覧!$B:$D,3,FALSE),"")</f>
        <v/>
      </c>
      <c r="AQ152" s="17" t="str">
        <f>IFERROR(VLOOKUP(シフト組み!AQ182,役職一覧!$B:$D,3,FALSE),"")</f>
        <v/>
      </c>
      <c r="AR152" s="17" t="str">
        <f>IFERROR(VLOOKUP(シフト組み!AR182,役職一覧!$B:$D,3,FALSE),"")</f>
        <v/>
      </c>
      <c r="AS152" s="17" t="str">
        <f>IFERROR(VLOOKUP(シフト組み!AS182,役職一覧!$B:$D,3,FALSE),"")</f>
        <v/>
      </c>
      <c r="AT152" s="17" t="str">
        <f>IFERROR(VLOOKUP(シフト組み!AT182,役職一覧!$B:$D,3,FALSE),"")</f>
        <v/>
      </c>
      <c r="AU152" s="17" t="str">
        <f>IFERROR(VLOOKUP(シフト組み!AU182,役職一覧!$B:$D,3,FALSE),"")</f>
        <v/>
      </c>
      <c r="AV152" s="17" t="str">
        <f>IFERROR(VLOOKUP(シフト組み!AV182,役職一覧!$B:$D,3,FALSE),"")</f>
        <v/>
      </c>
      <c r="AW152" s="17" t="str">
        <f>IFERROR(VLOOKUP(シフト組み!AW182,役職一覧!$B:$D,3,FALSE),"")</f>
        <v/>
      </c>
      <c r="AX152" s="17" t="str">
        <f>IFERROR(VLOOKUP(シフト組み!AX182,役職一覧!$B:$D,3,FALSE),"")</f>
        <v/>
      </c>
      <c r="AY152" s="17" t="str">
        <f>IFERROR(VLOOKUP(シフト組み!AY182,役職一覧!$B:$D,3,FALSE),"")</f>
        <v/>
      </c>
      <c r="AZ152" s="17" t="str">
        <f>IFERROR(VLOOKUP(シフト組み!AZ182,役職一覧!$B:$D,3,FALSE),"")</f>
        <v/>
      </c>
      <c r="BA152" s="17" t="str">
        <f>IFERROR(VLOOKUP(シフト組み!BA182,役職一覧!$B:$D,3,FALSE),"")</f>
        <v/>
      </c>
    </row>
    <row r="153" spans="1:53">
      <c r="A153" s="2" t="str">
        <f>シフト組み!A183&amp;""</f>
        <v/>
      </c>
      <c r="B153" s="2" t="str">
        <f>シフト組み!B183&amp;""</f>
        <v/>
      </c>
      <c r="C153" s="2" t="str">
        <f>シフト組み!C183&amp;""</f>
        <v/>
      </c>
      <c r="D153" s="17" t="str">
        <f>IFERROR(VLOOKUP(シフト組み!D183,役職一覧!$B:$D,2,FALSE),"")</f>
        <v/>
      </c>
      <c r="E153" s="17" t="str">
        <f>IFERROR(VLOOKUP(シフト組み!E183,役職一覧!$B:$D,2,FALSE),"")</f>
        <v/>
      </c>
      <c r="F153" s="17" t="str">
        <f>IFERROR(VLOOKUP(シフト組み!F183,役職一覧!$B:$D,2,FALSE),"")</f>
        <v/>
      </c>
      <c r="G153" s="17" t="str">
        <f>IFERROR(VLOOKUP(シフト組み!G183,役職一覧!$B:$D,2,FALSE),"")</f>
        <v/>
      </c>
      <c r="H153" s="17" t="str">
        <f>IFERROR(VLOOKUP(シフト組み!H183,役職一覧!$B:$D,2,FALSE),"")</f>
        <v/>
      </c>
      <c r="I153" s="17" t="str">
        <f>IFERROR(VLOOKUP(シフト組み!I183,役職一覧!$B:$D,2,FALSE),"")</f>
        <v/>
      </c>
      <c r="J153" s="17" t="str">
        <f>IFERROR(VLOOKUP(シフト組み!J183,役職一覧!$B:$D,2,FALSE),"")</f>
        <v/>
      </c>
      <c r="K153" s="17" t="str">
        <f>IFERROR(VLOOKUP(シフト組み!K183,役職一覧!$B:$D,2,FALSE),"")</f>
        <v/>
      </c>
      <c r="L153" s="17" t="str">
        <f>IFERROR(VLOOKUP(シフト組み!L183,役職一覧!$B:$D,2,FALSE),"")</f>
        <v/>
      </c>
      <c r="M153" s="17" t="str">
        <f>IFERROR(VLOOKUP(シフト組み!M183,役職一覧!$B:$D,2,FALSE),"")</f>
        <v/>
      </c>
      <c r="N153" s="17" t="str">
        <f>IFERROR(VLOOKUP(シフト組み!N183,役職一覧!$B:$D,2,FALSE),"")</f>
        <v/>
      </c>
      <c r="O153" s="17" t="str">
        <f>IFERROR(VLOOKUP(シフト組み!O183,役職一覧!$B:$D,2,FALSE),"")</f>
        <v/>
      </c>
      <c r="P153" s="17" t="str">
        <f>IFERROR(VLOOKUP(シフト組み!P183,役職一覧!$B:$D,2,FALSE),"")</f>
        <v/>
      </c>
      <c r="Q153" s="17" t="str">
        <f>IFERROR(VLOOKUP(シフト組み!Q183,役職一覧!$B:$D,2,FALSE),"")</f>
        <v/>
      </c>
      <c r="R153" s="17" t="str">
        <f>IFERROR(VLOOKUP(シフト組み!R183,役職一覧!$B:$D,2,FALSE),"")</f>
        <v/>
      </c>
      <c r="S153" s="17" t="str">
        <f>IFERROR(VLOOKUP(シフト組み!S183,役職一覧!$B:$D,2,FALSE),"")</f>
        <v/>
      </c>
      <c r="T153" s="17" t="str">
        <f>IFERROR(VLOOKUP(シフト組み!T183,役職一覧!$B:$D,2,FALSE),"")</f>
        <v/>
      </c>
      <c r="U153" s="17" t="str">
        <f>IFERROR(VLOOKUP(シフト組み!U183,役職一覧!$B:$D,2,FALSE),"")</f>
        <v/>
      </c>
      <c r="V153" s="17" t="str">
        <f>IFERROR(VLOOKUP(シフト組み!V183,役職一覧!$B:$D,2,FALSE),"")</f>
        <v/>
      </c>
      <c r="W153" s="17" t="str">
        <f>IFERROR(VLOOKUP(シフト組み!W183,役職一覧!$B:$D,2,FALSE),"")</f>
        <v/>
      </c>
      <c r="X153" s="17" t="str">
        <f>IFERROR(VLOOKUP(シフト組み!X183,役職一覧!$B:$D,2,FALSE),"")</f>
        <v/>
      </c>
      <c r="Y153" s="17" t="str">
        <f>IFERROR(VLOOKUP(シフト組み!Y183,役職一覧!$B:$D,2,FALSE),"")</f>
        <v/>
      </c>
      <c r="Z153" s="17" t="str">
        <f>IFERROR(VLOOKUP(シフト組み!Z183,役職一覧!$B:$D,2,FALSE),"")</f>
        <v/>
      </c>
      <c r="AA153" s="17" t="str">
        <f>IFERROR(VLOOKUP(シフト組み!AA183,役職一覧!$B:$D,2,FALSE),"")</f>
        <v/>
      </c>
      <c r="AB153" s="17" t="str">
        <f>IFERROR(VLOOKUP(シフト組み!AB183,役職一覧!$B:$D,2,FALSE),"")</f>
        <v/>
      </c>
      <c r="AC153" s="17" t="str">
        <f>IFERROR(VLOOKUP(シフト組み!AC183,役職一覧!$B:$D,2,FALSE),"")</f>
        <v/>
      </c>
      <c r="AD153" s="17" t="str">
        <f>IFERROR(VLOOKUP(シフト組み!AD183,役職一覧!$B:$D,2,FALSE),"")</f>
        <v/>
      </c>
      <c r="AE153" s="17" t="str">
        <f>IFERROR(VLOOKUP(シフト組み!AE183,役職一覧!$B:$D,2,FALSE),"")</f>
        <v/>
      </c>
      <c r="AF153" s="17" t="str">
        <f>IFERROR(VLOOKUP(シフト組み!AF183,役職一覧!$B:$D,2,FALSE),"")</f>
        <v/>
      </c>
      <c r="AG153" s="17" t="str">
        <f>IFERROR(VLOOKUP(シフト組み!AG183,役職一覧!$B:$D,2,FALSE),"")</f>
        <v/>
      </c>
      <c r="AH153" s="17" t="str">
        <f>IFERROR(VLOOKUP(シフト組み!AH183,役職一覧!$B:$D,3,FALSE),"")</f>
        <v/>
      </c>
      <c r="AI153" s="17" t="str">
        <f>IFERROR(VLOOKUP(シフト組み!AI183,役職一覧!$B:$D,3,FALSE),"")</f>
        <v/>
      </c>
      <c r="AJ153" s="17" t="str">
        <f>IFERROR(VLOOKUP(シフト組み!AJ183,役職一覧!$B:$D,3,FALSE),"")</f>
        <v/>
      </c>
      <c r="AK153" s="17" t="str">
        <f>IFERROR(VLOOKUP(シフト組み!AK183,役職一覧!$B:$D,3,FALSE),"")</f>
        <v/>
      </c>
      <c r="AL153" s="17" t="str">
        <f>IFERROR(VLOOKUP(シフト組み!AL183,役職一覧!$B:$D,3,FALSE),"")</f>
        <v/>
      </c>
      <c r="AM153" s="17" t="str">
        <f>IFERROR(VLOOKUP(シフト組み!AM183,役職一覧!$B:$D,3,FALSE),"")</f>
        <v/>
      </c>
      <c r="AN153" s="17" t="str">
        <f>IFERROR(VLOOKUP(シフト組み!AN183,役職一覧!$B:$D,3,FALSE),"")</f>
        <v/>
      </c>
      <c r="AO153" s="17" t="str">
        <f>IFERROR(VLOOKUP(シフト組み!AO183,役職一覧!$B:$D,3,FALSE),"")</f>
        <v/>
      </c>
      <c r="AP153" s="17" t="str">
        <f>IFERROR(VLOOKUP(シフト組み!AP183,役職一覧!$B:$D,3,FALSE),"")</f>
        <v/>
      </c>
      <c r="AQ153" s="17" t="str">
        <f>IFERROR(VLOOKUP(シフト組み!AQ183,役職一覧!$B:$D,3,FALSE),"")</f>
        <v/>
      </c>
      <c r="AR153" s="17" t="str">
        <f>IFERROR(VLOOKUP(シフト組み!AR183,役職一覧!$B:$D,3,FALSE),"")</f>
        <v/>
      </c>
      <c r="AS153" s="17" t="str">
        <f>IFERROR(VLOOKUP(シフト組み!AS183,役職一覧!$B:$D,3,FALSE),"")</f>
        <v/>
      </c>
      <c r="AT153" s="17" t="str">
        <f>IFERROR(VLOOKUP(シフト組み!AT183,役職一覧!$B:$D,3,FALSE),"")</f>
        <v/>
      </c>
      <c r="AU153" s="17" t="str">
        <f>IFERROR(VLOOKUP(シフト組み!AU183,役職一覧!$B:$D,3,FALSE),"")</f>
        <v/>
      </c>
      <c r="AV153" s="17" t="str">
        <f>IFERROR(VLOOKUP(シフト組み!AV183,役職一覧!$B:$D,3,FALSE),"")</f>
        <v/>
      </c>
      <c r="AW153" s="17" t="str">
        <f>IFERROR(VLOOKUP(シフト組み!AW183,役職一覧!$B:$D,3,FALSE),"")</f>
        <v/>
      </c>
      <c r="AX153" s="17" t="str">
        <f>IFERROR(VLOOKUP(シフト組み!AX183,役職一覧!$B:$D,3,FALSE),"")</f>
        <v/>
      </c>
      <c r="AY153" s="17" t="str">
        <f>IFERROR(VLOOKUP(シフト組み!AY183,役職一覧!$B:$D,3,FALSE),"")</f>
        <v/>
      </c>
      <c r="AZ153" s="17" t="str">
        <f>IFERROR(VLOOKUP(シフト組み!AZ183,役職一覧!$B:$D,3,FALSE),"")</f>
        <v/>
      </c>
      <c r="BA153" s="17" t="str">
        <f>IFERROR(VLOOKUP(シフト組み!BA183,役職一覧!$B:$D,3,FALSE),"")</f>
        <v/>
      </c>
    </row>
    <row r="154" spans="1:53">
      <c r="A154" s="2" t="str">
        <f>シフト組み!A184&amp;""</f>
        <v/>
      </c>
      <c r="B154" s="2" t="str">
        <f>シフト組み!B184&amp;""</f>
        <v/>
      </c>
      <c r="C154" s="2" t="str">
        <f>シフト組み!C184&amp;""</f>
        <v/>
      </c>
      <c r="D154" s="17" t="str">
        <f>IFERROR(VLOOKUP(シフト組み!D184,役職一覧!$B:$D,2,FALSE),"")</f>
        <v/>
      </c>
      <c r="E154" s="17" t="str">
        <f>IFERROR(VLOOKUP(シフト組み!E184,役職一覧!$B:$D,2,FALSE),"")</f>
        <v/>
      </c>
      <c r="F154" s="17" t="str">
        <f>IFERROR(VLOOKUP(シフト組み!F184,役職一覧!$B:$D,2,FALSE),"")</f>
        <v/>
      </c>
      <c r="G154" s="17" t="str">
        <f>IFERROR(VLOOKUP(シフト組み!G184,役職一覧!$B:$D,2,FALSE),"")</f>
        <v/>
      </c>
      <c r="H154" s="17" t="str">
        <f>IFERROR(VLOOKUP(シフト組み!H184,役職一覧!$B:$D,2,FALSE),"")</f>
        <v/>
      </c>
      <c r="I154" s="17" t="str">
        <f>IFERROR(VLOOKUP(シフト組み!I184,役職一覧!$B:$D,2,FALSE),"")</f>
        <v/>
      </c>
      <c r="J154" s="17" t="str">
        <f>IFERROR(VLOOKUP(シフト組み!J184,役職一覧!$B:$D,2,FALSE),"")</f>
        <v/>
      </c>
      <c r="K154" s="17" t="str">
        <f>IFERROR(VLOOKUP(シフト組み!K184,役職一覧!$B:$D,2,FALSE),"")</f>
        <v/>
      </c>
      <c r="L154" s="17" t="str">
        <f>IFERROR(VLOOKUP(シフト組み!L184,役職一覧!$B:$D,2,FALSE),"")</f>
        <v/>
      </c>
      <c r="M154" s="17" t="str">
        <f>IFERROR(VLOOKUP(シフト組み!M184,役職一覧!$B:$D,2,FALSE),"")</f>
        <v/>
      </c>
      <c r="N154" s="17" t="str">
        <f>IFERROR(VLOOKUP(シフト組み!N184,役職一覧!$B:$D,2,FALSE),"")</f>
        <v/>
      </c>
      <c r="O154" s="17" t="str">
        <f>IFERROR(VLOOKUP(シフト組み!O184,役職一覧!$B:$D,2,FALSE),"")</f>
        <v/>
      </c>
      <c r="P154" s="17" t="str">
        <f>IFERROR(VLOOKUP(シフト組み!P184,役職一覧!$B:$D,2,FALSE),"")</f>
        <v/>
      </c>
      <c r="Q154" s="17" t="str">
        <f>IFERROR(VLOOKUP(シフト組み!Q184,役職一覧!$B:$D,2,FALSE),"")</f>
        <v/>
      </c>
      <c r="R154" s="17" t="str">
        <f>IFERROR(VLOOKUP(シフト組み!R184,役職一覧!$B:$D,2,FALSE),"")</f>
        <v/>
      </c>
      <c r="S154" s="17" t="str">
        <f>IFERROR(VLOOKUP(シフト組み!S184,役職一覧!$B:$D,2,FALSE),"")</f>
        <v/>
      </c>
      <c r="T154" s="17" t="str">
        <f>IFERROR(VLOOKUP(シフト組み!T184,役職一覧!$B:$D,2,FALSE),"")</f>
        <v/>
      </c>
      <c r="U154" s="17" t="str">
        <f>IFERROR(VLOOKUP(シフト組み!U184,役職一覧!$B:$D,2,FALSE),"")</f>
        <v/>
      </c>
      <c r="V154" s="17" t="str">
        <f>IFERROR(VLOOKUP(シフト組み!V184,役職一覧!$B:$D,2,FALSE),"")</f>
        <v/>
      </c>
      <c r="W154" s="17" t="str">
        <f>IFERROR(VLOOKUP(シフト組み!W184,役職一覧!$B:$D,2,FALSE),"")</f>
        <v/>
      </c>
      <c r="X154" s="17" t="str">
        <f>IFERROR(VLOOKUP(シフト組み!X184,役職一覧!$B:$D,2,FALSE),"")</f>
        <v/>
      </c>
      <c r="Y154" s="17" t="str">
        <f>IFERROR(VLOOKUP(シフト組み!Y184,役職一覧!$B:$D,2,FALSE),"")</f>
        <v/>
      </c>
      <c r="Z154" s="17" t="str">
        <f>IFERROR(VLOOKUP(シフト組み!Z184,役職一覧!$B:$D,2,FALSE),"")</f>
        <v/>
      </c>
      <c r="AA154" s="17" t="str">
        <f>IFERROR(VLOOKUP(シフト組み!AA184,役職一覧!$B:$D,2,FALSE),"")</f>
        <v/>
      </c>
      <c r="AB154" s="17" t="str">
        <f>IFERROR(VLOOKUP(シフト組み!AB184,役職一覧!$B:$D,2,FALSE),"")</f>
        <v/>
      </c>
      <c r="AC154" s="17" t="str">
        <f>IFERROR(VLOOKUP(シフト組み!AC184,役職一覧!$B:$D,2,FALSE),"")</f>
        <v/>
      </c>
      <c r="AD154" s="17" t="str">
        <f>IFERROR(VLOOKUP(シフト組み!AD184,役職一覧!$B:$D,2,FALSE),"")</f>
        <v/>
      </c>
      <c r="AE154" s="17" t="str">
        <f>IFERROR(VLOOKUP(シフト組み!AE184,役職一覧!$B:$D,2,FALSE),"")</f>
        <v/>
      </c>
      <c r="AF154" s="17" t="str">
        <f>IFERROR(VLOOKUP(シフト組み!AF184,役職一覧!$B:$D,2,FALSE),"")</f>
        <v/>
      </c>
      <c r="AG154" s="17" t="str">
        <f>IFERROR(VLOOKUP(シフト組み!AG184,役職一覧!$B:$D,2,FALSE),"")</f>
        <v/>
      </c>
      <c r="AH154" s="17" t="str">
        <f>IFERROR(VLOOKUP(シフト組み!AH184,役職一覧!$B:$D,3,FALSE),"")</f>
        <v/>
      </c>
      <c r="AI154" s="17" t="str">
        <f>IFERROR(VLOOKUP(シフト組み!AI184,役職一覧!$B:$D,3,FALSE),"")</f>
        <v/>
      </c>
      <c r="AJ154" s="17" t="str">
        <f>IFERROR(VLOOKUP(シフト組み!AJ184,役職一覧!$B:$D,3,FALSE),"")</f>
        <v/>
      </c>
      <c r="AK154" s="17" t="str">
        <f>IFERROR(VLOOKUP(シフト組み!AK184,役職一覧!$B:$D,3,FALSE),"")</f>
        <v/>
      </c>
      <c r="AL154" s="17" t="str">
        <f>IFERROR(VLOOKUP(シフト組み!AL184,役職一覧!$B:$D,3,FALSE),"")</f>
        <v/>
      </c>
      <c r="AM154" s="17" t="str">
        <f>IFERROR(VLOOKUP(シフト組み!AM184,役職一覧!$B:$D,3,FALSE),"")</f>
        <v/>
      </c>
      <c r="AN154" s="17" t="str">
        <f>IFERROR(VLOOKUP(シフト組み!AN184,役職一覧!$B:$D,3,FALSE),"")</f>
        <v/>
      </c>
      <c r="AO154" s="17" t="str">
        <f>IFERROR(VLOOKUP(シフト組み!AO184,役職一覧!$B:$D,3,FALSE),"")</f>
        <v/>
      </c>
      <c r="AP154" s="17" t="str">
        <f>IFERROR(VLOOKUP(シフト組み!AP184,役職一覧!$B:$D,3,FALSE),"")</f>
        <v/>
      </c>
      <c r="AQ154" s="17" t="str">
        <f>IFERROR(VLOOKUP(シフト組み!AQ184,役職一覧!$B:$D,3,FALSE),"")</f>
        <v/>
      </c>
      <c r="AR154" s="17" t="str">
        <f>IFERROR(VLOOKUP(シフト組み!AR184,役職一覧!$B:$D,3,FALSE),"")</f>
        <v/>
      </c>
      <c r="AS154" s="17" t="str">
        <f>IFERROR(VLOOKUP(シフト組み!AS184,役職一覧!$B:$D,3,FALSE),"")</f>
        <v/>
      </c>
      <c r="AT154" s="17" t="str">
        <f>IFERROR(VLOOKUP(シフト組み!AT184,役職一覧!$B:$D,3,FALSE),"")</f>
        <v/>
      </c>
      <c r="AU154" s="17" t="str">
        <f>IFERROR(VLOOKUP(シフト組み!AU184,役職一覧!$B:$D,3,FALSE),"")</f>
        <v/>
      </c>
      <c r="AV154" s="17" t="str">
        <f>IFERROR(VLOOKUP(シフト組み!AV184,役職一覧!$B:$D,3,FALSE),"")</f>
        <v/>
      </c>
      <c r="AW154" s="17" t="str">
        <f>IFERROR(VLOOKUP(シフト組み!AW184,役職一覧!$B:$D,3,FALSE),"")</f>
        <v/>
      </c>
      <c r="AX154" s="17" t="str">
        <f>IFERROR(VLOOKUP(シフト組み!AX184,役職一覧!$B:$D,3,FALSE),"")</f>
        <v/>
      </c>
      <c r="AY154" s="17" t="str">
        <f>IFERROR(VLOOKUP(シフト組み!AY184,役職一覧!$B:$D,3,FALSE),"")</f>
        <v/>
      </c>
      <c r="AZ154" s="17" t="str">
        <f>IFERROR(VLOOKUP(シフト組み!AZ184,役職一覧!$B:$D,3,FALSE),"")</f>
        <v/>
      </c>
      <c r="BA154" s="17" t="str">
        <f>IFERROR(VLOOKUP(シフト組み!BA184,役職一覧!$B:$D,3,FALSE),"")</f>
        <v/>
      </c>
    </row>
    <row r="155" spans="1:53">
      <c r="A155" s="2" t="str">
        <f>シフト組み!A185&amp;""</f>
        <v/>
      </c>
      <c r="B155" s="2" t="str">
        <f>シフト組み!B185&amp;""</f>
        <v/>
      </c>
      <c r="C155" s="2" t="str">
        <f>シフト組み!C185&amp;""</f>
        <v/>
      </c>
      <c r="D155" s="17" t="str">
        <f>IFERROR(VLOOKUP(シフト組み!D185,役職一覧!$B:$D,2,FALSE),"")</f>
        <v/>
      </c>
      <c r="E155" s="17" t="str">
        <f>IFERROR(VLOOKUP(シフト組み!E185,役職一覧!$B:$D,2,FALSE),"")</f>
        <v/>
      </c>
      <c r="F155" s="17" t="str">
        <f>IFERROR(VLOOKUP(シフト組み!F185,役職一覧!$B:$D,2,FALSE),"")</f>
        <v/>
      </c>
      <c r="G155" s="17" t="str">
        <f>IFERROR(VLOOKUP(シフト組み!G185,役職一覧!$B:$D,2,FALSE),"")</f>
        <v/>
      </c>
      <c r="H155" s="17" t="str">
        <f>IFERROR(VLOOKUP(シフト組み!H185,役職一覧!$B:$D,2,FALSE),"")</f>
        <v/>
      </c>
      <c r="I155" s="17" t="str">
        <f>IFERROR(VLOOKUP(シフト組み!I185,役職一覧!$B:$D,2,FALSE),"")</f>
        <v/>
      </c>
      <c r="J155" s="17" t="str">
        <f>IFERROR(VLOOKUP(シフト組み!J185,役職一覧!$B:$D,2,FALSE),"")</f>
        <v/>
      </c>
      <c r="K155" s="17" t="str">
        <f>IFERROR(VLOOKUP(シフト組み!K185,役職一覧!$B:$D,2,FALSE),"")</f>
        <v/>
      </c>
      <c r="L155" s="17" t="str">
        <f>IFERROR(VLOOKUP(シフト組み!L185,役職一覧!$B:$D,2,FALSE),"")</f>
        <v/>
      </c>
      <c r="M155" s="17" t="str">
        <f>IFERROR(VLOOKUP(シフト組み!M185,役職一覧!$B:$D,2,FALSE),"")</f>
        <v/>
      </c>
      <c r="N155" s="17" t="str">
        <f>IFERROR(VLOOKUP(シフト組み!N185,役職一覧!$B:$D,2,FALSE),"")</f>
        <v/>
      </c>
      <c r="O155" s="17" t="str">
        <f>IFERROR(VLOOKUP(シフト組み!O185,役職一覧!$B:$D,2,FALSE),"")</f>
        <v/>
      </c>
      <c r="P155" s="17" t="str">
        <f>IFERROR(VLOOKUP(シフト組み!P185,役職一覧!$B:$D,2,FALSE),"")</f>
        <v/>
      </c>
      <c r="Q155" s="17" t="str">
        <f>IFERROR(VLOOKUP(シフト組み!Q185,役職一覧!$B:$D,2,FALSE),"")</f>
        <v/>
      </c>
      <c r="R155" s="17" t="str">
        <f>IFERROR(VLOOKUP(シフト組み!R185,役職一覧!$B:$D,2,FALSE),"")</f>
        <v/>
      </c>
      <c r="S155" s="17" t="str">
        <f>IFERROR(VLOOKUP(シフト組み!S185,役職一覧!$B:$D,2,FALSE),"")</f>
        <v/>
      </c>
      <c r="T155" s="17" t="str">
        <f>IFERROR(VLOOKUP(シフト組み!T185,役職一覧!$B:$D,2,FALSE),"")</f>
        <v/>
      </c>
      <c r="U155" s="17" t="str">
        <f>IFERROR(VLOOKUP(シフト組み!U185,役職一覧!$B:$D,2,FALSE),"")</f>
        <v/>
      </c>
      <c r="V155" s="17" t="str">
        <f>IFERROR(VLOOKUP(シフト組み!V185,役職一覧!$B:$D,2,FALSE),"")</f>
        <v/>
      </c>
      <c r="W155" s="17" t="str">
        <f>IFERROR(VLOOKUP(シフト組み!W185,役職一覧!$B:$D,2,FALSE),"")</f>
        <v/>
      </c>
      <c r="X155" s="17" t="str">
        <f>IFERROR(VLOOKUP(シフト組み!X185,役職一覧!$B:$D,2,FALSE),"")</f>
        <v/>
      </c>
      <c r="Y155" s="17" t="str">
        <f>IFERROR(VLOOKUP(シフト組み!Y185,役職一覧!$B:$D,2,FALSE),"")</f>
        <v/>
      </c>
      <c r="Z155" s="17" t="str">
        <f>IFERROR(VLOOKUP(シフト組み!Z185,役職一覧!$B:$D,2,FALSE),"")</f>
        <v/>
      </c>
      <c r="AA155" s="17" t="str">
        <f>IFERROR(VLOOKUP(シフト組み!AA185,役職一覧!$B:$D,2,FALSE),"")</f>
        <v/>
      </c>
      <c r="AB155" s="17" t="str">
        <f>IFERROR(VLOOKUP(シフト組み!AB185,役職一覧!$B:$D,2,FALSE),"")</f>
        <v/>
      </c>
      <c r="AC155" s="17" t="str">
        <f>IFERROR(VLOOKUP(シフト組み!AC185,役職一覧!$B:$D,2,FALSE),"")</f>
        <v/>
      </c>
      <c r="AD155" s="17" t="str">
        <f>IFERROR(VLOOKUP(シフト組み!AD185,役職一覧!$B:$D,2,FALSE),"")</f>
        <v/>
      </c>
      <c r="AE155" s="17" t="str">
        <f>IFERROR(VLOOKUP(シフト組み!AE185,役職一覧!$B:$D,2,FALSE),"")</f>
        <v/>
      </c>
      <c r="AF155" s="17" t="str">
        <f>IFERROR(VLOOKUP(シフト組み!AF185,役職一覧!$B:$D,2,FALSE),"")</f>
        <v/>
      </c>
      <c r="AG155" s="17" t="str">
        <f>IFERROR(VLOOKUP(シフト組み!AG185,役職一覧!$B:$D,2,FALSE),"")</f>
        <v/>
      </c>
      <c r="AH155" s="17" t="str">
        <f>IFERROR(VLOOKUP(シフト組み!AH185,役職一覧!$B:$D,3,FALSE),"")</f>
        <v/>
      </c>
      <c r="AI155" s="17" t="str">
        <f>IFERROR(VLOOKUP(シフト組み!AI185,役職一覧!$B:$D,3,FALSE),"")</f>
        <v/>
      </c>
      <c r="AJ155" s="17" t="str">
        <f>IFERROR(VLOOKUP(シフト組み!AJ185,役職一覧!$B:$D,3,FALSE),"")</f>
        <v/>
      </c>
      <c r="AK155" s="17" t="str">
        <f>IFERROR(VLOOKUP(シフト組み!AK185,役職一覧!$B:$D,3,FALSE),"")</f>
        <v/>
      </c>
      <c r="AL155" s="17" t="str">
        <f>IFERROR(VLOOKUP(シフト組み!AL185,役職一覧!$B:$D,3,FALSE),"")</f>
        <v/>
      </c>
      <c r="AM155" s="17" t="str">
        <f>IFERROR(VLOOKUP(シフト組み!AM185,役職一覧!$B:$D,3,FALSE),"")</f>
        <v/>
      </c>
      <c r="AN155" s="17" t="str">
        <f>IFERROR(VLOOKUP(シフト組み!AN185,役職一覧!$B:$D,3,FALSE),"")</f>
        <v/>
      </c>
      <c r="AO155" s="17" t="str">
        <f>IFERROR(VLOOKUP(シフト組み!AO185,役職一覧!$B:$D,3,FALSE),"")</f>
        <v/>
      </c>
      <c r="AP155" s="17" t="str">
        <f>IFERROR(VLOOKUP(シフト組み!AP185,役職一覧!$B:$D,3,FALSE),"")</f>
        <v/>
      </c>
      <c r="AQ155" s="17" t="str">
        <f>IFERROR(VLOOKUP(シフト組み!AQ185,役職一覧!$B:$D,3,FALSE),"")</f>
        <v/>
      </c>
      <c r="AR155" s="17" t="str">
        <f>IFERROR(VLOOKUP(シフト組み!AR185,役職一覧!$B:$D,3,FALSE),"")</f>
        <v/>
      </c>
      <c r="AS155" s="17" t="str">
        <f>IFERROR(VLOOKUP(シフト組み!AS185,役職一覧!$B:$D,3,FALSE),"")</f>
        <v/>
      </c>
      <c r="AT155" s="17" t="str">
        <f>IFERROR(VLOOKUP(シフト組み!AT185,役職一覧!$B:$D,3,FALSE),"")</f>
        <v/>
      </c>
      <c r="AU155" s="17" t="str">
        <f>IFERROR(VLOOKUP(シフト組み!AU185,役職一覧!$B:$D,3,FALSE),"")</f>
        <v/>
      </c>
      <c r="AV155" s="17" t="str">
        <f>IFERROR(VLOOKUP(シフト組み!AV185,役職一覧!$B:$D,3,FALSE),"")</f>
        <v/>
      </c>
      <c r="AW155" s="17" t="str">
        <f>IFERROR(VLOOKUP(シフト組み!AW185,役職一覧!$B:$D,3,FALSE),"")</f>
        <v/>
      </c>
      <c r="AX155" s="17" t="str">
        <f>IFERROR(VLOOKUP(シフト組み!AX185,役職一覧!$B:$D,3,FALSE),"")</f>
        <v/>
      </c>
      <c r="AY155" s="17" t="str">
        <f>IFERROR(VLOOKUP(シフト組み!AY185,役職一覧!$B:$D,3,FALSE),"")</f>
        <v/>
      </c>
      <c r="AZ155" s="17" t="str">
        <f>IFERROR(VLOOKUP(シフト組み!AZ185,役職一覧!$B:$D,3,FALSE),"")</f>
        <v/>
      </c>
      <c r="BA155" s="17" t="str">
        <f>IFERROR(VLOOKUP(シフト組み!BA185,役職一覧!$B:$D,3,FALSE),"")</f>
        <v/>
      </c>
    </row>
    <row r="156" spans="1:53">
      <c r="A156" s="2" t="str">
        <f>シフト組み!A186&amp;""</f>
        <v/>
      </c>
      <c r="B156" s="2" t="str">
        <f>シフト組み!B186&amp;""</f>
        <v/>
      </c>
      <c r="C156" s="2" t="str">
        <f>シフト組み!C186&amp;""</f>
        <v/>
      </c>
      <c r="D156" s="17" t="str">
        <f>IFERROR(VLOOKUP(シフト組み!D186,役職一覧!$B:$D,2,FALSE),"")</f>
        <v/>
      </c>
      <c r="E156" s="17" t="str">
        <f>IFERROR(VLOOKUP(シフト組み!E186,役職一覧!$B:$D,2,FALSE),"")</f>
        <v/>
      </c>
      <c r="F156" s="17" t="str">
        <f>IFERROR(VLOOKUP(シフト組み!F186,役職一覧!$B:$D,2,FALSE),"")</f>
        <v/>
      </c>
      <c r="G156" s="17" t="str">
        <f>IFERROR(VLOOKUP(シフト組み!G186,役職一覧!$B:$D,2,FALSE),"")</f>
        <v/>
      </c>
      <c r="H156" s="17" t="str">
        <f>IFERROR(VLOOKUP(シフト組み!H186,役職一覧!$B:$D,2,FALSE),"")</f>
        <v/>
      </c>
      <c r="I156" s="17" t="str">
        <f>IFERROR(VLOOKUP(シフト組み!I186,役職一覧!$B:$D,2,FALSE),"")</f>
        <v/>
      </c>
      <c r="J156" s="17" t="str">
        <f>IFERROR(VLOOKUP(シフト組み!J186,役職一覧!$B:$D,2,FALSE),"")</f>
        <v/>
      </c>
      <c r="K156" s="17" t="str">
        <f>IFERROR(VLOOKUP(シフト組み!K186,役職一覧!$B:$D,2,FALSE),"")</f>
        <v/>
      </c>
      <c r="L156" s="17" t="str">
        <f>IFERROR(VLOOKUP(シフト組み!L186,役職一覧!$B:$D,2,FALSE),"")</f>
        <v/>
      </c>
      <c r="M156" s="17" t="str">
        <f>IFERROR(VLOOKUP(シフト組み!M186,役職一覧!$B:$D,2,FALSE),"")</f>
        <v/>
      </c>
      <c r="N156" s="17" t="str">
        <f>IFERROR(VLOOKUP(シフト組み!N186,役職一覧!$B:$D,2,FALSE),"")</f>
        <v/>
      </c>
      <c r="O156" s="17" t="str">
        <f>IFERROR(VLOOKUP(シフト組み!O186,役職一覧!$B:$D,2,FALSE),"")</f>
        <v/>
      </c>
      <c r="P156" s="17" t="str">
        <f>IFERROR(VLOOKUP(シフト組み!P186,役職一覧!$B:$D,2,FALSE),"")</f>
        <v/>
      </c>
      <c r="Q156" s="17" t="str">
        <f>IFERROR(VLOOKUP(シフト組み!Q186,役職一覧!$B:$D,2,FALSE),"")</f>
        <v/>
      </c>
      <c r="R156" s="17" t="str">
        <f>IFERROR(VLOOKUP(シフト組み!R186,役職一覧!$B:$D,2,FALSE),"")</f>
        <v/>
      </c>
      <c r="S156" s="17" t="str">
        <f>IFERROR(VLOOKUP(シフト組み!S186,役職一覧!$B:$D,2,FALSE),"")</f>
        <v/>
      </c>
      <c r="T156" s="17" t="str">
        <f>IFERROR(VLOOKUP(シフト組み!T186,役職一覧!$B:$D,2,FALSE),"")</f>
        <v/>
      </c>
      <c r="U156" s="17" t="str">
        <f>IFERROR(VLOOKUP(シフト組み!U186,役職一覧!$B:$D,2,FALSE),"")</f>
        <v/>
      </c>
      <c r="V156" s="17" t="str">
        <f>IFERROR(VLOOKUP(シフト組み!V186,役職一覧!$B:$D,2,FALSE),"")</f>
        <v/>
      </c>
      <c r="W156" s="17" t="str">
        <f>IFERROR(VLOOKUP(シフト組み!W186,役職一覧!$B:$D,2,FALSE),"")</f>
        <v/>
      </c>
      <c r="X156" s="17" t="str">
        <f>IFERROR(VLOOKUP(シフト組み!X186,役職一覧!$B:$D,2,FALSE),"")</f>
        <v/>
      </c>
      <c r="Y156" s="17" t="str">
        <f>IFERROR(VLOOKUP(シフト組み!Y186,役職一覧!$B:$D,2,FALSE),"")</f>
        <v/>
      </c>
      <c r="Z156" s="17" t="str">
        <f>IFERROR(VLOOKUP(シフト組み!Z186,役職一覧!$B:$D,2,FALSE),"")</f>
        <v/>
      </c>
      <c r="AA156" s="17" t="str">
        <f>IFERROR(VLOOKUP(シフト組み!AA186,役職一覧!$B:$D,2,FALSE),"")</f>
        <v/>
      </c>
      <c r="AB156" s="17" t="str">
        <f>IFERROR(VLOOKUP(シフト組み!AB186,役職一覧!$B:$D,2,FALSE),"")</f>
        <v/>
      </c>
      <c r="AC156" s="17" t="str">
        <f>IFERROR(VLOOKUP(シフト組み!AC186,役職一覧!$B:$D,2,FALSE),"")</f>
        <v/>
      </c>
      <c r="AD156" s="17" t="str">
        <f>IFERROR(VLOOKUP(シフト組み!AD186,役職一覧!$B:$D,2,FALSE),"")</f>
        <v/>
      </c>
      <c r="AE156" s="17" t="str">
        <f>IFERROR(VLOOKUP(シフト組み!AE186,役職一覧!$B:$D,2,FALSE),"")</f>
        <v/>
      </c>
      <c r="AF156" s="17" t="str">
        <f>IFERROR(VLOOKUP(シフト組み!AF186,役職一覧!$B:$D,2,FALSE),"")</f>
        <v/>
      </c>
      <c r="AG156" s="17" t="str">
        <f>IFERROR(VLOOKUP(シフト組み!AG186,役職一覧!$B:$D,2,FALSE),"")</f>
        <v/>
      </c>
      <c r="AH156" s="17" t="str">
        <f>IFERROR(VLOOKUP(シフト組み!AH186,役職一覧!$B:$D,3,FALSE),"")</f>
        <v/>
      </c>
      <c r="AI156" s="17" t="str">
        <f>IFERROR(VLOOKUP(シフト組み!AI186,役職一覧!$B:$D,3,FALSE),"")</f>
        <v/>
      </c>
      <c r="AJ156" s="17" t="str">
        <f>IFERROR(VLOOKUP(シフト組み!AJ186,役職一覧!$B:$D,3,FALSE),"")</f>
        <v/>
      </c>
      <c r="AK156" s="17" t="str">
        <f>IFERROR(VLOOKUP(シフト組み!AK186,役職一覧!$B:$D,3,FALSE),"")</f>
        <v/>
      </c>
      <c r="AL156" s="17" t="str">
        <f>IFERROR(VLOOKUP(シフト組み!AL186,役職一覧!$B:$D,3,FALSE),"")</f>
        <v/>
      </c>
      <c r="AM156" s="17" t="str">
        <f>IFERROR(VLOOKUP(シフト組み!AM186,役職一覧!$B:$D,3,FALSE),"")</f>
        <v/>
      </c>
      <c r="AN156" s="17" t="str">
        <f>IFERROR(VLOOKUP(シフト組み!AN186,役職一覧!$B:$D,3,FALSE),"")</f>
        <v/>
      </c>
      <c r="AO156" s="17" t="str">
        <f>IFERROR(VLOOKUP(シフト組み!AO186,役職一覧!$B:$D,3,FALSE),"")</f>
        <v/>
      </c>
      <c r="AP156" s="17" t="str">
        <f>IFERROR(VLOOKUP(シフト組み!AP186,役職一覧!$B:$D,3,FALSE),"")</f>
        <v/>
      </c>
      <c r="AQ156" s="17" t="str">
        <f>IFERROR(VLOOKUP(シフト組み!AQ186,役職一覧!$B:$D,3,FALSE),"")</f>
        <v/>
      </c>
      <c r="AR156" s="17" t="str">
        <f>IFERROR(VLOOKUP(シフト組み!AR186,役職一覧!$B:$D,3,FALSE),"")</f>
        <v/>
      </c>
      <c r="AS156" s="17" t="str">
        <f>IFERROR(VLOOKUP(シフト組み!AS186,役職一覧!$B:$D,3,FALSE),"")</f>
        <v/>
      </c>
      <c r="AT156" s="17" t="str">
        <f>IFERROR(VLOOKUP(シフト組み!AT186,役職一覧!$B:$D,3,FALSE),"")</f>
        <v/>
      </c>
      <c r="AU156" s="17" t="str">
        <f>IFERROR(VLOOKUP(シフト組み!AU186,役職一覧!$B:$D,3,FALSE),"")</f>
        <v/>
      </c>
      <c r="AV156" s="17" t="str">
        <f>IFERROR(VLOOKUP(シフト組み!AV186,役職一覧!$B:$D,3,FALSE),"")</f>
        <v/>
      </c>
      <c r="AW156" s="17" t="str">
        <f>IFERROR(VLOOKUP(シフト組み!AW186,役職一覧!$B:$D,3,FALSE),"")</f>
        <v/>
      </c>
      <c r="AX156" s="17" t="str">
        <f>IFERROR(VLOOKUP(シフト組み!AX186,役職一覧!$B:$D,3,FALSE),"")</f>
        <v/>
      </c>
      <c r="AY156" s="17" t="str">
        <f>IFERROR(VLOOKUP(シフト組み!AY186,役職一覧!$B:$D,3,FALSE),"")</f>
        <v/>
      </c>
      <c r="AZ156" s="17" t="str">
        <f>IFERROR(VLOOKUP(シフト組み!AZ186,役職一覧!$B:$D,3,FALSE),"")</f>
        <v/>
      </c>
      <c r="BA156" s="17" t="str">
        <f>IFERROR(VLOOKUP(シフト組み!BA186,役職一覧!$B:$D,3,FALSE),"")</f>
        <v/>
      </c>
    </row>
    <row r="157" spans="1:53">
      <c r="A157" s="2" t="str">
        <f>シフト組み!A187&amp;""</f>
        <v/>
      </c>
      <c r="B157" s="2" t="str">
        <f>シフト組み!B187&amp;""</f>
        <v/>
      </c>
      <c r="C157" s="2" t="str">
        <f>シフト組み!C187&amp;""</f>
        <v/>
      </c>
      <c r="D157" s="17" t="str">
        <f>IFERROR(VLOOKUP(シフト組み!D187,役職一覧!$B:$D,2,FALSE),"")</f>
        <v/>
      </c>
      <c r="E157" s="17" t="str">
        <f>IFERROR(VLOOKUP(シフト組み!E187,役職一覧!$B:$D,2,FALSE),"")</f>
        <v/>
      </c>
      <c r="F157" s="17" t="str">
        <f>IFERROR(VLOOKUP(シフト組み!F187,役職一覧!$B:$D,2,FALSE),"")</f>
        <v/>
      </c>
      <c r="G157" s="17" t="str">
        <f>IFERROR(VLOOKUP(シフト組み!G187,役職一覧!$B:$D,2,FALSE),"")</f>
        <v/>
      </c>
      <c r="H157" s="17" t="str">
        <f>IFERROR(VLOOKUP(シフト組み!H187,役職一覧!$B:$D,2,FALSE),"")</f>
        <v/>
      </c>
      <c r="I157" s="17" t="str">
        <f>IFERROR(VLOOKUP(シフト組み!I187,役職一覧!$B:$D,2,FALSE),"")</f>
        <v/>
      </c>
      <c r="J157" s="17" t="str">
        <f>IFERROR(VLOOKUP(シフト組み!J187,役職一覧!$B:$D,2,FALSE),"")</f>
        <v/>
      </c>
      <c r="K157" s="17" t="str">
        <f>IFERROR(VLOOKUP(シフト組み!K187,役職一覧!$B:$D,2,FALSE),"")</f>
        <v/>
      </c>
      <c r="L157" s="17" t="str">
        <f>IFERROR(VLOOKUP(シフト組み!L187,役職一覧!$B:$D,2,FALSE),"")</f>
        <v/>
      </c>
      <c r="M157" s="17" t="str">
        <f>IFERROR(VLOOKUP(シフト組み!M187,役職一覧!$B:$D,2,FALSE),"")</f>
        <v/>
      </c>
      <c r="N157" s="17" t="str">
        <f>IFERROR(VLOOKUP(シフト組み!N187,役職一覧!$B:$D,2,FALSE),"")</f>
        <v/>
      </c>
      <c r="O157" s="17" t="str">
        <f>IFERROR(VLOOKUP(シフト組み!O187,役職一覧!$B:$D,2,FALSE),"")</f>
        <v/>
      </c>
      <c r="P157" s="17" t="str">
        <f>IFERROR(VLOOKUP(シフト組み!P187,役職一覧!$B:$D,2,FALSE),"")</f>
        <v/>
      </c>
      <c r="Q157" s="17" t="str">
        <f>IFERROR(VLOOKUP(シフト組み!Q187,役職一覧!$B:$D,2,FALSE),"")</f>
        <v/>
      </c>
      <c r="R157" s="17" t="str">
        <f>IFERROR(VLOOKUP(シフト組み!R187,役職一覧!$B:$D,2,FALSE),"")</f>
        <v/>
      </c>
      <c r="S157" s="17" t="str">
        <f>IFERROR(VLOOKUP(シフト組み!S187,役職一覧!$B:$D,2,FALSE),"")</f>
        <v/>
      </c>
      <c r="T157" s="17" t="str">
        <f>IFERROR(VLOOKUP(シフト組み!T187,役職一覧!$B:$D,2,FALSE),"")</f>
        <v/>
      </c>
      <c r="U157" s="17" t="str">
        <f>IFERROR(VLOOKUP(シフト組み!U187,役職一覧!$B:$D,2,FALSE),"")</f>
        <v/>
      </c>
      <c r="V157" s="17" t="str">
        <f>IFERROR(VLOOKUP(シフト組み!V187,役職一覧!$B:$D,2,FALSE),"")</f>
        <v/>
      </c>
      <c r="W157" s="17" t="str">
        <f>IFERROR(VLOOKUP(シフト組み!W187,役職一覧!$B:$D,2,FALSE),"")</f>
        <v/>
      </c>
      <c r="X157" s="17" t="str">
        <f>IFERROR(VLOOKUP(シフト組み!X187,役職一覧!$B:$D,2,FALSE),"")</f>
        <v/>
      </c>
      <c r="Y157" s="17" t="str">
        <f>IFERROR(VLOOKUP(シフト組み!Y187,役職一覧!$B:$D,2,FALSE),"")</f>
        <v/>
      </c>
      <c r="Z157" s="17" t="str">
        <f>IFERROR(VLOOKUP(シフト組み!Z187,役職一覧!$B:$D,2,FALSE),"")</f>
        <v/>
      </c>
      <c r="AA157" s="17" t="str">
        <f>IFERROR(VLOOKUP(シフト組み!AA187,役職一覧!$B:$D,2,FALSE),"")</f>
        <v/>
      </c>
      <c r="AB157" s="17" t="str">
        <f>IFERROR(VLOOKUP(シフト組み!AB187,役職一覧!$B:$D,2,FALSE),"")</f>
        <v/>
      </c>
      <c r="AC157" s="17" t="str">
        <f>IFERROR(VLOOKUP(シフト組み!AC187,役職一覧!$B:$D,2,FALSE),"")</f>
        <v/>
      </c>
      <c r="AD157" s="17" t="str">
        <f>IFERROR(VLOOKUP(シフト組み!AD187,役職一覧!$B:$D,2,FALSE),"")</f>
        <v/>
      </c>
      <c r="AE157" s="17" t="str">
        <f>IFERROR(VLOOKUP(シフト組み!AE187,役職一覧!$B:$D,2,FALSE),"")</f>
        <v/>
      </c>
      <c r="AF157" s="17" t="str">
        <f>IFERROR(VLOOKUP(シフト組み!AF187,役職一覧!$B:$D,2,FALSE),"")</f>
        <v/>
      </c>
      <c r="AG157" s="17" t="str">
        <f>IFERROR(VLOOKUP(シフト組み!AG187,役職一覧!$B:$D,2,FALSE),"")</f>
        <v/>
      </c>
      <c r="AH157" s="17" t="str">
        <f>IFERROR(VLOOKUP(シフト組み!AH187,役職一覧!$B:$D,3,FALSE),"")</f>
        <v/>
      </c>
      <c r="AI157" s="17" t="str">
        <f>IFERROR(VLOOKUP(シフト組み!AI187,役職一覧!$B:$D,3,FALSE),"")</f>
        <v/>
      </c>
      <c r="AJ157" s="17" t="str">
        <f>IFERROR(VLOOKUP(シフト組み!AJ187,役職一覧!$B:$D,3,FALSE),"")</f>
        <v/>
      </c>
      <c r="AK157" s="17" t="str">
        <f>IFERROR(VLOOKUP(シフト組み!AK187,役職一覧!$B:$D,3,FALSE),"")</f>
        <v/>
      </c>
      <c r="AL157" s="17" t="str">
        <f>IFERROR(VLOOKUP(シフト組み!AL187,役職一覧!$B:$D,3,FALSE),"")</f>
        <v/>
      </c>
      <c r="AM157" s="17" t="str">
        <f>IFERROR(VLOOKUP(シフト組み!AM187,役職一覧!$B:$D,3,FALSE),"")</f>
        <v/>
      </c>
      <c r="AN157" s="17" t="str">
        <f>IFERROR(VLOOKUP(シフト組み!AN187,役職一覧!$B:$D,3,FALSE),"")</f>
        <v/>
      </c>
      <c r="AO157" s="17" t="str">
        <f>IFERROR(VLOOKUP(シフト組み!AO187,役職一覧!$B:$D,3,FALSE),"")</f>
        <v/>
      </c>
      <c r="AP157" s="17" t="str">
        <f>IFERROR(VLOOKUP(シフト組み!AP187,役職一覧!$B:$D,3,FALSE),"")</f>
        <v/>
      </c>
      <c r="AQ157" s="17" t="str">
        <f>IFERROR(VLOOKUP(シフト組み!AQ187,役職一覧!$B:$D,3,FALSE),"")</f>
        <v/>
      </c>
      <c r="AR157" s="17" t="str">
        <f>IFERROR(VLOOKUP(シフト組み!AR187,役職一覧!$B:$D,3,FALSE),"")</f>
        <v/>
      </c>
      <c r="AS157" s="17" t="str">
        <f>IFERROR(VLOOKUP(シフト組み!AS187,役職一覧!$B:$D,3,FALSE),"")</f>
        <v/>
      </c>
      <c r="AT157" s="17" t="str">
        <f>IFERROR(VLOOKUP(シフト組み!AT187,役職一覧!$B:$D,3,FALSE),"")</f>
        <v/>
      </c>
      <c r="AU157" s="17" t="str">
        <f>IFERROR(VLOOKUP(シフト組み!AU187,役職一覧!$B:$D,3,FALSE),"")</f>
        <v/>
      </c>
      <c r="AV157" s="17" t="str">
        <f>IFERROR(VLOOKUP(シフト組み!AV187,役職一覧!$B:$D,3,FALSE),"")</f>
        <v/>
      </c>
      <c r="AW157" s="17" t="str">
        <f>IFERROR(VLOOKUP(シフト組み!AW187,役職一覧!$B:$D,3,FALSE),"")</f>
        <v/>
      </c>
      <c r="AX157" s="17" t="str">
        <f>IFERROR(VLOOKUP(シフト組み!AX187,役職一覧!$B:$D,3,FALSE),"")</f>
        <v/>
      </c>
      <c r="AY157" s="17" t="str">
        <f>IFERROR(VLOOKUP(シフト組み!AY187,役職一覧!$B:$D,3,FALSE),"")</f>
        <v/>
      </c>
      <c r="AZ157" s="17" t="str">
        <f>IFERROR(VLOOKUP(シフト組み!AZ187,役職一覧!$B:$D,3,FALSE),"")</f>
        <v/>
      </c>
      <c r="BA157" s="17" t="str">
        <f>IFERROR(VLOOKUP(シフト組み!BA187,役職一覧!$B:$D,3,FALSE),"")</f>
        <v/>
      </c>
    </row>
    <row r="158" spans="1:53">
      <c r="A158" s="2" t="str">
        <f>シフト組み!A188&amp;""</f>
        <v/>
      </c>
      <c r="B158" s="2" t="str">
        <f>シフト組み!B188&amp;""</f>
        <v/>
      </c>
      <c r="C158" s="2" t="str">
        <f>シフト組み!C188&amp;""</f>
        <v/>
      </c>
      <c r="D158" s="17" t="str">
        <f>IFERROR(VLOOKUP(シフト組み!D188,役職一覧!$B:$D,2,FALSE),"")</f>
        <v/>
      </c>
      <c r="E158" s="17" t="str">
        <f>IFERROR(VLOOKUP(シフト組み!E188,役職一覧!$B:$D,2,FALSE),"")</f>
        <v/>
      </c>
      <c r="F158" s="17" t="str">
        <f>IFERROR(VLOOKUP(シフト組み!F188,役職一覧!$B:$D,2,FALSE),"")</f>
        <v/>
      </c>
      <c r="G158" s="17" t="str">
        <f>IFERROR(VLOOKUP(シフト組み!G188,役職一覧!$B:$D,2,FALSE),"")</f>
        <v/>
      </c>
      <c r="H158" s="17" t="str">
        <f>IFERROR(VLOOKUP(シフト組み!H188,役職一覧!$B:$D,2,FALSE),"")</f>
        <v/>
      </c>
      <c r="I158" s="17" t="str">
        <f>IFERROR(VLOOKUP(シフト組み!I188,役職一覧!$B:$D,2,FALSE),"")</f>
        <v/>
      </c>
      <c r="J158" s="17" t="str">
        <f>IFERROR(VLOOKUP(シフト組み!J188,役職一覧!$B:$D,2,FALSE),"")</f>
        <v/>
      </c>
      <c r="K158" s="17" t="str">
        <f>IFERROR(VLOOKUP(シフト組み!K188,役職一覧!$B:$D,2,FALSE),"")</f>
        <v/>
      </c>
      <c r="L158" s="17" t="str">
        <f>IFERROR(VLOOKUP(シフト組み!L188,役職一覧!$B:$D,2,FALSE),"")</f>
        <v/>
      </c>
      <c r="M158" s="17" t="str">
        <f>IFERROR(VLOOKUP(シフト組み!M188,役職一覧!$B:$D,2,FALSE),"")</f>
        <v/>
      </c>
      <c r="N158" s="17" t="str">
        <f>IFERROR(VLOOKUP(シフト組み!N188,役職一覧!$B:$D,2,FALSE),"")</f>
        <v/>
      </c>
      <c r="O158" s="17" t="str">
        <f>IFERROR(VLOOKUP(シフト組み!O188,役職一覧!$B:$D,2,FALSE),"")</f>
        <v/>
      </c>
      <c r="P158" s="17" t="str">
        <f>IFERROR(VLOOKUP(シフト組み!P188,役職一覧!$B:$D,2,FALSE),"")</f>
        <v/>
      </c>
      <c r="Q158" s="17" t="str">
        <f>IFERROR(VLOOKUP(シフト組み!Q188,役職一覧!$B:$D,2,FALSE),"")</f>
        <v/>
      </c>
      <c r="R158" s="17" t="str">
        <f>IFERROR(VLOOKUP(シフト組み!R188,役職一覧!$B:$D,2,FALSE),"")</f>
        <v/>
      </c>
      <c r="S158" s="17" t="str">
        <f>IFERROR(VLOOKUP(シフト組み!S188,役職一覧!$B:$D,2,FALSE),"")</f>
        <v/>
      </c>
      <c r="T158" s="17" t="str">
        <f>IFERROR(VLOOKUP(シフト組み!T188,役職一覧!$B:$D,2,FALSE),"")</f>
        <v/>
      </c>
      <c r="U158" s="17" t="str">
        <f>IFERROR(VLOOKUP(シフト組み!U188,役職一覧!$B:$D,2,FALSE),"")</f>
        <v/>
      </c>
      <c r="V158" s="17" t="str">
        <f>IFERROR(VLOOKUP(シフト組み!V188,役職一覧!$B:$D,2,FALSE),"")</f>
        <v/>
      </c>
      <c r="W158" s="17" t="str">
        <f>IFERROR(VLOOKUP(シフト組み!W188,役職一覧!$B:$D,2,FALSE),"")</f>
        <v/>
      </c>
      <c r="X158" s="17" t="str">
        <f>IFERROR(VLOOKUP(シフト組み!X188,役職一覧!$B:$D,2,FALSE),"")</f>
        <v/>
      </c>
      <c r="Y158" s="17" t="str">
        <f>IFERROR(VLOOKUP(シフト組み!Y188,役職一覧!$B:$D,2,FALSE),"")</f>
        <v/>
      </c>
      <c r="Z158" s="17" t="str">
        <f>IFERROR(VLOOKUP(シフト組み!Z188,役職一覧!$B:$D,2,FALSE),"")</f>
        <v/>
      </c>
      <c r="AA158" s="17" t="str">
        <f>IFERROR(VLOOKUP(シフト組み!AA188,役職一覧!$B:$D,2,FALSE),"")</f>
        <v/>
      </c>
      <c r="AB158" s="17" t="str">
        <f>IFERROR(VLOOKUP(シフト組み!AB188,役職一覧!$B:$D,2,FALSE),"")</f>
        <v/>
      </c>
      <c r="AC158" s="17" t="str">
        <f>IFERROR(VLOOKUP(シフト組み!AC188,役職一覧!$B:$D,2,FALSE),"")</f>
        <v/>
      </c>
      <c r="AD158" s="17" t="str">
        <f>IFERROR(VLOOKUP(シフト組み!AD188,役職一覧!$B:$D,2,FALSE),"")</f>
        <v/>
      </c>
      <c r="AE158" s="17" t="str">
        <f>IFERROR(VLOOKUP(シフト組み!AE188,役職一覧!$B:$D,2,FALSE),"")</f>
        <v/>
      </c>
      <c r="AF158" s="17" t="str">
        <f>IFERROR(VLOOKUP(シフト組み!AF188,役職一覧!$B:$D,2,FALSE),"")</f>
        <v/>
      </c>
      <c r="AG158" s="17" t="str">
        <f>IFERROR(VLOOKUP(シフト組み!AG188,役職一覧!$B:$D,2,FALSE),"")</f>
        <v/>
      </c>
      <c r="AH158" s="17" t="str">
        <f>IFERROR(VLOOKUP(シフト組み!AH188,役職一覧!$B:$D,3,FALSE),"")</f>
        <v/>
      </c>
      <c r="AI158" s="17" t="str">
        <f>IFERROR(VLOOKUP(シフト組み!AI188,役職一覧!$B:$D,3,FALSE),"")</f>
        <v/>
      </c>
      <c r="AJ158" s="17" t="str">
        <f>IFERROR(VLOOKUP(シフト組み!AJ188,役職一覧!$B:$D,3,FALSE),"")</f>
        <v/>
      </c>
      <c r="AK158" s="17" t="str">
        <f>IFERROR(VLOOKUP(シフト組み!AK188,役職一覧!$B:$D,3,FALSE),"")</f>
        <v/>
      </c>
      <c r="AL158" s="17" t="str">
        <f>IFERROR(VLOOKUP(シフト組み!AL188,役職一覧!$B:$D,3,FALSE),"")</f>
        <v/>
      </c>
      <c r="AM158" s="17" t="str">
        <f>IFERROR(VLOOKUP(シフト組み!AM188,役職一覧!$B:$D,3,FALSE),"")</f>
        <v/>
      </c>
      <c r="AN158" s="17" t="str">
        <f>IFERROR(VLOOKUP(シフト組み!AN188,役職一覧!$B:$D,3,FALSE),"")</f>
        <v/>
      </c>
      <c r="AO158" s="17" t="str">
        <f>IFERROR(VLOOKUP(シフト組み!AO188,役職一覧!$B:$D,3,FALSE),"")</f>
        <v/>
      </c>
      <c r="AP158" s="17" t="str">
        <f>IFERROR(VLOOKUP(シフト組み!AP188,役職一覧!$B:$D,3,FALSE),"")</f>
        <v/>
      </c>
      <c r="AQ158" s="17" t="str">
        <f>IFERROR(VLOOKUP(シフト組み!AQ188,役職一覧!$B:$D,3,FALSE),"")</f>
        <v/>
      </c>
      <c r="AR158" s="17" t="str">
        <f>IFERROR(VLOOKUP(シフト組み!AR188,役職一覧!$B:$D,3,FALSE),"")</f>
        <v/>
      </c>
      <c r="AS158" s="17" t="str">
        <f>IFERROR(VLOOKUP(シフト組み!AS188,役職一覧!$B:$D,3,FALSE),"")</f>
        <v/>
      </c>
      <c r="AT158" s="17" t="str">
        <f>IFERROR(VLOOKUP(シフト組み!AT188,役職一覧!$B:$D,3,FALSE),"")</f>
        <v/>
      </c>
      <c r="AU158" s="17" t="str">
        <f>IFERROR(VLOOKUP(シフト組み!AU188,役職一覧!$B:$D,3,FALSE),"")</f>
        <v/>
      </c>
      <c r="AV158" s="17" t="str">
        <f>IFERROR(VLOOKUP(シフト組み!AV188,役職一覧!$B:$D,3,FALSE),"")</f>
        <v/>
      </c>
      <c r="AW158" s="17" t="str">
        <f>IFERROR(VLOOKUP(シフト組み!AW188,役職一覧!$B:$D,3,FALSE),"")</f>
        <v/>
      </c>
      <c r="AX158" s="17" t="str">
        <f>IFERROR(VLOOKUP(シフト組み!AX188,役職一覧!$B:$D,3,FALSE),"")</f>
        <v/>
      </c>
      <c r="AY158" s="17" t="str">
        <f>IFERROR(VLOOKUP(シフト組み!AY188,役職一覧!$B:$D,3,FALSE),"")</f>
        <v/>
      </c>
      <c r="AZ158" s="17" t="str">
        <f>IFERROR(VLOOKUP(シフト組み!AZ188,役職一覧!$B:$D,3,FALSE),"")</f>
        <v/>
      </c>
      <c r="BA158" s="17" t="str">
        <f>IFERROR(VLOOKUP(シフト組み!BA188,役職一覧!$B:$D,3,FALSE),"")</f>
        <v/>
      </c>
    </row>
    <row r="159" spans="1:53">
      <c r="A159" s="2" t="str">
        <f>シフト組み!A189&amp;""</f>
        <v/>
      </c>
      <c r="B159" s="2" t="str">
        <f>シフト組み!B189&amp;""</f>
        <v/>
      </c>
      <c r="C159" s="2" t="str">
        <f>シフト組み!C189&amp;""</f>
        <v/>
      </c>
      <c r="D159" s="17" t="str">
        <f>IFERROR(VLOOKUP(シフト組み!D189,役職一覧!$B:$D,2,FALSE),"")</f>
        <v/>
      </c>
      <c r="E159" s="17" t="str">
        <f>IFERROR(VLOOKUP(シフト組み!E189,役職一覧!$B:$D,2,FALSE),"")</f>
        <v/>
      </c>
      <c r="F159" s="17" t="str">
        <f>IFERROR(VLOOKUP(シフト組み!F189,役職一覧!$B:$D,2,FALSE),"")</f>
        <v/>
      </c>
      <c r="G159" s="17" t="str">
        <f>IFERROR(VLOOKUP(シフト組み!G189,役職一覧!$B:$D,2,FALSE),"")</f>
        <v/>
      </c>
      <c r="H159" s="17" t="str">
        <f>IFERROR(VLOOKUP(シフト組み!H189,役職一覧!$B:$D,2,FALSE),"")</f>
        <v/>
      </c>
      <c r="I159" s="17" t="str">
        <f>IFERROR(VLOOKUP(シフト組み!I189,役職一覧!$B:$D,2,FALSE),"")</f>
        <v/>
      </c>
      <c r="J159" s="17" t="str">
        <f>IFERROR(VLOOKUP(シフト組み!J189,役職一覧!$B:$D,2,FALSE),"")</f>
        <v/>
      </c>
      <c r="K159" s="17" t="str">
        <f>IFERROR(VLOOKUP(シフト組み!K189,役職一覧!$B:$D,2,FALSE),"")</f>
        <v/>
      </c>
      <c r="L159" s="17" t="str">
        <f>IFERROR(VLOOKUP(シフト組み!L189,役職一覧!$B:$D,2,FALSE),"")</f>
        <v/>
      </c>
      <c r="M159" s="17" t="str">
        <f>IFERROR(VLOOKUP(シフト組み!M189,役職一覧!$B:$D,2,FALSE),"")</f>
        <v/>
      </c>
      <c r="N159" s="17" t="str">
        <f>IFERROR(VLOOKUP(シフト組み!N189,役職一覧!$B:$D,2,FALSE),"")</f>
        <v/>
      </c>
      <c r="O159" s="17" t="str">
        <f>IFERROR(VLOOKUP(シフト組み!O189,役職一覧!$B:$D,2,FALSE),"")</f>
        <v/>
      </c>
      <c r="P159" s="17" t="str">
        <f>IFERROR(VLOOKUP(シフト組み!P189,役職一覧!$B:$D,2,FALSE),"")</f>
        <v/>
      </c>
      <c r="Q159" s="17" t="str">
        <f>IFERROR(VLOOKUP(シフト組み!Q189,役職一覧!$B:$D,2,FALSE),"")</f>
        <v/>
      </c>
      <c r="R159" s="17" t="str">
        <f>IFERROR(VLOOKUP(シフト組み!R189,役職一覧!$B:$D,2,FALSE),"")</f>
        <v/>
      </c>
      <c r="S159" s="17" t="str">
        <f>IFERROR(VLOOKUP(シフト組み!S189,役職一覧!$B:$D,2,FALSE),"")</f>
        <v/>
      </c>
      <c r="T159" s="17" t="str">
        <f>IFERROR(VLOOKUP(シフト組み!T189,役職一覧!$B:$D,2,FALSE),"")</f>
        <v/>
      </c>
      <c r="U159" s="17" t="str">
        <f>IFERROR(VLOOKUP(シフト組み!U189,役職一覧!$B:$D,2,FALSE),"")</f>
        <v/>
      </c>
      <c r="V159" s="17" t="str">
        <f>IFERROR(VLOOKUP(シフト組み!V189,役職一覧!$B:$D,2,FALSE),"")</f>
        <v/>
      </c>
      <c r="W159" s="17" t="str">
        <f>IFERROR(VLOOKUP(シフト組み!W189,役職一覧!$B:$D,2,FALSE),"")</f>
        <v/>
      </c>
      <c r="X159" s="17" t="str">
        <f>IFERROR(VLOOKUP(シフト組み!X189,役職一覧!$B:$D,2,FALSE),"")</f>
        <v/>
      </c>
      <c r="Y159" s="17" t="str">
        <f>IFERROR(VLOOKUP(シフト組み!Y189,役職一覧!$B:$D,2,FALSE),"")</f>
        <v/>
      </c>
      <c r="Z159" s="17" t="str">
        <f>IFERROR(VLOOKUP(シフト組み!Z189,役職一覧!$B:$D,2,FALSE),"")</f>
        <v/>
      </c>
      <c r="AA159" s="17" t="str">
        <f>IFERROR(VLOOKUP(シフト組み!AA189,役職一覧!$B:$D,2,FALSE),"")</f>
        <v/>
      </c>
      <c r="AB159" s="17" t="str">
        <f>IFERROR(VLOOKUP(シフト組み!AB189,役職一覧!$B:$D,2,FALSE),"")</f>
        <v/>
      </c>
      <c r="AC159" s="17" t="str">
        <f>IFERROR(VLOOKUP(シフト組み!AC189,役職一覧!$B:$D,2,FALSE),"")</f>
        <v/>
      </c>
      <c r="AD159" s="17" t="str">
        <f>IFERROR(VLOOKUP(シフト組み!AD189,役職一覧!$B:$D,2,FALSE),"")</f>
        <v/>
      </c>
      <c r="AE159" s="17" t="str">
        <f>IFERROR(VLOOKUP(シフト組み!AE189,役職一覧!$B:$D,2,FALSE),"")</f>
        <v/>
      </c>
      <c r="AF159" s="17" t="str">
        <f>IFERROR(VLOOKUP(シフト組み!AF189,役職一覧!$B:$D,2,FALSE),"")</f>
        <v/>
      </c>
      <c r="AG159" s="17" t="str">
        <f>IFERROR(VLOOKUP(シフト組み!AG189,役職一覧!$B:$D,2,FALSE),"")</f>
        <v/>
      </c>
      <c r="AH159" s="17" t="str">
        <f>IFERROR(VLOOKUP(シフト組み!AH189,役職一覧!$B:$D,3,FALSE),"")</f>
        <v/>
      </c>
      <c r="AI159" s="17" t="str">
        <f>IFERROR(VLOOKUP(シフト組み!AI189,役職一覧!$B:$D,3,FALSE),"")</f>
        <v/>
      </c>
      <c r="AJ159" s="17" t="str">
        <f>IFERROR(VLOOKUP(シフト組み!AJ189,役職一覧!$B:$D,3,FALSE),"")</f>
        <v/>
      </c>
      <c r="AK159" s="17" t="str">
        <f>IFERROR(VLOOKUP(シフト組み!AK189,役職一覧!$B:$D,3,FALSE),"")</f>
        <v/>
      </c>
      <c r="AL159" s="17" t="str">
        <f>IFERROR(VLOOKUP(シフト組み!AL189,役職一覧!$B:$D,3,FALSE),"")</f>
        <v/>
      </c>
      <c r="AM159" s="17" t="str">
        <f>IFERROR(VLOOKUP(シフト組み!AM189,役職一覧!$B:$D,3,FALSE),"")</f>
        <v/>
      </c>
      <c r="AN159" s="17" t="str">
        <f>IFERROR(VLOOKUP(シフト組み!AN189,役職一覧!$B:$D,3,FALSE),"")</f>
        <v/>
      </c>
      <c r="AO159" s="17" t="str">
        <f>IFERROR(VLOOKUP(シフト組み!AO189,役職一覧!$B:$D,3,FALSE),"")</f>
        <v/>
      </c>
      <c r="AP159" s="17" t="str">
        <f>IFERROR(VLOOKUP(シフト組み!AP189,役職一覧!$B:$D,3,FALSE),"")</f>
        <v/>
      </c>
      <c r="AQ159" s="17" t="str">
        <f>IFERROR(VLOOKUP(シフト組み!AQ189,役職一覧!$B:$D,3,FALSE),"")</f>
        <v/>
      </c>
      <c r="AR159" s="17" t="str">
        <f>IFERROR(VLOOKUP(シフト組み!AR189,役職一覧!$B:$D,3,FALSE),"")</f>
        <v/>
      </c>
      <c r="AS159" s="17" t="str">
        <f>IFERROR(VLOOKUP(シフト組み!AS189,役職一覧!$B:$D,3,FALSE),"")</f>
        <v/>
      </c>
      <c r="AT159" s="17" t="str">
        <f>IFERROR(VLOOKUP(シフト組み!AT189,役職一覧!$B:$D,3,FALSE),"")</f>
        <v/>
      </c>
      <c r="AU159" s="17" t="str">
        <f>IFERROR(VLOOKUP(シフト組み!AU189,役職一覧!$B:$D,3,FALSE),"")</f>
        <v/>
      </c>
      <c r="AV159" s="17" t="str">
        <f>IFERROR(VLOOKUP(シフト組み!AV189,役職一覧!$B:$D,3,FALSE),"")</f>
        <v/>
      </c>
      <c r="AW159" s="17" t="str">
        <f>IFERROR(VLOOKUP(シフト組み!AW189,役職一覧!$B:$D,3,FALSE),"")</f>
        <v/>
      </c>
      <c r="AX159" s="17" t="str">
        <f>IFERROR(VLOOKUP(シフト組み!AX189,役職一覧!$B:$D,3,FALSE),"")</f>
        <v/>
      </c>
      <c r="AY159" s="17" t="str">
        <f>IFERROR(VLOOKUP(シフト組み!AY189,役職一覧!$B:$D,3,FALSE),"")</f>
        <v/>
      </c>
      <c r="AZ159" s="17" t="str">
        <f>IFERROR(VLOOKUP(シフト組み!AZ189,役職一覧!$B:$D,3,FALSE),"")</f>
        <v/>
      </c>
      <c r="BA159" s="17" t="str">
        <f>IFERROR(VLOOKUP(シフト組み!BA189,役職一覧!$B:$D,3,FALSE),"")</f>
        <v/>
      </c>
    </row>
    <row r="160" spans="1:53">
      <c r="A160" s="2" t="str">
        <f>シフト組み!A190&amp;""</f>
        <v/>
      </c>
      <c r="B160" s="2" t="str">
        <f>シフト組み!B190&amp;""</f>
        <v/>
      </c>
      <c r="C160" s="2" t="str">
        <f>シフト組み!C190&amp;""</f>
        <v/>
      </c>
      <c r="D160" s="17" t="str">
        <f>IFERROR(VLOOKUP(シフト組み!D190,役職一覧!$B:$D,2,FALSE),"")</f>
        <v/>
      </c>
      <c r="E160" s="17" t="str">
        <f>IFERROR(VLOOKUP(シフト組み!E190,役職一覧!$B:$D,2,FALSE),"")</f>
        <v/>
      </c>
      <c r="F160" s="17" t="str">
        <f>IFERROR(VLOOKUP(シフト組み!F190,役職一覧!$B:$D,2,FALSE),"")</f>
        <v/>
      </c>
      <c r="G160" s="17" t="str">
        <f>IFERROR(VLOOKUP(シフト組み!G190,役職一覧!$B:$D,2,FALSE),"")</f>
        <v/>
      </c>
      <c r="H160" s="17" t="str">
        <f>IFERROR(VLOOKUP(シフト組み!H190,役職一覧!$B:$D,2,FALSE),"")</f>
        <v/>
      </c>
      <c r="I160" s="17" t="str">
        <f>IFERROR(VLOOKUP(シフト組み!I190,役職一覧!$B:$D,2,FALSE),"")</f>
        <v/>
      </c>
      <c r="J160" s="17" t="str">
        <f>IFERROR(VLOOKUP(シフト組み!J190,役職一覧!$B:$D,2,FALSE),"")</f>
        <v/>
      </c>
      <c r="K160" s="17" t="str">
        <f>IFERROR(VLOOKUP(シフト組み!K190,役職一覧!$B:$D,2,FALSE),"")</f>
        <v/>
      </c>
      <c r="L160" s="17" t="str">
        <f>IFERROR(VLOOKUP(シフト組み!L190,役職一覧!$B:$D,2,FALSE),"")</f>
        <v/>
      </c>
      <c r="M160" s="17" t="str">
        <f>IFERROR(VLOOKUP(シフト組み!M190,役職一覧!$B:$D,2,FALSE),"")</f>
        <v/>
      </c>
      <c r="N160" s="17" t="str">
        <f>IFERROR(VLOOKUP(シフト組み!N190,役職一覧!$B:$D,2,FALSE),"")</f>
        <v/>
      </c>
      <c r="O160" s="17" t="str">
        <f>IFERROR(VLOOKUP(シフト組み!O190,役職一覧!$B:$D,2,FALSE),"")</f>
        <v/>
      </c>
      <c r="P160" s="17" t="str">
        <f>IFERROR(VLOOKUP(シフト組み!P190,役職一覧!$B:$D,2,FALSE),"")</f>
        <v/>
      </c>
      <c r="Q160" s="17" t="str">
        <f>IFERROR(VLOOKUP(シフト組み!Q190,役職一覧!$B:$D,2,FALSE),"")</f>
        <v/>
      </c>
      <c r="R160" s="17" t="str">
        <f>IFERROR(VLOOKUP(シフト組み!R190,役職一覧!$B:$D,2,FALSE),"")</f>
        <v/>
      </c>
      <c r="S160" s="17" t="str">
        <f>IFERROR(VLOOKUP(シフト組み!S190,役職一覧!$B:$D,2,FALSE),"")</f>
        <v/>
      </c>
      <c r="T160" s="17" t="str">
        <f>IFERROR(VLOOKUP(シフト組み!T190,役職一覧!$B:$D,2,FALSE),"")</f>
        <v/>
      </c>
      <c r="U160" s="17" t="str">
        <f>IFERROR(VLOOKUP(シフト組み!U190,役職一覧!$B:$D,2,FALSE),"")</f>
        <v/>
      </c>
      <c r="V160" s="17" t="str">
        <f>IFERROR(VLOOKUP(シフト組み!V190,役職一覧!$B:$D,2,FALSE),"")</f>
        <v/>
      </c>
      <c r="W160" s="17" t="str">
        <f>IFERROR(VLOOKUP(シフト組み!W190,役職一覧!$B:$D,2,FALSE),"")</f>
        <v/>
      </c>
      <c r="X160" s="17" t="str">
        <f>IFERROR(VLOOKUP(シフト組み!X190,役職一覧!$B:$D,2,FALSE),"")</f>
        <v/>
      </c>
      <c r="Y160" s="17" t="str">
        <f>IFERROR(VLOOKUP(シフト組み!Y190,役職一覧!$B:$D,2,FALSE),"")</f>
        <v/>
      </c>
      <c r="Z160" s="17" t="str">
        <f>IFERROR(VLOOKUP(シフト組み!Z190,役職一覧!$B:$D,2,FALSE),"")</f>
        <v/>
      </c>
      <c r="AA160" s="17" t="str">
        <f>IFERROR(VLOOKUP(シフト組み!AA190,役職一覧!$B:$D,2,FALSE),"")</f>
        <v/>
      </c>
      <c r="AB160" s="17" t="str">
        <f>IFERROR(VLOOKUP(シフト組み!AB190,役職一覧!$B:$D,2,FALSE),"")</f>
        <v/>
      </c>
      <c r="AC160" s="17" t="str">
        <f>IFERROR(VLOOKUP(シフト組み!AC190,役職一覧!$B:$D,2,FALSE),"")</f>
        <v/>
      </c>
      <c r="AD160" s="17" t="str">
        <f>IFERROR(VLOOKUP(シフト組み!AD190,役職一覧!$B:$D,2,FALSE),"")</f>
        <v/>
      </c>
      <c r="AE160" s="17" t="str">
        <f>IFERROR(VLOOKUP(シフト組み!AE190,役職一覧!$B:$D,2,FALSE),"")</f>
        <v/>
      </c>
      <c r="AF160" s="17" t="str">
        <f>IFERROR(VLOOKUP(シフト組み!AF190,役職一覧!$B:$D,2,FALSE),"")</f>
        <v/>
      </c>
      <c r="AG160" s="17" t="str">
        <f>IFERROR(VLOOKUP(シフト組み!AG190,役職一覧!$B:$D,2,FALSE),"")</f>
        <v/>
      </c>
      <c r="AH160" s="17" t="str">
        <f>IFERROR(VLOOKUP(シフト組み!AH190,役職一覧!$B:$D,3,FALSE),"")</f>
        <v/>
      </c>
      <c r="AI160" s="17" t="str">
        <f>IFERROR(VLOOKUP(シフト組み!AI190,役職一覧!$B:$D,3,FALSE),"")</f>
        <v/>
      </c>
      <c r="AJ160" s="17" t="str">
        <f>IFERROR(VLOOKUP(シフト組み!AJ190,役職一覧!$B:$D,3,FALSE),"")</f>
        <v/>
      </c>
      <c r="AK160" s="17" t="str">
        <f>IFERROR(VLOOKUP(シフト組み!AK190,役職一覧!$B:$D,3,FALSE),"")</f>
        <v/>
      </c>
      <c r="AL160" s="17" t="str">
        <f>IFERROR(VLOOKUP(シフト組み!AL190,役職一覧!$B:$D,3,FALSE),"")</f>
        <v/>
      </c>
      <c r="AM160" s="17" t="str">
        <f>IFERROR(VLOOKUP(シフト組み!AM190,役職一覧!$B:$D,3,FALSE),"")</f>
        <v/>
      </c>
      <c r="AN160" s="17" t="str">
        <f>IFERROR(VLOOKUP(シフト組み!AN190,役職一覧!$B:$D,3,FALSE),"")</f>
        <v/>
      </c>
      <c r="AO160" s="17" t="str">
        <f>IFERROR(VLOOKUP(シフト組み!AO190,役職一覧!$B:$D,3,FALSE),"")</f>
        <v/>
      </c>
      <c r="AP160" s="17" t="str">
        <f>IFERROR(VLOOKUP(シフト組み!AP190,役職一覧!$B:$D,3,FALSE),"")</f>
        <v/>
      </c>
      <c r="AQ160" s="17" t="str">
        <f>IFERROR(VLOOKUP(シフト組み!AQ190,役職一覧!$B:$D,3,FALSE),"")</f>
        <v/>
      </c>
      <c r="AR160" s="17" t="str">
        <f>IFERROR(VLOOKUP(シフト組み!AR190,役職一覧!$B:$D,3,FALSE),"")</f>
        <v/>
      </c>
      <c r="AS160" s="17" t="str">
        <f>IFERROR(VLOOKUP(シフト組み!AS190,役職一覧!$B:$D,3,FALSE),"")</f>
        <v/>
      </c>
      <c r="AT160" s="17" t="str">
        <f>IFERROR(VLOOKUP(シフト組み!AT190,役職一覧!$B:$D,3,FALSE),"")</f>
        <v/>
      </c>
      <c r="AU160" s="17" t="str">
        <f>IFERROR(VLOOKUP(シフト組み!AU190,役職一覧!$B:$D,3,FALSE),"")</f>
        <v/>
      </c>
      <c r="AV160" s="17" t="str">
        <f>IFERROR(VLOOKUP(シフト組み!AV190,役職一覧!$B:$D,3,FALSE),"")</f>
        <v/>
      </c>
      <c r="AW160" s="17" t="str">
        <f>IFERROR(VLOOKUP(シフト組み!AW190,役職一覧!$B:$D,3,FALSE),"")</f>
        <v/>
      </c>
      <c r="AX160" s="17" t="str">
        <f>IFERROR(VLOOKUP(シフト組み!AX190,役職一覧!$B:$D,3,FALSE),"")</f>
        <v/>
      </c>
      <c r="AY160" s="17" t="str">
        <f>IFERROR(VLOOKUP(シフト組み!AY190,役職一覧!$B:$D,3,FALSE),"")</f>
        <v/>
      </c>
      <c r="AZ160" s="17" t="str">
        <f>IFERROR(VLOOKUP(シフト組み!AZ190,役職一覧!$B:$D,3,FALSE),"")</f>
        <v/>
      </c>
      <c r="BA160" s="17" t="str">
        <f>IFERROR(VLOOKUP(シフト組み!BA190,役職一覧!$B:$D,3,FALSE),"")</f>
        <v/>
      </c>
    </row>
    <row r="161" spans="1:53">
      <c r="A161" s="2" t="str">
        <f>シフト組み!A191&amp;""</f>
        <v/>
      </c>
      <c r="B161" s="2" t="str">
        <f>シフト組み!B191&amp;""</f>
        <v/>
      </c>
      <c r="C161" s="2" t="str">
        <f>シフト組み!C191&amp;""</f>
        <v/>
      </c>
      <c r="D161" s="17" t="str">
        <f>IFERROR(VLOOKUP(シフト組み!D191,役職一覧!$B:$D,2,FALSE),"")</f>
        <v/>
      </c>
      <c r="E161" s="17" t="str">
        <f>IFERROR(VLOOKUP(シフト組み!E191,役職一覧!$B:$D,2,FALSE),"")</f>
        <v/>
      </c>
      <c r="F161" s="17" t="str">
        <f>IFERROR(VLOOKUP(シフト組み!F191,役職一覧!$B:$D,2,FALSE),"")</f>
        <v/>
      </c>
      <c r="G161" s="17" t="str">
        <f>IFERROR(VLOOKUP(シフト組み!G191,役職一覧!$B:$D,2,FALSE),"")</f>
        <v/>
      </c>
      <c r="H161" s="17" t="str">
        <f>IFERROR(VLOOKUP(シフト組み!H191,役職一覧!$B:$D,2,FALSE),"")</f>
        <v/>
      </c>
      <c r="I161" s="17" t="str">
        <f>IFERROR(VLOOKUP(シフト組み!I191,役職一覧!$B:$D,2,FALSE),"")</f>
        <v/>
      </c>
      <c r="J161" s="17" t="str">
        <f>IFERROR(VLOOKUP(シフト組み!J191,役職一覧!$B:$D,2,FALSE),"")</f>
        <v/>
      </c>
      <c r="K161" s="17" t="str">
        <f>IFERROR(VLOOKUP(シフト組み!K191,役職一覧!$B:$D,2,FALSE),"")</f>
        <v/>
      </c>
      <c r="L161" s="17" t="str">
        <f>IFERROR(VLOOKUP(シフト組み!L191,役職一覧!$B:$D,2,FALSE),"")</f>
        <v/>
      </c>
      <c r="M161" s="17" t="str">
        <f>IFERROR(VLOOKUP(シフト組み!M191,役職一覧!$B:$D,2,FALSE),"")</f>
        <v/>
      </c>
      <c r="N161" s="17" t="str">
        <f>IFERROR(VLOOKUP(シフト組み!N191,役職一覧!$B:$D,2,FALSE),"")</f>
        <v/>
      </c>
      <c r="O161" s="17" t="str">
        <f>IFERROR(VLOOKUP(シフト組み!O191,役職一覧!$B:$D,2,FALSE),"")</f>
        <v/>
      </c>
      <c r="P161" s="17" t="str">
        <f>IFERROR(VLOOKUP(シフト組み!P191,役職一覧!$B:$D,2,FALSE),"")</f>
        <v/>
      </c>
      <c r="Q161" s="17" t="str">
        <f>IFERROR(VLOOKUP(シフト組み!Q191,役職一覧!$B:$D,2,FALSE),"")</f>
        <v/>
      </c>
      <c r="R161" s="17" t="str">
        <f>IFERROR(VLOOKUP(シフト組み!R191,役職一覧!$B:$D,2,FALSE),"")</f>
        <v/>
      </c>
      <c r="S161" s="17" t="str">
        <f>IFERROR(VLOOKUP(シフト組み!S191,役職一覧!$B:$D,2,FALSE),"")</f>
        <v/>
      </c>
      <c r="T161" s="17" t="str">
        <f>IFERROR(VLOOKUP(シフト組み!T191,役職一覧!$B:$D,2,FALSE),"")</f>
        <v/>
      </c>
      <c r="U161" s="17" t="str">
        <f>IFERROR(VLOOKUP(シフト組み!U191,役職一覧!$B:$D,2,FALSE),"")</f>
        <v/>
      </c>
      <c r="V161" s="17" t="str">
        <f>IFERROR(VLOOKUP(シフト組み!V191,役職一覧!$B:$D,2,FALSE),"")</f>
        <v/>
      </c>
      <c r="W161" s="17" t="str">
        <f>IFERROR(VLOOKUP(シフト組み!W191,役職一覧!$B:$D,2,FALSE),"")</f>
        <v/>
      </c>
      <c r="X161" s="17" t="str">
        <f>IFERROR(VLOOKUP(シフト組み!X191,役職一覧!$B:$D,2,FALSE),"")</f>
        <v/>
      </c>
      <c r="Y161" s="17" t="str">
        <f>IFERROR(VLOOKUP(シフト組み!Y191,役職一覧!$B:$D,2,FALSE),"")</f>
        <v/>
      </c>
      <c r="Z161" s="17" t="str">
        <f>IFERROR(VLOOKUP(シフト組み!Z191,役職一覧!$B:$D,2,FALSE),"")</f>
        <v/>
      </c>
      <c r="AA161" s="17" t="str">
        <f>IFERROR(VLOOKUP(シフト組み!AA191,役職一覧!$B:$D,2,FALSE),"")</f>
        <v/>
      </c>
      <c r="AB161" s="17" t="str">
        <f>IFERROR(VLOOKUP(シフト組み!AB191,役職一覧!$B:$D,2,FALSE),"")</f>
        <v/>
      </c>
      <c r="AC161" s="17" t="str">
        <f>IFERROR(VLOOKUP(シフト組み!AC191,役職一覧!$B:$D,2,FALSE),"")</f>
        <v/>
      </c>
      <c r="AD161" s="17" t="str">
        <f>IFERROR(VLOOKUP(シフト組み!AD191,役職一覧!$B:$D,2,FALSE),"")</f>
        <v/>
      </c>
      <c r="AE161" s="17" t="str">
        <f>IFERROR(VLOOKUP(シフト組み!AE191,役職一覧!$B:$D,2,FALSE),"")</f>
        <v/>
      </c>
      <c r="AF161" s="17" t="str">
        <f>IFERROR(VLOOKUP(シフト組み!AF191,役職一覧!$B:$D,2,FALSE),"")</f>
        <v/>
      </c>
      <c r="AG161" s="17" t="str">
        <f>IFERROR(VLOOKUP(シフト組み!AG191,役職一覧!$B:$D,2,FALSE),"")</f>
        <v/>
      </c>
      <c r="AH161" s="17" t="str">
        <f>IFERROR(VLOOKUP(シフト組み!AH191,役職一覧!$B:$D,3,FALSE),"")</f>
        <v/>
      </c>
      <c r="AI161" s="17" t="str">
        <f>IFERROR(VLOOKUP(シフト組み!AI191,役職一覧!$B:$D,3,FALSE),"")</f>
        <v/>
      </c>
      <c r="AJ161" s="17" t="str">
        <f>IFERROR(VLOOKUP(シフト組み!AJ191,役職一覧!$B:$D,3,FALSE),"")</f>
        <v/>
      </c>
      <c r="AK161" s="17" t="str">
        <f>IFERROR(VLOOKUP(シフト組み!AK191,役職一覧!$B:$D,3,FALSE),"")</f>
        <v/>
      </c>
      <c r="AL161" s="17" t="str">
        <f>IFERROR(VLOOKUP(シフト組み!AL191,役職一覧!$B:$D,3,FALSE),"")</f>
        <v/>
      </c>
      <c r="AM161" s="17" t="str">
        <f>IFERROR(VLOOKUP(シフト組み!AM191,役職一覧!$B:$D,3,FALSE),"")</f>
        <v/>
      </c>
      <c r="AN161" s="17" t="str">
        <f>IFERROR(VLOOKUP(シフト組み!AN191,役職一覧!$B:$D,3,FALSE),"")</f>
        <v/>
      </c>
      <c r="AO161" s="17" t="str">
        <f>IFERROR(VLOOKUP(シフト組み!AO191,役職一覧!$B:$D,3,FALSE),"")</f>
        <v/>
      </c>
      <c r="AP161" s="17" t="str">
        <f>IFERROR(VLOOKUP(シフト組み!AP191,役職一覧!$B:$D,3,FALSE),"")</f>
        <v/>
      </c>
      <c r="AQ161" s="17" t="str">
        <f>IFERROR(VLOOKUP(シフト組み!AQ191,役職一覧!$B:$D,3,FALSE),"")</f>
        <v/>
      </c>
      <c r="AR161" s="17" t="str">
        <f>IFERROR(VLOOKUP(シフト組み!AR191,役職一覧!$B:$D,3,FALSE),"")</f>
        <v/>
      </c>
      <c r="AS161" s="17" t="str">
        <f>IFERROR(VLOOKUP(シフト組み!AS191,役職一覧!$B:$D,3,FALSE),"")</f>
        <v/>
      </c>
      <c r="AT161" s="17" t="str">
        <f>IFERROR(VLOOKUP(シフト組み!AT191,役職一覧!$B:$D,3,FALSE),"")</f>
        <v/>
      </c>
      <c r="AU161" s="17" t="str">
        <f>IFERROR(VLOOKUP(シフト組み!AU191,役職一覧!$B:$D,3,FALSE),"")</f>
        <v/>
      </c>
      <c r="AV161" s="17" t="str">
        <f>IFERROR(VLOOKUP(シフト組み!AV191,役職一覧!$B:$D,3,FALSE),"")</f>
        <v/>
      </c>
      <c r="AW161" s="17" t="str">
        <f>IFERROR(VLOOKUP(シフト組み!AW191,役職一覧!$B:$D,3,FALSE),"")</f>
        <v/>
      </c>
      <c r="AX161" s="17" t="str">
        <f>IFERROR(VLOOKUP(シフト組み!AX191,役職一覧!$B:$D,3,FALSE),"")</f>
        <v/>
      </c>
      <c r="AY161" s="17" t="str">
        <f>IFERROR(VLOOKUP(シフト組み!AY191,役職一覧!$B:$D,3,FALSE),"")</f>
        <v/>
      </c>
      <c r="AZ161" s="17" t="str">
        <f>IFERROR(VLOOKUP(シフト組み!AZ191,役職一覧!$B:$D,3,FALSE),"")</f>
        <v/>
      </c>
      <c r="BA161" s="17" t="str">
        <f>IFERROR(VLOOKUP(シフト組み!BA191,役職一覧!$B:$D,3,FALSE),"")</f>
        <v/>
      </c>
    </row>
    <row r="162" spans="1:53">
      <c r="A162" s="2" t="str">
        <f>シフト組み!A192&amp;""</f>
        <v/>
      </c>
      <c r="B162" s="2" t="str">
        <f>シフト組み!B192&amp;""</f>
        <v/>
      </c>
      <c r="C162" s="2" t="str">
        <f>シフト組み!C192&amp;""</f>
        <v/>
      </c>
      <c r="D162" s="17" t="str">
        <f>IFERROR(VLOOKUP(シフト組み!D192,役職一覧!$B:$D,2,FALSE),"")</f>
        <v/>
      </c>
      <c r="E162" s="17" t="str">
        <f>IFERROR(VLOOKUP(シフト組み!E192,役職一覧!$B:$D,2,FALSE),"")</f>
        <v/>
      </c>
      <c r="F162" s="17" t="str">
        <f>IFERROR(VLOOKUP(シフト組み!F192,役職一覧!$B:$D,2,FALSE),"")</f>
        <v/>
      </c>
      <c r="G162" s="17" t="str">
        <f>IFERROR(VLOOKUP(シフト組み!G192,役職一覧!$B:$D,2,FALSE),"")</f>
        <v/>
      </c>
      <c r="H162" s="17" t="str">
        <f>IFERROR(VLOOKUP(シフト組み!H192,役職一覧!$B:$D,2,FALSE),"")</f>
        <v/>
      </c>
      <c r="I162" s="17" t="str">
        <f>IFERROR(VLOOKUP(シフト組み!I192,役職一覧!$B:$D,2,FALSE),"")</f>
        <v/>
      </c>
      <c r="J162" s="17" t="str">
        <f>IFERROR(VLOOKUP(シフト組み!J192,役職一覧!$B:$D,2,FALSE),"")</f>
        <v/>
      </c>
      <c r="K162" s="17" t="str">
        <f>IFERROR(VLOOKUP(シフト組み!K192,役職一覧!$B:$D,2,FALSE),"")</f>
        <v/>
      </c>
      <c r="L162" s="17" t="str">
        <f>IFERROR(VLOOKUP(シフト組み!L192,役職一覧!$B:$D,2,FALSE),"")</f>
        <v/>
      </c>
      <c r="M162" s="17" t="str">
        <f>IFERROR(VLOOKUP(シフト組み!M192,役職一覧!$B:$D,2,FALSE),"")</f>
        <v/>
      </c>
      <c r="N162" s="17" t="str">
        <f>IFERROR(VLOOKUP(シフト組み!N192,役職一覧!$B:$D,2,FALSE),"")</f>
        <v/>
      </c>
      <c r="O162" s="17" t="str">
        <f>IFERROR(VLOOKUP(シフト組み!O192,役職一覧!$B:$D,2,FALSE),"")</f>
        <v/>
      </c>
      <c r="P162" s="17" t="str">
        <f>IFERROR(VLOOKUP(シフト組み!P192,役職一覧!$B:$D,2,FALSE),"")</f>
        <v/>
      </c>
      <c r="Q162" s="17" t="str">
        <f>IFERROR(VLOOKUP(シフト組み!Q192,役職一覧!$B:$D,2,FALSE),"")</f>
        <v/>
      </c>
      <c r="R162" s="17" t="str">
        <f>IFERROR(VLOOKUP(シフト組み!R192,役職一覧!$B:$D,2,FALSE),"")</f>
        <v/>
      </c>
      <c r="S162" s="17" t="str">
        <f>IFERROR(VLOOKUP(シフト組み!S192,役職一覧!$B:$D,2,FALSE),"")</f>
        <v/>
      </c>
      <c r="T162" s="17" t="str">
        <f>IFERROR(VLOOKUP(シフト組み!T192,役職一覧!$B:$D,2,FALSE),"")</f>
        <v/>
      </c>
      <c r="U162" s="17" t="str">
        <f>IFERROR(VLOOKUP(シフト組み!U192,役職一覧!$B:$D,2,FALSE),"")</f>
        <v/>
      </c>
      <c r="V162" s="17" t="str">
        <f>IFERROR(VLOOKUP(シフト組み!V192,役職一覧!$B:$D,2,FALSE),"")</f>
        <v/>
      </c>
      <c r="W162" s="17" t="str">
        <f>IFERROR(VLOOKUP(シフト組み!W192,役職一覧!$B:$D,2,FALSE),"")</f>
        <v/>
      </c>
      <c r="X162" s="17" t="str">
        <f>IFERROR(VLOOKUP(シフト組み!X192,役職一覧!$B:$D,2,FALSE),"")</f>
        <v/>
      </c>
      <c r="Y162" s="17" t="str">
        <f>IFERROR(VLOOKUP(シフト組み!Y192,役職一覧!$B:$D,2,FALSE),"")</f>
        <v/>
      </c>
      <c r="Z162" s="17" t="str">
        <f>IFERROR(VLOOKUP(シフト組み!Z192,役職一覧!$B:$D,2,FALSE),"")</f>
        <v/>
      </c>
      <c r="AA162" s="17" t="str">
        <f>IFERROR(VLOOKUP(シフト組み!AA192,役職一覧!$B:$D,2,FALSE),"")</f>
        <v/>
      </c>
      <c r="AB162" s="17" t="str">
        <f>IFERROR(VLOOKUP(シフト組み!AB192,役職一覧!$B:$D,2,FALSE),"")</f>
        <v/>
      </c>
      <c r="AC162" s="17" t="str">
        <f>IFERROR(VLOOKUP(シフト組み!AC192,役職一覧!$B:$D,2,FALSE),"")</f>
        <v/>
      </c>
      <c r="AD162" s="17" t="str">
        <f>IFERROR(VLOOKUP(シフト組み!AD192,役職一覧!$B:$D,2,FALSE),"")</f>
        <v/>
      </c>
      <c r="AE162" s="17" t="str">
        <f>IFERROR(VLOOKUP(シフト組み!AE192,役職一覧!$B:$D,2,FALSE),"")</f>
        <v/>
      </c>
      <c r="AF162" s="17" t="str">
        <f>IFERROR(VLOOKUP(シフト組み!AF192,役職一覧!$B:$D,2,FALSE),"")</f>
        <v/>
      </c>
      <c r="AG162" s="17" t="str">
        <f>IFERROR(VLOOKUP(シフト組み!AG192,役職一覧!$B:$D,2,FALSE),"")</f>
        <v/>
      </c>
      <c r="AH162" s="17" t="str">
        <f>IFERROR(VLOOKUP(シフト組み!AH192,役職一覧!$B:$D,3,FALSE),"")</f>
        <v/>
      </c>
      <c r="AI162" s="17" t="str">
        <f>IFERROR(VLOOKUP(シフト組み!AI192,役職一覧!$B:$D,3,FALSE),"")</f>
        <v/>
      </c>
      <c r="AJ162" s="17" t="str">
        <f>IFERROR(VLOOKUP(シフト組み!AJ192,役職一覧!$B:$D,3,FALSE),"")</f>
        <v/>
      </c>
      <c r="AK162" s="17" t="str">
        <f>IFERROR(VLOOKUP(シフト組み!AK192,役職一覧!$B:$D,3,FALSE),"")</f>
        <v/>
      </c>
      <c r="AL162" s="17" t="str">
        <f>IFERROR(VLOOKUP(シフト組み!AL192,役職一覧!$B:$D,3,FALSE),"")</f>
        <v/>
      </c>
      <c r="AM162" s="17" t="str">
        <f>IFERROR(VLOOKUP(シフト組み!AM192,役職一覧!$B:$D,3,FALSE),"")</f>
        <v/>
      </c>
      <c r="AN162" s="17" t="str">
        <f>IFERROR(VLOOKUP(シフト組み!AN192,役職一覧!$B:$D,3,FALSE),"")</f>
        <v/>
      </c>
      <c r="AO162" s="17" t="str">
        <f>IFERROR(VLOOKUP(シフト組み!AO192,役職一覧!$B:$D,3,FALSE),"")</f>
        <v/>
      </c>
      <c r="AP162" s="17" t="str">
        <f>IFERROR(VLOOKUP(シフト組み!AP192,役職一覧!$B:$D,3,FALSE),"")</f>
        <v/>
      </c>
      <c r="AQ162" s="17" t="str">
        <f>IFERROR(VLOOKUP(シフト組み!AQ192,役職一覧!$B:$D,3,FALSE),"")</f>
        <v/>
      </c>
      <c r="AR162" s="17" t="str">
        <f>IFERROR(VLOOKUP(シフト組み!AR192,役職一覧!$B:$D,3,FALSE),"")</f>
        <v/>
      </c>
      <c r="AS162" s="17" t="str">
        <f>IFERROR(VLOOKUP(シフト組み!AS192,役職一覧!$B:$D,3,FALSE),"")</f>
        <v/>
      </c>
      <c r="AT162" s="17" t="str">
        <f>IFERROR(VLOOKUP(シフト組み!AT192,役職一覧!$B:$D,3,FALSE),"")</f>
        <v/>
      </c>
      <c r="AU162" s="17" t="str">
        <f>IFERROR(VLOOKUP(シフト組み!AU192,役職一覧!$B:$D,3,FALSE),"")</f>
        <v/>
      </c>
      <c r="AV162" s="17" t="str">
        <f>IFERROR(VLOOKUP(シフト組み!AV192,役職一覧!$B:$D,3,FALSE),"")</f>
        <v/>
      </c>
      <c r="AW162" s="17" t="str">
        <f>IFERROR(VLOOKUP(シフト組み!AW192,役職一覧!$B:$D,3,FALSE),"")</f>
        <v/>
      </c>
      <c r="AX162" s="17" t="str">
        <f>IFERROR(VLOOKUP(シフト組み!AX192,役職一覧!$B:$D,3,FALSE),"")</f>
        <v/>
      </c>
      <c r="AY162" s="17" t="str">
        <f>IFERROR(VLOOKUP(シフト組み!AY192,役職一覧!$B:$D,3,FALSE),"")</f>
        <v/>
      </c>
      <c r="AZ162" s="17" t="str">
        <f>IFERROR(VLOOKUP(シフト組み!AZ192,役職一覧!$B:$D,3,FALSE),"")</f>
        <v/>
      </c>
      <c r="BA162" s="17" t="str">
        <f>IFERROR(VLOOKUP(シフト組み!BA192,役職一覧!$B:$D,3,FALSE),"")</f>
        <v/>
      </c>
    </row>
    <row r="163" spans="1:53">
      <c r="A163" s="2" t="str">
        <f>シフト組み!A193&amp;""</f>
        <v/>
      </c>
      <c r="B163" s="2" t="str">
        <f>シフト組み!B193&amp;""</f>
        <v/>
      </c>
      <c r="C163" s="2" t="str">
        <f>シフト組み!C193&amp;""</f>
        <v/>
      </c>
      <c r="D163" s="17" t="str">
        <f>IFERROR(VLOOKUP(シフト組み!D193,役職一覧!$B:$D,2,FALSE),"")</f>
        <v/>
      </c>
      <c r="E163" s="17" t="str">
        <f>IFERROR(VLOOKUP(シフト組み!E193,役職一覧!$B:$D,2,FALSE),"")</f>
        <v/>
      </c>
      <c r="F163" s="17" t="str">
        <f>IFERROR(VLOOKUP(シフト組み!F193,役職一覧!$B:$D,2,FALSE),"")</f>
        <v/>
      </c>
      <c r="G163" s="17" t="str">
        <f>IFERROR(VLOOKUP(シフト組み!G193,役職一覧!$B:$D,2,FALSE),"")</f>
        <v/>
      </c>
      <c r="H163" s="17" t="str">
        <f>IFERROR(VLOOKUP(シフト組み!H193,役職一覧!$B:$D,2,FALSE),"")</f>
        <v/>
      </c>
      <c r="I163" s="17" t="str">
        <f>IFERROR(VLOOKUP(シフト組み!I193,役職一覧!$B:$D,2,FALSE),"")</f>
        <v/>
      </c>
      <c r="J163" s="17" t="str">
        <f>IFERROR(VLOOKUP(シフト組み!J193,役職一覧!$B:$D,2,FALSE),"")</f>
        <v/>
      </c>
      <c r="K163" s="17" t="str">
        <f>IFERROR(VLOOKUP(シフト組み!K193,役職一覧!$B:$D,2,FALSE),"")</f>
        <v/>
      </c>
      <c r="L163" s="17" t="str">
        <f>IFERROR(VLOOKUP(シフト組み!L193,役職一覧!$B:$D,2,FALSE),"")</f>
        <v/>
      </c>
      <c r="M163" s="17" t="str">
        <f>IFERROR(VLOOKUP(シフト組み!M193,役職一覧!$B:$D,2,FALSE),"")</f>
        <v/>
      </c>
      <c r="N163" s="17" t="str">
        <f>IFERROR(VLOOKUP(シフト組み!N193,役職一覧!$B:$D,2,FALSE),"")</f>
        <v/>
      </c>
      <c r="O163" s="17" t="str">
        <f>IFERROR(VLOOKUP(シフト組み!O193,役職一覧!$B:$D,2,FALSE),"")</f>
        <v/>
      </c>
      <c r="P163" s="17" t="str">
        <f>IFERROR(VLOOKUP(シフト組み!P193,役職一覧!$B:$D,2,FALSE),"")</f>
        <v/>
      </c>
      <c r="Q163" s="17" t="str">
        <f>IFERROR(VLOOKUP(シフト組み!Q193,役職一覧!$B:$D,2,FALSE),"")</f>
        <v/>
      </c>
      <c r="R163" s="17" t="str">
        <f>IFERROR(VLOOKUP(シフト組み!R193,役職一覧!$B:$D,2,FALSE),"")</f>
        <v/>
      </c>
      <c r="S163" s="17" t="str">
        <f>IFERROR(VLOOKUP(シフト組み!S193,役職一覧!$B:$D,2,FALSE),"")</f>
        <v/>
      </c>
      <c r="T163" s="17" t="str">
        <f>IFERROR(VLOOKUP(シフト組み!T193,役職一覧!$B:$D,2,FALSE),"")</f>
        <v/>
      </c>
      <c r="U163" s="17" t="str">
        <f>IFERROR(VLOOKUP(シフト組み!U193,役職一覧!$B:$D,2,FALSE),"")</f>
        <v/>
      </c>
      <c r="V163" s="17" t="str">
        <f>IFERROR(VLOOKUP(シフト組み!V193,役職一覧!$B:$D,2,FALSE),"")</f>
        <v/>
      </c>
      <c r="W163" s="17" t="str">
        <f>IFERROR(VLOOKUP(シフト組み!W193,役職一覧!$B:$D,2,FALSE),"")</f>
        <v/>
      </c>
      <c r="X163" s="17" t="str">
        <f>IFERROR(VLOOKUP(シフト組み!X193,役職一覧!$B:$D,2,FALSE),"")</f>
        <v/>
      </c>
      <c r="Y163" s="17" t="str">
        <f>IFERROR(VLOOKUP(シフト組み!Y193,役職一覧!$B:$D,2,FALSE),"")</f>
        <v/>
      </c>
      <c r="Z163" s="17" t="str">
        <f>IFERROR(VLOOKUP(シフト組み!Z193,役職一覧!$B:$D,2,FALSE),"")</f>
        <v/>
      </c>
      <c r="AA163" s="17" t="str">
        <f>IFERROR(VLOOKUP(シフト組み!AA193,役職一覧!$B:$D,2,FALSE),"")</f>
        <v/>
      </c>
      <c r="AB163" s="17" t="str">
        <f>IFERROR(VLOOKUP(シフト組み!AB193,役職一覧!$B:$D,2,FALSE),"")</f>
        <v/>
      </c>
      <c r="AC163" s="17" t="str">
        <f>IFERROR(VLOOKUP(シフト組み!AC193,役職一覧!$B:$D,2,FALSE),"")</f>
        <v/>
      </c>
      <c r="AD163" s="17" t="str">
        <f>IFERROR(VLOOKUP(シフト組み!AD193,役職一覧!$B:$D,2,FALSE),"")</f>
        <v/>
      </c>
      <c r="AE163" s="17" t="str">
        <f>IFERROR(VLOOKUP(シフト組み!AE193,役職一覧!$B:$D,2,FALSE),"")</f>
        <v/>
      </c>
      <c r="AF163" s="17" t="str">
        <f>IFERROR(VLOOKUP(シフト組み!AF193,役職一覧!$B:$D,2,FALSE),"")</f>
        <v/>
      </c>
      <c r="AG163" s="17" t="str">
        <f>IFERROR(VLOOKUP(シフト組み!AG193,役職一覧!$B:$D,2,FALSE),"")</f>
        <v/>
      </c>
      <c r="AH163" s="17" t="str">
        <f>IFERROR(VLOOKUP(シフト組み!AH193,役職一覧!$B:$D,3,FALSE),"")</f>
        <v/>
      </c>
      <c r="AI163" s="17" t="str">
        <f>IFERROR(VLOOKUP(シフト組み!AI193,役職一覧!$B:$D,3,FALSE),"")</f>
        <v/>
      </c>
      <c r="AJ163" s="17" t="str">
        <f>IFERROR(VLOOKUP(シフト組み!AJ193,役職一覧!$B:$D,3,FALSE),"")</f>
        <v/>
      </c>
      <c r="AK163" s="17" t="str">
        <f>IFERROR(VLOOKUP(シフト組み!AK193,役職一覧!$B:$D,3,FALSE),"")</f>
        <v/>
      </c>
      <c r="AL163" s="17" t="str">
        <f>IFERROR(VLOOKUP(シフト組み!AL193,役職一覧!$B:$D,3,FALSE),"")</f>
        <v/>
      </c>
      <c r="AM163" s="17" t="str">
        <f>IFERROR(VLOOKUP(シフト組み!AM193,役職一覧!$B:$D,3,FALSE),"")</f>
        <v/>
      </c>
      <c r="AN163" s="17" t="str">
        <f>IFERROR(VLOOKUP(シフト組み!AN193,役職一覧!$B:$D,3,FALSE),"")</f>
        <v/>
      </c>
      <c r="AO163" s="17" t="str">
        <f>IFERROR(VLOOKUP(シフト組み!AO193,役職一覧!$B:$D,3,FALSE),"")</f>
        <v/>
      </c>
      <c r="AP163" s="17" t="str">
        <f>IFERROR(VLOOKUP(シフト組み!AP193,役職一覧!$B:$D,3,FALSE),"")</f>
        <v/>
      </c>
      <c r="AQ163" s="17" t="str">
        <f>IFERROR(VLOOKUP(シフト組み!AQ193,役職一覧!$B:$D,3,FALSE),"")</f>
        <v/>
      </c>
      <c r="AR163" s="17" t="str">
        <f>IFERROR(VLOOKUP(シフト組み!AR193,役職一覧!$B:$D,3,FALSE),"")</f>
        <v/>
      </c>
      <c r="AS163" s="17" t="str">
        <f>IFERROR(VLOOKUP(シフト組み!AS193,役職一覧!$B:$D,3,FALSE),"")</f>
        <v/>
      </c>
      <c r="AT163" s="17" t="str">
        <f>IFERROR(VLOOKUP(シフト組み!AT193,役職一覧!$B:$D,3,FALSE),"")</f>
        <v/>
      </c>
      <c r="AU163" s="17" t="str">
        <f>IFERROR(VLOOKUP(シフト組み!AU193,役職一覧!$B:$D,3,FALSE),"")</f>
        <v/>
      </c>
      <c r="AV163" s="17" t="str">
        <f>IFERROR(VLOOKUP(シフト組み!AV193,役職一覧!$B:$D,3,FALSE),"")</f>
        <v/>
      </c>
      <c r="AW163" s="17" t="str">
        <f>IFERROR(VLOOKUP(シフト組み!AW193,役職一覧!$B:$D,3,FALSE),"")</f>
        <v/>
      </c>
      <c r="AX163" s="17" t="str">
        <f>IFERROR(VLOOKUP(シフト組み!AX193,役職一覧!$B:$D,3,FALSE),"")</f>
        <v/>
      </c>
      <c r="AY163" s="17" t="str">
        <f>IFERROR(VLOOKUP(シフト組み!AY193,役職一覧!$B:$D,3,FALSE),"")</f>
        <v/>
      </c>
      <c r="AZ163" s="17" t="str">
        <f>IFERROR(VLOOKUP(シフト組み!AZ193,役職一覧!$B:$D,3,FALSE),"")</f>
        <v/>
      </c>
      <c r="BA163" s="17" t="str">
        <f>IFERROR(VLOOKUP(シフト組み!BA193,役職一覧!$B:$D,3,FALSE),"")</f>
        <v/>
      </c>
    </row>
    <row r="164" spans="1:53">
      <c r="A164" s="2" t="str">
        <f>シフト組み!A194&amp;""</f>
        <v/>
      </c>
      <c r="B164" s="2" t="str">
        <f>シフト組み!B194&amp;""</f>
        <v/>
      </c>
      <c r="C164" s="2" t="str">
        <f>シフト組み!C194&amp;""</f>
        <v/>
      </c>
      <c r="D164" s="17" t="str">
        <f>IFERROR(VLOOKUP(シフト組み!D194,役職一覧!$B:$D,2,FALSE),"")</f>
        <v/>
      </c>
      <c r="E164" s="17" t="str">
        <f>IFERROR(VLOOKUP(シフト組み!E194,役職一覧!$B:$D,2,FALSE),"")</f>
        <v/>
      </c>
      <c r="F164" s="17" t="str">
        <f>IFERROR(VLOOKUP(シフト組み!F194,役職一覧!$B:$D,2,FALSE),"")</f>
        <v/>
      </c>
      <c r="G164" s="17" t="str">
        <f>IFERROR(VLOOKUP(シフト組み!G194,役職一覧!$B:$D,2,FALSE),"")</f>
        <v/>
      </c>
      <c r="H164" s="17" t="str">
        <f>IFERROR(VLOOKUP(シフト組み!H194,役職一覧!$B:$D,2,FALSE),"")</f>
        <v/>
      </c>
      <c r="I164" s="17" t="str">
        <f>IFERROR(VLOOKUP(シフト組み!I194,役職一覧!$B:$D,2,FALSE),"")</f>
        <v/>
      </c>
      <c r="J164" s="17" t="str">
        <f>IFERROR(VLOOKUP(シフト組み!J194,役職一覧!$B:$D,2,FALSE),"")</f>
        <v/>
      </c>
      <c r="K164" s="17" t="str">
        <f>IFERROR(VLOOKUP(シフト組み!K194,役職一覧!$B:$D,2,FALSE),"")</f>
        <v/>
      </c>
      <c r="L164" s="17" t="str">
        <f>IFERROR(VLOOKUP(シフト組み!L194,役職一覧!$B:$D,2,FALSE),"")</f>
        <v/>
      </c>
      <c r="M164" s="17" t="str">
        <f>IFERROR(VLOOKUP(シフト組み!M194,役職一覧!$B:$D,2,FALSE),"")</f>
        <v/>
      </c>
      <c r="N164" s="17" t="str">
        <f>IFERROR(VLOOKUP(シフト組み!N194,役職一覧!$B:$D,2,FALSE),"")</f>
        <v/>
      </c>
      <c r="O164" s="17" t="str">
        <f>IFERROR(VLOOKUP(シフト組み!O194,役職一覧!$B:$D,2,FALSE),"")</f>
        <v/>
      </c>
      <c r="P164" s="17" t="str">
        <f>IFERROR(VLOOKUP(シフト組み!P194,役職一覧!$B:$D,2,FALSE),"")</f>
        <v/>
      </c>
      <c r="Q164" s="17" t="str">
        <f>IFERROR(VLOOKUP(シフト組み!Q194,役職一覧!$B:$D,2,FALSE),"")</f>
        <v/>
      </c>
      <c r="R164" s="17" t="str">
        <f>IFERROR(VLOOKUP(シフト組み!R194,役職一覧!$B:$D,2,FALSE),"")</f>
        <v/>
      </c>
      <c r="S164" s="17" t="str">
        <f>IFERROR(VLOOKUP(シフト組み!S194,役職一覧!$B:$D,2,FALSE),"")</f>
        <v/>
      </c>
      <c r="T164" s="17" t="str">
        <f>IFERROR(VLOOKUP(シフト組み!T194,役職一覧!$B:$D,2,FALSE),"")</f>
        <v/>
      </c>
      <c r="U164" s="17" t="str">
        <f>IFERROR(VLOOKUP(シフト組み!U194,役職一覧!$B:$D,2,FALSE),"")</f>
        <v/>
      </c>
      <c r="V164" s="17" t="str">
        <f>IFERROR(VLOOKUP(シフト組み!V194,役職一覧!$B:$D,2,FALSE),"")</f>
        <v/>
      </c>
      <c r="W164" s="17" t="str">
        <f>IFERROR(VLOOKUP(シフト組み!W194,役職一覧!$B:$D,2,FALSE),"")</f>
        <v/>
      </c>
      <c r="X164" s="17" t="str">
        <f>IFERROR(VLOOKUP(シフト組み!X194,役職一覧!$B:$D,2,FALSE),"")</f>
        <v/>
      </c>
      <c r="Y164" s="17" t="str">
        <f>IFERROR(VLOOKUP(シフト組み!Y194,役職一覧!$B:$D,2,FALSE),"")</f>
        <v/>
      </c>
      <c r="Z164" s="17" t="str">
        <f>IFERROR(VLOOKUP(シフト組み!Z194,役職一覧!$B:$D,2,FALSE),"")</f>
        <v/>
      </c>
      <c r="AA164" s="17" t="str">
        <f>IFERROR(VLOOKUP(シフト組み!AA194,役職一覧!$B:$D,2,FALSE),"")</f>
        <v/>
      </c>
      <c r="AB164" s="17" t="str">
        <f>IFERROR(VLOOKUP(シフト組み!AB194,役職一覧!$B:$D,2,FALSE),"")</f>
        <v/>
      </c>
      <c r="AC164" s="17" t="str">
        <f>IFERROR(VLOOKUP(シフト組み!AC194,役職一覧!$B:$D,2,FALSE),"")</f>
        <v/>
      </c>
      <c r="AD164" s="17" t="str">
        <f>IFERROR(VLOOKUP(シフト組み!AD194,役職一覧!$B:$D,2,FALSE),"")</f>
        <v/>
      </c>
      <c r="AE164" s="17" t="str">
        <f>IFERROR(VLOOKUP(シフト組み!AE194,役職一覧!$B:$D,2,FALSE),"")</f>
        <v/>
      </c>
      <c r="AF164" s="17" t="str">
        <f>IFERROR(VLOOKUP(シフト組み!AF194,役職一覧!$B:$D,2,FALSE),"")</f>
        <v/>
      </c>
      <c r="AG164" s="17" t="str">
        <f>IFERROR(VLOOKUP(シフト組み!AG194,役職一覧!$B:$D,2,FALSE),"")</f>
        <v/>
      </c>
      <c r="AH164" s="17" t="str">
        <f>IFERROR(VLOOKUP(シフト組み!AH194,役職一覧!$B:$D,3,FALSE),"")</f>
        <v/>
      </c>
      <c r="AI164" s="17" t="str">
        <f>IFERROR(VLOOKUP(シフト組み!AI194,役職一覧!$B:$D,3,FALSE),"")</f>
        <v/>
      </c>
      <c r="AJ164" s="17" t="str">
        <f>IFERROR(VLOOKUP(シフト組み!AJ194,役職一覧!$B:$D,3,FALSE),"")</f>
        <v/>
      </c>
      <c r="AK164" s="17" t="str">
        <f>IFERROR(VLOOKUP(シフト組み!AK194,役職一覧!$B:$D,3,FALSE),"")</f>
        <v/>
      </c>
      <c r="AL164" s="17" t="str">
        <f>IFERROR(VLOOKUP(シフト組み!AL194,役職一覧!$B:$D,3,FALSE),"")</f>
        <v/>
      </c>
      <c r="AM164" s="17" t="str">
        <f>IFERROR(VLOOKUP(シフト組み!AM194,役職一覧!$B:$D,3,FALSE),"")</f>
        <v/>
      </c>
      <c r="AN164" s="17" t="str">
        <f>IFERROR(VLOOKUP(シフト組み!AN194,役職一覧!$B:$D,3,FALSE),"")</f>
        <v/>
      </c>
      <c r="AO164" s="17" t="str">
        <f>IFERROR(VLOOKUP(シフト組み!AO194,役職一覧!$B:$D,3,FALSE),"")</f>
        <v/>
      </c>
      <c r="AP164" s="17" t="str">
        <f>IFERROR(VLOOKUP(シフト組み!AP194,役職一覧!$B:$D,3,FALSE),"")</f>
        <v/>
      </c>
      <c r="AQ164" s="17" t="str">
        <f>IFERROR(VLOOKUP(シフト組み!AQ194,役職一覧!$B:$D,3,FALSE),"")</f>
        <v/>
      </c>
      <c r="AR164" s="17" t="str">
        <f>IFERROR(VLOOKUP(シフト組み!AR194,役職一覧!$B:$D,3,FALSE),"")</f>
        <v/>
      </c>
      <c r="AS164" s="17" t="str">
        <f>IFERROR(VLOOKUP(シフト組み!AS194,役職一覧!$B:$D,3,FALSE),"")</f>
        <v/>
      </c>
      <c r="AT164" s="17" t="str">
        <f>IFERROR(VLOOKUP(シフト組み!AT194,役職一覧!$B:$D,3,FALSE),"")</f>
        <v/>
      </c>
      <c r="AU164" s="17" t="str">
        <f>IFERROR(VLOOKUP(シフト組み!AU194,役職一覧!$B:$D,3,FALSE),"")</f>
        <v/>
      </c>
      <c r="AV164" s="17" t="str">
        <f>IFERROR(VLOOKUP(シフト組み!AV194,役職一覧!$B:$D,3,FALSE),"")</f>
        <v/>
      </c>
      <c r="AW164" s="17" t="str">
        <f>IFERROR(VLOOKUP(シフト組み!AW194,役職一覧!$B:$D,3,FALSE),"")</f>
        <v/>
      </c>
      <c r="AX164" s="17" t="str">
        <f>IFERROR(VLOOKUP(シフト組み!AX194,役職一覧!$B:$D,3,FALSE),"")</f>
        <v/>
      </c>
      <c r="AY164" s="17" t="str">
        <f>IFERROR(VLOOKUP(シフト組み!AY194,役職一覧!$B:$D,3,FALSE),"")</f>
        <v/>
      </c>
      <c r="AZ164" s="17" t="str">
        <f>IFERROR(VLOOKUP(シフト組み!AZ194,役職一覧!$B:$D,3,FALSE),"")</f>
        <v/>
      </c>
      <c r="BA164" s="17" t="str">
        <f>IFERROR(VLOOKUP(シフト組み!BA194,役職一覧!$B:$D,3,FALSE),"")</f>
        <v/>
      </c>
    </row>
    <row r="165" spans="1:53">
      <c r="A165" s="2" t="str">
        <f>シフト組み!A195&amp;""</f>
        <v/>
      </c>
      <c r="B165" s="2" t="str">
        <f>シフト組み!B195&amp;""</f>
        <v/>
      </c>
      <c r="C165" s="2" t="str">
        <f>シフト組み!C195&amp;""</f>
        <v/>
      </c>
      <c r="D165" s="17" t="str">
        <f>IFERROR(VLOOKUP(シフト組み!D195,役職一覧!$B:$D,2,FALSE),"")</f>
        <v/>
      </c>
      <c r="E165" s="17" t="str">
        <f>IFERROR(VLOOKUP(シフト組み!E195,役職一覧!$B:$D,2,FALSE),"")</f>
        <v/>
      </c>
      <c r="F165" s="17" t="str">
        <f>IFERROR(VLOOKUP(シフト組み!F195,役職一覧!$B:$D,2,FALSE),"")</f>
        <v/>
      </c>
      <c r="G165" s="17" t="str">
        <f>IFERROR(VLOOKUP(シフト組み!G195,役職一覧!$B:$D,2,FALSE),"")</f>
        <v/>
      </c>
      <c r="H165" s="17" t="str">
        <f>IFERROR(VLOOKUP(シフト組み!H195,役職一覧!$B:$D,2,FALSE),"")</f>
        <v/>
      </c>
      <c r="I165" s="17" t="str">
        <f>IFERROR(VLOOKUP(シフト組み!I195,役職一覧!$B:$D,2,FALSE),"")</f>
        <v/>
      </c>
      <c r="J165" s="17" t="str">
        <f>IFERROR(VLOOKUP(シフト組み!J195,役職一覧!$B:$D,2,FALSE),"")</f>
        <v/>
      </c>
      <c r="K165" s="17" t="str">
        <f>IFERROR(VLOOKUP(シフト組み!K195,役職一覧!$B:$D,2,FALSE),"")</f>
        <v/>
      </c>
      <c r="L165" s="17" t="str">
        <f>IFERROR(VLOOKUP(シフト組み!L195,役職一覧!$B:$D,2,FALSE),"")</f>
        <v/>
      </c>
      <c r="M165" s="17" t="str">
        <f>IFERROR(VLOOKUP(シフト組み!M195,役職一覧!$B:$D,2,FALSE),"")</f>
        <v/>
      </c>
      <c r="N165" s="17" t="str">
        <f>IFERROR(VLOOKUP(シフト組み!N195,役職一覧!$B:$D,2,FALSE),"")</f>
        <v/>
      </c>
      <c r="O165" s="17" t="str">
        <f>IFERROR(VLOOKUP(シフト組み!O195,役職一覧!$B:$D,2,FALSE),"")</f>
        <v/>
      </c>
      <c r="P165" s="17" t="str">
        <f>IFERROR(VLOOKUP(シフト組み!P195,役職一覧!$B:$D,2,FALSE),"")</f>
        <v/>
      </c>
      <c r="Q165" s="17" t="str">
        <f>IFERROR(VLOOKUP(シフト組み!Q195,役職一覧!$B:$D,2,FALSE),"")</f>
        <v/>
      </c>
      <c r="R165" s="17" t="str">
        <f>IFERROR(VLOOKUP(シフト組み!R195,役職一覧!$B:$D,2,FALSE),"")</f>
        <v/>
      </c>
      <c r="S165" s="17" t="str">
        <f>IFERROR(VLOOKUP(シフト組み!S195,役職一覧!$B:$D,2,FALSE),"")</f>
        <v/>
      </c>
      <c r="T165" s="17" t="str">
        <f>IFERROR(VLOOKUP(シフト組み!T195,役職一覧!$B:$D,2,FALSE),"")</f>
        <v/>
      </c>
      <c r="U165" s="17" t="str">
        <f>IFERROR(VLOOKUP(シフト組み!U195,役職一覧!$B:$D,2,FALSE),"")</f>
        <v/>
      </c>
      <c r="V165" s="17" t="str">
        <f>IFERROR(VLOOKUP(シフト組み!V195,役職一覧!$B:$D,2,FALSE),"")</f>
        <v/>
      </c>
      <c r="W165" s="17" t="str">
        <f>IFERROR(VLOOKUP(シフト組み!W195,役職一覧!$B:$D,2,FALSE),"")</f>
        <v/>
      </c>
      <c r="X165" s="17" t="str">
        <f>IFERROR(VLOOKUP(シフト組み!X195,役職一覧!$B:$D,2,FALSE),"")</f>
        <v/>
      </c>
      <c r="Y165" s="17" t="str">
        <f>IFERROR(VLOOKUP(シフト組み!Y195,役職一覧!$B:$D,2,FALSE),"")</f>
        <v/>
      </c>
      <c r="Z165" s="17" t="str">
        <f>IFERROR(VLOOKUP(シフト組み!Z195,役職一覧!$B:$D,2,FALSE),"")</f>
        <v/>
      </c>
      <c r="AA165" s="17" t="str">
        <f>IFERROR(VLOOKUP(シフト組み!AA195,役職一覧!$B:$D,2,FALSE),"")</f>
        <v/>
      </c>
      <c r="AB165" s="17" t="str">
        <f>IFERROR(VLOOKUP(シフト組み!AB195,役職一覧!$B:$D,2,FALSE),"")</f>
        <v/>
      </c>
      <c r="AC165" s="17" t="str">
        <f>IFERROR(VLOOKUP(シフト組み!AC195,役職一覧!$B:$D,2,FALSE),"")</f>
        <v/>
      </c>
      <c r="AD165" s="17" t="str">
        <f>IFERROR(VLOOKUP(シフト組み!AD195,役職一覧!$B:$D,2,FALSE),"")</f>
        <v/>
      </c>
      <c r="AE165" s="17" t="str">
        <f>IFERROR(VLOOKUP(シフト組み!AE195,役職一覧!$B:$D,2,FALSE),"")</f>
        <v/>
      </c>
      <c r="AF165" s="17" t="str">
        <f>IFERROR(VLOOKUP(シフト組み!AF195,役職一覧!$B:$D,2,FALSE),"")</f>
        <v/>
      </c>
      <c r="AG165" s="17" t="str">
        <f>IFERROR(VLOOKUP(シフト組み!AG195,役職一覧!$B:$D,2,FALSE),"")</f>
        <v/>
      </c>
      <c r="AH165" s="17" t="str">
        <f>IFERROR(VLOOKUP(シフト組み!AH195,役職一覧!$B:$D,3,FALSE),"")</f>
        <v/>
      </c>
      <c r="AI165" s="17" t="str">
        <f>IFERROR(VLOOKUP(シフト組み!AI195,役職一覧!$B:$D,3,FALSE),"")</f>
        <v/>
      </c>
      <c r="AJ165" s="17" t="str">
        <f>IFERROR(VLOOKUP(シフト組み!AJ195,役職一覧!$B:$D,3,FALSE),"")</f>
        <v/>
      </c>
      <c r="AK165" s="17" t="str">
        <f>IFERROR(VLOOKUP(シフト組み!AK195,役職一覧!$B:$D,3,FALSE),"")</f>
        <v/>
      </c>
      <c r="AL165" s="17" t="str">
        <f>IFERROR(VLOOKUP(シフト組み!AL195,役職一覧!$B:$D,3,FALSE),"")</f>
        <v/>
      </c>
      <c r="AM165" s="17" t="str">
        <f>IFERROR(VLOOKUP(シフト組み!AM195,役職一覧!$B:$D,3,FALSE),"")</f>
        <v/>
      </c>
      <c r="AN165" s="17" t="str">
        <f>IFERROR(VLOOKUP(シフト組み!AN195,役職一覧!$B:$D,3,FALSE),"")</f>
        <v/>
      </c>
      <c r="AO165" s="17" t="str">
        <f>IFERROR(VLOOKUP(シフト組み!AO195,役職一覧!$B:$D,3,FALSE),"")</f>
        <v/>
      </c>
      <c r="AP165" s="17" t="str">
        <f>IFERROR(VLOOKUP(シフト組み!AP195,役職一覧!$B:$D,3,FALSE),"")</f>
        <v/>
      </c>
      <c r="AQ165" s="17" t="str">
        <f>IFERROR(VLOOKUP(シフト組み!AQ195,役職一覧!$B:$D,3,FALSE),"")</f>
        <v/>
      </c>
      <c r="AR165" s="17" t="str">
        <f>IFERROR(VLOOKUP(シフト組み!AR195,役職一覧!$B:$D,3,FALSE),"")</f>
        <v/>
      </c>
      <c r="AS165" s="17" t="str">
        <f>IFERROR(VLOOKUP(シフト組み!AS195,役職一覧!$B:$D,3,FALSE),"")</f>
        <v/>
      </c>
      <c r="AT165" s="17" t="str">
        <f>IFERROR(VLOOKUP(シフト組み!AT195,役職一覧!$B:$D,3,FALSE),"")</f>
        <v/>
      </c>
      <c r="AU165" s="17" t="str">
        <f>IFERROR(VLOOKUP(シフト組み!AU195,役職一覧!$B:$D,3,FALSE),"")</f>
        <v/>
      </c>
      <c r="AV165" s="17" t="str">
        <f>IFERROR(VLOOKUP(シフト組み!AV195,役職一覧!$B:$D,3,FALSE),"")</f>
        <v/>
      </c>
      <c r="AW165" s="17" t="str">
        <f>IFERROR(VLOOKUP(シフト組み!AW195,役職一覧!$B:$D,3,FALSE),"")</f>
        <v/>
      </c>
      <c r="AX165" s="17" t="str">
        <f>IFERROR(VLOOKUP(シフト組み!AX195,役職一覧!$B:$D,3,FALSE),"")</f>
        <v/>
      </c>
      <c r="AY165" s="17" t="str">
        <f>IFERROR(VLOOKUP(シフト組み!AY195,役職一覧!$B:$D,3,FALSE),"")</f>
        <v/>
      </c>
      <c r="AZ165" s="17" t="str">
        <f>IFERROR(VLOOKUP(シフト組み!AZ195,役職一覧!$B:$D,3,FALSE),"")</f>
        <v/>
      </c>
      <c r="BA165" s="17" t="str">
        <f>IFERROR(VLOOKUP(シフト組み!BA195,役職一覧!$B:$D,3,FALSE),"")</f>
        <v/>
      </c>
    </row>
    <row r="166" spans="1:53">
      <c r="A166" s="2" t="str">
        <f>シフト組み!A196&amp;""</f>
        <v/>
      </c>
      <c r="B166" s="2" t="str">
        <f>シフト組み!B196&amp;""</f>
        <v/>
      </c>
      <c r="C166" s="2" t="str">
        <f>シフト組み!C196&amp;""</f>
        <v/>
      </c>
      <c r="D166" s="17" t="str">
        <f>IFERROR(VLOOKUP(シフト組み!D196,役職一覧!$B:$D,2,FALSE),"")</f>
        <v/>
      </c>
      <c r="E166" s="17" t="str">
        <f>IFERROR(VLOOKUP(シフト組み!E196,役職一覧!$B:$D,2,FALSE),"")</f>
        <v/>
      </c>
      <c r="F166" s="17" t="str">
        <f>IFERROR(VLOOKUP(シフト組み!F196,役職一覧!$B:$D,2,FALSE),"")</f>
        <v/>
      </c>
      <c r="G166" s="17" t="str">
        <f>IFERROR(VLOOKUP(シフト組み!G196,役職一覧!$B:$D,2,FALSE),"")</f>
        <v/>
      </c>
      <c r="H166" s="17" t="str">
        <f>IFERROR(VLOOKUP(シフト組み!H196,役職一覧!$B:$D,2,FALSE),"")</f>
        <v/>
      </c>
      <c r="I166" s="17" t="str">
        <f>IFERROR(VLOOKUP(シフト組み!I196,役職一覧!$B:$D,2,FALSE),"")</f>
        <v/>
      </c>
      <c r="J166" s="17" t="str">
        <f>IFERROR(VLOOKUP(シフト組み!J196,役職一覧!$B:$D,2,FALSE),"")</f>
        <v/>
      </c>
      <c r="K166" s="17" t="str">
        <f>IFERROR(VLOOKUP(シフト組み!K196,役職一覧!$B:$D,2,FALSE),"")</f>
        <v/>
      </c>
      <c r="L166" s="17" t="str">
        <f>IFERROR(VLOOKUP(シフト組み!L196,役職一覧!$B:$D,2,FALSE),"")</f>
        <v/>
      </c>
      <c r="M166" s="17" t="str">
        <f>IFERROR(VLOOKUP(シフト組み!M196,役職一覧!$B:$D,2,FALSE),"")</f>
        <v/>
      </c>
      <c r="N166" s="17" t="str">
        <f>IFERROR(VLOOKUP(シフト組み!N196,役職一覧!$B:$D,2,FALSE),"")</f>
        <v/>
      </c>
      <c r="O166" s="17" t="str">
        <f>IFERROR(VLOOKUP(シフト組み!O196,役職一覧!$B:$D,2,FALSE),"")</f>
        <v/>
      </c>
      <c r="P166" s="17" t="str">
        <f>IFERROR(VLOOKUP(シフト組み!P196,役職一覧!$B:$D,2,FALSE),"")</f>
        <v/>
      </c>
      <c r="Q166" s="17" t="str">
        <f>IFERROR(VLOOKUP(シフト組み!Q196,役職一覧!$B:$D,2,FALSE),"")</f>
        <v/>
      </c>
      <c r="R166" s="17" t="str">
        <f>IFERROR(VLOOKUP(シフト組み!R196,役職一覧!$B:$D,2,FALSE),"")</f>
        <v/>
      </c>
      <c r="S166" s="17" t="str">
        <f>IFERROR(VLOOKUP(シフト組み!S196,役職一覧!$B:$D,2,FALSE),"")</f>
        <v/>
      </c>
      <c r="T166" s="17" t="str">
        <f>IFERROR(VLOOKUP(シフト組み!T196,役職一覧!$B:$D,2,FALSE),"")</f>
        <v/>
      </c>
      <c r="U166" s="17" t="str">
        <f>IFERROR(VLOOKUP(シフト組み!U196,役職一覧!$B:$D,2,FALSE),"")</f>
        <v/>
      </c>
      <c r="V166" s="17" t="str">
        <f>IFERROR(VLOOKUP(シフト組み!V196,役職一覧!$B:$D,2,FALSE),"")</f>
        <v/>
      </c>
      <c r="W166" s="17" t="str">
        <f>IFERROR(VLOOKUP(シフト組み!W196,役職一覧!$B:$D,2,FALSE),"")</f>
        <v/>
      </c>
      <c r="X166" s="17" t="str">
        <f>IFERROR(VLOOKUP(シフト組み!X196,役職一覧!$B:$D,2,FALSE),"")</f>
        <v/>
      </c>
      <c r="Y166" s="17" t="str">
        <f>IFERROR(VLOOKUP(シフト組み!Y196,役職一覧!$B:$D,2,FALSE),"")</f>
        <v/>
      </c>
      <c r="Z166" s="17" t="str">
        <f>IFERROR(VLOOKUP(シフト組み!Z196,役職一覧!$B:$D,2,FALSE),"")</f>
        <v/>
      </c>
      <c r="AA166" s="17" t="str">
        <f>IFERROR(VLOOKUP(シフト組み!AA196,役職一覧!$B:$D,2,FALSE),"")</f>
        <v/>
      </c>
      <c r="AB166" s="17" t="str">
        <f>IFERROR(VLOOKUP(シフト組み!AB196,役職一覧!$B:$D,2,FALSE),"")</f>
        <v/>
      </c>
      <c r="AC166" s="17" t="str">
        <f>IFERROR(VLOOKUP(シフト組み!AC196,役職一覧!$B:$D,2,FALSE),"")</f>
        <v/>
      </c>
      <c r="AD166" s="17" t="str">
        <f>IFERROR(VLOOKUP(シフト組み!AD196,役職一覧!$B:$D,2,FALSE),"")</f>
        <v/>
      </c>
      <c r="AE166" s="17" t="str">
        <f>IFERROR(VLOOKUP(シフト組み!AE196,役職一覧!$B:$D,2,FALSE),"")</f>
        <v/>
      </c>
      <c r="AF166" s="17" t="str">
        <f>IFERROR(VLOOKUP(シフト組み!AF196,役職一覧!$B:$D,2,FALSE),"")</f>
        <v/>
      </c>
      <c r="AG166" s="17" t="str">
        <f>IFERROR(VLOOKUP(シフト組み!AG196,役職一覧!$B:$D,2,FALSE),"")</f>
        <v/>
      </c>
      <c r="AH166" s="17" t="str">
        <f>IFERROR(VLOOKUP(シフト組み!AH196,役職一覧!$B:$D,3,FALSE),"")</f>
        <v/>
      </c>
      <c r="AI166" s="17" t="str">
        <f>IFERROR(VLOOKUP(シフト組み!AI196,役職一覧!$B:$D,3,FALSE),"")</f>
        <v/>
      </c>
      <c r="AJ166" s="17" t="str">
        <f>IFERROR(VLOOKUP(シフト組み!AJ196,役職一覧!$B:$D,3,FALSE),"")</f>
        <v/>
      </c>
      <c r="AK166" s="17" t="str">
        <f>IFERROR(VLOOKUP(シフト組み!AK196,役職一覧!$B:$D,3,FALSE),"")</f>
        <v/>
      </c>
      <c r="AL166" s="17" t="str">
        <f>IFERROR(VLOOKUP(シフト組み!AL196,役職一覧!$B:$D,3,FALSE),"")</f>
        <v/>
      </c>
      <c r="AM166" s="17" t="str">
        <f>IFERROR(VLOOKUP(シフト組み!AM196,役職一覧!$B:$D,3,FALSE),"")</f>
        <v/>
      </c>
      <c r="AN166" s="17" t="str">
        <f>IFERROR(VLOOKUP(シフト組み!AN196,役職一覧!$B:$D,3,FALSE),"")</f>
        <v/>
      </c>
      <c r="AO166" s="17" t="str">
        <f>IFERROR(VLOOKUP(シフト組み!AO196,役職一覧!$B:$D,3,FALSE),"")</f>
        <v/>
      </c>
      <c r="AP166" s="17" t="str">
        <f>IFERROR(VLOOKUP(シフト組み!AP196,役職一覧!$B:$D,3,FALSE),"")</f>
        <v/>
      </c>
      <c r="AQ166" s="17" t="str">
        <f>IFERROR(VLOOKUP(シフト組み!AQ196,役職一覧!$B:$D,3,FALSE),"")</f>
        <v/>
      </c>
      <c r="AR166" s="17" t="str">
        <f>IFERROR(VLOOKUP(シフト組み!AR196,役職一覧!$B:$D,3,FALSE),"")</f>
        <v/>
      </c>
      <c r="AS166" s="17" t="str">
        <f>IFERROR(VLOOKUP(シフト組み!AS196,役職一覧!$B:$D,3,FALSE),"")</f>
        <v/>
      </c>
      <c r="AT166" s="17" t="str">
        <f>IFERROR(VLOOKUP(シフト組み!AT196,役職一覧!$B:$D,3,FALSE),"")</f>
        <v/>
      </c>
      <c r="AU166" s="17" t="str">
        <f>IFERROR(VLOOKUP(シフト組み!AU196,役職一覧!$B:$D,3,FALSE),"")</f>
        <v/>
      </c>
      <c r="AV166" s="17" t="str">
        <f>IFERROR(VLOOKUP(シフト組み!AV196,役職一覧!$B:$D,3,FALSE),"")</f>
        <v/>
      </c>
      <c r="AW166" s="17" t="str">
        <f>IFERROR(VLOOKUP(シフト組み!AW196,役職一覧!$B:$D,3,FALSE),"")</f>
        <v/>
      </c>
      <c r="AX166" s="17" t="str">
        <f>IFERROR(VLOOKUP(シフト組み!AX196,役職一覧!$B:$D,3,FALSE),"")</f>
        <v/>
      </c>
      <c r="AY166" s="17" t="str">
        <f>IFERROR(VLOOKUP(シフト組み!AY196,役職一覧!$B:$D,3,FALSE),"")</f>
        <v/>
      </c>
      <c r="AZ166" s="17" t="str">
        <f>IFERROR(VLOOKUP(シフト組み!AZ196,役職一覧!$B:$D,3,FALSE),"")</f>
        <v/>
      </c>
      <c r="BA166" s="17" t="str">
        <f>IFERROR(VLOOKUP(シフト組み!BA196,役職一覧!$B:$D,3,FALSE),"")</f>
        <v/>
      </c>
    </row>
    <row r="167" spans="1:53">
      <c r="A167" s="2" t="str">
        <f>シフト組み!A197&amp;""</f>
        <v/>
      </c>
      <c r="B167" s="2" t="str">
        <f>シフト組み!B197&amp;""</f>
        <v/>
      </c>
      <c r="C167" s="2" t="str">
        <f>シフト組み!C197&amp;""</f>
        <v/>
      </c>
      <c r="D167" s="17" t="str">
        <f>IFERROR(VLOOKUP(シフト組み!D197,役職一覧!$B:$D,2,FALSE),"")</f>
        <v/>
      </c>
      <c r="E167" s="17" t="str">
        <f>IFERROR(VLOOKUP(シフト組み!E197,役職一覧!$B:$D,2,FALSE),"")</f>
        <v/>
      </c>
      <c r="F167" s="17" t="str">
        <f>IFERROR(VLOOKUP(シフト組み!F197,役職一覧!$B:$D,2,FALSE),"")</f>
        <v/>
      </c>
      <c r="G167" s="17" t="str">
        <f>IFERROR(VLOOKUP(シフト組み!G197,役職一覧!$B:$D,2,FALSE),"")</f>
        <v/>
      </c>
      <c r="H167" s="17" t="str">
        <f>IFERROR(VLOOKUP(シフト組み!H197,役職一覧!$B:$D,2,FALSE),"")</f>
        <v/>
      </c>
      <c r="I167" s="17" t="str">
        <f>IFERROR(VLOOKUP(シフト組み!I197,役職一覧!$B:$D,2,FALSE),"")</f>
        <v/>
      </c>
      <c r="J167" s="17" t="str">
        <f>IFERROR(VLOOKUP(シフト組み!J197,役職一覧!$B:$D,2,FALSE),"")</f>
        <v/>
      </c>
      <c r="K167" s="17" t="str">
        <f>IFERROR(VLOOKUP(シフト組み!K197,役職一覧!$B:$D,2,FALSE),"")</f>
        <v/>
      </c>
      <c r="L167" s="17" t="str">
        <f>IFERROR(VLOOKUP(シフト組み!L197,役職一覧!$B:$D,2,FALSE),"")</f>
        <v/>
      </c>
      <c r="M167" s="17" t="str">
        <f>IFERROR(VLOOKUP(シフト組み!M197,役職一覧!$B:$D,2,FALSE),"")</f>
        <v/>
      </c>
      <c r="N167" s="17" t="str">
        <f>IFERROR(VLOOKUP(シフト組み!N197,役職一覧!$B:$D,2,FALSE),"")</f>
        <v/>
      </c>
      <c r="O167" s="17" t="str">
        <f>IFERROR(VLOOKUP(シフト組み!O197,役職一覧!$B:$D,2,FALSE),"")</f>
        <v/>
      </c>
      <c r="P167" s="17" t="str">
        <f>IFERROR(VLOOKUP(シフト組み!P197,役職一覧!$B:$D,2,FALSE),"")</f>
        <v/>
      </c>
      <c r="Q167" s="17" t="str">
        <f>IFERROR(VLOOKUP(シフト組み!Q197,役職一覧!$B:$D,2,FALSE),"")</f>
        <v/>
      </c>
      <c r="R167" s="17" t="str">
        <f>IFERROR(VLOOKUP(シフト組み!R197,役職一覧!$B:$D,2,FALSE),"")</f>
        <v/>
      </c>
      <c r="S167" s="17" t="str">
        <f>IFERROR(VLOOKUP(シフト組み!S197,役職一覧!$B:$D,2,FALSE),"")</f>
        <v/>
      </c>
      <c r="T167" s="17" t="str">
        <f>IFERROR(VLOOKUP(シフト組み!T197,役職一覧!$B:$D,2,FALSE),"")</f>
        <v/>
      </c>
      <c r="U167" s="17" t="str">
        <f>IFERROR(VLOOKUP(シフト組み!U197,役職一覧!$B:$D,2,FALSE),"")</f>
        <v/>
      </c>
      <c r="V167" s="17" t="str">
        <f>IFERROR(VLOOKUP(シフト組み!V197,役職一覧!$B:$D,2,FALSE),"")</f>
        <v/>
      </c>
      <c r="W167" s="17" t="str">
        <f>IFERROR(VLOOKUP(シフト組み!W197,役職一覧!$B:$D,2,FALSE),"")</f>
        <v/>
      </c>
      <c r="X167" s="17" t="str">
        <f>IFERROR(VLOOKUP(シフト組み!X197,役職一覧!$B:$D,2,FALSE),"")</f>
        <v/>
      </c>
      <c r="Y167" s="17" t="str">
        <f>IFERROR(VLOOKUP(シフト組み!Y197,役職一覧!$B:$D,2,FALSE),"")</f>
        <v/>
      </c>
      <c r="Z167" s="17" t="str">
        <f>IFERROR(VLOOKUP(シフト組み!Z197,役職一覧!$B:$D,2,FALSE),"")</f>
        <v/>
      </c>
      <c r="AA167" s="17" t="str">
        <f>IFERROR(VLOOKUP(シフト組み!AA197,役職一覧!$B:$D,2,FALSE),"")</f>
        <v/>
      </c>
      <c r="AB167" s="17" t="str">
        <f>IFERROR(VLOOKUP(シフト組み!AB197,役職一覧!$B:$D,2,FALSE),"")</f>
        <v/>
      </c>
      <c r="AC167" s="17" t="str">
        <f>IFERROR(VLOOKUP(シフト組み!AC197,役職一覧!$B:$D,2,FALSE),"")</f>
        <v/>
      </c>
      <c r="AD167" s="17" t="str">
        <f>IFERROR(VLOOKUP(シフト組み!AD197,役職一覧!$B:$D,2,FALSE),"")</f>
        <v/>
      </c>
      <c r="AE167" s="17" t="str">
        <f>IFERROR(VLOOKUP(シフト組み!AE197,役職一覧!$B:$D,2,FALSE),"")</f>
        <v/>
      </c>
      <c r="AF167" s="17" t="str">
        <f>IFERROR(VLOOKUP(シフト組み!AF197,役職一覧!$B:$D,2,FALSE),"")</f>
        <v/>
      </c>
      <c r="AG167" s="17" t="str">
        <f>IFERROR(VLOOKUP(シフト組み!AG197,役職一覧!$B:$D,2,FALSE),"")</f>
        <v/>
      </c>
      <c r="AH167" s="17" t="str">
        <f>IFERROR(VLOOKUP(シフト組み!AH197,役職一覧!$B:$D,3,FALSE),"")</f>
        <v/>
      </c>
      <c r="AI167" s="17" t="str">
        <f>IFERROR(VLOOKUP(シフト組み!AI197,役職一覧!$B:$D,3,FALSE),"")</f>
        <v/>
      </c>
      <c r="AJ167" s="17" t="str">
        <f>IFERROR(VLOOKUP(シフト組み!AJ197,役職一覧!$B:$D,3,FALSE),"")</f>
        <v/>
      </c>
      <c r="AK167" s="17" t="str">
        <f>IFERROR(VLOOKUP(シフト組み!AK197,役職一覧!$B:$D,3,FALSE),"")</f>
        <v/>
      </c>
      <c r="AL167" s="17" t="str">
        <f>IFERROR(VLOOKUP(シフト組み!AL197,役職一覧!$B:$D,3,FALSE),"")</f>
        <v/>
      </c>
      <c r="AM167" s="17" t="str">
        <f>IFERROR(VLOOKUP(シフト組み!AM197,役職一覧!$B:$D,3,FALSE),"")</f>
        <v/>
      </c>
      <c r="AN167" s="17" t="str">
        <f>IFERROR(VLOOKUP(シフト組み!AN197,役職一覧!$B:$D,3,FALSE),"")</f>
        <v/>
      </c>
      <c r="AO167" s="17" t="str">
        <f>IFERROR(VLOOKUP(シフト組み!AO197,役職一覧!$B:$D,3,FALSE),"")</f>
        <v/>
      </c>
      <c r="AP167" s="17" t="str">
        <f>IFERROR(VLOOKUP(シフト組み!AP197,役職一覧!$B:$D,3,FALSE),"")</f>
        <v/>
      </c>
      <c r="AQ167" s="17" t="str">
        <f>IFERROR(VLOOKUP(シフト組み!AQ197,役職一覧!$B:$D,3,FALSE),"")</f>
        <v/>
      </c>
      <c r="AR167" s="17" t="str">
        <f>IFERROR(VLOOKUP(シフト組み!AR197,役職一覧!$B:$D,3,FALSE),"")</f>
        <v/>
      </c>
      <c r="AS167" s="17" t="str">
        <f>IFERROR(VLOOKUP(シフト組み!AS197,役職一覧!$B:$D,3,FALSE),"")</f>
        <v/>
      </c>
      <c r="AT167" s="17" t="str">
        <f>IFERROR(VLOOKUP(シフト組み!AT197,役職一覧!$B:$D,3,FALSE),"")</f>
        <v/>
      </c>
      <c r="AU167" s="17" t="str">
        <f>IFERROR(VLOOKUP(シフト組み!AU197,役職一覧!$B:$D,3,FALSE),"")</f>
        <v/>
      </c>
      <c r="AV167" s="17" t="str">
        <f>IFERROR(VLOOKUP(シフト組み!AV197,役職一覧!$B:$D,3,FALSE),"")</f>
        <v/>
      </c>
      <c r="AW167" s="17" t="str">
        <f>IFERROR(VLOOKUP(シフト組み!AW197,役職一覧!$B:$D,3,FALSE),"")</f>
        <v/>
      </c>
      <c r="AX167" s="17" t="str">
        <f>IFERROR(VLOOKUP(シフト組み!AX197,役職一覧!$B:$D,3,FALSE),"")</f>
        <v/>
      </c>
      <c r="AY167" s="17" t="str">
        <f>IFERROR(VLOOKUP(シフト組み!AY197,役職一覧!$B:$D,3,FALSE),"")</f>
        <v/>
      </c>
      <c r="AZ167" s="17" t="str">
        <f>IFERROR(VLOOKUP(シフト組み!AZ197,役職一覧!$B:$D,3,FALSE),"")</f>
        <v/>
      </c>
      <c r="BA167" s="17" t="str">
        <f>IFERROR(VLOOKUP(シフト組み!BA197,役職一覧!$B:$D,3,FALSE),"")</f>
        <v/>
      </c>
    </row>
    <row r="168" spans="1:53">
      <c r="A168" s="2" t="str">
        <f>シフト組み!A198&amp;""</f>
        <v/>
      </c>
      <c r="B168" s="2" t="str">
        <f>シフト組み!B198&amp;""</f>
        <v/>
      </c>
      <c r="C168" s="2" t="str">
        <f>シフト組み!C198&amp;""</f>
        <v/>
      </c>
      <c r="D168" s="17" t="str">
        <f>IFERROR(VLOOKUP(シフト組み!D198,役職一覧!$B:$D,2,FALSE),"")</f>
        <v/>
      </c>
      <c r="E168" s="17" t="str">
        <f>IFERROR(VLOOKUP(シフト組み!E198,役職一覧!$B:$D,2,FALSE),"")</f>
        <v/>
      </c>
      <c r="F168" s="17" t="str">
        <f>IFERROR(VLOOKUP(シフト組み!F198,役職一覧!$B:$D,2,FALSE),"")</f>
        <v/>
      </c>
      <c r="G168" s="17" t="str">
        <f>IFERROR(VLOOKUP(シフト組み!G198,役職一覧!$B:$D,2,FALSE),"")</f>
        <v/>
      </c>
      <c r="H168" s="17" t="str">
        <f>IFERROR(VLOOKUP(シフト組み!H198,役職一覧!$B:$D,2,FALSE),"")</f>
        <v/>
      </c>
      <c r="I168" s="17" t="str">
        <f>IFERROR(VLOOKUP(シフト組み!I198,役職一覧!$B:$D,2,FALSE),"")</f>
        <v/>
      </c>
      <c r="J168" s="17" t="str">
        <f>IFERROR(VLOOKUP(シフト組み!J198,役職一覧!$B:$D,2,FALSE),"")</f>
        <v/>
      </c>
      <c r="K168" s="17" t="str">
        <f>IFERROR(VLOOKUP(シフト組み!K198,役職一覧!$B:$D,2,FALSE),"")</f>
        <v/>
      </c>
      <c r="L168" s="17" t="str">
        <f>IFERROR(VLOOKUP(シフト組み!L198,役職一覧!$B:$D,2,FALSE),"")</f>
        <v/>
      </c>
      <c r="M168" s="17" t="str">
        <f>IFERROR(VLOOKUP(シフト組み!M198,役職一覧!$B:$D,2,FALSE),"")</f>
        <v/>
      </c>
      <c r="N168" s="17" t="str">
        <f>IFERROR(VLOOKUP(シフト組み!N198,役職一覧!$B:$D,2,FALSE),"")</f>
        <v/>
      </c>
      <c r="O168" s="17" t="str">
        <f>IFERROR(VLOOKUP(シフト組み!O198,役職一覧!$B:$D,2,FALSE),"")</f>
        <v/>
      </c>
      <c r="P168" s="17" t="str">
        <f>IFERROR(VLOOKUP(シフト組み!P198,役職一覧!$B:$D,2,FALSE),"")</f>
        <v/>
      </c>
      <c r="Q168" s="17" t="str">
        <f>IFERROR(VLOOKUP(シフト組み!Q198,役職一覧!$B:$D,2,FALSE),"")</f>
        <v/>
      </c>
      <c r="R168" s="17" t="str">
        <f>IFERROR(VLOOKUP(シフト組み!R198,役職一覧!$B:$D,2,FALSE),"")</f>
        <v/>
      </c>
      <c r="S168" s="17" t="str">
        <f>IFERROR(VLOOKUP(シフト組み!S198,役職一覧!$B:$D,2,FALSE),"")</f>
        <v/>
      </c>
      <c r="T168" s="17" t="str">
        <f>IFERROR(VLOOKUP(シフト組み!T198,役職一覧!$B:$D,2,FALSE),"")</f>
        <v/>
      </c>
      <c r="U168" s="17" t="str">
        <f>IFERROR(VLOOKUP(シフト組み!U198,役職一覧!$B:$D,2,FALSE),"")</f>
        <v/>
      </c>
      <c r="V168" s="17" t="str">
        <f>IFERROR(VLOOKUP(シフト組み!V198,役職一覧!$B:$D,2,FALSE),"")</f>
        <v/>
      </c>
      <c r="W168" s="17" t="str">
        <f>IFERROR(VLOOKUP(シフト組み!W198,役職一覧!$B:$D,2,FALSE),"")</f>
        <v/>
      </c>
      <c r="X168" s="17" t="str">
        <f>IFERROR(VLOOKUP(シフト組み!X198,役職一覧!$B:$D,2,FALSE),"")</f>
        <v/>
      </c>
      <c r="Y168" s="17" t="str">
        <f>IFERROR(VLOOKUP(シフト組み!Y198,役職一覧!$B:$D,2,FALSE),"")</f>
        <v/>
      </c>
      <c r="Z168" s="17" t="str">
        <f>IFERROR(VLOOKUP(シフト組み!Z198,役職一覧!$B:$D,2,FALSE),"")</f>
        <v/>
      </c>
      <c r="AA168" s="17" t="str">
        <f>IFERROR(VLOOKUP(シフト組み!AA198,役職一覧!$B:$D,2,FALSE),"")</f>
        <v/>
      </c>
      <c r="AB168" s="17" t="str">
        <f>IFERROR(VLOOKUP(シフト組み!AB198,役職一覧!$B:$D,2,FALSE),"")</f>
        <v/>
      </c>
      <c r="AC168" s="17" t="str">
        <f>IFERROR(VLOOKUP(シフト組み!AC198,役職一覧!$B:$D,2,FALSE),"")</f>
        <v/>
      </c>
      <c r="AD168" s="17" t="str">
        <f>IFERROR(VLOOKUP(シフト組み!AD198,役職一覧!$B:$D,2,FALSE),"")</f>
        <v/>
      </c>
      <c r="AE168" s="17" t="str">
        <f>IFERROR(VLOOKUP(シフト組み!AE198,役職一覧!$B:$D,2,FALSE),"")</f>
        <v/>
      </c>
      <c r="AF168" s="17" t="str">
        <f>IFERROR(VLOOKUP(シフト組み!AF198,役職一覧!$B:$D,2,FALSE),"")</f>
        <v/>
      </c>
      <c r="AG168" s="17" t="str">
        <f>IFERROR(VLOOKUP(シフト組み!AG198,役職一覧!$B:$D,2,FALSE),"")</f>
        <v/>
      </c>
      <c r="AH168" s="17" t="str">
        <f>IFERROR(VLOOKUP(シフト組み!AH198,役職一覧!$B:$D,3,FALSE),"")</f>
        <v/>
      </c>
      <c r="AI168" s="17" t="str">
        <f>IFERROR(VLOOKUP(シフト組み!AI198,役職一覧!$B:$D,3,FALSE),"")</f>
        <v/>
      </c>
      <c r="AJ168" s="17" t="str">
        <f>IFERROR(VLOOKUP(シフト組み!AJ198,役職一覧!$B:$D,3,FALSE),"")</f>
        <v/>
      </c>
      <c r="AK168" s="17" t="str">
        <f>IFERROR(VLOOKUP(シフト組み!AK198,役職一覧!$B:$D,3,FALSE),"")</f>
        <v/>
      </c>
      <c r="AL168" s="17" t="str">
        <f>IFERROR(VLOOKUP(シフト組み!AL198,役職一覧!$B:$D,3,FALSE),"")</f>
        <v/>
      </c>
      <c r="AM168" s="17" t="str">
        <f>IFERROR(VLOOKUP(シフト組み!AM198,役職一覧!$B:$D,3,FALSE),"")</f>
        <v/>
      </c>
      <c r="AN168" s="17" t="str">
        <f>IFERROR(VLOOKUP(シフト組み!AN198,役職一覧!$B:$D,3,FALSE),"")</f>
        <v/>
      </c>
      <c r="AO168" s="17" t="str">
        <f>IFERROR(VLOOKUP(シフト組み!AO198,役職一覧!$B:$D,3,FALSE),"")</f>
        <v/>
      </c>
      <c r="AP168" s="17" t="str">
        <f>IFERROR(VLOOKUP(シフト組み!AP198,役職一覧!$B:$D,3,FALSE),"")</f>
        <v/>
      </c>
      <c r="AQ168" s="17" t="str">
        <f>IFERROR(VLOOKUP(シフト組み!AQ198,役職一覧!$B:$D,3,FALSE),"")</f>
        <v/>
      </c>
      <c r="AR168" s="17" t="str">
        <f>IFERROR(VLOOKUP(シフト組み!AR198,役職一覧!$B:$D,3,FALSE),"")</f>
        <v/>
      </c>
      <c r="AS168" s="17" t="str">
        <f>IFERROR(VLOOKUP(シフト組み!AS198,役職一覧!$B:$D,3,FALSE),"")</f>
        <v/>
      </c>
      <c r="AT168" s="17" t="str">
        <f>IFERROR(VLOOKUP(シフト組み!AT198,役職一覧!$B:$D,3,FALSE),"")</f>
        <v/>
      </c>
      <c r="AU168" s="17" t="str">
        <f>IFERROR(VLOOKUP(シフト組み!AU198,役職一覧!$B:$D,3,FALSE),"")</f>
        <v/>
      </c>
      <c r="AV168" s="17" t="str">
        <f>IFERROR(VLOOKUP(シフト組み!AV198,役職一覧!$B:$D,3,FALSE),"")</f>
        <v/>
      </c>
      <c r="AW168" s="17" t="str">
        <f>IFERROR(VLOOKUP(シフト組み!AW198,役職一覧!$B:$D,3,FALSE),"")</f>
        <v/>
      </c>
      <c r="AX168" s="17" t="str">
        <f>IFERROR(VLOOKUP(シフト組み!AX198,役職一覧!$B:$D,3,FALSE),"")</f>
        <v/>
      </c>
      <c r="AY168" s="17" t="str">
        <f>IFERROR(VLOOKUP(シフト組み!AY198,役職一覧!$B:$D,3,FALSE),"")</f>
        <v/>
      </c>
      <c r="AZ168" s="17" t="str">
        <f>IFERROR(VLOOKUP(シフト組み!AZ198,役職一覧!$B:$D,3,FALSE),"")</f>
        <v/>
      </c>
      <c r="BA168" s="17" t="str">
        <f>IFERROR(VLOOKUP(シフト組み!BA198,役職一覧!$B:$D,3,FALSE),"")</f>
        <v/>
      </c>
    </row>
    <row r="169" spans="1:53">
      <c r="A169" s="2" t="str">
        <f>シフト組み!A199&amp;""</f>
        <v/>
      </c>
      <c r="B169" s="2" t="str">
        <f>シフト組み!B199&amp;""</f>
        <v/>
      </c>
      <c r="C169" s="2" t="str">
        <f>シフト組み!C199&amp;""</f>
        <v/>
      </c>
      <c r="D169" s="17" t="str">
        <f>IFERROR(VLOOKUP(シフト組み!D199,役職一覧!$B:$D,2,FALSE),"")</f>
        <v/>
      </c>
      <c r="E169" s="17" t="str">
        <f>IFERROR(VLOOKUP(シフト組み!E199,役職一覧!$B:$D,2,FALSE),"")</f>
        <v/>
      </c>
      <c r="F169" s="17" t="str">
        <f>IFERROR(VLOOKUP(シフト組み!F199,役職一覧!$B:$D,2,FALSE),"")</f>
        <v/>
      </c>
      <c r="G169" s="17" t="str">
        <f>IFERROR(VLOOKUP(シフト組み!G199,役職一覧!$B:$D,2,FALSE),"")</f>
        <v/>
      </c>
      <c r="H169" s="17" t="str">
        <f>IFERROR(VLOOKUP(シフト組み!H199,役職一覧!$B:$D,2,FALSE),"")</f>
        <v/>
      </c>
      <c r="I169" s="17" t="str">
        <f>IFERROR(VLOOKUP(シフト組み!I199,役職一覧!$B:$D,2,FALSE),"")</f>
        <v/>
      </c>
      <c r="J169" s="17" t="str">
        <f>IFERROR(VLOOKUP(シフト組み!J199,役職一覧!$B:$D,2,FALSE),"")</f>
        <v/>
      </c>
      <c r="K169" s="17" t="str">
        <f>IFERROR(VLOOKUP(シフト組み!K199,役職一覧!$B:$D,2,FALSE),"")</f>
        <v/>
      </c>
      <c r="L169" s="17" t="str">
        <f>IFERROR(VLOOKUP(シフト組み!L199,役職一覧!$B:$D,2,FALSE),"")</f>
        <v/>
      </c>
      <c r="M169" s="17" t="str">
        <f>IFERROR(VLOOKUP(シフト組み!M199,役職一覧!$B:$D,2,FALSE),"")</f>
        <v/>
      </c>
      <c r="N169" s="17" t="str">
        <f>IFERROR(VLOOKUP(シフト組み!N199,役職一覧!$B:$D,2,FALSE),"")</f>
        <v/>
      </c>
      <c r="O169" s="17" t="str">
        <f>IFERROR(VLOOKUP(シフト組み!O199,役職一覧!$B:$D,2,FALSE),"")</f>
        <v/>
      </c>
      <c r="P169" s="17" t="str">
        <f>IFERROR(VLOOKUP(シフト組み!P199,役職一覧!$B:$D,2,FALSE),"")</f>
        <v/>
      </c>
      <c r="Q169" s="17" t="str">
        <f>IFERROR(VLOOKUP(シフト組み!Q199,役職一覧!$B:$D,2,FALSE),"")</f>
        <v/>
      </c>
      <c r="R169" s="17" t="str">
        <f>IFERROR(VLOOKUP(シフト組み!R199,役職一覧!$B:$D,2,FALSE),"")</f>
        <v/>
      </c>
      <c r="S169" s="17" t="str">
        <f>IFERROR(VLOOKUP(シフト組み!S199,役職一覧!$B:$D,2,FALSE),"")</f>
        <v/>
      </c>
      <c r="T169" s="17" t="str">
        <f>IFERROR(VLOOKUP(シフト組み!T199,役職一覧!$B:$D,2,FALSE),"")</f>
        <v/>
      </c>
      <c r="U169" s="17" t="str">
        <f>IFERROR(VLOOKUP(シフト組み!U199,役職一覧!$B:$D,2,FALSE),"")</f>
        <v/>
      </c>
      <c r="V169" s="17" t="str">
        <f>IFERROR(VLOOKUP(シフト組み!V199,役職一覧!$B:$D,2,FALSE),"")</f>
        <v/>
      </c>
      <c r="W169" s="17" t="str">
        <f>IFERROR(VLOOKUP(シフト組み!W199,役職一覧!$B:$D,2,FALSE),"")</f>
        <v/>
      </c>
      <c r="X169" s="17" t="str">
        <f>IFERROR(VLOOKUP(シフト組み!X199,役職一覧!$B:$D,2,FALSE),"")</f>
        <v/>
      </c>
      <c r="Y169" s="17" t="str">
        <f>IFERROR(VLOOKUP(シフト組み!Y199,役職一覧!$B:$D,2,FALSE),"")</f>
        <v/>
      </c>
      <c r="Z169" s="17" t="str">
        <f>IFERROR(VLOOKUP(シフト組み!Z199,役職一覧!$B:$D,2,FALSE),"")</f>
        <v/>
      </c>
      <c r="AA169" s="17" t="str">
        <f>IFERROR(VLOOKUP(シフト組み!AA199,役職一覧!$B:$D,2,FALSE),"")</f>
        <v/>
      </c>
      <c r="AB169" s="17" t="str">
        <f>IFERROR(VLOOKUP(シフト組み!AB199,役職一覧!$B:$D,2,FALSE),"")</f>
        <v/>
      </c>
      <c r="AC169" s="17" t="str">
        <f>IFERROR(VLOOKUP(シフト組み!AC199,役職一覧!$B:$D,2,FALSE),"")</f>
        <v/>
      </c>
      <c r="AD169" s="17" t="str">
        <f>IFERROR(VLOOKUP(シフト組み!AD199,役職一覧!$B:$D,2,FALSE),"")</f>
        <v/>
      </c>
      <c r="AE169" s="17" t="str">
        <f>IFERROR(VLOOKUP(シフト組み!AE199,役職一覧!$B:$D,2,FALSE),"")</f>
        <v/>
      </c>
      <c r="AF169" s="17" t="str">
        <f>IFERROR(VLOOKUP(シフト組み!AF199,役職一覧!$B:$D,2,FALSE),"")</f>
        <v/>
      </c>
      <c r="AG169" s="17" t="str">
        <f>IFERROR(VLOOKUP(シフト組み!AG199,役職一覧!$B:$D,2,FALSE),"")</f>
        <v/>
      </c>
      <c r="AH169" s="17" t="str">
        <f>IFERROR(VLOOKUP(シフト組み!AH199,役職一覧!$B:$D,3,FALSE),"")</f>
        <v/>
      </c>
      <c r="AI169" s="17" t="str">
        <f>IFERROR(VLOOKUP(シフト組み!AI199,役職一覧!$B:$D,3,FALSE),"")</f>
        <v/>
      </c>
      <c r="AJ169" s="17" t="str">
        <f>IFERROR(VLOOKUP(シフト組み!AJ199,役職一覧!$B:$D,3,FALSE),"")</f>
        <v/>
      </c>
      <c r="AK169" s="17" t="str">
        <f>IFERROR(VLOOKUP(シフト組み!AK199,役職一覧!$B:$D,3,FALSE),"")</f>
        <v/>
      </c>
      <c r="AL169" s="17" t="str">
        <f>IFERROR(VLOOKUP(シフト組み!AL199,役職一覧!$B:$D,3,FALSE),"")</f>
        <v/>
      </c>
      <c r="AM169" s="17" t="str">
        <f>IFERROR(VLOOKUP(シフト組み!AM199,役職一覧!$B:$D,3,FALSE),"")</f>
        <v/>
      </c>
      <c r="AN169" s="17" t="str">
        <f>IFERROR(VLOOKUP(シフト組み!AN199,役職一覧!$B:$D,3,FALSE),"")</f>
        <v/>
      </c>
      <c r="AO169" s="17" t="str">
        <f>IFERROR(VLOOKUP(シフト組み!AO199,役職一覧!$B:$D,3,FALSE),"")</f>
        <v/>
      </c>
      <c r="AP169" s="17" t="str">
        <f>IFERROR(VLOOKUP(シフト組み!AP199,役職一覧!$B:$D,3,FALSE),"")</f>
        <v/>
      </c>
      <c r="AQ169" s="17" t="str">
        <f>IFERROR(VLOOKUP(シフト組み!AQ199,役職一覧!$B:$D,3,FALSE),"")</f>
        <v/>
      </c>
      <c r="AR169" s="17" t="str">
        <f>IFERROR(VLOOKUP(シフト組み!AR199,役職一覧!$B:$D,3,FALSE),"")</f>
        <v/>
      </c>
      <c r="AS169" s="17" t="str">
        <f>IFERROR(VLOOKUP(シフト組み!AS199,役職一覧!$B:$D,3,FALSE),"")</f>
        <v/>
      </c>
      <c r="AT169" s="17" t="str">
        <f>IFERROR(VLOOKUP(シフト組み!AT199,役職一覧!$B:$D,3,FALSE),"")</f>
        <v/>
      </c>
      <c r="AU169" s="17" t="str">
        <f>IFERROR(VLOOKUP(シフト組み!AU199,役職一覧!$B:$D,3,FALSE),"")</f>
        <v/>
      </c>
      <c r="AV169" s="17" t="str">
        <f>IFERROR(VLOOKUP(シフト組み!AV199,役職一覧!$B:$D,3,FALSE),"")</f>
        <v/>
      </c>
      <c r="AW169" s="17" t="str">
        <f>IFERROR(VLOOKUP(シフト組み!AW199,役職一覧!$B:$D,3,FALSE),"")</f>
        <v/>
      </c>
      <c r="AX169" s="17" t="str">
        <f>IFERROR(VLOOKUP(シフト組み!AX199,役職一覧!$B:$D,3,FALSE),"")</f>
        <v/>
      </c>
      <c r="AY169" s="17" t="str">
        <f>IFERROR(VLOOKUP(シフト組み!AY199,役職一覧!$B:$D,3,FALSE),"")</f>
        <v/>
      </c>
      <c r="AZ169" s="17" t="str">
        <f>IFERROR(VLOOKUP(シフト組み!AZ199,役職一覧!$B:$D,3,FALSE),"")</f>
        <v/>
      </c>
      <c r="BA169" s="17" t="str">
        <f>IFERROR(VLOOKUP(シフト組み!BA199,役職一覧!$B:$D,3,FALSE),"")</f>
        <v/>
      </c>
    </row>
  </sheetData>
  <sheetProtection formatColumns="0" formatRows="0"/>
  <phoneticPr fontId="1"/>
  <pageMargins left="0.7" right="0.7" top="0.75" bottom="0.75" header="0.3" footer="0.3"/>
  <pageSetup paperSize="9" orientation="portrait" horizontalDpi="0" verticalDpi="0"/>
  <extLst>
    <ext xmlns:x14="http://schemas.microsoft.com/office/spreadsheetml/2009/9/main" uri="{78C0D931-6437-407d-A8EE-F0AAD7539E65}">
      <x14:conditionalFormattings>
        <x14:conditionalFormatting xmlns:xm="http://schemas.microsoft.com/office/excel/2006/main">
          <x14:cfRule type="expression" priority="2" id="{7A6E5921-8808-D54F-988C-8820916E0FFC}">
            <xm:f>COUNTIF(役職一覧!$K:$K,シフト組み!D32)=1</xm:f>
            <x14:dxf>
              <fill>
                <patternFill>
                  <bgColor rgb="FFE1B9FF"/>
                </patternFill>
              </fill>
            </x14:dxf>
          </x14:cfRule>
          <x14:cfRule type="expression" priority="3" id="{400B14EB-9470-C84D-8E08-39976A9B3430}">
            <xm:f>COUNTIF(役職一覧!$J:$J,シフト組み!D32)=1</xm:f>
            <x14:dxf>
              <fill>
                <patternFill>
                  <bgColor rgb="FF7FCAFF"/>
                </patternFill>
              </fill>
            </x14:dxf>
          </x14:cfRule>
          <x14:cfRule type="expression" priority="4" id="{B28D1652-53B7-014E-AF7A-81582A03508B}">
            <xm:f>COUNTIF(役職一覧!$I:$I,シフト組み!D32)=1</xm:f>
            <x14:dxf>
              <fill>
                <patternFill>
                  <bgColor rgb="FF95FF6C"/>
                </patternFill>
              </fill>
            </x14:dxf>
          </x14:cfRule>
          <x14:cfRule type="expression" priority="5" id="{33D84D33-631C-DF4A-A875-AFA1E8D78328}">
            <xm:f>COUNTIF(役職一覧!$H:$H,シフト組み!D32)=1</xm:f>
            <x14:dxf>
              <fill>
                <patternFill>
                  <bgColor rgb="FFFFF690"/>
                </patternFill>
              </fill>
            </x14:dxf>
          </x14:cfRule>
          <x14:cfRule type="expression" priority="6" id="{BC0F4AC3-EFA1-3249-95F1-FD2804F64950}">
            <xm:f>COUNTIF(役職一覧!$G:$G,シフト組み!D32)=1</xm:f>
            <x14:dxf>
              <fill>
                <patternFill>
                  <bgColor rgb="FFFFD965"/>
                </patternFill>
              </fill>
            </x14:dxf>
          </x14:cfRule>
          <x14:cfRule type="expression" priority="7" id="{FCA63DDF-26BF-884E-8935-B7263034AC71}">
            <xm:f>COUNTIF(役職一覧!$F:$F,シフト組み!D32)=1</xm:f>
            <x14:dxf>
              <fill>
                <patternFill>
                  <bgColor rgb="FFFFC7CE"/>
                </patternFill>
              </fill>
            </x14:dxf>
          </x14:cfRule>
          <xm:sqref>D2:BA169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C89542-BE65-4342-8DF7-5A64ABA0BC23}">
  <sheetPr codeName="Sheet1"/>
  <dimension ref="A1:BA169"/>
  <sheetViews>
    <sheetView workbookViewId="0">
      <selection activeCell="J24" sqref="J24"/>
    </sheetView>
  </sheetViews>
  <sheetFormatPr baseColWidth="10" defaultRowHeight="20"/>
  <cols>
    <col min="1" max="16384" width="10.7109375" style="1"/>
  </cols>
  <sheetData>
    <row r="1" spans="1:53">
      <c r="A1" s="2" t="str">
        <f>共有用1!A1</f>
        <v>No</v>
      </c>
      <c r="B1" s="2" t="str">
        <f>共有用1!B1</f>
        <v>所属</v>
      </c>
      <c r="C1" s="2" t="str">
        <f>共有用1!C1</f>
        <v>氏名</v>
      </c>
      <c r="D1" s="2" t="str">
        <f>共有用1!D1</f>
        <v>10:00</v>
      </c>
      <c r="E1" s="2" t="str">
        <f>共有用1!E1</f>
        <v>10:30</v>
      </c>
      <c r="F1" s="2" t="str">
        <f>共有用1!F1</f>
        <v>11:00</v>
      </c>
      <c r="G1" s="2" t="str">
        <f>共有用1!G1</f>
        <v>11:30</v>
      </c>
      <c r="H1" s="2" t="str">
        <f>共有用1!H1</f>
        <v>12:00</v>
      </c>
      <c r="I1" s="2" t="str">
        <f>共有用1!I1</f>
        <v>12:30</v>
      </c>
      <c r="J1" s="2" t="str">
        <f>共有用1!J1</f>
        <v>13:00</v>
      </c>
      <c r="K1" s="2" t="str">
        <f>共有用1!K1</f>
        <v>13:30</v>
      </c>
      <c r="L1" s="2" t="str">
        <f>共有用1!L1</f>
        <v>14:00</v>
      </c>
      <c r="M1" s="2" t="str">
        <f>共有用1!M1</f>
        <v/>
      </c>
      <c r="N1" s="2" t="str">
        <f>共有用1!N1</f>
        <v/>
      </c>
      <c r="O1" s="2" t="str">
        <f>共有用1!O1</f>
        <v/>
      </c>
      <c r="P1" s="2" t="str">
        <f>共有用1!P1</f>
        <v/>
      </c>
      <c r="Q1" s="2" t="str">
        <f>共有用1!Q1</f>
        <v/>
      </c>
      <c r="R1" s="2" t="str">
        <f>共有用1!R1</f>
        <v/>
      </c>
      <c r="S1" s="2" t="str">
        <f>共有用1!S1</f>
        <v/>
      </c>
      <c r="T1" s="2" t="str">
        <f>共有用1!T1</f>
        <v/>
      </c>
      <c r="U1" s="2" t="str">
        <f>共有用1!U1</f>
        <v/>
      </c>
      <c r="V1" s="2" t="str">
        <f>共有用1!V1</f>
        <v/>
      </c>
      <c r="W1" s="2" t="str">
        <f>共有用1!W1</f>
        <v/>
      </c>
      <c r="X1" s="2" t="str">
        <f>共有用1!X1</f>
        <v/>
      </c>
      <c r="Y1" s="2" t="str">
        <f>共有用1!Y1</f>
        <v/>
      </c>
      <c r="Z1" s="2" t="str">
        <f>共有用1!Z1</f>
        <v/>
      </c>
      <c r="AA1" s="2" t="str">
        <f>共有用1!AA1</f>
        <v/>
      </c>
      <c r="AB1" s="2" t="str">
        <f>共有用1!AB1</f>
        <v/>
      </c>
      <c r="AC1" s="2" t="str">
        <f>共有用1!AC1</f>
        <v/>
      </c>
      <c r="AD1" s="2" t="str">
        <f>共有用1!AD1</f>
        <v/>
      </c>
      <c r="AE1" s="2" t="str">
        <f>共有用1!AE1</f>
        <v/>
      </c>
      <c r="AF1" s="2" t="str">
        <f>共有用1!AF1</f>
        <v/>
      </c>
      <c r="AG1" s="2" t="str">
        <f>共有用1!AG1</f>
        <v/>
      </c>
      <c r="AH1" s="2" t="str">
        <f>共有用1!AH1</f>
        <v/>
      </c>
      <c r="AI1" s="2" t="str">
        <f>共有用1!AI1</f>
        <v/>
      </c>
      <c r="AJ1" s="2" t="str">
        <f>共有用1!AJ1</f>
        <v/>
      </c>
      <c r="AK1" s="2" t="str">
        <f>共有用1!AK1</f>
        <v/>
      </c>
      <c r="AL1" s="2" t="str">
        <f>共有用1!AL1</f>
        <v/>
      </c>
      <c r="AM1" s="2" t="str">
        <f>共有用1!AM1</f>
        <v/>
      </c>
      <c r="AN1" s="2" t="str">
        <f>共有用1!AN1</f>
        <v/>
      </c>
      <c r="AO1" s="2" t="str">
        <f>共有用1!AO1</f>
        <v/>
      </c>
      <c r="AP1" s="2" t="str">
        <f>共有用1!AP1</f>
        <v/>
      </c>
      <c r="AQ1" s="2" t="str">
        <f>共有用1!AQ1</f>
        <v/>
      </c>
      <c r="AR1" s="2" t="str">
        <f>共有用1!AR1</f>
        <v/>
      </c>
      <c r="AS1" s="2" t="str">
        <f>共有用1!AS1</f>
        <v/>
      </c>
      <c r="AT1" s="2" t="str">
        <f>共有用1!AT1</f>
        <v/>
      </c>
      <c r="AU1" s="2" t="str">
        <f>共有用1!AU1</f>
        <v/>
      </c>
      <c r="AV1" s="2" t="str">
        <f>共有用1!AV1</f>
        <v/>
      </c>
      <c r="AW1" s="2" t="str">
        <f>共有用1!AW1</f>
        <v/>
      </c>
      <c r="AX1" s="2" t="str">
        <f>共有用1!AX1</f>
        <v/>
      </c>
      <c r="AY1" s="2" t="str">
        <f>共有用1!AY1</f>
        <v/>
      </c>
      <c r="AZ1" s="2" t="str">
        <f>共有用1!AZ1</f>
        <v/>
      </c>
      <c r="BA1" s="2" t="str">
        <f>共有用1!BA1</f>
        <v/>
      </c>
    </row>
    <row r="2" spans="1:53">
      <c r="A2" s="2" t="str">
        <f>共有用1!A2</f>
        <v>1</v>
      </c>
      <c r="B2" s="2" t="str">
        <f>共有用1!B2</f>
        <v/>
      </c>
      <c r="C2" s="2" t="str">
        <f>共有用1!C2</f>
        <v>キズナアイ</v>
      </c>
      <c r="D2" s="17" t="str">
        <f>IF(共有用1!D2="","",共有用1!D2&amp;"/"&amp;COUNTIF(共有用1!D$2:D2,共有用1!D2))</f>
        <v>あ/1</v>
      </c>
      <c r="E2" s="17" t="str">
        <f>IF(共有用1!E2="","",共有用1!E2&amp;"/"&amp;COUNTIF(共有用1!E$2:E2,共有用1!E2))</f>
        <v/>
      </c>
      <c r="F2" s="17" t="str">
        <f>IF(共有用1!F2="","",共有用1!F2&amp;"/"&amp;COUNTIF(共有用1!F$2:F2,共有用1!F2))</f>
        <v>え/1</v>
      </c>
      <c r="G2" s="17" t="str">
        <f>IF(共有用1!G2="","",共有用1!G2&amp;"/"&amp;COUNTIF(共有用1!G$2:G2,共有用1!G2))</f>
        <v/>
      </c>
      <c r="H2" s="17" t="str">
        <f>IF(共有用1!H2="","",共有用1!H2&amp;"/"&amp;COUNTIF(共有用1!H$2:H2,共有用1!H2))</f>
        <v/>
      </c>
      <c r="I2" s="17" t="str">
        <f>IF(共有用1!I2="","",共有用1!I2&amp;"/"&amp;COUNTIF(共有用1!I$2:I2,共有用1!I2))</f>
        <v/>
      </c>
      <c r="J2" s="17" t="str">
        <f>IF(共有用1!J2="","",共有用1!J2&amp;"/"&amp;COUNTIF(共有用1!J$2:J2,共有用1!J2))</f>
        <v/>
      </c>
      <c r="K2" s="17" t="str">
        <f>IF(共有用1!K2="","",共有用1!K2&amp;"/"&amp;COUNTIF(共有用1!K$2:K2,共有用1!K2))</f>
        <v/>
      </c>
      <c r="L2" s="17" t="str">
        <f>IF(共有用1!L2="","",共有用1!L2&amp;"/"&amp;COUNTIF(共有用1!L$2:L2,共有用1!L2))</f>
        <v/>
      </c>
      <c r="M2" s="17" t="str">
        <f>IF(共有用1!M2="","",共有用1!M2&amp;"/"&amp;COUNTIF(共有用1!M$2:M2,共有用1!M2))</f>
        <v/>
      </c>
      <c r="N2" s="17" t="str">
        <f>IF(共有用1!N2="","",共有用1!N2&amp;"/"&amp;COUNTIF(共有用1!N$2:N2,共有用1!N2))</f>
        <v/>
      </c>
      <c r="O2" s="17" t="str">
        <f>IF(共有用1!O2="","",共有用1!O2&amp;"/"&amp;COUNTIF(共有用1!O$2:O2,共有用1!O2))</f>
        <v/>
      </c>
      <c r="P2" s="17" t="str">
        <f>IF(共有用1!P2="","",共有用1!P2&amp;"/"&amp;COUNTIF(共有用1!P$2:P2,共有用1!P2))</f>
        <v/>
      </c>
      <c r="Q2" s="17" t="str">
        <f>IF(共有用1!Q2="","",共有用1!Q2&amp;"/"&amp;COUNTIF(共有用1!Q$2:Q2,共有用1!Q2))</f>
        <v/>
      </c>
      <c r="R2" s="17" t="str">
        <f>IF(共有用1!R2="","",共有用1!R2&amp;"/"&amp;COUNTIF(共有用1!R$2:R2,共有用1!R2))</f>
        <v/>
      </c>
      <c r="S2" s="17" t="str">
        <f>IF(共有用1!S2="","",共有用1!S2&amp;"/"&amp;COUNTIF(共有用1!S$2:S2,共有用1!S2))</f>
        <v/>
      </c>
      <c r="T2" s="17" t="str">
        <f>IF(共有用1!T2="","",共有用1!T2&amp;"/"&amp;COUNTIF(共有用1!T$2:T2,共有用1!T2))</f>
        <v/>
      </c>
      <c r="U2" s="17" t="str">
        <f>IF(共有用1!U2="","",共有用1!U2&amp;"/"&amp;COUNTIF(共有用1!U$2:U2,共有用1!U2))</f>
        <v/>
      </c>
      <c r="V2" s="17" t="str">
        <f>IF(共有用1!V2="","",共有用1!V2&amp;"/"&amp;COUNTIF(共有用1!V$2:V2,共有用1!V2))</f>
        <v/>
      </c>
      <c r="W2" s="17" t="str">
        <f>IF(共有用1!W2="","",共有用1!W2&amp;"/"&amp;COUNTIF(共有用1!W$2:W2,共有用1!W2))</f>
        <v/>
      </c>
      <c r="X2" s="17" t="str">
        <f>IF(共有用1!X2="","",共有用1!X2&amp;"/"&amp;COUNTIF(共有用1!X$2:X2,共有用1!X2))</f>
        <v/>
      </c>
      <c r="Y2" s="17" t="str">
        <f>IF(共有用1!Y2="","",共有用1!Y2&amp;"/"&amp;COUNTIF(共有用1!Y$2:Y2,共有用1!Y2))</f>
        <v/>
      </c>
      <c r="Z2" s="17" t="str">
        <f>IF(共有用1!Z2="","",共有用1!Z2&amp;"/"&amp;COUNTIF(共有用1!Z$2:Z2,共有用1!Z2))</f>
        <v/>
      </c>
      <c r="AA2" s="17" t="str">
        <f>IF(共有用1!AA2="","",共有用1!AA2&amp;"/"&amp;COUNTIF(共有用1!AA$2:AA2,共有用1!AA2))</f>
        <v/>
      </c>
      <c r="AB2" s="17" t="str">
        <f>IF(共有用1!AB2="","",共有用1!AB2&amp;"/"&amp;COUNTIF(共有用1!AB$2:AB2,共有用1!AB2))</f>
        <v/>
      </c>
      <c r="AC2" s="17" t="str">
        <f>IF(共有用1!AC2="","",共有用1!AC2&amp;"/"&amp;COUNTIF(共有用1!AC$2:AC2,共有用1!AC2))</f>
        <v/>
      </c>
      <c r="AD2" s="17" t="str">
        <f>IF(共有用1!AD2="","",共有用1!AD2&amp;"/"&amp;COUNTIF(共有用1!AD$2:AD2,共有用1!AD2))</f>
        <v/>
      </c>
      <c r="AE2" s="17" t="str">
        <f>IF(共有用1!AE2="","",共有用1!AE2&amp;"/"&amp;COUNTIF(共有用1!AE$2:AE2,共有用1!AE2))</f>
        <v/>
      </c>
      <c r="AF2" s="17" t="str">
        <f>IF(共有用1!AF2="","",共有用1!AF2&amp;"/"&amp;COUNTIF(共有用1!AF$2:AF2,共有用1!AF2))</f>
        <v/>
      </c>
      <c r="AG2" s="17" t="str">
        <f>IF(共有用1!AG2="","",共有用1!AG2&amp;"/"&amp;COUNTIF(共有用1!AG$2:AG2,共有用1!AG2))</f>
        <v/>
      </c>
      <c r="AH2" s="17" t="str">
        <f>IF(共有用1!AH2="","",共有用1!AH2&amp;"/"&amp;COUNTIF(共有用1!AH$2:AH2,共有用1!AH2))</f>
        <v/>
      </c>
      <c r="AI2" s="17" t="str">
        <f>IF(共有用1!AI2="","",共有用1!AI2&amp;"/"&amp;COUNTIF(共有用1!AI$2:AI2,共有用1!AI2))</f>
        <v/>
      </c>
      <c r="AJ2" s="17" t="str">
        <f>IF(共有用1!AJ2="","",共有用1!AJ2&amp;"/"&amp;COUNTIF(共有用1!AJ$2:AJ2,共有用1!AJ2))</f>
        <v/>
      </c>
      <c r="AK2" s="17" t="str">
        <f>IF(共有用1!AK2="","",共有用1!AK2&amp;"/"&amp;COUNTIF(共有用1!AK$2:AK2,共有用1!AK2))</f>
        <v/>
      </c>
      <c r="AL2" s="17" t="str">
        <f>IF(共有用1!AL2="","",共有用1!AL2&amp;"/"&amp;COUNTIF(共有用1!AL$2:AL2,共有用1!AL2))</f>
        <v/>
      </c>
      <c r="AM2" s="17" t="str">
        <f>IF(共有用1!AM2="","",共有用1!AM2&amp;"/"&amp;COUNTIF(共有用1!AM$2:AM2,共有用1!AM2))</f>
        <v/>
      </c>
      <c r="AN2" s="17" t="str">
        <f>IF(共有用1!AN2="","",共有用1!AN2&amp;"/"&amp;COUNTIF(共有用1!AN$2:AN2,共有用1!AN2))</f>
        <v/>
      </c>
      <c r="AO2" s="17" t="str">
        <f>IF(共有用1!AO2="","",共有用1!AO2&amp;"/"&amp;COUNTIF(共有用1!AO$2:AO2,共有用1!AO2))</f>
        <v/>
      </c>
      <c r="AP2" s="17" t="str">
        <f>IF(共有用1!AP2="","",共有用1!AP2&amp;"/"&amp;COUNTIF(共有用1!AP$2:AP2,共有用1!AP2))</f>
        <v/>
      </c>
      <c r="AQ2" s="17" t="str">
        <f>IF(共有用1!AQ2="","",共有用1!AQ2&amp;"/"&amp;COUNTIF(共有用1!AQ$2:AQ2,共有用1!AQ2))</f>
        <v/>
      </c>
      <c r="AR2" s="17" t="str">
        <f>IF(共有用1!AR2="","",共有用1!AR2&amp;"/"&amp;COUNTIF(共有用1!AR$2:AR2,共有用1!AR2))</f>
        <v/>
      </c>
      <c r="AS2" s="17" t="str">
        <f>IF(共有用1!AS2="","",共有用1!AS2&amp;"/"&amp;COUNTIF(共有用1!AS$2:AS2,共有用1!AS2))</f>
        <v/>
      </c>
      <c r="AT2" s="17" t="str">
        <f>IF(共有用1!AT2="","",共有用1!AT2&amp;"/"&amp;COUNTIF(共有用1!AT$2:AT2,共有用1!AT2))</f>
        <v/>
      </c>
      <c r="AU2" s="17" t="str">
        <f>IF(共有用1!AU2="","",共有用1!AU2&amp;"/"&amp;COUNTIF(共有用1!AU$2:AU2,共有用1!AU2))</f>
        <v/>
      </c>
      <c r="AV2" s="17" t="str">
        <f>IF(共有用1!AV2="","",共有用1!AV2&amp;"/"&amp;COUNTIF(共有用1!AV$2:AV2,共有用1!AV2))</f>
        <v/>
      </c>
      <c r="AW2" s="17" t="str">
        <f>IF(共有用1!AW2="","",共有用1!AW2&amp;"/"&amp;COUNTIF(共有用1!AW$2:AW2,共有用1!AW2))</f>
        <v/>
      </c>
      <c r="AX2" s="17" t="str">
        <f>IF(共有用1!AX2="","",共有用1!AX2&amp;"/"&amp;COUNTIF(共有用1!AX$2:AX2,共有用1!AX2))</f>
        <v/>
      </c>
      <c r="AY2" s="17" t="str">
        <f>IF(共有用1!AY2="","",共有用1!AY2&amp;"/"&amp;COUNTIF(共有用1!AY$2:AY2,共有用1!AY2))</f>
        <v/>
      </c>
      <c r="AZ2" s="17" t="str">
        <f>IF(共有用1!AZ2="","",共有用1!AZ2&amp;"/"&amp;COUNTIF(共有用1!AZ$2:AZ2,共有用1!AZ2))</f>
        <v/>
      </c>
      <c r="BA2" s="17" t="str">
        <f>IF(共有用1!BA2="","",共有用1!BA2&amp;"/"&amp;COUNTIF(共有用1!BA$2:BA2,共有用1!BA2))</f>
        <v/>
      </c>
    </row>
    <row r="3" spans="1:53">
      <c r="A3" s="2" t="str">
        <f>共有用1!A3</f>
        <v>2</v>
      </c>
      <c r="B3" s="2" t="str">
        <f>共有用1!B3</f>
        <v/>
      </c>
      <c r="C3" s="2" t="str">
        <f>共有用1!C3</f>
        <v>輝夜月</v>
      </c>
      <c r="D3" s="17" t="str">
        <f>IF(共有用1!D3="","",共有用1!D3&amp;"/"&amp;COUNTIF(共有用1!D$2:D3,共有用1!D3))</f>
        <v/>
      </c>
      <c r="E3" s="17" t="str">
        <f>IF(共有用1!E3="","",共有用1!E3&amp;"/"&amp;COUNTIF(共有用1!E$2:E3,共有用1!E3))</f>
        <v/>
      </c>
      <c r="F3" s="17" t="str">
        <f>IF(共有用1!F3="","",共有用1!F3&amp;"/"&amp;COUNTIF(共有用1!F$2:F3,共有用1!F3))</f>
        <v/>
      </c>
      <c r="G3" s="17" t="str">
        <f>IF(共有用1!G3="","",共有用1!G3&amp;"/"&amp;COUNTIF(共有用1!G$2:G3,共有用1!G3))</f>
        <v/>
      </c>
      <c r="H3" s="17" t="str">
        <f>IF(共有用1!H3="","",共有用1!H3&amp;"/"&amp;COUNTIF(共有用1!H$2:H3,共有用1!H3))</f>
        <v/>
      </c>
      <c r="I3" s="17" t="str">
        <f>IF(共有用1!I3="","",共有用1!I3&amp;"/"&amp;COUNTIF(共有用1!I$2:I3,共有用1!I3))</f>
        <v/>
      </c>
      <c r="J3" s="17" t="str">
        <f>IF(共有用1!J3="","",共有用1!J3&amp;"/"&amp;COUNTIF(共有用1!J$2:J3,共有用1!J3))</f>
        <v/>
      </c>
      <c r="K3" s="17" t="str">
        <f>IF(共有用1!K3="","",共有用1!K3&amp;"/"&amp;COUNTIF(共有用1!K$2:K3,共有用1!K3))</f>
        <v/>
      </c>
      <c r="L3" s="17" t="str">
        <f>IF(共有用1!L3="","",共有用1!L3&amp;"/"&amp;COUNTIF(共有用1!L$2:L3,共有用1!L3))</f>
        <v/>
      </c>
      <c r="M3" s="17" t="str">
        <f>IF(共有用1!M3="","",共有用1!M3&amp;"/"&amp;COUNTIF(共有用1!M$2:M3,共有用1!M3))</f>
        <v/>
      </c>
      <c r="N3" s="17" t="str">
        <f>IF(共有用1!N3="","",共有用1!N3&amp;"/"&amp;COUNTIF(共有用1!N$2:N3,共有用1!N3))</f>
        <v/>
      </c>
      <c r="O3" s="17" t="str">
        <f>IF(共有用1!O3="","",共有用1!O3&amp;"/"&amp;COUNTIF(共有用1!O$2:O3,共有用1!O3))</f>
        <v/>
      </c>
      <c r="P3" s="17" t="str">
        <f>IF(共有用1!P3="","",共有用1!P3&amp;"/"&amp;COUNTIF(共有用1!P$2:P3,共有用1!P3))</f>
        <v/>
      </c>
      <c r="Q3" s="17" t="str">
        <f>IF(共有用1!Q3="","",共有用1!Q3&amp;"/"&amp;COUNTIF(共有用1!Q$2:Q3,共有用1!Q3))</f>
        <v/>
      </c>
      <c r="R3" s="17" t="str">
        <f>IF(共有用1!R3="","",共有用1!R3&amp;"/"&amp;COUNTIF(共有用1!R$2:R3,共有用1!R3))</f>
        <v/>
      </c>
      <c r="S3" s="17" t="str">
        <f>IF(共有用1!S3="","",共有用1!S3&amp;"/"&amp;COUNTIF(共有用1!S$2:S3,共有用1!S3))</f>
        <v/>
      </c>
      <c r="T3" s="17" t="str">
        <f>IF(共有用1!T3="","",共有用1!T3&amp;"/"&amp;COUNTIF(共有用1!T$2:T3,共有用1!T3))</f>
        <v/>
      </c>
      <c r="U3" s="17" t="str">
        <f>IF(共有用1!U3="","",共有用1!U3&amp;"/"&amp;COUNTIF(共有用1!U$2:U3,共有用1!U3))</f>
        <v/>
      </c>
      <c r="V3" s="17" t="str">
        <f>IF(共有用1!V3="","",共有用1!V3&amp;"/"&amp;COUNTIF(共有用1!V$2:V3,共有用1!V3))</f>
        <v/>
      </c>
      <c r="W3" s="17" t="str">
        <f>IF(共有用1!W3="","",共有用1!W3&amp;"/"&amp;COUNTIF(共有用1!W$2:W3,共有用1!W3))</f>
        <v/>
      </c>
      <c r="X3" s="17" t="str">
        <f>IF(共有用1!X3="","",共有用1!X3&amp;"/"&amp;COUNTIF(共有用1!X$2:X3,共有用1!X3))</f>
        <v/>
      </c>
      <c r="Y3" s="17" t="str">
        <f>IF(共有用1!Y3="","",共有用1!Y3&amp;"/"&amp;COUNTIF(共有用1!Y$2:Y3,共有用1!Y3))</f>
        <v/>
      </c>
      <c r="Z3" s="17" t="str">
        <f>IF(共有用1!Z3="","",共有用1!Z3&amp;"/"&amp;COUNTIF(共有用1!Z$2:Z3,共有用1!Z3))</f>
        <v/>
      </c>
      <c r="AA3" s="17" t="str">
        <f>IF(共有用1!AA3="","",共有用1!AA3&amp;"/"&amp;COUNTIF(共有用1!AA$2:AA3,共有用1!AA3))</f>
        <v/>
      </c>
      <c r="AB3" s="17" t="str">
        <f>IF(共有用1!AB3="","",共有用1!AB3&amp;"/"&amp;COUNTIF(共有用1!AB$2:AB3,共有用1!AB3))</f>
        <v/>
      </c>
      <c r="AC3" s="17" t="str">
        <f>IF(共有用1!AC3="","",共有用1!AC3&amp;"/"&amp;COUNTIF(共有用1!AC$2:AC3,共有用1!AC3))</f>
        <v/>
      </c>
      <c r="AD3" s="17" t="str">
        <f>IF(共有用1!AD3="","",共有用1!AD3&amp;"/"&amp;COUNTIF(共有用1!AD$2:AD3,共有用1!AD3))</f>
        <v/>
      </c>
      <c r="AE3" s="17" t="str">
        <f>IF(共有用1!AE3="","",共有用1!AE3&amp;"/"&amp;COUNTIF(共有用1!AE$2:AE3,共有用1!AE3))</f>
        <v/>
      </c>
      <c r="AF3" s="17" t="str">
        <f>IF(共有用1!AF3="","",共有用1!AF3&amp;"/"&amp;COUNTIF(共有用1!AF$2:AF3,共有用1!AF3))</f>
        <v/>
      </c>
      <c r="AG3" s="17" t="str">
        <f>IF(共有用1!AG3="","",共有用1!AG3&amp;"/"&amp;COUNTIF(共有用1!AG$2:AG3,共有用1!AG3))</f>
        <v/>
      </c>
      <c r="AH3" s="17" t="str">
        <f>IF(共有用1!AH3="","",共有用1!AH3&amp;"/"&amp;COUNTIF(共有用1!AH$2:AH3,共有用1!AH3))</f>
        <v/>
      </c>
      <c r="AI3" s="17" t="str">
        <f>IF(共有用1!AI3="","",共有用1!AI3&amp;"/"&amp;COUNTIF(共有用1!AI$2:AI3,共有用1!AI3))</f>
        <v/>
      </c>
      <c r="AJ3" s="17" t="str">
        <f>IF(共有用1!AJ3="","",共有用1!AJ3&amp;"/"&amp;COUNTIF(共有用1!AJ$2:AJ3,共有用1!AJ3))</f>
        <v/>
      </c>
      <c r="AK3" s="17" t="str">
        <f>IF(共有用1!AK3="","",共有用1!AK3&amp;"/"&amp;COUNTIF(共有用1!AK$2:AK3,共有用1!AK3))</f>
        <v/>
      </c>
      <c r="AL3" s="17" t="str">
        <f>IF(共有用1!AL3="","",共有用1!AL3&amp;"/"&amp;COUNTIF(共有用1!AL$2:AL3,共有用1!AL3))</f>
        <v/>
      </c>
      <c r="AM3" s="17" t="str">
        <f>IF(共有用1!AM3="","",共有用1!AM3&amp;"/"&amp;COUNTIF(共有用1!AM$2:AM3,共有用1!AM3))</f>
        <v/>
      </c>
      <c r="AN3" s="17" t="str">
        <f>IF(共有用1!AN3="","",共有用1!AN3&amp;"/"&amp;COUNTIF(共有用1!AN$2:AN3,共有用1!AN3))</f>
        <v/>
      </c>
      <c r="AO3" s="17" t="str">
        <f>IF(共有用1!AO3="","",共有用1!AO3&amp;"/"&amp;COUNTIF(共有用1!AO$2:AO3,共有用1!AO3))</f>
        <v/>
      </c>
      <c r="AP3" s="17" t="str">
        <f>IF(共有用1!AP3="","",共有用1!AP3&amp;"/"&amp;COUNTIF(共有用1!AP$2:AP3,共有用1!AP3))</f>
        <v/>
      </c>
      <c r="AQ3" s="17" t="str">
        <f>IF(共有用1!AQ3="","",共有用1!AQ3&amp;"/"&amp;COUNTIF(共有用1!AQ$2:AQ3,共有用1!AQ3))</f>
        <v/>
      </c>
      <c r="AR3" s="17" t="str">
        <f>IF(共有用1!AR3="","",共有用1!AR3&amp;"/"&amp;COUNTIF(共有用1!AR$2:AR3,共有用1!AR3))</f>
        <v/>
      </c>
      <c r="AS3" s="17" t="str">
        <f>IF(共有用1!AS3="","",共有用1!AS3&amp;"/"&amp;COUNTIF(共有用1!AS$2:AS3,共有用1!AS3))</f>
        <v/>
      </c>
      <c r="AT3" s="17" t="str">
        <f>IF(共有用1!AT3="","",共有用1!AT3&amp;"/"&amp;COUNTIF(共有用1!AT$2:AT3,共有用1!AT3))</f>
        <v/>
      </c>
      <c r="AU3" s="17" t="str">
        <f>IF(共有用1!AU3="","",共有用1!AU3&amp;"/"&amp;COUNTIF(共有用1!AU$2:AU3,共有用1!AU3))</f>
        <v/>
      </c>
      <c r="AV3" s="17" t="str">
        <f>IF(共有用1!AV3="","",共有用1!AV3&amp;"/"&amp;COUNTIF(共有用1!AV$2:AV3,共有用1!AV3))</f>
        <v/>
      </c>
      <c r="AW3" s="17" t="str">
        <f>IF(共有用1!AW3="","",共有用1!AW3&amp;"/"&amp;COUNTIF(共有用1!AW$2:AW3,共有用1!AW3))</f>
        <v/>
      </c>
      <c r="AX3" s="17" t="str">
        <f>IF(共有用1!AX3="","",共有用1!AX3&amp;"/"&amp;COUNTIF(共有用1!AX$2:AX3,共有用1!AX3))</f>
        <v/>
      </c>
      <c r="AY3" s="17" t="str">
        <f>IF(共有用1!AY3="","",共有用1!AY3&amp;"/"&amp;COUNTIF(共有用1!AY$2:AY3,共有用1!AY3))</f>
        <v/>
      </c>
      <c r="AZ3" s="17" t="str">
        <f>IF(共有用1!AZ3="","",共有用1!AZ3&amp;"/"&amp;COUNTIF(共有用1!AZ$2:AZ3,共有用1!AZ3))</f>
        <v/>
      </c>
      <c r="BA3" s="17" t="str">
        <f>IF(共有用1!BA3="","",共有用1!BA3&amp;"/"&amp;COUNTIF(共有用1!BA$2:BA3,共有用1!BA3))</f>
        <v/>
      </c>
    </row>
    <row r="4" spans="1:53">
      <c r="A4" s="2" t="str">
        <f>共有用1!A4</f>
        <v>3</v>
      </c>
      <c r="B4" s="2" t="str">
        <f>共有用1!B4</f>
        <v/>
      </c>
      <c r="C4" s="2" t="str">
        <f>共有用1!C4</f>
        <v>ときのそら</v>
      </c>
      <c r="D4" s="17" t="str">
        <f>IF(共有用1!D4="","",共有用1!D4&amp;"/"&amp;COUNTIF(共有用1!D$2:D4,共有用1!D4))</f>
        <v/>
      </c>
      <c r="E4" s="17" t="str">
        <f>IF(共有用1!E4="","",共有用1!E4&amp;"/"&amp;COUNTIF(共有用1!E$2:E4,共有用1!E4))</f>
        <v/>
      </c>
      <c r="F4" s="17" t="str">
        <f>IF(共有用1!F4="","",共有用1!F4&amp;"/"&amp;COUNTIF(共有用1!F$2:F4,共有用1!F4))</f>
        <v/>
      </c>
      <c r="G4" s="17" t="str">
        <f>IF(共有用1!G4="","",共有用1!G4&amp;"/"&amp;COUNTIF(共有用1!G$2:G4,共有用1!G4))</f>
        <v>い/1</v>
      </c>
      <c r="H4" s="17" t="str">
        <f>IF(共有用1!H4="","",共有用1!H4&amp;"/"&amp;COUNTIF(共有用1!H$2:H4,共有用1!H4))</f>
        <v/>
      </c>
      <c r="I4" s="17" t="str">
        <f>IF(共有用1!I4="","",共有用1!I4&amp;"/"&amp;COUNTIF(共有用1!I$2:I4,共有用1!I4))</f>
        <v>あ/1</v>
      </c>
      <c r="J4" s="17" t="str">
        <f>IF(共有用1!J4="","",共有用1!J4&amp;"/"&amp;COUNTIF(共有用1!J$2:J4,共有用1!J4))</f>
        <v/>
      </c>
      <c r="K4" s="17" t="str">
        <f>IF(共有用1!K4="","",共有用1!K4&amp;"/"&amp;COUNTIF(共有用1!K$2:K4,共有用1!K4))</f>
        <v/>
      </c>
      <c r="L4" s="17" t="str">
        <f>IF(共有用1!L4="","",共有用1!L4&amp;"/"&amp;COUNTIF(共有用1!L$2:L4,共有用1!L4))</f>
        <v/>
      </c>
      <c r="M4" s="17" t="str">
        <f>IF(共有用1!M4="","",共有用1!M4&amp;"/"&amp;COUNTIF(共有用1!M$2:M4,共有用1!M4))</f>
        <v/>
      </c>
      <c r="N4" s="17" t="str">
        <f>IF(共有用1!N4="","",共有用1!N4&amp;"/"&amp;COUNTIF(共有用1!N$2:N4,共有用1!N4))</f>
        <v/>
      </c>
      <c r="O4" s="17" t="str">
        <f>IF(共有用1!O4="","",共有用1!O4&amp;"/"&amp;COUNTIF(共有用1!O$2:O4,共有用1!O4))</f>
        <v/>
      </c>
      <c r="P4" s="17" t="str">
        <f>IF(共有用1!P4="","",共有用1!P4&amp;"/"&amp;COUNTIF(共有用1!P$2:P4,共有用1!P4))</f>
        <v/>
      </c>
      <c r="Q4" s="17" t="str">
        <f>IF(共有用1!Q4="","",共有用1!Q4&amp;"/"&amp;COUNTIF(共有用1!Q$2:Q4,共有用1!Q4))</f>
        <v/>
      </c>
      <c r="R4" s="17" t="str">
        <f>IF(共有用1!R4="","",共有用1!R4&amp;"/"&amp;COUNTIF(共有用1!R$2:R4,共有用1!R4))</f>
        <v/>
      </c>
      <c r="S4" s="17" t="str">
        <f>IF(共有用1!S4="","",共有用1!S4&amp;"/"&amp;COUNTIF(共有用1!S$2:S4,共有用1!S4))</f>
        <v/>
      </c>
      <c r="T4" s="17" t="str">
        <f>IF(共有用1!T4="","",共有用1!T4&amp;"/"&amp;COUNTIF(共有用1!T$2:T4,共有用1!T4))</f>
        <v/>
      </c>
      <c r="U4" s="17" t="str">
        <f>IF(共有用1!U4="","",共有用1!U4&amp;"/"&amp;COUNTIF(共有用1!U$2:U4,共有用1!U4))</f>
        <v/>
      </c>
      <c r="V4" s="17" t="str">
        <f>IF(共有用1!V4="","",共有用1!V4&amp;"/"&amp;COUNTIF(共有用1!V$2:V4,共有用1!V4))</f>
        <v/>
      </c>
      <c r="W4" s="17" t="str">
        <f>IF(共有用1!W4="","",共有用1!W4&amp;"/"&amp;COUNTIF(共有用1!W$2:W4,共有用1!W4))</f>
        <v/>
      </c>
      <c r="X4" s="17" t="str">
        <f>IF(共有用1!X4="","",共有用1!X4&amp;"/"&amp;COUNTIF(共有用1!X$2:X4,共有用1!X4))</f>
        <v/>
      </c>
      <c r="Y4" s="17" t="str">
        <f>IF(共有用1!Y4="","",共有用1!Y4&amp;"/"&amp;COUNTIF(共有用1!Y$2:Y4,共有用1!Y4))</f>
        <v/>
      </c>
      <c r="Z4" s="17" t="str">
        <f>IF(共有用1!Z4="","",共有用1!Z4&amp;"/"&amp;COUNTIF(共有用1!Z$2:Z4,共有用1!Z4))</f>
        <v/>
      </c>
      <c r="AA4" s="17" t="str">
        <f>IF(共有用1!AA4="","",共有用1!AA4&amp;"/"&amp;COUNTIF(共有用1!AA$2:AA4,共有用1!AA4))</f>
        <v/>
      </c>
      <c r="AB4" s="17" t="str">
        <f>IF(共有用1!AB4="","",共有用1!AB4&amp;"/"&amp;COUNTIF(共有用1!AB$2:AB4,共有用1!AB4))</f>
        <v/>
      </c>
      <c r="AC4" s="17" t="str">
        <f>IF(共有用1!AC4="","",共有用1!AC4&amp;"/"&amp;COUNTIF(共有用1!AC$2:AC4,共有用1!AC4))</f>
        <v/>
      </c>
      <c r="AD4" s="17" t="str">
        <f>IF(共有用1!AD4="","",共有用1!AD4&amp;"/"&amp;COUNTIF(共有用1!AD$2:AD4,共有用1!AD4))</f>
        <v/>
      </c>
      <c r="AE4" s="17" t="str">
        <f>IF(共有用1!AE4="","",共有用1!AE4&amp;"/"&amp;COUNTIF(共有用1!AE$2:AE4,共有用1!AE4))</f>
        <v/>
      </c>
      <c r="AF4" s="17" t="str">
        <f>IF(共有用1!AF4="","",共有用1!AF4&amp;"/"&amp;COUNTIF(共有用1!AF$2:AF4,共有用1!AF4))</f>
        <v/>
      </c>
      <c r="AG4" s="17" t="str">
        <f>IF(共有用1!AG4="","",共有用1!AG4&amp;"/"&amp;COUNTIF(共有用1!AG$2:AG4,共有用1!AG4))</f>
        <v/>
      </c>
      <c r="AH4" s="17" t="str">
        <f>IF(共有用1!AH4="","",共有用1!AH4&amp;"/"&amp;COUNTIF(共有用1!AH$2:AH4,共有用1!AH4))</f>
        <v/>
      </c>
      <c r="AI4" s="17" t="str">
        <f>IF(共有用1!AI4="","",共有用1!AI4&amp;"/"&amp;COUNTIF(共有用1!AI$2:AI4,共有用1!AI4))</f>
        <v/>
      </c>
      <c r="AJ4" s="17" t="str">
        <f>IF(共有用1!AJ4="","",共有用1!AJ4&amp;"/"&amp;COUNTIF(共有用1!AJ$2:AJ4,共有用1!AJ4))</f>
        <v/>
      </c>
      <c r="AK4" s="17" t="str">
        <f>IF(共有用1!AK4="","",共有用1!AK4&amp;"/"&amp;COUNTIF(共有用1!AK$2:AK4,共有用1!AK4))</f>
        <v/>
      </c>
      <c r="AL4" s="17" t="str">
        <f>IF(共有用1!AL4="","",共有用1!AL4&amp;"/"&amp;COUNTIF(共有用1!AL$2:AL4,共有用1!AL4))</f>
        <v/>
      </c>
      <c r="AM4" s="17" t="str">
        <f>IF(共有用1!AM4="","",共有用1!AM4&amp;"/"&amp;COUNTIF(共有用1!AM$2:AM4,共有用1!AM4))</f>
        <v/>
      </c>
      <c r="AN4" s="17" t="str">
        <f>IF(共有用1!AN4="","",共有用1!AN4&amp;"/"&amp;COUNTIF(共有用1!AN$2:AN4,共有用1!AN4))</f>
        <v/>
      </c>
      <c r="AO4" s="17" t="str">
        <f>IF(共有用1!AO4="","",共有用1!AO4&amp;"/"&amp;COUNTIF(共有用1!AO$2:AO4,共有用1!AO4))</f>
        <v/>
      </c>
      <c r="AP4" s="17" t="str">
        <f>IF(共有用1!AP4="","",共有用1!AP4&amp;"/"&amp;COUNTIF(共有用1!AP$2:AP4,共有用1!AP4))</f>
        <v/>
      </c>
      <c r="AQ4" s="17" t="str">
        <f>IF(共有用1!AQ4="","",共有用1!AQ4&amp;"/"&amp;COUNTIF(共有用1!AQ$2:AQ4,共有用1!AQ4))</f>
        <v/>
      </c>
      <c r="AR4" s="17" t="str">
        <f>IF(共有用1!AR4="","",共有用1!AR4&amp;"/"&amp;COUNTIF(共有用1!AR$2:AR4,共有用1!AR4))</f>
        <v/>
      </c>
      <c r="AS4" s="17" t="str">
        <f>IF(共有用1!AS4="","",共有用1!AS4&amp;"/"&amp;COUNTIF(共有用1!AS$2:AS4,共有用1!AS4))</f>
        <v/>
      </c>
      <c r="AT4" s="17" t="str">
        <f>IF(共有用1!AT4="","",共有用1!AT4&amp;"/"&amp;COUNTIF(共有用1!AT$2:AT4,共有用1!AT4))</f>
        <v/>
      </c>
      <c r="AU4" s="17" t="str">
        <f>IF(共有用1!AU4="","",共有用1!AU4&amp;"/"&amp;COUNTIF(共有用1!AU$2:AU4,共有用1!AU4))</f>
        <v/>
      </c>
      <c r="AV4" s="17" t="str">
        <f>IF(共有用1!AV4="","",共有用1!AV4&amp;"/"&amp;COUNTIF(共有用1!AV$2:AV4,共有用1!AV4))</f>
        <v/>
      </c>
      <c r="AW4" s="17" t="str">
        <f>IF(共有用1!AW4="","",共有用1!AW4&amp;"/"&amp;COUNTIF(共有用1!AW$2:AW4,共有用1!AW4))</f>
        <v/>
      </c>
      <c r="AX4" s="17" t="str">
        <f>IF(共有用1!AX4="","",共有用1!AX4&amp;"/"&amp;COUNTIF(共有用1!AX$2:AX4,共有用1!AX4))</f>
        <v/>
      </c>
      <c r="AY4" s="17" t="str">
        <f>IF(共有用1!AY4="","",共有用1!AY4&amp;"/"&amp;COUNTIF(共有用1!AY$2:AY4,共有用1!AY4))</f>
        <v/>
      </c>
      <c r="AZ4" s="17" t="str">
        <f>IF(共有用1!AZ4="","",共有用1!AZ4&amp;"/"&amp;COUNTIF(共有用1!AZ$2:AZ4,共有用1!AZ4))</f>
        <v/>
      </c>
      <c r="BA4" s="17" t="str">
        <f>IF(共有用1!BA4="","",共有用1!BA4&amp;"/"&amp;COUNTIF(共有用1!BA$2:BA4,共有用1!BA4))</f>
        <v/>
      </c>
    </row>
    <row r="5" spans="1:53">
      <c r="A5" s="2" t="str">
        <f>共有用1!A5</f>
        <v>4</v>
      </c>
      <c r="B5" s="2" t="str">
        <f>共有用1!B5</f>
        <v/>
      </c>
      <c r="C5" s="2" t="str">
        <f>共有用1!C5</f>
        <v>はじめしゃちょー</v>
      </c>
      <c r="D5" s="17" t="str">
        <f>IF(共有用1!D5="","",共有用1!D5&amp;"/"&amp;COUNTIF(共有用1!D$2:D5,共有用1!D5))</f>
        <v/>
      </c>
      <c r="E5" s="17" t="str">
        <f>IF(共有用1!E5="","",共有用1!E5&amp;"/"&amp;COUNTIF(共有用1!E$2:E5,共有用1!E5))</f>
        <v/>
      </c>
      <c r="F5" s="17" t="str">
        <f>IF(共有用1!F5="","",共有用1!F5&amp;"/"&amp;COUNTIF(共有用1!F$2:F5,共有用1!F5))</f>
        <v/>
      </c>
      <c r="G5" s="17" t="str">
        <f>IF(共有用1!G5="","",共有用1!G5&amp;"/"&amp;COUNTIF(共有用1!G$2:G5,共有用1!G5))</f>
        <v/>
      </c>
      <c r="H5" s="17" t="str">
        <f>IF(共有用1!H5="","",共有用1!H5&amp;"/"&amp;COUNTIF(共有用1!H$2:H5,共有用1!H5))</f>
        <v/>
      </c>
      <c r="I5" s="17" t="str">
        <f>IF(共有用1!I5="","",共有用1!I5&amp;"/"&amp;COUNTIF(共有用1!I$2:I5,共有用1!I5))</f>
        <v/>
      </c>
      <c r="J5" s="17" t="str">
        <f>IF(共有用1!J5="","",共有用1!J5&amp;"/"&amp;COUNTIF(共有用1!J$2:J5,共有用1!J5))</f>
        <v/>
      </c>
      <c r="K5" s="17" t="str">
        <f>IF(共有用1!K5="","",共有用1!K5&amp;"/"&amp;COUNTIF(共有用1!K$2:K5,共有用1!K5))</f>
        <v/>
      </c>
      <c r="L5" s="17" t="str">
        <f>IF(共有用1!L5="","",共有用1!L5&amp;"/"&amp;COUNTIF(共有用1!L$2:L5,共有用1!L5))</f>
        <v/>
      </c>
      <c r="M5" s="17" t="str">
        <f>IF(共有用1!M5="","",共有用1!M5&amp;"/"&amp;COUNTIF(共有用1!M$2:M5,共有用1!M5))</f>
        <v/>
      </c>
      <c r="N5" s="17" t="str">
        <f>IF(共有用1!N5="","",共有用1!N5&amp;"/"&amp;COUNTIF(共有用1!N$2:N5,共有用1!N5))</f>
        <v/>
      </c>
      <c r="O5" s="17" t="str">
        <f>IF(共有用1!O5="","",共有用1!O5&amp;"/"&amp;COUNTIF(共有用1!O$2:O5,共有用1!O5))</f>
        <v/>
      </c>
      <c r="P5" s="17" t="str">
        <f>IF(共有用1!P5="","",共有用1!P5&amp;"/"&amp;COUNTIF(共有用1!P$2:P5,共有用1!P5))</f>
        <v/>
      </c>
      <c r="Q5" s="17" t="str">
        <f>IF(共有用1!Q5="","",共有用1!Q5&amp;"/"&amp;COUNTIF(共有用1!Q$2:Q5,共有用1!Q5))</f>
        <v/>
      </c>
      <c r="R5" s="17" t="str">
        <f>IF(共有用1!R5="","",共有用1!R5&amp;"/"&amp;COUNTIF(共有用1!R$2:R5,共有用1!R5))</f>
        <v/>
      </c>
      <c r="S5" s="17" t="str">
        <f>IF(共有用1!S5="","",共有用1!S5&amp;"/"&amp;COUNTIF(共有用1!S$2:S5,共有用1!S5))</f>
        <v/>
      </c>
      <c r="T5" s="17" t="str">
        <f>IF(共有用1!T5="","",共有用1!T5&amp;"/"&amp;COUNTIF(共有用1!T$2:T5,共有用1!T5))</f>
        <v/>
      </c>
      <c r="U5" s="17" t="str">
        <f>IF(共有用1!U5="","",共有用1!U5&amp;"/"&amp;COUNTIF(共有用1!U$2:U5,共有用1!U5))</f>
        <v/>
      </c>
      <c r="V5" s="17" t="str">
        <f>IF(共有用1!V5="","",共有用1!V5&amp;"/"&amp;COUNTIF(共有用1!V$2:V5,共有用1!V5))</f>
        <v/>
      </c>
      <c r="W5" s="17" t="str">
        <f>IF(共有用1!W5="","",共有用1!W5&amp;"/"&amp;COUNTIF(共有用1!W$2:W5,共有用1!W5))</f>
        <v/>
      </c>
      <c r="X5" s="17" t="str">
        <f>IF(共有用1!X5="","",共有用1!X5&amp;"/"&amp;COUNTIF(共有用1!X$2:X5,共有用1!X5))</f>
        <v/>
      </c>
      <c r="Y5" s="17" t="str">
        <f>IF(共有用1!Y5="","",共有用1!Y5&amp;"/"&amp;COUNTIF(共有用1!Y$2:Y5,共有用1!Y5))</f>
        <v/>
      </c>
      <c r="Z5" s="17" t="str">
        <f>IF(共有用1!Z5="","",共有用1!Z5&amp;"/"&amp;COUNTIF(共有用1!Z$2:Z5,共有用1!Z5))</f>
        <v/>
      </c>
      <c r="AA5" s="17" t="str">
        <f>IF(共有用1!AA5="","",共有用1!AA5&amp;"/"&amp;COUNTIF(共有用1!AA$2:AA5,共有用1!AA5))</f>
        <v/>
      </c>
      <c r="AB5" s="17" t="str">
        <f>IF(共有用1!AB5="","",共有用1!AB5&amp;"/"&amp;COUNTIF(共有用1!AB$2:AB5,共有用1!AB5))</f>
        <v/>
      </c>
      <c r="AC5" s="17" t="str">
        <f>IF(共有用1!AC5="","",共有用1!AC5&amp;"/"&amp;COUNTIF(共有用1!AC$2:AC5,共有用1!AC5))</f>
        <v/>
      </c>
      <c r="AD5" s="17" t="str">
        <f>IF(共有用1!AD5="","",共有用1!AD5&amp;"/"&amp;COUNTIF(共有用1!AD$2:AD5,共有用1!AD5))</f>
        <v/>
      </c>
      <c r="AE5" s="17" t="str">
        <f>IF(共有用1!AE5="","",共有用1!AE5&amp;"/"&amp;COUNTIF(共有用1!AE$2:AE5,共有用1!AE5))</f>
        <v/>
      </c>
      <c r="AF5" s="17" t="str">
        <f>IF(共有用1!AF5="","",共有用1!AF5&amp;"/"&amp;COUNTIF(共有用1!AF$2:AF5,共有用1!AF5))</f>
        <v/>
      </c>
      <c r="AG5" s="17" t="str">
        <f>IF(共有用1!AG5="","",共有用1!AG5&amp;"/"&amp;COUNTIF(共有用1!AG$2:AG5,共有用1!AG5))</f>
        <v/>
      </c>
      <c r="AH5" s="17" t="str">
        <f>IF(共有用1!AH5="","",共有用1!AH5&amp;"/"&amp;COUNTIF(共有用1!AH$2:AH5,共有用1!AH5))</f>
        <v/>
      </c>
      <c r="AI5" s="17" t="str">
        <f>IF(共有用1!AI5="","",共有用1!AI5&amp;"/"&amp;COUNTIF(共有用1!AI$2:AI5,共有用1!AI5))</f>
        <v/>
      </c>
      <c r="AJ5" s="17" t="str">
        <f>IF(共有用1!AJ5="","",共有用1!AJ5&amp;"/"&amp;COUNTIF(共有用1!AJ$2:AJ5,共有用1!AJ5))</f>
        <v/>
      </c>
      <c r="AK5" s="17" t="str">
        <f>IF(共有用1!AK5="","",共有用1!AK5&amp;"/"&amp;COUNTIF(共有用1!AK$2:AK5,共有用1!AK5))</f>
        <v/>
      </c>
      <c r="AL5" s="17" t="str">
        <f>IF(共有用1!AL5="","",共有用1!AL5&amp;"/"&amp;COUNTIF(共有用1!AL$2:AL5,共有用1!AL5))</f>
        <v/>
      </c>
      <c r="AM5" s="17" t="str">
        <f>IF(共有用1!AM5="","",共有用1!AM5&amp;"/"&amp;COUNTIF(共有用1!AM$2:AM5,共有用1!AM5))</f>
        <v/>
      </c>
      <c r="AN5" s="17" t="str">
        <f>IF(共有用1!AN5="","",共有用1!AN5&amp;"/"&amp;COUNTIF(共有用1!AN$2:AN5,共有用1!AN5))</f>
        <v/>
      </c>
      <c r="AO5" s="17" t="str">
        <f>IF(共有用1!AO5="","",共有用1!AO5&amp;"/"&amp;COUNTIF(共有用1!AO$2:AO5,共有用1!AO5))</f>
        <v/>
      </c>
      <c r="AP5" s="17" t="str">
        <f>IF(共有用1!AP5="","",共有用1!AP5&amp;"/"&amp;COUNTIF(共有用1!AP$2:AP5,共有用1!AP5))</f>
        <v/>
      </c>
      <c r="AQ5" s="17" t="str">
        <f>IF(共有用1!AQ5="","",共有用1!AQ5&amp;"/"&amp;COUNTIF(共有用1!AQ$2:AQ5,共有用1!AQ5))</f>
        <v/>
      </c>
      <c r="AR5" s="17" t="str">
        <f>IF(共有用1!AR5="","",共有用1!AR5&amp;"/"&amp;COUNTIF(共有用1!AR$2:AR5,共有用1!AR5))</f>
        <v/>
      </c>
      <c r="AS5" s="17" t="str">
        <f>IF(共有用1!AS5="","",共有用1!AS5&amp;"/"&amp;COUNTIF(共有用1!AS$2:AS5,共有用1!AS5))</f>
        <v/>
      </c>
      <c r="AT5" s="17" t="str">
        <f>IF(共有用1!AT5="","",共有用1!AT5&amp;"/"&amp;COUNTIF(共有用1!AT$2:AT5,共有用1!AT5))</f>
        <v/>
      </c>
      <c r="AU5" s="17" t="str">
        <f>IF(共有用1!AU5="","",共有用1!AU5&amp;"/"&amp;COUNTIF(共有用1!AU$2:AU5,共有用1!AU5))</f>
        <v/>
      </c>
      <c r="AV5" s="17" t="str">
        <f>IF(共有用1!AV5="","",共有用1!AV5&amp;"/"&amp;COUNTIF(共有用1!AV$2:AV5,共有用1!AV5))</f>
        <v/>
      </c>
      <c r="AW5" s="17" t="str">
        <f>IF(共有用1!AW5="","",共有用1!AW5&amp;"/"&amp;COUNTIF(共有用1!AW$2:AW5,共有用1!AW5))</f>
        <v/>
      </c>
      <c r="AX5" s="17" t="str">
        <f>IF(共有用1!AX5="","",共有用1!AX5&amp;"/"&amp;COUNTIF(共有用1!AX$2:AX5,共有用1!AX5))</f>
        <v/>
      </c>
      <c r="AY5" s="17" t="str">
        <f>IF(共有用1!AY5="","",共有用1!AY5&amp;"/"&amp;COUNTIF(共有用1!AY$2:AY5,共有用1!AY5))</f>
        <v/>
      </c>
      <c r="AZ5" s="17" t="str">
        <f>IF(共有用1!AZ5="","",共有用1!AZ5&amp;"/"&amp;COUNTIF(共有用1!AZ$2:AZ5,共有用1!AZ5))</f>
        <v/>
      </c>
      <c r="BA5" s="17" t="str">
        <f>IF(共有用1!BA5="","",共有用1!BA5&amp;"/"&amp;COUNTIF(共有用1!BA$2:BA5,共有用1!BA5))</f>
        <v/>
      </c>
    </row>
    <row r="6" spans="1:53">
      <c r="A6" s="2" t="str">
        <f>共有用1!A6</f>
        <v>5</v>
      </c>
      <c r="B6" s="2" t="str">
        <f>共有用1!B6</f>
        <v/>
      </c>
      <c r="C6" s="2" t="str">
        <f>共有用1!C6</f>
        <v/>
      </c>
      <c r="D6" s="17" t="str">
        <f>IF(共有用1!D6="","",共有用1!D6&amp;"/"&amp;COUNTIF(共有用1!D$2:D6,共有用1!D6))</f>
        <v/>
      </c>
      <c r="E6" s="17" t="str">
        <f>IF(共有用1!E6="","",共有用1!E6&amp;"/"&amp;COUNTIF(共有用1!E$2:E6,共有用1!E6))</f>
        <v/>
      </c>
      <c r="F6" s="17" t="str">
        <f>IF(共有用1!F6="","",共有用1!F6&amp;"/"&amp;COUNTIF(共有用1!F$2:F6,共有用1!F6))</f>
        <v/>
      </c>
      <c r="G6" s="17" t="str">
        <f>IF(共有用1!G6="","",共有用1!G6&amp;"/"&amp;COUNTIF(共有用1!G$2:G6,共有用1!G6))</f>
        <v/>
      </c>
      <c r="H6" s="17" t="str">
        <f>IF(共有用1!H6="","",共有用1!H6&amp;"/"&amp;COUNTIF(共有用1!H$2:H6,共有用1!H6))</f>
        <v/>
      </c>
      <c r="I6" s="17" t="str">
        <f>IF(共有用1!I6="","",共有用1!I6&amp;"/"&amp;COUNTIF(共有用1!I$2:I6,共有用1!I6))</f>
        <v/>
      </c>
      <c r="J6" s="17" t="str">
        <f>IF(共有用1!J6="","",共有用1!J6&amp;"/"&amp;COUNTIF(共有用1!J$2:J6,共有用1!J6))</f>
        <v/>
      </c>
      <c r="K6" s="17" t="str">
        <f>IF(共有用1!K6="","",共有用1!K6&amp;"/"&amp;COUNTIF(共有用1!K$2:K6,共有用1!K6))</f>
        <v/>
      </c>
      <c r="L6" s="17" t="str">
        <f>IF(共有用1!L6="","",共有用1!L6&amp;"/"&amp;COUNTIF(共有用1!L$2:L6,共有用1!L6))</f>
        <v/>
      </c>
      <c r="M6" s="17" t="str">
        <f>IF(共有用1!M6="","",共有用1!M6&amp;"/"&amp;COUNTIF(共有用1!M$2:M6,共有用1!M6))</f>
        <v/>
      </c>
      <c r="N6" s="17" t="str">
        <f>IF(共有用1!N6="","",共有用1!N6&amp;"/"&amp;COUNTIF(共有用1!N$2:N6,共有用1!N6))</f>
        <v/>
      </c>
      <c r="O6" s="17" t="str">
        <f>IF(共有用1!O6="","",共有用1!O6&amp;"/"&amp;COUNTIF(共有用1!O$2:O6,共有用1!O6))</f>
        <v/>
      </c>
      <c r="P6" s="17" t="str">
        <f>IF(共有用1!P6="","",共有用1!P6&amp;"/"&amp;COUNTIF(共有用1!P$2:P6,共有用1!P6))</f>
        <v/>
      </c>
      <c r="Q6" s="17" t="str">
        <f>IF(共有用1!Q6="","",共有用1!Q6&amp;"/"&amp;COUNTIF(共有用1!Q$2:Q6,共有用1!Q6))</f>
        <v/>
      </c>
      <c r="R6" s="17" t="str">
        <f>IF(共有用1!R6="","",共有用1!R6&amp;"/"&amp;COUNTIF(共有用1!R$2:R6,共有用1!R6))</f>
        <v/>
      </c>
      <c r="S6" s="17" t="str">
        <f>IF(共有用1!S6="","",共有用1!S6&amp;"/"&amp;COUNTIF(共有用1!S$2:S6,共有用1!S6))</f>
        <v/>
      </c>
      <c r="T6" s="17" t="str">
        <f>IF(共有用1!T6="","",共有用1!T6&amp;"/"&amp;COUNTIF(共有用1!T$2:T6,共有用1!T6))</f>
        <v/>
      </c>
      <c r="U6" s="17" t="str">
        <f>IF(共有用1!U6="","",共有用1!U6&amp;"/"&amp;COUNTIF(共有用1!U$2:U6,共有用1!U6))</f>
        <v/>
      </c>
      <c r="V6" s="17" t="str">
        <f>IF(共有用1!V6="","",共有用1!V6&amp;"/"&amp;COUNTIF(共有用1!V$2:V6,共有用1!V6))</f>
        <v/>
      </c>
      <c r="W6" s="17" t="str">
        <f>IF(共有用1!W6="","",共有用1!W6&amp;"/"&amp;COUNTIF(共有用1!W$2:W6,共有用1!W6))</f>
        <v/>
      </c>
      <c r="X6" s="17" t="str">
        <f>IF(共有用1!X6="","",共有用1!X6&amp;"/"&amp;COUNTIF(共有用1!X$2:X6,共有用1!X6))</f>
        <v/>
      </c>
      <c r="Y6" s="17" t="str">
        <f>IF(共有用1!Y6="","",共有用1!Y6&amp;"/"&amp;COUNTIF(共有用1!Y$2:Y6,共有用1!Y6))</f>
        <v/>
      </c>
      <c r="Z6" s="17" t="str">
        <f>IF(共有用1!Z6="","",共有用1!Z6&amp;"/"&amp;COUNTIF(共有用1!Z$2:Z6,共有用1!Z6))</f>
        <v/>
      </c>
      <c r="AA6" s="17" t="str">
        <f>IF(共有用1!AA6="","",共有用1!AA6&amp;"/"&amp;COUNTIF(共有用1!AA$2:AA6,共有用1!AA6))</f>
        <v/>
      </c>
      <c r="AB6" s="17" t="str">
        <f>IF(共有用1!AB6="","",共有用1!AB6&amp;"/"&amp;COUNTIF(共有用1!AB$2:AB6,共有用1!AB6))</f>
        <v/>
      </c>
      <c r="AC6" s="17" t="str">
        <f>IF(共有用1!AC6="","",共有用1!AC6&amp;"/"&amp;COUNTIF(共有用1!AC$2:AC6,共有用1!AC6))</f>
        <v/>
      </c>
      <c r="AD6" s="17" t="str">
        <f>IF(共有用1!AD6="","",共有用1!AD6&amp;"/"&amp;COUNTIF(共有用1!AD$2:AD6,共有用1!AD6))</f>
        <v/>
      </c>
      <c r="AE6" s="17" t="str">
        <f>IF(共有用1!AE6="","",共有用1!AE6&amp;"/"&amp;COUNTIF(共有用1!AE$2:AE6,共有用1!AE6))</f>
        <v/>
      </c>
      <c r="AF6" s="17" t="str">
        <f>IF(共有用1!AF6="","",共有用1!AF6&amp;"/"&amp;COUNTIF(共有用1!AF$2:AF6,共有用1!AF6))</f>
        <v/>
      </c>
      <c r="AG6" s="17" t="str">
        <f>IF(共有用1!AG6="","",共有用1!AG6&amp;"/"&amp;COUNTIF(共有用1!AG$2:AG6,共有用1!AG6))</f>
        <v/>
      </c>
      <c r="AH6" s="17" t="str">
        <f>IF(共有用1!AH6="","",共有用1!AH6&amp;"/"&amp;COUNTIF(共有用1!AH$2:AH6,共有用1!AH6))</f>
        <v/>
      </c>
      <c r="AI6" s="17" t="str">
        <f>IF(共有用1!AI6="","",共有用1!AI6&amp;"/"&amp;COUNTIF(共有用1!AI$2:AI6,共有用1!AI6))</f>
        <v/>
      </c>
      <c r="AJ6" s="17" t="str">
        <f>IF(共有用1!AJ6="","",共有用1!AJ6&amp;"/"&amp;COUNTIF(共有用1!AJ$2:AJ6,共有用1!AJ6))</f>
        <v/>
      </c>
      <c r="AK6" s="17" t="str">
        <f>IF(共有用1!AK6="","",共有用1!AK6&amp;"/"&amp;COUNTIF(共有用1!AK$2:AK6,共有用1!AK6))</f>
        <v/>
      </c>
      <c r="AL6" s="17" t="str">
        <f>IF(共有用1!AL6="","",共有用1!AL6&amp;"/"&amp;COUNTIF(共有用1!AL$2:AL6,共有用1!AL6))</f>
        <v/>
      </c>
      <c r="AM6" s="17" t="str">
        <f>IF(共有用1!AM6="","",共有用1!AM6&amp;"/"&amp;COUNTIF(共有用1!AM$2:AM6,共有用1!AM6))</f>
        <v/>
      </c>
      <c r="AN6" s="17" t="str">
        <f>IF(共有用1!AN6="","",共有用1!AN6&amp;"/"&amp;COUNTIF(共有用1!AN$2:AN6,共有用1!AN6))</f>
        <v/>
      </c>
      <c r="AO6" s="17" t="str">
        <f>IF(共有用1!AO6="","",共有用1!AO6&amp;"/"&amp;COUNTIF(共有用1!AO$2:AO6,共有用1!AO6))</f>
        <v/>
      </c>
      <c r="AP6" s="17" t="str">
        <f>IF(共有用1!AP6="","",共有用1!AP6&amp;"/"&amp;COUNTIF(共有用1!AP$2:AP6,共有用1!AP6))</f>
        <v/>
      </c>
      <c r="AQ6" s="17" t="str">
        <f>IF(共有用1!AQ6="","",共有用1!AQ6&amp;"/"&amp;COUNTIF(共有用1!AQ$2:AQ6,共有用1!AQ6))</f>
        <v/>
      </c>
      <c r="AR6" s="17" t="str">
        <f>IF(共有用1!AR6="","",共有用1!AR6&amp;"/"&amp;COUNTIF(共有用1!AR$2:AR6,共有用1!AR6))</f>
        <v/>
      </c>
      <c r="AS6" s="17" t="str">
        <f>IF(共有用1!AS6="","",共有用1!AS6&amp;"/"&amp;COUNTIF(共有用1!AS$2:AS6,共有用1!AS6))</f>
        <v/>
      </c>
      <c r="AT6" s="17" t="str">
        <f>IF(共有用1!AT6="","",共有用1!AT6&amp;"/"&amp;COUNTIF(共有用1!AT$2:AT6,共有用1!AT6))</f>
        <v/>
      </c>
      <c r="AU6" s="17" t="str">
        <f>IF(共有用1!AU6="","",共有用1!AU6&amp;"/"&amp;COUNTIF(共有用1!AU$2:AU6,共有用1!AU6))</f>
        <v/>
      </c>
      <c r="AV6" s="17" t="str">
        <f>IF(共有用1!AV6="","",共有用1!AV6&amp;"/"&amp;COUNTIF(共有用1!AV$2:AV6,共有用1!AV6))</f>
        <v/>
      </c>
      <c r="AW6" s="17" t="str">
        <f>IF(共有用1!AW6="","",共有用1!AW6&amp;"/"&amp;COUNTIF(共有用1!AW$2:AW6,共有用1!AW6))</f>
        <v/>
      </c>
      <c r="AX6" s="17" t="str">
        <f>IF(共有用1!AX6="","",共有用1!AX6&amp;"/"&amp;COUNTIF(共有用1!AX$2:AX6,共有用1!AX6))</f>
        <v/>
      </c>
      <c r="AY6" s="17" t="str">
        <f>IF(共有用1!AY6="","",共有用1!AY6&amp;"/"&amp;COUNTIF(共有用1!AY$2:AY6,共有用1!AY6))</f>
        <v/>
      </c>
      <c r="AZ6" s="17" t="str">
        <f>IF(共有用1!AZ6="","",共有用1!AZ6&amp;"/"&amp;COUNTIF(共有用1!AZ$2:AZ6,共有用1!AZ6))</f>
        <v/>
      </c>
      <c r="BA6" s="17" t="str">
        <f>IF(共有用1!BA6="","",共有用1!BA6&amp;"/"&amp;COUNTIF(共有用1!BA$2:BA6,共有用1!BA6))</f>
        <v/>
      </c>
    </row>
    <row r="7" spans="1:53">
      <c r="A7" s="2" t="str">
        <f>共有用1!A7</f>
        <v>6</v>
      </c>
      <c r="B7" s="2" t="str">
        <f>共有用1!B7</f>
        <v/>
      </c>
      <c r="C7" s="2" t="str">
        <f>共有用1!C7</f>
        <v/>
      </c>
      <c r="D7" s="17" t="str">
        <f>IF(共有用1!D7="","",共有用1!D7&amp;"/"&amp;COUNTIF(共有用1!D$2:D7,共有用1!D7))</f>
        <v/>
      </c>
      <c r="E7" s="17" t="str">
        <f>IF(共有用1!E7="","",共有用1!E7&amp;"/"&amp;COUNTIF(共有用1!E$2:E7,共有用1!E7))</f>
        <v/>
      </c>
      <c r="F7" s="17" t="str">
        <f>IF(共有用1!F7="","",共有用1!F7&amp;"/"&amp;COUNTIF(共有用1!F$2:F7,共有用1!F7))</f>
        <v/>
      </c>
      <c r="G7" s="17" t="str">
        <f>IF(共有用1!G7="","",共有用1!G7&amp;"/"&amp;COUNTIF(共有用1!G$2:G7,共有用1!G7))</f>
        <v/>
      </c>
      <c r="H7" s="17" t="str">
        <f>IF(共有用1!H7="","",共有用1!H7&amp;"/"&amp;COUNTIF(共有用1!H$2:H7,共有用1!H7))</f>
        <v/>
      </c>
      <c r="I7" s="17" t="str">
        <f>IF(共有用1!I7="","",共有用1!I7&amp;"/"&amp;COUNTIF(共有用1!I$2:I7,共有用1!I7))</f>
        <v/>
      </c>
      <c r="J7" s="17" t="str">
        <f>IF(共有用1!J7="","",共有用1!J7&amp;"/"&amp;COUNTIF(共有用1!J$2:J7,共有用1!J7))</f>
        <v/>
      </c>
      <c r="K7" s="17" t="str">
        <f>IF(共有用1!K7="","",共有用1!K7&amp;"/"&amp;COUNTIF(共有用1!K$2:K7,共有用1!K7))</f>
        <v/>
      </c>
      <c r="L7" s="17" t="str">
        <f>IF(共有用1!L7="","",共有用1!L7&amp;"/"&amp;COUNTIF(共有用1!L$2:L7,共有用1!L7))</f>
        <v/>
      </c>
      <c r="M7" s="17" t="str">
        <f>IF(共有用1!M7="","",共有用1!M7&amp;"/"&amp;COUNTIF(共有用1!M$2:M7,共有用1!M7))</f>
        <v/>
      </c>
      <c r="N7" s="17" t="str">
        <f>IF(共有用1!N7="","",共有用1!N7&amp;"/"&amp;COUNTIF(共有用1!N$2:N7,共有用1!N7))</f>
        <v/>
      </c>
      <c r="O7" s="17" t="str">
        <f>IF(共有用1!O7="","",共有用1!O7&amp;"/"&amp;COUNTIF(共有用1!O$2:O7,共有用1!O7))</f>
        <v/>
      </c>
      <c r="P7" s="17" t="str">
        <f>IF(共有用1!P7="","",共有用1!P7&amp;"/"&amp;COUNTIF(共有用1!P$2:P7,共有用1!P7))</f>
        <v/>
      </c>
      <c r="Q7" s="17" t="str">
        <f>IF(共有用1!Q7="","",共有用1!Q7&amp;"/"&amp;COUNTIF(共有用1!Q$2:Q7,共有用1!Q7))</f>
        <v/>
      </c>
      <c r="R7" s="17" t="str">
        <f>IF(共有用1!R7="","",共有用1!R7&amp;"/"&amp;COUNTIF(共有用1!R$2:R7,共有用1!R7))</f>
        <v/>
      </c>
      <c r="S7" s="17" t="str">
        <f>IF(共有用1!S7="","",共有用1!S7&amp;"/"&amp;COUNTIF(共有用1!S$2:S7,共有用1!S7))</f>
        <v/>
      </c>
      <c r="T7" s="17" t="str">
        <f>IF(共有用1!T7="","",共有用1!T7&amp;"/"&amp;COUNTIF(共有用1!T$2:T7,共有用1!T7))</f>
        <v/>
      </c>
      <c r="U7" s="17" t="str">
        <f>IF(共有用1!U7="","",共有用1!U7&amp;"/"&amp;COUNTIF(共有用1!U$2:U7,共有用1!U7))</f>
        <v/>
      </c>
      <c r="V7" s="17" t="str">
        <f>IF(共有用1!V7="","",共有用1!V7&amp;"/"&amp;COUNTIF(共有用1!V$2:V7,共有用1!V7))</f>
        <v/>
      </c>
      <c r="W7" s="17" t="str">
        <f>IF(共有用1!W7="","",共有用1!W7&amp;"/"&amp;COUNTIF(共有用1!W$2:W7,共有用1!W7))</f>
        <v/>
      </c>
      <c r="X7" s="17" t="str">
        <f>IF(共有用1!X7="","",共有用1!X7&amp;"/"&amp;COUNTIF(共有用1!X$2:X7,共有用1!X7))</f>
        <v/>
      </c>
      <c r="Y7" s="17" t="str">
        <f>IF(共有用1!Y7="","",共有用1!Y7&amp;"/"&amp;COUNTIF(共有用1!Y$2:Y7,共有用1!Y7))</f>
        <v/>
      </c>
      <c r="Z7" s="17" t="str">
        <f>IF(共有用1!Z7="","",共有用1!Z7&amp;"/"&amp;COUNTIF(共有用1!Z$2:Z7,共有用1!Z7))</f>
        <v/>
      </c>
      <c r="AA7" s="17" t="str">
        <f>IF(共有用1!AA7="","",共有用1!AA7&amp;"/"&amp;COUNTIF(共有用1!AA$2:AA7,共有用1!AA7))</f>
        <v/>
      </c>
      <c r="AB7" s="17" t="str">
        <f>IF(共有用1!AB7="","",共有用1!AB7&amp;"/"&amp;COUNTIF(共有用1!AB$2:AB7,共有用1!AB7))</f>
        <v/>
      </c>
      <c r="AC7" s="17" t="str">
        <f>IF(共有用1!AC7="","",共有用1!AC7&amp;"/"&amp;COUNTIF(共有用1!AC$2:AC7,共有用1!AC7))</f>
        <v/>
      </c>
      <c r="AD7" s="17" t="str">
        <f>IF(共有用1!AD7="","",共有用1!AD7&amp;"/"&amp;COUNTIF(共有用1!AD$2:AD7,共有用1!AD7))</f>
        <v/>
      </c>
      <c r="AE7" s="17" t="str">
        <f>IF(共有用1!AE7="","",共有用1!AE7&amp;"/"&amp;COUNTIF(共有用1!AE$2:AE7,共有用1!AE7))</f>
        <v/>
      </c>
      <c r="AF7" s="17" t="str">
        <f>IF(共有用1!AF7="","",共有用1!AF7&amp;"/"&amp;COUNTIF(共有用1!AF$2:AF7,共有用1!AF7))</f>
        <v/>
      </c>
      <c r="AG7" s="17" t="str">
        <f>IF(共有用1!AG7="","",共有用1!AG7&amp;"/"&amp;COUNTIF(共有用1!AG$2:AG7,共有用1!AG7))</f>
        <v/>
      </c>
      <c r="AH7" s="17" t="str">
        <f>IF(共有用1!AH7="","",共有用1!AH7&amp;"/"&amp;COUNTIF(共有用1!AH$2:AH7,共有用1!AH7))</f>
        <v/>
      </c>
      <c r="AI7" s="17" t="str">
        <f>IF(共有用1!AI7="","",共有用1!AI7&amp;"/"&amp;COUNTIF(共有用1!AI$2:AI7,共有用1!AI7))</f>
        <v/>
      </c>
      <c r="AJ7" s="17" t="str">
        <f>IF(共有用1!AJ7="","",共有用1!AJ7&amp;"/"&amp;COUNTIF(共有用1!AJ$2:AJ7,共有用1!AJ7))</f>
        <v/>
      </c>
      <c r="AK7" s="17" t="str">
        <f>IF(共有用1!AK7="","",共有用1!AK7&amp;"/"&amp;COUNTIF(共有用1!AK$2:AK7,共有用1!AK7))</f>
        <v/>
      </c>
      <c r="AL7" s="17" t="str">
        <f>IF(共有用1!AL7="","",共有用1!AL7&amp;"/"&amp;COUNTIF(共有用1!AL$2:AL7,共有用1!AL7))</f>
        <v/>
      </c>
      <c r="AM7" s="17" t="str">
        <f>IF(共有用1!AM7="","",共有用1!AM7&amp;"/"&amp;COUNTIF(共有用1!AM$2:AM7,共有用1!AM7))</f>
        <v/>
      </c>
      <c r="AN7" s="17" t="str">
        <f>IF(共有用1!AN7="","",共有用1!AN7&amp;"/"&amp;COUNTIF(共有用1!AN$2:AN7,共有用1!AN7))</f>
        <v/>
      </c>
      <c r="AO7" s="17" t="str">
        <f>IF(共有用1!AO7="","",共有用1!AO7&amp;"/"&amp;COUNTIF(共有用1!AO$2:AO7,共有用1!AO7))</f>
        <v/>
      </c>
      <c r="AP7" s="17" t="str">
        <f>IF(共有用1!AP7="","",共有用1!AP7&amp;"/"&amp;COUNTIF(共有用1!AP$2:AP7,共有用1!AP7))</f>
        <v/>
      </c>
      <c r="AQ7" s="17" t="str">
        <f>IF(共有用1!AQ7="","",共有用1!AQ7&amp;"/"&amp;COUNTIF(共有用1!AQ$2:AQ7,共有用1!AQ7))</f>
        <v/>
      </c>
      <c r="AR7" s="17" t="str">
        <f>IF(共有用1!AR7="","",共有用1!AR7&amp;"/"&amp;COUNTIF(共有用1!AR$2:AR7,共有用1!AR7))</f>
        <v/>
      </c>
      <c r="AS7" s="17" t="str">
        <f>IF(共有用1!AS7="","",共有用1!AS7&amp;"/"&amp;COUNTIF(共有用1!AS$2:AS7,共有用1!AS7))</f>
        <v/>
      </c>
      <c r="AT7" s="17" t="str">
        <f>IF(共有用1!AT7="","",共有用1!AT7&amp;"/"&amp;COUNTIF(共有用1!AT$2:AT7,共有用1!AT7))</f>
        <v/>
      </c>
      <c r="AU7" s="17" t="str">
        <f>IF(共有用1!AU7="","",共有用1!AU7&amp;"/"&amp;COUNTIF(共有用1!AU$2:AU7,共有用1!AU7))</f>
        <v/>
      </c>
      <c r="AV7" s="17" t="str">
        <f>IF(共有用1!AV7="","",共有用1!AV7&amp;"/"&amp;COUNTIF(共有用1!AV$2:AV7,共有用1!AV7))</f>
        <v/>
      </c>
      <c r="AW7" s="17" t="str">
        <f>IF(共有用1!AW7="","",共有用1!AW7&amp;"/"&amp;COUNTIF(共有用1!AW$2:AW7,共有用1!AW7))</f>
        <v/>
      </c>
      <c r="AX7" s="17" t="str">
        <f>IF(共有用1!AX7="","",共有用1!AX7&amp;"/"&amp;COUNTIF(共有用1!AX$2:AX7,共有用1!AX7))</f>
        <v/>
      </c>
      <c r="AY7" s="17" t="str">
        <f>IF(共有用1!AY7="","",共有用1!AY7&amp;"/"&amp;COUNTIF(共有用1!AY$2:AY7,共有用1!AY7))</f>
        <v/>
      </c>
      <c r="AZ7" s="17" t="str">
        <f>IF(共有用1!AZ7="","",共有用1!AZ7&amp;"/"&amp;COUNTIF(共有用1!AZ$2:AZ7,共有用1!AZ7))</f>
        <v/>
      </c>
      <c r="BA7" s="17" t="str">
        <f>IF(共有用1!BA7="","",共有用1!BA7&amp;"/"&amp;COUNTIF(共有用1!BA$2:BA7,共有用1!BA7))</f>
        <v/>
      </c>
    </row>
    <row r="8" spans="1:53">
      <c r="A8" s="2" t="str">
        <f>共有用1!A8</f>
        <v>7</v>
      </c>
      <c r="B8" s="2" t="str">
        <f>共有用1!B8</f>
        <v/>
      </c>
      <c r="C8" s="2" t="str">
        <f>共有用1!C8</f>
        <v/>
      </c>
      <c r="D8" s="17" t="str">
        <f>IF(共有用1!D8="","",共有用1!D8&amp;"/"&amp;COUNTIF(共有用1!D$2:D8,共有用1!D8))</f>
        <v/>
      </c>
      <c r="E8" s="17" t="str">
        <f>IF(共有用1!E8="","",共有用1!E8&amp;"/"&amp;COUNTIF(共有用1!E$2:E8,共有用1!E8))</f>
        <v/>
      </c>
      <c r="F8" s="17" t="str">
        <f>IF(共有用1!F8="","",共有用1!F8&amp;"/"&amp;COUNTIF(共有用1!F$2:F8,共有用1!F8))</f>
        <v/>
      </c>
      <c r="G8" s="17" t="str">
        <f>IF(共有用1!G8="","",共有用1!G8&amp;"/"&amp;COUNTIF(共有用1!G$2:G8,共有用1!G8))</f>
        <v/>
      </c>
      <c r="H8" s="17" t="str">
        <f>IF(共有用1!H8="","",共有用1!H8&amp;"/"&amp;COUNTIF(共有用1!H$2:H8,共有用1!H8))</f>
        <v/>
      </c>
      <c r="I8" s="17" t="str">
        <f>IF(共有用1!I8="","",共有用1!I8&amp;"/"&amp;COUNTIF(共有用1!I$2:I8,共有用1!I8))</f>
        <v/>
      </c>
      <c r="J8" s="17" t="str">
        <f>IF(共有用1!J8="","",共有用1!J8&amp;"/"&amp;COUNTIF(共有用1!J$2:J8,共有用1!J8))</f>
        <v/>
      </c>
      <c r="K8" s="17" t="str">
        <f>IF(共有用1!K8="","",共有用1!K8&amp;"/"&amp;COUNTIF(共有用1!K$2:K8,共有用1!K8))</f>
        <v/>
      </c>
      <c r="L8" s="17" t="str">
        <f>IF(共有用1!L8="","",共有用1!L8&amp;"/"&amp;COUNTIF(共有用1!L$2:L8,共有用1!L8))</f>
        <v/>
      </c>
      <c r="M8" s="17" t="str">
        <f>IF(共有用1!M8="","",共有用1!M8&amp;"/"&amp;COUNTIF(共有用1!M$2:M8,共有用1!M8))</f>
        <v/>
      </c>
      <c r="N8" s="17" t="str">
        <f>IF(共有用1!N8="","",共有用1!N8&amp;"/"&amp;COUNTIF(共有用1!N$2:N8,共有用1!N8))</f>
        <v/>
      </c>
      <c r="O8" s="17" t="str">
        <f>IF(共有用1!O8="","",共有用1!O8&amp;"/"&amp;COUNTIF(共有用1!O$2:O8,共有用1!O8))</f>
        <v/>
      </c>
      <c r="P8" s="17" t="str">
        <f>IF(共有用1!P8="","",共有用1!P8&amp;"/"&amp;COUNTIF(共有用1!P$2:P8,共有用1!P8))</f>
        <v/>
      </c>
      <c r="Q8" s="17" t="str">
        <f>IF(共有用1!Q8="","",共有用1!Q8&amp;"/"&amp;COUNTIF(共有用1!Q$2:Q8,共有用1!Q8))</f>
        <v/>
      </c>
      <c r="R8" s="17" t="str">
        <f>IF(共有用1!R8="","",共有用1!R8&amp;"/"&amp;COUNTIF(共有用1!R$2:R8,共有用1!R8))</f>
        <v/>
      </c>
      <c r="S8" s="17" t="str">
        <f>IF(共有用1!S8="","",共有用1!S8&amp;"/"&amp;COUNTIF(共有用1!S$2:S8,共有用1!S8))</f>
        <v/>
      </c>
      <c r="T8" s="17" t="str">
        <f>IF(共有用1!T8="","",共有用1!T8&amp;"/"&amp;COUNTIF(共有用1!T$2:T8,共有用1!T8))</f>
        <v/>
      </c>
      <c r="U8" s="17" t="str">
        <f>IF(共有用1!U8="","",共有用1!U8&amp;"/"&amp;COUNTIF(共有用1!U$2:U8,共有用1!U8))</f>
        <v/>
      </c>
      <c r="V8" s="17" t="str">
        <f>IF(共有用1!V8="","",共有用1!V8&amp;"/"&amp;COUNTIF(共有用1!V$2:V8,共有用1!V8))</f>
        <v/>
      </c>
      <c r="W8" s="17" t="str">
        <f>IF(共有用1!W8="","",共有用1!W8&amp;"/"&amp;COUNTIF(共有用1!W$2:W8,共有用1!W8))</f>
        <v/>
      </c>
      <c r="X8" s="17" t="str">
        <f>IF(共有用1!X8="","",共有用1!X8&amp;"/"&amp;COUNTIF(共有用1!X$2:X8,共有用1!X8))</f>
        <v/>
      </c>
      <c r="Y8" s="17" t="str">
        <f>IF(共有用1!Y8="","",共有用1!Y8&amp;"/"&amp;COUNTIF(共有用1!Y$2:Y8,共有用1!Y8))</f>
        <v/>
      </c>
      <c r="Z8" s="17" t="str">
        <f>IF(共有用1!Z8="","",共有用1!Z8&amp;"/"&amp;COUNTIF(共有用1!Z$2:Z8,共有用1!Z8))</f>
        <v/>
      </c>
      <c r="AA8" s="17" t="str">
        <f>IF(共有用1!AA8="","",共有用1!AA8&amp;"/"&amp;COUNTIF(共有用1!AA$2:AA8,共有用1!AA8))</f>
        <v/>
      </c>
      <c r="AB8" s="17" t="str">
        <f>IF(共有用1!AB8="","",共有用1!AB8&amp;"/"&amp;COUNTIF(共有用1!AB$2:AB8,共有用1!AB8))</f>
        <v/>
      </c>
      <c r="AC8" s="17" t="str">
        <f>IF(共有用1!AC8="","",共有用1!AC8&amp;"/"&amp;COUNTIF(共有用1!AC$2:AC8,共有用1!AC8))</f>
        <v/>
      </c>
      <c r="AD8" s="17" t="str">
        <f>IF(共有用1!AD8="","",共有用1!AD8&amp;"/"&amp;COUNTIF(共有用1!AD$2:AD8,共有用1!AD8))</f>
        <v/>
      </c>
      <c r="AE8" s="17" t="str">
        <f>IF(共有用1!AE8="","",共有用1!AE8&amp;"/"&amp;COUNTIF(共有用1!AE$2:AE8,共有用1!AE8))</f>
        <v/>
      </c>
      <c r="AF8" s="17" t="str">
        <f>IF(共有用1!AF8="","",共有用1!AF8&amp;"/"&amp;COUNTIF(共有用1!AF$2:AF8,共有用1!AF8))</f>
        <v/>
      </c>
      <c r="AG8" s="17" t="str">
        <f>IF(共有用1!AG8="","",共有用1!AG8&amp;"/"&amp;COUNTIF(共有用1!AG$2:AG8,共有用1!AG8))</f>
        <v/>
      </c>
      <c r="AH8" s="17" t="str">
        <f>IF(共有用1!AH8="","",共有用1!AH8&amp;"/"&amp;COUNTIF(共有用1!AH$2:AH8,共有用1!AH8))</f>
        <v/>
      </c>
      <c r="AI8" s="17" t="str">
        <f>IF(共有用1!AI8="","",共有用1!AI8&amp;"/"&amp;COUNTIF(共有用1!AI$2:AI8,共有用1!AI8))</f>
        <v/>
      </c>
      <c r="AJ8" s="17" t="str">
        <f>IF(共有用1!AJ8="","",共有用1!AJ8&amp;"/"&amp;COUNTIF(共有用1!AJ$2:AJ8,共有用1!AJ8))</f>
        <v/>
      </c>
      <c r="AK8" s="17" t="str">
        <f>IF(共有用1!AK8="","",共有用1!AK8&amp;"/"&amp;COUNTIF(共有用1!AK$2:AK8,共有用1!AK8))</f>
        <v/>
      </c>
      <c r="AL8" s="17" t="str">
        <f>IF(共有用1!AL8="","",共有用1!AL8&amp;"/"&amp;COUNTIF(共有用1!AL$2:AL8,共有用1!AL8))</f>
        <v/>
      </c>
      <c r="AM8" s="17" t="str">
        <f>IF(共有用1!AM8="","",共有用1!AM8&amp;"/"&amp;COUNTIF(共有用1!AM$2:AM8,共有用1!AM8))</f>
        <v/>
      </c>
      <c r="AN8" s="17" t="str">
        <f>IF(共有用1!AN8="","",共有用1!AN8&amp;"/"&amp;COUNTIF(共有用1!AN$2:AN8,共有用1!AN8))</f>
        <v/>
      </c>
      <c r="AO8" s="17" t="str">
        <f>IF(共有用1!AO8="","",共有用1!AO8&amp;"/"&amp;COUNTIF(共有用1!AO$2:AO8,共有用1!AO8))</f>
        <v/>
      </c>
      <c r="AP8" s="17" t="str">
        <f>IF(共有用1!AP8="","",共有用1!AP8&amp;"/"&amp;COUNTIF(共有用1!AP$2:AP8,共有用1!AP8))</f>
        <v/>
      </c>
      <c r="AQ8" s="17" t="str">
        <f>IF(共有用1!AQ8="","",共有用1!AQ8&amp;"/"&amp;COUNTIF(共有用1!AQ$2:AQ8,共有用1!AQ8))</f>
        <v/>
      </c>
      <c r="AR8" s="17" t="str">
        <f>IF(共有用1!AR8="","",共有用1!AR8&amp;"/"&amp;COUNTIF(共有用1!AR$2:AR8,共有用1!AR8))</f>
        <v/>
      </c>
      <c r="AS8" s="17" t="str">
        <f>IF(共有用1!AS8="","",共有用1!AS8&amp;"/"&amp;COUNTIF(共有用1!AS$2:AS8,共有用1!AS8))</f>
        <v/>
      </c>
      <c r="AT8" s="17" t="str">
        <f>IF(共有用1!AT8="","",共有用1!AT8&amp;"/"&amp;COUNTIF(共有用1!AT$2:AT8,共有用1!AT8))</f>
        <v/>
      </c>
      <c r="AU8" s="17" t="str">
        <f>IF(共有用1!AU8="","",共有用1!AU8&amp;"/"&amp;COUNTIF(共有用1!AU$2:AU8,共有用1!AU8))</f>
        <v/>
      </c>
      <c r="AV8" s="17" t="str">
        <f>IF(共有用1!AV8="","",共有用1!AV8&amp;"/"&amp;COUNTIF(共有用1!AV$2:AV8,共有用1!AV8))</f>
        <v/>
      </c>
      <c r="AW8" s="17" t="str">
        <f>IF(共有用1!AW8="","",共有用1!AW8&amp;"/"&amp;COUNTIF(共有用1!AW$2:AW8,共有用1!AW8))</f>
        <v/>
      </c>
      <c r="AX8" s="17" t="str">
        <f>IF(共有用1!AX8="","",共有用1!AX8&amp;"/"&amp;COUNTIF(共有用1!AX$2:AX8,共有用1!AX8))</f>
        <v/>
      </c>
      <c r="AY8" s="17" t="str">
        <f>IF(共有用1!AY8="","",共有用1!AY8&amp;"/"&amp;COUNTIF(共有用1!AY$2:AY8,共有用1!AY8))</f>
        <v/>
      </c>
      <c r="AZ8" s="17" t="str">
        <f>IF(共有用1!AZ8="","",共有用1!AZ8&amp;"/"&amp;COUNTIF(共有用1!AZ$2:AZ8,共有用1!AZ8))</f>
        <v/>
      </c>
      <c r="BA8" s="17" t="str">
        <f>IF(共有用1!BA8="","",共有用1!BA8&amp;"/"&amp;COUNTIF(共有用1!BA$2:BA8,共有用1!BA8))</f>
        <v/>
      </c>
    </row>
    <row r="9" spans="1:53">
      <c r="A9" s="2" t="str">
        <f>共有用1!A9</f>
        <v>8</v>
      </c>
      <c r="B9" s="2" t="str">
        <f>共有用1!B9</f>
        <v/>
      </c>
      <c r="C9" s="2" t="str">
        <f>共有用1!C9</f>
        <v/>
      </c>
      <c r="D9" s="17" t="str">
        <f>IF(共有用1!D9="","",共有用1!D9&amp;"/"&amp;COUNTIF(共有用1!D$2:D9,共有用1!D9))</f>
        <v/>
      </c>
      <c r="E9" s="17" t="str">
        <f>IF(共有用1!E9="","",共有用1!E9&amp;"/"&amp;COUNTIF(共有用1!E$2:E9,共有用1!E9))</f>
        <v/>
      </c>
      <c r="F9" s="17" t="str">
        <f>IF(共有用1!F9="","",共有用1!F9&amp;"/"&amp;COUNTIF(共有用1!F$2:F9,共有用1!F9))</f>
        <v/>
      </c>
      <c r="G9" s="17" t="str">
        <f>IF(共有用1!G9="","",共有用1!G9&amp;"/"&amp;COUNTIF(共有用1!G$2:G9,共有用1!G9))</f>
        <v/>
      </c>
      <c r="H9" s="17" t="str">
        <f>IF(共有用1!H9="","",共有用1!H9&amp;"/"&amp;COUNTIF(共有用1!H$2:H9,共有用1!H9))</f>
        <v/>
      </c>
      <c r="I9" s="17" t="str">
        <f>IF(共有用1!I9="","",共有用1!I9&amp;"/"&amp;COUNTIF(共有用1!I$2:I9,共有用1!I9))</f>
        <v/>
      </c>
      <c r="J9" s="17" t="str">
        <f>IF(共有用1!J9="","",共有用1!J9&amp;"/"&amp;COUNTIF(共有用1!J$2:J9,共有用1!J9))</f>
        <v/>
      </c>
      <c r="K9" s="17" t="str">
        <f>IF(共有用1!K9="","",共有用1!K9&amp;"/"&amp;COUNTIF(共有用1!K$2:K9,共有用1!K9))</f>
        <v/>
      </c>
      <c r="L9" s="17" t="str">
        <f>IF(共有用1!L9="","",共有用1!L9&amp;"/"&amp;COUNTIF(共有用1!L$2:L9,共有用1!L9))</f>
        <v/>
      </c>
      <c r="M9" s="17" t="str">
        <f>IF(共有用1!M9="","",共有用1!M9&amp;"/"&amp;COUNTIF(共有用1!M$2:M9,共有用1!M9))</f>
        <v/>
      </c>
      <c r="N9" s="17" t="str">
        <f>IF(共有用1!N9="","",共有用1!N9&amp;"/"&amp;COUNTIF(共有用1!N$2:N9,共有用1!N9))</f>
        <v/>
      </c>
      <c r="O9" s="17" t="str">
        <f>IF(共有用1!O9="","",共有用1!O9&amp;"/"&amp;COUNTIF(共有用1!O$2:O9,共有用1!O9))</f>
        <v/>
      </c>
      <c r="P9" s="17" t="str">
        <f>IF(共有用1!P9="","",共有用1!P9&amp;"/"&amp;COUNTIF(共有用1!P$2:P9,共有用1!P9))</f>
        <v/>
      </c>
      <c r="Q9" s="17" t="str">
        <f>IF(共有用1!Q9="","",共有用1!Q9&amp;"/"&amp;COUNTIF(共有用1!Q$2:Q9,共有用1!Q9))</f>
        <v/>
      </c>
      <c r="R9" s="17" t="str">
        <f>IF(共有用1!R9="","",共有用1!R9&amp;"/"&amp;COUNTIF(共有用1!R$2:R9,共有用1!R9))</f>
        <v/>
      </c>
      <c r="S9" s="17" t="str">
        <f>IF(共有用1!S9="","",共有用1!S9&amp;"/"&amp;COUNTIF(共有用1!S$2:S9,共有用1!S9))</f>
        <v/>
      </c>
      <c r="T9" s="17" t="str">
        <f>IF(共有用1!T9="","",共有用1!T9&amp;"/"&amp;COUNTIF(共有用1!T$2:T9,共有用1!T9))</f>
        <v/>
      </c>
      <c r="U9" s="17" t="str">
        <f>IF(共有用1!U9="","",共有用1!U9&amp;"/"&amp;COUNTIF(共有用1!U$2:U9,共有用1!U9))</f>
        <v/>
      </c>
      <c r="V9" s="17" t="str">
        <f>IF(共有用1!V9="","",共有用1!V9&amp;"/"&amp;COUNTIF(共有用1!V$2:V9,共有用1!V9))</f>
        <v/>
      </c>
      <c r="W9" s="17" t="str">
        <f>IF(共有用1!W9="","",共有用1!W9&amp;"/"&amp;COUNTIF(共有用1!W$2:W9,共有用1!W9))</f>
        <v/>
      </c>
      <c r="X9" s="17" t="str">
        <f>IF(共有用1!X9="","",共有用1!X9&amp;"/"&amp;COUNTIF(共有用1!X$2:X9,共有用1!X9))</f>
        <v/>
      </c>
      <c r="Y9" s="17" t="str">
        <f>IF(共有用1!Y9="","",共有用1!Y9&amp;"/"&amp;COUNTIF(共有用1!Y$2:Y9,共有用1!Y9))</f>
        <v/>
      </c>
      <c r="Z9" s="17" t="str">
        <f>IF(共有用1!Z9="","",共有用1!Z9&amp;"/"&amp;COUNTIF(共有用1!Z$2:Z9,共有用1!Z9))</f>
        <v/>
      </c>
      <c r="AA9" s="17" t="str">
        <f>IF(共有用1!AA9="","",共有用1!AA9&amp;"/"&amp;COUNTIF(共有用1!AA$2:AA9,共有用1!AA9))</f>
        <v/>
      </c>
      <c r="AB9" s="17" t="str">
        <f>IF(共有用1!AB9="","",共有用1!AB9&amp;"/"&amp;COUNTIF(共有用1!AB$2:AB9,共有用1!AB9))</f>
        <v/>
      </c>
      <c r="AC9" s="17" t="str">
        <f>IF(共有用1!AC9="","",共有用1!AC9&amp;"/"&amp;COUNTIF(共有用1!AC$2:AC9,共有用1!AC9))</f>
        <v/>
      </c>
      <c r="AD9" s="17" t="str">
        <f>IF(共有用1!AD9="","",共有用1!AD9&amp;"/"&amp;COUNTIF(共有用1!AD$2:AD9,共有用1!AD9))</f>
        <v/>
      </c>
      <c r="AE9" s="17" t="str">
        <f>IF(共有用1!AE9="","",共有用1!AE9&amp;"/"&amp;COUNTIF(共有用1!AE$2:AE9,共有用1!AE9))</f>
        <v/>
      </c>
      <c r="AF9" s="17" t="str">
        <f>IF(共有用1!AF9="","",共有用1!AF9&amp;"/"&amp;COUNTIF(共有用1!AF$2:AF9,共有用1!AF9))</f>
        <v/>
      </c>
      <c r="AG9" s="17" t="str">
        <f>IF(共有用1!AG9="","",共有用1!AG9&amp;"/"&amp;COUNTIF(共有用1!AG$2:AG9,共有用1!AG9))</f>
        <v/>
      </c>
      <c r="AH9" s="17" t="str">
        <f>IF(共有用1!AH9="","",共有用1!AH9&amp;"/"&amp;COUNTIF(共有用1!AH$2:AH9,共有用1!AH9))</f>
        <v/>
      </c>
      <c r="AI9" s="17" t="str">
        <f>IF(共有用1!AI9="","",共有用1!AI9&amp;"/"&amp;COUNTIF(共有用1!AI$2:AI9,共有用1!AI9))</f>
        <v/>
      </c>
      <c r="AJ9" s="17" t="str">
        <f>IF(共有用1!AJ9="","",共有用1!AJ9&amp;"/"&amp;COUNTIF(共有用1!AJ$2:AJ9,共有用1!AJ9))</f>
        <v/>
      </c>
      <c r="AK9" s="17" t="str">
        <f>IF(共有用1!AK9="","",共有用1!AK9&amp;"/"&amp;COUNTIF(共有用1!AK$2:AK9,共有用1!AK9))</f>
        <v/>
      </c>
      <c r="AL9" s="17" t="str">
        <f>IF(共有用1!AL9="","",共有用1!AL9&amp;"/"&amp;COUNTIF(共有用1!AL$2:AL9,共有用1!AL9))</f>
        <v/>
      </c>
      <c r="AM9" s="17" t="str">
        <f>IF(共有用1!AM9="","",共有用1!AM9&amp;"/"&amp;COUNTIF(共有用1!AM$2:AM9,共有用1!AM9))</f>
        <v/>
      </c>
      <c r="AN9" s="17" t="str">
        <f>IF(共有用1!AN9="","",共有用1!AN9&amp;"/"&amp;COUNTIF(共有用1!AN$2:AN9,共有用1!AN9))</f>
        <v/>
      </c>
      <c r="AO9" s="17" t="str">
        <f>IF(共有用1!AO9="","",共有用1!AO9&amp;"/"&amp;COUNTIF(共有用1!AO$2:AO9,共有用1!AO9))</f>
        <v/>
      </c>
      <c r="AP9" s="17" t="str">
        <f>IF(共有用1!AP9="","",共有用1!AP9&amp;"/"&amp;COUNTIF(共有用1!AP$2:AP9,共有用1!AP9))</f>
        <v/>
      </c>
      <c r="AQ9" s="17" t="str">
        <f>IF(共有用1!AQ9="","",共有用1!AQ9&amp;"/"&amp;COUNTIF(共有用1!AQ$2:AQ9,共有用1!AQ9))</f>
        <v/>
      </c>
      <c r="AR9" s="17" t="str">
        <f>IF(共有用1!AR9="","",共有用1!AR9&amp;"/"&amp;COUNTIF(共有用1!AR$2:AR9,共有用1!AR9))</f>
        <v/>
      </c>
      <c r="AS9" s="17" t="str">
        <f>IF(共有用1!AS9="","",共有用1!AS9&amp;"/"&amp;COUNTIF(共有用1!AS$2:AS9,共有用1!AS9))</f>
        <v/>
      </c>
      <c r="AT9" s="17" t="str">
        <f>IF(共有用1!AT9="","",共有用1!AT9&amp;"/"&amp;COUNTIF(共有用1!AT$2:AT9,共有用1!AT9))</f>
        <v/>
      </c>
      <c r="AU9" s="17" t="str">
        <f>IF(共有用1!AU9="","",共有用1!AU9&amp;"/"&amp;COUNTIF(共有用1!AU$2:AU9,共有用1!AU9))</f>
        <v/>
      </c>
      <c r="AV9" s="17" t="str">
        <f>IF(共有用1!AV9="","",共有用1!AV9&amp;"/"&amp;COUNTIF(共有用1!AV$2:AV9,共有用1!AV9))</f>
        <v/>
      </c>
      <c r="AW9" s="17" t="str">
        <f>IF(共有用1!AW9="","",共有用1!AW9&amp;"/"&amp;COUNTIF(共有用1!AW$2:AW9,共有用1!AW9))</f>
        <v/>
      </c>
      <c r="AX9" s="17" t="str">
        <f>IF(共有用1!AX9="","",共有用1!AX9&amp;"/"&amp;COUNTIF(共有用1!AX$2:AX9,共有用1!AX9))</f>
        <v/>
      </c>
      <c r="AY9" s="17" t="str">
        <f>IF(共有用1!AY9="","",共有用1!AY9&amp;"/"&amp;COUNTIF(共有用1!AY$2:AY9,共有用1!AY9))</f>
        <v/>
      </c>
      <c r="AZ9" s="17" t="str">
        <f>IF(共有用1!AZ9="","",共有用1!AZ9&amp;"/"&amp;COUNTIF(共有用1!AZ$2:AZ9,共有用1!AZ9))</f>
        <v/>
      </c>
      <c r="BA9" s="17" t="str">
        <f>IF(共有用1!BA9="","",共有用1!BA9&amp;"/"&amp;COUNTIF(共有用1!BA$2:BA9,共有用1!BA9))</f>
        <v/>
      </c>
    </row>
    <row r="10" spans="1:53">
      <c r="A10" s="2" t="str">
        <f>共有用1!A10</f>
        <v>9</v>
      </c>
      <c r="B10" s="2" t="str">
        <f>共有用1!B10</f>
        <v/>
      </c>
      <c r="C10" s="2" t="str">
        <f>共有用1!C10</f>
        <v/>
      </c>
      <c r="D10" s="17" t="str">
        <f>IF(共有用1!D10="","",共有用1!D10&amp;"/"&amp;COUNTIF(共有用1!D$2:D10,共有用1!D10))</f>
        <v/>
      </c>
      <c r="E10" s="17" t="str">
        <f>IF(共有用1!E10="","",共有用1!E10&amp;"/"&amp;COUNTIF(共有用1!E$2:E10,共有用1!E10))</f>
        <v/>
      </c>
      <c r="F10" s="17" t="str">
        <f>IF(共有用1!F10="","",共有用1!F10&amp;"/"&amp;COUNTIF(共有用1!F$2:F10,共有用1!F10))</f>
        <v/>
      </c>
      <c r="G10" s="17" t="str">
        <f>IF(共有用1!G10="","",共有用1!G10&amp;"/"&amp;COUNTIF(共有用1!G$2:G10,共有用1!G10))</f>
        <v/>
      </c>
      <c r="H10" s="17" t="str">
        <f>IF(共有用1!H10="","",共有用1!H10&amp;"/"&amp;COUNTIF(共有用1!H$2:H10,共有用1!H10))</f>
        <v/>
      </c>
      <c r="I10" s="17" t="str">
        <f>IF(共有用1!I10="","",共有用1!I10&amp;"/"&amp;COUNTIF(共有用1!I$2:I10,共有用1!I10))</f>
        <v/>
      </c>
      <c r="J10" s="17" t="str">
        <f>IF(共有用1!J10="","",共有用1!J10&amp;"/"&amp;COUNTIF(共有用1!J$2:J10,共有用1!J10))</f>
        <v/>
      </c>
      <c r="K10" s="17" t="str">
        <f>IF(共有用1!K10="","",共有用1!K10&amp;"/"&amp;COUNTIF(共有用1!K$2:K10,共有用1!K10))</f>
        <v/>
      </c>
      <c r="L10" s="17" t="str">
        <f>IF(共有用1!L10="","",共有用1!L10&amp;"/"&amp;COUNTIF(共有用1!L$2:L10,共有用1!L10))</f>
        <v/>
      </c>
      <c r="M10" s="17" t="str">
        <f>IF(共有用1!M10="","",共有用1!M10&amp;"/"&amp;COUNTIF(共有用1!M$2:M10,共有用1!M10))</f>
        <v/>
      </c>
      <c r="N10" s="17" t="str">
        <f>IF(共有用1!N10="","",共有用1!N10&amp;"/"&amp;COUNTIF(共有用1!N$2:N10,共有用1!N10))</f>
        <v/>
      </c>
      <c r="O10" s="17" t="str">
        <f>IF(共有用1!O10="","",共有用1!O10&amp;"/"&amp;COUNTIF(共有用1!O$2:O10,共有用1!O10))</f>
        <v/>
      </c>
      <c r="P10" s="17" t="str">
        <f>IF(共有用1!P10="","",共有用1!P10&amp;"/"&amp;COUNTIF(共有用1!P$2:P10,共有用1!P10))</f>
        <v/>
      </c>
      <c r="Q10" s="17" t="str">
        <f>IF(共有用1!Q10="","",共有用1!Q10&amp;"/"&amp;COUNTIF(共有用1!Q$2:Q10,共有用1!Q10))</f>
        <v/>
      </c>
      <c r="R10" s="17" t="str">
        <f>IF(共有用1!R10="","",共有用1!R10&amp;"/"&amp;COUNTIF(共有用1!R$2:R10,共有用1!R10))</f>
        <v/>
      </c>
      <c r="S10" s="17" t="str">
        <f>IF(共有用1!S10="","",共有用1!S10&amp;"/"&amp;COUNTIF(共有用1!S$2:S10,共有用1!S10))</f>
        <v/>
      </c>
      <c r="T10" s="17" t="str">
        <f>IF(共有用1!T10="","",共有用1!T10&amp;"/"&amp;COUNTIF(共有用1!T$2:T10,共有用1!T10))</f>
        <v/>
      </c>
      <c r="U10" s="17" t="str">
        <f>IF(共有用1!U10="","",共有用1!U10&amp;"/"&amp;COUNTIF(共有用1!U$2:U10,共有用1!U10))</f>
        <v/>
      </c>
      <c r="V10" s="17" t="str">
        <f>IF(共有用1!V10="","",共有用1!V10&amp;"/"&amp;COUNTIF(共有用1!V$2:V10,共有用1!V10))</f>
        <v/>
      </c>
      <c r="W10" s="17" t="str">
        <f>IF(共有用1!W10="","",共有用1!W10&amp;"/"&amp;COUNTIF(共有用1!W$2:W10,共有用1!W10))</f>
        <v/>
      </c>
      <c r="X10" s="17" t="str">
        <f>IF(共有用1!X10="","",共有用1!X10&amp;"/"&amp;COUNTIF(共有用1!X$2:X10,共有用1!X10))</f>
        <v/>
      </c>
      <c r="Y10" s="17" t="str">
        <f>IF(共有用1!Y10="","",共有用1!Y10&amp;"/"&amp;COUNTIF(共有用1!Y$2:Y10,共有用1!Y10))</f>
        <v/>
      </c>
      <c r="Z10" s="17" t="str">
        <f>IF(共有用1!Z10="","",共有用1!Z10&amp;"/"&amp;COUNTIF(共有用1!Z$2:Z10,共有用1!Z10))</f>
        <v/>
      </c>
      <c r="AA10" s="17" t="str">
        <f>IF(共有用1!AA10="","",共有用1!AA10&amp;"/"&amp;COUNTIF(共有用1!AA$2:AA10,共有用1!AA10))</f>
        <v/>
      </c>
      <c r="AB10" s="17" t="str">
        <f>IF(共有用1!AB10="","",共有用1!AB10&amp;"/"&amp;COUNTIF(共有用1!AB$2:AB10,共有用1!AB10))</f>
        <v/>
      </c>
      <c r="AC10" s="17" t="str">
        <f>IF(共有用1!AC10="","",共有用1!AC10&amp;"/"&amp;COUNTIF(共有用1!AC$2:AC10,共有用1!AC10))</f>
        <v/>
      </c>
      <c r="AD10" s="17" t="str">
        <f>IF(共有用1!AD10="","",共有用1!AD10&amp;"/"&amp;COUNTIF(共有用1!AD$2:AD10,共有用1!AD10))</f>
        <v/>
      </c>
      <c r="AE10" s="17" t="str">
        <f>IF(共有用1!AE10="","",共有用1!AE10&amp;"/"&amp;COUNTIF(共有用1!AE$2:AE10,共有用1!AE10))</f>
        <v/>
      </c>
      <c r="AF10" s="17" t="str">
        <f>IF(共有用1!AF10="","",共有用1!AF10&amp;"/"&amp;COUNTIF(共有用1!AF$2:AF10,共有用1!AF10))</f>
        <v/>
      </c>
      <c r="AG10" s="17" t="str">
        <f>IF(共有用1!AG10="","",共有用1!AG10&amp;"/"&amp;COUNTIF(共有用1!AG$2:AG10,共有用1!AG10))</f>
        <v/>
      </c>
      <c r="AH10" s="17" t="str">
        <f>IF(共有用1!AH10="","",共有用1!AH10&amp;"/"&amp;COUNTIF(共有用1!AH$2:AH10,共有用1!AH10))</f>
        <v/>
      </c>
      <c r="AI10" s="17" t="str">
        <f>IF(共有用1!AI10="","",共有用1!AI10&amp;"/"&amp;COUNTIF(共有用1!AI$2:AI10,共有用1!AI10))</f>
        <v/>
      </c>
      <c r="AJ10" s="17" t="str">
        <f>IF(共有用1!AJ10="","",共有用1!AJ10&amp;"/"&amp;COUNTIF(共有用1!AJ$2:AJ10,共有用1!AJ10))</f>
        <v/>
      </c>
      <c r="AK10" s="17" t="str">
        <f>IF(共有用1!AK10="","",共有用1!AK10&amp;"/"&amp;COUNTIF(共有用1!AK$2:AK10,共有用1!AK10))</f>
        <v/>
      </c>
      <c r="AL10" s="17" t="str">
        <f>IF(共有用1!AL10="","",共有用1!AL10&amp;"/"&amp;COUNTIF(共有用1!AL$2:AL10,共有用1!AL10))</f>
        <v/>
      </c>
      <c r="AM10" s="17" t="str">
        <f>IF(共有用1!AM10="","",共有用1!AM10&amp;"/"&amp;COUNTIF(共有用1!AM$2:AM10,共有用1!AM10))</f>
        <v/>
      </c>
      <c r="AN10" s="17" t="str">
        <f>IF(共有用1!AN10="","",共有用1!AN10&amp;"/"&amp;COUNTIF(共有用1!AN$2:AN10,共有用1!AN10))</f>
        <v/>
      </c>
      <c r="AO10" s="17" t="str">
        <f>IF(共有用1!AO10="","",共有用1!AO10&amp;"/"&amp;COUNTIF(共有用1!AO$2:AO10,共有用1!AO10))</f>
        <v/>
      </c>
      <c r="AP10" s="17" t="str">
        <f>IF(共有用1!AP10="","",共有用1!AP10&amp;"/"&amp;COUNTIF(共有用1!AP$2:AP10,共有用1!AP10))</f>
        <v/>
      </c>
      <c r="AQ10" s="17" t="str">
        <f>IF(共有用1!AQ10="","",共有用1!AQ10&amp;"/"&amp;COUNTIF(共有用1!AQ$2:AQ10,共有用1!AQ10))</f>
        <v/>
      </c>
      <c r="AR10" s="17" t="str">
        <f>IF(共有用1!AR10="","",共有用1!AR10&amp;"/"&amp;COUNTIF(共有用1!AR$2:AR10,共有用1!AR10))</f>
        <v/>
      </c>
      <c r="AS10" s="17" t="str">
        <f>IF(共有用1!AS10="","",共有用1!AS10&amp;"/"&amp;COUNTIF(共有用1!AS$2:AS10,共有用1!AS10))</f>
        <v/>
      </c>
      <c r="AT10" s="17" t="str">
        <f>IF(共有用1!AT10="","",共有用1!AT10&amp;"/"&amp;COUNTIF(共有用1!AT$2:AT10,共有用1!AT10))</f>
        <v/>
      </c>
      <c r="AU10" s="17" t="str">
        <f>IF(共有用1!AU10="","",共有用1!AU10&amp;"/"&amp;COUNTIF(共有用1!AU$2:AU10,共有用1!AU10))</f>
        <v/>
      </c>
      <c r="AV10" s="17" t="str">
        <f>IF(共有用1!AV10="","",共有用1!AV10&amp;"/"&amp;COUNTIF(共有用1!AV$2:AV10,共有用1!AV10))</f>
        <v/>
      </c>
      <c r="AW10" s="17" t="str">
        <f>IF(共有用1!AW10="","",共有用1!AW10&amp;"/"&amp;COUNTIF(共有用1!AW$2:AW10,共有用1!AW10))</f>
        <v/>
      </c>
      <c r="AX10" s="17" t="str">
        <f>IF(共有用1!AX10="","",共有用1!AX10&amp;"/"&amp;COUNTIF(共有用1!AX$2:AX10,共有用1!AX10))</f>
        <v/>
      </c>
      <c r="AY10" s="17" t="str">
        <f>IF(共有用1!AY10="","",共有用1!AY10&amp;"/"&amp;COUNTIF(共有用1!AY$2:AY10,共有用1!AY10))</f>
        <v/>
      </c>
      <c r="AZ10" s="17" t="str">
        <f>IF(共有用1!AZ10="","",共有用1!AZ10&amp;"/"&amp;COUNTIF(共有用1!AZ$2:AZ10,共有用1!AZ10))</f>
        <v/>
      </c>
      <c r="BA10" s="17" t="str">
        <f>IF(共有用1!BA10="","",共有用1!BA10&amp;"/"&amp;COUNTIF(共有用1!BA$2:BA10,共有用1!BA10))</f>
        <v/>
      </c>
    </row>
    <row r="11" spans="1:53">
      <c r="A11" s="2" t="str">
        <f>共有用1!A11</f>
        <v>10</v>
      </c>
      <c r="B11" s="2" t="str">
        <f>共有用1!B11</f>
        <v/>
      </c>
      <c r="C11" s="2" t="str">
        <f>共有用1!C11</f>
        <v/>
      </c>
      <c r="D11" s="17" t="str">
        <f>IF(共有用1!D11="","",共有用1!D11&amp;"/"&amp;COUNTIF(共有用1!D$2:D11,共有用1!D11))</f>
        <v/>
      </c>
      <c r="E11" s="17" t="str">
        <f>IF(共有用1!E11="","",共有用1!E11&amp;"/"&amp;COUNTIF(共有用1!E$2:E11,共有用1!E11))</f>
        <v/>
      </c>
      <c r="F11" s="17" t="str">
        <f>IF(共有用1!F11="","",共有用1!F11&amp;"/"&amp;COUNTIF(共有用1!F$2:F11,共有用1!F11))</f>
        <v/>
      </c>
      <c r="G11" s="17" t="str">
        <f>IF(共有用1!G11="","",共有用1!G11&amp;"/"&amp;COUNTIF(共有用1!G$2:G11,共有用1!G11))</f>
        <v/>
      </c>
      <c r="H11" s="17" t="str">
        <f>IF(共有用1!H11="","",共有用1!H11&amp;"/"&amp;COUNTIF(共有用1!H$2:H11,共有用1!H11))</f>
        <v/>
      </c>
      <c r="I11" s="17" t="str">
        <f>IF(共有用1!I11="","",共有用1!I11&amp;"/"&amp;COUNTIF(共有用1!I$2:I11,共有用1!I11))</f>
        <v/>
      </c>
      <c r="J11" s="17" t="str">
        <f>IF(共有用1!J11="","",共有用1!J11&amp;"/"&amp;COUNTIF(共有用1!J$2:J11,共有用1!J11))</f>
        <v/>
      </c>
      <c r="K11" s="17" t="str">
        <f>IF(共有用1!K11="","",共有用1!K11&amp;"/"&amp;COUNTIF(共有用1!K$2:K11,共有用1!K11))</f>
        <v/>
      </c>
      <c r="L11" s="17" t="str">
        <f>IF(共有用1!L11="","",共有用1!L11&amp;"/"&amp;COUNTIF(共有用1!L$2:L11,共有用1!L11))</f>
        <v/>
      </c>
      <c r="M11" s="17" t="str">
        <f>IF(共有用1!M11="","",共有用1!M11&amp;"/"&amp;COUNTIF(共有用1!M$2:M11,共有用1!M11))</f>
        <v/>
      </c>
      <c r="N11" s="17" t="str">
        <f>IF(共有用1!N11="","",共有用1!N11&amp;"/"&amp;COUNTIF(共有用1!N$2:N11,共有用1!N11))</f>
        <v/>
      </c>
      <c r="O11" s="17" t="str">
        <f>IF(共有用1!O11="","",共有用1!O11&amp;"/"&amp;COUNTIF(共有用1!O$2:O11,共有用1!O11))</f>
        <v/>
      </c>
      <c r="P11" s="17" t="str">
        <f>IF(共有用1!P11="","",共有用1!P11&amp;"/"&amp;COUNTIF(共有用1!P$2:P11,共有用1!P11))</f>
        <v/>
      </c>
      <c r="Q11" s="17" t="str">
        <f>IF(共有用1!Q11="","",共有用1!Q11&amp;"/"&amp;COUNTIF(共有用1!Q$2:Q11,共有用1!Q11))</f>
        <v/>
      </c>
      <c r="R11" s="17" t="str">
        <f>IF(共有用1!R11="","",共有用1!R11&amp;"/"&amp;COUNTIF(共有用1!R$2:R11,共有用1!R11))</f>
        <v/>
      </c>
      <c r="S11" s="17" t="str">
        <f>IF(共有用1!S11="","",共有用1!S11&amp;"/"&amp;COUNTIF(共有用1!S$2:S11,共有用1!S11))</f>
        <v/>
      </c>
      <c r="T11" s="17" t="str">
        <f>IF(共有用1!T11="","",共有用1!T11&amp;"/"&amp;COUNTIF(共有用1!T$2:T11,共有用1!T11))</f>
        <v/>
      </c>
      <c r="U11" s="17" t="str">
        <f>IF(共有用1!U11="","",共有用1!U11&amp;"/"&amp;COUNTIF(共有用1!U$2:U11,共有用1!U11))</f>
        <v/>
      </c>
      <c r="V11" s="17" t="str">
        <f>IF(共有用1!V11="","",共有用1!V11&amp;"/"&amp;COUNTIF(共有用1!V$2:V11,共有用1!V11))</f>
        <v/>
      </c>
      <c r="W11" s="17" t="str">
        <f>IF(共有用1!W11="","",共有用1!W11&amp;"/"&amp;COUNTIF(共有用1!W$2:W11,共有用1!W11))</f>
        <v/>
      </c>
      <c r="X11" s="17" t="str">
        <f>IF(共有用1!X11="","",共有用1!X11&amp;"/"&amp;COUNTIF(共有用1!X$2:X11,共有用1!X11))</f>
        <v/>
      </c>
      <c r="Y11" s="17" t="str">
        <f>IF(共有用1!Y11="","",共有用1!Y11&amp;"/"&amp;COUNTIF(共有用1!Y$2:Y11,共有用1!Y11))</f>
        <v/>
      </c>
      <c r="Z11" s="17" t="str">
        <f>IF(共有用1!Z11="","",共有用1!Z11&amp;"/"&amp;COUNTIF(共有用1!Z$2:Z11,共有用1!Z11))</f>
        <v/>
      </c>
      <c r="AA11" s="17" t="str">
        <f>IF(共有用1!AA11="","",共有用1!AA11&amp;"/"&amp;COUNTIF(共有用1!AA$2:AA11,共有用1!AA11))</f>
        <v/>
      </c>
      <c r="AB11" s="17" t="str">
        <f>IF(共有用1!AB11="","",共有用1!AB11&amp;"/"&amp;COUNTIF(共有用1!AB$2:AB11,共有用1!AB11))</f>
        <v/>
      </c>
      <c r="AC11" s="17" t="str">
        <f>IF(共有用1!AC11="","",共有用1!AC11&amp;"/"&amp;COUNTIF(共有用1!AC$2:AC11,共有用1!AC11))</f>
        <v/>
      </c>
      <c r="AD11" s="17" t="str">
        <f>IF(共有用1!AD11="","",共有用1!AD11&amp;"/"&amp;COUNTIF(共有用1!AD$2:AD11,共有用1!AD11))</f>
        <v/>
      </c>
      <c r="AE11" s="17" t="str">
        <f>IF(共有用1!AE11="","",共有用1!AE11&amp;"/"&amp;COUNTIF(共有用1!AE$2:AE11,共有用1!AE11))</f>
        <v/>
      </c>
      <c r="AF11" s="17" t="str">
        <f>IF(共有用1!AF11="","",共有用1!AF11&amp;"/"&amp;COUNTIF(共有用1!AF$2:AF11,共有用1!AF11))</f>
        <v/>
      </c>
      <c r="AG11" s="17" t="str">
        <f>IF(共有用1!AG11="","",共有用1!AG11&amp;"/"&amp;COUNTIF(共有用1!AG$2:AG11,共有用1!AG11))</f>
        <v/>
      </c>
      <c r="AH11" s="17" t="str">
        <f>IF(共有用1!AH11="","",共有用1!AH11&amp;"/"&amp;COUNTIF(共有用1!AH$2:AH11,共有用1!AH11))</f>
        <v/>
      </c>
      <c r="AI11" s="17" t="str">
        <f>IF(共有用1!AI11="","",共有用1!AI11&amp;"/"&amp;COUNTIF(共有用1!AI$2:AI11,共有用1!AI11))</f>
        <v/>
      </c>
      <c r="AJ11" s="17" t="str">
        <f>IF(共有用1!AJ11="","",共有用1!AJ11&amp;"/"&amp;COUNTIF(共有用1!AJ$2:AJ11,共有用1!AJ11))</f>
        <v/>
      </c>
      <c r="AK11" s="17" t="str">
        <f>IF(共有用1!AK11="","",共有用1!AK11&amp;"/"&amp;COUNTIF(共有用1!AK$2:AK11,共有用1!AK11))</f>
        <v/>
      </c>
      <c r="AL11" s="17" t="str">
        <f>IF(共有用1!AL11="","",共有用1!AL11&amp;"/"&amp;COUNTIF(共有用1!AL$2:AL11,共有用1!AL11))</f>
        <v/>
      </c>
      <c r="AM11" s="17" t="str">
        <f>IF(共有用1!AM11="","",共有用1!AM11&amp;"/"&amp;COUNTIF(共有用1!AM$2:AM11,共有用1!AM11))</f>
        <v/>
      </c>
      <c r="AN11" s="17" t="str">
        <f>IF(共有用1!AN11="","",共有用1!AN11&amp;"/"&amp;COUNTIF(共有用1!AN$2:AN11,共有用1!AN11))</f>
        <v/>
      </c>
      <c r="AO11" s="17" t="str">
        <f>IF(共有用1!AO11="","",共有用1!AO11&amp;"/"&amp;COUNTIF(共有用1!AO$2:AO11,共有用1!AO11))</f>
        <v/>
      </c>
      <c r="AP11" s="17" t="str">
        <f>IF(共有用1!AP11="","",共有用1!AP11&amp;"/"&amp;COUNTIF(共有用1!AP$2:AP11,共有用1!AP11))</f>
        <v/>
      </c>
      <c r="AQ11" s="17" t="str">
        <f>IF(共有用1!AQ11="","",共有用1!AQ11&amp;"/"&amp;COUNTIF(共有用1!AQ$2:AQ11,共有用1!AQ11))</f>
        <v/>
      </c>
      <c r="AR11" s="17" t="str">
        <f>IF(共有用1!AR11="","",共有用1!AR11&amp;"/"&amp;COUNTIF(共有用1!AR$2:AR11,共有用1!AR11))</f>
        <v/>
      </c>
      <c r="AS11" s="17" t="str">
        <f>IF(共有用1!AS11="","",共有用1!AS11&amp;"/"&amp;COUNTIF(共有用1!AS$2:AS11,共有用1!AS11))</f>
        <v/>
      </c>
      <c r="AT11" s="17" t="str">
        <f>IF(共有用1!AT11="","",共有用1!AT11&amp;"/"&amp;COUNTIF(共有用1!AT$2:AT11,共有用1!AT11))</f>
        <v/>
      </c>
      <c r="AU11" s="17" t="str">
        <f>IF(共有用1!AU11="","",共有用1!AU11&amp;"/"&amp;COUNTIF(共有用1!AU$2:AU11,共有用1!AU11))</f>
        <v/>
      </c>
      <c r="AV11" s="17" t="str">
        <f>IF(共有用1!AV11="","",共有用1!AV11&amp;"/"&amp;COUNTIF(共有用1!AV$2:AV11,共有用1!AV11))</f>
        <v/>
      </c>
      <c r="AW11" s="17" t="str">
        <f>IF(共有用1!AW11="","",共有用1!AW11&amp;"/"&amp;COUNTIF(共有用1!AW$2:AW11,共有用1!AW11))</f>
        <v/>
      </c>
      <c r="AX11" s="17" t="str">
        <f>IF(共有用1!AX11="","",共有用1!AX11&amp;"/"&amp;COUNTIF(共有用1!AX$2:AX11,共有用1!AX11))</f>
        <v/>
      </c>
      <c r="AY11" s="17" t="str">
        <f>IF(共有用1!AY11="","",共有用1!AY11&amp;"/"&amp;COUNTIF(共有用1!AY$2:AY11,共有用1!AY11))</f>
        <v/>
      </c>
      <c r="AZ11" s="17" t="str">
        <f>IF(共有用1!AZ11="","",共有用1!AZ11&amp;"/"&amp;COUNTIF(共有用1!AZ$2:AZ11,共有用1!AZ11))</f>
        <v/>
      </c>
      <c r="BA11" s="17" t="str">
        <f>IF(共有用1!BA11="","",共有用1!BA11&amp;"/"&amp;COUNTIF(共有用1!BA$2:BA11,共有用1!BA11))</f>
        <v/>
      </c>
    </row>
    <row r="12" spans="1:53">
      <c r="A12" s="2" t="str">
        <f>共有用1!A12</f>
        <v/>
      </c>
      <c r="B12" s="2" t="str">
        <f>共有用1!B12</f>
        <v/>
      </c>
      <c r="C12" s="2" t="str">
        <f>共有用1!C12</f>
        <v/>
      </c>
      <c r="D12" s="17" t="str">
        <f>IF(共有用1!D12="","",共有用1!D12&amp;"/"&amp;COUNTIF(共有用1!D$2:D12,共有用1!D12))</f>
        <v/>
      </c>
      <c r="E12" s="17" t="str">
        <f>IF(共有用1!E12="","",共有用1!E12&amp;"/"&amp;COUNTIF(共有用1!E$2:E12,共有用1!E12))</f>
        <v/>
      </c>
      <c r="F12" s="17" t="str">
        <f>IF(共有用1!F12="","",共有用1!F12&amp;"/"&amp;COUNTIF(共有用1!F$2:F12,共有用1!F12))</f>
        <v/>
      </c>
      <c r="G12" s="17" t="str">
        <f>IF(共有用1!G12="","",共有用1!G12&amp;"/"&amp;COUNTIF(共有用1!G$2:G12,共有用1!G12))</f>
        <v/>
      </c>
      <c r="H12" s="17" t="str">
        <f>IF(共有用1!H12="","",共有用1!H12&amp;"/"&amp;COUNTIF(共有用1!H$2:H12,共有用1!H12))</f>
        <v/>
      </c>
      <c r="I12" s="17" t="str">
        <f>IF(共有用1!I12="","",共有用1!I12&amp;"/"&amp;COUNTIF(共有用1!I$2:I12,共有用1!I12))</f>
        <v/>
      </c>
      <c r="J12" s="17" t="str">
        <f>IF(共有用1!J12="","",共有用1!J12&amp;"/"&amp;COUNTIF(共有用1!J$2:J12,共有用1!J12))</f>
        <v/>
      </c>
      <c r="K12" s="17" t="str">
        <f>IF(共有用1!K12="","",共有用1!K12&amp;"/"&amp;COUNTIF(共有用1!K$2:K12,共有用1!K12))</f>
        <v/>
      </c>
      <c r="L12" s="17" t="str">
        <f>IF(共有用1!L12="","",共有用1!L12&amp;"/"&amp;COUNTIF(共有用1!L$2:L12,共有用1!L12))</f>
        <v/>
      </c>
      <c r="M12" s="17" t="str">
        <f>IF(共有用1!M12="","",共有用1!M12&amp;"/"&amp;COUNTIF(共有用1!M$2:M12,共有用1!M12))</f>
        <v/>
      </c>
      <c r="N12" s="17" t="str">
        <f>IF(共有用1!N12="","",共有用1!N12&amp;"/"&amp;COUNTIF(共有用1!N$2:N12,共有用1!N12))</f>
        <v/>
      </c>
      <c r="O12" s="17" t="str">
        <f>IF(共有用1!O12="","",共有用1!O12&amp;"/"&amp;COUNTIF(共有用1!O$2:O12,共有用1!O12))</f>
        <v/>
      </c>
      <c r="P12" s="17" t="str">
        <f>IF(共有用1!P12="","",共有用1!P12&amp;"/"&amp;COUNTIF(共有用1!P$2:P12,共有用1!P12))</f>
        <v/>
      </c>
      <c r="Q12" s="17" t="str">
        <f>IF(共有用1!Q12="","",共有用1!Q12&amp;"/"&amp;COUNTIF(共有用1!Q$2:Q12,共有用1!Q12))</f>
        <v/>
      </c>
      <c r="R12" s="17" t="str">
        <f>IF(共有用1!R12="","",共有用1!R12&amp;"/"&amp;COUNTIF(共有用1!R$2:R12,共有用1!R12))</f>
        <v/>
      </c>
      <c r="S12" s="17" t="str">
        <f>IF(共有用1!S12="","",共有用1!S12&amp;"/"&amp;COUNTIF(共有用1!S$2:S12,共有用1!S12))</f>
        <v/>
      </c>
      <c r="T12" s="17" t="str">
        <f>IF(共有用1!T12="","",共有用1!T12&amp;"/"&amp;COUNTIF(共有用1!T$2:T12,共有用1!T12))</f>
        <v/>
      </c>
      <c r="U12" s="17" t="str">
        <f>IF(共有用1!U12="","",共有用1!U12&amp;"/"&amp;COUNTIF(共有用1!U$2:U12,共有用1!U12))</f>
        <v/>
      </c>
      <c r="V12" s="17" t="str">
        <f>IF(共有用1!V12="","",共有用1!V12&amp;"/"&amp;COUNTIF(共有用1!V$2:V12,共有用1!V12))</f>
        <v/>
      </c>
      <c r="W12" s="17" t="str">
        <f>IF(共有用1!W12="","",共有用1!W12&amp;"/"&amp;COUNTIF(共有用1!W$2:W12,共有用1!W12))</f>
        <v/>
      </c>
      <c r="X12" s="17" t="str">
        <f>IF(共有用1!X12="","",共有用1!X12&amp;"/"&amp;COUNTIF(共有用1!X$2:X12,共有用1!X12))</f>
        <v/>
      </c>
      <c r="Y12" s="17" t="str">
        <f>IF(共有用1!Y12="","",共有用1!Y12&amp;"/"&amp;COUNTIF(共有用1!Y$2:Y12,共有用1!Y12))</f>
        <v/>
      </c>
      <c r="Z12" s="17" t="str">
        <f>IF(共有用1!Z12="","",共有用1!Z12&amp;"/"&amp;COUNTIF(共有用1!Z$2:Z12,共有用1!Z12))</f>
        <v/>
      </c>
      <c r="AA12" s="17" t="str">
        <f>IF(共有用1!AA12="","",共有用1!AA12&amp;"/"&amp;COUNTIF(共有用1!AA$2:AA12,共有用1!AA12))</f>
        <v/>
      </c>
      <c r="AB12" s="17" t="str">
        <f>IF(共有用1!AB12="","",共有用1!AB12&amp;"/"&amp;COUNTIF(共有用1!AB$2:AB12,共有用1!AB12))</f>
        <v/>
      </c>
      <c r="AC12" s="17" t="str">
        <f>IF(共有用1!AC12="","",共有用1!AC12&amp;"/"&amp;COUNTIF(共有用1!AC$2:AC12,共有用1!AC12))</f>
        <v/>
      </c>
      <c r="AD12" s="17" t="str">
        <f>IF(共有用1!AD12="","",共有用1!AD12&amp;"/"&amp;COUNTIF(共有用1!AD$2:AD12,共有用1!AD12))</f>
        <v/>
      </c>
      <c r="AE12" s="17" t="str">
        <f>IF(共有用1!AE12="","",共有用1!AE12&amp;"/"&amp;COUNTIF(共有用1!AE$2:AE12,共有用1!AE12))</f>
        <v/>
      </c>
      <c r="AF12" s="17" t="str">
        <f>IF(共有用1!AF12="","",共有用1!AF12&amp;"/"&amp;COUNTIF(共有用1!AF$2:AF12,共有用1!AF12))</f>
        <v/>
      </c>
      <c r="AG12" s="17" t="str">
        <f>IF(共有用1!AG12="","",共有用1!AG12&amp;"/"&amp;COUNTIF(共有用1!AG$2:AG12,共有用1!AG12))</f>
        <v/>
      </c>
      <c r="AH12" s="17" t="str">
        <f>IF(共有用1!AH12="","",共有用1!AH12&amp;"/"&amp;COUNTIF(共有用1!AH$2:AH12,共有用1!AH12))</f>
        <v/>
      </c>
      <c r="AI12" s="17" t="str">
        <f>IF(共有用1!AI12="","",共有用1!AI12&amp;"/"&amp;COUNTIF(共有用1!AI$2:AI12,共有用1!AI12))</f>
        <v/>
      </c>
      <c r="AJ12" s="17" t="str">
        <f>IF(共有用1!AJ12="","",共有用1!AJ12&amp;"/"&amp;COUNTIF(共有用1!AJ$2:AJ12,共有用1!AJ12))</f>
        <v/>
      </c>
      <c r="AK12" s="17" t="str">
        <f>IF(共有用1!AK12="","",共有用1!AK12&amp;"/"&amp;COUNTIF(共有用1!AK$2:AK12,共有用1!AK12))</f>
        <v/>
      </c>
      <c r="AL12" s="17" t="str">
        <f>IF(共有用1!AL12="","",共有用1!AL12&amp;"/"&amp;COUNTIF(共有用1!AL$2:AL12,共有用1!AL12))</f>
        <v/>
      </c>
      <c r="AM12" s="17" t="str">
        <f>IF(共有用1!AM12="","",共有用1!AM12&amp;"/"&amp;COUNTIF(共有用1!AM$2:AM12,共有用1!AM12))</f>
        <v/>
      </c>
      <c r="AN12" s="17" t="str">
        <f>IF(共有用1!AN12="","",共有用1!AN12&amp;"/"&amp;COUNTIF(共有用1!AN$2:AN12,共有用1!AN12))</f>
        <v/>
      </c>
      <c r="AO12" s="17" t="str">
        <f>IF(共有用1!AO12="","",共有用1!AO12&amp;"/"&amp;COUNTIF(共有用1!AO$2:AO12,共有用1!AO12))</f>
        <v/>
      </c>
      <c r="AP12" s="17" t="str">
        <f>IF(共有用1!AP12="","",共有用1!AP12&amp;"/"&amp;COUNTIF(共有用1!AP$2:AP12,共有用1!AP12))</f>
        <v/>
      </c>
      <c r="AQ12" s="17" t="str">
        <f>IF(共有用1!AQ12="","",共有用1!AQ12&amp;"/"&amp;COUNTIF(共有用1!AQ$2:AQ12,共有用1!AQ12))</f>
        <v/>
      </c>
      <c r="AR12" s="17" t="str">
        <f>IF(共有用1!AR12="","",共有用1!AR12&amp;"/"&amp;COUNTIF(共有用1!AR$2:AR12,共有用1!AR12))</f>
        <v/>
      </c>
      <c r="AS12" s="17" t="str">
        <f>IF(共有用1!AS12="","",共有用1!AS12&amp;"/"&amp;COUNTIF(共有用1!AS$2:AS12,共有用1!AS12))</f>
        <v/>
      </c>
      <c r="AT12" s="17" t="str">
        <f>IF(共有用1!AT12="","",共有用1!AT12&amp;"/"&amp;COUNTIF(共有用1!AT$2:AT12,共有用1!AT12))</f>
        <v/>
      </c>
      <c r="AU12" s="17" t="str">
        <f>IF(共有用1!AU12="","",共有用1!AU12&amp;"/"&amp;COUNTIF(共有用1!AU$2:AU12,共有用1!AU12))</f>
        <v/>
      </c>
      <c r="AV12" s="17" t="str">
        <f>IF(共有用1!AV12="","",共有用1!AV12&amp;"/"&amp;COUNTIF(共有用1!AV$2:AV12,共有用1!AV12))</f>
        <v/>
      </c>
      <c r="AW12" s="17" t="str">
        <f>IF(共有用1!AW12="","",共有用1!AW12&amp;"/"&amp;COUNTIF(共有用1!AW$2:AW12,共有用1!AW12))</f>
        <v/>
      </c>
      <c r="AX12" s="17" t="str">
        <f>IF(共有用1!AX12="","",共有用1!AX12&amp;"/"&amp;COUNTIF(共有用1!AX$2:AX12,共有用1!AX12))</f>
        <v/>
      </c>
      <c r="AY12" s="17" t="str">
        <f>IF(共有用1!AY12="","",共有用1!AY12&amp;"/"&amp;COUNTIF(共有用1!AY$2:AY12,共有用1!AY12))</f>
        <v/>
      </c>
      <c r="AZ12" s="17" t="str">
        <f>IF(共有用1!AZ12="","",共有用1!AZ12&amp;"/"&amp;COUNTIF(共有用1!AZ$2:AZ12,共有用1!AZ12))</f>
        <v/>
      </c>
      <c r="BA12" s="17" t="str">
        <f>IF(共有用1!BA12="","",共有用1!BA12&amp;"/"&amp;COUNTIF(共有用1!BA$2:BA12,共有用1!BA12))</f>
        <v/>
      </c>
    </row>
    <row r="13" spans="1:53">
      <c r="A13" s="2" t="str">
        <f>共有用1!A13</f>
        <v/>
      </c>
      <c r="B13" s="2" t="str">
        <f>共有用1!B13</f>
        <v/>
      </c>
      <c r="C13" s="2" t="str">
        <f>共有用1!C13</f>
        <v/>
      </c>
      <c r="D13" s="17" t="str">
        <f>IF(共有用1!D13="","",共有用1!D13&amp;"/"&amp;COUNTIF(共有用1!D$2:D13,共有用1!D13))</f>
        <v/>
      </c>
      <c r="E13" s="17" t="str">
        <f>IF(共有用1!E13="","",共有用1!E13&amp;"/"&amp;COUNTIF(共有用1!E$2:E13,共有用1!E13))</f>
        <v/>
      </c>
      <c r="F13" s="17" t="str">
        <f>IF(共有用1!F13="","",共有用1!F13&amp;"/"&amp;COUNTIF(共有用1!F$2:F13,共有用1!F13))</f>
        <v/>
      </c>
      <c r="G13" s="17" t="str">
        <f>IF(共有用1!G13="","",共有用1!G13&amp;"/"&amp;COUNTIF(共有用1!G$2:G13,共有用1!G13))</f>
        <v/>
      </c>
      <c r="H13" s="17" t="str">
        <f>IF(共有用1!H13="","",共有用1!H13&amp;"/"&amp;COUNTIF(共有用1!H$2:H13,共有用1!H13))</f>
        <v/>
      </c>
      <c r="I13" s="17" t="str">
        <f>IF(共有用1!I13="","",共有用1!I13&amp;"/"&amp;COUNTIF(共有用1!I$2:I13,共有用1!I13))</f>
        <v/>
      </c>
      <c r="J13" s="17" t="str">
        <f>IF(共有用1!J13="","",共有用1!J13&amp;"/"&amp;COUNTIF(共有用1!J$2:J13,共有用1!J13))</f>
        <v/>
      </c>
      <c r="K13" s="17" t="str">
        <f>IF(共有用1!K13="","",共有用1!K13&amp;"/"&amp;COUNTIF(共有用1!K$2:K13,共有用1!K13))</f>
        <v/>
      </c>
      <c r="L13" s="17" t="str">
        <f>IF(共有用1!L13="","",共有用1!L13&amp;"/"&amp;COUNTIF(共有用1!L$2:L13,共有用1!L13))</f>
        <v/>
      </c>
      <c r="M13" s="17" t="str">
        <f>IF(共有用1!M13="","",共有用1!M13&amp;"/"&amp;COUNTIF(共有用1!M$2:M13,共有用1!M13))</f>
        <v/>
      </c>
      <c r="N13" s="17" t="str">
        <f>IF(共有用1!N13="","",共有用1!N13&amp;"/"&amp;COUNTIF(共有用1!N$2:N13,共有用1!N13))</f>
        <v/>
      </c>
      <c r="O13" s="17" t="str">
        <f>IF(共有用1!O13="","",共有用1!O13&amp;"/"&amp;COUNTIF(共有用1!O$2:O13,共有用1!O13))</f>
        <v/>
      </c>
      <c r="P13" s="17" t="str">
        <f>IF(共有用1!P13="","",共有用1!P13&amp;"/"&amp;COUNTIF(共有用1!P$2:P13,共有用1!P13))</f>
        <v/>
      </c>
      <c r="Q13" s="17" t="str">
        <f>IF(共有用1!Q13="","",共有用1!Q13&amp;"/"&amp;COUNTIF(共有用1!Q$2:Q13,共有用1!Q13))</f>
        <v/>
      </c>
      <c r="R13" s="17" t="str">
        <f>IF(共有用1!R13="","",共有用1!R13&amp;"/"&amp;COUNTIF(共有用1!R$2:R13,共有用1!R13))</f>
        <v/>
      </c>
      <c r="S13" s="17" t="str">
        <f>IF(共有用1!S13="","",共有用1!S13&amp;"/"&amp;COUNTIF(共有用1!S$2:S13,共有用1!S13))</f>
        <v/>
      </c>
      <c r="T13" s="17" t="str">
        <f>IF(共有用1!T13="","",共有用1!T13&amp;"/"&amp;COUNTIF(共有用1!T$2:T13,共有用1!T13))</f>
        <v/>
      </c>
      <c r="U13" s="17" t="str">
        <f>IF(共有用1!U13="","",共有用1!U13&amp;"/"&amp;COUNTIF(共有用1!U$2:U13,共有用1!U13))</f>
        <v/>
      </c>
      <c r="V13" s="17" t="str">
        <f>IF(共有用1!V13="","",共有用1!V13&amp;"/"&amp;COUNTIF(共有用1!V$2:V13,共有用1!V13))</f>
        <v/>
      </c>
      <c r="W13" s="17" t="str">
        <f>IF(共有用1!W13="","",共有用1!W13&amp;"/"&amp;COUNTIF(共有用1!W$2:W13,共有用1!W13))</f>
        <v/>
      </c>
      <c r="X13" s="17" t="str">
        <f>IF(共有用1!X13="","",共有用1!X13&amp;"/"&amp;COUNTIF(共有用1!X$2:X13,共有用1!X13))</f>
        <v/>
      </c>
      <c r="Y13" s="17" t="str">
        <f>IF(共有用1!Y13="","",共有用1!Y13&amp;"/"&amp;COUNTIF(共有用1!Y$2:Y13,共有用1!Y13))</f>
        <v/>
      </c>
      <c r="Z13" s="17" t="str">
        <f>IF(共有用1!Z13="","",共有用1!Z13&amp;"/"&amp;COUNTIF(共有用1!Z$2:Z13,共有用1!Z13))</f>
        <v/>
      </c>
      <c r="AA13" s="17" t="str">
        <f>IF(共有用1!AA13="","",共有用1!AA13&amp;"/"&amp;COUNTIF(共有用1!AA$2:AA13,共有用1!AA13))</f>
        <v/>
      </c>
      <c r="AB13" s="17" t="str">
        <f>IF(共有用1!AB13="","",共有用1!AB13&amp;"/"&amp;COUNTIF(共有用1!AB$2:AB13,共有用1!AB13))</f>
        <v/>
      </c>
      <c r="AC13" s="17" t="str">
        <f>IF(共有用1!AC13="","",共有用1!AC13&amp;"/"&amp;COUNTIF(共有用1!AC$2:AC13,共有用1!AC13))</f>
        <v/>
      </c>
      <c r="AD13" s="17" t="str">
        <f>IF(共有用1!AD13="","",共有用1!AD13&amp;"/"&amp;COUNTIF(共有用1!AD$2:AD13,共有用1!AD13))</f>
        <v/>
      </c>
      <c r="AE13" s="17" t="str">
        <f>IF(共有用1!AE13="","",共有用1!AE13&amp;"/"&amp;COUNTIF(共有用1!AE$2:AE13,共有用1!AE13))</f>
        <v/>
      </c>
      <c r="AF13" s="17" t="str">
        <f>IF(共有用1!AF13="","",共有用1!AF13&amp;"/"&amp;COUNTIF(共有用1!AF$2:AF13,共有用1!AF13))</f>
        <v/>
      </c>
      <c r="AG13" s="17" t="str">
        <f>IF(共有用1!AG13="","",共有用1!AG13&amp;"/"&amp;COUNTIF(共有用1!AG$2:AG13,共有用1!AG13))</f>
        <v/>
      </c>
      <c r="AH13" s="17" t="str">
        <f>IF(共有用1!AH13="","",共有用1!AH13&amp;"/"&amp;COUNTIF(共有用1!AH$2:AH13,共有用1!AH13))</f>
        <v/>
      </c>
      <c r="AI13" s="17" t="str">
        <f>IF(共有用1!AI13="","",共有用1!AI13&amp;"/"&amp;COUNTIF(共有用1!AI$2:AI13,共有用1!AI13))</f>
        <v/>
      </c>
      <c r="AJ13" s="17" t="str">
        <f>IF(共有用1!AJ13="","",共有用1!AJ13&amp;"/"&amp;COUNTIF(共有用1!AJ$2:AJ13,共有用1!AJ13))</f>
        <v/>
      </c>
      <c r="AK13" s="17" t="str">
        <f>IF(共有用1!AK13="","",共有用1!AK13&amp;"/"&amp;COUNTIF(共有用1!AK$2:AK13,共有用1!AK13))</f>
        <v/>
      </c>
      <c r="AL13" s="17" t="str">
        <f>IF(共有用1!AL13="","",共有用1!AL13&amp;"/"&amp;COUNTIF(共有用1!AL$2:AL13,共有用1!AL13))</f>
        <v/>
      </c>
      <c r="AM13" s="17" t="str">
        <f>IF(共有用1!AM13="","",共有用1!AM13&amp;"/"&amp;COUNTIF(共有用1!AM$2:AM13,共有用1!AM13))</f>
        <v/>
      </c>
      <c r="AN13" s="17" t="str">
        <f>IF(共有用1!AN13="","",共有用1!AN13&amp;"/"&amp;COUNTIF(共有用1!AN$2:AN13,共有用1!AN13))</f>
        <v/>
      </c>
      <c r="AO13" s="17" t="str">
        <f>IF(共有用1!AO13="","",共有用1!AO13&amp;"/"&amp;COUNTIF(共有用1!AO$2:AO13,共有用1!AO13))</f>
        <v/>
      </c>
      <c r="AP13" s="17" t="str">
        <f>IF(共有用1!AP13="","",共有用1!AP13&amp;"/"&amp;COUNTIF(共有用1!AP$2:AP13,共有用1!AP13))</f>
        <v/>
      </c>
      <c r="AQ13" s="17" t="str">
        <f>IF(共有用1!AQ13="","",共有用1!AQ13&amp;"/"&amp;COUNTIF(共有用1!AQ$2:AQ13,共有用1!AQ13))</f>
        <v/>
      </c>
      <c r="AR13" s="17" t="str">
        <f>IF(共有用1!AR13="","",共有用1!AR13&amp;"/"&amp;COUNTIF(共有用1!AR$2:AR13,共有用1!AR13))</f>
        <v/>
      </c>
      <c r="AS13" s="17" t="str">
        <f>IF(共有用1!AS13="","",共有用1!AS13&amp;"/"&amp;COUNTIF(共有用1!AS$2:AS13,共有用1!AS13))</f>
        <v/>
      </c>
      <c r="AT13" s="17" t="str">
        <f>IF(共有用1!AT13="","",共有用1!AT13&amp;"/"&amp;COUNTIF(共有用1!AT$2:AT13,共有用1!AT13))</f>
        <v/>
      </c>
      <c r="AU13" s="17" t="str">
        <f>IF(共有用1!AU13="","",共有用1!AU13&amp;"/"&amp;COUNTIF(共有用1!AU$2:AU13,共有用1!AU13))</f>
        <v/>
      </c>
      <c r="AV13" s="17" t="str">
        <f>IF(共有用1!AV13="","",共有用1!AV13&amp;"/"&amp;COUNTIF(共有用1!AV$2:AV13,共有用1!AV13))</f>
        <v/>
      </c>
      <c r="AW13" s="17" t="str">
        <f>IF(共有用1!AW13="","",共有用1!AW13&amp;"/"&amp;COUNTIF(共有用1!AW$2:AW13,共有用1!AW13))</f>
        <v/>
      </c>
      <c r="AX13" s="17" t="str">
        <f>IF(共有用1!AX13="","",共有用1!AX13&amp;"/"&amp;COUNTIF(共有用1!AX$2:AX13,共有用1!AX13))</f>
        <v/>
      </c>
      <c r="AY13" s="17" t="str">
        <f>IF(共有用1!AY13="","",共有用1!AY13&amp;"/"&amp;COUNTIF(共有用1!AY$2:AY13,共有用1!AY13))</f>
        <v/>
      </c>
      <c r="AZ13" s="17" t="str">
        <f>IF(共有用1!AZ13="","",共有用1!AZ13&amp;"/"&amp;COUNTIF(共有用1!AZ$2:AZ13,共有用1!AZ13))</f>
        <v/>
      </c>
      <c r="BA13" s="17" t="str">
        <f>IF(共有用1!BA13="","",共有用1!BA13&amp;"/"&amp;COUNTIF(共有用1!BA$2:BA13,共有用1!BA13))</f>
        <v/>
      </c>
    </row>
    <row r="14" spans="1:53">
      <c r="A14" s="2" t="str">
        <f>共有用1!A14</f>
        <v/>
      </c>
      <c r="B14" s="2" t="str">
        <f>共有用1!B14</f>
        <v/>
      </c>
      <c r="C14" s="2" t="str">
        <f>共有用1!C14</f>
        <v/>
      </c>
      <c r="D14" s="17" t="str">
        <f>IF(共有用1!D14="","",共有用1!D14&amp;"/"&amp;COUNTIF(共有用1!D$2:D14,共有用1!D14))</f>
        <v/>
      </c>
      <c r="E14" s="17" t="str">
        <f>IF(共有用1!E14="","",共有用1!E14&amp;"/"&amp;COUNTIF(共有用1!E$2:E14,共有用1!E14))</f>
        <v/>
      </c>
      <c r="F14" s="17" t="str">
        <f>IF(共有用1!F14="","",共有用1!F14&amp;"/"&amp;COUNTIF(共有用1!F$2:F14,共有用1!F14))</f>
        <v/>
      </c>
      <c r="G14" s="17" t="str">
        <f>IF(共有用1!G14="","",共有用1!G14&amp;"/"&amp;COUNTIF(共有用1!G$2:G14,共有用1!G14))</f>
        <v/>
      </c>
      <c r="H14" s="17" t="str">
        <f>IF(共有用1!H14="","",共有用1!H14&amp;"/"&amp;COUNTIF(共有用1!H$2:H14,共有用1!H14))</f>
        <v/>
      </c>
      <c r="I14" s="17" t="str">
        <f>IF(共有用1!I14="","",共有用1!I14&amp;"/"&amp;COUNTIF(共有用1!I$2:I14,共有用1!I14))</f>
        <v/>
      </c>
      <c r="J14" s="17" t="str">
        <f>IF(共有用1!J14="","",共有用1!J14&amp;"/"&amp;COUNTIF(共有用1!J$2:J14,共有用1!J14))</f>
        <v/>
      </c>
      <c r="K14" s="17" t="str">
        <f>IF(共有用1!K14="","",共有用1!K14&amp;"/"&amp;COUNTIF(共有用1!K$2:K14,共有用1!K14))</f>
        <v/>
      </c>
      <c r="L14" s="17" t="str">
        <f>IF(共有用1!L14="","",共有用1!L14&amp;"/"&amp;COUNTIF(共有用1!L$2:L14,共有用1!L14))</f>
        <v/>
      </c>
      <c r="M14" s="17" t="str">
        <f>IF(共有用1!M14="","",共有用1!M14&amp;"/"&amp;COUNTIF(共有用1!M$2:M14,共有用1!M14))</f>
        <v/>
      </c>
      <c r="N14" s="17" t="str">
        <f>IF(共有用1!N14="","",共有用1!N14&amp;"/"&amp;COUNTIF(共有用1!N$2:N14,共有用1!N14))</f>
        <v/>
      </c>
      <c r="O14" s="17" t="str">
        <f>IF(共有用1!O14="","",共有用1!O14&amp;"/"&amp;COUNTIF(共有用1!O$2:O14,共有用1!O14))</f>
        <v/>
      </c>
      <c r="P14" s="17" t="str">
        <f>IF(共有用1!P14="","",共有用1!P14&amp;"/"&amp;COUNTIF(共有用1!P$2:P14,共有用1!P14))</f>
        <v/>
      </c>
      <c r="Q14" s="17" t="str">
        <f>IF(共有用1!Q14="","",共有用1!Q14&amp;"/"&amp;COUNTIF(共有用1!Q$2:Q14,共有用1!Q14))</f>
        <v/>
      </c>
      <c r="R14" s="17" t="str">
        <f>IF(共有用1!R14="","",共有用1!R14&amp;"/"&amp;COUNTIF(共有用1!R$2:R14,共有用1!R14))</f>
        <v/>
      </c>
      <c r="S14" s="17" t="str">
        <f>IF(共有用1!S14="","",共有用1!S14&amp;"/"&amp;COUNTIF(共有用1!S$2:S14,共有用1!S14))</f>
        <v/>
      </c>
      <c r="T14" s="17" t="str">
        <f>IF(共有用1!T14="","",共有用1!T14&amp;"/"&amp;COUNTIF(共有用1!T$2:T14,共有用1!T14))</f>
        <v/>
      </c>
      <c r="U14" s="17" t="str">
        <f>IF(共有用1!U14="","",共有用1!U14&amp;"/"&amp;COUNTIF(共有用1!U$2:U14,共有用1!U14))</f>
        <v/>
      </c>
      <c r="V14" s="17" t="str">
        <f>IF(共有用1!V14="","",共有用1!V14&amp;"/"&amp;COUNTIF(共有用1!V$2:V14,共有用1!V14))</f>
        <v/>
      </c>
      <c r="W14" s="17" t="str">
        <f>IF(共有用1!W14="","",共有用1!W14&amp;"/"&amp;COUNTIF(共有用1!W$2:W14,共有用1!W14))</f>
        <v/>
      </c>
      <c r="X14" s="17" t="str">
        <f>IF(共有用1!X14="","",共有用1!X14&amp;"/"&amp;COUNTIF(共有用1!X$2:X14,共有用1!X14))</f>
        <v/>
      </c>
      <c r="Y14" s="17" t="str">
        <f>IF(共有用1!Y14="","",共有用1!Y14&amp;"/"&amp;COUNTIF(共有用1!Y$2:Y14,共有用1!Y14))</f>
        <v/>
      </c>
      <c r="Z14" s="17" t="str">
        <f>IF(共有用1!Z14="","",共有用1!Z14&amp;"/"&amp;COUNTIF(共有用1!Z$2:Z14,共有用1!Z14))</f>
        <v/>
      </c>
      <c r="AA14" s="17" t="str">
        <f>IF(共有用1!AA14="","",共有用1!AA14&amp;"/"&amp;COUNTIF(共有用1!AA$2:AA14,共有用1!AA14))</f>
        <v/>
      </c>
      <c r="AB14" s="17" t="str">
        <f>IF(共有用1!AB14="","",共有用1!AB14&amp;"/"&amp;COUNTIF(共有用1!AB$2:AB14,共有用1!AB14))</f>
        <v/>
      </c>
      <c r="AC14" s="17" t="str">
        <f>IF(共有用1!AC14="","",共有用1!AC14&amp;"/"&amp;COUNTIF(共有用1!AC$2:AC14,共有用1!AC14))</f>
        <v/>
      </c>
      <c r="AD14" s="17" t="str">
        <f>IF(共有用1!AD14="","",共有用1!AD14&amp;"/"&amp;COUNTIF(共有用1!AD$2:AD14,共有用1!AD14))</f>
        <v/>
      </c>
      <c r="AE14" s="17" t="str">
        <f>IF(共有用1!AE14="","",共有用1!AE14&amp;"/"&amp;COUNTIF(共有用1!AE$2:AE14,共有用1!AE14))</f>
        <v/>
      </c>
      <c r="AF14" s="17" t="str">
        <f>IF(共有用1!AF14="","",共有用1!AF14&amp;"/"&amp;COUNTIF(共有用1!AF$2:AF14,共有用1!AF14))</f>
        <v/>
      </c>
      <c r="AG14" s="17" t="str">
        <f>IF(共有用1!AG14="","",共有用1!AG14&amp;"/"&amp;COUNTIF(共有用1!AG$2:AG14,共有用1!AG14))</f>
        <v/>
      </c>
      <c r="AH14" s="17" t="str">
        <f>IF(共有用1!AH14="","",共有用1!AH14&amp;"/"&amp;COUNTIF(共有用1!AH$2:AH14,共有用1!AH14))</f>
        <v/>
      </c>
      <c r="AI14" s="17" t="str">
        <f>IF(共有用1!AI14="","",共有用1!AI14&amp;"/"&amp;COUNTIF(共有用1!AI$2:AI14,共有用1!AI14))</f>
        <v/>
      </c>
      <c r="AJ14" s="17" t="str">
        <f>IF(共有用1!AJ14="","",共有用1!AJ14&amp;"/"&amp;COUNTIF(共有用1!AJ$2:AJ14,共有用1!AJ14))</f>
        <v/>
      </c>
      <c r="AK14" s="17" t="str">
        <f>IF(共有用1!AK14="","",共有用1!AK14&amp;"/"&amp;COUNTIF(共有用1!AK$2:AK14,共有用1!AK14))</f>
        <v/>
      </c>
      <c r="AL14" s="17" t="str">
        <f>IF(共有用1!AL14="","",共有用1!AL14&amp;"/"&amp;COUNTIF(共有用1!AL$2:AL14,共有用1!AL14))</f>
        <v/>
      </c>
      <c r="AM14" s="17" t="str">
        <f>IF(共有用1!AM14="","",共有用1!AM14&amp;"/"&amp;COUNTIF(共有用1!AM$2:AM14,共有用1!AM14))</f>
        <v/>
      </c>
      <c r="AN14" s="17" t="str">
        <f>IF(共有用1!AN14="","",共有用1!AN14&amp;"/"&amp;COUNTIF(共有用1!AN$2:AN14,共有用1!AN14))</f>
        <v/>
      </c>
      <c r="AO14" s="17" t="str">
        <f>IF(共有用1!AO14="","",共有用1!AO14&amp;"/"&amp;COUNTIF(共有用1!AO$2:AO14,共有用1!AO14))</f>
        <v/>
      </c>
      <c r="AP14" s="17" t="str">
        <f>IF(共有用1!AP14="","",共有用1!AP14&amp;"/"&amp;COUNTIF(共有用1!AP$2:AP14,共有用1!AP14))</f>
        <v/>
      </c>
      <c r="AQ14" s="17" t="str">
        <f>IF(共有用1!AQ14="","",共有用1!AQ14&amp;"/"&amp;COUNTIF(共有用1!AQ$2:AQ14,共有用1!AQ14))</f>
        <v/>
      </c>
      <c r="AR14" s="17" t="str">
        <f>IF(共有用1!AR14="","",共有用1!AR14&amp;"/"&amp;COUNTIF(共有用1!AR$2:AR14,共有用1!AR14))</f>
        <v/>
      </c>
      <c r="AS14" s="17" t="str">
        <f>IF(共有用1!AS14="","",共有用1!AS14&amp;"/"&amp;COUNTIF(共有用1!AS$2:AS14,共有用1!AS14))</f>
        <v/>
      </c>
      <c r="AT14" s="17" t="str">
        <f>IF(共有用1!AT14="","",共有用1!AT14&amp;"/"&amp;COUNTIF(共有用1!AT$2:AT14,共有用1!AT14))</f>
        <v/>
      </c>
      <c r="AU14" s="17" t="str">
        <f>IF(共有用1!AU14="","",共有用1!AU14&amp;"/"&amp;COUNTIF(共有用1!AU$2:AU14,共有用1!AU14))</f>
        <v/>
      </c>
      <c r="AV14" s="17" t="str">
        <f>IF(共有用1!AV14="","",共有用1!AV14&amp;"/"&amp;COUNTIF(共有用1!AV$2:AV14,共有用1!AV14))</f>
        <v/>
      </c>
      <c r="AW14" s="17" t="str">
        <f>IF(共有用1!AW14="","",共有用1!AW14&amp;"/"&amp;COUNTIF(共有用1!AW$2:AW14,共有用1!AW14))</f>
        <v/>
      </c>
      <c r="AX14" s="17" t="str">
        <f>IF(共有用1!AX14="","",共有用1!AX14&amp;"/"&amp;COUNTIF(共有用1!AX$2:AX14,共有用1!AX14))</f>
        <v/>
      </c>
      <c r="AY14" s="17" t="str">
        <f>IF(共有用1!AY14="","",共有用1!AY14&amp;"/"&amp;COUNTIF(共有用1!AY$2:AY14,共有用1!AY14))</f>
        <v/>
      </c>
      <c r="AZ14" s="17" t="str">
        <f>IF(共有用1!AZ14="","",共有用1!AZ14&amp;"/"&amp;COUNTIF(共有用1!AZ$2:AZ14,共有用1!AZ14))</f>
        <v/>
      </c>
      <c r="BA14" s="17" t="str">
        <f>IF(共有用1!BA14="","",共有用1!BA14&amp;"/"&amp;COUNTIF(共有用1!BA$2:BA14,共有用1!BA14))</f>
        <v/>
      </c>
    </row>
    <row r="15" spans="1:53">
      <c r="A15" s="2" t="str">
        <f>共有用1!A15</f>
        <v/>
      </c>
      <c r="B15" s="2" t="str">
        <f>共有用1!B15</f>
        <v/>
      </c>
      <c r="C15" s="2" t="str">
        <f>共有用1!C15</f>
        <v/>
      </c>
      <c r="D15" s="17" t="str">
        <f>IF(共有用1!D15="","",共有用1!D15&amp;"/"&amp;COUNTIF(共有用1!D$2:D15,共有用1!D15))</f>
        <v/>
      </c>
      <c r="E15" s="17" t="str">
        <f>IF(共有用1!E15="","",共有用1!E15&amp;"/"&amp;COUNTIF(共有用1!E$2:E15,共有用1!E15))</f>
        <v/>
      </c>
      <c r="F15" s="17" t="str">
        <f>IF(共有用1!F15="","",共有用1!F15&amp;"/"&amp;COUNTIF(共有用1!F$2:F15,共有用1!F15))</f>
        <v/>
      </c>
      <c r="G15" s="17" t="str">
        <f>IF(共有用1!G15="","",共有用1!G15&amp;"/"&amp;COUNTIF(共有用1!G$2:G15,共有用1!G15))</f>
        <v/>
      </c>
      <c r="H15" s="17" t="str">
        <f>IF(共有用1!H15="","",共有用1!H15&amp;"/"&amp;COUNTIF(共有用1!H$2:H15,共有用1!H15))</f>
        <v/>
      </c>
      <c r="I15" s="17" t="str">
        <f>IF(共有用1!I15="","",共有用1!I15&amp;"/"&amp;COUNTIF(共有用1!I$2:I15,共有用1!I15))</f>
        <v/>
      </c>
      <c r="J15" s="17" t="str">
        <f>IF(共有用1!J15="","",共有用1!J15&amp;"/"&amp;COUNTIF(共有用1!J$2:J15,共有用1!J15))</f>
        <v/>
      </c>
      <c r="K15" s="17" t="str">
        <f>IF(共有用1!K15="","",共有用1!K15&amp;"/"&amp;COUNTIF(共有用1!K$2:K15,共有用1!K15))</f>
        <v/>
      </c>
      <c r="L15" s="17" t="str">
        <f>IF(共有用1!L15="","",共有用1!L15&amp;"/"&amp;COUNTIF(共有用1!L$2:L15,共有用1!L15))</f>
        <v/>
      </c>
      <c r="M15" s="17" t="str">
        <f>IF(共有用1!M15="","",共有用1!M15&amp;"/"&amp;COUNTIF(共有用1!M$2:M15,共有用1!M15))</f>
        <v/>
      </c>
      <c r="N15" s="17" t="str">
        <f>IF(共有用1!N15="","",共有用1!N15&amp;"/"&amp;COUNTIF(共有用1!N$2:N15,共有用1!N15))</f>
        <v/>
      </c>
      <c r="O15" s="17" t="str">
        <f>IF(共有用1!O15="","",共有用1!O15&amp;"/"&amp;COUNTIF(共有用1!O$2:O15,共有用1!O15))</f>
        <v/>
      </c>
      <c r="P15" s="17" t="str">
        <f>IF(共有用1!P15="","",共有用1!P15&amp;"/"&amp;COUNTIF(共有用1!P$2:P15,共有用1!P15))</f>
        <v/>
      </c>
      <c r="Q15" s="17" t="str">
        <f>IF(共有用1!Q15="","",共有用1!Q15&amp;"/"&amp;COUNTIF(共有用1!Q$2:Q15,共有用1!Q15))</f>
        <v/>
      </c>
      <c r="R15" s="17" t="str">
        <f>IF(共有用1!R15="","",共有用1!R15&amp;"/"&amp;COUNTIF(共有用1!R$2:R15,共有用1!R15))</f>
        <v/>
      </c>
      <c r="S15" s="17" t="str">
        <f>IF(共有用1!S15="","",共有用1!S15&amp;"/"&amp;COUNTIF(共有用1!S$2:S15,共有用1!S15))</f>
        <v/>
      </c>
      <c r="T15" s="17" t="str">
        <f>IF(共有用1!T15="","",共有用1!T15&amp;"/"&amp;COUNTIF(共有用1!T$2:T15,共有用1!T15))</f>
        <v/>
      </c>
      <c r="U15" s="17" t="str">
        <f>IF(共有用1!U15="","",共有用1!U15&amp;"/"&amp;COUNTIF(共有用1!U$2:U15,共有用1!U15))</f>
        <v/>
      </c>
      <c r="V15" s="17" t="str">
        <f>IF(共有用1!V15="","",共有用1!V15&amp;"/"&amp;COUNTIF(共有用1!V$2:V15,共有用1!V15))</f>
        <v/>
      </c>
      <c r="W15" s="17" t="str">
        <f>IF(共有用1!W15="","",共有用1!W15&amp;"/"&amp;COUNTIF(共有用1!W$2:W15,共有用1!W15))</f>
        <v/>
      </c>
      <c r="X15" s="17" t="str">
        <f>IF(共有用1!X15="","",共有用1!X15&amp;"/"&amp;COUNTIF(共有用1!X$2:X15,共有用1!X15))</f>
        <v/>
      </c>
      <c r="Y15" s="17" t="str">
        <f>IF(共有用1!Y15="","",共有用1!Y15&amp;"/"&amp;COUNTIF(共有用1!Y$2:Y15,共有用1!Y15))</f>
        <v/>
      </c>
      <c r="Z15" s="17" t="str">
        <f>IF(共有用1!Z15="","",共有用1!Z15&amp;"/"&amp;COUNTIF(共有用1!Z$2:Z15,共有用1!Z15))</f>
        <v/>
      </c>
      <c r="AA15" s="17" t="str">
        <f>IF(共有用1!AA15="","",共有用1!AA15&amp;"/"&amp;COUNTIF(共有用1!AA$2:AA15,共有用1!AA15))</f>
        <v/>
      </c>
      <c r="AB15" s="17" t="str">
        <f>IF(共有用1!AB15="","",共有用1!AB15&amp;"/"&amp;COUNTIF(共有用1!AB$2:AB15,共有用1!AB15))</f>
        <v/>
      </c>
      <c r="AC15" s="17" t="str">
        <f>IF(共有用1!AC15="","",共有用1!AC15&amp;"/"&amp;COUNTIF(共有用1!AC$2:AC15,共有用1!AC15))</f>
        <v/>
      </c>
      <c r="AD15" s="17" t="str">
        <f>IF(共有用1!AD15="","",共有用1!AD15&amp;"/"&amp;COUNTIF(共有用1!AD$2:AD15,共有用1!AD15))</f>
        <v/>
      </c>
      <c r="AE15" s="17" t="str">
        <f>IF(共有用1!AE15="","",共有用1!AE15&amp;"/"&amp;COUNTIF(共有用1!AE$2:AE15,共有用1!AE15))</f>
        <v/>
      </c>
      <c r="AF15" s="17" t="str">
        <f>IF(共有用1!AF15="","",共有用1!AF15&amp;"/"&amp;COUNTIF(共有用1!AF$2:AF15,共有用1!AF15))</f>
        <v/>
      </c>
      <c r="AG15" s="17" t="str">
        <f>IF(共有用1!AG15="","",共有用1!AG15&amp;"/"&amp;COUNTIF(共有用1!AG$2:AG15,共有用1!AG15))</f>
        <v/>
      </c>
      <c r="AH15" s="17" t="str">
        <f>IF(共有用1!AH15="","",共有用1!AH15&amp;"/"&amp;COUNTIF(共有用1!AH$2:AH15,共有用1!AH15))</f>
        <v/>
      </c>
      <c r="AI15" s="17" t="str">
        <f>IF(共有用1!AI15="","",共有用1!AI15&amp;"/"&amp;COUNTIF(共有用1!AI$2:AI15,共有用1!AI15))</f>
        <v/>
      </c>
      <c r="AJ15" s="17" t="str">
        <f>IF(共有用1!AJ15="","",共有用1!AJ15&amp;"/"&amp;COUNTIF(共有用1!AJ$2:AJ15,共有用1!AJ15))</f>
        <v/>
      </c>
      <c r="AK15" s="17" t="str">
        <f>IF(共有用1!AK15="","",共有用1!AK15&amp;"/"&amp;COUNTIF(共有用1!AK$2:AK15,共有用1!AK15))</f>
        <v/>
      </c>
      <c r="AL15" s="17" t="str">
        <f>IF(共有用1!AL15="","",共有用1!AL15&amp;"/"&amp;COUNTIF(共有用1!AL$2:AL15,共有用1!AL15))</f>
        <v/>
      </c>
      <c r="AM15" s="17" t="str">
        <f>IF(共有用1!AM15="","",共有用1!AM15&amp;"/"&amp;COUNTIF(共有用1!AM$2:AM15,共有用1!AM15))</f>
        <v/>
      </c>
      <c r="AN15" s="17" t="str">
        <f>IF(共有用1!AN15="","",共有用1!AN15&amp;"/"&amp;COUNTIF(共有用1!AN$2:AN15,共有用1!AN15))</f>
        <v/>
      </c>
      <c r="AO15" s="17" t="str">
        <f>IF(共有用1!AO15="","",共有用1!AO15&amp;"/"&amp;COUNTIF(共有用1!AO$2:AO15,共有用1!AO15))</f>
        <v/>
      </c>
      <c r="AP15" s="17" t="str">
        <f>IF(共有用1!AP15="","",共有用1!AP15&amp;"/"&amp;COUNTIF(共有用1!AP$2:AP15,共有用1!AP15))</f>
        <v/>
      </c>
      <c r="AQ15" s="17" t="str">
        <f>IF(共有用1!AQ15="","",共有用1!AQ15&amp;"/"&amp;COUNTIF(共有用1!AQ$2:AQ15,共有用1!AQ15))</f>
        <v/>
      </c>
      <c r="AR15" s="17" t="str">
        <f>IF(共有用1!AR15="","",共有用1!AR15&amp;"/"&amp;COUNTIF(共有用1!AR$2:AR15,共有用1!AR15))</f>
        <v/>
      </c>
      <c r="AS15" s="17" t="str">
        <f>IF(共有用1!AS15="","",共有用1!AS15&amp;"/"&amp;COUNTIF(共有用1!AS$2:AS15,共有用1!AS15))</f>
        <v/>
      </c>
      <c r="AT15" s="17" t="str">
        <f>IF(共有用1!AT15="","",共有用1!AT15&amp;"/"&amp;COUNTIF(共有用1!AT$2:AT15,共有用1!AT15))</f>
        <v/>
      </c>
      <c r="AU15" s="17" t="str">
        <f>IF(共有用1!AU15="","",共有用1!AU15&amp;"/"&amp;COUNTIF(共有用1!AU$2:AU15,共有用1!AU15))</f>
        <v/>
      </c>
      <c r="AV15" s="17" t="str">
        <f>IF(共有用1!AV15="","",共有用1!AV15&amp;"/"&amp;COUNTIF(共有用1!AV$2:AV15,共有用1!AV15))</f>
        <v/>
      </c>
      <c r="AW15" s="17" t="str">
        <f>IF(共有用1!AW15="","",共有用1!AW15&amp;"/"&amp;COUNTIF(共有用1!AW$2:AW15,共有用1!AW15))</f>
        <v/>
      </c>
      <c r="AX15" s="17" t="str">
        <f>IF(共有用1!AX15="","",共有用1!AX15&amp;"/"&amp;COUNTIF(共有用1!AX$2:AX15,共有用1!AX15))</f>
        <v/>
      </c>
      <c r="AY15" s="17" t="str">
        <f>IF(共有用1!AY15="","",共有用1!AY15&amp;"/"&amp;COUNTIF(共有用1!AY$2:AY15,共有用1!AY15))</f>
        <v/>
      </c>
      <c r="AZ15" s="17" t="str">
        <f>IF(共有用1!AZ15="","",共有用1!AZ15&amp;"/"&amp;COUNTIF(共有用1!AZ$2:AZ15,共有用1!AZ15))</f>
        <v/>
      </c>
      <c r="BA15" s="17" t="str">
        <f>IF(共有用1!BA15="","",共有用1!BA15&amp;"/"&amp;COUNTIF(共有用1!BA$2:BA15,共有用1!BA15))</f>
        <v/>
      </c>
    </row>
    <row r="16" spans="1:53">
      <c r="A16" s="2" t="str">
        <f>共有用1!A16</f>
        <v/>
      </c>
      <c r="B16" s="2" t="str">
        <f>共有用1!B16</f>
        <v/>
      </c>
      <c r="C16" s="2" t="str">
        <f>共有用1!C16</f>
        <v/>
      </c>
      <c r="D16" s="17" t="str">
        <f>IF(共有用1!D16="","",共有用1!D16&amp;"/"&amp;COUNTIF(共有用1!D$2:D16,共有用1!D16))</f>
        <v/>
      </c>
      <c r="E16" s="17" t="str">
        <f>IF(共有用1!E16="","",共有用1!E16&amp;"/"&amp;COUNTIF(共有用1!E$2:E16,共有用1!E16))</f>
        <v/>
      </c>
      <c r="F16" s="17" t="str">
        <f>IF(共有用1!F16="","",共有用1!F16&amp;"/"&amp;COUNTIF(共有用1!F$2:F16,共有用1!F16))</f>
        <v/>
      </c>
      <c r="G16" s="17" t="str">
        <f>IF(共有用1!G16="","",共有用1!G16&amp;"/"&amp;COUNTIF(共有用1!G$2:G16,共有用1!G16))</f>
        <v/>
      </c>
      <c r="H16" s="17" t="str">
        <f>IF(共有用1!H16="","",共有用1!H16&amp;"/"&amp;COUNTIF(共有用1!H$2:H16,共有用1!H16))</f>
        <v/>
      </c>
      <c r="I16" s="17" t="str">
        <f>IF(共有用1!I16="","",共有用1!I16&amp;"/"&amp;COUNTIF(共有用1!I$2:I16,共有用1!I16))</f>
        <v/>
      </c>
      <c r="J16" s="17" t="str">
        <f>IF(共有用1!J16="","",共有用1!J16&amp;"/"&amp;COUNTIF(共有用1!J$2:J16,共有用1!J16))</f>
        <v/>
      </c>
      <c r="K16" s="17" t="str">
        <f>IF(共有用1!K16="","",共有用1!K16&amp;"/"&amp;COUNTIF(共有用1!K$2:K16,共有用1!K16))</f>
        <v/>
      </c>
      <c r="L16" s="17" t="str">
        <f>IF(共有用1!L16="","",共有用1!L16&amp;"/"&amp;COUNTIF(共有用1!L$2:L16,共有用1!L16))</f>
        <v/>
      </c>
      <c r="M16" s="17" t="str">
        <f>IF(共有用1!M16="","",共有用1!M16&amp;"/"&amp;COUNTIF(共有用1!M$2:M16,共有用1!M16))</f>
        <v/>
      </c>
      <c r="N16" s="17" t="str">
        <f>IF(共有用1!N16="","",共有用1!N16&amp;"/"&amp;COUNTIF(共有用1!N$2:N16,共有用1!N16))</f>
        <v/>
      </c>
      <c r="O16" s="17" t="str">
        <f>IF(共有用1!O16="","",共有用1!O16&amp;"/"&amp;COUNTIF(共有用1!O$2:O16,共有用1!O16))</f>
        <v/>
      </c>
      <c r="P16" s="17" t="str">
        <f>IF(共有用1!P16="","",共有用1!P16&amp;"/"&amp;COUNTIF(共有用1!P$2:P16,共有用1!P16))</f>
        <v/>
      </c>
      <c r="Q16" s="17" t="str">
        <f>IF(共有用1!Q16="","",共有用1!Q16&amp;"/"&amp;COUNTIF(共有用1!Q$2:Q16,共有用1!Q16))</f>
        <v/>
      </c>
      <c r="R16" s="17" t="str">
        <f>IF(共有用1!R16="","",共有用1!R16&amp;"/"&amp;COUNTIF(共有用1!R$2:R16,共有用1!R16))</f>
        <v/>
      </c>
      <c r="S16" s="17" t="str">
        <f>IF(共有用1!S16="","",共有用1!S16&amp;"/"&amp;COUNTIF(共有用1!S$2:S16,共有用1!S16))</f>
        <v/>
      </c>
      <c r="T16" s="17" t="str">
        <f>IF(共有用1!T16="","",共有用1!T16&amp;"/"&amp;COUNTIF(共有用1!T$2:T16,共有用1!T16))</f>
        <v/>
      </c>
      <c r="U16" s="17" t="str">
        <f>IF(共有用1!U16="","",共有用1!U16&amp;"/"&amp;COUNTIF(共有用1!U$2:U16,共有用1!U16))</f>
        <v/>
      </c>
      <c r="V16" s="17" t="str">
        <f>IF(共有用1!V16="","",共有用1!V16&amp;"/"&amp;COUNTIF(共有用1!V$2:V16,共有用1!V16))</f>
        <v/>
      </c>
      <c r="W16" s="17" t="str">
        <f>IF(共有用1!W16="","",共有用1!W16&amp;"/"&amp;COUNTIF(共有用1!W$2:W16,共有用1!W16))</f>
        <v/>
      </c>
      <c r="X16" s="17" t="str">
        <f>IF(共有用1!X16="","",共有用1!X16&amp;"/"&amp;COUNTIF(共有用1!X$2:X16,共有用1!X16))</f>
        <v/>
      </c>
      <c r="Y16" s="17" t="str">
        <f>IF(共有用1!Y16="","",共有用1!Y16&amp;"/"&amp;COUNTIF(共有用1!Y$2:Y16,共有用1!Y16))</f>
        <v/>
      </c>
      <c r="Z16" s="17" t="str">
        <f>IF(共有用1!Z16="","",共有用1!Z16&amp;"/"&amp;COUNTIF(共有用1!Z$2:Z16,共有用1!Z16))</f>
        <v/>
      </c>
      <c r="AA16" s="17" t="str">
        <f>IF(共有用1!AA16="","",共有用1!AA16&amp;"/"&amp;COUNTIF(共有用1!AA$2:AA16,共有用1!AA16))</f>
        <v/>
      </c>
      <c r="AB16" s="17" t="str">
        <f>IF(共有用1!AB16="","",共有用1!AB16&amp;"/"&amp;COUNTIF(共有用1!AB$2:AB16,共有用1!AB16))</f>
        <v/>
      </c>
      <c r="AC16" s="17" t="str">
        <f>IF(共有用1!AC16="","",共有用1!AC16&amp;"/"&amp;COUNTIF(共有用1!AC$2:AC16,共有用1!AC16))</f>
        <v/>
      </c>
      <c r="AD16" s="17" t="str">
        <f>IF(共有用1!AD16="","",共有用1!AD16&amp;"/"&amp;COUNTIF(共有用1!AD$2:AD16,共有用1!AD16))</f>
        <v/>
      </c>
      <c r="AE16" s="17" t="str">
        <f>IF(共有用1!AE16="","",共有用1!AE16&amp;"/"&amp;COUNTIF(共有用1!AE$2:AE16,共有用1!AE16))</f>
        <v/>
      </c>
      <c r="AF16" s="17" t="str">
        <f>IF(共有用1!AF16="","",共有用1!AF16&amp;"/"&amp;COUNTIF(共有用1!AF$2:AF16,共有用1!AF16))</f>
        <v/>
      </c>
      <c r="AG16" s="17" t="str">
        <f>IF(共有用1!AG16="","",共有用1!AG16&amp;"/"&amp;COUNTIF(共有用1!AG$2:AG16,共有用1!AG16))</f>
        <v/>
      </c>
      <c r="AH16" s="17" t="str">
        <f>IF(共有用1!AH16="","",共有用1!AH16&amp;"/"&amp;COUNTIF(共有用1!AH$2:AH16,共有用1!AH16))</f>
        <v/>
      </c>
      <c r="AI16" s="17" t="str">
        <f>IF(共有用1!AI16="","",共有用1!AI16&amp;"/"&amp;COUNTIF(共有用1!AI$2:AI16,共有用1!AI16))</f>
        <v/>
      </c>
      <c r="AJ16" s="17" t="str">
        <f>IF(共有用1!AJ16="","",共有用1!AJ16&amp;"/"&amp;COUNTIF(共有用1!AJ$2:AJ16,共有用1!AJ16))</f>
        <v/>
      </c>
      <c r="AK16" s="17" t="str">
        <f>IF(共有用1!AK16="","",共有用1!AK16&amp;"/"&amp;COUNTIF(共有用1!AK$2:AK16,共有用1!AK16))</f>
        <v/>
      </c>
      <c r="AL16" s="17" t="str">
        <f>IF(共有用1!AL16="","",共有用1!AL16&amp;"/"&amp;COUNTIF(共有用1!AL$2:AL16,共有用1!AL16))</f>
        <v/>
      </c>
      <c r="AM16" s="17" t="str">
        <f>IF(共有用1!AM16="","",共有用1!AM16&amp;"/"&amp;COUNTIF(共有用1!AM$2:AM16,共有用1!AM16))</f>
        <v/>
      </c>
      <c r="AN16" s="17" t="str">
        <f>IF(共有用1!AN16="","",共有用1!AN16&amp;"/"&amp;COUNTIF(共有用1!AN$2:AN16,共有用1!AN16))</f>
        <v/>
      </c>
      <c r="AO16" s="17" t="str">
        <f>IF(共有用1!AO16="","",共有用1!AO16&amp;"/"&amp;COUNTIF(共有用1!AO$2:AO16,共有用1!AO16))</f>
        <v/>
      </c>
      <c r="AP16" s="17" t="str">
        <f>IF(共有用1!AP16="","",共有用1!AP16&amp;"/"&amp;COUNTIF(共有用1!AP$2:AP16,共有用1!AP16))</f>
        <v/>
      </c>
      <c r="AQ16" s="17" t="str">
        <f>IF(共有用1!AQ16="","",共有用1!AQ16&amp;"/"&amp;COUNTIF(共有用1!AQ$2:AQ16,共有用1!AQ16))</f>
        <v/>
      </c>
      <c r="AR16" s="17" t="str">
        <f>IF(共有用1!AR16="","",共有用1!AR16&amp;"/"&amp;COUNTIF(共有用1!AR$2:AR16,共有用1!AR16))</f>
        <v/>
      </c>
      <c r="AS16" s="17" t="str">
        <f>IF(共有用1!AS16="","",共有用1!AS16&amp;"/"&amp;COUNTIF(共有用1!AS$2:AS16,共有用1!AS16))</f>
        <v/>
      </c>
      <c r="AT16" s="17" t="str">
        <f>IF(共有用1!AT16="","",共有用1!AT16&amp;"/"&amp;COUNTIF(共有用1!AT$2:AT16,共有用1!AT16))</f>
        <v/>
      </c>
      <c r="AU16" s="17" t="str">
        <f>IF(共有用1!AU16="","",共有用1!AU16&amp;"/"&amp;COUNTIF(共有用1!AU$2:AU16,共有用1!AU16))</f>
        <v/>
      </c>
      <c r="AV16" s="17" t="str">
        <f>IF(共有用1!AV16="","",共有用1!AV16&amp;"/"&amp;COUNTIF(共有用1!AV$2:AV16,共有用1!AV16))</f>
        <v/>
      </c>
      <c r="AW16" s="17" t="str">
        <f>IF(共有用1!AW16="","",共有用1!AW16&amp;"/"&amp;COUNTIF(共有用1!AW$2:AW16,共有用1!AW16))</f>
        <v/>
      </c>
      <c r="AX16" s="17" t="str">
        <f>IF(共有用1!AX16="","",共有用1!AX16&amp;"/"&amp;COUNTIF(共有用1!AX$2:AX16,共有用1!AX16))</f>
        <v/>
      </c>
      <c r="AY16" s="17" t="str">
        <f>IF(共有用1!AY16="","",共有用1!AY16&amp;"/"&amp;COUNTIF(共有用1!AY$2:AY16,共有用1!AY16))</f>
        <v/>
      </c>
      <c r="AZ16" s="17" t="str">
        <f>IF(共有用1!AZ16="","",共有用1!AZ16&amp;"/"&amp;COUNTIF(共有用1!AZ$2:AZ16,共有用1!AZ16))</f>
        <v/>
      </c>
      <c r="BA16" s="17" t="str">
        <f>IF(共有用1!BA16="","",共有用1!BA16&amp;"/"&amp;COUNTIF(共有用1!BA$2:BA16,共有用1!BA16))</f>
        <v/>
      </c>
    </row>
    <row r="17" spans="1:53">
      <c r="A17" s="2" t="str">
        <f>共有用1!A17</f>
        <v/>
      </c>
      <c r="B17" s="2" t="str">
        <f>共有用1!B17</f>
        <v/>
      </c>
      <c r="C17" s="2" t="str">
        <f>共有用1!C17</f>
        <v/>
      </c>
      <c r="D17" s="17" t="str">
        <f>IF(共有用1!D17="","",共有用1!D17&amp;"/"&amp;COUNTIF(共有用1!D$2:D17,共有用1!D17))</f>
        <v/>
      </c>
      <c r="E17" s="17" t="str">
        <f>IF(共有用1!E17="","",共有用1!E17&amp;"/"&amp;COUNTIF(共有用1!E$2:E17,共有用1!E17))</f>
        <v/>
      </c>
      <c r="F17" s="17" t="str">
        <f>IF(共有用1!F17="","",共有用1!F17&amp;"/"&amp;COUNTIF(共有用1!F$2:F17,共有用1!F17))</f>
        <v/>
      </c>
      <c r="G17" s="17" t="str">
        <f>IF(共有用1!G17="","",共有用1!G17&amp;"/"&amp;COUNTIF(共有用1!G$2:G17,共有用1!G17))</f>
        <v/>
      </c>
      <c r="H17" s="17" t="str">
        <f>IF(共有用1!H17="","",共有用1!H17&amp;"/"&amp;COUNTIF(共有用1!H$2:H17,共有用1!H17))</f>
        <v/>
      </c>
      <c r="I17" s="17" t="str">
        <f>IF(共有用1!I17="","",共有用1!I17&amp;"/"&amp;COUNTIF(共有用1!I$2:I17,共有用1!I17))</f>
        <v/>
      </c>
      <c r="J17" s="17" t="str">
        <f>IF(共有用1!J17="","",共有用1!J17&amp;"/"&amp;COUNTIF(共有用1!J$2:J17,共有用1!J17))</f>
        <v/>
      </c>
      <c r="K17" s="17" t="str">
        <f>IF(共有用1!K17="","",共有用1!K17&amp;"/"&amp;COUNTIF(共有用1!K$2:K17,共有用1!K17))</f>
        <v/>
      </c>
      <c r="L17" s="17" t="str">
        <f>IF(共有用1!L17="","",共有用1!L17&amp;"/"&amp;COUNTIF(共有用1!L$2:L17,共有用1!L17))</f>
        <v/>
      </c>
      <c r="M17" s="17" t="str">
        <f>IF(共有用1!M17="","",共有用1!M17&amp;"/"&amp;COUNTIF(共有用1!M$2:M17,共有用1!M17))</f>
        <v/>
      </c>
      <c r="N17" s="17" t="str">
        <f>IF(共有用1!N17="","",共有用1!N17&amp;"/"&amp;COUNTIF(共有用1!N$2:N17,共有用1!N17))</f>
        <v/>
      </c>
      <c r="O17" s="17" t="str">
        <f>IF(共有用1!O17="","",共有用1!O17&amp;"/"&amp;COUNTIF(共有用1!O$2:O17,共有用1!O17))</f>
        <v/>
      </c>
      <c r="P17" s="17" t="str">
        <f>IF(共有用1!P17="","",共有用1!P17&amp;"/"&amp;COUNTIF(共有用1!P$2:P17,共有用1!P17))</f>
        <v/>
      </c>
      <c r="Q17" s="17" t="str">
        <f>IF(共有用1!Q17="","",共有用1!Q17&amp;"/"&amp;COUNTIF(共有用1!Q$2:Q17,共有用1!Q17))</f>
        <v/>
      </c>
      <c r="R17" s="17" t="str">
        <f>IF(共有用1!R17="","",共有用1!R17&amp;"/"&amp;COUNTIF(共有用1!R$2:R17,共有用1!R17))</f>
        <v/>
      </c>
      <c r="S17" s="17" t="str">
        <f>IF(共有用1!S17="","",共有用1!S17&amp;"/"&amp;COUNTIF(共有用1!S$2:S17,共有用1!S17))</f>
        <v/>
      </c>
      <c r="T17" s="17" t="str">
        <f>IF(共有用1!T17="","",共有用1!T17&amp;"/"&amp;COUNTIF(共有用1!T$2:T17,共有用1!T17))</f>
        <v/>
      </c>
      <c r="U17" s="17" t="str">
        <f>IF(共有用1!U17="","",共有用1!U17&amp;"/"&amp;COUNTIF(共有用1!U$2:U17,共有用1!U17))</f>
        <v/>
      </c>
      <c r="V17" s="17" t="str">
        <f>IF(共有用1!V17="","",共有用1!V17&amp;"/"&amp;COUNTIF(共有用1!V$2:V17,共有用1!V17))</f>
        <v/>
      </c>
      <c r="W17" s="17" t="str">
        <f>IF(共有用1!W17="","",共有用1!W17&amp;"/"&amp;COUNTIF(共有用1!W$2:W17,共有用1!W17))</f>
        <v/>
      </c>
      <c r="X17" s="17" t="str">
        <f>IF(共有用1!X17="","",共有用1!X17&amp;"/"&amp;COUNTIF(共有用1!X$2:X17,共有用1!X17))</f>
        <v/>
      </c>
      <c r="Y17" s="17" t="str">
        <f>IF(共有用1!Y17="","",共有用1!Y17&amp;"/"&amp;COUNTIF(共有用1!Y$2:Y17,共有用1!Y17))</f>
        <v/>
      </c>
      <c r="Z17" s="17" t="str">
        <f>IF(共有用1!Z17="","",共有用1!Z17&amp;"/"&amp;COUNTIF(共有用1!Z$2:Z17,共有用1!Z17))</f>
        <v/>
      </c>
      <c r="AA17" s="17" t="str">
        <f>IF(共有用1!AA17="","",共有用1!AA17&amp;"/"&amp;COUNTIF(共有用1!AA$2:AA17,共有用1!AA17))</f>
        <v/>
      </c>
      <c r="AB17" s="17" t="str">
        <f>IF(共有用1!AB17="","",共有用1!AB17&amp;"/"&amp;COUNTIF(共有用1!AB$2:AB17,共有用1!AB17))</f>
        <v/>
      </c>
      <c r="AC17" s="17" t="str">
        <f>IF(共有用1!AC17="","",共有用1!AC17&amp;"/"&amp;COUNTIF(共有用1!AC$2:AC17,共有用1!AC17))</f>
        <v/>
      </c>
      <c r="AD17" s="17" t="str">
        <f>IF(共有用1!AD17="","",共有用1!AD17&amp;"/"&amp;COUNTIF(共有用1!AD$2:AD17,共有用1!AD17))</f>
        <v/>
      </c>
      <c r="AE17" s="17" t="str">
        <f>IF(共有用1!AE17="","",共有用1!AE17&amp;"/"&amp;COUNTIF(共有用1!AE$2:AE17,共有用1!AE17))</f>
        <v/>
      </c>
      <c r="AF17" s="17" t="str">
        <f>IF(共有用1!AF17="","",共有用1!AF17&amp;"/"&amp;COUNTIF(共有用1!AF$2:AF17,共有用1!AF17))</f>
        <v/>
      </c>
      <c r="AG17" s="17" t="str">
        <f>IF(共有用1!AG17="","",共有用1!AG17&amp;"/"&amp;COUNTIF(共有用1!AG$2:AG17,共有用1!AG17))</f>
        <v/>
      </c>
      <c r="AH17" s="17" t="str">
        <f>IF(共有用1!AH17="","",共有用1!AH17&amp;"/"&amp;COUNTIF(共有用1!AH$2:AH17,共有用1!AH17))</f>
        <v/>
      </c>
      <c r="AI17" s="17" t="str">
        <f>IF(共有用1!AI17="","",共有用1!AI17&amp;"/"&amp;COUNTIF(共有用1!AI$2:AI17,共有用1!AI17))</f>
        <v/>
      </c>
      <c r="AJ17" s="17" t="str">
        <f>IF(共有用1!AJ17="","",共有用1!AJ17&amp;"/"&amp;COUNTIF(共有用1!AJ$2:AJ17,共有用1!AJ17))</f>
        <v/>
      </c>
      <c r="AK17" s="17" t="str">
        <f>IF(共有用1!AK17="","",共有用1!AK17&amp;"/"&amp;COUNTIF(共有用1!AK$2:AK17,共有用1!AK17))</f>
        <v/>
      </c>
      <c r="AL17" s="17" t="str">
        <f>IF(共有用1!AL17="","",共有用1!AL17&amp;"/"&amp;COUNTIF(共有用1!AL$2:AL17,共有用1!AL17))</f>
        <v/>
      </c>
      <c r="AM17" s="17" t="str">
        <f>IF(共有用1!AM17="","",共有用1!AM17&amp;"/"&amp;COUNTIF(共有用1!AM$2:AM17,共有用1!AM17))</f>
        <v/>
      </c>
      <c r="AN17" s="17" t="str">
        <f>IF(共有用1!AN17="","",共有用1!AN17&amp;"/"&amp;COUNTIF(共有用1!AN$2:AN17,共有用1!AN17))</f>
        <v/>
      </c>
      <c r="AO17" s="17" t="str">
        <f>IF(共有用1!AO17="","",共有用1!AO17&amp;"/"&amp;COUNTIF(共有用1!AO$2:AO17,共有用1!AO17))</f>
        <v/>
      </c>
      <c r="AP17" s="17" t="str">
        <f>IF(共有用1!AP17="","",共有用1!AP17&amp;"/"&amp;COUNTIF(共有用1!AP$2:AP17,共有用1!AP17))</f>
        <v/>
      </c>
      <c r="AQ17" s="17" t="str">
        <f>IF(共有用1!AQ17="","",共有用1!AQ17&amp;"/"&amp;COUNTIF(共有用1!AQ$2:AQ17,共有用1!AQ17))</f>
        <v/>
      </c>
      <c r="AR17" s="17" t="str">
        <f>IF(共有用1!AR17="","",共有用1!AR17&amp;"/"&amp;COUNTIF(共有用1!AR$2:AR17,共有用1!AR17))</f>
        <v/>
      </c>
      <c r="AS17" s="17" t="str">
        <f>IF(共有用1!AS17="","",共有用1!AS17&amp;"/"&amp;COUNTIF(共有用1!AS$2:AS17,共有用1!AS17))</f>
        <v/>
      </c>
      <c r="AT17" s="17" t="str">
        <f>IF(共有用1!AT17="","",共有用1!AT17&amp;"/"&amp;COUNTIF(共有用1!AT$2:AT17,共有用1!AT17))</f>
        <v/>
      </c>
      <c r="AU17" s="17" t="str">
        <f>IF(共有用1!AU17="","",共有用1!AU17&amp;"/"&amp;COUNTIF(共有用1!AU$2:AU17,共有用1!AU17))</f>
        <v/>
      </c>
      <c r="AV17" s="17" t="str">
        <f>IF(共有用1!AV17="","",共有用1!AV17&amp;"/"&amp;COUNTIF(共有用1!AV$2:AV17,共有用1!AV17))</f>
        <v/>
      </c>
      <c r="AW17" s="17" t="str">
        <f>IF(共有用1!AW17="","",共有用1!AW17&amp;"/"&amp;COUNTIF(共有用1!AW$2:AW17,共有用1!AW17))</f>
        <v/>
      </c>
      <c r="AX17" s="17" t="str">
        <f>IF(共有用1!AX17="","",共有用1!AX17&amp;"/"&amp;COUNTIF(共有用1!AX$2:AX17,共有用1!AX17))</f>
        <v/>
      </c>
      <c r="AY17" s="17" t="str">
        <f>IF(共有用1!AY17="","",共有用1!AY17&amp;"/"&amp;COUNTIF(共有用1!AY$2:AY17,共有用1!AY17))</f>
        <v/>
      </c>
      <c r="AZ17" s="17" t="str">
        <f>IF(共有用1!AZ17="","",共有用1!AZ17&amp;"/"&amp;COUNTIF(共有用1!AZ$2:AZ17,共有用1!AZ17))</f>
        <v/>
      </c>
      <c r="BA17" s="17" t="str">
        <f>IF(共有用1!BA17="","",共有用1!BA17&amp;"/"&amp;COUNTIF(共有用1!BA$2:BA17,共有用1!BA17))</f>
        <v/>
      </c>
    </row>
    <row r="18" spans="1:53">
      <c r="A18" s="2" t="str">
        <f>共有用1!A18</f>
        <v/>
      </c>
      <c r="B18" s="2" t="str">
        <f>共有用1!B18</f>
        <v/>
      </c>
      <c r="C18" s="2" t="str">
        <f>共有用1!C18</f>
        <v/>
      </c>
      <c r="D18" s="17" t="str">
        <f>IF(共有用1!D18="","",共有用1!D18&amp;"/"&amp;COUNTIF(共有用1!D$2:D18,共有用1!D18))</f>
        <v/>
      </c>
      <c r="E18" s="17" t="str">
        <f>IF(共有用1!E18="","",共有用1!E18&amp;"/"&amp;COUNTIF(共有用1!E$2:E18,共有用1!E18))</f>
        <v/>
      </c>
      <c r="F18" s="17" t="str">
        <f>IF(共有用1!F18="","",共有用1!F18&amp;"/"&amp;COUNTIF(共有用1!F$2:F18,共有用1!F18))</f>
        <v/>
      </c>
      <c r="G18" s="17" t="str">
        <f>IF(共有用1!G18="","",共有用1!G18&amp;"/"&amp;COUNTIF(共有用1!G$2:G18,共有用1!G18))</f>
        <v/>
      </c>
      <c r="H18" s="17" t="str">
        <f>IF(共有用1!H18="","",共有用1!H18&amp;"/"&amp;COUNTIF(共有用1!H$2:H18,共有用1!H18))</f>
        <v/>
      </c>
      <c r="I18" s="17" t="str">
        <f>IF(共有用1!I18="","",共有用1!I18&amp;"/"&amp;COUNTIF(共有用1!I$2:I18,共有用1!I18))</f>
        <v/>
      </c>
      <c r="J18" s="17" t="str">
        <f>IF(共有用1!J18="","",共有用1!J18&amp;"/"&amp;COUNTIF(共有用1!J$2:J18,共有用1!J18))</f>
        <v/>
      </c>
      <c r="K18" s="17" t="str">
        <f>IF(共有用1!K18="","",共有用1!K18&amp;"/"&amp;COUNTIF(共有用1!K$2:K18,共有用1!K18))</f>
        <v/>
      </c>
      <c r="L18" s="17" t="str">
        <f>IF(共有用1!L18="","",共有用1!L18&amp;"/"&amp;COUNTIF(共有用1!L$2:L18,共有用1!L18))</f>
        <v/>
      </c>
      <c r="M18" s="17" t="str">
        <f>IF(共有用1!M18="","",共有用1!M18&amp;"/"&amp;COUNTIF(共有用1!M$2:M18,共有用1!M18))</f>
        <v/>
      </c>
      <c r="N18" s="17" t="str">
        <f>IF(共有用1!N18="","",共有用1!N18&amp;"/"&amp;COUNTIF(共有用1!N$2:N18,共有用1!N18))</f>
        <v/>
      </c>
      <c r="O18" s="17" t="str">
        <f>IF(共有用1!O18="","",共有用1!O18&amp;"/"&amp;COUNTIF(共有用1!O$2:O18,共有用1!O18))</f>
        <v/>
      </c>
      <c r="P18" s="17" t="str">
        <f>IF(共有用1!P18="","",共有用1!P18&amp;"/"&amp;COUNTIF(共有用1!P$2:P18,共有用1!P18))</f>
        <v/>
      </c>
      <c r="Q18" s="17" t="str">
        <f>IF(共有用1!Q18="","",共有用1!Q18&amp;"/"&amp;COUNTIF(共有用1!Q$2:Q18,共有用1!Q18))</f>
        <v/>
      </c>
      <c r="R18" s="17" t="str">
        <f>IF(共有用1!R18="","",共有用1!R18&amp;"/"&amp;COUNTIF(共有用1!R$2:R18,共有用1!R18))</f>
        <v/>
      </c>
      <c r="S18" s="17" t="str">
        <f>IF(共有用1!S18="","",共有用1!S18&amp;"/"&amp;COUNTIF(共有用1!S$2:S18,共有用1!S18))</f>
        <v/>
      </c>
      <c r="T18" s="17" t="str">
        <f>IF(共有用1!T18="","",共有用1!T18&amp;"/"&amp;COUNTIF(共有用1!T$2:T18,共有用1!T18))</f>
        <v/>
      </c>
      <c r="U18" s="17" t="str">
        <f>IF(共有用1!U18="","",共有用1!U18&amp;"/"&amp;COUNTIF(共有用1!U$2:U18,共有用1!U18))</f>
        <v/>
      </c>
      <c r="V18" s="17" t="str">
        <f>IF(共有用1!V18="","",共有用1!V18&amp;"/"&amp;COUNTIF(共有用1!V$2:V18,共有用1!V18))</f>
        <v/>
      </c>
      <c r="W18" s="17" t="str">
        <f>IF(共有用1!W18="","",共有用1!W18&amp;"/"&amp;COUNTIF(共有用1!W$2:W18,共有用1!W18))</f>
        <v/>
      </c>
      <c r="X18" s="17" t="str">
        <f>IF(共有用1!X18="","",共有用1!X18&amp;"/"&amp;COUNTIF(共有用1!X$2:X18,共有用1!X18))</f>
        <v/>
      </c>
      <c r="Y18" s="17" t="str">
        <f>IF(共有用1!Y18="","",共有用1!Y18&amp;"/"&amp;COUNTIF(共有用1!Y$2:Y18,共有用1!Y18))</f>
        <v/>
      </c>
      <c r="Z18" s="17" t="str">
        <f>IF(共有用1!Z18="","",共有用1!Z18&amp;"/"&amp;COUNTIF(共有用1!Z$2:Z18,共有用1!Z18))</f>
        <v/>
      </c>
      <c r="AA18" s="17" t="str">
        <f>IF(共有用1!AA18="","",共有用1!AA18&amp;"/"&amp;COUNTIF(共有用1!AA$2:AA18,共有用1!AA18))</f>
        <v/>
      </c>
      <c r="AB18" s="17" t="str">
        <f>IF(共有用1!AB18="","",共有用1!AB18&amp;"/"&amp;COUNTIF(共有用1!AB$2:AB18,共有用1!AB18))</f>
        <v/>
      </c>
      <c r="AC18" s="17" t="str">
        <f>IF(共有用1!AC18="","",共有用1!AC18&amp;"/"&amp;COUNTIF(共有用1!AC$2:AC18,共有用1!AC18))</f>
        <v/>
      </c>
      <c r="AD18" s="17" t="str">
        <f>IF(共有用1!AD18="","",共有用1!AD18&amp;"/"&amp;COUNTIF(共有用1!AD$2:AD18,共有用1!AD18))</f>
        <v/>
      </c>
      <c r="AE18" s="17" t="str">
        <f>IF(共有用1!AE18="","",共有用1!AE18&amp;"/"&amp;COUNTIF(共有用1!AE$2:AE18,共有用1!AE18))</f>
        <v/>
      </c>
      <c r="AF18" s="17" t="str">
        <f>IF(共有用1!AF18="","",共有用1!AF18&amp;"/"&amp;COUNTIF(共有用1!AF$2:AF18,共有用1!AF18))</f>
        <v/>
      </c>
      <c r="AG18" s="17" t="str">
        <f>IF(共有用1!AG18="","",共有用1!AG18&amp;"/"&amp;COUNTIF(共有用1!AG$2:AG18,共有用1!AG18))</f>
        <v/>
      </c>
      <c r="AH18" s="17" t="str">
        <f>IF(共有用1!AH18="","",共有用1!AH18&amp;"/"&amp;COUNTIF(共有用1!AH$2:AH18,共有用1!AH18))</f>
        <v/>
      </c>
      <c r="AI18" s="17" t="str">
        <f>IF(共有用1!AI18="","",共有用1!AI18&amp;"/"&amp;COUNTIF(共有用1!AI$2:AI18,共有用1!AI18))</f>
        <v/>
      </c>
      <c r="AJ18" s="17" t="str">
        <f>IF(共有用1!AJ18="","",共有用1!AJ18&amp;"/"&amp;COUNTIF(共有用1!AJ$2:AJ18,共有用1!AJ18))</f>
        <v/>
      </c>
      <c r="AK18" s="17" t="str">
        <f>IF(共有用1!AK18="","",共有用1!AK18&amp;"/"&amp;COUNTIF(共有用1!AK$2:AK18,共有用1!AK18))</f>
        <v/>
      </c>
      <c r="AL18" s="17" t="str">
        <f>IF(共有用1!AL18="","",共有用1!AL18&amp;"/"&amp;COUNTIF(共有用1!AL$2:AL18,共有用1!AL18))</f>
        <v/>
      </c>
      <c r="AM18" s="17" t="str">
        <f>IF(共有用1!AM18="","",共有用1!AM18&amp;"/"&amp;COUNTIF(共有用1!AM$2:AM18,共有用1!AM18))</f>
        <v/>
      </c>
      <c r="AN18" s="17" t="str">
        <f>IF(共有用1!AN18="","",共有用1!AN18&amp;"/"&amp;COUNTIF(共有用1!AN$2:AN18,共有用1!AN18))</f>
        <v/>
      </c>
      <c r="AO18" s="17" t="str">
        <f>IF(共有用1!AO18="","",共有用1!AO18&amp;"/"&amp;COUNTIF(共有用1!AO$2:AO18,共有用1!AO18))</f>
        <v/>
      </c>
      <c r="AP18" s="17" t="str">
        <f>IF(共有用1!AP18="","",共有用1!AP18&amp;"/"&amp;COUNTIF(共有用1!AP$2:AP18,共有用1!AP18))</f>
        <v/>
      </c>
      <c r="AQ18" s="17" t="str">
        <f>IF(共有用1!AQ18="","",共有用1!AQ18&amp;"/"&amp;COUNTIF(共有用1!AQ$2:AQ18,共有用1!AQ18))</f>
        <v/>
      </c>
      <c r="AR18" s="17" t="str">
        <f>IF(共有用1!AR18="","",共有用1!AR18&amp;"/"&amp;COUNTIF(共有用1!AR$2:AR18,共有用1!AR18))</f>
        <v/>
      </c>
      <c r="AS18" s="17" t="str">
        <f>IF(共有用1!AS18="","",共有用1!AS18&amp;"/"&amp;COUNTIF(共有用1!AS$2:AS18,共有用1!AS18))</f>
        <v/>
      </c>
      <c r="AT18" s="17" t="str">
        <f>IF(共有用1!AT18="","",共有用1!AT18&amp;"/"&amp;COUNTIF(共有用1!AT$2:AT18,共有用1!AT18))</f>
        <v/>
      </c>
      <c r="AU18" s="17" t="str">
        <f>IF(共有用1!AU18="","",共有用1!AU18&amp;"/"&amp;COUNTIF(共有用1!AU$2:AU18,共有用1!AU18))</f>
        <v/>
      </c>
      <c r="AV18" s="17" t="str">
        <f>IF(共有用1!AV18="","",共有用1!AV18&amp;"/"&amp;COUNTIF(共有用1!AV$2:AV18,共有用1!AV18))</f>
        <v/>
      </c>
      <c r="AW18" s="17" t="str">
        <f>IF(共有用1!AW18="","",共有用1!AW18&amp;"/"&amp;COUNTIF(共有用1!AW$2:AW18,共有用1!AW18))</f>
        <v/>
      </c>
      <c r="AX18" s="17" t="str">
        <f>IF(共有用1!AX18="","",共有用1!AX18&amp;"/"&amp;COUNTIF(共有用1!AX$2:AX18,共有用1!AX18))</f>
        <v/>
      </c>
      <c r="AY18" s="17" t="str">
        <f>IF(共有用1!AY18="","",共有用1!AY18&amp;"/"&amp;COUNTIF(共有用1!AY$2:AY18,共有用1!AY18))</f>
        <v/>
      </c>
      <c r="AZ18" s="17" t="str">
        <f>IF(共有用1!AZ18="","",共有用1!AZ18&amp;"/"&amp;COUNTIF(共有用1!AZ$2:AZ18,共有用1!AZ18))</f>
        <v/>
      </c>
      <c r="BA18" s="17" t="str">
        <f>IF(共有用1!BA18="","",共有用1!BA18&amp;"/"&amp;COUNTIF(共有用1!BA$2:BA18,共有用1!BA18))</f>
        <v/>
      </c>
    </row>
    <row r="19" spans="1:53">
      <c r="A19" s="2" t="str">
        <f>共有用1!A19</f>
        <v/>
      </c>
      <c r="B19" s="2" t="str">
        <f>共有用1!B19</f>
        <v/>
      </c>
      <c r="C19" s="2" t="str">
        <f>共有用1!C19</f>
        <v/>
      </c>
      <c r="D19" s="17" t="str">
        <f>IF(共有用1!D19="","",共有用1!D19&amp;"/"&amp;COUNTIF(共有用1!D$2:D19,共有用1!D19))</f>
        <v/>
      </c>
      <c r="E19" s="17" t="str">
        <f>IF(共有用1!E19="","",共有用1!E19&amp;"/"&amp;COUNTIF(共有用1!E$2:E19,共有用1!E19))</f>
        <v/>
      </c>
      <c r="F19" s="17" t="str">
        <f>IF(共有用1!F19="","",共有用1!F19&amp;"/"&amp;COUNTIF(共有用1!F$2:F19,共有用1!F19))</f>
        <v/>
      </c>
      <c r="G19" s="17" t="str">
        <f>IF(共有用1!G19="","",共有用1!G19&amp;"/"&amp;COUNTIF(共有用1!G$2:G19,共有用1!G19))</f>
        <v/>
      </c>
      <c r="H19" s="17" t="str">
        <f>IF(共有用1!H19="","",共有用1!H19&amp;"/"&amp;COUNTIF(共有用1!H$2:H19,共有用1!H19))</f>
        <v/>
      </c>
      <c r="I19" s="17" t="str">
        <f>IF(共有用1!I19="","",共有用1!I19&amp;"/"&amp;COUNTIF(共有用1!I$2:I19,共有用1!I19))</f>
        <v/>
      </c>
      <c r="J19" s="17" t="str">
        <f>IF(共有用1!J19="","",共有用1!J19&amp;"/"&amp;COUNTIF(共有用1!J$2:J19,共有用1!J19))</f>
        <v/>
      </c>
      <c r="K19" s="17" t="str">
        <f>IF(共有用1!K19="","",共有用1!K19&amp;"/"&amp;COUNTIF(共有用1!K$2:K19,共有用1!K19))</f>
        <v/>
      </c>
      <c r="L19" s="17" t="str">
        <f>IF(共有用1!L19="","",共有用1!L19&amp;"/"&amp;COUNTIF(共有用1!L$2:L19,共有用1!L19))</f>
        <v/>
      </c>
      <c r="M19" s="17" t="str">
        <f>IF(共有用1!M19="","",共有用1!M19&amp;"/"&amp;COUNTIF(共有用1!M$2:M19,共有用1!M19))</f>
        <v/>
      </c>
      <c r="N19" s="17" t="str">
        <f>IF(共有用1!N19="","",共有用1!N19&amp;"/"&amp;COUNTIF(共有用1!N$2:N19,共有用1!N19))</f>
        <v/>
      </c>
      <c r="O19" s="17" t="str">
        <f>IF(共有用1!O19="","",共有用1!O19&amp;"/"&amp;COUNTIF(共有用1!O$2:O19,共有用1!O19))</f>
        <v/>
      </c>
      <c r="P19" s="17" t="str">
        <f>IF(共有用1!P19="","",共有用1!P19&amp;"/"&amp;COUNTIF(共有用1!P$2:P19,共有用1!P19))</f>
        <v/>
      </c>
      <c r="Q19" s="17" t="str">
        <f>IF(共有用1!Q19="","",共有用1!Q19&amp;"/"&amp;COUNTIF(共有用1!Q$2:Q19,共有用1!Q19))</f>
        <v/>
      </c>
      <c r="R19" s="17" t="str">
        <f>IF(共有用1!R19="","",共有用1!R19&amp;"/"&amp;COUNTIF(共有用1!R$2:R19,共有用1!R19))</f>
        <v/>
      </c>
      <c r="S19" s="17" t="str">
        <f>IF(共有用1!S19="","",共有用1!S19&amp;"/"&amp;COUNTIF(共有用1!S$2:S19,共有用1!S19))</f>
        <v/>
      </c>
      <c r="T19" s="17" t="str">
        <f>IF(共有用1!T19="","",共有用1!T19&amp;"/"&amp;COUNTIF(共有用1!T$2:T19,共有用1!T19))</f>
        <v/>
      </c>
      <c r="U19" s="17" t="str">
        <f>IF(共有用1!U19="","",共有用1!U19&amp;"/"&amp;COUNTIF(共有用1!U$2:U19,共有用1!U19))</f>
        <v/>
      </c>
      <c r="V19" s="17" t="str">
        <f>IF(共有用1!V19="","",共有用1!V19&amp;"/"&amp;COUNTIF(共有用1!V$2:V19,共有用1!V19))</f>
        <v/>
      </c>
      <c r="W19" s="17" t="str">
        <f>IF(共有用1!W19="","",共有用1!W19&amp;"/"&amp;COUNTIF(共有用1!W$2:W19,共有用1!W19))</f>
        <v/>
      </c>
      <c r="X19" s="17" t="str">
        <f>IF(共有用1!X19="","",共有用1!X19&amp;"/"&amp;COUNTIF(共有用1!X$2:X19,共有用1!X19))</f>
        <v/>
      </c>
      <c r="Y19" s="17" t="str">
        <f>IF(共有用1!Y19="","",共有用1!Y19&amp;"/"&amp;COUNTIF(共有用1!Y$2:Y19,共有用1!Y19))</f>
        <v/>
      </c>
      <c r="Z19" s="17" t="str">
        <f>IF(共有用1!Z19="","",共有用1!Z19&amp;"/"&amp;COUNTIF(共有用1!Z$2:Z19,共有用1!Z19))</f>
        <v/>
      </c>
      <c r="AA19" s="17" t="str">
        <f>IF(共有用1!AA19="","",共有用1!AA19&amp;"/"&amp;COUNTIF(共有用1!AA$2:AA19,共有用1!AA19))</f>
        <v/>
      </c>
      <c r="AB19" s="17" t="str">
        <f>IF(共有用1!AB19="","",共有用1!AB19&amp;"/"&amp;COUNTIF(共有用1!AB$2:AB19,共有用1!AB19))</f>
        <v/>
      </c>
      <c r="AC19" s="17" t="str">
        <f>IF(共有用1!AC19="","",共有用1!AC19&amp;"/"&amp;COUNTIF(共有用1!AC$2:AC19,共有用1!AC19))</f>
        <v/>
      </c>
      <c r="AD19" s="17" t="str">
        <f>IF(共有用1!AD19="","",共有用1!AD19&amp;"/"&amp;COUNTIF(共有用1!AD$2:AD19,共有用1!AD19))</f>
        <v/>
      </c>
      <c r="AE19" s="17" t="str">
        <f>IF(共有用1!AE19="","",共有用1!AE19&amp;"/"&amp;COUNTIF(共有用1!AE$2:AE19,共有用1!AE19))</f>
        <v/>
      </c>
      <c r="AF19" s="17" t="str">
        <f>IF(共有用1!AF19="","",共有用1!AF19&amp;"/"&amp;COUNTIF(共有用1!AF$2:AF19,共有用1!AF19))</f>
        <v/>
      </c>
      <c r="AG19" s="17" t="str">
        <f>IF(共有用1!AG19="","",共有用1!AG19&amp;"/"&amp;COUNTIF(共有用1!AG$2:AG19,共有用1!AG19))</f>
        <v/>
      </c>
      <c r="AH19" s="17" t="str">
        <f>IF(共有用1!AH19="","",共有用1!AH19&amp;"/"&amp;COUNTIF(共有用1!AH$2:AH19,共有用1!AH19))</f>
        <v/>
      </c>
      <c r="AI19" s="17" t="str">
        <f>IF(共有用1!AI19="","",共有用1!AI19&amp;"/"&amp;COUNTIF(共有用1!AI$2:AI19,共有用1!AI19))</f>
        <v/>
      </c>
      <c r="AJ19" s="17" t="str">
        <f>IF(共有用1!AJ19="","",共有用1!AJ19&amp;"/"&amp;COUNTIF(共有用1!AJ$2:AJ19,共有用1!AJ19))</f>
        <v/>
      </c>
      <c r="AK19" s="17" t="str">
        <f>IF(共有用1!AK19="","",共有用1!AK19&amp;"/"&amp;COUNTIF(共有用1!AK$2:AK19,共有用1!AK19))</f>
        <v/>
      </c>
      <c r="AL19" s="17" t="str">
        <f>IF(共有用1!AL19="","",共有用1!AL19&amp;"/"&amp;COUNTIF(共有用1!AL$2:AL19,共有用1!AL19))</f>
        <v/>
      </c>
      <c r="AM19" s="17" t="str">
        <f>IF(共有用1!AM19="","",共有用1!AM19&amp;"/"&amp;COUNTIF(共有用1!AM$2:AM19,共有用1!AM19))</f>
        <v/>
      </c>
      <c r="AN19" s="17" t="str">
        <f>IF(共有用1!AN19="","",共有用1!AN19&amp;"/"&amp;COUNTIF(共有用1!AN$2:AN19,共有用1!AN19))</f>
        <v/>
      </c>
      <c r="AO19" s="17" t="str">
        <f>IF(共有用1!AO19="","",共有用1!AO19&amp;"/"&amp;COUNTIF(共有用1!AO$2:AO19,共有用1!AO19))</f>
        <v/>
      </c>
      <c r="AP19" s="17" t="str">
        <f>IF(共有用1!AP19="","",共有用1!AP19&amp;"/"&amp;COUNTIF(共有用1!AP$2:AP19,共有用1!AP19))</f>
        <v/>
      </c>
      <c r="AQ19" s="17" t="str">
        <f>IF(共有用1!AQ19="","",共有用1!AQ19&amp;"/"&amp;COUNTIF(共有用1!AQ$2:AQ19,共有用1!AQ19))</f>
        <v/>
      </c>
      <c r="AR19" s="17" t="str">
        <f>IF(共有用1!AR19="","",共有用1!AR19&amp;"/"&amp;COUNTIF(共有用1!AR$2:AR19,共有用1!AR19))</f>
        <v/>
      </c>
      <c r="AS19" s="17" t="str">
        <f>IF(共有用1!AS19="","",共有用1!AS19&amp;"/"&amp;COUNTIF(共有用1!AS$2:AS19,共有用1!AS19))</f>
        <v/>
      </c>
      <c r="AT19" s="17" t="str">
        <f>IF(共有用1!AT19="","",共有用1!AT19&amp;"/"&amp;COUNTIF(共有用1!AT$2:AT19,共有用1!AT19))</f>
        <v/>
      </c>
      <c r="AU19" s="17" t="str">
        <f>IF(共有用1!AU19="","",共有用1!AU19&amp;"/"&amp;COUNTIF(共有用1!AU$2:AU19,共有用1!AU19))</f>
        <v/>
      </c>
      <c r="AV19" s="17" t="str">
        <f>IF(共有用1!AV19="","",共有用1!AV19&amp;"/"&amp;COUNTIF(共有用1!AV$2:AV19,共有用1!AV19))</f>
        <v/>
      </c>
      <c r="AW19" s="17" t="str">
        <f>IF(共有用1!AW19="","",共有用1!AW19&amp;"/"&amp;COUNTIF(共有用1!AW$2:AW19,共有用1!AW19))</f>
        <v/>
      </c>
      <c r="AX19" s="17" t="str">
        <f>IF(共有用1!AX19="","",共有用1!AX19&amp;"/"&amp;COUNTIF(共有用1!AX$2:AX19,共有用1!AX19))</f>
        <v/>
      </c>
      <c r="AY19" s="17" t="str">
        <f>IF(共有用1!AY19="","",共有用1!AY19&amp;"/"&amp;COUNTIF(共有用1!AY$2:AY19,共有用1!AY19))</f>
        <v/>
      </c>
      <c r="AZ19" s="17" t="str">
        <f>IF(共有用1!AZ19="","",共有用1!AZ19&amp;"/"&amp;COUNTIF(共有用1!AZ$2:AZ19,共有用1!AZ19))</f>
        <v/>
      </c>
      <c r="BA19" s="17" t="str">
        <f>IF(共有用1!BA19="","",共有用1!BA19&amp;"/"&amp;COUNTIF(共有用1!BA$2:BA19,共有用1!BA19))</f>
        <v/>
      </c>
    </row>
    <row r="20" spans="1:53">
      <c r="A20" s="2" t="str">
        <f>共有用1!A20</f>
        <v/>
      </c>
      <c r="B20" s="2" t="str">
        <f>共有用1!B20</f>
        <v/>
      </c>
      <c r="C20" s="2" t="str">
        <f>共有用1!C20</f>
        <v/>
      </c>
      <c r="D20" s="17" t="str">
        <f>IF(共有用1!D20="","",共有用1!D20&amp;"/"&amp;COUNTIF(共有用1!D$2:D20,共有用1!D20))</f>
        <v/>
      </c>
      <c r="E20" s="17" t="str">
        <f>IF(共有用1!E20="","",共有用1!E20&amp;"/"&amp;COUNTIF(共有用1!E$2:E20,共有用1!E20))</f>
        <v/>
      </c>
      <c r="F20" s="17" t="str">
        <f>IF(共有用1!F20="","",共有用1!F20&amp;"/"&amp;COUNTIF(共有用1!F$2:F20,共有用1!F20))</f>
        <v/>
      </c>
      <c r="G20" s="17" t="str">
        <f>IF(共有用1!G20="","",共有用1!G20&amp;"/"&amp;COUNTIF(共有用1!G$2:G20,共有用1!G20))</f>
        <v/>
      </c>
      <c r="H20" s="17" t="str">
        <f>IF(共有用1!H20="","",共有用1!H20&amp;"/"&amp;COUNTIF(共有用1!H$2:H20,共有用1!H20))</f>
        <v/>
      </c>
      <c r="I20" s="17" t="str">
        <f>IF(共有用1!I20="","",共有用1!I20&amp;"/"&amp;COUNTIF(共有用1!I$2:I20,共有用1!I20))</f>
        <v/>
      </c>
      <c r="J20" s="17" t="str">
        <f>IF(共有用1!J20="","",共有用1!J20&amp;"/"&amp;COUNTIF(共有用1!J$2:J20,共有用1!J20))</f>
        <v/>
      </c>
      <c r="K20" s="17" t="str">
        <f>IF(共有用1!K20="","",共有用1!K20&amp;"/"&amp;COUNTIF(共有用1!K$2:K20,共有用1!K20))</f>
        <v/>
      </c>
      <c r="L20" s="17" t="str">
        <f>IF(共有用1!L20="","",共有用1!L20&amp;"/"&amp;COUNTIF(共有用1!L$2:L20,共有用1!L20))</f>
        <v/>
      </c>
      <c r="M20" s="17" t="str">
        <f>IF(共有用1!M20="","",共有用1!M20&amp;"/"&amp;COUNTIF(共有用1!M$2:M20,共有用1!M20))</f>
        <v/>
      </c>
      <c r="N20" s="17" t="str">
        <f>IF(共有用1!N20="","",共有用1!N20&amp;"/"&amp;COUNTIF(共有用1!N$2:N20,共有用1!N20))</f>
        <v/>
      </c>
      <c r="O20" s="17" t="str">
        <f>IF(共有用1!O20="","",共有用1!O20&amp;"/"&amp;COUNTIF(共有用1!O$2:O20,共有用1!O20))</f>
        <v/>
      </c>
      <c r="P20" s="17" t="str">
        <f>IF(共有用1!P20="","",共有用1!P20&amp;"/"&amp;COUNTIF(共有用1!P$2:P20,共有用1!P20))</f>
        <v/>
      </c>
      <c r="Q20" s="17" t="str">
        <f>IF(共有用1!Q20="","",共有用1!Q20&amp;"/"&amp;COUNTIF(共有用1!Q$2:Q20,共有用1!Q20))</f>
        <v/>
      </c>
      <c r="R20" s="17" t="str">
        <f>IF(共有用1!R20="","",共有用1!R20&amp;"/"&amp;COUNTIF(共有用1!R$2:R20,共有用1!R20))</f>
        <v/>
      </c>
      <c r="S20" s="17" t="str">
        <f>IF(共有用1!S20="","",共有用1!S20&amp;"/"&amp;COUNTIF(共有用1!S$2:S20,共有用1!S20))</f>
        <v/>
      </c>
      <c r="T20" s="17" t="str">
        <f>IF(共有用1!T20="","",共有用1!T20&amp;"/"&amp;COUNTIF(共有用1!T$2:T20,共有用1!T20))</f>
        <v/>
      </c>
      <c r="U20" s="17" t="str">
        <f>IF(共有用1!U20="","",共有用1!U20&amp;"/"&amp;COUNTIF(共有用1!U$2:U20,共有用1!U20))</f>
        <v/>
      </c>
      <c r="V20" s="17" t="str">
        <f>IF(共有用1!V20="","",共有用1!V20&amp;"/"&amp;COUNTIF(共有用1!V$2:V20,共有用1!V20))</f>
        <v/>
      </c>
      <c r="W20" s="17" t="str">
        <f>IF(共有用1!W20="","",共有用1!W20&amp;"/"&amp;COUNTIF(共有用1!W$2:W20,共有用1!W20))</f>
        <v/>
      </c>
      <c r="X20" s="17" t="str">
        <f>IF(共有用1!X20="","",共有用1!X20&amp;"/"&amp;COUNTIF(共有用1!X$2:X20,共有用1!X20))</f>
        <v/>
      </c>
      <c r="Y20" s="17" t="str">
        <f>IF(共有用1!Y20="","",共有用1!Y20&amp;"/"&amp;COUNTIF(共有用1!Y$2:Y20,共有用1!Y20))</f>
        <v/>
      </c>
      <c r="Z20" s="17" t="str">
        <f>IF(共有用1!Z20="","",共有用1!Z20&amp;"/"&amp;COUNTIF(共有用1!Z$2:Z20,共有用1!Z20))</f>
        <v/>
      </c>
      <c r="AA20" s="17" t="str">
        <f>IF(共有用1!AA20="","",共有用1!AA20&amp;"/"&amp;COUNTIF(共有用1!AA$2:AA20,共有用1!AA20))</f>
        <v/>
      </c>
      <c r="AB20" s="17" t="str">
        <f>IF(共有用1!AB20="","",共有用1!AB20&amp;"/"&amp;COUNTIF(共有用1!AB$2:AB20,共有用1!AB20))</f>
        <v/>
      </c>
      <c r="AC20" s="17" t="str">
        <f>IF(共有用1!AC20="","",共有用1!AC20&amp;"/"&amp;COUNTIF(共有用1!AC$2:AC20,共有用1!AC20))</f>
        <v/>
      </c>
      <c r="AD20" s="17" t="str">
        <f>IF(共有用1!AD20="","",共有用1!AD20&amp;"/"&amp;COUNTIF(共有用1!AD$2:AD20,共有用1!AD20))</f>
        <v/>
      </c>
      <c r="AE20" s="17" t="str">
        <f>IF(共有用1!AE20="","",共有用1!AE20&amp;"/"&amp;COUNTIF(共有用1!AE$2:AE20,共有用1!AE20))</f>
        <v/>
      </c>
      <c r="AF20" s="17" t="str">
        <f>IF(共有用1!AF20="","",共有用1!AF20&amp;"/"&amp;COUNTIF(共有用1!AF$2:AF20,共有用1!AF20))</f>
        <v/>
      </c>
      <c r="AG20" s="17" t="str">
        <f>IF(共有用1!AG20="","",共有用1!AG20&amp;"/"&amp;COUNTIF(共有用1!AG$2:AG20,共有用1!AG20))</f>
        <v/>
      </c>
      <c r="AH20" s="17" t="str">
        <f>IF(共有用1!AH20="","",共有用1!AH20&amp;"/"&amp;COUNTIF(共有用1!AH$2:AH20,共有用1!AH20))</f>
        <v/>
      </c>
      <c r="AI20" s="17" t="str">
        <f>IF(共有用1!AI20="","",共有用1!AI20&amp;"/"&amp;COUNTIF(共有用1!AI$2:AI20,共有用1!AI20))</f>
        <v/>
      </c>
      <c r="AJ20" s="17" t="str">
        <f>IF(共有用1!AJ20="","",共有用1!AJ20&amp;"/"&amp;COUNTIF(共有用1!AJ$2:AJ20,共有用1!AJ20))</f>
        <v/>
      </c>
      <c r="AK20" s="17" t="str">
        <f>IF(共有用1!AK20="","",共有用1!AK20&amp;"/"&amp;COUNTIF(共有用1!AK$2:AK20,共有用1!AK20))</f>
        <v/>
      </c>
      <c r="AL20" s="17" t="str">
        <f>IF(共有用1!AL20="","",共有用1!AL20&amp;"/"&amp;COUNTIF(共有用1!AL$2:AL20,共有用1!AL20))</f>
        <v/>
      </c>
      <c r="AM20" s="17" t="str">
        <f>IF(共有用1!AM20="","",共有用1!AM20&amp;"/"&amp;COUNTIF(共有用1!AM$2:AM20,共有用1!AM20))</f>
        <v/>
      </c>
      <c r="AN20" s="17" t="str">
        <f>IF(共有用1!AN20="","",共有用1!AN20&amp;"/"&amp;COUNTIF(共有用1!AN$2:AN20,共有用1!AN20))</f>
        <v/>
      </c>
      <c r="AO20" s="17" t="str">
        <f>IF(共有用1!AO20="","",共有用1!AO20&amp;"/"&amp;COUNTIF(共有用1!AO$2:AO20,共有用1!AO20))</f>
        <v/>
      </c>
      <c r="AP20" s="17" t="str">
        <f>IF(共有用1!AP20="","",共有用1!AP20&amp;"/"&amp;COUNTIF(共有用1!AP$2:AP20,共有用1!AP20))</f>
        <v/>
      </c>
      <c r="AQ20" s="17" t="str">
        <f>IF(共有用1!AQ20="","",共有用1!AQ20&amp;"/"&amp;COUNTIF(共有用1!AQ$2:AQ20,共有用1!AQ20))</f>
        <v/>
      </c>
      <c r="AR20" s="17" t="str">
        <f>IF(共有用1!AR20="","",共有用1!AR20&amp;"/"&amp;COUNTIF(共有用1!AR$2:AR20,共有用1!AR20))</f>
        <v/>
      </c>
      <c r="AS20" s="17" t="str">
        <f>IF(共有用1!AS20="","",共有用1!AS20&amp;"/"&amp;COUNTIF(共有用1!AS$2:AS20,共有用1!AS20))</f>
        <v/>
      </c>
      <c r="AT20" s="17" t="str">
        <f>IF(共有用1!AT20="","",共有用1!AT20&amp;"/"&amp;COUNTIF(共有用1!AT$2:AT20,共有用1!AT20))</f>
        <v/>
      </c>
      <c r="AU20" s="17" t="str">
        <f>IF(共有用1!AU20="","",共有用1!AU20&amp;"/"&amp;COUNTIF(共有用1!AU$2:AU20,共有用1!AU20))</f>
        <v/>
      </c>
      <c r="AV20" s="17" t="str">
        <f>IF(共有用1!AV20="","",共有用1!AV20&amp;"/"&amp;COUNTIF(共有用1!AV$2:AV20,共有用1!AV20))</f>
        <v/>
      </c>
      <c r="AW20" s="17" t="str">
        <f>IF(共有用1!AW20="","",共有用1!AW20&amp;"/"&amp;COUNTIF(共有用1!AW$2:AW20,共有用1!AW20))</f>
        <v/>
      </c>
      <c r="AX20" s="17" t="str">
        <f>IF(共有用1!AX20="","",共有用1!AX20&amp;"/"&amp;COUNTIF(共有用1!AX$2:AX20,共有用1!AX20))</f>
        <v/>
      </c>
      <c r="AY20" s="17" t="str">
        <f>IF(共有用1!AY20="","",共有用1!AY20&amp;"/"&amp;COUNTIF(共有用1!AY$2:AY20,共有用1!AY20))</f>
        <v/>
      </c>
      <c r="AZ20" s="17" t="str">
        <f>IF(共有用1!AZ20="","",共有用1!AZ20&amp;"/"&amp;COUNTIF(共有用1!AZ$2:AZ20,共有用1!AZ20))</f>
        <v/>
      </c>
      <c r="BA20" s="17" t="str">
        <f>IF(共有用1!BA20="","",共有用1!BA20&amp;"/"&amp;COUNTIF(共有用1!BA$2:BA20,共有用1!BA20))</f>
        <v/>
      </c>
    </row>
    <row r="21" spans="1:53">
      <c r="A21" s="2" t="str">
        <f>共有用1!A21</f>
        <v/>
      </c>
      <c r="B21" s="2" t="str">
        <f>共有用1!B21</f>
        <v/>
      </c>
      <c r="C21" s="2" t="str">
        <f>共有用1!C21</f>
        <v/>
      </c>
      <c r="D21" s="17" t="str">
        <f>IF(共有用1!D21="","",共有用1!D21&amp;"/"&amp;COUNTIF(共有用1!D$2:D21,共有用1!D21))</f>
        <v/>
      </c>
      <c r="E21" s="17" t="str">
        <f>IF(共有用1!E21="","",共有用1!E21&amp;"/"&amp;COUNTIF(共有用1!E$2:E21,共有用1!E21))</f>
        <v/>
      </c>
      <c r="F21" s="17" t="str">
        <f>IF(共有用1!F21="","",共有用1!F21&amp;"/"&amp;COUNTIF(共有用1!F$2:F21,共有用1!F21))</f>
        <v/>
      </c>
      <c r="G21" s="17" t="str">
        <f>IF(共有用1!G21="","",共有用1!G21&amp;"/"&amp;COUNTIF(共有用1!G$2:G21,共有用1!G21))</f>
        <v/>
      </c>
      <c r="H21" s="17" t="str">
        <f>IF(共有用1!H21="","",共有用1!H21&amp;"/"&amp;COUNTIF(共有用1!H$2:H21,共有用1!H21))</f>
        <v/>
      </c>
      <c r="I21" s="17" t="str">
        <f>IF(共有用1!I21="","",共有用1!I21&amp;"/"&amp;COUNTIF(共有用1!I$2:I21,共有用1!I21))</f>
        <v/>
      </c>
      <c r="J21" s="17" t="str">
        <f>IF(共有用1!J21="","",共有用1!J21&amp;"/"&amp;COUNTIF(共有用1!J$2:J21,共有用1!J21))</f>
        <v/>
      </c>
      <c r="K21" s="17" t="str">
        <f>IF(共有用1!K21="","",共有用1!K21&amp;"/"&amp;COUNTIF(共有用1!K$2:K21,共有用1!K21))</f>
        <v/>
      </c>
      <c r="L21" s="17" t="str">
        <f>IF(共有用1!L21="","",共有用1!L21&amp;"/"&amp;COUNTIF(共有用1!L$2:L21,共有用1!L21))</f>
        <v/>
      </c>
      <c r="M21" s="17" t="str">
        <f>IF(共有用1!M21="","",共有用1!M21&amp;"/"&amp;COUNTIF(共有用1!M$2:M21,共有用1!M21))</f>
        <v/>
      </c>
      <c r="N21" s="17" t="str">
        <f>IF(共有用1!N21="","",共有用1!N21&amp;"/"&amp;COUNTIF(共有用1!N$2:N21,共有用1!N21))</f>
        <v/>
      </c>
      <c r="O21" s="17" t="str">
        <f>IF(共有用1!O21="","",共有用1!O21&amp;"/"&amp;COUNTIF(共有用1!O$2:O21,共有用1!O21))</f>
        <v/>
      </c>
      <c r="P21" s="17" t="str">
        <f>IF(共有用1!P21="","",共有用1!P21&amp;"/"&amp;COUNTIF(共有用1!P$2:P21,共有用1!P21))</f>
        <v/>
      </c>
      <c r="Q21" s="17" t="str">
        <f>IF(共有用1!Q21="","",共有用1!Q21&amp;"/"&amp;COUNTIF(共有用1!Q$2:Q21,共有用1!Q21))</f>
        <v/>
      </c>
      <c r="R21" s="17" t="str">
        <f>IF(共有用1!R21="","",共有用1!R21&amp;"/"&amp;COUNTIF(共有用1!R$2:R21,共有用1!R21))</f>
        <v/>
      </c>
      <c r="S21" s="17" t="str">
        <f>IF(共有用1!S21="","",共有用1!S21&amp;"/"&amp;COUNTIF(共有用1!S$2:S21,共有用1!S21))</f>
        <v/>
      </c>
      <c r="T21" s="17" t="str">
        <f>IF(共有用1!T21="","",共有用1!T21&amp;"/"&amp;COUNTIF(共有用1!T$2:T21,共有用1!T21))</f>
        <v/>
      </c>
      <c r="U21" s="17" t="str">
        <f>IF(共有用1!U21="","",共有用1!U21&amp;"/"&amp;COUNTIF(共有用1!U$2:U21,共有用1!U21))</f>
        <v/>
      </c>
      <c r="V21" s="17" t="str">
        <f>IF(共有用1!V21="","",共有用1!V21&amp;"/"&amp;COUNTIF(共有用1!V$2:V21,共有用1!V21))</f>
        <v/>
      </c>
      <c r="W21" s="17" t="str">
        <f>IF(共有用1!W21="","",共有用1!W21&amp;"/"&amp;COUNTIF(共有用1!W$2:W21,共有用1!W21))</f>
        <v/>
      </c>
      <c r="X21" s="17" t="str">
        <f>IF(共有用1!X21="","",共有用1!X21&amp;"/"&amp;COUNTIF(共有用1!X$2:X21,共有用1!X21))</f>
        <v/>
      </c>
      <c r="Y21" s="17" t="str">
        <f>IF(共有用1!Y21="","",共有用1!Y21&amp;"/"&amp;COUNTIF(共有用1!Y$2:Y21,共有用1!Y21))</f>
        <v/>
      </c>
      <c r="Z21" s="17" t="str">
        <f>IF(共有用1!Z21="","",共有用1!Z21&amp;"/"&amp;COUNTIF(共有用1!Z$2:Z21,共有用1!Z21))</f>
        <v/>
      </c>
      <c r="AA21" s="17" t="str">
        <f>IF(共有用1!AA21="","",共有用1!AA21&amp;"/"&amp;COUNTIF(共有用1!AA$2:AA21,共有用1!AA21))</f>
        <v/>
      </c>
      <c r="AB21" s="17" t="str">
        <f>IF(共有用1!AB21="","",共有用1!AB21&amp;"/"&amp;COUNTIF(共有用1!AB$2:AB21,共有用1!AB21))</f>
        <v/>
      </c>
      <c r="AC21" s="17" t="str">
        <f>IF(共有用1!AC21="","",共有用1!AC21&amp;"/"&amp;COUNTIF(共有用1!AC$2:AC21,共有用1!AC21))</f>
        <v/>
      </c>
      <c r="AD21" s="17" t="str">
        <f>IF(共有用1!AD21="","",共有用1!AD21&amp;"/"&amp;COUNTIF(共有用1!AD$2:AD21,共有用1!AD21))</f>
        <v/>
      </c>
      <c r="AE21" s="17" t="str">
        <f>IF(共有用1!AE21="","",共有用1!AE21&amp;"/"&amp;COUNTIF(共有用1!AE$2:AE21,共有用1!AE21))</f>
        <v/>
      </c>
      <c r="AF21" s="17" t="str">
        <f>IF(共有用1!AF21="","",共有用1!AF21&amp;"/"&amp;COUNTIF(共有用1!AF$2:AF21,共有用1!AF21))</f>
        <v/>
      </c>
      <c r="AG21" s="17" t="str">
        <f>IF(共有用1!AG21="","",共有用1!AG21&amp;"/"&amp;COUNTIF(共有用1!AG$2:AG21,共有用1!AG21))</f>
        <v/>
      </c>
      <c r="AH21" s="17" t="str">
        <f>IF(共有用1!AH21="","",共有用1!AH21&amp;"/"&amp;COUNTIF(共有用1!AH$2:AH21,共有用1!AH21))</f>
        <v/>
      </c>
      <c r="AI21" s="17" t="str">
        <f>IF(共有用1!AI21="","",共有用1!AI21&amp;"/"&amp;COUNTIF(共有用1!AI$2:AI21,共有用1!AI21))</f>
        <v/>
      </c>
      <c r="AJ21" s="17" t="str">
        <f>IF(共有用1!AJ21="","",共有用1!AJ21&amp;"/"&amp;COUNTIF(共有用1!AJ$2:AJ21,共有用1!AJ21))</f>
        <v/>
      </c>
      <c r="AK21" s="17" t="str">
        <f>IF(共有用1!AK21="","",共有用1!AK21&amp;"/"&amp;COUNTIF(共有用1!AK$2:AK21,共有用1!AK21))</f>
        <v/>
      </c>
      <c r="AL21" s="17" t="str">
        <f>IF(共有用1!AL21="","",共有用1!AL21&amp;"/"&amp;COUNTIF(共有用1!AL$2:AL21,共有用1!AL21))</f>
        <v/>
      </c>
      <c r="AM21" s="17" t="str">
        <f>IF(共有用1!AM21="","",共有用1!AM21&amp;"/"&amp;COUNTIF(共有用1!AM$2:AM21,共有用1!AM21))</f>
        <v/>
      </c>
      <c r="AN21" s="17" t="str">
        <f>IF(共有用1!AN21="","",共有用1!AN21&amp;"/"&amp;COUNTIF(共有用1!AN$2:AN21,共有用1!AN21))</f>
        <v/>
      </c>
      <c r="AO21" s="17" t="str">
        <f>IF(共有用1!AO21="","",共有用1!AO21&amp;"/"&amp;COUNTIF(共有用1!AO$2:AO21,共有用1!AO21))</f>
        <v/>
      </c>
      <c r="AP21" s="17" t="str">
        <f>IF(共有用1!AP21="","",共有用1!AP21&amp;"/"&amp;COUNTIF(共有用1!AP$2:AP21,共有用1!AP21))</f>
        <v/>
      </c>
      <c r="AQ21" s="17" t="str">
        <f>IF(共有用1!AQ21="","",共有用1!AQ21&amp;"/"&amp;COUNTIF(共有用1!AQ$2:AQ21,共有用1!AQ21))</f>
        <v/>
      </c>
      <c r="AR21" s="17" t="str">
        <f>IF(共有用1!AR21="","",共有用1!AR21&amp;"/"&amp;COUNTIF(共有用1!AR$2:AR21,共有用1!AR21))</f>
        <v/>
      </c>
      <c r="AS21" s="17" t="str">
        <f>IF(共有用1!AS21="","",共有用1!AS21&amp;"/"&amp;COUNTIF(共有用1!AS$2:AS21,共有用1!AS21))</f>
        <v/>
      </c>
      <c r="AT21" s="17" t="str">
        <f>IF(共有用1!AT21="","",共有用1!AT21&amp;"/"&amp;COUNTIF(共有用1!AT$2:AT21,共有用1!AT21))</f>
        <v/>
      </c>
      <c r="AU21" s="17" t="str">
        <f>IF(共有用1!AU21="","",共有用1!AU21&amp;"/"&amp;COUNTIF(共有用1!AU$2:AU21,共有用1!AU21))</f>
        <v/>
      </c>
      <c r="AV21" s="17" t="str">
        <f>IF(共有用1!AV21="","",共有用1!AV21&amp;"/"&amp;COUNTIF(共有用1!AV$2:AV21,共有用1!AV21))</f>
        <v/>
      </c>
      <c r="AW21" s="17" t="str">
        <f>IF(共有用1!AW21="","",共有用1!AW21&amp;"/"&amp;COUNTIF(共有用1!AW$2:AW21,共有用1!AW21))</f>
        <v/>
      </c>
      <c r="AX21" s="17" t="str">
        <f>IF(共有用1!AX21="","",共有用1!AX21&amp;"/"&amp;COUNTIF(共有用1!AX$2:AX21,共有用1!AX21))</f>
        <v/>
      </c>
      <c r="AY21" s="17" t="str">
        <f>IF(共有用1!AY21="","",共有用1!AY21&amp;"/"&amp;COUNTIF(共有用1!AY$2:AY21,共有用1!AY21))</f>
        <v/>
      </c>
      <c r="AZ21" s="17" t="str">
        <f>IF(共有用1!AZ21="","",共有用1!AZ21&amp;"/"&amp;COUNTIF(共有用1!AZ$2:AZ21,共有用1!AZ21))</f>
        <v/>
      </c>
      <c r="BA21" s="17" t="str">
        <f>IF(共有用1!BA21="","",共有用1!BA21&amp;"/"&amp;COUNTIF(共有用1!BA$2:BA21,共有用1!BA21))</f>
        <v/>
      </c>
    </row>
    <row r="22" spans="1:53">
      <c r="A22" s="2" t="str">
        <f>共有用1!A22</f>
        <v/>
      </c>
      <c r="B22" s="2" t="str">
        <f>共有用1!B22</f>
        <v/>
      </c>
      <c r="C22" s="2" t="str">
        <f>共有用1!C22</f>
        <v/>
      </c>
      <c r="D22" s="17" t="str">
        <f>IF(共有用1!D22="","",共有用1!D22&amp;"/"&amp;COUNTIF(共有用1!D$2:D22,共有用1!D22))</f>
        <v/>
      </c>
      <c r="E22" s="17" t="str">
        <f>IF(共有用1!E22="","",共有用1!E22&amp;"/"&amp;COUNTIF(共有用1!E$2:E22,共有用1!E22))</f>
        <v/>
      </c>
      <c r="F22" s="17" t="str">
        <f>IF(共有用1!F22="","",共有用1!F22&amp;"/"&amp;COUNTIF(共有用1!F$2:F22,共有用1!F22))</f>
        <v/>
      </c>
      <c r="G22" s="17" t="str">
        <f>IF(共有用1!G22="","",共有用1!G22&amp;"/"&amp;COUNTIF(共有用1!G$2:G22,共有用1!G22))</f>
        <v/>
      </c>
      <c r="H22" s="17" t="str">
        <f>IF(共有用1!H22="","",共有用1!H22&amp;"/"&amp;COUNTIF(共有用1!H$2:H22,共有用1!H22))</f>
        <v/>
      </c>
      <c r="I22" s="17" t="str">
        <f>IF(共有用1!I22="","",共有用1!I22&amp;"/"&amp;COUNTIF(共有用1!I$2:I22,共有用1!I22))</f>
        <v/>
      </c>
      <c r="J22" s="17" t="str">
        <f>IF(共有用1!J22="","",共有用1!J22&amp;"/"&amp;COUNTIF(共有用1!J$2:J22,共有用1!J22))</f>
        <v/>
      </c>
      <c r="K22" s="17" t="str">
        <f>IF(共有用1!K22="","",共有用1!K22&amp;"/"&amp;COUNTIF(共有用1!K$2:K22,共有用1!K22))</f>
        <v/>
      </c>
      <c r="L22" s="17" t="str">
        <f>IF(共有用1!L22="","",共有用1!L22&amp;"/"&amp;COUNTIF(共有用1!L$2:L22,共有用1!L22))</f>
        <v/>
      </c>
      <c r="M22" s="17" t="str">
        <f>IF(共有用1!M22="","",共有用1!M22&amp;"/"&amp;COUNTIF(共有用1!M$2:M22,共有用1!M22))</f>
        <v/>
      </c>
      <c r="N22" s="17" t="str">
        <f>IF(共有用1!N22="","",共有用1!N22&amp;"/"&amp;COUNTIF(共有用1!N$2:N22,共有用1!N22))</f>
        <v/>
      </c>
      <c r="O22" s="17" t="str">
        <f>IF(共有用1!O22="","",共有用1!O22&amp;"/"&amp;COUNTIF(共有用1!O$2:O22,共有用1!O22))</f>
        <v/>
      </c>
      <c r="P22" s="17" t="str">
        <f>IF(共有用1!P22="","",共有用1!P22&amp;"/"&amp;COUNTIF(共有用1!P$2:P22,共有用1!P22))</f>
        <v/>
      </c>
      <c r="Q22" s="17" t="str">
        <f>IF(共有用1!Q22="","",共有用1!Q22&amp;"/"&amp;COUNTIF(共有用1!Q$2:Q22,共有用1!Q22))</f>
        <v/>
      </c>
      <c r="R22" s="17" t="str">
        <f>IF(共有用1!R22="","",共有用1!R22&amp;"/"&amp;COUNTIF(共有用1!R$2:R22,共有用1!R22))</f>
        <v/>
      </c>
      <c r="S22" s="17" t="str">
        <f>IF(共有用1!S22="","",共有用1!S22&amp;"/"&amp;COUNTIF(共有用1!S$2:S22,共有用1!S22))</f>
        <v/>
      </c>
      <c r="T22" s="17" t="str">
        <f>IF(共有用1!T22="","",共有用1!T22&amp;"/"&amp;COUNTIF(共有用1!T$2:T22,共有用1!T22))</f>
        <v/>
      </c>
      <c r="U22" s="17" t="str">
        <f>IF(共有用1!U22="","",共有用1!U22&amp;"/"&amp;COUNTIF(共有用1!U$2:U22,共有用1!U22))</f>
        <v/>
      </c>
      <c r="V22" s="17" t="str">
        <f>IF(共有用1!V22="","",共有用1!V22&amp;"/"&amp;COUNTIF(共有用1!V$2:V22,共有用1!V22))</f>
        <v/>
      </c>
      <c r="W22" s="17" t="str">
        <f>IF(共有用1!W22="","",共有用1!W22&amp;"/"&amp;COUNTIF(共有用1!W$2:W22,共有用1!W22))</f>
        <v/>
      </c>
      <c r="X22" s="17" t="str">
        <f>IF(共有用1!X22="","",共有用1!X22&amp;"/"&amp;COUNTIF(共有用1!X$2:X22,共有用1!X22))</f>
        <v/>
      </c>
      <c r="Y22" s="17" t="str">
        <f>IF(共有用1!Y22="","",共有用1!Y22&amp;"/"&amp;COUNTIF(共有用1!Y$2:Y22,共有用1!Y22))</f>
        <v/>
      </c>
      <c r="Z22" s="17" t="str">
        <f>IF(共有用1!Z22="","",共有用1!Z22&amp;"/"&amp;COUNTIF(共有用1!Z$2:Z22,共有用1!Z22))</f>
        <v/>
      </c>
      <c r="AA22" s="17" t="str">
        <f>IF(共有用1!AA22="","",共有用1!AA22&amp;"/"&amp;COUNTIF(共有用1!AA$2:AA22,共有用1!AA22))</f>
        <v/>
      </c>
      <c r="AB22" s="17" t="str">
        <f>IF(共有用1!AB22="","",共有用1!AB22&amp;"/"&amp;COUNTIF(共有用1!AB$2:AB22,共有用1!AB22))</f>
        <v/>
      </c>
      <c r="AC22" s="17" t="str">
        <f>IF(共有用1!AC22="","",共有用1!AC22&amp;"/"&amp;COUNTIF(共有用1!AC$2:AC22,共有用1!AC22))</f>
        <v/>
      </c>
      <c r="AD22" s="17" t="str">
        <f>IF(共有用1!AD22="","",共有用1!AD22&amp;"/"&amp;COUNTIF(共有用1!AD$2:AD22,共有用1!AD22))</f>
        <v/>
      </c>
      <c r="AE22" s="17" t="str">
        <f>IF(共有用1!AE22="","",共有用1!AE22&amp;"/"&amp;COUNTIF(共有用1!AE$2:AE22,共有用1!AE22))</f>
        <v/>
      </c>
      <c r="AF22" s="17" t="str">
        <f>IF(共有用1!AF22="","",共有用1!AF22&amp;"/"&amp;COUNTIF(共有用1!AF$2:AF22,共有用1!AF22))</f>
        <v/>
      </c>
      <c r="AG22" s="17" t="str">
        <f>IF(共有用1!AG22="","",共有用1!AG22&amp;"/"&amp;COUNTIF(共有用1!AG$2:AG22,共有用1!AG22))</f>
        <v/>
      </c>
      <c r="AH22" s="17" t="str">
        <f>IF(共有用1!AH22="","",共有用1!AH22&amp;"/"&amp;COUNTIF(共有用1!AH$2:AH22,共有用1!AH22))</f>
        <v/>
      </c>
      <c r="AI22" s="17" t="str">
        <f>IF(共有用1!AI22="","",共有用1!AI22&amp;"/"&amp;COUNTIF(共有用1!AI$2:AI22,共有用1!AI22))</f>
        <v/>
      </c>
      <c r="AJ22" s="17" t="str">
        <f>IF(共有用1!AJ22="","",共有用1!AJ22&amp;"/"&amp;COUNTIF(共有用1!AJ$2:AJ22,共有用1!AJ22))</f>
        <v/>
      </c>
      <c r="AK22" s="17" t="str">
        <f>IF(共有用1!AK22="","",共有用1!AK22&amp;"/"&amp;COUNTIF(共有用1!AK$2:AK22,共有用1!AK22))</f>
        <v/>
      </c>
      <c r="AL22" s="17" t="str">
        <f>IF(共有用1!AL22="","",共有用1!AL22&amp;"/"&amp;COUNTIF(共有用1!AL$2:AL22,共有用1!AL22))</f>
        <v/>
      </c>
      <c r="AM22" s="17" t="str">
        <f>IF(共有用1!AM22="","",共有用1!AM22&amp;"/"&amp;COUNTIF(共有用1!AM$2:AM22,共有用1!AM22))</f>
        <v/>
      </c>
      <c r="AN22" s="17" t="str">
        <f>IF(共有用1!AN22="","",共有用1!AN22&amp;"/"&amp;COUNTIF(共有用1!AN$2:AN22,共有用1!AN22))</f>
        <v/>
      </c>
      <c r="AO22" s="17" t="str">
        <f>IF(共有用1!AO22="","",共有用1!AO22&amp;"/"&amp;COUNTIF(共有用1!AO$2:AO22,共有用1!AO22))</f>
        <v/>
      </c>
      <c r="AP22" s="17" t="str">
        <f>IF(共有用1!AP22="","",共有用1!AP22&amp;"/"&amp;COUNTIF(共有用1!AP$2:AP22,共有用1!AP22))</f>
        <v/>
      </c>
      <c r="AQ22" s="17" t="str">
        <f>IF(共有用1!AQ22="","",共有用1!AQ22&amp;"/"&amp;COUNTIF(共有用1!AQ$2:AQ22,共有用1!AQ22))</f>
        <v/>
      </c>
      <c r="AR22" s="17" t="str">
        <f>IF(共有用1!AR22="","",共有用1!AR22&amp;"/"&amp;COUNTIF(共有用1!AR$2:AR22,共有用1!AR22))</f>
        <v/>
      </c>
      <c r="AS22" s="17" t="str">
        <f>IF(共有用1!AS22="","",共有用1!AS22&amp;"/"&amp;COUNTIF(共有用1!AS$2:AS22,共有用1!AS22))</f>
        <v/>
      </c>
      <c r="AT22" s="17" t="str">
        <f>IF(共有用1!AT22="","",共有用1!AT22&amp;"/"&amp;COUNTIF(共有用1!AT$2:AT22,共有用1!AT22))</f>
        <v/>
      </c>
      <c r="AU22" s="17" t="str">
        <f>IF(共有用1!AU22="","",共有用1!AU22&amp;"/"&amp;COUNTIF(共有用1!AU$2:AU22,共有用1!AU22))</f>
        <v/>
      </c>
      <c r="AV22" s="17" t="str">
        <f>IF(共有用1!AV22="","",共有用1!AV22&amp;"/"&amp;COUNTIF(共有用1!AV$2:AV22,共有用1!AV22))</f>
        <v/>
      </c>
      <c r="AW22" s="17" t="str">
        <f>IF(共有用1!AW22="","",共有用1!AW22&amp;"/"&amp;COUNTIF(共有用1!AW$2:AW22,共有用1!AW22))</f>
        <v/>
      </c>
      <c r="AX22" s="17" t="str">
        <f>IF(共有用1!AX22="","",共有用1!AX22&amp;"/"&amp;COUNTIF(共有用1!AX$2:AX22,共有用1!AX22))</f>
        <v/>
      </c>
      <c r="AY22" s="17" t="str">
        <f>IF(共有用1!AY22="","",共有用1!AY22&amp;"/"&amp;COUNTIF(共有用1!AY$2:AY22,共有用1!AY22))</f>
        <v/>
      </c>
      <c r="AZ22" s="17" t="str">
        <f>IF(共有用1!AZ22="","",共有用1!AZ22&amp;"/"&amp;COUNTIF(共有用1!AZ$2:AZ22,共有用1!AZ22))</f>
        <v/>
      </c>
      <c r="BA22" s="17" t="str">
        <f>IF(共有用1!BA22="","",共有用1!BA22&amp;"/"&amp;COUNTIF(共有用1!BA$2:BA22,共有用1!BA22))</f>
        <v/>
      </c>
    </row>
    <row r="23" spans="1:53">
      <c r="A23" s="2" t="str">
        <f>共有用1!A23</f>
        <v/>
      </c>
      <c r="B23" s="2" t="str">
        <f>共有用1!B23</f>
        <v/>
      </c>
      <c r="C23" s="2" t="str">
        <f>共有用1!C23</f>
        <v/>
      </c>
      <c r="D23" s="17" t="str">
        <f>IF(共有用1!D23="","",共有用1!D23&amp;"/"&amp;COUNTIF(共有用1!D$2:D23,共有用1!D23))</f>
        <v/>
      </c>
      <c r="E23" s="17" t="str">
        <f>IF(共有用1!E23="","",共有用1!E23&amp;"/"&amp;COUNTIF(共有用1!E$2:E23,共有用1!E23))</f>
        <v/>
      </c>
      <c r="F23" s="17" t="str">
        <f>IF(共有用1!F23="","",共有用1!F23&amp;"/"&amp;COUNTIF(共有用1!F$2:F23,共有用1!F23))</f>
        <v/>
      </c>
      <c r="G23" s="17" t="str">
        <f>IF(共有用1!G23="","",共有用1!G23&amp;"/"&amp;COUNTIF(共有用1!G$2:G23,共有用1!G23))</f>
        <v/>
      </c>
      <c r="H23" s="17" t="str">
        <f>IF(共有用1!H23="","",共有用1!H23&amp;"/"&amp;COUNTIF(共有用1!H$2:H23,共有用1!H23))</f>
        <v/>
      </c>
      <c r="I23" s="17" t="str">
        <f>IF(共有用1!I23="","",共有用1!I23&amp;"/"&amp;COUNTIF(共有用1!I$2:I23,共有用1!I23))</f>
        <v/>
      </c>
      <c r="J23" s="17" t="str">
        <f>IF(共有用1!J23="","",共有用1!J23&amp;"/"&amp;COUNTIF(共有用1!J$2:J23,共有用1!J23))</f>
        <v/>
      </c>
      <c r="K23" s="17" t="str">
        <f>IF(共有用1!K23="","",共有用1!K23&amp;"/"&amp;COUNTIF(共有用1!K$2:K23,共有用1!K23))</f>
        <v/>
      </c>
      <c r="L23" s="17" t="str">
        <f>IF(共有用1!L23="","",共有用1!L23&amp;"/"&amp;COUNTIF(共有用1!L$2:L23,共有用1!L23))</f>
        <v/>
      </c>
      <c r="M23" s="17" t="str">
        <f>IF(共有用1!M23="","",共有用1!M23&amp;"/"&amp;COUNTIF(共有用1!M$2:M23,共有用1!M23))</f>
        <v/>
      </c>
      <c r="N23" s="17" t="str">
        <f>IF(共有用1!N23="","",共有用1!N23&amp;"/"&amp;COUNTIF(共有用1!N$2:N23,共有用1!N23))</f>
        <v/>
      </c>
      <c r="O23" s="17" t="str">
        <f>IF(共有用1!O23="","",共有用1!O23&amp;"/"&amp;COUNTIF(共有用1!O$2:O23,共有用1!O23))</f>
        <v/>
      </c>
      <c r="P23" s="17" t="str">
        <f>IF(共有用1!P23="","",共有用1!P23&amp;"/"&amp;COUNTIF(共有用1!P$2:P23,共有用1!P23))</f>
        <v/>
      </c>
      <c r="Q23" s="17" t="str">
        <f>IF(共有用1!Q23="","",共有用1!Q23&amp;"/"&amp;COUNTIF(共有用1!Q$2:Q23,共有用1!Q23))</f>
        <v/>
      </c>
      <c r="R23" s="17" t="str">
        <f>IF(共有用1!R23="","",共有用1!R23&amp;"/"&amp;COUNTIF(共有用1!R$2:R23,共有用1!R23))</f>
        <v/>
      </c>
      <c r="S23" s="17" t="str">
        <f>IF(共有用1!S23="","",共有用1!S23&amp;"/"&amp;COUNTIF(共有用1!S$2:S23,共有用1!S23))</f>
        <v/>
      </c>
      <c r="T23" s="17" t="str">
        <f>IF(共有用1!T23="","",共有用1!T23&amp;"/"&amp;COUNTIF(共有用1!T$2:T23,共有用1!T23))</f>
        <v/>
      </c>
      <c r="U23" s="17" t="str">
        <f>IF(共有用1!U23="","",共有用1!U23&amp;"/"&amp;COUNTIF(共有用1!U$2:U23,共有用1!U23))</f>
        <v/>
      </c>
      <c r="V23" s="17" t="str">
        <f>IF(共有用1!V23="","",共有用1!V23&amp;"/"&amp;COUNTIF(共有用1!V$2:V23,共有用1!V23))</f>
        <v/>
      </c>
      <c r="W23" s="17" t="str">
        <f>IF(共有用1!W23="","",共有用1!W23&amp;"/"&amp;COUNTIF(共有用1!W$2:W23,共有用1!W23))</f>
        <v/>
      </c>
      <c r="X23" s="17" t="str">
        <f>IF(共有用1!X23="","",共有用1!X23&amp;"/"&amp;COUNTIF(共有用1!X$2:X23,共有用1!X23))</f>
        <v/>
      </c>
      <c r="Y23" s="17" t="str">
        <f>IF(共有用1!Y23="","",共有用1!Y23&amp;"/"&amp;COUNTIF(共有用1!Y$2:Y23,共有用1!Y23))</f>
        <v/>
      </c>
      <c r="Z23" s="17" t="str">
        <f>IF(共有用1!Z23="","",共有用1!Z23&amp;"/"&amp;COUNTIF(共有用1!Z$2:Z23,共有用1!Z23))</f>
        <v/>
      </c>
      <c r="AA23" s="17" t="str">
        <f>IF(共有用1!AA23="","",共有用1!AA23&amp;"/"&amp;COUNTIF(共有用1!AA$2:AA23,共有用1!AA23))</f>
        <v/>
      </c>
      <c r="AB23" s="17" t="str">
        <f>IF(共有用1!AB23="","",共有用1!AB23&amp;"/"&amp;COUNTIF(共有用1!AB$2:AB23,共有用1!AB23))</f>
        <v/>
      </c>
      <c r="AC23" s="17" t="str">
        <f>IF(共有用1!AC23="","",共有用1!AC23&amp;"/"&amp;COUNTIF(共有用1!AC$2:AC23,共有用1!AC23))</f>
        <v/>
      </c>
      <c r="AD23" s="17" t="str">
        <f>IF(共有用1!AD23="","",共有用1!AD23&amp;"/"&amp;COUNTIF(共有用1!AD$2:AD23,共有用1!AD23))</f>
        <v/>
      </c>
      <c r="AE23" s="17" t="str">
        <f>IF(共有用1!AE23="","",共有用1!AE23&amp;"/"&amp;COUNTIF(共有用1!AE$2:AE23,共有用1!AE23))</f>
        <v/>
      </c>
      <c r="AF23" s="17" t="str">
        <f>IF(共有用1!AF23="","",共有用1!AF23&amp;"/"&amp;COUNTIF(共有用1!AF$2:AF23,共有用1!AF23))</f>
        <v/>
      </c>
      <c r="AG23" s="17" t="str">
        <f>IF(共有用1!AG23="","",共有用1!AG23&amp;"/"&amp;COUNTIF(共有用1!AG$2:AG23,共有用1!AG23))</f>
        <v/>
      </c>
      <c r="AH23" s="17" t="str">
        <f>IF(共有用1!AH23="","",共有用1!AH23&amp;"/"&amp;COUNTIF(共有用1!AH$2:AH23,共有用1!AH23))</f>
        <v/>
      </c>
      <c r="AI23" s="17" t="str">
        <f>IF(共有用1!AI23="","",共有用1!AI23&amp;"/"&amp;COUNTIF(共有用1!AI$2:AI23,共有用1!AI23))</f>
        <v/>
      </c>
      <c r="AJ23" s="17" t="str">
        <f>IF(共有用1!AJ23="","",共有用1!AJ23&amp;"/"&amp;COUNTIF(共有用1!AJ$2:AJ23,共有用1!AJ23))</f>
        <v/>
      </c>
      <c r="AK23" s="17" t="str">
        <f>IF(共有用1!AK23="","",共有用1!AK23&amp;"/"&amp;COUNTIF(共有用1!AK$2:AK23,共有用1!AK23))</f>
        <v/>
      </c>
      <c r="AL23" s="17" t="str">
        <f>IF(共有用1!AL23="","",共有用1!AL23&amp;"/"&amp;COUNTIF(共有用1!AL$2:AL23,共有用1!AL23))</f>
        <v/>
      </c>
      <c r="AM23" s="17" t="str">
        <f>IF(共有用1!AM23="","",共有用1!AM23&amp;"/"&amp;COUNTIF(共有用1!AM$2:AM23,共有用1!AM23))</f>
        <v/>
      </c>
      <c r="AN23" s="17" t="str">
        <f>IF(共有用1!AN23="","",共有用1!AN23&amp;"/"&amp;COUNTIF(共有用1!AN$2:AN23,共有用1!AN23))</f>
        <v/>
      </c>
      <c r="AO23" s="17" t="str">
        <f>IF(共有用1!AO23="","",共有用1!AO23&amp;"/"&amp;COUNTIF(共有用1!AO$2:AO23,共有用1!AO23))</f>
        <v/>
      </c>
      <c r="AP23" s="17" t="str">
        <f>IF(共有用1!AP23="","",共有用1!AP23&amp;"/"&amp;COUNTIF(共有用1!AP$2:AP23,共有用1!AP23))</f>
        <v/>
      </c>
      <c r="AQ23" s="17" t="str">
        <f>IF(共有用1!AQ23="","",共有用1!AQ23&amp;"/"&amp;COUNTIF(共有用1!AQ$2:AQ23,共有用1!AQ23))</f>
        <v/>
      </c>
      <c r="AR23" s="17" t="str">
        <f>IF(共有用1!AR23="","",共有用1!AR23&amp;"/"&amp;COUNTIF(共有用1!AR$2:AR23,共有用1!AR23))</f>
        <v/>
      </c>
      <c r="AS23" s="17" t="str">
        <f>IF(共有用1!AS23="","",共有用1!AS23&amp;"/"&amp;COUNTIF(共有用1!AS$2:AS23,共有用1!AS23))</f>
        <v/>
      </c>
      <c r="AT23" s="17" t="str">
        <f>IF(共有用1!AT23="","",共有用1!AT23&amp;"/"&amp;COUNTIF(共有用1!AT$2:AT23,共有用1!AT23))</f>
        <v/>
      </c>
      <c r="AU23" s="17" t="str">
        <f>IF(共有用1!AU23="","",共有用1!AU23&amp;"/"&amp;COUNTIF(共有用1!AU$2:AU23,共有用1!AU23))</f>
        <v/>
      </c>
      <c r="AV23" s="17" t="str">
        <f>IF(共有用1!AV23="","",共有用1!AV23&amp;"/"&amp;COUNTIF(共有用1!AV$2:AV23,共有用1!AV23))</f>
        <v/>
      </c>
      <c r="AW23" s="17" t="str">
        <f>IF(共有用1!AW23="","",共有用1!AW23&amp;"/"&amp;COUNTIF(共有用1!AW$2:AW23,共有用1!AW23))</f>
        <v/>
      </c>
      <c r="AX23" s="17" t="str">
        <f>IF(共有用1!AX23="","",共有用1!AX23&amp;"/"&amp;COUNTIF(共有用1!AX$2:AX23,共有用1!AX23))</f>
        <v/>
      </c>
      <c r="AY23" s="17" t="str">
        <f>IF(共有用1!AY23="","",共有用1!AY23&amp;"/"&amp;COUNTIF(共有用1!AY$2:AY23,共有用1!AY23))</f>
        <v/>
      </c>
      <c r="AZ23" s="17" t="str">
        <f>IF(共有用1!AZ23="","",共有用1!AZ23&amp;"/"&amp;COUNTIF(共有用1!AZ$2:AZ23,共有用1!AZ23))</f>
        <v/>
      </c>
      <c r="BA23" s="17" t="str">
        <f>IF(共有用1!BA23="","",共有用1!BA23&amp;"/"&amp;COUNTIF(共有用1!BA$2:BA23,共有用1!BA23))</f>
        <v/>
      </c>
    </row>
    <row r="24" spans="1:53">
      <c r="A24" s="2" t="str">
        <f>共有用1!A24</f>
        <v/>
      </c>
      <c r="B24" s="2" t="str">
        <f>共有用1!B24</f>
        <v/>
      </c>
      <c r="C24" s="2" t="str">
        <f>共有用1!C24</f>
        <v/>
      </c>
      <c r="D24" s="17" t="str">
        <f>IF(共有用1!D24="","",共有用1!D24&amp;"/"&amp;COUNTIF(共有用1!D$2:D24,共有用1!D24))</f>
        <v/>
      </c>
      <c r="E24" s="17" t="str">
        <f>IF(共有用1!E24="","",共有用1!E24&amp;"/"&amp;COUNTIF(共有用1!E$2:E24,共有用1!E24))</f>
        <v/>
      </c>
      <c r="F24" s="17" t="str">
        <f>IF(共有用1!F24="","",共有用1!F24&amp;"/"&amp;COUNTIF(共有用1!F$2:F24,共有用1!F24))</f>
        <v/>
      </c>
      <c r="G24" s="17" t="str">
        <f>IF(共有用1!G24="","",共有用1!G24&amp;"/"&amp;COUNTIF(共有用1!G$2:G24,共有用1!G24))</f>
        <v/>
      </c>
      <c r="H24" s="17" t="str">
        <f>IF(共有用1!H24="","",共有用1!H24&amp;"/"&amp;COUNTIF(共有用1!H$2:H24,共有用1!H24))</f>
        <v/>
      </c>
      <c r="I24" s="17" t="str">
        <f>IF(共有用1!I24="","",共有用1!I24&amp;"/"&amp;COUNTIF(共有用1!I$2:I24,共有用1!I24))</f>
        <v/>
      </c>
      <c r="J24" s="17" t="str">
        <f>IF(共有用1!J24="","",共有用1!J24&amp;"/"&amp;COUNTIF(共有用1!J$2:J24,共有用1!J24))</f>
        <v/>
      </c>
      <c r="K24" s="17" t="str">
        <f>IF(共有用1!K24="","",共有用1!K24&amp;"/"&amp;COUNTIF(共有用1!K$2:K24,共有用1!K24))</f>
        <v/>
      </c>
      <c r="L24" s="17" t="str">
        <f>IF(共有用1!L24="","",共有用1!L24&amp;"/"&amp;COUNTIF(共有用1!L$2:L24,共有用1!L24))</f>
        <v/>
      </c>
      <c r="M24" s="17" t="str">
        <f>IF(共有用1!M24="","",共有用1!M24&amp;"/"&amp;COUNTIF(共有用1!M$2:M24,共有用1!M24))</f>
        <v/>
      </c>
      <c r="N24" s="17" t="str">
        <f>IF(共有用1!N24="","",共有用1!N24&amp;"/"&amp;COUNTIF(共有用1!N$2:N24,共有用1!N24))</f>
        <v/>
      </c>
      <c r="O24" s="17" t="str">
        <f>IF(共有用1!O24="","",共有用1!O24&amp;"/"&amp;COUNTIF(共有用1!O$2:O24,共有用1!O24))</f>
        <v/>
      </c>
      <c r="P24" s="17" t="str">
        <f>IF(共有用1!P24="","",共有用1!P24&amp;"/"&amp;COUNTIF(共有用1!P$2:P24,共有用1!P24))</f>
        <v/>
      </c>
      <c r="Q24" s="17" t="str">
        <f>IF(共有用1!Q24="","",共有用1!Q24&amp;"/"&amp;COUNTIF(共有用1!Q$2:Q24,共有用1!Q24))</f>
        <v/>
      </c>
      <c r="R24" s="17" t="str">
        <f>IF(共有用1!R24="","",共有用1!R24&amp;"/"&amp;COUNTIF(共有用1!R$2:R24,共有用1!R24))</f>
        <v/>
      </c>
      <c r="S24" s="17" t="str">
        <f>IF(共有用1!S24="","",共有用1!S24&amp;"/"&amp;COUNTIF(共有用1!S$2:S24,共有用1!S24))</f>
        <v/>
      </c>
      <c r="T24" s="17" t="str">
        <f>IF(共有用1!T24="","",共有用1!T24&amp;"/"&amp;COUNTIF(共有用1!T$2:T24,共有用1!T24))</f>
        <v/>
      </c>
      <c r="U24" s="17" t="str">
        <f>IF(共有用1!U24="","",共有用1!U24&amp;"/"&amp;COUNTIF(共有用1!U$2:U24,共有用1!U24))</f>
        <v/>
      </c>
      <c r="V24" s="17" t="str">
        <f>IF(共有用1!V24="","",共有用1!V24&amp;"/"&amp;COUNTIF(共有用1!V$2:V24,共有用1!V24))</f>
        <v/>
      </c>
      <c r="W24" s="17" t="str">
        <f>IF(共有用1!W24="","",共有用1!W24&amp;"/"&amp;COUNTIF(共有用1!W$2:W24,共有用1!W24))</f>
        <v/>
      </c>
      <c r="X24" s="17" t="str">
        <f>IF(共有用1!X24="","",共有用1!X24&amp;"/"&amp;COUNTIF(共有用1!X$2:X24,共有用1!X24))</f>
        <v/>
      </c>
      <c r="Y24" s="17" t="str">
        <f>IF(共有用1!Y24="","",共有用1!Y24&amp;"/"&amp;COUNTIF(共有用1!Y$2:Y24,共有用1!Y24))</f>
        <v/>
      </c>
      <c r="Z24" s="17" t="str">
        <f>IF(共有用1!Z24="","",共有用1!Z24&amp;"/"&amp;COUNTIF(共有用1!Z$2:Z24,共有用1!Z24))</f>
        <v/>
      </c>
      <c r="AA24" s="17" t="str">
        <f>IF(共有用1!AA24="","",共有用1!AA24&amp;"/"&amp;COUNTIF(共有用1!AA$2:AA24,共有用1!AA24))</f>
        <v/>
      </c>
      <c r="AB24" s="17" t="str">
        <f>IF(共有用1!AB24="","",共有用1!AB24&amp;"/"&amp;COUNTIF(共有用1!AB$2:AB24,共有用1!AB24))</f>
        <v/>
      </c>
      <c r="AC24" s="17" t="str">
        <f>IF(共有用1!AC24="","",共有用1!AC24&amp;"/"&amp;COUNTIF(共有用1!AC$2:AC24,共有用1!AC24))</f>
        <v/>
      </c>
      <c r="AD24" s="17" t="str">
        <f>IF(共有用1!AD24="","",共有用1!AD24&amp;"/"&amp;COUNTIF(共有用1!AD$2:AD24,共有用1!AD24))</f>
        <v/>
      </c>
      <c r="AE24" s="17" t="str">
        <f>IF(共有用1!AE24="","",共有用1!AE24&amp;"/"&amp;COUNTIF(共有用1!AE$2:AE24,共有用1!AE24))</f>
        <v/>
      </c>
      <c r="AF24" s="17" t="str">
        <f>IF(共有用1!AF24="","",共有用1!AF24&amp;"/"&amp;COUNTIF(共有用1!AF$2:AF24,共有用1!AF24))</f>
        <v/>
      </c>
      <c r="AG24" s="17" t="str">
        <f>IF(共有用1!AG24="","",共有用1!AG24&amp;"/"&amp;COUNTIF(共有用1!AG$2:AG24,共有用1!AG24))</f>
        <v/>
      </c>
      <c r="AH24" s="17" t="str">
        <f>IF(共有用1!AH24="","",共有用1!AH24&amp;"/"&amp;COUNTIF(共有用1!AH$2:AH24,共有用1!AH24))</f>
        <v/>
      </c>
      <c r="AI24" s="17" t="str">
        <f>IF(共有用1!AI24="","",共有用1!AI24&amp;"/"&amp;COUNTIF(共有用1!AI$2:AI24,共有用1!AI24))</f>
        <v/>
      </c>
      <c r="AJ24" s="17" t="str">
        <f>IF(共有用1!AJ24="","",共有用1!AJ24&amp;"/"&amp;COUNTIF(共有用1!AJ$2:AJ24,共有用1!AJ24))</f>
        <v/>
      </c>
      <c r="AK24" s="17" t="str">
        <f>IF(共有用1!AK24="","",共有用1!AK24&amp;"/"&amp;COUNTIF(共有用1!AK$2:AK24,共有用1!AK24))</f>
        <v/>
      </c>
      <c r="AL24" s="17" t="str">
        <f>IF(共有用1!AL24="","",共有用1!AL24&amp;"/"&amp;COUNTIF(共有用1!AL$2:AL24,共有用1!AL24))</f>
        <v/>
      </c>
      <c r="AM24" s="17" t="str">
        <f>IF(共有用1!AM24="","",共有用1!AM24&amp;"/"&amp;COUNTIF(共有用1!AM$2:AM24,共有用1!AM24))</f>
        <v/>
      </c>
      <c r="AN24" s="17" t="str">
        <f>IF(共有用1!AN24="","",共有用1!AN24&amp;"/"&amp;COUNTIF(共有用1!AN$2:AN24,共有用1!AN24))</f>
        <v/>
      </c>
      <c r="AO24" s="17" t="str">
        <f>IF(共有用1!AO24="","",共有用1!AO24&amp;"/"&amp;COUNTIF(共有用1!AO$2:AO24,共有用1!AO24))</f>
        <v/>
      </c>
      <c r="AP24" s="17" t="str">
        <f>IF(共有用1!AP24="","",共有用1!AP24&amp;"/"&amp;COUNTIF(共有用1!AP$2:AP24,共有用1!AP24))</f>
        <v/>
      </c>
      <c r="AQ24" s="17" t="str">
        <f>IF(共有用1!AQ24="","",共有用1!AQ24&amp;"/"&amp;COUNTIF(共有用1!AQ$2:AQ24,共有用1!AQ24))</f>
        <v/>
      </c>
      <c r="AR24" s="17" t="str">
        <f>IF(共有用1!AR24="","",共有用1!AR24&amp;"/"&amp;COUNTIF(共有用1!AR$2:AR24,共有用1!AR24))</f>
        <v/>
      </c>
      <c r="AS24" s="17" t="str">
        <f>IF(共有用1!AS24="","",共有用1!AS24&amp;"/"&amp;COUNTIF(共有用1!AS$2:AS24,共有用1!AS24))</f>
        <v/>
      </c>
      <c r="AT24" s="17" t="str">
        <f>IF(共有用1!AT24="","",共有用1!AT24&amp;"/"&amp;COUNTIF(共有用1!AT$2:AT24,共有用1!AT24))</f>
        <v/>
      </c>
      <c r="AU24" s="17" t="str">
        <f>IF(共有用1!AU24="","",共有用1!AU24&amp;"/"&amp;COUNTIF(共有用1!AU$2:AU24,共有用1!AU24))</f>
        <v/>
      </c>
      <c r="AV24" s="17" t="str">
        <f>IF(共有用1!AV24="","",共有用1!AV24&amp;"/"&amp;COUNTIF(共有用1!AV$2:AV24,共有用1!AV24))</f>
        <v/>
      </c>
      <c r="AW24" s="17" t="str">
        <f>IF(共有用1!AW24="","",共有用1!AW24&amp;"/"&amp;COUNTIF(共有用1!AW$2:AW24,共有用1!AW24))</f>
        <v/>
      </c>
      <c r="AX24" s="17" t="str">
        <f>IF(共有用1!AX24="","",共有用1!AX24&amp;"/"&amp;COUNTIF(共有用1!AX$2:AX24,共有用1!AX24))</f>
        <v/>
      </c>
      <c r="AY24" s="17" t="str">
        <f>IF(共有用1!AY24="","",共有用1!AY24&amp;"/"&amp;COUNTIF(共有用1!AY$2:AY24,共有用1!AY24))</f>
        <v/>
      </c>
      <c r="AZ24" s="17" t="str">
        <f>IF(共有用1!AZ24="","",共有用1!AZ24&amp;"/"&amp;COUNTIF(共有用1!AZ$2:AZ24,共有用1!AZ24))</f>
        <v/>
      </c>
      <c r="BA24" s="17" t="str">
        <f>IF(共有用1!BA24="","",共有用1!BA24&amp;"/"&amp;COUNTIF(共有用1!BA$2:BA24,共有用1!BA24))</f>
        <v/>
      </c>
    </row>
    <row r="25" spans="1:53">
      <c r="A25" s="2" t="str">
        <f>共有用1!A25</f>
        <v/>
      </c>
      <c r="B25" s="2" t="str">
        <f>共有用1!B25</f>
        <v/>
      </c>
      <c r="C25" s="2" t="str">
        <f>共有用1!C25</f>
        <v/>
      </c>
      <c r="D25" s="17" t="str">
        <f>IF(共有用1!D25="","",共有用1!D25&amp;"/"&amp;COUNTIF(共有用1!D$2:D25,共有用1!D25))</f>
        <v/>
      </c>
      <c r="E25" s="17" t="str">
        <f>IF(共有用1!E25="","",共有用1!E25&amp;"/"&amp;COUNTIF(共有用1!E$2:E25,共有用1!E25))</f>
        <v/>
      </c>
      <c r="F25" s="17" t="str">
        <f>IF(共有用1!F25="","",共有用1!F25&amp;"/"&amp;COUNTIF(共有用1!F$2:F25,共有用1!F25))</f>
        <v/>
      </c>
      <c r="G25" s="17" t="str">
        <f>IF(共有用1!G25="","",共有用1!G25&amp;"/"&amp;COUNTIF(共有用1!G$2:G25,共有用1!G25))</f>
        <v/>
      </c>
      <c r="H25" s="17" t="str">
        <f>IF(共有用1!H25="","",共有用1!H25&amp;"/"&amp;COUNTIF(共有用1!H$2:H25,共有用1!H25))</f>
        <v/>
      </c>
      <c r="I25" s="17" t="str">
        <f>IF(共有用1!I25="","",共有用1!I25&amp;"/"&amp;COUNTIF(共有用1!I$2:I25,共有用1!I25))</f>
        <v/>
      </c>
      <c r="J25" s="17" t="str">
        <f>IF(共有用1!J25="","",共有用1!J25&amp;"/"&amp;COUNTIF(共有用1!J$2:J25,共有用1!J25))</f>
        <v/>
      </c>
      <c r="K25" s="17" t="str">
        <f>IF(共有用1!K25="","",共有用1!K25&amp;"/"&amp;COUNTIF(共有用1!K$2:K25,共有用1!K25))</f>
        <v/>
      </c>
      <c r="L25" s="17" t="str">
        <f>IF(共有用1!L25="","",共有用1!L25&amp;"/"&amp;COUNTIF(共有用1!L$2:L25,共有用1!L25))</f>
        <v/>
      </c>
      <c r="M25" s="17" t="str">
        <f>IF(共有用1!M25="","",共有用1!M25&amp;"/"&amp;COUNTIF(共有用1!M$2:M25,共有用1!M25))</f>
        <v/>
      </c>
      <c r="N25" s="17" t="str">
        <f>IF(共有用1!N25="","",共有用1!N25&amp;"/"&amp;COUNTIF(共有用1!N$2:N25,共有用1!N25))</f>
        <v/>
      </c>
      <c r="O25" s="17" t="str">
        <f>IF(共有用1!O25="","",共有用1!O25&amp;"/"&amp;COUNTIF(共有用1!O$2:O25,共有用1!O25))</f>
        <v/>
      </c>
      <c r="P25" s="17" t="str">
        <f>IF(共有用1!P25="","",共有用1!P25&amp;"/"&amp;COUNTIF(共有用1!P$2:P25,共有用1!P25))</f>
        <v/>
      </c>
      <c r="Q25" s="17" t="str">
        <f>IF(共有用1!Q25="","",共有用1!Q25&amp;"/"&amp;COUNTIF(共有用1!Q$2:Q25,共有用1!Q25))</f>
        <v/>
      </c>
      <c r="R25" s="17" t="str">
        <f>IF(共有用1!R25="","",共有用1!R25&amp;"/"&amp;COUNTIF(共有用1!R$2:R25,共有用1!R25))</f>
        <v/>
      </c>
      <c r="S25" s="17" t="str">
        <f>IF(共有用1!S25="","",共有用1!S25&amp;"/"&amp;COUNTIF(共有用1!S$2:S25,共有用1!S25))</f>
        <v/>
      </c>
      <c r="T25" s="17" t="str">
        <f>IF(共有用1!T25="","",共有用1!T25&amp;"/"&amp;COUNTIF(共有用1!T$2:T25,共有用1!T25))</f>
        <v/>
      </c>
      <c r="U25" s="17" t="str">
        <f>IF(共有用1!U25="","",共有用1!U25&amp;"/"&amp;COUNTIF(共有用1!U$2:U25,共有用1!U25))</f>
        <v/>
      </c>
      <c r="V25" s="17" t="str">
        <f>IF(共有用1!V25="","",共有用1!V25&amp;"/"&amp;COUNTIF(共有用1!V$2:V25,共有用1!V25))</f>
        <v/>
      </c>
      <c r="W25" s="17" t="str">
        <f>IF(共有用1!W25="","",共有用1!W25&amp;"/"&amp;COUNTIF(共有用1!W$2:W25,共有用1!W25))</f>
        <v/>
      </c>
      <c r="X25" s="17" t="str">
        <f>IF(共有用1!X25="","",共有用1!X25&amp;"/"&amp;COUNTIF(共有用1!X$2:X25,共有用1!X25))</f>
        <v/>
      </c>
      <c r="Y25" s="17" t="str">
        <f>IF(共有用1!Y25="","",共有用1!Y25&amp;"/"&amp;COUNTIF(共有用1!Y$2:Y25,共有用1!Y25))</f>
        <v/>
      </c>
      <c r="Z25" s="17" t="str">
        <f>IF(共有用1!Z25="","",共有用1!Z25&amp;"/"&amp;COUNTIF(共有用1!Z$2:Z25,共有用1!Z25))</f>
        <v/>
      </c>
      <c r="AA25" s="17" t="str">
        <f>IF(共有用1!AA25="","",共有用1!AA25&amp;"/"&amp;COUNTIF(共有用1!AA$2:AA25,共有用1!AA25))</f>
        <v/>
      </c>
      <c r="AB25" s="17" t="str">
        <f>IF(共有用1!AB25="","",共有用1!AB25&amp;"/"&amp;COUNTIF(共有用1!AB$2:AB25,共有用1!AB25))</f>
        <v/>
      </c>
      <c r="AC25" s="17" t="str">
        <f>IF(共有用1!AC25="","",共有用1!AC25&amp;"/"&amp;COUNTIF(共有用1!AC$2:AC25,共有用1!AC25))</f>
        <v/>
      </c>
      <c r="AD25" s="17" t="str">
        <f>IF(共有用1!AD25="","",共有用1!AD25&amp;"/"&amp;COUNTIF(共有用1!AD$2:AD25,共有用1!AD25))</f>
        <v/>
      </c>
      <c r="AE25" s="17" t="str">
        <f>IF(共有用1!AE25="","",共有用1!AE25&amp;"/"&amp;COUNTIF(共有用1!AE$2:AE25,共有用1!AE25))</f>
        <v/>
      </c>
      <c r="AF25" s="17" t="str">
        <f>IF(共有用1!AF25="","",共有用1!AF25&amp;"/"&amp;COUNTIF(共有用1!AF$2:AF25,共有用1!AF25))</f>
        <v/>
      </c>
      <c r="AG25" s="17" t="str">
        <f>IF(共有用1!AG25="","",共有用1!AG25&amp;"/"&amp;COUNTIF(共有用1!AG$2:AG25,共有用1!AG25))</f>
        <v/>
      </c>
      <c r="AH25" s="17" t="str">
        <f>IF(共有用1!AH25="","",共有用1!AH25&amp;"/"&amp;COUNTIF(共有用1!AH$2:AH25,共有用1!AH25))</f>
        <v/>
      </c>
      <c r="AI25" s="17" t="str">
        <f>IF(共有用1!AI25="","",共有用1!AI25&amp;"/"&amp;COUNTIF(共有用1!AI$2:AI25,共有用1!AI25))</f>
        <v/>
      </c>
      <c r="AJ25" s="17" t="str">
        <f>IF(共有用1!AJ25="","",共有用1!AJ25&amp;"/"&amp;COUNTIF(共有用1!AJ$2:AJ25,共有用1!AJ25))</f>
        <v/>
      </c>
      <c r="AK25" s="17" t="str">
        <f>IF(共有用1!AK25="","",共有用1!AK25&amp;"/"&amp;COUNTIF(共有用1!AK$2:AK25,共有用1!AK25))</f>
        <v/>
      </c>
      <c r="AL25" s="17" t="str">
        <f>IF(共有用1!AL25="","",共有用1!AL25&amp;"/"&amp;COUNTIF(共有用1!AL$2:AL25,共有用1!AL25))</f>
        <v/>
      </c>
      <c r="AM25" s="17" t="str">
        <f>IF(共有用1!AM25="","",共有用1!AM25&amp;"/"&amp;COUNTIF(共有用1!AM$2:AM25,共有用1!AM25))</f>
        <v/>
      </c>
      <c r="AN25" s="17" t="str">
        <f>IF(共有用1!AN25="","",共有用1!AN25&amp;"/"&amp;COUNTIF(共有用1!AN$2:AN25,共有用1!AN25))</f>
        <v/>
      </c>
      <c r="AO25" s="17" t="str">
        <f>IF(共有用1!AO25="","",共有用1!AO25&amp;"/"&amp;COUNTIF(共有用1!AO$2:AO25,共有用1!AO25))</f>
        <v/>
      </c>
      <c r="AP25" s="17" t="str">
        <f>IF(共有用1!AP25="","",共有用1!AP25&amp;"/"&amp;COUNTIF(共有用1!AP$2:AP25,共有用1!AP25))</f>
        <v/>
      </c>
      <c r="AQ25" s="17" t="str">
        <f>IF(共有用1!AQ25="","",共有用1!AQ25&amp;"/"&amp;COUNTIF(共有用1!AQ$2:AQ25,共有用1!AQ25))</f>
        <v/>
      </c>
      <c r="AR25" s="17" t="str">
        <f>IF(共有用1!AR25="","",共有用1!AR25&amp;"/"&amp;COUNTIF(共有用1!AR$2:AR25,共有用1!AR25))</f>
        <v/>
      </c>
      <c r="AS25" s="17" t="str">
        <f>IF(共有用1!AS25="","",共有用1!AS25&amp;"/"&amp;COUNTIF(共有用1!AS$2:AS25,共有用1!AS25))</f>
        <v/>
      </c>
      <c r="AT25" s="17" t="str">
        <f>IF(共有用1!AT25="","",共有用1!AT25&amp;"/"&amp;COUNTIF(共有用1!AT$2:AT25,共有用1!AT25))</f>
        <v/>
      </c>
      <c r="AU25" s="17" t="str">
        <f>IF(共有用1!AU25="","",共有用1!AU25&amp;"/"&amp;COUNTIF(共有用1!AU$2:AU25,共有用1!AU25))</f>
        <v/>
      </c>
      <c r="AV25" s="17" t="str">
        <f>IF(共有用1!AV25="","",共有用1!AV25&amp;"/"&amp;COUNTIF(共有用1!AV$2:AV25,共有用1!AV25))</f>
        <v/>
      </c>
      <c r="AW25" s="17" t="str">
        <f>IF(共有用1!AW25="","",共有用1!AW25&amp;"/"&amp;COUNTIF(共有用1!AW$2:AW25,共有用1!AW25))</f>
        <v/>
      </c>
      <c r="AX25" s="17" t="str">
        <f>IF(共有用1!AX25="","",共有用1!AX25&amp;"/"&amp;COUNTIF(共有用1!AX$2:AX25,共有用1!AX25))</f>
        <v/>
      </c>
      <c r="AY25" s="17" t="str">
        <f>IF(共有用1!AY25="","",共有用1!AY25&amp;"/"&amp;COUNTIF(共有用1!AY$2:AY25,共有用1!AY25))</f>
        <v/>
      </c>
      <c r="AZ25" s="17" t="str">
        <f>IF(共有用1!AZ25="","",共有用1!AZ25&amp;"/"&amp;COUNTIF(共有用1!AZ$2:AZ25,共有用1!AZ25))</f>
        <v/>
      </c>
      <c r="BA25" s="17" t="str">
        <f>IF(共有用1!BA25="","",共有用1!BA25&amp;"/"&amp;COUNTIF(共有用1!BA$2:BA25,共有用1!BA25))</f>
        <v/>
      </c>
    </row>
    <row r="26" spans="1:53">
      <c r="A26" s="2" t="str">
        <f>共有用1!A26</f>
        <v/>
      </c>
      <c r="B26" s="2" t="str">
        <f>共有用1!B26</f>
        <v/>
      </c>
      <c r="C26" s="2" t="str">
        <f>共有用1!C26</f>
        <v/>
      </c>
      <c r="D26" s="17" t="str">
        <f>IF(共有用1!D26="","",共有用1!D26&amp;"/"&amp;COUNTIF(共有用1!D$2:D26,共有用1!D26))</f>
        <v/>
      </c>
      <c r="E26" s="17" t="str">
        <f>IF(共有用1!E26="","",共有用1!E26&amp;"/"&amp;COUNTIF(共有用1!E$2:E26,共有用1!E26))</f>
        <v/>
      </c>
      <c r="F26" s="17" t="str">
        <f>IF(共有用1!F26="","",共有用1!F26&amp;"/"&amp;COUNTIF(共有用1!F$2:F26,共有用1!F26))</f>
        <v/>
      </c>
      <c r="G26" s="17" t="str">
        <f>IF(共有用1!G26="","",共有用1!G26&amp;"/"&amp;COUNTIF(共有用1!G$2:G26,共有用1!G26))</f>
        <v/>
      </c>
      <c r="H26" s="17" t="str">
        <f>IF(共有用1!H26="","",共有用1!H26&amp;"/"&amp;COUNTIF(共有用1!H$2:H26,共有用1!H26))</f>
        <v/>
      </c>
      <c r="I26" s="17" t="str">
        <f>IF(共有用1!I26="","",共有用1!I26&amp;"/"&amp;COUNTIF(共有用1!I$2:I26,共有用1!I26))</f>
        <v/>
      </c>
      <c r="J26" s="17" t="str">
        <f>IF(共有用1!J26="","",共有用1!J26&amp;"/"&amp;COUNTIF(共有用1!J$2:J26,共有用1!J26))</f>
        <v/>
      </c>
      <c r="K26" s="17" t="str">
        <f>IF(共有用1!K26="","",共有用1!K26&amp;"/"&amp;COUNTIF(共有用1!K$2:K26,共有用1!K26))</f>
        <v/>
      </c>
      <c r="L26" s="17" t="str">
        <f>IF(共有用1!L26="","",共有用1!L26&amp;"/"&amp;COUNTIF(共有用1!L$2:L26,共有用1!L26))</f>
        <v/>
      </c>
      <c r="M26" s="17" t="str">
        <f>IF(共有用1!M26="","",共有用1!M26&amp;"/"&amp;COUNTIF(共有用1!M$2:M26,共有用1!M26))</f>
        <v/>
      </c>
      <c r="N26" s="17" t="str">
        <f>IF(共有用1!N26="","",共有用1!N26&amp;"/"&amp;COUNTIF(共有用1!N$2:N26,共有用1!N26))</f>
        <v/>
      </c>
      <c r="O26" s="17" t="str">
        <f>IF(共有用1!O26="","",共有用1!O26&amp;"/"&amp;COUNTIF(共有用1!O$2:O26,共有用1!O26))</f>
        <v/>
      </c>
      <c r="P26" s="17" t="str">
        <f>IF(共有用1!P26="","",共有用1!P26&amp;"/"&amp;COUNTIF(共有用1!P$2:P26,共有用1!P26))</f>
        <v/>
      </c>
      <c r="Q26" s="17" t="str">
        <f>IF(共有用1!Q26="","",共有用1!Q26&amp;"/"&amp;COUNTIF(共有用1!Q$2:Q26,共有用1!Q26))</f>
        <v/>
      </c>
      <c r="R26" s="17" t="str">
        <f>IF(共有用1!R26="","",共有用1!R26&amp;"/"&amp;COUNTIF(共有用1!R$2:R26,共有用1!R26))</f>
        <v/>
      </c>
      <c r="S26" s="17" t="str">
        <f>IF(共有用1!S26="","",共有用1!S26&amp;"/"&amp;COUNTIF(共有用1!S$2:S26,共有用1!S26))</f>
        <v/>
      </c>
      <c r="T26" s="17" t="str">
        <f>IF(共有用1!T26="","",共有用1!T26&amp;"/"&amp;COUNTIF(共有用1!T$2:T26,共有用1!T26))</f>
        <v/>
      </c>
      <c r="U26" s="17" t="str">
        <f>IF(共有用1!U26="","",共有用1!U26&amp;"/"&amp;COUNTIF(共有用1!U$2:U26,共有用1!U26))</f>
        <v/>
      </c>
      <c r="V26" s="17" t="str">
        <f>IF(共有用1!V26="","",共有用1!V26&amp;"/"&amp;COUNTIF(共有用1!V$2:V26,共有用1!V26))</f>
        <v/>
      </c>
      <c r="W26" s="17" t="str">
        <f>IF(共有用1!W26="","",共有用1!W26&amp;"/"&amp;COUNTIF(共有用1!W$2:W26,共有用1!W26))</f>
        <v/>
      </c>
      <c r="X26" s="17" t="str">
        <f>IF(共有用1!X26="","",共有用1!X26&amp;"/"&amp;COUNTIF(共有用1!X$2:X26,共有用1!X26))</f>
        <v/>
      </c>
      <c r="Y26" s="17" t="str">
        <f>IF(共有用1!Y26="","",共有用1!Y26&amp;"/"&amp;COUNTIF(共有用1!Y$2:Y26,共有用1!Y26))</f>
        <v/>
      </c>
      <c r="Z26" s="17" t="str">
        <f>IF(共有用1!Z26="","",共有用1!Z26&amp;"/"&amp;COUNTIF(共有用1!Z$2:Z26,共有用1!Z26))</f>
        <v/>
      </c>
      <c r="AA26" s="17" t="str">
        <f>IF(共有用1!AA26="","",共有用1!AA26&amp;"/"&amp;COUNTIF(共有用1!AA$2:AA26,共有用1!AA26))</f>
        <v/>
      </c>
      <c r="AB26" s="17" t="str">
        <f>IF(共有用1!AB26="","",共有用1!AB26&amp;"/"&amp;COUNTIF(共有用1!AB$2:AB26,共有用1!AB26))</f>
        <v/>
      </c>
      <c r="AC26" s="17" t="str">
        <f>IF(共有用1!AC26="","",共有用1!AC26&amp;"/"&amp;COUNTIF(共有用1!AC$2:AC26,共有用1!AC26))</f>
        <v/>
      </c>
      <c r="AD26" s="17" t="str">
        <f>IF(共有用1!AD26="","",共有用1!AD26&amp;"/"&amp;COUNTIF(共有用1!AD$2:AD26,共有用1!AD26))</f>
        <v/>
      </c>
      <c r="AE26" s="17" t="str">
        <f>IF(共有用1!AE26="","",共有用1!AE26&amp;"/"&amp;COUNTIF(共有用1!AE$2:AE26,共有用1!AE26))</f>
        <v/>
      </c>
      <c r="AF26" s="17" t="str">
        <f>IF(共有用1!AF26="","",共有用1!AF26&amp;"/"&amp;COUNTIF(共有用1!AF$2:AF26,共有用1!AF26))</f>
        <v/>
      </c>
      <c r="AG26" s="17" t="str">
        <f>IF(共有用1!AG26="","",共有用1!AG26&amp;"/"&amp;COUNTIF(共有用1!AG$2:AG26,共有用1!AG26))</f>
        <v/>
      </c>
      <c r="AH26" s="17" t="str">
        <f>IF(共有用1!AH26="","",共有用1!AH26&amp;"/"&amp;COUNTIF(共有用1!AH$2:AH26,共有用1!AH26))</f>
        <v/>
      </c>
      <c r="AI26" s="17" t="str">
        <f>IF(共有用1!AI26="","",共有用1!AI26&amp;"/"&amp;COUNTIF(共有用1!AI$2:AI26,共有用1!AI26))</f>
        <v/>
      </c>
      <c r="AJ26" s="17" t="str">
        <f>IF(共有用1!AJ26="","",共有用1!AJ26&amp;"/"&amp;COUNTIF(共有用1!AJ$2:AJ26,共有用1!AJ26))</f>
        <v/>
      </c>
      <c r="AK26" s="17" t="str">
        <f>IF(共有用1!AK26="","",共有用1!AK26&amp;"/"&amp;COUNTIF(共有用1!AK$2:AK26,共有用1!AK26))</f>
        <v/>
      </c>
      <c r="AL26" s="17" t="str">
        <f>IF(共有用1!AL26="","",共有用1!AL26&amp;"/"&amp;COUNTIF(共有用1!AL$2:AL26,共有用1!AL26))</f>
        <v/>
      </c>
      <c r="AM26" s="17" t="str">
        <f>IF(共有用1!AM26="","",共有用1!AM26&amp;"/"&amp;COUNTIF(共有用1!AM$2:AM26,共有用1!AM26))</f>
        <v/>
      </c>
      <c r="AN26" s="17" t="str">
        <f>IF(共有用1!AN26="","",共有用1!AN26&amp;"/"&amp;COUNTIF(共有用1!AN$2:AN26,共有用1!AN26))</f>
        <v/>
      </c>
      <c r="AO26" s="17" t="str">
        <f>IF(共有用1!AO26="","",共有用1!AO26&amp;"/"&amp;COUNTIF(共有用1!AO$2:AO26,共有用1!AO26))</f>
        <v/>
      </c>
      <c r="AP26" s="17" t="str">
        <f>IF(共有用1!AP26="","",共有用1!AP26&amp;"/"&amp;COUNTIF(共有用1!AP$2:AP26,共有用1!AP26))</f>
        <v/>
      </c>
      <c r="AQ26" s="17" t="str">
        <f>IF(共有用1!AQ26="","",共有用1!AQ26&amp;"/"&amp;COUNTIF(共有用1!AQ$2:AQ26,共有用1!AQ26))</f>
        <v/>
      </c>
      <c r="AR26" s="17" t="str">
        <f>IF(共有用1!AR26="","",共有用1!AR26&amp;"/"&amp;COUNTIF(共有用1!AR$2:AR26,共有用1!AR26))</f>
        <v/>
      </c>
      <c r="AS26" s="17" t="str">
        <f>IF(共有用1!AS26="","",共有用1!AS26&amp;"/"&amp;COUNTIF(共有用1!AS$2:AS26,共有用1!AS26))</f>
        <v/>
      </c>
      <c r="AT26" s="17" t="str">
        <f>IF(共有用1!AT26="","",共有用1!AT26&amp;"/"&amp;COUNTIF(共有用1!AT$2:AT26,共有用1!AT26))</f>
        <v/>
      </c>
      <c r="AU26" s="17" t="str">
        <f>IF(共有用1!AU26="","",共有用1!AU26&amp;"/"&amp;COUNTIF(共有用1!AU$2:AU26,共有用1!AU26))</f>
        <v/>
      </c>
      <c r="AV26" s="17" t="str">
        <f>IF(共有用1!AV26="","",共有用1!AV26&amp;"/"&amp;COUNTIF(共有用1!AV$2:AV26,共有用1!AV26))</f>
        <v/>
      </c>
      <c r="AW26" s="17" t="str">
        <f>IF(共有用1!AW26="","",共有用1!AW26&amp;"/"&amp;COUNTIF(共有用1!AW$2:AW26,共有用1!AW26))</f>
        <v/>
      </c>
      <c r="AX26" s="17" t="str">
        <f>IF(共有用1!AX26="","",共有用1!AX26&amp;"/"&amp;COUNTIF(共有用1!AX$2:AX26,共有用1!AX26))</f>
        <v/>
      </c>
      <c r="AY26" s="17" t="str">
        <f>IF(共有用1!AY26="","",共有用1!AY26&amp;"/"&amp;COUNTIF(共有用1!AY$2:AY26,共有用1!AY26))</f>
        <v/>
      </c>
      <c r="AZ26" s="17" t="str">
        <f>IF(共有用1!AZ26="","",共有用1!AZ26&amp;"/"&amp;COUNTIF(共有用1!AZ$2:AZ26,共有用1!AZ26))</f>
        <v/>
      </c>
      <c r="BA26" s="17" t="str">
        <f>IF(共有用1!BA26="","",共有用1!BA26&amp;"/"&amp;COUNTIF(共有用1!BA$2:BA26,共有用1!BA26))</f>
        <v/>
      </c>
    </row>
    <row r="27" spans="1:53">
      <c r="A27" s="2" t="str">
        <f>共有用1!A27</f>
        <v/>
      </c>
      <c r="B27" s="2" t="str">
        <f>共有用1!B27</f>
        <v/>
      </c>
      <c r="C27" s="2" t="str">
        <f>共有用1!C27</f>
        <v/>
      </c>
      <c r="D27" s="17" t="str">
        <f>IF(共有用1!D27="","",共有用1!D27&amp;"/"&amp;COUNTIF(共有用1!D$2:D27,共有用1!D27))</f>
        <v/>
      </c>
      <c r="E27" s="17" t="str">
        <f>IF(共有用1!E27="","",共有用1!E27&amp;"/"&amp;COUNTIF(共有用1!E$2:E27,共有用1!E27))</f>
        <v/>
      </c>
      <c r="F27" s="17" t="str">
        <f>IF(共有用1!F27="","",共有用1!F27&amp;"/"&amp;COUNTIF(共有用1!F$2:F27,共有用1!F27))</f>
        <v/>
      </c>
      <c r="G27" s="17" t="str">
        <f>IF(共有用1!G27="","",共有用1!G27&amp;"/"&amp;COUNTIF(共有用1!G$2:G27,共有用1!G27))</f>
        <v/>
      </c>
      <c r="H27" s="17" t="str">
        <f>IF(共有用1!H27="","",共有用1!H27&amp;"/"&amp;COUNTIF(共有用1!H$2:H27,共有用1!H27))</f>
        <v/>
      </c>
      <c r="I27" s="17" t="str">
        <f>IF(共有用1!I27="","",共有用1!I27&amp;"/"&amp;COUNTIF(共有用1!I$2:I27,共有用1!I27))</f>
        <v/>
      </c>
      <c r="J27" s="17" t="str">
        <f>IF(共有用1!J27="","",共有用1!J27&amp;"/"&amp;COUNTIF(共有用1!J$2:J27,共有用1!J27))</f>
        <v/>
      </c>
      <c r="K27" s="17" t="str">
        <f>IF(共有用1!K27="","",共有用1!K27&amp;"/"&amp;COUNTIF(共有用1!K$2:K27,共有用1!K27))</f>
        <v/>
      </c>
      <c r="L27" s="17" t="str">
        <f>IF(共有用1!L27="","",共有用1!L27&amp;"/"&amp;COUNTIF(共有用1!L$2:L27,共有用1!L27))</f>
        <v/>
      </c>
      <c r="M27" s="17" t="str">
        <f>IF(共有用1!M27="","",共有用1!M27&amp;"/"&amp;COUNTIF(共有用1!M$2:M27,共有用1!M27))</f>
        <v/>
      </c>
      <c r="N27" s="17" t="str">
        <f>IF(共有用1!N27="","",共有用1!N27&amp;"/"&amp;COUNTIF(共有用1!N$2:N27,共有用1!N27))</f>
        <v/>
      </c>
      <c r="O27" s="17" t="str">
        <f>IF(共有用1!O27="","",共有用1!O27&amp;"/"&amp;COUNTIF(共有用1!O$2:O27,共有用1!O27))</f>
        <v/>
      </c>
      <c r="P27" s="17" t="str">
        <f>IF(共有用1!P27="","",共有用1!P27&amp;"/"&amp;COUNTIF(共有用1!P$2:P27,共有用1!P27))</f>
        <v/>
      </c>
      <c r="Q27" s="17" t="str">
        <f>IF(共有用1!Q27="","",共有用1!Q27&amp;"/"&amp;COUNTIF(共有用1!Q$2:Q27,共有用1!Q27))</f>
        <v/>
      </c>
      <c r="R27" s="17" t="str">
        <f>IF(共有用1!R27="","",共有用1!R27&amp;"/"&amp;COUNTIF(共有用1!R$2:R27,共有用1!R27))</f>
        <v/>
      </c>
      <c r="S27" s="17" t="str">
        <f>IF(共有用1!S27="","",共有用1!S27&amp;"/"&amp;COUNTIF(共有用1!S$2:S27,共有用1!S27))</f>
        <v/>
      </c>
      <c r="T27" s="17" t="str">
        <f>IF(共有用1!T27="","",共有用1!T27&amp;"/"&amp;COUNTIF(共有用1!T$2:T27,共有用1!T27))</f>
        <v/>
      </c>
      <c r="U27" s="17" t="str">
        <f>IF(共有用1!U27="","",共有用1!U27&amp;"/"&amp;COUNTIF(共有用1!U$2:U27,共有用1!U27))</f>
        <v/>
      </c>
      <c r="V27" s="17" t="str">
        <f>IF(共有用1!V27="","",共有用1!V27&amp;"/"&amp;COUNTIF(共有用1!V$2:V27,共有用1!V27))</f>
        <v/>
      </c>
      <c r="W27" s="17" t="str">
        <f>IF(共有用1!W27="","",共有用1!W27&amp;"/"&amp;COUNTIF(共有用1!W$2:W27,共有用1!W27))</f>
        <v/>
      </c>
      <c r="X27" s="17" t="str">
        <f>IF(共有用1!X27="","",共有用1!X27&amp;"/"&amp;COUNTIF(共有用1!X$2:X27,共有用1!X27))</f>
        <v/>
      </c>
      <c r="Y27" s="17" t="str">
        <f>IF(共有用1!Y27="","",共有用1!Y27&amp;"/"&amp;COUNTIF(共有用1!Y$2:Y27,共有用1!Y27))</f>
        <v/>
      </c>
      <c r="Z27" s="17" t="str">
        <f>IF(共有用1!Z27="","",共有用1!Z27&amp;"/"&amp;COUNTIF(共有用1!Z$2:Z27,共有用1!Z27))</f>
        <v/>
      </c>
      <c r="AA27" s="17" t="str">
        <f>IF(共有用1!AA27="","",共有用1!AA27&amp;"/"&amp;COUNTIF(共有用1!AA$2:AA27,共有用1!AA27))</f>
        <v/>
      </c>
      <c r="AB27" s="17" t="str">
        <f>IF(共有用1!AB27="","",共有用1!AB27&amp;"/"&amp;COUNTIF(共有用1!AB$2:AB27,共有用1!AB27))</f>
        <v/>
      </c>
      <c r="AC27" s="17" t="str">
        <f>IF(共有用1!AC27="","",共有用1!AC27&amp;"/"&amp;COUNTIF(共有用1!AC$2:AC27,共有用1!AC27))</f>
        <v/>
      </c>
      <c r="AD27" s="17" t="str">
        <f>IF(共有用1!AD27="","",共有用1!AD27&amp;"/"&amp;COUNTIF(共有用1!AD$2:AD27,共有用1!AD27))</f>
        <v/>
      </c>
      <c r="AE27" s="17" t="str">
        <f>IF(共有用1!AE27="","",共有用1!AE27&amp;"/"&amp;COUNTIF(共有用1!AE$2:AE27,共有用1!AE27))</f>
        <v/>
      </c>
      <c r="AF27" s="17" t="str">
        <f>IF(共有用1!AF27="","",共有用1!AF27&amp;"/"&amp;COUNTIF(共有用1!AF$2:AF27,共有用1!AF27))</f>
        <v/>
      </c>
      <c r="AG27" s="17" t="str">
        <f>IF(共有用1!AG27="","",共有用1!AG27&amp;"/"&amp;COUNTIF(共有用1!AG$2:AG27,共有用1!AG27))</f>
        <v/>
      </c>
      <c r="AH27" s="17" t="str">
        <f>IF(共有用1!AH27="","",共有用1!AH27&amp;"/"&amp;COUNTIF(共有用1!AH$2:AH27,共有用1!AH27))</f>
        <v/>
      </c>
      <c r="AI27" s="17" t="str">
        <f>IF(共有用1!AI27="","",共有用1!AI27&amp;"/"&amp;COUNTIF(共有用1!AI$2:AI27,共有用1!AI27))</f>
        <v/>
      </c>
      <c r="AJ27" s="17" t="str">
        <f>IF(共有用1!AJ27="","",共有用1!AJ27&amp;"/"&amp;COUNTIF(共有用1!AJ$2:AJ27,共有用1!AJ27))</f>
        <v/>
      </c>
      <c r="AK27" s="17" t="str">
        <f>IF(共有用1!AK27="","",共有用1!AK27&amp;"/"&amp;COUNTIF(共有用1!AK$2:AK27,共有用1!AK27))</f>
        <v/>
      </c>
      <c r="AL27" s="17" t="str">
        <f>IF(共有用1!AL27="","",共有用1!AL27&amp;"/"&amp;COUNTIF(共有用1!AL$2:AL27,共有用1!AL27))</f>
        <v/>
      </c>
      <c r="AM27" s="17" t="str">
        <f>IF(共有用1!AM27="","",共有用1!AM27&amp;"/"&amp;COUNTIF(共有用1!AM$2:AM27,共有用1!AM27))</f>
        <v/>
      </c>
      <c r="AN27" s="17" t="str">
        <f>IF(共有用1!AN27="","",共有用1!AN27&amp;"/"&amp;COUNTIF(共有用1!AN$2:AN27,共有用1!AN27))</f>
        <v/>
      </c>
      <c r="AO27" s="17" t="str">
        <f>IF(共有用1!AO27="","",共有用1!AO27&amp;"/"&amp;COUNTIF(共有用1!AO$2:AO27,共有用1!AO27))</f>
        <v/>
      </c>
      <c r="AP27" s="17" t="str">
        <f>IF(共有用1!AP27="","",共有用1!AP27&amp;"/"&amp;COUNTIF(共有用1!AP$2:AP27,共有用1!AP27))</f>
        <v/>
      </c>
      <c r="AQ27" s="17" t="str">
        <f>IF(共有用1!AQ27="","",共有用1!AQ27&amp;"/"&amp;COUNTIF(共有用1!AQ$2:AQ27,共有用1!AQ27))</f>
        <v/>
      </c>
      <c r="AR27" s="17" t="str">
        <f>IF(共有用1!AR27="","",共有用1!AR27&amp;"/"&amp;COUNTIF(共有用1!AR$2:AR27,共有用1!AR27))</f>
        <v/>
      </c>
      <c r="AS27" s="17" t="str">
        <f>IF(共有用1!AS27="","",共有用1!AS27&amp;"/"&amp;COUNTIF(共有用1!AS$2:AS27,共有用1!AS27))</f>
        <v/>
      </c>
      <c r="AT27" s="17" t="str">
        <f>IF(共有用1!AT27="","",共有用1!AT27&amp;"/"&amp;COUNTIF(共有用1!AT$2:AT27,共有用1!AT27))</f>
        <v/>
      </c>
      <c r="AU27" s="17" t="str">
        <f>IF(共有用1!AU27="","",共有用1!AU27&amp;"/"&amp;COUNTIF(共有用1!AU$2:AU27,共有用1!AU27))</f>
        <v/>
      </c>
      <c r="AV27" s="17" t="str">
        <f>IF(共有用1!AV27="","",共有用1!AV27&amp;"/"&amp;COUNTIF(共有用1!AV$2:AV27,共有用1!AV27))</f>
        <v/>
      </c>
      <c r="AW27" s="17" t="str">
        <f>IF(共有用1!AW27="","",共有用1!AW27&amp;"/"&amp;COUNTIF(共有用1!AW$2:AW27,共有用1!AW27))</f>
        <v/>
      </c>
      <c r="AX27" s="17" t="str">
        <f>IF(共有用1!AX27="","",共有用1!AX27&amp;"/"&amp;COUNTIF(共有用1!AX$2:AX27,共有用1!AX27))</f>
        <v/>
      </c>
      <c r="AY27" s="17" t="str">
        <f>IF(共有用1!AY27="","",共有用1!AY27&amp;"/"&amp;COUNTIF(共有用1!AY$2:AY27,共有用1!AY27))</f>
        <v/>
      </c>
      <c r="AZ27" s="17" t="str">
        <f>IF(共有用1!AZ27="","",共有用1!AZ27&amp;"/"&amp;COUNTIF(共有用1!AZ$2:AZ27,共有用1!AZ27))</f>
        <v/>
      </c>
      <c r="BA27" s="17" t="str">
        <f>IF(共有用1!BA27="","",共有用1!BA27&amp;"/"&amp;COUNTIF(共有用1!BA$2:BA27,共有用1!BA27))</f>
        <v/>
      </c>
    </row>
    <row r="28" spans="1:53">
      <c r="A28" s="2" t="str">
        <f>共有用1!A28</f>
        <v/>
      </c>
      <c r="B28" s="2" t="str">
        <f>共有用1!B28</f>
        <v/>
      </c>
      <c r="C28" s="2" t="str">
        <f>共有用1!C28</f>
        <v/>
      </c>
      <c r="D28" s="17" t="str">
        <f>IF(共有用1!D28="","",共有用1!D28&amp;"/"&amp;COUNTIF(共有用1!D$2:D28,共有用1!D28))</f>
        <v/>
      </c>
      <c r="E28" s="17" t="str">
        <f>IF(共有用1!E28="","",共有用1!E28&amp;"/"&amp;COUNTIF(共有用1!E$2:E28,共有用1!E28))</f>
        <v/>
      </c>
      <c r="F28" s="17" t="str">
        <f>IF(共有用1!F28="","",共有用1!F28&amp;"/"&amp;COUNTIF(共有用1!F$2:F28,共有用1!F28))</f>
        <v/>
      </c>
      <c r="G28" s="17" t="str">
        <f>IF(共有用1!G28="","",共有用1!G28&amp;"/"&amp;COUNTIF(共有用1!G$2:G28,共有用1!G28))</f>
        <v/>
      </c>
      <c r="H28" s="17" t="str">
        <f>IF(共有用1!H28="","",共有用1!H28&amp;"/"&amp;COUNTIF(共有用1!H$2:H28,共有用1!H28))</f>
        <v/>
      </c>
      <c r="I28" s="17" t="str">
        <f>IF(共有用1!I28="","",共有用1!I28&amp;"/"&amp;COUNTIF(共有用1!I$2:I28,共有用1!I28))</f>
        <v/>
      </c>
      <c r="J28" s="17" t="str">
        <f>IF(共有用1!J28="","",共有用1!J28&amp;"/"&amp;COUNTIF(共有用1!J$2:J28,共有用1!J28))</f>
        <v/>
      </c>
      <c r="K28" s="17" t="str">
        <f>IF(共有用1!K28="","",共有用1!K28&amp;"/"&amp;COUNTIF(共有用1!K$2:K28,共有用1!K28))</f>
        <v/>
      </c>
      <c r="L28" s="17" t="str">
        <f>IF(共有用1!L28="","",共有用1!L28&amp;"/"&amp;COUNTIF(共有用1!L$2:L28,共有用1!L28))</f>
        <v/>
      </c>
      <c r="M28" s="17" t="str">
        <f>IF(共有用1!M28="","",共有用1!M28&amp;"/"&amp;COUNTIF(共有用1!M$2:M28,共有用1!M28))</f>
        <v/>
      </c>
      <c r="N28" s="17" t="str">
        <f>IF(共有用1!N28="","",共有用1!N28&amp;"/"&amp;COUNTIF(共有用1!N$2:N28,共有用1!N28))</f>
        <v/>
      </c>
      <c r="O28" s="17" t="str">
        <f>IF(共有用1!O28="","",共有用1!O28&amp;"/"&amp;COUNTIF(共有用1!O$2:O28,共有用1!O28))</f>
        <v/>
      </c>
      <c r="P28" s="17" t="str">
        <f>IF(共有用1!P28="","",共有用1!P28&amp;"/"&amp;COUNTIF(共有用1!P$2:P28,共有用1!P28))</f>
        <v/>
      </c>
      <c r="Q28" s="17" t="str">
        <f>IF(共有用1!Q28="","",共有用1!Q28&amp;"/"&amp;COUNTIF(共有用1!Q$2:Q28,共有用1!Q28))</f>
        <v/>
      </c>
      <c r="R28" s="17" t="str">
        <f>IF(共有用1!R28="","",共有用1!R28&amp;"/"&amp;COUNTIF(共有用1!R$2:R28,共有用1!R28))</f>
        <v/>
      </c>
      <c r="S28" s="17" t="str">
        <f>IF(共有用1!S28="","",共有用1!S28&amp;"/"&amp;COUNTIF(共有用1!S$2:S28,共有用1!S28))</f>
        <v/>
      </c>
      <c r="T28" s="17" t="str">
        <f>IF(共有用1!T28="","",共有用1!T28&amp;"/"&amp;COUNTIF(共有用1!T$2:T28,共有用1!T28))</f>
        <v/>
      </c>
      <c r="U28" s="17" t="str">
        <f>IF(共有用1!U28="","",共有用1!U28&amp;"/"&amp;COUNTIF(共有用1!U$2:U28,共有用1!U28))</f>
        <v/>
      </c>
      <c r="V28" s="17" t="str">
        <f>IF(共有用1!V28="","",共有用1!V28&amp;"/"&amp;COUNTIF(共有用1!V$2:V28,共有用1!V28))</f>
        <v/>
      </c>
      <c r="W28" s="17" t="str">
        <f>IF(共有用1!W28="","",共有用1!W28&amp;"/"&amp;COUNTIF(共有用1!W$2:W28,共有用1!W28))</f>
        <v/>
      </c>
      <c r="X28" s="17" t="str">
        <f>IF(共有用1!X28="","",共有用1!X28&amp;"/"&amp;COUNTIF(共有用1!X$2:X28,共有用1!X28))</f>
        <v/>
      </c>
      <c r="Y28" s="17" t="str">
        <f>IF(共有用1!Y28="","",共有用1!Y28&amp;"/"&amp;COUNTIF(共有用1!Y$2:Y28,共有用1!Y28))</f>
        <v/>
      </c>
      <c r="Z28" s="17" t="str">
        <f>IF(共有用1!Z28="","",共有用1!Z28&amp;"/"&amp;COUNTIF(共有用1!Z$2:Z28,共有用1!Z28))</f>
        <v/>
      </c>
      <c r="AA28" s="17" t="str">
        <f>IF(共有用1!AA28="","",共有用1!AA28&amp;"/"&amp;COUNTIF(共有用1!AA$2:AA28,共有用1!AA28))</f>
        <v/>
      </c>
      <c r="AB28" s="17" t="str">
        <f>IF(共有用1!AB28="","",共有用1!AB28&amp;"/"&amp;COUNTIF(共有用1!AB$2:AB28,共有用1!AB28))</f>
        <v/>
      </c>
      <c r="AC28" s="17" t="str">
        <f>IF(共有用1!AC28="","",共有用1!AC28&amp;"/"&amp;COUNTIF(共有用1!AC$2:AC28,共有用1!AC28))</f>
        <v/>
      </c>
      <c r="AD28" s="17" t="str">
        <f>IF(共有用1!AD28="","",共有用1!AD28&amp;"/"&amp;COUNTIF(共有用1!AD$2:AD28,共有用1!AD28))</f>
        <v/>
      </c>
      <c r="AE28" s="17" t="str">
        <f>IF(共有用1!AE28="","",共有用1!AE28&amp;"/"&amp;COUNTIF(共有用1!AE$2:AE28,共有用1!AE28))</f>
        <v/>
      </c>
      <c r="AF28" s="17" t="str">
        <f>IF(共有用1!AF28="","",共有用1!AF28&amp;"/"&amp;COUNTIF(共有用1!AF$2:AF28,共有用1!AF28))</f>
        <v/>
      </c>
      <c r="AG28" s="17" t="str">
        <f>IF(共有用1!AG28="","",共有用1!AG28&amp;"/"&amp;COUNTIF(共有用1!AG$2:AG28,共有用1!AG28))</f>
        <v/>
      </c>
      <c r="AH28" s="17" t="str">
        <f>IF(共有用1!AH28="","",共有用1!AH28&amp;"/"&amp;COUNTIF(共有用1!AH$2:AH28,共有用1!AH28))</f>
        <v/>
      </c>
      <c r="AI28" s="17" t="str">
        <f>IF(共有用1!AI28="","",共有用1!AI28&amp;"/"&amp;COUNTIF(共有用1!AI$2:AI28,共有用1!AI28))</f>
        <v/>
      </c>
      <c r="AJ28" s="17" t="str">
        <f>IF(共有用1!AJ28="","",共有用1!AJ28&amp;"/"&amp;COUNTIF(共有用1!AJ$2:AJ28,共有用1!AJ28))</f>
        <v/>
      </c>
      <c r="AK28" s="17" t="str">
        <f>IF(共有用1!AK28="","",共有用1!AK28&amp;"/"&amp;COUNTIF(共有用1!AK$2:AK28,共有用1!AK28))</f>
        <v/>
      </c>
      <c r="AL28" s="17" t="str">
        <f>IF(共有用1!AL28="","",共有用1!AL28&amp;"/"&amp;COUNTIF(共有用1!AL$2:AL28,共有用1!AL28))</f>
        <v/>
      </c>
      <c r="AM28" s="17" t="str">
        <f>IF(共有用1!AM28="","",共有用1!AM28&amp;"/"&amp;COUNTIF(共有用1!AM$2:AM28,共有用1!AM28))</f>
        <v/>
      </c>
      <c r="AN28" s="17" t="str">
        <f>IF(共有用1!AN28="","",共有用1!AN28&amp;"/"&amp;COUNTIF(共有用1!AN$2:AN28,共有用1!AN28))</f>
        <v/>
      </c>
      <c r="AO28" s="17" t="str">
        <f>IF(共有用1!AO28="","",共有用1!AO28&amp;"/"&amp;COUNTIF(共有用1!AO$2:AO28,共有用1!AO28))</f>
        <v/>
      </c>
      <c r="AP28" s="17" t="str">
        <f>IF(共有用1!AP28="","",共有用1!AP28&amp;"/"&amp;COUNTIF(共有用1!AP$2:AP28,共有用1!AP28))</f>
        <v/>
      </c>
      <c r="AQ28" s="17" t="str">
        <f>IF(共有用1!AQ28="","",共有用1!AQ28&amp;"/"&amp;COUNTIF(共有用1!AQ$2:AQ28,共有用1!AQ28))</f>
        <v/>
      </c>
      <c r="AR28" s="17" t="str">
        <f>IF(共有用1!AR28="","",共有用1!AR28&amp;"/"&amp;COUNTIF(共有用1!AR$2:AR28,共有用1!AR28))</f>
        <v/>
      </c>
      <c r="AS28" s="17" t="str">
        <f>IF(共有用1!AS28="","",共有用1!AS28&amp;"/"&amp;COUNTIF(共有用1!AS$2:AS28,共有用1!AS28))</f>
        <v/>
      </c>
      <c r="AT28" s="17" t="str">
        <f>IF(共有用1!AT28="","",共有用1!AT28&amp;"/"&amp;COUNTIF(共有用1!AT$2:AT28,共有用1!AT28))</f>
        <v/>
      </c>
      <c r="AU28" s="17" t="str">
        <f>IF(共有用1!AU28="","",共有用1!AU28&amp;"/"&amp;COUNTIF(共有用1!AU$2:AU28,共有用1!AU28))</f>
        <v/>
      </c>
      <c r="AV28" s="17" t="str">
        <f>IF(共有用1!AV28="","",共有用1!AV28&amp;"/"&amp;COUNTIF(共有用1!AV$2:AV28,共有用1!AV28))</f>
        <v/>
      </c>
      <c r="AW28" s="17" t="str">
        <f>IF(共有用1!AW28="","",共有用1!AW28&amp;"/"&amp;COUNTIF(共有用1!AW$2:AW28,共有用1!AW28))</f>
        <v/>
      </c>
      <c r="AX28" s="17" t="str">
        <f>IF(共有用1!AX28="","",共有用1!AX28&amp;"/"&amp;COUNTIF(共有用1!AX$2:AX28,共有用1!AX28))</f>
        <v/>
      </c>
      <c r="AY28" s="17" t="str">
        <f>IF(共有用1!AY28="","",共有用1!AY28&amp;"/"&amp;COUNTIF(共有用1!AY$2:AY28,共有用1!AY28))</f>
        <v/>
      </c>
      <c r="AZ28" s="17" t="str">
        <f>IF(共有用1!AZ28="","",共有用1!AZ28&amp;"/"&amp;COUNTIF(共有用1!AZ$2:AZ28,共有用1!AZ28))</f>
        <v/>
      </c>
      <c r="BA28" s="17" t="str">
        <f>IF(共有用1!BA28="","",共有用1!BA28&amp;"/"&amp;COUNTIF(共有用1!BA$2:BA28,共有用1!BA28))</f>
        <v/>
      </c>
    </row>
    <row r="29" spans="1:53">
      <c r="A29" s="2" t="str">
        <f>共有用1!A29</f>
        <v/>
      </c>
      <c r="B29" s="2" t="str">
        <f>共有用1!B29</f>
        <v/>
      </c>
      <c r="C29" s="2" t="str">
        <f>共有用1!C29</f>
        <v/>
      </c>
      <c r="D29" s="17" t="str">
        <f>IF(共有用1!D29="","",共有用1!D29&amp;"/"&amp;COUNTIF(共有用1!D$2:D29,共有用1!D29))</f>
        <v/>
      </c>
      <c r="E29" s="17" t="str">
        <f>IF(共有用1!E29="","",共有用1!E29&amp;"/"&amp;COUNTIF(共有用1!E$2:E29,共有用1!E29))</f>
        <v/>
      </c>
      <c r="F29" s="17" t="str">
        <f>IF(共有用1!F29="","",共有用1!F29&amp;"/"&amp;COUNTIF(共有用1!F$2:F29,共有用1!F29))</f>
        <v/>
      </c>
      <c r="G29" s="17" t="str">
        <f>IF(共有用1!G29="","",共有用1!G29&amp;"/"&amp;COUNTIF(共有用1!G$2:G29,共有用1!G29))</f>
        <v/>
      </c>
      <c r="H29" s="17" t="str">
        <f>IF(共有用1!H29="","",共有用1!H29&amp;"/"&amp;COUNTIF(共有用1!H$2:H29,共有用1!H29))</f>
        <v/>
      </c>
      <c r="I29" s="17" t="str">
        <f>IF(共有用1!I29="","",共有用1!I29&amp;"/"&amp;COUNTIF(共有用1!I$2:I29,共有用1!I29))</f>
        <v/>
      </c>
      <c r="J29" s="17" t="str">
        <f>IF(共有用1!J29="","",共有用1!J29&amp;"/"&amp;COUNTIF(共有用1!J$2:J29,共有用1!J29))</f>
        <v/>
      </c>
      <c r="K29" s="17" t="str">
        <f>IF(共有用1!K29="","",共有用1!K29&amp;"/"&amp;COUNTIF(共有用1!K$2:K29,共有用1!K29))</f>
        <v/>
      </c>
      <c r="L29" s="17" t="str">
        <f>IF(共有用1!L29="","",共有用1!L29&amp;"/"&amp;COUNTIF(共有用1!L$2:L29,共有用1!L29))</f>
        <v/>
      </c>
      <c r="M29" s="17" t="str">
        <f>IF(共有用1!M29="","",共有用1!M29&amp;"/"&amp;COUNTIF(共有用1!M$2:M29,共有用1!M29))</f>
        <v/>
      </c>
      <c r="N29" s="17" t="str">
        <f>IF(共有用1!N29="","",共有用1!N29&amp;"/"&amp;COUNTIF(共有用1!N$2:N29,共有用1!N29))</f>
        <v/>
      </c>
      <c r="O29" s="17" t="str">
        <f>IF(共有用1!O29="","",共有用1!O29&amp;"/"&amp;COUNTIF(共有用1!O$2:O29,共有用1!O29))</f>
        <v/>
      </c>
      <c r="P29" s="17" t="str">
        <f>IF(共有用1!P29="","",共有用1!P29&amp;"/"&amp;COUNTIF(共有用1!P$2:P29,共有用1!P29))</f>
        <v/>
      </c>
      <c r="Q29" s="17" t="str">
        <f>IF(共有用1!Q29="","",共有用1!Q29&amp;"/"&amp;COUNTIF(共有用1!Q$2:Q29,共有用1!Q29))</f>
        <v/>
      </c>
      <c r="R29" s="17" t="str">
        <f>IF(共有用1!R29="","",共有用1!R29&amp;"/"&amp;COUNTIF(共有用1!R$2:R29,共有用1!R29))</f>
        <v/>
      </c>
      <c r="S29" s="17" t="str">
        <f>IF(共有用1!S29="","",共有用1!S29&amp;"/"&amp;COUNTIF(共有用1!S$2:S29,共有用1!S29))</f>
        <v/>
      </c>
      <c r="T29" s="17" t="str">
        <f>IF(共有用1!T29="","",共有用1!T29&amp;"/"&amp;COUNTIF(共有用1!T$2:T29,共有用1!T29))</f>
        <v/>
      </c>
      <c r="U29" s="17" t="str">
        <f>IF(共有用1!U29="","",共有用1!U29&amp;"/"&amp;COUNTIF(共有用1!U$2:U29,共有用1!U29))</f>
        <v/>
      </c>
      <c r="V29" s="17" t="str">
        <f>IF(共有用1!V29="","",共有用1!V29&amp;"/"&amp;COUNTIF(共有用1!V$2:V29,共有用1!V29))</f>
        <v/>
      </c>
      <c r="W29" s="17" t="str">
        <f>IF(共有用1!W29="","",共有用1!W29&amp;"/"&amp;COUNTIF(共有用1!W$2:W29,共有用1!W29))</f>
        <v/>
      </c>
      <c r="X29" s="17" t="str">
        <f>IF(共有用1!X29="","",共有用1!X29&amp;"/"&amp;COUNTIF(共有用1!X$2:X29,共有用1!X29))</f>
        <v/>
      </c>
      <c r="Y29" s="17" t="str">
        <f>IF(共有用1!Y29="","",共有用1!Y29&amp;"/"&amp;COUNTIF(共有用1!Y$2:Y29,共有用1!Y29))</f>
        <v/>
      </c>
      <c r="Z29" s="17" t="str">
        <f>IF(共有用1!Z29="","",共有用1!Z29&amp;"/"&amp;COUNTIF(共有用1!Z$2:Z29,共有用1!Z29))</f>
        <v/>
      </c>
      <c r="AA29" s="17" t="str">
        <f>IF(共有用1!AA29="","",共有用1!AA29&amp;"/"&amp;COUNTIF(共有用1!AA$2:AA29,共有用1!AA29))</f>
        <v/>
      </c>
      <c r="AB29" s="17" t="str">
        <f>IF(共有用1!AB29="","",共有用1!AB29&amp;"/"&amp;COUNTIF(共有用1!AB$2:AB29,共有用1!AB29))</f>
        <v/>
      </c>
      <c r="AC29" s="17" t="str">
        <f>IF(共有用1!AC29="","",共有用1!AC29&amp;"/"&amp;COUNTIF(共有用1!AC$2:AC29,共有用1!AC29))</f>
        <v/>
      </c>
      <c r="AD29" s="17" t="str">
        <f>IF(共有用1!AD29="","",共有用1!AD29&amp;"/"&amp;COUNTIF(共有用1!AD$2:AD29,共有用1!AD29))</f>
        <v/>
      </c>
      <c r="AE29" s="17" t="str">
        <f>IF(共有用1!AE29="","",共有用1!AE29&amp;"/"&amp;COUNTIF(共有用1!AE$2:AE29,共有用1!AE29))</f>
        <v/>
      </c>
      <c r="AF29" s="17" t="str">
        <f>IF(共有用1!AF29="","",共有用1!AF29&amp;"/"&amp;COUNTIF(共有用1!AF$2:AF29,共有用1!AF29))</f>
        <v/>
      </c>
      <c r="AG29" s="17" t="str">
        <f>IF(共有用1!AG29="","",共有用1!AG29&amp;"/"&amp;COUNTIF(共有用1!AG$2:AG29,共有用1!AG29))</f>
        <v/>
      </c>
      <c r="AH29" s="17" t="str">
        <f>IF(共有用1!AH29="","",共有用1!AH29&amp;"/"&amp;COUNTIF(共有用1!AH$2:AH29,共有用1!AH29))</f>
        <v/>
      </c>
      <c r="AI29" s="17" t="str">
        <f>IF(共有用1!AI29="","",共有用1!AI29&amp;"/"&amp;COUNTIF(共有用1!AI$2:AI29,共有用1!AI29))</f>
        <v/>
      </c>
      <c r="AJ29" s="17" t="str">
        <f>IF(共有用1!AJ29="","",共有用1!AJ29&amp;"/"&amp;COUNTIF(共有用1!AJ$2:AJ29,共有用1!AJ29))</f>
        <v/>
      </c>
      <c r="AK29" s="17" t="str">
        <f>IF(共有用1!AK29="","",共有用1!AK29&amp;"/"&amp;COUNTIF(共有用1!AK$2:AK29,共有用1!AK29))</f>
        <v/>
      </c>
      <c r="AL29" s="17" t="str">
        <f>IF(共有用1!AL29="","",共有用1!AL29&amp;"/"&amp;COUNTIF(共有用1!AL$2:AL29,共有用1!AL29))</f>
        <v/>
      </c>
      <c r="AM29" s="17" t="str">
        <f>IF(共有用1!AM29="","",共有用1!AM29&amp;"/"&amp;COUNTIF(共有用1!AM$2:AM29,共有用1!AM29))</f>
        <v/>
      </c>
      <c r="AN29" s="17" t="str">
        <f>IF(共有用1!AN29="","",共有用1!AN29&amp;"/"&amp;COUNTIF(共有用1!AN$2:AN29,共有用1!AN29))</f>
        <v/>
      </c>
      <c r="AO29" s="17" t="str">
        <f>IF(共有用1!AO29="","",共有用1!AO29&amp;"/"&amp;COUNTIF(共有用1!AO$2:AO29,共有用1!AO29))</f>
        <v/>
      </c>
      <c r="AP29" s="17" t="str">
        <f>IF(共有用1!AP29="","",共有用1!AP29&amp;"/"&amp;COUNTIF(共有用1!AP$2:AP29,共有用1!AP29))</f>
        <v/>
      </c>
      <c r="AQ29" s="17" t="str">
        <f>IF(共有用1!AQ29="","",共有用1!AQ29&amp;"/"&amp;COUNTIF(共有用1!AQ$2:AQ29,共有用1!AQ29))</f>
        <v/>
      </c>
      <c r="AR29" s="17" t="str">
        <f>IF(共有用1!AR29="","",共有用1!AR29&amp;"/"&amp;COUNTIF(共有用1!AR$2:AR29,共有用1!AR29))</f>
        <v/>
      </c>
      <c r="AS29" s="17" t="str">
        <f>IF(共有用1!AS29="","",共有用1!AS29&amp;"/"&amp;COUNTIF(共有用1!AS$2:AS29,共有用1!AS29))</f>
        <v/>
      </c>
      <c r="AT29" s="17" t="str">
        <f>IF(共有用1!AT29="","",共有用1!AT29&amp;"/"&amp;COUNTIF(共有用1!AT$2:AT29,共有用1!AT29))</f>
        <v/>
      </c>
      <c r="AU29" s="17" t="str">
        <f>IF(共有用1!AU29="","",共有用1!AU29&amp;"/"&amp;COUNTIF(共有用1!AU$2:AU29,共有用1!AU29))</f>
        <v/>
      </c>
      <c r="AV29" s="17" t="str">
        <f>IF(共有用1!AV29="","",共有用1!AV29&amp;"/"&amp;COUNTIF(共有用1!AV$2:AV29,共有用1!AV29))</f>
        <v/>
      </c>
      <c r="AW29" s="17" t="str">
        <f>IF(共有用1!AW29="","",共有用1!AW29&amp;"/"&amp;COUNTIF(共有用1!AW$2:AW29,共有用1!AW29))</f>
        <v/>
      </c>
      <c r="AX29" s="17" t="str">
        <f>IF(共有用1!AX29="","",共有用1!AX29&amp;"/"&amp;COUNTIF(共有用1!AX$2:AX29,共有用1!AX29))</f>
        <v/>
      </c>
      <c r="AY29" s="17" t="str">
        <f>IF(共有用1!AY29="","",共有用1!AY29&amp;"/"&amp;COUNTIF(共有用1!AY$2:AY29,共有用1!AY29))</f>
        <v/>
      </c>
      <c r="AZ29" s="17" t="str">
        <f>IF(共有用1!AZ29="","",共有用1!AZ29&amp;"/"&amp;COUNTIF(共有用1!AZ$2:AZ29,共有用1!AZ29))</f>
        <v/>
      </c>
      <c r="BA29" s="17" t="str">
        <f>IF(共有用1!BA29="","",共有用1!BA29&amp;"/"&amp;COUNTIF(共有用1!BA$2:BA29,共有用1!BA29))</f>
        <v/>
      </c>
    </row>
    <row r="30" spans="1:53">
      <c r="A30" s="2" t="str">
        <f>共有用1!A30</f>
        <v/>
      </c>
      <c r="B30" s="2" t="str">
        <f>共有用1!B30</f>
        <v/>
      </c>
      <c r="C30" s="2" t="str">
        <f>共有用1!C30</f>
        <v/>
      </c>
      <c r="D30" s="17" t="str">
        <f>IF(共有用1!D30="","",共有用1!D30&amp;"/"&amp;COUNTIF(共有用1!D$2:D30,共有用1!D30))</f>
        <v/>
      </c>
      <c r="E30" s="17" t="str">
        <f>IF(共有用1!E30="","",共有用1!E30&amp;"/"&amp;COUNTIF(共有用1!E$2:E30,共有用1!E30))</f>
        <v/>
      </c>
      <c r="F30" s="17" t="str">
        <f>IF(共有用1!F30="","",共有用1!F30&amp;"/"&amp;COUNTIF(共有用1!F$2:F30,共有用1!F30))</f>
        <v/>
      </c>
      <c r="G30" s="17" t="str">
        <f>IF(共有用1!G30="","",共有用1!G30&amp;"/"&amp;COUNTIF(共有用1!G$2:G30,共有用1!G30))</f>
        <v/>
      </c>
      <c r="H30" s="17" t="str">
        <f>IF(共有用1!H30="","",共有用1!H30&amp;"/"&amp;COUNTIF(共有用1!H$2:H30,共有用1!H30))</f>
        <v/>
      </c>
      <c r="I30" s="17" t="str">
        <f>IF(共有用1!I30="","",共有用1!I30&amp;"/"&amp;COUNTIF(共有用1!I$2:I30,共有用1!I30))</f>
        <v/>
      </c>
      <c r="J30" s="17" t="str">
        <f>IF(共有用1!J30="","",共有用1!J30&amp;"/"&amp;COUNTIF(共有用1!J$2:J30,共有用1!J30))</f>
        <v/>
      </c>
      <c r="K30" s="17" t="str">
        <f>IF(共有用1!K30="","",共有用1!K30&amp;"/"&amp;COUNTIF(共有用1!K$2:K30,共有用1!K30))</f>
        <v/>
      </c>
      <c r="L30" s="17" t="str">
        <f>IF(共有用1!L30="","",共有用1!L30&amp;"/"&amp;COUNTIF(共有用1!L$2:L30,共有用1!L30))</f>
        <v/>
      </c>
      <c r="M30" s="17" t="str">
        <f>IF(共有用1!M30="","",共有用1!M30&amp;"/"&amp;COUNTIF(共有用1!M$2:M30,共有用1!M30))</f>
        <v/>
      </c>
      <c r="N30" s="17" t="str">
        <f>IF(共有用1!N30="","",共有用1!N30&amp;"/"&amp;COUNTIF(共有用1!N$2:N30,共有用1!N30))</f>
        <v/>
      </c>
      <c r="O30" s="17" t="str">
        <f>IF(共有用1!O30="","",共有用1!O30&amp;"/"&amp;COUNTIF(共有用1!O$2:O30,共有用1!O30))</f>
        <v/>
      </c>
      <c r="P30" s="17" t="str">
        <f>IF(共有用1!P30="","",共有用1!P30&amp;"/"&amp;COUNTIF(共有用1!P$2:P30,共有用1!P30))</f>
        <v/>
      </c>
      <c r="Q30" s="17" t="str">
        <f>IF(共有用1!Q30="","",共有用1!Q30&amp;"/"&amp;COUNTIF(共有用1!Q$2:Q30,共有用1!Q30))</f>
        <v/>
      </c>
      <c r="R30" s="17" t="str">
        <f>IF(共有用1!R30="","",共有用1!R30&amp;"/"&amp;COUNTIF(共有用1!R$2:R30,共有用1!R30))</f>
        <v/>
      </c>
      <c r="S30" s="17" t="str">
        <f>IF(共有用1!S30="","",共有用1!S30&amp;"/"&amp;COUNTIF(共有用1!S$2:S30,共有用1!S30))</f>
        <v/>
      </c>
      <c r="T30" s="17" t="str">
        <f>IF(共有用1!T30="","",共有用1!T30&amp;"/"&amp;COUNTIF(共有用1!T$2:T30,共有用1!T30))</f>
        <v/>
      </c>
      <c r="U30" s="17" t="str">
        <f>IF(共有用1!U30="","",共有用1!U30&amp;"/"&amp;COUNTIF(共有用1!U$2:U30,共有用1!U30))</f>
        <v/>
      </c>
      <c r="V30" s="17" t="str">
        <f>IF(共有用1!V30="","",共有用1!V30&amp;"/"&amp;COUNTIF(共有用1!V$2:V30,共有用1!V30))</f>
        <v/>
      </c>
      <c r="W30" s="17" t="str">
        <f>IF(共有用1!W30="","",共有用1!W30&amp;"/"&amp;COUNTIF(共有用1!W$2:W30,共有用1!W30))</f>
        <v/>
      </c>
      <c r="X30" s="17" t="str">
        <f>IF(共有用1!X30="","",共有用1!X30&amp;"/"&amp;COUNTIF(共有用1!X$2:X30,共有用1!X30))</f>
        <v/>
      </c>
      <c r="Y30" s="17" t="str">
        <f>IF(共有用1!Y30="","",共有用1!Y30&amp;"/"&amp;COUNTIF(共有用1!Y$2:Y30,共有用1!Y30))</f>
        <v/>
      </c>
      <c r="Z30" s="17" t="str">
        <f>IF(共有用1!Z30="","",共有用1!Z30&amp;"/"&amp;COUNTIF(共有用1!Z$2:Z30,共有用1!Z30))</f>
        <v/>
      </c>
      <c r="AA30" s="17" t="str">
        <f>IF(共有用1!AA30="","",共有用1!AA30&amp;"/"&amp;COUNTIF(共有用1!AA$2:AA30,共有用1!AA30))</f>
        <v/>
      </c>
      <c r="AB30" s="17" t="str">
        <f>IF(共有用1!AB30="","",共有用1!AB30&amp;"/"&amp;COUNTIF(共有用1!AB$2:AB30,共有用1!AB30))</f>
        <v/>
      </c>
      <c r="AC30" s="17" t="str">
        <f>IF(共有用1!AC30="","",共有用1!AC30&amp;"/"&amp;COUNTIF(共有用1!AC$2:AC30,共有用1!AC30))</f>
        <v/>
      </c>
      <c r="AD30" s="17" t="str">
        <f>IF(共有用1!AD30="","",共有用1!AD30&amp;"/"&amp;COUNTIF(共有用1!AD$2:AD30,共有用1!AD30))</f>
        <v/>
      </c>
      <c r="AE30" s="17" t="str">
        <f>IF(共有用1!AE30="","",共有用1!AE30&amp;"/"&amp;COUNTIF(共有用1!AE$2:AE30,共有用1!AE30))</f>
        <v/>
      </c>
      <c r="AF30" s="17" t="str">
        <f>IF(共有用1!AF30="","",共有用1!AF30&amp;"/"&amp;COUNTIF(共有用1!AF$2:AF30,共有用1!AF30))</f>
        <v/>
      </c>
      <c r="AG30" s="17" t="str">
        <f>IF(共有用1!AG30="","",共有用1!AG30&amp;"/"&amp;COUNTIF(共有用1!AG$2:AG30,共有用1!AG30))</f>
        <v/>
      </c>
      <c r="AH30" s="17" t="str">
        <f>IF(共有用1!AH30="","",共有用1!AH30&amp;"/"&amp;COUNTIF(共有用1!AH$2:AH30,共有用1!AH30))</f>
        <v/>
      </c>
      <c r="AI30" s="17" t="str">
        <f>IF(共有用1!AI30="","",共有用1!AI30&amp;"/"&amp;COUNTIF(共有用1!AI$2:AI30,共有用1!AI30))</f>
        <v/>
      </c>
      <c r="AJ30" s="17" t="str">
        <f>IF(共有用1!AJ30="","",共有用1!AJ30&amp;"/"&amp;COUNTIF(共有用1!AJ$2:AJ30,共有用1!AJ30))</f>
        <v/>
      </c>
      <c r="AK30" s="17" t="str">
        <f>IF(共有用1!AK30="","",共有用1!AK30&amp;"/"&amp;COUNTIF(共有用1!AK$2:AK30,共有用1!AK30))</f>
        <v/>
      </c>
      <c r="AL30" s="17" t="str">
        <f>IF(共有用1!AL30="","",共有用1!AL30&amp;"/"&amp;COUNTIF(共有用1!AL$2:AL30,共有用1!AL30))</f>
        <v/>
      </c>
      <c r="AM30" s="17" t="str">
        <f>IF(共有用1!AM30="","",共有用1!AM30&amp;"/"&amp;COUNTIF(共有用1!AM$2:AM30,共有用1!AM30))</f>
        <v/>
      </c>
      <c r="AN30" s="17" t="str">
        <f>IF(共有用1!AN30="","",共有用1!AN30&amp;"/"&amp;COUNTIF(共有用1!AN$2:AN30,共有用1!AN30))</f>
        <v/>
      </c>
      <c r="AO30" s="17" t="str">
        <f>IF(共有用1!AO30="","",共有用1!AO30&amp;"/"&amp;COUNTIF(共有用1!AO$2:AO30,共有用1!AO30))</f>
        <v/>
      </c>
      <c r="AP30" s="17" t="str">
        <f>IF(共有用1!AP30="","",共有用1!AP30&amp;"/"&amp;COUNTIF(共有用1!AP$2:AP30,共有用1!AP30))</f>
        <v/>
      </c>
      <c r="AQ30" s="17" t="str">
        <f>IF(共有用1!AQ30="","",共有用1!AQ30&amp;"/"&amp;COUNTIF(共有用1!AQ$2:AQ30,共有用1!AQ30))</f>
        <v/>
      </c>
      <c r="AR30" s="17" t="str">
        <f>IF(共有用1!AR30="","",共有用1!AR30&amp;"/"&amp;COUNTIF(共有用1!AR$2:AR30,共有用1!AR30))</f>
        <v/>
      </c>
      <c r="AS30" s="17" t="str">
        <f>IF(共有用1!AS30="","",共有用1!AS30&amp;"/"&amp;COUNTIF(共有用1!AS$2:AS30,共有用1!AS30))</f>
        <v/>
      </c>
      <c r="AT30" s="17" t="str">
        <f>IF(共有用1!AT30="","",共有用1!AT30&amp;"/"&amp;COUNTIF(共有用1!AT$2:AT30,共有用1!AT30))</f>
        <v/>
      </c>
      <c r="AU30" s="17" t="str">
        <f>IF(共有用1!AU30="","",共有用1!AU30&amp;"/"&amp;COUNTIF(共有用1!AU$2:AU30,共有用1!AU30))</f>
        <v/>
      </c>
      <c r="AV30" s="17" t="str">
        <f>IF(共有用1!AV30="","",共有用1!AV30&amp;"/"&amp;COUNTIF(共有用1!AV$2:AV30,共有用1!AV30))</f>
        <v/>
      </c>
      <c r="AW30" s="17" t="str">
        <f>IF(共有用1!AW30="","",共有用1!AW30&amp;"/"&amp;COUNTIF(共有用1!AW$2:AW30,共有用1!AW30))</f>
        <v/>
      </c>
      <c r="AX30" s="17" t="str">
        <f>IF(共有用1!AX30="","",共有用1!AX30&amp;"/"&amp;COUNTIF(共有用1!AX$2:AX30,共有用1!AX30))</f>
        <v/>
      </c>
      <c r="AY30" s="17" t="str">
        <f>IF(共有用1!AY30="","",共有用1!AY30&amp;"/"&amp;COUNTIF(共有用1!AY$2:AY30,共有用1!AY30))</f>
        <v/>
      </c>
      <c r="AZ30" s="17" t="str">
        <f>IF(共有用1!AZ30="","",共有用1!AZ30&amp;"/"&amp;COUNTIF(共有用1!AZ$2:AZ30,共有用1!AZ30))</f>
        <v/>
      </c>
      <c r="BA30" s="17" t="str">
        <f>IF(共有用1!BA30="","",共有用1!BA30&amp;"/"&amp;COUNTIF(共有用1!BA$2:BA30,共有用1!BA30))</f>
        <v/>
      </c>
    </row>
    <row r="31" spans="1:53">
      <c r="A31" s="2" t="str">
        <f>共有用1!A31</f>
        <v/>
      </c>
      <c r="B31" s="2" t="str">
        <f>共有用1!B31</f>
        <v/>
      </c>
      <c r="C31" s="2" t="str">
        <f>共有用1!C31</f>
        <v/>
      </c>
      <c r="D31" s="17" t="str">
        <f>IF(共有用1!D31="","",共有用1!D31&amp;"/"&amp;COUNTIF(共有用1!D$2:D31,共有用1!D31))</f>
        <v/>
      </c>
      <c r="E31" s="17" t="str">
        <f>IF(共有用1!E31="","",共有用1!E31&amp;"/"&amp;COUNTIF(共有用1!E$2:E31,共有用1!E31))</f>
        <v/>
      </c>
      <c r="F31" s="17" t="str">
        <f>IF(共有用1!F31="","",共有用1!F31&amp;"/"&amp;COUNTIF(共有用1!F$2:F31,共有用1!F31))</f>
        <v/>
      </c>
      <c r="G31" s="17" t="str">
        <f>IF(共有用1!G31="","",共有用1!G31&amp;"/"&amp;COUNTIF(共有用1!G$2:G31,共有用1!G31))</f>
        <v/>
      </c>
      <c r="H31" s="17" t="str">
        <f>IF(共有用1!H31="","",共有用1!H31&amp;"/"&amp;COUNTIF(共有用1!H$2:H31,共有用1!H31))</f>
        <v/>
      </c>
      <c r="I31" s="17" t="str">
        <f>IF(共有用1!I31="","",共有用1!I31&amp;"/"&amp;COUNTIF(共有用1!I$2:I31,共有用1!I31))</f>
        <v/>
      </c>
      <c r="J31" s="17" t="str">
        <f>IF(共有用1!J31="","",共有用1!J31&amp;"/"&amp;COUNTIF(共有用1!J$2:J31,共有用1!J31))</f>
        <v/>
      </c>
      <c r="K31" s="17" t="str">
        <f>IF(共有用1!K31="","",共有用1!K31&amp;"/"&amp;COUNTIF(共有用1!K$2:K31,共有用1!K31))</f>
        <v/>
      </c>
      <c r="L31" s="17" t="str">
        <f>IF(共有用1!L31="","",共有用1!L31&amp;"/"&amp;COUNTIF(共有用1!L$2:L31,共有用1!L31))</f>
        <v/>
      </c>
      <c r="M31" s="17" t="str">
        <f>IF(共有用1!M31="","",共有用1!M31&amp;"/"&amp;COUNTIF(共有用1!M$2:M31,共有用1!M31))</f>
        <v/>
      </c>
      <c r="N31" s="17" t="str">
        <f>IF(共有用1!N31="","",共有用1!N31&amp;"/"&amp;COUNTIF(共有用1!N$2:N31,共有用1!N31))</f>
        <v/>
      </c>
      <c r="O31" s="17" t="str">
        <f>IF(共有用1!O31="","",共有用1!O31&amp;"/"&amp;COUNTIF(共有用1!O$2:O31,共有用1!O31))</f>
        <v/>
      </c>
      <c r="P31" s="17" t="str">
        <f>IF(共有用1!P31="","",共有用1!P31&amp;"/"&amp;COUNTIF(共有用1!P$2:P31,共有用1!P31))</f>
        <v/>
      </c>
      <c r="Q31" s="17" t="str">
        <f>IF(共有用1!Q31="","",共有用1!Q31&amp;"/"&amp;COUNTIF(共有用1!Q$2:Q31,共有用1!Q31))</f>
        <v/>
      </c>
      <c r="R31" s="17" t="str">
        <f>IF(共有用1!R31="","",共有用1!R31&amp;"/"&amp;COUNTIF(共有用1!R$2:R31,共有用1!R31))</f>
        <v/>
      </c>
      <c r="S31" s="17" t="str">
        <f>IF(共有用1!S31="","",共有用1!S31&amp;"/"&amp;COUNTIF(共有用1!S$2:S31,共有用1!S31))</f>
        <v/>
      </c>
      <c r="T31" s="17" t="str">
        <f>IF(共有用1!T31="","",共有用1!T31&amp;"/"&amp;COUNTIF(共有用1!T$2:T31,共有用1!T31))</f>
        <v/>
      </c>
      <c r="U31" s="17" t="str">
        <f>IF(共有用1!U31="","",共有用1!U31&amp;"/"&amp;COUNTIF(共有用1!U$2:U31,共有用1!U31))</f>
        <v/>
      </c>
      <c r="V31" s="17" t="str">
        <f>IF(共有用1!V31="","",共有用1!V31&amp;"/"&amp;COUNTIF(共有用1!V$2:V31,共有用1!V31))</f>
        <v/>
      </c>
      <c r="W31" s="17" t="str">
        <f>IF(共有用1!W31="","",共有用1!W31&amp;"/"&amp;COUNTIF(共有用1!W$2:W31,共有用1!W31))</f>
        <v/>
      </c>
      <c r="X31" s="17" t="str">
        <f>IF(共有用1!X31="","",共有用1!X31&amp;"/"&amp;COUNTIF(共有用1!X$2:X31,共有用1!X31))</f>
        <v/>
      </c>
      <c r="Y31" s="17" t="str">
        <f>IF(共有用1!Y31="","",共有用1!Y31&amp;"/"&amp;COUNTIF(共有用1!Y$2:Y31,共有用1!Y31))</f>
        <v/>
      </c>
      <c r="Z31" s="17" t="str">
        <f>IF(共有用1!Z31="","",共有用1!Z31&amp;"/"&amp;COUNTIF(共有用1!Z$2:Z31,共有用1!Z31))</f>
        <v/>
      </c>
      <c r="AA31" s="17" t="str">
        <f>IF(共有用1!AA31="","",共有用1!AA31&amp;"/"&amp;COUNTIF(共有用1!AA$2:AA31,共有用1!AA31))</f>
        <v/>
      </c>
      <c r="AB31" s="17" t="str">
        <f>IF(共有用1!AB31="","",共有用1!AB31&amp;"/"&amp;COUNTIF(共有用1!AB$2:AB31,共有用1!AB31))</f>
        <v/>
      </c>
      <c r="AC31" s="17" t="str">
        <f>IF(共有用1!AC31="","",共有用1!AC31&amp;"/"&amp;COUNTIF(共有用1!AC$2:AC31,共有用1!AC31))</f>
        <v/>
      </c>
      <c r="AD31" s="17" t="str">
        <f>IF(共有用1!AD31="","",共有用1!AD31&amp;"/"&amp;COUNTIF(共有用1!AD$2:AD31,共有用1!AD31))</f>
        <v/>
      </c>
      <c r="AE31" s="17" t="str">
        <f>IF(共有用1!AE31="","",共有用1!AE31&amp;"/"&amp;COUNTIF(共有用1!AE$2:AE31,共有用1!AE31))</f>
        <v/>
      </c>
      <c r="AF31" s="17" t="str">
        <f>IF(共有用1!AF31="","",共有用1!AF31&amp;"/"&amp;COUNTIF(共有用1!AF$2:AF31,共有用1!AF31))</f>
        <v/>
      </c>
      <c r="AG31" s="17" t="str">
        <f>IF(共有用1!AG31="","",共有用1!AG31&amp;"/"&amp;COUNTIF(共有用1!AG$2:AG31,共有用1!AG31))</f>
        <v/>
      </c>
      <c r="AH31" s="17" t="str">
        <f>IF(共有用1!AH31="","",共有用1!AH31&amp;"/"&amp;COUNTIF(共有用1!AH$2:AH31,共有用1!AH31))</f>
        <v/>
      </c>
      <c r="AI31" s="17" t="str">
        <f>IF(共有用1!AI31="","",共有用1!AI31&amp;"/"&amp;COUNTIF(共有用1!AI$2:AI31,共有用1!AI31))</f>
        <v/>
      </c>
      <c r="AJ31" s="17" t="str">
        <f>IF(共有用1!AJ31="","",共有用1!AJ31&amp;"/"&amp;COUNTIF(共有用1!AJ$2:AJ31,共有用1!AJ31))</f>
        <v/>
      </c>
      <c r="AK31" s="17" t="str">
        <f>IF(共有用1!AK31="","",共有用1!AK31&amp;"/"&amp;COUNTIF(共有用1!AK$2:AK31,共有用1!AK31))</f>
        <v/>
      </c>
      <c r="AL31" s="17" t="str">
        <f>IF(共有用1!AL31="","",共有用1!AL31&amp;"/"&amp;COUNTIF(共有用1!AL$2:AL31,共有用1!AL31))</f>
        <v/>
      </c>
      <c r="AM31" s="17" t="str">
        <f>IF(共有用1!AM31="","",共有用1!AM31&amp;"/"&amp;COUNTIF(共有用1!AM$2:AM31,共有用1!AM31))</f>
        <v/>
      </c>
      <c r="AN31" s="17" t="str">
        <f>IF(共有用1!AN31="","",共有用1!AN31&amp;"/"&amp;COUNTIF(共有用1!AN$2:AN31,共有用1!AN31))</f>
        <v/>
      </c>
      <c r="AO31" s="17" t="str">
        <f>IF(共有用1!AO31="","",共有用1!AO31&amp;"/"&amp;COUNTIF(共有用1!AO$2:AO31,共有用1!AO31))</f>
        <v/>
      </c>
      <c r="AP31" s="17" t="str">
        <f>IF(共有用1!AP31="","",共有用1!AP31&amp;"/"&amp;COUNTIF(共有用1!AP$2:AP31,共有用1!AP31))</f>
        <v/>
      </c>
      <c r="AQ31" s="17" t="str">
        <f>IF(共有用1!AQ31="","",共有用1!AQ31&amp;"/"&amp;COUNTIF(共有用1!AQ$2:AQ31,共有用1!AQ31))</f>
        <v/>
      </c>
      <c r="AR31" s="17" t="str">
        <f>IF(共有用1!AR31="","",共有用1!AR31&amp;"/"&amp;COUNTIF(共有用1!AR$2:AR31,共有用1!AR31))</f>
        <v/>
      </c>
      <c r="AS31" s="17" t="str">
        <f>IF(共有用1!AS31="","",共有用1!AS31&amp;"/"&amp;COUNTIF(共有用1!AS$2:AS31,共有用1!AS31))</f>
        <v/>
      </c>
      <c r="AT31" s="17" t="str">
        <f>IF(共有用1!AT31="","",共有用1!AT31&amp;"/"&amp;COUNTIF(共有用1!AT$2:AT31,共有用1!AT31))</f>
        <v/>
      </c>
      <c r="AU31" s="17" t="str">
        <f>IF(共有用1!AU31="","",共有用1!AU31&amp;"/"&amp;COUNTIF(共有用1!AU$2:AU31,共有用1!AU31))</f>
        <v/>
      </c>
      <c r="AV31" s="17" t="str">
        <f>IF(共有用1!AV31="","",共有用1!AV31&amp;"/"&amp;COUNTIF(共有用1!AV$2:AV31,共有用1!AV31))</f>
        <v/>
      </c>
      <c r="AW31" s="17" t="str">
        <f>IF(共有用1!AW31="","",共有用1!AW31&amp;"/"&amp;COUNTIF(共有用1!AW$2:AW31,共有用1!AW31))</f>
        <v/>
      </c>
      <c r="AX31" s="17" t="str">
        <f>IF(共有用1!AX31="","",共有用1!AX31&amp;"/"&amp;COUNTIF(共有用1!AX$2:AX31,共有用1!AX31))</f>
        <v/>
      </c>
      <c r="AY31" s="17" t="str">
        <f>IF(共有用1!AY31="","",共有用1!AY31&amp;"/"&amp;COUNTIF(共有用1!AY$2:AY31,共有用1!AY31))</f>
        <v/>
      </c>
      <c r="AZ31" s="17" t="str">
        <f>IF(共有用1!AZ31="","",共有用1!AZ31&amp;"/"&amp;COUNTIF(共有用1!AZ$2:AZ31,共有用1!AZ31))</f>
        <v/>
      </c>
      <c r="BA31" s="17" t="str">
        <f>IF(共有用1!BA31="","",共有用1!BA31&amp;"/"&amp;COUNTIF(共有用1!BA$2:BA31,共有用1!BA31))</f>
        <v/>
      </c>
    </row>
    <row r="32" spans="1:53">
      <c r="A32" s="2" t="str">
        <f>共有用1!A32</f>
        <v/>
      </c>
      <c r="B32" s="2" t="str">
        <f>共有用1!B32</f>
        <v/>
      </c>
      <c r="C32" s="2" t="str">
        <f>共有用1!C32</f>
        <v/>
      </c>
      <c r="D32" s="17" t="str">
        <f>IF(共有用1!D32="","",共有用1!D32&amp;"/"&amp;COUNTIF(共有用1!D$2:D32,共有用1!D32))</f>
        <v/>
      </c>
      <c r="E32" s="17" t="str">
        <f>IF(共有用1!E32="","",共有用1!E32&amp;"/"&amp;COUNTIF(共有用1!E$2:E32,共有用1!E32))</f>
        <v/>
      </c>
      <c r="F32" s="17" t="str">
        <f>IF(共有用1!F32="","",共有用1!F32&amp;"/"&amp;COUNTIF(共有用1!F$2:F32,共有用1!F32))</f>
        <v/>
      </c>
      <c r="G32" s="17" t="str">
        <f>IF(共有用1!G32="","",共有用1!G32&amp;"/"&amp;COUNTIF(共有用1!G$2:G32,共有用1!G32))</f>
        <v/>
      </c>
      <c r="H32" s="17" t="str">
        <f>IF(共有用1!H32="","",共有用1!H32&amp;"/"&amp;COUNTIF(共有用1!H$2:H32,共有用1!H32))</f>
        <v/>
      </c>
      <c r="I32" s="17" t="str">
        <f>IF(共有用1!I32="","",共有用1!I32&amp;"/"&amp;COUNTIF(共有用1!I$2:I32,共有用1!I32))</f>
        <v/>
      </c>
      <c r="J32" s="17" t="str">
        <f>IF(共有用1!J32="","",共有用1!J32&amp;"/"&amp;COUNTIF(共有用1!J$2:J32,共有用1!J32))</f>
        <v/>
      </c>
      <c r="K32" s="17" t="str">
        <f>IF(共有用1!K32="","",共有用1!K32&amp;"/"&amp;COUNTIF(共有用1!K$2:K32,共有用1!K32))</f>
        <v/>
      </c>
      <c r="L32" s="17" t="str">
        <f>IF(共有用1!L32="","",共有用1!L32&amp;"/"&amp;COUNTIF(共有用1!L$2:L32,共有用1!L32))</f>
        <v/>
      </c>
      <c r="M32" s="17" t="str">
        <f>IF(共有用1!M32="","",共有用1!M32&amp;"/"&amp;COUNTIF(共有用1!M$2:M32,共有用1!M32))</f>
        <v/>
      </c>
      <c r="N32" s="17" t="str">
        <f>IF(共有用1!N32="","",共有用1!N32&amp;"/"&amp;COUNTIF(共有用1!N$2:N32,共有用1!N32))</f>
        <v/>
      </c>
      <c r="O32" s="17" t="str">
        <f>IF(共有用1!O32="","",共有用1!O32&amp;"/"&amp;COUNTIF(共有用1!O$2:O32,共有用1!O32))</f>
        <v/>
      </c>
      <c r="P32" s="17" t="str">
        <f>IF(共有用1!P32="","",共有用1!P32&amp;"/"&amp;COUNTIF(共有用1!P$2:P32,共有用1!P32))</f>
        <v/>
      </c>
      <c r="Q32" s="17" t="str">
        <f>IF(共有用1!Q32="","",共有用1!Q32&amp;"/"&amp;COUNTIF(共有用1!Q$2:Q32,共有用1!Q32))</f>
        <v/>
      </c>
      <c r="R32" s="17" t="str">
        <f>IF(共有用1!R32="","",共有用1!R32&amp;"/"&amp;COUNTIF(共有用1!R$2:R32,共有用1!R32))</f>
        <v/>
      </c>
      <c r="S32" s="17" t="str">
        <f>IF(共有用1!S32="","",共有用1!S32&amp;"/"&amp;COUNTIF(共有用1!S$2:S32,共有用1!S32))</f>
        <v/>
      </c>
      <c r="T32" s="17" t="str">
        <f>IF(共有用1!T32="","",共有用1!T32&amp;"/"&amp;COUNTIF(共有用1!T$2:T32,共有用1!T32))</f>
        <v/>
      </c>
      <c r="U32" s="17" t="str">
        <f>IF(共有用1!U32="","",共有用1!U32&amp;"/"&amp;COUNTIF(共有用1!U$2:U32,共有用1!U32))</f>
        <v/>
      </c>
      <c r="V32" s="17" t="str">
        <f>IF(共有用1!V32="","",共有用1!V32&amp;"/"&amp;COUNTIF(共有用1!V$2:V32,共有用1!V32))</f>
        <v/>
      </c>
      <c r="W32" s="17" t="str">
        <f>IF(共有用1!W32="","",共有用1!W32&amp;"/"&amp;COUNTIF(共有用1!W$2:W32,共有用1!W32))</f>
        <v/>
      </c>
      <c r="X32" s="17" t="str">
        <f>IF(共有用1!X32="","",共有用1!X32&amp;"/"&amp;COUNTIF(共有用1!X$2:X32,共有用1!X32))</f>
        <v/>
      </c>
      <c r="Y32" s="17" t="str">
        <f>IF(共有用1!Y32="","",共有用1!Y32&amp;"/"&amp;COUNTIF(共有用1!Y$2:Y32,共有用1!Y32))</f>
        <v/>
      </c>
      <c r="Z32" s="17" t="str">
        <f>IF(共有用1!Z32="","",共有用1!Z32&amp;"/"&amp;COUNTIF(共有用1!Z$2:Z32,共有用1!Z32))</f>
        <v/>
      </c>
      <c r="AA32" s="17" t="str">
        <f>IF(共有用1!AA32="","",共有用1!AA32&amp;"/"&amp;COUNTIF(共有用1!AA$2:AA32,共有用1!AA32))</f>
        <v/>
      </c>
      <c r="AB32" s="17" t="str">
        <f>IF(共有用1!AB32="","",共有用1!AB32&amp;"/"&amp;COUNTIF(共有用1!AB$2:AB32,共有用1!AB32))</f>
        <v/>
      </c>
      <c r="AC32" s="17" t="str">
        <f>IF(共有用1!AC32="","",共有用1!AC32&amp;"/"&amp;COUNTIF(共有用1!AC$2:AC32,共有用1!AC32))</f>
        <v/>
      </c>
      <c r="AD32" s="17" t="str">
        <f>IF(共有用1!AD32="","",共有用1!AD32&amp;"/"&amp;COUNTIF(共有用1!AD$2:AD32,共有用1!AD32))</f>
        <v/>
      </c>
      <c r="AE32" s="17" t="str">
        <f>IF(共有用1!AE32="","",共有用1!AE32&amp;"/"&amp;COUNTIF(共有用1!AE$2:AE32,共有用1!AE32))</f>
        <v/>
      </c>
      <c r="AF32" s="17" t="str">
        <f>IF(共有用1!AF32="","",共有用1!AF32&amp;"/"&amp;COUNTIF(共有用1!AF$2:AF32,共有用1!AF32))</f>
        <v/>
      </c>
      <c r="AG32" s="17" t="str">
        <f>IF(共有用1!AG32="","",共有用1!AG32&amp;"/"&amp;COUNTIF(共有用1!AG$2:AG32,共有用1!AG32))</f>
        <v/>
      </c>
      <c r="AH32" s="17" t="str">
        <f>IF(共有用1!AH32="","",共有用1!AH32&amp;"/"&amp;COUNTIF(共有用1!AH$2:AH32,共有用1!AH32))</f>
        <v/>
      </c>
      <c r="AI32" s="17" t="str">
        <f>IF(共有用1!AI32="","",共有用1!AI32&amp;"/"&amp;COUNTIF(共有用1!AI$2:AI32,共有用1!AI32))</f>
        <v/>
      </c>
      <c r="AJ32" s="17" t="str">
        <f>IF(共有用1!AJ32="","",共有用1!AJ32&amp;"/"&amp;COUNTIF(共有用1!AJ$2:AJ32,共有用1!AJ32))</f>
        <v/>
      </c>
      <c r="AK32" s="17" t="str">
        <f>IF(共有用1!AK32="","",共有用1!AK32&amp;"/"&amp;COUNTIF(共有用1!AK$2:AK32,共有用1!AK32))</f>
        <v/>
      </c>
      <c r="AL32" s="17" t="str">
        <f>IF(共有用1!AL32="","",共有用1!AL32&amp;"/"&amp;COUNTIF(共有用1!AL$2:AL32,共有用1!AL32))</f>
        <v/>
      </c>
      <c r="AM32" s="17" t="str">
        <f>IF(共有用1!AM32="","",共有用1!AM32&amp;"/"&amp;COUNTIF(共有用1!AM$2:AM32,共有用1!AM32))</f>
        <v/>
      </c>
      <c r="AN32" s="17" t="str">
        <f>IF(共有用1!AN32="","",共有用1!AN32&amp;"/"&amp;COUNTIF(共有用1!AN$2:AN32,共有用1!AN32))</f>
        <v/>
      </c>
      <c r="AO32" s="17" t="str">
        <f>IF(共有用1!AO32="","",共有用1!AO32&amp;"/"&amp;COUNTIF(共有用1!AO$2:AO32,共有用1!AO32))</f>
        <v/>
      </c>
      <c r="AP32" s="17" t="str">
        <f>IF(共有用1!AP32="","",共有用1!AP32&amp;"/"&amp;COUNTIF(共有用1!AP$2:AP32,共有用1!AP32))</f>
        <v/>
      </c>
      <c r="AQ32" s="17" t="str">
        <f>IF(共有用1!AQ32="","",共有用1!AQ32&amp;"/"&amp;COUNTIF(共有用1!AQ$2:AQ32,共有用1!AQ32))</f>
        <v/>
      </c>
      <c r="AR32" s="17" t="str">
        <f>IF(共有用1!AR32="","",共有用1!AR32&amp;"/"&amp;COUNTIF(共有用1!AR$2:AR32,共有用1!AR32))</f>
        <v/>
      </c>
      <c r="AS32" s="17" t="str">
        <f>IF(共有用1!AS32="","",共有用1!AS32&amp;"/"&amp;COUNTIF(共有用1!AS$2:AS32,共有用1!AS32))</f>
        <v/>
      </c>
      <c r="AT32" s="17" t="str">
        <f>IF(共有用1!AT32="","",共有用1!AT32&amp;"/"&amp;COUNTIF(共有用1!AT$2:AT32,共有用1!AT32))</f>
        <v/>
      </c>
      <c r="AU32" s="17" t="str">
        <f>IF(共有用1!AU32="","",共有用1!AU32&amp;"/"&amp;COUNTIF(共有用1!AU$2:AU32,共有用1!AU32))</f>
        <v/>
      </c>
      <c r="AV32" s="17" t="str">
        <f>IF(共有用1!AV32="","",共有用1!AV32&amp;"/"&amp;COUNTIF(共有用1!AV$2:AV32,共有用1!AV32))</f>
        <v/>
      </c>
      <c r="AW32" s="17" t="str">
        <f>IF(共有用1!AW32="","",共有用1!AW32&amp;"/"&amp;COUNTIF(共有用1!AW$2:AW32,共有用1!AW32))</f>
        <v/>
      </c>
      <c r="AX32" s="17" t="str">
        <f>IF(共有用1!AX32="","",共有用1!AX32&amp;"/"&amp;COUNTIF(共有用1!AX$2:AX32,共有用1!AX32))</f>
        <v/>
      </c>
      <c r="AY32" s="17" t="str">
        <f>IF(共有用1!AY32="","",共有用1!AY32&amp;"/"&amp;COUNTIF(共有用1!AY$2:AY32,共有用1!AY32))</f>
        <v/>
      </c>
      <c r="AZ32" s="17" t="str">
        <f>IF(共有用1!AZ32="","",共有用1!AZ32&amp;"/"&amp;COUNTIF(共有用1!AZ$2:AZ32,共有用1!AZ32))</f>
        <v/>
      </c>
      <c r="BA32" s="17" t="str">
        <f>IF(共有用1!BA32="","",共有用1!BA32&amp;"/"&amp;COUNTIF(共有用1!BA$2:BA32,共有用1!BA32))</f>
        <v/>
      </c>
    </row>
    <row r="33" spans="1:53">
      <c r="A33" s="2" t="str">
        <f>共有用1!A33</f>
        <v/>
      </c>
      <c r="B33" s="2" t="str">
        <f>共有用1!B33</f>
        <v/>
      </c>
      <c r="C33" s="2" t="str">
        <f>共有用1!C33</f>
        <v/>
      </c>
      <c r="D33" s="17" t="str">
        <f>IF(共有用1!D33="","",共有用1!D33&amp;"/"&amp;COUNTIF(共有用1!D$2:D33,共有用1!D33))</f>
        <v/>
      </c>
      <c r="E33" s="17" t="str">
        <f>IF(共有用1!E33="","",共有用1!E33&amp;"/"&amp;COUNTIF(共有用1!E$2:E33,共有用1!E33))</f>
        <v/>
      </c>
      <c r="F33" s="17" t="str">
        <f>IF(共有用1!F33="","",共有用1!F33&amp;"/"&amp;COUNTIF(共有用1!F$2:F33,共有用1!F33))</f>
        <v/>
      </c>
      <c r="G33" s="17" t="str">
        <f>IF(共有用1!G33="","",共有用1!G33&amp;"/"&amp;COUNTIF(共有用1!G$2:G33,共有用1!G33))</f>
        <v/>
      </c>
      <c r="H33" s="17" t="str">
        <f>IF(共有用1!H33="","",共有用1!H33&amp;"/"&amp;COUNTIF(共有用1!H$2:H33,共有用1!H33))</f>
        <v/>
      </c>
      <c r="I33" s="17" t="str">
        <f>IF(共有用1!I33="","",共有用1!I33&amp;"/"&amp;COUNTIF(共有用1!I$2:I33,共有用1!I33))</f>
        <v/>
      </c>
      <c r="J33" s="17" t="str">
        <f>IF(共有用1!J33="","",共有用1!J33&amp;"/"&amp;COUNTIF(共有用1!J$2:J33,共有用1!J33))</f>
        <v/>
      </c>
      <c r="K33" s="17" t="str">
        <f>IF(共有用1!K33="","",共有用1!K33&amp;"/"&amp;COUNTIF(共有用1!K$2:K33,共有用1!K33))</f>
        <v/>
      </c>
      <c r="L33" s="17" t="str">
        <f>IF(共有用1!L33="","",共有用1!L33&amp;"/"&amp;COUNTIF(共有用1!L$2:L33,共有用1!L33))</f>
        <v/>
      </c>
      <c r="M33" s="17" t="str">
        <f>IF(共有用1!M33="","",共有用1!M33&amp;"/"&amp;COUNTIF(共有用1!M$2:M33,共有用1!M33))</f>
        <v/>
      </c>
      <c r="N33" s="17" t="str">
        <f>IF(共有用1!N33="","",共有用1!N33&amp;"/"&amp;COUNTIF(共有用1!N$2:N33,共有用1!N33))</f>
        <v/>
      </c>
      <c r="O33" s="17" t="str">
        <f>IF(共有用1!O33="","",共有用1!O33&amp;"/"&amp;COUNTIF(共有用1!O$2:O33,共有用1!O33))</f>
        <v/>
      </c>
      <c r="P33" s="17" t="str">
        <f>IF(共有用1!P33="","",共有用1!P33&amp;"/"&amp;COUNTIF(共有用1!P$2:P33,共有用1!P33))</f>
        <v/>
      </c>
      <c r="Q33" s="17" t="str">
        <f>IF(共有用1!Q33="","",共有用1!Q33&amp;"/"&amp;COUNTIF(共有用1!Q$2:Q33,共有用1!Q33))</f>
        <v/>
      </c>
      <c r="R33" s="17" t="str">
        <f>IF(共有用1!R33="","",共有用1!R33&amp;"/"&amp;COUNTIF(共有用1!R$2:R33,共有用1!R33))</f>
        <v/>
      </c>
      <c r="S33" s="17" t="str">
        <f>IF(共有用1!S33="","",共有用1!S33&amp;"/"&amp;COUNTIF(共有用1!S$2:S33,共有用1!S33))</f>
        <v/>
      </c>
      <c r="T33" s="17" t="str">
        <f>IF(共有用1!T33="","",共有用1!T33&amp;"/"&amp;COUNTIF(共有用1!T$2:T33,共有用1!T33))</f>
        <v/>
      </c>
      <c r="U33" s="17" t="str">
        <f>IF(共有用1!U33="","",共有用1!U33&amp;"/"&amp;COUNTIF(共有用1!U$2:U33,共有用1!U33))</f>
        <v/>
      </c>
      <c r="V33" s="17" t="str">
        <f>IF(共有用1!V33="","",共有用1!V33&amp;"/"&amp;COUNTIF(共有用1!V$2:V33,共有用1!V33))</f>
        <v/>
      </c>
      <c r="W33" s="17" t="str">
        <f>IF(共有用1!W33="","",共有用1!W33&amp;"/"&amp;COUNTIF(共有用1!W$2:W33,共有用1!W33))</f>
        <v/>
      </c>
      <c r="X33" s="17" t="str">
        <f>IF(共有用1!X33="","",共有用1!X33&amp;"/"&amp;COUNTIF(共有用1!X$2:X33,共有用1!X33))</f>
        <v/>
      </c>
      <c r="Y33" s="17" t="str">
        <f>IF(共有用1!Y33="","",共有用1!Y33&amp;"/"&amp;COUNTIF(共有用1!Y$2:Y33,共有用1!Y33))</f>
        <v/>
      </c>
      <c r="Z33" s="17" t="str">
        <f>IF(共有用1!Z33="","",共有用1!Z33&amp;"/"&amp;COUNTIF(共有用1!Z$2:Z33,共有用1!Z33))</f>
        <v/>
      </c>
      <c r="AA33" s="17" t="str">
        <f>IF(共有用1!AA33="","",共有用1!AA33&amp;"/"&amp;COUNTIF(共有用1!AA$2:AA33,共有用1!AA33))</f>
        <v/>
      </c>
      <c r="AB33" s="17" t="str">
        <f>IF(共有用1!AB33="","",共有用1!AB33&amp;"/"&amp;COUNTIF(共有用1!AB$2:AB33,共有用1!AB33))</f>
        <v/>
      </c>
      <c r="AC33" s="17" t="str">
        <f>IF(共有用1!AC33="","",共有用1!AC33&amp;"/"&amp;COUNTIF(共有用1!AC$2:AC33,共有用1!AC33))</f>
        <v/>
      </c>
      <c r="AD33" s="17" t="str">
        <f>IF(共有用1!AD33="","",共有用1!AD33&amp;"/"&amp;COUNTIF(共有用1!AD$2:AD33,共有用1!AD33))</f>
        <v/>
      </c>
      <c r="AE33" s="17" t="str">
        <f>IF(共有用1!AE33="","",共有用1!AE33&amp;"/"&amp;COUNTIF(共有用1!AE$2:AE33,共有用1!AE33))</f>
        <v/>
      </c>
      <c r="AF33" s="17" t="str">
        <f>IF(共有用1!AF33="","",共有用1!AF33&amp;"/"&amp;COUNTIF(共有用1!AF$2:AF33,共有用1!AF33))</f>
        <v/>
      </c>
      <c r="AG33" s="17" t="str">
        <f>IF(共有用1!AG33="","",共有用1!AG33&amp;"/"&amp;COUNTIF(共有用1!AG$2:AG33,共有用1!AG33))</f>
        <v/>
      </c>
      <c r="AH33" s="17" t="str">
        <f>IF(共有用1!AH33="","",共有用1!AH33&amp;"/"&amp;COUNTIF(共有用1!AH$2:AH33,共有用1!AH33))</f>
        <v/>
      </c>
      <c r="AI33" s="17" t="str">
        <f>IF(共有用1!AI33="","",共有用1!AI33&amp;"/"&amp;COUNTIF(共有用1!AI$2:AI33,共有用1!AI33))</f>
        <v/>
      </c>
      <c r="AJ33" s="17" t="str">
        <f>IF(共有用1!AJ33="","",共有用1!AJ33&amp;"/"&amp;COUNTIF(共有用1!AJ$2:AJ33,共有用1!AJ33))</f>
        <v/>
      </c>
      <c r="AK33" s="17" t="str">
        <f>IF(共有用1!AK33="","",共有用1!AK33&amp;"/"&amp;COUNTIF(共有用1!AK$2:AK33,共有用1!AK33))</f>
        <v/>
      </c>
      <c r="AL33" s="17" t="str">
        <f>IF(共有用1!AL33="","",共有用1!AL33&amp;"/"&amp;COUNTIF(共有用1!AL$2:AL33,共有用1!AL33))</f>
        <v/>
      </c>
      <c r="AM33" s="17" t="str">
        <f>IF(共有用1!AM33="","",共有用1!AM33&amp;"/"&amp;COUNTIF(共有用1!AM$2:AM33,共有用1!AM33))</f>
        <v/>
      </c>
      <c r="AN33" s="17" t="str">
        <f>IF(共有用1!AN33="","",共有用1!AN33&amp;"/"&amp;COUNTIF(共有用1!AN$2:AN33,共有用1!AN33))</f>
        <v/>
      </c>
      <c r="AO33" s="17" t="str">
        <f>IF(共有用1!AO33="","",共有用1!AO33&amp;"/"&amp;COUNTIF(共有用1!AO$2:AO33,共有用1!AO33))</f>
        <v/>
      </c>
      <c r="AP33" s="17" t="str">
        <f>IF(共有用1!AP33="","",共有用1!AP33&amp;"/"&amp;COUNTIF(共有用1!AP$2:AP33,共有用1!AP33))</f>
        <v/>
      </c>
      <c r="AQ33" s="17" t="str">
        <f>IF(共有用1!AQ33="","",共有用1!AQ33&amp;"/"&amp;COUNTIF(共有用1!AQ$2:AQ33,共有用1!AQ33))</f>
        <v/>
      </c>
      <c r="AR33" s="17" t="str">
        <f>IF(共有用1!AR33="","",共有用1!AR33&amp;"/"&amp;COUNTIF(共有用1!AR$2:AR33,共有用1!AR33))</f>
        <v/>
      </c>
      <c r="AS33" s="17" t="str">
        <f>IF(共有用1!AS33="","",共有用1!AS33&amp;"/"&amp;COUNTIF(共有用1!AS$2:AS33,共有用1!AS33))</f>
        <v/>
      </c>
      <c r="AT33" s="17" t="str">
        <f>IF(共有用1!AT33="","",共有用1!AT33&amp;"/"&amp;COUNTIF(共有用1!AT$2:AT33,共有用1!AT33))</f>
        <v/>
      </c>
      <c r="AU33" s="17" t="str">
        <f>IF(共有用1!AU33="","",共有用1!AU33&amp;"/"&amp;COUNTIF(共有用1!AU$2:AU33,共有用1!AU33))</f>
        <v/>
      </c>
      <c r="AV33" s="17" t="str">
        <f>IF(共有用1!AV33="","",共有用1!AV33&amp;"/"&amp;COUNTIF(共有用1!AV$2:AV33,共有用1!AV33))</f>
        <v/>
      </c>
      <c r="AW33" s="17" t="str">
        <f>IF(共有用1!AW33="","",共有用1!AW33&amp;"/"&amp;COUNTIF(共有用1!AW$2:AW33,共有用1!AW33))</f>
        <v/>
      </c>
      <c r="AX33" s="17" t="str">
        <f>IF(共有用1!AX33="","",共有用1!AX33&amp;"/"&amp;COUNTIF(共有用1!AX$2:AX33,共有用1!AX33))</f>
        <v/>
      </c>
      <c r="AY33" s="17" t="str">
        <f>IF(共有用1!AY33="","",共有用1!AY33&amp;"/"&amp;COUNTIF(共有用1!AY$2:AY33,共有用1!AY33))</f>
        <v/>
      </c>
      <c r="AZ33" s="17" t="str">
        <f>IF(共有用1!AZ33="","",共有用1!AZ33&amp;"/"&amp;COUNTIF(共有用1!AZ$2:AZ33,共有用1!AZ33))</f>
        <v/>
      </c>
      <c r="BA33" s="17" t="str">
        <f>IF(共有用1!BA33="","",共有用1!BA33&amp;"/"&amp;COUNTIF(共有用1!BA$2:BA33,共有用1!BA33))</f>
        <v/>
      </c>
    </row>
    <row r="34" spans="1:53">
      <c r="A34" s="2" t="str">
        <f>共有用1!A34</f>
        <v/>
      </c>
      <c r="B34" s="2" t="str">
        <f>共有用1!B34</f>
        <v/>
      </c>
      <c r="C34" s="2" t="str">
        <f>共有用1!C34</f>
        <v/>
      </c>
      <c r="D34" s="17" t="str">
        <f>IF(共有用1!D34="","",共有用1!D34&amp;"/"&amp;COUNTIF(共有用1!D$2:D34,共有用1!D34))</f>
        <v/>
      </c>
      <c r="E34" s="17" t="str">
        <f>IF(共有用1!E34="","",共有用1!E34&amp;"/"&amp;COUNTIF(共有用1!E$2:E34,共有用1!E34))</f>
        <v/>
      </c>
      <c r="F34" s="17" t="str">
        <f>IF(共有用1!F34="","",共有用1!F34&amp;"/"&amp;COUNTIF(共有用1!F$2:F34,共有用1!F34))</f>
        <v/>
      </c>
      <c r="G34" s="17" t="str">
        <f>IF(共有用1!G34="","",共有用1!G34&amp;"/"&amp;COUNTIF(共有用1!G$2:G34,共有用1!G34))</f>
        <v/>
      </c>
      <c r="H34" s="17" t="str">
        <f>IF(共有用1!H34="","",共有用1!H34&amp;"/"&amp;COUNTIF(共有用1!H$2:H34,共有用1!H34))</f>
        <v/>
      </c>
      <c r="I34" s="17" t="str">
        <f>IF(共有用1!I34="","",共有用1!I34&amp;"/"&amp;COUNTIF(共有用1!I$2:I34,共有用1!I34))</f>
        <v/>
      </c>
      <c r="J34" s="17" t="str">
        <f>IF(共有用1!J34="","",共有用1!J34&amp;"/"&amp;COUNTIF(共有用1!J$2:J34,共有用1!J34))</f>
        <v/>
      </c>
      <c r="K34" s="17" t="str">
        <f>IF(共有用1!K34="","",共有用1!K34&amp;"/"&amp;COUNTIF(共有用1!K$2:K34,共有用1!K34))</f>
        <v/>
      </c>
      <c r="L34" s="17" t="str">
        <f>IF(共有用1!L34="","",共有用1!L34&amp;"/"&amp;COUNTIF(共有用1!L$2:L34,共有用1!L34))</f>
        <v/>
      </c>
      <c r="M34" s="17" t="str">
        <f>IF(共有用1!M34="","",共有用1!M34&amp;"/"&amp;COUNTIF(共有用1!M$2:M34,共有用1!M34))</f>
        <v/>
      </c>
      <c r="N34" s="17" t="str">
        <f>IF(共有用1!N34="","",共有用1!N34&amp;"/"&amp;COUNTIF(共有用1!N$2:N34,共有用1!N34))</f>
        <v/>
      </c>
      <c r="O34" s="17" t="str">
        <f>IF(共有用1!O34="","",共有用1!O34&amp;"/"&amp;COUNTIF(共有用1!O$2:O34,共有用1!O34))</f>
        <v/>
      </c>
      <c r="P34" s="17" t="str">
        <f>IF(共有用1!P34="","",共有用1!P34&amp;"/"&amp;COUNTIF(共有用1!P$2:P34,共有用1!P34))</f>
        <v/>
      </c>
      <c r="Q34" s="17" t="str">
        <f>IF(共有用1!Q34="","",共有用1!Q34&amp;"/"&amp;COUNTIF(共有用1!Q$2:Q34,共有用1!Q34))</f>
        <v/>
      </c>
      <c r="R34" s="17" t="str">
        <f>IF(共有用1!R34="","",共有用1!R34&amp;"/"&amp;COUNTIF(共有用1!R$2:R34,共有用1!R34))</f>
        <v/>
      </c>
      <c r="S34" s="17" t="str">
        <f>IF(共有用1!S34="","",共有用1!S34&amp;"/"&amp;COUNTIF(共有用1!S$2:S34,共有用1!S34))</f>
        <v/>
      </c>
      <c r="T34" s="17" t="str">
        <f>IF(共有用1!T34="","",共有用1!T34&amp;"/"&amp;COUNTIF(共有用1!T$2:T34,共有用1!T34))</f>
        <v/>
      </c>
      <c r="U34" s="17" t="str">
        <f>IF(共有用1!U34="","",共有用1!U34&amp;"/"&amp;COUNTIF(共有用1!U$2:U34,共有用1!U34))</f>
        <v/>
      </c>
      <c r="V34" s="17" t="str">
        <f>IF(共有用1!V34="","",共有用1!V34&amp;"/"&amp;COUNTIF(共有用1!V$2:V34,共有用1!V34))</f>
        <v/>
      </c>
      <c r="W34" s="17" t="str">
        <f>IF(共有用1!W34="","",共有用1!W34&amp;"/"&amp;COUNTIF(共有用1!W$2:W34,共有用1!W34))</f>
        <v/>
      </c>
      <c r="X34" s="17" t="str">
        <f>IF(共有用1!X34="","",共有用1!X34&amp;"/"&amp;COUNTIF(共有用1!X$2:X34,共有用1!X34))</f>
        <v/>
      </c>
      <c r="Y34" s="17" t="str">
        <f>IF(共有用1!Y34="","",共有用1!Y34&amp;"/"&amp;COUNTIF(共有用1!Y$2:Y34,共有用1!Y34))</f>
        <v/>
      </c>
      <c r="Z34" s="17" t="str">
        <f>IF(共有用1!Z34="","",共有用1!Z34&amp;"/"&amp;COUNTIF(共有用1!Z$2:Z34,共有用1!Z34))</f>
        <v/>
      </c>
      <c r="AA34" s="17" t="str">
        <f>IF(共有用1!AA34="","",共有用1!AA34&amp;"/"&amp;COUNTIF(共有用1!AA$2:AA34,共有用1!AA34))</f>
        <v/>
      </c>
      <c r="AB34" s="17" t="str">
        <f>IF(共有用1!AB34="","",共有用1!AB34&amp;"/"&amp;COUNTIF(共有用1!AB$2:AB34,共有用1!AB34))</f>
        <v/>
      </c>
      <c r="AC34" s="17" t="str">
        <f>IF(共有用1!AC34="","",共有用1!AC34&amp;"/"&amp;COUNTIF(共有用1!AC$2:AC34,共有用1!AC34))</f>
        <v/>
      </c>
      <c r="AD34" s="17" t="str">
        <f>IF(共有用1!AD34="","",共有用1!AD34&amp;"/"&amp;COUNTIF(共有用1!AD$2:AD34,共有用1!AD34))</f>
        <v/>
      </c>
      <c r="AE34" s="17" t="str">
        <f>IF(共有用1!AE34="","",共有用1!AE34&amp;"/"&amp;COUNTIF(共有用1!AE$2:AE34,共有用1!AE34))</f>
        <v/>
      </c>
      <c r="AF34" s="17" t="str">
        <f>IF(共有用1!AF34="","",共有用1!AF34&amp;"/"&amp;COUNTIF(共有用1!AF$2:AF34,共有用1!AF34))</f>
        <v/>
      </c>
      <c r="AG34" s="17" t="str">
        <f>IF(共有用1!AG34="","",共有用1!AG34&amp;"/"&amp;COUNTIF(共有用1!AG$2:AG34,共有用1!AG34))</f>
        <v/>
      </c>
      <c r="AH34" s="17" t="str">
        <f>IF(共有用1!AH34="","",共有用1!AH34&amp;"/"&amp;COUNTIF(共有用1!AH$2:AH34,共有用1!AH34))</f>
        <v/>
      </c>
      <c r="AI34" s="17" t="str">
        <f>IF(共有用1!AI34="","",共有用1!AI34&amp;"/"&amp;COUNTIF(共有用1!AI$2:AI34,共有用1!AI34))</f>
        <v/>
      </c>
      <c r="AJ34" s="17" t="str">
        <f>IF(共有用1!AJ34="","",共有用1!AJ34&amp;"/"&amp;COUNTIF(共有用1!AJ$2:AJ34,共有用1!AJ34))</f>
        <v/>
      </c>
      <c r="AK34" s="17" t="str">
        <f>IF(共有用1!AK34="","",共有用1!AK34&amp;"/"&amp;COUNTIF(共有用1!AK$2:AK34,共有用1!AK34))</f>
        <v/>
      </c>
      <c r="AL34" s="17" t="str">
        <f>IF(共有用1!AL34="","",共有用1!AL34&amp;"/"&amp;COUNTIF(共有用1!AL$2:AL34,共有用1!AL34))</f>
        <v/>
      </c>
      <c r="AM34" s="17" t="str">
        <f>IF(共有用1!AM34="","",共有用1!AM34&amp;"/"&amp;COUNTIF(共有用1!AM$2:AM34,共有用1!AM34))</f>
        <v/>
      </c>
      <c r="AN34" s="17" t="str">
        <f>IF(共有用1!AN34="","",共有用1!AN34&amp;"/"&amp;COUNTIF(共有用1!AN$2:AN34,共有用1!AN34))</f>
        <v/>
      </c>
      <c r="AO34" s="17" t="str">
        <f>IF(共有用1!AO34="","",共有用1!AO34&amp;"/"&amp;COUNTIF(共有用1!AO$2:AO34,共有用1!AO34))</f>
        <v/>
      </c>
      <c r="AP34" s="17" t="str">
        <f>IF(共有用1!AP34="","",共有用1!AP34&amp;"/"&amp;COUNTIF(共有用1!AP$2:AP34,共有用1!AP34))</f>
        <v/>
      </c>
      <c r="AQ34" s="17" t="str">
        <f>IF(共有用1!AQ34="","",共有用1!AQ34&amp;"/"&amp;COUNTIF(共有用1!AQ$2:AQ34,共有用1!AQ34))</f>
        <v/>
      </c>
      <c r="AR34" s="17" t="str">
        <f>IF(共有用1!AR34="","",共有用1!AR34&amp;"/"&amp;COUNTIF(共有用1!AR$2:AR34,共有用1!AR34))</f>
        <v/>
      </c>
      <c r="AS34" s="17" t="str">
        <f>IF(共有用1!AS34="","",共有用1!AS34&amp;"/"&amp;COUNTIF(共有用1!AS$2:AS34,共有用1!AS34))</f>
        <v/>
      </c>
      <c r="AT34" s="17" t="str">
        <f>IF(共有用1!AT34="","",共有用1!AT34&amp;"/"&amp;COUNTIF(共有用1!AT$2:AT34,共有用1!AT34))</f>
        <v/>
      </c>
      <c r="AU34" s="17" t="str">
        <f>IF(共有用1!AU34="","",共有用1!AU34&amp;"/"&amp;COUNTIF(共有用1!AU$2:AU34,共有用1!AU34))</f>
        <v/>
      </c>
      <c r="AV34" s="17" t="str">
        <f>IF(共有用1!AV34="","",共有用1!AV34&amp;"/"&amp;COUNTIF(共有用1!AV$2:AV34,共有用1!AV34))</f>
        <v/>
      </c>
      <c r="AW34" s="17" t="str">
        <f>IF(共有用1!AW34="","",共有用1!AW34&amp;"/"&amp;COUNTIF(共有用1!AW$2:AW34,共有用1!AW34))</f>
        <v/>
      </c>
      <c r="AX34" s="17" t="str">
        <f>IF(共有用1!AX34="","",共有用1!AX34&amp;"/"&amp;COUNTIF(共有用1!AX$2:AX34,共有用1!AX34))</f>
        <v/>
      </c>
      <c r="AY34" s="17" t="str">
        <f>IF(共有用1!AY34="","",共有用1!AY34&amp;"/"&amp;COUNTIF(共有用1!AY$2:AY34,共有用1!AY34))</f>
        <v/>
      </c>
      <c r="AZ34" s="17" t="str">
        <f>IF(共有用1!AZ34="","",共有用1!AZ34&amp;"/"&amp;COUNTIF(共有用1!AZ$2:AZ34,共有用1!AZ34))</f>
        <v/>
      </c>
      <c r="BA34" s="17" t="str">
        <f>IF(共有用1!BA34="","",共有用1!BA34&amp;"/"&amp;COUNTIF(共有用1!BA$2:BA34,共有用1!BA34))</f>
        <v/>
      </c>
    </row>
    <row r="35" spans="1:53">
      <c r="A35" s="2" t="str">
        <f>共有用1!A35</f>
        <v/>
      </c>
      <c r="B35" s="2" t="str">
        <f>共有用1!B35</f>
        <v/>
      </c>
      <c r="C35" s="2" t="str">
        <f>共有用1!C35</f>
        <v/>
      </c>
      <c r="D35" s="17" t="str">
        <f>IF(共有用1!D35="","",共有用1!D35&amp;"/"&amp;COUNTIF(共有用1!D$2:D35,共有用1!D35))</f>
        <v/>
      </c>
      <c r="E35" s="17" t="str">
        <f>IF(共有用1!E35="","",共有用1!E35&amp;"/"&amp;COUNTIF(共有用1!E$2:E35,共有用1!E35))</f>
        <v/>
      </c>
      <c r="F35" s="17" t="str">
        <f>IF(共有用1!F35="","",共有用1!F35&amp;"/"&amp;COUNTIF(共有用1!F$2:F35,共有用1!F35))</f>
        <v/>
      </c>
      <c r="G35" s="17" t="str">
        <f>IF(共有用1!G35="","",共有用1!G35&amp;"/"&amp;COUNTIF(共有用1!G$2:G35,共有用1!G35))</f>
        <v/>
      </c>
      <c r="H35" s="17" t="str">
        <f>IF(共有用1!H35="","",共有用1!H35&amp;"/"&amp;COUNTIF(共有用1!H$2:H35,共有用1!H35))</f>
        <v/>
      </c>
      <c r="I35" s="17" t="str">
        <f>IF(共有用1!I35="","",共有用1!I35&amp;"/"&amp;COUNTIF(共有用1!I$2:I35,共有用1!I35))</f>
        <v/>
      </c>
      <c r="J35" s="17" t="str">
        <f>IF(共有用1!J35="","",共有用1!J35&amp;"/"&amp;COUNTIF(共有用1!J$2:J35,共有用1!J35))</f>
        <v/>
      </c>
      <c r="K35" s="17" t="str">
        <f>IF(共有用1!K35="","",共有用1!K35&amp;"/"&amp;COUNTIF(共有用1!K$2:K35,共有用1!K35))</f>
        <v/>
      </c>
      <c r="L35" s="17" t="str">
        <f>IF(共有用1!L35="","",共有用1!L35&amp;"/"&amp;COUNTIF(共有用1!L$2:L35,共有用1!L35))</f>
        <v/>
      </c>
      <c r="M35" s="17" t="str">
        <f>IF(共有用1!M35="","",共有用1!M35&amp;"/"&amp;COUNTIF(共有用1!M$2:M35,共有用1!M35))</f>
        <v/>
      </c>
      <c r="N35" s="17" t="str">
        <f>IF(共有用1!N35="","",共有用1!N35&amp;"/"&amp;COUNTIF(共有用1!N$2:N35,共有用1!N35))</f>
        <v/>
      </c>
      <c r="O35" s="17" t="str">
        <f>IF(共有用1!O35="","",共有用1!O35&amp;"/"&amp;COUNTIF(共有用1!O$2:O35,共有用1!O35))</f>
        <v/>
      </c>
      <c r="P35" s="17" t="str">
        <f>IF(共有用1!P35="","",共有用1!P35&amp;"/"&amp;COUNTIF(共有用1!P$2:P35,共有用1!P35))</f>
        <v/>
      </c>
      <c r="Q35" s="17" t="str">
        <f>IF(共有用1!Q35="","",共有用1!Q35&amp;"/"&amp;COUNTIF(共有用1!Q$2:Q35,共有用1!Q35))</f>
        <v/>
      </c>
      <c r="R35" s="17" t="str">
        <f>IF(共有用1!R35="","",共有用1!R35&amp;"/"&amp;COUNTIF(共有用1!R$2:R35,共有用1!R35))</f>
        <v/>
      </c>
      <c r="S35" s="17" t="str">
        <f>IF(共有用1!S35="","",共有用1!S35&amp;"/"&amp;COUNTIF(共有用1!S$2:S35,共有用1!S35))</f>
        <v/>
      </c>
      <c r="T35" s="17" t="str">
        <f>IF(共有用1!T35="","",共有用1!T35&amp;"/"&amp;COUNTIF(共有用1!T$2:T35,共有用1!T35))</f>
        <v/>
      </c>
      <c r="U35" s="17" t="str">
        <f>IF(共有用1!U35="","",共有用1!U35&amp;"/"&amp;COUNTIF(共有用1!U$2:U35,共有用1!U35))</f>
        <v/>
      </c>
      <c r="V35" s="17" t="str">
        <f>IF(共有用1!V35="","",共有用1!V35&amp;"/"&amp;COUNTIF(共有用1!V$2:V35,共有用1!V35))</f>
        <v/>
      </c>
      <c r="W35" s="17" t="str">
        <f>IF(共有用1!W35="","",共有用1!W35&amp;"/"&amp;COUNTIF(共有用1!W$2:W35,共有用1!W35))</f>
        <v/>
      </c>
      <c r="X35" s="17" t="str">
        <f>IF(共有用1!X35="","",共有用1!X35&amp;"/"&amp;COUNTIF(共有用1!X$2:X35,共有用1!X35))</f>
        <v/>
      </c>
      <c r="Y35" s="17" t="str">
        <f>IF(共有用1!Y35="","",共有用1!Y35&amp;"/"&amp;COUNTIF(共有用1!Y$2:Y35,共有用1!Y35))</f>
        <v/>
      </c>
      <c r="Z35" s="17" t="str">
        <f>IF(共有用1!Z35="","",共有用1!Z35&amp;"/"&amp;COUNTIF(共有用1!Z$2:Z35,共有用1!Z35))</f>
        <v/>
      </c>
      <c r="AA35" s="17" t="str">
        <f>IF(共有用1!AA35="","",共有用1!AA35&amp;"/"&amp;COUNTIF(共有用1!AA$2:AA35,共有用1!AA35))</f>
        <v/>
      </c>
      <c r="AB35" s="17" t="str">
        <f>IF(共有用1!AB35="","",共有用1!AB35&amp;"/"&amp;COUNTIF(共有用1!AB$2:AB35,共有用1!AB35))</f>
        <v/>
      </c>
      <c r="AC35" s="17" t="str">
        <f>IF(共有用1!AC35="","",共有用1!AC35&amp;"/"&amp;COUNTIF(共有用1!AC$2:AC35,共有用1!AC35))</f>
        <v/>
      </c>
      <c r="AD35" s="17" t="str">
        <f>IF(共有用1!AD35="","",共有用1!AD35&amp;"/"&amp;COUNTIF(共有用1!AD$2:AD35,共有用1!AD35))</f>
        <v/>
      </c>
      <c r="AE35" s="17" t="str">
        <f>IF(共有用1!AE35="","",共有用1!AE35&amp;"/"&amp;COUNTIF(共有用1!AE$2:AE35,共有用1!AE35))</f>
        <v/>
      </c>
      <c r="AF35" s="17" t="str">
        <f>IF(共有用1!AF35="","",共有用1!AF35&amp;"/"&amp;COUNTIF(共有用1!AF$2:AF35,共有用1!AF35))</f>
        <v/>
      </c>
      <c r="AG35" s="17" t="str">
        <f>IF(共有用1!AG35="","",共有用1!AG35&amp;"/"&amp;COUNTIF(共有用1!AG$2:AG35,共有用1!AG35))</f>
        <v/>
      </c>
      <c r="AH35" s="17" t="str">
        <f>IF(共有用1!AH35="","",共有用1!AH35&amp;"/"&amp;COUNTIF(共有用1!AH$2:AH35,共有用1!AH35))</f>
        <v/>
      </c>
      <c r="AI35" s="17" t="str">
        <f>IF(共有用1!AI35="","",共有用1!AI35&amp;"/"&amp;COUNTIF(共有用1!AI$2:AI35,共有用1!AI35))</f>
        <v/>
      </c>
      <c r="AJ35" s="17" t="str">
        <f>IF(共有用1!AJ35="","",共有用1!AJ35&amp;"/"&amp;COUNTIF(共有用1!AJ$2:AJ35,共有用1!AJ35))</f>
        <v/>
      </c>
      <c r="AK35" s="17" t="str">
        <f>IF(共有用1!AK35="","",共有用1!AK35&amp;"/"&amp;COUNTIF(共有用1!AK$2:AK35,共有用1!AK35))</f>
        <v/>
      </c>
      <c r="AL35" s="17" t="str">
        <f>IF(共有用1!AL35="","",共有用1!AL35&amp;"/"&amp;COUNTIF(共有用1!AL$2:AL35,共有用1!AL35))</f>
        <v/>
      </c>
      <c r="AM35" s="17" t="str">
        <f>IF(共有用1!AM35="","",共有用1!AM35&amp;"/"&amp;COUNTIF(共有用1!AM$2:AM35,共有用1!AM35))</f>
        <v/>
      </c>
      <c r="AN35" s="17" t="str">
        <f>IF(共有用1!AN35="","",共有用1!AN35&amp;"/"&amp;COUNTIF(共有用1!AN$2:AN35,共有用1!AN35))</f>
        <v/>
      </c>
      <c r="AO35" s="17" t="str">
        <f>IF(共有用1!AO35="","",共有用1!AO35&amp;"/"&amp;COUNTIF(共有用1!AO$2:AO35,共有用1!AO35))</f>
        <v/>
      </c>
      <c r="AP35" s="17" t="str">
        <f>IF(共有用1!AP35="","",共有用1!AP35&amp;"/"&amp;COUNTIF(共有用1!AP$2:AP35,共有用1!AP35))</f>
        <v/>
      </c>
      <c r="AQ35" s="17" t="str">
        <f>IF(共有用1!AQ35="","",共有用1!AQ35&amp;"/"&amp;COUNTIF(共有用1!AQ$2:AQ35,共有用1!AQ35))</f>
        <v/>
      </c>
      <c r="AR35" s="17" t="str">
        <f>IF(共有用1!AR35="","",共有用1!AR35&amp;"/"&amp;COUNTIF(共有用1!AR$2:AR35,共有用1!AR35))</f>
        <v/>
      </c>
      <c r="AS35" s="17" t="str">
        <f>IF(共有用1!AS35="","",共有用1!AS35&amp;"/"&amp;COUNTIF(共有用1!AS$2:AS35,共有用1!AS35))</f>
        <v/>
      </c>
      <c r="AT35" s="17" t="str">
        <f>IF(共有用1!AT35="","",共有用1!AT35&amp;"/"&amp;COUNTIF(共有用1!AT$2:AT35,共有用1!AT35))</f>
        <v/>
      </c>
      <c r="AU35" s="17" t="str">
        <f>IF(共有用1!AU35="","",共有用1!AU35&amp;"/"&amp;COUNTIF(共有用1!AU$2:AU35,共有用1!AU35))</f>
        <v/>
      </c>
      <c r="AV35" s="17" t="str">
        <f>IF(共有用1!AV35="","",共有用1!AV35&amp;"/"&amp;COUNTIF(共有用1!AV$2:AV35,共有用1!AV35))</f>
        <v/>
      </c>
      <c r="AW35" s="17" t="str">
        <f>IF(共有用1!AW35="","",共有用1!AW35&amp;"/"&amp;COUNTIF(共有用1!AW$2:AW35,共有用1!AW35))</f>
        <v/>
      </c>
      <c r="AX35" s="17" t="str">
        <f>IF(共有用1!AX35="","",共有用1!AX35&amp;"/"&amp;COUNTIF(共有用1!AX$2:AX35,共有用1!AX35))</f>
        <v/>
      </c>
      <c r="AY35" s="17" t="str">
        <f>IF(共有用1!AY35="","",共有用1!AY35&amp;"/"&amp;COUNTIF(共有用1!AY$2:AY35,共有用1!AY35))</f>
        <v/>
      </c>
      <c r="AZ35" s="17" t="str">
        <f>IF(共有用1!AZ35="","",共有用1!AZ35&amp;"/"&amp;COUNTIF(共有用1!AZ$2:AZ35,共有用1!AZ35))</f>
        <v/>
      </c>
      <c r="BA35" s="17" t="str">
        <f>IF(共有用1!BA35="","",共有用1!BA35&amp;"/"&amp;COUNTIF(共有用1!BA$2:BA35,共有用1!BA35))</f>
        <v/>
      </c>
    </row>
    <row r="36" spans="1:53">
      <c r="A36" s="2" t="str">
        <f>共有用1!A36</f>
        <v/>
      </c>
      <c r="B36" s="2" t="str">
        <f>共有用1!B36</f>
        <v/>
      </c>
      <c r="C36" s="2" t="str">
        <f>共有用1!C36</f>
        <v/>
      </c>
      <c r="D36" s="17" t="str">
        <f>IF(共有用1!D36="","",共有用1!D36&amp;"/"&amp;COUNTIF(共有用1!D$2:D36,共有用1!D36))</f>
        <v/>
      </c>
      <c r="E36" s="17" t="str">
        <f>IF(共有用1!E36="","",共有用1!E36&amp;"/"&amp;COUNTIF(共有用1!E$2:E36,共有用1!E36))</f>
        <v/>
      </c>
      <c r="F36" s="17" t="str">
        <f>IF(共有用1!F36="","",共有用1!F36&amp;"/"&amp;COUNTIF(共有用1!F$2:F36,共有用1!F36))</f>
        <v/>
      </c>
      <c r="G36" s="17" t="str">
        <f>IF(共有用1!G36="","",共有用1!G36&amp;"/"&amp;COUNTIF(共有用1!G$2:G36,共有用1!G36))</f>
        <v/>
      </c>
      <c r="H36" s="17" t="str">
        <f>IF(共有用1!H36="","",共有用1!H36&amp;"/"&amp;COUNTIF(共有用1!H$2:H36,共有用1!H36))</f>
        <v/>
      </c>
      <c r="I36" s="17" t="str">
        <f>IF(共有用1!I36="","",共有用1!I36&amp;"/"&amp;COUNTIF(共有用1!I$2:I36,共有用1!I36))</f>
        <v/>
      </c>
      <c r="J36" s="17" t="str">
        <f>IF(共有用1!J36="","",共有用1!J36&amp;"/"&amp;COUNTIF(共有用1!J$2:J36,共有用1!J36))</f>
        <v/>
      </c>
      <c r="K36" s="17" t="str">
        <f>IF(共有用1!K36="","",共有用1!K36&amp;"/"&amp;COUNTIF(共有用1!K$2:K36,共有用1!K36))</f>
        <v/>
      </c>
      <c r="L36" s="17" t="str">
        <f>IF(共有用1!L36="","",共有用1!L36&amp;"/"&amp;COUNTIF(共有用1!L$2:L36,共有用1!L36))</f>
        <v/>
      </c>
      <c r="M36" s="17" t="str">
        <f>IF(共有用1!M36="","",共有用1!M36&amp;"/"&amp;COUNTIF(共有用1!M$2:M36,共有用1!M36))</f>
        <v/>
      </c>
      <c r="N36" s="17" t="str">
        <f>IF(共有用1!N36="","",共有用1!N36&amp;"/"&amp;COUNTIF(共有用1!N$2:N36,共有用1!N36))</f>
        <v/>
      </c>
      <c r="O36" s="17" t="str">
        <f>IF(共有用1!O36="","",共有用1!O36&amp;"/"&amp;COUNTIF(共有用1!O$2:O36,共有用1!O36))</f>
        <v/>
      </c>
      <c r="P36" s="17" t="str">
        <f>IF(共有用1!P36="","",共有用1!P36&amp;"/"&amp;COUNTIF(共有用1!P$2:P36,共有用1!P36))</f>
        <v/>
      </c>
      <c r="Q36" s="17" t="str">
        <f>IF(共有用1!Q36="","",共有用1!Q36&amp;"/"&amp;COUNTIF(共有用1!Q$2:Q36,共有用1!Q36))</f>
        <v/>
      </c>
      <c r="R36" s="17" t="str">
        <f>IF(共有用1!R36="","",共有用1!R36&amp;"/"&amp;COUNTIF(共有用1!R$2:R36,共有用1!R36))</f>
        <v/>
      </c>
      <c r="S36" s="17" t="str">
        <f>IF(共有用1!S36="","",共有用1!S36&amp;"/"&amp;COUNTIF(共有用1!S$2:S36,共有用1!S36))</f>
        <v/>
      </c>
      <c r="T36" s="17" t="str">
        <f>IF(共有用1!T36="","",共有用1!T36&amp;"/"&amp;COUNTIF(共有用1!T$2:T36,共有用1!T36))</f>
        <v/>
      </c>
      <c r="U36" s="17" t="str">
        <f>IF(共有用1!U36="","",共有用1!U36&amp;"/"&amp;COUNTIF(共有用1!U$2:U36,共有用1!U36))</f>
        <v/>
      </c>
      <c r="V36" s="17" t="str">
        <f>IF(共有用1!V36="","",共有用1!V36&amp;"/"&amp;COUNTIF(共有用1!V$2:V36,共有用1!V36))</f>
        <v/>
      </c>
      <c r="W36" s="17" t="str">
        <f>IF(共有用1!W36="","",共有用1!W36&amp;"/"&amp;COUNTIF(共有用1!W$2:W36,共有用1!W36))</f>
        <v/>
      </c>
      <c r="X36" s="17" t="str">
        <f>IF(共有用1!X36="","",共有用1!X36&amp;"/"&amp;COUNTIF(共有用1!X$2:X36,共有用1!X36))</f>
        <v/>
      </c>
      <c r="Y36" s="17" t="str">
        <f>IF(共有用1!Y36="","",共有用1!Y36&amp;"/"&amp;COUNTIF(共有用1!Y$2:Y36,共有用1!Y36))</f>
        <v/>
      </c>
      <c r="Z36" s="17" t="str">
        <f>IF(共有用1!Z36="","",共有用1!Z36&amp;"/"&amp;COUNTIF(共有用1!Z$2:Z36,共有用1!Z36))</f>
        <v/>
      </c>
      <c r="AA36" s="17" t="str">
        <f>IF(共有用1!AA36="","",共有用1!AA36&amp;"/"&amp;COUNTIF(共有用1!AA$2:AA36,共有用1!AA36))</f>
        <v/>
      </c>
      <c r="AB36" s="17" t="str">
        <f>IF(共有用1!AB36="","",共有用1!AB36&amp;"/"&amp;COUNTIF(共有用1!AB$2:AB36,共有用1!AB36))</f>
        <v/>
      </c>
      <c r="AC36" s="17" t="str">
        <f>IF(共有用1!AC36="","",共有用1!AC36&amp;"/"&amp;COUNTIF(共有用1!AC$2:AC36,共有用1!AC36))</f>
        <v/>
      </c>
      <c r="AD36" s="17" t="str">
        <f>IF(共有用1!AD36="","",共有用1!AD36&amp;"/"&amp;COUNTIF(共有用1!AD$2:AD36,共有用1!AD36))</f>
        <v/>
      </c>
      <c r="AE36" s="17" t="str">
        <f>IF(共有用1!AE36="","",共有用1!AE36&amp;"/"&amp;COUNTIF(共有用1!AE$2:AE36,共有用1!AE36))</f>
        <v/>
      </c>
      <c r="AF36" s="17" t="str">
        <f>IF(共有用1!AF36="","",共有用1!AF36&amp;"/"&amp;COUNTIF(共有用1!AF$2:AF36,共有用1!AF36))</f>
        <v/>
      </c>
      <c r="AG36" s="17" t="str">
        <f>IF(共有用1!AG36="","",共有用1!AG36&amp;"/"&amp;COUNTIF(共有用1!AG$2:AG36,共有用1!AG36))</f>
        <v/>
      </c>
      <c r="AH36" s="17" t="str">
        <f>IF(共有用1!AH36="","",共有用1!AH36&amp;"/"&amp;COUNTIF(共有用1!AH$2:AH36,共有用1!AH36))</f>
        <v/>
      </c>
      <c r="AI36" s="17" t="str">
        <f>IF(共有用1!AI36="","",共有用1!AI36&amp;"/"&amp;COUNTIF(共有用1!AI$2:AI36,共有用1!AI36))</f>
        <v/>
      </c>
      <c r="AJ36" s="17" t="str">
        <f>IF(共有用1!AJ36="","",共有用1!AJ36&amp;"/"&amp;COUNTIF(共有用1!AJ$2:AJ36,共有用1!AJ36))</f>
        <v/>
      </c>
      <c r="AK36" s="17" t="str">
        <f>IF(共有用1!AK36="","",共有用1!AK36&amp;"/"&amp;COUNTIF(共有用1!AK$2:AK36,共有用1!AK36))</f>
        <v/>
      </c>
      <c r="AL36" s="17" t="str">
        <f>IF(共有用1!AL36="","",共有用1!AL36&amp;"/"&amp;COUNTIF(共有用1!AL$2:AL36,共有用1!AL36))</f>
        <v/>
      </c>
      <c r="AM36" s="17" t="str">
        <f>IF(共有用1!AM36="","",共有用1!AM36&amp;"/"&amp;COUNTIF(共有用1!AM$2:AM36,共有用1!AM36))</f>
        <v/>
      </c>
      <c r="AN36" s="17" t="str">
        <f>IF(共有用1!AN36="","",共有用1!AN36&amp;"/"&amp;COUNTIF(共有用1!AN$2:AN36,共有用1!AN36))</f>
        <v/>
      </c>
      <c r="AO36" s="17" t="str">
        <f>IF(共有用1!AO36="","",共有用1!AO36&amp;"/"&amp;COUNTIF(共有用1!AO$2:AO36,共有用1!AO36))</f>
        <v/>
      </c>
      <c r="AP36" s="17" t="str">
        <f>IF(共有用1!AP36="","",共有用1!AP36&amp;"/"&amp;COUNTIF(共有用1!AP$2:AP36,共有用1!AP36))</f>
        <v/>
      </c>
      <c r="AQ36" s="17" t="str">
        <f>IF(共有用1!AQ36="","",共有用1!AQ36&amp;"/"&amp;COUNTIF(共有用1!AQ$2:AQ36,共有用1!AQ36))</f>
        <v/>
      </c>
      <c r="AR36" s="17" t="str">
        <f>IF(共有用1!AR36="","",共有用1!AR36&amp;"/"&amp;COUNTIF(共有用1!AR$2:AR36,共有用1!AR36))</f>
        <v/>
      </c>
      <c r="AS36" s="17" t="str">
        <f>IF(共有用1!AS36="","",共有用1!AS36&amp;"/"&amp;COUNTIF(共有用1!AS$2:AS36,共有用1!AS36))</f>
        <v/>
      </c>
      <c r="AT36" s="17" t="str">
        <f>IF(共有用1!AT36="","",共有用1!AT36&amp;"/"&amp;COUNTIF(共有用1!AT$2:AT36,共有用1!AT36))</f>
        <v/>
      </c>
      <c r="AU36" s="17" t="str">
        <f>IF(共有用1!AU36="","",共有用1!AU36&amp;"/"&amp;COUNTIF(共有用1!AU$2:AU36,共有用1!AU36))</f>
        <v/>
      </c>
      <c r="AV36" s="17" t="str">
        <f>IF(共有用1!AV36="","",共有用1!AV36&amp;"/"&amp;COUNTIF(共有用1!AV$2:AV36,共有用1!AV36))</f>
        <v/>
      </c>
      <c r="AW36" s="17" t="str">
        <f>IF(共有用1!AW36="","",共有用1!AW36&amp;"/"&amp;COUNTIF(共有用1!AW$2:AW36,共有用1!AW36))</f>
        <v/>
      </c>
      <c r="AX36" s="17" t="str">
        <f>IF(共有用1!AX36="","",共有用1!AX36&amp;"/"&amp;COUNTIF(共有用1!AX$2:AX36,共有用1!AX36))</f>
        <v/>
      </c>
      <c r="AY36" s="17" t="str">
        <f>IF(共有用1!AY36="","",共有用1!AY36&amp;"/"&amp;COUNTIF(共有用1!AY$2:AY36,共有用1!AY36))</f>
        <v/>
      </c>
      <c r="AZ36" s="17" t="str">
        <f>IF(共有用1!AZ36="","",共有用1!AZ36&amp;"/"&amp;COUNTIF(共有用1!AZ$2:AZ36,共有用1!AZ36))</f>
        <v/>
      </c>
      <c r="BA36" s="17" t="str">
        <f>IF(共有用1!BA36="","",共有用1!BA36&amp;"/"&amp;COUNTIF(共有用1!BA$2:BA36,共有用1!BA36))</f>
        <v/>
      </c>
    </row>
    <row r="37" spans="1:53">
      <c r="A37" s="2" t="str">
        <f>共有用1!A37</f>
        <v/>
      </c>
      <c r="B37" s="2" t="str">
        <f>共有用1!B37</f>
        <v/>
      </c>
      <c r="C37" s="2" t="str">
        <f>共有用1!C37</f>
        <v/>
      </c>
      <c r="D37" s="17" t="str">
        <f>IF(共有用1!D37="","",共有用1!D37&amp;"/"&amp;COUNTIF(共有用1!D$2:D37,共有用1!D37))</f>
        <v/>
      </c>
      <c r="E37" s="17" t="str">
        <f>IF(共有用1!E37="","",共有用1!E37&amp;"/"&amp;COUNTIF(共有用1!E$2:E37,共有用1!E37))</f>
        <v/>
      </c>
      <c r="F37" s="17" t="str">
        <f>IF(共有用1!F37="","",共有用1!F37&amp;"/"&amp;COUNTIF(共有用1!F$2:F37,共有用1!F37))</f>
        <v/>
      </c>
      <c r="G37" s="17" t="str">
        <f>IF(共有用1!G37="","",共有用1!G37&amp;"/"&amp;COUNTIF(共有用1!G$2:G37,共有用1!G37))</f>
        <v/>
      </c>
      <c r="H37" s="17" t="str">
        <f>IF(共有用1!H37="","",共有用1!H37&amp;"/"&amp;COUNTIF(共有用1!H$2:H37,共有用1!H37))</f>
        <v/>
      </c>
      <c r="I37" s="17" t="str">
        <f>IF(共有用1!I37="","",共有用1!I37&amp;"/"&amp;COUNTIF(共有用1!I$2:I37,共有用1!I37))</f>
        <v/>
      </c>
      <c r="J37" s="17" t="str">
        <f>IF(共有用1!J37="","",共有用1!J37&amp;"/"&amp;COUNTIF(共有用1!J$2:J37,共有用1!J37))</f>
        <v/>
      </c>
      <c r="K37" s="17" t="str">
        <f>IF(共有用1!K37="","",共有用1!K37&amp;"/"&amp;COUNTIF(共有用1!K$2:K37,共有用1!K37))</f>
        <v/>
      </c>
      <c r="L37" s="17" t="str">
        <f>IF(共有用1!L37="","",共有用1!L37&amp;"/"&amp;COUNTIF(共有用1!L$2:L37,共有用1!L37))</f>
        <v/>
      </c>
      <c r="M37" s="17" t="str">
        <f>IF(共有用1!M37="","",共有用1!M37&amp;"/"&amp;COUNTIF(共有用1!M$2:M37,共有用1!M37))</f>
        <v/>
      </c>
      <c r="N37" s="17" t="str">
        <f>IF(共有用1!N37="","",共有用1!N37&amp;"/"&amp;COUNTIF(共有用1!N$2:N37,共有用1!N37))</f>
        <v/>
      </c>
      <c r="O37" s="17" t="str">
        <f>IF(共有用1!O37="","",共有用1!O37&amp;"/"&amp;COUNTIF(共有用1!O$2:O37,共有用1!O37))</f>
        <v/>
      </c>
      <c r="P37" s="17" t="str">
        <f>IF(共有用1!P37="","",共有用1!P37&amp;"/"&amp;COUNTIF(共有用1!P$2:P37,共有用1!P37))</f>
        <v/>
      </c>
      <c r="Q37" s="17" t="str">
        <f>IF(共有用1!Q37="","",共有用1!Q37&amp;"/"&amp;COUNTIF(共有用1!Q$2:Q37,共有用1!Q37))</f>
        <v/>
      </c>
      <c r="R37" s="17" t="str">
        <f>IF(共有用1!R37="","",共有用1!R37&amp;"/"&amp;COUNTIF(共有用1!R$2:R37,共有用1!R37))</f>
        <v/>
      </c>
      <c r="S37" s="17" t="str">
        <f>IF(共有用1!S37="","",共有用1!S37&amp;"/"&amp;COUNTIF(共有用1!S$2:S37,共有用1!S37))</f>
        <v/>
      </c>
      <c r="T37" s="17" t="str">
        <f>IF(共有用1!T37="","",共有用1!T37&amp;"/"&amp;COUNTIF(共有用1!T$2:T37,共有用1!T37))</f>
        <v/>
      </c>
      <c r="U37" s="17" t="str">
        <f>IF(共有用1!U37="","",共有用1!U37&amp;"/"&amp;COUNTIF(共有用1!U$2:U37,共有用1!U37))</f>
        <v/>
      </c>
      <c r="V37" s="17" t="str">
        <f>IF(共有用1!V37="","",共有用1!V37&amp;"/"&amp;COUNTIF(共有用1!V$2:V37,共有用1!V37))</f>
        <v/>
      </c>
      <c r="W37" s="17" t="str">
        <f>IF(共有用1!W37="","",共有用1!W37&amp;"/"&amp;COUNTIF(共有用1!W$2:W37,共有用1!W37))</f>
        <v/>
      </c>
      <c r="X37" s="17" t="str">
        <f>IF(共有用1!X37="","",共有用1!X37&amp;"/"&amp;COUNTIF(共有用1!X$2:X37,共有用1!X37))</f>
        <v/>
      </c>
      <c r="Y37" s="17" t="str">
        <f>IF(共有用1!Y37="","",共有用1!Y37&amp;"/"&amp;COUNTIF(共有用1!Y$2:Y37,共有用1!Y37))</f>
        <v/>
      </c>
      <c r="Z37" s="17" t="str">
        <f>IF(共有用1!Z37="","",共有用1!Z37&amp;"/"&amp;COUNTIF(共有用1!Z$2:Z37,共有用1!Z37))</f>
        <v/>
      </c>
      <c r="AA37" s="17" t="str">
        <f>IF(共有用1!AA37="","",共有用1!AA37&amp;"/"&amp;COUNTIF(共有用1!AA$2:AA37,共有用1!AA37))</f>
        <v/>
      </c>
      <c r="AB37" s="17" t="str">
        <f>IF(共有用1!AB37="","",共有用1!AB37&amp;"/"&amp;COUNTIF(共有用1!AB$2:AB37,共有用1!AB37))</f>
        <v/>
      </c>
      <c r="AC37" s="17" t="str">
        <f>IF(共有用1!AC37="","",共有用1!AC37&amp;"/"&amp;COUNTIF(共有用1!AC$2:AC37,共有用1!AC37))</f>
        <v/>
      </c>
      <c r="AD37" s="17" t="str">
        <f>IF(共有用1!AD37="","",共有用1!AD37&amp;"/"&amp;COUNTIF(共有用1!AD$2:AD37,共有用1!AD37))</f>
        <v/>
      </c>
      <c r="AE37" s="17" t="str">
        <f>IF(共有用1!AE37="","",共有用1!AE37&amp;"/"&amp;COUNTIF(共有用1!AE$2:AE37,共有用1!AE37))</f>
        <v/>
      </c>
      <c r="AF37" s="17" t="str">
        <f>IF(共有用1!AF37="","",共有用1!AF37&amp;"/"&amp;COUNTIF(共有用1!AF$2:AF37,共有用1!AF37))</f>
        <v/>
      </c>
      <c r="AG37" s="17" t="str">
        <f>IF(共有用1!AG37="","",共有用1!AG37&amp;"/"&amp;COUNTIF(共有用1!AG$2:AG37,共有用1!AG37))</f>
        <v/>
      </c>
      <c r="AH37" s="17" t="str">
        <f>IF(共有用1!AH37="","",共有用1!AH37&amp;"/"&amp;COUNTIF(共有用1!AH$2:AH37,共有用1!AH37))</f>
        <v/>
      </c>
      <c r="AI37" s="17" t="str">
        <f>IF(共有用1!AI37="","",共有用1!AI37&amp;"/"&amp;COUNTIF(共有用1!AI$2:AI37,共有用1!AI37))</f>
        <v/>
      </c>
      <c r="AJ37" s="17" t="str">
        <f>IF(共有用1!AJ37="","",共有用1!AJ37&amp;"/"&amp;COUNTIF(共有用1!AJ$2:AJ37,共有用1!AJ37))</f>
        <v/>
      </c>
      <c r="AK37" s="17" t="str">
        <f>IF(共有用1!AK37="","",共有用1!AK37&amp;"/"&amp;COUNTIF(共有用1!AK$2:AK37,共有用1!AK37))</f>
        <v/>
      </c>
      <c r="AL37" s="17" t="str">
        <f>IF(共有用1!AL37="","",共有用1!AL37&amp;"/"&amp;COUNTIF(共有用1!AL$2:AL37,共有用1!AL37))</f>
        <v/>
      </c>
      <c r="AM37" s="17" t="str">
        <f>IF(共有用1!AM37="","",共有用1!AM37&amp;"/"&amp;COUNTIF(共有用1!AM$2:AM37,共有用1!AM37))</f>
        <v/>
      </c>
      <c r="AN37" s="17" t="str">
        <f>IF(共有用1!AN37="","",共有用1!AN37&amp;"/"&amp;COUNTIF(共有用1!AN$2:AN37,共有用1!AN37))</f>
        <v/>
      </c>
      <c r="AO37" s="17" t="str">
        <f>IF(共有用1!AO37="","",共有用1!AO37&amp;"/"&amp;COUNTIF(共有用1!AO$2:AO37,共有用1!AO37))</f>
        <v/>
      </c>
      <c r="AP37" s="17" t="str">
        <f>IF(共有用1!AP37="","",共有用1!AP37&amp;"/"&amp;COUNTIF(共有用1!AP$2:AP37,共有用1!AP37))</f>
        <v/>
      </c>
      <c r="AQ37" s="17" t="str">
        <f>IF(共有用1!AQ37="","",共有用1!AQ37&amp;"/"&amp;COUNTIF(共有用1!AQ$2:AQ37,共有用1!AQ37))</f>
        <v/>
      </c>
      <c r="AR37" s="17" t="str">
        <f>IF(共有用1!AR37="","",共有用1!AR37&amp;"/"&amp;COUNTIF(共有用1!AR$2:AR37,共有用1!AR37))</f>
        <v/>
      </c>
      <c r="AS37" s="17" t="str">
        <f>IF(共有用1!AS37="","",共有用1!AS37&amp;"/"&amp;COUNTIF(共有用1!AS$2:AS37,共有用1!AS37))</f>
        <v/>
      </c>
      <c r="AT37" s="17" t="str">
        <f>IF(共有用1!AT37="","",共有用1!AT37&amp;"/"&amp;COUNTIF(共有用1!AT$2:AT37,共有用1!AT37))</f>
        <v/>
      </c>
      <c r="AU37" s="17" t="str">
        <f>IF(共有用1!AU37="","",共有用1!AU37&amp;"/"&amp;COUNTIF(共有用1!AU$2:AU37,共有用1!AU37))</f>
        <v/>
      </c>
      <c r="AV37" s="17" t="str">
        <f>IF(共有用1!AV37="","",共有用1!AV37&amp;"/"&amp;COUNTIF(共有用1!AV$2:AV37,共有用1!AV37))</f>
        <v/>
      </c>
      <c r="AW37" s="17" t="str">
        <f>IF(共有用1!AW37="","",共有用1!AW37&amp;"/"&amp;COUNTIF(共有用1!AW$2:AW37,共有用1!AW37))</f>
        <v/>
      </c>
      <c r="AX37" s="17" t="str">
        <f>IF(共有用1!AX37="","",共有用1!AX37&amp;"/"&amp;COUNTIF(共有用1!AX$2:AX37,共有用1!AX37))</f>
        <v/>
      </c>
      <c r="AY37" s="17" t="str">
        <f>IF(共有用1!AY37="","",共有用1!AY37&amp;"/"&amp;COUNTIF(共有用1!AY$2:AY37,共有用1!AY37))</f>
        <v/>
      </c>
      <c r="AZ37" s="17" t="str">
        <f>IF(共有用1!AZ37="","",共有用1!AZ37&amp;"/"&amp;COUNTIF(共有用1!AZ$2:AZ37,共有用1!AZ37))</f>
        <v/>
      </c>
      <c r="BA37" s="17" t="str">
        <f>IF(共有用1!BA37="","",共有用1!BA37&amp;"/"&amp;COUNTIF(共有用1!BA$2:BA37,共有用1!BA37))</f>
        <v/>
      </c>
    </row>
    <row r="38" spans="1:53">
      <c r="A38" s="2" t="str">
        <f>共有用1!A38</f>
        <v/>
      </c>
      <c r="B38" s="2" t="str">
        <f>共有用1!B38</f>
        <v/>
      </c>
      <c r="C38" s="2" t="str">
        <f>共有用1!C38</f>
        <v/>
      </c>
      <c r="D38" s="17" t="str">
        <f>IF(共有用1!D38="","",共有用1!D38&amp;"/"&amp;COUNTIF(共有用1!D$2:D38,共有用1!D38))</f>
        <v/>
      </c>
      <c r="E38" s="17" t="str">
        <f>IF(共有用1!E38="","",共有用1!E38&amp;"/"&amp;COUNTIF(共有用1!E$2:E38,共有用1!E38))</f>
        <v/>
      </c>
      <c r="F38" s="17" t="str">
        <f>IF(共有用1!F38="","",共有用1!F38&amp;"/"&amp;COUNTIF(共有用1!F$2:F38,共有用1!F38))</f>
        <v/>
      </c>
      <c r="G38" s="17" t="str">
        <f>IF(共有用1!G38="","",共有用1!G38&amp;"/"&amp;COUNTIF(共有用1!G$2:G38,共有用1!G38))</f>
        <v/>
      </c>
      <c r="H38" s="17" t="str">
        <f>IF(共有用1!H38="","",共有用1!H38&amp;"/"&amp;COUNTIF(共有用1!H$2:H38,共有用1!H38))</f>
        <v/>
      </c>
      <c r="I38" s="17" t="str">
        <f>IF(共有用1!I38="","",共有用1!I38&amp;"/"&amp;COUNTIF(共有用1!I$2:I38,共有用1!I38))</f>
        <v/>
      </c>
      <c r="J38" s="17" t="str">
        <f>IF(共有用1!J38="","",共有用1!J38&amp;"/"&amp;COUNTIF(共有用1!J$2:J38,共有用1!J38))</f>
        <v/>
      </c>
      <c r="K38" s="17" t="str">
        <f>IF(共有用1!K38="","",共有用1!K38&amp;"/"&amp;COUNTIF(共有用1!K$2:K38,共有用1!K38))</f>
        <v/>
      </c>
      <c r="L38" s="17" t="str">
        <f>IF(共有用1!L38="","",共有用1!L38&amp;"/"&amp;COUNTIF(共有用1!L$2:L38,共有用1!L38))</f>
        <v/>
      </c>
      <c r="M38" s="17" t="str">
        <f>IF(共有用1!M38="","",共有用1!M38&amp;"/"&amp;COUNTIF(共有用1!M$2:M38,共有用1!M38))</f>
        <v/>
      </c>
      <c r="N38" s="17" t="str">
        <f>IF(共有用1!N38="","",共有用1!N38&amp;"/"&amp;COUNTIF(共有用1!N$2:N38,共有用1!N38))</f>
        <v/>
      </c>
      <c r="O38" s="17" t="str">
        <f>IF(共有用1!O38="","",共有用1!O38&amp;"/"&amp;COUNTIF(共有用1!O$2:O38,共有用1!O38))</f>
        <v/>
      </c>
      <c r="P38" s="17" t="str">
        <f>IF(共有用1!P38="","",共有用1!P38&amp;"/"&amp;COUNTIF(共有用1!P$2:P38,共有用1!P38))</f>
        <v/>
      </c>
      <c r="Q38" s="17" t="str">
        <f>IF(共有用1!Q38="","",共有用1!Q38&amp;"/"&amp;COUNTIF(共有用1!Q$2:Q38,共有用1!Q38))</f>
        <v/>
      </c>
      <c r="R38" s="17" t="str">
        <f>IF(共有用1!R38="","",共有用1!R38&amp;"/"&amp;COUNTIF(共有用1!R$2:R38,共有用1!R38))</f>
        <v/>
      </c>
      <c r="S38" s="17" t="str">
        <f>IF(共有用1!S38="","",共有用1!S38&amp;"/"&amp;COUNTIF(共有用1!S$2:S38,共有用1!S38))</f>
        <v/>
      </c>
      <c r="T38" s="17" t="str">
        <f>IF(共有用1!T38="","",共有用1!T38&amp;"/"&amp;COUNTIF(共有用1!T$2:T38,共有用1!T38))</f>
        <v/>
      </c>
      <c r="U38" s="17" t="str">
        <f>IF(共有用1!U38="","",共有用1!U38&amp;"/"&amp;COUNTIF(共有用1!U$2:U38,共有用1!U38))</f>
        <v/>
      </c>
      <c r="V38" s="17" t="str">
        <f>IF(共有用1!V38="","",共有用1!V38&amp;"/"&amp;COUNTIF(共有用1!V$2:V38,共有用1!V38))</f>
        <v/>
      </c>
      <c r="W38" s="17" t="str">
        <f>IF(共有用1!W38="","",共有用1!W38&amp;"/"&amp;COUNTIF(共有用1!W$2:W38,共有用1!W38))</f>
        <v/>
      </c>
      <c r="X38" s="17" t="str">
        <f>IF(共有用1!X38="","",共有用1!X38&amp;"/"&amp;COUNTIF(共有用1!X$2:X38,共有用1!X38))</f>
        <v/>
      </c>
      <c r="Y38" s="17" t="str">
        <f>IF(共有用1!Y38="","",共有用1!Y38&amp;"/"&amp;COUNTIF(共有用1!Y$2:Y38,共有用1!Y38))</f>
        <v/>
      </c>
      <c r="Z38" s="17" t="str">
        <f>IF(共有用1!Z38="","",共有用1!Z38&amp;"/"&amp;COUNTIF(共有用1!Z$2:Z38,共有用1!Z38))</f>
        <v/>
      </c>
      <c r="AA38" s="17" t="str">
        <f>IF(共有用1!AA38="","",共有用1!AA38&amp;"/"&amp;COUNTIF(共有用1!AA$2:AA38,共有用1!AA38))</f>
        <v/>
      </c>
      <c r="AB38" s="17" t="str">
        <f>IF(共有用1!AB38="","",共有用1!AB38&amp;"/"&amp;COUNTIF(共有用1!AB$2:AB38,共有用1!AB38))</f>
        <v/>
      </c>
      <c r="AC38" s="17" t="str">
        <f>IF(共有用1!AC38="","",共有用1!AC38&amp;"/"&amp;COUNTIF(共有用1!AC$2:AC38,共有用1!AC38))</f>
        <v/>
      </c>
      <c r="AD38" s="17" t="str">
        <f>IF(共有用1!AD38="","",共有用1!AD38&amp;"/"&amp;COUNTIF(共有用1!AD$2:AD38,共有用1!AD38))</f>
        <v/>
      </c>
      <c r="AE38" s="17" t="str">
        <f>IF(共有用1!AE38="","",共有用1!AE38&amp;"/"&amp;COUNTIF(共有用1!AE$2:AE38,共有用1!AE38))</f>
        <v/>
      </c>
      <c r="AF38" s="17" t="str">
        <f>IF(共有用1!AF38="","",共有用1!AF38&amp;"/"&amp;COUNTIF(共有用1!AF$2:AF38,共有用1!AF38))</f>
        <v/>
      </c>
      <c r="AG38" s="17" t="str">
        <f>IF(共有用1!AG38="","",共有用1!AG38&amp;"/"&amp;COUNTIF(共有用1!AG$2:AG38,共有用1!AG38))</f>
        <v/>
      </c>
      <c r="AH38" s="17" t="str">
        <f>IF(共有用1!AH38="","",共有用1!AH38&amp;"/"&amp;COUNTIF(共有用1!AH$2:AH38,共有用1!AH38))</f>
        <v/>
      </c>
      <c r="AI38" s="17" t="str">
        <f>IF(共有用1!AI38="","",共有用1!AI38&amp;"/"&amp;COUNTIF(共有用1!AI$2:AI38,共有用1!AI38))</f>
        <v/>
      </c>
      <c r="AJ38" s="17" t="str">
        <f>IF(共有用1!AJ38="","",共有用1!AJ38&amp;"/"&amp;COUNTIF(共有用1!AJ$2:AJ38,共有用1!AJ38))</f>
        <v/>
      </c>
      <c r="AK38" s="17" t="str">
        <f>IF(共有用1!AK38="","",共有用1!AK38&amp;"/"&amp;COUNTIF(共有用1!AK$2:AK38,共有用1!AK38))</f>
        <v/>
      </c>
      <c r="AL38" s="17" t="str">
        <f>IF(共有用1!AL38="","",共有用1!AL38&amp;"/"&amp;COUNTIF(共有用1!AL$2:AL38,共有用1!AL38))</f>
        <v/>
      </c>
      <c r="AM38" s="17" t="str">
        <f>IF(共有用1!AM38="","",共有用1!AM38&amp;"/"&amp;COUNTIF(共有用1!AM$2:AM38,共有用1!AM38))</f>
        <v/>
      </c>
      <c r="AN38" s="17" t="str">
        <f>IF(共有用1!AN38="","",共有用1!AN38&amp;"/"&amp;COUNTIF(共有用1!AN$2:AN38,共有用1!AN38))</f>
        <v/>
      </c>
      <c r="AO38" s="17" t="str">
        <f>IF(共有用1!AO38="","",共有用1!AO38&amp;"/"&amp;COUNTIF(共有用1!AO$2:AO38,共有用1!AO38))</f>
        <v/>
      </c>
      <c r="AP38" s="17" t="str">
        <f>IF(共有用1!AP38="","",共有用1!AP38&amp;"/"&amp;COUNTIF(共有用1!AP$2:AP38,共有用1!AP38))</f>
        <v/>
      </c>
      <c r="AQ38" s="17" t="str">
        <f>IF(共有用1!AQ38="","",共有用1!AQ38&amp;"/"&amp;COUNTIF(共有用1!AQ$2:AQ38,共有用1!AQ38))</f>
        <v/>
      </c>
      <c r="AR38" s="17" t="str">
        <f>IF(共有用1!AR38="","",共有用1!AR38&amp;"/"&amp;COUNTIF(共有用1!AR$2:AR38,共有用1!AR38))</f>
        <v/>
      </c>
      <c r="AS38" s="17" t="str">
        <f>IF(共有用1!AS38="","",共有用1!AS38&amp;"/"&amp;COUNTIF(共有用1!AS$2:AS38,共有用1!AS38))</f>
        <v/>
      </c>
      <c r="AT38" s="17" t="str">
        <f>IF(共有用1!AT38="","",共有用1!AT38&amp;"/"&amp;COUNTIF(共有用1!AT$2:AT38,共有用1!AT38))</f>
        <v/>
      </c>
      <c r="AU38" s="17" t="str">
        <f>IF(共有用1!AU38="","",共有用1!AU38&amp;"/"&amp;COUNTIF(共有用1!AU$2:AU38,共有用1!AU38))</f>
        <v/>
      </c>
      <c r="AV38" s="17" t="str">
        <f>IF(共有用1!AV38="","",共有用1!AV38&amp;"/"&amp;COUNTIF(共有用1!AV$2:AV38,共有用1!AV38))</f>
        <v/>
      </c>
      <c r="AW38" s="17" t="str">
        <f>IF(共有用1!AW38="","",共有用1!AW38&amp;"/"&amp;COUNTIF(共有用1!AW$2:AW38,共有用1!AW38))</f>
        <v/>
      </c>
      <c r="AX38" s="17" t="str">
        <f>IF(共有用1!AX38="","",共有用1!AX38&amp;"/"&amp;COUNTIF(共有用1!AX$2:AX38,共有用1!AX38))</f>
        <v/>
      </c>
      <c r="AY38" s="17" t="str">
        <f>IF(共有用1!AY38="","",共有用1!AY38&amp;"/"&amp;COUNTIF(共有用1!AY$2:AY38,共有用1!AY38))</f>
        <v/>
      </c>
      <c r="AZ38" s="17" t="str">
        <f>IF(共有用1!AZ38="","",共有用1!AZ38&amp;"/"&amp;COUNTIF(共有用1!AZ$2:AZ38,共有用1!AZ38))</f>
        <v/>
      </c>
      <c r="BA38" s="17" t="str">
        <f>IF(共有用1!BA38="","",共有用1!BA38&amp;"/"&amp;COUNTIF(共有用1!BA$2:BA38,共有用1!BA38))</f>
        <v/>
      </c>
    </row>
    <row r="39" spans="1:53">
      <c r="A39" s="2" t="str">
        <f>共有用1!A39</f>
        <v/>
      </c>
      <c r="B39" s="2" t="str">
        <f>共有用1!B39</f>
        <v/>
      </c>
      <c r="C39" s="2" t="str">
        <f>共有用1!C39</f>
        <v/>
      </c>
      <c r="D39" s="17" t="str">
        <f>IF(共有用1!D39="","",共有用1!D39&amp;"/"&amp;COUNTIF(共有用1!D$2:D39,共有用1!D39))</f>
        <v/>
      </c>
      <c r="E39" s="17" t="str">
        <f>IF(共有用1!E39="","",共有用1!E39&amp;"/"&amp;COUNTIF(共有用1!E$2:E39,共有用1!E39))</f>
        <v/>
      </c>
      <c r="F39" s="17" t="str">
        <f>IF(共有用1!F39="","",共有用1!F39&amp;"/"&amp;COUNTIF(共有用1!F$2:F39,共有用1!F39))</f>
        <v/>
      </c>
      <c r="G39" s="17" t="str">
        <f>IF(共有用1!G39="","",共有用1!G39&amp;"/"&amp;COUNTIF(共有用1!G$2:G39,共有用1!G39))</f>
        <v/>
      </c>
      <c r="H39" s="17" t="str">
        <f>IF(共有用1!H39="","",共有用1!H39&amp;"/"&amp;COUNTIF(共有用1!H$2:H39,共有用1!H39))</f>
        <v/>
      </c>
      <c r="I39" s="17" t="str">
        <f>IF(共有用1!I39="","",共有用1!I39&amp;"/"&amp;COUNTIF(共有用1!I$2:I39,共有用1!I39))</f>
        <v/>
      </c>
      <c r="J39" s="17" t="str">
        <f>IF(共有用1!J39="","",共有用1!J39&amp;"/"&amp;COUNTIF(共有用1!J$2:J39,共有用1!J39))</f>
        <v/>
      </c>
      <c r="K39" s="17" t="str">
        <f>IF(共有用1!K39="","",共有用1!K39&amp;"/"&amp;COUNTIF(共有用1!K$2:K39,共有用1!K39))</f>
        <v/>
      </c>
      <c r="L39" s="17" t="str">
        <f>IF(共有用1!L39="","",共有用1!L39&amp;"/"&amp;COUNTIF(共有用1!L$2:L39,共有用1!L39))</f>
        <v/>
      </c>
      <c r="M39" s="17" t="str">
        <f>IF(共有用1!M39="","",共有用1!M39&amp;"/"&amp;COUNTIF(共有用1!M$2:M39,共有用1!M39))</f>
        <v/>
      </c>
      <c r="N39" s="17" t="str">
        <f>IF(共有用1!N39="","",共有用1!N39&amp;"/"&amp;COUNTIF(共有用1!N$2:N39,共有用1!N39))</f>
        <v/>
      </c>
      <c r="O39" s="17" t="str">
        <f>IF(共有用1!O39="","",共有用1!O39&amp;"/"&amp;COUNTIF(共有用1!O$2:O39,共有用1!O39))</f>
        <v/>
      </c>
      <c r="P39" s="17" t="str">
        <f>IF(共有用1!P39="","",共有用1!P39&amp;"/"&amp;COUNTIF(共有用1!P$2:P39,共有用1!P39))</f>
        <v/>
      </c>
      <c r="Q39" s="17" t="str">
        <f>IF(共有用1!Q39="","",共有用1!Q39&amp;"/"&amp;COUNTIF(共有用1!Q$2:Q39,共有用1!Q39))</f>
        <v/>
      </c>
      <c r="R39" s="17" t="str">
        <f>IF(共有用1!R39="","",共有用1!R39&amp;"/"&amp;COUNTIF(共有用1!R$2:R39,共有用1!R39))</f>
        <v/>
      </c>
      <c r="S39" s="17" t="str">
        <f>IF(共有用1!S39="","",共有用1!S39&amp;"/"&amp;COUNTIF(共有用1!S$2:S39,共有用1!S39))</f>
        <v/>
      </c>
      <c r="T39" s="17" t="str">
        <f>IF(共有用1!T39="","",共有用1!T39&amp;"/"&amp;COUNTIF(共有用1!T$2:T39,共有用1!T39))</f>
        <v/>
      </c>
      <c r="U39" s="17" t="str">
        <f>IF(共有用1!U39="","",共有用1!U39&amp;"/"&amp;COUNTIF(共有用1!U$2:U39,共有用1!U39))</f>
        <v/>
      </c>
      <c r="V39" s="17" t="str">
        <f>IF(共有用1!V39="","",共有用1!V39&amp;"/"&amp;COUNTIF(共有用1!V$2:V39,共有用1!V39))</f>
        <v/>
      </c>
      <c r="W39" s="17" t="str">
        <f>IF(共有用1!W39="","",共有用1!W39&amp;"/"&amp;COUNTIF(共有用1!W$2:W39,共有用1!W39))</f>
        <v/>
      </c>
      <c r="X39" s="17" t="str">
        <f>IF(共有用1!X39="","",共有用1!X39&amp;"/"&amp;COUNTIF(共有用1!X$2:X39,共有用1!X39))</f>
        <v/>
      </c>
      <c r="Y39" s="17" t="str">
        <f>IF(共有用1!Y39="","",共有用1!Y39&amp;"/"&amp;COUNTIF(共有用1!Y$2:Y39,共有用1!Y39))</f>
        <v/>
      </c>
      <c r="Z39" s="17" t="str">
        <f>IF(共有用1!Z39="","",共有用1!Z39&amp;"/"&amp;COUNTIF(共有用1!Z$2:Z39,共有用1!Z39))</f>
        <v/>
      </c>
      <c r="AA39" s="17" t="str">
        <f>IF(共有用1!AA39="","",共有用1!AA39&amp;"/"&amp;COUNTIF(共有用1!AA$2:AA39,共有用1!AA39))</f>
        <v/>
      </c>
      <c r="AB39" s="17" t="str">
        <f>IF(共有用1!AB39="","",共有用1!AB39&amp;"/"&amp;COUNTIF(共有用1!AB$2:AB39,共有用1!AB39))</f>
        <v/>
      </c>
      <c r="AC39" s="17" t="str">
        <f>IF(共有用1!AC39="","",共有用1!AC39&amp;"/"&amp;COUNTIF(共有用1!AC$2:AC39,共有用1!AC39))</f>
        <v/>
      </c>
      <c r="AD39" s="17" t="str">
        <f>IF(共有用1!AD39="","",共有用1!AD39&amp;"/"&amp;COUNTIF(共有用1!AD$2:AD39,共有用1!AD39))</f>
        <v/>
      </c>
      <c r="AE39" s="17" t="str">
        <f>IF(共有用1!AE39="","",共有用1!AE39&amp;"/"&amp;COUNTIF(共有用1!AE$2:AE39,共有用1!AE39))</f>
        <v/>
      </c>
      <c r="AF39" s="17" t="str">
        <f>IF(共有用1!AF39="","",共有用1!AF39&amp;"/"&amp;COUNTIF(共有用1!AF$2:AF39,共有用1!AF39))</f>
        <v/>
      </c>
      <c r="AG39" s="17" t="str">
        <f>IF(共有用1!AG39="","",共有用1!AG39&amp;"/"&amp;COUNTIF(共有用1!AG$2:AG39,共有用1!AG39))</f>
        <v/>
      </c>
      <c r="AH39" s="17" t="str">
        <f>IF(共有用1!AH39="","",共有用1!AH39&amp;"/"&amp;COUNTIF(共有用1!AH$2:AH39,共有用1!AH39))</f>
        <v/>
      </c>
      <c r="AI39" s="17" t="str">
        <f>IF(共有用1!AI39="","",共有用1!AI39&amp;"/"&amp;COUNTIF(共有用1!AI$2:AI39,共有用1!AI39))</f>
        <v/>
      </c>
      <c r="AJ39" s="17" t="str">
        <f>IF(共有用1!AJ39="","",共有用1!AJ39&amp;"/"&amp;COUNTIF(共有用1!AJ$2:AJ39,共有用1!AJ39))</f>
        <v/>
      </c>
      <c r="AK39" s="17" t="str">
        <f>IF(共有用1!AK39="","",共有用1!AK39&amp;"/"&amp;COUNTIF(共有用1!AK$2:AK39,共有用1!AK39))</f>
        <v/>
      </c>
      <c r="AL39" s="17" t="str">
        <f>IF(共有用1!AL39="","",共有用1!AL39&amp;"/"&amp;COUNTIF(共有用1!AL$2:AL39,共有用1!AL39))</f>
        <v/>
      </c>
      <c r="AM39" s="17" t="str">
        <f>IF(共有用1!AM39="","",共有用1!AM39&amp;"/"&amp;COUNTIF(共有用1!AM$2:AM39,共有用1!AM39))</f>
        <v/>
      </c>
      <c r="AN39" s="17" t="str">
        <f>IF(共有用1!AN39="","",共有用1!AN39&amp;"/"&amp;COUNTIF(共有用1!AN$2:AN39,共有用1!AN39))</f>
        <v/>
      </c>
      <c r="AO39" s="17" t="str">
        <f>IF(共有用1!AO39="","",共有用1!AO39&amp;"/"&amp;COUNTIF(共有用1!AO$2:AO39,共有用1!AO39))</f>
        <v/>
      </c>
      <c r="AP39" s="17" t="str">
        <f>IF(共有用1!AP39="","",共有用1!AP39&amp;"/"&amp;COUNTIF(共有用1!AP$2:AP39,共有用1!AP39))</f>
        <v/>
      </c>
      <c r="AQ39" s="17" t="str">
        <f>IF(共有用1!AQ39="","",共有用1!AQ39&amp;"/"&amp;COUNTIF(共有用1!AQ$2:AQ39,共有用1!AQ39))</f>
        <v/>
      </c>
      <c r="AR39" s="17" t="str">
        <f>IF(共有用1!AR39="","",共有用1!AR39&amp;"/"&amp;COUNTIF(共有用1!AR$2:AR39,共有用1!AR39))</f>
        <v/>
      </c>
      <c r="AS39" s="17" t="str">
        <f>IF(共有用1!AS39="","",共有用1!AS39&amp;"/"&amp;COUNTIF(共有用1!AS$2:AS39,共有用1!AS39))</f>
        <v/>
      </c>
      <c r="AT39" s="17" t="str">
        <f>IF(共有用1!AT39="","",共有用1!AT39&amp;"/"&amp;COUNTIF(共有用1!AT$2:AT39,共有用1!AT39))</f>
        <v/>
      </c>
      <c r="AU39" s="17" t="str">
        <f>IF(共有用1!AU39="","",共有用1!AU39&amp;"/"&amp;COUNTIF(共有用1!AU$2:AU39,共有用1!AU39))</f>
        <v/>
      </c>
      <c r="AV39" s="17" t="str">
        <f>IF(共有用1!AV39="","",共有用1!AV39&amp;"/"&amp;COUNTIF(共有用1!AV$2:AV39,共有用1!AV39))</f>
        <v/>
      </c>
      <c r="AW39" s="17" t="str">
        <f>IF(共有用1!AW39="","",共有用1!AW39&amp;"/"&amp;COUNTIF(共有用1!AW$2:AW39,共有用1!AW39))</f>
        <v/>
      </c>
      <c r="AX39" s="17" t="str">
        <f>IF(共有用1!AX39="","",共有用1!AX39&amp;"/"&amp;COUNTIF(共有用1!AX$2:AX39,共有用1!AX39))</f>
        <v/>
      </c>
      <c r="AY39" s="17" t="str">
        <f>IF(共有用1!AY39="","",共有用1!AY39&amp;"/"&amp;COUNTIF(共有用1!AY$2:AY39,共有用1!AY39))</f>
        <v/>
      </c>
      <c r="AZ39" s="17" t="str">
        <f>IF(共有用1!AZ39="","",共有用1!AZ39&amp;"/"&amp;COUNTIF(共有用1!AZ$2:AZ39,共有用1!AZ39))</f>
        <v/>
      </c>
      <c r="BA39" s="17" t="str">
        <f>IF(共有用1!BA39="","",共有用1!BA39&amp;"/"&amp;COUNTIF(共有用1!BA$2:BA39,共有用1!BA39))</f>
        <v/>
      </c>
    </row>
    <row r="40" spans="1:53">
      <c r="A40" s="2" t="str">
        <f>共有用1!A40</f>
        <v/>
      </c>
      <c r="B40" s="2" t="str">
        <f>共有用1!B40</f>
        <v/>
      </c>
      <c r="C40" s="2" t="str">
        <f>共有用1!C40</f>
        <v/>
      </c>
      <c r="D40" s="17" t="str">
        <f>IF(共有用1!D40="","",共有用1!D40&amp;"/"&amp;COUNTIF(共有用1!D$2:D40,共有用1!D40))</f>
        <v/>
      </c>
      <c r="E40" s="17" t="str">
        <f>IF(共有用1!E40="","",共有用1!E40&amp;"/"&amp;COUNTIF(共有用1!E$2:E40,共有用1!E40))</f>
        <v/>
      </c>
      <c r="F40" s="17" t="str">
        <f>IF(共有用1!F40="","",共有用1!F40&amp;"/"&amp;COUNTIF(共有用1!F$2:F40,共有用1!F40))</f>
        <v/>
      </c>
      <c r="G40" s="17" t="str">
        <f>IF(共有用1!G40="","",共有用1!G40&amp;"/"&amp;COUNTIF(共有用1!G$2:G40,共有用1!G40))</f>
        <v/>
      </c>
      <c r="H40" s="17" t="str">
        <f>IF(共有用1!H40="","",共有用1!H40&amp;"/"&amp;COUNTIF(共有用1!H$2:H40,共有用1!H40))</f>
        <v/>
      </c>
      <c r="I40" s="17" t="str">
        <f>IF(共有用1!I40="","",共有用1!I40&amp;"/"&amp;COUNTIF(共有用1!I$2:I40,共有用1!I40))</f>
        <v/>
      </c>
      <c r="J40" s="17" t="str">
        <f>IF(共有用1!J40="","",共有用1!J40&amp;"/"&amp;COUNTIF(共有用1!J$2:J40,共有用1!J40))</f>
        <v/>
      </c>
      <c r="K40" s="17" t="str">
        <f>IF(共有用1!K40="","",共有用1!K40&amp;"/"&amp;COUNTIF(共有用1!K$2:K40,共有用1!K40))</f>
        <v/>
      </c>
      <c r="L40" s="17" t="str">
        <f>IF(共有用1!L40="","",共有用1!L40&amp;"/"&amp;COUNTIF(共有用1!L$2:L40,共有用1!L40))</f>
        <v/>
      </c>
      <c r="M40" s="17" t="str">
        <f>IF(共有用1!M40="","",共有用1!M40&amp;"/"&amp;COUNTIF(共有用1!M$2:M40,共有用1!M40))</f>
        <v/>
      </c>
      <c r="N40" s="17" t="str">
        <f>IF(共有用1!N40="","",共有用1!N40&amp;"/"&amp;COUNTIF(共有用1!N$2:N40,共有用1!N40))</f>
        <v/>
      </c>
      <c r="O40" s="17" t="str">
        <f>IF(共有用1!O40="","",共有用1!O40&amp;"/"&amp;COUNTIF(共有用1!O$2:O40,共有用1!O40))</f>
        <v/>
      </c>
      <c r="P40" s="17" t="str">
        <f>IF(共有用1!P40="","",共有用1!P40&amp;"/"&amp;COUNTIF(共有用1!P$2:P40,共有用1!P40))</f>
        <v/>
      </c>
      <c r="Q40" s="17" t="str">
        <f>IF(共有用1!Q40="","",共有用1!Q40&amp;"/"&amp;COUNTIF(共有用1!Q$2:Q40,共有用1!Q40))</f>
        <v/>
      </c>
      <c r="R40" s="17" t="str">
        <f>IF(共有用1!R40="","",共有用1!R40&amp;"/"&amp;COUNTIF(共有用1!R$2:R40,共有用1!R40))</f>
        <v/>
      </c>
      <c r="S40" s="17" t="str">
        <f>IF(共有用1!S40="","",共有用1!S40&amp;"/"&amp;COUNTIF(共有用1!S$2:S40,共有用1!S40))</f>
        <v/>
      </c>
      <c r="T40" s="17" t="str">
        <f>IF(共有用1!T40="","",共有用1!T40&amp;"/"&amp;COUNTIF(共有用1!T$2:T40,共有用1!T40))</f>
        <v/>
      </c>
      <c r="U40" s="17" t="str">
        <f>IF(共有用1!U40="","",共有用1!U40&amp;"/"&amp;COUNTIF(共有用1!U$2:U40,共有用1!U40))</f>
        <v/>
      </c>
      <c r="V40" s="17" t="str">
        <f>IF(共有用1!V40="","",共有用1!V40&amp;"/"&amp;COUNTIF(共有用1!V$2:V40,共有用1!V40))</f>
        <v/>
      </c>
      <c r="W40" s="17" t="str">
        <f>IF(共有用1!W40="","",共有用1!W40&amp;"/"&amp;COUNTIF(共有用1!W$2:W40,共有用1!W40))</f>
        <v/>
      </c>
      <c r="X40" s="17" t="str">
        <f>IF(共有用1!X40="","",共有用1!X40&amp;"/"&amp;COUNTIF(共有用1!X$2:X40,共有用1!X40))</f>
        <v/>
      </c>
      <c r="Y40" s="17" t="str">
        <f>IF(共有用1!Y40="","",共有用1!Y40&amp;"/"&amp;COUNTIF(共有用1!Y$2:Y40,共有用1!Y40))</f>
        <v/>
      </c>
      <c r="Z40" s="17" t="str">
        <f>IF(共有用1!Z40="","",共有用1!Z40&amp;"/"&amp;COUNTIF(共有用1!Z$2:Z40,共有用1!Z40))</f>
        <v/>
      </c>
      <c r="AA40" s="17" t="str">
        <f>IF(共有用1!AA40="","",共有用1!AA40&amp;"/"&amp;COUNTIF(共有用1!AA$2:AA40,共有用1!AA40))</f>
        <v/>
      </c>
      <c r="AB40" s="17" t="str">
        <f>IF(共有用1!AB40="","",共有用1!AB40&amp;"/"&amp;COUNTIF(共有用1!AB$2:AB40,共有用1!AB40))</f>
        <v/>
      </c>
      <c r="AC40" s="17" t="str">
        <f>IF(共有用1!AC40="","",共有用1!AC40&amp;"/"&amp;COUNTIF(共有用1!AC$2:AC40,共有用1!AC40))</f>
        <v/>
      </c>
      <c r="AD40" s="17" t="str">
        <f>IF(共有用1!AD40="","",共有用1!AD40&amp;"/"&amp;COUNTIF(共有用1!AD$2:AD40,共有用1!AD40))</f>
        <v/>
      </c>
      <c r="AE40" s="17" t="str">
        <f>IF(共有用1!AE40="","",共有用1!AE40&amp;"/"&amp;COUNTIF(共有用1!AE$2:AE40,共有用1!AE40))</f>
        <v/>
      </c>
      <c r="AF40" s="17" t="str">
        <f>IF(共有用1!AF40="","",共有用1!AF40&amp;"/"&amp;COUNTIF(共有用1!AF$2:AF40,共有用1!AF40))</f>
        <v/>
      </c>
      <c r="AG40" s="17" t="str">
        <f>IF(共有用1!AG40="","",共有用1!AG40&amp;"/"&amp;COUNTIF(共有用1!AG$2:AG40,共有用1!AG40))</f>
        <v/>
      </c>
      <c r="AH40" s="17" t="str">
        <f>IF(共有用1!AH40="","",共有用1!AH40&amp;"/"&amp;COUNTIF(共有用1!AH$2:AH40,共有用1!AH40))</f>
        <v/>
      </c>
      <c r="AI40" s="17" t="str">
        <f>IF(共有用1!AI40="","",共有用1!AI40&amp;"/"&amp;COUNTIF(共有用1!AI$2:AI40,共有用1!AI40))</f>
        <v/>
      </c>
      <c r="AJ40" s="17" t="str">
        <f>IF(共有用1!AJ40="","",共有用1!AJ40&amp;"/"&amp;COUNTIF(共有用1!AJ$2:AJ40,共有用1!AJ40))</f>
        <v/>
      </c>
      <c r="AK40" s="17" t="str">
        <f>IF(共有用1!AK40="","",共有用1!AK40&amp;"/"&amp;COUNTIF(共有用1!AK$2:AK40,共有用1!AK40))</f>
        <v/>
      </c>
      <c r="AL40" s="17" t="str">
        <f>IF(共有用1!AL40="","",共有用1!AL40&amp;"/"&amp;COUNTIF(共有用1!AL$2:AL40,共有用1!AL40))</f>
        <v/>
      </c>
      <c r="AM40" s="17" t="str">
        <f>IF(共有用1!AM40="","",共有用1!AM40&amp;"/"&amp;COUNTIF(共有用1!AM$2:AM40,共有用1!AM40))</f>
        <v/>
      </c>
      <c r="AN40" s="17" t="str">
        <f>IF(共有用1!AN40="","",共有用1!AN40&amp;"/"&amp;COUNTIF(共有用1!AN$2:AN40,共有用1!AN40))</f>
        <v/>
      </c>
      <c r="AO40" s="17" t="str">
        <f>IF(共有用1!AO40="","",共有用1!AO40&amp;"/"&amp;COUNTIF(共有用1!AO$2:AO40,共有用1!AO40))</f>
        <v/>
      </c>
      <c r="AP40" s="17" t="str">
        <f>IF(共有用1!AP40="","",共有用1!AP40&amp;"/"&amp;COUNTIF(共有用1!AP$2:AP40,共有用1!AP40))</f>
        <v/>
      </c>
      <c r="AQ40" s="17" t="str">
        <f>IF(共有用1!AQ40="","",共有用1!AQ40&amp;"/"&amp;COUNTIF(共有用1!AQ$2:AQ40,共有用1!AQ40))</f>
        <v/>
      </c>
      <c r="AR40" s="17" t="str">
        <f>IF(共有用1!AR40="","",共有用1!AR40&amp;"/"&amp;COUNTIF(共有用1!AR$2:AR40,共有用1!AR40))</f>
        <v/>
      </c>
      <c r="AS40" s="17" t="str">
        <f>IF(共有用1!AS40="","",共有用1!AS40&amp;"/"&amp;COUNTIF(共有用1!AS$2:AS40,共有用1!AS40))</f>
        <v/>
      </c>
      <c r="AT40" s="17" t="str">
        <f>IF(共有用1!AT40="","",共有用1!AT40&amp;"/"&amp;COUNTIF(共有用1!AT$2:AT40,共有用1!AT40))</f>
        <v/>
      </c>
      <c r="AU40" s="17" t="str">
        <f>IF(共有用1!AU40="","",共有用1!AU40&amp;"/"&amp;COUNTIF(共有用1!AU$2:AU40,共有用1!AU40))</f>
        <v/>
      </c>
      <c r="AV40" s="17" t="str">
        <f>IF(共有用1!AV40="","",共有用1!AV40&amp;"/"&amp;COUNTIF(共有用1!AV$2:AV40,共有用1!AV40))</f>
        <v/>
      </c>
      <c r="AW40" s="17" t="str">
        <f>IF(共有用1!AW40="","",共有用1!AW40&amp;"/"&amp;COUNTIF(共有用1!AW$2:AW40,共有用1!AW40))</f>
        <v/>
      </c>
      <c r="AX40" s="17" t="str">
        <f>IF(共有用1!AX40="","",共有用1!AX40&amp;"/"&amp;COUNTIF(共有用1!AX$2:AX40,共有用1!AX40))</f>
        <v/>
      </c>
      <c r="AY40" s="17" t="str">
        <f>IF(共有用1!AY40="","",共有用1!AY40&amp;"/"&amp;COUNTIF(共有用1!AY$2:AY40,共有用1!AY40))</f>
        <v/>
      </c>
      <c r="AZ40" s="17" t="str">
        <f>IF(共有用1!AZ40="","",共有用1!AZ40&amp;"/"&amp;COUNTIF(共有用1!AZ$2:AZ40,共有用1!AZ40))</f>
        <v/>
      </c>
      <c r="BA40" s="17" t="str">
        <f>IF(共有用1!BA40="","",共有用1!BA40&amp;"/"&amp;COUNTIF(共有用1!BA$2:BA40,共有用1!BA40))</f>
        <v/>
      </c>
    </row>
    <row r="41" spans="1:53">
      <c r="A41" s="2" t="str">
        <f>共有用1!A41</f>
        <v/>
      </c>
      <c r="B41" s="2" t="str">
        <f>共有用1!B41</f>
        <v/>
      </c>
      <c r="C41" s="2" t="str">
        <f>共有用1!C41</f>
        <v/>
      </c>
      <c r="D41" s="17" t="str">
        <f>IF(共有用1!D41="","",共有用1!D41&amp;"/"&amp;COUNTIF(共有用1!D$2:D41,共有用1!D41))</f>
        <v/>
      </c>
      <c r="E41" s="17" t="str">
        <f>IF(共有用1!E41="","",共有用1!E41&amp;"/"&amp;COUNTIF(共有用1!E$2:E41,共有用1!E41))</f>
        <v/>
      </c>
      <c r="F41" s="17" t="str">
        <f>IF(共有用1!F41="","",共有用1!F41&amp;"/"&amp;COUNTIF(共有用1!F$2:F41,共有用1!F41))</f>
        <v/>
      </c>
      <c r="G41" s="17" t="str">
        <f>IF(共有用1!G41="","",共有用1!G41&amp;"/"&amp;COUNTIF(共有用1!G$2:G41,共有用1!G41))</f>
        <v/>
      </c>
      <c r="H41" s="17" t="str">
        <f>IF(共有用1!H41="","",共有用1!H41&amp;"/"&amp;COUNTIF(共有用1!H$2:H41,共有用1!H41))</f>
        <v/>
      </c>
      <c r="I41" s="17" t="str">
        <f>IF(共有用1!I41="","",共有用1!I41&amp;"/"&amp;COUNTIF(共有用1!I$2:I41,共有用1!I41))</f>
        <v/>
      </c>
      <c r="J41" s="17" t="str">
        <f>IF(共有用1!J41="","",共有用1!J41&amp;"/"&amp;COUNTIF(共有用1!J$2:J41,共有用1!J41))</f>
        <v/>
      </c>
      <c r="K41" s="17" t="str">
        <f>IF(共有用1!K41="","",共有用1!K41&amp;"/"&amp;COUNTIF(共有用1!K$2:K41,共有用1!K41))</f>
        <v/>
      </c>
      <c r="L41" s="17" t="str">
        <f>IF(共有用1!L41="","",共有用1!L41&amp;"/"&amp;COUNTIF(共有用1!L$2:L41,共有用1!L41))</f>
        <v/>
      </c>
      <c r="M41" s="17" t="str">
        <f>IF(共有用1!M41="","",共有用1!M41&amp;"/"&amp;COUNTIF(共有用1!M$2:M41,共有用1!M41))</f>
        <v/>
      </c>
      <c r="N41" s="17" t="str">
        <f>IF(共有用1!N41="","",共有用1!N41&amp;"/"&amp;COUNTIF(共有用1!N$2:N41,共有用1!N41))</f>
        <v/>
      </c>
      <c r="O41" s="17" t="str">
        <f>IF(共有用1!O41="","",共有用1!O41&amp;"/"&amp;COUNTIF(共有用1!O$2:O41,共有用1!O41))</f>
        <v/>
      </c>
      <c r="P41" s="17" t="str">
        <f>IF(共有用1!P41="","",共有用1!P41&amp;"/"&amp;COUNTIF(共有用1!P$2:P41,共有用1!P41))</f>
        <v/>
      </c>
      <c r="Q41" s="17" t="str">
        <f>IF(共有用1!Q41="","",共有用1!Q41&amp;"/"&amp;COUNTIF(共有用1!Q$2:Q41,共有用1!Q41))</f>
        <v/>
      </c>
      <c r="R41" s="17" t="str">
        <f>IF(共有用1!R41="","",共有用1!R41&amp;"/"&amp;COUNTIF(共有用1!R$2:R41,共有用1!R41))</f>
        <v/>
      </c>
      <c r="S41" s="17" t="str">
        <f>IF(共有用1!S41="","",共有用1!S41&amp;"/"&amp;COUNTIF(共有用1!S$2:S41,共有用1!S41))</f>
        <v/>
      </c>
      <c r="T41" s="17" t="str">
        <f>IF(共有用1!T41="","",共有用1!T41&amp;"/"&amp;COUNTIF(共有用1!T$2:T41,共有用1!T41))</f>
        <v/>
      </c>
      <c r="U41" s="17" t="str">
        <f>IF(共有用1!U41="","",共有用1!U41&amp;"/"&amp;COUNTIF(共有用1!U$2:U41,共有用1!U41))</f>
        <v/>
      </c>
      <c r="V41" s="17" t="str">
        <f>IF(共有用1!V41="","",共有用1!V41&amp;"/"&amp;COUNTIF(共有用1!V$2:V41,共有用1!V41))</f>
        <v/>
      </c>
      <c r="W41" s="17" t="str">
        <f>IF(共有用1!W41="","",共有用1!W41&amp;"/"&amp;COUNTIF(共有用1!W$2:W41,共有用1!W41))</f>
        <v/>
      </c>
      <c r="X41" s="17" t="str">
        <f>IF(共有用1!X41="","",共有用1!X41&amp;"/"&amp;COUNTIF(共有用1!X$2:X41,共有用1!X41))</f>
        <v/>
      </c>
      <c r="Y41" s="17" t="str">
        <f>IF(共有用1!Y41="","",共有用1!Y41&amp;"/"&amp;COUNTIF(共有用1!Y$2:Y41,共有用1!Y41))</f>
        <v/>
      </c>
      <c r="Z41" s="17" t="str">
        <f>IF(共有用1!Z41="","",共有用1!Z41&amp;"/"&amp;COUNTIF(共有用1!Z$2:Z41,共有用1!Z41))</f>
        <v/>
      </c>
      <c r="AA41" s="17" t="str">
        <f>IF(共有用1!AA41="","",共有用1!AA41&amp;"/"&amp;COUNTIF(共有用1!AA$2:AA41,共有用1!AA41))</f>
        <v/>
      </c>
      <c r="AB41" s="17" t="str">
        <f>IF(共有用1!AB41="","",共有用1!AB41&amp;"/"&amp;COUNTIF(共有用1!AB$2:AB41,共有用1!AB41))</f>
        <v/>
      </c>
      <c r="AC41" s="17" t="str">
        <f>IF(共有用1!AC41="","",共有用1!AC41&amp;"/"&amp;COUNTIF(共有用1!AC$2:AC41,共有用1!AC41))</f>
        <v/>
      </c>
      <c r="AD41" s="17" t="str">
        <f>IF(共有用1!AD41="","",共有用1!AD41&amp;"/"&amp;COUNTIF(共有用1!AD$2:AD41,共有用1!AD41))</f>
        <v/>
      </c>
      <c r="AE41" s="17" t="str">
        <f>IF(共有用1!AE41="","",共有用1!AE41&amp;"/"&amp;COUNTIF(共有用1!AE$2:AE41,共有用1!AE41))</f>
        <v/>
      </c>
      <c r="AF41" s="17" t="str">
        <f>IF(共有用1!AF41="","",共有用1!AF41&amp;"/"&amp;COUNTIF(共有用1!AF$2:AF41,共有用1!AF41))</f>
        <v/>
      </c>
      <c r="AG41" s="17" t="str">
        <f>IF(共有用1!AG41="","",共有用1!AG41&amp;"/"&amp;COUNTIF(共有用1!AG$2:AG41,共有用1!AG41))</f>
        <v/>
      </c>
      <c r="AH41" s="17" t="str">
        <f>IF(共有用1!AH41="","",共有用1!AH41&amp;"/"&amp;COUNTIF(共有用1!AH$2:AH41,共有用1!AH41))</f>
        <v/>
      </c>
      <c r="AI41" s="17" t="str">
        <f>IF(共有用1!AI41="","",共有用1!AI41&amp;"/"&amp;COUNTIF(共有用1!AI$2:AI41,共有用1!AI41))</f>
        <v/>
      </c>
      <c r="AJ41" s="17" t="str">
        <f>IF(共有用1!AJ41="","",共有用1!AJ41&amp;"/"&amp;COUNTIF(共有用1!AJ$2:AJ41,共有用1!AJ41))</f>
        <v/>
      </c>
      <c r="AK41" s="17" t="str">
        <f>IF(共有用1!AK41="","",共有用1!AK41&amp;"/"&amp;COUNTIF(共有用1!AK$2:AK41,共有用1!AK41))</f>
        <v/>
      </c>
      <c r="AL41" s="17" t="str">
        <f>IF(共有用1!AL41="","",共有用1!AL41&amp;"/"&amp;COUNTIF(共有用1!AL$2:AL41,共有用1!AL41))</f>
        <v/>
      </c>
      <c r="AM41" s="17" t="str">
        <f>IF(共有用1!AM41="","",共有用1!AM41&amp;"/"&amp;COUNTIF(共有用1!AM$2:AM41,共有用1!AM41))</f>
        <v/>
      </c>
      <c r="AN41" s="17" t="str">
        <f>IF(共有用1!AN41="","",共有用1!AN41&amp;"/"&amp;COUNTIF(共有用1!AN$2:AN41,共有用1!AN41))</f>
        <v/>
      </c>
      <c r="AO41" s="17" t="str">
        <f>IF(共有用1!AO41="","",共有用1!AO41&amp;"/"&amp;COUNTIF(共有用1!AO$2:AO41,共有用1!AO41))</f>
        <v/>
      </c>
      <c r="AP41" s="17" t="str">
        <f>IF(共有用1!AP41="","",共有用1!AP41&amp;"/"&amp;COUNTIF(共有用1!AP$2:AP41,共有用1!AP41))</f>
        <v/>
      </c>
      <c r="AQ41" s="17" t="str">
        <f>IF(共有用1!AQ41="","",共有用1!AQ41&amp;"/"&amp;COUNTIF(共有用1!AQ$2:AQ41,共有用1!AQ41))</f>
        <v/>
      </c>
      <c r="AR41" s="17" t="str">
        <f>IF(共有用1!AR41="","",共有用1!AR41&amp;"/"&amp;COUNTIF(共有用1!AR$2:AR41,共有用1!AR41))</f>
        <v/>
      </c>
      <c r="AS41" s="17" t="str">
        <f>IF(共有用1!AS41="","",共有用1!AS41&amp;"/"&amp;COUNTIF(共有用1!AS$2:AS41,共有用1!AS41))</f>
        <v/>
      </c>
      <c r="AT41" s="17" t="str">
        <f>IF(共有用1!AT41="","",共有用1!AT41&amp;"/"&amp;COUNTIF(共有用1!AT$2:AT41,共有用1!AT41))</f>
        <v/>
      </c>
      <c r="AU41" s="17" t="str">
        <f>IF(共有用1!AU41="","",共有用1!AU41&amp;"/"&amp;COUNTIF(共有用1!AU$2:AU41,共有用1!AU41))</f>
        <v/>
      </c>
      <c r="AV41" s="17" t="str">
        <f>IF(共有用1!AV41="","",共有用1!AV41&amp;"/"&amp;COUNTIF(共有用1!AV$2:AV41,共有用1!AV41))</f>
        <v/>
      </c>
      <c r="AW41" s="17" t="str">
        <f>IF(共有用1!AW41="","",共有用1!AW41&amp;"/"&amp;COUNTIF(共有用1!AW$2:AW41,共有用1!AW41))</f>
        <v/>
      </c>
      <c r="AX41" s="17" t="str">
        <f>IF(共有用1!AX41="","",共有用1!AX41&amp;"/"&amp;COUNTIF(共有用1!AX$2:AX41,共有用1!AX41))</f>
        <v/>
      </c>
      <c r="AY41" s="17" t="str">
        <f>IF(共有用1!AY41="","",共有用1!AY41&amp;"/"&amp;COUNTIF(共有用1!AY$2:AY41,共有用1!AY41))</f>
        <v/>
      </c>
      <c r="AZ41" s="17" t="str">
        <f>IF(共有用1!AZ41="","",共有用1!AZ41&amp;"/"&amp;COUNTIF(共有用1!AZ$2:AZ41,共有用1!AZ41))</f>
        <v/>
      </c>
      <c r="BA41" s="17" t="str">
        <f>IF(共有用1!BA41="","",共有用1!BA41&amp;"/"&amp;COUNTIF(共有用1!BA$2:BA41,共有用1!BA41))</f>
        <v/>
      </c>
    </row>
    <row r="42" spans="1:53">
      <c r="A42" s="2" t="str">
        <f>共有用1!A42</f>
        <v/>
      </c>
      <c r="B42" s="2" t="str">
        <f>共有用1!B42</f>
        <v/>
      </c>
      <c r="C42" s="2" t="str">
        <f>共有用1!C42</f>
        <v/>
      </c>
      <c r="D42" s="17" t="str">
        <f>IF(共有用1!D42="","",共有用1!D42&amp;"/"&amp;COUNTIF(共有用1!D$2:D42,共有用1!D42))</f>
        <v/>
      </c>
      <c r="E42" s="17" t="str">
        <f>IF(共有用1!E42="","",共有用1!E42&amp;"/"&amp;COUNTIF(共有用1!E$2:E42,共有用1!E42))</f>
        <v/>
      </c>
      <c r="F42" s="17" t="str">
        <f>IF(共有用1!F42="","",共有用1!F42&amp;"/"&amp;COUNTIF(共有用1!F$2:F42,共有用1!F42))</f>
        <v/>
      </c>
      <c r="G42" s="17" t="str">
        <f>IF(共有用1!G42="","",共有用1!G42&amp;"/"&amp;COUNTIF(共有用1!G$2:G42,共有用1!G42))</f>
        <v/>
      </c>
      <c r="H42" s="17" t="str">
        <f>IF(共有用1!H42="","",共有用1!H42&amp;"/"&amp;COUNTIF(共有用1!H$2:H42,共有用1!H42))</f>
        <v/>
      </c>
      <c r="I42" s="17" t="str">
        <f>IF(共有用1!I42="","",共有用1!I42&amp;"/"&amp;COUNTIF(共有用1!I$2:I42,共有用1!I42))</f>
        <v/>
      </c>
      <c r="J42" s="17" t="str">
        <f>IF(共有用1!J42="","",共有用1!J42&amp;"/"&amp;COUNTIF(共有用1!J$2:J42,共有用1!J42))</f>
        <v/>
      </c>
      <c r="K42" s="17" t="str">
        <f>IF(共有用1!K42="","",共有用1!K42&amp;"/"&amp;COUNTIF(共有用1!K$2:K42,共有用1!K42))</f>
        <v/>
      </c>
      <c r="L42" s="17" t="str">
        <f>IF(共有用1!L42="","",共有用1!L42&amp;"/"&amp;COUNTIF(共有用1!L$2:L42,共有用1!L42))</f>
        <v/>
      </c>
      <c r="M42" s="17" t="str">
        <f>IF(共有用1!M42="","",共有用1!M42&amp;"/"&amp;COUNTIF(共有用1!M$2:M42,共有用1!M42))</f>
        <v/>
      </c>
      <c r="N42" s="17" t="str">
        <f>IF(共有用1!N42="","",共有用1!N42&amp;"/"&amp;COUNTIF(共有用1!N$2:N42,共有用1!N42))</f>
        <v/>
      </c>
      <c r="O42" s="17" t="str">
        <f>IF(共有用1!O42="","",共有用1!O42&amp;"/"&amp;COUNTIF(共有用1!O$2:O42,共有用1!O42))</f>
        <v/>
      </c>
      <c r="P42" s="17" t="str">
        <f>IF(共有用1!P42="","",共有用1!P42&amp;"/"&amp;COUNTIF(共有用1!P$2:P42,共有用1!P42))</f>
        <v/>
      </c>
      <c r="Q42" s="17" t="str">
        <f>IF(共有用1!Q42="","",共有用1!Q42&amp;"/"&amp;COUNTIF(共有用1!Q$2:Q42,共有用1!Q42))</f>
        <v/>
      </c>
      <c r="R42" s="17" t="str">
        <f>IF(共有用1!R42="","",共有用1!R42&amp;"/"&amp;COUNTIF(共有用1!R$2:R42,共有用1!R42))</f>
        <v/>
      </c>
      <c r="S42" s="17" t="str">
        <f>IF(共有用1!S42="","",共有用1!S42&amp;"/"&amp;COUNTIF(共有用1!S$2:S42,共有用1!S42))</f>
        <v/>
      </c>
      <c r="T42" s="17" t="str">
        <f>IF(共有用1!T42="","",共有用1!T42&amp;"/"&amp;COUNTIF(共有用1!T$2:T42,共有用1!T42))</f>
        <v/>
      </c>
      <c r="U42" s="17" t="str">
        <f>IF(共有用1!U42="","",共有用1!U42&amp;"/"&amp;COUNTIF(共有用1!U$2:U42,共有用1!U42))</f>
        <v/>
      </c>
      <c r="V42" s="17" t="str">
        <f>IF(共有用1!V42="","",共有用1!V42&amp;"/"&amp;COUNTIF(共有用1!V$2:V42,共有用1!V42))</f>
        <v/>
      </c>
      <c r="W42" s="17" t="str">
        <f>IF(共有用1!W42="","",共有用1!W42&amp;"/"&amp;COUNTIF(共有用1!W$2:W42,共有用1!W42))</f>
        <v/>
      </c>
      <c r="X42" s="17" t="str">
        <f>IF(共有用1!X42="","",共有用1!X42&amp;"/"&amp;COUNTIF(共有用1!X$2:X42,共有用1!X42))</f>
        <v/>
      </c>
      <c r="Y42" s="17" t="str">
        <f>IF(共有用1!Y42="","",共有用1!Y42&amp;"/"&amp;COUNTIF(共有用1!Y$2:Y42,共有用1!Y42))</f>
        <v/>
      </c>
      <c r="Z42" s="17" t="str">
        <f>IF(共有用1!Z42="","",共有用1!Z42&amp;"/"&amp;COUNTIF(共有用1!Z$2:Z42,共有用1!Z42))</f>
        <v/>
      </c>
      <c r="AA42" s="17" t="str">
        <f>IF(共有用1!AA42="","",共有用1!AA42&amp;"/"&amp;COUNTIF(共有用1!AA$2:AA42,共有用1!AA42))</f>
        <v/>
      </c>
      <c r="AB42" s="17" t="str">
        <f>IF(共有用1!AB42="","",共有用1!AB42&amp;"/"&amp;COUNTIF(共有用1!AB$2:AB42,共有用1!AB42))</f>
        <v/>
      </c>
      <c r="AC42" s="17" t="str">
        <f>IF(共有用1!AC42="","",共有用1!AC42&amp;"/"&amp;COUNTIF(共有用1!AC$2:AC42,共有用1!AC42))</f>
        <v/>
      </c>
      <c r="AD42" s="17" t="str">
        <f>IF(共有用1!AD42="","",共有用1!AD42&amp;"/"&amp;COUNTIF(共有用1!AD$2:AD42,共有用1!AD42))</f>
        <v/>
      </c>
      <c r="AE42" s="17" t="str">
        <f>IF(共有用1!AE42="","",共有用1!AE42&amp;"/"&amp;COUNTIF(共有用1!AE$2:AE42,共有用1!AE42))</f>
        <v/>
      </c>
      <c r="AF42" s="17" t="str">
        <f>IF(共有用1!AF42="","",共有用1!AF42&amp;"/"&amp;COUNTIF(共有用1!AF$2:AF42,共有用1!AF42))</f>
        <v/>
      </c>
      <c r="AG42" s="17" t="str">
        <f>IF(共有用1!AG42="","",共有用1!AG42&amp;"/"&amp;COUNTIF(共有用1!AG$2:AG42,共有用1!AG42))</f>
        <v/>
      </c>
      <c r="AH42" s="17" t="str">
        <f>IF(共有用1!AH42="","",共有用1!AH42&amp;"/"&amp;COUNTIF(共有用1!AH$2:AH42,共有用1!AH42))</f>
        <v/>
      </c>
      <c r="AI42" s="17" t="str">
        <f>IF(共有用1!AI42="","",共有用1!AI42&amp;"/"&amp;COUNTIF(共有用1!AI$2:AI42,共有用1!AI42))</f>
        <v/>
      </c>
      <c r="AJ42" s="17" t="str">
        <f>IF(共有用1!AJ42="","",共有用1!AJ42&amp;"/"&amp;COUNTIF(共有用1!AJ$2:AJ42,共有用1!AJ42))</f>
        <v/>
      </c>
      <c r="AK42" s="17" t="str">
        <f>IF(共有用1!AK42="","",共有用1!AK42&amp;"/"&amp;COUNTIF(共有用1!AK$2:AK42,共有用1!AK42))</f>
        <v/>
      </c>
      <c r="AL42" s="17" t="str">
        <f>IF(共有用1!AL42="","",共有用1!AL42&amp;"/"&amp;COUNTIF(共有用1!AL$2:AL42,共有用1!AL42))</f>
        <v/>
      </c>
      <c r="AM42" s="17" t="str">
        <f>IF(共有用1!AM42="","",共有用1!AM42&amp;"/"&amp;COUNTIF(共有用1!AM$2:AM42,共有用1!AM42))</f>
        <v/>
      </c>
      <c r="AN42" s="17" t="str">
        <f>IF(共有用1!AN42="","",共有用1!AN42&amp;"/"&amp;COUNTIF(共有用1!AN$2:AN42,共有用1!AN42))</f>
        <v/>
      </c>
      <c r="AO42" s="17" t="str">
        <f>IF(共有用1!AO42="","",共有用1!AO42&amp;"/"&amp;COUNTIF(共有用1!AO$2:AO42,共有用1!AO42))</f>
        <v/>
      </c>
      <c r="AP42" s="17" t="str">
        <f>IF(共有用1!AP42="","",共有用1!AP42&amp;"/"&amp;COUNTIF(共有用1!AP$2:AP42,共有用1!AP42))</f>
        <v/>
      </c>
      <c r="AQ42" s="17" t="str">
        <f>IF(共有用1!AQ42="","",共有用1!AQ42&amp;"/"&amp;COUNTIF(共有用1!AQ$2:AQ42,共有用1!AQ42))</f>
        <v/>
      </c>
      <c r="AR42" s="17" t="str">
        <f>IF(共有用1!AR42="","",共有用1!AR42&amp;"/"&amp;COUNTIF(共有用1!AR$2:AR42,共有用1!AR42))</f>
        <v/>
      </c>
      <c r="AS42" s="17" t="str">
        <f>IF(共有用1!AS42="","",共有用1!AS42&amp;"/"&amp;COUNTIF(共有用1!AS$2:AS42,共有用1!AS42))</f>
        <v/>
      </c>
      <c r="AT42" s="17" t="str">
        <f>IF(共有用1!AT42="","",共有用1!AT42&amp;"/"&amp;COUNTIF(共有用1!AT$2:AT42,共有用1!AT42))</f>
        <v/>
      </c>
      <c r="AU42" s="17" t="str">
        <f>IF(共有用1!AU42="","",共有用1!AU42&amp;"/"&amp;COUNTIF(共有用1!AU$2:AU42,共有用1!AU42))</f>
        <v/>
      </c>
      <c r="AV42" s="17" t="str">
        <f>IF(共有用1!AV42="","",共有用1!AV42&amp;"/"&amp;COUNTIF(共有用1!AV$2:AV42,共有用1!AV42))</f>
        <v/>
      </c>
      <c r="AW42" s="17" t="str">
        <f>IF(共有用1!AW42="","",共有用1!AW42&amp;"/"&amp;COUNTIF(共有用1!AW$2:AW42,共有用1!AW42))</f>
        <v/>
      </c>
      <c r="AX42" s="17" t="str">
        <f>IF(共有用1!AX42="","",共有用1!AX42&amp;"/"&amp;COUNTIF(共有用1!AX$2:AX42,共有用1!AX42))</f>
        <v/>
      </c>
      <c r="AY42" s="17" t="str">
        <f>IF(共有用1!AY42="","",共有用1!AY42&amp;"/"&amp;COUNTIF(共有用1!AY$2:AY42,共有用1!AY42))</f>
        <v/>
      </c>
      <c r="AZ42" s="17" t="str">
        <f>IF(共有用1!AZ42="","",共有用1!AZ42&amp;"/"&amp;COUNTIF(共有用1!AZ$2:AZ42,共有用1!AZ42))</f>
        <v/>
      </c>
      <c r="BA42" s="17" t="str">
        <f>IF(共有用1!BA42="","",共有用1!BA42&amp;"/"&amp;COUNTIF(共有用1!BA$2:BA42,共有用1!BA42))</f>
        <v/>
      </c>
    </row>
    <row r="43" spans="1:53">
      <c r="A43" s="2" t="str">
        <f>共有用1!A43</f>
        <v/>
      </c>
      <c r="B43" s="2" t="str">
        <f>共有用1!B43</f>
        <v/>
      </c>
      <c r="C43" s="2" t="str">
        <f>共有用1!C43</f>
        <v/>
      </c>
      <c r="D43" s="17" t="str">
        <f>IF(共有用1!D43="","",共有用1!D43&amp;"/"&amp;COUNTIF(共有用1!D$2:D43,共有用1!D43))</f>
        <v/>
      </c>
      <c r="E43" s="17" t="str">
        <f>IF(共有用1!E43="","",共有用1!E43&amp;"/"&amp;COUNTIF(共有用1!E$2:E43,共有用1!E43))</f>
        <v/>
      </c>
      <c r="F43" s="17" t="str">
        <f>IF(共有用1!F43="","",共有用1!F43&amp;"/"&amp;COUNTIF(共有用1!F$2:F43,共有用1!F43))</f>
        <v/>
      </c>
      <c r="G43" s="17" t="str">
        <f>IF(共有用1!G43="","",共有用1!G43&amp;"/"&amp;COUNTIF(共有用1!G$2:G43,共有用1!G43))</f>
        <v/>
      </c>
      <c r="H43" s="17" t="str">
        <f>IF(共有用1!H43="","",共有用1!H43&amp;"/"&amp;COUNTIF(共有用1!H$2:H43,共有用1!H43))</f>
        <v/>
      </c>
      <c r="I43" s="17" t="str">
        <f>IF(共有用1!I43="","",共有用1!I43&amp;"/"&amp;COUNTIF(共有用1!I$2:I43,共有用1!I43))</f>
        <v/>
      </c>
      <c r="J43" s="17" t="str">
        <f>IF(共有用1!J43="","",共有用1!J43&amp;"/"&amp;COUNTIF(共有用1!J$2:J43,共有用1!J43))</f>
        <v/>
      </c>
      <c r="K43" s="17" t="str">
        <f>IF(共有用1!K43="","",共有用1!K43&amp;"/"&amp;COUNTIF(共有用1!K$2:K43,共有用1!K43))</f>
        <v/>
      </c>
      <c r="L43" s="17" t="str">
        <f>IF(共有用1!L43="","",共有用1!L43&amp;"/"&amp;COUNTIF(共有用1!L$2:L43,共有用1!L43))</f>
        <v/>
      </c>
      <c r="M43" s="17" t="str">
        <f>IF(共有用1!M43="","",共有用1!M43&amp;"/"&amp;COUNTIF(共有用1!M$2:M43,共有用1!M43))</f>
        <v/>
      </c>
      <c r="N43" s="17" t="str">
        <f>IF(共有用1!N43="","",共有用1!N43&amp;"/"&amp;COUNTIF(共有用1!N$2:N43,共有用1!N43))</f>
        <v/>
      </c>
      <c r="O43" s="17" t="str">
        <f>IF(共有用1!O43="","",共有用1!O43&amp;"/"&amp;COUNTIF(共有用1!O$2:O43,共有用1!O43))</f>
        <v/>
      </c>
      <c r="P43" s="17" t="str">
        <f>IF(共有用1!P43="","",共有用1!P43&amp;"/"&amp;COUNTIF(共有用1!P$2:P43,共有用1!P43))</f>
        <v/>
      </c>
      <c r="Q43" s="17" t="str">
        <f>IF(共有用1!Q43="","",共有用1!Q43&amp;"/"&amp;COUNTIF(共有用1!Q$2:Q43,共有用1!Q43))</f>
        <v/>
      </c>
      <c r="R43" s="17" t="str">
        <f>IF(共有用1!R43="","",共有用1!R43&amp;"/"&amp;COUNTIF(共有用1!R$2:R43,共有用1!R43))</f>
        <v/>
      </c>
      <c r="S43" s="17" t="str">
        <f>IF(共有用1!S43="","",共有用1!S43&amp;"/"&amp;COUNTIF(共有用1!S$2:S43,共有用1!S43))</f>
        <v/>
      </c>
      <c r="T43" s="17" t="str">
        <f>IF(共有用1!T43="","",共有用1!T43&amp;"/"&amp;COUNTIF(共有用1!T$2:T43,共有用1!T43))</f>
        <v/>
      </c>
      <c r="U43" s="17" t="str">
        <f>IF(共有用1!U43="","",共有用1!U43&amp;"/"&amp;COUNTIF(共有用1!U$2:U43,共有用1!U43))</f>
        <v/>
      </c>
      <c r="V43" s="17" t="str">
        <f>IF(共有用1!V43="","",共有用1!V43&amp;"/"&amp;COUNTIF(共有用1!V$2:V43,共有用1!V43))</f>
        <v/>
      </c>
      <c r="W43" s="17" t="str">
        <f>IF(共有用1!W43="","",共有用1!W43&amp;"/"&amp;COUNTIF(共有用1!W$2:W43,共有用1!W43))</f>
        <v/>
      </c>
      <c r="X43" s="17" t="str">
        <f>IF(共有用1!X43="","",共有用1!X43&amp;"/"&amp;COUNTIF(共有用1!X$2:X43,共有用1!X43))</f>
        <v/>
      </c>
      <c r="Y43" s="17" t="str">
        <f>IF(共有用1!Y43="","",共有用1!Y43&amp;"/"&amp;COUNTIF(共有用1!Y$2:Y43,共有用1!Y43))</f>
        <v/>
      </c>
      <c r="Z43" s="17" t="str">
        <f>IF(共有用1!Z43="","",共有用1!Z43&amp;"/"&amp;COUNTIF(共有用1!Z$2:Z43,共有用1!Z43))</f>
        <v/>
      </c>
      <c r="AA43" s="17" t="str">
        <f>IF(共有用1!AA43="","",共有用1!AA43&amp;"/"&amp;COUNTIF(共有用1!AA$2:AA43,共有用1!AA43))</f>
        <v/>
      </c>
      <c r="AB43" s="17" t="str">
        <f>IF(共有用1!AB43="","",共有用1!AB43&amp;"/"&amp;COUNTIF(共有用1!AB$2:AB43,共有用1!AB43))</f>
        <v/>
      </c>
      <c r="AC43" s="17" t="str">
        <f>IF(共有用1!AC43="","",共有用1!AC43&amp;"/"&amp;COUNTIF(共有用1!AC$2:AC43,共有用1!AC43))</f>
        <v/>
      </c>
      <c r="AD43" s="17" t="str">
        <f>IF(共有用1!AD43="","",共有用1!AD43&amp;"/"&amp;COUNTIF(共有用1!AD$2:AD43,共有用1!AD43))</f>
        <v/>
      </c>
      <c r="AE43" s="17" t="str">
        <f>IF(共有用1!AE43="","",共有用1!AE43&amp;"/"&amp;COUNTIF(共有用1!AE$2:AE43,共有用1!AE43))</f>
        <v/>
      </c>
      <c r="AF43" s="17" t="str">
        <f>IF(共有用1!AF43="","",共有用1!AF43&amp;"/"&amp;COUNTIF(共有用1!AF$2:AF43,共有用1!AF43))</f>
        <v/>
      </c>
      <c r="AG43" s="17" t="str">
        <f>IF(共有用1!AG43="","",共有用1!AG43&amp;"/"&amp;COUNTIF(共有用1!AG$2:AG43,共有用1!AG43))</f>
        <v/>
      </c>
      <c r="AH43" s="17" t="str">
        <f>IF(共有用1!AH43="","",共有用1!AH43&amp;"/"&amp;COUNTIF(共有用1!AH$2:AH43,共有用1!AH43))</f>
        <v/>
      </c>
      <c r="AI43" s="17" t="str">
        <f>IF(共有用1!AI43="","",共有用1!AI43&amp;"/"&amp;COUNTIF(共有用1!AI$2:AI43,共有用1!AI43))</f>
        <v/>
      </c>
      <c r="AJ43" s="17" t="str">
        <f>IF(共有用1!AJ43="","",共有用1!AJ43&amp;"/"&amp;COUNTIF(共有用1!AJ$2:AJ43,共有用1!AJ43))</f>
        <v/>
      </c>
      <c r="AK43" s="17" t="str">
        <f>IF(共有用1!AK43="","",共有用1!AK43&amp;"/"&amp;COUNTIF(共有用1!AK$2:AK43,共有用1!AK43))</f>
        <v/>
      </c>
      <c r="AL43" s="17" t="str">
        <f>IF(共有用1!AL43="","",共有用1!AL43&amp;"/"&amp;COUNTIF(共有用1!AL$2:AL43,共有用1!AL43))</f>
        <v/>
      </c>
      <c r="AM43" s="17" t="str">
        <f>IF(共有用1!AM43="","",共有用1!AM43&amp;"/"&amp;COUNTIF(共有用1!AM$2:AM43,共有用1!AM43))</f>
        <v/>
      </c>
      <c r="AN43" s="17" t="str">
        <f>IF(共有用1!AN43="","",共有用1!AN43&amp;"/"&amp;COUNTIF(共有用1!AN$2:AN43,共有用1!AN43))</f>
        <v/>
      </c>
      <c r="AO43" s="17" t="str">
        <f>IF(共有用1!AO43="","",共有用1!AO43&amp;"/"&amp;COUNTIF(共有用1!AO$2:AO43,共有用1!AO43))</f>
        <v/>
      </c>
      <c r="AP43" s="17" t="str">
        <f>IF(共有用1!AP43="","",共有用1!AP43&amp;"/"&amp;COUNTIF(共有用1!AP$2:AP43,共有用1!AP43))</f>
        <v/>
      </c>
      <c r="AQ43" s="17" t="str">
        <f>IF(共有用1!AQ43="","",共有用1!AQ43&amp;"/"&amp;COUNTIF(共有用1!AQ$2:AQ43,共有用1!AQ43))</f>
        <v/>
      </c>
      <c r="AR43" s="17" t="str">
        <f>IF(共有用1!AR43="","",共有用1!AR43&amp;"/"&amp;COUNTIF(共有用1!AR$2:AR43,共有用1!AR43))</f>
        <v/>
      </c>
      <c r="AS43" s="17" t="str">
        <f>IF(共有用1!AS43="","",共有用1!AS43&amp;"/"&amp;COUNTIF(共有用1!AS$2:AS43,共有用1!AS43))</f>
        <v/>
      </c>
      <c r="AT43" s="17" t="str">
        <f>IF(共有用1!AT43="","",共有用1!AT43&amp;"/"&amp;COUNTIF(共有用1!AT$2:AT43,共有用1!AT43))</f>
        <v/>
      </c>
      <c r="AU43" s="17" t="str">
        <f>IF(共有用1!AU43="","",共有用1!AU43&amp;"/"&amp;COUNTIF(共有用1!AU$2:AU43,共有用1!AU43))</f>
        <v/>
      </c>
      <c r="AV43" s="17" t="str">
        <f>IF(共有用1!AV43="","",共有用1!AV43&amp;"/"&amp;COUNTIF(共有用1!AV$2:AV43,共有用1!AV43))</f>
        <v/>
      </c>
      <c r="AW43" s="17" t="str">
        <f>IF(共有用1!AW43="","",共有用1!AW43&amp;"/"&amp;COUNTIF(共有用1!AW$2:AW43,共有用1!AW43))</f>
        <v/>
      </c>
      <c r="AX43" s="17" t="str">
        <f>IF(共有用1!AX43="","",共有用1!AX43&amp;"/"&amp;COUNTIF(共有用1!AX$2:AX43,共有用1!AX43))</f>
        <v/>
      </c>
      <c r="AY43" s="17" t="str">
        <f>IF(共有用1!AY43="","",共有用1!AY43&amp;"/"&amp;COUNTIF(共有用1!AY$2:AY43,共有用1!AY43))</f>
        <v/>
      </c>
      <c r="AZ43" s="17" t="str">
        <f>IF(共有用1!AZ43="","",共有用1!AZ43&amp;"/"&amp;COUNTIF(共有用1!AZ$2:AZ43,共有用1!AZ43))</f>
        <v/>
      </c>
      <c r="BA43" s="17" t="str">
        <f>IF(共有用1!BA43="","",共有用1!BA43&amp;"/"&amp;COUNTIF(共有用1!BA$2:BA43,共有用1!BA43))</f>
        <v/>
      </c>
    </row>
    <row r="44" spans="1:53">
      <c r="A44" s="2" t="str">
        <f>共有用1!A44</f>
        <v/>
      </c>
      <c r="B44" s="2" t="str">
        <f>共有用1!B44</f>
        <v/>
      </c>
      <c r="C44" s="2" t="str">
        <f>共有用1!C44</f>
        <v/>
      </c>
      <c r="D44" s="17" t="str">
        <f>IF(共有用1!D44="","",共有用1!D44&amp;"/"&amp;COUNTIF(共有用1!D$2:D44,共有用1!D44))</f>
        <v/>
      </c>
      <c r="E44" s="17" t="str">
        <f>IF(共有用1!E44="","",共有用1!E44&amp;"/"&amp;COUNTIF(共有用1!E$2:E44,共有用1!E44))</f>
        <v/>
      </c>
      <c r="F44" s="17" t="str">
        <f>IF(共有用1!F44="","",共有用1!F44&amp;"/"&amp;COUNTIF(共有用1!F$2:F44,共有用1!F44))</f>
        <v/>
      </c>
      <c r="G44" s="17" t="str">
        <f>IF(共有用1!G44="","",共有用1!G44&amp;"/"&amp;COUNTIF(共有用1!G$2:G44,共有用1!G44))</f>
        <v/>
      </c>
      <c r="H44" s="17" t="str">
        <f>IF(共有用1!H44="","",共有用1!H44&amp;"/"&amp;COUNTIF(共有用1!H$2:H44,共有用1!H44))</f>
        <v/>
      </c>
      <c r="I44" s="17" t="str">
        <f>IF(共有用1!I44="","",共有用1!I44&amp;"/"&amp;COUNTIF(共有用1!I$2:I44,共有用1!I44))</f>
        <v/>
      </c>
      <c r="J44" s="17" t="str">
        <f>IF(共有用1!J44="","",共有用1!J44&amp;"/"&amp;COUNTIF(共有用1!J$2:J44,共有用1!J44))</f>
        <v/>
      </c>
      <c r="K44" s="17" t="str">
        <f>IF(共有用1!K44="","",共有用1!K44&amp;"/"&amp;COUNTIF(共有用1!K$2:K44,共有用1!K44))</f>
        <v/>
      </c>
      <c r="L44" s="17" t="str">
        <f>IF(共有用1!L44="","",共有用1!L44&amp;"/"&amp;COUNTIF(共有用1!L$2:L44,共有用1!L44))</f>
        <v/>
      </c>
      <c r="M44" s="17" t="str">
        <f>IF(共有用1!M44="","",共有用1!M44&amp;"/"&amp;COUNTIF(共有用1!M$2:M44,共有用1!M44))</f>
        <v/>
      </c>
      <c r="N44" s="17" t="str">
        <f>IF(共有用1!N44="","",共有用1!N44&amp;"/"&amp;COUNTIF(共有用1!N$2:N44,共有用1!N44))</f>
        <v/>
      </c>
      <c r="O44" s="17" t="str">
        <f>IF(共有用1!O44="","",共有用1!O44&amp;"/"&amp;COUNTIF(共有用1!O$2:O44,共有用1!O44))</f>
        <v/>
      </c>
      <c r="P44" s="17" t="str">
        <f>IF(共有用1!P44="","",共有用1!P44&amp;"/"&amp;COUNTIF(共有用1!P$2:P44,共有用1!P44))</f>
        <v/>
      </c>
      <c r="Q44" s="17" t="str">
        <f>IF(共有用1!Q44="","",共有用1!Q44&amp;"/"&amp;COUNTIF(共有用1!Q$2:Q44,共有用1!Q44))</f>
        <v/>
      </c>
      <c r="R44" s="17" t="str">
        <f>IF(共有用1!R44="","",共有用1!R44&amp;"/"&amp;COUNTIF(共有用1!R$2:R44,共有用1!R44))</f>
        <v/>
      </c>
      <c r="S44" s="17" t="str">
        <f>IF(共有用1!S44="","",共有用1!S44&amp;"/"&amp;COUNTIF(共有用1!S$2:S44,共有用1!S44))</f>
        <v/>
      </c>
      <c r="T44" s="17" t="str">
        <f>IF(共有用1!T44="","",共有用1!T44&amp;"/"&amp;COUNTIF(共有用1!T$2:T44,共有用1!T44))</f>
        <v/>
      </c>
      <c r="U44" s="17" t="str">
        <f>IF(共有用1!U44="","",共有用1!U44&amp;"/"&amp;COUNTIF(共有用1!U$2:U44,共有用1!U44))</f>
        <v/>
      </c>
      <c r="V44" s="17" t="str">
        <f>IF(共有用1!V44="","",共有用1!V44&amp;"/"&amp;COUNTIF(共有用1!V$2:V44,共有用1!V44))</f>
        <v/>
      </c>
      <c r="W44" s="17" t="str">
        <f>IF(共有用1!W44="","",共有用1!W44&amp;"/"&amp;COUNTIF(共有用1!W$2:W44,共有用1!W44))</f>
        <v/>
      </c>
      <c r="X44" s="17" t="str">
        <f>IF(共有用1!X44="","",共有用1!X44&amp;"/"&amp;COUNTIF(共有用1!X$2:X44,共有用1!X44))</f>
        <v/>
      </c>
      <c r="Y44" s="17" t="str">
        <f>IF(共有用1!Y44="","",共有用1!Y44&amp;"/"&amp;COUNTIF(共有用1!Y$2:Y44,共有用1!Y44))</f>
        <v/>
      </c>
      <c r="Z44" s="17" t="str">
        <f>IF(共有用1!Z44="","",共有用1!Z44&amp;"/"&amp;COUNTIF(共有用1!Z$2:Z44,共有用1!Z44))</f>
        <v/>
      </c>
      <c r="AA44" s="17" t="str">
        <f>IF(共有用1!AA44="","",共有用1!AA44&amp;"/"&amp;COUNTIF(共有用1!AA$2:AA44,共有用1!AA44))</f>
        <v/>
      </c>
      <c r="AB44" s="17" t="str">
        <f>IF(共有用1!AB44="","",共有用1!AB44&amp;"/"&amp;COUNTIF(共有用1!AB$2:AB44,共有用1!AB44))</f>
        <v/>
      </c>
      <c r="AC44" s="17" t="str">
        <f>IF(共有用1!AC44="","",共有用1!AC44&amp;"/"&amp;COUNTIF(共有用1!AC$2:AC44,共有用1!AC44))</f>
        <v/>
      </c>
      <c r="AD44" s="17" t="str">
        <f>IF(共有用1!AD44="","",共有用1!AD44&amp;"/"&amp;COUNTIF(共有用1!AD$2:AD44,共有用1!AD44))</f>
        <v/>
      </c>
      <c r="AE44" s="17" t="str">
        <f>IF(共有用1!AE44="","",共有用1!AE44&amp;"/"&amp;COUNTIF(共有用1!AE$2:AE44,共有用1!AE44))</f>
        <v/>
      </c>
      <c r="AF44" s="17" t="str">
        <f>IF(共有用1!AF44="","",共有用1!AF44&amp;"/"&amp;COUNTIF(共有用1!AF$2:AF44,共有用1!AF44))</f>
        <v/>
      </c>
      <c r="AG44" s="17" t="str">
        <f>IF(共有用1!AG44="","",共有用1!AG44&amp;"/"&amp;COUNTIF(共有用1!AG$2:AG44,共有用1!AG44))</f>
        <v/>
      </c>
      <c r="AH44" s="17" t="str">
        <f>IF(共有用1!AH44="","",共有用1!AH44&amp;"/"&amp;COUNTIF(共有用1!AH$2:AH44,共有用1!AH44))</f>
        <v/>
      </c>
      <c r="AI44" s="17" t="str">
        <f>IF(共有用1!AI44="","",共有用1!AI44&amp;"/"&amp;COUNTIF(共有用1!AI$2:AI44,共有用1!AI44))</f>
        <v/>
      </c>
      <c r="AJ44" s="17" t="str">
        <f>IF(共有用1!AJ44="","",共有用1!AJ44&amp;"/"&amp;COUNTIF(共有用1!AJ$2:AJ44,共有用1!AJ44))</f>
        <v/>
      </c>
      <c r="AK44" s="17" t="str">
        <f>IF(共有用1!AK44="","",共有用1!AK44&amp;"/"&amp;COUNTIF(共有用1!AK$2:AK44,共有用1!AK44))</f>
        <v/>
      </c>
      <c r="AL44" s="17" t="str">
        <f>IF(共有用1!AL44="","",共有用1!AL44&amp;"/"&amp;COUNTIF(共有用1!AL$2:AL44,共有用1!AL44))</f>
        <v/>
      </c>
      <c r="AM44" s="17" t="str">
        <f>IF(共有用1!AM44="","",共有用1!AM44&amp;"/"&amp;COUNTIF(共有用1!AM$2:AM44,共有用1!AM44))</f>
        <v/>
      </c>
      <c r="AN44" s="17" t="str">
        <f>IF(共有用1!AN44="","",共有用1!AN44&amp;"/"&amp;COUNTIF(共有用1!AN$2:AN44,共有用1!AN44))</f>
        <v/>
      </c>
      <c r="AO44" s="17" t="str">
        <f>IF(共有用1!AO44="","",共有用1!AO44&amp;"/"&amp;COUNTIF(共有用1!AO$2:AO44,共有用1!AO44))</f>
        <v/>
      </c>
      <c r="AP44" s="17" t="str">
        <f>IF(共有用1!AP44="","",共有用1!AP44&amp;"/"&amp;COUNTIF(共有用1!AP$2:AP44,共有用1!AP44))</f>
        <v/>
      </c>
      <c r="AQ44" s="17" t="str">
        <f>IF(共有用1!AQ44="","",共有用1!AQ44&amp;"/"&amp;COUNTIF(共有用1!AQ$2:AQ44,共有用1!AQ44))</f>
        <v/>
      </c>
      <c r="AR44" s="17" t="str">
        <f>IF(共有用1!AR44="","",共有用1!AR44&amp;"/"&amp;COUNTIF(共有用1!AR$2:AR44,共有用1!AR44))</f>
        <v/>
      </c>
      <c r="AS44" s="17" t="str">
        <f>IF(共有用1!AS44="","",共有用1!AS44&amp;"/"&amp;COUNTIF(共有用1!AS$2:AS44,共有用1!AS44))</f>
        <v/>
      </c>
      <c r="AT44" s="17" t="str">
        <f>IF(共有用1!AT44="","",共有用1!AT44&amp;"/"&amp;COUNTIF(共有用1!AT$2:AT44,共有用1!AT44))</f>
        <v/>
      </c>
      <c r="AU44" s="17" t="str">
        <f>IF(共有用1!AU44="","",共有用1!AU44&amp;"/"&amp;COUNTIF(共有用1!AU$2:AU44,共有用1!AU44))</f>
        <v/>
      </c>
      <c r="AV44" s="17" t="str">
        <f>IF(共有用1!AV44="","",共有用1!AV44&amp;"/"&amp;COUNTIF(共有用1!AV$2:AV44,共有用1!AV44))</f>
        <v/>
      </c>
      <c r="AW44" s="17" t="str">
        <f>IF(共有用1!AW44="","",共有用1!AW44&amp;"/"&amp;COUNTIF(共有用1!AW$2:AW44,共有用1!AW44))</f>
        <v/>
      </c>
      <c r="AX44" s="17" t="str">
        <f>IF(共有用1!AX44="","",共有用1!AX44&amp;"/"&amp;COUNTIF(共有用1!AX$2:AX44,共有用1!AX44))</f>
        <v/>
      </c>
      <c r="AY44" s="17" t="str">
        <f>IF(共有用1!AY44="","",共有用1!AY44&amp;"/"&amp;COUNTIF(共有用1!AY$2:AY44,共有用1!AY44))</f>
        <v/>
      </c>
      <c r="AZ44" s="17" t="str">
        <f>IF(共有用1!AZ44="","",共有用1!AZ44&amp;"/"&amp;COUNTIF(共有用1!AZ$2:AZ44,共有用1!AZ44))</f>
        <v/>
      </c>
      <c r="BA44" s="17" t="str">
        <f>IF(共有用1!BA44="","",共有用1!BA44&amp;"/"&amp;COUNTIF(共有用1!BA$2:BA44,共有用1!BA44))</f>
        <v/>
      </c>
    </row>
    <row r="45" spans="1:53">
      <c r="A45" s="2" t="str">
        <f>共有用1!A45</f>
        <v/>
      </c>
      <c r="B45" s="2" t="str">
        <f>共有用1!B45</f>
        <v/>
      </c>
      <c r="C45" s="2" t="str">
        <f>共有用1!C45</f>
        <v/>
      </c>
      <c r="D45" s="17" t="str">
        <f>IF(共有用1!D45="","",共有用1!D45&amp;"/"&amp;COUNTIF(共有用1!D$2:D45,共有用1!D45))</f>
        <v/>
      </c>
      <c r="E45" s="17" t="str">
        <f>IF(共有用1!E45="","",共有用1!E45&amp;"/"&amp;COUNTIF(共有用1!E$2:E45,共有用1!E45))</f>
        <v/>
      </c>
      <c r="F45" s="17" t="str">
        <f>IF(共有用1!F45="","",共有用1!F45&amp;"/"&amp;COUNTIF(共有用1!F$2:F45,共有用1!F45))</f>
        <v/>
      </c>
      <c r="G45" s="17" t="str">
        <f>IF(共有用1!G45="","",共有用1!G45&amp;"/"&amp;COUNTIF(共有用1!G$2:G45,共有用1!G45))</f>
        <v/>
      </c>
      <c r="H45" s="17" t="str">
        <f>IF(共有用1!H45="","",共有用1!H45&amp;"/"&amp;COUNTIF(共有用1!H$2:H45,共有用1!H45))</f>
        <v/>
      </c>
      <c r="I45" s="17" t="str">
        <f>IF(共有用1!I45="","",共有用1!I45&amp;"/"&amp;COUNTIF(共有用1!I$2:I45,共有用1!I45))</f>
        <v/>
      </c>
      <c r="J45" s="17" t="str">
        <f>IF(共有用1!J45="","",共有用1!J45&amp;"/"&amp;COUNTIF(共有用1!J$2:J45,共有用1!J45))</f>
        <v/>
      </c>
      <c r="K45" s="17" t="str">
        <f>IF(共有用1!K45="","",共有用1!K45&amp;"/"&amp;COUNTIF(共有用1!K$2:K45,共有用1!K45))</f>
        <v/>
      </c>
      <c r="L45" s="17" t="str">
        <f>IF(共有用1!L45="","",共有用1!L45&amp;"/"&amp;COUNTIF(共有用1!L$2:L45,共有用1!L45))</f>
        <v/>
      </c>
      <c r="M45" s="17" t="str">
        <f>IF(共有用1!M45="","",共有用1!M45&amp;"/"&amp;COUNTIF(共有用1!M$2:M45,共有用1!M45))</f>
        <v/>
      </c>
      <c r="N45" s="17" t="str">
        <f>IF(共有用1!N45="","",共有用1!N45&amp;"/"&amp;COUNTIF(共有用1!N$2:N45,共有用1!N45))</f>
        <v/>
      </c>
      <c r="O45" s="17" t="str">
        <f>IF(共有用1!O45="","",共有用1!O45&amp;"/"&amp;COUNTIF(共有用1!O$2:O45,共有用1!O45))</f>
        <v/>
      </c>
      <c r="P45" s="17" t="str">
        <f>IF(共有用1!P45="","",共有用1!P45&amp;"/"&amp;COUNTIF(共有用1!P$2:P45,共有用1!P45))</f>
        <v/>
      </c>
      <c r="Q45" s="17" t="str">
        <f>IF(共有用1!Q45="","",共有用1!Q45&amp;"/"&amp;COUNTIF(共有用1!Q$2:Q45,共有用1!Q45))</f>
        <v/>
      </c>
      <c r="R45" s="17" t="str">
        <f>IF(共有用1!R45="","",共有用1!R45&amp;"/"&amp;COUNTIF(共有用1!R$2:R45,共有用1!R45))</f>
        <v/>
      </c>
      <c r="S45" s="17" t="str">
        <f>IF(共有用1!S45="","",共有用1!S45&amp;"/"&amp;COUNTIF(共有用1!S$2:S45,共有用1!S45))</f>
        <v/>
      </c>
      <c r="T45" s="17" t="str">
        <f>IF(共有用1!T45="","",共有用1!T45&amp;"/"&amp;COUNTIF(共有用1!T$2:T45,共有用1!T45))</f>
        <v/>
      </c>
      <c r="U45" s="17" t="str">
        <f>IF(共有用1!U45="","",共有用1!U45&amp;"/"&amp;COUNTIF(共有用1!U$2:U45,共有用1!U45))</f>
        <v/>
      </c>
      <c r="V45" s="17" t="str">
        <f>IF(共有用1!V45="","",共有用1!V45&amp;"/"&amp;COUNTIF(共有用1!V$2:V45,共有用1!V45))</f>
        <v/>
      </c>
      <c r="W45" s="17" t="str">
        <f>IF(共有用1!W45="","",共有用1!W45&amp;"/"&amp;COUNTIF(共有用1!W$2:W45,共有用1!W45))</f>
        <v/>
      </c>
      <c r="X45" s="17" t="str">
        <f>IF(共有用1!X45="","",共有用1!X45&amp;"/"&amp;COUNTIF(共有用1!X$2:X45,共有用1!X45))</f>
        <v/>
      </c>
      <c r="Y45" s="17" t="str">
        <f>IF(共有用1!Y45="","",共有用1!Y45&amp;"/"&amp;COUNTIF(共有用1!Y$2:Y45,共有用1!Y45))</f>
        <v/>
      </c>
      <c r="Z45" s="17" t="str">
        <f>IF(共有用1!Z45="","",共有用1!Z45&amp;"/"&amp;COUNTIF(共有用1!Z$2:Z45,共有用1!Z45))</f>
        <v/>
      </c>
      <c r="AA45" s="17" t="str">
        <f>IF(共有用1!AA45="","",共有用1!AA45&amp;"/"&amp;COUNTIF(共有用1!AA$2:AA45,共有用1!AA45))</f>
        <v/>
      </c>
      <c r="AB45" s="17" t="str">
        <f>IF(共有用1!AB45="","",共有用1!AB45&amp;"/"&amp;COUNTIF(共有用1!AB$2:AB45,共有用1!AB45))</f>
        <v/>
      </c>
      <c r="AC45" s="17" t="str">
        <f>IF(共有用1!AC45="","",共有用1!AC45&amp;"/"&amp;COUNTIF(共有用1!AC$2:AC45,共有用1!AC45))</f>
        <v/>
      </c>
      <c r="AD45" s="17" t="str">
        <f>IF(共有用1!AD45="","",共有用1!AD45&amp;"/"&amp;COUNTIF(共有用1!AD$2:AD45,共有用1!AD45))</f>
        <v/>
      </c>
      <c r="AE45" s="17" t="str">
        <f>IF(共有用1!AE45="","",共有用1!AE45&amp;"/"&amp;COUNTIF(共有用1!AE$2:AE45,共有用1!AE45))</f>
        <v/>
      </c>
      <c r="AF45" s="17" t="str">
        <f>IF(共有用1!AF45="","",共有用1!AF45&amp;"/"&amp;COUNTIF(共有用1!AF$2:AF45,共有用1!AF45))</f>
        <v/>
      </c>
      <c r="AG45" s="17" t="str">
        <f>IF(共有用1!AG45="","",共有用1!AG45&amp;"/"&amp;COUNTIF(共有用1!AG$2:AG45,共有用1!AG45))</f>
        <v/>
      </c>
      <c r="AH45" s="17" t="str">
        <f>IF(共有用1!AH45="","",共有用1!AH45&amp;"/"&amp;COUNTIF(共有用1!AH$2:AH45,共有用1!AH45))</f>
        <v/>
      </c>
      <c r="AI45" s="17" t="str">
        <f>IF(共有用1!AI45="","",共有用1!AI45&amp;"/"&amp;COUNTIF(共有用1!AI$2:AI45,共有用1!AI45))</f>
        <v/>
      </c>
      <c r="AJ45" s="17" t="str">
        <f>IF(共有用1!AJ45="","",共有用1!AJ45&amp;"/"&amp;COUNTIF(共有用1!AJ$2:AJ45,共有用1!AJ45))</f>
        <v/>
      </c>
      <c r="AK45" s="17" t="str">
        <f>IF(共有用1!AK45="","",共有用1!AK45&amp;"/"&amp;COUNTIF(共有用1!AK$2:AK45,共有用1!AK45))</f>
        <v/>
      </c>
      <c r="AL45" s="17" t="str">
        <f>IF(共有用1!AL45="","",共有用1!AL45&amp;"/"&amp;COUNTIF(共有用1!AL$2:AL45,共有用1!AL45))</f>
        <v/>
      </c>
      <c r="AM45" s="17" t="str">
        <f>IF(共有用1!AM45="","",共有用1!AM45&amp;"/"&amp;COUNTIF(共有用1!AM$2:AM45,共有用1!AM45))</f>
        <v/>
      </c>
      <c r="AN45" s="17" t="str">
        <f>IF(共有用1!AN45="","",共有用1!AN45&amp;"/"&amp;COUNTIF(共有用1!AN$2:AN45,共有用1!AN45))</f>
        <v/>
      </c>
      <c r="AO45" s="17" t="str">
        <f>IF(共有用1!AO45="","",共有用1!AO45&amp;"/"&amp;COUNTIF(共有用1!AO$2:AO45,共有用1!AO45))</f>
        <v/>
      </c>
      <c r="AP45" s="17" t="str">
        <f>IF(共有用1!AP45="","",共有用1!AP45&amp;"/"&amp;COUNTIF(共有用1!AP$2:AP45,共有用1!AP45))</f>
        <v/>
      </c>
      <c r="AQ45" s="17" t="str">
        <f>IF(共有用1!AQ45="","",共有用1!AQ45&amp;"/"&amp;COUNTIF(共有用1!AQ$2:AQ45,共有用1!AQ45))</f>
        <v/>
      </c>
      <c r="AR45" s="17" t="str">
        <f>IF(共有用1!AR45="","",共有用1!AR45&amp;"/"&amp;COUNTIF(共有用1!AR$2:AR45,共有用1!AR45))</f>
        <v/>
      </c>
      <c r="AS45" s="17" t="str">
        <f>IF(共有用1!AS45="","",共有用1!AS45&amp;"/"&amp;COUNTIF(共有用1!AS$2:AS45,共有用1!AS45))</f>
        <v/>
      </c>
      <c r="AT45" s="17" t="str">
        <f>IF(共有用1!AT45="","",共有用1!AT45&amp;"/"&amp;COUNTIF(共有用1!AT$2:AT45,共有用1!AT45))</f>
        <v/>
      </c>
      <c r="AU45" s="17" t="str">
        <f>IF(共有用1!AU45="","",共有用1!AU45&amp;"/"&amp;COUNTIF(共有用1!AU$2:AU45,共有用1!AU45))</f>
        <v/>
      </c>
      <c r="AV45" s="17" t="str">
        <f>IF(共有用1!AV45="","",共有用1!AV45&amp;"/"&amp;COUNTIF(共有用1!AV$2:AV45,共有用1!AV45))</f>
        <v/>
      </c>
      <c r="AW45" s="17" t="str">
        <f>IF(共有用1!AW45="","",共有用1!AW45&amp;"/"&amp;COUNTIF(共有用1!AW$2:AW45,共有用1!AW45))</f>
        <v/>
      </c>
      <c r="AX45" s="17" t="str">
        <f>IF(共有用1!AX45="","",共有用1!AX45&amp;"/"&amp;COUNTIF(共有用1!AX$2:AX45,共有用1!AX45))</f>
        <v/>
      </c>
      <c r="AY45" s="17" t="str">
        <f>IF(共有用1!AY45="","",共有用1!AY45&amp;"/"&amp;COUNTIF(共有用1!AY$2:AY45,共有用1!AY45))</f>
        <v/>
      </c>
      <c r="AZ45" s="17" t="str">
        <f>IF(共有用1!AZ45="","",共有用1!AZ45&amp;"/"&amp;COUNTIF(共有用1!AZ$2:AZ45,共有用1!AZ45))</f>
        <v/>
      </c>
      <c r="BA45" s="17" t="str">
        <f>IF(共有用1!BA45="","",共有用1!BA45&amp;"/"&amp;COUNTIF(共有用1!BA$2:BA45,共有用1!BA45))</f>
        <v/>
      </c>
    </row>
    <row r="46" spans="1:53">
      <c r="A46" s="2" t="str">
        <f>共有用1!A46</f>
        <v/>
      </c>
      <c r="B46" s="2" t="str">
        <f>共有用1!B46</f>
        <v/>
      </c>
      <c r="C46" s="2" t="str">
        <f>共有用1!C46</f>
        <v/>
      </c>
      <c r="D46" s="17" t="str">
        <f>IF(共有用1!D46="","",共有用1!D46&amp;"/"&amp;COUNTIF(共有用1!D$2:D46,共有用1!D46))</f>
        <v/>
      </c>
      <c r="E46" s="17" t="str">
        <f>IF(共有用1!E46="","",共有用1!E46&amp;"/"&amp;COUNTIF(共有用1!E$2:E46,共有用1!E46))</f>
        <v/>
      </c>
      <c r="F46" s="17" t="str">
        <f>IF(共有用1!F46="","",共有用1!F46&amp;"/"&amp;COUNTIF(共有用1!F$2:F46,共有用1!F46))</f>
        <v/>
      </c>
      <c r="G46" s="17" t="str">
        <f>IF(共有用1!G46="","",共有用1!G46&amp;"/"&amp;COUNTIF(共有用1!G$2:G46,共有用1!G46))</f>
        <v/>
      </c>
      <c r="H46" s="17" t="str">
        <f>IF(共有用1!H46="","",共有用1!H46&amp;"/"&amp;COUNTIF(共有用1!H$2:H46,共有用1!H46))</f>
        <v/>
      </c>
      <c r="I46" s="17" t="str">
        <f>IF(共有用1!I46="","",共有用1!I46&amp;"/"&amp;COUNTIF(共有用1!I$2:I46,共有用1!I46))</f>
        <v/>
      </c>
      <c r="J46" s="17" t="str">
        <f>IF(共有用1!J46="","",共有用1!J46&amp;"/"&amp;COUNTIF(共有用1!J$2:J46,共有用1!J46))</f>
        <v/>
      </c>
      <c r="K46" s="17" t="str">
        <f>IF(共有用1!K46="","",共有用1!K46&amp;"/"&amp;COUNTIF(共有用1!K$2:K46,共有用1!K46))</f>
        <v/>
      </c>
      <c r="L46" s="17" t="str">
        <f>IF(共有用1!L46="","",共有用1!L46&amp;"/"&amp;COUNTIF(共有用1!L$2:L46,共有用1!L46))</f>
        <v/>
      </c>
      <c r="M46" s="17" t="str">
        <f>IF(共有用1!M46="","",共有用1!M46&amp;"/"&amp;COUNTIF(共有用1!M$2:M46,共有用1!M46))</f>
        <v/>
      </c>
      <c r="N46" s="17" t="str">
        <f>IF(共有用1!N46="","",共有用1!N46&amp;"/"&amp;COUNTIF(共有用1!N$2:N46,共有用1!N46))</f>
        <v/>
      </c>
      <c r="O46" s="17" t="str">
        <f>IF(共有用1!O46="","",共有用1!O46&amp;"/"&amp;COUNTIF(共有用1!O$2:O46,共有用1!O46))</f>
        <v/>
      </c>
      <c r="P46" s="17" t="str">
        <f>IF(共有用1!P46="","",共有用1!P46&amp;"/"&amp;COUNTIF(共有用1!P$2:P46,共有用1!P46))</f>
        <v/>
      </c>
      <c r="Q46" s="17" t="str">
        <f>IF(共有用1!Q46="","",共有用1!Q46&amp;"/"&amp;COUNTIF(共有用1!Q$2:Q46,共有用1!Q46))</f>
        <v/>
      </c>
      <c r="R46" s="17" t="str">
        <f>IF(共有用1!R46="","",共有用1!R46&amp;"/"&amp;COUNTIF(共有用1!R$2:R46,共有用1!R46))</f>
        <v/>
      </c>
      <c r="S46" s="17" t="str">
        <f>IF(共有用1!S46="","",共有用1!S46&amp;"/"&amp;COUNTIF(共有用1!S$2:S46,共有用1!S46))</f>
        <v/>
      </c>
      <c r="T46" s="17" t="str">
        <f>IF(共有用1!T46="","",共有用1!T46&amp;"/"&amp;COUNTIF(共有用1!T$2:T46,共有用1!T46))</f>
        <v/>
      </c>
      <c r="U46" s="17" t="str">
        <f>IF(共有用1!U46="","",共有用1!U46&amp;"/"&amp;COUNTIF(共有用1!U$2:U46,共有用1!U46))</f>
        <v/>
      </c>
      <c r="V46" s="17" t="str">
        <f>IF(共有用1!V46="","",共有用1!V46&amp;"/"&amp;COUNTIF(共有用1!V$2:V46,共有用1!V46))</f>
        <v/>
      </c>
      <c r="W46" s="17" t="str">
        <f>IF(共有用1!W46="","",共有用1!W46&amp;"/"&amp;COUNTIF(共有用1!W$2:W46,共有用1!W46))</f>
        <v/>
      </c>
      <c r="X46" s="17" t="str">
        <f>IF(共有用1!X46="","",共有用1!X46&amp;"/"&amp;COUNTIF(共有用1!X$2:X46,共有用1!X46))</f>
        <v/>
      </c>
      <c r="Y46" s="17" t="str">
        <f>IF(共有用1!Y46="","",共有用1!Y46&amp;"/"&amp;COUNTIF(共有用1!Y$2:Y46,共有用1!Y46))</f>
        <v/>
      </c>
      <c r="Z46" s="17" t="str">
        <f>IF(共有用1!Z46="","",共有用1!Z46&amp;"/"&amp;COUNTIF(共有用1!Z$2:Z46,共有用1!Z46))</f>
        <v/>
      </c>
      <c r="AA46" s="17" t="str">
        <f>IF(共有用1!AA46="","",共有用1!AA46&amp;"/"&amp;COUNTIF(共有用1!AA$2:AA46,共有用1!AA46))</f>
        <v/>
      </c>
      <c r="AB46" s="17" t="str">
        <f>IF(共有用1!AB46="","",共有用1!AB46&amp;"/"&amp;COUNTIF(共有用1!AB$2:AB46,共有用1!AB46))</f>
        <v/>
      </c>
      <c r="AC46" s="17" t="str">
        <f>IF(共有用1!AC46="","",共有用1!AC46&amp;"/"&amp;COUNTIF(共有用1!AC$2:AC46,共有用1!AC46))</f>
        <v/>
      </c>
      <c r="AD46" s="17" t="str">
        <f>IF(共有用1!AD46="","",共有用1!AD46&amp;"/"&amp;COUNTIF(共有用1!AD$2:AD46,共有用1!AD46))</f>
        <v/>
      </c>
      <c r="AE46" s="17" t="str">
        <f>IF(共有用1!AE46="","",共有用1!AE46&amp;"/"&amp;COUNTIF(共有用1!AE$2:AE46,共有用1!AE46))</f>
        <v/>
      </c>
      <c r="AF46" s="17" t="str">
        <f>IF(共有用1!AF46="","",共有用1!AF46&amp;"/"&amp;COUNTIF(共有用1!AF$2:AF46,共有用1!AF46))</f>
        <v/>
      </c>
      <c r="AG46" s="17" t="str">
        <f>IF(共有用1!AG46="","",共有用1!AG46&amp;"/"&amp;COUNTIF(共有用1!AG$2:AG46,共有用1!AG46))</f>
        <v/>
      </c>
      <c r="AH46" s="17" t="str">
        <f>IF(共有用1!AH46="","",共有用1!AH46&amp;"/"&amp;COUNTIF(共有用1!AH$2:AH46,共有用1!AH46))</f>
        <v/>
      </c>
      <c r="AI46" s="17" t="str">
        <f>IF(共有用1!AI46="","",共有用1!AI46&amp;"/"&amp;COUNTIF(共有用1!AI$2:AI46,共有用1!AI46))</f>
        <v/>
      </c>
      <c r="AJ46" s="17" t="str">
        <f>IF(共有用1!AJ46="","",共有用1!AJ46&amp;"/"&amp;COUNTIF(共有用1!AJ$2:AJ46,共有用1!AJ46))</f>
        <v/>
      </c>
      <c r="AK46" s="17" t="str">
        <f>IF(共有用1!AK46="","",共有用1!AK46&amp;"/"&amp;COUNTIF(共有用1!AK$2:AK46,共有用1!AK46))</f>
        <v/>
      </c>
      <c r="AL46" s="17" t="str">
        <f>IF(共有用1!AL46="","",共有用1!AL46&amp;"/"&amp;COUNTIF(共有用1!AL$2:AL46,共有用1!AL46))</f>
        <v/>
      </c>
      <c r="AM46" s="17" t="str">
        <f>IF(共有用1!AM46="","",共有用1!AM46&amp;"/"&amp;COUNTIF(共有用1!AM$2:AM46,共有用1!AM46))</f>
        <v/>
      </c>
      <c r="AN46" s="17" t="str">
        <f>IF(共有用1!AN46="","",共有用1!AN46&amp;"/"&amp;COUNTIF(共有用1!AN$2:AN46,共有用1!AN46))</f>
        <v/>
      </c>
      <c r="AO46" s="17" t="str">
        <f>IF(共有用1!AO46="","",共有用1!AO46&amp;"/"&amp;COUNTIF(共有用1!AO$2:AO46,共有用1!AO46))</f>
        <v/>
      </c>
      <c r="AP46" s="17" t="str">
        <f>IF(共有用1!AP46="","",共有用1!AP46&amp;"/"&amp;COUNTIF(共有用1!AP$2:AP46,共有用1!AP46))</f>
        <v/>
      </c>
      <c r="AQ46" s="17" t="str">
        <f>IF(共有用1!AQ46="","",共有用1!AQ46&amp;"/"&amp;COUNTIF(共有用1!AQ$2:AQ46,共有用1!AQ46))</f>
        <v/>
      </c>
      <c r="AR46" s="17" t="str">
        <f>IF(共有用1!AR46="","",共有用1!AR46&amp;"/"&amp;COUNTIF(共有用1!AR$2:AR46,共有用1!AR46))</f>
        <v/>
      </c>
      <c r="AS46" s="17" t="str">
        <f>IF(共有用1!AS46="","",共有用1!AS46&amp;"/"&amp;COUNTIF(共有用1!AS$2:AS46,共有用1!AS46))</f>
        <v/>
      </c>
      <c r="AT46" s="17" t="str">
        <f>IF(共有用1!AT46="","",共有用1!AT46&amp;"/"&amp;COUNTIF(共有用1!AT$2:AT46,共有用1!AT46))</f>
        <v/>
      </c>
      <c r="AU46" s="17" t="str">
        <f>IF(共有用1!AU46="","",共有用1!AU46&amp;"/"&amp;COUNTIF(共有用1!AU$2:AU46,共有用1!AU46))</f>
        <v/>
      </c>
      <c r="AV46" s="17" t="str">
        <f>IF(共有用1!AV46="","",共有用1!AV46&amp;"/"&amp;COUNTIF(共有用1!AV$2:AV46,共有用1!AV46))</f>
        <v/>
      </c>
      <c r="AW46" s="17" t="str">
        <f>IF(共有用1!AW46="","",共有用1!AW46&amp;"/"&amp;COUNTIF(共有用1!AW$2:AW46,共有用1!AW46))</f>
        <v/>
      </c>
      <c r="AX46" s="17" t="str">
        <f>IF(共有用1!AX46="","",共有用1!AX46&amp;"/"&amp;COUNTIF(共有用1!AX$2:AX46,共有用1!AX46))</f>
        <v/>
      </c>
      <c r="AY46" s="17" t="str">
        <f>IF(共有用1!AY46="","",共有用1!AY46&amp;"/"&amp;COUNTIF(共有用1!AY$2:AY46,共有用1!AY46))</f>
        <v/>
      </c>
      <c r="AZ46" s="17" t="str">
        <f>IF(共有用1!AZ46="","",共有用1!AZ46&amp;"/"&amp;COUNTIF(共有用1!AZ$2:AZ46,共有用1!AZ46))</f>
        <v/>
      </c>
      <c r="BA46" s="17" t="str">
        <f>IF(共有用1!BA46="","",共有用1!BA46&amp;"/"&amp;COUNTIF(共有用1!BA$2:BA46,共有用1!BA46))</f>
        <v/>
      </c>
    </row>
    <row r="47" spans="1:53">
      <c r="A47" s="2" t="str">
        <f>共有用1!A47</f>
        <v/>
      </c>
      <c r="B47" s="2" t="str">
        <f>共有用1!B47</f>
        <v/>
      </c>
      <c r="C47" s="2" t="str">
        <f>共有用1!C47</f>
        <v/>
      </c>
      <c r="D47" s="17" t="str">
        <f>IF(共有用1!D47="","",共有用1!D47&amp;"/"&amp;COUNTIF(共有用1!D$2:D47,共有用1!D47))</f>
        <v/>
      </c>
      <c r="E47" s="17" t="str">
        <f>IF(共有用1!E47="","",共有用1!E47&amp;"/"&amp;COUNTIF(共有用1!E$2:E47,共有用1!E47))</f>
        <v/>
      </c>
      <c r="F47" s="17" t="str">
        <f>IF(共有用1!F47="","",共有用1!F47&amp;"/"&amp;COUNTIF(共有用1!F$2:F47,共有用1!F47))</f>
        <v/>
      </c>
      <c r="G47" s="17" t="str">
        <f>IF(共有用1!G47="","",共有用1!G47&amp;"/"&amp;COUNTIF(共有用1!G$2:G47,共有用1!G47))</f>
        <v/>
      </c>
      <c r="H47" s="17" t="str">
        <f>IF(共有用1!H47="","",共有用1!H47&amp;"/"&amp;COUNTIF(共有用1!H$2:H47,共有用1!H47))</f>
        <v/>
      </c>
      <c r="I47" s="17" t="str">
        <f>IF(共有用1!I47="","",共有用1!I47&amp;"/"&amp;COUNTIF(共有用1!I$2:I47,共有用1!I47))</f>
        <v/>
      </c>
      <c r="J47" s="17" t="str">
        <f>IF(共有用1!J47="","",共有用1!J47&amp;"/"&amp;COUNTIF(共有用1!J$2:J47,共有用1!J47))</f>
        <v/>
      </c>
      <c r="K47" s="17" t="str">
        <f>IF(共有用1!K47="","",共有用1!K47&amp;"/"&amp;COUNTIF(共有用1!K$2:K47,共有用1!K47))</f>
        <v/>
      </c>
      <c r="L47" s="17" t="str">
        <f>IF(共有用1!L47="","",共有用1!L47&amp;"/"&amp;COUNTIF(共有用1!L$2:L47,共有用1!L47))</f>
        <v/>
      </c>
      <c r="M47" s="17" t="str">
        <f>IF(共有用1!M47="","",共有用1!M47&amp;"/"&amp;COUNTIF(共有用1!M$2:M47,共有用1!M47))</f>
        <v/>
      </c>
      <c r="N47" s="17" t="str">
        <f>IF(共有用1!N47="","",共有用1!N47&amp;"/"&amp;COUNTIF(共有用1!N$2:N47,共有用1!N47))</f>
        <v/>
      </c>
      <c r="O47" s="17" t="str">
        <f>IF(共有用1!O47="","",共有用1!O47&amp;"/"&amp;COUNTIF(共有用1!O$2:O47,共有用1!O47))</f>
        <v/>
      </c>
      <c r="P47" s="17" t="str">
        <f>IF(共有用1!P47="","",共有用1!P47&amp;"/"&amp;COUNTIF(共有用1!P$2:P47,共有用1!P47))</f>
        <v/>
      </c>
      <c r="Q47" s="17" t="str">
        <f>IF(共有用1!Q47="","",共有用1!Q47&amp;"/"&amp;COUNTIF(共有用1!Q$2:Q47,共有用1!Q47))</f>
        <v/>
      </c>
      <c r="R47" s="17" t="str">
        <f>IF(共有用1!R47="","",共有用1!R47&amp;"/"&amp;COUNTIF(共有用1!R$2:R47,共有用1!R47))</f>
        <v/>
      </c>
      <c r="S47" s="17" t="str">
        <f>IF(共有用1!S47="","",共有用1!S47&amp;"/"&amp;COUNTIF(共有用1!S$2:S47,共有用1!S47))</f>
        <v/>
      </c>
      <c r="T47" s="17" t="str">
        <f>IF(共有用1!T47="","",共有用1!T47&amp;"/"&amp;COUNTIF(共有用1!T$2:T47,共有用1!T47))</f>
        <v/>
      </c>
      <c r="U47" s="17" t="str">
        <f>IF(共有用1!U47="","",共有用1!U47&amp;"/"&amp;COUNTIF(共有用1!U$2:U47,共有用1!U47))</f>
        <v/>
      </c>
      <c r="V47" s="17" t="str">
        <f>IF(共有用1!V47="","",共有用1!V47&amp;"/"&amp;COUNTIF(共有用1!V$2:V47,共有用1!V47))</f>
        <v/>
      </c>
      <c r="W47" s="17" t="str">
        <f>IF(共有用1!W47="","",共有用1!W47&amp;"/"&amp;COUNTIF(共有用1!W$2:W47,共有用1!W47))</f>
        <v/>
      </c>
      <c r="X47" s="17" t="str">
        <f>IF(共有用1!X47="","",共有用1!X47&amp;"/"&amp;COUNTIF(共有用1!X$2:X47,共有用1!X47))</f>
        <v/>
      </c>
      <c r="Y47" s="17" t="str">
        <f>IF(共有用1!Y47="","",共有用1!Y47&amp;"/"&amp;COUNTIF(共有用1!Y$2:Y47,共有用1!Y47))</f>
        <v/>
      </c>
      <c r="Z47" s="17" t="str">
        <f>IF(共有用1!Z47="","",共有用1!Z47&amp;"/"&amp;COUNTIF(共有用1!Z$2:Z47,共有用1!Z47))</f>
        <v/>
      </c>
      <c r="AA47" s="17" t="str">
        <f>IF(共有用1!AA47="","",共有用1!AA47&amp;"/"&amp;COUNTIF(共有用1!AA$2:AA47,共有用1!AA47))</f>
        <v/>
      </c>
      <c r="AB47" s="17" t="str">
        <f>IF(共有用1!AB47="","",共有用1!AB47&amp;"/"&amp;COUNTIF(共有用1!AB$2:AB47,共有用1!AB47))</f>
        <v/>
      </c>
      <c r="AC47" s="17" t="str">
        <f>IF(共有用1!AC47="","",共有用1!AC47&amp;"/"&amp;COUNTIF(共有用1!AC$2:AC47,共有用1!AC47))</f>
        <v/>
      </c>
      <c r="AD47" s="17" t="str">
        <f>IF(共有用1!AD47="","",共有用1!AD47&amp;"/"&amp;COUNTIF(共有用1!AD$2:AD47,共有用1!AD47))</f>
        <v/>
      </c>
      <c r="AE47" s="17" t="str">
        <f>IF(共有用1!AE47="","",共有用1!AE47&amp;"/"&amp;COUNTIF(共有用1!AE$2:AE47,共有用1!AE47))</f>
        <v/>
      </c>
      <c r="AF47" s="17" t="str">
        <f>IF(共有用1!AF47="","",共有用1!AF47&amp;"/"&amp;COUNTIF(共有用1!AF$2:AF47,共有用1!AF47))</f>
        <v/>
      </c>
      <c r="AG47" s="17" t="str">
        <f>IF(共有用1!AG47="","",共有用1!AG47&amp;"/"&amp;COUNTIF(共有用1!AG$2:AG47,共有用1!AG47))</f>
        <v/>
      </c>
      <c r="AH47" s="17" t="str">
        <f>IF(共有用1!AH47="","",共有用1!AH47&amp;"/"&amp;COUNTIF(共有用1!AH$2:AH47,共有用1!AH47))</f>
        <v/>
      </c>
      <c r="AI47" s="17" t="str">
        <f>IF(共有用1!AI47="","",共有用1!AI47&amp;"/"&amp;COUNTIF(共有用1!AI$2:AI47,共有用1!AI47))</f>
        <v/>
      </c>
      <c r="AJ47" s="17" t="str">
        <f>IF(共有用1!AJ47="","",共有用1!AJ47&amp;"/"&amp;COUNTIF(共有用1!AJ$2:AJ47,共有用1!AJ47))</f>
        <v/>
      </c>
      <c r="AK47" s="17" t="str">
        <f>IF(共有用1!AK47="","",共有用1!AK47&amp;"/"&amp;COUNTIF(共有用1!AK$2:AK47,共有用1!AK47))</f>
        <v/>
      </c>
      <c r="AL47" s="17" t="str">
        <f>IF(共有用1!AL47="","",共有用1!AL47&amp;"/"&amp;COUNTIF(共有用1!AL$2:AL47,共有用1!AL47))</f>
        <v/>
      </c>
      <c r="AM47" s="17" t="str">
        <f>IF(共有用1!AM47="","",共有用1!AM47&amp;"/"&amp;COUNTIF(共有用1!AM$2:AM47,共有用1!AM47))</f>
        <v/>
      </c>
      <c r="AN47" s="17" t="str">
        <f>IF(共有用1!AN47="","",共有用1!AN47&amp;"/"&amp;COUNTIF(共有用1!AN$2:AN47,共有用1!AN47))</f>
        <v/>
      </c>
      <c r="AO47" s="17" t="str">
        <f>IF(共有用1!AO47="","",共有用1!AO47&amp;"/"&amp;COUNTIF(共有用1!AO$2:AO47,共有用1!AO47))</f>
        <v/>
      </c>
      <c r="AP47" s="17" t="str">
        <f>IF(共有用1!AP47="","",共有用1!AP47&amp;"/"&amp;COUNTIF(共有用1!AP$2:AP47,共有用1!AP47))</f>
        <v/>
      </c>
      <c r="AQ47" s="17" t="str">
        <f>IF(共有用1!AQ47="","",共有用1!AQ47&amp;"/"&amp;COUNTIF(共有用1!AQ$2:AQ47,共有用1!AQ47))</f>
        <v/>
      </c>
      <c r="AR47" s="17" t="str">
        <f>IF(共有用1!AR47="","",共有用1!AR47&amp;"/"&amp;COUNTIF(共有用1!AR$2:AR47,共有用1!AR47))</f>
        <v/>
      </c>
      <c r="AS47" s="17" t="str">
        <f>IF(共有用1!AS47="","",共有用1!AS47&amp;"/"&amp;COUNTIF(共有用1!AS$2:AS47,共有用1!AS47))</f>
        <v/>
      </c>
      <c r="AT47" s="17" t="str">
        <f>IF(共有用1!AT47="","",共有用1!AT47&amp;"/"&amp;COUNTIF(共有用1!AT$2:AT47,共有用1!AT47))</f>
        <v/>
      </c>
      <c r="AU47" s="17" t="str">
        <f>IF(共有用1!AU47="","",共有用1!AU47&amp;"/"&amp;COUNTIF(共有用1!AU$2:AU47,共有用1!AU47))</f>
        <v/>
      </c>
      <c r="AV47" s="17" t="str">
        <f>IF(共有用1!AV47="","",共有用1!AV47&amp;"/"&amp;COUNTIF(共有用1!AV$2:AV47,共有用1!AV47))</f>
        <v/>
      </c>
      <c r="AW47" s="17" t="str">
        <f>IF(共有用1!AW47="","",共有用1!AW47&amp;"/"&amp;COUNTIF(共有用1!AW$2:AW47,共有用1!AW47))</f>
        <v/>
      </c>
      <c r="AX47" s="17" t="str">
        <f>IF(共有用1!AX47="","",共有用1!AX47&amp;"/"&amp;COUNTIF(共有用1!AX$2:AX47,共有用1!AX47))</f>
        <v/>
      </c>
      <c r="AY47" s="17" t="str">
        <f>IF(共有用1!AY47="","",共有用1!AY47&amp;"/"&amp;COUNTIF(共有用1!AY$2:AY47,共有用1!AY47))</f>
        <v/>
      </c>
      <c r="AZ47" s="17" t="str">
        <f>IF(共有用1!AZ47="","",共有用1!AZ47&amp;"/"&amp;COUNTIF(共有用1!AZ$2:AZ47,共有用1!AZ47))</f>
        <v/>
      </c>
      <c r="BA47" s="17" t="str">
        <f>IF(共有用1!BA47="","",共有用1!BA47&amp;"/"&amp;COUNTIF(共有用1!BA$2:BA47,共有用1!BA47))</f>
        <v/>
      </c>
    </row>
    <row r="48" spans="1:53">
      <c r="A48" s="2" t="str">
        <f>共有用1!A48</f>
        <v/>
      </c>
      <c r="B48" s="2" t="str">
        <f>共有用1!B48</f>
        <v/>
      </c>
      <c r="C48" s="2" t="str">
        <f>共有用1!C48</f>
        <v/>
      </c>
      <c r="D48" s="17" t="str">
        <f>IF(共有用1!D48="","",共有用1!D48&amp;"/"&amp;COUNTIF(共有用1!D$2:D48,共有用1!D48))</f>
        <v/>
      </c>
      <c r="E48" s="17" t="str">
        <f>IF(共有用1!E48="","",共有用1!E48&amp;"/"&amp;COUNTIF(共有用1!E$2:E48,共有用1!E48))</f>
        <v/>
      </c>
      <c r="F48" s="17" t="str">
        <f>IF(共有用1!F48="","",共有用1!F48&amp;"/"&amp;COUNTIF(共有用1!F$2:F48,共有用1!F48))</f>
        <v/>
      </c>
      <c r="G48" s="17" t="str">
        <f>IF(共有用1!G48="","",共有用1!G48&amp;"/"&amp;COUNTIF(共有用1!G$2:G48,共有用1!G48))</f>
        <v/>
      </c>
      <c r="H48" s="17" t="str">
        <f>IF(共有用1!H48="","",共有用1!H48&amp;"/"&amp;COUNTIF(共有用1!H$2:H48,共有用1!H48))</f>
        <v/>
      </c>
      <c r="I48" s="17" t="str">
        <f>IF(共有用1!I48="","",共有用1!I48&amp;"/"&amp;COUNTIF(共有用1!I$2:I48,共有用1!I48))</f>
        <v/>
      </c>
      <c r="J48" s="17" t="str">
        <f>IF(共有用1!J48="","",共有用1!J48&amp;"/"&amp;COUNTIF(共有用1!J$2:J48,共有用1!J48))</f>
        <v/>
      </c>
      <c r="K48" s="17" t="str">
        <f>IF(共有用1!K48="","",共有用1!K48&amp;"/"&amp;COUNTIF(共有用1!K$2:K48,共有用1!K48))</f>
        <v/>
      </c>
      <c r="L48" s="17" t="str">
        <f>IF(共有用1!L48="","",共有用1!L48&amp;"/"&amp;COUNTIF(共有用1!L$2:L48,共有用1!L48))</f>
        <v/>
      </c>
      <c r="M48" s="17" t="str">
        <f>IF(共有用1!M48="","",共有用1!M48&amp;"/"&amp;COUNTIF(共有用1!M$2:M48,共有用1!M48))</f>
        <v/>
      </c>
      <c r="N48" s="17" t="str">
        <f>IF(共有用1!N48="","",共有用1!N48&amp;"/"&amp;COUNTIF(共有用1!N$2:N48,共有用1!N48))</f>
        <v/>
      </c>
      <c r="O48" s="17" t="str">
        <f>IF(共有用1!O48="","",共有用1!O48&amp;"/"&amp;COUNTIF(共有用1!O$2:O48,共有用1!O48))</f>
        <v/>
      </c>
      <c r="P48" s="17" t="str">
        <f>IF(共有用1!P48="","",共有用1!P48&amp;"/"&amp;COUNTIF(共有用1!P$2:P48,共有用1!P48))</f>
        <v/>
      </c>
      <c r="Q48" s="17" t="str">
        <f>IF(共有用1!Q48="","",共有用1!Q48&amp;"/"&amp;COUNTIF(共有用1!Q$2:Q48,共有用1!Q48))</f>
        <v/>
      </c>
      <c r="R48" s="17" t="str">
        <f>IF(共有用1!R48="","",共有用1!R48&amp;"/"&amp;COUNTIF(共有用1!R$2:R48,共有用1!R48))</f>
        <v/>
      </c>
      <c r="S48" s="17" t="str">
        <f>IF(共有用1!S48="","",共有用1!S48&amp;"/"&amp;COUNTIF(共有用1!S$2:S48,共有用1!S48))</f>
        <v/>
      </c>
      <c r="T48" s="17" t="str">
        <f>IF(共有用1!T48="","",共有用1!T48&amp;"/"&amp;COUNTIF(共有用1!T$2:T48,共有用1!T48))</f>
        <v/>
      </c>
      <c r="U48" s="17" t="str">
        <f>IF(共有用1!U48="","",共有用1!U48&amp;"/"&amp;COUNTIF(共有用1!U$2:U48,共有用1!U48))</f>
        <v/>
      </c>
      <c r="V48" s="17" t="str">
        <f>IF(共有用1!V48="","",共有用1!V48&amp;"/"&amp;COUNTIF(共有用1!V$2:V48,共有用1!V48))</f>
        <v/>
      </c>
      <c r="W48" s="17" t="str">
        <f>IF(共有用1!W48="","",共有用1!W48&amp;"/"&amp;COUNTIF(共有用1!W$2:W48,共有用1!W48))</f>
        <v/>
      </c>
      <c r="X48" s="17" t="str">
        <f>IF(共有用1!X48="","",共有用1!X48&amp;"/"&amp;COUNTIF(共有用1!X$2:X48,共有用1!X48))</f>
        <v/>
      </c>
      <c r="Y48" s="17" t="str">
        <f>IF(共有用1!Y48="","",共有用1!Y48&amp;"/"&amp;COUNTIF(共有用1!Y$2:Y48,共有用1!Y48))</f>
        <v/>
      </c>
      <c r="Z48" s="17" t="str">
        <f>IF(共有用1!Z48="","",共有用1!Z48&amp;"/"&amp;COUNTIF(共有用1!Z$2:Z48,共有用1!Z48))</f>
        <v/>
      </c>
      <c r="AA48" s="17" t="str">
        <f>IF(共有用1!AA48="","",共有用1!AA48&amp;"/"&amp;COUNTIF(共有用1!AA$2:AA48,共有用1!AA48))</f>
        <v/>
      </c>
      <c r="AB48" s="17" t="str">
        <f>IF(共有用1!AB48="","",共有用1!AB48&amp;"/"&amp;COUNTIF(共有用1!AB$2:AB48,共有用1!AB48))</f>
        <v/>
      </c>
      <c r="AC48" s="17" t="str">
        <f>IF(共有用1!AC48="","",共有用1!AC48&amp;"/"&amp;COUNTIF(共有用1!AC$2:AC48,共有用1!AC48))</f>
        <v/>
      </c>
      <c r="AD48" s="17" t="str">
        <f>IF(共有用1!AD48="","",共有用1!AD48&amp;"/"&amp;COUNTIF(共有用1!AD$2:AD48,共有用1!AD48))</f>
        <v/>
      </c>
      <c r="AE48" s="17" t="str">
        <f>IF(共有用1!AE48="","",共有用1!AE48&amp;"/"&amp;COUNTIF(共有用1!AE$2:AE48,共有用1!AE48))</f>
        <v/>
      </c>
      <c r="AF48" s="17" t="str">
        <f>IF(共有用1!AF48="","",共有用1!AF48&amp;"/"&amp;COUNTIF(共有用1!AF$2:AF48,共有用1!AF48))</f>
        <v/>
      </c>
      <c r="AG48" s="17" t="str">
        <f>IF(共有用1!AG48="","",共有用1!AG48&amp;"/"&amp;COUNTIF(共有用1!AG$2:AG48,共有用1!AG48))</f>
        <v/>
      </c>
      <c r="AH48" s="17" t="str">
        <f>IF(共有用1!AH48="","",共有用1!AH48&amp;"/"&amp;COUNTIF(共有用1!AH$2:AH48,共有用1!AH48))</f>
        <v/>
      </c>
      <c r="AI48" s="17" t="str">
        <f>IF(共有用1!AI48="","",共有用1!AI48&amp;"/"&amp;COUNTIF(共有用1!AI$2:AI48,共有用1!AI48))</f>
        <v/>
      </c>
      <c r="AJ48" s="17" t="str">
        <f>IF(共有用1!AJ48="","",共有用1!AJ48&amp;"/"&amp;COUNTIF(共有用1!AJ$2:AJ48,共有用1!AJ48))</f>
        <v/>
      </c>
      <c r="AK48" s="17" t="str">
        <f>IF(共有用1!AK48="","",共有用1!AK48&amp;"/"&amp;COUNTIF(共有用1!AK$2:AK48,共有用1!AK48))</f>
        <v/>
      </c>
      <c r="AL48" s="17" t="str">
        <f>IF(共有用1!AL48="","",共有用1!AL48&amp;"/"&amp;COUNTIF(共有用1!AL$2:AL48,共有用1!AL48))</f>
        <v/>
      </c>
      <c r="AM48" s="17" t="str">
        <f>IF(共有用1!AM48="","",共有用1!AM48&amp;"/"&amp;COUNTIF(共有用1!AM$2:AM48,共有用1!AM48))</f>
        <v/>
      </c>
      <c r="AN48" s="17" t="str">
        <f>IF(共有用1!AN48="","",共有用1!AN48&amp;"/"&amp;COUNTIF(共有用1!AN$2:AN48,共有用1!AN48))</f>
        <v/>
      </c>
      <c r="AO48" s="17" t="str">
        <f>IF(共有用1!AO48="","",共有用1!AO48&amp;"/"&amp;COUNTIF(共有用1!AO$2:AO48,共有用1!AO48))</f>
        <v/>
      </c>
      <c r="AP48" s="17" t="str">
        <f>IF(共有用1!AP48="","",共有用1!AP48&amp;"/"&amp;COUNTIF(共有用1!AP$2:AP48,共有用1!AP48))</f>
        <v/>
      </c>
      <c r="AQ48" s="17" t="str">
        <f>IF(共有用1!AQ48="","",共有用1!AQ48&amp;"/"&amp;COUNTIF(共有用1!AQ$2:AQ48,共有用1!AQ48))</f>
        <v/>
      </c>
      <c r="AR48" s="17" t="str">
        <f>IF(共有用1!AR48="","",共有用1!AR48&amp;"/"&amp;COUNTIF(共有用1!AR$2:AR48,共有用1!AR48))</f>
        <v/>
      </c>
      <c r="AS48" s="17" t="str">
        <f>IF(共有用1!AS48="","",共有用1!AS48&amp;"/"&amp;COUNTIF(共有用1!AS$2:AS48,共有用1!AS48))</f>
        <v/>
      </c>
      <c r="AT48" s="17" t="str">
        <f>IF(共有用1!AT48="","",共有用1!AT48&amp;"/"&amp;COUNTIF(共有用1!AT$2:AT48,共有用1!AT48))</f>
        <v/>
      </c>
      <c r="AU48" s="17" t="str">
        <f>IF(共有用1!AU48="","",共有用1!AU48&amp;"/"&amp;COUNTIF(共有用1!AU$2:AU48,共有用1!AU48))</f>
        <v/>
      </c>
      <c r="AV48" s="17" t="str">
        <f>IF(共有用1!AV48="","",共有用1!AV48&amp;"/"&amp;COUNTIF(共有用1!AV$2:AV48,共有用1!AV48))</f>
        <v/>
      </c>
      <c r="AW48" s="17" t="str">
        <f>IF(共有用1!AW48="","",共有用1!AW48&amp;"/"&amp;COUNTIF(共有用1!AW$2:AW48,共有用1!AW48))</f>
        <v/>
      </c>
      <c r="AX48" s="17" t="str">
        <f>IF(共有用1!AX48="","",共有用1!AX48&amp;"/"&amp;COUNTIF(共有用1!AX$2:AX48,共有用1!AX48))</f>
        <v/>
      </c>
      <c r="AY48" s="17" t="str">
        <f>IF(共有用1!AY48="","",共有用1!AY48&amp;"/"&amp;COUNTIF(共有用1!AY$2:AY48,共有用1!AY48))</f>
        <v/>
      </c>
      <c r="AZ48" s="17" t="str">
        <f>IF(共有用1!AZ48="","",共有用1!AZ48&amp;"/"&amp;COUNTIF(共有用1!AZ$2:AZ48,共有用1!AZ48))</f>
        <v/>
      </c>
      <c r="BA48" s="17" t="str">
        <f>IF(共有用1!BA48="","",共有用1!BA48&amp;"/"&amp;COUNTIF(共有用1!BA$2:BA48,共有用1!BA48))</f>
        <v/>
      </c>
    </row>
    <row r="49" spans="1:53">
      <c r="A49" s="2" t="str">
        <f>共有用1!A49</f>
        <v/>
      </c>
      <c r="B49" s="2" t="str">
        <f>共有用1!B49</f>
        <v/>
      </c>
      <c r="C49" s="2" t="str">
        <f>共有用1!C49</f>
        <v/>
      </c>
      <c r="D49" s="17" t="str">
        <f>IF(共有用1!D49="","",共有用1!D49&amp;"/"&amp;COUNTIF(共有用1!D$2:D49,共有用1!D49))</f>
        <v/>
      </c>
      <c r="E49" s="17" t="str">
        <f>IF(共有用1!E49="","",共有用1!E49&amp;"/"&amp;COUNTIF(共有用1!E$2:E49,共有用1!E49))</f>
        <v/>
      </c>
      <c r="F49" s="17" t="str">
        <f>IF(共有用1!F49="","",共有用1!F49&amp;"/"&amp;COUNTIF(共有用1!F$2:F49,共有用1!F49))</f>
        <v/>
      </c>
      <c r="G49" s="17" t="str">
        <f>IF(共有用1!G49="","",共有用1!G49&amp;"/"&amp;COUNTIF(共有用1!G$2:G49,共有用1!G49))</f>
        <v/>
      </c>
      <c r="H49" s="17" t="str">
        <f>IF(共有用1!H49="","",共有用1!H49&amp;"/"&amp;COUNTIF(共有用1!H$2:H49,共有用1!H49))</f>
        <v/>
      </c>
      <c r="I49" s="17" t="str">
        <f>IF(共有用1!I49="","",共有用1!I49&amp;"/"&amp;COUNTIF(共有用1!I$2:I49,共有用1!I49))</f>
        <v/>
      </c>
      <c r="J49" s="17" t="str">
        <f>IF(共有用1!J49="","",共有用1!J49&amp;"/"&amp;COUNTIF(共有用1!J$2:J49,共有用1!J49))</f>
        <v/>
      </c>
      <c r="K49" s="17" t="str">
        <f>IF(共有用1!K49="","",共有用1!K49&amp;"/"&amp;COUNTIF(共有用1!K$2:K49,共有用1!K49))</f>
        <v/>
      </c>
      <c r="L49" s="17" t="str">
        <f>IF(共有用1!L49="","",共有用1!L49&amp;"/"&amp;COUNTIF(共有用1!L$2:L49,共有用1!L49))</f>
        <v/>
      </c>
      <c r="M49" s="17" t="str">
        <f>IF(共有用1!M49="","",共有用1!M49&amp;"/"&amp;COUNTIF(共有用1!M$2:M49,共有用1!M49))</f>
        <v/>
      </c>
      <c r="N49" s="17" t="str">
        <f>IF(共有用1!N49="","",共有用1!N49&amp;"/"&amp;COUNTIF(共有用1!N$2:N49,共有用1!N49))</f>
        <v/>
      </c>
      <c r="O49" s="17" t="str">
        <f>IF(共有用1!O49="","",共有用1!O49&amp;"/"&amp;COUNTIF(共有用1!O$2:O49,共有用1!O49))</f>
        <v/>
      </c>
      <c r="P49" s="17" t="str">
        <f>IF(共有用1!P49="","",共有用1!P49&amp;"/"&amp;COUNTIF(共有用1!P$2:P49,共有用1!P49))</f>
        <v/>
      </c>
      <c r="Q49" s="17" t="str">
        <f>IF(共有用1!Q49="","",共有用1!Q49&amp;"/"&amp;COUNTIF(共有用1!Q$2:Q49,共有用1!Q49))</f>
        <v/>
      </c>
      <c r="R49" s="17" t="str">
        <f>IF(共有用1!R49="","",共有用1!R49&amp;"/"&amp;COUNTIF(共有用1!R$2:R49,共有用1!R49))</f>
        <v/>
      </c>
      <c r="S49" s="17" t="str">
        <f>IF(共有用1!S49="","",共有用1!S49&amp;"/"&amp;COUNTIF(共有用1!S$2:S49,共有用1!S49))</f>
        <v/>
      </c>
      <c r="T49" s="17" t="str">
        <f>IF(共有用1!T49="","",共有用1!T49&amp;"/"&amp;COUNTIF(共有用1!T$2:T49,共有用1!T49))</f>
        <v/>
      </c>
      <c r="U49" s="17" t="str">
        <f>IF(共有用1!U49="","",共有用1!U49&amp;"/"&amp;COUNTIF(共有用1!U$2:U49,共有用1!U49))</f>
        <v/>
      </c>
      <c r="V49" s="17" t="str">
        <f>IF(共有用1!V49="","",共有用1!V49&amp;"/"&amp;COUNTIF(共有用1!V$2:V49,共有用1!V49))</f>
        <v/>
      </c>
      <c r="W49" s="17" t="str">
        <f>IF(共有用1!W49="","",共有用1!W49&amp;"/"&amp;COUNTIF(共有用1!W$2:W49,共有用1!W49))</f>
        <v/>
      </c>
      <c r="X49" s="17" t="str">
        <f>IF(共有用1!X49="","",共有用1!X49&amp;"/"&amp;COUNTIF(共有用1!X$2:X49,共有用1!X49))</f>
        <v/>
      </c>
      <c r="Y49" s="17" t="str">
        <f>IF(共有用1!Y49="","",共有用1!Y49&amp;"/"&amp;COUNTIF(共有用1!Y$2:Y49,共有用1!Y49))</f>
        <v/>
      </c>
      <c r="Z49" s="17" t="str">
        <f>IF(共有用1!Z49="","",共有用1!Z49&amp;"/"&amp;COUNTIF(共有用1!Z$2:Z49,共有用1!Z49))</f>
        <v/>
      </c>
      <c r="AA49" s="17" t="str">
        <f>IF(共有用1!AA49="","",共有用1!AA49&amp;"/"&amp;COUNTIF(共有用1!AA$2:AA49,共有用1!AA49))</f>
        <v/>
      </c>
      <c r="AB49" s="17" t="str">
        <f>IF(共有用1!AB49="","",共有用1!AB49&amp;"/"&amp;COUNTIF(共有用1!AB$2:AB49,共有用1!AB49))</f>
        <v/>
      </c>
      <c r="AC49" s="17" t="str">
        <f>IF(共有用1!AC49="","",共有用1!AC49&amp;"/"&amp;COUNTIF(共有用1!AC$2:AC49,共有用1!AC49))</f>
        <v/>
      </c>
      <c r="AD49" s="17" t="str">
        <f>IF(共有用1!AD49="","",共有用1!AD49&amp;"/"&amp;COUNTIF(共有用1!AD$2:AD49,共有用1!AD49))</f>
        <v/>
      </c>
      <c r="AE49" s="17" t="str">
        <f>IF(共有用1!AE49="","",共有用1!AE49&amp;"/"&amp;COUNTIF(共有用1!AE$2:AE49,共有用1!AE49))</f>
        <v/>
      </c>
      <c r="AF49" s="17" t="str">
        <f>IF(共有用1!AF49="","",共有用1!AF49&amp;"/"&amp;COUNTIF(共有用1!AF$2:AF49,共有用1!AF49))</f>
        <v/>
      </c>
      <c r="AG49" s="17" t="str">
        <f>IF(共有用1!AG49="","",共有用1!AG49&amp;"/"&amp;COUNTIF(共有用1!AG$2:AG49,共有用1!AG49))</f>
        <v/>
      </c>
      <c r="AH49" s="17" t="str">
        <f>IF(共有用1!AH49="","",共有用1!AH49&amp;"/"&amp;COUNTIF(共有用1!AH$2:AH49,共有用1!AH49))</f>
        <v/>
      </c>
      <c r="AI49" s="17" t="str">
        <f>IF(共有用1!AI49="","",共有用1!AI49&amp;"/"&amp;COUNTIF(共有用1!AI$2:AI49,共有用1!AI49))</f>
        <v/>
      </c>
      <c r="AJ49" s="17" t="str">
        <f>IF(共有用1!AJ49="","",共有用1!AJ49&amp;"/"&amp;COUNTIF(共有用1!AJ$2:AJ49,共有用1!AJ49))</f>
        <v/>
      </c>
      <c r="AK49" s="17" t="str">
        <f>IF(共有用1!AK49="","",共有用1!AK49&amp;"/"&amp;COUNTIF(共有用1!AK$2:AK49,共有用1!AK49))</f>
        <v/>
      </c>
      <c r="AL49" s="17" t="str">
        <f>IF(共有用1!AL49="","",共有用1!AL49&amp;"/"&amp;COUNTIF(共有用1!AL$2:AL49,共有用1!AL49))</f>
        <v/>
      </c>
      <c r="AM49" s="17" t="str">
        <f>IF(共有用1!AM49="","",共有用1!AM49&amp;"/"&amp;COUNTIF(共有用1!AM$2:AM49,共有用1!AM49))</f>
        <v/>
      </c>
      <c r="AN49" s="17" t="str">
        <f>IF(共有用1!AN49="","",共有用1!AN49&amp;"/"&amp;COUNTIF(共有用1!AN$2:AN49,共有用1!AN49))</f>
        <v/>
      </c>
      <c r="AO49" s="17" t="str">
        <f>IF(共有用1!AO49="","",共有用1!AO49&amp;"/"&amp;COUNTIF(共有用1!AO$2:AO49,共有用1!AO49))</f>
        <v/>
      </c>
      <c r="AP49" s="17" t="str">
        <f>IF(共有用1!AP49="","",共有用1!AP49&amp;"/"&amp;COUNTIF(共有用1!AP$2:AP49,共有用1!AP49))</f>
        <v/>
      </c>
      <c r="AQ49" s="17" t="str">
        <f>IF(共有用1!AQ49="","",共有用1!AQ49&amp;"/"&amp;COUNTIF(共有用1!AQ$2:AQ49,共有用1!AQ49))</f>
        <v/>
      </c>
      <c r="AR49" s="17" t="str">
        <f>IF(共有用1!AR49="","",共有用1!AR49&amp;"/"&amp;COUNTIF(共有用1!AR$2:AR49,共有用1!AR49))</f>
        <v/>
      </c>
      <c r="AS49" s="17" t="str">
        <f>IF(共有用1!AS49="","",共有用1!AS49&amp;"/"&amp;COUNTIF(共有用1!AS$2:AS49,共有用1!AS49))</f>
        <v/>
      </c>
      <c r="AT49" s="17" t="str">
        <f>IF(共有用1!AT49="","",共有用1!AT49&amp;"/"&amp;COUNTIF(共有用1!AT$2:AT49,共有用1!AT49))</f>
        <v/>
      </c>
      <c r="AU49" s="17" t="str">
        <f>IF(共有用1!AU49="","",共有用1!AU49&amp;"/"&amp;COUNTIF(共有用1!AU$2:AU49,共有用1!AU49))</f>
        <v/>
      </c>
      <c r="AV49" s="17" t="str">
        <f>IF(共有用1!AV49="","",共有用1!AV49&amp;"/"&amp;COUNTIF(共有用1!AV$2:AV49,共有用1!AV49))</f>
        <v/>
      </c>
      <c r="AW49" s="17" t="str">
        <f>IF(共有用1!AW49="","",共有用1!AW49&amp;"/"&amp;COUNTIF(共有用1!AW$2:AW49,共有用1!AW49))</f>
        <v/>
      </c>
      <c r="AX49" s="17" t="str">
        <f>IF(共有用1!AX49="","",共有用1!AX49&amp;"/"&amp;COUNTIF(共有用1!AX$2:AX49,共有用1!AX49))</f>
        <v/>
      </c>
      <c r="AY49" s="17" t="str">
        <f>IF(共有用1!AY49="","",共有用1!AY49&amp;"/"&amp;COUNTIF(共有用1!AY$2:AY49,共有用1!AY49))</f>
        <v/>
      </c>
      <c r="AZ49" s="17" t="str">
        <f>IF(共有用1!AZ49="","",共有用1!AZ49&amp;"/"&amp;COUNTIF(共有用1!AZ$2:AZ49,共有用1!AZ49))</f>
        <v/>
      </c>
      <c r="BA49" s="17" t="str">
        <f>IF(共有用1!BA49="","",共有用1!BA49&amp;"/"&amp;COUNTIF(共有用1!BA$2:BA49,共有用1!BA49))</f>
        <v/>
      </c>
    </row>
    <row r="50" spans="1:53">
      <c r="A50" s="2" t="str">
        <f>共有用1!A50</f>
        <v/>
      </c>
      <c r="B50" s="2" t="str">
        <f>共有用1!B50</f>
        <v/>
      </c>
      <c r="C50" s="2" t="str">
        <f>共有用1!C50</f>
        <v/>
      </c>
      <c r="D50" s="17" t="str">
        <f>IF(共有用1!D50="","",共有用1!D50&amp;"/"&amp;COUNTIF(共有用1!D$2:D50,共有用1!D50))</f>
        <v/>
      </c>
      <c r="E50" s="17" t="str">
        <f>IF(共有用1!E50="","",共有用1!E50&amp;"/"&amp;COUNTIF(共有用1!E$2:E50,共有用1!E50))</f>
        <v/>
      </c>
      <c r="F50" s="17" t="str">
        <f>IF(共有用1!F50="","",共有用1!F50&amp;"/"&amp;COUNTIF(共有用1!F$2:F50,共有用1!F50))</f>
        <v/>
      </c>
      <c r="G50" s="17" t="str">
        <f>IF(共有用1!G50="","",共有用1!G50&amp;"/"&amp;COUNTIF(共有用1!G$2:G50,共有用1!G50))</f>
        <v/>
      </c>
      <c r="H50" s="17" t="str">
        <f>IF(共有用1!H50="","",共有用1!H50&amp;"/"&amp;COUNTIF(共有用1!H$2:H50,共有用1!H50))</f>
        <v/>
      </c>
      <c r="I50" s="17" t="str">
        <f>IF(共有用1!I50="","",共有用1!I50&amp;"/"&amp;COUNTIF(共有用1!I$2:I50,共有用1!I50))</f>
        <v/>
      </c>
      <c r="J50" s="17" t="str">
        <f>IF(共有用1!J50="","",共有用1!J50&amp;"/"&amp;COUNTIF(共有用1!J$2:J50,共有用1!J50))</f>
        <v/>
      </c>
      <c r="K50" s="17" t="str">
        <f>IF(共有用1!K50="","",共有用1!K50&amp;"/"&amp;COUNTIF(共有用1!K$2:K50,共有用1!K50))</f>
        <v/>
      </c>
      <c r="L50" s="17" t="str">
        <f>IF(共有用1!L50="","",共有用1!L50&amp;"/"&amp;COUNTIF(共有用1!L$2:L50,共有用1!L50))</f>
        <v/>
      </c>
      <c r="M50" s="17" t="str">
        <f>IF(共有用1!M50="","",共有用1!M50&amp;"/"&amp;COUNTIF(共有用1!M$2:M50,共有用1!M50))</f>
        <v/>
      </c>
      <c r="N50" s="17" t="str">
        <f>IF(共有用1!N50="","",共有用1!N50&amp;"/"&amp;COUNTIF(共有用1!N$2:N50,共有用1!N50))</f>
        <v/>
      </c>
      <c r="O50" s="17" t="str">
        <f>IF(共有用1!O50="","",共有用1!O50&amp;"/"&amp;COUNTIF(共有用1!O$2:O50,共有用1!O50))</f>
        <v/>
      </c>
      <c r="P50" s="17" t="str">
        <f>IF(共有用1!P50="","",共有用1!P50&amp;"/"&amp;COUNTIF(共有用1!P$2:P50,共有用1!P50))</f>
        <v/>
      </c>
      <c r="Q50" s="17" t="str">
        <f>IF(共有用1!Q50="","",共有用1!Q50&amp;"/"&amp;COUNTIF(共有用1!Q$2:Q50,共有用1!Q50))</f>
        <v/>
      </c>
      <c r="R50" s="17" t="str">
        <f>IF(共有用1!R50="","",共有用1!R50&amp;"/"&amp;COUNTIF(共有用1!R$2:R50,共有用1!R50))</f>
        <v/>
      </c>
      <c r="S50" s="17" t="str">
        <f>IF(共有用1!S50="","",共有用1!S50&amp;"/"&amp;COUNTIF(共有用1!S$2:S50,共有用1!S50))</f>
        <v/>
      </c>
      <c r="T50" s="17" t="str">
        <f>IF(共有用1!T50="","",共有用1!T50&amp;"/"&amp;COUNTIF(共有用1!T$2:T50,共有用1!T50))</f>
        <v/>
      </c>
      <c r="U50" s="17" t="str">
        <f>IF(共有用1!U50="","",共有用1!U50&amp;"/"&amp;COUNTIF(共有用1!U$2:U50,共有用1!U50))</f>
        <v/>
      </c>
      <c r="V50" s="17" t="str">
        <f>IF(共有用1!V50="","",共有用1!V50&amp;"/"&amp;COUNTIF(共有用1!V$2:V50,共有用1!V50))</f>
        <v/>
      </c>
      <c r="W50" s="17" t="str">
        <f>IF(共有用1!W50="","",共有用1!W50&amp;"/"&amp;COUNTIF(共有用1!W$2:W50,共有用1!W50))</f>
        <v/>
      </c>
      <c r="X50" s="17" t="str">
        <f>IF(共有用1!X50="","",共有用1!X50&amp;"/"&amp;COUNTIF(共有用1!X$2:X50,共有用1!X50))</f>
        <v/>
      </c>
      <c r="Y50" s="17" t="str">
        <f>IF(共有用1!Y50="","",共有用1!Y50&amp;"/"&amp;COUNTIF(共有用1!Y$2:Y50,共有用1!Y50))</f>
        <v/>
      </c>
      <c r="Z50" s="17" t="str">
        <f>IF(共有用1!Z50="","",共有用1!Z50&amp;"/"&amp;COUNTIF(共有用1!Z$2:Z50,共有用1!Z50))</f>
        <v/>
      </c>
      <c r="AA50" s="17" t="str">
        <f>IF(共有用1!AA50="","",共有用1!AA50&amp;"/"&amp;COUNTIF(共有用1!AA$2:AA50,共有用1!AA50))</f>
        <v/>
      </c>
      <c r="AB50" s="17" t="str">
        <f>IF(共有用1!AB50="","",共有用1!AB50&amp;"/"&amp;COUNTIF(共有用1!AB$2:AB50,共有用1!AB50))</f>
        <v/>
      </c>
      <c r="AC50" s="17" t="str">
        <f>IF(共有用1!AC50="","",共有用1!AC50&amp;"/"&amp;COUNTIF(共有用1!AC$2:AC50,共有用1!AC50))</f>
        <v/>
      </c>
      <c r="AD50" s="17" t="str">
        <f>IF(共有用1!AD50="","",共有用1!AD50&amp;"/"&amp;COUNTIF(共有用1!AD$2:AD50,共有用1!AD50))</f>
        <v/>
      </c>
      <c r="AE50" s="17" t="str">
        <f>IF(共有用1!AE50="","",共有用1!AE50&amp;"/"&amp;COUNTIF(共有用1!AE$2:AE50,共有用1!AE50))</f>
        <v/>
      </c>
      <c r="AF50" s="17" t="str">
        <f>IF(共有用1!AF50="","",共有用1!AF50&amp;"/"&amp;COUNTIF(共有用1!AF$2:AF50,共有用1!AF50))</f>
        <v/>
      </c>
      <c r="AG50" s="17" t="str">
        <f>IF(共有用1!AG50="","",共有用1!AG50&amp;"/"&amp;COUNTIF(共有用1!AG$2:AG50,共有用1!AG50))</f>
        <v/>
      </c>
      <c r="AH50" s="17" t="str">
        <f>IF(共有用1!AH50="","",共有用1!AH50&amp;"/"&amp;COUNTIF(共有用1!AH$2:AH50,共有用1!AH50))</f>
        <v/>
      </c>
      <c r="AI50" s="17" t="str">
        <f>IF(共有用1!AI50="","",共有用1!AI50&amp;"/"&amp;COUNTIF(共有用1!AI$2:AI50,共有用1!AI50))</f>
        <v/>
      </c>
      <c r="AJ50" s="17" t="str">
        <f>IF(共有用1!AJ50="","",共有用1!AJ50&amp;"/"&amp;COUNTIF(共有用1!AJ$2:AJ50,共有用1!AJ50))</f>
        <v/>
      </c>
      <c r="AK50" s="17" t="str">
        <f>IF(共有用1!AK50="","",共有用1!AK50&amp;"/"&amp;COUNTIF(共有用1!AK$2:AK50,共有用1!AK50))</f>
        <v/>
      </c>
      <c r="AL50" s="17" t="str">
        <f>IF(共有用1!AL50="","",共有用1!AL50&amp;"/"&amp;COUNTIF(共有用1!AL$2:AL50,共有用1!AL50))</f>
        <v/>
      </c>
      <c r="AM50" s="17" t="str">
        <f>IF(共有用1!AM50="","",共有用1!AM50&amp;"/"&amp;COUNTIF(共有用1!AM$2:AM50,共有用1!AM50))</f>
        <v/>
      </c>
      <c r="AN50" s="17" t="str">
        <f>IF(共有用1!AN50="","",共有用1!AN50&amp;"/"&amp;COUNTIF(共有用1!AN$2:AN50,共有用1!AN50))</f>
        <v/>
      </c>
      <c r="AO50" s="17" t="str">
        <f>IF(共有用1!AO50="","",共有用1!AO50&amp;"/"&amp;COUNTIF(共有用1!AO$2:AO50,共有用1!AO50))</f>
        <v/>
      </c>
      <c r="AP50" s="17" t="str">
        <f>IF(共有用1!AP50="","",共有用1!AP50&amp;"/"&amp;COUNTIF(共有用1!AP$2:AP50,共有用1!AP50))</f>
        <v/>
      </c>
      <c r="AQ50" s="17" t="str">
        <f>IF(共有用1!AQ50="","",共有用1!AQ50&amp;"/"&amp;COUNTIF(共有用1!AQ$2:AQ50,共有用1!AQ50))</f>
        <v/>
      </c>
      <c r="AR50" s="17" t="str">
        <f>IF(共有用1!AR50="","",共有用1!AR50&amp;"/"&amp;COUNTIF(共有用1!AR$2:AR50,共有用1!AR50))</f>
        <v/>
      </c>
      <c r="AS50" s="17" t="str">
        <f>IF(共有用1!AS50="","",共有用1!AS50&amp;"/"&amp;COUNTIF(共有用1!AS$2:AS50,共有用1!AS50))</f>
        <v/>
      </c>
      <c r="AT50" s="17" t="str">
        <f>IF(共有用1!AT50="","",共有用1!AT50&amp;"/"&amp;COUNTIF(共有用1!AT$2:AT50,共有用1!AT50))</f>
        <v/>
      </c>
      <c r="AU50" s="17" t="str">
        <f>IF(共有用1!AU50="","",共有用1!AU50&amp;"/"&amp;COUNTIF(共有用1!AU$2:AU50,共有用1!AU50))</f>
        <v/>
      </c>
      <c r="AV50" s="17" t="str">
        <f>IF(共有用1!AV50="","",共有用1!AV50&amp;"/"&amp;COUNTIF(共有用1!AV$2:AV50,共有用1!AV50))</f>
        <v/>
      </c>
      <c r="AW50" s="17" t="str">
        <f>IF(共有用1!AW50="","",共有用1!AW50&amp;"/"&amp;COUNTIF(共有用1!AW$2:AW50,共有用1!AW50))</f>
        <v/>
      </c>
      <c r="AX50" s="17" t="str">
        <f>IF(共有用1!AX50="","",共有用1!AX50&amp;"/"&amp;COUNTIF(共有用1!AX$2:AX50,共有用1!AX50))</f>
        <v/>
      </c>
      <c r="AY50" s="17" t="str">
        <f>IF(共有用1!AY50="","",共有用1!AY50&amp;"/"&amp;COUNTIF(共有用1!AY$2:AY50,共有用1!AY50))</f>
        <v/>
      </c>
      <c r="AZ50" s="17" t="str">
        <f>IF(共有用1!AZ50="","",共有用1!AZ50&amp;"/"&amp;COUNTIF(共有用1!AZ$2:AZ50,共有用1!AZ50))</f>
        <v/>
      </c>
      <c r="BA50" s="17" t="str">
        <f>IF(共有用1!BA50="","",共有用1!BA50&amp;"/"&amp;COUNTIF(共有用1!BA$2:BA50,共有用1!BA50))</f>
        <v/>
      </c>
    </row>
    <row r="51" spans="1:53">
      <c r="A51" s="2" t="str">
        <f>共有用1!A51</f>
        <v/>
      </c>
      <c r="B51" s="2" t="str">
        <f>共有用1!B51</f>
        <v/>
      </c>
      <c r="C51" s="2" t="str">
        <f>共有用1!C51</f>
        <v/>
      </c>
      <c r="D51" s="17" t="str">
        <f>IF(共有用1!D51="","",共有用1!D51&amp;"/"&amp;COUNTIF(共有用1!D$2:D51,共有用1!D51))</f>
        <v/>
      </c>
      <c r="E51" s="17" t="str">
        <f>IF(共有用1!E51="","",共有用1!E51&amp;"/"&amp;COUNTIF(共有用1!E$2:E51,共有用1!E51))</f>
        <v/>
      </c>
      <c r="F51" s="17" t="str">
        <f>IF(共有用1!F51="","",共有用1!F51&amp;"/"&amp;COUNTIF(共有用1!F$2:F51,共有用1!F51))</f>
        <v/>
      </c>
      <c r="G51" s="17" t="str">
        <f>IF(共有用1!G51="","",共有用1!G51&amp;"/"&amp;COUNTIF(共有用1!G$2:G51,共有用1!G51))</f>
        <v/>
      </c>
      <c r="H51" s="17" t="str">
        <f>IF(共有用1!H51="","",共有用1!H51&amp;"/"&amp;COUNTIF(共有用1!H$2:H51,共有用1!H51))</f>
        <v/>
      </c>
      <c r="I51" s="17" t="str">
        <f>IF(共有用1!I51="","",共有用1!I51&amp;"/"&amp;COUNTIF(共有用1!I$2:I51,共有用1!I51))</f>
        <v/>
      </c>
      <c r="J51" s="17" t="str">
        <f>IF(共有用1!J51="","",共有用1!J51&amp;"/"&amp;COUNTIF(共有用1!J$2:J51,共有用1!J51))</f>
        <v/>
      </c>
      <c r="K51" s="17" t="str">
        <f>IF(共有用1!K51="","",共有用1!K51&amp;"/"&amp;COUNTIF(共有用1!K$2:K51,共有用1!K51))</f>
        <v/>
      </c>
      <c r="L51" s="17" t="str">
        <f>IF(共有用1!L51="","",共有用1!L51&amp;"/"&amp;COUNTIF(共有用1!L$2:L51,共有用1!L51))</f>
        <v/>
      </c>
      <c r="M51" s="17" t="str">
        <f>IF(共有用1!M51="","",共有用1!M51&amp;"/"&amp;COUNTIF(共有用1!M$2:M51,共有用1!M51))</f>
        <v/>
      </c>
      <c r="N51" s="17" t="str">
        <f>IF(共有用1!N51="","",共有用1!N51&amp;"/"&amp;COUNTIF(共有用1!N$2:N51,共有用1!N51))</f>
        <v/>
      </c>
      <c r="O51" s="17" t="str">
        <f>IF(共有用1!O51="","",共有用1!O51&amp;"/"&amp;COUNTIF(共有用1!O$2:O51,共有用1!O51))</f>
        <v/>
      </c>
      <c r="P51" s="17" t="str">
        <f>IF(共有用1!P51="","",共有用1!P51&amp;"/"&amp;COUNTIF(共有用1!P$2:P51,共有用1!P51))</f>
        <v/>
      </c>
      <c r="Q51" s="17" t="str">
        <f>IF(共有用1!Q51="","",共有用1!Q51&amp;"/"&amp;COUNTIF(共有用1!Q$2:Q51,共有用1!Q51))</f>
        <v/>
      </c>
      <c r="R51" s="17" t="str">
        <f>IF(共有用1!R51="","",共有用1!R51&amp;"/"&amp;COUNTIF(共有用1!R$2:R51,共有用1!R51))</f>
        <v/>
      </c>
      <c r="S51" s="17" t="str">
        <f>IF(共有用1!S51="","",共有用1!S51&amp;"/"&amp;COUNTIF(共有用1!S$2:S51,共有用1!S51))</f>
        <v/>
      </c>
      <c r="T51" s="17" t="str">
        <f>IF(共有用1!T51="","",共有用1!T51&amp;"/"&amp;COUNTIF(共有用1!T$2:T51,共有用1!T51))</f>
        <v/>
      </c>
      <c r="U51" s="17" t="str">
        <f>IF(共有用1!U51="","",共有用1!U51&amp;"/"&amp;COUNTIF(共有用1!U$2:U51,共有用1!U51))</f>
        <v/>
      </c>
      <c r="V51" s="17" t="str">
        <f>IF(共有用1!V51="","",共有用1!V51&amp;"/"&amp;COUNTIF(共有用1!V$2:V51,共有用1!V51))</f>
        <v/>
      </c>
      <c r="W51" s="17" t="str">
        <f>IF(共有用1!W51="","",共有用1!W51&amp;"/"&amp;COUNTIF(共有用1!W$2:W51,共有用1!W51))</f>
        <v/>
      </c>
      <c r="X51" s="17" t="str">
        <f>IF(共有用1!X51="","",共有用1!X51&amp;"/"&amp;COUNTIF(共有用1!X$2:X51,共有用1!X51))</f>
        <v/>
      </c>
      <c r="Y51" s="17" t="str">
        <f>IF(共有用1!Y51="","",共有用1!Y51&amp;"/"&amp;COUNTIF(共有用1!Y$2:Y51,共有用1!Y51))</f>
        <v/>
      </c>
      <c r="Z51" s="17" t="str">
        <f>IF(共有用1!Z51="","",共有用1!Z51&amp;"/"&amp;COUNTIF(共有用1!Z$2:Z51,共有用1!Z51))</f>
        <v/>
      </c>
      <c r="AA51" s="17" t="str">
        <f>IF(共有用1!AA51="","",共有用1!AA51&amp;"/"&amp;COUNTIF(共有用1!AA$2:AA51,共有用1!AA51))</f>
        <v/>
      </c>
      <c r="AB51" s="17" t="str">
        <f>IF(共有用1!AB51="","",共有用1!AB51&amp;"/"&amp;COUNTIF(共有用1!AB$2:AB51,共有用1!AB51))</f>
        <v/>
      </c>
      <c r="AC51" s="17" t="str">
        <f>IF(共有用1!AC51="","",共有用1!AC51&amp;"/"&amp;COUNTIF(共有用1!AC$2:AC51,共有用1!AC51))</f>
        <v/>
      </c>
      <c r="AD51" s="17" t="str">
        <f>IF(共有用1!AD51="","",共有用1!AD51&amp;"/"&amp;COUNTIF(共有用1!AD$2:AD51,共有用1!AD51))</f>
        <v/>
      </c>
      <c r="AE51" s="17" t="str">
        <f>IF(共有用1!AE51="","",共有用1!AE51&amp;"/"&amp;COUNTIF(共有用1!AE$2:AE51,共有用1!AE51))</f>
        <v/>
      </c>
      <c r="AF51" s="17" t="str">
        <f>IF(共有用1!AF51="","",共有用1!AF51&amp;"/"&amp;COUNTIF(共有用1!AF$2:AF51,共有用1!AF51))</f>
        <v/>
      </c>
      <c r="AG51" s="17" t="str">
        <f>IF(共有用1!AG51="","",共有用1!AG51&amp;"/"&amp;COUNTIF(共有用1!AG$2:AG51,共有用1!AG51))</f>
        <v/>
      </c>
      <c r="AH51" s="17" t="str">
        <f>IF(共有用1!AH51="","",共有用1!AH51&amp;"/"&amp;COUNTIF(共有用1!AH$2:AH51,共有用1!AH51))</f>
        <v/>
      </c>
      <c r="AI51" s="17" t="str">
        <f>IF(共有用1!AI51="","",共有用1!AI51&amp;"/"&amp;COUNTIF(共有用1!AI$2:AI51,共有用1!AI51))</f>
        <v/>
      </c>
      <c r="AJ51" s="17" t="str">
        <f>IF(共有用1!AJ51="","",共有用1!AJ51&amp;"/"&amp;COUNTIF(共有用1!AJ$2:AJ51,共有用1!AJ51))</f>
        <v/>
      </c>
      <c r="AK51" s="17" t="str">
        <f>IF(共有用1!AK51="","",共有用1!AK51&amp;"/"&amp;COUNTIF(共有用1!AK$2:AK51,共有用1!AK51))</f>
        <v/>
      </c>
      <c r="AL51" s="17" t="str">
        <f>IF(共有用1!AL51="","",共有用1!AL51&amp;"/"&amp;COUNTIF(共有用1!AL$2:AL51,共有用1!AL51))</f>
        <v/>
      </c>
      <c r="AM51" s="17" t="str">
        <f>IF(共有用1!AM51="","",共有用1!AM51&amp;"/"&amp;COUNTIF(共有用1!AM$2:AM51,共有用1!AM51))</f>
        <v/>
      </c>
      <c r="AN51" s="17" t="str">
        <f>IF(共有用1!AN51="","",共有用1!AN51&amp;"/"&amp;COUNTIF(共有用1!AN$2:AN51,共有用1!AN51))</f>
        <v/>
      </c>
      <c r="AO51" s="17" t="str">
        <f>IF(共有用1!AO51="","",共有用1!AO51&amp;"/"&amp;COUNTIF(共有用1!AO$2:AO51,共有用1!AO51))</f>
        <v/>
      </c>
      <c r="AP51" s="17" t="str">
        <f>IF(共有用1!AP51="","",共有用1!AP51&amp;"/"&amp;COUNTIF(共有用1!AP$2:AP51,共有用1!AP51))</f>
        <v/>
      </c>
      <c r="AQ51" s="17" t="str">
        <f>IF(共有用1!AQ51="","",共有用1!AQ51&amp;"/"&amp;COUNTIF(共有用1!AQ$2:AQ51,共有用1!AQ51))</f>
        <v/>
      </c>
      <c r="AR51" s="17" t="str">
        <f>IF(共有用1!AR51="","",共有用1!AR51&amp;"/"&amp;COUNTIF(共有用1!AR$2:AR51,共有用1!AR51))</f>
        <v/>
      </c>
      <c r="AS51" s="17" t="str">
        <f>IF(共有用1!AS51="","",共有用1!AS51&amp;"/"&amp;COUNTIF(共有用1!AS$2:AS51,共有用1!AS51))</f>
        <v/>
      </c>
      <c r="AT51" s="17" t="str">
        <f>IF(共有用1!AT51="","",共有用1!AT51&amp;"/"&amp;COUNTIF(共有用1!AT$2:AT51,共有用1!AT51))</f>
        <v/>
      </c>
      <c r="AU51" s="17" t="str">
        <f>IF(共有用1!AU51="","",共有用1!AU51&amp;"/"&amp;COUNTIF(共有用1!AU$2:AU51,共有用1!AU51))</f>
        <v/>
      </c>
      <c r="AV51" s="17" t="str">
        <f>IF(共有用1!AV51="","",共有用1!AV51&amp;"/"&amp;COUNTIF(共有用1!AV$2:AV51,共有用1!AV51))</f>
        <v/>
      </c>
      <c r="AW51" s="17" t="str">
        <f>IF(共有用1!AW51="","",共有用1!AW51&amp;"/"&amp;COUNTIF(共有用1!AW$2:AW51,共有用1!AW51))</f>
        <v/>
      </c>
      <c r="AX51" s="17" t="str">
        <f>IF(共有用1!AX51="","",共有用1!AX51&amp;"/"&amp;COUNTIF(共有用1!AX$2:AX51,共有用1!AX51))</f>
        <v/>
      </c>
      <c r="AY51" s="17" t="str">
        <f>IF(共有用1!AY51="","",共有用1!AY51&amp;"/"&amp;COUNTIF(共有用1!AY$2:AY51,共有用1!AY51))</f>
        <v/>
      </c>
      <c r="AZ51" s="17" t="str">
        <f>IF(共有用1!AZ51="","",共有用1!AZ51&amp;"/"&amp;COUNTIF(共有用1!AZ$2:AZ51,共有用1!AZ51))</f>
        <v/>
      </c>
      <c r="BA51" s="17" t="str">
        <f>IF(共有用1!BA51="","",共有用1!BA51&amp;"/"&amp;COUNTIF(共有用1!BA$2:BA51,共有用1!BA51))</f>
        <v/>
      </c>
    </row>
    <row r="52" spans="1:53">
      <c r="A52" s="2" t="str">
        <f>共有用1!A52</f>
        <v/>
      </c>
      <c r="B52" s="2" t="str">
        <f>共有用1!B52</f>
        <v/>
      </c>
      <c r="C52" s="2" t="str">
        <f>共有用1!C52</f>
        <v/>
      </c>
      <c r="D52" s="17" t="str">
        <f>IF(共有用1!D52="","",共有用1!D52&amp;"/"&amp;COUNTIF(共有用1!D$2:D52,共有用1!D52))</f>
        <v/>
      </c>
      <c r="E52" s="17" t="str">
        <f>IF(共有用1!E52="","",共有用1!E52&amp;"/"&amp;COUNTIF(共有用1!E$2:E52,共有用1!E52))</f>
        <v/>
      </c>
      <c r="F52" s="17" t="str">
        <f>IF(共有用1!F52="","",共有用1!F52&amp;"/"&amp;COUNTIF(共有用1!F$2:F52,共有用1!F52))</f>
        <v/>
      </c>
      <c r="G52" s="17" t="str">
        <f>IF(共有用1!G52="","",共有用1!G52&amp;"/"&amp;COUNTIF(共有用1!G$2:G52,共有用1!G52))</f>
        <v/>
      </c>
      <c r="H52" s="17" t="str">
        <f>IF(共有用1!H52="","",共有用1!H52&amp;"/"&amp;COUNTIF(共有用1!H$2:H52,共有用1!H52))</f>
        <v/>
      </c>
      <c r="I52" s="17" t="str">
        <f>IF(共有用1!I52="","",共有用1!I52&amp;"/"&amp;COUNTIF(共有用1!I$2:I52,共有用1!I52))</f>
        <v/>
      </c>
      <c r="J52" s="17" t="str">
        <f>IF(共有用1!J52="","",共有用1!J52&amp;"/"&amp;COUNTIF(共有用1!J$2:J52,共有用1!J52))</f>
        <v/>
      </c>
      <c r="K52" s="17" t="str">
        <f>IF(共有用1!K52="","",共有用1!K52&amp;"/"&amp;COUNTIF(共有用1!K$2:K52,共有用1!K52))</f>
        <v/>
      </c>
      <c r="L52" s="17" t="str">
        <f>IF(共有用1!L52="","",共有用1!L52&amp;"/"&amp;COUNTIF(共有用1!L$2:L52,共有用1!L52))</f>
        <v/>
      </c>
      <c r="M52" s="17" t="str">
        <f>IF(共有用1!M52="","",共有用1!M52&amp;"/"&amp;COUNTIF(共有用1!M$2:M52,共有用1!M52))</f>
        <v/>
      </c>
      <c r="N52" s="17" t="str">
        <f>IF(共有用1!N52="","",共有用1!N52&amp;"/"&amp;COUNTIF(共有用1!N$2:N52,共有用1!N52))</f>
        <v/>
      </c>
      <c r="O52" s="17" t="str">
        <f>IF(共有用1!O52="","",共有用1!O52&amp;"/"&amp;COUNTIF(共有用1!O$2:O52,共有用1!O52))</f>
        <v/>
      </c>
      <c r="P52" s="17" t="str">
        <f>IF(共有用1!P52="","",共有用1!P52&amp;"/"&amp;COUNTIF(共有用1!P$2:P52,共有用1!P52))</f>
        <v/>
      </c>
      <c r="Q52" s="17" t="str">
        <f>IF(共有用1!Q52="","",共有用1!Q52&amp;"/"&amp;COUNTIF(共有用1!Q$2:Q52,共有用1!Q52))</f>
        <v/>
      </c>
      <c r="R52" s="17" t="str">
        <f>IF(共有用1!R52="","",共有用1!R52&amp;"/"&amp;COUNTIF(共有用1!R$2:R52,共有用1!R52))</f>
        <v/>
      </c>
      <c r="S52" s="17" t="str">
        <f>IF(共有用1!S52="","",共有用1!S52&amp;"/"&amp;COUNTIF(共有用1!S$2:S52,共有用1!S52))</f>
        <v/>
      </c>
      <c r="T52" s="17" t="str">
        <f>IF(共有用1!T52="","",共有用1!T52&amp;"/"&amp;COUNTIF(共有用1!T$2:T52,共有用1!T52))</f>
        <v/>
      </c>
      <c r="U52" s="17" t="str">
        <f>IF(共有用1!U52="","",共有用1!U52&amp;"/"&amp;COUNTIF(共有用1!U$2:U52,共有用1!U52))</f>
        <v/>
      </c>
      <c r="V52" s="17" t="str">
        <f>IF(共有用1!V52="","",共有用1!V52&amp;"/"&amp;COUNTIF(共有用1!V$2:V52,共有用1!V52))</f>
        <v/>
      </c>
      <c r="W52" s="17" t="str">
        <f>IF(共有用1!W52="","",共有用1!W52&amp;"/"&amp;COUNTIF(共有用1!W$2:W52,共有用1!W52))</f>
        <v/>
      </c>
      <c r="X52" s="17" t="str">
        <f>IF(共有用1!X52="","",共有用1!X52&amp;"/"&amp;COUNTIF(共有用1!X$2:X52,共有用1!X52))</f>
        <v/>
      </c>
      <c r="Y52" s="17" t="str">
        <f>IF(共有用1!Y52="","",共有用1!Y52&amp;"/"&amp;COUNTIF(共有用1!Y$2:Y52,共有用1!Y52))</f>
        <v/>
      </c>
      <c r="Z52" s="17" t="str">
        <f>IF(共有用1!Z52="","",共有用1!Z52&amp;"/"&amp;COUNTIF(共有用1!Z$2:Z52,共有用1!Z52))</f>
        <v/>
      </c>
      <c r="AA52" s="17" t="str">
        <f>IF(共有用1!AA52="","",共有用1!AA52&amp;"/"&amp;COUNTIF(共有用1!AA$2:AA52,共有用1!AA52))</f>
        <v/>
      </c>
      <c r="AB52" s="17" t="str">
        <f>IF(共有用1!AB52="","",共有用1!AB52&amp;"/"&amp;COUNTIF(共有用1!AB$2:AB52,共有用1!AB52))</f>
        <v/>
      </c>
      <c r="AC52" s="17" t="str">
        <f>IF(共有用1!AC52="","",共有用1!AC52&amp;"/"&amp;COUNTIF(共有用1!AC$2:AC52,共有用1!AC52))</f>
        <v/>
      </c>
      <c r="AD52" s="17" t="str">
        <f>IF(共有用1!AD52="","",共有用1!AD52&amp;"/"&amp;COUNTIF(共有用1!AD$2:AD52,共有用1!AD52))</f>
        <v/>
      </c>
      <c r="AE52" s="17" t="str">
        <f>IF(共有用1!AE52="","",共有用1!AE52&amp;"/"&amp;COUNTIF(共有用1!AE$2:AE52,共有用1!AE52))</f>
        <v/>
      </c>
      <c r="AF52" s="17" t="str">
        <f>IF(共有用1!AF52="","",共有用1!AF52&amp;"/"&amp;COUNTIF(共有用1!AF$2:AF52,共有用1!AF52))</f>
        <v/>
      </c>
      <c r="AG52" s="17" t="str">
        <f>IF(共有用1!AG52="","",共有用1!AG52&amp;"/"&amp;COUNTIF(共有用1!AG$2:AG52,共有用1!AG52))</f>
        <v/>
      </c>
      <c r="AH52" s="17" t="str">
        <f>IF(共有用1!AH52="","",共有用1!AH52&amp;"/"&amp;COUNTIF(共有用1!AH$2:AH52,共有用1!AH52))</f>
        <v/>
      </c>
      <c r="AI52" s="17" t="str">
        <f>IF(共有用1!AI52="","",共有用1!AI52&amp;"/"&amp;COUNTIF(共有用1!AI$2:AI52,共有用1!AI52))</f>
        <v/>
      </c>
      <c r="AJ52" s="17" t="str">
        <f>IF(共有用1!AJ52="","",共有用1!AJ52&amp;"/"&amp;COUNTIF(共有用1!AJ$2:AJ52,共有用1!AJ52))</f>
        <v/>
      </c>
      <c r="AK52" s="17" t="str">
        <f>IF(共有用1!AK52="","",共有用1!AK52&amp;"/"&amp;COUNTIF(共有用1!AK$2:AK52,共有用1!AK52))</f>
        <v/>
      </c>
      <c r="AL52" s="17" t="str">
        <f>IF(共有用1!AL52="","",共有用1!AL52&amp;"/"&amp;COUNTIF(共有用1!AL$2:AL52,共有用1!AL52))</f>
        <v/>
      </c>
      <c r="AM52" s="17" t="str">
        <f>IF(共有用1!AM52="","",共有用1!AM52&amp;"/"&amp;COUNTIF(共有用1!AM$2:AM52,共有用1!AM52))</f>
        <v/>
      </c>
      <c r="AN52" s="17" t="str">
        <f>IF(共有用1!AN52="","",共有用1!AN52&amp;"/"&amp;COUNTIF(共有用1!AN$2:AN52,共有用1!AN52))</f>
        <v/>
      </c>
      <c r="AO52" s="17" t="str">
        <f>IF(共有用1!AO52="","",共有用1!AO52&amp;"/"&amp;COUNTIF(共有用1!AO$2:AO52,共有用1!AO52))</f>
        <v/>
      </c>
      <c r="AP52" s="17" t="str">
        <f>IF(共有用1!AP52="","",共有用1!AP52&amp;"/"&amp;COUNTIF(共有用1!AP$2:AP52,共有用1!AP52))</f>
        <v/>
      </c>
      <c r="AQ52" s="17" t="str">
        <f>IF(共有用1!AQ52="","",共有用1!AQ52&amp;"/"&amp;COUNTIF(共有用1!AQ$2:AQ52,共有用1!AQ52))</f>
        <v/>
      </c>
      <c r="AR52" s="17" t="str">
        <f>IF(共有用1!AR52="","",共有用1!AR52&amp;"/"&amp;COUNTIF(共有用1!AR$2:AR52,共有用1!AR52))</f>
        <v/>
      </c>
      <c r="AS52" s="17" t="str">
        <f>IF(共有用1!AS52="","",共有用1!AS52&amp;"/"&amp;COUNTIF(共有用1!AS$2:AS52,共有用1!AS52))</f>
        <v/>
      </c>
      <c r="AT52" s="17" t="str">
        <f>IF(共有用1!AT52="","",共有用1!AT52&amp;"/"&amp;COUNTIF(共有用1!AT$2:AT52,共有用1!AT52))</f>
        <v/>
      </c>
      <c r="AU52" s="17" t="str">
        <f>IF(共有用1!AU52="","",共有用1!AU52&amp;"/"&amp;COUNTIF(共有用1!AU$2:AU52,共有用1!AU52))</f>
        <v/>
      </c>
      <c r="AV52" s="17" t="str">
        <f>IF(共有用1!AV52="","",共有用1!AV52&amp;"/"&amp;COUNTIF(共有用1!AV$2:AV52,共有用1!AV52))</f>
        <v/>
      </c>
      <c r="AW52" s="17" t="str">
        <f>IF(共有用1!AW52="","",共有用1!AW52&amp;"/"&amp;COUNTIF(共有用1!AW$2:AW52,共有用1!AW52))</f>
        <v/>
      </c>
      <c r="AX52" s="17" t="str">
        <f>IF(共有用1!AX52="","",共有用1!AX52&amp;"/"&amp;COUNTIF(共有用1!AX$2:AX52,共有用1!AX52))</f>
        <v/>
      </c>
      <c r="AY52" s="17" t="str">
        <f>IF(共有用1!AY52="","",共有用1!AY52&amp;"/"&amp;COUNTIF(共有用1!AY$2:AY52,共有用1!AY52))</f>
        <v/>
      </c>
      <c r="AZ52" s="17" t="str">
        <f>IF(共有用1!AZ52="","",共有用1!AZ52&amp;"/"&amp;COUNTIF(共有用1!AZ$2:AZ52,共有用1!AZ52))</f>
        <v/>
      </c>
      <c r="BA52" s="17" t="str">
        <f>IF(共有用1!BA52="","",共有用1!BA52&amp;"/"&amp;COUNTIF(共有用1!BA$2:BA52,共有用1!BA52))</f>
        <v/>
      </c>
    </row>
    <row r="53" spans="1:53">
      <c r="A53" s="2" t="str">
        <f>共有用1!A53</f>
        <v/>
      </c>
      <c r="B53" s="2" t="str">
        <f>共有用1!B53</f>
        <v/>
      </c>
      <c r="C53" s="2" t="str">
        <f>共有用1!C53</f>
        <v/>
      </c>
      <c r="D53" s="17" t="str">
        <f>IF(共有用1!D53="","",共有用1!D53&amp;"/"&amp;COUNTIF(共有用1!D$2:D53,共有用1!D53))</f>
        <v/>
      </c>
      <c r="E53" s="17" t="str">
        <f>IF(共有用1!E53="","",共有用1!E53&amp;"/"&amp;COUNTIF(共有用1!E$2:E53,共有用1!E53))</f>
        <v/>
      </c>
      <c r="F53" s="17" t="str">
        <f>IF(共有用1!F53="","",共有用1!F53&amp;"/"&amp;COUNTIF(共有用1!F$2:F53,共有用1!F53))</f>
        <v/>
      </c>
      <c r="G53" s="17" t="str">
        <f>IF(共有用1!G53="","",共有用1!G53&amp;"/"&amp;COUNTIF(共有用1!G$2:G53,共有用1!G53))</f>
        <v/>
      </c>
      <c r="H53" s="17" t="str">
        <f>IF(共有用1!H53="","",共有用1!H53&amp;"/"&amp;COUNTIF(共有用1!H$2:H53,共有用1!H53))</f>
        <v/>
      </c>
      <c r="I53" s="17" t="str">
        <f>IF(共有用1!I53="","",共有用1!I53&amp;"/"&amp;COUNTIF(共有用1!I$2:I53,共有用1!I53))</f>
        <v/>
      </c>
      <c r="J53" s="17" t="str">
        <f>IF(共有用1!J53="","",共有用1!J53&amp;"/"&amp;COUNTIF(共有用1!J$2:J53,共有用1!J53))</f>
        <v/>
      </c>
      <c r="K53" s="17" t="str">
        <f>IF(共有用1!K53="","",共有用1!K53&amp;"/"&amp;COUNTIF(共有用1!K$2:K53,共有用1!K53))</f>
        <v/>
      </c>
      <c r="L53" s="17" t="str">
        <f>IF(共有用1!L53="","",共有用1!L53&amp;"/"&amp;COUNTIF(共有用1!L$2:L53,共有用1!L53))</f>
        <v/>
      </c>
      <c r="M53" s="17" t="str">
        <f>IF(共有用1!M53="","",共有用1!M53&amp;"/"&amp;COUNTIF(共有用1!M$2:M53,共有用1!M53))</f>
        <v/>
      </c>
      <c r="N53" s="17" t="str">
        <f>IF(共有用1!N53="","",共有用1!N53&amp;"/"&amp;COUNTIF(共有用1!N$2:N53,共有用1!N53))</f>
        <v/>
      </c>
      <c r="O53" s="17" t="str">
        <f>IF(共有用1!O53="","",共有用1!O53&amp;"/"&amp;COUNTIF(共有用1!O$2:O53,共有用1!O53))</f>
        <v/>
      </c>
      <c r="P53" s="17" t="str">
        <f>IF(共有用1!P53="","",共有用1!P53&amp;"/"&amp;COUNTIF(共有用1!P$2:P53,共有用1!P53))</f>
        <v/>
      </c>
      <c r="Q53" s="17" t="str">
        <f>IF(共有用1!Q53="","",共有用1!Q53&amp;"/"&amp;COUNTIF(共有用1!Q$2:Q53,共有用1!Q53))</f>
        <v/>
      </c>
      <c r="R53" s="17" t="str">
        <f>IF(共有用1!R53="","",共有用1!R53&amp;"/"&amp;COUNTIF(共有用1!R$2:R53,共有用1!R53))</f>
        <v/>
      </c>
      <c r="S53" s="17" t="str">
        <f>IF(共有用1!S53="","",共有用1!S53&amp;"/"&amp;COUNTIF(共有用1!S$2:S53,共有用1!S53))</f>
        <v/>
      </c>
      <c r="T53" s="17" t="str">
        <f>IF(共有用1!T53="","",共有用1!T53&amp;"/"&amp;COUNTIF(共有用1!T$2:T53,共有用1!T53))</f>
        <v/>
      </c>
      <c r="U53" s="17" t="str">
        <f>IF(共有用1!U53="","",共有用1!U53&amp;"/"&amp;COUNTIF(共有用1!U$2:U53,共有用1!U53))</f>
        <v/>
      </c>
      <c r="V53" s="17" t="str">
        <f>IF(共有用1!V53="","",共有用1!V53&amp;"/"&amp;COUNTIF(共有用1!V$2:V53,共有用1!V53))</f>
        <v/>
      </c>
      <c r="W53" s="17" t="str">
        <f>IF(共有用1!W53="","",共有用1!W53&amp;"/"&amp;COUNTIF(共有用1!W$2:W53,共有用1!W53))</f>
        <v/>
      </c>
      <c r="X53" s="17" t="str">
        <f>IF(共有用1!X53="","",共有用1!X53&amp;"/"&amp;COUNTIF(共有用1!X$2:X53,共有用1!X53))</f>
        <v/>
      </c>
      <c r="Y53" s="17" t="str">
        <f>IF(共有用1!Y53="","",共有用1!Y53&amp;"/"&amp;COUNTIF(共有用1!Y$2:Y53,共有用1!Y53))</f>
        <v/>
      </c>
      <c r="Z53" s="17" t="str">
        <f>IF(共有用1!Z53="","",共有用1!Z53&amp;"/"&amp;COUNTIF(共有用1!Z$2:Z53,共有用1!Z53))</f>
        <v/>
      </c>
      <c r="AA53" s="17" t="str">
        <f>IF(共有用1!AA53="","",共有用1!AA53&amp;"/"&amp;COUNTIF(共有用1!AA$2:AA53,共有用1!AA53))</f>
        <v/>
      </c>
      <c r="AB53" s="17" t="str">
        <f>IF(共有用1!AB53="","",共有用1!AB53&amp;"/"&amp;COUNTIF(共有用1!AB$2:AB53,共有用1!AB53))</f>
        <v/>
      </c>
      <c r="AC53" s="17" t="str">
        <f>IF(共有用1!AC53="","",共有用1!AC53&amp;"/"&amp;COUNTIF(共有用1!AC$2:AC53,共有用1!AC53))</f>
        <v/>
      </c>
      <c r="AD53" s="17" t="str">
        <f>IF(共有用1!AD53="","",共有用1!AD53&amp;"/"&amp;COUNTIF(共有用1!AD$2:AD53,共有用1!AD53))</f>
        <v/>
      </c>
      <c r="AE53" s="17" t="str">
        <f>IF(共有用1!AE53="","",共有用1!AE53&amp;"/"&amp;COUNTIF(共有用1!AE$2:AE53,共有用1!AE53))</f>
        <v/>
      </c>
      <c r="AF53" s="17" t="str">
        <f>IF(共有用1!AF53="","",共有用1!AF53&amp;"/"&amp;COUNTIF(共有用1!AF$2:AF53,共有用1!AF53))</f>
        <v/>
      </c>
      <c r="AG53" s="17" t="str">
        <f>IF(共有用1!AG53="","",共有用1!AG53&amp;"/"&amp;COUNTIF(共有用1!AG$2:AG53,共有用1!AG53))</f>
        <v/>
      </c>
      <c r="AH53" s="17" t="str">
        <f>IF(共有用1!AH53="","",共有用1!AH53&amp;"/"&amp;COUNTIF(共有用1!AH$2:AH53,共有用1!AH53))</f>
        <v/>
      </c>
      <c r="AI53" s="17" t="str">
        <f>IF(共有用1!AI53="","",共有用1!AI53&amp;"/"&amp;COUNTIF(共有用1!AI$2:AI53,共有用1!AI53))</f>
        <v/>
      </c>
      <c r="AJ53" s="17" t="str">
        <f>IF(共有用1!AJ53="","",共有用1!AJ53&amp;"/"&amp;COUNTIF(共有用1!AJ$2:AJ53,共有用1!AJ53))</f>
        <v/>
      </c>
      <c r="AK53" s="17" t="str">
        <f>IF(共有用1!AK53="","",共有用1!AK53&amp;"/"&amp;COUNTIF(共有用1!AK$2:AK53,共有用1!AK53))</f>
        <v/>
      </c>
      <c r="AL53" s="17" t="str">
        <f>IF(共有用1!AL53="","",共有用1!AL53&amp;"/"&amp;COUNTIF(共有用1!AL$2:AL53,共有用1!AL53))</f>
        <v/>
      </c>
      <c r="AM53" s="17" t="str">
        <f>IF(共有用1!AM53="","",共有用1!AM53&amp;"/"&amp;COUNTIF(共有用1!AM$2:AM53,共有用1!AM53))</f>
        <v/>
      </c>
      <c r="AN53" s="17" t="str">
        <f>IF(共有用1!AN53="","",共有用1!AN53&amp;"/"&amp;COUNTIF(共有用1!AN$2:AN53,共有用1!AN53))</f>
        <v/>
      </c>
      <c r="AO53" s="17" t="str">
        <f>IF(共有用1!AO53="","",共有用1!AO53&amp;"/"&amp;COUNTIF(共有用1!AO$2:AO53,共有用1!AO53))</f>
        <v/>
      </c>
      <c r="AP53" s="17" t="str">
        <f>IF(共有用1!AP53="","",共有用1!AP53&amp;"/"&amp;COUNTIF(共有用1!AP$2:AP53,共有用1!AP53))</f>
        <v/>
      </c>
      <c r="AQ53" s="17" t="str">
        <f>IF(共有用1!AQ53="","",共有用1!AQ53&amp;"/"&amp;COUNTIF(共有用1!AQ$2:AQ53,共有用1!AQ53))</f>
        <v/>
      </c>
      <c r="AR53" s="17" t="str">
        <f>IF(共有用1!AR53="","",共有用1!AR53&amp;"/"&amp;COUNTIF(共有用1!AR$2:AR53,共有用1!AR53))</f>
        <v/>
      </c>
      <c r="AS53" s="17" t="str">
        <f>IF(共有用1!AS53="","",共有用1!AS53&amp;"/"&amp;COUNTIF(共有用1!AS$2:AS53,共有用1!AS53))</f>
        <v/>
      </c>
      <c r="AT53" s="17" t="str">
        <f>IF(共有用1!AT53="","",共有用1!AT53&amp;"/"&amp;COUNTIF(共有用1!AT$2:AT53,共有用1!AT53))</f>
        <v/>
      </c>
      <c r="AU53" s="17" t="str">
        <f>IF(共有用1!AU53="","",共有用1!AU53&amp;"/"&amp;COUNTIF(共有用1!AU$2:AU53,共有用1!AU53))</f>
        <v/>
      </c>
      <c r="AV53" s="17" t="str">
        <f>IF(共有用1!AV53="","",共有用1!AV53&amp;"/"&amp;COUNTIF(共有用1!AV$2:AV53,共有用1!AV53))</f>
        <v/>
      </c>
      <c r="AW53" s="17" t="str">
        <f>IF(共有用1!AW53="","",共有用1!AW53&amp;"/"&amp;COUNTIF(共有用1!AW$2:AW53,共有用1!AW53))</f>
        <v/>
      </c>
      <c r="AX53" s="17" t="str">
        <f>IF(共有用1!AX53="","",共有用1!AX53&amp;"/"&amp;COUNTIF(共有用1!AX$2:AX53,共有用1!AX53))</f>
        <v/>
      </c>
      <c r="AY53" s="17" t="str">
        <f>IF(共有用1!AY53="","",共有用1!AY53&amp;"/"&amp;COUNTIF(共有用1!AY$2:AY53,共有用1!AY53))</f>
        <v/>
      </c>
      <c r="AZ53" s="17" t="str">
        <f>IF(共有用1!AZ53="","",共有用1!AZ53&amp;"/"&amp;COUNTIF(共有用1!AZ$2:AZ53,共有用1!AZ53))</f>
        <v/>
      </c>
      <c r="BA53" s="17" t="str">
        <f>IF(共有用1!BA53="","",共有用1!BA53&amp;"/"&amp;COUNTIF(共有用1!BA$2:BA53,共有用1!BA53))</f>
        <v/>
      </c>
    </row>
    <row r="54" spans="1:53">
      <c r="A54" s="2" t="str">
        <f>共有用1!A54</f>
        <v/>
      </c>
      <c r="B54" s="2" t="str">
        <f>共有用1!B54</f>
        <v/>
      </c>
      <c r="C54" s="2" t="str">
        <f>共有用1!C54</f>
        <v/>
      </c>
      <c r="D54" s="17" t="str">
        <f>IF(共有用1!D54="","",共有用1!D54&amp;"/"&amp;COUNTIF(共有用1!D$2:D54,共有用1!D54))</f>
        <v/>
      </c>
      <c r="E54" s="17" t="str">
        <f>IF(共有用1!E54="","",共有用1!E54&amp;"/"&amp;COUNTIF(共有用1!E$2:E54,共有用1!E54))</f>
        <v/>
      </c>
      <c r="F54" s="17" t="str">
        <f>IF(共有用1!F54="","",共有用1!F54&amp;"/"&amp;COUNTIF(共有用1!F$2:F54,共有用1!F54))</f>
        <v/>
      </c>
      <c r="G54" s="17" t="str">
        <f>IF(共有用1!G54="","",共有用1!G54&amp;"/"&amp;COUNTIF(共有用1!G$2:G54,共有用1!G54))</f>
        <v/>
      </c>
      <c r="H54" s="17" t="str">
        <f>IF(共有用1!H54="","",共有用1!H54&amp;"/"&amp;COUNTIF(共有用1!H$2:H54,共有用1!H54))</f>
        <v/>
      </c>
      <c r="I54" s="17" t="str">
        <f>IF(共有用1!I54="","",共有用1!I54&amp;"/"&amp;COUNTIF(共有用1!I$2:I54,共有用1!I54))</f>
        <v/>
      </c>
      <c r="J54" s="17" t="str">
        <f>IF(共有用1!J54="","",共有用1!J54&amp;"/"&amp;COUNTIF(共有用1!J$2:J54,共有用1!J54))</f>
        <v/>
      </c>
      <c r="K54" s="17" t="str">
        <f>IF(共有用1!K54="","",共有用1!K54&amp;"/"&amp;COUNTIF(共有用1!K$2:K54,共有用1!K54))</f>
        <v/>
      </c>
      <c r="L54" s="17" t="str">
        <f>IF(共有用1!L54="","",共有用1!L54&amp;"/"&amp;COUNTIF(共有用1!L$2:L54,共有用1!L54))</f>
        <v/>
      </c>
      <c r="M54" s="17" t="str">
        <f>IF(共有用1!M54="","",共有用1!M54&amp;"/"&amp;COUNTIF(共有用1!M$2:M54,共有用1!M54))</f>
        <v/>
      </c>
      <c r="N54" s="17" t="str">
        <f>IF(共有用1!N54="","",共有用1!N54&amp;"/"&amp;COUNTIF(共有用1!N$2:N54,共有用1!N54))</f>
        <v/>
      </c>
      <c r="O54" s="17" t="str">
        <f>IF(共有用1!O54="","",共有用1!O54&amp;"/"&amp;COUNTIF(共有用1!O$2:O54,共有用1!O54))</f>
        <v/>
      </c>
      <c r="P54" s="17" t="str">
        <f>IF(共有用1!P54="","",共有用1!P54&amp;"/"&amp;COUNTIF(共有用1!P$2:P54,共有用1!P54))</f>
        <v/>
      </c>
      <c r="Q54" s="17" t="str">
        <f>IF(共有用1!Q54="","",共有用1!Q54&amp;"/"&amp;COUNTIF(共有用1!Q$2:Q54,共有用1!Q54))</f>
        <v/>
      </c>
      <c r="R54" s="17" t="str">
        <f>IF(共有用1!R54="","",共有用1!R54&amp;"/"&amp;COUNTIF(共有用1!R$2:R54,共有用1!R54))</f>
        <v/>
      </c>
      <c r="S54" s="17" t="str">
        <f>IF(共有用1!S54="","",共有用1!S54&amp;"/"&amp;COUNTIF(共有用1!S$2:S54,共有用1!S54))</f>
        <v/>
      </c>
      <c r="T54" s="17" t="str">
        <f>IF(共有用1!T54="","",共有用1!T54&amp;"/"&amp;COUNTIF(共有用1!T$2:T54,共有用1!T54))</f>
        <v/>
      </c>
      <c r="U54" s="17" t="str">
        <f>IF(共有用1!U54="","",共有用1!U54&amp;"/"&amp;COUNTIF(共有用1!U$2:U54,共有用1!U54))</f>
        <v/>
      </c>
      <c r="V54" s="17" t="str">
        <f>IF(共有用1!V54="","",共有用1!V54&amp;"/"&amp;COUNTIF(共有用1!V$2:V54,共有用1!V54))</f>
        <v/>
      </c>
      <c r="W54" s="17" t="str">
        <f>IF(共有用1!W54="","",共有用1!W54&amp;"/"&amp;COUNTIF(共有用1!W$2:W54,共有用1!W54))</f>
        <v/>
      </c>
      <c r="X54" s="17" t="str">
        <f>IF(共有用1!X54="","",共有用1!X54&amp;"/"&amp;COUNTIF(共有用1!X$2:X54,共有用1!X54))</f>
        <v/>
      </c>
      <c r="Y54" s="17" t="str">
        <f>IF(共有用1!Y54="","",共有用1!Y54&amp;"/"&amp;COUNTIF(共有用1!Y$2:Y54,共有用1!Y54))</f>
        <v/>
      </c>
      <c r="Z54" s="17" t="str">
        <f>IF(共有用1!Z54="","",共有用1!Z54&amp;"/"&amp;COUNTIF(共有用1!Z$2:Z54,共有用1!Z54))</f>
        <v/>
      </c>
      <c r="AA54" s="17" t="str">
        <f>IF(共有用1!AA54="","",共有用1!AA54&amp;"/"&amp;COUNTIF(共有用1!AA$2:AA54,共有用1!AA54))</f>
        <v/>
      </c>
      <c r="AB54" s="17" t="str">
        <f>IF(共有用1!AB54="","",共有用1!AB54&amp;"/"&amp;COUNTIF(共有用1!AB$2:AB54,共有用1!AB54))</f>
        <v/>
      </c>
      <c r="AC54" s="17" t="str">
        <f>IF(共有用1!AC54="","",共有用1!AC54&amp;"/"&amp;COUNTIF(共有用1!AC$2:AC54,共有用1!AC54))</f>
        <v/>
      </c>
      <c r="AD54" s="17" t="str">
        <f>IF(共有用1!AD54="","",共有用1!AD54&amp;"/"&amp;COUNTIF(共有用1!AD$2:AD54,共有用1!AD54))</f>
        <v/>
      </c>
      <c r="AE54" s="17" t="str">
        <f>IF(共有用1!AE54="","",共有用1!AE54&amp;"/"&amp;COUNTIF(共有用1!AE$2:AE54,共有用1!AE54))</f>
        <v/>
      </c>
      <c r="AF54" s="17" t="str">
        <f>IF(共有用1!AF54="","",共有用1!AF54&amp;"/"&amp;COUNTIF(共有用1!AF$2:AF54,共有用1!AF54))</f>
        <v/>
      </c>
      <c r="AG54" s="17" t="str">
        <f>IF(共有用1!AG54="","",共有用1!AG54&amp;"/"&amp;COUNTIF(共有用1!AG$2:AG54,共有用1!AG54))</f>
        <v/>
      </c>
      <c r="AH54" s="17" t="str">
        <f>IF(共有用1!AH54="","",共有用1!AH54&amp;"/"&amp;COUNTIF(共有用1!AH$2:AH54,共有用1!AH54))</f>
        <v/>
      </c>
      <c r="AI54" s="17" t="str">
        <f>IF(共有用1!AI54="","",共有用1!AI54&amp;"/"&amp;COUNTIF(共有用1!AI$2:AI54,共有用1!AI54))</f>
        <v/>
      </c>
      <c r="AJ54" s="17" t="str">
        <f>IF(共有用1!AJ54="","",共有用1!AJ54&amp;"/"&amp;COUNTIF(共有用1!AJ$2:AJ54,共有用1!AJ54))</f>
        <v/>
      </c>
      <c r="AK54" s="17" t="str">
        <f>IF(共有用1!AK54="","",共有用1!AK54&amp;"/"&amp;COUNTIF(共有用1!AK$2:AK54,共有用1!AK54))</f>
        <v/>
      </c>
      <c r="AL54" s="17" t="str">
        <f>IF(共有用1!AL54="","",共有用1!AL54&amp;"/"&amp;COUNTIF(共有用1!AL$2:AL54,共有用1!AL54))</f>
        <v/>
      </c>
      <c r="AM54" s="17" t="str">
        <f>IF(共有用1!AM54="","",共有用1!AM54&amp;"/"&amp;COUNTIF(共有用1!AM$2:AM54,共有用1!AM54))</f>
        <v/>
      </c>
      <c r="AN54" s="17" t="str">
        <f>IF(共有用1!AN54="","",共有用1!AN54&amp;"/"&amp;COUNTIF(共有用1!AN$2:AN54,共有用1!AN54))</f>
        <v/>
      </c>
      <c r="AO54" s="17" t="str">
        <f>IF(共有用1!AO54="","",共有用1!AO54&amp;"/"&amp;COUNTIF(共有用1!AO$2:AO54,共有用1!AO54))</f>
        <v/>
      </c>
      <c r="AP54" s="17" t="str">
        <f>IF(共有用1!AP54="","",共有用1!AP54&amp;"/"&amp;COUNTIF(共有用1!AP$2:AP54,共有用1!AP54))</f>
        <v/>
      </c>
      <c r="AQ54" s="17" t="str">
        <f>IF(共有用1!AQ54="","",共有用1!AQ54&amp;"/"&amp;COUNTIF(共有用1!AQ$2:AQ54,共有用1!AQ54))</f>
        <v/>
      </c>
      <c r="AR54" s="17" t="str">
        <f>IF(共有用1!AR54="","",共有用1!AR54&amp;"/"&amp;COUNTIF(共有用1!AR$2:AR54,共有用1!AR54))</f>
        <v/>
      </c>
      <c r="AS54" s="17" t="str">
        <f>IF(共有用1!AS54="","",共有用1!AS54&amp;"/"&amp;COUNTIF(共有用1!AS$2:AS54,共有用1!AS54))</f>
        <v/>
      </c>
      <c r="AT54" s="17" t="str">
        <f>IF(共有用1!AT54="","",共有用1!AT54&amp;"/"&amp;COUNTIF(共有用1!AT$2:AT54,共有用1!AT54))</f>
        <v/>
      </c>
      <c r="AU54" s="17" t="str">
        <f>IF(共有用1!AU54="","",共有用1!AU54&amp;"/"&amp;COUNTIF(共有用1!AU$2:AU54,共有用1!AU54))</f>
        <v/>
      </c>
      <c r="AV54" s="17" t="str">
        <f>IF(共有用1!AV54="","",共有用1!AV54&amp;"/"&amp;COUNTIF(共有用1!AV$2:AV54,共有用1!AV54))</f>
        <v/>
      </c>
      <c r="AW54" s="17" t="str">
        <f>IF(共有用1!AW54="","",共有用1!AW54&amp;"/"&amp;COUNTIF(共有用1!AW$2:AW54,共有用1!AW54))</f>
        <v/>
      </c>
      <c r="AX54" s="17" t="str">
        <f>IF(共有用1!AX54="","",共有用1!AX54&amp;"/"&amp;COUNTIF(共有用1!AX$2:AX54,共有用1!AX54))</f>
        <v/>
      </c>
      <c r="AY54" s="17" t="str">
        <f>IF(共有用1!AY54="","",共有用1!AY54&amp;"/"&amp;COUNTIF(共有用1!AY$2:AY54,共有用1!AY54))</f>
        <v/>
      </c>
      <c r="AZ54" s="17" t="str">
        <f>IF(共有用1!AZ54="","",共有用1!AZ54&amp;"/"&amp;COUNTIF(共有用1!AZ$2:AZ54,共有用1!AZ54))</f>
        <v/>
      </c>
      <c r="BA54" s="17" t="str">
        <f>IF(共有用1!BA54="","",共有用1!BA54&amp;"/"&amp;COUNTIF(共有用1!BA$2:BA54,共有用1!BA54))</f>
        <v/>
      </c>
    </row>
    <row r="55" spans="1:53">
      <c r="A55" s="2" t="str">
        <f>共有用1!A55</f>
        <v/>
      </c>
      <c r="B55" s="2" t="str">
        <f>共有用1!B55</f>
        <v/>
      </c>
      <c r="C55" s="2" t="str">
        <f>共有用1!C55</f>
        <v/>
      </c>
      <c r="D55" s="17" t="str">
        <f>IF(共有用1!D55="","",共有用1!D55&amp;"/"&amp;COUNTIF(共有用1!D$2:D55,共有用1!D55))</f>
        <v/>
      </c>
      <c r="E55" s="17" t="str">
        <f>IF(共有用1!E55="","",共有用1!E55&amp;"/"&amp;COUNTIF(共有用1!E$2:E55,共有用1!E55))</f>
        <v/>
      </c>
      <c r="F55" s="17" t="str">
        <f>IF(共有用1!F55="","",共有用1!F55&amp;"/"&amp;COUNTIF(共有用1!F$2:F55,共有用1!F55))</f>
        <v/>
      </c>
      <c r="G55" s="17" t="str">
        <f>IF(共有用1!G55="","",共有用1!G55&amp;"/"&amp;COUNTIF(共有用1!G$2:G55,共有用1!G55))</f>
        <v/>
      </c>
      <c r="H55" s="17" t="str">
        <f>IF(共有用1!H55="","",共有用1!H55&amp;"/"&amp;COUNTIF(共有用1!H$2:H55,共有用1!H55))</f>
        <v/>
      </c>
      <c r="I55" s="17" t="str">
        <f>IF(共有用1!I55="","",共有用1!I55&amp;"/"&amp;COUNTIF(共有用1!I$2:I55,共有用1!I55))</f>
        <v/>
      </c>
      <c r="J55" s="17" t="str">
        <f>IF(共有用1!J55="","",共有用1!J55&amp;"/"&amp;COUNTIF(共有用1!J$2:J55,共有用1!J55))</f>
        <v/>
      </c>
      <c r="K55" s="17" t="str">
        <f>IF(共有用1!K55="","",共有用1!K55&amp;"/"&amp;COUNTIF(共有用1!K$2:K55,共有用1!K55))</f>
        <v/>
      </c>
      <c r="L55" s="17" t="str">
        <f>IF(共有用1!L55="","",共有用1!L55&amp;"/"&amp;COUNTIF(共有用1!L$2:L55,共有用1!L55))</f>
        <v/>
      </c>
      <c r="M55" s="17" t="str">
        <f>IF(共有用1!M55="","",共有用1!M55&amp;"/"&amp;COUNTIF(共有用1!M$2:M55,共有用1!M55))</f>
        <v/>
      </c>
      <c r="N55" s="17" t="str">
        <f>IF(共有用1!N55="","",共有用1!N55&amp;"/"&amp;COUNTIF(共有用1!N$2:N55,共有用1!N55))</f>
        <v/>
      </c>
      <c r="O55" s="17" t="str">
        <f>IF(共有用1!O55="","",共有用1!O55&amp;"/"&amp;COUNTIF(共有用1!O$2:O55,共有用1!O55))</f>
        <v/>
      </c>
      <c r="P55" s="17" t="str">
        <f>IF(共有用1!P55="","",共有用1!P55&amp;"/"&amp;COUNTIF(共有用1!P$2:P55,共有用1!P55))</f>
        <v/>
      </c>
      <c r="Q55" s="17" t="str">
        <f>IF(共有用1!Q55="","",共有用1!Q55&amp;"/"&amp;COUNTIF(共有用1!Q$2:Q55,共有用1!Q55))</f>
        <v/>
      </c>
      <c r="R55" s="17" t="str">
        <f>IF(共有用1!R55="","",共有用1!R55&amp;"/"&amp;COUNTIF(共有用1!R$2:R55,共有用1!R55))</f>
        <v/>
      </c>
      <c r="S55" s="17" t="str">
        <f>IF(共有用1!S55="","",共有用1!S55&amp;"/"&amp;COUNTIF(共有用1!S$2:S55,共有用1!S55))</f>
        <v/>
      </c>
      <c r="T55" s="17" t="str">
        <f>IF(共有用1!T55="","",共有用1!T55&amp;"/"&amp;COUNTIF(共有用1!T$2:T55,共有用1!T55))</f>
        <v/>
      </c>
      <c r="U55" s="17" t="str">
        <f>IF(共有用1!U55="","",共有用1!U55&amp;"/"&amp;COUNTIF(共有用1!U$2:U55,共有用1!U55))</f>
        <v/>
      </c>
      <c r="V55" s="17" t="str">
        <f>IF(共有用1!V55="","",共有用1!V55&amp;"/"&amp;COUNTIF(共有用1!V$2:V55,共有用1!V55))</f>
        <v/>
      </c>
      <c r="W55" s="17" t="str">
        <f>IF(共有用1!W55="","",共有用1!W55&amp;"/"&amp;COUNTIF(共有用1!W$2:W55,共有用1!W55))</f>
        <v/>
      </c>
      <c r="X55" s="17" t="str">
        <f>IF(共有用1!X55="","",共有用1!X55&amp;"/"&amp;COUNTIF(共有用1!X$2:X55,共有用1!X55))</f>
        <v/>
      </c>
      <c r="Y55" s="17" t="str">
        <f>IF(共有用1!Y55="","",共有用1!Y55&amp;"/"&amp;COUNTIF(共有用1!Y$2:Y55,共有用1!Y55))</f>
        <v/>
      </c>
      <c r="Z55" s="17" t="str">
        <f>IF(共有用1!Z55="","",共有用1!Z55&amp;"/"&amp;COUNTIF(共有用1!Z$2:Z55,共有用1!Z55))</f>
        <v/>
      </c>
      <c r="AA55" s="17" t="str">
        <f>IF(共有用1!AA55="","",共有用1!AA55&amp;"/"&amp;COUNTIF(共有用1!AA$2:AA55,共有用1!AA55))</f>
        <v/>
      </c>
      <c r="AB55" s="17" t="str">
        <f>IF(共有用1!AB55="","",共有用1!AB55&amp;"/"&amp;COUNTIF(共有用1!AB$2:AB55,共有用1!AB55))</f>
        <v/>
      </c>
      <c r="AC55" s="17" t="str">
        <f>IF(共有用1!AC55="","",共有用1!AC55&amp;"/"&amp;COUNTIF(共有用1!AC$2:AC55,共有用1!AC55))</f>
        <v/>
      </c>
      <c r="AD55" s="17" t="str">
        <f>IF(共有用1!AD55="","",共有用1!AD55&amp;"/"&amp;COUNTIF(共有用1!AD$2:AD55,共有用1!AD55))</f>
        <v/>
      </c>
      <c r="AE55" s="17" t="str">
        <f>IF(共有用1!AE55="","",共有用1!AE55&amp;"/"&amp;COUNTIF(共有用1!AE$2:AE55,共有用1!AE55))</f>
        <v/>
      </c>
      <c r="AF55" s="17" t="str">
        <f>IF(共有用1!AF55="","",共有用1!AF55&amp;"/"&amp;COUNTIF(共有用1!AF$2:AF55,共有用1!AF55))</f>
        <v/>
      </c>
      <c r="AG55" s="17" t="str">
        <f>IF(共有用1!AG55="","",共有用1!AG55&amp;"/"&amp;COUNTIF(共有用1!AG$2:AG55,共有用1!AG55))</f>
        <v/>
      </c>
      <c r="AH55" s="17" t="str">
        <f>IF(共有用1!AH55="","",共有用1!AH55&amp;"/"&amp;COUNTIF(共有用1!AH$2:AH55,共有用1!AH55))</f>
        <v/>
      </c>
      <c r="AI55" s="17" t="str">
        <f>IF(共有用1!AI55="","",共有用1!AI55&amp;"/"&amp;COUNTIF(共有用1!AI$2:AI55,共有用1!AI55))</f>
        <v/>
      </c>
      <c r="AJ55" s="17" t="str">
        <f>IF(共有用1!AJ55="","",共有用1!AJ55&amp;"/"&amp;COUNTIF(共有用1!AJ$2:AJ55,共有用1!AJ55))</f>
        <v/>
      </c>
      <c r="AK55" s="17" t="str">
        <f>IF(共有用1!AK55="","",共有用1!AK55&amp;"/"&amp;COUNTIF(共有用1!AK$2:AK55,共有用1!AK55))</f>
        <v/>
      </c>
      <c r="AL55" s="17" t="str">
        <f>IF(共有用1!AL55="","",共有用1!AL55&amp;"/"&amp;COUNTIF(共有用1!AL$2:AL55,共有用1!AL55))</f>
        <v/>
      </c>
      <c r="AM55" s="17" t="str">
        <f>IF(共有用1!AM55="","",共有用1!AM55&amp;"/"&amp;COUNTIF(共有用1!AM$2:AM55,共有用1!AM55))</f>
        <v/>
      </c>
      <c r="AN55" s="17" t="str">
        <f>IF(共有用1!AN55="","",共有用1!AN55&amp;"/"&amp;COUNTIF(共有用1!AN$2:AN55,共有用1!AN55))</f>
        <v/>
      </c>
      <c r="AO55" s="17" t="str">
        <f>IF(共有用1!AO55="","",共有用1!AO55&amp;"/"&amp;COUNTIF(共有用1!AO$2:AO55,共有用1!AO55))</f>
        <v/>
      </c>
      <c r="AP55" s="17" t="str">
        <f>IF(共有用1!AP55="","",共有用1!AP55&amp;"/"&amp;COUNTIF(共有用1!AP$2:AP55,共有用1!AP55))</f>
        <v/>
      </c>
      <c r="AQ55" s="17" t="str">
        <f>IF(共有用1!AQ55="","",共有用1!AQ55&amp;"/"&amp;COUNTIF(共有用1!AQ$2:AQ55,共有用1!AQ55))</f>
        <v/>
      </c>
      <c r="AR55" s="17" t="str">
        <f>IF(共有用1!AR55="","",共有用1!AR55&amp;"/"&amp;COUNTIF(共有用1!AR$2:AR55,共有用1!AR55))</f>
        <v/>
      </c>
      <c r="AS55" s="17" t="str">
        <f>IF(共有用1!AS55="","",共有用1!AS55&amp;"/"&amp;COUNTIF(共有用1!AS$2:AS55,共有用1!AS55))</f>
        <v/>
      </c>
      <c r="AT55" s="17" t="str">
        <f>IF(共有用1!AT55="","",共有用1!AT55&amp;"/"&amp;COUNTIF(共有用1!AT$2:AT55,共有用1!AT55))</f>
        <v/>
      </c>
      <c r="AU55" s="17" t="str">
        <f>IF(共有用1!AU55="","",共有用1!AU55&amp;"/"&amp;COUNTIF(共有用1!AU$2:AU55,共有用1!AU55))</f>
        <v/>
      </c>
      <c r="AV55" s="17" t="str">
        <f>IF(共有用1!AV55="","",共有用1!AV55&amp;"/"&amp;COUNTIF(共有用1!AV$2:AV55,共有用1!AV55))</f>
        <v/>
      </c>
      <c r="AW55" s="17" t="str">
        <f>IF(共有用1!AW55="","",共有用1!AW55&amp;"/"&amp;COUNTIF(共有用1!AW$2:AW55,共有用1!AW55))</f>
        <v/>
      </c>
      <c r="AX55" s="17" t="str">
        <f>IF(共有用1!AX55="","",共有用1!AX55&amp;"/"&amp;COUNTIF(共有用1!AX$2:AX55,共有用1!AX55))</f>
        <v/>
      </c>
      <c r="AY55" s="17" t="str">
        <f>IF(共有用1!AY55="","",共有用1!AY55&amp;"/"&amp;COUNTIF(共有用1!AY$2:AY55,共有用1!AY55))</f>
        <v/>
      </c>
      <c r="AZ55" s="17" t="str">
        <f>IF(共有用1!AZ55="","",共有用1!AZ55&amp;"/"&amp;COUNTIF(共有用1!AZ$2:AZ55,共有用1!AZ55))</f>
        <v/>
      </c>
      <c r="BA55" s="17" t="str">
        <f>IF(共有用1!BA55="","",共有用1!BA55&amp;"/"&amp;COUNTIF(共有用1!BA$2:BA55,共有用1!BA55))</f>
        <v/>
      </c>
    </row>
    <row r="56" spans="1:53">
      <c r="A56" s="2" t="str">
        <f>共有用1!A56</f>
        <v/>
      </c>
      <c r="B56" s="2" t="str">
        <f>共有用1!B56</f>
        <v/>
      </c>
      <c r="C56" s="2" t="str">
        <f>共有用1!C56</f>
        <v/>
      </c>
      <c r="D56" s="17" t="str">
        <f>IF(共有用1!D56="","",共有用1!D56&amp;"/"&amp;COUNTIF(共有用1!D$2:D56,共有用1!D56))</f>
        <v/>
      </c>
      <c r="E56" s="17" t="str">
        <f>IF(共有用1!E56="","",共有用1!E56&amp;"/"&amp;COUNTIF(共有用1!E$2:E56,共有用1!E56))</f>
        <v/>
      </c>
      <c r="F56" s="17" t="str">
        <f>IF(共有用1!F56="","",共有用1!F56&amp;"/"&amp;COUNTIF(共有用1!F$2:F56,共有用1!F56))</f>
        <v/>
      </c>
      <c r="G56" s="17" t="str">
        <f>IF(共有用1!G56="","",共有用1!G56&amp;"/"&amp;COUNTIF(共有用1!G$2:G56,共有用1!G56))</f>
        <v/>
      </c>
      <c r="H56" s="17" t="str">
        <f>IF(共有用1!H56="","",共有用1!H56&amp;"/"&amp;COUNTIF(共有用1!H$2:H56,共有用1!H56))</f>
        <v/>
      </c>
      <c r="I56" s="17" t="str">
        <f>IF(共有用1!I56="","",共有用1!I56&amp;"/"&amp;COUNTIF(共有用1!I$2:I56,共有用1!I56))</f>
        <v/>
      </c>
      <c r="J56" s="17" t="str">
        <f>IF(共有用1!J56="","",共有用1!J56&amp;"/"&amp;COUNTIF(共有用1!J$2:J56,共有用1!J56))</f>
        <v/>
      </c>
      <c r="K56" s="17" t="str">
        <f>IF(共有用1!K56="","",共有用1!K56&amp;"/"&amp;COUNTIF(共有用1!K$2:K56,共有用1!K56))</f>
        <v/>
      </c>
      <c r="L56" s="17" t="str">
        <f>IF(共有用1!L56="","",共有用1!L56&amp;"/"&amp;COUNTIF(共有用1!L$2:L56,共有用1!L56))</f>
        <v/>
      </c>
      <c r="M56" s="17" t="str">
        <f>IF(共有用1!M56="","",共有用1!M56&amp;"/"&amp;COUNTIF(共有用1!M$2:M56,共有用1!M56))</f>
        <v/>
      </c>
      <c r="N56" s="17" t="str">
        <f>IF(共有用1!N56="","",共有用1!N56&amp;"/"&amp;COUNTIF(共有用1!N$2:N56,共有用1!N56))</f>
        <v/>
      </c>
      <c r="O56" s="17" t="str">
        <f>IF(共有用1!O56="","",共有用1!O56&amp;"/"&amp;COUNTIF(共有用1!O$2:O56,共有用1!O56))</f>
        <v/>
      </c>
      <c r="P56" s="17" t="str">
        <f>IF(共有用1!P56="","",共有用1!P56&amp;"/"&amp;COUNTIF(共有用1!P$2:P56,共有用1!P56))</f>
        <v/>
      </c>
      <c r="Q56" s="17" t="str">
        <f>IF(共有用1!Q56="","",共有用1!Q56&amp;"/"&amp;COUNTIF(共有用1!Q$2:Q56,共有用1!Q56))</f>
        <v/>
      </c>
      <c r="R56" s="17" t="str">
        <f>IF(共有用1!R56="","",共有用1!R56&amp;"/"&amp;COUNTIF(共有用1!R$2:R56,共有用1!R56))</f>
        <v/>
      </c>
      <c r="S56" s="17" t="str">
        <f>IF(共有用1!S56="","",共有用1!S56&amp;"/"&amp;COUNTIF(共有用1!S$2:S56,共有用1!S56))</f>
        <v/>
      </c>
      <c r="T56" s="17" t="str">
        <f>IF(共有用1!T56="","",共有用1!T56&amp;"/"&amp;COUNTIF(共有用1!T$2:T56,共有用1!T56))</f>
        <v/>
      </c>
      <c r="U56" s="17" t="str">
        <f>IF(共有用1!U56="","",共有用1!U56&amp;"/"&amp;COUNTIF(共有用1!U$2:U56,共有用1!U56))</f>
        <v/>
      </c>
      <c r="V56" s="17" t="str">
        <f>IF(共有用1!V56="","",共有用1!V56&amp;"/"&amp;COUNTIF(共有用1!V$2:V56,共有用1!V56))</f>
        <v/>
      </c>
      <c r="W56" s="17" t="str">
        <f>IF(共有用1!W56="","",共有用1!W56&amp;"/"&amp;COUNTIF(共有用1!W$2:W56,共有用1!W56))</f>
        <v/>
      </c>
      <c r="X56" s="17" t="str">
        <f>IF(共有用1!X56="","",共有用1!X56&amp;"/"&amp;COUNTIF(共有用1!X$2:X56,共有用1!X56))</f>
        <v/>
      </c>
      <c r="Y56" s="17" t="str">
        <f>IF(共有用1!Y56="","",共有用1!Y56&amp;"/"&amp;COUNTIF(共有用1!Y$2:Y56,共有用1!Y56))</f>
        <v/>
      </c>
      <c r="Z56" s="17" t="str">
        <f>IF(共有用1!Z56="","",共有用1!Z56&amp;"/"&amp;COUNTIF(共有用1!Z$2:Z56,共有用1!Z56))</f>
        <v/>
      </c>
      <c r="AA56" s="17" t="str">
        <f>IF(共有用1!AA56="","",共有用1!AA56&amp;"/"&amp;COUNTIF(共有用1!AA$2:AA56,共有用1!AA56))</f>
        <v/>
      </c>
      <c r="AB56" s="17" t="str">
        <f>IF(共有用1!AB56="","",共有用1!AB56&amp;"/"&amp;COUNTIF(共有用1!AB$2:AB56,共有用1!AB56))</f>
        <v/>
      </c>
      <c r="AC56" s="17" t="str">
        <f>IF(共有用1!AC56="","",共有用1!AC56&amp;"/"&amp;COUNTIF(共有用1!AC$2:AC56,共有用1!AC56))</f>
        <v/>
      </c>
      <c r="AD56" s="17" t="str">
        <f>IF(共有用1!AD56="","",共有用1!AD56&amp;"/"&amp;COUNTIF(共有用1!AD$2:AD56,共有用1!AD56))</f>
        <v/>
      </c>
      <c r="AE56" s="17" t="str">
        <f>IF(共有用1!AE56="","",共有用1!AE56&amp;"/"&amp;COUNTIF(共有用1!AE$2:AE56,共有用1!AE56))</f>
        <v/>
      </c>
      <c r="AF56" s="17" t="str">
        <f>IF(共有用1!AF56="","",共有用1!AF56&amp;"/"&amp;COUNTIF(共有用1!AF$2:AF56,共有用1!AF56))</f>
        <v/>
      </c>
      <c r="AG56" s="17" t="str">
        <f>IF(共有用1!AG56="","",共有用1!AG56&amp;"/"&amp;COUNTIF(共有用1!AG$2:AG56,共有用1!AG56))</f>
        <v/>
      </c>
      <c r="AH56" s="17" t="str">
        <f>IF(共有用1!AH56="","",共有用1!AH56&amp;"/"&amp;COUNTIF(共有用1!AH$2:AH56,共有用1!AH56))</f>
        <v/>
      </c>
      <c r="AI56" s="17" t="str">
        <f>IF(共有用1!AI56="","",共有用1!AI56&amp;"/"&amp;COUNTIF(共有用1!AI$2:AI56,共有用1!AI56))</f>
        <v/>
      </c>
      <c r="AJ56" s="17" t="str">
        <f>IF(共有用1!AJ56="","",共有用1!AJ56&amp;"/"&amp;COUNTIF(共有用1!AJ$2:AJ56,共有用1!AJ56))</f>
        <v/>
      </c>
      <c r="AK56" s="17" t="str">
        <f>IF(共有用1!AK56="","",共有用1!AK56&amp;"/"&amp;COUNTIF(共有用1!AK$2:AK56,共有用1!AK56))</f>
        <v/>
      </c>
      <c r="AL56" s="17" t="str">
        <f>IF(共有用1!AL56="","",共有用1!AL56&amp;"/"&amp;COUNTIF(共有用1!AL$2:AL56,共有用1!AL56))</f>
        <v/>
      </c>
      <c r="AM56" s="17" t="str">
        <f>IF(共有用1!AM56="","",共有用1!AM56&amp;"/"&amp;COUNTIF(共有用1!AM$2:AM56,共有用1!AM56))</f>
        <v/>
      </c>
      <c r="AN56" s="17" t="str">
        <f>IF(共有用1!AN56="","",共有用1!AN56&amp;"/"&amp;COUNTIF(共有用1!AN$2:AN56,共有用1!AN56))</f>
        <v/>
      </c>
      <c r="AO56" s="17" t="str">
        <f>IF(共有用1!AO56="","",共有用1!AO56&amp;"/"&amp;COUNTIF(共有用1!AO$2:AO56,共有用1!AO56))</f>
        <v/>
      </c>
      <c r="AP56" s="17" t="str">
        <f>IF(共有用1!AP56="","",共有用1!AP56&amp;"/"&amp;COUNTIF(共有用1!AP$2:AP56,共有用1!AP56))</f>
        <v/>
      </c>
      <c r="AQ56" s="17" t="str">
        <f>IF(共有用1!AQ56="","",共有用1!AQ56&amp;"/"&amp;COUNTIF(共有用1!AQ$2:AQ56,共有用1!AQ56))</f>
        <v/>
      </c>
      <c r="AR56" s="17" t="str">
        <f>IF(共有用1!AR56="","",共有用1!AR56&amp;"/"&amp;COUNTIF(共有用1!AR$2:AR56,共有用1!AR56))</f>
        <v/>
      </c>
      <c r="AS56" s="17" t="str">
        <f>IF(共有用1!AS56="","",共有用1!AS56&amp;"/"&amp;COUNTIF(共有用1!AS$2:AS56,共有用1!AS56))</f>
        <v/>
      </c>
      <c r="AT56" s="17" t="str">
        <f>IF(共有用1!AT56="","",共有用1!AT56&amp;"/"&amp;COUNTIF(共有用1!AT$2:AT56,共有用1!AT56))</f>
        <v/>
      </c>
      <c r="AU56" s="17" t="str">
        <f>IF(共有用1!AU56="","",共有用1!AU56&amp;"/"&amp;COUNTIF(共有用1!AU$2:AU56,共有用1!AU56))</f>
        <v/>
      </c>
      <c r="AV56" s="17" t="str">
        <f>IF(共有用1!AV56="","",共有用1!AV56&amp;"/"&amp;COUNTIF(共有用1!AV$2:AV56,共有用1!AV56))</f>
        <v/>
      </c>
      <c r="AW56" s="17" t="str">
        <f>IF(共有用1!AW56="","",共有用1!AW56&amp;"/"&amp;COUNTIF(共有用1!AW$2:AW56,共有用1!AW56))</f>
        <v/>
      </c>
      <c r="AX56" s="17" t="str">
        <f>IF(共有用1!AX56="","",共有用1!AX56&amp;"/"&amp;COUNTIF(共有用1!AX$2:AX56,共有用1!AX56))</f>
        <v/>
      </c>
      <c r="AY56" s="17" t="str">
        <f>IF(共有用1!AY56="","",共有用1!AY56&amp;"/"&amp;COUNTIF(共有用1!AY$2:AY56,共有用1!AY56))</f>
        <v/>
      </c>
      <c r="AZ56" s="17" t="str">
        <f>IF(共有用1!AZ56="","",共有用1!AZ56&amp;"/"&amp;COUNTIF(共有用1!AZ$2:AZ56,共有用1!AZ56))</f>
        <v/>
      </c>
      <c r="BA56" s="17" t="str">
        <f>IF(共有用1!BA56="","",共有用1!BA56&amp;"/"&amp;COUNTIF(共有用1!BA$2:BA56,共有用1!BA56))</f>
        <v/>
      </c>
    </row>
    <row r="57" spans="1:53">
      <c r="A57" s="2" t="str">
        <f>共有用1!A57</f>
        <v/>
      </c>
      <c r="B57" s="2" t="str">
        <f>共有用1!B57</f>
        <v/>
      </c>
      <c r="C57" s="2" t="str">
        <f>共有用1!C57</f>
        <v/>
      </c>
      <c r="D57" s="17" t="str">
        <f>IF(共有用1!D57="","",共有用1!D57&amp;"/"&amp;COUNTIF(共有用1!D$2:D57,共有用1!D57))</f>
        <v/>
      </c>
      <c r="E57" s="17" t="str">
        <f>IF(共有用1!E57="","",共有用1!E57&amp;"/"&amp;COUNTIF(共有用1!E$2:E57,共有用1!E57))</f>
        <v/>
      </c>
      <c r="F57" s="17" t="str">
        <f>IF(共有用1!F57="","",共有用1!F57&amp;"/"&amp;COUNTIF(共有用1!F$2:F57,共有用1!F57))</f>
        <v/>
      </c>
      <c r="G57" s="17" t="str">
        <f>IF(共有用1!G57="","",共有用1!G57&amp;"/"&amp;COUNTIF(共有用1!G$2:G57,共有用1!G57))</f>
        <v/>
      </c>
      <c r="H57" s="17" t="str">
        <f>IF(共有用1!H57="","",共有用1!H57&amp;"/"&amp;COUNTIF(共有用1!H$2:H57,共有用1!H57))</f>
        <v/>
      </c>
      <c r="I57" s="17" t="str">
        <f>IF(共有用1!I57="","",共有用1!I57&amp;"/"&amp;COUNTIF(共有用1!I$2:I57,共有用1!I57))</f>
        <v/>
      </c>
      <c r="J57" s="17" t="str">
        <f>IF(共有用1!J57="","",共有用1!J57&amp;"/"&amp;COUNTIF(共有用1!J$2:J57,共有用1!J57))</f>
        <v/>
      </c>
      <c r="K57" s="17" t="str">
        <f>IF(共有用1!K57="","",共有用1!K57&amp;"/"&amp;COUNTIF(共有用1!K$2:K57,共有用1!K57))</f>
        <v/>
      </c>
      <c r="L57" s="17" t="str">
        <f>IF(共有用1!L57="","",共有用1!L57&amp;"/"&amp;COUNTIF(共有用1!L$2:L57,共有用1!L57))</f>
        <v/>
      </c>
      <c r="M57" s="17" t="str">
        <f>IF(共有用1!M57="","",共有用1!M57&amp;"/"&amp;COUNTIF(共有用1!M$2:M57,共有用1!M57))</f>
        <v/>
      </c>
      <c r="N57" s="17" t="str">
        <f>IF(共有用1!N57="","",共有用1!N57&amp;"/"&amp;COUNTIF(共有用1!N$2:N57,共有用1!N57))</f>
        <v/>
      </c>
      <c r="O57" s="17" t="str">
        <f>IF(共有用1!O57="","",共有用1!O57&amp;"/"&amp;COUNTIF(共有用1!O$2:O57,共有用1!O57))</f>
        <v/>
      </c>
      <c r="P57" s="17" t="str">
        <f>IF(共有用1!P57="","",共有用1!P57&amp;"/"&amp;COUNTIF(共有用1!P$2:P57,共有用1!P57))</f>
        <v/>
      </c>
      <c r="Q57" s="17" t="str">
        <f>IF(共有用1!Q57="","",共有用1!Q57&amp;"/"&amp;COUNTIF(共有用1!Q$2:Q57,共有用1!Q57))</f>
        <v/>
      </c>
      <c r="R57" s="17" t="str">
        <f>IF(共有用1!R57="","",共有用1!R57&amp;"/"&amp;COUNTIF(共有用1!R$2:R57,共有用1!R57))</f>
        <v/>
      </c>
      <c r="S57" s="17" t="str">
        <f>IF(共有用1!S57="","",共有用1!S57&amp;"/"&amp;COUNTIF(共有用1!S$2:S57,共有用1!S57))</f>
        <v/>
      </c>
      <c r="T57" s="17" t="str">
        <f>IF(共有用1!T57="","",共有用1!T57&amp;"/"&amp;COUNTIF(共有用1!T$2:T57,共有用1!T57))</f>
        <v/>
      </c>
      <c r="U57" s="17" t="str">
        <f>IF(共有用1!U57="","",共有用1!U57&amp;"/"&amp;COUNTIF(共有用1!U$2:U57,共有用1!U57))</f>
        <v/>
      </c>
      <c r="V57" s="17" t="str">
        <f>IF(共有用1!V57="","",共有用1!V57&amp;"/"&amp;COUNTIF(共有用1!V$2:V57,共有用1!V57))</f>
        <v/>
      </c>
      <c r="W57" s="17" t="str">
        <f>IF(共有用1!W57="","",共有用1!W57&amp;"/"&amp;COUNTIF(共有用1!W$2:W57,共有用1!W57))</f>
        <v/>
      </c>
      <c r="X57" s="17" t="str">
        <f>IF(共有用1!X57="","",共有用1!X57&amp;"/"&amp;COUNTIF(共有用1!X$2:X57,共有用1!X57))</f>
        <v/>
      </c>
      <c r="Y57" s="17" t="str">
        <f>IF(共有用1!Y57="","",共有用1!Y57&amp;"/"&amp;COUNTIF(共有用1!Y$2:Y57,共有用1!Y57))</f>
        <v/>
      </c>
      <c r="Z57" s="17" t="str">
        <f>IF(共有用1!Z57="","",共有用1!Z57&amp;"/"&amp;COUNTIF(共有用1!Z$2:Z57,共有用1!Z57))</f>
        <v/>
      </c>
      <c r="AA57" s="17" t="str">
        <f>IF(共有用1!AA57="","",共有用1!AA57&amp;"/"&amp;COUNTIF(共有用1!AA$2:AA57,共有用1!AA57))</f>
        <v/>
      </c>
      <c r="AB57" s="17" t="str">
        <f>IF(共有用1!AB57="","",共有用1!AB57&amp;"/"&amp;COUNTIF(共有用1!AB$2:AB57,共有用1!AB57))</f>
        <v/>
      </c>
      <c r="AC57" s="17" t="str">
        <f>IF(共有用1!AC57="","",共有用1!AC57&amp;"/"&amp;COUNTIF(共有用1!AC$2:AC57,共有用1!AC57))</f>
        <v/>
      </c>
      <c r="AD57" s="17" t="str">
        <f>IF(共有用1!AD57="","",共有用1!AD57&amp;"/"&amp;COUNTIF(共有用1!AD$2:AD57,共有用1!AD57))</f>
        <v/>
      </c>
      <c r="AE57" s="17" t="str">
        <f>IF(共有用1!AE57="","",共有用1!AE57&amp;"/"&amp;COUNTIF(共有用1!AE$2:AE57,共有用1!AE57))</f>
        <v/>
      </c>
      <c r="AF57" s="17" t="str">
        <f>IF(共有用1!AF57="","",共有用1!AF57&amp;"/"&amp;COUNTIF(共有用1!AF$2:AF57,共有用1!AF57))</f>
        <v/>
      </c>
      <c r="AG57" s="17" t="str">
        <f>IF(共有用1!AG57="","",共有用1!AG57&amp;"/"&amp;COUNTIF(共有用1!AG$2:AG57,共有用1!AG57))</f>
        <v/>
      </c>
      <c r="AH57" s="17" t="str">
        <f>IF(共有用1!AH57="","",共有用1!AH57&amp;"/"&amp;COUNTIF(共有用1!AH$2:AH57,共有用1!AH57))</f>
        <v/>
      </c>
      <c r="AI57" s="17" t="str">
        <f>IF(共有用1!AI57="","",共有用1!AI57&amp;"/"&amp;COUNTIF(共有用1!AI$2:AI57,共有用1!AI57))</f>
        <v/>
      </c>
      <c r="AJ57" s="17" t="str">
        <f>IF(共有用1!AJ57="","",共有用1!AJ57&amp;"/"&amp;COUNTIF(共有用1!AJ$2:AJ57,共有用1!AJ57))</f>
        <v/>
      </c>
      <c r="AK57" s="17" t="str">
        <f>IF(共有用1!AK57="","",共有用1!AK57&amp;"/"&amp;COUNTIF(共有用1!AK$2:AK57,共有用1!AK57))</f>
        <v/>
      </c>
      <c r="AL57" s="17" t="str">
        <f>IF(共有用1!AL57="","",共有用1!AL57&amp;"/"&amp;COUNTIF(共有用1!AL$2:AL57,共有用1!AL57))</f>
        <v/>
      </c>
      <c r="AM57" s="17" t="str">
        <f>IF(共有用1!AM57="","",共有用1!AM57&amp;"/"&amp;COUNTIF(共有用1!AM$2:AM57,共有用1!AM57))</f>
        <v/>
      </c>
      <c r="AN57" s="17" t="str">
        <f>IF(共有用1!AN57="","",共有用1!AN57&amp;"/"&amp;COUNTIF(共有用1!AN$2:AN57,共有用1!AN57))</f>
        <v/>
      </c>
      <c r="AO57" s="17" t="str">
        <f>IF(共有用1!AO57="","",共有用1!AO57&amp;"/"&amp;COUNTIF(共有用1!AO$2:AO57,共有用1!AO57))</f>
        <v/>
      </c>
      <c r="AP57" s="17" t="str">
        <f>IF(共有用1!AP57="","",共有用1!AP57&amp;"/"&amp;COUNTIF(共有用1!AP$2:AP57,共有用1!AP57))</f>
        <v/>
      </c>
      <c r="AQ57" s="17" t="str">
        <f>IF(共有用1!AQ57="","",共有用1!AQ57&amp;"/"&amp;COUNTIF(共有用1!AQ$2:AQ57,共有用1!AQ57))</f>
        <v/>
      </c>
      <c r="AR57" s="17" t="str">
        <f>IF(共有用1!AR57="","",共有用1!AR57&amp;"/"&amp;COUNTIF(共有用1!AR$2:AR57,共有用1!AR57))</f>
        <v/>
      </c>
      <c r="AS57" s="17" t="str">
        <f>IF(共有用1!AS57="","",共有用1!AS57&amp;"/"&amp;COUNTIF(共有用1!AS$2:AS57,共有用1!AS57))</f>
        <v/>
      </c>
      <c r="AT57" s="17" t="str">
        <f>IF(共有用1!AT57="","",共有用1!AT57&amp;"/"&amp;COUNTIF(共有用1!AT$2:AT57,共有用1!AT57))</f>
        <v/>
      </c>
      <c r="AU57" s="17" t="str">
        <f>IF(共有用1!AU57="","",共有用1!AU57&amp;"/"&amp;COUNTIF(共有用1!AU$2:AU57,共有用1!AU57))</f>
        <v/>
      </c>
      <c r="AV57" s="17" t="str">
        <f>IF(共有用1!AV57="","",共有用1!AV57&amp;"/"&amp;COUNTIF(共有用1!AV$2:AV57,共有用1!AV57))</f>
        <v/>
      </c>
      <c r="AW57" s="17" t="str">
        <f>IF(共有用1!AW57="","",共有用1!AW57&amp;"/"&amp;COUNTIF(共有用1!AW$2:AW57,共有用1!AW57))</f>
        <v/>
      </c>
      <c r="AX57" s="17" t="str">
        <f>IF(共有用1!AX57="","",共有用1!AX57&amp;"/"&amp;COUNTIF(共有用1!AX$2:AX57,共有用1!AX57))</f>
        <v/>
      </c>
      <c r="AY57" s="17" t="str">
        <f>IF(共有用1!AY57="","",共有用1!AY57&amp;"/"&amp;COUNTIF(共有用1!AY$2:AY57,共有用1!AY57))</f>
        <v/>
      </c>
      <c r="AZ57" s="17" t="str">
        <f>IF(共有用1!AZ57="","",共有用1!AZ57&amp;"/"&amp;COUNTIF(共有用1!AZ$2:AZ57,共有用1!AZ57))</f>
        <v/>
      </c>
      <c r="BA57" s="17" t="str">
        <f>IF(共有用1!BA57="","",共有用1!BA57&amp;"/"&amp;COUNTIF(共有用1!BA$2:BA57,共有用1!BA57))</f>
        <v/>
      </c>
    </row>
    <row r="58" spans="1:53">
      <c r="A58" s="2" t="str">
        <f>共有用1!A58</f>
        <v/>
      </c>
      <c r="B58" s="2" t="str">
        <f>共有用1!B58</f>
        <v/>
      </c>
      <c r="C58" s="2" t="str">
        <f>共有用1!C58</f>
        <v/>
      </c>
      <c r="D58" s="17" t="str">
        <f>IF(共有用1!D58="","",共有用1!D58&amp;"/"&amp;COUNTIF(共有用1!D$2:D58,共有用1!D58))</f>
        <v/>
      </c>
      <c r="E58" s="17" t="str">
        <f>IF(共有用1!E58="","",共有用1!E58&amp;"/"&amp;COUNTIF(共有用1!E$2:E58,共有用1!E58))</f>
        <v/>
      </c>
      <c r="F58" s="17" t="str">
        <f>IF(共有用1!F58="","",共有用1!F58&amp;"/"&amp;COUNTIF(共有用1!F$2:F58,共有用1!F58))</f>
        <v/>
      </c>
      <c r="G58" s="17" t="str">
        <f>IF(共有用1!G58="","",共有用1!G58&amp;"/"&amp;COUNTIF(共有用1!G$2:G58,共有用1!G58))</f>
        <v/>
      </c>
      <c r="H58" s="17" t="str">
        <f>IF(共有用1!H58="","",共有用1!H58&amp;"/"&amp;COUNTIF(共有用1!H$2:H58,共有用1!H58))</f>
        <v/>
      </c>
      <c r="I58" s="17" t="str">
        <f>IF(共有用1!I58="","",共有用1!I58&amp;"/"&amp;COUNTIF(共有用1!I$2:I58,共有用1!I58))</f>
        <v/>
      </c>
      <c r="J58" s="17" t="str">
        <f>IF(共有用1!J58="","",共有用1!J58&amp;"/"&amp;COUNTIF(共有用1!J$2:J58,共有用1!J58))</f>
        <v/>
      </c>
      <c r="K58" s="17" t="str">
        <f>IF(共有用1!K58="","",共有用1!K58&amp;"/"&amp;COUNTIF(共有用1!K$2:K58,共有用1!K58))</f>
        <v/>
      </c>
      <c r="L58" s="17" t="str">
        <f>IF(共有用1!L58="","",共有用1!L58&amp;"/"&amp;COUNTIF(共有用1!L$2:L58,共有用1!L58))</f>
        <v/>
      </c>
      <c r="M58" s="17" t="str">
        <f>IF(共有用1!M58="","",共有用1!M58&amp;"/"&amp;COUNTIF(共有用1!M$2:M58,共有用1!M58))</f>
        <v/>
      </c>
      <c r="N58" s="17" t="str">
        <f>IF(共有用1!N58="","",共有用1!N58&amp;"/"&amp;COUNTIF(共有用1!N$2:N58,共有用1!N58))</f>
        <v/>
      </c>
      <c r="O58" s="17" t="str">
        <f>IF(共有用1!O58="","",共有用1!O58&amp;"/"&amp;COUNTIF(共有用1!O$2:O58,共有用1!O58))</f>
        <v/>
      </c>
      <c r="P58" s="17" t="str">
        <f>IF(共有用1!P58="","",共有用1!P58&amp;"/"&amp;COUNTIF(共有用1!P$2:P58,共有用1!P58))</f>
        <v/>
      </c>
      <c r="Q58" s="17" t="str">
        <f>IF(共有用1!Q58="","",共有用1!Q58&amp;"/"&amp;COUNTIF(共有用1!Q$2:Q58,共有用1!Q58))</f>
        <v/>
      </c>
      <c r="R58" s="17" t="str">
        <f>IF(共有用1!R58="","",共有用1!R58&amp;"/"&amp;COUNTIF(共有用1!R$2:R58,共有用1!R58))</f>
        <v/>
      </c>
      <c r="S58" s="17" t="str">
        <f>IF(共有用1!S58="","",共有用1!S58&amp;"/"&amp;COUNTIF(共有用1!S$2:S58,共有用1!S58))</f>
        <v/>
      </c>
      <c r="T58" s="17" t="str">
        <f>IF(共有用1!T58="","",共有用1!T58&amp;"/"&amp;COUNTIF(共有用1!T$2:T58,共有用1!T58))</f>
        <v/>
      </c>
      <c r="U58" s="17" t="str">
        <f>IF(共有用1!U58="","",共有用1!U58&amp;"/"&amp;COUNTIF(共有用1!U$2:U58,共有用1!U58))</f>
        <v/>
      </c>
      <c r="V58" s="17" t="str">
        <f>IF(共有用1!V58="","",共有用1!V58&amp;"/"&amp;COUNTIF(共有用1!V$2:V58,共有用1!V58))</f>
        <v/>
      </c>
      <c r="W58" s="17" t="str">
        <f>IF(共有用1!W58="","",共有用1!W58&amp;"/"&amp;COUNTIF(共有用1!W$2:W58,共有用1!W58))</f>
        <v/>
      </c>
      <c r="X58" s="17" t="str">
        <f>IF(共有用1!X58="","",共有用1!X58&amp;"/"&amp;COUNTIF(共有用1!X$2:X58,共有用1!X58))</f>
        <v/>
      </c>
      <c r="Y58" s="17" t="str">
        <f>IF(共有用1!Y58="","",共有用1!Y58&amp;"/"&amp;COUNTIF(共有用1!Y$2:Y58,共有用1!Y58))</f>
        <v/>
      </c>
      <c r="Z58" s="17" t="str">
        <f>IF(共有用1!Z58="","",共有用1!Z58&amp;"/"&amp;COUNTIF(共有用1!Z$2:Z58,共有用1!Z58))</f>
        <v/>
      </c>
      <c r="AA58" s="17" t="str">
        <f>IF(共有用1!AA58="","",共有用1!AA58&amp;"/"&amp;COUNTIF(共有用1!AA$2:AA58,共有用1!AA58))</f>
        <v/>
      </c>
      <c r="AB58" s="17" t="str">
        <f>IF(共有用1!AB58="","",共有用1!AB58&amp;"/"&amp;COUNTIF(共有用1!AB$2:AB58,共有用1!AB58))</f>
        <v/>
      </c>
      <c r="AC58" s="17" t="str">
        <f>IF(共有用1!AC58="","",共有用1!AC58&amp;"/"&amp;COUNTIF(共有用1!AC$2:AC58,共有用1!AC58))</f>
        <v/>
      </c>
      <c r="AD58" s="17" t="str">
        <f>IF(共有用1!AD58="","",共有用1!AD58&amp;"/"&amp;COUNTIF(共有用1!AD$2:AD58,共有用1!AD58))</f>
        <v/>
      </c>
      <c r="AE58" s="17" t="str">
        <f>IF(共有用1!AE58="","",共有用1!AE58&amp;"/"&amp;COUNTIF(共有用1!AE$2:AE58,共有用1!AE58))</f>
        <v/>
      </c>
      <c r="AF58" s="17" t="str">
        <f>IF(共有用1!AF58="","",共有用1!AF58&amp;"/"&amp;COUNTIF(共有用1!AF$2:AF58,共有用1!AF58))</f>
        <v/>
      </c>
      <c r="AG58" s="17" t="str">
        <f>IF(共有用1!AG58="","",共有用1!AG58&amp;"/"&amp;COUNTIF(共有用1!AG$2:AG58,共有用1!AG58))</f>
        <v/>
      </c>
      <c r="AH58" s="17" t="str">
        <f>IF(共有用1!AH58="","",共有用1!AH58&amp;"/"&amp;COUNTIF(共有用1!AH$2:AH58,共有用1!AH58))</f>
        <v/>
      </c>
      <c r="AI58" s="17" t="str">
        <f>IF(共有用1!AI58="","",共有用1!AI58&amp;"/"&amp;COUNTIF(共有用1!AI$2:AI58,共有用1!AI58))</f>
        <v/>
      </c>
      <c r="AJ58" s="17" t="str">
        <f>IF(共有用1!AJ58="","",共有用1!AJ58&amp;"/"&amp;COUNTIF(共有用1!AJ$2:AJ58,共有用1!AJ58))</f>
        <v/>
      </c>
      <c r="AK58" s="17" t="str">
        <f>IF(共有用1!AK58="","",共有用1!AK58&amp;"/"&amp;COUNTIF(共有用1!AK$2:AK58,共有用1!AK58))</f>
        <v/>
      </c>
      <c r="AL58" s="17" t="str">
        <f>IF(共有用1!AL58="","",共有用1!AL58&amp;"/"&amp;COUNTIF(共有用1!AL$2:AL58,共有用1!AL58))</f>
        <v/>
      </c>
      <c r="AM58" s="17" t="str">
        <f>IF(共有用1!AM58="","",共有用1!AM58&amp;"/"&amp;COUNTIF(共有用1!AM$2:AM58,共有用1!AM58))</f>
        <v/>
      </c>
      <c r="AN58" s="17" t="str">
        <f>IF(共有用1!AN58="","",共有用1!AN58&amp;"/"&amp;COUNTIF(共有用1!AN$2:AN58,共有用1!AN58))</f>
        <v/>
      </c>
      <c r="AO58" s="17" t="str">
        <f>IF(共有用1!AO58="","",共有用1!AO58&amp;"/"&amp;COUNTIF(共有用1!AO$2:AO58,共有用1!AO58))</f>
        <v/>
      </c>
      <c r="AP58" s="17" t="str">
        <f>IF(共有用1!AP58="","",共有用1!AP58&amp;"/"&amp;COUNTIF(共有用1!AP$2:AP58,共有用1!AP58))</f>
        <v/>
      </c>
      <c r="AQ58" s="17" t="str">
        <f>IF(共有用1!AQ58="","",共有用1!AQ58&amp;"/"&amp;COUNTIF(共有用1!AQ$2:AQ58,共有用1!AQ58))</f>
        <v/>
      </c>
      <c r="AR58" s="17" t="str">
        <f>IF(共有用1!AR58="","",共有用1!AR58&amp;"/"&amp;COUNTIF(共有用1!AR$2:AR58,共有用1!AR58))</f>
        <v/>
      </c>
      <c r="AS58" s="17" t="str">
        <f>IF(共有用1!AS58="","",共有用1!AS58&amp;"/"&amp;COUNTIF(共有用1!AS$2:AS58,共有用1!AS58))</f>
        <v/>
      </c>
      <c r="AT58" s="17" t="str">
        <f>IF(共有用1!AT58="","",共有用1!AT58&amp;"/"&amp;COUNTIF(共有用1!AT$2:AT58,共有用1!AT58))</f>
        <v/>
      </c>
      <c r="AU58" s="17" t="str">
        <f>IF(共有用1!AU58="","",共有用1!AU58&amp;"/"&amp;COUNTIF(共有用1!AU$2:AU58,共有用1!AU58))</f>
        <v/>
      </c>
      <c r="AV58" s="17" t="str">
        <f>IF(共有用1!AV58="","",共有用1!AV58&amp;"/"&amp;COUNTIF(共有用1!AV$2:AV58,共有用1!AV58))</f>
        <v/>
      </c>
      <c r="AW58" s="17" t="str">
        <f>IF(共有用1!AW58="","",共有用1!AW58&amp;"/"&amp;COUNTIF(共有用1!AW$2:AW58,共有用1!AW58))</f>
        <v/>
      </c>
      <c r="AX58" s="17" t="str">
        <f>IF(共有用1!AX58="","",共有用1!AX58&amp;"/"&amp;COUNTIF(共有用1!AX$2:AX58,共有用1!AX58))</f>
        <v/>
      </c>
      <c r="AY58" s="17" t="str">
        <f>IF(共有用1!AY58="","",共有用1!AY58&amp;"/"&amp;COUNTIF(共有用1!AY$2:AY58,共有用1!AY58))</f>
        <v/>
      </c>
      <c r="AZ58" s="17" t="str">
        <f>IF(共有用1!AZ58="","",共有用1!AZ58&amp;"/"&amp;COUNTIF(共有用1!AZ$2:AZ58,共有用1!AZ58))</f>
        <v/>
      </c>
      <c r="BA58" s="17" t="str">
        <f>IF(共有用1!BA58="","",共有用1!BA58&amp;"/"&amp;COUNTIF(共有用1!BA$2:BA58,共有用1!BA58))</f>
        <v/>
      </c>
    </row>
    <row r="59" spans="1:53">
      <c r="A59" s="2" t="str">
        <f>共有用1!A59</f>
        <v/>
      </c>
      <c r="B59" s="2" t="str">
        <f>共有用1!B59</f>
        <v/>
      </c>
      <c r="C59" s="2" t="str">
        <f>共有用1!C59</f>
        <v/>
      </c>
      <c r="D59" s="17" t="str">
        <f>IF(共有用1!D59="","",共有用1!D59&amp;"/"&amp;COUNTIF(共有用1!D$2:D59,共有用1!D59))</f>
        <v/>
      </c>
      <c r="E59" s="17" t="str">
        <f>IF(共有用1!E59="","",共有用1!E59&amp;"/"&amp;COUNTIF(共有用1!E$2:E59,共有用1!E59))</f>
        <v/>
      </c>
      <c r="F59" s="17" t="str">
        <f>IF(共有用1!F59="","",共有用1!F59&amp;"/"&amp;COUNTIF(共有用1!F$2:F59,共有用1!F59))</f>
        <v/>
      </c>
      <c r="G59" s="17" t="str">
        <f>IF(共有用1!G59="","",共有用1!G59&amp;"/"&amp;COUNTIF(共有用1!G$2:G59,共有用1!G59))</f>
        <v/>
      </c>
      <c r="H59" s="17" t="str">
        <f>IF(共有用1!H59="","",共有用1!H59&amp;"/"&amp;COUNTIF(共有用1!H$2:H59,共有用1!H59))</f>
        <v/>
      </c>
      <c r="I59" s="17" t="str">
        <f>IF(共有用1!I59="","",共有用1!I59&amp;"/"&amp;COUNTIF(共有用1!I$2:I59,共有用1!I59))</f>
        <v/>
      </c>
      <c r="J59" s="17" t="str">
        <f>IF(共有用1!J59="","",共有用1!J59&amp;"/"&amp;COUNTIF(共有用1!J$2:J59,共有用1!J59))</f>
        <v/>
      </c>
      <c r="K59" s="17" t="str">
        <f>IF(共有用1!K59="","",共有用1!K59&amp;"/"&amp;COUNTIF(共有用1!K$2:K59,共有用1!K59))</f>
        <v/>
      </c>
      <c r="L59" s="17" t="str">
        <f>IF(共有用1!L59="","",共有用1!L59&amp;"/"&amp;COUNTIF(共有用1!L$2:L59,共有用1!L59))</f>
        <v/>
      </c>
      <c r="M59" s="17" t="str">
        <f>IF(共有用1!M59="","",共有用1!M59&amp;"/"&amp;COUNTIF(共有用1!M$2:M59,共有用1!M59))</f>
        <v/>
      </c>
      <c r="N59" s="17" t="str">
        <f>IF(共有用1!N59="","",共有用1!N59&amp;"/"&amp;COUNTIF(共有用1!N$2:N59,共有用1!N59))</f>
        <v/>
      </c>
      <c r="O59" s="17" t="str">
        <f>IF(共有用1!O59="","",共有用1!O59&amp;"/"&amp;COUNTIF(共有用1!O$2:O59,共有用1!O59))</f>
        <v/>
      </c>
      <c r="P59" s="17" t="str">
        <f>IF(共有用1!P59="","",共有用1!P59&amp;"/"&amp;COUNTIF(共有用1!P$2:P59,共有用1!P59))</f>
        <v/>
      </c>
      <c r="Q59" s="17" t="str">
        <f>IF(共有用1!Q59="","",共有用1!Q59&amp;"/"&amp;COUNTIF(共有用1!Q$2:Q59,共有用1!Q59))</f>
        <v/>
      </c>
      <c r="R59" s="17" t="str">
        <f>IF(共有用1!R59="","",共有用1!R59&amp;"/"&amp;COUNTIF(共有用1!R$2:R59,共有用1!R59))</f>
        <v/>
      </c>
      <c r="S59" s="17" t="str">
        <f>IF(共有用1!S59="","",共有用1!S59&amp;"/"&amp;COUNTIF(共有用1!S$2:S59,共有用1!S59))</f>
        <v/>
      </c>
      <c r="T59" s="17" t="str">
        <f>IF(共有用1!T59="","",共有用1!T59&amp;"/"&amp;COUNTIF(共有用1!T$2:T59,共有用1!T59))</f>
        <v/>
      </c>
      <c r="U59" s="17" t="str">
        <f>IF(共有用1!U59="","",共有用1!U59&amp;"/"&amp;COUNTIF(共有用1!U$2:U59,共有用1!U59))</f>
        <v/>
      </c>
      <c r="V59" s="17" t="str">
        <f>IF(共有用1!V59="","",共有用1!V59&amp;"/"&amp;COUNTIF(共有用1!V$2:V59,共有用1!V59))</f>
        <v/>
      </c>
      <c r="W59" s="17" t="str">
        <f>IF(共有用1!W59="","",共有用1!W59&amp;"/"&amp;COUNTIF(共有用1!W$2:W59,共有用1!W59))</f>
        <v/>
      </c>
      <c r="X59" s="17" t="str">
        <f>IF(共有用1!X59="","",共有用1!X59&amp;"/"&amp;COUNTIF(共有用1!X$2:X59,共有用1!X59))</f>
        <v/>
      </c>
      <c r="Y59" s="17" t="str">
        <f>IF(共有用1!Y59="","",共有用1!Y59&amp;"/"&amp;COUNTIF(共有用1!Y$2:Y59,共有用1!Y59))</f>
        <v/>
      </c>
      <c r="Z59" s="17" t="str">
        <f>IF(共有用1!Z59="","",共有用1!Z59&amp;"/"&amp;COUNTIF(共有用1!Z$2:Z59,共有用1!Z59))</f>
        <v/>
      </c>
      <c r="AA59" s="17" t="str">
        <f>IF(共有用1!AA59="","",共有用1!AA59&amp;"/"&amp;COUNTIF(共有用1!AA$2:AA59,共有用1!AA59))</f>
        <v/>
      </c>
      <c r="AB59" s="17" t="str">
        <f>IF(共有用1!AB59="","",共有用1!AB59&amp;"/"&amp;COUNTIF(共有用1!AB$2:AB59,共有用1!AB59))</f>
        <v/>
      </c>
      <c r="AC59" s="17" t="str">
        <f>IF(共有用1!AC59="","",共有用1!AC59&amp;"/"&amp;COUNTIF(共有用1!AC$2:AC59,共有用1!AC59))</f>
        <v/>
      </c>
      <c r="AD59" s="17" t="str">
        <f>IF(共有用1!AD59="","",共有用1!AD59&amp;"/"&amp;COUNTIF(共有用1!AD$2:AD59,共有用1!AD59))</f>
        <v/>
      </c>
      <c r="AE59" s="17" t="str">
        <f>IF(共有用1!AE59="","",共有用1!AE59&amp;"/"&amp;COUNTIF(共有用1!AE$2:AE59,共有用1!AE59))</f>
        <v/>
      </c>
      <c r="AF59" s="17" t="str">
        <f>IF(共有用1!AF59="","",共有用1!AF59&amp;"/"&amp;COUNTIF(共有用1!AF$2:AF59,共有用1!AF59))</f>
        <v/>
      </c>
      <c r="AG59" s="17" t="str">
        <f>IF(共有用1!AG59="","",共有用1!AG59&amp;"/"&amp;COUNTIF(共有用1!AG$2:AG59,共有用1!AG59))</f>
        <v/>
      </c>
      <c r="AH59" s="17" t="str">
        <f>IF(共有用1!AH59="","",共有用1!AH59&amp;"/"&amp;COUNTIF(共有用1!AH$2:AH59,共有用1!AH59))</f>
        <v/>
      </c>
      <c r="AI59" s="17" t="str">
        <f>IF(共有用1!AI59="","",共有用1!AI59&amp;"/"&amp;COUNTIF(共有用1!AI$2:AI59,共有用1!AI59))</f>
        <v/>
      </c>
      <c r="AJ59" s="17" t="str">
        <f>IF(共有用1!AJ59="","",共有用1!AJ59&amp;"/"&amp;COUNTIF(共有用1!AJ$2:AJ59,共有用1!AJ59))</f>
        <v/>
      </c>
      <c r="AK59" s="17" t="str">
        <f>IF(共有用1!AK59="","",共有用1!AK59&amp;"/"&amp;COUNTIF(共有用1!AK$2:AK59,共有用1!AK59))</f>
        <v/>
      </c>
      <c r="AL59" s="17" t="str">
        <f>IF(共有用1!AL59="","",共有用1!AL59&amp;"/"&amp;COUNTIF(共有用1!AL$2:AL59,共有用1!AL59))</f>
        <v/>
      </c>
      <c r="AM59" s="17" t="str">
        <f>IF(共有用1!AM59="","",共有用1!AM59&amp;"/"&amp;COUNTIF(共有用1!AM$2:AM59,共有用1!AM59))</f>
        <v/>
      </c>
      <c r="AN59" s="17" t="str">
        <f>IF(共有用1!AN59="","",共有用1!AN59&amp;"/"&amp;COUNTIF(共有用1!AN$2:AN59,共有用1!AN59))</f>
        <v/>
      </c>
      <c r="AO59" s="17" t="str">
        <f>IF(共有用1!AO59="","",共有用1!AO59&amp;"/"&amp;COUNTIF(共有用1!AO$2:AO59,共有用1!AO59))</f>
        <v/>
      </c>
      <c r="AP59" s="17" t="str">
        <f>IF(共有用1!AP59="","",共有用1!AP59&amp;"/"&amp;COUNTIF(共有用1!AP$2:AP59,共有用1!AP59))</f>
        <v/>
      </c>
      <c r="AQ59" s="17" t="str">
        <f>IF(共有用1!AQ59="","",共有用1!AQ59&amp;"/"&amp;COUNTIF(共有用1!AQ$2:AQ59,共有用1!AQ59))</f>
        <v/>
      </c>
      <c r="AR59" s="17" t="str">
        <f>IF(共有用1!AR59="","",共有用1!AR59&amp;"/"&amp;COUNTIF(共有用1!AR$2:AR59,共有用1!AR59))</f>
        <v/>
      </c>
      <c r="AS59" s="17" t="str">
        <f>IF(共有用1!AS59="","",共有用1!AS59&amp;"/"&amp;COUNTIF(共有用1!AS$2:AS59,共有用1!AS59))</f>
        <v/>
      </c>
      <c r="AT59" s="17" t="str">
        <f>IF(共有用1!AT59="","",共有用1!AT59&amp;"/"&amp;COUNTIF(共有用1!AT$2:AT59,共有用1!AT59))</f>
        <v/>
      </c>
      <c r="AU59" s="17" t="str">
        <f>IF(共有用1!AU59="","",共有用1!AU59&amp;"/"&amp;COUNTIF(共有用1!AU$2:AU59,共有用1!AU59))</f>
        <v/>
      </c>
      <c r="AV59" s="17" t="str">
        <f>IF(共有用1!AV59="","",共有用1!AV59&amp;"/"&amp;COUNTIF(共有用1!AV$2:AV59,共有用1!AV59))</f>
        <v/>
      </c>
      <c r="AW59" s="17" t="str">
        <f>IF(共有用1!AW59="","",共有用1!AW59&amp;"/"&amp;COUNTIF(共有用1!AW$2:AW59,共有用1!AW59))</f>
        <v/>
      </c>
      <c r="AX59" s="17" t="str">
        <f>IF(共有用1!AX59="","",共有用1!AX59&amp;"/"&amp;COUNTIF(共有用1!AX$2:AX59,共有用1!AX59))</f>
        <v/>
      </c>
      <c r="AY59" s="17" t="str">
        <f>IF(共有用1!AY59="","",共有用1!AY59&amp;"/"&amp;COUNTIF(共有用1!AY$2:AY59,共有用1!AY59))</f>
        <v/>
      </c>
      <c r="AZ59" s="17" t="str">
        <f>IF(共有用1!AZ59="","",共有用1!AZ59&amp;"/"&amp;COUNTIF(共有用1!AZ$2:AZ59,共有用1!AZ59))</f>
        <v/>
      </c>
      <c r="BA59" s="17" t="str">
        <f>IF(共有用1!BA59="","",共有用1!BA59&amp;"/"&amp;COUNTIF(共有用1!BA$2:BA59,共有用1!BA59))</f>
        <v/>
      </c>
    </row>
    <row r="60" spans="1:53">
      <c r="A60" s="2" t="str">
        <f>共有用1!A60</f>
        <v/>
      </c>
      <c r="B60" s="2" t="str">
        <f>共有用1!B60</f>
        <v/>
      </c>
      <c r="C60" s="2" t="str">
        <f>共有用1!C60</f>
        <v/>
      </c>
      <c r="D60" s="17" t="str">
        <f>IF(共有用1!D60="","",共有用1!D60&amp;"/"&amp;COUNTIF(共有用1!D$2:D60,共有用1!D60))</f>
        <v/>
      </c>
      <c r="E60" s="17" t="str">
        <f>IF(共有用1!E60="","",共有用1!E60&amp;"/"&amp;COUNTIF(共有用1!E$2:E60,共有用1!E60))</f>
        <v/>
      </c>
      <c r="F60" s="17" t="str">
        <f>IF(共有用1!F60="","",共有用1!F60&amp;"/"&amp;COUNTIF(共有用1!F$2:F60,共有用1!F60))</f>
        <v/>
      </c>
      <c r="G60" s="17" t="str">
        <f>IF(共有用1!G60="","",共有用1!G60&amp;"/"&amp;COUNTIF(共有用1!G$2:G60,共有用1!G60))</f>
        <v/>
      </c>
      <c r="H60" s="17" t="str">
        <f>IF(共有用1!H60="","",共有用1!H60&amp;"/"&amp;COUNTIF(共有用1!H$2:H60,共有用1!H60))</f>
        <v/>
      </c>
      <c r="I60" s="17" t="str">
        <f>IF(共有用1!I60="","",共有用1!I60&amp;"/"&amp;COUNTIF(共有用1!I$2:I60,共有用1!I60))</f>
        <v/>
      </c>
      <c r="J60" s="17" t="str">
        <f>IF(共有用1!J60="","",共有用1!J60&amp;"/"&amp;COUNTIF(共有用1!J$2:J60,共有用1!J60))</f>
        <v/>
      </c>
      <c r="K60" s="17" t="str">
        <f>IF(共有用1!K60="","",共有用1!K60&amp;"/"&amp;COUNTIF(共有用1!K$2:K60,共有用1!K60))</f>
        <v/>
      </c>
      <c r="L60" s="17" t="str">
        <f>IF(共有用1!L60="","",共有用1!L60&amp;"/"&amp;COUNTIF(共有用1!L$2:L60,共有用1!L60))</f>
        <v/>
      </c>
      <c r="M60" s="17" t="str">
        <f>IF(共有用1!M60="","",共有用1!M60&amp;"/"&amp;COUNTIF(共有用1!M$2:M60,共有用1!M60))</f>
        <v/>
      </c>
      <c r="N60" s="17" t="str">
        <f>IF(共有用1!N60="","",共有用1!N60&amp;"/"&amp;COUNTIF(共有用1!N$2:N60,共有用1!N60))</f>
        <v/>
      </c>
      <c r="O60" s="17" t="str">
        <f>IF(共有用1!O60="","",共有用1!O60&amp;"/"&amp;COUNTIF(共有用1!O$2:O60,共有用1!O60))</f>
        <v/>
      </c>
      <c r="P60" s="17" t="str">
        <f>IF(共有用1!P60="","",共有用1!P60&amp;"/"&amp;COUNTIF(共有用1!P$2:P60,共有用1!P60))</f>
        <v/>
      </c>
      <c r="Q60" s="17" t="str">
        <f>IF(共有用1!Q60="","",共有用1!Q60&amp;"/"&amp;COUNTIF(共有用1!Q$2:Q60,共有用1!Q60))</f>
        <v/>
      </c>
      <c r="R60" s="17" t="str">
        <f>IF(共有用1!R60="","",共有用1!R60&amp;"/"&amp;COUNTIF(共有用1!R$2:R60,共有用1!R60))</f>
        <v/>
      </c>
      <c r="S60" s="17" t="str">
        <f>IF(共有用1!S60="","",共有用1!S60&amp;"/"&amp;COUNTIF(共有用1!S$2:S60,共有用1!S60))</f>
        <v/>
      </c>
      <c r="T60" s="17" t="str">
        <f>IF(共有用1!T60="","",共有用1!T60&amp;"/"&amp;COUNTIF(共有用1!T$2:T60,共有用1!T60))</f>
        <v/>
      </c>
      <c r="U60" s="17" t="str">
        <f>IF(共有用1!U60="","",共有用1!U60&amp;"/"&amp;COUNTIF(共有用1!U$2:U60,共有用1!U60))</f>
        <v/>
      </c>
      <c r="V60" s="17" t="str">
        <f>IF(共有用1!V60="","",共有用1!V60&amp;"/"&amp;COUNTIF(共有用1!V$2:V60,共有用1!V60))</f>
        <v/>
      </c>
      <c r="W60" s="17" t="str">
        <f>IF(共有用1!W60="","",共有用1!W60&amp;"/"&amp;COUNTIF(共有用1!W$2:W60,共有用1!W60))</f>
        <v/>
      </c>
      <c r="X60" s="17" t="str">
        <f>IF(共有用1!X60="","",共有用1!X60&amp;"/"&amp;COUNTIF(共有用1!X$2:X60,共有用1!X60))</f>
        <v/>
      </c>
      <c r="Y60" s="17" t="str">
        <f>IF(共有用1!Y60="","",共有用1!Y60&amp;"/"&amp;COUNTIF(共有用1!Y$2:Y60,共有用1!Y60))</f>
        <v/>
      </c>
      <c r="Z60" s="17" t="str">
        <f>IF(共有用1!Z60="","",共有用1!Z60&amp;"/"&amp;COUNTIF(共有用1!Z$2:Z60,共有用1!Z60))</f>
        <v/>
      </c>
      <c r="AA60" s="17" t="str">
        <f>IF(共有用1!AA60="","",共有用1!AA60&amp;"/"&amp;COUNTIF(共有用1!AA$2:AA60,共有用1!AA60))</f>
        <v/>
      </c>
      <c r="AB60" s="17" t="str">
        <f>IF(共有用1!AB60="","",共有用1!AB60&amp;"/"&amp;COUNTIF(共有用1!AB$2:AB60,共有用1!AB60))</f>
        <v/>
      </c>
      <c r="AC60" s="17" t="str">
        <f>IF(共有用1!AC60="","",共有用1!AC60&amp;"/"&amp;COUNTIF(共有用1!AC$2:AC60,共有用1!AC60))</f>
        <v/>
      </c>
      <c r="AD60" s="17" t="str">
        <f>IF(共有用1!AD60="","",共有用1!AD60&amp;"/"&amp;COUNTIF(共有用1!AD$2:AD60,共有用1!AD60))</f>
        <v/>
      </c>
      <c r="AE60" s="17" t="str">
        <f>IF(共有用1!AE60="","",共有用1!AE60&amp;"/"&amp;COUNTIF(共有用1!AE$2:AE60,共有用1!AE60))</f>
        <v/>
      </c>
      <c r="AF60" s="17" t="str">
        <f>IF(共有用1!AF60="","",共有用1!AF60&amp;"/"&amp;COUNTIF(共有用1!AF$2:AF60,共有用1!AF60))</f>
        <v/>
      </c>
      <c r="AG60" s="17" t="str">
        <f>IF(共有用1!AG60="","",共有用1!AG60&amp;"/"&amp;COUNTIF(共有用1!AG$2:AG60,共有用1!AG60))</f>
        <v/>
      </c>
      <c r="AH60" s="17" t="str">
        <f>IF(共有用1!AH60="","",共有用1!AH60&amp;"/"&amp;COUNTIF(共有用1!AH$2:AH60,共有用1!AH60))</f>
        <v/>
      </c>
      <c r="AI60" s="17" t="str">
        <f>IF(共有用1!AI60="","",共有用1!AI60&amp;"/"&amp;COUNTIF(共有用1!AI$2:AI60,共有用1!AI60))</f>
        <v/>
      </c>
      <c r="AJ60" s="17" t="str">
        <f>IF(共有用1!AJ60="","",共有用1!AJ60&amp;"/"&amp;COUNTIF(共有用1!AJ$2:AJ60,共有用1!AJ60))</f>
        <v/>
      </c>
      <c r="AK60" s="17" t="str">
        <f>IF(共有用1!AK60="","",共有用1!AK60&amp;"/"&amp;COUNTIF(共有用1!AK$2:AK60,共有用1!AK60))</f>
        <v/>
      </c>
      <c r="AL60" s="17" t="str">
        <f>IF(共有用1!AL60="","",共有用1!AL60&amp;"/"&amp;COUNTIF(共有用1!AL$2:AL60,共有用1!AL60))</f>
        <v/>
      </c>
      <c r="AM60" s="17" t="str">
        <f>IF(共有用1!AM60="","",共有用1!AM60&amp;"/"&amp;COUNTIF(共有用1!AM$2:AM60,共有用1!AM60))</f>
        <v/>
      </c>
      <c r="AN60" s="17" t="str">
        <f>IF(共有用1!AN60="","",共有用1!AN60&amp;"/"&amp;COUNTIF(共有用1!AN$2:AN60,共有用1!AN60))</f>
        <v/>
      </c>
      <c r="AO60" s="17" t="str">
        <f>IF(共有用1!AO60="","",共有用1!AO60&amp;"/"&amp;COUNTIF(共有用1!AO$2:AO60,共有用1!AO60))</f>
        <v/>
      </c>
      <c r="AP60" s="17" t="str">
        <f>IF(共有用1!AP60="","",共有用1!AP60&amp;"/"&amp;COUNTIF(共有用1!AP$2:AP60,共有用1!AP60))</f>
        <v/>
      </c>
      <c r="AQ60" s="17" t="str">
        <f>IF(共有用1!AQ60="","",共有用1!AQ60&amp;"/"&amp;COUNTIF(共有用1!AQ$2:AQ60,共有用1!AQ60))</f>
        <v/>
      </c>
      <c r="AR60" s="17" t="str">
        <f>IF(共有用1!AR60="","",共有用1!AR60&amp;"/"&amp;COUNTIF(共有用1!AR$2:AR60,共有用1!AR60))</f>
        <v/>
      </c>
      <c r="AS60" s="17" t="str">
        <f>IF(共有用1!AS60="","",共有用1!AS60&amp;"/"&amp;COUNTIF(共有用1!AS$2:AS60,共有用1!AS60))</f>
        <v/>
      </c>
      <c r="AT60" s="17" t="str">
        <f>IF(共有用1!AT60="","",共有用1!AT60&amp;"/"&amp;COUNTIF(共有用1!AT$2:AT60,共有用1!AT60))</f>
        <v/>
      </c>
      <c r="AU60" s="17" t="str">
        <f>IF(共有用1!AU60="","",共有用1!AU60&amp;"/"&amp;COUNTIF(共有用1!AU$2:AU60,共有用1!AU60))</f>
        <v/>
      </c>
      <c r="AV60" s="17" t="str">
        <f>IF(共有用1!AV60="","",共有用1!AV60&amp;"/"&amp;COUNTIF(共有用1!AV$2:AV60,共有用1!AV60))</f>
        <v/>
      </c>
      <c r="AW60" s="17" t="str">
        <f>IF(共有用1!AW60="","",共有用1!AW60&amp;"/"&amp;COUNTIF(共有用1!AW$2:AW60,共有用1!AW60))</f>
        <v/>
      </c>
      <c r="AX60" s="17" t="str">
        <f>IF(共有用1!AX60="","",共有用1!AX60&amp;"/"&amp;COUNTIF(共有用1!AX$2:AX60,共有用1!AX60))</f>
        <v/>
      </c>
      <c r="AY60" s="17" t="str">
        <f>IF(共有用1!AY60="","",共有用1!AY60&amp;"/"&amp;COUNTIF(共有用1!AY$2:AY60,共有用1!AY60))</f>
        <v/>
      </c>
      <c r="AZ60" s="17" t="str">
        <f>IF(共有用1!AZ60="","",共有用1!AZ60&amp;"/"&amp;COUNTIF(共有用1!AZ$2:AZ60,共有用1!AZ60))</f>
        <v/>
      </c>
      <c r="BA60" s="17" t="str">
        <f>IF(共有用1!BA60="","",共有用1!BA60&amp;"/"&amp;COUNTIF(共有用1!BA$2:BA60,共有用1!BA60))</f>
        <v/>
      </c>
    </row>
    <row r="61" spans="1:53">
      <c r="A61" s="2" t="str">
        <f>共有用1!A61</f>
        <v/>
      </c>
      <c r="B61" s="2" t="str">
        <f>共有用1!B61</f>
        <v/>
      </c>
      <c r="C61" s="2" t="str">
        <f>共有用1!C61</f>
        <v/>
      </c>
      <c r="D61" s="17" t="str">
        <f>IF(共有用1!D61="","",共有用1!D61&amp;"/"&amp;COUNTIF(共有用1!D$2:D61,共有用1!D61))</f>
        <v/>
      </c>
      <c r="E61" s="17" t="str">
        <f>IF(共有用1!E61="","",共有用1!E61&amp;"/"&amp;COUNTIF(共有用1!E$2:E61,共有用1!E61))</f>
        <v/>
      </c>
      <c r="F61" s="17" t="str">
        <f>IF(共有用1!F61="","",共有用1!F61&amp;"/"&amp;COUNTIF(共有用1!F$2:F61,共有用1!F61))</f>
        <v/>
      </c>
      <c r="G61" s="17" t="str">
        <f>IF(共有用1!G61="","",共有用1!G61&amp;"/"&amp;COUNTIF(共有用1!G$2:G61,共有用1!G61))</f>
        <v/>
      </c>
      <c r="H61" s="17" t="str">
        <f>IF(共有用1!H61="","",共有用1!H61&amp;"/"&amp;COUNTIF(共有用1!H$2:H61,共有用1!H61))</f>
        <v/>
      </c>
      <c r="I61" s="17" t="str">
        <f>IF(共有用1!I61="","",共有用1!I61&amp;"/"&amp;COUNTIF(共有用1!I$2:I61,共有用1!I61))</f>
        <v/>
      </c>
      <c r="J61" s="17" t="str">
        <f>IF(共有用1!J61="","",共有用1!J61&amp;"/"&amp;COUNTIF(共有用1!J$2:J61,共有用1!J61))</f>
        <v/>
      </c>
      <c r="K61" s="17" t="str">
        <f>IF(共有用1!K61="","",共有用1!K61&amp;"/"&amp;COUNTIF(共有用1!K$2:K61,共有用1!K61))</f>
        <v/>
      </c>
      <c r="L61" s="17" t="str">
        <f>IF(共有用1!L61="","",共有用1!L61&amp;"/"&amp;COUNTIF(共有用1!L$2:L61,共有用1!L61))</f>
        <v/>
      </c>
      <c r="M61" s="17" t="str">
        <f>IF(共有用1!M61="","",共有用1!M61&amp;"/"&amp;COUNTIF(共有用1!M$2:M61,共有用1!M61))</f>
        <v/>
      </c>
      <c r="N61" s="17" t="str">
        <f>IF(共有用1!N61="","",共有用1!N61&amp;"/"&amp;COUNTIF(共有用1!N$2:N61,共有用1!N61))</f>
        <v/>
      </c>
      <c r="O61" s="17" t="str">
        <f>IF(共有用1!O61="","",共有用1!O61&amp;"/"&amp;COUNTIF(共有用1!O$2:O61,共有用1!O61))</f>
        <v/>
      </c>
      <c r="P61" s="17" t="str">
        <f>IF(共有用1!P61="","",共有用1!P61&amp;"/"&amp;COUNTIF(共有用1!P$2:P61,共有用1!P61))</f>
        <v/>
      </c>
      <c r="Q61" s="17" t="str">
        <f>IF(共有用1!Q61="","",共有用1!Q61&amp;"/"&amp;COUNTIF(共有用1!Q$2:Q61,共有用1!Q61))</f>
        <v/>
      </c>
      <c r="R61" s="17" t="str">
        <f>IF(共有用1!R61="","",共有用1!R61&amp;"/"&amp;COUNTIF(共有用1!R$2:R61,共有用1!R61))</f>
        <v/>
      </c>
      <c r="S61" s="17" t="str">
        <f>IF(共有用1!S61="","",共有用1!S61&amp;"/"&amp;COUNTIF(共有用1!S$2:S61,共有用1!S61))</f>
        <v/>
      </c>
      <c r="T61" s="17" t="str">
        <f>IF(共有用1!T61="","",共有用1!T61&amp;"/"&amp;COUNTIF(共有用1!T$2:T61,共有用1!T61))</f>
        <v/>
      </c>
      <c r="U61" s="17" t="str">
        <f>IF(共有用1!U61="","",共有用1!U61&amp;"/"&amp;COUNTIF(共有用1!U$2:U61,共有用1!U61))</f>
        <v/>
      </c>
      <c r="V61" s="17" t="str">
        <f>IF(共有用1!V61="","",共有用1!V61&amp;"/"&amp;COUNTIF(共有用1!V$2:V61,共有用1!V61))</f>
        <v/>
      </c>
      <c r="W61" s="17" t="str">
        <f>IF(共有用1!W61="","",共有用1!W61&amp;"/"&amp;COUNTIF(共有用1!W$2:W61,共有用1!W61))</f>
        <v/>
      </c>
      <c r="X61" s="17" t="str">
        <f>IF(共有用1!X61="","",共有用1!X61&amp;"/"&amp;COUNTIF(共有用1!X$2:X61,共有用1!X61))</f>
        <v/>
      </c>
      <c r="Y61" s="17" t="str">
        <f>IF(共有用1!Y61="","",共有用1!Y61&amp;"/"&amp;COUNTIF(共有用1!Y$2:Y61,共有用1!Y61))</f>
        <v/>
      </c>
      <c r="Z61" s="17" t="str">
        <f>IF(共有用1!Z61="","",共有用1!Z61&amp;"/"&amp;COUNTIF(共有用1!Z$2:Z61,共有用1!Z61))</f>
        <v/>
      </c>
      <c r="AA61" s="17" t="str">
        <f>IF(共有用1!AA61="","",共有用1!AA61&amp;"/"&amp;COUNTIF(共有用1!AA$2:AA61,共有用1!AA61))</f>
        <v/>
      </c>
      <c r="AB61" s="17" t="str">
        <f>IF(共有用1!AB61="","",共有用1!AB61&amp;"/"&amp;COUNTIF(共有用1!AB$2:AB61,共有用1!AB61))</f>
        <v/>
      </c>
      <c r="AC61" s="17" t="str">
        <f>IF(共有用1!AC61="","",共有用1!AC61&amp;"/"&amp;COUNTIF(共有用1!AC$2:AC61,共有用1!AC61))</f>
        <v/>
      </c>
      <c r="AD61" s="17" t="str">
        <f>IF(共有用1!AD61="","",共有用1!AD61&amp;"/"&amp;COUNTIF(共有用1!AD$2:AD61,共有用1!AD61))</f>
        <v/>
      </c>
      <c r="AE61" s="17" t="str">
        <f>IF(共有用1!AE61="","",共有用1!AE61&amp;"/"&amp;COUNTIF(共有用1!AE$2:AE61,共有用1!AE61))</f>
        <v/>
      </c>
      <c r="AF61" s="17" t="str">
        <f>IF(共有用1!AF61="","",共有用1!AF61&amp;"/"&amp;COUNTIF(共有用1!AF$2:AF61,共有用1!AF61))</f>
        <v/>
      </c>
      <c r="AG61" s="17" t="str">
        <f>IF(共有用1!AG61="","",共有用1!AG61&amp;"/"&amp;COUNTIF(共有用1!AG$2:AG61,共有用1!AG61))</f>
        <v/>
      </c>
      <c r="AH61" s="17" t="str">
        <f>IF(共有用1!AH61="","",共有用1!AH61&amp;"/"&amp;COUNTIF(共有用1!AH$2:AH61,共有用1!AH61))</f>
        <v/>
      </c>
      <c r="AI61" s="17" t="str">
        <f>IF(共有用1!AI61="","",共有用1!AI61&amp;"/"&amp;COUNTIF(共有用1!AI$2:AI61,共有用1!AI61))</f>
        <v/>
      </c>
      <c r="AJ61" s="17" t="str">
        <f>IF(共有用1!AJ61="","",共有用1!AJ61&amp;"/"&amp;COUNTIF(共有用1!AJ$2:AJ61,共有用1!AJ61))</f>
        <v/>
      </c>
      <c r="AK61" s="17" t="str">
        <f>IF(共有用1!AK61="","",共有用1!AK61&amp;"/"&amp;COUNTIF(共有用1!AK$2:AK61,共有用1!AK61))</f>
        <v/>
      </c>
      <c r="AL61" s="17" t="str">
        <f>IF(共有用1!AL61="","",共有用1!AL61&amp;"/"&amp;COUNTIF(共有用1!AL$2:AL61,共有用1!AL61))</f>
        <v/>
      </c>
      <c r="AM61" s="17" t="str">
        <f>IF(共有用1!AM61="","",共有用1!AM61&amp;"/"&amp;COUNTIF(共有用1!AM$2:AM61,共有用1!AM61))</f>
        <v/>
      </c>
      <c r="AN61" s="17" t="str">
        <f>IF(共有用1!AN61="","",共有用1!AN61&amp;"/"&amp;COUNTIF(共有用1!AN$2:AN61,共有用1!AN61))</f>
        <v/>
      </c>
      <c r="AO61" s="17" t="str">
        <f>IF(共有用1!AO61="","",共有用1!AO61&amp;"/"&amp;COUNTIF(共有用1!AO$2:AO61,共有用1!AO61))</f>
        <v/>
      </c>
      <c r="AP61" s="17" t="str">
        <f>IF(共有用1!AP61="","",共有用1!AP61&amp;"/"&amp;COUNTIF(共有用1!AP$2:AP61,共有用1!AP61))</f>
        <v/>
      </c>
      <c r="AQ61" s="17" t="str">
        <f>IF(共有用1!AQ61="","",共有用1!AQ61&amp;"/"&amp;COUNTIF(共有用1!AQ$2:AQ61,共有用1!AQ61))</f>
        <v/>
      </c>
      <c r="AR61" s="17" t="str">
        <f>IF(共有用1!AR61="","",共有用1!AR61&amp;"/"&amp;COUNTIF(共有用1!AR$2:AR61,共有用1!AR61))</f>
        <v/>
      </c>
      <c r="AS61" s="17" t="str">
        <f>IF(共有用1!AS61="","",共有用1!AS61&amp;"/"&amp;COUNTIF(共有用1!AS$2:AS61,共有用1!AS61))</f>
        <v/>
      </c>
      <c r="AT61" s="17" t="str">
        <f>IF(共有用1!AT61="","",共有用1!AT61&amp;"/"&amp;COUNTIF(共有用1!AT$2:AT61,共有用1!AT61))</f>
        <v/>
      </c>
      <c r="AU61" s="17" t="str">
        <f>IF(共有用1!AU61="","",共有用1!AU61&amp;"/"&amp;COUNTIF(共有用1!AU$2:AU61,共有用1!AU61))</f>
        <v/>
      </c>
      <c r="AV61" s="17" t="str">
        <f>IF(共有用1!AV61="","",共有用1!AV61&amp;"/"&amp;COUNTIF(共有用1!AV$2:AV61,共有用1!AV61))</f>
        <v/>
      </c>
      <c r="AW61" s="17" t="str">
        <f>IF(共有用1!AW61="","",共有用1!AW61&amp;"/"&amp;COUNTIF(共有用1!AW$2:AW61,共有用1!AW61))</f>
        <v/>
      </c>
      <c r="AX61" s="17" t="str">
        <f>IF(共有用1!AX61="","",共有用1!AX61&amp;"/"&amp;COUNTIF(共有用1!AX$2:AX61,共有用1!AX61))</f>
        <v/>
      </c>
      <c r="AY61" s="17" t="str">
        <f>IF(共有用1!AY61="","",共有用1!AY61&amp;"/"&amp;COUNTIF(共有用1!AY$2:AY61,共有用1!AY61))</f>
        <v/>
      </c>
      <c r="AZ61" s="17" t="str">
        <f>IF(共有用1!AZ61="","",共有用1!AZ61&amp;"/"&amp;COUNTIF(共有用1!AZ$2:AZ61,共有用1!AZ61))</f>
        <v/>
      </c>
      <c r="BA61" s="17" t="str">
        <f>IF(共有用1!BA61="","",共有用1!BA61&amp;"/"&amp;COUNTIF(共有用1!BA$2:BA61,共有用1!BA61))</f>
        <v/>
      </c>
    </row>
    <row r="62" spans="1:53">
      <c r="A62" s="2" t="str">
        <f>共有用1!A62</f>
        <v/>
      </c>
      <c r="B62" s="2" t="str">
        <f>共有用1!B62</f>
        <v/>
      </c>
      <c r="C62" s="2" t="str">
        <f>共有用1!C62</f>
        <v/>
      </c>
      <c r="D62" s="17" t="str">
        <f>IF(共有用1!D62="","",共有用1!D62&amp;"/"&amp;COUNTIF(共有用1!D$2:D62,共有用1!D62))</f>
        <v/>
      </c>
      <c r="E62" s="17" t="str">
        <f>IF(共有用1!E62="","",共有用1!E62&amp;"/"&amp;COUNTIF(共有用1!E$2:E62,共有用1!E62))</f>
        <v/>
      </c>
      <c r="F62" s="17" t="str">
        <f>IF(共有用1!F62="","",共有用1!F62&amp;"/"&amp;COUNTIF(共有用1!F$2:F62,共有用1!F62))</f>
        <v/>
      </c>
      <c r="G62" s="17" t="str">
        <f>IF(共有用1!G62="","",共有用1!G62&amp;"/"&amp;COUNTIF(共有用1!G$2:G62,共有用1!G62))</f>
        <v/>
      </c>
      <c r="H62" s="17" t="str">
        <f>IF(共有用1!H62="","",共有用1!H62&amp;"/"&amp;COUNTIF(共有用1!H$2:H62,共有用1!H62))</f>
        <v/>
      </c>
      <c r="I62" s="17" t="str">
        <f>IF(共有用1!I62="","",共有用1!I62&amp;"/"&amp;COUNTIF(共有用1!I$2:I62,共有用1!I62))</f>
        <v/>
      </c>
      <c r="J62" s="17" t="str">
        <f>IF(共有用1!J62="","",共有用1!J62&amp;"/"&amp;COUNTIF(共有用1!J$2:J62,共有用1!J62))</f>
        <v/>
      </c>
      <c r="K62" s="17" t="str">
        <f>IF(共有用1!K62="","",共有用1!K62&amp;"/"&amp;COUNTIF(共有用1!K$2:K62,共有用1!K62))</f>
        <v/>
      </c>
      <c r="L62" s="17" t="str">
        <f>IF(共有用1!L62="","",共有用1!L62&amp;"/"&amp;COUNTIF(共有用1!L$2:L62,共有用1!L62))</f>
        <v/>
      </c>
      <c r="M62" s="17" t="str">
        <f>IF(共有用1!M62="","",共有用1!M62&amp;"/"&amp;COUNTIF(共有用1!M$2:M62,共有用1!M62))</f>
        <v/>
      </c>
      <c r="N62" s="17" t="str">
        <f>IF(共有用1!N62="","",共有用1!N62&amp;"/"&amp;COUNTIF(共有用1!N$2:N62,共有用1!N62))</f>
        <v/>
      </c>
      <c r="O62" s="17" t="str">
        <f>IF(共有用1!O62="","",共有用1!O62&amp;"/"&amp;COUNTIF(共有用1!O$2:O62,共有用1!O62))</f>
        <v/>
      </c>
      <c r="P62" s="17" t="str">
        <f>IF(共有用1!P62="","",共有用1!P62&amp;"/"&amp;COUNTIF(共有用1!P$2:P62,共有用1!P62))</f>
        <v/>
      </c>
      <c r="Q62" s="17" t="str">
        <f>IF(共有用1!Q62="","",共有用1!Q62&amp;"/"&amp;COUNTIF(共有用1!Q$2:Q62,共有用1!Q62))</f>
        <v/>
      </c>
      <c r="R62" s="17" t="str">
        <f>IF(共有用1!R62="","",共有用1!R62&amp;"/"&amp;COUNTIF(共有用1!R$2:R62,共有用1!R62))</f>
        <v/>
      </c>
      <c r="S62" s="17" t="str">
        <f>IF(共有用1!S62="","",共有用1!S62&amp;"/"&amp;COUNTIF(共有用1!S$2:S62,共有用1!S62))</f>
        <v/>
      </c>
      <c r="T62" s="17" t="str">
        <f>IF(共有用1!T62="","",共有用1!T62&amp;"/"&amp;COUNTIF(共有用1!T$2:T62,共有用1!T62))</f>
        <v/>
      </c>
      <c r="U62" s="17" t="str">
        <f>IF(共有用1!U62="","",共有用1!U62&amp;"/"&amp;COUNTIF(共有用1!U$2:U62,共有用1!U62))</f>
        <v/>
      </c>
      <c r="V62" s="17" t="str">
        <f>IF(共有用1!V62="","",共有用1!V62&amp;"/"&amp;COUNTIF(共有用1!V$2:V62,共有用1!V62))</f>
        <v/>
      </c>
      <c r="W62" s="17" t="str">
        <f>IF(共有用1!W62="","",共有用1!W62&amp;"/"&amp;COUNTIF(共有用1!W$2:W62,共有用1!W62))</f>
        <v/>
      </c>
      <c r="X62" s="17" t="str">
        <f>IF(共有用1!X62="","",共有用1!X62&amp;"/"&amp;COUNTIF(共有用1!X$2:X62,共有用1!X62))</f>
        <v/>
      </c>
      <c r="Y62" s="17" t="str">
        <f>IF(共有用1!Y62="","",共有用1!Y62&amp;"/"&amp;COUNTIF(共有用1!Y$2:Y62,共有用1!Y62))</f>
        <v/>
      </c>
      <c r="Z62" s="17" t="str">
        <f>IF(共有用1!Z62="","",共有用1!Z62&amp;"/"&amp;COUNTIF(共有用1!Z$2:Z62,共有用1!Z62))</f>
        <v/>
      </c>
      <c r="AA62" s="17" t="str">
        <f>IF(共有用1!AA62="","",共有用1!AA62&amp;"/"&amp;COUNTIF(共有用1!AA$2:AA62,共有用1!AA62))</f>
        <v/>
      </c>
      <c r="AB62" s="17" t="str">
        <f>IF(共有用1!AB62="","",共有用1!AB62&amp;"/"&amp;COUNTIF(共有用1!AB$2:AB62,共有用1!AB62))</f>
        <v/>
      </c>
      <c r="AC62" s="17" t="str">
        <f>IF(共有用1!AC62="","",共有用1!AC62&amp;"/"&amp;COUNTIF(共有用1!AC$2:AC62,共有用1!AC62))</f>
        <v/>
      </c>
      <c r="AD62" s="17" t="str">
        <f>IF(共有用1!AD62="","",共有用1!AD62&amp;"/"&amp;COUNTIF(共有用1!AD$2:AD62,共有用1!AD62))</f>
        <v/>
      </c>
      <c r="AE62" s="17" t="str">
        <f>IF(共有用1!AE62="","",共有用1!AE62&amp;"/"&amp;COUNTIF(共有用1!AE$2:AE62,共有用1!AE62))</f>
        <v/>
      </c>
      <c r="AF62" s="17" t="str">
        <f>IF(共有用1!AF62="","",共有用1!AF62&amp;"/"&amp;COUNTIF(共有用1!AF$2:AF62,共有用1!AF62))</f>
        <v/>
      </c>
      <c r="AG62" s="17" t="str">
        <f>IF(共有用1!AG62="","",共有用1!AG62&amp;"/"&amp;COUNTIF(共有用1!AG$2:AG62,共有用1!AG62))</f>
        <v/>
      </c>
      <c r="AH62" s="17" t="str">
        <f>IF(共有用1!AH62="","",共有用1!AH62&amp;"/"&amp;COUNTIF(共有用1!AH$2:AH62,共有用1!AH62))</f>
        <v/>
      </c>
      <c r="AI62" s="17" t="str">
        <f>IF(共有用1!AI62="","",共有用1!AI62&amp;"/"&amp;COUNTIF(共有用1!AI$2:AI62,共有用1!AI62))</f>
        <v/>
      </c>
      <c r="AJ62" s="17" t="str">
        <f>IF(共有用1!AJ62="","",共有用1!AJ62&amp;"/"&amp;COUNTIF(共有用1!AJ$2:AJ62,共有用1!AJ62))</f>
        <v/>
      </c>
      <c r="AK62" s="17" t="str">
        <f>IF(共有用1!AK62="","",共有用1!AK62&amp;"/"&amp;COUNTIF(共有用1!AK$2:AK62,共有用1!AK62))</f>
        <v/>
      </c>
      <c r="AL62" s="17" t="str">
        <f>IF(共有用1!AL62="","",共有用1!AL62&amp;"/"&amp;COUNTIF(共有用1!AL$2:AL62,共有用1!AL62))</f>
        <v/>
      </c>
      <c r="AM62" s="17" t="str">
        <f>IF(共有用1!AM62="","",共有用1!AM62&amp;"/"&amp;COUNTIF(共有用1!AM$2:AM62,共有用1!AM62))</f>
        <v/>
      </c>
      <c r="AN62" s="17" t="str">
        <f>IF(共有用1!AN62="","",共有用1!AN62&amp;"/"&amp;COUNTIF(共有用1!AN$2:AN62,共有用1!AN62))</f>
        <v/>
      </c>
      <c r="AO62" s="17" t="str">
        <f>IF(共有用1!AO62="","",共有用1!AO62&amp;"/"&amp;COUNTIF(共有用1!AO$2:AO62,共有用1!AO62))</f>
        <v/>
      </c>
      <c r="AP62" s="17" t="str">
        <f>IF(共有用1!AP62="","",共有用1!AP62&amp;"/"&amp;COUNTIF(共有用1!AP$2:AP62,共有用1!AP62))</f>
        <v/>
      </c>
      <c r="AQ62" s="17" t="str">
        <f>IF(共有用1!AQ62="","",共有用1!AQ62&amp;"/"&amp;COUNTIF(共有用1!AQ$2:AQ62,共有用1!AQ62))</f>
        <v/>
      </c>
      <c r="AR62" s="17" t="str">
        <f>IF(共有用1!AR62="","",共有用1!AR62&amp;"/"&amp;COUNTIF(共有用1!AR$2:AR62,共有用1!AR62))</f>
        <v/>
      </c>
      <c r="AS62" s="17" t="str">
        <f>IF(共有用1!AS62="","",共有用1!AS62&amp;"/"&amp;COUNTIF(共有用1!AS$2:AS62,共有用1!AS62))</f>
        <v/>
      </c>
      <c r="AT62" s="17" t="str">
        <f>IF(共有用1!AT62="","",共有用1!AT62&amp;"/"&amp;COUNTIF(共有用1!AT$2:AT62,共有用1!AT62))</f>
        <v/>
      </c>
      <c r="AU62" s="17" t="str">
        <f>IF(共有用1!AU62="","",共有用1!AU62&amp;"/"&amp;COUNTIF(共有用1!AU$2:AU62,共有用1!AU62))</f>
        <v/>
      </c>
      <c r="AV62" s="17" t="str">
        <f>IF(共有用1!AV62="","",共有用1!AV62&amp;"/"&amp;COUNTIF(共有用1!AV$2:AV62,共有用1!AV62))</f>
        <v/>
      </c>
      <c r="AW62" s="17" t="str">
        <f>IF(共有用1!AW62="","",共有用1!AW62&amp;"/"&amp;COUNTIF(共有用1!AW$2:AW62,共有用1!AW62))</f>
        <v/>
      </c>
      <c r="AX62" s="17" t="str">
        <f>IF(共有用1!AX62="","",共有用1!AX62&amp;"/"&amp;COUNTIF(共有用1!AX$2:AX62,共有用1!AX62))</f>
        <v/>
      </c>
      <c r="AY62" s="17" t="str">
        <f>IF(共有用1!AY62="","",共有用1!AY62&amp;"/"&amp;COUNTIF(共有用1!AY$2:AY62,共有用1!AY62))</f>
        <v/>
      </c>
      <c r="AZ62" s="17" t="str">
        <f>IF(共有用1!AZ62="","",共有用1!AZ62&amp;"/"&amp;COUNTIF(共有用1!AZ$2:AZ62,共有用1!AZ62))</f>
        <v/>
      </c>
      <c r="BA62" s="17" t="str">
        <f>IF(共有用1!BA62="","",共有用1!BA62&amp;"/"&amp;COUNTIF(共有用1!BA$2:BA62,共有用1!BA62))</f>
        <v/>
      </c>
    </row>
    <row r="63" spans="1:53">
      <c r="A63" s="2" t="str">
        <f>共有用1!A63</f>
        <v/>
      </c>
      <c r="B63" s="2" t="str">
        <f>共有用1!B63</f>
        <v/>
      </c>
      <c r="C63" s="2" t="str">
        <f>共有用1!C63</f>
        <v/>
      </c>
      <c r="D63" s="17" t="str">
        <f>IF(共有用1!D63="","",共有用1!D63&amp;"/"&amp;COUNTIF(共有用1!D$2:D63,共有用1!D63))</f>
        <v/>
      </c>
      <c r="E63" s="17" t="str">
        <f>IF(共有用1!E63="","",共有用1!E63&amp;"/"&amp;COUNTIF(共有用1!E$2:E63,共有用1!E63))</f>
        <v/>
      </c>
      <c r="F63" s="17" t="str">
        <f>IF(共有用1!F63="","",共有用1!F63&amp;"/"&amp;COUNTIF(共有用1!F$2:F63,共有用1!F63))</f>
        <v/>
      </c>
      <c r="G63" s="17" t="str">
        <f>IF(共有用1!G63="","",共有用1!G63&amp;"/"&amp;COUNTIF(共有用1!G$2:G63,共有用1!G63))</f>
        <v/>
      </c>
      <c r="H63" s="17" t="str">
        <f>IF(共有用1!H63="","",共有用1!H63&amp;"/"&amp;COUNTIF(共有用1!H$2:H63,共有用1!H63))</f>
        <v/>
      </c>
      <c r="I63" s="17" t="str">
        <f>IF(共有用1!I63="","",共有用1!I63&amp;"/"&amp;COUNTIF(共有用1!I$2:I63,共有用1!I63))</f>
        <v/>
      </c>
      <c r="J63" s="17" t="str">
        <f>IF(共有用1!J63="","",共有用1!J63&amp;"/"&amp;COUNTIF(共有用1!J$2:J63,共有用1!J63))</f>
        <v/>
      </c>
      <c r="K63" s="17" t="str">
        <f>IF(共有用1!K63="","",共有用1!K63&amp;"/"&amp;COUNTIF(共有用1!K$2:K63,共有用1!K63))</f>
        <v/>
      </c>
      <c r="L63" s="17" t="str">
        <f>IF(共有用1!L63="","",共有用1!L63&amp;"/"&amp;COUNTIF(共有用1!L$2:L63,共有用1!L63))</f>
        <v/>
      </c>
      <c r="M63" s="17" t="str">
        <f>IF(共有用1!M63="","",共有用1!M63&amp;"/"&amp;COUNTIF(共有用1!M$2:M63,共有用1!M63))</f>
        <v/>
      </c>
      <c r="N63" s="17" t="str">
        <f>IF(共有用1!N63="","",共有用1!N63&amp;"/"&amp;COUNTIF(共有用1!N$2:N63,共有用1!N63))</f>
        <v/>
      </c>
      <c r="O63" s="17" t="str">
        <f>IF(共有用1!O63="","",共有用1!O63&amp;"/"&amp;COUNTIF(共有用1!O$2:O63,共有用1!O63))</f>
        <v/>
      </c>
      <c r="P63" s="17" t="str">
        <f>IF(共有用1!P63="","",共有用1!P63&amp;"/"&amp;COUNTIF(共有用1!P$2:P63,共有用1!P63))</f>
        <v/>
      </c>
      <c r="Q63" s="17" t="str">
        <f>IF(共有用1!Q63="","",共有用1!Q63&amp;"/"&amp;COUNTIF(共有用1!Q$2:Q63,共有用1!Q63))</f>
        <v/>
      </c>
      <c r="R63" s="17" t="str">
        <f>IF(共有用1!R63="","",共有用1!R63&amp;"/"&amp;COUNTIF(共有用1!R$2:R63,共有用1!R63))</f>
        <v/>
      </c>
      <c r="S63" s="17" t="str">
        <f>IF(共有用1!S63="","",共有用1!S63&amp;"/"&amp;COUNTIF(共有用1!S$2:S63,共有用1!S63))</f>
        <v/>
      </c>
      <c r="T63" s="17" t="str">
        <f>IF(共有用1!T63="","",共有用1!T63&amp;"/"&amp;COUNTIF(共有用1!T$2:T63,共有用1!T63))</f>
        <v/>
      </c>
      <c r="U63" s="17" t="str">
        <f>IF(共有用1!U63="","",共有用1!U63&amp;"/"&amp;COUNTIF(共有用1!U$2:U63,共有用1!U63))</f>
        <v/>
      </c>
      <c r="V63" s="17" t="str">
        <f>IF(共有用1!V63="","",共有用1!V63&amp;"/"&amp;COUNTIF(共有用1!V$2:V63,共有用1!V63))</f>
        <v/>
      </c>
      <c r="W63" s="17" t="str">
        <f>IF(共有用1!W63="","",共有用1!W63&amp;"/"&amp;COUNTIF(共有用1!W$2:W63,共有用1!W63))</f>
        <v/>
      </c>
      <c r="X63" s="17" t="str">
        <f>IF(共有用1!X63="","",共有用1!X63&amp;"/"&amp;COUNTIF(共有用1!X$2:X63,共有用1!X63))</f>
        <v/>
      </c>
      <c r="Y63" s="17" t="str">
        <f>IF(共有用1!Y63="","",共有用1!Y63&amp;"/"&amp;COUNTIF(共有用1!Y$2:Y63,共有用1!Y63))</f>
        <v/>
      </c>
      <c r="Z63" s="17" t="str">
        <f>IF(共有用1!Z63="","",共有用1!Z63&amp;"/"&amp;COUNTIF(共有用1!Z$2:Z63,共有用1!Z63))</f>
        <v/>
      </c>
      <c r="AA63" s="17" t="str">
        <f>IF(共有用1!AA63="","",共有用1!AA63&amp;"/"&amp;COUNTIF(共有用1!AA$2:AA63,共有用1!AA63))</f>
        <v/>
      </c>
      <c r="AB63" s="17" t="str">
        <f>IF(共有用1!AB63="","",共有用1!AB63&amp;"/"&amp;COUNTIF(共有用1!AB$2:AB63,共有用1!AB63))</f>
        <v/>
      </c>
      <c r="AC63" s="17" t="str">
        <f>IF(共有用1!AC63="","",共有用1!AC63&amp;"/"&amp;COUNTIF(共有用1!AC$2:AC63,共有用1!AC63))</f>
        <v/>
      </c>
      <c r="AD63" s="17" t="str">
        <f>IF(共有用1!AD63="","",共有用1!AD63&amp;"/"&amp;COUNTIF(共有用1!AD$2:AD63,共有用1!AD63))</f>
        <v/>
      </c>
      <c r="AE63" s="17" t="str">
        <f>IF(共有用1!AE63="","",共有用1!AE63&amp;"/"&amp;COUNTIF(共有用1!AE$2:AE63,共有用1!AE63))</f>
        <v/>
      </c>
      <c r="AF63" s="17" t="str">
        <f>IF(共有用1!AF63="","",共有用1!AF63&amp;"/"&amp;COUNTIF(共有用1!AF$2:AF63,共有用1!AF63))</f>
        <v/>
      </c>
      <c r="AG63" s="17" t="str">
        <f>IF(共有用1!AG63="","",共有用1!AG63&amp;"/"&amp;COUNTIF(共有用1!AG$2:AG63,共有用1!AG63))</f>
        <v/>
      </c>
      <c r="AH63" s="17" t="str">
        <f>IF(共有用1!AH63="","",共有用1!AH63&amp;"/"&amp;COUNTIF(共有用1!AH$2:AH63,共有用1!AH63))</f>
        <v/>
      </c>
      <c r="AI63" s="17" t="str">
        <f>IF(共有用1!AI63="","",共有用1!AI63&amp;"/"&amp;COUNTIF(共有用1!AI$2:AI63,共有用1!AI63))</f>
        <v/>
      </c>
      <c r="AJ63" s="17" t="str">
        <f>IF(共有用1!AJ63="","",共有用1!AJ63&amp;"/"&amp;COUNTIF(共有用1!AJ$2:AJ63,共有用1!AJ63))</f>
        <v/>
      </c>
      <c r="AK63" s="17" t="str">
        <f>IF(共有用1!AK63="","",共有用1!AK63&amp;"/"&amp;COUNTIF(共有用1!AK$2:AK63,共有用1!AK63))</f>
        <v/>
      </c>
      <c r="AL63" s="17" t="str">
        <f>IF(共有用1!AL63="","",共有用1!AL63&amp;"/"&amp;COUNTIF(共有用1!AL$2:AL63,共有用1!AL63))</f>
        <v/>
      </c>
      <c r="AM63" s="17" t="str">
        <f>IF(共有用1!AM63="","",共有用1!AM63&amp;"/"&amp;COUNTIF(共有用1!AM$2:AM63,共有用1!AM63))</f>
        <v/>
      </c>
      <c r="AN63" s="17" t="str">
        <f>IF(共有用1!AN63="","",共有用1!AN63&amp;"/"&amp;COUNTIF(共有用1!AN$2:AN63,共有用1!AN63))</f>
        <v/>
      </c>
      <c r="AO63" s="17" t="str">
        <f>IF(共有用1!AO63="","",共有用1!AO63&amp;"/"&amp;COUNTIF(共有用1!AO$2:AO63,共有用1!AO63))</f>
        <v/>
      </c>
      <c r="AP63" s="17" t="str">
        <f>IF(共有用1!AP63="","",共有用1!AP63&amp;"/"&amp;COUNTIF(共有用1!AP$2:AP63,共有用1!AP63))</f>
        <v/>
      </c>
      <c r="AQ63" s="17" t="str">
        <f>IF(共有用1!AQ63="","",共有用1!AQ63&amp;"/"&amp;COUNTIF(共有用1!AQ$2:AQ63,共有用1!AQ63))</f>
        <v/>
      </c>
      <c r="AR63" s="17" t="str">
        <f>IF(共有用1!AR63="","",共有用1!AR63&amp;"/"&amp;COUNTIF(共有用1!AR$2:AR63,共有用1!AR63))</f>
        <v/>
      </c>
      <c r="AS63" s="17" t="str">
        <f>IF(共有用1!AS63="","",共有用1!AS63&amp;"/"&amp;COUNTIF(共有用1!AS$2:AS63,共有用1!AS63))</f>
        <v/>
      </c>
      <c r="AT63" s="17" t="str">
        <f>IF(共有用1!AT63="","",共有用1!AT63&amp;"/"&amp;COUNTIF(共有用1!AT$2:AT63,共有用1!AT63))</f>
        <v/>
      </c>
      <c r="AU63" s="17" t="str">
        <f>IF(共有用1!AU63="","",共有用1!AU63&amp;"/"&amp;COUNTIF(共有用1!AU$2:AU63,共有用1!AU63))</f>
        <v/>
      </c>
      <c r="AV63" s="17" t="str">
        <f>IF(共有用1!AV63="","",共有用1!AV63&amp;"/"&amp;COUNTIF(共有用1!AV$2:AV63,共有用1!AV63))</f>
        <v/>
      </c>
      <c r="AW63" s="17" t="str">
        <f>IF(共有用1!AW63="","",共有用1!AW63&amp;"/"&amp;COUNTIF(共有用1!AW$2:AW63,共有用1!AW63))</f>
        <v/>
      </c>
      <c r="AX63" s="17" t="str">
        <f>IF(共有用1!AX63="","",共有用1!AX63&amp;"/"&amp;COUNTIF(共有用1!AX$2:AX63,共有用1!AX63))</f>
        <v/>
      </c>
      <c r="AY63" s="17" t="str">
        <f>IF(共有用1!AY63="","",共有用1!AY63&amp;"/"&amp;COUNTIF(共有用1!AY$2:AY63,共有用1!AY63))</f>
        <v/>
      </c>
      <c r="AZ63" s="17" t="str">
        <f>IF(共有用1!AZ63="","",共有用1!AZ63&amp;"/"&amp;COUNTIF(共有用1!AZ$2:AZ63,共有用1!AZ63))</f>
        <v/>
      </c>
      <c r="BA63" s="17" t="str">
        <f>IF(共有用1!BA63="","",共有用1!BA63&amp;"/"&amp;COUNTIF(共有用1!BA$2:BA63,共有用1!BA63))</f>
        <v/>
      </c>
    </row>
    <row r="64" spans="1:53">
      <c r="A64" s="2" t="str">
        <f>共有用1!A64</f>
        <v/>
      </c>
      <c r="B64" s="2" t="str">
        <f>共有用1!B64</f>
        <v/>
      </c>
      <c r="C64" s="2" t="str">
        <f>共有用1!C64</f>
        <v/>
      </c>
      <c r="D64" s="17" t="str">
        <f>IF(共有用1!D64="","",共有用1!D64&amp;"/"&amp;COUNTIF(共有用1!D$2:D64,共有用1!D64))</f>
        <v/>
      </c>
      <c r="E64" s="17" t="str">
        <f>IF(共有用1!E64="","",共有用1!E64&amp;"/"&amp;COUNTIF(共有用1!E$2:E64,共有用1!E64))</f>
        <v/>
      </c>
      <c r="F64" s="17" t="str">
        <f>IF(共有用1!F64="","",共有用1!F64&amp;"/"&amp;COUNTIF(共有用1!F$2:F64,共有用1!F64))</f>
        <v/>
      </c>
      <c r="G64" s="17" t="str">
        <f>IF(共有用1!G64="","",共有用1!G64&amp;"/"&amp;COUNTIF(共有用1!G$2:G64,共有用1!G64))</f>
        <v/>
      </c>
      <c r="H64" s="17" t="str">
        <f>IF(共有用1!H64="","",共有用1!H64&amp;"/"&amp;COUNTIF(共有用1!H$2:H64,共有用1!H64))</f>
        <v/>
      </c>
      <c r="I64" s="17" t="str">
        <f>IF(共有用1!I64="","",共有用1!I64&amp;"/"&amp;COUNTIF(共有用1!I$2:I64,共有用1!I64))</f>
        <v/>
      </c>
      <c r="J64" s="17" t="str">
        <f>IF(共有用1!J64="","",共有用1!J64&amp;"/"&amp;COUNTIF(共有用1!J$2:J64,共有用1!J64))</f>
        <v/>
      </c>
      <c r="K64" s="17" t="str">
        <f>IF(共有用1!K64="","",共有用1!K64&amp;"/"&amp;COUNTIF(共有用1!K$2:K64,共有用1!K64))</f>
        <v/>
      </c>
      <c r="L64" s="17" t="str">
        <f>IF(共有用1!L64="","",共有用1!L64&amp;"/"&amp;COUNTIF(共有用1!L$2:L64,共有用1!L64))</f>
        <v/>
      </c>
      <c r="M64" s="17" t="str">
        <f>IF(共有用1!M64="","",共有用1!M64&amp;"/"&amp;COUNTIF(共有用1!M$2:M64,共有用1!M64))</f>
        <v/>
      </c>
      <c r="N64" s="17" t="str">
        <f>IF(共有用1!N64="","",共有用1!N64&amp;"/"&amp;COUNTIF(共有用1!N$2:N64,共有用1!N64))</f>
        <v/>
      </c>
      <c r="O64" s="17" t="str">
        <f>IF(共有用1!O64="","",共有用1!O64&amp;"/"&amp;COUNTIF(共有用1!O$2:O64,共有用1!O64))</f>
        <v/>
      </c>
      <c r="P64" s="17" t="str">
        <f>IF(共有用1!P64="","",共有用1!P64&amp;"/"&amp;COUNTIF(共有用1!P$2:P64,共有用1!P64))</f>
        <v/>
      </c>
      <c r="Q64" s="17" t="str">
        <f>IF(共有用1!Q64="","",共有用1!Q64&amp;"/"&amp;COUNTIF(共有用1!Q$2:Q64,共有用1!Q64))</f>
        <v/>
      </c>
      <c r="R64" s="17" t="str">
        <f>IF(共有用1!R64="","",共有用1!R64&amp;"/"&amp;COUNTIF(共有用1!R$2:R64,共有用1!R64))</f>
        <v/>
      </c>
      <c r="S64" s="17" t="str">
        <f>IF(共有用1!S64="","",共有用1!S64&amp;"/"&amp;COUNTIF(共有用1!S$2:S64,共有用1!S64))</f>
        <v/>
      </c>
      <c r="T64" s="17" t="str">
        <f>IF(共有用1!T64="","",共有用1!T64&amp;"/"&amp;COUNTIF(共有用1!T$2:T64,共有用1!T64))</f>
        <v/>
      </c>
      <c r="U64" s="17" t="str">
        <f>IF(共有用1!U64="","",共有用1!U64&amp;"/"&amp;COUNTIF(共有用1!U$2:U64,共有用1!U64))</f>
        <v/>
      </c>
      <c r="V64" s="17" t="str">
        <f>IF(共有用1!V64="","",共有用1!V64&amp;"/"&amp;COUNTIF(共有用1!V$2:V64,共有用1!V64))</f>
        <v/>
      </c>
      <c r="W64" s="17" t="str">
        <f>IF(共有用1!W64="","",共有用1!W64&amp;"/"&amp;COUNTIF(共有用1!W$2:W64,共有用1!W64))</f>
        <v/>
      </c>
      <c r="X64" s="17" t="str">
        <f>IF(共有用1!X64="","",共有用1!X64&amp;"/"&amp;COUNTIF(共有用1!X$2:X64,共有用1!X64))</f>
        <v/>
      </c>
      <c r="Y64" s="17" t="str">
        <f>IF(共有用1!Y64="","",共有用1!Y64&amp;"/"&amp;COUNTIF(共有用1!Y$2:Y64,共有用1!Y64))</f>
        <v/>
      </c>
      <c r="Z64" s="17" t="str">
        <f>IF(共有用1!Z64="","",共有用1!Z64&amp;"/"&amp;COUNTIF(共有用1!Z$2:Z64,共有用1!Z64))</f>
        <v/>
      </c>
      <c r="AA64" s="17" t="str">
        <f>IF(共有用1!AA64="","",共有用1!AA64&amp;"/"&amp;COUNTIF(共有用1!AA$2:AA64,共有用1!AA64))</f>
        <v/>
      </c>
      <c r="AB64" s="17" t="str">
        <f>IF(共有用1!AB64="","",共有用1!AB64&amp;"/"&amp;COUNTIF(共有用1!AB$2:AB64,共有用1!AB64))</f>
        <v/>
      </c>
      <c r="AC64" s="17" t="str">
        <f>IF(共有用1!AC64="","",共有用1!AC64&amp;"/"&amp;COUNTIF(共有用1!AC$2:AC64,共有用1!AC64))</f>
        <v/>
      </c>
      <c r="AD64" s="17" t="str">
        <f>IF(共有用1!AD64="","",共有用1!AD64&amp;"/"&amp;COUNTIF(共有用1!AD$2:AD64,共有用1!AD64))</f>
        <v/>
      </c>
      <c r="AE64" s="17" t="str">
        <f>IF(共有用1!AE64="","",共有用1!AE64&amp;"/"&amp;COUNTIF(共有用1!AE$2:AE64,共有用1!AE64))</f>
        <v/>
      </c>
      <c r="AF64" s="17" t="str">
        <f>IF(共有用1!AF64="","",共有用1!AF64&amp;"/"&amp;COUNTIF(共有用1!AF$2:AF64,共有用1!AF64))</f>
        <v/>
      </c>
      <c r="AG64" s="17" t="str">
        <f>IF(共有用1!AG64="","",共有用1!AG64&amp;"/"&amp;COUNTIF(共有用1!AG$2:AG64,共有用1!AG64))</f>
        <v/>
      </c>
      <c r="AH64" s="17" t="str">
        <f>IF(共有用1!AH64="","",共有用1!AH64&amp;"/"&amp;COUNTIF(共有用1!AH$2:AH64,共有用1!AH64))</f>
        <v/>
      </c>
      <c r="AI64" s="17" t="str">
        <f>IF(共有用1!AI64="","",共有用1!AI64&amp;"/"&amp;COUNTIF(共有用1!AI$2:AI64,共有用1!AI64))</f>
        <v/>
      </c>
      <c r="AJ64" s="17" t="str">
        <f>IF(共有用1!AJ64="","",共有用1!AJ64&amp;"/"&amp;COUNTIF(共有用1!AJ$2:AJ64,共有用1!AJ64))</f>
        <v/>
      </c>
      <c r="AK64" s="17" t="str">
        <f>IF(共有用1!AK64="","",共有用1!AK64&amp;"/"&amp;COUNTIF(共有用1!AK$2:AK64,共有用1!AK64))</f>
        <v/>
      </c>
      <c r="AL64" s="17" t="str">
        <f>IF(共有用1!AL64="","",共有用1!AL64&amp;"/"&amp;COUNTIF(共有用1!AL$2:AL64,共有用1!AL64))</f>
        <v/>
      </c>
      <c r="AM64" s="17" t="str">
        <f>IF(共有用1!AM64="","",共有用1!AM64&amp;"/"&amp;COUNTIF(共有用1!AM$2:AM64,共有用1!AM64))</f>
        <v/>
      </c>
      <c r="AN64" s="17" t="str">
        <f>IF(共有用1!AN64="","",共有用1!AN64&amp;"/"&amp;COUNTIF(共有用1!AN$2:AN64,共有用1!AN64))</f>
        <v/>
      </c>
      <c r="AO64" s="17" t="str">
        <f>IF(共有用1!AO64="","",共有用1!AO64&amp;"/"&amp;COUNTIF(共有用1!AO$2:AO64,共有用1!AO64))</f>
        <v/>
      </c>
      <c r="AP64" s="17" t="str">
        <f>IF(共有用1!AP64="","",共有用1!AP64&amp;"/"&amp;COUNTIF(共有用1!AP$2:AP64,共有用1!AP64))</f>
        <v/>
      </c>
      <c r="AQ64" s="17" t="str">
        <f>IF(共有用1!AQ64="","",共有用1!AQ64&amp;"/"&amp;COUNTIF(共有用1!AQ$2:AQ64,共有用1!AQ64))</f>
        <v/>
      </c>
      <c r="AR64" s="17" t="str">
        <f>IF(共有用1!AR64="","",共有用1!AR64&amp;"/"&amp;COUNTIF(共有用1!AR$2:AR64,共有用1!AR64))</f>
        <v/>
      </c>
      <c r="AS64" s="17" t="str">
        <f>IF(共有用1!AS64="","",共有用1!AS64&amp;"/"&amp;COUNTIF(共有用1!AS$2:AS64,共有用1!AS64))</f>
        <v/>
      </c>
      <c r="AT64" s="17" t="str">
        <f>IF(共有用1!AT64="","",共有用1!AT64&amp;"/"&amp;COUNTIF(共有用1!AT$2:AT64,共有用1!AT64))</f>
        <v/>
      </c>
      <c r="AU64" s="17" t="str">
        <f>IF(共有用1!AU64="","",共有用1!AU64&amp;"/"&amp;COUNTIF(共有用1!AU$2:AU64,共有用1!AU64))</f>
        <v/>
      </c>
      <c r="AV64" s="17" t="str">
        <f>IF(共有用1!AV64="","",共有用1!AV64&amp;"/"&amp;COUNTIF(共有用1!AV$2:AV64,共有用1!AV64))</f>
        <v/>
      </c>
      <c r="AW64" s="17" t="str">
        <f>IF(共有用1!AW64="","",共有用1!AW64&amp;"/"&amp;COUNTIF(共有用1!AW$2:AW64,共有用1!AW64))</f>
        <v/>
      </c>
      <c r="AX64" s="17" t="str">
        <f>IF(共有用1!AX64="","",共有用1!AX64&amp;"/"&amp;COUNTIF(共有用1!AX$2:AX64,共有用1!AX64))</f>
        <v/>
      </c>
      <c r="AY64" s="17" t="str">
        <f>IF(共有用1!AY64="","",共有用1!AY64&amp;"/"&amp;COUNTIF(共有用1!AY$2:AY64,共有用1!AY64))</f>
        <v/>
      </c>
      <c r="AZ64" s="17" t="str">
        <f>IF(共有用1!AZ64="","",共有用1!AZ64&amp;"/"&amp;COUNTIF(共有用1!AZ$2:AZ64,共有用1!AZ64))</f>
        <v/>
      </c>
      <c r="BA64" s="17" t="str">
        <f>IF(共有用1!BA64="","",共有用1!BA64&amp;"/"&amp;COUNTIF(共有用1!BA$2:BA64,共有用1!BA64))</f>
        <v/>
      </c>
    </row>
    <row r="65" spans="1:53">
      <c r="A65" s="2" t="str">
        <f>共有用1!A65</f>
        <v/>
      </c>
      <c r="B65" s="2" t="str">
        <f>共有用1!B65</f>
        <v/>
      </c>
      <c r="C65" s="2" t="str">
        <f>共有用1!C65</f>
        <v/>
      </c>
      <c r="D65" s="17" t="str">
        <f>IF(共有用1!D65="","",共有用1!D65&amp;"/"&amp;COUNTIF(共有用1!D$2:D65,共有用1!D65))</f>
        <v/>
      </c>
      <c r="E65" s="17" t="str">
        <f>IF(共有用1!E65="","",共有用1!E65&amp;"/"&amp;COUNTIF(共有用1!E$2:E65,共有用1!E65))</f>
        <v/>
      </c>
      <c r="F65" s="17" t="str">
        <f>IF(共有用1!F65="","",共有用1!F65&amp;"/"&amp;COUNTIF(共有用1!F$2:F65,共有用1!F65))</f>
        <v/>
      </c>
      <c r="G65" s="17" t="str">
        <f>IF(共有用1!G65="","",共有用1!G65&amp;"/"&amp;COUNTIF(共有用1!G$2:G65,共有用1!G65))</f>
        <v/>
      </c>
      <c r="H65" s="17" t="str">
        <f>IF(共有用1!H65="","",共有用1!H65&amp;"/"&amp;COUNTIF(共有用1!H$2:H65,共有用1!H65))</f>
        <v/>
      </c>
      <c r="I65" s="17" t="str">
        <f>IF(共有用1!I65="","",共有用1!I65&amp;"/"&amp;COUNTIF(共有用1!I$2:I65,共有用1!I65))</f>
        <v/>
      </c>
      <c r="J65" s="17" t="str">
        <f>IF(共有用1!J65="","",共有用1!J65&amp;"/"&amp;COUNTIF(共有用1!J$2:J65,共有用1!J65))</f>
        <v/>
      </c>
      <c r="K65" s="17" t="str">
        <f>IF(共有用1!K65="","",共有用1!K65&amp;"/"&amp;COUNTIF(共有用1!K$2:K65,共有用1!K65))</f>
        <v/>
      </c>
      <c r="L65" s="17" t="str">
        <f>IF(共有用1!L65="","",共有用1!L65&amp;"/"&amp;COUNTIF(共有用1!L$2:L65,共有用1!L65))</f>
        <v/>
      </c>
      <c r="M65" s="17" t="str">
        <f>IF(共有用1!M65="","",共有用1!M65&amp;"/"&amp;COUNTIF(共有用1!M$2:M65,共有用1!M65))</f>
        <v/>
      </c>
      <c r="N65" s="17" t="str">
        <f>IF(共有用1!N65="","",共有用1!N65&amp;"/"&amp;COUNTIF(共有用1!N$2:N65,共有用1!N65))</f>
        <v/>
      </c>
      <c r="O65" s="17" t="str">
        <f>IF(共有用1!O65="","",共有用1!O65&amp;"/"&amp;COUNTIF(共有用1!O$2:O65,共有用1!O65))</f>
        <v/>
      </c>
      <c r="P65" s="17" t="str">
        <f>IF(共有用1!P65="","",共有用1!P65&amp;"/"&amp;COUNTIF(共有用1!P$2:P65,共有用1!P65))</f>
        <v/>
      </c>
      <c r="Q65" s="17" t="str">
        <f>IF(共有用1!Q65="","",共有用1!Q65&amp;"/"&amp;COUNTIF(共有用1!Q$2:Q65,共有用1!Q65))</f>
        <v/>
      </c>
      <c r="R65" s="17" t="str">
        <f>IF(共有用1!R65="","",共有用1!R65&amp;"/"&amp;COUNTIF(共有用1!R$2:R65,共有用1!R65))</f>
        <v/>
      </c>
      <c r="S65" s="17" t="str">
        <f>IF(共有用1!S65="","",共有用1!S65&amp;"/"&amp;COUNTIF(共有用1!S$2:S65,共有用1!S65))</f>
        <v/>
      </c>
      <c r="T65" s="17" t="str">
        <f>IF(共有用1!T65="","",共有用1!T65&amp;"/"&amp;COUNTIF(共有用1!T$2:T65,共有用1!T65))</f>
        <v/>
      </c>
      <c r="U65" s="17" t="str">
        <f>IF(共有用1!U65="","",共有用1!U65&amp;"/"&amp;COUNTIF(共有用1!U$2:U65,共有用1!U65))</f>
        <v/>
      </c>
      <c r="V65" s="17" t="str">
        <f>IF(共有用1!V65="","",共有用1!V65&amp;"/"&amp;COUNTIF(共有用1!V$2:V65,共有用1!V65))</f>
        <v/>
      </c>
      <c r="W65" s="17" t="str">
        <f>IF(共有用1!W65="","",共有用1!W65&amp;"/"&amp;COUNTIF(共有用1!W$2:W65,共有用1!W65))</f>
        <v/>
      </c>
      <c r="X65" s="17" t="str">
        <f>IF(共有用1!X65="","",共有用1!X65&amp;"/"&amp;COUNTIF(共有用1!X$2:X65,共有用1!X65))</f>
        <v/>
      </c>
      <c r="Y65" s="17" t="str">
        <f>IF(共有用1!Y65="","",共有用1!Y65&amp;"/"&amp;COUNTIF(共有用1!Y$2:Y65,共有用1!Y65))</f>
        <v/>
      </c>
      <c r="Z65" s="17" t="str">
        <f>IF(共有用1!Z65="","",共有用1!Z65&amp;"/"&amp;COUNTIF(共有用1!Z$2:Z65,共有用1!Z65))</f>
        <v/>
      </c>
      <c r="AA65" s="17" t="str">
        <f>IF(共有用1!AA65="","",共有用1!AA65&amp;"/"&amp;COUNTIF(共有用1!AA$2:AA65,共有用1!AA65))</f>
        <v/>
      </c>
      <c r="AB65" s="17" t="str">
        <f>IF(共有用1!AB65="","",共有用1!AB65&amp;"/"&amp;COUNTIF(共有用1!AB$2:AB65,共有用1!AB65))</f>
        <v/>
      </c>
      <c r="AC65" s="17" t="str">
        <f>IF(共有用1!AC65="","",共有用1!AC65&amp;"/"&amp;COUNTIF(共有用1!AC$2:AC65,共有用1!AC65))</f>
        <v/>
      </c>
      <c r="AD65" s="17" t="str">
        <f>IF(共有用1!AD65="","",共有用1!AD65&amp;"/"&amp;COUNTIF(共有用1!AD$2:AD65,共有用1!AD65))</f>
        <v/>
      </c>
      <c r="AE65" s="17" t="str">
        <f>IF(共有用1!AE65="","",共有用1!AE65&amp;"/"&amp;COUNTIF(共有用1!AE$2:AE65,共有用1!AE65))</f>
        <v/>
      </c>
      <c r="AF65" s="17" t="str">
        <f>IF(共有用1!AF65="","",共有用1!AF65&amp;"/"&amp;COUNTIF(共有用1!AF$2:AF65,共有用1!AF65))</f>
        <v/>
      </c>
      <c r="AG65" s="17" t="str">
        <f>IF(共有用1!AG65="","",共有用1!AG65&amp;"/"&amp;COUNTIF(共有用1!AG$2:AG65,共有用1!AG65))</f>
        <v/>
      </c>
      <c r="AH65" s="17" t="str">
        <f>IF(共有用1!AH65="","",共有用1!AH65&amp;"/"&amp;COUNTIF(共有用1!AH$2:AH65,共有用1!AH65))</f>
        <v/>
      </c>
      <c r="AI65" s="17" t="str">
        <f>IF(共有用1!AI65="","",共有用1!AI65&amp;"/"&amp;COUNTIF(共有用1!AI$2:AI65,共有用1!AI65))</f>
        <v/>
      </c>
      <c r="AJ65" s="17" t="str">
        <f>IF(共有用1!AJ65="","",共有用1!AJ65&amp;"/"&amp;COUNTIF(共有用1!AJ$2:AJ65,共有用1!AJ65))</f>
        <v/>
      </c>
      <c r="AK65" s="17" t="str">
        <f>IF(共有用1!AK65="","",共有用1!AK65&amp;"/"&amp;COUNTIF(共有用1!AK$2:AK65,共有用1!AK65))</f>
        <v/>
      </c>
      <c r="AL65" s="17" t="str">
        <f>IF(共有用1!AL65="","",共有用1!AL65&amp;"/"&amp;COUNTIF(共有用1!AL$2:AL65,共有用1!AL65))</f>
        <v/>
      </c>
      <c r="AM65" s="17" t="str">
        <f>IF(共有用1!AM65="","",共有用1!AM65&amp;"/"&amp;COUNTIF(共有用1!AM$2:AM65,共有用1!AM65))</f>
        <v/>
      </c>
      <c r="AN65" s="17" t="str">
        <f>IF(共有用1!AN65="","",共有用1!AN65&amp;"/"&amp;COUNTIF(共有用1!AN$2:AN65,共有用1!AN65))</f>
        <v/>
      </c>
      <c r="AO65" s="17" t="str">
        <f>IF(共有用1!AO65="","",共有用1!AO65&amp;"/"&amp;COUNTIF(共有用1!AO$2:AO65,共有用1!AO65))</f>
        <v/>
      </c>
      <c r="AP65" s="17" t="str">
        <f>IF(共有用1!AP65="","",共有用1!AP65&amp;"/"&amp;COUNTIF(共有用1!AP$2:AP65,共有用1!AP65))</f>
        <v/>
      </c>
      <c r="AQ65" s="17" t="str">
        <f>IF(共有用1!AQ65="","",共有用1!AQ65&amp;"/"&amp;COUNTIF(共有用1!AQ$2:AQ65,共有用1!AQ65))</f>
        <v/>
      </c>
      <c r="AR65" s="17" t="str">
        <f>IF(共有用1!AR65="","",共有用1!AR65&amp;"/"&amp;COUNTIF(共有用1!AR$2:AR65,共有用1!AR65))</f>
        <v/>
      </c>
      <c r="AS65" s="17" t="str">
        <f>IF(共有用1!AS65="","",共有用1!AS65&amp;"/"&amp;COUNTIF(共有用1!AS$2:AS65,共有用1!AS65))</f>
        <v/>
      </c>
      <c r="AT65" s="17" t="str">
        <f>IF(共有用1!AT65="","",共有用1!AT65&amp;"/"&amp;COUNTIF(共有用1!AT$2:AT65,共有用1!AT65))</f>
        <v/>
      </c>
      <c r="AU65" s="17" t="str">
        <f>IF(共有用1!AU65="","",共有用1!AU65&amp;"/"&amp;COUNTIF(共有用1!AU$2:AU65,共有用1!AU65))</f>
        <v/>
      </c>
      <c r="AV65" s="17" t="str">
        <f>IF(共有用1!AV65="","",共有用1!AV65&amp;"/"&amp;COUNTIF(共有用1!AV$2:AV65,共有用1!AV65))</f>
        <v/>
      </c>
      <c r="AW65" s="17" t="str">
        <f>IF(共有用1!AW65="","",共有用1!AW65&amp;"/"&amp;COUNTIF(共有用1!AW$2:AW65,共有用1!AW65))</f>
        <v/>
      </c>
      <c r="AX65" s="17" t="str">
        <f>IF(共有用1!AX65="","",共有用1!AX65&amp;"/"&amp;COUNTIF(共有用1!AX$2:AX65,共有用1!AX65))</f>
        <v/>
      </c>
      <c r="AY65" s="17" t="str">
        <f>IF(共有用1!AY65="","",共有用1!AY65&amp;"/"&amp;COUNTIF(共有用1!AY$2:AY65,共有用1!AY65))</f>
        <v/>
      </c>
      <c r="AZ65" s="17" t="str">
        <f>IF(共有用1!AZ65="","",共有用1!AZ65&amp;"/"&amp;COUNTIF(共有用1!AZ$2:AZ65,共有用1!AZ65))</f>
        <v/>
      </c>
      <c r="BA65" s="17" t="str">
        <f>IF(共有用1!BA65="","",共有用1!BA65&amp;"/"&amp;COUNTIF(共有用1!BA$2:BA65,共有用1!BA65))</f>
        <v/>
      </c>
    </row>
    <row r="66" spans="1:53">
      <c r="A66" s="2" t="str">
        <f>共有用1!A66</f>
        <v/>
      </c>
      <c r="B66" s="2" t="str">
        <f>共有用1!B66</f>
        <v/>
      </c>
      <c r="C66" s="2" t="str">
        <f>共有用1!C66</f>
        <v/>
      </c>
      <c r="D66" s="17" t="str">
        <f>IF(共有用1!D66="","",共有用1!D66&amp;"/"&amp;COUNTIF(共有用1!D$2:D66,共有用1!D66))</f>
        <v/>
      </c>
      <c r="E66" s="17" t="str">
        <f>IF(共有用1!E66="","",共有用1!E66&amp;"/"&amp;COUNTIF(共有用1!E$2:E66,共有用1!E66))</f>
        <v/>
      </c>
      <c r="F66" s="17" t="str">
        <f>IF(共有用1!F66="","",共有用1!F66&amp;"/"&amp;COUNTIF(共有用1!F$2:F66,共有用1!F66))</f>
        <v/>
      </c>
      <c r="G66" s="17" t="str">
        <f>IF(共有用1!G66="","",共有用1!G66&amp;"/"&amp;COUNTIF(共有用1!G$2:G66,共有用1!G66))</f>
        <v/>
      </c>
      <c r="H66" s="17" t="str">
        <f>IF(共有用1!H66="","",共有用1!H66&amp;"/"&amp;COUNTIF(共有用1!H$2:H66,共有用1!H66))</f>
        <v/>
      </c>
      <c r="I66" s="17" t="str">
        <f>IF(共有用1!I66="","",共有用1!I66&amp;"/"&amp;COUNTIF(共有用1!I$2:I66,共有用1!I66))</f>
        <v/>
      </c>
      <c r="J66" s="17" t="str">
        <f>IF(共有用1!J66="","",共有用1!J66&amp;"/"&amp;COUNTIF(共有用1!J$2:J66,共有用1!J66))</f>
        <v/>
      </c>
      <c r="K66" s="17" t="str">
        <f>IF(共有用1!K66="","",共有用1!K66&amp;"/"&amp;COUNTIF(共有用1!K$2:K66,共有用1!K66))</f>
        <v/>
      </c>
      <c r="L66" s="17" t="str">
        <f>IF(共有用1!L66="","",共有用1!L66&amp;"/"&amp;COUNTIF(共有用1!L$2:L66,共有用1!L66))</f>
        <v/>
      </c>
      <c r="M66" s="17" t="str">
        <f>IF(共有用1!M66="","",共有用1!M66&amp;"/"&amp;COUNTIF(共有用1!M$2:M66,共有用1!M66))</f>
        <v/>
      </c>
      <c r="N66" s="17" t="str">
        <f>IF(共有用1!N66="","",共有用1!N66&amp;"/"&amp;COUNTIF(共有用1!N$2:N66,共有用1!N66))</f>
        <v/>
      </c>
      <c r="O66" s="17" t="str">
        <f>IF(共有用1!O66="","",共有用1!O66&amp;"/"&amp;COUNTIF(共有用1!O$2:O66,共有用1!O66))</f>
        <v/>
      </c>
      <c r="P66" s="17" t="str">
        <f>IF(共有用1!P66="","",共有用1!P66&amp;"/"&amp;COUNTIF(共有用1!P$2:P66,共有用1!P66))</f>
        <v/>
      </c>
      <c r="Q66" s="17" t="str">
        <f>IF(共有用1!Q66="","",共有用1!Q66&amp;"/"&amp;COUNTIF(共有用1!Q$2:Q66,共有用1!Q66))</f>
        <v/>
      </c>
      <c r="R66" s="17" t="str">
        <f>IF(共有用1!R66="","",共有用1!R66&amp;"/"&amp;COUNTIF(共有用1!R$2:R66,共有用1!R66))</f>
        <v/>
      </c>
      <c r="S66" s="17" t="str">
        <f>IF(共有用1!S66="","",共有用1!S66&amp;"/"&amp;COUNTIF(共有用1!S$2:S66,共有用1!S66))</f>
        <v/>
      </c>
      <c r="T66" s="17" t="str">
        <f>IF(共有用1!T66="","",共有用1!T66&amp;"/"&amp;COUNTIF(共有用1!T$2:T66,共有用1!T66))</f>
        <v/>
      </c>
      <c r="U66" s="17" t="str">
        <f>IF(共有用1!U66="","",共有用1!U66&amp;"/"&amp;COUNTIF(共有用1!U$2:U66,共有用1!U66))</f>
        <v/>
      </c>
      <c r="V66" s="17" t="str">
        <f>IF(共有用1!V66="","",共有用1!V66&amp;"/"&amp;COUNTIF(共有用1!V$2:V66,共有用1!V66))</f>
        <v/>
      </c>
      <c r="W66" s="17" t="str">
        <f>IF(共有用1!W66="","",共有用1!W66&amp;"/"&amp;COUNTIF(共有用1!W$2:W66,共有用1!W66))</f>
        <v/>
      </c>
      <c r="X66" s="17" t="str">
        <f>IF(共有用1!X66="","",共有用1!X66&amp;"/"&amp;COUNTIF(共有用1!X$2:X66,共有用1!X66))</f>
        <v/>
      </c>
      <c r="Y66" s="17" t="str">
        <f>IF(共有用1!Y66="","",共有用1!Y66&amp;"/"&amp;COUNTIF(共有用1!Y$2:Y66,共有用1!Y66))</f>
        <v/>
      </c>
      <c r="Z66" s="17" t="str">
        <f>IF(共有用1!Z66="","",共有用1!Z66&amp;"/"&amp;COUNTIF(共有用1!Z$2:Z66,共有用1!Z66))</f>
        <v/>
      </c>
      <c r="AA66" s="17" t="str">
        <f>IF(共有用1!AA66="","",共有用1!AA66&amp;"/"&amp;COUNTIF(共有用1!AA$2:AA66,共有用1!AA66))</f>
        <v/>
      </c>
      <c r="AB66" s="17" t="str">
        <f>IF(共有用1!AB66="","",共有用1!AB66&amp;"/"&amp;COUNTIF(共有用1!AB$2:AB66,共有用1!AB66))</f>
        <v/>
      </c>
      <c r="AC66" s="17" t="str">
        <f>IF(共有用1!AC66="","",共有用1!AC66&amp;"/"&amp;COUNTIF(共有用1!AC$2:AC66,共有用1!AC66))</f>
        <v/>
      </c>
      <c r="AD66" s="17" t="str">
        <f>IF(共有用1!AD66="","",共有用1!AD66&amp;"/"&amp;COUNTIF(共有用1!AD$2:AD66,共有用1!AD66))</f>
        <v/>
      </c>
      <c r="AE66" s="17" t="str">
        <f>IF(共有用1!AE66="","",共有用1!AE66&amp;"/"&amp;COUNTIF(共有用1!AE$2:AE66,共有用1!AE66))</f>
        <v/>
      </c>
      <c r="AF66" s="17" t="str">
        <f>IF(共有用1!AF66="","",共有用1!AF66&amp;"/"&amp;COUNTIF(共有用1!AF$2:AF66,共有用1!AF66))</f>
        <v/>
      </c>
      <c r="AG66" s="17" t="str">
        <f>IF(共有用1!AG66="","",共有用1!AG66&amp;"/"&amp;COUNTIF(共有用1!AG$2:AG66,共有用1!AG66))</f>
        <v/>
      </c>
      <c r="AH66" s="17" t="str">
        <f>IF(共有用1!AH66="","",共有用1!AH66&amp;"/"&amp;COUNTIF(共有用1!AH$2:AH66,共有用1!AH66))</f>
        <v/>
      </c>
      <c r="AI66" s="17" t="str">
        <f>IF(共有用1!AI66="","",共有用1!AI66&amp;"/"&amp;COUNTIF(共有用1!AI$2:AI66,共有用1!AI66))</f>
        <v/>
      </c>
      <c r="AJ66" s="17" t="str">
        <f>IF(共有用1!AJ66="","",共有用1!AJ66&amp;"/"&amp;COUNTIF(共有用1!AJ$2:AJ66,共有用1!AJ66))</f>
        <v/>
      </c>
      <c r="AK66" s="17" t="str">
        <f>IF(共有用1!AK66="","",共有用1!AK66&amp;"/"&amp;COUNTIF(共有用1!AK$2:AK66,共有用1!AK66))</f>
        <v/>
      </c>
      <c r="AL66" s="17" t="str">
        <f>IF(共有用1!AL66="","",共有用1!AL66&amp;"/"&amp;COUNTIF(共有用1!AL$2:AL66,共有用1!AL66))</f>
        <v/>
      </c>
      <c r="AM66" s="17" t="str">
        <f>IF(共有用1!AM66="","",共有用1!AM66&amp;"/"&amp;COUNTIF(共有用1!AM$2:AM66,共有用1!AM66))</f>
        <v/>
      </c>
      <c r="AN66" s="17" t="str">
        <f>IF(共有用1!AN66="","",共有用1!AN66&amp;"/"&amp;COUNTIF(共有用1!AN$2:AN66,共有用1!AN66))</f>
        <v/>
      </c>
      <c r="AO66" s="17" t="str">
        <f>IF(共有用1!AO66="","",共有用1!AO66&amp;"/"&amp;COUNTIF(共有用1!AO$2:AO66,共有用1!AO66))</f>
        <v/>
      </c>
      <c r="AP66" s="17" t="str">
        <f>IF(共有用1!AP66="","",共有用1!AP66&amp;"/"&amp;COUNTIF(共有用1!AP$2:AP66,共有用1!AP66))</f>
        <v/>
      </c>
      <c r="AQ66" s="17" t="str">
        <f>IF(共有用1!AQ66="","",共有用1!AQ66&amp;"/"&amp;COUNTIF(共有用1!AQ$2:AQ66,共有用1!AQ66))</f>
        <v/>
      </c>
      <c r="AR66" s="17" t="str">
        <f>IF(共有用1!AR66="","",共有用1!AR66&amp;"/"&amp;COUNTIF(共有用1!AR$2:AR66,共有用1!AR66))</f>
        <v/>
      </c>
      <c r="AS66" s="17" t="str">
        <f>IF(共有用1!AS66="","",共有用1!AS66&amp;"/"&amp;COUNTIF(共有用1!AS$2:AS66,共有用1!AS66))</f>
        <v/>
      </c>
      <c r="AT66" s="17" t="str">
        <f>IF(共有用1!AT66="","",共有用1!AT66&amp;"/"&amp;COUNTIF(共有用1!AT$2:AT66,共有用1!AT66))</f>
        <v/>
      </c>
      <c r="AU66" s="17" t="str">
        <f>IF(共有用1!AU66="","",共有用1!AU66&amp;"/"&amp;COUNTIF(共有用1!AU$2:AU66,共有用1!AU66))</f>
        <v/>
      </c>
      <c r="AV66" s="17" t="str">
        <f>IF(共有用1!AV66="","",共有用1!AV66&amp;"/"&amp;COUNTIF(共有用1!AV$2:AV66,共有用1!AV66))</f>
        <v/>
      </c>
      <c r="AW66" s="17" t="str">
        <f>IF(共有用1!AW66="","",共有用1!AW66&amp;"/"&amp;COUNTIF(共有用1!AW$2:AW66,共有用1!AW66))</f>
        <v/>
      </c>
      <c r="AX66" s="17" t="str">
        <f>IF(共有用1!AX66="","",共有用1!AX66&amp;"/"&amp;COUNTIF(共有用1!AX$2:AX66,共有用1!AX66))</f>
        <v/>
      </c>
      <c r="AY66" s="17" t="str">
        <f>IF(共有用1!AY66="","",共有用1!AY66&amp;"/"&amp;COUNTIF(共有用1!AY$2:AY66,共有用1!AY66))</f>
        <v/>
      </c>
      <c r="AZ66" s="17" t="str">
        <f>IF(共有用1!AZ66="","",共有用1!AZ66&amp;"/"&amp;COUNTIF(共有用1!AZ$2:AZ66,共有用1!AZ66))</f>
        <v/>
      </c>
      <c r="BA66" s="17" t="str">
        <f>IF(共有用1!BA66="","",共有用1!BA66&amp;"/"&amp;COUNTIF(共有用1!BA$2:BA66,共有用1!BA66))</f>
        <v/>
      </c>
    </row>
    <row r="67" spans="1:53">
      <c r="A67" s="2" t="str">
        <f>共有用1!A67</f>
        <v/>
      </c>
      <c r="B67" s="2" t="str">
        <f>共有用1!B67</f>
        <v/>
      </c>
      <c r="C67" s="2" t="str">
        <f>共有用1!C67</f>
        <v/>
      </c>
      <c r="D67" s="17" t="str">
        <f>IF(共有用1!D67="","",共有用1!D67&amp;"/"&amp;COUNTIF(共有用1!D$2:D67,共有用1!D67))</f>
        <v/>
      </c>
      <c r="E67" s="17" t="str">
        <f>IF(共有用1!E67="","",共有用1!E67&amp;"/"&amp;COUNTIF(共有用1!E$2:E67,共有用1!E67))</f>
        <v/>
      </c>
      <c r="F67" s="17" t="str">
        <f>IF(共有用1!F67="","",共有用1!F67&amp;"/"&amp;COUNTIF(共有用1!F$2:F67,共有用1!F67))</f>
        <v/>
      </c>
      <c r="G67" s="17" t="str">
        <f>IF(共有用1!G67="","",共有用1!G67&amp;"/"&amp;COUNTIF(共有用1!G$2:G67,共有用1!G67))</f>
        <v/>
      </c>
      <c r="H67" s="17" t="str">
        <f>IF(共有用1!H67="","",共有用1!H67&amp;"/"&amp;COUNTIF(共有用1!H$2:H67,共有用1!H67))</f>
        <v/>
      </c>
      <c r="I67" s="17" t="str">
        <f>IF(共有用1!I67="","",共有用1!I67&amp;"/"&amp;COUNTIF(共有用1!I$2:I67,共有用1!I67))</f>
        <v/>
      </c>
      <c r="J67" s="17" t="str">
        <f>IF(共有用1!J67="","",共有用1!J67&amp;"/"&amp;COUNTIF(共有用1!J$2:J67,共有用1!J67))</f>
        <v/>
      </c>
      <c r="K67" s="17" t="str">
        <f>IF(共有用1!K67="","",共有用1!K67&amp;"/"&amp;COUNTIF(共有用1!K$2:K67,共有用1!K67))</f>
        <v/>
      </c>
      <c r="L67" s="17" t="str">
        <f>IF(共有用1!L67="","",共有用1!L67&amp;"/"&amp;COUNTIF(共有用1!L$2:L67,共有用1!L67))</f>
        <v/>
      </c>
      <c r="M67" s="17" t="str">
        <f>IF(共有用1!M67="","",共有用1!M67&amp;"/"&amp;COUNTIF(共有用1!M$2:M67,共有用1!M67))</f>
        <v/>
      </c>
      <c r="N67" s="17" t="str">
        <f>IF(共有用1!N67="","",共有用1!N67&amp;"/"&amp;COUNTIF(共有用1!N$2:N67,共有用1!N67))</f>
        <v/>
      </c>
      <c r="O67" s="17" t="str">
        <f>IF(共有用1!O67="","",共有用1!O67&amp;"/"&amp;COUNTIF(共有用1!O$2:O67,共有用1!O67))</f>
        <v/>
      </c>
      <c r="P67" s="17" t="str">
        <f>IF(共有用1!P67="","",共有用1!P67&amp;"/"&amp;COUNTIF(共有用1!P$2:P67,共有用1!P67))</f>
        <v/>
      </c>
      <c r="Q67" s="17" t="str">
        <f>IF(共有用1!Q67="","",共有用1!Q67&amp;"/"&amp;COUNTIF(共有用1!Q$2:Q67,共有用1!Q67))</f>
        <v/>
      </c>
      <c r="R67" s="17" t="str">
        <f>IF(共有用1!R67="","",共有用1!R67&amp;"/"&amp;COUNTIF(共有用1!R$2:R67,共有用1!R67))</f>
        <v/>
      </c>
      <c r="S67" s="17" t="str">
        <f>IF(共有用1!S67="","",共有用1!S67&amp;"/"&amp;COUNTIF(共有用1!S$2:S67,共有用1!S67))</f>
        <v/>
      </c>
      <c r="T67" s="17" t="str">
        <f>IF(共有用1!T67="","",共有用1!T67&amp;"/"&amp;COUNTIF(共有用1!T$2:T67,共有用1!T67))</f>
        <v/>
      </c>
      <c r="U67" s="17" t="str">
        <f>IF(共有用1!U67="","",共有用1!U67&amp;"/"&amp;COUNTIF(共有用1!U$2:U67,共有用1!U67))</f>
        <v/>
      </c>
      <c r="V67" s="17" t="str">
        <f>IF(共有用1!V67="","",共有用1!V67&amp;"/"&amp;COUNTIF(共有用1!V$2:V67,共有用1!V67))</f>
        <v/>
      </c>
      <c r="W67" s="17" t="str">
        <f>IF(共有用1!W67="","",共有用1!W67&amp;"/"&amp;COUNTIF(共有用1!W$2:W67,共有用1!W67))</f>
        <v/>
      </c>
      <c r="X67" s="17" t="str">
        <f>IF(共有用1!X67="","",共有用1!X67&amp;"/"&amp;COUNTIF(共有用1!X$2:X67,共有用1!X67))</f>
        <v/>
      </c>
      <c r="Y67" s="17" t="str">
        <f>IF(共有用1!Y67="","",共有用1!Y67&amp;"/"&amp;COUNTIF(共有用1!Y$2:Y67,共有用1!Y67))</f>
        <v/>
      </c>
      <c r="Z67" s="17" t="str">
        <f>IF(共有用1!Z67="","",共有用1!Z67&amp;"/"&amp;COUNTIF(共有用1!Z$2:Z67,共有用1!Z67))</f>
        <v/>
      </c>
      <c r="AA67" s="17" t="str">
        <f>IF(共有用1!AA67="","",共有用1!AA67&amp;"/"&amp;COUNTIF(共有用1!AA$2:AA67,共有用1!AA67))</f>
        <v/>
      </c>
      <c r="AB67" s="17" t="str">
        <f>IF(共有用1!AB67="","",共有用1!AB67&amp;"/"&amp;COUNTIF(共有用1!AB$2:AB67,共有用1!AB67))</f>
        <v/>
      </c>
      <c r="AC67" s="17" t="str">
        <f>IF(共有用1!AC67="","",共有用1!AC67&amp;"/"&amp;COUNTIF(共有用1!AC$2:AC67,共有用1!AC67))</f>
        <v/>
      </c>
      <c r="AD67" s="17" t="str">
        <f>IF(共有用1!AD67="","",共有用1!AD67&amp;"/"&amp;COUNTIF(共有用1!AD$2:AD67,共有用1!AD67))</f>
        <v/>
      </c>
      <c r="AE67" s="17" t="str">
        <f>IF(共有用1!AE67="","",共有用1!AE67&amp;"/"&amp;COUNTIF(共有用1!AE$2:AE67,共有用1!AE67))</f>
        <v/>
      </c>
      <c r="AF67" s="17" t="str">
        <f>IF(共有用1!AF67="","",共有用1!AF67&amp;"/"&amp;COUNTIF(共有用1!AF$2:AF67,共有用1!AF67))</f>
        <v/>
      </c>
      <c r="AG67" s="17" t="str">
        <f>IF(共有用1!AG67="","",共有用1!AG67&amp;"/"&amp;COUNTIF(共有用1!AG$2:AG67,共有用1!AG67))</f>
        <v/>
      </c>
      <c r="AH67" s="17" t="str">
        <f>IF(共有用1!AH67="","",共有用1!AH67&amp;"/"&amp;COUNTIF(共有用1!AH$2:AH67,共有用1!AH67))</f>
        <v/>
      </c>
      <c r="AI67" s="17" t="str">
        <f>IF(共有用1!AI67="","",共有用1!AI67&amp;"/"&amp;COUNTIF(共有用1!AI$2:AI67,共有用1!AI67))</f>
        <v/>
      </c>
      <c r="AJ67" s="17" t="str">
        <f>IF(共有用1!AJ67="","",共有用1!AJ67&amp;"/"&amp;COUNTIF(共有用1!AJ$2:AJ67,共有用1!AJ67))</f>
        <v/>
      </c>
      <c r="AK67" s="17" t="str">
        <f>IF(共有用1!AK67="","",共有用1!AK67&amp;"/"&amp;COUNTIF(共有用1!AK$2:AK67,共有用1!AK67))</f>
        <v/>
      </c>
      <c r="AL67" s="17" t="str">
        <f>IF(共有用1!AL67="","",共有用1!AL67&amp;"/"&amp;COUNTIF(共有用1!AL$2:AL67,共有用1!AL67))</f>
        <v/>
      </c>
      <c r="AM67" s="17" t="str">
        <f>IF(共有用1!AM67="","",共有用1!AM67&amp;"/"&amp;COUNTIF(共有用1!AM$2:AM67,共有用1!AM67))</f>
        <v/>
      </c>
      <c r="AN67" s="17" t="str">
        <f>IF(共有用1!AN67="","",共有用1!AN67&amp;"/"&amp;COUNTIF(共有用1!AN$2:AN67,共有用1!AN67))</f>
        <v/>
      </c>
      <c r="AO67" s="17" t="str">
        <f>IF(共有用1!AO67="","",共有用1!AO67&amp;"/"&amp;COUNTIF(共有用1!AO$2:AO67,共有用1!AO67))</f>
        <v/>
      </c>
      <c r="AP67" s="17" t="str">
        <f>IF(共有用1!AP67="","",共有用1!AP67&amp;"/"&amp;COUNTIF(共有用1!AP$2:AP67,共有用1!AP67))</f>
        <v/>
      </c>
      <c r="AQ67" s="17" t="str">
        <f>IF(共有用1!AQ67="","",共有用1!AQ67&amp;"/"&amp;COUNTIF(共有用1!AQ$2:AQ67,共有用1!AQ67))</f>
        <v/>
      </c>
      <c r="AR67" s="17" t="str">
        <f>IF(共有用1!AR67="","",共有用1!AR67&amp;"/"&amp;COUNTIF(共有用1!AR$2:AR67,共有用1!AR67))</f>
        <v/>
      </c>
      <c r="AS67" s="17" t="str">
        <f>IF(共有用1!AS67="","",共有用1!AS67&amp;"/"&amp;COUNTIF(共有用1!AS$2:AS67,共有用1!AS67))</f>
        <v/>
      </c>
      <c r="AT67" s="17" t="str">
        <f>IF(共有用1!AT67="","",共有用1!AT67&amp;"/"&amp;COUNTIF(共有用1!AT$2:AT67,共有用1!AT67))</f>
        <v/>
      </c>
      <c r="AU67" s="17" t="str">
        <f>IF(共有用1!AU67="","",共有用1!AU67&amp;"/"&amp;COUNTIF(共有用1!AU$2:AU67,共有用1!AU67))</f>
        <v/>
      </c>
      <c r="AV67" s="17" t="str">
        <f>IF(共有用1!AV67="","",共有用1!AV67&amp;"/"&amp;COUNTIF(共有用1!AV$2:AV67,共有用1!AV67))</f>
        <v/>
      </c>
      <c r="AW67" s="17" t="str">
        <f>IF(共有用1!AW67="","",共有用1!AW67&amp;"/"&amp;COUNTIF(共有用1!AW$2:AW67,共有用1!AW67))</f>
        <v/>
      </c>
      <c r="AX67" s="17" t="str">
        <f>IF(共有用1!AX67="","",共有用1!AX67&amp;"/"&amp;COUNTIF(共有用1!AX$2:AX67,共有用1!AX67))</f>
        <v/>
      </c>
      <c r="AY67" s="17" t="str">
        <f>IF(共有用1!AY67="","",共有用1!AY67&amp;"/"&amp;COUNTIF(共有用1!AY$2:AY67,共有用1!AY67))</f>
        <v/>
      </c>
      <c r="AZ67" s="17" t="str">
        <f>IF(共有用1!AZ67="","",共有用1!AZ67&amp;"/"&amp;COUNTIF(共有用1!AZ$2:AZ67,共有用1!AZ67))</f>
        <v/>
      </c>
      <c r="BA67" s="17" t="str">
        <f>IF(共有用1!BA67="","",共有用1!BA67&amp;"/"&amp;COUNTIF(共有用1!BA$2:BA67,共有用1!BA67))</f>
        <v/>
      </c>
    </row>
    <row r="68" spans="1:53">
      <c r="A68" s="2" t="str">
        <f>共有用1!A68</f>
        <v/>
      </c>
      <c r="B68" s="2" t="str">
        <f>共有用1!B68</f>
        <v/>
      </c>
      <c r="C68" s="2" t="str">
        <f>共有用1!C68</f>
        <v/>
      </c>
      <c r="D68" s="17" t="str">
        <f>IF(共有用1!D68="","",共有用1!D68&amp;"/"&amp;COUNTIF(共有用1!D$2:D68,共有用1!D68))</f>
        <v/>
      </c>
      <c r="E68" s="17" t="str">
        <f>IF(共有用1!E68="","",共有用1!E68&amp;"/"&amp;COUNTIF(共有用1!E$2:E68,共有用1!E68))</f>
        <v/>
      </c>
      <c r="F68" s="17" t="str">
        <f>IF(共有用1!F68="","",共有用1!F68&amp;"/"&amp;COUNTIF(共有用1!F$2:F68,共有用1!F68))</f>
        <v/>
      </c>
      <c r="G68" s="17" t="str">
        <f>IF(共有用1!G68="","",共有用1!G68&amp;"/"&amp;COUNTIF(共有用1!G$2:G68,共有用1!G68))</f>
        <v/>
      </c>
      <c r="H68" s="17" t="str">
        <f>IF(共有用1!H68="","",共有用1!H68&amp;"/"&amp;COUNTIF(共有用1!H$2:H68,共有用1!H68))</f>
        <v/>
      </c>
      <c r="I68" s="17" t="str">
        <f>IF(共有用1!I68="","",共有用1!I68&amp;"/"&amp;COUNTIF(共有用1!I$2:I68,共有用1!I68))</f>
        <v/>
      </c>
      <c r="J68" s="17" t="str">
        <f>IF(共有用1!J68="","",共有用1!J68&amp;"/"&amp;COUNTIF(共有用1!J$2:J68,共有用1!J68))</f>
        <v/>
      </c>
      <c r="K68" s="17" t="str">
        <f>IF(共有用1!K68="","",共有用1!K68&amp;"/"&amp;COUNTIF(共有用1!K$2:K68,共有用1!K68))</f>
        <v/>
      </c>
      <c r="L68" s="17" t="str">
        <f>IF(共有用1!L68="","",共有用1!L68&amp;"/"&amp;COUNTIF(共有用1!L$2:L68,共有用1!L68))</f>
        <v/>
      </c>
      <c r="M68" s="17" t="str">
        <f>IF(共有用1!M68="","",共有用1!M68&amp;"/"&amp;COUNTIF(共有用1!M$2:M68,共有用1!M68))</f>
        <v/>
      </c>
      <c r="N68" s="17" t="str">
        <f>IF(共有用1!N68="","",共有用1!N68&amp;"/"&amp;COUNTIF(共有用1!N$2:N68,共有用1!N68))</f>
        <v/>
      </c>
      <c r="O68" s="17" t="str">
        <f>IF(共有用1!O68="","",共有用1!O68&amp;"/"&amp;COUNTIF(共有用1!O$2:O68,共有用1!O68))</f>
        <v/>
      </c>
      <c r="P68" s="17" t="str">
        <f>IF(共有用1!P68="","",共有用1!P68&amp;"/"&amp;COUNTIF(共有用1!P$2:P68,共有用1!P68))</f>
        <v/>
      </c>
      <c r="Q68" s="17" t="str">
        <f>IF(共有用1!Q68="","",共有用1!Q68&amp;"/"&amp;COUNTIF(共有用1!Q$2:Q68,共有用1!Q68))</f>
        <v/>
      </c>
      <c r="R68" s="17" t="str">
        <f>IF(共有用1!R68="","",共有用1!R68&amp;"/"&amp;COUNTIF(共有用1!R$2:R68,共有用1!R68))</f>
        <v/>
      </c>
      <c r="S68" s="17" t="str">
        <f>IF(共有用1!S68="","",共有用1!S68&amp;"/"&amp;COUNTIF(共有用1!S$2:S68,共有用1!S68))</f>
        <v/>
      </c>
      <c r="T68" s="17" t="str">
        <f>IF(共有用1!T68="","",共有用1!T68&amp;"/"&amp;COUNTIF(共有用1!T$2:T68,共有用1!T68))</f>
        <v/>
      </c>
      <c r="U68" s="17" t="str">
        <f>IF(共有用1!U68="","",共有用1!U68&amp;"/"&amp;COUNTIF(共有用1!U$2:U68,共有用1!U68))</f>
        <v/>
      </c>
      <c r="V68" s="17" t="str">
        <f>IF(共有用1!V68="","",共有用1!V68&amp;"/"&amp;COUNTIF(共有用1!V$2:V68,共有用1!V68))</f>
        <v/>
      </c>
      <c r="W68" s="17" t="str">
        <f>IF(共有用1!W68="","",共有用1!W68&amp;"/"&amp;COUNTIF(共有用1!W$2:W68,共有用1!W68))</f>
        <v/>
      </c>
      <c r="X68" s="17" t="str">
        <f>IF(共有用1!X68="","",共有用1!X68&amp;"/"&amp;COUNTIF(共有用1!X$2:X68,共有用1!X68))</f>
        <v/>
      </c>
      <c r="Y68" s="17" t="str">
        <f>IF(共有用1!Y68="","",共有用1!Y68&amp;"/"&amp;COUNTIF(共有用1!Y$2:Y68,共有用1!Y68))</f>
        <v/>
      </c>
      <c r="Z68" s="17" t="str">
        <f>IF(共有用1!Z68="","",共有用1!Z68&amp;"/"&amp;COUNTIF(共有用1!Z$2:Z68,共有用1!Z68))</f>
        <v/>
      </c>
      <c r="AA68" s="17" t="str">
        <f>IF(共有用1!AA68="","",共有用1!AA68&amp;"/"&amp;COUNTIF(共有用1!AA$2:AA68,共有用1!AA68))</f>
        <v/>
      </c>
      <c r="AB68" s="17" t="str">
        <f>IF(共有用1!AB68="","",共有用1!AB68&amp;"/"&amp;COUNTIF(共有用1!AB$2:AB68,共有用1!AB68))</f>
        <v/>
      </c>
      <c r="AC68" s="17" t="str">
        <f>IF(共有用1!AC68="","",共有用1!AC68&amp;"/"&amp;COUNTIF(共有用1!AC$2:AC68,共有用1!AC68))</f>
        <v/>
      </c>
      <c r="AD68" s="17" t="str">
        <f>IF(共有用1!AD68="","",共有用1!AD68&amp;"/"&amp;COUNTIF(共有用1!AD$2:AD68,共有用1!AD68))</f>
        <v/>
      </c>
      <c r="AE68" s="17" t="str">
        <f>IF(共有用1!AE68="","",共有用1!AE68&amp;"/"&amp;COUNTIF(共有用1!AE$2:AE68,共有用1!AE68))</f>
        <v/>
      </c>
      <c r="AF68" s="17" t="str">
        <f>IF(共有用1!AF68="","",共有用1!AF68&amp;"/"&amp;COUNTIF(共有用1!AF$2:AF68,共有用1!AF68))</f>
        <v/>
      </c>
      <c r="AG68" s="17" t="str">
        <f>IF(共有用1!AG68="","",共有用1!AG68&amp;"/"&amp;COUNTIF(共有用1!AG$2:AG68,共有用1!AG68))</f>
        <v/>
      </c>
      <c r="AH68" s="17" t="str">
        <f>IF(共有用1!AH68="","",共有用1!AH68&amp;"/"&amp;COUNTIF(共有用1!AH$2:AH68,共有用1!AH68))</f>
        <v/>
      </c>
      <c r="AI68" s="17" t="str">
        <f>IF(共有用1!AI68="","",共有用1!AI68&amp;"/"&amp;COUNTIF(共有用1!AI$2:AI68,共有用1!AI68))</f>
        <v/>
      </c>
      <c r="AJ68" s="17" t="str">
        <f>IF(共有用1!AJ68="","",共有用1!AJ68&amp;"/"&amp;COUNTIF(共有用1!AJ$2:AJ68,共有用1!AJ68))</f>
        <v/>
      </c>
      <c r="AK68" s="17" t="str">
        <f>IF(共有用1!AK68="","",共有用1!AK68&amp;"/"&amp;COUNTIF(共有用1!AK$2:AK68,共有用1!AK68))</f>
        <v/>
      </c>
      <c r="AL68" s="17" t="str">
        <f>IF(共有用1!AL68="","",共有用1!AL68&amp;"/"&amp;COUNTIF(共有用1!AL$2:AL68,共有用1!AL68))</f>
        <v/>
      </c>
      <c r="AM68" s="17" t="str">
        <f>IF(共有用1!AM68="","",共有用1!AM68&amp;"/"&amp;COUNTIF(共有用1!AM$2:AM68,共有用1!AM68))</f>
        <v/>
      </c>
      <c r="AN68" s="17" t="str">
        <f>IF(共有用1!AN68="","",共有用1!AN68&amp;"/"&amp;COUNTIF(共有用1!AN$2:AN68,共有用1!AN68))</f>
        <v/>
      </c>
      <c r="AO68" s="17" t="str">
        <f>IF(共有用1!AO68="","",共有用1!AO68&amp;"/"&amp;COUNTIF(共有用1!AO$2:AO68,共有用1!AO68))</f>
        <v/>
      </c>
      <c r="AP68" s="17" t="str">
        <f>IF(共有用1!AP68="","",共有用1!AP68&amp;"/"&amp;COUNTIF(共有用1!AP$2:AP68,共有用1!AP68))</f>
        <v/>
      </c>
      <c r="AQ68" s="17" t="str">
        <f>IF(共有用1!AQ68="","",共有用1!AQ68&amp;"/"&amp;COUNTIF(共有用1!AQ$2:AQ68,共有用1!AQ68))</f>
        <v/>
      </c>
      <c r="AR68" s="17" t="str">
        <f>IF(共有用1!AR68="","",共有用1!AR68&amp;"/"&amp;COUNTIF(共有用1!AR$2:AR68,共有用1!AR68))</f>
        <v/>
      </c>
      <c r="AS68" s="17" t="str">
        <f>IF(共有用1!AS68="","",共有用1!AS68&amp;"/"&amp;COUNTIF(共有用1!AS$2:AS68,共有用1!AS68))</f>
        <v/>
      </c>
      <c r="AT68" s="17" t="str">
        <f>IF(共有用1!AT68="","",共有用1!AT68&amp;"/"&amp;COUNTIF(共有用1!AT$2:AT68,共有用1!AT68))</f>
        <v/>
      </c>
      <c r="AU68" s="17" t="str">
        <f>IF(共有用1!AU68="","",共有用1!AU68&amp;"/"&amp;COUNTIF(共有用1!AU$2:AU68,共有用1!AU68))</f>
        <v/>
      </c>
      <c r="AV68" s="17" t="str">
        <f>IF(共有用1!AV68="","",共有用1!AV68&amp;"/"&amp;COUNTIF(共有用1!AV$2:AV68,共有用1!AV68))</f>
        <v/>
      </c>
      <c r="AW68" s="17" t="str">
        <f>IF(共有用1!AW68="","",共有用1!AW68&amp;"/"&amp;COUNTIF(共有用1!AW$2:AW68,共有用1!AW68))</f>
        <v/>
      </c>
      <c r="AX68" s="17" t="str">
        <f>IF(共有用1!AX68="","",共有用1!AX68&amp;"/"&amp;COUNTIF(共有用1!AX$2:AX68,共有用1!AX68))</f>
        <v/>
      </c>
      <c r="AY68" s="17" t="str">
        <f>IF(共有用1!AY68="","",共有用1!AY68&amp;"/"&amp;COUNTIF(共有用1!AY$2:AY68,共有用1!AY68))</f>
        <v/>
      </c>
      <c r="AZ68" s="17" t="str">
        <f>IF(共有用1!AZ68="","",共有用1!AZ68&amp;"/"&amp;COUNTIF(共有用1!AZ$2:AZ68,共有用1!AZ68))</f>
        <v/>
      </c>
      <c r="BA68" s="17" t="str">
        <f>IF(共有用1!BA68="","",共有用1!BA68&amp;"/"&amp;COUNTIF(共有用1!BA$2:BA68,共有用1!BA68))</f>
        <v/>
      </c>
    </row>
    <row r="69" spans="1:53">
      <c r="A69" s="2" t="str">
        <f>共有用1!A69</f>
        <v/>
      </c>
      <c r="B69" s="2" t="str">
        <f>共有用1!B69</f>
        <v/>
      </c>
      <c r="C69" s="2" t="str">
        <f>共有用1!C69</f>
        <v/>
      </c>
      <c r="D69" s="17" t="str">
        <f>IF(共有用1!D69="","",共有用1!D69&amp;"/"&amp;COUNTIF(共有用1!D$2:D69,共有用1!D69))</f>
        <v/>
      </c>
      <c r="E69" s="17" t="str">
        <f>IF(共有用1!E69="","",共有用1!E69&amp;"/"&amp;COUNTIF(共有用1!E$2:E69,共有用1!E69))</f>
        <v/>
      </c>
      <c r="F69" s="17" t="str">
        <f>IF(共有用1!F69="","",共有用1!F69&amp;"/"&amp;COUNTIF(共有用1!F$2:F69,共有用1!F69))</f>
        <v/>
      </c>
      <c r="G69" s="17" t="str">
        <f>IF(共有用1!G69="","",共有用1!G69&amp;"/"&amp;COUNTIF(共有用1!G$2:G69,共有用1!G69))</f>
        <v/>
      </c>
      <c r="H69" s="17" t="str">
        <f>IF(共有用1!H69="","",共有用1!H69&amp;"/"&amp;COUNTIF(共有用1!H$2:H69,共有用1!H69))</f>
        <v/>
      </c>
      <c r="I69" s="17" t="str">
        <f>IF(共有用1!I69="","",共有用1!I69&amp;"/"&amp;COUNTIF(共有用1!I$2:I69,共有用1!I69))</f>
        <v/>
      </c>
      <c r="J69" s="17" t="str">
        <f>IF(共有用1!J69="","",共有用1!J69&amp;"/"&amp;COUNTIF(共有用1!J$2:J69,共有用1!J69))</f>
        <v/>
      </c>
      <c r="K69" s="17" t="str">
        <f>IF(共有用1!K69="","",共有用1!K69&amp;"/"&amp;COUNTIF(共有用1!K$2:K69,共有用1!K69))</f>
        <v/>
      </c>
      <c r="L69" s="17" t="str">
        <f>IF(共有用1!L69="","",共有用1!L69&amp;"/"&amp;COUNTIF(共有用1!L$2:L69,共有用1!L69))</f>
        <v/>
      </c>
      <c r="M69" s="17" t="str">
        <f>IF(共有用1!M69="","",共有用1!M69&amp;"/"&amp;COUNTIF(共有用1!M$2:M69,共有用1!M69))</f>
        <v/>
      </c>
      <c r="N69" s="17" t="str">
        <f>IF(共有用1!N69="","",共有用1!N69&amp;"/"&amp;COUNTIF(共有用1!N$2:N69,共有用1!N69))</f>
        <v/>
      </c>
      <c r="O69" s="17" t="str">
        <f>IF(共有用1!O69="","",共有用1!O69&amp;"/"&amp;COUNTIF(共有用1!O$2:O69,共有用1!O69))</f>
        <v/>
      </c>
      <c r="P69" s="17" t="str">
        <f>IF(共有用1!P69="","",共有用1!P69&amp;"/"&amp;COUNTIF(共有用1!P$2:P69,共有用1!P69))</f>
        <v/>
      </c>
      <c r="Q69" s="17" t="str">
        <f>IF(共有用1!Q69="","",共有用1!Q69&amp;"/"&amp;COUNTIF(共有用1!Q$2:Q69,共有用1!Q69))</f>
        <v/>
      </c>
      <c r="R69" s="17" t="str">
        <f>IF(共有用1!R69="","",共有用1!R69&amp;"/"&amp;COUNTIF(共有用1!R$2:R69,共有用1!R69))</f>
        <v/>
      </c>
      <c r="S69" s="17" t="str">
        <f>IF(共有用1!S69="","",共有用1!S69&amp;"/"&amp;COUNTIF(共有用1!S$2:S69,共有用1!S69))</f>
        <v/>
      </c>
      <c r="T69" s="17" t="str">
        <f>IF(共有用1!T69="","",共有用1!T69&amp;"/"&amp;COUNTIF(共有用1!T$2:T69,共有用1!T69))</f>
        <v/>
      </c>
      <c r="U69" s="17" t="str">
        <f>IF(共有用1!U69="","",共有用1!U69&amp;"/"&amp;COUNTIF(共有用1!U$2:U69,共有用1!U69))</f>
        <v/>
      </c>
      <c r="V69" s="17" t="str">
        <f>IF(共有用1!V69="","",共有用1!V69&amp;"/"&amp;COUNTIF(共有用1!V$2:V69,共有用1!V69))</f>
        <v/>
      </c>
      <c r="W69" s="17" t="str">
        <f>IF(共有用1!W69="","",共有用1!W69&amp;"/"&amp;COUNTIF(共有用1!W$2:W69,共有用1!W69))</f>
        <v/>
      </c>
      <c r="X69" s="17" t="str">
        <f>IF(共有用1!X69="","",共有用1!X69&amp;"/"&amp;COUNTIF(共有用1!X$2:X69,共有用1!X69))</f>
        <v/>
      </c>
      <c r="Y69" s="17" t="str">
        <f>IF(共有用1!Y69="","",共有用1!Y69&amp;"/"&amp;COUNTIF(共有用1!Y$2:Y69,共有用1!Y69))</f>
        <v/>
      </c>
      <c r="Z69" s="17" t="str">
        <f>IF(共有用1!Z69="","",共有用1!Z69&amp;"/"&amp;COUNTIF(共有用1!Z$2:Z69,共有用1!Z69))</f>
        <v/>
      </c>
      <c r="AA69" s="17" t="str">
        <f>IF(共有用1!AA69="","",共有用1!AA69&amp;"/"&amp;COUNTIF(共有用1!AA$2:AA69,共有用1!AA69))</f>
        <v/>
      </c>
      <c r="AB69" s="17" t="str">
        <f>IF(共有用1!AB69="","",共有用1!AB69&amp;"/"&amp;COUNTIF(共有用1!AB$2:AB69,共有用1!AB69))</f>
        <v/>
      </c>
      <c r="AC69" s="17" t="str">
        <f>IF(共有用1!AC69="","",共有用1!AC69&amp;"/"&amp;COUNTIF(共有用1!AC$2:AC69,共有用1!AC69))</f>
        <v/>
      </c>
      <c r="AD69" s="17" t="str">
        <f>IF(共有用1!AD69="","",共有用1!AD69&amp;"/"&amp;COUNTIF(共有用1!AD$2:AD69,共有用1!AD69))</f>
        <v/>
      </c>
      <c r="AE69" s="17" t="str">
        <f>IF(共有用1!AE69="","",共有用1!AE69&amp;"/"&amp;COUNTIF(共有用1!AE$2:AE69,共有用1!AE69))</f>
        <v/>
      </c>
      <c r="AF69" s="17" t="str">
        <f>IF(共有用1!AF69="","",共有用1!AF69&amp;"/"&amp;COUNTIF(共有用1!AF$2:AF69,共有用1!AF69))</f>
        <v/>
      </c>
      <c r="AG69" s="17" t="str">
        <f>IF(共有用1!AG69="","",共有用1!AG69&amp;"/"&amp;COUNTIF(共有用1!AG$2:AG69,共有用1!AG69))</f>
        <v/>
      </c>
      <c r="AH69" s="17" t="str">
        <f>IF(共有用1!AH69="","",共有用1!AH69&amp;"/"&amp;COUNTIF(共有用1!AH$2:AH69,共有用1!AH69))</f>
        <v/>
      </c>
      <c r="AI69" s="17" t="str">
        <f>IF(共有用1!AI69="","",共有用1!AI69&amp;"/"&amp;COUNTIF(共有用1!AI$2:AI69,共有用1!AI69))</f>
        <v/>
      </c>
      <c r="AJ69" s="17" t="str">
        <f>IF(共有用1!AJ69="","",共有用1!AJ69&amp;"/"&amp;COUNTIF(共有用1!AJ$2:AJ69,共有用1!AJ69))</f>
        <v/>
      </c>
      <c r="AK69" s="17" t="str">
        <f>IF(共有用1!AK69="","",共有用1!AK69&amp;"/"&amp;COUNTIF(共有用1!AK$2:AK69,共有用1!AK69))</f>
        <v/>
      </c>
      <c r="AL69" s="17" t="str">
        <f>IF(共有用1!AL69="","",共有用1!AL69&amp;"/"&amp;COUNTIF(共有用1!AL$2:AL69,共有用1!AL69))</f>
        <v/>
      </c>
      <c r="AM69" s="17" t="str">
        <f>IF(共有用1!AM69="","",共有用1!AM69&amp;"/"&amp;COUNTIF(共有用1!AM$2:AM69,共有用1!AM69))</f>
        <v/>
      </c>
      <c r="AN69" s="17" t="str">
        <f>IF(共有用1!AN69="","",共有用1!AN69&amp;"/"&amp;COUNTIF(共有用1!AN$2:AN69,共有用1!AN69))</f>
        <v/>
      </c>
      <c r="AO69" s="17" t="str">
        <f>IF(共有用1!AO69="","",共有用1!AO69&amp;"/"&amp;COUNTIF(共有用1!AO$2:AO69,共有用1!AO69))</f>
        <v/>
      </c>
      <c r="AP69" s="17" t="str">
        <f>IF(共有用1!AP69="","",共有用1!AP69&amp;"/"&amp;COUNTIF(共有用1!AP$2:AP69,共有用1!AP69))</f>
        <v/>
      </c>
      <c r="AQ69" s="17" t="str">
        <f>IF(共有用1!AQ69="","",共有用1!AQ69&amp;"/"&amp;COUNTIF(共有用1!AQ$2:AQ69,共有用1!AQ69))</f>
        <v/>
      </c>
      <c r="AR69" s="17" t="str">
        <f>IF(共有用1!AR69="","",共有用1!AR69&amp;"/"&amp;COUNTIF(共有用1!AR$2:AR69,共有用1!AR69))</f>
        <v/>
      </c>
      <c r="AS69" s="17" t="str">
        <f>IF(共有用1!AS69="","",共有用1!AS69&amp;"/"&amp;COUNTIF(共有用1!AS$2:AS69,共有用1!AS69))</f>
        <v/>
      </c>
      <c r="AT69" s="17" t="str">
        <f>IF(共有用1!AT69="","",共有用1!AT69&amp;"/"&amp;COUNTIF(共有用1!AT$2:AT69,共有用1!AT69))</f>
        <v/>
      </c>
      <c r="AU69" s="17" t="str">
        <f>IF(共有用1!AU69="","",共有用1!AU69&amp;"/"&amp;COUNTIF(共有用1!AU$2:AU69,共有用1!AU69))</f>
        <v/>
      </c>
      <c r="AV69" s="17" t="str">
        <f>IF(共有用1!AV69="","",共有用1!AV69&amp;"/"&amp;COUNTIF(共有用1!AV$2:AV69,共有用1!AV69))</f>
        <v/>
      </c>
      <c r="AW69" s="17" t="str">
        <f>IF(共有用1!AW69="","",共有用1!AW69&amp;"/"&amp;COUNTIF(共有用1!AW$2:AW69,共有用1!AW69))</f>
        <v/>
      </c>
      <c r="AX69" s="17" t="str">
        <f>IF(共有用1!AX69="","",共有用1!AX69&amp;"/"&amp;COUNTIF(共有用1!AX$2:AX69,共有用1!AX69))</f>
        <v/>
      </c>
      <c r="AY69" s="17" t="str">
        <f>IF(共有用1!AY69="","",共有用1!AY69&amp;"/"&amp;COUNTIF(共有用1!AY$2:AY69,共有用1!AY69))</f>
        <v/>
      </c>
      <c r="AZ69" s="17" t="str">
        <f>IF(共有用1!AZ69="","",共有用1!AZ69&amp;"/"&amp;COUNTIF(共有用1!AZ$2:AZ69,共有用1!AZ69))</f>
        <v/>
      </c>
      <c r="BA69" s="17" t="str">
        <f>IF(共有用1!BA69="","",共有用1!BA69&amp;"/"&amp;COUNTIF(共有用1!BA$2:BA69,共有用1!BA69))</f>
        <v/>
      </c>
    </row>
    <row r="70" spans="1:53">
      <c r="A70" s="2" t="str">
        <f>共有用1!A70</f>
        <v/>
      </c>
      <c r="B70" s="2" t="str">
        <f>共有用1!B70</f>
        <v/>
      </c>
      <c r="C70" s="2" t="str">
        <f>共有用1!C70</f>
        <v/>
      </c>
      <c r="D70" s="17" t="str">
        <f>IF(共有用1!D70="","",共有用1!D70&amp;"/"&amp;COUNTIF(共有用1!D$2:D70,共有用1!D70))</f>
        <v/>
      </c>
      <c r="E70" s="17" t="str">
        <f>IF(共有用1!E70="","",共有用1!E70&amp;"/"&amp;COUNTIF(共有用1!E$2:E70,共有用1!E70))</f>
        <v/>
      </c>
      <c r="F70" s="17" t="str">
        <f>IF(共有用1!F70="","",共有用1!F70&amp;"/"&amp;COUNTIF(共有用1!F$2:F70,共有用1!F70))</f>
        <v/>
      </c>
      <c r="G70" s="17" t="str">
        <f>IF(共有用1!G70="","",共有用1!G70&amp;"/"&amp;COUNTIF(共有用1!G$2:G70,共有用1!G70))</f>
        <v/>
      </c>
      <c r="H70" s="17" t="str">
        <f>IF(共有用1!H70="","",共有用1!H70&amp;"/"&amp;COUNTIF(共有用1!H$2:H70,共有用1!H70))</f>
        <v/>
      </c>
      <c r="I70" s="17" t="str">
        <f>IF(共有用1!I70="","",共有用1!I70&amp;"/"&amp;COUNTIF(共有用1!I$2:I70,共有用1!I70))</f>
        <v/>
      </c>
      <c r="J70" s="17" t="str">
        <f>IF(共有用1!J70="","",共有用1!J70&amp;"/"&amp;COUNTIF(共有用1!J$2:J70,共有用1!J70))</f>
        <v/>
      </c>
      <c r="K70" s="17" t="str">
        <f>IF(共有用1!K70="","",共有用1!K70&amp;"/"&amp;COUNTIF(共有用1!K$2:K70,共有用1!K70))</f>
        <v/>
      </c>
      <c r="L70" s="17" t="str">
        <f>IF(共有用1!L70="","",共有用1!L70&amp;"/"&amp;COUNTIF(共有用1!L$2:L70,共有用1!L70))</f>
        <v/>
      </c>
      <c r="M70" s="17" t="str">
        <f>IF(共有用1!M70="","",共有用1!M70&amp;"/"&amp;COUNTIF(共有用1!M$2:M70,共有用1!M70))</f>
        <v/>
      </c>
      <c r="N70" s="17" t="str">
        <f>IF(共有用1!N70="","",共有用1!N70&amp;"/"&amp;COUNTIF(共有用1!N$2:N70,共有用1!N70))</f>
        <v/>
      </c>
      <c r="O70" s="17" t="str">
        <f>IF(共有用1!O70="","",共有用1!O70&amp;"/"&amp;COUNTIF(共有用1!O$2:O70,共有用1!O70))</f>
        <v/>
      </c>
      <c r="P70" s="17" t="str">
        <f>IF(共有用1!P70="","",共有用1!P70&amp;"/"&amp;COUNTIF(共有用1!P$2:P70,共有用1!P70))</f>
        <v/>
      </c>
      <c r="Q70" s="17" t="str">
        <f>IF(共有用1!Q70="","",共有用1!Q70&amp;"/"&amp;COUNTIF(共有用1!Q$2:Q70,共有用1!Q70))</f>
        <v/>
      </c>
      <c r="R70" s="17" t="str">
        <f>IF(共有用1!R70="","",共有用1!R70&amp;"/"&amp;COUNTIF(共有用1!R$2:R70,共有用1!R70))</f>
        <v/>
      </c>
      <c r="S70" s="17" t="str">
        <f>IF(共有用1!S70="","",共有用1!S70&amp;"/"&amp;COUNTIF(共有用1!S$2:S70,共有用1!S70))</f>
        <v/>
      </c>
      <c r="T70" s="17" t="str">
        <f>IF(共有用1!T70="","",共有用1!T70&amp;"/"&amp;COUNTIF(共有用1!T$2:T70,共有用1!T70))</f>
        <v/>
      </c>
      <c r="U70" s="17" t="str">
        <f>IF(共有用1!U70="","",共有用1!U70&amp;"/"&amp;COUNTIF(共有用1!U$2:U70,共有用1!U70))</f>
        <v/>
      </c>
      <c r="V70" s="17" t="str">
        <f>IF(共有用1!V70="","",共有用1!V70&amp;"/"&amp;COUNTIF(共有用1!V$2:V70,共有用1!V70))</f>
        <v/>
      </c>
      <c r="W70" s="17" t="str">
        <f>IF(共有用1!W70="","",共有用1!W70&amp;"/"&amp;COUNTIF(共有用1!W$2:W70,共有用1!W70))</f>
        <v/>
      </c>
      <c r="X70" s="17" t="str">
        <f>IF(共有用1!X70="","",共有用1!X70&amp;"/"&amp;COUNTIF(共有用1!X$2:X70,共有用1!X70))</f>
        <v/>
      </c>
      <c r="Y70" s="17" t="str">
        <f>IF(共有用1!Y70="","",共有用1!Y70&amp;"/"&amp;COUNTIF(共有用1!Y$2:Y70,共有用1!Y70))</f>
        <v/>
      </c>
      <c r="Z70" s="17" t="str">
        <f>IF(共有用1!Z70="","",共有用1!Z70&amp;"/"&amp;COUNTIF(共有用1!Z$2:Z70,共有用1!Z70))</f>
        <v/>
      </c>
      <c r="AA70" s="17" t="str">
        <f>IF(共有用1!AA70="","",共有用1!AA70&amp;"/"&amp;COUNTIF(共有用1!AA$2:AA70,共有用1!AA70))</f>
        <v/>
      </c>
      <c r="AB70" s="17" t="str">
        <f>IF(共有用1!AB70="","",共有用1!AB70&amp;"/"&amp;COUNTIF(共有用1!AB$2:AB70,共有用1!AB70))</f>
        <v/>
      </c>
      <c r="AC70" s="17" t="str">
        <f>IF(共有用1!AC70="","",共有用1!AC70&amp;"/"&amp;COUNTIF(共有用1!AC$2:AC70,共有用1!AC70))</f>
        <v/>
      </c>
      <c r="AD70" s="17" t="str">
        <f>IF(共有用1!AD70="","",共有用1!AD70&amp;"/"&amp;COUNTIF(共有用1!AD$2:AD70,共有用1!AD70))</f>
        <v/>
      </c>
      <c r="AE70" s="17" t="str">
        <f>IF(共有用1!AE70="","",共有用1!AE70&amp;"/"&amp;COUNTIF(共有用1!AE$2:AE70,共有用1!AE70))</f>
        <v/>
      </c>
      <c r="AF70" s="17" t="str">
        <f>IF(共有用1!AF70="","",共有用1!AF70&amp;"/"&amp;COUNTIF(共有用1!AF$2:AF70,共有用1!AF70))</f>
        <v/>
      </c>
      <c r="AG70" s="17" t="str">
        <f>IF(共有用1!AG70="","",共有用1!AG70&amp;"/"&amp;COUNTIF(共有用1!AG$2:AG70,共有用1!AG70))</f>
        <v/>
      </c>
      <c r="AH70" s="17" t="str">
        <f>IF(共有用1!AH70="","",共有用1!AH70&amp;"/"&amp;COUNTIF(共有用1!AH$2:AH70,共有用1!AH70))</f>
        <v/>
      </c>
      <c r="AI70" s="17" t="str">
        <f>IF(共有用1!AI70="","",共有用1!AI70&amp;"/"&amp;COUNTIF(共有用1!AI$2:AI70,共有用1!AI70))</f>
        <v/>
      </c>
      <c r="AJ70" s="17" t="str">
        <f>IF(共有用1!AJ70="","",共有用1!AJ70&amp;"/"&amp;COUNTIF(共有用1!AJ$2:AJ70,共有用1!AJ70))</f>
        <v/>
      </c>
      <c r="AK70" s="17" t="str">
        <f>IF(共有用1!AK70="","",共有用1!AK70&amp;"/"&amp;COUNTIF(共有用1!AK$2:AK70,共有用1!AK70))</f>
        <v/>
      </c>
      <c r="AL70" s="17" t="str">
        <f>IF(共有用1!AL70="","",共有用1!AL70&amp;"/"&amp;COUNTIF(共有用1!AL$2:AL70,共有用1!AL70))</f>
        <v/>
      </c>
      <c r="AM70" s="17" t="str">
        <f>IF(共有用1!AM70="","",共有用1!AM70&amp;"/"&amp;COUNTIF(共有用1!AM$2:AM70,共有用1!AM70))</f>
        <v/>
      </c>
      <c r="AN70" s="17" t="str">
        <f>IF(共有用1!AN70="","",共有用1!AN70&amp;"/"&amp;COUNTIF(共有用1!AN$2:AN70,共有用1!AN70))</f>
        <v/>
      </c>
      <c r="AO70" s="17" t="str">
        <f>IF(共有用1!AO70="","",共有用1!AO70&amp;"/"&amp;COUNTIF(共有用1!AO$2:AO70,共有用1!AO70))</f>
        <v/>
      </c>
      <c r="AP70" s="17" t="str">
        <f>IF(共有用1!AP70="","",共有用1!AP70&amp;"/"&amp;COUNTIF(共有用1!AP$2:AP70,共有用1!AP70))</f>
        <v/>
      </c>
      <c r="AQ70" s="17" t="str">
        <f>IF(共有用1!AQ70="","",共有用1!AQ70&amp;"/"&amp;COUNTIF(共有用1!AQ$2:AQ70,共有用1!AQ70))</f>
        <v/>
      </c>
      <c r="AR70" s="17" t="str">
        <f>IF(共有用1!AR70="","",共有用1!AR70&amp;"/"&amp;COUNTIF(共有用1!AR$2:AR70,共有用1!AR70))</f>
        <v/>
      </c>
      <c r="AS70" s="17" t="str">
        <f>IF(共有用1!AS70="","",共有用1!AS70&amp;"/"&amp;COUNTIF(共有用1!AS$2:AS70,共有用1!AS70))</f>
        <v/>
      </c>
      <c r="AT70" s="17" t="str">
        <f>IF(共有用1!AT70="","",共有用1!AT70&amp;"/"&amp;COUNTIF(共有用1!AT$2:AT70,共有用1!AT70))</f>
        <v/>
      </c>
      <c r="AU70" s="17" t="str">
        <f>IF(共有用1!AU70="","",共有用1!AU70&amp;"/"&amp;COUNTIF(共有用1!AU$2:AU70,共有用1!AU70))</f>
        <v/>
      </c>
      <c r="AV70" s="17" t="str">
        <f>IF(共有用1!AV70="","",共有用1!AV70&amp;"/"&amp;COUNTIF(共有用1!AV$2:AV70,共有用1!AV70))</f>
        <v/>
      </c>
      <c r="AW70" s="17" t="str">
        <f>IF(共有用1!AW70="","",共有用1!AW70&amp;"/"&amp;COUNTIF(共有用1!AW$2:AW70,共有用1!AW70))</f>
        <v/>
      </c>
      <c r="AX70" s="17" t="str">
        <f>IF(共有用1!AX70="","",共有用1!AX70&amp;"/"&amp;COUNTIF(共有用1!AX$2:AX70,共有用1!AX70))</f>
        <v/>
      </c>
      <c r="AY70" s="17" t="str">
        <f>IF(共有用1!AY70="","",共有用1!AY70&amp;"/"&amp;COUNTIF(共有用1!AY$2:AY70,共有用1!AY70))</f>
        <v/>
      </c>
      <c r="AZ70" s="17" t="str">
        <f>IF(共有用1!AZ70="","",共有用1!AZ70&amp;"/"&amp;COUNTIF(共有用1!AZ$2:AZ70,共有用1!AZ70))</f>
        <v/>
      </c>
      <c r="BA70" s="17" t="str">
        <f>IF(共有用1!BA70="","",共有用1!BA70&amp;"/"&amp;COUNTIF(共有用1!BA$2:BA70,共有用1!BA70))</f>
        <v/>
      </c>
    </row>
    <row r="71" spans="1:53">
      <c r="A71" s="2" t="str">
        <f>共有用1!A71</f>
        <v/>
      </c>
      <c r="B71" s="2" t="str">
        <f>共有用1!B71</f>
        <v/>
      </c>
      <c r="C71" s="2" t="str">
        <f>共有用1!C71</f>
        <v/>
      </c>
      <c r="D71" s="17" t="str">
        <f>IF(共有用1!D71="","",共有用1!D71&amp;"/"&amp;COUNTIF(共有用1!D$2:D71,共有用1!D71))</f>
        <v/>
      </c>
      <c r="E71" s="17" t="str">
        <f>IF(共有用1!E71="","",共有用1!E71&amp;"/"&amp;COUNTIF(共有用1!E$2:E71,共有用1!E71))</f>
        <v/>
      </c>
      <c r="F71" s="17" t="str">
        <f>IF(共有用1!F71="","",共有用1!F71&amp;"/"&amp;COUNTIF(共有用1!F$2:F71,共有用1!F71))</f>
        <v/>
      </c>
      <c r="G71" s="17" t="str">
        <f>IF(共有用1!G71="","",共有用1!G71&amp;"/"&amp;COUNTIF(共有用1!G$2:G71,共有用1!G71))</f>
        <v/>
      </c>
      <c r="H71" s="17" t="str">
        <f>IF(共有用1!H71="","",共有用1!H71&amp;"/"&amp;COUNTIF(共有用1!H$2:H71,共有用1!H71))</f>
        <v/>
      </c>
      <c r="I71" s="17" t="str">
        <f>IF(共有用1!I71="","",共有用1!I71&amp;"/"&amp;COUNTIF(共有用1!I$2:I71,共有用1!I71))</f>
        <v/>
      </c>
      <c r="J71" s="17" t="str">
        <f>IF(共有用1!J71="","",共有用1!J71&amp;"/"&amp;COUNTIF(共有用1!J$2:J71,共有用1!J71))</f>
        <v/>
      </c>
      <c r="K71" s="17" t="str">
        <f>IF(共有用1!K71="","",共有用1!K71&amp;"/"&amp;COUNTIF(共有用1!K$2:K71,共有用1!K71))</f>
        <v/>
      </c>
      <c r="L71" s="17" t="str">
        <f>IF(共有用1!L71="","",共有用1!L71&amp;"/"&amp;COUNTIF(共有用1!L$2:L71,共有用1!L71))</f>
        <v/>
      </c>
      <c r="M71" s="17" t="str">
        <f>IF(共有用1!M71="","",共有用1!M71&amp;"/"&amp;COUNTIF(共有用1!M$2:M71,共有用1!M71))</f>
        <v/>
      </c>
      <c r="N71" s="17" t="str">
        <f>IF(共有用1!N71="","",共有用1!N71&amp;"/"&amp;COUNTIF(共有用1!N$2:N71,共有用1!N71))</f>
        <v/>
      </c>
      <c r="O71" s="17" t="str">
        <f>IF(共有用1!O71="","",共有用1!O71&amp;"/"&amp;COUNTIF(共有用1!O$2:O71,共有用1!O71))</f>
        <v/>
      </c>
      <c r="P71" s="17" t="str">
        <f>IF(共有用1!P71="","",共有用1!P71&amp;"/"&amp;COUNTIF(共有用1!P$2:P71,共有用1!P71))</f>
        <v/>
      </c>
      <c r="Q71" s="17" t="str">
        <f>IF(共有用1!Q71="","",共有用1!Q71&amp;"/"&amp;COUNTIF(共有用1!Q$2:Q71,共有用1!Q71))</f>
        <v/>
      </c>
      <c r="R71" s="17" t="str">
        <f>IF(共有用1!R71="","",共有用1!R71&amp;"/"&amp;COUNTIF(共有用1!R$2:R71,共有用1!R71))</f>
        <v/>
      </c>
      <c r="S71" s="17" t="str">
        <f>IF(共有用1!S71="","",共有用1!S71&amp;"/"&amp;COUNTIF(共有用1!S$2:S71,共有用1!S71))</f>
        <v/>
      </c>
      <c r="T71" s="17" t="str">
        <f>IF(共有用1!T71="","",共有用1!T71&amp;"/"&amp;COUNTIF(共有用1!T$2:T71,共有用1!T71))</f>
        <v/>
      </c>
      <c r="U71" s="17" t="str">
        <f>IF(共有用1!U71="","",共有用1!U71&amp;"/"&amp;COUNTIF(共有用1!U$2:U71,共有用1!U71))</f>
        <v/>
      </c>
      <c r="V71" s="17" t="str">
        <f>IF(共有用1!V71="","",共有用1!V71&amp;"/"&amp;COUNTIF(共有用1!V$2:V71,共有用1!V71))</f>
        <v/>
      </c>
      <c r="W71" s="17" t="str">
        <f>IF(共有用1!W71="","",共有用1!W71&amp;"/"&amp;COUNTIF(共有用1!W$2:W71,共有用1!W71))</f>
        <v/>
      </c>
      <c r="X71" s="17" t="str">
        <f>IF(共有用1!X71="","",共有用1!X71&amp;"/"&amp;COUNTIF(共有用1!X$2:X71,共有用1!X71))</f>
        <v/>
      </c>
      <c r="Y71" s="17" t="str">
        <f>IF(共有用1!Y71="","",共有用1!Y71&amp;"/"&amp;COUNTIF(共有用1!Y$2:Y71,共有用1!Y71))</f>
        <v/>
      </c>
      <c r="Z71" s="17" t="str">
        <f>IF(共有用1!Z71="","",共有用1!Z71&amp;"/"&amp;COUNTIF(共有用1!Z$2:Z71,共有用1!Z71))</f>
        <v/>
      </c>
      <c r="AA71" s="17" t="str">
        <f>IF(共有用1!AA71="","",共有用1!AA71&amp;"/"&amp;COUNTIF(共有用1!AA$2:AA71,共有用1!AA71))</f>
        <v/>
      </c>
      <c r="AB71" s="17" t="str">
        <f>IF(共有用1!AB71="","",共有用1!AB71&amp;"/"&amp;COUNTIF(共有用1!AB$2:AB71,共有用1!AB71))</f>
        <v/>
      </c>
      <c r="AC71" s="17" t="str">
        <f>IF(共有用1!AC71="","",共有用1!AC71&amp;"/"&amp;COUNTIF(共有用1!AC$2:AC71,共有用1!AC71))</f>
        <v/>
      </c>
      <c r="AD71" s="17" t="str">
        <f>IF(共有用1!AD71="","",共有用1!AD71&amp;"/"&amp;COUNTIF(共有用1!AD$2:AD71,共有用1!AD71))</f>
        <v/>
      </c>
      <c r="AE71" s="17" t="str">
        <f>IF(共有用1!AE71="","",共有用1!AE71&amp;"/"&amp;COUNTIF(共有用1!AE$2:AE71,共有用1!AE71))</f>
        <v/>
      </c>
      <c r="AF71" s="17" t="str">
        <f>IF(共有用1!AF71="","",共有用1!AF71&amp;"/"&amp;COUNTIF(共有用1!AF$2:AF71,共有用1!AF71))</f>
        <v/>
      </c>
      <c r="AG71" s="17" t="str">
        <f>IF(共有用1!AG71="","",共有用1!AG71&amp;"/"&amp;COUNTIF(共有用1!AG$2:AG71,共有用1!AG71))</f>
        <v/>
      </c>
      <c r="AH71" s="17" t="str">
        <f>IF(共有用1!AH71="","",共有用1!AH71&amp;"/"&amp;COUNTIF(共有用1!AH$2:AH71,共有用1!AH71))</f>
        <v/>
      </c>
      <c r="AI71" s="17" t="str">
        <f>IF(共有用1!AI71="","",共有用1!AI71&amp;"/"&amp;COUNTIF(共有用1!AI$2:AI71,共有用1!AI71))</f>
        <v/>
      </c>
      <c r="AJ71" s="17" t="str">
        <f>IF(共有用1!AJ71="","",共有用1!AJ71&amp;"/"&amp;COUNTIF(共有用1!AJ$2:AJ71,共有用1!AJ71))</f>
        <v/>
      </c>
      <c r="AK71" s="17" t="str">
        <f>IF(共有用1!AK71="","",共有用1!AK71&amp;"/"&amp;COUNTIF(共有用1!AK$2:AK71,共有用1!AK71))</f>
        <v/>
      </c>
      <c r="AL71" s="17" t="str">
        <f>IF(共有用1!AL71="","",共有用1!AL71&amp;"/"&amp;COUNTIF(共有用1!AL$2:AL71,共有用1!AL71))</f>
        <v/>
      </c>
      <c r="AM71" s="17" t="str">
        <f>IF(共有用1!AM71="","",共有用1!AM71&amp;"/"&amp;COUNTIF(共有用1!AM$2:AM71,共有用1!AM71))</f>
        <v/>
      </c>
      <c r="AN71" s="17" t="str">
        <f>IF(共有用1!AN71="","",共有用1!AN71&amp;"/"&amp;COUNTIF(共有用1!AN$2:AN71,共有用1!AN71))</f>
        <v/>
      </c>
      <c r="AO71" s="17" t="str">
        <f>IF(共有用1!AO71="","",共有用1!AO71&amp;"/"&amp;COUNTIF(共有用1!AO$2:AO71,共有用1!AO71))</f>
        <v/>
      </c>
      <c r="AP71" s="17" t="str">
        <f>IF(共有用1!AP71="","",共有用1!AP71&amp;"/"&amp;COUNTIF(共有用1!AP$2:AP71,共有用1!AP71))</f>
        <v/>
      </c>
      <c r="AQ71" s="17" t="str">
        <f>IF(共有用1!AQ71="","",共有用1!AQ71&amp;"/"&amp;COUNTIF(共有用1!AQ$2:AQ71,共有用1!AQ71))</f>
        <v/>
      </c>
      <c r="AR71" s="17" t="str">
        <f>IF(共有用1!AR71="","",共有用1!AR71&amp;"/"&amp;COUNTIF(共有用1!AR$2:AR71,共有用1!AR71))</f>
        <v/>
      </c>
      <c r="AS71" s="17" t="str">
        <f>IF(共有用1!AS71="","",共有用1!AS71&amp;"/"&amp;COUNTIF(共有用1!AS$2:AS71,共有用1!AS71))</f>
        <v/>
      </c>
      <c r="AT71" s="17" t="str">
        <f>IF(共有用1!AT71="","",共有用1!AT71&amp;"/"&amp;COUNTIF(共有用1!AT$2:AT71,共有用1!AT71))</f>
        <v/>
      </c>
      <c r="AU71" s="17" t="str">
        <f>IF(共有用1!AU71="","",共有用1!AU71&amp;"/"&amp;COUNTIF(共有用1!AU$2:AU71,共有用1!AU71))</f>
        <v/>
      </c>
      <c r="AV71" s="17" t="str">
        <f>IF(共有用1!AV71="","",共有用1!AV71&amp;"/"&amp;COUNTIF(共有用1!AV$2:AV71,共有用1!AV71))</f>
        <v/>
      </c>
      <c r="AW71" s="17" t="str">
        <f>IF(共有用1!AW71="","",共有用1!AW71&amp;"/"&amp;COUNTIF(共有用1!AW$2:AW71,共有用1!AW71))</f>
        <v/>
      </c>
      <c r="AX71" s="17" t="str">
        <f>IF(共有用1!AX71="","",共有用1!AX71&amp;"/"&amp;COUNTIF(共有用1!AX$2:AX71,共有用1!AX71))</f>
        <v/>
      </c>
      <c r="AY71" s="17" t="str">
        <f>IF(共有用1!AY71="","",共有用1!AY71&amp;"/"&amp;COUNTIF(共有用1!AY$2:AY71,共有用1!AY71))</f>
        <v/>
      </c>
      <c r="AZ71" s="17" t="str">
        <f>IF(共有用1!AZ71="","",共有用1!AZ71&amp;"/"&amp;COUNTIF(共有用1!AZ$2:AZ71,共有用1!AZ71))</f>
        <v/>
      </c>
      <c r="BA71" s="17" t="str">
        <f>IF(共有用1!BA71="","",共有用1!BA71&amp;"/"&amp;COUNTIF(共有用1!BA$2:BA71,共有用1!BA71))</f>
        <v/>
      </c>
    </row>
    <row r="72" spans="1:53">
      <c r="A72" s="2" t="str">
        <f>共有用1!A72</f>
        <v/>
      </c>
      <c r="B72" s="2" t="str">
        <f>共有用1!B72</f>
        <v/>
      </c>
      <c r="C72" s="2" t="str">
        <f>共有用1!C72</f>
        <v/>
      </c>
      <c r="D72" s="17" t="str">
        <f>IF(共有用1!D72="","",共有用1!D72&amp;"/"&amp;COUNTIF(共有用1!D$2:D72,共有用1!D72))</f>
        <v/>
      </c>
      <c r="E72" s="17" t="str">
        <f>IF(共有用1!E72="","",共有用1!E72&amp;"/"&amp;COUNTIF(共有用1!E$2:E72,共有用1!E72))</f>
        <v/>
      </c>
      <c r="F72" s="17" t="str">
        <f>IF(共有用1!F72="","",共有用1!F72&amp;"/"&amp;COUNTIF(共有用1!F$2:F72,共有用1!F72))</f>
        <v/>
      </c>
      <c r="G72" s="17" t="str">
        <f>IF(共有用1!G72="","",共有用1!G72&amp;"/"&amp;COUNTIF(共有用1!G$2:G72,共有用1!G72))</f>
        <v/>
      </c>
      <c r="H72" s="17" t="str">
        <f>IF(共有用1!H72="","",共有用1!H72&amp;"/"&amp;COUNTIF(共有用1!H$2:H72,共有用1!H72))</f>
        <v/>
      </c>
      <c r="I72" s="17" t="str">
        <f>IF(共有用1!I72="","",共有用1!I72&amp;"/"&amp;COUNTIF(共有用1!I$2:I72,共有用1!I72))</f>
        <v/>
      </c>
      <c r="J72" s="17" t="str">
        <f>IF(共有用1!J72="","",共有用1!J72&amp;"/"&amp;COUNTIF(共有用1!J$2:J72,共有用1!J72))</f>
        <v/>
      </c>
      <c r="K72" s="17" t="str">
        <f>IF(共有用1!K72="","",共有用1!K72&amp;"/"&amp;COUNTIF(共有用1!K$2:K72,共有用1!K72))</f>
        <v/>
      </c>
      <c r="L72" s="17" t="str">
        <f>IF(共有用1!L72="","",共有用1!L72&amp;"/"&amp;COUNTIF(共有用1!L$2:L72,共有用1!L72))</f>
        <v/>
      </c>
      <c r="M72" s="17" t="str">
        <f>IF(共有用1!M72="","",共有用1!M72&amp;"/"&amp;COUNTIF(共有用1!M$2:M72,共有用1!M72))</f>
        <v/>
      </c>
      <c r="N72" s="17" t="str">
        <f>IF(共有用1!N72="","",共有用1!N72&amp;"/"&amp;COUNTIF(共有用1!N$2:N72,共有用1!N72))</f>
        <v/>
      </c>
      <c r="O72" s="17" t="str">
        <f>IF(共有用1!O72="","",共有用1!O72&amp;"/"&amp;COUNTIF(共有用1!O$2:O72,共有用1!O72))</f>
        <v/>
      </c>
      <c r="P72" s="17" t="str">
        <f>IF(共有用1!P72="","",共有用1!P72&amp;"/"&amp;COUNTIF(共有用1!P$2:P72,共有用1!P72))</f>
        <v/>
      </c>
      <c r="Q72" s="17" t="str">
        <f>IF(共有用1!Q72="","",共有用1!Q72&amp;"/"&amp;COUNTIF(共有用1!Q$2:Q72,共有用1!Q72))</f>
        <v/>
      </c>
      <c r="R72" s="17" t="str">
        <f>IF(共有用1!R72="","",共有用1!R72&amp;"/"&amp;COUNTIF(共有用1!R$2:R72,共有用1!R72))</f>
        <v/>
      </c>
      <c r="S72" s="17" t="str">
        <f>IF(共有用1!S72="","",共有用1!S72&amp;"/"&amp;COUNTIF(共有用1!S$2:S72,共有用1!S72))</f>
        <v/>
      </c>
      <c r="T72" s="17" t="str">
        <f>IF(共有用1!T72="","",共有用1!T72&amp;"/"&amp;COUNTIF(共有用1!T$2:T72,共有用1!T72))</f>
        <v/>
      </c>
      <c r="U72" s="17" t="str">
        <f>IF(共有用1!U72="","",共有用1!U72&amp;"/"&amp;COUNTIF(共有用1!U$2:U72,共有用1!U72))</f>
        <v/>
      </c>
      <c r="V72" s="17" t="str">
        <f>IF(共有用1!V72="","",共有用1!V72&amp;"/"&amp;COUNTIF(共有用1!V$2:V72,共有用1!V72))</f>
        <v/>
      </c>
      <c r="W72" s="17" t="str">
        <f>IF(共有用1!W72="","",共有用1!W72&amp;"/"&amp;COUNTIF(共有用1!W$2:W72,共有用1!W72))</f>
        <v/>
      </c>
      <c r="X72" s="17" t="str">
        <f>IF(共有用1!X72="","",共有用1!X72&amp;"/"&amp;COUNTIF(共有用1!X$2:X72,共有用1!X72))</f>
        <v/>
      </c>
      <c r="Y72" s="17" t="str">
        <f>IF(共有用1!Y72="","",共有用1!Y72&amp;"/"&amp;COUNTIF(共有用1!Y$2:Y72,共有用1!Y72))</f>
        <v/>
      </c>
      <c r="Z72" s="17" t="str">
        <f>IF(共有用1!Z72="","",共有用1!Z72&amp;"/"&amp;COUNTIF(共有用1!Z$2:Z72,共有用1!Z72))</f>
        <v/>
      </c>
      <c r="AA72" s="17" t="str">
        <f>IF(共有用1!AA72="","",共有用1!AA72&amp;"/"&amp;COUNTIF(共有用1!AA$2:AA72,共有用1!AA72))</f>
        <v/>
      </c>
      <c r="AB72" s="17" t="str">
        <f>IF(共有用1!AB72="","",共有用1!AB72&amp;"/"&amp;COUNTIF(共有用1!AB$2:AB72,共有用1!AB72))</f>
        <v/>
      </c>
      <c r="AC72" s="17" t="str">
        <f>IF(共有用1!AC72="","",共有用1!AC72&amp;"/"&amp;COUNTIF(共有用1!AC$2:AC72,共有用1!AC72))</f>
        <v/>
      </c>
      <c r="AD72" s="17" t="str">
        <f>IF(共有用1!AD72="","",共有用1!AD72&amp;"/"&amp;COUNTIF(共有用1!AD$2:AD72,共有用1!AD72))</f>
        <v/>
      </c>
      <c r="AE72" s="17" t="str">
        <f>IF(共有用1!AE72="","",共有用1!AE72&amp;"/"&amp;COUNTIF(共有用1!AE$2:AE72,共有用1!AE72))</f>
        <v/>
      </c>
      <c r="AF72" s="17" t="str">
        <f>IF(共有用1!AF72="","",共有用1!AF72&amp;"/"&amp;COUNTIF(共有用1!AF$2:AF72,共有用1!AF72))</f>
        <v/>
      </c>
      <c r="AG72" s="17" t="str">
        <f>IF(共有用1!AG72="","",共有用1!AG72&amp;"/"&amp;COUNTIF(共有用1!AG$2:AG72,共有用1!AG72))</f>
        <v/>
      </c>
      <c r="AH72" s="17" t="str">
        <f>IF(共有用1!AH72="","",共有用1!AH72&amp;"/"&amp;COUNTIF(共有用1!AH$2:AH72,共有用1!AH72))</f>
        <v/>
      </c>
      <c r="AI72" s="17" t="str">
        <f>IF(共有用1!AI72="","",共有用1!AI72&amp;"/"&amp;COUNTIF(共有用1!AI$2:AI72,共有用1!AI72))</f>
        <v/>
      </c>
      <c r="AJ72" s="17" t="str">
        <f>IF(共有用1!AJ72="","",共有用1!AJ72&amp;"/"&amp;COUNTIF(共有用1!AJ$2:AJ72,共有用1!AJ72))</f>
        <v/>
      </c>
      <c r="AK72" s="17" t="str">
        <f>IF(共有用1!AK72="","",共有用1!AK72&amp;"/"&amp;COUNTIF(共有用1!AK$2:AK72,共有用1!AK72))</f>
        <v/>
      </c>
      <c r="AL72" s="17" t="str">
        <f>IF(共有用1!AL72="","",共有用1!AL72&amp;"/"&amp;COUNTIF(共有用1!AL$2:AL72,共有用1!AL72))</f>
        <v/>
      </c>
      <c r="AM72" s="17" t="str">
        <f>IF(共有用1!AM72="","",共有用1!AM72&amp;"/"&amp;COUNTIF(共有用1!AM$2:AM72,共有用1!AM72))</f>
        <v/>
      </c>
      <c r="AN72" s="17" t="str">
        <f>IF(共有用1!AN72="","",共有用1!AN72&amp;"/"&amp;COUNTIF(共有用1!AN$2:AN72,共有用1!AN72))</f>
        <v/>
      </c>
      <c r="AO72" s="17" t="str">
        <f>IF(共有用1!AO72="","",共有用1!AO72&amp;"/"&amp;COUNTIF(共有用1!AO$2:AO72,共有用1!AO72))</f>
        <v/>
      </c>
      <c r="AP72" s="17" t="str">
        <f>IF(共有用1!AP72="","",共有用1!AP72&amp;"/"&amp;COUNTIF(共有用1!AP$2:AP72,共有用1!AP72))</f>
        <v/>
      </c>
      <c r="AQ72" s="17" t="str">
        <f>IF(共有用1!AQ72="","",共有用1!AQ72&amp;"/"&amp;COUNTIF(共有用1!AQ$2:AQ72,共有用1!AQ72))</f>
        <v/>
      </c>
      <c r="AR72" s="17" t="str">
        <f>IF(共有用1!AR72="","",共有用1!AR72&amp;"/"&amp;COUNTIF(共有用1!AR$2:AR72,共有用1!AR72))</f>
        <v/>
      </c>
      <c r="AS72" s="17" t="str">
        <f>IF(共有用1!AS72="","",共有用1!AS72&amp;"/"&amp;COUNTIF(共有用1!AS$2:AS72,共有用1!AS72))</f>
        <v/>
      </c>
      <c r="AT72" s="17" t="str">
        <f>IF(共有用1!AT72="","",共有用1!AT72&amp;"/"&amp;COUNTIF(共有用1!AT$2:AT72,共有用1!AT72))</f>
        <v/>
      </c>
      <c r="AU72" s="17" t="str">
        <f>IF(共有用1!AU72="","",共有用1!AU72&amp;"/"&amp;COUNTIF(共有用1!AU$2:AU72,共有用1!AU72))</f>
        <v/>
      </c>
      <c r="AV72" s="17" t="str">
        <f>IF(共有用1!AV72="","",共有用1!AV72&amp;"/"&amp;COUNTIF(共有用1!AV$2:AV72,共有用1!AV72))</f>
        <v/>
      </c>
      <c r="AW72" s="17" t="str">
        <f>IF(共有用1!AW72="","",共有用1!AW72&amp;"/"&amp;COUNTIF(共有用1!AW$2:AW72,共有用1!AW72))</f>
        <v/>
      </c>
      <c r="AX72" s="17" t="str">
        <f>IF(共有用1!AX72="","",共有用1!AX72&amp;"/"&amp;COUNTIF(共有用1!AX$2:AX72,共有用1!AX72))</f>
        <v/>
      </c>
      <c r="AY72" s="17" t="str">
        <f>IF(共有用1!AY72="","",共有用1!AY72&amp;"/"&amp;COUNTIF(共有用1!AY$2:AY72,共有用1!AY72))</f>
        <v/>
      </c>
      <c r="AZ72" s="17" t="str">
        <f>IF(共有用1!AZ72="","",共有用1!AZ72&amp;"/"&amp;COUNTIF(共有用1!AZ$2:AZ72,共有用1!AZ72))</f>
        <v/>
      </c>
      <c r="BA72" s="17" t="str">
        <f>IF(共有用1!BA72="","",共有用1!BA72&amp;"/"&amp;COUNTIF(共有用1!BA$2:BA72,共有用1!BA72))</f>
        <v/>
      </c>
    </row>
    <row r="73" spans="1:53">
      <c r="A73" s="2" t="str">
        <f>共有用1!A73</f>
        <v/>
      </c>
      <c r="B73" s="2" t="str">
        <f>共有用1!B73</f>
        <v/>
      </c>
      <c r="C73" s="2" t="str">
        <f>共有用1!C73</f>
        <v/>
      </c>
      <c r="D73" s="17" t="str">
        <f>IF(共有用1!D73="","",共有用1!D73&amp;"/"&amp;COUNTIF(共有用1!D$2:D73,共有用1!D73))</f>
        <v/>
      </c>
      <c r="E73" s="17" t="str">
        <f>IF(共有用1!E73="","",共有用1!E73&amp;"/"&amp;COUNTIF(共有用1!E$2:E73,共有用1!E73))</f>
        <v/>
      </c>
      <c r="F73" s="17" t="str">
        <f>IF(共有用1!F73="","",共有用1!F73&amp;"/"&amp;COUNTIF(共有用1!F$2:F73,共有用1!F73))</f>
        <v/>
      </c>
      <c r="G73" s="17" t="str">
        <f>IF(共有用1!G73="","",共有用1!G73&amp;"/"&amp;COUNTIF(共有用1!G$2:G73,共有用1!G73))</f>
        <v/>
      </c>
      <c r="H73" s="17" t="str">
        <f>IF(共有用1!H73="","",共有用1!H73&amp;"/"&amp;COUNTIF(共有用1!H$2:H73,共有用1!H73))</f>
        <v/>
      </c>
      <c r="I73" s="17" t="str">
        <f>IF(共有用1!I73="","",共有用1!I73&amp;"/"&amp;COUNTIF(共有用1!I$2:I73,共有用1!I73))</f>
        <v/>
      </c>
      <c r="J73" s="17" t="str">
        <f>IF(共有用1!J73="","",共有用1!J73&amp;"/"&amp;COUNTIF(共有用1!J$2:J73,共有用1!J73))</f>
        <v/>
      </c>
      <c r="K73" s="17" t="str">
        <f>IF(共有用1!K73="","",共有用1!K73&amp;"/"&amp;COUNTIF(共有用1!K$2:K73,共有用1!K73))</f>
        <v/>
      </c>
      <c r="L73" s="17" t="str">
        <f>IF(共有用1!L73="","",共有用1!L73&amp;"/"&amp;COUNTIF(共有用1!L$2:L73,共有用1!L73))</f>
        <v/>
      </c>
      <c r="M73" s="17" t="str">
        <f>IF(共有用1!M73="","",共有用1!M73&amp;"/"&amp;COUNTIF(共有用1!M$2:M73,共有用1!M73))</f>
        <v/>
      </c>
      <c r="N73" s="17" t="str">
        <f>IF(共有用1!N73="","",共有用1!N73&amp;"/"&amp;COUNTIF(共有用1!N$2:N73,共有用1!N73))</f>
        <v/>
      </c>
      <c r="O73" s="17" t="str">
        <f>IF(共有用1!O73="","",共有用1!O73&amp;"/"&amp;COUNTIF(共有用1!O$2:O73,共有用1!O73))</f>
        <v/>
      </c>
      <c r="P73" s="17" t="str">
        <f>IF(共有用1!P73="","",共有用1!P73&amp;"/"&amp;COUNTIF(共有用1!P$2:P73,共有用1!P73))</f>
        <v/>
      </c>
      <c r="Q73" s="17" t="str">
        <f>IF(共有用1!Q73="","",共有用1!Q73&amp;"/"&amp;COUNTIF(共有用1!Q$2:Q73,共有用1!Q73))</f>
        <v/>
      </c>
      <c r="R73" s="17" t="str">
        <f>IF(共有用1!R73="","",共有用1!R73&amp;"/"&amp;COUNTIF(共有用1!R$2:R73,共有用1!R73))</f>
        <v/>
      </c>
      <c r="S73" s="17" t="str">
        <f>IF(共有用1!S73="","",共有用1!S73&amp;"/"&amp;COUNTIF(共有用1!S$2:S73,共有用1!S73))</f>
        <v/>
      </c>
      <c r="T73" s="17" t="str">
        <f>IF(共有用1!T73="","",共有用1!T73&amp;"/"&amp;COUNTIF(共有用1!T$2:T73,共有用1!T73))</f>
        <v/>
      </c>
      <c r="U73" s="17" t="str">
        <f>IF(共有用1!U73="","",共有用1!U73&amp;"/"&amp;COUNTIF(共有用1!U$2:U73,共有用1!U73))</f>
        <v/>
      </c>
      <c r="V73" s="17" t="str">
        <f>IF(共有用1!V73="","",共有用1!V73&amp;"/"&amp;COUNTIF(共有用1!V$2:V73,共有用1!V73))</f>
        <v/>
      </c>
      <c r="W73" s="17" t="str">
        <f>IF(共有用1!W73="","",共有用1!W73&amp;"/"&amp;COUNTIF(共有用1!W$2:W73,共有用1!W73))</f>
        <v/>
      </c>
      <c r="X73" s="17" t="str">
        <f>IF(共有用1!X73="","",共有用1!X73&amp;"/"&amp;COUNTIF(共有用1!X$2:X73,共有用1!X73))</f>
        <v/>
      </c>
      <c r="Y73" s="17" t="str">
        <f>IF(共有用1!Y73="","",共有用1!Y73&amp;"/"&amp;COUNTIF(共有用1!Y$2:Y73,共有用1!Y73))</f>
        <v/>
      </c>
      <c r="Z73" s="17" t="str">
        <f>IF(共有用1!Z73="","",共有用1!Z73&amp;"/"&amp;COUNTIF(共有用1!Z$2:Z73,共有用1!Z73))</f>
        <v/>
      </c>
      <c r="AA73" s="17" t="str">
        <f>IF(共有用1!AA73="","",共有用1!AA73&amp;"/"&amp;COUNTIF(共有用1!AA$2:AA73,共有用1!AA73))</f>
        <v/>
      </c>
      <c r="AB73" s="17" t="str">
        <f>IF(共有用1!AB73="","",共有用1!AB73&amp;"/"&amp;COUNTIF(共有用1!AB$2:AB73,共有用1!AB73))</f>
        <v/>
      </c>
      <c r="AC73" s="17" t="str">
        <f>IF(共有用1!AC73="","",共有用1!AC73&amp;"/"&amp;COUNTIF(共有用1!AC$2:AC73,共有用1!AC73))</f>
        <v/>
      </c>
      <c r="AD73" s="17" t="str">
        <f>IF(共有用1!AD73="","",共有用1!AD73&amp;"/"&amp;COUNTIF(共有用1!AD$2:AD73,共有用1!AD73))</f>
        <v/>
      </c>
      <c r="AE73" s="17" t="str">
        <f>IF(共有用1!AE73="","",共有用1!AE73&amp;"/"&amp;COUNTIF(共有用1!AE$2:AE73,共有用1!AE73))</f>
        <v/>
      </c>
      <c r="AF73" s="17" t="str">
        <f>IF(共有用1!AF73="","",共有用1!AF73&amp;"/"&amp;COUNTIF(共有用1!AF$2:AF73,共有用1!AF73))</f>
        <v/>
      </c>
      <c r="AG73" s="17" t="str">
        <f>IF(共有用1!AG73="","",共有用1!AG73&amp;"/"&amp;COUNTIF(共有用1!AG$2:AG73,共有用1!AG73))</f>
        <v/>
      </c>
      <c r="AH73" s="17" t="str">
        <f>IF(共有用1!AH73="","",共有用1!AH73&amp;"/"&amp;COUNTIF(共有用1!AH$2:AH73,共有用1!AH73))</f>
        <v/>
      </c>
      <c r="AI73" s="17" t="str">
        <f>IF(共有用1!AI73="","",共有用1!AI73&amp;"/"&amp;COUNTIF(共有用1!AI$2:AI73,共有用1!AI73))</f>
        <v/>
      </c>
      <c r="AJ73" s="17" t="str">
        <f>IF(共有用1!AJ73="","",共有用1!AJ73&amp;"/"&amp;COUNTIF(共有用1!AJ$2:AJ73,共有用1!AJ73))</f>
        <v/>
      </c>
      <c r="AK73" s="17" t="str">
        <f>IF(共有用1!AK73="","",共有用1!AK73&amp;"/"&amp;COUNTIF(共有用1!AK$2:AK73,共有用1!AK73))</f>
        <v/>
      </c>
      <c r="AL73" s="17" t="str">
        <f>IF(共有用1!AL73="","",共有用1!AL73&amp;"/"&amp;COUNTIF(共有用1!AL$2:AL73,共有用1!AL73))</f>
        <v/>
      </c>
      <c r="AM73" s="17" t="str">
        <f>IF(共有用1!AM73="","",共有用1!AM73&amp;"/"&amp;COUNTIF(共有用1!AM$2:AM73,共有用1!AM73))</f>
        <v/>
      </c>
      <c r="AN73" s="17" t="str">
        <f>IF(共有用1!AN73="","",共有用1!AN73&amp;"/"&amp;COUNTIF(共有用1!AN$2:AN73,共有用1!AN73))</f>
        <v/>
      </c>
      <c r="AO73" s="17" t="str">
        <f>IF(共有用1!AO73="","",共有用1!AO73&amp;"/"&amp;COUNTIF(共有用1!AO$2:AO73,共有用1!AO73))</f>
        <v/>
      </c>
      <c r="AP73" s="17" t="str">
        <f>IF(共有用1!AP73="","",共有用1!AP73&amp;"/"&amp;COUNTIF(共有用1!AP$2:AP73,共有用1!AP73))</f>
        <v/>
      </c>
      <c r="AQ73" s="17" t="str">
        <f>IF(共有用1!AQ73="","",共有用1!AQ73&amp;"/"&amp;COUNTIF(共有用1!AQ$2:AQ73,共有用1!AQ73))</f>
        <v/>
      </c>
      <c r="AR73" s="17" t="str">
        <f>IF(共有用1!AR73="","",共有用1!AR73&amp;"/"&amp;COUNTIF(共有用1!AR$2:AR73,共有用1!AR73))</f>
        <v/>
      </c>
      <c r="AS73" s="17" t="str">
        <f>IF(共有用1!AS73="","",共有用1!AS73&amp;"/"&amp;COUNTIF(共有用1!AS$2:AS73,共有用1!AS73))</f>
        <v/>
      </c>
      <c r="AT73" s="17" t="str">
        <f>IF(共有用1!AT73="","",共有用1!AT73&amp;"/"&amp;COUNTIF(共有用1!AT$2:AT73,共有用1!AT73))</f>
        <v/>
      </c>
      <c r="AU73" s="17" t="str">
        <f>IF(共有用1!AU73="","",共有用1!AU73&amp;"/"&amp;COUNTIF(共有用1!AU$2:AU73,共有用1!AU73))</f>
        <v/>
      </c>
      <c r="AV73" s="17" t="str">
        <f>IF(共有用1!AV73="","",共有用1!AV73&amp;"/"&amp;COUNTIF(共有用1!AV$2:AV73,共有用1!AV73))</f>
        <v/>
      </c>
      <c r="AW73" s="17" t="str">
        <f>IF(共有用1!AW73="","",共有用1!AW73&amp;"/"&amp;COUNTIF(共有用1!AW$2:AW73,共有用1!AW73))</f>
        <v/>
      </c>
      <c r="AX73" s="17" t="str">
        <f>IF(共有用1!AX73="","",共有用1!AX73&amp;"/"&amp;COUNTIF(共有用1!AX$2:AX73,共有用1!AX73))</f>
        <v/>
      </c>
      <c r="AY73" s="17" t="str">
        <f>IF(共有用1!AY73="","",共有用1!AY73&amp;"/"&amp;COUNTIF(共有用1!AY$2:AY73,共有用1!AY73))</f>
        <v/>
      </c>
      <c r="AZ73" s="17" t="str">
        <f>IF(共有用1!AZ73="","",共有用1!AZ73&amp;"/"&amp;COUNTIF(共有用1!AZ$2:AZ73,共有用1!AZ73))</f>
        <v/>
      </c>
      <c r="BA73" s="17" t="str">
        <f>IF(共有用1!BA73="","",共有用1!BA73&amp;"/"&amp;COUNTIF(共有用1!BA$2:BA73,共有用1!BA73))</f>
        <v/>
      </c>
    </row>
    <row r="74" spans="1:53">
      <c r="A74" s="2" t="str">
        <f>共有用1!A74</f>
        <v/>
      </c>
      <c r="B74" s="2" t="str">
        <f>共有用1!B74</f>
        <v/>
      </c>
      <c r="C74" s="2" t="str">
        <f>共有用1!C74</f>
        <v/>
      </c>
      <c r="D74" s="17" t="str">
        <f>IF(共有用1!D74="","",共有用1!D74&amp;"/"&amp;COUNTIF(共有用1!D$2:D74,共有用1!D74))</f>
        <v/>
      </c>
      <c r="E74" s="17" t="str">
        <f>IF(共有用1!E74="","",共有用1!E74&amp;"/"&amp;COUNTIF(共有用1!E$2:E74,共有用1!E74))</f>
        <v/>
      </c>
      <c r="F74" s="17" t="str">
        <f>IF(共有用1!F74="","",共有用1!F74&amp;"/"&amp;COUNTIF(共有用1!F$2:F74,共有用1!F74))</f>
        <v/>
      </c>
      <c r="G74" s="17" t="str">
        <f>IF(共有用1!G74="","",共有用1!G74&amp;"/"&amp;COUNTIF(共有用1!G$2:G74,共有用1!G74))</f>
        <v/>
      </c>
      <c r="H74" s="17" t="str">
        <f>IF(共有用1!H74="","",共有用1!H74&amp;"/"&amp;COUNTIF(共有用1!H$2:H74,共有用1!H74))</f>
        <v/>
      </c>
      <c r="I74" s="17" t="str">
        <f>IF(共有用1!I74="","",共有用1!I74&amp;"/"&amp;COUNTIF(共有用1!I$2:I74,共有用1!I74))</f>
        <v/>
      </c>
      <c r="J74" s="17" t="str">
        <f>IF(共有用1!J74="","",共有用1!J74&amp;"/"&amp;COUNTIF(共有用1!J$2:J74,共有用1!J74))</f>
        <v/>
      </c>
      <c r="K74" s="17" t="str">
        <f>IF(共有用1!K74="","",共有用1!K74&amp;"/"&amp;COUNTIF(共有用1!K$2:K74,共有用1!K74))</f>
        <v/>
      </c>
      <c r="L74" s="17" t="str">
        <f>IF(共有用1!L74="","",共有用1!L74&amp;"/"&amp;COUNTIF(共有用1!L$2:L74,共有用1!L74))</f>
        <v/>
      </c>
      <c r="M74" s="17" t="str">
        <f>IF(共有用1!M74="","",共有用1!M74&amp;"/"&amp;COUNTIF(共有用1!M$2:M74,共有用1!M74))</f>
        <v/>
      </c>
      <c r="N74" s="17" t="str">
        <f>IF(共有用1!N74="","",共有用1!N74&amp;"/"&amp;COUNTIF(共有用1!N$2:N74,共有用1!N74))</f>
        <v/>
      </c>
      <c r="O74" s="17" t="str">
        <f>IF(共有用1!O74="","",共有用1!O74&amp;"/"&amp;COUNTIF(共有用1!O$2:O74,共有用1!O74))</f>
        <v/>
      </c>
      <c r="P74" s="17" t="str">
        <f>IF(共有用1!P74="","",共有用1!P74&amp;"/"&amp;COUNTIF(共有用1!P$2:P74,共有用1!P74))</f>
        <v/>
      </c>
      <c r="Q74" s="17" t="str">
        <f>IF(共有用1!Q74="","",共有用1!Q74&amp;"/"&amp;COUNTIF(共有用1!Q$2:Q74,共有用1!Q74))</f>
        <v/>
      </c>
      <c r="R74" s="17" t="str">
        <f>IF(共有用1!R74="","",共有用1!R74&amp;"/"&amp;COUNTIF(共有用1!R$2:R74,共有用1!R74))</f>
        <v/>
      </c>
      <c r="S74" s="17" t="str">
        <f>IF(共有用1!S74="","",共有用1!S74&amp;"/"&amp;COUNTIF(共有用1!S$2:S74,共有用1!S74))</f>
        <v/>
      </c>
      <c r="T74" s="17" t="str">
        <f>IF(共有用1!T74="","",共有用1!T74&amp;"/"&amp;COUNTIF(共有用1!T$2:T74,共有用1!T74))</f>
        <v/>
      </c>
      <c r="U74" s="17" t="str">
        <f>IF(共有用1!U74="","",共有用1!U74&amp;"/"&amp;COUNTIF(共有用1!U$2:U74,共有用1!U74))</f>
        <v/>
      </c>
      <c r="V74" s="17" t="str">
        <f>IF(共有用1!V74="","",共有用1!V74&amp;"/"&amp;COUNTIF(共有用1!V$2:V74,共有用1!V74))</f>
        <v/>
      </c>
      <c r="W74" s="17" t="str">
        <f>IF(共有用1!W74="","",共有用1!W74&amp;"/"&amp;COUNTIF(共有用1!W$2:W74,共有用1!W74))</f>
        <v/>
      </c>
      <c r="X74" s="17" t="str">
        <f>IF(共有用1!X74="","",共有用1!X74&amp;"/"&amp;COUNTIF(共有用1!X$2:X74,共有用1!X74))</f>
        <v/>
      </c>
      <c r="Y74" s="17" t="str">
        <f>IF(共有用1!Y74="","",共有用1!Y74&amp;"/"&amp;COUNTIF(共有用1!Y$2:Y74,共有用1!Y74))</f>
        <v/>
      </c>
      <c r="Z74" s="17" t="str">
        <f>IF(共有用1!Z74="","",共有用1!Z74&amp;"/"&amp;COUNTIF(共有用1!Z$2:Z74,共有用1!Z74))</f>
        <v/>
      </c>
      <c r="AA74" s="17" t="str">
        <f>IF(共有用1!AA74="","",共有用1!AA74&amp;"/"&amp;COUNTIF(共有用1!AA$2:AA74,共有用1!AA74))</f>
        <v/>
      </c>
      <c r="AB74" s="17" t="str">
        <f>IF(共有用1!AB74="","",共有用1!AB74&amp;"/"&amp;COUNTIF(共有用1!AB$2:AB74,共有用1!AB74))</f>
        <v/>
      </c>
      <c r="AC74" s="17" t="str">
        <f>IF(共有用1!AC74="","",共有用1!AC74&amp;"/"&amp;COUNTIF(共有用1!AC$2:AC74,共有用1!AC74))</f>
        <v/>
      </c>
      <c r="AD74" s="17" t="str">
        <f>IF(共有用1!AD74="","",共有用1!AD74&amp;"/"&amp;COUNTIF(共有用1!AD$2:AD74,共有用1!AD74))</f>
        <v/>
      </c>
      <c r="AE74" s="17" t="str">
        <f>IF(共有用1!AE74="","",共有用1!AE74&amp;"/"&amp;COUNTIF(共有用1!AE$2:AE74,共有用1!AE74))</f>
        <v/>
      </c>
      <c r="AF74" s="17" t="str">
        <f>IF(共有用1!AF74="","",共有用1!AF74&amp;"/"&amp;COUNTIF(共有用1!AF$2:AF74,共有用1!AF74))</f>
        <v/>
      </c>
      <c r="AG74" s="17" t="str">
        <f>IF(共有用1!AG74="","",共有用1!AG74&amp;"/"&amp;COUNTIF(共有用1!AG$2:AG74,共有用1!AG74))</f>
        <v/>
      </c>
      <c r="AH74" s="17" t="str">
        <f>IF(共有用1!AH74="","",共有用1!AH74&amp;"/"&amp;COUNTIF(共有用1!AH$2:AH74,共有用1!AH74))</f>
        <v/>
      </c>
      <c r="AI74" s="17" t="str">
        <f>IF(共有用1!AI74="","",共有用1!AI74&amp;"/"&amp;COUNTIF(共有用1!AI$2:AI74,共有用1!AI74))</f>
        <v/>
      </c>
      <c r="AJ74" s="17" t="str">
        <f>IF(共有用1!AJ74="","",共有用1!AJ74&amp;"/"&amp;COUNTIF(共有用1!AJ$2:AJ74,共有用1!AJ74))</f>
        <v/>
      </c>
      <c r="AK74" s="17" t="str">
        <f>IF(共有用1!AK74="","",共有用1!AK74&amp;"/"&amp;COUNTIF(共有用1!AK$2:AK74,共有用1!AK74))</f>
        <v/>
      </c>
      <c r="AL74" s="17" t="str">
        <f>IF(共有用1!AL74="","",共有用1!AL74&amp;"/"&amp;COUNTIF(共有用1!AL$2:AL74,共有用1!AL74))</f>
        <v/>
      </c>
      <c r="AM74" s="17" t="str">
        <f>IF(共有用1!AM74="","",共有用1!AM74&amp;"/"&amp;COUNTIF(共有用1!AM$2:AM74,共有用1!AM74))</f>
        <v/>
      </c>
      <c r="AN74" s="17" t="str">
        <f>IF(共有用1!AN74="","",共有用1!AN74&amp;"/"&amp;COUNTIF(共有用1!AN$2:AN74,共有用1!AN74))</f>
        <v/>
      </c>
      <c r="AO74" s="17" t="str">
        <f>IF(共有用1!AO74="","",共有用1!AO74&amp;"/"&amp;COUNTIF(共有用1!AO$2:AO74,共有用1!AO74))</f>
        <v/>
      </c>
      <c r="AP74" s="17" t="str">
        <f>IF(共有用1!AP74="","",共有用1!AP74&amp;"/"&amp;COUNTIF(共有用1!AP$2:AP74,共有用1!AP74))</f>
        <v/>
      </c>
      <c r="AQ74" s="17" t="str">
        <f>IF(共有用1!AQ74="","",共有用1!AQ74&amp;"/"&amp;COUNTIF(共有用1!AQ$2:AQ74,共有用1!AQ74))</f>
        <v/>
      </c>
      <c r="AR74" s="17" t="str">
        <f>IF(共有用1!AR74="","",共有用1!AR74&amp;"/"&amp;COUNTIF(共有用1!AR$2:AR74,共有用1!AR74))</f>
        <v/>
      </c>
      <c r="AS74" s="17" t="str">
        <f>IF(共有用1!AS74="","",共有用1!AS74&amp;"/"&amp;COUNTIF(共有用1!AS$2:AS74,共有用1!AS74))</f>
        <v/>
      </c>
      <c r="AT74" s="17" t="str">
        <f>IF(共有用1!AT74="","",共有用1!AT74&amp;"/"&amp;COUNTIF(共有用1!AT$2:AT74,共有用1!AT74))</f>
        <v/>
      </c>
      <c r="AU74" s="17" t="str">
        <f>IF(共有用1!AU74="","",共有用1!AU74&amp;"/"&amp;COUNTIF(共有用1!AU$2:AU74,共有用1!AU74))</f>
        <v/>
      </c>
      <c r="AV74" s="17" t="str">
        <f>IF(共有用1!AV74="","",共有用1!AV74&amp;"/"&amp;COUNTIF(共有用1!AV$2:AV74,共有用1!AV74))</f>
        <v/>
      </c>
      <c r="AW74" s="17" t="str">
        <f>IF(共有用1!AW74="","",共有用1!AW74&amp;"/"&amp;COUNTIF(共有用1!AW$2:AW74,共有用1!AW74))</f>
        <v/>
      </c>
      <c r="AX74" s="17" t="str">
        <f>IF(共有用1!AX74="","",共有用1!AX74&amp;"/"&amp;COUNTIF(共有用1!AX$2:AX74,共有用1!AX74))</f>
        <v/>
      </c>
      <c r="AY74" s="17" t="str">
        <f>IF(共有用1!AY74="","",共有用1!AY74&amp;"/"&amp;COUNTIF(共有用1!AY$2:AY74,共有用1!AY74))</f>
        <v/>
      </c>
      <c r="AZ74" s="17" t="str">
        <f>IF(共有用1!AZ74="","",共有用1!AZ74&amp;"/"&amp;COUNTIF(共有用1!AZ$2:AZ74,共有用1!AZ74))</f>
        <v/>
      </c>
      <c r="BA74" s="17" t="str">
        <f>IF(共有用1!BA74="","",共有用1!BA74&amp;"/"&amp;COUNTIF(共有用1!BA$2:BA74,共有用1!BA74))</f>
        <v/>
      </c>
    </row>
    <row r="75" spans="1:53">
      <c r="A75" s="2" t="str">
        <f>共有用1!A75</f>
        <v/>
      </c>
      <c r="B75" s="2" t="str">
        <f>共有用1!B75</f>
        <v/>
      </c>
      <c r="C75" s="2" t="str">
        <f>共有用1!C75</f>
        <v/>
      </c>
      <c r="D75" s="17" t="str">
        <f>IF(共有用1!D75="","",共有用1!D75&amp;"/"&amp;COUNTIF(共有用1!D$2:D75,共有用1!D75))</f>
        <v/>
      </c>
      <c r="E75" s="17" t="str">
        <f>IF(共有用1!E75="","",共有用1!E75&amp;"/"&amp;COUNTIF(共有用1!E$2:E75,共有用1!E75))</f>
        <v/>
      </c>
      <c r="F75" s="17" t="str">
        <f>IF(共有用1!F75="","",共有用1!F75&amp;"/"&amp;COUNTIF(共有用1!F$2:F75,共有用1!F75))</f>
        <v/>
      </c>
      <c r="G75" s="17" t="str">
        <f>IF(共有用1!G75="","",共有用1!G75&amp;"/"&amp;COUNTIF(共有用1!G$2:G75,共有用1!G75))</f>
        <v/>
      </c>
      <c r="H75" s="17" t="str">
        <f>IF(共有用1!H75="","",共有用1!H75&amp;"/"&amp;COUNTIF(共有用1!H$2:H75,共有用1!H75))</f>
        <v/>
      </c>
      <c r="I75" s="17" t="str">
        <f>IF(共有用1!I75="","",共有用1!I75&amp;"/"&amp;COUNTIF(共有用1!I$2:I75,共有用1!I75))</f>
        <v/>
      </c>
      <c r="J75" s="17" t="str">
        <f>IF(共有用1!J75="","",共有用1!J75&amp;"/"&amp;COUNTIF(共有用1!J$2:J75,共有用1!J75))</f>
        <v/>
      </c>
      <c r="K75" s="17" t="str">
        <f>IF(共有用1!K75="","",共有用1!K75&amp;"/"&amp;COUNTIF(共有用1!K$2:K75,共有用1!K75))</f>
        <v/>
      </c>
      <c r="L75" s="17" t="str">
        <f>IF(共有用1!L75="","",共有用1!L75&amp;"/"&amp;COUNTIF(共有用1!L$2:L75,共有用1!L75))</f>
        <v/>
      </c>
      <c r="M75" s="17" t="str">
        <f>IF(共有用1!M75="","",共有用1!M75&amp;"/"&amp;COUNTIF(共有用1!M$2:M75,共有用1!M75))</f>
        <v/>
      </c>
      <c r="N75" s="17" t="str">
        <f>IF(共有用1!N75="","",共有用1!N75&amp;"/"&amp;COUNTIF(共有用1!N$2:N75,共有用1!N75))</f>
        <v/>
      </c>
      <c r="O75" s="17" t="str">
        <f>IF(共有用1!O75="","",共有用1!O75&amp;"/"&amp;COUNTIF(共有用1!O$2:O75,共有用1!O75))</f>
        <v/>
      </c>
      <c r="P75" s="17" t="str">
        <f>IF(共有用1!P75="","",共有用1!P75&amp;"/"&amp;COUNTIF(共有用1!P$2:P75,共有用1!P75))</f>
        <v/>
      </c>
      <c r="Q75" s="17" t="str">
        <f>IF(共有用1!Q75="","",共有用1!Q75&amp;"/"&amp;COUNTIF(共有用1!Q$2:Q75,共有用1!Q75))</f>
        <v/>
      </c>
      <c r="R75" s="17" t="str">
        <f>IF(共有用1!R75="","",共有用1!R75&amp;"/"&amp;COUNTIF(共有用1!R$2:R75,共有用1!R75))</f>
        <v/>
      </c>
      <c r="S75" s="17" t="str">
        <f>IF(共有用1!S75="","",共有用1!S75&amp;"/"&amp;COUNTIF(共有用1!S$2:S75,共有用1!S75))</f>
        <v/>
      </c>
      <c r="T75" s="17" t="str">
        <f>IF(共有用1!T75="","",共有用1!T75&amp;"/"&amp;COUNTIF(共有用1!T$2:T75,共有用1!T75))</f>
        <v/>
      </c>
      <c r="U75" s="17" t="str">
        <f>IF(共有用1!U75="","",共有用1!U75&amp;"/"&amp;COUNTIF(共有用1!U$2:U75,共有用1!U75))</f>
        <v/>
      </c>
      <c r="V75" s="17" t="str">
        <f>IF(共有用1!V75="","",共有用1!V75&amp;"/"&amp;COUNTIF(共有用1!V$2:V75,共有用1!V75))</f>
        <v/>
      </c>
      <c r="W75" s="17" t="str">
        <f>IF(共有用1!W75="","",共有用1!W75&amp;"/"&amp;COUNTIF(共有用1!W$2:W75,共有用1!W75))</f>
        <v/>
      </c>
      <c r="X75" s="17" t="str">
        <f>IF(共有用1!X75="","",共有用1!X75&amp;"/"&amp;COUNTIF(共有用1!X$2:X75,共有用1!X75))</f>
        <v/>
      </c>
      <c r="Y75" s="17" t="str">
        <f>IF(共有用1!Y75="","",共有用1!Y75&amp;"/"&amp;COUNTIF(共有用1!Y$2:Y75,共有用1!Y75))</f>
        <v/>
      </c>
      <c r="Z75" s="17" t="str">
        <f>IF(共有用1!Z75="","",共有用1!Z75&amp;"/"&amp;COUNTIF(共有用1!Z$2:Z75,共有用1!Z75))</f>
        <v/>
      </c>
      <c r="AA75" s="17" t="str">
        <f>IF(共有用1!AA75="","",共有用1!AA75&amp;"/"&amp;COUNTIF(共有用1!AA$2:AA75,共有用1!AA75))</f>
        <v/>
      </c>
      <c r="AB75" s="17" t="str">
        <f>IF(共有用1!AB75="","",共有用1!AB75&amp;"/"&amp;COUNTIF(共有用1!AB$2:AB75,共有用1!AB75))</f>
        <v/>
      </c>
      <c r="AC75" s="17" t="str">
        <f>IF(共有用1!AC75="","",共有用1!AC75&amp;"/"&amp;COUNTIF(共有用1!AC$2:AC75,共有用1!AC75))</f>
        <v/>
      </c>
      <c r="AD75" s="17" t="str">
        <f>IF(共有用1!AD75="","",共有用1!AD75&amp;"/"&amp;COUNTIF(共有用1!AD$2:AD75,共有用1!AD75))</f>
        <v/>
      </c>
      <c r="AE75" s="17" t="str">
        <f>IF(共有用1!AE75="","",共有用1!AE75&amp;"/"&amp;COUNTIF(共有用1!AE$2:AE75,共有用1!AE75))</f>
        <v/>
      </c>
      <c r="AF75" s="17" t="str">
        <f>IF(共有用1!AF75="","",共有用1!AF75&amp;"/"&amp;COUNTIF(共有用1!AF$2:AF75,共有用1!AF75))</f>
        <v/>
      </c>
      <c r="AG75" s="17" t="str">
        <f>IF(共有用1!AG75="","",共有用1!AG75&amp;"/"&amp;COUNTIF(共有用1!AG$2:AG75,共有用1!AG75))</f>
        <v/>
      </c>
      <c r="AH75" s="17" t="str">
        <f>IF(共有用1!AH75="","",共有用1!AH75&amp;"/"&amp;COUNTIF(共有用1!AH$2:AH75,共有用1!AH75))</f>
        <v/>
      </c>
      <c r="AI75" s="17" t="str">
        <f>IF(共有用1!AI75="","",共有用1!AI75&amp;"/"&amp;COUNTIF(共有用1!AI$2:AI75,共有用1!AI75))</f>
        <v/>
      </c>
      <c r="AJ75" s="17" t="str">
        <f>IF(共有用1!AJ75="","",共有用1!AJ75&amp;"/"&amp;COUNTIF(共有用1!AJ$2:AJ75,共有用1!AJ75))</f>
        <v/>
      </c>
      <c r="AK75" s="17" t="str">
        <f>IF(共有用1!AK75="","",共有用1!AK75&amp;"/"&amp;COUNTIF(共有用1!AK$2:AK75,共有用1!AK75))</f>
        <v/>
      </c>
      <c r="AL75" s="17" t="str">
        <f>IF(共有用1!AL75="","",共有用1!AL75&amp;"/"&amp;COUNTIF(共有用1!AL$2:AL75,共有用1!AL75))</f>
        <v/>
      </c>
      <c r="AM75" s="17" t="str">
        <f>IF(共有用1!AM75="","",共有用1!AM75&amp;"/"&amp;COUNTIF(共有用1!AM$2:AM75,共有用1!AM75))</f>
        <v/>
      </c>
      <c r="AN75" s="17" t="str">
        <f>IF(共有用1!AN75="","",共有用1!AN75&amp;"/"&amp;COUNTIF(共有用1!AN$2:AN75,共有用1!AN75))</f>
        <v/>
      </c>
      <c r="AO75" s="17" t="str">
        <f>IF(共有用1!AO75="","",共有用1!AO75&amp;"/"&amp;COUNTIF(共有用1!AO$2:AO75,共有用1!AO75))</f>
        <v/>
      </c>
      <c r="AP75" s="17" t="str">
        <f>IF(共有用1!AP75="","",共有用1!AP75&amp;"/"&amp;COUNTIF(共有用1!AP$2:AP75,共有用1!AP75))</f>
        <v/>
      </c>
      <c r="AQ75" s="17" t="str">
        <f>IF(共有用1!AQ75="","",共有用1!AQ75&amp;"/"&amp;COUNTIF(共有用1!AQ$2:AQ75,共有用1!AQ75))</f>
        <v/>
      </c>
      <c r="AR75" s="17" t="str">
        <f>IF(共有用1!AR75="","",共有用1!AR75&amp;"/"&amp;COUNTIF(共有用1!AR$2:AR75,共有用1!AR75))</f>
        <v/>
      </c>
      <c r="AS75" s="17" t="str">
        <f>IF(共有用1!AS75="","",共有用1!AS75&amp;"/"&amp;COUNTIF(共有用1!AS$2:AS75,共有用1!AS75))</f>
        <v/>
      </c>
      <c r="AT75" s="17" t="str">
        <f>IF(共有用1!AT75="","",共有用1!AT75&amp;"/"&amp;COUNTIF(共有用1!AT$2:AT75,共有用1!AT75))</f>
        <v/>
      </c>
      <c r="AU75" s="17" t="str">
        <f>IF(共有用1!AU75="","",共有用1!AU75&amp;"/"&amp;COUNTIF(共有用1!AU$2:AU75,共有用1!AU75))</f>
        <v/>
      </c>
      <c r="AV75" s="17" t="str">
        <f>IF(共有用1!AV75="","",共有用1!AV75&amp;"/"&amp;COUNTIF(共有用1!AV$2:AV75,共有用1!AV75))</f>
        <v/>
      </c>
      <c r="AW75" s="17" t="str">
        <f>IF(共有用1!AW75="","",共有用1!AW75&amp;"/"&amp;COUNTIF(共有用1!AW$2:AW75,共有用1!AW75))</f>
        <v/>
      </c>
      <c r="AX75" s="17" t="str">
        <f>IF(共有用1!AX75="","",共有用1!AX75&amp;"/"&amp;COUNTIF(共有用1!AX$2:AX75,共有用1!AX75))</f>
        <v/>
      </c>
      <c r="AY75" s="17" t="str">
        <f>IF(共有用1!AY75="","",共有用1!AY75&amp;"/"&amp;COUNTIF(共有用1!AY$2:AY75,共有用1!AY75))</f>
        <v/>
      </c>
      <c r="AZ75" s="17" t="str">
        <f>IF(共有用1!AZ75="","",共有用1!AZ75&amp;"/"&amp;COUNTIF(共有用1!AZ$2:AZ75,共有用1!AZ75))</f>
        <v/>
      </c>
      <c r="BA75" s="17" t="str">
        <f>IF(共有用1!BA75="","",共有用1!BA75&amp;"/"&amp;COUNTIF(共有用1!BA$2:BA75,共有用1!BA75))</f>
        <v/>
      </c>
    </row>
    <row r="76" spans="1:53">
      <c r="A76" s="2" t="str">
        <f>共有用1!A76</f>
        <v/>
      </c>
      <c r="B76" s="2" t="str">
        <f>共有用1!B76</f>
        <v/>
      </c>
      <c r="C76" s="2" t="str">
        <f>共有用1!C76</f>
        <v/>
      </c>
      <c r="D76" s="17" t="str">
        <f>IF(共有用1!D76="","",共有用1!D76&amp;"/"&amp;COUNTIF(共有用1!D$2:D76,共有用1!D76))</f>
        <v/>
      </c>
      <c r="E76" s="17" t="str">
        <f>IF(共有用1!E76="","",共有用1!E76&amp;"/"&amp;COUNTIF(共有用1!E$2:E76,共有用1!E76))</f>
        <v/>
      </c>
      <c r="F76" s="17" t="str">
        <f>IF(共有用1!F76="","",共有用1!F76&amp;"/"&amp;COUNTIF(共有用1!F$2:F76,共有用1!F76))</f>
        <v/>
      </c>
      <c r="G76" s="17" t="str">
        <f>IF(共有用1!G76="","",共有用1!G76&amp;"/"&amp;COUNTIF(共有用1!G$2:G76,共有用1!G76))</f>
        <v/>
      </c>
      <c r="H76" s="17" t="str">
        <f>IF(共有用1!H76="","",共有用1!H76&amp;"/"&amp;COUNTIF(共有用1!H$2:H76,共有用1!H76))</f>
        <v/>
      </c>
      <c r="I76" s="17" t="str">
        <f>IF(共有用1!I76="","",共有用1!I76&amp;"/"&amp;COUNTIF(共有用1!I$2:I76,共有用1!I76))</f>
        <v/>
      </c>
      <c r="J76" s="17" t="str">
        <f>IF(共有用1!J76="","",共有用1!J76&amp;"/"&amp;COUNTIF(共有用1!J$2:J76,共有用1!J76))</f>
        <v/>
      </c>
      <c r="K76" s="17" t="str">
        <f>IF(共有用1!K76="","",共有用1!K76&amp;"/"&amp;COUNTIF(共有用1!K$2:K76,共有用1!K76))</f>
        <v/>
      </c>
      <c r="L76" s="17" t="str">
        <f>IF(共有用1!L76="","",共有用1!L76&amp;"/"&amp;COUNTIF(共有用1!L$2:L76,共有用1!L76))</f>
        <v/>
      </c>
      <c r="M76" s="17" t="str">
        <f>IF(共有用1!M76="","",共有用1!M76&amp;"/"&amp;COUNTIF(共有用1!M$2:M76,共有用1!M76))</f>
        <v/>
      </c>
      <c r="N76" s="17" t="str">
        <f>IF(共有用1!N76="","",共有用1!N76&amp;"/"&amp;COUNTIF(共有用1!N$2:N76,共有用1!N76))</f>
        <v/>
      </c>
      <c r="O76" s="17" t="str">
        <f>IF(共有用1!O76="","",共有用1!O76&amp;"/"&amp;COUNTIF(共有用1!O$2:O76,共有用1!O76))</f>
        <v/>
      </c>
      <c r="P76" s="17" t="str">
        <f>IF(共有用1!P76="","",共有用1!P76&amp;"/"&amp;COUNTIF(共有用1!P$2:P76,共有用1!P76))</f>
        <v/>
      </c>
      <c r="Q76" s="17" t="str">
        <f>IF(共有用1!Q76="","",共有用1!Q76&amp;"/"&amp;COUNTIF(共有用1!Q$2:Q76,共有用1!Q76))</f>
        <v/>
      </c>
      <c r="R76" s="17" t="str">
        <f>IF(共有用1!R76="","",共有用1!R76&amp;"/"&amp;COUNTIF(共有用1!R$2:R76,共有用1!R76))</f>
        <v/>
      </c>
      <c r="S76" s="17" t="str">
        <f>IF(共有用1!S76="","",共有用1!S76&amp;"/"&amp;COUNTIF(共有用1!S$2:S76,共有用1!S76))</f>
        <v/>
      </c>
      <c r="T76" s="17" t="str">
        <f>IF(共有用1!T76="","",共有用1!T76&amp;"/"&amp;COUNTIF(共有用1!T$2:T76,共有用1!T76))</f>
        <v/>
      </c>
      <c r="U76" s="17" t="str">
        <f>IF(共有用1!U76="","",共有用1!U76&amp;"/"&amp;COUNTIF(共有用1!U$2:U76,共有用1!U76))</f>
        <v/>
      </c>
      <c r="V76" s="17" t="str">
        <f>IF(共有用1!V76="","",共有用1!V76&amp;"/"&amp;COUNTIF(共有用1!V$2:V76,共有用1!V76))</f>
        <v/>
      </c>
      <c r="W76" s="17" t="str">
        <f>IF(共有用1!W76="","",共有用1!W76&amp;"/"&amp;COUNTIF(共有用1!W$2:W76,共有用1!W76))</f>
        <v/>
      </c>
      <c r="X76" s="17" t="str">
        <f>IF(共有用1!X76="","",共有用1!X76&amp;"/"&amp;COUNTIF(共有用1!X$2:X76,共有用1!X76))</f>
        <v/>
      </c>
      <c r="Y76" s="17" t="str">
        <f>IF(共有用1!Y76="","",共有用1!Y76&amp;"/"&amp;COUNTIF(共有用1!Y$2:Y76,共有用1!Y76))</f>
        <v/>
      </c>
      <c r="Z76" s="17" t="str">
        <f>IF(共有用1!Z76="","",共有用1!Z76&amp;"/"&amp;COUNTIF(共有用1!Z$2:Z76,共有用1!Z76))</f>
        <v/>
      </c>
      <c r="AA76" s="17" t="str">
        <f>IF(共有用1!AA76="","",共有用1!AA76&amp;"/"&amp;COUNTIF(共有用1!AA$2:AA76,共有用1!AA76))</f>
        <v/>
      </c>
      <c r="AB76" s="17" t="str">
        <f>IF(共有用1!AB76="","",共有用1!AB76&amp;"/"&amp;COUNTIF(共有用1!AB$2:AB76,共有用1!AB76))</f>
        <v/>
      </c>
      <c r="AC76" s="17" t="str">
        <f>IF(共有用1!AC76="","",共有用1!AC76&amp;"/"&amp;COUNTIF(共有用1!AC$2:AC76,共有用1!AC76))</f>
        <v/>
      </c>
      <c r="AD76" s="17" t="str">
        <f>IF(共有用1!AD76="","",共有用1!AD76&amp;"/"&amp;COUNTIF(共有用1!AD$2:AD76,共有用1!AD76))</f>
        <v/>
      </c>
      <c r="AE76" s="17" t="str">
        <f>IF(共有用1!AE76="","",共有用1!AE76&amp;"/"&amp;COUNTIF(共有用1!AE$2:AE76,共有用1!AE76))</f>
        <v/>
      </c>
      <c r="AF76" s="17" t="str">
        <f>IF(共有用1!AF76="","",共有用1!AF76&amp;"/"&amp;COUNTIF(共有用1!AF$2:AF76,共有用1!AF76))</f>
        <v/>
      </c>
      <c r="AG76" s="17" t="str">
        <f>IF(共有用1!AG76="","",共有用1!AG76&amp;"/"&amp;COUNTIF(共有用1!AG$2:AG76,共有用1!AG76))</f>
        <v/>
      </c>
      <c r="AH76" s="17" t="str">
        <f>IF(共有用1!AH76="","",共有用1!AH76&amp;"/"&amp;COUNTIF(共有用1!AH$2:AH76,共有用1!AH76))</f>
        <v/>
      </c>
      <c r="AI76" s="17" t="str">
        <f>IF(共有用1!AI76="","",共有用1!AI76&amp;"/"&amp;COUNTIF(共有用1!AI$2:AI76,共有用1!AI76))</f>
        <v/>
      </c>
      <c r="AJ76" s="17" t="str">
        <f>IF(共有用1!AJ76="","",共有用1!AJ76&amp;"/"&amp;COUNTIF(共有用1!AJ$2:AJ76,共有用1!AJ76))</f>
        <v/>
      </c>
      <c r="AK76" s="17" t="str">
        <f>IF(共有用1!AK76="","",共有用1!AK76&amp;"/"&amp;COUNTIF(共有用1!AK$2:AK76,共有用1!AK76))</f>
        <v/>
      </c>
      <c r="AL76" s="17" t="str">
        <f>IF(共有用1!AL76="","",共有用1!AL76&amp;"/"&amp;COUNTIF(共有用1!AL$2:AL76,共有用1!AL76))</f>
        <v/>
      </c>
      <c r="AM76" s="17" t="str">
        <f>IF(共有用1!AM76="","",共有用1!AM76&amp;"/"&amp;COUNTIF(共有用1!AM$2:AM76,共有用1!AM76))</f>
        <v/>
      </c>
      <c r="AN76" s="17" t="str">
        <f>IF(共有用1!AN76="","",共有用1!AN76&amp;"/"&amp;COUNTIF(共有用1!AN$2:AN76,共有用1!AN76))</f>
        <v/>
      </c>
      <c r="AO76" s="17" t="str">
        <f>IF(共有用1!AO76="","",共有用1!AO76&amp;"/"&amp;COUNTIF(共有用1!AO$2:AO76,共有用1!AO76))</f>
        <v/>
      </c>
      <c r="AP76" s="17" t="str">
        <f>IF(共有用1!AP76="","",共有用1!AP76&amp;"/"&amp;COUNTIF(共有用1!AP$2:AP76,共有用1!AP76))</f>
        <v/>
      </c>
      <c r="AQ76" s="17" t="str">
        <f>IF(共有用1!AQ76="","",共有用1!AQ76&amp;"/"&amp;COUNTIF(共有用1!AQ$2:AQ76,共有用1!AQ76))</f>
        <v/>
      </c>
      <c r="AR76" s="17" t="str">
        <f>IF(共有用1!AR76="","",共有用1!AR76&amp;"/"&amp;COUNTIF(共有用1!AR$2:AR76,共有用1!AR76))</f>
        <v/>
      </c>
      <c r="AS76" s="17" t="str">
        <f>IF(共有用1!AS76="","",共有用1!AS76&amp;"/"&amp;COUNTIF(共有用1!AS$2:AS76,共有用1!AS76))</f>
        <v/>
      </c>
      <c r="AT76" s="17" t="str">
        <f>IF(共有用1!AT76="","",共有用1!AT76&amp;"/"&amp;COUNTIF(共有用1!AT$2:AT76,共有用1!AT76))</f>
        <v/>
      </c>
      <c r="AU76" s="17" t="str">
        <f>IF(共有用1!AU76="","",共有用1!AU76&amp;"/"&amp;COUNTIF(共有用1!AU$2:AU76,共有用1!AU76))</f>
        <v/>
      </c>
      <c r="AV76" s="17" t="str">
        <f>IF(共有用1!AV76="","",共有用1!AV76&amp;"/"&amp;COUNTIF(共有用1!AV$2:AV76,共有用1!AV76))</f>
        <v/>
      </c>
      <c r="AW76" s="17" t="str">
        <f>IF(共有用1!AW76="","",共有用1!AW76&amp;"/"&amp;COUNTIF(共有用1!AW$2:AW76,共有用1!AW76))</f>
        <v/>
      </c>
      <c r="AX76" s="17" t="str">
        <f>IF(共有用1!AX76="","",共有用1!AX76&amp;"/"&amp;COUNTIF(共有用1!AX$2:AX76,共有用1!AX76))</f>
        <v/>
      </c>
      <c r="AY76" s="17" t="str">
        <f>IF(共有用1!AY76="","",共有用1!AY76&amp;"/"&amp;COUNTIF(共有用1!AY$2:AY76,共有用1!AY76))</f>
        <v/>
      </c>
      <c r="AZ76" s="17" t="str">
        <f>IF(共有用1!AZ76="","",共有用1!AZ76&amp;"/"&amp;COUNTIF(共有用1!AZ$2:AZ76,共有用1!AZ76))</f>
        <v/>
      </c>
      <c r="BA76" s="17" t="str">
        <f>IF(共有用1!BA76="","",共有用1!BA76&amp;"/"&amp;COUNTIF(共有用1!BA$2:BA76,共有用1!BA76))</f>
        <v/>
      </c>
    </row>
    <row r="77" spans="1:53">
      <c r="A77" s="2" t="str">
        <f>共有用1!A77</f>
        <v/>
      </c>
      <c r="B77" s="2" t="str">
        <f>共有用1!B77</f>
        <v/>
      </c>
      <c r="C77" s="2" t="str">
        <f>共有用1!C77</f>
        <v/>
      </c>
      <c r="D77" s="17" t="str">
        <f>IF(共有用1!D77="","",共有用1!D77&amp;"/"&amp;COUNTIF(共有用1!D$2:D77,共有用1!D77))</f>
        <v/>
      </c>
      <c r="E77" s="17" t="str">
        <f>IF(共有用1!E77="","",共有用1!E77&amp;"/"&amp;COUNTIF(共有用1!E$2:E77,共有用1!E77))</f>
        <v/>
      </c>
      <c r="F77" s="17" t="str">
        <f>IF(共有用1!F77="","",共有用1!F77&amp;"/"&amp;COUNTIF(共有用1!F$2:F77,共有用1!F77))</f>
        <v/>
      </c>
      <c r="G77" s="17" t="str">
        <f>IF(共有用1!G77="","",共有用1!G77&amp;"/"&amp;COUNTIF(共有用1!G$2:G77,共有用1!G77))</f>
        <v/>
      </c>
      <c r="H77" s="17" t="str">
        <f>IF(共有用1!H77="","",共有用1!H77&amp;"/"&amp;COUNTIF(共有用1!H$2:H77,共有用1!H77))</f>
        <v/>
      </c>
      <c r="I77" s="17" t="str">
        <f>IF(共有用1!I77="","",共有用1!I77&amp;"/"&amp;COUNTIF(共有用1!I$2:I77,共有用1!I77))</f>
        <v/>
      </c>
      <c r="J77" s="17" t="str">
        <f>IF(共有用1!J77="","",共有用1!J77&amp;"/"&amp;COUNTIF(共有用1!J$2:J77,共有用1!J77))</f>
        <v/>
      </c>
      <c r="K77" s="17" t="str">
        <f>IF(共有用1!K77="","",共有用1!K77&amp;"/"&amp;COUNTIF(共有用1!K$2:K77,共有用1!K77))</f>
        <v/>
      </c>
      <c r="L77" s="17" t="str">
        <f>IF(共有用1!L77="","",共有用1!L77&amp;"/"&amp;COUNTIF(共有用1!L$2:L77,共有用1!L77))</f>
        <v/>
      </c>
      <c r="M77" s="17" t="str">
        <f>IF(共有用1!M77="","",共有用1!M77&amp;"/"&amp;COUNTIF(共有用1!M$2:M77,共有用1!M77))</f>
        <v/>
      </c>
      <c r="N77" s="17" t="str">
        <f>IF(共有用1!N77="","",共有用1!N77&amp;"/"&amp;COUNTIF(共有用1!N$2:N77,共有用1!N77))</f>
        <v/>
      </c>
      <c r="O77" s="17" t="str">
        <f>IF(共有用1!O77="","",共有用1!O77&amp;"/"&amp;COUNTIF(共有用1!O$2:O77,共有用1!O77))</f>
        <v/>
      </c>
      <c r="P77" s="17" t="str">
        <f>IF(共有用1!P77="","",共有用1!P77&amp;"/"&amp;COUNTIF(共有用1!P$2:P77,共有用1!P77))</f>
        <v/>
      </c>
      <c r="Q77" s="17" t="str">
        <f>IF(共有用1!Q77="","",共有用1!Q77&amp;"/"&amp;COUNTIF(共有用1!Q$2:Q77,共有用1!Q77))</f>
        <v/>
      </c>
      <c r="R77" s="17" t="str">
        <f>IF(共有用1!R77="","",共有用1!R77&amp;"/"&amp;COUNTIF(共有用1!R$2:R77,共有用1!R77))</f>
        <v/>
      </c>
      <c r="S77" s="17" t="str">
        <f>IF(共有用1!S77="","",共有用1!S77&amp;"/"&amp;COUNTIF(共有用1!S$2:S77,共有用1!S77))</f>
        <v/>
      </c>
      <c r="T77" s="17" t="str">
        <f>IF(共有用1!T77="","",共有用1!T77&amp;"/"&amp;COUNTIF(共有用1!T$2:T77,共有用1!T77))</f>
        <v/>
      </c>
      <c r="U77" s="17" t="str">
        <f>IF(共有用1!U77="","",共有用1!U77&amp;"/"&amp;COUNTIF(共有用1!U$2:U77,共有用1!U77))</f>
        <v/>
      </c>
      <c r="V77" s="17" t="str">
        <f>IF(共有用1!V77="","",共有用1!V77&amp;"/"&amp;COUNTIF(共有用1!V$2:V77,共有用1!V77))</f>
        <v/>
      </c>
      <c r="W77" s="17" t="str">
        <f>IF(共有用1!W77="","",共有用1!W77&amp;"/"&amp;COUNTIF(共有用1!W$2:W77,共有用1!W77))</f>
        <v/>
      </c>
      <c r="X77" s="17" t="str">
        <f>IF(共有用1!X77="","",共有用1!X77&amp;"/"&amp;COUNTIF(共有用1!X$2:X77,共有用1!X77))</f>
        <v/>
      </c>
      <c r="Y77" s="17" t="str">
        <f>IF(共有用1!Y77="","",共有用1!Y77&amp;"/"&amp;COUNTIF(共有用1!Y$2:Y77,共有用1!Y77))</f>
        <v/>
      </c>
      <c r="Z77" s="17" t="str">
        <f>IF(共有用1!Z77="","",共有用1!Z77&amp;"/"&amp;COUNTIF(共有用1!Z$2:Z77,共有用1!Z77))</f>
        <v/>
      </c>
      <c r="AA77" s="17" t="str">
        <f>IF(共有用1!AA77="","",共有用1!AA77&amp;"/"&amp;COUNTIF(共有用1!AA$2:AA77,共有用1!AA77))</f>
        <v/>
      </c>
      <c r="AB77" s="17" t="str">
        <f>IF(共有用1!AB77="","",共有用1!AB77&amp;"/"&amp;COUNTIF(共有用1!AB$2:AB77,共有用1!AB77))</f>
        <v/>
      </c>
      <c r="AC77" s="17" t="str">
        <f>IF(共有用1!AC77="","",共有用1!AC77&amp;"/"&amp;COUNTIF(共有用1!AC$2:AC77,共有用1!AC77))</f>
        <v/>
      </c>
      <c r="AD77" s="17" t="str">
        <f>IF(共有用1!AD77="","",共有用1!AD77&amp;"/"&amp;COUNTIF(共有用1!AD$2:AD77,共有用1!AD77))</f>
        <v/>
      </c>
      <c r="AE77" s="17" t="str">
        <f>IF(共有用1!AE77="","",共有用1!AE77&amp;"/"&amp;COUNTIF(共有用1!AE$2:AE77,共有用1!AE77))</f>
        <v/>
      </c>
      <c r="AF77" s="17" t="str">
        <f>IF(共有用1!AF77="","",共有用1!AF77&amp;"/"&amp;COUNTIF(共有用1!AF$2:AF77,共有用1!AF77))</f>
        <v/>
      </c>
      <c r="AG77" s="17" t="str">
        <f>IF(共有用1!AG77="","",共有用1!AG77&amp;"/"&amp;COUNTIF(共有用1!AG$2:AG77,共有用1!AG77))</f>
        <v/>
      </c>
      <c r="AH77" s="17" t="str">
        <f>IF(共有用1!AH77="","",共有用1!AH77&amp;"/"&amp;COUNTIF(共有用1!AH$2:AH77,共有用1!AH77))</f>
        <v/>
      </c>
      <c r="AI77" s="17" t="str">
        <f>IF(共有用1!AI77="","",共有用1!AI77&amp;"/"&amp;COUNTIF(共有用1!AI$2:AI77,共有用1!AI77))</f>
        <v/>
      </c>
      <c r="AJ77" s="17" t="str">
        <f>IF(共有用1!AJ77="","",共有用1!AJ77&amp;"/"&amp;COUNTIF(共有用1!AJ$2:AJ77,共有用1!AJ77))</f>
        <v/>
      </c>
      <c r="AK77" s="17" t="str">
        <f>IF(共有用1!AK77="","",共有用1!AK77&amp;"/"&amp;COUNTIF(共有用1!AK$2:AK77,共有用1!AK77))</f>
        <v/>
      </c>
      <c r="AL77" s="17" t="str">
        <f>IF(共有用1!AL77="","",共有用1!AL77&amp;"/"&amp;COUNTIF(共有用1!AL$2:AL77,共有用1!AL77))</f>
        <v/>
      </c>
      <c r="AM77" s="17" t="str">
        <f>IF(共有用1!AM77="","",共有用1!AM77&amp;"/"&amp;COUNTIF(共有用1!AM$2:AM77,共有用1!AM77))</f>
        <v/>
      </c>
      <c r="AN77" s="17" t="str">
        <f>IF(共有用1!AN77="","",共有用1!AN77&amp;"/"&amp;COUNTIF(共有用1!AN$2:AN77,共有用1!AN77))</f>
        <v/>
      </c>
      <c r="AO77" s="17" t="str">
        <f>IF(共有用1!AO77="","",共有用1!AO77&amp;"/"&amp;COUNTIF(共有用1!AO$2:AO77,共有用1!AO77))</f>
        <v/>
      </c>
      <c r="AP77" s="17" t="str">
        <f>IF(共有用1!AP77="","",共有用1!AP77&amp;"/"&amp;COUNTIF(共有用1!AP$2:AP77,共有用1!AP77))</f>
        <v/>
      </c>
      <c r="AQ77" s="17" t="str">
        <f>IF(共有用1!AQ77="","",共有用1!AQ77&amp;"/"&amp;COUNTIF(共有用1!AQ$2:AQ77,共有用1!AQ77))</f>
        <v/>
      </c>
      <c r="AR77" s="17" t="str">
        <f>IF(共有用1!AR77="","",共有用1!AR77&amp;"/"&amp;COUNTIF(共有用1!AR$2:AR77,共有用1!AR77))</f>
        <v/>
      </c>
      <c r="AS77" s="17" t="str">
        <f>IF(共有用1!AS77="","",共有用1!AS77&amp;"/"&amp;COUNTIF(共有用1!AS$2:AS77,共有用1!AS77))</f>
        <v/>
      </c>
      <c r="AT77" s="17" t="str">
        <f>IF(共有用1!AT77="","",共有用1!AT77&amp;"/"&amp;COUNTIF(共有用1!AT$2:AT77,共有用1!AT77))</f>
        <v/>
      </c>
      <c r="AU77" s="17" t="str">
        <f>IF(共有用1!AU77="","",共有用1!AU77&amp;"/"&amp;COUNTIF(共有用1!AU$2:AU77,共有用1!AU77))</f>
        <v/>
      </c>
      <c r="AV77" s="17" t="str">
        <f>IF(共有用1!AV77="","",共有用1!AV77&amp;"/"&amp;COUNTIF(共有用1!AV$2:AV77,共有用1!AV77))</f>
        <v/>
      </c>
      <c r="AW77" s="17" t="str">
        <f>IF(共有用1!AW77="","",共有用1!AW77&amp;"/"&amp;COUNTIF(共有用1!AW$2:AW77,共有用1!AW77))</f>
        <v/>
      </c>
      <c r="AX77" s="17" t="str">
        <f>IF(共有用1!AX77="","",共有用1!AX77&amp;"/"&amp;COUNTIF(共有用1!AX$2:AX77,共有用1!AX77))</f>
        <v/>
      </c>
      <c r="AY77" s="17" t="str">
        <f>IF(共有用1!AY77="","",共有用1!AY77&amp;"/"&amp;COUNTIF(共有用1!AY$2:AY77,共有用1!AY77))</f>
        <v/>
      </c>
      <c r="AZ77" s="17" t="str">
        <f>IF(共有用1!AZ77="","",共有用1!AZ77&amp;"/"&amp;COUNTIF(共有用1!AZ$2:AZ77,共有用1!AZ77))</f>
        <v/>
      </c>
      <c r="BA77" s="17" t="str">
        <f>IF(共有用1!BA77="","",共有用1!BA77&amp;"/"&amp;COUNTIF(共有用1!BA$2:BA77,共有用1!BA77))</f>
        <v/>
      </c>
    </row>
    <row r="78" spans="1:53">
      <c r="A78" s="2" t="str">
        <f>共有用1!A78</f>
        <v/>
      </c>
      <c r="B78" s="2" t="str">
        <f>共有用1!B78</f>
        <v/>
      </c>
      <c r="C78" s="2" t="str">
        <f>共有用1!C78</f>
        <v/>
      </c>
      <c r="D78" s="17" t="str">
        <f>IF(共有用1!D78="","",共有用1!D78&amp;"/"&amp;COUNTIF(共有用1!D$2:D78,共有用1!D78))</f>
        <v/>
      </c>
      <c r="E78" s="17" t="str">
        <f>IF(共有用1!E78="","",共有用1!E78&amp;"/"&amp;COUNTIF(共有用1!E$2:E78,共有用1!E78))</f>
        <v/>
      </c>
      <c r="F78" s="17" t="str">
        <f>IF(共有用1!F78="","",共有用1!F78&amp;"/"&amp;COUNTIF(共有用1!F$2:F78,共有用1!F78))</f>
        <v/>
      </c>
      <c r="G78" s="17" t="str">
        <f>IF(共有用1!G78="","",共有用1!G78&amp;"/"&amp;COUNTIF(共有用1!G$2:G78,共有用1!G78))</f>
        <v/>
      </c>
      <c r="H78" s="17" t="str">
        <f>IF(共有用1!H78="","",共有用1!H78&amp;"/"&amp;COUNTIF(共有用1!H$2:H78,共有用1!H78))</f>
        <v/>
      </c>
      <c r="I78" s="17" t="str">
        <f>IF(共有用1!I78="","",共有用1!I78&amp;"/"&amp;COUNTIF(共有用1!I$2:I78,共有用1!I78))</f>
        <v/>
      </c>
      <c r="J78" s="17" t="str">
        <f>IF(共有用1!J78="","",共有用1!J78&amp;"/"&amp;COUNTIF(共有用1!J$2:J78,共有用1!J78))</f>
        <v/>
      </c>
      <c r="K78" s="17" t="str">
        <f>IF(共有用1!K78="","",共有用1!K78&amp;"/"&amp;COUNTIF(共有用1!K$2:K78,共有用1!K78))</f>
        <v/>
      </c>
      <c r="L78" s="17" t="str">
        <f>IF(共有用1!L78="","",共有用1!L78&amp;"/"&amp;COUNTIF(共有用1!L$2:L78,共有用1!L78))</f>
        <v/>
      </c>
      <c r="M78" s="17" t="str">
        <f>IF(共有用1!M78="","",共有用1!M78&amp;"/"&amp;COUNTIF(共有用1!M$2:M78,共有用1!M78))</f>
        <v/>
      </c>
      <c r="N78" s="17" t="str">
        <f>IF(共有用1!N78="","",共有用1!N78&amp;"/"&amp;COUNTIF(共有用1!N$2:N78,共有用1!N78))</f>
        <v/>
      </c>
      <c r="O78" s="17" t="str">
        <f>IF(共有用1!O78="","",共有用1!O78&amp;"/"&amp;COUNTIF(共有用1!O$2:O78,共有用1!O78))</f>
        <v/>
      </c>
      <c r="P78" s="17" t="str">
        <f>IF(共有用1!P78="","",共有用1!P78&amp;"/"&amp;COUNTIF(共有用1!P$2:P78,共有用1!P78))</f>
        <v/>
      </c>
      <c r="Q78" s="17" t="str">
        <f>IF(共有用1!Q78="","",共有用1!Q78&amp;"/"&amp;COUNTIF(共有用1!Q$2:Q78,共有用1!Q78))</f>
        <v/>
      </c>
      <c r="R78" s="17" t="str">
        <f>IF(共有用1!R78="","",共有用1!R78&amp;"/"&amp;COUNTIF(共有用1!R$2:R78,共有用1!R78))</f>
        <v/>
      </c>
      <c r="S78" s="17" t="str">
        <f>IF(共有用1!S78="","",共有用1!S78&amp;"/"&amp;COUNTIF(共有用1!S$2:S78,共有用1!S78))</f>
        <v/>
      </c>
      <c r="T78" s="17" t="str">
        <f>IF(共有用1!T78="","",共有用1!T78&amp;"/"&amp;COUNTIF(共有用1!T$2:T78,共有用1!T78))</f>
        <v/>
      </c>
      <c r="U78" s="17" t="str">
        <f>IF(共有用1!U78="","",共有用1!U78&amp;"/"&amp;COUNTIF(共有用1!U$2:U78,共有用1!U78))</f>
        <v/>
      </c>
      <c r="V78" s="17" t="str">
        <f>IF(共有用1!V78="","",共有用1!V78&amp;"/"&amp;COUNTIF(共有用1!V$2:V78,共有用1!V78))</f>
        <v/>
      </c>
      <c r="W78" s="17" t="str">
        <f>IF(共有用1!W78="","",共有用1!W78&amp;"/"&amp;COUNTIF(共有用1!W$2:W78,共有用1!W78))</f>
        <v/>
      </c>
      <c r="X78" s="17" t="str">
        <f>IF(共有用1!X78="","",共有用1!X78&amp;"/"&amp;COUNTIF(共有用1!X$2:X78,共有用1!X78))</f>
        <v/>
      </c>
      <c r="Y78" s="17" t="str">
        <f>IF(共有用1!Y78="","",共有用1!Y78&amp;"/"&amp;COUNTIF(共有用1!Y$2:Y78,共有用1!Y78))</f>
        <v/>
      </c>
      <c r="Z78" s="17" t="str">
        <f>IF(共有用1!Z78="","",共有用1!Z78&amp;"/"&amp;COUNTIF(共有用1!Z$2:Z78,共有用1!Z78))</f>
        <v/>
      </c>
      <c r="AA78" s="17" t="str">
        <f>IF(共有用1!AA78="","",共有用1!AA78&amp;"/"&amp;COUNTIF(共有用1!AA$2:AA78,共有用1!AA78))</f>
        <v/>
      </c>
      <c r="AB78" s="17" t="str">
        <f>IF(共有用1!AB78="","",共有用1!AB78&amp;"/"&amp;COUNTIF(共有用1!AB$2:AB78,共有用1!AB78))</f>
        <v/>
      </c>
      <c r="AC78" s="17" t="str">
        <f>IF(共有用1!AC78="","",共有用1!AC78&amp;"/"&amp;COUNTIF(共有用1!AC$2:AC78,共有用1!AC78))</f>
        <v/>
      </c>
      <c r="AD78" s="17" t="str">
        <f>IF(共有用1!AD78="","",共有用1!AD78&amp;"/"&amp;COUNTIF(共有用1!AD$2:AD78,共有用1!AD78))</f>
        <v/>
      </c>
      <c r="AE78" s="17" t="str">
        <f>IF(共有用1!AE78="","",共有用1!AE78&amp;"/"&amp;COUNTIF(共有用1!AE$2:AE78,共有用1!AE78))</f>
        <v/>
      </c>
      <c r="AF78" s="17" t="str">
        <f>IF(共有用1!AF78="","",共有用1!AF78&amp;"/"&amp;COUNTIF(共有用1!AF$2:AF78,共有用1!AF78))</f>
        <v/>
      </c>
      <c r="AG78" s="17" t="str">
        <f>IF(共有用1!AG78="","",共有用1!AG78&amp;"/"&amp;COUNTIF(共有用1!AG$2:AG78,共有用1!AG78))</f>
        <v/>
      </c>
      <c r="AH78" s="17" t="str">
        <f>IF(共有用1!AH78="","",共有用1!AH78&amp;"/"&amp;COUNTIF(共有用1!AH$2:AH78,共有用1!AH78))</f>
        <v/>
      </c>
      <c r="AI78" s="17" t="str">
        <f>IF(共有用1!AI78="","",共有用1!AI78&amp;"/"&amp;COUNTIF(共有用1!AI$2:AI78,共有用1!AI78))</f>
        <v/>
      </c>
      <c r="AJ78" s="17" t="str">
        <f>IF(共有用1!AJ78="","",共有用1!AJ78&amp;"/"&amp;COUNTIF(共有用1!AJ$2:AJ78,共有用1!AJ78))</f>
        <v/>
      </c>
      <c r="AK78" s="17" t="str">
        <f>IF(共有用1!AK78="","",共有用1!AK78&amp;"/"&amp;COUNTIF(共有用1!AK$2:AK78,共有用1!AK78))</f>
        <v/>
      </c>
      <c r="AL78" s="17" t="str">
        <f>IF(共有用1!AL78="","",共有用1!AL78&amp;"/"&amp;COUNTIF(共有用1!AL$2:AL78,共有用1!AL78))</f>
        <v/>
      </c>
      <c r="AM78" s="17" t="str">
        <f>IF(共有用1!AM78="","",共有用1!AM78&amp;"/"&amp;COUNTIF(共有用1!AM$2:AM78,共有用1!AM78))</f>
        <v/>
      </c>
      <c r="AN78" s="17" t="str">
        <f>IF(共有用1!AN78="","",共有用1!AN78&amp;"/"&amp;COUNTIF(共有用1!AN$2:AN78,共有用1!AN78))</f>
        <v/>
      </c>
      <c r="AO78" s="17" t="str">
        <f>IF(共有用1!AO78="","",共有用1!AO78&amp;"/"&amp;COUNTIF(共有用1!AO$2:AO78,共有用1!AO78))</f>
        <v/>
      </c>
      <c r="AP78" s="17" t="str">
        <f>IF(共有用1!AP78="","",共有用1!AP78&amp;"/"&amp;COUNTIF(共有用1!AP$2:AP78,共有用1!AP78))</f>
        <v/>
      </c>
      <c r="AQ78" s="17" t="str">
        <f>IF(共有用1!AQ78="","",共有用1!AQ78&amp;"/"&amp;COUNTIF(共有用1!AQ$2:AQ78,共有用1!AQ78))</f>
        <v/>
      </c>
      <c r="AR78" s="17" t="str">
        <f>IF(共有用1!AR78="","",共有用1!AR78&amp;"/"&amp;COUNTIF(共有用1!AR$2:AR78,共有用1!AR78))</f>
        <v/>
      </c>
      <c r="AS78" s="17" t="str">
        <f>IF(共有用1!AS78="","",共有用1!AS78&amp;"/"&amp;COUNTIF(共有用1!AS$2:AS78,共有用1!AS78))</f>
        <v/>
      </c>
      <c r="AT78" s="17" t="str">
        <f>IF(共有用1!AT78="","",共有用1!AT78&amp;"/"&amp;COUNTIF(共有用1!AT$2:AT78,共有用1!AT78))</f>
        <v/>
      </c>
      <c r="AU78" s="17" t="str">
        <f>IF(共有用1!AU78="","",共有用1!AU78&amp;"/"&amp;COUNTIF(共有用1!AU$2:AU78,共有用1!AU78))</f>
        <v/>
      </c>
      <c r="AV78" s="17" t="str">
        <f>IF(共有用1!AV78="","",共有用1!AV78&amp;"/"&amp;COUNTIF(共有用1!AV$2:AV78,共有用1!AV78))</f>
        <v/>
      </c>
      <c r="AW78" s="17" t="str">
        <f>IF(共有用1!AW78="","",共有用1!AW78&amp;"/"&amp;COUNTIF(共有用1!AW$2:AW78,共有用1!AW78))</f>
        <v/>
      </c>
      <c r="AX78" s="17" t="str">
        <f>IF(共有用1!AX78="","",共有用1!AX78&amp;"/"&amp;COUNTIF(共有用1!AX$2:AX78,共有用1!AX78))</f>
        <v/>
      </c>
      <c r="AY78" s="17" t="str">
        <f>IF(共有用1!AY78="","",共有用1!AY78&amp;"/"&amp;COUNTIF(共有用1!AY$2:AY78,共有用1!AY78))</f>
        <v/>
      </c>
      <c r="AZ78" s="17" t="str">
        <f>IF(共有用1!AZ78="","",共有用1!AZ78&amp;"/"&amp;COUNTIF(共有用1!AZ$2:AZ78,共有用1!AZ78))</f>
        <v/>
      </c>
      <c r="BA78" s="17" t="str">
        <f>IF(共有用1!BA78="","",共有用1!BA78&amp;"/"&amp;COUNTIF(共有用1!BA$2:BA78,共有用1!BA78))</f>
        <v/>
      </c>
    </row>
    <row r="79" spans="1:53">
      <c r="A79" s="2" t="str">
        <f>共有用1!A79</f>
        <v/>
      </c>
      <c r="B79" s="2" t="str">
        <f>共有用1!B79</f>
        <v/>
      </c>
      <c r="C79" s="2" t="str">
        <f>共有用1!C79</f>
        <v/>
      </c>
      <c r="D79" s="17" t="str">
        <f>IF(共有用1!D79="","",共有用1!D79&amp;"/"&amp;COUNTIF(共有用1!D$2:D79,共有用1!D79))</f>
        <v/>
      </c>
      <c r="E79" s="17" t="str">
        <f>IF(共有用1!E79="","",共有用1!E79&amp;"/"&amp;COUNTIF(共有用1!E$2:E79,共有用1!E79))</f>
        <v/>
      </c>
      <c r="F79" s="17" t="str">
        <f>IF(共有用1!F79="","",共有用1!F79&amp;"/"&amp;COUNTIF(共有用1!F$2:F79,共有用1!F79))</f>
        <v/>
      </c>
      <c r="G79" s="17" t="str">
        <f>IF(共有用1!G79="","",共有用1!G79&amp;"/"&amp;COUNTIF(共有用1!G$2:G79,共有用1!G79))</f>
        <v/>
      </c>
      <c r="H79" s="17" t="str">
        <f>IF(共有用1!H79="","",共有用1!H79&amp;"/"&amp;COUNTIF(共有用1!H$2:H79,共有用1!H79))</f>
        <v/>
      </c>
      <c r="I79" s="17" t="str">
        <f>IF(共有用1!I79="","",共有用1!I79&amp;"/"&amp;COUNTIF(共有用1!I$2:I79,共有用1!I79))</f>
        <v/>
      </c>
      <c r="J79" s="17" t="str">
        <f>IF(共有用1!J79="","",共有用1!J79&amp;"/"&amp;COUNTIF(共有用1!J$2:J79,共有用1!J79))</f>
        <v/>
      </c>
      <c r="K79" s="17" t="str">
        <f>IF(共有用1!K79="","",共有用1!K79&amp;"/"&amp;COUNTIF(共有用1!K$2:K79,共有用1!K79))</f>
        <v/>
      </c>
      <c r="L79" s="17" t="str">
        <f>IF(共有用1!L79="","",共有用1!L79&amp;"/"&amp;COUNTIF(共有用1!L$2:L79,共有用1!L79))</f>
        <v/>
      </c>
      <c r="M79" s="17" t="str">
        <f>IF(共有用1!M79="","",共有用1!M79&amp;"/"&amp;COUNTIF(共有用1!M$2:M79,共有用1!M79))</f>
        <v/>
      </c>
      <c r="N79" s="17" t="str">
        <f>IF(共有用1!N79="","",共有用1!N79&amp;"/"&amp;COUNTIF(共有用1!N$2:N79,共有用1!N79))</f>
        <v/>
      </c>
      <c r="O79" s="17" t="str">
        <f>IF(共有用1!O79="","",共有用1!O79&amp;"/"&amp;COUNTIF(共有用1!O$2:O79,共有用1!O79))</f>
        <v/>
      </c>
      <c r="P79" s="17" t="str">
        <f>IF(共有用1!P79="","",共有用1!P79&amp;"/"&amp;COUNTIF(共有用1!P$2:P79,共有用1!P79))</f>
        <v/>
      </c>
      <c r="Q79" s="17" t="str">
        <f>IF(共有用1!Q79="","",共有用1!Q79&amp;"/"&amp;COUNTIF(共有用1!Q$2:Q79,共有用1!Q79))</f>
        <v/>
      </c>
      <c r="R79" s="17" t="str">
        <f>IF(共有用1!R79="","",共有用1!R79&amp;"/"&amp;COUNTIF(共有用1!R$2:R79,共有用1!R79))</f>
        <v/>
      </c>
      <c r="S79" s="17" t="str">
        <f>IF(共有用1!S79="","",共有用1!S79&amp;"/"&amp;COUNTIF(共有用1!S$2:S79,共有用1!S79))</f>
        <v/>
      </c>
      <c r="T79" s="17" t="str">
        <f>IF(共有用1!T79="","",共有用1!T79&amp;"/"&amp;COUNTIF(共有用1!T$2:T79,共有用1!T79))</f>
        <v/>
      </c>
      <c r="U79" s="17" t="str">
        <f>IF(共有用1!U79="","",共有用1!U79&amp;"/"&amp;COUNTIF(共有用1!U$2:U79,共有用1!U79))</f>
        <v/>
      </c>
      <c r="V79" s="17" t="str">
        <f>IF(共有用1!V79="","",共有用1!V79&amp;"/"&amp;COUNTIF(共有用1!V$2:V79,共有用1!V79))</f>
        <v/>
      </c>
      <c r="W79" s="17" t="str">
        <f>IF(共有用1!W79="","",共有用1!W79&amp;"/"&amp;COUNTIF(共有用1!W$2:W79,共有用1!W79))</f>
        <v/>
      </c>
      <c r="X79" s="17" t="str">
        <f>IF(共有用1!X79="","",共有用1!X79&amp;"/"&amp;COUNTIF(共有用1!X$2:X79,共有用1!X79))</f>
        <v/>
      </c>
      <c r="Y79" s="17" t="str">
        <f>IF(共有用1!Y79="","",共有用1!Y79&amp;"/"&amp;COUNTIF(共有用1!Y$2:Y79,共有用1!Y79))</f>
        <v/>
      </c>
      <c r="Z79" s="17" t="str">
        <f>IF(共有用1!Z79="","",共有用1!Z79&amp;"/"&amp;COUNTIF(共有用1!Z$2:Z79,共有用1!Z79))</f>
        <v/>
      </c>
      <c r="AA79" s="17" t="str">
        <f>IF(共有用1!AA79="","",共有用1!AA79&amp;"/"&amp;COUNTIF(共有用1!AA$2:AA79,共有用1!AA79))</f>
        <v/>
      </c>
      <c r="AB79" s="17" t="str">
        <f>IF(共有用1!AB79="","",共有用1!AB79&amp;"/"&amp;COUNTIF(共有用1!AB$2:AB79,共有用1!AB79))</f>
        <v/>
      </c>
      <c r="AC79" s="17" t="str">
        <f>IF(共有用1!AC79="","",共有用1!AC79&amp;"/"&amp;COUNTIF(共有用1!AC$2:AC79,共有用1!AC79))</f>
        <v/>
      </c>
      <c r="AD79" s="17" t="str">
        <f>IF(共有用1!AD79="","",共有用1!AD79&amp;"/"&amp;COUNTIF(共有用1!AD$2:AD79,共有用1!AD79))</f>
        <v/>
      </c>
      <c r="AE79" s="17" t="str">
        <f>IF(共有用1!AE79="","",共有用1!AE79&amp;"/"&amp;COUNTIF(共有用1!AE$2:AE79,共有用1!AE79))</f>
        <v/>
      </c>
      <c r="AF79" s="17" t="str">
        <f>IF(共有用1!AF79="","",共有用1!AF79&amp;"/"&amp;COUNTIF(共有用1!AF$2:AF79,共有用1!AF79))</f>
        <v/>
      </c>
      <c r="AG79" s="17" t="str">
        <f>IF(共有用1!AG79="","",共有用1!AG79&amp;"/"&amp;COUNTIF(共有用1!AG$2:AG79,共有用1!AG79))</f>
        <v/>
      </c>
      <c r="AH79" s="17" t="str">
        <f>IF(共有用1!AH79="","",共有用1!AH79&amp;"/"&amp;COUNTIF(共有用1!AH$2:AH79,共有用1!AH79))</f>
        <v/>
      </c>
      <c r="AI79" s="17" t="str">
        <f>IF(共有用1!AI79="","",共有用1!AI79&amp;"/"&amp;COUNTIF(共有用1!AI$2:AI79,共有用1!AI79))</f>
        <v/>
      </c>
      <c r="AJ79" s="17" t="str">
        <f>IF(共有用1!AJ79="","",共有用1!AJ79&amp;"/"&amp;COUNTIF(共有用1!AJ$2:AJ79,共有用1!AJ79))</f>
        <v/>
      </c>
      <c r="AK79" s="17" t="str">
        <f>IF(共有用1!AK79="","",共有用1!AK79&amp;"/"&amp;COUNTIF(共有用1!AK$2:AK79,共有用1!AK79))</f>
        <v/>
      </c>
      <c r="AL79" s="17" t="str">
        <f>IF(共有用1!AL79="","",共有用1!AL79&amp;"/"&amp;COUNTIF(共有用1!AL$2:AL79,共有用1!AL79))</f>
        <v/>
      </c>
      <c r="AM79" s="17" t="str">
        <f>IF(共有用1!AM79="","",共有用1!AM79&amp;"/"&amp;COUNTIF(共有用1!AM$2:AM79,共有用1!AM79))</f>
        <v/>
      </c>
      <c r="AN79" s="17" t="str">
        <f>IF(共有用1!AN79="","",共有用1!AN79&amp;"/"&amp;COUNTIF(共有用1!AN$2:AN79,共有用1!AN79))</f>
        <v/>
      </c>
      <c r="AO79" s="17" t="str">
        <f>IF(共有用1!AO79="","",共有用1!AO79&amp;"/"&amp;COUNTIF(共有用1!AO$2:AO79,共有用1!AO79))</f>
        <v/>
      </c>
      <c r="AP79" s="17" t="str">
        <f>IF(共有用1!AP79="","",共有用1!AP79&amp;"/"&amp;COUNTIF(共有用1!AP$2:AP79,共有用1!AP79))</f>
        <v/>
      </c>
      <c r="AQ79" s="17" t="str">
        <f>IF(共有用1!AQ79="","",共有用1!AQ79&amp;"/"&amp;COUNTIF(共有用1!AQ$2:AQ79,共有用1!AQ79))</f>
        <v/>
      </c>
      <c r="AR79" s="17" t="str">
        <f>IF(共有用1!AR79="","",共有用1!AR79&amp;"/"&amp;COUNTIF(共有用1!AR$2:AR79,共有用1!AR79))</f>
        <v/>
      </c>
      <c r="AS79" s="17" t="str">
        <f>IF(共有用1!AS79="","",共有用1!AS79&amp;"/"&amp;COUNTIF(共有用1!AS$2:AS79,共有用1!AS79))</f>
        <v/>
      </c>
      <c r="AT79" s="17" t="str">
        <f>IF(共有用1!AT79="","",共有用1!AT79&amp;"/"&amp;COUNTIF(共有用1!AT$2:AT79,共有用1!AT79))</f>
        <v/>
      </c>
      <c r="AU79" s="17" t="str">
        <f>IF(共有用1!AU79="","",共有用1!AU79&amp;"/"&amp;COUNTIF(共有用1!AU$2:AU79,共有用1!AU79))</f>
        <v/>
      </c>
      <c r="AV79" s="17" t="str">
        <f>IF(共有用1!AV79="","",共有用1!AV79&amp;"/"&amp;COUNTIF(共有用1!AV$2:AV79,共有用1!AV79))</f>
        <v/>
      </c>
      <c r="AW79" s="17" t="str">
        <f>IF(共有用1!AW79="","",共有用1!AW79&amp;"/"&amp;COUNTIF(共有用1!AW$2:AW79,共有用1!AW79))</f>
        <v/>
      </c>
      <c r="AX79" s="17" t="str">
        <f>IF(共有用1!AX79="","",共有用1!AX79&amp;"/"&amp;COUNTIF(共有用1!AX$2:AX79,共有用1!AX79))</f>
        <v/>
      </c>
      <c r="AY79" s="17" t="str">
        <f>IF(共有用1!AY79="","",共有用1!AY79&amp;"/"&amp;COUNTIF(共有用1!AY$2:AY79,共有用1!AY79))</f>
        <v/>
      </c>
      <c r="AZ79" s="17" t="str">
        <f>IF(共有用1!AZ79="","",共有用1!AZ79&amp;"/"&amp;COUNTIF(共有用1!AZ$2:AZ79,共有用1!AZ79))</f>
        <v/>
      </c>
      <c r="BA79" s="17" t="str">
        <f>IF(共有用1!BA79="","",共有用1!BA79&amp;"/"&amp;COUNTIF(共有用1!BA$2:BA79,共有用1!BA79))</f>
        <v/>
      </c>
    </row>
    <row r="80" spans="1:53">
      <c r="A80" s="2" t="str">
        <f>共有用1!A80</f>
        <v/>
      </c>
      <c r="B80" s="2" t="str">
        <f>共有用1!B80</f>
        <v/>
      </c>
      <c r="C80" s="2" t="str">
        <f>共有用1!C80</f>
        <v/>
      </c>
      <c r="D80" s="17" t="str">
        <f>IF(共有用1!D80="","",共有用1!D80&amp;"/"&amp;COUNTIF(共有用1!D$2:D80,共有用1!D80))</f>
        <v/>
      </c>
      <c r="E80" s="17" t="str">
        <f>IF(共有用1!E80="","",共有用1!E80&amp;"/"&amp;COUNTIF(共有用1!E$2:E80,共有用1!E80))</f>
        <v/>
      </c>
      <c r="F80" s="17" t="str">
        <f>IF(共有用1!F80="","",共有用1!F80&amp;"/"&amp;COUNTIF(共有用1!F$2:F80,共有用1!F80))</f>
        <v/>
      </c>
      <c r="G80" s="17" t="str">
        <f>IF(共有用1!G80="","",共有用1!G80&amp;"/"&amp;COUNTIF(共有用1!G$2:G80,共有用1!G80))</f>
        <v/>
      </c>
      <c r="H80" s="17" t="str">
        <f>IF(共有用1!H80="","",共有用1!H80&amp;"/"&amp;COUNTIF(共有用1!H$2:H80,共有用1!H80))</f>
        <v/>
      </c>
      <c r="I80" s="17" t="str">
        <f>IF(共有用1!I80="","",共有用1!I80&amp;"/"&amp;COUNTIF(共有用1!I$2:I80,共有用1!I80))</f>
        <v/>
      </c>
      <c r="J80" s="17" t="str">
        <f>IF(共有用1!J80="","",共有用1!J80&amp;"/"&amp;COUNTIF(共有用1!J$2:J80,共有用1!J80))</f>
        <v/>
      </c>
      <c r="K80" s="17" t="str">
        <f>IF(共有用1!K80="","",共有用1!K80&amp;"/"&amp;COUNTIF(共有用1!K$2:K80,共有用1!K80))</f>
        <v/>
      </c>
      <c r="L80" s="17" t="str">
        <f>IF(共有用1!L80="","",共有用1!L80&amp;"/"&amp;COUNTIF(共有用1!L$2:L80,共有用1!L80))</f>
        <v/>
      </c>
      <c r="M80" s="17" t="str">
        <f>IF(共有用1!M80="","",共有用1!M80&amp;"/"&amp;COUNTIF(共有用1!M$2:M80,共有用1!M80))</f>
        <v/>
      </c>
      <c r="N80" s="17" t="str">
        <f>IF(共有用1!N80="","",共有用1!N80&amp;"/"&amp;COUNTIF(共有用1!N$2:N80,共有用1!N80))</f>
        <v/>
      </c>
      <c r="O80" s="17" t="str">
        <f>IF(共有用1!O80="","",共有用1!O80&amp;"/"&amp;COUNTIF(共有用1!O$2:O80,共有用1!O80))</f>
        <v/>
      </c>
      <c r="P80" s="17" t="str">
        <f>IF(共有用1!P80="","",共有用1!P80&amp;"/"&amp;COUNTIF(共有用1!P$2:P80,共有用1!P80))</f>
        <v/>
      </c>
      <c r="Q80" s="17" t="str">
        <f>IF(共有用1!Q80="","",共有用1!Q80&amp;"/"&amp;COUNTIF(共有用1!Q$2:Q80,共有用1!Q80))</f>
        <v/>
      </c>
      <c r="R80" s="17" t="str">
        <f>IF(共有用1!R80="","",共有用1!R80&amp;"/"&amp;COUNTIF(共有用1!R$2:R80,共有用1!R80))</f>
        <v/>
      </c>
      <c r="S80" s="17" t="str">
        <f>IF(共有用1!S80="","",共有用1!S80&amp;"/"&amp;COUNTIF(共有用1!S$2:S80,共有用1!S80))</f>
        <v/>
      </c>
      <c r="T80" s="17" t="str">
        <f>IF(共有用1!T80="","",共有用1!T80&amp;"/"&amp;COUNTIF(共有用1!T$2:T80,共有用1!T80))</f>
        <v/>
      </c>
      <c r="U80" s="17" t="str">
        <f>IF(共有用1!U80="","",共有用1!U80&amp;"/"&amp;COUNTIF(共有用1!U$2:U80,共有用1!U80))</f>
        <v/>
      </c>
      <c r="V80" s="17" t="str">
        <f>IF(共有用1!V80="","",共有用1!V80&amp;"/"&amp;COUNTIF(共有用1!V$2:V80,共有用1!V80))</f>
        <v/>
      </c>
      <c r="W80" s="17" t="str">
        <f>IF(共有用1!W80="","",共有用1!W80&amp;"/"&amp;COUNTIF(共有用1!W$2:W80,共有用1!W80))</f>
        <v/>
      </c>
      <c r="X80" s="17" t="str">
        <f>IF(共有用1!X80="","",共有用1!X80&amp;"/"&amp;COUNTIF(共有用1!X$2:X80,共有用1!X80))</f>
        <v/>
      </c>
      <c r="Y80" s="17" t="str">
        <f>IF(共有用1!Y80="","",共有用1!Y80&amp;"/"&amp;COUNTIF(共有用1!Y$2:Y80,共有用1!Y80))</f>
        <v/>
      </c>
      <c r="Z80" s="17" t="str">
        <f>IF(共有用1!Z80="","",共有用1!Z80&amp;"/"&amp;COUNTIF(共有用1!Z$2:Z80,共有用1!Z80))</f>
        <v/>
      </c>
      <c r="AA80" s="17" t="str">
        <f>IF(共有用1!AA80="","",共有用1!AA80&amp;"/"&amp;COUNTIF(共有用1!AA$2:AA80,共有用1!AA80))</f>
        <v/>
      </c>
      <c r="AB80" s="17" t="str">
        <f>IF(共有用1!AB80="","",共有用1!AB80&amp;"/"&amp;COUNTIF(共有用1!AB$2:AB80,共有用1!AB80))</f>
        <v/>
      </c>
      <c r="AC80" s="17" t="str">
        <f>IF(共有用1!AC80="","",共有用1!AC80&amp;"/"&amp;COUNTIF(共有用1!AC$2:AC80,共有用1!AC80))</f>
        <v/>
      </c>
      <c r="AD80" s="17" t="str">
        <f>IF(共有用1!AD80="","",共有用1!AD80&amp;"/"&amp;COUNTIF(共有用1!AD$2:AD80,共有用1!AD80))</f>
        <v/>
      </c>
      <c r="AE80" s="17" t="str">
        <f>IF(共有用1!AE80="","",共有用1!AE80&amp;"/"&amp;COUNTIF(共有用1!AE$2:AE80,共有用1!AE80))</f>
        <v/>
      </c>
      <c r="AF80" s="17" t="str">
        <f>IF(共有用1!AF80="","",共有用1!AF80&amp;"/"&amp;COUNTIF(共有用1!AF$2:AF80,共有用1!AF80))</f>
        <v/>
      </c>
      <c r="AG80" s="17" t="str">
        <f>IF(共有用1!AG80="","",共有用1!AG80&amp;"/"&amp;COUNTIF(共有用1!AG$2:AG80,共有用1!AG80))</f>
        <v/>
      </c>
      <c r="AH80" s="17" t="str">
        <f>IF(共有用1!AH80="","",共有用1!AH80&amp;"/"&amp;COUNTIF(共有用1!AH$2:AH80,共有用1!AH80))</f>
        <v/>
      </c>
      <c r="AI80" s="17" t="str">
        <f>IF(共有用1!AI80="","",共有用1!AI80&amp;"/"&amp;COUNTIF(共有用1!AI$2:AI80,共有用1!AI80))</f>
        <v/>
      </c>
      <c r="AJ80" s="17" t="str">
        <f>IF(共有用1!AJ80="","",共有用1!AJ80&amp;"/"&amp;COUNTIF(共有用1!AJ$2:AJ80,共有用1!AJ80))</f>
        <v/>
      </c>
      <c r="AK80" s="17" t="str">
        <f>IF(共有用1!AK80="","",共有用1!AK80&amp;"/"&amp;COUNTIF(共有用1!AK$2:AK80,共有用1!AK80))</f>
        <v/>
      </c>
      <c r="AL80" s="17" t="str">
        <f>IF(共有用1!AL80="","",共有用1!AL80&amp;"/"&amp;COUNTIF(共有用1!AL$2:AL80,共有用1!AL80))</f>
        <v/>
      </c>
      <c r="AM80" s="17" t="str">
        <f>IF(共有用1!AM80="","",共有用1!AM80&amp;"/"&amp;COUNTIF(共有用1!AM$2:AM80,共有用1!AM80))</f>
        <v/>
      </c>
      <c r="AN80" s="17" t="str">
        <f>IF(共有用1!AN80="","",共有用1!AN80&amp;"/"&amp;COUNTIF(共有用1!AN$2:AN80,共有用1!AN80))</f>
        <v/>
      </c>
      <c r="AO80" s="17" t="str">
        <f>IF(共有用1!AO80="","",共有用1!AO80&amp;"/"&amp;COUNTIF(共有用1!AO$2:AO80,共有用1!AO80))</f>
        <v/>
      </c>
      <c r="AP80" s="17" t="str">
        <f>IF(共有用1!AP80="","",共有用1!AP80&amp;"/"&amp;COUNTIF(共有用1!AP$2:AP80,共有用1!AP80))</f>
        <v/>
      </c>
      <c r="AQ80" s="17" t="str">
        <f>IF(共有用1!AQ80="","",共有用1!AQ80&amp;"/"&amp;COUNTIF(共有用1!AQ$2:AQ80,共有用1!AQ80))</f>
        <v/>
      </c>
      <c r="AR80" s="17" t="str">
        <f>IF(共有用1!AR80="","",共有用1!AR80&amp;"/"&amp;COUNTIF(共有用1!AR$2:AR80,共有用1!AR80))</f>
        <v/>
      </c>
      <c r="AS80" s="17" t="str">
        <f>IF(共有用1!AS80="","",共有用1!AS80&amp;"/"&amp;COUNTIF(共有用1!AS$2:AS80,共有用1!AS80))</f>
        <v/>
      </c>
      <c r="AT80" s="17" t="str">
        <f>IF(共有用1!AT80="","",共有用1!AT80&amp;"/"&amp;COUNTIF(共有用1!AT$2:AT80,共有用1!AT80))</f>
        <v/>
      </c>
      <c r="AU80" s="17" t="str">
        <f>IF(共有用1!AU80="","",共有用1!AU80&amp;"/"&amp;COUNTIF(共有用1!AU$2:AU80,共有用1!AU80))</f>
        <v/>
      </c>
      <c r="AV80" s="17" t="str">
        <f>IF(共有用1!AV80="","",共有用1!AV80&amp;"/"&amp;COUNTIF(共有用1!AV$2:AV80,共有用1!AV80))</f>
        <v/>
      </c>
      <c r="AW80" s="17" t="str">
        <f>IF(共有用1!AW80="","",共有用1!AW80&amp;"/"&amp;COUNTIF(共有用1!AW$2:AW80,共有用1!AW80))</f>
        <v/>
      </c>
      <c r="AX80" s="17" t="str">
        <f>IF(共有用1!AX80="","",共有用1!AX80&amp;"/"&amp;COUNTIF(共有用1!AX$2:AX80,共有用1!AX80))</f>
        <v/>
      </c>
      <c r="AY80" s="17" t="str">
        <f>IF(共有用1!AY80="","",共有用1!AY80&amp;"/"&amp;COUNTIF(共有用1!AY$2:AY80,共有用1!AY80))</f>
        <v/>
      </c>
      <c r="AZ80" s="17" t="str">
        <f>IF(共有用1!AZ80="","",共有用1!AZ80&amp;"/"&amp;COUNTIF(共有用1!AZ$2:AZ80,共有用1!AZ80))</f>
        <v/>
      </c>
      <c r="BA80" s="17" t="str">
        <f>IF(共有用1!BA80="","",共有用1!BA80&amp;"/"&amp;COUNTIF(共有用1!BA$2:BA80,共有用1!BA80))</f>
        <v/>
      </c>
    </row>
    <row r="81" spans="1:53">
      <c r="A81" s="2" t="str">
        <f>共有用1!A81</f>
        <v/>
      </c>
      <c r="B81" s="2" t="str">
        <f>共有用1!B81</f>
        <v/>
      </c>
      <c r="C81" s="2" t="str">
        <f>共有用1!C81</f>
        <v/>
      </c>
      <c r="D81" s="17" t="str">
        <f>IF(共有用1!D81="","",共有用1!D81&amp;"/"&amp;COUNTIF(共有用1!D$2:D81,共有用1!D81))</f>
        <v/>
      </c>
      <c r="E81" s="17" t="str">
        <f>IF(共有用1!E81="","",共有用1!E81&amp;"/"&amp;COUNTIF(共有用1!E$2:E81,共有用1!E81))</f>
        <v/>
      </c>
      <c r="F81" s="17" t="str">
        <f>IF(共有用1!F81="","",共有用1!F81&amp;"/"&amp;COUNTIF(共有用1!F$2:F81,共有用1!F81))</f>
        <v/>
      </c>
      <c r="G81" s="17" t="str">
        <f>IF(共有用1!G81="","",共有用1!G81&amp;"/"&amp;COUNTIF(共有用1!G$2:G81,共有用1!G81))</f>
        <v/>
      </c>
      <c r="H81" s="17" t="str">
        <f>IF(共有用1!H81="","",共有用1!H81&amp;"/"&amp;COUNTIF(共有用1!H$2:H81,共有用1!H81))</f>
        <v/>
      </c>
      <c r="I81" s="17" t="str">
        <f>IF(共有用1!I81="","",共有用1!I81&amp;"/"&amp;COUNTIF(共有用1!I$2:I81,共有用1!I81))</f>
        <v/>
      </c>
      <c r="J81" s="17" t="str">
        <f>IF(共有用1!J81="","",共有用1!J81&amp;"/"&amp;COUNTIF(共有用1!J$2:J81,共有用1!J81))</f>
        <v/>
      </c>
      <c r="K81" s="17" t="str">
        <f>IF(共有用1!K81="","",共有用1!K81&amp;"/"&amp;COUNTIF(共有用1!K$2:K81,共有用1!K81))</f>
        <v/>
      </c>
      <c r="L81" s="17" t="str">
        <f>IF(共有用1!L81="","",共有用1!L81&amp;"/"&amp;COUNTIF(共有用1!L$2:L81,共有用1!L81))</f>
        <v/>
      </c>
      <c r="M81" s="17" t="str">
        <f>IF(共有用1!M81="","",共有用1!M81&amp;"/"&amp;COUNTIF(共有用1!M$2:M81,共有用1!M81))</f>
        <v/>
      </c>
      <c r="N81" s="17" t="str">
        <f>IF(共有用1!N81="","",共有用1!N81&amp;"/"&amp;COUNTIF(共有用1!N$2:N81,共有用1!N81))</f>
        <v/>
      </c>
      <c r="O81" s="17" t="str">
        <f>IF(共有用1!O81="","",共有用1!O81&amp;"/"&amp;COUNTIF(共有用1!O$2:O81,共有用1!O81))</f>
        <v/>
      </c>
      <c r="P81" s="17" t="str">
        <f>IF(共有用1!P81="","",共有用1!P81&amp;"/"&amp;COUNTIF(共有用1!P$2:P81,共有用1!P81))</f>
        <v/>
      </c>
      <c r="Q81" s="17" t="str">
        <f>IF(共有用1!Q81="","",共有用1!Q81&amp;"/"&amp;COUNTIF(共有用1!Q$2:Q81,共有用1!Q81))</f>
        <v/>
      </c>
      <c r="R81" s="17" t="str">
        <f>IF(共有用1!R81="","",共有用1!R81&amp;"/"&amp;COUNTIF(共有用1!R$2:R81,共有用1!R81))</f>
        <v/>
      </c>
      <c r="S81" s="17" t="str">
        <f>IF(共有用1!S81="","",共有用1!S81&amp;"/"&amp;COUNTIF(共有用1!S$2:S81,共有用1!S81))</f>
        <v/>
      </c>
      <c r="T81" s="17" t="str">
        <f>IF(共有用1!T81="","",共有用1!T81&amp;"/"&amp;COUNTIF(共有用1!T$2:T81,共有用1!T81))</f>
        <v/>
      </c>
      <c r="U81" s="17" t="str">
        <f>IF(共有用1!U81="","",共有用1!U81&amp;"/"&amp;COUNTIF(共有用1!U$2:U81,共有用1!U81))</f>
        <v/>
      </c>
      <c r="V81" s="17" t="str">
        <f>IF(共有用1!V81="","",共有用1!V81&amp;"/"&amp;COUNTIF(共有用1!V$2:V81,共有用1!V81))</f>
        <v/>
      </c>
      <c r="W81" s="17" t="str">
        <f>IF(共有用1!W81="","",共有用1!W81&amp;"/"&amp;COUNTIF(共有用1!W$2:W81,共有用1!W81))</f>
        <v/>
      </c>
      <c r="X81" s="17" t="str">
        <f>IF(共有用1!X81="","",共有用1!X81&amp;"/"&amp;COUNTIF(共有用1!X$2:X81,共有用1!X81))</f>
        <v/>
      </c>
      <c r="Y81" s="17" t="str">
        <f>IF(共有用1!Y81="","",共有用1!Y81&amp;"/"&amp;COUNTIF(共有用1!Y$2:Y81,共有用1!Y81))</f>
        <v/>
      </c>
      <c r="Z81" s="17" t="str">
        <f>IF(共有用1!Z81="","",共有用1!Z81&amp;"/"&amp;COUNTIF(共有用1!Z$2:Z81,共有用1!Z81))</f>
        <v/>
      </c>
      <c r="AA81" s="17" t="str">
        <f>IF(共有用1!AA81="","",共有用1!AA81&amp;"/"&amp;COUNTIF(共有用1!AA$2:AA81,共有用1!AA81))</f>
        <v/>
      </c>
      <c r="AB81" s="17" t="str">
        <f>IF(共有用1!AB81="","",共有用1!AB81&amp;"/"&amp;COUNTIF(共有用1!AB$2:AB81,共有用1!AB81))</f>
        <v/>
      </c>
      <c r="AC81" s="17" t="str">
        <f>IF(共有用1!AC81="","",共有用1!AC81&amp;"/"&amp;COUNTIF(共有用1!AC$2:AC81,共有用1!AC81))</f>
        <v/>
      </c>
      <c r="AD81" s="17" t="str">
        <f>IF(共有用1!AD81="","",共有用1!AD81&amp;"/"&amp;COUNTIF(共有用1!AD$2:AD81,共有用1!AD81))</f>
        <v/>
      </c>
      <c r="AE81" s="17" t="str">
        <f>IF(共有用1!AE81="","",共有用1!AE81&amp;"/"&amp;COUNTIF(共有用1!AE$2:AE81,共有用1!AE81))</f>
        <v/>
      </c>
      <c r="AF81" s="17" t="str">
        <f>IF(共有用1!AF81="","",共有用1!AF81&amp;"/"&amp;COUNTIF(共有用1!AF$2:AF81,共有用1!AF81))</f>
        <v/>
      </c>
      <c r="AG81" s="17" t="str">
        <f>IF(共有用1!AG81="","",共有用1!AG81&amp;"/"&amp;COUNTIF(共有用1!AG$2:AG81,共有用1!AG81))</f>
        <v/>
      </c>
      <c r="AH81" s="17" t="str">
        <f>IF(共有用1!AH81="","",共有用1!AH81&amp;"/"&amp;COUNTIF(共有用1!AH$2:AH81,共有用1!AH81))</f>
        <v/>
      </c>
      <c r="AI81" s="17" t="str">
        <f>IF(共有用1!AI81="","",共有用1!AI81&amp;"/"&amp;COUNTIF(共有用1!AI$2:AI81,共有用1!AI81))</f>
        <v/>
      </c>
      <c r="AJ81" s="17" t="str">
        <f>IF(共有用1!AJ81="","",共有用1!AJ81&amp;"/"&amp;COUNTIF(共有用1!AJ$2:AJ81,共有用1!AJ81))</f>
        <v/>
      </c>
      <c r="AK81" s="17" t="str">
        <f>IF(共有用1!AK81="","",共有用1!AK81&amp;"/"&amp;COUNTIF(共有用1!AK$2:AK81,共有用1!AK81))</f>
        <v/>
      </c>
      <c r="AL81" s="17" t="str">
        <f>IF(共有用1!AL81="","",共有用1!AL81&amp;"/"&amp;COUNTIF(共有用1!AL$2:AL81,共有用1!AL81))</f>
        <v/>
      </c>
      <c r="AM81" s="17" t="str">
        <f>IF(共有用1!AM81="","",共有用1!AM81&amp;"/"&amp;COUNTIF(共有用1!AM$2:AM81,共有用1!AM81))</f>
        <v/>
      </c>
      <c r="AN81" s="17" t="str">
        <f>IF(共有用1!AN81="","",共有用1!AN81&amp;"/"&amp;COUNTIF(共有用1!AN$2:AN81,共有用1!AN81))</f>
        <v/>
      </c>
      <c r="AO81" s="17" t="str">
        <f>IF(共有用1!AO81="","",共有用1!AO81&amp;"/"&amp;COUNTIF(共有用1!AO$2:AO81,共有用1!AO81))</f>
        <v/>
      </c>
      <c r="AP81" s="17" t="str">
        <f>IF(共有用1!AP81="","",共有用1!AP81&amp;"/"&amp;COUNTIF(共有用1!AP$2:AP81,共有用1!AP81))</f>
        <v/>
      </c>
      <c r="AQ81" s="17" t="str">
        <f>IF(共有用1!AQ81="","",共有用1!AQ81&amp;"/"&amp;COUNTIF(共有用1!AQ$2:AQ81,共有用1!AQ81))</f>
        <v/>
      </c>
      <c r="AR81" s="17" t="str">
        <f>IF(共有用1!AR81="","",共有用1!AR81&amp;"/"&amp;COUNTIF(共有用1!AR$2:AR81,共有用1!AR81))</f>
        <v/>
      </c>
      <c r="AS81" s="17" t="str">
        <f>IF(共有用1!AS81="","",共有用1!AS81&amp;"/"&amp;COUNTIF(共有用1!AS$2:AS81,共有用1!AS81))</f>
        <v/>
      </c>
      <c r="AT81" s="17" t="str">
        <f>IF(共有用1!AT81="","",共有用1!AT81&amp;"/"&amp;COUNTIF(共有用1!AT$2:AT81,共有用1!AT81))</f>
        <v/>
      </c>
      <c r="AU81" s="17" t="str">
        <f>IF(共有用1!AU81="","",共有用1!AU81&amp;"/"&amp;COUNTIF(共有用1!AU$2:AU81,共有用1!AU81))</f>
        <v/>
      </c>
      <c r="AV81" s="17" t="str">
        <f>IF(共有用1!AV81="","",共有用1!AV81&amp;"/"&amp;COUNTIF(共有用1!AV$2:AV81,共有用1!AV81))</f>
        <v/>
      </c>
      <c r="AW81" s="17" t="str">
        <f>IF(共有用1!AW81="","",共有用1!AW81&amp;"/"&amp;COUNTIF(共有用1!AW$2:AW81,共有用1!AW81))</f>
        <v/>
      </c>
      <c r="AX81" s="17" t="str">
        <f>IF(共有用1!AX81="","",共有用1!AX81&amp;"/"&amp;COUNTIF(共有用1!AX$2:AX81,共有用1!AX81))</f>
        <v/>
      </c>
      <c r="AY81" s="17" t="str">
        <f>IF(共有用1!AY81="","",共有用1!AY81&amp;"/"&amp;COUNTIF(共有用1!AY$2:AY81,共有用1!AY81))</f>
        <v/>
      </c>
      <c r="AZ81" s="17" t="str">
        <f>IF(共有用1!AZ81="","",共有用1!AZ81&amp;"/"&amp;COUNTIF(共有用1!AZ$2:AZ81,共有用1!AZ81))</f>
        <v/>
      </c>
      <c r="BA81" s="17" t="str">
        <f>IF(共有用1!BA81="","",共有用1!BA81&amp;"/"&amp;COUNTIF(共有用1!BA$2:BA81,共有用1!BA81))</f>
        <v/>
      </c>
    </row>
    <row r="82" spans="1:53">
      <c r="A82" s="2" t="str">
        <f>共有用1!A82</f>
        <v/>
      </c>
      <c r="B82" s="2" t="str">
        <f>共有用1!B82</f>
        <v/>
      </c>
      <c r="C82" s="2" t="str">
        <f>共有用1!C82</f>
        <v/>
      </c>
      <c r="D82" s="17" t="str">
        <f>IF(共有用1!D82="","",共有用1!D82&amp;"/"&amp;COUNTIF(共有用1!D$2:D82,共有用1!D82))</f>
        <v/>
      </c>
      <c r="E82" s="17" t="str">
        <f>IF(共有用1!E82="","",共有用1!E82&amp;"/"&amp;COUNTIF(共有用1!E$2:E82,共有用1!E82))</f>
        <v/>
      </c>
      <c r="F82" s="17" t="str">
        <f>IF(共有用1!F82="","",共有用1!F82&amp;"/"&amp;COUNTIF(共有用1!F$2:F82,共有用1!F82))</f>
        <v/>
      </c>
      <c r="G82" s="17" t="str">
        <f>IF(共有用1!G82="","",共有用1!G82&amp;"/"&amp;COUNTIF(共有用1!G$2:G82,共有用1!G82))</f>
        <v/>
      </c>
      <c r="H82" s="17" t="str">
        <f>IF(共有用1!H82="","",共有用1!H82&amp;"/"&amp;COUNTIF(共有用1!H$2:H82,共有用1!H82))</f>
        <v/>
      </c>
      <c r="I82" s="17" t="str">
        <f>IF(共有用1!I82="","",共有用1!I82&amp;"/"&amp;COUNTIF(共有用1!I$2:I82,共有用1!I82))</f>
        <v/>
      </c>
      <c r="J82" s="17" t="str">
        <f>IF(共有用1!J82="","",共有用1!J82&amp;"/"&amp;COUNTIF(共有用1!J$2:J82,共有用1!J82))</f>
        <v/>
      </c>
      <c r="K82" s="17" t="str">
        <f>IF(共有用1!K82="","",共有用1!K82&amp;"/"&amp;COUNTIF(共有用1!K$2:K82,共有用1!K82))</f>
        <v/>
      </c>
      <c r="L82" s="17" t="str">
        <f>IF(共有用1!L82="","",共有用1!L82&amp;"/"&amp;COUNTIF(共有用1!L$2:L82,共有用1!L82))</f>
        <v/>
      </c>
      <c r="M82" s="17" t="str">
        <f>IF(共有用1!M82="","",共有用1!M82&amp;"/"&amp;COUNTIF(共有用1!M$2:M82,共有用1!M82))</f>
        <v/>
      </c>
      <c r="N82" s="17" t="str">
        <f>IF(共有用1!N82="","",共有用1!N82&amp;"/"&amp;COUNTIF(共有用1!N$2:N82,共有用1!N82))</f>
        <v/>
      </c>
      <c r="O82" s="17" t="str">
        <f>IF(共有用1!O82="","",共有用1!O82&amp;"/"&amp;COUNTIF(共有用1!O$2:O82,共有用1!O82))</f>
        <v/>
      </c>
      <c r="P82" s="17" t="str">
        <f>IF(共有用1!P82="","",共有用1!P82&amp;"/"&amp;COUNTIF(共有用1!P$2:P82,共有用1!P82))</f>
        <v/>
      </c>
      <c r="Q82" s="17" t="str">
        <f>IF(共有用1!Q82="","",共有用1!Q82&amp;"/"&amp;COUNTIF(共有用1!Q$2:Q82,共有用1!Q82))</f>
        <v/>
      </c>
      <c r="R82" s="17" t="str">
        <f>IF(共有用1!R82="","",共有用1!R82&amp;"/"&amp;COUNTIF(共有用1!R$2:R82,共有用1!R82))</f>
        <v/>
      </c>
      <c r="S82" s="17" t="str">
        <f>IF(共有用1!S82="","",共有用1!S82&amp;"/"&amp;COUNTIF(共有用1!S$2:S82,共有用1!S82))</f>
        <v/>
      </c>
      <c r="T82" s="17" t="str">
        <f>IF(共有用1!T82="","",共有用1!T82&amp;"/"&amp;COUNTIF(共有用1!T$2:T82,共有用1!T82))</f>
        <v/>
      </c>
      <c r="U82" s="17" t="str">
        <f>IF(共有用1!U82="","",共有用1!U82&amp;"/"&amp;COUNTIF(共有用1!U$2:U82,共有用1!U82))</f>
        <v/>
      </c>
      <c r="V82" s="17" t="str">
        <f>IF(共有用1!V82="","",共有用1!V82&amp;"/"&amp;COUNTIF(共有用1!V$2:V82,共有用1!V82))</f>
        <v/>
      </c>
      <c r="W82" s="17" t="str">
        <f>IF(共有用1!W82="","",共有用1!W82&amp;"/"&amp;COUNTIF(共有用1!W$2:W82,共有用1!W82))</f>
        <v/>
      </c>
      <c r="X82" s="17" t="str">
        <f>IF(共有用1!X82="","",共有用1!X82&amp;"/"&amp;COUNTIF(共有用1!X$2:X82,共有用1!X82))</f>
        <v/>
      </c>
      <c r="Y82" s="17" t="str">
        <f>IF(共有用1!Y82="","",共有用1!Y82&amp;"/"&amp;COUNTIF(共有用1!Y$2:Y82,共有用1!Y82))</f>
        <v/>
      </c>
      <c r="Z82" s="17" t="str">
        <f>IF(共有用1!Z82="","",共有用1!Z82&amp;"/"&amp;COUNTIF(共有用1!Z$2:Z82,共有用1!Z82))</f>
        <v/>
      </c>
      <c r="AA82" s="17" t="str">
        <f>IF(共有用1!AA82="","",共有用1!AA82&amp;"/"&amp;COUNTIF(共有用1!AA$2:AA82,共有用1!AA82))</f>
        <v/>
      </c>
      <c r="AB82" s="17" t="str">
        <f>IF(共有用1!AB82="","",共有用1!AB82&amp;"/"&amp;COUNTIF(共有用1!AB$2:AB82,共有用1!AB82))</f>
        <v/>
      </c>
      <c r="AC82" s="17" t="str">
        <f>IF(共有用1!AC82="","",共有用1!AC82&amp;"/"&amp;COUNTIF(共有用1!AC$2:AC82,共有用1!AC82))</f>
        <v/>
      </c>
      <c r="AD82" s="17" t="str">
        <f>IF(共有用1!AD82="","",共有用1!AD82&amp;"/"&amp;COUNTIF(共有用1!AD$2:AD82,共有用1!AD82))</f>
        <v/>
      </c>
      <c r="AE82" s="17" t="str">
        <f>IF(共有用1!AE82="","",共有用1!AE82&amp;"/"&amp;COUNTIF(共有用1!AE$2:AE82,共有用1!AE82))</f>
        <v/>
      </c>
      <c r="AF82" s="17" t="str">
        <f>IF(共有用1!AF82="","",共有用1!AF82&amp;"/"&amp;COUNTIF(共有用1!AF$2:AF82,共有用1!AF82))</f>
        <v/>
      </c>
      <c r="AG82" s="17" t="str">
        <f>IF(共有用1!AG82="","",共有用1!AG82&amp;"/"&amp;COUNTIF(共有用1!AG$2:AG82,共有用1!AG82))</f>
        <v/>
      </c>
      <c r="AH82" s="17" t="str">
        <f>IF(共有用1!AH82="","",共有用1!AH82&amp;"/"&amp;COUNTIF(共有用1!AH$2:AH82,共有用1!AH82))</f>
        <v/>
      </c>
      <c r="AI82" s="17" t="str">
        <f>IF(共有用1!AI82="","",共有用1!AI82&amp;"/"&amp;COUNTIF(共有用1!AI$2:AI82,共有用1!AI82))</f>
        <v/>
      </c>
      <c r="AJ82" s="17" t="str">
        <f>IF(共有用1!AJ82="","",共有用1!AJ82&amp;"/"&amp;COUNTIF(共有用1!AJ$2:AJ82,共有用1!AJ82))</f>
        <v/>
      </c>
      <c r="AK82" s="17" t="str">
        <f>IF(共有用1!AK82="","",共有用1!AK82&amp;"/"&amp;COUNTIF(共有用1!AK$2:AK82,共有用1!AK82))</f>
        <v/>
      </c>
      <c r="AL82" s="17" t="str">
        <f>IF(共有用1!AL82="","",共有用1!AL82&amp;"/"&amp;COUNTIF(共有用1!AL$2:AL82,共有用1!AL82))</f>
        <v/>
      </c>
      <c r="AM82" s="17" t="str">
        <f>IF(共有用1!AM82="","",共有用1!AM82&amp;"/"&amp;COUNTIF(共有用1!AM$2:AM82,共有用1!AM82))</f>
        <v/>
      </c>
      <c r="AN82" s="17" t="str">
        <f>IF(共有用1!AN82="","",共有用1!AN82&amp;"/"&amp;COUNTIF(共有用1!AN$2:AN82,共有用1!AN82))</f>
        <v/>
      </c>
      <c r="AO82" s="17" t="str">
        <f>IF(共有用1!AO82="","",共有用1!AO82&amp;"/"&amp;COUNTIF(共有用1!AO$2:AO82,共有用1!AO82))</f>
        <v/>
      </c>
      <c r="AP82" s="17" t="str">
        <f>IF(共有用1!AP82="","",共有用1!AP82&amp;"/"&amp;COUNTIF(共有用1!AP$2:AP82,共有用1!AP82))</f>
        <v/>
      </c>
      <c r="AQ82" s="17" t="str">
        <f>IF(共有用1!AQ82="","",共有用1!AQ82&amp;"/"&amp;COUNTIF(共有用1!AQ$2:AQ82,共有用1!AQ82))</f>
        <v/>
      </c>
      <c r="AR82" s="17" t="str">
        <f>IF(共有用1!AR82="","",共有用1!AR82&amp;"/"&amp;COUNTIF(共有用1!AR$2:AR82,共有用1!AR82))</f>
        <v/>
      </c>
      <c r="AS82" s="17" t="str">
        <f>IF(共有用1!AS82="","",共有用1!AS82&amp;"/"&amp;COUNTIF(共有用1!AS$2:AS82,共有用1!AS82))</f>
        <v/>
      </c>
      <c r="AT82" s="17" t="str">
        <f>IF(共有用1!AT82="","",共有用1!AT82&amp;"/"&amp;COUNTIF(共有用1!AT$2:AT82,共有用1!AT82))</f>
        <v/>
      </c>
      <c r="AU82" s="17" t="str">
        <f>IF(共有用1!AU82="","",共有用1!AU82&amp;"/"&amp;COUNTIF(共有用1!AU$2:AU82,共有用1!AU82))</f>
        <v/>
      </c>
      <c r="AV82" s="17" t="str">
        <f>IF(共有用1!AV82="","",共有用1!AV82&amp;"/"&amp;COUNTIF(共有用1!AV$2:AV82,共有用1!AV82))</f>
        <v/>
      </c>
      <c r="AW82" s="17" t="str">
        <f>IF(共有用1!AW82="","",共有用1!AW82&amp;"/"&amp;COUNTIF(共有用1!AW$2:AW82,共有用1!AW82))</f>
        <v/>
      </c>
      <c r="AX82" s="17" t="str">
        <f>IF(共有用1!AX82="","",共有用1!AX82&amp;"/"&amp;COUNTIF(共有用1!AX$2:AX82,共有用1!AX82))</f>
        <v/>
      </c>
      <c r="AY82" s="17" t="str">
        <f>IF(共有用1!AY82="","",共有用1!AY82&amp;"/"&amp;COUNTIF(共有用1!AY$2:AY82,共有用1!AY82))</f>
        <v/>
      </c>
      <c r="AZ82" s="17" t="str">
        <f>IF(共有用1!AZ82="","",共有用1!AZ82&amp;"/"&amp;COUNTIF(共有用1!AZ$2:AZ82,共有用1!AZ82))</f>
        <v/>
      </c>
      <c r="BA82" s="17" t="str">
        <f>IF(共有用1!BA82="","",共有用1!BA82&amp;"/"&amp;COUNTIF(共有用1!BA$2:BA82,共有用1!BA82))</f>
        <v/>
      </c>
    </row>
    <row r="83" spans="1:53">
      <c r="A83" s="2" t="str">
        <f>共有用1!A83</f>
        <v/>
      </c>
      <c r="B83" s="2" t="str">
        <f>共有用1!B83</f>
        <v/>
      </c>
      <c r="C83" s="2" t="str">
        <f>共有用1!C83</f>
        <v/>
      </c>
      <c r="D83" s="17" t="str">
        <f>IF(共有用1!D83="","",共有用1!D83&amp;"/"&amp;COUNTIF(共有用1!D$2:D83,共有用1!D83))</f>
        <v/>
      </c>
      <c r="E83" s="17" t="str">
        <f>IF(共有用1!E83="","",共有用1!E83&amp;"/"&amp;COUNTIF(共有用1!E$2:E83,共有用1!E83))</f>
        <v/>
      </c>
      <c r="F83" s="17" t="str">
        <f>IF(共有用1!F83="","",共有用1!F83&amp;"/"&amp;COUNTIF(共有用1!F$2:F83,共有用1!F83))</f>
        <v/>
      </c>
      <c r="G83" s="17" t="str">
        <f>IF(共有用1!G83="","",共有用1!G83&amp;"/"&amp;COUNTIF(共有用1!G$2:G83,共有用1!G83))</f>
        <v/>
      </c>
      <c r="H83" s="17" t="str">
        <f>IF(共有用1!H83="","",共有用1!H83&amp;"/"&amp;COUNTIF(共有用1!H$2:H83,共有用1!H83))</f>
        <v/>
      </c>
      <c r="I83" s="17" t="str">
        <f>IF(共有用1!I83="","",共有用1!I83&amp;"/"&amp;COUNTIF(共有用1!I$2:I83,共有用1!I83))</f>
        <v/>
      </c>
      <c r="J83" s="17" t="str">
        <f>IF(共有用1!J83="","",共有用1!J83&amp;"/"&amp;COUNTIF(共有用1!J$2:J83,共有用1!J83))</f>
        <v/>
      </c>
      <c r="K83" s="17" t="str">
        <f>IF(共有用1!K83="","",共有用1!K83&amp;"/"&amp;COUNTIF(共有用1!K$2:K83,共有用1!K83))</f>
        <v/>
      </c>
      <c r="L83" s="17" t="str">
        <f>IF(共有用1!L83="","",共有用1!L83&amp;"/"&amp;COUNTIF(共有用1!L$2:L83,共有用1!L83))</f>
        <v/>
      </c>
      <c r="M83" s="17" t="str">
        <f>IF(共有用1!M83="","",共有用1!M83&amp;"/"&amp;COUNTIF(共有用1!M$2:M83,共有用1!M83))</f>
        <v/>
      </c>
      <c r="N83" s="17" t="str">
        <f>IF(共有用1!N83="","",共有用1!N83&amp;"/"&amp;COUNTIF(共有用1!N$2:N83,共有用1!N83))</f>
        <v/>
      </c>
      <c r="O83" s="17" t="str">
        <f>IF(共有用1!O83="","",共有用1!O83&amp;"/"&amp;COUNTIF(共有用1!O$2:O83,共有用1!O83))</f>
        <v/>
      </c>
      <c r="P83" s="17" t="str">
        <f>IF(共有用1!P83="","",共有用1!P83&amp;"/"&amp;COUNTIF(共有用1!P$2:P83,共有用1!P83))</f>
        <v/>
      </c>
      <c r="Q83" s="17" t="str">
        <f>IF(共有用1!Q83="","",共有用1!Q83&amp;"/"&amp;COUNTIF(共有用1!Q$2:Q83,共有用1!Q83))</f>
        <v/>
      </c>
      <c r="R83" s="17" t="str">
        <f>IF(共有用1!R83="","",共有用1!R83&amp;"/"&amp;COUNTIF(共有用1!R$2:R83,共有用1!R83))</f>
        <v/>
      </c>
      <c r="S83" s="17" t="str">
        <f>IF(共有用1!S83="","",共有用1!S83&amp;"/"&amp;COUNTIF(共有用1!S$2:S83,共有用1!S83))</f>
        <v/>
      </c>
      <c r="T83" s="17" t="str">
        <f>IF(共有用1!T83="","",共有用1!T83&amp;"/"&amp;COUNTIF(共有用1!T$2:T83,共有用1!T83))</f>
        <v/>
      </c>
      <c r="U83" s="17" t="str">
        <f>IF(共有用1!U83="","",共有用1!U83&amp;"/"&amp;COUNTIF(共有用1!U$2:U83,共有用1!U83))</f>
        <v/>
      </c>
      <c r="V83" s="17" t="str">
        <f>IF(共有用1!V83="","",共有用1!V83&amp;"/"&amp;COUNTIF(共有用1!V$2:V83,共有用1!V83))</f>
        <v/>
      </c>
      <c r="W83" s="17" t="str">
        <f>IF(共有用1!W83="","",共有用1!W83&amp;"/"&amp;COUNTIF(共有用1!W$2:W83,共有用1!W83))</f>
        <v/>
      </c>
      <c r="X83" s="17" t="str">
        <f>IF(共有用1!X83="","",共有用1!X83&amp;"/"&amp;COUNTIF(共有用1!X$2:X83,共有用1!X83))</f>
        <v/>
      </c>
      <c r="Y83" s="17" t="str">
        <f>IF(共有用1!Y83="","",共有用1!Y83&amp;"/"&amp;COUNTIF(共有用1!Y$2:Y83,共有用1!Y83))</f>
        <v/>
      </c>
      <c r="Z83" s="17" t="str">
        <f>IF(共有用1!Z83="","",共有用1!Z83&amp;"/"&amp;COUNTIF(共有用1!Z$2:Z83,共有用1!Z83))</f>
        <v/>
      </c>
      <c r="AA83" s="17" t="str">
        <f>IF(共有用1!AA83="","",共有用1!AA83&amp;"/"&amp;COUNTIF(共有用1!AA$2:AA83,共有用1!AA83))</f>
        <v/>
      </c>
      <c r="AB83" s="17" t="str">
        <f>IF(共有用1!AB83="","",共有用1!AB83&amp;"/"&amp;COUNTIF(共有用1!AB$2:AB83,共有用1!AB83))</f>
        <v/>
      </c>
      <c r="AC83" s="17" t="str">
        <f>IF(共有用1!AC83="","",共有用1!AC83&amp;"/"&amp;COUNTIF(共有用1!AC$2:AC83,共有用1!AC83))</f>
        <v/>
      </c>
      <c r="AD83" s="17" t="str">
        <f>IF(共有用1!AD83="","",共有用1!AD83&amp;"/"&amp;COUNTIF(共有用1!AD$2:AD83,共有用1!AD83))</f>
        <v/>
      </c>
      <c r="AE83" s="17" t="str">
        <f>IF(共有用1!AE83="","",共有用1!AE83&amp;"/"&amp;COUNTIF(共有用1!AE$2:AE83,共有用1!AE83))</f>
        <v/>
      </c>
      <c r="AF83" s="17" t="str">
        <f>IF(共有用1!AF83="","",共有用1!AF83&amp;"/"&amp;COUNTIF(共有用1!AF$2:AF83,共有用1!AF83))</f>
        <v/>
      </c>
      <c r="AG83" s="17" t="str">
        <f>IF(共有用1!AG83="","",共有用1!AG83&amp;"/"&amp;COUNTIF(共有用1!AG$2:AG83,共有用1!AG83))</f>
        <v/>
      </c>
      <c r="AH83" s="17" t="str">
        <f>IF(共有用1!AH83="","",共有用1!AH83&amp;"/"&amp;COUNTIF(共有用1!AH$2:AH83,共有用1!AH83))</f>
        <v/>
      </c>
      <c r="AI83" s="17" t="str">
        <f>IF(共有用1!AI83="","",共有用1!AI83&amp;"/"&amp;COUNTIF(共有用1!AI$2:AI83,共有用1!AI83))</f>
        <v/>
      </c>
      <c r="AJ83" s="17" t="str">
        <f>IF(共有用1!AJ83="","",共有用1!AJ83&amp;"/"&amp;COUNTIF(共有用1!AJ$2:AJ83,共有用1!AJ83))</f>
        <v/>
      </c>
      <c r="AK83" s="17" t="str">
        <f>IF(共有用1!AK83="","",共有用1!AK83&amp;"/"&amp;COUNTIF(共有用1!AK$2:AK83,共有用1!AK83))</f>
        <v/>
      </c>
      <c r="AL83" s="17" t="str">
        <f>IF(共有用1!AL83="","",共有用1!AL83&amp;"/"&amp;COUNTIF(共有用1!AL$2:AL83,共有用1!AL83))</f>
        <v/>
      </c>
      <c r="AM83" s="17" t="str">
        <f>IF(共有用1!AM83="","",共有用1!AM83&amp;"/"&amp;COUNTIF(共有用1!AM$2:AM83,共有用1!AM83))</f>
        <v/>
      </c>
      <c r="AN83" s="17" t="str">
        <f>IF(共有用1!AN83="","",共有用1!AN83&amp;"/"&amp;COUNTIF(共有用1!AN$2:AN83,共有用1!AN83))</f>
        <v/>
      </c>
      <c r="AO83" s="17" t="str">
        <f>IF(共有用1!AO83="","",共有用1!AO83&amp;"/"&amp;COUNTIF(共有用1!AO$2:AO83,共有用1!AO83))</f>
        <v/>
      </c>
      <c r="AP83" s="17" t="str">
        <f>IF(共有用1!AP83="","",共有用1!AP83&amp;"/"&amp;COUNTIF(共有用1!AP$2:AP83,共有用1!AP83))</f>
        <v/>
      </c>
      <c r="AQ83" s="17" t="str">
        <f>IF(共有用1!AQ83="","",共有用1!AQ83&amp;"/"&amp;COUNTIF(共有用1!AQ$2:AQ83,共有用1!AQ83))</f>
        <v/>
      </c>
      <c r="AR83" s="17" t="str">
        <f>IF(共有用1!AR83="","",共有用1!AR83&amp;"/"&amp;COUNTIF(共有用1!AR$2:AR83,共有用1!AR83))</f>
        <v/>
      </c>
      <c r="AS83" s="17" t="str">
        <f>IF(共有用1!AS83="","",共有用1!AS83&amp;"/"&amp;COUNTIF(共有用1!AS$2:AS83,共有用1!AS83))</f>
        <v/>
      </c>
      <c r="AT83" s="17" t="str">
        <f>IF(共有用1!AT83="","",共有用1!AT83&amp;"/"&amp;COUNTIF(共有用1!AT$2:AT83,共有用1!AT83))</f>
        <v/>
      </c>
      <c r="AU83" s="17" t="str">
        <f>IF(共有用1!AU83="","",共有用1!AU83&amp;"/"&amp;COUNTIF(共有用1!AU$2:AU83,共有用1!AU83))</f>
        <v/>
      </c>
      <c r="AV83" s="17" t="str">
        <f>IF(共有用1!AV83="","",共有用1!AV83&amp;"/"&amp;COUNTIF(共有用1!AV$2:AV83,共有用1!AV83))</f>
        <v/>
      </c>
      <c r="AW83" s="17" t="str">
        <f>IF(共有用1!AW83="","",共有用1!AW83&amp;"/"&amp;COUNTIF(共有用1!AW$2:AW83,共有用1!AW83))</f>
        <v/>
      </c>
      <c r="AX83" s="17" t="str">
        <f>IF(共有用1!AX83="","",共有用1!AX83&amp;"/"&amp;COUNTIF(共有用1!AX$2:AX83,共有用1!AX83))</f>
        <v/>
      </c>
      <c r="AY83" s="17" t="str">
        <f>IF(共有用1!AY83="","",共有用1!AY83&amp;"/"&amp;COUNTIF(共有用1!AY$2:AY83,共有用1!AY83))</f>
        <v/>
      </c>
      <c r="AZ83" s="17" t="str">
        <f>IF(共有用1!AZ83="","",共有用1!AZ83&amp;"/"&amp;COUNTIF(共有用1!AZ$2:AZ83,共有用1!AZ83))</f>
        <v/>
      </c>
      <c r="BA83" s="17" t="str">
        <f>IF(共有用1!BA83="","",共有用1!BA83&amp;"/"&amp;COUNTIF(共有用1!BA$2:BA83,共有用1!BA83))</f>
        <v/>
      </c>
    </row>
    <row r="84" spans="1:53">
      <c r="A84" s="2" t="str">
        <f>共有用1!A84</f>
        <v/>
      </c>
      <c r="B84" s="2" t="str">
        <f>共有用1!B84</f>
        <v/>
      </c>
      <c r="C84" s="2" t="str">
        <f>共有用1!C84</f>
        <v/>
      </c>
      <c r="D84" s="17" t="str">
        <f>IF(共有用1!D84="","",共有用1!D84&amp;"/"&amp;COUNTIF(共有用1!D$2:D84,共有用1!D84))</f>
        <v/>
      </c>
      <c r="E84" s="17" t="str">
        <f>IF(共有用1!E84="","",共有用1!E84&amp;"/"&amp;COUNTIF(共有用1!E$2:E84,共有用1!E84))</f>
        <v/>
      </c>
      <c r="F84" s="17" t="str">
        <f>IF(共有用1!F84="","",共有用1!F84&amp;"/"&amp;COUNTIF(共有用1!F$2:F84,共有用1!F84))</f>
        <v/>
      </c>
      <c r="G84" s="17" t="str">
        <f>IF(共有用1!G84="","",共有用1!G84&amp;"/"&amp;COUNTIF(共有用1!G$2:G84,共有用1!G84))</f>
        <v/>
      </c>
      <c r="H84" s="17" t="str">
        <f>IF(共有用1!H84="","",共有用1!H84&amp;"/"&amp;COUNTIF(共有用1!H$2:H84,共有用1!H84))</f>
        <v/>
      </c>
      <c r="I84" s="17" t="str">
        <f>IF(共有用1!I84="","",共有用1!I84&amp;"/"&amp;COUNTIF(共有用1!I$2:I84,共有用1!I84))</f>
        <v/>
      </c>
      <c r="J84" s="17" t="str">
        <f>IF(共有用1!J84="","",共有用1!J84&amp;"/"&amp;COUNTIF(共有用1!J$2:J84,共有用1!J84))</f>
        <v/>
      </c>
      <c r="K84" s="17" t="str">
        <f>IF(共有用1!K84="","",共有用1!K84&amp;"/"&amp;COUNTIF(共有用1!K$2:K84,共有用1!K84))</f>
        <v/>
      </c>
      <c r="L84" s="17" t="str">
        <f>IF(共有用1!L84="","",共有用1!L84&amp;"/"&amp;COUNTIF(共有用1!L$2:L84,共有用1!L84))</f>
        <v/>
      </c>
      <c r="M84" s="17" t="str">
        <f>IF(共有用1!M84="","",共有用1!M84&amp;"/"&amp;COUNTIF(共有用1!M$2:M84,共有用1!M84))</f>
        <v/>
      </c>
      <c r="N84" s="17" t="str">
        <f>IF(共有用1!N84="","",共有用1!N84&amp;"/"&amp;COUNTIF(共有用1!N$2:N84,共有用1!N84))</f>
        <v/>
      </c>
      <c r="O84" s="17" t="str">
        <f>IF(共有用1!O84="","",共有用1!O84&amp;"/"&amp;COUNTIF(共有用1!O$2:O84,共有用1!O84))</f>
        <v/>
      </c>
      <c r="P84" s="17" t="str">
        <f>IF(共有用1!P84="","",共有用1!P84&amp;"/"&amp;COUNTIF(共有用1!P$2:P84,共有用1!P84))</f>
        <v/>
      </c>
      <c r="Q84" s="17" t="str">
        <f>IF(共有用1!Q84="","",共有用1!Q84&amp;"/"&amp;COUNTIF(共有用1!Q$2:Q84,共有用1!Q84))</f>
        <v/>
      </c>
      <c r="R84" s="17" t="str">
        <f>IF(共有用1!R84="","",共有用1!R84&amp;"/"&amp;COUNTIF(共有用1!R$2:R84,共有用1!R84))</f>
        <v/>
      </c>
      <c r="S84" s="17" t="str">
        <f>IF(共有用1!S84="","",共有用1!S84&amp;"/"&amp;COUNTIF(共有用1!S$2:S84,共有用1!S84))</f>
        <v/>
      </c>
      <c r="T84" s="17" t="str">
        <f>IF(共有用1!T84="","",共有用1!T84&amp;"/"&amp;COUNTIF(共有用1!T$2:T84,共有用1!T84))</f>
        <v/>
      </c>
      <c r="U84" s="17" t="str">
        <f>IF(共有用1!U84="","",共有用1!U84&amp;"/"&amp;COUNTIF(共有用1!U$2:U84,共有用1!U84))</f>
        <v/>
      </c>
      <c r="V84" s="17" t="str">
        <f>IF(共有用1!V84="","",共有用1!V84&amp;"/"&amp;COUNTIF(共有用1!V$2:V84,共有用1!V84))</f>
        <v/>
      </c>
      <c r="W84" s="17" t="str">
        <f>IF(共有用1!W84="","",共有用1!W84&amp;"/"&amp;COUNTIF(共有用1!W$2:W84,共有用1!W84))</f>
        <v/>
      </c>
      <c r="X84" s="17" t="str">
        <f>IF(共有用1!X84="","",共有用1!X84&amp;"/"&amp;COUNTIF(共有用1!X$2:X84,共有用1!X84))</f>
        <v/>
      </c>
      <c r="Y84" s="17" t="str">
        <f>IF(共有用1!Y84="","",共有用1!Y84&amp;"/"&amp;COUNTIF(共有用1!Y$2:Y84,共有用1!Y84))</f>
        <v/>
      </c>
      <c r="Z84" s="17" t="str">
        <f>IF(共有用1!Z84="","",共有用1!Z84&amp;"/"&amp;COUNTIF(共有用1!Z$2:Z84,共有用1!Z84))</f>
        <v/>
      </c>
      <c r="AA84" s="17" t="str">
        <f>IF(共有用1!AA84="","",共有用1!AA84&amp;"/"&amp;COUNTIF(共有用1!AA$2:AA84,共有用1!AA84))</f>
        <v/>
      </c>
      <c r="AB84" s="17" t="str">
        <f>IF(共有用1!AB84="","",共有用1!AB84&amp;"/"&amp;COUNTIF(共有用1!AB$2:AB84,共有用1!AB84))</f>
        <v/>
      </c>
      <c r="AC84" s="17" t="str">
        <f>IF(共有用1!AC84="","",共有用1!AC84&amp;"/"&amp;COUNTIF(共有用1!AC$2:AC84,共有用1!AC84))</f>
        <v/>
      </c>
      <c r="AD84" s="17" t="str">
        <f>IF(共有用1!AD84="","",共有用1!AD84&amp;"/"&amp;COUNTIF(共有用1!AD$2:AD84,共有用1!AD84))</f>
        <v/>
      </c>
      <c r="AE84" s="17" t="str">
        <f>IF(共有用1!AE84="","",共有用1!AE84&amp;"/"&amp;COUNTIF(共有用1!AE$2:AE84,共有用1!AE84))</f>
        <v/>
      </c>
      <c r="AF84" s="17" t="str">
        <f>IF(共有用1!AF84="","",共有用1!AF84&amp;"/"&amp;COUNTIF(共有用1!AF$2:AF84,共有用1!AF84))</f>
        <v/>
      </c>
      <c r="AG84" s="17" t="str">
        <f>IF(共有用1!AG84="","",共有用1!AG84&amp;"/"&amp;COUNTIF(共有用1!AG$2:AG84,共有用1!AG84))</f>
        <v/>
      </c>
      <c r="AH84" s="17" t="str">
        <f>IF(共有用1!AH84="","",共有用1!AH84&amp;"/"&amp;COUNTIF(共有用1!AH$2:AH84,共有用1!AH84))</f>
        <v/>
      </c>
      <c r="AI84" s="17" t="str">
        <f>IF(共有用1!AI84="","",共有用1!AI84&amp;"/"&amp;COUNTIF(共有用1!AI$2:AI84,共有用1!AI84))</f>
        <v/>
      </c>
      <c r="AJ84" s="17" t="str">
        <f>IF(共有用1!AJ84="","",共有用1!AJ84&amp;"/"&amp;COUNTIF(共有用1!AJ$2:AJ84,共有用1!AJ84))</f>
        <v/>
      </c>
      <c r="AK84" s="17" t="str">
        <f>IF(共有用1!AK84="","",共有用1!AK84&amp;"/"&amp;COUNTIF(共有用1!AK$2:AK84,共有用1!AK84))</f>
        <v/>
      </c>
      <c r="AL84" s="17" t="str">
        <f>IF(共有用1!AL84="","",共有用1!AL84&amp;"/"&amp;COUNTIF(共有用1!AL$2:AL84,共有用1!AL84))</f>
        <v/>
      </c>
      <c r="AM84" s="17" t="str">
        <f>IF(共有用1!AM84="","",共有用1!AM84&amp;"/"&amp;COUNTIF(共有用1!AM$2:AM84,共有用1!AM84))</f>
        <v/>
      </c>
      <c r="AN84" s="17" t="str">
        <f>IF(共有用1!AN84="","",共有用1!AN84&amp;"/"&amp;COUNTIF(共有用1!AN$2:AN84,共有用1!AN84))</f>
        <v/>
      </c>
      <c r="AO84" s="17" t="str">
        <f>IF(共有用1!AO84="","",共有用1!AO84&amp;"/"&amp;COUNTIF(共有用1!AO$2:AO84,共有用1!AO84))</f>
        <v/>
      </c>
      <c r="AP84" s="17" t="str">
        <f>IF(共有用1!AP84="","",共有用1!AP84&amp;"/"&amp;COUNTIF(共有用1!AP$2:AP84,共有用1!AP84))</f>
        <v/>
      </c>
      <c r="AQ84" s="17" t="str">
        <f>IF(共有用1!AQ84="","",共有用1!AQ84&amp;"/"&amp;COUNTIF(共有用1!AQ$2:AQ84,共有用1!AQ84))</f>
        <v/>
      </c>
      <c r="AR84" s="17" t="str">
        <f>IF(共有用1!AR84="","",共有用1!AR84&amp;"/"&amp;COUNTIF(共有用1!AR$2:AR84,共有用1!AR84))</f>
        <v/>
      </c>
      <c r="AS84" s="17" t="str">
        <f>IF(共有用1!AS84="","",共有用1!AS84&amp;"/"&amp;COUNTIF(共有用1!AS$2:AS84,共有用1!AS84))</f>
        <v/>
      </c>
      <c r="AT84" s="17" t="str">
        <f>IF(共有用1!AT84="","",共有用1!AT84&amp;"/"&amp;COUNTIF(共有用1!AT$2:AT84,共有用1!AT84))</f>
        <v/>
      </c>
      <c r="AU84" s="17" t="str">
        <f>IF(共有用1!AU84="","",共有用1!AU84&amp;"/"&amp;COUNTIF(共有用1!AU$2:AU84,共有用1!AU84))</f>
        <v/>
      </c>
      <c r="AV84" s="17" t="str">
        <f>IF(共有用1!AV84="","",共有用1!AV84&amp;"/"&amp;COUNTIF(共有用1!AV$2:AV84,共有用1!AV84))</f>
        <v/>
      </c>
      <c r="AW84" s="17" t="str">
        <f>IF(共有用1!AW84="","",共有用1!AW84&amp;"/"&amp;COUNTIF(共有用1!AW$2:AW84,共有用1!AW84))</f>
        <v/>
      </c>
      <c r="AX84" s="17" t="str">
        <f>IF(共有用1!AX84="","",共有用1!AX84&amp;"/"&amp;COUNTIF(共有用1!AX$2:AX84,共有用1!AX84))</f>
        <v/>
      </c>
      <c r="AY84" s="17" t="str">
        <f>IF(共有用1!AY84="","",共有用1!AY84&amp;"/"&amp;COUNTIF(共有用1!AY$2:AY84,共有用1!AY84))</f>
        <v/>
      </c>
      <c r="AZ84" s="17" t="str">
        <f>IF(共有用1!AZ84="","",共有用1!AZ84&amp;"/"&amp;COUNTIF(共有用1!AZ$2:AZ84,共有用1!AZ84))</f>
        <v/>
      </c>
      <c r="BA84" s="17" t="str">
        <f>IF(共有用1!BA84="","",共有用1!BA84&amp;"/"&amp;COUNTIF(共有用1!BA$2:BA84,共有用1!BA84))</f>
        <v/>
      </c>
    </row>
    <row r="85" spans="1:53">
      <c r="A85" s="2" t="str">
        <f>共有用1!A85</f>
        <v/>
      </c>
      <c r="B85" s="2" t="str">
        <f>共有用1!B85</f>
        <v/>
      </c>
      <c r="C85" s="2" t="str">
        <f>共有用1!C85</f>
        <v/>
      </c>
      <c r="D85" s="17" t="str">
        <f>IF(共有用1!D85="","",共有用1!D85&amp;"/"&amp;COUNTIF(共有用1!D$2:D85,共有用1!D85))</f>
        <v/>
      </c>
      <c r="E85" s="17" t="str">
        <f>IF(共有用1!E85="","",共有用1!E85&amp;"/"&amp;COUNTIF(共有用1!E$2:E85,共有用1!E85))</f>
        <v/>
      </c>
      <c r="F85" s="17" t="str">
        <f>IF(共有用1!F85="","",共有用1!F85&amp;"/"&amp;COUNTIF(共有用1!F$2:F85,共有用1!F85))</f>
        <v/>
      </c>
      <c r="G85" s="17" t="str">
        <f>IF(共有用1!G85="","",共有用1!G85&amp;"/"&amp;COUNTIF(共有用1!G$2:G85,共有用1!G85))</f>
        <v/>
      </c>
      <c r="H85" s="17" t="str">
        <f>IF(共有用1!H85="","",共有用1!H85&amp;"/"&amp;COUNTIF(共有用1!H$2:H85,共有用1!H85))</f>
        <v/>
      </c>
      <c r="I85" s="17" t="str">
        <f>IF(共有用1!I85="","",共有用1!I85&amp;"/"&amp;COUNTIF(共有用1!I$2:I85,共有用1!I85))</f>
        <v/>
      </c>
      <c r="J85" s="17" t="str">
        <f>IF(共有用1!J85="","",共有用1!J85&amp;"/"&amp;COUNTIF(共有用1!J$2:J85,共有用1!J85))</f>
        <v/>
      </c>
      <c r="K85" s="17" t="str">
        <f>IF(共有用1!K85="","",共有用1!K85&amp;"/"&amp;COUNTIF(共有用1!K$2:K85,共有用1!K85))</f>
        <v/>
      </c>
      <c r="L85" s="17" t="str">
        <f>IF(共有用1!L85="","",共有用1!L85&amp;"/"&amp;COUNTIF(共有用1!L$2:L85,共有用1!L85))</f>
        <v/>
      </c>
      <c r="M85" s="17" t="str">
        <f>IF(共有用1!M85="","",共有用1!M85&amp;"/"&amp;COUNTIF(共有用1!M$2:M85,共有用1!M85))</f>
        <v/>
      </c>
      <c r="N85" s="17" t="str">
        <f>IF(共有用1!N85="","",共有用1!N85&amp;"/"&amp;COUNTIF(共有用1!N$2:N85,共有用1!N85))</f>
        <v/>
      </c>
      <c r="O85" s="17" t="str">
        <f>IF(共有用1!O85="","",共有用1!O85&amp;"/"&amp;COUNTIF(共有用1!O$2:O85,共有用1!O85))</f>
        <v/>
      </c>
      <c r="P85" s="17" t="str">
        <f>IF(共有用1!P85="","",共有用1!P85&amp;"/"&amp;COUNTIF(共有用1!P$2:P85,共有用1!P85))</f>
        <v/>
      </c>
      <c r="Q85" s="17" t="str">
        <f>IF(共有用1!Q85="","",共有用1!Q85&amp;"/"&amp;COUNTIF(共有用1!Q$2:Q85,共有用1!Q85))</f>
        <v/>
      </c>
      <c r="R85" s="17" t="str">
        <f>IF(共有用1!R85="","",共有用1!R85&amp;"/"&amp;COUNTIF(共有用1!R$2:R85,共有用1!R85))</f>
        <v/>
      </c>
      <c r="S85" s="17" t="str">
        <f>IF(共有用1!S85="","",共有用1!S85&amp;"/"&amp;COUNTIF(共有用1!S$2:S85,共有用1!S85))</f>
        <v/>
      </c>
      <c r="T85" s="17" t="str">
        <f>IF(共有用1!T85="","",共有用1!T85&amp;"/"&amp;COUNTIF(共有用1!T$2:T85,共有用1!T85))</f>
        <v/>
      </c>
      <c r="U85" s="17" t="str">
        <f>IF(共有用1!U85="","",共有用1!U85&amp;"/"&amp;COUNTIF(共有用1!U$2:U85,共有用1!U85))</f>
        <v/>
      </c>
      <c r="V85" s="17" t="str">
        <f>IF(共有用1!V85="","",共有用1!V85&amp;"/"&amp;COUNTIF(共有用1!V$2:V85,共有用1!V85))</f>
        <v/>
      </c>
      <c r="W85" s="17" t="str">
        <f>IF(共有用1!W85="","",共有用1!W85&amp;"/"&amp;COUNTIF(共有用1!W$2:W85,共有用1!W85))</f>
        <v/>
      </c>
      <c r="X85" s="17" t="str">
        <f>IF(共有用1!X85="","",共有用1!X85&amp;"/"&amp;COUNTIF(共有用1!X$2:X85,共有用1!X85))</f>
        <v/>
      </c>
      <c r="Y85" s="17" t="str">
        <f>IF(共有用1!Y85="","",共有用1!Y85&amp;"/"&amp;COUNTIF(共有用1!Y$2:Y85,共有用1!Y85))</f>
        <v/>
      </c>
      <c r="Z85" s="17" t="str">
        <f>IF(共有用1!Z85="","",共有用1!Z85&amp;"/"&amp;COUNTIF(共有用1!Z$2:Z85,共有用1!Z85))</f>
        <v/>
      </c>
      <c r="AA85" s="17" t="str">
        <f>IF(共有用1!AA85="","",共有用1!AA85&amp;"/"&amp;COUNTIF(共有用1!AA$2:AA85,共有用1!AA85))</f>
        <v/>
      </c>
      <c r="AB85" s="17" t="str">
        <f>IF(共有用1!AB85="","",共有用1!AB85&amp;"/"&amp;COUNTIF(共有用1!AB$2:AB85,共有用1!AB85))</f>
        <v/>
      </c>
      <c r="AC85" s="17" t="str">
        <f>IF(共有用1!AC85="","",共有用1!AC85&amp;"/"&amp;COUNTIF(共有用1!AC$2:AC85,共有用1!AC85))</f>
        <v/>
      </c>
      <c r="AD85" s="17" t="str">
        <f>IF(共有用1!AD85="","",共有用1!AD85&amp;"/"&amp;COUNTIF(共有用1!AD$2:AD85,共有用1!AD85))</f>
        <v/>
      </c>
      <c r="AE85" s="17" t="str">
        <f>IF(共有用1!AE85="","",共有用1!AE85&amp;"/"&amp;COUNTIF(共有用1!AE$2:AE85,共有用1!AE85))</f>
        <v/>
      </c>
      <c r="AF85" s="17" t="str">
        <f>IF(共有用1!AF85="","",共有用1!AF85&amp;"/"&amp;COUNTIF(共有用1!AF$2:AF85,共有用1!AF85))</f>
        <v/>
      </c>
      <c r="AG85" s="17" t="str">
        <f>IF(共有用1!AG85="","",共有用1!AG85&amp;"/"&amp;COUNTIF(共有用1!AG$2:AG85,共有用1!AG85))</f>
        <v/>
      </c>
      <c r="AH85" s="17" t="str">
        <f>IF(共有用1!AH85="","",共有用1!AH85&amp;"/"&amp;COUNTIF(共有用1!AH$2:AH85,共有用1!AH85))</f>
        <v/>
      </c>
      <c r="AI85" s="17" t="str">
        <f>IF(共有用1!AI85="","",共有用1!AI85&amp;"/"&amp;COUNTIF(共有用1!AI$2:AI85,共有用1!AI85))</f>
        <v/>
      </c>
      <c r="AJ85" s="17" t="str">
        <f>IF(共有用1!AJ85="","",共有用1!AJ85&amp;"/"&amp;COUNTIF(共有用1!AJ$2:AJ85,共有用1!AJ85))</f>
        <v/>
      </c>
      <c r="AK85" s="17" t="str">
        <f>IF(共有用1!AK85="","",共有用1!AK85&amp;"/"&amp;COUNTIF(共有用1!AK$2:AK85,共有用1!AK85))</f>
        <v/>
      </c>
      <c r="AL85" s="17" t="str">
        <f>IF(共有用1!AL85="","",共有用1!AL85&amp;"/"&amp;COUNTIF(共有用1!AL$2:AL85,共有用1!AL85))</f>
        <v/>
      </c>
      <c r="AM85" s="17" t="str">
        <f>IF(共有用1!AM85="","",共有用1!AM85&amp;"/"&amp;COUNTIF(共有用1!AM$2:AM85,共有用1!AM85))</f>
        <v/>
      </c>
      <c r="AN85" s="17" t="str">
        <f>IF(共有用1!AN85="","",共有用1!AN85&amp;"/"&amp;COUNTIF(共有用1!AN$2:AN85,共有用1!AN85))</f>
        <v/>
      </c>
      <c r="AO85" s="17" t="str">
        <f>IF(共有用1!AO85="","",共有用1!AO85&amp;"/"&amp;COUNTIF(共有用1!AO$2:AO85,共有用1!AO85))</f>
        <v/>
      </c>
      <c r="AP85" s="17" t="str">
        <f>IF(共有用1!AP85="","",共有用1!AP85&amp;"/"&amp;COUNTIF(共有用1!AP$2:AP85,共有用1!AP85))</f>
        <v/>
      </c>
      <c r="AQ85" s="17" t="str">
        <f>IF(共有用1!AQ85="","",共有用1!AQ85&amp;"/"&amp;COUNTIF(共有用1!AQ$2:AQ85,共有用1!AQ85))</f>
        <v/>
      </c>
      <c r="AR85" s="17" t="str">
        <f>IF(共有用1!AR85="","",共有用1!AR85&amp;"/"&amp;COUNTIF(共有用1!AR$2:AR85,共有用1!AR85))</f>
        <v/>
      </c>
      <c r="AS85" s="17" t="str">
        <f>IF(共有用1!AS85="","",共有用1!AS85&amp;"/"&amp;COUNTIF(共有用1!AS$2:AS85,共有用1!AS85))</f>
        <v/>
      </c>
      <c r="AT85" s="17" t="str">
        <f>IF(共有用1!AT85="","",共有用1!AT85&amp;"/"&amp;COUNTIF(共有用1!AT$2:AT85,共有用1!AT85))</f>
        <v/>
      </c>
      <c r="AU85" s="17" t="str">
        <f>IF(共有用1!AU85="","",共有用1!AU85&amp;"/"&amp;COUNTIF(共有用1!AU$2:AU85,共有用1!AU85))</f>
        <v/>
      </c>
      <c r="AV85" s="17" t="str">
        <f>IF(共有用1!AV85="","",共有用1!AV85&amp;"/"&amp;COUNTIF(共有用1!AV$2:AV85,共有用1!AV85))</f>
        <v/>
      </c>
      <c r="AW85" s="17" t="str">
        <f>IF(共有用1!AW85="","",共有用1!AW85&amp;"/"&amp;COUNTIF(共有用1!AW$2:AW85,共有用1!AW85))</f>
        <v/>
      </c>
      <c r="AX85" s="17" t="str">
        <f>IF(共有用1!AX85="","",共有用1!AX85&amp;"/"&amp;COUNTIF(共有用1!AX$2:AX85,共有用1!AX85))</f>
        <v/>
      </c>
      <c r="AY85" s="17" t="str">
        <f>IF(共有用1!AY85="","",共有用1!AY85&amp;"/"&amp;COUNTIF(共有用1!AY$2:AY85,共有用1!AY85))</f>
        <v/>
      </c>
      <c r="AZ85" s="17" t="str">
        <f>IF(共有用1!AZ85="","",共有用1!AZ85&amp;"/"&amp;COUNTIF(共有用1!AZ$2:AZ85,共有用1!AZ85))</f>
        <v/>
      </c>
      <c r="BA85" s="17" t="str">
        <f>IF(共有用1!BA85="","",共有用1!BA85&amp;"/"&amp;COUNTIF(共有用1!BA$2:BA85,共有用1!BA85))</f>
        <v/>
      </c>
    </row>
    <row r="86" spans="1:53">
      <c r="A86" s="2" t="str">
        <f>共有用1!A86</f>
        <v/>
      </c>
      <c r="B86" s="2" t="str">
        <f>共有用1!B86</f>
        <v/>
      </c>
      <c r="C86" s="2" t="str">
        <f>共有用1!C86</f>
        <v/>
      </c>
      <c r="D86" s="17" t="str">
        <f>IF(共有用1!D86="","",共有用1!D86&amp;"/"&amp;COUNTIF(共有用1!D$2:D86,共有用1!D86))</f>
        <v/>
      </c>
      <c r="E86" s="17" t="str">
        <f>IF(共有用1!E86="","",共有用1!E86&amp;"/"&amp;COUNTIF(共有用1!E$2:E86,共有用1!E86))</f>
        <v/>
      </c>
      <c r="F86" s="17" t="str">
        <f>IF(共有用1!F86="","",共有用1!F86&amp;"/"&amp;COUNTIF(共有用1!F$2:F86,共有用1!F86))</f>
        <v/>
      </c>
      <c r="G86" s="17" t="str">
        <f>IF(共有用1!G86="","",共有用1!G86&amp;"/"&amp;COUNTIF(共有用1!G$2:G86,共有用1!G86))</f>
        <v/>
      </c>
      <c r="H86" s="17" t="str">
        <f>IF(共有用1!H86="","",共有用1!H86&amp;"/"&amp;COUNTIF(共有用1!H$2:H86,共有用1!H86))</f>
        <v/>
      </c>
      <c r="I86" s="17" t="str">
        <f>IF(共有用1!I86="","",共有用1!I86&amp;"/"&amp;COUNTIF(共有用1!I$2:I86,共有用1!I86))</f>
        <v/>
      </c>
      <c r="J86" s="17" t="str">
        <f>IF(共有用1!J86="","",共有用1!J86&amp;"/"&amp;COUNTIF(共有用1!J$2:J86,共有用1!J86))</f>
        <v/>
      </c>
      <c r="K86" s="17" t="str">
        <f>IF(共有用1!K86="","",共有用1!K86&amp;"/"&amp;COUNTIF(共有用1!K$2:K86,共有用1!K86))</f>
        <v/>
      </c>
      <c r="L86" s="17" t="str">
        <f>IF(共有用1!L86="","",共有用1!L86&amp;"/"&amp;COUNTIF(共有用1!L$2:L86,共有用1!L86))</f>
        <v/>
      </c>
      <c r="M86" s="17" t="str">
        <f>IF(共有用1!M86="","",共有用1!M86&amp;"/"&amp;COUNTIF(共有用1!M$2:M86,共有用1!M86))</f>
        <v/>
      </c>
      <c r="N86" s="17" t="str">
        <f>IF(共有用1!N86="","",共有用1!N86&amp;"/"&amp;COUNTIF(共有用1!N$2:N86,共有用1!N86))</f>
        <v/>
      </c>
      <c r="O86" s="17" t="str">
        <f>IF(共有用1!O86="","",共有用1!O86&amp;"/"&amp;COUNTIF(共有用1!O$2:O86,共有用1!O86))</f>
        <v/>
      </c>
      <c r="P86" s="17" t="str">
        <f>IF(共有用1!P86="","",共有用1!P86&amp;"/"&amp;COUNTIF(共有用1!P$2:P86,共有用1!P86))</f>
        <v/>
      </c>
      <c r="Q86" s="17" t="str">
        <f>IF(共有用1!Q86="","",共有用1!Q86&amp;"/"&amp;COUNTIF(共有用1!Q$2:Q86,共有用1!Q86))</f>
        <v/>
      </c>
      <c r="R86" s="17" t="str">
        <f>IF(共有用1!R86="","",共有用1!R86&amp;"/"&amp;COUNTIF(共有用1!R$2:R86,共有用1!R86))</f>
        <v/>
      </c>
      <c r="S86" s="17" t="str">
        <f>IF(共有用1!S86="","",共有用1!S86&amp;"/"&amp;COUNTIF(共有用1!S$2:S86,共有用1!S86))</f>
        <v/>
      </c>
      <c r="T86" s="17" t="str">
        <f>IF(共有用1!T86="","",共有用1!T86&amp;"/"&amp;COUNTIF(共有用1!T$2:T86,共有用1!T86))</f>
        <v/>
      </c>
      <c r="U86" s="17" t="str">
        <f>IF(共有用1!U86="","",共有用1!U86&amp;"/"&amp;COUNTIF(共有用1!U$2:U86,共有用1!U86))</f>
        <v/>
      </c>
      <c r="V86" s="17" t="str">
        <f>IF(共有用1!V86="","",共有用1!V86&amp;"/"&amp;COUNTIF(共有用1!V$2:V86,共有用1!V86))</f>
        <v/>
      </c>
      <c r="W86" s="17" t="str">
        <f>IF(共有用1!W86="","",共有用1!W86&amp;"/"&amp;COUNTIF(共有用1!W$2:W86,共有用1!W86))</f>
        <v/>
      </c>
      <c r="X86" s="17" t="str">
        <f>IF(共有用1!X86="","",共有用1!X86&amp;"/"&amp;COUNTIF(共有用1!X$2:X86,共有用1!X86))</f>
        <v/>
      </c>
      <c r="Y86" s="17" t="str">
        <f>IF(共有用1!Y86="","",共有用1!Y86&amp;"/"&amp;COUNTIF(共有用1!Y$2:Y86,共有用1!Y86))</f>
        <v/>
      </c>
      <c r="Z86" s="17" t="str">
        <f>IF(共有用1!Z86="","",共有用1!Z86&amp;"/"&amp;COUNTIF(共有用1!Z$2:Z86,共有用1!Z86))</f>
        <v/>
      </c>
      <c r="AA86" s="17" t="str">
        <f>IF(共有用1!AA86="","",共有用1!AA86&amp;"/"&amp;COUNTIF(共有用1!AA$2:AA86,共有用1!AA86))</f>
        <v/>
      </c>
      <c r="AB86" s="17" t="str">
        <f>IF(共有用1!AB86="","",共有用1!AB86&amp;"/"&amp;COUNTIF(共有用1!AB$2:AB86,共有用1!AB86))</f>
        <v/>
      </c>
      <c r="AC86" s="17" t="str">
        <f>IF(共有用1!AC86="","",共有用1!AC86&amp;"/"&amp;COUNTIF(共有用1!AC$2:AC86,共有用1!AC86))</f>
        <v/>
      </c>
      <c r="AD86" s="17" t="str">
        <f>IF(共有用1!AD86="","",共有用1!AD86&amp;"/"&amp;COUNTIF(共有用1!AD$2:AD86,共有用1!AD86))</f>
        <v/>
      </c>
      <c r="AE86" s="17" t="str">
        <f>IF(共有用1!AE86="","",共有用1!AE86&amp;"/"&amp;COUNTIF(共有用1!AE$2:AE86,共有用1!AE86))</f>
        <v/>
      </c>
      <c r="AF86" s="17" t="str">
        <f>IF(共有用1!AF86="","",共有用1!AF86&amp;"/"&amp;COUNTIF(共有用1!AF$2:AF86,共有用1!AF86))</f>
        <v/>
      </c>
      <c r="AG86" s="17" t="str">
        <f>IF(共有用1!AG86="","",共有用1!AG86&amp;"/"&amp;COUNTIF(共有用1!AG$2:AG86,共有用1!AG86))</f>
        <v/>
      </c>
      <c r="AH86" s="17" t="str">
        <f>IF(共有用1!AH86="","",共有用1!AH86&amp;"/"&amp;COUNTIF(共有用1!AH$2:AH86,共有用1!AH86))</f>
        <v/>
      </c>
      <c r="AI86" s="17" t="str">
        <f>IF(共有用1!AI86="","",共有用1!AI86&amp;"/"&amp;COUNTIF(共有用1!AI$2:AI86,共有用1!AI86))</f>
        <v/>
      </c>
      <c r="AJ86" s="17" t="str">
        <f>IF(共有用1!AJ86="","",共有用1!AJ86&amp;"/"&amp;COUNTIF(共有用1!AJ$2:AJ86,共有用1!AJ86))</f>
        <v/>
      </c>
      <c r="AK86" s="17" t="str">
        <f>IF(共有用1!AK86="","",共有用1!AK86&amp;"/"&amp;COUNTIF(共有用1!AK$2:AK86,共有用1!AK86))</f>
        <v/>
      </c>
      <c r="AL86" s="17" t="str">
        <f>IF(共有用1!AL86="","",共有用1!AL86&amp;"/"&amp;COUNTIF(共有用1!AL$2:AL86,共有用1!AL86))</f>
        <v/>
      </c>
      <c r="AM86" s="17" t="str">
        <f>IF(共有用1!AM86="","",共有用1!AM86&amp;"/"&amp;COUNTIF(共有用1!AM$2:AM86,共有用1!AM86))</f>
        <v/>
      </c>
      <c r="AN86" s="17" t="str">
        <f>IF(共有用1!AN86="","",共有用1!AN86&amp;"/"&amp;COUNTIF(共有用1!AN$2:AN86,共有用1!AN86))</f>
        <v/>
      </c>
      <c r="AO86" s="17" t="str">
        <f>IF(共有用1!AO86="","",共有用1!AO86&amp;"/"&amp;COUNTIF(共有用1!AO$2:AO86,共有用1!AO86))</f>
        <v/>
      </c>
      <c r="AP86" s="17" t="str">
        <f>IF(共有用1!AP86="","",共有用1!AP86&amp;"/"&amp;COUNTIF(共有用1!AP$2:AP86,共有用1!AP86))</f>
        <v/>
      </c>
      <c r="AQ86" s="17" t="str">
        <f>IF(共有用1!AQ86="","",共有用1!AQ86&amp;"/"&amp;COUNTIF(共有用1!AQ$2:AQ86,共有用1!AQ86))</f>
        <v/>
      </c>
      <c r="AR86" s="17" t="str">
        <f>IF(共有用1!AR86="","",共有用1!AR86&amp;"/"&amp;COUNTIF(共有用1!AR$2:AR86,共有用1!AR86))</f>
        <v/>
      </c>
      <c r="AS86" s="17" t="str">
        <f>IF(共有用1!AS86="","",共有用1!AS86&amp;"/"&amp;COUNTIF(共有用1!AS$2:AS86,共有用1!AS86))</f>
        <v/>
      </c>
      <c r="AT86" s="17" t="str">
        <f>IF(共有用1!AT86="","",共有用1!AT86&amp;"/"&amp;COUNTIF(共有用1!AT$2:AT86,共有用1!AT86))</f>
        <v/>
      </c>
      <c r="AU86" s="17" t="str">
        <f>IF(共有用1!AU86="","",共有用1!AU86&amp;"/"&amp;COUNTIF(共有用1!AU$2:AU86,共有用1!AU86))</f>
        <v/>
      </c>
      <c r="AV86" s="17" t="str">
        <f>IF(共有用1!AV86="","",共有用1!AV86&amp;"/"&amp;COUNTIF(共有用1!AV$2:AV86,共有用1!AV86))</f>
        <v/>
      </c>
      <c r="AW86" s="17" t="str">
        <f>IF(共有用1!AW86="","",共有用1!AW86&amp;"/"&amp;COUNTIF(共有用1!AW$2:AW86,共有用1!AW86))</f>
        <v/>
      </c>
      <c r="AX86" s="17" t="str">
        <f>IF(共有用1!AX86="","",共有用1!AX86&amp;"/"&amp;COUNTIF(共有用1!AX$2:AX86,共有用1!AX86))</f>
        <v/>
      </c>
      <c r="AY86" s="17" t="str">
        <f>IF(共有用1!AY86="","",共有用1!AY86&amp;"/"&amp;COUNTIF(共有用1!AY$2:AY86,共有用1!AY86))</f>
        <v/>
      </c>
      <c r="AZ86" s="17" t="str">
        <f>IF(共有用1!AZ86="","",共有用1!AZ86&amp;"/"&amp;COUNTIF(共有用1!AZ$2:AZ86,共有用1!AZ86))</f>
        <v/>
      </c>
      <c r="BA86" s="17" t="str">
        <f>IF(共有用1!BA86="","",共有用1!BA86&amp;"/"&amp;COUNTIF(共有用1!BA$2:BA86,共有用1!BA86))</f>
        <v/>
      </c>
    </row>
    <row r="87" spans="1:53">
      <c r="A87" s="2" t="str">
        <f>共有用1!A87</f>
        <v/>
      </c>
      <c r="B87" s="2" t="str">
        <f>共有用1!B87</f>
        <v/>
      </c>
      <c r="C87" s="2" t="str">
        <f>共有用1!C87</f>
        <v/>
      </c>
      <c r="D87" s="17" t="str">
        <f>IF(共有用1!D87="","",共有用1!D87&amp;"/"&amp;COUNTIF(共有用1!D$2:D87,共有用1!D87))</f>
        <v/>
      </c>
      <c r="E87" s="17" t="str">
        <f>IF(共有用1!E87="","",共有用1!E87&amp;"/"&amp;COUNTIF(共有用1!E$2:E87,共有用1!E87))</f>
        <v/>
      </c>
      <c r="F87" s="17" t="str">
        <f>IF(共有用1!F87="","",共有用1!F87&amp;"/"&amp;COUNTIF(共有用1!F$2:F87,共有用1!F87))</f>
        <v/>
      </c>
      <c r="G87" s="17" t="str">
        <f>IF(共有用1!G87="","",共有用1!G87&amp;"/"&amp;COUNTIF(共有用1!G$2:G87,共有用1!G87))</f>
        <v/>
      </c>
      <c r="H87" s="17" t="str">
        <f>IF(共有用1!H87="","",共有用1!H87&amp;"/"&amp;COUNTIF(共有用1!H$2:H87,共有用1!H87))</f>
        <v/>
      </c>
      <c r="I87" s="17" t="str">
        <f>IF(共有用1!I87="","",共有用1!I87&amp;"/"&amp;COUNTIF(共有用1!I$2:I87,共有用1!I87))</f>
        <v/>
      </c>
      <c r="J87" s="17" t="str">
        <f>IF(共有用1!J87="","",共有用1!J87&amp;"/"&amp;COUNTIF(共有用1!J$2:J87,共有用1!J87))</f>
        <v/>
      </c>
      <c r="K87" s="17" t="str">
        <f>IF(共有用1!K87="","",共有用1!K87&amp;"/"&amp;COUNTIF(共有用1!K$2:K87,共有用1!K87))</f>
        <v/>
      </c>
      <c r="L87" s="17" t="str">
        <f>IF(共有用1!L87="","",共有用1!L87&amp;"/"&amp;COUNTIF(共有用1!L$2:L87,共有用1!L87))</f>
        <v/>
      </c>
      <c r="M87" s="17" t="str">
        <f>IF(共有用1!M87="","",共有用1!M87&amp;"/"&amp;COUNTIF(共有用1!M$2:M87,共有用1!M87))</f>
        <v/>
      </c>
      <c r="N87" s="17" t="str">
        <f>IF(共有用1!N87="","",共有用1!N87&amp;"/"&amp;COUNTIF(共有用1!N$2:N87,共有用1!N87))</f>
        <v/>
      </c>
      <c r="O87" s="17" t="str">
        <f>IF(共有用1!O87="","",共有用1!O87&amp;"/"&amp;COUNTIF(共有用1!O$2:O87,共有用1!O87))</f>
        <v/>
      </c>
      <c r="P87" s="17" t="str">
        <f>IF(共有用1!P87="","",共有用1!P87&amp;"/"&amp;COUNTIF(共有用1!P$2:P87,共有用1!P87))</f>
        <v/>
      </c>
      <c r="Q87" s="17" t="str">
        <f>IF(共有用1!Q87="","",共有用1!Q87&amp;"/"&amp;COUNTIF(共有用1!Q$2:Q87,共有用1!Q87))</f>
        <v/>
      </c>
      <c r="R87" s="17" t="str">
        <f>IF(共有用1!R87="","",共有用1!R87&amp;"/"&amp;COUNTIF(共有用1!R$2:R87,共有用1!R87))</f>
        <v/>
      </c>
      <c r="S87" s="17" t="str">
        <f>IF(共有用1!S87="","",共有用1!S87&amp;"/"&amp;COUNTIF(共有用1!S$2:S87,共有用1!S87))</f>
        <v/>
      </c>
      <c r="T87" s="17" t="str">
        <f>IF(共有用1!T87="","",共有用1!T87&amp;"/"&amp;COUNTIF(共有用1!T$2:T87,共有用1!T87))</f>
        <v/>
      </c>
      <c r="U87" s="17" t="str">
        <f>IF(共有用1!U87="","",共有用1!U87&amp;"/"&amp;COUNTIF(共有用1!U$2:U87,共有用1!U87))</f>
        <v/>
      </c>
      <c r="V87" s="17" t="str">
        <f>IF(共有用1!V87="","",共有用1!V87&amp;"/"&amp;COUNTIF(共有用1!V$2:V87,共有用1!V87))</f>
        <v/>
      </c>
      <c r="W87" s="17" t="str">
        <f>IF(共有用1!W87="","",共有用1!W87&amp;"/"&amp;COUNTIF(共有用1!W$2:W87,共有用1!W87))</f>
        <v/>
      </c>
      <c r="X87" s="17" t="str">
        <f>IF(共有用1!X87="","",共有用1!X87&amp;"/"&amp;COUNTIF(共有用1!X$2:X87,共有用1!X87))</f>
        <v/>
      </c>
      <c r="Y87" s="17" t="str">
        <f>IF(共有用1!Y87="","",共有用1!Y87&amp;"/"&amp;COUNTIF(共有用1!Y$2:Y87,共有用1!Y87))</f>
        <v/>
      </c>
      <c r="Z87" s="17" t="str">
        <f>IF(共有用1!Z87="","",共有用1!Z87&amp;"/"&amp;COUNTIF(共有用1!Z$2:Z87,共有用1!Z87))</f>
        <v/>
      </c>
      <c r="AA87" s="17" t="str">
        <f>IF(共有用1!AA87="","",共有用1!AA87&amp;"/"&amp;COUNTIF(共有用1!AA$2:AA87,共有用1!AA87))</f>
        <v/>
      </c>
      <c r="AB87" s="17" t="str">
        <f>IF(共有用1!AB87="","",共有用1!AB87&amp;"/"&amp;COUNTIF(共有用1!AB$2:AB87,共有用1!AB87))</f>
        <v/>
      </c>
      <c r="AC87" s="17" t="str">
        <f>IF(共有用1!AC87="","",共有用1!AC87&amp;"/"&amp;COUNTIF(共有用1!AC$2:AC87,共有用1!AC87))</f>
        <v/>
      </c>
      <c r="AD87" s="17" t="str">
        <f>IF(共有用1!AD87="","",共有用1!AD87&amp;"/"&amp;COUNTIF(共有用1!AD$2:AD87,共有用1!AD87))</f>
        <v/>
      </c>
      <c r="AE87" s="17" t="str">
        <f>IF(共有用1!AE87="","",共有用1!AE87&amp;"/"&amp;COUNTIF(共有用1!AE$2:AE87,共有用1!AE87))</f>
        <v/>
      </c>
      <c r="AF87" s="17" t="str">
        <f>IF(共有用1!AF87="","",共有用1!AF87&amp;"/"&amp;COUNTIF(共有用1!AF$2:AF87,共有用1!AF87))</f>
        <v/>
      </c>
      <c r="AG87" s="17" t="str">
        <f>IF(共有用1!AG87="","",共有用1!AG87&amp;"/"&amp;COUNTIF(共有用1!AG$2:AG87,共有用1!AG87))</f>
        <v/>
      </c>
      <c r="AH87" s="17" t="str">
        <f>IF(共有用1!AH87="","",共有用1!AH87&amp;"/"&amp;COUNTIF(共有用1!AH$2:AH87,共有用1!AH87))</f>
        <v/>
      </c>
      <c r="AI87" s="17" t="str">
        <f>IF(共有用1!AI87="","",共有用1!AI87&amp;"/"&amp;COUNTIF(共有用1!AI$2:AI87,共有用1!AI87))</f>
        <v/>
      </c>
      <c r="AJ87" s="17" t="str">
        <f>IF(共有用1!AJ87="","",共有用1!AJ87&amp;"/"&amp;COUNTIF(共有用1!AJ$2:AJ87,共有用1!AJ87))</f>
        <v/>
      </c>
      <c r="AK87" s="17" t="str">
        <f>IF(共有用1!AK87="","",共有用1!AK87&amp;"/"&amp;COUNTIF(共有用1!AK$2:AK87,共有用1!AK87))</f>
        <v/>
      </c>
      <c r="AL87" s="17" t="str">
        <f>IF(共有用1!AL87="","",共有用1!AL87&amp;"/"&amp;COUNTIF(共有用1!AL$2:AL87,共有用1!AL87))</f>
        <v/>
      </c>
      <c r="AM87" s="17" t="str">
        <f>IF(共有用1!AM87="","",共有用1!AM87&amp;"/"&amp;COUNTIF(共有用1!AM$2:AM87,共有用1!AM87))</f>
        <v/>
      </c>
      <c r="AN87" s="17" t="str">
        <f>IF(共有用1!AN87="","",共有用1!AN87&amp;"/"&amp;COUNTIF(共有用1!AN$2:AN87,共有用1!AN87))</f>
        <v/>
      </c>
      <c r="AO87" s="17" t="str">
        <f>IF(共有用1!AO87="","",共有用1!AO87&amp;"/"&amp;COUNTIF(共有用1!AO$2:AO87,共有用1!AO87))</f>
        <v/>
      </c>
      <c r="AP87" s="17" t="str">
        <f>IF(共有用1!AP87="","",共有用1!AP87&amp;"/"&amp;COUNTIF(共有用1!AP$2:AP87,共有用1!AP87))</f>
        <v/>
      </c>
      <c r="AQ87" s="17" t="str">
        <f>IF(共有用1!AQ87="","",共有用1!AQ87&amp;"/"&amp;COUNTIF(共有用1!AQ$2:AQ87,共有用1!AQ87))</f>
        <v/>
      </c>
      <c r="AR87" s="17" t="str">
        <f>IF(共有用1!AR87="","",共有用1!AR87&amp;"/"&amp;COUNTIF(共有用1!AR$2:AR87,共有用1!AR87))</f>
        <v/>
      </c>
      <c r="AS87" s="17" t="str">
        <f>IF(共有用1!AS87="","",共有用1!AS87&amp;"/"&amp;COUNTIF(共有用1!AS$2:AS87,共有用1!AS87))</f>
        <v/>
      </c>
      <c r="AT87" s="17" t="str">
        <f>IF(共有用1!AT87="","",共有用1!AT87&amp;"/"&amp;COUNTIF(共有用1!AT$2:AT87,共有用1!AT87))</f>
        <v/>
      </c>
      <c r="AU87" s="17" t="str">
        <f>IF(共有用1!AU87="","",共有用1!AU87&amp;"/"&amp;COUNTIF(共有用1!AU$2:AU87,共有用1!AU87))</f>
        <v/>
      </c>
      <c r="AV87" s="17" t="str">
        <f>IF(共有用1!AV87="","",共有用1!AV87&amp;"/"&amp;COUNTIF(共有用1!AV$2:AV87,共有用1!AV87))</f>
        <v/>
      </c>
      <c r="AW87" s="17" t="str">
        <f>IF(共有用1!AW87="","",共有用1!AW87&amp;"/"&amp;COUNTIF(共有用1!AW$2:AW87,共有用1!AW87))</f>
        <v/>
      </c>
      <c r="AX87" s="17" t="str">
        <f>IF(共有用1!AX87="","",共有用1!AX87&amp;"/"&amp;COUNTIF(共有用1!AX$2:AX87,共有用1!AX87))</f>
        <v/>
      </c>
      <c r="AY87" s="17" t="str">
        <f>IF(共有用1!AY87="","",共有用1!AY87&amp;"/"&amp;COUNTIF(共有用1!AY$2:AY87,共有用1!AY87))</f>
        <v/>
      </c>
      <c r="AZ87" s="17" t="str">
        <f>IF(共有用1!AZ87="","",共有用1!AZ87&amp;"/"&amp;COUNTIF(共有用1!AZ$2:AZ87,共有用1!AZ87))</f>
        <v/>
      </c>
      <c r="BA87" s="17" t="str">
        <f>IF(共有用1!BA87="","",共有用1!BA87&amp;"/"&amp;COUNTIF(共有用1!BA$2:BA87,共有用1!BA87))</f>
        <v/>
      </c>
    </row>
    <row r="88" spans="1:53">
      <c r="A88" s="2" t="str">
        <f>共有用1!A88</f>
        <v/>
      </c>
      <c r="B88" s="2" t="str">
        <f>共有用1!B88</f>
        <v/>
      </c>
      <c r="C88" s="2" t="str">
        <f>共有用1!C88</f>
        <v/>
      </c>
      <c r="D88" s="17" t="str">
        <f>IF(共有用1!D88="","",共有用1!D88&amp;"/"&amp;COUNTIF(共有用1!D$2:D88,共有用1!D88))</f>
        <v/>
      </c>
      <c r="E88" s="17" t="str">
        <f>IF(共有用1!E88="","",共有用1!E88&amp;"/"&amp;COUNTIF(共有用1!E$2:E88,共有用1!E88))</f>
        <v/>
      </c>
      <c r="F88" s="17" t="str">
        <f>IF(共有用1!F88="","",共有用1!F88&amp;"/"&amp;COUNTIF(共有用1!F$2:F88,共有用1!F88))</f>
        <v/>
      </c>
      <c r="G88" s="17" t="str">
        <f>IF(共有用1!G88="","",共有用1!G88&amp;"/"&amp;COUNTIF(共有用1!G$2:G88,共有用1!G88))</f>
        <v/>
      </c>
      <c r="H88" s="17" t="str">
        <f>IF(共有用1!H88="","",共有用1!H88&amp;"/"&amp;COUNTIF(共有用1!H$2:H88,共有用1!H88))</f>
        <v/>
      </c>
      <c r="I88" s="17" t="str">
        <f>IF(共有用1!I88="","",共有用1!I88&amp;"/"&amp;COUNTIF(共有用1!I$2:I88,共有用1!I88))</f>
        <v/>
      </c>
      <c r="J88" s="17" t="str">
        <f>IF(共有用1!J88="","",共有用1!J88&amp;"/"&amp;COUNTIF(共有用1!J$2:J88,共有用1!J88))</f>
        <v/>
      </c>
      <c r="K88" s="17" t="str">
        <f>IF(共有用1!K88="","",共有用1!K88&amp;"/"&amp;COUNTIF(共有用1!K$2:K88,共有用1!K88))</f>
        <v/>
      </c>
      <c r="L88" s="17" t="str">
        <f>IF(共有用1!L88="","",共有用1!L88&amp;"/"&amp;COUNTIF(共有用1!L$2:L88,共有用1!L88))</f>
        <v/>
      </c>
      <c r="M88" s="17" t="str">
        <f>IF(共有用1!M88="","",共有用1!M88&amp;"/"&amp;COUNTIF(共有用1!M$2:M88,共有用1!M88))</f>
        <v/>
      </c>
      <c r="N88" s="17" t="str">
        <f>IF(共有用1!N88="","",共有用1!N88&amp;"/"&amp;COUNTIF(共有用1!N$2:N88,共有用1!N88))</f>
        <v/>
      </c>
      <c r="O88" s="17" t="str">
        <f>IF(共有用1!O88="","",共有用1!O88&amp;"/"&amp;COUNTIF(共有用1!O$2:O88,共有用1!O88))</f>
        <v/>
      </c>
      <c r="P88" s="17" t="str">
        <f>IF(共有用1!P88="","",共有用1!P88&amp;"/"&amp;COUNTIF(共有用1!P$2:P88,共有用1!P88))</f>
        <v/>
      </c>
      <c r="Q88" s="17" t="str">
        <f>IF(共有用1!Q88="","",共有用1!Q88&amp;"/"&amp;COUNTIF(共有用1!Q$2:Q88,共有用1!Q88))</f>
        <v/>
      </c>
      <c r="R88" s="17" t="str">
        <f>IF(共有用1!R88="","",共有用1!R88&amp;"/"&amp;COUNTIF(共有用1!R$2:R88,共有用1!R88))</f>
        <v/>
      </c>
      <c r="S88" s="17" t="str">
        <f>IF(共有用1!S88="","",共有用1!S88&amp;"/"&amp;COUNTIF(共有用1!S$2:S88,共有用1!S88))</f>
        <v/>
      </c>
      <c r="T88" s="17" t="str">
        <f>IF(共有用1!T88="","",共有用1!T88&amp;"/"&amp;COUNTIF(共有用1!T$2:T88,共有用1!T88))</f>
        <v/>
      </c>
      <c r="U88" s="17" t="str">
        <f>IF(共有用1!U88="","",共有用1!U88&amp;"/"&amp;COUNTIF(共有用1!U$2:U88,共有用1!U88))</f>
        <v/>
      </c>
      <c r="V88" s="17" t="str">
        <f>IF(共有用1!V88="","",共有用1!V88&amp;"/"&amp;COUNTIF(共有用1!V$2:V88,共有用1!V88))</f>
        <v/>
      </c>
      <c r="W88" s="17" t="str">
        <f>IF(共有用1!W88="","",共有用1!W88&amp;"/"&amp;COUNTIF(共有用1!W$2:W88,共有用1!W88))</f>
        <v/>
      </c>
      <c r="X88" s="17" t="str">
        <f>IF(共有用1!X88="","",共有用1!X88&amp;"/"&amp;COUNTIF(共有用1!X$2:X88,共有用1!X88))</f>
        <v/>
      </c>
      <c r="Y88" s="17" t="str">
        <f>IF(共有用1!Y88="","",共有用1!Y88&amp;"/"&amp;COUNTIF(共有用1!Y$2:Y88,共有用1!Y88))</f>
        <v/>
      </c>
      <c r="Z88" s="17" t="str">
        <f>IF(共有用1!Z88="","",共有用1!Z88&amp;"/"&amp;COUNTIF(共有用1!Z$2:Z88,共有用1!Z88))</f>
        <v/>
      </c>
      <c r="AA88" s="17" t="str">
        <f>IF(共有用1!AA88="","",共有用1!AA88&amp;"/"&amp;COUNTIF(共有用1!AA$2:AA88,共有用1!AA88))</f>
        <v/>
      </c>
      <c r="AB88" s="17" t="str">
        <f>IF(共有用1!AB88="","",共有用1!AB88&amp;"/"&amp;COUNTIF(共有用1!AB$2:AB88,共有用1!AB88))</f>
        <v/>
      </c>
      <c r="AC88" s="17" t="str">
        <f>IF(共有用1!AC88="","",共有用1!AC88&amp;"/"&amp;COUNTIF(共有用1!AC$2:AC88,共有用1!AC88))</f>
        <v/>
      </c>
      <c r="AD88" s="17" t="str">
        <f>IF(共有用1!AD88="","",共有用1!AD88&amp;"/"&amp;COUNTIF(共有用1!AD$2:AD88,共有用1!AD88))</f>
        <v/>
      </c>
      <c r="AE88" s="17" t="str">
        <f>IF(共有用1!AE88="","",共有用1!AE88&amp;"/"&amp;COUNTIF(共有用1!AE$2:AE88,共有用1!AE88))</f>
        <v/>
      </c>
      <c r="AF88" s="17" t="str">
        <f>IF(共有用1!AF88="","",共有用1!AF88&amp;"/"&amp;COUNTIF(共有用1!AF$2:AF88,共有用1!AF88))</f>
        <v/>
      </c>
      <c r="AG88" s="17" t="str">
        <f>IF(共有用1!AG88="","",共有用1!AG88&amp;"/"&amp;COUNTIF(共有用1!AG$2:AG88,共有用1!AG88))</f>
        <v/>
      </c>
      <c r="AH88" s="17" t="str">
        <f>IF(共有用1!AH88="","",共有用1!AH88&amp;"/"&amp;COUNTIF(共有用1!AH$2:AH88,共有用1!AH88))</f>
        <v/>
      </c>
      <c r="AI88" s="17" t="str">
        <f>IF(共有用1!AI88="","",共有用1!AI88&amp;"/"&amp;COUNTIF(共有用1!AI$2:AI88,共有用1!AI88))</f>
        <v/>
      </c>
      <c r="AJ88" s="17" t="str">
        <f>IF(共有用1!AJ88="","",共有用1!AJ88&amp;"/"&amp;COUNTIF(共有用1!AJ$2:AJ88,共有用1!AJ88))</f>
        <v/>
      </c>
      <c r="AK88" s="17" t="str">
        <f>IF(共有用1!AK88="","",共有用1!AK88&amp;"/"&amp;COUNTIF(共有用1!AK$2:AK88,共有用1!AK88))</f>
        <v/>
      </c>
      <c r="AL88" s="17" t="str">
        <f>IF(共有用1!AL88="","",共有用1!AL88&amp;"/"&amp;COUNTIF(共有用1!AL$2:AL88,共有用1!AL88))</f>
        <v/>
      </c>
      <c r="AM88" s="17" t="str">
        <f>IF(共有用1!AM88="","",共有用1!AM88&amp;"/"&amp;COUNTIF(共有用1!AM$2:AM88,共有用1!AM88))</f>
        <v/>
      </c>
      <c r="AN88" s="17" t="str">
        <f>IF(共有用1!AN88="","",共有用1!AN88&amp;"/"&amp;COUNTIF(共有用1!AN$2:AN88,共有用1!AN88))</f>
        <v/>
      </c>
      <c r="AO88" s="17" t="str">
        <f>IF(共有用1!AO88="","",共有用1!AO88&amp;"/"&amp;COUNTIF(共有用1!AO$2:AO88,共有用1!AO88))</f>
        <v/>
      </c>
      <c r="AP88" s="17" t="str">
        <f>IF(共有用1!AP88="","",共有用1!AP88&amp;"/"&amp;COUNTIF(共有用1!AP$2:AP88,共有用1!AP88))</f>
        <v/>
      </c>
      <c r="AQ88" s="17" t="str">
        <f>IF(共有用1!AQ88="","",共有用1!AQ88&amp;"/"&amp;COUNTIF(共有用1!AQ$2:AQ88,共有用1!AQ88))</f>
        <v/>
      </c>
      <c r="AR88" s="17" t="str">
        <f>IF(共有用1!AR88="","",共有用1!AR88&amp;"/"&amp;COUNTIF(共有用1!AR$2:AR88,共有用1!AR88))</f>
        <v/>
      </c>
      <c r="AS88" s="17" t="str">
        <f>IF(共有用1!AS88="","",共有用1!AS88&amp;"/"&amp;COUNTIF(共有用1!AS$2:AS88,共有用1!AS88))</f>
        <v/>
      </c>
      <c r="AT88" s="17" t="str">
        <f>IF(共有用1!AT88="","",共有用1!AT88&amp;"/"&amp;COUNTIF(共有用1!AT$2:AT88,共有用1!AT88))</f>
        <v/>
      </c>
      <c r="AU88" s="17" t="str">
        <f>IF(共有用1!AU88="","",共有用1!AU88&amp;"/"&amp;COUNTIF(共有用1!AU$2:AU88,共有用1!AU88))</f>
        <v/>
      </c>
      <c r="AV88" s="17" t="str">
        <f>IF(共有用1!AV88="","",共有用1!AV88&amp;"/"&amp;COUNTIF(共有用1!AV$2:AV88,共有用1!AV88))</f>
        <v/>
      </c>
      <c r="AW88" s="17" t="str">
        <f>IF(共有用1!AW88="","",共有用1!AW88&amp;"/"&amp;COUNTIF(共有用1!AW$2:AW88,共有用1!AW88))</f>
        <v/>
      </c>
      <c r="AX88" s="17" t="str">
        <f>IF(共有用1!AX88="","",共有用1!AX88&amp;"/"&amp;COUNTIF(共有用1!AX$2:AX88,共有用1!AX88))</f>
        <v/>
      </c>
      <c r="AY88" s="17" t="str">
        <f>IF(共有用1!AY88="","",共有用1!AY88&amp;"/"&amp;COUNTIF(共有用1!AY$2:AY88,共有用1!AY88))</f>
        <v/>
      </c>
      <c r="AZ88" s="17" t="str">
        <f>IF(共有用1!AZ88="","",共有用1!AZ88&amp;"/"&amp;COUNTIF(共有用1!AZ$2:AZ88,共有用1!AZ88))</f>
        <v/>
      </c>
      <c r="BA88" s="17" t="str">
        <f>IF(共有用1!BA88="","",共有用1!BA88&amp;"/"&amp;COUNTIF(共有用1!BA$2:BA88,共有用1!BA88))</f>
        <v/>
      </c>
    </row>
    <row r="89" spans="1:53">
      <c r="A89" s="2" t="str">
        <f>共有用1!A89</f>
        <v/>
      </c>
      <c r="B89" s="2" t="str">
        <f>共有用1!B89</f>
        <v/>
      </c>
      <c r="C89" s="2" t="str">
        <f>共有用1!C89</f>
        <v/>
      </c>
      <c r="D89" s="17" t="str">
        <f>IF(共有用1!D89="","",共有用1!D89&amp;"/"&amp;COUNTIF(共有用1!D$2:D89,共有用1!D89))</f>
        <v/>
      </c>
      <c r="E89" s="17" t="str">
        <f>IF(共有用1!E89="","",共有用1!E89&amp;"/"&amp;COUNTIF(共有用1!E$2:E89,共有用1!E89))</f>
        <v/>
      </c>
      <c r="F89" s="17" t="str">
        <f>IF(共有用1!F89="","",共有用1!F89&amp;"/"&amp;COUNTIF(共有用1!F$2:F89,共有用1!F89))</f>
        <v/>
      </c>
      <c r="G89" s="17" t="str">
        <f>IF(共有用1!G89="","",共有用1!G89&amp;"/"&amp;COUNTIF(共有用1!G$2:G89,共有用1!G89))</f>
        <v/>
      </c>
      <c r="H89" s="17" t="str">
        <f>IF(共有用1!H89="","",共有用1!H89&amp;"/"&amp;COUNTIF(共有用1!H$2:H89,共有用1!H89))</f>
        <v/>
      </c>
      <c r="I89" s="17" t="str">
        <f>IF(共有用1!I89="","",共有用1!I89&amp;"/"&amp;COUNTIF(共有用1!I$2:I89,共有用1!I89))</f>
        <v/>
      </c>
      <c r="J89" s="17" t="str">
        <f>IF(共有用1!J89="","",共有用1!J89&amp;"/"&amp;COUNTIF(共有用1!J$2:J89,共有用1!J89))</f>
        <v/>
      </c>
      <c r="K89" s="17" t="str">
        <f>IF(共有用1!K89="","",共有用1!K89&amp;"/"&amp;COUNTIF(共有用1!K$2:K89,共有用1!K89))</f>
        <v/>
      </c>
      <c r="L89" s="17" t="str">
        <f>IF(共有用1!L89="","",共有用1!L89&amp;"/"&amp;COUNTIF(共有用1!L$2:L89,共有用1!L89))</f>
        <v/>
      </c>
      <c r="M89" s="17" t="str">
        <f>IF(共有用1!M89="","",共有用1!M89&amp;"/"&amp;COUNTIF(共有用1!M$2:M89,共有用1!M89))</f>
        <v/>
      </c>
      <c r="N89" s="17" t="str">
        <f>IF(共有用1!N89="","",共有用1!N89&amp;"/"&amp;COUNTIF(共有用1!N$2:N89,共有用1!N89))</f>
        <v/>
      </c>
      <c r="O89" s="17" t="str">
        <f>IF(共有用1!O89="","",共有用1!O89&amp;"/"&amp;COUNTIF(共有用1!O$2:O89,共有用1!O89))</f>
        <v/>
      </c>
      <c r="P89" s="17" t="str">
        <f>IF(共有用1!P89="","",共有用1!P89&amp;"/"&amp;COUNTIF(共有用1!P$2:P89,共有用1!P89))</f>
        <v/>
      </c>
      <c r="Q89" s="17" t="str">
        <f>IF(共有用1!Q89="","",共有用1!Q89&amp;"/"&amp;COUNTIF(共有用1!Q$2:Q89,共有用1!Q89))</f>
        <v/>
      </c>
      <c r="R89" s="17" t="str">
        <f>IF(共有用1!R89="","",共有用1!R89&amp;"/"&amp;COUNTIF(共有用1!R$2:R89,共有用1!R89))</f>
        <v/>
      </c>
      <c r="S89" s="17" t="str">
        <f>IF(共有用1!S89="","",共有用1!S89&amp;"/"&amp;COUNTIF(共有用1!S$2:S89,共有用1!S89))</f>
        <v/>
      </c>
      <c r="T89" s="17" t="str">
        <f>IF(共有用1!T89="","",共有用1!T89&amp;"/"&amp;COUNTIF(共有用1!T$2:T89,共有用1!T89))</f>
        <v/>
      </c>
      <c r="U89" s="17" t="str">
        <f>IF(共有用1!U89="","",共有用1!U89&amp;"/"&amp;COUNTIF(共有用1!U$2:U89,共有用1!U89))</f>
        <v/>
      </c>
      <c r="V89" s="17" t="str">
        <f>IF(共有用1!V89="","",共有用1!V89&amp;"/"&amp;COUNTIF(共有用1!V$2:V89,共有用1!V89))</f>
        <v/>
      </c>
      <c r="W89" s="17" t="str">
        <f>IF(共有用1!W89="","",共有用1!W89&amp;"/"&amp;COUNTIF(共有用1!W$2:W89,共有用1!W89))</f>
        <v/>
      </c>
      <c r="X89" s="17" t="str">
        <f>IF(共有用1!X89="","",共有用1!X89&amp;"/"&amp;COUNTIF(共有用1!X$2:X89,共有用1!X89))</f>
        <v/>
      </c>
      <c r="Y89" s="17" t="str">
        <f>IF(共有用1!Y89="","",共有用1!Y89&amp;"/"&amp;COUNTIF(共有用1!Y$2:Y89,共有用1!Y89))</f>
        <v/>
      </c>
      <c r="Z89" s="17" t="str">
        <f>IF(共有用1!Z89="","",共有用1!Z89&amp;"/"&amp;COUNTIF(共有用1!Z$2:Z89,共有用1!Z89))</f>
        <v/>
      </c>
      <c r="AA89" s="17" t="str">
        <f>IF(共有用1!AA89="","",共有用1!AA89&amp;"/"&amp;COUNTIF(共有用1!AA$2:AA89,共有用1!AA89))</f>
        <v/>
      </c>
      <c r="AB89" s="17" t="str">
        <f>IF(共有用1!AB89="","",共有用1!AB89&amp;"/"&amp;COUNTIF(共有用1!AB$2:AB89,共有用1!AB89))</f>
        <v/>
      </c>
      <c r="AC89" s="17" t="str">
        <f>IF(共有用1!AC89="","",共有用1!AC89&amp;"/"&amp;COUNTIF(共有用1!AC$2:AC89,共有用1!AC89))</f>
        <v/>
      </c>
      <c r="AD89" s="17" t="str">
        <f>IF(共有用1!AD89="","",共有用1!AD89&amp;"/"&amp;COUNTIF(共有用1!AD$2:AD89,共有用1!AD89))</f>
        <v/>
      </c>
      <c r="AE89" s="17" t="str">
        <f>IF(共有用1!AE89="","",共有用1!AE89&amp;"/"&amp;COUNTIF(共有用1!AE$2:AE89,共有用1!AE89))</f>
        <v/>
      </c>
      <c r="AF89" s="17" t="str">
        <f>IF(共有用1!AF89="","",共有用1!AF89&amp;"/"&amp;COUNTIF(共有用1!AF$2:AF89,共有用1!AF89))</f>
        <v/>
      </c>
      <c r="AG89" s="17" t="str">
        <f>IF(共有用1!AG89="","",共有用1!AG89&amp;"/"&amp;COUNTIF(共有用1!AG$2:AG89,共有用1!AG89))</f>
        <v/>
      </c>
      <c r="AH89" s="17" t="str">
        <f>IF(共有用1!AH89="","",共有用1!AH89&amp;"/"&amp;COUNTIF(共有用1!AH$2:AH89,共有用1!AH89))</f>
        <v/>
      </c>
      <c r="AI89" s="17" t="str">
        <f>IF(共有用1!AI89="","",共有用1!AI89&amp;"/"&amp;COUNTIF(共有用1!AI$2:AI89,共有用1!AI89))</f>
        <v/>
      </c>
      <c r="AJ89" s="17" t="str">
        <f>IF(共有用1!AJ89="","",共有用1!AJ89&amp;"/"&amp;COUNTIF(共有用1!AJ$2:AJ89,共有用1!AJ89))</f>
        <v/>
      </c>
      <c r="AK89" s="17" t="str">
        <f>IF(共有用1!AK89="","",共有用1!AK89&amp;"/"&amp;COUNTIF(共有用1!AK$2:AK89,共有用1!AK89))</f>
        <v/>
      </c>
      <c r="AL89" s="17" t="str">
        <f>IF(共有用1!AL89="","",共有用1!AL89&amp;"/"&amp;COUNTIF(共有用1!AL$2:AL89,共有用1!AL89))</f>
        <v/>
      </c>
      <c r="AM89" s="17" t="str">
        <f>IF(共有用1!AM89="","",共有用1!AM89&amp;"/"&amp;COUNTIF(共有用1!AM$2:AM89,共有用1!AM89))</f>
        <v/>
      </c>
      <c r="AN89" s="17" t="str">
        <f>IF(共有用1!AN89="","",共有用1!AN89&amp;"/"&amp;COUNTIF(共有用1!AN$2:AN89,共有用1!AN89))</f>
        <v/>
      </c>
      <c r="AO89" s="17" t="str">
        <f>IF(共有用1!AO89="","",共有用1!AO89&amp;"/"&amp;COUNTIF(共有用1!AO$2:AO89,共有用1!AO89))</f>
        <v/>
      </c>
      <c r="AP89" s="17" t="str">
        <f>IF(共有用1!AP89="","",共有用1!AP89&amp;"/"&amp;COUNTIF(共有用1!AP$2:AP89,共有用1!AP89))</f>
        <v/>
      </c>
      <c r="AQ89" s="17" t="str">
        <f>IF(共有用1!AQ89="","",共有用1!AQ89&amp;"/"&amp;COUNTIF(共有用1!AQ$2:AQ89,共有用1!AQ89))</f>
        <v/>
      </c>
      <c r="AR89" s="17" t="str">
        <f>IF(共有用1!AR89="","",共有用1!AR89&amp;"/"&amp;COUNTIF(共有用1!AR$2:AR89,共有用1!AR89))</f>
        <v/>
      </c>
      <c r="AS89" s="17" t="str">
        <f>IF(共有用1!AS89="","",共有用1!AS89&amp;"/"&amp;COUNTIF(共有用1!AS$2:AS89,共有用1!AS89))</f>
        <v/>
      </c>
      <c r="AT89" s="17" t="str">
        <f>IF(共有用1!AT89="","",共有用1!AT89&amp;"/"&amp;COUNTIF(共有用1!AT$2:AT89,共有用1!AT89))</f>
        <v/>
      </c>
      <c r="AU89" s="17" t="str">
        <f>IF(共有用1!AU89="","",共有用1!AU89&amp;"/"&amp;COUNTIF(共有用1!AU$2:AU89,共有用1!AU89))</f>
        <v/>
      </c>
      <c r="AV89" s="17" t="str">
        <f>IF(共有用1!AV89="","",共有用1!AV89&amp;"/"&amp;COUNTIF(共有用1!AV$2:AV89,共有用1!AV89))</f>
        <v/>
      </c>
      <c r="AW89" s="17" t="str">
        <f>IF(共有用1!AW89="","",共有用1!AW89&amp;"/"&amp;COUNTIF(共有用1!AW$2:AW89,共有用1!AW89))</f>
        <v/>
      </c>
      <c r="AX89" s="17" t="str">
        <f>IF(共有用1!AX89="","",共有用1!AX89&amp;"/"&amp;COUNTIF(共有用1!AX$2:AX89,共有用1!AX89))</f>
        <v/>
      </c>
      <c r="AY89" s="17" t="str">
        <f>IF(共有用1!AY89="","",共有用1!AY89&amp;"/"&amp;COUNTIF(共有用1!AY$2:AY89,共有用1!AY89))</f>
        <v/>
      </c>
      <c r="AZ89" s="17" t="str">
        <f>IF(共有用1!AZ89="","",共有用1!AZ89&amp;"/"&amp;COUNTIF(共有用1!AZ$2:AZ89,共有用1!AZ89))</f>
        <v/>
      </c>
      <c r="BA89" s="17" t="str">
        <f>IF(共有用1!BA89="","",共有用1!BA89&amp;"/"&amp;COUNTIF(共有用1!BA$2:BA89,共有用1!BA89))</f>
        <v/>
      </c>
    </row>
    <row r="90" spans="1:53">
      <c r="A90" s="2" t="str">
        <f>共有用1!A90</f>
        <v/>
      </c>
      <c r="B90" s="2" t="str">
        <f>共有用1!B90</f>
        <v/>
      </c>
      <c r="C90" s="2" t="str">
        <f>共有用1!C90</f>
        <v/>
      </c>
      <c r="D90" s="17" t="str">
        <f>IF(共有用1!D90="","",共有用1!D90&amp;"/"&amp;COUNTIF(共有用1!D$2:D90,共有用1!D90))</f>
        <v/>
      </c>
      <c r="E90" s="17" t="str">
        <f>IF(共有用1!E90="","",共有用1!E90&amp;"/"&amp;COUNTIF(共有用1!E$2:E90,共有用1!E90))</f>
        <v/>
      </c>
      <c r="F90" s="17" t="str">
        <f>IF(共有用1!F90="","",共有用1!F90&amp;"/"&amp;COUNTIF(共有用1!F$2:F90,共有用1!F90))</f>
        <v/>
      </c>
      <c r="G90" s="17" t="str">
        <f>IF(共有用1!G90="","",共有用1!G90&amp;"/"&amp;COUNTIF(共有用1!G$2:G90,共有用1!G90))</f>
        <v/>
      </c>
      <c r="H90" s="17" t="str">
        <f>IF(共有用1!H90="","",共有用1!H90&amp;"/"&amp;COUNTIF(共有用1!H$2:H90,共有用1!H90))</f>
        <v/>
      </c>
      <c r="I90" s="17" t="str">
        <f>IF(共有用1!I90="","",共有用1!I90&amp;"/"&amp;COUNTIF(共有用1!I$2:I90,共有用1!I90))</f>
        <v/>
      </c>
      <c r="J90" s="17" t="str">
        <f>IF(共有用1!J90="","",共有用1!J90&amp;"/"&amp;COUNTIF(共有用1!J$2:J90,共有用1!J90))</f>
        <v/>
      </c>
      <c r="K90" s="17" t="str">
        <f>IF(共有用1!K90="","",共有用1!K90&amp;"/"&amp;COUNTIF(共有用1!K$2:K90,共有用1!K90))</f>
        <v/>
      </c>
      <c r="L90" s="17" t="str">
        <f>IF(共有用1!L90="","",共有用1!L90&amp;"/"&amp;COUNTIF(共有用1!L$2:L90,共有用1!L90))</f>
        <v/>
      </c>
      <c r="M90" s="17" t="str">
        <f>IF(共有用1!M90="","",共有用1!M90&amp;"/"&amp;COUNTIF(共有用1!M$2:M90,共有用1!M90))</f>
        <v/>
      </c>
      <c r="N90" s="17" t="str">
        <f>IF(共有用1!N90="","",共有用1!N90&amp;"/"&amp;COUNTIF(共有用1!N$2:N90,共有用1!N90))</f>
        <v/>
      </c>
      <c r="O90" s="17" t="str">
        <f>IF(共有用1!O90="","",共有用1!O90&amp;"/"&amp;COUNTIF(共有用1!O$2:O90,共有用1!O90))</f>
        <v/>
      </c>
      <c r="P90" s="17" t="str">
        <f>IF(共有用1!P90="","",共有用1!P90&amp;"/"&amp;COUNTIF(共有用1!P$2:P90,共有用1!P90))</f>
        <v/>
      </c>
      <c r="Q90" s="17" t="str">
        <f>IF(共有用1!Q90="","",共有用1!Q90&amp;"/"&amp;COUNTIF(共有用1!Q$2:Q90,共有用1!Q90))</f>
        <v/>
      </c>
      <c r="R90" s="17" t="str">
        <f>IF(共有用1!R90="","",共有用1!R90&amp;"/"&amp;COUNTIF(共有用1!R$2:R90,共有用1!R90))</f>
        <v/>
      </c>
      <c r="S90" s="17" t="str">
        <f>IF(共有用1!S90="","",共有用1!S90&amp;"/"&amp;COUNTIF(共有用1!S$2:S90,共有用1!S90))</f>
        <v/>
      </c>
      <c r="T90" s="17" t="str">
        <f>IF(共有用1!T90="","",共有用1!T90&amp;"/"&amp;COUNTIF(共有用1!T$2:T90,共有用1!T90))</f>
        <v/>
      </c>
      <c r="U90" s="17" t="str">
        <f>IF(共有用1!U90="","",共有用1!U90&amp;"/"&amp;COUNTIF(共有用1!U$2:U90,共有用1!U90))</f>
        <v/>
      </c>
      <c r="V90" s="17" t="str">
        <f>IF(共有用1!V90="","",共有用1!V90&amp;"/"&amp;COUNTIF(共有用1!V$2:V90,共有用1!V90))</f>
        <v/>
      </c>
      <c r="W90" s="17" t="str">
        <f>IF(共有用1!W90="","",共有用1!W90&amp;"/"&amp;COUNTIF(共有用1!W$2:W90,共有用1!W90))</f>
        <v/>
      </c>
      <c r="X90" s="17" t="str">
        <f>IF(共有用1!X90="","",共有用1!X90&amp;"/"&amp;COUNTIF(共有用1!X$2:X90,共有用1!X90))</f>
        <v/>
      </c>
      <c r="Y90" s="17" t="str">
        <f>IF(共有用1!Y90="","",共有用1!Y90&amp;"/"&amp;COUNTIF(共有用1!Y$2:Y90,共有用1!Y90))</f>
        <v/>
      </c>
      <c r="Z90" s="17" t="str">
        <f>IF(共有用1!Z90="","",共有用1!Z90&amp;"/"&amp;COUNTIF(共有用1!Z$2:Z90,共有用1!Z90))</f>
        <v/>
      </c>
      <c r="AA90" s="17" t="str">
        <f>IF(共有用1!AA90="","",共有用1!AA90&amp;"/"&amp;COUNTIF(共有用1!AA$2:AA90,共有用1!AA90))</f>
        <v/>
      </c>
      <c r="AB90" s="17" t="str">
        <f>IF(共有用1!AB90="","",共有用1!AB90&amp;"/"&amp;COUNTIF(共有用1!AB$2:AB90,共有用1!AB90))</f>
        <v/>
      </c>
      <c r="AC90" s="17" t="str">
        <f>IF(共有用1!AC90="","",共有用1!AC90&amp;"/"&amp;COUNTIF(共有用1!AC$2:AC90,共有用1!AC90))</f>
        <v/>
      </c>
      <c r="AD90" s="17" t="str">
        <f>IF(共有用1!AD90="","",共有用1!AD90&amp;"/"&amp;COUNTIF(共有用1!AD$2:AD90,共有用1!AD90))</f>
        <v/>
      </c>
      <c r="AE90" s="17" t="str">
        <f>IF(共有用1!AE90="","",共有用1!AE90&amp;"/"&amp;COUNTIF(共有用1!AE$2:AE90,共有用1!AE90))</f>
        <v/>
      </c>
      <c r="AF90" s="17" t="str">
        <f>IF(共有用1!AF90="","",共有用1!AF90&amp;"/"&amp;COUNTIF(共有用1!AF$2:AF90,共有用1!AF90))</f>
        <v/>
      </c>
      <c r="AG90" s="17" t="str">
        <f>IF(共有用1!AG90="","",共有用1!AG90&amp;"/"&amp;COUNTIF(共有用1!AG$2:AG90,共有用1!AG90))</f>
        <v/>
      </c>
      <c r="AH90" s="17" t="str">
        <f>IF(共有用1!AH90="","",共有用1!AH90&amp;"/"&amp;COUNTIF(共有用1!AH$2:AH90,共有用1!AH90))</f>
        <v/>
      </c>
      <c r="AI90" s="17" t="str">
        <f>IF(共有用1!AI90="","",共有用1!AI90&amp;"/"&amp;COUNTIF(共有用1!AI$2:AI90,共有用1!AI90))</f>
        <v/>
      </c>
      <c r="AJ90" s="17" t="str">
        <f>IF(共有用1!AJ90="","",共有用1!AJ90&amp;"/"&amp;COUNTIF(共有用1!AJ$2:AJ90,共有用1!AJ90))</f>
        <v/>
      </c>
      <c r="AK90" s="17" t="str">
        <f>IF(共有用1!AK90="","",共有用1!AK90&amp;"/"&amp;COUNTIF(共有用1!AK$2:AK90,共有用1!AK90))</f>
        <v/>
      </c>
      <c r="AL90" s="17" t="str">
        <f>IF(共有用1!AL90="","",共有用1!AL90&amp;"/"&amp;COUNTIF(共有用1!AL$2:AL90,共有用1!AL90))</f>
        <v/>
      </c>
      <c r="AM90" s="17" t="str">
        <f>IF(共有用1!AM90="","",共有用1!AM90&amp;"/"&amp;COUNTIF(共有用1!AM$2:AM90,共有用1!AM90))</f>
        <v/>
      </c>
      <c r="AN90" s="17" t="str">
        <f>IF(共有用1!AN90="","",共有用1!AN90&amp;"/"&amp;COUNTIF(共有用1!AN$2:AN90,共有用1!AN90))</f>
        <v/>
      </c>
      <c r="AO90" s="17" t="str">
        <f>IF(共有用1!AO90="","",共有用1!AO90&amp;"/"&amp;COUNTIF(共有用1!AO$2:AO90,共有用1!AO90))</f>
        <v/>
      </c>
      <c r="AP90" s="17" t="str">
        <f>IF(共有用1!AP90="","",共有用1!AP90&amp;"/"&amp;COUNTIF(共有用1!AP$2:AP90,共有用1!AP90))</f>
        <v/>
      </c>
      <c r="AQ90" s="17" t="str">
        <f>IF(共有用1!AQ90="","",共有用1!AQ90&amp;"/"&amp;COUNTIF(共有用1!AQ$2:AQ90,共有用1!AQ90))</f>
        <v/>
      </c>
      <c r="AR90" s="17" t="str">
        <f>IF(共有用1!AR90="","",共有用1!AR90&amp;"/"&amp;COUNTIF(共有用1!AR$2:AR90,共有用1!AR90))</f>
        <v/>
      </c>
      <c r="AS90" s="17" t="str">
        <f>IF(共有用1!AS90="","",共有用1!AS90&amp;"/"&amp;COUNTIF(共有用1!AS$2:AS90,共有用1!AS90))</f>
        <v/>
      </c>
      <c r="AT90" s="17" t="str">
        <f>IF(共有用1!AT90="","",共有用1!AT90&amp;"/"&amp;COUNTIF(共有用1!AT$2:AT90,共有用1!AT90))</f>
        <v/>
      </c>
      <c r="AU90" s="17" t="str">
        <f>IF(共有用1!AU90="","",共有用1!AU90&amp;"/"&amp;COUNTIF(共有用1!AU$2:AU90,共有用1!AU90))</f>
        <v/>
      </c>
      <c r="AV90" s="17" t="str">
        <f>IF(共有用1!AV90="","",共有用1!AV90&amp;"/"&amp;COUNTIF(共有用1!AV$2:AV90,共有用1!AV90))</f>
        <v/>
      </c>
      <c r="AW90" s="17" t="str">
        <f>IF(共有用1!AW90="","",共有用1!AW90&amp;"/"&amp;COUNTIF(共有用1!AW$2:AW90,共有用1!AW90))</f>
        <v/>
      </c>
      <c r="AX90" s="17" t="str">
        <f>IF(共有用1!AX90="","",共有用1!AX90&amp;"/"&amp;COUNTIF(共有用1!AX$2:AX90,共有用1!AX90))</f>
        <v/>
      </c>
      <c r="AY90" s="17" t="str">
        <f>IF(共有用1!AY90="","",共有用1!AY90&amp;"/"&amp;COUNTIF(共有用1!AY$2:AY90,共有用1!AY90))</f>
        <v/>
      </c>
      <c r="AZ90" s="17" t="str">
        <f>IF(共有用1!AZ90="","",共有用1!AZ90&amp;"/"&amp;COUNTIF(共有用1!AZ$2:AZ90,共有用1!AZ90))</f>
        <v/>
      </c>
      <c r="BA90" s="17" t="str">
        <f>IF(共有用1!BA90="","",共有用1!BA90&amp;"/"&amp;COUNTIF(共有用1!BA$2:BA90,共有用1!BA90))</f>
        <v/>
      </c>
    </row>
    <row r="91" spans="1:53">
      <c r="A91" s="2" t="str">
        <f>共有用1!A91</f>
        <v/>
      </c>
      <c r="B91" s="2" t="str">
        <f>共有用1!B91</f>
        <v/>
      </c>
      <c r="C91" s="2" t="str">
        <f>共有用1!C91</f>
        <v/>
      </c>
      <c r="D91" s="17" t="str">
        <f>IF(共有用1!D91="","",共有用1!D91&amp;"/"&amp;COUNTIF(共有用1!D$2:D91,共有用1!D91))</f>
        <v/>
      </c>
      <c r="E91" s="17" t="str">
        <f>IF(共有用1!E91="","",共有用1!E91&amp;"/"&amp;COUNTIF(共有用1!E$2:E91,共有用1!E91))</f>
        <v/>
      </c>
      <c r="F91" s="17" t="str">
        <f>IF(共有用1!F91="","",共有用1!F91&amp;"/"&amp;COUNTIF(共有用1!F$2:F91,共有用1!F91))</f>
        <v/>
      </c>
      <c r="G91" s="17" t="str">
        <f>IF(共有用1!G91="","",共有用1!G91&amp;"/"&amp;COUNTIF(共有用1!G$2:G91,共有用1!G91))</f>
        <v/>
      </c>
      <c r="H91" s="17" t="str">
        <f>IF(共有用1!H91="","",共有用1!H91&amp;"/"&amp;COUNTIF(共有用1!H$2:H91,共有用1!H91))</f>
        <v/>
      </c>
      <c r="I91" s="17" t="str">
        <f>IF(共有用1!I91="","",共有用1!I91&amp;"/"&amp;COUNTIF(共有用1!I$2:I91,共有用1!I91))</f>
        <v/>
      </c>
      <c r="J91" s="17" t="str">
        <f>IF(共有用1!J91="","",共有用1!J91&amp;"/"&amp;COUNTIF(共有用1!J$2:J91,共有用1!J91))</f>
        <v/>
      </c>
      <c r="K91" s="17" t="str">
        <f>IF(共有用1!K91="","",共有用1!K91&amp;"/"&amp;COUNTIF(共有用1!K$2:K91,共有用1!K91))</f>
        <v/>
      </c>
      <c r="L91" s="17" t="str">
        <f>IF(共有用1!L91="","",共有用1!L91&amp;"/"&amp;COUNTIF(共有用1!L$2:L91,共有用1!L91))</f>
        <v/>
      </c>
      <c r="M91" s="17" t="str">
        <f>IF(共有用1!M91="","",共有用1!M91&amp;"/"&amp;COUNTIF(共有用1!M$2:M91,共有用1!M91))</f>
        <v/>
      </c>
      <c r="N91" s="17" t="str">
        <f>IF(共有用1!N91="","",共有用1!N91&amp;"/"&amp;COUNTIF(共有用1!N$2:N91,共有用1!N91))</f>
        <v/>
      </c>
      <c r="O91" s="17" t="str">
        <f>IF(共有用1!O91="","",共有用1!O91&amp;"/"&amp;COUNTIF(共有用1!O$2:O91,共有用1!O91))</f>
        <v/>
      </c>
      <c r="P91" s="17" t="str">
        <f>IF(共有用1!P91="","",共有用1!P91&amp;"/"&amp;COUNTIF(共有用1!P$2:P91,共有用1!P91))</f>
        <v/>
      </c>
      <c r="Q91" s="17" t="str">
        <f>IF(共有用1!Q91="","",共有用1!Q91&amp;"/"&amp;COUNTIF(共有用1!Q$2:Q91,共有用1!Q91))</f>
        <v/>
      </c>
      <c r="R91" s="17" t="str">
        <f>IF(共有用1!R91="","",共有用1!R91&amp;"/"&amp;COUNTIF(共有用1!R$2:R91,共有用1!R91))</f>
        <v/>
      </c>
      <c r="S91" s="17" t="str">
        <f>IF(共有用1!S91="","",共有用1!S91&amp;"/"&amp;COUNTIF(共有用1!S$2:S91,共有用1!S91))</f>
        <v/>
      </c>
      <c r="T91" s="17" t="str">
        <f>IF(共有用1!T91="","",共有用1!T91&amp;"/"&amp;COUNTIF(共有用1!T$2:T91,共有用1!T91))</f>
        <v/>
      </c>
      <c r="U91" s="17" t="str">
        <f>IF(共有用1!U91="","",共有用1!U91&amp;"/"&amp;COUNTIF(共有用1!U$2:U91,共有用1!U91))</f>
        <v/>
      </c>
      <c r="V91" s="17" t="str">
        <f>IF(共有用1!V91="","",共有用1!V91&amp;"/"&amp;COUNTIF(共有用1!V$2:V91,共有用1!V91))</f>
        <v/>
      </c>
      <c r="W91" s="17" t="str">
        <f>IF(共有用1!W91="","",共有用1!W91&amp;"/"&amp;COUNTIF(共有用1!W$2:W91,共有用1!W91))</f>
        <v/>
      </c>
      <c r="X91" s="17" t="str">
        <f>IF(共有用1!X91="","",共有用1!X91&amp;"/"&amp;COUNTIF(共有用1!X$2:X91,共有用1!X91))</f>
        <v/>
      </c>
      <c r="Y91" s="17" t="str">
        <f>IF(共有用1!Y91="","",共有用1!Y91&amp;"/"&amp;COUNTIF(共有用1!Y$2:Y91,共有用1!Y91))</f>
        <v/>
      </c>
      <c r="Z91" s="17" t="str">
        <f>IF(共有用1!Z91="","",共有用1!Z91&amp;"/"&amp;COUNTIF(共有用1!Z$2:Z91,共有用1!Z91))</f>
        <v/>
      </c>
      <c r="AA91" s="17" t="str">
        <f>IF(共有用1!AA91="","",共有用1!AA91&amp;"/"&amp;COUNTIF(共有用1!AA$2:AA91,共有用1!AA91))</f>
        <v/>
      </c>
      <c r="AB91" s="17" t="str">
        <f>IF(共有用1!AB91="","",共有用1!AB91&amp;"/"&amp;COUNTIF(共有用1!AB$2:AB91,共有用1!AB91))</f>
        <v/>
      </c>
      <c r="AC91" s="17" t="str">
        <f>IF(共有用1!AC91="","",共有用1!AC91&amp;"/"&amp;COUNTIF(共有用1!AC$2:AC91,共有用1!AC91))</f>
        <v/>
      </c>
      <c r="AD91" s="17" t="str">
        <f>IF(共有用1!AD91="","",共有用1!AD91&amp;"/"&amp;COUNTIF(共有用1!AD$2:AD91,共有用1!AD91))</f>
        <v/>
      </c>
      <c r="AE91" s="17" t="str">
        <f>IF(共有用1!AE91="","",共有用1!AE91&amp;"/"&amp;COUNTIF(共有用1!AE$2:AE91,共有用1!AE91))</f>
        <v/>
      </c>
      <c r="AF91" s="17" t="str">
        <f>IF(共有用1!AF91="","",共有用1!AF91&amp;"/"&amp;COUNTIF(共有用1!AF$2:AF91,共有用1!AF91))</f>
        <v/>
      </c>
      <c r="AG91" s="17" t="str">
        <f>IF(共有用1!AG91="","",共有用1!AG91&amp;"/"&amp;COUNTIF(共有用1!AG$2:AG91,共有用1!AG91))</f>
        <v/>
      </c>
      <c r="AH91" s="17" t="str">
        <f>IF(共有用1!AH91="","",共有用1!AH91&amp;"/"&amp;COUNTIF(共有用1!AH$2:AH91,共有用1!AH91))</f>
        <v/>
      </c>
      <c r="AI91" s="17" t="str">
        <f>IF(共有用1!AI91="","",共有用1!AI91&amp;"/"&amp;COUNTIF(共有用1!AI$2:AI91,共有用1!AI91))</f>
        <v/>
      </c>
      <c r="AJ91" s="17" t="str">
        <f>IF(共有用1!AJ91="","",共有用1!AJ91&amp;"/"&amp;COUNTIF(共有用1!AJ$2:AJ91,共有用1!AJ91))</f>
        <v/>
      </c>
      <c r="AK91" s="17" t="str">
        <f>IF(共有用1!AK91="","",共有用1!AK91&amp;"/"&amp;COUNTIF(共有用1!AK$2:AK91,共有用1!AK91))</f>
        <v/>
      </c>
      <c r="AL91" s="17" t="str">
        <f>IF(共有用1!AL91="","",共有用1!AL91&amp;"/"&amp;COUNTIF(共有用1!AL$2:AL91,共有用1!AL91))</f>
        <v/>
      </c>
      <c r="AM91" s="17" t="str">
        <f>IF(共有用1!AM91="","",共有用1!AM91&amp;"/"&amp;COUNTIF(共有用1!AM$2:AM91,共有用1!AM91))</f>
        <v/>
      </c>
      <c r="AN91" s="17" t="str">
        <f>IF(共有用1!AN91="","",共有用1!AN91&amp;"/"&amp;COUNTIF(共有用1!AN$2:AN91,共有用1!AN91))</f>
        <v/>
      </c>
      <c r="AO91" s="17" t="str">
        <f>IF(共有用1!AO91="","",共有用1!AO91&amp;"/"&amp;COUNTIF(共有用1!AO$2:AO91,共有用1!AO91))</f>
        <v/>
      </c>
      <c r="AP91" s="17" t="str">
        <f>IF(共有用1!AP91="","",共有用1!AP91&amp;"/"&amp;COUNTIF(共有用1!AP$2:AP91,共有用1!AP91))</f>
        <v/>
      </c>
      <c r="AQ91" s="17" t="str">
        <f>IF(共有用1!AQ91="","",共有用1!AQ91&amp;"/"&amp;COUNTIF(共有用1!AQ$2:AQ91,共有用1!AQ91))</f>
        <v/>
      </c>
      <c r="AR91" s="17" t="str">
        <f>IF(共有用1!AR91="","",共有用1!AR91&amp;"/"&amp;COUNTIF(共有用1!AR$2:AR91,共有用1!AR91))</f>
        <v/>
      </c>
      <c r="AS91" s="17" t="str">
        <f>IF(共有用1!AS91="","",共有用1!AS91&amp;"/"&amp;COUNTIF(共有用1!AS$2:AS91,共有用1!AS91))</f>
        <v/>
      </c>
      <c r="AT91" s="17" t="str">
        <f>IF(共有用1!AT91="","",共有用1!AT91&amp;"/"&amp;COUNTIF(共有用1!AT$2:AT91,共有用1!AT91))</f>
        <v/>
      </c>
      <c r="AU91" s="17" t="str">
        <f>IF(共有用1!AU91="","",共有用1!AU91&amp;"/"&amp;COUNTIF(共有用1!AU$2:AU91,共有用1!AU91))</f>
        <v/>
      </c>
      <c r="AV91" s="17" t="str">
        <f>IF(共有用1!AV91="","",共有用1!AV91&amp;"/"&amp;COUNTIF(共有用1!AV$2:AV91,共有用1!AV91))</f>
        <v/>
      </c>
      <c r="AW91" s="17" t="str">
        <f>IF(共有用1!AW91="","",共有用1!AW91&amp;"/"&amp;COUNTIF(共有用1!AW$2:AW91,共有用1!AW91))</f>
        <v/>
      </c>
      <c r="AX91" s="17" t="str">
        <f>IF(共有用1!AX91="","",共有用1!AX91&amp;"/"&amp;COUNTIF(共有用1!AX$2:AX91,共有用1!AX91))</f>
        <v/>
      </c>
      <c r="AY91" s="17" t="str">
        <f>IF(共有用1!AY91="","",共有用1!AY91&amp;"/"&amp;COUNTIF(共有用1!AY$2:AY91,共有用1!AY91))</f>
        <v/>
      </c>
      <c r="AZ91" s="17" t="str">
        <f>IF(共有用1!AZ91="","",共有用1!AZ91&amp;"/"&amp;COUNTIF(共有用1!AZ$2:AZ91,共有用1!AZ91))</f>
        <v/>
      </c>
      <c r="BA91" s="17" t="str">
        <f>IF(共有用1!BA91="","",共有用1!BA91&amp;"/"&amp;COUNTIF(共有用1!BA$2:BA91,共有用1!BA91))</f>
        <v/>
      </c>
    </row>
    <row r="92" spans="1:53">
      <c r="A92" s="2" t="str">
        <f>共有用1!A92</f>
        <v/>
      </c>
      <c r="B92" s="2" t="str">
        <f>共有用1!B92</f>
        <v/>
      </c>
      <c r="C92" s="2" t="str">
        <f>共有用1!C92</f>
        <v/>
      </c>
      <c r="D92" s="17" t="str">
        <f>IF(共有用1!D92="","",共有用1!D92&amp;"/"&amp;COUNTIF(共有用1!D$2:D92,共有用1!D92))</f>
        <v/>
      </c>
      <c r="E92" s="17" t="str">
        <f>IF(共有用1!E92="","",共有用1!E92&amp;"/"&amp;COUNTIF(共有用1!E$2:E92,共有用1!E92))</f>
        <v/>
      </c>
      <c r="F92" s="17" t="str">
        <f>IF(共有用1!F92="","",共有用1!F92&amp;"/"&amp;COUNTIF(共有用1!F$2:F92,共有用1!F92))</f>
        <v/>
      </c>
      <c r="G92" s="17" t="str">
        <f>IF(共有用1!G92="","",共有用1!G92&amp;"/"&amp;COUNTIF(共有用1!G$2:G92,共有用1!G92))</f>
        <v/>
      </c>
      <c r="H92" s="17" t="str">
        <f>IF(共有用1!H92="","",共有用1!H92&amp;"/"&amp;COUNTIF(共有用1!H$2:H92,共有用1!H92))</f>
        <v/>
      </c>
      <c r="I92" s="17" t="str">
        <f>IF(共有用1!I92="","",共有用1!I92&amp;"/"&amp;COUNTIF(共有用1!I$2:I92,共有用1!I92))</f>
        <v/>
      </c>
      <c r="J92" s="17" t="str">
        <f>IF(共有用1!J92="","",共有用1!J92&amp;"/"&amp;COUNTIF(共有用1!J$2:J92,共有用1!J92))</f>
        <v/>
      </c>
      <c r="K92" s="17" t="str">
        <f>IF(共有用1!K92="","",共有用1!K92&amp;"/"&amp;COUNTIF(共有用1!K$2:K92,共有用1!K92))</f>
        <v/>
      </c>
      <c r="L92" s="17" t="str">
        <f>IF(共有用1!L92="","",共有用1!L92&amp;"/"&amp;COUNTIF(共有用1!L$2:L92,共有用1!L92))</f>
        <v/>
      </c>
      <c r="M92" s="17" t="str">
        <f>IF(共有用1!M92="","",共有用1!M92&amp;"/"&amp;COUNTIF(共有用1!M$2:M92,共有用1!M92))</f>
        <v/>
      </c>
      <c r="N92" s="17" t="str">
        <f>IF(共有用1!N92="","",共有用1!N92&amp;"/"&amp;COUNTIF(共有用1!N$2:N92,共有用1!N92))</f>
        <v/>
      </c>
      <c r="O92" s="17" t="str">
        <f>IF(共有用1!O92="","",共有用1!O92&amp;"/"&amp;COUNTIF(共有用1!O$2:O92,共有用1!O92))</f>
        <v/>
      </c>
      <c r="P92" s="17" t="str">
        <f>IF(共有用1!P92="","",共有用1!P92&amp;"/"&amp;COUNTIF(共有用1!P$2:P92,共有用1!P92))</f>
        <v/>
      </c>
      <c r="Q92" s="17" t="str">
        <f>IF(共有用1!Q92="","",共有用1!Q92&amp;"/"&amp;COUNTIF(共有用1!Q$2:Q92,共有用1!Q92))</f>
        <v/>
      </c>
      <c r="R92" s="17" t="str">
        <f>IF(共有用1!R92="","",共有用1!R92&amp;"/"&amp;COUNTIF(共有用1!R$2:R92,共有用1!R92))</f>
        <v/>
      </c>
      <c r="S92" s="17" t="str">
        <f>IF(共有用1!S92="","",共有用1!S92&amp;"/"&amp;COUNTIF(共有用1!S$2:S92,共有用1!S92))</f>
        <v/>
      </c>
      <c r="T92" s="17" t="str">
        <f>IF(共有用1!T92="","",共有用1!T92&amp;"/"&amp;COUNTIF(共有用1!T$2:T92,共有用1!T92))</f>
        <v/>
      </c>
      <c r="U92" s="17" t="str">
        <f>IF(共有用1!U92="","",共有用1!U92&amp;"/"&amp;COUNTIF(共有用1!U$2:U92,共有用1!U92))</f>
        <v/>
      </c>
      <c r="V92" s="17" t="str">
        <f>IF(共有用1!V92="","",共有用1!V92&amp;"/"&amp;COUNTIF(共有用1!V$2:V92,共有用1!V92))</f>
        <v/>
      </c>
      <c r="W92" s="17" t="str">
        <f>IF(共有用1!W92="","",共有用1!W92&amp;"/"&amp;COUNTIF(共有用1!W$2:W92,共有用1!W92))</f>
        <v/>
      </c>
      <c r="X92" s="17" t="str">
        <f>IF(共有用1!X92="","",共有用1!X92&amp;"/"&amp;COUNTIF(共有用1!X$2:X92,共有用1!X92))</f>
        <v/>
      </c>
      <c r="Y92" s="17" t="str">
        <f>IF(共有用1!Y92="","",共有用1!Y92&amp;"/"&amp;COUNTIF(共有用1!Y$2:Y92,共有用1!Y92))</f>
        <v/>
      </c>
      <c r="Z92" s="17" t="str">
        <f>IF(共有用1!Z92="","",共有用1!Z92&amp;"/"&amp;COUNTIF(共有用1!Z$2:Z92,共有用1!Z92))</f>
        <v/>
      </c>
      <c r="AA92" s="17" t="str">
        <f>IF(共有用1!AA92="","",共有用1!AA92&amp;"/"&amp;COUNTIF(共有用1!AA$2:AA92,共有用1!AA92))</f>
        <v/>
      </c>
      <c r="AB92" s="17" t="str">
        <f>IF(共有用1!AB92="","",共有用1!AB92&amp;"/"&amp;COUNTIF(共有用1!AB$2:AB92,共有用1!AB92))</f>
        <v/>
      </c>
      <c r="AC92" s="17" t="str">
        <f>IF(共有用1!AC92="","",共有用1!AC92&amp;"/"&amp;COUNTIF(共有用1!AC$2:AC92,共有用1!AC92))</f>
        <v/>
      </c>
      <c r="AD92" s="17" t="str">
        <f>IF(共有用1!AD92="","",共有用1!AD92&amp;"/"&amp;COUNTIF(共有用1!AD$2:AD92,共有用1!AD92))</f>
        <v/>
      </c>
      <c r="AE92" s="17" t="str">
        <f>IF(共有用1!AE92="","",共有用1!AE92&amp;"/"&amp;COUNTIF(共有用1!AE$2:AE92,共有用1!AE92))</f>
        <v/>
      </c>
      <c r="AF92" s="17" t="str">
        <f>IF(共有用1!AF92="","",共有用1!AF92&amp;"/"&amp;COUNTIF(共有用1!AF$2:AF92,共有用1!AF92))</f>
        <v/>
      </c>
      <c r="AG92" s="17" t="str">
        <f>IF(共有用1!AG92="","",共有用1!AG92&amp;"/"&amp;COUNTIF(共有用1!AG$2:AG92,共有用1!AG92))</f>
        <v/>
      </c>
      <c r="AH92" s="17" t="str">
        <f>IF(共有用1!AH92="","",共有用1!AH92&amp;"/"&amp;COUNTIF(共有用1!AH$2:AH92,共有用1!AH92))</f>
        <v/>
      </c>
      <c r="AI92" s="17" t="str">
        <f>IF(共有用1!AI92="","",共有用1!AI92&amp;"/"&amp;COUNTIF(共有用1!AI$2:AI92,共有用1!AI92))</f>
        <v/>
      </c>
      <c r="AJ92" s="17" t="str">
        <f>IF(共有用1!AJ92="","",共有用1!AJ92&amp;"/"&amp;COUNTIF(共有用1!AJ$2:AJ92,共有用1!AJ92))</f>
        <v/>
      </c>
      <c r="AK92" s="17" t="str">
        <f>IF(共有用1!AK92="","",共有用1!AK92&amp;"/"&amp;COUNTIF(共有用1!AK$2:AK92,共有用1!AK92))</f>
        <v/>
      </c>
      <c r="AL92" s="17" t="str">
        <f>IF(共有用1!AL92="","",共有用1!AL92&amp;"/"&amp;COUNTIF(共有用1!AL$2:AL92,共有用1!AL92))</f>
        <v/>
      </c>
      <c r="AM92" s="17" t="str">
        <f>IF(共有用1!AM92="","",共有用1!AM92&amp;"/"&amp;COUNTIF(共有用1!AM$2:AM92,共有用1!AM92))</f>
        <v/>
      </c>
      <c r="AN92" s="17" t="str">
        <f>IF(共有用1!AN92="","",共有用1!AN92&amp;"/"&amp;COUNTIF(共有用1!AN$2:AN92,共有用1!AN92))</f>
        <v/>
      </c>
      <c r="AO92" s="17" t="str">
        <f>IF(共有用1!AO92="","",共有用1!AO92&amp;"/"&amp;COUNTIF(共有用1!AO$2:AO92,共有用1!AO92))</f>
        <v/>
      </c>
      <c r="AP92" s="17" t="str">
        <f>IF(共有用1!AP92="","",共有用1!AP92&amp;"/"&amp;COUNTIF(共有用1!AP$2:AP92,共有用1!AP92))</f>
        <v/>
      </c>
      <c r="AQ92" s="17" t="str">
        <f>IF(共有用1!AQ92="","",共有用1!AQ92&amp;"/"&amp;COUNTIF(共有用1!AQ$2:AQ92,共有用1!AQ92))</f>
        <v/>
      </c>
      <c r="AR92" s="17" t="str">
        <f>IF(共有用1!AR92="","",共有用1!AR92&amp;"/"&amp;COUNTIF(共有用1!AR$2:AR92,共有用1!AR92))</f>
        <v/>
      </c>
      <c r="AS92" s="17" t="str">
        <f>IF(共有用1!AS92="","",共有用1!AS92&amp;"/"&amp;COUNTIF(共有用1!AS$2:AS92,共有用1!AS92))</f>
        <v/>
      </c>
      <c r="AT92" s="17" t="str">
        <f>IF(共有用1!AT92="","",共有用1!AT92&amp;"/"&amp;COUNTIF(共有用1!AT$2:AT92,共有用1!AT92))</f>
        <v/>
      </c>
      <c r="AU92" s="17" t="str">
        <f>IF(共有用1!AU92="","",共有用1!AU92&amp;"/"&amp;COUNTIF(共有用1!AU$2:AU92,共有用1!AU92))</f>
        <v/>
      </c>
      <c r="AV92" s="17" t="str">
        <f>IF(共有用1!AV92="","",共有用1!AV92&amp;"/"&amp;COUNTIF(共有用1!AV$2:AV92,共有用1!AV92))</f>
        <v/>
      </c>
      <c r="AW92" s="17" t="str">
        <f>IF(共有用1!AW92="","",共有用1!AW92&amp;"/"&amp;COUNTIF(共有用1!AW$2:AW92,共有用1!AW92))</f>
        <v/>
      </c>
      <c r="AX92" s="17" t="str">
        <f>IF(共有用1!AX92="","",共有用1!AX92&amp;"/"&amp;COUNTIF(共有用1!AX$2:AX92,共有用1!AX92))</f>
        <v/>
      </c>
      <c r="AY92" s="17" t="str">
        <f>IF(共有用1!AY92="","",共有用1!AY92&amp;"/"&amp;COUNTIF(共有用1!AY$2:AY92,共有用1!AY92))</f>
        <v/>
      </c>
      <c r="AZ92" s="17" t="str">
        <f>IF(共有用1!AZ92="","",共有用1!AZ92&amp;"/"&amp;COUNTIF(共有用1!AZ$2:AZ92,共有用1!AZ92))</f>
        <v/>
      </c>
      <c r="BA92" s="17" t="str">
        <f>IF(共有用1!BA92="","",共有用1!BA92&amp;"/"&amp;COUNTIF(共有用1!BA$2:BA92,共有用1!BA92))</f>
        <v/>
      </c>
    </row>
    <row r="93" spans="1:53">
      <c r="A93" s="2" t="str">
        <f>共有用1!A93</f>
        <v/>
      </c>
      <c r="B93" s="2" t="str">
        <f>共有用1!B93</f>
        <v/>
      </c>
      <c r="C93" s="2" t="str">
        <f>共有用1!C93</f>
        <v/>
      </c>
      <c r="D93" s="17" t="str">
        <f>IF(共有用1!D93="","",共有用1!D93&amp;"/"&amp;COUNTIF(共有用1!D$2:D93,共有用1!D93))</f>
        <v/>
      </c>
      <c r="E93" s="17" t="str">
        <f>IF(共有用1!E93="","",共有用1!E93&amp;"/"&amp;COUNTIF(共有用1!E$2:E93,共有用1!E93))</f>
        <v/>
      </c>
      <c r="F93" s="17" t="str">
        <f>IF(共有用1!F93="","",共有用1!F93&amp;"/"&amp;COUNTIF(共有用1!F$2:F93,共有用1!F93))</f>
        <v/>
      </c>
      <c r="G93" s="17" t="str">
        <f>IF(共有用1!G93="","",共有用1!G93&amp;"/"&amp;COUNTIF(共有用1!G$2:G93,共有用1!G93))</f>
        <v/>
      </c>
      <c r="H93" s="17" t="str">
        <f>IF(共有用1!H93="","",共有用1!H93&amp;"/"&amp;COUNTIF(共有用1!H$2:H93,共有用1!H93))</f>
        <v/>
      </c>
      <c r="I93" s="17" t="str">
        <f>IF(共有用1!I93="","",共有用1!I93&amp;"/"&amp;COUNTIF(共有用1!I$2:I93,共有用1!I93))</f>
        <v/>
      </c>
      <c r="J93" s="17" t="str">
        <f>IF(共有用1!J93="","",共有用1!J93&amp;"/"&amp;COUNTIF(共有用1!J$2:J93,共有用1!J93))</f>
        <v/>
      </c>
      <c r="K93" s="17" t="str">
        <f>IF(共有用1!K93="","",共有用1!K93&amp;"/"&amp;COUNTIF(共有用1!K$2:K93,共有用1!K93))</f>
        <v/>
      </c>
      <c r="L93" s="17" t="str">
        <f>IF(共有用1!L93="","",共有用1!L93&amp;"/"&amp;COUNTIF(共有用1!L$2:L93,共有用1!L93))</f>
        <v/>
      </c>
      <c r="M93" s="17" t="str">
        <f>IF(共有用1!M93="","",共有用1!M93&amp;"/"&amp;COUNTIF(共有用1!M$2:M93,共有用1!M93))</f>
        <v/>
      </c>
      <c r="N93" s="17" t="str">
        <f>IF(共有用1!N93="","",共有用1!N93&amp;"/"&amp;COUNTIF(共有用1!N$2:N93,共有用1!N93))</f>
        <v/>
      </c>
      <c r="O93" s="17" t="str">
        <f>IF(共有用1!O93="","",共有用1!O93&amp;"/"&amp;COUNTIF(共有用1!O$2:O93,共有用1!O93))</f>
        <v/>
      </c>
      <c r="P93" s="17" t="str">
        <f>IF(共有用1!P93="","",共有用1!P93&amp;"/"&amp;COUNTIF(共有用1!P$2:P93,共有用1!P93))</f>
        <v/>
      </c>
      <c r="Q93" s="17" t="str">
        <f>IF(共有用1!Q93="","",共有用1!Q93&amp;"/"&amp;COUNTIF(共有用1!Q$2:Q93,共有用1!Q93))</f>
        <v/>
      </c>
      <c r="R93" s="17" t="str">
        <f>IF(共有用1!R93="","",共有用1!R93&amp;"/"&amp;COUNTIF(共有用1!R$2:R93,共有用1!R93))</f>
        <v/>
      </c>
      <c r="S93" s="17" t="str">
        <f>IF(共有用1!S93="","",共有用1!S93&amp;"/"&amp;COUNTIF(共有用1!S$2:S93,共有用1!S93))</f>
        <v/>
      </c>
      <c r="T93" s="17" t="str">
        <f>IF(共有用1!T93="","",共有用1!T93&amp;"/"&amp;COUNTIF(共有用1!T$2:T93,共有用1!T93))</f>
        <v/>
      </c>
      <c r="U93" s="17" t="str">
        <f>IF(共有用1!U93="","",共有用1!U93&amp;"/"&amp;COUNTIF(共有用1!U$2:U93,共有用1!U93))</f>
        <v/>
      </c>
      <c r="V93" s="17" t="str">
        <f>IF(共有用1!V93="","",共有用1!V93&amp;"/"&amp;COUNTIF(共有用1!V$2:V93,共有用1!V93))</f>
        <v/>
      </c>
      <c r="W93" s="17" t="str">
        <f>IF(共有用1!W93="","",共有用1!W93&amp;"/"&amp;COUNTIF(共有用1!W$2:W93,共有用1!W93))</f>
        <v/>
      </c>
      <c r="X93" s="17" t="str">
        <f>IF(共有用1!X93="","",共有用1!X93&amp;"/"&amp;COUNTIF(共有用1!X$2:X93,共有用1!X93))</f>
        <v/>
      </c>
      <c r="Y93" s="17" t="str">
        <f>IF(共有用1!Y93="","",共有用1!Y93&amp;"/"&amp;COUNTIF(共有用1!Y$2:Y93,共有用1!Y93))</f>
        <v/>
      </c>
      <c r="Z93" s="17" t="str">
        <f>IF(共有用1!Z93="","",共有用1!Z93&amp;"/"&amp;COUNTIF(共有用1!Z$2:Z93,共有用1!Z93))</f>
        <v/>
      </c>
      <c r="AA93" s="17" t="str">
        <f>IF(共有用1!AA93="","",共有用1!AA93&amp;"/"&amp;COUNTIF(共有用1!AA$2:AA93,共有用1!AA93))</f>
        <v/>
      </c>
      <c r="AB93" s="17" t="str">
        <f>IF(共有用1!AB93="","",共有用1!AB93&amp;"/"&amp;COUNTIF(共有用1!AB$2:AB93,共有用1!AB93))</f>
        <v/>
      </c>
      <c r="AC93" s="17" t="str">
        <f>IF(共有用1!AC93="","",共有用1!AC93&amp;"/"&amp;COUNTIF(共有用1!AC$2:AC93,共有用1!AC93))</f>
        <v/>
      </c>
      <c r="AD93" s="17" t="str">
        <f>IF(共有用1!AD93="","",共有用1!AD93&amp;"/"&amp;COUNTIF(共有用1!AD$2:AD93,共有用1!AD93))</f>
        <v/>
      </c>
      <c r="AE93" s="17" t="str">
        <f>IF(共有用1!AE93="","",共有用1!AE93&amp;"/"&amp;COUNTIF(共有用1!AE$2:AE93,共有用1!AE93))</f>
        <v/>
      </c>
      <c r="AF93" s="17" t="str">
        <f>IF(共有用1!AF93="","",共有用1!AF93&amp;"/"&amp;COUNTIF(共有用1!AF$2:AF93,共有用1!AF93))</f>
        <v/>
      </c>
      <c r="AG93" s="17" t="str">
        <f>IF(共有用1!AG93="","",共有用1!AG93&amp;"/"&amp;COUNTIF(共有用1!AG$2:AG93,共有用1!AG93))</f>
        <v/>
      </c>
      <c r="AH93" s="17" t="str">
        <f>IF(共有用1!AH93="","",共有用1!AH93&amp;"/"&amp;COUNTIF(共有用1!AH$2:AH93,共有用1!AH93))</f>
        <v/>
      </c>
      <c r="AI93" s="17" t="str">
        <f>IF(共有用1!AI93="","",共有用1!AI93&amp;"/"&amp;COUNTIF(共有用1!AI$2:AI93,共有用1!AI93))</f>
        <v/>
      </c>
      <c r="AJ93" s="17" t="str">
        <f>IF(共有用1!AJ93="","",共有用1!AJ93&amp;"/"&amp;COUNTIF(共有用1!AJ$2:AJ93,共有用1!AJ93))</f>
        <v/>
      </c>
      <c r="AK93" s="17" t="str">
        <f>IF(共有用1!AK93="","",共有用1!AK93&amp;"/"&amp;COUNTIF(共有用1!AK$2:AK93,共有用1!AK93))</f>
        <v/>
      </c>
      <c r="AL93" s="17" t="str">
        <f>IF(共有用1!AL93="","",共有用1!AL93&amp;"/"&amp;COUNTIF(共有用1!AL$2:AL93,共有用1!AL93))</f>
        <v/>
      </c>
      <c r="AM93" s="17" t="str">
        <f>IF(共有用1!AM93="","",共有用1!AM93&amp;"/"&amp;COUNTIF(共有用1!AM$2:AM93,共有用1!AM93))</f>
        <v/>
      </c>
      <c r="AN93" s="17" t="str">
        <f>IF(共有用1!AN93="","",共有用1!AN93&amp;"/"&amp;COUNTIF(共有用1!AN$2:AN93,共有用1!AN93))</f>
        <v/>
      </c>
      <c r="AO93" s="17" t="str">
        <f>IF(共有用1!AO93="","",共有用1!AO93&amp;"/"&amp;COUNTIF(共有用1!AO$2:AO93,共有用1!AO93))</f>
        <v/>
      </c>
      <c r="AP93" s="17" t="str">
        <f>IF(共有用1!AP93="","",共有用1!AP93&amp;"/"&amp;COUNTIF(共有用1!AP$2:AP93,共有用1!AP93))</f>
        <v/>
      </c>
      <c r="AQ93" s="17" t="str">
        <f>IF(共有用1!AQ93="","",共有用1!AQ93&amp;"/"&amp;COUNTIF(共有用1!AQ$2:AQ93,共有用1!AQ93))</f>
        <v/>
      </c>
      <c r="AR93" s="17" t="str">
        <f>IF(共有用1!AR93="","",共有用1!AR93&amp;"/"&amp;COUNTIF(共有用1!AR$2:AR93,共有用1!AR93))</f>
        <v/>
      </c>
      <c r="AS93" s="17" t="str">
        <f>IF(共有用1!AS93="","",共有用1!AS93&amp;"/"&amp;COUNTIF(共有用1!AS$2:AS93,共有用1!AS93))</f>
        <v/>
      </c>
      <c r="AT93" s="17" t="str">
        <f>IF(共有用1!AT93="","",共有用1!AT93&amp;"/"&amp;COUNTIF(共有用1!AT$2:AT93,共有用1!AT93))</f>
        <v/>
      </c>
      <c r="AU93" s="17" t="str">
        <f>IF(共有用1!AU93="","",共有用1!AU93&amp;"/"&amp;COUNTIF(共有用1!AU$2:AU93,共有用1!AU93))</f>
        <v/>
      </c>
      <c r="AV93" s="17" t="str">
        <f>IF(共有用1!AV93="","",共有用1!AV93&amp;"/"&amp;COUNTIF(共有用1!AV$2:AV93,共有用1!AV93))</f>
        <v/>
      </c>
      <c r="AW93" s="17" t="str">
        <f>IF(共有用1!AW93="","",共有用1!AW93&amp;"/"&amp;COUNTIF(共有用1!AW$2:AW93,共有用1!AW93))</f>
        <v/>
      </c>
      <c r="AX93" s="17" t="str">
        <f>IF(共有用1!AX93="","",共有用1!AX93&amp;"/"&amp;COUNTIF(共有用1!AX$2:AX93,共有用1!AX93))</f>
        <v/>
      </c>
      <c r="AY93" s="17" t="str">
        <f>IF(共有用1!AY93="","",共有用1!AY93&amp;"/"&amp;COUNTIF(共有用1!AY$2:AY93,共有用1!AY93))</f>
        <v/>
      </c>
      <c r="AZ93" s="17" t="str">
        <f>IF(共有用1!AZ93="","",共有用1!AZ93&amp;"/"&amp;COUNTIF(共有用1!AZ$2:AZ93,共有用1!AZ93))</f>
        <v/>
      </c>
      <c r="BA93" s="17" t="str">
        <f>IF(共有用1!BA93="","",共有用1!BA93&amp;"/"&amp;COUNTIF(共有用1!BA$2:BA93,共有用1!BA93))</f>
        <v/>
      </c>
    </row>
    <row r="94" spans="1:53">
      <c r="A94" s="2" t="str">
        <f>共有用1!A94</f>
        <v/>
      </c>
      <c r="B94" s="2" t="str">
        <f>共有用1!B94</f>
        <v/>
      </c>
      <c r="C94" s="2" t="str">
        <f>共有用1!C94</f>
        <v/>
      </c>
      <c r="D94" s="17" t="str">
        <f>IF(共有用1!D94="","",共有用1!D94&amp;"/"&amp;COUNTIF(共有用1!D$2:D94,共有用1!D94))</f>
        <v/>
      </c>
      <c r="E94" s="17" t="str">
        <f>IF(共有用1!E94="","",共有用1!E94&amp;"/"&amp;COUNTIF(共有用1!E$2:E94,共有用1!E94))</f>
        <v/>
      </c>
      <c r="F94" s="17" t="str">
        <f>IF(共有用1!F94="","",共有用1!F94&amp;"/"&amp;COUNTIF(共有用1!F$2:F94,共有用1!F94))</f>
        <v/>
      </c>
      <c r="G94" s="17" t="str">
        <f>IF(共有用1!G94="","",共有用1!G94&amp;"/"&amp;COUNTIF(共有用1!G$2:G94,共有用1!G94))</f>
        <v/>
      </c>
      <c r="H94" s="17" t="str">
        <f>IF(共有用1!H94="","",共有用1!H94&amp;"/"&amp;COUNTIF(共有用1!H$2:H94,共有用1!H94))</f>
        <v/>
      </c>
      <c r="I94" s="17" t="str">
        <f>IF(共有用1!I94="","",共有用1!I94&amp;"/"&amp;COUNTIF(共有用1!I$2:I94,共有用1!I94))</f>
        <v/>
      </c>
      <c r="J94" s="17" t="str">
        <f>IF(共有用1!J94="","",共有用1!J94&amp;"/"&amp;COUNTIF(共有用1!J$2:J94,共有用1!J94))</f>
        <v/>
      </c>
      <c r="K94" s="17" t="str">
        <f>IF(共有用1!K94="","",共有用1!K94&amp;"/"&amp;COUNTIF(共有用1!K$2:K94,共有用1!K94))</f>
        <v/>
      </c>
      <c r="L94" s="17" t="str">
        <f>IF(共有用1!L94="","",共有用1!L94&amp;"/"&amp;COUNTIF(共有用1!L$2:L94,共有用1!L94))</f>
        <v/>
      </c>
      <c r="M94" s="17" t="str">
        <f>IF(共有用1!M94="","",共有用1!M94&amp;"/"&amp;COUNTIF(共有用1!M$2:M94,共有用1!M94))</f>
        <v/>
      </c>
      <c r="N94" s="17" t="str">
        <f>IF(共有用1!N94="","",共有用1!N94&amp;"/"&amp;COUNTIF(共有用1!N$2:N94,共有用1!N94))</f>
        <v/>
      </c>
      <c r="O94" s="17" t="str">
        <f>IF(共有用1!O94="","",共有用1!O94&amp;"/"&amp;COUNTIF(共有用1!O$2:O94,共有用1!O94))</f>
        <v/>
      </c>
      <c r="P94" s="17" t="str">
        <f>IF(共有用1!P94="","",共有用1!P94&amp;"/"&amp;COUNTIF(共有用1!P$2:P94,共有用1!P94))</f>
        <v/>
      </c>
      <c r="Q94" s="17" t="str">
        <f>IF(共有用1!Q94="","",共有用1!Q94&amp;"/"&amp;COUNTIF(共有用1!Q$2:Q94,共有用1!Q94))</f>
        <v/>
      </c>
      <c r="R94" s="17" t="str">
        <f>IF(共有用1!R94="","",共有用1!R94&amp;"/"&amp;COUNTIF(共有用1!R$2:R94,共有用1!R94))</f>
        <v/>
      </c>
      <c r="S94" s="17" t="str">
        <f>IF(共有用1!S94="","",共有用1!S94&amp;"/"&amp;COUNTIF(共有用1!S$2:S94,共有用1!S94))</f>
        <v/>
      </c>
      <c r="T94" s="17" t="str">
        <f>IF(共有用1!T94="","",共有用1!T94&amp;"/"&amp;COUNTIF(共有用1!T$2:T94,共有用1!T94))</f>
        <v/>
      </c>
      <c r="U94" s="17" t="str">
        <f>IF(共有用1!U94="","",共有用1!U94&amp;"/"&amp;COUNTIF(共有用1!U$2:U94,共有用1!U94))</f>
        <v/>
      </c>
      <c r="V94" s="17" t="str">
        <f>IF(共有用1!V94="","",共有用1!V94&amp;"/"&amp;COUNTIF(共有用1!V$2:V94,共有用1!V94))</f>
        <v/>
      </c>
      <c r="W94" s="17" t="str">
        <f>IF(共有用1!W94="","",共有用1!W94&amp;"/"&amp;COUNTIF(共有用1!W$2:W94,共有用1!W94))</f>
        <v/>
      </c>
      <c r="X94" s="17" t="str">
        <f>IF(共有用1!X94="","",共有用1!X94&amp;"/"&amp;COUNTIF(共有用1!X$2:X94,共有用1!X94))</f>
        <v/>
      </c>
      <c r="Y94" s="17" t="str">
        <f>IF(共有用1!Y94="","",共有用1!Y94&amp;"/"&amp;COUNTIF(共有用1!Y$2:Y94,共有用1!Y94))</f>
        <v/>
      </c>
      <c r="Z94" s="17" t="str">
        <f>IF(共有用1!Z94="","",共有用1!Z94&amp;"/"&amp;COUNTIF(共有用1!Z$2:Z94,共有用1!Z94))</f>
        <v/>
      </c>
      <c r="AA94" s="17" t="str">
        <f>IF(共有用1!AA94="","",共有用1!AA94&amp;"/"&amp;COUNTIF(共有用1!AA$2:AA94,共有用1!AA94))</f>
        <v/>
      </c>
      <c r="AB94" s="17" t="str">
        <f>IF(共有用1!AB94="","",共有用1!AB94&amp;"/"&amp;COUNTIF(共有用1!AB$2:AB94,共有用1!AB94))</f>
        <v/>
      </c>
      <c r="AC94" s="17" t="str">
        <f>IF(共有用1!AC94="","",共有用1!AC94&amp;"/"&amp;COUNTIF(共有用1!AC$2:AC94,共有用1!AC94))</f>
        <v/>
      </c>
      <c r="AD94" s="17" t="str">
        <f>IF(共有用1!AD94="","",共有用1!AD94&amp;"/"&amp;COUNTIF(共有用1!AD$2:AD94,共有用1!AD94))</f>
        <v/>
      </c>
      <c r="AE94" s="17" t="str">
        <f>IF(共有用1!AE94="","",共有用1!AE94&amp;"/"&amp;COUNTIF(共有用1!AE$2:AE94,共有用1!AE94))</f>
        <v/>
      </c>
      <c r="AF94" s="17" t="str">
        <f>IF(共有用1!AF94="","",共有用1!AF94&amp;"/"&amp;COUNTIF(共有用1!AF$2:AF94,共有用1!AF94))</f>
        <v/>
      </c>
      <c r="AG94" s="17" t="str">
        <f>IF(共有用1!AG94="","",共有用1!AG94&amp;"/"&amp;COUNTIF(共有用1!AG$2:AG94,共有用1!AG94))</f>
        <v/>
      </c>
      <c r="AH94" s="17" t="str">
        <f>IF(共有用1!AH94="","",共有用1!AH94&amp;"/"&amp;COUNTIF(共有用1!AH$2:AH94,共有用1!AH94))</f>
        <v/>
      </c>
      <c r="AI94" s="17" t="str">
        <f>IF(共有用1!AI94="","",共有用1!AI94&amp;"/"&amp;COUNTIF(共有用1!AI$2:AI94,共有用1!AI94))</f>
        <v/>
      </c>
      <c r="AJ94" s="17" t="str">
        <f>IF(共有用1!AJ94="","",共有用1!AJ94&amp;"/"&amp;COUNTIF(共有用1!AJ$2:AJ94,共有用1!AJ94))</f>
        <v/>
      </c>
      <c r="AK94" s="17" t="str">
        <f>IF(共有用1!AK94="","",共有用1!AK94&amp;"/"&amp;COUNTIF(共有用1!AK$2:AK94,共有用1!AK94))</f>
        <v/>
      </c>
      <c r="AL94" s="17" t="str">
        <f>IF(共有用1!AL94="","",共有用1!AL94&amp;"/"&amp;COUNTIF(共有用1!AL$2:AL94,共有用1!AL94))</f>
        <v/>
      </c>
      <c r="AM94" s="17" t="str">
        <f>IF(共有用1!AM94="","",共有用1!AM94&amp;"/"&amp;COUNTIF(共有用1!AM$2:AM94,共有用1!AM94))</f>
        <v/>
      </c>
      <c r="AN94" s="17" t="str">
        <f>IF(共有用1!AN94="","",共有用1!AN94&amp;"/"&amp;COUNTIF(共有用1!AN$2:AN94,共有用1!AN94))</f>
        <v/>
      </c>
      <c r="AO94" s="17" t="str">
        <f>IF(共有用1!AO94="","",共有用1!AO94&amp;"/"&amp;COUNTIF(共有用1!AO$2:AO94,共有用1!AO94))</f>
        <v/>
      </c>
      <c r="AP94" s="17" t="str">
        <f>IF(共有用1!AP94="","",共有用1!AP94&amp;"/"&amp;COUNTIF(共有用1!AP$2:AP94,共有用1!AP94))</f>
        <v/>
      </c>
      <c r="AQ94" s="17" t="str">
        <f>IF(共有用1!AQ94="","",共有用1!AQ94&amp;"/"&amp;COUNTIF(共有用1!AQ$2:AQ94,共有用1!AQ94))</f>
        <v/>
      </c>
      <c r="AR94" s="17" t="str">
        <f>IF(共有用1!AR94="","",共有用1!AR94&amp;"/"&amp;COUNTIF(共有用1!AR$2:AR94,共有用1!AR94))</f>
        <v/>
      </c>
      <c r="AS94" s="17" t="str">
        <f>IF(共有用1!AS94="","",共有用1!AS94&amp;"/"&amp;COUNTIF(共有用1!AS$2:AS94,共有用1!AS94))</f>
        <v/>
      </c>
      <c r="AT94" s="17" t="str">
        <f>IF(共有用1!AT94="","",共有用1!AT94&amp;"/"&amp;COUNTIF(共有用1!AT$2:AT94,共有用1!AT94))</f>
        <v/>
      </c>
      <c r="AU94" s="17" t="str">
        <f>IF(共有用1!AU94="","",共有用1!AU94&amp;"/"&amp;COUNTIF(共有用1!AU$2:AU94,共有用1!AU94))</f>
        <v/>
      </c>
      <c r="AV94" s="17" t="str">
        <f>IF(共有用1!AV94="","",共有用1!AV94&amp;"/"&amp;COUNTIF(共有用1!AV$2:AV94,共有用1!AV94))</f>
        <v/>
      </c>
      <c r="AW94" s="17" t="str">
        <f>IF(共有用1!AW94="","",共有用1!AW94&amp;"/"&amp;COUNTIF(共有用1!AW$2:AW94,共有用1!AW94))</f>
        <v/>
      </c>
      <c r="AX94" s="17" t="str">
        <f>IF(共有用1!AX94="","",共有用1!AX94&amp;"/"&amp;COUNTIF(共有用1!AX$2:AX94,共有用1!AX94))</f>
        <v/>
      </c>
      <c r="AY94" s="17" t="str">
        <f>IF(共有用1!AY94="","",共有用1!AY94&amp;"/"&amp;COUNTIF(共有用1!AY$2:AY94,共有用1!AY94))</f>
        <v/>
      </c>
      <c r="AZ94" s="17" t="str">
        <f>IF(共有用1!AZ94="","",共有用1!AZ94&amp;"/"&amp;COUNTIF(共有用1!AZ$2:AZ94,共有用1!AZ94))</f>
        <v/>
      </c>
      <c r="BA94" s="17" t="str">
        <f>IF(共有用1!BA94="","",共有用1!BA94&amp;"/"&amp;COUNTIF(共有用1!BA$2:BA94,共有用1!BA94))</f>
        <v/>
      </c>
    </row>
    <row r="95" spans="1:53">
      <c r="A95" s="2" t="str">
        <f>共有用1!A95</f>
        <v/>
      </c>
      <c r="B95" s="2" t="str">
        <f>共有用1!B95</f>
        <v/>
      </c>
      <c r="C95" s="2" t="str">
        <f>共有用1!C95</f>
        <v/>
      </c>
      <c r="D95" s="17" t="str">
        <f>IF(共有用1!D95="","",共有用1!D95&amp;"/"&amp;COUNTIF(共有用1!D$2:D95,共有用1!D95))</f>
        <v/>
      </c>
      <c r="E95" s="17" t="str">
        <f>IF(共有用1!E95="","",共有用1!E95&amp;"/"&amp;COUNTIF(共有用1!E$2:E95,共有用1!E95))</f>
        <v/>
      </c>
      <c r="F95" s="17" t="str">
        <f>IF(共有用1!F95="","",共有用1!F95&amp;"/"&amp;COUNTIF(共有用1!F$2:F95,共有用1!F95))</f>
        <v/>
      </c>
      <c r="G95" s="17" t="str">
        <f>IF(共有用1!G95="","",共有用1!G95&amp;"/"&amp;COUNTIF(共有用1!G$2:G95,共有用1!G95))</f>
        <v/>
      </c>
      <c r="H95" s="17" t="str">
        <f>IF(共有用1!H95="","",共有用1!H95&amp;"/"&amp;COUNTIF(共有用1!H$2:H95,共有用1!H95))</f>
        <v/>
      </c>
      <c r="I95" s="17" t="str">
        <f>IF(共有用1!I95="","",共有用1!I95&amp;"/"&amp;COUNTIF(共有用1!I$2:I95,共有用1!I95))</f>
        <v/>
      </c>
      <c r="J95" s="17" t="str">
        <f>IF(共有用1!J95="","",共有用1!J95&amp;"/"&amp;COUNTIF(共有用1!J$2:J95,共有用1!J95))</f>
        <v/>
      </c>
      <c r="K95" s="17" t="str">
        <f>IF(共有用1!K95="","",共有用1!K95&amp;"/"&amp;COUNTIF(共有用1!K$2:K95,共有用1!K95))</f>
        <v/>
      </c>
      <c r="L95" s="17" t="str">
        <f>IF(共有用1!L95="","",共有用1!L95&amp;"/"&amp;COUNTIF(共有用1!L$2:L95,共有用1!L95))</f>
        <v/>
      </c>
      <c r="M95" s="17" t="str">
        <f>IF(共有用1!M95="","",共有用1!M95&amp;"/"&amp;COUNTIF(共有用1!M$2:M95,共有用1!M95))</f>
        <v/>
      </c>
      <c r="N95" s="17" t="str">
        <f>IF(共有用1!N95="","",共有用1!N95&amp;"/"&amp;COUNTIF(共有用1!N$2:N95,共有用1!N95))</f>
        <v/>
      </c>
      <c r="O95" s="17" t="str">
        <f>IF(共有用1!O95="","",共有用1!O95&amp;"/"&amp;COUNTIF(共有用1!O$2:O95,共有用1!O95))</f>
        <v/>
      </c>
      <c r="P95" s="17" t="str">
        <f>IF(共有用1!P95="","",共有用1!P95&amp;"/"&amp;COUNTIF(共有用1!P$2:P95,共有用1!P95))</f>
        <v/>
      </c>
      <c r="Q95" s="17" t="str">
        <f>IF(共有用1!Q95="","",共有用1!Q95&amp;"/"&amp;COUNTIF(共有用1!Q$2:Q95,共有用1!Q95))</f>
        <v/>
      </c>
      <c r="R95" s="17" t="str">
        <f>IF(共有用1!R95="","",共有用1!R95&amp;"/"&amp;COUNTIF(共有用1!R$2:R95,共有用1!R95))</f>
        <v/>
      </c>
      <c r="S95" s="17" t="str">
        <f>IF(共有用1!S95="","",共有用1!S95&amp;"/"&amp;COUNTIF(共有用1!S$2:S95,共有用1!S95))</f>
        <v/>
      </c>
      <c r="T95" s="17" t="str">
        <f>IF(共有用1!T95="","",共有用1!T95&amp;"/"&amp;COUNTIF(共有用1!T$2:T95,共有用1!T95))</f>
        <v/>
      </c>
      <c r="U95" s="17" t="str">
        <f>IF(共有用1!U95="","",共有用1!U95&amp;"/"&amp;COUNTIF(共有用1!U$2:U95,共有用1!U95))</f>
        <v/>
      </c>
      <c r="V95" s="17" t="str">
        <f>IF(共有用1!V95="","",共有用1!V95&amp;"/"&amp;COUNTIF(共有用1!V$2:V95,共有用1!V95))</f>
        <v/>
      </c>
      <c r="W95" s="17" t="str">
        <f>IF(共有用1!W95="","",共有用1!W95&amp;"/"&amp;COUNTIF(共有用1!W$2:W95,共有用1!W95))</f>
        <v/>
      </c>
      <c r="X95" s="17" t="str">
        <f>IF(共有用1!X95="","",共有用1!X95&amp;"/"&amp;COUNTIF(共有用1!X$2:X95,共有用1!X95))</f>
        <v/>
      </c>
      <c r="Y95" s="17" t="str">
        <f>IF(共有用1!Y95="","",共有用1!Y95&amp;"/"&amp;COUNTIF(共有用1!Y$2:Y95,共有用1!Y95))</f>
        <v/>
      </c>
      <c r="Z95" s="17" t="str">
        <f>IF(共有用1!Z95="","",共有用1!Z95&amp;"/"&amp;COUNTIF(共有用1!Z$2:Z95,共有用1!Z95))</f>
        <v/>
      </c>
      <c r="AA95" s="17" t="str">
        <f>IF(共有用1!AA95="","",共有用1!AA95&amp;"/"&amp;COUNTIF(共有用1!AA$2:AA95,共有用1!AA95))</f>
        <v/>
      </c>
      <c r="AB95" s="17" t="str">
        <f>IF(共有用1!AB95="","",共有用1!AB95&amp;"/"&amp;COUNTIF(共有用1!AB$2:AB95,共有用1!AB95))</f>
        <v/>
      </c>
      <c r="AC95" s="17" t="str">
        <f>IF(共有用1!AC95="","",共有用1!AC95&amp;"/"&amp;COUNTIF(共有用1!AC$2:AC95,共有用1!AC95))</f>
        <v/>
      </c>
      <c r="AD95" s="17" t="str">
        <f>IF(共有用1!AD95="","",共有用1!AD95&amp;"/"&amp;COUNTIF(共有用1!AD$2:AD95,共有用1!AD95))</f>
        <v/>
      </c>
      <c r="AE95" s="17" t="str">
        <f>IF(共有用1!AE95="","",共有用1!AE95&amp;"/"&amp;COUNTIF(共有用1!AE$2:AE95,共有用1!AE95))</f>
        <v/>
      </c>
      <c r="AF95" s="17" t="str">
        <f>IF(共有用1!AF95="","",共有用1!AF95&amp;"/"&amp;COUNTIF(共有用1!AF$2:AF95,共有用1!AF95))</f>
        <v/>
      </c>
      <c r="AG95" s="17" t="str">
        <f>IF(共有用1!AG95="","",共有用1!AG95&amp;"/"&amp;COUNTIF(共有用1!AG$2:AG95,共有用1!AG95))</f>
        <v/>
      </c>
      <c r="AH95" s="17" t="str">
        <f>IF(共有用1!AH95="","",共有用1!AH95&amp;"/"&amp;COUNTIF(共有用1!AH$2:AH95,共有用1!AH95))</f>
        <v/>
      </c>
      <c r="AI95" s="17" t="str">
        <f>IF(共有用1!AI95="","",共有用1!AI95&amp;"/"&amp;COUNTIF(共有用1!AI$2:AI95,共有用1!AI95))</f>
        <v/>
      </c>
      <c r="AJ95" s="17" t="str">
        <f>IF(共有用1!AJ95="","",共有用1!AJ95&amp;"/"&amp;COUNTIF(共有用1!AJ$2:AJ95,共有用1!AJ95))</f>
        <v/>
      </c>
      <c r="AK95" s="17" t="str">
        <f>IF(共有用1!AK95="","",共有用1!AK95&amp;"/"&amp;COUNTIF(共有用1!AK$2:AK95,共有用1!AK95))</f>
        <v/>
      </c>
      <c r="AL95" s="17" t="str">
        <f>IF(共有用1!AL95="","",共有用1!AL95&amp;"/"&amp;COUNTIF(共有用1!AL$2:AL95,共有用1!AL95))</f>
        <v/>
      </c>
      <c r="AM95" s="17" t="str">
        <f>IF(共有用1!AM95="","",共有用1!AM95&amp;"/"&amp;COUNTIF(共有用1!AM$2:AM95,共有用1!AM95))</f>
        <v/>
      </c>
      <c r="AN95" s="17" t="str">
        <f>IF(共有用1!AN95="","",共有用1!AN95&amp;"/"&amp;COUNTIF(共有用1!AN$2:AN95,共有用1!AN95))</f>
        <v/>
      </c>
      <c r="AO95" s="17" t="str">
        <f>IF(共有用1!AO95="","",共有用1!AO95&amp;"/"&amp;COUNTIF(共有用1!AO$2:AO95,共有用1!AO95))</f>
        <v/>
      </c>
      <c r="AP95" s="17" t="str">
        <f>IF(共有用1!AP95="","",共有用1!AP95&amp;"/"&amp;COUNTIF(共有用1!AP$2:AP95,共有用1!AP95))</f>
        <v/>
      </c>
      <c r="AQ95" s="17" t="str">
        <f>IF(共有用1!AQ95="","",共有用1!AQ95&amp;"/"&amp;COUNTIF(共有用1!AQ$2:AQ95,共有用1!AQ95))</f>
        <v/>
      </c>
      <c r="AR95" s="17" t="str">
        <f>IF(共有用1!AR95="","",共有用1!AR95&amp;"/"&amp;COUNTIF(共有用1!AR$2:AR95,共有用1!AR95))</f>
        <v/>
      </c>
      <c r="AS95" s="17" t="str">
        <f>IF(共有用1!AS95="","",共有用1!AS95&amp;"/"&amp;COUNTIF(共有用1!AS$2:AS95,共有用1!AS95))</f>
        <v/>
      </c>
      <c r="AT95" s="17" t="str">
        <f>IF(共有用1!AT95="","",共有用1!AT95&amp;"/"&amp;COUNTIF(共有用1!AT$2:AT95,共有用1!AT95))</f>
        <v/>
      </c>
      <c r="AU95" s="17" t="str">
        <f>IF(共有用1!AU95="","",共有用1!AU95&amp;"/"&amp;COUNTIF(共有用1!AU$2:AU95,共有用1!AU95))</f>
        <v/>
      </c>
      <c r="AV95" s="17" t="str">
        <f>IF(共有用1!AV95="","",共有用1!AV95&amp;"/"&amp;COUNTIF(共有用1!AV$2:AV95,共有用1!AV95))</f>
        <v/>
      </c>
      <c r="AW95" s="17" t="str">
        <f>IF(共有用1!AW95="","",共有用1!AW95&amp;"/"&amp;COUNTIF(共有用1!AW$2:AW95,共有用1!AW95))</f>
        <v/>
      </c>
      <c r="AX95" s="17" t="str">
        <f>IF(共有用1!AX95="","",共有用1!AX95&amp;"/"&amp;COUNTIF(共有用1!AX$2:AX95,共有用1!AX95))</f>
        <v/>
      </c>
      <c r="AY95" s="17" t="str">
        <f>IF(共有用1!AY95="","",共有用1!AY95&amp;"/"&amp;COUNTIF(共有用1!AY$2:AY95,共有用1!AY95))</f>
        <v/>
      </c>
      <c r="AZ95" s="17" t="str">
        <f>IF(共有用1!AZ95="","",共有用1!AZ95&amp;"/"&amp;COUNTIF(共有用1!AZ$2:AZ95,共有用1!AZ95))</f>
        <v/>
      </c>
      <c r="BA95" s="17" t="str">
        <f>IF(共有用1!BA95="","",共有用1!BA95&amp;"/"&amp;COUNTIF(共有用1!BA$2:BA95,共有用1!BA95))</f>
        <v/>
      </c>
    </row>
    <row r="96" spans="1:53">
      <c r="A96" s="2" t="str">
        <f>共有用1!A96</f>
        <v/>
      </c>
      <c r="B96" s="2" t="str">
        <f>共有用1!B96</f>
        <v/>
      </c>
      <c r="C96" s="2" t="str">
        <f>共有用1!C96</f>
        <v/>
      </c>
      <c r="D96" s="17" t="str">
        <f>IF(共有用1!D96="","",共有用1!D96&amp;"/"&amp;COUNTIF(共有用1!D$2:D96,共有用1!D96))</f>
        <v/>
      </c>
      <c r="E96" s="17" t="str">
        <f>IF(共有用1!E96="","",共有用1!E96&amp;"/"&amp;COUNTIF(共有用1!E$2:E96,共有用1!E96))</f>
        <v/>
      </c>
      <c r="F96" s="17" t="str">
        <f>IF(共有用1!F96="","",共有用1!F96&amp;"/"&amp;COUNTIF(共有用1!F$2:F96,共有用1!F96))</f>
        <v/>
      </c>
      <c r="G96" s="17" t="str">
        <f>IF(共有用1!G96="","",共有用1!G96&amp;"/"&amp;COUNTIF(共有用1!G$2:G96,共有用1!G96))</f>
        <v/>
      </c>
      <c r="H96" s="17" t="str">
        <f>IF(共有用1!H96="","",共有用1!H96&amp;"/"&amp;COUNTIF(共有用1!H$2:H96,共有用1!H96))</f>
        <v/>
      </c>
      <c r="I96" s="17" t="str">
        <f>IF(共有用1!I96="","",共有用1!I96&amp;"/"&amp;COUNTIF(共有用1!I$2:I96,共有用1!I96))</f>
        <v/>
      </c>
      <c r="J96" s="17" t="str">
        <f>IF(共有用1!J96="","",共有用1!J96&amp;"/"&amp;COUNTIF(共有用1!J$2:J96,共有用1!J96))</f>
        <v/>
      </c>
      <c r="K96" s="17" t="str">
        <f>IF(共有用1!K96="","",共有用1!K96&amp;"/"&amp;COUNTIF(共有用1!K$2:K96,共有用1!K96))</f>
        <v/>
      </c>
      <c r="L96" s="17" t="str">
        <f>IF(共有用1!L96="","",共有用1!L96&amp;"/"&amp;COUNTIF(共有用1!L$2:L96,共有用1!L96))</f>
        <v/>
      </c>
      <c r="M96" s="17" t="str">
        <f>IF(共有用1!M96="","",共有用1!M96&amp;"/"&amp;COUNTIF(共有用1!M$2:M96,共有用1!M96))</f>
        <v/>
      </c>
      <c r="N96" s="17" t="str">
        <f>IF(共有用1!N96="","",共有用1!N96&amp;"/"&amp;COUNTIF(共有用1!N$2:N96,共有用1!N96))</f>
        <v/>
      </c>
      <c r="O96" s="17" t="str">
        <f>IF(共有用1!O96="","",共有用1!O96&amp;"/"&amp;COUNTIF(共有用1!O$2:O96,共有用1!O96))</f>
        <v/>
      </c>
      <c r="P96" s="17" t="str">
        <f>IF(共有用1!P96="","",共有用1!P96&amp;"/"&amp;COUNTIF(共有用1!P$2:P96,共有用1!P96))</f>
        <v/>
      </c>
      <c r="Q96" s="17" t="str">
        <f>IF(共有用1!Q96="","",共有用1!Q96&amp;"/"&amp;COUNTIF(共有用1!Q$2:Q96,共有用1!Q96))</f>
        <v/>
      </c>
      <c r="R96" s="17" t="str">
        <f>IF(共有用1!R96="","",共有用1!R96&amp;"/"&amp;COUNTIF(共有用1!R$2:R96,共有用1!R96))</f>
        <v/>
      </c>
      <c r="S96" s="17" t="str">
        <f>IF(共有用1!S96="","",共有用1!S96&amp;"/"&amp;COUNTIF(共有用1!S$2:S96,共有用1!S96))</f>
        <v/>
      </c>
      <c r="T96" s="17" t="str">
        <f>IF(共有用1!T96="","",共有用1!T96&amp;"/"&amp;COUNTIF(共有用1!T$2:T96,共有用1!T96))</f>
        <v/>
      </c>
      <c r="U96" s="17" t="str">
        <f>IF(共有用1!U96="","",共有用1!U96&amp;"/"&amp;COUNTIF(共有用1!U$2:U96,共有用1!U96))</f>
        <v/>
      </c>
      <c r="V96" s="17" t="str">
        <f>IF(共有用1!V96="","",共有用1!V96&amp;"/"&amp;COUNTIF(共有用1!V$2:V96,共有用1!V96))</f>
        <v/>
      </c>
      <c r="W96" s="17" t="str">
        <f>IF(共有用1!W96="","",共有用1!W96&amp;"/"&amp;COUNTIF(共有用1!W$2:W96,共有用1!W96))</f>
        <v/>
      </c>
      <c r="X96" s="17" t="str">
        <f>IF(共有用1!X96="","",共有用1!X96&amp;"/"&amp;COUNTIF(共有用1!X$2:X96,共有用1!X96))</f>
        <v/>
      </c>
      <c r="Y96" s="17" t="str">
        <f>IF(共有用1!Y96="","",共有用1!Y96&amp;"/"&amp;COUNTIF(共有用1!Y$2:Y96,共有用1!Y96))</f>
        <v/>
      </c>
      <c r="Z96" s="17" t="str">
        <f>IF(共有用1!Z96="","",共有用1!Z96&amp;"/"&amp;COUNTIF(共有用1!Z$2:Z96,共有用1!Z96))</f>
        <v/>
      </c>
      <c r="AA96" s="17" t="str">
        <f>IF(共有用1!AA96="","",共有用1!AA96&amp;"/"&amp;COUNTIF(共有用1!AA$2:AA96,共有用1!AA96))</f>
        <v/>
      </c>
      <c r="AB96" s="17" t="str">
        <f>IF(共有用1!AB96="","",共有用1!AB96&amp;"/"&amp;COUNTIF(共有用1!AB$2:AB96,共有用1!AB96))</f>
        <v/>
      </c>
      <c r="AC96" s="17" t="str">
        <f>IF(共有用1!AC96="","",共有用1!AC96&amp;"/"&amp;COUNTIF(共有用1!AC$2:AC96,共有用1!AC96))</f>
        <v/>
      </c>
      <c r="AD96" s="17" t="str">
        <f>IF(共有用1!AD96="","",共有用1!AD96&amp;"/"&amp;COUNTIF(共有用1!AD$2:AD96,共有用1!AD96))</f>
        <v/>
      </c>
      <c r="AE96" s="17" t="str">
        <f>IF(共有用1!AE96="","",共有用1!AE96&amp;"/"&amp;COUNTIF(共有用1!AE$2:AE96,共有用1!AE96))</f>
        <v/>
      </c>
      <c r="AF96" s="17" t="str">
        <f>IF(共有用1!AF96="","",共有用1!AF96&amp;"/"&amp;COUNTIF(共有用1!AF$2:AF96,共有用1!AF96))</f>
        <v/>
      </c>
      <c r="AG96" s="17" t="str">
        <f>IF(共有用1!AG96="","",共有用1!AG96&amp;"/"&amp;COUNTIF(共有用1!AG$2:AG96,共有用1!AG96))</f>
        <v/>
      </c>
      <c r="AH96" s="17" t="str">
        <f>IF(共有用1!AH96="","",共有用1!AH96&amp;"/"&amp;COUNTIF(共有用1!AH$2:AH96,共有用1!AH96))</f>
        <v/>
      </c>
      <c r="AI96" s="17" t="str">
        <f>IF(共有用1!AI96="","",共有用1!AI96&amp;"/"&amp;COUNTIF(共有用1!AI$2:AI96,共有用1!AI96))</f>
        <v/>
      </c>
      <c r="AJ96" s="17" t="str">
        <f>IF(共有用1!AJ96="","",共有用1!AJ96&amp;"/"&amp;COUNTIF(共有用1!AJ$2:AJ96,共有用1!AJ96))</f>
        <v/>
      </c>
      <c r="AK96" s="17" t="str">
        <f>IF(共有用1!AK96="","",共有用1!AK96&amp;"/"&amp;COUNTIF(共有用1!AK$2:AK96,共有用1!AK96))</f>
        <v/>
      </c>
      <c r="AL96" s="17" t="str">
        <f>IF(共有用1!AL96="","",共有用1!AL96&amp;"/"&amp;COUNTIF(共有用1!AL$2:AL96,共有用1!AL96))</f>
        <v/>
      </c>
      <c r="AM96" s="17" t="str">
        <f>IF(共有用1!AM96="","",共有用1!AM96&amp;"/"&amp;COUNTIF(共有用1!AM$2:AM96,共有用1!AM96))</f>
        <v/>
      </c>
      <c r="AN96" s="17" t="str">
        <f>IF(共有用1!AN96="","",共有用1!AN96&amp;"/"&amp;COUNTIF(共有用1!AN$2:AN96,共有用1!AN96))</f>
        <v/>
      </c>
      <c r="AO96" s="17" t="str">
        <f>IF(共有用1!AO96="","",共有用1!AO96&amp;"/"&amp;COUNTIF(共有用1!AO$2:AO96,共有用1!AO96))</f>
        <v/>
      </c>
      <c r="AP96" s="17" t="str">
        <f>IF(共有用1!AP96="","",共有用1!AP96&amp;"/"&amp;COUNTIF(共有用1!AP$2:AP96,共有用1!AP96))</f>
        <v/>
      </c>
      <c r="AQ96" s="17" t="str">
        <f>IF(共有用1!AQ96="","",共有用1!AQ96&amp;"/"&amp;COUNTIF(共有用1!AQ$2:AQ96,共有用1!AQ96))</f>
        <v/>
      </c>
      <c r="AR96" s="17" t="str">
        <f>IF(共有用1!AR96="","",共有用1!AR96&amp;"/"&amp;COUNTIF(共有用1!AR$2:AR96,共有用1!AR96))</f>
        <v/>
      </c>
      <c r="AS96" s="17" t="str">
        <f>IF(共有用1!AS96="","",共有用1!AS96&amp;"/"&amp;COUNTIF(共有用1!AS$2:AS96,共有用1!AS96))</f>
        <v/>
      </c>
      <c r="AT96" s="17" t="str">
        <f>IF(共有用1!AT96="","",共有用1!AT96&amp;"/"&amp;COUNTIF(共有用1!AT$2:AT96,共有用1!AT96))</f>
        <v/>
      </c>
      <c r="AU96" s="17" t="str">
        <f>IF(共有用1!AU96="","",共有用1!AU96&amp;"/"&amp;COUNTIF(共有用1!AU$2:AU96,共有用1!AU96))</f>
        <v/>
      </c>
      <c r="AV96" s="17" t="str">
        <f>IF(共有用1!AV96="","",共有用1!AV96&amp;"/"&amp;COUNTIF(共有用1!AV$2:AV96,共有用1!AV96))</f>
        <v/>
      </c>
      <c r="AW96" s="17" t="str">
        <f>IF(共有用1!AW96="","",共有用1!AW96&amp;"/"&amp;COUNTIF(共有用1!AW$2:AW96,共有用1!AW96))</f>
        <v/>
      </c>
      <c r="AX96" s="17" t="str">
        <f>IF(共有用1!AX96="","",共有用1!AX96&amp;"/"&amp;COUNTIF(共有用1!AX$2:AX96,共有用1!AX96))</f>
        <v/>
      </c>
      <c r="AY96" s="17" t="str">
        <f>IF(共有用1!AY96="","",共有用1!AY96&amp;"/"&amp;COUNTIF(共有用1!AY$2:AY96,共有用1!AY96))</f>
        <v/>
      </c>
      <c r="AZ96" s="17" t="str">
        <f>IF(共有用1!AZ96="","",共有用1!AZ96&amp;"/"&amp;COUNTIF(共有用1!AZ$2:AZ96,共有用1!AZ96))</f>
        <v/>
      </c>
      <c r="BA96" s="17" t="str">
        <f>IF(共有用1!BA96="","",共有用1!BA96&amp;"/"&amp;COUNTIF(共有用1!BA$2:BA96,共有用1!BA96))</f>
        <v/>
      </c>
    </row>
    <row r="97" spans="1:53">
      <c r="A97" s="2" t="str">
        <f>共有用1!A97</f>
        <v/>
      </c>
      <c r="B97" s="2" t="str">
        <f>共有用1!B97</f>
        <v/>
      </c>
      <c r="C97" s="2" t="str">
        <f>共有用1!C97</f>
        <v/>
      </c>
      <c r="D97" s="17" t="str">
        <f>IF(共有用1!D97="","",共有用1!D97&amp;"/"&amp;COUNTIF(共有用1!D$2:D97,共有用1!D97))</f>
        <v/>
      </c>
      <c r="E97" s="17" t="str">
        <f>IF(共有用1!E97="","",共有用1!E97&amp;"/"&amp;COUNTIF(共有用1!E$2:E97,共有用1!E97))</f>
        <v/>
      </c>
      <c r="F97" s="17" t="str">
        <f>IF(共有用1!F97="","",共有用1!F97&amp;"/"&amp;COUNTIF(共有用1!F$2:F97,共有用1!F97))</f>
        <v/>
      </c>
      <c r="G97" s="17" t="str">
        <f>IF(共有用1!G97="","",共有用1!G97&amp;"/"&amp;COUNTIF(共有用1!G$2:G97,共有用1!G97))</f>
        <v/>
      </c>
      <c r="H97" s="17" t="str">
        <f>IF(共有用1!H97="","",共有用1!H97&amp;"/"&amp;COUNTIF(共有用1!H$2:H97,共有用1!H97))</f>
        <v/>
      </c>
      <c r="I97" s="17" t="str">
        <f>IF(共有用1!I97="","",共有用1!I97&amp;"/"&amp;COUNTIF(共有用1!I$2:I97,共有用1!I97))</f>
        <v/>
      </c>
      <c r="J97" s="17" t="str">
        <f>IF(共有用1!J97="","",共有用1!J97&amp;"/"&amp;COUNTIF(共有用1!J$2:J97,共有用1!J97))</f>
        <v/>
      </c>
      <c r="K97" s="17" t="str">
        <f>IF(共有用1!K97="","",共有用1!K97&amp;"/"&amp;COUNTIF(共有用1!K$2:K97,共有用1!K97))</f>
        <v/>
      </c>
      <c r="L97" s="17" t="str">
        <f>IF(共有用1!L97="","",共有用1!L97&amp;"/"&amp;COUNTIF(共有用1!L$2:L97,共有用1!L97))</f>
        <v/>
      </c>
      <c r="M97" s="17" t="str">
        <f>IF(共有用1!M97="","",共有用1!M97&amp;"/"&amp;COUNTIF(共有用1!M$2:M97,共有用1!M97))</f>
        <v/>
      </c>
      <c r="N97" s="17" t="str">
        <f>IF(共有用1!N97="","",共有用1!N97&amp;"/"&amp;COUNTIF(共有用1!N$2:N97,共有用1!N97))</f>
        <v/>
      </c>
      <c r="O97" s="17" t="str">
        <f>IF(共有用1!O97="","",共有用1!O97&amp;"/"&amp;COUNTIF(共有用1!O$2:O97,共有用1!O97))</f>
        <v/>
      </c>
      <c r="P97" s="17" t="str">
        <f>IF(共有用1!P97="","",共有用1!P97&amp;"/"&amp;COUNTIF(共有用1!P$2:P97,共有用1!P97))</f>
        <v/>
      </c>
      <c r="Q97" s="17" t="str">
        <f>IF(共有用1!Q97="","",共有用1!Q97&amp;"/"&amp;COUNTIF(共有用1!Q$2:Q97,共有用1!Q97))</f>
        <v/>
      </c>
      <c r="R97" s="17" t="str">
        <f>IF(共有用1!R97="","",共有用1!R97&amp;"/"&amp;COUNTIF(共有用1!R$2:R97,共有用1!R97))</f>
        <v/>
      </c>
      <c r="S97" s="17" t="str">
        <f>IF(共有用1!S97="","",共有用1!S97&amp;"/"&amp;COUNTIF(共有用1!S$2:S97,共有用1!S97))</f>
        <v/>
      </c>
      <c r="T97" s="17" t="str">
        <f>IF(共有用1!T97="","",共有用1!T97&amp;"/"&amp;COUNTIF(共有用1!T$2:T97,共有用1!T97))</f>
        <v/>
      </c>
      <c r="U97" s="17" t="str">
        <f>IF(共有用1!U97="","",共有用1!U97&amp;"/"&amp;COUNTIF(共有用1!U$2:U97,共有用1!U97))</f>
        <v/>
      </c>
      <c r="V97" s="17" t="str">
        <f>IF(共有用1!V97="","",共有用1!V97&amp;"/"&amp;COUNTIF(共有用1!V$2:V97,共有用1!V97))</f>
        <v/>
      </c>
      <c r="W97" s="17" t="str">
        <f>IF(共有用1!W97="","",共有用1!W97&amp;"/"&amp;COUNTIF(共有用1!W$2:W97,共有用1!W97))</f>
        <v/>
      </c>
      <c r="X97" s="17" t="str">
        <f>IF(共有用1!X97="","",共有用1!X97&amp;"/"&amp;COUNTIF(共有用1!X$2:X97,共有用1!X97))</f>
        <v/>
      </c>
      <c r="Y97" s="17" t="str">
        <f>IF(共有用1!Y97="","",共有用1!Y97&amp;"/"&amp;COUNTIF(共有用1!Y$2:Y97,共有用1!Y97))</f>
        <v/>
      </c>
      <c r="Z97" s="17" t="str">
        <f>IF(共有用1!Z97="","",共有用1!Z97&amp;"/"&amp;COUNTIF(共有用1!Z$2:Z97,共有用1!Z97))</f>
        <v/>
      </c>
      <c r="AA97" s="17" t="str">
        <f>IF(共有用1!AA97="","",共有用1!AA97&amp;"/"&amp;COUNTIF(共有用1!AA$2:AA97,共有用1!AA97))</f>
        <v/>
      </c>
      <c r="AB97" s="17" t="str">
        <f>IF(共有用1!AB97="","",共有用1!AB97&amp;"/"&amp;COUNTIF(共有用1!AB$2:AB97,共有用1!AB97))</f>
        <v/>
      </c>
      <c r="AC97" s="17" t="str">
        <f>IF(共有用1!AC97="","",共有用1!AC97&amp;"/"&amp;COUNTIF(共有用1!AC$2:AC97,共有用1!AC97))</f>
        <v/>
      </c>
      <c r="AD97" s="17" t="str">
        <f>IF(共有用1!AD97="","",共有用1!AD97&amp;"/"&amp;COUNTIF(共有用1!AD$2:AD97,共有用1!AD97))</f>
        <v/>
      </c>
      <c r="AE97" s="17" t="str">
        <f>IF(共有用1!AE97="","",共有用1!AE97&amp;"/"&amp;COUNTIF(共有用1!AE$2:AE97,共有用1!AE97))</f>
        <v/>
      </c>
      <c r="AF97" s="17" t="str">
        <f>IF(共有用1!AF97="","",共有用1!AF97&amp;"/"&amp;COUNTIF(共有用1!AF$2:AF97,共有用1!AF97))</f>
        <v/>
      </c>
      <c r="AG97" s="17" t="str">
        <f>IF(共有用1!AG97="","",共有用1!AG97&amp;"/"&amp;COUNTIF(共有用1!AG$2:AG97,共有用1!AG97))</f>
        <v/>
      </c>
      <c r="AH97" s="17" t="str">
        <f>IF(共有用1!AH97="","",共有用1!AH97&amp;"/"&amp;COUNTIF(共有用1!AH$2:AH97,共有用1!AH97))</f>
        <v/>
      </c>
      <c r="AI97" s="17" t="str">
        <f>IF(共有用1!AI97="","",共有用1!AI97&amp;"/"&amp;COUNTIF(共有用1!AI$2:AI97,共有用1!AI97))</f>
        <v/>
      </c>
      <c r="AJ97" s="17" t="str">
        <f>IF(共有用1!AJ97="","",共有用1!AJ97&amp;"/"&amp;COUNTIF(共有用1!AJ$2:AJ97,共有用1!AJ97))</f>
        <v/>
      </c>
      <c r="AK97" s="17" t="str">
        <f>IF(共有用1!AK97="","",共有用1!AK97&amp;"/"&amp;COUNTIF(共有用1!AK$2:AK97,共有用1!AK97))</f>
        <v/>
      </c>
      <c r="AL97" s="17" t="str">
        <f>IF(共有用1!AL97="","",共有用1!AL97&amp;"/"&amp;COUNTIF(共有用1!AL$2:AL97,共有用1!AL97))</f>
        <v/>
      </c>
      <c r="AM97" s="17" t="str">
        <f>IF(共有用1!AM97="","",共有用1!AM97&amp;"/"&amp;COUNTIF(共有用1!AM$2:AM97,共有用1!AM97))</f>
        <v/>
      </c>
      <c r="AN97" s="17" t="str">
        <f>IF(共有用1!AN97="","",共有用1!AN97&amp;"/"&amp;COUNTIF(共有用1!AN$2:AN97,共有用1!AN97))</f>
        <v/>
      </c>
      <c r="AO97" s="17" t="str">
        <f>IF(共有用1!AO97="","",共有用1!AO97&amp;"/"&amp;COUNTIF(共有用1!AO$2:AO97,共有用1!AO97))</f>
        <v/>
      </c>
      <c r="AP97" s="17" t="str">
        <f>IF(共有用1!AP97="","",共有用1!AP97&amp;"/"&amp;COUNTIF(共有用1!AP$2:AP97,共有用1!AP97))</f>
        <v/>
      </c>
      <c r="AQ97" s="17" t="str">
        <f>IF(共有用1!AQ97="","",共有用1!AQ97&amp;"/"&amp;COUNTIF(共有用1!AQ$2:AQ97,共有用1!AQ97))</f>
        <v/>
      </c>
      <c r="AR97" s="17" t="str">
        <f>IF(共有用1!AR97="","",共有用1!AR97&amp;"/"&amp;COUNTIF(共有用1!AR$2:AR97,共有用1!AR97))</f>
        <v/>
      </c>
      <c r="AS97" s="17" t="str">
        <f>IF(共有用1!AS97="","",共有用1!AS97&amp;"/"&amp;COUNTIF(共有用1!AS$2:AS97,共有用1!AS97))</f>
        <v/>
      </c>
      <c r="AT97" s="17" t="str">
        <f>IF(共有用1!AT97="","",共有用1!AT97&amp;"/"&amp;COUNTIF(共有用1!AT$2:AT97,共有用1!AT97))</f>
        <v/>
      </c>
      <c r="AU97" s="17" t="str">
        <f>IF(共有用1!AU97="","",共有用1!AU97&amp;"/"&amp;COUNTIF(共有用1!AU$2:AU97,共有用1!AU97))</f>
        <v/>
      </c>
      <c r="AV97" s="17" t="str">
        <f>IF(共有用1!AV97="","",共有用1!AV97&amp;"/"&amp;COUNTIF(共有用1!AV$2:AV97,共有用1!AV97))</f>
        <v/>
      </c>
      <c r="AW97" s="17" t="str">
        <f>IF(共有用1!AW97="","",共有用1!AW97&amp;"/"&amp;COUNTIF(共有用1!AW$2:AW97,共有用1!AW97))</f>
        <v/>
      </c>
      <c r="AX97" s="17" t="str">
        <f>IF(共有用1!AX97="","",共有用1!AX97&amp;"/"&amp;COUNTIF(共有用1!AX$2:AX97,共有用1!AX97))</f>
        <v/>
      </c>
      <c r="AY97" s="17" t="str">
        <f>IF(共有用1!AY97="","",共有用1!AY97&amp;"/"&amp;COUNTIF(共有用1!AY$2:AY97,共有用1!AY97))</f>
        <v/>
      </c>
      <c r="AZ97" s="17" t="str">
        <f>IF(共有用1!AZ97="","",共有用1!AZ97&amp;"/"&amp;COUNTIF(共有用1!AZ$2:AZ97,共有用1!AZ97))</f>
        <v/>
      </c>
      <c r="BA97" s="17" t="str">
        <f>IF(共有用1!BA97="","",共有用1!BA97&amp;"/"&amp;COUNTIF(共有用1!BA$2:BA97,共有用1!BA97))</f>
        <v/>
      </c>
    </row>
    <row r="98" spans="1:53">
      <c r="A98" s="2" t="str">
        <f>共有用1!A98</f>
        <v/>
      </c>
      <c r="B98" s="2" t="str">
        <f>共有用1!B98</f>
        <v/>
      </c>
      <c r="C98" s="2" t="str">
        <f>共有用1!C98</f>
        <v/>
      </c>
      <c r="D98" s="17" t="str">
        <f>IF(共有用1!D98="","",共有用1!D98&amp;"/"&amp;COUNTIF(共有用1!D$2:D98,共有用1!D98))</f>
        <v/>
      </c>
      <c r="E98" s="17" t="str">
        <f>IF(共有用1!E98="","",共有用1!E98&amp;"/"&amp;COUNTIF(共有用1!E$2:E98,共有用1!E98))</f>
        <v/>
      </c>
      <c r="F98" s="17" t="str">
        <f>IF(共有用1!F98="","",共有用1!F98&amp;"/"&amp;COUNTIF(共有用1!F$2:F98,共有用1!F98))</f>
        <v/>
      </c>
      <c r="G98" s="17" t="str">
        <f>IF(共有用1!G98="","",共有用1!G98&amp;"/"&amp;COUNTIF(共有用1!G$2:G98,共有用1!G98))</f>
        <v/>
      </c>
      <c r="H98" s="17" t="str">
        <f>IF(共有用1!H98="","",共有用1!H98&amp;"/"&amp;COUNTIF(共有用1!H$2:H98,共有用1!H98))</f>
        <v/>
      </c>
      <c r="I98" s="17" t="str">
        <f>IF(共有用1!I98="","",共有用1!I98&amp;"/"&amp;COUNTIF(共有用1!I$2:I98,共有用1!I98))</f>
        <v/>
      </c>
      <c r="J98" s="17" t="str">
        <f>IF(共有用1!J98="","",共有用1!J98&amp;"/"&amp;COUNTIF(共有用1!J$2:J98,共有用1!J98))</f>
        <v/>
      </c>
      <c r="K98" s="17" t="str">
        <f>IF(共有用1!K98="","",共有用1!K98&amp;"/"&amp;COUNTIF(共有用1!K$2:K98,共有用1!K98))</f>
        <v/>
      </c>
      <c r="L98" s="17" t="str">
        <f>IF(共有用1!L98="","",共有用1!L98&amp;"/"&amp;COUNTIF(共有用1!L$2:L98,共有用1!L98))</f>
        <v/>
      </c>
      <c r="M98" s="17" t="str">
        <f>IF(共有用1!M98="","",共有用1!M98&amp;"/"&amp;COUNTIF(共有用1!M$2:M98,共有用1!M98))</f>
        <v/>
      </c>
      <c r="N98" s="17" t="str">
        <f>IF(共有用1!N98="","",共有用1!N98&amp;"/"&amp;COUNTIF(共有用1!N$2:N98,共有用1!N98))</f>
        <v/>
      </c>
      <c r="O98" s="17" t="str">
        <f>IF(共有用1!O98="","",共有用1!O98&amp;"/"&amp;COUNTIF(共有用1!O$2:O98,共有用1!O98))</f>
        <v/>
      </c>
      <c r="P98" s="17" t="str">
        <f>IF(共有用1!P98="","",共有用1!P98&amp;"/"&amp;COUNTIF(共有用1!P$2:P98,共有用1!P98))</f>
        <v/>
      </c>
      <c r="Q98" s="17" t="str">
        <f>IF(共有用1!Q98="","",共有用1!Q98&amp;"/"&amp;COUNTIF(共有用1!Q$2:Q98,共有用1!Q98))</f>
        <v/>
      </c>
      <c r="R98" s="17" t="str">
        <f>IF(共有用1!R98="","",共有用1!R98&amp;"/"&amp;COUNTIF(共有用1!R$2:R98,共有用1!R98))</f>
        <v/>
      </c>
      <c r="S98" s="17" t="str">
        <f>IF(共有用1!S98="","",共有用1!S98&amp;"/"&amp;COUNTIF(共有用1!S$2:S98,共有用1!S98))</f>
        <v/>
      </c>
      <c r="T98" s="17" t="str">
        <f>IF(共有用1!T98="","",共有用1!T98&amp;"/"&amp;COUNTIF(共有用1!T$2:T98,共有用1!T98))</f>
        <v/>
      </c>
      <c r="U98" s="17" t="str">
        <f>IF(共有用1!U98="","",共有用1!U98&amp;"/"&amp;COUNTIF(共有用1!U$2:U98,共有用1!U98))</f>
        <v/>
      </c>
      <c r="V98" s="17" t="str">
        <f>IF(共有用1!V98="","",共有用1!V98&amp;"/"&amp;COUNTIF(共有用1!V$2:V98,共有用1!V98))</f>
        <v/>
      </c>
      <c r="W98" s="17" t="str">
        <f>IF(共有用1!W98="","",共有用1!W98&amp;"/"&amp;COUNTIF(共有用1!W$2:W98,共有用1!W98))</f>
        <v/>
      </c>
      <c r="X98" s="17" t="str">
        <f>IF(共有用1!X98="","",共有用1!X98&amp;"/"&amp;COUNTIF(共有用1!X$2:X98,共有用1!X98))</f>
        <v/>
      </c>
      <c r="Y98" s="17" t="str">
        <f>IF(共有用1!Y98="","",共有用1!Y98&amp;"/"&amp;COUNTIF(共有用1!Y$2:Y98,共有用1!Y98))</f>
        <v/>
      </c>
      <c r="Z98" s="17" t="str">
        <f>IF(共有用1!Z98="","",共有用1!Z98&amp;"/"&amp;COUNTIF(共有用1!Z$2:Z98,共有用1!Z98))</f>
        <v/>
      </c>
      <c r="AA98" s="17" t="str">
        <f>IF(共有用1!AA98="","",共有用1!AA98&amp;"/"&amp;COUNTIF(共有用1!AA$2:AA98,共有用1!AA98))</f>
        <v/>
      </c>
      <c r="AB98" s="17" t="str">
        <f>IF(共有用1!AB98="","",共有用1!AB98&amp;"/"&amp;COUNTIF(共有用1!AB$2:AB98,共有用1!AB98))</f>
        <v/>
      </c>
      <c r="AC98" s="17" t="str">
        <f>IF(共有用1!AC98="","",共有用1!AC98&amp;"/"&amp;COUNTIF(共有用1!AC$2:AC98,共有用1!AC98))</f>
        <v/>
      </c>
      <c r="AD98" s="17" t="str">
        <f>IF(共有用1!AD98="","",共有用1!AD98&amp;"/"&amp;COUNTIF(共有用1!AD$2:AD98,共有用1!AD98))</f>
        <v/>
      </c>
      <c r="AE98" s="17" t="str">
        <f>IF(共有用1!AE98="","",共有用1!AE98&amp;"/"&amp;COUNTIF(共有用1!AE$2:AE98,共有用1!AE98))</f>
        <v/>
      </c>
      <c r="AF98" s="17" t="str">
        <f>IF(共有用1!AF98="","",共有用1!AF98&amp;"/"&amp;COUNTIF(共有用1!AF$2:AF98,共有用1!AF98))</f>
        <v/>
      </c>
      <c r="AG98" s="17" t="str">
        <f>IF(共有用1!AG98="","",共有用1!AG98&amp;"/"&amp;COUNTIF(共有用1!AG$2:AG98,共有用1!AG98))</f>
        <v/>
      </c>
      <c r="AH98" s="17" t="str">
        <f>IF(共有用1!AH98="","",共有用1!AH98&amp;"/"&amp;COUNTIF(共有用1!AH$2:AH98,共有用1!AH98))</f>
        <v/>
      </c>
      <c r="AI98" s="17" t="str">
        <f>IF(共有用1!AI98="","",共有用1!AI98&amp;"/"&amp;COUNTIF(共有用1!AI$2:AI98,共有用1!AI98))</f>
        <v/>
      </c>
      <c r="AJ98" s="17" t="str">
        <f>IF(共有用1!AJ98="","",共有用1!AJ98&amp;"/"&amp;COUNTIF(共有用1!AJ$2:AJ98,共有用1!AJ98))</f>
        <v/>
      </c>
      <c r="AK98" s="17" t="str">
        <f>IF(共有用1!AK98="","",共有用1!AK98&amp;"/"&amp;COUNTIF(共有用1!AK$2:AK98,共有用1!AK98))</f>
        <v/>
      </c>
      <c r="AL98" s="17" t="str">
        <f>IF(共有用1!AL98="","",共有用1!AL98&amp;"/"&amp;COUNTIF(共有用1!AL$2:AL98,共有用1!AL98))</f>
        <v/>
      </c>
      <c r="AM98" s="17" t="str">
        <f>IF(共有用1!AM98="","",共有用1!AM98&amp;"/"&amp;COUNTIF(共有用1!AM$2:AM98,共有用1!AM98))</f>
        <v/>
      </c>
      <c r="AN98" s="17" t="str">
        <f>IF(共有用1!AN98="","",共有用1!AN98&amp;"/"&amp;COUNTIF(共有用1!AN$2:AN98,共有用1!AN98))</f>
        <v/>
      </c>
      <c r="AO98" s="17" t="str">
        <f>IF(共有用1!AO98="","",共有用1!AO98&amp;"/"&amp;COUNTIF(共有用1!AO$2:AO98,共有用1!AO98))</f>
        <v/>
      </c>
      <c r="AP98" s="17" t="str">
        <f>IF(共有用1!AP98="","",共有用1!AP98&amp;"/"&amp;COUNTIF(共有用1!AP$2:AP98,共有用1!AP98))</f>
        <v/>
      </c>
      <c r="AQ98" s="17" t="str">
        <f>IF(共有用1!AQ98="","",共有用1!AQ98&amp;"/"&amp;COUNTIF(共有用1!AQ$2:AQ98,共有用1!AQ98))</f>
        <v/>
      </c>
      <c r="AR98" s="17" t="str">
        <f>IF(共有用1!AR98="","",共有用1!AR98&amp;"/"&amp;COUNTIF(共有用1!AR$2:AR98,共有用1!AR98))</f>
        <v/>
      </c>
      <c r="AS98" s="17" t="str">
        <f>IF(共有用1!AS98="","",共有用1!AS98&amp;"/"&amp;COUNTIF(共有用1!AS$2:AS98,共有用1!AS98))</f>
        <v/>
      </c>
      <c r="AT98" s="17" t="str">
        <f>IF(共有用1!AT98="","",共有用1!AT98&amp;"/"&amp;COUNTIF(共有用1!AT$2:AT98,共有用1!AT98))</f>
        <v/>
      </c>
      <c r="AU98" s="17" t="str">
        <f>IF(共有用1!AU98="","",共有用1!AU98&amp;"/"&amp;COUNTIF(共有用1!AU$2:AU98,共有用1!AU98))</f>
        <v/>
      </c>
      <c r="AV98" s="17" t="str">
        <f>IF(共有用1!AV98="","",共有用1!AV98&amp;"/"&amp;COUNTIF(共有用1!AV$2:AV98,共有用1!AV98))</f>
        <v/>
      </c>
      <c r="AW98" s="17" t="str">
        <f>IF(共有用1!AW98="","",共有用1!AW98&amp;"/"&amp;COUNTIF(共有用1!AW$2:AW98,共有用1!AW98))</f>
        <v/>
      </c>
      <c r="AX98" s="17" t="str">
        <f>IF(共有用1!AX98="","",共有用1!AX98&amp;"/"&amp;COUNTIF(共有用1!AX$2:AX98,共有用1!AX98))</f>
        <v/>
      </c>
      <c r="AY98" s="17" t="str">
        <f>IF(共有用1!AY98="","",共有用1!AY98&amp;"/"&amp;COUNTIF(共有用1!AY$2:AY98,共有用1!AY98))</f>
        <v/>
      </c>
      <c r="AZ98" s="17" t="str">
        <f>IF(共有用1!AZ98="","",共有用1!AZ98&amp;"/"&amp;COUNTIF(共有用1!AZ$2:AZ98,共有用1!AZ98))</f>
        <v/>
      </c>
      <c r="BA98" s="17" t="str">
        <f>IF(共有用1!BA98="","",共有用1!BA98&amp;"/"&amp;COUNTIF(共有用1!BA$2:BA98,共有用1!BA98))</f>
        <v/>
      </c>
    </row>
    <row r="99" spans="1:53">
      <c r="A99" s="2" t="str">
        <f>共有用1!A99</f>
        <v/>
      </c>
      <c r="B99" s="2" t="str">
        <f>共有用1!B99</f>
        <v/>
      </c>
      <c r="C99" s="2" t="str">
        <f>共有用1!C99</f>
        <v/>
      </c>
      <c r="D99" s="17" t="str">
        <f>IF(共有用1!D99="","",共有用1!D99&amp;"/"&amp;COUNTIF(共有用1!D$2:D99,共有用1!D99))</f>
        <v/>
      </c>
      <c r="E99" s="17" t="str">
        <f>IF(共有用1!E99="","",共有用1!E99&amp;"/"&amp;COUNTIF(共有用1!E$2:E99,共有用1!E99))</f>
        <v/>
      </c>
      <c r="F99" s="17" t="str">
        <f>IF(共有用1!F99="","",共有用1!F99&amp;"/"&amp;COUNTIF(共有用1!F$2:F99,共有用1!F99))</f>
        <v/>
      </c>
      <c r="G99" s="17" t="str">
        <f>IF(共有用1!G99="","",共有用1!G99&amp;"/"&amp;COUNTIF(共有用1!G$2:G99,共有用1!G99))</f>
        <v/>
      </c>
      <c r="H99" s="17" t="str">
        <f>IF(共有用1!H99="","",共有用1!H99&amp;"/"&amp;COUNTIF(共有用1!H$2:H99,共有用1!H99))</f>
        <v/>
      </c>
      <c r="I99" s="17" t="str">
        <f>IF(共有用1!I99="","",共有用1!I99&amp;"/"&amp;COUNTIF(共有用1!I$2:I99,共有用1!I99))</f>
        <v/>
      </c>
      <c r="J99" s="17" t="str">
        <f>IF(共有用1!J99="","",共有用1!J99&amp;"/"&amp;COUNTIF(共有用1!J$2:J99,共有用1!J99))</f>
        <v/>
      </c>
      <c r="K99" s="17" t="str">
        <f>IF(共有用1!K99="","",共有用1!K99&amp;"/"&amp;COUNTIF(共有用1!K$2:K99,共有用1!K99))</f>
        <v/>
      </c>
      <c r="L99" s="17" t="str">
        <f>IF(共有用1!L99="","",共有用1!L99&amp;"/"&amp;COUNTIF(共有用1!L$2:L99,共有用1!L99))</f>
        <v/>
      </c>
      <c r="M99" s="17" t="str">
        <f>IF(共有用1!M99="","",共有用1!M99&amp;"/"&amp;COUNTIF(共有用1!M$2:M99,共有用1!M99))</f>
        <v/>
      </c>
      <c r="N99" s="17" t="str">
        <f>IF(共有用1!N99="","",共有用1!N99&amp;"/"&amp;COUNTIF(共有用1!N$2:N99,共有用1!N99))</f>
        <v/>
      </c>
      <c r="O99" s="17" t="str">
        <f>IF(共有用1!O99="","",共有用1!O99&amp;"/"&amp;COUNTIF(共有用1!O$2:O99,共有用1!O99))</f>
        <v/>
      </c>
      <c r="P99" s="17" t="str">
        <f>IF(共有用1!P99="","",共有用1!P99&amp;"/"&amp;COUNTIF(共有用1!P$2:P99,共有用1!P99))</f>
        <v/>
      </c>
      <c r="Q99" s="17" t="str">
        <f>IF(共有用1!Q99="","",共有用1!Q99&amp;"/"&amp;COUNTIF(共有用1!Q$2:Q99,共有用1!Q99))</f>
        <v/>
      </c>
      <c r="R99" s="17" t="str">
        <f>IF(共有用1!R99="","",共有用1!R99&amp;"/"&amp;COUNTIF(共有用1!R$2:R99,共有用1!R99))</f>
        <v/>
      </c>
      <c r="S99" s="17" t="str">
        <f>IF(共有用1!S99="","",共有用1!S99&amp;"/"&amp;COUNTIF(共有用1!S$2:S99,共有用1!S99))</f>
        <v/>
      </c>
      <c r="T99" s="17" t="str">
        <f>IF(共有用1!T99="","",共有用1!T99&amp;"/"&amp;COUNTIF(共有用1!T$2:T99,共有用1!T99))</f>
        <v/>
      </c>
      <c r="U99" s="17" t="str">
        <f>IF(共有用1!U99="","",共有用1!U99&amp;"/"&amp;COUNTIF(共有用1!U$2:U99,共有用1!U99))</f>
        <v/>
      </c>
      <c r="V99" s="17" t="str">
        <f>IF(共有用1!V99="","",共有用1!V99&amp;"/"&amp;COUNTIF(共有用1!V$2:V99,共有用1!V99))</f>
        <v/>
      </c>
      <c r="W99" s="17" t="str">
        <f>IF(共有用1!W99="","",共有用1!W99&amp;"/"&amp;COUNTIF(共有用1!W$2:W99,共有用1!W99))</f>
        <v/>
      </c>
      <c r="X99" s="17" t="str">
        <f>IF(共有用1!X99="","",共有用1!X99&amp;"/"&amp;COUNTIF(共有用1!X$2:X99,共有用1!X99))</f>
        <v/>
      </c>
      <c r="Y99" s="17" t="str">
        <f>IF(共有用1!Y99="","",共有用1!Y99&amp;"/"&amp;COUNTIF(共有用1!Y$2:Y99,共有用1!Y99))</f>
        <v/>
      </c>
      <c r="Z99" s="17" t="str">
        <f>IF(共有用1!Z99="","",共有用1!Z99&amp;"/"&amp;COUNTIF(共有用1!Z$2:Z99,共有用1!Z99))</f>
        <v/>
      </c>
      <c r="AA99" s="17" t="str">
        <f>IF(共有用1!AA99="","",共有用1!AA99&amp;"/"&amp;COUNTIF(共有用1!AA$2:AA99,共有用1!AA99))</f>
        <v/>
      </c>
      <c r="AB99" s="17" t="str">
        <f>IF(共有用1!AB99="","",共有用1!AB99&amp;"/"&amp;COUNTIF(共有用1!AB$2:AB99,共有用1!AB99))</f>
        <v/>
      </c>
      <c r="AC99" s="17" t="str">
        <f>IF(共有用1!AC99="","",共有用1!AC99&amp;"/"&amp;COUNTIF(共有用1!AC$2:AC99,共有用1!AC99))</f>
        <v/>
      </c>
      <c r="AD99" s="17" t="str">
        <f>IF(共有用1!AD99="","",共有用1!AD99&amp;"/"&amp;COUNTIF(共有用1!AD$2:AD99,共有用1!AD99))</f>
        <v/>
      </c>
      <c r="AE99" s="17" t="str">
        <f>IF(共有用1!AE99="","",共有用1!AE99&amp;"/"&amp;COUNTIF(共有用1!AE$2:AE99,共有用1!AE99))</f>
        <v/>
      </c>
      <c r="AF99" s="17" t="str">
        <f>IF(共有用1!AF99="","",共有用1!AF99&amp;"/"&amp;COUNTIF(共有用1!AF$2:AF99,共有用1!AF99))</f>
        <v/>
      </c>
      <c r="AG99" s="17" t="str">
        <f>IF(共有用1!AG99="","",共有用1!AG99&amp;"/"&amp;COUNTIF(共有用1!AG$2:AG99,共有用1!AG99))</f>
        <v/>
      </c>
      <c r="AH99" s="17" t="str">
        <f>IF(共有用1!AH99="","",共有用1!AH99&amp;"/"&amp;COUNTIF(共有用1!AH$2:AH99,共有用1!AH99))</f>
        <v/>
      </c>
      <c r="AI99" s="17" t="str">
        <f>IF(共有用1!AI99="","",共有用1!AI99&amp;"/"&amp;COUNTIF(共有用1!AI$2:AI99,共有用1!AI99))</f>
        <v/>
      </c>
      <c r="AJ99" s="17" t="str">
        <f>IF(共有用1!AJ99="","",共有用1!AJ99&amp;"/"&amp;COUNTIF(共有用1!AJ$2:AJ99,共有用1!AJ99))</f>
        <v/>
      </c>
      <c r="AK99" s="17" t="str">
        <f>IF(共有用1!AK99="","",共有用1!AK99&amp;"/"&amp;COUNTIF(共有用1!AK$2:AK99,共有用1!AK99))</f>
        <v/>
      </c>
      <c r="AL99" s="17" t="str">
        <f>IF(共有用1!AL99="","",共有用1!AL99&amp;"/"&amp;COUNTIF(共有用1!AL$2:AL99,共有用1!AL99))</f>
        <v/>
      </c>
      <c r="AM99" s="17" t="str">
        <f>IF(共有用1!AM99="","",共有用1!AM99&amp;"/"&amp;COUNTIF(共有用1!AM$2:AM99,共有用1!AM99))</f>
        <v/>
      </c>
      <c r="AN99" s="17" t="str">
        <f>IF(共有用1!AN99="","",共有用1!AN99&amp;"/"&amp;COUNTIF(共有用1!AN$2:AN99,共有用1!AN99))</f>
        <v/>
      </c>
      <c r="AO99" s="17" t="str">
        <f>IF(共有用1!AO99="","",共有用1!AO99&amp;"/"&amp;COUNTIF(共有用1!AO$2:AO99,共有用1!AO99))</f>
        <v/>
      </c>
      <c r="AP99" s="17" t="str">
        <f>IF(共有用1!AP99="","",共有用1!AP99&amp;"/"&amp;COUNTIF(共有用1!AP$2:AP99,共有用1!AP99))</f>
        <v/>
      </c>
      <c r="AQ99" s="17" t="str">
        <f>IF(共有用1!AQ99="","",共有用1!AQ99&amp;"/"&amp;COUNTIF(共有用1!AQ$2:AQ99,共有用1!AQ99))</f>
        <v/>
      </c>
      <c r="AR99" s="17" t="str">
        <f>IF(共有用1!AR99="","",共有用1!AR99&amp;"/"&amp;COUNTIF(共有用1!AR$2:AR99,共有用1!AR99))</f>
        <v/>
      </c>
      <c r="AS99" s="17" t="str">
        <f>IF(共有用1!AS99="","",共有用1!AS99&amp;"/"&amp;COUNTIF(共有用1!AS$2:AS99,共有用1!AS99))</f>
        <v/>
      </c>
      <c r="AT99" s="17" t="str">
        <f>IF(共有用1!AT99="","",共有用1!AT99&amp;"/"&amp;COUNTIF(共有用1!AT$2:AT99,共有用1!AT99))</f>
        <v/>
      </c>
      <c r="AU99" s="17" t="str">
        <f>IF(共有用1!AU99="","",共有用1!AU99&amp;"/"&amp;COUNTIF(共有用1!AU$2:AU99,共有用1!AU99))</f>
        <v/>
      </c>
      <c r="AV99" s="17" t="str">
        <f>IF(共有用1!AV99="","",共有用1!AV99&amp;"/"&amp;COUNTIF(共有用1!AV$2:AV99,共有用1!AV99))</f>
        <v/>
      </c>
      <c r="AW99" s="17" t="str">
        <f>IF(共有用1!AW99="","",共有用1!AW99&amp;"/"&amp;COUNTIF(共有用1!AW$2:AW99,共有用1!AW99))</f>
        <v/>
      </c>
      <c r="AX99" s="17" t="str">
        <f>IF(共有用1!AX99="","",共有用1!AX99&amp;"/"&amp;COUNTIF(共有用1!AX$2:AX99,共有用1!AX99))</f>
        <v/>
      </c>
      <c r="AY99" s="17" t="str">
        <f>IF(共有用1!AY99="","",共有用1!AY99&amp;"/"&amp;COUNTIF(共有用1!AY$2:AY99,共有用1!AY99))</f>
        <v/>
      </c>
      <c r="AZ99" s="17" t="str">
        <f>IF(共有用1!AZ99="","",共有用1!AZ99&amp;"/"&amp;COUNTIF(共有用1!AZ$2:AZ99,共有用1!AZ99))</f>
        <v/>
      </c>
      <c r="BA99" s="17" t="str">
        <f>IF(共有用1!BA99="","",共有用1!BA99&amp;"/"&amp;COUNTIF(共有用1!BA$2:BA99,共有用1!BA99))</f>
        <v/>
      </c>
    </row>
    <row r="100" spans="1:53">
      <c r="A100" s="2" t="str">
        <f>共有用1!A100</f>
        <v/>
      </c>
      <c r="B100" s="2" t="str">
        <f>共有用1!B100</f>
        <v/>
      </c>
      <c r="C100" s="2" t="str">
        <f>共有用1!C100</f>
        <v/>
      </c>
      <c r="D100" s="17" t="str">
        <f>IF(共有用1!D100="","",共有用1!D100&amp;"/"&amp;COUNTIF(共有用1!D$2:D100,共有用1!D100))</f>
        <v/>
      </c>
      <c r="E100" s="17" t="str">
        <f>IF(共有用1!E100="","",共有用1!E100&amp;"/"&amp;COUNTIF(共有用1!E$2:E100,共有用1!E100))</f>
        <v/>
      </c>
      <c r="F100" s="17" t="str">
        <f>IF(共有用1!F100="","",共有用1!F100&amp;"/"&amp;COUNTIF(共有用1!F$2:F100,共有用1!F100))</f>
        <v/>
      </c>
      <c r="G100" s="17" t="str">
        <f>IF(共有用1!G100="","",共有用1!G100&amp;"/"&amp;COUNTIF(共有用1!G$2:G100,共有用1!G100))</f>
        <v/>
      </c>
      <c r="H100" s="17" t="str">
        <f>IF(共有用1!H100="","",共有用1!H100&amp;"/"&amp;COUNTIF(共有用1!H$2:H100,共有用1!H100))</f>
        <v/>
      </c>
      <c r="I100" s="17" t="str">
        <f>IF(共有用1!I100="","",共有用1!I100&amp;"/"&amp;COUNTIF(共有用1!I$2:I100,共有用1!I100))</f>
        <v/>
      </c>
      <c r="J100" s="17" t="str">
        <f>IF(共有用1!J100="","",共有用1!J100&amp;"/"&amp;COUNTIF(共有用1!J$2:J100,共有用1!J100))</f>
        <v/>
      </c>
      <c r="K100" s="17" t="str">
        <f>IF(共有用1!K100="","",共有用1!K100&amp;"/"&amp;COUNTIF(共有用1!K$2:K100,共有用1!K100))</f>
        <v/>
      </c>
      <c r="L100" s="17" t="str">
        <f>IF(共有用1!L100="","",共有用1!L100&amp;"/"&amp;COUNTIF(共有用1!L$2:L100,共有用1!L100))</f>
        <v/>
      </c>
      <c r="M100" s="17" t="str">
        <f>IF(共有用1!M100="","",共有用1!M100&amp;"/"&amp;COUNTIF(共有用1!M$2:M100,共有用1!M100))</f>
        <v/>
      </c>
      <c r="N100" s="17" t="str">
        <f>IF(共有用1!N100="","",共有用1!N100&amp;"/"&amp;COUNTIF(共有用1!N$2:N100,共有用1!N100))</f>
        <v/>
      </c>
      <c r="O100" s="17" t="str">
        <f>IF(共有用1!O100="","",共有用1!O100&amp;"/"&amp;COUNTIF(共有用1!O$2:O100,共有用1!O100))</f>
        <v/>
      </c>
      <c r="P100" s="17" t="str">
        <f>IF(共有用1!P100="","",共有用1!P100&amp;"/"&amp;COUNTIF(共有用1!P$2:P100,共有用1!P100))</f>
        <v/>
      </c>
      <c r="Q100" s="17" t="str">
        <f>IF(共有用1!Q100="","",共有用1!Q100&amp;"/"&amp;COUNTIF(共有用1!Q$2:Q100,共有用1!Q100))</f>
        <v/>
      </c>
      <c r="R100" s="17" t="str">
        <f>IF(共有用1!R100="","",共有用1!R100&amp;"/"&amp;COUNTIF(共有用1!R$2:R100,共有用1!R100))</f>
        <v/>
      </c>
      <c r="S100" s="17" t="str">
        <f>IF(共有用1!S100="","",共有用1!S100&amp;"/"&amp;COUNTIF(共有用1!S$2:S100,共有用1!S100))</f>
        <v/>
      </c>
      <c r="T100" s="17" t="str">
        <f>IF(共有用1!T100="","",共有用1!T100&amp;"/"&amp;COUNTIF(共有用1!T$2:T100,共有用1!T100))</f>
        <v/>
      </c>
      <c r="U100" s="17" t="str">
        <f>IF(共有用1!U100="","",共有用1!U100&amp;"/"&amp;COUNTIF(共有用1!U$2:U100,共有用1!U100))</f>
        <v/>
      </c>
      <c r="V100" s="17" t="str">
        <f>IF(共有用1!V100="","",共有用1!V100&amp;"/"&amp;COUNTIF(共有用1!V$2:V100,共有用1!V100))</f>
        <v/>
      </c>
      <c r="W100" s="17" t="str">
        <f>IF(共有用1!W100="","",共有用1!W100&amp;"/"&amp;COUNTIF(共有用1!W$2:W100,共有用1!W100))</f>
        <v/>
      </c>
      <c r="X100" s="17" t="str">
        <f>IF(共有用1!X100="","",共有用1!X100&amp;"/"&amp;COUNTIF(共有用1!X$2:X100,共有用1!X100))</f>
        <v/>
      </c>
      <c r="Y100" s="17" t="str">
        <f>IF(共有用1!Y100="","",共有用1!Y100&amp;"/"&amp;COUNTIF(共有用1!Y$2:Y100,共有用1!Y100))</f>
        <v/>
      </c>
      <c r="Z100" s="17" t="str">
        <f>IF(共有用1!Z100="","",共有用1!Z100&amp;"/"&amp;COUNTIF(共有用1!Z$2:Z100,共有用1!Z100))</f>
        <v/>
      </c>
      <c r="AA100" s="17" t="str">
        <f>IF(共有用1!AA100="","",共有用1!AA100&amp;"/"&amp;COUNTIF(共有用1!AA$2:AA100,共有用1!AA100))</f>
        <v/>
      </c>
      <c r="AB100" s="17" t="str">
        <f>IF(共有用1!AB100="","",共有用1!AB100&amp;"/"&amp;COUNTIF(共有用1!AB$2:AB100,共有用1!AB100))</f>
        <v/>
      </c>
      <c r="AC100" s="17" t="str">
        <f>IF(共有用1!AC100="","",共有用1!AC100&amp;"/"&amp;COUNTIF(共有用1!AC$2:AC100,共有用1!AC100))</f>
        <v/>
      </c>
      <c r="AD100" s="17" t="str">
        <f>IF(共有用1!AD100="","",共有用1!AD100&amp;"/"&amp;COUNTIF(共有用1!AD$2:AD100,共有用1!AD100))</f>
        <v/>
      </c>
      <c r="AE100" s="17" t="str">
        <f>IF(共有用1!AE100="","",共有用1!AE100&amp;"/"&amp;COUNTIF(共有用1!AE$2:AE100,共有用1!AE100))</f>
        <v/>
      </c>
      <c r="AF100" s="17" t="str">
        <f>IF(共有用1!AF100="","",共有用1!AF100&amp;"/"&amp;COUNTIF(共有用1!AF$2:AF100,共有用1!AF100))</f>
        <v/>
      </c>
      <c r="AG100" s="17" t="str">
        <f>IF(共有用1!AG100="","",共有用1!AG100&amp;"/"&amp;COUNTIF(共有用1!AG$2:AG100,共有用1!AG100))</f>
        <v/>
      </c>
      <c r="AH100" s="17" t="str">
        <f>IF(共有用1!AH100="","",共有用1!AH100&amp;"/"&amp;COUNTIF(共有用1!AH$2:AH100,共有用1!AH100))</f>
        <v/>
      </c>
      <c r="AI100" s="17" t="str">
        <f>IF(共有用1!AI100="","",共有用1!AI100&amp;"/"&amp;COUNTIF(共有用1!AI$2:AI100,共有用1!AI100))</f>
        <v/>
      </c>
      <c r="AJ100" s="17" t="str">
        <f>IF(共有用1!AJ100="","",共有用1!AJ100&amp;"/"&amp;COUNTIF(共有用1!AJ$2:AJ100,共有用1!AJ100))</f>
        <v/>
      </c>
      <c r="AK100" s="17" t="str">
        <f>IF(共有用1!AK100="","",共有用1!AK100&amp;"/"&amp;COUNTIF(共有用1!AK$2:AK100,共有用1!AK100))</f>
        <v/>
      </c>
      <c r="AL100" s="17" t="str">
        <f>IF(共有用1!AL100="","",共有用1!AL100&amp;"/"&amp;COUNTIF(共有用1!AL$2:AL100,共有用1!AL100))</f>
        <v/>
      </c>
      <c r="AM100" s="17" t="str">
        <f>IF(共有用1!AM100="","",共有用1!AM100&amp;"/"&amp;COUNTIF(共有用1!AM$2:AM100,共有用1!AM100))</f>
        <v/>
      </c>
      <c r="AN100" s="17" t="str">
        <f>IF(共有用1!AN100="","",共有用1!AN100&amp;"/"&amp;COUNTIF(共有用1!AN$2:AN100,共有用1!AN100))</f>
        <v/>
      </c>
      <c r="AO100" s="17" t="str">
        <f>IF(共有用1!AO100="","",共有用1!AO100&amp;"/"&amp;COUNTIF(共有用1!AO$2:AO100,共有用1!AO100))</f>
        <v/>
      </c>
      <c r="AP100" s="17" t="str">
        <f>IF(共有用1!AP100="","",共有用1!AP100&amp;"/"&amp;COUNTIF(共有用1!AP$2:AP100,共有用1!AP100))</f>
        <v/>
      </c>
      <c r="AQ100" s="17" t="str">
        <f>IF(共有用1!AQ100="","",共有用1!AQ100&amp;"/"&amp;COUNTIF(共有用1!AQ$2:AQ100,共有用1!AQ100))</f>
        <v/>
      </c>
      <c r="AR100" s="17" t="str">
        <f>IF(共有用1!AR100="","",共有用1!AR100&amp;"/"&amp;COUNTIF(共有用1!AR$2:AR100,共有用1!AR100))</f>
        <v/>
      </c>
      <c r="AS100" s="17" t="str">
        <f>IF(共有用1!AS100="","",共有用1!AS100&amp;"/"&amp;COUNTIF(共有用1!AS$2:AS100,共有用1!AS100))</f>
        <v/>
      </c>
      <c r="AT100" s="17" t="str">
        <f>IF(共有用1!AT100="","",共有用1!AT100&amp;"/"&amp;COUNTIF(共有用1!AT$2:AT100,共有用1!AT100))</f>
        <v/>
      </c>
      <c r="AU100" s="17" t="str">
        <f>IF(共有用1!AU100="","",共有用1!AU100&amp;"/"&amp;COUNTIF(共有用1!AU$2:AU100,共有用1!AU100))</f>
        <v/>
      </c>
      <c r="AV100" s="17" t="str">
        <f>IF(共有用1!AV100="","",共有用1!AV100&amp;"/"&amp;COUNTIF(共有用1!AV$2:AV100,共有用1!AV100))</f>
        <v/>
      </c>
      <c r="AW100" s="17" t="str">
        <f>IF(共有用1!AW100="","",共有用1!AW100&amp;"/"&amp;COUNTIF(共有用1!AW$2:AW100,共有用1!AW100))</f>
        <v/>
      </c>
      <c r="AX100" s="17" t="str">
        <f>IF(共有用1!AX100="","",共有用1!AX100&amp;"/"&amp;COUNTIF(共有用1!AX$2:AX100,共有用1!AX100))</f>
        <v/>
      </c>
      <c r="AY100" s="17" t="str">
        <f>IF(共有用1!AY100="","",共有用1!AY100&amp;"/"&amp;COUNTIF(共有用1!AY$2:AY100,共有用1!AY100))</f>
        <v/>
      </c>
      <c r="AZ100" s="17" t="str">
        <f>IF(共有用1!AZ100="","",共有用1!AZ100&amp;"/"&amp;COUNTIF(共有用1!AZ$2:AZ100,共有用1!AZ100))</f>
        <v/>
      </c>
      <c r="BA100" s="17" t="str">
        <f>IF(共有用1!BA100="","",共有用1!BA100&amp;"/"&amp;COUNTIF(共有用1!BA$2:BA100,共有用1!BA100))</f>
        <v/>
      </c>
    </row>
    <row r="101" spans="1:53">
      <c r="A101" s="2" t="str">
        <f>共有用1!A101</f>
        <v/>
      </c>
      <c r="B101" s="2" t="str">
        <f>共有用1!B101</f>
        <v/>
      </c>
      <c r="C101" s="2" t="str">
        <f>共有用1!C101</f>
        <v/>
      </c>
      <c r="D101" s="17" t="str">
        <f>IF(共有用1!D101="","",共有用1!D101&amp;"/"&amp;COUNTIF(共有用1!D$2:D101,共有用1!D101))</f>
        <v/>
      </c>
      <c r="E101" s="17" t="str">
        <f>IF(共有用1!E101="","",共有用1!E101&amp;"/"&amp;COUNTIF(共有用1!E$2:E101,共有用1!E101))</f>
        <v/>
      </c>
      <c r="F101" s="17" t="str">
        <f>IF(共有用1!F101="","",共有用1!F101&amp;"/"&amp;COUNTIF(共有用1!F$2:F101,共有用1!F101))</f>
        <v/>
      </c>
      <c r="G101" s="17" t="str">
        <f>IF(共有用1!G101="","",共有用1!G101&amp;"/"&amp;COUNTIF(共有用1!G$2:G101,共有用1!G101))</f>
        <v/>
      </c>
      <c r="H101" s="17" t="str">
        <f>IF(共有用1!H101="","",共有用1!H101&amp;"/"&amp;COUNTIF(共有用1!H$2:H101,共有用1!H101))</f>
        <v/>
      </c>
      <c r="I101" s="17" t="str">
        <f>IF(共有用1!I101="","",共有用1!I101&amp;"/"&amp;COUNTIF(共有用1!I$2:I101,共有用1!I101))</f>
        <v/>
      </c>
      <c r="J101" s="17" t="str">
        <f>IF(共有用1!J101="","",共有用1!J101&amp;"/"&amp;COUNTIF(共有用1!J$2:J101,共有用1!J101))</f>
        <v/>
      </c>
      <c r="K101" s="17" t="str">
        <f>IF(共有用1!K101="","",共有用1!K101&amp;"/"&amp;COUNTIF(共有用1!K$2:K101,共有用1!K101))</f>
        <v/>
      </c>
      <c r="L101" s="17" t="str">
        <f>IF(共有用1!L101="","",共有用1!L101&amp;"/"&amp;COUNTIF(共有用1!L$2:L101,共有用1!L101))</f>
        <v/>
      </c>
      <c r="M101" s="17" t="str">
        <f>IF(共有用1!M101="","",共有用1!M101&amp;"/"&amp;COUNTIF(共有用1!M$2:M101,共有用1!M101))</f>
        <v/>
      </c>
      <c r="N101" s="17" t="str">
        <f>IF(共有用1!N101="","",共有用1!N101&amp;"/"&amp;COUNTIF(共有用1!N$2:N101,共有用1!N101))</f>
        <v/>
      </c>
      <c r="O101" s="17" t="str">
        <f>IF(共有用1!O101="","",共有用1!O101&amp;"/"&amp;COUNTIF(共有用1!O$2:O101,共有用1!O101))</f>
        <v/>
      </c>
      <c r="P101" s="17" t="str">
        <f>IF(共有用1!P101="","",共有用1!P101&amp;"/"&amp;COUNTIF(共有用1!P$2:P101,共有用1!P101))</f>
        <v/>
      </c>
      <c r="Q101" s="17" t="str">
        <f>IF(共有用1!Q101="","",共有用1!Q101&amp;"/"&amp;COUNTIF(共有用1!Q$2:Q101,共有用1!Q101))</f>
        <v/>
      </c>
      <c r="R101" s="17" t="str">
        <f>IF(共有用1!R101="","",共有用1!R101&amp;"/"&amp;COUNTIF(共有用1!R$2:R101,共有用1!R101))</f>
        <v/>
      </c>
      <c r="S101" s="17" t="str">
        <f>IF(共有用1!S101="","",共有用1!S101&amp;"/"&amp;COUNTIF(共有用1!S$2:S101,共有用1!S101))</f>
        <v/>
      </c>
      <c r="T101" s="17" t="str">
        <f>IF(共有用1!T101="","",共有用1!T101&amp;"/"&amp;COUNTIF(共有用1!T$2:T101,共有用1!T101))</f>
        <v/>
      </c>
      <c r="U101" s="17" t="str">
        <f>IF(共有用1!U101="","",共有用1!U101&amp;"/"&amp;COUNTIF(共有用1!U$2:U101,共有用1!U101))</f>
        <v/>
      </c>
      <c r="V101" s="17" t="str">
        <f>IF(共有用1!V101="","",共有用1!V101&amp;"/"&amp;COUNTIF(共有用1!V$2:V101,共有用1!V101))</f>
        <v/>
      </c>
      <c r="W101" s="17" t="str">
        <f>IF(共有用1!W101="","",共有用1!W101&amp;"/"&amp;COUNTIF(共有用1!W$2:W101,共有用1!W101))</f>
        <v/>
      </c>
      <c r="X101" s="17" t="str">
        <f>IF(共有用1!X101="","",共有用1!X101&amp;"/"&amp;COUNTIF(共有用1!X$2:X101,共有用1!X101))</f>
        <v/>
      </c>
      <c r="Y101" s="17" t="str">
        <f>IF(共有用1!Y101="","",共有用1!Y101&amp;"/"&amp;COUNTIF(共有用1!Y$2:Y101,共有用1!Y101))</f>
        <v/>
      </c>
      <c r="Z101" s="17" t="str">
        <f>IF(共有用1!Z101="","",共有用1!Z101&amp;"/"&amp;COUNTIF(共有用1!Z$2:Z101,共有用1!Z101))</f>
        <v/>
      </c>
      <c r="AA101" s="17" t="str">
        <f>IF(共有用1!AA101="","",共有用1!AA101&amp;"/"&amp;COUNTIF(共有用1!AA$2:AA101,共有用1!AA101))</f>
        <v/>
      </c>
      <c r="AB101" s="17" t="str">
        <f>IF(共有用1!AB101="","",共有用1!AB101&amp;"/"&amp;COUNTIF(共有用1!AB$2:AB101,共有用1!AB101))</f>
        <v/>
      </c>
      <c r="AC101" s="17" t="str">
        <f>IF(共有用1!AC101="","",共有用1!AC101&amp;"/"&amp;COUNTIF(共有用1!AC$2:AC101,共有用1!AC101))</f>
        <v/>
      </c>
      <c r="AD101" s="17" t="str">
        <f>IF(共有用1!AD101="","",共有用1!AD101&amp;"/"&amp;COUNTIF(共有用1!AD$2:AD101,共有用1!AD101))</f>
        <v/>
      </c>
      <c r="AE101" s="17" t="str">
        <f>IF(共有用1!AE101="","",共有用1!AE101&amp;"/"&amp;COUNTIF(共有用1!AE$2:AE101,共有用1!AE101))</f>
        <v/>
      </c>
      <c r="AF101" s="17" t="str">
        <f>IF(共有用1!AF101="","",共有用1!AF101&amp;"/"&amp;COUNTIF(共有用1!AF$2:AF101,共有用1!AF101))</f>
        <v/>
      </c>
      <c r="AG101" s="17" t="str">
        <f>IF(共有用1!AG101="","",共有用1!AG101&amp;"/"&amp;COUNTIF(共有用1!AG$2:AG101,共有用1!AG101))</f>
        <v/>
      </c>
      <c r="AH101" s="17" t="str">
        <f>IF(共有用1!AH101="","",共有用1!AH101&amp;"/"&amp;COUNTIF(共有用1!AH$2:AH101,共有用1!AH101))</f>
        <v/>
      </c>
      <c r="AI101" s="17" t="str">
        <f>IF(共有用1!AI101="","",共有用1!AI101&amp;"/"&amp;COUNTIF(共有用1!AI$2:AI101,共有用1!AI101))</f>
        <v/>
      </c>
      <c r="AJ101" s="17" t="str">
        <f>IF(共有用1!AJ101="","",共有用1!AJ101&amp;"/"&amp;COUNTIF(共有用1!AJ$2:AJ101,共有用1!AJ101))</f>
        <v/>
      </c>
      <c r="AK101" s="17" t="str">
        <f>IF(共有用1!AK101="","",共有用1!AK101&amp;"/"&amp;COUNTIF(共有用1!AK$2:AK101,共有用1!AK101))</f>
        <v/>
      </c>
      <c r="AL101" s="17" t="str">
        <f>IF(共有用1!AL101="","",共有用1!AL101&amp;"/"&amp;COUNTIF(共有用1!AL$2:AL101,共有用1!AL101))</f>
        <v/>
      </c>
      <c r="AM101" s="17" t="str">
        <f>IF(共有用1!AM101="","",共有用1!AM101&amp;"/"&amp;COUNTIF(共有用1!AM$2:AM101,共有用1!AM101))</f>
        <v/>
      </c>
      <c r="AN101" s="17" t="str">
        <f>IF(共有用1!AN101="","",共有用1!AN101&amp;"/"&amp;COUNTIF(共有用1!AN$2:AN101,共有用1!AN101))</f>
        <v/>
      </c>
      <c r="AO101" s="17" t="str">
        <f>IF(共有用1!AO101="","",共有用1!AO101&amp;"/"&amp;COUNTIF(共有用1!AO$2:AO101,共有用1!AO101))</f>
        <v/>
      </c>
      <c r="AP101" s="17" t="str">
        <f>IF(共有用1!AP101="","",共有用1!AP101&amp;"/"&amp;COUNTIF(共有用1!AP$2:AP101,共有用1!AP101))</f>
        <v/>
      </c>
      <c r="AQ101" s="17" t="str">
        <f>IF(共有用1!AQ101="","",共有用1!AQ101&amp;"/"&amp;COUNTIF(共有用1!AQ$2:AQ101,共有用1!AQ101))</f>
        <v/>
      </c>
      <c r="AR101" s="17" t="str">
        <f>IF(共有用1!AR101="","",共有用1!AR101&amp;"/"&amp;COUNTIF(共有用1!AR$2:AR101,共有用1!AR101))</f>
        <v/>
      </c>
      <c r="AS101" s="17" t="str">
        <f>IF(共有用1!AS101="","",共有用1!AS101&amp;"/"&amp;COUNTIF(共有用1!AS$2:AS101,共有用1!AS101))</f>
        <v/>
      </c>
      <c r="AT101" s="17" t="str">
        <f>IF(共有用1!AT101="","",共有用1!AT101&amp;"/"&amp;COUNTIF(共有用1!AT$2:AT101,共有用1!AT101))</f>
        <v/>
      </c>
      <c r="AU101" s="17" t="str">
        <f>IF(共有用1!AU101="","",共有用1!AU101&amp;"/"&amp;COUNTIF(共有用1!AU$2:AU101,共有用1!AU101))</f>
        <v/>
      </c>
      <c r="AV101" s="17" t="str">
        <f>IF(共有用1!AV101="","",共有用1!AV101&amp;"/"&amp;COUNTIF(共有用1!AV$2:AV101,共有用1!AV101))</f>
        <v/>
      </c>
      <c r="AW101" s="17" t="str">
        <f>IF(共有用1!AW101="","",共有用1!AW101&amp;"/"&amp;COUNTIF(共有用1!AW$2:AW101,共有用1!AW101))</f>
        <v/>
      </c>
      <c r="AX101" s="17" t="str">
        <f>IF(共有用1!AX101="","",共有用1!AX101&amp;"/"&amp;COUNTIF(共有用1!AX$2:AX101,共有用1!AX101))</f>
        <v/>
      </c>
      <c r="AY101" s="17" t="str">
        <f>IF(共有用1!AY101="","",共有用1!AY101&amp;"/"&amp;COUNTIF(共有用1!AY$2:AY101,共有用1!AY101))</f>
        <v/>
      </c>
      <c r="AZ101" s="17" t="str">
        <f>IF(共有用1!AZ101="","",共有用1!AZ101&amp;"/"&amp;COUNTIF(共有用1!AZ$2:AZ101,共有用1!AZ101))</f>
        <v/>
      </c>
      <c r="BA101" s="17" t="str">
        <f>IF(共有用1!BA101="","",共有用1!BA101&amp;"/"&amp;COUNTIF(共有用1!BA$2:BA101,共有用1!BA101))</f>
        <v/>
      </c>
    </row>
    <row r="102" spans="1:53">
      <c r="A102" s="2" t="str">
        <f>共有用1!A102</f>
        <v/>
      </c>
      <c r="B102" s="2" t="str">
        <f>共有用1!B102</f>
        <v/>
      </c>
      <c r="C102" s="2" t="str">
        <f>共有用1!C102</f>
        <v/>
      </c>
      <c r="D102" s="17" t="str">
        <f>IF(共有用1!D102="","",共有用1!D102&amp;"/"&amp;COUNTIF(共有用1!D$2:D102,共有用1!D102))</f>
        <v/>
      </c>
      <c r="E102" s="17" t="str">
        <f>IF(共有用1!E102="","",共有用1!E102&amp;"/"&amp;COUNTIF(共有用1!E$2:E102,共有用1!E102))</f>
        <v/>
      </c>
      <c r="F102" s="17" t="str">
        <f>IF(共有用1!F102="","",共有用1!F102&amp;"/"&amp;COUNTIF(共有用1!F$2:F102,共有用1!F102))</f>
        <v/>
      </c>
      <c r="G102" s="17" t="str">
        <f>IF(共有用1!G102="","",共有用1!G102&amp;"/"&amp;COUNTIF(共有用1!G$2:G102,共有用1!G102))</f>
        <v/>
      </c>
      <c r="H102" s="17" t="str">
        <f>IF(共有用1!H102="","",共有用1!H102&amp;"/"&amp;COUNTIF(共有用1!H$2:H102,共有用1!H102))</f>
        <v/>
      </c>
      <c r="I102" s="17" t="str">
        <f>IF(共有用1!I102="","",共有用1!I102&amp;"/"&amp;COUNTIF(共有用1!I$2:I102,共有用1!I102))</f>
        <v/>
      </c>
      <c r="J102" s="17" t="str">
        <f>IF(共有用1!J102="","",共有用1!J102&amp;"/"&amp;COUNTIF(共有用1!J$2:J102,共有用1!J102))</f>
        <v/>
      </c>
      <c r="K102" s="17" t="str">
        <f>IF(共有用1!K102="","",共有用1!K102&amp;"/"&amp;COUNTIF(共有用1!K$2:K102,共有用1!K102))</f>
        <v/>
      </c>
      <c r="L102" s="17" t="str">
        <f>IF(共有用1!L102="","",共有用1!L102&amp;"/"&amp;COUNTIF(共有用1!L$2:L102,共有用1!L102))</f>
        <v/>
      </c>
      <c r="M102" s="17" t="str">
        <f>IF(共有用1!M102="","",共有用1!M102&amp;"/"&amp;COUNTIF(共有用1!M$2:M102,共有用1!M102))</f>
        <v/>
      </c>
      <c r="N102" s="17" t="str">
        <f>IF(共有用1!N102="","",共有用1!N102&amp;"/"&amp;COUNTIF(共有用1!N$2:N102,共有用1!N102))</f>
        <v/>
      </c>
      <c r="O102" s="17" t="str">
        <f>IF(共有用1!O102="","",共有用1!O102&amp;"/"&amp;COUNTIF(共有用1!O$2:O102,共有用1!O102))</f>
        <v/>
      </c>
      <c r="P102" s="17" t="str">
        <f>IF(共有用1!P102="","",共有用1!P102&amp;"/"&amp;COUNTIF(共有用1!P$2:P102,共有用1!P102))</f>
        <v/>
      </c>
      <c r="Q102" s="17" t="str">
        <f>IF(共有用1!Q102="","",共有用1!Q102&amp;"/"&amp;COUNTIF(共有用1!Q$2:Q102,共有用1!Q102))</f>
        <v/>
      </c>
      <c r="R102" s="17" t="str">
        <f>IF(共有用1!R102="","",共有用1!R102&amp;"/"&amp;COUNTIF(共有用1!R$2:R102,共有用1!R102))</f>
        <v/>
      </c>
      <c r="S102" s="17" t="str">
        <f>IF(共有用1!S102="","",共有用1!S102&amp;"/"&amp;COUNTIF(共有用1!S$2:S102,共有用1!S102))</f>
        <v/>
      </c>
      <c r="T102" s="17" t="str">
        <f>IF(共有用1!T102="","",共有用1!T102&amp;"/"&amp;COUNTIF(共有用1!T$2:T102,共有用1!T102))</f>
        <v/>
      </c>
      <c r="U102" s="17" t="str">
        <f>IF(共有用1!U102="","",共有用1!U102&amp;"/"&amp;COUNTIF(共有用1!U$2:U102,共有用1!U102))</f>
        <v/>
      </c>
      <c r="V102" s="17" t="str">
        <f>IF(共有用1!V102="","",共有用1!V102&amp;"/"&amp;COUNTIF(共有用1!V$2:V102,共有用1!V102))</f>
        <v/>
      </c>
      <c r="W102" s="17" t="str">
        <f>IF(共有用1!W102="","",共有用1!W102&amp;"/"&amp;COUNTIF(共有用1!W$2:W102,共有用1!W102))</f>
        <v/>
      </c>
      <c r="X102" s="17" t="str">
        <f>IF(共有用1!X102="","",共有用1!X102&amp;"/"&amp;COUNTIF(共有用1!X$2:X102,共有用1!X102))</f>
        <v/>
      </c>
      <c r="Y102" s="17" t="str">
        <f>IF(共有用1!Y102="","",共有用1!Y102&amp;"/"&amp;COUNTIF(共有用1!Y$2:Y102,共有用1!Y102))</f>
        <v/>
      </c>
      <c r="Z102" s="17" t="str">
        <f>IF(共有用1!Z102="","",共有用1!Z102&amp;"/"&amp;COUNTIF(共有用1!Z$2:Z102,共有用1!Z102))</f>
        <v/>
      </c>
      <c r="AA102" s="17" t="str">
        <f>IF(共有用1!AA102="","",共有用1!AA102&amp;"/"&amp;COUNTIF(共有用1!AA$2:AA102,共有用1!AA102))</f>
        <v/>
      </c>
      <c r="AB102" s="17" t="str">
        <f>IF(共有用1!AB102="","",共有用1!AB102&amp;"/"&amp;COUNTIF(共有用1!AB$2:AB102,共有用1!AB102))</f>
        <v/>
      </c>
      <c r="AC102" s="17" t="str">
        <f>IF(共有用1!AC102="","",共有用1!AC102&amp;"/"&amp;COUNTIF(共有用1!AC$2:AC102,共有用1!AC102))</f>
        <v/>
      </c>
      <c r="AD102" s="17" t="str">
        <f>IF(共有用1!AD102="","",共有用1!AD102&amp;"/"&amp;COUNTIF(共有用1!AD$2:AD102,共有用1!AD102))</f>
        <v/>
      </c>
      <c r="AE102" s="17" t="str">
        <f>IF(共有用1!AE102="","",共有用1!AE102&amp;"/"&amp;COUNTIF(共有用1!AE$2:AE102,共有用1!AE102))</f>
        <v/>
      </c>
      <c r="AF102" s="17" t="str">
        <f>IF(共有用1!AF102="","",共有用1!AF102&amp;"/"&amp;COUNTIF(共有用1!AF$2:AF102,共有用1!AF102))</f>
        <v/>
      </c>
      <c r="AG102" s="17" t="str">
        <f>IF(共有用1!AG102="","",共有用1!AG102&amp;"/"&amp;COUNTIF(共有用1!AG$2:AG102,共有用1!AG102))</f>
        <v/>
      </c>
      <c r="AH102" s="17" t="str">
        <f>IF(共有用1!AH102="","",共有用1!AH102&amp;"/"&amp;COUNTIF(共有用1!AH$2:AH102,共有用1!AH102))</f>
        <v/>
      </c>
      <c r="AI102" s="17" t="str">
        <f>IF(共有用1!AI102="","",共有用1!AI102&amp;"/"&amp;COUNTIF(共有用1!AI$2:AI102,共有用1!AI102))</f>
        <v/>
      </c>
      <c r="AJ102" s="17" t="str">
        <f>IF(共有用1!AJ102="","",共有用1!AJ102&amp;"/"&amp;COUNTIF(共有用1!AJ$2:AJ102,共有用1!AJ102))</f>
        <v/>
      </c>
      <c r="AK102" s="17" t="str">
        <f>IF(共有用1!AK102="","",共有用1!AK102&amp;"/"&amp;COUNTIF(共有用1!AK$2:AK102,共有用1!AK102))</f>
        <v/>
      </c>
      <c r="AL102" s="17" t="str">
        <f>IF(共有用1!AL102="","",共有用1!AL102&amp;"/"&amp;COUNTIF(共有用1!AL$2:AL102,共有用1!AL102))</f>
        <v/>
      </c>
      <c r="AM102" s="17" t="str">
        <f>IF(共有用1!AM102="","",共有用1!AM102&amp;"/"&amp;COUNTIF(共有用1!AM$2:AM102,共有用1!AM102))</f>
        <v/>
      </c>
      <c r="AN102" s="17" t="str">
        <f>IF(共有用1!AN102="","",共有用1!AN102&amp;"/"&amp;COUNTIF(共有用1!AN$2:AN102,共有用1!AN102))</f>
        <v/>
      </c>
      <c r="AO102" s="17" t="str">
        <f>IF(共有用1!AO102="","",共有用1!AO102&amp;"/"&amp;COUNTIF(共有用1!AO$2:AO102,共有用1!AO102))</f>
        <v/>
      </c>
      <c r="AP102" s="17" t="str">
        <f>IF(共有用1!AP102="","",共有用1!AP102&amp;"/"&amp;COUNTIF(共有用1!AP$2:AP102,共有用1!AP102))</f>
        <v/>
      </c>
      <c r="AQ102" s="17" t="str">
        <f>IF(共有用1!AQ102="","",共有用1!AQ102&amp;"/"&amp;COUNTIF(共有用1!AQ$2:AQ102,共有用1!AQ102))</f>
        <v/>
      </c>
      <c r="AR102" s="17" t="str">
        <f>IF(共有用1!AR102="","",共有用1!AR102&amp;"/"&amp;COUNTIF(共有用1!AR$2:AR102,共有用1!AR102))</f>
        <v/>
      </c>
      <c r="AS102" s="17" t="str">
        <f>IF(共有用1!AS102="","",共有用1!AS102&amp;"/"&amp;COUNTIF(共有用1!AS$2:AS102,共有用1!AS102))</f>
        <v/>
      </c>
      <c r="AT102" s="17" t="str">
        <f>IF(共有用1!AT102="","",共有用1!AT102&amp;"/"&amp;COUNTIF(共有用1!AT$2:AT102,共有用1!AT102))</f>
        <v/>
      </c>
      <c r="AU102" s="17" t="str">
        <f>IF(共有用1!AU102="","",共有用1!AU102&amp;"/"&amp;COUNTIF(共有用1!AU$2:AU102,共有用1!AU102))</f>
        <v/>
      </c>
      <c r="AV102" s="17" t="str">
        <f>IF(共有用1!AV102="","",共有用1!AV102&amp;"/"&amp;COUNTIF(共有用1!AV$2:AV102,共有用1!AV102))</f>
        <v/>
      </c>
      <c r="AW102" s="17" t="str">
        <f>IF(共有用1!AW102="","",共有用1!AW102&amp;"/"&amp;COUNTIF(共有用1!AW$2:AW102,共有用1!AW102))</f>
        <v/>
      </c>
      <c r="AX102" s="17" t="str">
        <f>IF(共有用1!AX102="","",共有用1!AX102&amp;"/"&amp;COUNTIF(共有用1!AX$2:AX102,共有用1!AX102))</f>
        <v/>
      </c>
      <c r="AY102" s="17" t="str">
        <f>IF(共有用1!AY102="","",共有用1!AY102&amp;"/"&amp;COUNTIF(共有用1!AY$2:AY102,共有用1!AY102))</f>
        <v/>
      </c>
      <c r="AZ102" s="17" t="str">
        <f>IF(共有用1!AZ102="","",共有用1!AZ102&amp;"/"&amp;COUNTIF(共有用1!AZ$2:AZ102,共有用1!AZ102))</f>
        <v/>
      </c>
      <c r="BA102" s="17" t="str">
        <f>IF(共有用1!BA102="","",共有用1!BA102&amp;"/"&amp;COUNTIF(共有用1!BA$2:BA102,共有用1!BA102))</f>
        <v/>
      </c>
    </row>
    <row r="103" spans="1:53">
      <c r="A103" s="2" t="str">
        <f>共有用1!A103</f>
        <v/>
      </c>
      <c r="B103" s="2" t="str">
        <f>共有用1!B103</f>
        <v/>
      </c>
      <c r="C103" s="2" t="str">
        <f>共有用1!C103</f>
        <v/>
      </c>
      <c r="D103" s="17" t="str">
        <f>IF(共有用1!D103="","",共有用1!D103&amp;"/"&amp;COUNTIF(共有用1!D$2:D103,共有用1!D103))</f>
        <v/>
      </c>
      <c r="E103" s="17" t="str">
        <f>IF(共有用1!E103="","",共有用1!E103&amp;"/"&amp;COUNTIF(共有用1!E$2:E103,共有用1!E103))</f>
        <v/>
      </c>
      <c r="F103" s="17" t="str">
        <f>IF(共有用1!F103="","",共有用1!F103&amp;"/"&amp;COUNTIF(共有用1!F$2:F103,共有用1!F103))</f>
        <v/>
      </c>
      <c r="G103" s="17" t="str">
        <f>IF(共有用1!G103="","",共有用1!G103&amp;"/"&amp;COUNTIF(共有用1!G$2:G103,共有用1!G103))</f>
        <v/>
      </c>
      <c r="H103" s="17" t="str">
        <f>IF(共有用1!H103="","",共有用1!H103&amp;"/"&amp;COUNTIF(共有用1!H$2:H103,共有用1!H103))</f>
        <v/>
      </c>
      <c r="I103" s="17" t="str">
        <f>IF(共有用1!I103="","",共有用1!I103&amp;"/"&amp;COUNTIF(共有用1!I$2:I103,共有用1!I103))</f>
        <v/>
      </c>
      <c r="J103" s="17" t="str">
        <f>IF(共有用1!J103="","",共有用1!J103&amp;"/"&amp;COUNTIF(共有用1!J$2:J103,共有用1!J103))</f>
        <v/>
      </c>
      <c r="K103" s="17" t="str">
        <f>IF(共有用1!K103="","",共有用1!K103&amp;"/"&amp;COUNTIF(共有用1!K$2:K103,共有用1!K103))</f>
        <v/>
      </c>
      <c r="L103" s="17" t="str">
        <f>IF(共有用1!L103="","",共有用1!L103&amp;"/"&amp;COUNTIF(共有用1!L$2:L103,共有用1!L103))</f>
        <v/>
      </c>
      <c r="M103" s="17" t="str">
        <f>IF(共有用1!M103="","",共有用1!M103&amp;"/"&amp;COUNTIF(共有用1!M$2:M103,共有用1!M103))</f>
        <v/>
      </c>
      <c r="N103" s="17" t="str">
        <f>IF(共有用1!N103="","",共有用1!N103&amp;"/"&amp;COUNTIF(共有用1!N$2:N103,共有用1!N103))</f>
        <v/>
      </c>
      <c r="O103" s="17" t="str">
        <f>IF(共有用1!O103="","",共有用1!O103&amp;"/"&amp;COUNTIF(共有用1!O$2:O103,共有用1!O103))</f>
        <v/>
      </c>
      <c r="P103" s="17" t="str">
        <f>IF(共有用1!P103="","",共有用1!P103&amp;"/"&amp;COUNTIF(共有用1!P$2:P103,共有用1!P103))</f>
        <v/>
      </c>
      <c r="Q103" s="17" t="str">
        <f>IF(共有用1!Q103="","",共有用1!Q103&amp;"/"&amp;COUNTIF(共有用1!Q$2:Q103,共有用1!Q103))</f>
        <v/>
      </c>
      <c r="R103" s="17" t="str">
        <f>IF(共有用1!R103="","",共有用1!R103&amp;"/"&amp;COUNTIF(共有用1!R$2:R103,共有用1!R103))</f>
        <v/>
      </c>
      <c r="S103" s="17" t="str">
        <f>IF(共有用1!S103="","",共有用1!S103&amp;"/"&amp;COUNTIF(共有用1!S$2:S103,共有用1!S103))</f>
        <v/>
      </c>
      <c r="T103" s="17" t="str">
        <f>IF(共有用1!T103="","",共有用1!T103&amp;"/"&amp;COUNTIF(共有用1!T$2:T103,共有用1!T103))</f>
        <v/>
      </c>
      <c r="U103" s="17" t="str">
        <f>IF(共有用1!U103="","",共有用1!U103&amp;"/"&amp;COUNTIF(共有用1!U$2:U103,共有用1!U103))</f>
        <v/>
      </c>
      <c r="V103" s="17" t="str">
        <f>IF(共有用1!V103="","",共有用1!V103&amp;"/"&amp;COUNTIF(共有用1!V$2:V103,共有用1!V103))</f>
        <v/>
      </c>
      <c r="W103" s="17" t="str">
        <f>IF(共有用1!W103="","",共有用1!W103&amp;"/"&amp;COUNTIF(共有用1!W$2:W103,共有用1!W103))</f>
        <v/>
      </c>
      <c r="X103" s="17" t="str">
        <f>IF(共有用1!X103="","",共有用1!X103&amp;"/"&amp;COUNTIF(共有用1!X$2:X103,共有用1!X103))</f>
        <v/>
      </c>
      <c r="Y103" s="17" t="str">
        <f>IF(共有用1!Y103="","",共有用1!Y103&amp;"/"&amp;COUNTIF(共有用1!Y$2:Y103,共有用1!Y103))</f>
        <v/>
      </c>
      <c r="Z103" s="17" t="str">
        <f>IF(共有用1!Z103="","",共有用1!Z103&amp;"/"&amp;COUNTIF(共有用1!Z$2:Z103,共有用1!Z103))</f>
        <v/>
      </c>
      <c r="AA103" s="17" t="str">
        <f>IF(共有用1!AA103="","",共有用1!AA103&amp;"/"&amp;COUNTIF(共有用1!AA$2:AA103,共有用1!AA103))</f>
        <v/>
      </c>
      <c r="AB103" s="17" t="str">
        <f>IF(共有用1!AB103="","",共有用1!AB103&amp;"/"&amp;COUNTIF(共有用1!AB$2:AB103,共有用1!AB103))</f>
        <v/>
      </c>
      <c r="AC103" s="17" t="str">
        <f>IF(共有用1!AC103="","",共有用1!AC103&amp;"/"&amp;COUNTIF(共有用1!AC$2:AC103,共有用1!AC103))</f>
        <v/>
      </c>
      <c r="AD103" s="17" t="str">
        <f>IF(共有用1!AD103="","",共有用1!AD103&amp;"/"&amp;COUNTIF(共有用1!AD$2:AD103,共有用1!AD103))</f>
        <v/>
      </c>
      <c r="AE103" s="17" t="str">
        <f>IF(共有用1!AE103="","",共有用1!AE103&amp;"/"&amp;COUNTIF(共有用1!AE$2:AE103,共有用1!AE103))</f>
        <v/>
      </c>
      <c r="AF103" s="17" t="str">
        <f>IF(共有用1!AF103="","",共有用1!AF103&amp;"/"&amp;COUNTIF(共有用1!AF$2:AF103,共有用1!AF103))</f>
        <v/>
      </c>
      <c r="AG103" s="17" t="str">
        <f>IF(共有用1!AG103="","",共有用1!AG103&amp;"/"&amp;COUNTIF(共有用1!AG$2:AG103,共有用1!AG103))</f>
        <v/>
      </c>
      <c r="AH103" s="17" t="str">
        <f>IF(共有用1!AH103="","",共有用1!AH103&amp;"/"&amp;COUNTIF(共有用1!AH$2:AH103,共有用1!AH103))</f>
        <v/>
      </c>
      <c r="AI103" s="17" t="str">
        <f>IF(共有用1!AI103="","",共有用1!AI103&amp;"/"&amp;COUNTIF(共有用1!AI$2:AI103,共有用1!AI103))</f>
        <v/>
      </c>
      <c r="AJ103" s="17" t="str">
        <f>IF(共有用1!AJ103="","",共有用1!AJ103&amp;"/"&amp;COUNTIF(共有用1!AJ$2:AJ103,共有用1!AJ103))</f>
        <v/>
      </c>
      <c r="AK103" s="17" t="str">
        <f>IF(共有用1!AK103="","",共有用1!AK103&amp;"/"&amp;COUNTIF(共有用1!AK$2:AK103,共有用1!AK103))</f>
        <v/>
      </c>
      <c r="AL103" s="17" t="str">
        <f>IF(共有用1!AL103="","",共有用1!AL103&amp;"/"&amp;COUNTIF(共有用1!AL$2:AL103,共有用1!AL103))</f>
        <v/>
      </c>
      <c r="AM103" s="17" t="str">
        <f>IF(共有用1!AM103="","",共有用1!AM103&amp;"/"&amp;COUNTIF(共有用1!AM$2:AM103,共有用1!AM103))</f>
        <v/>
      </c>
      <c r="AN103" s="17" t="str">
        <f>IF(共有用1!AN103="","",共有用1!AN103&amp;"/"&amp;COUNTIF(共有用1!AN$2:AN103,共有用1!AN103))</f>
        <v/>
      </c>
      <c r="AO103" s="17" t="str">
        <f>IF(共有用1!AO103="","",共有用1!AO103&amp;"/"&amp;COUNTIF(共有用1!AO$2:AO103,共有用1!AO103))</f>
        <v/>
      </c>
      <c r="AP103" s="17" t="str">
        <f>IF(共有用1!AP103="","",共有用1!AP103&amp;"/"&amp;COUNTIF(共有用1!AP$2:AP103,共有用1!AP103))</f>
        <v/>
      </c>
      <c r="AQ103" s="17" t="str">
        <f>IF(共有用1!AQ103="","",共有用1!AQ103&amp;"/"&amp;COUNTIF(共有用1!AQ$2:AQ103,共有用1!AQ103))</f>
        <v/>
      </c>
      <c r="AR103" s="17" t="str">
        <f>IF(共有用1!AR103="","",共有用1!AR103&amp;"/"&amp;COUNTIF(共有用1!AR$2:AR103,共有用1!AR103))</f>
        <v/>
      </c>
      <c r="AS103" s="17" t="str">
        <f>IF(共有用1!AS103="","",共有用1!AS103&amp;"/"&amp;COUNTIF(共有用1!AS$2:AS103,共有用1!AS103))</f>
        <v/>
      </c>
      <c r="AT103" s="17" t="str">
        <f>IF(共有用1!AT103="","",共有用1!AT103&amp;"/"&amp;COUNTIF(共有用1!AT$2:AT103,共有用1!AT103))</f>
        <v/>
      </c>
      <c r="AU103" s="17" t="str">
        <f>IF(共有用1!AU103="","",共有用1!AU103&amp;"/"&amp;COUNTIF(共有用1!AU$2:AU103,共有用1!AU103))</f>
        <v/>
      </c>
      <c r="AV103" s="17" t="str">
        <f>IF(共有用1!AV103="","",共有用1!AV103&amp;"/"&amp;COUNTIF(共有用1!AV$2:AV103,共有用1!AV103))</f>
        <v/>
      </c>
      <c r="AW103" s="17" t="str">
        <f>IF(共有用1!AW103="","",共有用1!AW103&amp;"/"&amp;COUNTIF(共有用1!AW$2:AW103,共有用1!AW103))</f>
        <v/>
      </c>
      <c r="AX103" s="17" t="str">
        <f>IF(共有用1!AX103="","",共有用1!AX103&amp;"/"&amp;COUNTIF(共有用1!AX$2:AX103,共有用1!AX103))</f>
        <v/>
      </c>
      <c r="AY103" s="17" t="str">
        <f>IF(共有用1!AY103="","",共有用1!AY103&amp;"/"&amp;COUNTIF(共有用1!AY$2:AY103,共有用1!AY103))</f>
        <v/>
      </c>
      <c r="AZ103" s="17" t="str">
        <f>IF(共有用1!AZ103="","",共有用1!AZ103&amp;"/"&amp;COUNTIF(共有用1!AZ$2:AZ103,共有用1!AZ103))</f>
        <v/>
      </c>
      <c r="BA103" s="17" t="str">
        <f>IF(共有用1!BA103="","",共有用1!BA103&amp;"/"&amp;COUNTIF(共有用1!BA$2:BA103,共有用1!BA103))</f>
        <v/>
      </c>
    </row>
    <row r="104" spans="1:53">
      <c r="A104" s="2" t="str">
        <f>共有用1!A104</f>
        <v/>
      </c>
      <c r="B104" s="2" t="str">
        <f>共有用1!B104</f>
        <v/>
      </c>
      <c r="C104" s="2" t="str">
        <f>共有用1!C104</f>
        <v/>
      </c>
      <c r="D104" s="17" t="str">
        <f>IF(共有用1!D104="","",共有用1!D104&amp;"/"&amp;COUNTIF(共有用1!D$2:D104,共有用1!D104))</f>
        <v/>
      </c>
      <c r="E104" s="17" t="str">
        <f>IF(共有用1!E104="","",共有用1!E104&amp;"/"&amp;COUNTIF(共有用1!E$2:E104,共有用1!E104))</f>
        <v/>
      </c>
      <c r="F104" s="17" t="str">
        <f>IF(共有用1!F104="","",共有用1!F104&amp;"/"&amp;COUNTIF(共有用1!F$2:F104,共有用1!F104))</f>
        <v/>
      </c>
      <c r="G104" s="17" t="str">
        <f>IF(共有用1!G104="","",共有用1!G104&amp;"/"&amp;COUNTIF(共有用1!G$2:G104,共有用1!G104))</f>
        <v/>
      </c>
      <c r="H104" s="17" t="str">
        <f>IF(共有用1!H104="","",共有用1!H104&amp;"/"&amp;COUNTIF(共有用1!H$2:H104,共有用1!H104))</f>
        <v/>
      </c>
      <c r="I104" s="17" t="str">
        <f>IF(共有用1!I104="","",共有用1!I104&amp;"/"&amp;COUNTIF(共有用1!I$2:I104,共有用1!I104))</f>
        <v/>
      </c>
      <c r="J104" s="17" t="str">
        <f>IF(共有用1!J104="","",共有用1!J104&amp;"/"&amp;COUNTIF(共有用1!J$2:J104,共有用1!J104))</f>
        <v/>
      </c>
      <c r="K104" s="17" t="str">
        <f>IF(共有用1!K104="","",共有用1!K104&amp;"/"&amp;COUNTIF(共有用1!K$2:K104,共有用1!K104))</f>
        <v/>
      </c>
      <c r="L104" s="17" t="str">
        <f>IF(共有用1!L104="","",共有用1!L104&amp;"/"&amp;COUNTIF(共有用1!L$2:L104,共有用1!L104))</f>
        <v/>
      </c>
      <c r="M104" s="17" t="str">
        <f>IF(共有用1!M104="","",共有用1!M104&amp;"/"&amp;COUNTIF(共有用1!M$2:M104,共有用1!M104))</f>
        <v/>
      </c>
      <c r="N104" s="17" t="str">
        <f>IF(共有用1!N104="","",共有用1!N104&amp;"/"&amp;COUNTIF(共有用1!N$2:N104,共有用1!N104))</f>
        <v/>
      </c>
      <c r="O104" s="17" t="str">
        <f>IF(共有用1!O104="","",共有用1!O104&amp;"/"&amp;COUNTIF(共有用1!O$2:O104,共有用1!O104))</f>
        <v/>
      </c>
      <c r="P104" s="17" t="str">
        <f>IF(共有用1!P104="","",共有用1!P104&amp;"/"&amp;COUNTIF(共有用1!P$2:P104,共有用1!P104))</f>
        <v/>
      </c>
      <c r="Q104" s="17" t="str">
        <f>IF(共有用1!Q104="","",共有用1!Q104&amp;"/"&amp;COUNTIF(共有用1!Q$2:Q104,共有用1!Q104))</f>
        <v/>
      </c>
      <c r="R104" s="17" t="str">
        <f>IF(共有用1!R104="","",共有用1!R104&amp;"/"&amp;COUNTIF(共有用1!R$2:R104,共有用1!R104))</f>
        <v/>
      </c>
      <c r="S104" s="17" t="str">
        <f>IF(共有用1!S104="","",共有用1!S104&amp;"/"&amp;COUNTIF(共有用1!S$2:S104,共有用1!S104))</f>
        <v/>
      </c>
      <c r="T104" s="17" t="str">
        <f>IF(共有用1!T104="","",共有用1!T104&amp;"/"&amp;COUNTIF(共有用1!T$2:T104,共有用1!T104))</f>
        <v/>
      </c>
      <c r="U104" s="17" t="str">
        <f>IF(共有用1!U104="","",共有用1!U104&amp;"/"&amp;COUNTIF(共有用1!U$2:U104,共有用1!U104))</f>
        <v/>
      </c>
      <c r="V104" s="17" t="str">
        <f>IF(共有用1!V104="","",共有用1!V104&amp;"/"&amp;COUNTIF(共有用1!V$2:V104,共有用1!V104))</f>
        <v/>
      </c>
      <c r="W104" s="17" t="str">
        <f>IF(共有用1!W104="","",共有用1!W104&amp;"/"&amp;COUNTIF(共有用1!W$2:W104,共有用1!W104))</f>
        <v/>
      </c>
      <c r="X104" s="17" t="str">
        <f>IF(共有用1!X104="","",共有用1!X104&amp;"/"&amp;COUNTIF(共有用1!X$2:X104,共有用1!X104))</f>
        <v/>
      </c>
      <c r="Y104" s="17" t="str">
        <f>IF(共有用1!Y104="","",共有用1!Y104&amp;"/"&amp;COUNTIF(共有用1!Y$2:Y104,共有用1!Y104))</f>
        <v/>
      </c>
      <c r="Z104" s="17" t="str">
        <f>IF(共有用1!Z104="","",共有用1!Z104&amp;"/"&amp;COUNTIF(共有用1!Z$2:Z104,共有用1!Z104))</f>
        <v/>
      </c>
      <c r="AA104" s="17" t="str">
        <f>IF(共有用1!AA104="","",共有用1!AA104&amp;"/"&amp;COUNTIF(共有用1!AA$2:AA104,共有用1!AA104))</f>
        <v/>
      </c>
      <c r="AB104" s="17" t="str">
        <f>IF(共有用1!AB104="","",共有用1!AB104&amp;"/"&amp;COUNTIF(共有用1!AB$2:AB104,共有用1!AB104))</f>
        <v/>
      </c>
      <c r="AC104" s="17" t="str">
        <f>IF(共有用1!AC104="","",共有用1!AC104&amp;"/"&amp;COUNTIF(共有用1!AC$2:AC104,共有用1!AC104))</f>
        <v/>
      </c>
      <c r="AD104" s="17" t="str">
        <f>IF(共有用1!AD104="","",共有用1!AD104&amp;"/"&amp;COUNTIF(共有用1!AD$2:AD104,共有用1!AD104))</f>
        <v/>
      </c>
      <c r="AE104" s="17" t="str">
        <f>IF(共有用1!AE104="","",共有用1!AE104&amp;"/"&amp;COUNTIF(共有用1!AE$2:AE104,共有用1!AE104))</f>
        <v/>
      </c>
      <c r="AF104" s="17" t="str">
        <f>IF(共有用1!AF104="","",共有用1!AF104&amp;"/"&amp;COUNTIF(共有用1!AF$2:AF104,共有用1!AF104))</f>
        <v/>
      </c>
      <c r="AG104" s="17" t="str">
        <f>IF(共有用1!AG104="","",共有用1!AG104&amp;"/"&amp;COUNTIF(共有用1!AG$2:AG104,共有用1!AG104))</f>
        <v/>
      </c>
      <c r="AH104" s="17" t="str">
        <f>IF(共有用1!AH104="","",共有用1!AH104&amp;"/"&amp;COUNTIF(共有用1!AH$2:AH104,共有用1!AH104))</f>
        <v/>
      </c>
      <c r="AI104" s="17" t="str">
        <f>IF(共有用1!AI104="","",共有用1!AI104&amp;"/"&amp;COUNTIF(共有用1!AI$2:AI104,共有用1!AI104))</f>
        <v/>
      </c>
      <c r="AJ104" s="17" t="str">
        <f>IF(共有用1!AJ104="","",共有用1!AJ104&amp;"/"&amp;COUNTIF(共有用1!AJ$2:AJ104,共有用1!AJ104))</f>
        <v/>
      </c>
      <c r="AK104" s="17" t="str">
        <f>IF(共有用1!AK104="","",共有用1!AK104&amp;"/"&amp;COUNTIF(共有用1!AK$2:AK104,共有用1!AK104))</f>
        <v/>
      </c>
      <c r="AL104" s="17" t="str">
        <f>IF(共有用1!AL104="","",共有用1!AL104&amp;"/"&amp;COUNTIF(共有用1!AL$2:AL104,共有用1!AL104))</f>
        <v/>
      </c>
      <c r="AM104" s="17" t="str">
        <f>IF(共有用1!AM104="","",共有用1!AM104&amp;"/"&amp;COUNTIF(共有用1!AM$2:AM104,共有用1!AM104))</f>
        <v/>
      </c>
      <c r="AN104" s="17" t="str">
        <f>IF(共有用1!AN104="","",共有用1!AN104&amp;"/"&amp;COUNTIF(共有用1!AN$2:AN104,共有用1!AN104))</f>
        <v/>
      </c>
      <c r="AO104" s="17" t="str">
        <f>IF(共有用1!AO104="","",共有用1!AO104&amp;"/"&amp;COUNTIF(共有用1!AO$2:AO104,共有用1!AO104))</f>
        <v/>
      </c>
      <c r="AP104" s="17" t="str">
        <f>IF(共有用1!AP104="","",共有用1!AP104&amp;"/"&amp;COUNTIF(共有用1!AP$2:AP104,共有用1!AP104))</f>
        <v/>
      </c>
      <c r="AQ104" s="17" t="str">
        <f>IF(共有用1!AQ104="","",共有用1!AQ104&amp;"/"&amp;COUNTIF(共有用1!AQ$2:AQ104,共有用1!AQ104))</f>
        <v/>
      </c>
      <c r="AR104" s="17" t="str">
        <f>IF(共有用1!AR104="","",共有用1!AR104&amp;"/"&amp;COUNTIF(共有用1!AR$2:AR104,共有用1!AR104))</f>
        <v/>
      </c>
      <c r="AS104" s="17" t="str">
        <f>IF(共有用1!AS104="","",共有用1!AS104&amp;"/"&amp;COUNTIF(共有用1!AS$2:AS104,共有用1!AS104))</f>
        <v/>
      </c>
      <c r="AT104" s="17" t="str">
        <f>IF(共有用1!AT104="","",共有用1!AT104&amp;"/"&amp;COUNTIF(共有用1!AT$2:AT104,共有用1!AT104))</f>
        <v/>
      </c>
      <c r="AU104" s="17" t="str">
        <f>IF(共有用1!AU104="","",共有用1!AU104&amp;"/"&amp;COUNTIF(共有用1!AU$2:AU104,共有用1!AU104))</f>
        <v/>
      </c>
      <c r="AV104" s="17" t="str">
        <f>IF(共有用1!AV104="","",共有用1!AV104&amp;"/"&amp;COUNTIF(共有用1!AV$2:AV104,共有用1!AV104))</f>
        <v/>
      </c>
      <c r="AW104" s="17" t="str">
        <f>IF(共有用1!AW104="","",共有用1!AW104&amp;"/"&amp;COUNTIF(共有用1!AW$2:AW104,共有用1!AW104))</f>
        <v/>
      </c>
      <c r="AX104" s="17" t="str">
        <f>IF(共有用1!AX104="","",共有用1!AX104&amp;"/"&amp;COUNTIF(共有用1!AX$2:AX104,共有用1!AX104))</f>
        <v/>
      </c>
      <c r="AY104" s="17" t="str">
        <f>IF(共有用1!AY104="","",共有用1!AY104&amp;"/"&amp;COUNTIF(共有用1!AY$2:AY104,共有用1!AY104))</f>
        <v/>
      </c>
      <c r="AZ104" s="17" t="str">
        <f>IF(共有用1!AZ104="","",共有用1!AZ104&amp;"/"&amp;COUNTIF(共有用1!AZ$2:AZ104,共有用1!AZ104))</f>
        <v/>
      </c>
      <c r="BA104" s="17" t="str">
        <f>IF(共有用1!BA104="","",共有用1!BA104&amp;"/"&amp;COUNTIF(共有用1!BA$2:BA104,共有用1!BA104))</f>
        <v/>
      </c>
    </row>
    <row r="105" spans="1:53">
      <c r="A105" s="2" t="str">
        <f>共有用1!A105</f>
        <v/>
      </c>
      <c r="B105" s="2" t="str">
        <f>共有用1!B105</f>
        <v/>
      </c>
      <c r="C105" s="2" t="str">
        <f>共有用1!C105</f>
        <v/>
      </c>
      <c r="D105" s="17" t="str">
        <f>IF(共有用1!D105="","",共有用1!D105&amp;"/"&amp;COUNTIF(共有用1!D$2:D105,共有用1!D105))</f>
        <v/>
      </c>
      <c r="E105" s="17" t="str">
        <f>IF(共有用1!E105="","",共有用1!E105&amp;"/"&amp;COUNTIF(共有用1!E$2:E105,共有用1!E105))</f>
        <v/>
      </c>
      <c r="F105" s="17" t="str">
        <f>IF(共有用1!F105="","",共有用1!F105&amp;"/"&amp;COUNTIF(共有用1!F$2:F105,共有用1!F105))</f>
        <v/>
      </c>
      <c r="G105" s="17" t="str">
        <f>IF(共有用1!G105="","",共有用1!G105&amp;"/"&amp;COUNTIF(共有用1!G$2:G105,共有用1!G105))</f>
        <v/>
      </c>
      <c r="H105" s="17" t="str">
        <f>IF(共有用1!H105="","",共有用1!H105&amp;"/"&amp;COUNTIF(共有用1!H$2:H105,共有用1!H105))</f>
        <v/>
      </c>
      <c r="I105" s="17" t="str">
        <f>IF(共有用1!I105="","",共有用1!I105&amp;"/"&amp;COUNTIF(共有用1!I$2:I105,共有用1!I105))</f>
        <v/>
      </c>
      <c r="J105" s="17" t="str">
        <f>IF(共有用1!J105="","",共有用1!J105&amp;"/"&amp;COUNTIF(共有用1!J$2:J105,共有用1!J105))</f>
        <v/>
      </c>
      <c r="K105" s="17" t="str">
        <f>IF(共有用1!K105="","",共有用1!K105&amp;"/"&amp;COUNTIF(共有用1!K$2:K105,共有用1!K105))</f>
        <v/>
      </c>
      <c r="L105" s="17" t="str">
        <f>IF(共有用1!L105="","",共有用1!L105&amp;"/"&amp;COUNTIF(共有用1!L$2:L105,共有用1!L105))</f>
        <v/>
      </c>
      <c r="M105" s="17" t="str">
        <f>IF(共有用1!M105="","",共有用1!M105&amp;"/"&amp;COUNTIF(共有用1!M$2:M105,共有用1!M105))</f>
        <v/>
      </c>
      <c r="N105" s="17" t="str">
        <f>IF(共有用1!N105="","",共有用1!N105&amp;"/"&amp;COUNTIF(共有用1!N$2:N105,共有用1!N105))</f>
        <v/>
      </c>
      <c r="O105" s="17" t="str">
        <f>IF(共有用1!O105="","",共有用1!O105&amp;"/"&amp;COUNTIF(共有用1!O$2:O105,共有用1!O105))</f>
        <v/>
      </c>
      <c r="P105" s="17" t="str">
        <f>IF(共有用1!P105="","",共有用1!P105&amp;"/"&amp;COUNTIF(共有用1!P$2:P105,共有用1!P105))</f>
        <v/>
      </c>
      <c r="Q105" s="17" t="str">
        <f>IF(共有用1!Q105="","",共有用1!Q105&amp;"/"&amp;COUNTIF(共有用1!Q$2:Q105,共有用1!Q105))</f>
        <v/>
      </c>
      <c r="R105" s="17" t="str">
        <f>IF(共有用1!R105="","",共有用1!R105&amp;"/"&amp;COUNTIF(共有用1!R$2:R105,共有用1!R105))</f>
        <v/>
      </c>
      <c r="S105" s="17" t="str">
        <f>IF(共有用1!S105="","",共有用1!S105&amp;"/"&amp;COUNTIF(共有用1!S$2:S105,共有用1!S105))</f>
        <v/>
      </c>
      <c r="T105" s="17" t="str">
        <f>IF(共有用1!T105="","",共有用1!T105&amp;"/"&amp;COUNTIF(共有用1!T$2:T105,共有用1!T105))</f>
        <v/>
      </c>
      <c r="U105" s="17" t="str">
        <f>IF(共有用1!U105="","",共有用1!U105&amp;"/"&amp;COUNTIF(共有用1!U$2:U105,共有用1!U105))</f>
        <v/>
      </c>
      <c r="V105" s="17" t="str">
        <f>IF(共有用1!V105="","",共有用1!V105&amp;"/"&amp;COUNTIF(共有用1!V$2:V105,共有用1!V105))</f>
        <v/>
      </c>
      <c r="W105" s="17" t="str">
        <f>IF(共有用1!W105="","",共有用1!W105&amp;"/"&amp;COUNTIF(共有用1!W$2:W105,共有用1!W105))</f>
        <v/>
      </c>
      <c r="X105" s="17" t="str">
        <f>IF(共有用1!X105="","",共有用1!X105&amp;"/"&amp;COUNTIF(共有用1!X$2:X105,共有用1!X105))</f>
        <v/>
      </c>
      <c r="Y105" s="17" t="str">
        <f>IF(共有用1!Y105="","",共有用1!Y105&amp;"/"&amp;COUNTIF(共有用1!Y$2:Y105,共有用1!Y105))</f>
        <v/>
      </c>
      <c r="Z105" s="17" t="str">
        <f>IF(共有用1!Z105="","",共有用1!Z105&amp;"/"&amp;COUNTIF(共有用1!Z$2:Z105,共有用1!Z105))</f>
        <v/>
      </c>
      <c r="AA105" s="17" t="str">
        <f>IF(共有用1!AA105="","",共有用1!AA105&amp;"/"&amp;COUNTIF(共有用1!AA$2:AA105,共有用1!AA105))</f>
        <v/>
      </c>
      <c r="AB105" s="17" t="str">
        <f>IF(共有用1!AB105="","",共有用1!AB105&amp;"/"&amp;COUNTIF(共有用1!AB$2:AB105,共有用1!AB105))</f>
        <v/>
      </c>
      <c r="AC105" s="17" t="str">
        <f>IF(共有用1!AC105="","",共有用1!AC105&amp;"/"&amp;COUNTIF(共有用1!AC$2:AC105,共有用1!AC105))</f>
        <v/>
      </c>
      <c r="AD105" s="17" t="str">
        <f>IF(共有用1!AD105="","",共有用1!AD105&amp;"/"&amp;COUNTIF(共有用1!AD$2:AD105,共有用1!AD105))</f>
        <v/>
      </c>
      <c r="AE105" s="17" t="str">
        <f>IF(共有用1!AE105="","",共有用1!AE105&amp;"/"&amp;COUNTIF(共有用1!AE$2:AE105,共有用1!AE105))</f>
        <v/>
      </c>
      <c r="AF105" s="17" t="str">
        <f>IF(共有用1!AF105="","",共有用1!AF105&amp;"/"&amp;COUNTIF(共有用1!AF$2:AF105,共有用1!AF105))</f>
        <v/>
      </c>
      <c r="AG105" s="17" t="str">
        <f>IF(共有用1!AG105="","",共有用1!AG105&amp;"/"&amp;COUNTIF(共有用1!AG$2:AG105,共有用1!AG105))</f>
        <v/>
      </c>
      <c r="AH105" s="17" t="str">
        <f>IF(共有用1!AH105="","",共有用1!AH105&amp;"/"&amp;COUNTIF(共有用1!AH$2:AH105,共有用1!AH105))</f>
        <v/>
      </c>
      <c r="AI105" s="17" t="str">
        <f>IF(共有用1!AI105="","",共有用1!AI105&amp;"/"&amp;COUNTIF(共有用1!AI$2:AI105,共有用1!AI105))</f>
        <v/>
      </c>
      <c r="AJ105" s="17" t="str">
        <f>IF(共有用1!AJ105="","",共有用1!AJ105&amp;"/"&amp;COUNTIF(共有用1!AJ$2:AJ105,共有用1!AJ105))</f>
        <v/>
      </c>
      <c r="AK105" s="17" t="str">
        <f>IF(共有用1!AK105="","",共有用1!AK105&amp;"/"&amp;COUNTIF(共有用1!AK$2:AK105,共有用1!AK105))</f>
        <v/>
      </c>
      <c r="AL105" s="17" t="str">
        <f>IF(共有用1!AL105="","",共有用1!AL105&amp;"/"&amp;COUNTIF(共有用1!AL$2:AL105,共有用1!AL105))</f>
        <v/>
      </c>
      <c r="AM105" s="17" t="str">
        <f>IF(共有用1!AM105="","",共有用1!AM105&amp;"/"&amp;COUNTIF(共有用1!AM$2:AM105,共有用1!AM105))</f>
        <v/>
      </c>
      <c r="AN105" s="17" t="str">
        <f>IF(共有用1!AN105="","",共有用1!AN105&amp;"/"&amp;COUNTIF(共有用1!AN$2:AN105,共有用1!AN105))</f>
        <v/>
      </c>
      <c r="AO105" s="17" t="str">
        <f>IF(共有用1!AO105="","",共有用1!AO105&amp;"/"&amp;COUNTIF(共有用1!AO$2:AO105,共有用1!AO105))</f>
        <v/>
      </c>
      <c r="AP105" s="17" t="str">
        <f>IF(共有用1!AP105="","",共有用1!AP105&amp;"/"&amp;COUNTIF(共有用1!AP$2:AP105,共有用1!AP105))</f>
        <v/>
      </c>
      <c r="AQ105" s="17" t="str">
        <f>IF(共有用1!AQ105="","",共有用1!AQ105&amp;"/"&amp;COUNTIF(共有用1!AQ$2:AQ105,共有用1!AQ105))</f>
        <v/>
      </c>
      <c r="AR105" s="17" t="str">
        <f>IF(共有用1!AR105="","",共有用1!AR105&amp;"/"&amp;COUNTIF(共有用1!AR$2:AR105,共有用1!AR105))</f>
        <v/>
      </c>
      <c r="AS105" s="17" t="str">
        <f>IF(共有用1!AS105="","",共有用1!AS105&amp;"/"&amp;COUNTIF(共有用1!AS$2:AS105,共有用1!AS105))</f>
        <v/>
      </c>
      <c r="AT105" s="17" t="str">
        <f>IF(共有用1!AT105="","",共有用1!AT105&amp;"/"&amp;COUNTIF(共有用1!AT$2:AT105,共有用1!AT105))</f>
        <v/>
      </c>
      <c r="AU105" s="17" t="str">
        <f>IF(共有用1!AU105="","",共有用1!AU105&amp;"/"&amp;COUNTIF(共有用1!AU$2:AU105,共有用1!AU105))</f>
        <v/>
      </c>
      <c r="AV105" s="17" t="str">
        <f>IF(共有用1!AV105="","",共有用1!AV105&amp;"/"&amp;COUNTIF(共有用1!AV$2:AV105,共有用1!AV105))</f>
        <v/>
      </c>
      <c r="AW105" s="17" t="str">
        <f>IF(共有用1!AW105="","",共有用1!AW105&amp;"/"&amp;COUNTIF(共有用1!AW$2:AW105,共有用1!AW105))</f>
        <v/>
      </c>
      <c r="AX105" s="17" t="str">
        <f>IF(共有用1!AX105="","",共有用1!AX105&amp;"/"&amp;COUNTIF(共有用1!AX$2:AX105,共有用1!AX105))</f>
        <v/>
      </c>
      <c r="AY105" s="17" t="str">
        <f>IF(共有用1!AY105="","",共有用1!AY105&amp;"/"&amp;COUNTIF(共有用1!AY$2:AY105,共有用1!AY105))</f>
        <v/>
      </c>
      <c r="AZ105" s="17" t="str">
        <f>IF(共有用1!AZ105="","",共有用1!AZ105&amp;"/"&amp;COUNTIF(共有用1!AZ$2:AZ105,共有用1!AZ105))</f>
        <v/>
      </c>
      <c r="BA105" s="17" t="str">
        <f>IF(共有用1!BA105="","",共有用1!BA105&amp;"/"&amp;COUNTIF(共有用1!BA$2:BA105,共有用1!BA105))</f>
        <v/>
      </c>
    </row>
    <row r="106" spans="1:53">
      <c r="A106" s="2" t="str">
        <f>共有用1!A106</f>
        <v/>
      </c>
      <c r="B106" s="2" t="str">
        <f>共有用1!B106</f>
        <v/>
      </c>
      <c r="C106" s="2" t="str">
        <f>共有用1!C106</f>
        <v/>
      </c>
      <c r="D106" s="17" t="str">
        <f>IF(共有用1!D106="","",共有用1!D106&amp;"/"&amp;COUNTIF(共有用1!D$2:D106,共有用1!D106))</f>
        <v/>
      </c>
      <c r="E106" s="17" t="str">
        <f>IF(共有用1!E106="","",共有用1!E106&amp;"/"&amp;COUNTIF(共有用1!E$2:E106,共有用1!E106))</f>
        <v/>
      </c>
      <c r="F106" s="17" t="str">
        <f>IF(共有用1!F106="","",共有用1!F106&amp;"/"&amp;COUNTIF(共有用1!F$2:F106,共有用1!F106))</f>
        <v/>
      </c>
      <c r="G106" s="17" t="str">
        <f>IF(共有用1!G106="","",共有用1!G106&amp;"/"&amp;COUNTIF(共有用1!G$2:G106,共有用1!G106))</f>
        <v/>
      </c>
      <c r="H106" s="17" t="str">
        <f>IF(共有用1!H106="","",共有用1!H106&amp;"/"&amp;COUNTIF(共有用1!H$2:H106,共有用1!H106))</f>
        <v/>
      </c>
      <c r="I106" s="17" t="str">
        <f>IF(共有用1!I106="","",共有用1!I106&amp;"/"&amp;COUNTIF(共有用1!I$2:I106,共有用1!I106))</f>
        <v/>
      </c>
      <c r="J106" s="17" t="str">
        <f>IF(共有用1!J106="","",共有用1!J106&amp;"/"&amp;COUNTIF(共有用1!J$2:J106,共有用1!J106))</f>
        <v/>
      </c>
      <c r="K106" s="17" t="str">
        <f>IF(共有用1!K106="","",共有用1!K106&amp;"/"&amp;COUNTIF(共有用1!K$2:K106,共有用1!K106))</f>
        <v/>
      </c>
      <c r="L106" s="17" t="str">
        <f>IF(共有用1!L106="","",共有用1!L106&amp;"/"&amp;COUNTIF(共有用1!L$2:L106,共有用1!L106))</f>
        <v/>
      </c>
      <c r="M106" s="17" t="str">
        <f>IF(共有用1!M106="","",共有用1!M106&amp;"/"&amp;COUNTIF(共有用1!M$2:M106,共有用1!M106))</f>
        <v/>
      </c>
      <c r="N106" s="17" t="str">
        <f>IF(共有用1!N106="","",共有用1!N106&amp;"/"&amp;COUNTIF(共有用1!N$2:N106,共有用1!N106))</f>
        <v/>
      </c>
      <c r="O106" s="17" t="str">
        <f>IF(共有用1!O106="","",共有用1!O106&amp;"/"&amp;COUNTIF(共有用1!O$2:O106,共有用1!O106))</f>
        <v/>
      </c>
      <c r="P106" s="17" t="str">
        <f>IF(共有用1!P106="","",共有用1!P106&amp;"/"&amp;COUNTIF(共有用1!P$2:P106,共有用1!P106))</f>
        <v/>
      </c>
      <c r="Q106" s="17" t="str">
        <f>IF(共有用1!Q106="","",共有用1!Q106&amp;"/"&amp;COUNTIF(共有用1!Q$2:Q106,共有用1!Q106))</f>
        <v/>
      </c>
      <c r="R106" s="17" t="str">
        <f>IF(共有用1!R106="","",共有用1!R106&amp;"/"&amp;COUNTIF(共有用1!R$2:R106,共有用1!R106))</f>
        <v/>
      </c>
      <c r="S106" s="17" t="str">
        <f>IF(共有用1!S106="","",共有用1!S106&amp;"/"&amp;COUNTIF(共有用1!S$2:S106,共有用1!S106))</f>
        <v/>
      </c>
      <c r="T106" s="17" t="str">
        <f>IF(共有用1!T106="","",共有用1!T106&amp;"/"&amp;COUNTIF(共有用1!T$2:T106,共有用1!T106))</f>
        <v/>
      </c>
      <c r="U106" s="17" t="str">
        <f>IF(共有用1!U106="","",共有用1!U106&amp;"/"&amp;COUNTIF(共有用1!U$2:U106,共有用1!U106))</f>
        <v/>
      </c>
      <c r="V106" s="17" t="str">
        <f>IF(共有用1!V106="","",共有用1!V106&amp;"/"&amp;COUNTIF(共有用1!V$2:V106,共有用1!V106))</f>
        <v/>
      </c>
      <c r="W106" s="17" t="str">
        <f>IF(共有用1!W106="","",共有用1!W106&amp;"/"&amp;COUNTIF(共有用1!W$2:W106,共有用1!W106))</f>
        <v/>
      </c>
      <c r="X106" s="17" t="str">
        <f>IF(共有用1!X106="","",共有用1!X106&amp;"/"&amp;COUNTIF(共有用1!X$2:X106,共有用1!X106))</f>
        <v/>
      </c>
      <c r="Y106" s="17" t="str">
        <f>IF(共有用1!Y106="","",共有用1!Y106&amp;"/"&amp;COUNTIF(共有用1!Y$2:Y106,共有用1!Y106))</f>
        <v/>
      </c>
      <c r="Z106" s="17" t="str">
        <f>IF(共有用1!Z106="","",共有用1!Z106&amp;"/"&amp;COUNTIF(共有用1!Z$2:Z106,共有用1!Z106))</f>
        <v/>
      </c>
      <c r="AA106" s="17" t="str">
        <f>IF(共有用1!AA106="","",共有用1!AA106&amp;"/"&amp;COUNTIF(共有用1!AA$2:AA106,共有用1!AA106))</f>
        <v/>
      </c>
      <c r="AB106" s="17" t="str">
        <f>IF(共有用1!AB106="","",共有用1!AB106&amp;"/"&amp;COUNTIF(共有用1!AB$2:AB106,共有用1!AB106))</f>
        <v/>
      </c>
      <c r="AC106" s="17" t="str">
        <f>IF(共有用1!AC106="","",共有用1!AC106&amp;"/"&amp;COUNTIF(共有用1!AC$2:AC106,共有用1!AC106))</f>
        <v/>
      </c>
      <c r="AD106" s="17" t="str">
        <f>IF(共有用1!AD106="","",共有用1!AD106&amp;"/"&amp;COUNTIF(共有用1!AD$2:AD106,共有用1!AD106))</f>
        <v/>
      </c>
      <c r="AE106" s="17" t="str">
        <f>IF(共有用1!AE106="","",共有用1!AE106&amp;"/"&amp;COUNTIF(共有用1!AE$2:AE106,共有用1!AE106))</f>
        <v/>
      </c>
      <c r="AF106" s="17" t="str">
        <f>IF(共有用1!AF106="","",共有用1!AF106&amp;"/"&amp;COUNTIF(共有用1!AF$2:AF106,共有用1!AF106))</f>
        <v/>
      </c>
      <c r="AG106" s="17" t="str">
        <f>IF(共有用1!AG106="","",共有用1!AG106&amp;"/"&amp;COUNTIF(共有用1!AG$2:AG106,共有用1!AG106))</f>
        <v/>
      </c>
      <c r="AH106" s="17" t="str">
        <f>IF(共有用1!AH106="","",共有用1!AH106&amp;"/"&amp;COUNTIF(共有用1!AH$2:AH106,共有用1!AH106))</f>
        <v/>
      </c>
      <c r="AI106" s="17" t="str">
        <f>IF(共有用1!AI106="","",共有用1!AI106&amp;"/"&amp;COUNTIF(共有用1!AI$2:AI106,共有用1!AI106))</f>
        <v/>
      </c>
      <c r="AJ106" s="17" t="str">
        <f>IF(共有用1!AJ106="","",共有用1!AJ106&amp;"/"&amp;COUNTIF(共有用1!AJ$2:AJ106,共有用1!AJ106))</f>
        <v/>
      </c>
      <c r="AK106" s="17" t="str">
        <f>IF(共有用1!AK106="","",共有用1!AK106&amp;"/"&amp;COUNTIF(共有用1!AK$2:AK106,共有用1!AK106))</f>
        <v/>
      </c>
      <c r="AL106" s="17" t="str">
        <f>IF(共有用1!AL106="","",共有用1!AL106&amp;"/"&amp;COUNTIF(共有用1!AL$2:AL106,共有用1!AL106))</f>
        <v/>
      </c>
      <c r="AM106" s="17" t="str">
        <f>IF(共有用1!AM106="","",共有用1!AM106&amp;"/"&amp;COUNTIF(共有用1!AM$2:AM106,共有用1!AM106))</f>
        <v/>
      </c>
      <c r="AN106" s="17" t="str">
        <f>IF(共有用1!AN106="","",共有用1!AN106&amp;"/"&amp;COUNTIF(共有用1!AN$2:AN106,共有用1!AN106))</f>
        <v/>
      </c>
      <c r="AO106" s="17" t="str">
        <f>IF(共有用1!AO106="","",共有用1!AO106&amp;"/"&amp;COUNTIF(共有用1!AO$2:AO106,共有用1!AO106))</f>
        <v/>
      </c>
      <c r="AP106" s="17" t="str">
        <f>IF(共有用1!AP106="","",共有用1!AP106&amp;"/"&amp;COUNTIF(共有用1!AP$2:AP106,共有用1!AP106))</f>
        <v/>
      </c>
      <c r="AQ106" s="17" t="str">
        <f>IF(共有用1!AQ106="","",共有用1!AQ106&amp;"/"&amp;COUNTIF(共有用1!AQ$2:AQ106,共有用1!AQ106))</f>
        <v/>
      </c>
      <c r="AR106" s="17" t="str">
        <f>IF(共有用1!AR106="","",共有用1!AR106&amp;"/"&amp;COUNTIF(共有用1!AR$2:AR106,共有用1!AR106))</f>
        <v/>
      </c>
      <c r="AS106" s="17" t="str">
        <f>IF(共有用1!AS106="","",共有用1!AS106&amp;"/"&amp;COUNTIF(共有用1!AS$2:AS106,共有用1!AS106))</f>
        <v/>
      </c>
      <c r="AT106" s="17" t="str">
        <f>IF(共有用1!AT106="","",共有用1!AT106&amp;"/"&amp;COUNTIF(共有用1!AT$2:AT106,共有用1!AT106))</f>
        <v/>
      </c>
      <c r="AU106" s="17" t="str">
        <f>IF(共有用1!AU106="","",共有用1!AU106&amp;"/"&amp;COUNTIF(共有用1!AU$2:AU106,共有用1!AU106))</f>
        <v/>
      </c>
      <c r="AV106" s="17" t="str">
        <f>IF(共有用1!AV106="","",共有用1!AV106&amp;"/"&amp;COUNTIF(共有用1!AV$2:AV106,共有用1!AV106))</f>
        <v/>
      </c>
      <c r="AW106" s="17" t="str">
        <f>IF(共有用1!AW106="","",共有用1!AW106&amp;"/"&amp;COUNTIF(共有用1!AW$2:AW106,共有用1!AW106))</f>
        <v/>
      </c>
      <c r="AX106" s="17" t="str">
        <f>IF(共有用1!AX106="","",共有用1!AX106&amp;"/"&amp;COUNTIF(共有用1!AX$2:AX106,共有用1!AX106))</f>
        <v/>
      </c>
      <c r="AY106" s="17" t="str">
        <f>IF(共有用1!AY106="","",共有用1!AY106&amp;"/"&amp;COUNTIF(共有用1!AY$2:AY106,共有用1!AY106))</f>
        <v/>
      </c>
      <c r="AZ106" s="17" t="str">
        <f>IF(共有用1!AZ106="","",共有用1!AZ106&amp;"/"&amp;COUNTIF(共有用1!AZ$2:AZ106,共有用1!AZ106))</f>
        <v/>
      </c>
      <c r="BA106" s="17" t="str">
        <f>IF(共有用1!BA106="","",共有用1!BA106&amp;"/"&amp;COUNTIF(共有用1!BA$2:BA106,共有用1!BA106))</f>
        <v/>
      </c>
    </row>
    <row r="107" spans="1:53">
      <c r="A107" s="2" t="str">
        <f>共有用1!A107</f>
        <v/>
      </c>
      <c r="B107" s="2" t="str">
        <f>共有用1!B107</f>
        <v/>
      </c>
      <c r="C107" s="2" t="str">
        <f>共有用1!C107</f>
        <v/>
      </c>
      <c r="D107" s="17" t="str">
        <f>IF(共有用1!D107="","",共有用1!D107&amp;"/"&amp;COUNTIF(共有用1!D$2:D107,共有用1!D107))</f>
        <v/>
      </c>
      <c r="E107" s="17" t="str">
        <f>IF(共有用1!E107="","",共有用1!E107&amp;"/"&amp;COUNTIF(共有用1!E$2:E107,共有用1!E107))</f>
        <v/>
      </c>
      <c r="F107" s="17" t="str">
        <f>IF(共有用1!F107="","",共有用1!F107&amp;"/"&amp;COUNTIF(共有用1!F$2:F107,共有用1!F107))</f>
        <v/>
      </c>
      <c r="G107" s="17" t="str">
        <f>IF(共有用1!G107="","",共有用1!G107&amp;"/"&amp;COUNTIF(共有用1!G$2:G107,共有用1!G107))</f>
        <v/>
      </c>
      <c r="H107" s="17" t="str">
        <f>IF(共有用1!H107="","",共有用1!H107&amp;"/"&amp;COUNTIF(共有用1!H$2:H107,共有用1!H107))</f>
        <v/>
      </c>
      <c r="I107" s="17" t="str">
        <f>IF(共有用1!I107="","",共有用1!I107&amp;"/"&amp;COUNTIF(共有用1!I$2:I107,共有用1!I107))</f>
        <v/>
      </c>
      <c r="J107" s="17" t="str">
        <f>IF(共有用1!J107="","",共有用1!J107&amp;"/"&amp;COUNTIF(共有用1!J$2:J107,共有用1!J107))</f>
        <v/>
      </c>
      <c r="K107" s="17" t="str">
        <f>IF(共有用1!K107="","",共有用1!K107&amp;"/"&amp;COUNTIF(共有用1!K$2:K107,共有用1!K107))</f>
        <v/>
      </c>
      <c r="L107" s="17" t="str">
        <f>IF(共有用1!L107="","",共有用1!L107&amp;"/"&amp;COUNTIF(共有用1!L$2:L107,共有用1!L107))</f>
        <v/>
      </c>
      <c r="M107" s="17" t="str">
        <f>IF(共有用1!M107="","",共有用1!M107&amp;"/"&amp;COUNTIF(共有用1!M$2:M107,共有用1!M107))</f>
        <v/>
      </c>
      <c r="N107" s="17" t="str">
        <f>IF(共有用1!N107="","",共有用1!N107&amp;"/"&amp;COUNTIF(共有用1!N$2:N107,共有用1!N107))</f>
        <v/>
      </c>
      <c r="O107" s="17" t="str">
        <f>IF(共有用1!O107="","",共有用1!O107&amp;"/"&amp;COUNTIF(共有用1!O$2:O107,共有用1!O107))</f>
        <v/>
      </c>
      <c r="P107" s="17" t="str">
        <f>IF(共有用1!P107="","",共有用1!P107&amp;"/"&amp;COUNTIF(共有用1!P$2:P107,共有用1!P107))</f>
        <v/>
      </c>
      <c r="Q107" s="17" t="str">
        <f>IF(共有用1!Q107="","",共有用1!Q107&amp;"/"&amp;COUNTIF(共有用1!Q$2:Q107,共有用1!Q107))</f>
        <v/>
      </c>
      <c r="R107" s="17" t="str">
        <f>IF(共有用1!R107="","",共有用1!R107&amp;"/"&amp;COUNTIF(共有用1!R$2:R107,共有用1!R107))</f>
        <v/>
      </c>
      <c r="S107" s="17" t="str">
        <f>IF(共有用1!S107="","",共有用1!S107&amp;"/"&amp;COUNTIF(共有用1!S$2:S107,共有用1!S107))</f>
        <v/>
      </c>
      <c r="T107" s="17" t="str">
        <f>IF(共有用1!T107="","",共有用1!T107&amp;"/"&amp;COUNTIF(共有用1!T$2:T107,共有用1!T107))</f>
        <v/>
      </c>
      <c r="U107" s="17" t="str">
        <f>IF(共有用1!U107="","",共有用1!U107&amp;"/"&amp;COUNTIF(共有用1!U$2:U107,共有用1!U107))</f>
        <v/>
      </c>
      <c r="V107" s="17" t="str">
        <f>IF(共有用1!V107="","",共有用1!V107&amp;"/"&amp;COUNTIF(共有用1!V$2:V107,共有用1!V107))</f>
        <v/>
      </c>
      <c r="W107" s="17" t="str">
        <f>IF(共有用1!W107="","",共有用1!W107&amp;"/"&amp;COUNTIF(共有用1!W$2:W107,共有用1!W107))</f>
        <v/>
      </c>
      <c r="X107" s="17" t="str">
        <f>IF(共有用1!X107="","",共有用1!X107&amp;"/"&amp;COUNTIF(共有用1!X$2:X107,共有用1!X107))</f>
        <v/>
      </c>
      <c r="Y107" s="17" t="str">
        <f>IF(共有用1!Y107="","",共有用1!Y107&amp;"/"&amp;COUNTIF(共有用1!Y$2:Y107,共有用1!Y107))</f>
        <v/>
      </c>
      <c r="Z107" s="17" t="str">
        <f>IF(共有用1!Z107="","",共有用1!Z107&amp;"/"&amp;COUNTIF(共有用1!Z$2:Z107,共有用1!Z107))</f>
        <v/>
      </c>
      <c r="AA107" s="17" t="str">
        <f>IF(共有用1!AA107="","",共有用1!AA107&amp;"/"&amp;COUNTIF(共有用1!AA$2:AA107,共有用1!AA107))</f>
        <v/>
      </c>
      <c r="AB107" s="17" t="str">
        <f>IF(共有用1!AB107="","",共有用1!AB107&amp;"/"&amp;COUNTIF(共有用1!AB$2:AB107,共有用1!AB107))</f>
        <v/>
      </c>
      <c r="AC107" s="17" t="str">
        <f>IF(共有用1!AC107="","",共有用1!AC107&amp;"/"&amp;COUNTIF(共有用1!AC$2:AC107,共有用1!AC107))</f>
        <v/>
      </c>
      <c r="AD107" s="17" t="str">
        <f>IF(共有用1!AD107="","",共有用1!AD107&amp;"/"&amp;COUNTIF(共有用1!AD$2:AD107,共有用1!AD107))</f>
        <v/>
      </c>
      <c r="AE107" s="17" t="str">
        <f>IF(共有用1!AE107="","",共有用1!AE107&amp;"/"&amp;COUNTIF(共有用1!AE$2:AE107,共有用1!AE107))</f>
        <v/>
      </c>
      <c r="AF107" s="17" t="str">
        <f>IF(共有用1!AF107="","",共有用1!AF107&amp;"/"&amp;COUNTIF(共有用1!AF$2:AF107,共有用1!AF107))</f>
        <v/>
      </c>
      <c r="AG107" s="17" t="str">
        <f>IF(共有用1!AG107="","",共有用1!AG107&amp;"/"&amp;COUNTIF(共有用1!AG$2:AG107,共有用1!AG107))</f>
        <v/>
      </c>
      <c r="AH107" s="17" t="str">
        <f>IF(共有用1!AH107="","",共有用1!AH107&amp;"/"&amp;COUNTIF(共有用1!AH$2:AH107,共有用1!AH107))</f>
        <v/>
      </c>
      <c r="AI107" s="17" t="str">
        <f>IF(共有用1!AI107="","",共有用1!AI107&amp;"/"&amp;COUNTIF(共有用1!AI$2:AI107,共有用1!AI107))</f>
        <v/>
      </c>
      <c r="AJ107" s="17" t="str">
        <f>IF(共有用1!AJ107="","",共有用1!AJ107&amp;"/"&amp;COUNTIF(共有用1!AJ$2:AJ107,共有用1!AJ107))</f>
        <v/>
      </c>
      <c r="AK107" s="17" t="str">
        <f>IF(共有用1!AK107="","",共有用1!AK107&amp;"/"&amp;COUNTIF(共有用1!AK$2:AK107,共有用1!AK107))</f>
        <v/>
      </c>
      <c r="AL107" s="17" t="str">
        <f>IF(共有用1!AL107="","",共有用1!AL107&amp;"/"&amp;COUNTIF(共有用1!AL$2:AL107,共有用1!AL107))</f>
        <v/>
      </c>
      <c r="AM107" s="17" t="str">
        <f>IF(共有用1!AM107="","",共有用1!AM107&amp;"/"&amp;COUNTIF(共有用1!AM$2:AM107,共有用1!AM107))</f>
        <v/>
      </c>
      <c r="AN107" s="17" t="str">
        <f>IF(共有用1!AN107="","",共有用1!AN107&amp;"/"&amp;COUNTIF(共有用1!AN$2:AN107,共有用1!AN107))</f>
        <v/>
      </c>
      <c r="AO107" s="17" t="str">
        <f>IF(共有用1!AO107="","",共有用1!AO107&amp;"/"&amp;COUNTIF(共有用1!AO$2:AO107,共有用1!AO107))</f>
        <v/>
      </c>
      <c r="AP107" s="17" t="str">
        <f>IF(共有用1!AP107="","",共有用1!AP107&amp;"/"&amp;COUNTIF(共有用1!AP$2:AP107,共有用1!AP107))</f>
        <v/>
      </c>
      <c r="AQ107" s="17" t="str">
        <f>IF(共有用1!AQ107="","",共有用1!AQ107&amp;"/"&amp;COUNTIF(共有用1!AQ$2:AQ107,共有用1!AQ107))</f>
        <v/>
      </c>
      <c r="AR107" s="17" t="str">
        <f>IF(共有用1!AR107="","",共有用1!AR107&amp;"/"&amp;COUNTIF(共有用1!AR$2:AR107,共有用1!AR107))</f>
        <v/>
      </c>
      <c r="AS107" s="17" t="str">
        <f>IF(共有用1!AS107="","",共有用1!AS107&amp;"/"&amp;COUNTIF(共有用1!AS$2:AS107,共有用1!AS107))</f>
        <v/>
      </c>
      <c r="AT107" s="17" t="str">
        <f>IF(共有用1!AT107="","",共有用1!AT107&amp;"/"&amp;COUNTIF(共有用1!AT$2:AT107,共有用1!AT107))</f>
        <v/>
      </c>
      <c r="AU107" s="17" t="str">
        <f>IF(共有用1!AU107="","",共有用1!AU107&amp;"/"&amp;COUNTIF(共有用1!AU$2:AU107,共有用1!AU107))</f>
        <v/>
      </c>
      <c r="AV107" s="17" t="str">
        <f>IF(共有用1!AV107="","",共有用1!AV107&amp;"/"&amp;COUNTIF(共有用1!AV$2:AV107,共有用1!AV107))</f>
        <v/>
      </c>
      <c r="AW107" s="17" t="str">
        <f>IF(共有用1!AW107="","",共有用1!AW107&amp;"/"&amp;COUNTIF(共有用1!AW$2:AW107,共有用1!AW107))</f>
        <v/>
      </c>
      <c r="AX107" s="17" t="str">
        <f>IF(共有用1!AX107="","",共有用1!AX107&amp;"/"&amp;COUNTIF(共有用1!AX$2:AX107,共有用1!AX107))</f>
        <v/>
      </c>
      <c r="AY107" s="17" t="str">
        <f>IF(共有用1!AY107="","",共有用1!AY107&amp;"/"&amp;COUNTIF(共有用1!AY$2:AY107,共有用1!AY107))</f>
        <v/>
      </c>
      <c r="AZ107" s="17" t="str">
        <f>IF(共有用1!AZ107="","",共有用1!AZ107&amp;"/"&amp;COUNTIF(共有用1!AZ$2:AZ107,共有用1!AZ107))</f>
        <v/>
      </c>
      <c r="BA107" s="17" t="str">
        <f>IF(共有用1!BA107="","",共有用1!BA107&amp;"/"&amp;COUNTIF(共有用1!BA$2:BA107,共有用1!BA107))</f>
        <v/>
      </c>
    </row>
    <row r="108" spans="1:53">
      <c r="A108" s="2" t="str">
        <f>共有用1!A108</f>
        <v/>
      </c>
      <c r="B108" s="2" t="str">
        <f>共有用1!B108</f>
        <v/>
      </c>
      <c r="C108" s="2" t="str">
        <f>共有用1!C108</f>
        <v/>
      </c>
      <c r="D108" s="17" t="str">
        <f>IF(共有用1!D108="","",共有用1!D108&amp;"/"&amp;COUNTIF(共有用1!D$2:D108,共有用1!D108))</f>
        <v/>
      </c>
      <c r="E108" s="17" t="str">
        <f>IF(共有用1!E108="","",共有用1!E108&amp;"/"&amp;COUNTIF(共有用1!E$2:E108,共有用1!E108))</f>
        <v/>
      </c>
      <c r="F108" s="17" t="str">
        <f>IF(共有用1!F108="","",共有用1!F108&amp;"/"&amp;COUNTIF(共有用1!F$2:F108,共有用1!F108))</f>
        <v/>
      </c>
      <c r="G108" s="17" t="str">
        <f>IF(共有用1!G108="","",共有用1!G108&amp;"/"&amp;COUNTIF(共有用1!G$2:G108,共有用1!G108))</f>
        <v/>
      </c>
      <c r="H108" s="17" t="str">
        <f>IF(共有用1!H108="","",共有用1!H108&amp;"/"&amp;COUNTIF(共有用1!H$2:H108,共有用1!H108))</f>
        <v/>
      </c>
      <c r="I108" s="17" t="str">
        <f>IF(共有用1!I108="","",共有用1!I108&amp;"/"&amp;COUNTIF(共有用1!I$2:I108,共有用1!I108))</f>
        <v/>
      </c>
      <c r="J108" s="17" t="str">
        <f>IF(共有用1!J108="","",共有用1!J108&amp;"/"&amp;COUNTIF(共有用1!J$2:J108,共有用1!J108))</f>
        <v/>
      </c>
      <c r="K108" s="17" t="str">
        <f>IF(共有用1!K108="","",共有用1!K108&amp;"/"&amp;COUNTIF(共有用1!K$2:K108,共有用1!K108))</f>
        <v/>
      </c>
      <c r="L108" s="17" t="str">
        <f>IF(共有用1!L108="","",共有用1!L108&amp;"/"&amp;COUNTIF(共有用1!L$2:L108,共有用1!L108))</f>
        <v/>
      </c>
      <c r="M108" s="17" t="str">
        <f>IF(共有用1!M108="","",共有用1!M108&amp;"/"&amp;COUNTIF(共有用1!M$2:M108,共有用1!M108))</f>
        <v/>
      </c>
      <c r="N108" s="17" t="str">
        <f>IF(共有用1!N108="","",共有用1!N108&amp;"/"&amp;COUNTIF(共有用1!N$2:N108,共有用1!N108))</f>
        <v/>
      </c>
      <c r="O108" s="17" t="str">
        <f>IF(共有用1!O108="","",共有用1!O108&amp;"/"&amp;COUNTIF(共有用1!O$2:O108,共有用1!O108))</f>
        <v/>
      </c>
      <c r="P108" s="17" t="str">
        <f>IF(共有用1!P108="","",共有用1!P108&amp;"/"&amp;COUNTIF(共有用1!P$2:P108,共有用1!P108))</f>
        <v/>
      </c>
      <c r="Q108" s="17" t="str">
        <f>IF(共有用1!Q108="","",共有用1!Q108&amp;"/"&amp;COUNTIF(共有用1!Q$2:Q108,共有用1!Q108))</f>
        <v/>
      </c>
      <c r="R108" s="17" t="str">
        <f>IF(共有用1!R108="","",共有用1!R108&amp;"/"&amp;COUNTIF(共有用1!R$2:R108,共有用1!R108))</f>
        <v/>
      </c>
      <c r="S108" s="17" t="str">
        <f>IF(共有用1!S108="","",共有用1!S108&amp;"/"&amp;COUNTIF(共有用1!S$2:S108,共有用1!S108))</f>
        <v/>
      </c>
      <c r="T108" s="17" t="str">
        <f>IF(共有用1!T108="","",共有用1!T108&amp;"/"&amp;COUNTIF(共有用1!T$2:T108,共有用1!T108))</f>
        <v/>
      </c>
      <c r="U108" s="17" t="str">
        <f>IF(共有用1!U108="","",共有用1!U108&amp;"/"&amp;COUNTIF(共有用1!U$2:U108,共有用1!U108))</f>
        <v/>
      </c>
      <c r="V108" s="17" t="str">
        <f>IF(共有用1!V108="","",共有用1!V108&amp;"/"&amp;COUNTIF(共有用1!V$2:V108,共有用1!V108))</f>
        <v/>
      </c>
      <c r="W108" s="17" t="str">
        <f>IF(共有用1!W108="","",共有用1!W108&amp;"/"&amp;COUNTIF(共有用1!W$2:W108,共有用1!W108))</f>
        <v/>
      </c>
      <c r="X108" s="17" t="str">
        <f>IF(共有用1!X108="","",共有用1!X108&amp;"/"&amp;COUNTIF(共有用1!X$2:X108,共有用1!X108))</f>
        <v/>
      </c>
      <c r="Y108" s="17" t="str">
        <f>IF(共有用1!Y108="","",共有用1!Y108&amp;"/"&amp;COUNTIF(共有用1!Y$2:Y108,共有用1!Y108))</f>
        <v/>
      </c>
      <c r="Z108" s="17" t="str">
        <f>IF(共有用1!Z108="","",共有用1!Z108&amp;"/"&amp;COUNTIF(共有用1!Z$2:Z108,共有用1!Z108))</f>
        <v/>
      </c>
      <c r="AA108" s="17" t="str">
        <f>IF(共有用1!AA108="","",共有用1!AA108&amp;"/"&amp;COUNTIF(共有用1!AA$2:AA108,共有用1!AA108))</f>
        <v/>
      </c>
      <c r="AB108" s="17" t="str">
        <f>IF(共有用1!AB108="","",共有用1!AB108&amp;"/"&amp;COUNTIF(共有用1!AB$2:AB108,共有用1!AB108))</f>
        <v/>
      </c>
      <c r="AC108" s="17" t="str">
        <f>IF(共有用1!AC108="","",共有用1!AC108&amp;"/"&amp;COUNTIF(共有用1!AC$2:AC108,共有用1!AC108))</f>
        <v/>
      </c>
      <c r="AD108" s="17" t="str">
        <f>IF(共有用1!AD108="","",共有用1!AD108&amp;"/"&amp;COUNTIF(共有用1!AD$2:AD108,共有用1!AD108))</f>
        <v/>
      </c>
      <c r="AE108" s="17" t="str">
        <f>IF(共有用1!AE108="","",共有用1!AE108&amp;"/"&amp;COUNTIF(共有用1!AE$2:AE108,共有用1!AE108))</f>
        <v/>
      </c>
      <c r="AF108" s="17" t="str">
        <f>IF(共有用1!AF108="","",共有用1!AF108&amp;"/"&amp;COUNTIF(共有用1!AF$2:AF108,共有用1!AF108))</f>
        <v/>
      </c>
      <c r="AG108" s="17" t="str">
        <f>IF(共有用1!AG108="","",共有用1!AG108&amp;"/"&amp;COUNTIF(共有用1!AG$2:AG108,共有用1!AG108))</f>
        <v/>
      </c>
      <c r="AH108" s="17" t="str">
        <f>IF(共有用1!AH108="","",共有用1!AH108&amp;"/"&amp;COUNTIF(共有用1!AH$2:AH108,共有用1!AH108))</f>
        <v/>
      </c>
      <c r="AI108" s="17" t="str">
        <f>IF(共有用1!AI108="","",共有用1!AI108&amp;"/"&amp;COUNTIF(共有用1!AI$2:AI108,共有用1!AI108))</f>
        <v/>
      </c>
      <c r="AJ108" s="17" t="str">
        <f>IF(共有用1!AJ108="","",共有用1!AJ108&amp;"/"&amp;COUNTIF(共有用1!AJ$2:AJ108,共有用1!AJ108))</f>
        <v/>
      </c>
      <c r="AK108" s="17" t="str">
        <f>IF(共有用1!AK108="","",共有用1!AK108&amp;"/"&amp;COUNTIF(共有用1!AK$2:AK108,共有用1!AK108))</f>
        <v/>
      </c>
      <c r="AL108" s="17" t="str">
        <f>IF(共有用1!AL108="","",共有用1!AL108&amp;"/"&amp;COUNTIF(共有用1!AL$2:AL108,共有用1!AL108))</f>
        <v/>
      </c>
      <c r="AM108" s="17" t="str">
        <f>IF(共有用1!AM108="","",共有用1!AM108&amp;"/"&amp;COUNTIF(共有用1!AM$2:AM108,共有用1!AM108))</f>
        <v/>
      </c>
      <c r="AN108" s="17" t="str">
        <f>IF(共有用1!AN108="","",共有用1!AN108&amp;"/"&amp;COUNTIF(共有用1!AN$2:AN108,共有用1!AN108))</f>
        <v/>
      </c>
      <c r="AO108" s="17" t="str">
        <f>IF(共有用1!AO108="","",共有用1!AO108&amp;"/"&amp;COUNTIF(共有用1!AO$2:AO108,共有用1!AO108))</f>
        <v/>
      </c>
      <c r="AP108" s="17" t="str">
        <f>IF(共有用1!AP108="","",共有用1!AP108&amp;"/"&amp;COUNTIF(共有用1!AP$2:AP108,共有用1!AP108))</f>
        <v/>
      </c>
      <c r="AQ108" s="17" t="str">
        <f>IF(共有用1!AQ108="","",共有用1!AQ108&amp;"/"&amp;COUNTIF(共有用1!AQ$2:AQ108,共有用1!AQ108))</f>
        <v/>
      </c>
      <c r="AR108" s="17" t="str">
        <f>IF(共有用1!AR108="","",共有用1!AR108&amp;"/"&amp;COUNTIF(共有用1!AR$2:AR108,共有用1!AR108))</f>
        <v/>
      </c>
      <c r="AS108" s="17" t="str">
        <f>IF(共有用1!AS108="","",共有用1!AS108&amp;"/"&amp;COUNTIF(共有用1!AS$2:AS108,共有用1!AS108))</f>
        <v/>
      </c>
      <c r="AT108" s="17" t="str">
        <f>IF(共有用1!AT108="","",共有用1!AT108&amp;"/"&amp;COUNTIF(共有用1!AT$2:AT108,共有用1!AT108))</f>
        <v/>
      </c>
      <c r="AU108" s="17" t="str">
        <f>IF(共有用1!AU108="","",共有用1!AU108&amp;"/"&amp;COUNTIF(共有用1!AU$2:AU108,共有用1!AU108))</f>
        <v/>
      </c>
      <c r="AV108" s="17" t="str">
        <f>IF(共有用1!AV108="","",共有用1!AV108&amp;"/"&amp;COUNTIF(共有用1!AV$2:AV108,共有用1!AV108))</f>
        <v/>
      </c>
      <c r="AW108" s="17" t="str">
        <f>IF(共有用1!AW108="","",共有用1!AW108&amp;"/"&amp;COUNTIF(共有用1!AW$2:AW108,共有用1!AW108))</f>
        <v/>
      </c>
      <c r="AX108" s="17" t="str">
        <f>IF(共有用1!AX108="","",共有用1!AX108&amp;"/"&amp;COUNTIF(共有用1!AX$2:AX108,共有用1!AX108))</f>
        <v/>
      </c>
      <c r="AY108" s="17" t="str">
        <f>IF(共有用1!AY108="","",共有用1!AY108&amp;"/"&amp;COUNTIF(共有用1!AY$2:AY108,共有用1!AY108))</f>
        <v/>
      </c>
      <c r="AZ108" s="17" t="str">
        <f>IF(共有用1!AZ108="","",共有用1!AZ108&amp;"/"&amp;COUNTIF(共有用1!AZ$2:AZ108,共有用1!AZ108))</f>
        <v/>
      </c>
      <c r="BA108" s="17" t="str">
        <f>IF(共有用1!BA108="","",共有用1!BA108&amp;"/"&amp;COUNTIF(共有用1!BA$2:BA108,共有用1!BA108))</f>
        <v/>
      </c>
    </row>
    <row r="109" spans="1:53">
      <c r="A109" s="2" t="str">
        <f>共有用1!A109</f>
        <v/>
      </c>
      <c r="B109" s="2" t="str">
        <f>共有用1!B109</f>
        <v/>
      </c>
      <c r="C109" s="2" t="str">
        <f>共有用1!C109</f>
        <v/>
      </c>
      <c r="D109" s="17" t="str">
        <f>IF(共有用1!D109="","",共有用1!D109&amp;"/"&amp;COUNTIF(共有用1!D$2:D109,共有用1!D109))</f>
        <v/>
      </c>
      <c r="E109" s="17" t="str">
        <f>IF(共有用1!E109="","",共有用1!E109&amp;"/"&amp;COUNTIF(共有用1!E$2:E109,共有用1!E109))</f>
        <v/>
      </c>
      <c r="F109" s="17" t="str">
        <f>IF(共有用1!F109="","",共有用1!F109&amp;"/"&amp;COUNTIF(共有用1!F$2:F109,共有用1!F109))</f>
        <v/>
      </c>
      <c r="G109" s="17" t="str">
        <f>IF(共有用1!G109="","",共有用1!G109&amp;"/"&amp;COUNTIF(共有用1!G$2:G109,共有用1!G109))</f>
        <v/>
      </c>
      <c r="H109" s="17" t="str">
        <f>IF(共有用1!H109="","",共有用1!H109&amp;"/"&amp;COUNTIF(共有用1!H$2:H109,共有用1!H109))</f>
        <v/>
      </c>
      <c r="I109" s="17" t="str">
        <f>IF(共有用1!I109="","",共有用1!I109&amp;"/"&amp;COUNTIF(共有用1!I$2:I109,共有用1!I109))</f>
        <v/>
      </c>
      <c r="J109" s="17" t="str">
        <f>IF(共有用1!J109="","",共有用1!J109&amp;"/"&amp;COUNTIF(共有用1!J$2:J109,共有用1!J109))</f>
        <v/>
      </c>
      <c r="K109" s="17" t="str">
        <f>IF(共有用1!K109="","",共有用1!K109&amp;"/"&amp;COUNTIF(共有用1!K$2:K109,共有用1!K109))</f>
        <v/>
      </c>
      <c r="L109" s="17" t="str">
        <f>IF(共有用1!L109="","",共有用1!L109&amp;"/"&amp;COUNTIF(共有用1!L$2:L109,共有用1!L109))</f>
        <v/>
      </c>
      <c r="M109" s="17" t="str">
        <f>IF(共有用1!M109="","",共有用1!M109&amp;"/"&amp;COUNTIF(共有用1!M$2:M109,共有用1!M109))</f>
        <v/>
      </c>
      <c r="N109" s="17" t="str">
        <f>IF(共有用1!N109="","",共有用1!N109&amp;"/"&amp;COUNTIF(共有用1!N$2:N109,共有用1!N109))</f>
        <v/>
      </c>
      <c r="O109" s="17" t="str">
        <f>IF(共有用1!O109="","",共有用1!O109&amp;"/"&amp;COUNTIF(共有用1!O$2:O109,共有用1!O109))</f>
        <v/>
      </c>
      <c r="P109" s="17" t="str">
        <f>IF(共有用1!P109="","",共有用1!P109&amp;"/"&amp;COUNTIF(共有用1!P$2:P109,共有用1!P109))</f>
        <v/>
      </c>
      <c r="Q109" s="17" t="str">
        <f>IF(共有用1!Q109="","",共有用1!Q109&amp;"/"&amp;COUNTIF(共有用1!Q$2:Q109,共有用1!Q109))</f>
        <v/>
      </c>
      <c r="R109" s="17" t="str">
        <f>IF(共有用1!R109="","",共有用1!R109&amp;"/"&amp;COUNTIF(共有用1!R$2:R109,共有用1!R109))</f>
        <v/>
      </c>
      <c r="S109" s="17" t="str">
        <f>IF(共有用1!S109="","",共有用1!S109&amp;"/"&amp;COUNTIF(共有用1!S$2:S109,共有用1!S109))</f>
        <v/>
      </c>
      <c r="T109" s="17" t="str">
        <f>IF(共有用1!T109="","",共有用1!T109&amp;"/"&amp;COUNTIF(共有用1!T$2:T109,共有用1!T109))</f>
        <v/>
      </c>
      <c r="U109" s="17" t="str">
        <f>IF(共有用1!U109="","",共有用1!U109&amp;"/"&amp;COUNTIF(共有用1!U$2:U109,共有用1!U109))</f>
        <v/>
      </c>
      <c r="V109" s="17" t="str">
        <f>IF(共有用1!V109="","",共有用1!V109&amp;"/"&amp;COUNTIF(共有用1!V$2:V109,共有用1!V109))</f>
        <v/>
      </c>
      <c r="W109" s="17" t="str">
        <f>IF(共有用1!W109="","",共有用1!W109&amp;"/"&amp;COUNTIF(共有用1!W$2:W109,共有用1!W109))</f>
        <v/>
      </c>
      <c r="X109" s="17" t="str">
        <f>IF(共有用1!X109="","",共有用1!X109&amp;"/"&amp;COUNTIF(共有用1!X$2:X109,共有用1!X109))</f>
        <v/>
      </c>
      <c r="Y109" s="17" t="str">
        <f>IF(共有用1!Y109="","",共有用1!Y109&amp;"/"&amp;COUNTIF(共有用1!Y$2:Y109,共有用1!Y109))</f>
        <v/>
      </c>
      <c r="Z109" s="17" t="str">
        <f>IF(共有用1!Z109="","",共有用1!Z109&amp;"/"&amp;COUNTIF(共有用1!Z$2:Z109,共有用1!Z109))</f>
        <v/>
      </c>
      <c r="AA109" s="17" t="str">
        <f>IF(共有用1!AA109="","",共有用1!AA109&amp;"/"&amp;COUNTIF(共有用1!AA$2:AA109,共有用1!AA109))</f>
        <v/>
      </c>
      <c r="AB109" s="17" t="str">
        <f>IF(共有用1!AB109="","",共有用1!AB109&amp;"/"&amp;COUNTIF(共有用1!AB$2:AB109,共有用1!AB109))</f>
        <v/>
      </c>
      <c r="AC109" s="17" t="str">
        <f>IF(共有用1!AC109="","",共有用1!AC109&amp;"/"&amp;COUNTIF(共有用1!AC$2:AC109,共有用1!AC109))</f>
        <v/>
      </c>
      <c r="AD109" s="17" t="str">
        <f>IF(共有用1!AD109="","",共有用1!AD109&amp;"/"&amp;COUNTIF(共有用1!AD$2:AD109,共有用1!AD109))</f>
        <v/>
      </c>
      <c r="AE109" s="17" t="str">
        <f>IF(共有用1!AE109="","",共有用1!AE109&amp;"/"&amp;COUNTIF(共有用1!AE$2:AE109,共有用1!AE109))</f>
        <v/>
      </c>
      <c r="AF109" s="17" t="str">
        <f>IF(共有用1!AF109="","",共有用1!AF109&amp;"/"&amp;COUNTIF(共有用1!AF$2:AF109,共有用1!AF109))</f>
        <v/>
      </c>
      <c r="AG109" s="17" t="str">
        <f>IF(共有用1!AG109="","",共有用1!AG109&amp;"/"&amp;COUNTIF(共有用1!AG$2:AG109,共有用1!AG109))</f>
        <v/>
      </c>
      <c r="AH109" s="17" t="str">
        <f>IF(共有用1!AH109="","",共有用1!AH109&amp;"/"&amp;COUNTIF(共有用1!AH$2:AH109,共有用1!AH109))</f>
        <v/>
      </c>
      <c r="AI109" s="17" t="str">
        <f>IF(共有用1!AI109="","",共有用1!AI109&amp;"/"&amp;COUNTIF(共有用1!AI$2:AI109,共有用1!AI109))</f>
        <v/>
      </c>
      <c r="AJ109" s="17" t="str">
        <f>IF(共有用1!AJ109="","",共有用1!AJ109&amp;"/"&amp;COUNTIF(共有用1!AJ$2:AJ109,共有用1!AJ109))</f>
        <v/>
      </c>
      <c r="AK109" s="17" t="str">
        <f>IF(共有用1!AK109="","",共有用1!AK109&amp;"/"&amp;COUNTIF(共有用1!AK$2:AK109,共有用1!AK109))</f>
        <v/>
      </c>
      <c r="AL109" s="17" t="str">
        <f>IF(共有用1!AL109="","",共有用1!AL109&amp;"/"&amp;COUNTIF(共有用1!AL$2:AL109,共有用1!AL109))</f>
        <v/>
      </c>
      <c r="AM109" s="17" t="str">
        <f>IF(共有用1!AM109="","",共有用1!AM109&amp;"/"&amp;COUNTIF(共有用1!AM$2:AM109,共有用1!AM109))</f>
        <v/>
      </c>
      <c r="AN109" s="17" t="str">
        <f>IF(共有用1!AN109="","",共有用1!AN109&amp;"/"&amp;COUNTIF(共有用1!AN$2:AN109,共有用1!AN109))</f>
        <v/>
      </c>
      <c r="AO109" s="17" t="str">
        <f>IF(共有用1!AO109="","",共有用1!AO109&amp;"/"&amp;COUNTIF(共有用1!AO$2:AO109,共有用1!AO109))</f>
        <v/>
      </c>
      <c r="AP109" s="17" t="str">
        <f>IF(共有用1!AP109="","",共有用1!AP109&amp;"/"&amp;COUNTIF(共有用1!AP$2:AP109,共有用1!AP109))</f>
        <v/>
      </c>
      <c r="AQ109" s="17" t="str">
        <f>IF(共有用1!AQ109="","",共有用1!AQ109&amp;"/"&amp;COUNTIF(共有用1!AQ$2:AQ109,共有用1!AQ109))</f>
        <v/>
      </c>
      <c r="AR109" s="17" t="str">
        <f>IF(共有用1!AR109="","",共有用1!AR109&amp;"/"&amp;COUNTIF(共有用1!AR$2:AR109,共有用1!AR109))</f>
        <v/>
      </c>
      <c r="AS109" s="17" t="str">
        <f>IF(共有用1!AS109="","",共有用1!AS109&amp;"/"&amp;COUNTIF(共有用1!AS$2:AS109,共有用1!AS109))</f>
        <v/>
      </c>
      <c r="AT109" s="17" t="str">
        <f>IF(共有用1!AT109="","",共有用1!AT109&amp;"/"&amp;COUNTIF(共有用1!AT$2:AT109,共有用1!AT109))</f>
        <v/>
      </c>
      <c r="AU109" s="17" t="str">
        <f>IF(共有用1!AU109="","",共有用1!AU109&amp;"/"&amp;COUNTIF(共有用1!AU$2:AU109,共有用1!AU109))</f>
        <v/>
      </c>
      <c r="AV109" s="17" t="str">
        <f>IF(共有用1!AV109="","",共有用1!AV109&amp;"/"&amp;COUNTIF(共有用1!AV$2:AV109,共有用1!AV109))</f>
        <v/>
      </c>
      <c r="AW109" s="17" t="str">
        <f>IF(共有用1!AW109="","",共有用1!AW109&amp;"/"&amp;COUNTIF(共有用1!AW$2:AW109,共有用1!AW109))</f>
        <v/>
      </c>
      <c r="AX109" s="17" t="str">
        <f>IF(共有用1!AX109="","",共有用1!AX109&amp;"/"&amp;COUNTIF(共有用1!AX$2:AX109,共有用1!AX109))</f>
        <v/>
      </c>
      <c r="AY109" s="17" t="str">
        <f>IF(共有用1!AY109="","",共有用1!AY109&amp;"/"&amp;COUNTIF(共有用1!AY$2:AY109,共有用1!AY109))</f>
        <v/>
      </c>
      <c r="AZ109" s="17" t="str">
        <f>IF(共有用1!AZ109="","",共有用1!AZ109&amp;"/"&amp;COUNTIF(共有用1!AZ$2:AZ109,共有用1!AZ109))</f>
        <v/>
      </c>
      <c r="BA109" s="17" t="str">
        <f>IF(共有用1!BA109="","",共有用1!BA109&amp;"/"&amp;COUNTIF(共有用1!BA$2:BA109,共有用1!BA109))</f>
        <v/>
      </c>
    </row>
    <row r="110" spans="1:53">
      <c r="A110" s="2" t="str">
        <f>共有用1!A110</f>
        <v/>
      </c>
      <c r="B110" s="2" t="str">
        <f>共有用1!B110</f>
        <v/>
      </c>
      <c r="C110" s="2" t="str">
        <f>共有用1!C110</f>
        <v/>
      </c>
      <c r="D110" s="17" t="str">
        <f>IF(共有用1!D110="","",共有用1!D110&amp;"/"&amp;COUNTIF(共有用1!D$2:D110,共有用1!D110))</f>
        <v/>
      </c>
      <c r="E110" s="17" t="str">
        <f>IF(共有用1!E110="","",共有用1!E110&amp;"/"&amp;COUNTIF(共有用1!E$2:E110,共有用1!E110))</f>
        <v/>
      </c>
      <c r="F110" s="17" t="str">
        <f>IF(共有用1!F110="","",共有用1!F110&amp;"/"&amp;COUNTIF(共有用1!F$2:F110,共有用1!F110))</f>
        <v/>
      </c>
      <c r="G110" s="17" t="str">
        <f>IF(共有用1!G110="","",共有用1!G110&amp;"/"&amp;COUNTIF(共有用1!G$2:G110,共有用1!G110))</f>
        <v/>
      </c>
      <c r="H110" s="17" t="str">
        <f>IF(共有用1!H110="","",共有用1!H110&amp;"/"&amp;COUNTIF(共有用1!H$2:H110,共有用1!H110))</f>
        <v/>
      </c>
      <c r="I110" s="17" t="str">
        <f>IF(共有用1!I110="","",共有用1!I110&amp;"/"&amp;COUNTIF(共有用1!I$2:I110,共有用1!I110))</f>
        <v/>
      </c>
      <c r="J110" s="17" t="str">
        <f>IF(共有用1!J110="","",共有用1!J110&amp;"/"&amp;COUNTIF(共有用1!J$2:J110,共有用1!J110))</f>
        <v/>
      </c>
      <c r="K110" s="17" t="str">
        <f>IF(共有用1!K110="","",共有用1!K110&amp;"/"&amp;COUNTIF(共有用1!K$2:K110,共有用1!K110))</f>
        <v/>
      </c>
      <c r="L110" s="17" t="str">
        <f>IF(共有用1!L110="","",共有用1!L110&amp;"/"&amp;COUNTIF(共有用1!L$2:L110,共有用1!L110))</f>
        <v/>
      </c>
      <c r="M110" s="17" t="str">
        <f>IF(共有用1!M110="","",共有用1!M110&amp;"/"&amp;COUNTIF(共有用1!M$2:M110,共有用1!M110))</f>
        <v/>
      </c>
      <c r="N110" s="17" t="str">
        <f>IF(共有用1!N110="","",共有用1!N110&amp;"/"&amp;COUNTIF(共有用1!N$2:N110,共有用1!N110))</f>
        <v/>
      </c>
      <c r="O110" s="17" t="str">
        <f>IF(共有用1!O110="","",共有用1!O110&amp;"/"&amp;COUNTIF(共有用1!O$2:O110,共有用1!O110))</f>
        <v/>
      </c>
      <c r="P110" s="17" t="str">
        <f>IF(共有用1!P110="","",共有用1!P110&amp;"/"&amp;COUNTIF(共有用1!P$2:P110,共有用1!P110))</f>
        <v/>
      </c>
      <c r="Q110" s="17" t="str">
        <f>IF(共有用1!Q110="","",共有用1!Q110&amp;"/"&amp;COUNTIF(共有用1!Q$2:Q110,共有用1!Q110))</f>
        <v/>
      </c>
      <c r="R110" s="17" t="str">
        <f>IF(共有用1!R110="","",共有用1!R110&amp;"/"&amp;COUNTIF(共有用1!R$2:R110,共有用1!R110))</f>
        <v/>
      </c>
      <c r="S110" s="17" t="str">
        <f>IF(共有用1!S110="","",共有用1!S110&amp;"/"&amp;COUNTIF(共有用1!S$2:S110,共有用1!S110))</f>
        <v/>
      </c>
      <c r="T110" s="17" t="str">
        <f>IF(共有用1!T110="","",共有用1!T110&amp;"/"&amp;COUNTIF(共有用1!T$2:T110,共有用1!T110))</f>
        <v/>
      </c>
      <c r="U110" s="17" t="str">
        <f>IF(共有用1!U110="","",共有用1!U110&amp;"/"&amp;COUNTIF(共有用1!U$2:U110,共有用1!U110))</f>
        <v/>
      </c>
      <c r="V110" s="17" t="str">
        <f>IF(共有用1!V110="","",共有用1!V110&amp;"/"&amp;COUNTIF(共有用1!V$2:V110,共有用1!V110))</f>
        <v/>
      </c>
      <c r="W110" s="17" t="str">
        <f>IF(共有用1!W110="","",共有用1!W110&amp;"/"&amp;COUNTIF(共有用1!W$2:W110,共有用1!W110))</f>
        <v/>
      </c>
      <c r="X110" s="17" t="str">
        <f>IF(共有用1!X110="","",共有用1!X110&amp;"/"&amp;COUNTIF(共有用1!X$2:X110,共有用1!X110))</f>
        <v/>
      </c>
      <c r="Y110" s="17" t="str">
        <f>IF(共有用1!Y110="","",共有用1!Y110&amp;"/"&amp;COUNTIF(共有用1!Y$2:Y110,共有用1!Y110))</f>
        <v/>
      </c>
      <c r="Z110" s="17" t="str">
        <f>IF(共有用1!Z110="","",共有用1!Z110&amp;"/"&amp;COUNTIF(共有用1!Z$2:Z110,共有用1!Z110))</f>
        <v/>
      </c>
      <c r="AA110" s="17" t="str">
        <f>IF(共有用1!AA110="","",共有用1!AA110&amp;"/"&amp;COUNTIF(共有用1!AA$2:AA110,共有用1!AA110))</f>
        <v/>
      </c>
      <c r="AB110" s="17" t="str">
        <f>IF(共有用1!AB110="","",共有用1!AB110&amp;"/"&amp;COUNTIF(共有用1!AB$2:AB110,共有用1!AB110))</f>
        <v/>
      </c>
      <c r="AC110" s="17" t="str">
        <f>IF(共有用1!AC110="","",共有用1!AC110&amp;"/"&amp;COUNTIF(共有用1!AC$2:AC110,共有用1!AC110))</f>
        <v/>
      </c>
      <c r="AD110" s="17" t="str">
        <f>IF(共有用1!AD110="","",共有用1!AD110&amp;"/"&amp;COUNTIF(共有用1!AD$2:AD110,共有用1!AD110))</f>
        <v/>
      </c>
      <c r="AE110" s="17" t="str">
        <f>IF(共有用1!AE110="","",共有用1!AE110&amp;"/"&amp;COUNTIF(共有用1!AE$2:AE110,共有用1!AE110))</f>
        <v/>
      </c>
      <c r="AF110" s="17" t="str">
        <f>IF(共有用1!AF110="","",共有用1!AF110&amp;"/"&amp;COUNTIF(共有用1!AF$2:AF110,共有用1!AF110))</f>
        <v/>
      </c>
      <c r="AG110" s="17" t="str">
        <f>IF(共有用1!AG110="","",共有用1!AG110&amp;"/"&amp;COUNTIF(共有用1!AG$2:AG110,共有用1!AG110))</f>
        <v/>
      </c>
      <c r="AH110" s="17" t="str">
        <f>IF(共有用1!AH110="","",共有用1!AH110&amp;"/"&amp;COUNTIF(共有用1!AH$2:AH110,共有用1!AH110))</f>
        <v/>
      </c>
      <c r="AI110" s="17" t="str">
        <f>IF(共有用1!AI110="","",共有用1!AI110&amp;"/"&amp;COUNTIF(共有用1!AI$2:AI110,共有用1!AI110))</f>
        <v/>
      </c>
      <c r="AJ110" s="17" t="str">
        <f>IF(共有用1!AJ110="","",共有用1!AJ110&amp;"/"&amp;COUNTIF(共有用1!AJ$2:AJ110,共有用1!AJ110))</f>
        <v/>
      </c>
      <c r="AK110" s="17" t="str">
        <f>IF(共有用1!AK110="","",共有用1!AK110&amp;"/"&amp;COUNTIF(共有用1!AK$2:AK110,共有用1!AK110))</f>
        <v/>
      </c>
      <c r="AL110" s="17" t="str">
        <f>IF(共有用1!AL110="","",共有用1!AL110&amp;"/"&amp;COUNTIF(共有用1!AL$2:AL110,共有用1!AL110))</f>
        <v/>
      </c>
      <c r="AM110" s="17" t="str">
        <f>IF(共有用1!AM110="","",共有用1!AM110&amp;"/"&amp;COUNTIF(共有用1!AM$2:AM110,共有用1!AM110))</f>
        <v/>
      </c>
      <c r="AN110" s="17" t="str">
        <f>IF(共有用1!AN110="","",共有用1!AN110&amp;"/"&amp;COUNTIF(共有用1!AN$2:AN110,共有用1!AN110))</f>
        <v/>
      </c>
      <c r="AO110" s="17" t="str">
        <f>IF(共有用1!AO110="","",共有用1!AO110&amp;"/"&amp;COUNTIF(共有用1!AO$2:AO110,共有用1!AO110))</f>
        <v/>
      </c>
      <c r="AP110" s="17" t="str">
        <f>IF(共有用1!AP110="","",共有用1!AP110&amp;"/"&amp;COUNTIF(共有用1!AP$2:AP110,共有用1!AP110))</f>
        <v/>
      </c>
      <c r="AQ110" s="17" t="str">
        <f>IF(共有用1!AQ110="","",共有用1!AQ110&amp;"/"&amp;COUNTIF(共有用1!AQ$2:AQ110,共有用1!AQ110))</f>
        <v/>
      </c>
      <c r="AR110" s="17" t="str">
        <f>IF(共有用1!AR110="","",共有用1!AR110&amp;"/"&amp;COUNTIF(共有用1!AR$2:AR110,共有用1!AR110))</f>
        <v/>
      </c>
      <c r="AS110" s="17" t="str">
        <f>IF(共有用1!AS110="","",共有用1!AS110&amp;"/"&amp;COUNTIF(共有用1!AS$2:AS110,共有用1!AS110))</f>
        <v/>
      </c>
      <c r="AT110" s="17" t="str">
        <f>IF(共有用1!AT110="","",共有用1!AT110&amp;"/"&amp;COUNTIF(共有用1!AT$2:AT110,共有用1!AT110))</f>
        <v/>
      </c>
      <c r="AU110" s="17" t="str">
        <f>IF(共有用1!AU110="","",共有用1!AU110&amp;"/"&amp;COUNTIF(共有用1!AU$2:AU110,共有用1!AU110))</f>
        <v/>
      </c>
      <c r="AV110" s="17" t="str">
        <f>IF(共有用1!AV110="","",共有用1!AV110&amp;"/"&amp;COUNTIF(共有用1!AV$2:AV110,共有用1!AV110))</f>
        <v/>
      </c>
      <c r="AW110" s="17" t="str">
        <f>IF(共有用1!AW110="","",共有用1!AW110&amp;"/"&amp;COUNTIF(共有用1!AW$2:AW110,共有用1!AW110))</f>
        <v/>
      </c>
      <c r="AX110" s="17" t="str">
        <f>IF(共有用1!AX110="","",共有用1!AX110&amp;"/"&amp;COUNTIF(共有用1!AX$2:AX110,共有用1!AX110))</f>
        <v/>
      </c>
      <c r="AY110" s="17" t="str">
        <f>IF(共有用1!AY110="","",共有用1!AY110&amp;"/"&amp;COUNTIF(共有用1!AY$2:AY110,共有用1!AY110))</f>
        <v/>
      </c>
      <c r="AZ110" s="17" t="str">
        <f>IF(共有用1!AZ110="","",共有用1!AZ110&amp;"/"&amp;COUNTIF(共有用1!AZ$2:AZ110,共有用1!AZ110))</f>
        <v/>
      </c>
      <c r="BA110" s="17" t="str">
        <f>IF(共有用1!BA110="","",共有用1!BA110&amp;"/"&amp;COUNTIF(共有用1!BA$2:BA110,共有用1!BA110))</f>
        <v/>
      </c>
    </row>
    <row r="111" spans="1:53">
      <c r="A111" s="2" t="str">
        <f>共有用1!A111</f>
        <v/>
      </c>
      <c r="B111" s="2" t="str">
        <f>共有用1!B111</f>
        <v/>
      </c>
      <c r="C111" s="2" t="str">
        <f>共有用1!C111</f>
        <v/>
      </c>
      <c r="D111" s="17" t="str">
        <f>IF(共有用1!D111="","",共有用1!D111&amp;"/"&amp;COUNTIF(共有用1!D$2:D111,共有用1!D111))</f>
        <v/>
      </c>
      <c r="E111" s="17" t="str">
        <f>IF(共有用1!E111="","",共有用1!E111&amp;"/"&amp;COUNTIF(共有用1!E$2:E111,共有用1!E111))</f>
        <v/>
      </c>
      <c r="F111" s="17" t="str">
        <f>IF(共有用1!F111="","",共有用1!F111&amp;"/"&amp;COUNTIF(共有用1!F$2:F111,共有用1!F111))</f>
        <v/>
      </c>
      <c r="G111" s="17" t="str">
        <f>IF(共有用1!G111="","",共有用1!G111&amp;"/"&amp;COUNTIF(共有用1!G$2:G111,共有用1!G111))</f>
        <v/>
      </c>
      <c r="H111" s="17" t="str">
        <f>IF(共有用1!H111="","",共有用1!H111&amp;"/"&amp;COUNTIF(共有用1!H$2:H111,共有用1!H111))</f>
        <v/>
      </c>
      <c r="I111" s="17" t="str">
        <f>IF(共有用1!I111="","",共有用1!I111&amp;"/"&amp;COUNTIF(共有用1!I$2:I111,共有用1!I111))</f>
        <v/>
      </c>
      <c r="J111" s="17" t="str">
        <f>IF(共有用1!J111="","",共有用1!J111&amp;"/"&amp;COUNTIF(共有用1!J$2:J111,共有用1!J111))</f>
        <v/>
      </c>
      <c r="K111" s="17" t="str">
        <f>IF(共有用1!K111="","",共有用1!K111&amp;"/"&amp;COUNTIF(共有用1!K$2:K111,共有用1!K111))</f>
        <v/>
      </c>
      <c r="L111" s="17" t="str">
        <f>IF(共有用1!L111="","",共有用1!L111&amp;"/"&amp;COUNTIF(共有用1!L$2:L111,共有用1!L111))</f>
        <v/>
      </c>
      <c r="M111" s="17" t="str">
        <f>IF(共有用1!M111="","",共有用1!M111&amp;"/"&amp;COUNTIF(共有用1!M$2:M111,共有用1!M111))</f>
        <v/>
      </c>
      <c r="N111" s="17" t="str">
        <f>IF(共有用1!N111="","",共有用1!N111&amp;"/"&amp;COUNTIF(共有用1!N$2:N111,共有用1!N111))</f>
        <v/>
      </c>
      <c r="O111" s="17" t="str">
        <f>IF(共有用1!O111="","",共有用1!O111&amp;"/"&amp;COUNTIF(共有用1!O$2:O111,共有用1!O111))</f>
        <v/>
      </c>
      <c r="P111" s="17" t="str">
        <f>IF(共有用1!P111="","",共有用1!P111&amp;"/"&amp;COUNTIF(共有用1!P$2:P111,共有用1!P111))</f>
        <v/>
      </c>
      <c r="Q111" s="17" t="str">
        <f>IF(共有用1!Q111="","",共有用1!Q111&amp;"/"&amp;COUNTIF(共有用1!Q$2:Q111,共有用1!Q111))</f>
        <v/>
      </c>
      <c r="R111" s="17" t="str">
        <f>IF(共有用1!R111="","",共有用1!R111&amp;"/"&amp;COUNTIF(共有用1!R$2:R111,共有用1!R111))</f>
        <v/>
      </c>
      <c r="S111" s="17" t="str">
        <f>IF(共有用1!S111="","",共有用1!S111&amp;"/"&amp;COUNTIF(共有用1!S$2:S111,共有用1!S111))</f>
        <v/>
      </c>
      <c r="T111" s="17" t="str">
        <f>IF(共有用1!T111="","",共有用1!T111&amp;"/"&amp;COUNTIF(共有用1!T$2:T111,共有用1!T111))</f>
        <v/>
      </c>
      <c r="U111" s="17" t="str">
        <f>IF(共有用1!U111="","",共有用1!U111&amp;"/"&amp;COUNTIF(共有用1!U$2:U111,共有用1!U111))</f>
        <v/>
      </c>
      <c r="V111" s="17" t="str">
        <f>IF(共有用1!V111="","",共有用1!V111&amp;"/"&amp;COUNTIF(共有用1!V$2:V111,共有用1!V111))</f>
        <v/>
      </c>
      <c r="W111" s="17" t="str">
        <f>IF(共有用1!W111="","",共有用1!W111&amp;"/"&amp;COUNTIF(共有用1!W$2:W111,共有用1!W111))</f>
        <v/>
      </c>
      <c r="X111" s="17" t="str">
        <f>IF(共有用1!X111="","",共有用1!X111&amp;"/"&amp;COUNTIF(共有用1!X$2:X111,共有用1!X111))</f>
        <v/>
      </c>
      <c r="Y111" s="17" t="str">
        <f>IF(共有用1!Y111="","",共有用1!Y111&amp;"/"&amp;COUNTIF(共有用1!Y$2:Y111,共有用1!Y111))</f>
        <v/>
      </c>
      <c r="Z111" s="17" t="str">
        <f>IF(共有用1!Z111="","",共有用1!Z111&amp;"/"&amp;COUNTIF(共有用1!Z$2:Z111,共有用1!Z111))</f>
        <v/>
      </c>
      <c r="AA111" s="17" t="str">
        <f>IF(共有用1!AA111="","",共有用1!AA111&amp;"/"&amp;COUNTIF(共有用1!AA$2:AA111,共有用1!AA111))</f>
        <v/>
      </c>
      <c r="AB111" s="17" t="str">
        <f>IF(共有用1!AB111="","",共有用1!AB111&amp;"/"&amp;COUNTIF(共有用1!AB$2:AB111,共有用1!AB111))</f>
        <v/>
      </c>
      <c r="AC111" s="17" t="str">
        <f>IF(共有用1!AC111="","",共有用1!AC111&amp;"/"&amp;COUNTIF(共有用1!AC$2:AC111,共有用1!AC111))</f>
        <v/>
      </c>
      <c r="AD111" s="17" t="str">
        <f>IF(共有用1!AD111="","",共有用1!AD111&amp;"/"&amp;COUNTIF(共有用1!AD$2:AD111,共有用1!AD111))</f>
        <v/>
      </c>
      <c r="AE111" s="17" t="str">
        <f>IF(共有用1!AE111="","",共有用1!AE111&amp;"/"&amp;COUNTIF(共有用1!AE$2:AE111,共有用1!AE111))</f>
        <v/>
      </c>
      <c r="AF111" s="17" t="str">
        <f>IF(共有用1!AF111="","",共有用1!AF111&amp;"/"&amp;COUNTIF(共有用1!AF$2:AF111,共有用1!AF111))</f>
        <v/>
      </c>
      <c r="AG111" s="17" t="str">
        <f>IF(共有用1!AG111="","",共有用1!AG111&amp;"/"&amp;COUNTIF(共有用1!AG$2:AG111,共有用1!AG111))</f>
        <v/>
      </c>
      <c r="AH111" s="17" t="str">
        <f>IF(共有用1!AH111="","",共有用1!AH111&amp;"/"&amp;COUNTIF(共有用1!AH$2:AH111,共有用1!AH111))</f>
        <v/>
      </c>
      <c r="AI111" s="17" t="str">
        <f>IF(共有用1!AI111="","",共有用1!AI111&amp;"/"&amp;COUNTIF(共有用1!AI$2:AI111,共有用1!AI111))</f>
        <v/>
      </c>
      <c r="AJ111" s="17" t="str">
        <f>IF(共有用1!AJ111="","",共有用1!AJ111&amp;"/"&amp;COUNTIF(共有用1!AJ$2:AJ111,共有用1!AJ111))</f>
        <v/>
      </c>
      <c r="AK111" s="17" t="str">
        <f>IF(共有用1!AK111="","",共有用1!AK111&amp;"/"&amp;COUNTIF(共有用1!AK$2:AK111,共有用1!AK111))</f>
        <v/>
      </c>
      <c r="AL111" s="17" t="str">
        <f>IF(共有用1!AL111="","",共有用1!AL111&amp;"/"&amp;COUNTIF(共有用1!AL$2:AL111,共有用1!AL111))</f>
        <v/>
      </c>
      <c r="AM111" s="17" t="str">
        <f>IF(共有用1!AM111="","",共有用1!AM111&amp;"/"&amp;COUNTIF(共有用1!AM$2:AM111,共有用1!AM111))</f>
        <v/>
      </c>
      <c r="AN111" s="17" t="str">
        <f>IF(共有用1!AN111="","",共有用1!AN111&amp;"/"&amp;COUNTIF(共有用1!AN$2:AN111,共有用1!AN111))</f>
        <v/>
      </c>
      <c r="AO111" s="17" t="str">
        <f>IF(共有用1!AO111="","",共有用1!AO111&amp;"/"&amp;COUNTIF(共有用1!AO$2:AO111,共有用1!AO111))</f>
        <v/>
      </c>
      <c r="AP111" s="17" t="str">
        <f>IF(共有用1!AP111="","",共有用1!AP111&amp;"/"&amp;COUNTIF(共有用1!AP$2:AP111,共有用1!AP111))</f>
        <v/>
      </c>
      <c r="AQ111" s="17" t="str">
        <f>IF(共有用1!AQ111="","",共有用1!AQ111&amp;"/"&amp;COUNTIF(共有用1!AQ$2:AQ111,共有用1!AQ111))</f>
        <v/>
      </c>
      <c r="AR111" s="17" t="str">
        <f>IF(共有用1!AR111="","",共有用1!AR111&amp;"/"&amp;COUNTIF(共有用1!AR$2:AR111,共有用1!AR111))</f>
        <v/>
      </c>
      <c r="AS111" s="17" t="str">
        <f>IF(共有用1!AS111="","",共有用1!AS111&amp;"/"&amp;COUNTIF(共有用1!AS$2:AS111,共有用1!AS111))</f>
        <v/>
      </c>
      <c r="AT111" s="17" t="str">
        <f>IF(共有用1!AT111="","",共有用1!AT111&amp;"/"&amp;COUNTIF(共有用1!AT$2:AT111,共有用1!AT111))</f>
        <v/>
      </c>
      <c r="AU111" s="17" t="str">
        <f>IF(共有用1!AU111="","",共有用1!AU111&amp;"/"&amp;COUNTIF(共有用1!AU$2:AU111,共有用1!AU111))</f>
        <v/>
      </c>
      <c r="AV111" s="17" t="str">
        <f>IF(共有用1!AV111="","",共有用1!AV111&amp;"/"&amp;COUNTIF(共有用1!AV$2:AV111,共有用1!AV111))</f>
        <v/>
      </c>
      <c r="AW111" s="17" t="str">
        <f>IF(共有用1!AW111="","",共有用1!AW111&amp;"/"&amp;COUNTIF(共有用1!AW$2:AW111,共有用1!AW111))</f>
        <v/>
      </c>
      <c r="AX111" s="17" t="str">
        <f>IF(共有用1!AX111="","",共有用1!AX111&amp;"/"&amp;COUNTIF(共有用1!AX$2:AX111,共有用1!AX111))</f>
        <v/>
      </c>
      <c r="AY111" s="17" t="str">
        <f>IF(共有用1!AY111="","",共有用1!AY111&amp;"/"&amp;COUNTIF(共有用1!AY$2:AY111,共有用1!AY111))</f>
        <v/>
      </c>
      <c r="AZ111" s="17" t="str">
        <f>IF(共有用1!AZ111="","",共有用1!AZ111&amp;"/"&amp;COUNTIF(共有用1!AZ$2:AZ111,共有用1!AZ111))</f>
        <v/>
      </c>
      <c r="BA111" s="17" t="str">
        <f>IF(共有用1!BA111="","",共有用1!BA111&amp;"/"&amp;COUNTIF(共有用1!BA$2:BA111,共有用1!BA111))</f>
        <v/>
      </c>
    </row>
    <row r="112" spans="1:53">
      <c r="A112" s="2" t="str">
        <f>共有用1!A112</f>
        <v/>
      </c>
      <c r="B112" s="2" t="str">
        <f>共有用1!B112</f>
        <v/>
      </c>
      <c r="C112" s="2" t="str">
        <f>共有用1!C112</f>
        <v/>
      </c>
      <c r="D112" s="17" t="str">
        <f>IF(共有用1!D112="","",共有用1!D112&amp;"/"&amp;COUNTIF(共有用1!D$2:D112,共有用1!D112))</f>
        <v/>
      </c>
      <c r="E112" s="17" t="str">
        <f>IF(共有用1!E112="","",共有用1!E112&amp;"/"&amp;COUNTIF(共有用1!E$2:E112,共有用1!E112))</f>
        <v/>
      </c>
      <c r="F112" s="17" t="str">
        <f>IF(共有用1!F112="","",共有用1!F112&amp;"/"&amp;COUNTIF(共有用1!F$2:F112,共有用1!F112))</f>
        <v/>
      </c>
      <c r="G112" s="17" t="str">
        <f>IF(共有用1!G112="","",共有用1!G112&amp;"/"&amp;COUNTIF(共有用1!G$2:G112,共有用1!G112))</f>
        <v/>
      </c>
      <c r="H112" s="17" t="str">
        <f>IF(共有用1!H112="","",共有用1!H112&amp;"/"&amp;COUNTIF(共有用1!H$2:H112,共有用1!H112))</f>
        <v/>
      </c>
      <c r="I112" s="17" t="str">
        <f>IF(共有用1!I112="","",共有用1!I112&amp;"/"&amp;COUNTIF(共有用1!I$2:I112,共有用1!I112))</f>
        <v/>
      </c>
      <c r="J112" s="17" t="str">
        <f>IF(共有用1!J112="","",共有用1!J112&amp;"/"&amp;COUNTIF(共有用1!J$2:J112,共有用1!J112))</f>
        <v/>
      </c>
      <c r="K112" s="17" t="str">
        <f>IF(共有用1!K112="","",共有用1!K112&amp;"/"&amp;COUNTIF(共有用1!K$2:K112,共有用1!K112))</f>
        <v/>
      </c>
      <c r="L112" s="17" t="str">
        <f>IF(共有用1!L112="","",共有用1!L112&amp;"/"&amp;COUNTIF(共有用1!L$2:L112,共有用1!L112))</f>
        <v/>
      </c>
      <c r="M112" s="17" t="str">
        <f>IF(共有用1!M112="","",共有用1!M112&amp;"/"&amp;COUNTIF(共有用1!M$2:M112,共有用1!M112))</f>
        <v/>
      </c>
      <c r="N112" s="17" t="str">
        <f>IF(共有用1!N112="","",共有用1!N112&amp;"/"&amp;COUNTIF(共有用1!N$2:N112,共有用1!N112))</f>
        <v/>
      </c>
      <c r="O112" s="17" t="str">
        <f>IF(共有用1!O112="","",共有用1!O112&amp;"/"&amp;COUNTIF(共有用1!O$2:O112,共有用1!O112))</f>
        <v/>
      </c>
      <c r="P112" s="17" t="str">
        <f>IF(共有用1!P112="","",共有用1!P112&amp;"/"&amp;COUNTIF(共有用1!P$2:P112,共有用1!P112))</f>
        <v/>
      </c>
      <c r="Q112" s="17" t="str">
        <f>IF(共有用1!Q112="","",共有用1!Q112&amp;"/"&amp;COUNTIF(共有用1!Q$2:Q112,共有用1!Q112))</f>
        <v/>
      </c>
      <c r="R112" s="17" t="str">
        <f>IF(共有用1!R112="","",共有用1!R112&amp;"/"&amp;COUNTIF(共有用1!R$2:R112,共有用1!R112))</f>
        <v/>
      </c>
      <c r="S112" s="17" t="str">
        <f>IF(共有用1!S112="","",共有用1!S112&amp;"/"&amp;COUNTIF(共有用1!S$2:S112,共有用1!S112))</f>
        <v/>
      </c>
      <c r="T112" s="17" t="str">
        <f>IF(共有用1!T112="","",共有用1!T112&amp;"/"&amp;COUNTIF(共有用1!T$2:T112,共有用1!T112))</f>
        <v/>
      </c>
      <c r="U112" s="17" t="str">
        <f>IF(共有用1!U112="","",共有用1!U112&amp;"/"&amp;COUNTIF(共有用1!U$2:U112,共有用1!U112))</f>
        <v/>
      </c>
      <c r="V112" s="17" t="str">
        <f>IF(共有用1!V112="","",共有用1!V112&amp;"/"&amp;COUNTIF(共有用1!V$2:V112,共有用1!V112))</f>
        <v/>
      </c>
      <c r="W112" s="17" t="str">
        <f>IF(共有用1!W112="","",共有用1!W112&amp;"/"&amp;COUNTIF(共有用1!W$2:W112,共有用1!W112))</f>
        <v/>
      </c>
      <c r="X112" s="17" t="str">
        <f>IF(共有用1!X112="","",共有用1!X112&amp;"/"&amp;COUNTIF(共有用1!X$2:X112,共有用1!X112))</f>
        <v/>
      </c>
      <c r="Y112" s="17" t="str">
        <f>IF(共有用1!Y112="","",共有用1!Y112&amp;"/"&amp;COUNTIF(共有用1!Y$2:Y112,共有用1!Y112))</f>
        <v/>
      </c>
      <c r="Z112" s="17" t="str">
        <f>IF(共有用1!Z112="","",共有用1!Z112&amp;"/"&amp;COUNTIF(共有用1!Z$2:Z112,共有用1!Z112))</f>
        <v/>
      </c>
      <c r="AA112" s="17" t="str">
        <f>IF(共有用1!AA112="","",共有用1!AA112&amp;"/"&amp;COUNTIF(共有用1!AA$2:AA112,共有用1!AA112))</f>
        <v/>
      </c>
      <c r="AB112" s="17" t="str">
        <f>IF(共有用1!AB112="","",共有用1!AB112&amp;"/"&amp;COUNTIF(共有用1!AB$2:AB112,共有用1!AB112))</f>
        <v/>
      </c>
      <c r="AC112" s="17" t="str">
        <f>IF(共有用1!AC112="","",共有用1!AC112&amp;"/"&amp;COUNTIF(共有用1!AC$2:AC112,共有用1!AC112))</f>
        <v/>
      </c>
      <c r="AD112" s="17" t="str">
        <f>IF(共有用1!AD112="","",共有用1!AD112&amp;"/"&amp;COUNTIF(共有用1!AD$2:AD112,共有用1!AD112))</f>
        <v/>
      </c>
      <c r="AE112" s="17" t="str">
        <f>IF(共有用1!AE112="","",共有用1!AE112&amp;"/"&amp;COUNTIF(共有用1!AE$2:AE112,共有用1!AE112))</f>
        <v/>
      </c>
      <c r="AF112" s="17" t="str">
        <f>IF(共有用1!AF112="","",共有用1!AF112&amp;"/"&amp;COUNTIF(共有用1!AF$2:AF112,共有用1!AF112))</f>
        <v/>
      </c>
      <c r="AG112" s="17" t="str">
        <f>IF(共有用1!AG112="","",共有用1!AG112&amp;"/"&amp;COUNTIF(共有用1!AG$2:AG112,共有用1!AG112))</f>
        <v/>
      </c>
      <c r="AH112" s="17" t="str">
        <f>IF(共有用1!AH112="","",共有用1!AH112&amp;"/"&amp;COUNTIF(共有用1!AH$2:AH112,共有用1!AH112))</f>
        <v/>
      </c>
      <c r="AI112" s="17" t="str">
        <f>IF(共有用1!AI112="","",共有用1!AI112&amp;"/"&amp;COUNTIF(共有用1!AI$2:AI112,共有用1!AI112))</f>
        <v/>
      </c>
      <c r="AJ112" s="17" t="str">
        <f>IF(共有用1!AJ112="","",共有用1!AJ112&amp;"/"&amp;COUNTIF(共有用1!AJ$2:AJ112,共有用1!AJ112))</f>
        <v/>
      </c>
      <c r="AK112" s="17" t="str">
        <f>IF(共有用1!AK112="","",共有用1!AK112&amp;"/"&amp;COUNTIF(共有用1!AK$2:AK112,共有用1!AK112))</f>
        <v/>
      </c>
      <c r="AL112" s="17" t="str">
        <f>IF(共有用1!AL112="","",共有用1!AL112&amp;"/"&amp;COUNTIF(共有用1!AL$2:AL112,共有用1!AL112))</f>
        <v/>
      </c>
      <c r="AM112" s="17" t="str">
        <f>IF(共有用1!AM112="","",共有用1!AM112&amp;"/"&amp;COUNTIF(共有用1!AM$2:AM112,共有用1!AM112))</f>
        <v/>
      </c>
      <c r="AN112" s="17" t="str">
        <f>IF(共有用1!AN112="","",共有用1!AN112&amp;"/"&amp;COUNTIF(共有用1!AN$2:AN112,共有用1!AN112))</f>
        <v/>
      </c>
      <c r="AO112" s="17" t="str">
        <f>IF(共有用1!AO112="","",共有用1!AO112&amp;"/"&amp;COUNTIF(共有用1!AO$2:AO112,共有用1!AO112))</f>
        <v/>
      </c>
      <c r="AP112" s="17" t="str">
        <f>IF(共有用1!AP112="","",共有用1!AP112&amp;"/"&amp;COUNTIF(共有用1!AP$2:AP112,共有用1!AP112))</f>
        <v/>
      </c>
      <c r="AQ112" s="17" t="str">
        <f>IF(共有用1!AQ112="","",共有用1!AQ112&amp;"/"&amp;COUNTIF(共有用1!AQ$2:AQ112,共有用1!AQ112))</f>
        <v/>
      </c>
      <c r="AR112" s="17" t="str">
        <f>IF(共有用1!AR112="","",共有用1!AR112&amp;"/"&amp;COUNTIF(共有用1!AR$2:AR112,共有用1!AR112))</f>
        <v/>
      </c>
      <c r="AS112" s="17" t="str">
        <f>IF(共有用1!AS112="","",共有用1!AS112&amp;"/"&amp;COUNTIF(共有用1!AS$2:AS112,共有用1!AS112))</f>
        <v/>
      </c>
      <c r="AT112" s="17" t="str">
        <f>IF(共有用1!AT112="","",共有用1!AT112&amp;"/"&amp;COUNTIF(共有用1!AT$2:AT112,共有用1!AT112))</f>
        <v/>
      </c>
      <c r="AU112" s="17" t="str">
        <f>IF(共有用1!AU112="","",共有用1!AU112&amp;"/"&amp;COUNTIF(共有用1!AU$2:AU112,共有用1!AU112))</f>
        <v/>
      </c>
      <c r="AV112" s="17" t="str">
        <f>IF(共有用1!AV112="","",共有用1!AV112&amp;"/"&amp;COUNTIF(共有用1!AV$2:AV112,共有用1!AV112))</f>
        <v/>
      </c>
      <c r="AW112" s="17" t="str">
        <f>IF(共有用1!AW112="","",共有用1!AW112&amp;"/"&amp;COUNTIF(共有用1!AW$2:AW112,共有用1!AW112))</f>
        <v/>
      </c>
      <c r="AX112" s="17" t="str">
        <f>IF(共有用1!AX112="","",共有用1!AX112&amp;"/"&amp;COUNTIF(共有用1!AX$2:AX112,共有用1!AX112))</f>
        <v/>
      </c>
      <c r="AY112" s="17" t="str">
        <f>IF(共有用1!AY112="","",共有用1!AY112&amp;"/"&amp;COUNTIF(共有用1!AY$2:AY112,共有用1!AY112))</f>
        <v/>
      </c>
      <c r="AZ112" s="17" t="str">
        <f>IF(共有用1!AZ112="","",共有用1!AZ112&amp;"/"&amp;COUNTIF(共有用1!AZ$2:AZ112,共有用1!AZ112))</f>
        <v/>
      </c>
      <c r="BA112" s="17" t="str">
        <f>IF(共有用1!BA112="","",共有用1!BA112&amp;"/"&amp;COUNTIF(共有用1!BA$2:BA112,共有用1!BA112))</f>
        <v/>
      </c>
    </row>
    <row r="113" spans="1:53">
      <c r="A113" s="2" t="str">
        <f>共有用1!A113</f>
        <v/>
      </c>
      <c r="B113" s="2" t="str">
        <f>共有用1!B113</f>
        <v/>
      </c>
      <c r="C113" s="2" t="str">
        <f>共有用1!C113</f>
        <v/>
      </c>
      <c r="D113" s="17" t="str">
        <f>IF(共有用1!D113="","",共有用1!D113&amp;"/"&amp;COUNTIF(共有用1!D$2:D113,共有用1!D113))</f>
        <v/>
      </c>
      <c r="E113" s="17" t="str">
        <f>IF(共有用1!E113="","",共有用1!E113&amp;"/"&amp;COUNTIF(共有用1!E$2:E113,共有用1!E113))</f>
        <v/>
      </c>
      <c r="F113" s="17" t="str">
        <f>IF(共有用1!F113="","",共有用1!F113&amp;"/"&amp;COUNTIF(共有用1!F$2:F113,共有用1!F113))</f>
        <v/>
      </c>
      <c r="G113" s="17" t="str">
        <f>IF(共有用1!G113="","",共有用1!G113&amp;"/"&amp;COUNTIF(共有用1!G$2:G113,共有用1!G113))</f>
        <v/>
      </c>
      <c r="H113" s="17" t="str">
        <f>IF(共有用1!H113="","",共有用1!H113&amp;"/"&amp;COUNTIF(共有用1!H$2:H113,共有用1!H113))</f>
        <v/>
      </c>
      <c r="I113" s="17" t="str">
        <f>IF(共有用1!I113="","",共有用1!I113&amp;"/"&amp;COUNTIF(共有用1!I$2:I113,共有用1!I113))</f>
        <v/>
      </c>
      <c r="J113" s="17" t="str">
        <f>IF(共有用1!J113="","",共有用1!J113&amp;"/"&amp;COUNTIF(共有用1!J$2:J113,共有用1!J113))</f>
        <v/>
      </c>
      <c r="K113" s="17" t="str">
        <f>IF(共有用1!K113="","",共有用1!K113&amp;"/"&amp;COUNTIF(共有用1!K$2:K113,共有用1!K113))</f>
        <v/>
      </c>
      <c r="L113" s="17" t="str">
        <f>IF(共有用1!L113="","",共有用1!L113&amp;"/"&amp;COUNTIF(共有用1!L$2:L113,共有用1!L113))</f>
        <v/>
      </c>
      <c r="M113" s="17" t="str">
        <f>IF(共有用1!M113="","",共有用1!M113&amp;"/"&amp;COUNTIF(共有用1!M$2:M113,共有用1!M113))</f>
        <v/>
      </c>
      <c r="N113" s="17" t="str">
        <f>IF(共有用1!N113="","",共有用1!N113&amp;"/"&amp;COUNTIF(共有用1!N$2:N113,共有用1!N113))</f>
        <v/>
      </c>
      <c r="O113" s="17" t="str">
        <f>IF(共有用1!O113="","",共有用1!O113&amp;"/"&amp;COUNTIF(共有用1!O$2:O113,共有用1!O113))</f>
        <v/>
      </c>
      <c r="P113" s="17" t="str">
        <f>IF(共有用1!P113="","",共有用1!P113&amp;"/"&amp;COUNTIF(共有用1!P$2:P113,共有用1!P113))</f>
        <v/>
      </c>
      <c r="Q113" s="17" t="str">
        <f>IF(共有用1!Q113="","",共有用1!Q113&amp;"/"&amp;COUNTIF(共有用1!Q$2:Q113,共有用1!Q113))</f>
        <v/>
      </c>
      <c r="R113" s="17" t="str">
        <f>IF(共有用1!R113="","",共有用1!R113&amp;"/"&amp;COUNTIF(共有用1!R$2:R113,共有用1!R113))</f>
        <v/>
      </c>
      <c r="S113" s="17" t="str">
        <f>IF(共有用1!S113="","",共有用1!S113&amp;"/"&amp;COUNTIF(共有用1!S$2:S113,共有用1!S113))</f>
        <v/>
      </c>
      <c r="T113" s="17" t="str">
        <f>IF(共有用1!T113="","",共有用1!T113&amp;"/"&amp;COUNTIF(共有用1!T$2:T113,共有用1!T113))</f>
        <v/>
      </c>
      <c r="U113" s="17" t="str">
        <f>IF(共有用1!U113="","",共有用1!U113&amp;"/"&amp;COUNTIF(共有用1!U$2:U113,共有用1!U113))</f>
        <v/>
      </c>
      <c r="V113" s="17" t="str">
        <f>IF(共有用1!V113="","",共有用1!V113&amp;"/"&amp;COUNTIF(共有用1!V$2:V113,共有用1!V113))</f>
        <v/>
      </c>
      <c r="W113" s="17" t="str">
        <f>IF(共有用1!W113="","",共有用1!W113&amp;"/"&amp;COUNTIF(共有用1!W$2:W113,共有用1!W113))</f>
        <v/>
      </c>
      <c r="X113" s="17" t="str">
        <f>IF(共有用1!X113="","",共有用1!X113&amp;"/"&amp;COUNTIF(共有用1!X$2:X113,共有用1!X113))</f>
        <v/>
      </c>
      <c r="Y113" s="17" t="str">
        <f>IF(共有用1!Y113="","",共有用1!Y113&amp;"/"&amp;COUNTIF(共有用1!Y$2:Y113,共有用1!Y113))</f>
        <v/>
      </c>
      <c r="Z113" s="17" t="str">
        <f>IF(共有用1!Z113="","",共有用1!Z113&amp;"/"&amp;COUNTIF(共有用1!Z$2:Z113,共有用1!Z113))</f>
        <v/>
      </c>
      <c r="AA113" s="17" t="str">
        <f>IF(共有用1!AA113="","",共有用1!AA113&amp;"/"&amp;COUNTIF(共有用1!AA$2:AA113,共有用1!AA113))</f>
        <v/>
      </c>
      <c r="AB113" s="17" t="str">
        <f>IF(共有用1!AB113="","",共有用1!AB113&amp;"/"&amp;COUNTIF(共有用1!AB$2:AB113,共有用1!AB113))</f>
        <v/>
      </c>
      <c r="AC113" s="17" t="str">
        <f>IF(共有用1!AC113="","",共有用1!AC113&amp;"/"&amp;COUNTIF(共有用1!AC$2:AC113,共有用1!AC113))</f>
        <v/>
      </c>
      <c r="AD113" s="17" t="str">
        <f>IF(共有用1!AD113="","",共有用1!AD113&amp;"/"&amp;COUNTIF(共有用1!AD$2:AD113,共有用1!AD113))</f>
        <v/>
      </c>
      <c r="AE113" s="17" t="str">
        <f>IF(共有用1!AE113="","",共有用1!AE113&amp;"/"&amp;COUNTIF(共有用1!AE$2:AE113,共有用1!AE113))</f>
        <v/>
      </c>
      <c r="AF113" s="17" t="str">
        <f>IF(共有用1!AF113="","",共有用1!AF113&amp;"/"&amp;COUNTIF(共有用1!AF$2:AF113,共有用1!AF113))</f>
        <v/>
      </c>
      <c r="AG113" s="17" t="str">
        <f>IF(共有用1!AG113="","",共有用1!AG113&amp;"/"&amp;COUNTIF(共有用1!AG$2:AG113,共有用1!AG113))</f>
        <v/>
      </c>
      <c r="AH113" s="17" t="str">
        <f>IF(共有用1!AH113="","",共有用1!AH113&amp;"/"&amp;COUNTIF(共有用1!AH$2:AH113,共有用1!AH113))</f>
        <v/>
      </c>
      <c r="AI113" s="17" t="str">
        <f>IF(共有用1!AI113="","",共有用1!AI113&amp;"/"&amp;COUNTIF(共有用1!AI$2:AI113,共有用1!AI113))</f>
        <v/>
      </c>
      <c r="AJ113" s="17" t="str">
        <f>IF(共有用1!AJ113="","",共有用1!AJ113&amp;"/"&amp;COUNTIF(共有用1!AJ$2:AJ113,共有用1!AJ113))</f>
        <v/>
      </c>
      <c r="AK113" s="17" t="str">
        <f>IF(共有用1!AK113="","",共有用1!AK113&amp;"/"&amp;COUNTIF(共有用1!AK$2:AK113,共有用1!AK113))</f>
        <v/>
      </c>
      <c r="AL113" s="17" t="str">
        <f>IF(共有用1!AL113="","",共有用1!AL113&amp;"/"&amp;COUNTIF(共有用1!AL$2:AL113,共有用1!AL113))</f>
        <v/>
      </c>
      <c r="AM113" s="17" t="str">
        <f>IF(共有用1!AM113="","",共有用1!AM113&amp;"/"&amp;COUNTIF(共有用1!AM$2:AM113,共有用1!AM113))</f>
        <v/>
      </c>
      <c r="AN113" s="17" t="str">
        <f>IF(共有用1!AN113="","",共有用1!AN113&amp;"/"&amp;COUNTIF(共有用1!AN$2:AN113,共有用1!AN113))</f>
        <v/>
      </c>
      <c r="AO113" s="17" t="str">
        <f>IF(共有用1!AO113="","",共有用1!AO113&amp;"/"&amp;COUNTIF(共有用1!AO$2:AO113,共有用1!AO113))</f>
        <v/>
      </c>
      <c r="AP113" s="17" t="str">
        <f>IF(共有用1!AP113="","",共有用1!AP113&amp;"/"&amp;COUNTIF(共有用1!AP$2:AP113,共有用1!AP113))</f>
        <v/>
      </c>
      <c r="AQ113" s="17" t="str">
        <f>IF(共有用1!AQ113="","",共有用1!AQ113&amp;"/"&amp;COUNTIF(共有用1!AQ$2:AQ113,共有用1!AQ113))</f>
        <v/>
      </c>
      <c r="AR113" s="17" t="str">
        <f>IF(共有用1!AR113="","",共有用1!AR113&amp;"/"&amp;COUNTIF(共有用1!AR$2:AR113,共有用1!AR113))</f>
        <v/>
      </c>
      <c r="AS113" s="17" t="str">
        <f>IF(共有用1!AS113="","",共有用1!AS113&amp;"/"&amp;COUNTIF(共有用1!AS$2:AS113,共有用1!AS113))</f>
        <v/>
      </c>
      <c r="AT113" s="17" t="str">
        <f>IF(共有用1!AT113="","",共有用1!AT113&amp;"/"&amp;COUNTIF(共有用1!AT$2:AT113,共有用1!AT113))</f>
        <v/>
      </c>
      <c r="AU113" s="17" t="str">
        <f>IF(共有用1!AU113="","",共有用1!AU113&amp;"/"&amp;COUNTIF(共有用1!AU$2:AU113,共有用1!AU113))</f>
        <v/>
      </c>
      <c r="AV113" s="17" t="str">
        <f>IF(共有用1!AV113="","",共有用1!AV113&amp;"/"&amp;COUNTIF(共有用1!AV$2:AV113,共有用1!AV113))</f>
        <v/>
      </c>
      <c r="AW113" s="17" t="str">
        <f>IF(共有用1!AW113="","",共有用1!AW113&amp;"/"&amp;COUNTIF(共有用1!AW$2:AW113,共有用1!AW113))</f>
        <v/>
      </c>
      <c r="AX113" s="17" t="str">
        <f>IF(共有用1!AX113="","",共有用1!AX113&amp;"/"&amp;COUNTIF(共有用1!AX$2:AX113,共有用1!AX113))</f>
        <v/>
      </c>
      <c r="AY113" s="17" t="str">
        <f>IF(共有用1!AY113="","",共有用1!AY113&amp;"/"&amp;COUNTIF(共有用1!AY$2:AY113,共有用1!AY113))</f>
        <v/>
      </c>
      <c r="AZ113" s="17" t="str">
        <f>IF(共有用1!AZ113="","",共有用1!AZ113&amp;"/"&amp;COUNTIF(共有用1!AZ$2:AZ113,共有用1!AZ113))</f>
        <v/>
      </c>
      <c r="BA113" s="17" t="str">
        <f>IF(共有用1!BA113="","",共有用1!BA113&amp;"/"&amp;COUNTIF(共有用1!BA$2:BA113,共有用1!BA113))</f>
        <v/>
      </c>
    </row>
    <row r="114" spans="1:53">
      <c r="A114" s="2" t="str">
        <f>共有用1!A114</f>
        <v/>
      </c>
      <c r="B114" s="2" t="str">
        <f>共有用1!B114</f>
        <v/>
      </c>
      <c r="C114" s="2" t="str">
        <f>共有用1!C114</f>
        <v/>
      </c>
      <c r="D114" s="17" t="str">
        <f>IF(共有用1!D114="","",共有用1!D114&amp;"/"&amp;COUNTIF(共有用1!D$2:D114,共有用1!D114))</f>
        <v/>
      </c>
      <c r="E114" s="17" t="str">
        <f>IF(共有用1!E114="","",共有用1!E114&amp;"/"&amp;COUNTIF(共有用1!E$2:E114,共有用1!E114))</f>
        <v/>
      </c>
      <c r="F114" s="17" t="str">
        <f>IF(共有用1!F114="","",共有用1!F114&amp;"/"&amp;COUNTIF(共有用1!F$2:F114,共有用1!F114))</f>
        <v/>
      </c>
      <c r="G114" s="17" t="str">
        <f>IF(共有用1!G114="","",共有用1!G114&amp;"/"&amp;COUNTIF(共有用1!G$2:G114,共有用1!G114))</f>
        <v/>
      </c>
      <c r="H114" s="17" t="str">
        <f>IF(共有用1!H114="","",共有用1!H114&amp;"/"&amp;COUNTIF(共有用1!H$2:H114,共有用1!H114))</f>
        <v/>
      </c>
      <c r="I114" s="17" t="str">
        <f>IF(共有用1!I114="","",共有用1!I114&amp;"/"&amp;COUNTIF(共有用1!I$2:I114,共有用1!I114))</f>
        <v/>
      </c>
      <c r="J114" s="17" t="str">
        <f>IF(共有用1!J114="","",共有用1!J114&amp;"/"&amp;COUNTIF(共有用1!J$2:J114,共有用1!J114))</f>
        <v/>
      </c>
      <c r="K114" s="17" t="str">
        <f>IF(共有用1!K114="","",共有用1!K114&amp;"/"&amp;COUNTIF(共有用1!K$2:K114,共有用1!K114))</f>
        <v/>
      </c>
      <c r="L114" s="17" t="str">
        <f>IF(共有用1!L114="","",共有用1!L114&amp;"/"&amp;COUNTIF(共有用1!L$2:L114,共有用1!L114))</f>
        <v/>
      </c>
      <c r="M114" s="17" t="str">
        <f>IF(共有用1!M114="","",共有用1!M114&amp;"/"&amp;COUNTIF(共有用1!M$2:M114,共有用1!M114))</f>
        <v/>
      </c>
      <c r="N114" s="17" t="str">
        <f>IF(共有用1!N114="","",共有用1!N114&amp;"/"&amp;COUNTIF(共有用1!N$2:N114,共有用1!N114))</f>
        <v/>
      </c>
      <c r="O114" s="17" t="str">
        <f>IF(共有用1!O114="","",共有用1!O114&amp;"/"&amp;COUNTIF(共有用1!O$2:O114,共有用1!O114))</f>
        <v/>
      </c>
      <c r="P114" s="17" t="str">
        <f>IF(共有用1!P114="","",共有用1!P114&amp;"/"&amp;COUNTIF(共有用1!P$2:P114,共有用1!P114))</f>
        <v/>
      </c>
      <c r="Q114" s="17" t="str">
        <f>IF(共有用1!Q114="","",共有用1!Q114&amp;"/"&amp;COUNTIF(共有用1!Q$2:Q114,共有用1!Q114))</f>
        <v/>
      </c>
      <c r="R114" s="17" t="str">
        <f>IF(共有用1!R114="","",共有用1!R114&amp;"/"&amp;COUNTIF(共有用1!R$2:R114,共有用1!R114))</f>
        <v/>
      </c>
      <c r="S114" s="17" t="str">
        <f>IF(共有用1!S114="","",共有用1!S114&amp;"/"&amp;COUNTIF(共有用1!S$2:S114,共有用1!S114))</f>
        <v/>
      </c>
      <c r="T114" s="17" t="str">
        <f>IF(共有用1!T114="","",共有用1!T114&amp;"/"&amp;COUNTIF(共有用1!T$2:T114,共有用1!T114))</f>
        <v/>
      </c>
      <c r="U114" s="17" t="str">
        <f>IF(共有用1!U114="","",共有用1!U114&amp;"/"&amp;COUNTIF(共有用1!U$2:U114,共有用1!U114))</f>
        <v/>
      </c>
      <c r="V114" s="17" t="str">
        <f>IF(共有用1!V114="","",共有用1!V114&amp;"/"&amp;COUNTIF(共有用1!V$2:V114,共有用1!V114))</f>
        <v/>
      </c>
      <c r="W114" s="17" t="str">
        <f>IF(共有用1!W114="","",共有用1!W114&amp;"/"&amp;COUNTIF(共有用1!W$2:W114,共有用1!W114))</f>
        <v/>
      </c>
      <c r="X114" s="17" t="str">
        <f>IF(共有用1!X114="","",共有用1!X114&amp;"/"&amp;COUNTIF(共有用1!X$2:X114,共有用1!X114))</f>
        <v/>
      </c>
      <c r="Y114" s="17" t="str">
        <f>IF(共有用1!Y114="","",共有用1!Y114&amp;"/"&amp;COUNTIF(共有用1!Y$2:Y114,共有用1!Y114))</f>
        <v/>
      </c>
      <c r="Z114" s="17" t="str">
        <f>IF(共有用1!Z114="","",共有用1!Z114&amp;"/"&amp;COUNTIF(共有用1!Z$2:Z114,共有用1!Z114))</f>
        <v/>
      </c>
      <c r="AA114" s="17" t="str">
        <f>IF(共有用1!AA114="","",共有用1!AA114&amp;"/"&amp;COUNTIF(共有用1!AA$2:AA114,共有用1!AA114))</f>
        <v/>
      </c>
      <c r="AB114" s="17" t="str">
        <f>IF(共有用1!AB114="","",共有用1!AB114&amp;"/"&amp;COUNTIF(共有用1!AB$2:AB114,共有用1!AB114))</f>
        <v/>
      </c>
      <c r="AC114" s="17" t="str">
        <f>IF(共有用1!AC114="","",共有用1!AC114&amp;"/"&amp;COUNTIF(共有用1!AC$2:AC114,共有用1!AC114))</f>
        <v/>
      </c>
      <c r="AD114" s="17" t="str">
        <f>IF(共有用1!AD114="","",共有用1!AD114&amp;"/"&amp;COUNTIF(共有用1!AD$2:AD114,共有用1!AD114))</f>
        <v/>
      </c>
      <c r="AE114" s="17" t="str">
        <f>IF(共有用1!AE114="","",共有用1!AE114&amp;"/"&amp;COUNTIF(共有用1!AE$2:AE114,共有用1!AE114))</f>
        <v/>
      </c>
      <c r="AF114" s="17" t="str">
        <f>IF(共有用1!AF114="","",共有用1!AF114&amp;"/"&amp;COUNTIF(共有用1!AF$2:AF114,共有用1!AF114))</f>
        <v/>
      </c>
      <c r="AG114" s="17" t="str">
        <f>IF(共有用1!AG114="","",共有用1!AG114&amp;"/"&amp;COUNTIF(共有用1!AG$2:AG114,共有用1!AG114))</f>
        <v/>
      </c>
      <c r="AH114" s="17" t="str">
        <f>IF(共有用1!AH114="","",共有用1!AH114&amp;"/"&amp;COUNTIF(共有用1!AH$2:AH114,共有用1!AH114))</f>
        <v/>
      </c>
      <c r="AI114" s="17" t="str">
        <f>IF(共有用1!AI114="","",共有用1!AI114&amp;"/"&amp;COUNTIF(共有用1!AI$2:AI114,共有用1!AI114))</f>
        <v/>
      </c>
      <c r="AJ114" s="17" t="str">
        <f>IF(共有用1!AJ114="","",共有用1!AJ114&amp;"/"&amp;COUNTIF(共有用1!AJ$2:AJ114,共有用1!AJ114))</f>
        <v/>
      </c>
      <c r="AK114" s="17" t="str">
        <f>IF(共有用1!AK114="","",共有用1!AK114&amp;"/"&amp;COUNTIF(共有用1!AK$2:AK114,共有用1!AK114))</f>
        <v/>
      </c>
      <c r="AL114" s="17" t="str">
        <f>IF(共有用1!AL114="","",共有用1!AL114&amp;"/"&amp;COUNTIF(共有用1!AL$2:AL114,共有用1!AL114))</f>
        <v/>
      </c>
      <c r="AM114" s="17" t="str">
        <f>IF(共有用1!AM114="","",共有用1!AM114&amp;"/"&amp;COUNTIF(共有用1!AM$2:AM114,共有用1!AM114))</f>
        <v/>
      </c>
      <c r="AN114" s="17" t="str">
        <f>IF(共有用1!AN114="","",共有用1!AN114&amp;"/"&amp;COUNTIF(共有用1!AN$2:AN114,共有用1!AN114))</f>
        <v/>
      </c>
      <c r="AO114" s="17" t="str">
        <f>IF(共有用1!AO114="","",共有用1!AO114&amp;"/"&amp;COUNTIF(共有用1!AO$2:AO114,共有用1!AO114))</f>
        <v/>
      </c>
      <c r="AP114" s="17" t="str">
        <f>IF(共有用1!AP114="","",共有用1!AP114&amp;"/"&amp;COUNTIF(共有用1!AP$2:AP114,共有用1!AP114))</f>
        <v/>
      </c>
      <c r="AQ114" s="17" t="str">
        <f>IF(共有用1!AQ114="","",共有用1!AQ114&amp;"/"&amp;COUNTIF(共有用1!AQ$2:AQ114,共有用1!AQ114))</f>
        <v/>
      </c>
      <c r="AR114" s="17" t="str">
        <f>IF(共有用1!AR114="","",共有用1!AR114&amp;"/"&amp;COUNTIF(共有用1!AR$2:AR114,共有用1!AR114))</f>
        <v/>
      </c>
      <c r="AS114" s="17" t="str">
        <f>IF(共有用1!AS114="","",共有用1!AS114&amp;"/"&amp;COUNTIF(共有用1!AS$2:AS114,共有用1!AS114))</f>
        <v/>
      </c>
      <c r="AT114" s="17" t="str">
        <f>IF(共有用1!AT114="","",共有用1!AT114&amp;"/"&amp;COUNTIF(共有用1!AT$2:AT114,共有用1!AT114))</f>
        <v/>
      </c>
      <c r="AU114" s="17" t="str">
        <f>IF(共有用1!AU114="","",共有用1!AU114&amp;"/"&amp;COUNTIF(共有用1!AU$2:AU114,共有用1!AU114))</f>
        <v/>
      </c>
      <c r="AV114" s="17" t="str">
        <f>IF(共有用1!AV114="","",共有用1!AV114&amp;"/"&amp;COUNTIF(共有用1!AV$2:AV114,共有用1!AV114))</f>
        <v/>
      </c>
      <c r="AW114" s="17" t="str">
        <f>IF(共有用1!AW114="","",共有用1!AW114&amp;"/"&amp;COUNTIF(共有用1!AW$2:AW114,共有用1!AW114))</f>
        <v/>
      </c>
      <c r="AX114" s="17" t="str">
        <f>IF(共有用1!AX114="","",共有用1!AX114&amp;"/"&amp;COUNTIF(共有用1!AX$2:AX114,共有用1!AX114))</f>
        <v/>
      </c>
      <c r="AY114" s="17" t="str">
        <f>IF(共有用1!AY114="","",共有用1!AY114&amp;"/"&amp;COUNTIF(共有用1!AY$2:AY114,共有用1!AY114))</f>
        <v/>
      </c>
      <c r="AZ114" s="17" t="str">
        <f>IF(共有用1!AZ114="","",共有用1!AZ114&amp;"/"&amp;COUNTIF(共有用1!AZ$2:AZ114,共有用1!AZ114))</f>
        <v/>
      </c>
      <c r="BA114" s="17" t="str">
        <f>IF(共有用1!BA114="","",共有用1!BA114&amp;"/"&amp;COUNTIF(共有用1!BA$2:BA114,共有用1!BA114))</f>
        <v/>
      </c>
    </row>
    <row r="115" spans="1:53">
      <c r="A115" s="2" t="str">
        <f>共有用1!A115</f>
        <v/>
      </c>
      <c r="B115" s="2" t="str">
        <f>共有用1!B115</f>
        <v/>
      </c>
      <c r="C115" s="2" t="str">
        <f>共有用1!C115</f>
        <v/>
      </c>
      <c r="D115" s="17" t="str">
        <f>IF(共有用1!D115="","",共有用1!D115&amp;"/"&amp;COUNTIF(共有用1!D$2:D115,共有用1!D115))</f>
        <v/>
      </c>
      <c r="E115" s="17" t="str">
        <f>IF(共有用1!E115="","",共有用1!E115&amp;"/"&amp;COUNTIF(共有用1!E$2:E115,共有用1!E115))</f>
        <v/>
      </c>
      <c r="F115" s="17" t="str">
        <f>IF(共有用1!F115="","",共有用1!F115&amp;"/"&amp;COUNTIF(共有用1!F$2:F115,共有用1!F115))</f>
        <v/>
      </c>
      <c r="G115" s="17" t="str">
        <f>IF(共有用1!G115="","",共有用1!G115&amp;"/"&amp;COUNTIF(共有用1!G$2:G115,共有用1!G115))</f>
        <v/>
      </c>
      <c r="H115" s="17" t="str">
        <f>IF(共有用1!H115="","",共有用1!H115&amp;"/"&amp;COUNTIF(共有用1!H$2:H115,共有用1!H115))</f>
        <v/>
      </c>
      <c r="I115" s="17" t="str">
        <f>IF(共有用1!I115="","",共有用1!I115&amp;"/"&amp;COUNTIF(共有用1!I$2:I115,共有用1!I115))</f>
        <v/>
      </c>
      <c r="J115" s="17" t="str">
        <f>IF(共有用1!J115="","",共有用1!J115&amp;"/"&amp;COUNTIF(共有用1!J$2:J115,共有用1!J115))</f>
        <v/>
      </c>
      <c r="K115" s="17" t="str">
        <f>IF(共有用1!K115="","",共有用1!K115&amp;"/"&amp;COUNTIF(共有用1!K$2:K115,共有用1!K115))</f>
        <v/>
      </c>
      <c r="L115" s="17" t="str">
        <f>IF(共有用1!L115="","",共有用1!L115&amp;"/"&amp;COUNTIF(共有用1!L$2:L115,共有用1!L115))</f>
        <v/>
      </c>
      <c r="M115" s="17" t="str">
        <f>IF(共有用1!M115="","",共有用1!M115&amp;"/"&amp;COUNTIF(共有用1!M$2:M115,共有用1!M115))</f>
        <v/>
      </c>
      <c r="N115" s="17" t="str">
        <f>IF(共有用1!N115="","",共有用1!N115&amp;"/"&amp;COUNTIF(共有用1!N$2:N115,共有用1!N115))</f>
        <v/>
      </c>
      <c r="O115" s="17" t="str">
        <f>IF(共有用1!O115="","",共有用1!O115&amp;"/"&amp;COUNTIF(共有用1!O$2:O115,共有用1!O115))</f>
        <v/>
      </c>
      <c r="P115" s="17" t="str">
        <f>IF(共有用1!P115="","",共有用1!P115&amp;"/"&amp;COUNTIF(共有用1!P$2:P115,共有用1!P115))</f>
        <v/>
      </c>
      <c r="Q115" s="17" t="str">
        <f>IF(共有用1!Q115="","",共有用1!Q115&amp;"/"&amp;COUNTIF(共有用1!Q$2:Q115,共有用1!Q115))</f>
        <v/>
      </c>
      <c r="R115" s="17" t="str">
        <f>IF(共有用1!R115="","",共有用1!R115&amp;"/"&amp;COUNTIF(共有用1!R$2:R115,共有用1!R115))</f>
        <v/>
      </c>
      <c r="S115" s="17" t="str">
        <f>IF(共有用1!S115="","",共有用1!S115&amp;"/"&amp;COUNTIF(共有用1!S$2:S115,共有用1!S115))</f>
        <v/>
      </c>
      <c r="T115" s="17" t="str">
        <f>IF(共有用1!T115="","",共有用1!T115&amp;"/"&amp;COUNTIF(共有用1!T$2:T115,共有用1!T115))</f>
        <v/>
      </c>
      <c r="U115" s="17" t="str">
        <f>IF(共有用1!U115="","",共有用1!U115&amp;"/"&amp;COUNTIF(共有用1!U$2:U115,共有用1!U115))</f>
        <v/>
      </c>
      <c r="V115" s="17" t="str">
        <f>IF(共有用1!V115="","",共有用1!V115&amp;"/"&amp;COUNTIF(共有用1!V$2:V115,共有用1!V115))</f>
        <v/>
      </c>
      <c r="W115" s="17" t="str">
        <f>IF(共有用1!W115="","",共有用1!W115&amp;"/"&amp;COUNTIF(共有用1!W$2:W115,共有用1!W115))</f>
        <v/>
      </c>
      <c r="X115" s="17" t="str">
        <f>IF(共有用1!X115="","",共有用1!X115&amp;"/"&amp;COUNTIF(共有用1!X$2:X115,共有用1!X115))</f>
        <v/>
      </c>
      <c r="Y115" s="17" t="str">
        <f>IF(共有用1!Y115="","",共有用1!Y115&amp;"/"&amp;COUNTIF(共有用1!Y$2:Y115,共有用1!Y115))</f>
        <v/>
      </c>
      <c r="Z115" s="17" t="str">
        <f>IF(共有用1!Z115="","",共有用1!Z115&amp;"/"&amp;COUNTIF(共有用1!Z$2:Z115,共有用1!Z115))</f>
        <v/>
      </c>
      <c r="AA115" s="17" t="str">
        <f>IF(共有用1!AA115="","",共有用1!AA115&amp;"/"&amp;COUNTIF(共有用1!AA$2:AA115,共有用1!AA115))</f>
        <v/>
      </c>
      <c r="AB115" s="17" t="str">
        <f>IF(共有用1!AB115="","",共有用1!AB115&amp;"/"&amp;COUNTIF(共有用1!AB$2:AB115,共有用1!AB115))</f>
        <v/>
      </c>
      <c r="AC115" s="17" t="str">
        <f>IF(共有用1!AC115="","",共有用1!AC115&amp;"/"&amp;COUNTIF(共有用1!AC$2:AC115,共有用1!AC115))</f>
        <v/>
      </c>
      <c r="AD115" s="17" t="str">
        <f>IF(共有用1!AD115="","",共有用1!AD115&amp;"/"&amp;COUNTIF(共有用1!AD$2:AD115,共有用1!AD115))</f>
        <v/>
      </c>
      <c r="AE115" s="17" t="str">
        <f>IF(共有用1!AE115="","",共有用1!AE115&amp;"/"&amp;COUNTIF(共有用1!AE$2:AE115,共有用1!AE115))</f>
        <v/>
      </c>
      <c r="AF115" s="17" t="str">
        <f>IF(共有用1!AF115="","",共有用1!AF115&amp;"/"&amp;COUNTIF(共有用1!AF$2:AF115,共有用1!AF115))</f>
        <v/>
      </c>
      <c r="AG115" s="17" t="str">
        <f>IF(共有用1!AG115="","",共有用1!AG115&amp;"/"&amp;COUNTIF(共有用1!AG$2:AG115,共有用1!AG115))</f>
        <v/>
      </c>
      <c r="AH115" s="17" t="str">
        <f>IF(共有用1!AH115="","",共有用1!AH115&amp;"/"&amp;COUNTIF(共有用1!AH$2:AH115,共有用1!AH115))</f>
        <v/>
      </c>
      <c r="AI115" s="17" t="str">
        <f>IF(共有用1!AI115="","",共有用1!AI115&amp;"/"&amp;COUNTIF(共有用1!AI$2:AI115,共有用1!AI115))</f>
        <v/>
      </c>
      <c r="AJ115" s="17" t="str">
        <f>IF(共有用1!AJ115="","",共有用1!AJ115&amp;"/"&amp;COUNTIF(共有用1!AJ$2:AJ115,共有用1!AJ115))</f>
        <v/>
      </c>
      <c r="AK115" s="17" t="str">
        <f>IF(共有用1!AK115="","",共有用1!AK115&amp;"/"&amp;COUNTIF(共有用1!AK$2:AK115,共有用1!AK115))</f>
        <v/>
      </c>
      <c r="AL115" s="17" t="str">
        <f>IF(共有用1!AL115="","",共有用1!AL115&amp;"/"&amp;COUNTIF(共有用1!AL$2:AL115,共有用1!AL115))</f>
        <v/>
      </c>
      <c r="AM115" s="17" t="str">
        <f>IF(共有用1!AM115="","",共有用1!AM115&amp;"/"&amp;COUNTIF(共有用1!AM$2:AM115,共有用1!AM115))</f>
        <v/>
      </c>
      <c r="AN115" s="17" t="str">
        <f>IF(共有用1!AN115="","",共有用1!AN115&amp;"/"&amp;COUNTIF(共有用1!AN$2:AN115,共有用1!AN115))</f>
        <v/>
      </c>
      <c r="AO115" s="17" t="str">
        <f>IF(共有用1!AO115="","",共有用1!AO115&amp;"/"&amp;COUNTIF(共有用1!AO$2:AO115,共有用1!AO115))</f>
        <v/>
      </c>
      <c r="AP115" s="17" t="str">
        <f>IF(共有用1!AP115="","",共有用1!AP115&amp;"/"&amp;COUNTIF(共有用1!AP$2:AP115,共有用1!AP115))</f>
        <v/>
      </c>
      <c r="AQ115" s="17" t="str">
        <f>IF(共有用1!AQ115="","",共有用1!AQ115&amp;"/"&amp;COUNTIF(共有用1!AQ$2:AQ115,共有用1!AQ115))</f>
        <v/>
      </c>
      <c r="AR115" s="17" t="str">
        <f>IF(共有用1!AR115="","",共有用1!AR115&amp;"/"&amp;COUNTIF(共有用1!AR$2:AR115,共有用1!AR115))</f>
        <v/>
      </c>
      <c r="AS115" s="17" t="str">
        <f>IF(共有用1!AS115="","",共有用1!AS115&amp;"/"&amp;COUNTIF(共有用1!AS$2:AS115,共有用1!AS115))</f>
        <v/>
      </c>
      <c r="AT115" s="17" t="str">
        <f>IF(共有用1!AT115="","",共有用1!AT115&amp;"/"&amp;COUNTIF(共有用1!AT$2:AT115,共有用1!AT115))</f>
        <v/>
      </c>
      <c r="AU115" s="17" t="str">
        <f>IF(共有用1!AU115="","",共有用1!AU115&amp;"/"&amp;COUNTIF(共有用1!AU$2:AU115,共有用1!AU115))</f>
        <v/>
      </c>
      <c r="AV115" s="17" t="str">
        <f>IF(共有用1!AV115="","",共有用1!AV115&amp;"/"&amp;COUNTIF(共有用1!AV$2:AV115,共有用1!AV115))</f>
        <v/>
      </c>
      <c r="AW115" s="17" t="str">
        <f>IF(共有用1!AW115="","",共有用1!AW115&amp;"/"&amp;COUNTIF(共有用1!AW$2:AW115,共有用1!AW115))</f>
        <v/>
      </c>
      <c r="AX115" s="17" t="str">
        <f>IF(共有用1!AX115="","",共有用1!AX115&amp;"/"&amp;COUNTIF(共有用1!AX$2:AX115,共有用1!AX115))</f>
        <v/>
      </c>
      <c r="AY115" s="17" t="str">
        <f>IF(共有用1!AY115="","",共有用1!AY115&amp;"/"&amp;COUNTIF(共有用1!AY$2:AY115,共有用1!AY115))</f>
        <v/>
      </c>
      <c r="AZ115" s="17" t="str">
        <f>IF(共有用1!AZ115="","",共有用1!AZ115&amp;"/"&amp;COUNTIF(共有用1!AZ$2:AZ115,共有用1!AZ115))</f>
        <v/>
      </c>
      <c r="BA115" s="17" t="str">
        <f>IF(共有用1!BA115="","",共有用1!BA115&amp;"/"&amp;COUNTIF(共有用1!BA$2:BA115,共有用1!BA115))</f>
        <v/>
      </c>
    </row>
    <row r="116" spans="1:53">
      <c r="A116" s="2" t="str">
        <f>共有用1!A116</f>
        <v/>
      </c>
      <c r="B116" s="2" t="str">
        <f>共有用1!B116</f>
        <v/>
      </c>
      <c r="C116" s="2" t="str">
        <f>共有用1!C116</f>
        <v/>
      </c>
      <c r="D116" s="17" t="str">
        <f>IF(共有用1!D116="","",共有用1!D116&amp;"/"&amp;COUNTIF(共有用1!D$2:D116,共有用1!D116))</f>
        <v/>
      </c>
      <c r="E116" s="17" t="str">
        <f>IF(共有用1!E116="","",共有用1!E116&amp;"/"&amp;COUNTIF(共有用1!E$2:E116,共有用1!E116))</f>
        <v/>
      </c>
      <c r="F116" s="17" t="str">
        <f>IF(共有用1!F116="","",共有用1!F116&amp;"/"&amp;COUNTIF(共有用1!F$2:F116,共有用1!F116))</f>
        <v/>
      </c>
      <c r="G116" s="17" t="str">
        <f>IF(共有用1!G116="","",共有用1!G116&amp;"/"&amp;COUNTIF(共有用1!G$2:G116,共有用1!G116))</f>
        <v/>
      </c>
      <c r="H116" s="17" t="str">
        <f>IF(共有用1!H116="","",共有用1!H116&amp;"/"&amp;COUNTIF(共有用1!H$2:H116,共有用1!H116))</f>
        <v/>
      </c>
      <c r="I116" s="17" t="str">
        <f>IF(共有用1!I116="","",共有用1!I116&amp;"/"&amp;COUNTIF(共有用1!I$2:I116,共有用1!I116))</f>
        <v/>
      </c>
      <c r="J116" s="17" t="str">
        <f>IF(共有用1!J116="","",共有用1!J116&amp;"/"&amp;COUNTIF(共有用1!J$2:J116,共有用1!J116))</f>
        <v/>
      </c>
      <c r="K116" s="17" t="str">
        <f>IF(共有用1!K116="","",共有用1!K116&amp;"/"&amp;COUNTIF(共有用1!K$2:K116,共有用1!K116))</f>
        <v/>
      </c>
      <c r="L116" s="17" t="str">
        <f>IF(共有用1!L116="","",共有用1!L116&amp;"/"&amp;COUNTIF(共有用1!L$2:L116,共有用1!L116))</f>
        <v/>
      </c>
      <c r="M116" s="17" t="str">
        <f>IF(共有用1!M116="","",共有用1!M116&amp;"/"&amp;COUNTIF(共有用1!M$2:M116,共有用1!M116))</f>
        <v/>
      </c>
      <c r="N116" s="17" t="str">
        <f>IF(共有用1!N116="","",共有用1!N116&amp;"/"&amp;COUNTIF(共有用1!N$2:N116,共有用1!N116))</f>
        <v/>
      </c>
      <c r="O116" s="17" t="str">
        <f>IF(共有用1!O116="","",共有用1!O116&amp;"/"&amp;COUNTIF(共有用1!O$2:O116,共有用1!O116))</f>
        <v/>
      </c>
      <c r="P116" s="17" t="str">
        <f>IF(共有用1!P116="","",共有用1!P116&amp;"/"&amp;COUNTIF(共有用1!P$2:P116,共有用1!P116))</f>
        <v/>
      </c>
      <c r="Q116" s="17" t="str">
        <f>IF(共有用1!Q116="","",共有用1!Q116&amp;"/"&amp;COUNTIF(共有用1!Q$2:Q116,共有用1!Q116))</f>
        <v/>
      </c>
      <c r="R116" s="17" t="str">
        <f>IF(共有用1!R116="","",共有用1!R116&amp;"/"&amp;COUNTIF(共有用1!R$2:R116,共有用1!R116))</f>
        <v/>
      </c>
      <c r="S116" s="17" t="str">
        <f>IF(共有用1!S116="","",共有用1!S116&amp;"/"&amp;COUNTIF(共有用1!S$2:S116,共有用1!S116))</f>
        <v/>
      </c>
      <c r="T116" s="17" t="str">
        <f>IF(共有用1!T116="","",共有用1!T116&amp;"/"&amp;COUNTIF(共有用1!T$2:T116,共有用1!T116))</f>
        <v/>
      </c>
      <c r="U116" s="17" t="str">
        <f>IF(共有用1!U116="","",共有用1!U116&amp;"/"&amp;COUNTIF(共有用1!U$2:U116,共有用1!U116))</f>
        <v/>
      </c>
      <c r="V116" s="17" t="str">
        <f>IF(共有用1!V116="","",共有用1!V116&amp;"/"&amp;COUNTIF(共有用1!V$2:V116,共有用1!V116))</f>
        <v/>
      </c>
      <c r="W116" s="17" t="str">
        <f>IF(共有用1!W116="","",共有用1!W116&amp;"/"&amp;COUNTIF(共有用1!W$2:W116,共有用1!W116))</f>
        <v/>
      </c>
      <c r="X116" s="17" t="str">
        <f>IF(共有用1!X116="","",共有用1!X116&amp;"/"&amp;COUNTIF(共有用1!X$2:X116,共有用1!X116))</f>
        <v/>
      </c>
      <c r="Y116" s="17" t="str">
        <f>IF(共有用1!Y116="","",共有用1!Y116&amp;"/"&amp;COUNTIF(共有用1!Y$2:Y116,共有用1!Y116))</f>
        <v/>
      </c>
      <c r="Z116" s="17" t="str">
        <f>IF(共有用1!Z116="","",共有用1!Z116&amp;"/"&amp;COUNTIF(共有用1!Z$2:Z116,共有用1!Z116))</f>
        <v/>
      </c>
      <c r="AA116" s="17" t="str">
        <f>IF(共有用1!AA116="","",共有用1!AA116&amp;"/"&amp;COUNTIF(共有用1!AA$2:AA116,共有用1!AA116))</f>
        <v/>
      </c>
      <c r="AB116" s="17" t="str">
        <f>IF(共有用1!AB116="","",共有用1!AB116&amp;"/"&amp;COUNTIF(共有用1!AB$2:AB116,共有用1!AB116))</f>
        <v/>
      </c>
      <c r="AC116" s="17" t="str">
        <f>IF(共有用1!AC116="","",共有用1!AC116&amp;"/"&amp;COUNTIF(共有用1!AC$2:AC116,共有用1!AC116))</f>
        <v/>
      </c>
      <c r="AD116" s="17" t="str">
        <f>IF(共有用1!AD116="","",共有用1!AD116&amp;"/"&amp;COUNTIF(共有用1!AD$2:AD116,共有用1!AD116))</f>
        <v/>
      </c>
      <c r="AE116" s="17" t="str">
        <f>IF(共有用1!AE116="","",共有用1!AE116&amp;"/"&amp;COUNTIF(共有用1!AE$2:AE116,共有用1!AE116))</f>
        <v/>
      </c>
      <c r="AF116" s="17" t="str">
        <f>IF(共有用1!AF116="","",共有用1!AF116&amp;"/"&amp;COUNTIF(共有用1!AF$2:AF116,共有用1!AF116))</f>
        <v/>
      </c>
      <c r="AG116" s="17" t="str">
        <f>IF(共有用1!AG116="","",共有用1!AG116&amp;"/"&amp;COUNTIF(共有用1!AG$2:AG116,共有用1!AG116))</f>
        <v/>
      </c>
      <c r="AH116" s="17" t="str">
        <f>IF(共有用1!AH116="","",共有用1!AH116&amp;"/"&amp;COUNTIF(共有用1!AH$2:AH116,共有用1!AH116))</f>
        <v/>
      </c>
      <c r="AI116" s="17" t="str">
        <f>IF(共有用1!AI116="","",共有用1!AI116&amp;"/"&amp;COUNTIF(共有用1!AI$2:AI116,共有用1!AI116))</f>
        <v/>
      </c>
      <c r="AJ116" s="17" t="str">
        <f>IF(共有用1!AJ116="","",共有用1!AJ116&amp;"/"&amp;COUNTIF(共有用1!AJ$2:AJ116,共有用1!AJ116))</f>
        <v/>
      </c>
      <c r="AK116" s="17" t="str">
        <f>IF(共有用1!AK116="","",共有用1!AK116&amp;"/"&amp;COUNTIF(共有用1!AK$2:AK116,共有用1!AK116))</f>
        <v/>
      </c>
      <c r="AL116" s="17" t="str">
        <f>IF(共有用1!AL116="","",共有用1!AL116&amp;"/"&amp;COUNTIF(共有用1!AL$2:AL116,共有用1!AL116))</f>
        <v/>
      </c>
      <c r="AM116" s="17" t="str">
        <f>IF(共有用1!AM116="","",共有用1!AM116&amp;"/"&amp;COUNTIF(共有用1!AM$2:AM116,共有用1!AM116))</f>
        <v/>
      </c>
      <c r="AN116" s="17" t="str">
        <f>IF(共有用1!AN116="","",共有用1!AN116&amp;"/"&amp;COUNTIF(共有用1!AN$2:AN116,共有用1!AN116))</f>
        <v/>
      </c>
      <c r="AO116" s="17" t="str">
        <f>IF(共有用1!AO116="","",共有用1!AO116&amp;"/"&amp;COUNTIF(共有用1!AO$2:AO116,共有用1!AO116))</f>
        <v/>
      </c>
      <c r="AP116" s="17" t="str">
        <f>IF(共有用1!AP116="","",共有用1!AP116&amp;"/"&amp;COUNTIF(共有用1!AP$2:AP116,共有用1!AP116))</f>
        <v/>
      </c>
      <c r="AQ116" s="17" t="str">
        <f>IF(共有用1!AQ116="","",共有用1!AQ116&amp;"/"&amp;COUNTIF(共有用1!AQ$2:AQ116,共有用1!AQ116))</f>
        <v/>
      </c>
      <c r="AR116" s="17" t="str">
        <f>IF(共有用1!AR116="","",共有用1!AR116&amp;"/"&amp;COUNTIF(共有用1!AR$2:AR116,共有用1!AR116))</f>
        <v/>
      </c>
      <c r="AS116" s="17" t="str">
        <f>IF(共有用1!AS116="","",共有用1!AS116&amp;"/"&amp;COUNTIF(共有用1!AS$2:AS116,共有用1!AS116))</f>
        <v/>
      </c>
      <c r="AT116" s="17" t="str">
        <f>IF(共有用1!AT116="","",共有用1!AT116&amp;"/"&amp;COUNTIF(共有用1!AT$2:AT116,共有用1!AT116))</f>
        <v/>
      </c>
      <c r="AU116" s="17" t="str">
        <f>IF(共有用1!AU116="","",共有用1!AU116&amp;"/"&amp;COUNTIF(共有用1!AU$2:AU116,共有用1!AU116))</f>
        <v/>
      </c>
      <c r="AV116" s="17" t="str">
        <f>IF(共有用1!AV116="","",共有用1!AV116&amp;"/"&amp;COUNTIF(共有用1!AV$2:AV116,共有用1!AV116))</f>
        <v/>
      </c>
      <c r="AW116" s="17" t="str">
        <f>IF(共有用1!AW116="","",共有用1!AW116&amp;"/"&amp;COUNTIF(共有用1!AW$2:AW116,共有用1!AW116))</f>
        <v/>
      </c>
      <c r="AX116" s="17" t="str">
        <f>IF(共有用1!AX116="","",共有用1!AX116&amp;"/"&amp;COUNTIF(共有用1!AX$2:AX116,共有用1!AX116))</f>
        <v/>
      </c>
      <c r="AY116" s="17" t="str">
        <f>IF(共有用1!AY116="","",共有用1!AY116&amp;"/"&amp;COUNTIF(共有用1!AY$2:AY116,共有用1!AY116))</f>
        <v/>
      </c>
      <c r="AZ116" s="17" t="str">
        <f>IF(共有用1!AZ116="","",共有用1!AZ116&amp;"/"&amp;COUNTIF(共有用1!AZ$2:AZ116,共有用1!AZ116))</f>
        <v/>
      </c>
      <c r="BA116" s="17" t="str">
        <f>IF(共有用1!BA116="","",共有用1!BA116&amp;"/"&amp;COUNTIF(共有用1!BA$2:BA116,共有用1!BA116))</f>
        <v/>
      </c>
    </row>
    <row r="117" spans="1:53">
      <c r="A117" s="2" t="str">
        <f>共有用1!A117</f>
        <v/>
      </c>
      <c r="B117" s="2" t="str">
        <f>共有用1!B117</f>
        <v/>
      </c>
      <c r="C117" s="2" t="str">
        <f>共有用1!C117</f>
        <v/>
      </c>
      <c r="D117" s="17" t="str">
        <f>IF(共有用1!D117="","",共有用1!D117&amp;"/"&amp;COUNTIF(共有用1!D$2:D117,共有用1!D117))</f>
        <v/>
      </c>
      <c r="E117" s="17" t="str">
        <f>IF(共有用1!E117="","",共有用1!E117&amp;"/"&amp;COUNTIF(共有用1!E$2:E117,共有用1!E117))</f>
        <v/>
      </c>
      <c r="F117" s="17" t="str">
        <f>IF(共有用1!F117="","",共有用1!F117&amp;"/"&amp;COUNTIF(共有用1!F$2:F117,共有用1!F117))</f>
        <v/>
      </c>
      <c r="G117" s="17" t="str">
        <f>IF(共有用1!G117="","",共有用1!G117&amp;"/"&amp;COUNTIF(共有用1!G$2:G117,共有用1!G117))</f>
        <v/>
      </c>
      <c r="H117" s="17" t="str">
        <f>IF(共有用1!H117="","",共有用1!H117&amp;"/"&amp;COUNTIF(共有用1!H$2:H117,共有用1!H117))</f>
        <v/>
      </c>
      <c r="I117" s="17" t="str">
        <f>IF(共有用1!I117="","",共有用1!I117&amp;"/"&amp;COUNTIF(共有用1!I$2:I117,共有用1!I117))</f>
        <v/>
      </c>
      <c r="J117" s="17" t="str">
        <f>IF(共有用1!J117="","",共有用1!J117&amp;"/"&amp;COUNTIF(共有用1!J$2:J117,共有用1!J117))</f>
        <v/>
      </c>
      <c r="K117" s="17" t="str">
        <f>IF(共有用1!K117="","",共有用1!K117&amp;"/"&amp;COUNTIF(共有用1!K$2:K117,共有用1!K117))</f>
        <v/>
      </c>
      <c r="L117" s="17" t="str">
        <f>IF(共有用1!L117="","",共有用1!L117&amp;"/"&amp;COUNTIF(共有用1!L$2:L117,共有用1!L117))</f>
        <v/>
      </c>
      <c r="M117" s="17" t="str">
        <f>IF(共有用1!M117="","",共有用1!M117&amp;"/"&amp;COUNTIF(共有用1!M$2:M117,共有用1!M117))</f>
        <v/>
      </c>
      <c r="N117" s="17" t="str">
        <f>IF(共有用1!N117="","",共有用1!N117&amp;"/"&amp;COUNTIF(共有用1!N$2:N117,共有用1!N117))</f>
        <v/>
      </c>
      <c r="O117" s="17" t="str">
        <f>IF(共有用1!O117="","",共有用1!O117&amp;"/"&amp;COUNTIF(共有用1!O$2:O117,共有用1!O117))</f>
        <v/>
      </c>
      <c r="P117" s="17" t="str">
        <f>IF(共有用1!P117="","",共有用1!P117&amp;"/"&amp;COUNTIF(共有用1!P$2:P117,共有用1!P117))</f>
        <v/>
      </c>
      <c r="Q117" s="17" t="str">
        <f>IF(共有用1!Q117="","",共有用1!Q117&amp;"/"&amp;COUNTIF(共有用1!Q$2:Q117,共有用1!Q117))</f>
        <v/>
      </c>
      <c r="R117" s="17" t="str">
        <f>IF(共有用1!R117="","",共有用1!R117&amp;"/"&amp;COUNTIF(共有用1!R$2:R117,共有用1!R117))</f>
        <v/>
      </c>
      <c r="S117" s="17" t="str">
        <f>IF(共有用1!S117="","",共有用1!S117&amp;"/"&amp;COUNTIF(共有用1!S$2:S117,共有用1!S117))</f>
        <v/>
      </c>
      <c r="T117" s="17" t="str">
        <f>IF(共有用1!T117="","",共有用1!T117&amp;"/"&amp;COUNTIF(共有用1!T$2:T117,共有用1!T117))</f>
        <v/>
      </c>
      <c r="U117" s="17" t="str">
        <f>IF(共有用1!U117="","",共有用1!U117&amp;"/"&amp;COUNTIF(共有用1!U$2:U117,共有用1!U117))</f>
        <v/>
      </c>
      <c r="V117" s="17" t="str">
        <f>IF(共有用1!V117="","",共有用1!V117&amp;"/"&amp;COUNTIF(共有用1!V$2:V117,共有用1!V117))</f>
        <v/>
      </c>
      <c r="W117" s="17" t="str">
        <f>IF(共有用1!W117="","",共有用1!W117&amp;"/"&amp;COUNTIF(共有用1!W$2:W117,共有用1!W117))</f>
        <v/>
      </c>
      <c r="X117" s="17" t="str">
        <f>IF(共有用1!X117="","",共有用1!X117&amp;"/"&amp;COUNTIF(共有用1!X$2:X117,共有用1!X117))</f>
        <v/>
      </c>
      <c r="Y117" s="17" t="str">
        <f>IF(共有用1!Y117="","",共有用1!Y117&amp;"/"&amp;COUNTIF(共有用1!Y$2:Y117,共有用1!Y117))</f>
        <v/>
      </c>
      <c r="Z117" s="17" t="str">
        <f>IF(共有用1!Z117="","",共有用1!Z117&amp;"/"&amp;COUNTIF(共有用1!Z$2:Z117,共有用1!Z117))</f>
        <v/>
      </c>
      <c r="AA117" s="17" t="str">
        <f>IF(共有用1!AA117="","",共有用1!AA117&amp;"/"&amp;COUNTIF(共有用1!AA$2:AA117,共有用1!AA117))</f>
        <v/>
      </c>
      <c r="AB117" s="17" t="str">
        <f>IF(共有用1!AB117="","",共有用1!AB117&amp;"/"&amp;COUNTIF(共有用1!AB$2:AB117,共有用1!AB117))</f>
        <v/>
      </c>
      <c r="AC117" s="17" t="str">
        <f>IF(共有用1!AC117="","",共有用1!AC117&amp;"/"&amp;COUNTIF(共有用1!AC$2:AC117,共有用1!AC117))</f>
        <v/>
      </c>
      <c r="AD117" s="17" t="str">
        <f>IF(共有用1!AD117="","",共有用1!AD117&amp;"/"&amp;COUNTIF(共有用1!AD$2:AD117,共有用1!AD117))</f>
        <v/>
      </c>
      <c r="AE117" s="17" t="str">
        <f>IF(共有用1!AE117="","",共有用1!AE117&amp;"/"&amp;COUNTIF(共有用1!AE$2:AE117,共有用1!AE117))</f>
        <v/>
      </c>
      <c r="AF117" s="17" t="str">
        <f>IF(共有用1!AF117="","",共有用1!AF117&amp;"/"&amp;COUNTIF(共有用1!AF$2:AF117,共有用1!AF117))</f>
        <v/>
      </c>
      <c r="AG117" s="17" t="str">
        <f>IF(共有用1!AG117="","",共有用1!AG117&amp;"/"&amp;COUNTIF(共有用1!AG$2:AG117,共有用1!AG117))</f>
        <v/>
      </c>
      <c r="AH117" s="17" t="str">
        <f>IF(共有用1!AH117="","",共有用1!AH117&amp;"/"&amp;COUNTIF(共有用1!AH$2:AH117,共有用1!AH117))</f>
        <v/>
      </c>
      <c r="AI117" s="17" t="str">
        <f>IF(共有用1!AI117="","",共有用1!AI117&amp;"/"&amp;COUNTIF(共有用1!AI$2:AI117,共有用1!AI117))</f>
        <v/>
      </c>
      <c r="AJ117" s="17" t="str">
        <f>IF(共有用1!AJ117="","",共有用1!AJ117&amp;"/"&amp;COUNTIF(共有用1!AJ$2:AJ117,共有用1!AJ117))</f>
        <v/>
      </c>
      <c r="AK117" s="17" t="str">
        <f>IF(共有用1!AK117="","",共有用1!AK117&amp;"/"&amp;COUNTIF(共有用1!AK$2:AK117,共有用1!AK117))</f>
        <v/>
      </c>
      <c r="AL117" s="17" t="str">
        <f>IF(共有用1!AL117="","",共有用1!AL117&amp;"/"&amp;COUNTIF(共有用1!AL$2:AL117,共有用1!AL117))</f>
        <v/>
      </c>
      <c r="AM117" s="17" t="str">
        <f>IF(共有用1!AM117="","",共有用1!AM117&amp;"/"&amp;COUNTIF(共有用1!AM$2:AM117,共有用1!AM117))</f>
        <v/>
      </c>
      <c r="AN117" s="17" t="str">
        <f>IF(共有用1!AN117="","",共有用1!AN117&amp;"/"&amp;COUNTIF(共有用1!AN$2:AN117,共有用1!AN117))</f>
        <v/>
      </c>
      <c r="AO117" s="17" t="str">
        <f>IF(共有用1!AO117="","",共有用1!AO117&amp;"/"&amp;COUNTIF(共有用1!AO$2:AO117,共有用1!AO117))</f>
        <v/>
      </c>
      <c r="AP117" s="17" t="str">
        <f>IF(共有用1!AP117="","",共有用1!AP117&amp;"/"&amp;COUNTIF(共有用1!AP$2:AP117,共有用1!AP117))</f>
        <v/>
      </c>
      <c r="AQ117" s="17" t="str">
        <f>IF(共有用1!AQ117="","",共有用1!AQ117&amp;"/"&amp;COUNTIF(共有用1!AQ$2:AQ117,共有用1!AQ117))</f>
        <v/>
      </c>
      <c r="AR117" s="17" t="str">
        <f>IF(共有用1!AR117="","",共有用1!AR117&amp;"/"&amp;COUNTIF(共有用1!AR$2:AR117,共有用1!AR117))</f>
        <v/>
      </c>
      <c r="AS117" s="17" t="str">
        <f>IF(共有用1!AS117="","",共有用1!AS117&amp;"/"&amp;COUNTIF(共有用1!AS$2:AS117,共有用1!AS117))</f>
        <v/>
      </c>
      <c r="AT117" s="17" t="str">
        <f>IF(共有用1!AT117="","",共有用1!AT117&amp;"/"&amp;COUNTIF(共有用1!AT$2:AT117,共有用1!AT117))</f>
        <v/>
      </c>
      <c r="AU117" s="17" t="str">
        <f>IF(共有用1!AU117="","",共有用1!AU117&amp;"/"&amp;COUNTIF(共有用1!AU$2:AU117,共有用1!AU117))</f>
        <v/>
      </c>
      <c r="AV117" s="17" t="str">
        <f>IF(共有用1!AV117="","",共有用1!AV117&amp;"/"&amp;COUNTIF(共有用1!AV$2:AV117,共有用1!AV117))</f>
        <v/>
      </c>
      <c r="AW117" s="17" t="str">
        <f>IF(共有用1!AW117="","",共有用1!AW117&amp;"/"&amp;COUNTIF(共有用1!AW$2:AW117,共有用1!AW117))</f>
        <v/>
      </c>
      <c r="AX117" s="17" t="str">
        <f>IF(共有用1!AX117="","",共有用1!AX117&amp;"/"&amp;COUNTIF(共有用1!AX$2:AX117,共有用1!AX117))</f>
        <v/>
      </c>
      <c r="AY117" s="17" t="str">
        <f>IF(共有用1!AY117="","",共有用1!AY117&amp;"/"&amp;COUNTIF(共有用1!AY$2:AY117,共有用1!AY117))</f>
        <v/>
      </c>
      <c r="AZ117" s="17" t="str">
        <f>IF(共有用1!AZ117="","",共有用1!AZ117&amp;"/"&amp;COUNTIF(共有用1!AZ$2:AZ117,共有用1!AZ117))</f>
        <v/>
      </c>
      <c r="BA117" s="17" t="str">
        <f>IF(共有用1!BA117="","",共有用1!BA117&amp;"/"&amp;COUNTIF(共有用1!BA$2:BA117,共有用1!BA117))</f>
        <v/>
      </c>
    </row>
    <row r="118" spans="1:53">
      <c r="A118" s="2" t="str">
        <f>共有用1!A118</f>
        <v/>
      </c>
      <c r="B118" s="2" t="str">
        <f>共有用1!B118</f>
        <v/>
      </c>
      <c r="C118" s="2" t="str">
        <f>共有用1!C118</f>
        <v/>
      </c>
      <c r="D118" s="17" t="str">
        <f>IF(共有用1!D118="","",共有用1!D118&amp;"/"&amp;COUNTIF(共有用1!D$2:D118,共有用1!D118))</f>
        <v/>
      </c>
      <c r="E118" s="17" t="str">
        <f>IF(共有用1!E118="","",共有用1!E118&amp;"/"&amp;COUNTIF(共有用1!E$2:E118,共有用1!E118))</f>
        <v/>
      </c>
      <c r="F118" s="17" t="str">
        <f>IF(共有用1!F118="","",共有用1!F118&amp;"/"&amp;COUNTIF(共有用1!F$2:F118,共有用1!F118))</f>
        <v/>
      </c>
      <c r="G118" s="17" t="str">
        <f>IF(共有用1!G118="","",共有用1!G118&amp;"/"&amp;COUNTIF(共有用1!G$2:G118,共有用1!G118))</f>
        <v/>
      </c>
      <c r="H118" s="17" t="str">
        <f>IF(共有用1!H118="","",共有用1!H118&amp;"/"&amp;COUNTIF(共有用1!H$2:H118,共有用1!H118))</f>
        <v/>
      </c>
      <c r="I118" s="17" t="str">
        <f>IF(共有用1!I118="","",共有用1!I118&amp;"/"&amp;COUNTIF(共有用1!I$2:I118,共有用1!I118))</f>
        <v/>
      </c>
      <c r="J118" s="17" t="str">
        <f>IF(共有用1!J118="","",共有用1!J118&amp;"/"&amp;COUNTIF(共有用1!J$2:J118,共有用1!J118))</f>
        <v/>
      </c>
      <c r="K118" s="17" t="str">
        <f>IF(共有用1!K118="","",共有用1!K118&amp;"/"&amp;COUNTIF(共有用1!K$2:K118,共有用1!K118))</f>
        <v/>
      </c>
      <c r="L118" s="17" t="str">
        <f>IF(共有用1!L118="","",共有用1!L118&amp;"/"&amp;COUNTIF(共有用1!L$2:L118,共有用1!L118))</f>
        <v/>
      </c>
      <c r="M118" s="17" t="str">
        <f>IF(共有用1!M118="","",共有用1!M118&amp;"/"&amp;COUNTIF(共有用1!M$2:M118,共有用1!M118))</f>
        <v/>
      </c>
      <c r="N118" s="17" t="str">
        <f>IF(共有用1!N118="","",共有用1!N118&amp;"/"&amp;COUNTIF(共有用1!N$2:N118,共有用1!N118))</f>
        <v/>
      </c>
      <c r="O118" s="17" t="str">
        <f>IF(共有用1!O118="","",共有用1!O118&amp;"/"&amp;COUNTIF(共有用1!O$2:O118,共有用1!O118))</f>
        <v/>
      </c>
      <c r="P118" s="17" t="str">
        <f>IF(共有用1!P118="","",共有用1!P118&amp;"/"&amp;COUNTIF(共有用1!P$2:P118,共有用1!P118))</f>
        <v/>
      </c>
      <c r="Q118" s="17" t="str">
        <f>IF(共有用1!Q118="","",共有用1!Q118&amp;"/"&amp;COUNTIF(共有用1!Q$2:Q118,共有用1!Q118))</f>
        <v/>
      </c>
      <c r="R118" s="17" t="str">
        <f>IF(共有用1!R118="","",共有用1!R118&amp;"/"&amp;COUNTIF(共有用1!R$2:R118,共有用1!R118))</f>
        <v/>
      </c>
      <c r="S118" s="17" t="str">
        <f>IF(共有用1!S118="","",共有用1!S118&amp;"/"&amp;COUNTIF(共有用1!S$2:S118,共有用1!S118))</f>
        <v/>
      </c>
      <c r="T118" s="17" t="str">
        <f>IF(共有用1!T118="","",共有用1!T118&amp;"/"&amp;COUNTIF(共有用1!T$2:T118,共有用1!T118))</f>
        <v/>
      </c>
      <c r="U118" s="17" t="str">
        <f>IF(共有用1!U118="","",共有用1!U118&amp;"/"&amp;COUNTIF(共有用1!U$2:U118,共有用1!U118))</f>
        <v/>
      </c>
      <c r="V118" s="17" t="str">
        <f>IF(共有用1!V118="","",共有用1!V118&amp;"/"&amp;COUNTIF(共有用1!V$2:V118,共有用1!V118))</f>
        <v/>
      </c>
      <c r="W118" s="17" t="str">
        <f>IF(共有用1!W118="","",共有用1!W118&amp;"/"&amp;COUNTIF(共有用1!W$2:W118,共有用1!W118))</f>
        <v/>
      </c>
      <c r="X118" s="17" t="str">
        <f>IF(共有用1!X118="","",共有用1!X118&amp;"/"&amp;COUNTIF(共有用1!X$2:X118,共有用1!X118))</f>
        <v/>
      </c>
      <c r="Y118" s="17" t="str">
        <f>IF(共有用1!Y118="","",共有用1!Y118&amp;"/"&amp;COUNTIF(共有用1!Y$2:Y118,共有用1!Y118))</f>
        <v/>
      </c>
      <c r="Z118" s="17" t="str">
        <f>IF(共有用1!Z118="","",共有用1!Z118&amp;"/"&amp;COUNTIF(共有用1!Z$2:Z118,共有用1!Z118))</f>
        <v/>
      </c>
      <c r="AA118" s="17" t="str">
        <f>IF(共有用1!AA118="","",共有用1!AA118&amp;"/"&amp;COUNTIF(共有用1!AA$2:AA118,共有用1!AA118))</f>
        <v/>
      </c>
      <c r="AB118" s="17" t="str">
        <f>IF(共有用1!AB118="","",共有用1!AB118&amp;"/"&amp;COUNTIF(共有用1!AB$2:AB118,共有用1!AB118))</f>
        <v/>
      </c>
      <c r="AC118" s="17" t="str">
        <f>IF(共有用1!AC118="","",共有用1!AC118&amp;"/"&amp;COUNTIF(共有用1!AC$2:AC118,共有用1!AC118))</f>
        <v/>
      </c>
      <c r="AD118" s="17" t="str">
        <f>IF(共有用1!AD118="","",共有用1!AD118&amp;"/"&amp;COUNTIF(共有用1!AD$2:AD118,共有用1!AD118))</f>
        <v/>
      </c>
      <c r="AE118" s="17" t="str">
        <f>IF(共有用1!AE118="","",共有用1!AE118&amp;"/"&amp;COUNTIF(共有用1!AE$2:AE118,共有用1!AE118))</f>
        <v/>
      </c>
      <c r="AF118" s="17" t="str">
        <f>IF(共有用1!AF118="","",共有用1!AF118&amp;"/"&amp;COUNTIF(共有用1!AF$2:AF118,共有用1!AF118))</f>
        <v/>
      </c>
      <c r="AG118" s="17" t="str">
        <f>IF(共有用1!AG118="","",共有用1!AG118&amp;"/"&amp;COUNTIF(共有用1!AG$2:AG118,共有用1!AG118))</f>
        <v/>
      </c>
      <c r="AH118" s="17" t="str">
        <f>IF(共有用1!AH118="","",共有用1!AH118&amp;"/"&amp;COUNTIF(共有用1!AH$2:AH118,共有用1!AH118))</f>
        <v/>
      </c>
      <c r="AI118" s="17" t="str">
        <f>IF(共有用1!AI118="","",共有用1!AI118&amp;"/"&amp;COUNTIF(共有用1!AI$2:AI118,共有用1!AI118))</f>
        <v/>
      </c>
      <c r="AJ118" s="17" t="str">
        <f>IF(共有用1!AJ118="","",共有用1!AJ118&amp;"/"&amp;COUNTIF(共有用1!AJ$2:AJ118,共有用1!AJ118))</f>
        <v/>
      </c>
      <c r="AK118" s="17" t="str">
        <f>IF(共有用1!AK118="","",共有用1!AK118&amp;"/"&amp;COUNTIF(共有用1!AK$2:AK118,共有用1!AK118))</f>
        <v/>
      </c>
      <c r="AL118" s="17" t="str">
        <f>IF(共有用1!AL118="","",共有用1!AL118&amp;"/"&amp;COUNTIF(共有用1!AL$2:AL118,共有用1!AL118))</f>
        <v/>
      </c>
      <c r="AM118" s="17" t="str">
        <f>IF(共有用1!AM118="","",共有用1!AM118&amp;"/"&amp;COUNTIF(共有用1!AM$2:AM118,共有用1!AM118))</f>
        <v/>
      </c>
      <c r="AN118" s="17" t="str">
        <f>IF(共有用1!AN118="","",共有用1!AN118&amp;"/"&amp;COUNTIF(共有用1!AN$2:AN118,共有用1!AN118))</f>
        <v/>
      </c>
      <c r="AO118" s="17" t="str">
        <f>IF(共有用1!AO118="","",共有用1!AO118&amp;"/"&amp;COUNTIF(共有用1!AO$2:AO118,共有用1!AO118))</f>
        <v/>
      </c>
      <c r="AP118" s="17" t="str">
        <f>IF(共有用1!AP118="","",共有用1!AP118&amp;"/"&amp;COUNTIF(共有用1!AP$2:AP118,共有用1!AP118))</f>
        <v/>
      </c>
      <c r="AQ118" s="17" t="str">
        <f>IF(共有用1!AQ118="","",共有用1!AQ118&amp;"/"&amp;COUNTIF(共有用1!AQ$2:AQ118,共有用1!AQ118))</f>
        <v/>
      </c>
      <c r="AR118" s="17" t="str">
        <f>IF(共有用1!AR118="","",共有用1!AR118&amp;"/"&amp;COUNTIF(共有用1!AR$2:AR118,共有用1!AR118))</f>
        <v/>
      </c>
      <c r="AS118" s="17" t="str">
        <f>IF(共有用1!AS118="","",共有用1!AS118&amp;"/"&amp;COUNTIF(共有用1!AS$2:AS118,共有用1!AS118))</f>
        <v/>
      </c>
      <c r="AT118" s="17" t="str">
        <f>IF(共有用1!AT118="","",共有用1!AT118&amp;"/"&amp;COUNTIF(共有用1!AT$2:AT118,共有用1!AT118))</f>
        <v/>
      </c>
      <c r="AU118" s="17" t="str">
        <f>IF(共有用1!AU118="","",共有用1!AU118&amp;"/"&amp;COUNTIF(共有用1!AU$2:AU118,共有用1!AU118))</f>
        <v/>
      </c>
      <c r="AV118" s="17" t="str">
        <f>IF(共有用1!AV118="","",共有用1!AV118&amp;"/"&amp;COUNTIF(共有用1!AV$2:AV118,共有用1!AV118))</f>
        <v/>
      </c>
      <c r="AW118" s="17" t="str">
        <f>IF(共有用1!AW118="","",共有用1!AW118&amp;"/"&amp;COUNTIF(共有用1!AW$2:AW118,共有用1!AW118))</f>
        <v/>
      </c>
      <c r="AX118" s="17" t="str">
        <f>IF(共有用1!AX118="","",共有用1!AX118&amp;"/"&amp;COUNTIF(共有用1!AX$2:AX118,共有用1!AX118))</f>
        <v/>
      </c>
      <c r="AY118" s="17" t="str">
        <f>IF(共有用1!AY118="","",共有用1!AY118&amp;"/"&amp;COUNTIF(共有用1!AY$2:AY118,共有用1!AY118))</f>
        <v/>
      </c>
      <c r="AZ118" s="17" t="str">
        <f>IF(共有用1!AZ118="","",共有用1!AZ118&amp;"/"&amp;COUNTIF(共有用1!AZ$2:AZ118,共有用1!AZ118))</f>
        <v/>
      </c>
      <c r="BA118" s="17" t="str">
        <f>IF(共有用1!BA118="","",共有用1!BA118&amp;"/"&amp;COUNTIF(共有用1!BA$2:BA118,共有用1!BA118))</f>
        <v/>
      </c>
    </row>
    <row r="119" spans="1:53">
      <c r="A119" s="2" t="str">
        <f>共有用1!A119</f>
        <v/>
      </c>
      <c r="B119" s="2" t="str">
        <f>共有用1!B119</f>
        <v/>
      </c>
      <c r="C119" s="2" t="str">
        <f>共有用1!C119</f>
        <v/>
      </c>
      <c r="D119" s="17" t="str">
        <f>IF(共有用1!D119="","",共有用1!D119&amp;"/"&amp;COUNTIF(共有用1!D$2:D119,共有用1!D119))</f>
        <v/>
      </c>
      <c r="E119" s="17" t="str">
        <f>IF(共有用1!E119="","",共有用1!E119&amp;"/"&amp;COUNTIF(共有用1!E$2:E119,共有用1!E119))</f>
        <v/>
      </c>
      <c r="F119" s="17" t="str">
        <f>IF(共有用1!F119="","",共有用1!F119&amp;"/"&amp;COUNTIF(共有用1!F$2:F119,共有用1!F119))</f>
        <v/>
      </c>
      <c r="G119" s="17" t="str">
        <f>IF(共有用1!G119="","",共有用1!G119&amp;"/"&amp;COUNTIF(共有用1!G$2:G119,共有用1!G119))</f>
        <v/>
      </c>
      <c r="H119" s="17" t="str">
        <f>IF(共有用1!H119="","",共有用1!H119&amp;"/"&amp;COUNTIF(共有用1!H$2:H119,共有用1!H119))</f>
        <v/>
      </c>
      <c r="I119" s="17" t="str">
        <f>IF(共有用1!I119="","",共有用1!I119&amp;"/"&amp;COUNTIF(共有用1!I$2:I119,共有用1!I119))</f>
        <v/>
      </c>
      <c r="J119" s="17" t="str">
        <f>IF(共有用1!J119="","",共有用1!J119&amp;"/"&amp;COUNTIF(共有用1!J$2:J119,共有用1!J119))</f>
        <v/>
      </c>
      <c r="K119" s="17" t="str">
        <f>IF(共有用1!K119="","",共有用1!K119&amp;"/"&amp;COUNTIF(共有用1!K$2:K119,共有用1!K119))</f>
        <v/>
      </c>
      <c r="L119" s="17" t="str">
        <f>IF(共有用1!L119="","",共有用1!L119&amp;"/"&amp;COUNTIF(共有用1!L$2:L119,共有用1!L119))</f>
        <v/>
      </c>
      <c r="M119" s="17" t="str">
        <f>IF(共有用1!M119="","",共有用1!M119&amp;"/"&amp;COUNTIF(共有用1!M$2:M119,共有用1!M119))</f>
        <v/>
      </c>
      <c r="N119" s="17" t="str">
        <f>IF(共有用1!N119="","",共有用1!N119&amp;"/"&amp;COUNTIF(共有用1!N$2:N119,共有用1!N119))</f>
        <v/>
      </c>
      <c r="O119" s="17" t="str">
        <f>IF(共有用1!O119="","",共有用1!O119&amp;"/"&amp;COUNTIF(共有用1!O$2:O119,共有用1!O119))</f>
        <v/>
      </c>
      <c r="P119" s="17" t="str">
        <f>IF(共有用1!P119="","",共有用1!P119&amp;"/"&amp;COUNTIF(共有用1!P$2:P119,共有用1!P119))</f>
        <v/>
      </c>
      <c r="Q119" s="17" t="str">
        <f>IF(共有用1!Q119="","",共有用1!Q119&amp;"/"&amp;COUNTIF(共有用1!Q$2:Q119,共有用1!Q119))</f>
        <v/>
      </c>
      <c r="R119" s="17" t="str">
        <f>IF(共有用1!R119="","",共有用1!R119&amp;"/"&amp;COUNTIF(共有用1!R$2:R119,共有用1!R119))</f>
        <v/>
      </c>
      <c r="S119" s="17" t="str">
        <f>IF(共有用1!S119="","",共有用1!S119&amp;"/"&amp;COUNTIF(共有用1!S$2:S119,共有用1!S119))</f>
        <v/>
      </c>
      <c r="T119" s="17" t="str">
        <f>IF(共有用1!T119="","",共有用1!T119&amp;"/"&amp;COUNTIF(共有用1!T$2:T119,共有用1!T119))</f>
        <v/>
      </c>
      <c r="U119" s="17" t="str">
        <f>IF(共有用1!U119="","",共有用1!U119&amp;"/"&amp;COUNTIF(共有用1!U$2:U119,共有用1!U119))</f>
        <v/>
      </c>
      <c r="V119" s="17" t="str">
        <f>IF(共有用1!V119="","",共有用1!V119&amp;"/"&amp;COUNTIF(共有用1!V$2:V119,共有用1!V119))</f>
        <v/>
      </c>
      <c r="W119" s="17" t="str">
        <f>IF(共有用1!W119="","",共有用1!W119&amp;"/"&amp;COUNTIF(共有用1!W$2:W119,共有用1!W119))</f>
        <v/>
      </c>
      <c r="X119" s="17" t="str">
        <f>IF(共有用1!X119="","",共有用1!X119&amp;"/"&amp;COUNTIF(共有用1!X$2:X119,共有用1!X119))</f>
        <v/>
      </c>
      <c r="Y119" s="17" t="str">
        <f>IF(共有用1!Y119="","",共有用1!Y119&amp;"/"&amp;COUNTIF(共有用1!Y$2:Y119,共有用1!Y119))</f>
        <v/>
      </c>
      <c r="Z119" s="17" t="str">
        <f>IF(共有用1!Z119="","",共有用1!Z119&amp;"/"&amp;COUNTIF(共有用1!Z$2:Z119,共有用1!Z119))</f>
        <v/>
      </c>
      <c r="AA119" s="17" t="str">
        <f>IF(共有用1!AA119="","",共有用1!AA119&amp;"/"&amp;COUNTIF(共有用1!AA$2:AA119,共有用1!AA119))</f>
        <v/>
      </c>
      <c r="AB119" s="17" t="str">
        <f>IF(共有用1!AB119="","",共有用1!AB119&amp;"/"&amp;COUNTIF(共有用1!AB$2:AB119,共有用1!AB119))</f>
        <v/>
      </c>
      <c r="AC119" s="17" t="str">
        <f>IF(共有用1!AC119="","",共有用1!AC119&amp;"/"&amp;COUNTIF(共有用1!AC$2:AC119,共有用1!AC119))</f>
        <v/>
      </c>
      <c r="AD119" s="17" t="str">
        <f>IF(共有用1!AD119="","",共有用1!AD119&amp;"/"&amp;COUNTIF(共有用1!AD$2:AD119,共有用1!AD119))</f>
        <v/>
      </c>
      <c r="AE119" s="17" t="str">
        <f>IF(共有用1!AE119="","",共有用1!AE119&amp;"/"&amp;COUNTIF(共有用1!AE$2:AE119,共有用1!AE119))</f>
        <v/>
      </c>
      <c r="AF119" s="17" t="str">
        <f>IF(共有用1!AF119="","",共有用1!AF119&amp;"/"&amp;COUNTIF(共有用1!AF$2:AF119,共有用1!AF119))</f>
        <v/>
      </c>
      <c r="AG119" s="17" t="str">
        <f>IF(共有用1!AG119="","",共有用1!AG119&amp;"/"&amp;COUNTIF(共有用1!AG$2:AG119,共有用1!AG119))</f>
        <v/>
      </c>
      <c r="AH119" s="17" t="str">
        <f>IF(共有用1!AH119="","",共有用1!AH119&amp;"/"&amp;COUNTIF(共有用1!AH$2:AH119,共有用1!AH119))</f>
        <v/>
      </c>
      <c r="AI119" s="17" t="str">
        <f>IF(共有用1!AI119="","",共有用1!AI119&amp;"/"&amp;COUNTIF(共有用1!AI$2:AI119,共有用1!AI119))</f>
        <v/>
      </c>
      <c r="AJ119" s="17" t="str">
        <f>IF(共有用1!AJ119="","",共有用1!AJ119&amp;"/"&amp;COUNTIF(共有用1!AJ$2:AJ119,共有用1!AJ119))</f>
        <v/>
      </c>
      <c r="AK119" s="17" t="str">
        <f>IF(共有用1!AK119="","",共有用1!AK119&amp;"/"&amp;COUNTIF(共有用1!AK$2:AK119,共有用1!AK119))</f>
        <v/>
      </c>
      <c r="AL119" s="17" t="str">
        <f>IF(共有用1!AL119="","",共有用1!AL119&amp;"/"&amp;COUNTIF(共有用1!AL$2:AL119,共有用1!AL119))</f>
        <v/>
      </c>
      <c r="AM119" s="17" t="str">
        <f>IF(共有用1!AM119="","",共有用1!AM119&amp;"/"&amp;COUNTIF(共有用1!AM$2:AM119,共有用1!AM119))</f>
        <v/>
      </c>
      <c r="AN119" s="17" t="str">
        <f>IF(共有用1!AN119="","",共有用1!AN119&amp;"/"&amp;COUNTIF(共有用1!AN$2:AN119,共有用1!AN119))</f>
        <v/>
      </c>
      <c r="AO119" s="17" t="str">
        <f>IF(共有用1!AO119="","",共有用1!AO119&amp;"/"&amp;COUNTIF(共有用1!AO$2:AO119,共有用1!AO119))</f>
        <v/>
      </c>
      <c r="AP119" s="17" t="str">
        <f>IF(共有用1!AP119="","",共有用1!AP119&amp;"/"&amp;COUNTIF(共有用1!AP$2:AP119,共有用1!AP119))</f>
        <v/>
      </c>
      <c r="AQ119" s="17" t="str">
        <f>IF(共有用1!AQ119="","",共有用1!AQ119&amp;"/"&amp;COUNTIF(共有用1!AQ$2:AQ119,共有用1!AQ119))</f>
        <v/>
      </c>
      <c r="AR119" s="17" t="str">
        <f>IF(共有用1!AR119="","",共有用1!AR119&amp;"/"&amp;COUNTIF(共有用1!AR$2:AR119,共有用1!AR119))</f>
        <v/>
      </c>
      <c r="AS119" s="17" t="str">
        <f>IF(共有用1!AS119="","",共有用1!AS119&amp;"/"&amp;COUNTIF(共有用1!AS$2:AS119,共有用1!AS119))</f>
        <v/>
      </c>
      <c r="AT119" s="17" t="str">
        <f>IF(共有用1!AT119="","",共有用1!AT119&amp;"/"&amp;COUNTIF(共有用1!AT$2:AT119,共有用1!AT119))</f>
        <v/>
      </c>
      <c r="AU119" s="17" t="str">
        <f>IF(共有用1!AU119="","",共有用1!AU119&amp;"/"&amp;COUNTIF(共有用1!AU$2:AU119,共有用1!AU119))</f>
        <v/>
      </c>
      <c r="AV119" s="17" t="str">
        <f>IF(共有用1!AV119="","",共有用1!AV119&amp;"/"&amp;COUNTIF(共有用1!AV$2:AV119,共有用1!AV119))</f>
        <v/>
      </c>
      <c r="AW119" s="17" t="str">
        <f>IF(共有用1!AW119="","",共有用1!AW119&amp;"/"&amp;COUNTIF(共有用1!AW$2:AW119,共有用1!AW119))</f>
        <v/>
      </c>
      <c r="AX119" s="17" t="str">
        <f>IF(共有用1!AX119="","",共有用1!AX119&amp;"/"&amp;COUNTIF(共有用1!AX$2:AX119,共有用1!AX119))</f>
        <v/>
      </c>
      <c r="AY119" s="17" t="str">
        <f>IF(共有用1!AY119="","",共有用1!AY119&amp;"/"&amp;COUNTIF(共有用1!AY$2:AY119,共有用1!AY119))</f>
        <v/>
      </c>
      <c r="AZ119" s="17" t="str">
        <f>IF(共有用1!AZ119="","",共有用1!AZ119&amp;"/"&amp;COUNTIF(共有用1!AZ$2:AZ119,共有用1!AZ119))</f>
        <v/>
      </c>
      <c r="BA119" s="17" t="str">
        <f>IF(共有用1!BA119="","",共有用1!BA119&amp;"/"&amp;COUNTIF(共有用1!BA$2:BA119,共有用1!BA119))</f>
        <v/>
      </c>
    </row>
    <row r="120" spans="1:53">
      <c r="A120" s="2" t="str">
        <f>共有用1!A120</f>
        <v/>
      </c>
      <c r="B120" s="2" t="str">
        <f>共有用1!B120</f>
        <v/>
      </c>
      <c r="C120" s="2" t="str">
        <f>共有用1!C120</f>
        <v/>
      </c>
      <c r="D120" s="17" t="str">
        <f>IF(共有用1!D120="","",共有用1!D120&amp;"/"&amp;COUNTIF(共有用1!D$2:D120,共有用1!D120))</f>
        <v/>
      </c>
      <c r="E120" s="17" t="str">
        <f>IF(共有用1!E120="","",共有用1!E120&amp;"/"&amp;COUNTIF(共有用1!E$2:E120,共有用1!E120))</f>
        <v/>
      </c>
      <c r="F120" s="17" t="str">
        <f>IF(共有用1!F120="","",共有用1!F120&amp;"/"&amp;COUNTIF(共有用1!F$2:F120,共有用1!F120))</f>
        <v/>
      </c>
      <c r="G120" s="17" t="str">
        <f>IF(共有用1!G120="","",共有用1!G120&amp;"/"&amp;COUNTIF(共有用1!G$2:G120,共有用1!G120))</f>
        <v/>
      </c>
      <c r="H120" s="17" t="str">
        <f>IF(共有用1!H120="","",共有用1!H120&amp;"/"&amp;COUNTIF(共有用1!H$2:H120,共有用1!H120))</f>
        <v/>
      </c>
      <c r="I120" s="17" t="str">
        <f>IF(共有用1!I120="","",共有用1!I120&amp;"/"&amp;COUNTIF(共有用1!I$2:I120,共有用1!I120))</f>
        <v/>
      </c>
      <c r="J120" s="17" t="str">
        <f>IF(共有用1!J120="","",共有用1!J120&amp;"/"&amp;COUNTIF(共有用1!J$2:J120,共有用1!J120))</f>
        <v/>
      </c>
      <c r="K120" s="17" t="str">
        <f>IF(共有用1!K120="","",共有用1!K120&amp;"/"&amp;COUNTIF(共有用1!K$2:K120,共有用1!K120))</f>
        <v/>
      </c>
      <c r="L120" s="17" t="str">
        <f>IF(共有用1!L120="","",共有用1!L120&amp;"/"&amp;COUNTIF(共有用1!L$2:L120,共有用1!L120))</f>
        <v/>
      </c>
      <c r="M120" s="17" t="str">
        <f>IF(共有用1!M120="","",共有用1!M120&amp;"/"&amp;COUNTIF(共有用1!M$2:M120,共有用1!M120))</f>
        <v/>
      </c>
      <c r="N120" s="17" t="str">
        <f>IF(共有用1!N120="","",共有用1!N120&amp;"/"&amp;COUNTIF(共有用1!N$2:N120,共有用1!N120))</f>
        <v/>
      </c>
      <c r="O120" s="17" t="str">
        <f>IF(共有用1!O120="","",共有用1!O120&amp;"/"&amp;COUNTIF(共有用1!O$2:O120,共有用1!O120))</f>
        <v/>
      </c>
      <c r="P120" s="17" t="str">
        <f>IF(共有用1!P120="","",共有用1!P120&amp;"/"&amp;COUNTIF(共有用1!P$2:P120,共有用1!P120))</f>
        <v/>
      </c>
      <c r="Q120" s="17" t="str">
        <f>IF(共有用1!Q120="","",共有用1!Q120&amp;"/"&amp;COUNTIF(共有用1!Q$2:Q120,共有用1!Q120))</f>
        <v/>
      </c>
      <c r="R120" s="17" t="str">
        <f>IF(共有用1!R120="","",共有用1!R120&amp;"/"&amp;COUNTIF(共有用1!R$2:R120,共有用1!R120))</f>
        <v/>
      </c>
      <c r="S120" s="17" t="str">
        <f>IF(共有用1!S120="","",共有用1!S120&amp;"/"&amp;COUNTIF(共有用1!S$2:S120,共有用1!S120))</f>
        <v/>
      </c>
      <c r="T120" s="17" t="str">
        <f>IF(共有用1!T120="","",共有用1!T120&amp;"/"&amp;COUNTIF(共有用1!T$2:T120,共有用1!T120))</f>
        <v/>
      </c>
      <c r="U120" s="17" t="str">
        <f>IF(共有用1!U120="","",共有用1!U120&amp;"/"&amp;COUNTIF(共有用1!U$2:U120,共有用1!U120))</f>
        <v/>
      </c>
      <c r="V120" s="17" t="str">
        <f>IF(共有用1!V120="","",共有用1!V120&amp;"/"&amp;COUNTIF(共有用1!V$2:V120,共有用1!V120))</f>
        <v/>
      </c>
      <c r="W120" s="17" t="str">
        <f>IF(共有用1!W120="","",共有用1!W120&amp;"/"&amp;COUNTIF(共有用1!W$2:W120,共有用1!W120))</f>
        <v/>
      </c>
      <c r="X120" s="17" t="str">
        <f>IF(共有用1!X120="","",共有用1!X120&amp;"/"&amp;COUNTIF(共有用1!X$2:X120,共有用1!X120))</f>
        <v/>
      </c>
      <c r="Y120" s="17" t="str">
        <f>IF(共有用1!Y120="","",共有用1!Y120&amp;"/"&amp;COUNTIF(共有用1!Y$2:Y120,共有用1!Y120))</f>
        <v/>
      </c>
      <c r="Z120" s="17" t="str">
        <f>IF(共有用1!Z120="","",共有用1!Z120&amp;"/"&amp;COUNTIF(共有用1!Z$2:Z120,共有用1!Z120))</f>
        <v/>
      </c>
      <c r="AA120" s="17" t="str">
        <f>IF(共有用1!AA120="","",共有用1!AA120&amp;"/"&amp;COUNTIF(共有用1!AA$2:AA120,共有用1!AA120))</f>
        <v/>
      </c>
      <c r="AB120" s="17" t="str">
        <f>IF(共有用1!AB120="","",共有用1!AB120&amp;"/"&amp;COUNTIF(共有用1!AB$2:AB120,共有用1!AB120))</f>
        <v/>
      </c>
      <c r="AC120" s="17" t="str">
        <f>IF(共有用1!AC120="","",共有用1!AC120&amp;"/"&amp;COUNTIF(共有用1!AC$2:AC120,共有用1!AC120))</f>
        <v/>
      </c>
      <c r="AD120" s="17" t="str">
        <f>IF(共有用1!AD120="","",共有用1!AD120&amp;"/"&amp;COUNTIF(共有用1!AD$2:AD120,共有用1!AD120))</f>
        <v/>
      </c>
      <c r="AE120" s="17" t="str">
        <f>IF(共有用1!AE120="","",共有用1!AE120&amp;"/"&amp;COUNTIF(共有用1!AE$2:AE120,共有用1!AE120))</f>
        <v/>
      </c>
      <c r="AF120" s="17" t="str">
        <f>IF(共有用1!AF120="","",共有用1!AF120&amp;"/"&amp;COUNTIF(共有用1!AF$2:AF120,共有用1!AF120))</f>
        <v/>
      </c>
      <c r="AG120" s="17" t="str">
        <f>IF(共有用1!AG120="","",共有用1!AG120&amp;"/"&amp;COUNTIF(共有用1!AG$2:AG120,共有用1!AG120))</f>
        <v/>
      </c>
      <c r="AH120" s="17" t="str">
        <f>IF(共有用1!AH120="","",共有用1!AH120&amp;"/"&amp;COUNTIF(共有用1!AH$2:AH120,共有用1!AH120))</f>
        <v/>
      </c>
      <c r="AI120" s="17" t="str">
        <f>IF(共有用1!AI120="","",共有用1!AI120&amp;"/"&amp;COUNTIF(共有用1!AI$2:AI120,共有用1!AI120))</f>
        <v/>
      </c>
      <c r="AJ120" s="17" t="str">
        <f>IF(共有用1!AJ120="","",共有用1!AJ120&amp;"/"&amp;COUNTIF(共有用1!AJ$2:AJ120,共有用1!AJ120))</f>
        <v/>
      </c>
      <c r="AK120" s="17" t="str">
        <f>IF(共有用1!AK120="","",共有用1!AK120&amp;"/"&amp;COUNTIF(共有用1!AK$2:AK120,共有用1!AK120))</f>
        <v/>
      </c>
      <c r="AL120" s="17" t="str">
        <f>IF(共有用1!AL120="","",共有用1!AL120&amp;"/"&amp;COUNTIF(共有用1!AL$2:AL120,共有用1!AL120))</f>
        <v/>
      </c>
      <c r="AM120" s="17" t="str">
        <f>IF(共有用1!AM120="","",共有用1!AM120&amp;"/"&amp;COUNTIF(共有用1!AM$2:AM120,共有用1!AM120))</f>
        <v/>
      </c>
      <c r="AN120" s="17" t="str">
        <f>IF(共有用1!AN120="","",共有用1!AN120&amp;"/"&amp;COUNTIF(共有用1!AN$2:AN120,共有用1!AN120))</f>
        <v/>
      </c>
      <c r="AO120" s="17" t="str">
        <f>IF(共有用1!AO120="","",共有用1!AO120&amp;"/"&amp;COUNTIF(共有用1!AO$2:AO120,共有用1!AO120))</f>
        <v/>
      </c>
      <c r="AP120" s="17" t="str">
        <f>IF(共有用1!AP120="","",共有用1!AP120&amp;"/"&amp;COUNTIF(共有用1!AP$2:AP120,共有用1!AP120))</f>
        <v/>
      </c>
      <c r="AQ120" s="17" t="str">
        <f>IF(共有用1!AQ120="","",共有用1!AQ120&amp;"/"&amp;COUNTIF(共有用1!AQ$2:AQ120,共有用1!AQ120))</f>
        <v/>
      </c>
      <c r="AR120" s="17" t="str">
        <f>IF(共有用1!AR120="","",共有用1!AR120&amp;"/"&amp;COUNTIF(共有用1!AR$2:AR120,共有用1!AR120))</f>
        <v/>
      </c>
      <c r="AS120" s="17" t="str">
        <f>IF(共有用1!AS120="","",共有用1!AS120&amp;"/"&amp;COUNTIF(共有用1!AS$2:AS120,共有用1!AS120))</f>
        <v/>
      </c>
      <c r="AT120" s="17" t="str">
        <f>IF(共有用1!AT120="","",共有用1!AT120&amp;"/"&amp;COUNTIF(共有用1!AT$2:AT120,共有用1!AT120))</f>
        <v/>
      </c>
      <c r="AU120" s="17" t="str">
        <f>IF(共有用1!AU120="","",共有用1!AU120&amp;"/"&amp;COUNTIF(共有用1!AU$2:AU120,共有用1!AU120))</f>
        <v/>
      </c>
      <c r="AV120" s="17" t="str">
        <f>IF(共有用1!AV120="","",共有用1!AV120&amp;"/"&amp;COUNTIF(共有用1!AV$2:AV120,共有用1!AV120))</f>
        <v/>
      </c>
      <c r="AW120" s="17" t="str">
        <f>IF(共有用1!AW120="","",共有用1!AW120&amp;"/"&amp;COUNTIF(共有用1!AW$2:AW120,共有用1!AW120))</f>
        <v/>
      </c>
      <c r="AX120" s="17" t="str">
        <f>IF(共有用1!AX120="","",共有用1!AX120&amp;"/"&amp;COUNTIF(共有用1!AX$2:AX120,共有用1!AX120))</f>
        <v/>
      </c>
      <c r="AY120" s="17" t="str">
        <f>IF(共有用1!AY120="","",共有用1!AY120&amp;"/"&amp;COUNTIF(共有用1!AY$2:AY120,共有用1!AY120))</f>
        <v/>
      </c>
      <c r="AZ120" s="17" t="str">
        <f>IF(共有用1!AZ120="","",共有用1!AZ120&amp;"/"&amp;COUNTIF(共有用1!AZ$2:AZ120,共有用1!AZ120))</f>
        <v/>
      </c>
      <c r="BA120" s="17" t="str">
        <f>IF(共有用1!BA120="","",共有用1!BA120&amp;"/"&amp;COUNTIF(共有用1!BA$2:BA120,共有用1!BA120))</f>
        <v/>
      </c>
    </row>
    <row r="121" spans="1:53">
      <c r="A121" s="2" t="str">
        <f>共有用1!A121</f>
        <v/>
      </c>
      <c r="B121" s="2" t="str">
        <f>共有用1!B121</f>
        <v/>
      </c>
      <c r="C121" s="2" t="str">
        <f>共有用1!C121</f>
        <v/>
      </c>
      <c r="D121" s="17" t="str">
        <f>IF(共有用1!D121="","",共有用1!D121&amp;"/"&amp;COUNTIF(共有用1!D$2:D121,共有用1!D121))</f>
        <v/>
      </c>
      <c r="E121" s="17" t="str">
        <f>IF(共有用1!E121="","",共有用1!E121&amp;"/"&amp;COUNTIF(共有用1!E$2:E121,共有用1!E121))</f>
        <v/>
      </c>
      <c r="F121" s="17" t="str">
        <f>IF(共有用1!F121="","",共有用1!F121&amp;"/"&amp;COUNTIF(共有用1!F$2:F121,共有用1!F121))</f>
        <v/>
      </c>
      <c r="G121" s="17" t="str">
        <f>IF(共有用1!G121="","",共有用1!G121&amp;"/"&amp;COUNTIF(共有用1!G$2:G121,共有用1!G121))</f>
        <v/>
      </c>
      <c r="H121" s="17" t="str">
        <f>IF(共有用1!H121="","",共有用1!H121&amp;"/"&amp;COUNTIF(共有用1!H$2:H121,共有用1!H121))</f>
        <v/>
      </c>
      <c r="I121" s="17" t="str">
        <f>IF(共有用1!I121="","",共有用1!I121&amp;"/"&amp;COUNTIF(共有用1!I$2:I121,共有用1!I121))</f>
        <v/>
      </c>
      <c r="J121" s="17" t="str">
        <f>IF(共有用1!J121="","",共有用1!J121&amp;"/"&amp;COUNTIF(共有用1!J$2:J121,共有用1!J121))</f>
        <v/>
      </c>
      <c r="K121" s="17" t="str">
        <f>IF(共有用1!K121="","",共有用1!K121&amp;"/"&amp;COUNTIF(共有用1!K$2:K121,共有用1!K121))</f>
        <v/>
      </c>
      <c r="L121" s="17" t="str">
        <f>IF(共有用1!L121="","",共有用1!L121&amp;"/"&amp;COUNTIF(共有用1!L$2:L121,共有用1!L121))</f>
        <v/>
      </c>
      <c r="M121" s="17" t="str">
        <f>IF(共有用1!M121="","",共有用1!M121&amp;"/"&amp;COUNTIF(共有用1!M$2:M121,共有用1!M121))</f>
        <v/>
      </c>
      <c r="N121" s="17" t="str">
        <f>IF(共有用1!N121="","",共有用1!N121&amp;"/"&amp;COUNTIF(共有用1!N$2:N121,共有用1!N121))</f>
        <v/>
      </c>
      <c r="O121" s="17" t="str">
        <f>IF(共有用1!O121="","",共有用1!O121&amp;"/"&amp;COUNTIF(共有用1!O$2:O121,共有用1!O121))</f>
        <v/>
      </c>
      <c r="P121" s="17" t="str">
        <f>IF(共有用1!P121="","",共有用1!P121&amp;"/"&amp;COUNTIF(共有用1!P$2:P121,共有用1!P121))</f>
        <v/>
      </c>
      <c r="Q121" s="17" t="str">
        <f>IF(共有用1!Q121="","",共有用1!Q121&amp;"/"&amp;COUNTIF(共有用1!Q$2:Q121,共有用1!Q121))</f>
        <v/>
      </c>
      <c r="R121" s="17" t="str">
        <f>IF(共有用1!R121="","",共有用1!R121&amp;"/"&amp;COUNTIF(共有用1!R$2:R121,共有用1!R121))</f>
        <v/>
      </c>
      <c r="S121" s="17" t="str">
        <f>IF(共有用1!S121="","",共有用1!S121&amp;"/"&amp;COUNTIF(共有用1!S$2:S121,共有用1!S121))</f>
        <v/>
      </c>
      <c r="T121" s="17" t="str">
        <f>IF(共有用1!T121="","",共有用1!T121&amp;"/"&amp;COUNTIF(共有用1!T$2:T121,共有用1!T121))</f>
        <v/>
      </c>
      <c r="U121" s="17" t="str">
        <f>IF(共有用1!U121="","",共有用1!U121&amp;"/"&amp;COUNTIF(共有用1!U$2:U121,共有用1!U121))</f>
        <v/>
      </c>
      <c r="V121" s="17" t="str">
        <f>IF(共有用1!V121="","",共有用1!V121&amp;"/"&amp;COUNTIF(共有用1!V$2:V121,共有用1!V121))</f>
        <v/>
      </c>
      <c r="W121" s="17" t="str">
        <f>IF(共有用1!W121="","",共有用1!W121&amp;"/"&amp;COUNTIF(共有用1!W$2:W121,共有用1!W121))</f>
        <v/>
      </c>
      <c r="X121" s="17" t="str">
        <f>IF(共有用1!X121="","",共有用1!X121&amp;"/"&amp;COUNTIF(共有用1!X$2:X121,共有用1!X121))</f>
        <v/>
      </c>
      <c r="Y121" s="17" t="str">
        <f>IF(共有用1!Y121="","",共有用1!Y121&amp;"/"&amp;COUNTIF(共有用1!Y$2:Y121,共有用1!Y121))</f>
        <v/>
      </c>
      <c r="Z121" s="17" t="str">
        <f>IF(共有用1!Z121="","",共有用1!Z121&amp;"/"&amp;COUNTIF(共有用1!Z$2:Z121,共有用1!Z121))</f>
        <v/>
      </c>
      <c r="AA121" s="17" t="str">
        <f>IF(共有用1!AA121="","",共有用1!AA121&amp;"/"&amp;COUNTIF(共有用1!AA$2:AA121,共有用1!AA121))</f>
        <v/>
      </c>
      <c r="AB121" s="17" t="str">
        <f>IF(共有用1!AB121="","",共有用1!AB121&amp;"/"&amp;COUNTIF(共有用1!AB$2:AB121,共有用1!AB121))</f>
        <v/>
      </c>
      <c r="AC121" s="17" t="str">
        <f>IF(共有用1!AC121="","",共有用1!AC121&amp;"/"&amp;COUNTIF(共有用1!AC$2:AC121,共有用1!AC121))</f>
        <v/>
      </c>
      <c r="AD121" s="17" t="str">
        <f>IF(共有用1!AD121="","",共有用1!AD121&amp;"/"&amp;COUNTIF(共有用1!AD$2:AD121,共有用1!AD121))</f>
        <v/>
      </c>
      <c r="AE121" s="17" t="str">
        <f>IF(共有用1!AE121="","",共有用1!AE121&amp;"/"&amp;COUNTIF(共有用1!AE$2:AE121,共有用1!AE121))</f>
        <v/>
      </c>
      <c r="AF121" s="17" t="str">
        <f>IF(共有用1!AF121="","",共有用1!AF121&amp;"/"&amp;COUNTIF(共有用1!AF$2:AF121,共有用1!AF121))</f>
        <v/>
      </c>
      <c r="AG121" s="17" t="str">
        <f>IF(共有用1!AG121="","",共有用1!AG121&amp;"/"&amp;COUNTIF(共有用1!AG$2:AG121,共有用1!AG121))</f>
        <v/>
      </c>
      <c r="AH121" s="17" t="str">
        <f>IF(共有用1!AH121="","",共有用1!AH121&amp;"/"&amp;COUNTIF(共有用1!AH$2:AH121,共有用1!AH121))</f>
        <v/>
      </c>
      <c r="AI121" s="17" t="str">
        <f>IF(共有用1!AI121="","",共有用1!AI121&amp;"/"&amp;COUNTIF(共有用1!AI$2:AI121,共有用1!AI121))</f>
        <v/>
      </c>
      <c r="AJ121" s="17" t="str">
        <f>IF(共有用1!AJ121="","",共有用1!AJ121&amp;"/"&amp;COUNTIF(共有用1!AJ$2:AJ121,共有用1!AJ121))</f>
        <v/>
      </c>
      <c r="AK121" s="17" t="str">
        <f>IF(共有用1!AK121="","",共有用1!AK121&amp;"/"&amp;COUNTIF(共有用1!AK$2:AK121,共有用1!AK121))</f>
        <v/>
      </c>
      <c r="AL121" s="17" t="str">
        <f>IF(共有用1!AL121="","",共有用1!AL121&amp;"/"&amp;COUNTIF(共有用1!AL$2:AL121,共有用1!AL121))</f>
        <v/>
      </c>
      <c r="AM121" s="17" t="str">
        <f>IF(共有用1!AM121="","",共有用1!AM121&amp;"/"&amp;COUNTIF(共有用1!AM$2:AM121,共有用1!AM121))</f>
        <v/>
      </c>
      <c r="AN121" s="17" t="str">
        <f>IF(共有用1!AN121="","",共有用1!AN121&amp;"/"&amp;COUNTIF(共有用1!AN$2:AN121,共有用1!AN121))</f>
        <v/>
      </c>
      <c r="AO121" s="17" t="str">
        <f>IF(共有用1!AO121="","",共有用1!AO121&amp;"/"&amp;COUNTIF(共有用1!AO$2:AO121,共有用1!AO121))</f>
        <v/>
      </c>
      <c r="AP121" s="17" t="str">
        <f>IF(共有用1!AP121="","",共有用1!AP121&amp;"/"&amp;COUNTIF(共有用1!AP$2:AP121,共有用1!AP121))</f>
        <v/>
      </c>
      <c r="AQ121" s="17" t="str">
        <f>IF(共有用1!AQ121="","",共有用1!AQ121&amp;"/"&amp;COUNTIF(共有用1!AQ$2:AQ121,共有用1!AQ121))</f>
        <v/>
      </c>
      <c r="AR121" s="17" t="str">
        <f>IF(共有用1!AR121="","",共有用1!AR121&amp;"/"&amp;COUNTIF(共有用1!AR$2:AR121,共有用1!AR121))</f>
        <v/>
      </c>
      <c r="AS121" s="17" t="str">
        <f>IF(共有用1!AS121="","",共有用1!AS121&amp;"/"&amp;COUNTIF(共有用1!AS$2:AS121,共有用1!AS121))</f>
        <v/>
      </c>
      <c r="AT121" s="17" t="str">
        <f>IF(共有用1!AT121="","",共有用1!AT121&amp;"/"&amp;COUNTIF(共有用1!AT$2:AT121,共有用1!AT121))</f>
        <v/>
      </c>
      <c r="AU121" s="17" t="str">
        <f>IF(共有用1!AU121="","",共有用1!AU121&amp;"/"&amp;COUNTIF(共有用1!AU$2:AU121,共有用1!AU121))</f>
        <v/>
      </c>
      <c r="AV121" s="17" t="str">
        <f>IF(共有用1!AV121="","",共有用1!AV121&amp;"/"&amp;COUNTIF(共有用1!AV$2:AV121,共有用1!AV121))</f>
        <v/>
      </c>
      <c r="AW121" s="17" t="str">
        <f>IF(共有用1!AW121="","",共有用1!AW121&amp;"/"&amp;COUNTIF(共有用1!AW$2:AW121,共有用1!AW121))</f>
        <v/>
      </c>
      <c r="AX121" s="17" t="str">
        <f>IF(共有用1!AX121="","",共有用1!AX121&amp;"/"&amp;COUNTIF(共有用1!AX$2:AX121,共有用1!AX121))</f>
        <v/>
      </c>
      <c r="AY121" s="17" t="str">
        <f>IF(共有用1!AY121="","",共有用1!AY121&amp;"/"&amp;COUNTIF(共有用1!AY$2:AY121,共有用1!AY121))</f>
        <v/>
      </c>
      <c r="AZ121" s="17" t="str">
        <f>IF(共有用1!AZ121="","",共有用1!AZ121&amp;"/"&amp;COUNTIF(共有用1!AZ$2:AZ121,共有用1!AZ121))</f>
        <v/>
      </c>
      <c r="BA121" s="17" t="str">
        <f>IF(共有用1!BA121="","",共有用1!BA121&amp;"/"&amp;COUNTIF(共有用1!BA$2:BA121,共有用1!BA121))</f>
        <v/>
      </c>
    </row>
    <row r="122" spans="1:53">
      <c r="A122" s="2" t="str">
        <f>共有用1!A122</f>
        <v/>
      </c>
      <c r="B122" s="2" t="str">
        <f>共有用1!B122</f>
        <v/>
      </c>
      <c r="C122" s="2" t="str">
        <f>共有用1!C122</f>
        <v/>
      </c>
      <c r="D122" s="17" t="str">
        <f>IF(共有用1!D122="","",共有用1!D122&amp;"/"&amp;COUNTIF(共有用1!D$2:D122,共有用1!D122))</f>
        <v/>
      </c>
      <c r="E122" s="17" t="str">
        <f>IF(共有用1!E122="","",共有用1!E122&amp;"/"&amp;COUNTIF(共有用1!E$2:E122,共有用1!E122))</f>
        <v/>
      </c>
      <c r="F122" s="17" t="str">
        <f>IF(共有用1!F122="","",共有用1!F122&amp;"/"&amp;COUNTIF(共有用1!F$2:F122,共有用1!F122))</f>
        <v/>
      </c>
      <c r="G122" s="17" t="str">
        <f>IF(共有用1!G122="","",共有用1!G122&amp;"/"&amp;COUNTIF(共有用1!G$2:G122,共有用1!G122))</f>
        <v/>
      </c>
      <c r="H122" s="17" t="str">
        <f>IF(共有用1!H122="","",共有用1!H122&amp;"/"&amp;COUNTIF(共有用1!H$2:H122,共有用1!H122))</f>
        <v/>
      </c>
      <c r="I122" s="17" t="str">
        <f>IF(共有用1!I122="","",共有用1!I122&amp;"/"&amp;COUNTIF(共有用1!I$2:I122,共有用1!I122))</f>
        <v/>
      </c>
      <c r="J122" s="17" t="str">
        <f>IF(共有用1!J122="","",共有用1!J122&amp;"/"&amp;COUNTIF(共有用1!J$2:J122,共有用1!J122))</f>
        <v/>
      </c>
      <c r="K122" s="17" t="str">
        <f>IF(共有用1!K122="","",共有用1!K122&amp;"/"&amp;COUNTIF(共有用1!K$2:K122,共有用1!K122))</f>
        <v/>
      </c>
      <c r="L122" s="17" t="str">
        <f>IF(共有用1!L122="","",共有用1!L122&amp;"/"&amp;COUNTIF(共有用1!L$2:L122,共有用1!L122))</f>
        <v/>
      </c>
      <c r="M122" s="17" t="str">
        <f>IF(共有用1!M122="","",共有用1!M122&amp;"/"&amp;COUNTIF(共有用1!M$2:M122,共有用1!M122))</f>
        <v/>
      </c>
      <c r="N122" s="17" t="str">
        <f>IF(共有用1!N122="","",共有用1!N122&amp;"/"&amp;COUNTIF(共有用1!N$2:N122,共有用1!N122))</f>
        <v/>
      </c>
      <c r="O122" s="17" t="str">
        <f>IF(共有用1!O122="","",共有用1!O122&amp;"/"&amp;COUNTIF(共有用1!O$2:O122,共有用1!O122))</f>
        <v/>
      </c>
      <c r="P122" s="17" t="str">
        <f>IF(共有用1!P122="","",共有用1!P122&amp;"/"&amp;COUNTIF(共有用1!P$2:P122,共有用1!P122))</f>
        <v/>
      </c>
      <c r="Q122" s="17" t="str">
        <f>IF(共有用1!Q122="","",共有用1!Q122&amp;"/"&amp;COUNTIF(共有用1!Q$2:Q122,共有用1!Q122))</f>
        <v/>
      </c>
      <c r="R122" s="17" t="str">
        <f>IF(共有用1!R122="","",共有用1!R122&amp;"/"&amp;COUNTIF(共有用1!R$2:R122,共有用1!R122))</f>
        <v/>
      </c>
      <c r="S122" s="17" t="str">
        <f>IF(共有用1!S122="","",共有用1!S122&amp;"/"&amp;COUNTIF(共有用1!S$2:S122,共有用1!S122))</f>
        <v/>
      </c>
      <c r="T122" s="17" t="str">
        <f>IF(共有用1!T122="","",共有用1!T122&amp;"/"&amp;COUNTIF(共有用1!T$2:T122,共有用1!T122))</f>
        <v/>
      </c>
      <c r="U122" s="17" t="str">
        <f>IF(共有用1!U122="","",共有用1!U122&amp;"/"&amp;COUNTIF(共有用1!U$2:U122,共有用1!U122))</f>
        <v/>
      </c>
      <c r="V122" s="17" t="str">
        <f>IF(共有用1!V122="","",共有用1!V122&amp;"/"&amp;COUNTIF(共有用1!V$2:V122,共有用1!V122))</f>
        <v/>
      </c>
      <c r="W122" s="17" t="str">
        <f>IF(共有用1!W122="","",共有用1!W122&amp;"/"&amp;COUNTIF(共有用1!W$2:W122,共有用1!W122))</f>
        <v/>
      </c>
      <c r="X122" s="17" t="str">
        <f>IF(共有用1!X122="","",共有用1!X122&amp;"/"&amp;COUNTIF(共有用1!X$2:X122,共有用1!X122))</f>
        <v/>
      </c>
      <c r="Y122" s="17" t="str">
        <f>IF(共有用1!Y122="","",共有用1!Y122&amp;"/"&amp;COUNTIF(共有用1!Y$2:Y122,共有用1!Y122))</f>
        <v/>
      </c>
      <c r="Z122" s="17" t="str">
        <f>IF(共有用1!Z122="","",共有用1!Z122&amp;"/"&amp;COUNTIF(共有用1!Z$2:Z122,共有用1!Z122))</f>
        <v/>
      </c>
      <c r="AA122" s="17" t="str">
        <f>IF(共有用1!AA122="","",共有用1!AA122&amp;"/"&amp;COUNTIF(共有用1!AA$2:AA122,共有用1!AA122))</f>
        <v/>
      </c>
      <c r="AB122" s="17" t="str">
        <f>IF(共有用1!AB122="","",共有用1!AB122&amp;"/"&amp;COUNTIF(共有用1!AB$2:AB122,共有用1!AB122))</f>
        <v/>
      </c>
      <c r="AC122" s="17" t="str">
        <f>IF(共有用1!AC122="","",共有用1!AC122&amp;"/"&amp;COUNTIF(共有用1!AC$2:AC122,共有用1!AC122))</f>
        <v/>
      </c>
      <c r="AD122" s="17" t="str">
        <f>IF(共有用1!AD122="","",共有用1!AD122&amp;"/"&amp;COUNTIF(共有用1!AD$2:AD122,共有用1!AD122))</f>
        <v/>
      </c>
      <c r="AE122" s="17" t="str">
        <f>IF(共有用1!AE122="","",共有用1!AE122&amp;"/"&amp;COUNTIF(共有用1!AE$2:AE122,共有用1!AE122))</f>
        <v/>
      </c>
      <c r="AF122" s="17" t="str">
        <f>IF(共有用1!AF122="","",共有用1!AF122&amp;"/"&amp;COUNTIF(共有用1!AF$2:AF122,共有用1!AF122))</f>
        <v/>
      </c>
      <c r="AG122" s="17" t="str">
        <f>IF(共有用1!AG122="","",共有用1!AG122&amp;"/"&amp;COUNTIF(共有用1!AG$2:AG122,共有用1!AG122))</f>
        <v/>
      </c>
      <c r="AH122" s="17" t="str">
        <f>IF(共有用1!AH122="","",共有用1!AH122&amp;"/"&amp;COUNTIF(共有用1!AH$2:AH122,共有用1!AH122))</f>
        <v/>
      </c>
      <c r="AI122" s="17" t="str">
        <f>IF(共有用1!AI122="","",共有用1!AI122&amp;"/"&amp;COUNTIF(共有用1!AI$2:AI122,共有用1!AI122))</f>
        <v/>
      </c>
      <c r="AJ122" s="17" t="str">
        <f>IF(共有用1!AJ122="","",共有用1!AJ122&amp;"/"&amp;COUNTIF(共有用1!AJ$2:AJ122,共有用1!AJ122))</f>
        <v/>
      </c>
      <c r="AK122" s="17" t="str">
        <f>IF(共有用1!AK122="","",共有用1!AK122&amp;"/"&amp;COUNTIF(共有用1!AK$2:AK122,共有用1!AK122))</f>
        <v/>
      </c>
      <c r="AL122" s="17" t="str">
        <f>IF(共有用1!AL122="","",共有用1!AL122&amp;"/"&amp;COUNTIF(共有用1!AL$2:AL122,共有用1!AL122))</f>
        <v/>
      </c>
      <c r="AM122" s="17" t="str">
        <f>IF(共有用1!AM122="","",共有用1!AM122&amp;"/"&amp;COUNTIF(共有用1!AM$2:AM122,共有用1!AM122))</f>
        <v/>
      </c>
      <c r="AN122" s="17" t="str">
        <f>IF(共有用1!AN122="","",共有用1!AN122&amp;"/"&amp;COUNTIF(共有用1!AN$2:AN122,共有用1!AN122))</f>
        <v/>
      </c>
      <c r="AO122" s="17" t="str">
        <f>IF(共有用1!AO122="","",共有用1!AO122&amp;"/"&amp;COUNTIF(共有用1!AO$2:AO122,共有用1!AO122))</f>
        <v/>
      </c>
      <c r="AP122" s="17" t="str">
        <f>IF(共有用1!AP122="","",共有用1!AP122&amp;"/"&amp;COUNTIF(共有用1!AP$2:AP122,共有用1!AP122))</f>
        <v/>
      </c>
      <c r="AQ122" s="17" t="str">
        <f>IF(共有用1!AQ122="","",共有用1!AQ122&amp;"/"&amp;COUNTIF(共有用1!AQ$2:AQ122,共有用1!AQ122))</f>
        <v/>
      </c>
      <c r="AR122" s="17" t="str">
        <f>IF(共有用1!AR122="","",共有用1!AR122&amp;"/"&amp;COUNTIF(共有用1!AR$2:AR122,共有用1!AR122))</f>
        <v/>
      </c>
      <c r="AS122" s="17" t="str">
        <f>IF(共有用1!AS122="","",共有用1!AS122&amp;"/"&amp;COUNTIF(共有用1!AS$2:AS122,共有用1!AS122))</f>
        <v/>
      </c>
      <c r="AT122" s="17" t="str">
        <f>IF(共有用1!AT122="","",共有用1!AT122&amp;"/"&amp;COUNTIF(共有用1!AT$2:AT122,共有用1!AT122))</f>
        <v/>
      </c>
      <c r="AU122" s="17" t="str">
        <f>IF(共有用1!AU122="","",共有用1!AU122&amp;"/"&amp;COUNTIF(共有用1!AU$2:AU122,共有用1!AU122))</f>
        <v/>
      </c>
      <c r="AV122" s="17" t="str">
        <f>IF(共有用1!AV122="","",共有用1!AV122&amp;"/"&amp;COUNTIF(共有用1!AV$2:AV122,共有用1!AV122))</f>
        <v/>
      </c>
      <c r="AW122" s="17" t="str">
        <f>IF(共有用1!AW122="","",共有用1!AW122&amp;"/"&amp;COUNTIF(共有用1!AW$2:AW122,共有用1!AW122))</f>
        <v/>
      </c>
      <c r="AX122" s="17" t="str">
        <f>IF(共有用1!AX122="","",共有用1!AX122&amp;"/"&amp;COUNTIF(共有用1!AX$2:AX122,共有用1!AX122))</f>
        <v/>
      </c>
      <c r="AY122" s="17" t="str">
        <f>IF(共有用1!AY122="","",共有用1!AY122&amp;"/"&amp;COUNTIF(共有用1!AY$2:AY122,共有用1!AY122))</f>
        <v/>
      </c>
      <c r="AZ122" s="17" t="str">
        <f>IF(共有用1!AZ122="","",共有用1!AZ122&amp;"/"&amp;COUNTIF(共有用1!AZ$2:AZ122,共有用1!AZ122))</f>
        <v/>
      </c>
      <c r="BA122" s="17" t="str">
        <f>IF(共有用1!BA122="","",共有用1!BA122&amp;"/"&amp;COUNTIF(共有用1!BA$2:BA122,共有用1!BA122))</f>
        <v/>
      </c>
    </row>
    <row r="123" spans="1:53">
      <c r="A123" s="2" t="str">
        <f>共有用1!A123</f>
        <v/>
      </c>
      <c r="B123" s="2" t="str">
        <f>共有用1!B123</f>
        <v/>
      </c>
      <c r="C123" s="2" t="str">
        <f>共有用1!C123</f>
        <v/>
      </c>
      <c r="D123" s="17" t="str">
        <f>IF(共有用1!D123="","",共有用1!D123&amp;"/"&amp;COUNTIF(共有用1!D$2:D123,共有用1!D123))</f>
        <v/>
      </c>
      <c r="E123" s="17" t="str">
        <f>IF(共有用1!E123="","",共有用1!E123&amp;"/"&amp;COUNTIF(共有用1!E$2:E123,共有用1!E123))</f>
        <v/>
      </c>
      <c r="F123" s="17" t="str">
        <f>IF(共有用1!F123="","",共有用1!F123&amp;"/"&amp;COUNTIF(共有用1!F$2:F123,共有用1!F123))</f>
        <v/>
      </c>
      <c r="G123" s="17" t="str">
        <f>IF(共有用1!G123="","",共有用1!G123&amp;"/"&amp;COUNTIF(共有用1!G$2:G123,共有用1!G123))</f>
        <v/>
      </c>
      <c r="H123" s="17" t="str">
        <f>IF(共有用1!H123="","",共有用1!H123&amp;"/"&amp;COUNTIF(共有用1!H$2:H123,共有用1!H123))</f>
        <v/>
      </c>
      <c r="I123" s="17" t="str">
        <f>IF(共有用1!I123="","",共有用1!I123&amp;"/"&amp;COUNTIF(共有用1!I$2:I123,共有用1!I123))</f>
        <v/>
      </c>
      <c r="J123" s="17" t="str">
        <f>IF(共有用1!J123="","",共有用1!J123&amp;"/"&amp;COUNTIF(共有用1!J$2:J123,共有用1!J123))</f>
        <v/>
      </c>
      <c r="K123" s="17" t="str">
        <f>IF(共有用1!K123="","",共有用1!K123&amp;"/"&amp;COUNTIF(共有用1!K$2:K123,共有用1!K123))</f>
        <v/>
      </c>
      <c r="L123" s="17" t="str">
        <f>IF(共有用1!L123="","",共有用1!L123&amp;"/"&amp;COUNTIF(共有用1!L$2:L123,共有用1!L123))</f>
        <v/>
      </c>
      <c r="M123" s="17" t="str">
        <f>IF(共有用1!M123="","",共有用1!M123&amp;"/"&amp;COUNTIF(共有用1!M$2:M123,共有用1!M123))</f>
        <v/>
      </c>
      <c r="N123" s="17" t="str">
        <f>IF(共有用1!N123="","",共有用1!N123&amp;"/"&amp;COUNTIF(共有用1!N$2:N123,共有用1!N123))</f>
        <v/>
      </c>
      <c r="O123" s="17" t="str">
        <f>IF(共有用1!O123="","",共有用1!O123&amp;"/"&amp;COUNTIF(共有用1!O$2:O123,共有用1!O123))</f>
        <v/>
      </c>
      <c r="P123" s="17" t="str">
        <f>IF(共有用1!P123="","",共有用1!P123&amp;"/"&amp;COUNTIF(共有用1!P$2:P123,共有用1!P123))</f>
        <v/>
      </c>
      <c r="Q123" s="17" t="str">
        <f>IF(共有用1!Q123="","",共有用1!Q123&amp;"/"&amp;COUNTIF(共有用1!Q$2:Q123,共有用1!Q123))</f>
        <v/>
      </c>
      <c r="R123" s="17" t="str">
        <f>IF(共有用1!R123="","",共有用1!R123&amp;"/"&amp;COUNTIF(共有用1!R$2:R123,共有用1!R123))</f>
        <v/>
      </c>
      <c r="S123" s="17" t="str">
        <f>IF(共有用1!S123="","",共有用1!S123&amp;"/"&amp;COUNTIF(共有用1!S$2:S123,共有用1!S123))</f>
        <v/>
      </c>
      <c r="T123" s="17" t="str">
        <f>IF(共有用1!T123="","",共有用1!T123&amp;"/"&amp;COUNTIF(共有用1!T$2:T123,共有用1!T123))</f>
        <v/>
      </c>
      <c r="U123" s="17" t="str">
        <f>IF(共有用1!U123="","",共有用1!U123&amp;"/"&amp;COUNTIF(共有用1!U$2:U123,共有用1!U123))</f>
        <v/>
      </c>
      <c r="V123" s="17" t="str">
        <f>IF(共有用1!V123="","",共有用1!V123&amp;"/"&amp;COUNTIF(共有用1!V$2:V123,共有用1!V123))</f>
        <v/>
      </c>
      <c r="W123" s="17" t="str">
        <f>IF(共有用1!W123="","",共有用1!W123&amp;"/"&amp;COUNTIF(共有用1!W$2:W123,共有用1!W123))</f>
        <v/>
      </c>
      <c r="X123" s="17" t="str">
        <f>IF(共有用1!X123="","",共有用1!X123&amp;"/"&amp;COUNTIF(共有用1!X$2:X123,共有用1!X123))</f>
        <v/>
      </c>
      <c r="Y123" s="17" t="str">
        <f>IF(共有用1!Y123="","",共有用1!Y123&amp;"/"&amp;COUNTIF(共有用1!Y$2:Y123,共有用1!Y123))</f>
        <v/>
      </c>
      <c r="Z123" s="17" t="str">
        <f>IF(共有用1!Z123="","",共有用1!Z123&amp;"/"&amp;COUNTIF(共有用1!Z$2:Z123,共有用1!Z123))</f>
        <v/>
      </c>
      <c r="AA123" s="17" t="str">
        <f>IF(共有用1!AA123="","",共有用1!AA123&amp;"/"&amp;COUNTIF(共有用1!AA$2:AA123,共有用1!AA123))</f>
        <v/>
      </c>
      <c r="AB123" s="17" t="str">
        <f>IF(共有用1!AB123="","",共有用1!AB123&amp;"/"&amp;COUNTIF(共有用1!AB$2:AB123,共有用1!AB123))</f>
        <v/>
      </c>
      <c r="AC123" s="17" t="str">
        <f>IF(共有用1!AC123="","",共有用1!AC123&amp;"/"&amp;COUNTIF(共有用1!AC$2:AC123,共有用1!AC123))</f>
        <v/>
      </c>
      <c r="AD123" s="17" t="str">
        <f>IF(共有用1!AD123="","",共有用1!AD123&amp;"/"&amp;COUNTIF(共有用1!AD$2:AD123,共有用1!AD123))</f>
        <v/>
      </c>
      <c r="AE123" s="17" t="str">
        <f>IF(共有用1!AE123="","",共有用1!AE123&amp;"/"&amp;COUNTIF(共有用1!AE$2:AE123,共有用1!AE123))</f>
        <v/>
      </c>
      <c r="AF123" s="17" t="str">
        <f>IF(共有用1!AF123="","",共有用1!AF123&amp;"/"&amp;COUNTIF(共有用1!AF$2:AF123,共有用1!AF123))</f>
        <v/>
      </c>
      <c r="AG123" s="17" t="str">
        <f>IF(共有用1!AG123="","",共有用1!AG123&amp;"/"&amp;COUNTIF(共有用1!AG$2:AG123,共有用1!AG123))</f>
        <v/>
      </c>
      <c r="AH123" s="17" t="str">
        <f>IF(共有用1!AH123="","",共有用1!AH123&amp;"/"&amp;COUNTIF(共有用1!AH$2:AH123,共有用1!AH123))</f>
        <v/>
      </c>
      <c r="AI123" s="17" t="str">
        <f>IF(共有用1!AI123="","",共有用1!AI123&amp;"/"&amp;COUNTIF(共有用1!AI$2:AI123,共有用1!AI123))</f>
        <v/>
      </c>
      <c r="AJ123" s="17" t="str">
        <f>IF(共有用1!AJ123="","",共有用1!AJ123&amp;"/"&amp;COUNTIF(共有用1!AJ$2:AJ123,共有用1!AJ123))</f>
        <v/>
      </c>
      <c r="AK123" s="17" t="str">
        <f>IF(共有用1!AK123="","",共有用1!AK123&amp;"/"&amp;COUNTIF(共有用1!AK$2:AK123,共有用1!AK123))</f>
        <v/>
      </c>
      <c r="AL123" s="17" t="str">
        <f>IF(共有用1!AL123="","",共有用1!AL123&amp;"/"&amp;COUNTIF(共有用1!AL$2:AL123,共有用1!AL123))</f>
        <v/>
      </c>
      <c r="AM123" s="17" t="str">
        <f>IF(共有用1!AM123="","",共有用1!AM123&amp;"/"&amp;COUNTIF(共有用1!AM$2:AM123,共有用1!AM123))</f>
        <v/>
      </c>
      <c r="AN123" s="17" t="str">
        <f>IF(共有用1!AN123="","",共有用1!AN123&amp;"/"&amp;COUNTIF(共有用1!AN$2:AN123,共有用1!AN123))</f>
        <v/>
      </c>
      <c r="AO123" s="17" t="str">
        <f>IF(共有用1!AO123="","",共有用1!AO123&amp;"/"&amp;COUNTIF(共有用1!AO$2:AO123,共有用1!AO123))</f>
        <v/>
      </c>
      <c r="AP123" s="17" t="str">
        <f>IF(共有用1!AP123="","",共有用1!AP123&amp;"/"&amp;COUNTIF(共有用1!AP$2:AP123,共有用1!AP123))</f>
        <v/>
      </c>
      <c r="AQ123" s="17" t="str">
        <f>IF(共有用1!AQ123="","",共有用1!AQ123&amp;"/"&amp;COUNTIF(共有用1!AQ$2:AQ123,共有用1!AQ123))</f>
        <v/>
      </c>
      <c r="AR123" s="17" t="str">
        <f>IF(共有用1!AR123="","",共有用1!AR123&amp;"/"&amp;COUNTIF(共有用1!AR$2:AR123,共有用1!AR123))</f>
        <v/>
      </c>
      <c r="AS123" s="17" t="str">
        <f>IF(共有用1!AS123="","",共有用1!AS123&amp;"/"&amp;COUNTIF(共有用1!AS$2:AS123,共有用1!AS123))</f>
        <v/>
      </c>
      <c r="AT123" s="17" t="str">
        <f>IF(共有用1!AT123="","",共有用1!AT123&amp;"/"&amp;COUNTIF(共有用1!AT$2:AT123,共有用1!AT123))</f>
        <v/>
      </c>
      <c r="AU123" s="17" t="str">
        <f>IF(共有用1!AU123="","",共有用1!AU123&amp;"/"&amp;COUNTIF(共有用1!AU$2:AU123,共有用1!AU123))</f>
        <v/>
      </c>
      <c r="AV123" s="17" t="str">
        <f>IF(共有用1!AV123="","",共有用1!AV123&amp;"/"&amp;COUNTIF(共有用1!AV$2:AV123,共有用1!AV123))</f>
        <v/>
      </c>
      <c r="AW123" s="17" t="str">
        <f>IF(共有用1!AW123="","",共有用1!AW123&amp;"/"&amp;COUNTIF(共有用1!AW$2:AW123,共有用1!AW123))</f>
        <v/>
      </c>
      <c r="AX123" s="17" t="str">
        <f>IF(共有用1!AX123="","",共有用1!AX123&amp;"/"&amp;COUNTIF(共有用1!AX$2:AX123,共有用1!AX123))</f>
        <v/>
      </c>
      <c r="AY123" s="17" t="str">
        <f>IF(共有用1!AY123="","",共有用1!AY123&amp;"/"&amp;COUNTIF(共有用1!AY$2:AY123,共有用1!AY123))</f>
        <v/>
      </c>
      <c r="AZ123" s="17" t="str">
        <f>IF(共有用1!AZ123="","",共有用1!AZ123&amp;"/"&amp;COUNTIF(共有用1!AZ$2:AZ123,共有用1!AZ123))</f>
        <v/>
      </c>
      <c r="BA123" s="17" t="str">
        <f>IF(共有用1!BA123="","",共有用1!BA123&amp;"/"&amp;COUNTIF(共有用1!BA$2:BA123,共有用1!BA123))</f>
        <v/>
      </c>
    </row>
    <row r="124" spans="1:53">
      <c r="A124" s="2" t="str">
        <f>共有用1!A124</f>
        <v/>
      </c>
      <c r="B124" s="2" t="str">
        <f>共有用1!B124</f>
        <v/>
      </c>
      <c r="C124" s="2" t="str">
        <f>共有用1!C124</f>
        <v/>
      </c>
      <c r="D124" s="17" t="str">
        <f>IF(共有用1!D124="","",共有用1!D124&amp;"/"&amp;COUNTIF(共有用1!D$2:D124,共有用1!D124))</f>
        <v/>
      </c>
      <c r="E124" s="17" t="str">
        <f>IF(共有用1!E124="","",共有用1!E124&amp;"/"&amp;COUNTIF(共有用1!E$2:E124,共有用1!E124))</f>
        <v/>
      </c>
      <c r="F124" s="17" t="str">
        <f>IF(共有用1!F124="","",共有用1!F124&amp;"/"&amp;COUNTIF(共有用1!F$2:F124,共有用1!F124))</f>
        <v/>
      </c>
      <c r="G124" s="17" t="str">
        <f>IF(共有用1!G124="","",共有用1!G124&amp;"/"&amp;COUNTIF(共有用1!G$2:G124,共有用1!G124))</f>
        <v/>
      </c>
      <c r="H124" s="17" t="str">
        <f>IF(共有用1!H124="","",共有用1!H124&amp;"/"&amp;COUNTIF(共有用1!H$2:H124,共有用1!H124))</f>
        <v/>
      </c>
      <c r="I124" s="17" t="str">
        <f>IF(共有用1!I124="","",共有用1!I124&amp;"/"&amp;COUNTIF(共有用1!I$2:I124,共有用1!I124))</f>
        <v/>
      </c>
      <c r="J124" s="17" t="str">
        <f>IF(共有用1!J124="","",共有用1!J124&amp;"/"&amp;COUNTIF(共有用1!J$2:J124,共有用1!J124))</f>
        <v/>
      </c>
      <c r="K124" s="17" t="str">
        <f>IF(共有用1!K124="","",共有用1!K124&amp;"/"&amp;COUNTIF(共有用1!K$2:K124,共有用1!K124))</f>
        <v/>
      </c>
      <c r="L124" s="17" t="str">
        <f>IF(共有用1!L124="","",共有用1!L124&amp;"/"&amp;COUNTIF(共有用1!L$2:L124,共有用1!L124))</f>
        <v/>
      </c>
      <c r="M124" s="17" t="str">
        <f>IF(共有用1!M124="","",共有用1!M124&amp;"/"&amp;COUNTIF(共有用1!M$2:M124,共有用1!M124))</f>
        <v/>
      </c>
      <c r="N124" s="17" t="str">
        <f>IF(共有用1!N124="","",共有用1!N124&amp;"/"&amp;COUNTIF(共有用1!N$2:N124,共有用1!N124))</f>
        <v/>
      </c>
      <c r="O124" s="17" t="str">
        <f>IF(共有用1!O124="","",共有用1!O124&amp;"/"&amp;COUNTIF(共有用1!O$2:O124,共有用1!O124))</f>
        <v/>
      </c>
      <c r="P124" s="17" t="str">
        <f>IF(共有用1!P124="","",共有用1!P124&amp;"/"&amp;COUNTIF(共有用1!P$2:P124,共有用1!P124))</f>
        <v/>
      </c>
      <c r="Q124" s="17" t="str">
        <f>IF(共有用1!Q124="","",共有用1!Q124&amp;"/"&amp;COUNTIF(共有用1!Q$2:Q124,共有用1!Q124))</f>
        <v/>
      </c>
      <c r="R124" s="17" t="str">
        <f>IF(共有用1!R124="","",共有用1!R124&amp;"/"&amp;COUNTIF(共有用1!R$2:R124,共有用1!R124))</f>
        <v/>
      </c>
      <c r="S124" s="17" t="str">
        <f>IF(共有用1!S124="","",共有用1!S124&amp;"/"&amp;COUNTIF(共有用1!S$2:S124,共有用1!S124))</f>
        <v/>
      </c>
      <c r="T124" s="17" t="str">
        <f>IF(共有用1!T124="","",共有用1!T124&amp;"/"&amp;COUNTIF(共有用1!T$2:T124,共有用1!T124))</f>
        <v/>
      </c>
      <c r="U124" s="17" t="str">
        <f>IF(共有用1!U124="","",共有用1!U124&amp;"/"&amp;COUNTIF(共有用1!U$2:U124,共有用1!U124))</f>
        <v/>
      </c>
      <c r="V124" s="17" t="str">
        <f>IF(共有用1!V124="","",共有用1!V124&amp;"/"&amp;COUNTIF(共有用1!V$2:V124,共有用1!V124))</f>
        <v/>
      </c>
      <c r="W124" s="17" t="str">
        <f>IF(共有用1!W124="","",共有用1!W124&amp;"/"&amp;COUNTIF(共有用1!W$2:W124,共有用1!W124))</f>
        <v/>
      </c>
      <c r="X124" s="17" t="str">
        <f>IF(共有用1!X124="","",共有用1!X124&amp;"/"&amp;COUNTIF(共有用1!X$2:X124,共有用1!X124))</f>
        <v/>
      </c>
      <c r="Y124" s="17" t="str">
        <f>IF(共有用1!Y124="","",共有用1!Y124&amp;"/"&amp;COUNTIF(共有用1!Y$2:Y124,共有用1!Y124))</f>
        <v/>
      </c>
      <c r="Z124" s="17" t="str">
        <f>IF(共有用1!Z124="","",共有用1!Z124&amp;"/"&amp;COUNTIF(共有用1!Z$2:Z124,共有用1!Z124))</f>
        <v/>
      </c>
      <c r="AA124" s="17" t="str">
        <f>IF(共有用1!AA124="","",共有用1!AA124&amp;"/"&amp;COUNTIF(共有用1!AA$2:AA124,共有用1!AA124))</f>
        <v/>
      </c>
      <c r="AB124" s="17" t="str">
        <f>IF(共有用1!AB124="","",共有用1!AB124&amp;"/"&amp;COUNTIF(共有用1!AB$2:AB124,共有用1!AB124))</f>
        <v/>
      </c>
      <c r="AC124" s="17" t="str">
        <f>IF(共有用1!AC124="","",共有用1!AC124&amp;"/"&amp;COUNTIF(共有用1!AC$2:AC124,共有用1!AC124))</f>
        <v/>
      </c>
      <c r="AD124" s="17" t="str">
        <f>IF(共有用1!AD124="","",共有用1!AD124&amp;"/"&amp;COUNTIF(共有用1!AD$2:AD124,共有用1!AD124))</f>
        <v/>
      </c>
      <c r="AE124" s="17" t="str">
        <f>IF(共有用1!AE124="","",共有用1!AE124&amp;"/"&amp;COUNTIF(共有用1!AE$2:AE124,共有用1!AE124))</f>
        <v/>
      </c>
      <c r="AF124" s="17" t="str">
        <f>IF(共有用1!AF124="","",共有用1!AF124&amp;"/"&amp;COUNTIF(共有用1!AF$2:AF124,共有用1!AF124))</f>
        <v/>
      </c>
      <c r="AG124" s="17" t="str">
        <f>IF(共有用1!AG124="","",共有用1!AG124&amp;"/"&amp;COUNTIF(共有用1!AG$2:AG124,共有用1!AG124))</f>
        <v/>
      </c>
      <c r="AH124" s="17" t="str">
        <f>IF(共有用1!AH124="","",共有用1!AH124&amp;"/"&amp;COUNTIF(共有用1!AH$2:AH124,共有用1!AH124))</f>
        <v/>
      </c>
      <c r="AI124" s="17" t="str">
        <f>IF(共有用1!AI124="","",共有用1!AI124&amp;"/"&amp;COUNTIF(共有用1!AI$2:AI124,共有用1!AI124))</f>
        <v/>
      </c>
      <c r="AJ124" s="17" t="str">
        <f>IF(共有用1!AJ124="","",共有用1!AJ124&amp;"/"&amp;COUNTIF(共有用1!AJ$2:AJ124,共有用1!AJ124))</f>
        <v/>
      </c>
      <c r="AK124" s="17" t="str">
        <f>IF(共有用1!AK124="","",共有用1!AK124&amp;"/"&amp;COUNTIF(共有用1!AK$2:AK124,共有用1!AK124))</f>
        <v/>
      </c>
      <c r="AL124" s="17" t="str">
        <f>IF(共有用1!AL124="","",共有用1!AL124&amp;"/"&amp;COUNTIF(共有用1!AL$2:AL124,共有用1!AL124))</f>
        <v/>
      </c>
      <c r="AM124" s="17" t="str">
        <f>IF(共有用1!AM124="","",共有用1!AM124&amp;"/"&amp;COUNTIF(共有用1!AM$2:AM124,共有用1!AM124))</f>
        <v/>
      </c>
      <c r="AN124" s="17" t="str">
        <f>IF(共有用1!AN124="","",共有用1!AN124&amp;"/"&amp;COUNTIF(共有用1!AN$2:AN124,共有用1!AN124))</f>
        <v/>
      </c>
      <c r="AO124" s="17" t="str">
        <f>IF(共有用1!AO124="","",共有用1!AO124&amp;"/"&amp;COUNTIF(共有用1!AO$2:AO124,共有用1!AO124))</f>
        <v/>
      </c>
      <c r="AP124" s="17" t="str">
        <f>IF(共有用1!AP124="","",共有用1!AP124&amp;"/"&amp;COUNTIF(共有用1!AP$2:AP124,共有用1!AP124))</f>
        <v/>
      </c>
      <c r="AQ124" s="17" t="str">
        <f>IF(共有用1!AQ124="","",共有用1!AQ124&amp;"/"&amp;COUNTIF(共有用1!AQ$2:AQ124,共有用1!AQ124))</f>
        <v/>
      </c>
      <c r="AR124" s="17" t="str">
        <f>IF(共有用1!AR124="","",共有用1!AR124&amp;"/"&amp;COUNTIF(共有用1!AR$2:AR124,共有用1!AR124))</f>
        <v/>
      </c>
      <c r="AS124" s="17" t="str">
        <f>IF(共有用1!AS124="","",共有用1!AS124&amp;"/"&amp;COUNTIF(共有用1!AS$2:AS124,共有用1!AS124))</f>
        <v/>
      </c>
      <c r="AT124" s="17" t="str">
        <f>IF(共有用1!AT124="","",共有用1!AT124&amp;"/"&amp;COUNTIF(共有用1!AT$2:AT124,共有用1!AT124))</f>
        <v/>
      </c>
      <c r="AU124" s="17" t="str">
        <f>IF(共有用1!AU124="","",共有用1!AU124&amp;"/"&amp;COUNTIF(共有用1!AU$2:AU124,共有用1!AU124))</f>
        <v/>
      </c>
      <c r="AV124" s="17" t="str">
        <f>IF(共有用1!AV124="","",共有用1!AV124&amp;"/"&amp;COUNTIF(共有用1!AV$2:AV124,共有用1!AV124))</f>
        <v/>
      </c>
      <c r="AW124" s="17" t="str">
        <f>IF(共有用1!AW124="","",共有用1!AW124&amp;"/"&amp;COUNTIF(共有用1!AW$2:AW124,共有用1!AW124))</f>
        <v/>
      </c>
      <c r="AX124" s="17" t="str">
        <f>IF(共有用1!AX124="","",共有用1!AX124&amp;"/"&amp;COUNTIF(共有用1!AX$2:AX124,共有用1!AX124))</f>
        <v/>
      </c>
      <c r="AY124" s="17" t="str">
        <f>IF(共有用1!AY124="","",共有用1!AY124&amp;"/"&amp;COUNTIF(共有用1!AY$2:AY124,共有用1!AY124))</f>
        <v/>
      </c>
      <c r="AZ124" s="17" t="str">
        <f>IF(共有用1!AZ124="","",共有用1!AZ124&amp;"/"&amp;COUNTIF(共有用1!AZ$2:AZ124,共有用1!AZ124))</f>
        <v/>
      </c>
      <c r="BA124" s="17" t="str">
        <f>IF(共有用1!BA124="","",共有用1!BA124&amp;"/"&amp;COUNTIF(共有用1!BA$2:BA124,共有用1!BA124))</f>
        <v/>
      </c>
    </row>
    <row r="125" spans="1:53">
      <c r="A125" s="2" t="str">
        <f>共有用1!A125</f>
        <v/>
      </c>
      <c r="B125" s="2" t="str">
        <f>共有用1!B125</f>
        <v/>
      </c>
      <c r="C125" s="2" t="str">
        <f>共有用1!C125</f>
        <v/>
      </c>
      <c r="D125" s="17" t="str">
        <f>IF(共有用1!D125="","",共有用1!D125&amp;"/"&amp;COUNTIF(共有用1!D$2:D125,共有用1!D125))</f>
        <v/>
      </c>
      <c r="E125" s="17" t="str">
        <f>IF(共有用1!E125="","",共有用1!E125&amp;"/"&amp;COUNTIF(共有用1!E$2:E125,共有用1!E125))</f>
        <v/>
      </c>
      <c r="F125" s="17" t="str">
        <f>IF(共有用1!F125="","",共有用1!F125&amp;"/"&amp;COUNTIF(共有用1!F$2:F125,共有用1!F125))</f>
        <v/>
      </c>
      <c r="G125" s="17" t="str">
        <f>IF(共有用1!G125="","",共有用1!G125&amp;"/"&amp;COUNTIF(共有用1!G$2:G125,共有用1!G125))</f>
        <v/>
      </c>
      <c r="H125" s="17" t="str">
        <f>IF(共有用1!H125="","",共有用1!H125&amp;"/"&amp;COUNTIF(共有用1!H$2:H125,共有用1!H125))</f>
        <v/>
      </c>
      <c r="I125" s="17" t="str">
        <f>IF(共有用1!I125="","",共有用1!I125&amp;"/"&amp;COUNTIF(共有用1!I$2:I125,共有用1!I125))</f>
        <v/>
      </c>
      <c r="J125" s="17" t="str">
        <f>IF(共有用1!J125="","",共有用1!J125&amp;"/"&amp;COUNTIF(共有用1!J$2:J125,共有用1!J125))</f>
        <v/>
      </c>
      <c r="K125" s="17" t="str">
        <f>IF(共有用1!K125="","",共有用1!K125&amp;"/"&amp;COUNTIF(共有用1!K$2:K125,共有用1!K125))</f>
        <v/>
      </c>
      <c r="L125" s="17" t="str">
        <f>IF(共有用1!L125="","",共有用1!L125&amp;"/"&amp;COUNTIF(共有用1!L$2:L125,共有用1!L125))</f>
        <v/>
      </c>
      <c r="M125" s="17" t="str">
        <f>IF(共有用1!M125="","",共有用1!M125&amp;"/"&amp;COUNTIF(共有用1!M$2:M125,共有用1!M125))</f>
        <v/>
      </c>
      <c r="N125" s="17" t="str">
        <f>IF(共有用1!N125="","",共有用1!N125&amp;"/"&amp;COUNTIF(共有用1!N$2:N125,共有用1!N125))</f>
        <v/>
      </c>
      <c r="O125" s="17" t="str">
        <f>IF(共有用1!O125="","",共有用1!O125&amp;"/"&amp;COUNTIF(共有用1!O$2:O125,共有用1!O125))</f>
        <v/>
      </c>
      <c r="P125" s="17" t="str">
        <f>IF(共有用1!P125="","",共有用1!P125&amp;"/"&amp;COUNTIF(共有用1!P$2:P125,共有用1!P125))</f>
        <v/>
      </c>
      <c r="Q125" s="17" t="str">
        <f>IF(共有用1!Q125="","",共有用1!Q125&amp;"/"&amp;COUNTIF(共有用1!Q$2:Q125,共有用1!Q125))</f>
        <v/>
      </c>
      <c r="R125" s="17" t="str">
        <f>IF(共有用1!R125="","",共有用1!R125&amp;"/"&amp;COUNTIF(共有用1!R$2:R125,共有用1!R125))</f>
        <v/>
      </c>
      <c r="S125" s="17" t="str">
        <f>IF(共有用1!S125="","",共有用1!S125&amp;"/"&amp;COUNTIF(共有用1!S$2:S125,共有用1!S125))</f>
        <v/>
      </c>
      <c r="T125" s="17" t="str">
        <f>IF(共有用1!T125="","",共有用1!T125&amp;"/"&amp;COUNTIF(共有用1!T$2:T125,共有用1!T125))</f>
        <v/>
      </c>
      <c r="U125" s="17" t="str">
        <f>IF(共有用1!U125="","",共有用1!U125&amp;"/"&amp;COUNTIF(共有用1!U$2:U125,共有用1!U125))</f>
        <v/>
      </c>
      <c r="V125" s="17" t="str">
        <f>IF(共有用1!V125="","",共有用1!V125&amp;"/"&amp;COUNTIF(共有用1!V$2:V125,共有用1!V125))</f>
        <v/>
      </c>
      <c r="W125" s="17" t="str">
        <f>IF(共有用1!W125="","",共有用1!W125&amp;"/"&amp;COUNTIF(共有用1!W$2:W125,共有用1!W125))</f>
        <v/>
      </c>
      <c r="X125" s="17" t="str">
        <f>IF(共有用1!X125="","",共有用1!X125&amp;"/"&amp;COUNTIF(共有用1!X$2:X125,共有用1!X125))</f>
        <v/>
      </c>
      <c r="Y125" s="17" t="str">
        <f>IF(共有用1!Y125="","",共有用1!Y125&amp;"/"&amp;COUNTIF(共有用1!Y$2:Y125,共有用1!Y125))</f>
        <v/>
      </c>
      <c r="Z125" s="17" t="str">
        <f>IF(共有用1!Z125="","",共有用1!Z125&amp;"/"&amp;COUNTIF(共有用1!Z$2:Z125,共有用1!Z125))</f>
        <v/>
      </c>
      <c r="AA125" s="17" t="str">
        <f>IF(共有用1!AA125="","",共有用1!AA125&amp;"/"&amp;COUNTIF(共有用1!AA$2:AA125,共有用1!AA125))</f>
        <v/>
      </c>
      <c r="AB125" s="17" t="str">
        <f>IF(共有用1!AB125="","",共有用1!AB125&amp;"/"&amp;COUNTIF(共有用1!AB$2:AB125,共有用1!AB125))</f>
        <v/>
      </c>
      <c r="AC125" s="17" t="str">
        <f>IF(共有用1!AC125="","",共有用1!AC125&amp;"/"&amp;COUNTIF(共有用1!AC$2:AC125,共有用1!AC125))</f>
        <v/>
      </c>
      <c r="AD125" s="17" t="str">
        <f>IF(共有用1!AD125="","",共有用1!AD125&amp;"/"&amp;COUNTIF(共有用1!AD$2:AD125,共有用1!AD125))</f>
        <v/>
      </c>
      <c r="AE125" s="17" t="str">
        <f>IF(共有用1!AE125="","",共有用1!AE125&amp;"/"&amp;COUNTIF(共有用1!AE$2:AE125,共有用1!AE125))</f>
        <v/>
      </c>
      <c r="AF125" s="17" t="str">
        <f>IF(共有用1!AF125="","",共有用1!AF125&amp;"/"&amp;COUNTIF(共有用1!AF$2:AF125,共有用1!AF125))</f>
        <v/>
      </c>
      <c r="AG125" s="17" t="str">
        <f>IF(共有用1!AG125="","",共有用1!AG125&amp;"/"&amp;COUNTIF(共有用1!AG$2:AG125,共有用1!AG125))</f>
        <v/>
      </c>
      <c r="AH125" s="17" t="str">
        <f>IF(共有用1!AH125="","",共有用1!AH125&amp;"/"&amp;COUNTIF(共有用1!AH$2:AH125,共有用1!AH125))</f>
        <v/>
      </c>
      <c r="AI125" s="17" t="str">
        <f>IF(共有用1!AI125="","",共有用1!AI125&amp;"/"&amp;COUNTIF(共有用1!AI$2:AI125,共有用1!AI125))</f>
        <v/>
      </c>
      <c r="AJ125" s="17" t="str">
        <f>IF(共有用1!AJ125="","",共有用1!AJ125&amp;"/"&amp;COUNTIF(共有用1!AJ$2:AJ125,共有用1!AJ125))</f>
        <v/>
      </c>
      <c r="AK125" s="17" t="str">
        <f>IF(共有用1!AK125="","",共有用1!AK125&amp;"/"&amp;COUNTIF(共有用1!AK$2:AK125,共有用1!AK125))</f>
        <v/>
      </c>
      <c r="AL125" s="17" t="str">
        <f>IF(共有用1!AL125="","",共有用1!AL125&amp;"/"&amp;COUNTIF(共有用1!AL$2:AL125,共有用1!AL125))</f>
        <v/>
      </c>
      <c r="AM125" s="17" t="str">
        <f>IF(共有用1!AM125="","",共有用1!AM125&amp;"/"&amp;COUNTIF(共有用1!AM$2:AM125,共有用1!AM125))</f>
        <v/>
      </c>
      <c r="AN125" s="17" t="str">
        <f>IF(共有用1!AN125="","",共有用1!AN125&amp;"/"&amp;COUNTIF(共有用1!AN$2:AN125,共有用1!AN125))</f>
        <v/>
      </c>
      <c r="AO125" s="17" t="str">
        <f>IF(共有用1!AO125="","",共有用1!AO125&amp;"/"&amp;COUNTIF(共有用1!AO$2:AO125,共有用1!AO125))</f>
        <v/>
      </c>
      <c r="AP125" s="17" t="str">
        <f>IF(共有用1!AP125="","",共有用1!AP125&amp;"/"&amp;COUNTIF(共有用1!AP$2:AP125,共有用1!AP125))</f>
        <v/>
      </c>
      <c r="AQ125" s="17" t="str">
        <f>IF(共有用1!AQ125="","",共有用1!AQ125&amp;"/"&amp;COUNTIF(共有用1!AQ$2:AQ125,共有用1!AQ125))</f>
        <v/>
      </c>
      <c r="AR125" s="17" t="str">
        <f>IF(共有用1!AR125="","",共有用1!AR125&amp;"/"&amp;COUNTIF(共有用1!AR$2:AR125,共有用1!AR125))</f>
        <v/>
      </c>
      <c r="AS125" s="17" t="str">
        <f>IF(共有用1!AS125="","",共有用1!AS125&amp;"/"&amp;COUNTIF(共有用1!AS$2:AS125,共有用1!AS125))</f>
        <v/>
      </c>
      <c r="AT125" s="17" t="str">
        <f>IF(共有用1!AT125="","",共有用1!AT125&amp;"/"&amp;COUNTIF(共有用1!AT$2:AT125,共有用1!AT125))</f>
        <v/>
      </c>
      <c r="AU125" s="17" t="str">
        <f>IF(共有用1!AU125="","",共有用1!AU125&amp;"/"&amp;COUNTIF(共有用1!AU$2:AU125,共有用1!AU125))</f>
        <v/>
      </c>
      <c r="AV125" s="17" t="str">
        <f>IF(共有用1!AV125="","",共有用1!AV125&amp;"/"&amp;COUNTIF(共有用1!AV$2:AV125,共有用1!AV125))</f>
        <v/>
      </c>
      <c r="AW125" s="17" t="str">
        <f>IF(共有用1!AW125="","",共有用1!AW125&amp;"/"&amp;COUNTIF(共有用1!AW$2:AW125,共有用1!AW125))</f>
        <v/>
      </c>
      <c r="AX125" s="17" t="str">
        <f>IF(共有用1!AX125="","",共有用1!AX125&amp;"/"&amp;COUNTIF(共有用1!AX$2:AX125,共有用1!AX125))</f>
        <v/>
      </c>
      <c r="AY125" s="17" t="str">
        <f>IF(共有用1!AY125="","",共有用1!AY125&amp;"/"&amp;COUNTIF(共有用1!AY$2:AY125,共有用1!AY125))</f>
        <v/>
      </c>
      <c r="AZ125" s="17" t="str">
        <f>IF(共有用1!AZ125="","",共有用1!AZ125&amp;"/"&amp;COUNTIF(共有用1!AZ$2:AZ125,共有用1!AZ125))</f>
        <v/>
      </c>
      <c r="BA125" s="17" t="str">
        <f>IF(共有用1!BA125="","",共有用1!BA125&amp;"/"&amp;COUNTIF(共有用1!BA$2:BA125,共有用1!BA125))</f>
        <v/>
      </c>
    </row>
    <row r="126" spans="1:53">
      <c r="A126" s="2" t="str">
        <f>共有用1!A126</f>
        <v/>
      </c>
      <c r="B126" s="2" t="str">
        <f>共有用1!B126</f>
        <v/>
      </c>
      <c r="C126" s="2" t="str">
        <f>共有用1!C126</f>
        <v/>
      </c>
      <c r="D126" s="17" t="str">
        <f>IF(共有用1!D126="","",共有用1!D126&amp;"/"&amp;COUNTIF(共有用1!D$2:D126,共有用1!D126))</f>
        <v/>
      </c>
      <c r="E126" s="17" t="str">
        <f>IF(共有用1!E126="","",共有用1!E126&amp;"/"&amp;COUNTIF(共有用1!E$2:E126,共有用1!E126))</f>
        <v/>
      </c>
      <c r="F126" s="17" t="str">
        <f>IF(共有用1!F126="","",共有用1!F126&amp;"/"&amp;COUNTIF(共有用1!F$2:F126,共有用1!F126))</f>
        <v/>
      </c>
      <c r="G126" s="17" t="str">
        <f>IF(共有用1!G126="","",共有用1!G126&amp;"/"&amp;COUNTIF(共有用1!G$2:G126,共有用1!G126))</f>
        <v/>
      </c>
      <c r="H126" s="17" t="str">
        <f>IF(共有用1!H126="","",共有用1!H126&amp;"/"&amp;COUNTIF(共有用1!H$2:H126,共有用1!H126))</f>
        <v/>
      </c>
      <c r="I126" s="17" t="str">
        <f>IF(共有用1!I126="","",共有用1!I126&amp;"/"&amp;COUNTIF(共有用1!I$2:I126,共有用1!I126))</f>
        <v/>
      </c>
      <c r="J126" s="17" t="str">
        <f>IF(共有用1!J126="","",共有用1!J126&amp;"/"&amp;COUNTIF(共有用1!J$2:J126,共有用1!J126))</f>
        <v/>
      </c>
      <c r="K126" s="17" t="str">
        <f>IF(共有用1!K126="","",共有用1!K126&amp;"/"&amp;COUNTIF(共有用1!K$2:K126,共有用1!K126))</f>
        <v/>
      </c>
      <c r="L126" s="17" t="str">
        <f>IF(共有用1!L126="","",共有用1!L126&amp;"/"&amp;COUNTIF(共有用1!L$2:L126,共有用1!L126))</f>
        <v/>
      </c>
      <c r="M126" s="17" t="str">
        <f>IF(共有用1!M126="","",共有用1!M126&amp;"/"&amp;COUNTIF(共有用1!M$2:M126,共有用1!M126))</f>
        <v/>
      </c>
      <c r="N126" s="17" t="str">
        <f>IF(共有用1!N126="","",共有用1!N126&amp;"/"&amp;COUNTIF(共有用1!N$2:N126,共有用1!N126))</f>
        <v/>
      </c>
      <c r="O126" s="17" t="str">
        <f>IF(共有用1!O126="","",共有用1!O126&amp;"/"&amp;COUNTIF(共有用1!O$2:O126,共有用1!O126))</f>
        <v/>
      </c>
      <c r="P126" s="17" t="str">
        <f>IF(共有用1!P126="","",共有用1!P126&amp;"/"&amp;COUNTIF(共有用1!P$2:P126,共有用1!P126))</f>
        <v/>
      </c>
      <c r="Q126" s="17" t="str">
        <f>IF(共有用1!Q126="","",共有用1!Q126&amp;"/"&amp;COUNTIF(共有用1!Q$2:Q126,共有用1!Q126))</f>
        <v/>
      </c>
      <c r="R126" s="17" t="str">
        <f>IF(共有用1!R126="","",共有用1!R126&amp;"/"&amp;COUNTIF(共有用1!R$2:R126,共有用1!R126))</f>
        <v/>
      </c>
      <c r="S126" s="17" t="str">
        <f>IF(共有用1!S126="","",共有用1!S126&amp;"/"&amp;COUNTIF(共有用1!S$2:S126,共有用1!S126))</f>
        <v/>
      </c>
      <c r="T126" s="17" t="str">
        <f>IF(共有用1!T126="","",共有用1!T126&amp;"/"&amp;COUNTIF(共有用1!T$2:T126,共有用1!T126))</f>
        <v/>
      </c>
      <c r="U126" s="17" t="str">
        <f>IF(共有用1!U126="","",共有用1!U126&amp;"/"&amp;COUNTIF(共有用1!U$2:U126,共有用1!U126))</f>
        <v/>
      </c>
      <c r="V126" s="17" t="str">
        <f>IF(共有用1!V126="","",共有用1!V126&amp;"/"&amp;COUNTIF(共有用1!V$2:V126,共有用1!V126))</f>
        <v/>
      </c>
      <c r="W126" s="17" t="str">
        <f>IF(共有用1!W126="","",共有用1!W126&amp;"/"&amp;COUNTIF(共有用1!W$2:W126,共有用1!W126))</f>
        <v/>
      </c>
      <c r="X126" s="17" t="str">
        <f>IF(共有用1!X126="","",共有用1!X126&amp;"/"&amp;COUNTIF(共有用1!X$2:X126,共有用1!X126))</f>
        <v/>
      </c>
      <c r="Y126" s="17" t="str">
        <f>IF(共有用1!Y126="","",共有用1!Y126&amp;"/"&amp;COUNTIF(共有用1!Y$2:Y126,共有用1!Y126))</f>
        <v/>
      </c>
      <c r="Z126" s="17" t="str">
        <f>IF(共有用1!Z126="","",共有用1!Z126&amp;"/"&amp;COUNTIF(共有用1!Z$2:Z126,共有用1!Z126))</f>
        <v/>
      </c>
      <c r="AA126" s="17" t="str">
        <f>IF(共有用1!AA126="","",共有用1!AA126&amp;"/"&amp;COUNTIF(共有用1!AA$2:AA126,共有用1!AA126))</f>
        <v/>
      </c>
      <c r="AB126" s="17" t="str">
        <f>IF(共有用1!AB126="","",共有用1!AB126&amp;"/"&amp;COUNTIF(共有用1!AB$2:AB126,共有用1!AB126))</f>
        <v/>
      </c>
      <c r="AC126" s="17" t="str">
        <f>IF(共有用1!AC126="","",共有用1!AC126&amp;"/"&amp;COUNTIF(共有用1!AC$2:AC126,共有用1!AC126))</f>
        <v/>
      </c>
      <c r="AD126" s="17" t="str">
        <f>IF(共有用1!AD126="","",共有用1!AD126&amp;"/"&amp;COUNTIF(共有用1!AD$2:AD126,共有用1!AD126))</f>
        <v/>
      </c>
      <c r="AE126" s="17" t="str">
        <f>IF(共有用1!AE126="","",共有用1!AE126&amp;"/"&amp;COUNTIF(共有用1!AE$2:AE126,共有用1!AE126))</f>
        <v/>
      </c>
      <c r="AF126" s="17" t="str">
        <f>IF(共有用1!AF126="","",共有用1!AF126&amp;"/"&amp;COUNTIF(共有用1!AF$2:AF126,共有用1!AF126))</f>
        <v/>
      </c>
      <c r="AG126" s="17" t="str">
        <f>IF(共有用1!AG126="","",共有用1!AG126&amp;"/"&amp;COUNTIF(共有用1!AG$2:AG126,共有用1!AG126))</f>
        <v/>
      </c>
      <c r="AH126" s="17" t="str">
        <f>IF(共有用1!AH126="","",共有用1!AH126&amp;"/"&amp;COUNTIF(共有用1!AH$2:AH126,共有用1!AH126))</f>
        <v/>
      </c>
      <c r="AI126" s="17" t="str">
        <f>IF(共有用1!AI126="","",共有用1!AI126&amp;"/"&amp;COUNTIF(共有用1!AI$2:AI126,共有用1!AI126))</f>
        <v/>
      </c>
      <c r="AJ126" s="17" t="str">
        <f>IF(共有用1!AJ126="","",共有用1!AJ126&amp;"/"&amp;COUNTIF(共有用1!AJ$2:AJ126,共有用1!AJ126))</f>
        <v/>
      </c>
      <c r="AK126" s="17" t="str">
        <f>IF(共有用1!AK126="","",共有用1!AK126&amp;"/"&amp;COUNTIF(共有用1!AK$2:AK126,共有用1!AK126))</f>
        <v/>
      </c>
      <c r="AL126" s="17" t="str">
        <f>IF(共有用1!AL126="","",共有用1!AL126&amp;"/"&amp;COUNTIF(共有用1!AL$2:AL126,共有用1!AL126))</f>
        <v/>
      </c>
      <c r="AM126" s="17" t="str">
        <f>IF(共有用1!AM126="","",共有用1!AM126&amp;"/"&amp;COUNTIF(共有用1!AM$2:AM126,共有用1!AM126))</f>
        <v/>
      </c>
      <c r="AN126" s="17" t="str">
        <f>IF(共有用1!AN126="","",共有用1!AN126&amp;"/"&amp;COUNTIF(共有用1!AN$2:AN126,共有用1!AN126))</f>
        <v/>
      </c>
      <c r="AO126" s="17" t="str">
        <f>IF(共有用1!AO126="","",共有用1!AO126&amp;"/"&amp;COUNTIF(共有用1!AO$2:AO126,共有用1!AO126))</f>
        <v/>
      </c>
      <c r="AP126" s="17" t="str">
        <f>IF(共有用1!AP126="","",共有用1!AP126&amp;"/"&amp;COUNTIF(共有用1!AP$2:AP126,共有用1!AP126))</f>
        <v/>
      </c>
      <c r="AQ126" s="17" t="str">
        <f>IF(共有用1!AQ126="","",共有用1!AQ126&amp;"/"&amp;COUNTIF(共有用1!AQ$2:AQ126,共有用1!AQ126))</f>
        <v/>
      </c>
      <c r="AR126" s="17" t="str">
        <f>IF(共有用1!AR126="","",共有用1!AR126&amp;"/"&amp;COUNTIF(共有用1!AR$2:AR126,共有用1!AR126))</f>
        <v/>
      </c>
      <c r="AS126" s="17" t="str">
        <f>IF(共有用1!AS126="","",共有用1!AS126&amp;"/"&amp;COUNTIF(共有用1!AS$2:AS126,共有用1!AS126))</f>
        <v/>
      </c>
      <c r="AT126" s="17" t="str">
        <f>IF(共有用1!AT126="","",共有用1!AT126&amp;"/"&amp;COUNTIF(共有用1!AT$2:AT126,共有用1!AT126))</f>
        <v/>
      </c>
      <c r="AU126" s="17" t="str">
        <f>IF(共有用1!AU126="","",共有用1!AU126&amp;"/"&amp;COUNTIF(共有用1!AU$2:AU126,共有用1!AU126))</f>
        <v/>
      </c>
      <c r="AV126" s="17" t="str">
        <f>IF(共有用1!AV126="","",共有用1!AV126&amp;"/"&amp;COUNTIF(共有用1!AV$2:AV126,共有用1!AV126))</f>
        <v/>
      </c>
      <c r="AW126" s="17" t="str">
        <f>IF(共有用1!AW126="","",共有用1!AW126&amp;"/"&amp;COUNTIF(共有用1!AW$2:AW126,共有用1!AW126))</f>
        <v/>
      </c>
      <c r="AX126" s="17" t="str">
        <f>IF(共有用1!AX126="","",共有用1!AX126&amp;"/"&amp;COUNTIF(共有用1!AX$2:AX126,共有用1!AX126))</f>
        <v/>
      </c>
      <c r="AY126" s="17" t="str">
        <f>IF(共有用1!AY126="","",共有用1!AY126&amp;"/"&amp;COUNTIF(共有用1!AY$2:AY126,共有用1!AY126))</f>
        <v/>
      </c>
      <c r="AZ126" s="17" t="str">
        <f>IF(共有用1!AZ126="","",共有用1!AZ126&amp;"/"&amp;COUNTIF(共有用1!AZ$2:AZ126,共有用1!AZ126))</f>
        <v/>
      </c>
      <c r="BA126" s="17" t="str">
        <f>IF(共有用1!BA126="","",共有用1!BA126&amp;"/"&amp;COUNTIF(共有用1!BA$2:BA126,共有用1!BA126))</f>
        <v/>
      </c>
    </row>
    <row r="127" spans="1:53">
      <c r="A127" s="2" t="str">
        <f>共有用1!A127</f>
        <v/>
      </c>
      <c r="B127" s="2" t="str">
        <f>共有用1!B127</f>
        <v/>
      </c>
      <c r="C127" s="2" t="str">
        <f>共有用1!C127</f>
        <v/>
      </c>
      <c r="D127" s="17" t="str">
        <f>IF(共有用1!D127="","",共有用1!D127&amp;"/"&amp;COUNTIF(共有用1!D$2:D127,共有用1!D127))</f>
        <v/>
      </c>
      <c r="E127" s="17" t="str">
        <f>IF(共有用1!E127="","",共有用1!E127&amp;"/"&amp;COUNTIF(共有用1!E$2:E127,共有用1!E127))</f>
        <v/>
      </c>
      <c r="F127" s="17" t="str">
        <f>IF(共有用1!F127="","",共有用1!F127&amp;"/"&amp;COUNTIF(共有用1!F$2:F127,共有用1!F127))</f>
        <v/>
      </c>
      <c r="G127" s="17" t="str">
        <f>IF(共有用1!G127="","",共有用1!G127&amp;"/"&amp;COUNTIF(共有用1!G$2:G127,共有用1!G127))</f>
        <v/>
      </c>
      <c r="H127" s="17" t="str">
        <f>IF(共有用1!H127="","",共有用1!H127&amp;"/"&amp;COUNTIF(共有用1!H$2:H127,共有用1!H127))</f>
        <v/>
      </c>
      <c r="I127" s="17" t="str">
        <f>IF(共有用1!I127="","",共有用1!I127&amp;"/"&amp;COUNTIF(共有用1!I$2:I127,共有用1!I127))</f>
        <v/>
      </c>
      <c r="J127" s="17" t="str">
        <f>IF(共有用1!J127="","",共有用1!J127&amp;"/"&amp;COUNTIF(共有用1!J$2:J127,共有用1!J127))</f>
        <v/>
      </c>
      <c r="K127" s="17" t="str">
        <f>IF(共有用1!K127="","",共有用1!K127&amp;"/"&amp;COUNTIF(共有用1!K$2:K127,共有用1!K127))</f>
        <v/>
      </c>
      <c r="L127" s="17" t="str">
        <f>IF(共有用1!L127="","",共有用1!L127&amp;"/"&amp;COUNTIF(共有用1!L$2:L127,共有用1!L127))</f>
        <v/>
      </c>
      <c r="M127" s="17" t="str">
        <f>IF(共有用1!M127="","",共有用1!M127&amp;"/"&amp;COUNTIF(共有用1!M$2:M127,共有用1!M127))</f>
        <v/>
      </c>
      <c r="N127" s="17" t="str">
        <f>IF(共有用1!N127="","",共有用1!N127&amp;"/"&amp;COUNTIF(共有用1!N$2:N127,共有用1!N127))</f>
        <v/>
      </c>
      <c r="O127" s="17" t="str">
        <f>IF(共有用1!O127="","",共有用1!O127&amp;"/"&amp;COUNTIF(共有用1!O$2:O127,共有用1!O127))</f>
        <v/>
      </c>
      <c r="P127" s="17" t="str">
        <f>IF(共有用1!P127="","",共有用1!P127&amp;"/"&amp;COUNTIF(共有用1!P$2:P127,共有用1!P127))</f>
        <v/>
      </c>
      <c r="Q127" s="17" t="str">
        <f>IF(共有用1!Q127="","",共有用1!Q127&amp;"/"&amp;COUNTIF(共有用1!Q$2:Q127,共有用1!Q127))</f>
        <v/>
      </c>
      <c r="R127" s="17" t="str">
        <f>IF(共有用1!R127="","",共有用1!R127&amp;"/"&amp;COUNTIF(共有用1!R$2:R127,共有用1!R127))</f>
        <v/>
      </c>
      <c r="S127" s="17" t="str">
        <f>IF(共有用1!S127="","",共有用1!S127&amp;"/"&amp;COUNTIF(共有用1!S$2:S127,共有用1!S127))</f>
        <v/>
      </c>
      <c r="T127" s="17" t="str">
        <f>IF(共有用1!T127="","",共有用1!T127&amp;"/"&amp;COUNTIF(共有用1!T$2:T127,共有用1!T127))</f>
        <v/>
      </c>
      <c r="U127" s="17" t="str">
        <f>IF(共有用1!U127="","",共有用1!U127&amp;"/"&amp;COUNTIF(共有用1!U$2:U127,共有用1!U127))</f>
        <v/>
      </c>
      <c r="V127" s="17" t="str">
        <f>IF(共有用1!V127="","",共有用1!V127&amp;"/"&amp;COUNTIF(共有用1!V$2:V127,共有用1!V127))</f>
        <v/>
      </c>
      <c r="W127" s="17" t="str">
        <f>IF(共有用1!W127="","",共有用1!W127&amp;"/"&amp;COUNTIF(共有用1!W$2:W127,共有用1!W127))</f>
        <v/>
      </c>
      <c r="X127" s="17" t="str">
        <f>IF(共有用1!X127="","",共有用1!X127&amp;"/"&amp;COUNTIF(共有用1!X$2:X127,共有用1!X127))</f>
        <v/>
      </c>
      <c r="Y127" s="17" t="str">
        <f>IF(共有用1!Y127="","",共有用1!Y127&amp;"/"&amp;COUNTIF(共有用1!Y$2:Y127,共有用1!Y127))</f>
        <v/>
      </c>
      <c r="Z127" s="17" t="str">
        <f>IF(共有用1!Z127="","",共有用1!Z127&amp;"/"&amp;COUNTIF(共有用1!Z$2:Z127,共有用1!Z127))</f>
        <v/>
      </c>
      <c r="AA127" s="17" t="str">
        <f>IF(共有用1!AA127="","",共有用1!AA127&amp;"/"&amp;COUNTIF(共有用1!AA$2:AA127,共有用1!AA127))</f>
        <v/>
      </c>
      <c r="AB127" s="17" t="str">
        <f>IF(共有用1!AB127="","",共有用1!AB127&amp;"/"&amp;COUNTIF(共有用1!AB$2:AB127,共有用1!AB127))</f>
        <v/>
      </c>
      <c r="AC127" s="17" t="str">
        <f>IF(共有用1!AC127="","",共有用1!AC127&amp;"/"&amp;COUNTIF(共有用1!AC$2:AC127,共有用1!AC127))</f>
        <v/>
      </c>
      <c r="AD127" s="17" t="str">
        <f>IF(共有用1!AD127="","",共有用1!AD127&amp;"/"&amp;COUNTIF(共有用1!AD$2:AD127,共有用1!AD127))</f>
        <v/>
      </c>
      <c r="AE127" s="17" t="str">
        <f>IF(共有用1!AE127="","",共有用1!AE127&amp;"/"&amp;COUNTIF(共有用1!AE$2:AE127,共有用1!AE127))</f>
        <v/>
      </c>
      <c r="AF127" s="17" t="str">
        <f>IF(共有用1!AF127="","",共有用1!AF127&amp;"/"&amp;COUNTIF(共有用1!AF$2:AF127,共有用1!AF127))</f>
        <v/>
      </c>
      <c r="AG127" s="17" t="str">
        <f>IF(共有用1!AG127="","",共有用1!AG127&amp;"/"&amp;COUNTIF(共有用1!AG$2:AG127,共有用1!AG127))</f>
        <v/>
      </c>
      <c r="AH127" s="17" t="str">
        <f>IF(共有用1!AH127="","",共有用1!AH127&amp;"/"&amp;COUNTIF(共有用1!AH$2:AH127,共有用1!AH127))</f>
        <v/>
      </c>
      <c r="AI127" s="17" t="str">
        <f>IF(共有用1!AI127="","",共有用1!AI127&amp;"/"&amp;COUNTIF(共有用1!AI$2:AI127,共有用1!AI127))</f>
        <v/>
      </c>
      <c r="AJ127" s="17" t="str">
        <f>IF(共有用1!AJ127="","",共有用1!AJ127&amp;"/"&amp;COUNTIF(共有用1!AJ$2:AJ127,共有用1!AJ127))</f>
        <v/>
      </c>
      <c r="AK127" s="17" t="str">
        <f>IF(共有用1!AK127="","",共有用1!AK127&amp;"/"&amp;COUNTIF(共有用1!AK$2:AK127,共有用1!AK127))</f>
        <v/>
      </c>
      <c r="AL127" s="17" t="str">
        <f>IF(共有用1!AL127="","",共有用1!AL127&amp;"/"&amp;COUNTIF(共有用1!AL$2:AL127,共有用1!AL127))</f>
        <v/>
      </c>
      <c r="AM127" s="17" t="str">
        <f>IF(共有用1!AM127="","",共有用1!AM127&amp;"/"&amp;COUNTIF(共有用1!AM$2:AM127,共有用1!AM127))</f>
        <v/>
      </c>
      <c r="AN127" s="17" t="str">
        <f>IF(共有用1!AN127="","",共有用1!AN127&amp;"/"&amp;COUNTIF(共有用1!AN$2:AN127,共有用1!AN127))</f>
        <v/>
      </c>
      <c r="AO127" s="17" t="str">
        <f>IF(共有用1!AO127="","",共有用1!AO127&amp;"/"&amp;COUNTIF(共有用1!AO$2:AO127,共有用1!AO127))</f>
        <v/>
      </c>
      <c r="AP127" s="17" t="str">
        <f>IF(共有用1!AP127="","",共有用1!AP127&amp;"/"&amp;COUNTIF(共有用1!AP$2:AP127,共有用1!AP127))</f>
        <v/>
      </c>
      <c r="AQ127" s="17" t="str">
        <f>IF(共有用1!AQ127="","",共有用1!AQ127&amp;"/"&amp;COUNTIF(共有用1!AQ$2:AQ127,共有用1!AQ127))</f>
        <v/>
      </c>
      <c r="AR127" s="17" t="str">
        <f>IF(共有用1!AR127="","",共有用1!AR127&amp;"/"&amp;COUNTIF(共有用1!AR$2:AR127,共有用1!AR127))</f>
        <v/>
      </c>
      <c r="AS127" s="17" t="str">
        <f>IF(共有用1!AS127="","",共有用1!AS127&amp;"/"&amp;COUNTIF(共有用1!AS$2:AS127,共有用1!AS127))</f>
        <v/>
      </c>
      <c r="AT127" s="17" t="str">
        <f>IF(共有用1!AT127="","",共有用1!AT127&amp;"/"&amp;COUNTIF(共有用1!AT$2:AT127,共有用1!AT127))</f>
        <v/>
      </c>
      <c r="AU127" s="17" t="str">
        <f>IF(共有用1!AU127="","",共有用1!AU127&amp;"/"&amp;COUNTIF(共有用1!AU$2:AU127,共有用1!AU127))</f>
        <v/>
      </c>
      <c r="AV127" s="17" t="str">
        <f>IF(共有用1!AV127="","",共有用1!AV127&amp;"/"&amp;COUNTIF(共有用1!AV$2:AV127,共有用1!AV127))</f>
        <v/>
      </c>
      <c r="AW127" s="17" t="str">
        <f>IF(共有用1!AW127="","",共有用1!AW127&amp;"/"&amp;COUNTIF(共有用1!AW$2:AW127,共有用1!AW127))</f>
        <v/>
      </c>
      <c r="AX127" s="17" t="str">
        <f>IF(共有用1!AX127="","",共有用1!AX127&amp;"/"&amp;COUNTIF(共有用1!AX$2:AX127,共有用1!AX127))</f>
        <v/>
      </c>
      <c r="AY127" s="17" t="str">
        <f>IF(共有用1!AY127="","",共有用1!AY127&amp;"/"&amp;COUNTIF(共有用1!AY$2:AY127,共有用1!AY127))</f>
        <v/>
      </c>
      <c r="AZ127" s="17" t="str">
        <f>IF(共有用1!AZ127="","",共有用1!AZ127&amp;"/"&amp;COUNTIF(共有用1!AZ$2:AZ127,共有用1!AZ127))</f>
        <v/>
      </c>
      <c r="BA127" s="17" t="str">
        <f>IF(共有用1!BA127="","",共有用1!BA127&amp;"/"&amp;COUNTIF(共有用1!BA$2:BA127,共有用1!BA127))</f>
        <v/>
      </c>
    </row>
    <row r="128" spans="1:53">
      <c r="A128" s="2" t="str">
        <f>共有用1!A128</f>
        <v/>
      </c>
      <c r="B128" s="2" t="str">
        <f>共有用1!B128</f>
        <v/>
      </c>
      <c r="C128" s="2" t="str">
        <f>共有用1!C128</f>
        <v/>
      </c>
      <c r="D128" s="17" t="str">
        <f>IF(共有用1!D128="","",共有用1!D128&amp;"/"&amp;COUNTIF(共有用1!D$2:D128,共有用1!D128))</f>
        <v/>
      </c>
      <c r="E128" s="17" t="str">
        <f>IF(共有用1!E128="","",共有用1!E128&amp;"/"&amp;COUNTIF(共有用1!E$2:E128,共有用1!E128))</f>
        <v/>
      </c>
      <c r="F128" s="17" t="str">
        <f>IF(共有用1!F128="","",共有用1!F128&amp;"/"&amp;COUNTIF(共有用1!F$2:F128,共有用1!F128))</f>
        <v/>
      </c>
      <c r="G128" s="17" t="str">
        <f>IF(共有用1!G128="","",共有用1!G128&amp;"/"&amp;COUNTIF(共有用1!G$2:G128,共有用1!G128))</f>
        <v/>
      </c>
      <c r="H128" s="17" t="str">
        <f>IF(共有用1!H128="","",共有用1!H128&amp;"/"&amp;COUNTIF(共有用1!H$2:H128,共有用1!H128))</f>
        <v/>
      </c>
      <c r="I128" s="17" t="str">
        <f>IF(共有用1!I128="","",共有用1!I128&amp;"/"&amp;COUNTIF(共有用1!I$2:I128,共有用1!I128))</f>
        <v/>
      </c>
      <c r="J128" s="17" t="str">
        <f>IF(共有用1!J128="","",共有用1!J128&amp;"/"&amp;COUNTIF(共有用1!J$2:J128,共有用1!J128))</f>
        <v/>
      </c>
      <c r="K128" s="17" t="str">
        <f>IF(共有用1!K128="","",共有用1!K128&amp;"/"&amp;COUNTIF(共有用1!K$2:K128,共有用1!K128))</f>
        <v/>
      </c>
      <c r="L128" s="17" t="str">
        <f>IF(共有用1!L128="","",共有用1!L128&amp;"/"&amp;COUNTIF(共有用1!L$2:L128,共有用1!L128))</f>
        <v/>
      </c>
      <c r="M128" s="17" t="str">
        <f>IF(共有用1!M128="","",共有用1!M128&amp;"/"&amp;COUNTIF(共有用1!M$2:M128,共有用1!M128))</f>
        <v/>
      </c>
      <c r="N128" s="17" t="str">
        <f>IF(共有用1!N128="","",共有用1!N128&amp;"/"&amp;COUNTIF(共有用1!N$2:N128,共有用1!N128))</f>
        <v/>
      </c>
      <c r="O128" s="17" t="str">
        <f>IF(共有用1!O128="","",共有用1!O128&amp;"/"&amp;COUNTIF(共有用1!O$2:O128,共有用1!O128))</f>
        <v/>
      </c>
      <c r="P128" s="17" t="str">
        <f>IF(共有用1!P128="","",共有用1!P128&amp;"/"&amp;COUNTIF(共有用1!P$2:P128,共有用1!P128))</f>
        <v/>
      </c>
      <c r="Q128" s="17" t="str">
        <f>IF(共有用1!Q128="","",共有用1!Q128&amp;"/"&amp;COUNTIF(共有用1!Q$2:Q128,共有用1!Q128))</f>
        <v/>
      </c>
      <c r="R128" s="17" t="str">
        <f>IF(共有用1!R128="","",共有用1!R128&amp;"/"&amp;COUNTIF(共有用1!R$2:R128,共有用1!R128))</f>
        <v/>
      </c>
      <c r="S128" s="17" t="str">
        <f>IF(共有用1!S128="","",共有用1!S128&amp;"/"&amp;COUNTIF(共有用1!S$2:S128,共有用1!S128))</f>
        <v/>
      </c>
      <c r="T128" s="17" t="str">
        <f>IF(共有用1!T128="","",共有用1!T128&amp;"/"&amp;COUNTIF(共有用1!T$2:T128,共有用1!T128))</f>
        <v/>
      </c>
      <c r="U128" s="17" t="str">
        <f>IF(共有用1!U128="","",共有用1!U128&amp;"/"&amp;COUNTIF(共有用1!U$2:U128,共有用1!U128))</f>
        <v/>
      </c>
      <c r="V128" s="17" t="str">
        <f>IF(共有用1!V128="","",共有用1!V128&amp;"/"&amp;COUNTIF(共有用1!V$2:V128,共有用1!V128))</f>
        <v/>
      </c>
      <c r="W128" s="17" t="str">
        <f>IF(共有用1!W128="","",共有用1!W128&amp;"/"&amp;COUNTIF(共有用1!W$2:W128,共有用1!W128))</f>
        <v/>
      </c>
      <c r="X128" s="17" t="str">
        <f>IF(共有用1!X128="","",共有用1!X128&amp;"/"&amp;COUNTIF(共有用1!X$2:X128,共有用1!X128))</f>
        <v/>
      </c>
      <c r="Y128" s="17" t="str">
        <f>IF(共有用1!Y128="","",共有用1!Y128&amp;"/"&amp;COUNTIF(共有用1!Y$2:Y128,共有用1!Y128))</f>
        <v/>
      </c>
      <c r="Z128" s="17" t="str">
        <f>IF(共有用1!Z128="","",共有用1!Z128&amp;"/"&amp;COUNTIF(共有用1!Z$2:Z128,共有用1!Z128))</f>
        <v/>
      </c>
      <c r="AA128" s="17" t="str">
        <f>IF(共有用1!AA128="","",共有用1!AA128&amp;"/"&amp;COUNTIF(共有用1!AA$2:AA128,共有用1!AA128))</f>
        <v/>
      </c>
      <c r="AB128" s="17" t="str">
        <f>IF(共有用1!AB128="","",共有用1!AB128&amp;"/"&amp;COUNTIF(共有用1!AB$2:AB128,共有用1!AB128))</f>
        <v/>
      </c>
      <c r="AC128" s="17" t="str">
        <f>IF(共有用1!AC128="","",共有用1!AC128&amp;"/"&amp;COUNTIF(共有用1!AC$2:AC128,共有用1!AC128))</f>
        <v/>
      </c>
      <c r="AD128" s="17" t="str">
        <f>IF(共有用1!AD128="","",共有用1!AD128&amp;"/"&amp;COUNTIF(共有用1!AD$2:AD128,共有用1!AD128))</f>
        <v/>
      </c>
      <c r="AE128" s="17" t="str">
        <f>IF(共有用1!AE128="","",共有用1!AE128&amp;"/"&amp;COUNTIF(共有用1!AE$2:AE128,共有用1!AE128))</f>
        <v/>
      </c>
      <c r="AF128" s="17" t="str">
        <f>IF(共有用1!AF128="","",共有用1!AF128&amp;"/"&amp;COUNTIF(共有用1!AF$2:AF128,共有用1!AF128))</f>
        <v/>
      </c>
      <c r="AG128" s="17" t="str">
        <f>IF(共有用1!AG128="","",共有用1!AG128&amp;"/"&amp;COUNTIF(共有用1!AG$2:AG128,共有用1!AG128))</f>
        <v/>
      </c>
      <c r="AH128" s="17" t="str">
        <f>IF(共有用1!AH128="","",共有用1!AH128&amp;"/"&amp;COUNTIF(共有用1!AH$2:AH128,共有用1!AH128))</f>
        <v/>
      </c>
      <c r="AI128" s="17" t="str">
        <f>IF(共有用1!AI128="","",共有用1!AI128&amp;"/"&amp;COUNTIF(共有用1!AI$2:AI128,共有用1!AI128))</f>
        <v/>
      </c>
      <c r="AJ128" s="17" t="str">
        <f>IF(共有用1!AJ128="","",共有用1!AJ128&amp;"/"&amp;COUNTIF(共有用1!AJ$2:AJ128,共有用1!AJ128))</f>
        <v/>
      </c>
      <c r="AK128" s="17" t="str">
        <f>IF(共有用1!AK128="","",共有用1!AK128&amp;"/"&amp;COUNTIF(共有用1!AK$2:AK128,共有用1!AK128))</f>
        <v/>
      </c>
      <c r="AL128" s="17" t="str">
        <f>IF(共有用1!AL128="","",共有用1!AL128&amp;"/"&amp;COUNTIF(共有用1!AL$2:AL128,共有用1!AL128))</f>
        <v/>
      </c>
      <c r="AM128" s="17" t="str">
        <f>IF(共有用1!AM128="","",共有用1!AM128&amp;"/"&amp;COUNTIF(共有用1!AM$2:AM128,共有用1!AM128))</f>
        <v/>
      </c>
      <c r="AN128" s="17" t="str">
        <f>IF(共有用1!AN128="","",共有用1!AN128&amp;"/"&amp;COUNTIF(共有用1!AN$2:AN128,共有用1!AN128))</f>
        <v/>
      </c>
      <c r="AO128" s="17" t="str">
        <f>IF(共有用1!AO128="","",共有用1!AO128&amp;"/"&amp;COUNTIF(共有用1!AO$2:AO128,共有用1!AO128))</f>
        <v/>
      </c>
      <c r="AP128" s="17" t="str">
        <f>IF(共有用1!AP128="","",共有用1!AP128&amp;"/"&amp;COUNTIF(共有用1!AP$2:AP128,共有用1!AP128))</f>
        <v/>
      </c>
      <c r="AQ128" s="17" t="str">
        <f>IF(共有用1!AQ128="","",共有用1!AQ128&amp;"/"&amp;COUNTIF(共有用1!AQ$2:AQ128,共有用1!AQ128))</f>
        <v/>
      </c>
      <c r="AR128" s="17" t="str">
        <f>IF(共有用1!AR128="","",共有用1!AR128&amp;"/"&amp;COUNTIF(共有用1!AR$2:AR128,共有用1!AR128))</f>
        <v/>
      </c>
      <c r="AS128" s="17" t="str">
        <f>IF(共有用1!AS128="","",共有用1!AS128&amp;"/"&amp;COUNTIF(共有用1!AS$2:AS128,共有用1!AS128))</f>
        <v/>
      </c>
      <c r="AT128" s="17" t="str">
        <f>IF(共有用1!AT128="","",共有用1!AT128&amp;"/"&amp;COUNTIF(共有用1!AT$2:AT128,共有用1!AT128))</f>
        <v/>
      </c>
      <c r="AU128" s="17" t="str">
        <f>IF(共有用1!AU128="","",共有用1!AU128&amp;"/"&amp;COUNTIF(共有用1!AU$2:AU128,共有用1!AU128))</f>
        <v/>
      </c>
      <c r="AV128" s="17" t="str">
        <f>IF(共有用1!AV128="","",共有用1!AV128&amp;"/"&amp;COUNTIF(共有用1!AV$2:AV128,共有用1!AV128))</f>
        <v/>
      </c>
      <c r="AW128" s="17" t="str">
        <f>IF(共有用1!AW128="","",共有用1!AW128&amp;"/"&amp;COUNTIF(共有用1!AW$2:AW128,共有用1!AW128))</f>
        <v/>
      </c>
      <c r="AX128" s="17" t="str">
        <f>IF(共有用1!AX128="","",共有用1!AX128&amp;"/"&amp;COUNTIF(共有用1!AX$2:AX128,共有用1!AX128))</f>
        <v/>
      </c>
      <c r="AY128" s="17" t="str">
        <f>IF(共有用1!AY128="","",共有用1!AY128&amp;"/"&amp;COUNTIF(共有用1!AY$2:AY128,共有用1!AY128))</f>
        <v/>
      </c>
      <c r="AZ128" s="17" t="str">
        <f>IF(共有用1!AZ128="","",共有用1!AZ128&amp;"/"&amp;COUNTIF(共有用1!AZ$2:AZ128,共有用1!AZ128))</f>
        <v/>
      </c>
      <c r="BA128" s="17" t="str">
        <f>IF(共有用1!BA128="","",共有用1!BA128&amp;"/"&amp;COUNTIF(共有用1!BA$2:BA128,共有用1!BA128))</f>
        <v/>
      </c>
    </row>
    <row r="129" spans="1:53">
      <c r="A129" s="2" t="str">
        <f>共有用1!A129</f>
        <v/>
      </c>
      <c r="B129" s="2" t="str">
        <f>共有用1!B129</f>
        <v/>
      </c>
      <c r="C129" s="2" t="str">
        <f>共有用1!C129</f>
        <v/>
      </c>
      <c r="D129" s="17" t="str">
        <f>IF(共有用1!D129="","",共有用1!D129&amp;"/"&amp;COUNTIF(共有用1!D$2:D129,共有用1!D129))</f>
        <v/>
      </c>
      <c r="E129" s="17" t="str">
        <f>IF(共有用1!E129="","",共有用1!E129&amp;"/"&amp;COUNTIF(共有用1!E$2:E129,共有用1!E129))</f>
        <v/>
      </c>
      <c r="F129" s="17" t="str">
        <f>IF(共有用1!F129="","",共有用1!F129&amp;"/"&amp;COUNTIF(共有用1!F$2:F129,共有用1!F129))</f>
        <v/>
      </c>
      <c r="G129" s="17" t="str">
        <f>IF(共有用1!G129="","",共有用1!G129&amp;"/"&amp;COUNTIF(共有用1!G$2:G129,共有用1!G129))</f>
        <v/>
      </c>
      <c r="H129" s="17" t="str">
        <f>IF(共有用1!H129="","",共有用1!H129&amp;"/"&amp;COUNTIF(共有用1!H$2:H129,共有用1!H129))</f>
        <v/>
      </c>
      <c r="I129" s="17" t="str">
        <f>IF(共有用1!I129="","",共有用1!I129&amp;"/"&amp;COUNTIF(共有用1!I$2:I129,共有用1!I129))</f>
        <v/>
      </c>
      <c r="J129" s="17" t="str">
        <f>IF(共有用1!J129="","",共有用1!J129&amp;"/"&amp;COUNTIF(共有用1!J$2:J129,共有用1!J129))</f>
        <v/>
      </c>
      <c r="K129" s="17" t="str">
        <f>IF(共有用1!K129="","",共有用1!K129&amp;"/"&amp;COUNTIF(共有用1!K$2:K129,共有用1!K129))</f>
        <v/>
      </c>
      <c r="L129" s="17" t="str">
        <f>IF(共有用1!L129="","",共有用1!L129&amp;"/"&amp;COUNTIF(共有用1!L$2:L129,共有用1!L129))</f>
        <v/>
      </c>
      <c r="M129" s="17" t="str">
        <f>IF(共有用1!M129="","",共有用1!M129&amp;"/"&amp;COUNTIF(共有用1!M$2:M129,共有用1!M129))</f>
        <v/>
      </c>
      <c r="N129" s="17" t="str">
        <f>IF(共有用1!N129="","",共有用1!N129&amp;"/"&amp;COUNTIF(共有用1!N$2:N129,共有用1!N129))</f>
        <v/>
      </c>
      <c r="O129" s="17" t="str">
        <f>IF(共有用1!O129="","",共有用1!O129&amp;"/"&amp;COUNTIF(共有用1!O$2:O129,共有用1!O129))</f>
        <v/>
      </c>
      <c r="P129" s="17" t="str">
        <f>IF(共有用1!P129="","",共有用1!P129&amp;"/"&amp;COUNTIF(共有用1!P$2:P129,共有用1!P129))</f>
        <v/>
      </c>
      <c r="Q129" s="17" t="str">
        <f>IF(共有用1!Q129="","",共有用1!Q129&amp;"/"&amp;COUNTIF(共有用1!Q$2:Q129,共有用1!Q129))</f>
        <v/>
      </c>
      <c r="R129" s="17" t="str">
        <f>IF(共有用1!R129="","",共有用1!R129&amp;"/"&amp;COUNTIF(共有用1!R$2:R129,共有用1!R129))</f>
        <v/>
      </c>
      <c r="S129" s="17" t="str">
        <f>IF(共有用1!S129="","",共有用1!S129&amp;"/"&amp;COUNTIF(共有用1!S$2:S129,共有用1!S129))</f>
        <v/>
      </c>
      <c r="T129" s="17" t="str">
        <f>IF(共有用1!T129="","",共有用1!T129&amp;"/"&amp;COUNTIF(共有用1!T$2:T129,共有用1!T129))</f>
        <v/>
      </c>
      <c r="U129" s="17" t="str">
        <f>IF(共有用1!U129="","",共有用1!U129&amp;"/"&amp;COUNTIF(共有用1!U$2:U129,共有用1!U129))</f>
        <v/>
      </c>
      <c r="V129" s="17" t="str">
        <f>IF(共有用1!V129="","",共有用1!V129&amp;"/"&amp;COUNTIF(共有用1!V$2:V129,共有用1!V129))</f>
        <v/>
      </c>
      <c r="W129" s="17" t="str">
        <f>IF(共有用1!W129="","",共有用1!W129&amp;"/"&amp;COUNTIF(共有用1!W$2:W129,共有用1!W129))</f>
        <v/>
      </c>
      <c r="X129" s="17" t="str">
        <f>IF(共有用1!X129="","",共有用1!X129&amp;"/"&amp;COUNTIF(共有用1!X$2:X129,共有用1!X129))</f>
        <v/>
      </c>
      <c r="Y129" s="17" t="str">
        <f>IF(共有用1!Y129="","",共有用1!Y129&amp;"/"&amp;COUNTIF(共有用1!Y$2:Y129,共有用1!Y129))</f>
        <v/>
      </c>
      <c r="Z129" s="17" t="str">
        <f>IF(共有用1!Z129="","",共有用1!Z129&amp;"/"&amp;COUNTIF(共有用1!Z$2:Z129,共有用1!Z129))</f>
        <v/>
      </c>
      <c r="AA129" s="17" t="str">
        <f>IF(共有用1!AA129="","",共有用1!AA129&amp;"/"&amp;COUNTIF(共有用1!AA$2:AA129,共有用1!AA129))</f>
        <v/>
      </c>
      <c r="AB129" s="17" t="str">
        <f>IF(共有用1!AB129="","",共有用1!AB129&amp;"/"&amp;COUNTIF(共有用1!AB$2:AB129,共有用1!AB129))</f>
        <v/>
      </c>
      <c r="AC129" s="17" t="str">
        <f>IF(共有用1!AC129="","",共有用1!AC129&amp;"/"&amp;COUNTIF(共有用1!AC$2:AC129,共有用1!AC129))</f>
        <v/>
      </c>
      <c r="AD129" s="17" t="str">
        <f>IF(共有用1!AD129="","",共有用1!AD129&amp;"/"&amp;COUNTIF(共有用1!AD$2:AD129,共有用1!AD129))</f>
        <v/>
      </c>
      <c r="AE129" s="17" t="str">
        <f>IF(共有用1!AE129="","",共有用1!AE129&amp;"/"&amp;COUNTIF(共有用1!AE$2:AE129,共有用1!AE129))</f>
        <v/>
      </c>
      <c r="AF129" s="17" t="str">
        <f>IF(共有用1!AF129="","",共有用1!AF129&amp;"/"&amp;COUNTIF(共有用1!AF$2:AF129,共有用1!AF129))</f>
        <v/>
      </c>
      <c r="AG129" s="17" t="str">
        <f>IF(共有用1!AG129="","",共有用1!AG129&amp;"/"&amp;COUNTIF(共有用1!AG$2:AG129,共有用1!AG129))</f>
        <v/>
      </c>
      <c r="AH129" s="17" t="str">
        <f>IF(共有用1!AH129="","",共有用1!AH129&amp;"/"&amp;COUNTIF(共有用1!AH$2:AH129,共有用1!AH129))</f>
        <v/>
      </c>
      <c r="AI129" s="17" t="str">
        <f>IF(共有用1!AI129="","",共有用1!AI129&amp;"/"&amp;COUNTIF(共有用1!AI$2:AI129,共有用1!AI129))</f>
        <v/>
      </c>
      <c r="AJ129" s="17" t="str">
        <f>IF(共有用1!AJ129="","",共有用1!AJ129&amp;"/"&amp;COUNTIF(共有用1!AJ$2:AJ129,共有用1!AJ129))</f>
        <v/>
      </c>
      <c r="AK129" s="17" t="str">
        <f>IF(共有用1!AK129="","",共有用1!AK129&amp;"/"&amp;COUNTIF(共有用1!AK$2:AK129,共有用1!AK129))</f>
        <v/>
      </c>
      <c r="AL129" s="17" t="str">
        <f>IF(共有用1!AL129="","",共有用1!AL129&amp;"/"&amp;COUNTIF(共有用1!AL$2:AL129,共有用1!AL129))</f>
        <v/>
      </c>
      <c r="AM129" s="17" t="str">
        <f>IF(共有用1!AM129="","",共有用1!AM129&amp;"/"&amp;COUNTIF(共有用1!AM$2:AM129,共有用1!AM129))</f>
        <v/>
      </c>
      <c r="AN129" s="17" t="str">
        <f>IF(共有用1!AN129="","",共有用1!AN129&amp;"/"&amp;COUNTIF(共有用1!AN$2:AN129,共有用1!AN129))</f>
        <v/>
      </c>
      <c r="AO129" s="17" t="str">
        <f>IF(共有用1!AO129="","",共有用1!AO129&amp;"/"&amp;COUNTIF(共有用1!AO$2:AO129,共有用1!AO129))</f>
        <v/>
      </c>
      <c r="AP129" s="17" t="str">
        <f>IF(共有用1!AP129="","",共有用1!AP129&amp;"/"&amp;COUNTIF(共有用1!AP$2:AP129,共有用1!AP129))</f>
        <v/>
      </c>
      <c r="AQ129" s="17" t="str">
        <f>IF(共有用1!AQ129="","",共有用1!AQ129&amp;"/"&amp;COUNTIF(共有用1!AQ$2:AQ129,共有用1!AQ129))</f>
        <v/>
      </c>
      <c r="AR129" s="17" t="str">
        <f>IF(共有用1!AR129="","",共有用1!AR129&amp;"/"&amp;COUNTIF(共有用1!AR$2:AR129,共有用1!AR129))</f>
        <v/>
      </c>
      <c r="AS129" s="17" t="str">
        <f>IF(共有用1!AS129="","",共有用1!AS129&amp;"/"&amp;COUNTIF(共有用1!AS$2:AS129,共有用1!AS129))</f>
        <v/>
      </c>
      <c r="AT129" s="17" t="str">
        <f>IF(共有用1!AT129="","",共有用1!AT129&amp;"/"&amp;COUNTIF(共有用1!AT$2:AT129,共有用1!AT129))</f>
        <v/>
      </c>
      <c r="AU129" s="17" t="str">
        <f>IF(共有用1!AU129="","",共有用1!AU129&amp;"/"&amp;COUNTIF(共有用1!AU$2:AU129,共有用1!AU129))</f>
        <v/>
      </c>
      <c r="AV129" s="17" t="str">
        <f>IF(共有用1!AV129="","",共有用1!AV129&amp;"/"&amp;COUNTIF(共有用1!AV$2:AV129,共有用1!AV129))</f>
        <v/>
      </c>
      <c r="AW129" s="17" t="str">
        <f>IF(共有用1!AW129="","",共有用1!AW129&amp;"/"&amp;COUNTIF(共有用1!AW$2:AW129,共有用1!AW129))</f>
        <v/>
      </c>
      <c r="AX129" s="17" t="str">
        <f>IF(共有用1!AX129="","",共有用1!AX129&amp;"/"&amp;COUNTIF(共有用1!AX$2:AX129,共有用1!AX129))</f>
        <v/>
      </c>
      <c r="AY129" s="17" t="str">
        <f>IF(共有用1!AY129="","",共有用1!AY129&amp;"/"&amp;COUNTIF(共有用1!AY$2:AY129,共有用1!AY129))</f>
        <v/>
      </c>
      <c r="AZ129" s="17" t="str">
        <f>IF(共有用1!AZ129="","",共有用1!AZ129&amp;"/"&amp;COUNTIF(共有用1!AZ$2:AZ129,共有用1!AZ129))</f>
        <v/>
      </c>
      <c r="BA129" s="17" t="str">
        <f>IF(共有用1!BA129="","",共有用1!BA129&amp;"/"&amp;COUNTIF(共有用1!BA$2:BA129,共有用1!BA129))</f>
        <v/>
      </c>
    </row>
    <row r="130" spans="1:53">
      <c r="A130" s="2" t="str">
        <f>共有用1!A130</f>
        <v/>
      </c>
      <c r="B130" s="2" t="str">
        <f>共有用1!B130</f>
        <v/>
      </c>
      <c r="C130" s="2" t="str">
        <f>共有用1!C130</f>
        <v/>
      </c>
      <c r="D130" s="17" t="str">
        <f>IF(共有用1!D130="","",共有用1!D130&amp;"/"&amp;COUNTIF(共有用1!D$2:D130,共有用1!D130))</f>
        <v/>
      </c>
      <c r="E130" s="17" t="str">
        <f>IF(共有用1!E130="","",共有用1!E130&amp;"/"&amp;COUNTIF(共有用1!E$2:E130,共有用1!E130))</f>
        <v/>
      </c>
      <c r="F130" s="17" t="str">
        <f>IF(共有用1!F130="","",共有用1!F130&amp;"/"&amp;COUNTIF(共有用1!F$2:F130,共有用1!F130))</f>
        <v/>
      </c>
      <c r="G130" s="17" t="str">
        <f>IF(共有用1!G130="","",共有用1!G130&amp;"/"&amp;COUNTIF(共有用1!G$2:G130,共有用1!G130))</f>
        <v/>
      </c>
      <c r="H130" s="17" t="str">
        <f>IF(共有用1!H130="","",共有用1!H130&amp;"/"&amp;COUNTIF(共有用1!H$2:H130,共有用1!H130))</f>
        <v/>
      </c>
      <c r="I130" s="17" t="str">
        <f>IF(共有用1!I130="","",共有用1!I130&amp;"/"&amp;COUNTIF(共有用1!I$2:I130,共有用1!I130))</f>
        <v/>
      </c>
      <c r="J130" s="17" t="str">
        <f>IF(共有用1!J130="","",共有用1!J130&amp;"/"&amp;COUNTIF(共有用1!J$2:J130,共有用1!J130))</f>
        <v/>
      </c>
      <c r="K130" s="17" t="str">
        <f>IF(共有用1!K130="","",共有用1!K130&amp;"/"&amp;COUNTIF(共有用1!K$2:K130,共有用1!K130))</f>
        <v/>
      </c>
      <c r="L130" s="17" t="str">
        <f>IF(共有用1!L130="","",共有用1!L130&amp;"/"&amp;COUNTIF(共有用1!L$2:L130,共有用1!L130))</f>
        <v/>
      </c>
      <c r="M130" s="17" t="str">
        <f>IF(共有用1!M130="","",共有用1!M130&amp;"/"&amp;COUNTIF(共有用1!M$2:M130,共有用1!M130))</f>
        <v/>
      </c>
      <c r="N130" s="17" t="str">
        <f>IF(共有用1!N130="","",共有用1!N130&amp;"/"&amp;COUNTIF(共有用1!N$2:N130,共有用1!N130))</f>
        <v/>
      </c>
      <c r="O130" s="17" t="str">
        <f>IF(共有用1!O130="","",共有用1!O130&amp;"/"&amp;COUNTIF(共有用1!O$2:O130,共有用1!O130))</f>
        <v/>
      </c>
      <c r="P130" s="17" t="str">
        <f>IF(共有用1!P130="","",共有用1!P130&amp;"/"&amp;COUNTIF(共有用1!P$2:P130,共有用1!P130))</f>
        <v/>
      </c>
      <c r="Q130" s="17" t="str">
        <f>IF(共有用1!Q130="","",共有用1!Q130&amp;"/"&amp;COUNTIF(共有用1!Q$2:Q130,共有用1!Q130))</f>
        <v/>
      </c>
      <c r="R130" s="17" t="str">
        <f>IF(共有用1!R130="","",共有用1!R130&amp;"/"&amp;COUNTIF(共有用1!R$2:R130,共有用1!R130))</f>
        <v/>
      </c>
      <c r="S130" s="17" t="str">
        <f>IF(共有用1!S130="","",共有用1!S130&amp;"/"&amp;COUNTIF(共有用1!S$2:S130,共有用1!S130))</f>
        <v/>
      </c>
      <c r="T130" s="17" t="str">
        <f>IF(共有用1!T130="","",共有用1!T130&amp;"/"&amp;COUNTIF(共有用1!T$2:T130,共有用1!T130))</f>
        <v/>
      </c>
      <c r="U130" s="17" t="str">
        <f>IF(共有用1!U130="","",共有用1!U130&amp;"/"&amp;COUNTIF(共有用1!U$2:U130,共有用1!U130))</f>
        <v/>
      </c>
      <c r="V130" s="17" t="str">
        <f>IF(共有用1!V130="","",共有用1!V130&amp;"/"&amp;COUNTIF(共有用1!V$2:V130,共有用1!V130))</f>
        <v/>
      </c>
      <c r="W130" s="17" t="str">
        <f>IF(共有用1!W130="","",共有用1!W130&amp;"/"&amp;COUNTIF(共有用1!W$2:W130,共有用1!W130))</f>
        <v/>
      </c>
      <c r="X130" s="17" t="str">
        <f>IF(共有用1!X130="","",共有用1!X130&amp;"/"&amp;COUNTIF(共有用1!X$2:X130,共有用1!X130))</f>
        <v/>
      </c>
      <c r="Y130" s="17" t="str">
        <f>IF(共有用1!Y130="","",共有用1!Y130&amp;"/"&amp;COUNTIF(共有用1!Y$2:Y130,共有用1!Y130))</f>
        <v/>
      </c>
      <c r="Z130" s="17" t="str">
        <f>IF(共有用1!Z130="","",共有用1!Z130&amp;"/"&amp;COUNTIF(共有用1!Z$2:Z130,共有用1!Z130))</f>
        <v/>
      </c>
      <c r="AA130" s="17" t="str">
        <f>IF(共有用1!AA130="","",共有用1!AA130&amp;"/"&amp;COUNTIF(共有用1!AA$2:AA130,共有用1!AA130))</f>
        <v/>
      </c>
      <c r="AB130" s="17" t="str">
        <f>IF(共有用1!AB130="","",共有用1!AB130&amp;"/"&amp;COUNTIF(共有用1!AB$2:AB130,共有用1!AB130))</f>
        <v/>
      </c>
      <c r="AC130" s="17" t="str">
        <f>IF(共有用1!AC130="","",共有用1!AC130&amp;"/"&amp;COUNTIF(共有用1!AC$2:AC130,共有用1!AC130))</f>
        <v/>
      </c>
      <c r="AD130" s="17" t="str">
        <f>IF(共有用1!AD130="","",共有用1!AD130&amp;"/"&amp;COUNTIF(共有用1!AD$2:AD130,共有用1!AD130))</f>
        <v/>
      </c>
      <c r="AE130" s="17" t="str">
        <f>IF(共有用1!AE130="","",共有用1!AE130&amp;"/"&amp;COUNTIF(共有用1!AE$2:AE130,共有用1!AE130))</f>
        <v/>
      </c>
      <c r="AF130" s="17" t="str">
        <f>IF(共有用1!AF130="","",共有用1!AF130&amp;"/"&amp;COUNTIF(共有用1!AF$2:AF130,共有用1!AF130))</f>
        <v/>
      </c>
      <c r="AG130" s="17" t="str">
        <f>IF(共有用1!AG130="","",共有用1!AG130&amp;"/"&amp;COUNTIF(共有用1!AG$2:AG130,共有用1!AG130))</f>
        <v/>
      </c>
      <c r="AH130" s="17" t="str">
        <f>IF(共有用1!AH130="","",共有用1!AH130&amp;"/"&amp;COUNTIF(共有用1!AH$2:AH130,共有用1!AH130))</f>
        <v/>
      </c>
      <c r="AI130" s="17" t="str">
        <f>IF(共有用1!AI130="","",共有用1!AI130&amp;"/"&amp;COUNTIF(共有用1!AI$2:AI130,共有用1!AI130))</f>
        <v/>
      </c>
      <c r="AJ130" s="17" t="str">
        <f>IF(共有用1!AJ130="","",共有用1!AJ130&amp;"/"&amp;COUNTIF(共有用1!AJ$2:AJ130,共有用1!AJ130))</f>
        <v/>
      </c>
      <c r="AK130" s="17" t="str">
        <f>IF(共有用1!AK130="","",共有用1!AK130&amp;"/"&amp;COUNTIF(共有用1!AK$2:AK130,共有用1!AK130))</f>
        <v/>
      </c>
      <c r="AL130" s="17" t="str">
        <f>IF(共有用1!AL130="","",共有用1!AL130&amp;"/"&amp;COUNTIF(共有用1!AL$2:AL130,共有用1!AL130))</f>
        <v/>
      </c>
      <c r="AM130" s="17" t="str">
        <f>IF(共有用1!AM130="","",共有用1!AM130&amp;"/"&amp;COUNTIF(共有用1!AM$2:AM130,共有用1!AM130))</f>
        <v/>
      </c>
      <c r="AN130" s="17" t="str">
        <f>IF(共有用1!AN130="","",共有用1!AN130&amp;"/"&amp;COUNTIF(共有用1!AN$2:AN130,共有用1!AN130))</f>
        <v/>
      </c>
      <c r="AO130" s="17" t="str">
        <f>IF(共有用1!AO130="","",共有用1!AO130&amp;"/"&amp;COUNTIF(共有用1!AO$2:AO130,共有用1!AO130))</f>
        <v/>
      </c>
      <c r="AP130" s="17" t="str">
        <f>IF(共有用1!AP130="","",共有用1!AP130&amp;"/"&amp;COUNTIF(共有用1!AP$2:AP130,共有用1!AP130))</f>
        <v/>
      </c>
      <c r="AQ130" s="17" t="str">
        <f>IF(共有用1!AQ130="","",共有用1!AQ130&amp;"/"&amp;COUNTIF(共有用1!AQ$2:AQ130,共有用1!AQ130))</f>
        <v/>
      </c>
      <c r="AR130" s="17" t="str">
        <f>IF(共有用1!AR130="","",共有用1!AR130&amp;"/"&amp;COUNTIF(共有用1!AR$2:AR130,共有用1!AR130))</f>
        <v/>
      </c>
      <c r="AS130" s="17" t="str">
        <f>IF(共有用1!AS130="","",共有用1!AS130&amp;"/"&amp;COUNTIF(共有用1!AS$2:AS130,共有用1!AS130))</f>
        <v/>
      </c>
      <c r="AT130" s="17" t="str">
        <f>IF(共有用1!AT130="","",共有用1!AT130&amp;"/"&amp;COUNTIF(共有用1!AT$2:AT130,共有用1!AT130))</f>
        <v/>
      </c>
      <c r="AU130" s="17" t="str">
        <f>IF(共有用1!AU130="","",共有用1!AU130&amp;"/"&amp;COUNTIF(共有用1!AU$2:AU130,共有用1!AU130))</f>
        <v/>
      </c>
      <c r="AV130" s="17" t="str">
        <f>IF(共有用1!AV130="","",共有用1!AV130&amp;"/"&amp;COUNTIF(共有用1!AV$2:AV130,共有用1!AV130))</f>
        <v/>
      </c>
      <c r="AW130" s="17" t="str">
        <f>IF(共有用1!AW130="","",共有用1!AW130&amp;"/"&amp;COUNTIF(共有用1!AW$2:AW130,共有用1!AW130))</f>
        <v/>
      </c>
      <c r="AX130" s="17" t="str">
        <f>IF(共有用1!AX130="","",共有用1!AX130&amp;"/"&amp;COUNTIF(共有用1!AX$2:AX130,共有用1!AX130))</f>
        <v/>
      </c>
      <c r="AY130" s="17" t="str">
        <f>IF(共有用1!AY130="","",共有用1!AY130&amp;"/"&amp;COUNTIF(共有用1!AY$2:AY130,共有用1!AY130))</f>
        <v/>
      </c>
      <c r="AZ130" s="17" t="str">
        <f>IF(共有用1!AZ130="","",共有用1!AZ130&amp;"/"&amp;COUNTIF(共有用1!AZ$2:AZ130,共有用1!AZ130))</f>
        <v/>
      </c>
      <c r="BA130" s="17" t="str">
        <f>IF(共有用1!BA130="","",共有用1!BA130&amp;"/"&amp;COUNTIF(共有用1!BA$2:BA130,共有用1!BA130))</f>
        <v/>
      </c>
    </row>
    <row r="131" spans="1:53">
      <c r="A131" s="2" t="str">
        <f>共有用1!A131</f>
        <v/>
      </c>
      <c r="B131" s="2" t="str">
        <f>共有用1!B131</f>
        <v/>
      </c>
      <c r="C131" s="2" t="str">
        <f>共有用1!C131</f>
        <v/>
      </c>
      <c r="D131" s="17" t="str">
        <f>IF(共有用1!D131="","",共有用1!D131&amp;"/"&amp;COUNTIF(共有用1!D$2:D131,共有用1!D131))</f>
        <v/>
      </c>
      <c r="E131" s="17" t="str">
        <f>IF(共有用1!E131="","",共有用1!E131&amp;"/"&amp;COUNTIF(共有用1!E$2:E131,共有用1!E131))</f>
        <v/>
      </c>
      <c r="F131" s="17" t="str">
        <f>IF(共有用1!F131="","",共有用1!F131&amp;"/"&amp;COUNTIF(共有用1!F$2:F131,共有用1!F131))</f>
        <v/>
      </c>
      <c r="G131" s="17" t="str">
        <f>IF(共有用1!G131="","",共有用1!G131&amp;"/"&amp;COUNTIF(共有用1!G$2:G131,共有用1!G131))</f>
        <v/>
      </c>
      <c r="H131" s="17" t="str">
        <f>IF(共有用1!H131="","",共有用1!H131&amp;"/"&amp;COUNTIF(共有用1!H$2:H131,共有用1!H131))</f>
        <v/>
      </c>
      <c r="I131" s="17" t="str">
        <f>IF(共有用1!I131="","",共有用1!I131&amp;"/"&amp;COUNTIF(共有用1!I$2:I131,共有用1!I131))</f>
        <v/>
      </c>
      <c r="J131" s="17" t="str">
        <f>IF(共有用1!J131="","",共有用1!J131&amp;"/"&amp;COUNTIF(共有用1!J$2:J131,共有用1!J131))</f>
        <v/>
      </c>
      <c r="K131" s="17" t="str">
        <f>IF(共有用1!K131="","",共有用1!K131&amp;"/"&amp;COUNTIF(共有用1!K$2:K131,共有用1!K131))</f>
        <v/>
      </c>
      <c r="L131" s="17" t="str">
        <f>IF(共有用1!L131="","",共有用1!L131&amp;"/"&amp;COUNTIF(共有用1!L$2:L131,共有用1!L131))</f>
        <v/>
      </c>
      <c r="M131" s="17" t="str">
        <f>IF(共有用1!M131="","",共有用1!M131&amp;"/"&amp;COUNTIF(共有用1!M$2:M131,共有用1!M131))</f>
        <v/>
      </c>
      <c r="N131" s="17" t="str">
        <f>IF(共有用1!N131="","",共有用1!N131&amp;"/"&amp;COUNTIF(共有用1!N$2:N131,共有用1!N131))</f>
        <v/>
      </c>
      <c r="O131" s="17" t="str">
        <f>IF(共有用1!O131="","",共有用1!O131&amp;"/"&amp;COUNTIF(共有用1!O$2:O131,共有用1!O131))</f>
        <v/>
      </c>
      <c r="P131" s="17" t="str">
        <f>IF(共有用1!P131="","",共有用1!P131&amp;"/"&amp;COUNTIF(共有用1!P$2:P131,共有用1!P131))</f>
        <v/>
      </c>
      <c r="Q131" s="17" t="str">
        <f>IF(共有用1!Q131="","",共有用1!Q131&amp;"/"&amp;COUNTIF(共有用1!Q$2:Q131,共有用1!Q131))</f>
        <v/>
      </c>
      <c r="R131" s="17" t="str">
        <f>IF(共有用1!R131="","",共有用1!R131&amp;"/"&amp;COUNTIF(共有用1!R$2:R131,共有用1!R131))</f>
        <v/>
      </c>
      <c r="S131" s="17" t="str">
        <f>IF(共有用1!S131="","",共有用1!S131&amp;"/"&amp;COUNTIF(共有用1!S$2:S131,共有用1!S131))</f>
        <v/>
      </c>
      <c r="T131" s="17" t="str">
        <f>IF(共有用1!T131="","",共有用1!T131&amp;"/"&amp;COUNTIF(共有用1!T$2:T131,共有用1!T131))</f>
        <v/>
      </c>
      <c r="U131" s="17" t="str">
        <f>IF(共有用1!U131="","",共有用1!U131&amp;"/"&amp;COUNTIF(共有用1!U$2:U131,共有用1!U131))</f>
        <v/>
      </c>
      <c r="V131" s="17" t="str">
        <f>IF(共有用1!V131="","",共有用1!V131&amp;"/"&amp;COUNTIF(共有用1!V$2:V131,共有用1!V131))</f>
        <v/>
      </c>
      <c r="W131" s="17" t="str">
        <f>IF(共有用1!W131="","",共有用1!W131&amp;"/"&amp;COUNTIF(共有用1!W$2:W131,共有用1!W131))</f>
        <v/>
      </c>
      <c r="X131" s="17" t="str">
        <f>IF(共有用1!X131="","",共有用1!X131&amp;"/"&amp;COUNTIF(共有用1!X$2:X131,共有用1!X131))</f>
        <v/>
      </c>
      <c r="Y131" s="17" t="str">
        <f>IF(共有用1!Y131="","",共有用1!Y131&amp;"/"&amp;COUNTIF(共有用1!Y$2:Y131,共有用1!Y131))</f>
        <v/>
      </c>
      <c r="Z131" s="17" t="str">
        <f>IF(共有用1!Z131="","",共有用1!Z131&amp;"/"&amp;COUNTIF(共有用1!Z$2:Z131,共有用1!Z131))</f>
        <v/>
      </c>
      <c r="AA131" s="17" t="str">
        <f>IF(共有用1!AA131="","",共有用1!AA131&amp;"/"&amp;COUNTIF(共有用1!AA$2:AA131,共有用1!AA131))</f>
        <v/>
      </c>
      <c r="AB131" s="17" t="str">
        <f>IF(共有用1!AB131="","",共有用1!AB131&amp;"/"&amp;COUNTIF(共有用1!AB$2:AB131,共有用1!AB131))</f>
        <v/>
      </c>
      <c r="AC131" s="17" t="str">
        <f>IF(共有用1!AC131="","",共有用1!AC131&amp;"/"&amp;COUNTIF(共有用1!AC$2:AC131,共有用1!AC131))</f>
        <v/>
      </c>
      <c r="AD131" s="17" t="str">
        <f>IF(共有用1!AD131="","",共有用1!AD131&amp;"/"&amp;COUNTIF(共有用1!AD$2:AD131,共有用1!AD131))</f>
        <v/>
      </c>
      <c r="AE131" s="17" t="str">
        <f>IF(共有用1!AE131="","",共有用1!AE131&amp;"/"&amp;COUNTIF(共有用1!AE$2:AE131,共有用1!AE131))</f>
        <v/>
      </c>
      <c r="AF131" s="17" t="str">
        <f>IF(共有用1!AF131="","",共有用1!AF131&amp;"/"&amp;COUNTIF(共有用1!AF$2:AF131,共有用1!AF131))</f>
        <v/>
      </c>
      <c r="AG131" s="17" t="str">
        <f>IF(共有用1!AG131="","",共有用1!AG131&amp;"/"&amp;COUNTIF(共有用1!AG$2:AG131,共有用1!AG131))</f>
        <v/>
      </c>
      <c r="AH131" s="17" t="str">
        <f>IF(共有用1!AH131="","",共有用1!AH131&amp;"/"&amp;COUNTIF(共有用1!AH$2:AH131,共有用1!AH131))</f>
        <v/>
      </c>
      <c r="AI131" s="17" t="str">
        <f>IF(共有用1!AI131="","",共有用1!AI131&amp;"/"&amp;COUNTIF(共有用1!AI$2:AI131,共有用1!AI131))</f>
        <v/>
      </c>
      <c r="AJ131" s="17" t="str">
        <f>IF(共有用1!AJ131="","",共有用1!AJ131&amp;"/"&amp;COUNTIF(共有用1!AJ$2:AJ131,共有用1!AJ131))</f>
        <v/>
      </c>
      <c r="AK131" s="17" t="str">
        <f>IF(共有用1!AK131="","",共有用1!AK131&amp;"/"&amp;COUNTIF(共有用1!AK$2:AK131,共有用1!AK131))</f>
        <v/>
      </c>
      <c r="AL131" s="17" t="str">
        <f>IF(共有用1!AL131="","",共有用1!AL131&amp;"/"&amp;COUNTIF(共有用1!AL$2:AL131,共有用1!AL131))</f>
        <v/>
      </c>
      <c r="AM131" s="17" t="str">
        <f>IF(共有用1!AM131="","",共有用1!AM131&amp;"/"&amp;COUNTIF(共有用1!AM$2:AM131,共有用1!AM131))</f>
        <v/>
      </c>
      <c r="AN131" s="17" t="str">
        <f>IF(共有用1!AN131="","",共有用1!AN131&amp;"/"&amp;COUNTIF(共有用1!AN$2:AN131,共有用1!AN131))</f>
        <v/>
      </c>
      <c r="AO131" s="17" t="str">
        <f>IF(共有用1!AO131="","",共有用1!AO131&amp;"/"&amp;COUNTIF(共有用1!AO$2:AO131,共有用1!AO131))</f>
        <v/>
      </c>
      <c r="AP131" s="17" t="str">
        <f>IF(共有用1!AP131="","",共有用1!AP131&amp;"/"&amp;COUNTIF(共有用1!AP$2:AP131,共有用1!AP131))</f>
        <v/>
      </c>
      <c r="AQ131" s="17" t="str">
        <f>IF(共有用1!AQ131="","",共有用1!AQ131&amp;"/"&amp;COUNTIF(共有用1!AQ$2:AQ131,共有用1!AQ131))</f>
        <v/>
      </c>
      <c r="AR131" s="17" t="str">
        <f>IF(共有用1!AR131="","",共有用1!AR131&amp;"/"&amp;COUNTIF(共有用1!AR$2:AR131,共有用1!AR131))</f>
        <v/>
      </c>
      <c r="AS131" s="17" t="str">
        <f>IF(共有用1!AS131="","",共有用1!AS131&amp;"/"&amp;COUNTIF(共有用1!AS$2:AS131,共有用1!AS131))</f>
        <v/>
      </c>
      <c r="AT131" s="17" t="str">
        <f>IF(共有用1!AT131="","",共有用1!AT131&amp;"/"&amp;COUNTIF(共有用1!AT$2:AT131,共有用1!AT131))</f>
        <v/>
      </c>
      <c r="AU131" s="17" t="str">
        <f>IF(共有用1!AU131="","",共有用1!AU131&amp;"/"&amp;COUNTIF(共有用1!AU$2:AU131,共有用1!AU131))</f>
        <v/>
      </c>
      <c r="AV131" s="17" t="str">
        <f>IF(共有用1!AV131="","",共有用1!AV131&amp;"/"&amp;COUNTIF(共有用1!AV$2:AV131,共有用1!AV131))</f>
        <v/>
      </c>
      <c r="AW131" s="17" t="str">
        <f>IF(共有用1!AW131="","",共有用1!AW131&amp;"/"&amp;COUNTIF(共有用1!AW$2:AW131,共有用1!AW131))</f>
        <v/>
      </c>
      <c r="AX131" s="17" t="str">
        <f>IF(共有用1!AX131="","",共有用1!AX131&amp;"/"&amp;COUNTIF(共有用1!AX$2:AX131,共有用1!AX131))</f>
        <v/>
      </c>
      <c r="AY131" s="17" t="str">
        <f>IF(共有用1!AY131="","",共有用1!AY131&amp;"/"&amp;COUNTIF(共有用1!AY$2:AY131,共有用1!AY131))</f>
        <v/>
      </c>
      <c r="AZ131" s="17" t="str">
        <f>IF(共有用1!AZ131="","",共有用1!AZ131&amp;"/"&amp;COUNTIF(共有用1!AZ$2:AZ131,共有用1!AZ131))</f>
        <v/>
      </c>
      <c r="BA131" s="17" t="str">
        <f>IF(共有用1!BA131="","",共有用1!BA131&amp;"/"&amp;COUNTIF(共有用1!BA$2:BA131,共有用1!BA131))</f>
        <v/>
      </c>
    </row>
    <row r="132" spans="1:53">
      <c r="A132" s="2" t="str">
        <f>共有用1!A132</f>
        <v/>
      </c>
      <c r="B132" s="2" t="str">
        <f>共有用1!B132</f>
        <v/>
      </c>
      <c r="C132" s="2" t="str">
        <f>共有用1!C132</f>
        <v/>
      </c>
      <c r="D132" s="17" t="str">
        <f>IF(共有用1!D132="","",共有用1!D132&amp;"/"&amp;COUNTIF(共有用1!D$2:D132,共有用1!D132))</f>
        <v/>
      </c>
      <c r="E132" s="17" t="str">
        <f>IF(共有用1!E132="","",共有用1!E132&amp;"/"&amp;COUNTIF(共有用1!E$2:E132,共有用1!E132))</f>
        <v/>
      </c>
      <c r="F132" s="17" t="str">
        <f>IF(共有用1!F132="","",共有用1!F132&amp;"/"&amp;COUNTIF(共有用1!F$2:F132,共有用1!F132))</f>
        <v/>
      </c>
      <c r="G132" s="17" t="str">
        <f>IF(共有用1!G132="","",共有用1!G132&amp;"/"&amp;COUNTIF(共有用1!G$2:G132,共有用1!G132))</f>
        <v/>
      </c>
      <c r="H132" s="17" t="str">
        <f>IF(共有用1!H132="","",共有用1!H132&amp;"/"&amp;COUNTIF(共有用1!H$2:H132,共有用1!H132))</f>
        <v/>
      </c>
      <c r="I132" s="17" t="str">
        <f>IF(共有用1!I132="","",共有用1!I132&amp;"/"&amp;COUNTIF(共有用1!I$2:I132,共有用1!I132))</f>
        <v/>
      </c>
      <c r="J132" s="17" t="str">
        <f>IF(共有用1!J132="","",共有用1!J132&amp;"/"&amp;COUNTIF(共有用1!J$2:J132,共有用1!J132))</f>
        <v/>
      </c>
      <c r="K132" s="17" t="str">
        <f>IF(共有用1!K132="","",共有用1!K132&amp;"/"&amp;COUNTIF(共有用1!K$2:K132,共有用1!K132))</f>
        <v/>
      </c>
      <c r="L132" s="17" t="str">
        <f>IF(共有用1!L132="","",共有用1!L132&amp;"/"&amp;COUNTIF(共有用1!L$2:L132,共有用1!L132))</f>
        <v/>
      </c>
      <c r="M132" s="17" t="str">
        <f>IF(共有用1!M132="","",共有用1!M132&amp;"/"&amp;COUNTIF(共有用1!M$2:M132,共有用1!M132))</f>
        <v/>
      </c>
      <c r="N132" s="17" t="str">
        <f>IF(共有用1!N132="","",共有用1!N132&amp;"/"&amp;COUNTIF(共有用1!N$2:N132,共有用1!N132))</f>
        <v/>
      </c>
      <c r="O132" s="17" t="str">
        <f>IF(共有用1!O132="","",共有用1!O132&amp;"/"&amp;COUNTIF(共有用1!O$2:O132,共有用1!O132))</f>
        <v/>
      </c>
      <c r="P132" s="17" t="str">
        <f>IF(共有用1!P132="","",共有用1!P132&amp;"/"&amp;COUNTIF(共有用1!P$2:P132,共有用1!P132))</f>
        <v/>
      </c>
      <c r="Q132" s="17" t="str">
        <f>IF(共有用1!Q132="","",共有用1!Q132&amp;"/"&amp;COUNTIF(共有用1!Q$2:Q132,共有用1!Q132))</f>
        <v/>
      </c>
      <c r="R132" s="17" t="str">
        <f>IF(共有用1!R132="","",共有用1!R132&amp;"/"&amp;COUNTIF(共有用1!R$2:R132,共有用1!R132))</f>
        <v/>
      </c>
      <c r="S132" s="17" t="str">
        <f>IF(共有用1!S132="","",共有用1!S132&amp;"/"&amp;COUNTIF(共有用1!S$2:S132,共有用1!S132))</f>
        <v/>
      </c>
      <c r="T132" s="17" t="str">
        <f>IF(共有用1!T132="","",共有用1!T132&amp;"/"&amp;COUNTIF(共有用1!T$2:T132,共有用1!T132))</f>
        <v/>
      </c>
      <c r="U132" s="17" t="str">
        <f>IF(共有用1!U132="","",共有用1!U132&amp;"/"&amp;COUNTIF(共有用1!U$2:U132,共有用1!U132))</f>
        <v/>
      </c>
      <c r="V132" s="17" t="str">
        <f>IF(共有用1!V132="","",共有用1!V132&amp;"/"&amp;COUNTIF(共有用1!V$2:V132,共有用1!V132))</f>
        <v/>
      </c>
      <c r="W132" s="17" t="str">
        <f>IF(共有用1!W132="","",共有用1!W132&amp;"/"&amp;COUNTIF(共有用1!W$2:W132,共有用1!W132))</f>
        <v/>
      </c>
      <c r="X132" s="17" t="str">
        <f>IF(共有用1!X132="","",共有用1!X132&amp;"/"&amp;COUNTIF(共有用1!X$2:X132,共有用1!X132))</f>
        <v/>
      </c>
      <c r="Y132" s="17" t="str">
        <f>IF(共有用1!Y132="","",共有用1!Y132&amp;"/"&amp;COUNTIF(共有用1!Y$2:Y132,共有用1!Y132))</f>
        <v/>
      </c>
      <c r="Z132" s="17" t="str">
        <f>IF(共有用1!Z132="","",共有用1!Z132&amp;"/"&amp;COUNTIF(共有用1!Z$2:Z132,共有用1!Z132))</f>
        <v/>
      </c>
      <c r="AA132" s="17" t="str">
        <f>IF(共有用1!AA132="","",共有用1!AA132&amp;"/"&amp;COUNTIF(共有用1!AA$2:AA132,共有用1!AA132))</f>
        <v/>
      </c>
      <c r="AB132" s="17" t="str">
        <f>IF(共有用1!AB132="","",共有用1!AB132&amp;"/"&amp;COUNTIF(共有用1!AB$2:AB132,共有用1!AB132))</f>
        <v/>
      </c>
      <c r="AC132" s="17" t="str">
        <f>IF(共有用1!AC132="","",共有用1!AC132&amp;"/"&amp;COUNTIF(共有用1!AC$2:AC132,共有用1!AC132))</f>
        <v/>
      </c>
      <c r="AD132" s="17" t="str">
        <f>IF(共有用1!AD132="","",共有用1!AD132&amp;"/"&amp;COUNTIF(共有用1!AD$2:AD132,共有用1!AD132))</f>
        <v/>
      </c>
      <c r="AE132" s="17" t="str">
        <f>IF(共有用1!AE132="","",共有用1!AE132&amp;"/"&amp;COUNTIF(共有用1!AE$2:AE132,共有用1!AE132))</f>
        <v/>
      </c>
      <c r="AF132" s="17" t="str">
        <f>IF(共有用1!AF132="","",共有用1!AF132&amp;"/"&amp;COUNTIF(共有用1!AF$2:AF132,共有用1!AF132))</f>
        <v/>
      </c>
      <c r="AG132" s="17" t="str">
        <f>IF(共有用1!AG132="","",共有用1!AG132&amp;"/"&amp;COUNTIF(共有用1!AG$2:AG132,共有用1!AG132))</f>
        <v/>
      </c>
      <c r="AH132" s="17" t="str">
        <f>IF(共有用1!AH132="","",共有用1!AH132&amp;"/"&amp;COUNTIF(共有用1!AH$2:AH132,共有用1!AH132))</f>
        <v/>
      </c>
      <c r="AI132" s="17" t="str">
        <f>IF(共有用1!AI132="","",共有用1!AI132&amp;"/"&amp;COUNTIF(共有用1!AI$2:AI132,共有用1!AI132))</f>
        <v/>
      </c>
      <c r="AJ132" s="17" t="str">
        <f>IF(共有用1!AJ132="","",共有用1!AJ132&amp;"/"&amp;COUNTIF(共有用1!AJ$2:AJ132,共有用1!AJ132))</f>
        <v/>
      </c>
      <c r="AK132" s="17" t="str">
        <f>IF(共有用1!AK132="","",共有用1!AK132&amp;"/"&amp;COUNTIF(共有用1!AK$2:AK132,共有用1!AK132))</f>
        <v/>
      </c>
      <c r="AL132" s="17" t="str">
        <f>IF(共有用1!AL132="","",共有用1!AL132&amp;"/"&amp;COUNTIF(共有用1!AL$2:AL132,共有用1!AL132))</f>
        <v/>
      </c>
      <c r="AM132" s="17" t="str">
        <f>IF(共有用1!AM132="","",共有用1!AM132&amp;"/"&amp;COUNTIF(共有用1!AM$2:AM132,共有用1!AM132))</f>
        <v/>
      </c>
      <c r="AN132" s="17" t="str">
        <f>IF(共有用1!AN132="","",共有用1!AN132&amp;"/"&amp;COUNTIF(共有用1!AN$2:AN132,共有用1!AN132))</f>
        <v/>
      </c>
      <c r="AO132" s="17" t="str">
        <f>IF(共有用1!AO132="","",共有用1!AO132&amp;"/"&amp;COUNTIF(共有用1!AO$2:AO132,共有用1!AO132))</f>
        <v/>
      </c>
      <c r="AP132" s="17" t="str">
        <f>IF(共有用1!AP132="","",共有用1!AP132&amp;"/"&amp;COUNTIF(共有用1!AP$2:AP132,共有用1!AP132))</f>
        <v/>
      </c>
      <c r="AQ132" s="17" t="str">
        <f>IF(共有用1!AQ132="","",共有用1!AQ132&amp;"/"&amp;COUNTIF(共有用1!AQ$2:AQ132,共有用1!AQ132))</f>
        <v/>
      </c>
      <c r="AR132" s="17" t="str">
        <f>IF(共有用1!AR132="","",共有用1!AR132&amp;"/"&amp;COUNTIF(共有用1!AR$2:AR132,共有用1!AR132))</f>
        <v/>
      </c>
      <c r="AS132" s="17" t="str">
        <f>IF(共有用1!AS132="","",共有用1!AS132&amp;"/"&amp;COUNTIF(共有用1!AS$2:AS132,共有用1!AS132))</f>
        <v/>
      </c>
      <c r="AT132" s="17" t="str">
        <f>IF(共有用1!AT132="","",共有用1!AT132&amp;"/"&amp;COUNTIF(共有用1!AT$2:AT132,共有用1!AT132))</f>
        <v/>
      </c>
      <c r="AU132" s="17" t="str">
        <f>IF(共有用1!AU132="","",共有用1!AU132&amp;"/"&amp;COUNTIF(共有用1!AU$2:AU132,共有用1!AU132))</f>
        <v/>
      </c>
      <c r="AV132" s="17" t="str">
        <f>IF(共有用1!AV132="","",共有用1!AV132&amp;"/"&amp;COUNTIF(共有用1!AV$2:AV132,共有用1!AV132))</f>
        <v/>
      </c>
      <c r="AW132" s="17" t="str">
        <f>IF(共有用1!AW132="","",共有用1!AW132&amp;"/"&amp;COUNTIF(共有用1!AW$2:AW132,共有用1!AW132))</f>
        <v/>
      </c>
      <c r="AX132" s="17" t="str">
        <f>IF(共有用1!AX132="","",共有用1!AX132&amp;"/"&amp;COUNTIF(共有用1!AX$2:AX132,共有用1!AX132))</f>
        <v/>
      </c>
      <c r="AY132" s="17" t="str">
        <f>IF(共有用1!AY132="","",共有用1!AY132&amp;"/"&amp;COUNTIF(共有用1!AY$2:AY132,共有用1!AY132))</f>
        <v/>
      </c>
      <c r="AZ132" s="17" t="str">
        <f>IF(共有用1!AZ132="","",共有用1!AZ132&amp;"/"&amp;COUNTIF(共有用1!AZ$2:AZ132,共有用1!AZ132))</f>
        <v/>
      </c>
      <c r="BA132" s="17" t="str">
        <f>IF(共有用1!BA132="","",共有用1!BA132&amp;"/"&amp;COUNTIF(共有用1!BA$2:BA132,共有用1!BA132))</f>
        <v/>
      </c>
    </row>
    <row r="133" spans="1:53">
      <c r="A133" s="2" t="str">
        <f>共有用1!A133</f>
        <v/>
      </c>
      <c r="B133" s="2" t="str">
        <f>共有用1!B133</f>
        <v/>
      </c>
      <c r="C133" s="2" t="str">
        <f>共有用1!C133</f>
        <v/>
      </c>
      <c r="D133" s="17" t="str">
        <f>IF(共有用1!D133="","",共有用1!D133&amp;"/"&amp;COUNTIF(共有用1!D$2:D133,共有用1!D133))</f>
        <v/>
      </c>
      <c r="E133" s="17" t="str">
        <f>IF(共有用1!E133="","",共有用1!E133&amp;"/"&amp;COUNTIF(共有用1!E$2:E133,共有用1!E133))</f>
        <v/>
      </c>
      <c r="F133" s="17" t="str">
        <f>IF(共有用1!F133="","",共有用1!F133&amp;"/"&amp;COUNTIF(共有用1!F$2:F133,共有用1!F133))</f>
        <v/>
      </c>
      <c r="G133" s="17" t="str">
        <f>IF(共有用1!G133="","",共有用1!G133&amp;"/"&amp;COUNTIF(共有用1!G$2:G133,共有用1!G133))</f>
        <v/>
      </c>
      <c r="H133" s="17" t="str">
        <f>IF(共有用1!H133="","",共有用1!H133&amp;"/"&amp;COUNTIF(共有用1!H$2:H133,共有用1!H133))</f>
        <v/>
      </c>
      <c r="I133" s="17" t="str">
        <f>IF(共有用1!I133="","",共有用1!I133&amp;"/"&amp;COUNTIF(共有用1!I$2:I133,共有用1!I133))</f>
        <v/>
      </c>
      <c r="J133" s="17" t="str">
        <f>IF(共有用1!J133="","",共有用1!J133&amp;"/"&amp;COUNTIF(共有用1!J$2:J133,共有用1!J133))</f>
        <v/>
      </c>
      <c r="K133" s="17" t="str">
        <f>IF(共有用1!K133="","",共有用1!K133&amp;"/"&amp;COUNTIF(共有用1!K$2:K133,共有用1!K133))</f>
        <v/>
      </c>
      <c r="L133" s="17" t="str">
        <f>IF(共有用1!L133="","",共有用1!L133&amp;"/"&amp;COUNTIF(共有用1!L$2:L133,共有用1!L133))</f>
        <v/>
      </c>
      <c r="M133" s="17" t="str">
        <f>IF(共有用1!M133="","",共有用1!M133&amp;"/"&amp;COUNTIF(共有用1!M$2:M133,共有用1!M133))</f>
        <v/>
      </c>
      <c r="N133" s="17" t="str">
        <f>IF(共有用1!N133="","",共有用1!N133&amp;"/"&amp;COUNTIF(共有用1!N$2:N133,共有用1!N133))</f>
        <v/>
      </c>
      <c r="O133" s="17" t="str">
        <f>IF(共有用1!O133="","",共有用1!O133&amp;"/"&amp;COUNTIF(共有用1!O$2:O133,共有用1!O133))</f>
        <v/>
      </c>
      <c r="P133" s="17" t="str">
        <f>IF(共有用1!P133="","",共有用1!P133&amp;"/"&amp;COUNTIF(共有用1!P$2:P133,共有用1!P133))</f>
        <v/>
      </c>
      <c r="Q133" s="17" t="str">
        <f>IF(共有用1!Q133="","",共有用1!Q133&amp;"/"&amp;COUNTIF(共有用1!Q$2:Q133,共有用1!Q133))</f>
        <v/>
      </c>
      <c r="R133" s="17" t="str">
        <f>IF(共有用1!R133="","",共有用1!R133&amp;"/"&amp;COUNTIF(共有用1!R$2:R133,共有用1!R133))</f>
        <v/>
      </c>
      <c r="S133" s="17" t="str">
        <f>IF(共有用1!S133="","",共有用1!S133&amp;"/"&amp;COUNTIF(共有用1!S$2:S133,共有用1!S133))</f>
        <v/>
      </c>
      <c r="T133" s="17" t="str">
        <f>IF(共有用1!T133="","",共有用1!T133&amp;"/"&amp;COUNTIF(共有用1!T$2:T133,共有用1!T133))</f>
        <v/>
      </c>
      <c r="U133" s="17" t="str">
        <f>IF(共有用1!U133="","",共有用1!U133&amp;"/"&amp;COUNTIF(共有用1!U$2:U133,共有用1!U133))</f>
        <v/>
      </c>
      <c r="V133" s="17" t="str">
        <f>IF(共有用1!V133="","",共有用1!V133&amp;"/"&amp;COUNTIF(共有用1!V$2:V133,共有用1!V133))</f>
        <v/>
      </c>
      <c r="W133" s="17" t="str">
        <f>IF(共有用1!W133="","",共有用1!W133&amp;"/"&amp;COUNTIF(共有用1!W$2:W133,共有用1!W133))</f>
        <v/>
      </c>
      <c r="X133" s="17" t="str">
        <f>IF(共有用1!X133="","",共有用1!X133&amp;"/"&amp;COUNTIF(共有用1!X$2:X133,共有用1!X133))</f>
        <v/>
      </c>
      <c r="Y133" s="17" t="str">
        <f>IF(共有用1!Y133="","",共有用1!Y133&amp;"/"&amp;COUNTIF(共有用1!Y$2:Y133,共有用1!Y133))</f>
        <v/>
      </c>
      <c r="Z133" s="17" t="str">
        <f>IF(共有用1!Z133="","",共有用1!Z133&amp;"/"&amp;COUNTIF(共有用1!Z$2:Z133,共有用1!Z133))</f>
        <v/>
      </c>
      <c r="AA133" s="17" t="str">
        <f>IF(共有用1!AA133="","",共有用1!AA133&amp;"/"&amp;COUNTIF(共有用1!AA$2:AA133,共有用1!AA133))</f>
        <v/>
      </c>
      <c r="AB133" s="17" t="str">
        <f>IF(共有用1!AB133="","",共有用1!AB133&amp;"/"&amp;COUNTIF(共有用1!AB$2:AB133,共有用1!AB133))</f>
        <v/>
      </c>
      <c r="AC133" s="17" t="str">
        <f>IF(共有用1!AC133="","",共有用1!AC133&amp;"/"&amp;COUNTIF(共有用1!AC$2:AC133,共有用1!AC133))</f>
        <v/>
      </c>
      <c r="AD133" s="17" t="str">
        <f>IF(共有用1!AD133="","",共有用1!AD133&amp;"/"&amp;COUNTIF(共有用1!AD$2:AD133,共有用1!AD133))</f>
        <v/>
      </c>
      <c r="AE133" s="17" t="str">
        <f>IF(共有用1!AE133="","",共有用1!AE133&amp;"/"&amp;COUNTIF(共有用1!AE$2:AE133,共有用1!AE133))</f>
        <v/>
      </c>
      <c r="AF133" s="17" t="str">
        <f>IF(共有用1!AF133="","",共有用1!AF133&amp;"/"&amp;COUNTIF(共有用1!AF$2:AF133,共有用1!AF133))</f>
        <v/>
      </c>
      <c r="AG133" s="17" t="str">
        <f>IF(共有用1!AG133="","",共有用1!AG133&amp;"/"&amp;COUNTIF(共有用1!AG$2:AG133,共有用1!AG133))</f>
        <v/>
      </c>
      <c r="AH133" s="17" t="str">
        <f>IF(共有用1!AH133="","",共有用1!AH133&amp;"/"&amp;COUNTIF(共有用1!AH$2:AH133,共有用1!AH133))</f>
        <v/>
      </c>
      <c r="AI133" s="17" t="str">
        <f>IF(共有用1!AI133="","",共有用1!AI133&amp;"/"&amp;COUNTIF(共有用1!AI$2:AI133,共有用1!AI133))</f>
        <v/>
      </c>
      <c r="AJ133" s="17" t="str">
        <f>IF(共有用1!AJ133="","",共有用1!AJ133&amp;"/"&amp;COUNTIF(共有用1!AJ$2:AJ133,共有用1!AJ133))</f>
        <v/>
      </c>
      <c r="AK133" s="17" t="str">
        <f>IF(共有用1!AK133="","",共有用1!AK133&amp;"/"&amp;COUNTIF(共有用1!AK$2:AK133,共有用1!AK133))</f>
        <v/>
      </c>
      <c r="AL133" s="17" t="str">
        <f>IF(共有用1!AL133="","",共有用1!AL133&amp;"/"&amp;COUNTIF(共有用1!AL$2:AL133,共有用1!AL133))</f>
        <v/>
      </c>
      <c r="AM133" s="17" t="str">
        <f>IF(共有用1!AM133="","",共有用1!AM133&amp;"/"&amp;COUNTIF(共有用1!AM$2:AM133,共有用1!AM133))</f>
        <v/>
      </c>
      <c r="AN133" s="17" t="str">
        <f>IF(共有用1!AN133="","",共有用1!AN133&amp;"/"&amp;COUNTIF(共有用1!AN$2:AN133,共有用1!AN133))</f>
        <v/>
      </c>
      <c r="AO133" s="17" t="str">
        <f>IF(共有用1!AO133="","",共有用1!AO133&amp;"/"&amp;COUNTIF(共有用1!AO$2:AO133,共有用1!AO133))</f>
        <v/>
      </c>
      <c r="AP133" s="17" t="str">
        <f>IF(共有用1!AP133="","",共有用1!AP133&amp;"/"&amp;COUNTIF(共有用1!AP$2:AP133,共有用1!AP133))</f>
        <v/>
      </c>
      <c r="AQ133" s="17" t="str">
        <f>IF(共有用1!AQ133="","",共有用1!AQ133&amp;"/"&amp;COUNTIF(共有用1!AQ$2:AQ133,共有用1!AQ133))</f>
        <v/>
      </c>
      <c r="AR133" s="17" t="str">
        <f>IF(共有用1!AR133="","",共有用1!AR133&amp;"/"&amp;COUNTIF(共有用1!AR$2:AR133,共有用1!AR133))</f>
        <v/>
      </c>
      <c r="AS133" s="17" t="str">
        <f>IF(共有用1!AS133="","",共有用1!AS133&amp;"/"&amp;COUNTIF(共有用1!AS$2:AS133,共有用1!AS133))</f>
        <v/>
      </c>
      <c r="AT133" s="17" t="str">
        <f>IF(共有用1!AT133="","",共有用1!AT133&amp;"/"&amp;COUNTIF(共有用1!AT$2:AT133,共有用1!AT133))</f>
        <v/>
      </c>
      <c r="AU133" s="17" t="str">
        <f>IF(共有用1!AU133="","",共有用1!AU133&amp;"/"&amp;COUNTIF(共有用1!AU$2:AU133,共有用1!AU133))</f>
        <v/>
      </c>
      <c r="AV133" s="17" t="str">
        <f>IF(共有用1!AV133="","",共有用1!AV133&amp;"/"&amp;COUNTIF(共有用1!AV$2:AV133,共有用1!AV133))</f>
        <v/>
      </c>
      <c r="AW133" s="17" t="str">
        <f>IF(共有用1!AW133="","",共有用1!AW133&amp;"/"&amp;COUNTIF(共有用1!AW$2:AW133,共有用1!AW133))</f>
        <v/>
      </c>
      <c r="AX133" s="17" t="str">
        <f>IF(共有用1!AX133="","",共有用1!AX133&amp;"/"&amp;COUNTIF(共有用1!AX$2:AX133,共有用1!AX133))</f>
        <v/>
      </c>
      <c r="AY133" s="17" t="str">
        <f>IF(共有用1!AY133="","",共有用1!AY133&amp;"/"&amp;COUNTIF(共有用1!AY$2:AY133,共有用1!AY133))</f>
        <v/>
      </c>
      <c r="AZ133" s="17" t="str">
        <f>IF(共有用1!AZ133="","",共有用1!AZ133&amp;"/"&amp;COUNTIF(共有用1!AZ$2:AZ133,共有用1!AZ133))</f>
        <v/>
      </c>
      <c r="BA133" s="17" t="str">
        <f>IF(共有用1!BA133="","",共有用1!BA133&amp;"/"&amp;COUNTIF(共有用1!BA$2:BA133,共有用1!BA133))</f>
        <v/>
      </c>
    </row>
    <row r="134" spans="1:53">
      <c r="A134" s="2" t="str">
        <f>共有用1!A134</f>
        <v/>
      </c>
      <c r="B134" s="2" t="str">
        <f>共有用1!B134</f>
        <v/>
      </c>
      <c r="C134" s="2" t="str">
        <f>共有用1!C134</f>
        <v/>
      </c>
      <c r="D134" s="17" t="str">
        <f>IF(共有用1!D134="","",共有用1!D134&amp;"/"&amp;COUNTIF(共有用1!D$2:D134,共有用1!D134))</f>
        <v/>
      </c>
      <c r="E134" s="17" t="str">
        <f>IF(共有用1!E134="","",共有用1!E134&amp;"/"&amp;COUNTIF(共有用1!E$2:E134,共有用1!E134))</f>
        <v/>
      </c>
      <c r="F134" s="17" t="str">
        <f>IF(共有用1!F134="","",共有用1!F134&amp;"/"&amp;COUNTIF(共有用1!F$2:F134,共有用1!F134))</f>
        <v/>
      </c>
      <c r="G134" s="17" t="str">
        <f>IF(共有用1!G134="","",共有用1!G134&amp;"/"&amp;COUNTIF(共有用1!G$2:G134,共有用1!G134))</f>
        <v/>
      </c>
      <c r="H134" s="17" t="str">
        <f>IF(共有用1!H134="","",共有用1!H134&amp;"/"&amp;COUNTIF(共有用1!H$2:H134,共有用1!H134))</f>
        <v/>
      </c>
      <c r="I134" s="17" t="str">
        <f>IF(共有用1!I134="","",共有用1!I134&amp;"/"&amp;COUNTIF(共有用1!I$2:I134,共有用1!I134))</f>
        <v/>
      </c>
      <c r="J134" s="17" t="str">
        <f>IF(共有用1!J134="","",共有用1!J134&amp;"/"&amp;COUNTIF(共有用1!J$2:J134,共有用1!J134))</f>
        <v/>
      </c>
      <c r="K134" s="17" t="str">
        <f>IF(共有用1!K134="","",共有用1!K134&amp;"/"&amp;COUNTIF(共有用1!K$2:K134,共有用1!K134))</f>
        <v/>
      </c>
      <c r="L134" s="17" t="str">
        <f>IF(共有用1!L134="","",共有用1!L134&amp;"/"&amp;COUNTIF(共有用1!L$2:L134,共有用1!L134))</f>
        <v/>
      </c>
      <c r="M134" s="17" t="str">
        <f>IF(共有用1!M134="","",共有用1!M134&amp;"/"&amp;COUNTIF(共有用1!M$2:M134,共有用1!M134))</f>
        <v/>
      </c>
      <c r="N134" s="17" t="str">
        <f>IF(共有用1!N134="","",共有用1!N134&amp;"/"&amp;COUNTIF(共有用1!N$2:N134,共有用1!N134))</f>
        <v/>
      </c>
      <c r="O134" s="17" t="str">
        <f>IF(共有用1!O134="","",共有用1!O134&amp;"/"&amp;COUNTIF(共有用1!O$2:O134,共有用1!O134))</f>
        <v/>
      </c>
      <c r="P134" s="17" t="str">
        <f>IF(共有用1!P134="","",共有用1!P134&amp;"/"&amp;COUNTIF(共有用1!P$2:P134,共有用1!P134))</f>
        <v/>
      </c>
      <c r="Q134" s="17" t="str">
        <f>IF(共有用1!Q134="","",共有用1!Q134&amp;"/"&amp;COUNTIF(共有用1!Q$2:Q134,共有用1!Q134))</f>
        <v/>
      </c>
      <c r="R134" s="17" t="str">
        <f>IF(共有用1!R134="","",共有用1!R134&amp;"/"&amp;COUNTIF(共有用1!R$2:R134,共有用1!R134))</f>
        <v/>
      </c>
      <c r="S134" s="17" t="str">
        <f>IF(共有用1!S134="","",共有用1!S134&amp;"/"&amp;COUNTIF(共有用1!S$2:S134,共有用1!S134))</f>
        <v/>
      </c>
      <c r="T134" s="17" t="str">
        <f>IF(共有用1!T134="","",共有用1!T134&amp;"/"&amp;COUNTIF(共有用1!T$2:T134,共有用1!T134))</f>
        <v/>
      </c>
      <c r="U134" s="17" t="str">
        <f>IF(共有用1!U134="","",共有用1!U134&amp;"/"&amp;COUNTIF(共有用1!U$2:U134,共有用1!U134))</f>
        <v/>
      </c>
      <c r="V134" s="17" t="str">
        <f>IF(共有用1!V134="","",共有用1!V134&amp;"/"&amp;COUNTIF(共有用1!V$2:V134,共有用1!V134))</f>
        <v/>
      </c>
      <c r="W134" s="17" t="str">
        <f>IF(共有用1!W134="","",共有用1!W134&amp;"/"&amp;COUNTIF(共有用1!W$2:W134,共有用1!W134))</f>
        <v/>
      </c>
      <c r="X134" s="17" t="str">
        <f>IF(共有用1!X134="","",共有用1!X134&amp;"/"&amp;COUNTIF(共有用1!X$2:X134,共有用1!X134))</f>
        <v/>
      </c>
      <c r="Y134" s="17" t="str">
        <f>IF(共有用1!Y134="","",共有用1!Y134&amp;"/"&amp;COUNTIF(共有用1!Y$2:Y134,共有用1!Y134))</f>
        <v/>
      </c>
      <c r="Z134" s="17" t="str">
        <f>IF(共有用1!Z134="","",共有用1!Z134&amp;"/"&amp;COUNTIF(共有用1!Z$2:Z134,共有用1!Z134))</f>
        <v/>
      </c>
      <c r="AA134" s="17" t="str">
        <f>IF(共有用1!AA134="","",共有用1!AA134&amp;"/"&amp;COUNTIF(共有用1!AA$2:AA134,共有用1!AA134))</f>
        <v/>
      </c>
      <c r="AB134" s="17" t="str">
        <f>IF(共有用1!AB134="","",共有用1!AB134&amp;"/"&amp;COUNTIF(共有用1!AB$2:AB134,共有用1!AB134))</f>
        <v/>
      </c>
      <c r="AC134" s="17" t="str">
        <f>IF(共有用1!AC134="","",共有用1!AC134&amp;"/"&amp;COUNTIF(共有用1!AC$2:AC134,共有用1!AC134))</f>
        <v/>
      </c>
      <c r="AD134" s="17" t="str">
        <f>IF(共有用1!AD134="","",共有用1!AD134&amp;"/"&amp;COUNTIF(共有用1!AD$2:AD134,共有用1!AD134))</f>
        <v/>
      </c>
      <c r="AE134" s="17" t="str">
        <f>IF(共有用1!AE134="","",共有用1!AE134&amp;"/"&amp;COUNTIF(共有用1!AE$2:AE134,共有用1!AE134))</f>
        <v/>
      </c>
      <c r="AF134" s="17" t="str">
        <f>IF(共有用1!AF134="","",共有用1!AF134&amp;"/"&amp;COUNTIF(共有用1!AF$2:AF134,共有用1!AF134))</f>
        <v/>
      </c>
      <c r="AG134" s="17" t="str">
        <f>IF(共有用1!AG134="","",共有用1!AG134&amp;"/"&amp;COUNTIF(共有用1!AG$2:AG134,共有用1!AG134))</f>
        <v/>
      </c>
      <c r="AH134" s="17" t="str">
        <f>IF(共有用1!AH134="","",共有用1!AH134&amp;"/"&amp;COUNTIF(共有用1!AH$2:AH134,共有用1!AH134))</f>
        <v/>
      </c>
      <c r="AI134" s="17" t="str">
        <f>IF(共有用1!AI134="","",共有用1!AI134&amp;"/"&amp;COUNTIF(共有用1!AI$2:AI134,共有用1!AI134))</f>
        <v/>
      </c>
      <c r="AJ134" s="17" t="str">
        <f>IF(共有用1!AJ134="","",共有用1!AJ134&amp;"/"&amp;COUNTIF(共有用1!AJ$2:AJ134,共有用1!AJ134))</f>
        <v/>
      </c>
      <c r="AK134" s="17" t="str">
        <f>IF(共有用1!AK134="","",共有用1!AK134&amp;"/"&amp;COUNTIF(共有用1!AK$2:AK134,共有用1!AK134))</f>
        <v/>
      </c>
      <c r="AL134" s="17" t="str">
        <f>IF(共有用1!AL134="","",共有用1!AL134&amp;"/"&amp;COUNTIF(共有用1!AL$2:AL134,共有用1!AL134))</f>
        <v/>
      </c>
      <c r="AM134" s="17" t="str">
        <f>IF(共有用1!AM134="","",共有用1!AM134&amp;"/"&amp;COUNTIF(共有用1!AM$2:AM134,共有用1!AM134))</f>
        <v/>
      </c>
      <c r="AN134" s="17" t="str">
        <f>IF(共有用1!AN134="","",共有用1!AN134&amp;"/"&amp;COUNTIF(共有用1!AN$2:AN134,共有用1!AN134))</f>
        <v/>
      </c>
      <c r="AO134" s="17" t="str">
        <f>IF(共有用1!AO134="","",共有用1!AO134&amp;"/"&amp;COUNTIF(共有用1!AO$2:AO134,共有用1!AO134))</f>
        <v/>
      </c>
      <c r="AP134" s="17" t="str">
        <f>IF(共有用1!AP134="","",共有用1!AP134&amp;"/"&amp;COUNTIF(共有用1!AP$2:AP134,共有用1!AP134))</f>
        <v/>
      </c>
      <c r="AQ134" s="17" t="str">
        <f>IF(共有用1!AQ134="","",共有用1!AQ134&amp;"/"&amp;COUNTIF(共有用1!AQ$2:AQ134,共有用1!AQ134))</f>
        <v/>
      </c>
      <c r="AR134" s="17" t="str">
        <f>IF(共有用1!AR134="","",共有用1!AR134&amp;"/"&amp;COUNTIF(共有用1!AR$2:AR134,共有用1!AR134))</f>
        <v/>
      </c>
      <c r="AS134" s="17" t="str">
        <f>IF(共有用1!AS134="","",共有用1!AS134&amp;"/"&amp;COUNTIF(共有用1!AS$2:AS134,共有用1!AS134))</f>
        <v/>
      </c>
      <c r="AT134" s="17" t="str">
        <f>IF(共有用1!AT134="","",共有用1!AT134&amp;"/"&amp;COUNTIF(共有用1!AT$2:AT134,共有用1!AT134))</f>
        <v/>
      </c>
      <c r="AU134" s="17" t="str">
        <f>IF(共有用1!AU134="","",共有用1!AU134&amp;"/"&amp;COUNTIF(共有用1!AU$2:AU134,共有用1!AU134))</f>
        <v/>
      </c>
      <c r="AV134" s="17" t="str">
        <f>IF(共有用1!AV134="","",共有用1!AV134&amp;"/"&amp;COUNTIF(共有用1!AV$2:AV134,共有用1!AV134))</f>
        <v/>
      </c>
      <c r="AW134" s="17" t="str">
        <f>IF(共有用1!AW134="","",共有用1!AW134&amp;"/"&amp;COUNTIF(共有用1!AW$2:AW134,共有用1!AW134))</f>
        <v/>
      </c>
      <c r="AX134" s="17" t="str">
        <f>IF(共有用1!AX134="","",共有用1!AX134&amp;"/"&amp;COUNTIF(共有用1!AX$2:AX134,共有用1!AX134))</f>
        <v/>
      </c>
      <c r="AY134" s="17" t="str">
        <f>IF(共有用1!AY134="","",共有用1!AY134&amp;"/"&amp;COUNTIF(共有用1!AY$2:AY134,共有用1!AY134))</f>
        <v/>
      </c>
      <c r="AZ134" s="17" t="str">
        <f>IF(共有用1!AZ134="","",共有用1!AZ134&amp;"/"&amp;COUNTIF(共有用1!AZ$2:AZ134,共有用1!AZ134))</f>
        <v/>
      </c>
      <c r="BA134" s="17" t="str">
        <f>IF(共有用1!BA134="","",共有用1!BA134&amp;"/"&amp;COUNTIF(共有用1!BA$2:BA134,共有用1!BA134))</f>
        <v/>
      </c>
    </row>
    <row r="135" spans="1:53">
      <c r="A135" s="2" t="str">
        <f>共有用1!A135</f>
        <v/>
      </c>
      <c r="B135" s="2" t="str">
        <f>共有用1!B135</f>
        <v/>
      </c>
      <c r="C135" s="2" t="str">
        <f>共有用1!C135</f>
        <v/>
      </c>
      <c r="D135" s="17" t="str">
        <f>IF(共有用1!D135="","",共有用1!D135&amp;"/"&amp;COUNTIF(共有用1!D$2:D135,共有用1!D135))</f>
        <v/>
      </c>
      <c r="E135" s="17" t="str">
        <f>IF(共有用1!E135="","",共有用1!E135&amp;"/"&amp;COUNTIF(共有用1!E$2:E135,共有用1!E135))</f>
        <v/>
      </c>
      <c r="F135" s="17" t="str">
        <f>IF(共有用1!F135="","",共有用1!F135&amp;"/"&amp;COUNTIF(共有用1!F$2:F135,共有用1!F135))</f>
        <v/>
      </c>
      <c r="G135" s="17" t="str">
        <f>IF(共有用1!G135="","",共有用1!G135&amp;"/"&amp;COUNTIF(共有用1!G$2:G135,共有用1!G135))</f>
        <v/>
      </c>
      <c r="H135" s="17" t="str">
        <f>IF(共有用1!H135="","",共有用1!H135&amp;"/"&amp;COUNTIF(共有用1!H$2:H135,共有用1!H135))</f>
        <v/>
      </c>
      <c r="I135" s="17" t="str">
        <f>IF(共有用1!I135="","",共有用1!I135&amp;"/"&amp;COUNTIF(共有用1!I$2:I135,共有用1!I135))</f>
        <v/>
      </c>
      <c r="J135" s="17" t="str">
        <f>IF(共有用1!J135="","",共有用1!J135&amp;"/"&amp;COUNTIF(共有用1!J$2:J135,共有用1!J135))</f>
        <v/>
      </c>
      <c r="K135" s="17" t="str">
        <f>IF(共有用1!K135="","",共有用1!K135&amp;"/"&amp;COUNTIF(共有用1!K$2:K135,共有用1!K135))</f>
        <v/>
      </c>
      <c r="L135" s="17" t="str">
        <f>IF(共有用1!L135="","",共有用1!L135&amp;"/"&amp;COUNTIF(共有用1!L$2:L135,共有用1!L135))</f>
        <v/>
      </c>
      <c r="M135" s="17" t="str">
        <f>IF(共有用1!M135="","",共有用1!M135&amp;"/"&amp;COUNTIF(共有用1!M$2:M135,共有用1!M135))</f>
        <v/>
      </c>
      <c r="N135" s="17" t="str">
        <f>IF(共有用1!N135="","",共有用1!N135&amp;"/"&amp;COUNTIF(共有用1!N$2:N135,共有用1!N135))</f>
        <v/>
      </c>
      <c r="O135" s="17" t="str">
        <f>IF(共有用1!O135="","",共有用1!O135&amp;"/"&amp;COUNTIF(共有用1!O$2:O135,共有用1!O135))</f>
        <v/>
      </c>
      <c r="P135" s="17" t="str">
        <f>IF(共有用1!P135="","",共有用1!P135&amp;"/"&amp;COUNTIF(共有用1!P$2:P135,共有用1!P135))</f>
        <v/>
      </c>
      <c r="Q135" s="17" t="str">
        <f>IF(共有用1!Q135="","",共有用1!Q135&amp;"/"&amp;COUNTIF(共有用1!Q$2:Q135,共有用1!Q135))</f>
        <v/>
      </c>
      <c r="R135" s="17" t="str">
        <f>IF(共有用1!R135="","",共有用1!R135&amp;"/"&amp;COUNTIF(共有用1!R$2:R135,共有用1!R135))</f>
        <v/>
      </c>
      <c r="S135" s="17" t="str">
        <f>IF(共有用1!S135="","",共有用1!S135&amp;"/"&amp;COUNTIF(共有用1!S$2:S135,共有用1!S135))</f>
        <v/>
      </c>
      <c r="T135" s="17" t="str">
        <f>IF(共有用1!T135="","",共有用1!T135&amp;"/"&amp;COUNTIF(共有用1!T$2:T135,共有用1!T135))</f>
        <v/>
      </c>
      <c r="U135" s="17" t="str">
        <f>IF(共有用1!U135="","",共有用1!U135&amp;"/"&amp;COUNTIF(共有用1!U$2:U135,共有用1!U135))</f>
        <v/>
      </c>
      <c r="V135" s="17" t="str">
        <f>IF(共有用1!V135="","",共有用1!V135&amp;"/"&amp;COUNTIF(共有用1!V$2:V135,共有用1!V135))</f>
        <v/>
      </c>
      <c r="W135" s="17" t="str">
        <f>IF(共有用1!W135="","",共有用1!W135&amp;"/"&amp;COUNTIF(共有用1!W$2:W135,共有用1!W135))</f>
        <v/>
      </c>
      <c r="X135" s="17" t="str">
        <f>IF(共有用1!X135="","",共有用1!X135&amp;"/"&amp;COUNTIF(共有用1!X$2:X135,共有用1!X135))</f>
        <v/>
      </c>
      <c r="Y135" s="17" t="str">
        <f>IF(共有用1!Y135="","",共有用1!Y135&amp;"/"&amp;COUNTIF(共有用1!Y$2:Y135,共有用1!Y135))</f>
        <v/>
      </c>
      <c r="Z135" s="17" t="str">
        <f>IF(共有用1!Z135="","",共有用1!Z135&amp;"/"&amp;COUNTIF(共有用1!Z$2:Z135,共有用1!Z135))</f>
        <v/>
      </c>
      <c r="AA135" s="17" t="str">
        <f>IF(共有用1!AA135="","",共有用1!AA135&amp;"/"&amp;COUNTIF(共有用1!AA$2:AA135,共有用1!AA135))</f>
        <v/>
      </c>
      <c r="AB135" s="17" t="str">
        <f>IF(共有用1!AB135="","",共有用1!AB135&amp;"/"&amp;COUNTIF(共有用1!AB$2:AB135,共有用1!AB135))</f>
        <v/>
      </c>
      <c r="AC135" s="17" t="str">
        <f>IF(共有用1!AC135="","",共有用1!AC135&amp;"/"&amp;COUNTIF(共有用1!AC$2:AC135,共有用1!AC135))</f>
        <v/>
      </c>
      <c r="AD135" s="17" t="str">
        <f>IF(共有用1!AD135="","",共有用1!AD135&amp;"/"&amp;COUNTIF(共有用1!AD$2:AD135,共有用1!AD135))</f>
        <v/>
      </c>
      <c r="AE135" s="17" t="str">
        <f>IF(共有用1!AE135="","",共有用1!AE135&amp;"/"&amp;COUNTIF(共有用1!AE$2:AE135,共有用1!AE135))</f>
        <v/>
      </c>
      <c r="AF135" s="17" t="str">
        <f>IF(共有用1!AF135="","",共有用1!AF135&amp;"/"&amp;COUNTIF(共有用1!AF$2:AF135,共有用1!AF135))</f>
        <v/>
      </c>
      <c r="AG135" s="17" t="str">
        <f>IF(共有用1!AG135="","",共有用1!AG135&amp;"/"&amp;COUNTIF(共有用1!AG$2:AG135,共有用1!AG135))</f>
        <v/>
      </c>
      <c r="AH135" s="17" t="str">
        <f>IF(共有用1!AH135="","",共有用1!AH135&amp;"/"&amp;COUNTIF(共有用1!AH$2:AH135,共有用1!AH135))</f>
        <v/>
      </c>
      <c r="AI135" s="17" t="str">
        <f>IF(共有用1!AI135="","",共有用1!AI135&amp;"/"&amp;COUNTIF(共有用1!AI$2:AI135,共有用1!AI135))</f>
        <v/>
      </c>
      <c r="AJ135" s="17" t="str">
        <f>IF(共有用1!AJ135="","",共有用1!AJ135&amp;"/"&amp;COUNTIF(共有用1!AJ$2:AJ135,共有用1!AJ135))</f>
        <v/>
      </c>
      <c r="AK135" s="17" t="str">
        <f>IF(共有用1!AK135="","",共有用1!AK135&amp;"/"&amp;COUNTIF(共有用1!AK$2:AK135,共有用1!AK135))</f>
        <v/>
      </c>
      <c r="AL135" s="17" t="str">
        <f>IF(共有用1!AL135="","",共有用1!AL135&amp;"/"&amp;COUNTIF(共有用1!AL$2:AL135,共有用1!AL135))</f>
        <v/>
      </c>
      <c r="AM135" s="17" t="str">
        <f>IF(共有用1!AM135="","",共有用1!AM135&amp;"/"&amp;COUNTIF(共有用1!AM$2:AM135,共有用1!AM135))</f>
        <v/>
      </c>
      <c r="AN135" s="17" t="str">
        <f>IF(共有用1!AN135="","",共有用1!AN135&amp;"/"&amp;COUNTIF(共有用1!AN$2:AN135,共有用1!AN135))</f>
        <v/>
      </c>
      <c r="AO135" s="17" t="str">
        <f>IF(共有用1!AO135="","",共有用1!AO135&amp;"/"&amp;COUNTIF(共有用1!AO$2:AO135,共有用1!AO135))</f>
        <v/>
      </c>
      <c r="AP135" s="17" t="str">
        <f>IF(共有用1!AP135="","",共有用1!AP135&amp;"/"&amp;COUNTIF(共有用1!AP$2:AP135,共有用1!AP135))</f>
        <v/>
      </c>
      <c r="AQ135" s="17" t="str">
        <f>IF(共有用1!AQ135="","",共有用1!AQ135&amp;"/"&amp;COUNTIF(共有用1!AQ$2:AQ135,共有用1!AQ135))</f>
        <v/>
      </c>
      <c r="AR135" s="17" t="str">
        <f>IF(共有用1!AR135="","",共有用1!AR135&amp;"/"&amp;COUNTIF(共有用1!AR$2:AR135,共有用1!AR135))</f>
        <v/>
      </c>
      <c r="AS135" s="17" t="str">
        <f>IF(共有用1!AS135="","",共有用1!AS135&amp;"/"&amp;COUNTIF(共有用1!AS$2:AS135,共有用1!AS135))</f>
        <v/>
      </c>
      <c r="AT135" s="17" t="str">
        <f>IF(共有用1!AT135="","",共有用1!AT135&amp;"/"&amp;COUNTIF(共有用1!AT$2:AT135,共有用1!AT135))</f>
        <v/>
      </c>
      <c r="AU135" s="17" t="str">
        <f>IF(共有用1!AU135="","",共有用1!AU135&amp;"/"&amp;COUNTIF(共有用1!AU$2:AU135,共有用1!AU135))</f>
        <v/>
      </c>
      <c r="AV135" s="17" t="str">
        <f>IF(共有用1!AV135="","",共有用1!AV135&amp;"/"&amp;COUNTIF(共有用1!AV$2:AV135,共有用1!AV135))</f>
        <v/>
      </c>
      <c r="AW135" s="17" t="str">
        <f>IF(共有用1!AW135="","",共有用1!AW135&amp;"/"&amp;COUNTIF(共有用1!AW$2:AW135,共有用1!AW135))</f>
        <v/>
      </c>
      <c r="AX135" s="17" t="str">
        <f>IF(共有用1!AX135="","",共有用1!AX135&amp;"/"&amp;COUNTIF(共有用1!AX$2:AX135,共有用1!AX135))</f>
        <v/>
      </c>
      <c r="AY135" s="17" t="str">
        <f>IF(共有用1!AY135="","",共有用1!AY135&amp;"/"&amp;COUNTIF(共有用1!AY$2:AY135,共有用1!AY135))</f>
        <v/>
      </c>
      <c r="AZ135" s="17" t="str">
        <f>IF(共有用1!AZ135="","",共有用1!AZ135&amp;"/"&amp;COUNTIF(共有用1!AZ$2:AZ135,共有用1!AZ135))</f>
        <v/>
      </c>
      <c r="BA135" s="17" t="str">
        <f>IF(共有用1!BA135="","",共有用1!BA135&amp;"/"&amp;COUNTIF(共有用1!BA$2:BA135,共有用1!BA135))</f>
        <v/>
      </c>
    </row>
    <row r="136" spans="1:53">
      <c r="A136" s="2" t="str">
        <f>共有用1!A136</f>
        <v/>
      </c>
      <c r="B136" s="2" t="str">
        <f>共有用1!B136</f>
        <v/>
      </c>
      <c r="C136" s="2" t="str">
        <f>共有用1!C136</f>
        <v/>
      </c>
      <c r="D136" s="17" t="str">
        <f>IF(共有用1!D136="","",共有用1!D136&amp;"/"&amp;COUNTIF(共有用1!D$2:D136,共有用1!D136))</f>
        <v/>
      </c>
      <c r="E136" s="17" t="str">
        <f>IF(共有用1!E136="","",共有用1!E136&amp;"/"&amp;COUNTIF(共有用1!E$2:E136,共有用1!E136))</f>
        <v/>
      </c>
      <c r="F136" s="17" t="str">
        <f>IF(共有用1!F136="","",共有用1!F136&amp;"/"&amp;COUNTIF(共有用1!F$2:F136,共有用1!F136))</f>
        <v/>
      </c>
      <c r="G136" s="17" t="str">
        <f>IF(共有用1!G136="","",共有用1!G136&amp;"/"&amp;COUNTIF(共有用1!G$2:G136,共有用1!G136))</f>
        <v/>
      </c>
      <c r="H136" s="17" t="str">
        <f>IF(共有用1!H136="","",共有用1!H136&amp;"/"&amp;COUNTIF(共有用1!H$2:H136,共有用1!H136))</f>
        <v/>
      </c>
      <c r="I136" s="17" t="str">
        <f>IF(共有用1!I136="","",共有用1!I136&amp;"/"&amp;COUNTIF(共有用1!I$2:I136,共有用1!I136))</f>
        <v/>
      </c>
      <c r="J136" s="17" t="str">
        <f>IF(共有用1!J136="","",共有用1!J136&amp;"/"&amp;COUNTIF(共有用1!J$2:J136,共有用1!J136))</f>
        <v/>
      </c>
      <c r="K136" s="17" t="str">
        <f>IF(共有用1!K136="","",共有用1!K136&amp;"/"&amp;COUNTIF(共有用1!K$2:K136,共有用1!K136))</f>
        <v/>
      </c>
      <c r="L136" s="17" t="str">
        <f>IF(共有用1!L136="","",共有用1!L136&amp;"/"&amp;COUNTIF(共有用1!L$2:L136,共有用1!L136))</f>
        <v/>
      </c>
      <c r="M136" s="17" t="str">
        <f>IF(共有用1!M136="","",共有用1!M136&amp;"/"&amp;COUNTIF(共有用1!M$2:M136,共有用1!M136))</f>
        <v/>
      </c>
      <c r="N136" s="17" t="str">
        <f>IF(共有用1!N136="","",共有用1!N136&amp;"/"&amp;COUNTIF(共有用1!N$2:N136,共有用1!N136))</f>
        <v/>
      </c>
      <c r="O136" s="17" t="str">
        <f>IF(共有用1!O136="","",共有用1!O136&amp;"/"&amp;COUNTIF(共有用1!O$2:O136,共有用1!O136))</f>
        <v/>
      </c>
      <c r="P136" s="17" t="str">
        <f>IF(共有用1!P136="","",共有用1!P136&amp;"/"&amp;COUNTIF(共有用1!P$2:P136,共有用1!P136))</f>
        <v/>
      </c>
      <c r="Q136" s="17" t="str">
        <f>IF(共有用1!Q136="","",共有用1!Q136&amp;"/"&amp;COUNTIF(共有用1!Q$2:Q136,共有用1!Q136))</f>
        <v/>
      </c>
      <c r="R136" s="17" t="str">
        <f>IF(共有用1!R136="","",共有用1!R136&amp;"/"&amp;COUNTIF(共有用1!R$2:R136,共有用1!R136))</f>
        <v/>
      </c>
      <c r="S136" s="17" t="str">
        <f>IF(共有用1!S136="","",共有用1!S136&amp;"/"&amp;COUNTIF(共有用1!S$2:S136,共有用1!S136))</f>
        <v/>
      </c>
      <c r="T136" s="17" t="str">
        <f>IF(共有用1!T136="","",共有用1!T136&amp;"/"&amp;COUNTIF(共有用1!T$2:T136,共有用1!T136))</f>
        <v/>
      </c>
      <c r="U136" s="17" t="str">
        <f>IF(共有用1!U136="","",共有用1!U136&amp;"/"&amp;COUNTIF(共有用1!U$2:U136,共有用1!U136))</f>
        <v/>
      </c>
      <c r="V136" s="17" t="str">
        <f>IF(共有用1!V136="","",共有用1!V136&amp;"/"&amp;COUNTIF(共有用1!V$2:V136,共有用1!V136))</f>
        <v/>
      </c>
      <c r="W136" s="17" t="str">
        <f>IF(共有用1!W136="","",共有用1!W136&amp;"/"&amp;COUNTIF(共有用1!W$2:W136,共有用1!W136))</f>
        <v/>
      </c>
      <c r="X136" s="17" t="str">
        <f>IF(共有用1!X136="","",共有用1!X136&amp;"/"&amp;COUNTIF(共有用1!X$2:X136,共有用1!X136))</f>
        <v/>
      </c>
      <c r="Y136" s="17" t="str">
        <f>IF(共有用1!Y136="","",共有用1!Y136&amp;"/"&amp;COUNTIF(共有用1!Y$2:Y136,共有用1!Y136))</f>
        <v/>
      </c>
      <c r="Z136" s="17" t="str">
        <f>IF(共有用1!Z136="","",共有用1!Z136&amp;"/"&amp;COUNTIF(共有用1!Z$2:Z136,共有用1!Z136))</f>
        <v/>
      </c>
      <c r="AA136" s="17" t="str">
        <f>IF(共有用1!AA136="","",共有用1!AA136&amp;"/"&amp;COUNTIF(共有用1!AA$2:AA136,共有用1!AA136))</f>
        <v/>
      </c>
      <c r="AB136" s="17" t="str">
        <f>IF(共有用1!AB136="","",共有用1!AB136&amp;"/"&amp;COUNTIF(共有用1!AB$2:AB136,共有用1!AB136))</f>
        <v/>
      </c>
      <c r="AC136" s="17" t="str">
        <f>IF(共有用1!AC136="","",共有用1!AC136&amp;"/"&amp;COUNTIF(共有用1!AC$2:AC136,共有用1!AC136))</f>
        <v/>
      </c>
      <c r="AD136" s="17" t="str">
        <f>IF(共有用1!AD136="","",共有用1!AD136&amp;"/"&amp;COUNTIF(共有用1!AD$2:AD136,共有用1!AD136))</f>
        <v/>
      </c>
      <c r="AE136" s="17" t="str">
        <f>IF(共有用1!AE136="","",共有用1!AE136&amp;"/"&amp;COUNTIF(共有用1!AE$2:AE136,共有用1!AE136))</f>
        <v/>
      </c>
      <c r="AF136" s="17" t="str">
        <f>IF(共有用1!AF136="","",共有用1!AF136&amp;"/"&amp;COUNTIF(共有用1!AF$2:AF136,共有用1!AF136))</f>
        <v/>
      </c>
      <c r="AG136" s="17" t="str">
        <f>IF(共有用1!AG136="","",共有用1!AG136&amp;"/"&amp;COUNTIF(共有用1!AG$2:AG136,共有用1!AG136))</f>
        <v/>
      </c>
      <c r="AH136" s="17" t="str">
        <f>IF(共有用1!AH136="","",共有用1!AH136&amp;"/"&amp;COUNTIF(共有用1!AH$2:AH136,共有用1!AH136))</f>
        <v/>
      </c>
      <c r="AI136" s="17" t="str">
        <f>IF(共有用1!AI136="","",共有用1!AI136&amp;"/"&amp;COUNTIF(共有用1!AI$2:AI136,共有用1!AI136))</f>
        <v/>
      </c>
      <c r="AJ136" s="17" t="str">
        <f>IF(共有用1!AJ136="","",共有用1!AJ136&amp;"/"&amp;COUNTIF(共有用1!AJ$2:AJ136,共有用1!AJ136))</f>
        <v/>
      </c>
      <c r="AK136" s="17" t="str">
        <f>IF(共有用1!AK136="","",共有用1!AK136&amp;"/"&amp;COUNTIF(共有用1!AK$2:AK136,共有用1!AK136))</f>
        <v/>
      </c>
      <c r="AL136" s="17" t="str">
        <f>IF(共有用1!AL136="","",共有用1!AL136&amp;"/"&amp;COUNTIF(共有用1!AL$2:AL136,共有用1!AL136))</f>
        <v/>
      </c>
      <c r="AM136" s="17" t="str">
        <f>IF(共有用1!AM136="","",共有用1!AM136&amp;"/"&amp;COUNTIF(共有用1!AM$2:AM136,共有用1!AM136))</f>
        <v/>
      </c>
      <c r="AN136" s="17" t="str">
        <f>IF(共有用1!AN136="","",共有用1!AN136&amp;"/"&amp;COUNTIF(共有用1!AN$2:AN136,共有用1!AN136))</f>
        <v/>
      </c>
      <c r="AO136" s="17" t="str">
        <f>IF(共有用1!AO136="","",共有用1!AO136&amp;"/"&amp;COUNTIF(共有用1!AO$2:AO136,共有用1!AO136))</f>
        <v/>
      </c>
      <c r="AP136" s="17" t="str">
        <f>IF(共有用1!AP136="","",共有用1!AP136&amp;"/"&amp;COUNTIF(共有用1!AP$2:AP136,共有用1!AP136))</f>
        <v/>
      </c>
      <c r="AQ136" s="17" t="str">
        <f>IF(共有用1!AQ136="","",共有用1!AQ136&amp;"/"&amp;COUNTIF(共有用1!AQ$2:AQ136,共有用1!AQ136))</f>
        <v/>
      </c>
      <c r="AR136" s="17" t="str">
        <f>IF(共有用1!AR136="","",共有用1!AR136&amp;"/"&amp;COUNTIF(共有用1!AR$2:AR136,共有用1!AR136))</f>
        <v/>
      </c>
      <c r="AS136" s="17" t="str">
        <f>IF(共有用1!AS136="","",共有用1!AS136&amp;"/"&amp;COUNTIF(共有用1!AS$2:AS136,共有用1!AS136))</f>
        <v/>
      </c>
      <c r="AT136" s="17" t="str">
        <f>IF(共有用1!AT136="","",共有用1!AT136&amp;"/"&amp;COUNTIF(共有用1!AT$2:AT136,共有用1!AT136))</f>
        <v/>
      </c>
      <c r="AU136" s="17" t="str">
        <f>IF(共有用1!AU136="","",共有用1!AU136&amp;"/"&amp;COUNTIF(共有用1!AU$2:AU136,共有用1!AU136))</f>
        <v/>
      </c>
      <c r="AV136" s="17" t="str">
        <f>IF(共有用1!AV136="","",共有用1!AV136&amp;"/"&amp;COUNTIF(共有用1!AV$2:AV136,共有用1!AV136))</f>
        <v/>
      </c>
      <c r="AW136" s="17" t="str">
        <f>IF(共有用1!AW136="","",共有用1!AW136&amp;"/"&amp;COUNTIF(共有用1!AW$2:AW136,共有用1!AW136))</f>
        <v/>
      </c>
      <c r="AX136" s="17" t="str">
        <f>IF(共有用1!AX136="","",共有用1!AX136&amp;"/"&amp;COUNTIF(共有用1!AX$2:AX136,共有用1!AX136))</f>
        <v/>
      </c>
      <c r="AY136" s="17" t="str">
        <f>IF(共有用1!AY136="","",共有用1!AY136&amp;"/"&amp;COUNTIF(共有用1!AY$2:AY136,共有用1!AY136))</f>
        <v/>
      </c>
      <c r="AZ136" s="17" t="str">
        <f>IF(共有用1!AZ136="","",共有用1!AZ136&amp;"/"&amp;COUNTIF(共有用1!AZ$2:AZ136,共有用1!AZ136))</f>
        <v/>
      </c>
      <c r="BA136" s="17" t="str">
        <f>IF(共有用1!BA136="","",共有用1!BA136&amp;"/"&amp;COUNTIF(共有用1!BA$2:BA136,共有用1!BA136))</f>
        <v/>
      </c>
    </row>
    <row r="137" spans="1:53">
      <c r="A137" s="2" t="str">
        <f>共有用1!A137</f>
        <v/>
      </c>
      <c r="B137" s="2" t="str">
        <f>共有用1!B137</f>
        <v/>
      </c>
      <c r="C137" s="2" t="str">
        <f>共有用1!C137</f>
        <v/>
      </c>
      <c r="D137" s="17" t="str">
        <f>IF(共有用1!D137="","",共有用1!D137&amp;"/"&amp;COUNTIF(共有用1!D$2:D137,共有用1!D137))</f>
        <v/>
      </c>
      <c r="E137" s="17" t="str">
        <f>IF(共有用1!E137="","",共有用1!E137&amp;"/"&amp;COUNTIF(共有用1!E$2:E137,共有用1!E137))</f>
        <v/>
      </c>
      <c r="F137" s="17" t="str">
        <f>IF(共有用1!F137="","",共有用1!F137&amp;"/"&amp;COUNTIF(共有用1!F$2:F137,共有用1!F137))</f>
        <v/>
      </c>
      <c r="G137" s="17" t="str">
        <f>IF(共有用1!G137="","",共有用1!G137&amp;"/"&amp;COUNTIF(共有用1!G$2:G137,共有用1!G137))</f>
        <v/>
      </c>
      <c r="H137" s="17" t="str">
        <f>IF(共有用1!H137="","",共有用1!H137&amp;"/"&amp;COUNTIF(共有用1!H$2:H137,共有用1!H137))</f>
        <v/>
      </c>
      <c r="I137" s="17" t="str">
        <f>IF(共有用1!I137="","",共有用1!I137&amp;"/"&amp;COUNTIF(共有用1!I$2:I137,共有用1!I137))</f>
        <v/>
      </c>
      <c r="J137" s="17" t="str">
        <f>IF(共有用1!J137="","",共有用1!J137&amp;"/"&amp;COUNTIF(共有用1!J$2:J137,共有用1!J137))</f>
        <v/>
      </c>
      <c r="K137" s="17" t="str">
        <f>IF(共有用1!K137="","",共有用1!K137&amp;"/"&amp;COUNTIF(共有用1!K$2:K137,共有用1!K137))</f>
        <v/>
      </c>
      <c r="L137" s="17" t="str">
        <f>IF(共有用1!L137="","",共有用1!L137&amp;"/"&amp;COUNTIF(共有用1!L$2:L137,共有用1!L137))</f>
        <v/>
      </c>
      <c r="M137" s="17" t="str">
        <f>IF(共有用1!M137="","",共有用1!M137&amp;"/"&amp;COUNTIF(共有用1!M$2:M137,共有用1!M137))</f>
        <v/>
      </c>
      <c r="N137" s="17" t="str">
        <f>IF(共有用1!N137="","",共有用1!N137&amp;"/"&amp;COUNTIF(共有用1!N$2:N137,共有用1!N137))</f>
        <v/>
      </c>
      <c r="O137" s="17" t="str">
        <f>IF(共有用1!O137="","",共有用1!O137&amp;"/"&amp;COUNTIF(共有用1!O$2:O137,共有用1!O137))</f>
        <v/>
      </c>
      <c r="P137" s="17" t="str">
        <f>IF(共有用1!P137="","",共有用1!P137&amp;"/"&amp;COUNTIF(共有用1!P$2:P137,共有用1!P137))</f>
        <v/>
      </c>
      <c r="Q137" s="17" t="str">
        <f>IF(共有用1!Q137="","",共有用1!Q137&amp;"/"&amp;COUNTIF(共有用1!Q$2:Q137,共有用1!Q137))</f>
        <v/>
      </c>
      <c r="R137" s="17" t="str">
        <f>IF(共有用1!R137="","",共有用1!R137&amp;"/"&amp;COUNTIF(共有用1!R$2:R137,共有用1!R137))</f>
        <v/>
      </c>
      <c r="S137" s="17" t="str">
        <f>IF(共有用1!S137="","",共有用1!S137&amp;"/"&amp;COUNTIF(共有用1!S$2:S137,共有用1!S137))</f>
        <v/>
      </c>
      <c r="T137" s="17" t="str">
        <f>IF(共有用1!T137="","",共有用1!T137&amp;"/"&amp;COUNTIF(共有用1!T$2:T137,共有用1!T137))</f>
        <v/>
      </c>
      <c r="U137" s="17" t="str">
        <f>IF(共有用1!U137="","",共有用1!U137&amp;"/"&amp;COUNTIF(共有用1!U$2:U137,共有用1!U137))</f>
        <v/>
      </c>
      <c r="V137" s="17" t="str">
        <f>IF(共有用1!V137="","",共有用1!V137&amp;"/"&amp;COUNTIF(共有用1!V$2:V137,共有用1!V137))</f>
        <v/>
      </c>
      <c r="W137" s="17" t="str">
        <f>IF(共有用1!W137="","",共有用1!W137&amp;"/"&amp;COUNTIF(共有用1!W$2:W137,共有用1!W137))</f>
        <v/>
      </c>
      <c r="X137" s="17" t="str">
        <f>IF(共有用1!X137="","",共有用1!X137&amp;"/"&amp;COUNTIF(共有用1!X$2:X137,共有用1!X137))</f>
        <v/>
      </c>
      <c r="Y137" s="17" t="str">
        <f>IF(共有用1!Y137="","",共有用1!Y137&amp;"/"&amp;COUNTIF(共有用1!Y$2:Y137,共有用1!Y137))</f>
        <v/>
      </c>
      <c r="Z137" s="17" t="str">
        <f>IF(共有用1!Z137="","",共有用1!Z137&amp;"/"&amp;COUNTIF(共有用1!Z$2:Z137,共有用1!Z137))</f>
        <v/>
      </c>
      <c r="AA137" s="17" t="str">
        <f>IF(共有用1!AA137="","",共有用1!AA137&amp;"/"&amp;COUNTIF(共有用1!AA$2:AA137,共有用1!AA137))</f>
        <v/>
      </c>
      <c r="AB137" s="17" t="str">
        <f>IF(共有用1!AB137="","",共有用1!AB137&amp;"/"&amp;COUNTIF(共有用1!AB$2:AB137,共有用1!AB137))</f>
        <v/>
      </c>
      <c r="AC137" s="17" t="str">
        <f>IF(共有用1!AC137="","",共有用1!AC137&amp;"/"&amp;COUNTIF(共有用1!AC$2:AC137,共有用1!AC137))</f>
        <v/>
      </c>
      <c r="AD137" s="17" t="str">
        <f>IF(共有用1!AD137="","",共有用1!AD137&amp;"/"&amp;COUNTIF(共有用1!AD$2:AD137,共有用1!AD137))</f>
        <v/>
      </c>
      <c r="AE137" s="17" t="str">
        <f>IF(共有用1!AE137="","",共有用1!AE137&amp;"/"&amp;COUNTIF(共有用1!AE$2:AE137,共有用1!AE137))</f>
        <v/>
      </c>
      <c r="AF137" s="17" t="str">
        <f>IF(共有用1!AF137="","",共有用1!AF137&amp;"/"&amp;COUNTIF(共有用1!AF$2:AF137,共有用1!AF137))</f>
        <v/>
      </c>
      <c r="AG137" s="17" t="str">
        <f>IF(共有用1!AG137="","",共有用1!AG137&amp;"/"&amp;COUNTIF(共有用1!AG$2:AG137,共有用1!AG137))</f>
        <v/>
      </c>
      <c r="AH137" s="17" t="str">
        <f>IF(共有用1!AH137="","",共有用1!AH137&amp;"/"&amp;COUNTIF(共有用1!AH$2:AH137,共有用1!AH137))</f>
        <v/>
      </c>
      <c r="AI137" s="17" t="str">
        <f>IF(共有用1!AI137="","",共有用1!AI137&amp;"/"&amp;COUNTIF(共有用1!AI$2:AI137,共有用1!AI137))</f>
        <v/>
      </c>
      <c r="AJ137" s="17" t="str">
        <f>IF(共有用1!AJ137="","",共有用1!AJ137&amp;"/"&amp;COUNTIF(共有用1!AJ$2:AJ137,共有用1!AJ137))</f>
        <v/>
      </c>
      <c r="AK137" s="17" t="str">
        <f>IF(共有用1!AK137="","",共有用1!AK137&amp;"/"&amp;COUNTIF(共有用1!AK$2:AK137,共有用1!AK137))</f>
        <v/>
      </c>
      <c r="AL137" s="17" t="str">
        <f>IF(共有用1!AL137="","",共有用1!AL137&amp;"/"&amp;COUNTIF(共有用1!AL$2:AL137,共有用1!AL137))</f>
        <v/>
      </c>
      <c r="AM137" s="17" t="str">
        <f>IF(共有用1!AM137="","",共有用1!AM137&amp;"/"&amp;COUNTIF(共有用1!AM$2:AM137,共有用1!AM137))</f>
        <v/>
      </c>
      <c r="AN137" s="17" t="str">
        <f>IF(共有用1!AN137="","",共有用1!AN137&amp;"/"&amp;COUNTIF(共有用1!AN$2:AN137,共有用1!AN137))</f>
        <v/>
      </c>
      <c r="AO137" s="17" t="str">
        <f>IF(共有用1!AO137="","",共有用1!AO137&amp;"/"&amp;COUNTIF(共有用1!AO$2:AO137,共有用1!AO137))</f>
        <v/>
      </c>
      <c r="AP137" s="17" t="str">
        <f>IF(共有用1!AP137="","",共有用1!AP137&amp;"/"&amp;COUNTIF(共有用1!AP$2:AP137,共有用1!AP137))</f>
        <v/>
      </c>
      <c r="AQ137" s="17" t="str">
        <f>IF(共有用1!AQ137="","",共有用1!AQ137&amp;"/"&amp;COUNTIF(共有用1!AQ$2:AQ137,共有用1!AQ137))</f>
        <v/>
      </c>
      <c r="AR137" s="17" t="str">
        <f>IF(共有用1!AR137="","",共有用1!AR137&amp;"/"&amp;COUNTIF(共有用1!AR$2:AR137,共有用1!AR137))</f>
        <v/>
      </c>
      <c r="AS137" s="17" t="str">
        <f>IF(共有用1!AS137="","",共有用1!AS137&amp;"/"&amp;COUNTIF(共有用1!AS$2:AS137,共有用1!AS137))</f>
        <v/>
      </c>
      <c r="AT137" s="17" t="str">
        <f>IF(共有用1!AT137="","",共有用1!AT137&amp;"/"&amp;COUNTIF(共有用1!AT$2:AT137,共有用1!AT137))</f>
        <v/>
      </c>
      <c r="AU137" s="17" t="str">
        <f>IF(共有用1!AU137="","",共有用1!AU137&amp;"/"&amp;COUNTIF(共有用1!AU$2:AU137,共有用1!AU137))</f>
        <v/>
      </c>
      <c r="AV137" s="17" t="str">
        <f>IF(共有用1!AV137="","",共有用1!AV137&amp;"/"&amp;COUNTIF(共有用1!AV$2:AV137,共有用1!AV137))</f>
        <v/>
      </c>
      <c r="AW137" s="17" t="str">
        <f>IF(共有用1!AW137="","",共有用1!AW137&amp;"/"&amp;COUNTIF(共有用1!AW$2:AW137,共有用1!AW137))</f>
        <v/>
      </c>
      <c r="AX137" s="17" t="str">
        <f>IF(共有用1!AX137="","",共有用1!AX137&amp;"/"&amp;COUNTIF(共有用1!AX$2:AX137,共有用1!AX137))</f>
        <v/>
      </c>
      <c r="AY137" s="17" t="str">
        <f>IF(共有用1!AY137="","",共有用1!AY137&amp;"/"&amp;COUNTIF(共有用1!AY$2:AY137,共有用1!AY137))</f>
        <v/>
      </c>
      <c r="AZ137" s="17" t="str">
        <f>IF(共有用1!AZ137="","",共有用1!AZ137&amp;"/"&amp;COUNTIF(共有用1!AZ$2:AZ137,共有用1!AZ137))</f>
        <v/>
      </c>
      <c r="BA137" s="17" t="str">
        <f>IF(共有用1!BA137="","",共有用1!BA137&amp;"/"&amp;COUNTIF(共有用1!BA$2:BA137,共有用1!BA137))</f>
        <v/>
      </c>
    </row>
    <row r="138" spans="1:53">
      <c r="A138" s="2" t="str">
        <f>共有用1!A138</f>
        <v/>
      </c>
      <c r="B138" s="2" t="str">
        <f>共有用1!B138</f>
        <v/>
      </c>
      <c r="C138" s="2" t="str">
        <f>共有用1!C138</f>
        <v/>
      </c>
      <c r="D138" s="17" t="str">
        <f>IF(共有用1!D138="","",共有用1!D138&amp;"/"&amp;COUNTIF(共有用1!D$2:D138,共有用1!D138))</f>
        <v/>
      </c>
      <c r="E138" s="17" t="str">
        <f>IF(共有用1!E138="","",共有用1!E138&amp;"/"&amp;COUNTIF(共有用1!E$2:E138,共有用1!E138))</f>
        <v/>
      </c>
      <c r="F138" s="17" t="str">
        <f>IF(共有用1!F138="","",共有用1!F138&amp;"/"&amp;COUNTIF(共有用1!F$2:F138,共有用1!F138))</f>
        <v/>
      </c>
      <c r="G138" s="17" t="str">
        <f>IF(共有用1!G138="","",共有用1!G138&amp;"/"&amp;COUNTIF(共有用1!G$2:G138,共有用1!G138))</f>
        <v/>
      </c>
      <c r="H138" s="17" t="str">
        <f>IF(共有用1!H138="","",共有用1!H138&amp;"/"&amp;COUNTIF(共有用1!H$2:H138,共有用1!H138))</f>
        <v/>
      </c>
      <c r="I138" s="17" t="str">
        <f>IF(共有用1!I138="","",共有用1!I138&amp;"/"&amp;COUNTIF(共有用1!I$2:I138,共有用1!I138))</f>
        <v/>
      </c>
      <c r="J138" s="17" t="str">
        <f>IF(共有用1!J138="","",共有用1!J138&amp;"/"&amp;COUNTIF(共有用1!J$2:J138,共有用1!J138))</f>
        <v/>
      </c>
      <c r="K138" s="17" t="str">
        <f>IF(共有用1!K138="","",共有用1!K138&amp;"/"&amp;COUNTIF(共有用1!K$2:K138,共有用1!K138))</f>
        <v/>
      </c>
      <c r="L138" s="17" t="str">
        <f>IF(共有用1!L138="","",共有用1!L138&amp;"/"&amp;COUNTIF(共有用1!L$2:L138,共有用1!L138))</f>
        <v/>
      </c>
      <c r="M138" s="17" t="str">
        <f>IF(共有用1!M138="","",共有用1!M138&amp;"/"&amp;COUNTIF(共有用1!M$2:M138,共有用1!M138))</f>
        <v/>
      </c>
      <c r="N138" s="17" t="str">
        <f>IF(共有用1!N138="","",共有用1!N138&amp;"/"&amp;COUNTIF(共有用1!N$2:N138,共有用1!N138))</f>
        <v/>
      </c>
      <c r="O138" s="17" t="str">
        <f>IF(共有用1!O138="","",共有用1!O138&amp;"/"&amp;COUNTIF(共有用1!O$2:O138,共有用1!O138))</f>
        <v/>
      </c>
      <c r="P138" s="17" t="str">
        <f>IF(共有用1!P138="","",共有用1!P138&amp;"/"&amp;COUNTIF(共有用1!P$2:P138,共有用1!P138))</f>
        <v/>
      </c>
      <c r="Q138" s="17" t="str">
        <f>IF(共有用1!Q138="","",共有用1!Q138&amp;"/"&amp;COUNTIF(共有用1!Q$2:Q138,共有用1!Q138))</f>
        <v/>
      </c>
      <c r="R138" s="17" t="str">
        <f>IF(共有用1!R138="","",共有用1!R138&amp;"/"&amp;COUNTIF(共有用1!R$2:R138,共有用1!R138))</f>
        <v/>
      </c>
      <c r="S138" s="17" t="str">
        <f>IF(共有用1!S138="","",共有用1!S138&amp;"/"&amp;COUNTIF(共有用1!S$2:S138,共有用1!S138))</f>
        <v/>
      </c>
      <c r="T138" s="17" t="str">
        <f>IF(共有用1!T138="","",共有用1!T138&amp;"/"&amp;COUNTIF(共有用1!T$2:T138,共有用1!T138))</f>
        <v/>
      </c>
      <c r="U138" s="17" t="str">
        <f>IF(共有用1!U138="","",共有用1!U138&amp;"/"&amp;COUNTIF(共有用1!U$2:U138,共有用1!U138))</f>
        <v/>
      </c>
      <c r="V138" s="17" t="str">
        <f>IF(共有用1!V138="","",共有用1!V138&amp;"/"&amp;COUNTIF(共有用1!V$2:V138,共有用1!V138))</f>
        <v/>
      </c>
      <c r="W138" s="17" t="str">
        <f>IF(共有用1!W138="","",共有用1!W138&amp;"/"&amp;COUNTIF(共有用1!W$2:W138,共有用1!W138))</f>
        <v/>
      </c>
      <c r="X138" s="17" t="str">
        <f>IF(共有用1!X138="","",共有用1!X138&amp;"/"&amp;COUNTIF(共有用1!X$2:X138,共有用1!X138))</f>
        <v/>
      </c>
      <c r="Y138" s="17" t="str">
        <f>IF(共有用1!Y138="","",共有用1!Y138&amp;"/"&amp;COUNTIF(共有用1!Y$2:Y138,共有用1!Y138))</f>
        <v/>
      </c>
      <c r="Z138" s="17" t="str">
        <f>IF(共有用1!Z138="","",共有用1!Z138&amp;"/"&amp;COUNTIF(共有用1!Z$2:Z138,共有用1!Z138))</f>
        <v/>
      </c>
      <c r="AA138" s="17" t="str">
        <f>IF(共有用1!AA138="","",共有用1!AA138&amp;"/"&amp;COUNTIF(共有用1!AA$2:AA138,共有用1!AA138))</f>
        <v/>
      </c>
      <c r="AB138" s="17" t="str">
        <f>IF(共有用1!AB138="","",共有用1!AB138&amp;"/"&amp;COUNTIF(共有用1!AB$2:AB138,共有用1!AB138))</f>
        <v/>
      </c>
      <c r="AC138" s="17" t="str">
        <f>IF(共有用1!AC138="","",共有用1!AC138&amp;"/"&amp;COUNTIF(共有用1!AC$2:AC138,共有用1!AC138))</f>
        <v/>
      </c>
      <c r="AD138" s="17" t="str">
        <f>IF(共有用1!AD138="","",共有用1!AD138&amp;"/"&amp;COUNTIF(共有用1!AD$2:AD138,共有用1!AD138))</f>
        <v/>
      </c>
      <c r="AE138" s="17" t="str">
        <f>IF(共有用1!AE138="","",共有用1!AE138&amp;"/"&amp;COUNTIF(共有用1!AE$2:AE138,共有用1!AE138))</f>
        <v/>
      </c>
      <c r="AF138" s="17" t="str">
        <f>IF(共有用1!AF138="","",共有用1!AF138&amp;"/"&amp;COUNTIF(共有用1!AF$2:AF138,共有用1!AF138))</f>
        <v/>
      </c>
      <c r="AG138" s="17" t="str">
        <f>IF(共有用1!AG138="","",共有用1!AG138&amp;"/"&amp;COUNTIF(共有用1!AG$2:AG138,共有用1!AG138))</f>
        <v/>
      </c>
      <c r="AH138" s="17" t="str">
        <f>IF(共有用1!AH138="","",共有用1!AH138&amp;"/"&amp;COUNTIF(共有用1!AH$2:AH138,共有用1!AH138))</f>
        <v/>
      </c>
      <c r="AI138" s="17" t="str">
        <f>IF(共有用1!AI138="","",共有用1!AI138&amp;"/"&amp;COUNTIF(共有用1!AI$2:AI138,共有用1!AI138))</f>
        <v/>
      </c>
      <c r="AJ138" s="17" t="str">
        <f>IF(共有用1!AJ138="","",共有用1!AJ138&amp;"/"&amp;COUNTIF(共有用1!AJ$2:AJ138,共有用1!AJ138))</f>
        <v/>
      </c>
      <c r="AK138" s="17" t="str">
        <f>IF(共有用1!AK138="","",共有用1!AK138&amp;"/"&amp;COUNTIF(共有用1!AK$2:AK138,共有用1!AK138))</f>
        <v/>
      </c>
      <c r="AL138" s="17" t="str">
        <f>IF(共有用1!AL138="","",共有用1!AL138&amp;"/"&amp;COUNTIF(共有用1!AL$2:AL138,共有用1!AL138))</f>
        <v/>
      </c>
      <c r="AM138" s="17" t="str">
        <f>IF(共有用1!AM138="","",共有用1!AM138&amp;"/"&amp;COUNTIF(共有用1!AM$2:AM138,共有用1!AM138))</f>
        <v/>
      </c>
      <c r="AN138" s="17" t="str">
        <f>IF(共有用1!AN138="","",共有用1!AN138&amp;"/"&amp;COUNTIF(共有用1!AN$2:AN138,共有用1!AN138))</f>
        <v/>
      </c>
      <c r="AO138" s="17" t="str">
        <f>IF(共有用1!AO138="","",共有用1!AO138&amp;"/"&amp;COUNTIF(共有用1!AO$2:AO138,共有用1!AO138))</f>
        <v/>
      </c>
      <c r="AP138" s="17" t="str">
        <f>IF(共有用1!AP138="","",共有用1!AP138&amp;"/"&amp;COUNTIF(共有用1!AP$2:AP138,共有用1!AP138))</f>
        <v/>
      </c>
      <c r="AQ138" s="17" t="str">
        <f>IF(共有用1!AQ138="","",共有用1!AQ138&amp;"/"&amp;COUNTIF(共有用1!AQ$2:AQ138,共有用1!AQ138))</f>
        <v/>
      </c>
      <c r="AR138" s="17" t="str">
        <f>IF(共有用1!AR138="","",共有用1!AR138&amp;"/"&amp;COUNTIF(共有用1!AR$2:AR138,共有用1!AR138))</f>
        <v/>
      </c>
      <c r="AS138" s="17" t="str">
        <f>IF(共有用1!AS138="","",共有用1!AS138&amp;"/"&amp;COUNTIF(共有用1!AS$2:AS138,共有用1!AS138))</f>
        <v/>
      </c>
      <c r="AT138" s="17" t="str">
        <f>IF(共有用1!AT138="","",共有用1!AT138&amp;"/"&amp;COUNTIF(共有用1!AT$2:AT138,共有用1!AT138))</f>
        <v/>
      </c>
      <c r="AU138" s="17" t="str">
        <f>IF(共有用1!AU138="","",共有用1!AU138&amp;"/"&amp;COUNTIF(共有用1!AU$2:AU138,共有用1!AU138))</f>
        <v/>
      </c>
      <c r="AV138" s="17" t="str">
        <f>IF(共有用1!AV138="","",共有用1!AV138&amp;"/"&amp;COUNTIF(共有用1!AV$2:AV138,共有用1!AV138))</f>
        <v/>
      </c>
      <c r="AW138" s="17" t="str">
        <f>IF(共有用1!AW138="","",共有用1!AW138&amp;"/"&amp;COUNTIF(共有用1!AW$2:AW138,共有用1!AW138))</f>
        <v/>
      </c>
      <c r="AX138" s="17" t="str">
        <f>IF(共有用1!AX138="","",共有用1!AX138&amp;"/"&amp;COUNTIF(共有用1!AX$2:AX138,共有用1!AX138))</f>
        <v/>
      </c>
      <c r="AY138" s="17" t="str">
        <f>IF(共有用1!AY138="","",共有用1!AY138&amp;"/"&amp;COUNTIF(共有用1!AY$2:AY138,共有用1!AY138))</f>
        <v/>
      </c>
      <c r="AZ138" s="17" t="str">
        <f>IF(共有用1!AZ138="","",共有用1!AZ138&amp;"/"&amp;COUNTIF(共有用1!AZ$2:AZ138,共有用1!AZ138))</f>
        <v/>
      </c>
      <c r="BA138" s="17" t="str">
        <f>IF(共有用1!BA138="","",共有用1!BA138&amp;"/"&amp;COUNTIF(共有用1!BA$2:BA138,共有用1!BA138))</f>
        <v/>
      </c>
    </row>
    <row r="139" spans="1:53">
      <c r="A139" s="2" t="str">
        <f>共有用1!A139</f>
        <v/>
      </c>
      <c r="B139" s="2" t="str">
        <f>共有用1!B139</f>
        <v/>
      </c>
      <c r="C139" s="2" t="str">
        <f>共有用1!C139</f>
        <v/>
      </c>
      <c r="D139" s="17" t="str">
        <f>IF(共有用1!D139="","",共有用1!D139&amp;"/"&amp;COUNTIF(共有用1!D$2:D139,共有用1!D139))</f>
        <v/>
      </c>
      <c r="E139" s="17" t="str">
        <f>IF(共有用1!E139="","",共有用1!E139&amp;"/"&amp;COUNTIF(共有用1!E$2:E139,共有用1!E139))</f>
        <v/>
      </c>
      <c r="F139" s="17" t="str">
        <f>IF(共有用1!F139="","",共有用1!F139&amp;"/"&amp;COUNTIF(共有用1!F$2:F139,共有用1!F139))</f>
        <v/>
      </c>
      <c r="G139" s="17" t="str">
        <f>IF(共有用1!G139="","",共有用1!G139&amp;"/"&amp;COUNTIF(共有用1!G$2:G139,共有用1!G139))</f>
        <v/>
      </c>
      <c r="H139" s="17" t="str">
        <f>IF(共有用1!H139="","",共有用1!H139&amp;"/"&amp;COUNTIF(共有用1!H$2:H139,共有用1!H139))</f>
        <v/>
      </c>
      <c r="I139" s="17" t="str">
        <f>IF(共有用1!I139="","",共有用1!I139&amp;"/"&amp;COUNTIF(共有用1!I$2:I139,共有用1!I139))</f>
        <v/>
      </c>
      <c r="J139" s="17" t="str">
        <f>IF(共有用1!J139="","",共有用1!J139&amp;"/"&amp;COUNTIF(共有用1!J$2:J139,共有用1!J139))</f>
        <v/>
      </c>
      <c r="K139" s="17" t="str">
        <f>IF(共有用1!K139="","",共有用1!K139&amp;"/"&amp;COUNTIF(共有用1!K$2:K139,共有用1!K139))</f>
        <v/>
      </c>
      <c r="L139" s="17" t="str">
        <f>IF(共有用1!L139="","",共有用1!L139&amp;"/"&amp;COUNTIF(共有用1!L$2:L139,共有用1!L139))</f>
        <v/>
      </c>
      <c r="M139" s="17" t="str">
        <f>IF(共有用1!M139="","",共有用1!M139&amp;"/"&amp;COUNTIF(共有用1!M$2:M139,共有用1!M139))</f>
        <v/>
      </c>
      <c r="N139" s="17" t="str">
        <f>IF(共有用1!N139="","",共有用1!N139&amp;"/"&amp;COUNTIF(共有用1!N$2:N139,共有用1!N139))</f>
        <v/>
      </c>
      <c r="O139" s="17" t="str">
        <f>IF(共有用1!O139="","",共有用1!O139&amp;"/"&amp;COUNTIF(共有用1!O$2:O139,共有用1!O139))</f>
        <v/>
      </c>
      <c r="P139" s="17" t="str">
        <f>IF(共有用1!P139="","",共有用1!P139&amp;"/"&amp;COUNTIF(共有用1!P$2:P139,共有用1!P139))</f>
        <v/>
      </c>
      <c r="Q139" s="17" t="str">
        <f>IF(共有用1!Q139="","",共有用1!Q139&amp;"/"&amp;COUNTIF(共有用1!Q$2:Q139,共有用1!Q139))</f>
        <v/>
      </c>
      <c r="R139" s="17" t="str">
        <f>IF(共有用1!R139="","",共有用1!R139&amp;"/"&amp;COUNTIF(共有用1!R$2:R139,共有用1!R139))</f>
        <v/>
      </c>
      <c r="S139" s="17" t="str">
        <f>IF(共有用1!S139="","",共有用1!S139&amp;"/"&amp;COUNTIF(共有用1!S$2:S139,共有用1!S139))</f>
        <v/>
      </c>
      <c r="T139" s="17" t="str">
        <f>IF(共有用1!T139="","",共有用1!T139&amp;"/"&amp;COUNTIF(共有用1!T$2:T139,共有用1!T139))</f>
        <v/>
      </c>
      <c r="U139" s="17" t="str">
        <f>IF(共有用1!U139="","",共有用1!U139&amp;"/"&amp;COUNTIF(共有用1!U$2:U139,共有用1!U139))</f>
        <v/>
      </c>
      <c r="V139" s="17" t="str">
        <f>IF(共有用1!V139="","",共有用1!V139&amp;"/"&amp;COUNTIF(共有用1!V$2:V139,共有用1!V139))</f>
        <v/>
      </c>
      <c r="W139" s="17" t="str">
        <f>IF(共有用1!W139="","",共有用1!W139&amp;"/"&amp;COUNTIF(共有用1!W$2:W139,共有用1!W139))</f>
        <v/>
      </c>
      <c r="X139" s="17" t="str">
        <f>IF(共有用1!X139="","",共有用1!X139&amp;"/"&amp;COUNTIF(共有用1!X$2:X139,共有用1!X139))</f>
        <v/>
      </c>
      <c r="Y139" s="17" t="str">
        <f>IF(共有用1!Y139="","",共有用1!Y139&amp;"/"&amp;COUNTIF(共有用1!Y$2:Y139,共有用1!Y139))</f>
        <v/>
      </c>
      <c r="Z139" s="17" t="str">
        <f>IF(共有用1!Z139="","",共有用1!Z139&amp;"/"&amp;COUNTIF(共有用1!Z$2:Z139,共有用1!Z139))</f>
        <v/>
      </c>
      <c r="AA139" s="17" t="str">
        <f>IF(共有用1!AA139="","",共有用1!AA139&amp;"/"&amp;COUNTIF(共有用1!AA$2:AA139,共有用1!AA139))</f>
        <v/>
      </c>
      <c r="AB139" s="17" t="str">
        <f>IF(共有用1!AB139="","",共有用1!AB139&amp;"/"&amp;COUNTIF(共有用1!AB$2:AB139,共有用1!AB139))</f>
        <v/>
      </c>
      <c r="AC139" s="17" t="str">
        <f>IF(共有用1!AC139="","",共有用1!AC139&amp;"/"&amp;COUNTIF(共有用1!AC$2:AC139,共有用1!AC139))</f>
        <v/>
      </c>
      <c r="AD139" s="17" t="str">
        <f>IF(共有用1!AD139="","",共有用1!AD139&amp;"/"&amp;COUNTIF(共有用1!AD$2:AD139,共有用1!AD139))</f>
        <v/>
      </c>
      <c r="AE139" s="17" t="str">
        <f>IF(共有用1!AE139="","",共有用1!AE139&amp;"/"&amp;COUNTIF(共有用1!AE$2:AE139,共有用1!AE139))</f>
        <v/>
      </c>
      <c r="AF139" s="17" t="str">
        <f>IF(共有用1!AF139="","",共有用1!AF139&amp;"/"&amp;COUNTIF(共有用1!AF$2:AF139,共有用1!AF139))</f>
        <v/>
      </c>
      <c r="AG139" s="17" t="str">
        <f>IF(共有用1!AG139="","",共有用1!AG139&amp;"/"&amp;COUNTIF(共有用1!AG$2:AG139,共有用1!AG139))</f>
        <v/>
      </c>
      <c r="AH139" s="17" t="str">
        <f>IF(共有用1!AH139="","",共有用1!AH139&amp;"/"&amp;COUNTIF(共有用1!AH$2:AH139,共有用1!AH139))</f>
        <v/>
      </c>
      <c r="AI139" s="17" t="str">
        <f>IF(共有用1!AI139="","",共有用1!AI139&amp;"/"&amp;COUNTIF(共有用1!AI$2:AI139,共有用1!AI139))</f>
        <v/>
      </c>
      <c r="AJ139" s="17" t="str">
        <f>IF(共有用1!AJ139="","",共有用1!AJ139&amp;"/"&amp;COUNTIF(共有用1!AJ$2:AJ139,共有用1!AJ139))</f>
        <v/>
      </c>
      <c r="AK139" s="17" t="str">
        <f>IF(共有用1!AK139="","",共有用1!AK139&amp;"/"&amp;COUNTIF(共有用1!AK$2:AK139,共有用1!AK139))</f>
        <v/>
      </c>
      <c r="AL139" s="17" t="str">
        <f>IF(共有用1!AL139="","",共有用1!AL139&amp;"/"&amp;COUNTIF(共有用1!AL$2:AL139,共有用1!AL139))</f>
        <v/>
      </c>
      <c r="AM139" s="17" t="str">
        <f>IF(共有用1!AM139="","",共有用1!AM139&amp;"/"&amp;COUNTIF(共有用1!AM$2:AM139,共有用1!AM139))</f>
        <v/>
      </c>
      <c r="AN139" s="17" t="str">
        <f>IF(共有用1!AN139="","",共有用1!AN139&amp;"/"&amp;COUNTIF(共有用1!AN$2:AN139,共有用1!AN139))</f>
        <v/>
      </c>
      <c r="AO139" s="17" t="str">
        <f>IF(共有用1!AO139="","",共有用1!AO139&amp;"/"&amp;COUNTIF(共有用1!AO$2:AO139,共有用1!AO139))</f>
        <v/>
      </c>
      <c r="AP139" s="17" t="str">
        <f>IF(共有用1!AP139="","",共有用1!AP139&amp;"/"&amp;COUNTIF(共有用1!AP$2:AP139,共有用1!AP139))</f>
        <v/>
      </c>
      <c r="AQ139" s="17" t="str">
        <f>IF(共有用1!AQ139="","",共有用1!AQ139&amp;"/"&amp;COUNTIF(共有用1!AQ$2:AQ139,共有用1!AQ139))</f>
        <v/>
      </c>
      <c r="AR139" s="17" t="str">
        <f>IF(共有用1!AR139="","",共有用1!AR139&amp;"/"&amp;COUNTIF(共有用1!AR$2:AR139,共有用1!AR139))</f>
        <v/>
      </c>
      <c r="AS139" s="17" t="str">
        <f>IF(共有用1!AS139="","",共有用1!AS139&amp;"/"&amp;COUNTIF(共有用1!AS$2:AS139,共有用1!AS139))</f>
        <v/>
      </c>
      <c r="AT139" s="17" t="str">
        <f>IF(共有用1!AT139="","",共有用1!AT139&amp;"/"&amp;COUNTIF(共有用1!AT$2:AT139,共有用1!AT139))</f>
        <v/>
      </c>
      <c r="AU139" s="17" t="str">
        <f>IF(共有用1!AU139="","",共有用1!AU139&amp;"/"&amp;COUNTIF(共有用1!AU$2:AU139,共有用1!AU139))</f>
        <v/>
      </c>
      <c r="AV139" s="17" t="str">
        <f>IF(共有用1!AV139="","",共有用1!AV139&amp;"/"&amp;COUNTIF(共有用1!AV$2:AV139,共有用1!AV139))</f>
        <v/>
      </c>
      <c r="AW139" s="17" t="str">
        <f>IF(共有用1!AW139="","",共有用1!AW139&amp;"/"&amp;COUNTIF(共有用1!AW$2:AW139,共有用1!AW139))</f>
        <v/>
      </c>
      <c r="AX139" s="17" t="str">
        <f>IF(共有用1!AX139="","",共有用1!AX139&amp;"/"&amp;COUNTIF(共有用1!AX$2:AX139,共有用1!AX139))</f>
        <v/>
      </c>
      <c r="AY139" s="17" t="str">
        <f>IF(共有用1!AY139="","",共有用1!AY139&amp;"/"&amp;COUNTIF(共有用1!AY$2:AY139,共有用1!AY139))</f>
        <v/>
      </c>
      <c r="AZ139" s="17" t="str">
        <f>IF(共有用1!AZ139="","",共有用1!AZ139&amp;"/"&amp;COUNTIF(共有用1!AZ$2:AZ139,共有用1!AZ139))</f>
        <v/>
      </c>
      <c r="BA139" s="17" t="str">
        <f>IF(共有用1!BA139="","",共有用1!BA139&amp;"/"&amp;COUNTIF(共有用1!BA$2:BA139,共有用1!BA139))</f>
        <v/>
      </c>
    </row>
    <row r="140" spans="1:53">
      <c r="A140" s="2" t="str">
        <f>共有用1!A140</f>
        <v/>
      </c>
      <c r="B140" s="2" t="str">
        <f>共有用1!B140</f>
        <v/>
      </c>
      <c r="C140" s="2" t="str">
        <f>共有用1!C140</f>
        <v/>
      </c>
      <c r="D140" s="17" t="str">
        <f>IF(共有用1!D140="","",共有用1!D140&amp;"/"&amp;COUNTIF(共有用1!D$2:D140,共有用1!D140))</f>
        <v/>
      </c>
      <c r="E140" s="17" t="str">
        <f>IF(共有用1!E140="","",共有用1!E140&amp;"/"&amp;COUNTIF(共有用1!E$2:E140,共有用1!E140))</f>
        <v/>
      </c>
      <c r="F140" s="17" t="str">
        <f>IF(共有用1!F140="","",共有用1!F140&amp;"/"&amp;COUNTIF(共有用1!F$2:F140,共有用1!F140))</f>
        <v/>
      </c>
      <c r="G140" s="17" t="str">
        <f>IF(共有用1!G140="","",共有用1!G140&amp;"/"&amp;COUNTIF(共有用1!G$2:G140,共有用1!G140))</f>
        <v/>
      </c>
      <c r="H140" s="17" t="str">
        <f>IF(共有用1!H140="","",共有用1!H140&amp;"/"&amp;COUNTIF(共有用1!H$2:H140,共有用1!H140))</f>
        <v/>
      </c>
      <c r="I140" s="17" t="str">
        <f>IF(共有用1!I140="","",共有用1!I140&amp;"/"&amp;COUNTIF(共有用1!I$2:I140,共有用1!I140))</f>
        <v/>
      </c>
      <c r="J140" s="17" t="str">
        <f>IF(共有用1!J140="","",共有用1!J140&amp;"/"&amp;COUNTIF(共有用1!J$2:J140,共有用1!J140))</f>
        <v/>
      </c>
      <c r="K140" s="17" t="str">
        <f>IF(共有用1!K140="","",共有用1!K140&amp;"/"&amp;COUNTIF(共有用1!K$2:K140,共有用1!K140))</f>
        <v/>
      </c>
      <c r="L140" s="17" t="str">
        <f>IF(共有用1!L140="","",共有用1!L140&amp;"/"&amp;COUNTIF(共有用1!L$2:L140,共有用1!L140))</f>
        <v/>
      </c>
      <c r="M140" s="17" t="str">
        <f>IF(共有用1!M140="","",共有用1!M140&amp;"/"&amp;COUNTIF(共有用1!M$2:M140,共有用1!M140))</f>
        <v/>
      </c>
      <c r="N140" s="17" t="str">
        <f>IF(共有用1!N140="","",共有用1!N140&amp;"/"&amp;COUNTIF(共有用1!N$2:N140,共有用1!N140))</f>
        <v/>
      </c>
      <c r="O140" s="17" t="str">
        <f>IF(共有用1!O140="","",共有用1!O140&amp;"/"&amp;COUNTIF(共有用1!O$2:O140,共有用1!O140))</f>
        <v/>
      </c>
      <c r="P140" s="17" t="str">
        <f>IF(共有用1!P140="","",共有用1!P140&amp;"/"&amp;COUNTIF(共有用1!P$2:P140,共有用1!P140))</f>
        <v/>
      </c>
      <c r="Q140" s="17" t="str">
        <f>IF(共有用1!Q140="","",共有用1!Q140&amp;"/"&amp;COUNTIF(共有用1!Q$2:Q140,共有用1!Q140))</f>
        <v/>
      </c>
      <c r="R140" s="17" t="str">
        <f>IF(共有用1!R140="","",共有用1!R140&amp;"/"&amp;COUNTIF(共有用1!R$2:R140,共有用1!R140))</f>
        <v/>
      </c>
      <c r="S140" s="17" t="str">
        <f>IF(共有用1!S140="","",共有用1!S140&amp;"/"&amp;COUNTIF(共有用1!S$2:S140,共有用1!S140))</f>
        <v/>
      </c>
      <c r="T140" s="17" t="str">
        <f>IF(共有用1!T140="","",共有用1!T140&amp;"/"&amp;COUNTIF(共有用1!T$2:T140,共有用1!T140))</f>
        <v/>
      </c>
      <c r="U140" s="17" t="str">
        <f>IF(共有用1!U140="","",共有用1!U140&amp;"/"&amp;COUNTIF(共有用1!U$2:U140,共有用1!U140))</f>
        <v/>
      </c>
      <c r="V140" s="17" t="str">
        <f>IF(共有用1!V140="","",共有用1!V140&amp;"/"&amp;COUNTIF(共有用1!V$2:V140,共有用1!V140))</f>
        <v/>
      </c>
      <c r="W140" s="17" t="str">
        <f>IF(共有用1!W140="","",共有用1!W140&amp;"/"&amp;COUNTIF(共有用1!W$2:W140,共有用1!W140))</f>
        <v/>
      </c>
      <c r="X140" s="17" t="str">
        <f>IF(共有用1!X140="","",共有用1!X140&amp;"/"&amp;COUNTIF(共有用1!X$2:X140,共有用1!X140))</f>
        <v/>
      </c>
      <c r="Y140" s="17" t="str">
        <f>IF(共有用1!Y140="","",共有用1!Y140&amp;"/"&amp;COUNTIF(共有用1!Y$2:Y140,共有用1!Y140))</f>
        <v/>
      </c>
      <c r="Z140" s="17" t="str">
        <f>IF(共有用1!Z140="","",共有用1!Z140&amp;"/"&amp;COUNTIF(共有用1!Z$2:Z140,共有用1!Z140))</f>
        <v/>
      </c>
      <c r="AA140" s="17" t="str">
        <f>IF(共有用1!AA140="","",共有用1!AA140&amp;"/"&amp;COUNTIF(共有用1!AA$2:AA140,共有用1!AA140))</f>
        <v/>
      </c>
      <c r="AB140" s="17" t="str">
        <f>IF(共有用1!AB140="","",共有用1!AB140&amp;"/"&amp;COUNTIF(共有用1!AB$2:AB140,共有用1!AB140))</f>
        <v/>
      </c>
      <c r="AC140" s="17" t="str">
        <f>IF(共有用1!AC140="","",共有用1!AC140&amp;"/"&amp;COUNTIF(共有用1!AC$2:AC140,共有用1!AC140))</f>
        <v/>
      </c>
      <c r="AD140" s="17" t="str">
        <f>IF(共有用1!AD140="","",共有用1!AD140&amp;"/"&amp;COUNTIF(共有用1!AD$2:AD140,共有用1!AD140))</f>
        <v/>
      </c>
      <c r="AE140" s="17" t="str">
        <f>IF(共有用1!AE140="","",共有用1!AE140&amp;"/"&amp;COUNTIF(共有用1!AE$2:AE140,共有用1!AE140))</f>
        <v/>
      </c>
      <c r="AF140" s="17" t="str">
        <f>IF(共有用1!AF140="","",共有用1!AF140&amp;"/"&amp;COUNTIF(共有用1!AF$2:AF140,共有用1!AF140))</f>
        <v/>
      </c>
      <c r="AG140" s="17" t="str">
        <f>IF(共有用1!AG140="","",共有用1!AG140&amp;"/"&amp;COUNTIF(共有用1!AG$2:AG140,共有用1!AG140))</f>
        <v/>
      </c>
      <c r="AH140" s="17" t="str">
        <f>IF(共有用1!AH140="","",共有用1!AH140&amp;"/"&amp;COUNTIF(共有用1!AH$2:AH140,共有用1!AH140))</f>
        <v/>
      </c>
      <c r="AI140" s="17" t="str">
        <f>IF(共有用1!AI140="","",共有用1!AI140&amp;"/"&amp;COUNTIF(共有用1!AI$2:AI140,共有用1!AI140))</f>
        <v/>
      </c>
      <c r="AJ140" s="17" t="str">
        <f>IF(共有用1!AJ140="","",共有用1!AJ140&amp;"/"&amp;COUNTIF(共有用1!AJ$2:AJ140,共有用1!AJ140))</f>
        <v/>
      </c>
      <c r="AK140" s="17" t="str">
        <f>IF(共有用1!AK140="","",共有用1!AK140&amp;"/"&amp;COUNTIF(共有用1!AK$2:AK140,共有用1!AK140))</f>
        <v/>
      </c>
      <c r="AL140" s="17" t="str">
        <f>IF(共有用1!AL140="","",共有用1!AL140&amp;"/"&amp;COUNTIF(共有用1!AL$2:AL140,共有用1!AL140))</f>
        <v/>
      </c>
      <c r="AM140" s="17" t="str">
        <f>IF(共有用1!AM140="","",共有用1!AM140&amp;"/"&amp;COUNTIF(共有用1!AM$2:AM140,共有用1!AM140))</f>
        <v/>
      </c>
      <c r="AN140" s="17" t="str">
        <f>IF(共有用1!AN140="","",共有用1!AN140&amp;"/"&amp;COUNTIF(共有用1!AN$2:AN140,共有用1!AN140))</f>
        <v/>
      </c>
      <c r="AO140" s="17" t="str">
        <f>IF(共有用1!AO140="","",共有用1!AO140&amp;"/"&amp;COUNTIF(共有用1!AO$2:AO140,共有用1!AO140))</f>
        <v/>
      </c>
      <c r="AP140" s="17" t="str">
        <f>IF(共有用1!AP140="","",共有用1!AP140&amp;"/"&amp;COUNTIF(共有用1!AP$2:AP140,共有用1!AP140))</f>
        <v/>
      </c>
      <c r="AQ140" s="17" t="str">
        <f>IF(共有用1!AQ140="","",共有用1!AQ140&amp;"/"&amp;COUNTIF(共有用1!AQ$2:AQ140,共有用1!AQ140))</f>
        <v/>
      </c>
      <c r="AR140" s="17" t="str">
        <f>IF(共有用1!AR140="","",共有用1!AR140&amp;"/"&amp;COUNTIF(共有用1!AR$2:AR140,共有用1!AR140))</f>
        <v/>
      </c>
      <c r="AS140" s="17" t="str">
        <f>IF(共有用1!AS140="","",共有用1!AS140&amp;"/"&amp;COUNTIF(共有用1!AS$2:AS140,共有用1!AS140))</f>
        <v/>
      </c>
      <c r="AT140" s="17" t="str">
        <f>IF(共有用1!AT140="","",共有用1!AT140&amp;"/"&amp;COUNTIF(共有用1!AT$2:AT140,共有用1!AT140))</f>
        <v/>
      </c>
      <c r="AU140" s="17" t="str">
        <f>IF(共有用1!AU140="","",共有用1!AU140&amp;"/"&amp;COUNTIF(共有用1!AU$2:AU140,共有用1!AU140))</f>
        <v/>
      </c>
      <c r="AV140" s="17" t="str">
        <f>IF(共有用1!AV140="","",共有用1!AV140&amp;"/"&amp;COUNTIF(共有用1!AV$2:AV140,共有用1!AV140))</f>
        <v/>
      </c>
      <c r="AW140" s="17" t="str">
        <f>IF(共有用1!AW140="","",共有用1!AW140&amp;"/"&amp;COUNTIF(共有用1!AW$2:AW140,共有用1!AW140))</f>
        <v/>
      </c>
      <c r="AX140" s="17" t="str">
        <f>IF(共有用1!AX140="","",共有用1!AX140&amp;"/"&amp;COUNTIF(共有用1!AX$2:AX140,共有用1!AX140))</f>
        <v/>
      </c>
      <c r="AY140" s="17" t="str">
        <f>IF(共有用1!AY140="","",共有用1!AY140&amp;"/"&amp;COUNTIF(共有用1!AY$2:AY140,共有用1!AY140))</f>
        <v/>
      </c>
      <c r="AZ140" s="17" t="str">
        <f>IF(共有用1!AZ140="","",共有用1!AZ140&amp;"/"&amp;COUNTIF(共有用1!AZ$2:AZ140,共有用1!AZ140))</f>
        <v/>
      </c>
      <c r="BA140" s="17" t="str">
        <f>IF(共有用1!BA140="","",共有用1!BA140&amp;"/"&amp;COUNTIF(共有用1!BA$2:BA140,共有用1!BA140))</f>
        <v/>
      </c>
    </row>
    <row r="141" spans="1:53">
      <c r="A141" s="2" t="str">
        <f>共有用1!A141</f>
        <v/>
      </c>
      <c r="B141" s="2" t="str">
        <f>共有用1!B141</f>
        <v/>
      </c>
      <c r="C141" s="2" t="str">
        <f>共有用1!C141</f>
        <v/>
      </c>
      <c r="D141" s="17" t="str">
        <f>IF(共有用1!D141="","",共有用1!D141&amp;"/"&amp;COUNTIF(共有用1!D$2:D141,共有用1!D141))</f>
        <v/>
      </c>
      <c r="E141" s="17" t="str">
        <f>IF(共有用1!E141="","",共有用1!E141&amp;"/"&amp;COUNTIF(共有用1!E$2:E141,共有用1!E141))</f>
        <v/>
      </c>
      <c r="F141" s="17" t="str">
        <f>IF(共有用1!F141="","",共有用1!F141&amp;"/"&amp;COUNTIF(共有用1!F$2:F141,共有用1!F141))</f>
        <v/>
      </c>
      <c r="G141" s="17" t="str">
        <f>IF(共有用1!G141="","",共有用1!G141&amp;"/"&amp;COUNTIF(共有用1!G$2:G141,共有用1!G141))</f>
        <v/>
      </c>
      <c r="H141" s="17" t="str">
        <f>IF(共有用1!H141="","",共有用1!H141&amp;"/"&amp;COUNTIF(共有用1!H$2:H141,共有用1!H141))</f>
        <v/>
      </c>
      <c r="I141" s="17" t="str">
        <f>IF(共有用1!I141="","",共有用1!I141&amp;"/"&amp;COUNTIF(共有用1!I$2:I141,共有用1!I141))</f>
        <v/>
      </c>
      <c r="J141" s="17" t="str">
        <f>IF(共有用1!J141="","",共有用1!J141&amp;"/"&amp;COUNTIF(共有用1!J$2:J141,共有用1!J141))</f>
        <v/>
      </c>
      <c r="K141" s="17" t="str">
        <f>IF(共有用1!K141="","",共有用1!K141&amp;"/"&amp;COUNTIF(共有用1!K$2:K141,共有用1!K141))</f>
        <v/>
      </c>
      <c r="L141" s="17" t="str">
        <f>IF(共有用1!L141="","",共有用1!L141&amp;"/"&amp;COUNTIF(共有用1!L$2:L141,共有用1!L141))</f>
        <v/>
      </c>
      <c r="M141" s="17" t="str">
        <f>IF(共有用1!M141="","",共有用1!M141&amp;"/"&amp;COUNTIF(共有用1!M$2:M141,共有用1!M141))</f>
        <v/>
      </c>
      <c r="N141" s="17" t="str">
        <f>IF(共有用1!N141="","",共有用1!N141&amp;"/"&amp;COUNTIF(共有用1!N$2:N141,共有用1!N141))</f>
        <v/>
      </c>
      <c r="O141" s="17" t="str">
        <f>IF(共有用1!O141="","",共有用1!O141&amp;"/"&amp;COUNTIF(共有用1!O$2:O141,共有用1!O141))</f>
        <v/>
      </c>
      <c r="P141" s="17" t="str">
        <f>IF(共有用1!P141="","",共有用1!P141&amp;"/"&amp;COUNTIF(共有用1!P$2:P141,共有用1!P141))</f>
        <v/>
      </c>
      <c r="Q141" s="17" t="str">
        <f>IF(共有用1!Q141="","",共有用1!Q141&amp;"/"&amp;COUNTIF(共有用1!Q$2:Q141,共有用1!Q141))</f>
        <v/>
      </c>
      <c r="R141" s="17" t="str">
        <f>IF(共有用1!R141="","",共有用1!R141&amp;"/"&amp;COUNTIF(共有用1!R$2:R141,共有用1!R141))</f>
        <v/>
      </c>
      <c r="S141" s="17" t="str">
        <f>IF(共有用1!S141="","",共有用1!S141&amp;"/"&amp;COUNTIF(共有用1!S$2:S141,共有用1!S141))</f>
        <v/>
      </c>
      <c r="T141" s="17" t="str">
        <f>IF(共有用1!T141="","",共有用1!T141&amp;"/"&amp;COUNTIF(共有用1!T$2:T141,共有用1!T141))</f>
        <v/>
      </c>
      <c r="U141" s="17" t="str">
        <f>IF(共有用1!U141="","",共有用1!U141&amp;"/"&amp;COUNTIF(共有用1!U$2:U141,共有用1!U141))</f>
        <v/>
      </c>
      <c r="V141" s="17" t="str">
        <f>IF(共有用1!V141="","",共有用1!V141&amp;"/"&amp;COUNTIF(共有用1!V$2:V141,共有用1!V141))</f>
        <v/>
      </c>
      <c r="W141" s="17" t="str">
        <f>IF(共有用1!W141="","",共有用1!W141&amp;"/"&amp;COUNTIF(共有用1!W$2:W141,共有用1!W141))</f>
        <v/>
      </c>
      <c r="X141" s="17" t="str">
        <f>IF(共有用1!X141="","",共有用1!X141&amp;"/"&amp;COUNTIF(共有用1!X$2:X141,共有用1!X141))</f>
        <v/>
      </c>
      <c r="Y141" s="17" t="str">
        <f>IF(共有用1!Y141="","",共有用1!Y141&amp;"/"&amp;COUNTIF(共有用1!Y$2:Y141,共有用1!Y141))</f>
        <v/>
      </c>
      <c r="Z141" s="17" t="str">
        <f>IF(共有用1!Z141="","",共有用1!Z141&amp;"/"&amp;COUNTIF(共有用1!Z$2:Z141,共有用1!Z141))</f>
        <v/>
      </c>
      <c r="AA141" s="17" t="str">
        <f>IF(共有用1!AA141="","",共有用1!AA141&amp;"/"&amp;COUNTIF(共有用1!AA$2:AA141,共有用1!AA141))</f>
        <v/>
      </c>
      <c r="AB141" s="17" t="str">
        <f>IF(共有用1!AB141="","",共有用1!AB141&amp;"/"&amp;COUNTIF(共有用1!AB$2:AB141,共有用1!AB141))</f>
        <v/>
      </c>
      <c r="AC141" s="17" t="str">
        <f>IF(共有用1!AC141="","",共有用1!AC141&amp;"/"&amp;COUNTIF(共有用1!AC$2:AC141,共有用1!AC141))</f>
        <v/>
      </c>
      <c r="AD141" s="17" t="str">
        <f>IF(共有用1!AD141="","",共有用1!AD141&amp;"/"&amp;COUNTIF(共有用1!AD$2:AD141,共有用1!AD141))</f>
        <v/>
      </c>
      <c r="AE141" s="17" t="str">
        <f>IF(共有用1!AE141="","",共有用1!AE141&amp;"/"&amp;COUNTIF(共有用1!AE$2:AE141,共有用1!AE141))</f>
        <v/>
      </c>
      <c r="AF141" s="17" t="str">
        <f>IF(共有用1!AF141="","",共有用1!AF141&amp;"/"&amp;COUNTIF(共有用1!AF$2:AF141,共有用1!AF141))</f>
        <v/>
      </c>
      <c r="AG141" s="17" t="str">
        <f>IF(共有用1!AG141="","",共有用1!AG141&amp;"/"&amp;COUNTIF(共有用1!AG$2:AG141,共有用1!AG141))</f>
        <v/>
      </c>
      <c r="AH141" s="17" t="str">
        <f>IF(共有用1!AH141="","",共有用1!AH141&amp;"/"&amp;COUNTIF(共有用1!AH$2:AH141,共有用1!AH141))</f>
        <v/>
      </c>
      <c r="AI141" s="17" t="str">
        <f>IF(共有用1!AI141="","",共有用1!AI141&amp;"/"&amp;COUNTIF(共有用1!AI$2:AI141,共有用1!AI141))</f>
        <v/>
      </c>
      <c r="AJ141" s="17" t="str">
        <f>IF(共有用1!AJ141="","",共有用1!AJ141&amp;"/"&amp;COUNTIF(共有用1!AJ$2:AJ141,共有用1!AJ141))</f>
        <v/>
      </c>
      <c r="AK141" s="17" t="str">
        <f>IF(共有用1!AK141="","",共有用1!AK141&amp;"/"&amp;COUNTIF(共有用1!AK$2:AK141,共有用1!AK141))</f>
        <v/>
      </c>
      <c r="AL141" s="17" t="str">
        <f>IF(共有用1!AL141="","",共有用1!AL141&amp;"/"&amp;COUNTIF(共有用1!AL$2:AL141,共有用1!AL141))</f>
        <v/>
      </c>
      <c r="AM141" s="17" t="str">
        <f>IF(共有用1!AM141="","",共有用1!AM141&amp;"/"&amp;COUNTIF(共有用1!AM$2:AM141,共有用1!AM141))</f>
        <v/>
      </c>
      <c r="AN141" s="17" t="str">
        <f>IF(共有用1!AN141="","",共有用1!AN141&amp;"/"&amp;COUNTIF(共有用1!AN$2:AN141,共有用1!AN141))</f>
        <v/>
      </c>
      <c r="AO141" s="17" t="str">
        <f>IF(共有用1!AO141="","",共有用1!AO141&amp;"/"&amp;COUNTIF(共有用1!AO$2:AO141,共有用1!AO141))</f>
        <v/>
      </c>
      <c r="AP141" s="17" t="str">
        <f>IF(共有用1!AP141="","",共有用1!AP141&amp;"/"&amp;COUNTIF(共有用1!AP$2:AP141,共有用1!AP141))</f>
        <v/>
      </c>
      <c r="AQ141" s="17" t="str">
        <f>IF(共有用1!AQ141="","",共有用1!AQ141&amp;"/"&amp;COUNTIF(共有用1!AQ$2:AQ141,共有用1!AQ141))</f>
        <v/>
      </c>
      <c r="AR141" s="17" t="str">
        <f>IF(共有用1!AR141="","",共有用1!AR141&amp;"/"&amp;COUNTIF(共有用1!AR$2:AR141,共有用1!AR141))</f>
        <v/>
      </c>
      <c r="AS141" s="17" t="str">
        <f>IF(共有用1!AS141="","",共有用1!AS141&amp;"/"&amp;COUNTIF(共有用1!AS$2:AS141,共有用1!AS141))</f>
        <v/>
      </c>
      <c r="AT141" s="17" t="str">
        <f>IF(共有用1!AT141="","",共有用1!AT141&amp;"/"&amp;COUNTIF(共有用1!AT$2:AT141,共有用1!AT141))</f>
        <v/>
      </c>
      <c r="AU141" s="17" t="str">
        <f>IF(共有用1!AU141="","",共有用1!AU141&amp;"/"&amp;COUNTIF(共有用1!AU$2:AU141,共有用1!AU141))</f>
        <v/>
      </c>
      <c r="AV141" s="17" t="str">
        <f>IF(共有用1!AV141="","",共有用1!AV141&amp;"/"&amp;COUNTIF(共有用1!AV$2:AV141,共有用1!AV141))</f>
        <v/>
      </c>
      <c r="AW141" s="17" t="str">
        <f>IF(共有用1!AW141="","",共有用1!AW141&amp;"/"&amp;COUNTIF(共有用1!AW$2:AW141,共有用1!AW141))</f>
        <v/>
      </c>
      <c r="AX141" s="17" t="str">
        <f>IF(共有用1!AX141="","",共有用1!AX141&amp;"/"&amp;COUNTIF(共有用1!AX$2:AX141,共有用1!AX141))</f>
        <v/>
      </c>
      <c r="AY141" s="17" t="str">
        <f>IF(共有用1!AY141="","",共有用1!AY141&amp;"/"&amp;COUNTIF(共有用1!AY$2:AY141,共有用1!AY141))</f>
        <v/>
      </c>
      <c r="AZ141" s="17" t="str">
        <f>IF(共有用1!AZ141="","",共有用1!AZ141&amp;"/"&amp;COUNTIF(共有用1!AZ$2:AZ141,共有用1!AZ141))</f>
        <v/>
      </c>
      <c r="BA141" s="17" t="str">
        <f>IF(共有用1!BA141="","",共有用1!BA141&amp;"/"&amp;COUNTIF(共有用1!BA$2:BA141,共有用1!BA141))</f>
        <v/>
      </c>
    </row>
    <row r="142" spans="1:53">
      <c r="A142" s="2" t="str">
        <f>共有用1!A142</f>
        <v/>
      </c>
      <c r="B142" s="2" t="str">
        <f>共有用1!B142</f>
        <v/>
      </c>
      <c r="C142" s="2" t="str">
        <f>共有用1!C142</f>
        <v/>
      </c>
      <c r="D142" s="17" t="str">
        <f>IF(共有用1!D142="","",共有用1!D142&amp;"/"&amp;COUNTIF(共有用1!D$2:D142,共有用1!D142))</f>
        <v/>
      </c>
      <c r="E142" s="17" t="str">
        <f>IF(共有用1!E142="","",共有用1!E142&amp;"/"&amp;COUNTIF(共有用1!E$2:E142,共有用1!E142))</f>
        <v/>
      </c>
      <c r="F142" s="17" t="str">
        <f>IF(共有用1!F142="","",共有用1!F142&amp;"/"&amp;COUNTIF(共有用1!F$2:F142,共有用1!F142))</f>
        <v/>
      </c>
      <c r="G142" s="17" t="str">
        <f>IF(共有用1!G142="","",共有用1!G142&amp;"/"&amp;COUNTIF(共有用1!G$2:G142,共有用1!G142))</f>
        <v/>
      </c>
      <c r="H142" s="17" t="str">
        <f>IF(共有用1!H142="","",共有用1!H142&amp;"/"&amp;COUNTIF(共有用1!H$2:H142,共有用1!H142))</f>
        <v/>
      </c>
      <c r="I142" s="17" t="str">
        <f>IF(共有用1!I142="","",共有用1!I142&amp;"/"&amp;COUNTIF(共有用1!I$2:I142,共有用1!I142))</f>
        <v/>
      </c>
      <c r="J142" s="17" t="str">
        <f>IF(共有用1!J142="","",共有用1!J142&amp;"/"&amp;COUNTIF(共有用1!J$2:J142,共有用1!J142))</f>
        <v/>
      </c>
      <c r="K142" s="17" t="str">
        <f>IF(共有用1!K142="","",共有用1!K142&amp;"/"&amp;COUNTIF(共有用1!K$2:K142,共有用1!K142))</f>
        <v/>
      </c>
      <c r="L142" s="17" t="str">
        <f>IF(共有用1!L142="","",共有用1!L142&amp;"/"&amp;COUNTIF(共有用1!L$2:L142,共有用1!L142))</f>
        <v/>
      </c>
      <c r="M142" s="17" t="str">
        <f>IF(共有用1!M142="","",共有用1!M142&amp;"/"&amp;COUNTIF(共有用1!M$2:M142,共有用1!M142))</f>
        <v/>
      </c>
      <c r="N142" s="17" t="str">
        <f>IF(共有用1!N142="","",共有用1!N142&amp;"/"&amp;COUNTIF(共有用1!N$2:N142,共有用1!N142))</f>
        <v/>
      </c>
      <c r="O142" s="17" t="str">
        <f>IF(共有用1!O142="","",共有用1!O142&amp;"/"&amp;COUNTIF(共有用1!O$2:O142,共有用1!O142))</f>
        <v/>
      </c>
      <c r="P142" s="17" t="str">
        <f>IF(共有用1!P142="","",共有用1!P142&amp;"/"&amp;COUNTIF(共有用1!P$2:P142,共有用1!P142))</f>
        <v/>
      </c>
      <c r="Q142" s="17" t="str">
        <f>IF(共有用1!Q142="","",共有用1!Q142&amp;"/"&amp;COUNTIF(共有用1!Q$2:Q142,共有用1!Q142))</f>
        <v/>
      </c>
      <c r="R142" s="17" t="str">
        <f>IF(共有用1!R142="","",共有用1!R142&amp;"/"&amp;COUNTIF(共有用1!R$2:R142,共有用1!R142))</f>
        <v/>
      </c>
      <c r="S142" s="17" t="str">
        <f>IF(共有用1!S142="","",共有用1!S142&amp;"/"&amp;COUNTIF(共有用1!S$2:S142,共有用1!S142))</f>
        <v/>
      </c>
      <c r="T142" s="17" t="str">
        <f>IF(共有用1!T142="","",共有用1!T142&amp;"/"&amp;COUNTIF(共有用1!T$2:T142,共有用1!T142))</f>
        <v/>
      </c>
      <c r="U142" s="17" t="str">
        <f>IF(共有用1!U142="","",共有用1!U142&amp;"/"&amp;COUNTIF(共有用1!U$2:U142,共有用1!U142))</f>
        <v/>
      </c>
      <c r="V142" s="17" t="str">
        <f>IF(共有用1!V142="","",共有用1!V142&amp;"/"&amp;COUNTIF(共有用1!V$2:V142,共有用1!V142))</f>
        <v/>
      </c>
      <c r="W142" s="17" t="str">
        <f>IF(共有用1!W142="","",共有用1!W142&amp;"/"&amp;COUNTIF(共有用1!W$2:W142,共有用1!W142))</f>
        <v/>
      </c>
      <c r="X142" s="17" t="str">
        <f>IF(共有用1!X142="","",共有用1!X142&amp;"/"&amp;COUNTIF(共有用1!X$2:X142,共有用1!X142))</f>
        <v/>
      </c>
      <c r="Y142" s="17" t="str">
        <f>IF(共有用1!Y142="","",共有用1!Y142&amp;"/"&amp;COUNTIF(共有用1!Y$2:Y142,共有用1!Y142))</f>
        <v/>
      </c>
      <c r="Z142" s="17" t="str">
        <f>IF(共有用1!Z142="","",共有用1!Z142&amp;"/"&amp;COUNTIF(共有用1!Z$2:Z142,共有用1!Z142))</f>
        <v/>
      </c>
      <c r="AA142" s="17" t="str">
        <f>IF(共有用1!AA142="","",共有用1!AA142&amp;"/"&amp;COUNTIF(共有用1!AA$2:AA142,共有用1!AA142))</f>
        <v/>
      </c>
      <c r="AB142" s="17" t="str">
        <f>IF(共有用1!AB142="","",共有用1!AB142&amp;"/"&amp;COUNTIF(共有用1!AB$2:AB142,共有用1!AB142))</f>
        <v/>
      </c>
      <c r="AC142" s="17" t="str">
        <f>IF(共有用1!AC142="","",共有用1!AC142&amp;"/"&amp;COUNTIF(共有用1!AC$2:AC142,共有用1!AC142))</f>
        <v/>
      </c>
      <c r="AD142" s="17" t="str">
        <f>IF(共有用1!AD142="","",共有用1!AD142&amp;"/"&amp;COUNTIF(共有用1!AD$2:AD142,共有用1!AD142))</f>
        <v/>
      </c>
      <c r="AE142" s="17" t="str">
        <f>IF(共有用1!AE142="","",共有用1!AE142&amp;"/"&amp;COUNTIF(共有用1!AE$2:AE142,共有用1!AE142))</f>
        <v/>
      </c>
      <c r="AF142" s="17" t="str">
        <f>IF(共有用1!AF142="","",共有用1!AF142&amp;"/"&amp;COUNTIF(共有用1!AF$2:AF142,共有用1!AF142))</f>
        <v/>
      </c>
      <c r="AG142" s="17" t="str">
        <f>IF(共有用1!AG142="","",共有用1!AG142&amp;"/"&amp;COUNTIF(共有用1!AG$2:AG142,共有用1!AG142))</f>
        <v/>
      </c>
      <c r="AH142" s="17" t="str">
        <f>IF(共有用1!AH142="","",共有用1!AH142&amp;"/"&amp;COUNTIF(共有用1!AH$2:AH142,共有用1!AH142))</f>
        <v/>
      </c>
      <c r="AI142" s="17" t="str">
        <f>IF(共有用1!AI142="","",共有用1!AI142&amp;"/"&amp;COUNTIF(共有用1!AI$2:AI142,共有用1!AI142))</f>
        <v/>
      </c>
      <c r="AJ142" s="17" t="str">
        <f>IF(共有用1!AJ142="","",共有用1!AJ142&amp;"/"&amp;COUNTIF(共有用1!AJ$2:AJ142,共有用1!AJ142))</f>
        <v/>
      </c>
      <c r="AK142" s="17" t="str">
        <f>IF(共有用1!AK142="","",共有用1!AK142&amp;"/"&amp;COUNTIF(共有用1!AK$2:AK142,共有用1!AK142))</f>
        <v/>
      </c>
      <c r="AL142" s="17" t="str">
        <f>IF(共有用1!AL142="","",共有用1!AL142&amp;"/"&amp;COUNTIF(共有用1!AL$2:AL142,共有用1!AL142))</f>
        <v/>
      </c>
      <c r="AM142" s="17" t="str">
        <f>IF(共有用1!AM142="","",共有用1!AM142&amp;"/"&amp;COUNTIF(共有用1!AM$2:AM142,共有用1!AM142))</f>
        <v/>
      </c>
      <c r="AN142" s="17" t="str">
        <f>IF(共有用1!AN142="","",共有用1!AN142&amp;"/"&amp;COUNTIF(共有用1!AN$2:AN142,共有用1!AN142))</f>
        <v/>
      </c>
      <c r="AO142" s="17" t="str">
        <f>IF(共有用1!AO142="","",共有用1!AO142&amp;"/"&amp;COUNTIF(共有用1!AO$2:AO142,共有用1!AO142))</f>
        <v/>
      </c>
      <c r="AP142" s="17" t="str">
        <f>IF(共有用1!AP142="","",共有用1!AP142&amp;"/"&amp;COUNTIF(共有用1!AP$2:AP142,共有用1!AP142))</f>
        <v/>
      </c>
      <c r="AQ142" s="17" t="str">
        <f>IF(共有用1!AQ142="","",共有用1!AQ142&amp;"/"&amp;COUNTIF(共有用1!AQ$2:AQ142,共有用1!AQ142))</f>
        <v/>
      </c>
      <c r="AR142" s="17" t="str">
        <f>IF(共有用1!AR142="","",共有用1!AR142&amp;"/"&amp;COUNTIF(共有用1!AR$2:AR142,共有用1!AR142))</f>
        <v/>
      </c>
      <c r="AS142" s="17" t="str">
        <f>IF(共有用1!AS142="","",共有用1!AS142&amp;"/"&amp;COUNTIF(共有用1!AS$2:AS142,共有用1!AS142))</f>
        <v/>
      </c>
      <c r="AT142" s="17" t="str">
        <f>IF(共有用1!AT142="","",共有用1!AT142&amp;"/"&amp;COUNTIF(共有用1!AT$2:AT142,共有用1!AT142))</f>
        <v/>
      </c>
      <c r="AU142" s="17" t="str">
        <f>IF(共有用1!AU142="","",共有用1!AU142&amp;"/"&amp;COUNTIF(共有用1!AU$2:AU142,共有用1!AU142))</f>
        <v/>
      </c>
      <c r="AV142" s="17" t="str">
        <f>IF(共有用1!AV142="","",共有用1!AV142&amp;"/"&amp;COUNTIF(共有用1!AV$2:AV142,共有用1!AV142))</f>
        <v/>
      </c>
      <c r="AW142" s="17" t="str">
        <f>IF(共有用1!AW142="","",共有用1!AW142&amp;"/"&amp;COUNTIF(共有用1!AW$2:AW142,共有用1!AW142))</f>
        <v/>
      </c>
      <c r="AX142" s="17" t="str">
        <f>IF(共有用1!AX142="","",共有用1!AX142&amp;"/"&amp;COUNTIF(共有用1!AX$2:AX142,共有用1!AX142))</f>
        <v/>
      </c>
      <c r="AY142" s="17" t="str">
        <f>IF(共有用1!AY142="","",共有用1!AY142&amp;"/"&amp;COUNTIF(共有用1!AY$2:AY142,共有用1!AY142))</f>
        <v/>
      </c>
      <c r="AZ142" s="17" t="str">
        <f>IF(共有用1!AZ142="","",共有用1!AZ142&amp;"/"&amp;COUNTIF(共有用1!AZ$2:AZ142,共有用1!AZ142))</f>
        <v/>
      </c>
      <c r="BA142" s="17" t="str">
        <f>IF(共有用1!BA142="","",共有用1!BA142&amp;"/"&amp;COUNTIF(共有用1!BA$2:BA142,共有用1!BA142))</f>
        <v/>
      </c>
    </row>
    <row r="143" spans="1:53">
      <c r="A143" s="2" t="str">
        <f>共有用1!A143</f>
        <v/>
      </c>
      <c r="B143" s="2" t="str">
        <f>共有用1!B143</f>
        <v/>
      </c>
      <c r="C143" s="2" t="str">
        <f>共有用1!C143</f>
        <v/>
      </c>
      <c r="D143" s="17" t="str">
        <f>IF(共有用1!D143="","",共有用1!D143&amp;"/"&amp;COUNTIF(共有用1!D$2:D143,共有用1!D143))</f>
        <v/>
      </c>
      <c r="E143" s="17" t="str">
        <f>IF(共有用1!E143="","",共有用1!E143&amp;"/"&amp;COUNTIF(共有用1!E$2:E143,共有用1!E143))</f>
        <v/>
      </c>
      <c r="F143" s="17" t="str">
        <f>IF(共有用1!F143="","",共有用1!F143&amp;"/"&amp;COUNTIF(共有用1!F$2:F143,共有用1!F143))</f>
        <v/>
      </c>
      <c r="G143" s="17" t="str">
        <f>IF(共有用1!G143="","",共有用1!G143&amp;"/"&amp;COUNTIF(共有用1!G$2:G143,共有用1!G143))</f>
        <v/>
      </c>
      <c r="H143" s="17" t="str">
        <f>IF(共有用1!H143="","",共有用1!H143&amp;"/"&amp;COUNTIF(共有用1!H$2:H143,共有用1!H143))</f>
        <v/>
      </c>
      <c r="I143" s="17" t="str">
        <f>IF(共有用1!I143="","",共有用1!I143&amp;"/"&amp;COUNTIF(共有用1!I$2:I143,共有用1!I143))</f>
        <v/>
      </c>
      <c r="J143" s="17" t="str">
        <f>IF(共有用1!J143="","",共有用1!J143&amp;"/"&amp;COUNTIF(共有用1!J$2:J143,共有用1!J143))</f>
        <v/>
      </c>
      <c r="K143" s="17" t="str">
        <f>IF(共有用1!K143="","",共有用1!K143&amp;"/"&amp;COUNTIF(共有用1!K$2:K143,共有用1!K143))</f>
        <v/>
      </c>
      <c r="L143" s="17" t="str">
        <f>IF(共有用1!L143="","",共有用1!L143&amp;"/"&amp;COUNTIF(共有用1!L$2:L143,共有用1!L143))</f>
        <v/>
      </c>
      <c r="M143" s="17" t="str">
        <f>IF(共有用1!M143="","",共有用1!M143&amp;"/"&amp;COUNTIF(共有用1!M$2:M143,共有用1!M143))</f>
        <v/>
      </c>
      <c r="N143" s="17" t="str">
        <f>IF(共有用1!N143="","",共有用1!N143&amp;"/"&amp;COUNTIF(共有用1!N$2:N143,共有用1!N143))</f>
        <v/>
      </c>
      <c r="O143" s="17" t="str">
        <f>IF(共有用1!O143="","",共有用1!O143&amp;"/"&amp;COUNTIF(共有用1!O$2:O143,共有用1!O143))</f>
        <v/>
      </c>
      <c r="P143" s="17" t="str">
        <f>IF(共有用1!P143="","",共有用1!P143&amp;"/"&amp;COUNTIF(共有用1!P$2:P143,共有用1!P143))</f>
        <v/>
      </c>
      <c r="Q143" s="17" t="str">
        <f>IF(共有用1!Q143="","",共有用1!Q143&amp;"/"&amp;COUNTIF(共有用1!Q$2:Q143,共有用1!Q143))</f>
        <v/>
      </c>
      <c r="R143" s="17" t="str">
        <f>IF(共有用1!R143="","",共有用1!R143&amp;"/"&amp;COUNTIF(共有用1!R$2:R143,共有用1!R143))</f>
        <v/>
      </c>
      <c r="S143" s="17" t="str">
        <f>IF(共有用1!S143="","",共有用1!S143&amp;"/"&amp;COUNTIF(共有用1!S$2:S143,共有用1!S143))</f>
        <v/>
      </c>
      <c r="T143" s="17" t="str">
        <f>IF(共有用1!T143="","",共有用1!T143&amp;"/"&amp;COUNTIF(共有用1!T$2:T143,共有用1!T143))</f>
        <v/>
      </c>
      <c r="U143" s="17" t="str">
        <f>IF(共有用1!U143="","",共有用1!U143&amp;"/"&amp;COUNTIF(共有用1!U$2:U143,共有用1!U143))</f>
        <v/>
      </c>
      <c r="V143" s="17" t="str">
        <f>IF(共有用1!V143="","",共有用1!V143&amp;"/"&amp;COUNTIF(共有用1!V$2:V143,共有用1!V143))</f>
        <v/>
      </c>
      <c r="W143" s="17" t="str">
        <f>IF(共有用1!W143="","",共有用1!W143&amp;"/"&amp;COUNTIF(共有用1!W$2:W143,共有用1!W143))</f>
        <v/>
      </c>
      <c r="X143" s="17" t="str">
        <f>IF(共有用1!X143="","",共有用1!X143&amp;"/"&amp;COUNTIF(共有用1!X$2:X143,共有用1!X143))</f>
        <v/>
      </c>
      <c r="Y143" s="17" t="str">
        <f>IF(共有用1!Y143="","",共有用1!Y143&amp;"/"&amp;COUNTIF(共有用1!Y$2:Y143,共有用1!Y143))</f>
        <v/>
      </c>
      <c r="Z143" s="17" t="str">
        <f>IF(共有用1!Z143="","",共有用1!Z143&amp;"/"&amp;COUNTIF(共有用1!Z$2:Z143,共有用1!Z143))</f>
        <v/>
      </c>
      <c r="AA143" s="17" t="str">
        <f>IF(共有用1!AA143="","",共有用1!AA143&amp;"/"&amp;COUNTIF(共有用1!AA$2:AA143,共有用1!AA143))</f>
        <v/>
      </c>
      <c r="AB143" s="17" t="str">
        <f>IF(共有用1!AB143="","",共有用1!AB143&amp;"/"&amp;COUNTIF(共有用1!AB$2:AB143,共有用1!AB143))</f>
        <v/>
      </c>
      <c r="AC143" s="17" t="str">
        <f>IF(共有用1!AC143="","",共有用1!AC143&amp;"/"&amp;COUNTIF(共有用1!AC$2:AC143,共有用1!AC143))</f>
        <v/>
      </c>
      <c r="AD143" s="17" t="str">
        <f>IF(共有用1!AD143="","",共有用1!AD143&amp;"/"&amp;COUNTIF(共有用1!AD$2:AD143,共有用1!AD143))</f>
        <v/>
      </c>
      <c r="AE143" s="17" t="str">
        <f>IF(共有用1!AE143="","",共有用1!AE143&amp;"/"&amp;COUNTIF(共有用1!AE$2:AE143,共有用1!AE143))</f>
        <v/>
      </c>
      <c r="AF143" s="17" t="str">
        <f>IF(共有用1!AF143="","",共有用1!AF143&amp;"/"&amp;COUNTIF(共有用1!AF$2:AF143,共有用1!AF143))</f>
        <v/>
      </c>
      <c r="AG143" s="17" t="str">
        <f>IF(共有用1!AG143="","",共有用1!AG143&amp;"/"&amp;COUNTIF(共有用1!AG$2:AG143,共有用1!AG143))</f>
        <v/>
      </c>
      <c r="AH143" s="17" t="str">
        <f>IF(共有用1!AH143="","",共有用1!AH143&amp;"/"&amp;COUNTIF(共有用1!AH$2:AH143,共有用1!AH143))</f>
        <v/>
      </c>
      <c r="AI143" s="17" t="str">
        <f>IF(共有用1!AI143="","",共有用1!AI143&amp;"/"&amp;COUNTIF(共有用1!AI$2:AI143,共有用1!AI143))</f>
        <v/>
      </c>
      <c r="AJ143" s="17" t="str">
        <f>IF(共有用1!AJ143="","",共有用1!AJ143&amp;"/"&amp;COUNTIF(共有用1!AJ$2:AJ143,共有用1!AJ143))</f>
        <v/>
      </c>
      <c r="AK143" s="17" t="str">
        <f>IF(共有用1!AK143="","",共有用1!AK143&amp;"/"&amp;COUNTIF(共有用1!AK$2:AK143,共有用1!AK143))</f>
        <v/>
      </c>
      <c r="AL143" s="17" t="str">
        <f>IF(共有用1!AL143="","",共有用1!AL143&amp;"/"&amp;COUNTIF(共有用1!AL$2:AL143,共有用1!AL143))</f>
        <v/>
      </c>
      <c r="AM143" s="17" t="str">
        <f>IF(共有用1!AM143="","",共有用1!AM143&amp;"/"&amp;COUNTIF(共有用1!AM$2:AM143,共有用1!AM143))</f>
        <v/>
      </c>
      <c r="AN143" s="17" t="str">
        <f>IF(共有用1!AN143="","",共有用1!AN143&amp;"/"&amp;COUNTIF(共有用1!AN$2:AN143,共有用1!AN143))</f>
        <v/>
      </c>
      <c r="AO143" s="17" t="str">
        <f>IF(共有用1!AO143="","",共有用1!AO143&amp;"/"&amp;COUNTIF(共有用1!AO$2:AO143,共有用1!AO143))</f>
        <v/>
      </c>
      <c r="AP143" s="17" t="str">
        <f>IF(共有用1!AP143="","",共有用1!AP143&amp;"/"&amp;COUNTIF(共有用1!AP$2:AP143,共有用1!AP143))</f>
        <v/>
      </c>
      <c r="AQ143" s="17" t="str">
        <f>IF(共有用1!AQ143="","",共有用1!AQ143&amp;"/"&amp;COUNTIF(共有用1!AQ$2:AQ143,共有用1!AQ143))</f>
        <v/>
      </c>
      <c r="AR143" s="17" t="str">
        <f>IF(共有用1!AR143="","",共有用1!AR143&amp;"/"&amp;COUNTIF(共有用1!AR$2:AR143,共有用1!AR143))</f>
        <v/>
      </c>
      <c r="AS143" s="17" t="str">
        <f>IF(共有用1!AS143="","",共有用1!AS143&amp;"/"&amp;COUNTIF(共有用1!AS$2:AS143,共有用1!AS143))</f>
        <v/>
      </c>
      <c r="AT143" s="17" t="str">
        <f>IF(共有用1!AT143="","",共有用1!AT143&amp;"/"&amp;COUNTIF(共有用1!AT$2:AT143,共有用1!AT143))</f>
        <v/>
      </c>
      <c r="AU143" s="17" t="str">
        <f>IF(共有用1!AU143="","",共有用1!AU143&amp;"/"&amp;COUNTIF(共有用1!AU$2:AU143,共有用1!AU143))</f>
        <v/>
      </c>
      <c r="AV143" s="17" t="str">
        <f>IF(共有用1!AV143="","",共有用1!AV143&amp;"/"&amp;COUNTIF(共有用1!AV$2:AV143,共有用1!AV143))</f>
        <v/>
      </c>
      <c r="AW143" s="17" t="str">
        <f>IF(共有用1!AW143="","",共有用1!AW143&amp;"/"&amp;COUNTIF(共有用1!AW$2:AW143,共有用1!AW143))</f>
        <v/>
      </c>
      <c r="AX143" s="17" t="str">
        <f>IF(共有用1!AX143="","",共有用1!AX143&amp;"/"&amp;COUNTIF(共有用1!AX$2:AX143,共有用1!AX143))</f>
        <v/>
      </c>
      <c r="AY143" s="17" t="str">
        <f>IF(共有用1!AY143="","",共有用1!AY143&amp;"/"&amp;COUNTIF(共有用1!AY$2:AY143,共有用1!AY143))</f>
        <v/>
      </c>
      <c r="AZ143" s="17" t="str">
        <f>IF(共有用1!AZ143="","",共有用1!AZ143&amp;"/"&amp;COUNTIF(共有用1!AZ$2:AZ143,共有用1!AZ143))</f>
        <v/>
      </c>
      <c r="BA143" s="17" t="str">
        <f>IF(共有用1!BA143="","",共有用1!BA143&amp;"/"&amp;COUNTIF(共有用1!BA$2:BA143,共有用1!BA143))</f>
        <v/>
      </c>
    </row>
    <row r="144" spans="1:53">
      <c r="A144" s="2" t="str">
        <f>共有用1!A144</f>
        <v/>
      </c>
      <c r="B144" s="2" t="str">
        <f>共有用1!B144</f>
        <v/>
      </c>
      <c r="C144" s="2" t="str">
        <f>共有用1!C144</f>
        <v/>
      </c>
      <c r="D144" s="17" t="str">
        <f>IF(共有用1!D144="","",共有用1!D144&amp;"/"&amp;COUNTIF(共有用1!D$2:D144,共有用1!D144))</f>
        <v/>
      </c>
      <c r="E144" s="17" t="str">
        <f>IF(共有用1!E144="","",共有用1!E144&amp;"/"&amp;COUNTIF(共有用1!E$2:E144,共有用1!E144))</f>
        <v/>
      </c>
      <c r="F144" s="17" t="str">
        <f>IF(共有用1!F144="","",共有用1!F144&amp;"/"&amp;COUNTIF(共有用1!F$2:F144,共有用1!F144))</f>
        <v/>
      </c>
      <c r="G144" s="17" t="str">
        <f>IF(共有用1!G144="","",共有用1!G144&amp;"/"&amp;COUNTIF(共有用1!G$2:G144,共有用1!G144))</f>
        <v/>
      </c>
      <c r="H144" s="17" t="str">
        <f>IF(共有用1!H144="","",共有用1!H144&amp;"/"&amp;COUNTIF(共有用1!H$2:H144,共有用1!H144))</f>
        <v/>
      </c>
      <c r="I144" s="17" t="str">
        <f>IF(共有用1!I144="","",共有用1!I144&amp;"/"&amp;COUNTIF(共有用1!I$2:I144,共有用1!I144))</f>
        <v/>
      </c>
      <c r="J144" s="17" t="str">
        <f>IF(共有用1!J144="","",共有用1!J144&amp;"/"&amp;COUNTIF(共有用1!J$2:J144,共有用1!J144))</f>
        <v/>
      </c>
      <c r="K144" s="17" t="str">
        <f>IF(共有用1!K144="","",共有用1!K144&amp;"/"&amp;COUNTIF(共有用1!K$2:K144,共有用1!K144))</f>
        <v/>
      </c>
      <c r="L144" s="17" t="str">
        <f>IF(共有用1!L144="","",共有用1!L144&amp;"/"&amp;COUNTIF(共有用1!L$2:L144,共有用1!L144))</f>
        <v/>
      </c>
      <c r="M144" s="17" t="str">
        <f>IF(共有用1!M144="","",共有用1!M144&amp;"/"&amp;COUNTIF(共有用1!M$2:M144,共有用1!M144))</f>
        <v/>
      </c>
      <c r="N144" s="17" t="str">
        <f>IF(共有用1!N144="","",共有用1!N144&amp;"/"&amp;COUNTIF(共有用1!N$2:N144,共有用1!N144))</f>
        <v/>
      </c>
      <c r="O144" s="17" t="str">
        <f>IF(共有用1!O144="","",共有用1!O144&amp;"/"&amp;COUNTIF(共有用1!O$2:O144,共有用1!O144))</f>
        <v/>
      </c>
      <c r="P144" s="17" t="str">
        <f>IF(共有用1!P144="","",共有用1!P144&amp;"/"&amp;COUNTIF(共有用1!P$2:P144,共有用1!P144))</f>
        <v/>
      </c>
      <c r="Q144" s="17" t="str">
        <f>IF(共有用1!Q144="","",共有用1!Q144&amp;"/"&amp;COUNTIF(共有用1!Q$2:Q144,共有用1!Q144))</f>
        <v/>
      </c>
      <c r="R144" s="17" t="str">
        <f>IF(共有用1!R144="","",共有用1!R144&amp;"/"&amp;COUNTIF(共有用1!R$2:R144,共有用1!R144))</f>
        <v/>
      </c>
      <c r="S144" s="17" t="str">
        <f>IF(共有用1!S144="","",共有用1!S144&amp;"/"&amp;COUNTIF(共有用1!S$2:S144,共有用1!S144))</f>
        <v/>
      </c>
      <c r="T144" s="17" t="str">
        <f>IF(共有用1!T144="","",共有用1!T144&amp;"/"&amp;COUNTIF(共有用1!T$2:T144,共有用1!T144))</f>
        <v/>
      </c>
      <c r="U144" s="17" t="str">
        <f>IF(共有用1!U144="","",共有用1!U144&amp;"/"&amp;COUNTIF(共有用1!U$2:U144,共有用1!U144))</f>
        <v/>
      </c>
      <c r="V144" s="17" t="str">
        <f>IF(共有用1!V144="","",共有用1!V144&amp;"/"&amp;COUNTIF(共有用1!V$2:V144,共有用1!V144))</f>
        <v/>
      </c>
      <c r="W144" s="17" t="str">
        <f>IF(共有用1!W144="","",共有用1!W144&amp;"/"&amp;COUNTIF(共有用1!W$2:W144,共有用1!W144))</f>
        <v/>
      </c>
      <c r="X144" s="17" t="str">
        <f>IF(共有用1!X144="","",共有用1!X144&amp;"/"&amp;COUNTIF(共有用1!X$2:X144,共有用1!X144))</f>
        <v/>
      </c>
      <c r="Y144" s="17" t="str">
        <f>IF(共有用1!Y144="","",共有用1!Y144&amp;"/"&amp;COUNTIF(共有用1!Y$2:Y144,共有用1!Y144))</f>
        <v/>
      </c>
      <c r="Z144" s="17" t="str">
        <f>IF(共有用1!Z144="","",共有用1!Z144&amp;"/"&amp;COUNTIF(共有用1!Z$2:Z144,共有用1!Z144))</f>
        <v/>
      </c>
      <c r="AA144" s="17" t="str">
        <f>IF(共有用1!AA144="","",共有用1!AA144&amp;"/"&amp;COUNTIF(共有用1!AA$2:AA144,共有用1!AA144))</f>
        <v/>
      </c>
      <c r="AB144" s="17" t="str">
        <f>IF(共有用1!AB144="","",共有用1!AB144&amp;"/"&amp;COUNTIF(共有用1!AB$2:AB144,共有用1!AB144))</f>
        <v/>
      </c>
      <c r="AC144" s="17" t="str">
        <f>IF(共有用1!AC144="","",共有用1!AC144&amp;"/"&amp;COUNTIF(共有用1!AC$2:AC144,共有用1!AC144))</f>
        <v/>
      </c>
      <c r="AD144" s="17" t="str">
        <f>IF(共有用1!AD144="","",共有用1!AD144&amp;"/"&amp;COUNTIF(共有用1!AD$2:AD144,共有用1!AD144))</f>
        <v/>
      </c>
      <c r="AE144" s="17" t="str">
        <f>IF(共有用1!AE144="","",共有用1!AE144&amp;"/"&amp;COUNTIF(共有用1!AE$2:AE144,共有用1!AE144))</f>
        <v/>
      </c>
      <c r="AF144" s="17" t="str">
        <f>IF(共有用1!AF144="","",共有用1!AF144&amp;"/"&amp;COUNTIF(共有用1!AF$2:AF144,共有用1!AF144))</f>
        <v/>
      </c>
      <c r="AG144" s="17" t="str">
        <f>IF(共有用1!AG144="","",共有用1!AG144&amp;"/"&amp;COUNTIF(共有用1!AG$2:AG144,共有用1!AG144))</f>
        <v/>
      </c>
      <c r="AH144" s="17" t="str">
        <f>IF(共有用1!AH144="","",共有用1!AH144&amp;"/"&amp;COUNTIF(共有用1!AH$2:AH144,共有用1!AH144))</f>
        <v/>
      </c>
      <c r="AI144" s="17" t="str">
        <f>IF(共有用1!AI144="","",共有用1!AI144&amp;"/"&amp;COUNTIF(共有用1!AI$2:AI144,共有用1!AI144))</f>
        <v/>
      </c>
      <c r="AJ144" s="17" t="str">
        <f>IF(共有用1!AJ144="","",共有用1!AJ144&amp;"/"&amp;COUNTIF(共有用1!AJ$2:AJ144,共有用1!AJ144))</f>
        <v/>
      </c>
      <c r="AK144" s="17" t="str">
        <f>IF(共有用1!AK144="","",共有用1!AK144&amp;"/"&amp;COUNTIF(共有用1!AK$2:AK144,共有用1!AK144))</f>
        <v/>
      </c>
      <c r="AL144" s="17" t="str">
        <f>IF(共有用1!AL144="","",共有用1!AL144&amp;"/"&amp;COUNTIF(共有用1!AL$2:AL144,共有用1!AL144))</f>
        <v/>
      </c>
      <c r="AM144" s="17" t="str">
        <f>IF(共有用1!AM144="","",共有用1!AM144&amp;"/"&amp;COUNTIF(共有用1!AM$2:AM144,共有用1!AM144))</f>
        <v/>
      </c>
      <c r="AN144" s="17" t="str">
        <f>IF(共有用1!AN144="","",共有用1!AN144&amp;"/"&amp;COUNTIF(共有用1!AN$2:AN144,共有用1!AN144))</f>
        <v/>
      </c>
      <c r="AO144" s="17" t="str">
        <f>IF(共有用1!AO144="","",共有用1!AO144&amp;"/"&amp;COUNTIF(共有用1!AO$2:AO144,共有用1!AO144))</f>
        <v/>
      </c>
      <c r="AP144" s="17" t="str">
        <f>IF(共有用1!AP144="","",共有用1!AP144&amp;"/"&amp;COUNTIF(共有用1!AP$2:AP144,共有用1!AP144))</f>
        <v/>
      </c>
      <c r="AQ144" s="17" t="str">
        <f>IF(共有用1!AQ144="","",共有用1!AQ144&amp;"/"&amp;COUNTIF(共有用1!AQ$2:AQ144,共有用1!AQ144))</f>
        <v/>
      </c>
      <c r="AR144" s="17" t="str">
        <f>IF(共有用1!AR144="","",共有用1!AR144&amp;"/"&amp;COUNTIF(共有用1!AR$2:AR144,共有用1!AR144))</f>
        <v/>
      </c>
      <c r="AS144" s="17" t="str">
        <f>IF(共有用1!AS144="","",共有用1!AS144&amp;"/"&amp;COUNTIF(共有用1!AS$2:AS144,共有用1!AS144))</f>
        <v/>
      </c>
      <c r="AT144" s="17" t="str">
        <f>IF(共有用1!AT144="","",共有用1!AT144&amp;"/"&amp;COUNTIF(共有用1!AT$2:AT144,共有用1!AT144))</f>
        <v/>
      </c>
      <c r="AU144" s="17" t="str">
        <f>IF(共有用1!AU144="","",共有用1!AU144&amp;"/"&amp;COUNTIF(共有用1!AU$2:AU144,共有用1!AU144))</f>
        <v/>
      </c>
      <c r="AV144" s="17" t="str">
        <f>IF(共有用1!AV144="","",共有用1!AV144&amp;"/"&amp;COUNTIF(共有用1!AV$2:AV144,共有用1!AV144))</f>
        <v/>
      </c>
      <c r="AW144" s="17" t="str">
        <f>IF(共有用1!AW144="","",共有用1!AW144&amp;"/"&amp;COUNTIF(共有用1!AW$2:AW144,共有用1!AW144))</f>
        <v/>
      </c>
      <c r="AX144" s="17" t="str">
        <f>IF(共有用1!AX144="","",共有用1!AX144&amp;"/"&amp;COUNTIF(共有用1!AX$2:AX144,共有用1!AX144))</f>
        <v/>
      </c>
      <c r="AY144" s="17" t="str">
        <f>IF(共有用1!AY144="","",共有用1!AY144&amp;"/"&amp;COUNTIF(共有用1!AY$2:AY144,共有用1!AY144))</f>
        <v/>
      </c>
      <c r="AZ144" s="17" t="str">
        <f>IF(共有用1!AZ144="","",共有用1!AZ144&amp;"/"&amp;COUNTIF(共有用1!AZ$2:AZ144,共有用1!AZ144))</f>
        <v/>
      </c>
      <c r="BA144" s="17" t="str">
        <f>IF(共有用1!BA144="","",共有用1!BA144&amp;"/"&amp;COUNTIF(共有用1!BA$2:BA144,共有用1!BA144))</f>
        <v/>
      </c>
    </row>
    <row r="145" spans="1:53">
      <c r="A145" s="2" t="str">
        <f>共有用1!A145</f>
        <v/>
      </c>
      <c r="B145" s="2" t="str">
        <f>共有用1!B145</f>
        <v/>
      </c>
      <c r="C145" s="2" t="str">
        <f>共有用1!C145</f>
        <v/>
      </c>
      <c r="D145" s="17" t="str">
        <f>IF(共有用1!D145="","",共有用1!D145&amp;"/"&amp;COUNTIF(共有用1!D$2:D145,共有用1!D145))</f>
        <v/>
      </c>
      <c r="E145" s="17" t="str">
        <f>IF(共有用1!E145="","",共有用1!E145&amp;"/"&amp;COUNTIF(共有用1!E$2:E145,共有用1!E145))</f>
        <v/>
      </c>
      <c r="F145" s="17" t="str">
        <f>IF(共有用1!F145="","",共有用1!F145&amp;"/"&amp;COUNTIF(共有用1!F$2:F145,共有用1!F145))</f>
        <v/>
      </c>
      <c r="G145" s="17" t="str">
        <f>IF(共有用1!G145="","",共有用1!G145&amp;"/"&amp;COUNTIF(共有用1!G$2:G145,共有用1!G145))</f>
        <v/>
      </c>
      <c r="H145" s="17" t="str">
        <f>IF(共有用1!H145="","",共有用1!H145&amp;"/"&amp;COUNTIF(共有用1!H$2:H145,共有用1!H145))</f>
        <v/>
      </c>
      <c r="I145" s="17" t="str">
        <f>IF(共有用1!I145="","",共有用1!I145&amp;"/"&amp;COUNTIF(共有用1!I$2:I145,共有用1!I145))</f>
        <v/>
      </c>
      <c r="J145" s="17" t="str">
        <f>IF(共有用1!J145="","",共有用1!J145&amp;"/"&amp;COUNTIF(共有用1!J$2:J145,共有用1!J145))</f>
        <v/>
      </c>
      <c r="K145" s="17" t="str">
        <f>IF(共有用1!K145="","",共有用1!K145&amp;"/"&amp;COUNTIF(共有用1!K$2:K145,共有用1!K145))</f>
        <v/>
      </c>
      <c r="L145" s="17" t="str">
        <f>IF(共有用1!L145="","",共有用1!L145&amp;"/"&amp;COUNTIF(共有用1!L$2:L145,共有用1!L145))</f>
        <v/>
      </c>
      <c r="M145" s="17" t="str">
        <f>IF(共有用1!M145="","",共有用1!M145&amp;"/"&amp;COUNTIF(共有用1!M$2:M145,共有用1!M145))</f>
        <v/>
      </c>
      <c r="N145" s="17" t="str">
        <f>IF(共有用1!N145="","",共有用1!N145&amp;"/"&amp;COUNTIF(共有用1!N$2:N145,共有用1!N145))</f>
        <v/>
      </c>
      <c r="O145" s="17" t="str">
        <f>IF(共有用1!O145="","",共有用1!O145&amp;"/"&amp;COUNTIF(共有用1!O$2:O145,共有用1!O145))</f>
        <v/>
      </c>
      <c r="P145" s="17" t="str">
        <f>IF(共有用1!P145="","",共有用1!P145&amp;"/"&amp;COUNTIF(共有用1!P$2:P145,共有用1!P145))</f>
        <v/>
      </c>
      <c r="Q145" s="17" t="str">
        <f>IF(共有用1!Q145="","",共有用1!Q145&amp;"/"&amp;COUNTIF(共有用1!Q$2:Q145,共有用1!Q145))</f>
        <v/>
      </c>
      <c r="R145" s="17" t="str">
        <f>IF(共有用1!R145="","",共有用1!R145&amp;"/"&amp;COUNTIF(共有用1!R$2:R145,共有用1!R145))</f>
        <v/>
      </c>
      <c r="S145" s="17" t="str">
        <f>IF(共有用1!S145="","",共有用1!S145&amp;"/"&amp;COUNTIF(共有用1!S$2:S145,共有用1!S145))</f>
        <v/>
      </c>
      <c r="T145" s="17" t="str">
        <f>IF(共有用1!T145="","",共有用1!T145&amp;"/"&amp;COUNTIF(共有用1!T$2:T145,共有用1!T145))</f>
        <v/>
      </c>
      <c r="U145" s="17" t="str">
        <f>IF(共有用1!U145="","",共有用1!U145&amp;"/"&amp;COUNTIF(共有用1!U$2:U145,共有用1!U145))</f>
        <v/>
      </c>
      <c r="V145" s="17" t="str">
        <f>IF(共有用1!V145="","",共有用1!V145&amp;"/"&amp;COUNTIF(共有用1!V$2:V145,共有用1!V145))</f>
        <v/>
      </c>
      <c r="W145" s="17" t="str">
        <f>IF(共有用1!W145="","",共有用1!W145&amp;"/"&amp;COUNTIF(共有用1!W$2:W145,共有用1!W145))</f>
        <v/>
      </c>
      <c r="X145" s="17" t="str">
        <f>IF(共有用1!X145="","",共有用1!X145&amp;"/"&amp;COUNTIF(共有用1!X$2:X145,共有用1!X145))</f>
        <v/>
      </c>
      <c r="Y145" s="17" t="str">
        <f>IF(共有用1!Y145="","",共有用1!Y145&amp;"/"&amp;COUNTIF(共有用1!Y$2:Y145,共有用1!Y145))</f>
        <v/>
      </c>
      <c r="Z145" s="17" t="str">
        <f>IF(共有用1!Z145="","",共有用1!Z145&amp;"/"&amp;COUNTIF(共有用1!Z$2:Z145,共有用1!Z145))</f>
        <v/>
      </c>
      <c r="AA145" s="17" t="str">
        <f>IF(共有用1!AA145="","",共有用1!AA145&amp;"/"&amp;COUNTIF(共有用1!AA$2:AA145,共有用1!AA145))</f>
        <v/>
      </c>
      <c r="AB145" s="17" t="str">
        <f>IF(共有用1!AB145="","",共有用1!AB145&amp;"/"&amp;COUNTIF(共有用1!AB$2:AB145,共有用1!AB145))</f>
        <v/>
      </c>
      <c r="AC145" s="17" t="str">
        <f>IF(共有用1!AC145="","",共有用1!AC145&amp;"/"&amp;COUNTIF(共有用1!AC$2:AC145,共有用1!AC145))</f>
        <v/>
      </c>
      <c r="AD145" s="17" t="str">
        <f>IF(共有用1!AD145="","",共有用1!AD145&amp;"/"&amp;COUNTIF(共有用1!AD$2:AD145,共有用1!AD145))</f>
        <v/>
      </c>
      <c r="AE145" s="17" t="str">
        <f>IF(共有用1!AE145="","",共有用1!AE145&amp;"/"&amp;COUNTIF(共有用1!AE$2:AE145,共有用1!AE145))</f>
        <v/>
      </c>
      <c r="AF145" s="17" t="str">
        <f>IF(共有用1!AF145="","",共有用1!AF145&amp;"/"&amp;COUNTIF(共有用1!AF$2:AF145,共有用1!AF145))</f>
        <v/>
      </c>
      <c r="AG145" s="17" t="str">
        <f>IF(共有用1!AG145="","",共有用1!AG145&amp;"/"&amp;COUNTIF(共有用1!AG$2:AG145,共有用1!AG145))</f>
        <v/>
      </c>
      <c r="AH145" s="17" t="str">
        <f>IF(共有用1!AH145="","",共有用1!AH145&amp;"/"&amp;COUNTIF(共有用1!AH$2:AH145,共有用1!AH145))</f>
        <v/>
      </c>
      <c r="AI145" s="17" t="str">
        <f>IF(共有用1!AI145="","",共有用1!AI145&amp;"/"&amp;COUNTIF(共有用1!AI$2:AI145,共有用1!AI145))</f>
        <v/>
      </c>
      <c r="AJ145" s="17" t="str">
        <f>IF(共有用1!AJ145="","",共有用1!AJ145&amp;"/"&amp;COUNTIF(共有用1!AJ$2:AJ145,共有用1!AJ145))</f>
        <v/>
      </c>
      <c r="AK145" s="17" t="str">
        <f>IF(共有用1!AK145="","",共有用1!AK145&amp;"/"&amp;COUNTIF(共有用1!AK$2:AK145,共有用1!AK145))</f>
        <v/>
      </c>
      <c r="AL145" s="17" t="str">
        <f>IF(共有用1!AL145="","",共有用1!AL145&amp;"/"&amp;COUNTIF(共有用1!AL$2:AL145,共有用1!AL145))</f>
        <v/>
      </c>
      <c r="AM145" s="17" t="str">
        <f>IF(共有用1!AM145="","",共有用1!AM145&amp;"/"&amp;COUNTIF(共有用1!AM$2:AM145,共有用1!AM145))</f>
        <v/>
      </c>
      <c r="AN145" s="17" t="str">
        <f>IF(共有用1!AN145="","",共有用1!AN145&amp;"/"&amp;COUNTIF(共有用1!AN$2:AN145,共有用1!AN145))</f>
        <v/>
      </c>
      <c r="AO145" s="17" t="str">
        <f>IF(共有用1!AO145="","",共有用1!AO145&amp;"/"&amp;COUNTIF(共有用1!AO$2:AO145,共有用1!AO145))</f>
        <v/>
      </c>
      <c r="AP145" s="17" t="str">
        <f>IF(共有用1!AP145="","",共有用1!AP145&amp;"/"&amp;COUNTIF(共有用1!AP$2:AP145,共有用1!AP145))</f>
        <v/>
      </c>
      <c r="AQ145" s="17" t="str">
        <f>IF(共有用1!AQ145="","",共有用1!AQ145&amp;"/"&amp;COUNTIF(共有用1!AQ$2:AQ145,共有用1!AQ145))</f>
        <v/>
      </c>
      <c r="AR145" s="17" t="str">
        <f>IF(共有用1!AR145="","",共有用1!AR145&amp;"/"&amp;COUNTIF(共有用1!AR$2:AR145,共有用1!AR145))</f>
        <v/>
      </c>
      <c r="AS145" s="17" t="str">
        <f>IF(共有用1!AS145="","",共有用1!AS145&amp;"/"&amp;COUNTIF(共有用1!AS$2:AS145,共有用1!AS145))</f>
        <v/>
      </c>
      <c r="AT145" s="17" t="str">
        <f>IF(共有用1!AT145="","",共有用1!AT145&amp;"/"&amp;COUNTIF(共有用1!AT$2:AT145,共有用1!AT145))</f>
        <v/>
      </c>
      <c r="AU145" s="17" t="str">
        <f>IF(共有用1!AU145="","",共有用1!AU145&amp;"/"&amp;COUNTIF(共有用1!AU$2:AU145,共有用1!AU145))</f>
        <v/>
      </c>
      <c r="AV145" s="17" t="str">
        <f>IF(共有用1!AV145="","",共有用1!AV145&amp;"/"&amp;COUNTIF(共有用1!AV$2:AV145,共有用1!AV145))</f>
        <v/>
      </c>
      <c r="AW145" s="17" t="str">
        <f>IF(共有用1!AW145="","",共有用1!AW145&amp;"/"&amp;COUNTIF(共有用1!AW$2:AW145,共有用1!AW145))</f>
        <v/>
      </c>
      <c r="AX145" s="17" t="str">
        <f>IF(共有用1!AX145="","",共有用1!AX145&amp;"/"&amp;COUNTIF(共有用1!AX$2:AX145,共有用1!AX145))</f>
        <v/>
      </c>
      <c r="AY145" s="17" t="str">
        <f>IF(共有用1!AY145="","",共有用1!AY145&amp;"/"&amp;COUNTIF(共有用1!AY$2:AY145,共有用1!AY145))</f>
        <v/>
      </c>
      <c r="AZ145" s="17" t="str">
        <f>IF(共有用1!AZ145="","",共有用1!AZ145&amp;"/"&amp;COUNTIF(共有用1!AZ$2:AZ145,共有用1!AZ145))</f>
        <v/>
      </c>
      <c r="BA145" s="17" t="str">
        <f>IF(共有用1!BA145="","",共有用1!BA145&amp;"/"&amp;COUNTIF(共有用1!BA$2:BA145,共有用1!BA145))</f>
        <v/>
      </c>
    </row>
    <row r="146" spans="1:53">
      <c r="A146" s="2" t="str">
        <f>共有用1!A146</f>
        <v/>
      </c>
      <c r="B146" s="2" t="str">
        <f>共有用1!B146</f>
        <v/>
      </c>
      <c r="C146" s="2" t="str">
        <f>共有用1!C146</f>
        <v/>
      </c>
      <c r="D146" s="17" t="str">
        <f>IF(共有用1!D146="","",共有用1!D146&amp;"/"&amp;COUNTIF(共有用1!D$2:D146,共有用1!D146))</f>
        <v/>
      </c>
      <c r="E146" s="17" t="str">
        <f>IF(共有用1!E146="","",共有用1!E146&amp;"/"&amp;COUNTIF(共有用1!E$2:E146,共有用1!E146))</f>
        <v/>
      </c>
      <c r="F146" s="17" t="str">
        <f>IF(共有用1!F146="","",共有用1!F146&amp;"/"&amp;COUNTIF(共有用1!F$2:F146,共有用1!F146))</f>
        <v/>
      </c>
      <c r="G146" s="17" t="str">
        <f>IF(共有用1!G146="","",共有用1!G146&amp;"/"&amp;COUNTIF(共有用1!G$2:G146,共有用1!G146))</f>
        <v/>
      </c>
      <c r="H146" s="17" t="str">
        <f>IF(共有用1!H146="","",共有用1!H146&amp;"/"&amp;COUNTIF(共有用1!H$2:H146,共有用1!H146))</f>
        <v/>
      </c>
      <c r="I146" s="17" t="str">
        <f>IF(共有用1!I146="","",共有用1!I146&amp;"/"&amp;COUNTIF(共有用1!I$2:I146,共有用1!I146))</f>
        <v/>
      </c>
      <c r="J146" s="17" t="str">
        <f>IF(共有用1!J146="","",共有用1!J146&amp;"/"&amp;COUNTIF(共有用1!J$2:J146,共有用1!J146))</f>
        <v/>
      </c>
      <c r="K146" s="17" t="str">
        <f>IF(共有用1!K146="","",共有用1!K146&amp;"/"&amp;COUNTIF(共有用1!K$2:K146,共有用1!K146))</f>
        <v/>
      </c>
      <c r="L146" s="17" t="str">
        <f>IF(共有用1!L146="","",共有用1!L146&amp;"/"&amp;COUNTIF(共有用1!L$2:L146,共有用1!L146))</f>
        <v/>
      </c>
      <c r="M146" s="17" t="str">
        <f>IF(共有用1!M146="","",共有用1!M146&amp;"/"&amp;COUNTIF(共有用1!M$2:M146,共有用1!M146))</f>
        <v/>
      </c>
      <c r="N146" s="17" t="str">
        <f>IF(共有用1!N146="","",共有用1!N146&amp;"/"&amp;COUNTIF(共有用1!N$2:N146,共有用1!N146))</f>
        <v/>
      </c>
      <c r="O146" s="17" t="str">
        <f>IF(共有用1!O146="","",共有用1!O146&amp;"/"&amp;COUNTIF(共有用1!O$2:O146,共有用1!O146))</f>
        <v/>
      </c>
      <c r="P146" s="17" t="str">
        <f>IF(共有用1!P146="","",共有用1!P146&amp;"/"&amp;COUNTIF(共有用1!P$2:P146,共有用1!P146))</f>
        <v/>
      </c>
      <c r="Q146" s="17" t="str">
        <f>IF(共有用1!Q146="","",共有用1!Q146&amp;"/"&amp;COUNTIF(共有用1!Q$2:Q146,共有用1!Q146))</f>
        <v/>
      </c>
      <c r="R146" s="17" t="str">
        <f>IF(共有用1!R146="","",共有用1!R146&amp;"/"&amp;COUNTIF(共有用1!R$2:R146,共有用1!R146))</f>
        <v/>
      </c>
      <c r="S146" s="17" t="str">
        <f>IF(共有用1!S146="","",共有用1!S146&amp;"/"&amp;COUNTIF(共有用1!S$2:S146,共有用1!S146))</f>
        <v/>
      </c>
      <c r="T146" s="17" t="str">
        <f>IF(共有用1!T146="","",共有用1!T146&amp;"/"&amp;COUNTIF(共有用1!T$2:T146,共有用1!T146))</f>
        <v/>
      </c>
      <c r="U146" s="17" t="str">
        <f>IF(共有用1!U146="","",共有用1!U146&amp;"/"&amp;COUNTIF(共有用1!U$2:U146,共有用1!U146))</f>
        <v/>
      </c>
      <c r="V146" s="17" t="str">
        <f>IF(共有用1!V146="","",共有用1!V146&amp;"/"&amp;COUNTIF(共有用1!V$2:V146,共有用1!V146))</f>
        <v/>
      </c>
      <c r="W146" s="17" t="str">
        <f>IF(共有用1!W146="","",共有用1!W146&amp;"/"&amp;COUNTIF(共有用1!W$2:W146,共有用1!W146))</f>
        <v/>
      </c>
      <c r="X146" s="17" t="str">
        <f>IF(共有用1!X146="","",共有用1!X146&amp;"/"&amp;COUNTIF(共有用1!X$2:X146,共有用1!X146))</f>
        <v/>
      </c>
      <c r="Y146" s="17" t="str">
        <f>IF(共有用1!Y146="","",共有用1!Y146&amp;"/"&amp;COUNTIF(共有用1!Y$2:Y146,共有用1!Y146))</f>
        <v/>
      </c>
      <c r="Z146" s="17" t="str">
        <f>IF(共有用1!Z146="","",共有用1!Z146&amp;"/"&amp;COUNTIF(共有用1!Z$2:Z146,共有用1!Z146))</f>
        <v/>
      </c>
      <c r="AA146" s="17" t="str">
        <f>IF(共有用1!AA146="","",共有用1!AA146&amp;"/"&amp;COUNTIF(共有用1!AA$2:AA146,共有用1!AA146))</f>
        <v/>
      </c>
      <c r="AB146" s="17" t="str">
        <f>IF(共有用1!AB146="","",共有用1!AB146&amp;"/"&amp;COUNTIF(共有用1!AB$2:AB146,共有用1!AB146))</f>
        <v/>
      </c>
      <c r="AC146" s="17" t="str">
        <f>IF(共有用1!AC146="","",共有用1!AC146&amp;"/"&amp;COUNTIF(共有用1!AC$2:AC146,共有用1!AC146))</f>
        <v/>
      </c>
      <c r="AD146" s="17" t="str">
        <f>IF(共有用1!AD146="","",共有用1!AD146&amp;"/"&amp;COUNTIF(共有用1!AD$2:AD146,共有用1!AD146))</f>
        <v/>
      </c>
      <c r="AE146" s="17" t="str">
        <f>IF(共有用1!AE146="","",共有用1!AE146&amp;"/"&amp;COUNTIF(共有用1!AE$2:AE146,共有用1!AE146))</f>
        <v/>
      </c>
      <c r="AF146" s="17" t="str">
        <f>IF(共有用1!AF146="","",共有用1!AF146&amp;"/"&amp;COUNTIF(共有用1!AF$2:AF146,共有用1!AF146))</f>
        <v/>
      </c>
      <c r="AG146" s="17" t="str">
        <f>IF(共有用1!AG146="","",共有用1!AG146&amp;"/"&amp;COUNTIF(共有用1!AG$2:AG146,共有用1!AG146))</f>
        <v/>
      </c>
      <c r="AH146" s="17" t="str">
        <f>IF(共有用1!AH146="","",共有用1!AH146&amp;"/"&amp;COUNTIF(共有用1!AH$2:AH146,共有用1!AH146))</f>
        <v/>
      </c>
      <c r="AI146" s="17" t="str">
        <f>IF(共有用1!AI146="","",共有用1!AI146&amp;"/"&amp;COUNTIF(共有用1!AI$2:AI146,共有用1!AI146))</f>
        <v/>
      </c>
      <c r="AJ146" s="17" t="str">
        <f>IF(共有用1!AJ146="","",共有用1!AJ146&amp;"/"&amp;COUNTIF(共有用1!AJ$2:AJ146,共有用1!AJ146))</f>
        <v/>
      </c>
      <c r="AK146" s="17" t="str">
        <f>IF(共有用1!AK146="","",共有用1!AK146&amp;"/"&amp;COUNTIF(共有用1!AK$2:AK146,共有用1!AK146))</f>
        <v/>
      </c>
      <c r="AL146" s="17" t="str">
        <f>IF(共有用1!AL146="","",共有用1!AL146&amp;"/"&amp;COUNTIF(共有用1!AL$2:AL146,共有用1!AL146))</f>
        <v/>
      </c>
      <c r="AM146" s="17" t="str">
        <f>IF(共有用1!AM146="","",共有用1!AM146&amp;"/"&amp;COUNTIF(共有用1!AM$2:AM146,共有用1!AM146))</f>
        <v/>
      </c>
      <c r="AN146" s="17" t="str">
        <f>IF(共有用1!AN146="","",共有用1!AN146&amp;"/"&amp;COUNTIF(共有用1!AN$2:AN146,共有用1!AN146))</f>
        <v/>
      </c>
      <c r="AO146" s="17" t="str">
        <f>IF(共有用1!AO146="","",共有用1!AO146&amp;"/"&amp;COUNTIF(共有用1!AO$2:AO146,共有用1!AO146))</f>
        <v/>
      </c>
      <c r="AP146" s="17" t="str">
        <f>IF(共有用1!AP146="","",共有用1!AP146&amp;"/"&amp;COUNTIF(共有用1!AP$2:AP146,共有用1!AP146))</f>
        <v/>
      </c>
      <c r="AQ146" s="17" t="str">
        <f>IF(共有用1!AQ146="","",共有用1!AQ146&amp;"/"&amp;COUNTIF(共有用1!AQ$2:AQ146,共有用1!AQ146))</f>
        <v/>
      </c>
      <c r="AR146" s="17" t="str">
        <f>IF(共有用1!AR146="","",共有用1!AR146&amp;"/"&amp;COUNTIF(共有用1!AR$2:AR146,共有用1!AR146))</f>
        <v/>
      </c>
      <c r="AS146" s="17" t="str">
        <f>IF(共有用1!AS146="","",共有用1!AS146&amp;"/"&amp;COUNTIF(共有用1!AS$2:AS146,共有用1!AS146))</f>
        <v/>
      </c>
      <c r="AT146" s="17" t="str">
        <f>IF(共有用1!AT146="","",共有用1!AT146&amp;"/"&amp;COUNTIF(共有用1!AT$2:AT146,共有用1!AT146))</f>
        <v/>
      </c>
      <c r="AU146" s="17" t="str">
        <f>IF(共有用1!AU146="","",共有用1!AU146&amp;"/"&amp;COUNTIF(共有用1!AU$2:AU146,共有用1!AU146))</f>
        <v/>
      </c>
      <c r="AV146" s="17" t="str">
        <f>IF(共有用1!AV146="","",共有用1!AV146&amp;"/"&amp;COUNTIF(共有用1!AV$2:AV146,共有用1!AV146))</f>
        <v/>
      </c>
      <c r="AW146" s="17" t="str">
        <f>IF(共有用1!AW146="","",共有用1!AW146&amp;"/"&amp;COUNTIF(共有用1!AW$2:AW146,共有用1!AW146))</f>
        <v/>
      </c>
      <c r="AX146" s="17" t="str">
        <f>IF(共有用1!AX146="","",共有用1!AX146&amp;"/"&amp;COUNTIF(共有用1!AX$2:AX146,共有用1!AX146))</f>
        <v/>
      </c>
      <c r="AY146" s="17" t="str">
        <f>IF(共有用1!AY146="","",共有用1!AY146&amp;"/"&amp;COUNTIF(共有用1!AY$2:AY146,共有用1!AY146))</f>
        <v/>
      </c>
      <c r="AZ146" s="17" t="str">
        <f>IF(共有用1!AZ146="","",共有用1!AZ146&amp;"/"&amp;COUNTIF(共有用1!AZ$2:AZ146,共有用1!AZ146))</f>
        <v/>
      </c>
      <c r="BA146" s="17" t="str">
        <f>IF(共有用1!BA146="","",共有用1!BA146&amp;"/"&amp;COUNTIF(共有用1!BA$2:BA146,共有用1!BA146))</f>
        <v/>
      </c>
    </row>
    <row r="147" spans="1:53">
      <c r="A147" s="2" t="str">
        <f>共有用1!A147</f>
        <v/>
      </c>
      <c r="B147" s="2" t="str">
        <f>共有用1!B147</f>
        <v/>
      </c>
      <c r="C147" s="2" t="str">
        <f>共有用1!C147</f>
        <v/>
      </c>
      <c r="D147" s="17" t="str">
        <f>IF(共有用1!D147="","",共有用1!D147&amp;"/"&amp;COUNTIF(共有用1!D$2:D147,共有用1!D147))</f>
        <v/>
      </c>
      <c r="E147" s="17" t="str">
        <f>IF(共有用1!E147="","",共有用1!E147&amp;"/"&amp;COUNTIF(共有用1!E$2:E147,共有用1!E147))</f>
        <v/>
      </c>
      <c r="F147" s="17" t="str">
        <f>IF(共有用1!F147="","",共有用1!F147&amp;"/"&amp;COUNTIF(共有用1!F$2:F147,共有用1!F147))</f>
        <v/>
      </c>
      <c r="G147" s="17" t="str">
        <f>IF(共有用1!G147="","",共有用1!G147&amp;"/"&amp;COUNTIF(共有用1!G$2:G147,共有用1!G147))</f>
        <v/>
      </c>
      <c r="H147" s="17" t="str">
        <f>IF(共有用1!H147="","",共有用1!H147&amp;"/"&amp;COUNTIF(共有用1!H$2:H147,共有用1!H147))</f>
        <v/>
      </c>
      <c r="I147" s="17" t="str">
        <f>IF(共有用1!I147="","",共有用1!I147&amp;"/"&amp;COUNTIF(共有用1!I$2:I147,共有用1!I147))</f>
        <v/>
      </c>
      <c r="J147" s="17" t="str">
        <f>IF(共有用1!J147="","",共有用1!J147&amp;"/"&amp;COUNTIF(共有用1!J$2:J147,共有用1!J147))</f>
        <v/>
      </c>
      <c r="K147" s="17" t="str">
        <f>IF(共有用1!K147="","",共有用1!K147&amp;"/"&amp;COUNTIF(共有用1!K$2:K147,共有用1!K147))</f>
        <v/>
      </c>
      <c r="L147" s="17" t="str">
        <f>IF(共有用1!L147="","",共有用1!L147&amp;"/"&amp;COUNTIF(共有用1!L$2:L147,共有用1!L147))</f>
        <v/>
      </c>
      <c r="M147" s="17" t="str">
        <f>IF(共有用1!M147="","",共有用1!M147&amp;"/"&amp;COUNTIF(共有用1!M$2:M147,共有用1!M147))</f>
        <v/>
      </c>
      <c r="N147" s="17" t="str">
        <f>IF(共有用1!N147="","",共有用1!N147&amp;"/"&amp;COUNTIF(共有用1!N$2:N147,共有用1!N147))</f>
        <v/>
      </c>
      <c r="O147" s="17" t="str">
        <f>IF(共有用1!O147="","",共有用1!O147&amp;"/"&amp;COUNTIF(共有用1!O$2:O147,共有用1!O147))</f>
        <v/>
      </c>
      <c r="P147" s="17" t="str">
        <f>IF(共有用1!P147="","",共有用1!P147&amp;"/"&amp;COUNTIF(共有用1!P$2:P147,共有用1!P147))</f>
        <v/>
      </c>
      <c r="Q147" s="17" t="str">
        <f>IF(共有用1!Q147="","",共有用1!Q147&amp;"/"&amp;COUNTIF(共有用1!Q$2:Q147,共有用1!Q147))</f>
        <v/>
      </c>
      <c r="R147" s="17" t="str">
        <f>IF(共有用1!R147="","",共有用1!R147&amp;"/"&amp;COUNTIF(共有用1!R$2:R147,共有用1!R147))</f>
        <v/>
      </c>
      <c r="S147" s="17" t="str">
        <f>IF(共有用1!S147="","",共有用1!S147&amp;"/"&amp;COUNTIF(共有用1!S$2:S147,共有用1!S147))</f>
        <v/>
      </c>
      <c r="T147" s="17" t="str">
        <f>IF(共有用1!T147="","",共有用1!T147&amp;"/"&amp;COUNTIF(共有用1!T$2:T147,共有用1!T147))</f>
        <v/>
      </c>
      <c r="U147" s="17" t="str">
        <f>IF(共有用1!U147="","",共有用1!U147&amp;"/"&amp;COUNTIF(共有用1!U$2:U147,共有用1!U147))</f>
        <v/>
      </c>
      <c r="V147" s="17" t="str">
        <f>IF(共有用1!V147="","",共有用1!V147&amp;"/"&amp;COUNTIF(共有用1!V$2:V147,共有用1!V147))</f>
        <v/>
      </c>
      <c r="W147" s="17" t="str">
        <f>IF(共有用1!W147="","",共有用1!W147&amp;"/"&amp;COUNTIF(共有用1!W$2:W147,共有用1!W147))</f>
        <v/>
      </c>
      <c r="X147" s="17" t="str">
        <f>IF(共有用1!X147="","",共有用1!X147&amp;"/"&amp;COUNTIF(共有用1!X$2:X147,共有用1!X147))</f>
        <v/>
      </c>
      <c r="Y147" s="17" t="str">
        <f>IF(共有用1!Y147="","",共有用1!Y147&amp;"/"&amp;COUNTIF(共有用1!Y$2:Y147,共有用1!Y147))</f>
        <v/>
      </c>
      <c r="Z147" s="17" t="str">
        <f>IF(共有用1!Z147="","",共有用1!Z147&amp;"/"&amp;COUNTIF(共有用1!Z$2:Z147,共有用1!Z147))</f>
        <v/>
      </c>
      <c r="AA147" s="17" t="str">
        <f>IF(共有用1!AA147="","",共有用1!AA147&amp;"/"&amp;COUNTIF(共有用1!AA$2:AA147,共有用1!AA147))</f>
        <v/>
      </c>
      <c r="AB147" s="17" t="str">
        <f>IF(共有用1!AB147="","",共有用1!AB147&amp;"/"&amp;COUNTIF(共有用1!AB$2:AB147,共有用1!AB147))</f>
        <v/>
      </c>
      <c r="AC147" s="17" t="str">
        <f>IF(共有用1!AC147="","",共有用1!AC147&amp;"/"&amp;COUNTIF(共有用1!AC$2:AC147,共有用1!AC147))</f>
        <v/>
      </c>
      <c r="AD147" s="17" t="str">
        <f>IF(共有用1!AD147="","",共有用1!AD147&amp;"/"&amp;COUNTIF(共有用1!AD$2:AD147,共有用1!AD147))</f>
        <v/>
      </c>
      <c r="AE147" s="17" t="str">
        <f>IF(共有用1!AE147="","",共有用1!AE147&amp;"/"&amp;COUNTIF(共有用1!AE$2:AE147,共有用1!AE147))</f>
        <v/>
      </c>
      <c r="AF147" s="17" t="str">
        <f>IF(共有用1!AF147="","",共有用1!AF147&amp;"/"&amp;COUNTIF(共有用1!AF$2:AF147,共有用1!AF147))</f>
        <v/>
      </c>
      <c r="AG147" s="17" t="str">
        <f>IF(共有用1!AG147="","",共有用1!AG147&amp;"/"&amp;COUNTIF(共有用1!AG$2:AG147,共有用1!AG147))</f>
        <v/>
      </c>
      <c r="AH147" s="17" t="str">
        <f>IF(共有用1!AH147="","",共有用1!AH147&amp;"/"&amp;COUNTIF(共有用1!AH$2:AH147,共有用1!AH147))</f>
        <v/>
      </c>
      <c r="AI147" s="17" t="str">
        <f>IF(共有用1!AI147="","",共有用1!AI147&amp;"/"&amp;COUNTIF(共有用1!AI$2:AI147,共有用1!AI147))</f>
        <v/>
      </c>
      <c r="AJ147" s="17" t="str">
        <f>IF(共有用1!AJ147="","",共有用1!AJ147&amp;"/"&amp;COUNTIF(共有用1!AJ$2:AJ147,共有用1!AJ147))</f>
        <v/>
      </c>
      <c r="AK147" s="17" t="str">
        <f>IF(共有用1!AK147="","",共有用1!AK147&amp;"/"&amp;COUNTIF(共有用1!AK$2:AK147,共有用1!AK147))</f>
        <v/>
      </c>
      <c r="AL147" s="17" t="str">
        <f>IF(共有用1!AL147="","",共有用1!AL147&amp;"/"&amp;COUNTIF(共有用1!AL$2:AL147,共有用1!AL147))</f>
        <v/>
      </c>
      <c r="AM147" s="17" t="str">
        <f>IF(共有用1!AM147="","",共有用1!AM147&amp;"/"&amp;COUNTIF(共有用1!AM$2:AM147,共有用1!AM147))</f>
        <v/>
      </c>
      <c r="AN147" s="17" t="str">
        <f>IF(共有用1!AN147="","",共有用1!AN147&amp;"/"&amp;COUNTIF(共有用1!AN$2:AN147,共有用1!AN147))</f>
        <v/>
      </c>
      <c r="AO147" s="17" t="str">
        <f>IF(共有用1!AO147="","",共有用1!AO147&amp;"/"&amp;COUNTIF(共有用1!AO$2:AO147,共有用1!AO147))</f>
        <v/>
      </c>
      <c r="AP147" s="17" t="str">
        <f>IF(共有用1!AP147="","",共有用1!AP147&amp;"/"&amp;COUNTIF(共有用1!AP$2:AP147,共有用1!AP147))</f>
        <v/>
      </c>
      <c r="AQ147" s="17" t="str">
        <f>IF(共有用1!AQ147="","",共有用1!AQ147&amp;"/"&amp;COUNTIF(共有用1!AQ$2:AQ147,共有用1!AQ147))</f>
        <v/>
      </c>
      <c r="AR147" s="17" t="str">
        <f>IF(共有用1!AR147="","",共有用1!AR147&amp;"/"&amp;COUNTIF(共有用1!AR$2:AR147,共有用1!AR147))</f>
        <v/>
      </c>
      <c r="AS147" s="17" t="str">
        <f>IF(共有用1!AS147="","",共有用1!AS147&amp;"/"&amp;COUNTIF(共有用1!AS$2:AS147,共有用1!AS147))</f>
        <v/>
      </c>
      <c r="AT147" s="17" t="str">
        <f>IF(共有用1!AT147="","",共有用1!AT147&amp;"/"&amp;COUNTIF(共有用1!AT$2:AT147,共有用1!AT147))</f>
        <v/>
      </c>
      <c r="AU147" s="17" t="str">
        <f>IF(共有用1!AU147="","",共有用1!AU147&amp;"/"&amp;COUNTIF(共有用1!AU$2:AU147,共有用1!AU147))</f>
        <v/>
      </c>
      <c r="AV147" s="17" t="str">
        <f>IF(共有用1!AV147="","",共有用1!AV147&amp;"/"&amp;COUNTIF(共有用1!AV$2:AV147,共有用1!AV147))</f>
        <v/>
      </c>
      <c r="AW147" s="17" t="str">
        <f>IF(共有用1!AW147="","",共有用1!AW147&amp;"/"&amp;COUNTIF(共有用1!AW$2:AW147,共有用1!AW147))</f>
        <v/>
      </c>
      <c r="AX147" s="17" t="str">
        <f>IF(共有用1!AX147="","",共有用1!AX147&amp;"/"&amp;COUNTIF(共有用1!AX$2:AX147,共有用1!AX147))</f>
        <v/>
      </c>
      <c r="AY147" s="17" t="str">
        <f>IF(共有用1!AY147="","",共有用1!AY147&amp;"/"&amp;COUNTIF(共有用1!AY$2:AY147,共有用1!AY147))</f>
        <v/>
      </c>
      <c r="AZ147" s="17" t="str">
        <f>IF(共有用1!AZ147="","",共有用1!AZ147&amp;"/"&amp;COUNTIF(共有用1!AZ$2:AZ147,共有用1!AZ147))</f>
        <v/>
      </c>
      <c r="BA147" s="17" t="str">
        <f>IF(共有用1!BA147="","",共有用1!BA147&amp;"/"&amp;COUNTIF(共有用1!BA$2:BA147,共有用1!BA147))</f>
        <v/>
      </c>
    </row>
    <row r="148" spans="1:53">
      <c r="A148" s="2" t="str">
        <f>共有用1!A148</f>
        <v/>
      </c>
      <c r="B148" s="2" t="str">
        <f>共有用1!B148</f>
        <v/>
      </c>
      <c r="C148" s="2" t="str">
        <f>共有用1!C148</f>
        <v/>
      </c>
      <c r="D148" s="17" t="str">
        <f>IF(共有用1!D148="","",共有用1!D148&amp;"/"&amp;COUNTIF(共有用1!D$2:D148,共有用1!D148))</f>
        <v/>
      </c>
      <c r="E148" s="17" t="str">
        <f>IF(共有用1!E148="","",共有用1!E148&amp;"/"&amp;COUNTIF(共有用1!E$2:E148,共有用1!E148))</f>
        <v/>
      </c>
      <c r="F148" s="17" t="str">
        <f>IF(共有用1!F148="","",共有用1!F148&amp;"/"&amp;COUNTIF(共有用1!F$2:F148,共有用1!F148))</f>
        <v/>
      </c>
      <c r="G148" s="17" t="str">
        <f>IF(共有用1!G148="","",共有用1!G148&amp;"/"&amp;COUNTIF(共有用1!G$2:G148,共有用1!G148))</f>
        <v/>
      </c>
      <c r="H148" s="17" t="str">
        <f>IF(共有用1!H148="","",共有用1!H148&amp;"/"&amp;COUNTIF(共有用1!H$2:H148,共有用1!H148))</f>
        <v/>
      </c>
      <c r="I148" s="17" t="str">
        <f>IF(共有用1!I148="","",共有用1!I148&amp;"/"&amp;COUNTIF(共有用1!I$2:I148,共有用1!I148))</f>
        <v/>
      </c>
      <c r="J148" s="17" t="str">
        <f>IF(共有用1!J148="","",共有用1!J148&amp;"/"&amp;COUNTIF(共有用1!J$2:J148,共有用1!J148))</f>
        <v/>
      </c>
      <c r="K148" s="17" t="str">
        <f>IF(共有用1!K148="","",共有用1!K148&amp;"/"&amp;COUNTIF(共有用1!K$2:K148,共有用1!K148))</f>
        <v/>
      </c>
      <c r="L148" s="17" t="str">
        <f>IF(共有用1!L148="","",共有用1!L148&amp;"/"&amp;COUNTIF(共有用1!L$2:L148,共有用1!L148))</f>
        <v/>
      </c>
      <c r="M148" s="17" t="str">
        <f>IF(共有用1!M148="","",共有用1!M148&amp;"/"&amp;COUNTIF(共有用1!M$2:M148,共有用1!M148))</f>
        <v/>
      </c>
      <c r="N148" s="17" t="str">
        <f>IF(共有用1!N148="","",共有用1!N148&amp;"/"&amp;COUNTIF(共有用1!N$2:N148,共有用1!N148))</f>
        <v/>
      </c>
      <c r="O148" s="17" t="str">
        <f>IF(共有用1!O148="","",共有用1!O148&amp;"/"&amp;COUNTIF(共有用1!O$2:O148,共有用1!O148))</f>
        <v/>
      </c>
      <c r="P148" s="17" t="str">
        <f>IF(共有用1!P148="","",共有用1!P148&amp;"/"&amp;COUNTIF(共有用1!P$2:P148,共有用1!P148))</f>
        <v/>
      </c>
      <c r="Q148" s="17" t="str">
        <f>IF(共有用1!Q148="","",共有用1!Q148&amp;"/"&amp;COUNTIF(共有用1!Q$2:Q148,共有用1!Q148))</f>
        <v/>
      </c>
      <c r="R148" s="17" t="str">
        <f>IF(共有用1!R148="","",共有用1!R148&amp;"/"&amp;COUNTIF(共有用1!R$2:R148,共有用1!R148))</f>
        <v/>
      </c>
      <c r="S148" s="17" t="str">
        <f>IF(共有用1!S148="","",共有用1!S148&amp;"/"&amp;COUNTIF(共有用1!S$2:S148,共有用1!S148))</f>
        <v/>
      </c>
      <c r="T148" s="17" t="str">
        <f>IF(共有用1!T148="","",共有用1!T148&amp;"/"&amp;COUNTIF(共有用1!T$2:T148,共有用1!T148))</f>
        <v/>
      </c>
      <c r="U148" s="17" t="str">
        <f>IF(共有用1!U148="","",共有用1!U148&amp;"/"&amp;COUNTIF(共有用1!U$2:U148,共有用1!U148))</f>
        <v/>
      </c>
      <c r="V148" s="17" t="str">
        <f>IF(共有用1!V148="","",共有用1!V148&amp;"/"&amp;COUNTIF(共有用1!V$2:V148,共有用1!V148))</f>
        <v/>
      </c>
      <c r="W148" s="17" t="str">
        <f>IF(共有用1!W148="","",共有用1!W148&amp;"/"&amp;COUNTIF(共有用1!W$2:W148,共有用1!W148))</f>
        <v/>
      </c>
      <c r="X148" s="17" t="str">
        <f>IF(共有用1!X148="","",共有用1!X148&amp;"/"&amp;COUNTIF(共有用1!X$2:X148,共有用1!X148))</f>
        <v/>
      </c>
      <c r="Y148" s="17" t="str">
        <f>IF(共有用1!Y148="","",共有用1!Y148&amp;"/"&amp;COUNTIF(共有用1!Y$2:Y148,共有用1!Y148))</f>
        <v/>
      </c>
      <c r="Z148" s="17" t="str">
        <f>IF(共有用1!Z148="","",共有用1!Z148&amp;"/"&amp;COUNTIF(共有用1!Z$2:Z148,共有用1!Z148))</f>
        <v/>
      </c>
      <c r="AA148" s="17" t="str">
        <f>IF(共有用1!AA148="","",共有用1!AA148&amp;"/"&amp;COUNTIF(共有用1!AA$2:AA148,共有用1!AA148))</f>
        <v/>
      </c>
      <c r="AB148" s="17" t="str">
        <f>IF(共有用1!AB148="","",共有用1!AB148&amp;"/"&amp;COUNTIF(共有用1!AB$2:AB148,共有用1!AB148))</f>
        <v/>
      </c>
      <c r="AC148" s="17" t="str">
        <f>IF(共有用1!AC148="","",共有用1!AC148&amp;"/"&amp;COUNTIF(共有用1!AC$2:AC148,共有用1!AC148))</f>
        <v/>
      </c>
      <c r="AD148" s="17" t="str">
        <f>IF(共有用1!AD148="","",共有用1!AD148&amp;"/"&amp;COUNTIF(共有用1!AD$2:AD148,共有用1!AD148))</f>
        <v/>
      </c>
      <c r="AE148" s="17" t="str">
        <f>IF(共有用1!AE148="","",共有用1!AE148&amp;"/"&amp;COUNTIF(共有用1!AE$2:AE148,共有用1!AE148))</f>
        <v/>
      </c>
      <c r="AF148" s="17" t="str">
        <f>IF(共有用1!AF148="","",共有用1!AF148&amp;"/"&amp;COUNTIF(共有用1!AF$2:AF148,共有用1!AF148))</f>
        <v/>
      </c>
      <c r="AG148" s="17" t="str">
        <f>IF(共有用1!AG148="","",共有用1!AG148&amp;"/"&amp;COUNTIF(共有用1!AG$2:AG148,共有用1!AG148))</f>
        <v/>
      </c>
      <c r="AH148" s="17" t="str">
        <f>IF(共有用1!AH148="","",共有用1!AH148&amp;"/"&amp;COUNTIF(共有用1!AH$2:AH148,共有用1!AH148))</f>
        <v/>
      </c>
      <c r="AI148" s="17" t="str">
        <f>IF(共有用1!AI148="","",共有用1!AI148&amp;"/"&amp;COUNTIF(共有用1!AI$2:AI148,共有用1!AI148))</f>
        <v/>
      </c>
      <c r="AJ148" s="17" t="str">
        <f>IF(共有用1!AJ148="","",共有用1!AJ148&amp;"/"&amp;COUNTIF(共有用1!AJ$2:AJ148,共有用1!AJ148))</f>
        <v/>
      </c>
      <c r="AK148" s="17" t="str">
        <f>IF(共有用1!AK148="","",共有用1!AK148&amp;"/"&amp;COUNTIF(共有用1!AK$2:AK148,共有用1!AK148))</f>
        <v/>
      </c>
      <c r="AL148" s="17" t="str">
        <f>IF(共有用1!AL148="","",共有用1!AL148&amp;"/"&amp;COUNTIF(共有用1!AL$2:AL148,共有用1!AL148))</f>
        <v/>
      </c>
      <c r="AM148" s="17" t="str">
        <f>IF(共有用1!AM148="","",共有用1!AM148&amp;"/"&amp;COUNTIF(共有用1!AM$2:AM148,共有用1!AM148))</f>
        <v/>
      </c>
      <c r="AN148" s="17" t="str">
        <f>IF(共有用1!AN148="","",共有用1!AN148&amp;"/"&amp;COUNTIF(共有用1!AN$2:AN148,共有用1!AN148))</f>
        <v/>
      </c>
      <c r="AO148" s="17" t="str">
        <f>IF(共有用1!AO148="","",共有用1!AO148&amp;"/"&amp;COUNTIF(共有用1!AO$2:AO148,共有用1!AO148))</f>
        <v/>
      </c>
      <c r="AP148" s="17" t="str">
        <f>IF(共有用1!AP148="","",共有用1!AP148&amp;"/"&amp;COUNTIF(共有用1!AP$2:AP148,共有用1!AP148))</f>
        <v/>
      </c>
      <c r="AQ148" s="17" t="str">
        <f>IF(共有用1!AQ148="","",共有用1!AQ148&amp;"/"&amp;COUNTIF(共有用1!AQ$2:AQ148,共有用1!AQ148))</f>
        <v/>
      </c>
      <c r="AR148" s="17" t="str">
        <f>IF(共有用1!AR148="","",共有用1!AR148&amp;"/"&amp;COUNTIF(共有用1!AR$2:AR148,共有用1!AR148))</f>
        <v/>
      </c>
      <c r="AS148" s="17" t="str">
        <f>IF(共有用1!AS148="","",共有用1!AS148&amp;"/"&amp;COUNTIF(共有用1!AS$2:AS148,共有用1!AS148))</f>
        <v/>
      </c>
      <c r="AT148" s="17" t="str">
        <f>IF(共有用1!AT148="","",共有用1!AT148&amp;"/"&amp;COUNTIF(共有用1!AT$2:AT148,共有用1!AT148))</f>
        <v/>
      </c>
      <c r="AU148" s="17" t="str">
        <f>IF(共有用1!AU148="","",共有用1!AU148&amp;"/"&amp;COUNTIF(共有用1!AU$2:AU148,共有用1!AU148))</f>
        <v/>
      </c>
      <c r="AV148" s="17" t="str">
        <f>IF(共有用1!AV148="","",共有用1!AV148&amp;"/"&amp;COUNTIF(共有用1!AV$2:AV148,共有用1!AV148))</f>
        <v/>
      </c>
      <c r="AW148" s="17" t="str">
        <f>IF(共有用1!AW148="","",共有用1!AW148&amp;"/"&amp;COUNTIF(共有用1!AW$2:AW148,共有用1!AW148))</f>
        <v/>
      </c>
      <c r="AX148" s="17" t="str">
        <f>IF(共有用1!AX148="","",共有用1!AX148&amp;"/"&amp;COUNTIF(共有用1!AX$2:AX148,共有用1!AX148))</f>
        <v/>
      </c>
      <c r="AY148" s="17" t="str">
        <f>IF(共有用1!AY148="","",共有用1!AY148&amp;"/"&amp;COUNTIF(共有用1!AY$2:AY148,共有用1!AY148))</f>
        <v/>
      </c>
      <c r="AZ148" s="17" t="str">
        <f>IF(共有用1!AZ148="","",共有用1!AZ148&amp;"/"&amp;COUNTIF(共有用1!AZ$2:AZ148,共有用1!AZ148))</f>
        <v/>
      </c>
      <c r="BA148" s="17" t="str">
        <f>IF(共有用1!BA148="","",共有用1!BA148&amp;"/"&amp;COUNTIF(共有用1!BA$2:BA148,共有用1!BA148))</f>
        <v/>
      </c>
    </row>
    <row r="149" spans="1:53">
      <c r="A149" s="2" t="str">
        <f>共有用1!A149</f>
        <v/>
      </c>
      <c r="B149" s="2" t="str">
        <f>共有用1!B149</f>
        <v/>
      </c>
      <c r="C149" s="2" t="str">
        <f>共有用1!C149</f>
        <v/>
      </c>
      <c r="D149" s="17" t="str">
        <f>IF(共有用1!D149="","",共有用1!D149&amp;"/"&amp;COUNTIF(共有用1!D$2:D149,共有用1!D149))</f>
        <v/>
      </c>
      <c r="E149" s="17" t="str">
        <f>IF(共有用1!E149="","",共有用1!E149&amp;"/"&amp;COUNTIF(共有用1!E$2:E149,共有用1!E149))</f>
        <v/>
      </c>
      <c r="F149" s="17" t="str">
        <f>IF(共有用1!F149="","",共有用1!F149&amp;"/"&amp;COUNTIF(共有用1!F$2:F149,共有用1!F149))</f>
        <v/>
      </c>
      <c r="G149" s="17" t="str">
        <f>IF(共有用1!G149="","",共有用1!G149&amp;"/"&amp;COUNTIF(共有用1!G$2:G149,共有用1!G149))</f>
        <v/>
      </c>
      <c r="H149" s="17" t="str">
        <f>IF(共有用1!H149="","",共有用1!H149&amp;"/"&amp;COUNTIF(共有用1!H$2:H149,共有用1!H149))</f>
        <v/>
      </c>
      <c r="I149" s="17" t="str">
        <f>IF(共有用1!I149="","",共有用1!I149&amp;"/"&amp;COUNTIF(共有用1!I$2:I149,共有用1!I149))</f>
        <v/>
      </c>
      <c r="J149" s="17" t="str">
        <f>IF(共有用1!J149="","",共有用1!J149&amp;"/"&amp;COUNTIF(共有用1!J$2:J149,共有用1!J149))</f>
        <v/>
      </c>
      <c r="K149" s="17" t="str">
        <f>IF(共有用1!K149="","",共有用1!K149&amp;"/"&amp;COUNTIF(共有用1!K$2:K149,共有用1!K149))</f>
        <v/>
      </c>
      <c r="L149" s="17" t="str">
        <f>IF(共有用1!L149="","",共有用1!L149&amp;"/"&amp;COUNTIF(共有用1!L$2:L149,共有用1!L149))</f>
        <v/>
      </c>
      <c r="M149" s="17" t="str">
        <f>IF(共有用1!M149="","",共有用1!M149&amp;"/"&amp;COUNTIF(共有用1!M$2:M149,共有用1!M149))</f>
        <v/>
      </c>
      <c r="N149" s="17" t="str">
        <f>IF(共有用1!N149="","",共有用1!N149&amp;"/"&amp;COUNTIF(共有用1!N$2:N149,共有用1!N149))</f>
        <v/>
      </c>
      <c r="O149" s="17" t="str">
        <f>IF(共有用1!O149="","",共有用1!O149&amp;"/"&amp;COUNTIF(共有用1!O$2:O149,共有用1!O149))</f>
        <v/>
      </c>
      <c r="P149" s="17" t="str">
        <f>IF(共有用1!P149="","",共有用1!P149&amp;"/"&amp;COUNTIF(共有用1!P$2:P149,共有用1!P149))</f>
        <v/>
      </c>
      <c r="Q149" s="17" t="str">
        <f>IF(共有用1!Q149="","",共有用1!Q149&amp;"/"&amp;COUNTIF(共有用1!Q$2:Q149,共有用1!Q149))</f>
        <v/>
      </c>
      <c r="R149" s="17" t="str">
        <f>IF(共有用1!R149="","",共有用1!R149&amp;"/"&amp;COUNTIF(共有用1!R$2:R149,共有用1!R149))</f>
        <v/>
      </c>
      <c r="S149" s="17" t="str">
        <f>IF(共有用1!S149="","",共有用1!S149&amp;"/"&amp;COUNTIF(共有用1!S$2:S149,共有用1!S149))</f>
        <v/>
      </c>
      <c r="T149" s="17" t="str">
        <f>IF(共有用1!T149="","",共有用1!T149&amp;"/"&amp;COUNTIF(共有用1!T$2:T149,共有用1!T149))</f>
        <v/>
      </c>
      <c r="U149" s="17" t="str">
        <f>IF(共有用1!U149="","",共有用1!U149&amp;"/"&amp;COUNTIF(共有用1!U$2:U149,共有用1!U149))</f>
        <v/>
      </c>
      <c r="V149" s="17" t="str">
        <f>IF(共有用1!V149="","",共有用1!V149&amp;"/"&amp;COUNTIF(共有用1!V$2:V149,共有用1!V149))</f>
        <v/>
      </c>
      <c r="W149" s="17" t="str">
        <f>IF(共有用1!W149="","",共有用1!W149&amp;"/"&amp;COUNTIF(共有用1!W$2:W149,共有用1!W149))</f>
        <v/>
      </c>
      <c r="X149" s="17" t="str">
        <f>IF(共有用1!X149="","",共有用1!X149&amp;"/"&amp;COUNTIF(共有用1!X$2:X149,共有用1!X149))</f>
        <v/>
      </c>
      <c r="Y149" s="17" t="str">
        <f>IF(共有用1!Y149="","",共有用1!Y149&amp;"/"&amp;COUNTIF(共有用1!Y$2:Y149,共有用1!Y149))</f>
        <v/>
      </c>
      <c r="Z149" s="17" t="str">
        <f>IF(共有用1!Z149="","",共有用1!Z149&amp;"/"&amp;COUNTIF(共有用1!Z$2:Z149,共有用1!Z149))</f>
        <v/>
      </c>
      <c r="AA149" s="17" t="str">
        <f>IF(共有用1!AA149="","",共有用1!AA149&amp;"/"&amp;COUNTIF(共有用1!AA$2:AA149,共有用1!AA149))</f>
        <v/>
      </c>
      <c r="AB149" s="17" t="str">
        <f>IF(共有用1!AB149="","",共有用1!AB149&amp;"/"&amp;COUNTIF(共有用1!AB$2:AB149,共有用1!AB149))</f>
        <v/>
      </c>
      <c r="AC149" s="17" t="str">
        <f>IF(共有用1!AC149="","",共有用1!AC149&amp;"/"&amp;COUNTIF(共有用1!AC$2:AC149,共有用1!AC149))</f>
        <v/>
      </c>
      <c r="AD149" s="17" t="str">
        <f>IF(共有用1!AD149="","",共有用1!AD149&amp;"/"&amp;COUNTIF(共有用1!AD$2:AD149,共有用1!AD149))</f>
        <v/>
      </c>
      <c r="AE149" s="17" t="str">
        <f>IF(共有用1!AE149="","",共有用1!AE149&amp;"/"&amp;COUNTIF(共有用1!AE$2:AE149,共有用1!AE149))</f>
        <v/>
      </c>
      <c r="AF149" s="17" t="str">
        <f>IF(共有用1!AF149="","",共有用1!AF149&amp;"/"&amp;COUNTIF(共有用1!AF$2:AF149,共有用1!AF149))</f>
        <v/>
      </c>
      <c r="AG149" s="17" t="str">
        <f>IF(共有用1!AG149="","",共有用1!AG149&amp;"/"&amp;COUNTIF(共有用1!AG$2:AG149,共有用1!AG149))</f>
        <v/>
      </c>
      <c r="AH149" s="17" t="str">
        <f>IF(共有用1!AH149="","",共有用1!AH149&amp;"/"&amp;COUNTIF(共有用1!AH$2:AH149,共有用1!AH149))</f>
        <v/>
      </c>
      <c r="AI149" s="17" t="str">
        <f>IF(共有用1!AI149="","",共有用1!AI149&amp;"/"&amp;COUNTIF(共有用1!AI$2:AI149,共有用1!AI149))</f>
        <v/>
      </c>
      <c r="AJ149" s="17" t="str">
        <f>IF(共有用1!AJ149="","",共有用1!AJ149&amp;"/"&amp;COUNTIF(共有用1!AJ$2:AJ149,共有用1!AJ149))</f>
        <v/>
      </c>
      <c r="AK149" s="17" t="str">
        <f>IF(共有用1!AK149="","",共有用1!AK149&amp;"/"&amp;COUNTIF(共有用1!AK$2:AK149,共有用1!AK149))</f>
        <v/>
      </c>
      <c r="AL149" s="17" t="str">
        <f>IF(共有用1!AL149="","",共有用1!AL149&amp;"/"&amp;COUNTIF(共有用1!AL$2:AL149,共有用1!AL149))</f>
        <v/>
      </c>
      <c r="AM149" s="17" t="str">
        <f>IF(共有用1!AM149="","",共有用1!AM149&amp;"/"&amp;COUNTIF(共有用1!AM$2:AM149,共有用1!AM149))</f>
        <v/>
      </c>
      <c r="AN149" s="17" t="str">
        <f>IF(共有用1!AN149="","",共有用1!AN149&amp;"/"&amp;COUNTIF(共有用1!AN$2:AN149,共有用1!AN149))</f>
        <v/>
      </c>
      <c r="AO149" s="17" t="str">
        <f>IF(共有用1!AO149="","",共有用1!AO149&amp;"/"&amp;COUNTIF(共有用1!AO$2:AO149,共有用1!AO149))</f>
        <v/>
      </c>
      <c r="AP149" s="17" t="str">
        <f>IF(共有用1!AP149="","",共有用1!AP149&amp;"/"&amp;COUNTIF(共有用1!AP$2:AP149,共有用1!AP149))</f>
        <v/>
      </c>
      <c r="AQ149" s="17" t="str">
        <f>IF(共有用1!AQ149="","",共有用1!AQ149&amp;"/"&amp;COUNTIF(共有用1!AQ$2:AQ149,共有用1!AQ149))</f>
        <v/>
      </c>
      <c r="AR149" s="17" t="str">
        <f>IF(共有用1!AR149="","",共有用1!AR149&amp;"/"&amp;COUNTIF(共有用1!AR$2:AR149,共有用1!AR149))</f>
        <v/>
      </c>
      <c r="AS149" s="17" t="str">
        <f>IF(共有用1!AS149="","",共有用1!AS149&amp;"/"&amp;COUNTIF(共有用1!AS$2:AS149,共有用1!AS149))</f>
        <v/>
      </c>
      <c r="AT149" s="17" t="str">
        <f>IF(共有用1!AT149="","",共有用1!AT149&amp;"/"&amp;COUNTIF(共有用1!AT$2:AT149,共有用1!AT149))</f>
        <v/>
      </c>
      <c r="AU149" s="17" t="str">
        <f>IF(共有用1!AU149="","",共有用1!AU149&amp;"/"&amp;COUNTIF(共有用1!AU$2:AU149,共有用1!AU149))</f>
        <v/>
      </c>
      <c r="AV149" s="17" t="str">
        <f>IF(共有用1!AV149="","",共有用1!AV149&amp;"/"&amp;COUNTIF(共有用1!AV$2:AV149,共有用1!AV149))</f>
        <v/>
      </c>
      <c r="AW149" s="17" t="str">
        <f>IF(共有用1!AW149="","",共有用1!AW149&amp;"/"&amp;COUNTIF(共有用1!AW$2:AW149,共有用1!AW149))</f>
        <v/>
      </c>
      <c r="AX149" s="17" t="str">
        <f>IF(共有用1!AX149="","",共有用1!AX149&amp;"/"&amp;COUNTIF(共有用1!AX$2:AX149,共有用1!AX149))</f>
        <v/>
      </c>
      <c r="AY149" s="17" t="str">
        <f>IF(共有用1!AY149="","",共有用1!AY149&amp;"/"&amp;COUNTIF(共有用1!AY$2:AY149,共有用1!AY149))</f>
        <v/>
      </c>
      <c r="AZ149" s="17" t="str">
        <f>IF(共有用1!AZ149="","",共有用1!AZ149&amp;"/"&amp;COUNTIF(共有用1!AZ$2:AZ149,共有用1!AZ149))</f>
        <v/>
      </c>
      <c r="BA149" s="17" t="str">
        <f>IF(共有用1!BA149="","",共有用1!BA149&amp;"/"&amp;COUNTIF(共有用1!BA$2:BA149,共有用1!BA149))</f>
        <v/>
      </c>
    </row>
    <row r="150" spans="1:53">
      <c r="A150" s="2" t="str">
        <f>共有用1!A150</f>
        <v/>
      </c>
      <c r="B150" s="2" t="str">
        <f>共有用1!B150</f>
        <v/>
      </c>
      <c r="C150" s="2" t="str">
        <f>共有用1!C150</f>
        <v/>
      </c>
      <c r="D150" s="17" t="str">
        <f>IF(共有用1!D150="","",共有用1!D150&amp;"/"&amp;COUNTIF(共有用1!D$2:D150,共有用1!D150))</f>
        <v/>
      </c>
      <c r="E150" s="17" t="str">
        <f>IF(共有用1!E150="","",共有用1!E150&amp;"/"&amp;COUNTIF(共有用1!E$2:E150,共有用1!E150))</f>
        <v/>
      </c>
      <c r="F150" s="17" t="str">
        <f>IF(共有用1!F150="","",共有用1!F150&amp;"/"&amp;COUNTIF(共有用1!F$2:F150,共有用1!F150))</f>
        <v/>
      </c>
      <c r="G150" s="17" t="str">
        <f>IF(共有用1!G150="","",共有用1!G150&amp;"/"&amp;COUNTIF(共有用1!G$2:G150,共有用1!G150))</f>
        <v/>
      </c>
      <c r="H150" s="17" t="str">
        <f>IF(共有用1!H150="","",共有用1!H150&amp;"/"&amp;COUNTIF(共有用1!H$2:H150,共有用1!H150))</f>
        <v/>
      </c>
      <c r="I150" s="17" t="str">
        <f>IF(共有用1!I150="","",共有用1!I150&amp;"/"&amp;COUNTIF(共有用1!I$2:I150,共有用1!I150))</f>
        <v/>
      </c>
      <c r="J150" s="17" t="str">
        <f>IF(共有用1!J150="","",共有用1!J150&amp;"/"&amp;COUNTIF(共有用1!J$2:J150,共有用1!J150))</f>
        <v/>
      </c>
      <c r="K150" s="17" t="str">
        <f>IF(共有用1!K150="","",共有用1!K150&amp;"/"&amp;COUNTIF(共有用1!K$2:K150,共有用1!K150))</f>
        <v/>
      </c>
      <c r="L150" s="17" t="str">
        <f>IF(共有用1!L150="","",共有用1!L150&amp;"/"&amp;COUNTIF(共有用1!L$2:L150,共有用1!L150))</f>
        <v/>
      </c>
      <c r="M150" s="17" t="str">
        <f>IF(共有用1!M150="","",共有用1!M150&amp;"/"&amp;COUNTIF(共有用1!M$2:M150,共有用1!M150))</f>
        <v/>
      </c>
      <c r="N150" s="17" t="str">
        <f>IF(共有用1!N150="","",共有用1!N150&amp;"/"&amp;COUNTIF(共有用1!N$2:N150,共有用1!N150))</f>
        <v/>
      </c>
      <c r="O150" s="17" t="str">
        <f>IF(共有用1!O150="","",共有用1!O150&amp;"/"&amp;COUNTIF(共有用1!O$2:O150,共有用1!O150))</f>
        <v/>
      </c>
      <c r="P150" s="17" t="str">
        <f>IF(共有用1!P150="","",共有用1!P150&amp;"/"&amp;COUNTIF(共有用1!P$2:P150,共有用1!P150))</f>
        <v/>
      </c>
      <c r="Q150" s="17" t="str">
        <f>IF(共有用1!Q150="","",共有用1!Q150&amp;"/"&amp;COUNTIF(共有用1!Q$2:Q150,共有用1!Q150))</f>
        <v/>
      </c>
      <c r="R150" s="17" t="str">
        <f>IF(共有用1!R150="","",共有用1!R150&amp;"/"&amp;COUNTIF(共有用1!R$2:R150,共有用1!R150))</f>
        <v/>
      </c>
      <c r="S150" s="17" t="str">
        <f>IF(共有用1!S150="","",共有用1!S150&amp;"/"&amp;COUNTIF(共有用1!S$2:S150,共有用1!S150))</f>
        <v/>
      </c>
      <c r="T150" s="17" t="str">
        <f>IF(共有用1!T150="","",共有用1!T150&amp;"/"&amp;COUNTIF(共有用1!T$2:T150,共有用1!T150))</f>
        <v/>
      </c>
      <c r="U150" s="17" t="str">
        <f>IF(共有用1!U150="","",共有用1!U150&amp;"/"&amp;COUNTIF(共有用1!U$2:U150,共有用1!U150))</f>
        <v/>
      </c>
      <c r="V150" s="17" t="str">
        <f>IF(共有用1!V150="","",共有用1!V150&amp;"/"&amp;COUNTIF(共有用1!V$2:V150,共有用1!V150))</f>
        <v/>
      </c>
      <c r="W150" s="17" t="str">
        <f>IF(共有用1!W150="","",共有用1!W150&amp;"/"&amp;COUNTIF(共有用1!W$2:W150,共有用1!W150))</f>
        <v/>
      </c>
      <c r="X150" s="17" t="str">
        <f>IF(共有用1!X150="","",共有用1!X150&amp;"/"&amp;COUNTIF(共有用1!X$2:X150,共有用1!X150))</f>
        <v/>
      </c>
      <c r="Y150" s="17" t="str">
        <f>IF(共有用1!Y150="","",共有用1!Y150&amp;"/"&amp;COUNTIF(共有用1!Y$2:Y150,共有用1!Y150))</f>
        <v/>
      </c>
      <c r="Z150" s="17" t="str">
        <f>IF(共有用1!Z150="","",共有用1!Z150&amp;"/"&amp;COUNTIF(共有用1!Z$2:Z150,共有用1!Z150))</f>
        <v/>
      </c>
      <c r="AA150" s="17" t="str">
        <f>IF(共有用1!AA150="","",共有用1!AA150&amp;"/"&amp;COUNTIF(共有用1!AA$2:AA150,共有用1!AA150))</f>
        <v/>
      </c>
      <c r="AB150" s="17" t="str">
        <f>IF(共有用1!AB150="","",共有用1!AB150&amp;"/"&amp;COUNTIF(共有用1!AB$2:AB150,共有用1!AB150))</f>
        <v/>
      </c>
      <c r="AC150" s="17" t="str">
        <f>IF(共有用1!AC150="","",共有用1!AC150&amp;"/"&amp;COUNTIF(共有用1!AC$2:AC150,共有用1!AC150))</f>
        <v/>
      </c>
      <c r="AD150" s="17" t="str">
        <f>IF(共有用1!AD150="","",共有用1!AD150&amp;"/"&amp;COUNTIF(共有用1!AD$2:AD150,共有用1!AD150))</f>
        <v/>
      </c>
      <c r="AE150" s="17" t="str">
        <f>IF(共有用1!AE150="","",共有用1!AE150&amp;"/"&amp;COUNTIF(共有用1!AE$2:AE150,共有用1!AE150))</f>
        <v/>
      </c>
      <c r="AF150" s="17" t="str">
        <f>IF(共有用1!AF150="","",共有用1!AF150&amp;"/"&amp;COUNTIF(共有用1!AF$2:AF150,共有用1!AF150))</f>
        <v/>
      </c>
      <c r="AG150" s="17" t="str">
        <f>IF(共有用1!AG150="","",共有用1!AG150&amp;"/"&amp;COUNTIF(共有用1!AG$2:AG150,共有用1!AG150))</f>
        <v/>
      </c>
      <c r="AH150" s="17" t="str">
        <f>IF(共有用1!AH150="","",共有用1!AH150&amp;"/"&amp;COUNTIF(共有用1!AH$2:AH150,共有用1!AH150))</f>
        <v/>
      </c>
      <c r="AI150" s="17" t="str">
        <f>IF(共有用1!AI150="","",共有用1!AI150&amp;"/"&amp;COUNTIF(共有用1!AI$2:AI150,共有用1!AI150))</f>
        <v/>
      </c>
      <c r="AJ150" s="17" t="str">
        <f>IF(共有用1!AJ150="","",共有用1!AJ150&amp;"/"&amp;COUNTIF(共有用1!AJ$2:AJ150,共有用1!AJ150))</f>
        <v/>
      </c>
      <c r="AK150" s="17" t="str">
        <f>IF(共有用1!AK150="","",共有用1!AK150&amp;"/"&amp;COUNTIF(共有用1!AK$2:AK150,共有用1!AK150))</f>
        <v/>
      </c>
      <c r="AL150" s="17" t="str">
        <f>IF(共有用1!AL150="","",共有用1!AL150&amp;"/"&amp;COUNTIF(共有用1!AL$2:AL150,共有用1!AL150))</f>
        <v/>
      </c>
      <c r="AM150" s="17" t="str">
        <f>IF(共有用1!AM150="","",共有用1!AM150&amp;"/"&amp;COUNTIF(共有用1!AM$2:AM150,共有用1!AM150))</f>
        <v/>
      </c>
      <c r="AN150" s="17" t="str">
        <f>IF(共有用1!AN150="","",共有用1!AN150&amp;"/"&amp;COUNTIF(共有用1!AN$2:AN150,共有用1!AN150))</f>
        <v/>
      </c>
      <c r="AO150" s="17" t="str">
        <f>IF(共有用1!AO150="","",共有用1!AO150&amp;"/"&amp;COUNTIF(共有用1!AO$2:AO150,共有用1!AO150))</f>
        <v/>
      </c>
      <c r="AP150" s="17" t="str">
        <f>IF(共有用1!AP150="","",共有用1!AP150&amp;"/"&amp;COUNTIF(共有用1!AP$2:AP150,共有用1!AP150))</f>
        <v/>
      </c>
      <c r="AQ150" s="17" t="str">
        <f>IF(共有用1!AQ150="","",共有用1!AQ150&amp;"/"&amp;COUNTIF(共有用1!AQ$2:AQ150,共有用1!AQ150))</f>
        <v/>
      </c>
      <c r="AR150" s="17" t="str">
        <f>IF(共有用1!AR150="","",共有用1!AR150&amp;"/"&amp;COUNTIF(共有用1!AR$2:AR150,共有用1!AR150))</f>
        <v/>
      </c>
      <c r="AS150" s="17" t="str">
        <f>IF(共有用1!AS150="","",共有用1!AS150&amp;"/"&amp;COUNTIF(共有用1!AS$2:AS150,共有用1!AS150))</f>
        <v/>
      </c>
      <c r="AT150" s="17" t="str">
        <f>IF(共有用1!AT150="","",共有用1!AT150&amp;"/"&amp;COUNTIF(共有用1!AT$2:AT150,共有用1!AT150))</f>
        <v/>
      </c>
      <c r="AU150" s="17" t="str">
        <f>IF(共有用1!AU150="","",共有用1!AU150&amp;"/"&amp;COUNTIF(共有用1!AU$2:AU150,共有用1!AU150))</f>
        <v/>
      </c>
      <c r="AV150" s="17" t="str">
        <f>IF(共有用1!AV150="","",共有用1!AV150&amp;"/"&amp;COUNTIF(共有用1!AV$2:AV150,共有用1!AV150))</f>
        <v/>
      </c>
      <c r="AW150" s="17" t="str">
        <f>IF(共有用1!AW150="","",共有用1!AW150&amp;"/"&amp;COUNTIF(共有用1!AW$2:AW150,共有用1!AW150))</f>
        <v/>
      </c>
      <c r="AX150" s="17" t="str">
        <f>IF(共有用1!AX150="","",共有用1!AX150&amp;"/"&amp;COUNTIF(共有用1!AX$2:AX150,共有用1!AX150))</f>
        <v/>
      </c>
      <c r="AY150" s="17" t="str">
        <f>IF(共有用1!AY150="","",共有用1!AY150&amp;"/"&amp;COUNTIF(共有用1!AY$2:AY150,共有用1!AY150))</f>
        <v/>
      </c>
      <c r="AZ150" s="17" t="str">
        <f>IF(共有用1!AZ150="","",共有用1!AZ150&amp;"/"&amp;COUNTIF(共有用1!AZ$2:AZ150,共有用1!AZ150))</f>
        <v/>
      </c>
      <c r="BA150" s="17" t="str">
        <f>IF(共有用1!BA150="","",共有用1!BA150&amp;"/"&amp;COUNTIF(共有用1!BA$2:BA150,共有用1!BA150))</f>
        <v/>
      </c>
    </row>
    <row r="151" spans="1:53">
      <c r="A151" s="2" t="str">
        <f>共有用1!A151</f>
        <v/>
      </c>
      <c r="B151" s="2" t="str">
        <f>共有用1!B151</f>
        <v/>
      </c>
      <c r="C151" s="2" t="str">
        <f>共有用1!C151</f>
        <v/>
      </c>
      <c r="D151" s="17" t="str">
        <f>IF(共有用1!D151="","",共有用1!D151&amp;"/"&amp;COUNTIF(共有用1!D$2:D151,共有用1!D151))</f>
        <v/>
      </c>
      <c r="E151" s="17" t="str">
        <f>IF(共有用1!E151="","",共有用1!E151&amp;"/"&amp;COUNTIF(共有用1!E$2:E151,共有用1!E151))</f>
        <v/>
      </c>
      <c r="F151" s="17" t="str">
        <f>IF(共有用1!F151="","",共有用1!F151&amp;"/"&amp;COUNTIF(共有用1!F$2:F151,共有用1!F151))</f>
        <v/>
      </c>
      <c r="G151" s="17" t="str">
        <f>IF(共有用1!G151="","",共有用1!G151&amp;"/"&amp;COUNTIF(共有用1!G$2:G151,共有用1!G151))</f>
        <v/>
      </c>
      <c r="H151" s="17" t="str">
        <f>IF(共有用1!H151="","",共有用1!H151&amp;"/"&amp;COUNTIF(共有用1!H$2:H151,共有用1!H151))</f>
        <v/>
      </c>
      <c r="I151" s="17" t="str">
        <f>IF(共有用1!I151="","",共有用1!I151&amp;"/"&amp;COUNTIF(共有用1!I$2:I151,共有用1!I151))</f>
        <v/>
      </c>
      <c r="J151" s="17" t="str">
        <f>IF(共有用1!J151="","",共有用1!J151&amp;"/"&amp;COUNTIF(共有用1!J$2:J151,共有用1!J151))</f>
        <v/>
      </c>
      <c r="K151" s="17" t="str">
        <f>IF(共有用1!K151="","",共有用1!K151&amp;"/"&amp;COUNTIF(共有用1!K$2:K151,共有用1!K151))</f>
        <v/>
      </c>
      <c r="L151" s="17" t="str">
        <f>IF(共有用1!L151="","",共有用1!L151&amp;"/"&amp;COUNTIF(共有用1!L$2:L151,共有用1!L151))</f>
        <v/>
      </c>
      <c r="M151" s="17" t="str">
        <f>IF(共有用1!M151="","",共有用1!M151&amp;"/"&amp;COUNTIF(共有用1!M$2:M151,共有用1!M151))</f>
        <v/>
      </c>
      <c r="N151" s="17" t="str">
        <f>IF(共有用1!N151="","",共有用1!N151&amp;"/"&amp;COUNTIF(共有用1!N$2:N151,共有用1!N151))</f>
        <v/>
      </c>
      <c r="O151" s="17" t="str">
        <f>IF(共有用1!O151="","",共有用1!O151&amp;"/"&amp;COUNTIF(共有用1!O$2:O151,共有用1!O151))</f>
        <v/>
      </c>
      <c r="P151" s="17" t="str">
        <f>IF(共有用1!P151="","",共有用1!P151&amp;"/"&amp;COUNTIF(共有用1!P$2:P151,共有用1!P151))</f>
        <v/>
      </c>
      <c r="Q151" s="17" t="str">
        <f>IF(共有用1!Q151="","",共有用1!Q151&amp;"/"&amp;COUNTIF(共有用1!Q$2:Q151,共有用1!Q151))</f>
        <v/>
      </c>
      <c r="R151" s="17" t="str">
        <f>IF(共有用1!R151="","",共有用1!R151&amp;"/"&amp;COUNTIF(共有用1!R$2:R151,共有用1!R151))</f>
        <v/>
      </c>
      <c r="S151" s="17" t="str">
        <f>IF(共有用1!S151="","",共有用1!S151&amp;"/"&amp;COUNTIF(共有用1!S$2:S151,共有用1!S151))</f>
        <v/>
      </c>
      <c r="T151" s="17" t="str">
        <f>IF(共有用1!T151="","",共有用1!T151&amp;"/"&amp;COUNTIF(共有用1!T$2:T151,共有用1!T151))</f>
        <v/>
      </c>
      <c r="U151" s="17" t="str">
        <f>IF(共有用1!U151="","",共有用1!U151&amp;"/"&amp;COUNTIF(共有用1!U$2:U151,共有用1!U151))</f>
        <v/>
      </c>
      <c r="V151" s="17" t="str">
        <f>IF(共有用1!V151="","",共有用1!V151&amp;"/"&amp;COUNTIF(共有用1!V$2:V151,共有用1!V151))</f>
        <v/>
      </c>
      <c r="W151" s="17" t="str">
        <f>IF(共有用1!W151="","",共有用1!W151&amp;"/"&amp;COUNTIF(共有用1!W$2:W151,共有用1!W151))</f>
        <v/>
      </c>
      <c r="X151" s="17" t="str">
        <f>IF(共有用1!X151="","",共有用1!X151&amp;"/"&amp;COUNTIF(共有用1!X$2:X151,共有用1!X151))</f>
        <v/>
      </c>
      <c r="Y151" s="17" t="str">
        <f>IF(共有用1!Y151="","",共有用1!Y151&amp;"/"&amp;COUNTIF(共有用1!Y$2:Y151,共有用1!Y151))</f>
        <v/>
      </c>
      <c r="Z151" s="17" t="str">
        <f>IF(共有用1!Z151="","",共有用1!Z151&amp;"/"&amp;COUNTIF(共有用1!Z$2:Z151,共有用1!Z151))</f>
        <v/>
      </c>
      <c r="AA151" s="17" t="str">
        <f>IF(共有用1!AA151="","",共有用1!AA151&amp;"/"&amp;COUNTIF(共有用1!AA$2:AA151,共有用1!AA151))</f>
        <v/>
      </c>
      <c r="AB151" s="17" t="str">
        <f>IF(共有用1!AB151="","",共有用1!AB151&amp;"/"&amp;COUNTIF(共有用1!AB$2:AB151,共有用1!AB151))</f>
        <v/>
      </c>
      <c r="AC151" s="17" t="str">
        <f>IF(共有用1!AC151="","",共有用1!AC151&amp;"/"&amp;COUNTIF(共有用1!AC$2:AC151,共有用1!AC151))</f>
        <v/>
      </c>
      <c r="AD151" s="17" t="str">
        <f>IF(共有用1!AD151="","",共有用1!AD151&amp;"/"&amp;COUNTIF(共有用1!AD$2:AD151,共有用1!AD151))</f>
        <v/>
      </c>
      <c r="AE151" s="17" t="str">
        <f>IF(共有用1!AE151="","",共有用1!AE151&amp;"/"&amp;COUNTIF(共有用1!AE$2:AE151,共有用1!AE151))</f>
        <v/>
      </c>
      <c r="AF151" s="17" t="str">
        <f>IF(共有用1!AF151="","",共有用1!AF151&amp;"/"&amp;COUNTIF(共有用1!AF$2:AF151,共有用1!AF151))</f>
        <v/>
      </c>
      <c r="AG151" s="17" t="str">
        <f>IF(共有用1!AG151="","",共有用1!AG151&amp;"/"&amp;COUNTIF(共有用1!AG$2:AG151,共有用1!AG151))</f>
        <v/>
      </c>
      <c r="AH151" s="17" t="str">
        <f>IF(共有用1!AH151="","",共有用1!AH151&amp;"/"&amp;COUNTIF(共有用1!AH$2:AH151,共有用1!AH151))</f>
        <v/>
      </c>
      <c r="AI151" s="17" t="str">
        <f>IF(共有用1!AI151="","",共有用1!AI151&amp;"/"&amp;COUNTIF(共有用1!AI$2:AI151,共有用1!AI151))</f>
        <v/>
      </c>
      <c r="AJ151" s="17" t="str">
        <f>IF(共有用1!AJ151="","",共有用1!AJ151&amp;"/"&amp;COUNTIF(共有用1!AJ$2:AJ151,共有用1!AJ151))</f>
        <v/>
      </c>
      <c r="AK151" s="17" t="str">
        <f>IF(共有用1!AK151="","",共有用1!AK151&amp;"/"&amp;COUNTIF(共有用1!AK$2:AK151,共有用1!AK151))</f>
        <v/>
      </c>
      <c r="AL151" s="17" t="str">
        <f>IF(共有用1!AL151="","",共有用1!AL151&amp;"/"&amp;COUNTIF(共有用1!AL$2:AL151,共有用1!AL151))</f>
        <v/>
      </c>
      <c r="AM151" s="17" t="str">
        <f>IF(共有用1!AM151="","",共有用1!AM151&amp;"/"&amp;COUNTIF(共有用1!AM$2:AM151,共有用1!AM151))</f>
        <v/>
      </c>
      <c r="AN151" s="17" t="str">
        <f>IF(共有用1!AN151="","",共有用1!AN151&amp;"/"&amp;COUNTIF(共有用1!AN$2:AN151,共有用1!AN151))</f>
        <v/>
      </c>
      <c r="AO151" s="17" t="str">
        <f>IF(共有用1!AO151="","",共有用1!AO151&amp;"/"&amp;COUNTIF(共有用1!AO$2:AO151,共有用1!AO151))</f>
        <v/>
      </c>
      <c r="AP151" s="17" t="str">
        <f>IF(共有用1!AP151="","",共有用1!AP151&amp;"/"&amp;COUNTIF(共有用1!AP$2:AP151,共有用1!AP151))</f>
        <v/>
      </c>
      <c r="AQ151" s="17" t="str">
        <f>IF(共有用1!AQ151="","",共有用1!AQ151&amp;"/"&amp;COUNTIF(共有用1!AQ$2:AQ151,共有用1!AQ151))</f>
        <v/>
      </c>
      <c r="AR151" s="17" t="str">
        <f>IF(共有用1!AR151="","",共有用1!AR151&amp;"/"&amp;COUNTIF(共有用1!AR$2:AR151,共有用1!AR151))</f>
        <v/>
      </c>
      <c r="AS151" s="17" t="str">
        <f>IF(共有用1!AS151="","",共有用1!AS151&amp;"/"&amp;COUNTIF(共有用1!AS$2:AS151,共有用1!AS151))</f>
        <v/>
      </c>
      <c r="AT151" s="17" t="str">
        <f>IF(共有用1!AT151="","",共有用1!AT151&amp;"/"&amp;COUNTIF(共有用1!AT$2:AT151,共有用1!AT151))</f>
        <v/>
      </c>
      <c r="AU151" s="17" t="str">
        <f>IF(共有用1!AU151="","",共有用1!AU151&amp;"/"&amp;COUNTIF(共有用1!AU$2:AU151,共有用1!AU151))</f>
        <v/>
      </c>
      <c r="AV151" s="17" t="str">
        <f>IF(共有用1!AV151="","",共有用1!AV151&amp;"/"&amp;COUNTIF(共有用1!AV$2:AV151,共有用1!AV151))</f>
        <v/>
      </c>
      <c r="AW151" s="17" t="str">
        <f>IF(共有用1!AW151="","",共有用1!AW151&amp;"/"&amp;COUNTIF(共有用1!AW$2:AW151,共有用1!AW151))</f>
        <v/>
      </c>
      <c r="AX151" s="17" t="str">
        <f>IF(共有用1!AX151="","",共有用1!AX151&amp;"/"&amp;COUNTIF(共有用1!AX$2:AX151,共有用1!AX151))</f>
        <v/>
      </c>
      <c r="AY151" s="17" t="str">
        <f>IF(共有用1!AY151="","",共有用1!AY151&amp;"/"&amp;COUNTIF(共有用1!AY$2:AY151,共有用1!AY151))</f>
        <v/>
      </c>
      <c r="AZ151" s="17" t="str">
        <f>IF(共有用1!AZ151="","",共有用1!AZ151&amp;"/"&amp;COUNTIF(共有用1!AZ$2:AZ151,共有用1!AZ151))</f>
        <v/>
      </c>
      <c r="BA151" s="17" t="str">
        <f>IF(共有用1!BA151="","",共有用1!BA151&amp;"/"&amp;COUNTIF(共有用1!BA$2:BA151,共有用1!BA151))</f>
        <v/>
      </c>
    </row>
    <row r="152" spans="1:53">
      <c r="A152" s="2" t="str">
        <f>共有用1!A152</f>
        <v/>
      </c>
      <c r="B152" s="2" t="str">
        <f>共有用1!B152</f>
        <v/>
      </c>
      <c r="C152" s="2" t="str">
        <f>共有用1!C152</f>
        <v/>
      </c>
      <c r="D152" s="17" t="str">
        <f>IF(共有用1!D152="","",共有用1!D152&amp;"/"&amp;COUNTIF(共有用1!D$2:D152,共有用1!D152))</f>
        <v/>
      </c>
      <c r="E152" s="17" t="str">
        <f>IF(共有用1!E152="","",共有用1!E152&amp;"/"&amp;COUNTIF(共有用1!E$2:E152,共有用1!E152))</f>
        <v/>
      </c>
      <c r="F152" s="17" t="str">
        <f>IF(共有用1!F152="","",共有用1!F152&amp;"/"&amp;COUNTIF(共有用1!F$2:F152,共有用1!F152))</f>
        <v/>
      </c>
      <c r="G152" s="17" t="str">
        <f>IF(共有用1!G152="","",共有用1!G152&amp;"/"&amp;COUNTIF(共有用1!G$2:G152,共有用1!G152))</f>
        <v/>
      </c>
      <c r="H152" s="17" t="str">
        <f>IF(共有用1!H152="","",共有用1!H152&amp;"/"&amp;COUNTIF(共有用1!H$2:H152,共有用1!H152))</f>
        <v/>
      </c>
      <c r="I152" s="17" t="str">
        <f>IF(共有用1!I152="","",共有用1!I152&amp;"/"&amp;COUNTIF(共有用1!I$2:I152,共有用1!I152))</f>
        <v/>
      </c>
      <c r="J152" s="17" t="str">
        <f>IF(共有用1!J152="","",共有用1!J152&amp;"/"&amp;COUNTIF(共有用1!J$2:J152,共有用1!J152))</f>
        <v/>
      </c>
      <c r="K152" s="17" t="str">
        <f>IF(共有用1!K152="","",共有用1!K152&amp;"/"&amp;COUNTIF(共有用1!K$2:K152,共有用1!K152))</f>
        <v/>
      </c>
      <c r="L152" s="17" t="str">
        <f>IF(共有用1!L152="","",共有用1!L152&amp;"/"&amp;COUNTIF(共有用1!L$2:L152,共有用1!L152))</f>
        <v/>
      </c>
      <c r="M152" s="17" t="str">
        <f>IF(共有用1!M152="","",共有用1!M152&amp;"/"&amp;COUNTIF(共有用1!M$2:M152,共有用1!M152))</f>
        <v/>
      </c>
      <c r="N152" s="17" t="str">
        <f>IF(共有用1!N152="","",共有用1!N152&amp;"/"&amp;COUNTIF(共有用1!N$2:N152,共有用1!N152))</f>
        <v/>
      </c>
      <c r="O152" s="17" t="str">
        <f>IF(共有用1!O152="","",共有用1!O152&amp;"/"&amp;COUNTIF(共有用1!O$2:O152,共有用1!O152))</f>
        <v/>
      </c>
      <c r="P152" s="17" t="str">
        <f>IF(共有用1!P152="","",共有用1!P152&amp;"/"&amp;COUNTIF(共有用1!P$2:P152,共有用1!P152))</f>
        <v/>
      </c>
      <c r="Q152" s="17" t="str">
        <f>IF(共有用1!Q152="","",共有用1!Q152&amp;"/"&amp;COUNTIF(共有用1!Q$2:Q152,共有用1!Q152))</f>
        <v/>
      </c>
      <c r="R152" s="17" t="str">
        <f>IF(共有用1!R152="","",共有用1!R152&amp;"/"&amp;COUNTIF(共有用1!R$2:R152,共有用1!R152))</f>
        <v/>
      </c>
      <c r="S152" s="17" t="str">
        <f>IF(共有用1!S152="","",共有用1!S152&amp;"/"&amp;COUNTIF(共有用1!S$2:S152,共有用1!S152))</f>
        <v/>
      </c>
      <c r="T152" s="17" t="str">
        <f>IF(共有用1!T152="","",共有用1!T152&amp;"/"&amp;COUNTIF(共有用1!T$2:T152,共有用1!T152))</f>
        <v/>
      </c>
      <c r="U152" s="17" t="str">
        <f>IF(共有用1!U152="","",共有用1!U152&amp;"/"&amp;COUNTIF(共有用1!U$2:U152,共有用1!U152))</f>
        <v/>
      </c>
      <c r="V152" s="17" t="str">
        <f>IF(共有用1!V152="","",共有用1!V152&amp;"/"&amp;COUNTIF(共有用1!V$2:V152,共有用1!V152))</f>
        <v/>
      </c>
      <c r="W152" s="17" t="str">
        <f>IF(共有用1!W152="","",共有用1!W152&amp;"/"&amp;COUNTIF(共有用1!W$2:W152,共有用1!W152))</f>
        <v/>
      </c>
      <c r="X152" s="17" t="str">
        <f>IF(共有用1!X152="","",共有用1!X152&amp;"/"&amp;COUNTIF(共有用1!X$2:X152,共有用1!X152))</f>
        <v/>
      </c>
      <c r="Y152" s="17" t="str">
        <f>IF(共有用1!Y152="","",共有用1!Y152&amp;"/"&amp;COUNTIF(共有用1!Y$2:Y152,共有用1!Y152))</f>
        <v/>
      </c>
      <c r="Z152" s="17" t="str">
        <f>IF(共有用1!Z152="","",共有用1!Z152&amp;"/"&amp;COUNTIF(共有用1!Z$2:Z152,共有用1!Z152))</f>
        <v/>
      </c>
      <c r="AA152" s="17" t="str">
        <f>IF(共有用1!AA152="","",共有用1!AA152&amp;"/"&amp;COUNTIF(共有用1!AA$2:AA152,共有用1!AA152))</f>
        <v/>
      </c>
      <c r="AB152" s="17" t="str">
        <f>IF(共有用1!AB152="","",共有用1!AB152&amp;"/"&amp;COUNTIF(共有用1!AB$2:AB152,共有用1!AB152))</f>
        <v/>
      </c>
      <c r="AC152" s="17" t="str">
        <f>IF(共有用1!AC152="","",共有用1!AC152&amp;"/"&amp;COUNTIF(共有用1!AC$2:AC152,共有用1!AC152))</f>
        <v/>
      </c>
      <c r="AD152" s="17" t="str">
        <f>IF(共有用1!AD152="","",共有用1!AD152&amp;"/"&amp;COUNTIF(共有用1!AD$2:AD152,共有用1!AD152))</f>
        <v/>
      </c>
      <c r="AE152" s="17" t="str">
        <f>IF(共有用1!AE152="","",共有用1!AE152&amp;"/"&amp;COUNTIF(共有用1!AE$2:AE152,共有用1!AE152))</f>
        <v/>
      </c>
      <c r="AF152" s="17" t="str">
        <f>IF(共有用1!AF152="","",共有用1!AF152&amp;"/"&amp;COUNTIF(共有用1!AF$2:AF152,共有用1!AF152))</f>
        <v/>
      </c>
      <c r="AG152" s="17" t="str">
        <f>IF(共有用1!AG152="","",共有用1!AG152&amp;"/"&amp;COUNTIF(共有用1!AG$2:AG152,共有用1!AG152))</f>
        <v/>
      </c>
      <c r="AH152" s="17" t="str">
        <f>IF(共有用1!AH152="","",共有用1!AH152&amp;"/"&amp;COUNTIF(共有用1!AH$2:AH152,共有用1!AH152))</f>
        <v/>
      </c>
      <c r="AI152" s="17" t="str">
        <f>IF(共有用1!AI152="","",共有用1!AI152&amp;"/"&amp;COUNTIF(共有用1!AI$2:AI152,共有用1!AI152))</f>
        <v/>
      </c>
      <c r="AJ152" s="17" t="str">
        <f>IF(共有用1!AJ152="","",共有用1!AJ152&amp;"/"&amp;COUNTIF(共有用1!AJ$2:AJ152,共有用1!AJ152))</f>
        <v/>
      </c>
      <c r="AK152" s="17" t="str">
        <f>IF(共有用1!AK152="","",共有用1!AK152&amp;"/"&amp;COUNTIF(共有用1!AK$2:AK152,共有用1!AK152))</f>
        <v/>
      </c>
      <c r="AL152" s="17" t="str">
        <f>IF(共有用1!AL152="","",共有用1!AL152&amp;"/"&amp;COUNTIF(共有用1!AL$2:AL152,共有用1!AL152))</f>
        <v/>
      </c>
      <c r="AM152" s="17" t="str">
        <f>IF(共有用1!AM152="","",共有用1!AM152&amp;"/"&amp;COUNTIF(共有用1!AM$2:AM152,共有用1!AM152))</f>
        <v/>
      </c>
      <c r="AN152" s="17" t="str">
        <f>IF(共有用1!AN152="","",共有用1!AN152&amp;"/"&amp;COUNTIF(共有用1!AN$2:AN152,共有用1!AN152))</f>
        <v/>
      </c>
      <c r="AO152" s="17" t="str">
        <f>IF(共有用1!AO152="","",共有用1!AO152&amp;"/"&amp;COUNTIF(共有用1!AO$2:AO152,共有用1!AO152))</f>
        <v/>
      </c>
      <c r="AP152" s="17" t="str">
        <f>IF(共有用1!AP152="","",共有用1!AP152&amp;"/"&amp;COUNTIF(共有用1!AP$2:AP152,共有用1!AP152))</f>
        <v/>
      </c>
      <c r="AQ152" s="17" t="str">
        <f>IF(共有用1!AQ152="","",共有用1!AQ152&amp;"/"&amp;COUNTIF(共有用1!AQ$2:AQ152,共有用1!AQ152))</f>
        <v/>
      </c>
      <c r="AR152" s="17" t="str">
        <f>IF(共有用1!AR152="","",共有用1!AR152&amp;"/"&amp;COUNTIF(共有用1!AR$2:AR152,共有用1!AR152))</f>
        <v/>
      </c>
      <c r="AS152" s="17" t="str">
        <f>IF(共有用1!AS152="","",共有用1!AS152&amp;"/"&amp;COUNTIF(共有用1!AS$2:AS152,共有用1!AS152))</f>
        <v/>
      </c>
      <c r="AT152" s="17" t="str">
        <f>IF(共有用1!AT152="","",共有用1!AT152&amp;"/"&amp;COUNTIF(共有用1!AT$2:AT152,共有用1!AT152))</f>
        <v/>
      </c>
      <c r="AU152" s="17" t="str">
        <f>IF(共有用1!AU152="","",共有用1!AU152&amp;"/"&amp;COUNTIF(共有用1!AU$2:AU152,共有用1!AU152))</f>
        <v/>
      </c>
      <c r="AV152" s="17" t="str">
        <f>IF(共有用1!AV152="","",共有用1!AV152&amp;"/"&amp;COUNTIF(共有用1!AV$2:AV152,共有用1!AV152))</f>
        <v/>
      </c>
      <c r="AW152" s="17" t="str">
        <f>IF(共有用1!AW152="","",共有用1!AW152&amp;"/"&amp;COUNTIF(共有用1!AW$2:AW152,共有用1!AW152))</f>
        <v/>
      </c>
      <c r="AX152" s="17" t="str">
        <f>IF(共有用1!AX152="","",共有用1!AX152&amp;"/"&amp;COUNTIF(共有用1!AX$2:AX152,共有用1!AX152))</f>
        <v/>
      </c>
      <c r="AY152" s="17" t="str">
        <f>IF(共有用1!AY152="","",共有用1!AY152&amp;"/"&amp;COUNTIF(共有用1!AY$2:AY152,共有用1!AY152))</f>
        <v/>
      </c>
      <c r="AZ152" s="17" t="str">
        <f>IF(共有用1!AZ152="","",共有用1!AZ152&amp;"/"&amp;COUNTIF(共有用1!AZ$2:AZ152,共有用1!AZ152))</f>
        <v/>
      </c>
      <c r="BA152" s="17" t="str">
        <f>IF(共有用1!BA152="","",共有用1!BA152&amp;"/"&amp;COUNTIF(共有用1!BA$2:BA152,共有用1!BA152))</f>
        <v/>
      </c>
    </row>
    <row r="153" spans="1:53">
      <c r="A153" s="2" t="str">
        <f>共有用1!A153</f>
        <v/>
      </c>
      <c r="B153" s="2" t="str">
        <f>共有用1!B153</f>
        <v/>
      </c>
      <c r="C153" s="2" t="str">
        <f>共有用1!C153</f>
        <v/>
      </c>
      <c r="D153" s="17" t="str">
        <f>IF(共有用1!D153="","",共有用1!D153&amp;"/"&amp;COUNTIF(共有用1!D$2:D153,共有用1!D153))</f>
        <v/>
      </c>
      <c r="E153" s="17" t="str">
        <f>IF(共有用1!E153="","",共有用1!E153&amp;"/"&amp;COUNTIF(共有用1!E$2:E153,共有用1!E153))</f>
        <v/>
      </c>
      <c r="F153" s="17" t="str">
        <f>IF(共有用1!F153="","",共有用1!F153&amp;"/"&amp;COUNTIF(共有用1!F$2:F153,共有用1!F153))</f>
        <v/>
      </c>
      <c r="G153" s="17" t="str">
        <f>IF(共有用1!G153="","",共有用1!G153&amp;"/"&amp;COUNTIF(共有用1!G$2:G153,共有用1!G153))</f>
        <v/>
      </c>
      <c r="H153" s="17" t="str">
        <f>IF(共有用1!H153="","",共有用1!H153&amp;"/"&amp;COUNTIF(共有用1!H$2:H153,共有用1!H153))</f>
        <v/>
      </c>
      <c r="I153" s="17" t="str">
        <f>IF(共有用1!I153="","",共有用1!I153&amp;"/"&amp;COUNTIF(共有用1!I$2:I153,共有用1!I153))</f>
        <v/>
      </c>
      <c r="J153" s="17" t="str">
        <f>IF(共有用1!J153="","",共有用1!J153&amp;"/"&amp;COUNTIF(共有用1!J$2:J153,共有用1!J153))</f>
        <v/>
      </c>
      <c r="K153" s="17" t="str">
        <f>IF(共有用1!K153="","",共有用1!K153&amp;"/"&amp;COUNTIF(共有用1!K$2:K153,共有用1!K153))</f>
        <v/>
      </c>
      <c r="L153" s="17" t="str">
        <f>IF(共有用1!L153="","",共有用1!L153&amp;"/"&amp;COUNTIF(共有用1!L$2:L153,共有用1!L153))</f>
        <v/>
      </c>
      <c r="M153" s="17" t="str">
        <f>IF(共有用1!M153="","",共有用1!M153&amp;"/"&amp;COUNTIF(共有用1!M$2:M153,共有用1!M153))</f>
        <v/>
      </c>
      <c r="N153" s="17" t="str">
        <f>IF(共有用1!N153="","",共有用1!N153&amp;"/"&amp;COUNTIF(共有用1!N$2:N153,共有用1!N153))</f>
        <v/>
      </c>
      <c r="O153" s="17" t="str">
        <f>IF(共有用1!O153="","",共有用1!O153&amp;"/"&amp;COUNTIF(共有用1!O$2:O153,共有用1!O153))</f>
        <v/>
      </c>
      <c r="P153" s="17" t="str">
        <f>IF(共有用1!P153="","",共有用1!P153&amp;"/"&amp;COUNTIF(共有用1!P$2:P153,共有用1!P153))</f>
        <v/>
      </c>
      <c r="Q153" s="17" t="str">
        <f>IF(共有用1!Q153="","",共有用1!Q153&amp;"/"&amp;COUNTIF(共有用1!Q$2:Q153,共有用1!Q153))</f>
        <v/>
      </c>
      <c r="R153" s="17" t="str">
        <f>IF(共有用1!R153="","",共有用1!R153&amp;"/"&amp;COUNTIF(共有用1!R$2:R153,共有用1!R153))</f>
        <v/>
      </c>
      <c r="S153" s="17" t="str">
        <f>IF(共有用1!S153="","",共有用1!S153&amp;"/"&amp;COUNTIF(共有用1!S$2:S153,共有用1!S153))</f>
        <v/>
      </c>
      <c r="T153" s="17" t="str">
        <f>IF(共有用1!T153="","",共有用1!T153&amp;"/"&amp;COUNTIF(共有用1!T$2:T153,共有用1!T153))</f>
        <v/>
      </c>
      <c r="U153" s="17" t="str">
        <f>IF(共有用1!U153="","",共有用1!U153&amp;"/"&amp;COUNTIF(共有用1!U$2:U153,共有用1!U153))</f>
        <v/>
      </c>
      <c r="V153" s="17" t="str">
        <f>IF(共有用1!V153="","",共有用1!V153&amp;"/"&amp;COUNTIF(共有用1!V$2:V153,共有用1!V153))</f>
        <v/>
      </c>
      <c r="W153" s="17" t="str">
        <f>IF(共有用1!W153="","",共有用1!W153&amp;"/"&amp;COUNTIF(共有用1!W$2:W153,共有用1!W153))</f>
        <v/>
      </c>
      <c r="X153" s="17" t="str">
        <f>IF(共有用1!X153="","",共有用1!X153&amp;"/"&amp;COUNTIF(共有用1!X$2:X153,共有用1!X153))</f>
        <v/>
      </c>
      <c r="Y153" s="17" t="str">
        <f>IF(共有用1!Y153="","",共有用1!Y153&amp;"/"&amp;COUNTIF(共有用1!Y$2:Y153,共有用1!Y153))</f>
        <v/>
      </c>
      <c r="Z153" s="17" t="str">
        <f>IF(共有用1!Z153="","",共有用1!Z153&amp;"/"&amp;COUNTIF(共有用1!Z$2:Z153,共有用1!Z153))</f>
        <v/>
      </c>
      <c r="AA153" s="17" t="str">
        <f>IF(共有用1!AA153="","",共有用1!AA153&amp;"/"&amp;COUNTIF(共有用1!AA$2:AA153,共有用1!AA153))</f>
        <v/>
      </c>
      <c r="AB153" s="17" t="str">
        <f>IF(共有用1!AB153="","",共有用1!AB153&amp;"/"&amp;COUNTIF(共有用1!AB$2:AB153,共有用1!AB153))</f>
        <v/>
      </c>
      <c r="AC153" s="17" t="str">
        <f>IF(共有用1!AC153="","",共有用1!AC153&amp;"/"&amp;COUNTIF(共有用1!AC$2:AC153,共有用1!AC153))</f>
        <v/>
      </c>
      <c r="AD153" s="17" t="str">
        <f>IF(共有用1!AD153="","",共有用1!AD153&amp;"/"&amp;COUNTIF(共有用1!AD$2:AD153,共有用1!AD153))</f>
        <v/>
      </c>
      <c r="AE153" s="17" t="str">
        <f>IF(共有用1!AE153="","",共有用1!AE153&amp;"/"&amp;COUNTIF(共有用1!AE$2:AE153,共有用1!AE153))</f>
        <v/>
      </c>
      <c r="AF153" s="17" t="str">
        <f>IF(共有用1!AF153="","",共有用1!AF153&amp;"/"&amp;COUNTIF(共有用1!AF$2:AF153,共有用1!AF153))</f>
        <v/>
      </c>
      <c r="AG153" s="17" t="str">
        <f>IF(共有用1!AG153="","",共有用1!AG153&amp;"/"&amp;COUNTIF(共有用1!AG$2:AG153,共有用1!AG153))</f>
        <v/>
      </c>
      <c r="AH153" s="17" t="str">
        <f>IF(共有用1!AH153="","",共有用1!AH153&amp;"/"&amp;COUNTIF(共有用1!AH$2:AH153,共有用1!AH153))</f>
        <v/>
      </c>
      <c r="AI153" s="17" t="str">
        <f>IF(共有用1!AI153="","",共有用1!AI153&amp;"/"&amp;COUNTIF(共有用1!AI$2:AI153,共有用1!AI153))</f>
        <v/>
      </c>
      <c r="AJ153" s="17" t="str">
        <f>IF(共有用1!AJ153="","",共有用1!AJ153&amp;"/"&amp;COUNTIF(共有用1!AJ$2:AJ153,共有用1!AJ153))</f>
        <v/>
      </c>
      <c r="AK153" s="17" t="str">
        <f>IF(共有用1!AK153="","",共有用1!AK153&amp;"/"&amp;COUNTIF(共有用1!AK$2:AK153,共有用1!AK153))</f>
        <v/>
      </c>
      <c r="AL153" s="17" t="str">
        <f>IF(共有用1!AL153="","",共有用1!AL153&amp;"/"&amp;COUNTIF(共有用1!AL$2:AL153,共有用1!AL153))</f>
        <v/>
      </c>
      <c r="AM153" s="17" t="str">
        <f>IF(共有用1!AM153="","",共有用1!AM153&amp;"/"&amp;COUNTIF(共有用1!AM$2:AM153,共有用1!AM153))</f>
        <v/>
      </c>
      <c r="AN153" s="17" t="str">
        <f>IF(共有用1!AN153="","",共有用1!AN153&amp;"/"&amp;COUNTIF(共有用1!AN$2:AN153,共有用1!AN153))</f>
        <v/>
      </c>
      <c r="AO153" s="17" t="str">
        <f>IF(共有用1!AO153="","",共有用1!AO153&amp;"/"&amp;COUNTIF(共有用1!AO$2:AO153,共有用1!AO153))</f>
        <v/>
      </c>
      <c r="AP153" s="17" t="str">
        <f>IF(共有用1!AP153="","",共有用1!AP153&amp;"/"&amp;COUNTIF(共有用1!AP$2:AP153,共有用1!AP153))</f>
        <v/>
      </c>
      <c r="AQ153" s="17" t="str">
        <f>IF(共有用1!AQ153="","",共有用1!AQ153&amp;"/"&amp;COUNTIF(共有用1!AQ$2:AQ153,共有用1!AQ153))</f>
        <v/>
      </c>
      <c r="AR153" s="17" t="str">
        <f>IF(共有用1!AR153="","",共有用1!AR153&amp;"/"&amp;COUNTIF(共有用1!AR$2:AR153,共有用1!AR153))</f>
        <v/>
      </c>
      <c r="AS153" s="17" t="str">
        <f>IF(共有用1!AS153="","",共有用1!AS153&amp;"/"&amp;COUNTIF(共有用1!AS$2:AS153,共有用1!AS153))</f>
        <v/>
      </c>
      <c r="AT153" s="17" t="str">
        <f>IF(共有用1!AT153="","",共有用1!AT153&amp;"/"&amp;COUNTIF(共有用1!AT$2:AT153,共有用1!AT153))</f>
        <v/>
      </c>
      <c r="AU153" s="17" t="str">
        <f>IF(共有用1!AU153="","",共有用1!AU153&amp;"/"&amp;COUNTIF(共有用1!AU$2:AU153,共有用1!AU153))</f>
        <v/>
      </c>
      <c r="AV153" s="17" t="str">
        <f>IF(共有用1!AV153="","",共有用1!AV153&amp;"/"&amp;COUNTIF(共有用1!AV$2:AV153,共有用1!AV153))</f>
        <v/>
      </c>
      <c r="AW153" s="17" t="str">
        <f>IF(共有用1!AW153="","",共有用1!AW153&amp;"/"&amp;COUNTIF(共有用1!AW$2:AW153,共有用1!AW153))</f>
        <v/>
      </c>
      <c r="AX153" s="17" t="str">
        <f>IF(共有用1!AX153="","",共有用1!AX153&amp;"/"&amp;COUNTIF(共有用1!AX$2:AX153,共有用1!AX153))</f>
        <v/>
      </c>
      <c r="AY153" s="17" t="str">
        <f>IF(共有用1!AY153="","",共有用1!AY153&amp;"/"&amp;COUNTIF(共有用1!AY$2:AY153,共有用1!AY153))</f>
        <v/>
      </c>
      <c r="AZ153" s="17" t="str">
        <f>IF(共有用1!AZ153="","",共有用1!AZ153&amp;"/"&amp;COUNTIF(共有用1!AZ$2:AZ153,共有用1!AZ153))</f>
        <v/>
      </c>
      <c r="BA153" s="17" t="str">
        <f>IF(共有用1!BA153="","",共有用1!BA153&amp;"/"&amp;COUNTIF(共有用1!BA$2:BA153,共有用1!BA153))</f>
        <v/>
      </c>
    </row>
    <row r="154" spans="1:53">
      <c r="A154" s="2" t="str">
        <f>共有用1!A154</f>
        <v/>
      </c>
      <c r="B154" s="2" t="str">
        <f>共有用1!B154</f>
        <v/>
      </c>
      <c r="C154" s="2" t="str">
        <f>共有用1!C154</f>
        <v/>
      </c>
      <c r="D154" s="17" t="str">
        <f>IF(共有用1!D154="","",共有用1!D154&amp;"/"&amp;COUNTIF(共有用1!D$2:D154,共有用1!D154))</f>
        <v/>
      </c>
      <c r="E154" s="17" t="str">
        <f>IF(共有用1!E154="","",共有用1!E154&amp;"/"&amp;COUNTIF(共有用1!E$2:E154,共有用1!E154))</f>
        <v/>
      </c>
      <c r="F154" s="17" t="str">
        <f>IF(共有用1!F154="","",共有用1!F154&amp;"/"&amp;COUNTIF(共有用1!F$2:F154,共有用1!F154))</f>
        <v/>
      </c>
      <c r="G154" s="17" t="str">
        <f>IF(共有用1!G154="","",共有用1!G154&amp;"/"&amp;COUNTIF(共有用1!G$2:G154,共有用1!G154))</f>
        <v/>
      </c>
      <c r="H154" s="17" t="str">
        <f>IF(共有用1!H154="","",共有用1!H154&amp;"/"&amp;COUNTIF(共有用1!H$2:H154,共有用1!H154))</f>
        <v/>
      </c>
      <c r="I154" s="17" t="str">
        <f>IF(共有用1!I154="","",共有用1!I154&amp;"/"&amp;COUNTIF(共有用1!I$2:I154,共有用1!I154))</f>
        <v/>
      </c>
      <c r="J154" s="17" t="str">
        <f>IF(共有用1!J154="","",共有用1!J154&amp;"/"&amp;COUNTIF(共有用1!J$2:J154,共有用1!J154))</f>
        <v/>
      </c>
      <c r="K154" s="17" t="str">
        <f>IF(共有用1!K154="","",共有用1!K154&amp;"/"&amp;COUNTIF(共有用1!K$2:K154,共有用1!K154))</f>
        <v/>
      </c>
      <c r="L154" s="17" t="str">
        <f>IF(共有用1!L154="","",共有用1!L154&amp;"/"&amp;COUNTIF(共有用1!L$2:L154,共有用1!L154))</f>
        <v/>
      </c>
      <c r="M154" s="17" t="str">
        <f>IF(共有用1!M154="","",共有用1!M154&amp;"/"&amp;COUNTIF(共有用1!M$2:M154,共有用1!M154))</f>
        <v/>
      </c>
      <c r="N154" s="17" t="str">
        <f>IF(共有用1!N154="","",共有用1!N154&amp;"/"&amp;COUNTIF(共有用1!N$2:N154,共有用1!N154))</f>
        <v/>
      </c>
      <c r="O154" s="17" t="str">
        <f>IF(共有用1!O154="","",共有用1!O154&amp;"/"&amp;COUNTIF(共有用1!O$2:O154,共有用1!O154))</f>
        <v/>
      </c>
      <c r="P154" s="17" t="str">
        <f>IF(共有用1!P154="","",共有用1!P154&amp;"/"&amp;COUNTIF(共有用1!P$2:P154,共有用1!P154))</f>
        <v/>
      </c>
      <c r="Q154" s="17" t="str">
        <f>IF(共有用1!Q154="","",共有用1!Q154&amp;"/"&amp;COUNTIF(共有用1!Q$2:Q154,共有用1!Q154))</f>
        <v/>
      </c>
      <c r="R154" s="17" t="str">
        <f>IF(共有用1!R154="","",共有用1!R154&amp;"/"&amp;COUNTIF(共有用1!R$2:R154,共有用1!R154))</f>
        <v/>
      </c>
      <c r="S154" s="17" t="str">
        <f>IF(共有用1!S154="","",共有用1!S154&amp;"/"&amp;COUNTIF(共有用1!S$2:S154,共有用1!S154))</f>
        <v/>
      </c>
      <c r="T154" s="17" t="str">
        <f>IF(共有用1!T154="","",共有用1!T154&amp;"/"&amp;COUNTIF(共有用1!T$2:T154,共有用1!T154))</f>
        <v/>
      </c>
      <c r="U154" s="17" t="str">
        <f>IF(共有用1!U154="","",共有用1!U154&amp;"/"&amp;COUNTIF(共有用1!U$2:U154,共有用1!U154))</f>
        <v/>
      </c>
      <c r="V154" s="17" t="str">
        <f>IF(共有用1!V154="","",共有用1!V154&amp;"/"&amp;COUNTIF(共有用1!V$2:V154,共有用1!V154))</f>
        <v/>
      </c>
      <c r="W154" s="17" t="str">
        <f>IF(共有用1!W154="","",共有用1!W154&amp;"/"&amp;COUNTIF(共有用1!W$2:W154,共有用1!W154))</f>
        <v/>
      </c>
      <c r="X154" s="17" t="str">
        <f>IF(共有用1!X154="","",共有用1!X154&amp;"/"&amp;COUNTIF(共有用1!X$2:X154,共有用1!X154))</f>
        <v/>
      </c>
      <c r="Y154" s="17" t="str">
        <f>IF(共有用1!Y154="","",共有用1!Y154&amp;"/"&amp;COUNTIF(共有用1!Y$2:Y154,共有用1!Y154))</f>
        <v/>
      </c>
      <c r="Z154" s="17" t="str">
        <f>IF(共有用1!Z154="","",共有用1!Z154&amp;"/"&amp;COUNTIF(共有用1!Z$2:Z154,共有用1!Z154))</f>
        <v/>
      </c>
      <c r="AA154" s="17" t="str">
        <f>IF(共有用1!AA154="","",共有用1!AA154&amp;"/"&amp;COUNTIF(共有用1!AA$2:AA154,共有用1!AA154))</f>
        <v/>
      </c>
      <c r="AB154" s="17" t="str">
        <f>IF(共有用1!AB154="","",共有用1!AB154&amp;"/"&amp;COUNTIF(共有用1!AB$2:AB154,共有用1!AB154))</f>
        <v/>
      </c>
      <c r="AC154" s="17" t="str">
        <f>IF(共有用1!AC154="","",共有用1!AC154&amp;"/"&amp;COUNTIF(共有用1!AC$2:AC154,共有用1!AC154))</f>
        <v/>
      </c>
      <c r="AD154" s="17" t="str">
        <f>IF(共有用1!AD154="","",共有用1!AD154&amp;"/"&amp;COUNTIF(共有用1!AD$2:AD154,共有用1!AD154))</f>
        <v/>
      </c>
      <c r="AE154" s="17" t="str">
        <f>IF(共有用1!AE154="","",共有用1!AE154&amp;"/"&amp;COUNTIF(共有用1!AE$2:AE154,共有用1!AE154))</f>
        <v/>
      </c>
      <c r="AF154" s="17" t="str">
        <f>IF(共有用1!AF154="","",共有用1!AF154&amp;"/"&amp;COUNTIF(共有用1!AF$2:AF154,共有用1!AF154))</f>
        <v/>
      </c>
      <c r="AG154" s="17" t="str">
        <f>IF(共有用1!AG154="","",共有用1!AG154&amp;"/"&amp;COUNTIF(共有用1!AG$2:AG154,共有用1!AG154))</f>
        <v/>
      </c>
      <c r="AH154" s="17" t="str">
        <f>IF(共有用1!AH154="","",共有用1!AH154&amp;"/"&amp;COUNTIF(共有用1!AH$2:AH154,共有用1!AH154))</f>
        <v/>
      </c>
      <c r="AI154" s="17" t="str">
        <f>IF(共有用1!AI154="","",共有用1!AI154&amp;"/"&amp;COUNTIF(共有用1!AI$2:AI154,共有用1!AI154))</f>
        <v/>
      </c>
      <c r="AJ154" s="17" t="str">
        <f>IF(共有用1!AJ154="","",共有用1!AJ154&amp;"/"&amp;COUNTIF(共有用1!AJ$2:AJ154,共有用1!AJ154))</f>
        <v/>
      </c>
      <c r="AK154" s="17" t="str">
        <f>IF(共有用1!AK154="","",共有用1!AK154&amp;"/"&amp;COUNTIF(共有用1!AK$2:AK154,共有用1!AK154))</f>
        <v/>
      </c>
      <c r="AL154" s="17" t="str">
        <f>IF(共有用1!AL154="","",共有用1!AL154&amp;"/"&amp;COUNTIF(共有用1!AL$2:AL154,共有用1!AL154))</f>
        <v/>
      </c>
      <c r="AM154" s="17" t="str">
        <f>IF(共有用1!AM154="","",共有用1!AM154&amp;"/"&amp;COUNTIF(共有用1!AM$2:AM154,共有用1!AM154))</f>
        <v/>
      </c>
      <c r="AN154" s="17" t="str">
        <f>IF(共有用1!AN154="","",共有用1!AN154&amp;"/"&amp;COUNTIF(共有用1!AN$2:AN154,共有用1!AN154))</f>
        <v/>
      </c>
      <c r="AO154" s="17" t="str">
        <f>IF(共有用1!AO154="","",共有用1!AO154&amp;"/"&amp;COUNTIF(共有用1!AO$2:AO154,共有用1!AO154))</f>
        <v/>
      </c>
      <c r="AP154" s="17" t="str">
        <f>IF(共有用1!AP154="","",共有用1!AP154&amp;"/"&amp;COUNTIF(共有用1!AP$2:AP154,共有用1!AP154))</f>
        <v/>
      </c>
      <c r="AQ154" s="17" t="str">
        <f>IF(共有用1!AQ154="","",共有用1!AQ154&amp;"/"&amp;COUNTIF(共有用1!AQ$2:AQ154,共有用1!AQ154))</f>
        <v/>
      </c>
      <c r="AR154" s="17" t="str">
        <f>IF(共有用1!AR154="","",共有用1!AR154&amp;"/"&amp;COUNTIF(共有用1!AR$2:AR154,共有用1!AR154))</f>
        <v/>
      </c>
      <c r="AS154" s="17" t="str">
        <f>IF(共有用1!AS154="","",共有用1!AS154&amp;"/"&amp;COUNTIF(共有用1!AS$2:AS154,共有用1!AS154))</f>
        <v/>
      </c>
      <c r="AT154" s="17" t="str">
        <f>IF(共有用1!AT154="","",共有用1!AT154&amp;"/"&amp;COUNTIF(共有用1!AT$2:AT154,共有用1!AT154))</f>
        <v/>
      </c>
      <c r="AU154" s="17" t="str">
        <f>IF(共有用1!AU154="","",共有用1!AU154&amp;"/"&amp;COUNTIF(共有用1!AU$2:AU154,共有用1!AU154))</f>
        <v/>
      </c>
      <c r="AV154" s="17" t="str">
        <f>IF(共有用1!AV154="","",共有用1!AV154&amp;"/"&amp;COUNTIF(共有用1!AV$2:AV154,共有用1!AV154))</f>
        <v/>
      </c>
      <c r="AW154" s="17" t="str">
        <f>IF(共有用1!AW154="","",共有用1!AW154&amp;"/"&amp;COUNTIF(共有用1!AW$2:AW154,共有用1!AW154))</f>
        <v/>
      </c>
      <c r="AX154" s="17" t="str">
        <f>IF(共有用1!AX154="","",共有用1!AX154&amp;"/"&amp;COUNTIF(共有用1!AX$2:AX154,共有用1!AX154))</f>
        <v/>
      </c>
      <c r="AY154" s="17" t="str">
        <f>IF(共有用1!AY154="","",共有用1!AY154&amp;"/"&amp;COUNTIF(共有用1!AY$2:AY154,共有用1!AY154))</f>
        <v/>
      </c>
      <c r="AZ154" s="17" t="str">
        <f>IF(共有用1!AZ154="","",共有用1!AZ154&amp;"/"&amp;COUNTIF(共有用1!AZ$2:AZ154,共有用1!AZ154))</f>
        <v/>
      </c>
      <c r="BA154" s="17" t="str">
        <f>IF(共有用1!BA154="","",共有用1!BA154&amp;"/"&amp;COUNTIF(共有用1!BA$2:BA154,共有用1!BA154))</f>
        <v/>
      </c>
    </row>
    <row r="155" spans="1:53">
      <c r="A155" s="2" t="str">
        <f>共有用1!A155</f>
        <v/>
      </c>
      <c r="B155" s="2" t="str">
        <f>共有用1!B155</f>
        <v/>
      </c>
      <c r="C155" s="2" t="str">
        <f>共有用1!C155</f>
        <v/>
      </c>
      <c r="D155" s="17" t="str">
        <f>IF(共有用1!D155="","",共有用1!D155&amp;"/"&amp;COUNTIF(共有用1!D$2:D155,共有用1!D155))</f>
        <v/>
      </c>
      <c r="E155" s="17" t="str">
        <f>IF(共有用1!E155="","",共有用1!E155&amp;"/"&amp;COUNTIF(共有用1!E$2:E155,共有用1!E155))</f>
        <v/>
      </c>
      <c r="F155" s="17" t="str">
        <f>IF(共有用1!F155="","",共有用1!F155&amp;"/"&amp;COUNTIF(共有用1!F$2:F155,共有用1!F155))</f>
        <v/>
      </c>
      <c r="G155" s="17" t="str">
        <f>IF(共有用1!G155="","",共有用1!G155&amp;"/"&amp;COUNTIF(共有用1!G$2:G155,共有用1!G155))</f>
        <v/>
      </c>
      <c r="H155" s="17" t="str">
        <f>IF(共有用1!H155="","",共有用1!H155&amp;"/"&amp;COUNTIF(共有用1!H$2:H155,共有用1!H155))</f>
        <v/>
      </c>
      <c r="I155" s="17" t="str">
        <f>IF(共有用1!I155="","",共有用1!I155&amp;"/"&amp;COUNTIF(共有用1!I$2:I155,共有用1!I155))</f>
        <v/>
      </c>
      <c r="J155" s="17" t="str">
        <f>IF(共有用1!J155="","",共有用1!J155&amp;"/"&amp;COUNTIF(共有用1!J$2:J155,共有用1!J155))</f>
        <v/>
      </c>
      <c r="K155" s="17" t="str">
        <f>IF(共有用1!K155="","",共有用1!K155&amp;"/"&amp;COUNTIF(共有用1!K$2:K155,共有用1!K155))</f>
        <v/>
      </c>
      <c r="L155" s="17" t="str">
        <f>IF(共有用1!L155="","",共有用1!L155&amp;"/"&amp;COUNTIF(共有用1!L$2:L155,共有用1!L155))</f>
        <v/>
      </c>
      <c r="M155" s="17" t="str">
        <f>IF(共有用1!M155="","",共有用1!M155&amp;"/"&amp;COUNTIF(共有用1!M$2:M155,共有用1!M155))</f>
        <v/>
      </c>
      <c r="N155" s="17" t="str">
        <f>IF(共有用1!N155="","",共有用1!N155&amp;"/"&amp;COUNTIF(共有用1!N$2:N155,共有用1!N155))</f>
        <v/>
      </c>
      <c r="O155" s="17" t="str">
        <f>IF(共有用1!O155="","",共有用1!O155&amp;"/"&amp;COUNTIF(共有用1!O$2:O155,共有用1!O155))</f>
        <v/>
      </c>
      <c r="P155" s="17" t="str">
        <f>IF(共有用1!P155="","",共有用1!P155&amp;"/"&amp;COUNTIF(共有用1!P$2:P155,共有用1!P155))</f>
        <v/>
      </c>
      <c r="Q155" s="17" t="str">
        <f>IF(共有用1!Q155="","",共有用1!Q155&amp;"/"&amp;COUNTIF(共有用1!Q$2:Q155,共有用1!Q155))</f>
        <v/>
      </c>
      <c r="R155" s="17" t="str">
        <f>IF(共有用1!R155="","",共有用1!R155&amp;"/"&amp;COUNTIF(共有用1!R$2:R155,共有用1!R155))</f>
        <v/>
      </c>
      <c r="S155" s="17" t="str">
        <f>IF(共有用1!S155="","",共有用1!S155&amp;"/"&amp;COUNTIF(共有用1!S$2:S155,共有用1!S155))</f>
        <v/>
      </c>
      <c r="T155" s="17" t="str">
        <f>IF(共有用1!T155="","",共有用1!T155&amp;"/"&amp;COUNTIF(共有用1!T$2:T155,共有用1!T155))</f>
        <v/>
      </c>
      <c r="U155" s="17" t="str">
        <f>IF(共有用1!U155="","",共有用1!U155&amp;"/"&amp;COUNTIF(共有用1!U$2:U155,共有用1!U155))</f>
        <v/>
      </c>
      <c r="V155" s="17" t="str">
        <f>IF(共有用1!V155="","",共有用1!V155&amp;"/"&amp;COUNTIF(共有用1!V$2:V155,共有用1!V155))</f>
        <v/>
      </c>
      <c r="W155" s="17" t="str">
        <f>IF(共有用1!W155="","",共有用1!W155&amp;"/"&amp;COUNTIF(共有用1!W$2:W155,共有用1!W155))</f>
        <v/>
      </c>
      <c r="X155" s="17" t="str">
        <f>IF(共有用1!X155="","",共有用1!X155&amp;"/"&amp;COUNTIF(共有用1!X$2:X155,共有用1!X155))</f>
        <v/>
      </c>
      <c r="Y155" s="17" t="str">
        <f>IF(共有用1!Y155="","",共有用1!Y155&amp;"/"&amp;COUNTIF(共有用1!Y$2:Y155,共有用1!Y155))</f>
        <v/>
      </c>
      <c r="Z155" s="17" t="str">
        <f>IF(共有用1!Z155="","",共有用1!Z155&amp;"/"&amp;COUNTIF(共有用1!Z$2:Z155,共有用1!Z155))</f>
        <v/>
      </c>
      <c r="AA155" s="17" t="str">
        <f>IF(共有用1!AA155="","",共有用1!AA155&amp;"/"&amp;COUNTIF(共有用1!AA$2:AA155,共有用1!AA155))</f>
        <v/>
      </c>
      <c r="AB155" s="17" t="str">
        <f>IF(共有用1!AB155="","",共有用1!AB155&amp;"/"&amp;COUNTIF(共有用1!AB$2:AB155,共有用1!AB155))</f>
        <v/>
      </c>
      <c r="AC155" s="17" t="str">
        <f>IF(共有用1!AC155="","",共有用1!AC155&amp;"/"&amp;COUNTIF(共有用1!AC$2:AC155,共有用1!AC155))</f>
        <v/>
      </c>
      <c r="AD155" s="17" t="str">
        <f>IF(共有用1!AD155="","",共有用1!AD155&amp;"/"&amp;COUNTIF(共有用1!AD$2:AD155,共有用1!AD155))</f>
        <v/>
      </c>
      <c r="AE155" s="17" t="str">
        <f>IF(共有用1!AE155="","",共有用1!AE155&amp;"/"&amp;COUNTIF(共有用1!AE$2:AE155,共有用1!AE155))</f>
        <v/>
      </c>
      <c r="AF155" s="17" t="str">
        <f>IF(共有用1!AF155="","",共有用1!AF155&amp;"/"&amp;COUNTIF(共有用1!AF$2:AF155,共有用1!AF155))</f>
        <v/>
      </c>
      <c r="AG155" s="17" t="str">
        <f>IF(共有用1!AG155="","",共有用1!AG155&amp;"/"&amp;COUNTIF(共有用1!AG$2:AG155,共有用1!AG155))</f>
        <v/>
      </c>
      <c r="AH155" s="17" t="str">
        <f>IF(共有用1!AH155="","",共有用1!AH155&amp;"/"&amp;COUNTIF(共有用1!AH$2:AH155,共有用1!AH155))</f>
        <v/>
      </c>
      <c r="AI155" s="17" t="str">
        <f>IF(共有用1!AI155="","",共有用1!AI155&amp;"/"&amp;COUNTIF(共有用1!AI$2:AI155,共有用1!AI155))</f>
        <v/>
      </c>
      <c r="AJ155" s="17" t="str">
        <f>IF(共有用1!AJ155="","",共有用1!AJ155&amp;"/"&amp;COUNTIF(共有用1!AJ$2:AJ155,共有用1!AJ155))</f>
        <v/>
      </c>
      <c r="AK155" s="17" t="str">
        <f>IF(共有用1!AK155="","",共有用1!AK155&amp;"/"&amp;COUNTIF(共有用1!AK$2:AK155,共有用1!AK155))</f>
        <v/>
      </c>
      <c r="AL155" s="17" t="str">
        <f>IF(共有用1!AL155="","",共有用1!AL155&amp;"/"&amp;COUNTIF(共有用1!AL$2:AL155,共有用1!AL155))</f>
        <v/>
      </c>
      <c r="AM155" s="17" t="str">
        <f>IF(共有用1!AM155="","",共有用1!AM155&amp;"/"&amp;COUNTIF(共有用1!AM$2:AM155,共有用1!AM155))</f>
        <v/>
      </c>
      <c r="AN155" s="17" t="str">
        <f>IF(共有用1!AN155="","",共有用1!AN155&amp;"/"&amp;COUNTIF(共有用1!AN$2:AN155,共有用1!AN155))</f>
        <v/>
      </c>
      <c r="AO155" s="17" t="str">
        <f>IF(共有用1!AO155="","",共有用1!AO155&amp;"/"&amp;COUNTIF(共有用1!AO$2:AO155,共有用1!AO155))</f>
        <v/>
      </c>
      <c r="AP155" s="17" t="str">
        <f>IF(共有用1!AP155="","",共有用1!AP155&amp;"/"&amp;COUNTIF(共有用1!AP$2:AP155,共有用1!AP155))</f>
        <v/>
      </c>
      <c r="AQ155" s="17" t="str">
        <f>IF(共有用1!AQ155="","",共有用1!AQ155&amp;"/"&amp;COUNTIF(共有用1!AQ$2:AQ155,共有用1!AQ155))</f>
        <v/>
      </c>
      <c r="AR155" s="17" t="str">
        <f>IF(共有用1!AR155="","",共有用1!AR155&amp;"/"&amp;COUNTIF(共有用1!AR$2:AR155,共有用1!AR155))</f>
        <v/>
      </c>
      <c r="AS155" s="17" t="str">
        <f>IF(共有用1!AS155="","",共有用1!AS155&amp;"/"&amp;COUNTIF(共有用1!AS$2:AS155,共有用1!AS155))</f>
        <v/>
      </c>
      <c r="AT155" s="17" t="str">
        <f>IF(共有用1!AT155="","",共有用1!AT155&amp;"/"&amp;COUNTIF(共有用1!AT$2:AT155,共有用1!AT155))</f>
        <v/>
      </c>
      <c r="AU155" s="17" t="str">
        <f>IF(共有用1!AU155="","",共有用1!AU155&amp;"/"&amp;COUNTIF(共有用1!AU$2:AU155,共有用1!AU155))</f>
        <v/>
      </c>
      <c r="AV155" s="17" t="str">
        <f>IF(共有用1!AV155="","",共有用1!AV155&amp;"/"&amp;COUNTIF(共有用1!AV$2:AV155,共有用1!AV155))</f>
        <v/>
      </c>
      <c r="AW155" s="17" t="str">
        <f>IF(共有用1!AW155="","",共有用1!AW155&amp;"/"&amp;COUNTIF(共有用1!AW$2:AW155,共有用1!AW155))</f>
        <v/>
      </c>
      <c r="AX155" s="17" t="str">
        <f>IF(共有用1!AX155="","",共有用1!AX155&amp;"/"&amp;COUNTIF(共有用1!AX$2:AX155,共有用1!AX155))</f>
        <v/>
      </c>
      <c r="AY155" s="17" t="str">
        <f>IF(共有用1!AY155="","",共有用1!AY155&amp;"/"&amp;COUNTIF(共有用1!AY$2:AY155,共有用1!AY155))</f>
        <v/>
      </c>
      <c r="AZ155" s="17" t="str">
        <f>IF(共有用1!AZ155="","",共有用1!AZ155&amp;"/"&amp;COUNTIF(共有用1!AZ$2:AZ155,共有用1!AZ155))</f>
        <v/>
      </c>
      <c r="BA155" s="17" t="str">
        <f>IF(共有用1!BA155="","",共有用1!BA155&amp;"/"&amp;COUNTIF(共有用1!BA$2:BA155,共有用1!BA155))</f>
        <v/>
      </c>
    </row>
    <row r="156" spans="1:53">
      <c r="A156" s="2" t="str">
        <f>共有用1!A156</f>
        <v/>
      </c>
      <c r="B156" s="2" t="str">
        <f>共有用1!B156</f>
        <v/>
      </c>
      <c r="C156" s="2" t="str">
        <f>共有用1!C156</f>
        <v/>
      </c>
      <c r="D156" s="17" t="str">
        <f>IF(共有用1!D156="","",共有用1!D156&amp;"/"&amp;COUNTIF(共有用1!D$2:D156,共有用1!D156))</f>
        <v/>
      </c>
      <c r="E156" s="17" t="str">
        <f>IF(共有用1!E156="","",共有用1!E156&amp;"/"&amp;COUNTIF(共有用1!E$2:E156,共有用1!E156))</f>
        <v/>
      </c>
      <c r="F156" s="17" t="str">
        <f>IF(共有用1!F156="","",共有用1!F156&amp;"/"&amp;COUNTIF(共有用1!F$2:F156,共有用1!F156))</f>
        <v/>
      </c>
      <c r="G156" s="17" t="str">
        <f>IF(共有用1!G156="","",共有用1!G156&amp;"/"&amp;COUNTIF(共有用1!G$2:G156,共有用1!G156))</f>
        <v/>
      </c>
      <c r="H156" s="17" t="str">
        <f>IF(共有用1!H156="","",共有用1!H156&amp;"/"&amp;COUNTIF(共有用1!H$2:H156,共有用1!H156))</f>
        <v/>
      </c>
      <c r="I156" s="17" t="str">
        <f>IF(共有用1!I156="","",共有用1!I156&amp;"/"&amp;COUNTIF(共有用1!I$2:I156,共有用1!I156))</f>
        <v/>
      </c>
      <c r="J156" s="17" t="str">
        <f>IF(共有用1!J156="","",共有用1!J156&amp;"/"&amp;COUNTIF(共有用1!J$2:J156,共有用1!J156))</f>
        <v/>
      </c>
      <c r="K156" s="17" t="str">
        <f>IF(共有用1!K156="","",共有用1!K156&amp;"/"&amp;COUNTIF(共有用1!K$2:K156,共有用1!K156))</f>
        <v/>
      </c>
      <c r="L156" s="17" t="str">
        <f>IF(共有用1!L156="","",共有用1!L156&amp;"/"&amp;COUNTIF(共有用1!L$2:L156,共有用1!L156))</f>
        <v/>
      </c>
      <c r="M156" s="17" t="str">
        <f>IF(共有用1!M156="","",共有用1!M156&amp;"/"&amp;COUNTIF(共有用1!M$2:M156,共有用1!M156))</f>
        <v/>
      </c>
      <c r="N156" s="17" t="str">
        <f>IF(共有用1!N156="","",共有用1!N156&amp;"/"&amp;COUNTIF(共有用1!N$2:N156,共有用1!N156))</f>
        <v/>
      </c>
      <c r="O156" s="17" t="str">
        <f>IF(共有用1!O156="","",共有用1!O156&amp;"/"&amp;COUNTIF(共有用1!O$2:O156,共有用1!O156))</f>
        <v/>
      </c>
      <c r="P156" s="17" t="str">
        <f>IF(共有用1!P156="","",共有用1!P156&amp;"/"&amp;COUNTIF(共有用1!P$2:P156,共有用1!P156))</f>
        <v/>
      </c>
      <c r="Q156" s="17" t="str">
        <f>IF(共有用1!Q156="","",共有用1!Q156&amp;"/"&amp;COUNTIF(共有用1!Q$2:Q156,共有用1!Q156))</f>
        <v/>
      </c>
      <c r="R156" s="17" t="str">
        <f>IF(共有用1!R156="","",共有用1!R156&amp;"/"&amp;COUNTIF(共有用1!R$2:R156,共有用1!R156))</f>
        <v/>
      </c>
      <c r="S156" s="17" t="str">
        <f>IF(共有用1!S156="","",共有用1!S156&amp;"/"&amp;COUNTIF(共有用1!S$2:S156,共有用1!S156))</f>
        <v/>
      </c>
      <c r="T156" s="17" t="str">
        <f>IF(共有用1!T156="","",共有用1!T156&amp;"/"&amp;COUNTIF(共有用1!T$2:T156,共有用1!T156))</f>
        <v/>
      </c>
      <c r="U156" s="17" t="str">
        <f>IF(共有用1!U156="","",共有用1!U156&amp;"/"&amp;COUNTIF(共有用1!U$2:U156,共有用1!U156))</f>
        <v/>
      </c>
      <c r="V156" s="17" t="str">
        <f>IF(共有用1!V156="","",共有用1!V156&amp;"/"&amp;COUNTIF(共有用1!V$2:V156,共有用1!V156))</f>
        <v/>
      </c>
      <c r="W156" s="17" t="str">
        <f>IF(共有用1!W156="","",共有用1!W156&amp;"/"&amp;COUNTIF(共有用1!W$2:W156,共有用1!W156))</f>
        <v/>
      </c>
      <c r="X156" s="17" t="str">
        <f>IF(共有用1!X156="","",共有用1!X156&amp;"/"&amp;COUNTIF(共有用1!X$2:X156,共有用1!X156))</f>
        <v/>
      </c>
      <c r="Y156" s="17" t="str">
        <f>IF(共有用1!Y156="","",共有用1!Y156&amp;"/"&amp;COUNTIF(共有用1!Y$2:Y156,共有用1!Y156))</f>
        <v/>
      </c>
      <c r="Z156" s="17" t="str">
        <f>IF(共有用1!Z156="","",共有用1!Z156&amp;"/"&amp;COUNTIF(共有用1!Z$2:Z156,共有用1!Z156))</f>
        <v/>
      </c>
      <c r="AA156" s="17" t="str">
        <f>IF(共有用1!AA156="","",共有用1!AA156&amp;"/"&amp;COUNTIF(共有用1!AA$2:AA156,共有用1!AA156))</f>
        <v/>
      </c>
      <c r="AB156" s="17" t="str">
        <f>IF(共有用1!AB156="","",共有用1!AB156&amp;"/"&amp;COUNTIF(共有用1!AB$2:AB156,共有用1!AB156))</f>
        <v/>
      </c>
      <c r="AC156" s="17" t="str">
        <f>IF(共有用1!AC156="","",共有用1!AC156&amp;"/"&amp;COUNTIF(共有用1!AC$2:AC156,共有用1!AC156))</f>
        <v/>
      </c>
      <c r="AD156" s="17" t="str">
        <f>IF(共有用1!AD156="","",共有用1!AD156&amp;"/"&amp;COUNTIF(共有用1!AD$2:AD156,共有用1!AD156))</f>
        <v/>
      </c>
      <c r="AE156" s="17" t="str">
        <f>IF(共有用1!AE156="","",共有用1!AE156&amp;"/"&amp;COUNTIF(共有用1!AE$2:AE156,共有用1!AE156))</f>
        <v/>
      </c>
      <c r="AF156" s="17" t="str">
        <f>IF(共有用1!AF156="","",共有用1!AF156&amp;"/"&amp;COUNTIF(共有用1!AF$2:AF156,共有用1!AF156))</f>
        <v/>
      </c>
      <c r="AG156" s="17" t="str">
        <f>IF(共有用1!AG156="","",共有用1!AG156&amp;"/"&amp;COUNTIF(共有用1!AG$2:AG156,共有用1!AG156))</f>
        <v/>
      </c>
      <c r="AH156" s="17" t="str">
        <f>IF(共有用1!AH156="","",共有用1!AH156&amp;"/"&amp;COUNTIF(共有用1!AH$2:AH156,共有用1!AH156))</f>
        <v/>
      </c>
      <c r="AI156" s="17" t="str">
        <f>IF(共有用1!AI156="","",共有用1!AI156&amp;"/"&amp;COUNTIF(共有用1!AI$2:AI156,共有用1!AI156))</f>
        <v/>
      </c>
      <c r="AJ156" s="17" t="str">
        <f>IF(共有用1!AJ156="","",共有用1!AJ156&amp;"/"&amp;COUNTIF(共有用1!AJ$2:AJ156,共有用1!AJ156))</f>
        <v/>
      </c>
      <c r="AK156" s="17" t="str">
        <f>IF(共有用1!AK156="","",共有用1!AK156&amp;"/"&amp;COUNTIF(共有用1!AK$2:AK156,共有用1!AK156))</f>
        <v/>
      </c>
      <c r="AL156" s="17" t="str">
        <f>IF(共有用1!AL156="","",共有用1!AL156&amp;"/"&amp;COUNTIF(共有用1!AL$2:AL156,共有用1!AL156))</f>
        <v/>
      </c>
      <c r="AM156" s="17" t="str">
        <f>IF(共有用1!AM156="","",共有用1!AM156&amp;"/"&amp;COUNTIF(共有用1!AM$2:AM156,共有用1!AM156))</f>
        <v/>
      </c>
      <c r="AN156" s="17" t="str">
        <f>IF(共有用1!AN156="","",共有用1!AN156&amp;"/"&amp;COUNTIF(共有用1!AN$2:AN156,共有用1!AN156))</f>
        <v/>
      </c>
      <c r="AO156" s="17" t="str">
        <f>IF(共有用1!AO156="","",共有用1!AO156&amp;"/"&amp;COUNTIF(共有用1!AO$2:AO156,共有用1!AO156))</f>
        <v/>
      </c>
      <c r="AP156" s="17" t="str">
        <f>IF(共有用1!AP156="","",共有用1!AP156&amp;"/"&amp;COUNTIF(共有用1!AP$2:AP156,共有用1!AP156))</f>
        <v/>
      </c>
      <c r="AQ156" s="17" t="str">
        <f>IF(共有用1!AQ156="","",共有用1!AQ156&amp;"/"&amp;COUNTIF(共有用1!AQ$2:AQ156,共有用1!AQ156))</f>
        <v/>
      </c>
      <c r="AR156" s="17" t="str">
        <f>IF(共有用1!AR156="","",共有用1!AR156&amp;"/"&amp;COUNTIF(共有用1!AR$2:AR156,共有用1!AR156))</f>
        <v/>
      </c>
      <c r="AS156" s="17" t="str">
        <f>IF(共有用1!AS156="","",共有用1!AS156&amp;"/"&amp;COUNTIF(共有用1!AS$2:AS156,共有用1!AS156))</f>
        <v/>
      </c>
      <c r="AT156" s="17" t="str">
        <f>IF(共有用1!AT156="","",共有用1!AT156&amp;"/"&amp;COUNTIF(共有用1!AT$2:AT156,共有用1!AT156))</f>
        <v/>
      </c>
      <c r="AU156" s="17" t="str">
        <f>IF(共有用1!AU156="","",共有用1!AU156&amp;"/"&amp;COUNTIF(共有用1!AU$2:AU156,共有用1!AU156))</f>
        <v/>
      </c>
      <c r="AV156" s="17" t="str">
        <f>IF(共有用1!AV156="","",共有用1!AV156&amp;"/"&amp;COUNTIF(共有用1!AV$2:AV156,共有用1!AV156))</f>
        <v/>
      </c>
      <c r="AW156" s="17" t="str">
        <f>IF(共有用1!AW156="","",共有用1!AW156&amp;"/"&amp;COUNTIF(共有用1!AW$2:AW156,共有用1!AW156))</f>
        <v/>
      </c>
      <c r="AX156" s="17" t="str">
        <f>IF(共有用1!AX156="","",共有用1!AX156&amp;"/"&amp;COUNTIF(共有用1!AX$2:AX156,共有用1!AX156))</f>
        <v/>
      </c>
      <c r="AY156" s="17" t="str">
        <f>IF(共有用1!AY156="","",共有用1!AY156&amp;"/"&amp;COUNTIF(共有用1!AY$2:AY156,共有用1!AY156))</f>
        <v/>
      </c>
      <c r="AZ156" s="17" t="str">
        <f>IF(共有用1!AZ156="","",共有用1!AZ156&amp;"/"&amp;COUNTIF(共有用1!AZ$2:AZ156,共有用1!AZ156))</f>
        <v/>
      </c>
      <c r="BA156" s="17" t="str">
        <f>IF(共有用1!BA156="","",共有用1!BA156&amp;"/"&amp;COUNTIF(共有用1!BA$2:BA156,共有用1!BA156))</f>
        <v/>
      </c>
    </row>
    <row r="157" spans="1:53">
      <c r="A157" s="2" t="str">
        <f>共有用1!A157</f>
        <v/>
      </c>
      <c r="B157" s="2" t="str">
        <f>共有用1!B157</f>
        <v/>
      </c>
      <c r="C157" s="2" t="str">
        <f>共有用1!C157</f>
        <v/>
      </c>
      <c r="D157" s="17" t="str">
        <f>IF(共有用1!D157="","",共有用1!D157&amp;"/"&amp;COUNTIF(共有用1!D$2:D157,共有用1!D157))</f>
        <v/>
      </c>
      <c r="E157" s="17" t="str">
        <f>IF(共有用1!E157="","",共有用1!E157&amp;"/"&amp;COUNTIF(共有用1!E$2:E157,共有用1!E157))</f>
        <v/>
      </c>
      <c r="F157" s="17" t="str">
        <f>IF(共有用1!F157="","",共有用1!F157&amp;"/"&amp;COUNTIF(共有用1!F$2:F157,共有用1!F157))</f>
        <v/>
      </c>
      <c r="G157" s="17" t="str">
        <f>IF(共有用1!G157="","",共有用1!G157&amp;"/"&amp;COUNTIF(共有用1!G$2:G157,共有用1!G157))</f>
        <v/>
      </c>
      <c r="H157" s="17" t="str">
        <f>IF(共有用1!H157="","",共有用1!H157&amp;"/"&amp;COUNTIF(共有用1!H$2:H157,共有用1!H157))</f>
        <v/>
      </c>
      <c r="I157" s="17" t="str">
        <f>IF(共有用1!I157="","",共有用1!I157&amp;"/"&amp;COUNTIF(共有用1!I$2:I157,共有用1!I157))</f>
        <v/>
      </c>
      <c r="J157" s="17" t="str">
        <f>IF(共有用1!J157="","",共有用1!J157&amp;"/"&amp;COUNTIF(共有用1!J$2:J157,共有用1!J157))</f>
        <v/>
      </c>
      <c r="K157" s="17" t="str">
        <f>IF(共有用1!K157="","",共有用1!K157&amp;"/"&amp;COUNTIF(共有用1!K$2:K157,共有用1!K157))</f>
        <v/>
      </c>
      <c r="L157" s="17" t="str">
        <f>IF(共有用1!L157="","",共有用1!L157&amp;"/"&amp;COUNTIF(共有用1!L$2:L157,共有用1!L157))</f>
        <v/>
      </c>
      <c r="M157" s="17" t="str">
        <f>IF(共有用1!M157="","",共有用1!M157&amp;"/"&amp;COUNTIF(共有用1!M$2:M157,共有用1!M157))</f>
        <v/>
      </c>
      <c r="N157" s="17" t="str">
        <f>IF(共有用1!N157="","",共有用1!N157&amp;"/"&amp;COUNTIF(共有用1!N$2:N157,共有用1!N157))</f>
        <v/>
      </c>
      <c r="O157" s="17" t="str">
        <f>IF(共有用1!O157="","",共有用1!O157&amp;"/"&amp;COUNTIF(共有用1!O$2:O157,共有用1!O157))</f>
        <v/>
      </c>
      <c r="P157" s="17" t="str">
        <f>IF(共有用1!P157="","",共有用1!P157&amp;"/"&amp;COUNTIF(共有用1!P$2:P157,共有用1!P157))</f>
        <v/>
      </c>
      <c r="Q157" s="17" t="str">
        <f>IF(共有用1!Q157="","",共有用1!Q157&amp;"/"&amp;COUNTIF(共有用1!Q$2:Q157,共有用1!Q157))</f>
        <v/>
      </c>
      <c r="R157" s="17" t="str">
        <f>IF(共有用1!R157="","",共有用1!R157&amp;"/"&amp;COUNTIF(共有用1!R$2:R157,共有用1!R157))</f>
        <v/>
      </c>
      <c r="S157" s="17" t="str">
        <f>IF(共有用1!S157="","",共有用1!S157&amp;"/"&amp;COUNTIF(共有用1!S$2:S157,共有用1!S157))</f>
        <v/>
      </c>
      <c r="T157" s="17" t="str">
        <f>IF(共有用1!T157="","",共有用1!T157&amp;"/"&amp;COUNTIF(共有用1!T$2:T157,共有用1!T157))</f>
        <v/>
      </c>
      <c r="U157" s="17" t="str">
        <f>IF(共有用1!U157="","",共有用1!U157&amp;"/"&amp;COUNTIF(共有用1!U$2:U157,共有用1!U157))</f>
        <v/>
      </c>
      <c r="V157" s="17" t="str">
        <f>IF(共有用1!V157="","",共有用1!V157&amp;"/"&amp;COUNTIF(共有用1!V$2:V157,共有用1!V157))</f>
        <v/>
      </c>
      <c r="W157" s="17" t="str">
        <f>IF(共有用1!W157="","",共有用1!W157&amp;"/"&amp;COUNTIF(共有用1!W$2:W157,共有用1!W157))</f>
        <v/>
      </c>
      <c r="X157" s="17" t="str">
        <f>IF(共有用1!X157="","",共有用1!X157&amp;"/"&amp;COUNTIF(共有用1!X$2:X157,共有用1!X157))</f>
        <v/>
      </c>
      <c r="Y157" s="17" t="str">
        <f>IF(共有用1!Y157="","",共有用1!Y157&amp;"/"&amp;COUNTIF(共有用1!Y$2:Y157,共有用1!Y157))</f>
        <v/>
      </c>
      <c r="Z157" s="17" t="str">
        <f>IF(共有用1!Z157="","",共有用1!Z157&amp;"/"&amp;COUNTIF(共有用1!Z$2:Z157,共有用1!Z157))</f>
        <v/>
      </c>
      <c r="AA157" s="17" t="str">
        <f>IF(共有用1!AA157="","",共有用1!AA157&amp;"/"&amp;COUNTIF(共有用1!AA$2:AA157,共有用1!AA157))</f>
        <v/>
      </c>
      <c r="AB157" s="17" t="str">
        <f>IF(共有用1!AB157="","",共有用1!AB157&amp;"/"&amp;COUNTIF(共有用1!AB$2:AB157,共有用1!AB157))</f>
        <v/>
      </c>
      <c r="AC157" s="17" t="str">
        <f>IF(共有用1!AC157="","",共有用1!AC157&amp;"/"&amp;COUNTIF(共有用1!AC$2:AC157,共有用1!AC157))</f>
        <v/>
      </c>
      <c r="AD157" s="17" t="str">
        <f>IF(共有用1!AD157="","",共有用1!AD157&amp;"/"&amp;COUNTIF(共有用1!AD$2:AD157,共有用1!AD157))</f>
        <v/>
      </c>
      <c r="AE157" s="17" t="str">
        <f>IF(共有用1!AE157="","",共有用1!AE157&amp;"/"&amp;COUNTIF(共有用1!AE$2:AE157,共有用1!AE157))</f>
        <v/>
      </c>
      <c r="AF157" s="17" t="str">
        <f>IF(共有用1!AF157="","",共有用1!AF157&amp;"/"&amp;COUNTIF(共有用1!AF$2:AF157,共有用1!AF157))</f>
        <v/>
      </c>
      <c r="AG157" s="17" t="str">
        <f>IF(共有用1!AG157="","",共有用1!AG157&amp;"/"&amp;COUNTIF(共有用1!AG$2:AG157,共有用1!AG157))</f>
        <v/>
      </c>
      <c r="AH157" s="17" t="str">
        <f>IF(共有用1!AH157="","",共有用1!AH157&amp;"/"&amp;COUNTIF(共有用1!AH$2:AH157,共有用1!AH157))</f>
        <v/>
      </c>
      <c r="AI157" s="17" t="str">
        <f>IF(共有用1!AI157="","",共有用1!AI157&amp;"/"&amp;COUNTIF(共有用1!AI$2:AI157,共有用1!AI157))</f>
        <v/>
      </c>
      <c r="AJ157" s="17" t="str">
        <f>IF(共有用1!AJ157="","",共有用1!AJ157&amp;"/"&amp;COUNTIF(共有用1!AJ$2:AJ157,共有用1!AJ157))</f>
        <v/>
      </c>
      <c r="AK157" s="17" t="str">
        <f>IF(共有用1!AK157="","",共有用1!AK157&amp;"/"&amp;COUNTIF(共有用1!AK$2:AK157,共有用1!AK157))</f>
        <v/>
      </c>
      <c r="AL157" s="17" t="str">
        <f>IF(共有用1!AL157="","",共有用1!AL157&amp;"/"&amp;COUNTIF(共有用1!AL$2:AL157,共有用1!AL157))</f>
        <v/>
      </c>
      <c r="AM157" s="17" t="str">
        <f>IF(共有用1!AM157="","",共有用1!AM157&amp;"/"&amp;COUNTIF(共有用1!AM$2:AM157,共有用1!AM157))</f>
        <v/>
      </c>
      <c r="AN157" s="17" t="str">
        <f>IF(共有用1!AN157="","",共有用1!AN157&amp;"/"&amp;COUNTIF(共有用1!AN$2:AN157,共有用1!AN157))</f>
        <v/>
      </c>
      <c r="AO157" s="17" t="str">
        <f>IF(共有用1!AO157="","",共有用1!AO157&amp;"/"&amp;COUNTIF(共有用1!AO$2:AO157,共有用1!AO157))</f>
        <v/>
      </c>
      <c r="AP157" s="17" t="str">
        <f>IF(共有用1!AP157="","",共有用1!AP157&amp;"/"&amp;COUNTIF(共有用1!AP$2:AP157,共有用1!AP157))</f>
        <v/>
      </c>
      <c r="AQ157" s="17" t="str">
        <f>IF(共有用1!AQ157="","",共有用1!AQ157&amp;"/"&amp;COUNTIF(共有用1!AQ$2:AQ157,共有用1!AQ157))</f>
        <v/>
      </c>
      <c r="AR157" s="17" t="str">
        <f>IF(共有用1!AR157="","",共有用1!AR157&amp;"/"&amp;COUNTIF(共有用1!AR$2:AR157,共有用1!AR157))</f>
        <v/>
      </c>
      <c r="AS157" s="17" t="str">
        <f>IF(共有用1!AS157="","",共有用1!AS157&amp;"/"&amp;COUNTIF(共有用1!AS$2:AS157,共有用1!AS157))</f>
        <v/>
      </c>
      <c r="AT157" s="17" t="str">
        <f>IF(共有用1!AT157="","",共有用1!AT157&amp;"/"&amp;COUNTIF(共有用1!AT$2:AT157,共有用1!AT157))</f>
        <v/>
      </c>
      <c r="AU157" s="17" t="str">
        <f>IF(共有用1!AU157="","",共有用1!AU157&amp;"/"&amp;COUNTIF(共有用1!AU$2:AU157,共有用1!AU157))</f>
        <v/>
      </c>
      <c r="AV157" s="17" t="str">
        <f>IF(共有用1!AV157="","",共有用1!AV157&amp;"/"&amp;COUNTIF(共有用1!AV$2:AV157,共有用1!AV157))</f>
        <v/>
      </c>
      <c r="AW157" s="17" t="str">
        <f>IF(共有用1!AW157="","",共有用1!AW157&amp;"/"&amp;COUNTIF(共有用1!AW$2:AW157,共有用1!AW157))</f>
        <v/>
      </c>
      <c r="AX157" s="17" t="str">
        <f>IF(共有用1!AX157="","",共有用1!AX157&amp;"/"&amp;COUNTIF(共有用1!AX$2:AX157,共有用1!AX157))</f>
        <v/>
      </c>
      <c r="AY157" s="17" t="str">
        <f>IF(共有用1!AY157="","",共有用1!AY157&amp;"/"&amp;COUNTIF(共有用1!AY$2:AY157,共有用1!AY157))</f>
        <v/>
      </c>
      <c r="AZ157" s="17" t="str">
        <f>IF(共有用1!AZ157="","",共有用1!AZ157&amp;"/"&amp;COUNTIF(共有用1!AZ$2:AZ157,共有用1!AZ157))</f>
        <v/>
      </c>
      <c r="BA157" s="17" t="str">
        <f>IF(共有用1!BA157="","",共有用1!BA157&amp;"/"&amp;COUNTIF(共有用1!BA$2:BA157,共有用1!BA157))</f>
        <v/>
      </c>
    </row>
    <row r="158" spans="1:53">
      <c r="A158" s="2" t="str">
        <f>共有用1!A158</f>
        <v/>
      </c>
      <c r="B158" s="2" t="str">
        <f>共有用1!B158</f>
        <v/>
      </c>
      <c r="C158" s="2" t="str">
        <f>共有用1!C158</f>
        <v/>
      </c>
      <c r="D158" s="17" t="str">
        <f>IF(共有用1!D158="","",共有用1!D158&amp;"/"&amp;COUNTIF(共有用1!D$2:D158,共有用1!D158))</f>
        <v/>
      </c>
      <c r="E158" s="17" t="str">
        <f>IF(共有用1!E158="","",共有用1!E158&amp;"/"&amp;COUNTIF(共有用1!E$2:E158,共有用1!E158))</f>
        <v/>
      </c>
      <c r="F158" s="17" t="str">
        <f>IF(共有用1!F158="","",共有用1!F158&amp;"/"&amp;COUNTIF(共有用1!F$2:F158,共有用1!F158))</f>
        <v/>
      </c>
      <c r="G158" s="17" t="str">
        <f>IF(共有用1!G158="","",共有用1!G158&amp;"/"&amp;COUNTIF(共有用1!G$2:G158,共有用1!G158))</f>
        <v/>
      </c>
      <c r="H158" s="17" t="str">
        <f>IF(共有用1!H158="","",共有用1!H158&amp;"/"&amp;COUNTIF(共有用1!H$2:H158,共有用1!H158))</f>
        <v/>
      </c>
      <c r="I158" s="17" t="str">
        <f>IF(共有用1!I158="","",共有用1!I158&amp;"/"&amp;COUNTIF(共有用1!I$2:I158,共有用1!I158))</f>
        <v/>
      </c>
      <c r="J158" s="17" t="str">
        <f>IF(共有用1!J158="","",共有用1!J158&amp;"/"&amp;COUNTIF(共有用1!J$2:J158,共有用1!J158))</f>
        <v/>
      </c>
      <c r="K158" s="17" t="str">
        <f>IF(共有用1!K158="","",共有用1!K158&amp;"/"&amp;COUNTIF(共有用1!K$2:K158,共有用1!K158))</f>
        <v/>
      </c>
      <c r="L158" s="17" t="str">
        <f>IF(共有用1!L158="","",共有用1!L158&amp;"/"&amp;COUNTIF(共有用1!L$2:L158,共有用1!L158))</f>
        <v/>
      </c>
      <c r="M158" s="17" t="str">
        <f>IF(共有用1!M158="","",共有用1!M158&amp;"/"&amp;COUNTIF(共有用1!M$2:M158,共有用1!M158))</f>
        <v/>
      </c>
      <c r="N158" s="17" t="str">
        <f>IF(共有用1!N158="","",共有用1!N158&amp;"/"&amp;COUNTIF(共有用1!N$2:N158,共有用1!N158))</f>
        <v/>
      </c>
      <c r="O158" s="17" t="str">
        <f>IF(共有用1!O158="","",共有用1!O158&amp;"/"&amp;COUNTIF(共有用1!O$2:O158,共有用1!O158))</f>
        <v/>
      </c>
      <c r="P158" s="17" t="str">
        <f>IF(共有用1!P158="","",共有用1!P158&amp;"/"&amp;COUNTIF(共有用1!P$2:P158,共有用1!P158))</f>
        <v/>
      </c>
      <c r="Q158" s="17" t="str">
        <f>IF(共有用1!Q158="","",共有用1!Q158&amp;"/"&amp;COUNTIF(共有用1!Q$2:Q158,共有用1!Q158))</f>
        <v/>
      </c>
      <c r="R158" s="17" t="str">
        <f>IF(共有用1!R158="","",共有用1!R158&amp;"/"&amp;COUNTIF(共有用1!R$2:R158,共有用1!R158))</f>
        <v/>
      </c>
      <c r="S158" s="17" t="str">
        <f>IF(共有用1!S158="","",共有用1!S158&amp;"/"&amp;COUNTIF(共有用1!S$2:S158,共有用1!S158))</f>
        <v/>
      </c>
      <c r="T158" s="17" t="str">
        <f>IF(共有用1!T158="","",共有用1!T158&amp;"/"&amp;COUNTIF(共有用1!T$2:T158,共有用1!T158))</f>
        <v/>
      </c>
      <c r="U158" s="17" t="str">
        <f>IF(共有用1!U158="","",共有用1!U158&amp;"/"&amp;COUNTIF(共有用1!U$2:U158,共有用1!U158))</f>
        <v/>
      </c>
      <c r="V158" s="17" t="str">
        <f>IF(共有用1!V158="","",共有用1!V158&amp;"/"&amp;COUNTIF(共有用1!V$2:V158,共有用1!V158))</f>
        <v/>
      </c>
      <c r="W158" s="17" t="str">
        <f>IF(共有用1!W158="","",共有用1!W158&amp;"/"&amp;COUNTIF(共有用1!W$2:W158,共有用1!W158))</f>
        <v/>
      </c>
      <c r="X158" s="17" t="str">
        <f>IF(共有用1!X158="","",共有用1!X158&amp;"/"&amp;COUNTIF(共有用1!X$2:X158,共有用1!X158))</f>
        <v/>
      </c>
      <c r="Y158" s="17" t="str">
        <f>IF(共有用1!Y158="","",共有用1!Y158&amp;"/"&amp;COUNTIF(共有用1!Y$2:Y158,共有用1!Y158))</f>
        <v/>
      </c>
      <c r="Z158" s="17" t="str">
        <f>IF(共有用1!Z158="","",共有用1!Z158&amp;"/"&amp;COUNTIF(共有用1!Z$2:Z158,共有用1!Z158))</f>
        <v/>
      </c>
      <c r="AA158" s="17" t="str">
        <f>IF(共有用1!AA158="","",共有用1!AA158&amp;"/"&amp;COUNTIF(共有用1!AA$2:AA158,共有用1!AA158))</f>
        <v/>
      </c>
      <c r="AB158" s="17" t="str">
        <f>IF(共有用1!AB158="","",共有用1!AB158&amp;"/"&amp;COUNTIF(共有用1!AB$2:AB158,共有用1!AB158))</f>
        <v/>
      </c>
      <c r="AC158" s="17" t="str">
        <f>IF(共有用1!AC158="","",共有用1!AC158&amp;"/"&amp;COUNTIF(共有用1!AC$2:AC158,共有用1!AC158))</f>
        <v/>
      </c>
      <c r="AD158" s="17" t="str">
        <f>IF(共有用1!AD158="","",共有用1!AD158&amp;"/"&amp;COUNTIF(共有用1!AD$2:AD158,共有用1!AD158))</f>
        <v/>
      </c>
      <c r="AE158" s="17" t="str">
        <f>IF(共有用1!AE158="","",共有用1!AE158&amp;"/"&amp;COUNTIF(共有用1!AE$2:AE158,共有用1!AE158))</f>
        <v/>
      </c>
      <c r="AF158" s="17" t="str">
        <f>IF(共有用1!AF158="","",共有用1!AF158&amp;"/"&amp;COUNTIF(共有用1!AF$2:AF158,共有用1!AF158))</f>
        <v/>
      </c>
      <c r="AG158" s="17" t="str">
        <f>IF(共有用1!AG158="","",共有用1!AG158&amp;"/"&amp;COUNTIF(共有用1!AG$2:AG158,共有用1!AG158))</f>
        <v/>
      </c>
      <c r="AH158" s="17" t="str">
        <f>IF(共有用1!AH158="","",共有用1!AH158&amp;"/"&amp;COUNTIF(共有用1!AH$2:AH158,共有用1!AH158))</f>
        <v/>
      </c>
      <c r="AI158" s="17" t="str">
        <f>IF(共有用1!AI158="","",共有用1!AI158&amp;"/"&amp;COUNTIF(共有用1!AI$2:AI158,共有用1!AI158))</f>
        <v/>
      </c>
      <c r="AJ158" s="17" t="str">
        <f>IF(共有用1!AJ158="","",共有用1!AJ158&amp;"/"&amp;COUNTIF(共有用1!AJ$2:AJ158,共有用1!AJ158))</f>
        <v/>
      </c>
      <c r="AK158" s="17" t="str">
        <f>IF(共有用1!AK158="","",共有用1!AK158&amp;"/"&amp;COUNTIF(共有用1!AK$2:AK158,共有用1!AK158))</f>
        <v/>
      </c>
      <c r="AL158" s="17" t="str">
        <f>IF(共有用1!AL158="","",共有用1!AL158&amp;"/"&amp;COUNTIF(共有用1!AL$2:AL158,共有用1!AL158))</f>
        <v/>
      </c>
      <c r="AM158" s="17" t="str">
        <f>IF(共有用1!AM158="","",共有用1!AM158&amp;"/"&amp;COUNTIF(共有用1!AM$2:AM158,共有用1!AM158))</f>
        <v/>
      </c>
      <c r="AN158" s="17" t="str">
        <f>IF(共有用1!AN158="","",共有用1!AN158&amp;"/"&amp;COUNTIF(共有用1!AN$2:AN158,共有用1!AN158))</f>
        <v/>
      </c>
      <c r="AO158" s="17" t="str">
        <f>IF(共有用1!AO158="","",共有用1!AO158&amp;"/"&amp;COUNTIF(共有用1!AO$2:AO158,共有用1!AO158))</f>
        <v/>
      </c>
      <c r="AP158" s="17" t="str">
        <f>IF(共有用1!AP158="","",共有用1!AP158&amp;"/"&amp;COUNTIF(共有用1!AP$2:AP158,共有用1!AP158))</f>
        <v/>
      </c>
      <c r="AQ158" s="17" t="str">
        <f>IF(共有用1!AQ158="","",共有用1!AQ158&amp;"/"&amp;COUNTIF(共有用1!AQ$2:AQ158,共有用1!AQ158))</f>
        <v/>
      </c>
      <c r="AR158" s="17" t="str">
        <f>IF(共有用1!AR158="","",共有用1!AR158&amp;"/"&amp;COUNTIF(共有用1!AR$2:AR158,共有用1!AR158))</f>
        <v/>
      </c>
      <c r="AS158" s="17" t="str">
        <f>IF(共有用1!AS158="","",共有用1!AS158&amp;"/"&amp;COUNTIF(共有用1!AS$2:AS158,共有用1!AS158))</f>
        <v/>
      </c>
      <c r="AT158" s="17" t="str">
        <f>IF(共有用1!AT158="","",共有用1!AT158&amp;"/"&amp;COUNTIF(共有用1!AT$2:AT158,共有用1!AT158))</f>
        <v/>
      </c>
      <c r="AU158" s="17" t="str">
        <f>IF(共有用1!AU158="","",共有用1!AU158&amp;"/"&amp;COUNTIF(共有用1!AU$2:AU158,共有用1!AU158))</f>
        <v/>
      </c>
      <c r="AV158" s="17" t="str">
        <f>IF(共有用1!AV158="","",共有用1!AV158&amp;"/"&amp;COUNTIF(共有用1!AV$2:AV158,共有用1!AV158))</f>
        <v/>
      </c>
      <c r="AW158" s="17" t="str">
        <f>IF(共有用1!AW158="","",共有用1!AW158&amp;"/"&amp;COUNTIF(共有用1!AW$2:AW158,共有用1!AW158))</f>
        <v/>
      </c>
      <c r="AX158" s="17" t="str">
        <f>IF(共有用1!AX158="","",共有用1!AX158&amp;"/"&amp;COUNTIF(共有用1!AX$2:AX158,共有用1!AX158))</f>
        <v/>
      </c>
      <c r="AY158" s="17" t="str">
        <f>IF(共有用1!AY158="","",共有用1!AY158&amp;"/"&amp;COUNTIF(共有用1!AY$2:AY158,共有用1!AY158))</f>
        <v/>
      </c>
      <c r="AZ158" s="17" t="str">
        <f>IF(共有用1!AZ158="","",共有用1!AZ158&amp;"/"&amp;COUNTIF(共有用1!AZ$2:AZ158,共有用1!AZ158))</f>
        <v/>
      </c>
      <c r="BA158" s="17" t="str">
        <f>IF(共有用1!BA158="","",共有用1!BA158&amp;"/"&amp;COUNTIF(共有用1!BA$2:BA158,共有用1!BA158))</f>
        <v/>
      </c>
    </row>
    <row r="159" spans="1:53">
      <c r="A159" s="2" t="str">
        <f>共有用1!A159</f>
        <v/>
      </c>
      <c r="B159" s="2" t="str">
        <f>共有用1!B159</f>
        <v/>
      </c>
      <c r="C159" s="2" t="str">
        <f>共有用1!C159</f>
        <v/>
      </c>
      <c r="D159" s="17" t="str">
        <f>IF(共有用1!D159="","",共有用1!D159&amp;"/"&amp;COUNTIF(共有用1!D$2:D159,共有用1!D159))</f>
        <v/>
      </c>
      <c r="E159" s="17" t="str">
        <f>IF(共有用1!E159="","",共有用1!E159&amp;"/"&amp;COUNTIF(共有用1!E$2:E159,共有用1!E159))</f>
        <v/>
      </c>
      <c r="F159" s="17" t="str">
        <f>IF(共有用1!F159="","",共有用1!F159&amp;"/"&amp;COUNTIF(共有用1!F$2:F159,共有用1!F159))</f>
        <v/>
      </c>
      <c r="G159" s="17" t="str">
        <f>IF(共有用1!G159="","",共有用1!G159&amp;"/"&amp;COUNTIF(共有用1!G$2:G159,共有用1!G159))</f>
        <v/>
      </c>
      <c r="H159" s="17" t="str">
        <f>IF(共有用1!H159="","",共有用1!H159&amp;"/"&amp;COUNTIF(共有用1!H$2:H159,共有用1!H159))</f>
        <v/>
      </c>
      <c r="I159" s="17" t="str">
        <f>IF(共有用1!I159="","",共有用1!I159&amp;"/"&amp;COUNTIF(共有用1!I$2:I159,共有用1!I159))</f>
        <v/>
      </c>
      <c r="J159" s="17" t="str">
        <f>IF(共有用1!J159="","",共有用1!J159&amp;"/"&amp;COUNTIF(共有用1!J$2:J159,共有用1!J159))</f>
        <v/>
      </c>
      <c r="K159" s="17" t="str">
        <f>IF(共有用1!K159="","",共有用1!K159&amp;"/"&amp;COUNTIF(共有用1!K$2:K159,共有用1!K159))</f>
        <v/>
      </c>
      <c r="L159" s="17" t="str">
        <f>IF(共有用1!L159="","",共有用1!L159&amp;"/"&amp;COUNTIF(共有用1!L$2:L159,共有用1!L159))</f>
        <v/>
      </c>
      <c r="M159" s="17" t="str">
        <f>IF(共有用1!M159="","",共有用1!M159&amp;"/"&amp;COUNTIF(共有用1!M$2:M159,共有用1!M159))</f>
        <v/>
      </c>
      <c r="N159" s="17" t="str">
        <f>IF(共有用1!N159="","",共有用1!N159&amp;"/"&amp;COUNTIF(共有用1!N$2:N159,共有用1!N159))</f>
        <v/>
      </c>
      <c r="O159" s="17" t="str">
        <f>IF(共有用1!O159="","",共有用1!O159&amp;"/"&amp;COUNTIF(共有用1!O$2:O159,共有用1!O159))</f>
        <v/>
      </c>
      <c r="P159" s="17" t="str">
        <f>IF(共有用1!P159="","",共有用1!P159&amp;"/"&amp;COUNTIF(共有用1!P$2:P159,共有用1!P159))</f>
        <v/>
      </c>
      <c r="Q159" s="17" t="str">
        <f>IF(共有用1!Q159="","",共有用1!Q159&amp;"/"&amp;COUNTIF(共有用1!Q$2:Q159,共有用1!Q159))</f>
        <v/>
      </c>
      <c r="R159" s="17" t="str">
        <f>IF(共有用1!R159="","",共有用1!R159&amp;"/"&amp;COUNTIF(共有用1!R$2:R159,共有用1!R159))</f>
        <v/>
      </c>
      <c r="S159" s="17" t="str">
        <f>IF(共有用1!S159="","",共有用1!S159&amp;"/"&amp;COUNTIF(共有用1!S$2:S159,共有用1!S159))</f>
        <v/>
      </c>
      <c r="T159" s="17" t="str">
        <f>IF(共有用1!T159="","",共有用1!T159&amp;"/"&amp;COUNTIF(共有用1!T$2:T159,共有用1!T159))</f>
        <v/>
      </c>
      <c r="U159" s="17" t="str">
        <f>IF(共有用1!U159="","",共有用1!U159&amp;"/"&amp;COUNTIF(共有用1!U$2:U159,共有用1!U159))</f>
        <v/>
      </c>
      <c r="V159" s="17" t="str">
        <f>IF(共有用1!V159="","",共有用1!V159&amp;"/"&amp;COUNTIF(共有用1!V$2:V159,共有用1!V159))</f>
        <v/>
      </c>
      <c r="W159" s="17" t="str">
        <f>IF(共有用1!W159="","",共有用1!W159&amp;"/"&amp;COUNTIF(共有用1!W$2:W159,共有用1!W159))</f>
        <v/>
      </c>
      <c r="X159" s="17" t="str">
        <f>IF(共有用1!X159="","",共有用1!X159&amp;"/"&amp;COUNTIF(共有用1!X$2:X159,共有用1!X159))</f>
        <v/>
      </c>
      <c r="Y159" s="17" t="str">
        <f>IF(共有用1!Y159="","",共有用1!Y159&amp;"/"&amp;COUNTIF(共有用1!Y$2:Y159,共有用1!Y159))</f>
        <v/>
      </c>
      <c r="Z159" s="17" t="str">
        <f>IF(共有用1!Z159="","",共有用1!Z159&amp;"/"&amp;COUNTIF(共有用1!Z$2:Z159,共有用1!Z159))</f>
        <v/>
      </c>
      <c r="AA159" s="17" t="str">
        <f>IF(共有用1!AA159="","",共有用1!AA159&amp;"/"&amp;COUNTIF(共有用1!AA$2:AA159,共有用1!AA159))</f>
        <v/>
      </c>
      <c r="AB159" s="17" t="str">
        <f>IF(共有用1!AB159="","",共有用1!AB159&amp;"/"&amp;COUNTIF(共有用1!AB$2:AB159,共有用1!AB159))</f>
        <v/>
      </c>
      <c r="AC159" s="17" t="str">
        <f>IF(共有用1!AC159="","",共有用1!AC159&amp;"/"&amp;COUNTIF(共有用1!AC$2:AC159,共有用1!AC159))</f>
        <v/>
      </c>
      <c r="AD159" s="17" t="str">
        <f>IF(共有用1!AD159="","",共有用1!AD159&amp;"/"&amp;COUNTIF(共有用1!AD$2:AD159,共有用1!AD159))</f>
        <v/>
      </c>
      <c r="AE159" s="17" t="str">
        <f>IF(共有用1!AE159="","",共有用1!AE159&amp;"/"&amp;COUNTIF(共有用1!AE$2:AE159,共有用1!AE159))</f>
        <v/>
      </c>
      <c r="AF159" s="17" t="str">
        <f>IF(共有用1!AF159="","",共有用1!AF159&amp;"/"&amp;COUNTIF(共有用1!AF$2:AF159,共有用1!AF159))</f>
        <v/>
      </c>
      <c r="AG159" s="17" t="str">
        <f>IF(共有用1!AG159="","",共有用1!AG159&amp;"/"&amp;COUNTIF(共有用1!AG$2:AG159,共有用1!AG159))</f>
        <v/>
      </c>
      <c r="AH159" s="17" t="str">
        <f>IF(共有用1!AH159="","",共有用1!AH159&amp;"/"&amp;COUNTIF(共有用1!AH$2:AH159,共有用1!AH159))</f>
        <v/>
      </c>
      <c r="AI159" s="17" t="str">
        <f>IF(共有用1!AI159="","",共有用1!AI159&amp;"/"&amp;COUNTIF(共有用1!AI$2:AI159,共有用1!AI159))</f>
        <v/>
      </c>
      <c r="AJ159" s="17" t="str">
        <f>IF(共有用1!AJ159="","",共有用1!AJ159&amp;"/"&amp;COUNTIF(共有用1!AJ$2:AJ159,共有用1!AJ159))</f>
        <v/>
      </c>
      <c r="AK159" s="17" t="str">
        <f>IF(共有用1!AK159="","",共有用1!AK159&amp;"/"&amp;COUNTIF(共有用1!AK$2:AK159,共有用1!AK159))</f>
        <v/>
      </c>
      <c r="AL159" s="17" t="str">
        <f>IF(共有用1!AL159="","",共有用1!AL159&amp;"/"&amp;COUNTIF(共有用1!AL$2:AL159,共有用1!AL159))</f>
        <v/>
      </c>
      <c r="AM159" s="17" t="str">
        <f>IF(共有用1!AM159="","",共有用1!AM159&amp;"/"&amp;COUNTIF(共有用1!AM$2:AM159,共有用1!AM159))</f>
        <v/>
      </c>
      <c r="AN159" s="17" t="str">
        <f>IF(共有用1!AN159="","",共有用1!AN159&amp;"/"&amp;COUNTIF(共有用1!AN$2:AN159,共有用1!AN159))</f>
        <v/>
      </c>
      <c r="AO159" s="17" t="str">
        <f>IF(共有用1!AO159="","",共有用1!AO159&amp;"/"&amp;COUNTIF(共有用1!AO$2:AO159,共有用1!AO159))</f>
        <v/>
      </c>
      <c r="AP159" s="17" t="str">
        <f>IF(共有用1!AP159="","",共有用1!AP159&amp;"/"&amp;COUNTIF(共有用1!AP$2:AP159,共有用1!AP159))</f>
        <v/>
      </c>
      <c r="AQ159" s="17" t="str">
        <f>IF(共有用1!AQ159="","",共有用1!AQ159&amp;"/"&amp;COUNTIF(共有用1!AQ$2:AQ159,共有用1!AQ159))</f>
        <v/>
      </c>
      <c r="AR159" s="17" t="str">
        <f>IF(共有用1!AR159="","",共有用1!AR159&amp;"/"&amp;COUNTIF(共有用1!AR$2:AR159,共有用1!AR159))</f>
        <v/>
      </c>
      <c r="AS159" s="17" t="str">
        <f>IF(共有用1!AS159="","",共有用1!AS159&amp;"/"&amp;COUNTIF(共有用1!AS$2:AS159,共有用1!AS159))</f>
        <v/>
      </c>
      <c r="AT159" s="17" t="str">
        <f>IF(共有用1!AT159="","",共有用1!AT159&amp;"/"&amp;COUNTIF(共有用1!AT$2:AT159,共有用1!AT159))</f>
        <v/>
      </c>
      <c r="AU159" s="17" t="str">
        <f>IF(共有用1!AU159="","",共有用1!AU159&amp;"/"&amp;COUNTIF(共有用1!AU$2:AU159,共有用1!AU159))</f>
        <v/>
      </c>
      <c r="AV159" s="17" t="str">
        <f>IF(共有用1!AV159="","",共有用1!AV159&amp;"/"&amp;COUNTIF(共有用1!AV$2:AV159,共有用1!AV159))</f>
        <v/>
      </c>
      <c r="AW159" s="17" t="str">
        <f>IF(共有用1!AW159="","",共有用1!AW159&amp;"/"&amp;COUNTIF(共有用1!AW$2:AW159,共有用1!AW159))</f>
        <v/>
      </c>
      <c r="AX159" s="17" t="str">
        <f>IF(共有用1!AX159="","",共有用1!AX159&amp;"/"&amp;COUNTIF(共有用1!AX$2:AX159,共有用1!AX159))</f>
        <v/>
      </c>
      <c r="AY159" s="17" t="str">
        <f>IF(共有用1!AY159="","",共有用1!AY159&amp;"/"&amp;COUNTIF(共有用1!AY$2:AY159,共有用1!AY159))</f>
        <v/>
      </c>
      <c r="AZ159" s="17" t="str">
        <f>IF(共有用1!AZ159="","",共有用1!AZ159&amp;"/"&amp;COUNTIF(共有用1!AZ$2:AZ159,共有用1!AZ159))</f>
        <v/>
      </c>
      <c r="BA159" s="17" t="str">
        <f>IF(共有用1!BA159="","",共有用1!BA159&amp;"/"&amp;COUNTIF(共有用1!BA$2:BA159,共有用1!BA159))</f>
        <v/>
      </c>
    </row>
    <row r="160" spans="1:53">
      <c r="A160" s="2" t="str">
        <f>共有用1!A160</f>
        <v/>
      </c>
      <c r="B160" s="2" t="str">
        <f>共有用1!B160</f>
        <v/>
      </c>
      <c r="C160" s="2" t="str">
        <f>共有用1!C160</f>
        <v/>
      </c>
      <c r="D160" s="17" t="str">
        <f>IF(共有用1!D160="","",共有用1!D160&amp;"/"&amp;COUNTIF(共有用1!D$2:D160,共有用1!D160))</f>
        <v/>
      </c>
      <c r="E160" s="17" t="str">
        <f>IF(共有用1!E160="","",共有用1!E160&amp;"/"&amp;COUNTIF(共有用1!E$2:E160,共有用1!E160))</f>
        <v/>
      </c>
      <c r="F160" s="17" t="str">
        <f>IF(共有用1!F160="","",共有用1!F160&amp;"/"&amp;COUNTIF(共有用1!F$2:F160,共有用1!F160))</f>
        <v/>
      </c>
      <c r="G160" s="17" t="str">
        <f>IF(共有用1!G160="","",共有用1!G160&amp;"/"&amp;COUNTIF(共有用1!G$2:G160,共有用1!G160))</f>
        <v/>
      </c>
      <c r="H160" s="17" t="str">
        <f>IF(共有用1!H160="","",共有用1!H160&amp;"/"&amp;COUNTIF(共有用1!H$2:H160,共有用1!H160))</f>
        <v/>
      </c>
      <c r="I160" s="17" t="str">
        <f>IF(共有用1!I160="","",共有用1!I160&amp;"/"&amp;COUNTIF(共有用1!I$2:I160,共有用1!I160))</f>
        <v/>
      </c>
      <c r="J160" s="17" t="str">
        <f>IF(共有用1!J160="","",共有用1!J160&amp;"/"&amp;COUNTIF(共有用1!J$2:J160,共有用1!J160))</f>
        <v/>
      </c>
      <c r="K160" s="17" t="str">
        <f>IF(共有用1!K160="","",共有用1!K160&amp;"/"&amp;COUNTIF(共有用1!K$2:K160,共有用1!K160))</f>
        <v/>
      </c>
      <c r="L160" s="17" t="str">
        <f>IF(共有用1!L160="","",共有用1!L160&amp;"/"&amp;COUNTIF(共有用1!L$2:L160,共有用1!L160))</f>
        <v/>
      </c>
      <c r="M160" s="17" t="str">
        <f>IF(共有用1!M160="","",共有用1!M160&amp;"/"&amp;COUNTIF(共有用1!M$2:M160,共有用1!M160))</f>
        <v/>
      </c>
      <c r="N160" s="17" t="str">
        <f>IF(共有用1!N160="","",共有用1!N160&amp;"/"&amp;COUNTIF(共有用1!N$2:N160,共有用1!N160))</f>
        <v/>
      </c>
      <c r="O160" s="17" t="str">
        <f>IF(共有用1!O160="","",共有用1!O160&amp;"/"&amp;COUNTIF(共有用1!O$2:O160,共有用1!O160))</f>
        <v/>
      </c>
      <c r="P160" s="17" t="str">
        <f>IF(共有用1!P160="","",共有用1!P160&amp;"/"&amp;COUNTIF(共有用1!P$2:P160,共有用1!P160))</f>
        <v/>
      </c>
      <c r="Q160" s="17" t="str">
        <f>IF(共有用1!Q160="","",共有用1!Q160&amp;"/"&amp;COUNTIF(共有用1!Q$2:Q160,共有用1!Q160))</f>
        <v/>
      </c>
      <c r="R160" s="17" t="str">
        <f>IF(共有用1!R160="","",共有用1!R160&amp;"/"&amp;COUNTIF(共有用1!R$2:R160,共有用1!R160))</f>
        <v/>
      </c>
      <c r="S160" s="17" t="str">
        <f>IF(共有用1!S160="","",共有用1!S160&amp;"/"&amp;COUNTIF(共有用1!S$2:S160,共有用1!S160))</f>
        <v/>
      </c>
      <c r="T160" s="17" t="str">
        <f>IF(共有用1!T160="","",共有用1!T160&amp;"/"&amp;COUNTIF(共有用1!T$2:T160,共有用1!T160))</f>
        <v/>
      </c>
      <c r="U160" s="17" t="str">
        <f>IF(共有用1!U160="","",共有用1!U160&amp;"/"&amp;COUNTIF(共有用1!U$2:U160,共有用1!U160))</f>
        <v/>
      </c>
      <c r="V160" s="17" t="str">
        <f>IF(共有用1!V160="","",共有用1!V160&amp;"/"&amp;COUNTIF(共有用1!V$2:V160,共有用1!V160))</f>
        <v/>
      </c>
      <c r="W160" s="17" t="str">
        <f>IF(共有用1!W160="","",共有用1!W160&amp;"/"&amp;COUNTIF(共有用1!W$2:W160,共有用1!W160))</f>
        <v/>
      </c>
      <c r="X160" s="17" t="str">
        <f>IF(共有用1!X160="","",共有用1!X160&amp;"/"&amp;COUNTIF(共有用1!X$2:X160,共有用1!X160))</f>
        <v/>
      </c>
      <c r="Y160" s="17" t="str">
        <f>IF(共有用1!Y160="","",共有用1!Y160&amp;"/"&amp;COUNTIF(共有用1!Y$2:Y160,共有用1!Y160))</f>
        <v/>
      </c>
      <c r="Z160" s="17" t="str">
        <f>IF(共有用1!Z160="","",共有用1!Z160&amp;"/"&amp;COUNTIF(共有用1!Z$2:Z160,共有用1!Z160))</f>
        <v/>
      </c>
      <c r="AA160" s="17" t="str">
        <f>IF(共有用1!AA160="","",共有用1!AA160&amp;"/"&amp;COUNTIF(共有用1!AA$2:AA160,共有用1!AA160))</f>
        <v/>
      </c>
      <c r="AB160" s="17" t="str">
        <f>IF(共有用1!AB160="","",共有用1!AB160&amp;"/"&amp;COUNTIF(共有用1!AB$2:AB160,共有用1!AB160))</f>
        <v/>
      </c>
      <c r="AC160" s="17" t="str">
        <f>IF(共有用1!AC160="","",共有用1!AC160&amp;"/"&amp;COUNTIF(共有用1!AC$2:AC160,共有用1!AC160))</f>
        <v/>
      </c>
      <c r="AD160" s="17" t="str">
        <f>IF(共有用1!AD160="","",共有用1!AD160&amp;"/"&amp;COUNTIF(共有用1!AD$2:AD160,共有用1!AD160))</f>
        <v/>
      </c>
      <c r="AE160" s="17" t="str">
        <f>IF(共有用1!AE160="","",共有用1!AE160&amp;"/"&amp;COUNTIF(共有用1!AE$2:AE160,共有用1!AE160))</f>
        <v/>
      </c>
      <c r="AF160" s="17" t="str">
        <f>IF(共有用1!AF160="","",共有用1!AF160&amp;"/"&amp;COUNTIF(共有用1!AF$2:AF160,共有用1!AF160))</f>
        <v/>
      </c>
      <c r="AG160" s="17" t="str">
        <f>IF(共有用1!AG160="","",共有用1!AG160&amp;"/"&amp;COUNTIF(共有用1!AG$2:AG160,共有用1!AG160))</f>
        <v/>
      </c>
      <c r="AH160" s="17" t="str">
        <f>IF(共有用1!AH160="","",共有用1!AH160&amp;"/"&amp;COUNTIF(共有用1!AH$2:AH160,共有用1!AH160))</f>
        <v/>
      </c>
      <c r="AI160" s="17" t="str">
        <f>IF(共有用1!AI160="","",共有用1!AI160&amp;"/"&amp;COUNTIF(共有用1!AI$2:AI160,共有用1!AI160))</f>
        <v/>
      </c>
      <c r="AJ160" s="17" t="str">
        <f>IF(共有用1!AJ160="","",共有用1!AJ160&amp;"/"&amp;COUNTIF(共有用1!AJ$2:AJ160,共有用1!AJ160))</f>
        <v/>
      </c>
      <c r="AK160" s="17" t="str">
        <f>IF(共有用1!AK160="","",共有用1!AK160&amp;"/"&amp;COUNTIF(共有用1!AK$2:AK160,共有用1!AK160))</f>
        <v/>
      </c>
      <c r="AL160" s="17" t="str">
        <f>IF(共有用1!AL160="","",共有用1!AL160&amp;"/"&amp;COUNTIF(共有用1!AL$2:AL160,共有用1!AL160))</f>
        <v/>
      </c>
      <c r="AM160" s="17" t="str">
        <f>IF(共有用1!AM160="","",共有用1!AM160&amp;"/"&amp;COUNTIF(共有用1!AM$2:AM160,共有用1!AM160))</f>
        <v/>
      </c>
      <c r="AN160" s="17" t="str">
        <f>IF(共有用1!AN160="","",共有用1!AN160&amp;"/"&amp;COUNTIF(共有用1!AN$2:AN160,共有用1!AN160))</f>
        <v/>
      </c>
      <c r="AO160" s="17" t="str">
        <f>IF(共有用1!AO160="","",共有用1!AO160&amp;"/"&amp;COUNTIF(共有用1!AO$2:AO160,共有用1!AO160))</f>
        <v/>
      </c>
      <c r="AP160" s="17" t="str">
        <f>IF(共有用1!AP160="","",共有用1!AP160&amp;"/"&amp;COUNTIF(共有用1!AP$2:AP160,共有用1!AP160))</f>
        <v/>
      </c>
      <c r="AQ160" s="17" t="str">
        <f>IF(共有用1!AQ160="","",共有用1!AQ160&amp;"/"&amp;COUNTIF(共有用1!AQ$2:AQ160,共有用1!AQ160))</f>
        <v/>
      </c>
      <c r="AR160" s="17" t="str">
        <f>IF(共有用1!AR160="","",共有用1!AR160&amp;"/"&amp;COUNTIF(共有用1!AR$2:AR160,共有用1!AR160))</f>
        <v/>
      </c>
      <c r="AS160" s="17" t="str">
        <f>IF(共有用1!AS160="","",共有用1!AS160&amp;"/"&amp;COUNTIF(共有用1!AS$2:AS160,共有用1!AS160))</f>
        <v/>
      </c>
      <c r="AT160" s="17" t="str">
        <f>IF(共有用1!AT160="","",共有用1!AT160&amp;"/"&amp;COUNTIF(共有用1!AT$2:AT160,共有用1!AT160))</f>
        <v/>
      </c>
      <c r="AU160" s="17" t="str">
        <f>IF(共有用1!AU160="","",共有用1!AU160&amp;"/"&amp;COUNTIF(共有用1!AU$2:AU160,共有用1!AU160))</f>
        <v/>
      </c>
      <c r="AV160" s="17" t="str">
        <f>IF(共有用1!AV160="","",共有用1!AV160&amp;"/"&amp;COUNTIF(共有用1!AV$2:AV160,共有用1!AV160))</f>
        <v/>
      </c>
      <c r="AW160" s="17" t="str">
        <f>IF(共有用1!AW160="","",共有用1!AW160&amp;"/"&amp;COUNTIF(共有用1!AW$2:AW160,共有用1!AW160))</f>
        <v/>
      </c>
      <c r="AX160" s="17" t="str">
        <f>IF(共有用1!AX160="","",共有用1!AX160&amp;"/"&amp;COUNTIF(共有用1!AX$2:AX160,共有用1!AX160))</f>
        <v/>
      </c>
      <c r="AY160" s="17" t="str">
        <f>IF(共有用1!AY160="","",共有用1!AY160&amp;"/"&amp;COUNTIF(共有用1!AY$2:AY160,共有用1!AY160))</f>
        <v/>
      </c>
      <c r="AZ160" s="17" t="str">
        <f>IF(共有用1!AZ160="","",共有用1!AZ160&amp;"/"&amp;COUNTIF(共有用1!AZ$2:AZ160,共有用1!AZ160))</f>
        <v/>
      </c>
      <c r="BA160" s="17" t="str">
        <f>IF(共有用1!BA160="","",共有用1!BA160&amp;"/"&amp;COUNTIF(共有用1!BA$2:BA160,共有用1!BA160))</f>
        <v/>
      </c>
    </row>
    <row r="161" spans="1:53">
      <c r="A161" s="2" t="str">
        <f>共有用1!A161</f>
        <v/>
      </c>
      <c r="B161" s="2" t="str">
        <f>共有用1!B161</f>
        <v/>
      </c>
      <c r="C161" s="2" t="str">
        <f>共有用1!C161</f>
        <v/>
      </c>
      <c r="D161" s="17" t="str">
        <f>IF(共有用1!D161="","",共有用1!D161&amp;"/"&amp;COUNTIF(共有用1!D$2:D161,共有用1!D161))</f>
        <v/>
      </c>
      <c r="E161" s="17" t="str">
        <f>IF(共有用1!E161="","",共有用1!E161&amp;"/"&amp;COUNTIF(共有用1!E$2:E161,共有用1!E161))</f>
        <v/>
      </c>
      <c r="F161" s="17" t="str">
        <f>IF(共有用1!F161="","",共有用1!F161&amp;"/"&amp;COUNTIF(共有用1!F$2:F161,共有用1!F161))</f>
        <v/>
      </c>
      <c r="G161" s="17" t="str">
        <f>IF(共有用1!G161="","",共有用1!G161&amp;"/"&amp;COUNTIF(共有用1!G$2:G161,共有用1!G161))</f>
        <v/>
      </c>
      <c r="H161" s="17" t="str">
        <f>IF(共有用1!H161="","",共有用1!H161&amp;"/"&amp;COUNTIF(共有用1!H$2:H161,共有用1!H161))</f>
        <v/>
      </c>
      <c r="I161" s="17" t="str">
        <f>IF(共有用1!I161="","",共有用1!I161&amp;"/"&amp;COUNTIF(共有用1!I$2:I161,共有用1!I161))</f>
        <v/>
      </c>
      <c r="J161" s="17" t="str">
        <f>IF(共有用1!J161="","",共有用1!J161&amp;"/"&amp;COUNTIF(共有用1!J$2:J161,共有用1!J161))</f>
        <v/>
      </c>
      <c r="K161" s="17" t="str">
        <f>IF(共有用1!K161="","",共有用1!K161&amp;"/"&amp;COUNTIF(共有用1!K$2:K161,共有用1!K161))</f>
        <v/>
      </c>
      <c r="L161" s="17" t="str">
        <f>IF(共有用1!L161="","",共有用1!L161&amp;"/"&amp;COUNTIF(共有用1!L$2:L161,共有用1!L161))</f>
        <v/>
      </c>
      <c r="M161" s="17" t="str">
        <f>IF(共有用1!M161="","",共有用1!M161&amp;"/"&amp;COUNTIF(共有用1!M$2:M161,共有用1!M161))</f>
        <v/>
      </c>
      <c r="N161" s="17" t="str">
        <f>IF(共有用1!N161="","",共有用1!N161&amp;"/"&amp;COUNTIF(共有用1!N$2:N161,共有用1!N161))</f>
        <v/>
      </c>
      <c r="O161" s="17" t="str">
        <f>IF(共有用1!O161="","",共有用1!O161&amp;"/"&amp;COUNTIF(共有用1!O$2:O161,共有用1!O161))</f>
        <v/>
      </c>
      <c r="P161" s="17" t="str">
        <f>IF(共有用1!P161="","",共有用1!P161&amp;"/"&amp;COUNTIF(共有用1!P$2:P161,共有用1!P161))</f>
        <v/>
      </c>
      <c r="Q161" s="17" t="str">
        <f>IF(共有用1!Q161="","",共有用1!Q161&amp;"/"&amp;COUNTIF(共有用1!Q$2:Q161,共有用1!Q161))</f>
        <v/>
      </c>
      <c r="R161" s="17" t="str">
        <f>IF(共有用1!R161="","",共有用1!R161&amp;"/"&amp;COUNTIF(共有用1!R$2:R161,共有用1!R161))</f>
        <v/>
      </c>
      <c r="S161" s="17" t="str">
        <f>IF(共有用1!S161="","",共有用1!S161&amp;"/"&amp;COUNTIF(共有用1!S$2:S161,共有用1!S161))</f>
        <v/>
      </c>
      <c r="T161" s="17" t="str">
        <f>IF(共有用1!T161="","",共有用1!T161&amp;"/"&amp;COUNTIF(共有用1!T$2:T161,共有用1!T161))</f>
        <v/>
      </c>
      <c r="U161" s="17" t="str">
        <f>IF(共有用1!U161="","",共有用1!U161&amp;"/"&amp;COUNTIF(共有用1!U$2:U161,共有用1!U161))</f>
        <v/>
      </c>
      <c r="V161" s="17" t="str">
        <f>IF(共有用1!V161="","",共有用1!V161&amp;"/"&amp;COUNTIF(共有用1!V$2:V161,共有用1!V161))</f>
        <v/>
      </c>
      <c r="W161" s="17" t="str">
        <f>IF(共有用1!W161="","",共有用1!W161&amp;"/"&amp;COUNTIF(共有用1!W$2:W161,共有用1!W161))</f>
        <v/>
      </c>
      <c r="X161" s="17" t="str">
        <f>IF(共有用1!X161="","",共有用1!X161&amp;"/"&amp;COUNTIF(共有用1!X$2:X161,共有用1!X161))</f>
        <v/>
      </c>
      <c r="Y161" s="17" t="str">
        <f>IF(共有用1!Y161="","",共有用1!Y161&amp;"/"&amp;COUNTIF(共有用1!Y$2:Y161,共有用1!Y161))</f>
        <v/>
      </c>
      <c r="Z161" s="17" t="str">
        <f>IF(共有用1!Z161="","",共有用1!Z161&amp;"/"&amp;COUNTIF(共有用1!Z$2:Z161,共有用1!Z161))</f>
        <v/>
      </c>
      <c r="AA161" s="17" t="str">
        <f>IF(共有用1!AA161="","",共有用1!AA161&amp;"/"&amp;COUNTIF(共有用1!AA$2:AA161,共有用1!AA161))</f>
        <v/>
      </c>
      <c r="AB161" s="17" t="str">
        <f>IF(共有用1!AB161="","",共有用1!AB161&amp;"/"&amp;COUNTIF(共有用1!AB$2:AB161,共有用1!AB161))</f>
        <v/>
      </c>
      <c r="AC161" s="17" t="str">
        <f>IF(共有用1!AC161="","",共有用1!AC161&amp;"/"&amp;COUNTIF(共有用1!AC$2:AC161,共有用1!AC161))</f>
        <v/>
      </c>
      <c r="AD161" s="17" t="str">
        <f>IF(共有用1!AD161="","",共有用1!AD161&amp;"/"&amp;COUNTIF(共有用1!AD$2:AD161,共有用1!AD161))</f>
        <v/>
      </c>
      <c r="AE161" s="17" t="str">
        <f>IF(共有用1!AE161="","",共有用1!AE161&amp;"/"&amp;COUNTIF(共有用1!AE$2:AE161,共有用1!AE161))</f>
        <v/>
      </c>
      <c r="AF161" s="17" t="str">
        <f>IF(共有用1!AF161="","",共有用1!AF161&amp;"/"&amp;COUNTIF(共有用1!AF$2:AF161,共有用1!AF161))</f>
        <v/>
      </c>
      <c r="AG161" s="17" t="str">
        <f>IF(共有用1!AG161="","",共有用1!AG161&amp;"/"&amp;COUNTIF(共有用1!AG$2:AG161,共有用1!AG161))</f>
        <v/>
      </c>
      <c r="AH161" s="17" t="str">
        <f>IF(共有用1!AH161="","",共有用1!AH161&amp;"/"&amp;COUNTIF(共有用1!AH$2:AH161,共有用1!AH161))</f>
        <v/>
      </c>
      <c r="AI161" s="17" t="str">
        <f>IF(共有用1!AI161="","",共有用1!AI161&amp;"/"&amp;COUNTIF(共有用1!AI$2:AI161,共有用1!AI161))</f>
        <v/>
      </c>
      <c r="AJ161" s="17" t="str">
        <f>IF(共有用1!AJ161="","",共有用1!AJ161&amp;"/"&amp;COUNTIF(共有用1!AJ$2:AJ161,共有用1!AJ161))</f>
        <v/>
      </c>
      <c r="AK161" s="17" t="str">
        <f>IF(共有用1!AK161="","",共有用1!AK161&amp;"/"&amp;COUNTIF(共有用1!AK$2:AK161,共有用1!AK161))</f>
        <v/>
      </c>
      <c r="AL161" s="17" t="str">
        <f>IF(共有用1!AL161="","",共有用1!AL161&amp;"/"&amp;COUNTIF(共有用1!AL$2:AL161,共有用1!AL161))</f>
        <v/>
      </c>
      <c r="AM161" s="17" t="str">
        <f>IF(共有用1!AM161="","",共有用1!AM161&amp;"/"&amp;COUNTIF(共有用1!AM$2:AM161,共有用1!AM161))</f>
        <v/>
      </c>
      <c r="AN161" s="17" t="str">
        <f>IF(共有用1!AN161="","",共有用1!AN161&amp;"/"&amp;COUNTIF(共有用1!AN$2:AN161,共有用1!AN161))</f>
        <v/>
      </c>
      <c r="AO161" s="17" t="str">
        <f>IF(共有用1!AO161="","",共有用1!AO161&amp;"/"&amp;COUNTIF(共有用1!AO$2:AO161,共有用1!AO161))</f>
        <v/>
      </c>
      <c r="AP161" s="17" t="str">
        <f>IF(共有用1!AP161="","",共有用1!AP161&amp;"/"&amp;COUNTIF(共有用1!AP$2:AP161,共有用1!AP161))</f>
        <v/>
      </c>
      <c r="AQ161" s="17" t="str">
        <f>IF(共有用1!AQ161="","",共有用1!AQ161&amp;"/"&amp;COUNTIF(共有用1!AQ$2:AQ161,共有用1!AQ161))</f>
        <v/>
      </c>
      <c r="AR161" s="17" t="str">
        <f>IF(共有用1!AR161="","",共有用1!AR161&amp;"/"&amp;COUNTIF(共有用1!AR$2:AR161,共有用1!AR161))</f>
        <v/>
      </c>
      <c r="AS161" s="17" t="str">
        <f>IF(共有用1!AS161="","",共有用1!AS161&amp;"/"&amp;COUNTIF(共有用1!AS$2:AS161,共有用1!AS161))</f>
        <v/>
      </c>
      <c r="AT161" s="17" t="str">
        <f>IF(共有用1!AT161="","",共有用1!AT161&amp;"/"&amp;COUNTIF(共有用1!AT$2:AT161,共有用1!AT161))</f>
        <v/>
      </c>
      <c r="AU161" s="17" t="str">
        <f>IF(共有用1!AU161="","",共有用1!AU161&amp;"/"&amp;COUNTIF(共有用1!AU$2:AU161,共有用1!AU161))</f>
        <v/>
      </c>
      <c r="AV161" s="17" t="str">
        <f>IF(共有用1!AV161="","",共有用1!AV161&amp;"/"&amp;COUNTIF(共有用1!AV$2:AV161,共有用1!AV161))</f>
        <v/>
      </c>
      <c r="AW161" s="17" t="str">
        <f>IF(共有用1!AW161="","",共有用1!AW161&amp;"/"&amp;COUNTIF(共有用1!AW$2:AW161,共有用1!AW161))</f>
        <v/>
      </c>
      <c r="AX161" s="17" t="str">
        <f>IF(共有用1!AX161="","",共有用1!AX161&amp;"/"&amp;COUNTIF(共有用1!AX$2:AX161,共有用1!AX161))</f>
        <v/>
      </c>
      <c r="AY161" s="17" t="str">
        <f>IF(共有用1!AY161="","",共有用1!AY161&amp;"/"&amp;COUNTIF(共有用1!AY$2:AY161,共有用1!AY161))</f>
        <v/>
      </c>
      <c r="AZ161" s="17" t="str">
        <f>IF(共有用1!AZ161="","",共有用1!AZ161&amp;"/"&amp;COUNTIF(共有用1!AZ$2:AZ161,共有用1!AZ161))</f>
        <v/>
      </c>
      <c r="BA161" s="17" t="str">
        <f>IF(共有用1!BA161="","",共有用1!BA161&amp;"/"&amp;COUNTIF(共有用1!BA$2:BA161,共有用1!BA161))</f>
        <v/>
      </c>
    </row>
    <row r="162" spans="1:53">
      <c r="A162" s="2" t="str">
        <f>共有用1!A162</f>
        <v/>
      </c>
      <c r="B162" s="2" t="str">
        <f>共有用1!B162</f>
        <v/>
      </c>
      <c r="C162" s="2" t="str">
        <f>共有用1!C162</f>
        <v/>
      </c>
      <c r="D162" s="17" t="str">
        <f>IF(共有用1!D162="","",共有用1!D162&amp;"/"&amp;COUNTIF(共有用1!D$2:D162,共有用1!D162))</f>
        <v/>
      </c>
      <c r="E162" s="17" t="str">
        <f>IF(共有用1!E162="","",共有用1!E162&amp;"/"&amp;COUNTIF(共有用1!E$2:E162,共有用1!E162))</f>
        <v/>
      </c>
      <c r="F162" s="17" t="str">
        <f>IF(共有用1!F162="","",共有用1!F162&amp;"/"&amp;COUNTIF(共有用1!F$2:F162,共有用1!F162))</f>
        <v/>
      </c>
      <c r="G162" s="17" t="str">
        <f>IF(共有用1!G162="","",共有用1!G162&amp;"/"&amp;COUNTIF(共有用1!G$2:G162,共有用1!G162))</f>
        <v/>
      </c>
      <c r="H162" s="17" t="str">
        <f>IF(共有用1!H162="","",共有用1!H162&amp;"/"&amp;COUNTIF(共有用1!H$2:H162,共有用1!H162))</f>
        <v/>
      </c>
      <c r="I162" s="17" t="str">
        <f>IF(共有用1!I162="","",共有用1!I162&amp;"/"&amp;COUNTIF(共有用1!I$2:I162,共有用1!I162))</f>
        <v/>
      </c>
      <c r="J162" s="17" t="str">
        <f>IF(共有用1!J162="","",共有用1!J162&amp;"/"&amp;COUNTIF(共有用1!J$2:J162,共有用1!J162))</f>
        <v/>
      </c>
      <c r="K162" s="17" t="str">
        <f>IF(共有用1!K162="","",共有用1!K162&amp;"/"&amp;COUNTIF(共有用1!K$2:K162,共有用1!K162))</f>
        <v/>
      </c>
      <c r="L162" s="17" t="str">
        <f>IF(共有用1!L162="","",共有用1!L162&amp;"/"&amp;COUNTIF(共有用1!L$2:L162,共有用1!L162))</f>
        <v/>
      </c>
      <c r="M162" s="17" t="str">
        <f>IF(共有用1!M162="","",共有用1!M162&amp;"/"&amp;COUNTIF(共有用1!M$2:M162,共有用1!M162))</f>
        <v/>
      </c>
      <c r="N162" s="17" t="str">
        <f>IF(共有用1!N162="","",共有用1!N162&amp;"/"&amp;COUNTIF(共有用1!N$2:N162,共有用1!N162))</f>
        <v/>
      </c>
      <c r="O162" s="17" t="str">
        <f>IF(共有用1!O162="","",共有用1!O162&amp;"/"&amp;COUNTIF(共有用1!O$2:O162,共有用1!O162))</f>
        <v/>
      </c>
      <c r="P162" s="17" t="str">
        <f>IF(共有用1!P162="","",共有用1!P162&amp;"/"&amp;COUNTIF(共有用1!P$2:P162,共有用1!P162))</f>
        <v/>
      </c>
      <c r="Q162" s="17" t="str">
        <f>IF(共有用1!Q162="","",共有用1!Q162&amp;"/"&amp;COUNTIF(共有用1!Q$2:Q162,共有用1!Q162))</f>
        <v/>
      </c>
      <c r="R162" s="17" t="str">
        <f>IF(共有用1!R162="","",共有用1!R162&amp;"/"&amp;COUNTIF(共有用1!R$2:R162,共有用1!R162))</f>
        <v/>
      </c>
      <c r="S162" s="17" t="str">
        <f>IF(共有用1!S162="","",共有用1!S162&amp;"/"&amp;COUNTIF(共有用1!S$2:S162,共有用1!S162))</f>
        <v/>
      </c>
      <c r="T162" s="17" t="str">
        <f>IF(共有用1!T162="","",共有用1!T162&amp;"/"&amp;COUNTIF(共有用1!T$2:T162,共有用1!T162))</f>
        <v/>
      </c>
      <c r="U162" s="17" t="str">
        <f>IF(共有用1!U162="","",共有用1!U162&amp;"/"&amp;COUNTIF(共有用1!U$2:U162,共有用1!U162))</f>
        <v/>
      </c>
      <c r="V162" s="17" t="str">
        <f>IF(共有用1!V162="","",共有用1!V162&amp;"/"&amp;COUNTIF(共有用1!V$2:V162,共有用1!V162))</f>
        <v/>
      </c>
      <c r="W162" s="17" t="str">
        <f>IF(共有用1!W162="","",共有用1!W162&amp;"/"&amp;COUNTIF(共有用1!W$2:W162,共有用1!W162))</f>
        <v/>
      </c>
      <c r="X162" s="17" t="str">
        <f>IF(共有用1!X162="","",共有用1!X162&amp;"/"&amp;COUNTIF(共有用1!X$2:X162,共有用1!X162))</f>
        <v/>
      </c>
      <c r="Y162" s="17" t="str">
        <f>IF(共有用1!Y162="","",共有用1!Y162&amp;"/"&amp;COUNTIF(共有用1!Y$2:Y162,共有用1!Y162))</f>
        <v/>
      </c>
      <c r="Z162" s="17" t="str">
        <f>IF(共有用1!Z162="","",共有用1!Z162&amp;"/"&amp;COUNTIF(共有用1!Z$2:Z162,共有用1!Z162))</f>
        <v/>
      </c>
      <c r="AA162" s="17" t="str">
        <f>IF(共有用1!AA162="","",共有用1!AA162&amp;"/"&amp;COUNTIF(共有用1!AA$2:AA162,共有用1!AA162))</f>
        <v/>
      </c>
      <c r="AB162" s="17" t="str">
        <f>IF(共有用1!AB162="","",共有用1!AB162&amp;"/"&amp;COUNTIF(共有用1!AB$2:AB162,共有用1!AB162))</f>
        <v/>
      </c>
      <c r="AC162" s="17" t="str">
        <f>IF(共有用1!AC162="","",共有用1!AC162&amp;"/"&amp;COUNTIF(共有用1!AC$2:AC162,共有用1!AC162))</f>
        <v/>
      </c>
      <c r="AD162" s="17" t="str">
        <f>IF(共有用1!AD162="","",共有用1!AD162&amp;"/"&amp;COUNTIF(共有用1!AD$2:AD162,共有用1!AD162))</f>
        <v/>
      </c>
      <c r="AE162" s="17" t="str">
        <f>IF(共有用1!AE162="","",共有用1!AE162&amp;"/"&amp;COUNTIF(共有用1!AE$2:AE162,共有用1!AE162))</f>
        <v/>
      </c>
      <c r="AF162" s="17" t="str">
        <f>IF(共有用1!AF162="","",共有用1!AF162&amp;"/"&amp;COUNTIF(共有用1!AF$2:AF162,共有用1!AF162))</f>
        <v/>
      </c>
      <c r="AG162" s="17" t="str">
        <f>IF(共有用1!AG162="","",共有用1!AG162&amp;"/"&amp;COUNTIF(共有用1!AG$2:AG162,共有用1!AG162))</f>
        <v/>
      </c>
      <c r="AH162" s="17" t="str">
        <f>IF(共有用1!AH162="","",共有用1!AH162&amp;"/"&amp;COUNTIF(共有用1!AH$2:AH162,共有用1!AH162))</f>
        <v/>
      </c>
      <c r="AI162" s="17" t="str">
        <f>IF(共有用1!AI162="","",共有用1!AI162&amp;"/"&amp;COUNTIF(共有用1!AI$2:AI162,共有用1!AI162))</f>
        <v/>
      </c>
      <c r="AJ162" s="17" t="str">
        <f>IF(共有用1!AJ162="","",共有用1!AJ162&amp;"/"&amp;COUNTIF(共有用1!AJ$2:AJ162,共有用1!AJ162))</f>
        <v/>
      </c>
      <c r="AK162" s="17" t="str">
        <f>IF(共有用1!AK162="","",共有用1!AK162&amp;"/"&amp;COUNTIF(共有用1!AK$2:AK162,共有用1!AK162))</f>
        <v/>
      </c>
      <c r="AL162" s="17" t="str">
        <f>IF(共有用1!AL162="","",共有用1!AL162&amp;"/"&amp;COUNTIF(共有用1!AL$2:AL162,共有用1!AL162))</f>
        <v/>
      </c>
      <c r="AM162" s="17" t="str">
        <f>IF(共有用1!AM162="","",共有用1!AM162&amp;"/"&amp;COUNTIF(共有用1!AM$2:AM162,共有用1!AM162))</f>
        <v/>
      </c>
      <c r="AN162" s="17" t="str">
        <f>IF(共有用1!AN162="","",共有用1!AN162&amp;"/"&amp;COUNTIF(共有用1!AN$2:AN162,共有用1!AN162))</f>
        <v/>
      </c>
      <c r="AO162" s="17" t="str">
        <f>IF(共有用1!AO162="","",共有用1!AO162&amp;"/"&amp;COUNTIF(共有用1!AO$2:AO162,共有用1!AO162))</f>
        <v/>
      </c>
      <c r="AP162" s="17" t="str">
        <f>IF(共有用1!AP162="","",共有用1!AP162&amp;"/"&amp;COUNTIF(共有用1!AP$2:AP162,共有用1!AP162))</f>
        <v/>
      </c>
      <c r="AQ162" s="17" t="str">
        <f>IF(共有用1!AQ162="","",共有用1!AQ162&amp;"/"&amp;COUNTIF(共有用1!AQ$2:AQ162,共有用1!AQ162))</f>
        <v/>
      </c>
      <c r="AR162" s="17" t="str">
        <f>IF(共有用1!AR162="","",共有用1!AR162&amp;"/"&amp;COUNTIF(共有用1!AR$2:AR162,共有用1!AR162))</f>
        <v/>
      </c>
      <c r="AS162" s="17" t="str">
        <f>IF(共有用1!AS162="","",共有用1!AS162&amp;"/"&amp;COUNTIF(共有用1!AS$2:AS162,共有用1!AS162))</f>
        <v/>
      </c>
      <c r="AT162" s="17" t="str">
        <f>IF(共有用1!AT162="","",共有用1!AT162&amp;"/"&amp;COUNTIF(共有用1!AT$2:AT162,共有用1!AT162))</f>
        <v/>
      </c>
      <c r="AU162" s="17" t="str">
        <f>IF(共有用1!AU162="","",共有用1!AU162&amp;"/"&amp;COUNTIF(共有用1!AU$2:AU162,共有用1!AU162))</f>
        <v/>
      </c>
      <c r="AV162" s="17" t="str">
        <f>IF(共有用1!AV162="","",共有用1!AV162&amp;"/"&amp;COUNTIF(共有用1!AV$2:AV162,共有用1!AV162))</f>
        <v/>
      </c>
      <c r="AW162" s="17" t="str">
        <f>IF(共有用1!AW162="","",共有用1!AW162&amp;"/"&amp;COUNTIF(共有用1!AW$2:AW162,共有用1!AW162))</f>
        <v/>
      </c>
      <c r="AX162" s="17" t="str">
        <f>IF(共有用1!AX162="","",共有用1!AX162&amp;"/"&amp;COUNTIF(共有用1!AX$2:AX162,共有用1!AX162))</f>
        <v/>
      </c>
      <c r="AY162" s="17" t="str">
        <f>IF(共有用1!AY162="","",共有用1!AY162&amp;"/"&amp;COUNTIF(共有用1!AY$2:AY162,共有用1!AY162))</f>
        <v/>
      </c>
      <c r="AZ162" s="17" t="str">
        <f>IF(共有用1!AZ162="","",共有用1!AZ162&amp;"/"&amp;COUNTIF(共有用1!AZ$2:AZ162,共有用1!AZ162))</f>
        <v/>
      </c>
      <c r="BA162" s="17" t="str">
        <f>IF(共有用1!BA162="","",共有用1!BA162&amp;"/"&amp;COUNTIF(共有用1!BA$2:BA162,共有用1!BA162))</f>
        <v/>
      </c>
    </row>
    <row r="163" spans="1:53">
      <c r="A163" s="2" t="str">
        <f>共有用1!A163</f>
        <v/>
      </c>
      <c r="B163" s="2" t="str">
        <f>共有用1!B163</f>
        <v/>
      </c>
      <c r="C163" s="2" t="str">
        <f>共有用1!C163</f>
        <v/>
      </c>
      <c r="D163" s="17" t="str">
        <f>IF(共有用1!D163="","",共有用1!D163&amp;"/"&amp;COUNTIF(共有用1!D$2:D163,共有用1!D163))</f>
        <v/>
      </c>
      <c r="E163" s="17" t="str">
        <f>IF(共有用1!E163="","",共有用1!E163&amp;"/"&amp;COUNTIF(共有用1!E$2:E163,共有用1!E163))</f>
        <v/>
      </c>
      <c r="F163" s="17" t="str">
        <f>IF(共有用1!F163="","",共有用1!F163&amp;"/"&amp;COUNTIF(共有用1!F$2:F163,共有用1!F163))</f>
        <v/>
      </c>
      <c r="G163" s="17" t="str">
        <f>IF(共有用1!G163="","",共有用1!G163&amp;"/"&amp;COUNTIF(共有用1!G$2:G163,共有用1!G163))</f>
        <v/>
      </c>
      <c r="H163" s="17" t="str">
        <f>IF(共有用1!H163="","",共有用1!H163&amp;"/"&amp;COUNTIF(共有用1!H$2:H163,共有用1!H163))</f>
        <v/>
      </c>
      <c r="I163" s="17" t="str">
        <f>IF(共有用1!I163="","",共有用1!I163&amp;"/"&amp;COUNTIF(共有用1!I$2:I163,共有用1!I163))</f>
        <v/>
      </c>
      <c r="J163" s="17" t="str">
        <f>IF(共有用1!J163="","",共有用1!J163&amp;"/"&amp;COUNTIF(共有用1!J$2:J163,共有用1!J163))</f>
        <v/>
      </c>
      <c r="K163" s="17" t="str">
        <f>IF(共有用1!K163="","",共有用1!K163&amp;"/"&amp;COUNTIF(共有用1!K$2:K163,共有用1!K163))</f>
        <v/>
      </c>
      <c r="L163" s="17" t="str">
        <f>IF(共有用1!L163="","",共有用1!L163&amp;"/"&amp;COUNTIF(共有用1!L$2:L163,共有用1!L163))</f>
        <v/>
      </c>
      <c r="M163" s="17" t="str">
        <f>IF(共有用1!M163="","",共有用1!M163&amp;"/"&amp;COUNTIF(共有用1!M$2:M163,共有用1!M163))</f>
        <v/>
      </c>
      <c r="N163" s="17" t="str">
        <f>IF(共有用1!N163="","",共有用1!N163&amp;"/"&amp;COUNTIF(共有用1!N$2:N163,共有用1!N163))</f>
        <v/>
      </c>
      <c r="O163" s="17" t="str">
        <f>IF(共有用1!O163="","",共有用1!O163&amp;"/"&amp;COUNTIF(共有用1!O$2:O163,共有用1!O163))</f>
        <v/>
      </c>
      <c r="P163" s="17" t="str">
        <f>IF(共有用1!P163="","",共有用1!P163&amp;"/"&amp;COUNTIF(共有用1!P$2:P163,共有用1!P163))</f>
        <v/>
      </c>
      <c r="Q163" s="17" t="str">
        <f>IF(共有用1!Q163="","",共有用1!Q163&amp;"/"&amp;COUNTIF(共有用1!Q$2:Q163,共有用1!Q163))</f>
        <v/>
      </c>
      <c r="R163" s="17" t="str">
        <f>IF(共有用1!R163="","",共有用1!R163&amp;"/"&amp;COUNTIF(共有用1!R$2:R163,共有用1!R163))</f>
        <v/>
      </c>
      <c r="S163" s="17" t="str">
        <f>IF(共有用1!S163="","",共有用1!S163&amp;"/"&amp;COUNTIF(共有用1!S$2:S163,共有用1!S163))</f>
        <v/>
      </c>
      <c r="T163" s="17" t="str">
        <f>IF(共有用1!T163="","",共有用1!T163&amp;"/"&amp;COUNTIF(共有用1!T$2:T163,共有用1!T163))</f>
        <v/>
      </c>
      <c r="U163" s="17" t="str">
        <f>IF(共有用1!U163="","",共有用1!U163&amp;"/"&amp;COUNTIF(共有用1!U$2:U163,共有用1!U163))</f>
        <v/>
      </c>
      <c r="V163" s="17" t="str">
        <f>IF(共有用1!V163="","",共有用1!V163&amp;"/"&amp;COUNTIF(共有用1!V$2:V163,共有用1!V163))</f>
        <v/>
      </c>
      <c r="W163" s="17" t="str">
        <f>IF(共有用1!W163="","",共有用1!W163&amp;"/"&amp;COUNTIF(共有用1!W$2:W163,共有用1!W163))</f>
        <v/>
      </c>
      <c r="X163" s="17" t="str">
        <f>IF(共有用1!X163="","",共有用1!X163&amp;"/"&amp;COUNTIF(共有用1!X$2:X163,共有用1!X163))</f>
        <v/>
      </c>
      <c r="Y163" s="17" t="str">
        <f>IF(共有用1!Y163="","",共有用1!Y163&amp;"/"&amp;COUNTIF(共有用1!Y$2:Y163,共有用1!Y163))</f>
        <v/>
      </c>
      <c r="Z163" s="17" t="str">
        <f>IF(共有用1!Z163="","",共有用1!Z163&amp;"/"&amp;COUNTIF(共有用1!Z$2:Z163,共有用1!Z163))</f>
        <v/>
      </c>
      <c r="AA163" s="17" t="str">
        <f>IF(共有用1!AA163="","",共有用1!AA163&amp;"/"&amp;COUNTIF(共有用1!AA$2:AA163,共有用1!AA163))</f>
        <v/>
      </c>
      <c r="AB163" s="17" t="str">
        <f>IF(共有用1!AB163="","",共有用1!AB163&amp;"/"&amp;COUNTIF(共有用1!AB$2:AB163,共有用1!AB163))</f>
        <v/>
      </c>
      <c r="AC163" s="17" t="str">
        <f>IF(共有用1!AC163="","",共有用1!AC163&amp;"/"&amp;COUNTIF(共有用1!AC$2:AC163,共有用1!AC163))</f>
        <v/>
      </c>
      <c r="AD163" s="17" t="str">
        <f>IF(共有用1!AD163="","",共有用1!AD163&amp;"/"&amp;COUNTIF(共有用1!AD$2:AD163,共有用1!AD163))</f>
        <v/>
      </c>
      <c r="AE163" s="17" t="str">
        <f>IF(共有用1!AE163="","",共有用1!AE163&amp;"/"&amp;COUNTIF(共有用1!AE$2:AE163,共有用1!AE163))</f>
        <v/>
      </c>
      <c r="AF163" s="17" t="str">
        <f>IF(共有用1!AF163="","",共有用1!AF163&amp;"/"&amp;COUNTIF(共有用1!AF$2:AF163,共有用1!AF163))</f>
        <v/>
      </c>
      <c r="AG163" s="17" t="str">
        <f>IF(共有用1!AG163="","",共有用1!AG163&amp;"/"&amp;COUNTIF(共有用1!AG$2:AG163,共有用1!AG163))</f>
        <v/>
      </c>
      <c r="AH163" s="17" t="str">
        <f>IF(共有用1!AH163="","",共有用1!AH163&amp;"/"&amp;COUNTIF(共有用1!AH$2:AH163,共有用1!AH163))</f>
        <v/>
      </c>
      <c r="AI163" s="17" t="str">
        <f>IF(共有用1!AI163="","",共有用1!AI163&amp;"/"&amp;COUNTIF(共有用1!AI$2:AI163,共有用1!AI163))</f>
        <v/>
      </c>
      <c r="AJ163" s="17" t="str">
        <f>IF(共有用1!AJ163="","",共有用1!AJ163&amp;"/"&amp;COUNTIF(共有用1!AJ$2:AJ163,共有用1!AJ163))</f>
        <v/>
      </c>
      <c r="AK163" s="17" t="str">
        <f>IF(共有用1!AK163="","",共有用1!AK163&amp;"/"&amp;COUNTIF(共有用1!AK$2:AK163,共有用1!AK163))</f>
        <v/>
      </c>
      <c r="AL163" s="17" t="str">
        <f>IF(共有用1!AL163="","",共有用1!AL163&amp;"/"&amp;COUNTIF(共有用1!AL$2:AL163,共有用1!AL163))</f>
        <v/>
      </c>
      <c r="AM163" s="17" t="str">
        <f>IF(共有用1!AM163="","",共有用1!AM163&amp;"/"&amp;COUNTIF(共有用1!AM$2:AM163,共有用1!AM163))</f>
        <v/>
      </c>
      <c r="AN163" s="17" t="str">
        <f>IF(共有用1!AN163="","",共有用1!AN163&amp;"/"&amp;COUNTIF(共有用1!AN$2:AN163,共有用1!AN163))</f>
        <v/>
      </c>
      <c r="AO163" s="17" t="str">
        <f>IF(共有用1!AO163="","",共有用1!AO163&amp;"/"&amp;COUNTIF(共有用1!AO$2:AO163,共有用1!AO163))</f>
        <v/>
      </c>
      <c r="AP163" s="17" t="str">
        <f>IF(共有用1!AP163="","",共有用1!AP163&amp;"/"&amp;COUNTIF(共有用1!AP$2:AP163,共有用1!AP163))</f>
        <v/>
      </c>
      <c r="AQ163" s="17" t="str">
        <f>IF(共有用1!AQ163="","",共有用1!AQ163&amp;"/"&amp;COUNTIF(共有用1!AQ$2:AQ163,共有用1!AQ163))</f>
        <v/>
      </c>
      <c r="AR163" s="17" t="str">
        <f>IF(共有用1!AR163="","",共有用1!AR163&amp;"/"&amp;COUNTIF(共有用1!AR$2:AR163,共有用1!AR163))</f>
        <v/>
      </c>
      <c r="AS163" s="17" t="str">
        <f>IF(共有用1!AS163="","",共有用1!AS163&amp;"/"&amp;COUNTIF(共有用1!AS$2:AS163,共有用1!AS163))</f>
        <v/>
      </c>
      <c r="AT163" s="17" t="str">
        <f>IF(共有用1!AT163="","",共有用1!AT163&amp;"/"&amp;COUNTIF(共有用1!AT$2:AT163,共有用1!AT163))</f>
        <v/>
      </c>
      <c r="AU163" s="17" t="str">
        <f>IF(共有用1!AU163="","",共有用1!AU163&amp;"/"&amp;COUNTIF(共有用1!AU$2:AU163,共有用1!AU163))</f>
        <v/>
      </c>
      <c r="AV163" s="17" t="str">
        <f>IF(共有用1!AV163="","",共有用1!AV163&amp;"/"&amp;COUNTIF(共有用1!AV$2:AV163,共有用1!AV163))</f>
        <v/>
      </c>
      <c r="AW163" s="17" t="str">
        <f>IF(共有用1!AW163="","",共有用1!AW163&amp;"/"&amp;COUNTIF(共有用1!AW$2:AW163,共有用1!AW163))</f>
        <v/>
      </c>
      <c r="AX163" s="17" t="str">
        <f>IF(共有用1!AX163="","",共有用1!AX163&amp;"/"&amp;COUNTIF(共有用1!AX$2:AX163,共有用1!AX163))</f>
        <v/>
      </c>
      <c r="AY163" s="17" t="str">
        <f>IF(共有用1!AY163="","",共有用1!AY163&amp;"/"&amp;COUNTIF(共有用1!AY$2:AY163,共有用1!AY163))</f>
        <v/>
      </c>
      <c r="AZ163" s="17" t="str">
        <f>IF(共有用1!AZ163="","",共有用1!AZ163&amp;"/"&amp;COUNTIF(共有用1!AZ$2:AZ163,共有用1!AZ163))</f>
        <v/>
      </c>
      <c r="BA163" s="17" t="str">
        <f>IF(共有用1!BA163="","",共有用1!BA163&amp;"/"&amp;COUNTIF(共有用1!BA$2:BA163,共有用1!BA163))</f>
        <v/>
      </c>
    </row>
    <row r="164" spans="1:53">
      <c r="A164" s="2" t="str">
        <f>共有用1!A164</f>
        <v/>
      </c>
      <c r="B164" s="2" t="str">
        <f>共有用1!B164</f>
        <v/>
      </c>
      <c r="C164" s="2" t="str">
        <f>共有用1!C164</f>
        <v/>
      </c>
      <c r="D164" s="17" t="str">
        <f>IF(共有用1!D164="","",共有用1!D164&amp;"/"&amp;COUNTIF(共有用1!D$2:D164,共有用1!D164))</f>
        <v/>
      </c>
      <c r="E164" s="17" t="str">
        <f>IF(共有用1!E164="","",共有用1!E164&amp;"/"&amp;COUNTIF(共有用1!E$2:E164,共有用1!E164))</f>
        <v/>
      </c>
      <c r="F164" s="17" t="str">
        <f>IF(共有用1!F164="","",共有用1!F164&amp;"/"&amp;COUNTIF(共有用1!F$2:F164,共有用1!F164))</f>
        <v/>
      </c>
      <c r="G164" s="17" t="str">
        <f>IF(共有用1!G164="","",共有用1!G164&amp;"/"&amp;COUNTIF(共有用1!G$2:G164,共有用1!G164))</f>
        <v/>
      </c>
      <c r="H164" s="17" t="str">
        <f>IF(共有用1!H164="","",共有用1!H164&amp;"/"&amp;COUNTIF(共有用1!H$2:H164,共有用1!H164))</f>
        <v/>
      </c>
      <c r="I164" s="17" t="str">
        <f>IF(共有用1!I164="","",共有用1!I164&amp;"/"&amp;COUNTIF(共有用1!I$2:I164,共有用1!I164))</f>
        <v/>
      </c>
      <c r="J164" s="17" t="str">
        <f>IF(共有用1!J164="","",共有用1!J164&amp;"/"&amp;COUNTIF(共有用1!J$2:J164,共有用1!J164))</f>
        <v/>
      </c>
      <c r="K164" s="17" t="str">
        <f>IF(共有用1!K164="","",共有用1!K164&amp;"/"&amp;COUNTIF(共有用1!K$2:K164,共有用1!K164))</f>
        <v/>
      </c>
      <c r="L164" s="17" t="str">
        <f>IF(共有用1!L164="","",共有用1!L164&amp;"/"&amp;COUNTIF(共有用1!L$2:L164,共有用1!L164))</f>
        <v/>
      </c>
      <c r="M164" s="17" t="str">
        <f>IF(共有用1!M164="","",共有用1!M164&amp;"/"&amp;COUNTIF(共有用1!M$2:M164,共有用1!M164))</f>
        <v/>
      </c>
      <c r="N164" s="17" t="str">
        <f>IF(共有用1!N164="","",共有用1!N164&amp;"/"&amp;COUNTIF(共有用1!N$2:N164,共有用1!N164))</f>
        <v/>
      </c>
      <c r="O164" s="17" t="str">
        <f>IF(共有用1!O164="","",共有用1!O164&amp;"/"&amp;COUNTIF(共有用1!O$2:O164,共有用1!O164))</f>
        <v/>
      </c>
      <c r="P164" s="17" t="str">
        <f>IF(共有用1!P164="","",共有用1!P164&amp;"/"&amp;COUNTIF(共有用1!P$2:P164,共有用1!P164))</f>
        <v/>
      </c>
      <c r="Q164" s="17" t="str">
        <f>IF(共有用1!Q164="","",共有用1!Q164&amp;"/"&amp;COUNTIF(共有用1!Q$2:Q164,共有用1!Q164))</f>
        <v/>
      </c>
      <c r="R164" s="17" t="str">
        <f>IF(共有用1!R164="","",共有用1!R164&amp;"/"&amp;COUNTIF(共有用1!R$2:R164,共有用1!R164))</f>
        <v/>
      </c>
      <c r="S164" s="17" t="str">
        <f>IF(共有用1!S164="","",共有用1!S164&amp;"/"&amp;COUNTIF(共有用1!S$2:S164,共有用1!S164))</f>
        <v/>
      </c>
      <c r="T164" s="17" t="str">
        <f>IF(共有用1!T164="","",共有用1!T164&amp;"/"&amp;COUNTIF(共有用1!T$2:T164,共有用1!T164))</f>
        <v/>
      </c>
      <c r="U164" s="17" t="str">
        <f>IF(共有用1!U164="","",共有用1!U164&amp;"/"&amp;COUNTIF(共有用1!U$2:U164,共有用1!U164))</f>
        <v/>
      </c>
      <c r="V164" s="17" t="str">
        <f>IF(共有用1!V164="","",共有用1!V164&amp;"/"&amp;COUNTIF(共有用1!V$2:V164,共有用1!V164))</f>
        <v/>
      </c>
      <c r="W164" s="17" t="str">
        <f>IF(共有用1!W164="","",共有用1!W164&amp;"/"&amp;COUNTIF(共有用1!W$2:W164,共有用1!W164))</f>
        <v/>
      </c>
      <c r="X164" s="17" t="str">
        <f>IF(共有用1!X164="","",共有用1!X164&amp;"/"&amp;COUNTIF(共有用1!X$2:X164,共有用1!X164))</f>
        <v/>
      </c>
      <c r="Y164" s="17" t="str">
        <f>IF(共有用1!Y164="","",共有用1!Y164&amp;"/"&amp;COUNTIF(共有用1!Y$2:Y164,共有用1!Y164))</f>
        <v/>
      </c>
      <c r="Z164" s="17" t="str">
        <f>IF(共有用1!Z164="","",共有用1!Z164&amp;"/"&amp;COUNTIF(共有用1!Z$2:Z164,共有用1!Z164))</f>
        <v/>
      </c>
      <c r="AA164" s="17" t="str">
        <f>IF(共有用1!AA164="","",共有用1!AA164&amp;"/"&amp;COUNTIF(共有用1!AA$2:AA164,共有用1!AA164))</f>
        <v/>
      </c>
      <c r="AB164" s="17" t="str">
        <f>IF(共有用1!AB164="","",共有用1!AB164&amp;"/"&amp;COUNTIF(共有用1!AB$2:AB164,共有用1!AB164))</f>
        <v/>
      </c>
      <c r="AC164" s="17" t="str">
        <f>IF(共有用1!AC164="","",共有用1!AC164&amp;"/"&amp;COUNTIF(共有用1!AC$2:AC164,共有用1!AC164))</f>
        <v/>
      </c>
      <c r="AD164" s="17" t="str">
        <f>IF(共有用1!AD164="","",共有用1!AD164&amp;"/"&amp;COUNTIF(共有用1!AD$2:AD164,共有用1!AD164))</f>
        <v/>
      </c>
      <c r="AE164" s="17" t="str">
        <f>IF(共有用1!AE164="","",共有用1!AE164&amp;"/"&amp;COUNTIF(共有用1!AE$2:AE164,共有用1!AE164))</f>
        <v/>
      </c>
      <c r="AF164" s="17" t="str">
        <f>IF(共有用1!AF164="","",共有用1!AF164&amp;"/"&amp;COUNTIF(共有用1!AF$2:AF164,共有用1!AF164))</f>
        <v/>
      </c>
      <c r="AG164" s="17" t="str">
        <f>IF(共有用1!AG164="","",共有用1!AG164&amp;"/"&amp;COUNTIF(共有用1!AG$2:AG164,共有用1!AG164))</f>
        <v/>
      </c>
      <c r="AH164" s="17" t="str">
        <f>IF(共有用1!AH164="","",共有用1!AH164&amp;"/"&amp;COUNTIF(共有用1!AH$2:AH164,共有用1!AH164))</f>
        <v/>
      </c>
      <c r="AI164" s="17" t="str">
        <f>IF(共有用1!AI164="","",共有用1!AI164&amp;"/"&amp;COUNTIF(共有用1!AI$2:AI164,共有用1!AI164))</f>
        <v/>
      </c>
      <c r="AJ164" s="17" t="str">
        <f>IF(共有用1!AJ164="","",共有用1!AJ164&amp;"/"&amp;COUNTIF(共有用1!AJ$2:AJ164,共有用1!AJ164))</f>
        <v/>
      </c>
      <c r="AK164" s="17" t="str">
        <f>IF(共有用1!AK164="","",共有用1!AK164&amp;"/"&amp;COUNTIF(共有用1!AK$2:AK164,共有用1!AK164))</f>
        <v/>
      </c>
      <c r="AL164" s="17" t="str">
        <f>IF(共有用1!AL164="","",共有用1!AL164&amp;"/"&amp;COUNTIF(共有用1!AL$2:AL164,共有用1!AL164))</f>
        <v/>
      </c>
      <c r="AM164" s="17" t="str">
        <f>IF(共有用1!AM164="","",共有用1!AM164&amp;"/"&amp;COUNTIF(共有用1!AM$2:AM164,共有用1!AM164))</f>
        <v/>
      </c>
      <c r="AN164" s="17" t="str">
        <f>IF(共有用1!AN164="","",共有用1!AN164&amp;"/"&amp;COUNTIF(共有用1!AN$2:AN164,共有用1!AN164))</f>
        <v/>
      </c>
      <c r="AO164" s="17" t="str">
        <f>IF(共有用1!AO164="","",共有用1!AO164&amp;"/"&amp;COUNTIF(共有用1!AO$2:AO164,共有用1!AO164))</f>
        <v/>
      </c>
      <c r="AP164" s="17" t="str">
        <f>IF(共有用1!AP164="","",共有用1!AP164&amp;"/"&amp;COUNTIF(共有用1!AP$2:AP164,共有用1!AP164))</f>
        <v/>
      </c>
      <c r="AQ164" s="17" t="str">
        <f>IF(共有用1!AQ164="","",共有用1!AQ164&amp;"/"&amp;COUNTIF(共有用1!AQ$2:AQ164,共有用1!AQ164))</f>
        <v/>
      </c>
      <c r="AR164" s="17" t="str">
        <f>IF(共有用1!AR164="","",共有用1!AR164&amp;"/"&amp;COUNTIF(共有用1!AR$2:AR164,共有用1!AR164))</f>
        <v/>
      </c>
      <c r="AS164" s="17" t="str">
        <f>IF(共有用1!AS164="","",共有用1!AS164&amp;"/"&amp;COUNTIF(共有用1!AS$2:AS164,共有用1!AS164))</f>
        <v/>
      </c>
      <c r="AT164" s="17" t="str">
        <f>IF(共有用1!AT164="","",共有用1!AT164&amp;"/"&amp;COUNTIF(共有用1!AT$2:AT164,共有用1!AT164))</f>
        <v/>
      </c>
      <c r="AU164" s="17" t="str">
        <f>IF(共有用1!AU164="","",共有用1!AU164&amp;"/"&amp;COUNTIF(共有用1!AU$2:AU164,共有用1!AU164))</f>
        <v/>
      </c>
      <c r="AV164" s="17" t="str">
        <f>IF(共有用1!AV164="","",共有用1!AV164&amp;"/"&amp;COUNTIF(共有用1!AV$2:AV164,共有用1!AV164))</f>
        <v/>
      </c>
      <c r="AW164" s="17" t="str">
        <f>IF(共有用1!AW164="","",共有用1!AW164&amp;"/"&amp;COUNTIF(共有用1!AW$2:AW164,共有用1!AW164))</f>
        <v/>
      </c>
      <c r="AX164" s="17" t="str">
        <f>IF(共有用1!AX164="","",共有用1!AX164&amp;"/"&amp;COUNTIF(共有用1!AX$2:AX164,共有用1!AX164))</f>
        <v/>
      </c>
      <c r="AY164" s="17" t="str">
        <f>IF(共有用1!AY164="","",共有用1!AY164&amp;"/"&amp;COUNTIF(共有用1!AY$2:AY164,共有用1!AY164))</f>
        <v/>
      </c>
      <c r="AZ164" s="17" t="str">
        <f>IF(共有用1!AZ164="","",共有用1!AZ164&amp;"/"&amp;COUNTIF(共有用1!AZ$2:AZ164,共有用1!AZ164))</f>
        <v/>
      </c>
      <c r="BA164" s="17" t="str">
        <f>IF(共有用1!BA164="","",共有用1!BA164&amp;"/"&amp;COUNTIF(共有用1!BA$2:BA164,共有用1!BA164))</f>
        <v/>
      </c>
    </row>
    <row r="165" spans="1:53">
      <c r="A165" s="2" t="str">
        <f>共有用1!A165</f>
        <v/>
      </c>
      <c r="B165" s="2" t="str">
        <f>共有用1!B165</f>
        <v/>
      </c>
      <c r="C165" s="2" t="str">
        <f>共有用1!C165</f>
        <v/>
      </c>
      <c r="D165" s="17" t="str">
        <f>IF(共有用1!D165="","",共有用1!D165&amp;"/"&amp;COUNTIF(共有用1!D$2:D165,共有用1!D165))</f>
        <v/>
      </c>
      <c r="E165" s="17" t="str">
        <f>IF(共有用1!E165="","",共有用1!E165&amp;"/"&amp;COUNTIF(共有用1!E$2:E165,共有用1!E165))</f>
        <v/>
      </c>
      <c r="F165" s="17" t="str">
        <f>IF(共有用1!F165="","",共有用1!F165&amp;"/"&amp;COUNTIF(共有用1!F$2:F165,共有用1!F165))</f>
        <v/>
      </c>
      <c r="G165" s="17" t="str">
        <f>IF(共有用1!G165="","",共有用1!G165&amp;"/"&amp;COUNTIF(共有用1!G$2:G165,共有用1!G165))</f>
        <v/>
      </c>
      <c r="H165" s="17" t="str">
        <f>IF(共有用1!H165="","",共有用1!H165&amp;"/"&amp;COUNTIF(共有用1!H$2:H165,共有用1!H165))</f>
        <v/>
      </c>
      <c r="I165" s="17" t="str">
        <f>IF(共有用1!I165="","",共有用1!I165&amp;"/"&amp;COUNTIF(共有用1!I$2:I165,共有用1!I165))</f>
        <v/>
      </c>
      <c r="J165" s="17" t="str">
        <f>IF(共有用1!J165="","",共有用1!J165&amp;"/"&amp;COUNTIF(共有用1!J$2:J165,共有用1!J165))</f>
        <v/>
      </c>
      <c r="K165" s="17" t="str">
        <f>IF(共有用1!K165="","",共有用1!K165&amp;"/"&amp;COUNTIF(共有用1!K$2:K165,共有用1!K165))</f>
        <v/>
      </c>
      <c r="L165" s="17" t="str">
        <f>IF(共有用1!L165="","",共有用1!L165&amp;"/"&amp;COUNTIF(共有用1!L$2:L165,共有用1!L165))</f>
        <v/>
      </c>
      <c r="M165" s="17" t="str">
        <f>IF(共有用1!M165="","",共有用1!M165&amp;"/"&amp;COUNTIF(共有用1!M$2:M165,共有用1!M165))</f>
        <v/>
      </c>
      <c r="N165" s="17" t="str">
        <f>IF(共有用1!N165="","",共有用1!N165&amp;"/"&amp;COUNTIF(共有用1!N$2:N165,共有用1!N165))</f>
        <v/>
      </c>
      <c r="O165" s="17" t="str">
        <f>IF(共有用1!O165="","",共有用1!O165&amp;"/"&amp;COUNTIF(共有用1!O$2:O165,共有用1!O165))</f>
        <v/>
      </c>
      <c r="P165" s="17" t="str">
        <f>IF(共有用1!P165="","",共有用1!P165&amp;"/"&amp;COUNTIF(共有用1!P$2:P165,共有用1!P165))</f>
        <v/>
      </c>
      <c r="Q165" s="17" t="str">
        <f>IF(共有用1!Q165="","",共有用1!Q165&amp;"/"&amp;COUNTIF(共有用1!Q$2:Q165,共有用1!Q165))</f>
        <v/>
      </c>
      <c r="R165" s="17" t="str">
        <f>IF(共有用1!R165="","",共有用1!R165&amp;"/"&amp;COUNTIF(共有用1!R$2:R165,共有用1!R165))</f>
        <v/>
      </c>
      <c r="S165" s="17" t="str">
        <f>IF(共有用1!S165="","",共有用1!S165&amp;"/"&amp;COUNTIF(共有用1!S$2:S165,共有用1!S165))</f>
        <v/>
      </c>
      <c r="T165" s="17" t="str">
        <f>IF(共有用1!T165="","",共有用1!T165&amp;"/"&amp;COUNTIF(共有用1!T$2:T165,共有用1!T165))</f>
        <v/>
      </c>
      <c r="U165" s="17" t="str">
        <f>IF(共有用1!U165="","",共有用1!U165&amp;"/"&amp;COUNTIF(共有用1!U$2:U165,共有用1!U165))</f>
        <v/>
      </c>
      <c r="V165" s="17" t="str">
        <f>IF(共有用1!V165="","",共有用1!V165&amp;"/"&amp;COUNTIF(共有用1!V$2:V165,共有用1!V165))</f>
        <v/>
      </c>
      <c r="W165" s="17" t="str">
        <f>IF(共有用1!W165="","",共有用1!W165&amp;"/"&amp;COUNTIF(共有用1!W$2:W165,共有用1!W165))</f>
        <v/>
      </c>
      <c r="X165" s="17" t="str">
        <f>IF(共有用1!X165="","",共有用1!X165&amp;"/"&amp;COUNTIF(共有用1!X$2:X165,共有用1!X165))</f>
        <v/>
      </c>
      <c r="Y165" s="17" t="str">
        <f>IF(共有用1!Y165="","",共有用1!Y165&amp;"/"&amp;COUNTIF(共有用1!Y$2:Y165,共有用1!Y165))</f>
        <v/>
      </c>
      <c r="Z165" s="17" t="str">
        <f>IF(共有用1!Z165="","",共有用1!Z165&amp;"/"&amp;COUNTIF(共有用1!Z$2:Z165,共有用1!Z165))</f>
        <v/>
      </c>
      <c r="AA165" s="17" t="str">
        <f>IF(共有用1!AA165="","",共有用1!AA165&amp;"/"&amp;COUNTIF(共有用1!AA$2:AA165,共有用1!AA165))</f>
        <v/>
      </c>
      <c r="AB165" s="17" t="str">
        <f>IF(共有用1!AB165="","",共有用1!AB165&amp;"/"&amp;COUNTIF(共有用1!AB$2:AB165,共有用1!AB165))</f>
        <v/>
      </c>
      <c r="AC165" s="17" t="str">
        <f>IF(共有用1!AC165="","",共有用1!AC165&amp;"/"&amp;COUNTIF(共有用1!AC$2:AC165,共有用1!AC165))</f>
        <v/>
      </c>
      <c r="AD165" s="17" t="str">
        <f>IF(共有用1!AD165="","",共有用1!AD165&amp;"/"&amp;COUNTIF(共有用1!AD$2:AD165,共有用1!AD165))</f>
        <v/>
      </c>
      <c r="AE165" s="17" t="str">
        <f>IF(共有用1!AE165="","",共有用1!AE165&amp;"/"&amp;COUNTIF(共有用1!AE$2:AE165,共有用1!AE165))</f>
        <v/>
      </c>
      <c r="AF165" s="17" t="str">
        <f>IF(共有用1!AF165="","",共有用1!AF165&amp;"/"&amp;COUNTIF(共有用1!AF$2:AF165,共有用1!AF165))</f>
        <v/>
      </c>
      <c r="AG165" s="17" t="str">
        <f>IF(共有用1!AG165="","",共有用1!AG165&amp;"/"&amp;COUNTIF(共有用1!AG$2:AG165,共有用1!AG165))</f>
        <v/>
      </c>
      <c r="AH165" s="17" t="str">
        <f>IF(共有用1!AH165="","",共有用1!AH165&amp;"/"&amp;COUNTIF(共有用1!AH$2:AH165,共有用1!AH165))</f>
        <v/>
      </c>
      <c r="AI165" s="17" t="str">
        <f>IF(共有用1!AI165="","",共有用1!AI165&amp;"/"&amp;COUNTIF(共有用1!AI$2:AI165,共有用1!AI165))</f>
        <v/>
      </c>
      <c r="AJ165" s="17" t="str">
        <f>IF(共有用1!AJ165="","",共有用1!AJ165&amp;"/"&amp;COUNTIF(共有用1!AJ$2:AJ165,共有用1!AJ165))</f>
        <v/>
      </c>
      <c r="AK165" s="17" t="str">
        <f>IF(共有用1!AK165="","",共有用1!AK165&amp;"/"&amp;COUNTIF(共有用1!AK$2:AK165,共有用1!AK165))</f>
        <v/>
      </c>
      <c r="AL165" s="17" t="str">
        <f>IF(共有用1!AL165="","",共有用1!AL165&amp;"/"&amp;COUNTIF(共有用1!AL$2:AL165,共有用1!AL165))</f>
        <v/>
      </c>
      <c r="AM165" s="17" t="str">
        <f>IF(共有用1!AM165="","",共有用1!AM165&amp;"/"&amp;COUNTIF(共有用1!AM$2:AM165,共有用1!AM165))</f>
        <v/>
      </c>
      <c r="AN165" s="17" t="str">
        <f>IF(共有用1!AN165="","",共有用1!AN165&amp;"/"&amp;COUNTIF(共有用1!AN$2:AN165,共有用1!AN165))</f>
        <v/>
      </c>
      <c r="AO165" s="17" t="str">
        <f>IF(共有用1!AO165="","",共有用1!AO165&amp;"/"&amp;COUNTIF(共有用1!AO$2:AO165,共有用1!AO165))</f>
        <v/>
      </c>
      <c r="AP165" s="17" t="str">
        <f>IF(共有用1!AP165="","",共有用1!AP165&amp;"/"&amp;COUNTIF(共有用1!AP$2:AP165,共有用1!AP165))</f>
        <v/>
      </c>
      <c r="AQ165" s="17" t="str">
        <f>IF(共有用1!AQ165="","",共有用1!AQ165&amp;"/"&amp;COUNTIF(共有用1!AQ$2:AQ165,共有用1!AQ165))</f>
        <v/>
      </c>
      <c r="AR165" s="17" t="str">
        <f>IF(共有用1!AR165="","",共有用1!AR165&amp;"/"&amp;COUNTIF(共有用1!AR$2:AR165,共有用1!AR165))</f>
        <v/>
      </c>
      <c r="AS165" s="17" t="str">
        <f>IF(共有用1!AS165="","",共有用1!AS165&amp;"/"&amp;COUNTIF(共有用1!AS$2:AS165,共有用1!AS165))</f>
        <v/>
      </c>
      <c r="AT165" s="17" t="str">
        <f>IF(共有用1!AT165="","",共有用1!AT165&amp;"/"&amp;COUNTIF(共有用1!AT$2:AT165,共有用1!AT165))</f>
        <v/>
      </c>
      <c r="AU165" s="17" t="str">
        <f>IF(共有用1!AU165="","",共有用1!AU165&amp;"/"&amp;COUNTIF(共有用1!AU$2:AU165,共有用1!AU165))</f>
        <v/>
      </c>
      <c r="AV165" s="17" t="str">
        <f>IF(共有用1!AV165="","",共有用1!AV165&amp;"/"&amp;COUNTIF(共有用1!AV$2:AV165,共有用1!AV165))</f>
        <v/>
      </c>
      <c r="AW165" s="17" t="str">
        <f>IF(共有用1!AW165="","",共有用1!AW165&amp;"/"&amp;COUNTIF(共有用1!AW$2:AW165,共有用1!AW165))</f>
        <v/>
      </c>
      <c r="AX165" s="17" t="str">
        <f>IF(共有用1!AX165="","",共有用1!AX165&amp;"/"&amp;COUNTIF(共有用1!AX$2:AX165,共有用1!AX165))</f>
        <v/>
      </c>
      <c r="AY165" s="17" t="str">
        <f>IF(共有用1!AY165="","",共有用1!AY165&amp;"/"&amp;COUNTIF(共有用1!AY$2:AY165,共有用1!AY165))</f>
        <v/>
      </c>
      <c r="AZ165" s="17" t="str">
        <f>IF(共有用1!AZ165="","",共有用1!AZ165&amp;"/"&amp;COUNTIF(共有用1!AZ$2:AZ165,共有用1!AZ165))</f>
        <v/>
      </c>
      <c r="BA165" s="17" t="str">
        <f>IF(共有用1!BA165="","",共有用1!BA165&amp;"/"&amp;COUNTIF(共有用1!BA$2:BA165,共有用1!BA165))</f>
        <v/>
      </c>
    </row>
    <row r="166" spans="1:53">
      <c r="A166" s="2" t="str">
        <f>共有用1!A166</f>
        <v/>
      </c>
      <c r="B166" s="2" t="str">
        <f>共有用1!B166</f>
        <v/>
      </c>
      <c r="C166" s="2" t="str">
        <f>共有用1!C166</f>
        <v/>
      </c>
      <c r="D166" s="17" t="str">
        <f>IF(共有用1!D166="","",共有用1!D166&amp;"/"&amp;COUNTIF(共有用1!D$2:D166,共有用1!D166))</f>
        <v/>
      </c>
      <c r="E166" s="17" t="str">
        <f>IF(共有用1!E166="","",共有用1!E166&amp;"/"&amp;COUNTIF(共有用1!E$2:E166,共有用1!E166))</f>
        <v/>
      </c>
      <c r="F166" s="17" t="str">
        <f>IF(共有用1!F166="","",共有用1!F166&amp;"/"&amp;COUNTIF(共有用1!F$2:F166,共有用1!F166))</f>
        <v/>
      </c>
      <c r="G166" s="17" t="str">
        <f>IF(共有用1!G166="","",共有用1!G166&amp;"/"&amp;COUNTIF(共有用1!G$2:G166,共有用1!G166))</f>
        <v/>
      </c>
      <c r="H166" s="17" t="str">
        <f>IF(共有用1!H166="","",共有用1!H166&amp;"/"&amp;COUNTIF(共有用1!H$2:H166,共有用1!H166))</f>
        <v/>
      </c>
      <c r="I166" s="17" t="str">
        <f>IF(共有用1!I166="","",共有用1!I166&amp;"/"&amp;COUNTIF(共有用1!I$2:I166,共有用1!I166))</f>
        <v/>
      </c>
      <c r="J166" s="17" t="str">
        <f>IF(共有用1!J166="","",共有用1!J166&amp;"/"&amp;COUNTIF(共有用1!J$2:J166,共有用1!J166))</f>
        <v/>
      </c>
      <c r="K166" s="17" t="str">
        <f>IF(共有用1!K166="","",共有用1!K166&amp;"/"&amp;COUNTIF(共有用1!K$2:K166,共有用1!K166))</f>
        <v/>
      </c>
      <c r="L166" s="17" t="str">
        <f>IF(共有用1!L166="","",共有用1!L166&amp;"/"&amp;COUNTIF(共有用1!L$2:L166,共有用1!L166))</f>
        <v/>
      </c>
      <c r="M166" s="17" t="str">
        <f>IF(共有用1!M166="","",共有用1!M166&amp;"/"&amp;COUNTIF(共有用1!M$2:M166,共有用1!M166))</f>
        <v/>
      </c>
      <c r="N166" s="17" t="str">
        <f>IF(共有用1!N166="","",共有用1!N166&amp;"/"&amp;COUNTIF(共有用1!N$2:N166,共有用1!N166))</f>
        <v/>
      </c>
      <c r="O166" s="17" t="str">
        <f>IF(共有用1!O166="","",共有用1!O166&amp;"/"&amp;COUNTIF(共有用1!O$2:O166,共有用1!O166))</f>
        <v/>
      </c>
      <c r="P166" s="17" t="str">
        <f>IF(共有用1!P166="","",共有用1!P166&amp;"/"&amp;COUNTIF(共有用1!P$2:P166,共有用1!P166))</f>
        <v/>
      </c>
      <c r="Q166" s="17" t="str">
        <f>IF(共有用1!Q166="","",共有用1!Q166&amp;"/"&amp;COUNTIF(共有用1!Q$2:Q166,共有用1!Q166))</f>
        <v/>
      </c>
      <c r="R166" s="17" t="str">
        <f>IF(共有用1!R166="","",共有用1!R166&amp;"/"&amp;COUNTIF(共有用1!R$2:R166,共有用1!R166))</f>
        <v/>
      </c>
      <c r="S166" s="17" t="str">
        <f>IF(共有用1!S166="","",共有用1!S166&amp;"/"&amp;COUNTIF(共有用1!S$2:S166,共有用1!S166))</f>
        <v/>
      </c>
      <c r="T166" s="17" t="str">
        <f>IF(共有用1!T166="","",共有用1!T166&amp;"/"&amp;COUNTIF(共有用1!T$2:T166,共有用1!T166))</f>
        <v/>
      </c>
      <c r="U166" s="17" t="str">
        <f>IF(共有用1!U166="","",共有用1!U166&amp;"/"&amp;COUNTIF(共有用1!U$2:U166,共有用1!U166))</f>
        <v/>
      </c>
      <c r="V166" s="17" t="str">
        <f>IF(共有用1!V166="","",共有用1!V166&amp;"/"&amp;COUNTIF(共有用1!V$2:V166,共有用1!V166))</f>
        <v/>
      </c>
      <c r="W166" s="17" t="str">
        <f>IF(共有用1!W166="","",共有用1!W166&amp;"/"&amp;COUNTIF(共有用1!W$2:W166,共有用1!W166))</f>
        <v/>
      </c>
      <c r="X166" s="17" t="str">
        <f>IF(共有用1!X166="","",共有用1!X166&amp;"/"&amp;COUNTIF(共有用1!X$2:X166,共有用1!X166))</f>
        <v/>
      </c>
      <c r="Y166" s="17" t="str">
        <f>IF(共有用1!Y166="","",共有用1!Y166&amp;"/"&amp;COUNTIF(共有用1!Y$2:Y166,共有用1!Y166))</f>
        <v/>
      </c>
      <c r="Z166" s="17" t="str">
        <f>IF(共有用1!Z166="","",共有用1!Z166&amp;"/"&amp;COUNTIF(共有用1!Z$2:Z166,共有用1!Z166))</f>
        <v/>
      </c>
      <c r="AA166" s="17" t="str">
        <f>IF(共有用1!AA166="","",共有用1!AA166&amp;"/"&amp;COUNTIF(共有用1!AA$2:AA166,共有用1!AA166))</f>
        <v/>
      </c>
      <c r="AB166" s="17" t="str">
        <f>IF(共有用1!AB166="","",共有用1!AB166&amp;"/"&amp;COUNTIF(共有用1!AB$2:AB166,共有用1!AB166))</f>
        <v/>
      </c>
      <c r="AC166" s="17" t="str">
        <f>IF(共有用1!AC166="","",共有用1!AC166&amp;"/"&amp;COUNTIF(共有用1!AC$2:AC166,共有用1!AC166))</f>
        <v/>
      </c>
      <c r="AD166" s="17" t="str">
        <f>IF(共有用1!AD166="","",共有用1!AD166&amp;"/"&amp;COUNTIF(共有用1!AD$2:AD166,共有用1!AD166))</f>
        <v/>
      </c>
      <c r="AE166" s="17" t="str">
        <f>IF(共有用1!AE166="","",共有用1!AE166&amp;"/"&amp;COUNTIF(共有用1!AE$2:AE166,共有用1!AE166))</f>
        <v/>
      </c>
      <c r="AF166" s="17" t="str">
        <f>IF(共有用1!AF166="","",共有用1!AF166&amp;"/"&amp;COUNTIF(共有用1!AF$2:AF166,共有用1!AF166))</f>
        <v/>
      </c>
      <c r="AG166" s="17" t="str">
        <f>IF(共有用1!AG166="","",共有用1!AG166&amp;"/"&amp;COUNTIF(共有用1!AG$2:AG166,共有用1!AG166))</f>
        <v/>
      </c>
      <c r="AH166" s="17" t="str">
        <f>IF(共有用1!AH166="","",共有用1!AH166&amp;"/"&amp;COUNTIF(共有用1!AH$2:AH166,共有用1!AH166))</f>
        <v/>
      </c>
      <c r="AI166" s="17" t="str">
        <f>IF(共有用1!AI166="","",共有用1!AI166&amp;"/"&amp;COUNTIF(共有用1!AI$2:AI166,共有用1!AI166))</f>
        <v/>
      </c>
      <c r="AJ166" s="17" t="str">
        <f>IF(共有用1!AJ166="","",共有用1!AJ166&amp;"/"&amp;COUNTIF(共有用1!AJ$2:AJ166,共有用1!AJ166))</f>
        <v/>
      </c>
      <c r="AK166" s="17" t="str">
        <f>IF(共有用1!AK166="","",共有用1!AK166&amp;"/"&amp;COUNTIF(共有用1!AK$2:AK166,共有用1!AK166))</f>
        <v/>
      </c>
      <c r="AL166" s="17" t="str">
        <f>IF(共有用1!AL166="","",共有用1!AL166&amp;"/"&amp;COUNTIF(共有用1!AL$2:AL166,共有用1!AL166))</f>
        <v/>
      </c>
      <c r="AM166" s="17" t="str">
        <f>IF(共有用1!AM166="","",共有用1!AM166&amp;"/"&amp;COUNTIF(共有用1!AM$2:AM166,共有用1!AM166))</f>
        <v/>
      </c>
      <c r="AN166" s="17" t="str">
        <f>IF(共有用1!AN166="","",共有用1!AN166&amp;"/"&amp;COUNTIF(共有用1!AN$2:AN166,共有用1!AN166))</f>
        <v/>
      </c>
      <c r="AO166" s="17" t="str">
        <f>IF(共有用1!AO166="","",共有用1!AO166&amp;"/"&amp;COUNTIF(共有用1!AO$2:AO166,共有用1!AO166))</f>
        <v/>
      </c>
      <c r="AP166" s="17" t="str">
        <f>IF(共有用1!AP166="","",共有用1!AP166&amp;"/"&amp;COUNTIF(共有用1!AP$2:AP166,共有用1!AP166))</f>
        <v/>
      </c>
      <c r="AQ166" s="17" t="str">
        <f>IF(共有用1!AQ166="","",共有用1!AQ166&amp;"/"&amp;COUNTIF(共有用1!AQ$2:AQ166,共有用1!AQ166))</f>
        <v/>
      </c>
      <c r="AR166" s="17" t="str">
        <f>IF(共有用1!AR166="","",共有用1!AR166&amp;"/"&amp;COUNTIF(共有用1!AR$2:AR166,共有用1!AR166))</f>
        <v/>
      </c>
      <c r="AS166" s="17" t="str">
        <f>IF(共有用1!AS166="","",共有用1!AS166&amp;"/"&amp;COUNTIF(共有用1!AS$2:AS166,共有用1!AS166))</f>
        <v/>
      </c>
      <c r="AT166" s="17" t="str">
        <f>IF(共有用1!AT166="","",共有用1!AT166&amp;"/"&amp;COUNTIF(共有用1!AT$2:AT166,共有用1!AT166))</f>
        <v/>
      </c>
      <c r="AU166" s="17" t="str">
        <f>IF(共有用1!AU166="","",共有用1!AU166&amp;"/"&amp;COUNTIF(共有用1!AU$2:AU166,共有用1!AU166))</f>
        <v/>
      </c>
      <c r="AV166" s="17" t="str">
        <f>IF(共有用1!AV166="","",共有用1!AV166&amp;"/"&amp;COUNTIF(共有用1!AV$2:AV166,共有用1!AV166))</f>
        <v/>
      </c>
      <c r="AW166" s="17" t="str">
        <f>IF(共有用1!AW166="","",共有用1!AW166&amp;"/"&amp;COUNTIF(共有用1!AW$2:AW166,共有用1!AW166))</f>
        <v/>
      </c>
      <c r="AX166" s="17" t="str">
        <f>IF(共有用1!AX166="","",共有用1!AX166&amp;"/"&amp;COUNTIF(共有用1!AX$2:AX166,共有用1!AX166))</f>
        <v/>
      </c>
      <c r="AY166" s="17" t="str">
        <f>IF(共有用1!AY166="","",共有用1!AY166&amp;"/"&amp;COUNTIF(共有用1!AY$2:AY166,共有用1!AY166))</f>
        <v/>
      </c>
      <c r="AZ166" s="17" t="str">
        <f>IF(共有用1!AZ166="","",共有用1!AZ166&amp;"/"&amp;COUNTIF(共有用1!AZ$2:AZ166,共有用1!AZ166))</f>
        <v/>
      </c>
      <c r="BA166" s="17" t="str">
        <f>IF(共有用1!BA166="","",共有用1!BA166&amp;"/"&amp;COUNTIF(共有用1!BA$2:BA166,共有用1!BA166))</f>
        <v/>
      </c>
    </row>
    <row r="167" spans="1:53">
      <c r="A167" s="2" t="str">
        <f>共有用1!A167</f>
        <v/>
      </c>
      <c r="B167" s="2" t="str">
        <f>共有用1!B167</f>
        <v/>
      </c>
      <c r="C167" s="2" t="str">
        <f>共有用1!C167</f>
        <v/>
      </c>
      <c r="D167" s="17" t="str">
        <f>IF(共有用1!D167="","",共有用1!D167&amp;"/"&amp;COUNTIF(共有用1!D$2:D167,共有用1!D167))</f>
        <v/>
      </c>
      <c r="E167" s="17" t="str">
        <f>IF(共有用1!E167="","",共有用1!E167&amp;"/"&amp;COUNTIF(共有用1!E$2:E167,共有用1!E167))</f>
        <v/>
      </c>
      <c r="F167" s="17" t="str">
        <f>IF(共有用1!F167="","",共有用1!F167&amp;"/"&amp;COUNTIF(共有用1!F$2:F167,共有用1!F167))</f>
        <v/>
      </c>
      <c r="G167" s="17" t="str">
        <f>IF(共有用1!G167="","",共有用1!G167&amp;"/"&amp;COUNTIF(共有用1!G$2:G167,共有用1!G167))</f>
        <v/>
      </c>
      <c r="H167" s="17" t="str">
        <f>IF(共有用1!H167="","",共有用1!H167&amp;"/"&amp;COUNTIF(共有用1!H$2:H167,共有用1!H167))</f>
        <v/>
      </c>
      <c r="I167" s="17" t="str">
        <f>IF(共有用1!I167="","",共有用1!I167&amp;"/"&amp;COUNTIF(共有用1!I$2:I167,共有用1!I167))</f>
        <v/>
      </c>
      <c r="J167" s="17" t="str">
        <f>IF(共有用1!J167="","",共有用1!J167&amp;"/"&amp;COUNTIF(共有用1!J$2:J167,共有用1!J167))</f>
        <v/>
      </c>
      <c r="K167" s="17" t="str">
        <f>IF(共有用1!K167="","",共有用1!K167&amp;"/"&amp;COUNTIF(共有用1!K$2:K167,共有用1!K167))</f>
        <v/>
      </c>
      <c r="L167" s="17" t="str">
        <f>IF(共有用1!L167="","",共有用1!L167&amp;"/"&amp;COUNTIF(共有用1!L$2:L167,共有用1!L167))</f>
        <v/>
      </c>
      <c r="M167" s="17" t="str">
        <f>IF(共有用1!M167="","",共有用1!M167&amp;"/"&amp;COUNTIF(共有用1!M$2:M167,共有用1!M167))</f>
        <v/>
      </c>
      <c r="N167" s="17" t="str">
        <f>IF(共有用1!N167="","",共有用1!N167&amp;"/"&amp;COUNTIF(共有用1!N$2:N167,共有用1!N167))</f>
        <v/>
      </c>
      <c r="O167" s="17" t="str">
        <f>IF(共有用1!O167="","",共有用1!O167&amp;"/"&amp;COUNTIF(共有用1!O$2:O167,共有用1!O167))</f>
        <v/>
      </c>
      <c r="P167" s="17" t="str">
        <f>IF(共有用1!P167="","",共有用1!P167&amp;"/"&amp;COUNTIF(共有用1!P$2:P167,共有用1!P167))</f>
        <v/>
      </c>
      <c r="Q167" s="17" t="str">
        <f>IF(共有用1!Q167="","",共有用1!Q167&amp;"/"&amp;COUNTIF(共有用1!Q$2:Q167,共有用1!Q167))</f>
        <v/>
      </c>
      <c r="R167" s="17" t="str">
        <f>IF(共有用1!R167="","",共有用1!R167&amp;"/"&amp;COUNTIF(共有用1!R$2:R167,共有用1!R167))</f>
        <v/>
      </c>
      <c r="S167" s="17" t="str">
        <f>IF(共有用1!S167="","",共有用1!S167&amp;"/"&amp;COUNTIF(共有用1!S$2:S167,共有用1!S167))</f>
        <v/>
      </c>
      <c r="T167" s="17" t="str">
        <f>IF(共有用1!T167="","",共有用1!T167&amp;"/"&amp;COUNTIF(共有用1!T$2:T167,共有用1!T167))</f>
        <v/>
      </c>
      <c r="U167" s="17" t="str">
        <f>IF(共有用1!U167="","",共有用1!U167&amp;"/"&amp;COUNTIF(共有用1!U$2:U167,共有用1!U167))</f>
        <v/>
      </c>
      <c r="V167" s="17" t="str">
        <f>IF(共有用1!V167="","",共有用1!V167&amp;"/"&amp;COUNTIF(共有用1!V$2:V167,共有用1!V167))</f>
        <v/>
      </c>
      <c r="W167" s="17" t="str">
        <f>IF(共有用1!W167="","",共有用1!W167&amp;"/"&amp;COUNTIF(共有用1!W$2:W167,共有用1!W167))</f>
        <v/>
      </c>
      <c r="X167" s="17" t="str">
        <f>IF(共有用1!X167="","",共有用1!X167&amp;"/"&amp;COUNTIF(共有用1!X$2:X167,共有用1!X167))</f>
        <v/>
      </c>
      <c r="Y167" s="17" t="str">
        <f>IF(共有用1!Y167="","",共有用1!Y167&amp;"/"&amp;COUNTIF(共有用1!Y$2:Y167,共有用1!Y167))</f>
        <v/>
      </c>
      <c r="Z167" s="17" t="str">
        <f>IF(共有用1!Z167="","",共有用1!Z167&amp;"/"&amp;COUNTIF(共有用1!Z$2:Z167,共有用1!Z167))</f>
        <v/>
      </c>
      <c r="AA167" s="17" t="str">
        <f>IF(共有用1!AA167="","",共有用1!AA167&amp;"/"&amp;COUNTIF(共有用1!AA$2:AA167,共有用1!AA167))</f>
        <v/>
      </c>
      <c r="AB167" s="17" t="str">
        <f>IF(共有用1!AB167="","",共有用1!AB167&amp;"/"&amp;COUNTIF(共有用1!AB$2:AB167,共有用1!AB167))</f>
        <v/>
      </c>
      <c r="AC167" s="17" t="str">
        <f>IF(共有用1!AC167="","",共有用1!AC167&amp;"/"&amp;COUNTIF(共有用1!AC$2:AC167,共有用1!AC167))</f>
        <v/>
      </c>
      <c r="AD167" s="17" t="str">
        <f>IF(共有用1!AD167="","",共有用1!AD167&amp;"/"&amp;COUNTIF(共有用1!AD$2:AD167,共有用1!AD167))</f>
        <v/>
      </c>
      <c r="AE167" s="17" t="str">
        <f>IF(共有用1!AE167="","",共有用1!AE167&amp;"/"&amp;COUNTIF(共有用1!AE$2:AE167,共有用1!AE167))</f>
        <v/>
      </c>
      <c r="AF167" s="17" t="str">
        <f>IF(共有用1!AF167="","",共有用1!AF167&amp;"/"&amp;COUNTIF(共有用1!AF$2:AF167,共有用1!AF167))</f>
        <v/>
      </c>
      <c r="AG167" s="17" t="str">
        <f>IF(共有用1!AG167="","",共有用1!AG167&amp;"/"&amp;COUNTIF(共有用1!AG$2:AG167,共有用1!AG167))</f>
        <v/>
      </c>
      <c r="AH167" s="17" t="str">
        <f>IF(共有用1!AH167="","",共有用1!AH167&amp;"/"&amp;COUNTIF(共有用1!AH$2:AH167,共有用1!AH167))</f>
        <v/>
      </c>
      <c r="AI167" s="17" t="str">
        <f>IF(共有用1!AI167="","",共有用1!AI167&amp;"/"&amp;COUNTIF(共有用1!AI$2:AI167,共有用1!AI167))</f>
        <v/>
      </c>
      <c r="AJ167" s="17" t="str">
        <f>IF(共有用1!AJ167="","",共有用1!AJ167&amp;"/"&amp;COUNTIF(共有用1!AJ$2:AJ167,共有用1!AJ167))</f>
        <v/>
      </c>
      <c r="AK167" s="17" t="str">
        <f>IF(共有用1!AK167="","",共有用1!AK167&amp;"/"&amp;COUNTIF(共有用1!AK$2:AK167,共有用1!AK167))</f>
        <v/>
      </c>
      <c r="AL167" s="17" t="str">
        <f>IF(共有用1!AL167="","",共有用1!AL167&amp;"/"&amp;COUNTIF(共有用1!AL$2:AL167,共有用1!AL167))</f>
        <v/>
      </c>
      <c r="AM167" s="17" t="str">
        <f>IF(共有用1!AM167="","",共有用1!AM167&amp;"/"&amp;COUNTIF(共有用1!AM$2:AM167,共有用1!AM167))</f>
        <v/>
      </c>
      <c r="AN167" s="17" t="str">
        <f>IF(共有用1!AN167="","",共有用1!AN167&amp;"/"&amp;COUNTIF(共有用1!AN$2:AN167,共有用1!AN167))</f>
        <v/>
      </c>
      <c r="AO167" s="17" t="str">
        <f>IF(共有用1!AO167="","",共有用1!AO167&amp;"/"&amp;COUNTIF(共有用1!AO$2:AO167,共有用1!AO167))</f>
        <v/>
      </c>
      <c r="AP167" s="17" t="str">
        <f>IF(共有用1!AP167="","",共有用1!AP167&amp;"/"&amp;COUNTIF(共有用1!AP$2:AP167,共有用1!AP167))</f>
        <v/>
      </c>
      <c r="AQ167" s="17" t="str">
        <f>IF(共有用1!AQ167="","",共有用1!AQ167&amp;"/"&amp;COUNTIF(共有用1!AQ$2:AQ167,共有用1!AQ167))</f>
        <v/>
      </c>
      <c r="AR167" s="17" t="str">
        <f>IF(共有用1!AR167="","",共有用1!AR167&amp;"/"&amp;COUNTIF(共有用1!AR$2:AR167,共有用1!AR167))</f>
        <v/>
      </c>
      <c r="AS167" s="17" t="str">
        <f>IF(共有用1!AS167="","",共有用1!AS167&amp;"/"&amp;COUNTIF(共有用1!AS$2:AS167,共有用1!AS167))</f>
        <v/>
      </c>
      <c r="AT167" s="17" t="str">
        <f>IF(共有用1!AT167="","",共有用1!AT167&amp;"/"&amp;COUNTIF(共有用1!AT$2:AT167,共有用1!AT167))</f>
        <v/>
      </c>
      <c r="AU167" s="17" t="str">
        <f>IF(共有用1!AU167="","",共有用1!AU167&amp;"/"&amp;COUNTIF(共有用1!AU$2:AU167,共有用1!AU167))</f>
        <v/>
      </c>
      <c r="AV167" s="17" t="str">
        <f>IF(共有用1!AV167="","",共有用1!AV167&amp;"/"&amp;COUNTIF(共有用1!AV$2:AV167,共有用1!AV167))</f>
        <v/>
      </c>
      <c r="AW167" s="17" t="str">
        <f>IF(共有用1!AW167="","",共有用1!AW167&amp;"/"&amp;COUNTIF(共有用1!AW$2:AW167,共有用1!AW167))</f>
        <v/>
      </c>
      <c r="AX167" s="17" t="str">
        <f>IF(共有用1!AX167="","",共有用1!AX167&amp;"/"&amp;COUNTIF(共有用1!AX$2:AX167,共有用1!AX167))</f>
        <v/>
      </c>
      <c r="AY167" s="17" t="str">
        <f>IF(共有用1!AY167="","",共有用1!AY167&amp;"/"&amp;COUNTIF(共有用1!AY$2:AY167,共有用1!AY167))</f>
        <v/>
      </c>
      <c r="AZ167" s="17" t="str">
        <f>IF(共有用1!AZ167="","",共有用1!AZ167&amp;"/"&amp;COUNTIF(共有用1!AZ$2:AZ167,共有用1!AZ167))</f>
        <v/>
      </c>
      <c r="BA167" s="17" t="str">
        <f>IF(共有用1!BA167="","",共有用1!BA167&amp;"/"&amp;COUNTIF(共有用1!BA$2:BA167,共有用1!BA167))</f>
        <v/>
      </c>
    </row>
    <row r="168" spans="1:53">
      <c r="A168" s="2" t="str">
        <f>共有用1!A168</f>
        <v/>
      </c>
      <c r="B168" s="2" t="str">
        <f>共有用1!B168</f>
        <v/>
      </c>
      <c r="C168" s="2" t="str">
        <f>共有用1!C168</f>
        <v/>
      </c>
      <c r="D168" s="17" t="str">
        <f>IF(共有用1!D168="","",共有用1!D168&amp;"/"&amp;COUNTIF(共有用1!D$2:D168,共有用1!D168))</f>
        <v/>
      </c>
      <c r="E168" s="17" t="str">
        <f>IF(共有用1!E168="","",共有用1!E168&amp;"/"&amp;COUNTIF(共有用1!E$2:E168,共有用1!E168))</f>
        <v/>
      </c>
      <c r="F168" s="17" t="str">
        <f>IF(共有用1!F168="","",共有用1!F168&amp;"/"&amp;COUNTIF(共有用1!F$2:F168,共有用1!F168))</f>
        <v/>
      </c>
      <c r="G168" s="17" t="str">
        <f>IF(共有用1!G168="","",共有用1!G168&amp;"/"&amp;COUNTIF(共有用1!G$2:G168,共有用1!G168))</f>
        <v/>
      </c>
      <c r="H168" s="17" t="str">
        <f>IF(共有用1!H168="","",共有用1!H168&amp;"/"&amp;COUNTIF(共有用1!H$2:H168,共有用1!H168))</f>
        <v/>
      </c>
      <c r="I168" s="17" t="str">
        <f>IF(共有用1!I168="","",共有用1!I168&amp;"/"&amp;COUNTIF(共有用1!I$2:I168,共有用1!I168))</f>
        <v/>
      </c>
      <c r="J168" s="17" t="str">
        <f>IF(共有用1!J168="","",共有用1!J168&amp;"/"&amp;COUNTIF(共有用1!J$2:J168,共有用1!J168))</f>
        <v/>
      </c>
      <c r="K168" s="17" t="str">
        <f>IF(共有用1!K168="","",共有用1!K168&amp;"/"&amp;COUNTIF(共有用1!K$2:K168,共有用1!K168))</f>
        <v/>
      </c>
      <c r="L168" s="17" t="str">
        <f>IF(共有用1!L168="","",共有用1!L168&amp;"/"&amp;COUNTIF(共有用1!L$2:L168,共有用1!L168))</f>
        <v/>
      </c>
      <c r="M168" s="17" t="str">
        <f>IF(共有用1!M168="","",共有用1!M168&amp;"/"&amp;COUNTIF(共有用1!M$2:M168,共有用1!M168))</f>
        <v/>
      </c>
      <c r="N168" s="17" t="str">
        <f>IF(共有用1!N168="","",共有用1!N168&amp;"/"&amp;COUNTIF(共有用1!N$2:N168,共有用1!N168))</f>
        <v/>
      </c>
      <c r="O168" s="17" t="str">
        <f>IF(共有用1!O168="","",共有用1!O168&amp;"/"&amp;COUNTIF(共有用1!O$2:O168,共有用1!O168))</f>
        <v/>
      </c>
      <c r="P168" s="17" t="str">
        <f>IF(共有用1!P168="","",共有用1!P168&amp;"/"&amp;COUNTIF(共有用1!P$2:P168,共有用1!P168))</f>
        <v/>
      </c>
      <c r="Q168" s="17" t="str">
        <f>IF(共有用1!Q168="","",共有用1!Q168&amp;"/"&amp;COUNTIF(共有用1!Q$2:Q168,共有用1!Q168))</f>
        <v/>
      </c>
      <c r="R168" s="17" t="str">
        <f>IF(共有用1!R168="","",共有用1!R168&amp;"/"&amp;COUNTIF(共有用1!R$2:R168,共有用1!R168))</f>
        <v/>
      </c>
      <c r="S168" s="17" t="str">
        <f>IF(共有用1!S168="","",共有用1!S168&amp;"/"&amp;COUNTIF(共有用1!S$2:S168,共有用1!S168))</f>
        <v/>
      </c>
      <c r="T168" s="17" t="str">
        <f>IF(共有用1!T168="","",共有用1!T168&amp;"/"&amp;COUNTIF(共有用1!T$2:T168,共有用1!T168))</f>
        <v/>
      </c>
      <c r="U168" s="17" t="str">
        <f>IF(共有用1!U168="","",共有用1!U168&amp;"/"&amp;COUNTIF(共有用1!U$2:U168,共有用1!U168))</f>
        <v/>
      </c>
      <c r="V168" s="17" t="str">
        <f>IF(共有用1!V168="","",共有用1!V168&amp;"/"&amp;COUNTIF(共有用1!V$2:V168,共有用1!V168))</f>
        <v/>
      </c>
      <c r="W168" s="17" t="str">
        <f>IF(共有用1!W168="","",共有用1!W168&amp;"/"&amp;COUNTIF(共有用1!W$2:W168,共有用1!W168))</f>
        <v/>
      </c>
      <c r="X168" s="17" t="str">
        <f>IF(共有用1!X168="","",共有用1!X168&amp;"/"&amp;COUNTIF(共有用1!X$2:X168,共有用1!X168))</f>
        <v/>
      </c>
      <c r="Y168" s="17" t="str">
        <f>IF(共有用1!Y168="","",共有用1!Y168&amp;"/"&amp;COUNTIF(共有用1!Y$2:Y168,共有用1!Y168))</f>
        <v/>
      </c>
      <c r="Z168" s="17" t="str">
        <f>IF(共有用1!Z168="","",共有用1!Z168&amp;"/"&amp;COUNTIF(共有用1!Z$2:Z168,共有用1!Z168))</f>
        <v/>
      </c>
      <c r="AA168" s="17" t="str">
        <f>IF(共有用1!AA168="","",共有用1!AA168&amp;"/"&amp;COUNTIF(共有用1!AA$2:AA168,共有用1!AA168))</f>
        <v/>
      </c>
      <c r="AB168" s="17" t="str">
        <f>IF(共有用1!AB168="","",共有用1!AB168&amp;"/"&amp;COUNTIF(共有用1!AB$2:AB168,共有用1!AB168))</f>
        <v/>
      </c>
      <c r="AC168" s="17" t="str">
        <f>IF(共有用1!AC168="","",共有用1!AC168&amp;"/"&amp;COUNTIF(共有用1!AC$2:AC168,共有用1!AC168))</f>
        <v/>
      </c>
      <c r="AD168" s="17" t="str">
        <f>IF(共有用1!AD168="","",共有用1!AD168&amp;"/"&amp;COUNTIF(共有用1!AD$2:AD168,共有用1!AD168))</f>
        <v/>
      </c>
      <c r="AE168" s="17" t="str">
        <f>IF(共有用1!AE168="","",共有用1!AE168&amp;"/"&amp;COUNTIF(共有用1!AE$2:AE168,共有用1!AE168))</f>
        <v/>
      </c>
      <c r="AF168" s="17" t="str">
        <f>IF(共有用1!AF168="","",共有用1!AF168&amp;"/"&amp;COUNTIF(共有用1!AF$2:AF168,共有用1!AF168))</f>
        <v/>
      </c>
      <c r="AG168" s="17" t="str">
        <f>IF(共有用1!AG168="","",共有用1!AG168&amp;"/"&amp;COUNTIF(共有用1!AG$2:AG168,共有用1!AG168))</f>
        <v/>
      </c>
      <c r="AH168" s="17" t="str">
        <f>IF(共有用1!AH168="","",共有用1!AH168&amp;"/"&amp;COUNTIF(共有用1!AH$2:AH168,共有用1!AH168))</f>
        <v/>
      </c>
      <c r="AI168" s="17" t="str">
        <f>IF(共有用1!AI168="","",共有用1!AI168&amp;"/"&amp;COUNTIF(共有用1!AI$2:AI168,共有用1!AI168))</f>
        <v/>
      </c>
      <c r="AJ168" s="17" t="str">
        <f>IF(共有用1!AJ168="","",共有用1!AJ168&amp;"/"&amp;COUNTIF(共有用1!AJ$2:AJ168,共有用1!AJ168))</f>
        <v/>
      </c>
      <c r="AK168" s="17" t="str">
        <f>IF(共有用1!AK168="","",共有用1!AK168&amp;"/"&amp;COUNTIF(共有用1!AK$2:AK168,共有用1!AK168))</f>
        <v/>
      </c>
      <c r="AL168" s="17" t="str">
        <f>IF(共有用1!AL168="","",共有用1!AL168&amp;"/"&amp;COUNTIF(共有用1!AL$2:AL168,共有用1!AL168))</f>
        <v/>
      </c>
      <c r="AM168" s="17" t="str">
        <f>IF(共有用1!AM168="","",共有用1!AM168&amp;"/"&amp;COUNTIF(共有用1!AM$2:AM168,共有用1!AM168))</f>
        <v/>
      </c>
      <c r="AN168" s="17" t="str">
        <f>IF(共有用1!AN168="","",共有用1!AN168&amp;"/"&amp;COUNTIF(共有用1!AN$2:AN168,共有用1!AN168))</f>
        <v/>
      </c>
      <c r="AO168" s="17" t="str">
        <f>IF(共有用1!AO168="","",共有用1!AO168&amp;"/"&amp;COUNTIF(共有用1!AO$2:AO168,共有用1!AO168))</f>
        <v/>
      </c>
      <c r="AP168" s="17" t="str">
        <f>IF(共有用1!AP168="","",共有用1!AP168&amp;"/"&amp;COUNTIF(共有用1!AP$2:AP168,共有用1!AP168))</f>
        <v/>
      </c>
      <c r="AQ168" s="17" t="str">
        <f>IF(共有用1!AQ168="","",共有用1!AQ168&amp;"/"&amp;COUNTIF(共有用1!AQ$2:AQ168,共有用1!AQ168))</f>
        <v/>
      </c>
      <c r="AR168" s="17" t="str">
        <f>IF(共有用1!AR168="","",共有用1!AR168&amp;"/"&amp;COUNTIF(共有用1!AR$2:AR168,共有用1!AR168))</f>
        <v/>
      </c>
      <c r="AS168" s="17" t="str">
        <f>IF(共有用1!AS168="","",共有用1!AS168&amp;"/"&amp;COUNTIF(共有用1!AS$2:AS168,共有用1!AS168))</f>
        <v/>
      </c>
      <c r="AT168" s="17" t="str">
        <f>IF(共有用1!AT168="","",共有用1!AT168&amp;"/"&amp;COUNTIF(共有用1!AT$2:AT168,共有用1!AT168))</f>
        <v/>
      </c>
      <c r="AU168" s="17" t="str">
        <f>IF(共有用1!AU168="","",共有用1!AU168&amp;"/"&amp;COUNTIF(共有用1!AU$2:AU168,共有用1!AU168))</f>
        <v/>
      </c>
      <c r="AV168" s="17" t="str">
        <f>IF(共有用1!AV168="","",共有用1!AV168&amp;"/"&amp;COUNTIF(共有用1!AV$2:AV168,共有用1!AV168))</f>
        <v/>
      </c>
      <c r="AW168" s="17" t="str">
        <f>IF(共有用1!AW168="","",共有用1!AW168&amp;"/"&amp;COUNTIF(共有用1!AW$2:AW168,共有用1!AW168))</f>
        <v/>
      </c>
      <c r="AX168" s="17" t="str">
        <f>IF(共有用1!AX168="","",共有用1!AX168&amp;"/"&amp;COUNTIF(共有用1!AX$2:AX168,共有用1!AX168))</f>
        <v/>
      </c>
      <c r="AY168" s="17" t="str">
        <f>IF(共有用1!AY168="","",共有用1!AY168&amp;"/"&amp;COUNTIF(共有用1!AY$2:AY168,共有用1!AY168))</f>
        <v/>
      </c>
      <c r="AZ168" s="17" t="str">
        <f>IF(共有用1!AZ168="","",共有用1!AZ168&amp;"/"&amp;COUNTIF(共有用1!AZ$2:AZ168,共有用1!AZ168))</f>
        <v/>
      </c>
      <c r="BA168" s="17" t="str">
        <f>IF(共有用1!BA168="","",共有用1!BA168&amp;"/"&amp;COUNTIF(共有用1!BA$2:BA168,共有用1!BA168))</f>
        <v/>
      </c>
    </row>
    <row r="169" spans="1:53">
      <c r="A169" s="2" t="str">
        <f>共有用1!A169</f>
        <v/>
      </c>
      <c r="B169" s="2" t="str">
        <f>共有用1!B169</f>
        <v/>
      </c>
      <c r="C169" s="2" t="str">
        <f>共有用1!C169</f>
        <v/>
      </c>
      <c r="D169" s="17" t="str">
        <f>IF(共有用1!D169="","",共有用1!D169&amp;"/"&amp;COUNTIF(共有用1!D$2:D169,共有用1!D169))</f>
        <v/>
      </c>
      <c r="E169" s="17" t="str">
        <f>IF(共有用1!E169="","",共有用1!E169&amp;"/"&amp;COUNTIF(共有用1!E$2:E169,共有用1!E169))</f>
        <v/>
      </c>
      <c r="F169" s="17" t="str">
        <f>IF(共有用1!F169="","",共有用1!F169&amp;"/"&amp;COUNTIF(共有用1!F$2:F169,共有用1!F169))</f>
        <v/>
      </c>
      <c r="G169" s="17" t="str">
        <f>IF(共有用1!G169="","",共有用1!G169&amp;"/"&amp;COUNTIF(共有用1!G$2:G169,共有用1!G169))</f>
        <v/>
      </c>
      <c r="H169" s="17" t="str">
        <f>IF(共有用1!H169="","",共有用1!H169&amp;"/"&amp;COUNTIF(共有用1!H$2:H169,共有用1!H169))</f>
        <v/>
      </c>
      <c r="I169" s="17" t="str">
        <f>IF(共有用1!I169="","",共有用1!I169&amp;"/"&amp;COUNTIF(共有用1!I$2:I169,共有用1!I169))</f>
        <v/>
      </c>
      <c r="J169" s="17" t="str">
        <f>IF(共有用1!J169="","",共有用1!J169&amp;"/"&amp;COUNTIF(共有用1!J$2:J169,共有用1!J169))</f>
        <v/>
      </c>
      <c r="K169" s="17" t="str">
        <f>IF(共有用1!K169="","",共有用1!K169&amp;"/"&amp;COUNTIF(共有用1!K$2:K169,共有用1!K169))</f>
        <v/>
      </c>
      <c r="L169" s="17" t="str">
        <f>IF(共有用1!L169="","",共有用1!L169&amp;"/"&amp;COUNTIF(共有用1!L$2:L169,共有用1!L169))</f>
        <v/>
      </c>
      <c r="M169" s="17" t="str">
        <f>IF(共有用1!M169="","",共有用1!M169&amp;"/"&amp;COUNTIF(共有用1!M$2:M169,共有用1!M169))</f>
        <v/>
      </c>
      <c r="N169" s="17" t="str">
        <f>IF(共有用1!N169="","",共有用1!N169&amp;"/"&amp;COUNTIF(共有用1!N$2:N169,共有用1!N169))</f>
        <v/>
      </c>
      <c r="O169" s="17" t="str">
        <f>IF(共有用1!O169="","",共有用1!O169&amp;"/"&amp;COUNTIF(共有用1!O$2:O169,共有用1!O169))</f>
        <v/>
      </c>
      <c r="P169" s="17" t="str">
        <f>IF(共有用1!P169="","",共有用1!P169&amp;"/"&amp;COUNTIF(共有用1!P$2:P169,共有用1!P169))</f>
        <v/>
      </c>
      <c r="Q169" s="17" t="str">
        <f>IF(共有用1!Q169="","",共有用1!Q169&amp;"/"&amp;COUNTIF(共有用1!Q$2:Q169,共有用1!Q169))</f>
        <v/>
      </c>
      <c r="R169" s="17" t="str">
        <f>IF(共有用1!R169="","",共有用1!R169&amp;"/"&amp;COUNTIF(共有用1!R$2:R169,共有用1!R169))</f>
        <v/>
      </c>
      <c r="S169" s="17" t="str">
        <f>IF(共有用1!S169="","",共有用1!S169&amp;"/"&amp;COUNTIF(共有用1!S$2:S169,共有用1!S169))</f>
        <v/>
      </c>
      <c r="T169" s="17" t="str">
        <f>IF(共有用1!T169="","",共有用1!T169&amp;"/"&amp;COUNTIF(共有用1!T$2:T169,共有用1!T169))</f>
        <v/>
      </c>
      <c r="U169" s="17" t="str">
        <f>IF(共有用1!U169="","",共有用1!U169&amp;"/"&amp;COUNTIF(共有用1!U$2:U169,共有用1!U169))</f>
        <v/>
      </c>
      <c r="V169" s="17" t="str">
        <f>IF(共有用1!V169="","",共有用1!V169&amp;"/"&amp;COUNTIF(共有用1!V$2:V169,共有用1!V169))</f>
        <v/>
      </c>
      <c r="W169" s="17" t="str">
        <f>IF(共有用1!W169="","",共有用1!W169&amp;"/"&amp;COUNTIF(共有用1!W$2:W169,共有用1!W169))</f>
        <v/>
      </c>
      <c r="X169" s="17" t="str">
        <f>IF(共有用1!X169="","",共有用1!X169&amp;"/"&amp;COUNTIF(共有用1!X$2:X169,共有用1!X169))</f>
        <v/>
      </c>
      <c r="Y169" s="17" t="str">
        <f>IF(共有用1!Y169="","",共有用1!Y169&amp;"/"&amp;COUNTIF(共有用1!Y$2:Y169,共有用1!Y169))</f>
        <v/>
      </c>
      <c r="Z169" s="17" t="str">
        <f>IF(共有用1!Z169="","",共有用1!Z169&amp;"/"&amp;COUNTIF(共有用1!Z$2:Z169,共有用1!Z169))</f>
        <v/>
      </c>
      <c r="AA169" s="17" t="str">
        <f>IF(共有用1!AA169="","",共有用1!AA169&amp;"/"&amp;COUNTIF(共有用1!AA$2:AA169,共有用1!AA169))</f>
        <v/>
      </c>
      <c r="AB169" s="17" t="str">
        <f>IF(共有用1!AB169="","",共有用1!AB169&amp;"/"&amp;COUNTIF(共有用1!AB$2:AB169,共有用1!AB169))</f>
        <v/>
      </c>
      <c r="AC169" s="17" t="str">
        <f>IF(共有用1!AC169="","",共有用1!AC169&amp;"/"&amp;COUNTIF(共有用1!AC$2:AC169,共有用1!AC169))</f>
        <v/>
      </c>
      <c r="AD169" s="17" t="str">
        <f>IF(共有用1!AD169="","",共有用1!AD169&amp;"/"&amp;COUNTIF(共有用1!AD$2:AD169,共有用1!AD169))</f>
        <v/>
      </c>
      <c r="AE169" s="17" t="str">
        <f>IF(共有用1!AE169="","",共有用1!AE169&amp;"/"&amp;COUNTIF(共有用1!AE$2:AE169,共有用1!AE169))</f>
        <v/>
      </c>
      <c r="AF169" s="17" t="str">
        <f>IF(共有用1!AF169="","",共有用1!AF169&amp;"/"&amp;COUNTIF(共有用1!AF$2:AF169,共有用1!AF169))</f>
        <v/>
      </c>
      <c r="AG169" s="17" t="str">
        <f>IF(共有用1!AG169="","",共有用1!AG169&amp;"/"&amp;COUNTIF(共有用1!AG$2:AG169,共有用1!AG169))</f>
        <v/>
      </c>
      <c r="AH169" s="17" t="str">
        <f>IF(共有用1!AH169="","",共有用1!AH169&amp;"/"&amp;COUNTIF(共有用1!AH$2:AH169,共有用1!AH169))</f>
        <v/>
      </c>
      <c r="AI169" s="17" t="str">
        <f>IF(共有用1!AI169="","",共有用1!AI169&amp;"/"&amp;COUNTIF(共有用1!AI$2:AI169,共有用1!AI169))</f>
        <v/>
      </c>
      <c r="AJ169" s="17" t="str">
        <f>IF(共有用1!AJ169="","",共有用1!AJ169&amp;"/"&amp;COUNTIF(共有用1!AJ$2:AJ169,共有用1!AJ169))</f>
        <v/>
      </c>
      <c r="AK169" s="17" t="str">
        <f>IF(共有用1!AK169="","",共有用1!AK169&amp;"/"&amp;COUNTIF(共有用1!AK$2:AK169,共有用1!AK169))</f>
        <v/>
      </c>
      <c r="AL169" s="17" t="str">
        <f>IF(共有用1!AL169="","",共有用1!AL169&amp;"/"&amp;COUNTIF(共有用1!AL$2:AL169,共有用1!AL169))</f>
        <v/>
      </c>
      <c r="AM169" s="17" t="str">
        <f>IF(共有用1!AM169="","",共有用1!AM169&amp;"/"&amp;COUNTIF(共有用1!AM$2:AM169,共有用1!AM169))</f>
        <v/>
      </c>
      <c r="AN169" s="17" t="str">
        <f>IF(共有用1!AN169="","",共有用1!AN169&amp;"/"&amp;COUNTIF(共有用1!AN$2:AN169,共有用1!AN169))</f>
        <v/>
      </c>
      <c r="AO169" s="17" t="str">
        <f>IF(共有用1!AO169="","",共有用1!AO169&amp;"/"&amp;COUNTIF(共有用1!AO$2:AO169,共有用1!AO169))</f>
        <v/>
      </c>
      <c r="AP169" s="17" t="str">
        <f>IF(共有用1!AP169="","",共有用1!AP169&amp;"/"&amp;COUNTIF(共有用1!AP$2:AP169,共有用1!AP169))</f>
        <v/>
      </c>
      <c r="AQ169" s="17" t="str">
        <f>IF(共有用1!AQ169="","",共有用1!AQ169&amp;"/"&amp;COUNTIF(共有用1!AQ$2:AQ169,共有用1!AQ169))</f>
        <v/>
      </c>
      <c r="AR169" s="17" t="str">
        <f>IF(共有用1!AR169="","",共有用1!AR169&amp;"/"&amp;COUNTIF(共有用1!AR$2:AR169,共有用1!AR169))</f>
        <v/>
      </c>
      <c r="AS169" s="17" t="str">
        <f>IF(共有用1!AS169="","",共有用1!AS169&amp;"/"&amp;COUNTIF(共有用1!AS$2:AS169,共有用1!AS169))</f>
        <v/>
      </c>
      <c r="AT169" s="17" t="str">
        <f>IF(共有用1!AT169="","",共有用1!AT169&amp;"/"&amp;COUNTIF(共有用1!AT$2:AT169,共有用1!AT169))</f>
        <v/>
      </c>
      <c r="AU169" s="17" t="str">
        <f>IF(共有用1!AU169="","",共有用1!AU169&amp;"/"&amp;COUNTIF(共有用1!AU$2:AU169,共有用1!AU169))</f>
        <v/>
      </c>
      <c r="AV169" s="17" t="str">
        <f>IF(共有用1!AV169="","",共有用1!AV169&amp;"/"&amp;COUNTIF(共有用1!AV$2:AV169,共有用1!AV169))</f>
        <v/>
      </c>
      <c r="AW169" s="17" t="str">
        <f>IF(共有用1!AW169="","",共有用1!AW169&amp;"/"&amp;COUNTIF(共有用1!AW$2:AW169,共有用1!AW169))</f>
        <v/>
      </c>
      <c r="AX169" s="17" t="str">
        <f>IF(共有用1!AX169="","",共有用1!AX169&amp;"/"&amp;COUNTIF(共有用1!AX$2:AX169,共有用1!AX169))</f>
        <v/>
      </c>
      <c r="AY169" s="17" t="str">
        <f>IF(共有用1!AY169="","",共有用1!AY169&amp;"/"&amp;COUNTIF(共有用1!AY$2:AY169,共有用1!AY169))</f>
        <v/>
      </c>
      <c r="AZ169" s="17" t="str">
        <f>IF(共有用1!AZ169="","",共有用1!AZ169&amp;"/"&amp;COUNTIF(共有用1!AZ$2:AZ169,共有用1!AZ169))</f>
        <v/>
      </c>
      <c r="BA169" s="17" t="str">
        <f>IF(共有用1!BA169="","",共有用1!BA169&amp;"/"&amp;COUNTIF(共有用1!BA$2:BA169,共有用1!BA169))</f>
        <v/>
      </c>
    </row>
  </sheetData>
  <phoneticPr fontId="1"/>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5FD79581-FC98-1D4F-99F6-F48A59C9BC12}">
            <xm:f>COUNTIF(役職一覧!$K:$K,シフト組み!D32)=1</xm:f>
            <x14:dxf>
              <fill>
                <patternFill>
                  <bgColor rgb="FFE1B9FF"/>
                </patternFill>
              </fill>
            </x14:dxf>
          </x14:cfRule>
          <x14:cfRule type="expression" priority="2" id="{03CDD185-27E9-2443-8D6C-53C31CB1D638}">
            <xm:f>COUNTIF(役職一覧!$J:$J,シフト組み!D32)=1</xm:f>
            <x14:dxf>
              <fill>
                <patternFill>
                  <bgColor rgb="FF7FCAFF"/>
                </patternFill>
              </fill>
            </x14:dxf>
          </x14:cfRule>
          <x14:cfRule type="expression" priority="3" id="{794C4796-AEFE-6C4E-B9B9-D406EB097350}">
            <xm:f>COUNTIF(役職一覧!$I:$I,シフト組み!D32)=1</xm:f>
            <x14:dxf>
              <fill>
                <patternFill>
                  <bgColor rgb="FF95FF6C"/>
                </patternFill>
              </fill>
            </x14:dxf>
          </x14:cfRule>
          <x14:cfRule type="expression" priority="4" id="{07003FEE-40DB-7A40-A554-1108FAE8E67D}">
            <xm:f>COUNTIF(役職一覧!$H:$H,シフト組み!D32)=1</xm:f>
            <x14:dxf>
              <fill>
                <patternFill>
                  <bgColor rgb="FFFFF690"/>
                </patternFill>
              </fill>
            </x14:dxf>
          </x14:cfRule>
          <x14:cfRule type="expression" priority="5" id="{D3E35FEC-4120-D146-AC79-9088FB58A7A5}">
            <xm:f>COUNTIF(役職一覧!$G:$G,シフト組み!D32)=1</xm:f>
            <x14:dxf>
              <fill>
                <patternFill>
                  <bgColor rgb="FFFFD965"/>
                </patternFill>
              </fill>
            </x14:dxf>
          </x14:cfRule>
          <x14:cfRule type="expression" priority="6" id="{1065A5EC-A9D1-554C-812A-632883C2DBED}">
            <xm:f>COUNTIF(役職一覧!$F:$F,シフト組み!D32)=1</xm:f>
            <x14:dxf>
              <fill>
                <patternFill>
                  <bgColor rgb="FFFFC7CE"/>
                </patternFill>
              </fill>
            </x14:dxf>
          </x14:cfRule>
          <xm:sqref>D2:BA169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2CBB7-45A9-A843-8768-0E831393A8A8}">
  <sheetPr codeName="Share2"/>
  <dimension ref="A1:BA199"/>
  <sheetViews>
    <sheetView workbookViewId="0">
      <selection activeCell="E9" sqref="E9"/>
    </sheetView>
  </sheetViews>
  <sheetFormatPr baseColWidth="10" defaultRowHeight="20"/>
  <cols>
    <col min="1" max="16384" width="10.7109375" style="1"/>
  </cols>
  <sheetData>
    <row r="1" spans="1:53">
      <c r="A1" s="2"/>
      <c r="B1" s="2"/>
      <c r="C1" s="2"/>
      <c r="D1" s="2" t="str">
        <f>逆引き作成用!D1</f>
        <v>10:00</v>
      </c>
      <c r="E1" s="2" t="str">
        <f>逆引き作成用!E1</f>
        <v>10:30</v>
      </c>
      <c r="F1" s="2" t="str">
        <f>逆引き作成用!F1</f>
        <v>11:00</v>
      </c>
      <c r="G1" s="2" t="str">
        <f>逆引き作成用!G1</f>
        <v>11:30</v>
      </c>
      <c r="H1" s="2" t="str">
        <f>逆引き作成用!H1</f>
        <v>12:00</v>
      </c>
      <c r="I1" s="2" t="str">
        <f>逆引き作成用!I1</f>
        <v>12:30</v>
      </c>
      <c r="J1" s="2" t="str">
        <f>逆引き作成用!J1</f>
        <v>13:00</v>
      </c>
      <c r="K1" s="2" t="str">
        <f>逆引き作成用!K1</f>
        <v>13:30</v>
      </c>
      <c r="L1" s="2" t="str">
        <f>逆引き作成用!L1</f>
        <v>14:00</v>
      </c>
      <c r="M1" s="2" t="str">
        <f>逆引き作成用!M1</f>
        <v/>
      </c>
      <c r="N1" s="2" t="str">
        <f>逆引き作成用!N1</f>
        <v/>
      </c>
      <c r="O1" s="2" t="str">
        <f>逆引き作成用!O1</f>
        <v/>
      </c>
      <c r="P1" s="2" t="str">
        <f>逆引き作成用!P1</f>
        <v/>
      </c>
      <c r="Q1" s="2" t="str">
        <f>逆引き作成用!Q1</f>
        <v/>
      </c>
      <c r="R1" s="2" t="str">
        <f>逆引き作成用!R1</f>
        <v/>
      </c>
      <c r="S1" s="2" t="str">
        <f>逆引き作成用!S1</f>
        <v/>
      </c>
      <c r="T1" s="2" t="str">
        <f>逆引き作成用!T1</f>
        <v/>
      </c>
      <c r="U1" s="2" t="str">
        <f>逆引き作成用!U1</f>
        <v/>
      </c>
      <c r="V1" s="2" t="str">
        <f>逆引き作成用!V1</f>
        <v/>
      </c>
      <c r="W1" s="2" t="str">
        <f>逆引き作成用!W1</f>
        <v/>
      </c>
      <c r="X1" s="2" t="str">
        <f>逆引き作成用!X1</f>
        <v/>
      </c>
      <c r="Y1" s="2" t="str">
        <f>逆引き作成用!Y1</f>
        <v/>
      </c>
      <c r="Z1" s="2" t="str">
        <f>逆引き作成用!Z1</f>
        <v/>
      </c>
      <c r="AA1" s="2" t="str">
        <f>逆引き作成用!AA1</f>
        <v/>
      </c>
      <c r="AB1" s="2" t="str">
        <f>逆引き作成用!AB1</f>
        <v/>
      </c>
      <c r="AC1" s="2" t="str">
        <f>逆引き作成用!AC1</f>
        <v/>
      </c>
      <c r="AD1" s="2" t="str">
        <f>逆引き作成用!AD1</f>
        <v/>
      </c>
      <c r="AE1" s="2" t="str">
        <f>逆引き作成用!AE1</f>
        <v/>
      </c>
      <c r="AF1" s="2" t="str">
        <f>逆引き作成用!AF1</f>
        <v/>
      </c>
      <c r="AG1" s="2" t="str">
        <f>逆引き作成用!AG1</f>
        <v/>
      </c>
      <c r="AH1" s="2" t="str">
        <f>逆引き作成用!AH1</f>
        <v/>
      </c>
      <c r="AI1" s="2" t="str">
        <f>逆引き作成用!AI1</f>
        <v/>
      </c>
      <c r="AJ1" s="2" t="str">
        <f>逆引き作成用!AJ1</f>
        <v/>
      </c>
      <c r="AK1" s="2" t="str">
        <f>逆引き作成用!AK1</f>
        <v/>
      </c>
      <c r="AL1" s="2" t="str">
        <f>逆引き作成用!AL1</f>
        <v/>
      </c>
      <c r="AM1" s="2" t="str">
        <f>逆引き作成用!AM1</f>
        <v/>
      </c>
      <c r="AN1" s="2" t="str">
        <f>逆引き作成用!AN1</f>
        <v/>
      </c>
      <c r="AO1" s="2" t="str">
        <f>逆引き作成用!AO1</f>
        <v/>
      </c>
      <c r="AP1" s="2" t="str">
        <f>逆引き作成用!AP1</f>
        <v/>
      </c>
      <c r="AQ1" s="2" t="str">
        <f>逆引き作成用!AQ1</f>
        <v/>
      </c>
      <c r="AR1" s="2" t="str">
        <f>逆引き作成用!AR1</f>
        <v/>
      </c>
      <c r="AS1" s="2" t="str">
        <f>逆引き作成用!AS1</f>
        <v/>
      </c>
      <c r="AT1" s="2" t="str">
        <f>逆引き作成用!AT1</f>
        <v/>
      </c>
      <c r="AU1" s="2" t="str">
        <f>逆引き作成用!AU1</f>
        <v/>
      </c>
      <c r="AV1" s="2" t="str">
        <f>逆引き作成用!AV1</f>
        <v/>
      </c>
      <c r="AW1" s="2" t="str">
        <f>逆引き作成用!AW1</f>
        <v/>
      </c>
      <c r="AX1" s="2" t="str">
        <f>逆引き作成用!AX1</f>
        <v/>
      </c>
      <c r="AY1" s="2" t="str">
        <f>逆引き作成用!AY1</f>
        <v/>
      </c>
      <c r="AZ1" s="2" t="str">
        <f>逆引き作成用!AZ1</f>
        <v/>
      </c>
      <c r="BA1" s="2" t="str">
        <f>逆引き作成用!BA1</f>
        <v/>
      </c>
    </row>
    <row r="2" spans="1:53">
      <c r="A2" s="17" t="str">
        <f>IFERROR(INDEX(役職一覧!$B$2:$B$31,MATCH(B2,役職一覧!$C$2:$C$31,FALSE),1),"")</f>
        <v>A</v>
      </c>
      <c r="B2" s="17" t="str">
        <f>役職一覧!C2</f>
        <v>あ</v>
      </c>
      <c r="C2" s="17">
        <v>1</v>
      </c>
      <c r="D2" s="17" t="str">
        <f>IFERROR(INDEX(逆引き作成用!$C$2:$C$169,MATCH($B2&amp;"/"&amp;$C2,逆引き作成用!D$2:D$169,FALSE),1),"")</f>
        <v>キズナアイ</v>
      </c>
      <c r="E2" s="17" t="str">
        <f>IFERROR(INDEX(逆引き作成用!$C$2:$C$169,MATCH($B2&amp;"/"&amp;$C2,逆引き作成用!E$2:E$169,FALSE),1),"")</f>
        <v/>
      </c>
      <c r="F2" s="17" t="str">
        <f>IFERROR(INDEX(逆引き作成用!$C$2:$C$169,MATCH($B2&amp;"/"&amp;$C2,逆引き作成用!F$2:F$169,FALSE),1),"")</f>
        <v/>
      </c>
      <c r="G2" s="17" t="str">
        <f>IFERROR(INDEX(逆引き作成用!$C$2:$C$169,MATCH($B2&amp;"/"&amp;$C2,逆引き作成用!G$2:G$169,FALSE),1),"")</f>
        <v/>
      </c>
      <c r="H2" s="17" t="str">
        <f>IFERROR(INDEX(逆引き作成用!$C$2:$C$169,MATCH($B2&amp;"/"&amp;$C2,逆引き作成用!H$2:H$169,FALSE),1),"")</f>
        <v/>
      </c>
      <c r="I2" s="17" t="str">
        <f>IFERROR(INDEX(逆引き作成用!$C$2:$C$169,MATCH($B2&amp;"/"&amp;$C2,逆引き作成用!I$2:I$169,FALSE),1),"")</f>
        <v>ときのそら</v>
      </c>
      <c r="J2" s="17" t="str">
        <f>IFERROR(INDEX(逆引き作成用!$C$2:$C$169,MATCH($B2&amp;"/"&amp;$C2,逆引き作成用!J$2:J$169,FALSE),1),"")</f>
        <v/>
      </c>
      <c r="K2" s="17" t="str">
        <f>IFERROR(INDEX(逆引き作成用!$C$2:$C$169,MATCH($B2&amp;"/"&amp;$C2,逆引き作成用!K$2:K$169,FALSE),1),"")</f>
        <v/>
      </c>
      <c r="L2" s="17" t="str">
        <f>IFERROR(INDEX(逆引き作成用!$C$2:$C$169,MATCH($B2&amp;"/"&amp;$C2,逆引き作成用!L$2:L$169,FALSE),1),"")</f>
        <v/>
      </c>
      <c r="M2" s="17" t="str">
        <f>IFERROR(INDEX(逆引き作成用!$C$2:$C$169,MATCH($B2&amp;"/"&amp;$C2,逆引き作成用!M$2:M$169,FALSE),1),"")</f>
        <v/>
      </c>
      <c r="N2" s="17" t="str">
        <f>IFERROR(INDEX(逆引き作成用!$C$2:$C$169,MATCH($B2&amp;"/"&amp;$C2,逆引き作成用!N$2:N$169,FALSE),1),"")</f>
        <v/>
      </c>
      <c r="O2" s="17" t="str">
        <f>IFERROR(INDEX(逆引き作成用!$C$2:$C$169,MATCH($B2&amp;"/"&amp;$C2,逆引き作成用!O$2:O$169,FALSE),1),"")</f>
        <v/>
      </c>
      <c r="P2" s="17" t="str">
        <f>IFERROR(INDEX(逆引き作成用!$C$2:$C$169,MATCH($B2&amp;"/"&amp;$C2,逆引き作成用!P$2:P$169,FALSE),1),"")</f>
        <v/>
      </c>
      <c r="Q2" s="17" t="str">
        <f>IFERROR(INDEX(逆引き作成用!$C$2:$C$169,MATCH($B2&amp;"/"&amp;$C2,逆引き作成用!Q$2:Q$169,FALSE),1),"")</f>
        <v/>
      </c>
      <c r="R2" s="17" t="str">
        <f>IFERROR(INDEX(逆引き作成用!$C$2:$C$169,MATCH($B2&amp;"/"&amp;$C2,逆引き作成用!R$2:R$169,FALSE),1),"")</f>
        <v/>
      </c>
      <c r="S2" s="17" t="str">
        <f>IFERROR(INDEX(逆引き作成用!$C$2:$C$169,MATCH($B2&amp;"/"&amp;$C2,逆引き作成用!S$2:S$169,FALSE),1),"")</f>
        <v/>
      </c>
      <c r="T2" s="17" t="str">
        <f>IFERROR(INDEX(逆引き作成用!$C$2:$C$169,MATCH($B2&amp;"/"&amp;$C2,逆引き作成用!T$2:T$169,FALSE),1),"")</f>
        <v/>
      </c>
      <c r="U2" s="17" t="str">
        <f>IFERROR(INDEX(逆引き作成用!$C$2:$C$169,MATCH($B2&amp;"/"&amp;$C2,逆引き作成用!U$2:U$169,FALSE),1),"")</f>
        <v/>
      </c>
      <c r="V2" s="17" t="str">
        <f>IFERROR(INDEX(逆引き作成用!$C$2:$C$169,MATCH($B2&amp;"/"&amp;$C2,逆引き作成用!V$2:V$169,FALSE),1),"")</f>
        <v/>
      </c>
      <c r="W2" s="17" t="str">
        <f>IFERROR(INDEX(逆引き作成用!$C$2:$C$169,MATCH($B2&amp;"/"&amp;$C2,逆引き作成用!W$2:W$169,FALSE),1),"")</f>
        <v/>
      </c>
      <c r="X2" s="17" t="str">
        <f>IFERROR(INDEX(逆引き作成用!$C$2:$C$169,MATCH($B2&amp;"/"&amp;$C2,逆引き作成用!X$2:X$169,FALSE),1),"")</f>
        <v/>
      </c>
      <c r="Y2" s="17" t="str">
        <f>IFERROR(INDEX(逆引き作成用!$C$2:$C$169,MATCH($B2&amp;"/"&amp;$C2,逆引き作成用!Y$2:Y$169,FALSE),1),"")</f>
        <v/>
      </c>
      <c r="Z2" s="17" t="str">
        <f>IFERROR(INDEX(逆引き作成用!$C$2:$C$169,MATCH($B2&amp;"/"&amp;$C2,逆引き作成用!Z$2:Z$169,FALSE),1),"")</f>
        <v/>
      </c>
      <c r="AA2" s="17" t="str">
        <f>IFERROR(INDEX(逆引き作成用!$C$2:$C$169,MATCH($B2&amp;"/"&amp;$C2,逆引き作成用!AA$2:AA$169,FALSE),1),"")</f>
        <v/>
      </c>
      <c r="AB2" s="17" t="str">
        <f>IFERROR(INDEX(逆引き作成用!$C$2:$C$169,MATCH($B2&amp;"/"&amp;$C2,逆引き作成用!AB$2:AB$169,FALSE),1),"")</f>
        <v/>
      </c>
      <c r="AC2" s="17" t="str">
        <f>IFERROR(INDEX(逆引き作成用!$C$2:$C$169,MATCH($B2&amp;"/"&amp;$C2,逆引き作成用!AC$2:AC$169,FALSE),1),"")</f>
        <v/>
      </c>
      <c r="AD2" s="17" t="str">
        <f>IFERROR(INDEX(逆引き作成用!$C$2:$C$169,MATCH($B2&amp;"/"&amp;$C2,逆引き作成用!AD$2:AD$169,FALSE),1),"")</f>
        <v/>
      </c>
      <c r="AE2" s="17" t="str">
        <f>IFERROR(INDEX(逆引き作成用!$C$2:$C$169,MATCH($B2&amp;"/"&amp;$C2,逆引き作成用!AE$2:AE$169,FALSE),1),"")</f>
        <v/>
      </c>
      <c r="AF2" s="17" t="str">
        <f>IFERROR(INDEX(逆引き作成用!$C$2:$C$169,MATCH($B2&amp;"/"&amp;$C2,逆引き作成用!AF$2:AF$169,FALSE),1),"")</f>
        <v/>
      </c>
      <c r="AG2" s="17" t="str">
        <f>IFERROR(INDEX(逆引き作成用!$C$2:$C$169,MATCH($B2&amp;"/"&amp;$C2,逆引き作成用!AG$2:AG$169,FALSE),1),"")</f>
        <v/>
      </c>
      <c r="AH2" s="17" t="str">
        <f>IFERROR(INDEX(逆引き作成用!$C$2:$C$169,MATCH($B2&amp;"/"&amp;$C2,逆引き作成用!AH$2:AH$169,FALSE),1),"")</f>
        <v/>
      </c>
      <c r="AI2" s="17" t="str">
        <f>IFERROR(INDEX(逆引き作成用!$C$2:$C$169,MATCH($B2&amp;"/"&amp;$C2,逆引き作成用!AI$2:AI$169,FALSE),1),"")</f>
        <v/>
      </c>
      <c r="AJ2" s="17" t="str">
        <f>IFERROR(INDEX(逆引き作成用!$C$2:$C$169,MATCH($B2&amp;"/"&amp;$C2,逆引き作成用!AJ$2:AJ$169,FALSE),1),"")</f>
        <v/>
      </c>
      <c r="AK2" s="17" t="str">
        <f>IFERROR(INDEX(逆引き作成用!$C$2:$C$169,MATCH($B2&amp;"/"&amp;$C2,逆引き作成用!AK$2:AK$169,FALSE),1),"")</f>
        <v/>
      </c>
      <c r="AL2" s="17" t="str">
        <f>IFERROR(INDEX(逆引き作成用!$C$2:$C$169,MATCH($B2&amp;"/"&amp;$C2,逆引き作成用!AL$2:AL$169,FALSE),1),"")</f>
        <v/>
      </c>
      <c r="AM2" s="17" t="str">
        <f>IFERROR(INDEX(逆引き作成用!$C$2:$C$169,MATCH($B2&amp;"/"&amp;$C2,逆引き作成用!AM$2:AM$169,FALSE),1),"")</f>
        <v/>
      </c>
      <c r="AN2" s="17" t="str">
        <f>IFERROR(INDEX(逆引き作成用!$C$2:$C$169,MATCH($B2&amp;"/"&amp;$C2,逆引き作成用!AN$2:AN$169,FALSE),1),"")</f>
        <v/>
      </c>
      <c r="AO2" s="17" t="str">
        <f>IFERROR(INDEX(逆引き作成用!$C$2:$C$169,MATCH($B2&amp;"/"&amp;$C2,逆引き作成用!AO$2:AO$169,FALSE),1),"")</f>
        <v/>
      </c>
      <c r="AP2" s="17" t="str">
        <f>IFERROR(INDEX(逆引き作成用!$C$2:$C$169,MATCH($B2&amp;"/"&amp;$C2,逆引き作成用!AP$2:AP$169,FALSE),1),"")</f>
        <v/>
      </c>
      <c r="AQ2" s="17" t="str">
        <f>IFERROR(INDEX(逆引き作成用!$C$2:$C$169,MATCH($B2&amp;"/"&amp;$C2,逆引き作成用!AQ$2:AQ$169,FALSE),1),"")</f>
        <v/>
      </c>
      <c r="AR2" s="17" t="str">
        <f>IFERROR(INDEX(逆引き作成用!$C$2:$C$169,MATCH($B2&amp;"/"&amp;$C2,逆引き作成用!AR$2:AR$169,FALSE),1),"")</f>
        <v/>
      </c>
      <c r="AS2" s="17" t="str">
        <f>IFERROR(INDEX(逆引き作成用!$C$2:$C$169,MATCH($B2&amp;"/"&amp;$C2,逆引き作成用!AS$2:AS$169,FALSE),1),"")</f>
        <v/>
      </c>
      <c r="AT2" s="17" t="str">
        <f>IFERROR(INDEX(逆引き作成用!$C$2:$C$169,MATCH($B2&amp;"/"&amp;$C2,逆引き作成用!AT$2:AT$169,FALSE),1),"")</f>
        <v/>
      </c>
      <c r="AU2" s="17" t="str">
        <f>IFERROR(INDEX(逆引き作成用!$C$2:$C$169,MATCH($B2&amp;"/"&amp;$C2,逆引き作成用!AU$2:AU$169,FALSE),1),"")</f>
        <v/>
      </c>
      <c r="AV2" s="17" t="str">
        <f>IFERROR(INDEX(逆引き作成用!$C$2:$C$169,MATCH($B2&amp;"/"&amp;$C2,逆引き作成用!AV$2:AV$169,FALSE),1),"")</f>
        <v/>
      </c>
      <c r="AW2" s="17" t="str">
        <f>IFERROR(INDEX(逆引き作成用!$C$2:$C$169,MATCH($B2&amp;"/"&amp;$C2,逆引き作成用!AW$2:AW$169,FALSE),1),"")</f>
        <v/>
      </c>
      <c r="AX2" s="17" t="str">
        <f>IFERROR(INDEX(逆引き作成用!$C$2:$C$169,MATCH($B2&amp;"/"&amp;$C2,逆引き作成用!AX$2:AX$169,FALSE),1),"")</f>
        <v/>
      </c>
      <c r="AY2" s="17" t="str">
        <f>IFERROR(INDEX(逆引き作成用!$C$2:$C$169,MATCH($B2&amp;"/"&amp;$C2,逆引き作成用!AY$2:AY$169,FALSE),1),"")</f>
        <v/>
      </c>
      <c r="AZ2" s="17" t="str">
        <f>IFERROR(INDEX(逆引き作成用!$C$2:$C$169,MATCH($B2&amp;"/"&amp;$C2,逆引き作成用!AZ$2:AZ$169,FALSE),1),"")</f>
        <v/>
      </c>
      <c r="BA2" s="17" t="str">
        <f>IFERROR(INDEX(逆引き作成用!$C$2:$C$169,MATCH($B2&amp;"/"&amp;$C2,逆引き作成用!BA$2:BA$169,FALSE),1),"")</f>
        <v/>
      </c>
    </row>
    <row r="3" spans="1:53">
      <c r="A3" s="17" t="str">
        <f>IFERROR(INDEX(役職一覧!$B$2:$B$31,MATCH(B3,役職一覧!$C$2:$C$31,FALSE),1),"")</f>
        <v>A</v>
      </c>
      <c r="B3" s="17" t="str">
        <f>IFERROR(IF(C3=1,INDEX(役職一覧!$C$2:$C$31,MATCH(逆引き!B2,役職一覧!$C$2:$C$31,FALSE)+1,1)&amp;"",B2),"")</f>
        <v>あ</v>
      </c>
      <c r="C3" s="17">
        <f>IFERROR(IF(VLOOKUP(B2,役職一覧!$C$2:$E$31,3,FALSE)=C2,1,C2+1),"")</f>
        <v>2</v>
      </c>
      <c r="D3" s="17" t="str">
        <f>IFERROR(INDEX(逆引き作成用!$C$2:$C$169,MATCH($B3&amp;"/"&amp;$C3,逆引き作成用!D$2:D$169,FALSE),1),"")</f>
        <v/>
      </c>
      <c r="E3" s="17" t="str">
        <f>IFERROR(INDEX(逆引き作成用!$C$2:$C$169,MATCH($B3&amp;"/"&amp;$C3,逆引き作成用!E$2:E$169,FALSE),1),"")</f>
        <v/>
      </c>
      <c r="F3" s="17" t="str">
        <f>IFERROR(INDEX(逆引き作成用!$C$2:$C$169,MATCH($B3&amp;"/"&amp;$C3,逆引き作成用!F$2:F$169,FALSE),1),"")</f>
        <v/>
      </c>
      <c r="G3" s="17" t="str">
        <f>IFERROR(INDEX(逆引き作成用!$C$2:$C$169,MATCH($B3&amp;"/"&amp;$C3,逆引き作成用!G$2:G$169,FALSE),1),"")</f>
        <v/>
      </c>
      <c r="H3" s="17" t="str">
        <f>IFERROR(INDEX(逆引き作成用!$C$2:$C$169,MATCH($B3&amp;"/"&amp;$C3,逆引き作成用!H$2:H$169,FALSE),1),"")</f>
        <v/>
      </c>
      <c r="I3" s="17" t="str">
        <f>IFERROR(INDEX(逆引き作成用!$C$2:$C$169,MATCH($B3&amp;"/"&amp;$C3,逆引き作成用!I$2:I$169,FALSE),1),"")</f>
        <v/>
      </c>
      <c r="J3" s="17" t="str">
        <f>IFERROR(INDEX(逆引き作成用!$C$2:$C$169,MATCH($B3&amp;"/"&amp;$C3,逆引き作成用!J$2:J$169,FALSE),1),"")</f>
        <v/>
      </c>
      <c r="K3" s="17" t="str">
        <f>IFERROR(INDEX(逆引き作成用!$C$2:$C$169,MATCH($B3&amp;"/"&amp;$C3,逆引き作成用!K$2:K$169,FALSE),1),"")</f>
        <v/>
      </c>
      <c r="L3" s="17" t="str">
        <f>IFERROR(INDEX(逆引き作成用!$C$2:$C$169,MATCH($B3&amp;"/"&amp;$C3,逆引き作成用!L$2:L$169,FALSE),1),"")</f>
        <v/>
      </c>
      <c r="M3" s="17" t="str">
        <f>IFERROR(INDEX(逆引き作成用!$C$2:$C$169,MATCH($B3&amp;"/"&amp;$C3,逆引き作成用!M$2:M$169,FALSE),1),"")</f>
        <v/>
      </c>
      <c r="N3" s="17" t="str">
        <f>IFERROR(INDEX(逆引き作成用!$C$2:$C$169,MATCH($B3&amp;"/"&amp;$C3,逆引き作成用!N$2:N$169,FALSE),1),"")</f>
        <v/>
      </c>
      <c r="O3" s="17" t="str">
        <f>IFERROR(INDEX(逆引き作成用!$C$2:$C$169,MATCH($B3&amp;"/"&amp;$C3,逆引き作成用!O$2:O$169,FALSE),1),"")</f>
        <v/>
      </c>
      <c r="P3" s="17" t="str">
        <f>IFERROR(INDEX(逆引き作成用!$C$2:$C$169,MATCH($B3&amp;"/"&amp;$C3,逆引き作成用!P$2:P$169,FALSE),1),"")</f>
        <v/>
      </c>
      <c r="Q3" s="17" t="str">
        <f>IFERROR(INDEX(逆引き作成用!$C$2:$C$169,MATCH($B3&amp;"/"&amp;$C3,逆引き作成用!Q$2:Q$169,FALSE),1),"")</f>
        <v/>
      </c>
      <c r="R3" s="17" t="str">
        <f>IFERROR(INDEX(逆引き作成用!$C$2:$C$169,MATCH($B3&amp;"/"&amp;$C3,逆引き作成用!R$2:R$169,FALSE),1),"")</f>
        <v/>
      </c>
      <c r="S3" s="17" t="str">
        <f>IFERROR(INDEX(逆引き作成用!$C$2:$C$169,MATCH($B3&amp;"/"&amp;$C3,逆引き作成用!S$2:S$169,FALSE),1),"")</f>
        <v/>
      </c>
      <c r="T3" s="17" t="str">
        <f>IFERROR(INDEX(逆引き作成用!$C$2:$C$169,MATCH($B3&amp;"/"&amp;$C3,逆引き作成用!T$2:T$169,FALSE),1),"")</f>
        <v/>
      </c>
      <c r="U3" s="17" t="str">
        <f>IFERROR(INDEX(逆引き作成用!$C$2:$C$169,MATCH($B3&amp;"/"&amp;$C3,逆引き作成用!U$2:U$169,FALSE),1),"")</f>
        <v/>
      </c>
      <c r="V3" s="17" t="str">
        <f>IFERROR(INDEX(逆引き作成用!$C$2:$C$169,MATCH($B3&amp;"/"&amp;$C3,逆引き作成用!V$2:V$169,FALSE),1),"")</f>
        <v/>
      </c>
      <c r="W3" s="17" t="str">
        <f>IFERROR(INDEX(逆引き作成用!$C$2:$C$169,MATCH($B3&amp;"/"&amp;$C3,逆引き作成用!W$2:W$169,FALSE),1),"")</f>
        <v/>
      </c>
      <c r="X3" s="17" t="str">
        <f>IFERROR(INDEX(逆引き作成用!$C$2:$C$169,MATCH($B3&amp;"/"&amp;$C3,逆引き作成用!X$2:X$169,FALSE),1),"")</f>
        <v/>
      </c>
      <c r="Y3" s="17" t="str">
        <f>IFERROR(INDEX(逆引き作成用!$C$2:$C$169,MATCH($B3&amp;"/"&amp;$C3,逆引き作成用!Y$2:Y$169,FALSE),1),"")</f>
        <v/>
      </c>
      <c r="Z3" s="17" t="str">
        <f>IFERROR(INDEX(逆引き作成用!$C$2:$C$169,MATCH($B3&amp;"/"&amp;$C3,逆引き作成用!Z$2:Z$169,FALSE),1),"")</f>
        <v/>
      </c>
      <c r="AA3" s="17" t="str">
        <f>IFERROR(INDEX(逆引き作成用!$C$2:$C$169,MATCH($B3&amp;"/"&amp;$C3,逆引き作成用!AA$2:AA$169,FALSE),1),"")</f>
        <v/>
      </c>
      <c r="AB3" s="17" t="str">
        <f>IFERROR(INDEX(逆引き作成用!$C$2:$C$169,MATCH($B3&amp;"/"&amp;$C3,逆引き作成用!AB$2:AB$169,FALSE),1),"")</f>
        <v/>
      </c>
      <c r="AC3" s="17" t="str">
        <f>IFERROR(INDEX(逆引き作成用!$C$2:$C$169,MATCH($B3&amp;"/"&amp;$C3,逆引き作成用!AC$2:AC$169,FALSE),1),"")</f>
        <v/>
      </c>
      <c r="AD3" s="17" t="str">
        <f>IFERROR(INDEX(逆引き作成用!$C$2:$C$169,MATCH($B3&amp;"/"&amp;$C3,逆引き作成用!AD$2:AD$169,FALSE),1),"")</f>
        <v/>
      </c>
      <c r="AE3" s="17" t="str">
        <f>IFERROR(INDEX(逆引き作成用!$C$2:$C$169,MATCH($B3&amp;"/"&amp;$C3,逆引き作成用!AE$2:AE$169,FALSE),1),"")</f>
        <v/>
      </c>
      <c r="AF3" s="17" t="str">
        <f>IFERROR(INDEX(逆引き作成用!$C$2:$C$169,MATCH($B3&amp;"/"&amp;$C3,逆引き作成用!AF$2:AF$169,FALSE),1),"")</f>
        <v/>
      </c>
      <c r="AG3" s="17" t="str">
        <f>IFERROR(INDEX(逆引き作成用!$C$2:$C$169,MATCH($B3&amp;"/"&amp;$C3,逆引き作成用!AG$2:AG$169,FALSE),1),"")</f>
        <v/>
      </c>
      <c r="AH3" s="17" t="str">
        <f>IFERROR(INDEX(逆引き作成用!$C$2:$C$169,MATCH($B3&amp;"/"&amp;$C3,逆引き作成用!AH$2:AH$169,FALSE),1),"")</f>
        <v/>
      </c>
      <c r="AI3" s="17" t="str">
        <f>IFERROR(INDEX(逆引き作成用!$C$2:$C$169,MATCH($B3&amp;"/"&amp;$C3,逆引き作成用!AI$2:AI$169,FALSE),1),"")</f>
        <v/>
      </c>
      <c r="AJ3" s="17" t="str">
        <f>IFERROR(INDEX(逆引き作成用!$C$2:$C$169,MATCH($B3&amp;"/"&amp;$C3,逆引き作成用!AJ$2:AJ$169,FALSE),1),"")</f>
        <v/>
      </c>
      <c r="AK3" s="17" t="str">
        <f>IFERROR(INDEX(逆引き作成用!$C$2:$C$169,MATCH($B3&amp;"/"&amp;$C3,逆引き作成用!AK$2:AK$169,FALSE),1),"")</f>
        <v/>
      </c>
      <c r="AL3" s="17" t="str">
        <f>IFERROR(INDEX(逆引き作成用!$C$2:$C$169,MATCH($B3&amp;"/"&amp;$C3,逆引き作成用!AL$2:AL$169,FALSE),1),"")</f>
        <v/>
      </c>
      <c r="AM3" s="17" t="str">
        <f>IFERROR(INDEX(逆引き作成用!$C$2:$C$169,MATCH($B3&amp;"/"&amp;$C3,逆引き作成用!AM$2:AM$169,FALSE),1),"")</f>
        <v/>
      </c>
      <c r="AN3" s="17" t="str">
        <f>IFERROR(INDEX(逆引き作成用!$C$2:$C$169,MATCH($B3&amp;"/"&amp;$C3,逆引き作成用!AN$2:AN$169,FALSE),1),"")</f>
        <v/>
      </c>
      <c r="AO3" s="17" t="str">
        <f>IFERROR(INDEX(逆引き作成用!$C$2:$C$169,MATCH($B3&amp;"/"&amp;$C3,逆引き作成用!AO$2:AO$169,FALSE),1),"")</f>
        <v/>
      </c>
      <c r="AP3" s="17" t="str">
        <f>IFERROR(INDEX(逆引き作成用!$C$2:$C$169,MATCH($B3&amp;"/"&amp;$C3,逆引き作成用!AP$2:AP$169,FALSE),1),"")</f>
        <v/>
      </c>
      <c r="AQ3" s="17" t="str">
        <f>IFERROR(INDEX(逆引き作成用!$C$2:$C$169,MATCH($B3&amp;"/"&amp;$C3,逆引き作成用!AQ$2:AQ$169,FALSE),1),"")</f>
        <v/>
      </c>
      <c r="AR3" s="17" t="str">
        <f>IFERROR(INDEX(逆引き作成用!$C$2:$C$169,MATCH($B3&amp;"/"&amp;$C3,逆引き作成用!AR$2:AR$169,FALSE),1),"")</f>
        <v/>
      </c>
      <c r="AS3" s="17" t="str">
        <f>IFERROR(INDEX(逆引き作成用!$C$2:$C$169,MATCH($B3&amp;"/"&amp;$C3,逆引き作成用!AS$2:AS$169,FALSE),1),"")</f>
        <v/>
      </c>
      <c r="AT3" s="17" t="str">
        <f>IFERROR(INDEX(逆引き作成用!$C$2:$C$169,MATCH($B3&amp;"/"&amp;$C3,逆引き作成用!AT$2:AT$169,FALSE),1),"")</f>
        <v/>
      </c>
      <c r="AU3" s="17" t="str">
        <f>IFERROR(INDEX(逆引き作成用!$C$2:$C$169,MATCH($B3&amp;"/"&amp;$C3,逆引き作成用!AU$2:AU$169,FALSE),1),"")</f>
        <v/>
      </c>
      <c r="AV3" s="17" t="str">
        <f>IFERROR(INDEX(逆引き作成用!$C$2:$C$169,MATCH($B3&amp;"/"&amp;$C3,逆引き作成用!AV$2:AV$169,FALSE),1),"")</f>
        <v/>
      </c>
      <c r="AW3" s="17" t="str">
        <f>IFERROR(INDEX(逆引き作成用!$C$2:$C$169,MATCH($B3&amp;"/"&amp;$C3,逆引き作成用!AW$2:AW$169,FALSE),1),"")</f>
        <v/>
      </c>
      <c r="AX3" s="17" t="str">
        <f>IFERROR(INDEX(逆引き作成用!$C$2:$C$169,MATCH($B3&amp;"/"&amp;$C3,逆引き作成用!AX$2:AX$169,FALSE),1),"")</f>
        <v/>
      </c>
      <c r="AY3" s="17" t="str">
        <f>IFERROR(INDEX(逆引き作成用!$C$2:$C$169,MATCH($B3&amp;"/"&amp;$C3,逆引き作成用!AY$2:AY$169,FALSE),1),"")</f>
        <v/>
      </c>
      <c r="AZ3" s="17" t="str">
        <f>IFERROR(INDEX(逆引き作成用!$C$2:$C$169,MATCH($B3&amp;"/"&amp;$C3,逆引き作成用!AZ$2:AZ$169,FALSE),1),"")</f>
        <v/>
      </c>
      <c r="BA3" s="17" t="str">
        <f>IFERROR(INDEX(逆引き作成用!$C$2:$C$169,MATCH($B3&amp;"/"&amp;$C3,逆引き作成用!BA$2:BA$169,FALSE),1),"")</f>
        <v/>
      </c>
    </row>
    <row r="4" spans="1:53">
      <c r="A4" s="17" t="str">
        <f>IFERROR(INDEX(役職一覧!$B$2:$B$31,MATCH(B4,役職一覧!$C$2:$C$31,FALSE),1),"")</f>
        <v>B</v>
      </c>
      <c r="B4" s="17" t="str">
        <f>IFERROR(IF(C4=1,INDEX(役職一覧!$C$2:$C$31,MATCH(逆引き!B3,役職一覧!$C$2:$C$31,FALSE)+1,1)&amp;"",B3),"")</f>
        <v>い</v>
      </c>
      <c r="C4" s="17">
        <f>IFERROR(IF(VLOOKUP(B3,役職一覧!$C$2:$E$31,3,FALSE)=C3,1,C3+1),"")</f>
        <v>1</v>
      </c>
      <c r="D4" s="17" t="str">
        <f>IFERROR(INDEX(逆引き作成用!$C$2:$C$169,MATCH($B4&amp;"/"&amp;$C4,逆引き作成用!D$2:D$169,FALSE),1),"")</f>
        <v/>
      </c>
      <c r="E4" s="17" t="str">
        <f>IFERROR(INDEX(逆引き作成用!$C$2:$C$169,MATCH($B4&amp;"/"&amp;$C4,逆引き作成用!E$2:E$169,FALSE),1),"")</f>
        <v/>
      </c>
      <c r="F4" s="17" t="str">
        <f>IFERROR(INDEX(逆引き作成用!$C$2:$C$169,MATCH($B4&amp;"/"&amp;$C4,逆引き作成用!F$2:F$169,FALSE),1),"")</f>
        <v/>
      </c>
      <c r="G4" s="17" t="str">
        <f>IFERROR(INDEX(逆引き作成用!$C$2:$C$169,MATCH($B4&amp;"/"&amp;$C4,逆引き作成用!G$2:G$169,FALSE),1),"")</f>
        <v>ときのそら</v>
      </c>
      <c r="H4" s="17" t="str">
        <f>IFERROR(INDEX(逆引き作成用!$C$2:$C$169,MATCH($B4&amp;"/"&amp;$C4,逆引き作成用!H$2:H$169,FALSE),1),"")</f>
        <v/>
      </c>
      <c r="I4" s="17" t="str">
        <f>IFERROR(INDEX(逆引き作成用!$C$2:$C$169,MATCH($B4&amp;"/"&amp;$C4,逆引き作成用!I$2:I$169,FALSE),1),"")</f>
        <v/>
      </c>
      <c r="J4" s="17" t="str">
        <f>IFERROR(INDEX(逆引き作成用!$C$2:$C$169,MATCH($B4&amp;"/"&amp;$C4,逆引き作成用!J$2:J$169,FALSE),1),"")</f>
        <v/>
      </c>
      <c r="K4" s="17" t="str">
        <f>IFERROR(INDEX(逆引き作成用!$C$2:$C$169,MATCH($B4&amp;"/"&amp;$C4,逆引き作成用!K$2:K$169,FALSE),1),"")</f>
        <v/>
      </c>
      <c r="L4" s="17" t="str">
        <f>IFERROR(INDEX(逆引き作成用!$C$2:$C$169,MATCH($B4&amp;"/"&amp;$C4,逆引き作成用!L$2:L$169,FALSE),1),"")</f>
        <v/>
      </c>
      <c r="M4" s="17" t="str">
        <f>IFERROR(INDEX(逆引き作成用!$C$2:$C$169,MATCH($B4&amp;"/"&amp;$C4,逆引き作成用!M$2:M$169,FALSE),1),"")</f>
        <v/>
      </c>
      <c r="N4" s="17" t="str">
        <f>IFERROR(INDEX(逆引き作成用!$C$2:$C$169,MATCH($B4&amp;"/"&amp;$C4,逆引き作成用!N$2:N$169,FALSE),1),"")</f>
        <v/>
      </c>
      <c r="O4" s="17" t="str">
        <f>IFERROR(INDEX(逆引き作成用!$C$2:$C$169,MATCH($B4&amp;"/"&amp;$C4,逆引き作成用!O$2:O$169,FALSE),1),"")</f>
        <v/>
      </c>
      <c r="P4" s="17" t="str">
        <f>IFERROR(INDEX(逆引き作成用!$C$2:$C$169,MATCH($B4&amp;"/"&amp;$C4,逆引き作成用!P$2:P$169,FALSE),1),"")</f>
        <v/>
      </c>
      <c r="Q4" s="17" t="str">
        <f>IFERROR(INDEX(逆引き作成用!$C$2:$C$169,MATCH($B4&amp;"/"&amp;$C4,逆引き作成用!Q$2:Q$169,FALSE),1),"")</f>
        <v/>
      </c>
      <c r="R4" s="17" t="str">
        <f>IFERROR(INDEX(逆引き作成用!$C$2:$C$169,MATCH($B4&amp;"/"&amp;$C4,逆引き作成用!R$2:R$169,FALSE),1),"")</f>
        <v/>
      </c>
      <c r="S4" s="17" t="str">
        <f>IFERROR(INDEX(逆引き作成用!$C$2:$C$169,MATCH($B4&amp;"/"&amp;$C4,逆引き作成用!S$2:S$169,FALSE),1),"")</f>
        <v/>
      </c>
      <c r="T4" s="17" t="str">
        <f>IFERROR(INDEX(逆引き作成用!$C$2:$C$169,MATCH($B4&amp;"/"&amp;$C4,逆引き作成用!T$2:T$169,FALSE),1),"")</f>
        <v/>
      </c>
      <c r="U4" s="17" t="str">
        <f>IFERROR(INDEX(逆引き作成用!$C$2:$C$169,MATCH($B4&amp;"/"&amp;$C4,逆引き作成用!U$2:U$169,FALSE),1),"")</f>
        <v/>
      </c>
      <c r="V4" s="17" t="str">
        <f>IFERROR(INDEX(逆引き作成用!$C$2:$C$169,MATCH($B4&amp;"/"&amp;$C4,逆引き作成用!V$2:V$169,FALSE),1),"")</f>
        <v/>
      </c>
      <c r="W4" s="17" t="str">
        <f>IFERROR(INDEX(逆引き作成用!$C$2:$C$169,MATCH($B4&amp;"/"&amp;$C4,逆引き作成用!W$2:W$169,FALSE),1),"")</f>
        <v/>
      </c>
      <c r="X4" s="17" t="str">
        <f>IFERROR(INDEX(逆引き作成用!$C$2:$C$169,MATCH($B4&amp;"/"&amp;$C4,逆引き作成用!X$2:X$169,FALSE),1),"")</f>
        <v/>
      </c>
      <c r="Y4" s="17" t="str">
        <f>IFERROR(INDEX(逆引き作成用!$C$2:$C$169,MATCH($B4&amp;"/"&amp;$C4,逆引き作成用!Y$2:Y$169,FALSE),1),"")</f>
        <v/>
      </c>
      <c r="Z4" s="17" t="str">
        <f>IFERROR(INDEX(逆引き作成用!$C$2:$C$169,MATCH($B4&amp;"/"&amp;$C4,逆引き作成用!Z$2:Z$169,FALSE),1),"")</f>
        <v/>
      </c>
      <c r="AA4" s="17" t="str">
        <f>IFERROR(INDEX(逆引き作成用!$C$2:$C$169,MATCH($B4&amp;"/"&amp;$C4,逆引き作成用!AA$2:AA$169,FALSE),1),"")</f>
        <v/>
      </c>
      <c r="AB4" s="17" t="str">
        <f>IFERROR(INDEX(逆引き作成用!$C$2:$C$169,MATCH($B4&amp;"/"&amp;$C4,逆引き作成用!AB$2:AB$169,FALSE),1),"")</f>
        <v/>
      </c>
      <c r="AC4" s="17" t="str">
        <f>IFERROR(INDEX(逆引き作成用!$C$2:$C$169,MATCH($B4&amp;"/"&amp;$C4,逆引き作成用!AC$2:AC$169,FALSE),1),"")</f>
        <v/>
      </c>
      <c r="AD4" s="17" t="str">
        <f>IFERROR(INDEX(逆引き作成用!$C$2:$C$169,MATCH($B4&amp;"/"&amp;$C4,逆引き作成用!AD$2:AD$169,FALSE),1),"")</f>
        <v/>
      </c>
      <c r="AE4" s="17" t="str">
        <f>IFERROR(INDEX(逆引き作成用!$C$2:$C$169,MATCH($B4&amp;"/"&amp;$C4,逆引き作成用!AE$2:AE$169,FALSE),1),"")</f>
        <v/>
      </c>
      <c r="AF4" s="17" t="str">
        <f>IFERROR(INDEX(逆引き作成用!$C$2:$C$169,MATCH($B4&amp;"/"&amp;$C4,逆引き作成用!AF$2:AF$169,FALSE),1),"")</f>
        <v/>
      </c>
      <c r="AG4" s="17" t="str">
        <f>IFERROR(INDEX(逆引き作成用!$C$2:$C$169,MATCH($B4&amp;"/"&amp;$C4,逆引き作成用!AG$2:AG$169,FALSE),1),"")</f>
        <v/>
      </c>
      <c r="AH4" s="17" t="str">
        <f>IFERROR(INDEX(逆引き作成用!$C$2:$C$169,MATCH($B4&amp;"/"&amp;$C4,逆引き作成用!AH$2:AH$169,FALSE),1),"")</f>
        <v/>
      </c>
      <c r="AI4" s="17" t="str">
        <f>IFERROR(INDEX(逆引き作成用!$C$2:$C$169,MATCH($B4&amp;"/"&amp;$C4,逆引き作成用!AI$2:AI$169,FALSE),1),"")</f>
        <v/>
      </c>
      <c r="AJ4" s="17" t="str">
        <f>IFERROR(INDEX(逆引き作成用!$C$2:$C$169,MATCH($B4&amp;"/"&amp;$C4,逆引き作成用!AJ$2:AJ$169,FALSE),1),"")</f>
        <v/>
      </c>
      <c r="AK4" s="17" t="str">
        <f>IFERROR(INDEX(逆引き作成用!$C$2:$C$169,MATCH($B4&amp;"/"&amp;$C4,逆引き作成用!AK$2:AK$169,FALSE),1),"")</f>
        <v/>
      </c>
      <c r="AL4" s="17" t="str">
        <f>IFERROR(INDEX(逆引き作成用!$C$2:$C$169,MATCH($B4&amp;"/"&amp;$C4,逆引き作成用!AL$2:AL$169,FALSE),1),"")</f>
        <v/>
      </c>
      <c r="AM4" s="17" t="str">
        <f>IFERROR(INDEX(逆引き作成用!$C$2:$C$169,MATCH($B4&amp;"/"&amp;$C4,逆引き作成用!AM$2:AM$169,FALSE),1),"")</f>
        <v/>
      </c>
      <c r="AN4" s="17" t="str">
        <f>IFERROR(INDEX(逆引き作成用!$C$2:$C$169,MATCH($B4&amp;"/"&amp;$C4,逆引き作成用!AN$2:AN$169,FALSE),1),"")</f>
        <v/>
      </c>
      <c r="AO4" s="17" t="str">
        <f>IFERROR(INDEX(逆引き作成用!$C$2:$C$169,MATCH($B4&amp;"/"&amp;$C4,逆引き作成用!AO$2:AO$169,FALSE),1),"")</f>
        <v/>
      </c>
      <c r="AP4" s="17" t="str">
        <f>IFERROR(INDEX(逆引き作成用!$C$2:$C$169,MATCH($B4&amp;"/"&amp;$C4,逆引き作成用!AP$2:AP$169,FALSE),1),"")</f>
        <v/>
      </c>
      <c r="AQ4" s="17" t="str">
        <f>IFERROR(INDEX(逆引き作成用!$C$2:$C$169,MATCH($B4&amp;"/"&amp;$C4,逆引き作成用!AQ$2:AQ$169,FALSE),1),"")</f>
        <v/>
      </c>
      <c r="AR4" s="17" t="str">
        <f>IFERROR(INDEX(逆引き作成用!$C$2:$C$169,MATCH($B4&amp;"/"&amp;$C4,逆引き作成用!AR$2:AR$169,FALSE),1),"")</f>
        <v/>
      </c>
      <c r="AS4" s="17" t="str">
        <f>IFERROR(INDEX(逆引き作成用!$C$2:$C$169,MATCH($B4&amp;"/"&amp;$C4,逆引き作成用!AS$2:AS$169,FALSE),1),"")</f>
        <v/>
      </c>
      <c r="AT4" s="17" t="str">
        <f>IFERROR(INDEX(逆引き作成用!$C$2:$C$169,MATCH($B4&amp;"/"&amp;$C4,逆引き作成用!AT$2:AT$169,FALSE),1),"")</f>
        <v/>
      </c>
      <c r="AU4" s="17" t="str">
        <f>IFERROR(INDEX(逆引き作成用!$C$2:$C$169,MATCH($B4&amp;"/"&amp;$C4,逆引き作成用!AU$2:AU$169,FALSE),1),"")</f>
        <v/>
      </c>
      <c r="AV4" s="17" t="str">
        <f>IFERROR(INDEX(逆引き作成用!$C$2:$C$169,MATCH($B4&amp;"/"&amp;$C4,逆引き作成用!AV$2:AV$169,FALSE),1),"")</f>
        <v/>
      </c>
      <c r="AW4" s="17" t="str">
        <f>IFERROR(INDEX(逆引き作成用!$C$2:$C$169,MATCH($B4&amp;"/"&amp;$C4,逆引き作成用!AW$2:AW$169,FALSE),1),"")</f>
        <v/>
      </c>
      <c r="AX4" s="17" t="str">
        <f>IFERROR(INDEX(逆引き作成用!$C$2:$C$169,MATCH($B4&amp;"/"&amp;$C4,逆引き作成用!AX$2:AX$169,FALSE),1),"")</f>
        <v/>
      </c>
      <c r="AY4" s="17" t="str">
        <f>IFERROR(INDEX(逆引き作成用!$C$2:$C$169,MATCH($B4&amp;"/"&amp;$C4,逆引き作成用!AY$2:AY$169,FALSE),1),"")</f>
        <v/>
      </c>
      <c r="AZ4" s="17" t="str">
        <f>IFERROR(INDEX(逆引き作成用!$C$2:$C$169,MATCH($B4&amp;"/"&amp;$C4,逆引き作成用!AZ$2:AZ$169,FALSE),1),"")</f>
        <v/>
      </c>
      <c r="BA4" s="17" t="str">
        <f>IFERROR(INDEX(逆引き作成用!$C$2:$C$169,MATCH($B4&amp;"/"&amp;$C4,逆引き作成用!BA$2:BA$169,FALSE),1),"")</f>
        <v/>
      </c>
    </row>
    <row r="5" spans="1:53">
      <c r="A5" s="17" t="str">
        <f>IFERROR(INDEX(役職一覧!$B$2:$B$31,MATCH(B5,役職一覧!$C$2:$C$31,FALSE),1),"")</f>
        <v>B</v>
      </c>
      <c r="B5" s="17" t="str">
        <f>IFERROR(IF(C5=1,INDEX(役職一覧!$C$2:$C$31,MATCH(逆引き!B4,役職一覧!$C$2:$C$31,FALSE)+1,1)&amp;"",B4),"")</f>
        <v>い</v>
      </c>
      <c r="C5" s="17">
        <f>IFERROR(IF(VLOOKUP(B4,役職一覧!$C$2:$E$31,3,FALSE)=C4,1,C4+1),"")</f>
        <v>2</v>
      </c>
      <c r="D5" s="17" t="str">
        <f>IFERROR(INDEX(逆引き作成用!$C$2:$C$169,MATCH($B5&amp;"/"&amp;$C5,逆引き作成用!D$2:D$169,FALSE),1),"")</f>
        <v/>
      </c>
      <c r="E5" s="17" t="str">
        <f>IFERROR(INDEX(逆引き作成用!$C$2:$C$169,MATCH($B5&amp;"/"&amp;$C5,逆引き作成用!E$2:E$169,FALSE),1),"")</f>
        <v/>
      </c>
      <c r="F5" s="17" t="str">
        <f>IFERROR(INDEX(逆引き作成用!$C$2:$C$169,MATCH($B5&amp;"/"&amp;$C5,逆引き作成用!F$2:F$169,FALSE),1),"")</f>
        <v/>
      </c>
      <c r="G5" s="17" t="str">
        <f>IFERROR(INDEX(逆引き作成用!$C$2:$C$169,MATCH($B5&amp;"/"&amp;$C5,逆引き作成用!G$2:G$169,FALSE),1),"")</f>
        <v/>
      </c>
      <c r="H5" s="17" t="str">
        <f>IFERROR(INDEX(逆引き作成用!$C$2:$C$169,MATCH($B5&amp;"/"&amp;$C5,逆引き作成用!H$2:H$169,FALSE),1),"")</f>
        <v/>
      </c>
      <c r="I5" s="17" t="str">
        <f>IFERROR(INDEX(逆引き作成用!$C$2:$C$169,MATCH($B5&amp;"/"&amp;$C5,逆引き作成用!I$2:I$169,FALSE),1),"")</f>
        <v/>
      </c>
      <c r="J5" s="17" t="str">
        <f>IFERROR(INDEX(逆引き作成用!$C$2:$C$169,MATCH($B5&amp;"/"&amp;$C5,逆引き作成用!J$2:J$169,FALSE),1),"")</f>
        <v/>
      </c>
      <c r="K5" s="17" t="str">
        <f>IFERROR(INDEX(逆引き作成用!$C$2:$C$169,MATCH($B5&amp;"/"&amp;$C5,逆引き作成用!K$2:K$169,FALSE),1),"")</f>
        <v/>
      </c>
      <c r="L5" s="17" t="str">
        <f>IFERROR(INDEX(逆引き作成用!$C$2:$C$169,MATCH($B5&amp;"/"&amp;$C5,逆引き作成用!L$2:L$169,FALSE),1),"")</f>
        <v/>
      </c>
      <c r="M5" s="17" t="str">
        <f>IFERROR(INDEX(逆引き作成用!$C$2:$C$169,MATCH($B5&amp;"/"&amp;$C5,逆引き作成用!M$2:M$169,FALSE),1),"")</f>
        <v/>
      </c>
      <c r="N5" s="17" t="str">
        <f>IFERROR(INDEX(逆引き作成用!$C$2:$C$169,MATCH($B5&amp;"/"&amp;$C5,逆引き作成用!N$2:N$169,FALSE),1),"")</f>
        <v/>
      </c>
      <c r="O5" s="17" t="str">
        <f>IFERROR(INDEX(逆引き作成用!$C$2:$C$169,MATCH($B5&amp;"/"&amp;$C5,逆引き作成用!O$2:O$169,FALSE),1),"")</f>
        <v/>
      </c>
      <c r="P5" s="17" t="str">
        <f>IFERROR(INDEX(逆引き作成用!$C$2:$C$169,MATCH($B5&amp;"/"&amp;$C5,逆引き作成用!P$2:P$169,FALSE),1),"")</f>
        <v/>
      </c>
      <c r="Q5" s="17" t="str">
        <f>IFERROR(INDEX(逆引き作成用!$C$2:$C$169,MATCH($B5&amp;"/"&amp;$C5,逆引き作成用!Q$2:Q$169,FALSE),1),"")</f>
        <v/>
      </c>
      <c r="R5" s="17" t="str">
        <f>IFERROR(INDEX(逆引き作成用!$C$2:$C$169,MATCH($B5&amp;"/"&amp;$C5,逆引き作成用!R$2:R$169,FALSE),1),"")</f>
        <v/>
      </c>
      <c r="S5" s="17" t="str">
        <f>IFERROR(INDEX(逆引き作成用!$C$2:$C$169,MATCH($B5&amp;"/"&amp;$C5,逆引き作成用!S$2:S$169,FALSE),1),"")</f>
        <v/>
      </c>
      <c r="T5" s="17" t="str">
        <f>IFERROR(INDEX(逆引き作成用!$C$2:$C$169,MATCH($B5&amp;"/"&amp;$C5,逆引き作成用!T$2:T$169,FALSE),1),"")</f>
        <v/>
      </c>
      <c r="U5" s="17" t="str">
        <f>IFERROR(INDEX(逆引き作成用!$C$2:$C$169,MATCH($B5&amp;"/"&amp;$C5,逆引き作成用!U$2:U$169,FALSE),1),"")</f>
        <v/>
      </c>
      <c r="V5" s="17" t="str">
        <f>IFERROR(INDEX(逆引き作成用!$C$2:$C$169,MATCH($B5&amp;"/"&amp;$C5,逆引き作成用!V$2:V$169,FALSE),1),"")</f>
        <v/>
      </c>
      <c r="W5" s="17" t="str">
        <f>IFERROR(INDEX(逆引き作成用!$C$2:$C$169,MATCH($B5&amp;"/"&amp;$C5,逆引き作成用!W$2:W$169,FALSE),1),"")</f>
        <v/>
      </c>
      <c r="X5" s="17" t="str">
        <f>IFERROR(INDEX(逆引き作成用!$C$2:$C$169,MATCH($B5&amp;"/"&amp;$C5,逆引き作成用!X$2:X$169,FALSE),1),"")</f>
        <v/>
      </c>
      <c r="Y5" s="17" t="str">
        <f>IFERROR(INDEX(逆引き作成用!$C$2:$C$169,MATCH($B5&amp;"/"&amp;$C5,逆引き作成用!Y$2:Y$169,FALSE),1),"")</f>
        <v/>
      </c>
      <c r="Z5" s="17" t="str">
        <f>IFERROR(INDEX(逆引き作成用!$C$2:$C$169,MATCH($B5&amp;"/"&amp;$C5,逆引き作成用!Z$2:Z$169,FALSE),1),"")</f>
        <v/>
      </c>
      <c r="AA5" s="17" t="str">
        <f>IFERROR(INDEX(逆引き作成用!$C$2:$C$169,MATCH($B5&amp;"/"&amp;$C5,逆引き作成用!AA$2:AA$169,FALSE),1),"")</f>
        <v/>
      </c>
      <c r="AB5" s="17" t="str">
        <f>IFERROR(INDEX(逆引き作成用!$C$2:$C$169,MATCH($B5&amp;"/"&amp;$C5,逆引き作成用!AB$2:AB$169,FALSE),1),"")</f>
        <v/>
      </c>
      <c r="AC5" s="17" t="str">
        <f>IFERROR(INDEX(逆引き作成用!$C$2:$C$169,MATCH($B5&amp;"/"&amp;$C5,逆引き作成用!AC$2:AC$169,FALSE),1),"")</f>
        <v/>
      </c>
      <c r="AD5" s="17" t="str">
        <f>IFERROR(INDEX(逆引き作成用!$C$2:$C$169,MATCH($B5&amp;"/"&amp;$C5,逆引き作成用!AD$2:AD$169,FALSE),1),"")</f>
        <v/>
      </c>
      <c r="AE5" s="17" t="str">
        <f>IFERROR(INDEX(逆引き作成用!$C$2:$C$169,MATCH($B5&amp;"/"&amp;$C5,逆引き作成用!AE$2:AE$169,FALSE),1),"")</f>
        <v/>
      </c>
      <c r="AF5" s="17" t="str">
        <f>IFERROR(INDEX(逆引き作成用!$C$2:$C$169,MATCH($B5&amp;"/"&amp;$C5,逆引き作成用!AF$2:AF$169,FALSE),1),"")</f>
        <v/>
      </c>
      <c r="AG5" s="17" t="str">
        <f>IFERROR(INDEX(逆引き作成用!$C$2:$C$169,MATCH($B5&amp;"/"&amp;$C5,逆引き作成用!AG$2:AG$169,FALSE),1),"")</f>
        <v/>
      </c>
      <c r="AH5" s="17" t="str">
        <f>IFERROR(INDEX(逆引き作成用!$C$2:$C$169,MATCH($B5&amp;"/"&amp;$C5,逆引き作成用!AH$2:AH$169,FALSE),1),"")</f>
        <v/>
      </c>
      <c r="AI5" s="17" t="str">
        <f>IFERROR(INDEX(逆引き作成用!$C$2:$C$169,MATCH($B5&amp;"/"&amp;$C5,逆引き作成用!AI$2:AI$169,FALSE),1),"")</f>
        <v/>
      </c>
      <c r="AJ5" s="17" t="str">
        <f>IFERROR(INDEX(逆引き作成用!$C$2:$C$169,MATCH($B5&amp;"/"&amp;$C5,逆引き作成用!AJ$2:AJ$169,FALSE),1),"")</f>
        <v/>
      </c>
      <c r="AK5" s="17" t="str">
        <f>IFERROR(INDEX(逆引き作成用!$C$2:$C$169,MATCH($B5&amp;"/"&amp;$C5,逆引き作成用!AK$2:AK$169,FALSE),1),"")</f>
        <v/>
      </c>
      <c r="AL5" s="17" t="str">
        <f>IFERROR(INDEX(逆引き作成用!$C$2:$C$169,MATCH($B5&amp;"/"&amp;$C5,逆引き作成用!AL$2:AL$169,FALSE),1),"")</f>
        <v/>
      </c>
      <c r="AM5" s="17" t="str">
        <f>IFERROR(INDEX(逆引き作成用!$C$2:$C$169,MATCH($B5&amp;"/"&amp;$C5,逆引き作成用!AM$2:AM$169,FALSE),1),"")</f>
        <v/>
      </c>
      <c r="AN5" s="17" t="str">
        <f>IFERROR(INDEX(逆引き作成用!$C$2:$C$169,MATCH($B5&amp;"/"&amp;$C5,逆引き作成用!AN$2:AN$169,FALSE),1),"")</f>
        <v/>
      </c>
      <c r="AO5" s="17" t="str">
        <f>IFERROR(INDEX(逆引き作成用!$C$2:$C$169,MATCH($B5&amp;"/"&amp;$C5,逆引き作成用!AO$2:AO$169,FALSE),1),"")</f>
        <v/>
      </c>
      <c r="AP5" s="17" t="str">
        <f>IFERROR(INDEX(逆引き作成用!$C$2:$C$169,MATCH($B5&amp;"/"&amp;$C5,逆引き作成用!AP$2:AP$169,FALSE),1),"")</f>
        <v/>
      </c>
      <c r="AQ5" s="17" t="str">
        <f>IFERROR(INDEX(逆引き作成用!$C$2:$C$169,MATCH($B5&amp;"/"&amp;$C5,逆引き作成用!AQ$2:AQ$169,FALSE),1),"")</f>
        <v/>
      </c>
      <c r="AR5" s="17" t="str">
        <f>IFERROR(INDEX(逆引き作成用!$C$2:$C$169,MATCH($B5&amp;"/"&amp;$C5,逆引き作成用!AR$2:AR$169,FALSE),1),"")</f>
        <v/>
      </c>
      <c r="AS5" s="17" t="str">
        <f>IFERROR(INDEX(逆引き作成用!$C$2:$C$169,MATCH($B5&amp;"/"&amp;$C5,逆引き作成用!AS$2:AS$169,FALSE),1),"")</f>
        <v/>
      </c>
      <c r="AT5" s="17" t="str">
        <f>IFERROR(INDEX(逆引き作成用!$C$2:$C$169,MATCH($B5&amp;"/"&amp;$C5,逆引き作成用!AT$2:AT$169,FALSE),1),"")</f>
        <v/>
      </c>
      <c r="AU5" s="17" t="str">
        <f>IFERROR(INDEX(逆引き作成用!$C$2:$C$169,MATCH($B5&amp;"/"&amp;$C5,逆引き作成用!AU$2:AU$169,FALSE),1),"")</f>
        <v/>
      </c>
      <c r="AV5" s="17" t="str">
        <f>IFERROR(INDEX(逆引き作成用!$C$2:$C$169,MATCH($B5&amp;"/"&amp;$C5,逆引き作成用!AV$2:AV$169,FALSE),1),"")</f>
        <v/>
      </c>
      <c r="AW5" s="17" t="str">
        <f>IFERROR(INDEX(逆引き作成用!$C$2:$C$169,MATCH($B5&amp;"/"&amp;$C5,逆引き作成用!AW$2:AW$169,FALSE),1),"")</f>
        <v/>
      </c>
      <c r="AX5" s="17" t="str">
        <f>IFERROR(INDEX(逆引き作成用!$C$2:$C$169,MATCH($B5&amp;"/"&amp;$C5,逆引き作成用!AX$2:AX$169,FALSE),1),"")</f>
        <v/>
      </c>
      <c r="AY5" s="17" t="str">
        <f>IFERROR(INDEX(逆引き作成用!$C$2:$C$169,MATCH($B5&amp;"/"&amp;$C5,逆引き作成用!AY$2:AY$169,FALSE),1),"")</f>
        <v/>
      </c>
      <c r="AZ5" s="17" t="str">
        <f>IFERROR(INDEX(逆引き作成用!$C$2:$C$169,MATCH($B5&amp;"/"&amp;$C5,逆引き作成用!AZ$2:AZ$169,FALSE),1),"")</f>
        <v/>
      </c>
      <c r="BA5" s="17" t="str">
        <f>IFERROR(INDEX(逆引き作成用!$C$2:$C$169,MATCH($B5&amp;"/"&amp;$C5,逆引き作成用!BA$2:BA$169,FALSE),1),"")</f>
        <v/>
      </c>
    </row>
    <row r="6" spans="1:53">
      <c r="A6" s="17" t="str">
        <f>IFERROR(INDEX(役職一覧!$B$2:$B$31,MATCH(B6,役職一覧!$C$2:$C$31,FALSE),1),"")</f>
        <v>B</v>
      </c>
      <c r="B6" s="17" t="str">
        <f>IFERROR(IF(C6=1,INDEX(役職一覧!$C$2:$C$31,MATCH(逆引き!B5,役職一覧!$C$2:$C$31,FALSE)+1,1)&amp;"",B5),"")</f>
        <v>い</v>
      </c>
      <c r="C6" s="17">
        <f>IFERROR(IF(VLOOKUP(B5,役職一覧!$C$2:$E$31,3,FALSE)=C5,1,C5+1),"")</f>
        <v>3</v>
      </c>
      <c r="D6" s="17" t="str">
        <f>IFERROR(INDEX(逆引き作成用!$C$2:$C$169,MATCH($B6&amp;"/"&amp;$C6,逆引き作成用!D$2:D$169,FALSE),1),"")</f>
        <v/>
      </c>
      <c r="E6" s="17" t="str">
        <f>IFERROR(INDEX(逆引き作成用!$C$2:$C$169,MATCH($B6&amp;"/"&amp;$C6,逆引き作成用!E$2:E$169,FALSE),1),"")</f>
        <v/>
      </c>
      <c r="F6" s="17" t="str">
        <f>IFERROR(INDEX(逆引き作成用!$C$2:$C$169,MATCH($B6&amp;"/"&amp;$C6,逆引き作成用!F$2:F$169,FALSE),1),"")</f>
        <v/>
      </c>
      <c r="G6" s="17" t="str">
        <f>IFERROR(INDEX(逆引き作成用!$C$2:$C$169,MATCH($B6&amp;"/"&amp;$C6,逆引き作成用!G$2:G$169,FALSE),1),"")</f>
        <v/>
      </c>
      <c r="H6" s="17" t="str">
        <f>IFERROR(INDEX(逆引き作成用!$C$2:$C$169,MATCH($B6&amp;"/"&amp;$C6,逆引き作成用!H$2:H$169,FALSE),1),"")</f>
        <v/>
      </c>
      <c r="I6" s="17" t="str">
        <f>IFERROR(INDEX(逆引き作成用!$C$2:$C$169,MATCH($B6&amp;"/"&amp;$C6,逆引き作成用!I$2:I$169,FALSE),1),"")</f>
        <v/>
      </c>
      <c r="J6" s="17" t="str">
        <f>IFERROR(INDEX(逆引き作成用!$C$2:$C$169,MATCH($B6&amp;"/"&amp;$C6,逆引き作成用!J$2:J$169,FALSE),1),"")</f>
        <v/>
      </c>
      <c r="K6" s="17" t="str">
        <f>IFERROR(INDEX(逆引き作成用!$C$2:$C$169,MATCH($B6&amp;"/"&amp;$C6,逆引き作成用!K$2:K$169,FALSE),1),"")</f>
        <v/>
      </c>
      <c r="L6" s="17" t="str">
        <f>IFERROR(INDEX(逆引き作成用!$C$2:$C$169,MATCH($B6&amp;"/"&amp;$C6,逆引き作成用!L$2:L$169,FALSE),1),"")</f>
        <v/>
      </c>
      <c r="M6" s="17" t="str">
        <f>IFERROR(INDEX(逆引き作成用!$C$2:$C$169,MATCH($B6&amp;"/"&amp;$C6,逆引き作成用!M$2:M$169,FALSE),1),"")</f>
        <v/>
      </c>
      <c r="N6" s="17" t="str">
        <f>IFERROR(INDEX(逆引き作成用!$C$2:$C$169,MATCH($B6&amp;"/"&amp;$C6,逆引き作成用!N$2:N$169,FALSE),1),"")</f>
        <v/>
      </c>
      <c r="O6" s="17" t="str">
        <f>IFERROR(INDEX(逆引き作成用!$C$2:$C$169,MATCH($B6&amp;"/"&amp;$C6,逆引き作成用!O$2:O$169,FALSE),1),"")</f>
        <v/>
      </c>
      <c r="P6" s="17" t="str">
        <f>IFERROR(INDEX(逆引き作成用!$C$2:$C$169,MATCH($B6&amp;"/"&amp;$C6,逆引き作成用!P$2:P$169,FALSE),1),"")</f>
        <v/>
      </c>
      <c r="Q6" s="17" t="str">
        <f>IFERROR(INDEX(逆引き作成用!$C$2:$C$169,MATCH($B6&amp;"/"&amp;$C6,逆引き作成用!Q$2:Q$169,FALSE),1),"")</f>
        <v/>
      </c>
      <c r="R6" s="17" t="str">
        <f>IFERROR(INDEX(逆引き作成用!$C$2:$C$169,MATCH($B6&amp;"/"&amp;$C6,逆引き作成用!R$2:R$169,FALSE),1),"")</f>
        <v/>
      </c>
      <c r="S6" s="17" t="str">
        <f>IFERROR(INDEX(逆引き作成用!$C$2:$C$169,MATCH($B6&amp;"/"&amp;$C6,逆引き作成用!S$2:S$169,FALSE),1),"")</f>
        <v/>
      </c>
      <c r="T6" s="17" t="str">
        <f>IFERROR(INDEX(逆引き作成用!$C$2:$C$169,MATCH($B6&amp;"/"&amp;$C6,逆引き作成用!T$2:T$169,FALSE),1),"")</f>
        <v/>
      </c>
      <c r="U6" s="17" t="str">
        <f>IFERROR(INDEX(逆引き作成用!$C$2:$C$169,MATCH($B6&amp;"/"&amp;$C6,逆引き作成用!U$2:U$169,FALSE),1),"")</f>
        <v/>
      </c>
      <c r="V6" s="17" t="str">
        <f>IFERROR(INDEX(逆引き作成用!$C$2:$C$169,MATCH($B6&amp;"/"&amp;$C6,逆引き作成用!V$2:V$169,FALSE),1),"")</f>
        <v/>
      </c>
      <c r="W6" s="17" t="str">
        <f>IFERROR(INDEX(逆引き作成用!$C$2:$C$169,MATCH($B6&amp;"/"&amp;$C6,逆引き作成用!W$2:W$169,FALSE),1),"")</f>
        <v/>
      </c>
      <c r="X6" s="17" t="str">
        <f>IFERROR(INDEX(逆引き作成用!$C$2:$C$169,MATCH($B6&amp;"/"&amp;$C6,逆引き作成用!X$2:X$169,FALSE),1),"")</f>
        <v/>
      </c>
      <c r="Y6" s="17" t="str">
        <f>IFERROR(INDEX(逆引き作成用!$C$2:$C$169,MATCH($B6&amp;"/"&amp;$C6,逆引き作成用!Y$2:Y$169,FALSE),1),"")</f>
        <v/>
      </c>
      <c r="Z6" s="17" t="str">
        <f>IFERROR(INDEX(逆引き作成用!$C$2:$C$169,MATCH($B6&amp;"/"&amp;$C6,逆引き作成用!Z$2:Z$169,FALSE),1),"")</f>
        <v/>
      </c>
      <c r="AA6" s="17" t="str">
        <f>IFERROR(INDEX(逆引き作成用!$C$2:$C$169,MATCH($B6&amp;"/"&amp;$C6,逆引き作成用!AA$2:AA$169,FALSE),1),"")</f>
        <v/>
      </c>
      <c r="AB6" s="17" t="str">
        <f>IFERROR(INDEX(逆引き作成用!$C$2:$C$169,MATCH($B6&amp;"/"&amp;$C6,逆引き作成用!AB$2:AB$169,FALSE),1),"")</f>
        <v/>
      </c>
      <c r="AC6" s="17" t="str">
        <f>IFERROR(INDEX(逆引き作成用!$C$2:$C$169,MATCH($B6&amp;"/"&amp;$C6,逆引き作成用!AC$2:AC$169,FALSE),1),"")</f>
        <v/>
      </c>
      <c r="AD6" s="17" t="str">
        <f>IFERROR(INDEX(逆引き作成用!$C$2:$C$169,MATCH($B6&amp;"/"&amp;$C6,逆引き作成用!AD$2:AD$169,FALSE),1),"")</f>
        <v/>
      </c>
      <c r="AE6" s="17" t="str">
        <f>IFERROR(INDEX(逆引き作成用!$C$2:$C$169,MATCH($B6&amp;"/"&amp;$C6,逆引き作成用!AE$2:AE$169,FALSE),1),"")</f>
        <v/>
      </c>
      <c r="AF6" s="17" t="str">
        <f>IFERROR(INDEX(逆引き作成用!$C$2:$C$169,MATCH($B6&amp;"/"&amp;$C6,逆引き作成用!AF$2:AF$169,FALSE),1),"")</f>
        <v/>
      </c>
      <c r="AG6" s="17" t="str">
        <f>IFERROR(INDEX(逆引き作成用!$C$2:$C$169,MATCH($B6&amp;"/"&amp;$C6,逆引き作成用!AG$2:AG$169,FALSE),1),"")</f>
        <v/>
      </c>
      <c r="AH6" s="17" t="str">
        <f>IFERROR(INDEX(逆引き作成用!$C$2:$C$169,MATCH($B6&amp;"/"&amp;$C6,逆引き作成用!AH$2:AH$169,FALSE),1),"")</f>
        <v/>
      </c>
      <c r="AI6" s="17" t="str">
        <f>IFERROR(INDEX(逆引き作成用!$C$2:$C$169,MATCH($B6&amp;"/"&amp;$C6,逆引き作成用!AI$2:AI$169,FALSE),1),"")</f>
        <v/>
      </c>
      <c r="AJ6" s="17" t="str">
        <f>IFERROR(INDEX(逆引き作成用!$C$2:$C$169,MATCH($B6&amp;"/"&amp;$C6,逆引き作成用!AJ$2:AJ$169,FALSE),1),"")</f>
        <v/>
      </c>
      <c r="AK6" s="17" t="str">
        <f>IFERROR(INDEX(逆引き作成用!$C$2:$C$169,MATCH($B6&amp;"/"&amp;$C6,逆引き作成用!AK$2:AK$169,FALSE),1),"")</f>
        <v/>
      </c>
      <c r="AL6" s="17" t="str">
        <f>IFERROR(INDEX(逆引き作成用!$C$2:$C$169,MATCH($B6&amp;"/"&amp;$C6,逆引き作成用!AL$2:AL$169,FALSE),1),"")</f>
        <v/>
      </c>
      <c r="AM6" s="17" t="str">
        <f>IFERROR(INDEX(逆引き作成用!$C$2:$C$169,MATCH($B6&amp;"/"&amp;$C6,逆引き作成用!AM$2:AM$169,FALSE),1),"")</f>
        <v/>
      </c>
      <c r="AN6" s="17" t="str">
        <f>IFERROR(INDEX(逆引き作成用!$C$2:$C$169,MATCH($B6&amp;"/"&amp;$C6,逆引き作成用!AN$2:AN$169,FALSE),1),"")</f>
        <v/>
      </c>
      <c r="AO6" s="17" t="str">
        <f>IFERROR(INDEX(逆引き作成用!$C$2:$C$169,MATCH($B6&amp;"/"&amp;$C6,逆引き作成用!AO$2:AO$169,FALSE),1),"")</f>
        <v/>
      </c>
      <c r="AP6" s="17" t="str">
        <f>IFERROR(INDEX(逆引き作成用!$C$2:$C$169,MATCH($B6&amp;"/"&amp;$C6,逆引き作成用!AP$2:AP$169,FALSE),1),"")</f>
        <v/>
      </c>
      <c r="AQ6" s="17" t="str">
        <f>IFERROR(INDEX(逆引き作成用!$C$2:$C$169,MATCH($B6&amp;"/"&amp;$C6,逆引き作成用!AQ$2:AQ$169,FALSE),1),"")</f>
        <v/>
      </c>
      <c r="AR6" s="17" t="str">
        <f>IFERROR(INDEX(逆引き作成用!$C$2:$C$169,MATCH($B6&amp;"/"&amp;$C6,逆引き作成用!AR$2:AR$169,FALSE),1),"")</f>
        <v/>
      </c>
      <c r="AS6" s="17" t="str">
        <f>IFERROR(INDEX(逆引き作成用!$C$2:$C$169,MATCH($B6&amp;"/"&amp;$C6,逆引き作成用!AS$2:AS$169,FALSE),1),"")</f>
        <v/>
      </c>
      <c r="AT6" s="17" t="str">
        <f>IFERROR(INDEX(逆引き作成用!$C$2:$C$169,MATCH($B6&amp;"/"&amp;$C6,逆引き作成用!AT$2:AT$169,FALSE),1),"")</f>
        <v/>
      </c>
      <c r="AU6" s="17" t="str">
        <f>IFERROR(INDEX(逆引き作成用!$C$2:$C$169,MATCH($B6&amp;"/"&amp;$C6,逆引き作成用!AU$2:AU$169,FALSE),1),"")</f>
        <v/>
      </c>
      <c r="AV6" s="17" t="str">
        <f>IFERROR(INDEX(逆引き作成用!$C$2:$C$169,MATCH($B6&amp;"/"&amp;$C6,逆引き作成用!AV$2:AV$169,FALSE),1),"")</f>
        <v/>
      </c>
      <c r="AW6" s="17" t="str">
        <f>IFERROR(INDEX(逆引き作成用!$C$2:$C$169,MATCH($B6&amp;"/"&amp;$C6,逆引き作成用!AW$2:AW$169,FALSE),1),"")</f>
        <v/>
      </c>
      <c r="AX6" s="17" t="str">
        <f>IFERROR(INDEX(逆引き作成用!$C$2:$C$169,MATCH($B6&amp;"/"&amp;$C6,逆引き作成用!AX$2:AX$169,FALSE),1),"")</f>
        <v/>
      </c>
      <c r="AY6" s="17" t="str">
        <f>IFERROR(INDEX(逆引き作成用!$C$2:$C$169,MATCH($B6&amp;"/"&amp;$C6,逆引き作成用!AY$2:AY$169,FALSE),1),"")</f>
        <v/>
      </c>
      <c r="AZ6" s="17" t="str">
        <f>IFERROR(INDEX(逆引き作成用!$C$2:$C$169,MATCH($B6&amp;"/"&amp;$C6,逆引き作成用!AZ$2:AZ$169,FALSE),1),"")</f>
        <v/>
      </c>
      <c r="BA6" s="17" t="str">
        <f>IFERROR(INDEX(逆引き作成用!$C$2:$C$169,MATCH($B6&amp;"/"&amp;$C6,逆引き作成用!BA$2:BA$169,FALSE),1),"")</f>
        <v/>
      </c>
    </row>
    <row r="7" spans="1:53">
      <c r="A7" s="17" t="str">
        <f>IFERROR(INDEX(役職一覧!$B$2:$B$31,MATCH(B7,役職一覧!$C$2:$C$31,FALSE),1),"")</f>
        <v>C</v>
      </c>
      <c r="B7" s="17" t="str">
        <f>IFERROR(IF(C7=1,INDEX(役職一覧!$C$2:$C$31,MATCH(逆引き!B6,役職一覧!$C$2:$C$31,FALSE)+1,1)&amp;"",B6),"")</f>
        <v>う</v>
      </c>
      <c r="C7" s="17">
        <f>IFERROR(IF(VLOOKUP(B6,役職一覧!$C$2:$E$31,3,FALSE)=C6,1,C6+1),"")</f>
        <v>1</v>
      </c>
      <c r="D7" s="17" t="str">
        <f>IFERROR(INDEX(逆引き作成用!$C$2:$C$169,MATCH($B7&amp;"/"&amp;$C7,逆引き作成用!D$2:D$169,FALSE),1),"")</f>
        <v/>
      </c>
      <c r="E7" s="17" t="str">
        <f>IFERROR(INDEX(逆引き作成用!$C$2:$C$169,MATCH($B7&amp;"/"&amp;$C7,逆引き作成用!E$2:E$169,FALSE),1),"")</f>
        <v/>
      </c>
      <c r="F7" s="17" t="str">
        <f>IFERROR(INDEX(逆引き作成用!$C$2:$C$169,MATCH($B7&amp;"/"&amp;$C7,逆引き作成用!F$2:F$169,FALSE),1),"")</f>
        <v/>
      </c>
      <c r="G7" s="17" t="str">
        <f>IFERROR(INDEX(逆引き作成用!$C$2:$C$169,MATCH($B7&amp;"/"&amp;$C7,逆引き作成用!G$2:G$169,FALSE),1),"")</f>
        <v/>
      </c>
      <c r="H7" s="17" t="str">
        <f>IFERROR(INDEX(逆引き作成用!$C$2:$C$169,MATCH($B7&amp;"/"&amp;$C7,逆引き作成用!H$2:H$169,FALSE),1),"")</f>
        <v/>
      </c>
      <c r="I7" s="17" t="str">
        <f>IFERROR(INDEX(逆引き作成用!$C$2:$C$169,MATCH($B7&amp;"/"&amp;$C7,逆引き作成用!I$2:I$169,FALSE),1),"")</f>
        <v/>
      </c>
      <c r="J7" s="17" t="str">
        <f>IFERROR(INDEX(逆引き作成用!$C$2:$C$169,MATCH($B7&amp;"/"&amp;$C7,逆引き作成用!J$2:J$169,FALSE),1),"")</f>
        <v/>
      </c>
      <c r="K7" s="17" t="str">
        <f>IFERROR(INDEX(逆引き作成用!$C$2:$C$169,MATCH($B7&amp;"/"&amp;$C7,逆引き作成用!K$2:K$169,FALSE),1),"")</f>
        <v/>
      </c>
      <c r="L7" s="17" t="str">
        <f>IFERROR(INDEX(逆引き作成用!$C$2:$C$169,MATCH($B7&amp;"/"&amp;$C7,逆引き作成用!L$2:L$169,FALSE),1),"")</f>
        <v/>
      </c>
      <c r="M7" s="17" t="str">
        <f>IFERROR(INDEX(逆引き作成用!$C$2:$C$169,MATCH($B7&amp;"/"&amp;$C7,逆引き作成用!M$2:M$169,FALSE),1),"")</f>
        <v/>
      </c>
      <c r="N7" s="17" t="str">
        <f>IFERROR(INDEX(逆引き作成用!$C$2:$C$169,MATCH($B7&amp;"/"&amp;$C7,逆引き作成用!N$2:N$169,FALSE),1),"")</f>
        <v/>
      </c>
      <c r="O7" s="17" t="str">
        <f>IFERROR(INDEX(逆引き作成用!$C$2:$C$169,MATCH($B7&amp;"/"&amp;$C7,逆引き作成用!O$2:O$169,FALSE),1),"")</f>
        <v/>
      </c>
      <c r="P7" s="17" t="str">
        <f>IFERROR(INDEX(逆引き作成用!$C$2:$C$169,MATCH($B7&amp;"/"&amp;$C7,逆引き作成用!P$2:P$169,FALSE),1),"")</f>
        <v/>
      </c>
      <c r="Q7" s="17" t="str">
        <f>IFERROR(INDEX(逆引き作成用!$C$2:$C$169,MATCH($B7&amp;"/"&amp;$C7,逆引き作成用!Q$2:Q$169,FALSE),1),"")</f>
        <v/>
      </c>
      <c r="R7" s="17" t="str">
        <f>IFERROR(INDEX(逆引き作成用!$C$2:$C$169,MATCH($B7&amp;"/"&amp;$C7,逆引き作成用!R$2:R$169,FALSE),1),"")</f>
        <v/>
      </c>
      <c r="S7" s="17" t="str">
        <f>IFERROR(INDEX(逆引き作成用!$C$2:$C$169,MATCH($B7&amp;"/"&amp;$C7,逆引き作成用!S$2:S$169,FALSE),1),"")</f>
        <v/>
      </c>
      <c r="T7" s="17" t="str">
        <f>IFERROR(INDEX(逆引き作成用!$C$2:$C$169,MATCH($B7&amp;"/"&amp;$C7,逆引き作成用!T$2:T$169,FALSE),1),"")</f>
        <v/>
      </c>
      <c r="U7" s="17" t="str">
        <f>IFERROR(INDEX(逆引き作成用!$C$2:$C$169,MATCH($B7&amp;"/"&amp;$C7,逆引き作成用!U$2:U$169,FALSE),1),"")</f>
        <v/>
      </c>
      <c r="V7" s="17" t="str">
        <f>IFERROR(INDEX(逆引き作成用!$C$2:$C$169,MATCH($B7&amp;"/"&amp;$C7,逆引き作成用!V$2:V$169,FALSE),1),"")</f>
        <v/>
      </c>
      <c r="W7" s="17" t="str">
        <f>IFERROR(INDEX(逆引き作成用!$C$2:$C$169,MATCH($B7&amp;"/"&amp;$C7,逆引き作成用!W$2:W$169,FALSE),1),"")</f>
        <v/>
      </c>
      <c r="X7" s="17" t="str">
        <f>IFERROR(INDEX(逆引き作成用!$C$2:$C$169,MATCH($B7&amp;"/"&amp;$C7,逆引き作成用!X$2:X$169,FALSE),1),"")</f>
        <v/>
      </c>
      <c r="Y7" s="17" t="str">
        <f>IFERROR(INDEX(逆引き作成用!$C$2:$C$169,MATCH($B7&amp;"/"&amp;$C7,逆引き作成用!Y$2:Y$169,FALSE),1),"")</f>
        <v/>
      </c>
      <c r="Z7" s="17" t="str">
        <f>IFERROR(INDEX(逆引き作成用!$C$2:$C$169,MATCH($B7&amp;"/"&amp;$C7,逆引き作成用!Z$2:Z$169,FALSE),1),"")</f>
        <v/>
      </c>
      <c r="AA7" s="17" t="str">
        <f>IFERROR(INDEX(逆引き作成用!$C$2:$C$169,MATCH($B7&amp;"/"&amp;$C7,逆引き作成用!AA$2:AA$169,FALSE),1),"")</f>
        <v/>
      </c>
      <c r="AB7" s="17" t="str">
        <f>IFERROR(INDEX(逆引き作成用!$C$2:$C$169,MATCH($B7&amp;"/"&amp;$C7,逆引き作成用!AB$2:AB$169,FALSE),1),"")</f>
        <v/>
      </c>
      <c r="AC7" s="17" t="str">
        <f>IFERROR(INDEX(逆引き作成用!$C$2:$C$169,MATCH($B7&amp;"/"&amp;$C7,逆引き作成用!AC$2:AC$169,FALSE),1),"")</f>
        <v/>
      </c>
      <c r="AD7" s="17" t="str">
        <f>IFERROR(INDEX(逆引き作成用!$C$2:$C$169,MATCH($B7&amp;"/"&amp;$C7,逆引き作成用!AD$2:AD$169,FALSE),1),"")</f>
        <v/>
      </c>
      <c r="AE7" s="17" t="str">
        <f>IFERROR(INDEX(逆引き作成用!$C$2:$C$169,MATCH($B7&amp;"/"&amp;$C7,逆引き作成用!AE$2:AE$169,FALSE),1),"")</f>
        <v/>
      </c>
      <c r="AF7" s="17" t="str">
        <f>IFERROR(INDEX(逆引き作成用!$C$2:$C$169,MATCH($B7&amp;"/"&amp;$C7,逆引き作成用!AF$2:AF$169,FALSE),1),"")</f>
        <v/>
      </c>
      <c r="AG7" s="17" t="str">
        <f>IFERROR(INDEX(逆引き作成用!$C$2:$C$169,MATCH($B7&amp;"/"&amp;$C7,逆引き作成用!AG$2:AG$169,FALSE),1),"")</f>
        <v/>
      </c>
      <c r="AH7" s="17" t="str">
        <f>IFERROR(INDEX(逆引き作成用!$C$2:$C$169,MATCH($B7&amp;"/"&amp;$C7,逆引き作成用!AH$2:AH$169,FALSE),1),"")</f>
        <v/>
      </c>
      <c r="AI7" s="17" t="str">
        <f>IFERROR(INDEX(逆引き作成用!$C$2:$C$169,MATCH($B7&amp;"/"&amp;$C7,逆引き作成用!AI$2:AI$169,FALSE),1),"")</f>
        <v/>
      </c>
      <c r="AJ7" s="17" t="str">
        <f>IFERROR(INDEX(逆引き作成用!$C$2:$C$169,MATCH($B7&amp;"/"&amp;$C7,逆引き作成用!AJ$2:AJ$169,FALSE),1),"")</f>
        <v/>
      </c>
      <c r="AK7" s="17" t="str">
        <f>IFERROR(INDEX(逆引き作成用!$C$2:$C$169,MATCH($B7&amp;"/"&amp;$C7,逆引き作成用!AK$2:AK$169,FALSE),1),"")</f>
        <v/>
      </c>
      <c r="AL7" s="17" t="str">
        <f>IFERROR(INDEX(逆引き作成用!$C$2:$C$169,MATCH($B7&amp;"/"&amp;$C7,逆引き作成用!AL$2:AL$169,FALSE),1),"")</f>
        <v/>
      </c>
      <c r="AM7" s="17" t="str">
        <f>IFERROR(INDEX(逆引き作成用!$C$2:$C$169,MATCH($B7&amp;"/"&amp;$C7,逆引き作成用!AM$2:AM$169,FALSE),1),"")</f>
        <v/>
      </c>
      <c r="AN7" s="17" t="str">
        <f>IFERROR(INDEX(逆引き作成用!$C$2:$C$169,MATCH($B7&amp;"/"&amp;$C7,逆引き作成用!AN$2:AN$169,FALSE),1),"")</f>
        <v/>
      </c>
      <c r="AO7" s="17" t="str">
        <f>IFERROR(INDEX(逆引き作成用!$C$2:$C$169,MATCH($B7&amp;"/"&amp;$C7,逆引き作成用!AO$2:AO$169,FALSE),1),"")</f>
        <v/>
      </c>
      <c r="AP7" s="17" t="str">
        <f>IFERROR(INDEX(逆引き作成用!$C$2:$C$169,MATCH($B7&amp;"/"&amp;$C7,逆引き作成用!AP$2:AP$169,FALSE),1),"")</f>
        <v/>
      </c>
      <c r="AQ7" s="17" t="str">
        <f>IFERROR(INDEX(逆引き作成用!$C$2:$C$169,MATCH($B7&amp;"/"&amp;$C7,逆引き作成用!AQ$2:AQ$169,FALSE),1),"")</f>
        <v/>
      </c>
      <c r="AR7" s="17" t="str">
        <f>IFERROR(INDEX(逆引き作成用!$C$2:$C$169,MATCH($B7&amp;"/"&amp;$C7,逆引き作成用!AR$2:AR$169,FALSE),1),"")</f>
        <v/>
      </c>
      <c r="AS7" s="17" t="str">
        <f>IFERROR(INDEX(逆引き作成用!$C$2:$C$169,MATCH($B7&amp;"/"&amp;$C7,逆引き作成用!AS$2:AS$169,FALSE),1),"")</f>
        <v/>
      </c>
      <c r="AT7" s="17" t="str">
        <f>IFERROR(INDEX(逆引き作成用!$C$2:$C$169,MATCH($B7&amp;"/"&amp;$C7,逆引き作成用!AT$2:AT$169,FALSE),1),"")</f>
        <v/>
      </c>
      <c r="AU7" s="17" t="str">
        <f>IFERROR(INDEX(逆引き作成用!$C$2:$C$169,MATCH($B7&amp;"/"&amp;$C7,逆引き作成用!AU$2:AU$169,FALSE),1),"")</f>
        <v/>
      </c>
      <c r="AV7" s="17" t="str">
        <f>IFERROR(INDEX(逆引き作成用!$C$2:$C$169,MATCH($B7&amp;"/"&amp;$C7,逆引き作成用!AV$2:AV$169,FALSE),1),"")</f>
        <v/>
      </c>
      <c r="AW7" s="17" t="str">
        <f>IFERROR(INDEX(逆引き作成用!$C$2:$C$169,MATCH($B7&amp;"/"&amp;$C7,逆引き作成用!AW$2:AW$169,FALSE),1),"")</f>
        <v/>
      </c>
      <c r="AX7" s="17" t="str">
        <f>IFERROR(INDEX(逆引き作成用!$C$2:$C$169,MATCH($B7&amp;"/"&amp;$C7,逆引き作成用!AX$2:AX$169,FALSE),1),"")</f>
        <v/>
      </c>
      <c r="AY7" s="17" t="str">
        <f>IFERROR(INDEX(逆引き作成用!$C$2:$C$169,MATCH($B7&amp;"/"&amp;$C7,逆引き作成用!AY$2:AY$169,FALSE),1),"")</f>
        <v/>
      </c>
      <c r="AZ7" s="17" t="str">
        <f>IFERROR(INDEX(逆引き作成用!$C$2:$C$169,MATCH($B7&amp;"/"&amp;$C7,逆引き作成用!AZ$2:AZ$169,FALSE),1),"")</f>
        <v/>
      </c>
      <c r="BA7" s="17" t="str">
        <f>IFERROR(INDEX(逆引き作成用!$C$2:$C$169,MATCH($B7&amp;"/"&amp;$C7,逆引き作成用!BA$2:BA$169,FALSE),1),"")</f>
        <v/>
      </c>
    </row>
    <row r="8" spans="1:53">
      <c r="A8" s="17" t="str">
        <f>IFERROR(INDEX(役職一覧!$B$2:$B$31,MATCH(B8,役職一覧!$C$2:$C$31,FALSE),1),"")</f>
        <v>C</v>
      </c>
      <c r="B8" s="17" t="str">
        <f>IFERROR(IF(C8=1,INDEX(役職一覧!$C$2:$C$31,MATCH(逆引き!B7,役職一覧!$C$2:$C$31,FALSE)+1,1)&amp;"",B7),"")</f>
        <v>う</v>
      </c>
      <c r="C8" s="17">
        <f>IFERROR(IF(VLOOKUP(B7,役職一覧!$C$2:$E$31,3,FALSE)=C7,1,C7+1),"")</f>
        <v>2</v>
      </c>
      <c r="D8" s="17" t="str">
        <f>IFERROR(INDEX(逆引き作成用!$C$2:$C$169,MATCH($B8&amp;"/"&amp;$C8,逆引き作成用!D$2:D$169,FALSE),1),"")</f>
        <v/>
      </c>
      <c r="E8" s="17" t="str">
        <f>IFERROR(INDEX(逆引き作成用!$C$2:$C$169,MATCH($B8&amp;"/"&amp;$C8,逆引き作成用!E$2:E$169,FALSE),1),"")</f>
        <v/>
      </c>
      <c r="F8" s="17" t="str">
        <f>IFERROR(INDEX(逆引き作成用!$C$2:$C$169,MATCH($B8&amp;"/"&amp;$C8,逆引き作成用!F$2:F$169,FALSE),1),"")</f>
        <v/>
      </c>
      <c r="G8" s="17" t="str">
        <f>IFERROR(INDEX(逆引き作成用!$C$2:$C$169,MATCH($B8&amp;"/"&amp;$C8,逆引き作成用!G$2:G$169,FALSE),1),"")</f>
        <v/>
      </c>
      <c r="H8" s="17" t="str">
        <f>IFERROR(INDEX(逆引き作成用!$C$2:$C$169,MATCH($B8&amp;"/"&amp;$C8,逆引き作成用!H$2:H$169,FALSE),1),"")</f>
        <v/>
      </c>
      <c r="I8" s="17" t="str">
        <f>IFERROR(INDEX(逆引き作成用!$C$2:$C$169,MATCH($B8&amp;"/"&amp;$C8,逆引き作成用!I$2:I$169,FALSE),1),"")</f>
        <v/>
      </c>
      <c r="J8" s="17" t="str">
        <f>IFERROR(INDEX(逆引き作成用!$C$2:$C$169,MATCH($B8&amp;"/"&amp;$C8,逆引き作成用!J$2:J$169,FALSE),1),"")</f>
        <v/>
      </c>
      <c r="K8" s="17" t="str">
        <f>IFERROR(INDEX(逆引き作成用!$C$2:$C$169,MATCH($B8&amp;"/"&amp;$C8,逆引き作成用!K$2:K$169,FALSE),1),"")</f>
        <v/>
      </c>
      <c r="L8" s="17" t="str">
        <f>IFERROR(INDEX(逆引き作成用!$C$2:$C$169,MATCH($B8&amp;"/"&amp;$C8,逆引き作成用!L$2:L$169,FALSE),1),"")</f>
        <v/>
      </c>
      <c r="M8" s="17" t="str">
        <f>IFERROR(INDEX(逆引き作成用!$C$2:$C$169,MATCH($B8&amp;"/"&amp;$C8,逆引き作成用!M$2:M$169,FALSE),1),"")</f>
        <v/>
      </c>
      <c r="N8" s="17" t="str">
        <f>IFERROR(INDEX(逆引き作成用!$C$2:$C$169,MATCH($B8&amp;"/"&amp;$C8,逆引き作成用!N$2:N$169,FALSE),1),"")</f>
        <v/>
      </c>
      <c r="O8" s="17" t="str">
        <f>IFERROR(INDEX(逆引き作成用!$C$2:$C$169,MATCH($B8&amp;"/"&amp;$C8,逆引き作成用!O$2:O$169,FALSE),1),"")</f>
        <v/>
      </c>
      <c r="P8" s="17" t="str">
        <f>IFERROR(INDEX(逆引き作成用!$C$2:$C$169,MATCH($B8&amp;"/"&amp;$C8,逆引き作成用!P$2:P$169,FALSE),1),"")</f>
        <v/>
      </c>
      <c r="Q8" s="17" t="str">
        <f>IFERROR(INDEX(逆引き作成用!$C$2:$C$169,MATCH($B8&amp;"/"&amp;$C8,逆引き作成用!Q$2:Q$169,FALSE),1),"")</f>
        <v/>
      </c>
      <c r="R8" s="17" t="str">
        <f>IFERROR(INDEX(逆引き作成用!$C$2:$C$169,MATCH($B8&amp;"/"&amp;$C8,逆引き作成用!R$2:R$169,FALSE),1),"")</f>
        <v/>
      </c>
      <c r="S8" s="17" t="str">
        <f>IFERROR(INDEX(逆引き作成用!$C$2:$C$169,MATCH($B8&amp;"/"&amp;$C8,逆引き作成用!S$2:S$169,FALSE),1),"")</f>
        <v/>
      </c>
      <c r="T8" s="17" t="str">
        <f>IFERROR(INDEX(逆引き作成用!$C$2:$C$169,MATCH($B8&amp;"/"&amp;$C8,逆引き作成用!T$2:T$169,FALSE),1),"")</f>
        <v/>
      </c>
      <c r="U8" s="17" t="str">
        <f>IFERROR(INDEX(逆引き作成用!$C$2:$C$169,MATCH($B8&amp;"/"&amp;$C8,逆引き作成用!U$2:U$169,FALSE),1),"")</f>
        <v/>
      </c>
      <c r="V8" s="17" t="str">
        <f>IFERROR(INDEX(逆引き作成用!$C$2:$C$169,MATCH($B8&amp;"/"&amp;$C8,逆引き作成用!V$2:V$169,FALSE),1),"")</f>
        <v/>
      </c>
      <c r="W8" s="17" t="str">
        <f>IFERROR(INDEX(逆引き作成用!$C$2:$C$169,MATCH($B8&amp;"/"&amp;$C8,逆引き作成用!W$2:W$169,FALSE),1),"")</f>
        <v/>
      </c>
      <c r="X8" s="17" t="str">
        <f>IFERROR(INDEX(逆引き作成用!$C$2:$C$169,MATCH($B8&amp;"/"&amp;$C8,逆引き作成用!X$2:X$169,FALSE),1),"")</f>
        <v/>
      </c>
      <c r="Y8" s="17" t="str">
        <f>IFERROR(INDEX(逆引き作成用!$C$2:$C$169,MATCH($B8&amp;"/"&amp;$C8,逆引き作成用!Y$2:Y$169,FALSE),1),"")</f>
        <v/>
      </c>
      <c r="Z8" s="17" t="str">
        <f>IFERROR(INDEX(逆引き作成用!$C$2:$C$169,MATCH($B8&amp;"/"&amp;$C8,逆引き作成用!Z$2:Z$169,FALSE),1),"")</f>
        <v/>
      </c>
      <c r="AA8" s="17" t="str">
        <f>IFERROR(INDEX(逆引き作成用!$C$2:$C$169,MATCH($B8&amp;"/"&amp;$C8,逆引き作成用!AA$2:AA$169,FALSE),1),"")</f>
        <v/>
      </c>
      <c r="AB8" s="17" t="str">
        <f>IFERROR(INDEX(逆引き作成用!$C$2:$C$169,MATCH($B8&amp;"/"&amp;$C8,逆引き作成用!AB$2:AB$169,FALSE),1),"")</f>
        <v/>
      </c>
      <c r="AC8" s="17" t="str">
        <f>IFERROR(INDEX(逆引き作成用!$C$2:$C$169,MATCH($B8&amp;"/"&amp;$C8,逆引き作成用!AC$2:AC$169,FALSE),1),"")</f>
        <v/>
      </c>
      <c r="AD8" s="17" t="str">
        <f>IFERROR(INDEX(逆引き作成用!$C$2:$C$169,MATCH($B8&amp;"/"&amp;$C8,逆引き作成用!AD$2:AD$169,FALSE),1),"")</f>
        <v/>
      </c>
      <c r="AE8" s="17" t="str">
        <f>IFERROR(INDEX(逆引き作成用!$C$2:$C$169,MATCH($B8&amp;"/"&amp;$C8,逆引き作成用!AE$2:AE$169,FALSE),1),"")</f>
        <v/>
      </c>
      <c r="AF8" s="17" t="str">
        <f>IFERROR(INDEX(逆引き作成用!$C$2:$C$169,MATCH($B8&amp;"/"&amp;$C8,逆引き作成用!AF$2:AF$169,FALSE),1),"")</f>
        <v/>
      </c>
      <c r="AG8" s="17" t="str">
        <f>IFERROR(INDEX(逆引き作成用!$C$2:$C$169,MATCH($B8&amp;"/"&amp;$C8,逆引き作成用!AG$2:AG$169,FALSE),1),"")</f>
        <v/>
      </c>
      <c r="AH8" s="17" t="str">
        <f>IFERROR(INDEX(逆引き作成用!$C$2:$C$169,MATCH($B8&amp;"/"&amp;$C8,逆引き作成用!AH$2:AH$169,FALSE),1),"")</f>
        <v/>
      </c>
      <c r="AI8" s="17" t="str">
        <f>IFERROR(INDEX(逆引き作成用!$C$2:$C$169,MATCH($B8&amp;"/"&amp;$C8,逆引き作成用!AI$2:AI$169,FALSE),1),"")</f>
        <v/>
      </c>
      <c r="AJ8" s="17" t="str">
        <f>IFERROR(INDEX(逆引き作成用!$C$2:$C$169,MATCH($B8&amp;"/"&amp;$C8,逆引き作成用!AJ$2:AJ$169,FALSE),1),"")</f>
        <v/>
      </c>
      <c r="AK8" s="17" t="str">
        <f>IFERROR(INDEX(逆引き作成用!$C$2:$C$169,MATCH($B8&amp;"/"&amp;$C8,逆引き作成用!AK$2:AK$169,FALSE),1),"")</f>
        <v/>
      </c>
      <c r="AL8" s="17" t="str">
        <f>IFERROR(INDEX(逆引き作成用!$C$2:$C$169,MATCH($B8&amp;"/"&amp;$C8,逆引き作成用!AL$2:AL$169,FALSE),1),"")</f>
        <v/>
      </c>
      <c r="AM8" s="17" t="str">
        <f>IFERROR(INDEX(逆引き作成用!$C$2:$C$169,MATCH($B8&amp;"/"&amp;$C8,逆引き作成用!AM$2:AM$169,FALSE),1),"")</f>
        <v/>
      </c>
      <c r="AN8" s="17" t="str">
        <f>IFERROR(INDEX(逆引き作成用!$C$2:$C$169,MATCH($B8&amp;"/"&amp;$C8,逆引き作成用!AN$2:AN$169,FALSE),1),"")</f>
        <v/>
      </c>
      <c r="AO8" s="17" t="str">
        <f>IFERROR(INDEX(逆引き作成用!$C$2:$C$169,MATCH($B8&amp;"/"&amp;$C8,逆引き作成用!AO$2:AO$169,FALSE),1),"")</f>
        <v/>
      </c>
      <c r="AP8" s="17" t="str">
        <f>IFERROR(INDEX(逆引き作成用!$C$2:$C$169,MATCH($B8&amp;"/"&amp;$C8,逆引き作成用!AP$2:AP$169,FALSE),1),"")</f>
        <v/>
      </c>
      <c r="AQ8" s="17" t="str">
        <f>IFERROR(INDEX(逆引き作成用!$C$2:$C$169,MATCH($B8&amp;"/"&amp;$C8,逆引き作成用!AQ$2:AQ$169,FALSE),1),"")</f>
        <v/>
      </c>
      <c r="AR8" s="17" t="str">
        <f>IFERROR(INDEX(逆引き作成用!$C$2:$C$169,MATCH($B8&amp;"/"&amp;$C8,逆引き作成用!AR$2:AR$169,FALSE),1),"")</f>
        <v/>
      </c>
      <c r="AS8" s="17" t="str">
        <f>IFERROR(INDEX(逆引き作成用!$C$2:$C$169,MATCH($B8&amp;"/"&amp;$C8,逆引き作成用!AS$2:AS$169,FALSE),1),"")</f>
        <v/>
      </c>
      <c r="AT8" s="17" t="str">
        <f>IFERROR(INDEX(逆引き作成用!$C$2:$C$169,MATCH($B8&amp;"/"&amp;$C8,逆引き作成用!AT$2:AT$169,FALSE),1),"")</f>
        <v/>
      </c>
      <c r="AU8" s="17" t="str">
        <f>IFERROR(INDEX(逆引き作成用!$C$2:$C$169,MATCH($B8&amp;"/"&amp;$C8,逆引き作成用!AU$2:AU$169,FALSE),1),"")</f>
        <v/>
      </c>
      <c r="AV8" s="17" t="str">
        <f>IFERROR(INDEX(逆引き作成用!$C$2:$C$169,MATCH($B8&amp;"/"&amp;$C8,逆引き作成用!AV$2:AV$169,FALSE),1),"")</f>
        <v/>
      </c>
      <c r="AW8" s="17" t="str">
        <f>IFERROR(INDEX(逆引き作成用!$C$2:$C$169,MATCH($B8&amp;"/"&amp;$C8,逆引き作成用!AW$2:AW$169,FALSE),1),"")</f>
        <v/>
      </c>
      <c r="AX8" s="17" t="str">
        <f>IFERROR(INDEX(逆引き作成用!$C$2:$C$169,MATCH($B8&amp;"/"&amp;$C8,逆引き作成用!AX$2:AX$169,FALSE),1),"")</f>
        <v/>
      </c>
      <c r="AY8" s="17" t="str">
        <f>IFERROR(INDEX(逆引き作成用!$C$2:$C$169,MATCH($B8&amp;"/"&amp;$C8,逆引き作成用!AY$2:AY$169,FALSE),1),"")</f>
        <v/>
      </c>
      <c r="AZ8" s="17" t="str">
        <f>IFERROR(INDEX(逆引き作成用!$C$2:$C$169,MATCH($B8&amp;"/"&amp;$C8,逆引き作成用!AZ$2:AZ$169,FALSE),1),"")</f>
        <v/>
      </c>
      <c r="BA8" s="17" t="str">
        <f>IFERROR(INDEX(逆引き作成用!$C$2:$C$169,MATCH($B8&amp;"/"&amp;$C8,逆引き作成用!BA$2:BA$169,FALSE),1),"")</f>
        <v/>
      </c>
    </row>
    <row r="9" spans="1:53">
      <c r="A9" s="17" t="str">
        <f>IFERROR(INDEX(役職一覧!$B$2:$B$31,MATCH(B9,役職一覧!$C$2:$C$31,FALSE),1),"")</f>
        <v>C</v>
      </c>
      <c r="B9" s="17" t="str">
        <f>IFERROR(IF(C9=1,INDEX(役職一覧!$C$2:$C$31,MATCH(逆引き!B8,役職一覧!$C$2:$C$31,FALSE)+1,1)&amp;"",B8),"")</f>
        <v>う</v>
      </c>
      <c r="C9" s="17">
        <f>IFERROR(IF(VLOOKUP(B8,役職一覧!$C$2:$E$31,3,FALSE)=C8,1,C8+1),"")</f>
        <v>3</v>
      </c>
      <c r="D9" s="17" t="str">
        <f>IFERROR(INDEX(逆引き作成用!$C$2:$C$169,MATCH($B9&amp;"/"&amp;$C9,逆引き作成用!D$2:D$169,FALSE),1),"")</f>
        <v/>
      </c>
      <c r="E9" s="17" t="str">
        <f>IFERROR(INDEX(逆引き作成用!$C$2:$C$169,MATCH($B9&amp;"/"&amp;$C9,逆引き作成用!E$2:E$169,FALSE),1),"")</f>
        <v/>
      </c>
      <c r="F9" s="17" t="str">
        <f>IFERROR(INDEX(逆引き作成用!$C$2:$C$169,MATCH($B9&amp;"/"&amp;$C9,逆引き作成用!F$2:F$169,FALSE),1),"")</f>
        <v/>
      </c>
      <c r="G9" s="17" t="str">
        <f>IFERROR(INDEX(逆引き作成用!$C$2:$C$169,MATCH($B9&amp;"/"&amp;$C9,逆引き作成用!G$2:G$169,FALSE),1),"")</f>
        <v/>
      </c>
      <c r="H9" s="17" t="str">
        <f>IFERROR(INDEX(逆引き作成用!$C$2:$C$169,MATCH($B9&amp;"/"&amp;$C9,逆引き作成用!H$2:H$169,FALSE),1),"")</f>
        <v/>
      </c>
      <c r="I9" s="17" t="str">
        <f>IFERROR(INDEX(逆引き作成用!$C$2:$C$169,MATCH($B9&amp;"/"&amp;$C9,逆引き作成用!I$2:I$169,FALSE),1),"")</f>
        <v/>
      </c>
      <c r="J9" s="17" t="str">
        <f>IFERROR(INDEX(逆引き作成用!$C$2:$C$169,MATCH($B9&amp;"/"&amp;$C9,逆引き作成用!J$2:J$169,FALSE),1),"")</f>
        <v/>
      </c>
      <c r="K9" s="17" t="str">
        <f>IFERROR(INDEX(逆引き作成用!$C$2:$C$169,MATCH($B9&amp;"/"&amp;$C9,逆引き作成用!K$2:K$169,FALSE),1),"")</f>
        <v/>
      </c>
      <c r="L9" s="17" t="str">
        <f>IFERROR(INDEX(逆引き作成用!$C$2:$C$169,MATCH($B9&amp;"/"&amp;$C9,逆引き作成用!L$2:L$169,FALSE),1),"")</f>
        <v/>
      </c>
      <c r="M9" s="17" t="str">
        <f>IFERROR(INDEX(逆引き作成用!$C$2:$C$169,MATCH($B9&amp;"/"&amp;$C9,逆引き作成用!M$2:M$169,FALSE),1),"")</f>
        <v/>
      </c>
      <c r="N9" s="17" t="str">
        <f>IFERROR(INDEX(逆引き作成用!$C$2:$C$169,MATCH($B9&amp;"/"&amp;$C9,逆引き作成用!N$2:N$169,FALSE),1),"")</f>
        <v/>
      </c>
      <c r="O9" s="17" t="str">
        <f>IFERROR(INDEX(逆引き作成用!$C$2:$C$169,MATCH($B9&amp;"/"&amp;$C9,逆引き作成用!O$2:O$169,FALSE),1),"")</f>
        <v/>
      </c>
      <c r="P9" s="17" t="str">
        <f>IFERROR(INDEX(逆引き作成用!$C$2:$C$169,MATCH($B9&amp;"/"&amp;$C9,逆引き作成用!P$2:P$169,FALSE),1),"")</f>
        <v/>
      </c>
      <c r="Q9" s="17" t="str">
        <f>IFERROR(INDEX(逆引き作成用!$C$2:$C$169,MATCH($B9&amp;"/"&amp;$C9,逆引き作成用!Q$2:Q$169,FALSE),1),"")</f>
        <v/>
      </c>
      <c r="R9" s="17" t="str">
        <f>IFERROR(INDEX(逆引き作成用!$C$2:$C$169,MATCH($B9&amp;"/"&amp;$C9,逆引き作成用!R$2:R$169,FALSE),1),"")</f>
        <v/>
      </c>
      <c r="S9" s="17" t="str">
        <f>IFERROR(INDEX(逆引き作成用!$C$2:$C$169,MATCH($B9&amp;"/"&amp;$C9,逆引き作成用!S$2:S$169,FALSE),1),"")</f>
        <v/>
      </c>
      <c r="T9" s="17" t="str">
        <f>IFERROR(INDEX(逆引き作成用!$C$2:$C$169,MATCH($B9&amp;"/"&amp;$C9,逆引き作成用!T$2:T$169,FALSE),1),"")</f>
        <v/>
      </c>
      <c r="U9" s="17" t="str">
        <f>IFERROR(INDEX(逆引き作成用!$C$2:$C$169,MATCH($B9&amp;"/"&amp;$C9,逆引き作成用!U$2:U$169,FALSE),1),"")</f>
        <v/>
      </c>
      <c r="V9" s="17" t="str">
        <f>IFERROR(INDEX(逆引き作成用!$C$2:$C$169,MATCH($B9&amp;"/"&amp;$C9,逆引き作成用!V$2:V$169,FALSE),1),"")</f>
        <v/>
      </c>
      <c r="W9" s="17" t="str">
        <f>IFERROR(INDEX(逆引き作成用!$C$2:$C$169,MATCH($B9&amp;"/"&amp;$C9,逆引き作成用!W$2:W$169,FALSE),1),"")</f>
        <v/>
      </c>
      <c r="X9" s="17" t="str">
        <f>IFERROR(INDEX(逆引き作成用!$C$2:$C$169,MATCH($B9&amp;"/"&amp;$C9,逆引き作成用!X$2:X$169,FALSE),1),"")</f>
        <v/>
      </c>
      <c r="Y9" s="17" t="str">
        <f>IFERROR(INDEX(逆引き作成用!$C$2:$C$169,MATCH($B9&amp;"/"&amp;$C9,逆引き作成用!Y$2:Y$169,FALSE),1),"")</f>
        <v/>
      </c>
      <c r="Z9" s="17" t="str">
        <f>IFERROR(INDEX(逆引き作成用!$C$2:$C$169,MATCH($B9&amp;"/"&amp;$C9,逆引き作成用!Z$2:Z$169,FALSE),1),"")</f>
        <v/>
      </c>
      <c r="AA9" s="17" t="str">
        <f>IFERROR(INDEX(逆引き作成用!$C$2:$C$169,MATCH($B9&amp;"/"&amp;$C9,逆引き作成用!AA$2:AA$169,FALSE),1),"")</f>
        <v/>
      </c>
      <c r="AB9" s="17" t="str">
        <f>IFERROR(INDEX(逆引き作成用!$C$2:$C$169,MATCH($B9&amp;"/"&amp;$C9,逆引き作成用!AB$2:AB$169,FALSE),1),"")</f>
        <v/>
      </c>
      <c r="AC9" s="17" t="str">
        <f>IFERROR(INDEX(逆引き作成用!$C$2:$C$169,MATCH($B9&amp;"/"&amp;$C9,逆引き作成用!AC$2:AC$169,FALSE),1),"")</f>
        <v/>
      </c>
      <c r="AD9" s="17" t="str">
        <f>IFERROR(INDEX(逆引き作成用!$C$2:$C$169,MATCH($B9&amp;"/"&amp;$C9,逆引き作成用!AD$2:AD$169,FALSE),1),"")</f>
        <v/>
      </c>
      <c r="AE9" s="17" t="str">
        <f>IFERROR(INDEX(逆引き作成用!$C$2:$C$169,MATCH($B9&amp;"/"&amp;$C9,逆引き作成用!AE$2:AE$169,FALSE),1),"")</f>
        <v/>
      </c>
      <c r="AF9" s="17" t="str">
        <f>IFERROR(INDEX(逆引き作成用!$C$2:$C$169,MATCH($B9&amp;"/"&amp;$C9,逆引き作成用!AF$2:AF$169,FALSE),1),"")</f>
        <v/>
      </c>
      <c r="AG9" s="17" t="str">
        <f>IFERROR(INDEX(逆引き作成用!$C$2:$C$169,MATCH($B9&amp;"/"&amp;$C9,逆引き作成用!AG$2:AG$169,FALSE),1),"")</f>
        <v/>
      </c>
      <c r="AH9" s="17" t="str">
        <f>IFERROR(INDEX(逆引き作成用!$C$2:$C$169,MATCH($B9&amp;"/"&amp;$C9,逆引き作成用!AH$2:AH$169,FALSE),1),"")</f>
        <v/>
      </c>
      <c r="AI9" s="17" t="str">
        <f>IFERROR(INDEX(逆引き作成用!$C$2:$C$169,MATCH($B9&amp;"/"&amp;$C9,逆引き作成用!AI$2:AI$169,FALSE),1),"")</f>
        <v/>
      </c>
      <c r="AJ9" s="17" t="str">
        <f>IFERROR(INDEX(逆引き作成用!$C$2:$C$169,MATCH($B9&amp;"/"&amp;$C9,逆引き作成用!AJ$2:AJ$169,FALSE),1),"")</f>
        <v/>
      </c>
      <c r="AK9" s="17" t="str">
        <f>IFERROR(INDEX(逆引き作成用!$C$2:$C$169,MATCH($B9&amp;"/"&amp;$C9,逆引き作成用!AK$2:AK$169,FALSE),1),"")</f>
        <v/>
      </c>
      <c r="AL9" s="17" t="str">
        <f>IFERROR(INDEX(逆引き作成用!$C$2:$C$169,MATCH($B9&amp;"/"&amp;$C9,逆引き作成用!AL$2:AL$169,FALSE),1),"")</f>
        <v/>
      </c>
      <c r="AM9" s="17" t="str">
        <f>IFERROR(INDEX(逆引き作成用!$C$2:$C$169,MATCH($B9&amp;"/"&amp;$C9,逆引き作成用!AM$2:AM$169,FALSE),1),"")</f>
        <v/>
      </c>
      <c r="AN9" s="17" t="str">
        <f>IFERROR(INDEX(逆引き作成用!$C$2:$C$169,MATCH($B9&amp;"/"&amp;$C9,逆引き作成用!AN$2:AN$169,FALSE),1),"")</f>
        <v/>
      </c>
      <c r="AO9" s="17" t="str">
        <f>IFERROR(INDEX(逆引き作成用!$C$2:$C$169,MATCH($B9&amp;"/"&amp;$C9,逆引き作成用!AO$2:AO$169,FALSE),1),"")</f>
        <v/>
      </c>
      <c r="AP9" s="17" t="str">
        <f>IFERROR(INDEX(逆引き作成用!$C$2:$C$169,MATCH($B9&amp;"/"&amp;$C9,逆引き作成用!AP$2:AP$169,FALSE),1),"")</f>
        <v/>
      </c>
      <c r="AQ9" s="17" t="str">
        <f>IFERROR(INDEX(逆引き作成用!$C$2:$C$169,MATCH($B9&amp;"/"&amp;$C9,逆引き作成用!AQ$2:AQ$169,FALSE),1),"")</f>
        <v/>
      </c>
      <c r="AR9" s="17" t="str">
        <f>IFERROR(INDEX(逆引き作成用!$C$2:$C$169,MATCH($B9&amp;"/"&amp;$C9,逆引き作成用!AR$2:AR$169,FALSE),1),"")</f>
        <v/>
      </c>
      <c r="AS9" s="17" t="str">
        <f>IFERROR(INDEX(逆引き作成用!$C$2:$C$169,MATCH($B9&amp;"/"&amp;$C9,逆引き作成用!AS$2:AS$169,FALSE),1),"")</f>
        <v/>
      </c>
      <c r="AT9" s="17" t="str">
        <f>IFERROR(INDEX(逆引き作成用!$C$2:$C$169,MATCH($B9&amp;"/"&amp;$C9,逆引き作成用!AT$2:AT$169,FALSE),1),"")</f>
        <v/>
      </c>
      <c r="AU9" s="17" t="str">
        <f>IFERROR(INDEX(逆引き作成用!$C$2:$C$169,MATCH($B9&amp;"/"&amp;$C9,逆引き作成用!AU$2:AU$169,FALSE),1),"")</f>
        <v/>
      </c>
      <c r="AV9" s="17" t="str">
        <f>IFERROR(INDEX(逆引き作成用!$C$2:$C$169,MATCH($B9&amp;"/"&amp;$C9,逆引き作成用!AV$2:AV$169,FALSE),1),"")</f>
        <v/>
      </c>
      <c r="AW9" s="17" t="str">
        <f>IFERROR(INDEX(逆引き作成用!$C$2:$C$169,MATCH($B9&amp;"/"&amp;$C9,逆引き作成用!AW$2:AW$169,FALSE),1),"")</f>
        <v/>
      </c>
      <c r="AX9" s="17" t="str">
        <f>IFERROR(INDEX(逆引き作成用!$C$2:$C$169,MATCH($B9&amp;"/"&amp;$C9,逆引き作成用!AX$2:AX$169,FALSE),1),"")</f>
        <v/>
      </c>
      <c r="AY9" s="17" t="str">
        <f>IFERROR(INDEX(逆引き作成用!$C$2:$C$169,MATCH($B9&amp;"/"&amp;$C9,逆引き作成用!AY$2:AY$169,FALSE),1),"")</f>
        <v/>
      </c>
      <c r="AZ9" s="17" t="str">
        <f>IFERROR(INDEX(逆引き作成用!$C$2:$C$169,MATCH($B9&amp;"/"&amp;$C9,逆引き作成用!AZ$2:AZ$169,FALSE),1),"")</f>
        <v/>
      </c>
      <c r="BA9" s="17" t="str">
        <f>IFERROR(INDEX(逆引き作成用!$C$2:$C$169,MATCH($B9&amp;"/"&amp;$C9,逆引き作成用!BA$2:BA$169,FALSE),1),"")</f>
        <v/>
      </c>
    </row>
    <row r="10" spans="1:53">
      <c r="A10" s="17" t="str">
        <f>IFERROR(INDEX(役職一覧!$B$2:$B$31,MATCH(B10,役職一覧!$C$2:$C$31,FALSE),1),"")</f>
        <v>C</v>
      </c>
      <c r="B10" s="17" t="str">
        <f>IFERROR(IF(C10=1,INDEX(役職一覧!$C$2:$C$31,MATCH(逆引き!B9,役職一覧!$C$2:$C$31,FALSE)+1,1)&amp;"",B9),"")</f>
        <v>う</v>
      </c>
      <c r="C10" s="17">
        <f>IFERROR(IF(VLOOKUP(B9,役職一覧!$C$2:$E$31,3,FALSE)=C9,1,C9+1),"")</f>
        <v>4</v>
      </c>
      <c r="D10" s="17" t="str">
        <f>IFERROR(INDEX(逆引き作成用!$C$2:$C$169,MATCH($B10&amp;"/"&amp;$C10,逆引き作成用!D$2:D$169,FALSE),1),"")</f>
        <v/>
      </c>
      <c r="E10" s="17" t="str">
        <f>IFERROR(INDEX(逆引き作成用!$C$2:$C$169,MATCH($B10&amp;"/"&amp;$C10,逆引き作成用!E$2:E$169,FALSE),1),"")</f>
        <v/>
      </c>
      <c r="F10" s="17" t="str">
        <f>IFERROR(INDEX(逆引き作成用!$C$2:$C$169,MATCH($B10&amp;"/"&amp;$C10,逆引き作成用!F$2:F$169,FALSE),1),"")</f>
        <v/>
      </c>
      <c r="G10" s="17" t="str">
        <f>IFERROR(INDEX(逆引き作成用!$C$2:$C$169,MATCH($B10&amp;"/"&amp;$C10,逆引き作成用!G$2:G$169,FALSE),1),"")</f>
        <v/>
      </c>
      <c r="H10" s="17" t="str">
        <f>IFERROR(INDEX(逆引き作成用!$C$2:$C$169,MATCH($B10&amp;"/"&amp;$C10,逆引き作成用!H$2:H$169,FALSE),1),"")</f>
        <v/>
      </c>
      <c r="I10" s="17" t="str">
        <f>IFERROR(INDEX(逆引き作成用!$C$2:$C$169,MATCH($B10&amp;"/"&amp;$C10,逆引き作成用!I$2:I$169,FALSE),1),"")</f>
        <v/>
      </c>
      <c r="J10" s="17" t="str">
        <f>IFERROR(INDEX(逆引き作成用!$C$2:$C$169,MATCH($B10&amp;"/"&amp;$C10,逆引き作成用!J$2:J$169,FALSE),1),"")</f>
        <v/>
      </c>
      <c r="K10" s="17" t="str">
        <f>IFERROR(INDEX(逆引き作成用!$C$2:$C$169,MATCH($B10&amp;"/"&amp;$C10,逆引き作成用!K$2:K$169,FALSE),1),"")</f>
        <v/>
      </c>
      <c r="L10" s="17" t="str">
        <f>IFERROR(INDEX(逆引き作成用!$C$2:$C$169,MATCH($B10&amp;"/"&amp;$C10,逆引き作成用!L$2:L$169,FALSE),1),"")</f>
        <v/>
      </c>
      <c r="M10" s="17" t="str">
        <f>IFERROR(INDEX(逆引き作成用!$C$2:$C$169,MATCH($B10&amp;"/"&amp;$C10,逆引き作成用!M$2:M$169,FALSE),1),"")</f>
        <v/>
      </c>
      <c r="N10" s="17" t="str">
        <f>IFERROR(INDEX(逆引き作成用!$C$2:$C$169,MATCH($B10&amp;"/"&amp;$C10,逆引き作成用!N$2:N$169,FALSE),1),"")</f>
        <v/>
      </c>
      <c r="O10" s="17" t="str">
        <f>IFERROR(INDEX(逆引き作成用!$C$2:$C$169,MATCH($B10&amp;"/"&amp;$C10,逆引き作成用!O$2:O$169,FALSE),1),"")</f>
        <v/>
      </c>
      <c r="P10" s="17" t="str">
        <f>IFERROR(INDEX(逆引き作成用!$C$2:$C$169,MATCH($B10&amp;"/"&amp;$C10,逆引き作成用!P$2:P$169,FALSE),1),"")</f>
        <v/>
      </c>
      <c r="Q10" s="17" t="str">
        <f>IFERROR(INDEX(逆引き作成用!$C$2:$C$169,MATCH($B10&amp;"/"&amp;$C10,逆引き作成用!Q$2:Q$169,FALSE),1),"")</f>
        <v/>
      </c>
      <c r="R10" s="17" t="str">
        <f>IFERROR(INDEX(逆引き作成用!$C$2:$C$169,MATCH($B10&amp;"/"&amp;$C10,逆引き作成用!R$2:R$169,FALSE),1),"")</f>
        <v/>
      </c>
      <c r="S10" s="17" t="str">
        <f>IFERROR(INDEX(逆引き作成用!$C$2:$C$169,MATCH($B10&amp;"/"&amp;$C10,逆引き作成用!S$2:S$169,FALSE),1),"")</f>
        <v/>
      </c>
      <c r="T10" s="17" t="str">
        <f>IFERROR(INDEX(逆引き作成用!$C$2:$C$169,MATCH($B10&amp;"/"&amp;$C10,逆引き作成用!T$2:T$169,FALSE),1),"")</f>
        <v/>
      </c>
      <c r="U10" s="17" t="str">
        <f>IFERROR(INDEX(逆引き作成用!$C$2:$C$169,MATCH($B10&amp;"/"&amp;$C10,逆引き作成用!U$2:U$169,FALSE),1),"")</f>
        <v/>
      </c>
      <c r="V10" s="17" t="str">
        <f>IFERROR(INDEX(逆引き作成用!$C$2:$C$169,MATCH($B10&amp;"/"&amp;$C10,逆引き作成用!V$2:V$169,FALSE),1),"")</f>
        <v/>
      </c>
      <c r="W10" s="17" t="str">
        <f>IFERROR(INDEX(逆引き作成用!$C$2:$C$169,MATCH($B10&amp;"/"&amp;$C10,逆引き作成用!W$2:W$169,FALSE),1),"")</f>
        <v/>
      </c>
      <c r="X10" s="17" t="str">
        <f>IFERROR(INDEX(逆引き作成用!$C$2:$C$169,MATCH($B10&amp;"/"&amp;$C10,逆引き作成用!X$2:X$169,FALSE),1),"")</f>
        <v/>
      </c>
      <c r="Y10" s="17" t="str">
        <f>IFERROR(INDEX(逆引き作成用!$C$2:$C$169,MATCH($B10&amp;"/"&amp;$C10,逆引き作成用!Y$2:Y$169,FALSE),1),"")</f>
        <v/>
      </c>
      <c r="Z10" s="17" t="str">
        <f>IFERROR(INDEX(逆引き作成用!$C$2:$C$169,MATCH($B10&amp;"/"&amp;$C10,逆引き作成用!Z$2:Z$169,FALSE),1),"")</f>
        <v/>
      </c>
      <c r="AA10" s="17" t="str">
        <f>IFERROR(INDEX(逆引き作成用!$C$2:$C$169,MATCH($B10&amp;"/"&amp;$C10,逆引き作成用!AA$2:AA$169,FALSE),1),"")</f>
        <v/>
      </c>
      <c r="AB10" s="17" t="str">
        <f>IFERROR(INDEX(逆引き作成用!$C$2:$C$169,MATCH($B10&amp;"/"&amp;$C10,逆引き作成用!AB$2:AB$169,FALSE),1),"")</f>
        <v/>
      </c>
      <c r="AC10" s="17" t="str">
        <f>IFERROR(INDEX(逆引き作成用!$C$2:$C$169,MATCH($B10&amp;"/"&amp;$C10,逆引き作成用!AC$2:AC$169,FALSE),1),"")</f>
        <v/>
      </c>
      <c r="AD10" s="17" t="str">
        <f>IFERROR(INDEX(逆引き作成用!$C$2:$C$169,MATCH($B10&amp;"/"&amp;$C10,逆引き作成用!AD$2:AD$169,FALSE),1),"")</f>
        <v/>
      </c>
      <c r="AE10" s="17" t="str">
        <f>IFERROR(INDEX(逆引き作成用!$C$2:$C$169,MATCH($B10&amp;"/"&amp;$C10,逆引き作成用!AE$2:AE$169,FALSE),1),"")</f>
        <v/>
      </c>
      <c r="AF10" s="17" t="str">
        <f>IFERROR(INDEX(逆引き作成用!$C$2:$C$169,MATCH($B10&amp;"/"&amp;$C10,逆引き作成用!AF$2:AF$169,FALSE),1),"")</f>
        <v/>
      </c>
      <c r="AG10" s="17" t="str">
        <f>IFERROR(INDEX(逆引き作成用!$C$2:$C$169,MATCH($B10&amp;"/"&amp;$C10,逆引き作成用!AG$2:AG$169,FALSE),1),"")</f>
        <v/>
      </c>
      <c r="AH10" s="17" t="str">
        <f>IFERROR(INDEX(逆引き作成用!$C$2:$C$169,MATCH($B10&amp;"/"&amp;$C10,逆引き作成用!AH$2:AH$169,FALSE),1),"")</f>
        <v/>
      </c>
      <c r="AI10" s="17" t="str">
        <f>IFERROR(INDEX(逆引き作成用!$C$2:$C$169,MATCH($B10&amp;"/"&amp;$C10,逆引き作成用!AI$2:AI$169,FALSE),1),"")</f>
        <v/>
      </c>
      <c r="AJ10" s="17" t="str">
        <f>IFERROR(INDEX(逆引き作成用!$C$2:$C$169,MATCH($B10&amp;"/"&amp;$C10,逆引き作成用!AJ$2:AJ$169,FALSE),1),"")</f>
        <v/>
      </c>
      <c r="AK10" s="17" t="str">
        <f>IFERROR(INDEX(逆引き作成用!$C$2:$C$169,MATCH($B10&amp;"/"&amp;$C10,逆引き作成用!AK$2:AK$169,FALSE),1),"")</f>
        <v/>
      </c>
      <c r="AL10" s="17" t="str">
        <f>IFERROR(INDEX(逆引き作成用!$C$2:$C$169,MATCH($B10&amp;"/"&amp;$C10,逆引き作成用!AL$2:AL$169,FALSE),1),"")</f>
        <v/>
      </c>
      <c r="AM10" s="17" t="str">
        <f>IFERROR(INDEX(逆引き作成用!$C$2:$C$169,MATCH($B10&amp;"/"&amp;$C10,逆引き作成用!AM$2:AM$169,FALSE),1),"")</f>
        <v/>
      </c>
      <c r="AN10" s="17" t="str">
        <f>IFERROR(INDEX(逆引き作成用!$C$2:$C$169,MATCH($B10&amp;"/"&amp;$C10,逆引き作成用!AN$2:AN$169,FALSE),1),"")</f>
        <v/>
      </c>
      <c r="AO10" s="17" t="str">
        <f>IFERROR(INDEX(逆引き作成用!$C$2:$C$169,MATCH($B10&amp;"/"&amp;$C10,逆引き作成用!AO$2:AO$169,FALSE),1),"")</f>
        <v/>
      </c>
      <c r="AP10" s="17" t="str">
        <f>IFERROR(INDEX(逆引き作成用!$C$2:$C$169,MATCH($B10&amp;"/"&amp;$C10,逆引き作成用!AP$2:AP$169,FALSE),1),"")</f>
        <v/>
      </c>
      <c r="AQ10" s="17" t="str">
        <f>IFERROR(INDEX(逆引き作成用!$C$2:$C$169,MATCH($B10&amp;"/"&amp;$C10,逆引き作成用!AQ$2:AQ$169,FALSE),1),"")</f>
        <v/>
      </c>
      <c r="AR10" s="17" t="str">
        <f>IFERROR(INDEX(逆引き作成用!$C$2:$C$169,MATCH($B10&amp;"/"&amp;$C10,逆引き作成用!AR$2:AR$169,FALSE),1),"")</f>
        <v/>
      </c>
      <c r="AS10" s="17" t="str">
        <f>IFERROR(INDEX(逆引き作成用!$C$2:$C$169,MATCH($B10&amp;"/"&amp;$C10,逆引き作成用!AS$2:AS$169,FALSE),1),"")</f>
        <v/>
      </c>
      <c r="AT10" s="17" t="str">
        <f>IFERROR(INDEX(逆引き作成用!$C$2:$C$169,MATCH($B10&amp;"/"&amp;$C10,逆引き作成用!AT$2:AT$169,FALSE),1),"")</f>
        <v/>
      </c>
      <c r="AU10" s="17" t="str">
        <f>IFERROR(INDEX(逆引き作成用!$C$2:$C$169,MATCH($B10&amp;"/"&amp;$C10,逆引き作成用!AU$2:AU$169,FALSE),1),"")</f>
        <v/>
      </c>
      <c r="AV10" s="17" t="str">
        <f>IFERROR(INDEX(逆引き作成用!$C$2:$C$169,MATCH($B10&amp;"/"&amp;$C10,逆引き作成用!AV$2:AV$169,FALSE),1),"")</f>
        <v/>
      </c>
      <c r="AW10" s="17" t="str">
        <f>IFERROR(INDEX(逆引き作成用!$C$2:$C$169,MATCH($B10&amp;"/"&amp;$C10,逆引き作成用!AW$2:AW$169,FALSE),1),"")</f>
        <v/>
      </c>
      <c r="AX10" s="17" t="str">
        <f>IFERROR(INDEX(逆引き作成用!$C$2:$C$169,MATCH($B10&amp;"/"&amp;$C10,逆引き作成用!AX$2:AX$169,FALSE),1),"")</f>
        <v/>
      </c>
      <c r="AY10" s="17" t="str">
        <f>IFERROR(INDEX(逆引き作成用!$C$2:$C$169,MATCH($B10&amp;"/"&amp;$C10,逆引き作成用!AY$2:AY$169,FALSE),1),"")</f>
        <v/>
      </c>
      <c r="AZ10" s="17" t="str">
        <f>IFERROR(INDEX(逆引き作成用!$C$2:$C$169,MATCH($B10&amp;"/"&amp;$C10,逆引き作成用!AZ$2:AZ$169,FALSE),1),"")</f>
        <v/>
      </c>
      <c r="BA10" s="17" t="str">
        <f>IFERROR(INDEX(逆引き作成用!$C$2:$C$169,MATCH($B10&amp;"/"&amp;$C10,逆引き作成用!BA$2:BA$169,FALSE),1),"")</f>
        <v/>
      </c>
    </row>
    <row r="11" spans="1:53">
      <c r="A11" s="17" t="str">
        <f>IFERROR(INDEX(役職一覧!$B$2:$B$31,MATCH(B11,役職一覧!$C$2:$C$31,FALSE),1),"")</f>
        <v>D</v>
      </c>
      <c r="B11" s="17" t="str">
        <f>IFERROR(IF(C11=1,INDEX(役職一覧!$C$2:$C$31,MATCH(逆引き!B10,役職一覧!$C$2:$C$31,FALSE)+1,1)&amp;"",B10),"")</f>
        <v>え</v>
      </c>
      <c r="C11" s="17">
        <f>IFERROR(IF(VLOOKUP(B10,役職一覧!$C$2:$E$31,3,FALSE)=C10,1,C10+1),"")</f>
        <v>1</v>
      </c>
      <c r="D11" s="17" t="str">
        <f>IFERROR(INDEX(逆引き作成用!$C$2:$C$169,MATCH($B11&amp;"/"&amp;$C11,逆引き作成用!D$2:D$169,FALSE),1),"")</f>
        <v/>
      </c>
      <c r="E11" s="17" t="str">
        <f>IFERROR(INDEX(逆引き作成用!$C$2:$C$169,MATCH($B11&amp;"/"&amp;$C11,逆引き作成用!E$2:E$169,FALSE),1),"")</f>
        <v/>
      </c>
      <c r="F11" s="17" t="str">
        <f>IFERROR(INDEX(逆引き作成用!$C$2:$C$169,MATCH($B11&amp;"/"&amp;$C11,逆引き作成用!F$2:F$169,FALSE),1),"")</f>
        <v>キズナアイ</v>
      </c>
      <c r="G11" s="17" t="str">
        <f>IFERROR(INDEX(逆引き作成用!$C$2:$C$169,MATCH($B11&amp;"/"&amp;$C11,逆引き作成用!G$2:G$169,FALSE),1),"")</f>
        <v/>
      </c>
      <c r="H11" s="17" t="str">
        <f>IFERROR(INDEX(逆引き作成用!$C$2:$C$169,MATCH($B11&amp;"/"&amp;$C11,逆引き作成用!H$2:H$169,FALSE),1),"")</f>
        <v/>
      </c>
      <c r="I11" s="17" t="str">
        <f>IFERROR(INDEX(逆引き作成用!$C$2:$C$169,MATCH($B11&amp;"/"&amp;$C11,逆引き作成用!I$2:I$169,FALSE),1),"")</f>
        <v/>
      </c>
      <c r="J11" s="17" t="str">
        <f>IFERROR(INDEX(逆引き作成用!$C$2:$C$169,MATCH($B11&amp;"/"&amp;$C11,逆引き作成用!J$2:J$169,FALSE),1),"")</f>
        <v/>
      </c>
      <c r="K11" s="17" t="str">
        <f>IFERROR(INDEX(逆引き作成用!$C$2:$C$169,MATCH($B11&amp;"/"&amp;$C11,逆引き作成用!K$2:K$169,FALSE),1),"")</f>
        <v/>
      </c>
      <c r="L11" s="17" t="str">
        <f>IFERROR(INDEX(逆引き作成用!$C$2:$C$169,MATCH($B11&amp;"/"&amp;$C11,逆引き作成用!L$2:L$169,FALSE),1),"")</f>
        <v/>
      </c>
      <c r="M11" s="17" t="str">
        <f>IFERROR(INDEX(逆引き作成用!$C$2:$C$169,MATCH($B11&amp;"/"&amp;$C11,逆引き作成用!M$2:M$169,FALSE),1),"")</f>
        <v/>
      </c>
      <c r="N11" s="17" t="str">
        <f>IFERROR(INDEX(逆引き作成用!$C$2:$C$169,MATCH($B11&amp;"/"&amp;$C11,逆引き作成用!N$2:N$169,FALSE),1),"")</f>
        <v/>
      </c>
      <c r="O11" s="17" t="str">
        <f>IFERROR(INDEX(逆引き作成用!$C$2:$C$169,MATCH($B11&amp;"/"&amp;$C11,逆引き作成用!O$2:O$169,FALSE),1),"")</f>
        <v/>
      </c>
      <c r="P11" s="17" t="str">
        <f>IFERROR(INDEX(逆引き作成用!$C$2:$C$169,MATCH($B11&amp;"/"&amp;$C11,逆引き作成用!P$2:P$169,FALSE),1),"")</f>
        <v/>
      </c>
      <c r="Q11" s="17" t="str">
        <f>IFERROR(INDEX(逆引き作成用!$C$2:$C$169,MATCH($B11&amp;"/"&amp;$C11,逆引き作成用!Q$2:Q$169,FALSE),1),"")</f>
        <v/>
      </c>
      <c r="R11" s="17" t="str">
        <f>IFERROR(INDEX(逆引き作成用!$C$2:$C$169,MATCH($B11&amp;"/"&amp;$C11,逆引き作成用!R$2:R$169,FALSE),1),"")</f>
        <v/>
      </c>
      <c r="S11" s="17" t="str">
        <f>IFERROR(INDEX(逆引き作成用!$C$2:$C$169,MATCH($B11&amp;"/"&amp;$C11,逆引き作成用!S$2:S$169,FALSE),1),"")</f>
        <v/>
      </c>
      <c r="T11" s="17" t="str">
        <f>IFERROR(INDEX(逆引き作成用!$C$2:$C$169,MATCH($B11&amp;"/"&amp;$C11,逆引き作成用!T$2:T$169,FALSE),1),"")</f>
        <v/>
      </c>
      <c r="U11" s="17" t="str">
        <f>IFERROR(INDEX(逆引き作成用!$C$2:$C$169,MATCH($B11&amp;"/"&amp;$C11,逆引き作成用!U$2:U$169,FALSE),1),"")</f>
        <v/>
      </c>
      <c r="V11" s="17" t="str">
        <f>IFERROR(INDEX(逆引き作成用!$C$2:$C$169,MATCH($B11&amp;"/"&amp;$C11,逆引き作成用!V$2:V$169,FALSE),1),"")</f>
        <v/>
      </c>
      <c r="W11" s="17" t="str">
        <f>IFERROR(INDEX(逆引き作成用!$C$2:$C$169,MATCH($B11&amp;"/"&amp;$C11,逆引き作成用!W$2:W$169,FALSE),1),"")</f>
        <v/>
      </c>
      <c r="X11" s="17" t="str">
        <f>IFERROR(INDEX(逆引き作成用!$C$2:$C$169,MATCH($B11&amp;"/"&amp;$C11,逆引き作成用!X$2:X$169,FALSE),1),"")</f>
        <v/>
      </c>
      <c r="Y11" s="17" t="str">
        <f>IFERROR(INDEX(逆引き作成用!$C$2:$C$169,MATCH($B11&amp;"/"&amp;$C11,逆引き作成用!Y$2:Y$169,FALSE),1),"")</f>
        <v/>
      </c>
      <c r="Z11" s="17" t="str">
        <f>IFERROR(INDEX(逆引き作成用!$C$2:$C$169,MATCH($B11&amp;"/"&amp;$C11,逆引き作成用!Z$2:Z$169,FALSE),1),"")</f>
        <v/>
      </c>
      <c r="AA11" s="17" t="str">
        <f>IFERROR(INDEX(逆引き作成用!$C$2:$C$169,MATCH($B11&amp;"/"&amp;$C11,逆引き作成用!AA$2:AA$169,FALSE),1),"")</f>
        <v/>
      </c>
      <c r="AB11" s="17" t="str">
        <f>IFERROR(INDEX(逆引き作成用!$C$2:$C$169,MATCH($B11&amp;"/"&amp;$C11,逆引き作成用!AB$2:AB$169,FALSE),1),"")</f>
        <v/>
      </c>
      <c r="AC11" s="17" t="str">
        <f>IFERROR(INDEX(逆引き作成用!$C$2:$C$169,MATCH($B11&amp;"/"&amp;$C11,逆引き作成用!AC$2:AC$169,FALSE),1),"")</f>
        <v/>
      </c>
      <c r="AD11" s="17" t="str">
        <f>IFERROR(INDEX(逆引き作成用!$C$2:$C$169,MATCH($B11&amp;"/"&amp;$C11,逆引き作成用!AD$2:AD$169,FALSE),1),"")</f>
        <v/>
      </c>
      <c r="AE11" s="17" t="str">
        <f>IFERROR(INDEX(逆引き作成用!$C$2:$C$169,MATCH($B11&amp;"/"&amp;$C11,逆引き作成用!AE$2:AE$169,FALSE),1),"")</f>
        <v/>
      </c>
      <c r="AF11" s="17" t="str">
        <f>IFERROR(INDEX(逆引き作成用!$C$2:$C$169,MATCH($B11&amp;"/"&amp;$C11,逆引き作成用!AF$2:AF$169,FALSE),1),"")</f>
        <v/>
      </c>
      <c r="AG11" s="17" t="str">
        <f>IFERROR(INDEX(逆引き作成用!$C$2:$C$169,MATCH($B11&amp;"/"&amp;$C11,逆引き作成用!AG$2:AG$169,FALSE),1),"")</f>
        <v/>
      </c>
      <c r="AH11" s="17" t="str">
        <f>IFERROR(INDEX(逆引き作成用!$C$2:$C$169,MATCH($B11&amp;"/"&amp;$C11,逆引き作成用!AH$2:AH$169,FALSE),1),"")</f>
        <v/>
      </c>
      <c r="AI11" s="17" t="str">
        <f>IFERROR(INDEX(逆引き作成用!$C$2:$C$169,MATCH($B11&amp;"/"&amp;$C11,逆引き作成用!AI$2:AI$169,FALSE),1),"")</f>
        <v/>
      </c>
      <c r="AJ11" s="17" t="str">
        <f>IFERROR(INDEX(逆引き作成用!$C$2:$C$169,MATCH($B11&amp;"/"&amp;$C11,逆引き作成用!AJ$2:AJ$169,FALSE),1),"")</f>
        <v/>
      </c>
      <c r="AK11" s="17" t="str">
        <f>IFERROR(INDEX(逆引き作成用!$C$2:$C$169,MATCH($B11&amp;"/"&amp;$C11,逆引き作成用!AK$2:AK$169,FALSE),1),"")</f>
        <v/>
      </c>
      <c r="AL11" s="17" t="str">
        <f>IFERROR(INDEX(逆引き作成用!$C$2:$C$169,MATCH($B11&amp;"/"&amp;$C11,逆引き作成用!AL$2:AL$169,FALSE),1),"")</f>
        <v/>
      </c>
      <c r="AM11" s="17" t="str">
        <f>IFERROR(INDEX(逆引き作成用!$C$2:$C$169,MATCH($B11&amp;"/"&amp;$C11,逆引き作成用!AM$2:AM$169,FALSE),1),"")</f>
        <v/>
      </c>
      <c r="AN11" s="17" t="str">
        <f>IFERROR(INDEX(逆引き作成用!$C$2:$C$169,MATCH($B11&amp;"/"&amp;$C11,逆引き作成用!AN$2:AN$169,FALSE),1),"")</f>
        <v/>
      </c>
      <c r="AO11" s="17" t="str">
        <f>IFERROR(INDEX(逆引き作成用!$C$2:$C$169,MATCH($B11&amp;"/"&amp;$C11,逆引き作成用!AO$2:AO$169,FALSE),1),"")</f>
        <v/>
      </c>
      <c r="AP11" s="17" t="str">
        <f>IFERROR(INDEX(逆引き作成用!$C$2:$C$169,MATCH($B11&amp;"/"&amp;$C11,逆引き作成用!AP$2:AP$169,FALSE),1),"")</f>
        <v/>
      </c>
      <c r="AQ11" s="17" t="str">
        <f>IFERROR(INDEX(逆引き作成用!$C$2:$C$169,MATCH($B11&amp;"/"&amp;$C11,逆引き作成用!AQ$2:AQ$169,FALSE),1),"")</f>
        <v/>
      </c>
      <c r="AR11" s="17" t="str">
        <f>IFERROR(INDEX(逆引き作成用!$C$2:$C$169,MATCH($B11&amp;"/"&amp;$C11,逆引き作成用!AR$2:AR$169,FALSE),1),"")</f>
        <v/>
      </c>
      <c r="AS11" s="17" t="str">
        <f>IFERROR(INDEX(逆引き作成用!$C$2:$C$169,MATCH($B11&amp;"/"&amp;$C11,逆引き作成用!AS$2:AS$169,FALSE),1),"")</f>
        <v/>
      </c>
      <c r="AT11" s="17" t="str">
        <f>IFERROR(INDEX(逆引き作成用!$C$2:$C$169,MATCH($B11&amp;"/"&amp;$C11,逆引き作成用!AT$2:AT$169,FALSE),1),"")</f>
        <v/>
      </c>
      <c r="AU11" s="17" t="str">
        <f>IFERROR(INDEX(逆引き作成用!$C$2:$C$169,MATCH($B11&amp;"/"&amp;$C11,逆引き作成用!AU$2:AU$169,FALSE),1),"")</f>
        <v/>
      </c>
      <c r="AV11" s="17" t="str">
        <f>IFERROR(INDEX(逆引き作成用!$C$2:$C$169,MATCH($B11&amp;"/"&amp;$C11,逆引き作成用!AV$2:AV$169,FALSE),1),"")</f>
        <v/>
      </c>
      <c r="AW11" s="17" t="str">
        <f>IFERROR(INDEX(逆引き作成用!$C$2:$C$169,MATCH($B11&amp;"/"&amp;$C11,逆引き作成用!AW$2:AW$169,FALSE),1),"")</f>
        <v/>
      </c>
      <c r="AX11" s="17" t="str">
        <f>IFERROR(INDEX(逆引き作成用!$C$2:$C$169,MATCH($B11&amp;"/"&amp;$C11,逆引き作成用!AX$2:AX$169,FALSE),1),"")</f>
        <v/>
      </c>
      <c r="AY11" s="17" t="str">
        <f>IFERROR(INDEX(逆引き作成用!$C$2:$C$169,MATCH($B11&amp;"/"&amp;$C11,逆引き作成用!AY$2:AY$169,FALSE),1),"")</f>
        <v/>
      </c>
      <c r="AZ11" s="17" t="str">
        <f>IFERROR(INDEX(逆引き作成用!$C$2:$C$169,MATCH($B11&amp;"/"&amp;$C11,逆引き作成用!AZ$2:AZ$169,FALSE),1),"")</f>
        <v/>
      </c>
      <c r="BA11" s="17" t="str">
        <f>IFERROR(INDEX(逆引き作成用!$C$2:$C$169,MATCH($B11&amp;"/"&amp;$C11,逆引き作成用!BA$2:BA$169,FALSE),1),"")</f>
        <v/>
      </c>
    </row>
    <row r="12" spans="1:53">
      <c r="A12" s="17" t="str">
        <f>IFERROR(INDEX(役職一覧!$B$2:$B$31,MATCH(B12,役職一覧!$C$2:$C$31,FALSE),1),"")</f>
        <v>E</v>
      </c>
      <c r="B12" s="17" t="str">
        <f>IFERROR(IF(C12=1,INDEX(役職一覧!$C$2:$C$31,MATCH(逆引き!B11,役職一覧!$C$2:$C$31,FALSE)+1,1)&amp;"",B11),"")</f>
        <v>お</v>
      </c>
      <c r="C12" s="17">
        <f>IFERROR(IF(VLOOKUP(B11,役職一覧!$C$2:$E$31,3,FALSE)=C11,1,C11+1),"")</f>
        <v>1</v>
      </c>
      <c r="D12" s="17" t="str">
        <f>IFERROR(INDEX(逆引き作成用!$C$2:$C$169,MATCH($B12&amp;"/"&amp;$C12,逆引き作成用!D$2:D$169,FALSE),1),"")</f>
        <v/>
      </c>
      <c r="E12" s="17" t="str">
        <f>IFERROR(INDEX(逆引き作成用!$C$2:$C$169,MATCH($B12&amp;"/"&amp;$C12,逆引き作成用!E$2:E$169,FALSE),1),"")</f>
        <v/>
      </c>
      <c r="F12" s="17" t="str">
        <f>IFERROR(INDEX(逆引き作成用!$C$2:$C$169,MATCH($B12&amp;"/"&amp;$C12,逆引き作成用!F$2:F$169,FALSE),1),"")</f>
        <v/>
      </c>
      <c r="G12" s="17" t="str">
        <f>IFERROR(INDEX(逆引き作成用!$C$2:$C$169,MATCH($B12&amp;"/"&amp;$C12,逆引き作成用!G$2:G$169,FALSE),1),"")</f>
        <v/>
      </c>
      <c r="H12" s="17" t="str">
        <f>IFERROR(INDEX(逆引き作成用!$C$2:$C$169,MATCH($B12&amp;"/"&amp;$C12,逆引き作成用!H$2:H$169,FALSE),1),"")</f>
        <v/>
      </c>
      <c r="I12" s="17" t="str">
        <f>IFERROR(INDEX(逆引き作成用!$C$2:$C$169,MATCH($B12&amp;"/"&amp;$C12,逆引き作成用!I$2:I$169,FALSE),1),"")</f>
        <v/>
      </c>
      <c r="J12" s="17" t="str">
        <f>IFERROR(INDEX(逆引き作成用!$C$2:$C$169,MATCH($B12&amp;"/"&amp;$C12,逆引き作成用!J$2:J$169,FALSE),1),"")</f>
        <v/>
      </c>
      <c r="K12" s="17" t="str">
        <f>IFERROR(INDEX(逆引き作成用!$C$2:$C$169,MATCH($B12&amp;"/"&amp;$C12,逆引き作成用!K$2:K$169,FALSE),1),"")</f>
        <v/>
      </c>
      <c r="L12" s="17" t="str">
        <f>IFERROR(INDEX(逆引き作成用!$C$2:$C$169,MATCH($B12&amp;"/"&amp;$C12,逆引き作成用!L$2:L$169,FALSE),1),"")</f>
        <v/>
      </c>
      <c r="M12" s="17" t="str">
        <f>IFERROR(INDEX(逆引き作成用!$C$2:$C$169,MATCH($B12&amp;"/"&amp;$C12,逆引き作成用!M$2:M$169,FALSE),1),"")</f>
        <v/>
      </c>
      <c r="N12" s="17" t="str">
        <f>IFERROR(INDEX(逆引き作成用!$C$2:$C$169,MATCH($B12&amp;"/"&amp;$C12,逆引き作成用!N$2:N$169,FALSE),1),"")</f>
        <v/>
      </c>
      <c r="O12" s="17" t="str">
        <f>IFERROR(INDEX(逆引き作成用!$C$2:$C$169,MATCH($B12&amp;"/"&amp;$C12,逆引き作成用!O$2:O$169,FALSE),1),"")</f>
        <v/>
      </c>
      <c r="P12" s="17" t="str">
        <f>IFERROR(INDEX(逆引き作成用!$C$2:$C$169,MATCH($B12&amp;"/"&amp;$C12,逆引き作成用!P$2:P$169,FALSE),1),"")</f>
        <v/>
      </c>
      <c r="Q12" s="17" t="str">
        <f>IFERROR(INDEX(逆引き作成用!$C$2:$C$169,MATCH($B12&amp;"/"&amp;$C12,逆引き作成用!Q$2:Q$169,FALSE),1),"")</f>
        <v/>
      </c>
      <c r="R12" s="17" t="str">
        <f>IFERROR(INDEX(逆引き作成用!$C$2:$C$169,MATCH($B12&amp;"/"&amp;$C12,逆引き作成用!R$2:R$169,FALSE),1),"")</f>
        <v/>
      </c>
      <c r="S12" s="17" t="str">
        <f>IFERROR(INDEX(逆引き作成用!$C$2:$C$169,MATCH($B12&amp;"/"&amp;$C12,逆引き作成用!S$2:S$169,FALSE),1),"")</f>
        <v/>
      </c>
      <c r="T12" s="17" t="str">
        <f>IFERROR(INDEX(逆引き作成用!$C$2:$C$169,MATCH($B12&amp;"/"&amp;$C12,逆引き作成用!T$2:T$169,FALSE),1),"")</f>
        <v/>
      </c>
      <c r="U12" s="17" t="str">
        <f>IFERROR(INDEX(逆引き作成用!$C$2:$C$169,MATCH($B12&amp;"/"&amp;$C12,逆引き作成用!U$2:U$169,FALSE),1),"")</f>
        <v/>
      </c>
      <c r="V12" s="17" t="str">
        <f>IFERROR(INDEX(逆引き作成用!$C$2:$C$169,MATCH($B12&amp;"/"&amp;$C12,逆引き作成用!V$2:V$169,FALSE),1),"")</f>
        <v/>
      </c>
      <c r="W12" s="17" t="str">
        <f>IFERROR(INDEX(逆引き作成用!$C$2:$C$169,MATCH($B12&amp;"/"&amp;$C12,逆引き作成用!W$2:W$169,FALSE),1),"")</f>
        <v/>
      </c>
      <c r="X12" s="17" t="str">
        <f>IFERROR(INDEX(逆引き作成用!$C$2:$C$169,MATCH($B12&amp;"/"&amp;$C12,逆引き作成用!X$2:X$169,FALSE),1),"")</f>
        <v/>
      </c>
      <c r="Y12" s="17" t="str">
        <f>IFERROR(INDEX(逆引き作成用!$C$2:$C$169,MATCH($B12&amp;"/"&amp;$C12,逆引き作成用!Y$2:Y$169,FALSE),1),"")</f>
        <v/>
      </c>
      <c r="Z12" s="17" t="str">
        <f>IFERROR(INDEX(逆引き作成用!$C$2:$C$169,MATCH($B12&amp;"/"&amp;$C12,逆引き作成用!Z$2:Z$169,FALSE),1),"")</f>
        <v/>
      </c>
      <c r="AA12" s="17" t="str">
        <f>IFERROR(INDEX(逆引き作成用!$C$2:$C$169,MATCH($B12&amp;"/"&amp;$C12,逆引き作成用!AA$2:AA$169,FALSE),1),"")</f>
        <v/>
      </c>
      <c r="AB12" s="17" t="str">
        <f>IFERROR(INDEX(逆引き作成用!$C$2:$C$169,MATCH($B12&amp;"/"&amp;$C12,逆引き作成用!AB$2:AB$169,FALSE),1),"")</f>
        <v/>
      </c>
      <c r="AC12" s="17" t="str">
        <f>IFERROR(INDEX(逆引き作成用!$C$2:$C$169,MATCH($B12&amp;"/"&amp;$C12,逆引き作成用!AC$2:AC$169,FALSE),1),"")</f>
        <v/>
      </c>
      <c r="AD12" s="17" t="str">
        <f>IFERROR(INDEX(逆引き作成用!$C$2:$C$169,MATCH($B12&amp;"/"&amp;$C12,逆引き作成用!AD$2:AD$169,FALSE),1),"")</f>
        <v/>
      </c>
      <c r="AE12" s="17" t="str">
        <f>IFERROR(INDEX(逆引き作成用!$C$2:$C$169,MATCH($B12&amp;"/"&amp;$C12,逆引き作成用!AE$2:AE$169,FALSE),1),"")</f>
        <v/>
      </c>
      <c r="AF12" s="17" t="str">
        <f>IFERROR(INDEX(逆引き作成用!$C$2:$C$169,MATCH($B12&amp;"/"&amp;$C12,逆引き作成用!AF$2:AF$169,FALSE),1),"")</f>
        <v/>
      </c>
      <c r="AG12" s="17" t="str">
        <f>IFERROR(INDEX(逆引き作成用!$C$2:$C$169,MATCH($B12&amp;"/"&amp;$C12,逆引き作成用!AG$2:AG$169,FALSE),1),"")</f>
        <v/>
      </c>
      <c r="AH12" s="17" t="str">
        <f>IFERROR(INDEX(逆引き作成用!$C$2:$C$169,MATCH($B12&amp;"/"&amp;$C12,逆引き作成用!AH$2:AH$169,FALSE),1),"")</f>
        <v/>
      </c>
      <c r="AI12" s="17" t="str">
        <f>IFERROR(INDEX(逆引き作成用!$C$2:$C$169,MATCH($B12&amp;"/"&amp;$C12,逆引き作成用!AI$2:AI$169,FALSE),1),"")</f>
        <v/>
      </c>
      <c r="AJ12" s="17" t="str">
        <f>IFERROR(INDEX(逆引き作成用!$C$2:$C$169,MATCH($B12&amp;"/"&amp;$C12,逆引き作成用!AJ$2:AJ$169,FALSE),1),"")</f>
        <v/>
      </c>
      <c r="AK12" s="17" t="str">
        <f>IFERROR(INDEX(逆引き作成用!$C$2:$C$169,MATCH($B12&amp;"/"&amp;$C12,逆引き作成用!AK$2:AK$169,FALSE),1),"")</f>
        <v/>
      </c>
      <c r="AL12" s="17" t="str">
        <f>IFERROR(INDEX(逆引き作成用!$C$2:$C$169,MATCH($B12&amp;"/"&amp;$C12,逆引き作成用!AL$2:AL$169,FALSE),1),"")</f>
        <v/>
      </c>
      <c r="AM12" s="17" t="str">
        <f>IFERROR(INDEX(逆引き作成用!$C$2:$C$169,MATCH($B12&amp;"/"&amp;$C12,逆引き作成用!AM$2:AM$169,FALSE),1),"")</f>
        <v/>
      </c>
      <c r="AN12" s="17" t="str">
        <f>IFERROR(INDEX(逆引き作成用!$C$2:$C$169,MATCH($B12&amp;"/"&amp;$C12,逆引き作成用!AN$2:AN$169,FALSE),1),"")</f>
        <v/>
      </c>
      <c r="AO12" s="17" t="str">
        <f>IFERROR(INDEX(逆引き作成用!$C$2:$C$169,MATCH($B12&amp;"/"&amp;$C12,逆引き作成用!AO$2:AO$169,FALSE),1),"")</f>
        <v/>
      </c>
      <c r="AP12" s="17" t="str">
        <f>IFERROR(INDEX(逆引き作成用!$C$2:$C$169,MATCH($B12&amp;"/"&amp;$C12,逆引き作成用!AP$2:AP$169,FALSE),1),"")</f>
        <v/>
      </c>
      <c r="AQ12" s="17" t="str">
        <f>IFERROR(INDEX(逆引き作成用!$C$2:$C$169,MATCH($B12&amp;"/"&amp;$C12,逆引き作成用!AQ$2:AQ$169,FALSE),1),"")</f>
        <v/>
      </c>
      <c r="AR12" s="17" t="str">
        <f>IFERROR(INDEX(逆引き作成用!$C$2:$C$169,MATCH($B12&amp;"/"&amp;$C12,逆引き作成用!AR$2:AR$169,FALSE),1),"")</f>
        <v/>
      </c>
      <c r="AS12" s="17" t="str">
        <f>IFERROR(INDEX(逆引き作成用!$C$2:$C$169,MATCH($B12&amp;"/"&amp;$C12,逆引き作成用!AS$2:AS$169,FALSE),1),"")</f>
        <v/>
      </c>
      <c r="AT12" s="17" t="str">
        <f>IFERROR(INDEX(逆引き作成用!$C$2:$C$169,MATCH($B12&amp;"/"&amp;$C12,逆引き作成用!AT$2:AT$169,FALSE),1),"")</f>
        <v/>
      </c>
      <c r="AU12" s="17" t="str">
        <f>IFERROR(INDEX(逆引き作成用!$C$2:$C$169,MATCH($B12&amp;"/"&amp;$C12,逆引き作成用!AU$2:AU$169,FALSE),1),"")</f>
        <v/>
      </c>
      <c r="AV12" s="17" t="str">
        <f>IFERROR(INDEX(逆引き作成用!$C$2:$C$169,MATCH($B12&amp;"/"&amp;$C12,逆引き作成用!AV$2:AV$169,FALSE),1),"")</f>
        <v/>
      </c>
      <c r="AW12" s="17" t="str">
        <f>IFERROR(INDEX(逆引き作成用!$C$2:$C$169,MATCH($B12&amp;"/"&amp;$C12,逆引き作成用!AW$2:AW$169,FALSE),1),"")</f>
        <v/>
      </c>
      <c r="AX12" s="17" t="str">
        <f>IFERROR(INDEX(逆引き作成用!$C$2:$C$169,MATCH($B12&amp;"/"&amp;$C12,逆引き作成用!AX$2:AX$169,FALSE),1),"")</f>
        <v/>
      </c>
      <c r="AY12" s="17" t="str">
        <f>IFERROR(INDEX(逆引き作成用!$C$2:$C$169,MATCH($B12&amp;"/"&amp;$C12,逆引き作成用!AY$2:AY$169,FALSE),1),"")</f>
        <v/>
      </c>
      <c r="AZ12" s="17" t="str">
        <f>IFERROR(INDEX(逆引き作成用!$C$2:$C$169,MATCH($B12&amp;"/"&amp;$C12,逆引き作成用!AZ$2:AZ$169,FALSE),1),"")</f>
        <v/>
      </c>
      <c r="BA12" s="17" t="str">
        <f>IFERROR(INDEX(逆引き作成用!$C$2:$C$169,MATCH($B12&amp;"/"&amp;$C12,逆引き作成用!BA$2:BA$169,FALSE),1),"")</f>
        <v/>
      </c>
    </row>
    <row r="13" spans="1:53">
      <c r="A13" s="17" t="str">
        <f>IFERROR(INDEX(役職一覧!$B$2:$B$31,MATCH(B13,役職一覧!$C$2:$C$31,FALSE),1),"")</f>
        <v>E</v>
      </c>
      <c r="B13" s="17" t="str">
        <f>IFERROR(IF(C13=1,INDEX(役職一覧!$C$2:$C$31,MATCH(逆引き!B12,役職一覧!$C$2:$C$31,FALSE)+1,1)&amp;"",B12),"")</f>
        <v>お</v>
      </c>
      <c r="C13" s="17">
        <f>IFERROR(IF(VLOOKUP(B12,役職一覧!$C$2:$E$31,3,FALSE)=C12,1,C12+1),"")</f>
        <v>2</v>
      </c>
      <c r="D13" s="17" t="str">
        <f>IFERROR(INDEX(逆引き作成用!$C$2:$C$169,MATCH($B13&amp;"/"&amp;$C13,逆引き作成用!D$2:D$169,FALSE),1),"")</f>
        <v/>
      </c>
      <c r="E13" s="17" t="str">
        <f>IFERROR(INDEX(逆引き作成用!$C$2:$C$169,MATCH($B13&amp;"/"&amp;$C13,逆引き作成用!E$2:E$169,FALSE),1),"")</f>
        <v/>
      </c>
      <c r="F13" s="17" t="str">
        <f>IFERROR(INDEX(逆引き作成用!$C$2:$C$169,MATCH($B13&amp;"/"&amp;$C13,逆引き作成用!F$2:F$169,FALSE),1),"")</f>
        <v/>
      </c>
      <c r="G13" s="17" t="str">
        <f>IFERROR(INDEX(逆引き作成用!$C$2:$C$169,MATCH($B13&amp;"/"&amp;$C13,逆引き作成用!G$2:G$169,FALSE),1),"")</f>
        <v/>
      </c>
      <c r="H13" s="17" t="str">
        <f>IFERROR(INDEX(逆引き作成用!$C$2:$C$169,MATCH($B13&amp;"/"&amp;$C13,逆引き作成用!H$2:H$169,FALSE),1),"")</f>
        <v/>
      </c>
      <c r="I13" s="17" t="str">
        <f>IFERROR(INDEX(逆引き作成用!$C$2:$C$169,MATCH($B13&amp;"/"&amp;$C13,逆引き作成用!I$2:I$169,FALSE),1),"")</f>
        <v/>
      </c>
      <c r="J13" s="17" t="str">
        <f>IFERROR(INDEX(逆引き作成用!$C$2:$C$169,MATCH($B13&amp;"/"&amp;$C13,逆引き作成用!J$2:J$169,FALSE),1),"")</f>
        <v/>
      </c>
      <c r="K13" s="17" t="str">
        <f>IFERROR(INDEX(逆引き作成用!$C$2:$C$169,MATCH($B13&amp;"/"&amp;$C13,逆引き作成用!K$2:K$169,FALSE),1),"")</f>
        <v/>
      </c>
      <c r="L13" s="17" t="str">
        <f>IFERROR(INDEX(逆引き作成用!$C$2:$C$169,MATCH($B13&amp;"/"&amp;$C13,逆引き作成用!L$2:L$169,FALSE),1),"")</f>
        <v/>
      </c>
      <c r="M13" s="17" t="str">
        <f>IFERROR(INDEX(逆引き作成用!$C$2:$C$169,MATCH($B13&amp;"/"&amp;$C13,逆引き作成用!M$2:M$169,FALSE),1),"")</f>
        <v/>
      </c>
      <c r="N13" s="17" t="str">
        <f>IFERROR(INDEX(逆引き作成用!$C$2:$C$169,MATCH($B13&amp;"/"&amp;$C13,逆引き作成用!N$2:N$169,FALSE),1),"")</f>
        <v/>
      </c>
      <c r="O13" s="17" t="str">
        <f>IFERROR(INDEX(逆引き作成用!$C$2:$C$169,MATCH($B13&amp;"/"&amp;$C13,逆引き作成用!O$2:O$169,FALSE),1),"")</f>
        <v/>
      </c>
      <c r="P13" s="17" t="str">
        <f>IFERROR(INDEX(逆引き作成用!$C$2:$C$169,MATCH($B13&amp;"/"&amp;$C13,逆引き作成用!P$2:P$169,FALSE),1),"")</f>
        <v/>
      </c>
      <c r="Q13" s="17" t="str">
        <f>IFERROR(INDEX(逆引き作成用!$C$2:$C$169,MATCH($B13&amp;"/"&amp;$C13,逆引き作成用!Q$2:Q$169,FALSE),1),"")</f>
        <v/>
      </c>
      <c r="R13" s="17" t="str">
        <f>IFERROR(INDEX(逆引き作成用!$C$2:$C$169,MATCH($B13&amp;"/"&amp;$C13,逆引き作成用!R$2:R$169,FALSE),1),"")</f>
        <v/>
      </c>
      <c r="S13" s="17" t="str">
        <f>IFERROR(INDEX(逆引き作成用!$C$2:$C$169,MATCH($B13&amp;"/"&amp;$C13,逆引き作成用!S$2:S$169,FALSE),1),"")</f>
        <v/>
      </c>
      <c r="T13" s="17" t="str">
        <f>IFERROR(INDEX(逆引き作成用!$C$2:$C$169,MATCH($B13&amp;"/"&amp;$C13,逆引き作成用!T$2:T$169,FALSE),1),"")</f>
        <v/>
      </c>
      <c r="U13" s="17" t="str">
        <f>IFERROR(INDEX(逆引き作成用!$C$2:$C$169,MATCH($B13&amp;"/"&amp;$C13,逆引き作成用!U$2:U$169,FALSE),1),"")</f>
        <v/>
      </c>
      <c r="V13" s="17" t="str">
        <f>IFERROR(INDEX(逆引き作成用!$C$2:$C$169,MATCH($B13&amp;"/"&amp;$C13,逆引き作成用!V$2:V$169,FALSE),1),"")</f>
        <v/>
      </c>
      <c r="W13" s="17" t="str">
        <f>IFERROR(INDEX(逆引き作成用!$C$2:$C$169,MATCH($B13&amp;"/"&amp;$C13,逆引き作成用!W$2:W$169,FALSE),1),"")</f>
        <v/>
      </c>
      <c r="X13" s="17" t="str">
        <f>IFERROR(INDEX(逆引き作成用!$C$2:$C$169,MATCH($B13&amp;"/"&amp;$C13,逆引き作成用!X$2:X$169,FALSE),1),"")</f>
        <v/>
      </c>
      <c r="Y13" s="17" t="str">
        <f>IFERROR(INDEX(逆引き作成用!$C$2:$C$169,MATCH($B13&amp;"/"&amp;$C13,逆引き作成用!Y$2:Y$169,FALSE),1),"")</f>
        <v/>
      </c>
      <c r="Z13" s="17" t="str">
        <f>IFERROR(INDEX(逆引き作成用!$C$2:$C$169,MATCH($B13&amp;"/"&amp;$C13,逆引き作成用!Z$2:Z$169,FALSE),1),"")</f>
        <v/>
      </c>
      <c r="AA13" s="17" t="str">
        <f>IFERROR(INDEX(逆引き作成用!$C$2:$C$169,MATCH($B13&amp;"/"&amp;$C13,逆引き作成用!AA$2:AA$169,FALSE),1),"")</f>
        <v/>
      </c>
      <c r="AB13" s="17" t="str">
        <f>IFERROR(INDEX(逆引き作成用!$C$2:$C$169,MATCH($B13&amp;"/"&amp;$C13,逆引き作成用!AB$2:AB$169,FALSE),1),"")</f>
        <v/>
      </c>
      <c r="AC13" s="17" t="str">
        <f>IFERROR(INDEX(逆引き作成用!$C$2:$C$169,MATCH($B13&amp;"/"&amp;$C13,逆引き作成用!AC$2:AC$169,FALSE),1),"")</f>
        <v/>
      </c>
      <c r="AD13" s="17" t="str">
        <f>IFERROR(INDEX(逆引き作成用!$C$2:$C$169,MATCH($B13&amp;"/"&amp;$C13,逆引き作成用!AD$2:AD$169,FALSE),1),"")</f>
        <v/>
      </c>
      <c r="AE13" s="17" t="str">
        <f>IFERROR(INDEX(逆引き作成用!$C$2:$C$169,MATCH($B13&amp;"/"&amp;$C13,逆引き作成用!AE$2:AE$169,FALSE),1),"")</f>
        <v/>
      </c>
      <c r="AF13" s="17" t="str">
        <f>IFERROR(INDEX(逆引き作成用!$C$2:$C$169,MATCH($B13&amp;"/"&amp;$C13,逆引き作成用!AF$2:AF$169,FALSE),1),"")</f>
        <v/>
      </c>
      <c r="AG13" s="17" t="str">
        <f>IFERROR(INDEX(逆引き作成用!$C$2:$C$169,MATCH($B13&amp;"/"&amp;$C13,逆引き作成用!AG$2:AG$169,FALSE),1),"")</f>
        <v/>
      </c>
      <c r="AH13" s="17" t="str">
        <f>IFERROR(INDEX(逆引き作成用!$C$2:$C$169,MATCH($B13&amp;"/"&amp;$C13,逆引き作成用!AH$2:AH$169,FALSE),1),"")</f>
        <v/>
      </c>
      <c r="AI13" s="17" t="str">
        <f>IFERROR(INDEX(逆引き作成用!$C$2:$C$169,MATCH($B13&amp;"/"&amp;$C13,逆引き作成用!AI$2:AI$169,FALSE),1),"")</f>
        <v/>
      </c>
      <c r="AJ13" s="17" t="str">
        <f>IFERROR(INDEX(逆引き作成用!$C$2:$C$169,MATCH($B13&amp;"/"&amp;$C13,逆引き作成用!AJ$2:AJ$169,FALSE),1),"")</f>
        <v/>
      </c>
      <c r="AK13" s="17" t="str">
        <f>IFERROR(INDEX(逆引き作成用!$C$2:$C$169,MATCH($B13&amp;"/"&amp;$C13,逆引き作成用!AK$2:AK$169,FALSE),1),"")</f>
        <v/>
      </c>
      <c r="AL13" s="17" t="str">
        <f>IFERROR(INDEX(逆引き作成用!$C$2:$C$169,MATCH($B13&amp;"/"&amp;$C13,逆引き作成用!AL$2:AL$169,FALSE),1),"")</f>
        <v/>
      </c>
      <c r="AM13" s="17" t="str">
        <f>IFERROR(INDEX(逆引き作成用!$C$2:$C$169,MATCH($B13&amp;"/"&amp;$C13,逆引き作成用!AM$2:AM$169,FALSE),1),"")</f>
        <v/>
      </c>
      <c r="AN13" s="17" t="str">
        <f>IFERROR(INDEX(逆引き作成用!$C$2:$C$169,MATCH($B13&amp;"/"&amp;$C13,逆引き作成用!AN$2:AN$169,FALSE),1),"")</f>
        <v/>
      </c>
      <c r="AO13" s="17" t="str">
        <f>IFERROR(INDEX(逆引き作成用!$C$2:$C$169,MATCH($B13&amp;"/"&amp;$C13,逆引き作成用!AO$2:AO$169,FALSE),1),"")</f>
        <v/>
      </c>
      <c r="AP13" s="17" t="str">
        <f>IFERROR(INDEX(逆引き作成用!$C$2:$C$169,MATCH($B13&amp;"/"&amp;$C13,逆引き作成用!AP$2:AP$169,FALSE),1),"")</f>
        <v/>
      </c>
      <c r="AQ13" s="17" t="str">
        <f>IFERROR(INDEX(逆引き作成用!$C$2:$C$169,MATCH($B13&amp;"/"&amp;$C13,逆引き作成用!AQ$2:AQ$169,FALSE),1),"")</f>
        <v/>
      </c>
      <c r="AR13" s="17" t="str">
        <f>IFERROR(INDEX(逆引き作成用!$C$2:$C$169,MATCH($B13&amp;"/"&amp;$C13,逆引き作成用!AR$2:AR$169,FALSE),1),"")</f>
        <v/>
      </c>
      <c r="AS13" s="17" t="str">
        <f>IFERROR(INDEX(逆引き作成用!$C$2:$C$169,MATCH($B13&amp;"/"&amp;$C13,逆引き作成用!AS$2:AS$169,FALSE),1),"")</f>
        <v/>
      </c>
      <c r="AT13" s="17" t="str">
        <f>IFERROR(INDEX(逆引き作成用!$C$2:$C$169,MATCH($B13&amp;"/"&amp;$C13,逆引き作成用!AT$2:AT$169,FALSE),1),"")</f>
        <v/>
      </c>
      <c r="AU13" s="17" t="str">
        <f>IFERROR(INDEX(逆引き作成用!$C$2:$C$169,MATCH($B13&amp;"/"&amp;$C13,逆引き作成用!AU$2:AU$169,FALSE),1),"")</f>
        <v/>
      </c>
      <c r="AV13" s="17" t="str">
        <f>IFERROR(INDEX(逆引き作成用!$C$2:$C$169,MATCH($B13&amp;"/"&amp;$C13,逆引き作成用!AV$2:AV$169,FALSE),1),"")</f>
        <v/>
      </c>
      <c r="AW13" s="17" t="str">
        <f>IFERROR(INDEX(逆引き作成用!$C$2:$C$169,MATCH($B13&amp;"/"&amp;$C13,逆引き作成用!AW$2:AW$169,FALSE),1),"")</f>
        <v/>
      </c>
      <c r="AX13" s="17" t="str">
        <f>IFERROR(INDEX(逆引き作成用!$C$2:$C$169,MATCH($B13&amp;"/"&amp;$C13,逆引き作成用!AX$2:AX$169,FALSE),1),"")</f>
        <v/>
      </c>
      <c r="AY13" s="17" t="str">
        <f>IFERROR(INDEX(逆引き作成用!$C$2:$C$169,MATCH($B13&amp;"/"&amp;$C13,逆引き作成用!AY$2:AY$169,FALSE),1),"")</f>
        <v/>
      </c>
      <c r="AZ13" s="17" t="str">
        <f>IFERROR(INDEX(逆引き作成用!$C$2:$C$169,MATCH($B13&amp;"/"&amp;$C13,逆引き作成用!AZ$2:AZ$169,FALSE),1),"")</f>
        <v/>
      </c>
      <c r="BA13" s="17" t="str">
        <f>IFERROR(INDEX(逆引き作成用!$C$2:$C$169,MATCH($B13&amp;"/"&amp;$C13,逆引き作成用!BA$2:BA$169,FALSE),1),"")</f>
        <v/>
      </c>
    </row>
    <row r="14" spans="1:53">
      <c r="A14" s="17" t="str">
        <f>IFERROR(INDEX(役職一覧!$B$2:$B$31,MATCH(B14,役職一覧!$C$2:$C$31,FALSE),1),"")</f>
        <v>E</v>
      </c>
      <c r="B14" s="17" t="str">
        <f>IFERROR(IF(C14=1,INDEX(役職一覧!$C$2:$C$31,MATCH(逆引き!B13,役職一覧!$C$2:$C$31,FALSE)+1,1)&amp;"",B13),"")</f>
        <v>お</v>
      </c>
      <c r="C14" s="17">
        <f>IFERROR(IF(VLOOKUP(B13,役職一覧!$C$2:$E$31,3,FALSE)=C13,1,C13+1),"")</f>
        <v>3</v>
      </c>
      <c r="D14" s="17" t="str">
        <f>IFERROR(INDEX(逆引き作成用!$C$2:$C$169,MATCH($B14&amp;"/"&amp;$C14,逆引き作成用!D$2:D$169,FALSE),1),"")</f>
        <v/>
      </c>
      <c r="E14" s="17" t="str">
        <f>IFERROR(INDEX(逆引き作成用!$C$2:$C$169,MATCH($B14&amp;"/"&amp;$C14,逆引き作成用!E$2:E$169,FALSE),1),"")</f>
        <v/>
      </c>
      <c r="F14" s="17" t="str">
        <f>IFERROR(INDEX(逆引き作成用!$C$2:$C$169,MATCH($B14&amp;"/"&amp;$C14,逆引き作成用!F$2:F$169,FALSE),1),"")</f>
        <v/>
      </c>
      <c r="G14" s="17" t="str">
        <f>IFERROR(INDEX(逆引き作成用!$C$2:$C$169,MATCH($B14&amp;"/"&amp;$C14,逆引き作成用!G$2:G$169,FALSE),1),"")</f>
        <v/>
      </c>
      <c r="H14" s="17" t="str">
        <f>IFERROR(INDEX(逆引き作成用!$C$2:$C$169,MATCH($B14&amp;"/"&amp;$C14,逆引き作成用!H$2:H$169,FALSE),1),"")</f>
        <v/>
      </c>
      <c r="I14" s="17" t="str">
        <f>IFERROR(INDEX(逆引き作成用!$C$2:$C$169,MATCH($B14&amp;"/"&amp;$C14,逆引き作成用!I$2:I$169,FALSE),1),"")</f>
        <v/>
      </c>
      <c r="J14" s="17" t="str">
        <f>IFERROR(INDEX(逆引き作成用!$C$2:$C$169,MATCH($B14&amp;"/"&amp;$C14,逆引き作成用!J$2:J$169,FALSE),1),"")</f>
        <v/>
      </c>
      <c r="K14" s="17" t="str">
        <f>IFERROR(INDEX(逆引き作成用!$C$2:$C$169,MATCH($B14&amp;"/"&amp;$C14,逆引き作成用!K$2:K$169,FALSE),1),"")</f>
        <v/>
      </c>
      <c r="L14" s="17" t="str">
        <f>IFERROR(INDEX(逆引き作成用!$C$2:$C$169,MATCH($B14&amp;"/"&amp;$C14,逆引き作成用!L$2:L$169,FALSE),1),"")</f>
        <v/>
      </c>
      <c r="M14" s="17" t="str">
        <f>IFERROR(INDEX(逆引き作成用!$C$2:$C$169,MATCH($B14&amp;"/"&amp;$C14,逆引き作成用!M$2:M$169,FALSE),1),"")</f>
        <v/>
      </c>
      <c r="N14" s="17" t="str">
        <f>IFERROR(INDEX(逆引き作成用!$C$2:$C$169,MATCH($B14&amp;"/"&amp;$C14,逆引き作成用!N$2:N$169,FALSE),1),"")</f>
        <v/>
      </c>
      <c r="O14" s="17" t="str">
        <f>IFERROR(INDEX(逆引き作成用!$C$2:$C$169,MATCH($B14&amp;"/"&amp;$C14,逆引き作成用!O$2:O$169,FALSE),1),"")</f>
        <v/>
      </c>
      <c r="P14" s="17" t="str">
        <f>IFERROR(INDEX(逆引き作成用!$C$2:$C$169,MATCH($B14&amp;"/"&amp;$C14,逆引き作成用!P$2:P$169,FALSE),1),"")</f>
        <v/>
      </c>
      <c r="Q14" s="17" t="str">
        <f>IFERROR(INDEX(逆引き作成用!$C$2:$C$169,MATCH($B14&amp;"/"&amp;$C14,逆引き作成用!Q$2:Q$169,FALSE),1),"")</f>
        <v/>
      </c>
      <c r="R14" s="17" t="str">
        <f>IFERROR(INDEX(逆引き作成用!$C$2:$C$169,MATCH($B14&amp;"/"&amp;$C14,逆引き作成用!R$2:R$169,FALSE),1),"")</f>
        <v/>
      </c>
      <c r="S14" s="17" t="str">
        <f>IFERROR(INDEX(逆引き作成用!$C$2:$C$169,MATCH($B14&amp;"/"&amp;$C14,逆引き作成用!S$2:S$169,FALSE),1),"")</f>
        <v/>
      </c>
      <c r="T14" s="17" t="str">
        <f>IFERROR(INDEX(逆引き作成用!$C$2:$C$169,MATCH($B14&amp;"/"&amp;$C14,逆引き作成用!T$2:T$169,FALSE),1),"")</f>
        <v/>
      </c>
      <c r="U14" s="17" t="str">
        <f>IFERROR(INDEX(逆引き作成用!$C$2:$C$169,MATCH($B14&amp;"/"&amp;$C14,逆引き作成用!U$2:U$169,FALSE),1),"")</f>
        <v/>
      </c>
      <c r="V14" s="17" t="str">
        <f>IFERROR(INDEX(逆引き作成用!$C$2:$C$169,MATCH($B14&amp;"/"&amp;$C14,逆引き作成用!V$2:V$169,FALSE),1),"")</f>
        <v/>
      </c>
      <c r="W14" s="17" t="str">
        <f>IFERROR(INDEX(逆引き作成用!$C$2:$C$169,MATCH($B14&amp;"/"&amp;$C14,逆引き作成用!W$2:W$169,FALSE),1),"")</f>
        <v/>
      </c>
      <c r="X14" s="17" t="str">
        <f>IFERROR(INDEX(逆引き作成用!$C$2:$C$169,MATCH($B14&amp;"/"&amp;$C14,逆引き作成用!X$2:X$169,FALSE),1),"")</f>
        <v/>
      </c>
      <c r="Y14" s="17" t="str">
        <f>IFERROR(INDEX(逆引き作成用!$C$2:$C$169,MATCH($B14&amp;"/"&amp;$C14,逆引き作成用!Y$2:Y$169,FALSE),1),"")</f>
        <v/>
      </c>
      <c r="Z14" s="17" t="str">
        <f>IFERROR(INDEX(逆引き作成用!$C$2:$C$169,MATCH($B14&amp;"/"&amp;$C14,逆引き作成用!Z$2:Z$169,FALSE),1),"")</f>
        <v/>
      </c>
      <c r="AA14" s="17" t="str">
        <f>IFERROR(INDEX(逆引き作成用!$C$2:$C$169,MATCH($B14&amp;"/"&amp;$C14,逆引き作成用!AA$2:AA$169,FALSE),1),"")</f>
        <v/>
      </c>
      <c r="AB14" s="17" t="str">
        <f>IFERROR(INDEX(逆引き作成用!$C$2:$C$169,MATCH($B14&amp;"/"&amp;$C14,逆引き作成用!AB$2:AB$169,FALSE),1),"")</f>
        <v/>
      </c>
      <c r="AC14" s="17" t="str">
        <f>IFERROR(INDEX(逆引き作成用!$C$2:$C$169,MATCH($B14&amp;"/"&amp;$C14,逆引き作成用!AC$2:AC$169,FALSE),1),"")</f>
        <v/>
      </c>
      <c r="AD14" s="17" t="str">
        <f>IFERROR(INDEX(逆引き作成用!$C$2:$C$169,MATCH($B14&amp;"/"&amp;$C14,逆引き作成用!AD$2:AD$169,FALSE),1),"")</f>
        <v/>
      </c>
      <c r="AE14" s="17" t="str">
        <f>IFERROR(INDEX(逆引き作成用!$C$2:$C$169,MATCH($B14&amp;"/"&amp;$C14,逆引き作成用!AE$2:AE$169,FALSE),1),"")</f>
        <v/>
      </c>
      <c r="AF14" s="17" t="str">
        <f>IFERROR(INDEX(逆引き作成用!$C$2:$C$169,MATCH($B14&amp;"/"&amp;$C14,逆引き作成用!AF$2:AF$169,FALSE),1),"")</f>
        <v/>
      </c>
      <c r="AG14" s="17" t="str">
        <f>IFERROR(INDEX(逆引き作成用!$C$2:$C$169,MATCH($B14&amp;"/"&amp;$C14,逆引き作成用!AG$2:AG$169,FALSE),1),"")</f>
        <v/>
      </c>
      <c r="AH14" s="17" t="str">
        <f>IFERROR(INDEX(逆引き作成用!$C$2:$C$169,MATCH($B14&amp;"/"&amp;$C14,逆引き作成用!AH$2:AH$169,FALSE),1),"")</f>
        <v/>
      </c>
      <c r="AI14" s="17" t="str">
        <f>IFERROR(INDEX(逆引き作成用!$C$2:$C$169,MATCH($B14&amp;"/"&amp;$C14,逆引き作成用!AI$2:AI$169,FALSE),1),"")</f>
        <v/>
      </c>
      <c r="AJ14" s="17" t="str">
        <f>IFERROR(INDEX(逆引き作成用!$C$2:$C$169,MATCH($B14&amp;"/"&amp;$C14,逆引き作成用!AJ$2:AJ$169,FALSE),1),"")</f>
        <v/>
      </c>
      <c r="AK14" s="17" t="str">
        <f>IFERROR(INDEX(逆引き作成用!$C$2:$C$169,MATCH($B14&amp;"/"&amp;$C14,逆引き作成用!AK$2:AK$169,FALSE),1),"")</f>
        <v/>
      </c>
      <c r="AL14" s="17" t="str">
        <f>IFERROR(INDEX(逆引き作成用!$C$2:$C$169,MATCH($B14&amp;"/"&amp;$C14,逆引き作成用!AL$2:AL$169,FALSE),1),"")</f>
        <v/>
      </c>
      <c r="AM14" s="17" t="str">
        <f>IFERROR(INDEX(逆引き作成用!$C$2:$C$169,MATCH($B14&amp;"/"&amp;$C14,逆引き作成用!AM$2:AM$169,FALSE),1),"")</f>
        <v/>
      </c>
      <c r="AN14" s="17" t="str">
        <f>IFERROR(INDEX(逆引き作成用!$C$2:$C$169,MATCH($B14&amp;"/"&amp;$C14,逆引き作成用!AN$2:AN$169,FALSE),1),"")</f>
        <v/>
      </c>
      <c r="AO14" s="17" t="str">
        <f>IFERROR(INDEX(逆引き作成用!$C$2:$C$169,MATCH($B14&amp;"/"&amp;$C14,逆引き作成用!AO$2:AO$169,FALSE),1),"")</f>
        <v/>
      </c>
      <c r="AP14" s="17" t="str">
        <f>IFERROR(INDEX(逆引き作成用!$C$2:$C$169,MATCH($B14&amp;"/"&amp;$C14,逆引き作成用!AP$2:AP$169,FALSE),1),"")</f>
        <v/>
      </c>
      <c r="AQ14" s="17" t="str">
        <f>IFERROR(INDEX(逆引き作成用!$C$2:$C$169,MATCH($B14&amp;"/"&amp;$C14,逆引き作成用!AQ$2:AQ$169,FALSE),1),"")</f>
        <v/>
      </c>
      <c r="AR14" s="17" t="str">
        <f>IFERROR(INDEX(逆引き作成用!$C$2:$C$169,MATCH($B14&amp;"/"&amp;$C14,逆引き作成用!AR$2:AR$169,FALSE),1),"")</f>
        <v/>
      </c>
      <c r="AS14" s="17" t="str">
        <f>IFERROR(INDEX(逆引き作成用!$C$2:$C$169,MATCH($B14&amp;"/"&amp;$C14,逆引き作成用!AS$2:AS$169,FALSE),1),"")</f>
        <v/>
      </c>
      <c r="AT14" s="17" t="str">
        <f>IFERROR(INDEX(逆引き作成用!$C$2:$C$169,MATCH($B14&amp;"/"&amp;$C14,逆引き作成用!AT$2:AT$169,FALSE),1),"")</f>
        <v/>
      </c>
      <c r="AU14" s="17" t="str">
        <f>IFERROR(INDEX(逆引き作成用!$C$2:$C$169,MATCH($B14&amp;"/"&amp;$C14,逆引き作成用!AU$2:AU$169,FALSE),1),"")</f>
        <v/>
      </c>
      <c r="AV14" s="17" t="str">
        <f>IFERROR(INDEX(逆引き作成用!$C$2:$C$169,MATCH($B14&amp;"/"&amp;$C14,逆引き作成用!AV$2:AV$169,FALSE),1),"")</f>
        <v/>
      </c>
      <c r="AW14" s="17" t="str">
        <f>IFERROR(INDEX(逆引き作成用!$C$2:$C$169,MATCH($B14&amp;"/"&amp;$C14,逆引き作成用!AW$2:AW$169,FALSE),1),"")</f>
        <v/>
      </c>
      <c r="AX14" s="17" t="str">
        <f>IFERROR(INDEX(逆引き作成用!$C$2:$C$169,MATCH($B14&amp;"/"&amp;$C14,逆引き作成用!AX$2:AX$169,FALSE),1),"")</f>
        <v/>
      </c>
      <c r="AY14" s="17" t="str">
        <f>IFERROR(INDEX(逆引き作成用!$C$2:$C$169,MATCH($B14&amp;"/"&amp;$C14,逆引き作成用!AY$2:AY$169,FALSE),1),"")</f>
        <v/>
      </c>
      <c r="AZ14" s="17" t="str">
        <f>IFERROR(INDEX(逆引き作成用!$C$2:$C$169,MATCH($B14&amp;"/"&amp;$C14,逆引き作成用!AZ$2:AZ$169,FALSE),1),"")</f>
        <v/>
      </c>
      <c r="BA14" s="17" t="str">
        <f>IFERROR(INDEX(逆引き作成用!$C$2:$C$169,MATCH($B14&amp;"/"&amp;$C14,逆引き作成用!BA$2:BA$169,FALSE),1),"")</f>
        <v/>
      </c>
    </row>
    <row r="15" spans="1:53">
      <c r="A15" s="17" t="str">
        <f>IFERROR(INDEX(役職一覧!$B$2:$B$31,MATCH(B15,役職一覧!$C$2:$C$31,FALSE),1),"")</f>
        <v>E</v>
      </c>
      <c r="B15" s="17" t="str">
        <f>IFERROR(IF(C15=1,INDEX(役職一覧!$C$2:$C$31,MATCH(逆引き!B14,役職一覧!$C$2:$C$31,FALSE)+1,1)&amp;"",B14),"")</f>
        <v>お</v>
      </c>
      <c r="C15" s="17">
        <f>IFERROR(IF(VLOOKUP(B14,役職一覧!$C$2:$E$31,3,FALSE)=C14,1,C14+1),"")</f>
        <v>4</v>
      </c>
      <c r="D15" s="17" t="str">
        <f>IFERROR(INDEX(逆引き作成用!$C$2:$C$169,MATCH($B15&amp;"/"&amp;$C15,逆引き作成用!D$2:D$169,FALSE),1),"")</f>
        <v/>
      </c>
      <c r="E15" s="17" t="str">
        <f>IFERROR(INDEX(逆引き作成用!$C$2:$C$169,MATCH($B15&amp;"/"&amp;$C15,逆引き作成用!E$2:E$169,FALSE),1),"")</f>
        <v/>
      </c>
      <c r="F15" s="17" t="str">
        <f>IFERROR(INDEX(逆引き作成用!$C$2:$C$169,MATCH($B15&amp;"/"&amp;$C15,逆引き作成用!F$2:F$169,FALSE),1),"")</f>
        <v/>
      </c>
      <c r="G15" s="17" t="str">
        <f>IFERROR(INDEX(逆引き作成用!$C$2:$C$169,MATCH($B15&amp;"/"&amp;$C15,逆引き作成用!G$2:G$169,FALSE),1),"")</f>
        <v/>
      </c>
      <c r="H15" s="17" t="str">
        <f>IFERROR(INDEX(逆引き作成用!$C$2:$C$169,MATCH($B15&amp;"/"&amp;$C15,逆引き作成用!H$2:H$169,FALSE),1),"")</f>
        <v/>
      </c>
      <c r="I15" s="17" t="str">
        <f>IFERROR(INDEX(逆引き作成用!$C$2:$C$169,MATCH($B15&amp;"/"&amp;$C15,逆引き作成用!I$2:I$169,FALSE),1),"")</f>
        <v/>
      </c>
      <c r="J15" s="17" t="str">
        <f>IFERROR(INDEX(逆引き作成用!$C$2:$C$169,MATCH($B15&amp;"/"&amp;$C15,逆引き作成用!J$2:J$169,FALSE),1),"")</f>
        <v/>
      </c>
      <c r="K15" s="17" t="str">
        <f>IFERROR(INDEX(逆引き作成用!$C$2:$C$169,MATCH($B15&amp;"/"&amp;$C15,逆引き作成用!K$2:K$169,FALSE),1),"")</f>
        <v/>
      </c>
      <c r="L15" s="17" t="str">
        <f>IFERROR(INDEX(逆引き作成用!$C$2:$C$169,MATCH($B15&amp;"/"&amp;$C15,逆引き作成用!L$2:L$169,FALSE),1),"")</f>
        <v/>
      </c>
      <c r="M15" s="17" t="str">
        <f>IFERROR(INDEX(逆引き作成用!$C$2:$C$169,MATCH($B15&amp;"/"&amp;$C15,逆引き作成用!M$2:M$169,FALSE),1),"")</f>
        <v/>
      </c>
      <c r="N15" s="17" t="str">
        <f>IFERROR(INDEX(逆引き作成用!$C$2:$C$169,MATCH($B15&amp;"/"&amp;$C15,逆引き作成用!N$2:N$169,FALSE),1),"")</f>
        <v/>
      </c>
      <c r="O15" s="17" t="str">
        <f>IFERROR(INDEX(逆引き作成用!$C$2:$C$169,MATCH($B15&amp;"/"&amp;$C15,逆引き作成用!O$2:O$169,FALSE),1),"")</f>
        <v/>
      </c>
      <c r="P15" s="17" t="str">
        <f>IFERROR(INDEX(逆引き作成用!$C$2:$C$169,MATCH($B15&amp;"/"&amp;$C15,逆引き作成用!P$2:P$169,FALSE),1),"")</f>
        <v/>
      </c>
      <c r="Q15" s="17" t="str">
        <f>IFERROR(INDEX(逆引き作成用!$C$2:$C$169,MATCH($B15&amp;"/"&amp;$C15,逆引き作成用!Q$2:Q$169,FALSE),1),"")</f>
        <v/>
      </c>
      <c r="R15" s="17" t="str">
        <f>IFERROR(INDEX(逆引き作成用!$C$2:$C$169,MATCH($B15&amp;"/"&amp;$C15,逆引き作成用!R$2:R$169,FALSE),1),"")</f>
        <v/>
      </c>
      <c r="S15" s="17" t="str">
        <f>IFERROR(INDEX(逆引き作成用!$C$2:$C$169,MATCH($B15&amp;"/"&amp;$C15,逆引き作成用!S$2:S$169,FALSE),1),"")</f>
        <v/>
      </c>
      <c r="T15" s="17" t="str">
        <f>IFERROR(INDEX(逆引き作成用!$C$2:$C$169,MATCH($B15&amp;"/"&amp;$C15,逆引き作成用!T$2:T$169,FALSE),1),"")</f>
        <v/>
      </c>
      <c r="U15" s="17" t="str">
        <f>IFERROR(INDEX(逆引き作成用!$C$2:$C$169,MATCH($B15&amp;"/"&amp;$C15,逆引き作成用!U$2:U$169,FALSE),1),"")</f>
        <v/>
      </c>
      <c r="V15" s="17" t="str">
        <f>IFERROR(INDEX(逆引き作成用!$C$2:$C$169,MATCH($B15&amp;"/"&amp;$C15,逆引き作成用!V$2:V$169,FALSE),1),"")</f>
        <v/>
      </c>
      <c r="W15" s="17" t="str">
        <f>IFERROR(INDEX(逆引き作成用!$C$2:$C$169,MATCH($B15&amp;"/"&amp;$C15,逆引き作成用!W$2:W$169,FALSE),1),"")</f>
        <v/>
      </c>
      <c r="X15" s="17" t="str">
        <f>IFERROR(INDEX(逆引き作成用!$C$2:$C$169,MATCH($B15&amp;"/"&amp;$C15,逆引き作成用!X$2:X$169,FALSE),1),"")</f>
        <v/>
      </c>
      <c r="Y15" s="17" t="str">
        <f>IFERROR(INDEX(逆引き作成用!$C$2:$C$169,MATCH($B15&amp;"/"&amp;$C15,逆引き作成用!Y$2:Y$169,FALSE),1),"")</f>
        <v/>
      </c>
      <c r="Z15" s="17" t="str">
        <f>IFERROR(INDEX(逆引き作成用!$C$2:$C$169,MATCH($B15&amp;"/"&amp;$C15,逆引き作成用!Z$2:Z$169,FALSE),1),"")</f>
        <v/>
      </c>
      <c r="AA15" s="17" t="str">
        <f>IFERROR(INDEX(逆引き作成用!$C$2:$C$169,MATCH($B15&amp;"/"&amp;$C15,逆引き作成用!AA$2:AA$169,FALSE),1),"")</f>
        <v/>
      </c>
      <c r="AB15" s="17" t="str">
        <f>IFERROR(INDEX(逆引き作成用!$C$2:$C$169,MATCH($B15&amp;"/"&amp;$C15,逆引き作成用!AB$2:AB$169,FALSE),1),"")</f>
        <v/>
      </c>
      <c r="AC15" s="17" t="str">
        <f>IFERROR(INDEX(逆引き作成用!$C$2:$C$169,MATCH($B15&amp;"/"&amp;$C15,逆引き作成用!AC$2:AC$169,FALSE),1),"")</f>
        <v/>
      </c>
      <c r="AD15" s="17" t="str">
        <f>IFERROR(INDEX(逆引き作成用!$C$2:$C$169,MATCH($B15&amp;"/"&amp;$C15,逆引き作成用!AD$2:AD$169,FALSE),1),"")</f>
        <v/>
      </c>
      <c r="AE15" s="17" t="str">
        <f>IFERROR(INDEX(逆引き作成用!$C$2:$C$169,MATCH($B15&amp;"/"&amp;$C15,逆引き作成用!AE$2:AE$169,FALSE),1),"")</f>
        <v/>
      </c>
      <c r="AF15" s="17" t="str">
        <f>IFERROR(INDEX(逆引き作成用!$C$2:$C$169,MATCH($B15&amp;"/"&amp;$C15,逆引き作成用!AF$2:AF$169,FALSE),1),"")</f>
        <v/>
      </c>
      <c r="AG15" s="17" t="str">
        <f>IFERROR(INDEX(逆引き作成用!$C$2:$C$169,MATCH($B15&amp;"/"&amp;$C15,逆引き作成用!AG$2:AG$169,FALSE),1),"")</f>
        <v/>
      </c>
      <c r="AH15" s="17" t="str">
        <f>IFERROR(INDEX(逆引き作成用!$C$2:$C$169,MATCH($B15&amp;"/"&amp;$C15,逆引き作成用!AH$2:AH$169,FALSE),1),"")</f>
        <v/>
      </c>
      <c r="AI15" s="17" t="str">
        <f>IFERROR(INDEX(逆引き作成用!$C$2:$C$169,MATCH($B15&amp;"/"&amp;$C15,逆引き作成用!AI$2:AI$169,FALSE),1),"")</f>
        <v/>
      </c>
      <c r="AJ15" s="17" t="str">
        <f>IFERROR(INDEX(逆引き作成用!$C$2:$C$169,MATCH($B15&amp;"/"&amp;$C15,逆引き作成用!AJ$2:AJ$169,FALSE),1),"")</f>
        <v/>
      </c>
      <c r="AK15" s="17" t="str">
        <f>IFERROR(INDEX(逆引き作成用!$C$2:$C$169,MATCH($B15&amp;"/"&amp;$C15,逆引き作成用!AK$2:AK$169,FALSE),1),"")</f>
        <v/>
      </c>
      <c r="AL15" s="17" t="str">
        <f>IFERROR(INDEX(逆引き作成用!$C$2:$C$169,MATCH($B15&amp;"/"&amp;$C15,逆引き作成用!AL$2:AL$169,FALSE),1),"")</f>
        <v/>
      </c>
      <c r="AM15" s="17" t="str">
        <f>IFERROR(INDEX(逆引き作成用!$C$2:$C$169,MATCH($B15&amp;"/"&amp;$C15,逆引き作成用!AM$2:AM$169,FALSE),1),"")</f>
        <v/>
      </c>
      <c r="AN15" s="17" t="str">
        <f>IFERROR(INDEX(逆引き作成用!$C$2:$C$169,MATCH($B15&amp;"/"&amp;$C15,逆引き作成用!AN$2:AN$169,FALSE),1),"")</f>
        <v/>
      </c>
      <c r="AO15" s="17" t="str">
        <f>IFERROR(INDEX(逆引き作成用!$C$2:$C$169,MATCH($B15&amp;"/"&amp;$C15,逆引き作成用!AO$2:AO$169,FALSE),1),"")</f>
        <v/>
      </c>
      <c r="AP15" s="17" t="str">
        <f>IFERROR(INDEX(逆引き作成用!$C$2:$C$169,MATCH($B15&amp;"/"&amp;$C15,逆引き作成用!AP$2:AP$169,FALSE),1),"")</f>
        <v/>
      </c>
      <c r="AQ15" s="17" t="str">
        <f>IFERROR(INDEX(逆引き作成用!$C$2:$C$169,MATCH($B15&amp;"/"&amp;$C15,逆引き作成用!AQ$2:AQ$169,FALSE),1),"")</f>
        <v/>
      </c>
      <c r="AR15" s="17" t="str">
        <f>IFERROR(INDEX(逆引き作成用!$C$2:$C$169,MATCH($B15&amp;"/"&amp;$C15,逆引き作成用!AR$2:AR$169,FALSE),1),"")</f>
        <v/>
      </c>
      <c r="AS15" s="17" t="str">
        <f>IFERROR(INDEX(逆引き作成用!$C$2:$C$169,MATCH($B15&amp;"/"&amp;$C15,逆引き作成用!AS$2:AS$169,FALSE),1),"")</f>
        <v/>
      </c>
      <c r="AT15" s="17" t="str">
        <f>IFERROR(INDEX(逆引き作成用!$C$2:$C$169,MATCH($B15&amp;"/"&amp;$C15,逆引き作成用!AT$2:AT$169,FALSE),1),"")</f>
        <v/>
      </c>
      <c r="AU15" s="17" t="str">
        <f>IFERROR(INDEX(逆引き作成用!$C$2:$C$169,MATCH($B15&amp;"/"&amp;$C15,逆引き作成用!AU$2:AU$169,FALSE),1),"")</f>
        <v/>
      </c>
      <c r="AV15" s="17" t="str">
        <f>IFERROR(INDEX(逆引き作成用!$C$2:$C$169,MATCH($B15&amp;"/"&amp;$C15,逆引き作成用!AV$2:AV$169,FALSE),1),"")</f>
        <v/>
      </c>
      <c r="AW15" s="17" t="str">
        <f>IFERROR(INDEX(逆引き作成用!$C$2:$C$169,MATCH($B15&amp;"/"&amp;$C15,逆引き作成用!AW$2:AW$169,FALSE),1),"")</f>
        <v/>
      </c>
      <c r="AX15" s="17" t="str">
        <f>IFERROR(INDEX(逆引き作成用!$C$2:$C$169,MATCH($B15&amp;"/"&amp;$C15,逆引き作成用!AX$2:AX$169,FALSE),1),"")</f>
        <v/>
      </c>
      <c r="AY15" s="17" t="str">
        <f>IFERROR(INDEX(逆引き作成用!$C$2:$C$169,MATCH($B15&amp;"/"&amp;$C15,逆引き作成用!AY$2:AY$169,FALSE),1),"")</f>
        <v/>
      </c>
      <c r="AZ15" s="17" t="str">
        <f>IFERROR(INDEX(逆引き作成用!$C$2:$C$169,MATCH($B15&amp;"/"&amp;$C15,逆引き作成用!AZ$2:AZ$169,FALSE),1),"")</f>
        <v/>
      </c>
      <c r="BA15" s="17" t="str">
        <f>IFERROR(INDEX(逆引き作成用!$C$2:$C$169,MATCH($B15&amp;"/"&amp;$C15,逆引き作成用!BA$2:BA$169,FALSE),1),"")</f>
        <v/>
      </c>
    </row>
    <row r="16" spans="1:53">
      <c r="A16" s="17" t="str">
        <f>IFERROR(INDEX(役職一覧!$B$2:$B$31,MATCH(B16,役職一覧!$C$2:$C$31,FALSE),1),"")</f>
        <v>E</v>
      </c>
      <c r="B16" s="17" t="str">
        <f>IFERROR(IF(C16=1,INDEX(役職一覧!$C$2:$C$31,MATCH(逆引き!B15,役職一覧!$C$2:$C$31,FALSE)+1,1)&amp;"",B15),"")</f>
        <v>お</v>
      </c>
      <c r="C16" s="17">
        <f>IFERROR(IF(VLOOKUP(B15,役職一覧!$C$2:$E$31,3,FALSE)=C15,1,C15+1),"")</f>
        <v>5</v>
      </c>
      <c r="D16" s="17" t="str">
        <f>IFERROR(INDEX(逆引き作成用!$C$2:$C$169,MATCH($B16&amp;"/"&amp;$C16,逆引き作成用!D$2:D$169,FALSE),1),"")</f>
        <v/>
      </c>
      <c r="E16" s="17" t="str">
        <f>IFERROR(INDEX(逆引き作成用!$C$2:$C$169,MATCH($B16&amp;"/"&amp;$C16,逆引き作成用!E$2:E$169,FALSE),1),"")</f>
        <v/>
      </c>
      <c r="F16" s="17" t="str">
        <f>IFERROR(INDEX(逆引き作成用!$C$2:$C$169,MATCH($B16&amp;"/"&amp;$C16,逆引き作成用!F$2:F$169,FALSE),1),"")</f>
        <v/>
      </c>
      <c r="G16" s="17" t="str">
        <f>IFERROR(INDEX(逆引き作成用!$C$2:$C$169,MATCH($B16&amp;"/"&amp;$C16,逆引き作成用!G$2:G$169,FALSE),1),"")</f>
        <v/>
      </c>
      <c r="H16" s="17" t="str">
        <f>IFERROR(INDEX(逆引き作成用!$C$2:$C$169,MATCH($B16&amp;"/"&amp;$C16,逆引き作成用!H$2:H$169,FALSE),1),"")</f>
        <v/>
      </c>
      <c r="I16" s="17" t="str">
        <f>IFERROR(INDEX(逆引き作成用!$C$2:$C$169,MATCH($B16&amp;"/"&amp;$C16,逆引き作成用!I$2:I$169,FALSE),1),"")</f>
        <v/>
      </c>
      <c r="J16" s="17" t="str">
        <f>IFERROR(INDEX(逆引き作成用!$C$2:$C$169,MATCH($B16&amp;"/"&amp;$C16,逆引き作成用!J$2:J$169,FALSE),1),"")</f>
        <v/>
      </c>
      <c r="K16" s="17" t="str">
        <f>IFERROR(INDEX(逆引き作成用!$C$2:$C$169,MATCH($B16&amp;"/"&amp;$C16,逆引き作成用!K$2:K$169,FALSE),1),"")</f>
        <v/>
      </c>
      <c r="L16" s="17" t="str">
        <f>IFERROR(INDEX(逆引き作成用!$C$2:$C$169,MATCH($B16&amp;"/"&amp;$C16,逆引き作成用!L$2:L$169,FALSE),1),"")</f>
        <v/>
      </c>
      <c r="M16" s="17" t="str">
        <f>IFERROR(INDEX(逆引き作成用!$C$2:$C$169,MATCH($B16&amp;"/"&amp;$C16,逆引き作成用!M$2:M$169,FALSE),1),"")</f>
        <v/>
      </c>
      <c r="N16" s="17" t="str">
        <f>IFERROR(INDEX(逆引き作成用!$C$2:$C$169,MATCH($B16&amp;"/"&amp;$C16,逆引き作成用!N$2:N$169,FALSE),1),"")</f>
        <v/>
      </c>
      <c r="O16" s="17" t="str">
        <f>IFERROR(INDEX(逆引き作成用!$C$2:$C$169,MATCH($B16&amp;"/"&amp;$C16,逆引き作成用!O$2:O$169,FALSE),1),"")</f>
        <v/>
      </c>
      <c r="P16" s="17" t="str">
        <f>IFERROR(INDEX(逆引き作成用!$C$2:$C$169,MATCH($B16&amp;"/"&amp;$C16,逆引き作成用!P$2:P$169,FALSE),1),"")</f>
        <v/>
      </c>
      <c r="Q16" s="17" t="str">
        <f>IFERROR(INDEX(逆引き作成用!$C$2:$C$169,MATCH($B16&amp;"/"&amp;$C16,逆引き作成用!Q$2:Q$169,FALSE),1),"")</f>
        <v/>
      </c>
      <c r="R16" s="17" t="str">
        <f>IFERROR(INDEX(逆引き作成用!$C$2:$C$169,MATCH($B16&amp;"/"&amp;$C16,逆引き作成用!R$2:R$169,FALSE),1),"")</f>
        <v/>
      </c>
      <c r="S16" s="17" t="str">
        <f>IFERROR(INDEX(逆引き作成用!$C$2:$C$169,MATCH($B16&amp;"/"&amp;$C16,逆引き作成用!S$2:S$169,FALSE),1),"")</f>
        <v/>
      </c>
      <c r="T16" s="17" t="str">
        <f>IFERROR(INDEX(逆引き作成用!$C$2:$C$169,MATCH($B16&amp;"/"&amp;$C16,逆引き作成用!T$2:T$169,FALSE),1),"")</f>
        <v/>
      </c>
      <c r="U16" s="17" t="str">
        <f>IFERROR(INDEX(逆引き作成用!$C$2:$C$169,MATCH($B16&amp;"/"&amp;$C16,逆引き作成用!U$2:U$169,FALSE),1),"")</f>
        <v/>
      </c>
      <c r="V16" s="17" t="str">
        <f>IFERROR(INDEX(逆引き作成用!$C$2:$C$169,MATCH($B16&amp;"/"&amp;$C16,逆引き作成用!V$2:V$169,FALSE),1),"")</f>
        <v/>
      </c>
      <c r="W16" s="17" t="str">
        <f>IFERROR(INDEX(逆引き作成用!$C$2:$C$169,MATCH($B16&amp;"/"&amp;$C16,逆引き作成用!W$2:W$169,FALSE),1),"")</f>
        <v/>
      </c>
      <c r="X16" s="17" t="str">
        <f>IFERROR(INDEX(逆引き作成用!$C$2:$C$169,MATCH($B16&amp;"/"&amp;$C16,逆引き作成用!X$2:X$169,FALSE),1),"")</f>
        <v/>
      </c>
      <c r="Y16" s="17" t="str">
        <f>IFERROR(INDEX(逆引き作成用!$C$2:$C$169,MATCH($B16&amp;"/"&amp;$C16,逆引き作成用!Y$2:Y$169,FALSE),1),"")</f>
        <v/>
      </c>
      <c r="Z16" s="17" t="str">
        <f>IFERROR(INDEX(逆引き作成用!$C$2:$C$169,MATCH($B16&amp;"/"&amp;$C16,逆引き作成用!Z$2:Z$169,FALSE),1),"")</f>
        <v/>
      </c>
      <c r="AA16" s="17" t="str">
        <f>IFERROR(INDEX(逆引き作成用!$C$2:$C$169,MATCH($B16&amp;"/"&amp;$C16,逆引き作成用!AA$2:AA$169,FALSE),1),"")</f>
        <v/>
      </c>
      <c r="AB16" s="17" t="str">
        <f>IFERROR(INDEX(逆引き作成用!$C$2:$C$169,MATCH($B16&amp;"/"&amp;$C16,逆引き作成用!AB$2:AB$169,FALSE),1),"")</f>
        <v/>
      </c>
      <c r="AC16" s="17" t="str">
        <f>IFERROR(INDEX(逆引き作成用!$C$2:$C$169,MATCH($B16&amp;"/"&amp;$C16,逆引き作成用!AC$2:AC$169,FALSE),1),"")</f>
        <v/>
      </c>
      <c r="AD16" s="17" t="str">
        <f>IFERROR(INDEX(逆引き作成用!$C$2:$C$169,MATCH($B16&amp;"/"&amp;$C16,逆引き作成用!AD$2:AD$169,FALSE),1),"")</f>
        <v/>
      </c>
      <c r="AE16" s="17" t="str">
        <f>IFERROR(INDEX(逆引き作成用!$C$2:$C$169,MATCH($B16&amp;"/"&amp;$C16,逆引き作成用!AE$2:AE$169,FALSE),1),"")</f>
        <v/>
      </c>
      <c r="AF16" s="17" t="str">
        <f>IFERROR(INDEX(逆引き作成用!$C$2:$C$169,MATCH($B16&amp;"/"&amp;$C16,逆引き作成用!AF$2:AF$169,FALSE),1),"")</f>
        <v/>
      </c>
      <c r="AG16" s="17" t="str">
        <f>IFERROR(INDEX(逆引き作成用!$C$2:$C$169,MATCH($B16&amp;"/"&amp;$C16,逆引き作成用!AG$2:AG$169,FALSE),1),"")</f>
        <v/>
      </c>
      <c r="AH16" s="17" t="str">
        <f>IFERROR(INDEX(逆引き作成用!$C$2:$C$169,MATCH($B16&amp;"/"&amp;$C16,逆引き作成用!AH$2:AH$169,FALSE),1),"")</f>
        <v/>
      </c>
      <c r="AI16" s="17" t="str">
        <f>IFERROR(INDEX(逆引き作成用!$C$2:$C$169,MATCH($B16&amp;"/"&amp;$C16,逆引き作成用!AI$2:AI$169,FALSE),1),"")</f>
        <v/>
      </c>
      <c r="AJ16" s="17" t="str">
        <f>IFERROR(INDEX(逆引き作成用!$C$2:$C$169,MATCH($B16&amp;"/"&amp;$C16,逆引き作成用!AJ$2:AJ$169,FALSE),1),"")</f>
        <v/>
      </c>
      <c r="AK16" s="17" t="str">
        <f>IFERROR(INDEX(逆引き作成用!$C$2:$C$169,MATCH($B16&amp;"/"&amp;$C16,逆引き作成用!AK$2:AK$169,FALSE),1),"")</f>
        <v/>
      </c>
      <c r="AL16" s="17" t="str">
        <f>IFERROR(INDEX(逆引き作成用!$C$2:$C$169,MATCH($B16&amp;"/"&amp;$C16,逆引き作成用!AL$2:AL$169,FALSE),1),"")</f>
        <v/>
      </c>
      <c r="AM16" s="17" t="str">
        <f>IFERROR(INDEX(逆引き作成用!$C$2:$C$169,MATCH($B16&amp;"/"&amp;$C16,逆引き作成用!AM$2:AM$169,FALSE),1),"")</f>
        <v/>
      </c>
      <c r="AN16" s="17" t="str">
        <f>IFERROR(INDEX(逆引き作成用!$C$2:$C$169,MATCH($B16&amp;"/"&amp;$C16,逆引き作成用!AN$2:AN$169,FALSE),1),"")</f>
        <v/>
      </c>
      <c r="AO16" s="17" t="str">
        <f>IFERROR(INDEX(逆引き作成用!$C$2:$C$169,MATCH($B16&amp;"/"&amp;$C16,逆引き作成用!AO$2:AO$169,FALSE),1),"")</f>
        <v/>
      </c>
      <c r="AP16" s="17" t="str">
        <f>IFERROR(INDEX(逆引き作成用!$C$2:$C$169,MATCH($B16&amp;"/"&amp;$C16,逆引き作成用!AP$2:AP$169,FALSE),1),"")</f>
        <v/>
      </c>
      <c r="AQ16" s="17" t="str">
        <f>IFERROR(INDEX(逆引き作成用!$C$2:$C$169,MATCH($B16&amp;"/"&amp;$C16,逆引き作成用!AQ$2:AQ$169,FALSE),1),"")</f>
        <v/>
      </c>
      <c r="AR16" s="17" t="str">
        <f>IFERROR(INDEX(逆引き作成用!$C$2:$C$169,MATCH($B16&amp;"/"&amp;$C16,逆引き作成用!AR$2:AR$169,FALSE),1),"")</f>
        <v/>
      </c>
      <c r="AS16" s="17" t="str">
        <f>IFERROR(INDEX(逆引き作成用!$C$2:$C$169,MATCH($B16&amp;"/"&amp;$C16,逆引き作成用!AS$2:AS$169,FALSE),1),"")</f>
        <v/>
      </c>
      <c r="AT16" s="17" t="str">
        <f>IFERROR(INDEX(逆引き作成用!$C$2:$C$169,MATCH($B16&amp;"/"&amp;$C16,逆引き作成用!AT$2:AT$169,FALSE),1),"")</f>
        <v/>
      </c>
      <c r="AU16" s="17" t="str">
        <f>IFERROR(INDEX(逆引き作成用!$C$2:$C$169,MATCH($B16&amp;"/"&amp;$C16,逆引き作成用!AU$2:AU$169,FALSE),1),"")</f>
        <v/>
      </c>
      <c r="AV16" s="17" t="str">
        <f>IFERROR(INDEX(逆引き作成用!$C$2:$C$169,MATCH($B16&amp;"/"&amp;$C16,逆引き作成用!AV$2:AV$169,FALSE),1),"")</f>
        <v/>
      </c>
      <c r="AW16" s="17" t="str">
        <f>IFERROR(INDEX(逆引き作成用!$C$2:$C$169,MATCH($B16&amp;"/"&amp;$C16,逆引き作成用!AW$2:AW$169,FALSE),1),"")</f>
        <v/>
      </c>
      <c r="AX16" s="17" t="str">
        <f>IFERROR(INDEX(逆引き作成用!$C$2:$C$169,MATCH($B16&amp;"/"&amp;$C16,逆引き作成用!AX$2:AX$169,FALSE),1),"")</f>
        <v/>
      </c>
      <c r="AY16" s="17" t="str">
        <f>IFERROR(INDEX(逆引き作成用!$C$2:$C$169,MATCH($B16&amp;"/"&amp;$C16,逆引き作成用!AY$2:AY$169,FALSE),1),"")</f>
        <v/>
      </c>
      <c r="AZ16" s="17" t="str">
        <f>IFERROR(INDEX(逆引き作成用!$C$2:$C$169,MATCH($B16&amp;"/"&amp;$C16,逆引き作成用!AZ$2:AZ$169,FALSE),1),"")</f>
        <v/>
      </c>
      <c r="BA16" s="17" t="str">
        <f>IFERROR(INDEX(逆引き作成用!$C$2:$C$169,MATCH($B16&amp;"/"&amp;$C16,逆引き作成用!BA$2:BA$169,FALSE),1),"")</f>
        <v/>
      </c>
    </row>
    <row r="17" spans="1:53">
      <c r="A17" s="17" t="str">
        <f>IFERROR(INDEX(役職一覧!$B$2:$B$31,MATCH(B17,役職一覧!$C$2:$C$31,FALSE),1),"")</f>
        <v>E</v>
      </c>
      <c r="B17" s="17" t="str">
        <f>IFERROR(IF(C17=1,INDEX(役職一覧!$C$2:$C$31,MATCH(逆引き!B16,役職一覧!$C$2:$C$31,FALSE)+1,1)&amp;"",B16),"")</f>
        <v>お</v>
      </c>
      <c r="C17" s="17">
        <f>IFERROR(IF(VLOOKUP(B16,役職一覧!$C$2:$E$31,3,FALSE)=C16,1,C16+1),"")</f>
        <v>6</v>
      </c>
      <c r="D17" s="17" t="str">
        <f>IFERROR(INDEX(逆引き作成用!$C$2:$C$169,MATCH($B17&amp;"/"&amp;$C17,逆引き作成用!D$2:D$169,FALSE),1),"")</f>
        <v/>
      </c>
      <c r="E17" s="17" t="str">
        <f>IFERROR(INDEX(逆引き作成用!$C$2:$C$169,MATCH($B17&amp;"/"&amp;$C17,逆引き作成用!E$2:E$169,FALSE),1),"")</f>
        <v/>
      </c>
      <c r="F17" s="17" t="str">
        <f>IFERROR(INDEX(逆引き作成用!$C$2:$C$169,MATCH($B17&amp;"/"&amp;$C17,逆引き作成用!F$2:F$169,FALSE),1),"")</f>
        <v/>
      </c>
      <c r="G17" s="17" t="str">
        <f>IFERROR(INDEX(逆引き作成用!$C$2:$C$169,MATCH($B17&amp;"/"&amp;$C17,逆引き作成用!G$2:G$169,FALSE),1),"")</f>
        <v/>
      </c>
      <c r="H17" s="17" t="str">
        <f>IFERROR(INDEX(逆引き作成用!$C$2:$C$169,MATCH($B17&amp;"/"&amp;$C17,逆引き作成用!H$2:H$169,FALSE),1),"")</f>
        <v/>
      </c>
      <c r="I17" s="17" t="str">
        <f>IFERROR(INDEX(逆引き作成用!$C$2:$C$169,MATCH($B17&amp;"/"&amp;$C17,逆引き作成用!I$2:I$169,FALSE),1),"")</f>
        <v/>
      </c>
      <c r="J17" s="17" t="str">
        <f>IFERROR(INDEX(逆引き作成用!$C$2:$C$169,MATCH($B17&amp;"/"&amp;$C17,逆引き作成用!J$2:J$169,FALSE),1),"")</f>
        <v/>
      </c>
      <c r="K17" s="17" t="str">
        <f>IFERROR(INDEX(逆引き作成用!$C$2:$C$169,MATCH($B17&amp;"/"&amp;$C17,逆引き作成用!K$2:K$169,FALSE),1),"")</f>
        <v/>
      </c>
      <c r="L17" s="17" t="str">
        <f>IFERROR(INDEX(逆引き作成用!$C$2:$C$169,MATCH($B17&amp;"/"&amp;$C17,逆引き作成用!L$2:L$169,FALSE),1),"")</f>
        <v/>
      </c>
      <c r="M17" s="17" t="str">
        <f>IFERROR(INDEX(逆引き作成用!$C$2:$C$169,MATCH($B17&amp;"/"&amp;$C17,逆引き作成用!M$2:M$169,FALSE),1),"")</f>
        <v/>
      </c>
      <c r="N17" s="17" t="str">
        <f>IFERROR(INDEX(逆引き作成用!$C$2:$C$169,MATCH($B17&amp;"/"&amp;$C17,逆引き作成用!N$2:N$169,FALSE),1),"")</f>
        <v/>
      </c>
      <c r="O17" s="17" t="str">
        <f>IFERROR(INDEX(逆引き作成用!$C$2:$C$169,MATCH($B17&amp;"/"&amp;$C17,逆引き作成用!O$2:O$169,FALSE),1),"")</f>
        <v/>
      </c>
      <c r="P17" s="17" t="str">
        <f>IFERROR(INDEX(逆引き作成用!$C$2:$C$169,MATCH($B17&amp;"/"&amp;$C17,逆引き作成用!P$2:P$169,FALSE),1),"")</f>
        <v/>
      </c>
      <c r="Q17" s="17" t="str">
        <f>IFERROR(INDEX(逆引き作成用!$C$2:$C$169,MATCH($B17&amp;"/"&amp;$C17,逆引き作成用!Q$2:Q$169,FALSE),1),"")</f>
        <v/>
      </c>
      <c r="R17" s="17" t="str">
        <f>IFERROR(INDEX(逆引き作成用!$C$2:$C$169,MATCH($B17&amp;"/"&amp;$C17,逆引き作成用!R$2:R$169,FALSE),1),"")</f>
        <v/>
      </c>
      <c r="S17" s="17" t="str">
        <f>IFERROR(INDEX(逆引き作成用!$C$2:$C$169,MATCH($B17&amp;"/"&amp;$C17,逆引き作成用!S$2:S$169,FALSE),1),"")</f>
        <v/>
      </c>
      <c r="T17" s="17" t="str">
        <f>IFERROR(INDEX(逆引き作成用!$C$2:$C$169,MATCH($B17&amp;"/"&amp;$C17,逆引き作成用!T$2:T$169,FALSE),1),"")</f>
        <v/>
      </c>
      <c r="U17" s="17" t="str">
        <f>IFERROR(INDEX(逆引き作成用!$C$2:$C$169,MATCH($B17&amp;"/"&amp;$C17,逆引き作成用!U$2:U$169,FALSE),1),"")</f>
        <v/>
      </c>
      <c r="V17" s="17" t="str">
        <f>IFERROR(INDEX(逆引き作成用!$C$2:$C$169,MATCH($B17&amp;"/"&amp;$C17,逆引き作成用!V$2:V$169,FALSE),1),"")</f>
        <v/>
      </c>
      <c r="W17" s="17" t="str">
        <f>IFERROR(INDEX(逆引き作成用!$C$2:$C$169,MATCH($B17&amp;"/"&amp;$C17,逆引き作成用!W$2:W$169,FALSE),1),"")</f>
        <v/>
      </c>
      <c r="X17" s="17" t="str">
        <f>IFERROR(INDEX(逆引き作成用!$C$2:$C$169,MATCH($B17&amp;"/"&amp;$C17,逆引き作成用!X$2:X$169,FALSE),1),"")</f>
        <v/>
      </c>
      <c r="Y17" s="17" t="str">
        <f>IFERROR(INDEX(逆引き作成用!$C$2:$C$169,MATCH($B17&amp;"/"&amp;$C17,逆引き作成用!Y$2:Y$169,FALSE),1),"")</f>
        <v/>
      </c>
      <c r="Z17" s="17" t="str">
        <f>IFERROR(INDEX(逆引き作成用!$C$2:$C$169,MATCH($B17&amp;"/"&amp;$C17,逆引き作成用!Z$2:Z$169,FALSE),1),"")</f>
        <v/>
      </c>
      <c r="AA17" s="17" t="str">
        <f>IFERROR(INDEX(逆引き作成用!$C$2:$C$169,MATCH($B17&amp;"/"&amp;$C17,逆引き作成用!AA$2:AA$169,FALSE),1),"")</f>
        <v/>
      </c>
      <c r="AB17" s="17" t="str">
        <f>IFERROR(INDEX(逆引き作成用!$C$2:$C$169,MATCH($B17&amp;"/"&amp;$C17,逆引き作成用!AB$2:AB$169,FALSE),1),"")</f>
        <v/>
      </c>
      <c r="AC17" s="17" t="str">
        <f>IFERROR(INDEX(逆引き作成用!$C$2:$C$169,MATCH($B17&amp;"/"&amp;$C17,逆引き作成用!AC$2:AC$169,FALSE),1),"")</f>
        <v/>
      </c>
      <c r="AD17" s="17" t="str">
        <f>IFERROR(INDEX(逆引き作成用!$C$2:$C$169,MATCH($B17&amp;"/"&amp;$C17,逆引き作成用!AD$2:AD$169,FALSE),1),"")</f>
        <v/>
      </c>
      <c r="AE17" s="17" t="str">
        <f>IFERROR(INDEX(逆引き作成用!$C$2:$C$169,MATCH($B17&amp;"/"&amp;$C17,逆引き作成用!AE$2:AE$169,FALSE),1),"")</f>
        <v/>
      </c>
      <c r="AF17" s="17" t="str">
        <f>IFERROR(INDEX(逆引き作成用!$C$2:$C$169,MATCH($B17&amp;"/"&amp;$C17,逆引き作成用!AF$2:AF$169,FALSE),1),"")</f>
        <v/>
      </c>
      <c r="AG17" s="17" t="str">
        <f>IFERROR(INDEX(逆引き作成用!$C$2:$C$169,MATCH($B17&amp;"/"&amp;$C17,逆引き作成用!AG$2:AG$169,FALSE),1),"")</f>
        <v/>
      </c>
      <c r="AH17" s="17" t="str">
        <f>IFERROR(INDEX(逆引き作成用!$C$2:$C$169,MATCH($B17&amp;"/"&amp;$C17,逆引き作成用!AH$2:AH$169,FALSE),1),"")</f>
        <v/>
      </c>
      <c r="AI17" s="17" t="str">
        <f>IFERROR(INDEX(逆引き作成用!$C$2:$C$169,MATCH($B17&amp;"/"&amp;$C17,逆引き作成用!AI$2:AI$169,FALSE),1),"")</f>
        <v/>
      </c>
      <c r="AJ17" s="17" t="str">
        <f>IFERROR(INDEX(逆引き作成用!$C$2:$C$169,MATCH($B17&amp;"/"&amp;$C17,逆引き作成用!AJ$2:AJ$169,FALSE),1),"")</f>
        <v/>
      </c>
      <c r="AK17" s="17" t="str">
        <f>IFERROR(INDEX(逆引き作成用!$C$2:$C$169,MATCH($B17&amp;"/"&amp;$C17,逆引き作成用!AK$2:AK$169,FALSE),1),"")</f>
        <v/>
      </c>
      <c r="AL17" s="17" t="str">
        <f>IFERROR(INDEX(逆引き作成用!$C$2:$C$169,MATCH($B17&amp;"/"&amp;$C17,逆引き作成用!AL$2:AL$169,FALSE),1),"")</f>
        <v/>
      </c>
      <c r="AM17" s="17" t="str">
        <f>IFERROR(INDEX(逆引き作成用!$C$2:$C$169,MATCH($B17&amp;"/"&amp;$C17,逆引き作成用!AM$2:AM$169,FALSE),1),"")</f>
        <v/>
      </c>
      <c r="AN17" s="17" t="str">
        <f>IFERROR(INDEX(逆引き作成用!$C$2:$C$169,MATCH($B17&amp;"/"&amp;$C17,逆引き作成用!AN$2:AN$169,FALSE),1),"")</f>
        <v/>
      </c>
      <c r="AO17" s="17" t="str">
        <f>IFERROR(INDEX(逆引き作成用!$C$2:$C$169,MATCH($B17&amp;"/"&amp;$C17,逆引き作成用!AO$2:AO$169,FALSE),1),"")</f>
        <v/>
      </c>
      <c r="AP17" s="17" t="str">
        <f>IFERROR(INDEX(逆引き作成用!$C$2:$C$169,MATCH($B17&amp;"/"&amp;$C17,逆引き作成用!AP$2:AP$169,FALSE),1),"")</f>
        <v/>
      </c>
      <c r="AQ17" s="17" t="str">
        <f>IFERROR(INDEX(逆引き作成用!$C$2:$C$169,MATCH($B17&amp;"/"&amp;$C17,逆引き作成用!AQ$2:AQ$169,FALSE),1),"")</f>
        <v/>
      </c>
      <c r="AR17" s="17" t="str">
        <f>IFERROR(INDEX(逆引き作成用!$C$2:$C$169,MATCH($B17&amp;"/"&amp;$C17,逆引き作成用!AR$2:AR$169,FALSE),1),"")</f>
        <v/>
      </c>
      <c r="AS17" s="17" t="str">
        <f>IFERROR(INDEX(逆引き作成用!$C$2:$C$169,MATCH($B17&amp;"/"&amp;$C17,逆引き作成用!AS$2:AS$169,FALSE),1),"")</f>
        <v/>
      </c>
      <c r="AT17" s="17" t="str">
        <f>IFERROR(INDEX(逆引き作成用!$C$2:$C$169,MATCH($B17&amp;"/"&amp;$C17,逆引き作成用!AT$2:AT$169,FALSE),1),"")</f>
        <v/>
      </c>
      <c r="AU17" s="17" t="str">
        <f>IFERROR(INDEX(逆引き作成用!$C$2:$C$169,MATCH($B17&amp;"/"&amp;$C17,逆引き作成用!AU$2:AU$169,FALSE),1),"")</f>
        <v/>
      </c>
      <c r="AV17" s="17" t="str">
        <f>IFERROR(INDEX(逆引き作成用!$C$2:$C$169,MATCH($B17&amp;"/"&amp;$C17,逆引き作成用!AV$2:AV$169,FALSE),1),"")</f>
        <v/>
      </c>
      <c r="AW17" s="17" t="str">
        <f>IFERROR(INDEX(逆引き作成用!$C$2:$C$169,MATCH($B17&amp;"/"&amp;$C17,逆引き作成用!AW$2:AW$169,FALSE),1),"")</f>
        <v/>
      </c>
      <c r="AX17" s="17" t="str">
        <f>IFERROR(INDEX(逆引き作成用!$C$2:$C$169,MATCH($B17&amp;"/"&amp;$C17,逆引き作成用!AX$2:AX$169,FALSE),1),"")</f>
        <v/>
      </c>
      <c r="AY17" s="17" t="str">
        <f>IFERROR(INDEX(逆引き作成用!$C$2:$C$169,MATCH($B17&amp;"/"&amp;$C17,逆引き作成用!AY$2:AY$169,FALSE),1),"")</f>
        <v/>
      </c>
      <c r="AZ17" s="17" t="str">
        <f>IFERROR(INDEX(逆引き作成用!$C$2:$C$169,MATCH($B17&amp;"/"&amp;$C17,逆引き作成用!AZ$2:AZ$169,FALSE),1),"")</f>
        <v/>
      </c>
      <c r="BA17" s="17" t="str">
        <f>IFERROR(INDEX(逆引き作成用!$C$2:$C$169,MATCH($B17&amp;"/"&amp;$C17,逆引き作成用!BA$2:BA$169,FALSE),1),"")</f>
        <v/>
      </c>
    </row>
    <row r="18" spans="1:53">
      <c r="A18" s="17" t="str">
        <f>IFERROR(INDEX(役職一覧!$B$2:$B$31,MATCH(B18,役職一覧!$C$2:$C$31,FALSE),1),"")</f>
        <v>F</v>
      </c>
      <c r="B18" s="17" t="str">
        <f>IFERROR(IF(C18=1,INDEX(役職一覧!$C$2:$C$31,MATCH(逆引き!B17,役職一覧!$C$2:$C$31,FALSE)+1,1)&amp;"",B17),"")</f>
        <v>ka</v>
      </c>
      <c r="C18" s="17">
        <f>IFERROR(IF(VLOOKUP(B17,役職一覧!$C$2:$E$31,3,FALSE)=C17,1,C17+1),"")</f>
        <v>1</v>
      </c>
      <c r="D18" s="17" t="str">
        <f>IFERROR(INDEX(逆引き作成用!$C$2:$C$169,MATCH($B18&amp;"/"&amp;$C18,逆引き作成用!D$2:D$169,FALSE),1),"")</f>
        <v/>
      </c>
      <c r="E18" s="17" t="str">
        <f>IFERROR(INDEX(逆引き作成用!$C$2:$C$169,MATCH($B18&amp;"/"&amp;$C18,逆引き作成用!E$2:E$169,FALSE),1),"")</f>
        <v/>
      </c>
      <c r="F18" s="17" t="str">
        <f>IFERROR(INDEX(逆引き作成用!$C$2:$C$169,MATCH($B18&amp;"/"&amp;$C18,逆引き作成用!F$2:F$169,FALSE),1),"")</f>
        <v/>
      </c>
      <c r="G18" s="17" t="str">
        <f>IFERROR(INDEX(逆引き作成用!$C$2:$C$169,MATCH($B18&amp;"/"&amp;$C18,逆引き作成用!G$2:G$169,FALSE),1),"")</f>
        <v/>
      </c>
      <c r="H18" s="17" t="str">
        <f>IFERROR(INDEX(逆引き作成用!$C$2:$C$169,MATCH($B18&amp;"/"&amp;$C18,逆引き作成用!H$2:H$169,FALSE),1),"")</f>
        <v/>
      </c>
      <c r="I18" s="17" t="str">
        <f>IFERROR(INDEX(逆引き作成用!$C$2:$C$169,MATCH($B18&amp;"/"&amp;$C18,逆引き作成用!I$2:I$169,FALSE),1),"")</f>
        <v/>
      </c>
      <c r="J18" s="17" t="str">
        <f>IFERROR(INDEX(逆引き作成用!$C$2:$C$169,MATCH($B18&amp;"/"&amp;$C18,逆引き作成用!J$2:J$169,FALSE),1),"")</f>
        <v/>
      </c>
      <c r="K18" s="17" t="str">
        <f>IFERROR(INDEX(逆引き作成用!$C$2:$C$169,MATCH($B18&amp;"/"&amp;$C18,逆引き作成用!K$2:K$169,FALSE),1),"")</f>
        <v/>
      </c>
      <c r="L18" s="17" t="str">
        <f>IFERROR(INDEX(逆引き作成用!$C$2:$C$169,MATCH($B18&amp;"/"&amp;$C18,逆引き作成用!L$2:L$169,FALSE),1),"")</f>
        <v/>
      </c>
      <c r="M18" s="17" t="str">
        <f>IFERROR(INDEX(逆引き作成用!$C$2:$C$169,MATCH($B18&amp;"/"&amp;$C18,逆引き作成用!M$2:M$169,FALSE),1),"")</f>
        <v/>
      </c>
      <c r="N18" s="17" t="str">
        <f>IFERROR(INDEX(逆引き作成用!$C$2:$C$169,MATCH($B18&amp;"/"&amp;$C18,逆引き作成用!N$2:N$169,FALSE),1),"")</f>
        <v/>
      </c>
      <c r="O18" s="17" t="str">
        <f>IFERROR(INDEX(逆引き作成用!$C$2:$C$169,MATCH($B18&amp;"/"&amp;$C18,逆引き作成用!O$2:O$169,FALSE),1),"")</f>
        <v/>
      </c>
      <c r="P18" s="17" t="str">
        <f>IFERROR(INDEX(逆引き作成用!$C$2:$C$169,MATCH($B18&amp;"/"&amp;$C18,逆引き作成用!P$2:P$169,FALSE),1),"")</f>
        <v/>
      </c>
      <c r="Q18" s="17" t="str">
        <f>IFERROR(INDEX(逆引き作成用!$C$2:$C$169,MATCH($B18&amp;"/"&amp;$C18,逆引き作成用!Q$2:Q$169,FALSE),1),"")</f>
        <v/>
      </c>
      <c r="R18" s="17" t="str">
        <f>IFERROR(INDEX(逆引き作成用!$C$2:$C$169,MATCH($B18&amp;"/"&amp;$C18,逆引き作成用!R$2:R$169,FALSE),1),"")</f>
        <v/>
      </c>
      <c r="S18" s="17" t="str">
        <f>IFERROR(INDEX(逆引き作成用!$C$2:$C$169,MATCH($B18&amp;"/"&amp;$C18,逆引き作成用!S$2:S$169,FALSE),1),"")</f>
        <v/>
      </c>
      <c r="T18" s="17" t="str">
        <f>IFERROR(INDEX(逆引き作成用!$C$2:$C$169,MATCH($B18&amp;"/"&amp;$C18,逆引き作成用!T$2:T$169,FALSE),1),"")</f>
        <v/>
      </c>
      <c r="U18" s="17" t="str">
        <f>IFERROR(INDEX(逆引き作成用!$C$2:$C$169,MATCH($B18&amp;"/"&amp;$C18,逆引き作成用!U$2:U$169,FALSE),1),"")</f>
        <v/>
      </c>
      <c r="V18" s="17" t="str">
        <f>IFERROR(INDEX(逆引き作成用!$C$2:$C$169,MATCH($B18&amp;"/"&amp;$C18,逆引き作成用!V$2:V$169,FALSE),1),"")</f>
        <v/>
      </c>
      <c r="W18" s="17" t="str">
        <f>IFERROR(INDEX(逆引き作成用!$C$2:$C$169,MATCH($B18&amp;"/"&amp;$C18,逆引き作成用!W$2:W$169,FALSE),1),"")</f>
        <v/>
      </c>
      <c r="X18" s="17" t="str">
        <f>IFERROR(INDEX(逆引き作成用!$C$2:$C$169,MATCH($B18&amp;"/"&amp;$C18,逆引き作成用!X$2:X$169,FALSE),1),"")</f>
        <v/>
      </c>
      <c r="Y18" s="17" t="str">
        <f>IFERROR(INDEX(逆引き作成用!$C$2:$C$169,MATCH($B18&amp;"/"&amp;$C18,逆引き作成用!Y$2:Y$169,FALSE),1),"")</f>
        <v/>
      </c>
      <c r="Z18" s="17" t="str">
        <f>IFERROR(INDEX(逆引き作成用!$C$2:$C$169,MATCH($B18&amp;"/"&amp;$C18,逆引き作成用!Z$2:Z$169,FALSE),1),"")</f>
        <v/>
      </c>
      <c r="AA18" s="17" t="str">
        <f>IFERROR(INDEX(逆引き作成用!$C$2:$C$169,MATCH($B18&amp;"/"&amp;$C18,逆引き作成用!AA$2:AA$169,FALSE),1),"")</f>
        <v/>
      </c>
      <c r="AB18" s="17" t="str">
        <f>IFERROR(INDEX(逆引き作成用!$C$2:$C$169,MATCH($B18&amp;"/"&amp;$C18,逆引き作成用!AB$2:AB$169,FALSE),1),"")</f>
        <v/>
      </c>
      <c r="AC18" s="17" t="str">
        <f>IFERROR(INDEX(逆引き作成用!$C$2:$C$169,MATCH($B18&amp;"/"&amp;$C18,逆引き作成用!AC$2:AC$169,FALSE),1),"")</f>
        <v/>
      </c>
      <c r="AD18" s="17" t="str">
        <f>IFERROR(INDEX(逆引き作成用!$C$2:$C$169,MATCH($B18&amp;"/"&amp;$C18,逆引き作成用!AD$2:AD$169,FALSE),1),"")</f>
        <v/>
      </c>
      <c r="AE18" s="17" t="str">
        <f>IFERROR(INDEX(逆引き作成用!$C$2:$C$169,MATCH($B18&amp;"/"&amp;$C18,逆引き作成用!AE$2:AE$169,FALSE),1),"")</f>
        <v/>
      </c>
      <c r="AF18" s="17" t="str">
        <f>IFERROR(INDEX(逆引き作成用!$C$2:$C$169,MATCH($B18&amp;"/"&amp;$C18,逆引き作成用!AF$2:AF$169,FALSE),1),"")</f>
        <v/>
      </c>
      <c r="AG18" s="17" t="str">
        <f>IFERROR(INDEX(逆引き作成用!$C$2:$C$169,MATCH($B18&amp;"/"&amp;$C18,逆引き作成用!AG$2:AG$169,FALSE),1),"")</f>
        <v/>
      </c>
      <c r="AH18" s="17" t="str">
        <f>IFERROR(INDEX(逆引き作成用!$C$2:$C$169,MATCH($B18&amp;"/"&amp;$C18,逆引き作成用!AH$2:AH$169,FALSE),1),"")</f>
        <v/>
      </c>
      <c r="AI18" s="17" t="str">
        <f>IFERROR(INDEX(逆引き作成用!$C$2:$C$169,MATCH($B18&amp;"/"&amp;$C18,逆引き作成用!AI$2:AI$169,FALSE),1),"")</f>
        <v/>
      </c>
      <c r="AJ18" s="17" t="str">
        <f>IFERROR(INDEX(逆引き作成用!$C$2:$C$169,MATCH($B18&amp;"/"&amp;$C18,逆引き作成用!AJ$2:AJ$169,FALSE),1),"")</f>
        <v/>
      </c>
      <c r="AK18" s="17" t="str">
        <f>IFERROR(INDEX(逆引き作成用!$C$2:$C$169,MATCH($B18&amp;"/"&amp;$C18,逆引き作成用!AK$2:AK$169,FALSE),1),"")</f>
        <v/>
      </c>
      <c r="AL18" s="17" t="str">
        <f>IFERROR(INDEX(逆引き作成用!$C$2:$C$169,MATCH($B18&amp;"/"&amp;$C18,逆引き作成用!AL$2:AL$169,FALSE),1),"")</f>
        <v/>
      </c>
      <c r="AM18" s="17" t="str">
        <f>IFERROR(INDEX(逆引き作成用!$C$2:$C$169,MATCH($B18&amp;"/"&amp;$C18,逆引き作成用!AM$2:AM$169,FALSE),1),"")</f>
        <v/>
      </c>
      <c r="AN18" s="17" t="str">
        <f>IFERROR(INDEX(逆引き作成用!$C$2:$C$169,MATCH($B18&amp;"/"&amp;$C18,逆引き作成用!AN$2:AN$169,FALSE),1),"")</f>
        <v/>
      </c>
      <c r="AO18" s="17" t="str">
        <f>IFERROR(INDEX(逆引き作成用!$C$2:$C$169,MATCH($B18&amp;"/"&amp;$C18,逆引き作成用!AO$2:AO$169,FALSE),1),"")</f>
        <v/>
      </c>
      <c r="AP18" s="17" t="str">
        <f>IFERROR(INDEX(逆引き作成用!$C$2:$C$169,MATCH($B18&amp;"/"&amp;$C18,逆引き作成用!AP$2:AP$169,FALSE),1),"")</f>
        <v/>
      </c>
      <c r="AQ18" s="17" t="str">
        <f>IFERROR(INDEX(逆引き作成用!$C$2:$C$169,MATCH($B18&amp;"/"&amp;$C18,逆引き作成用!AQ$2:AQ$169,FALSE),1),"")</f>
        <v/>
      </c>
      <c r="AR18" s="17" t="str">
        <f>IFERROR(INDEX(逆引き作成用!$C$2:$C$169,MATCH($B18&amp;"/"&amp;$C18,逆引き作成用!AR$2:AR$169,FALSE),1),"")</f>
        <v/>
      </c>
      <c r="AS18" s="17" t="str">
        <f>IFERROR(INDEX(逆引き作成用!$C$2:$C$169,MATCH($B18&amp;"/"&amp;$C18,逆引き作成用!AS$2:AS$169,FALSE),1),"")</f>
        <v/>
      </c>
      <c r="AT18" s="17" t="str">
        <f>IFERROR(INDEX(逆引き作成用!$C$2:$C$169,MATCH($B18&amp;"/"&amp;$C18,逆引き作成用!AT$2:AT$169,FALSE),1),"")</f>
        <v/>
      </c>
      <c r="AU18" s="17" t="str">
        <f>IFERROR(INDEX(逆引き作成用!$C$2:$C$169,MATCH($B18&amp;"/"&amp;$C18,逆引き作成用!AU$2:AU$169,FALSE),1),"")</f>
        <v/>
      </c>
      <c r="AV18" s="17" t="str">
        <f>IFERROR(INDEX(逆引き作成用!$C$2:$C$169,MATCH($B18&amp;"/"&amp;$C18,逆引き作成用!AV$2:AV$169,FALSE),1),"")</f>
        <v/>
      </c>
      <c r="AW18" s="17" t="str">
        <f>IFERROR(INDEX(逆引き作成用!$C$2:$C$169,MATCH($B18&amp;"/"&amp;$C18,逆引き作成用!AW$2:AW$169,FALSE),1),"")</f>
        <v/>
      </c>
      <c r="AX18" s="17" t="str">
        <f>IFERROR(INDEX(逆引き作成用!$C$2:$C$169,MATCH($B18&amp;"/"&amp;$C18,逆引き作成用!AX$2:AX$169,FALSE),1),"")</f>
        <v/>
      </c>
      <c r="AY18" s="17" t="str">
        <f>IFERROR(INDEX(逆引き作成用!$C$2:$C$169,MATCH($B18&amp;"/"&amp;$C18,逆引き作成用!AY$2:AY$169,FALSE),1),"")</f>
        <v/>
      </c>
      <c r="AZ18" s="17" t="str">
        <f>IFERROR(INDEX(逆引き作成用!$C$2:$C$169,MATCH($B18&amp;"/"&amp;$C18,逆引き作成用!AZ$2:AZ$169,FALSE),1),"")</f>
        <v/>
      </c>
      <c r="BA18" s="17" t="str">
        <f>IFERROR(INDEX(逆引き作成用!$C$2:$C$169,MATCH($B18&amp;"/"&amp;$C18,逆引き作成用!BA$2:BA$169,FALSE),1),"")</f>
        <v/>
      </c>
    </row>
    <row r="19" spans="1:53">
      <c r="A19" s="17" t="str">
        <f>IFERROR(INDEX(役職一覧!$B$2:$B$31,MATCH(B19,役職一覧!$C$2:$C$31,FALSE),1),"")</f>
        <v/>
      </c>
      <c r="B19" s="17" t="str">
        <f>IFERROR(IF(C19=1,INDEX(役職一覧!$C$2:$C$31,MATCH(逆引き!B18,役職一覧!$C$2:$C$31,FALSE)+1,1)&amp;"",B18),"")</f>
        <v/>
      </c>
      <c r="C19" s="17">
        <f>IFERROR(IF(VLOOKUP(B18,役職一覧!$C$2:$E$31,3,FALSE)=C18,1,C18+1),"")</f>
        <v>1</v>
      </c>
      <c r="D19" s="17" t="str">
        <f>IFERROR(INDEX(逆引き作成用!$C$2:$C$169,MATCH($B19&amp;"/"&amp;$C19,逆引き作成用!D$2:D$169,FALSE),1),"")</f>
        <v/>
      </c>
      <c r="E19" s="17" t="str">
        <f>IFERROR(INDEX(逆引き作成用!$C$2:$C$169,MATCH($B19&amp;"/"&amp;$C19,逆引き作成用!E$2:E$169,FALSE),1),"")</f>
        <v/>
      </c>
      <c r="F19" s="17" t="str">
        <f>IFERROR(INDEX(逆引き作成用!$C$2:$C$169,MATCH($B19&amp;"/"&amp;$C19,逆引き作成用!F$2:F$169,FALSE),1),"")</f>
        <v/>
      </c>
      <c r="G19" s="17" t="str">
        <f>IFERROR(INDEX(逆引き作成用!$C$2:$C$169,MATCH($B19&amp;"/"&amp;$C19,逆引き作成用!G$2:G$169,FALSE),1),"")</f>
        <v/>
      </c>
      <c r="H19" s="17" t="str">
        <f>IFERROR(INDEX(逆引き作成用!$C$2:$C$169,MATCH($B19&amp;"/"&amp;$C19,逆引き作成用!H$2:H$169,FALSE),1),"")</f>
        <v/>
      </c>
      <c r="I19" s="17" t="str">
        <f>IFERROR(INDEX(逆引き作成用!$C$2:$C$169,MATCH($B19&amp;"/"&amp;$C19,逆引き作成用!I$2:I$169,FALSE),1),"")</f>
        <v/>
      </c>
      <c r="J19" s="17" t="str">
        <f>IFERROR(INDEX(逆引き作成用!$C$2:$C$169,MATCH($B19&amp;"/"&amp;$C19,逆引き作成用!J$2:J$169,FALSE),1),"")</f>
        <v/>
      </c>
      <c r="K19" s="17" t="str">
        <f>IFERROR(INDEX(逆引き作成用!$C$2:$C$169,MATCH($B19&amp;"/"&amp;$C19,逆引き作成用!K$2:K$169,FALSE),1),"")</f>
        <v/>
      </c>
      <c r="L19" s="17" t="str">
        <f>IFERROR(INDEX(逆引き作成用!$C$2:$C$169,MATCH($B19&amp;"/"&amp;$C19,逆引き作成用!L$2:L$169,FALSE),1),"")</f>
        <v/>
      </c>
      <c r="M19" s="17" t="str">
        <f>IFERROR(INDEX(逆引き作成用!$C$2:$C$169,MATCH($B19&amp;"/"&amp;$C19,逆引き作成用!M$2:M$169,FALSE),1),"")</f>
        <v/>
      </c>
      <c r="N19" s="17" t="str">
        <f>IFERROR(INDEX(逆引き作成用!$C$2:$C$169,MATCH($B19&amp;"/"&amp;$C19,逆引き作成用!N$2:N$169,FALSE),1),"")</f>
        <v/>
      </c>
      <c r="O19" s="17" t="str">
        <f>IFERROR(INDEX(逆引き作成用!$C$2:$C$169,MATCH($B19&amp;"/"&amp;$C19,逆引き作成用!O$2:O$169,FALSE),1),"")</f>
        <v/>
      </c>
      <c r="P19" s="17" t="str">
        <f>IFERROR(INDEX(逆引き作成用!$C$2:$C$169,MATCH($B19&amp;"/"&amp;$C19,逆引き作成用!P$2:P$169,FALSE),1),"")</f>
        <v/>
      </c>
      <c r="Q19" s="17" t="str">
        <f>IFERROR(INDEX(逆引き作成用!$C$2:$C$169,MATCH($B19&amp;"/"&amp;$C19,逆引き作成用!Q$2:Q$169,FALSE),1),"")</f>
        <v/>
      </c>
      <c r="R19" s="17" t="str">
        <f>IFERROR(INDEX(逆引き作成用!$C$2:$C$169,MATCH($B19&amp;"/"&amp;$C19,逆引き作成用!R$2:R$169,FALSE),1),"")</f>
        <v/>
      </c>
      <c r="S19" s="17" t="str">
        <f>IFERROR(INDEX(逆引き作成用!$C$2:$C$169,MATCH($B19&amp;"/"&amp;$C19,逆引き作成用!S$2:S$169,FALSE),1),"")</f>
        <v/>
      </c>
      <c r="T19" s="17" t="str">
        <f>IFERROR(INDEX(逆引き作成用!$C$2:$C$169,MATCH($B19&amp;"/"&amp;$C19,逆引き作成用!T$2:T$169,FALSE),1),"")</f>
        <v/>
      </c>
      <c r="U19" s="17" t="str">
        <f>IFERROR(INDEX(逆引き作成用!$C$2:$C$169,MATCH($B19&amp;"/"&amp;$C19,逆引き作成用!U$2:U$169,FALSE),1),"")</f>
        <v/>
      </c>
      <c r="V19" s="17" t="str">
        <f>IFERROR(INDEX(逆引き作成用!$C$2:$C$169,MATCH($B19&amp;"/"&amp;$C19,逆引き作成用!V$2:V$169,FALSE),1),"")</f>
        <v/>
      </c>
      <c r="W19" s="17" t="str">
        <f>IFERROR(INDEX(逆引き作成用!$C$2:$C$169,MATCH($B19&amp;"/"&amp;$C19,逆引き作成用!W$2:W$169,FALSE),1),"")</f>
        <v/>
      </c>
      <c r="X19" s="17" t="str">
        <f>IFERROR(INDEX(逆引き作成用!$C$2:$C$169,MATCH($B19&amp;"/"&amp;$C19,逆引き作成用!X$2:X$169,FALSE),1),"")</f>
        <v/>
      </c>
      <c r="Y19" s="17" t="str">
        <f>IFERROR(INDEX(逆引き作成用!$C$2:$C$169,MATCH($B19&amp;"/"&amp;$C19,逆引き作成用!Y$2:Y$169,FALSE),1),"")</f>
        <v/>
      </c>
      <c r="Z19" s="17" t="str">
        <f>IFERROR(INDEX(逆引き作成用!$C$2:$C$169,MATCH($B19&amp;"/"&amp;$C19,逆引き作成用!Z$2:Z$169,FALSE),1),"")</f>
        <v/>
      </c>
      <c r="AA19" s="17" t="str">
        <f>IFERROR(INDEX(逆引き作成用!$C$2:$C$169,MATCH($B19&amp;"/"&amp;$C19,逆引き作成用!AA$2:AA$169,FALSE),1),"")</f>
        <v/>
      </c>
      <c r="AB19" s="17" t="str">
        <f>IFERROR(INDEX(逆引き作成用!$C$2:$C$169,MATCH($B19&amp;"/"&amp;$C19,逆引き作成用!AB$2:AB$169,FALSE),1),"")</f>
        <v/>
      </c>
      <c r="AC19" s="17" t="str">
        <f>IFERROR(INDEX(逆引き作成用!$C$2:$C$169,MATCH($B19&amp;"/"&amp;$C19,逆引き作成用!AC$2:AC$169,FALSE),1),"")</f>
        <v/>
      </c>
      <c r="AD19" s="17" t="str">
        <f>IFERROR(INDEX(逆引き作成用!$C$2:$C$169,MATCH($B19&amp;"/"&amp;$C19,逆引き作成用!AD$2:AD$169,FALSE),1),"")</f>
        <v/>
      </c>
      <c r="AE19" s="17" t="str">
        <f>IFERROR(INDEX(逆引き作成用!$C$2:$C$169,MATCH($B19&amp;"/"&amp;$C19,逆引き作成用!AE$2:AE$169,FALSE),1),"")</f>
        <v/>
      </c>
      <c r="AF19" s="17" t="str">
        <f>IFERROR(INDEX(逆引き作成用!$C$2:$C$169,MATCH($B19&amp;"/"&amp;$C19,逆引き作成用!AF$2:AF$169,FALSE),1),"")</f>
        <v/>
      </c>
      <c r="AG19" s="17" t="str">
        <f>IFERROR(INDEX(逆引き作成用!$C$2:$C$169,MATCH($B19&amp;"/"&amp;$C19,逆引き作成用!AG$2:AG$169,FALSE),1),"")</f>
        <v/>
      </c>
      <c r="AH19" s="17" t="str">
        <f>IFERROR(INDEX(逆引き作成用!$C$2:$C$169,MATCH($B19&amp;"/"&amp;$C19,逆引き作成用!AH$2:AH$169,FALSE),1),"")</f>
        <v/>
      </c>
      <c r="AI19" s="17" t="str">
        <f>IFERROR(INDEX(逆引き作成用!$C$2:$C$169,MATCH($B19&amp;"/"&amp;$C19,逆引き作成用!AI$2:AI$169,FALSE),1),"")</f>
        <v/>
      </c>
      <c r="AJ19" s="17" t="str">
        <f>IFERROR(INDEX(逆引き作成用!$C$2:$C$169,MATCH($B19&amp;"/"&amp;$C19,逆引き作成用!AJ$2:AJ$169,FALSE),1),"")</f>
        <v/>
      </c>
      <c r="AK19" s="17" t="str">
        <f>IFERROR(INDEX(逆引き作成用!$C$2:$C$169,MATCH($B19&amp;"/"&amp;$C19,逆引き作成用!AK$2:AK$169,FALSE),1),"")</f>
        <v/>
      </c>
      <c r="AL19" s="17" t="str">
        <f>IFERROR(INDEX(逆引き作成用!$C$2:$C$169,MATCH($B19&amp;"/"&amp;$C19,逆引き作成用!AL$2:AL$169,FALSE),1),"")</f>
        <v/>
      </c>
      <c r="AM19" s="17" t="str">
        <f>IFERROR(INDEX(逆引き作成用!$C$2:$C$169,MATCH($B19&amp;"/"&amp;$C19,逆引き作成用!AM$2:AM$169,FALSE),1),"")</f>
        <v/>
      </c>
      <c r="AN19" s="17" t="str">
        <f>IFERROR(INDEX(逆引き作成用!$C$2:$C$169,MATCH($B19&amp;"/"&amp;$C19,逆引き作成用!AN$2:AN$169,FALSE),1),"")</f>
        <v/>
      </c>
      <c r="AO19" s="17" t="str">
        <f>IFERROR(INDEX(逆引き作成用!$C$2:$C$169,MATCH($B19&amp;"/"&amp;$C19,逆引き作成用!AO$2:AO$169,FALSE),1),"")</f>
        <v/>
      </c>
      <c r="AP19" s="17" t="str">
        <f>IFERROR(INDEX(逆引き作成用!$C$2:$C$169,MATCH($B19&amp;"/"&amp;$C19,逆引き作成用!AP$2:AP$169,FALSE),1),"")</f>
        <v/>
      </c>
      <c r="AQ19" s="17" t="str">
        <f>IFERROR(INDEX(逆引き作成用!$C$2:$C$169,MATCH($B19&amp;"/"&amp;$C19,逆引き作成用!AQ$2:AQ$169,FALSE),1),"")</f>
        <v/>
      </c>
      <c r="AR19" s="17" t="str">
        <f>IFERROR(INDEX(逆引き作成用!$C$2:$C$169,MATCH($B19&amp;"/"&amp;$C19,逆引き作成用!AR$2:AR$169,FALSE),1),"")</f>
        <v/>
      </c>
      <c r="AS19" s="17" t="str">
        <f>IFERROR(INDEX(逆引き作成用!$C$2:$C$169,MATCH($B19&amp;"/"&amp;$C19,逆引き作成用!AS$2:AS$169,FALSE),1),"")</f>
        <v/>
      </c>
      <c r="AT19" s="17" t="str">
        <f>IFERROR(INDEX(逆引き作成用!$C$2:$C$169,MATCH($B19&amp;"/"&amp;$C19,逆引き作成用!AT$2:AT$169,FALSE),1),"")</f>
        <v/>
      </c>
      <c r="AU19" s="17" t="str">
        <f>IFERROR(INDEX(逆引き作成用!$C$2:$C$169,MATCH($B19&amp;"/"&amp;$C19,逆引き作成用!AU$2:AU$169,FALSE),1),"")</f>
        <v/>
      </c>
      <c r="AV19" s="17" t="str">
        <f>IFERROR(INDEX(逆引き作成用!$C$2:$C$169,MATCH($B19&amp;"/"&amp;$C19,逆引き作成用!AV$2:AV$169,FALSE),1),"")</f>
        <v/>
      </c>
      <c r="AW19" s="17" t="str">
        <f>IFERROR(INDEX(逆引き作成用!$C$2:$C$169,MATCH($B19&amp;"/"&amp;$C19,逆引き作成用!AW$2:AW$169,FALSE),1),"")</f>
        <v/>
      </c>
      <c r="AX19" s="17" t="str">
        <f>IFERROR(INDEX(逆引き作成用!$C$2:$C$169,MATCH($B19&amp;"/"&amp;$C19,逆引き作成用!AX$2:AX$169,FALSE),1),"")</f>
        <v/>
      </c>
      <c r="AY19" s="17" t="str">
        <f>IFERROR(INDEX(逆引き作成用!$C$2:$C$169,MATCH($B19&amp;"/"&amp;$C19,逆引き作成用!AY$2:AY$169,FALSE),1),"")</f>
        <v/>
      </c>
      <c r="AZ19" s="17" t="str">
        <f>IFERROR(INDEX(逆引き作成用!$C$2:$C$169,MATCH($B19&amp;"/"&amp;$C19,逆引き作成用!AZ$2:AZ$169,FALSE),1),"")</f>
        <v/>
      </c>
      <c r="BA19" s="17" t="str">
        <f>IFERROR(INDEX(逆引き作成用!$C$2:$C$169,MATCH($B19&amp;"/"&amp;$C19,逆引き作成用!BA$2:BA$169,FALSE),1),"")</f>
        <v/>
      </c>
    </row>
    <row r="20" spans="1:53">
      <c r="A20" s="17" t="str">
        <f>IFERROR(INDEX(役職一覧!$B$2:$B$31,MATCH(B20,役職一覧!$C$2:$C$31,FALSE),1),"")</f>
        <v/>
      </c>
      <c r="B20" s="17" t="str">
        <f>IFERROR(IF(C20=1,INDEX(役職一覧!$C$2:$C$31,MATCH(逆引き!B19,役職一覧!$C$2:$C$31,FALSE)+1,1)&amp;"",B19),"")</f>
        <v/>
      </c>
      <c r="C20" s="17" t="str">
        <f>IFERROR(IF(VLOOKUP(B19,役職一覧!$C$2:$E$31,3,FALSE)=C19,1,C19+1),"")</f>
        <v/>
      </c>
      <c r="D20" s="17" t="str">
        <f>IFERROR(INDEX(逆引き作成用!$C$2:$C$169,MATCH($B20&amp;"/"&amp;$C20,逆引き作成用!D$2:D$169,FALSE),1),"")</f>
        <v/>
      </c>
      <c r="E20" s="17" t="str">
        <f>IFERROR(INDEX(逆引き作成用!$C$2:$C$169,MATCH($B20&amp;"/"&amp;$C20,逆引き作成用!E$2:E$169,FALSE),1),"")</f>
        <v/>
      </c>
      <c r="F20" s="17" t="str">
        <f>IFERROR(INDEX(逆引き作成用!$C$2:$C$169,MATCH($B20&amp;"/"&amp;$C20,逆引き作成用!F$2:F$169,FALSE),1),"")</f>
        <v/>
      </c>
      <c r="G20" s="17" t="str">
        <f>IFERROR(INDEX(逆引き作成用!$C$2:$C$169,MATCH($B20&amp;"/"&amp;$C20,逆引き作成用!G$2:G$169,FALSE),1),"")</f>
        <v/>
      </c>
      <c r="H20" s="17" t="str">
        <f>IFERROR(INDEX(逆引き作成用!$C$2:$C$169,MATCH($B20&amp;"/"&amp;$C20,逆引き作成用!H$2:H$169,FALSE),1),"")</f>
        <v/>
      </c>
      <c r="I20" s="17" t="str">
        <f>IFERROR(INDEX(逆引き作成用!$C$2:$C$169,MATCH($B20&amp;"/"&amp;$C20,逆引き作成用!I$2:I$169,FALSE),1),"")</f>
        <v/>
      </c>
      <c r="J20" s="17" t="str">
        <f>IFERROR(INDEX(逆引き作成用!$C$2:$C$169,MATCH($B20&amp;"/"&amp;$C20,逆引き作成用!J$2:J$169,FALSE),1),"")</f>
        <v/>
      </c>
      <c r="K20" s="17" t="str">
        <f>IFERROR(INDEX(逆引き作成用!$C$2:$C$169,MATCH($B20&amp;"/"&amp;$C20,逆引き作成用!K$2:K$169,FALSE),1),"")</f>
        <v/>
      </c>
      <c r="L20" s="17" t="str">
        <f>IFERROR(INDEX(逆引き作成用!$C$2:$C$169,MATCH($B20&amp;"/"&amp;$C20,逆引き作成用!L$2:L$169,FALSE),1),"")</f>
        <v/>
      </c>
      <c r="M20" s="17" t="str">
        <f>IFERROR(INDEX(逆引き作成用!$C$2:$C$169,MATCH($B20&amp;"/"&amp;$C20,逆引き作成用!M$2:M$169,FALSE),1),"")</f>
        <v/>
      </c>
      <c r="N20" s="17" t="str">
        <f>IFERROR(INDEX(逆引き作成用!$C$2:$C$169,MATCH($B20&amp;"/"&amp;$C20,逆引き作成用!N$2:N$169,FALSE),1),"")</f>
        <v/>
      </c>
      <c r="O20" s="17" t="str">
        <f>IFERROR(INDEX(逆引き作成用!$C$2:$C$169,MATCH($B20&amp;"/"&amp;$C20,逆引き作成用!O$2:O$169,FALSE),1),"")</f>
        <v/>
      </c>
      <c r="P20" s="17" t="str">
        <f>IFERROR(INDEX(逆引き作成用!$C$2:$C$169,MATCH($B20&amp;"/"&amp;$C20,逆引き作成用!P$2:P$169,FALSE),1),"")</f>
        <v/>
      </c>
      <c r="Q20" s="17" t="str">
        <f>IFERROR(INDEX(逆引き作成用!$C$2:$C$169,MATCH($B20&amp;"/"&amp;$C20,逆引き作成用!Q$2:Q$169,FALSE),1),"")</f>
        <v/>
      </c>
      <c r="R20" s="17" t="str">
        <f>IFERROR(INDEX(逆引き作成用!$C$2:$C$169,MATCH($B20&amp;"/"&amp;$C20,逆引き作成用!R$2:R$169,FALSE),1),"")</f>
        <v/>
      </c>
      <c r="S20" s="17" t="str">
        <f>IFERROR(INDEX(逆引き作成用!$C$2:$C$169,MATCH($B20&amp;"/"&amp;$C20,逆引き作成用!S$2:S$169,FALSE),1),"")</f>
        <v/>
      </c>
      <c r="T20" s="17" t="str">
        <f>IFERROR(INDEX(逆引き作成用!$C$2:$C$169,MATCH($B20&amp;"/"&amp;$C20,逆引き作成用!T$2:T$169,FALSE),1),"")</f>
        <v/>
      </c>
      <c r="U20" s="17" t="str">
        <f>IFERROR(INDEX(逆引き作成用!$C$2:$C$169,MATCH($B20&amp;"/"&amp;$C20,逆引き作成用!U$2:U$169,FALSE),1),"")</f>
        <v/>
      </c>
      <c r="V20" s="17" t="str">
        <f>IFERROR(INDEX(逆引き作成用!$C$2:$C$169,MATCH($B20&amp;"/"&amp;$C20,逆引き作成用!V$2:V$169,FALSE),1),"")</f>
        <v/>
      </c>
      <c r="W20" s="17" t="str">
        <f>IFERROR(INDEX(逆引き作成用!$C$2:$C$169,MATCH($B20&amp;"/"&amp;$C20,逆引き作成用!W$2:W$169,FALSE),1),"")</f>
        <v/>
      </c>
      <c r="X20" s="17" t="str">
        <f>IFERROR(INDEX(逆引き作成用!$C$2:$C$169,MATCH($B20&amp;"/"&amp;$C20,逆引き作成用!X$2:X$169,FALSE),1),"")</f>
        <v/>
      </c>
      <c r="Y20" s="17" t="str">
        <f>IFERROR(INDEX(逆引き作成用!$C$2:$C$169,MATCH($B20&amp;"/"&amp;$C20,逆引き作成用!Y$2:Y$169,FALSE),1),"")</f>
        <v/>
      </c>
      <c r="Z20" s="17" t="str">
        <f>IFERROR(INDEX(逆引き作成用!$C$2:$C$169,MATCH($B20&amp;"/"&amp;$C20,逆引き作成用!Z$2:Z$169,FALSE),1),"")</f>
        <v/>
      </c>
      <c r="AA20" s="17" t="str">
        <f>IFERROR(INDEX(逆引き作成用!$C$2:$C$169,MATCH($B20&amp;"/"&amp;$C20,逆引き作成用!AA$2:AA$169,FALSE),1),"")</f>
        <v/>
      </c>
      <c r="AB20" s="17" t="str">
        <f>IFERROR(INDEX(逆引き作成用!$C$2:$C$169,MATCH($B20&amp;"/"&amp;$C20,逆引き作成用!AB$2:AB$169,FALSE),1),"")</f>
        <v/>
      </c>
      <c r="AC20" s="17" t="str">
        <f>IFERROR(INDEX(逆引き作成用!$C$2:$C$169,MATCH($B20&amp;"/"&amp;$C20,逆引き作成用!AC$2:AC$169,FALSE),1),"")</f>
        <v/>
      </c>
      <c r="AD20" s="17" t="str">
        <f>IFERROR(INDEX(逆引き作成用!$C$2:$C$169,MATCH($B20&amp;"/"&amp;$C20,逆引き作成用!AD$2:AD$169,FALSE),1),"")</f>
        <v/>
      </c>
      <c r="AE20" s="17" t="str">
        <f>IFERROR(INDEX(逆引き作成用!$C$2:$C$169,MATCH($B20&amp;"/"&amp;$C20,逆引き作成用!AE$2:AE$169,FALSE),1),"")</f>
        <v/>
      </c>
      <c r="AF20" s="17" t="str">
        <f>IFERROR(INDEX(逆引き作成用!$C$2:$C$169,MATCH($B20&amp;"/"&amp;$C20,逆引き作成用!AF$2:AF$169,FALSE),1),"")</f>
        <v/>
      </c>
      <c r="AG20" s="17" t="str">
        <f>IFERROR(INDEX(逆引き作成用!$C$2:$C$169,MATCH($B20&amp;"/"&amp;$C20,逆引き作成用!AG$2:AG$169,FALSE),1),"")</f>
        <v/>
      </c>
      <c r="AH20" s="17" t="str">
        <f>IFERROR(INDEX(逆引き作成用!$C$2:$C$169,MATCH($B20&amp;"/"&amp;$C20,逆引き作成用!AH$2:AH$169,FALSE),1),"")</f>
        <v/>
      </c>
      <c r="AI20" s="17" t="str">
        <f>IFERROR(INDEX(逆引き作成用!$C$2:$C$169,MATCH($B20&amp;"/"&amp;$C20,逆引き作成用!AI$2:AI$169,FALSE),1),"")</f>
        <v/>
      </c>
      <c r="AJ20" s="17" t="str">
        <f>IFERROR(INDEX(逆引き作成用!$C$2:$C$169,MATCH($B20&amp;"/"&amp;$C20,逆引き作成用!AJ$2:AJ$169,FALSE),1),"")</f>
        <v/>
      </c>
      <c r="AK20" s="17" t="str">
        <f>IFERROR(INDEX(逆引き作成用!$C$2:$C$169,MATCH($B20&amp;"/"&amp;$C20,逆引き作成用!AK$2:AK$169,FALSE),1),"")</f>
        <v/>
      </c>
      <c r="AL20" s="17" t="str">
        <f>IFERROR(INDEX(逆引き作成用!$C$2:$C$169,MATCH($B20&amp;"/"&amp;$C20,逆引き作成用!AL$2:AL$169,FALSE),1),"")</f>
        <v/>
      </c>
      <c r="AM20" s="17" t="str">
        <f>IFERROR(INDEX(逆引き作成用!$C$2:$C$169,MATCH($B20&amp;"/"&amp;$C20,逆引き作成用!AM$2:AM$169,FALSE),1),"")</f>
        <v/>
      </c>
      <c r="AN20" s="17" t="str">
        <f>IFERROR(INDEX(逆引き作成用!$C$2:$C$169,MATCH($B20&amp;"/"&amp;$C20,逆引き作成用!AN$2:AN$169,FALSE),1),"")</f>
        <v/>
      </c>
      <c r="AO20" s="17" t="str">
        <f>IFERROR(INDEX(逆引き作成用!$C$2:$C$169,MATCH($B20&amp;"/"&amp;$C20,逆引き作成用!AO$2:AO$169,FALSE),1),"")</f>
        <v/>
      </c>
      <c r="AP20" s="17" t="str">
        <f>IFERROR(INDEX(逆引き作成用!$C$2:$C$169,MATCH($B20&amp;"/"&amp;$C20,逆引き作成用!AP$2:AP$169,FALSE),1),"")</f>
        <v/>
      </c>
      <c r="AQ20" s="17" t="str">
        <f>IFERROR(INDEX(逆引き作成用!$C$2:$C$169,MATCH($B20&amp;"/"&amp;$C20,逆引き作成用!AQ$2:AQ$169,FALSE),1),"")</f>
        <v/>
      </c>
      <c r="AR20" s="17" t="str">
        <f>IFERROR(INDEX(逆引き作成用!$C$2:$C$169,MATCH($B20&amp;"/"&amp;$C20,逆引き作成用!AR$2:AR$169,FALSE),1),"")</f>
        <v/>
      </c>
      <c r="AS20" s="17" t="str">
        <f>IFERROR(INDEX(逆引き作成用!$C$2:$C$169,MATCH($B20&amp;"/"&amp;$C20,逆引き作成用!AS$2:AS$169,FALSE),1),"")</f>
        <v/>
      </c>
      <c r="AT20" s="17" t="str">
        <f>IFERROR(INDEX(逆引き作成用!$C$2:$C$169,MATCH($B20&amp;"/"&amp;$C20,逆引き作成用!AT$2:AT$169,FALSE),1),"")</f>
        <v/>
      </c>
      <c r="AU20" s="17" t="str">
        <f>IFERROR(INDEX(逆引き作成用!$C$2:$C$169,MATCH($B20&amp;"/"&amp;$C20,逆引き作成用!AU$2:AU$169,FALSE),1),"")</f>
        <v/>
      </c>
      <c r="AV20" s="17" t="str">
        <f>IFERROR(INDEX(逆引き作成用!$C$2:$C$169,MATCH($B20&amp;"/"&amp;$C20,逆引き作成用!AV$2:AV$169,FALSE),1),"")</f>
        <v/>
      </c>
      <c r="AW20" s="17" t="str">
        <f>IFERROR(INDEX(逆引き作成用!$C$2:$C$169,MATCH($B20&amp;"/"&amp;$C20,逆引き作成用!AW$2:AW$169,FALSE),1),"")</f>
        <v/>
      </c>
      <c r="AX20" s="17" t="str">
        <f>IFERROR(INDEX(逆引き作成用!$C$2:$C$169,MATCH($B20&amp;"/"&amp;$C20,逆引き作成用!AX$2:AX$169,FALSE),1),"")</f>
        <v/>
      </c>
      <c r="AY20" s="17" t="str">
        <f>IFERROR(INDEX(逆引き作成用!$C$2:$C$169,MATCH($B20&amp;"/"&amp;$C20,逆引き作成用!AY$2:AY$169,FALSE),1),"")</f>
        <v/>
      </c>
      <c r="AZ20" s="17" t="str">
        <f>IFERROR(INDEX(逆引き作成用!$C$2:$C$169,MATCH($B20&amp;"/"&amp;$C20,逆引き作成用!AZ$2:AZ$169,FALSE),1),"")</f>
        <v/>
      </c>
      <c r="BA20" s="17" t="str">
        <f>IFERROR(INDEX(逆引き作成用!$C$2:$C$169,MATCH($B20&amp;"/"&amp;$C20,逆引き作成用!BA$2:BA$169,FALSE),1),"")</f>
        <v/>
      </c>
    </row>
    <row r="21" spans="1:53">
      <c r="A21" s="17" t="str">
        <f>IFERROR(INDEX(役職一覧!$B$2:$B$31,MATCH(B21,役職一覧!$C$2:$C$31,FALSE),1),"")</f>
        <v/>
      </c>
      <c r="B21" s="17" t="str">
        <f>IFERROR(IF(C21=1,INDEX(役職一覧!$C$2:$C$31,MATCH(逆引き!B20,役職一覧!$C$2:$C$31,FALSE)+1,1)&amp;"",B20),"")</f>
        <v/>
      </c>
      <c r="C21" s="17" t="str">
        <f>IFERROR(IF(VLOOKUP(B20,役職一覧!$C$2:$E$31,3,FALSE)=C20,1,C20+1),"")</f>
        <v/>
      </c>
      <c r="D21" s="17" t="str">
        <f>IFERROR(INDEX(逆引き作成用!$C$2:$C$169,MATCH($B21&amp;"/"&amp;$C21,逆引き作成用!D$2:D$169,FALSE),1),"")</f>
        <v/>
      </c>
      <c r="E21" s="17" t="str">
        <f>IFERROR(INDEX(逆引き作成用!$C$2:$C$169,MATCH($B21&amp;"/"&amp;$C21,逆引き作成用!E$2:E$169,FALSE),1),"")</f>
        <v/>
      </c>
      <c r="F21" s="17" t="str">
        <f>IFERROR(INDEX(逆引き作成用!$C$2:$C$169,MATCH($B21&amp;"/"&amp;$C21,逆引き作成用!F$2:F$169,FALSE),1),"")</f>
        <v/>
      </c>
      <c r="G21" s="17" t="str">
        <f>IFERROR(INDEX(逆引き作成用!$C$2:$C$169,MATCH($B21&amp;"/"&amp;$C21,逆引き作成用!G$2:G$169,FALSE),1),"")</f>
        <v/>
      </c>
      <c r="H21" s="17" t="str">
        <f>IFERROR(INDEX(逆引き作成用!$C$2:$C$169,MATCH($B21&amp;"/"&amp;$C21,逆引き作成用!H$2:H$169,FALSE),1),"")</f>
        <v/>
      </c>
      <c r="I21" s="17" t="str">
        <f>IFERROR(INDEX(逆引き作成用!$C$2:$C$169,MATCH($B21&amp;"/"&amp;$C21,逆引き作成用!I$2:I$169,FALSE),1),"")</f>
        <v/>
      </c>
      <c r="J21" s="17" t="str">
        <f>IFERROR(INDEX(逆引き作成用!$C$2:$C$169,MATCH($B21&amp;"/"&amp;$C21,逆引き作成用!J$2:J$169,FALSE),1),"")</f>
        <v/>
      </c>
      <c r="K21" s="17" t="str">
        <f>IFERROR(INDEX(逆引き作成用!$C$2:$C$169,MATCH($B21&amp;"/"&amp;$C21,逆引き作成用!K$2:K$169,FALSE),1),"")</f>
        <v/>
      </c>
      <c r="L21" s="17" t="str">
        <f>IFERROR(INDEX(逆引き作成用!$C$2:$C$169,MATCH($B21&amp;"/"&amp;$C21,逆引き作成用!L$2:L$169,FALSE),1),"")</f>
        <v/>
      </c>
      <c r="M21" s="17" t="str">
        <f>IFERROR(INDEX(逆引き作成用!$C$2:$C$169,MATCH($B21&amp;"/"&amp;$C21,逆引き作成用!M$2:M$169,FALSE),1),"")</f>
        <v/>
      </c>
      <c r="N21" s="17" t="str">
        <f>IFERROR(INDEX(逆引き作成用!$C$2:$C$169,MATCH($B21&amp;"/"&amp;$C21,逆引き作成用!N$2:N$169,FALSE),1),"")</f>
        <v/>
      </c>
      <c r="O21" s="17" t="str">
        <f>IFERROR(INDEX(逆引き作成用!$C$2:$C$169,MATCH($B21&amp;"/"&amp;$C21,逆引き作成用!O$2:O$169,FALSE),1),"")</f>
        <v/>
      </c>
      <c r="P21" s="17" t="str">
        <f>IFERROR(INDEX(逆引き作成用!$C$2:$C$169,MATCH($B21&amp;"/"&amp;$C21,逆引き作成用!P$2:P$169,FALSE),1),"")</f>
        <v/>
      </c>
      <c r="Q21" s="17" t="str">
        <f>IFERROR(INDEX(逆引き作成用!$C$2:$C$169,MATCH($B21&amp;"/"&amp;$C21,逆引き作成用!Q$2:Q$169,FALSE),1),"")</f>
        <v/>
      </c>
      <c r="R21" s="17" t="str">
        <f>IFERROR(INDEX(逆引き作成用!$C$2:$C$169,MATCH($B21&amp;"/"&amp;$C21,逆引き作成用!R$2:R$169,FALSE),1),"")</f>
        <v/>
      </c>
      <c r="S21" s="17" t="str">
        <f>IFERROR(INDEX(逆引き作成用!$C$2:$C$169,MATCH($B21&amp;"/"&amp;$C21,逆引き作成用!S$2:S$169,FALSE),1),"")</f>
        <v/>
      </c>
      <c r="T21" s="17" t="str">
        <f>IFERROR(INDEX(逆引き作成用!$C$2:$C$169,MATCH($B21&amp;"/"&amp;$C21,逆引き作成用!T$2:T$169,FALSE),1),"")</f>
        <v/>
      </c>
      <c r="U21" s="17" t="str">
        <f>IFERROR(INDEX(逆引き作成用!$C$2:$C$169,MATCH($B21&amp;"/"&amp;$C21,逆引き作成用!U$2:U$169,FALSE),1),"")</f>
        <v/>
      </c>
      <c r="V21" s="17" t="str">
        <f>IFERROR(INDEX(逆引き作成用!$C$2:$C$169,MATCH($B21&amp;"/"&amp;$C21,逆引き作成用!V$2:V$169,FALSE),1),"")</f>
        <v/>
      </c>
      <c r="W21" s="17" t="str">
        <f>IFERROR(INDEX(逆引き作成用!$C$2:$C$169,MATCH($B21&amp;"/"&amp;$C21,逆引き作成用!W$2:W$169,FALSE),1),"")</f>
        <v/>
      </c>
      <c r="X21" s="17" t="str">
        <f>IFERROR(INDEX(逆引き作成用!$C$2:$C$169,MATCH($B21&amp;"/"&amp;$C21,逆引き作成用!X$2:X$169,FALSE),1),"")</f>
        <v/>
      </c>
      <c r="Y21" s="17" t="str">
        <f>IFERROR(INDEX(逆引き作成用!$C$2:$C$169,MATCH($B21&amp;"/"&amp;$C21,逆引き作成用!Y$2:Y$169,FALSE),1),"")</f>
        <v/>
      </c>
      <c r="Z21" s="17" t="str">
        <f>IFERROR(INDEX(逆引き作成用!$C$2:$C$169,MATCH($B21&amp;"/"&amp;$C21,逆引き作成用!Z$2:Z$169,FALSE),1),"")</f>
        <v/>
      </c>
      <c r="AA21" s="17" t="str">
        <f>IFERROR(INDEX(逆引き作成用!$C$2:$C$169,MATCH($B21&amp;"/"&amp;$C21,逆引き作成用!AA$2:AA$169,FALSE),1),"")</f>
        <v/>
      </c>
      <c r="AB21" s="17" t="str">
        <f>IFERROR(INDEX(逆引き作成用!$C$2:$C$169,MATCH($B21&amp;"/"&amp;$C21,逆引き作成用!AB$2:AB$169,FALSE),1),"")</f>
        <v/>
      </c>
      <c r="AC21" s="17" t="str">
        <f>IFERROR(INDEX(逆引き作成用!$C$2:$C$169,MATCH($B21&amp;"/"&amp;$C21,逆引き作成用!AC$2:AC$169,FALSE),1),"")</f>
        <v/>
      </c>
      <c r="AD21" s="17" t="str">
        <f>IFERROR(INDEX(逆引き作成用!$C$2:$C$169,MATCH($B21&amp;"/"&amp;$C21,逆引き作成用!AD$2:AD$169,FALSE),1),"")</f>
        <v/>
      </c>
      <c r="AE21" s="17" t="str">
        <f>IFERROR(INDEX(逆引き作成用!$C$2:$C$169,MATCH($B21&amp;"/"&amp;$C21,逆引き作成用!AE$2:AE$169,FALSE),1),"")</f>
        <v/>
      </c>
      <c r="AF21" s="17" t="str">
        <f>IFERROR(INDEX(逆引き作成用!$C$2:$C$169,MATCH($B21&amp;"/"&amp;$C21,逆引き作成用!AF$2:AF$169,FALSE),1),"")</f>
        <v/>
      </c>
      <c r="AG21" s="17" t="str">
        <f>IFERROR(INDEX(逆引き作成用!$C$2:$C$169,MATCH($B21&amp;"/"&amp;$C21,逆引き作成用!AG$2:AG$169,FALSE),1),"")</f>
        <v/>
      </c>
      <c r="AH21" s="17" t="str">
        <f>IFERROR(INDEX(逆引き作成用!$C$2:$C$169,MATCH($B21&amp;"/"&amp;$C21,逆引き作成用!AH$2:AH$169,FALSE),1),"")</f>
        <v/>
      </c>
      <c r="AI21" s="17" t="str">
        <f>IFERROR(INDEX(逆引き作成用!$C$2:$C$169,MATCH($B21&amp;"/"&amp;$C21,逆引き作成用!AI$2:AI$169,FALSE),1),"")</f>
        <v/>
      </c>
      <c r="AJ21" s="17" t="str">
        <f>IFERROR(INDEX(逆引き作成用!$C$2:$C$169,MATCH($B21&amp;"/"&amp;$C21,逆引き作成用!AJ$2:AJ$169,FALSE),1),"")</f>
        <v/>
      </c>
      <c r="AK21" s="17" t="str">
        <f>IFERROR(INDEX(逆引き作成用!$C$2:$C$169,MATCH($B21&amp;"/"&amp;$C21,逆引き作成用!AK$2:AK$169,FALSE),1),"")</f>
        <v/>
      </c>
      <c r="AL21" s="17" t="str">
        <f>IFERROR(INDEX(逆引き作成用!$C$2:$C$169,MATCH($B21&amp;"/"&amp;$C21,逆引き作成用!AL$2:AL$169,FALSE),1),"")</f>
        <v/>
      </c>
      <c r="AM21" s="17" t="str">
        <f>IFERROR(INDEX(逆引き作成用!$C$2:$C$169,MATCH($B21&amp;"/"&amp;$C21,逆引き作成用!AM$2:AM$169,FALSE),1),"")</f>
        <v/>
      </c>
      <c r="AN21" s="17" t="str">
        <f>IFERROR(INDEX(逆引き作成用!$C$2:$C$169,MATCH($B21&amp;"/"&amp;$C21,逆引き作成用!AN$2:AN$169,FALSE),1),"")</f>
        <v/>
      </c>
      <c r="AO21" s="17" t="str">
        <f>IFERROR(INDEX(逆引き作成用!$C$2:$C$169,MATCH($B21&amp;"/"&amp;$C21,逆引き作成用!AO$2:AO$169,FALSE),1),"")</f>
        <v/>
      </c>
      <c r="AP21" s="17" t="str">
        <f>IFERROR(INDEX(逆引き作成用!$C$2:$C$169,MATCH($B21&amp;"/"&amp;$C21,逆引き作成用!AP$2:AP$169,FALSE),1),"")</f>
        <v/>
      </c>
      <c r="AQ21" s="17" t="str">
        <f>IFERROR(INDEX(逆引き作成用!$C$2:$C$169,MATCH($B21&amp;"/"&amp;$C21,逆引き作成用!AQ$2:AQ$169,FALSE),1),"")</f>
        <v/>
      </c>
      <c r="AR21" s="17" t="str">
        <f>IFERROR(INDEX(逆引き作成用!$C$2:$C$169,MATCH($B21&amp;"/"&amp;$C21,逆引き作成用!AR$2:AR$169,FALSE),1),"")</f>
        <v/>
      </c>
      <c r="AS21" s="17" t="str">
        <f>IFERROR(INDEX(逆引き作成用!$C$2:$C$169,MATCH($B21&amp;"/"&amp;$C21,逆引き作成用!AS$2:AS$169,FALSE),1),"")</f>
        <v/>
      </c>
      <c r="AT21" s="17" t="str">
        <f>IFERROR(INDEX(逆引き作成用!$C$2:$C$169,MATCH($B21&amp;"/"&amp;$C21,逆引き作成用!AT$2:AT$169,FALSE),1),"")</f>
        <v/>
      </c>
      <c r="AU21" s="17" t="str">
        <f>IFERROR(INDEX(逆引き作成用!$C$2:$C$169,MATCH($B21&amp;"/"&amp;$C21,逆引き作成用!AU$2:AU$169,FALSE),1),"")</f>
        <v/>
      </c>
      <c r="AV21" s="17" t="str">
        <f>IFERROR(INDEX(逆引き作成用!$C$2:$C$169,MATCH($B21&amp;"/"&amp;$C21,逆引き作成用!AV$2:AV$169,FALSE),1),"")</f>
        <v/>
      </c>
      <c r="AW21" s="17" t="str">
        <f>IFERROR(INDEX(逆引き作成用!$C$2:$C$169,MATCH($B21&amp;"/"&amp;$C21,逆引き作成用!AW$2:AW$169,FALSE),1),"")</f>
        <v/>
      </c>
      <c r="AX21" s="17" t="str">
        <f>IFERROR(INDEX(逆引き作成用!$C$2:$C$169,MATCH($B21&amp;"/"&amp;$C21,逆引き作成用!AX$2:AX$169,FALSE),1),"")</f>
        <v/>
      </c>
      <c r="AY21" s="17" t="str">
        <f>IFERROR(INDEX(逆引き作成用!$C$2:$C$169,MATCH($B21&amp;"/"&amp;$C21,逆引き作成用!AY$2:AY$169,FALSE),1),"")</f>
        <v/>
      </c>
      <c r="AZ21" s="17" t="str">
        <f>IFERROR(INDEX(逆引き作成用!$C$2:$C$169,MATCH($B21&amp;"/"&amp;$C21,逆引き作成用!AZ$2:AZ$169,FALSE),1),"")</f>
        <v/>
      </c>
      <c r="BA21" s="17" t="str">
        <f>IFERROR(INDEX(逆引き作成用!$C$2:$C$169,MATCH($B21&amp;"/"&amp;$C21,逆引き作成用!BA$2:BA$169,FALSE),1),"")</f>
        <v/>
      </c>
    </row>
    <row r="22" spans="1:53">
      <c r="A22" s="17" t="str">
        <f>IFERROR(INDEX(役職一覧!$B$2:$B$31,MATCH(B22,役職一覧!$C$2:$C$31,FALSE),1),"")</f>
        <v/>
      </c>
      <c r="B22" s="17" t="str">
        <f>IFERROR(IF(C22=1,INDEX(役職一覧!$C$2:$C$31,MATCH(逆引き!B21,役職一覧!$C$2:$C$31,FALSE)+1,1)&amp;"",B21),"")</f>
        <v/>
      </c>
      <c r="C22" s="17" t="str">
        <f>IFERROR(IF(VLOOKUP(B21,役職一覧!$C$2:$E$31,3,FALSE)=C21,1,C21+1),"")</f>
        <v/>
      </c>
      <c r="D22" s="17" t="str">
        <f>IFERROR(INDEX(逆引き作成用!$C$2:$C$169,MATCH($B22&amp;"/"&amp;$C22,逆引き作成用!D$2:D$169,FALSE),1),"")</f>
        <v/>
      </c>
      <c r="E22" s="17" t="str">
        <f>IFERROR(INDEX(逆引き作成用!$C$2:$C$169,MATCH($B22&amp;"/"&amp;$C22,逆引き作成用!E$2:E$169,FALSE),1),"")</f>
        <v/>
      </c>
      <c r="F22" s="17" t="str">
        <f>IFERROR(INDEX(逆引き作成用!$C$2:$C$169,MATCH($B22&amp;"/"&amp;$C22,逆引き作成用!F$2:F$169,FALSE),1),"")</f>
        <v/>
      </c>
      <c r="G22" s="17" t="str">
        <f>IFERROR(INDEX(逆引き作成用!$C$2:$C$169,MATCH($B22&amp;"/"&amp;$C22,逆引き作成用!G$2:G$169,FALSE),1),"")</f>
        <v/>
      </c>
      <c r="H22" s="17" t="str">
        <f>IFERROR(INDEX(逆引き作成用!$C$2:$C$169,MATCH($B22&amp;"/"&amp;$C22,逆引き作成用!H$2:H$169,FALSE),1),"")</f>
        <v/>
      </c>
      <c r="I22" s="17" t="str">
        <f>IFERROR(INDEX(逆引き作成用!$C$2:$C$169,MATCH($B22&amp;"/"&amp;$C22,逆引き作成用!I$2:I$169,FALSE),1),"")</f>
        <v/>
      </c>
      <c r="J22" s="17" t="str">
        <f>IFERROR(INDEX(逆引き作成用!$C$2:$C$169,MATCH($B22&amp;"/"&amp;$C22,逆引き作成用!J$2:J$169,FALSE),1),"")</f>
        <v/>
      </c>
      <c r="K22" s="17" t="str">
        <f>IFERROR(INDEX(逆引き作成用!$C$2:$C$169,MATCH($B22&amp;"/"&amp;$C22,逆引き作成用!K$2:K$169,FALSE),1),"")</f>
        <v/>
      </c>
      <c r="L22" s="17" t="str">
        <f>IFERROR(INDEX(逆引き作成用!$C$2:$C$169,MATCH($B22&amp;"/"&amp;$C22,逆引き作成用!L$2:L$169,FALSE),1),"")</f>
        <v/>
      </c>
      <c r="M22" s="17" t="str">
        <f>IFERROR(INDEX(逆引き作成用!$C$2:$C$169,MATCH($B22&amp;"/"&amp;$C22,逆引き作成用!M$2:M$169,FALSE),1),"")</f>
        <v/>
      </c>
      <c r="N22" s="17" t="str">
        <f>IFERROR(INDEX(逆引き作成用!$C$2:$C$169,MATCH($B22&amp;"/"&amp;$C22,逆引き作成用!N$2:N$169,FALSE),1),"")</f>
        <v/>
      </c>
      <c r="O22" s="17" t="str">
        <f>IFERROR(INDEX(逆引き作成用!$C$2:$C$169,MATCH($B22&amp;"/"&amp;$C22,逆引き作成用!O$2:O$169,FALSE),1),"")</f>
        <v/>
      </c>
      <c r="P22" s="17" t="str">
        <f>IFERROR(INDEX(逆引き作成用!$C$2:$C$169,MATCH($B22&amp;"/"&amp;$C22,逆引き作成用!P$2:P$169,FALSE),1),"")</f>
        <v/>
      </c>
      <c r="Q22" s="17" t="str">
        <f>IFERROR(INDEX(逆引き作成用!$C$2:$C$169,MATCH($B22&amp;"/"&amp;$C22,逆引き作成用!Q$2:Q$169,FALSE),1),"")</f>
        <v/>
      </c>
      <c r="R22" s="17" t="str">
        <f>IFERROR(INDEX(逆引き作成用!$C$2:$C$169,MATCH($B22&amp;"/"&amp;$C22,逆引き作成用!R$2:R$169,FALSE),1),"")</f>
        <v/>
      </c>
      <c r="S22" s="17" t="str">
        <f>IFERROR(INDEX(逆引き作成用!$C$2:$C$169,MATCH($B22&amp;"/"&amp;$C22,逆引き作成用!S$2:S$169,FALSE),1),"")</f>
        <v/>
      </c>
      <c r="T22" s="17" t="str">
        <f>IFERROR(INDEX(逆引き作成用!$C$2:$C$169,MATCH($B22&amp;"/"&amp;$C22,逆引き作成用!T$2:T$169,FALSE),1),"")</f>
        <v/>
      </c>
      <c r="U22" s="17" t="str">
        <f>IFERROR(INDEX(逆引き作成用!$C$2:$C$169,MATCH($B22&amp;"/"&amp;$C22,逆引き作成用!U$2:U$169,FALSE),1),"")</f>
        <v/>
      </c>
      <c r="V22" s="17" t="str">
        <f>IFERROR(INDEX(逆引き作成用!$C$2:$C$169,MATCH($B22&amp;"/"&amp;$C22,逆引き作成用!V$2:V$169,FALSE),1),"")</f>
        <v/>
      </c>
      <c r="W22" s="17" t="str">
        <f>IFERROR(INDEX(逆引き作成用!$C$2:$C$169,MATCH($B22&amp;"/"&amp;$C22,逆引き作成用!W$2:W$169,FALSE),1),"")</f>
        <v/>
      </c>
      <c r="X22" s="17" t="str">
        <f>IFERROR(INDEX(逆引き作成用!$C$2:$C$169,MATCH($B22&amp;"/"&amp;$C22,逆引き作成用!X$2:X$169,FALSE),1),"")</f>
        <v/>
      </c>
      <c r="Y22" s="17" t="str">
        <f>IFERROR(INDEX(逆引き作成用!$C$2:$C$169,MATCH($B22&amp;"/"&amp;$C22,逆引き作成用!Y$2:Y$169,FALSE),1),"")</f>
        <v/>
      </c>
      <c r="Z22" s="17" t="str">
        <f>IFERROR(INDEX(逆引き作成用!$C$2:$C$169,MATCH($B22&amp;"/"&amp;$C22,逆引き作成用!Z$2:Z$169,FALSE),1),"")</f>
        <v/>
      </c>
      <c r="AA22" s="17" t="str">
        <f>IFERROR(INDEX(逆引き作成用!$C$2:$C$169,MATCH($B22&amp;"/"&amp;$C22,逆引き作成用!AA$2:AA$169,FALSE),1),"")</f>
        <v/>
      </c>
      <c r="AB22" s="17" t="str">
        <f>IFERROR(INDEX(逆引き作成用!$C$2:$C$169,MATCH($B22&amp;"/"&amp;$C22,逆引き作成用!AB$2:AB$169,FALSE),1),"")</f>
        <v/>
      </c>
      <c r="AC22" s="17" t="str">
        <f>IFERROR(INDEX(逆引き作成用!$C$2:$C$169,MATCH($B22&amp;"/"&amp;$C22,逆引き作成用!AC$2:AC$169,FALSE),1),"")</f>
        <v/>
      </c>
      <c r="AD22" s="17" t="str">
        <f>IFERROR(INDEX(逆引き作成用!$C$2:$C$169,MATCH($B22&amp;"/"&amp;$C22,逆引き作成用!AD$2:AD$169,FALSE),1),"")</f>
        <v/>
      </c>
      <c r="AE22" s="17" t="str">
        <f>IFERROR(INDEX(逆引き作成用!$C$2:$C$169,MATCH($B22&amp;"/"&amp;$C22,逆引き作成用!AE$2:AE$169,FALSE),1),"")</f>
        <v/>
      </c>
      <c r="AF22" s="17" t="str">
        <f>IFERROR(INDEX(逆引き作成用!$C$2:$C$169,MATCH($B22&amp;"/"&amp;$C22,逆引き作成用!AF$2:AF$169,FALSE),1),"")</f>
        <v/>
      </c>
      <c r="AG22" s="17" t="str">
        <f>IFERROR(INDEX(逆引き作成用!$C$2:$C$169,MATCH($B22&amp;"/"&amp;$C22,逆引き作成用!AG$2:AG$169,FALSE),1),"")</f>
        <v/>
      </c>
      <c r="AH22" s="17" t="str">
        <f>IFERROR(INDEX(逆引き作成用!$C$2:$C$169,MATCH($B22&amp;"/"&amp;$C22,逆引き作成用!AH$2:AH$169,FALSE),1),"")</f>
        <v/>
      </c>
      <c r="AI22" s="17" t="str">
        <f>IFERROR(INDEX(逆引き作成用!$C$2:$C$169,MATCH($B22&amp;"/"&amp;$C22,逆引き作成用!AI$2:AI$169,FALSE),1),"")</f>
        <v/>
      </c>
      <c r="AJ22" s="17" t="str">
        <f>IFERROR(INDEX(逆引き作成用!$C$2:$C$169,MATCH($B22&amp;"/"&amp;$C22,逆引き作成用!AJ$2:AJ$169,FALSE),1),"")</f>
        <v/>
      </c>
      <c r="AK22" s="17" t="str">
        <f>IFERROR(INDEX(逆引き作成用!$C$2:$C$169,MATCH($B22&amp;"/"&amp;$C22,逆引き作成用!AK$2:AK$169,FALSE),1),"")</f>
        <v/>
      </c>
      <c r="AL22" s="17" t="str">
        <f>IFERROR(INDEX(逆引き作成用!$C$2:$C$169,MATCH($B22&amp;"/"&amp;$C22,逆引き作成用!AL$2:AL$169,FALSE),1),"")</f>
        <v/>
      </c>
      <c r="AM22" s="17" t="str">
        <f>IFERROR(INDEX(逆引き作成用!$C$2:$C$169,MATCH($B22&amp;"/"&amp;$C22,逆引き作成用!AM$2:AM$169,FALSE),1),"")</f>
        <v/>
      </c>
      <c r="AN22" s="17" t="str">
        <f>IFERROR(INDEX(逆引き作成用!$C$2:$C$169,MATCH($B22&amp;"/"&amp;$C22,逆引き作成用!AN$2:AN$169,FALSE),1),"")</f>
        <v/>
      </c>
      <c r="AO22" s="17" t="str">
        <f>IFERROR(INDEX(逆引き作成用!$C$2:$C$169,MATCH($B22&amp;"/"&amp;$C22,逆引き作成用!AO$2:AO$169,FALSE),1),"")</f>
        <v/>
      </c>
      <c r="AP22" s="17" t="str">
        <f>IFERROR(INDEX(逆引き作成用!$C$2:$C$169,MATCH($B22&amp;"/"&amp;$C22,逆引き作成用!AP$2:AP$169,FALSE),1),"")</f>
        <v/>
      </c>
      <c r="AQ22" s="17" t="str">
        <f>IFERROR(INDEX(逆引き作成用!$C$2:$C$169,MATCH($B22&amp;"/"&amp;$C22,逆引き作成用!AQ$2:AQ$169,FALSE),1),"")</f>
        <v/>
      </c>
      <c r="AR22" s="17" t="str">
        <f>IFERROR(INDEX(逆引き作成用!$C$2:$C$169,MATCH($B22&amp;"/"&amp;$C22,逆引き作成用!AR$2:AR$169,FALSE),1),"")</f>
        <v/>
      </c>
      <c r="AS22" s="17" t="str">
        <f>IFERROR(INDEX(逆引き作成用!$C$2:$C$169,MATCH($B22&amp;"/"&amp;$C22,逆引き作成用!AS$2:AS$169,FALSE),1),"")</f>
        <v/>
      </c>
      <c r="AT22" s="17" t="str">
        <f>IFERROR(INDEX(逆引き作成用!$C$2:$C$169,MATCH($B22&amp;"/"&amp;$C22,逆引き作成用!AT$2:AT$169,FALSE),1),"")</f>
        <v/>
      </c>
      <c r="AU22" s="17" t="str">
        <f>IFERROR(INDEX(逆引き作成用!$C$2:$C$169,MATCH($B22&amp;"/"&amp;$C22,逆引き作成用!AU$2:AU$169,FALSE),1),"")</f>
        <v/>
      </c>
      <c r="AV22" s="17" t="str">
        <f>IFERROR(INDEX(逆引き作成用!$C$2:$C$169,MATCH($B22&amp;"/"&amp;$C22,逆引き作成用!AV$2:AV$169,FALSE),1),"")</f>
        <v/>
      </c>
      <c r="AW22" s="17" t="str">
        <f>IFERROR(INDEX(逆引き作成用!$C$2:$C$169,MATCH($B22&amp;"/"&amp;$C22,逆引き作成用!AW$2:AW$169,FALSE),1),"")</f>
        <v/>
      </c>
      <c r="AX22" s="17" t="str">
        <f>IFERROR(INDEX(逆引き作成用!$C$2:$C$169,MATCH($B22&amp;"/"&amp;$C22,逆引き作成用!AX$2:AX$169,FALSE),1),"")</f>
        <v/>
      </c>
      <c r="AY22" s="17" t="str">
        <f>IFERROR(INDEX(逆引き作成用!$C$2:$C$169,MATCH($B22&amp;"/"&amp;$C22,逆引き作成用!AY$2:AY$169,FALSE),1),"")</f>
        <v/>
      </c>
      <c r="AZ22" s="17" t="str">
        <f>IFERROR(INDEX(逆引き作成用!$C$2:$C$169,MATCH($B22&amp;"/"&amp;$C22,逆引き作成用!AZ$2:AZ$169,FALSE),1),"")</f>
        <v/>
      </c>
      <c r="BA22" s="17" t="str">
        <f>IFERROR(INDEX(逆引き作成用!$C$2:$C$169,MATCH($B22&amp;"/"&amp;$C22,逆引き作成用!BA$2:BA$169,FALSE),1),"")</f>
        <v/>
      </c>
    </row>
    <row r="23" spans="1:53">
      <c r="A23" s="17" t="str">
        <f>IFERROR(INDEX(役職一覧!$B$2:$B$31,MATCH(B23,役職一覧!$C$2:$C$31,FALSE),1),"")</f>
        <v/>
      </c>
      <c r="B23" s="17" t="str">
        <f>IFERROR(IF(C23=1,INDEX(役職一覧!$C$2:$C$31,MATCH(逆引き!B22,役職一覧!$C$2:$C$31,FALSE)+1,1)&amp;"",B22),"")</f>
        <v/>
      </c>
      <c r="C23" s="17" t="str">
        <f>IFERROR(IF(VLOOKUP(B22,役職一覧!$C$2:$E$31,3,FALSE)=C22,1,C22+1),"")</f>
        <v/>
      </c>
      <c r="D23" s="17" t="str">
        <f>IFERROR(INDEX(逆引き作成用!$C$2:$C$169,MATCH($B23&amp;"/"&amp;$C23,逆引き作成用!D$2:D$169,FALSE),1),"")</f>
        <v/>
      </c>
      <c r="E23" s="17" t="str">
        <f>IFERROR(INDEX(逆引き作成用!$C$2:$C$169,MATCH($B23&amp;"/"&amp;$C23,逆引き作成用!E$2:E$169,FALSE),1),"")</f>
        <v/>
      </c>
      <c r="F23" s="17" t="str">
        <f>IFERROR(INDEX(逆引き作成用!$C$2:$C$169,MATCH($B23&amp;"/"&amp;$C23,逆引き作成用!F$2:F$169,FALSE),1),"")</f>
        <v/>
      </c>
      <c r="G23" s="17" t="str">
        <f>IFERROR(INDEX(逆引き作成用!$C$2:$C$169,MATCH($B23&amp;"/"&amp;$C23,逆引き作成用!G$2:G$169,FALSE),1),"")</f>
        <v/>
      </c>
      <c r="H23" s="17" t="str">
        <f>IFERROR(INDEX(逆引き作成用!$C$2:$C$169,MATCH($B23&amp;"/"&amp;$C23,逆引き作成用!H$2:H$169,FALSE),1),"")</f>
        <v/>
      </c>
      <c r="I23" s="17" t="str">
        <f>IFERROR(INDEX(逆引き作成用!$C$2:$C$169,MATCH($B23&amp;"/"&amp;$C23,逆引き作成用!I$2:I$169,FALSE),1),"")</f>
        <v/>
      </c>
      <c r="J23" s="17" t="str">
        <f>IFERROR(INDEX(逆引き作成用!$C$2:$C$169,MATCH($B23&amp;"/"&amp;$C23,逆引き作成用!J$2:J$169,FALSE),1),"")</f>
        <v/>
      </c>
      <c r="K23" s="17" t="str">
        <f>IFERROR(INDEX(逆引き作成用!$C$2:$C$169,MATCH($B23&amp;"/"&amp;$C23,逆引き作成用!K$2:K$169,FALSE),1),"")</f>
        <v/>
      </c>
      <c r="L23" s="17" t="str">
        <f>IFERROR(INDEX(逆引き作成用!$C$2:$C$169,MATCH($B23&amp;"/"&amp;$C23,逆引き作成用!L$2:L$169,FALSE),1),"")</f>
        <v/>
      </c>
      <c r="M23" s="17" t="str">
        <f>IFERROR(INDEX(逆引き作成用!$C$2:$C$169,MATCH($B23&amp;"/"&amp;$C23,逆引き作成用!M$2:M$169,FALSE),1),"")</f>
        <v/>
      </c>
      <c r="N23" s="17" t="str">
        <f>IFERROR(INDEX(逆引き作成用!$C$2:$C$169,MATCH($B23&amp;"/"&amp;$C23,逆引き作成用!N$2:N$169,FALSE),1),"")</f>
        <v/>
      </c>
      <c r="O23" s="17" t="str">
        <f>IFERROR(INDEX(逆引き作成用!$C$2:$C$169,MATCH($B23&amp;"/"&amp;$C23,逆引き作成用!O$2:O$169,FALSE),1),"")</f>
        <v/>
      </c>
      <c r="P23" s="17" t="str">
        <f>IFERROR(INDEX(逆引き作成用!$C$2:$C$169,MATCH($B23&amp;"/"&amp;$C23,逆引き作成用!P$2:P$169,FALSE),1),"")</f>
        <v/>
      </c>
      <c r="Q23" s="17" t="str">
        <f>IFERROR(INDEX(逆引き作成用!$C$2:$C$169,MATCH($B23&amp;"/"&amp;$C23,逆引き作成用!Q$2:Q$169,FALSE),1),"")</f>
        <v/>
      </c>
      <c r="R23" s="17" t="str">
        <f>IFERROR(INDEX(逆引き作成用!$C$2:$C$169,MATCH($B23&amp;"/"&amp;$C23,逆引き作成用!R$2:R$169,FALSE),1),"")</f>
        <v/>
      </c>
      <c r="S23" s="17" t="str">
        <f>IFERROR(INDEX(逆引き作成用!$C$2:$C$169,MATCH($B23&amp;"/"&amp;$C23,逆引き作成用!S$2:S$169,FALSE),1),"")</f>
        <v/>
      </c>
      <c r="T23" s="17" t="str">
        <f>IFERROR(INDEX(逆引き作成用!$C$2:$C$169,MATCH($B23&amp;"/"&amp;$C23,逆引き作成用!T$2:T$169,FALSE),1),"")</f>
        <v/>
      </c>
      <c r="U23" s="17" t="str">
        <f>IFERROR(INDEX(逆引き作成用!$C$2:$C$169,MATCH($B23&amp;"/"&amp;$C23,逆引き作成用!U$2:U$169,FALSE),1),"")</f>
        <v/>
      </c>
      <c r="V23" s="17" t="str">
        <f>IFERROR(INDEX(逆引き作成用!$C$2:$C$169,MATCH($B23&amp;"/"&amp;$C23,逆引き作成用!V$2:V$169,FALSE),1),"")</f>
        <v/>
      </c>
      <c r="W23" s="17" t="str">
        <f>IFERROR(INDEX(逆引き作成用!$C$2:$C$169,MATCH($B23&amp;"/"&amp;$C23,逆引き作成用!W$2:W$169,FALSE),1),"")</f>
        <v/>
      </c>
      <c r="X23" s="17" t="str">
        <f>IFERROR(INDEX(逆引き作成用!$C$2:$C$169,MATCH($B23&amp;"/"&amp;$C23,逆引き作成用!X$2:X$169,FALSE),1),"")</f>
        <v/>
      </c>
      <c r="Y23" s="17" t="str">
        <f>IFERROR(INDEX(逆引き作成用!$C$2:$C$169,MATCH($B23&amp;"/"&amp;$C23,逆引き作成用!Y$2:Y$169,FALSE),1),"")</f>
        <v/>
      </c>
      <c r="Z23" s="17" t="str">
        <f>IFERROR(INDEX(逆引き作成用!$C$2:$C$169,MATCH($B23&amp;"/"&amp;$C23,逆引き作成用!Z$2:Z$169,FALSE),1),"")</f>
        <v/>
      </c>
      <c r="AA23" s="17" t="str">
        <f>IFERROR(INDEX(逆引き作成用!$C$2:$C$169,MATCH($B23&amp;"/"&amp;$C23,逆引き作成用!AA$2:AA$169,FALSE),1),"")</f>
        <v/>
      </c>
      <c r="AB23" s="17" t="str">
        <f>IFERROR(INDEX(逆引き作成用!$C$2:$C$169,MATCH($B23&amp;"/"&amp;$C23,逆引き作成用!AB$2:AB$169,FALSE),1),"")</f>
        <v/>
      </c>
      <c r="AC23" s="17" t="str">
        <f>IFERROR(INDEX(逆引き作成用!$C$2:$C$169,MATCH($B23&amp;"/"&amp;$C23,逆引き作成用!AC$2:AC$169,FALSE),1),"")</f>
        <v/>
      </c>
      <c r="AD23" s="17" t="str">
        <f>IFERROR(INDEX(逆引き作成用!$C$2:$C$169,MATCH($B23&amp;"/"&amp;$C23,逆引き作成用!AD$2:AD$169,FALSE),1),"")</f>
        <v/>
      </c>
      <c r="AE23" s="17" t="str">
        <f>IFERROR(INDEX(逆引き作成用!$C$2:$C$169,MATCH($B23&amp;"/"&amp;$C23,逆引き作成用!AE$2:AE$169,FALSE),1),"")</f>
        <v/>
      </c>
      <c r="AF23" s="17" t="str">
        <f>IFERROR(INDEX(逆引き作成用!$C$2:$C$169,MATCH($B23&amp;"/"&amp;$C23,逆引き作成用!AF$2:AF$169,FALSE),1),"")</f>
        <v/>
      </c>
      <c r="AG23" s="17" t="str">
        <f>IFERROR(INDEX(逆引き作成用!$C$2:$C$169,MATCH($B23&amp;"/"&amp;$C23,逆引き作成用!AG$2:AG$169,FALSE),1),"")</f>
        <v/>
      </c>
      <c r="AH23" s="17" t="str">
        <f>IFERROR(INDEX(逆引き作成用!$C$2:$C$169,MATCH($B23&amp;"/"&amp;$C23,逆引き作成用!AH$2:AH$169,FALSE),1),"")</f>
        <v/>
      </c>
      <c r="AI23" s="17" t="str">
        <f>IFERROR(INDEX(逆引き作成用!$C$2:$C$169,MATCH($B23&amp;"/"&amp;$C23,逆引き作成用!AI$2:AI$169,FALSE),1),"")</f>
        <v/>
      </c>
      <c r="AJ23" s="17" t="str">
        <f>IFERROR(INDEX(逆引き作成用!$C$2:$C$169,MATCH($B23&amp;"/"&amp;$C23,逆引き作成用!AJ$2:AJ$169,FALSE),1),"")</f>
        <v/>
      </c>
      <c r="AK23" s="17" t="str">
        <f>IFERROR(INDEX(逆引き作成用!$C$2:$C$169,MATCH($B23&amp;"/"&amp;$C23,逆引き作成用!AK$2:AK$169,FALSE),1),"")</f>
        <v/>
      </c>
      <c r="AL23" s="17" t="str">
        <f>IFERROR(INDEX(逆引き作成用!$C$2:$C$169,MATCH($B23&amp;"/"&amp;$C23,逆引き作成用!AL$2:AL$169,FALSE),1),"")</f>
        <v/>
      </c>
      <c r="AM23" s="17" t="str">
        <f>IFERROR(INDEX(逆引き作成用!$C$2:$C$169,MATCH($B23&amp;"/"&amp;$C23,逆引き作成用!AM$2:AM$169,FALSE),1),"")</f>
        <v/>
      </c>
      <c r="AN23" s="17" t="str">
        <f>IFERROR(INDEX(逆引き作成用!$C$2:$C$169,MATCH($B23&amp;"/"&amp;$C23,逆引き作成用!AN$2:AN$169,FALSE),1),"")</f>
        <v/>
      </c>
      <c r="AO23" s="17" t="str">
        <f>IFERROR(INDEX(逆引き作成用!$C$2:$C$169,MATCH($B23&amp;"/"&amp;$C23,逆引き作成用!AO$2:AO$169,FALSE),1),"")</f>
        <v/>
      </c>
      <c r="AP23" s="17" t="str">
        <f>IFERROR(INDEX(逆引き作成用!$C$2:$C$169,MATCH($B23&amp;"/"&amp;$C23,逆引き作成用!AP$2:AP$169,FALSE),1),"")</f>
        <v/>
      </c>
      <c r="AQ23" s="17" t="str">
        <f>IFERROR(INDEX(逆引き作成用!$C$2:$C$169,MATCH($B23&amp;"/"&amp;$C23,逆引き作成用!AQ$2:AQ$169,FALSE),1),"")</f>
        <v/>
      </c>
      <c r="AR23" s="17" t="str">
        <f>IFERROR(INDEX(逆引き作成用!$C$2:$C$169,MATCH($B23&amp;"/"&amp;$C23,逆引き作成用!AR$2:AR$169,FALSE),1),"")</f>
        <v/>
      </c>
      <c r="AS23" s="17" t="str">
        <f>IFERROR(INDEX(逆引き作成用!$C$2:$C$169,MATCH($B23&amp;"/"&amp;$C23,逆引き作成用!AS$2:AS$169,FALSE),1),"")</f>
        <v/>
      </c>
      <c r="AT23" s="17" t="str">
        <f>IFERROR(INDEX(逆引き作成用!$C$2:$C$169,MATCH($B23&amp;"/"&amp;$C23,逆引き作成用!AT$2:AT$169,FALSE),1),"")</f>
        <v/>
      </c>
      <c r="AU23" s="17" t="str">
        <f>IFERROR(INDEX(逆引き作成用!$C$2:$C$169,MATCH($B23&amp;"/"&amp;$C23,逆引き作成用!AU$2:AU$169,FALSE),1),"")</f>
        <v/>
      </c>
      <c r="AV23" s="17" t="str">
        <f>IFERROR(INDEX(逆引き作成用!$C$2:$C$169,MATCH($B23&amp;"/"&amp;$C23,逆引き作成用!AV$2:AV$169,FALSE),1),"")</f>
        <v/>
      </c>
      <c r="AW23" s="17" t="str">
        <f>IFERROR(INDEX(逆引き作成用!$C$2:$C$169,MATCH($B23&amp;"/"&amp;$C23,逆引き作成用!AW$2:AW$169,FALSE),1),"")</f>
        <v/>
      </c>
      <c r="AX23" s="17" t="str">
        <f>IFERROR(INDEX(逆引き作成用!$C$2:$C$169,MATCH($B23&amp;"/"&amp;$C23,逆引き作成用!AX$2:AX$169,FALSE),1),"")</f>
        <v/>
      </c>
      <c r="AY23" s="17" t="str">
        <f>IFERROR(INDEX(逆引き作成用!$C$2:$C$169,MATCH($B23&amp;"/"&amp;$C23,逆引き作成用!AY$2:AY$169,FALSE),1),"")</f>
        <v/>
      </c>
      <c r="AZ23" s="17" t="str">
        <f>IFERROR(INDEX(逆引き作成用!$C$2:$C$169,MATCH($B23&amp;"/"&amp;$C23,逆引き作成用!AZ$2:AZ$169,FALSE),1),"")</f>
        <v/>
      </c>
      <c r="BA23" s="17" t="str">
        <f>IFERROR(INDEX(逆引き作成用!$C$2:$C$169,MATCH($B23&amp;"/"&amp;$C23,逆引き作成用!BA$2:BA$169,FALSE),1),"")</f>
        <v/>
      </c>
    </row>
    <row r="24" spans="1:53">
      <c r="A24" s="17" t="str">
        <f>IFERROR(INDEX(役職一覧!$B$2:$B$31,MATCH(B24,役職一覧!$C$2:$C$31,FALSE),1),"")</f>
        <v/>
      </c>
      <c r="B24" s="17" t="str">
        <f>IFERROR(IF(C24=1,INDEX(役職一覧!$C$2:$C$31,MATCH(逆引き!B23,役職一覧!$C$2:$C$31,FALSE)+1,1)&amp;"",B23),"")</f>
        <v/>
      </c>
      <c r="C24" s="17" t="str">
        <f>IFERROR(IF(VLOOKUP(B23,役職一覧!$C$2:$E$31,3,FALSE)=C23,1,C23+1),"")</f>
        <v/>
      </c>
      <c r="D24" s="17" t="str">
        <f>IFERROR(INDEX(逆引き作成用!$C$2:$C$169,MATCH($B24&amp;"/"&amp;$C24,逆引き作成用!D$2:D$169,FALSE),1),"")</f>
        <v/>
      </c>
      <c r="E24" s="17" t="str">
        <f>IFERROR(INDEX(逆引き作成用!$C$2:$C$169,MATCH($B24&amp;"/"&amp;$C24,逆引き作成用!E$2:E$169,FALSE),1),"")</f>
        <v/>
      </c>
      <c r="F24" s="17" t="str">
        <f>IFERROR(INDEX(逆引き作成用!$C$2:$C$169,MATCH($B24&amp;"/"&amp;$C24,逆引き作成用!F$2:F$169,FALSE),1),"")</f>
        <v/>
      </c>
      <c r="G24" s="17" t="str">
        <f>IFERROR(INDEX(逆引き作成用!$C$2:$C$169,MATCH($B24&amp;"/"&amp;$C24,逆引き作成用!G$2:G$169,FALSE),1),"")</f>
        <v/>
      </c>
      <c r="H24" s="17" t="str">
        <f>IFERROR(INDEX(逆引き作成用!$C$2:$C$169,MATCH($B24&amp;"/"&amp;$C24,逆引き作成用!H$2:H$169,FALSE),1),"")</f>
        <v/>
      </c>
      <c r="I24" s="17" t="str">
        <f>IFERROR(INDEX(逆引き作成用!$C$2:$C$169,MATCH($B24&amp;"/"&amp;$C24,逆引き作成用!I$2:I$169,FALSE),1),"")</f>
        <v/>
      </c>
      <c r="J24" s="17" t="str">
        <f>IFERROR(INDEX(逆引き作成用!$C$2:$C$169,MATCH($B24&amp;"/"&amp;$C24,逆引き作成用!J$2:J$169,FALSE),1),"")</f>
        <v/>
      </c>
      <c r="K24" s="17" t="str">
        <f>IFERROR(INDEX(逆引き作成用!$C$2:$C$169,MATCH($B24&amp;"/"&amp;$C24,逆引き作成用!K$2:K$169,FALSE),1),"")</f>
        <v/>
      </c>
      <c r="L24" s="17" t="str">
        <f>IFERROR(INDEX(逆引き作成用!$C$2:$C$169,MATCH($B24&amp;"/"&amp;$C24,逆引き作成用!L$2:L$169,FALSE),1),"")</f>
        <v/>
      </c>
      <c r="M24" s="17" t="str">
        <f>IFERROR(INDEX(逆引き作成用!$C$2:$C$169,MATCH($B24&amp;"/"&amp;$C24,逆引き作成用!M$2:M$169,FALSE),1),"")</f>
        <v/>
      </c>
      <c r="N24" s="17" t="str">
        <f>IFERROR(INDEX(逆引き作成用!$C$2:$C$169,MATCH($B24&amp;"/"&amp;$C24,逆引き作成用!N$2:N$169,FALSE),1),"")</f>
        <v/>
      </c>
      <c r="O24" s="17" t="str">
        <f>IFERROR(INDEX(逆引き作成用!$C$2:$C$169,MATCH($B24&amp;"/"&amp;$C24,逆引き作成用!O$2:O$169,FALSE),1),"")</f>
        <v/>
      </c>
      <c r="P24" s="17" t="str">
        <f>IFERROR(INDEX(逆引き作成用!$C$2:$C$169,MATCH($B24&amp;"/"&amp;$C24,逆引き作成用!P$2:P$169,FALSE),1),"")</f>
        <v/>
      </c>
      <c r="Q24" s="17" t="str">
        <f>IFERROR(INDEX(逆引き作成用!$C$2:$C$169,MATCH($B24&amp;"/"&amp;$C24,逆引き作成用!Q$2:Q$169,FALSE),1),"")</f>
        <v/>
      </c>
      <c r="R24" s="17" t="str">
        <f>IFERROR(INDEX(逆引き作成用!$C$2:$C$169,MATCH($B24&amp;"/"&amp;$C24,逆引き作成用!R$2:R$169,FALSE),1),"")</f>
        <v/>
      </c>
      <c r="S24" s="17" t="str">
        <f>IFERROR(INDEX(逆引き作成用!$C$2:$C$169,MATCH($B24&amp;"/"&amp;$C24,逆引き作成用!S$2:S$169,FALSE),1),"")</f>
        <v/>
      </c>
      <c r="T24" s="17" t="str">
        <f>IFERROR(INDEX(逆引き作成用!$C$2:$C$169,MATCH($B24&amp;"/"&amp;$C24,逆引き作成用!T$2:T$169,FALSE),1),"")</f>
        <v/>
      </c>
      <c r="U24" s="17" t="str">
        <f>IFERROR(INDEX(逆引き作成用!$C$2:$C$169,MATCH($B24&amp;"/"&amp;$C24,逆引き作成用!U$2:U$169,FALSE),1),"")</f>
        <v/>
      </c>
      <c r="V24" s="17" t="str">
        <f>IFERROR(INDEX(逆引き作成用!$C$2:$C$169,MATCH($B24&amp;"/"&amp;$C24,逆引き作成用!V$2:V$169,FALSE),1),"")</f>
        <v/>
      </c>
      <c r="W24" s="17" t="str">
        <f>IFERROR(INDEX(逆引き作成用!$C$2:$C$169,MATCH($B24&amp;"/"&amp;$C24,逆引き作成用!W$2:W$169,FALSE),1),"")</f>
        <v/>
      </c>
      <c r="X24" s="17" t="str">
        <f>IFERROR(INDEX(逆引き作成用!$C$2:$C$169,MATCH($B24&amp;"/"&amp;$C24,逆引き作成用!X$2:X$169,FALSE),1),"")</f>
        <v/>
      </c>
      <c r="Y24" s="17" t="str">
        <f>IFERROR(INDEX(逆引き作成用!$C$2:$C$169,MATCH($B24&amp;"/"&amp;$C24,逆引き作成用!Y$2:Y$169,FALSE),1),"")</f>
        <v/>
      </c>
      <c r="Z24" s="17" t="str">
        <f>IFERROR(INDEX(逆引き作成用!$C$2:$C$169,MATCH($B24&amp;"/"&amp;$C24,逆引き作成用!Z$2:Z$169,FALSE),1),"")</f>
        <v/>
      </c>
      <c r="AA24" s="17" t="str">
        <f>IFERROR(INDEX(逆引き作成用!$C$2:$C$169,MATCH($B24&amp;"/"&amp;$C24,逆引き作成用!AA$2:AA$169,FALSE),1),"")</f>
        <v/>
      </c>
      <c r="AB24" s="17" t="str">
        <f>IFERROR(INDEX(逆引き作成用!$C$2:$C$169,MATCH($B24&amp;"/"&amp;$C24,逆引き作成用!AB$2:AB$169,FALSE),1),"")</f>
        <v/>
      </c>
      <c r="AC24" s="17" t="str">
        <f>IFERROR(INDEX(逆引き作成用!$C$2:$C$169,MATCH($B24&amp;"/"&amp;$C24,逆引き作成用!AC$2:AC$169,FALSE),1),"")</f>
        <v/>
      </c>
      <c r="AD24" s="17" t="str">
        <f>IFERROR(INDEX(逆引き作成用!$C$2:$C$169,MATCH($B24&amp;"/"&amp;$C24,逆引き作成用!AD$2:AD$169,FALSE),1),"")</f>
        <v/>
      </c>
      <c r="AE24" s="17" t="str">
        <f>IFERROR(INDEX(逆引き作成用!$C$2:$C$169,MATCH($B24&amp;"/"&amp;$C24,逆引き作成用!AE$2:AE$169,FALSE),1),"")</f>
        <v/>
      </c>
      <c r="AF24" s="17" t="str">
        <f>IFERROR(INDEX(逆引き作成用!$C$2:$C$169,MATCH($B24&amp;"/"&amp;$C24,逆引き作成用!AF$2:AF$169,FALSE),1),"")</f>
        <v/>
      </c>
      <c r="AG24" s="17" t="str">
        <f>IFERROR(INDEX(逆引き作成用!$C$2:$C$169,MATCH($B24&amp;"/"&amp;$C24,逆引き作成用!AG$2:AG$169,FALSE),1),"")</f>
        <v/>
      </c>
      <c r="AH24" s="17" t="str">
        <f>IFERROR(INDEX(逆引き作成用!$C$2:$C$169,MATCH($B24&amp;"/"&amp;$C24,逆引き作成用!AH$2:AH$169,FALSE),1),"")</f>
        <v/>
      </c>
      <c r="AI24" s="17" t="str">
        <f>IFERROR(INDEX(逆引き作成用!$C$2:$C$169,MATCH($B24&amp;"/"&amp;$C24,逆引き作成用!AI$2:AI$169,FALSE),1),"")</f>
        <v/>
      </c>
      <c r="AJ24" s="17" t="str">
        <f>IFERROR(INDEX(逆引き作成用!$C$2:$C$169,MATCH($B24&amp;"/"&amp;$C24,逆引き作成用!AJ$2:AJ$169,FALSE),1),"")</f>
        <v/>
      </c>
      <c r="AK24" s="17" t="str">
        <f>IFERROR(INDEX(逆引き作成用!$C$2:$C$169,MATCH($B24&amp;"/"&amp;$C24,逆引き作成用!AK$2:AK$169,FALSE),1),"")</f>
        <v/>
      </c>
      <c r="AL24" s="17" t="str">
        <f>IFERROR(INDEX(逆引き作成用!$C$2:$C$169,MATCH($B24&amp;"/"&amp;$C24,逆引き作成用!AL$2:AL$169,FALSE),1),"")</f>
        <v/>
      </c>
      <c r="AM24" s="17" t="str">
        <f>IFERROR(INDEX(逆引き作成用!$C$2:$C$169,MATCH($B24&amp;"/"&amp;$C24,逆引き作成用!AM$2:AM$169,FALSE),1),"")</f>
        <v/>
      </c>
      <c r="AN24" s="17" t="str">
        <f>IFERROR(INDEX(逆引き作成用!$C$2:$C$169,MATCH($B24&amp;"/"&amp;$C24,逆引き作成用!AN$2:AN$169,FALSE),1),"")</f>
        <v/>
      </c>
      <c r="AO24" s="17" t="str">
        <f>IFERROR(INDEX(逆引き作成用!$C$2:$C$169,MATCH($B24&amp;"/"&amp;$C24,逆引き作成用!AO$2:AO$169,FALSE),1),"")</f>
        <v/>
      </c>
      <c r="AP24" s="17" t="str">
        <f>IFERROR(INDEX(逆引き作成用!$C$2:$C$169,MATCH($B24&amp;"/"&amp;$C24,逆引き作成用!AP$2:AP$169,FALSE),1),"")</f>
        <v/>
      </c>
      <c r="AQ24" s="17" t="str">
        <f>IFERROR(INDEX(逆引き作成用!$C$2:$C$169,MATCH($B24&amp;"/"&amp;$C24,逆引き作成用!AQ$2:AQ$169,FALSE),1),"")</f>
        <v/>
      </c>
      <c r="AR24" s="17" t="str">
        <f>IFERROR(INDEX(逆引き作成用!$C$2:$C$169,MATCH($B24&amp;"/"&amp;$C24,逆引き作成用!AR$2:AR$169,FALSE),1),"")</f>
        <v/>
      </c>
      <c r="AS24" s="17" t="str">
        <f>IFERROR(INDEX(逆引き作成用!$C$2:$C$169,MATCH($B24&amp;"/"&amp;$C24,逆引き作成用!AS$2:AS$169,FALSE),1),"")</f>
        <v/>
      </c>
      <c r="AT24" s="17" t="str">
        <f>IFERROR(INDEX(逆引き作成用!$C$2:$C$169,MATCH($B24&amp;"/"&amp;$C24,逆引き作成用!AT$2:AT$169,FALSE),1),"")</f>
        <v/>
      </c>
      <c r="AU24" s="17" t="str">
        <f>IFERROR(INDEX(逆引き作成用!$C$2:$C$169,MATCH($B24&amp;"/"&amp;$C24,逆引き作成用!AU$2:AU$169,FALSE),1),"")</f>
        <v/>
      </c>
      <c r="AV24" s="17" t="str">
        <f>IFERROR(INDEX(逆引き作成用!$C$2:$C$169,MATCH($B24&amp;"/"&amp;$C24,逆引き作成用!AV$2:AV$169,FALSE),1),"")</f>
        <v/>
      </c>
      <c r="AW24" s="17" t="str">
        <f>IFERROR(INDEX(逆引き作成用!$C$2:$C$169,MATCH($B24&amp;"/"&amp;$C24,逆引き作成用!AW$2:AW$169,FALSE),1),"")</f>
        <v/>
      </c>
      <c r="AX24" s="17" t="str">
        <f>IFERROR(INDEX(逆引き作成用!$C$2:$C$169,MATCH($B24&amp;"/"&amp;$C24,逆引き作成用!AX$2:AX$169,FALSE),1),"")</f>
        <v/>
      </c>
      <c r="AY24" s="17" t="str">
        <f>IFERROR(INDEX(逆引き作成用!$C$2:$C$169,MATCH($B24&amp;"/"&amp;$C24,逆引き作成用!AY$2:AY$169,FALSE),1),"")</f>
        <v/>
      </c>
      <c r="AZ24" s="17" t="str">
        <f>IFERROR(INDEX(逆引き作成用!$C$2:$C$169,MATCH($B24&amp;"/"&amp;$C24,逆引き作成用!AZ$2:AZ$169,FALSE),1),"")</f>
        <v/>
      </c>
      <c r="BA24" s="17" t="str">
        <f>IFERROR(INDEX(逆引き作成用!$C$2:$C$169,MATCH($B24&amp;"/"&amp;$C24,逆引き作成用!BA$2:BA$169,FALSE),1),"")</f>
        <v/>
      </c>
    </row>
    <row r="25" spans="1:53">
      <c r="A25" s="17" t="str">
        <f>IFERROR(INDEX(役職一覧!$B$2:$B$31,MATCH(B25,役職一覧!$C$2:$C$31,FALSE),1),"")</f>
        <v/>
      </c>
      <c r="B25" s="17" t="str">
        <f>IFERROR(IF(C25=1,INDEX(役職一覧!$C$2:$C$31,MATCH(逆引き!B24,役職一覧!$C$2:$C$31,FALSE)+1,1)&amp;"",B24),"")</f>
        <v/>
      </c>
      <c r="C25" s="17" t="str">
        <f>IFERROR(IF(VLOOKUP(B24,役職一覧!$C$2:$E$31,3,FALSE)=C24,1,C24+1),"")</f>
        <v/>
      </c>
      <c r="D25" s="17" t="str">
        <f>IFERROR(INDEX(逆引き作成用!$C$2:$C$169,MATCH($B25&amp;"/"&amp;$C25,逆引き作成用!D$2:D$169,FALSE),1),"")</f>
        <v/>
      </c>
      <c r="E25" s="17" t="str">
        <f>IFERROR(INDEX(逆引き作成用!$C$2:$C$169,MATCH($B25&amp;"/"&amp;$C25,逆引き作成用!E$2:E$169,FALSE),1),"")</f>
        <v/>
      </c>
      <c r="F25" s="17" t="str">
        <f>IFERROR(INDEX(逆引き作成用!$C$2:$C$169,MATCH($B25&amp;"/"&amp;$C25,逆引き作成用!F$2:F$169,FALSE),1),"")</f>
        <v/>
      </c>
      <c r="G25" s="17" t="str">
        <f>IFERROR(INDEX(逆引き作成用!$C$2:$C$169,MATCH($B25&amp;"/"&amp;$C25,逆引き作成用!G$2:G$169,FALSE),1),"")</f>
        <v/>
      </c>
      <c r="H25" s="17" t="str">
        <f>IFERROR(INDEX(逆引き作成用!$C$2:$C$169,MATCH($B25&amp;"/"&amp;$C25,逆引き作成用!H$2:H$169,FALSE),1),"")</f>
        <v/>
      </c>
      <c r="I25" s="17" t="str">
        <f>IFERROR(INDEX(逆引き作成用!$C$2:$C$169,MATCH($B25&amp;"/"&amp;$C25,逆引き作成用!I$2:I$169,FALSE),1),"")</f>
        <v/>
      </c>
      <c r="J25" s="17" t="str">
        <f>IFERROR(INDEX(逆引き作成用!$C$2:$C$169,MATCH($B25&amp;"/"&amp;$C25,逆引き作成用!J$2:J$169,FALSE),1),"")</f>
        <v/>
      </c>
      <c r="K25" s="17" t="str">
        <f>IFERROR(INDEX(逆引き作成用!$C$2:$C$169,MATCH($B25&amp;"/"&amp;$C25,逆引き作成用!K$2:K$169,FALSE),1),"")</f>
        <v/>
      </c>
      <c r="L25" s="17" t="str">
        <f>IFERROR(INDEX(逆引き作成用!$C$2:$C$169,MATCH($B25&amp;"/"&amp;$C25,逆引き作成用!L$2:L$169,FALSE),1),"")</f>
        <v/>
      </c>
      <c r="M25" s="17" t="str">
        <f>IFERROR(INDEX(逆引き作成用!$C$2:$C$169,MATCH($B25&amp;"/"&amp;$C25,逆引き作成用!M$2:M$169,FALSE),1),"")</f>
        <v/>
      </c>
      <c r="N25" s="17" t="str">
        <f>IFERROR(INDEX(逆引き作成用!$C$2:$C$169,MATCH($B25&amp;"/"&amp;$C25,逆引き作成用!N$2:N$169,FALSE),1),"")</f>
        <v/>
      </c>
      <c r="O25" s="17" t="str">
        <f>IFERROR(INDEX(逆引き作成用!$C$2:$C$169,MATCH($B25&amp;"/"&amp;$C25,逆引き作成用!O$2:O$169,FALSE),1),"")</f>
        <v/>
      </c>
      <c r="P25" s="17" t="str">
        <f>IFERROR(INDEX(逆引き作成用!$C$2:$C$169,MATCH($B25&amp;"/"&amp;$C25,逆引き作成用!P$2:P$169,FALSE),1),"")</f>
        <v/>
      </c>
      <c r="Q25" s="17" t="str">
        <f>IFERROR(INDEX(逆引き作成用!$C$2:$C$169,MATCH($B25&amp;"/"&amp;$C25,逆引き作成用!Q$2:Q$169,FALSE),1),"")</f>
        <v/>
      </c>
      <c r="R25" s="17" t="str">
        <f>IFERROR(INDEX(逆引き作成用!$C$2:$C$169,MATCH($B25&amp;"/"&amp;$C25,逆引き作成用!R$2:R$169,FALSE),1),"")</f>
        <v/>
      </c>
      <c r="S25" s="17" t="str">
        <f>IFERROR(INDEX(逆引き作成用!$C$2:$C$169,MATCH($B25&amp;"/"&amp;$C25,逆引き作成用!S$2:S$169,FALSE),1),"")</f>
        <v/>
      </c>
      <c r="T25" s="17" t="str">
        <f>IFERROR(INDEX(逆引き作成用!$C$2:$C$169,MATCH($B25&amp;"/"&amp;$C25,逆引き作成用!T$2:T$169,FALSE),1),"")</f>
        <v/>
      </c>
      <c r="U25" s="17" t="str">
        <f>IFERROR(INDEX(逆引き作成用!$C$2:$C$169,MATCH($B25&amp;"/"&amp;$C25,逆引き作成用!U$2:U$169,FALSE),1),"")</f>
        <v/>
      </c>
      <c r="V25" s="17" t="str">
        <f>IFERROR(INDEX(逆引き作成用!$C$2:$C$169,MATCH($B25&amp;"/"&amp;$C25,逆引き作成用!V$2:V$169,FALSE),1),"")</f>
        <v/>
      </c>
      <c r="W25" s="17" t="str">
        <f>IFERROR(INDEX(逆引き作成用!$C$2:$C$169,MATCH($B25&amp;"/"&amp;$C25,逆引き作成用!W$2:W$169,FALSE),1),"")</f>
        <v/>
      </c>
      <c r="X25" s="17" t="str">
        <f>IFERROR(INDEX(逆引き作成用!$C$2:$C$169,MATCH($B25&amp;"/"&amp;$C25,逆引き作成用!X$2:X$169,FALSE),1),"")</f>
        <v/>
      </c>
      <c r="Y25" s="17" t="str">
        <f>IFERROR(INDEX(逆引き作成用!$C$2:$C$169,MATCH($B25&amp;"/"&amp;$C25,逆引き作成用!Y$2:Y$169,FALSE),1),"")</f>
        <v/>
      </c>
      <c r="Z25" s="17" t="str">
        <f>IFERROR(INDEX(逆引き作成用!$C$2:$C$169,MATCH($B25&amp;"/"&amp;$C25,逆引き作成用!Z$2:Z$169,FALSE),1),"")</f>
        <v/>
      </c>
      <c r="AA25" s="17" t="str">
        <f>IFERROR(INDEX(逆引き作成用!$C$2:$C$169,MATCH($B25&amp;"/"&amp;$C25,逆引き作成用!AA$2:AA$169,FALSE),1),"")</f>
        <v/>
      </c>
      <c r="AB25" s="17" t="str">
        <f>IFERROR(INDEX(逆引き作成用!$C$2:$C$169,MATCH($B25&amp;"/"&amp;$C25,逆引き作成用!AB$2:AB$169,FALSE),1),"")</f>
        <v/>
      </c>
      <c r="AC25" s="17" t="str">
        <f>IFERROR(INDEX(逆引き作成用!$C$2:$C$169,MATCH($B25&amp;"/"&amp;$C25,逆引き作成用!AC$2:AC$169,FALSE),1),"")</f>
        <v/>
      </c>
      <c r="AD25" s="17" t="str">
        <f>IFERROR(INDEX(逆引き作成用!$C$2:$C$169,MATCH($B25&amp;"/"&amp;$C25,逆引き作成用!AD$2:AD$169,FALSE),1),"")</f>
        <v/>
      </c>
      <c r="AE25" s="17" t="str">
        <f>IFERROR(INDEX(逆引き作成用!$C$2:$C$169,MATCH($B25&amp;"/"&amp;$C25,逆引き作成用!AE$2:AE$169,FALSE),1),"")</f>
        <v/>
      </c>
      <c r="AF25" s="17" t="str">
        <f>IFERROR(INDEX(逆引き作成用!$C$2:$C$169,MATCH($B25&amp;"/"&amp;$C25,逆引き作成用!AF$2:AF$169,FALSE),1),"")</f>
        <v/>
      </c>
      <c r="AG25" s="17" t="str">
        <f>IFERROR(INDEX(逆引き作成用!$C$2:$C$169,MATCH($B25&amp;"/"&amp;$C25,逆引き作成用!AG$2:AG$169,FALSE),1),"")</f>
        <v/>
      </c>
      <c r="AH25" s="17" t="str">
        <f>IFERROR(INDEX(逆引き作成用!$C$2:$C$169,MATCH($B25&amp;"/"&amp;$C25,逆引き作成用!AH$2:AH$169,FALSE),1),"")</f>
        <v/>
      </c>
      <c r="AI25" s="17" t="str">
        <f>IFERROR(INDEX(逆引き作成用!$C$2:$C$169,MATCH($B25&amp;"/"&amp;$C25,逆引き作成用!AI$2:AI$169,FALSE),1),"")</f>
        <v/>
      </c>
      <c r="AJ25" s="17" t="str">
        <f>IFERROR(INDEX(逆引き作成用!$C$2:$C$169,MATCH($B25&amp;"/"&amp;$C25,逆引き作成用!AJ$2:AJ$169,FALSE),1),"")</f>
        <v/>
      </c>
      <c r="AK25" s="17" t="str">
        <f>IFERROR(INDEX(逆引き作成用!$C$2:$C$169,MATCH($B25&amp;"/"&amp;$C25,逆引き作成用!AK$2:AK$169,FALSE),1),"")</f>
        <v/>
      </c>
      <c r="AL25" s="17" t="str">
        <f>IFERROR(INDEX(逆引き作成用!$C$2:$C$169,MATCH($B25&amp;"/"&amp;$C25,逆引き作成用!AL$2:AL$169,FALSE),1),"")</f>
        <v/>
      </c>
      <c r="AM25" s="17" t="str">
        <f>IFERROR(INDEX(逆引き作成用!$C$2:$C$169,MATCH($B25&amp;"/"&amp;$C25,逆引き作成用!AM$2:AM$169,FALSE),1),"")</f>
        <v/>
      </c>
      <c r="AN25" s="17" t="str">
        <f>IFERROR(INDEX(逆引き作成用!$C$2:$C$169,MATCH($B25&amp;"/"&amp;$C25,逆引き作成用!AN$2:AN$169,FALSE),1),"")</f>
        <v/>
      </c>
      <c r="AO25" s="17" t="str">
        <f>IFERROR(INDEX(逆引き作成用!$C$2:$C$169,MATCH($B25&amp;"/"&amp;$C25,逆引き作成用!AO$2:AO$169,FALSE),1),"")</f>
        <v/>
      </c>
      <c r="AP25" s="17" t="str">
        <f>IFERROR(INDEX(逆引き作成用!$C$2:$C$169,MATCH($B25&amp;"/"&amp;$C25,逆引き作成用!AP$2:AP$169,FALSE),1),"")</f>
        <v/>
      </c>
      <c r="AQ25" s="17" t="str">
        <f>IFERROR(INDEX(逆引き作成用!$C$2:$C$169,MATCH($B25&amp;"/"&amp;$C25,逆引き作成用!AQ$2:AQ$169,FALSE),1),"")</f>
        <v/>
      </c>
      <c r="AR25" s="17" t="str">
        <f>IFERROR(INDEX(逆引き作成用!$C$2:$C$169,MATCH($B25&amp;"/"&amp;$C25,逆引き作成用!AR$2:AR$169,FALSE),1),"")</f>
        <v/>
      </c>
      <c r="AS25" s="17" t="str">
        <f>IFERROR(INDEX(逆引き作成用!$C$2:$C$169,MATCH($B25&amp;"/"&amp;$C25,逆引き作成用!AS$2:AS$169,FALSE),1),"")</f>
        <v/>
      </c>
      <c r="AT25" s="17" t="str">
        <f>IFERROR(INDEX(逆引き作成用!$C$2:$C$169,MATCH($B25&amp;"/"&amp;$C25,逆引き作成用!AT$2:AT$169,FALSE),1),"")</f>
        <v/>
      </c>
      <c r="AU25" s="17" t="str">
        <f>IFERROR(INDEX(逆引き作成用!$C$2:$C$169,MATCH($B25&amp;"/"&amp;$C25,逆引き作成用!AU$2:AU$169,FALSE),1),"")</f>
        <v/>
      </c>
      <c r="AV25" s="17" t="str">
        <f>IFERROR(INDEX(逆引き作成用!$C$2:$C$169,MATCH($B25&amp;"/"&amp;$C25,逆引き作成用!AV$2:AV$169,FALSE),1),"")</f>
        <v/>
      </c>
      <c r="AW25" s="17" t="str">
        <f>IFERROR(INDEX(逆引き作成用!$C$2:$C$169,MATCH($B25&amp;"/"&amp;$C25,逆引き作成用!AW$2:AW$169,FALSE),1),"")</f>
        <v/>
      </c>
      <c r="AX25" s="17" t="str">
        <f>IFERROR(INDEX(逆引き作成用!$C$2:$C$169,MATCH($B25&amp;"/"&amp;$C25,逆引き作成用!AX$2:AX$169,FALSE),1),"")</f>
        <v/>
      </c>
      <c r="AY25" s="17" t="str">
        <f>IFERROR(INDEX(逆引き作成用!$C$2:$C$169,MATCH($B25&amp;"/"&amp;$C25,逆引き作成用!AY$2:AY$169,FALSE),1),"")</f>
        <v/>
      </c>
      <c r="AZ25" s="17" t="str">
        <f>IFERROR(INDEX(逆引き作成用!$C$2:$C$169,MATCH($B25&amp;"/"&amp;$C25,逆引き作成用!AZ$2:AZ$169,FALSE),1),"")</f>
        <v/>
      </c>
      <c r="BA25" s="17" t="str">
        <f>IFERROR(INDEX(逆引き作成用!$C$2:$C$169,MATCH($B25&amp;"/"&amp;$C25,逆引き作成用!BA$2:BA$169,FALSE),1),"")</f>
        <v/>
      </c>
    </row>
    <row r="26" spans="1:53">
      <c r="A26" s="17" t="str">
        <f>IFERROR(INDEX(役職一覧!$B$2:$B$31,MATCH(B26,役職一覧!$C$2:$C$31,FALSE),1),"")</f>
        <v/>
      </c>
      <c r="B26" s="17" t="str">
        <f>IFERROR(IF(C26=1,INDEX(役職一覧!$C$2:$C$31,MATCH(逆引き!B25,役職一覧!$C$2:$C$31,FALSE)+1,1)&amp;"",B25),"")</f>
        <v/>
      </c>
      <c r="C26" s="17" t="str">
        <f>IFERROR(IF(VLOOKUP(B25,役職一覧!$C$2:$E$31,3,FALSE)=C25,1,C25+1),"")</f>
        <v/>
      </c>
      <c r="D26" s="17" t="str">
        <f>IFERROR(INDEX(逆引き作成用!$C$2:$C$169,MATCH($B26&amp;"/"&amp;$C26,逆引き作成用!D$2:D$169,FALSE),1),"")</f>
        <v/>
      </c>
      <c r="E26" s="17" t="str">
        <f>IFERROR(INDEX(逆引き作成用!$C$2:$C$169,MATCH($B26&amp;"/"&amp;$C26,逆引き作成用!E$2:E$169,FALSE),1),"")</f>
        <v/>
      </c>
      <c r="F26" s="17" t="str">
        <f>IFERROR(INDEX(逆引き作成用!$C$2:$C$169,MATCH($B26&amp;"/"&amp;$C26,逆引き作成用!F$2:F$169,FALSE),1),"")</f>
        <v/>
      </c>
      <c r="G26" s="17" t="str">
        <f>IFERROR(INDEX(逆引き作成用!$C$2:$C$169,MATCH($B26&amp;"/"&amp;$C26,逆引き作成用!G$2:G$169,FALSE),1),"")</f>
        <v/>
      </c>
      <c r="H26" s="17" t="str">
        <f>IFERROR(INDEX(逆引き作成用!$C$2:$C$169,MATCH($B26&amp;"/"&amp;$C26,逆引き作成用!H$2:H$169,FALSE),1),"")</f>
        <v/>
      </c>
      <c r="I26" s="17" t="str">
        <f>IFERROR(INDEX(逆引き作成用!$C$2:$C$169,MATCH($B26&amp;"/"&amp;$C26,逆引き作成用!I$2:I$169,FALSE),1),"")</f>
        <v/>
      </c>
      <c r="J26" s="17" t="str">
        <f>IFERROR(INDEX(逆引き作成用!$C$2:$C$169,MATCH($B26&amp;"/"&amp;$C26,逆引き作成用!J$2:J$169,FALSE),1),"")</f>
        <v/>
      </c>
      <c r="K26" s="17" t="str">
        <f>IFERROR(INDEX(逆引き作成用!$C$2:$C$169,MATCH($B26&amp;"/"&amp;$C26,逆引き作成用!K$2:K$169,FALSE),1),"")</f>
        <v/>
      </c>
      <c r="L26" s="17" t="str">
        <f>IFERROR(INDEX(逆引き作成用!$C$2:$C$169,MATCH($B26&amp;"/"&amp;$C26,逆引き作成用!L$2:L$169,FALSE),1),"")</f>
        <v/>
      </c>
      <c r="M26" s="17" t="str">
        <f>IFERROR(INDEX(逆引き作成用!$C$2:$C$169,MATCH($B26&amp;"/"&amp;$C26,逆引き作成用!M$2:M$169,FALSE),1),"")</f>
        <v/>
      </c>
      <c r="N26" s="17" t="str">
        <f>IFERROR(INDEX(逆引き作成用!$C$2:$C$169,MATCH($B26&amp;"/"&amp;$C26,逆引き作成用!N$2:N$169,FALSE),1),"")</f>
        <v/>
      </c>
      <c r="O26" s="17" t="str">
        <f>IFERROR(INDEX(逆引き作成用!$C$2:$C$169,MATCH($B26&amp;"/"&amp;$C26,逆引き作成用!O$2:O$169,FALSE),1),"")</f>
        <v/>
      </c>
      <c r="P26" s="17" t="str">
        <f>IFERROR(INDEX(逆引き作成用!$C$2:$C$169,MATCH($B26&amp;"/"&amp;$C26,逆引き作成用!P$2:P$169,FALSE),1),"")</f>
        <v/>
      </c>
      <c r="Q26" s="17" t="str">
        <f>IFERROR(INDEX(逆引き作成用!$C$2:$C$169,MATCH($B26&amp;"/"&amp;$C26,逆引き作成用!Q$2:Q$169,FALSE),1),"")</f>
        <v/>
      </c>
      <c r="R26" s="17" t="str">
        <f>IFERROR(INDEX(逆引き作成用!$C$2:$C$169,MATCH($B26&amp;"/"&amp;$C26,逆引き作成用!R$2:R$169,FALSE),1),"")</f>
        <v/>
      </c>
      <c r="S26" s="17" t="str">
        <f>IFERROR(INDEX(逆引き作成用!$C$2:$C$169,MATCH($B26&amp;"/"&amp;$C26,逆引き作成用!S$2:S$169,FALSE),1),"")</f>
        <v/>
      </c>
      <c r="T26" s="17" t="str">
        <f>IFERROR(INDEX(逆引き作成用!$C$2:$C$169,MATCH($B26&amp;"/"&amp;$C26,逆引き作成用!T$2:T$169,FALSE),1),"")</f>
        <v/>
      </c>
      <c r="U26" s="17" t="str">
        <f>IFERROR(INDEX(逆引き作成用!$C$2:$C$169,MATCH($B26&amp;"/"&amp;$C26,逆引き作成用!U$2:U$169,FALSE),1),"")</f>
        <v/>
      </c>
      <c r="V26" s="17" t="str">
        <f>IFERROR(INDEX(逆引き作成用!$C$2:$C$169,MATCH($B26&amp;"/"&amp;$C26,逆引き作成用!V$2:V$169,FALSE),1),"")</f>
        <v/>
      </c>
      <c r="W26" s="17" t="str">
        <f>IFERROR(INDEX(逆引き作成用!$C$2:$C$169,MATCH($B26&amp;"/"&amp;$C26,逆引き作成用!W$2:W$169,FALSE),1),"")</f>
        <v/>
      </c>
      <c r="X26" s="17" t="str">
        <f>IFERROR(INDEX(逆引き作成用!$C$2:$C$169,MATCH($B26&amp;"/"&amp;$C26,逆引き作成用!X$2:X$169,FALSE),1),"")</f>
        <v/>
      </c>
      <c r="Y26" s="17" t="str">
        <f>IFERROR(INDEX(逆引き作成用!$C$2:$C$169,MATCH($B26&amp;"/"&amp;$C26,逆引き作成用!Y$2:Y$169,FALSE),1),"")</f>
        <v/>
      </c>
      <c r="Z26" s="17" t="str">
        <f>IFERROR(INDEX(逆引き作成用!$C$2:$C$169,MATCH($B26&amp;"/"&amp;$C26,逆引き作成用!Z$2:Z$169,FALSE),1),"")</f>
        <v/>
      </c>
      <c r="AA26" s="17" t="str">
        <f>IFERROR(INDEX(逆引き作成用!$C$2:$C$169,MATCH($B26&amp;"/"&amp;$C26,逆引き作成用!AA$2:AA$169,FALSE),1),"")</f>
        <v/>
      </c>
      <c r="AB26" s="17" t="str">
        <f>IFERROR(INDEX(逆引き作成用!$C$2:$C$169,MATCH($B26&amp;"/"&amp;$C26,逆引き作成用!AB$2:AB$169,FALSE),1),"")</f>
        <v/>
      </c>
      <c r="AC26" s="17" t="str">
        <f>IFERROR(INDEX(逆引き作成用!$C$2:$C$169,MATCH($B26&amp;"/"&amp;$C26,逆引き作成用!AC$2:AC$169,FALSE),1),"")</f>
        <v/>
      </c>
      <c r="AD26" s="17" t="str">
        <f>IFERROR(INDEX(逆引き作成用!$C$2:$C$169,MATCH($B26&amp;"/"&amp;$C26,逆引き作成用!AD$2:AD$169,FALSE),1),"")</f>
        <v/>
      </c>
      <c r="AE26" s="17" t="str">
        <f>IFERROR(INDEX(逆引き作成用!$C$2:$C$169,MATCH($B26&amp;"/"&amp;$C26,逆引き作成用!AE$2:AE$169,FALSE),1),"")</f>
        <v/>
      </c>
      <c r="AF26" s="17" t="str">
        <f>IFERROR(INDEX(逆引き作成用!$C$2:$C$169,MATCH($B26&amp;"/"&amp;$C26,逆引き作成用!AF$2:AF$169,FALSE),1),"")</f>
        <v/>
      </c>
      <c r="AG26" s="17" t="str">
        <f>IFERROR(INDEX(逆引き作成用!$C$2:$C$169,MATCH($B26&amp;"/"&amp;$C26,逆引き作成用!AG$2:AG$169,FALSE),1),"")</f>
        <v/>
      </c>
      <c r="AH26" s="17" t="str">
        <f>IFERROR(INDEX(逆引き作成用!$C$2:$C$169,MATCH($B26&amp;"/"&amp;$C26,逆引き作成用!AH$2:AH$169,FALSE),1),"")</f>
        <v/>
      </c>
      <c r="AI26" s="17" t="str">
        <f>IFERROR(INDEX(逆引き作成用!$C$2:$C$169,MATCH($B26&amp;"/"&amp;$C26,逆引き作成用!AI$2:AI$169,FALSE),1),"")</f>
        <v/>
      </c>
      <c r="AJ26" s="17" t="str">
        <f>IFERROR(INDEX(逆引き作成用!$C$2:$C$169,MATCH($B26&amp;"/"&amp;$C26,逆引き作成用!AJ$2:AJ$169,FALSE),1),"")</f>
        <v/>
      </c>
      <c r="AK26" s="17" t="str">
        <f>IFERROR(INDEX(逆引き作成用!$C$2:$C$169,MATCH($B26&amp;"/"&amp;$C26,逆引き作成用!AK$2:AK$169,FALSE),1),"")</f>
        <v/>
      </c>
      <c r="AL26" s="17" t="str">
        <f>IFERROR(INDEX(逆引き作成用!$C$2:$C$169,MATCH($B26&amp;"/"&amp;$C26,逆引き作成用!AL$2:AL$169,FALSE),1),"")</f>
        <v/>
      </c>
      <c r="AM26" s="17" t="str">
        <f>IFERROR(INDEX(逆引き作成用!$C$2:$C$169,MATCH($B26&amp;"/"&amp;$C26,逆引き作成用!AM$2:AM$169,FALSE),1),"")</f>
        <v/>
      </c>
      <c r="AN26" s="17" t="str">
        <f>IFERROR(INDEX(逆引き作成用!$C$2:$C$169,MATCH($B26&amp;"/"&amp;$C26,逆引き作成用!AN$2:AN$169,FALSE),1),"")</f>
        <v/>
      </c>
      <c r="AO26" s="17" t="str">
        <f>IFERROR(INDEX(逆引き作成用!$C$2:$C$169,MATCH($B26&amp;"/"&amp;$C26,逆引き作成用!AO$2:AO$169,FALSE),1),"")</f>
        <v/>
      </c>
      <c r="AP26" s="17" t="str">
        <f>IFERROR(INDEX(逆引き作成用!$C$2:$C$169,MATCH($B26&amp;"/"&amp;$C26,逆引き作成用!AP$2:AP$169,FALSE),1),"")</f>
        <v/>
      </c>
      <c r="AQ26" s="17" t="str">
        <f>IFERROR(INDEX(逆引き作成用!$C$2:$C$169,MATCH($B26&amp;"/"&amp;$C26,逆引き作成用!AQ$2:AQ$169,FALSE),1),"")</f>
        <v/>
      </c>
      <c r="AR26" s="17" t="str">
        <f>IFERROR(INDEX(逆引き作成用!$C$2:$C$169,MATCH($B26&amp;"/"&amp;$C26,逆引き作成用!AR$2:AR$169,FALSE),1),"")</f>
        <v/>
      </c>
      <c r="AS26" s="17" t="str">
        <f>IFERROR(INDEX(逆引き作成用!$C$2:$C$169,MATCH($B26&amp;"/"&amp;$C26,逆引き作成用!AS$2:AS$169,FALSE),1),"")</f>
        <v/>
      </c>
      <c r="AT26" s="17" t="str">
        <f>IFERROR(INDEX(逆引き作成用!$C$2:$C$169,MATCH($B26&amp;"/"&amp;$C26,逆引き作成用!AT$2:AT$169,FALSE),1),"")</f>
        <v/>
      </c>
      <c r="AU26" s="17" t="str">
        <f>IFERROR(INDEX(逆引き作成用!$C$2:$C$169,MATCH($B26&amp;"/"&amp;$C26,逆引き作成用!AU$2:AU$169,FALSE),1),"")</f>
        <v/>
      </c>
      <c r="AV26" s="17" t="str">
        <f>IFERROR(INDEX(逆引き作成用!$C$2:$C$169,MATCH($B26&amp;"/"&amp;$C26,逆引き作成用!AV$2:AV$169,FALSE),1),"")</f>
        <v/>
      </c>
      <c r="AW26" s="17" t="str">
        <f>IFERROR(INDEX(逆引き作成用!$C$2:$C$169,MATCH($B26&amp;"/"&amp;$C26,逆引き作成用!AW$2:AW$169,FALSE),1),"")</f>
        <v/>
      </c>
      <c r="AX26" s="17" t="str">
        <f>IFERROR(INDEX(逆引き作成用!$C$2:$C$169,MATCH($B26&amp;"/"&amp;$C26,逆引き作成用!AX$2:AX$169,FALSE),1),"")</f>
        <v/>
      </c>
      <c r="AY26" s="17" t="str">
        <f>IFERROR(INDEX(逆引き作成用!$C$2:$C$169,MATCH($B26&amp;"/"&amp;$C26,逆引き作成用!AY$2:AY$169,FALSE),1),"")</f>
        <v/>
      </c>
      <c r="AZ26" s="17" t="str">
        <f>IFERROR(INDEX(逆引き作成用!$C$2:$C$169,MATCH($B26&amp;"/"&amp;$C26,逆引き作成用!AZ$2:AZ$169,FALSE),1),"")</f>
        <v/>
      </c>
      <c r="BA26" s="17" t="str">
        <f>IFERROR(INDEX(逆引き作成用!$C$2:$C$169,MATCH($B26&amp;"/"&amp;$C26,逆引き作成用!BA$2:BA$169,FALSE),1),"")</f>
        <v/>
      </c>
    </row>
    <row r="27" spans="1:53">
      <c r="A27" s="17" t="str">
        <f>IFERROR(INDEX(役職一覧!$B$2:$B$31,MATCH(B27,役職一覧!$C$2:$C$31,FALSE),1),"")</f>
        <v/>
      </c>
      <c r="B27" s="17" t="str">
        <f>IFERROR(IF(C27=1,INDEX(役職一覧!$C$2:$C$31,MATCH(逆引き!B26,役職一覧!$C$2:$C$31,FALSE)+1,1)&amp;"",B26),"")</f>
        <v/>
      </c>
      <c r="C27" s="17" t="str">
        <f>IFERROR(IF(VLOOKUP(B26,役職一覧!$C$2:$E$31,3,FALSE)=C26,1,C26+1),"")</f>
        <v/>
      </c>
      <c r="D27" s="17" t="str">
        <f>IFERROR(INDEX(逆引き作成用!$C$2:$C$169,MATCH($B27&amp;"/"&amp;$C27,逆引き作成用!D$2:D$169,FALSE),1),"")</f>
        <v/>
      </c>
      <c r="E27" s="17" t="str">
        <f>IFERROR(INDEX(逆引き作成用!$C$2:$C$169,MATCH($B27&amp;"/"&amp;$C27,逆引き作成用!E$2:E$169,FALSE),1),"")</f>
        <v/>
      </c>
      <c r="F27" s="17" t="str">
        <f>IFERROR(INDEX(逆引き作成用!$C$2:$C$169,MATCH($B27&amp;"/"&amp;$C27,逆引き作成用!F$2:F$169,FALSE),1),"")</f>
        <v/>
      </c>
      <c r="G27" s="17" t="str">
        <f>IFERROR(INDEX(逆引き作成用!$C$2:$C$169,MATCH($B27&amp;"/"&amp;$C27,逆引き作成用!G$2:G$169,FALSE),1),"")</f>
        <v/>
      </c>
      <c r="H27" s="17" t="str">
        <f>IFERROR(INDEX(逆引き作成用!$C$2:$C$169,MATCH($B27&amp;"/"&amp;$C27,逆引き作成用!H$2:H$169,FALSE),1),"")</f>
        <v/>
      </c>
      <c r="I27" s="17" t="str">
        <f>IFERROR(INDEX(逆引き作成用!$C$2:$C$169,MATCH($B27&amp;"/"&amp;$C27,逆引き作成用!I$2:I$169,FALSE),1),"")</f>
        <v/>
      </c>
      <c r="J27" s="17" t="str">
        <f>IFERROR(INDEX(逆引き作成用!$C$2:$C$169,MATCH($B27&amp;"/"&amp;$C27,逆引き作成用!J$2:J$169,FALSE),1),"")</f>
        <v/>
      </c>
      <c r="K27" s="17" t="str">
        <f>IFERROR(INDEX(逆引き作成用!$C$2:$C$169,MATCH($B27&amp;"/"&amp;$C27,逆引き作成用!K$2:K$169,FALSE),1),"")</f>
        <v/>
      </c>
      <c r="L27" s="17" t="str">
        <f>IFERROR(INDEX(逆引き作成用!$C$2:$C$169,MATCH($B27&amp;"/"&amp;$C27,逆引き作成用!L$2:L$169,FALSE),1),"")</f>
        <v/>
      </c>
      <c r="M27" s="17" t="str">
        <f>IFERROR(INDEX(逆引き作成用!$C$2:$C$169,MATCH($B27&amp;"/"&amp;$C27,逆引き作成用!M$2:M$169,FALSE),1),"")</f>
        <v/>
      </c>
      <c r="N27" s="17" t="str">
        <f>IFERROR(INDEX(逆引き作成用!$C$2:$C$169,MATCH($B27&amp;"/"&amp;$C27,逆引き作成用!N$2:N$169,FALSE),1),"")</f>
        <v/>
      </c>
      <c r="O27" s="17" t="str">
        <f>IFERROR(INDEX(逆引き作成用!$C$2:$C$169,MATCH($B27&amp;"/"&amp;$C27,逆引き作成用!O$2:O$169,FALSE),1),"")</f>
        <v/>
      </c>
      <c r="P27" s="17" t="str">
        <f>IFERROR(INDEX(逆引き作成用!$C$2:$C$169,MATCH($B27&amp;"/"&amp;$C27,逆引き作成用!P$2:P$169,FALSE),1),"")</f>
        <v/>
      </c>
      <c r="Q27" s="17" t="str">
        <f>IFERROR(INDEX(逆引き作成用!$C$2:$C$169,MATCH($B27&amp;"/"&amp;$C27,逆引き作成用!Q$2:Q$169,FALSE),1),"")</f>
        <v/>
      </c>
      <c r="R27" s="17" t="str">
        <f>IFERROR(INDEX(逆引き作成用!$C$2:$C$169,MATCH($B27&amp;"/"&amp;$C27,逆引き作成用!R$2:R$169,FALSE),1),"")</f>
        <v/>
      </c>
      <c r="S27" s="17" t="str">
        <f>IFERROR(INDEX(逆引き作成用!$C$2:$C$169,MATCH($B27&amp;"/"&amp;$C27,逆引き作成用!S$2:S$169,FALSE),1),"")</f>
        <v/>
      </c>
      <c r="T27" s="17" t="str">
        <f>IFERROR(INDEX(逆引き作成用!$C$2:$C$169,MATCH($B27&amp;"/"&amp;$C27,逆引き作成用!T$2:T$169,FALSE),1),"")</f>
        <v/>
      </c>
      <c r="U27" s="17" t="str">
        <f>IFERROR(INDEX(逆引き作成用!$C$2:$C$169,MATCH($B27&amp;"/"&amp;$C27,逆引き作成用!U$2:U$169,FALSE),1),"")</f>
        <v/>
      </c>
      <c r="V27" s="17" t="str">
        <f>IFERROR(INDEX(逆引き作成用!$C$2:$C$169,MATCH($B27&amp;"/"&amp;$C27,逆引き作成用!V$2:V$169,FALSE),1),"")</f>
        <v/>
      </c>
      <c r="W27" s="17" t="str">
        <f>IFERROR(INDEX(逆引き作成用!$C$2:$C$169,MATCH($B27&amp;"/"&amp;$C27,逆引き作成用!W$2:W$169,FALSE),1),"")</f>
        <v/>
      </c>
      <c r="X27" s="17" t="str">
        <f>IFERROR(INDEX(逆引き作成用!$C$2:$C$169,MATCH($B27&amp;"/"&amp;$C27,逆引き作成用!X$2:X$169,FALSE),1),"")</f>
        <v/>
      </c>
      <c r="Y27" s="17" t="str">
        <f>IFERROR(INDEX(逆引き作成用!$C$2:$C$169,MATCH($B27&amp;"/"&amp;$C27,逆引き作成用!Y$2:Y$169,FALSE),1),"")</f>
        <v/>
      </c>
      <c r="Z27" s="17" t="str">
        <f>IFERROR(INDEX(逆引き作成用!$C$2:$C$169,MATCH($B27&amp;"/"&amp;$C27,逆引き作成用!Z$2:Z$169,FALSE),1),"")</f>
        <v/>
      </c>
      <c r="AA27" s="17" t="str">
        <f>IFERROR(INDEX(逆引き作成用!$C$2:$C$169,MATCH($B27&amp;"/"&amp;$C27,逆引き作成用!AA$2:AA$169,FALSE),1),"")</f>
        <v/>
      </c>
      <c r="AB27" s="17" t="str">
        <f>IFERROR(INDEX(逆引き作成用!$C$2:$C$169,MATCH($B27&amp;"/"&amp;$C27,逆引き作成用!AB$2:AB$169,FALSE),1),"")</f>
        <v/>
      </c>
      <c r="AC27" s="17" t="str">
        <f>IFERROR(INDEX(逆引き作成用!$C$2:$C$169,MATCH($B27&amp;"/"&amp;$C27,逆引き作成用!AC$2:AC$169,FALSE),1),"")</f>
        <v/>
      </c>
      <c r="AD27" s="17" t="str">
        <f>IFERROR(INDEX(逆引き作成用!$C$2:$C$169,MATCH($B27&amp;"/"&amp;$C27,逆引き作成用!AD$2:AD$169,FALSE),1),"")</f>
        <v/>
      </c>
      <c r="AE27" s="17" t="str">
        <f>IFERROR(INDEX(逆引き作成用!$C$2:$C$169,MATCH($B27&amp;"/"&amp;$C27,逆引き作成用!AE$2:AE$169,FALSE),1),"")</f>
        <v/>
      </c>
      <c r="AF27" s="17" t="str">
        <f>IFERROR(INDEX(逆引き作成用!$C$2:$C$169,MATCH($B27&amp;"/"&amp;$C27,逆引き作成用!AF$2:AF$169,FALSE),1),"")</f>
        <v/>
      </c>
      <c r="AG27" s="17" t="str">
        <f>IFERROR(INDEX(逆引き作成用!$C$2:$C$169,MATCH($B27&amp;"/"&amp;$C27,逆引き作成用!AG$2:AG$169,FALSE),1),"")</f>
        <v/>
      </c>
      <c r="AH27" s="17" t="str">
        <f>IFERROR(INDEX(逆引き作成用!$C$2:$C$169,MATCH($B27&amp;"/"&amp;$C27,逆引き作成用!AH$2:AH$169,FALSE),1),"")</f>
        <v/>
      </c>
      <c r="AI27" s="17" t="str">
        <f>IFERROR(INDEX(逆引き作成用!$C$2:$C$169,MATCH($B27&amp;"/"&amp;$C27,逆引き作成用!AI$2:AI$169,FALSE),1),"")</f>
        <v/>
      </c>
      <c r="AJ27" s="17" t="str">
        <f>IFERROR(INDEX(逆引き作成用!$C$2:$C$169,MATCH($B27&amp;"/"&amp;$C27,逆引き作成用!AJ$2:AJ$169,FALSE),1),"")</f>
        <v/>
      </c>
      <c r="AK27" s="17" t="str">
        <f>IFERROR(INDEX(逆引き作成用!$C$2:$C$169,MATCH($B27&amp;"/"&amp;$C27,逆引き作成用!AK$2:AK$169,FALSE),1),"")</f>
        <v/>
      </c>
      <c r="AL27" s="17" t="str">
        <f>IFERROR(INDEX(逆引き作成用!$C$2:$C$169,MATCH($B27&amp;"/"&amp;$C27,逆引き作成用!AL$2:AL$169,FALSE),1),"")</f>
        <v/>
      </c>
      <c r="AM27" s="17" t="str">
        <f>IFERROR(INDEX(逆引き作成用!$C$2:$C$169,MATCH($B27&amp;"/"&amp;$C27,逆引き作成用!AM$2:AM$169,FALSE),1),"")</f>
        <v/>
      </c>
      <c r="AN27" s="17" t="str">
        <f>IFERROR(INDEX(逆引き作成用!$C$2:$C$169,MATCH($B27&amp;"/"&amp;$C27,逆引き作成用!AN$2:AN$169,FALSE),1),"")</f>
        <v/>
      </c>
      <c r="AO27" s="17" t="str">
        <f>IFERROR(INDEX(逆引き作成用!$C$2:$C$169,MATCH($B27&amp;"/"&amp;$C27,逆引き作成用!AO$2:AO$169,FALSE),1),"")</f>
        <v/>
      </c>
      <c r="AP27" s="17" t="str">
        <f>IFERROR(INDEX(逆引き作成用!$C$2:$C$169,MATCH($B27&amp;"/"&amp;$C27,逆引き作成用!AP$2:AP$169,FALSE),1),"")</f>
        <v/>
      </c>
      <c r="AQ27" s="17" t="str">
        <f>IFERROR(INDEX(逆引き作成用!$C$2:$C$169,MATCH($B27&amp;"/"&amp;$C27,逆引き作成用!AQ$2:AQ$169,FALSE),1),"")</f>
        <v/>
      </c>
      <c r="AR27" s="17" t="str">
        <f>IFERROR(INDEX(逆引き作成用!$C$2:$C$169,MATCH($B27&amp;"/"&amp;$C27,逆引き作成用!AR$2:AR$169,FALSE),1),"")</f>
        <v/>
      </c>
      <c r="AS27" s="17" t="str">
        <f>IFERROR(INDEX(逆引き作成用!$C$2:$C$169,MATCH($B27&amp;"/"&amp;$C27,逆引き作成用!AS$2:AS$169,FALSE),1),"")</f>
        <v/>
      </c>
      <c r="AT27" s="17" t="str">
        <f>IFERROR(INDEX(逆引き作成用!$C$2:$C$169,MATCH($B27&amp;"/"&amp;$C27,逆引き作成用!AT$2:AT$169,FALSE),1),"")</f>
        <v/>
      </c>
      <c r="AU27" s="17" t="str">
        <f>IFERROR(INDEX(逆引き作成用!$C$2:$C$169,MATCH($B27&amp;"/"&amp;$C27,逆引き作成用!AU$2:AU$169,FALSE),1),"")</f>
        <v/>
      </c>
      <c r="AV27" s="17" t="str">
        <f>IFERROR(INDEX(逆引き作成用!$C$2:$C$169,MATCH($B27&amp;"/"&amp;$C27,逆引き作成用!AV$2:AV$169,FALSE),1),"")</f>
        <v/>
      </c>
      <c r="AW27" s="17" t="str">
        <f>IFERROR(INDEX(逆引き作成用!$C$2:$C$169,MATCH($B27&amp;"/"&amp;$C27,逆引き作成用!AW$2:AW$169,FALSE),1),"")</f>
        <v/>
      </c>
      <c r="AX27" s="17" t="str">
        <f>IFERROR(INDEX(逆引き作成用!$C$2:$C$169,MATCH($B27&amp;"/"&amp;$C27,逆引き作成用!AX$2:AX$169,FALSE),1),"")</f>
        <v/>
      </c>
      <c r="AY27" s="17" t="str">
        <f>IFERROR(INDEX(逆引き作成用!$C$2:$C$169,MATCH($B27&amp;"/"&amp;$C27,逆引き作成用!AY$2:AY$169,FALSE),1),"")</f>
        <v/>
      </c>
      <c r="AZ27" s="17" t="str">
        <f>IFERROR(INDEX(逆引き作成用!$C$2:$C$169,MATCH($B27&amp;"/"&amp;$C27,逆引き作成用!AZ$2:AZ$169,FALSE),1),"")</f>
        <v/>
      </c>
      <c r="BA27" s="17" t="str">
        <f>IFERROR(INDEX(逆引き作成用!$C$2:$C$169,MATCH($B27&amp;"/"&amp;$C27,逆引き作成用!BA$2:BA$169,FALSE),1),"")</f>
        <v/>
      </c>
    </row>
    <row r="28" spans="1:53">
      <c r="A28" s="17" t="str">
        <f>IFERROR(INDEX(役職一覧!$B$2:$B$31,MATCH(B28,役職一覧!$C$2:$C$31,FALSE),1),"")</f>
        <v/>
      </c>
      <c r="B28" s="17" t="str">
        <f>IFERROR(IF(C28=1,INDEX(役職一覧!$C$2:$C$31,MATCH(逆引き!B27,役職一覧!$C$2:$C$31,FALSE)+1,1)&amp;"",B27),"")</f>
        <v/>
      </c>
      <c r="C28" s="17" t="str">
        <f>IFERROR(IF(VLOOKUP(B27,役職一覧!$C$2:$E$31,3,FALSE)=C27,1,C27+1),"")</f>
        <v/>
      </c>
      <c r="D28" s="17" t="str">
        <f>IFERROR(INDEX(逆引き作成用!$C$2:$C$169,MATCH($B28&amp;"/"&amp;$C28,逆引き作成用!D$2:D$169,FALSE),1),"")</f>
        <v/>
      </c>
      <c r="E28" s="17" t="str">
        <f>IFERROR(INDEX(逆引き作成用!$C$2:$C$169,MATCH($B28&amp;"/"&amp;$C28,逆引き作成用!E$2:E$169,FALSE),1),"")</f>
        <v/>
      </c>
      <c r="F28" s="17" t="str">
        <f>IFERROR(INDEX(逆引き作成用!$C$2:$C$169,MATCH($B28&amp;"/"&amp;$C28,逆引き作成用!F$2:F$169,FALSE),1),"")</f>
        <v/>
      </c>
      <c r="G28" s="17" t="str">
        <f>IFERROR(INDEX(逆引き作成用!$C$2:$C$169,MATCH($B28&amp;"/"&amp;$C28,逆引き作成用!G$2:G$169,FALSE),1),"")</f>
        <v/>
      </c>
      <c r="H28" s="17" t="str">
        <f>IFERROR(INDEX(逆引き作成用!$C$2:$C$169,MATCH($B28&amp;"/"&amp;$C28,逆引き作成用!H$2:H$169,FALSE),1),"")</f>
        <v/>
      </c>
      <c r="I28" s="17" t="str">
        <f>IFERROR(INDEX(逆引き作成用!$C$2:$C$169,MATCH($B28&amp;"/"&amp;$C28,逆引き作成用!I$2:I$169,FALSE),1),"")</f>
        <v/>
      </c>
      <c r="J28" s="17" t="str">
        <f>IFERROR(INDEX(逆引き作成用!$C$2:$C$169,MATCH($B28&amp;"/"&amp;$C28,逆引き作成用!J$2:J$169,FALSE),1),"")</f>
        <v/>
      </c>
      <c r="K28" s="17" t="str">
        <f>IFERROR(INDEX(逆引き作成用!$C$2:$C$169,MATCH($B28&amp;"/"&amp;$C28,逆引き作成用!K$2:K$169,FALSE),1),"")</f>
        <v/>
      </c>
      <c r="L28" s="17" t="str">
        <f>IFERROR(INDEX(逆引き作成用!$C$2:$C$169,MATCH($B28&amp;"/"&amp;$C28,逆引き作成用!L$2:L$169,FALSE),1),"")</f>
        <v/>
      </c>
      <c r="M28" s="17" t="str">
        <f>IFERROR(INDEX(逆引き作成用!$C$2:$C$169,MATCH($B28&amp;"/"&amp;$C28,逆引き作成用!M$2:M$169,FALSE),1),"")</f>
        <v/>
      </c>
      <c r="N28" s="17" t="str">
        <f>IFERROR(INDEX(逆引き作成用!$C$2:$C$169,MATCH($B28&amp;"/"&amp;$C28,逆引き作成用!N$2:N$169,FALSE),1),"")</f>
        <v/>
      </c>
      <c r="O28" s="17" t="str">
        <f>IFERROR(INDEX(逆引き作成用!$C$2:$C$169,MATCH($B28&amp;"/"&amp;$C28,逆引き作成用!O$2:O$169,FALSE),1),"")</f>
        <v/>
      </c>
      <c r="P28" s="17" t="str">
        <f>IFERROR(INDEX(逆引き作成用!$C$2:$C$169,MATCH($B28&amp;"/"&amp;$C28,逆引き作成用!P$2:P$169,FALSE),1),"")</f>
        <v/>
      </c>
      <c r="Q28" s="17" t="str">
        <f>IFERROR(INDEX(逆引き作成用!$C$2:$C$169,MATCH($B28&amp;"/"&amp;$C28,逆引き作成用!Q$2:Q$169,FALSE),1),"")</f>
        <v/>
      </c>
      <c r="R28" s="17" t="str">
        <f>IFERROR(INDEX(逆引き作成用!$C$2:$C$169,MATCH($B28&amp;"/"&amp;$C28,逆引き作成用!R$2:R$169,FALSE),1),"")</f>
        <v/>
      </c>
      <c r="S28" s="17" t="str">
        <f>IFERROR(INDEX(逆引き作成用!$C$2:$C$169,MATCH($B28&amp;"/"&amp;$C28,逆引き作成用!S$2:S$169,FALSE),1),"")</f>
        <v/>
      </c>
      <c r="T28" s="17" t="str">
        <f>IFERROR(INDEX(逆引き作成用!$C$2:$C$169,MATCH($B28&amp;"/"&amp;$C28,逆引き作成用!T$2:T$169,FALSE),1),"")</f>
        <v/>
      </c>
      <c r="U28" s="17" t="str">
        <f>IFERROR(INDEX(逆引き作成用!$C$2:$C$169,MATCH($B28&amp;"/"&amp;$C28,逆引き作成用!U$2:U$169,FALSE),1),"")</f>
        <v/>
      </c>
      <c r="V28" s="17" t="str">
        <f>IFERROR(INDEX(逆引き作成用!$C$2:$C$169,MATCH($B28&amp;"/"&amp;$C28,逆引き作成用!V$2:V$169,FALSE),1),"")</f>
        <v/>
      </c>
      <c r="W28" s="17" t="str">
        <f>IFERROR(INDEX(逆引き作成用!$C$2:$C$169,MATCH($B28&amp;"/"&amp;$C28,逆引き作成用!W$2:W$169,FALSE),1),"")</f>
        <v/>
      </c>
      <c r="X28" s="17" t="str">
        <f>IFERROR(INDEX(逆引き作成用!$C$2:$C$169,MATCH($B28&amp;"/"&amp;$C28,逆引き作成用!X$2:X$169,FALSE),1),"")</f>
        <v/>
      </c>
      <c r="Y28" s="17" t="str">
        <f>IFERROR(INDEX(逆引き作成用!$C$2:$C$169,MATCH($B28&amp;"/"&amp;$C28,逆引き作成用!Y$2:Y$169,FALSE),1),"")</f>
        <v/>
      </c>
      <c r="Z28" s="17" t="str">
        <f>IFERROR(INDEX(逆引き作成用!$C$2:$C$169,MATCH($B28&amp;"/"&amp;$C28,逆引き作成用!Z$2:Z$169,FALSE),1),"")</f>
        <v/>
      </c>
      <c r="AA28" s="17" t="str">
        <f>IFERROR(INDEX(逆引き作成用!$C$2:$C$169,MATCH($B28&amp;"/"&amp;$C28,逆引き作成用!AA$2:AA$169,FALSE),1),"")</f>
        <v/>
      </c>
      <c r="AB28" s="17" t="str">
        <f>IFERROR(INDEX(逆引き作成用!$C$2:$C$169,MATCH($B28&amp;"/"&amp;$C28,逆引き作成用!AB$2:AB$169,FALSE),1),"")</f>
        <v/>
      </c>
      <c r="AC28" s="17" t="str">
        <f>IFERROR(INDEX(逆引き作成用!$C$2:$C$169,MATCH($B28&amp;"/"&amp;$C28,逆引き作成用!AC$2:AC$169,FALSE),1),"")</f>
        <v/>
      </c>
      <c r="AD28" s="17" t="str">
        <f>IFERROR(INDEX(逆引き作成用!$C$2:$C$169,MATCH($B28&amp;"/"&amp;$C28,逆引き作成用!AD$2:AD$169,FALSE),1),"")</f>
        <v/>
      </c>
      <c r="AE28" s="17" t="str">
        <f>IFERROR(INDEX(逆引き作成用!$C$2:$C$169,MATCH($B28&amp;"/"&amp;$C28,逆引き作成用!AE$2:AE$169,FALSE),1),"")</f>
        <v/>
      </c>
      <c r="AF28" s="17" t="str">
        <f>IFERROR(INDEX(逆引き作成用!$C$2:$C$169,MATCH($B28&amp;"/"&amp;$C28,逆引き作成用!AF$2:AF$169,FALSE),1),"")</f>
        <v/>
      </c>
      <c r="AG28" s="17" t="str">
        <f>IFERROR(INDEX(逆引き作成用!$C$2:$C$169,MATCH($B28&amp;"/"&amp;$C28,逆引き作成用!AG$2:AG$169,FALSE),1),"")</f>
        <v/>
      </c>
      <c r="AH28" s="17" t="str">
        <f>IFERROR(INDEX(逆引き作成用!$C$2:$C$169,MATCH($B28&amp;"/"&amp;$C28,逆引き作成用!AH$2:AH$169,FALSE),1),"")</f>
        <v/>
      </c>
      <c r="AI28" s="17" t="str">
        <f>IFERROR(INDEX(逆引き作成用!$C$2:$C$169,MATCH($B28&amp;"/"&amp;$C28,逆引き作成用!AI$2:AI$169,FALSE),1),"")</f>
        <v/>
      </c>
      <c r="AJ28" s="17" t="str">
        <f>IFERROR(INDEX(逆引き作成用!$C$2:$C$169,MATCH($B28&amp;"/"&amp;$C28,逆引き作成用!AJ$2:AJ$169,FALSE),1),"")</f>
        <v/>
      </c>
      <c r="AK28" s="17" t="str">
        <f>IFERROR(INDEX(逆引き作成用!$C$2:$C$169,MATCH($B28&amp;"/"&amp;$C28,逆引き作成用!AK$2:AK$169,FALSE),1),"")</f>
        <v/>
      </c>
      <c r="AL28" s="17" t="str">
        <f>IFERROR(INDEX(逆引き作成用!$C$2:$C$169,MATCH($B28&amp;"/"&amp;$C28,逆引き作成用!AL$2:AL$169,FALSE),1),"")</f>
        <v/>
      </c>
      <c r="AM28" s="17" t="str">
        <f>IFERROR(INDEX(逆引き作成用!$C$2:$C$169,MATCH($B28&amp;"/"&amp;$C28,逆引き作成用!AM$2:AM$169,FALSE),1),"")</f>
        <v/>
      </c>
      <c r="AN28" s="17" t="str">
        <f>IFERROR(INDEX(逆引き作成用!$C$2:$C$169,MATCH($B28&amp;"/"&amp;$C28,逆引き作成用!AN$2:AN$169,FALSE),1),"")</f>
        <v/>
      </c>
      <c r="AO28" s="17" t="str">
        <f>IFERROR(INDEX(逆引き作成用!$C$2:$C$169,MATCH($B28&amp;"/"&amp;$C28,逆引き作成用!AO$2:AO$169,FALSE),1),"")</f>
        <v/>
      </c>
      <c r="AP28" s="17" t="str">
        <f>IFERROR(INDEX(逆引き作成用!$C$2:$C$169,MATCH($B28&amp;"/"&amp;$C28,逆引き作成用!AP$2:AP$169,FALSE),1),"")</f>
        <v/>
      </c>
      <c r="AQ28" s="17" t="str">
        <f>IFERROR(INDEX(逆引き作成用!$C$2:$C$169,MATCH($B28&amp;"/"&amp;$C28,逆引き作成用!AQ$2:AQ$169,FALSE),1),"")</f>
        <v/>
      </c>
      <c r="AR28" s="17" t="str">
        <f>IFERROR(INDEX(逆引き作成用!$C$2:$C$169,MATCH($B28&amp;"/"&amp;$C28,逆引き作成用!AR$2:AR$169,FALSE),1),"")</f>
        <v/>
      </c>
      <c r="AS28" s="17" t="str">
        <f>IFERROR(INDEX(逆引き作成用!$C$2:$C$169,MATCH($B28&amp;"/"&amp;$C28,逆引き作成用!AS$2:AS$169,FALSE),1),"")</f>
        <v/>
      </c>
      <c r="AT28" s="17" t="str">
        <f>IFERROR(INDEX(逆引き作成用!$C$2:$C$169,MATCH($B28&amp;"/"&amp;$C28,逆引き作成用!AT$2:AT$169,FALSE),1),"")</f>
        <v/>
      </c>
      <c r="AU28" s="17" t="str">
        <f>IFERROR(INDEX(逆引き作成用!$C$2:$C$169,MATCH($B28&amp;"/"&amp;$C28,逆引き作成用!AU$2:AU$169,FALSE),1),"")</f>
        <v/>
      </c>
      <c r="AV28" s="17" t="str">
        <f>IFERROR(INDEX(逆引き作成用!$C$2:$C$169,MATCH($B28&amp;"/"&amp;$C28,逆引き作成用!AV$2:AV$169,FALSE),1),"")</f>
        <v/>
      </c>
      <c r="AW28" s="17" t="str">
        <f>IFERROR(INDEX(逆引き作成用!$C$2:$C$169,MATCH($B28&amp;"/"&amp;$C28,逆引き作成用!AW$2:AW$169,FALSE),1),"")</f>
        <v/>
      </c>
      <c r="AX28" s="17" t="str">
        <f>IFERROR(INDEX(逆引き作成用!$C$2:$C$169,MATCH($B28&amp;"/"&amp;$C28,逆引き作成用!AX$2:AX$169,FALSE),1),"")</f>
        <v/>
      </c>
      <c r="AY28" s="17" t="str">
        <f>IFERROR(INDEX(逆引き作成用!$C$2:$C$169,MATCH($B28&amp;"/"&amp;$C28,逆引き作成用!AY$2:AY$169,FALSE),1),"")</f>
        <v/>
      </c>
      <c r="AZ28" s="17" t="str">
        <f>IFERROR(INDEX(逆引き作成用!$C$2:$C$169,MATCH($B28&amp;"/"&amp;$C28,逆引き作成用!AZ$2:AZ$169,FALSE),1),"")</f>
        <v/>
      </c>
      <c r="BA28" s="17" t="str">
        <f>IFERROR(INDEX(逆引き作成用!$C$2:$C$169,MATCH($B28&amp;"/"&amp;$C28,逆引き作成用!BA$2:BA$169,FALSE),1),"")</f>
        <v/>
      </c>
    </row>
    <row r="29" spans="1:53">
      <c r="A29" s="17" t="str">
        <f>IFERROR(INDEX(役職一覧!$B$2:$B$31,MATCH(B29,役職一覧!$C$2:$C$31,FALSE),1),"")</f>
        <v/>
      </c>
      <c r="B29" s="17" t="str">
        <f>IFERROR(IF(C29=1,INDEX(役職一覧!$C$2:$C$31,MATCH(逆引き!B28,役職一覧!$C$2:$C$31,FALSE)+1,1)&amp;"",B28),"")</f>
        <v/>
      </c>
      <c r="C29" s="17" t="str">
        <f>IFERROR(IF(VLOOKUP(B28,役職一覧!$C$2:$E$31,3,FALSE)=C28,1,C28+1),"")</f>
        <v/>
      </c>
      <c r="D29" s="17" t="str">
        <f>IFERROR(INDEX(逆引き作成用!$C$2:$C$169,MATCH($B29&amp;"/"&amp;$C29,逆引き作成用!D$2:D$169,FALSE),1),"")</f>
        <v/>
      </c>
      <c r="E29" s="17" t="str">
        <f>IFERROR(INDEX(逆引き作成用!$C$2:$C$169,MATCH($B29&amp;"/"&amp;$C29,逆引き作成用!E$2:E$169,FALSE),1),"")</f>
        <v/>
      </c>
      <c r="F29" s="17" t="str">
        <f>IFERROR(INDEX(逆引き作成用!$C$2:$C$169,MATCH($B29&amp;"/"&amp;$C29,逆引き作成用!F$2:F$169,FALSE),1),"")</f>
        <v/>
      </c>
      <c r="G29" s="17" t="str">
        <f>IFERROR(INDEX(逆引き作成用!$C$2:$C$169,MATCH($B29&amp;"/"&amp;$C29,逆引き作成用!G$2:G$169,FALSE),1),"")</f>
        <v/>
      </c>
      <c r="H29" s="17" t="str">
        <f>IFERROR(INDEX(逆引き作成用!$C$2:$C$169,MATCH($B29&amp;"/"&amp;$C29,逆引き作成用!H$2:H$169,FALSE),1),"")</f>
        <v/>
      </c>
      <c r="I29" s="17" t="str">
        <f>IFERROR(INDEX(逆引き作成用!$C$2:$C$169,MATCH($B29&amp;"/"&amp;$C29,逆引き作成用!I$2:I$169,FALSE),1),"")</f>
        <v/>
      </c>
      <c r="J29" s="17" t="str">
        <f>IFERROR(INDEX(逆引き作成用!$C$2:$C$169,MATCH($B29&amp;"/"&amp;$C29,逆引き作成用!J$2:J$169,FALSE),1),"")</f>
        <v/>
      </c>
      <c r="K29" s="17" t="str">
        <f>IFERROR(INDEX(逆引き作成用!$C$2:$C$169,MATCH($B29&amp;"/"&amp;$C29,逆引き作成用!K$2:K$169,FALSE),1),"")</f>
        <v/>
      </c>
      <c r="L29" s="17" t="str">
        <f>IFERROR(INDEX(逆引き作成用!$C$2:$C$169,MATCH($B29&amp;"/"&amp;$C29,逆引き作成用!L$2:L$169,FALSE),1),"")</f>
        <v/>
      </c>
      <c r="M29" s="17" t="str">
        <f>IFERROR(INDEX(逆引き作成用!$C$2:$C$169,MATCH($B29&amp;"/"&amp;$C29,逆引き作成用!M$2:M$169,FALSE),1),"")</f>
        <v/>
      </c>
      <c r="N29" s="17" t="str">
        <f>IFERROR(INDEX(逆引き作成用!$C$2:$C$169,MATCH($B29&amp;"/"&amp;$C29,逆引き作成用!N$2:N$169,FALSE),1),"")</f>
        <v/>
      </c>
      <c r="O29" s="17" t="str">
        <f>IFERROR(INDEX(逆引き作成用!$C$2:$C$169,MATCH($B29&amp;"/"&amp;$C29,逆引き作成用!O$2:O$169,FALSE),1),"")</f>
        <v/>
      </c>
      <c r="P29" s="17" t="str">
        <f>IFERROR(INDEX(逆引き作成用!$C$2:$C$169,MATCH($B29&amp;"/"&amp;$C29,逆引き作成用!P$2:P$169,FALSE),1),"")</f>
        <v/>
      </c>
      <c r="Q29" s="17" t="str">
        <f>IFERROR(INDEX(逆引き作成用!$C$2:$C$169,MATCH($B29&amp;"/"&amp;$C29,逆引き作成用!Q$2:Q$169,FALSE),1),"")</f>
        <v/>
      </c>
      <c r="R29" s="17" t="str">
        <f>IFERROR(INDEX(逆引き作成用!$C$2:$C$169,MATCH($B29&amp;"/"&amp;$C29,逆引き作成用!R$2:R$169,FALSE),1),"")</f>
        <v/>
      </c>
      <c r="S29" s="17" t="str">
        <f>IFERROR(INDEX(逆引き作成用!$C$2:$C$169,MATCH($B29&amp;"/"&amp;$C29,逆引き作成用!S$2:S$169,FALSE),1),"")</f>
        <v/>
      </c>
      <c r="T29" s="17" t="str">
        <f>IFERROR(INDEX(逆引き作成用!$C$2:$C$169,MATCH($B29&amp;"/"&amp;$C29,逆引き作成用!T$2:T$169,FALSE),1),"")</f>
        <v/>
      </c>
      <c r="U29" s="17" t="str">
        <f>IFERROR(INDEX(逆引き作成用!$C$2:$C$169,MATCH($B29&amp;"/"&amp;$C29,逆引き作成用!U$2:U$169,FALSE),1),"")</f>
        <v/>
      </c>
      <c r="V29" s="17" t="str">
        <f>IFERROR(INDEX(逆引き作成用!$C$2:$C$169,MATCH($B29&amp;"/"&amp;$C29,逆引き作成用!V$2:V$169,FALSE),1),"")</f>
        <v/>
      </c>
      <c r="W29" s="17" t="str">
        <f>IFERROR(INDEX(逆引き作成用!$C$2:$C$169,MATCH($B29&amp;"/"&amp;$C29,逆引き作成用!W$2:W$169,FALSE),1),"")</f>
        <v/>
      </c>
      <c r="X29" s="17" t="str">
        <f>IFERROR(INDEX(逆引き作成用!$C$2:$C$169,MATCH($B29&amp;"/"&amp;$C29,逆引き作成用!X$2:X$169,FALSE),1),"")</f>
        <v/>
      </c>
      <c r="Y29" s="17" t="str">
        <f>IFERROR(INDEX(逆引き作成用!$C$2:$C$169,MATCH($B29&amp;"/"&amp;$C29,逆引き作成用!Y$2:Y$169,FALSE),1),"")</f>
        <v/>
      </c>
      <c r="Z29" s="17" t="str">
        <f>IFERROR(INDEX(逆引き作成用!$C$2:$C$169,MATCH($B29&amp;"/"&amp;$C29,逆引き作成用!Z$2:Z$169,FALSE),1),"")</f>
        <v/>
      </c>
      <c r="AA29" s="17" t="str">
        <f>IFERROR(INDEX(逆引き作成用!$C$2:$C$169,MATCH($B29&amp;"/"&amp;$C29,逆引き作成用!AA$2:AA$169,FALSE),1),"")</f>
        <v/>
      </c>
      <c r="AB29" s="17" t="str">
        <f>IFERROR(INDEX(逆引き作成用!$C$2:$C$169,MATCH($B29&amp;"/"&amp;$C29,逆引き作成用!AB$2:AB$169,FALSE),1),"")</f>
        <v/>
      </c>
      <c r="AC29" s="17" t="str">
        <f>IFERROR(INDEX(逆引き作成用!$C$2:$C$169,MATCH($B29&amp;"/"&amp;$C29,逆引き作成用!AC$2:AC$169,FALSE),1),"")</f>
        <v/>
      </c>
      <c r="AD29" s="17" t="str">
        <f>IFERROR(INDEX(逆引き作成用!$C$2:$C$169,MATCH($B29&amp;"/"&amp;$C29,逆引き作成用!AD$2:AD$169,FALSE),1),"")</f>
        <v/>
      </c>
      <c r="AE29" s="17" t="str">
        <f>IFERROR(INDEX(逆引き作成用!$C$2:$C$169,MATCH($B29&amp;"/"&amp;$C29,逆引き作成用!AE$2:AE$169,FALSE),1),"")</f>
        <v/>
      </c>
      <c r="AF29" s="17" t="str">
        <f>IFERROR(INDEX(逆引き作成用!$C$2:$C$169,MATCH($B29&amp;"/"&amp;$C29,逆引き作成用!AF$2:AF$169,FALSE),1),"")</f>
        <v/>
      </c>
      <c r="AG29" s="17" t="str">
        <f>IFERROR(INDEX(逆引き作成用!$C$2:$C$169,MATCH($B29&amp;"/"&amp;$C29,逆引き作成用!AG$2:AG$169,FALSE),1),"")</f>
        <v/>
      </c>
      <c r="AH29" s="17" t="str">
        <f>IFERROR(INDEX(逆引き作成用!$C$2:$C$169,MATCH($B29&amp;"/"&amp;$C29,逆引き作成用!AH$2:AH$169,FALSE),1),"")</f>
        <v/>
      </c>
      <c r="AI29" s="17" t="str">
        <f>IFERROR(INDEX(逆引き作成用!$C$2:$C$169,MATCH($B29&amp;"/"&amp;$C29,逆引き作成用!AI$2:AI$169,FALSE),1),"")</f>
        <v/>
      </c>
      <c r="AJ29" s="17" t="str">
        <f>IFERROR(INDEX(逆引き作成用!$C$2:$C$169,MATCH($B29&amp;"/"&amp;$C29,逆引き作成用!AJ$2:AJ$169,FALSE),1),"")</f>
        <v/>
      </c>
      <c r="AK29" s="17" t="str">
        <f>IFERROR(INDEX(逆引き作成用!$C$2:$C$169,MATCH($B29&amp;"/"&amp;$C29,逆引き作成用!AK$2:AK$169,FALSE),1),"")</f>
        <v/>
      </c>
      <c r="AL29" s="17" t="str">
        <f>IFERROR(INDEX(逆引き作成用!$C$2:$C$169,MATCH($B29&amp;"/"&amp;$C29,逆引き作成用!AL$2:AL$169,FALSE),1),"")</f>
        <v/>
      </c>
      <c r="AM29" s="17" t="str">
        <f>IFERROR(INDEX(逆引き作成用!$C$2:$C$169,MATCH($B29&amp;"/"&amp;$C29,逆引き作成用!AM$2:AM$169,FALSE),1),"")</f>
        <v/>
      </c>
      <c r="AN29" s="17" t="str">
        <f>IFERROR(INDEX(逆引き作成用!$C$2:$C$169,MATCH($B29&amp;"/"&amp;$C29,逆引き作成用!AN$2:AN$169,FALSE),1),"")</f>
        <v/>
      </c>
      <c r="AO29" s="17" t="str">
        <f>IFERROR(INDEX(逆引き作成用!$C$2:$C$169,MATCH($B29&amp;"/"&amp;$C29,逆引き作成用!AO$2:AO$169,FALSE),1),"")</f>
        <v/>
      </c>
      <c r="AP29" s="17" t="str">
        <f>IFERROR(INDEX(逆引き作成用!$C$2:$C$169,MATCH($B29&amp;"/"&amp;$C29,逆引き作成用!AP$2:AP$169,FALSE),1),"")</f>
        <v/>
      </c>
      <c r="AQ29" s="17" t="str">
        <f>IFERROR(INDEX(逆引き作成用!$C$2:$C$169,MATCH($B29&amp;"/"&amp;$C29,逆引き作成用!AQ$2:AQ$169,FALSE),1),"")</f>
        <v/>
      </c>
      <c r="AR29" s="17" t="str">
        <f>IFERROR(INDEX(逆引き作成用!$C$2:$C$169,MATCH($B29&amp;"/"&amp;$C29,逆引き作成用!AR$2:AR$169,FALSE),1),"")</f>
        <v/>
      </c>
      <c r="AS29" s="17" t="str">
        <f>IFERROR(INDEX(逆引き作成用!$C$2:$C$169,MATCH($B29&amp;"/"&amp;$C29,逆引き作成用!AS$2:AS$169,FALSE),1),"")</f>
        <v/>
      </c>
      <c r="AT29" s="17" t="str">
        <f>IFERROR(INDEX(逆引き作成用!$C$2:$C$169,MATCH($B29&amp;"/"&amp;$C29,逆引き作成用!AT$2:AT$169,FALSE),1),"")</f>
        <v/>
      </c>
      <c r="AU29" s="17" t="str">
        <f>IFERROR(INDEX(逆引き作成用!$C$2:$C$169,MATCH($B29&amp;"/"&amp;$C29,逆引き作成用!AU$2:AU$169,FALSE),1),"")</f>
        <v/>
      </c>
      <c r="AV29" s="17" t="str">
        <f>IFERROR(INDEX(逆引き作成用!$C$2:$C$169,MATCH($B29&amp;"/"&amp;$C29,逆引き作成用!AV$2:AV$169,FALSE),1),"")</f>
        <v/>
      </c>
      <c r="AW29" s="17" t="str">
        <f>IFERROR(INDEX(逆引き作成用!$C$2:$C$169,MATCH($B29&amp;"/"&amp;$C29,逆引き作成用!AW$2:AW$169,FALSE),1),"")</f>
        <v/>
      </c>
      <c r="AX29" s="17" t="str">
        <f>IFERROR(INDEX(逆引き作成用!$C$2:$C$169,MATCH($B29&amp;"/"&amp;$C29,逆引き作成用!AX$2:AX$169,FALSE),1),"")</f>
        <v/>
      </c>
      <c r="AY29" s="17" t="str">
        <f>IFERROR(INDEX(逆引き作成用!$C$2:$C$169,MATCH($B29&amp;"/"&amp;$C29,逆引き作成用!AY$2:AY$169,FALSE),1),"")</f>
        <v/>
      </c>
      <c r="AZ29" s="17" t="str">
        <f>IFERROR(INDEX(逆引き作成用!$C$2:$C$169,MATCH($B29&amp;"/"&amp;$C29,逆引き作成用!AZ$2:AZ$169,FALSE),1),"")</f>
        <v/>
      </c>
      <c r="BA29" s="17" t="str">
        <f>IFERROR(INDEX(逆引き作成用!$C$2:$C$169,MATCH($B29&amp;"/"&amp;$C29,逆引き作成用!BA$2:BA$169,FALSE),1),"")</f>
        <v/>
      </c>
    </row>
    <row r="30" spans="1:53">
      <c r="A30" s="17" t="str">
        <f>IFERROR(INDEX(役職一覧!$B$2:$B$31,MATCH(B30,役職一覧!$C$2:$C$31,FALSE),1),"")</f>
        <v/>
      </c>
      <c r="B30" s="17" t="str">
        <f>IFERROR(IF(C30=1,INDEX(役職一覧!$C$2:$C$31,MATCH(逆引き!B29,役職一覧!$C$2:$C$31,FALSE)+1,1)&amp;"",B29),"")</f>
        <v/>
      </c>
      <c r="C30" s="17" t="str">
        <f>IFERROR(IF(VLOOKUP(B29,役職一覧!$C$2:$E$31,3,FALSE)=C29,1,C29+1),"")</f>
        <v/>
      </c>
      <c r="D30" s="17" t="str">
        <f>IFERROR(INDEX(逆引き作成用!$C$2:$C$169,MATCH($B30&amp;"/"&amp;$C30,逆引き作成用!D$2:D$169,FALSE),1),"")</f>
        <v/>
      </c>
      <c r="E30" s="17" t="str">
        <f>IFERROR(INDEX(逆引き作成用!$C$2:$C$169,MATCH($B30&amp;"/"&amp;$C30,逆引き作成用!E$2:E$169,FALSE),1),"")</f>
        <v/>
      </c>
      <c r="F30" s="17" t="str">
        <f>IFERROR(INDEX(逆引き作成用!$C$2:$C$169,MATCH($B30&amp;"/"&amp;$C30,逆引き作成用!F$2:F$169,FALSE),1),"")</f>
        <v/>
      </c>
      <c r="G30" s="17" t="str">
        <f>IFERROR(INDEX(逆引き作成用!$C$2:$C$169,MATCH($B30&amp;"/"&amp;$C30,逆引き作成用!G$2:G$169,FALSE),1),"")</f>
        <v/>
      </c>
      <c r="H30" s="17" t="str">
        <f>IFERROR(INDEX(逆引き作成用!$C$2:$C$169,MATCH($B30&amp;"/"&amp;$C30,逆引き作成用!H$2:H$169,FALSE),1),"")</f>
        <v/>
      </c>
      <c r="I30" s="17" t="str">
        <f>IFERROR(INDEX(逆引き作成用!$C$2:$C$169,MATCH($B30&amp;"/"&amp;$C30,逆引き作成用!I$2:I$169,FALSE),1),"")</f>
        <v/>
      </c>
      <c r="J30" s="17" t="str">
        <f>IFERROR(INDEX(逆引き作成用!$C$2:$C$169,MATCH($B30&amp;"/"&amp;$C30,逆引き作成用!J$2:J$169,FALSE),1),"")</f>
        <v/>
      </c>
      <c r="K30" s="17" t="str">
        <f>IFERROR(INDEX(逆引き作成用!$C$2:$C$169,MATCH($B30&amp;"/"&amp;$C30,逆引き作成用!K$2:K$169,FALSE),1),"")</f>
        <v/>
      </c>
      <c r="L30" s="17" t="str">
        <f>IFERROR(INDEX(逆引き作成用!$C$2:$C$169,MATCH($B30&amp;"/"&amp;$C30,逆引き作成用!L$2:L$169,FALSE),1),"")</f>
        <v/>
      </c>
      <c r="M30" s="17" t="str">
        <f>IFERROR(INDEX(逆引き作成用!$C$2:$C$169,MATCH($B30&amp;"/"&amp;$C30,逆引き作成用!M$2:M$169,FALSE),1),"")</f>
        <v/>
      </c>
      <c r="N30" s="17" t="str">
        <f>IFERROR(INDEX(逆引き作成用!$C$2:$C$169,MATCH($B30&amp;"/"&amp;$C30,逆引き作成用!N$2:N$169,FALSE),1),"")</f>
        <v/>
      </c>
      <c r="O30" s="17" t="str">
        <f>IFERROR(INDEX(逆引き作成用!$C$2:$C$169,MATCH($B30&amp;"/"&amp;$C30,逆引き作成用!O$2:O$169,FALSE),1),"")</f>
        <v/>
      </c>
      <c r="P30" s="17" t="str">
        <f>IFERROR(INDEX(逆引き作成用!$C$2:$C$169,MATCH($B30&amp;"/"&amp;$C30,逆引き作成用!P$2:P$169,FALSE),1),"")</f>
        <v/>
      </c>
      <c r="Q30" s="17" t="str">
        <f>IFERROR(INDEX(逆引き作成用!$C$2:$C$169,MATCH($B30&amp;"/"&amp;$C30,逆引き作成用!Q$2:Q$169,FALSE),1),"")</f>
        <v/>
      </c>
      <c r="R30" s="17" t="str">
        <f>IFERROR(INDEX(逆引き作成用!$C$2:$C$169,MATCH($B30&amp;"/"&amp;$C30,逆引き作成用!R$2:R$169,FALSE),1),"")</f>
        <v/>
      </c>
      <c r="S30" s="17" t="str">
        <f>IFERROR(INDEX(逆引き作成用!$C$2:$C$169,MATCH($B30&amp;"/"&amp;$C30,逆引き作成用!S$2:S$169,FALSE),1),"")</f>
        <v/>
      </c>
      <c r="T30" s="17" t="str">
        <f>IFERROR(INDEX(逆引き作成用!$C$2:$C$169,MATCH($B30&amp;"/"&amp;$C30,逆引き作成用!T$2:T$169,FALSE),1),"")</f>
        <v/>
      </c>
      <c r="U30" s="17" t="str">
        <f>IFERROR(INDEX(逆引き作成用!$C$2:$C$169,MATCH($B30&amp;"/"&amp;$C30,逆引き作成用!U$2:U$169,FALSE),1),"")</f>
        <v/>
      </c>
      <c r="V30" s="17" t="str">
        <f>IFERROR(INDEX(逆引き作成用!$C$2:$C$169,MATCH($B30&amp;"/"&amp;$C30,逆引き作成用!V$2:V$169,FALSE),1),"")</f>
        <v/>
      </c>
      <c r="W30" s="17" t="str">
        <f>IFERROR(INDEX(逆引き作成用!$C$2:$C$169,MATCH($B30&amp;"/"&amp;$C30,逆引き作成用!W$2:W$169,FALSE),1),"")</f>
        <v/>
      </c>
      <c r="X30" s="17" t="str">
        <f>IFERROR(INDEX(逆引き作成用!$C$2:$C$169,MATCH($B30&amp;"/"&amp;$C30,逆引き作成用!X$2:X$169,FALSE),1),"")</f>
        <v/>
      </c>
      <c r="Y30" s="17" t="str">
        <f>IFERROR(INDEX(逆引き作成用!$C$2:$C$169,MATCH($B30&amp;"/"&amp;$C30,逆引き作成用!Y$2:Y$169,FALSE),1),"")</f>
        <v/>
      </c>
      <c r="Z30" s="17" t="str">
        <f>IFERROR(INDEX(逆引き作成用!$C$2:$C$169,MATCH($B30&amp;"/"&amp;$C30,逆引き作成用!Z$2:Z$169,FALSE),1),"")</f>
        <v/>
      </c>
      <c r="AA30" s="17" t="str">
        <f>IFERROR(INDEX(逆引き作成用!$C$2:$C$169,MATCH($B30&amp;"/"&amp;$C30,逆引き作成用!AA$2:AA$169,FALSE),1),"")</f>
        <v/>
      </c>
      <c r="AB30" s="17" t="str">
        <f>IFERROR(INDEX(逆引き作成用!$C$2:$C$169,MATCH($B30&amp;"/"&amp;$C30,逆引き作成用!AB$2:AB$169,FALSE),1),"")</f>
        <v/>
      </c>
      <c r="AC30" s="17" t="str">
        <f>IFERROR(INDEX(逆引き作成用!$C$2:$C$169,MATCH($B30&amp;"/"&amp;$C30,逆引き作成用!AC$2:AC$169,FALSE),1),"")</f>
        <v/>
      </c>
      <c r="AD30" s="17" t="str">
        <f>IFERROR(INDEX(逆引き作成用!$C$2:$C$169,MATCH($B30&amp;"/"&amp;$C30,逆引き作成用!AD$2:AD$169,FALSE),1),"")</f>
        <v/>
      </c>
      <c r="AE30" s="17" t="str">
        <f>IFERROR(INDEX(逆引き作成用!$C$2:$C$169,MATCH($B30&amp;"/"&amp;$C30,逆引き作成用!AE$2:AE$169,FALSE),1),"")</f>
        <v/>
      </c>
      <c r="AF30" s="17" t="str">
        <f>IFERROR(INDEX(逆引き作成用!$C$2:$C$169,MATCH($B30&amp;"/"&amp;$C30,逆引き作成用!AF$2:AF$169,FALSE),1),"")</f>
        <v/>
      </c>
      <c r="AG30" s="17" t="str">
        <f>IFERROR(INDEX(逆引き作成用!$C$2:$C$169,MATCH($B30&amp;"/"&amp;$C30,逆引き作成用!AG$2:AG$169,FALSE),1),"")</f>
        <v/>
      </c>
      <c r="AH30" s="17" t="str">
        <f>IFERROR(INDEX(逆引き作成用!$C$2:$C$169,MATCH($B30&amp;"/"&amp;$C30,逆引き作成用!AH$2:AH$169,FALSE),1),"")</f>
        <v/>
      </c>
      <c r="AI30" s="17" t="str">
        <f>IFERROR(INDEX(逆引き作成用!$C$2:$C$169,MATCH($B30&amp;"/"&amp;$C30,逆引き作成用!AI$2:AI$169,FALSE),1),"")</f>
        <v/>
      </c>
      <c r="AJ30" s="17" t="str">
        <f>IFERROR(INDEX(逆引き作成用!$C$2:$C$169,MATCH($B30&amp;"/"&amp;$C30,逆引き作成用!AJ$2:AJ$169,FALSE),1),"")</f>
        <v/>
      </c>
      <c r="AK30" s="17" t="str">
        <f>IFERROR(INDEX(逆引き作成用!$C$2:$C$169,MATCH($B30&amp;"/"&amp;$C30,逆引き作成用!AK$2:AK$169,FALSE),1),"")</f>
        <v/>
      </c>
      <c r="AL30" s="17" t="str">
        <f>IFERROR(INDEX(逆引き作成用!$C$2:$C$169,MATCH($B30&amp;"/"&amp;$C30,逆引き作成用!AL$2:AL$169,FALSE),1),"")</f>
        <v/>
      </c>
      <c r="AM30" s="17" t="str">
        <f>IFERROR(INDEX(逆引き作成用!$C$2:$C$169,MATCH($B30&amp;"/"&amp;$C30,逆引き作成用!AM$2:AM$169,FALSE),1),"")</f>
        <v/>
      </c>
      <c r="AN30" s="17" t="str">
        <f>IFERROR(INDEX(逆引き作成用!$C$2:$C$169,MATCH($B30&amp;"/"&amp;$C30,逆引き作成用!AN$2:AN$169,FALSE),1),"")</f>
        <v/>
      </c>
      <c r="AO30" s="17" t="str">
        <f>IFERROR(INDEX(逆引き作成用!$C$2:$C$169,MATCH($B30&amp;"/"&amp;$C30,逆引き作成用!AO$2:AO$169,FALSE),1),"")</f>
        <v/>
      </c>
      <c r="AP30" s="17" t="str">
        <f>IFERROR(INDEX(逆引き作成用!$C$2:$C$169,MATCH($B30&amp;"/"&amp;$C30,逆引き作成用!AP$2:AP$169,FALSE),1),"")</f>
        <v/>
      </c>
      <c r="AQ30" s="17" t="str">
        <f>IFERROR(INDEX(逆引き作成用!$C$2:$C$169,MATCH($B30&amp;"/"&amp;$C30,逆引き作成用!AQ$2:AQ$169,FALSE),1),"")</f>
        <v/>
      </c>
      <c r="AR30" s="17" t="str">
        <f>IFERROR(INDEX(逆引き作成用!$C$2:$C$169,MATCH($B30&amp;"/"&amp;$C30,逆引き作成用!AR$2:AR$169,FALSE),1),"")</f>
        <v/>
      </c>
      <c r="AS30" s="17" t="str">
        <f>IFERROR(INDEX(逆引き作成用!$C$2:$C$169,MATCH($B30&amp;"/"&amp;$C30,逆引き作成用!AS$2:AS$169,FALSE),1),"")</f>
        <v/>
      </c>
      <c r="AT30" s="17" t="str">
        <f>IFERROR(INDEX(逆引き作成用!$C$2:$C$169,MATCH($B30&amp;"/"&amp;$C30,逆引き作成用!AT$2:AT$169,FALSE),1),"")</f>
        <v/>
      </c>
      <c r="AU30" s="17" t="str">
        <f>IFERROR(INDEX(逆引き作成用!$C$2:$C$169,MATCH($B30&amp;"/"&amp;$C30,逆引き作成用!AU$2:AU$169,FALSE),1),"")</f>
        <v/>
      </c>
      <c r="AV30" s="17" t="str">
        <f>IFERROR(INDEX(逆引き作成用!$C$2:$C$169,MATCH($B30&amp;"/"&amp;$C30,逆引き作成用!AV$2:AV$169,FALSE),1),"")</f>
        <v/>
      </c>
      <c r="AW30" s="17" t="str">
        <f>IFERROR(INDEX(逆引き作成用!$C$2:$C$169,MATCH($B30&amp;"/"&amp;$C30,逆引き作成用!AW$2:AW$169,FALSE),1),"")</f>
        <v/>
      </c>
      <c r="AX30" s="17" t="str">
        <f>IFERROR(INDEX(逆引き作成用!$C$2:$C$169,MATCH($B30&amp;"/"&amp;$C30,逆引き作成用!AX$2:AX$169,FALSE),1),"")</f>
        <v/>
      </c>
      <c r="AY30" s="17" t="str">
        <f>IFERROR(INDEX(逆引き作成用!$C$2:$C$169,MATCH($B30&amp;"/"&amp;$C30,逆引き作成用!AY$2:AY$169,FALSE),1),"")</f>
        <v/>
      </c>
      <c r="AZ30" s="17" t="str">
        <f>IFERROR(INDEX(逆引き作成用!$C$2:$C$169,MATCH($B30&amp;"/"&amp;$C30,逆引き作成用!AZ$2:AZ$169,FALSE),1),"")</f>
        <v/>
      </c>
      <c r="BA30" s="17" t="str">
        <f>IFERROR(INDEX(逆引き作成用!$C$2:$C$169,MATCH($B30&amp;"/"&amp;$C30,逆引き作成用!BA$2:BA$169,FALSE),1),"")</f>
        <v/>
      </c>
    </row>
    <row r="31" spans="1:53">
      <c r="A31" s="17" t="str">
        <f>IFERROR(INDEX(役職一覧!$B$2:$B$31,MATCH(B31,役職一覧!$C$2:$C$31,FALSE),1),"")</f>
        <v/>
      </c>
      <c r="B31" s="17" t="str">
        <f>IFERROR(IF(C31=1,INDEX(役職一覧!$C$2:$C$31,MATCH(逆引き!B30,役職一覧!$C$2:$C$31,FALSE)+1,1)&amp;"",B30),"")</f>
        <v/>
      </c>
      <c r="C31" s="17" t="str">
        <f>IFERROR(IF(VLOOKUP(B30,役職一覧!$C$2:$E$31,3,FALSE)=C30,1,C30+1),"")</f>
        <v/>
      </c>
      <c r="D31" s="17" t="str">
        <f>IFERROR(INDEX(逆引き作成用!$C$2:$C$169,MATCH($B31&amp;"/"&amp;$C31,逆引き作成用!D$2:D$169,FALSE),1),"")</f>
        <v/>
      </c>
      <c r="E31" s="17" t="str">
        <f>IFERROR(INDEX(逆引き作成用!$C$2:$C$169,MATCH($B31&amp;"/"&amp;$C31,逆引き作成用!E$2:E$169,FALSE),1),"")</f>
        <v/>
      </c>
      <c r="F31" s="17" t="str">
        <f>IFERROR(INDEX(逆引き作成用!$C$2:$C$169,MATCH($B31&amp;"/"&amp;$C31,逆引き作成用!F$2:F$169,FALSE),1),"")</f>
        <v/>
      </c>
      <c r="G31" s="17" t="str">
        <f>IFERROR(INDEX(逆引き作成用!$C$2:$C$169,MATCH($B31&amp;"/"&amp;$C31,逆引き作成用!G$2:G$169,FALSE),1),"")</f>
        <v/>
      </c>
      <c r="H31" s="17" t="str">
        <f>IFERROR(INDEX(逆引き作成用!$C$2:$C$169,MATCH($B31&amp;"/"&amp;$C31,逆引き作成用!H$2:H$169,FALSE),1),"")</f>
        <v/>
      </c>
      <c r="I31" s="17" t="str">
        <f>IFERROR(INDEX(逆引き作成用!$C$2:$C$169,MATCH($B31&amp;"/"&amp;$C31,逆引き作成用!I$2:I$169,FALSE),1),"")</f>
        <v/>
      </c>
      <c r="J31" s="17" t="str">
        <f>IFERROR(INDEX(逆引き作成用!$C$2:$C$169,MATCH($B31&amp;"/"&amp;$C31,逆引き作成用!J$2:J$169,FALSE),1),"")</f>
        <v/>
      </c>
      <c r="K31" s="17" t="str">
        <f>IFERROR(INDEX(逆引き作成用!$C$2:$C$169,MATCH($B31&amp;"/"&amp;$C31,逆引き作成用!K$2:K$169,FALSE),1),"")</f>
        <v/>
      </c>
      <c r="L31" s="17" t="str">
        <f>IFERROR(INDEX(逆引き作成用!$C$2:$C$169,MATCH($B31&amp;"/"&amp;$C31,逆引き作成用!L$2:L$169,FALSE),1),"")</f>
        <v/>
      </c>
      <c r="M31" s="17" t="str">
        <f>IFERROR(INDEX(逆引き作成用!$C$2:$C$169,MATCH($B31&amp;"/"&amp;$C31,逆引き作成用!M$2:M$169,FALSE),1),"")</f>
        <v/>
      </c>
      <c r="N31" s="17" t="str">
        <f>IFERROR(INDEX(逆引き作成用!$C$2:$C$169,MATCH($B31&amp;"/"&amp;$C31,逆引き作成用!N$2:N$169,FALSE),1),"")</f>
        <v/>
      </c>
      <c r="O31" s="17" t="str">
        <f>IFERROR(INDEX(逆引き作成用!$C$2:$C$169,MATCH($B31&amp;"/"&amp;$C31,逆引き作成用!O$2:O$169,FALSE),1),"")</f>
        <v/>
      </c>
      <c r="P31" s="17" t="str">
        <f>IFERROR(INDEX(逆引き作成用!$C$2:$C$169,MATCH($B31&amp;"/"&amp;$C31,逆引き作成用!P$2:P$169,FALSE),1),"")</f>
        <v/>
      </c>
      <c r="Q31" s="17" t="str">
        <f>IFERROR(INDEX(逆引き作成用!$C$2:$C$169,MATCH($B31&amp;"/"&amp;$C31,逆引き作成用!Q$2:Q$169,FALSE),1),"")</f>
        <v/>
      </c>
      <c r="R31" s="17" t="str">
        <f>IFERROR(INDEX(逆引き作成用!$C$2:$C$169,MATCH($B31&amp;"/"&amp;$C31,逆引き作成用!R$2:R$169,FALSE),1),"")</f>
        <v/>
      </c>
      <c r="S31" s="17" t="str">
        <f>IFERROR(INDEX(逆引き作成用!$C$2:$C$169,MATCH($B31&amp;"/"&amp;$C31,逆引き作成用!S$2:S$169,FALSE),1),"")</f>
        <v/>
      </c>
      <c r="T31" s="17" t="str">
        <f>IFERROR(INDEX(逆引き作成用!$C$2:$C$169,MATCH($B31&amp;"/"&amp;$C31,逆引き作成用!T$2:T$169,FALSE),1),"")</f>
        <v/>
      </c>
      <c r="U31" s="17" t="str">
        <f>IFERROR(INDEX(逆引き作成用!$C$2:$C$169,MATCH($B31&amp;"/"&amp;$C31,逆引き作成用!U$2:U$169,FALSE),1),"")</f>
        <v/>
      </c>
      <c r="V31" s="17" t="str">
        <f>IFERROR(INDEX(逆引き作成用!$C$2:$C$169,MATCH($B31&amp;"/"&amp;$C31,逆引き作成用!V$2:V$169,FALSE),1),"")</f>
        <v/>
      </c>
      <c r="W31" s="17" t="str">
        <f>IFERROR(INDEX(逆引き作成用!$C$2:$C$169,MATCH($B31&amp;"/"&amp;$C31,逆引き作成用!W$2:W$169,FALSE),1),"")</f>
        <v/>
      </c>
      <c r="X31" s="17" t="str">
        <f>IFERROR(INDEX(逆引き作成用!$C$2:$C$169,MATCH($B31&amp;"/"&amp;$C31,逆引き作成用!X$2:X$169,FALSE),1),"")</f>
        <v/>
      </c>
      <c r="Y31" s="17" t="str">
        <f>IFERROR(INDEX(逆引き作成用!$C$2:$C$169,MATCH($B31&amp;"/"&amp;$C31,逆引き作成用!Y$2:Y$169,FALSE),1),"")</f>
        <v/>
      </c>
      <c r="Z31" s="17" t="str">
        <f>IFERROR(INDEX(逆引き作成用!$C$2:$C$169,MATCH($B31&amp;"/"&amp;$C31,逆引き作成用!Z$2:Z$169,FALSE),1),"")</f>
        <v/>
      </c>
      <c r="AA31" s="17" t="str">
        <f>IFERROR(INDEX(逆引き作成用!$C$2:$C$169,MATCH($B31&amp;"/"&amp;$C31,逆引き作成用!AA$2:AA$169,FALSE),1),"")</f>
        <v/>
      </c>
      <c r="AB31" s="17" t="str">
        <f>IFERROR(INDEX(逆引き作成用!$C$2:$C$169,MATCH($B31&amp;"/"&amp;$C31,逆引き作成用!AB$2:AB$169,FALSE),1),"")</f>
        <v/>
      </c>
      <c r="AC31" s="17" t="str">
        <f>IFERROR(INDEX(逆引き作成用!$C$2:$C$169,MATCH($B31&amp;"/"&amp;$C31,逆引き作成用!AC$2:AC$169,FALSE),1),"")</f>
        <v/>
      </c>
      <c r="AD31" s="17" t="str">
        <f>IFERROR(INDEX(逆引き作成用!$C$2:$C$169,MATCH($B31&amp;"/"&amp;$C31,逆引き作成用!AD$2:AD$169,FALSE),1),"")</f>
        <v/>
      </c>
      <c r="AE31" s="17" t="str">
        <f>IFERROR(INDEX(逆引き作成用!$C$2:$C$169,MATCH($B31&amp;"/"&amp;$C31,逆引き作成用!AE$2:AE$169,FALSE),1),"")</f>
        <v/>
      </c>
      <c r="AF31" s="17" t="str">
        <f>IFERROR(INDEX(逆引き作成用!$C$2:$C$169,MATCH($B31&amp;"/"&amp;$C31,逆引き作成用!AF$2:AF$169,FALSE),1),"")</f>
        <v/>
      </c>
      <c r="AG31" s="17" t="str">
        <f>IFERROR(INDEX(逆引き作成用!$C$2:$C$169,MATCH($B31&amp;"/"&amp;$C31,逆引き作成用!AG$2:AG$169,FALSE),1),"")</f>
        <v/>
      </c>
      <c r="AH31" s="17" t="str">
        <f>IFERROR(INDEX(逆引き作成用!$C$2:$C$169,MATCH($B31&amp;"/"&amp;$C31,逆引き作成用!AH$2:AH$169,FALSE),1),"")</f>
        <v/>
      </c>
      <c r="AI31" s="17" t="str">
        <f>IFERROR(INDEX(逆引き作成用!$C$2:$C$169,MATCH($B31&amp;"/"&amp;$C31,逆引き作成用!AI$2:AI$169,FALSE),1),"")</f>
        <v/>
      </c>
      <c r="AJ31" s="17" t="str">
        <f>IFERROR(INDEX(逆引き作成用!$C$2:$C$169,MATCH($B31&amp;"/"&amp;$C31,逆引き作成用!AJ$2:AJ$169,FALSE),1),"")</f>
        <v/>
      </c>
      <c r="AK31" s="17" t="str">
        <f>IFERROR(INDEX(逆引き作成用!$C$2:$C$169,MATCH($B31&amp;"/"&amp;$C31,逆引き作成用!AK$2:AK$169,FALSE),1),"")</f>
        <v/>
      </c>
      <c r="AL31" s="17" t="str">
        <f>IFERROR(INDEX(逆引き作成用!$C$2:$C$169,MATCH($B31&amp;"/"&amp;$C31,逆引き作成用!AL$2:AL$169,FALSE),1),"")</f>
        <v/>
      </c>
      <c r="AM31" s="17" t="str">
        <f>IFERROR(INDEX(逆引き作成用!$C$2:$C$169,MATCH($B31&amp;"/"&amp;$C31,逆引き作成用!AM$2:AM$169,FALSE),1),"")</f>
        <v/>
      </c>
      <c r="AN31" s="17" t="str">
        <f>IFERROR(INDEX(逆引き作成用!$C$2:$C$169,MATCH($B31&amp;"/"&amp;$C31,逆引き作成用!AN$2:AN$169,FALSE),1),"")</f>
        <v/>
      </c>
      <c r="AO31" s="17" t="str">
        <f>IFERROR(INDEX(逆引き作成用!$C$2:$C$169,MATCH($B31&amp;"/"&amp;$C31,逆引き作成用!AO$2:AO$169,FALSE),1),"")</f>
        <v/>
      </c>
      <c r="AP31" s="17" t="str">
        <f>IFERROR(INDEX(逆引き作成用!$C$2:$C$169,MATCH($B31&amp;"/"&amp;$C31,逆引き作成用!AP$2:AP$169,FALSE),1),"")</f>
        <v/>
      </c>
      <c r="AQ31" s="17" t="str">
        <f>IFERROR(INDEX(逆引き作成用!$C$2:$C$169,MATCH($B31&amp;"/"&amp;$C31,逆引き作成用!AQ$2:AQ$169,FALSE),1),"")</f>
        <v/>
      </c>
      <c r="AR31" s="17" t="str">
        <f>IFERROR(INDEX(逆引き作成用!$C$2:$C$169,MATCH($B31&amp;"/"&amp;$C31,逆引き作成用!AR$2:AR$169,FALSE),1),"")</f>
        <v/>
      </c>
      <c r="AS31" s="17" t="str">
        <f>IFERROR(INDEX(逆引き作成用!$C$2:$C$169,MATCH($B31&amp;"/"&amp;$C31,逆引き作成用!AS$2:AS$169,FALSE),1),"")</f>
        <v/>
      </c>
      <c r="AT31" s="17" t="str">
        <f>IFERROR(INDEX(逆引き作成用!$C$2:$C$169,MATCH($B31&amp;"/"&amp;$C31,逆引き作成用!AT$2:AT$169,FALSE),1),"")</f>
        <v/>
      </c>
      <c r="AU31" s="17" t="str">
        <f>IFERROR(INDEX(逆引き作成用!$C$2:$C$169,MATCH($B31&amp;"/"&amp;$C31,逆引き作成用!AU$2:AU$169,FALSE),1),"")</f>
        <v/>
      </c>
      <c r="AV31" s="17" t="str">
        <f>IFERROR(INDEX(逆引き作成用!$C$2:$C$169,MATCH($B31&amp;"/"&amp;$C31,逆引き作成用!AV$2:AV$169,FALSE),1),"")</f>
        <v/>
      </c>
      <c r="AW31" s="17" t="str">
        <f>IFERROR(INDEX(逆引き作成用!$C$2:$C$169,MATCH($B31&amp;"/"&amp;$C31,逆引き作成用!AW$2:AW$169,FALSE),1),"")</f>
        <v/>
      </c>
      <c r="AX31" s="17" t="str">
        <f>IFERROR(INDEX(逆引き作成用!$C$2:$C$169,MATCH($B31&amp;"/"&amp;$C31,逆引き作成用!AX$2:AX$169,FALSE),1),"")</f>
        <v/>
      </c>
      <c r="AY31" s="17" t="str">
        <f>IFERROR(INDEX(逆引き作成用!$C$2:$C$169,MATCH($B31&amp;"/"&amp;$C31,逆引き作成用!AY$2:AY$169,FALSE),1),"")</f>
        <v/>
      </c>
      <c r="AZ31" s="17" t="str">
        <f>IFERROR(INDEX(逆引き作成用!$C$2:$C$169,MATCH($B31&amp;"/"&amp;$C31,逆引き作成用!AZ$2:AZ$169,FALSE),1),"")</f>
        <v/>
      </c>
      <c r="BA31" s="17" t="str">
        <f>IFERROR(INDEX(逆引き作成用!$C$2:$C$169,MATCH($B31&amp;"/"&amp;$C31,逆引き作成用!BA$2:BA$169,FALSE),1),"")</f>
        <v/>
      </c>
    </row>
    <row r="32" spans="1:53">
      <c r="A32" s="17" t="str">
        <f>IFERROR(INDEX(役職一覧!$B$2:$B$31,MATCH(B32,役職一覧!$C$2:$C$31,FALSE),1),"")</f>
        <v/>
      </c>
      <c r="B32" s="17" t="str">
        <f>IFERROR(IF(C32=1,INDEX(役職一覧!$C$2:$C$31,MATCH(逆引き!B31,役職一覧!$C$2:$C$31,FALSE)+1,1)&amp;"",B31),"")</f>
        <v/>
      </c>
      <c r="C32" s="17" t="str">
        <f>IFERROR(IF(VLOOKUP(B31,役職一覧!$C$2:$E$31,3,FALSE)=C31,1,C31+1),"")</f>
        <v/>
      </c>
      <c r="D32" s="17" t="str">
        <f>IFERROR(INDEX(逆引き作成用!$C$2:$C$169,MATCH($B32&amp;"/"&amp;$C32,逆引き作成用!D$2:D$169,FALSE),1),"")</f>
        <v/>
      </c>
      <c r="E32" s="17" t="str">
        <f>IFERROR(INDEX(逆引き作成用!$C$2:$C$169,MATCH($B32&amp;"/"&amp;$C32,逆引き作成用!E$2:E$169,FALSE),1),"")</f>
        <v/>
      </c>
      <c r="F32" s="17" t="str">
        <f>IFERROR(INDEX(逆引き作成用!$C$2:$C$169,MATCH($B32&amp;"/"&amp;$C32,逆引き作成用!F$2:F$169,FALSE),1),"")</f>
        <v/>
      </c>
      <c r="G32" s="17" t="str">
        <f>IFERROR(INDEX(逆引き作成用!$C$2:$C$169,MATCH($B32&amp;"/"&amp;$C32,逆引き作成用!G$2:G$169,FALSE),1),"")</f>
        <v/>
      </c>
      <c r="H32" s="17" t="str">
        <f>IFERROR(INDEX(逆引き作成用!$C$2:$C$169,MATCH($B32&amp;"/"&amp;$C32,逆引き作成用!H$2:H$169,FALSE),1),"")</f>
        <v/>
      </c>
      <c r="I32" s="17" t="str">
        <f>IFERROR(INDEX(逆引き作成用!$C$2:$C$169,MATCH($B32&amp;"/"&amp;$C32,逆引き作成用!I$2:I$169,FALSE),1),"")</f>
        <v/>
      </c>
      <c r="J32" s="17" t="str">
        <f>IFERROR(INDEX(逆引き作成用!$C$2:$C$169,MATCH($B32&amp;"/"&amp;$C32,逆引き作成用!J$2:J$169,FALSE),1),"")</f>
        <v/>
      </c>
      <c r="K32" s="17" t="str">
        <f>IFERROR(INDEX(逆引き作成用!$C$2:$C$169,MATCH($B32&amp;"/"&amp;$C32,逆引き作成用!K$2:K$169,FALSE),1),"")</f>
        <v/>
      </c>
      <c r="L32" s="17" t="str">
        <f>IFERROR(INDEX(逆引き作成用!$C$2:$C$169,MATCH($B32&amp;"/"&amp;$C32,逆引き作成用!L$2:L$169,FALSE),1),"")</f>
        <v/>
      </c>
      <c r="M32" s="17" t="str">
        <f>IFERROR(INDEX(逆引き作成用!$C$2:$C$169,MATCH($B32&amp;"/"&amp;$C32,逆引き作成用!M$2:M$169,FALSE),1),"")</f>
        <v/>
      </c>
      <c r="N32" s="17" t="str">
        <f>IFERROR(INDEX(逆引き作成用!$C$2:$C$169,MATCH($B32&amp;"/"&amp;$C32,逆引き作成用!N$2:N$169,FALSE),1),"")</f>
        <v/>
      </c>
      <c r="O32" s="17" t="str">
        <f>IFERROR(INDEX(逆引き作成用!$C$2:$C$169,MATCH($B32&amp;"/"&amp;$C32,逆引き作成用!O$2:O$169,FALSE),1),"")</f>
        <v/>
      </c>
      <c r="P32" s="17" t="str">
        <f>IFERROR(INDEX(逆引き作成用!$C$2:$C$169,MATCH($B32&amp;"/"&amp;$C32,逆引き作成用!P$2:P$169,FALSE),1),"")</f>
        <v/>
      </c>
      <c r="Q32" s="17" t="str">
        <f>IFERROR(INDEX(逆引き作成用!$C$2:$C$169,MATCH($B32&amp;"/"&amp;$C32,逆引き作成用!Q$2:Q$169,FALSE),1),"")</f>
        <v/>
      </c>
      <c r="R32" s="17" t="str">
        <f>IFERROR(INDEX(逆引き作成用!$C$2:$C$169,MATCH($B32&amp;"/"&amp;$C32,逆引き作成用!R$2:R$169,FALSE),1),"")</f>
        <v/>
      </c>
      <c r="S32" s="17" t="str">
        <f>IFERROR(INDEX(逆引き作成用!$C$2:$C$169,MATCH($B32&amp;"/"&amp;$C32,逆引き作成用!S$2:S$169,FALSE),1),"")</f>
        <v/>
      </c>
      <c r="T32" s="17" t="str">
        <f>IFERROR(INDEX(逆引き作成用!$C$2:$C$169,MATCH($B32&amp;"/"&amp;$C32,逆引き作成用!T$2:T$169,FALSE),1),"")</f>
        <v/>
      </c>
      <c r="U32" s="17" t="str">
        <f>IFERROR(INDEX(逆引き作成用!$C$2:$C$169,MATCH($B32&amp;"/"&amp;$C32,逆引き作成用!U$2:U$169,FALSE),1),"")</f>
        <v/>
      </c>
      <c r="V32" s="17" t="str">
        <f>IFERROR(INDEX(逆引き作成用!$C$2:$C$169,MATCH($B32&amp;"/"&amp;$C32,逆引き作成用!V$2:V$169,FALSE),1),"")</f>
        <v/>
      </c>
      <c r="W32" s="17" t="str">
        <f>IFERROR(INDEX(逆引き作成用!$C$2:$C$169,MATCH($B32&amp;"/"&amp;$C32,逆引き作成用!W$2:W$169,FALSE),1),"")</f>
        <v/>
      </c>
      <c r="X32" s="17" t="str">
        <f>IFERROR(INDEX(逆引き作成用!$C$2:$C$169,MATCH($B32&amp;"/"&amp;$C32,逆引き作成用!X$2:X$169,FALSE),1),"")</f>
        <v/>
      </c>
      <c r="Y32" s="17" t="str">
        <f>IFERROR(INDEX(逆引き作成用!$C$2:$C$169,MATCH($B32&amp;"/"&amp;$C32,逆引き作成用!Y$2:Y$169,FALSE),1),"")</f>
        <v/>
      </c>
      <c r="Z32" s="17" t="str">
        <f>IFERROR(INDEX(逆引き作成用!$C$2:$C$169,MATCH($B32&amp;"/"&amp;$C32,逆引き作成用!Z$2:Z$169,FALSE),1),"")</f>
        <v/>
      </c>
      <c r="AA32" s="17" t="str">
        <f>IFERROR(INDEX(逆引き作成用!$C$2:$C$169,MATCH($B32&amp;"/"&amp;$C32,逆引き作成用!AA$2:AA$169,FALSE),1),"")</f>
        <v/>
      </c>
      <c r="AB32" s="17" t="str">
        <f>IFERROR(INDEX(逆引き作成用!$C$2:$C$169,MATCH($B32&amp;"/"&amp;$C32,逆引き作成用!AB$2:AB$169,FALSE),1),"")</f>
        <v/>
      </c>
      <c r="AC32" s="17" t="str">
        <f>IFERROR(INDEX(逆引き作成用!$C$2:$C$169,MATCH($B32&amp;"/"&amp;$C32,逆引き作成用!AC$2:AC$169,FALSE),1),"")</f>
        <v/>
      </c>
      <c r="AD32" s="17" t="str">
        <f>IFERROR(INDEX(逆引き作成用!$C$2:$C$169,MATCH($B32&amp;"/"&amp;$C32,逆引き作成用!AD$2:AD$169,FALSE),1),"")</f>
        <v/>
      </c>
      <c r="AE32" s="17" t="str">
        <f>IFERROR(INDEX(逆引き作成用!$C$2:$C$169,MATCH($B32&amp;"/"&amp;$C32,逆引き作成用!AE$2:AE$169,FALSE),1),"")</f>
        <v/>
      </c>
      <c r="AF32" s="17" t="str">
        <f>IFERROR(INDEX(逆引き作成用!$C$2:$C$169,MATCH($B32&amp;"/"&amp;$C32,逆引き作成用!AF$2:AF$169,FALSE),1),"")</f>
        <v/>
      </c>
      <c r="AG32" s="17" t="str">
        <f>IFERROR(INDEX(逆引き作成用!$C$2:$C$169,MATCH($B32&amp;"/"&amp;$C32,逆引き作成用!AG$2:AG$169,FALSE),1),"")</f>
        <v/>
      </c>
      <c r="AH32" s="17" t="str">
        <f>IFERROR(INDEX(逆引き作成用!$C$2:$C$169,MATCH($B32&amp;"/"&amp;$C32,逆引き作成用!AH$2:AH$169,FALSE),1),"")</f>
        <v/>
      </c>
      <c r="AI32" s="17" t="str">
        <f>IFERROR(INDEX(逆引き作成用!$C$2:$C$169,MATCH($B32&amp;"/"&amp;$C32,逆引き作成用!AI$2:AI$169,FALSE),1),"")</f>
        <v/>
      </c>
      <c r="AJ32" s="17" t="str">
        <f>IFERROR(INDEX(逆引き作成用!$C$2:$C$169,MATCH($B32&amp;"/"&amp;$C32,逆引き作成用!AJ$2:AJ$169,FALSE),1),"")</f>
        <v/>
      </c>
      <c r="AK32" s="17" t="str">
        <f>IFERROR(INDEX(逆引き作成用!$C$2:$C$169,MATCH($B32&amp;"/"&amp;$C32,逆引き作成用!AK$2:AK$169,FALSE),1),"")</f>
        <v/>
      </c>
      <c r="AL32" s="17" t="str">
        <f>IFERROR(INDEX(逆引き作成用!$C$2:$C$169,MATCH($B32&amp;"/"&amp;$C32,逆引き作成用!AL$2:AL$169,FALSE),1),"")</f>
        <v/>
      </c>
      <c r="AM32" s="17" t="str">
        <f>IFERROR(INDEX(逆引き作成用!$C$2:$C$169,MATCH($B32&amp;"/"&amp;$C32,逆引き作成用!AM$2:AM$169,FALSE),1),"")</f>
        <v/>
      </c>
      <c r="AN32" s="17" t="str">
        <f>IFERROR(INDEX(逆引き作成用!$C$2:$C$169,MATCH($B32&amp;"/"&amp;$C32,逆引き作成用!AN$2:AN$169,FALSE),1),"")</f>
        <v/>
      </c>
      <c r="AO32" s="17" t="str">
        <f>IFERROR(INDEX(逆引き作成用!$C$2:$C$169,MATCH($B32&amp;"/"&amp;$C32,逆引き作成用!AO$2:AO$169,FALSE),1),"")</f>
        <v/>
      </c>
      <c r="AP32" s="17" t="str">
        <f>IFERROR(INDEX(逆引き作成用!$C$2:$C$169,MATCH($B32&amp;"/"&amp;$C32,逆引き作成用!AP$2:AP$169,FALSE),1),"")</f>
        <v/>
      </c>
      <c r="AQ32" s="17" t="str">
        <f>IFERROR(INDEX(逆引き作成用!$C$2:$C$169,MATCH($B32&amp;"/"&amp;$C32,逆引き作成用!AQ$2:AQ$169,FALSE),1),"")</f>
        <v/>
      </c>
      <c r="AR32" s="17" t="str">
        <f>IFERROR(INDEX(逆引き作成用!$C$2:$C$169,MATCH($B32&amp;"/"&amp;$C32,逆引き作成用!AR$2:AR$169,FALSE),1),"")</f>
        <v/>
      </c>
      <c r="AS32" s="17" t="str">
        <f>IFERROR(INDEX(逆引き作成用!$C$2:$C$169,MATCH($B32&amp;"/"&amp;$C32,逆引き作成用!AS$2:AS$169,FALSE),1),"")</f>
        <v/>
      </c>
      <c r="AT32" s="17" t="str">
        <f>IFERROR(INDEX(逆引き作成用!$C$2:$C$169,MATCH($B32&amp;"/"&amp;$C32,逆引き作成用!AT$2:AT$169,FALSE),1),"")</f>
        <v/>
      </c>
      <c r="AU32" s="17" t="str">
        <f>IFERROR(INDEX(逆引き作成用!$C$2:$C$169,MATCH($B32&amp;"/"&amp;$C32,逆引き作成用!AU$2:AU$169,FALSE),1),"")</f>
        <v/>
      </c>
      <c r="AV32" s="17" t="str">
        <f>IFERROR(INDEX(逆引き作成用!$C$2:$C$169,MATCH($B32&amp;"/"&amp;$C32,逆引き作成用!AV$2:AV$169,FALSE),1),"")</f>
        <v/>
      </c>
      <c r="AW32" s="17" t="str">
        <f>IFERROR(INDEX(逆引き作成用!$C$2:$C$169,MATCH($B32&amp;"/"&amp;$C32,逆引き作成用!AW$2:AW$169,FALSE),1),"")</f>
        <v/>
      </c>
      <c r="AX32" s="17" t="str">
        <f>IFERROR(INDEX(逆引き作成用!$C$2:$C$169,MATCH($B32&amp;"/"&amp;$C32,逆引き作成用!AX$2:AX$169,FALSE),1),"")</f>
        <v/>
      </c>
      <c r="AY32" s="17" t="str">
        <f>IFERROR(INDEX(逆引き作成用!$C$2:$C$169,MATCH($B32&amp;"/"&amp;$C32,逆引き作成用!AY$2:AY$169,FALSE),1),"")</f>
        <v/>
      </c>
      <c r="AZ32" s="17" t="str">
        <f>IFERROR(INDEX(逆引き作成用!$C$2:$C$169,MATCH($B32&amp;"/"&amp;$C32,逆引き作成用!AZ$2:AZ$169,FALSE),1),"")</f>
        <v/>
      </c>
      <c r="BA32" s="17" t="str">
        <f>IFERROR(INDEX(逆引き作成用!$C$2:$C$169,MATCH($B32&amp;"/"&amp;$C32,逆引き作成用!BA$2:BA$169,FALSE),1),"")</f>
        <v/>
      </c>
    </row>
    <row r="33" spans="1:53">
      <c r="A33" s="17" t="str">
        <f>IFERROR(INDEX(役職一覧!$B$2:$B$31,MATCH(B33,役職一覧!$C$2:$C$31,FALSE),1),"")</f>
        <v/>
      </c>
      <c r="B33" s="17" t="str">
        <f>IFERROR(IF(C33=1,INDEX(役職一覧!$C$2:$C$31,MATCH(逆引き!B32,役職一覧!$C$2:$C$31,FALSE)+1,1)&amp;"",B32),"")</f>
        <v/>
      </c>
      <c r="C33" s="17" t="str">
        <f>IFERROR(IF(VLOOKUP(B32,役職一覧!$C$2:$E$31,3,FALSE)=C32,1,C32+1),"")</f>
        <v/>
      </c>
      <c r="D33" s="17" t="str">
        <f>IFERROR(INDEX(逆引き作成用!$C$2:$C$169,MATCH($B33&amp;"/"&amp;$C33,逆引き作成用!D$2:D$169,FALSE),1),"")</f>
        <v/>
      </c>
      <c r="E33" s="17" t="str">
        <f>IFERROR(INDEX(逆引き作成用!$C$2:$C$169,MATCH($B33&amp;"/"&amp;$C33,逆引き作成用!E$2:E$169,FALSE),1),"")</f>
        <v/>
      </c>
      <c r="F33" s="17" t="str">
        <f>IFERROR(INDEX(逆引き作成用!$C$2:$C$169,MATCH($B33&amp;"/"&amp;$C33,逆引き作成用!F$2:F$169,FALSE),1),"")</f>
        <v/>
      </c>
      <c r="G33" s="17" t="str">
        <f>IFERROR(INDEX(逆引き作成用!$C$2:$C$169,MATCH($B33&amp;"/"&amp;$C33,逆引き作成用!G$2:G$169,FALSE),1),"")</f>
        <v/>
      </c>
      <c r="H33" s="17" t="str">
        <f>IFERROR(INDEX(逆引き作成用!$C$2:$C$169,MATCH($B33&amp;"/"&amp;$C33,逆引き作成用!H$2:H$169,FALSE),1),"")</f>
        <v/>
      </c>
      <c r="I33" s="17" t="str">
        <f>IFERROR(INDEX(逆引き作成用!$C$2:$C$169,MATCH($B33&amp;"/"&amp;$C33,逆引き作成用!I$2:I$169,FALSE),1),"")</f>
        <v/>
      </c>
      <c r="J33" s="17" t="str">
        <f>IFERROR(INDEX(逆引き作成用!$C$2:$C$169,MATCH($B33&amp;"/"&amp;$C33,逆引き作成用!J$2:J$169,FALSE),1),"")</f>
        <v/>
      </c>
      <c r="K33" s="17" t="str">
        <f>IFERROR(INDEX(逆引き作成用!$C$2:$C$169,MATCH($B33&amp;"/"&amp;$C33,逆引き作成用!K$2:K$169,FALSE),1),"")</f>
        <v/>
      </c>
      <c r="L33" s="17" t="str">
        <f>IFERROR(INDEX(逆引き作成用!$C$2:$C$169,MATCH($B33&amp;"/"&amp;$C33,逆引き作成用!L$2:L$169,FALSE),1),"")</f>
        <v/>
      </c>
      <c r="M33" s="17" t="str">
        <f>IFERROR(INDEX(逆引き作成用!$C$2:$C$169,MATCH($B33&amp;"/"&amp;$C33,逆引き作成用!M$2:M$169,FALSE),1),"")</f>
        <v/>
      </c>
      <c r="N33" s="17" t="str">
        <f>IFERROR(INDEX(逆引き作成用!$C$2:$C$169,MATCH($B33&amp;"/"&amp;$C33,逆引き作成用!N$2:N$169,FALSE),1),"")</f>
        <v/>
      </c>
      <c r="O33" s="17" t="str">
        <f>IFERROR(INDEX(逆引き作成用!$C$2:$C$169,MATCH($B33&amp;"/"&amp;$C33,逆引き作成用!O$2:O$169,FALSE),1),"")</f>
        <v/>
      </c>
      <c r="P33" s="17" t="str">
        <f>IFERROR(INDEX(逆引き作成用!$C$2:$C$169,MATCH($B33&amp;"/"&amp;$C33,逆引き作成用!P$2:P$169,FALSE),1),"")</f>
        <v/>
      </c>
      <c r="Q33" s="17" t="str">
        <f>IFERROR(INDEX(逆引き作成用!$C$2:$C$169,MATCH($B33&amp;"/"&amp;$C33,逆引き作成用!Q$2:Q$169,FALSE),1),"")</f>
        <v/>
      </c>
      <c r="R33" s="17" t="str">
        <f>IFERROR(INDEX(逆引き作成用!$C$2:$C$169,MATCH($B33&amp;"/"&amp;$C33,逆引き作成用!R$2:R$169,FALSE),1),"")</f>
        <v/>
      </c>
      <c r="S33" s="17" t="str">
        <f>IFERROR(INDEX(逆引き作成用!$C$2:$C$169,MATCH($B33&amp;"/"&amp;$C33,逆引き作成用!S$2:S$169,FALSE),1),"")</f>
        <v/>
      </c>
      <c r="T33" s="17" t="str">
        <f>IFERROR(INDEX(逆引き作成用!$C$2:$C$169,MATCH($B33&amp;"/"&amp;$C33,逆引き作成用!T$2:T$169,FALSE),1),"")</f>
        <v/>
      </c>
      <c r="U33" s="17" t="str">
        <f>IFERROR(INDEX(逆引き作成用!$C$2:$C$169,MATCH($B33&amp;"/"&amp;$C33,逆引き作成用!U$2:U$169,FALSE),1),"")</f>
        <v/>
      </c>
      <c r="V33" s="17" t="str">
        <f>IFERROR(INDEX(逆引き作成用!$C$2:$C$169,MATCH($B33&amp;"/"&amp;$C33,逆引き作成用!V$2:V$169,FALSE),1),"")</f>
        <v/>
      </c>
      <c r="W33" s="17" t="str">
        <f>IFERROR(INDEX(逆引き作成用!$C$2:$C$169,MATCH($B33&amp;"/"&amp;$C33,逆引き作成用!W$2:W$169,FALSE),1),"")</f>
        <v/>
      </c>
      <c r="X33" s="17" t="str">
        <f>IFERROR(INDEX(逆引き作成用!$C$2:$C$169,MATCH($B33&amp;"/"&amp;$C33,逆引き作成用!X$2:X$169,FALSE),1),"")</f>
        <v/>
      </c>
      <c r="Y33" s="17" t="str">
        <f>IFERROR(INDEX(逆引き作成用!$C$2:$C$169,MATCH($B33&amp;"/"&amp;$C33,逆引き作成用!Y$2:Y$169,FALSE),1),"")</f>
        <v/>
      </c>
      <c r="Z33" s="17" t="str">
        <f>IFERROR(INDEX(逆引き作成用!$C$2:$C$169,MATCH($B33&amp;"/"&amp;$C33,逆引き作成用!Z$2:Z$169,FALSE),1),"")</f>
        <v/>
      </c>
      <c r="AA33" s="17" t="str">
        <f>IFERROR(INDEX(逆引き作成用!$C$2:$C$169,MATCH($B33&amp;"/"&amp;$C33,逆引き作成用!AA$2:AA$169,FALSE),1),"")</f>
        <v/>
      </c>
      <c r="AB33" s="17" t="str">
        <f>IFERROR(INDEX(逆引き作成用!$C$2:$C$169,MATCH($B33&amp;"/"&amp;$C33,逆引き作成用!AB$2:AB$169,FALSE),1),"")</f>
        <v/>
      </c>
      <c r="AC33" s="17" t="str">
        <f>IFERROR(INDEX(逆引き作成用!$C$2:$C$169,MATCH($B33&amp;"/"&amp;$C33,逆引き作成用!AC$2:AC$169,FALSE),1),"")</f>
        <v/>
      </c>
      <c r="AD33" s="17" t="str">
        <f>IFERROR(INDEX(逆引き作成用!$C$2:$C$169,MATCH($B33&amp;"/"&amp;$C33,逆引き作成用!AD$2:AD$169,FALSE),1),"")</f>
        <v/>
      </c>
      <c r="AE33" s="17" t="str">
        <f>IFERROR(INDEX(逆引き作成用!$C$2:$C$169,MATCH($B33&amp;"/"&amp;$C33,逆引き作成用!AE$2:AE$169,FALSE),1),"")</f>
        <v/>
      </c>
      <c r="AF33" s="17" t="str">
        <f>IFERROR(INDEX(逆引き作成用!$C$2:$C$169,MATCH($B33&amp;"/"&amp;$C33,逆引き作成用!AF$2:AF$169,FALSE),1),"")</f>
        <v/>
      </c>
      <c r="AG33" s="17" t="str">
        <f>IFERROR(INDEX(逆引き作成用!$C$2:$C$169,MATCH($B33&amp;"/"&amp;$C33,逆引き作成用!AG$2:AG$169,FALSE),1),"")</f>
        <v/>
      </c>
      <c r="AH33" s="17" t="str">
        <f>IFERROR(INDEX(逆引き作成用!$C$2:$C$169,MATCH($B33&amp;"/"&amp;$C33,逆引き作成用!AH$2:AH$169,FALSE),1),"")</f>
        <v/>
      </c>
      <c r="AI33" s="17" t="str">
        <f>IFERROR(INDEX(逆引き作成用!$C$2:$C$169,MATCH($B33&amp;"/"&amp;$C33,逆引き作成用!AI$2:AI$169,FALSE),1),"")</f>
        <v/>
      </c>
      <c r="AJ33" s="17" t="str">
        <f>IFERROR(INDEX(逆引き作成用!$C$2:$C$169,MATCH($B33&amp;"/"&amp;$C33,逆引き作成用!AJ$2:AJ$169,FALSE),1),"")</f>
        <v/>
      </c>
      <c r="AK33" s="17" t="str">
        <f>IFERROR(INDEX(逆引き作成用!$C$2:$C$169,MATCH($B33&amp;"/"&amp;$C33,逆引き作成用!AK$2:AK$169,FALSE),1),"")</f>
        <v/>
      </c>
      <c r="AL33" s="17" t="str">
        <f>IFERROR(INDEX(逆引き作成用!$C$2:$C$169,MATCH($B33&amp;"/"&amp;$C33,逆引き作成用!AL$2:AL$169,FALSE),1),"")</f>
        <v/>
      </c>
      <c r="AM33" s="17" t="str">
        <f>IFERROR(INDEX(逆引き作成用!$C$2:$C$169,MATCH($B33&amp;"/"&amp;$C33,逆引き作成用!AM$2:AM$169,FALSE),1),"")</f>
        <v/>
      </c>
      <c r="AN33" s="17" t="str">
        <f>IFERROR(INDEX(逆引き作成用!$C$2:$C$169,MATCH($B33&amp;"/"&amp;$C33,逆引き作成用!AN$2:AN$169,FALSE),1),"")</f>
        <v/>
      </c>
      <c r="AO33" s="17" t="str">
        <f>IFERROR(INDEX(逆引き作成用!$C$2:$C$169,MATCH($B33&amp;"/"&amp;$C33,逆引き作成用!AO$2:AO$169,FALSE),1),"")</f>
        <v/>
      </c>
      <c r="AP33" s="17" t="str">
        <f>IFERROR(INDEX(逆引き作成用!$C$2:$C$169,MATCH($B33&amp;"/"&amp;$C33,逆引き作成用!AP$2:AP$169,FALSE),1),"")</f>
        <v/>
      </c>
      <c r="AQ33" s="17" t="str">
        <f>IFERROR(INDEX(逆引き作成用!$C$2:$C$169,MATCH($B33&amp;"/"&amp;$C33,逆引き作成用!AQ$2:AQ$169,FALSE),1),"")</f>
        <v/>
      </c>
      <c r="AR33" s="17" t="str">
        <f>IFERROR(INDEX(逆引き作成用!$C$2:$C$169,MATCH($B33&amp;"/"&amp;$C33,逆引き作成用!AR$2:AR$169,FALSE),1),"")</f>
        <v/>
      </c>
      <c r="AS33" s="17" t="str">
        <f>IFERROR(INDEX(逆引き作成用!$C$2:$C$169,MATCH($B33&amp;"/"&amp;$C33,逆引き作成用!AS$2:AS$169,FALSE),1),"")</f>
        <v/>
      </c>
      <c r="AT33" s="17" t="str">
        <f>IFERROR(INDEX(逆引き作成用!$C$2:$C$169,MATCH($B33&amp;"/"&amp;$C33,逆引き作成用!AT$2:AT$169,FALSE),1),"")</f>
        <v/>
      </c>
      <c r="AU33" s="17" t="str">
        <f>IFERROR(INDEX(逆引き作成用!$C$2:$C$169,MATCH($B33&amp;"/"&amp;$C33,逆引き作成用!AU$2:AU$169,FALSE),1),"")</f>
        <v/>
      </c>
      <c r="AV33" s="17" t="str">
        <f>IFERROR(INDEX(逆引き作成用!$C$2:$C$169,MATCH($B33&amp;"/"&amp;$C33,逆引き作成用!AV$2:AV$169,FALSE),1),"")</f>
        <v/>
      </c>
      <c r="AW33" s="17" t="str">
        <f>IFERROR(INDEX(逆引き作成用!$C$2:$C$169,MATCH($B33&amp;"/"&amp;$C33,逆引き作成用!AW$2:AW$169,FALSE),1),"")</f>
        <v/>
      </c>
      <c r="AX33" s="17" t="str">
        <f>IFERROR(INDEX(逆引き作成用!$C$2:$C$169,MATCH($B33&amp;"/"&amp;$C33,逆引き作成用!AX$2:AX$169,FALSE),1),"")</f>
        <v/>
      </c>
      <c r="AY33" s="17" t="str">
        <f>IFERROR(INDEX(逆引き作成用!$C$2:$C$169,MATCH($B33&amp;"/"&amp;$C33,逆引き作成用!AY$2:AY$169,FALSE),1),"")</f>
        <v/>
      </c>
      <c r="AZ33" s="17" t="str">
        <f>IFERROR(INDEX(逆引き作成用!$C$2:$C$169,MATCH($B33&amp;"/"&amp;$C33,逆引き作成用!AZ$2:AZ$169,FALSE),1),"")</f>
        <v/>
      </c>
      <c r="BA33" s="17" t="str">
        <f>IFERROR(INDEX(逆引き作成用!$C$2:$C$169,MATCH($B33&amp;"/"&amp;$C33,逆引き作成用!BA$2:BA$169,FALSE),1),"")</f>
        <v/>
      </c>
    </row>
    <row r="34" spans="1:53">
      <c r="A34" s="17" t="str">
        <f>IFERROR(INDEX(役職一覧!$B$2:$B$31,MATCH(B34,役職一覧!$C$2:$C$31,FALSE),1),"")</f>
        <v/>
      </c>
      <c r="B34" s="17" t="str">
        <f>IFERROR(IF(C34=1,INDEX(役職一覧!$C$2:$C$31,MATCH(逆引き!B33,役職一覧!$C$2:$C$31,FALSE)+1,1)&amp;"",B33),"")</f>
        <v/>
      </c>
      <c r="C34" s="17" t="str">
        <f>IFERROR(IF(VLOOKUP(B33,役職一覧!$C$2:$E$31,3,FALSE)=C33,1,C33+1),"")</f>
        <v/>
      </c>
      <c r="D34" s="17" t="str">
        <f>IFERROR(INDEX(逆引き作成用!$C$2:$C$169,MATCH($B34&amp;"/"&amp;$C34,逆引き作成用!D$2:D$169,FALSE),1),"")</f>
        <v/>
      </c>
      <c r="E34" s="17" t="str">
        <f>IFERROR(INDEX(逆引き作成用!$C$2:$C$169,MATCH($B34&amp;"/"&amp;$C34,逆引き作成用!E$2:E$169,FALSE),1),"")</f>
        <v/>
      </c>
      <c r="F34" s="17" t="str">
        <f>IFERROR(INDEX(逆引き作成用!$C$2:$C$169,MATCH($B34&amp;"/"&amp;$C34,逆引き作成用!F$2:F$169,FALSE),1),"")</f>
        <v/>
      </c>
      <c r="G34" s="17" t="str">
        <f>IFERROR(INDEX(逆引き作成用!$C$2:$C$169,MATCH($B34&amp;"/"&amp;$C34,逆引き作成用!G$2:G$169,FALSE),1),"")</f>
        <v/>
      </c>
      <c r="H34" s="17" t="str">
        <f>IFERROR(INDEX(逆引き作成用!$C$2:$C$169,MATCH($B34&amp;"/"&amp;$C34,逆引き作成用!H$2:H$169,FALSE),1),"")</f>
        <v/>
      </c>
      <c r="I34" s="17" t="str">
        <f>IFERROR(INDEX(逆引き作成用!$C$2:$C$169,MATCH($B34&amp;"/"&amp;$C34,逆引き作成用!I$2:I$169,FALSE),1),"")</f>
        <v/>
      </c>
      <c r="J34" s="17" t="str">
        <f>IFERROR(INDEX(逆引き作成用!$C$2:$C$169,MATCH($B34&amp;"/"&amp;$C34,逆引き作成用!J$2:J$169,FALSE),1),"")</f>
        <v/>
      </c>
      <c r="K34" s="17" t="str">
        <f>IFERROR(INDEX(逆引き作成用!$C$2:$C$169,MATCH($B34&amp;"/"&amp;$C34,逆引き作成用!K$2:K$169,FALSE),1),"")</f>
        <v/>
      </c>
      <c r="L34" s="17" t="str">
        <f>IFERROR(INDEX(逆引き作成用!$C$2:$C$169,MATCH($B34&amp;"/"&amp;$C34,逆引き作成用!L$2:L$169,FALSE),1),"")</f>
        <v/>
      </c>
      <c r="M34" s="17" t="str">
        <f>IFERROR(INDEX(逆引き作成用!$C$2:$C$169,MATCH($B34&amp;"/"&amp;$C34,逆引き作成用!M$2:M$169,FALSE),1),"")</f>
        <v/>
      </c>
      <c r="N34" s="17" t="str">
        <f>IFERROR(INDEX(逆引き作成用!$C$2:$C$169,MATCH($B34&amp;"/"&amp;$C34,逆引き作成用!N$2:N$169,FALSE),1),"")</f>
        <v/>
      </c>
      <c r="O34" s="17" t="str">
        <f>IFERROR(INDEX(逆引き作成用!$C$2:$C$169,MATCH($B34&amp;"/"&amp;$C34,逆引き作成用!O$2:O$169,FALSE),1),"")</f>
        <v/>
      </c>
      <c r="P34" s="17" t="str">
        <f>IFERROR(INDEX(逆引き作成用!$C$2:$C$169,MATCH($B34&amp;"/"&amp;$C34,逆引き作成用!P$2:P$169,FALSE),1),"")</f>
        <v/>
      </c>
      <c r="Q34" s="17" t="str">
        <f>IFERROR(INDEX(逆引き作成用!$C$2:$C$169,MATCH($B34&amp;"/"&amp;$C34,逆引き作成用!Q$2:Q$169,FALSE),1),"")</f>
        <v/>
      </c>
      <c r="R34" s="17" t="str">
        <f>IFERROR(INDEX(逆引き作成用!$C$2:$C$169,MATCH($B34&amp;"/"&amp;$C34,逆引き作成用!R$2:R$169,FALSE),1),"")</f>
        <v/>
      </c>
      <c r="S34" s="17" t="str">
        <f>IFERROR(INDEX(逆引き作成用!$C$2:$C$169,MATCH($B34&amp;"/"&amp;$C34,逆引き作成用!S$2:S$169,FALSE),1),"")</f>
        <v/>
      </c>
      <c r="T34" s="17" t="str">
        <f>IFERROR(INDEX(逆引き作成用!$C$2:$C$169,MATCH($B34&amp;"/"&amp;$C34,逆引き作成用!T$2:T$169,FALSE),1),"")</f>
        <v/>
      </c>
      <c r="U34" s="17" t="str">
        <f>IFERROR(INDEX(逆引き作成用!$C$2:$C$169,MATCH($B34&amp;"/"&amp;$C34,逆引き作成用!U$2:U$169,FALSE),1),"")</f>
        <v/>
      </c>
      <c r="V34" s="17" t="str">
        <f>IFERROR(INDEX(逆引き作成用!$C$2:$C$169,MATCH($B34&amp;"/"&amp;$C34,逆引き作成用!V$2:V$169,FALSE),1),"")</f>
        <v/>
      </c>
      <c r="W34" s="17" t="str">
        <f>IFERROR(INDEX(逆引き作成用!$C$2:$C$169,MATCH($B34&amp;"/"&amp;$C34,逆引き作成用!W$2:W$169,FALSE),1),"")</f>
        <v/>
      </c>
      <c r="X34" s="17" t="str">
        <f>IFERROR(INDEX(逆引き作成用!$C$2:$C$169,MATCH($B34&amp;"/"&amp;$C34,逆引き作成用!X$2:X$169,FALSE),1),"")</f>
        <v/>
      </c>
      <c r="Y34" s="17" t="str">
        <f>IFERROR(INDEX(逆引き作成用!$C$2:$C$169,MATCH($B34&amp;"/"&amp;$C34,逆引き作成用!Y$2:Y$169,FALSE),1),"")</f>
        <v/>
      </c>
      <c r="Z34" s="17" t="str">
        <f>IFERROR(INDEX(逆引き作成用!$C$2:$C$169,MATCH($B34&amp;"/"&amp;$C34,逆引き作成用!Z$2:Z$169,FALSE),1),"")</f>
        <v/>
      </c>
      <c r="AA34" s="17" t="str">
        <f>IFERROR(INDEX(逆引き作成用!$C$2:$C$169,MATCH($B34&amp;"/"&amp;$C34,逆引き作成用!AA$2:AA$169,FALSE),1),"")</f>
        <v/>
      </c>
      <c r="AB34" s="17" t="str">
        <f>IFERROR(INDEX(逆引き作成用!$C$2:$C$169,MATCH($B34&amp;"/"&amp;$C34,逆引き作成用!AB$2:AB$169,FALSE),1),"")</f>
        <v/>
      </c>
      <c r="AC34" s="17" t="str">
        <f>IFERROR(INDEX(逆引き作成用!$C$2:$C$169,MATCH($B34&amp;"/"&amp;$C34,逆引き作成用!AC$2:AC$169,FALSE),1),"")</f>
        <v/>
      </c>
      <c r="AD34" s="17" t="str">
        <f>IFERROR(INDEX(逆引き作成用!$C$2:$C$169,MATCH($B34&amp;"/"&amp;$C34,逆引き作成用!AD$2:AD$169,FALSE),1),"")</f>
        <v/>
      </c>
      <c r="AE34" s="17" t="str">
        <f>IFERROR(INDEX(逆引き作成用!$C$2:$C$169,MATCH($B34&amp;"/"&amp;$C34,逆引き作成用!AE$2:AE$169,FALSE),1),"")</f>
        <v/>
      </c>
      <c r="AF34" s="17" t="str">
        <f>IFERROR(INDEX(逆引き作成用!$C$2:$C$169,MATCH($B34&amp;"/"&amp;$C34,逆引き作成用!AF$2:AF$169,FALSE),1),"")</f>
        <v/>
      </c>
      <c r="AG34" s="17" t="str">
        <f>IFERROR(INDEX(逆引き作成用!$C$2:$C$169,MATCH($B34&amp;"/"&amp;$C34,逆引き作成用!AG$2:AG$169,FALSE),1),"")</f>
        <v/>
      </c>
      <c r="AH34" s="17" t="str">
        <f>IFERROR(INDEX(逆引き作成用!$C$2:$C$169,MATCH($B34&amp;"/"&amp;$C34,逆引き作成用!AH$2:AH$169,FALSE),1),"")</f>
        <v/>
      </c>
      <c r="AI34" s="17" t="str">
        <f>IFERROR(INDEX(逆引き作成用!$C$2:$C$169,MATCH($B34&amp;"/"&amp;$C34,逆引き作成用!AI$2:AI$169,FALSE),1),"")</f>
        <v/>
      </c>
      <c r="AJ34" s="17" t="str">
        <f>IFERROR(INDEX(逆引き作成用!$C$2:$C$169,MATCH($B34&amp;"/"&amp;$C34,逆引き作成用!AJ$2:AJ$169,FALSE),1),"")</f>
        <v/>
      </c>
      <c r="AK34" s="17" t="str">
        <f>IFERROR(INDEX(逆引き作成用!$C$2:$C$169,MATCH($B34&amp;"/"&amp;$C34,逆引き作成用!AK$2:AK$169,FALSE),1),"")</f>
        <v/>
      </c>
      <c r="AL34" s="17" t="str">
        <f>IFERROR(INDEX(逆引き作成用!$C$2:$C$169,MATCH($B34&amp;"/"&amp;$C34,逆引き作成用!AL$2:AL$169,FALSE),1),"")</f>
        <v/>
      </c>
      <c r="AM34" s="17" t="str">
        <f>IFERROR(INDEX(逆引き作成用!$C$2:$C$169,MATCH($B34&amp;"/"&amp;$C34,逆引き作成用!AM$2:AM$169,FALSE),1),"")</f>
        <v/>
      </c>
      <c r="AN34" s="17" t="str">
        <f>IFERROR(INDEX(逆引き作成用!$C$2:$C$169,MATCH($B34&amp;"/"&amp;$C34,逆引き作成用!AN$2:AN$169,FALSE),1),"")</f>
        <v/>
      </c>
      <c r="AO34" s="17" t="str">
        <f>IFERROR(INDEX(逆引き作成用!$C$2:$C$169,MATCH($B34&amp;"/"&amp;$C34,逆引き作成用!AO$2:AO$169,FALSE),1),"")</f>
        <v/>
      </c>
      <c r="AP34" s="17" t="str">
        <f>IFERROR(INDEX(逆引き作成用!$C$2:$C$169,MATCH($B34&amp;"/"&amp;$C34,逆引き作成用!AP$2:AP$169,FALSE),1),"")</f>
        <v/>
      </c>
      <c r="AQ34" s="17" t="str">
        <f>IFERROR(INDEX(逆引き作成用!$C$2:$C$169,MATCH($B34&amp;"/"&amp;$C34,逆引き作成用!AQ$2:AQ$169,FALSE),1),"")</f>
        <v/>
      </c>
      <c r="AR34" s="17" t="str">
        <f>IFERROR(INDEX(逆引き作成用!$C$2:$C$169,MATCH($B34&amp;"/"&amp;$C34,逆引き作成用!AR$2:AR$169,FALSE),1),"")</f>
        <v/>
      </c>
      <c r="AS34" s="17" t="str">
        <f>IFERROR(INDEX(逆引き作成用!$C$2:$C$169,MATCH($B34&amp;"/"&amp;$C34,逆引き作成用!AS$2:AS$169,FALSE),1),"")</f>
        <v/>
      </c>
      <c r="AT34" s="17" t="str">
        <f>IFERROR(INDEX(逆引き作成用!$C$2:$C$169,MATCH($B34&amp;"/"&amp;$C34,逆引き作成用!AT$2:AT$169,FALSE),1),"")</f>
        <v/>
      </c>
      <c r="AU34" s="17" t="str">
        <f>IFERROR(INDEX(逆引き作成用!$C$2:$C$169,MATCH($B34&amp;"/"&amp;$C34,逆引き作成用!AU$2:AU$169,FALSE),1),"")</f>
        <v/>
      </c>
      <c r="AV34" s="17" t="str">
        <f>IFERROR(INDEX(逆引き作成用!$C$2:$C$169,MATCH($B34&amp;"/"&amp;$C34,逆引き作成用!AV$2:AV$169,FALSE),1),"")</f>
        <v/>
      </c>
      <c r="AW34" s="17" t="str">
        <f>IFERROR(INDEX(逆引き作成用!$C$2:$C$169,MATCH($B34&amp;"/"&amp;$C34,逆引き作成用!AW$2:AW$169,FALSE),1),"")</f>
        <v/>
      </c>
      <c r="AX34" s="17" t="str">
        <f>IFERROR(INDEX(逆引き作成用!$C$2:$C$169,MATCH($B34&amp;"/"&amp;$C34,逆引き作成用!AX$2:AX$169,FALSE),1),"")</f>
        <v/>
      </c>
      <c r="AY34" s="17" t="str">
        <f>IFERROR(INDEX(逆引き作成用!$C$2:$C$169,MATCH($B34&amp;"/"&amp;$C34,逆引き作成用!AY$2:AY$169,FALSE),1),"")</f>
        <v/>
      </c>
      <c r="AZ34" s="17" t="str">
        <f>IFERROR(INDEX(逆引き作成用!$C$2:$C$169,MATCH($B34&amp;"/"&amp;$C34,逆引き作成用!AZ$2:AZ$169,FALSE),1),"")</f>
        <v/>
      </c>
      <c r="BA34" s="17" t="str">
        <f>IFERROR(INDEX(逆引き作成用!$C$2:$C$169,MATCH($B34&amp;"/"&amp;$C34,逆引き作成用!BA$2:BA$169,FALSE),1),"")</f>
        <v/>
      </c>
    </row>
    <row r="35" spans="1:53">
      <c r="A35" s="17" t="str">
        <f>IFERROR(INDEX(役職一覧!$B$2:$B$31,MATCH(B35,役職一覧!$C$2:$C$31,FALSE),1),"")</f>
        <v/>
      </c>
      <c r="B35" s="17" t="str">
        <f>IFERROR(IF(C35=1,INDEX(役職一覧!$C$2:$C$31,MATCH(逆引き!B34,役職一覧!$C$2:$C$31,FALSE)+1,1)&amp;"",B34),"")</f>
        <v/>
      </c>
      <c r="C35" s="17" t="str">
        <f>IFERROR(IF(VLOOKUP(B34,役職一覧!$C$2:$E$31,3,FALSE)=C34,1,C34+1),"")</f>
        <v/>
      </c>
      <c r="D35" s="17" t="str">
        <f>IFERROR(INDEX(逆引き作成用!$C$2:$C$169,MATCH($B35&amp;"/"&amp;$C35,逆引き作成用!D$2:D$169,FALSE),1),"")</f>
        <v/>
      </c>
      <c r="E35" s="17" t="str">
        <f>IFERROR(INDEX(逆引き作成用!$C$2:$C$169,MATCH($B35&amp;"/"&amp;$C35,逆引き作成用!E$2:E$169,FALSE),1),"")</f>
        <v/>
      </c>
      <c r="F35" s="17" t="str">
        <f>IFERROR(INDEX(逆引き作成用!$C$2:$C$169,MATCH($B35&amp;"/"&amp;$C35,逆引き作成用!F$2:F$169,FALSE),1),"")</f>
        <v/>
      </c>
      <c r="G35" s="17" t="str">
        <f>IFERROR(INDEX(逆引き作成用!$C$2:$C$169,MATCH($B35&amp;"/"&amp;$C35,逆引き作成用!G$2:G$169,FALSE),1),"")</f>
        <v/>
      </c>
      <c r="H35" s="17" t="str">
        <f>IFERROR(INDEX(逆引き作成用!$C$2:$C$169,MATCH($B35&amp;"/"&amp;$C35,逆引き作成用!H$2:H$169,FALSE),1),"")</f>
        <v/>
      </c>
      <c r="I35" s="17" t="str">
        <f>IFERROR(INDEX(逆引き作成用!$C$2:$C$169,MATCH($B35&amp;"/"&amp;$C35,逆引き作成用!I$2:I$169,FALSE),1),"")</f>
        <v/>
      </c>
      <c r="J35" s="17" t="str">
        <f>IFERROR(INDEX(逆引き作成用!$C$2:$C$169,MATCH($B35&amp;"/"&amp;$C35,逆引き作成用!J$2:J$169,FALSE),1),"")</f>
        <v/>
      </c>
      <c r="K35" s="17" t="str">
        <f>IFERROR(INDEX(逆引き作成用!$C$2:$C$169,MATCH($B35&amp;"/"&amp;$C35,逆引き作成用!K$2:K$169,FALSE),1),"")</f>
        <v/>
      </c>
      <c r="L35" s="17" t="str">
        <f>IFERROR(INDEX(逆引き作成用!$C$2:$C$169,MATCH($B35&amp;"/"&amp;$C35,逆引き作成用!L$2:L$169,FALSE),1),"")</f>
        <v/>
      </c>
      <c r="M35" s="17" t="str">
        <f>IFERROR(INDEX(逆引き作成用!$C$2:$C$169,MATCH($B35&amp;"/"&amp;$C35,逆引き作成用!M$2:M$169,FALSE),1),"")</f>
        <v/>
      </c>
      <c r="N35" s="17" t="str">
        <f>IFERROR(INDEX(逆引き作成用!$C$2:$C$169,MATCH($B35&amp;"/"&amp;$C35,逆引き作成用!N$2:N$169,FALSE),1),"")</f>
        <v/>
      </c>
      <c r="O35" s="17" t="str">
        <f>IFERROR(INDEX(逆引き作成用!$C$2:$C$169,MATCH($B35&amp;"/"&amp;$C35,逆引き作成用!O$2:O$169,FALSE),1),"")</f>
        <v/>
      </c>
      <c r="P35" s="17" t="str">
        <f>IFERROR(INDEX(逆引き作成用!$C$2:$C$169,MATCH($B35&amp;"/"&amp;$C35,逆引き作成用!P$2:P$169,FALSE),1),"")</f>
        <v/>
      </c>
      <c r="Q35" s="17" t="str">
        <f>IFERROR(INDEX(逆引き作成用!$C$2:$C$169,MATCH($B35&amp;"/"&amp;$C35,逆引き作成用!Q$2:Q$169,FALSE),1),"")</f>
        <v/>
      </c>
      <c r="R35" s="17" t="str">
        <f>IFERROR(INDEX(逆引き作成用!$C$2:$C$169,MATCH($B35&amp;"/"&amp;$C35,逆引き作成用!R$2:R$169,FALSE),1),"")</f>
        <v/>
      </c>
      <c r="S35" s="17" t="str">
        <f>IFERROR(INDEX(逆引き作成用!$C$2:$C$169,MATCH($B35&amp;"/"&amp;$C35,逆引き作成用!S$2:S$169,FALSE),1),"")</f>
        <v/>
      </c>
      <c r="T35" s="17" t="str">
        <f>IFERROR(INDEX(逆引き作成用!$C$2:$C$169,MATCH($B35&amp;"/"&amp;$C35,逆引き作成用!T$2:T$169,FALSE),1),"")</f>
        <v/>
      </c>
      <c r="U35" s="17" t="str">
        <f>IFERROR(INDEX(逆引き作成用!$C$2:$C$169,MATCH($B35&amp;"/"&amp;$C35,逆引き作成用!U$2:U$169,FALSE),1),"")</f>
        <v/>
      </c>
      <c r="V35" s="17" t="str">
        <f>IFERROR(INDEX(逆引き作成用!$C$2:$C$169,MATCH($B35&amp;"/"&amp;$C35,逆引き作成用!V$2:V$169,FALSE),1),"")</f>
        <v/>
      </c>
      <c r="W35" s="17" t="str">
        <f>IFERROR(INDEX(逆引き作成用!$C$2:$C$169,MATCH($B35&amp;"/"&amp;$C35,逆引き作成用!W$2:W$169,FALSE),1),"")</f>
        <v/>
      </c>
      <c r="X35" s="17" t="str">
        <f>IFERROR(INDEX(逆引き作成用!$C$2:$C$169,MATCH($B35&amp;"/"&amp;$C35,逆引き作成用!X$2:X$169,FALSE),1),"")</f>
        <v/>
      </c>
      <c r="Y35" s="17" t="str">
        <f>IFERROR(INDEX(逆引き作成用!$C$2:$C$169,MATCH($B35&amp;"/"&amp;$C35,逆引き作成用!Y$2:Y$169,FALSE),1),"")</f>
        <v/>
      </c>
      <c r="Z35" s="17" t="str">
        <f>IFERROR(INDEX(逆引き作成用!$C$2:$C$169,MATCH($B35&amp;"/"&amp;$C35,逆引き作成用!Z$2:Z$169,FALSE),1),"")</f>
        <v/>
      </c>
      <c r="AA35" s="17" t="str">
        <f>IFERROR(INDEX(逆引き作成用!$C$2:$C$169,MATCH($B35&amp;"/"&amp;$C35,逆引き作成用!AA$2:AA$169,FALSE),1),"")</f>
        <v/>
      </c>
      <c r="AB35" s="17" t="str">
        <f>IFERROR(INDEX(逆引き作成用!$C$2:$C$169,MATCH($B35&amp;"/"&amp;$C35,逆引き作成用!AB$2:AB$169,FALSE),1),"")</f>
        <v/>
      </c>
      <c r="AC35" s="17" t="str">
        <f>IFERROR(INDEX(逆引き作成用!$C$2:$C$169,MATCH($B35&amp;"/"&amp;$C35,逆引き作成用!AC$2:AC$169,FALSE),1),"")</f>
        <v/>
      </c>
      <c r="AD35" s="17" t="str">
        <f>IFERROR(INDEX(逆引き作成用!$C$2:$C$169,MATCH($B35&amp;"/"&amp;$C35,逆引き作成用!AD$2:AD$169,FALSE),1),"")</f>
        <v/>
      </c>
      <c r="AE35" s="17" t="str">
        <f>IFERROR(INDEX(逆引き作成用!$C$2:$C$169,MATCH($B35&amp;"/"&amp;$C35,逆引き作成用!AE$2:AE$169,FALSE),1),"")</f>
        <v/>
      </c>
      <c r="AF35" s="17" t="str">
        <f>IFERROR(INDEX(逆引き作成用!$C$2:$C$169,MATCH($B35&amp;"/"&amp;$C35,逆引き作成用!AF$2:AF$169,FALSE),1),"")</f>
        <v/>
      </c>
      <c r="AG35" s="17" t="str">
        <f>IFERROR(INDEX(逆引き作成用!$C$2:$C$169,MATCH($B35&amp;"/"&amp;$C35,逆引き作成用!AG$2:AG$169,FALSE),1),"")</f>
        <v/>
      </c>
      <c r="AH35" s="17" t="str">
        <f>IFERROR(INDEX(逆引き作成用!$C$2:$C$169,MATCH($B35&amp;"/"&amp;$C35,逆引き作成用!AH$2:AH$169,FALSE),1),"")</f>
        <v/>
      </c>
      <c r="AI35" s="17" t="str">
        <f>IFERROR(INDEX(逆引き作成用!$C$2:$C$169,MATCH($B35&amp;"/"&amp;$C35,逆引き作成用!AI$2:AI$169,FALSE),1),"")</f>
        <v/>
      </c>
      <c r="AJ35" s="17" t="str">
        <f>IFERROR(INDEX(逆引き作成用!$C$2:$C$169,MATCH($B35&amp;"/"&amp;$C35,逆引き作成用!AJ$2:AJ$169,FALSE),1),"")</f>
        <v/>
      </c>
      <c r="AK35" s="17" t="str">
        <f>IFERROR(INDEX(逆引き作成用!$C$2:$C$169,MATCH($B35&amp;"/"&amp;$C35,逆引き作成用!AK$2:AK$169,FALSE),1),"")</f>
        <v/>
      </c>
      <c r="AL35" s="17" t="str">
        <f>IFERROR(INDEX(逆引き作成用!$C$2:$C$169,MATCH($B35&amp;"/"&amp;$C35,逆引き作成用!AL$2:AL$169,FALSE),1),"")</f>
        <v/>
      </c>
      <c r="AM35" s="17" t="str">
        <f>IFERROR(INDEX(逆引き作成用!$C$2:$C$169,MATCH($B35&amp;"/"&amp;$C35,逆引き作成用!AM$2:AM$169,FALSE),1),"")</f>
        <v/>
      </c>
      <c r="AN35" s="17" t="str">
        <f>IFERROR(INDEX(逆引き作成用!$C$2:$C$169,MATCH($B35&amp;"/"&amp;$C35,逆引き作成用!AN$2:AN$169,FALSE),1),"")</f>
        <v/>
      </c>
      <c r="AO35" s="17" t="str">
        <f>IFERROR(INDEX(逆引き作成用!$C$2:$C$169,MATCH($B35&amp;"/"&amp;$C35,逆引き作成用!AO$2:AO$169,FALSE),1),"")</f>
        <v/>
      </c>
      <c r="AP35" s="17" t="str">
        <f>IFERROR(INDEX(逆引き作成用!$C$2:$C$169,MATCH($B35&amp;"/"&amp;$C35,逆引き作成用!AP$2:AP$169,FALSE),1),"")</f>
        <v/>
      </c>
      <c r="AQ35" s="17" t="str">
        <f>IFERROR(INDEX(逆引き作成用!$C$2:$C$169,MATCH($B35&amp;"/"&amp;$C35,逆引き作成用!AQ$2:AQ$169,FALSE),1),"")</f>
        <v/>
      </c>
      <c r="AR35" s="17" t="str">
        <f>IFERROR(INDEX(逆引き作成用!$C$2:$C$169,MATCH($B35&amp;"/"&amp;$C35,逆引き作成用!AR$2:AR$169,FALSE),1),"")</f>
        <v/>
      </c>
      <c r="AS35" s="17" t="str">
        <f>IFERROR(INDEX(逆引き作成用!$C$2:$C$169,MATCH($B35&amp;"/"&amp;$C35,逆引き作成用!AS$2:AS$169,FALSE),1),"")</f>
        <v/>
      </c>
      <c r="AT35" s="17" t="str">
        <f>IFERROR(INDEX(逆引き作成用!$C$2:$C$169,MATCH($B35&amp;"/"&amp;$C35,逆引き作成用!AT$2:AT$169,FALSE),1),"")</f>
        <v/>
      </c>
      <c r="AU35" s="17" t="str">
        <f>IFERROR(INDEX(逆引き作成用!$C$2:$C$169,MATCH($B35&amp;"/"&amp;$C35,逆引き作成用!AU$2:AU$169,FALSE),1),"")</f>
        <v/>
      </c>
      <c r="AV35" s="17" t="str">
        <f>IFERROR(INDEX(逆引き作成用!$C$2:$C$169,MATCH($B35&amp;"/"&amp;$C35,逆引き作成用!AV$2:AV$169,FALSE),1),"")</f>
        <v/>
      </c>
      <c r="AW35" s="17" t="str">
        <f>IFERROR(INDEX(逆引き作成用!$C$2:$C$169,MATCH($B35&amp;"/"&amp;$C35,逆引き作成用!AW$2:AW$169,FALSE),1),"")</f>
        <v/>
      </c>
      <c r="AX35" s="17" t="str">
        <f>IFERROR(INDEX(逆引き作成用!$C$2:$C$169,MATCH($B35&amp;"/"&amp;$C35,逆引き作成用!AX$2:AX$169,FALSE),1),"")</f>
        <v/>
      </c>
      <c r="AY35" s="17" t="str">
        <f>IFERROR(INDEX(逆引き作成用!$C$2:$C$169,MATCH($B35&amp;"/"&amp;$C35,逆引き作成用!AY$2:AY$169,FALSE),1),"")</f>
        <v/>
      </c>
      <c r="AZ35" s="17" t="str">
        <f>IFERROR(INDEX(逆引き作成用!$C$2:$C$169,MATCH($B35&amp;"/"&amp;$C35,逆引き作成用!AZ$2:AZ$169,FALSE),1),"")</f>
        <v/>
      </c>
      <c r="BA35" s="17" t="str">
        <f>IFERROR(INDEX(逆引き作成用!$C$2:$C$169,MATCH($B35&amp;"/"&amp;$C35,逆引き作成用!BA$2:BA$169,FALSE),1),"")</f>
        <v/>
      </c>
    </row>
    <row r="36" spans="1:53">
      <c r="A36" s="17" t="str">
        <f>IFERROR(INDEX(役職一覧!$B$2:$B$31,MATCH(B36,役職一覧!$C$2:$C$31,FALSE),1),"")</f>
        <v/>
      </c>
      <c r="B36" s="17" t="str">
        <f>IFERROR(IF(C36=1,INDEX(役職一覧!$C$2:$C$31,MATCH(逆引き!B35,役職一覧!$C$2:$C$31,FALSE)+1,1)&amp;"",B35),"")</f>
        <v/>
      </c>
      <c r="C36" s="17" t="str">
        <f>IFERROR(IF(VLOOKUP(B35,役職一覧!$C$2:$E$31,3,FALSE)=C35,1,C35+1),"")</f>
        <v/>
      </c>
      <c r="D36" s="17" t="str">
        <f>IFERROR(INDEX(逆引き作成用!$C$2:$C$169,MATCH($B36&amp;"/"&amp;$C36,逆引き作成用!D$2:D$169,FALSE),1),"")</f>
        <v/>
      </c>
      <c r="E36" s="17" t="str">
        <f>IFERROR(INDEX(逆引き作成用!$C$2:$C$169,MATCH($B36&amp;"/"&amp;$C36,逆引き作成用!E$2:E$169,FALSE),1),"")</f>
        <v/>
      </c>
      <c r="F36" s="17" t="str">
        <f>IFERROR(INDEX(逆引き作成用!$C$2:$C$169,MATCH($B36&amp;"/"&amp;$C36,逆引き作成用!F$2:F$169,FALSE),1),"")</f>
        <v/>
      </c>
      <c r="G36" s="17" t="str">
        <f>IFERROR(INDEX(逆引き作成用!$C$2:$C$169,MATCH($B36&amp;"/"&amp;$C36,逆引き作成用!G$2:G$169,FALSE),1),"")</f>
        <v/>
      </c>
      <c r="H36" s="17" t="str">
        <f>IFERROR(INDEX(逆引き作成用!$C$2:$C$169,MATCH($B36&amp;"/"&amp;$C36,逆引き作成用!H$2:H$169,FALSE),1),"")</f>
        <v/>
      </c>
      <c r="I36" s="17" t="str">
        <f>IFERROR(INDEX(逆引き作成用!$C$2:$C$169,MATCH($B36&amp;"/"&amp;$C36,逆引き作成用!I$2:I$169,FALSE),1),"")</f>
        <v/>
      </c>
      <c r="J36" s="17" t="str">
        <f>IFERROR(INDEX(逆引き作成用!$C$2:$C$169,MATCH($B36&amp;"/"&amp;$C36,逆引き作成用!J$2:J$169,FALSE),1),"")</f>
        <v/>
      </c>
      <c r="K36" s="17" t="str">
        <f>IFERROR(INDEX(逆引き作成用!$C$2:$C$169,MATCH($B36&amp;"/"&amp;$C36,逆引き作成用!K$2:K$169,FALSE),1),"")</f>
        <v/>
      </c>
      <c r="L36" s="17" t="str">
        <f>IFERROR(INDEX(逆引き作成用!$C$2:$C$169,MATCH($B36&amp;"/"&amp;$C36,逆引き作成用!L$2:L$169,FALSE),1),"")</f>
        <v/>
      </c>
      <c r="M36" s="17" t="str">
        <f>IFERROR(INDEX(逆引き作成用!$C$2:$C$169,MATCH($B36&amp;"/"&amp;$C36,逆引き作成用!M$2:M$169,FALSE),1),"")</f>
        <v/>
      </c>
      <c r="N36" s="17" t="str">
        <f>IFERROR(INDEX(逆引き作成用!$C$2:$C$169,MATCH($B36&amp;"/"&amp;$C36,逆引き作成用!N$2:N$169,FALSE),1),"")</f>
        <v/>
      </c>
      <c r="O36" s="17" t="str">
        <f>IFERROR(INDEX(逆引き作成用!$C$2:$C$169,MATCH($B36&amp;"/"&amp;$C36,逆引き作成用!O$2:O$169,FALSE),1),"")</f>
        <v/>
      </c>
      <c r="P36" s="17" t="str">
        <f>IFERROR(INDEX(逆引き作成用!$C$2:$C$169,MATCH($B36&amp;"/"&amp;$C36,逆引き作成用!P$2:P$169,FALSE),1),"")</f>
        <v/>
      </c>
      <c r="Q36" s="17" t="str">
        <f>IFERROR(INDEX(逆引き作成用!$C$2:$C$169,MATCH($B36&amp;"/"&amp;$C36,逆引き作成用!Q$2:Q$169,FALSE),1),"")</f>
        <v/>
      </c>
      <c r="R36" s="17" t="str">
        <f>IFERROR(INDEX(逆引き作成用!$C$2:$C$169,MATCH($B36&amp;"/"&amp;$C36,逆引き作成用!R$2:R$169,FALSE),1),"")</f>
        <v/>
      </c>
      <c r="S36" s="17" t="str">
        <f>IFERROR(INDEX(逆引き作成用!$C$2:$C$169,MATCH($B36&amp;"/"&amp;$C36,逆引き作成用!S$2:S$169,FALSE),1),"")</f>
        <v/>
      </c>
      <c r="T36" s="17" t="str">
        <f>IFERROR(INDEX(逆引き作成用!$C$2:$C$169,MATCH($B36&amp;"/"&amp;$C36,逆引き作成用!T$2:T$169,FALSE),1),"")</f>
        <v/>
      </c>
      <c r="U36" s="17" t="str">
        <f>IFERROR(INDEX(逆引き作成用!$C$2:$C$169,MATCH($B36&amp;"/"&amp;$C36,逆引き作成用!U$2:U$169,FALSE),1),"")</f>
        <v/>
      </c>
      <c r="V36" s="17" t="str">
        <f>IFERROR(INDEX(逆引き作成用!$C$2:$C$169,MATCH($B36&amp;"/"&amp;$C36,逆引き作成用!V$2:V$169,FALSE),1),"")</f>
        <v/>
      </c>
      <c r="W36" s="17" t="str">
        <f>IFERROR(INDEX(逆引き作成用!$C$2:$C$169,MATCH($B36&amp;"/"&amp;$C36,逆引き作成用!W$2:W$169,FALSE),1),"")</f>
        <v/>
      </c>
      <c r="X36" s="17" t="str">
        <f>IFERROR(INDEX(逆引き作成用!$C$2:$C$169,MATCH($B36&amp;"/"&amp;$C36,逆引き作成用!X$2:X$169,FALSE),1),"")</f>
        <v/>
      </c>
      <c r="Y36" s="17" t="str">
        <f>IFERROR(INDEX(逆引き作成用!$C$2:$C$169,MATCH($B36&amp;"/"&amp;$C36,逆引き作成用!Y$2:Y$169,FALSE),1),"")</f>
        <v/>
      </c>
      <c r="Z36" s="17" t="str">
        <f>IFERROR(INDEX(逆引き作成用!$C$2:$C$169,MATCH($B36&amp;"/"&amp;$C36,逆引き作成用!Z$2:Z$169,FALSE),1),"")</f>
        <v/>
      </c>
      <c r="AA36" s="17" t="str">
        <f>IFERROR(INDEX(逆引き作成用!$C$2:$C$169,MATCH($B36&amp;"/"&amp;$C36,逆引き作成用!AA$2:AA$169,FALSE),1),"")</f>
        <v/>
      </c>
      <c r="AB36" s="17" t="str">
        <f>IFERROR(INDEX(逆引き作成用!$C$2:$C$169,MATCH($B36&amp;"/"&amp;$C36,逆引き作成用!AB$2:AB$169,FALSE),1),"")</f>
        <v/>
      </c>
      <c r="AC36" s="17" t="str">
        <f>IFERROR(INDEX(逆引き作成用!$C$2:$C$169,MATCH($B36&amp;"/"&amp;$C36,逆引き作成用!AC$2:AC$169,FALSE),1),"")</f>
        <v/>
      </c>
      <c r="AD36" s="17" t="str">
        <f>IFERROR(INDEX(逆引き作成用!$C$2:$C$169,MATCH($B36&amp;"/"&amp;$C36,逆引き作成用!AD$2:AD$169,FALSE),1),"")</f>
        <v/>
      </c>
      <c r="AE36" s="17" t="str">
        <f>IFERROR(INDEX(逆引き作成用!$C$2:$C$169,MATCH($B36&amp;"/"&amp;$C36,逆引き作成用!AE$2:AE$169,FALSE),1),"")</f>
        <v/>
      </c>
      <c r="AF36" s="17" t="str">
        <f>IFERROR(INDEX(逆引き作成用!$C$2:$C$169,MATCH($B36&amp;"/"&amp;$C36,逆引き作成用!AF$2:AF$169,FALSE),1),"")</f>
        <v/>
      </c>
      <c r="AG36" s="17" t="str">
        <f>IFERROR(INDEX(逆引き作成用!$C$2:$C$169,MATCH($B36&amp;"/"&amp;$C36,逆引き作成用!AG$2:AG$169,FALSE),1),"")</f>
        <v/>
      </c>
      <c r="AH36" s="17" t="str">
        <f>IFERROR(INDEX(逆引き作成用!$C$2:$C$169,MATCH($B36&amp;"/"&amp;$C36,逆引き作成用!AH$2:AH$169,FALSE),1),"")</f>
        <v/>
      </c>
      <c r="AI36" s="17" t="str">
        <f>IFERROR(INDEX(逆引き作成用!$C$2:$C$169,MATCH($B36&amp;"/"&amp;$C36,逆引き作成用!AI$2:AI$169,FALSE),1),"")</f>
        <v/>
      </c>
      <c r="AJ36" s="17" t="str">
        <f>IFERROR(INDEX(逆引き作成用!$C$2:$C$169,MATCH($B36&amp;"/"&amp;$C36,逆引き作成用!AJ$2:AJ$169,FALSE),1),"")</f>
        <v/>
      </c>
      <c r="AK36" s="17" t="str">
        <f>IFERROR(INDEX(逆引き作成用!$C$2:$C$169,MATCH($B36&amp;"/"&amp;$C36,逆引き作成用!AK$2:AK$169,FALSE),1),"")</f>
        <v/>
      </c>
      <c r="AL36" s="17" t="str">
        <f>IFERROR(INDEX(逆引き作成用!$C$2:$C$169,MATCH($B36&amp;"/"&amp;$C36,逆引き作成用!AL$2:AL$169,FALSE),1),"")</f>
        <v/>
      </c>
      <c r="AM36" s="17" t="str">
        <f>IFERROR(INDEX(逆引き作成用!$C$2:$C$169,MATCH($B36&amp;"/"&amp;$C36,逆引き作成用!AM$2:AM$169,FALSE),1),"")</f>
        <v/>
      </c>
      <c r="AN36" s="17" t="str">
        <f>IFERROR(INDEX(逆引き作成用!$C$2:$C$169,MATCH($B36&amp;"/"&amp;$C36,逆引き作成用!AN$2:AN$169,FALSE),1),"")</f>
        <v/>
      </c>
      <c r="AO36" s="17" t="str">
        <f>IFERROR(INDEX(逆引き作成用!$C$2:$C$169,MATCH($B36&amp;"/"&amp;$C36,逆引き作成用!AO$2:AO$169,FALSE),1),"")</f>
        <v/>
      </c>
      <c r="AP36" s="17" t="str">
        <f>IFERROR(INDEX(逆引き作成用!$C$2:$C$169,MATCH($B36&amp;"/"&amp;$C36,逆引き作成用!AP$2:AP$169,FALSE),1),"")</f>
        <v/>
      </c>
      <c r="AQ36" s="17" t="str">
        <f>IFERROR(INDEX(逆引き作成用!$C$2:$C$169,MATCH($B36&amp;"/"&amp;$C36,逆引き作成用!AQ$2:AQ$169,FALSE),1),"")</f>
        <v/>
      </c>
      <c r="AR36" s="17" t="str">
        <f>IFERROR(INDEX(逆引き作成用!$C$2:$C$169,MATCH($B36&amp;"/"&amp;$C36,逆引き作成用!AR$2:AR$169,FALSE),1),"")</f>
        <v/>
      </c>
      <c r="AS36" s="17" t="str">
        <f>IFERROR(INDEX(逆引き作成用!$C$2:$C$169,MATCH($B36&amp;"/"&amp;$C36,逆引き作成用!AS$2:AS$169,FALSE),1),"")</f>
        <v/>
      </c>
      <c r="AT36" s="17" t="str">
        <f>IFERROR(INDEX(逆引き作成用!$C$2:$C$169,MATCH($B36&amp;"/"&amp;$C36,逆引き作成用!AT$2:AT$169,FALSE),1),"")</f>
        <v/>
      </c>
      <c r="AU36" s="17" t="str">
        <f>IFERROR(INDEX(逆引き作成用!$C$2:$C$169,MATCH($B36&amp;"/"&amp;$C36,逆引き作成用!AU$2:AU$169,FALSE),1),"")</f>
        <v/>
      </c>
      <c r="AV36" s="17" t="str">
        <f>IFERROR(INDEX(逆引き作成用!$C$2:$C$169,MATCH($B36&amp;"/"&amp;$C36,逆引き作成用!AV$2:AV$169,FALSE),1),"")</f>
        <v/>
      </c>
      <c r="AW36" s="17" t="str">
        <f>IFERROR(INDEX(逆引き作成用!$C$2:$C$169,MATCH($B36&amp;"/"&amp;$C36,逆引き作成用!AW$2:AW$169,FALSE),1),"")</f>
        <v/>
      </c>
      <c r="AX36" s="17" t="str">
        <f>IFERROR(INDEX(逆引き作成用!$C$2:$C$169,MATCH($B36&amp;"/"&amp;$C36,逆引き作成用!AX$2:AX$169,FALSE),1),"")</f>
        <v/>
      </c>
      <c r="AY36" s="17" t="str">
        <f>IFERROR(INDEX(逆引き作成用!$C$2:$C$169,MATCH($B36&amp;"/"&amp;$C36,逆引き作成用!AY$2:AY$169,FALSE),1),"")</f>
        <v/>
      </c>
      <c r="AZ36" s="17" t="str">
        <f>IFERROR(INDEX(逆引き作成用!$C$2:$C$169,MATCH($B36&amp;"/"&amp;$C36,逆引き作成用!AZ$2:AZ$169,FALSE),1),"")</f>
        <v/>
      </c>
      <c r="BA36" s="17" t="str">
        <f>IFERROR(INDEX(逆引き作成用!$C$2:$C$169,MATCH($B36&amp;"/"&amp;$C36,逆引き作成用!BA$2:BA$169,FALSE),1),"")</f>
        <v/>
      </c>
    </row>
    <row r="37" spans="1:53">
      <c r="A37" s="17" t="str">
        <f>IFERROR(INDEX(役職一覧!$B$2:$B$31,MATCH(B37,役職一覧!$C$2:$C$31,FALSE),1),"")</f>
        <v/>
      </c>
      <c r="B37" s="17" t="str">
        <f>IFERROR(IF(C37=1,INDEX(役職一覧!$C$2:$C$31,MATCH(逆引き!B36,役職一覧!$C$2:$C$31,FALSE)+1,1)&amp;"",B36),"")</f>
        <v/>
      </c>
      <c r="C37" s="17" t="str">
        <f>IFERROR(IF(VLOOKUP(B36,役職一覧!$C$2:$E$31,3,FALSE)=C36,1,C36+1),"")</f>
        <v/>
      </c>
      <c r="D37" s="17" t="str">
        <f>IFERROR(INDEX(逆引き作成用!$C$2:$C$169,MATCH($B37&amp;"/"&amp;$C37,逆引き作成用!D$2:D$169,FALSE),1),"")</f>
        <v/>
      </c>
      <c r="E37" s="17" t="str">
        <f>IFERROR(INDEX(逆引き作成用!$C$2:$C$169,MATCH($B37&amp;"/"&amp;$C37,逆引き作成用!E$2:E$169,FALSE),1),"")</f>
        <v/>
      </c>
      <c r="F37" s="17" t="str">
        <f>IFERROR(INDEX(逆引き作成用!$C$2:$C$169,MATCH($B37&amp;"/"&amp;$C37,逆引き作成用!F$2:F$169,FALSE),1),"")</f>
        <v/>
      </c>
      <c r="G37" s="17" t="str">
        <f>IFERROR(INDEX(逆引き作成用!$C$2:$C$169,MATCH($B37&amp;"/"&amp;$C37,逆引き作成用!G$2:G$169,FALSE),1),"")</f>
        <v/>
      </c>
      <c r="H37" s="17" t="str">
        <f>IFERROR(INDEX(逆引き作成用!$C$2:$C$169,MATCH($B37&amp;"/"&amp;$C37,逆引き作成用!H$2:H$169,FALSE),1),"")</f>
        <v/>
      </c>
      <c r="I37" s="17" t="str">
        <f>IFERROR(INDEX(逆引き作成用!$C$2:$C$169,MATCH($B37&amp;"/"&amp;$C37,逆引き作成用!I$2:I$169,FALSE),1),"")</f>
        <v/>
      </c>
      <c r="J37" s="17" t="str">
        <f>IFERROR(INDEX(逆引き作成用!$C$2:$C$169,MATCH($B37&amp;"/"&amp;$C37,逆引き作成用!J$2:J$169,FALSE),1),"")</f>
        <v/>
      </c>
      <c r="K37" s="17" t="str">
        <f>IFERROR(INDEX(逆引き作成用!$C$2:$C$169,MATCH($B37&amp;"/"&amp;$C37,逆引き作成用!K$2:K$169,FALSE),1),"")</f>
        <v/>
      </c>
      <c r="L37" s="17" t="str">
        <f>IFERROR(INDEX(逆引き作成用!$C$2:$C$169,MATCH($B37&amp;"/"&amp;$C37,逆引き作成用!L$2:L$169,FALSE),1),"")</f>
        <v/>
      </c>
      <c r="M37" s="17" t="str">
        <f>IFERROR(INDEX(逆引き作成用!$C$2:$C$169,MATCH($B37&amp;"/"&amp;$C37,逆引き作成用!M$2:M$169,FALSE),1),"")</f>
        <v/>
      </c>
      <c r="N37" s="17" t="str">
        <f>IFERROR(INDEX(逆引き作成用!$C$2:$C$169,MATCH($B37&amp;"/"&amp;$C37,逆引き作成用!N$2:N$169,FALSE),1),"")</f>
        <v/>
      </c>
      <c r="O37" s="17" t="str">
        <f>IFERROR(INDEX(逆引き作成用!$C$2:$C$169,MATCH($B37&amp;"/"&amp;$C37,逆引き作成用!O$2:O$169,FALSE),1),"")</f>
        <v/>
      </c>
      <c r="P37" s="17" t="str">
        <f>IFERROR(INDEX(逆引き作成用!$C$2:$C$169,MATCH($B37&amp;"/"&amp;$C37,逆引き作成用!P$2:P$169,FALSE),1),"")</f>
        <v/>
      </c>
      <c r="Q37" s="17" t="str">
        <f>IFERROR(INDEX(逆引き作成用!$C$2:$C$169,MATCH($B37&amp;"/"&amp;$C37,逆引き作成用!Q$2:Q$169,FALSE),1),"")</f>
        <v/>
      </c>
      <c r="R37" s="17" t="str">
        <f>IFERROR(INDEX(逆引き作成用!$C$2:$C$169,MATCH($B37&amp;"/"&amp;$C37,逆引き作成用!R$2:R$169,FALSE),1),"")</f>
        <v/>
      </c>
      <c r="S37" s="17" t="str">
        <f>IFERROR(INDEX(逆引き作成用!$C$2:$C$169,MATCH($B37&amp;"/"&amp;$C37,逆引き作成用!S$2:S$169,FALSE),1),"")</f>
        <v/>
      </c>
      <c r="T37" s="17" t="str">
        <f>IFERROR(INDEX(逆引き作成用!$C$2:$C$169,MATCH($B37&amp;"/"&amp;$C37,逆引き作成用!T$2:T$169,FALSE),1),"")</f>
        <v/>
      </c>
      <c r="U37" s="17" t="str">
        <f>IFERROR(INDEX(逆引き作成用!$C$2:$C$169,MATCH($B37&amp;"/"&amp;$C37,逆引き作成用!U$2:U$169,FALSE),1),"")</f>
        <v/>
      </c>
      <c r="V37" s="17" t="str">
        <f>IFERROR(INDEX(逆引き作成用!$C$2:$C$169,MATCH($B37&amp;"/"&amp;$C37,逆引き作成用!V$2:V$169,FALSE),1),"")</f>
        <v/>
      </c>
      <c r="W37" s="17" t="str">
        <f>IFERROR(INDEX(逆引き作成用!$C$2:$C$169,MATCH($B37&amp;"/"&amp;$C37,逆引き作成用!W$2:W$169,FALSE),1),"")</f>
        <v/>
      </c>
      <c r="X37" s="17" t="str">
        <f>IFERROR(INDEX(逆引き作成用!$C$2:$C$169,MATCH($B37&amp;"/"&amp;$C37,逆引き作成用!X$2:X$169,FALSE),1),"")</f>
        <v/>
      </c>
      <c r="Y37" s="17" t="str">
        <f>IFERROR(INDEX(逆引き作成用!$C$2:$C$169,MATCH($B37&amp;"/"&amp;$C37,逆引き作成用!Y$2:Y$169,FALSE),1),"")</f>
        <v/>
      </c>
      <c r="Z37" s="17" t="str">
        <f>IFERROR(INDEX(逆引き作成用!$C$2:$C$169,MATCH($B37&amp;"/"&amp;$C37,逆引き作成用!Z$2:Z$169,FALSE),1),"")</f>
        <v/>
      </c>
      <c r="AA37" s="17" t="str">
        <f>IFERROR(INDEX(逆引き作成用!$C$2:$C$169,MATCH($B37&amp;"/"&amp;$C37,逆引き作成用!AA$2:AA$169,FALSE),1),"")</f>
        <v/>
      </c>
      <c r="AB37" s="17" t="str">
        <f>IFERROR(INDEX(逆引き作成用!$C$2:$C$169,MATCH($B37&amp;"/"&amp;$C37,逆引き作成用!AB$2:AB$169,FALSE),1),"")</f>
        <v/>
      </c>
      <c r="AC37" s="17" t="str">
        <f>IFERROR(INDEX(逆引き作成用!$C$2:$C$169,MATCH($B37&amp;"/"&amp;$C37,逆引き作成用!AC$2:AC$169,FALSE),1),"")</f>
        <v/>
      </c>
      <c r="AD37" s="17" t="str">
        <f>IFERROR(INDEX(逆引き作成用!$C$2:$C$169,MATCH($B37&amp;"/"&amp;$C37,逆引き作成用!AD$2:AD$169,FALSE),1),"")</f>
        <v/>
      </c>
      <c r="AE37" s="17" t="str">
        <f>IFERROR(INDEX(逆引き作成用!$C$2:$C$169,MATCH($B37&amp;"/"&amp;$C37,逆引き作成用!AE$2:AE$169,FALSE),1),"")</f>
        <v/>
      </c>
      <c r="AF37" s="17" t="str">
        <f>IFERROR(INDEX(逆引き作成用!$C$2:$C$169,MATCH($B37&amp;"/"&amp;$C37,逆引き作成用!AF$2:AF$169,FALSE),1),"")</f>
        <v/>
      </c>
      <c r="AG37" s="17" t="str">
        <f>IFERROR(INDEX(逆引き作成用!$C$2:$C$169,MATCH($B37&amp;"/"&amp;$C37,逆引き作成用!AG$2:AG$169,FALSE),1),"")</f>
        <v/>
      </c>
      <c r="AH37" s="17" t="str">
        <f>IFERROR(INDEX(逆引き作成用!$C$2:$C$169,MATCH($B37&amp;"/"&amp;$C37,逆引き作成用!AH$2:AH$169,FALSE),1),"")</f>
        <v/>
      </c>
      <c r="AI37" s="17" t="str">
        <f>IFERROR(INDEX(逆引き作成用!$C$2:$C$169,MATCH($B37&amp;"/"&amp;$C37,逆引き作成用!AI$2:AI$169,FALSE),1),"")</f>
        <v/>
      </c>
      <c r="AJ37" s="17" t="str">
        <f>IFERROR(INDEX(逆引き作成用!$C$2:$C$169,MATCH($B37&amp;"/"&amp;$C37,逆引き作成用!AJ$2:AJ$169,FALSE),1),"")</f>
        <v/>
      </c>
      <c r="AK37" s="17" t="str">
        <f>IFERROR(INDEX(逆引き作成用!$C$2:$C$169,MATCH($B37&amp;"/"&amp;$C37,逆引き作成用!AK$2:AK$169,FALSE),1),"")</f>
        <v/>
      </c>
      <c r="AL37" s="17" t="str">
        <f>IFERROR(INDEX(逆引き作成用!$C$2:$C$169,MATCH($B37&amp;"/"&amp;$C37,逆引き作成用!AL$2:AL$169,FALSE),1),"")</f>
        <v/>
      </c>
      <c r="AM37" s="17" t="str">
        <f>IFERROR(INDEX(逆引き作成用!$C$2:$C$169,MATCH($B37&amp;"/"&amp;$C37,逆引き作成用!AM$2:AM$169,FALSE),1),"")</f>
        <v/>
      </c>
      <c r="AN37" s="17" t="str">
        <f>IFERROR(INDEX(逆引き作成用!$C$2:$C$169,MATCH($B37&amp;"/"&amp;$C37,逆引き作成用!AN$2:AN$169,FALSE),1),"")</f>
        <v/>
      </c>
      <c r="AO37" s="17" t="str">
        <f>IFERROR(INDEX(逆引き作成用!$C$2:$C$169,MATCH($B37&amp;"/"&amp;$C37,逆引き作成用!AO$2:AO$169,FALSE),1),"")</f>
        <v/>
      </c>
      <c r="AP37" s="17" t="str">
        <f>IFERROR(INDEX(逆引き作成用!$C$2:$C$169,MATCH($B37&amp;"/"&amp;$C37,逆引き作成用!AP$2:AP$169,FALSE),1),"")</f>
        <v/>
      </c>
      <c r="AQ37" s="17" t="str">
        <f>IFERROR(INDEX(逆引き作成用!$C$2:$C$169,MATCH($B37&amp;"/"&amp;$C37,逆引き作成用!AQ$2:AQ$169,FALSE),1),"")</f>
        <v/>
      </c>
      <c r="AR37" s="17" t="str">
        <f>IFERROR(INDEX(逆引き作成用!$C$2:$C$169,MATCH($B37&amp;"/"&amp;$C37,逆引き作成用!AR$2:AR$169,FALSE),1),"")</f>
        <v/>
      </c>
      <c r="AS37" s="17" t="str">
        <f>IFERROR(INDEX(逆引き作成用!$C$2:$C$169,MATCH($B37&amp;"/"&amp;$C37,逆引き作成用!AS$2:AS$169,FALSE),1),"")</f>
        <v/>
      </c>
      <c r="AT37" s="17" t="str">
        <f>IFERROR(INDEX(逆引き作成用!$C$2:$C$169,MATCH($B37&amp;"/"&amp;$C37,逆引き作成用!AT$2:AT$169,FALSE),1),"")</f>
        <v/>
      </c>
      <c r="AU37" s="17" t="str">
        <f>IFERROR(INDEX(逆引き作成用!$C$2:$C$169,MATCH($B37&amp;"/"&amp;$C37,逆引き作成用!AU$2:AU$169,FALSE),1),"")</f>
        <v/>
      </c>
      <c r="AV37" s="17" t="str">
        <f>IFERROR(INDEX(逆引き作成用!$C$2:$C$169,MATCH($B37&amp;"/"&amp;$C37,逆引き作成用!AV$2:AV$169,FALSE),1),"")</f>
        <v/>
      </c>
      <c r="AW37" s="17" t="str">
        <f>IFERROR(INDEX(逆引き作成用!$C$2:$C$169,MATCH($B37&amp;"/"&amp;$C37,逆引き作成用!AW$2:AW$169,FALSE),1),"")</f>
        <v/>
      </c>
      <c r="AX37" s="17" t="str">
        <f>IFERROR(INDEX(逆引き作成用!$C$2:$C$169,MATCH($B37&amp;"/"&amp;$C37,逆引き作成用!AX$2:AX$169,FALSE),1),"")</f>
        <v/>
      </c>
      <c r="AY37" s="17" t="str">
        <f>IFERROR(INDEX(逆引き作成用!$C$2:$C$169,MATCH($B37&amp;"/"&amp;$C37,逆引き作成用!AY$2:AY$169,FALSE),1),"")</f>
        <v/>
      </c>
      <c r="AZ37" s="17" t="str">
        <f>IFERROR(INDEX(逆引き作成用!$C$2:$C$169,MATCH($B37&amp;"/"&amp;$C37,逆引き作成用!AZ$2:AZ$169,FALSE),1),"")</f>
        <v/>
      </c>
      <c r="BA37" s="17" t="str">
        <f>IFERROR(INDEX(逆引き作成用!$C$2:$C$169,MATCH($B37&amp;"/"&amp;$C37,逆引き作成用!BA$2:BA$169,FALSE),1),"")</f>
        <v/>
      </c>
    </row>
    <row r="38" spans="1:53">
      <c r="A38" s="17" t="str">
        <f>IFERROR(INDEX(役職一覧!$B$2:$B$31,MATCH(B38,役職一覧!$C$2:$C$31,FALSE),1),"")</f>
        <v/>
      </c>
      <c r="B38" s="17" t="str">
        <f>IFERROR(IF(C38=1,INDEX(役職一覧!$C$2:$C$31,MATCH(逆引き!B37,役職一覧!$C$2:$C$31,FALSE)+1,1)&amp;"",B37),"")</f>
        <v/>
      </c>
      <c r="C38" s="17" t="str">
        <f>IFERROR(IF(VLOOKUP(B37,役職一覧!$C$2:$E$31,3,FALSE)=C37,1,C37+1),"")</f>
        <v/>
      </c>
      <c r="D38" s="17" t="str">
        <f>IFERROR(INDEX(逆引き作成用!$C$2:$C$169,MATCH($B38&amp;"/"&amp;$C38,逆引き作成用!D$2:D$169,FALSE),1),"")</f>
        <v/>
      </c>
      <c r="E38" s="17" t="str">
        <f>IFERROR(INDEX(逆引き作成用!$C$2:$C$169,MATCH($B38&amp;"/"&amp;$C38,逆引き作成用!E$2:E$169,FALSE),1),"")</f>
        <v/>
      </c>
      <c r="F38" s="17" t="str">
        <f>IFERROR(INDEX(逆引き作成用!$C$2:$C$169,MATCH($B38&amp;"/"&amp;$C38,逆引き作成用!F$2:F$169,FALSE),1),"")</f>
        <v/>
      </c>
      <c r="G38" s="17" t="str">
        <f>IFERROR(INDEX(逆引き作成用!$C$2:$C$169,MATCH($B38&amp;"/"&amp;$C38,逆引き作成用!G$2:G$169,FALSE),1),"")</f>
        <v/>
      </c>
      <c r="H38" s="17" t="str">
        <f>IFERROR(INDEX(逆引き作成用!$C$2:$C$169,MATCH($B38&amp;"/"&amp;$C38,逆引き作成用!H$2:H$169,FALSE),1),"")</f>
        <v/>
      </c>
      <c r="I38" s="17" t="str">
        <f>IFERROR(INDEX(逆引き作成用!$C$2:$C$169,MATCH($B38&amp;"/"&amp;$C38,逆引き作成用!I$2:I$169,FALSE),1),"")</f>
        <v/>
      </c>
      <c r="J38" s="17" t="str">
        <f>IFERROR(INDEX(逆引き作成用!$C$2:$C$169,MATCH($B38&amp;"/"&amp;$C38,逆引き作成用!J$2:J$169,FALSE),1),"")</f>
        <v/>
      </c>
      <c r="K38" s="17" t="str">
        <f>IFERROR(INDEX(逆引き作成用!$C$2:$C$169,MATCH($B38&amp;"/"&amp;$C38,逆引き作成用!K$2:K$169,FALSE),1),"")</f>
        <v/>
      </c>
      <c r="L38" s="17" t="str">
        <f>IFERROR(INDEX(逆引き作成用!$C$2:$C$169,MATCH($B38&amp;"/"&amp;$C38,逆引き作成用!L$2:L$169,FALSE),1),"")</f>
        <v/>
      </c>
      <c r="M38" s="17" t="str">
        <f>IFERROR(INDEX(逆引き作成用!$C$2:$C$169,MATCH($B38&amp;"/"&amp;$C38,逆引き作成用!M$2:M$169,FALSE),1),"")</f>
        <v/>
      </c>
      <c r="N38" s="17" t="str">
        <f>IFERROR(INDEX(逆引き作成用!$C$2:$C$169,MATCH($B38&amp;"/"&amp;$C38,逆引き作成用!N$2:N$169,FALSE),1),"")</f>
        <v/>
      </c>
      <c r="O38" s="17" t="str">
        <f>IFERROR(INDEX(逆引き作成用!$C$2:$C$169,MATCH($B38&amp;"/"&amp;$C38,逆引き作成用!O$2:O$169,FALSE),1),"")</f>
        <v/>
      </c>
      <c r="P38" s="17" t="str">
        <f>IFERROR(INDEX(逆引き作成用!$C$2:$C$169,MATCH($B38&amp;"/"&amp;$C38,逆引き作成用!P$2:P$169,FALSE),1),"")</f>
        <v/>
      </c>
      <c r="Q38" s="17" t="str">
        <f>IFERROR(INDEX(逆引き作成用!$C$2:$C$169,MATCH($B38&amp;"/"&amp;$C38,逆引き作成用!Q$2:Q$169,FALSE),1),"")</f>
        <v/>
      </c>
      <c r="R38" s="17" t="str">
        <f>IFERROR(INDEX(逆引き作成用!$C$2:$C$169,MATCH($B38&amp;"/"&amp;$C38,逆引き作成用!R$2:R$169,FALSE),1),"")</f>
        <v/>
      </c>
      <c r="S38" s="17" t="str">
        <f>IFERROR(INDEX(逆引き作成用!$C$2:$C$169,MATCH($B38&amp;"/"&amp;$C38,逆引き作成用!S$2:S$169,FALSE),1),"")</f>
        <v/>
      </c>
      <c r="T38" s="17" t="str">
        <f>IFERROR(INDEX(逆引き作成用!$C$2:$C$169,MATCH($B38&amp;"/"&amp;$C38,逆引き作成用!T$2:T$169,FALSE),1),"")</f>
        <v/>
      </c>
      <c r="U38" s="17" t="str">
        <f>IFERROR(INDEX(逆引き作成用!$C$2:$C$169,MATCH($B38&amp;"/"&amp;$C38,逆引き作成用!U$2:U$169,FALSE),1),"")</f>
        <v/>
      </c>
      <c r="V38" s="17" t="str">
        <f>IFERROR(INDEX(逆引き作成用!$C$2:$C$169,MATCH($B38&amp;"/"&amp;$C38,逆引き作成用!V$2:V$169,FALSE),1),"")</f>
        <v/>
      </c>
      <c r="W38" s="17" t="str">
        <f>IFERROR(INDEX(逆引き作成用!$C$2:$C$169,MATCH($B38&amp;"/"&amp;$C38,逆引き作成用!W$2:W$169,FALSE),1),"")</f>
        <v/>
      </c>
      <c r="X38" s="17" t="str">
        <f>IFERROR(INDEX(逆引き作成用!$C$2:$C$169,MATCH($B38&amp;"/"&amp;$C38,逆引き作成用!X$2:X$169,FALSE),1),"")</f>
        <v/>
      </c>
      <c r="Y38" s="17" t="str">
        <f>IFERROR(INDEX(逆引き作成用!$C$2:$C$169,MATCH($B38&amp;"/"&amp;$C38,逆引き作成用!Y$2:Y$169,FALSE),1),"")</f>
        <v/>
      </c>
      <c r="Z38" s="17" t="str">
        <f>IFERROR(INDEX(逆引き作成用!$C$2:$C$169,MATCH($B38&amp;"/"&amp;$C38,逆引き作成用!Z$2:Z$169,FALSE),1),"")</f>
        <v/>
      </c>
      <c r="AA38" s="17" t="str">
        <f>IFERROR(INDEX(逆引き作成用!$C$2:$C$169,MATCH($B38&amp;"/"&amp;$C38,逆引き作成用!AA$2:AA$169,FALSE),1),"")</f>
        <v/>
      </c>
      <c r="AB38" s="17" t="str">
        <f>IFERROR(INDEX(逆引き作成用!$C$2:$C$169,MATCH($B38&amp;"/"&amp;$C38,逆引き作成用!AB$2:AB$169,FALSE),1),"")</f>
        <v/>
      </c>
      <c r="AC38" s="17" t="str">
        <f>IFERROR(INDEX(逆引き作成用!$C$2:$C$169,MATCH($B38&amp;"/"&amp;$C38,逆引き作成用!AC$2:AC$169,FALSE),1),"")</f>
        <v/>
      </c>
      <c r="AD38" s="17" t="str">
        <f>IFERROR(INDEX(逆引き作成用!$C$2:$C$169,MATCH($B38&amp;"/"&amp;$C38,逆引き作成用!AD$2:AD$169,FALSE),1),"")</f>
        <v/>
      </c>
      <c r="AE38" s="17" t="str">
        <f>IFERROR(INDEX(逆引き作成用!$C$2:$C$169,MATCH($B38&amp;"/"&amp;$C38,逆引き作成用!AE$2:AE$169,FALSE),1),"")</f>
        <v/>
      </c>
      <c r="AF38" s="17" t="str">
        <f>IFERROR(INDEX(逆引き作成用!$C$2:$C$169,MATCH($B38&amp;"/"&amp;$C38,逆引き作成用!AF$2:AF$169,FALSE),1),"")</f>
        <v/>
      </c>
      <c r="AG38" s="17" t="str">
        <f>IFERROR(INDEX(逆引き作成用!$C$2:$C$169,MATCH($B38&amp;"/"&amp;$C38,逆引き作成用!AG$2:AG$169,FALSE),1),"")</f>
        <v/>
      </c>
      <c r="AH38" s="17" t="str">
        <f>IFERROR(INDEX(逆引き作成用!$C$2:$C$169,MATCH($B38&amp;"/"&amp;$C38,逆引き作成用!AH$2:AH$169,FALSE),1),"")</f>
        <v/>
      </c>
      <c r="AI38" s="17" t="str">
        <f>IFERROR(INDEX(逆引き作成用!$C$2:$C$169,MATCH($B38&amp;"/"&amp;$C38,逆引き作成用!AI$2:AI$169,FALSE),1),"")</f>
        <v/>
      </c>
      <c r="AJ38" s="17" t="str">
        <f>IFERROR(INDEX(逆引き作成用!$C$2:$C$169,MATCH($B38&amp;"/"&amp;$C38,逆引き作成用!AJ$2:AJ$169,FALSE),1),"")</f>
        <v/>
      </c>
      <c r="AK38" s="17" t="str">
        <f>IFERROR(INDEX(逆引き作成用!$C$2:$C$169,MATCH($B38&amp;"/"&amp;$C38,逆引き作成用!AK$2:AK$169,FALSE),1),"")</f>
        <v/>
      </c>
      <c r="AL38" s="17" t="str">
        <f>IFERROR(INDEX(逆引き作成用!$C$2:$C$169,MATCH($B38&amp;"/"&amp;$C38,逆引き作成用!AL$2:AL$169,FALSE),1),"")</f>
        <v/>
      </c>
      <c r="AM38" s="17" t="str">
        <f>IFERROR(INDEX(逆引き作成用!$C$2:$C$169,MATCH($B38&amp;"/"&amp;$C38,逆引き作成用!AM$2:AM$169,FALSE),1),"")</f>
        <v/>
      </c>
      <c r="AN38" s="17" t="str">
        <f>IFERROR(INDEX(逆引き作成用!$C$2:$C$169,MATCH($B38&amp;"/"&amp;$C38,逆引き作成用!AN$2:AN$169,FALSE),1),"")</f>
        <v/>
      </c>
      <c r="AO38" s="17" t="str">
        <f>IFERROR(INDEX(逆引き作成用!$C$2:$C$169,MATCH($B38&amp;"/"&amp;$C38,逆引き作成用!AO$2:AO$169,FALSE),1),"")</f>
        <v/>
      </c>
      <c r="AP38" s="17" t="str">
        <f>IFERROR(INDEX(逆引き作成用!$C$2:$C$169,MATCH($B38&amp;"/"&amp;$C38,逆引き作成用!AP$2:AP$169,FALSE),1),"")</f>
        <v/>
      </c>
      <c r="AQ38" s="17" t="str">
        <f>IFERROR(INDEX(逆引き作成用!$C$2:$C$169,MATCH($B38&amp;"/"&amp;$C38,逆引き作成用!AQ$2:AQ$169,FALSE),1),"")</f>
        <v/>
      </c>
      <c r="AR38" s="17" t="str">
        <f>IFERROR(INDEX(逆引き作成用!$C$2:$C$169,MATCH($B38&amp;"/"&amp;$C38,逆引き作成用!AR$2:AR$169,FALSE),1),"")</f>
        <v/>
      </c>
      <c r="AS38" s="17" t="str">
        <f>IFERROR(INDEX(逆引き作成用!$C$2:$C$169,MATCH($B38&amp;"/"&amp;$C38,逆引き作成用!AS$2:AS$169,FALSE),1),"")</f>
        <v/>
      </c>
      <c r="AT38" s="17" t="str">
        <f>IFERROR(INDEX(逆引き作成用!$C$2:$C$169,MATCH($B38&amp;"/"&amp;$C38,逆引き作成用!AT$2:AT$169,FALSE),1),"")</f>
        <v/>
      </c>
      <c r="AU38" s="17" t="str">
        <f>IFERROR(INDEX(逆引き作成用!$C$2:$C$169,MATCH($B38&amp;"/"&amp;$C38,逆引き作成用!AU$2:AU$169,FALSE),1),"")</f>
        <v/>
      </c>
      <c r="AV38" s="17" t="str">
        <f>IFERROR(INDEX(逆引き作成用!$C$2:$C$169,MATCH($B38&amp;"/"&amp;$C38,逆引き作成用!AV$2:AV$169,FALSE),1),"")</f>
        <v/>
      </c>
      <c r="AW38" s="17" t="str">
        <f>IFERROR(INDEX(逆引き作成用!$C$2:$C$169,MATCH($B38&amp;"/"&amp;$C38,逆引き作成用!AW$2:AW$169,FALSE),1),"")</f>
        <v/>
      </c>
      <c r="AX38" s="17" t="str">
        <f>IFERROR(INDEX(逆引き作成用!$C$2:$C$169,MATCH($B38&amp;"/"&amp;$C38,逆引き作成用!AX$2:AX$169,FALSE),1),"")</f>
        <v/>
      </c>
      <c r="AY38" s="17" t="str">
        <f>IFERROR(INDEX(逆引き作成用!$C$2:$C$169,MATCH($B38&amp;"/"&amp;$C38,逆引き作成用!AY$2:AY$169,FALSE),1),"")</f>
        <v/>
      </c>
      <c r="AZ38" s="17" t="str">
        <f>IFERROR(INDEX(逆引き作成用!$C$2:$C$169,MATCH($B38&amp;"/"&amp;$C38,逆引き作成用!AZ$2:AZ$169,FALSE),1),"")</f>
        <v/>
      </c>
      <c r="BA38" s="17" t="str">
        <f>IFERROR(INDEX(逆引き作成用!$C$2:$C$169,MATCH($B38&amp;"/"&amp;$C38,逆引き作成用!BA$2:BA$169,FALSE),1),"")</f>
        <v/>
      </c>
    </row>
    <row r="39" spans="1:53">
      <c r="A39" s="17" t="str">
        <f>IFERROR(INDEX(役職一覧!$B$2:$B$31,MATCH(B39,役職一覧!$C$2:$C$31,FALSE),1),"")</f>
        <v/>
      </c>
      <c r="B39" s="17" t="str">
        <f>IFERROR(IF(C39=1,INDEX(役職一覧!$C$2:$C$31,MATCH(逆引き!B38,役職一覧!$C$2:$C$31,FALSE)+1,1)&amp;"",B38),"")</f>
        <v/>
      </c>
      <c r="C39" s="17" t="str">
        <f>IFERROR(IF(VLOOKUP(B38,役職一覧!$C$2:$E$31,3,FALSE)=C38,1,C38+1),"")</f>
        <v/>
      </c>
      <c r="D39" s="17" t="str">
        <f>IFERROR(INDEX(逆引き作成用!$C$2:$C$169,MATCH($B39&amp;"/"&amp;$C39,逆引き作成用!D$2:D$169,FALSE),1),"")</f>
        <v/>
      </c>
      <c r="E39" s="17" t="str">
        <f>IFERROR(INDEX(逆引き作成用!$C$2:$C$169,MATCH($B39&amp;"/"&amp;$C39,逆引き作成用!E$2:E$169,FALSE),1),"")</f>
        <v/>
      </c>
      <c r="F39" s="17" t="str">
        <f>IFERROR(INDEX(逆引き作成用!$C$2:$C$169,MATCH($B39&amp;"/"&amp;$C39,逆引き作成用!F$2:F$169,FALSE),1),"")</f>
        <v/>
      </c>
      <c r="G39" s="17" t="str">
        <f>IFERROR(INDEX(逆引き作成用!$C$2:$C$169,MATCH($B39&amp;"/"&amp;$C39,逆引き作成用!G$2:G$169,FALSE),1),"")</f>
        <v/>
      </c>
      <c r="H39" s="17" t="str">
        <f>IFERROR(INDEX(逆引き作成用!$C$2:$C$169,MATCH($B39&amp;"/"&amp;$C39,逆引き作成用!H$2:H$169,FALSE),1),"")</f>
        <v/>
      </c>
      <c r="I39" s="17" t="str">
        <f>IFERROR(INDEX(逆引き作成用!$C$2:$C$169,MATCH($B39&amp;"/"&amp;$C39,逆引き作成用!I$2:I$169,FALSE),1),"")</f>
        <v/>
      </c>
      <c r="J39" s="17" t="str">
        <f>IFERROR(INDEX(逆引き作成用!$C$2:$C$169,MATCH($B39&amp;"/"&amp;$C39,逆引き作成用!J$2:J$169,FALSE),1),"")</f>
        <v/>
      </c>
      <c r="K39" s="17" t="str">
        <f>IFERROR(INDEX(逆引き作成用!$C$2:$C$169,MATCH($B39&amp;"/"&amp;$C39,逆引き作成用!K$2:K$169,FALSE),1),"")</f>
        <v/>
      </c>
      <c r="L39" s="17" t="str">
        <f>IFERROR(INDEX(逆引き作成用!$C$2:$C$169,MATCH($B39&amp;"/"&amp;$C39,逆引き作成用!L$2:L$169,FALSE),1),"")</f>
        <v/>
      </c>
      <c r="M39" s="17" t="str">
        <f>IFERROR(INDEX(逆引き作成用!$C$2:$C$169,MATCH($B39&amp;"/"&amp;$C39,逆引き作成用!M$2:M$169,FALSE),1),"")</f>
        <v/>
      </c>
      <c r="N39" s="17" t="str">
        <f>IFERROR(INDEX(逆引き作成用!$C$2:$C$169,MATCH($B39&amp;"/"&amp;$C39,逆引き作成用!N$2:N$169,FALSE),1),"")</f>
        <v/>
      </c>
      <c r="O39" s="17" t="str">
        <f>IFERROR(INDEX(逆引き作成用!$C$2:$C$169,MATCH($B39&amp;"/"&amp;$C39,逆引き作成用!O$2:O$169,FALSE),1),"")</f>
        <v/>
      </c>
      <c r="P39" s="17" t="str">
        <f>IFERROR(INDEX(逆引き作成用!$C$2:$C$169,MATCH($B39&amp;"/"&amp;$C39,逆引き作成用!P$2:P$169,FALSE),1),"")</f>
        <v/>
      </c>
      <c r="Q39" s="17" t="str">
        <f>IFERROR(INDEX(逆引き作成用!$C$2:$C$169,MATCH($B39&amp;"/"&amp;$C39,逆引き作成用!Q$2:Q$169,FALSE),1),"")</f>
        <v/>
      </c>
      <c r="R39" s="17" t="str">
        <f>IFERROR(INDEX(逆引き作成用!$C$2:$C$169,MATCH($B39&amp;"/"&amp;$C39,逆引き作成用!R$2:R$169,FALSE),1),"")</f>
        <v/>
      </c>
      <c r="S39" s="17" t="str">
        <f>IFERROR(INDEX(逆引き作成用!$C$2:$C$169,MATCH($B39&amp;"/"&amp;$C39,逆引き作成用!S$2:S$169,FALSE),1),"")</f>
        <v/>
      </c>
      <c r="T39" s="17" t="str">
        <f>IFERROR(INDEX(逆引き作成用!$C$2:$C$169,MATCH($B39&amp;"/"&amp;$C39,逆引き作成用!T$2:T$169,FALSE),1),"")</f>
        <v/>
      </c>
      <c r="U39" s="17" t="str">
        <f>IFERROR(INDEX(逆引き作成用!$C$2:$C$169,MATCH($B39&amp;"/"&amp;$C39,逆引き作成用!U$2:U$169,FALSE),1),"")</f>
        <v/>
      </c>
      <c r="V39" s="17" t="str">
        <f>IFERROR(INDEX(逆引き作成用!$C$2:$C$169,MATCH($B39&amp;"/"&amp;$C39,逆引き作成用!V$2:V$169,FALSE),1),"")</f>
        <v/>
      </c>
      <c r="W39" s="17" t="str">
        <f>IFERROR(INDEX(逆引き作成用!$C$2:$C$169,MATCH($B39&amp;"/"&amp;$C39,逆引き作成用!W$2:W$169,FALSE),1),"")</f>
        <v/>
      </c>
      <c r="X39" s="17" t="str">
        <f>IFERROR(INDEX(逆引き作成用!$C$2:$C$169,MATCH($B39&amp;"/"&amp;$C39,逆引き作成用!X$2:X$169,FALSE),1),"")</f>
        <v/>
      </c>
      <c r="Y39" s="17" t="str">
        <f>IFERROR(INDEX(逆引き作成用!$C$2:$C$169,MATCH($B39&amp;"/"&amp;$C39,逆引き作成用!Y$2:Y$169,FALSE),1),"")</f>
        <v/>
      </c>
      <c r="Z39" s="17" t="str">
        <f>IFERROR(INDEX(逆引き作成用!$C$2:$C$169,MATCH($B39&amp;"/"&amp;$C39,逆引き作成用!Z$2:Z$169,FALSE),1),"")</f>
        <v/>
      </c>
      <c r="AA39" s="17" t="str">
        <f>IFERROR(INDEX(逆引き作成用!$C$2:$C$169,MATCH($B39&amp;"/"&amp;$C39,逆引き作成用!AA$2:AA$169,FALSE),1),"")</f>
        <v/>
      </c>
      <c r="AB39" s="17" t="str">
        <f>IFERROR(INDEX(逆引き作成用!$C$2:$C$169,MATCH($B39&amp;"/"&amp;$C39,逆引き作成用!AB$2:AB$169,FALSE),1),"")</f>
        <v/>
      </c>
      <c r="AC39" s="17" t="str">
        <f>IFERROR(INDEX(逆引き作成用!$C$2:$C$169,MATCH($B39&amp;"/"&amp;$C39,逆引き作成用!AC$2:AC$169,FALSE),1),"")</f>
        <v/>
      </c>
      <c r="AD39" s="17" t="str">
        <f>IFERROR(INDEX(逆引き作成用!$C$2:$C$169,MATCH($B39&amp;"/"&amp;$C39,逆引き作成用!AD$2:AD$169,FALSE),1),"")</f>
        <v/>
      </c>
      <c r="AE39" s="17" t="str">
        <f>IFERROR(INDEX(逆引き作成用!$C$2:$C$169,MATCH($B39&amp;"/"&amp;$C39,逆引き作成用!AE$2:AE$169,FALSE),1),"")</f>
        <v/>
      </c>
      <c r="AF39" s="17" t="str">
        <f>IFERROR(INDEX(逆引き作成用!$C$2:$C$169,MATCH($B39&amp;"/"&amp;$C39,逆引き作成用!AF$2:AF$169,FALSE),1),"")</f>
        <v/>
      </c>
      <c r="AG39" s="17" t="str">
        <f>IFERROR(INDEX(逆引き作成用!$C$2:$C$169,MATCH($B39&amp;"/"&amp;$C39,逆引き作成用!AG$2:AG$169,FALSE),1),"")</f>
        <v/>
      </c>
      <c r="AH39" s="17" t="str">
        <f>IFERROR(INDEX(逆引き作成用!$C$2:$C$169,MATCH($B39&amp;"/"&amp;$C39,逆引き作成用!AH$2:AH$169,FALSE),1),"")</f>
        <v/>
      </c>
      <c r="AI39" s="17" t="str">
        <f>IFERROR(INDEX(逆引き作成用!$C$2:$C$169,MATCH($B39&amp;"/"&amp;$C39,逆引き作成用!AI$2:AI$169,FALSE),1),"")</f>
        <v/>
      </c>
      <c r="AJ39" s="17" t="str">
        <f>IFERROR(INDEX(逆引き作成用!$C$2:$C$169,MATCH($B39&amp;"/"&amp;$C39,逆引き作成用!AJ$2:AJ$169,FALSE),1),"")</f>
        <v/>
      </c>
      <c r="AK39" s="17" t="str">
        <f>IFERROR(INDEX(逆引き作成用!$C$2:$C$169,MATCH($B39&amp;"/"&amp;$C39,逆引き作成用!AK$2:AK$169,FALSE),1),"")</f>
        <v/>
      </c>
      <c r="AL39" s="17" t="str">
        <f>IFERROR(INDEX(逆引き作成用!$C$2:$C$169,MATCH($B39&amp;"/"&amp;$C39,逆引き作成用!AL$2:AL$169,FALSE),1),"")</f>
        <v/>
      </c>
      <c r="AM39" s="17" t="str">
        <f>IFERROR(INDEX(逆引き作成用!$C$2:$C$169,MATCH($B39&amp;"/"&amp;$C39,逆引き作成用!AM$2:AM$169,FALSE),1),"")</f>
        <v/>
      </c>
      <c r="AN39" s="17" t="str">
        <f>IFERROR(INDEX(逆引き作成用!$C$2:$C$169,MATCH($B39&amp;"/"&amp;$C39,逆引き作成用!AN$2:AN$169,FALSE),1),"")</f>
        <v/>
      </c>
      <c r="AO39" s="17" t="str">
        <f>IFERROR(INDEX(逆引き作成用!$C$2:$C$169,MATCH($B39&amp;"/"&amp;$C39,逆引き作成用!AO$2:AO$169,FALSE),1),"")</f>
        <v/>
      </c>
      <c r="AP39" s="17" t="str">
        <f>IFERROR(INDEX(逆引き作成用!$C$2:$C$169,MATCH($B39&amp;"/"&amp;$C39,逆引き作成用!AP$2:AP$169,FALSE),1),"")</f>
        <v/>
      </c>
      <c r="AQ39" s="17" t="str">
        <f>IFERROR(INDEX(逆引き作成用!$C$2:$C$169,MATCH($B39&amp;"/"&amp;$C39,逆引き作成用!AQ$2:AQ$169,FALSE),1),"")</f>
        <v/>
      </c>
      <c r="AR39" s="17" t="str">
        <f>IFERROR(INDEX(逆引き作成用!$C$2:$C$169,MATCH($B39&amp;"/"&amp;$C39,逆引き作成用!AR$2:AR$169,FALSE),1),"")</f>
        <v/>
      </c>
      <c r="AS39" s="17" t="str">
        <f>IFERROR(INDEX(逆引き作成用!$C$2:$C$169,MATCH($B39&amp;"/"&amp;$C39,逆引き作成用!AS$2:AS$169,FALSE),1),"")</f>
        <v/>
      </c>
      <c r="AT39" s="17" t="str">
        <f>IFERROR(INDEX(逆引き作成用!$C$2:$C$169,MATCH($B39&amp;"/"&amp;$C39,逆引き作成用!AT$2:AT$169,FALSE),1),"")</f>
        <v/>
      </c>
      <c r="AU39" s="17" t="str">
        <f>IFERROR(INDEX(逆引き作成用!$C$2:$C$169,MATCH($B39&amp;"/"&amp;$C39,逆引き作成用!AU$2:AU$169,FALSE),1),"")</f>
        <v/>
      </c>
      <c r="AV39" s="17" t="str">
        <f>IFERROR(INDEX(逆引き作成用!$C$2:$C$169,MATCH($B39&amp;"/"&amp;$C39,逆引き作成用!AV$2:AV$169,FALSE),1),"")</f>
        <v/>
      </c>
      <c r="AW39" s="17" t="str">
        <f>IFERROR(INDEX(逆引き作成用!$C$2:$C$169,MATCH($B39&amp;"/"&amp;$C39,逆引き作成用!AW$2:AW$169,FALSE),1),"")</f>
        <v/>
      </c>
      <c r="AX39" s="17" t="str">
        <f>IFERROR(INDEX(逆引き作成用!$C$2:$C$169,MATCH($B39&amp;"/"&amp;$C39,逆引き作成用!AX$2:AX$169,FALSE),1),"")</f>
        <v/>
      </c>
      <c r="AY39" s="17" t="str">
        <f>IFERROR(INDEX(逆引き作成用!$C$2:$C$169,MATCH($B39&amp;"/"&amp;$C39,逆引き作成用!AY$2:AY$169,FALSE),1),"")</f>
        <v/>
      </c>
      <c r="AZ39" s="17" t="str">
        <f>IFERROR(INDEX(逆引き作成用!$C$2:$C$169,MATCH($B39&amp;"/"&amp;$C39,逆引き作成用!AZ$2:AZ$169,FALSE),1),"")</f>
        <v/>
      </c>
      <c r="BA39" s="17" t="str">
        <f>IFERROR(INDEX(逆引き作成用!$C$2:$C$169,MATCH($B39&amp;"/"&amp;$C39,逆引き作成用!BA$2:BA$169,FALSE),1),"")</f>
        <v/>
      </c>
    </row>
    <row r="40" spans="1:53">
      <c r="A40" s="17" t="str">
        <f>IFERROR(INDEX(役職一覧!$B$2:$B$31,MATCH(B40,役職一覧!$C$2:$C$31,FALSE),1),"")</f>
        <v/>
      </c>
      <c r="B40" s="17" t="str">
        <f>IFERROR(IF(C40=1,INDEX(役職一覧!$C$2:$C$31,MATCH(逆引き!B39,役職一覧!$C$2:$C$31,FALSE)+1,1)&amp;"",B39),"")</f>
        <v/>
      </c>
      <c r="C40" s="17" t="str">
        <f>IFERROR(IF(VLOOKUP(B39,役職一覧!$C$2:$E$31,3,FALSE)=C39,1,C39+1),"")</f>
        <v/>
      </c>
      <c r="D40" s="17" t="str">
        <f>IFERROR(INDEX(逆引き作成用!$C$2:$C$169,MATCH($B40&amp;"/"&amp;$C40,逆引き作成用!D$2:D$169,FALSE),1),"")</f>
        <v/>
      </c>
      <c r="E40" s="17" t="str">
        <f>IFERROR(INDEX(逆引き作成用!$C$2:$C$169,MATCH($B40&amp;"/"&amp;$C40,逆引き作成用!E$2:E$169,FALSE),1),"")</f>
        <v/>
      </c>
      <c r="F40" s="17" t="str">
        <f>IFERROR(INDEX(逆引き作成用!$C$2:$C$169,MATCH($B40&amp;"/"&amp;$C40,逆引き作成用!F$2:F$169,FALSE),1),"")</f>
        <v/>
      </c>
      <c r="G40" s="17" t="str">
        <f>IFERROR(INDEX(逆引き作成用!$C$2:$C$169,MATCH($B40&amp;"/"&amp;$C40,逆引き作成用!G$2:G$169,FALSE),1),"")</f>
        <v/>
      </c>
      <c r="H40" s="17" t="str">
        <f>IFERROR(INDEX(逆引き作成用!$C$2:$C$169,MATCH($B40&amp;"/"&amp;$C40,逆引き作成用!H$2:H$169,FALSE),1),"")</f>
        <v/>
      </c>
      <c r="I40" s="17" t="str">
        <f>IFERROR(INDEX(逆引き作成用!$C$2:$C$169,MATCH($B40&amp;"/"&amp;$C40,逆引き作成用!I$2:I$169,FALSE),1),"")</f>
        <v/>
      </c>
      <c r="J40" s="17" t="str">
        <f>IFERROR(INDEX(逆引き作成用!$C$2:$C$169,MATCH($B40&amp;"/"&amp;$C40,逆引き作成用!J$2:J$169,FALSE),1),"")</f>
        <v/>
      </c>
      <c r="K40" s="17" t="str">
        <f>IFERROR(INDEX(逆引き作成用!$C$2:$C$169,MATCH($B40&amp;"/"&amp;$C40,逆引き作成用!K$2:K$169,FALSE),1),"")</f>
        <v/>
      </c>
      <c r="L40" s="17" t="str">
        <f>IFERROR(INDEX(逆引き作成用!$C$2:$C$169,MATCH($B40&amp;"/"&amp;$C40,逆引き作成用!L$2:L$169,FALSE),1),"")</f>
        <v/>
      </c>
      <c r="M40" s="17" t="str">
        <f>IFERROR(INDEX(逆引き作成用!$C$2:$C$169,MATCH($B40&amp;"/"&amp;$C40,逆引き作成用!M$2:M$169,FALSE),1),"")</f>
        <v/>
      </c>
      <c r="N40" s="17" t="str">
        <f>IFERROR(INDEX(逆引き作成用!$C$2:$C$169,MATCH($B40&amp;"/"&amp;$C40,逆引き作成用!N$2:N$169,FALSE),1),"")</f>
        <v/>
      </c>
      <c r="O40" s="17" t="str">
        <f>IFERROR(INDEX(逆引き作成用!$C$2:$C$169,MATCH($B40&amp;"/"&amp;$C40,逆引き作成用!O$2:O$169,FALSE),1),"")</f>
        <v/>
      </c>
      <c r="P40" s="17" t="str">
        <f>IFERROR(INDEX(逆引き作成用!$C$2:$C$169,MATCH($B40&amp;"/"&amp;$C40,逆引き作成用!P$2:P$169,FALSE),1),"")</f>
        <v/>
      </c>
      <c r="Q40" s="17" t="str">
        <f>IFERROR(INDEX(逆引き作成用!$C$2:$C$169,MATCH($B40&amp;"/"&amp;$C40,逆引き作成用!Q$2:Q$169,FALSE),1),"")</f>
        <v/>
      </c>
      <c r="R40" s="17" t="str">
        <f>IFERROR(INDEX(逆引き作成用!$C$2:$C$169,MATCH($B40&amp;"/"&amp;$C40,逆引き作成用!R$2:R$169,FALSE),1),"")</f>
        <v/>
      </c>
      <c r="S40" s="17" t="str">
        <f>IFERROR(INDEX(逆引き作成用!$C$2:$C$169,MATCH($B40&amp;"/"&amp;$C40,逆引き作成用!S$2:S$169,FALSE),1),"")</f>
        <v/>
      </c>
      <c r="T40" s="17" t="str">
        <f>IFERROR(INDEX(逆引き作成用!$C$2:$C$169,MATCH($B40&amp;"/"&amp;$C40,逆引き作成用!T$2:T$169,FALSE),1),"")</f>
        <v/>
      </c>
      <c r="U40" s="17" t="str">
        <f>IFERROR(INDEX(逆引き作成用!$C$2:$C$169,MATCH($B40&amp;"/"&amp;$C40,逆引き作成用!U$2:U$169,FALSE),1),"")</f>
        <v/>
      </c>
      <c r="V40" s="17" t="str">
        <f>IFERROR(INDEX(逆引き作成用!$C$2:$C$169,MATCH($B40&amp;"/"&amp;$C40,逆引き作成用!V$2:V$169,FALSE),1),"")</f>
        <v/>
      </c>
      <c r="W40" s="17" t="str">
        <f>IFERROR(INDEX(逆引き作成用!$C$2:$C$169,MATCH($B40&amp;"/"&amp;$C40,逆引き作成用!W$2:W$169,FALSE),1),"")</f>
        <v/>
      </c>
      <c r="X40" s="17" t="str">
        <f>IFERROR(INDEX(逆引き作成用!$C$2:$C$169,MATCH($B40&amp;"/"&amp;$C40,逆引き作成用!X$2:X$169,FALSE),1),"")</f>
        <v/>
      </c>
      <c r="Y40" s="17" t="str">
        <f>IFERROR(INDEX(逆引き作成用!$C$2:$C$169,MATCH($B40&amp;"/"&amp;$C40,逆引き作成用!Y$2:Y$169,FALSE),1),"")</f>
        <v/>
      </c>
      <c r="Z40" s="17" t="str">
        <f>IFERROR(INDEX(逆引き作成用!$C$2:$C$169,MATCH($B40&amp;"/"&amp;$C40,逆引き作成用!Z$2:Z$169,FALSE),1),"")</f>
        <v/>
      </c>
      <c r="AA40" s="17" t="str">
        <f>IFERROR(INDEX(逆引き作成用!$C$2:$C$169,MATCH($B40&amp;"/"&amp;$C40,逆引き作成用!AA$2:AA$169,FALSE),1),"")</f>
        <v/>
      </c>
      <c r="AB40" s="17" t="str">
        <f>IFERROR(INDEX(逆引き作成用!$C$2:$C$169,MATCH($B40&amp;"/"&amp;$C40,逆引き作成用!AB$2:AB$169,FALSE),1),"")</f>
        <v/>
      </c>
      <c r="AC40" s="17" t="str">
        <f>IFERROR(INDEX(逆引き作成用!$C$2:$C$169,MATCH($B40&amp;"/"&amp;$C40,逆引き作成用!AC$2:AC$169,FALSE),1),"")</f>
        <v/>
      </c>
      <c r="AD40" s="17" t="str">
        <f>IFERROR(INDEX(逆引き作成用!$C$2:$C$169,MATCH($B40&amp;"/"&amp;$C40,逆引き作成用!AD$2:AD$169,FALSE),1),"")</f>
        <v/>
      </c>
      <c r="AE40" s="17" t="str">
        <f>IFERROR(INDEX(逆引き作成用!$C$2:$C$169,MATCH($B40&amp;"/"&amp;$C40,逆引き作成用!AE$2:AE$169,FALSE),1),"")</f>
        <v/>
      </c>
      <c r="AF40" s="17" t="str">
        <f>IFERROR(INDEX(逆引き作成用!$C$2:$C$169,MATCH($B40&amp;"/"&amp;$C40,逆引き作成用!AF$2:AF$169,FALSE),1),"")</f>
        <v/>
      </c>
      <c r="AG40" s="17" t="str">
        <f>IFERROR(INDEX(逆引き作成用!$C$2:$C$169,MATCH($B40&amp;"/"&amp;$C40,逆引き作成用!AG$2:AG$169,FALSE),1),"")</f>
        <v/>
      </c>
      <c r="AH40" s="17" t="str">
        <f>IFERROR(INDEX(逆引き作成用!$C$2:$C$169,MATCH($B40&amp;"/"&amp;$C40,逆引き作成用!AH$2:AH$169,FALSE),1),"")</f>
        <v/>
      </c>
      <c r="AI40" s="17" t="str">
        <f>IFERROR(INDEX(逆引き作成用!$C$2:$C$169,MATCH($B40&amp;"/"&amp;$C40,逆引き作成用!AI$2:AI$169,FALSE),1),"")</f>
        <v/>
      </c>
      <c r="AJ40" s="17" t="str">
        <f>IFERROR(INDEX(逆引き作成用!$C$2:$C$169,MATCH($B40&amp;"/"&amp;$C40,逆引き作成用!AJ$2:AJ$169,FALSE),1),"")</f>
        <v/>
      </c>
      <c r="AK40" s="17" t="str">
        <f>IFERROR(INDEX(逆引き作成用!$C$2:$C$169,MATCH($B40&amp;"/"&amp;$C40,逆引き作成用!AK$2:AK$169,FALSE),1),"")</f>
        <v/>
      </c>
      <c r="AL40" s="17" t="str">
        <f>IFERROR(INDEX(逆引き作成用!$C$2:$C$169,MATCH($B40&amp;"/"&amp;$C40,逆引き作成用!AL$2:AL$169,FALSE),1),"")</f>
        <v/>
      </c>
      <c r="AM40" s="17" t="str">
        <f>IFERROR(INDEX(逆引き作成用!$C$2:$C$169,MATCH($B40&amp;"/"&amp;$C40,逆引き作成用!AM$2:AM$169,FALSE),1),"")</f>
        <v/>
      </c>
      <c r="AN40" s="17" t="str">
        <f>IFERROR(INDEX(逆引き作成用!$C$2:$C$169,MATCH($B40&amp;"/"&amp;$C40,逆引き作成用!AN$2:AN$169,FALSE),1),"")</f>
        <v/>
      </c>
      <c r="AO40" s="17" t="str">
        <f>IFERROR(INDEX(逆引き作成用!$C$2:$C$169,MATCH($B40&amp;"/"&amp;$C40,逆引き作成用!AO$2:AO$169,FALSE),1),"")</f>
        <v/>
      </c>
      <c r="AP40" s="17" t="str">
        <f>IFERROR(INDEX(逆引き作成用!$C$2:$C$169,MATCH($B40&amp;"/"&amp;$C40,逆引き作成用!AP$2:AP$169,FALSE),1),"")</f>
        <v/>
      </c>
      <c r="AQ40" s="17" t="str">
        <f>IFERROR(INDEX(逆引き作成用!$C$2:$C$169,MATCH($B40&amp;"/"&amp;$C40,逆引き作成用!AQ$2:AQ$169,FALSE),1),"")</f>
        <v/>
      </c>
      <c r="AR40" s="17" t="str">
        <f>IFERROR(INDEX(逆引き作成用!$C$2:$C$169,MATCH($B40&amp;"/"&amp;$C40,逆引き作成用!AR$2:AR$169,FALSE),1),"")</f>
        <v/>
      </c>
      <c r="AS40" s="17" t="str">
        <f>IFERROR(INDEX(逆引き作成用!$C$2:$C$169,MATCH($B40&amp;"/"&amp;$C40,逆引き作成用!AS$2:AS$169,FALSE),1),"")</f>
        <v/>
      </c>
      <c r="AT40" s="17" t="str">
        <f>IFERROR(INDEX(逆引き作成用!$C$2:$C$169,MATCH($B40&amp;"/"&amp;$C40,逆引き作成用!AT$2:AT$169,FALSE),1),"")</f>
        <v/>
      </c>
      <c r="AU40" s="17" t="str">
        <f>IFERROR(INDEX(逆引き作成用!$C$2:$C$169,MATCH($B40&amp;"/"&amp;$C40,逆引き作成用!AU$2:AU$169,FALSE),1),"")</f>
        <v/>
      </c>
      <c r="AV40" s="17" t="str">
        <f>IFERROR(INDEX(逆引き作成用!$C$2:$C$169,MATCH($B40&amp;"/"&amp;$C40,逆引き作成用!AV$2:AV$169,FALSE),1),"")</f>
        <v/>
      </c>
      <c r="AW40" s="17" t="str">
        <f>IFERROR(INDEX(逆引き作成用!$C$2:$C$169,MATCH($B40&amp;"/"&amp;$C40,逆引き作成用!AW$2:AW$169,FALSE),1),"")</f>
        <v/>
      </c>
      <c r="AX40" s="17" t="str">
        <f>IFERROR(INDEX(逆引き作成用!$C$2:$C$169,MATCH($B40&amp;"/"&amp;$C40,逆引き作成用!AX$2:AX$169,FALSE),1),"")</f>
        <v/>
      </c>
      <c r="AY40" s="17" t="str">
        <f>IFERROR(INDEX(逆引き作成用!$C$2:$C$169,MATCH($B40&amp;"/"&amp;$C40,逆引き作成用!AY$2:AY$169,FALSE),1),"")</f>
        <v/>
      </c>
      <c r="AZ40" s="17" t="str">
        <f>IFERROR(INDEX(逆引き作成用!$C$2:$C$169,MATCH($B40&amp;"/"&amp;$C40,逆引き作成用!AZ$2:AZ$169,FALSE),1),"")</f>
        <v/>
      </c>
      <c r="BA40" s="17" t="str">
        <f>IFERROR(INDEX(逆引き作成用!$C$2:$C$169,MATCH($B40&amp;"/"&amp;$C40,逆引き作成用!BA$2:BA$169,FALSE),1),"")</f>
        <v/>
      </c>
    </row>
    <row r="41" spans="1:53">
      <c r="A41" s="17" t="str">
        <f>IFERROR(INDEX(役職一覧!$B$2:$B$31,MATCH(B41,役職一覧!$C$2:$C$31,FALSE),1),"")</f>
        <v/>
      </c>
      <c r="B41" s="17" t="str">
        <f>IFERROR(IF(C41=1,INDEX(役職一覧!$C$2:$C$31,MATCH(逆引き!B40,役職一覧!$C$2:$C$31,FALSE)+1,1)&amp;"",B40),"")</f>
        <v/>
      </c>
      <c r="C41" s="17" t="str">
        <f>IFERROR(IF(VLOOKUP(B40,役職一覧!$C$2:$E$31,3,FALSE)=C40,1,C40+1),"")</f>
        <v/>
      </c>
      <c r="D41" s="17" t="str">
        <f>IFERROR(INDEX(逆引き作成用!$C$2:$C$169,MATCH($B41&amp;"/"&amp;$C41,逆引き作成用!D$2:D$169,FALSE),1),"")</f>
        <v/>
      </c>
      <c r="E41" s="17" t="str">
        <f>IFERROR(INDEX(逆引き作成用!$C$2:$C$169,MATCH($B41&amp;"/"&amp;$C41,逆引き作成用!E$2:E$169,FALSE),1),"")</f>
        <v/>
      </c>
      <c r="F41" s="17" t="str">
        <f>IFERROR(INDEX(逆引き作成用!$C$2:$C$169,MATCH($B41&amp;"/"&amp;$C41,逆引き作成用!F$2:F$169,FALSE),1),"")</f>
        <v/>
      </c>
      <c r="G41" s="17" t="str">
        <f>IFERROR(INDEX(逆引き作成用!$C$2:$C$169,MATCH($B41&amp;"/"&amp;$C41,逆引き作成用!G$2:G$169,FALSE),1),"")</f>
        <v/>
      </c>
      <c r="H41" s="17" t="str">
        <f>IFERROR(INDEX(逆引き作成用!$C$2:$C$169,MATCH($B41&amp;"/"&amp;$C41,逆引き作成用!H$2:H$169,FALSE),1),"")</f>
        <v/>
      </c>
      <c r="I41" s="17" t="str">
        <f>IFERROR(INDEX(逆引き作成用!$C$2:$C$169,MATCH($B41&amp;"/"&amp;$C41,逆引き作成用!I$2:I$169,FALSE),1),"")</f>
        <v/>
      </c>
      <c r="J41" s="17" t="str">
        <f>IFERROR(INDEX(逆引き作成用!$C$2:$C$169,MATCH($B41&amp;"/"&amp;$C41,逆引き作成用!J$2:J$169,FALSE),1),"")</f>
        <v/>
      </c>
      <c r="K41" s="17" t="str">
        <f>IFERROR(INDEX(逆引き作成用!$C$2:$C$169,MATCH($B41&amp;"/"&amp;$C41,逆引き作成用!K$2:K$169,FALSE),1),"")</f>
        <v/>
      </c>
      <c r="L41" s="17" t="str">
        <f>IFERROR(INDEX(逆引き作成用!$C$2:$C$169,MATCH($B41&amp;"/"&amp;$C41,逆引き作成用!L$2:L$169,FALSE),1),"")</f>
        <v/>
      </c>
      <c r="M41" s="17" t="str">
        <f>IFERROR(INDEX(逆引き作成用!$C$2:$C$169,MATCH($B41&amp;"/"&amp;$C41,逆引き作成用!M$2:M$169,FALSE),1),"")</f>
        <v/>
      </c>
      <c r="N41" s="17" t="str">
        <f>IFERROR(INDEX(逆引き作成用!$C$2:$C$169,MATCH($B41&amp;"/"&amp;$C41,逆引き作成用!N$2:N$169,FALSE),1),"")</f>
        <v/>
      </c>
      <c r="O41" s="17" t="str">
        <f>IFERROR(INDEX(逆引き作成用!$C$2:$C$169,MATCH($B41&amp;"/"&amp;$C41,逆引き作成用!O$2:O$169,FALSE),1),"")</f>
        <v/>
      </c>
      <c r="P41" s="17" t="str">
        <f>IFERROR(INDEX(逆引き作成用!$C$2:$C$169,MATCH($B41&amp;"/"&amp;$C41,逆引き作成用!P$2:P$169,FALSE),1),"")</f>
        <v/>
      </c>
      <c r="Q41" s="17" t="str">
        <f>IFERROR(INDEX(逆引き作成用!$C$2:$C$169,MATCH($B41&amp;"/"&amp;$C41,逆引き作成用!Q$2:Q$169,FALSE),1),"")</f>
        <v/>
      </c>
      <c r="R41" s="17" t="str">
        <f>IFERROR(INDEX(逆引き作成用!$C$2:$C$169,MATCH($B41&amp;"/"&amp;$C41,逆引き作成用!R$2:R$169,FALSE),1),"")</f>
        <v/>
      </c>
      <c r="S41" s="17" t="str">
        <f>IFERROR(INDEX(逆引き作成用!$C$2:$C$169,MATCH($B41&amp;"/"&amp;$C41,逆引き作成用!S$2:S$169,FALSE),1),"")</f>
        <v/>
      </c>
      <c r="T41" s="17" t="str">
        <f>IFERROR(INDEX(逆引き作成用!$C$2:$C$169,MATCH($B41&amp;"/"&amp;$C41,逆引き作成用!T$2:T$169,FALSE),1),"")</f>
        <v/>
      </c>
      <c r="U41" s="17" t="str">
        <f>IFERROR(INDEX(逆引き作成用!$C$2:$C$169,MATCH($B41&amp;"/"&amp;$C41,逆引き作成用!U$2:U$169,FALSE),1),"")</f>
        <v/>
      </c>
      <c r="V41" s="17" t="str">
        <f>IFERROR(INDEX(逆引き作成用!$C$2:$C$169,MATCH($B41&amp;"/"&amp;$C41,逆引き作成用!V$2:V$169,FALSE),1),"")</f>
        <v/>
      </c>
      <c r="W41" s="17" t="str">
        <f>IFERROR(INDEX(逆引き作成用!$C$2:$C$169,MATCH($B41&amp;"/"&amp;$C41,逆引き作成用!W$2:W$169,FALSE),1),"")</f>
        <v/>
      </c>
      <c r="X41" s="17" t="str">
        <f>IFERROR(INDEX(逆引き作成用!$C$2:$C$169,MATCH($B41&amp;"/"&amp;$C41,逆引き作成用!X$2:X$169,FALSE),1),"")</f>
        <v/>
      </c>
      <c r="Y41" s="17" t="str">
        <f>IFERROR(INDEX(逆引き作成用!$C$2:$C$169,MATCH($B41&amp;"/"&amp;$C41,逆引き作成用!Y$2:Y$169,FALSE),1),"")</f>
        <v/>
      </c>
      <c r="Z41" s="17" t="str">
        <f>IFERROR(INDEX(逆引き作成用!$C$2:$C$169,MATCH($B41&amp;"/"&amp;$C41,逆引き作成用!Z$2:Z$169,FALSE),1),"")</f>
        <v/>
      </c>
      <c r="AA41" s="17" t="str">
        <f>IFERROR(INDEX(逆引き作成用!$C$2:$C$169,MATCH($B41&amp;"/"&amp;$C41,逆引き作成用!AA$2:AA$169,FALSE),1),"")</f>
        <v/>
      </c>
      <c r="AB41" s="17" t="str">
        <f>IFERROR(INDEX(逆引き作成用!$C$2:$C$169,MATCH($B41&amp;"/"&amp;$C41,逆引き作成用!AB$2:AB$169,FALSE),1),"")</f>
        <v/>
      </c>
      <c r="AC41" s="17" t="str">
        <f>IFERROR(INDEX(逆引き作成用!$C$2:$C$169,MATCH($B41&amp;"/"&amp;$C41,逆引き作成用!AC$2:AC$169,FALSE),1),"")</f>
        <v/>
      </c>
      <c r="AD41" s="17" t="str">
        <f>IFERROR(INDEX(逆引き作成用!$C$2:$C$169,MATCH($B41&amp;"/"&amp;$C41,逆引き作成用!AD$2:AD$169,FALSE),1),"")</f>
        <v/>
      </c>
      <c r="AE41" s="17" t="str">
        <f>IFERROR(INDEX(逆引き作成用!$C$2:$C$169,MATCH($B41&amp;"/"&amp;$C41,逆引き作成用!AE$2:AE$169,FALSE),1),"")</f>
        <v/>
      </c>
      <c r="AF41" s="17" t="str">
        <f>IFERROR(INDEX(逆引き作成用!$C$2:$C$169,MATCH($B41&amp;"/"&amp;$C41,逆引き作成用!AF$2:AF$169,FALSE),1),"")</f>
        <v/>
      </c>
      <c r="AG41" s="17" t="str">
        <f>IFERROR(INDEX(逆引き作成用!$C$2:$C$169,MATCH($B41&amp;"/"&amp;$C41,逆引き作成用!AG$2:AG$169,FALSE),1),"")</f>
        <v/>
      </c>
      <c r="AH41" s="17" t="str">
        <f>IFERROR(INDEX(逆引き作成用!$C$2:$C$169,MATCH($B41&amp;"/"&amp;$C41,逆引き作成用!AH$2:AH$169,FALSE),1),"")</f>
        <v/>
      </c>
      <c r="AI41" s="17" t="str">
        <f>IFERROR(INDEX(逆引き作成用!$C$2:$C$169,MATCH($B41&amp;"/"&amp;$C41,逆引き作成用!AI$2:AI$169,FALSE),1),"")</f>
        <v/>
      </c>
      <c r="AJ41" s="17" t="str">
        <f>IFERROR(INDEX(逆引き作成用!$C$2:$C$169,MATCH($B41&amp;"/"&amp;$C41,逆引き作成用!AJ$2:AJ$169,FALSE),1),"")</f>
        <v/>
      </c>
      <c r="AK41" s="17" t="str">
        <f>IFERROR(INDEX(逆引き作成用!$C$2:$C$169,MATCH($B41&amp;"/"&amp;$C41,逆引き作成用!AK$2:AK$169,FALSE),1),"")</f>
        <v/>
      </c>
      <c r="AL41" s="17" t="str">
        <f>IFERROR(INDEX(逆引き作成用!$C$2:$C$169,MATCH($B41&amp;"/"&amp;$C41,逆引き作成用!AL$2:AL$169,FALSE),1),"")</f>
        <v/>
      </c>
      <c r="AM41" s="17" t="str">
        <f>IFERROR(INDEX(逆引き作成用!$C$2:$C$169,MATCH($B41&amp;"/"&amp;$C41,逆引き作成用!AM$2:AM$169,FALSE),1),"")</f>
        <v/>
      </c>
      <c r="AN41" s="17" t="str">
        <f>IFERROR(INDEX(逆引き作成用!$C$2:$C$169,MATCH($B41&amp;"/"&amp;$C41,逆引き作成用!AN$2:AN$169,FALSE),1),"")</f>
        <v/>
      </c>
      <c r="AO41" s="17" t="str">
        <f>IFERROR(INDEX(逆引き作成用!$C$2:$C$169,MATCH($B41&amp;"/"&amp;$C41,逆引き作成用!AO$2:AO$169,FALSE),1),"")</f>
        <v/>
      </c>
      <c r="AP41" s="17" t="str">
        <f>IFERROR(INDEX(逆引き作成用!$C$2:$C$169,MATCH($B41&amp;"/"&amp;$C41,逆引き作成用!AP$2:AP$169,FALSE),1),"")</f>
        <v/>
      </c>
      <c r="AQ41" s="17" t="str">
        <f>IFERROR(INDEX(逆引き作成用!$C$2:$C$169,MATCH($B41&amp;"/"&amp;$C41,逆引き作成用!AQ$2:AQ$169,FALSE),1),"")</f>
        <v/>
      </c>
      <c r="AR41" s="17" t="str">
        <f>IFERROR(INDEX(逆引き作成用!$C$2:$C$169,MATCH($B41&amp;"/"&amp;$C41,逆引き作成用!AR$2:AR$169,FALSE),1),"")</f>
        <v/>
      </c>
      <c r="AS41" s="17" t="str">
        <f>IFERROR(INDEX(逆引き作成用!$C$2:$C$169,MATCH($B41&amp;"/"&amp;$C41,逆引き作成用!AS$2:AS$169,FALSE),1),"")</f>
        <v/>
      </c>
      <c r="AT41" s="17" t="str">
        <f>IFERROR(INDEX(逆引き作成用!$C$2:$C$169,MATCH($B41&amp;"/"&amp;$C41,逆引き作成用!AT$2:AT$169,FALSE),1),"")</f>
        <v/>
      </c>
      <c r="AU41" s="17" t="str">
        <f>IFERROR(INDEX(逆引き作成用!$C$2:$C$169,MATCH($B41&amp;"/"&amp;$C41,逆引き作成用!AU$2:AU$169,FALSE),1),"")</f>
        <v/>
      </c>
      <c r="AV41" s="17" t="str">
        <f>IFERROR(INDEX(逆引き作成用!$C$2:$C$169,MATCH($B41&amp;"/"&amp;$C41,逆引き作成用!AV$2:AV$169,FALSE),1),"")</f>
        <v/>
      </c>
      <c r="AW41" s="17" t="str">
        <f>IFERROR(INDEX(逆引き作成用!$C$2:$C$169,MATCH($B41&amp;"/"&amp;$C41,逆引き作成用!AW$2:AW$169,FALSE),1),"")</f>
        <v/>
      </c>
      <c r="AX41" s="17" t="str">
        <f>IFERROR(INDEX(逆引き作成用!$C$2:$C$169,MATCH($B41&amp;"/"&amp;$C41,逆引き作成用!AX$2:AX$169,FALSE),1),"")</f>
        <v/>
      </c>
      <c r="AY41" s="17" t="str">
        <f>IFERROR(INDEX(逆引き作成用!$C$2:$C$169,MATCH($B41&amp;"/"&amp;$C41,逆引き作成用!AY$2:AY$169,FALSE),1),"")</f>
        <v/>
      </c>
      <c r="AZ41" s="17" t="str">
        <f>IFERROR(INDEX(逆引き作成用!$C$2:$C$169,MATCH($B41&amp;"/"&amp;$C41,逆引き作成用!AZ$2:AZ$169,FALSE),1),"")</f>
        <v/>
      </c>
      <c r="BA41" s="17" t="str">
        <f>IFERROR(INDEX(逆引き作成用!$C$2:$C$169,MATCH($B41&amp;"/"&amp;$C41,逆引き作成用!BA$2:BA$169,FALSE),1),"")</f>
        <v/>
      </c>
    </row>
    <row r="42" spans="1:53">
      <c r="A42" s="17" t="str">
        <f>IFERROR(INDEX(役職一覧!$B$2:$B$31,MATCH(B42,役職一覧!$C$2:$C$31,FALSE),1),"")</f>
        <v/>
      </c>
      <c r="B42" s="17" t="str">
        <f>IFERROR(IF(C42=1,INDEX(役職一覧!$C$2:$C$31,MATCH(逆引き!B41,役職一覧!$C$2:$C$31,FALSE)+1,1)&amp;"",B41),"")</f>
        <v/>
      </c>
      <c r="C42" s="17" t="str">
        <f>IFERROR(IF(VLOOKUP(B41,役職一覧!$C$2:$E$31,3,FALSE)=C41,1,C41+1),"")</f>
        <v/>
      </c>
      <c r="D42" s="17" t="str">
        <f>IFERROR(INDEX(逆引き作成用!$C$2:$C$169,MATCH($B42&amp;"/"&amp;$C42,逆引き作成用!D$2:D$169,FALSE),1),"")</f>
        <v/>
      </c>
      <c r="E42" s="17" t="str">
        <f>IFERROR(INDEX(逆引き作成用!$C$2:$C$169,MATCH($B42&amp;"/"&amp;$C42,逆引き作成用!E$2:E$169,FALSE),1),"")</f>
        <v/>
      </c>
      <c r="F42" s="17" t="str">
        <f>IFERROR(INDEX(逆引き作成用!$C$2:$C$169,MATCH($B42&amp;"/"&amp;$C42,逆引き作成用!F$2:F$169,FALSE),1),"")</f>
        <v/>
      </c>
      <c r="G42" s="17" t="str">
        <f>IFERROR(INDEX(逆引き作成用!$C$2:$C$169,MATCH($B42&amp;"/"&amp;$C42,逆引き作成用!G$2:G$169,FALSE),1),"")</f>
        <v/>
      </c>
      <c r="H42" s="17" t="str">
        <f>IFERROR(INDEX(逆引き作成用!$C$2:$C$169,MATCH($B42&amp;"/"&amp;$C42,逆引き作成用!H$2:H$169,FALSE),1),"")</f>
        <v/>
      </c>
      <c r="I42" s="17" t="str">
        <f>IFERROR(INDEX(逆引き作成用!$C$2:$C$169,MATCH($B42&amp;"/"&amp;$C42,逆引き作成用!I$2:I$169,FALSE),1),"")</f>
        <v/>
      </c>
      <c r="J42" s="17" t="str">
        <f>IFERROR(INDEX(逆引き作成用!$C$2:$C$169,MATCH($B42&amp;"/"&amp;$C42,逆引き作成用!J$2:J$169,FALSE),1),"")</f>
        <v/>
      </c>
      <c r="K42" s="17" t="str">
        <f>IFERROR(INDEX(逆引き作成用!$C$2:$C$169,MATCH($B42&amp;"/"&amp;$C42,逆引き作成用!K$2:K$169,FALSE),1),"")</f>
        <v/>
      </c>
      <c r="L42" s="17" t="str">
        <f>IFERROR(INDEX(逆引き作成用!$C$2:$C$169,MATCH($B42&amp;"/"&amp;$C42,逆引き作成用!L$2:L$169,FALSE),1),"")</f>
        <v/>
      </c>
      <c r="M42" s="17" t="str">
        <f>IFERROR(INDEX(逆引き作成用!$C$2:$C$169,MATCH($B42&amp;"/"&amp;$C42,逆引き作成用!M$2:M$169,FALSE),1),"")</f>
        <v/>
      </c>
      <c r="N42" s="17" t="str">
        <f>IFERROR(INDEX(逆引き作成用!$C$2:$C$169,MATCH($B42&amp;"/"&amp;$C42,逆引き作成用!N$2:N$169,FALSE),1),"")</f>
        <v/>
      </c>
      <c r="O42" s="17" t="str">
        <f>IFERROR(INDEX(逆引き作成用!$C$2:$C$169,MATCH($B42&amp;"/"&amp;$C42,逆引き作成用!O$2:O$169,FALSE),1),"")</f>
        <v/>
      </c>
      <c r="P42" s="17" t="str">
        <f>IFERROR(INDEX(逆引き作成用!$C$2:$C$169,MATCH($B42&amp;"/"&amp;$C42,逆引き作成用!P$2:P$169,FALSE),1),"")</f>
        <v/>
      </c>
      <c r="Q42" s="17" t="str">
        <f>IFERROR(INDEX(逆引き作成用!$C$2:$C$169,MATCH($B42&amp;"/"&amp;$C42,逆引き作成用!Q$2:Q$169,FALSE),1),"")</f>
        <v/>
      </c>
      <c r="R42" s="17" t="str">
        <f>IFERROR(INDEX(逆引き作成用!$C$2:$C$169,MATCH($B42&amp;"/"&amp;$C42,逆引き作成用!R$2:R$169,FALSE),1),"")</f>
        <v/>
      </c>
      <c r="S42" s="17" t="str">
        <f>IFERROR(INDEX(逆引き作成用!$C$2:$C$169,MATCH($B42&amp;"/"&amp;$C42,逆引き作成用!S$2:S$169,FALSE),1),"")</f>
        <v/>
      </c>
      <c r="T42" s="17" t="str">
        <f>IFERROR(INDEX(逆引き作成用!$C$2:$C$169,MATCH($B42&amp;"/"&amp;$C42,逆引き作成用!T$2:T$169,FALSE),1),"")</f>
        <v/>
      </c>
      <c r="U42" s="17" t="str">
        <f>IFERROR(INDEX(逆引き作成用!$C$2:$C$169,MATCH($B42&amp;"/"&amp;$C42,逆引き作成用!U$2:U$169,FALSE),1),"")</f>
        <v/>
      </c>
      <c r="V42" s="17" t="str">
        <f>IFERROR(INDEX(逆引き作成用!$C$2:$C$169,MATCH($B42&amp;"/"&amp;$C42,逆引き作成用!V$2:V$169,FALSE),1),"")</f>
        <v/>
      </c>
      <c r="W42" s="17" t="str">
        <f>IFERROR(INDEX(逆引き作成用!$C$2:$C$169,MATCH($B42&amp;"/"&amp;$C42,逆引き作成用!W$2:W$169,FALSE),1),"")</f>
        <v/>
      </c>
      <c r="X42" s="17" t="str">
        <f>IFERROR(INDEX(逆引き作成用!$C$2:$C$169,MATCH($B42&amp;"/"&amp;$C42,逆引き作成用!X$2:X$169,FALSE),1),"")</f>
        <v/>
      </c>
      <c r="Y42" s="17" t="str">
        <f>IFERROR(INDEX(逆引き作成用!$C$2:$C$169,MATCH($B42&amp;"/"&amp;$C42,逆引き作成用!Y$2:Y$169,FALSE),1),"")</f>
        <v/>
      </c>
      <c r="Z42" s="17" t="str">
        <f>IFERROR(INDEX(逆引き作成用!$C$2:$C$169,MATCH($B42&amp;"/"&amp;$C42,逆引き作成用!Z$2:Z$169,FALSE),1),"")</f>
        <v/>
      </c>
      <c r="AA42" s="17" t="str">
        <f>IFERROR(INDEX(逆引き作成用!$C$2:$C$169,MATCH($B42&amp;"/"&amp;$C42,逆引き作成用!AA$2:AA$169,FALSE),1),"")</f>
        <v/>
      </c>
      <c r="AB42" s="17" t="str">
        <f>IFERROR(INDEX(逆引き作成用!$C$2:$C$169,MATCH($B42&amp;"/"&amp;$C42,逆引き作成用!AB$2:AB$169,FALSE),1),"")</f>
        <v/>
      </c>
      <c r="AC42" s="17" t="str">
        <f>IFERROR(INDEX(逆引き作成用!$C$2:$C$169,MATCH($B42&amp;"/"&amp;$C42,逆引き作成用!AC$2:AC$169,FALSE),1),"")</f>
        <v/>
      </c>
      <c r="AD42" s="17" t="str">
        <f>IFERROR(INDEX(逆引き作成用!$C$2:$C$169,MATCH($B42&amp;"/"&amp;$C42,逆引き作成用!AD$2:AD$169,FALSE),1),"")</f>
        <v/>
      </c>
      <c r="AE42" s="17" t="str">
        <f>IFERROR(INDEX(逆引き作成用!$C$2:$C$169,MATCH($B42&amp;"/"&amp;$C42,逆引き作成用!AE$2:AE$169,FALSE),1),"")</f>
        <v/>
      </c>
      <c r="AF42" s="17" t="str">
        <f>IFERROR(INDEX(逆引き作成用!$C$2:$C$169,MATCH($B42&amp;"/"&amp;$C42,逆引き作成用!AF$2:AF$169,FALSE),1),"")</f>
        <v/>
      </c>
      <c r="AG42" s="17" t="str">
        <f>IFERROR(INDEX(逆引き作成用!$C$2:$C$169,MATCH($B42&amp;"/"&amp;$C42,逆引き作成用!AG$2:AG$169,FALSE),1),"")</f>
        <v/>
      </c>
      <c r="AH42" s="17" t="str">
        <f>IFERROR(INDEX(逆引き作成用!$C$2:$C$169,MATCH($B42&amp;"/"&amp;$C42,逆引き作成用!AH$2:AH$169,FALSE),1),"")</f>
        <v/>
      </c>
      <c r="AI42" s="17" t="str">
        <f>IFERROR(INDEX(逆引き作成用!$C$2:$C$169,MATCH($B42&amp;"/"&amp;$C42,逆引き作成用!AI$2:AI$169,FALSE),1),"")</f>
        <v/>
      </c>
      <c r="AJ42" s="17" t="str">
        <f>IFERROR(INDEX(逆引き作成用!$C$2:$C$169,MATCH($B42&amp;"/"&amp;$C42,逆引き作成用!AJ$2:AJ$169,FALSE),1),"")</f>
        <v/>
      </c>
      <c r="AK42" s="17" t="str">
        <f>IFERROR(INDEX(逆引き作成用!$C$2:$C$169,MATCH($B42&amp;"/"&amp;$C42,逆引き作成用!AK$2:AK$169,FALSE),1),"")</f>
        <v/>
      </c>
      <c r="AL42" s="17" t="str">
        <f>IFERROR(INDEX(逆引き作成用!$C$2:$C$169,MATCH($B42&amp;"/"&amp;$C42,逆引き作成用!AL$2:AL$169,FALSE),1),"")</f>
        <v/>
      </c>
      <c r="AM42" s="17" t="str">
        <f>IFERROR(INDEX(逆引き作成用!$C$2:$C$169,MATCH($B42&amp;"/"&amp;$C42,逆引き作成用!AM$2:AM$169,FALSE),1),"")</f>
        <v/>
      </c>
      <c r="AN42" s="17" t="str">
        <f>IFERROR(INDEX(逆引き作成用!$C$2:$C$169,MATCH($B42&amp;"/"&amp;$C42,逆引き作成用!AN$2:AN$169,FALSE),1),"")</f>
        <v/>
      </c>
      <c r="AO42" s="17" t="str">
        <f>IFERROR(INDEX(逆引き作成用!$C$2:$C$169,MATCH($B42&amp;"/"&amp;$C42,逆引き作成用!AO$2:AO$169,FALSE),1),"")</f>
        <v/>
      </c>
      <c r="AP42" s="17" t="str">
        <f>IFERROR(INDEX(逆引き作成用!$C$2:$C$169,MATCH($B42&amp;"/"&amp;$C42,逆引き作成用!AP$2:AP$169,FALSE),1),"")</f>
        <v/>
      </c>
      <c r="AQ42" s="17" t="str">
        <f>IFERROR(INDEX(逆引き作成用!$C$2:$C$169,MATCH($B42&amp;"/"&amp;$C42,逆引き作成用!AQ$2:AQ$169,FALSE),1),"")</f>
        <v/>
      </c>
      <c r="AR42" s="17" t="str">
        <f>IFERROR(INDEX(逆引き作成用!$C$2:$C$169,MATCH($B42&amp;"/"&amp;$C42,逆引き作成用!AR$2:AR$169,FALSE),1),"")</f>
        <v/>
      </c>
      <c r="AS42" s="17" t="str">
        <f>IFERROR(INDEX(逆引き作成用!$C$2:$C$169,MATCH($B42&amp;"/"&amp;$C42,逆引き作成用!AS$2:AS$169,FALSE),1),"")</f>
        <v/>
      </c>
      <c r="AT42" s="17" t="str">
        <f>IFERROR(INDEX(逆引き作成用!$C$2:$C$169,MATCH($B42&amp;"/"&amp;$C42,逆引き作成用!AT$2:AT$169,FALSE),1),"")</f>
        <v/>
      </c>
      <c r="AU42" s="17" t="str">
        <f>IFERROR(INDEX(逆引き作成用!$C$2:$C$169,MATCH($B42&amp;"/"&amp;$C42,逆引き作成用!AU$2:AU$169,FALSE),1),"")</f>
        <v/>
      </c>
      <c r="AV42" s="17" t="str">
        <f>IFERROR(INDEX(逆引き作成用!$C$2:$C$169,MATCH($B42&amp;"/"&amp;$C42,逆引き作成用!AV$2:AV$169,FALSE),1),"")</f>
        <v/>
      </c>
      <c r="AW42" s="17" t="str">
        <f>IFERROR(INDEX(逆引き作成用!$C$2:$C$169,MATCH($B42&amp;"/"&amp;$C42,逆引き作成用!AW$2:AW$169,FALSE),1),"")</f>
        <v/>
      </c>
      <c r="AX42" s="17" t="str">
        <f>IFERROR(INDEX(逆引き作成用!$C$2:$C$169,MATCH($B42&amp;"/"&amp;$C42,逆引き作成用!AX$2:AX$169,FALSE),1),"")</f>
        <v/>
      </c>
      <c r="AY42" s="17" t="str">
        <f>IFERROR(INDEX(逆引き作成用!$C$2:$C$169,MATCH($B42&amp;"/"&amp;$C42,逆引き作成用!AY$2:AY$169,FALSE),1),"")</f>
        <v/>
      </c>
      <c r="AZ42" s="17" t="str">
        <f>IFERROR(INDEX(逆引き作成用!$C$2:$C$169,MATCH($B42&amp;"/"&amp;$C42,逆引き作成用!AZ$2:AZ$169,FALSE),1),"")</f>
        <v/>
      </c>
      <c r="BA42" s="17" t="str">
        <f>IFERROR(INDEX(逆引き作成用!$C$2:$C$169,MATCH($B42&amp;"/"&amp;$C42,逆引き作成用!BA$2:BA$169,FALSE),1),"")</f>
        <v/>
      </c>
    </row>
    <row r="43" spans="1:53">
      <c r="A43" s="17" t="str">
        <f>IFERROR(INDEX(役職一覧!$B$2:$B$31,MATCH(B43,役職一覧!$C$2:$C$31,FALSE),1),"")</f>
        <v/>
      </c>
      <c r="B43" s="17" t="str">
        <f>IFERROR(IF(C43=1,INDEX(役職一覧!$C$2:$C$31,MATCH(逆引き!B42,役職一覧!$C$2:$C$31,FALSE)+1,1)&amp;"",B42),"")</f>
        <v/>
      </c>
      <c r="C43" s="17" t="str">
        <f>IFERROR(IF(VLOOKUP(B42,役職一覧!$C$2:$E$31,3,FALSE)=C42,1,C42+1),"")</f>
        <v/>
      </c>
      <c r="D43" s="17" t="str">
        <f>IFERROR(INDEX(逆引き作成用!$C$2:$C$169,MATCH($B43&amp;"/"&amp;$C43,逆引き作成用!D$2:D$169,FALSE),1),"")</f>
        <v/>
      </c>
      <c r="E43" s="17" t="str">
        <f>IFERROR(INDEX(逆引き作成用!$C$2:$C$169,MATCH($B43&amp;"/"&amp;$C43,逆引き作成用!E$2:E$169,FALSE),1),"")</f>
        <v/>
      </c>
      <c r="F43" s="17" t="str">
        <f>IFERROR(INDEX(逆引き作成用!$C$2:$C$169,MATCH($B43&amp;"/"&amp;$C43,逆引き作成用!F$2:F$169,FALSE),1),"")</f>
        <v/>
      </c>
      <c r="G43" s="17" t="str">
        <f>IFERROR(INDEX(逆引き作成用!$C$2:$C$169,MATCH($B43&amp;"/"&amp;$C43,逆引き作成用!G$2:G$169,FALSE),1),"")</f>
        <v/>
      </c>
      <c r="H43" s="17" t="str">
        <f>IFERROR(INDEX(逆引き作成用!$C$2:$C$169,MATCH($B43&amp;"/"&amp;$C43,逆引き作成用!H$2:H$169,FALSE),1),"")</f>
        <v/>
      </c>
      <c r="I43" s="17" t="str">
        <f>IFERROR(INDEX(逆引き作成用!$C$2:$C$169,MATCH($B43&amp;"/"&amp;$C43,逆引き作成用!I$2:I$169,FALSE),1),"")</f>
        <v/>
      </c>
      <c r="J43" s="17" t="str">
        <f>IFERROR(INDEX(逆引き作成用!$C$2:$C$169,MATCH($B43&amp;"/"&amp;$C43,逆引き作成用!J$2:J$169,FALSE),1),"")</f>
        <v/>
      </c>
      <c r="K43" s="17" t="str">
        <f>IFERROR(INDEX(逆引き作成用!$C$2:$C$169,MATCH($B43&amp;"/"&amp;$C43,逆引き作成用!K$2:K$169,FALSE),1),"")</f>
        <v/>
      </c>
      <c r="L43" s="17" t="str">
        <f>IFERROR(INDEX(逆引き作成用!$C$2:$C$169,MATCH($B43&amp;"/"&amp;$C43,逆引き作成用!L$2:L$169,FALSE),1),"")</f>
        <v/>
      </c>
      <c r="M43" s="17" t="str">
        <f>IFERROR(INDEX(逆引き作成用!$C$2:$C$169,MATCH($B43&amp;"/"&amp;$C43,逆引き作成用!M$2:M$169,FALSE),1),"")</f>
        <v/>
      </c>
      <c r="N43" s="17" t="str">
        <f>IFERROR(INDEX(逆引き作成用!$C$2:$C$169,MATCH($B43&amp;"/"&amp;$C43,逆引き作成用!N$2:N$169,FALSE),1),"")</f>
        <v/>
      </c>
      <c r="O43" s="17" t="str">
        <f>IFERROR(INDEX(逆引き作成用!$C$2:$C$169,MATCH($B43&amp;"/"&amp;$C43,逆引き作成用!O$2:O$169,FALSE),1),"")</f>
        <v/>
      </c>
      <c r="P43" s="17" t="str">
        <f>IFERROR(INDEX(逆引き作成用!$C$2:$C$169,MATCH($B43&amp;"/"&amp;$C43,逆引き作成用!P$2:P$169,FALSE),1),"")</f>
        <v/>
      </c>
      <c r="Q43" s="17" t="str">
        <f>IFERROR(INDEX(逆引き作成用!$C$2:$C$169,MATCH($B43&amp;"/"&amp;$C43,逆引き作成用!Q$2:Q$169,FALSE),1),"")</f>
        <v/>
      </c>
      <c r="R43" s="17" t="str">
        <f>IFERROR(INDEX(逆引き作成用!$C$2:$C$169,MATCH($B43&amp;"/"&amp;$C43,逆引き作成用!R$2:R$169,FALSE),1),"")</f>
        <v/>
      </c>
      <c r="S43" s="17" t="str">
        <f>IFERROR(INDEX(逆引き作成用!$C$2:$C$169,MATCH($B43&amp;"/"&amp;$C43,逆引き作成用!S$2:S$169,FALSE),1),"")</f>
        <v/>
      </c>
      <c r="T43" s="17" t="str">
        <f>IFERROR(INDEX(逆引き作成用!$C$2:$C$169,MATCH($B43&amp;"/"&amp;$C43,逆引き作成用!T$2:T$169,FALSE),1),"")</f>
        <v/>
      </c>
      <c r="U43" s="17" t="str">
        <f>IFERROR(INDEX(逆引き作成用!$C$2:$C$169,MATCH($B43&amp;"/"&amp;$C43,逆引き作成用!U$2:U$169,FALSE),1),"")</f>
        <v/>
      </c>
      <c r="V43" s="17" t="str">
        <f>IFERROR(INDEX(逆引き作成用!$C$2:$C$169,MATCH($B43&amp;"/"&amp;$C43,逆引き作成用!V$2:V$169,FALSE),1),"")</f>
        <v/>
      </c>
      <c r="W43" s="17" t="str">
        <f>IFERROR(INDEX(逆引き作成用!$C$2:$C$169,MATCH($B43&amp;"/"&amp;$C43,逆引き作成用!W$2:W$169,FALSE),1),"")</f>
        <v/>
      </c>
      <c r="X43" s="17" t="str">
        <f>IFERROR(INDEX(逆引き作成用!$C$2:$C$169,MATCH($B43&amp;"/"&amp;$C43,逆引き作成用!X$2:X$169,FALSE),1),"")</f>
        <v/>
      </c>
      <c r="Y43" s="17" t="str">
        <f>IFERROR(INDEX(逆引き作成用!$C$2:$C$169,MATCH($B43&amp;"/"&amp;$C43,逆引き作成用!Y$2:Y$169,FALSE),1),"")</f>
        <v/>
      </c>
      <c r="Z43" s="17" t="str">
        <f>IFERROR(INDEX(逆引き作成用!$C$2:$C$169,MATCH($B43&amp;"/"&amp;$C43,逆引き作成用!Z$2:Z$169,FALSE),1),"")</f>
        <v/>
      </c>
      <c r="AA43" s="17" t="str">
        <f>IFERROR(INDEX(逆引き作成用!$C$2:$C$169,MATCH($B43&amp;"/"&amp;$C43,逆引き作成用!AA$2:AA$169,FALSE),1),"")</f>
        <v/>
      </c>
      <c r="AB43" s="17" t="str">
        <f>IFERROR(INDEX(逆引き作成用!$C$2:$C$169,MATCH($B43&amp;"/"&amp;$C43,逆引き作成用!AB$2:AB$169,FALSE),1),"")</f>
        <v/>
      </c>
      <c r="AC43" s="17" t="str">
        <f>IFERROR(INDEX(逆引き作成用!$C$2:$C$169,MATCH($B43&amp;"/"&amp;$C43,逆引き作成用!AC$2:AC$169,FALSE),1),"")</f>
        <v/>
      </c>
      <c r="AD43" s="17" t="str">
        <f>IFERROR(INDEX(逆引き作成用!$C$2:$C$169,MATCH($B43&amp;"/"&amp;$C43,逆引き作成用!AD$2:AD$169,FALSE),1),"")</f>
        <v/>
      </c>
      <c r="AE43" s="17" t="str">
        <f>IFERROR(INDEX(逆引き作成用!$C$2:$C$169,MATCH($B43&amp;"/"&amp;$C43,逆引き作成用!AE$2:AE$169,FALSE),1),"")</f>
        <v/>
      </c>
      <c r="AF43" s="17" t="str">
        <f>IFERROR(INDEX(逆引き作成用!$C$2:$C$169,MATCH($B43&amp;"/"&amp;$C43,逆引き作成用!AF$2:AF$169,FALSE),1),"")</f>
        <v/>
      </c>
      <c r="AG43" s="17" t="str">
        <f>IFERROR(INDEX(逆引き作成用!$C$2:$C$169,MATCH($B43&amp;"/"&amp;$C43,逆引き作成用!AG$2:AG$169,FALSE),1),"")</f>
        <v/>
      </c>
      <c r="AH43" s="17" t="str">
        <f>IFERROR(INDEX(逆引き作成用!$C$2:$C$169,MATCH($B43&amp;"/"&amp;$C43,逆引き作成用!AH$2:AH$169,FALSE),1),"")</f>
        <v/>
      </c>
      <c r="AI43" s="17" t="str">
        <f>IFERROR(INDEX(逆引き作成用!$C$2:$C$169,MATCH($B43&amp;"/"&amp;$C43,逆引き作成用!AI$2:AI$169,FALSE),1),"")</f>
        <v/>
      </c>
      <c r="AJ43" s="17" t="str">
        <f>IFERROR(INDEX(逆引き作成用!$C$2:$C$169,MATCH($B43&amp;"/"&amp;$C43,逆引き作成用!AJ$2:AJ$169,FALSE),1),"")</f>
        <v/>
      </c>
      <c r="AK43" s="17" t="str">
        <f>IFERROR(INDEX(逆引き作成用!$C$2:$C$169,MATCH($B43&amp;"/"&amp;$C43,逆引き作成用!AK$2:AK$169,FALSE),1),"")</f>
        <v/>
      </c>
      <c r="AL43" s="17" t="str">
        <f>IFERROR(INDEX(逆引き作成用!$C$2:$C$169,MATCH($B43&amp;"/"&amp;$C43,逆引き作成用!AL$2:AL$169,FALSE),1),"")</f>
        <v/>
      </c>
      <c r="AM43" s="17" t="str">
        <f>IFERROR(INDEX(逆引き作成用!$C$2:$C$169,MATCH($B43&amp;"/"&amp;$C43,逆引き作成用!AM$2:AM$169,FALSE),1),"")</f>
        <v/>
      </c>
      <c r="AN43" s="17" t="str">
        <f>IFERROR(INDEX(逆引き作成用!$C$2:$C$169,MATCH($B43&amp;"/"&amp;$C43,逆引き作成用!AN$2:AN$169,FALSE),1),"")</f>
        <v/>
      </c>
      <c r="AO43" s="17" t="str">
        <f>IFERROR(INDEX(逆引き作成用!$C$2:$C$169,MATCH($B43&amp;"/"&amp;$C43,逆引き作成用!AO$2:AO$169,FALSE),1),"")</f>
        <v/>
      </c>
      <c r="AP43" s="17" t="str">
        <f>IFERROR(INDEX(逆引き作成用!$C$2:$C$169,MATCH($B43&amp;"/"&amp;$C43,逆引き作成用!AP$2:AP$169,FALSE),1),"")</f>
        <v/>
      </c>
      <c r="AQ43" s="17" t="str">
        <f>IFERROR(INDEX(逆引き作成用!$C$2:$C$169,MATCH($B43&amp;"/"&amp;$C43,逆引き作成用!AQ$2:AQ$169,FALSE),1),"")</f>
        <v/>
      </c>
      <c r="AR43" s="17" t="str">
        <f>IFERROR(INDEX(逆引き作成用!$C$2:$C$169,MATCH($B43&amp;"/"&amp;$C43,逆引き作成用!AR$2:AR$169,FALSE),1),"")</f>
        <v/>
      </c>
      <c r="AS43" s="17" t="str">
        <f>IFERROR(INDEX(逆引き作成用!$C$2:$C$169,MATCH($B43&amp;"/"&amp;$C43,逆引き作成用!AS$2:AS$169,FALSE),1),"")</f>
        <v/>
      </c>
      <c r="AT43" s="17" t="str">
        <f>IFERROR(INDEX(逆引き作成用!$C$2:$C$169,MATCH($B43&amp;"/"&amp;$C43,逆引き作成用!AT$2:AT$169,FALSE),1),"")</f>
        <v/>
      </c>
      <c r="AU43" s="17" t="str">
        <f>IFERROR(INDEX(逆引き作成用!$C$2:$C$169,MATCH($B43&amp;"/"&amp;$C43,逆引き作成用!AU$2:AU$169,FALSE),1),"")</f>
        <v/>
      </c>
      <c r="AV43" s="17" t="str">
        <f>IFERROR(INDEX(逆引き作成用!$C$2:$C$169,MATCH($B43&amp;"/"&amp;$C43,逆引き作成用!AV$2:AV$169,FALSE),1),"")</f>
        <v/>
      </c>
      <c r="AW43" s="17" t="str">
        <f>IFERROR(INDEX(逆引き作成用!$C$2:$C$169,MATCH($B43&amp;"/"&amp;$C43,逆引き作成用!AW$2:AW$169,FALSE),1),"")</f>
        <v/>
      </c>
      <c r="AX43" s="17" t="str">
        <f>IFERROR(INDEX(逆引き作成用!$C$2:$C$169,MATCH($B43&amp;"/"&amp;$C43,逆引き作成用!AX$2:AX$169,FALSE),1),"")</f>
        <v/>
      </c>
      <c r="AY43" s="17" t="str">
        <f>IFERROR(INDEX(逆引き作成用!$C$2:$C$169,MATCH($B43&amp;"/"&amp;$C43,逆引き作成用!AY$2:AY$169,FALSE),1),"")</f>
        <v/>
      </c>
      <c r="AZ43" s="17" t="str">
        <f>IFERROR(INDEX(逆引き作成用!$C$2:$C$169,MATCH($B43&amp;"/"&amp;$C43,逆引き作成用!AZ$2:AZ$169,FALSE),1),"")</f>
        <v/>
      </c>
      <c r="BA43" s="17" t="str">
        <f>IFERROR(INDEX(逆引き作成用!$C$2:$C$169,MATCH($B43&amp;"/"&amp;$C43,逆引き作成用!BA$2:BA$169,FALSE),1),"")</f>
        <v/>
      </c>
    </row>
    <row r="44" spans="1:53">
      <c r="A44" s="17" t="str">
        <f>IFERROR(INDEX(役職一覧!$B$2:$B$31,MATCH(B44,役職一覧!$C$2:$C$31,FALSE),1),"")</f>
        <v/>
      </c>
      <c r="B44" s="17" t="str">
        <f>IFERROR(IF(C44=1,INDEX(役職一覧!$C$2:$C$31,MATCH(逆引き!B43,役職一覧!$C$2:$C$31,FALSE)+1,1)&amp;"",B43),"")</f>
        <v/>
      </c>
      <c r="C44" s="17" t="str">
        <f>IFERROR(IF(VLOOKUP(B43,役職一覧!$C$2:$E$31,3,FALSE)=C43,1,C43+1),"")</f>
        <v/>
      </c>
      <c r="D44" s="17" t="str">
        <f>IFERROR(INDEX(逆引き作成用!$C$2:$C$169,MATCH($B44&amp;"/"&amp;$C44,逆引き作成用!D$2:D$169,FALSE),1),"")</f>
        <v/>
      </c>
      <c r="E44" s="17" t="str">
        <f>IFERROR(INDEX(逆引き作成用!$C$2:$C$169,MATCH($B44&amp;"/"&amp;$C44,逆引き作成用!E$2:E$169,FALSE),1),"")</f>
        <v/>
      </c>
      <c r="F44" s="17" t="str">
        <f>IFERROR(INDEX(逆引き作成用!$C$2:$C$169,MATCH($B44&amp;"/"&amp;$C44,逆引き作成用!F$2:F$169,FALSE),1),"")</f>
        <v/>
      </c>
      <c r="G44" s="17" t="str">
        <f>IFERROR(INDEX(逆引き作成用!$C$2:$C$169,MATCH($B44&amp;"/"&amp;$C44,逆引き作成用!G$2:G$169,FALSE),1),"")</f>
        <v/>
      </c>
      <c r="H44" s="17" t="str">
        <f>IFERROR(INDEX(逆引き作成用!$C$2:$C$169,MATCH($B44&amp;"/"&amp;$C44,逆引き作成用!H$2:H$169,FALSE),1),"")</f>
        <v/>
      </c>
      <c r="I44" s="17" t="str">
        <f>IFERROR(INDEX(逆引き作成用!$C$2:$C$169,MATCH($B44&amp;"/"&amp;$C44,逆引き作成用!I$2:I$169,FALSE),1),"")</f>
        <v/>
      </c>
      <c r="J44" s="17" t="str">
        <f>IFERROR(INDEX(逆引き作成用!$C$2:$C$169,MATCH($B44&amp;"/"&amp;$C44,逆引き作成用!J$2:J$169,FALSE),1),"")</f>
        <v/>
      </c>
      <c r="K44" s="17" t="str">
        <f>IFERROR(INDEX(逆引き作成用!$C$2:$C$169,MATCH($B44&amp;"/"&amp;$C44,逆引き作成用!K$2:K$169,FALSE),1),"")</f>
        <v/>
      </c>
      <c r="L44" s="17" t="str">
        <f>IFERROR(INDEX(逆引き作成用!$C$2:$C$169,MATCH($B44&amp;"/"&amp;$C44,逆引き作成用!L$2:L$169,FALSE),1),"")</f>
        <v/>
      </c>
      <c r="M44" s="17" t="str">
        <f>IFERROR(INDEX(逆引き作成用!$C$2:$C$169,MATCH($B44&amp;"/"&amp;$C44,逆引き作成用!M$2:M$169,FALSE),1),"")</f>
        <v/>
      </c>
      <c r="N44" s="17" t="str">
        <f>IFERROR(INDEX(逆引き作成用!$C$2:$C$169,MATCH($B44&amp;"/"&amp;$C44,逆引き作成用!N$2:N$169,FALSE),1),"")</f>
        <v/>
      </c>
      <c r="O44" s="17" t="str">
        <f>IFERROR(INDEX(逆引き作成用!$C$2:$C$169,MATCH($B44&amp;"/"&amp;$C44,逆引き作成用!O$2:O$169,FALSE),1),"")</f>
        <v/>
      </c>
      <c r="P44" s="17" t="str">
        <f>IFERROR(INDEX(逆引き作成用!$C$2:$C$169,MATCH($B44&amp;"/"&amp;$C44,逆引き作成用!P$2:P$169,FALSE),1),"")</f>
        <v/>
      </c>
      <c r="Q44" s="17" t="str">
        <f>IFERROR(INDEX(逆引き作成用!$C$2:$C$169,MATCH($B44&amp;"/"&amp;$C44,逆引き作成用!Q$2:Q$169,FALSE),1),"")</f>
        <v/>
      </c>
      <c r="R44" s="17" t="str">
        <f>IFERROR(INDEX(逆引き作成用!$C$2:$C$169,MATCH($B44&amp;"/"&amp;$C44,逆引き作成用!R$2:R$169,FALSE),1),"")</f>
        <v/>
      </c>
      <c r="S44" s="17" t="str">
        <f>IFERROR(INDEX(逆引き作成用!$C$2:$C$169,MATCH($B44&amp;"/"&amp;$C44,逆引き作成用!S$2:S$169,FALSE),1),"")</f>
        <v/>
      </c>
      <c r="T44" s="17" t="str">
        <f>IFERROR(INDEX(逆引き作成用!$C$2:$C$169,MATCH($B44&amp;"/"&amp;$C44,逆引き作成用!T$2:T$169,FALSE),1),"")</f>
        <v/>
      </c>
      <c r="U44" s="17" t="str">
        <f>IFERROR(INDEX(逆引き作成用!$C$2:$C$169,MATCH($B44&amp;"/"&amp;$C44,逆引き作成用!U$2:U$169,FALSE),1),"")</f>
        <v/>
      </c>
      <c r="V44" s="17" t="str">
        <f>IFERROR(INDEX(逆引き作成用!$C$2:$C$169,MATCH($B44&amp;"/"&amp;$C44,逆引き作成用!V$2:V$169,FALSE),1),"")</f>
        <v/>
      </c>
      <c r="W44" s="17" t="str">
        <f>IFERROR(INDEX(逆引き作成用!$C$2:$C$169,MATCH($B44&amp;"/"&amp;$C44,逆引き作成用!W$2:W$169,FALSE),1),"")</f>
        <v/>
      </c>
      <c r="X44" s="17" t="str">
        <f>IFERROR(INDEX(逆引き作成用!$C$2:$C$169,MATCH($B44&amp;"/"&amp;$C44,逆引き作成用!X$2:X$169,FALSE),1),"")</f>
        <v/>
      </c>
      <c r="Y44" s="17" t="str">
        <f>IFERROR(INDEX(逆引き作成用!$C$2:$C$169,MATCH($B44&amp;"/"&amp;$C44,逆引き作成用!Y$2:Y$169,FALSE),1),"")</f>
        <v/>
      </c>
      <c r="Z44" s="17" t="str">
        <f>IFERROR(INDEX(逆引き作成用!$C$2:$C$169,MATCH($B44&amp;"/"&amp;$C44,逆引き作成用!Z$2:Z$169,FALSE),1),"")</f>
        <v/>
      </c>
      <c r="AA44" s="17" t="str">
        <f>IFERROR(INDEX(逆引き作成用!$C$2:$C$169,MATCH($B44&amp;"/"&amp;$C44,逆引き作成用!AA$2:AA$169,FALSE),1),"")</f>
        <v/>
      </c>
      <c r="AB44" s="17" t="str">
        <f>IFERROR(INDEX(逆引き作成用!$C$2:$C$169,MATCH($B44&amp;"/"&amp;$C44,逆引き作成用!AB$2:AB$169,FALSE),1),"")</f>
        <v/>
      </c>
      <c r="AC44" s="17" t="str">
        <f>IFERROR(INDEX(逆引き作成用!$C$2:$C$169,MATCH($B44&amp;"/"&amp;$C44,逆引き作成用!AC$2:AC$169,FALSE),1),"")</f>
        <v/>
      </c>
      <c r="AD44" s="17" t="str">
        <f>IFERROR(INDEX(逆引き作成用!$C$2:$C$169,MATCH($B44&amp;"/"&amp;$C44,逆引き作成用!AD$2:AD$169,FALSE),1),"")</f>
        <v/>
      </c>
      <c r="AE44" s="17" t="str">
        <f>IFERROR(INDEX(逆引き作成用!$C$2:$C$169,MATCH($B44&amp;"/"&amp;$C44,逆引き作成用!AE$2:AE$169,FALSE),1),"")</f>
        <v/>
      </c>
      <c r="AF44" s="17" t="str">
        <f>IFERROR(INDEX(逆引き作成用!$C$2:$C$169,MATCH($B44&amp;"/"&amp;$C44,逆引き作成用!AF$2:AF$169,FALSE),1),"")</f>
        <v/>
      </c>
      <c r="AG44" s="17" t="str">
        <f>IFERROR(INDEX(逆引き作成用!$C$2:$C$169,MATCH($B44&amp;"/"&amp;$C44,逆引き作成用!AG$2:AG$169,FALSE),1),"")</f>
        <v/>
      </c>
      <c r="AH44" s="17" t="str">
        <f>IFERROR(INDEX(逆引き作成用!$C$2:$C$169,MATCH($B44&amp;"/"&amp;$C44,逆引き作成用!AH$2:AH$169,FALSE),1),"")</f>
        <v/>
      </c>
      <c r="AI44" s="17" t="str">
        <f>IFERROR(INDEX(逆引き作成用!$C$2:$C$169,MATCH($B44&amp;"/"&amp;$C44,逆引き作成用!AI$2:AI$169,FALSE),1),"")</f>
        <v/>
      </c>
      <c r="AJ44" s="17" t="str">
        <f>IFERROR(INDEX(逆引き作成用!$C$2:$C$169,MATCH($B44&amp;"/"&amp;$C44,逆引き作成用!AJ$2:AJ$169,FALSE),1),"")</f>
        <v/>
      </c>
      <c r="AK44" s="17" t="str">
        <f>IFERROR(INDEX(逆引き作成用!$C$2:$C$169,MATCH($B44&amp;"/"&amp;$C44,逆引き作成用!AK$2:AK$169,FALSE),1),"")</f>
        <v/>
      </c>
      <c r="AL44" s="17" t="str">
        <f>IFERROR(INDEX(逆引き作成用!$C$2:$C$169,MATCH($B44&amp;"/"&amp;$C44,逆引き作成用!AL$2:AL$169,FALSE),1),"")</f>
        <v/>
      </c>
      <c r="AM44" s="17" t="str">
        <f>IFERROR(INDEX(逆引き作成用!$C$2:$C$169,MATCH($B44&amp;"/"&amp;$C44,逆引き作成用!AM$2:AM$169,FALSE),1),"")</f>
        <v/>
      </c>
      <c r="AN44" s="17" t="str">
        <f>IFERROR(INDEX(逆引き作成用!$C$2:$C$169,MATCH($B44&amp;"/"&amp;$C44,逆引き作成用!AN$2:AN$169,FALSE),1),"")</f>
        <v/>
      </c>
      <c r="AO44" s="17" t="str">
        <f>IFERROR(INDEX(逆引き作成用!$C$2:$C$169,MATCH($B44&amp;"/"&amp;$C44,逆引き作成用!AO$2:AO$169,FALSE),1),"")</f>
        <v/>
      </c>
      <c r="AP44" s="17" t="str">
        <f>IFERROR(INDEX(逆引き作成用!$C$2:$C$169,MATCH($B44&amp;"/"&amp;$C44,逆引き作成用!AP$2:AP$169,FALSE),1),"")</f>
        <v/>
      </c>
      <c r="AQ44" s="17" t="str">
        <f>IFERROR(INDEX(逆引き作成用!$C$2:$C$169,MATCH($B44&amp;"/"&amp;$C44,逆引き作成用!AQ$2:AQ$169,FALSE),1),"")</f>
        <v/>
      </c>
      <c r="AR44" s="17" t="str">
        <f>IFERROR(INDEX(逆引き作成用!$C$2:$C$169,MATCH($B44&amp;"/"&amp;$C44,逆引き作成用!AR$2:AR$169,FALSE),1),"")</f>
        <v/>
      </c>
      <c r="AS44" s="17" t="str">
        <f>IFERROR(INDEX(逆引き作成用!$C$2:$C$169,MATCH($B44&amp;"/"&amp;$C44,逆引き作成用!AS$2:AS$169,FALSE),1),"")</f>
        <v/>
      </c>
      <c r="AT44" s="17" t="str">
        <f>IFERROR(INDEX(逆引き作成用!$C$2:$C$169,MATCH($B44&amp;"/"&amp;$C44,逆引き作成用!AT$2:AT$169,FALSE),1),"")</f>
        <v/>
      </c>
      <c r="AU44" s="17" t="str">
        <f>IFERROR(INDEX(逆引き作成用!$C$2:$C$169,MATCH($B44&amp;"/"&amp;$C44,逆引き作成用!AU$2:AU$169,FALSE),1),"")</f>
        <v/>
      </c>
      <c r="AV44" s="17" t="str">
        <f>IFERROR(INDEX(逆引き作成用!$C$2:$C$169,MATCH($B44&amp;"/"&amp;$C44,逆引き作成用!AV$2:AV$169,FALSE),1),"")</f>
        <v/>
      </c>
      <c r="AW44" s="17" t="str">
        <f>IFERROR(INDEX(逆引き作成用!$C$2:$C$169,MATCH($B44&amp;"/"&amp;$C44,逆引き作成用!AW$2:AW$169,FALSE),1),"")</f>
        <v/>
      </c>
      <c r="AX44" s="17" t="str">
        <f>IFERROR(INDEX(逆引き作成用!$C$2:$C$169,MATCH($B44&amp;"/"&amp;$C44,逆引き作成用!AX$2:AX$169,FALSE),1),"")</f>
        <v/>
      </c>
      <c r="AY44" s="17" t="str">
        <f>IFERROR(INDEX(逆引き作成用!$C$2:$C$169,MATCH($B44&amp;"/"&amp;$C44,逆引き作成用!AY$2:AY$169,FALSE),1),"")</f>
        <v/>
      </c>
      <c r="AZ44" s="17" t="str">
        <f>IFERROR(INDEX(逆引き作成用!$C$2:$C$169,MATCH($B44&amp;"/"&amp;$C44,逆引き作成用!AZ$2:AZ$169,FALSE),1),"")</f>
        <v/>
      </c>
      <c r="BA44" s="17" t="str">
        <f>IFERROR(INDEX(逆引き作成用!$C$2:$C$169,MATCH($B44&amp;"/"&amp;$C44,逆引き作成用!BA$2:BA$169,FALSE),1),"")</f>
        <v/>
      </c>
    </row>
    <row r="45" spans="1:53">
      <c r="A45" s="17" t="str">
        <f>IFERROR(INDEX(役職一覧!$B$2:$B$31,MATCH(B45,役職一覧!$C$2:$C$31,FALSE),1),"")</f>
        <v/>
      </c>
      <c r="B45" s="17" t="str">
        <f>IFERROR(IF(C45=1,INDEX(役職一覧!$C$2:$C$31,MATCH(逆引き!B44,役職一覧!$C$2:$C$31,FALSE)+1,1)&amp;"",B44),"")</f>
        <v/>
      </c>
      <c r="C45" s="17" t="str">
        <f>IFERROR(IF(VLOOKUP(B44,役職一覧!$C$2:$E$31,3,FALSE)=C44,1,C44+1),"")</f>
        <v/>
      </c>
      <c r="D45" s="17" t="str">
        <f>IFERROR(INDEX(逆引き作成用!$C$2:$C$169,MATCH($B45&amp;"/"&amp;$C45,逆引き作成用!D$2:D$169,FALSE),1),"")</f>
        <v/>
      </c>
      <c r="E45" s="17" t="str">
        <f>IFERROR(INDEX(逆引き作成用!$C$2:$C$169,MATCH($B45&amp;"/"&amp;$C45,逆引き作成用!E$2:E$169,FALSE),1),"")</f>
        <v/>
      </c>
      <c r="F45" s="17" t="str">
        <f>IFERROR(INDEX(逆引き作成用!$C$2:$C$169,MATCH($B45&amp;"/"&amp;$C45,逆引き作成用!F$2:F$169,FALSE),1),"")</f>
        <v/>
      </c>
      <c r="G45" s="17" t="str">
        <f>IFERROR(INDEX(逆引き作成用!$C$2:$C$169,MATCH($B45&amp;"/"&amp;$C45,逆引き作成用!G$2:G$169,FALSE),1),"")</f>
        <v/>
      </c>
      <c r="H45" s="17" t="str">
        <f>IFERROR(INDEX(逆引き作成用!$C$2:$C$169,MATCH($B45&amp;"/"&amp;$C45,逆引き作成用!H$2:H$169,FALSE),1),"")</f>
        <v/>
      </c>
      <c r="I45" s="17" t="str">
        <f>IFERROR(INDEX(逆引き作成用!$C$2:$C$169,MATCH($B45&amp;"/"&amp;$C45,逆引き作成用!I$2:I$169,FALSE),1),"")</f>
        <v/>
      </c>
      <c r="J45" s="17" t="str">
        <f>IFERROR(INDEX(逆引き作成用!$C$2:$C$169,MATCH($B45&amp;"/"&amp;$C45,逆引き作成用!J$2:J$169,FALSE),1),"")</f>
        <v/>
      </c>
      <c r="K45" s="17" t="str">
        <f>IFERROR(INDEX(逆引き作成用!$C$2:$C$169,MATCH($B45&amp;"/"&amp;$C45,逆引き作成用!K$2:K$169,FALSE),1),"")</f>
        <v/>
      </c>
      <c r="L45" s="17" t="str">
        <f>IFERROR(INDEX(逆引き作成用!$C$2:$C$169,MATCH($B45&amp;"/"&amp;$C45,逆引き作成用!L$2:L$169,FALSE),1),"")</f>
        <v/>
      </c>
      <c r="M45" s="17" t="str">
        <f>IFERROR(INDEX(逆引き作成用!$C$2:$C$169,MATCH($B45&amp;"/"&amp;$C45,逆引き作成用!M$2:M$169,FALSE),1),"")</f>
        <v/>
      </c>
      <c r="N45" s="17" t="str">
        <f>IFERROR(INDEX(逆引き作成用!$C$2:$C$169,MATCH($B45&amp;"/"&amp;$C45,逆引き作成用!N$2:N$169,FALSE),1),"")</f>
        <v/>
      </c>
      <c r="O45" s="17" t="str">
        <f>IFERROR(INDEX(逆引き作成用!$C$2:$C$169,MATCH($B45&amp;"/"&amp;$C45,逆引き作成用!O$2:O$169,FALSE),1),"")</f>
        <v/>
      </c>
      <c r="P45" s="17" t="str">
        <f>IFERROR(INDEX(逆引き作成用!$C$2:$C$169,MATCH($B45&amp;"/"&amp;$C45,逆引き作成用!P$2:P$169,FALSE),1),"")</f>
        <v/>
      </c>
      <c r="Q45" s="17" t="str">
        <f>IFERROR(INDEX(逆引き作成用!$C$2:$C$169,MATCH($B45&amp;"/"&amp;$C45,逆引き作成用!Q$2:Q$169,FALSE),1),"")</f>
        <v/>
      </c>
      <c r="R45" s="17" t="str">
        <f>IFERROR(INDEX(逆引き作成用!$C$2:$C$169,MATCH($B45&amp;"/"&amp;$C45,逆引き作成用!R$2:R$169,FALSE),1),"")</f>
        <v/>
      </c>
      <c r="S45" s="17" t="str">
        <f>IFERROR(INDEX(逆引き作成用!$C$2:$C$169,MATCH($B45&amp;"/"&amp;$C45,逆引き作成用!S$2:S$169,FALSE),1),"")</f>
        <v/>
      </c>
      <c r="T45" s="17" t="str">
        <f>IFERROR(INDEX(逆引き作成用!$C$2:$C$169,MATCH($B45&amp;"/"&amp;$C45,逆引き作成用!T$2:T$169,FALSE),1),"")</f>
        <v/>
      </c>
      <c r="U45" s="17" t="str">
        <f>IFERROR(INDEX(逆引き作成用!$C$2:$C$169,MATCH($B45&amp;"/"&amp;$C45,逆引き作成用!U$2:U$169,FALSE),1),"")</f>
        <v/>
      </c>
      <c r="V45" s="17" t="str">
        <f>IFERROR(INDEX(逆引き作成用!$C$2:$C$169,MATCH($B45&amp;"/"&amp;$C45,逆引き作成用!V$2:V$169,FALSE),1),"")</f>
        <v/>
      </c>
      <c r="W45" s="17" t="str">
        <f>IFERROR(INDEX(逆引き作成用!$C$2:$C$169,MATCH($B45&amp;"/"&amp;$C45,逆引き作成用!W$2:W$169,FALSE),1),"")</f>
        <v/>
      </c>
      <c r="X45" s="17" t="str">
        <f>IFERROR(INDEX(逆引き作成用!$C$2:$C$169,MATCH($B45&amp;"/"&amp;$C45,逆引き作成用!X$2:X$169,FALSE),1),"")</f>
        <v/>
      </c>
      <c r="Y45" s="17" t="str">
        <f>IFERROR(INDEX(逆引き作成用!$C$2:$C$169,MATCH($B45&amp;"/"&amp;$C45,逆引き作成用!Y$2:Y$169,FALSE),1),"")</f>
        <v/>
      </c>
      <c r="Z45" s="17" t="str">
        <f>IFERROR(INDEX(逆引き作成用!$C$2:$C$169,MATCH($B45&amp;"/"&amp;$C45,逆引き作成用!Z$2:Z$169,FALSE),1),"")</f>
        <v/>
      </c>
      <c r="AA45" s="17" t="str">
        <f>IFERROR(INDEX(逆引き作成用!$C$2:$C$169,MATCH($B45&amp;"/"&amp;$C45,逆引き作成用!AA$2:AA$169,FALSE),1),"")</f>
        <v/>
      </c>
      <c r="AB45" s="17" t="str">
        <f>IFERROR(INDEX(逆引き作成用!$C$2:$C$169,MATCH($B45&amp;"/"&amp;$C45,逆引き作成用!AB$2:AB$169,FALSE),1),"")</f>
        <v/>
      </c>
      <c r="AC45" s="17" t="str">
        <f>IFERROR(INDEX(逆引き作成用!$C$2:$C$169,MATCH($B45&amp;"/"&amp;$C45,逆引き作成用!AC$2:AC$169,FALSE),1),"")</f>
        <v/>
      </c>
      <c r="AD45" s="17" t="str">
        <f>IFERROR(INDEX(逆引き作成用!$C$2:$C$169,MATCH($B45&amp;"/"&amp;$C45,逆引き作成用!AD$2:AD$169,FALSE),1),"")</f>
        <v/>
      </c>
      <c r="AE45" s="17" t="str">
        <f>IFERROR(INDEX(逆引き作成用!$C$2:$C$169,MATCH($B45&amp;"/"&amp;$C45,逆引き作成用!AE$2:AE$169,FALSE),1),"")</f>
        <v/>
      </c>
      <c r="AF45" s="17" t="str">
        <f>IFERROR(INDEX(逆引き作成用!$C$2:$C$169,MATCH($B45&amp;"/"&amp;$C45,逆引き作成用!AF$2:AF$169,FALSE),1),"")</f>
        <v/>
      </c>
      <c r="AG45" s="17" t="str">
        <f>IFERROR(INDEX(逆引き作成用!$C$2:$C$169,MATCH($B45&amp;"/"&amp;$C45,逆引き作成用!AG$2:AG$169,FALSE),1),"")</f>
        <v/>
      </c>
      <c r="AH45" s="17" t="str">
        <f>IFERROR(INDEX(逆引き作成用!$C$2:$C$169,MATCH($B45&amp;"/"&amp;$C45,逆引き作成用!AH$2:AH$169,FALSE),1),"")</f>
        <v/>
      </c>
      <c r="AI45" s="17" t="str">
        <f>IFERROR(INDEX(逆引き作成用!$C$2:$C$169,MATCH($B45&amp;"/"&amp;$C45,逆引き作成用!AI$2:AI$169,FALSE),1),"")</f>
        <v/>
      </c>
      <c r="AJ45" s="17" t="str">
        <f>IFERROR(INDEX(逆引き作成用!$C$2:$C$169,MATCH($B45&amp;"/"&amp;$C45,逆引き作成用!AJ$2:AJ$169,FALSE),1),"")</f>
        <v/>
      </c>
      <c r="AK45" s="17" t="str">
        <f>IFERROR(INDEX(逆引き作成用!$C$2:$C$169,MATCH($B45&amp;"/"&amp;$C45,逆引き作成用!AK$2:AK$169,FALSE),1),"")</f>
        <v/>
      </c>
      <c r="AL45" s="17" t="str">
        <f>IFERROR(INDEX(逆引き作成用!$C$2:$C$169,MATCH($B45&amp;"/"&amp;$C45,逆引き作成用!AL$2:AL$169,FALSE),1),"")</f>
        <v/>
      </c>
      <c r="AM45" s="17" t="str">
        <f>IFERROR(INDEX(逆引き作成用!$C$2:$C$169,MATCH($B45&amp;"/"&amp;$C45,逆引き作成用!AM$2:AM$169,FALSE),1),"")</f>
        <v/>
      </c>
      <c r="AN45" s="17" t="str">
        <f>IFERROR(INDEX(逆引き作成用!$C$2:$C$169,MATCH($B45&amp;"/"&amp;$C45,逆引き作成用!AN$2:AN$169,FALSE),1),"")</f>
        <v/>
      </c>
      <c r="AO45" s="17" t="str">
        <f>IFERROR(INDEX(逆引き作成用!$C$2:$C$169,MATCH($B45&amp;"/"&amp;$C45,逆引き作成用!AO$2:AO$169,FALSE),1),"")</f>
        <v/>
      </c>
      <c r="AP45" s="17" t="str">
        <f>IFERROR(INDEX(逆引き作成用!$C$2:$C$169,MATCH($B45&amp;"/"&amp;$C45,逆引き作成用!AP$2:AP$169,FALSE),1),"")</f>
        <v/>
      </c>
      <c r="AQ45" s="17" t="str">
        <f>IFERROR(INDEX(逆引き作成用!$C$2:$C$169,MATCH($B45&amp;"/"&amp;$C45,逆引き作成用!AQ$2:AQ$169,FALSE),1),"")</f>
        <v/>
      </c>
      <c r="AR45" s="17" t="str">
        <f>IFERROR(INDEX(逆引き作成用!$C$2:$C$169,MATCH($B45&amp;"/"&amp;$C45,逆引き作成用!AR$2:AR$169,FALSE),1),"")</f>
        <v/>
      </c>
      <c r="AS45" s="17" t="str">
        <f>IFERROR(INDEX(逆引き作成用!$C$2:$C$169,MATCH($B45&amp;"/"&amp;$C45,逆引き作成用!AS$2:AS$169,FALSE),1),"")</f>
        <v/>
      </c>
      <c r="AT45" s="17" t="str">
        <f>IFERROR(INDEX(逆引き作成用!$C$2:$C$169,MATCH($B45&amp;"/"&amp;$C45,逆引き作成用!AT$2:AT$169,FALSE),1),"")</f>
        <v/>
      </c>
      <c r="AU45" s="17" t="str">
        <f>IFERROR(INDEX(逆引き作成用!$C$2:$C$169,MATCH($B45&amp;"/"&amp;$C45,逆引き作成用!AU$2:AU$169,FALSE),1),"")</f>
        <v/>
      </c>
      <c r="AV45" s="17" t="str">
        <f>IFERROR(INDEX(逆引き作成用!$C$2:$C$169,MATCH($B45&amp;"/"&amp;$C45,逆引き作成用!AV$2:AV$169,FALSE),1),"")</f>
        <v/>
      </c>
      <c r="AW45" s="17" t="str">
        <f>IFERROR(INDEX(逆引き作成用!$C$2:$C$169,MATCH($B45&amp;"/"&amp;$C45,逆引き作成用!AW$2:AW$169,FALSE),1),"")</f>
        <v/>
      </c>
      <c r="AX45" s="17" t="str">
        <f>IFERROR(INDEX(逆引き作成用!$C$2:$C$169,MATCH($B45&amp;"/"&amp;$C45,逆引き作成用!AX$2:AX$169,FALSE),1),"")</f>
        <v/>
      </c>
      <c r="AY45" s="17" t="str">
        <f>IFERROR(INDEX(逆引き作成用!$C$2:$C$169,MATCH($B45&amp;"/"&amp;$C45,逆引き作成用!AY$2:AY$169,FALSE),1),"")</f>
        <v/>
      </c>
      <c r="AZ45" s="17" t="str">
        <f>IFERROR(INDEX(逆引き作成用!$C$2:$C$169,MATCH($B45&amp;"/"&amp;$C45,逆引き作成用!AZ$2:AZ$169,FALSE),1),"")</f>
        <v/>
      </c>
      <c r="BA45" s="17" t="str">
        <f>IFERROR(INDEX(逆引き作成用!$C$2:$C$169,MATCH($B45&amp;"/"&amp;$C45,逆引き作成用!BA$2:BA$169,FALSE),1),"")</f>
        <v/>
      </c>
    </row>
    <row r="46" spans="1:53">
      <c r="A46" s="17" t="str">
        <f>IFERROR(INDEX(役職一覧!$B$2:$B$31,MATCH(B46,役職一覧!$C$2:$C$31,FALSE),1),"")</f>
        <v/>
      </c>
      <c r="B46" s="17" t="str">
        <f>IFERROR(IF(C46=1,INDEX(役職一覧!$C$2:$C$31,MATCH(逆引き!B45,役職一覧!$C$2:$C$31,FALSE)+1,1)&amp;"",B45),"")</f>
        <v/>
      </c>
      <c r="C46" s="17" t="str">
        <f>IFERROR(IF(VLOOKUP(B45,役職一覧!$C$2:$E$31,3,FALSE)=C45,1,C45+1),"")</f>
        <v/>
      </c>
      <c r="D46" s="17" t="str">
        <f>IFERROR(INDEX(逆引き作成用!$C$2:$C$169,MATCH($B46&amp;"/"&amp;$C46,逆引き作成用!D$2:D$169,FALSE),1),"")</f>
        <v/>
      </c>
      <c r="E46" s="17" t="str">
        <f>IFERROR(INDEX(逆引き作成用!$C$2:$C$169,MATCH($B46&amp;"/"&amp;$C46,逆引き作成用!E$2:E$169,FALSE),1),"")</f>
        <v/>
      </c>
      <c r="F46" s="17" t="str">
        <f>IFERROR(INDEX(逆引き作成用!$C$2:$C$169,MATCH($B46&amp;"/"&amp;$C46,逆引き作成用!F$2:F$169,FALSE),1),"")</f>
        <v/>
      </c>
      <c r="G46" s="17" t="str">
        <f>IFERROR(INDEX(逆引き作成用!$C$2:$C$169,MATCH($B46&amp;"/"&amp;$C46,逆引き作成用!G$2:G$169,FALSE),1),"")</f>
        <v/>
      </c>
      <c r="H46" s="17" t="str">
        <f>IFERROR(INDEX(逆引き作成用!$C$2:$C$169,MATCH($B46&amp;"/"&amp;$C46,逆引き作成用!H$2:H$169,FALSE),1),"")</f>
        <v/>
      </c>
      <c r="I46" s="17" t="str">
        <f>IFERROR(INDEX(逆引き作成用!$C$2:$C$169,MATCH($B46&amp;"/"&amp;$C46,逆引き作成用!I$2:I$169,FALSE),1),"")</f>
        <v/>
      </c>
      <c r="J46" s="17" t="str">
        <f>IFERROR(INDEX(逆引き作成用!$C$2:$C$169,MATCH($B46&amp;"/"&amp;$C46,逆引き作成用!J$2:J$169,FALSE),1),"")</f>
        <v/>
      </c>
      <c r="K46" s="17" t="str">
        <f>IFERROR(INDEX(逆引き作成用!$C$2:$C$169,MATCH($B46&amp;"/"&amp;$C46,逆引き作成用!K$2:K$169,FALSE),1),"")</f>
        <v/>
      </c>
      <c r="L46" s="17" t="str">
        <f>IFERROR(INDEX(逆引き作成用!$C$2:$C$169,MATCH($B46&amp;"/"&amp;$C46,逆引き作成用!L$2:L$169,FALSE),1),"")</f>
        <v/>
      </c>
      <c r="M46" s="17" t="str">
        <f>IFERROR(INDEX(逆引き作成用!$C$2:$C$169,MATCH($B46&amp;"/"&amp;$C46,逆引き作成用!M$2:M$169,FALSE),1),"")</f>
        <v/>
      </c>
      <c r="N46" s="17" t="str">
        <f>IFERROR(INDEX(逆引き作成用!$C$2:$C$169,MATCH($B46&amp;"/"&amp;$C46,逆引き作成用!N$2:N$169,FALSE),1),"")</f>
        <v/>
      </c>
      <c r="O46" s="17" t="str">
        <f>IFERROR(INDEX(逆引き作成用!$C$2:$C$169,MATCH($B46&amp;"/"&amp;$C46,逆引き作成用!O$2:O$169,FALSE),1),"")</f>
        <v/>
      </c>
      <c r="P46" s="17" t="str">
        <f>IFERROR(INDEX(逆引き作成用!$C$2:$C$169,MATCH($B46&amp;"/"&amp;$C46,逆引き作成用!P$2:P$169,FALSE),1),"")</f>
        <v/>
      </c>
      <c r="Q46" s="17" t="str">
        <f>IFERROR(INDEX(逆引き作成用!$C$2:$C$169,MATCH($B46&amp;"/"&amp;$C46,逆引き作成用!Q$2:Q$169,FALSE),1),"")</f>
        <v/>
      </c>
      <c r="R46" s="17" t="str">
        <f>IFERROR(INDEX(逆引き作成用!$C$2:$C$169,MATCH($B46&amp;"/"&amp;$C46,逆引き作成用!R$2:R$169,FALSE),1),"")</f>
        <v/>
      </c>
      <c r="S46" s="17" t="str">
        <f>IFERROR(INDEX(逆引き作成用!$C$2:$C$169,MATCH($B46&amp;"/"&amp;$C46,逆引き作成用!S$2:S$169,FALSE),1),"")</f>
        <v/>
      </c>
      <c r="T46" s="17" t="str">
        <f>IFERROR(INDEX(逆引き作成用!$C$2:$C$169,MATCH($B46&amp;"/"&amp;$C46,逆引き作成用!T$2:T$169,FALSE),1),"")</f>
        <v/>
      </c>
      <c r="U46" s="17" t="str">
        <f>IFERROR(INDEX(逆引き作成用!$C$2:$C$169,MATCH($B46&amp;"/"&amp;$C46,逆引き作成用!U$2:U$169,FALSE),1),"")</f>
        <v/>
      </c>
      <c r="V46" s="17" t="str">
        <f>IFERROR(INDEX(逆引き作成用!$C$2:$C$169,MATCH($B46&amp;"/"&amp;$C46,逆引き作成用!V$2:V$169,FALSE),1),"")</f>
        <v/>
      </c>
      <c r="W46" s="17" t="str">
        <f>IFERROR(INDEX(逆引き作成用!$C$2:$C$169,MATCH($B46&amp;"/"&amp;$C46,逆引き作成用!W$2:W$169,FALSE),1),"")</f>
        <v/>
      </c>
      <c r="X46" s="17" t="str">
        <f>IFERROR(INDEX(逆引き作成用!$C$2:$C$169,MATCH($B46&amp;"/"&amp;$C46,逆引き作成用!X$2:X$169,FALSE),1),"")</f>
        <v/>
      </c>
      <c r="Y46" s="17" t="str">
        <f>IFERROR(INDEX(逆引き作成用!$C$2:$C$169,MATCH($B46&amp;"/"&amp;$C46,逆引き作成用!Y$2:Y$169,FALSE),1),"")</f>
        <v/>
      </c>
      <c r="Z46" s="17" t="str">
        <f>IFERROR(INDEX(逆引き作成用!$C$2:$C$169,MATCH($B46&amp;"/"&amp;$C46,逆引き作成用!Z$2:Z$169,FALSE),1),"")</f>
        <v/>
      </c>
      <c r="AA46" s="17" t="str">
        <f>IFERROR(INDEX(逆引き作成用!$C$2:$C$169,MATCH($B46&amp;"/"&amp;$C46,逆引き作成用!AA$2:AA$169,FALSE),1),"")</f>
        <v/>
      </c>
      <c r="AB46" s="17" t="str">
        <f>IFERROR(INDEX(逆引き作成用!$C$2:$C$169,MATCH($B46&amp;"/"&amp;$C46,逆引き作成用!AB$2:AB$169,FALSE),1),"")</f>
        <v/>
      </c>
      <c r="AC46" s="17" t="str">
        <f>IFERROR(INDEX(逆引き作成用!$C$2:$C$169,MATCH($B46&amp;"/"&amp;$C46,逆引き作成用!AC$2:AC$169,FALSE),1),"")</f>
        <v/>
      </c>
      <c r="AD46" s="17" t="str">
        <f>IFERROR(INDEX(逆引き作成用!$C$2:$C$169,MATCH($B46&amp;"/"&amp;$C46,逆引き作成用!AD$2:AD$169,FALSE),1),"")</f>
        <v/>
      </c>
      <c r="AE46" s="17" t="str">
        <f>IFERROR(INDEX(逆引き作成用!$C$2:$C$169,MATCH($B46&amp;"/"&amp;$C46,逆引き作成用!AE$2:AE$169,FALSE),1),"")</f>
        <v/>
      </c>
      <c r="AF46" s="17" t="str">
        <f>IFERROR(INDEX(逆引き作成用!$C$2:$C$169,MATCH($B46&amp;"/"&amp;$C46,逆引き作成用!AF$2:AF$169,FALSE),1),"")</f>
        <v/>
      </c>
      <c r="AG46" s="17" t="str">
        <f>IFERROR(INDEX(逆引き作成用!$C$2:$C$169,MATCH($B46&amp;"/"&amp;$C46,逆引き作成用!AG$2:AG$169,FALSE),1),"")</f>
        <v/>
      </c>
      <c r="AH46" s="17" t="str">
        <f>IFERROR(INDEX(逆引き作成用!$C$2:$C$169,MATCH($B46&amp;"/"&amp;$C46,逆引き作成用!AH$2:AH$169,FALSE),1),"")</f>
        <v/>
      </c>
      <c r="AI46" s="17" t="str">
        <f>IFERROR(INDEX(逆引き作成用!$C$2:$C$169,MATCH($B46&amp;"/"&amp;$C46,逆引き作成用!AI$2:AI$169,FALSE),1),"")</f>
        <v/>
      </c>
      <c r="AJ46" s="17" t="str">
        <f>IFERROR(INDEX(逆引き作成用!$C$2:$C$169,MATCH($B46&amp;"/"&amp;$C46,逆引き作成用!AJ$2:AJ$169,FALSE),1),"")</f>
        <v/>
      </c>
      <c r="AK46" s="17" t="str">
        <f>IFERROR(INDEX(逆引き作成用!$C$2:$C$169,MATCH($B46&amp;"/"&amp;$C46,逆引き作成用!AK$2:AK$169,FALSE),1),"")</f>
        <v/>
      </c>
      <c r="AL46" s="17" t="str">
        <f>IFERROR(INDEX(逆引き作成用!$C$2:$C$169,MATCH($B46&amp;"/"&amp;$C46,逆引き作成用!AL$2:AL$169,FALSE),1),"")</f>
        <v/>
      </c>
      <c r="AM46" s="17" t="str">
        <f>IFERROR(INDEX(逆引き作成用!$C$2:$C$169,MATCH($B46&amp;"/"&amp;$C46,逆引き作成用!AM$2:AM$169,FALSE),1),"")</f>
        <v/>
      </c>
      <c r="AN46" s="17" t="str">
        <f>IFERROR(INDEX(逆引き作成用!$C$2:$C$169,MATCH($B46&amp;"/"&amp;$C46,逆引き作成用!AN$2:AN$169,FALSE),1),"")</f>
        <v/>
      </c>
      <c r="AO46" s="17" t="str">
        <f>IFERROR(INDEX(逆引き作成用!$C$2:$C$169,MATCH($B46&amp;"/"&amp;$C46,逆引き作成用!AO$2:AO$169,FALSE),1),"")</f>
        <v/>
      </c>
      <c r="AP46" s="17" t="str">
        <f>IFERROR(INDEX(逆引き作成用!$C$2:$C$169,MATCH($B46&amp;"/"&amp;$C46,逆引き作成用!AP$2:AP$169,FALSE),1),"")</f>
        <v/>
      </c>
      <c r="AQ46" s="17" t="str">
        <f>IFERROR(INDEX(逆引き作成用!$C$2:$C$169,MATCH($B46&amp;"/"&amp;$C46,逆引き作成用!AQ$2:AQ$169,FALSE),1),"")</f>
        <v/>
      </c>
      <c r="AR46" s="17" t="str">
        <f>IFERROR(INDEX(逆引き作成用!$C$2:$C$169,MATCH($B46&amp;"/"&amp;$C46,逆引き作成用!AR$2:AR$169,FALSE),1),"")</f>
        <v/>
      </c>
      <c r="AS46" s="17" t="str">
        <f>IFERROR(INDEX(逆引き作成用!$C$2:$C$169,MATCH($B46&amp;"/"&amp;$C46,逆引き作成用!AS$2:AS$169,FALSE),1),"")</f>
        <v/>
      </c>
      <c r="AT46" s="17" t="str">
        <f>IFERROR(INDEX(逆引き作成用!$C$2:$C$169,MATCH($B46&amp;"/"&amp;$C46,逆引き作成用!AT$2:AT$169,FALSE),1),"")</f>
        <v/>
      </c>
      <c r="AU46" s="17" t="str">
        <f>IFERROR(INDEX(逆引き作成用!$C$2:$C$169,MATCH($B46&amp;"/"&amp;$C46,逆引き作成用!AU$2:AU$169,FALSE),1),"")</f>
        <v/>
      </c>
      <c r="AV46" s="17" t="str">
        <f>IFERROR(INDEX(逆引き作成用!$C$2:$C$169,MATCH($B46&amp;"/"&amp;$C46,逆引き作成用!AV$2:AV$169,FALSE),1),"")</f>
        <v/>
      </c>
      <c r="AW46" s="17" t="str">
        <f>IFERROR(INDEX(逆引き作成用!$C$2:$C$169,MATCH($B46&amp;"/"&amp;$C46,逆引き作成用!AW$2:AW$169,FALSE),1),"")</f>
        <v/>
      </c>
      <c r="AX46" s="17" t="str">
        <f>IFERROR(INDEX(逆引き作成用!$C$2:$C$169,MATCH($B46&amp;"/"&amp;$C46,逆引き作成用!AX$2:AX$169,FALSE),1),"")</f>
        <v/>
      </c>
      <c r="AY46" s="17" t="str">
        <f>IFERROR(INDEX(逆引き作成用!$C$2:$C$169,MATCH($B46&amp;"/"&amp;$C46,逆引き作成用!AY$2:AY$169,FALSE),1),"")</f>
        <v/>
      </c>
      <c r="AZ46" s="17" t="str">
        <f>IFERROR(INDEX(逆引き作成用!$C$2:$C$169,MATCH($B46&amp;"/"&amp;$C46,逆引き作成用!AZ$2:AZ$169,FALSE),1),"")</f>
        <v/>
      </c>
      <c r="BA46" s="17" t="str">
        <f>IFERROR(INDEX(逆引き作成用!$C$2:$C$169,MATCH($B46&amp;"/"&amp;$C46,逆引き作成用!BA$2:BA$169,FALSE),1),"")</f>
        <v/>
      </c>
    </row>
    <row r="47" spans="1:53">
      <c r="A47" s="17" t="str">
        <f>IFERROR(INDEX(役職一覧!$B$2:$B$31,MATCH(B47,役職一覧!$C$2:$C$31,FALSE),1),"")</f>
        <v/>
      </c>
      <c r="B47" s="17" t="str">
        <f>IFERROR(IF(C47=1,INDEX(役職一覧!$C$2:$C$31,MATCH(逆引き!B46,役職一覧!$C$2:$C$31,FALSE)+1,1)&amp;"",B46),"")</f>
        <v/>
      </c>
      <c r="C47" s="17" t="str">
        <f>IFERROR(IF(VLOOKUP(B46,役職一覧!$C$2:$E$31,3,FALSE)=C46,1,C46+1),"")</f>
        <v/>
      </c>
      <c r="D47" s="17" t="str">
        <f>IFERROR(INDEX(逆引き作成用!$C$2:$C$169,MATCH($B47&amp;"/"&amp;$C47,逆引き作成用!D$2:D$169,FALSE),1),"")</f>
        <v/>
      </c>
      <c r="E47" s="17" t="str">
        <f>IFERROR(INDEX(逆引き作成用!$C$2:$C$169,MATCH($B47&amp;"/"&amp;$C47,逆引き作成用!E$2:E$169,FALSE),1),"")</f>
        <v/>
      </c>
      <c r="F47" s="17" t="str">
        <f>IFERROR(INDEX(逆引き作成用!$C$2:$C$169,MATCH($B47&amp;"/"&amp;$C47,逆引き作成用!F$2:F$169,FALSE),1),"")</f>
        <v/>
      </c>
      <c r="G47" s="17" t="str">
        <f>IFERROR(INDEX(逆引き作成用!$C$2:$C$169,MATCH($B47&amp;"/"&amp;$C47,逆引き作成用!G$2:G$169,FALSE),1),"")</f>
        <v/>
      </c>
      <c r="H47" s="17" t="str">
        <f>IFERROR(INDEX(逆引き作成用!$C$2:$C$169,MATCH($B47&amp;"/"&amp;$C47,逆引き作成用!H$2:H$169,FALSE),1),"")</f>
        <v/>
      </c>
      <c r="I47" s="17" t="str">
        <f>IFERROR(INDEX(逆引き作成用!$C$2:$C$169,MATCH($B47&amp;"/"&amp;$C47,逆引き作成用!I$2:I$169,FALSE),1),"")</f>
        <v/>
      </c>
      <c r="J47" s="17" t="str">
        <f>IFERROR(INDEX(逆引き作成用!$C$2:$C$169,MATCH($B47&amp;"/"&amp;$C47,逆引き作成用!J$2:J$169,FALSE),1),"")</f>
        <v/>
      </c>
      <c r="K47" s="17" t="str">
        <f>IFERROR(INDEX(逆引き作成用!$C$2:$C$169,MATCH($B47&amp;"/"&amp;$C47,逆引き作成用!K$2:K$169,FALSE),1),"")</f>
        <v/>
      </c>
      <c r="L47" s="17" t="str">
        <f>IFERROR(INDEX(逆引き作成用!$C$2:$C$169,MATCH($B47&amp;"/"&amp;$C47,逆引き作成用!L$2:L$169,FALSE),1),"")</f>
        <v/>
      </c>
      <c r="M47" s="17" t="str">
        <f>IFERROR(INDEX(逆引き作成用!$C$2:$C$169,MATCH($B47&amp;"/"&amp;$C47,逆引き作成用!M$2:M$169,FALSE),1),"")</f>
        <v/>
      </c>
      <c r="N47" s="17" t="str">
        <f>IFERROR(INDEX(逆引き作成用!$C$2:$C$169,MATCH($B47&amp;"/"&amp;$C47,逆引き作成用!N$2:N$169,FALSE),1),"")</f>
        <v/>
      </c>
      <c r="O47" s="17" t="str">
        <f>IFERROR(INDEX(逆引き作成用!$C$2:$C$169,MATCH($B47&amp;"/"&amp;$C47,逆引き作成用!O$2:O$169,FALSE),1),"")</f>
        <v/>
      </c>
      <c r="P47" s="17" t="str">
        <f>IFERROR(INDEX(逆引き作成用!$C$2:$C$169,MATCH($B47&amp;"/"&amp;$C47,逆引き作成用!P$2:P$169,FALSE),1),"")</f>
        <v/>
      </c>
      <c r="Q47" s="17" t="str">
        <f>IFERROR(INDEX(逆引き作成用!$C$2:$C$169,MATCH($B47&amp;"/"&amp;$C47,逆引き作成用!Q$2:Q$169,FALSE),1),"")</f>
        <v/>
      </c>
      <c r="R47" s="17" t="str">
        <f>IFERROR(INDEX(逆引き作成用!$C$2:$C$169,MATCH($B47&amp;"/"&amp;$C47,逆引き作成用!R$2:R$169,FALSE),1),"")</f>
        <v/>
      </c>
      <c r="S47" s="17" t="str">
        <f>IFERROR(INDEX(逆引き作成用!$C$2:$C$169,MATCH($B47&amp;"/"&amp;$C47,逆引き作成用!S$2:S$169,FALSE),1),"")</f>
        <v/>
      </c>
      <c r="T47" s="17" t="str">
        <f>IFERROR(INDEX(逆引き作成用!$C$2:$C$169,MATCH($B47&amp;"/"&amp;$C47,逆引き作成用!T$2:T$169,FALSE),1),"")</f>
        <v/>
      </c>
      <c r="U47" s="17" t="str">
        <f>IFERROR(INDEX(逆引き作成用!$C$2:$C$169,MATCH($B47&amp;"/"&amp;$C47,逆引き作成用!U$2:U$169,FALSE),1),"")</f>
        <v/>
      </c>
      <c r="V47" s="17" t="str">
        <f>IFERROR(INDEX(逆引き作成用!$C$2:$C$169,MATCH($B47&amp;"/"&amp;$C47,逆引き作成用!V$2:V$169,FALSE),1),"")</f>
        <v/>
      </c>
      <c r="W47" s="17" t="str">
        <f>IFERROR(INDEX(逆引き作成用!$C$2:$C$169,MATCH($B47&amp;"/"&amp;$C47,逆引き作成用!W$2:W$169,FALSE),1),"")</f>
        <v/>
      </c>
      <c r="X47" s="17" t="str">
        <f>IFERROR(INDEX(逆引き作成用!$C$2:$C$169,MATCH($B47&amp;"/"&amp;$C47,逆引き作成用!X$2:X$169,FALSE),1),"")</f>
        <v/>
      </c>
      <c r="Y47" s="17" t="str">
        <f>IFERROR(INDEX(逆引き作成用!$C$2:$C$169,MATCH($B47&amp;"/"&amp;$C47,逆引き作成用!Y$2:Y$169,FALSE),1),"")</f>
        <v/>
      </c>
      <c r="Z47" s="17" t="str">
        <f>IFERROR(INDEX(逆引き作成用!$C$2:$C$169,MATCH($B47&amp;"/"&amp;$C47,逆引き作成用!Z$2:Z$169,FALSE),1),"")</f>
        <v/>
      </c>
      <c r="AA47" s="17" t="str">
        <f>IFERROR(INDEX(逆引き作成用!$C$2:$C$169,MATCH($B47&amp;"/"&amp;$C47,逆引き作成用!AA$2:AA$169,FALSE),1),"")</f>
        <v/>
      </c>
      <c r="AB47" s="17" t="str">
        <f>IFERROR(INDEX(逆引き作成用!$C$2:$C$169,MATCH($B47&amp;"/"&amp;$C47,逆引き作成用!AB$2:AB$169,FALSE),1),"")</f>
        <v/>
      </c>
      <c r="AC47" s="17" t="str">
        <f>IFERROR(INDEX(逆引き作成用!$C$2:$C$169,MATCH($B47&amp;"/"&amp;$C47,逆引き作成用!AC$2:AC$169,FALSE),1),"")</f>
        <v/>
      </c>
      <c r="AD47" s="17" t="str">
        <f>IFERROR(INDEX(逆引き作成用!$C$2:$C$169,MATCH($B47&amp;"/"&amp;$C47,逆引き作成用!AD$2:AD$169,FALSE),1),"")</f>
        <v/>
      </c>
      <c r="AE47" s="17" t="str">
        <f>IFERROR(INDEX(逆引き作成用!$C$2:$C$169,MATCH($B47&amp;"/"&amp;$C47,逆引き作成用!AE$2:AE$169,FALSE),1),"")</f>
        <v/>
      </c>
      <c r="AF47" s="17" t="str">
        <f>IFERROR(INDEX(逆引き作成用!$C$2:$C$169,MATCH($B47&amp;"/"&amp;$C47,逆引き作成用!AF$2:AF$169,FALSE),1),"")</f>
        <v/>
      </c>
      <c r="AG47" s="17" t="str">
        <f>IFERROR(INDEX(逆引き作成用!$C$2:$C$169,MATCH($B47&amp;"/"&amp;$C47,逆引き作成用!AG$2:AG$169,FALSE),1),"")</f>
        <v/>
      </c>
      <c r="AH47" s="17" t="str">
        <f>IFERROR(INDEX(逆引き作成用!$C$2:$C$169,MATCH($B47&amp;"/"&amp;$C47,逆引き作成用!AH$2:AH$169,FALSE),1),"")</f>
        <v/>
      </c>
      <c r="AI47" s="17" t="str">
        <f>IFERROR(INDEX(逆引き作成用!$C$2:$C$169,MATCH($B47&amp;"/"&amp;$C47,逆引き作成用!AI$2:AI$169,FALSE),1),"")</f>
        <v/>
      </c>
      <c r="AJ47" s="17" t="str">
        <f>IFERROR(INDEX(逆引き作成用!$C$2:$C$169,MATCH($B47&amp;"/"&amp;$C47,逆引き作成用!AJ$2:AJ$169,FALSE),1),"")</f>
        <v/>
      </c>
      <c r="AK47" s="17" t="str">
        <f>IFERROR(INDEX(逆引き作成用!$C$2:$C$169,MATCH($B47&amp;"/"&amp;$C47,逆引き作成用!AK$2:AK$169,FALSE),1),"")</f>
        <v/>
      </c>
      <c r="AL47" s="17" t="str">
        <f>IFERROR(INDEX(逆引き作成用!$C$2:$C$169,MATCH($B47&amp;"/"&amp;$C47,逆引き作成用!AL$2:AL$169,FALSE),1),"")</f>
        <v/>
      </c>
      <c r="AM47" s="17" t="str">
        <f>IFERROR(INDEX(逆引き作成用!$C$2:$C$169,MATCH($B47&amp;"/"&amp;$C47,逆引き作成用!AM$2:AM$169,FALSE),1),"")</f>
        <v/>
      </c>
      <c r="AN47" s="17" t="str">
        <f>IFERROR(INDEX(逆引き作成用!$C$2:$C$169,MATCH($B47&amp;"/"&amp;$C47,逆引き作成用!AN$2:AN$169,FALSE),1),"")</f>
        <v/>
      </c>
      <c r="AO47" s="17" t="str">
        <f>IFERROR(INDEX(逆引き作成用!$C$2:$C$169,MATCH($B47&amp;"/"&amp;$C47,逆引き作成用!AO$2:AO$169,FALSE),1),"")</f>
        <v/>
      </c>
      <c r="AP47" s="17" t="str">
        <f>IFERROR(INDEX(逆引き作成用!$C$2:$C$169,MATCH($B47&amp;"/"&amp;$C47,逆引き作成用!AP$2:AP$169,FALSE),1),"")</f>
        <v/>
      </c>
      <c r="AQ47" s="17" t="str">
        <f>IFERROR(INDEX(逆引き作成用!$C$2:$C$169,MATCH($B47&amp;"/"&amp;$C47,逆引き作成用!AQ$2:AQ$169,FALSE),1),"")</f>
        <v/>
      </c>
      <c r="AR47" s="17" t="str">
        <f>IFERROR(INDEX(逆引き作成用!$C$2:$C$169,MATCH($B47&amp;"/"&amp;$C47,逆引き作成用!AR$2:AR$169,FALSE),1),"")</f>
        <v/>
      </c>
      <c r="AS47" s="17" t="str">
        <f>IFERROR(INDEX(逆引き作成用!$C$2:$C$169,MATCH($B47&amp;"/"&amp;$C47,逆引き作成用!AS$2:AS$169,FALSE),1),"")</f>
        <v/>
      </c>
      <c r="AT47" s="17" t="str">
        <f>IFERROR(INDEX(逆引き作成用!$C$2:$C$169,MATCH($B47&amp;"/"&amp;$C47,逆引き作成用!AT$2:AT$169,FALSE),1),"")</f>
        <v/>
      </c>
      <c r="AU47" s="17" t="str">
        <f>IFERROR(INDEX(逆引き作成用!$C$2:$C$169,MATCH($B47&amp;"/"&amp;$C47,逆引き作成用!AU$2:AU$169,FALSE),1),"")</f>
        <v/>
      </c>
      <c r="AV47" s="17" t="str">
        <f>IFERROR(INDEX(逆引き作成用!$C$2:$C$169,MATCH($B47&amp;"/"&amp;$C47,逆引き作成用!AV$2:AV$169,FALSE),1),"")</f>
        <v/>
      </c>
      <c r="AW47" s="17" t="str">
        <f>IFERROR(INDEX(逆引き作成用!$C$2:$C$169,MATCH($B47&amp;"/"&amp;$C47,逆引き作成用!AW$2:AW$169,FALSE),1),"")</f>
        <v/>
      </c>
      <c r="AX47" s="17" t="str">
        <f>IFERROR(INDEX(逆引き作成用!$C$2:$C$169,MATCH($B47&amp;"/"&amp;$C47,逆引き作成用!AX$2:AX$169,FALSE),1),"")</f>
        <v/>
      </c>
      <c r="AY47" s="17" t="str">
        <f>IFERROR(INDEX(逆引き作成用!$C$2:$C$169,MATCH($B47&amp;"/"&amp;$C47,逆引き作成用!AY$2:AY$169,FALSE),1),"")</f>
        <v/>
      </c>
      <c r="AZ47" s="17" t="str">
        <f>IFERROR(INDEX(逆引き作成用!$C$2:$C$169,MATCH($B47&amp;"/"&amp;$C47,逆引き作成用!AZ$2:AZ$169,FALSE),1),"")</f>
        <v/>
      </c>
      <c r="BA47" s="17" t="str">
        <f>IFERROR(INDEX(逆引き作成用!$C$2:$C$169,MATCH($B47&amp;"/"&amp;$C47,逆引き作成用!BA$2:BA$169,FALSE),1),"")</f>
        <v/>
      </c>
    </row>
    <row r="48" spans="1:53">
      <c r="A48" s="17" t="str">
        <f>IFERROR(INDEX(役職一覧!$B$2:$B$31,MATCH(B48,役職一覧!$C$2:$C$31,FALSE),1),"")</f>
        <v/>
      </c>
      <c r="B48" s="17" t="str">
        <f>IFERROR(IF(C48=1,INDEX(役職一覧!$C$2:$C$31,MATCH(逆引き!B47,役職一覧!$C$2:$C$31,FALSE)+1,1)&amp;"",B47),"")</f>
        <v/>
      </c>
      <c r="C48" s="17" t="str">
        <f>IFERROR(IF(VLOOKUP(B47,役職一覧!$C$2:$E$31,3,FALSE)=C47,1,C47+1),"")</f>
        <v/>
      </c>
      <c r="D48" s="17" t="str">
        <f>IFERROR(INDEX(逆引き作成用!$C$2:$C$169,MATCH($B48&amp;"/"&amp;$C48,逆引き作成用!D$2:D$169,FALSE),1),"")</f>
        <v/>
      </c>
      <c r="E48" s="17" t="str">
        <f>IFERROR(INDEX(逆引き作成用!$C$2:$C$169,MATCH($B48&amp;"/"&amp;$C48,逆引き作成用!E$2:E$169,FALSE),1),"")</f>
        <v/>
      </c>
      <c r="F48" s="17" t="str">
        <f>IFERROR(INDEX(逆引き作成用!$C$2:$C$169,MATCH($B48&amp;"/"&amp;$C48,逆引き作成用!F$2:F$169,FALSE),1),"")</f>
        <v/>
      </c>
      <c r="G48" s="17" t="str">
        <f>IFERROR(INDEX(逆引き作成用!$C$2:$C$169,MATCH($B48&amp;"/"&amp;$C48,逆引き作成用!G$2:G$169,FALSE),1),"")</f>
        <v/>
      </c>
      <c r="H48" s="17" t="str">
        <f>IFERROR(INDEX(逆引き作成用!$C$2:$C$169,MATCH($B48&amp;"/"&amp;$C48,逆引き作成用!H$2:H$169,FALSE),1),"")</f>
        <v/>
      </c>
      <c r="I48" s="17" t="str">
        <f>IFERROR(INDEX(逆引き作成用!$C$2:$C$169,MATCH($B48&amp;"/"&amp;$C48,逆引き作成用!I$2:I$169,FALSE),1),"")</f>
        <v/>
      </c>
      <c r="J48" s="17" t="str">
        <f>IFERROR(INDEX(逆引き作成用!$C$2:$C$169,MATCH($B48&amp;"/"&amp;$C48,逆引き作成用!J$2:J$169,FALSE),1),"")</f>
        <v/>
      </c>
      <c r="K48" s="17" t="str">
        <f>IFERROR(INDEX(逆引き作成用!$C$2:$C$169,MATCH($B48&amp;"/"&amp;$C48,逆引き作成用!K$2:K$169,FALSE),1),"")</f>
        <v/>
      </c>
      <c r="L48" s="17" t="str">
        <f>IFERROR(INDEX(逆引き作成用!$C$2:$C$169,MATCH($B48&amp;"/"&amp;$C48,逆引き作成用!L$2:L$169,FALSE),1),"")</f>
        <v/>
      </c>
      <c r="M48" s="17" t="str">
        <f>IFERROR(INDEX(逆引き作成用!$C$2:$C$169,MATCH($B48&amp;"/"&amp;$C48,逆引き作成用!M$2:M$169,FALSE),1),"")</f>
        <v/>
      </c>
      <c r="N48" s="17" t="str">
        <f>IFERROR(INDEX(逆引き作成用!$C$2:$C$169,MATCH($B48&amp;"/"&amp;$C48,逆引き作成用!N$2:N$169,FALSE),1),"")</f>
        <v/>
      </c>
      <c r="O48" s="17" t="str">
        <f>IFERROR(INDEX(逆引き作成用!$C$2:$C$169,MATCH($B48&amp;"/"&amp;$C48,逆引き作成用!O$2:O$169,FALSE),1),"")</f>
        <v/>
      </c>
      <c r="P48" s="17" t="str">
        <f>IFERROR(INDEX(逆引き作成用!$C$2:$C$169,MATCH($B48&amp;"/"&amp;$C48,逆引き作成用!P$2:P$169,FALSE),1),"")</f>
        <v/>
      </c>
      <c r="Q48" s="17" t="str">
        <f>IFERROR(INDEX(逆引き作成用!$C$2:$C$169,MATCH($B48&amp;"/"&amp;$C48,逆引き作成用!Q$2:Q$169,FALSE),1),"")</f>
        <v/>
      </c>
      <c r="R48" s="17" t="str">
        <f>IFERROR(INDEX(逆引き作成用!$C$2:$C$169,MATCH($B48&amp;"/"&amp;$C48,逆引き作成用!R$2:R$169,FALSE),1),"")</f>
        <v/>
      </c>
      <c r="S48" s="17" t="str">
        <f>IFERROR(INDEX(逆引き作成用!$C$2:$C$169,MATCH($B48&amp;"/"&amp;$C48,逆引き作成用!S$2:S$169,FALSE),1),"")</f>
        <v/>
      </c>
      <c r="T48" s="17" t="str">
        <f>IFERROR(INDEX(逆引き作成用!$C$2:$C$169,MATCH($B48&amp;"/"&amp;$C48,逆引き作成用!T$2:T$169,FALSE),1),"")</f>
        <v/>
      </c>
      <c r="U48" s="17" t="str">
        <f>IFERROR(INDEX(逆引き作成用!$C$2:$C$169,MATCH($B48&amp;"/"&amp;$C48,逆引き作成用!U$2:U$169,FALSE),1),"")</f>
        <v/>
      </c>
      <c r="V48" s="17" t="str">
        <f>IFERROR(INDEX(逆引き作成用!$C$2:$C$169,MATCH($B48&amp;"/"&amp;$C48,逆引き作成用!V$2:V$169,FALSE),1),"")</f>
        <v/>
      </c>
      <c r="W48" s="17" t="str">
        <f>IFERROR(INDEX(逆引き作成用!$C$2:$C$169,MATCH($B48&amp;"/"&amp;$C48,逆引き作成用!W$2:W$169,FALSE),1),"")</f>
        <v/>
      </c>
      <c r="X48" s="17" t="str">
        <f>IFERROR(INDEX(逆引き作成用!$C$2:$C$169,MATCH($B48&amp;"/"&amp;$C48,逆引き作成用!X$2:X$169,FALSE),1),"")</f>
        <v/>
      </c>
      <c r="Y48" s="17" t="str">
        <f>IFERROR(INDEX(逆引き作成用!$C$2:$C$169,MATCH($B48&amp;"/"&amp;$C48,逆引き作成用!Y$2:Y$169,FALSE),1),"")</f>
        <v/>
      </c>
      <c r="Z48" s="17" t="str">
        <f>IFERROR(INDEX(逆引き作成用!$C$2:$C$169,MATCH($B48&amp;"/"&amp;$C48,逆引き作成用!Z$2:Z$169,FALSE),1),"")</f>
        <v/>
      </c>
      <c r="AA48" s="17" t="str">
        <f>IFERROR(INDEX(逆引き作成用!$C$2:$C$169,MATCH($B48&amp;"/"&amp;$C48,逆引き作成用!AA$2:AA$169,FALSE),1),"")</f>
        <v/>
      </c>
      <c r="AB48" s="17" t="str">
        <f>IFERROR(INDEX(逆引き作成用!$C$2:$C$169,MATCH($B48&amp;"/"&amp;$C48,逆引き作成用!AB$2:AB$169,FALSE),1),"")</f>
        <v/>
      </c>
      <c r="AC48" s="17" t="str">
        <f>IFERROR(INDEX(逆引き作成用!$C$2:$C$169,MATCH($B48&amp;"/"&amp;$C48,逆引き作成用!AC$2:AC$169,FALSE),1),"")</f>
        <v/>
      </c>
      <c r="AD48" s="17" t="str">
        <f>IFERROR(INDEX(逆引き作成用!$C$2:$C$169,MATCH($B48&amp;"/"&amp;$C48,逆引き作成用!AD$2:AD$169,FALSE),1),"")</f>
        <v/>
      </c>
      <c r="AE48" s="17" t="str">
        <f>IFERROR(INDEX(逆引き作成用!$C$2:$C$169,MATCH($B48&amp;"/"&amp;$C48,逆引き作成用!AE$2:AE$169,FALSE),1),"")</f>
        <v/>
      </c>
      <c r="AF48" s="17" t="str">
        <f>IFERROR(INDEX(逆引き作成用!$C$2:$C$169,MATCH($B48&amp;"/"&amp;$C48,逆引き作成用!AF$2:AF$169,FALSE),1),"")</f>
        <v/>
      </c>
      <c r="AG48" s="17" t="str">
        <f>IFERROR(INDEX(逆引き作成用!$C$2:$C$169,MATCH($B48&amp;"/"&amp;$C48,逆引き作成用!AG$2:AG$169,FALSE),1),"")</f>
        <v/>
      </c>
      <c r="AH48" s="17" t="str">
        <f>IFERROR(INDEX(逆引き作成用!$C$2:$C$169,MATCH($B48&amp;"/"&amp;$C48,逆引き作成用!AH$2:AH$169,FALSE),1),"")</f>
        <v/>
      </c>
      <c r="AI48" s="17" t="str">
        <f>IFERROR(INDEX(逆引き作成用!$C$2:$C$169,MATCH($B48&amp;"/"&amp;$C48,逆引き作成用!AI$2:AI$169,FALSE),1),"")</f>
        <v/>
      </c>
      <c r="AJ48" s="17" t="str">
        <f>IFERROR(INDEX(逆引き作成用!$C$2:$C$169,MATCH($B48&amp;"/"&amp;$C48,逆引き作成用!AJ$2:AJ$169,FALSE),1),"")</f>
        <v/>
      </c>
      <c r="AK48" s="17" t="str">
        <f>IFERROR(INDEX(逆引き作成用!$C$2:$C$169,MATCH($B48&amp;"/"&amp;$C48,逆引き作成用!AK$2:AK$169,FALSE),1),"")</f>
        <v/>
      </c>
      <c r="AL48" s="17" t="str">
        <f>IFERROR(INDEX(逆引き作成用!$C$2:$C$169,MATCH($B48&amp;"/"&amp;$C48,逆引き作成用!AL$2:AL$169,FALSE),1),"")</f>
        <v/>
      </c>
      <c r="AM48" s="17" t="str">
        <f>IFERROR(INDEX(逆引き作成用!$C$2:$C$169,MATCH($B48&amp;"/"&amp;$C48,逆引き作成用!AM$2:AM$169,FALSE),1),"")</f>
        <v/>
      </c>
      <c r="AN48" s="17" t="str">
        <f>IFERROR(INDEX(逆引き作成用!$C$2:$C$169,MATCH($B48&amp;"/"&amp;$C48,逆引き作成用!AN$2:AN$169,FALSE),1),"")</f>
        <v/>
      </c>
      <c r="AO48" s="17" t="str">
        <f>IFERROR(INDEX(逆引き作成用!$C$2:$C$169,MATCH($B48&amp;"/"&amp;$C48,逆引き作成用!AO$2:AO$169,FALSE),1),"")</f>
        <v/>
      </c>
      <c r="AP48" s="17" t="str">
        <f>IFERROR(INDEX(逆引き作成用!$C$2:$C$169,MATCH($B48&amp;"/"&amp;$C48,逆引き作成用!AP$2:AP$169,FALSE),1),"")</f>
        <v/>
      </c>
      <c r="AQ48" s="17" t="str">
        <f>IFERROR(INDEX(逆引き作成用!$C$2:$C$169,MATCH($B48&amp;"/"&amp;$C48,逆引き作成用!AQ$2:AQ$169,FALSE),1),"")</f>
        <v/>
      </c>
      <c r="AR48" s="17" t="str">
        <f>IFERROR(INDEX(逆引き作成用!$C$2:$C$169,MATCH($B48&amp;"/"&amp;$C48,逆引き作成用!AR$2:AR$169,FALSE),1),"")</f>
        <v/>
      </c>
      <c r="AS48" s="17" t="str">
        <f>IFERROR(INDEX(逆引き作成用!$C$2:$C$169,MATCH($B48&amp;"/"&amp;$C48,逆引き作成用!AS$2:AS$169,FALSE),1),"")</f>
        <v/>
      </c>
      <c r="AT48" s="17" t="str">
        <f>IFERROR(INDEX(逆引き作成用!$C$2:$C$169,MATCH($B48&amp;"/"&amp;$C48,逆引き作成用!AT$2:AT$169,FALSE),1),"")</f>
        <v/>
      </c>
      <c r="AU48" s="17" t="str">
        <f>IFERROR(INDEX(逆引き作成用!$C$2:$C$169,MATCH($B48&amp;"/"&amp;$C48,逆引き作成用!AU$2:AU$169,FALSE),1),"")</f>
        <v/>
      </c>
      <c r="AV48" s="17" t="str">
        <f>IFERROR(INDEX(逆引き作成用!$C$2:$C$169,MATCH($B48&amp;"/"&amp;$C48,逆引き作成用!AV$2:AV$169,FALSE),1),"")</f>
        <v/>
      </c>
      <c r="AW48" s="17" t="str">
        <f>IFERROR(INDEX(逆引き作成用!$C$2:$C$169,MATCH($B48&amp;"/"&amp;$C48,逆引き作成用!AW$2:AW$169,FALSE),1),"")</f>
        <v/>
      </c>
      <c r="AX48" s="17" t="str">
        <f>IFERROR(INDEX(逆引き作成用!$C$2:$C$169,MATCH($B48&amp;"/"&amp;$C48,逆引き作成用!AX$2:AX$169,FALSE),1),"")</f>
        <v/>
      </c>
      <c r="AY48" s="17" t="str">
        <f>IFERROR(INDEX(逆引き作成用!$C$2:$C$169,MATCH($B48&amp;"/"&amp;$C48,逆引き作成用!AY$2:AY$169,FALSE),1),"")</f>
        <v/>
      </c>
      <c r="AZ48" s="17" t="str">
        <f>IFERROR(INDEX(逆引き作成用!$C$2:$C$169,MATCH($B48&amp;"/"&amp;$C48,逆引き作成用!AZ$2:AZ$169,FALSE),1),"")</f>
        <v/>
      </c>
      <c r="BA48" s="17" t="str">
        <f>IFERROR(INDEX(逆引き作成用!$C$2:$C$169,MATCH($B48&amp;"/"&amp;$C48,逆引き作成用!BA$2:BA$169,FALSE),1),"")</f>
        <v/>
      </c>
    </row>
    <row r="49" spans="1:53">
      <c r="A49" s="17" t="str">
        <f>IFERROR(INDEX(役職一覧!$B$2:$B$31,MATCH(B49,役職一覧!$C$2:$C$31,FALSE),1),"")</f>
        <v/>
      </c>
      <c r="B49" s="17" t="str">
        <f>IFERROR(IF(C49=1,INDEX(役職一覧!$C$2:$C$31,MATCH(逆引き!B48,役職一覧!$C$2:$C$31,FALSE)+1,1)&amp;"",B48),"")</f>
        <v/>
      </c>
      <c r="C49" s="17" t="str">
        <f>IFERROR(IF(VLOOKUP(B48,役職一覧!$C$2:$E$31,3,FALSE)=C48,1,C48+1),"")</f>
        <v/>
      </c>
      <c r="D49" s="17" t="str">
        <f>IFERROR(INDEX(逆引き作成用!$C$2:$C$169,MATCH($B49&amp;"/"&amp;$C49,逆引き作成用!D$2:D$169,FALSE),1),"")</f>
        <v/>
      </c>
      <c r="E49" s="17" t="str">
        <f>IFERROR(INDEX(逆引き作成用!$C$2:$C$169,MATCH($B49&amp;"/"&amp;$C49,逆引き作成用!E$2:E$169,FALSE),1),"")</f>
        <v/>
      </c>
      <c r="F49" s="17" t="str">
        <f>IFERROR(INDEX(逆引き作成用!$C$2:$C$169,MATCH($B49&amp;"/"&amp;$C49,逆引き作成用!F$2:F$169,FALSE),1),"")</f>
        <v/>
      </c>
      <c r="G49" s="17" t="str">
        <f>IFERROR(INDEX(逆引き作成用!$C$2:$C$169,MATCH($B49&amp;"/"&amp;$C49,逆引き作成用!G$2:G$169,FALSE),1),"")</f>
        <v/>
      </c>
      <c r="H49" s="17" t="str">
        <f>IFERROR(INDEX(逆引き作成用!$C$2:$C$169,MATCH($B49&amp;"/"&amp;$C49,逆引き作成用!H$2:H$169,FALSE),1),"")</f>
        <v/>
      </c>
      <c r="I49" s="17" t="str">
        <f>IFERROR(INDEX(逆引き作成用!$C$2:$C$169,MATCH($B49&amp;"/"&amp;$C49,逆引き作成用!I$2:I$169,FALSE),1),"")</f>
        <v/>
      </c>
      <c r="J49" s="17" t="str">
        <f>IFERROR(INDEX(逆引き作成用!$C$2:$C$169,MATCH($B49&amp;"/"&amp;$C49,逆引き作成用!J$2:J$169,FALSE),1),"")</f>
        <v/>
      </c>
      <c r="K49" s="17" t="str">
        <f>IFERROR(INDEX(逆引き作成用!$C$2:$C$169,MATCH($B49&amp;"/"&amp;$C49,逆引き作成用!K$2:K$169,FALSE),1),"")</f>
        <v/>
      </c>
      <c r="L49" s="17" t="str">
        <f>IFERROR(INDEX(逆引き作成用!$C$2:$C$169,MATCH($B49&amp;"/"&amp;$C49,逆引き作成用!L$2:L$169,FALSE),1),"")</f>
        <v/>
      </c>
      <c r="M49" s="17" t="str">
        <f>IFERROR(INDEX(逆引き作成用!$C$2:$C$169,MATCH($B49&amp;"/"&amp;$C49,逆引き作成用!M$2:M$169,FALSE),1),"")</f>
        <v/>
      </c>
      <c r="N49" s="17" t="str">
        <f>IFERROR(INDEX(逆引き作成用!$C$2:$C$169,MATCH($B49&amp;"/"&amp;$C49,逆引き作成用!N$2:N$169,FALSE),1),"")</f>
        <v/>
      </c>
      <c r="O49" s="17" t="str">
        <f>IFERROR(INDEX(逆引き作成用!$C$2:$C$169,MATCH($B49&amp;"/"&amp;$C49,逆引き作成用!O$2:O$169,FALSE),1),"")</f>
        <v/>
      </c>
      <c r="P49" s="17" t="str">
        <f>IFERROR(INDEX(逆引き作成用!$C$2:$C$169,MATCH($B49&amp;"/"&amp;$C49,逆引き作成用!P$2:P$169,FALSE),1),"")</f>
        <v/>
      </c>
      <c r="Q49" s="17" t="str">
        <f>IFERROR(INDEX(逆引き作成用!$C$2:$C$169,MATCH($B49&amp;"/"&amp;$C49,逆引き作成用!Q$2:Q$169,FALSE),1),"")</f>
        <v/>
      </c>
      <c r="R49" s="17" t="str">
        <f>IFERROR(INDEX(逆引き作成用!$C$2:$C$169,MATCH($B49&amp;"/"&amp;$C49,逆引き作成用!R$2:R$169,FALSE),1),"")</f>
        <v/>
      </c>
      <c r="S49" s="17" t="str">
        <f>IFERROR(INDEX(逆引き作成用!$C$2:$C$169,MATCH($B49&amp;"/"&amp;$C49,逆引き作成用!S$2:S$169,FALSE),1),"")</f>
        <v/>
      </c>
      <c r="T49" s="17" t="str">
        <f>IFERROR(INDEX(逆引き作成用!$C$2:$C$169,MATCH($B49&amp;"/"&amp;$C49,逆引き作成用!T$2:T$169,FALSE),1),"")</f>
        <v/>
      </c>
      <c r="U49" s="17" t="str">
        <f>IFERROR(INDEX(逆引き作成用!$C$2:$C$169,MATCH($B49&amp;"/"&amp;$C49,逆引き作成用!U$2:U$169,FALSE),1),"")</f>
        <v/>
      </c>
      <c r="V49" s="17" t="str">
        <f>IFERROR(INDEX(逆引き作成用!$C$2:$C$169,MATCH($B49&amp;"/"&amp;$C49,逆引き作成用!V$2:V$169,FALSE),1),"")</f>
        <v/>
      </c>
      <c r="W49" s="17" t="str">
        <f>IFERROR(INDEX(逆引き作成用!$C$2:$C$169,MATCH($B49&amp;"/"&amp;$C49,逆引き作成用!W$2:W$169,FALSE),1),"")</f>
        <v/>
      </c>
      <c r="X49" s="17" t="str">
        <f>IFERROR(INDEX(逆引き作成用!$C$2:$C$169,MATCH($B49&amp;"/"&amp;$C49,逆引き作成用!X$2:X$169,FALSE),1),"")</f>
        <v/>
      </c>
      <c r="Y49" s="17" t="str">
        <f>IFERROR(INDEX(逆引き作成用!$C$2:$C$169,MATCH($B49&amp;"/"&amp;$C49,逆引き作成用!Y$2:Y$169,FALSE),1),"")</f>
        <v/>
      </c>
      <c r="Z49" s="17" t="str">
        <f>IFERROR(INDEX(逆引き作成用!$C$2:$C$169,MATCH($B49&amp;"/"&amp;$C49,逆引き作成用!Z$2:Z$169,FALSE),1),"")</f>
        <v/>
      </c>
      <c r="AA49" s="17" t="str">
        <f>IFERROR(INDEX(逆引き作成用!$C$2:$C$169,MATCH($B49&amp;"/"&amp;$C49,逆引き作成用!AA$2:AA$169,FALSE),1),"")</f>
        <v/>
      </c>
      <c r="AB49" s="17" t="str">
        <f>IFERROR(INDEX(逆引き作成用!$C$2:$C$169,MATCH($B49&amp;"/"&amp;$C49,逆引き作成用!AB$2:AB$169,FALSE),1),"")</f>
        <v/>
      </c>
      <c r="AC49" s="17" t="str">
        <f>IFERROR(INDEX(逆引き作成用!$C$2:$C$169,MATCH($B49&amp;"/"&amp;$C49,逆引き作成用!AC$2:AC$169,FALSE),1),"")</f>
        <v/>
      </c>
      <c r="AD49" s="17" t="str">
        <f>IFERROR(INDEX(逆引き作成用!$C$2:$C$169,MATCH($B49&amp;"/"&amp;$C49,逆引き作成用!AD$2:AD$169,FALSE),1),"")</f>
        <v/>
      </c>
      <c r="AE49" s="17" t="str">
        <f>IFERROR(INDEX(逆引き作成用!$C$2:$C$169,MATCH($B49&amp;"/"&amp;$C49,逆引き作成用!AE$2:AE$169,FALSE),1),"")</f>
        <v/>
      </c>
      <c r="AF49" s="17" t="str">
        <f>IFERROR(INDEX(逆引き作成用!$C$2:$C$169,MATCH($B49&amp;"/"&amp;$C49,逆引き作成用!AF$2:AF$169,FALSE),1),"")</f>
        <v/>
      </c>
      <c r="AG49" s="17" t="str">
        <f>IFERROR(INDEX(逆引き作成用!$C$2:$C$169,MATCH($B49&amp;"/"&amp;$C49,逆引き作成用!AG$2:AG$169,FALSE),1),"")</f>
        <v/>
      </c>
      <c r="AH49" s="17" t="str">
        <f>IFERROR(INDEX(逆引き作成用!$C$2:$C$169,MATCH($B49&amp;"/"&amp;$C49,逆引き作成用!AH$2:AH$169,FALSE),1),"")</f>
        <v/>
      </c>
      <c r="AI49" s="17" t="str">
        <f>IFERROR(INDEX(逆引き作成用!$C$2:$C$169,MATCH($B49&amp;"/"&amp;$C49,逆引き作成用!AI$2:AI$169,FALSE),1),"")</f>
        <v/>
      </c>
      <c r="AJ49" s="17" t="str">
        <f>IFERROR(INDEX(逆引き作成用!$C$2:$C$169,MATCH($B49&amp;"/"&amp;$C49,逆引き作成用!AJ$2:AJ$169,FALSE),1),"")</f>
        <v/>
      </c>
      <c r="AK49" s="17" t="str">
        <f>IFERROR(INDEX(逆引き作成用!$C$2:$C$169,MATCH($B49&amp;"/"&amp;$C49,逆引き作成用!AK$2:AK$169,FALSE),1),"")</f>
        <v/>
      </c>
      <c r="AL49" s="17" t="str">
        <f>IFERROR(INDEX(逆引き作成用!$C$2:$C$169,MATCH($B49&amp;"/"&amp;$C49,逆引き作成用!AL$2:AL$169,FALSE),1),"")</f>
        <v/>
      </c>
      <c r="AM49" s="17" t="str">
        <f>IFERROR(INDEX(逆引き作成用!$C$2:$C$169,MATCH($B49&amp;"/"&amp;$C49,逆引き作成用!AM$2:AM$169,FALSE),1),"")</f>
        <v/>
      </c>
      <c r="AN49" s="17" t="str">
        <f>IFERROR(INDEX(逆引き作成用!$C$2:$C$169,MATCH($B49&amp;"/"&amp;$C49,逆引き作成用!AN$2:AN$169,FALSE),1),"")</f>
        <v/>
      </c>
      <c r="AO49" s="17" t="str">
        <f>IFERROR(INDEX(逆引き作成用!$C$2:$C$169,MATCH($B49&amp;"/"&amp;$C49,逆引き作成用!AO$2:AO$169,FALSE),1),"")</f>
        <v/>
      </c>
      <c r="AP49" s="17" t="str">
        <f>IFERROR(INDEX(逆引き作成用!$C$2:$C$169,MATCH($B49&amp;"/"&amp;$C49,逆引き作成用!AP$2:AP$169,FALSE),1),"")</f>
        <v/>
      </c>
      <c r="AQ49" s="17" t="str">
        <f>IFERROR(INDEX(逆引き作成用!$C$2:$C$169,MATCH($B49&amp;"/"&amp;$C49,逆引き作成用!AQ$2:AQ$169,FALSE),1),"")</f>
        <v/>
      </c>
      <c r="AR49" s="17" t="str">
        <f>IFERROR(INDEX(逆引き作成用!$C$2:$C$169,MATCH($B49&amp;"/"&amp;$C49,逆引き作成用!AR$2:AR$169,FALSE),1),"")</f>
        <v/>
      </c>
      <c r="AS49" s="17" t="str">
        <f>IFERROR(INDEX(逆引き作成用!$C$2:$C$169,MATCH($B49&amp;"/"&amp;$C49,逆引き作成用!AS$2:AS$169,FALSE),1),"")</f>
        <v/>
      </c>
      <c r="AT49" s="17" t="str">
        <f>IFERROR(INDEX(逆引き作成用!$C$2:$C$169,MATCH($B49&amp;"/"&amp;$C49,逆引き作成用!AT$2:AT$169,FALSE),1),"")</f>
        <v/>
      </c>
      <c r="AU49" s="17" t="str">
        <f>IFERROR(INDEX(逆引き作成用!$C$2:$C$169,MATCH($B49&amp;"/"&amp;$C49,逆引き作成用!AU$2:AU$169,FALSE),1),"")</f>
        <v/>
      </c>
      <c r="AV49" s="17" t="str">
        <f>IFERROR(INDEX(逆引き作成用!$C$2:$C$169,MATCH($B49&amp;"/"&amp;$C49,逆引き作成用!AV$2:AV$169,FALSE),1),"")</f>
        <v/>
      </c>
      <c r="AW49" s="17" t="str">
        <f>IFERROR(INDEX(逆引き作成用!$C$2:$C$169,MATCH($B49&amp;"/"&amp;$C49,逆引き作成用!AW$2:AW$169,FALSE),1),"")</f>
        <v/>
      </c>
      <c r="AX49" s="17" t="str">
        <f>IFERROR(INDEX(逆引き作成用!$C$2:$C$169,MATCH($B49&amp;"/"&amp;$C49,逆引き作成用!AX$2:AX$169,FALSE),1),"")</f>
        <v/>
      </c>
      <c r="AY49" s="17" t="str">
        <f>IFERROR(INDEX(逆引き作成用!$C$2:$C$169,MATCH($B49&amp;"/"&amp;$C49,逆引き作成用!AY$2:AY$169,FALSE),1),"")</f>
        <v/>
      </c>
      <c r="AZ49" s="17" t="str">
        <f>IFERROR(INDEX(逆引き作成用!$C$2:$C$169,MATCH($B49&amp;"/"&amp;$C49,逆引き作成用!AZ$2:AZ$169,FALSE),1),"")</f>
        <v/>
      </c>
      <c r="BA49" s="17" t="str">
        <f>IFERROR(INDEX(逆引き作成用!$C$2:$C$169,MATCH($B49&amp;"/"&amp;$C49,逆引き作成用!BA$2:BA$169,FALSE),1),"")</f>
        <v/>
      </c>
    </row>
    <row r="50" spans="1:53">
      <c r="A50" s="17" t="str">
        <f>IFERROR(INDEX(役職一覧!$B$2:$B$31,MATCH(B50,役職一覧!$C$2:$C$31,FALSE),1),"")</f>
        <v/>
      </c>
      <c r="B50" s="17" t="str">
        <f>IFERROR(IF(C50=1,INDEX(役職一覧!$C$2:$C$31,MATCH(逆引き!B49,役職一覧!$C$2:$C$31,FALSE)+1,1)&amp;"",B49),"")</f>
        <v/>
      </c>
      <c r="C50" s="17" t="str">
        <f>IFERROR(IF(VLOOKUP(B49,役職一覧!$C$2:$E$31,3,FALSE)=C49,1,C49+1),"")</f>
        <v/>
      </c>
      <c r="D50" s="17" t="str">
        <f>IFERROR(INDEX(逆引き作成用!$C$2:$C$169,MATCH($B50&amp;"/"&amp;$C50,逆引き作成用!D$2:D$169,FALSE),1),"")</f>
        <v/>
      </c>
      <c r="E50" s="17" t="str">
        <f>IFERROR(INDEX(逆引き作成用!$C$2:$C$169,MATCH($B50&amp;"/"&amp;$C50,逆引き作成用!E$2:E$169,FALSE),1),"")</f>
        <v/>
      </c>
      <c r="F50" s="17" t="str">
        <f>IFERROR(INDEX(逆引き作成用!$C$2:$C$169,MATCH($B50&amp;"/"&amp;$C50,逆引き作成用!F$2:F$169,FALSE),1),"")</f>
        <v/>
      </c>
      <c r="G50" s="17" t="str">
        <f>IFERROR(INDEX(逆引き作成用!$C$2:$C$169,MATCH($B50&amp;"/"&amp;$C50,逆引き作成用!G$2:G$169,FALSE),1),"")</f>
        <v/>
      </c>
      <c r="H50" s="17" t="str">
        <f>IFERROR(INDEX(逆引き作成用!$C$2:$C$169,MATCH($B50&amp;"/"&amp;$C50,逆引き作成用!H$2:H$169,FALSE),1),"")</f>
        <v/>
      </c>
      <c r="I50" s="17" t="str">
        <f>IFERROR(INDEX(逆引き作成用!$C$2:$C$169,MATCH($B50&amp;"/"&amp;$C50,逆引き作成用!I$2:I$169,FALSE),1),"")</f>
        <v/>
      </c>
      <c r="J50" s="17" t="str">
        <f>IFERROR(INDEX(逆引き作成用!$C$2:$C$169,MATCH($B50&amp;"/"&amp;$C50,逆引き作成用!J$2:J$169,FALSE),1),"")</f>
        <v/>
      </c>
      <c r="K50" s="17" t="str">
        <f>IFERROR(INDEX(逆引き作成用!$C$2:$C$169,MATCH($B50&amp;"/"&amp;$C50,逆引き作成用!K$2:K$169,FALSE),1),"")</f>
        <v/>
      </c>
      <c r="L50" s="17" t="str">
        <f>IFERROR(INDEX(逆引き作成用!$C$2:$C$169,MATCH($B50&amp;"/"&amp;$C50,逆引き作成用!L$2:L$169,FALSE),1),"")</f>
        <v/>
      </c>
      <c r="M50" s="17" t="str">
        <f>IFERROR(INDEX(逆引き作成用!$C$2:$C$169,MATCH($B50&amp;"/"&amp;$C50,逆引き作成用!M$2:M$169,FALSE),1),"")</f>
        <v/>
      </c>
      <c r="N50" s="17" t="str">
        <f>IFERROR(INDEX(逆引き作成用!$C$2:$C$169,MATCH($B50&amp;"/"&amp;$C50,逆引き作成用!N$2:N$169,FALSE),1),"")</f>
        <v/>
      </c>
      <c r="O50" s="17" t="str">
        <f>IFERROR(INDEX(逆引き作成用!$C$2:$C$169,MATCH($B50&amp;"/"&amp;$C50,逆引き作成用!O$2:O$169,FALSE),1),"")</f>
        <v/>
      </c>
      <c r="P50" s="17" t="str">
        <f>IFERROR(INDEX(逆引き作成用!$C$2:$C$169,MATCH($B50&amp;"/"&amp;$C50,逆引き作成用!P$2:P$169,FALSE),1),"")</f>
        <v/>
      </c>
      <c r="Q50" s="17" t="str">
        <f>IFERROR(INDEX(逆引き作成用!$C$2:$C$169,MATCH($B50&amp;"/"&amp;$C50,逆引き作成用!Q$2:Q$169,FALSE),1),"")</f>
        <v/>
      </c>
      <c r="R50" s="17" t="str">
        <f>IFERROR(INDEX(逆引き作成用!$C$2:$C$169,MATCH($B50&amp;"/"&amp;$C50,逆引き作成用!R$2:R$169,FALSE),1),"")</f>
        <v/>
      </c>
      <c r="S50" s="17" t="str">
        <f>IFERROR(INDEX(逆引き作成用!$C$2:$C$169,MATCH($B50&amp;"/"&amp;$C50,逆引き作成用!S$2:S$169,FALSE),1),"")</f>
        <v/>
      </c>
      <c r="T50" s="17" t="str">
        <f>IFERROR(INDEX(逆引き作成用!$C$2:$C$169,MATCH($B50&amp;"/"&amp;$C50,逆引き作成用!T$2:T$169,FALSE),1),"")</f>
        <v/>
      </c>
      <c r="U50" s="17" t="str">
        <f>IFERROR(INDEX(逆引き作成用!$C$2:$C$169,MATCH($B50&amp;"/"&amp;$C50,逆引き作成用!U$2:U$169,FALSE),1),"")</f>
        <v/>
      </c>
      <c r="V50" s="17" t="str">
        <f>IFERROR(INDEX(逆引き作成用!$C$2:$C$169,MATCH($B50&amp;"/"&amp;$C50,逆引き作成用!V$2:V$169,FALSE),1),"")</f>
        <v/>
      </c>
      <c r="W50" s="17" t="str">
        <f>IFERROR(INDEX(逆引き作成用!$C$2:$C$169,MATCH($B50&amp;"/"&amp;$C50,逆引き作成用!W$2:W$169,FALSE),1),"")</f>
        <v/>
      </c>
      <c r="X50" s="17" t="str">
        <f>IFERROR(INDEX(逆引き作成用!$C$2:$C$169,MATCH($B50&amp;"/"&amp;$C50,逆引き作成用!X$2:X$169,FALSE),1),"")</f>
        <v/>
      </c>
      <c r="Y50" s="17" t="str">
        <f>IFERROR(INDEX(逆引き作成用!$C$2:$C$169,MATCH($B50&amp;"/"&amp;$C50,逆引き作成用!Y$2:Y$169,FALSE),1),"")</f>
        <v/>
      </c>
      <c r="Z50" s="17" t="str">
        <f>IFERROR(INDEX(逆引き作成用!$C$2:$C$169,MATCH($B50&amp;"/"&amp;$C50,逆引き作成用!Z$2:Z$169,FALSE),1),"")</f>
        <v/>
      </c>
      <c r="AA50" s="17" t="str">
        <f>IFERROR(INDEX(逆引き作成用!$C$2:$C$169,MATCH($B50&amp;"/"&amp;$C50,逆引き作成用!AA$2:AA$169,FALSE),1),"")</f>
        <v/>
      </c>
      <c r="AB50" s="17" t="str">
        <f>IFERROR(INDEX(逆引き作成用!$C$2:$C$169,MATCH($B50&amp;"/"&amp;$C50,逆引き作成用!AB$2:AB$169,FALSE),1),"")</f>
        <v/>
      </c>
      <c r="AC50" s="17" t="str">
        <f>IFERROR(INDEX(逆引き作成用!$C$2:$C$169,MATCH($B50&amp;"/"&amp;$C50,逆引き作成用!AC$2:AC$169,FALSE),1),"")</f>
        <v/>
      </c>
      <c r="AD50" s="17" t="str">
        <f>IFERROR(INDEX(逆引き作成用!$C$2:$C$169,MATCH($B50&amp;"/"&amp;$C50,逆引き作成用!AD$2:AD$169,FALSE),1),"")</f>
        <v/>
      </c>
      <c r="AE50" s="17" t="str">
        <f>IFERROR(INDEX(逆引き作成用!$C$2:$C$169,MATCH($B50&amp;"/"&amp;$C50,逆引き作成用!AE$2:AE$169,FALSE),1),"")</f>
        <v/>
      </c>
      <c r="AF50" s="17" t="str">
        <f>IFERROR(INDEX(逆引き作成用!$C$2:$C$169,MATCH($B50&amp;"/"&amp;$C50,逆引き作成用!AF$2:AF$169,FALSE),1),"")</f>
        <v/>
      </c>
      <c r="AG50" s="17" t="str">
        <f>IFERROR(INDEX(逆引き作成用!$C$2:$C$169,MATCH($B50&amp;"/"&amp;$C50,逆引き作成用!AG$2:AG$169,FALSE),1),"")</f>
        <v/>
      </c>
      <c r="AH50" s="17" t="str">
        <f>IFERROR(INDEX(逆引き作成用!$C$2:$C$169,MATCH($B50&amp;"/"&amp;$C50,逆引き作成用!AH$2:AH$169,FALSE),1),"")</f>
        <v/>
      </c>
      <c r="AI50" s="17" t="str">
        <f>IFERROR(INDEX(逆引き作成用!$C$2:$C$169,MATCH($B50&amp;"/"&amp;$C50,逆引き作成用!AI$2:AI$169,FALSE),1),"")</f>
        <v/>
      </c>
      <c r="AJ50" s="17" t="str">
        <f>IFERROR(INDEX(逆引き作成用!$C$2:$C$169,MATCH($B50&amp;"/"&amp;$C50,逆引き作成用!AJ$2:AJ$169,FALSE),1),"")</f>
        <v/>
      </c>
      <c r="AK50" s="17" t="str">
        <f>IFERROR(INDEX(逆引き作成用!$C$2:$C$169,MATCH($B50&amp;"/"&amp;$C50,逆引き作成用!AK$2:AK$169,FALSE),1),"")</f>
        <v/>
      </c>
      <c r="AL50" s="17" t="str">
        <f>IFERROR(INDEX(逆引き作成用!$C$2:$C$169,MATCH($B50&amp;"/"&amp;$C50,逆引き作成用!AL$2:AL$169,FALSE),1),"")</f>
        <v/>
      </c>
      <c r="AM50" s="17" t="str">
        <f>IFERROR(INDEX(逆引き作成用!$C$2:$C$169,MATCH($B50&amp;"/"&amp;$C50,逆引き作成用!AM$2:AM$169,FALSE),1),"")</f>
        <v/>
      </c>
      <c r="AN50" s="17" t="str">
        <f>IFERROR(INDEX(逆引き作成用!$C$2:$C$169,MATCH($B50&amp;"/"&amp;$C50,逆引き作成用!AN$2:AN$169,FALSE),1),"")</f>
        <v/>
      </c>
      <c r="AO50" s="17" t="str">
        <f>IFERROR(INDEX(逆引き作成用!$C$2:$C$169,MATCH($B50&amp;"/"&amp;$C50,逆引き作成用!AO$2:AO$169,FALSE),1),"")</f>
        <v/>
      </c>
      <c r="AP50" s="17" t="str">
        <f>IFERROR(INDEX(逆引き作成用!$C$2:$C$169,MATCH($B50&amp;"/"&amp;$C50,逆引き作成用!AP$2:AP$169,FALSE),1),"")</f>
        <v/>
      </c>
      <c r="AQ50" s="17" t="str">
        <f>IFERROR(INDEX(逆引き作成用!$C$2:$C$169,MATCH($B50&amp;"/"&amp;$C50,逆引き作成用!AQ$2:AQ$169,FALSE),1),"")</f>
        <v/>
      </c>
      <c r="AR50" s="17" t="str">
        <f>IFERROR(INDEX(逆引き作成用!$C$2:$C$169,MATCH($B50&amp;"/"&amp;$C50,逆引き作成用!AR$2:AR$169,FALSE),1),"")</f>
        <v/>
      </c>
      <c r="AS50" s="17" t="str">
        <f>IFERROR(INDEX(逆引き作成用!$C$2:$C$169,MATCH($B50&amp;"/"&amp;$C50,逆引き作成用!AS$2:AS$169,FALSE),1),"")</f>
        <v/>
      </c>
      <c r="AT50" s="17" t="str">
        <f>IFERROR(INDEX(逆引き作成用!$C$2:$C$169,MATCH($B50&amp;"/"&amp;$C50,逆引き作成用!AT$2:AT$169,FALSE),1),"")</f>
        <v/>
      </c>
      <c r="AU50" s="17" t="str">
        <f>IFERROR(INDEX(逆引き作成用!$C$2:$C$169,MATCH($B50&amp;"/"&amp;$C50,逆引き作成用!AU$2:AU$169,FALSE),1),"")</f>
        <v/>
      </c>
      <c r="AV50" s="17" t="str">
        <f>IFERROR(INDEX(逆引き作成用!$C$2:$C$169,MATCH($B50&amp;"/"&amp;$C50,逆引き作成用!AV$2:AV$169,FALSE),1),"")</f>
        <v/>
      </c>
      <c r="AW50" s="17" t="str">
        <f>IFERROR(INDEX(逆引き作成用!$C$2:$C$169,MATCH($B50&amp;"/"&amp;$C50,逆引き作成用!AW$2:AW$169,FALSE),1),"")</f>
        <v/>
      </c>
      <c r="AX50" s="17" t="str">
        <f>IFERROR(INDEX(逆引き作成用!$C$2:$C$169,MATCH($B50&amp;"/"&amp;$C50,逆引き作成用!AX$2:AX$169,FALSE),1),"")</f>
        <v/>
      </c>
      <c r="AY50" s="17" t="str">
        <f>IFERROR(INDEX(逆引き作成用!$C$2:$C$169,MATCH($B50&amp;"/"&amp;$C50,逆引き作成用!AY$2:AY$169,FALSE),1),"")</f>
        <v/>
      </c>
      <c r="AZ50" s="17" t="str">
        <f>IFERROR(INDEX(逆引き作成用!$C$2:$C$169,MATCH($B50&amp;"/"&amp;$C50,逆引き作成用!AZ$2:AZ$169,FALSE),1),"")</f>
        <v/>
      </c>
      <c r="BA50" s="17" t="str">
        <f>IFERROR(INDEX(逆引き作成用!$C$2:$C$169,MATCH($B50&amp;"/"&amp;$C50,逆引き作成用!BA$2:BA$169,FALSE),1),"")</f>
        <v/>
      </c>
    </row>
    <row r="51" spans="1:53">
      <c r="A51" s="17" t="str">
        <f>IFERROR(INDEX(役職一覧!$B$2:$B$31,MATCH(B51,役職一覧!$C$2:$C$31,FALSE),1),"")</f>
        <v/>
      </c>
      <c r="B51" s="17" t="str">
        <f>IFERROR(IF(C51=1,INDEX(役職一覧!$C$2:$C$31,MATCH(逆引き!B50,役職一覧!$C$2:$C$31,FALSE)+1,1)&amp;"",B50),"")</f>
        <v/>
      </c>
      <c r="C51" s="17" t="str">
        <f>IFERROR(IF(VLOOKUP(B50,役職一覧!$C$2:$E$31,3,FALSE)=C50,1,C50+1),"")</f>
        <v/>
      </c>
      <c r="D51" s="17" t="str">
        <f>IFERROR(INDEX(逆引き作成用!$C$2:$C$169,MATCH($B51&amp;"/"&amp;$C51,逆引き作成用!D$2:D$169,FALSE),1),"")</f>
        <v/>
      </c>
      <c r="E51" s="17" t="str">
        <f>IFERROR(INDEX(逆引き作成用!$C$2:$C$169,MATCH($B51&amp;"/"&amp;$C51,逆引き作成用!E$2:E$169,FALSE),1),"")</f>
        <v/>
      </c>
      <c r="F51" s="17" t="str">
        <f>IFERROR(INDEX(逆引き作成用!$C$2:$C$169,MATCH($B51&amp;"/"&amp;$C51,逆引き作成用!F$2:F$169,FALSE),1),"")</f>
        <v/>
      </c>
      <c r="G51" s="17" t="str">
        <f>IFERROR(INDEX(逆引き作成用!$C$2:$C$169,MATCH($B51&amp;"/"&amp;$C51,逆引き作成用!G$2:G$169,FALSE),1),"")</f>
        <v/>
      </c>
      <c r="H51" s="17" t="str">
        <f>IFERROR(INDEX(逆引き作成用!$C$2:$C$169,MATCH($B51&amp;"/"&amp;$C51,逆引き作成用!H$2:H$169,FALSE),1),"")</f>
        <v/>
      </c>
      <c r="I51" s="17" t="str">
        <f>IFERROR(INDEX(逆引き作成用!$C$2:$C$169,MATCH($B51&amp;"/"&amp;$C51,逆引き作成用!I$2:I$169,FALSE),1),"")</f>
        <v/>
      </c>
      <c r="J51" s="17" t="str">
        <f>IFERROR(INDEX(逆引き作成用!$C$2:$C$169,MATCH($B51&amp;"/"&amp;$C51,逆引き作成用!J$2:J$169,FALSE),1),"")</f>
        <v/>
      </c>
      <c r="K51" s="17" t="str">
        <f>IFERROR(INDEX(逆引き作成用!$C$2:$C$169,MATCH($B51&amp;"/"&amp;$C51,逆引き作成用!K$2:K$169,FALSE),1),"")</f>
        <v/>
      </c>
      <c r="L51" s="17" t="str">
        <f>IFERROR(INDEX(逆引き作成用!$C$2:$C$169,MATCH($B51&amp;"/"&amp;$C51,逆引き作成用!L$2:L$169,FALSE),1),"")</f>
        <v/>
      </c>
      <c r="M51" s="17" t="str">
        <f>IFERROR(INDEX(逆引き作成用!$C$2:$C$169,MATCH($B51&amp;"/"&amp;$C51,逆引き作成用!M$2:M$169,FALSE),1),"")</f>
        <v/>
      </c>
      <c r="N51" s="17" t="str">
        <f>IFERROR(INDEX(逆引き作成用!$C$2:$C$169,MATCH($B51&amp;"/"&amp;$C51,逆引き作成用!N$2:N$169,FALSE),1),"")</f>
        <v/>
      </c>
      <c r="O51" s="17" t="str">
        <f>IFERROR(INDEX(逆引き作成用!$C$2:$C$169,MATCH($B51&amp;"/"&amp;$C51,逆引き作成用!O$2:O$169,FALSE),1),"")</f>
        <v/>
      </c>
      <c r="P51" s="17" t="str">
        <f>IFERROR(INDEX(逆引き作成用!$C$2:$C$169,MATCH($B51&amp;"/"&amp;$C51,逆引き作成用!P$2:P$169,FALSE),1),"")</f>
        <v/>
      </c>
      <c r="Q51" s="17" t="str">
        <f>IFERROR(INDEX(逆引き作成用!$C$2:$C$169,MATCH($B51&amp;"/"&amp;$C51,逆引き作成用!Q$2:Q$169,FALSE),1),"")</f>
        <v/>
      </c>
      <c r="R51" s="17" t="str">
        <f>IFERROR(INDEX(逆引き作成用!$C$2:$C$169,MATCH($B51&amp;"/"&amp;$C51,逆引き作成用!R$2:R$169,FALSE),1),"")</f>
        <v/>
      </c>
      <c r="S51" s="17" t="str">
        <f>IFERROR(INDEX(逆引き作成用!$C$2:$C$169,MATCH($B51&amp;"/"&amp;$C51,逆引き作成用!S$2:S$169,FALSE),1),"")</f>
        <v/>
      </c>
      <c r="T51" s="17" t="str">
        <f>IFERROR(INDEX(逆引き作成用!$C$2:$C$169,MATCH($B51&amp;"/"&amp;$C51,逆引き作成用!T$2:T$169,FALSE),1),"")</f>
        <v/>
      </c>
      <c r="U51" s="17" t="str">
        <f>IFERROR(INDEX(逆引き作成用!$C$2:$C$169,MATCH($B51&amp;"/"&amp;$C51,逆引き作成用!U$2:U$169,FALSE),1),"")</f>
        <v/>
      </c>
      <c r="V51" s="17" t="str">
        <f>IFERROR(INDEX(逆引き作成用!$C$2:$C$169,MATCH($B51&amp;"/"&amp;$C51,逆引き作成用!V$2:V$169,FALSE),1),"")</f>
        <v/>
      </c>
      <c r="W51" s="17" t="str">
        <f>IFERROR(INDEX(逆引き作成用!$C$2:$C$169,MATCH($B51&amp;"/"&amp;$C51,逆引き作成用!W$2:W$169,FALSE),1),"")</f>
        <v/>
      </c>
      <c r="X51" s="17" t="str">
        <f>IFERROR(INDEX(逆引き作成用!$C$2:$C$169,MATCH($B51&amp;"/"&amp;$C51,逆引き作成用!X$2:X$169,FALSE),1),"")</f>
        <v/>
      </c>
      <c r="Y51" s="17" t="str">
        <f>IFERROR(INDEX(逆引き作成用!$C$2:$C$169,MATCH($B51&amp;"/"&amp;$C51,逆引き作成用!Y$2:Y$169,FALSE),1),"")</f>
        <v/>
      </c>
      <c r="Z51" s="17" t="str">
        <f>IFERROR(INDEX(逆引き作成用!$C$2:$C$169,MATCH($B51&amp;"/"&amp;$C51,逆引き作成用!Z$2:Z$169,FALSE),1),"")</f>
        <v/>
      </c>
      <c r="AA51" s="17" t="str">
        <f>IFERROR(INDEX(逆引き作成用!$C$2:$C$169,MATCH($B51&amp;"/"&amp;$C51,逆引き作成用!AA$2:AA$169,FALSE),1),"")</f>
        <v/>
      </c>
      <c r="AB51" s="17" t="str">
        <f>IFERROR(INDEX(逆引き作成用!$C$2:$C$169,MATCH($B51&amp;"/"&amp;$C51,逆引き作成用!AB$2:AB$169,FALSE),1),"")</f>
        <v/>
      </c>
      <c r="AC51" s="17" t="str">
        <f>IFERROR(INDEX(逆引き作成用!$C$2:$C$169,MATCH($B51&amp;"/"&amp;$C51,逆引き作成用!AC$2:AC$169,FALSE),1),"")</f>
        <v/>
      </c>
      <c r="AD51" s="17" t="str">
        <f>IFERROR(INDEX(逆引き作成用!$C$2:$C$169,MATCH($B51&amp;"/"&amp;$C51,逆引き作成用!AD$2:AD$169,FALSE),1),"")</f>
        <v/>
      </c>
      <c r="AE51" s="17" t="str">
        <f>IFERROR(INDEX(逆引き作成用!$C$2:$C$169,MATCH($B51&amp;"/"&amp;$C51,逆引き作成用!AE$2:AE$169,FALSE),1),"")</f>
        <v/>
      </c>
      <c r="AF51" s="17" t="str">
        <f>IFERROR(INDEX(逆引き作成用!$C$2:$C$169,MATCH($B51&amp;"/"&amp;$C51,逆引き作成用!AF$2:AF$169,FALSE),1),"")</f>
        <v/>
      </c>
      <c r="AG51" s="17" t="str">
        <f>IFERROR(INDEX(逆引き作成用!$C$2:$C$169,MATCH($B51&amp;"/"&amp;$C51,逆引き作成用!AG$2:AG$169,FALSE),1),"")</f>
        <v/>
      </c>
      <c r="AH51" s="17" t="str">
        <f>IFERROR(INDEX(逆引き作成用!$C$2:$C$169,MATCH($B51&amp;"/"&amp;$C51,逆引き作成用!AH$2:AH$169,FALSE),1),"")</f>
        <v/>
      </c>
      <c r="AI51" s="17" t="str">
        <f>IFERROR(INDEX(逆引き作成用!$C$2:$C$169,MATCH($B51&amp;"/"&amp;$C51,逆引き作成用!AI$2:AI$169,FALSE),1),"")</f>
        <v/>
      </c>
      <c r="AJ51" s="17" t="str">
        <f>IFERROR(INDEX(逆引き作成用!$C$2:$C$169,MATCH($B51&amp;"/"&amp;$C51,逆引き作成用!AJ$2:AJ$169,FALSE),1),"")</f>
        <v/>
      </c>
      <c r="AK51" s="17" t="str">
        <f>IFERROR(INDEX(逆引き作成用!$C$2:$C$169,MATCH($B51&amp;"/"&amp;$C51,逆引き作成用!AK$2:AK$169,FALSE),1),"")</f>
        <v/>
      </c>
      <c r="AL51" s="17" t="str">
        <f>IFERROR(INDEX(逆引き作成用!$C$2:$C$169,MATCH($B51&amp;"/"&amp;$C51,逆引き作成用!AL$2:AL$169,FALSE),1),"")</f>
        <v/>
      </c>
      <c r="AM51" s="17" t="str">
        <f>IFERROR(INDEX(逆引き作成用!$C$2:$C$169,MATCH($B51&amp;"/"&amp;$C51,逆引き作成用!AM$2:AM$169,FALSE),1),"")</f>
        <v/>
      </c>
      <c r="AN51" s="17" t="str">
        <f>IFERROR(INDEX(逆引き作成用!$C$2:$C$169,MATCH($B51&amp;"/"&amp;$C51,逆引き作成用!AN$2:AN$169,FALSE),1),"")</f>
        <v/>
      </c>
      <c r="AO51" s="17" t="str">
        <f>IFERROR(INDEX(逆引き作成用!$C$2:$C$169,MATCH($B51&amp;"/"&amp;$C51,逆引き作成用!AO$2:AO$169,FALSE),1),"")</f>
        <v/>
      </c>
      <c r="AP51" s="17" t="str">
        <f>IFERROR(INDEX(逆引き作成用!$C$2:$C$169,MATCH($B51&amp;"/"&amp;$C51,逆引き作成用!AP$2:AP$169,FALSE),1),"")</f>
        <v/>
      </c>
      <c r="AQ51" s="17" t="str">
        <f>IFERROR(INDEX(逆引き作成用!$C$2:$C$169,MATCH($B51&amp;"/"&amp;$C51,逆引き作成用!AQ$2:AQ$169,FALSE),1),"")</f>
        <v/>
      </c>
      <c r="AR51" s="17" t="str">
        <f>IFERROR(INDEX(逆引き作成用!$C$2:$C$169,MATCH($B51&amp;"/"&amp;$C51,逆引き作成用!AR$2:AR$169,FALSE),1),"")</f>
        <v/>
      </c>
      <c r="AS51" s="17" t="str">
        <f>IFERROR(INDEX(逆引き作成用!$C$2:$C$169,MATCH($B51&amp;"/"&amp;$C51,逆引き作成用!AS$2:AS$169,FALSE),1),"")</f>
        <v/>
      </c>
      <c r="AT51" s="17" t="str">
        <f>IFERROR(INDEX(逆引き作成用!$C$2:$C$169,MATCH($B51&amp;"/"&amp;$C51,逆引き作成用!AT$2:AT$169,FALSE),1),"")</f>
        <v/>
      </c>
      <c r="AU51" s="17" t="str">
        <f>IFERROR(INDEX(逆引き作成用!$C$2:$C$169,MATCH($B51&amp;"/"&amp;$C51,逆引き作成用!AU$2:AU$169,FALSE),1),"")</f>
        <v/>
      </c>
      <c r="AV51" s="17" t="str">
        <f>IFERROR(INDEX(逆引き作成用!$C$2:$C$169,MATCH($B51&amp;"/"&amp;$C51,逆引き作成用!AV$2:AV$169,FALSE),1),"")</f>
        <v/>
      </c>
      <c r="AW51" s="17" t="str">
        <f>IFERROR(INDEX(逆引き作成用!$C$2:$C$169,MATCH($B51&amp;"/"&amp;$C51,逆引き作成用!AW$2:AW$169,FALSE),1),"")</f>
        <v/>
      </c>
      <c r="AX51" s="17" t="str">
        <f>IFERROR(INDEX(逆引き作成用!$C$2:$C$169,MATCH($B51&amp;"/"&amp;$C51,逆引き作成用!AX$2:AX$169,FALSE),1),"")</f>
        <v/>
      </c>
      <c r="AY51" s="17" t="str">
        <f>IFERROR(INDEX(逆引き作成用!$C$2:$C$169,MATCH($B51&amp;"/"&amp;$C51,逆引き作成用!AY$2:AY$169,FALSE),1),"")</f>
        <v/>
      </c>
      <c r="AZ51" s="17" t="str">
        <f>IFERROR(INDEX(逆引き作成用!$C$2:$C$169,MATCH($B51&amp;"/"&amp;$C51,逆引き作成用!AZ$2:AZ$169,FALSE),1),"")</f>
        <v/>
      </c>
      <c r="BA51" s="17" t="str">
        <f>IFERROR(INDEX(逆引き作成用!$C$2:$C$169,MATCH($B51&amp;"/"&amp;$C51,逆引き作成用!BA$2:BA$169,FALSE),1),"")</f>
        <v/>
      </c>
    </row>
    <row r="52" spans="1:53">
      <c r="A52" s="17" t="str">
        <f>IFERROR(INDEX(役職一覧!$B$2:$B$31,MATCH(B52,役職一覧!$C$2:$C$31,FALSE),1),"")</f>
        <v/>
      </c>
      <c r="B52" s="17" t="str">
        <f>IFERROR(IF(C52=1,INDEX(役職一覧!$C$2:$C$31,MATCH(逆引き!B51,役職一覧!$C$2:$C$31,FALSE)+1,1)&amp;"",B51),"")</f>
        <v/>
      </c>
      <c r="C52" s="17" t="str">
        <f>IFERROR(IF(VLOOKUP(B51,役職一覧!$C$2:$E$31,3,FALSE)=C51,1,C51+1),"")</f>
        <v/>
      </c>
      <c r="D52" s="17" t="str">
        <f>IFERROR(INDEX(逆引き作成用!$C$2:$C$169,MATCH($B52&amp;"/"&amp;$C52,逆引き作成用!D$2:D$169,FALSE),1),"")</f>
        <v/>
      </c>
      <c r="E52" s="17" t="str">
        <f>IFERROR(INDEX(逆引き作成用!$C$2:$C$169,MATCH($B52&amp;"/"&amp;$C52,逆引き作成用!E$2:E$169,FALSE),1),"")</f>
        <v/>
      </c>
      <c r="F52" s="17" t="str">
        <f>IFERROR(INDEX(逆引き作成用!$C$2:$C$169,MATCH($B52&amp;"/"&amp;$C52,逆引き作成用!F$2:F$169,FALSE),1),"")</f>
        <v/>
      </c>
      <c r="G52" s="17" t="str">
        <f>IFERROR(INDEX(逆引き作成用!$C$2:$C$169,MATCH($B52&amp;"/"&amp;$C52,逆引き作成用!G$2:G$169,FALSE),1),"")</f>
        <v/>
      </c>
      <c r="H52" s="17" t="str">
        <f>IFERROR(INDEX(逆引き作成用!$C$2:$C$169,MATCH($B52&amp;"/"&amp;$C52,逆引き作成用!H$2:H$169,FALSE),1),"")</f>
        <v/>
      </c>
      <c r="I52" s="17" t="str">
        <f>IFERROR(INDEX(逆引き作成用!$C$2:$C$169,MATCH($B52&amp;"/"&amp;$C52,逆引き作成用!I$2:I$169,FALSE),1),"")</f>
        <v/>
      </c>
      <c r="J52" s="17" t="str">
        <f>IFERROR(INDEX(逆引き作成用!$C$2:$C$169,MATCH($B52&amp;"/"&amp;$C52,逆引き作成用!J$2:J$169,FALSE),1),"")</f>
        <v/>
      </c>
      <c r="K52" s="17" t="str">
        <f>IFERROR(INDEX(逆引き作成用!$C$2:$C$169,MATCH($B52&amp;"/"&amp;$C52,逆引き作成用!K$2:K$169,FALSE),1),"")</f>
        <v/>
      </c>
      <c r="L52" s="17" t="str">
        <f>IFERROR(INDEX(逆引き作成用!$C$2:$C$169,MATCH($B52&amp;"/"&amp;$C52,逆引き作成用!L$2:L$169,FALSE),1),"")</f>
        <v/>
      </c>
      <c r="M52" s="17" t="str">
        <f>IFERROR(INDEX(逆引き作成用!$C$2:$C$169,MATCH($B52&amp;"/"&amp;$C52,逆引き作成用!M$2:M$169,FALSE),1),"")</f>
        <v/>
      </c>
      <c r="N52" s="17" t="str">
        <f>IFERROR(INDEX(逆引き作成用!$C$2:$C$169,MATCH($B52&amp;"/"&amp;$C52,逆引き作成用!N$2:N$169,FALSE),1),"")</f>
        <v/>
      </c>
      <c r="O52" s="17" t="str">
        <f>IFERROR(INDEX(逆引き作成用!$C$2:$C$169,MATCH($B52&amp;"/"&amp;$C52,逆引き作成用!O$2:O$169,FALSE),1),"")</f>
        <v/>
      </c>
      <c r="P52" s="17" t="str">
        <f>IFERROR(INDEX(逆引き作成用!$C$2:$C$169,MATCH($B52&amp;"/"&amp;$C52,逆引き作成用!P$2:P$169,FALSE),1),"")</f>
        <v/>
      </c>
      <c r="Q52" s="17" t="str">
        <f>IFERROR(INDEX(逆引き作成用!$C$2:$C$169,MATCH($B52&amp;"/"&amp;$C52,逆引き作成用!Q$2:Q$169,FALSE),1),"")</f>
        <v/>
      </c>
      <c r="R52" s="17" t="str">
        <f>IFERROR(INDEX(逆引き作成用!$C$2:$C$169,MATCH($B52&amp;"/"&amp;$C52,逆引き作成用!R$2:R$169,FALSE),1),"")</f>
        <v/>
      </c>
      <c r="S52" s="17" t="str">
        <f>IFERROR(INDEX(逆引き作成用!$C$2:$C$169,MATCH($B52&amp;"/"&amp;$C52,逆引き作成用!S$2:S$169,FALSE),1),"")</f>
        <v/>
      </c>
      <c r="T52" s="17" t="str">
        <f>IFERROR(INDEX(逆引き作成用!$C$2:$C$169,MATCH($B52&amp;"/"&amp;$C52,逆引き作成用!T$2:T$169,FALSE),1),"")</f>
        <v/>
      </c>
      <c r="U52" s="17" t="str">
        <f>IFERROR(INDEX(逆引き作成用!$C$2:$C$169,MATCH($B52&amp;"/"&amp;$C52,逆引き作成用!U$2:U$169,FALSE),1),"")</f>
        <v/>
      </c>
      <c r="V52" s="17" t="str">
        <f>IFERROR(INDEX(逆引き作成用!$C$2:$C$169,MATCH($B52&amp;"/"&amp;$C52,逆引き作成用!V$2:V$169,FALSE),1),"")</f>
        <v/>
      </c>
      <c r="W52" s="17" t="str">
        <f>IFERROR(INDEX(逆引き作成用!$C$2:$C$169,MATCH($B52&amp;"/"&amp;$C52,逆引き作成用!W$2:W$169,FALSE),1),"")</f>
        <v/>
      </c>
      <c r="X52" s="17" t="str">
        <f>IFERROR(INDEX(逆引き作成用!$C$2:$C$169,MATCH($B52&amp;"/"&amp;$C52,逆引き作成用!X$2:X$169,FALSE),1),"")</f>
        <v/>
      </c>
      <c r="Y52" s="17" t="str">
        <f>IFERROR(INDEX(逆引き作成用!$C$2:$C$169,MATCH($B52&amp;"/"&amp;$C52,逆引き作成用!Y$2:Y$169,FALSE),1),"")</f>
        <v/>
      </c>
      <c r="Z52" s="17" t="str">
        <f>IFERROR(INDEX(逆引き作成用!$C$2:$C$169,MATCH($B52&amp;"/"&amp;$C52,逆引き作成用!Z$2:Z$169,FALSE),1),"")</f>
        <v/>
      </c>
      <c r="AA52" s="17" t="str">
        <f>IFERROR(INDEX(逆引き作成用!$C$2:$C$169,MATCH($B52&amp;"/"&amp;$C52,逆引き作成用!AA$2:AA$169,FALSE),1),"")</f>
        <v/>
      </c>
      <c r="AB52" s="17" t="str">
        <f>IFERROR(INDEX(逆引き作成用!$C$2:$C$169,MATCH($B52&amp;"/"&amp;$C52,逆引き作成用!AB$2:AB$169,FALSE),1),"")</f>
        <v/>
      </c>
      <c r="AC52" s="17" t="str">
        <f>IFERROR(INDEX(逆引き作成用!$C$2:$C$169,MATCH($B52&amp;"/"&amp;$C52,逆引き作成用!AC$2:AC$169,FALSE),1),"")</f>
        <v/>
      </c>
      <c r="AD52" s="17" t="str">
        <f>IFERROR(INDEX(逆引き作成用!$C$2:$C$169,MATCH($B52&amp;"/"&amp;$C52,逆引き作成用!AD$2:AD$169,FALSE),1),"")</f>
        <v/>
      </c>
      <c r="AE52" s="17" t="str">
        <f>IFERROR(INDEX(逆引き作成用!$C$2:$C$169,MATCH($B52&amp;"/"&amp;$C52,逆引き作成用!AE$2:AE$169,FALSE),1),"")</f>
        <v/>
      </c>
      <c r="AF52" s="17" t="str">
        <f>IFERROR(INDEX(逆引き作成用!$C$2:$C$169,MATCH($B52&amp;"/"&amp;$C52,逆引き作成用!AF$2:AF$169,FALSE),1),"")</f>
        <v/>
      </c>
      <c r="AG52" s="17" t="str">
        <f>IFERROR(INDEX(逆引き作成用!$C$2:$C$169,MATCH($B52&amp;"/"&amp;$C52,逆引き作成用!AG$2:AG$169,FALSE),1),"")</f>
        <v/>
      </c>
      <c r="AH52" s="17" t="str">
        <f>IFERROR(INDEX(逆引き作成用!$C$2:$C$169,MATCH($B52&amp;"/"&amp;$C52,逆引き作成用!AH$2:AH$169,FALSE),1),"")</f>
        <v/>
      </c>
      <c r="AI52" s="17" t="str">
        <f>IFERROR(INDEX(逆引き作成用!$C$2:$C$169,MATCH($B52&amp;"/"&amp;$C52,逆引き作成用!AI$2:AI$169,FALSE),1),"")</f>
        <v/>
      </c>
      <c r="AJ52" s="17" t="str">
        <f>IFERROR(INDEX(逆引き作成用!$C$2:$C$169,MATCH($B52&amp;"/"&amp;$C52,逆引き作成用!AJ$2:AJ$169,FALSE),1),"")</f>
        <v/>
      </c>
      <c r="AK52" s="17" t="str">
        <f>IFERROR(INDEX(逆引き作成用!$C$2:$C$169,MATCH($B52&amp;"/"&amp;$C52,逆引き作成用!AK$2:AK$169,FALSE),1),"")</f>
        <v/>
      </c>
      <c r="AL52" s="17" t="str">
        <f>IFERROR(INDEX(逆引き作成用!$C$2:$C$169,MATCH($B52&amp;"/"&amp;$C52,逆引き作成用!AL$2:AL$169,FALSE),1),"")</f>
        <v/>
      </c>
      <c r="AM52" s="17" t="str">
        <f>IFERROR(INDEX(逆引き作成用!$C$2:$C$169,MATCH($B52&amp;"/"&amp;$C52,逆引き作成用!AM$2:AM$169,FALSE),1),"")</f>
        <v/>
      </c>
      <c r="AN52" s="17" t="str">
        <f>IFERROR(INDEX(逆引き作成用!$C$2:$C$169,MATCH($B52&amp;"/"&amp;$C52,逆引き作成用!AN$2:AN$169,FALSE),1),"")</f>
        <v/>
      </c>
      <c r="AO52" s="17" t="str">
        <f>IFERROR(INDEX(逆引き作成用!$C$2:$C$169,MATCH($B52&amp;"/"&amp;$C52,逆引き作成用!AO$2:AO$169,FALSE),1),"")</f>
        <v/>
      </c>
      <c r="AP52" s="17" t="str">
        <f>IFERROR(INDEX(逆引き作成用!$C$2:$C$169,MATCH($B52&amp;"/"&amp;$C52,逆引き作成用!AP$2:AP$169,FALSE),1),"")</f>
        <v/>
      </c>
      <c r="AQ52" s="17" t="str">
        <f>IFERROR(INDEX(逆引き作成用!$C$2:$C$169,MATCH($B52&amp;"/"&amp;$C52,逆引き作成用!AQ$2:AQ$169,FALSE),1),"")</f>
        <v/>
      </c>
      <c r="AR52" s="17" t="str">
        <f>IFERROR(INDEX(逆引き作成用!$C$2:$C$169,MATCH($B52&amp;"/"&amp;$C52,逆引き作成用!AR$2:AR$169,FALSE),1),"")</f>
        <v/>
      </c>
      <c r="AS52" s="17" t="str">
        <f>IFERROR(INDEX(逆引き作成用!$C$2:$C$169,MATCH($B52&amp;"/"&amp;$C52,逆引き作成用!AS$2:AS$169,FALSE),1),"")</f>
        <v/>
      </c>
      <c r="AT52" s="17" t="str">
        <f>IFERROR(INDEX(逆引き作成用!$C$2:$C$169,MATCH($B52&amp;"/"&amp;$C52,逆引き作成用!AT$2:AT$169,FALSE),1),"")</f>
        <v/>
      </c>
      <c r="AU52" s="17" t="str">
        <f>IFERROR(INDEX(逆引き作成用!$C$2:$C$169,MATCH($B52&amp;"/"&amp;$C52,逆引き作成用!AU$2:AU$169,FALSE),1),"")</f>
        <v/>
      </c>
      <c r="AV52" s="17" t="str">
        <f>IFERROR(INDEX(逆引き作成用!$C$2:$C$169,MATCH($B52&amp;"/"&amp;$C52,逆引き作成用!AV$2:AV$169,FALSE),1),"")</f>
        <v/>
      </c>
      <c r="AW52" s="17" t="str">
        <f>IFERROR(INDEX(逆引き作成用!$C$2:$C$169,MATCH($B52&amp;"/"&amp;$C52,逆引き作成用!AW$2:AW$169,FALSE),1),"")</f>
        <v/>
      </c>
      <c r="AX52" s="17" t="str">
        <f>IFERROR(INDEX(逆引き作成用!$C$2:$C$169,MATCH($B52&amp;"/"&amp;$C52,逆引き作成用!AX$2:AX$169,FALSE),1),"")</f>
        <v/>
      </c>
      <c r="AY52" s="17" t="str">
        <f>IFERROR(INDEX(逆引き作成用!$C$2:$C$169,MATCH($B52&amp;"/"&amp;$C52,逆引き作成用!AY$2:AY$169,FALSE),1),"")</f>
        <v/>
      </c>
      <c r="AZ52" s="17" t="str">
        <f>IFERROR(INDEX(逆引き作成用!$C$2:$C$169,MATCH($B52&amp;"/"&amp;$C52,逆引き作成用!AZ$2:AZ$169,FALSE),1),"")</f>
        <v/>
      </c>
      <c r="BA52" s="17" t="str">
        <f>IFERROR(INDEX(逆引き作成用!$C$2:$C$169,MATCH($B52&amp;"/"&amp;$C52,逆引き作成用!BA$2:BA$169,FALSE),1),"")</f>
        <v/>
      </c>
    </row>
    <row r="53" spans="1:53">
      <c r="A53" s="17" t="str">
        <f>IFERROR(INDEX(役職一覧!$B$2:$B$31,MATCH(B53,役職一覧!$C$2:$C$31,FALSE),1),"")</f>
        <v/>
      </c>
      <c r="B53" s="17" t="str">
        <f>IFERROR(IF(C53=1,INDEX(役職一覧!$C$2:$C$31,MATCH(逆引き!B52,役職一覧!$C$2:$C$31,FALSE)+1,1)&amp;"",B52),"")</f>
        <v/>
      </c>
      <c r="C53" s="17" t="str">
        <f>IFERROR(IF(VLOOKUP(B52,役職一覧!$C$2:$E$31,3,FALSE)=C52,1,C52+1),"")</f>
        <v/>
      </c>
      <c r="D53" s="17" t="str">
        <f>IFERROR(INDEX(逆引き作成用!$C$2:$C$169,MATCH($B53&amp;"/"&amp;$C53,逆引き作成用!D$2:D$169,FALSE),1),"")</f>
        <v/>
      </c>
      <c r="E53" s="17" t="str">
        <f>IFERROR(INDEX(逆引き作成用!$C$2:$C$169,MATCH($B53&amp;"/"&amp;$C53,逆引き作成用!E$2:E$169,FALSE),1),"")</f>
        <v/>
      </c>
      <c r="F53" s="17" t="str">
        <f>IFERROR(INDEX(逆引き作成用!$C$2:$C$169,MATCH($B53&amp;"/"&amp;$C53,逆引き作成用!F$2:F$169,FALSE),1),"")</f>
        <v/>
      </c>
      <c r="G53" s="17" t="str">
        <f>IFERROR(INDEX(逆引き作成用!$C$2:$C$169,MATCH($B53&amp;"/"&amp;$C53,逆引き作成用!G$2:G$169,FALSE),1),"")</f>
        <v/>
      </c>
      <c r="H53" s="17" t="str">
        <f>IFERROR(INDEX(逆引き作成用!$C$2:$C$169,MATCH($B53&amp;"/"&amp;$C53,逆引き作成用!H$2:H$169,FALSE),1),"")</f>
        <v/>
      </c>
      <c r="I53" s="17" t="str">
        <f>IFERROR(INDEX(逆引き作成用!$C$2:$C$169,MATCH($B53&amp;"/"&amp;$C53,逆引き作成用!I$2:I$169,FALSE),1),"")</f>
        <v/>
      </c>
      <c r="J53" s="17" t="str">
        <f>IFERROR(INDEX(逆引き作成用!$C$2:$C$169,MATCH($B53&amp;"/"&amp;$C53,逆引き作成用!J$2:J$169,FALSE),1),"")</f>
        <v/>
      </c>
      <c r="K53" s="17" t="str">
        <f>IFERROR(INDEX(逆引き作成用!$C$2:$C$169,MATCH($B53&amp;"/"&amp;$C53,逆引き作成用!K$2:K$169,FALSE),1),"")</f>
        <v/>
      </c>
      <c r="L53" s="17" t="str">
        <f>IFERROR(INDEX(逆引き作成用!$C$2:$C$169,MATCH($B53&amp;"/"&amp;$C53,逆引き作成用!L$2:L$169,FALSE),1),"")</f>
        <v/>
      </c>
      <c r="M53" s="17" t="str">
        <f>IFERROR(INDEX(逆引き作成用!$C$2:$C$169,MATCH($B53&amp;"/"&amp;$C53,逆引き作成用!M$2:M$169,FALSE),1),"")</f>
        <v/>
      </c>
      <c r="N53" s="17" t="str">
        <f>IFERROR(INDEX(逆引き作成用!$C$2:$C$169,MATCH($B53&amp;"/"&amp;$C53,逆引き作成用!N$2:N$169,FALSE),1),"")</f>
        <v/>
      </c>
      <c r="O53" s="17" t="str">
        <f>IFERROR(INDEX(逆引き作成用!$C$2:$C$169,MATCH($B53&amp;"/"&amp;$C53,逆引き作成用!O$2:O$169,FALSE),1),"")</f>
        <v/>
      </c>
      <c r="P53" s="17" t="str">
        <f>IFERROR(INDEX(逆引き作成用!$C$2:$C$169,MATCH($B53&amp;"/"&amp;$C53,逆引き作成用!P$2:P$169,FALSE),1),"")</f>
        <v/>
      </c>
      <c r="Q53" s="17" t="str">
        <f>IFERROR(INDEX(逆引き作成用!$C$2:$C$169,MATCH($B53&amp;"/"&amp;$C53,逆引き作成用!Q$2:Q$169,FALSE),1),"")</f>
        <v/>
      </c>
      <c r="R53" s="17" t="str">
        <f>IFERROR(INDEX(逆引き作成用!$C$2:$C$169,MATCH($B53&amp;"/"&amp;$C53,逆引き作成用!R$2:R$169,FALSE),1),"")</f>
        <v/>
      </c>
      <c r="S53" s="17" t="str">
        <f>IFERROR(INDEX(逆引き作成用!$C$2:$C$169,MATCH($B53&amp;"/"&amp;$C53,逆引き作成用!S$2:S$169,FALSE),1),"")</f>
        <v/>
      </c>
      <c r="T53" s="17" t="str">
        <f>IFERROR(INDEX(逆引き作成用!$C$2:$C$169,MATCH($B53&amp;"/"&amp;$C53,逆引き作成用!T$2:T$169,FALSE),1),"")</f>
        <v/>
      </c>
      <c r="U53" s="17" t="str">
        <f>IFERROR(INDEX(逆引き作成用!$C$2:$C$169,MATCH($B53&amp;"/"&amp;$C53,逆引き作成用!U$2:U$169,FALSE),1),"")</f>
        <v/>
      </c>
      <c r="V53" s="17" t="str">
        <f>IFERROR(INDEX(逆引き作成用!$C$2:$C$169,MATCH($B53&amp;"/"&amp;$C53,逆引き作成用!V$2:V$169,FALSE),1),"")</f>
        <v/>
      </c>
      <c r="W53" s="17" t="str">
        <f>IFERROR(INDEX(逆引き作成用!$C$2:$C$169,MATCH($B53&amp;"/"&amp;$C53,逆引き作成用!W$2:W$169,FALSE),1),"")</f>
        <v/>
      </c>
      <c r="X53" s="17" t="str">
        <f>IFERROR(INDEX(逆引き作成用!$C$2:$C$169,MATCH($B53&amp;"/"&amp;$C53,逆引き作成用!X$2:X$169,FALSE),1),"")</f>
        <v/>
      </c>
      <c r="Y53" s="17" t="str">
        <f>IFERROR(INDEX(逆引き作成用!$C$2:$C$169,MATCH($B53&amp;"/"&amp;$C53,逆引き作成用!Y$2:Y$169,FALSE),1),"")</f>
        <v/>
      </c>
      <c r="Z53" s="17" t="str">
        <f>IFERROR(INDEX(逆引き作成用!$C$2:$C$169,MATCH($B53&amp;"/"&amp;$C53,逆引き作成用!Z$2:Z$169,FALSE),1),"")</f>
        <v/>
      </c>
      <c r="AA53" s="17" t="str">
        <f>IFERROR(INDEX(逆引き作成用!$C$2:$C$169,MATCH($B53&amp;"/"&amp;$C53,逆引き作成用!AA$2:AA$169,FALSE),1),"")</f>
        <v/>
      </c>
      <c r="AB53" s="17" t="str">
        <f>IFERROR(INDEX(逆引き作成用!$C$2:$C$169,MATCH($B53&amp;"/"&amp;$C53,逆引き作成用!AB$2:AB$169,FALSE),1),"")</f>
        <v/>
      </c>
      <c r="AC53" s="17" t="str">
        <f>IFERROR(INDEX(逆引き作成用!$C$2:$C$169,MATCH($B53&amp;"/"&amp;$C53,逆引き作成用!AC$2:AC$169,FALSE),1),"")</f>
        <v/>
      </c>
      <c r="AD53" s="17" t="str">
        <f>IFERROR(INDEX(逆引き作成用!$C$2:$C$169,MATCH($B53&amp;"/"&amp;$C53,逆引き作成用!AD$2:AD$169,FALSE),1),"")</f>
        <v/>
      </c>
      <c r="AE53" s="17" t="str">
        <f>IFERROR(INDEX(逆引き作成用!$C$2:$C$169,MATCH($B53&amp;"/"&amp;$C53,逆引き作成用!AE$2:AE$169,FALSE),1),"")</f>
        <v/>
      </c>
      <c r="AF53" s="17" t="str">
        <f>IFERROR(INDEX(逆引き作成用!$C$2:$C$169,MATCH($B53&amp;"/"&amp;$C53,逆引き作成用!AF$2:AF$169,FALSE),1),"")</f>
        <v/>
      </c>
      <c r="AG53" s="17" t="str">
        <f>IFERROR(INDEX(逆引き作成用!$C$2:$C$169,MATCH($B53&amp;"/"&amp;$C53,逆引き作成用!AG$2:AG$169,FALSE),1),"")</f>
        <v/>
      </c>
      <c r="AH53" s="17" t="str">
        <f>IFERROR(INDEX(逆引き作成用!$C$2:$C$169,MATCH($B53&amp;"/"&amp;$C53,逆引き作成用!AH$2:AH$169,FALSE),1),"")</f>
        <v/>
      </c>
      <c r="AI53" s="17" t="str">
        <f>IFERROR(INDEX(逆引き作成用!$C$2:$C$169,MATCH($B53&amp;"/"&amp;$C53,逆引き作成用!AI$2:AI$169,FALSE),1),"")</f>
        <v/>
      </c>
      <c r="AJ53" s="17" t="str">
        <f>IFERROR(INDEX(逆引き作成用!$C$2:$C$169,MATCH($B53&amp;"/"&amp;$C53,逆引き作成用!AJ$2:AJ$169,FALSE),1),"")</f>
        <v/>
      </c>
      <c r="AK53" s="17" t="str">
        <f>IFERROR(INDEX(逆引き作成用!$C$2:$C$169,MATCH($B53&amp;"/"&amp;$C53,逆引き作成用!AK$2:AK$169,FALSE),1),"")</f>
        <v/>
      </c>
      <c r="AL53" s="17" t="str">
        <f>IFERROR(INDEX(逆引き作成用!$C$2:$C$169,MATCH($B53&amp;"/"&amp;$C53,逆引き作成用!AL$2:AL$169,FALSE),1),"")</f>
        <v/>
      </c>
      <c r="AM53" s="17" t="str">
        <f>IFERROR(INDEX(逆引き作成用!$C$2:$C$169,MATCH($B53&amp;"/"&amp;$C53,逆引き作成用!AM$2:AM$169,FALSE),1),"")</f>
        <v/>
      </c>
      <c r="AN53" s="17" t="str">
        <f>IFERROR(INDEX(逆引き作成用!$C$2:$C$169,MATCH($B53&amp;"/"&amp;$C53,逆引き作成用!AN$2:AN$169,FALSE),1),"")</f>
        <v/>
      </c>
      <c r="AO53" s="17" t="str">
        <f>IFERROR(INDEX(逆引き作成用!$C$2:$C$169,MATCH($B53&amp;"/"&amp;$C53,逆引き作成用!AO$2:AO$169,FALSE),1),"")</f>
        <v/>
      </c>
      <c r="AP53" s="17" t="str">
        <f>IFERROR(INDEX(逆引き作成用!$C$2:$C$169,MATCH($B53&amp;"/"&amp;$C53,逆引き作成用!AP$2:AP$169,FALSE),1),"")</f>
        <v/>
      </c>
      <c r="AQ53" s="17" t="str">
        <f>IFERROR(INDEX(逆引き作成用!$C$2:$C$169,MATCH($B53&amp;"/"&amp;$C53,逆引き作成用!AQ$2:AQ$169,FALSE),1),"")</f>
        <v/>
      </c>
      <c r="AR53" s="17" t="str">
        <f>IFERROR(INDEX(逆引き作成用!$C$2:$C$169,MATCH($B53&amp;"/"&amp;$C53,逆引き作成用!AR$2:AR$169,FALSE),1),"")</f>
        <v/>
      </c>
      <c r="AS53" s="17" t="str">
        <f>IFERROR(INDEX(逆引き作成用!$C$2:$C$169,MATCH($B53&amp;"/"&amp;$C53,逆引き作成用!AS$2:AS$169,FALSE),1),"")</f>
        <v/>
      </c>
      <c r="AT53" s="17" t="str">
        <f>IFERROR(INDEX(逆引き作成用!$C$2:$C$169,MATCH($B53&amp;"/"&amp;$C53,逆引き作成用!AT$2:AT$169,FALSE),1),"")</f>
        <v/>
      </c>
      <c r="AU53" s="17" t="str">
        <f>IFERROR(INDEX(逆引き作成用!$C$2:$C$169,MATCH($B53&amp;"/"&amp;$C53,逆引き作成用!AU$2:AU$169,FALSE),1),"")</f>
        <v/>
      </c>
      <c r="AV53" s="17" t="str">
        <f>IFERROR(INDEX(逆引き作成用!$C$2:$C$169,MATCH($B53&amp;"/"&amp;$C53,逆引き作成用!AV$2:AV$169,FALSE),1),"")</f>
        <v/>
      </c>
      <c r="AW53" s="17" t="str">
        <f>IFERROR(INDEX(逆引き作成用!$C$2:$C$169,MATCH($B53&amp;"/"&amp;$C53,逆引き作成用!AW$2:AW$169,FALSE),1),"")</f>
        <v/>
      </c>
      <c r="AX53" s="17" t="str">
        <f>IFERROR(INDEX(逆引き作成用!$C$2:$C$169,MATCH($B53&amp;"/"&amp;$C53,逆引き作成用!AX$2:AX$169,FALSE),1),"")</f>
        <v/>
      </c>
      <c r="AY53" s="17" t="str">
        <f>IFERROR(INDEX(逆引き作成用!$C$2:$C$169,MATCH($B53&amp;"/"&amp;$C53,逆引き作成用!AY$2:AY$169,FALSE),1),"")</f>
        <v/>
      </c>
      <c r="AZ53" s="17" t="str">
        <f>IFERROR(INDEX(逆引き作成用!$C$2:$C$169,MATCH($B53&amp;"/"&amp;$C53,逆引き作成用!AZ$2:AZ$169,FALSE),1),"")</f>
        <v/>
      </c>
      <c r="BA53" s="17" t="str">
        <f>IFERROR(INDEX(逆引き作成用!$C$2:$C$169,MATCH($B53&amp;"/"&amp;$C53,逆引き作成用!BA$2:BA$169,FALSE),1),"")</f>
        <v/>
      </c>
    </row>
    <row r="54" spans="1:53">
      <c r="A54" s="17" t="str">
        <f>IFERROR(INDEX(役職一覧!$B$2:$B$31,MATCH(B54,役職一覧!$C$2:$C$31,FALSE),1),"")</f>
        <v/>
      </c>
      <c r="B54" s="17" t="str">
        <f>IFERROR(IF(C54=1,INDEX(役職一覧!$C$2:$C$31,MATCH(逆引き!B53,役職一覧!$C$2:$C$31,FALSE)+1,1)&amp;"",B53),"")</f>
        <v/>
      </c>
      <c r="C54" s="17" t="str">
        <f>IFERROR(IF(VLOOKUP(B53,役職一覧!$C$2:$E$31,3,FALSE)=C53,1,C53+1),"")</f>
        <v/>
      </c>
      <c r="D54" s="17" t="str">
        <f>IFERROR(INDEX(逆引き作成用!$C$2:$C$169,MATCH($B54&amp;"/"&amp;$C54,逆引き作成用!D$2:D$169,FALSE),1),"")</f>
        <v/>
      </c>
      <c r="E54" s="17" t="str">
        <f>IFERROR(INDEX(逆引き作成用!$C$2:$C$169,MATCH($B54&amp;"/"&amp;$C54,逆引き作成用!E$2:E$169,FALSE),1),"")</f>
        <v/>
      </c>
      <c r="F54" s="17" t="str">
        <f>IFERROR(INDEX(逆引き作成用!$C$2:$C$169,MATCH($B54&amp;"/"&amp;$C54,逆引き作成用!F$2:F$169,FALSE),1),"")</f>
        <v/>
      </c>
      <c r="G54" s="17" t="str">
        <f>IFERROR(INDEX(逆引き作成用!$C$2:$C$169,MATCH($B54&amp;"/"&amp;$C54,逆引き作成用!G$2:G$169,FALSE),1),"")</f>
        <v/>
      </c>
      <c r="H54" s="17" t="str">
        <f>IFERROR(INDEX(逆引き作成用!$C$2:$C$169,MATCH($B54&amp;"/"&amp;$C54,逆引き作成用!H$2:H$169,FALSE),1),"")</f>
        <v/>
      </c>
      <c r="I54" s="17" t="str">
        <f>IFERROR(INDEX(逆引き作成用!$C$2:$C$169,MATCH($B54&amp;"/"&amp;$C54,逆引き作成用!I$2:I$169,FALSE),1),"")</f>
        <v/>
      </c>
      <c r="J54" s="17" t="str">
        <f>IFERROR(INDEX(逆引き作成用!$C$2:$C$169,MATCH($B54&amp;"/"&amp;$C54,逆引き作成用!J$2:J$169,FALSE),1),"")</f>
        <v/>
      </c>
      <c r="K54" s="17" t="str">
        <f>IFERROR(INDEX(逆引き作成用!$C$2:$C$169,MATCH($B54&amp;"/"&amp;$C54,逆引き作成用!K$2:K$169,FALSE),1),"")</f>
        <v/>
      </c>
      <c r="L54" s="17" t="str">
        <f>IFERROR(INDEX(逆引き作成用!$C$2:$C$169,MATCH($B54&amp;"/"&amp;$C54,逆引き作成用!L$2:L$169,FALSE),1),"")</f>
        <v/>
      </c>
      <c r="M54" s="17" t="str">
        <f>IFERROR(INDEX(逆引き作成用!$C$2:$C$169,MATCH($B54&amp;"/"&amp;$C54,逆引き作成用!M$2:M$169,FALSE),1),"")</f>
        <v/>
      </c>
      <c r="N54" s="17" t="str">
        <f>IFERROR(INDEX(逆引き作成用!$C$2:$C$169,MATCH($B54&amp;"/"&amp;$C54,逆引き作成用!N$2:N$169,FALSE),1),"")</f>
        <v/>
      </c>
      <c r="O54" s="17" t="str">
        <f>IFERROR(INDEX(逆引き作成用!$C$2:$C$169,MATCH($B54&amp;"/"&amp;$C54,逆引き作成用!O$2:O$169,FALSE),1),"")</f>
        <v/>
      </c>
      <c r="P54" s="17" t="str">
        <f>IFERROR(INDEX(逆引き作成用!$C$2:$C$169,MATCH($B54&amp;"/"&amp;$C54,逆引き作成用!P$2:P$169,FALSE),1),"")</f>
        <v/>
      </c>
      <c r="Q54" s="17" t="str">
        <f>IFERROR(INDEX(逆引き作成用!$C$2:$C$169,MATCH($B54&amp;"/"&amp;$C54,逆引き作成用!Q$2:Q$169,FALSE),1),"")</f>
        <v/>
      </c>
      <c r="R54" s="17" t="str">
        <f>IFERROR(INDEX(逆引き作成用!$C$2:$C$169,MATCH($B54&amp;"/"&amp;$C54,逆引き作成用!R$2:R$169,FALSE),1),"")</f>
        <v/>
      </c>
      <c r="S54" s="17" t="str">
        <f>IFERROR(INDEX(逆引き作成用!$C$2:$C$169,MATCH($B54&amp;"/"&amp;$C54,逆引き作成用!S$2:S$169,FALSE),1),"")</f>
        <v/>
      </c>
      <c r="T54" s="17" t="str">
        <f>IFERROR(INDEX(逆引き作成用!$C$2:$C$169,MATCH($B54&amp;"/"&amp;$C54,逆引き作成用!T$2:T$169,FALSE),1),"")</f>
        <v/>
      </c>
      <c r="U54" s="17" t="str">
        <f>IFERROR(INDEX(逆引き作成用!$C$2:$C$169,MATCH($B54&amp;"/"&amp;$C54,逆引き作成用!U$2:U$169,FALSE),1),"")</f>
        <v/>
      </c>
      <c r="V54" s="17" t="str">
        <f>IFERROR(INDEX(逆引き作成用!$C$2:$C$169,MATCH($B54&amp;"/"&amp;$C54,逆引き作成用!V$2:V$169,FALSE),1),"")</f>
        <v/>
      </c>
      <c r="W54" s="17" t="str">
        <f>IFERROR(INDEX(逆引き作成用!$C$2:$C$169,MATCH($B54&amp;"/"&amp;$C54,逆引き作成用!W$2:W$169,FALSE),1),"")</f>
        <v/>
      </c>
      <c r="X54" s="17" t="str">
        <f>IFERROR(INDEX(逆引き作成用!$C$2:$C$169,MATCH($B54&amp;"/"&amp;$C54,逆引き作成用!X$2:X$169,FALSE),1),"")</f>
        <v/>
      </c>
      <c r="Y54" s="17" t="str">
        <f>IFERROR(INDEX(逆引き作成用!$C$2:$C$169,MATCH($B54&amp;"/"&amp;$C54,逆引き作成用!Y$2:Y$169,FALSE),1),"")</f>
        <v/>
      </c>
      <c r="Z54" s="17" t="str">
        <f>IFERROR(INDEX(逆引き作成用!$C$2:$C$169,MATCH($B54&amp;"/"&amp;$C54,逆引き作成用!Z$2:Z$169,FALSE),1),"")</f>
        <v/>
      </c>
      <c r="AA54" s="17" t="str">
        <f>IFERROR(INDEX(逆引き作成用!$C$2:$C$169,MATCH($B54&amp;"/"&amp;$C54,逆引き作成用!AA$2:AA$169,FALSE),1),"")</f>
        <v/>
      </c>
      <c r="AB54" s="17" t="str">
        <f>IFERROR(INDEX(逆引き作成用!$C$2:$C$169,MATCH($B54&amp;"/"&amp;$C54,逆引き作成用!AB$2:AB$169,FALSE),1),"")</f>
        <v/>
      </c>
      <c r="AC54" s="17" t="str">
        <f>IFERROR(INDEX(逆引き作成用!$C$2:$C$169,MATCH($B54&amp;"/"&amp;$C54,逆引き作成用!AC$2:AC$169,FALSE),1),"")</f>
        <v/>
      </c>
      <c r="AD54" s="17" t="str">
        <f>IFERROR(INDEX(逆引き作成用!$C$2:$C$169,MATCH($B54&amp;"/"&amp;$C54,逆引き作成用!AD$2:AD$169,FALSE),1),"")</f>
        <v/>
      </c>
      <c r="AE54" s="17" t="str">
        <f>IFERROR(INDEX(逆引き作成用!$C$2:$C$169,MATCH($B54&amp;"/"&amp;$C54,逆引き作成用!AE$2:AE$169,FALSE),1),"")</f>
        <v/>
      </c>
      <c r="AF54" s="17" t="str">
        <f>IFERROR(INDEX(逆引き作成用!$C$2:$C$169,MATCH($B54&amp;"/"&amp;$C54,逆引き作成用!AF$2:AF$169,FALSE),1),"")</f>
        <v/>
      </c>
      <c r="AG54" s="17" t="str">
        <f>IFERROR(INDEX(逆引き作成用!$C$2:$C$169,MATCH($B54&amp;"/"&amp;$C54,逆引き作成用!AG$2:AG$169,FALSE),1),"")</f>
        <v/>
      </c>
      <c r="AH54" s="17" t="str">
        <f>IFERROR(INDEX(逆引き作成用!$C$2:$C$169,MATCH($B54&amp;"/"&amp;$C54,逆引き作成用!AH$2:AH$169,FALSE),1),"")</f>
        <v/>
      </c>
      <c r="AI54" s="17" t="str">
        <f>IFERROR(INDEX(逆引き作成用!$C$2:$C$169,MATCH($B54&amp;"/"&amp;$C54,逆引き作成用!AI$2:AI$169,FALSE),1),"")</f>
        <v/>
      </c>
      <c r="AJ54" s="17" t="str">
        <f>IFERROR(INDEX(逆引き作成用!$C$2:$C$169,MATCH($B54&amp;"/"&amp;$C54,逆引き作成用!AJ$2:AJ$169,FALSE),1),"")</f>
        <v/>
      </c>
      <c r="AK54" s="17" t="str">
        <f>IFERROR(INDEX(逆引き作成用!$C$2:$C$169,MATCH($B54&amp;"/"&amp;$C54,逆引き作成用!AK$2:AK$169,FALSE),1),"")</f>
        <v/>
      </c>
      <c r="AL54" s="17" t="str">
        <f>IFERROR(INDEX(逆引き作成用!$C$2:$C$169,MATCH($B54&amp;"/"&amp;$C54,逆引き作成用!AL$2:AL$169,FALSE),1),"")</f>
        <v/>
      </c>
      <c r="AM54" s="17" t="str">
        <f>IFERROR(INDEX(逆引き作成用!$C$2:$C$169,MATCH($B54&amp;"/"&amp;$C54,逆引き作成用!AM$2:AM$169,FALSE),1),"")</f>
        <v/>
      </c>
      <c r="AN54" s="17" t="str">
        <f>IFERROR(INDEX(逆引き作成用!$C$2:$C$169,MATCH($B54&amp;"/"&amp;$C54,逆引き作成用!AN$2:AN$169,FALSE),1),"")</f>
        <v/>
      </c>
      <c r="AO54" s="17" t="str">
        <f>IFERROR(INDEX(逆引き作成用!$C$2:$C$169,MATCH($B54&amp;"/"&amp;$C54,逆引き作成用!AO$2:AO$169,FALSE),1),"")</f>
        <v/>
      </c>
      <c r="AP54" s="17" t="str">
        <f>IFERROR(INDEX(逆引き作成用!$C$2:$C$169,MATCH($B54&amp;"/"&amp;$C54,逆引き作成用!AP$2:AP$169,FALSE),1),"")</f>
        <v/>
      </c>
      <c r="AQ54" s="17" t="str">
        <f>IFERROR(INDEX(逆引き作成用!$C$2:$C$169,MATCH($B54&amp;"/"&amp;$C54,逆引き作成用!AQ$2:AQ$169,FALSE),1),"")</f>
        <v/>
      </c>
      <c r="AR54" s="17" t="str">
        <f>IFERROR(INDEX(逆引き作成用!$C$2:$C$169,MATCH($B54&amp;"/"&amp;$C54,逆引き作成用!AR$2:AR$169,FALSE),1),"")</f>
        <v/>
      </c>
      <c r="AS54" s="17" t="str">
        <f>IFERROR(INDEX(逆引き作成用!$C$2:$C$169,MATCH($B54&amp;"/"&amp;$C54,逆引き作成用!AS$2:AS$169,FALSE),1),"")</f>
        <v/>
      </c>
      <c r="AT54" s="17" t="str">
        <f>IFERROR(INDEX(逆引き作成用!$C$2:$C$169,MATCH($B54&amp;"/"&amp;$C54,逆引き作成用!AT$2:AT$169,FALSE),1),"")</f>
        <v/>
      </c>
      <c r="AU54" s="17" t="str">
        <f>IFERROR(INDEX(逆引き作成用!$C$2:$C$169,MATCH($B54&amp;"/"&amp;$C54,逆引き作成用!AU$2:AU$169,FALSE),1),"")</f>
        <v/>
      </c>
      <c r="AV54" s="17" t="str">
        <f>IFERROR(INDEX(逆引き作成用!$C$2:$C$169,MATCH($B54&amp;"/"&amp;$C54,逆引き作成用!AV$2:AV$169,FALSE),1),"")</f>
        <v/>
      </c>
      <c r="AW54" s="17" t="str">
        <f>IFERROR(INDEX(逆引き作成用!$C$2:$C$169,MATCH($B54&amp;"/"&amp;$C54,逆引き作成用!AW$2:AW$169,FALSE),1),"")</f>
        <v/>
      </c>
      <c r="AX54" s="17" t="str">
        <f>IFERROR(INDEX(逆引き作成用!$C$2:$C$169,MATCH($B54&amp;"/"&amp;$C54,逆引き作成用!AX$2:AX$169,FALSE),1),"")</f>
        <v/>
      </c>
      <c r="AY54" s="17" t="str">
        <f>IFERROR(INDEX(逆引き作成用!$C$2:$C$169,MATCH($B54&amp;"/"&amp;$C54,逆引き作成用!AY$2:AY$169,FALSE),1),"")</f>
        <v/>
      </c>
      <c r="AZ54" s="17" t="str">
        <f>IFERROR(INDEX(逆引き作成用!$C$2:$C$169,MATCH($B54&amp;"/"&amp;$C54,逆引き作成用!AZ$2:AZ$169,FALSE),1),"")</f>
        <v/>
      </c>
      <c r="BA54" s="17" t="str">
        <f>IFERROR(INDEX(逆引き作成用!$C$2:$C$169,MATCH($B54&amp;"/"&amp;$C54,逆引き作成用!BA$2:BA$169,FALSE),1),"")</f>
        <v/>
      </c>
    </row>
    <row r="55" spans="1:53">
      <c r="A55" s="17" t="str">
        <f>IFERROR(INDEX(役職一覧!$B$2:$B$31,MATCH(B55,役職一覧!$C$2:$C$31,FALSE),1),"")</f>
        <v/>
      </c>
      <c r="B55" s="17" t="str">
        <f>IFERROR(IF(C55=1,INDEX(役職一覧!$C$2:$C$31,MATCH(逆引き!B54,役職一覧!$C$2:$C$31,FALSE)+1,1)&amp;"",B54),"")</f>
        <v/>
      </c>
      <c r="C55" s="17" t="str">
        <f>IFERROR(IF(VLOOKUP(B54,役職一覧!$C$2:$E$31,3,FALSE)=C54,1,C54+1),"")</f>
        <v/>
      </c>
      <c r="D55" s="17" t="str">
        <f>IFERROR(INDEX(逆引き作成用!$C$2:$C$169,MATCH($B55&amp;"/"&amp;$C55,逆引き作成用!D$2:D$169,FALSE),1),"")</f>
        <v/>
      </c>
      <c r="E55" s="17" t="str">
        <f>IFERROR(INDEX(逆引き作成用!$C$2:$C$169,MATCH($B55&amp;"/"&amp;$C55,逆引き作成用!E$2:E$169,FALSE),1),"")</f>
        <v/>
      </c>
      <c r="F55" s="17" t="str">
        <f>IFERROR(INDEX(逆引き作成用!$C$2:$C$169,MATCH($B55&amp;"/"&amp;$C55,逆引き作成用!F$2:F$169,FALSE),1),"")</f>
        <v/>
      </c>
      <c r="G55" s="17" t="str">
        <f>IFERROR(INDEX(逆引き作成用!$C$2:$C$169,MATCH($B55&amp;"/"&amp;$C55,逆引き作成用!G$2:G$169,FALSE),1),"")</f>
        <v/>
      </c>
      <c r="H55" s="17" t="str">
        <f>IFERROR(INDEX(逆引き作成用!$C$2:$C$169,MATCH($B55&amp;"/"&amp;$C55,逆引き作成用!H$2:H$169,FALSE),1),"")</f>
        <v/>
      </c>
      <c r="I55" s="17" t="str">
        <f>IFERROR(INDEX(逆引き作成用!$C$2:$C$169,MATCH($B55&amp;"/"&amp;$C55,逆引き作成用!I$2:I$169,FALSE),1),"")</f>
        <v/>
      </c>
      <c r="J55" s="17" t="str">
        <f>IFERROR(INDEX(逆引き作成用!$C$2:$C$169,MATCH($B55&amp;"/"&amp;$C55,逆引き作成用!J$2:J$169,FALSE),1),"")</f>
        <v/>
      </c>
      <c r="K55" s="17" t="str">
        <f>IFERROR(INDEX(逆引き作成用!$C$2:$C$169,MATCH($B55&amp;"/"&amp;$C55,逆引き作成用!K$2:K$169,FALSE),1),"")</f>
        <v/>
      </c>
      <c r="L55" s="17" t="str">
        <f>IFERROR(INDEX(逆引き作成用!$C$2:$C$169,MATCH($B55&amp;"/"&amp;$C55,逆引き作成用!L$2:L$169,FALSE),1),"")</f>
        <v/>
      </c>
      <c r="M55" s="17" t="str">
        <f>IFERROR(INDEX(逆引き作成用!$C$2:$C$169,MATCH($B55&amp;"/"&amp;$C55,逆引き作成用!M$2:M$169,FALSE),1),"")</f>
        <v/>
      </c>
      <c r="N55" s="17" t="str">
        <f>IFERROR(INDEX(逆引き作成用!$C$2:$C$169,MATCH($B55&amp;"/"&amp;$C55,逆引き作成用!N$2:N$169,FALSE),1),"")</f>
        <v/>
      </c>
      <c r="O55" s="17" t="str">
        <f>IFERROR(INDEX(逆引き作成用!$C$2:$C$169,MATCH($B55&amp;"/"&amp;$C55,逆引き作成用!O$2:O$169,FALSE),1),"")</f>
        <v/>
      </c>
      <c r="P55" s="17" t="str">
        <f>IFERROR(INDEX(逆引き作成用!$C$2:$C$169,MATCH($B55&amp;"/"&amp;$C55,逆引き作成用!P$2:P$169,FALSE),1),"")</f>
        <v/>
      </c>
      <c r="Q55" s="17" t="str">
        <f>IFERROR(INDEX(逆引き作成用!$C$2:$C$169,MATCH($B55&amp;"/"&amp;$C55,逆引き作成用!Q$2:Q$169,FALSE),1),"")</f>
        <v/>
      </c>
      <c r="R55" s="17" t="str">
        <f>IFERROR(INDEX(逆引き作成用!$C$2:$C$169,MATCH($B55&amp;"/"&amp;$C55,逆引き作成用!R$2:R$169,FALSE),1),"")</f>
        <v/>
      </c>
      <c r="S55" s="17" t="str">
        <f>IFERROR(INDEX(逆引き作成用!$C$2:$C$169,MATCH($B55&amp;"/"&amp;$C55,逆引き作成用!S$2:S$169,FALSE),1),"")</f>
        <v/>
      </c>
      <c r="T55" s="17" t="str">
        <f>IFERROR(INDEX(逆引き作成用!$C$2:$C$169,MATCH($B55&amp;"/"&amp;$C55,逆引き作成用!T$2:T$169,FALSE),1),"")</f>
        <v/>
      </c>
      <c r="U55" s="17" t="str">
        <f>IFERROR(INDEX(逆引き作成用!$C$2:$C$169,MATCH($B55&amp;"/"&amp;$C55,逆引き作成用!U$2:U$169,FALSE),1),"")</f>
        <v/>
      </c>
      <c r="V55" s="17" t="str">
        <f>IFERROR(INDEX(逆引き作成用!$C$2:$C$169,MATCH($B55&amp;"/"&amp;$C55,逆引き作成用!V$2:V$169,FALSE),1),"")</f>
        <v/>
      </c>
      <c r="W55" s="17" t="str">
        <f>IFERROR(INDEX(逆引き作成用!$C$2:$C$169,MATCH($B55&amp;"/"&amp;$C55,逆引き作成用!W$2:W$169,FALSE),1),"")</f>
        <v/>
      </c>
      <c r="X55" s="17" t="str">
        <f>IFERROR(INDEX(逆引き作成用!$C$2:$C$169,MATCH($B55&amp;"/"&amp;$C55,逆引き作成用!X$2:X$169,FALSE),1),"")</f>
        <v/>
      </c>
      <c r="Y55" s="17" t="str">
        <f>IFERROR(INDEX(逆引き作成用!$C$2:$C$169,MATCH($B55&amp;"/"&amp;$C55,逆引き作成用!Y$2:Y$169,FALSE),1),"")</f>
        <v/>
      </c>
      <c r="Z55" s="17" t="str">
        <f>IFERROR(INDEX(逆引き作成用!$C$2:$C$169,MATCH($B55&amp;"/"&amp;$C55,逆引き作成用!Z$2:Z$169,FALSE),1),"")</f>
        <v/>
      </c>
      <c r="AA55" s="17" t="str">
        <f>IFERROR(INDEX(逆引き作成用!$C$2:$C$169,MATCH($B55&amp;"/"&amp;$C55,逆引き作成用!AA$2:AA$169,FALSE),1),"")</f>
        <v/>
      </c>
      <c r="AB55" s="17" t="str">
        <f>IFERROR(INDEX(逆引き作成用!$C$2:$C$169,MATCH($B55&amp;"/"&amp;$C55,逆引き作成用!AB$2:AB$169,FALSE),1),"")</f>
        <v/>
      </c>
      <c r="AC55" s="17" t="str">
        <f>IFERROR(INDEX(逆引き作成用!$C$2:$C$169,MATCH($B55&amp;"/"&amp;$C55,逆引き作成用!AC$2:AC$169,FALSE),1),"")</f>
        <v/>
      </c>
      <c r="AD55" s="17" t="str">
        <f>IFERROR(INDEX(逆引き作成用!$C$2:$C$169,MATCH($B55&amp;"/"&amp;$C55,逆引き作成用!AD$2:AD$169,FALSE),1),"")</f>
        <v/>
      </c>
      <c r="AE55" s="17" t="str">
        <f>IFERROR(INDEX(逆引き作成用!$C$2:$C$169,MATCH($B55&amp;"/"&amp;$C55,逆引き作成用!AE$2:AE$169,FALSE),1),"")</f>
        <v/>
      </c>
      <c r="AF55" s="17" t="str">
        <f>IFERROR(INDEX(逆引き作成用!$C$2:$C$169,MATCH($B55&amp;"/"&amp;$C55,逆引き作成用!AF$2:AF$169,FALSE),1),"")</f>
        <v/>
      </c>
      <c r="AG55" s="17" t="str">
        <f>IFERROR(INDEX(逆引き作成用!$C$2:$C$169,MATCH($B55&amp;"/"&amp;$C55,逆引き作成用!AG$2:AG$169,FALSE),1),"")</f>
        <v/>
      </c>
      <c r="AH55" s="17" t="str">
        <f>IFERROR(INDEX(逆引き作成用!$C$2:$C$169,MATCH($B55&amp;"/"&amp;$C55,逆引き作成用!AH$2:AH$169,FALSE),1),"")</f>
        <v/>
      </c>
      <c r="AI55" s="17" t="str">
        <f>IFERROR(INDEX(逆引き作成用!$C$2:$C$169,MATCH($B55&amp;"/"&amp;$C55,逆引き作成用!AI$2:AI$169,FALSE),1),"")</f>
        <v/>
      </c>
      <c r="AJ55" s="17" t="str">
        <f>IFERROR(INDEX(逆引き作成用!$C$2:$C$169,MATCH($B55&amp;"/"&amp;$C55,逆引き作成用!AJ$2:AJ$169,FALSE),1),"")</f>
        <v/>
      </c>
      <c r="AK55" s="17" t="str">
        <f>IFERROR(INDEX(逆引き作成用!$C$2:$C$169,MATCH($B55&amp;"/"&amp;$C55,逆引き作成用!AK$2:AK$169,FALSE),1),"")</f>
        <v/>
      </c>
      <c r="AL55" s="17" t="str">
        <f>IFERROR(INDEX(逆引き作成用!$C$2:$C$169,MATCH($B55&amp;"/"&amp;$C55,逆引き作成用!AL$2:AL$169,FALSE),1),"")</f>
        <v/>
      </c>
      <c r="AM55" s="17" t="str">
        <f>IFERROR(INDEX(逆引き作成用!$C$2:$C$169,MATCH($B55&amp;"/"&amp;$C55,逆引き作成用!AM$2:AM$169,FALSE),1),"")</f>
        <v/>
      </c>
      <c r="AN55" s="17" t="str">
        <f>IFERROR(INDEX(逆引き作成用!$C$2:$C$169,MATCH($B55&amp;"/"&amp;$C55,逆引き作成用!AN$2:AN$169,FALSE),1),"")</f>
        <v/>
      </c>
      <c r="AO55" s="17" t="str">
        <f>IFERROR(INDEX(逆引き作成用!$C$2:$C$169,MATCH($B55&amp;"/"&amp;$C55,逆引き作成用!AO$2:AO$169,FALSE),1),"")</f>
        <v/>
      </c>
      <c r="AP55" s="17" t="str">
        <f>IFERROR(INDEX(逆引き作成用!$C$2:$C$169,MATCH($B55&amp;"/"&amp;$C55,逆引き作成用!AP$2:AP$169,FALSE),1),"")</f>
        <v/>
      </c>
      <c r="AQ55" s="17" t="str">
        <f>IFERROR(INDEX(逆引き作成用!$C$2:$C$169,MATCH($B55&amp;"/"&amp;$C55,逆引き作成用!AQ$2:AQ$169,FALSE),1),"")</f>
        <v/>
      </c>
      <c r="AR55" s="17" t="str">
        <f>IFERROR(INDEX(逆引き作成用!$C$2:$C$169,MATCH($B55&amp;"/"&amp;$C55,逆引き作成用!AR$2:AR$169,FALSE),1),"")</f>
        <v/>
      </c>
      <c r="AS55" s="17" t="str">
        <f>IFERROR(INDEX(逆引き作成用!$C$2:$C$169,MATCH($B55&amp;"/"&amp;$C55,逆引き作成用!AS$2:AS$169,FALSE),1),"")</f>
        <v/>
      </c>
      <c r="AT55" s="17" t="str">
        <f>IFERROR(INDEX(逆引き作成用!$C$2:$C$169,MATCH($B55&amp;"/"&amp;$C55,逆引き作成用!AT$2:AT$169,FALSE),1),"")</f>
        <v/>
      </c>
      <c r="AU55" s="17" t="str">
        <f>IFERROR(INDEX(逆引き作成用!$C$2:$C$169,MATCH($B55&amp;"/"&amp;$C55,逆引き作成用!AU$2:AU$169,FALSE),1),"")</f>
        <v/>
      </c>
      <c r="AV55" s="17" t="str">
        <f>IFERROR(INDEX(逆引き作成用!$C$2:$C$169,MATCH($B55&amp;"/"&amp;$C55,逆引き作成用!AV$2:AV$169,FALSE),1),"")</f>
        <v/>
      </c>
      <c r="AW55" s="17" t="str">
        <f>IFERROR(INDEX(逆引き作成用!$C$2:$C$169,MATCH($B55&amp;"/"&amp;$C55,逆引き作成用!AW$2:AW$169,FALSE),1),"")</f>
        <v/>
      </c>
      <c r="AX55" s="17" t="str">
        <f>IFERROR(INDEX(逆引き作成用!$C$2:$C$169,MATCH($B55&amp;"/"&amp;$C55,逆引き作成用!AX$2:AX$169,FALSE),1),"")</f>
        <v/>
      </c>
      <c r="AY55" s="17" t="str">
        <f>IFERROR(INDEX(逆引き作成用!$C$2:$C$169,MATCH($B55&amp;"/"&amp;$C55,逆引き作成用!AY$2:AY$169,FALSE),1),"")</f>
        <v/>
      </c>
      <c r="AZ55" s="17" t="str">
        <f>IFERROR(INDEX(逆引き作成用!$C$2:$C$169,MATCH($B55&amp;"/"&amp;$C55,逆引き作成用!AZ$2:AZ$169,FALSE),1),"")</f>
        <v/>
      </c>
      <c r="BA55" s="17" t="str">
        <f>IFERROR(INDEX(逆引き作成用!$C$2:$C$169,MATCH($B55&amp;"/"&amp;$C55,逆引き作成用!BA$2:BA$169,FALSE),1),"")</f>
        <v/>
      </c>
    </row>
    <row r="56" spans="1:53">
      <c r="A56" s="17" t="str">
        <f>IFERROR(INDEX(役職一覧!$B$2:$B$31,MATCH(B56,役職一覧!$C$2:$C$31,FALSE),1),"")</f>
        <v/>
      </c>
      <c r="B56" s="17" t="str">
        <f>IFERROR(IF(C56=1,INDEX(役職一覧!$C$2:$C$31,MATCH(逆引き!B55,役職一覧!$C$2:$C$31,FALSE)+1,1)&amp;"",B55),"")</f>
        <v/>
      </c>
      <c r="C56" s="17" t="str">
        <f>IFERROR(IF(VLOOKUP(B55,役職一覧!$C$2:$E$31,3,FALSE)=C55,1,C55+1),"")</f>
        <v/>
      </c>
      <c r="D56" s="17" t="str">
        <f>IFERROR(INDEX(逆引き作成用!$C$2:$C$169,MATCH($B56&amp;"/"&amp;$C56,逆引き作成用!D$2:D$169,FALSE),1),"")</f>
        <v/>
      </c>
      <c r="E56" s="17" t="str">
        <f>IFERROR(INDEX(逆引き作成用!$C$2:$C$169,MATCH($B56&amp;"/"&amp;$C56,逆引き作成用!E$2:E$169,FALSE),1),"")</f>
        <v/>
      </c>
      <c r="F56" s="17" t="str">
        <f>IFERROR(INDEX(逆引き作成用!$C$2:$C$169,MATCH($B56&amp;"/"&amp;$C56,逆引き作成用!F$2:F$169,FALSE),1),"")</f>
        <v/>
      </c>
      <c r="G56" s="17" t="str">
        <f>IFERROR(INDEX(逆引き作成用!$C$2:$C$169,MATCH($B56&amp;"/"&amp;$C56,逆引き作成用!G$2:G$169,FALSE),1),"")</f>
        <v/>
      </c>
      <c r="H56" s="17" t="str">
        <f>IFERROR(INDEX(逆引き作成用!$C$2:$C$169,MATCH($B56&amp;"/"&amp;$C56,逆引き作成用!H$2:H$169,FALSE),1),"")</f>
        <v/>
      </c>
      <c r="I56" s="17" t="str">
        <f>IFERROR(INDEX(逆引き作成用!$C$2:$C$169,MATCH($B56&amp;"/"&amp;$C56,逆引き作成用!I$2:I$169,FALSE),1),"")</f>
        <v/>
      </c>
      <c r="J56" s="17" t="str">
        <f>IFERROR(INDEX(逆引き作成用!$C$2:$C$169,MATCH($B56&amp;"/"&amp;$C56,逆引き作成用!J$2:J$169,FALSE),1),"")</f>
        <v/>
      </c>
      <c r="K56" s="17" t="str">
        <f>IFERROR(INDEX(逆引き作成用!$C$2:$C$169,MATCH($B56&amp;"/"&amp;$C56,逆引き作成用!K$2:K$169,FALSE),1),"")</f>
        <v/>
      </c>
      <c r="L56" s="17" t="str">
        <f>IFERROR(INDEX(逆引き作成用!$C$2:$C$169,MATCH($B56&amp;"/"&amp;$C56,逆引き作成用!L$2:L$169,FALSE),1),"")</f>
        <v/>
      </c>
      <c r="M56" s="17" t="str">
        <f>IFERROR(INDEX(逆引き作成用!$C$2:$C$169,MATCH($B56&amp;"/"&amp;$C56,逆引き作成用!M$2:M$169,FALSE),1),"")</f>
        <v/>
      </c>
      <c r="N56" s="17" t="str">
        <f>IFERROR(INDEX(逆引き作成用!$C$2:$C$169,MATCH($B56&amp;"/"&amp;$C56,逆引き作成用!N$2:N$169,FALSE),1),"")</f>
        <v/>
      </c>
      <c r="O56" s="17" t="str">
        <f>IFERROR(INDEX(逆引き作成用!$C$2:$C$169,MATCH($B56&amp;"/"&amp;$C56,逆引き作成用!O$2:O$169,FALSE),1),"")</f>
        <v/>
      </c>
      <c r="P56" s="17" t="str">
        <f>IFERROR(INDEX(逆引き作成用!$C$2:$C$169,MATCH($B56&amp;"/"&amp;$C56,逆引き作成用!P$2:P$169,FALSE),1),"")</f>
        <v/>
      </c>
      <c r="Q56" s="17" t="str">
        <f>IFERROR(INDEX(逆引き作成用!$C$2:$C$169,MATCH($B56&amp;"/"&amp;$C56,逆引き作成用!Q$2:Q$169,FALSE),1),"")</f>
        <v/>
      </c>
      <c r="R56" s="17" t="str">
        <f>IFERROR(INDEX(逆引き作成用!$C$2:$C$169,MATCH($B56&amp;"/"&amp;$C56,逆引き作成用!R$2:R$169,FALSE),1),"")</f>
        <v/>
      </c>
      <c r="S56" s="17" t="str">
        <f>IFERROR(INDEX(逆引き作成用!$C$2:$C$169,MATCH($B56&amp;"/"&amp;$C56,逆引き作成用!S$2:S$169,FALSE),1),"")</f>
        <v/>
      </c>
      <c r="T56" s="17" t="str">
        <f>IFERROR(INDEX(逆引き作成用!$C$2:$C$169,MATCH($B56&amp;"/"&amp;$C56,逆引き作成用!T$2:T$169,FALSE),1),"")</f>
        <v/>
      </c>
      <c r="U56" s="17" t="str">
        <f>IFERROR(INDEX(逆引き作成用!$C$2:$C$169,MATCH($B56&amp;"/"&amp;$C56,逆引き作成用!U$2:U$169,FALSE),1),"")</f>
        <v/>
      </c>
      <c r="V56" s="17" t="str">
        <f>IFERROR(INDEX(逆引き作成用!$C$2:$C$169,MATCH($B56&amp;"/"&amp;$C56,逆引き作成用!V$2:V$169,FALSE),1),"")</f>
        <v/>
      </c>
      <c r="W56" s="17" t="str">
        <f>IFERROR(INDEX(逆引き作成用!$C$2:$C$169,MATCH($B56&amp;"/"&amp;$C56,逆引き作成用!W$2:W$169,FALSE),1),"")</f>
        <v/>
      </c>
      <c r="X56" s="17" t="str">
        <f>IFERROR(INDEX(逆引き作成用!$C$2:$C$169,MATCH($B56&amp;"/"&amp;$C56,逆引き作成用!X$2:X$169,FALSE),1),"")</f>
        <v/>
      </c>
      <c r="Y56" s="17" t="str">
        <f>IFERROR(INDEX(逆引き作成用!$C$2:$C$169,MATCH($B56&amp;"/"&amp;$C56,逆引き作成用!Y$2:Y$169,FALSE),1),"")</f>
        <v/>
      </c>
      <c r="Z56" s="17" t="str">
        <f>IFERROR(INDEX(逆引き作成用!$C$2:$C$169,MATCH($B56&amp;"/"&amp;$C56,逆引き作成用!Z$2:Z$169,FALSE),1),"")</f>
        <v/>
      </c>
      <c r="AA56" s="17" t="str">
        <f>IFERROR(INDEX(逆引き作成用!$C$2:$C$169,MATCH($B56&amp;"/"&amp;$C56,逆引き作成用!AA$2:AA$169,FALSE),1),"")</f>
        <v/>
      </c>
      <c r="AB56" s="17" t="str">
        <f>IFERROR(INDEX(逆引き作成用!$C$2:$C$169,MATCH($B56&amp;"/"&amp;$C56,逆引き作成用!AB$2:AB$169,FALSE),1),"")</f>
        <v/>
      </c>
      <c r="AC56" s="17" t="str">
        <f>IFERROR(INDEX(逆引き作成用!$C$2:$C$169,MATCH($B56&amp;"/"&amp;$C56,逆引き作成用!AC$2:AC$169,FALSE),1),"")</f>
        <v/>
      </c>
      <c r="AD56" s="17" t="str">
        <f>IFERROR(INDEX(逆引き作成用!$C$2:$C$169,MATCH($B56&amp;"/"&amp;$C56,逆引き作成用!AD$2:AD$169,FALSE),1),"")</f>
        <v/>
      </c>
      <c r="AE56" s="17" t="str">
        <f>IFERROR(INDEX(逆引き作成用!$C$2:$C$169,MATCH($B56&amp;"/"&amp;$C56,逆引き作成用!AE$2:AE$169,FALSE),1),"")</f>
        <v/>
      </c>
      <c r="AF56" s="17" t="str">
        <f>IFERROR(INDEX(逆引き作成用!$C$2:$C$169,MATCH($B56&amp;"/"&amp;$C56,逆引き作成用!AF$2:AF$169,FALSE),1),"")</f>
        <v/>
      </c>
      <c r="AG56" s="17" t="str">
        <f>IFERROR(INDEX(逆引き作成用!$C$2:$C$169,MATCH($B56&amp;"/"&amp;$C56,逆引き作成用!AG$2:AG$169,FALSE),1),"")</f>
        <v/>
      </c>
      <c r="AH56" s="17" t="str">
        <f>IFERROR(INDEX(逆引き作成用!$C$2:$C$169,MATCH($B56&amp;"/"&amp;$C56,逆引き作成用!AH$2:AH$169,FALSE),1),"")</f>
        <v/>
      </c>
      <c r="AI56" s="17" t="str">
        <f>IFERROR(INDEX(逆引き作成用!$C$2:$C$169,MATCH($B56&amp;"/"&amp;$C56,逆引き作成用!AI$2:AI$169,FALSE),1),"")</f>
        <v/>
      </c>
      <c r="AJ56" s="17" t="str">
        <f>IFERROR(INDEX(逆引き作成用!$C$2:$C$169,MATCH($B56&amp;"/"&amp;$C56,逆引き作成用!AJ$2:AJ$169,FALSE),1),"")</f>
        <v/>
      </c>
      <c r="AK56" s="17" t="str">
        <f>IFERROR(INDEX(逆引き作成用!$C$2:$C$169,MATCH($B56&amp;"/"&amp;$C56,逆引き作成用!AK$2:AK$169,FALSE),1),"")</f>
        <v/>
      </c>
      <c r="AL56" s="17" t="str">
        <f>IFERROR(INDEX(逆引き作成用!$C$2:$C$169,MATCH($B56&amp;"/"&amp;$C56,逆引き作成用!AL$2:AL$169,FALSE),1),"")</f>
        <v/>
      </c>
      <c r="AM56" s="17" t="str">
        <f>IFERROR(INDEX(逆引き作成用!$C$2:$C$169,MATCH($B56&amp;"/"&amp;$C56,逆引き作成用!AM$2:AM$169,FALSE),1),"")</f>
        <v/>
      </c>
      <c r="AN56" s="17" t="str">
        <f>IFERROR(INDEX(逆引き作成用!$C$2:$C$169,MATCH($B56&amp;"/"&amp;$C56,逆引き作成用!AN$2:AN$169,FALSE),1),"")</f>
        <v/>
      </c>
      <c r="AO56" s="17" t="str">
        <f>IFERROR(INDEX(逆引き作成用!$C$2:$C$169,MATCH($B56&amp;"/"&amp;$C56,逆引き作成用!AO$2:AO$169,FALSE),1),"")</f>
        <v/>
      </c>
      <c r="AP56" s="17" t="str">
        <f>IFERROR(INDEX(逆引き作成用!$C$2:$C$169,MATCH($B56&amp;"/"&amp;$C56,逆引き作成用!AP$2:AP$169,FALSE),1),"")</f>
        <v/>
      </c>
      <c r="AQ56" s="17" t="str">
        <f>IFERROR(INDEX(逆引き作成用!$C$2:$C$169,MATCH($B56&amp;"/"&amp;$C56,逆引き作成用!AQ$2:AQ$169,FALSE),1),"")</f>
        <v/>
      </c>
      <c r="AR56" s="17" t="str">
        <f>IFERROR(INDEX(逆引き作成用!$C$2:$C$169,MATCH($B56&amp;"/"&amp;$C56,逆引き作成用!AR$2:AR$169,FALSE),1),"")</f>
        <v/>
      </c>
      <c r="AS56" s="17" t="str">
        <f>IFERROR(INDEX(逆引き作成用!$C$2:$C$169,MATCH($B56&amp;"/"&amp;$C56,逆引き作成用!AS$2:AS$169,FALSE),1),"")</f>
        <v/>
      </c>
      <c r="AT56" s="17" t="str">
        <f>IFERROR(INDEX(逆引き作成用!$C$2:$C$169,MATCH($B56&amp;"/"&amp;$C56,逆引き作成用!AT$2:AT$169,FALSE),1),"")</f>
        <v/>
      </c>
      <c r="AU56" s="17" t="str">
        <f>IFERROR(INDEX(逆引き作成用!$C$2:$C$169,MATCH($B56&amp;"/"&amp;$C56,逆引き作成用!AU$2:AU$169,FALSE),1),"")</f>
        <v/>
      </c>
      <c r="AV56" s="17" t="str">
        <f>IFERROR(INDEX(逆引き作成用!$C$2:$C$169,MATCH($B56&amp;"/"&amp;$C56,逆引き作成用!AV$2:AV$169,FALSE),1),"")</f>
        <v/>
      </c>
      <c r="AW56" s="17" t="str">
        <f>IFERROR(INDEX(逆引き作成用!$C$2:$C$169,MATCH($B56&amp;"/"&amp;$C56,逆引き作成用!AW$2:AW$169,FALSE),1),"")</f>
        <v/>
      </c>
      <c r="AX56" s="17" t="str">
        <f>IFERROR(INDEX(逆引き作成用!$C$2:$C$169,MATCH($B56&amp;"/"&amp;$C56,逆引き作成用!AX$2:AX$169,FALSE),1),"")</f>
        <v/>
      </c>
      <c r="AY56" s="17" t="str">
        <f>IFERROR(INDEX(逆引き作成用!$C$2:$C$169,MATCH($B56&amp;"/"&amp;$C56,逆引き作成用!AY$2:AY$169,FALSE),1),"")</f>
        <v/>
      </c>
      <c r="AZ56" s="17" t="str">
        <f>IFERROR(INDEX(逆引き作成用!$C$2:$C$169,MATCH($B56&amp;"/"&amp;$C56,逆引き作成用!AZ$2:AZ$169,FALSE),1),"")</f>
        <v/>
      </c>
      <c r="BA56" s="17" t="str">
        <f>IFERROR(INDEX(逆引き作成用!$C$2:$C$169,MATCH($B56&amp;"/"&amp;$C56,逆引き作成用!BA$2:BA$169,FALSE),1),"")</f>
        <v/>
      </c>
    </row>
    <row r="57" spans="1:53">
      <c r="A57" s="17" t="str">
        <f>IFERROR(INDEX(役職一覧!$B$2:$B$31,MATCH(B57,役職一覧!$C$2:$C$31,FALSE),1),"")</f>
        <v/>
      </c>
      <c r="B57" s="17" t="str">
        <f>IFERROR(IF(C57=1,INDEX(役職一覧!$C$2:$C$31,MATCH(逆引き!B56,役職一覧!$C$2:$C$31,FALSE)+1,1)&amp;"",B56),"")</f>
        <v/>
      </c>
      <c r="C57" s="17" t="str">
        <f>IFERROR(IF(VLOOKUP(B56,役職一覧!$C$2:$E$31,3,FALSE)=C56,1,C56+1),"")</f>
        <v/>
      </c>
      <c r="D57" s="17" t="str">
        <f>IFERROR(INDEX(逆引き作成用!$C$2:$C$169,MATCH($B57&amp;"/"&amp;$C57,逆引き作成用!D$2:D$169,FALSE),1),"")</f>
        <v/>
      </c>
      <c r="E57" s="17" t="str">
        <f>IFERROR(INDEX(逆引き作成用!$C$2:$C$169,MATCH($B57&amp;"/"&amp;$C57,逆引き作成用!E$2:E$169,FALSE),1),"")</f>
        <v/>
      </c>
      <c r="F57" s="17" t="str">
        <f>IFERROR(INDEX(逆引き作成用!$C$2:$C$169,MATCH($B57&amp;"/"&amp;$C57,逆引き作成用!F$2:F$169,FALSE),1),"")</f>
        <v/>
      </c>
      <c r="G57" s="17" t="str">
        <f>IFERROR(INDEX(逆引き作成用!$C$2:$C$169,MATCH($B57&amp;"/"&amp;$C57,逆引き作成用!G$2:G$169,FALSE),1),"")</f>
        <v/>
      </c>
      <c r="H57" s="17" t="str">
        <f>IFERROR(INDEX(逆引き作成用!$C$2:$C$169,MATCH($B57&amp;"/"&amp;$C57,逆引き作成用!H$2:H$169,FALSE),1),"")</f>
        <v/>
      </c>
      <c r="I57" s="17" t="str">
        <f>IFERROR(INDEX(逆引き作成用!$C$2:$C$169,MATCH($B57&amp;"/"&amp;$C57,逆引き作成用!I$2:I$169,FALSE),1),"")</f>
        <v/>
      </c>
      <c r="J57" s="17" t="str">
        <f>IFERROR(INDEX(逆引き作成用!$C$2:$C$169,MATCH($B57&amp;"/"&amp;$C57,逆引き作成用!J$2:J$169,FALSE),1),"")</f>
        <v/>
      </c>
      <c r="K57" s="17" t="str">
        <f>IFERROR(INDEX(逆引き作成用!$C$2:$C$169,MATCH($B57&amp;"/"&amp;$C57,逆引き作成用!K$2:K$169,FALSE),1),"")</f>
        <v/>
      </c>
      <c r="L57" s="17" t="str">
        <f>IFERROR(INDEX(逆引き作成用!$C$2:$C$169,MATCH($B57&amp;"/"&amp;$C57,逆引き作成用!L$2:L$169,FALSE),1),"")</f>
        <v/>
      </c>
      <c r="M57" s="17" t="str">
        <f>IFERROR(INDEX(逆引き作成用!$C$2:$C$169,MATCH($B57&amp;"/"&amp;$C57,逆引き作成用!M$2:M$169,FALSE),1),"")</f>
        <v/>
      </c>
      <c r="N57" s="17" t="str">
        <f>IFERROR(INDEX(逆引き作成用!$C$2:$C$169,MATCH($B57&amp;"/"&amp;$C57,逆引き作成用!N$2:N$169,FALSE),1),"")</f>
        <v/>
      </c>
      <c r="O57" s="17" t="str">
        <f>IFERROR(INDEX(逆引き作成用!$C$2:$C$169,MATCH($B57&amp;"/"&amp;$C57,逆引き作成用!O$2:O$169,FALSE),1),"")</f>
        <v/>
      </c>
      <c r="P57" s="17" t="str">
        <f>IFERROR(INDEX(逆引き作成用!$C$2:$C$169,MATCH($B57&amp;"/"&amp;$C57,逆引き作成用!P$2:P$169,FALSE),1),"")</f>
        <v/>
      </c>
      <c r="Q57" s="17" t="str">
        <f>IFERROR(INDEX(逆引き作成用!$C$2:$C$169,MATCH($B57&amp;"/"&amp;$C57,逆引き作成用!Q$2:Q$169,FALSE),1),"")</f>
        <v/>
      </c>
      <c r="R57" s="17" t="str">
        <f>IFERROR(INDEX(逆引き作成用!$C$2:$C$169,MATCH($B57&amp;"/"&amp;$C57,逆引き作成用!R$2:R$169,FALSE),1),"")</f>
        <v/>
      </c>
      <c r="S57" s="17" t="str">
        <f>IFERROR(INDEX(逆引き作成用!$C$2:$C$169,MATCH($B57&amp;"/"&amp;$C57,逆引き作成用!S$2:S$169,FALSE),1),"")</f>
        <v/>
      </c>
      <c r="T57" s="17" t="str">
        <f>IFERROR(INDEX(逆引き作成用!$C$2:$C$169,MATCH($B57&amp;"/"&amp;$C57,逆引き作成用!T$2:T$169,FALSE),1),"")</f>
        <v/>
      </c>
      <c r="U57" s="17" t="str">
        <f>IFERROR(INDEX(逆引き作成用!$C$2:$C$169,MATCH($B57&amp;"/"&amp;$C57,逆引き作成用!U$2:U$169,FALSE),1),"")</f>
        <v/>
      </c>
      <c r="V57" s="17" t="str">
        <f>IFERROR(INDEX(逆引き作成用!$C$2:$C$169,MATCH($B57&amp;"/"&amp;$C57,逆引き作成用!V$2:V$169,FALSE),1),"")</f>
        <v/>
      </c>
      <c r="W57" s="17" t="str">
        <f>IFERROR(INDEX(逆引き作成用!$C$2:$C$169,MATCH($B57&amp;"/"&amp;$C57,逆引き作成用!W$2:W$169,FALSE),1),"")</f>
        <v/>
      </c>
      <c r="X57" s="17" t="str">
        <f>IFERROR(INDEX(逆引き作成用!$C$2:$C$169,MATCH($B57&amp;"/"&amp;$C57,逆引き作成用!X$2:X$169,FALSE),1),"")</f>
        <v/>
      </c>
      <c r="Y57" s="17" t="str">
        <f>IFERROR(INDEX(逆引き作成用!$C$2:$C$169,MATCH($B57&amp;"/"&amp;$C57,逆引き作成用!Y$2:Y$169,FALSE),1),"")</f>
        <v/>
      </c>
      <c r="Z57" s="17" t="str">
        <f>IFERROR(INDEX(逆引き作成用!$C$2:$C$169,MATCH($B57&amp;"/"&amp;$C57,逆引き作成用!Z$2:Z$169,FALSE),1),"")</f>
        <v/>
      </c>
      <c r="AA57" s="17" t="str">
        <f>IFERROR(INDEX(逆引き作成用!$C$2:$C$169,MATCH($B57&amp;"/"&amp;$C57,逆引き作成用!AA$2:AA$169,FALSE),1),"")</f>
        <v/>
      </c>
      <c r="AB57" s="17" t="str">
        <f>IFERROR(INDEX(逆引き作成用!$C$2:$C$169,MATCH($B57&amp;"/"&amp;$C57,逆引き作成用!AB$2:AB$169,FALSE),1),"")</f>
        <v/>
      </c>
      <c r="AC57" s="17" t="str">
        <f>IFERROR(INDEX(逆引き作成用!$C$2:$C$169,MATCH($B57&amp;"/"&amp;$C57,逆引き作成用!AC$2:AC$169,FALSE),1),"")</f>
        <v/>
      </c>
      <c r="AD57" s="17" t="str">
        <f>IFERROR(INDEX(逆引き作成用!$C$2:$C$169,MATCH($B57&amp;"/"&amp;$C57,逆引き作成用!AD$2:AD$169,FALSE),1),"")</f>
        <v/>
      </c>
      <c r="AE57" s="17" t="str">
        <f>IFERROR(INDEX(逆引き作成用!$C$2:$C$169,MATCH($B57&amp;"/"&amp;$C57,逆引き作成用!AE$2:AE$169,FALSE),1),"")</f>
        <v/>
      </c>
      <c r="AF57" s="17" t="str">
        <f>IFERROR(INDEX(逆引き作成用!$C$2:$C$169,MATCH($B57&amp;"/"&amp;$C57,逆引き作成用!AF$2:AF$169,FALSE),1),"")</f>
        <v/>
      </c>
      <c r="AG57" s="17" t="str">
        <f>IFERROR(INDEX(逆引き作成用!$C$2:$C$169,MATCH($B57&amp;"/"&amp;$C57,逆引き作成用!AG$2:AG$169,FALSE),1),"")</f>
        <v/>
      </c>
      <c r="AH57" s="17" t="str">
        <f>IFERROR(INDEX(逆引き作成用!$C$2:$C$169,MATCH($B57&amp;"/"&amp;$C57,逆引き作成用!AH$2:AH$169,FALSE),1),"")</f>
        <v/>
      </c>
      <c r="AI57" s="17" t="str">
        <f>IFERROR(INDEX(逆引き作成用!$C$2:$C$169,MATCH($B57&amp;"/"&amp;$C57,逆引き作成用!AI$2:AI$169,FALSE),1),"")</f>
        <v/>
      </c>
      <c r="AJ57" s="17" t="str">
        <f>IFERROR(INDEX(逆引き作成用!$C$2:$C$169,MATCH($B57&amp;"/"&amp;$C57,逆引き作成用!AJ$2:AJ$169,FALSE),1),"")</f>
        <v/>
      </c>
      <c r="AK57" s="17" t="str">
        <f>IFERROR(INDEX(逆引き作成用!$C$2:$C$169,MATCH($B57&amp;"/"&amp;$C57,逆引き作成用!AK$2:AK$169,FALSE),1),"")</f>
        <v/>
      </c>
      <c r="AL57" s="17" t="str">
        <f>IFERROR(INDEX(逆引き作成用!$C$2:$C$169,MATCH($B57&amp;"/"&amp;$C57,逆引き作成用!AL$2:AL$169,FALSE),1),"")</f>
        <v/>
      </c>
      <c r="AM57" s="17" t="str">
        <f>IFERROR(INDEX(逆引き作成用!$C$2:$C$169,MATCH($B57&amp;"/"&amp;$C57,逆引き作成用!AM$2:AM$169,FALSE),1),"")</f>
        <v/>
      </c>
      <c r="AN57" s="17" t="str">
        <f>IFERROR(INDEX(逆引き作成用!$C$2:$C$169,MATCH($B57&amp;"/"&amp;$C57,逆引き作成用!AN$2:AN$169,FALSE),1),"")</f>
        <v/>
      </c>
      <c r="AO57" s="17" t="str">
        <f>IFERROR(INDEX(逆引き作成用!$C$2:$C$169,MATCH($B57&amp;"/"&amp;$C57,逆引き作成用!AO$2:AO$169,FALSE),1),"")</f>
        <v/>
      </c>
      <c r="AP57" s="17" t="str">
        <f>IFERROR(INDEX(逆引き作成用!$C$2:$C$169,MATCH($B57&amp;"/"&amp;$C57,逆引き作成用!AP$2:AP$169,FALSE),1),"")</f>
        <v/>
      </c>
      <c r="AQ57" s="17" t="str">
        <f>IFERROR(INDEX(逆引き作成用!$C$2:$C$169,MATCH($B57&amp;"/"&amp;$C57,逆引き作成用!AQ$2:AQ$169,FALSE),1),"")</f>
        <v/>
      </c>
      <c r="AR57" s="17" t="str">
        <f>IFERROR(INDEX(逆引き作成用!$C$2:$C$169,MATCH($B57&amp;"/"&amp;$C57,逆引き作成用!AR$2:AR$169,FALSE),1),"")</f>
        <v/>
      </c>
      <c r="AS57" s="17" t="str">
        <f>IFERROR(INDEX(逆引き作成用!$C$2:$C$169,MATCH($B57&amp;"/"&amp;$C57,逆引き作成用!AS$2:AS$169,FALSE),1),"")</f>
        <v/>
      </c>
      <c r="AT57" s="17" t="str">
        <f>IFERROR(INDEX(逆引き作成用!$C$2:$C$169,MATCH($B57&amp;"/"&amp;$C57,逆引き作成用!AT$2:AT$169,FALSE),1),"")</f>
        <v/>
      </c>
      <c r="AU57" s="17" t="str">
        <f>IFERROR(INDEX(逆引き作成用!$C$2:$C$169,MATCH($B57&amp;"/"&amp;$C57,逆引き作成用!AU$2:AU$169,FALSE),1),"")</f>
        <v/>
      </c>
      <c r="AV57" s="17" t="str">
        <f>IFERROR(INDEX(逆引き作成用!$C$2:$C$169,MATCH($B57&amp;"/"&amp;$C57,逆引き作成用!AV$2:AV$169,FALSE),1),"")</f>
        <v/>
      </c>
      <c r="AW57" s="17" t="str">
        <f>IFERROR(INDEX(逆引き作成用!$C$2:$C$169,MATCH($B57&amp;"/"&amp;$C57,逆引き作成用!AW$2:AW$169,FALSE),1),"")</f>
        <v/>
      </c>
      <c r="AX57" s="17" t="str">
        <f>IFERROR(INDEX(逆引き作成用!$C$2:$C$169,MATCH($B57&amp;"/"&amp;$C57,逆引き作成用!AX$2:AX$169,FALSE),1),"")</f>
        <v/>
      </c>
      <c r="AY57" s="17" t="str">
        <f>IFERROR(INDEX(逆引き作成用!$C$2:$C$169,MATCH($B57&amp;"/"&amp;$C57,逆引き作成用!AY$2:AY$169,FALSE),1),"")</f>
        <v/>
      </c>
      <c r="AZ57" s="17" t="str">
        <f>IFERROR(INDEX(逆引き作成用!$C$2:$C$169,MATCH($B57&amp;"/"&amp;$C57,逆引き作成用!AZ$2:AZ$169,FALSE),1),"")</f>
        <v/>
      </c>
      <c r="BA57" s="17" t="str">
        <f>IFERROR(INDEX(逆引き作成用!$C$2:$C$169,MATCH($B57&amp;"/"&amp;$C57,逆引き作成用!BA$2:BA$169,FALSE),1),"")</f>
        <v/>
      </c>
    </row>
    <row r="58" spans="1:53">
      <c r="A58" s="17" t="str">
        <f>IFERROR(INDEX(役職一覧!$B$2:$B$31,MATCH(B58,役職一覧!$C$2:$C$31,FALSE),1),"")</f>
        <v/>
      </c>
      <c r="B58" s="17" t="str">
        <f>IFERROR(IF(C58=1,INDEX(役職一覧!$C$2:$C$31,MATCH(逆引き!B57,役職一覧!$C$2:$C$31,FALSE)+1,1)&amp;"",B57),"")</f>
        <v/>
      </c>
      <c r="C58" s="17" t="str">
        <f>IFERROR(IF(VLOOKUP(B57,役職一覧!$C$2:$E$31,3,FALSE)=C57,1,C57+1),"")</f>
        <v/>
      </c>
      <c r="D58" s="17" t="str">
        <f>IFERROR(INDEX(逆引き作成用!$C$2:$C$169,MATCH($B58&amp;"/"&amp;$C58,逆引き作成用!D$2:D$169,FALSE),1),"")</f>
        <v/>
      </c>
      <c r="E58" s="17" t="str">
        <f>IFERROR(INDEX(逆引き作成用!$C$2:$C$169,MATCH($B58&amp;"/"&amp;$C58,逆引き作成用!E$2:E$169,FALSE),1),"")</f>
        <v/>
      </c>
      <c r="F58" s="17" t="str">
        <f>IFERROR(INDEX(逆引き作成用!$C$2:$C$169,MATCH($B58&amp;"/"&amp;$C58,逆引き作成用!F$2:F$169,FALSE),1),"")</f>
        <v/>
      </c>
      <c r="G58" s="17" t="str">
        <f>IFERROR(INDEX(逆引き作成用!$C$2:$C$169,MATCH($B58&amp;"/"&amp;$C58,逆引き作成用!G$2:G$169,FALSE),1),"")</f>
        <v/>
      </c>
      <c r="H58" s="17" t="str">
        <f>IFERROR(INDEX(逆引き作成用!$C$2:$C$169,MATCH($B58&amp;"/"&amp;$C58,逆引き作成用!H$2:H$169,FALSE),1),"")</f>
        <v/>
      </c>
      <c r="I58" s="17" t="str">
        <f>IFERROR(INDEX(逆引き作成用!$C$2:$C$169,MATCH($B58&amp;"/"&amp;$C58,逆引き作成用!I$2:I$169,FALSE),1),"")</f>
        <v/>
      </c>
      <c r="J58" s="17" t="str">
        <f>IFERROR(INDEX(逆引き作成用!$C$2:$C$169,MATCH($B58&amp;"/"&amp;$C58,逆引き作成用!J$2:J$169,FALSE),1),"")</f>
        <v/>
      </c>
      <c r="K58" s="17" t="str">
        <f>IFERROR(INDEX(逆引き作成用!$C$2:$C$169,MATCH($B58&amp;"/"&amp;$C58,逆引き作成用!K$2:K$169,FALSE),1),"")</f>
        <v/>
      </c>
      <c r="L58" s="17" t="str">
        <f>IFERROR(INDEX(逆引き作成用!$C$2:$C$169,MATCH($B58&amp;"/"&amp;$C58,逆引き作成用!L$2:L$169,FALSE),1),"")</f>
        <v/>
      </c>
      <c r="M58" s="17" t="str">
        <f>IFERROR(INDEX(逆引き作成用!$C$2:$C$169,MATCH($B58&amp;"/"&amp;$C58,逆引き作成用!M$2:M$169,FALSE),1),"")</f>
        <v/>
      </c>
      <c r="N58" s="17" t="str">
        <f>IFERROR(INDEX(逆引き作成用!$C$2:$C$169,MATCH($B58&amp;"/"&amp;$C58,逆引き作成用!N$2:N$169,FALSE),1),"")</f>
        <v/>
      </c>
      <c r="O58" s="17" t="str">
        <f>IFERROR(INDEX(逆引き作成用!$C$2:$C$169,MATCH($B58&amp;"/"&amp;$C58,逆引き作成用!O$2:O$169,FALSE),1),"")</f>
        <v/>
      </c>
      <c r="P58" s="17" t="str">
        <f>IFERROR(INDEX(逆引き作成用!$C$2:$C$169,MATCH($B58&amp;"/"&amp;$C58,逆引き作成用!P$2:P$169,FALSE),1),"")</f>
        <v/>
      </c>
      <c r="Q58" s="17" t="str">
        <f>IFERROR(INDEX(逆引き作成用!$C$2:$C$169,MATCH($B58&amp;"/"&amp;$C58,逆引き作成用!Q$2:Q$169,FALSE),1),"")</f>
        <v/>
      </c>
      <c r="R58" s="17" t="str">
        <f>IFERROR(INDEX(逆引き作成用!$C$2:$C$169,MATCH($B58&amp;"/"&amp;$C58,逆引き作成用!R$2:R$169,FALSE),1),"")</f>
        <v/>
      </c>
      <c r="S58" s="17" t="str">
        <f>IFERROR(INDEX(逆引き作成用!$C$2:$C$169,MATCH($B58&amp;"/"&amp;$C58,逆引き作成用!S$2:S$169,FALSE),1),"")</f>
        <v/>
      </c>
      <c r="T58" s="17" t="str">
        <f>IFERROR(INDEX(逆引き作成用!$C$2:$C$169,MATCH($B58&amp;"/"&amp;$C58,逆引き作成用!T$2:T$169,FALSE),1),"")</f>
        <v/>
      </c>
      <c r="U58" s="17" t="str">
        <f>IFERROR(INDEX(逆引き作成用!$C$2:$C$169,MATCH($B58&amp;"/"&amp;$C58,逆引き作成用!U$2:U$169,FALSE),1),"")</f>
        <v/>
      </c>
      <c r="V58" s="17" t="str">
        <f>IFERROR(INDEX(逆引き作成用!$C$2:$C$169,MATCH($B58&amp;"/"&amp;$C58,逆引き作成用!V$2:V$169,FALSE),1),"")</f>
        <v/>
      </c>
      <c r="W58" s="17" t="str">
        <f>IFERROR(INDEX(逆引き作成用!$C$2:$C$169,MATCH($B58&amp;"/"&amp;$C58,逆引き作成用!W$2:W$169,FALSE),1),"")</f>
        <v/>
      </c>
      <c r="X58" s="17" t="str">
        <f>IFERROR(INDEX(逆引き作成用!$C$2:$C$169,MATCH($B58&amp;"/"&amp;$C58,逆引き作成用!X$2:X$169,FALSE),1),"")</f>
        <v/>
      </c>
      <c r="Y58" s="17" t="str">
        <f>IFERROR(INDEX(逆引き作成用!$C$2:$C$169,MATCH($B58&amp;"/"&amp;$C58,逆引き作成用!Y$2:Y$169,FALSE),1),"")</f>
        <v/>
      </c>
      <c r="Z58" s="17" t="str">
        <f>IFERROR(INDEX(逆引き作成用!$C$2:$C$169,MATCH($B58&amp;"/"&amp;$C58,逆引き作成用!Z$2:Z$169,FALSE),1),"")</f>
        <v/>
      </c>
      <c r="AA58" s="17" t="str">
        <f>IFERROR(INDEX(逆引き作成用!$C$2:$C$169,MATCH($B58&amp;"/"&amp;$C58,逆引き作成用!AA$2:AA$169,FALSE),1),"")</f>
        <v/>
      </c>
      <c r="AB58" s="17" t="str">
        <f>IFERROR(INDEX(逆引き作成用!$C$2:$C$169,MATCH($B58&amp;"/"&amp;$C58,逆引き作成用!AB$2:AB$169,FALSE),1),"")</f>
        <v/>
      </c>
      <c r="AC58" s="17" t="str">
        <f>IFERROR(INDEX(逆引き作成用!$C$2:$C$169,MATCH($B58&amp;"/"&amp;$C58,逆引き作成用!AC$2:AC$169,FALSE),1),"")</f>
        <v/>
      </c>
      <c r="AD58" s="17" t="str">
        <f>IFERROR(INDEX(逆引き作成用!$C$2:$C$169,MATCH($B58&amp;"/"&amp;$C58,逆引き作成用!AD$2:AD$169,FALSE),1),"")</f>
        <v/>
      </c>
      <c r="AE58" s="17" t="str">
        <f>IFERROR(INDEX(逆引き作成用!$C$2:$C$169,MATCH($B58&amp;"/"&amp;$C58,逆引き作成用!AE$2:AE$169,FALSE),1),"")</f>
        <v/>
      </c>
      <c r="AF58" s="17" t="str">
        <f>IFERROR(INDEX(逆引き作成用!$C$2:$C$169,MATCH($B58&amp;"/"&amp;$C58,逆引き作成用!AF$2:AF$169,FALSE),1),"")</f>
        <v/>
      </c>
      <c r="AG58" s="17" t="str">
        <f>IFERROR(INDEX(逆引き作成用!$C$2:$C$169,MATCH($B58&amp;"/"&amp;$C58,逆引き作成用!AG$2:AG$169,FALSE),1),"")</f>
        <v/>
      </c>
      <c r="AH58" s="17" t="str">
        <f>IFERROR(INDEX(逆引き作成用!$C$2:$C$169,MATCH($B58&amp;"/"&amp;$C58,逆引き作成用!AH$2:AH$169,FALSE),1),"")</f>
        <v/>
      </c>
      <c r="AI58" s="17" t="str">
        <f>IFERROR(INDEX(逆引き作成用!$C$2:$C$169,MATCH($B58&amp;"/"&amp;$C58,逆引き作成用!AI$2:AI$169,FALSE),1),"")</f>
        <v/>
      </c>
      <c r="AJ58" s="17" t="str">
        <f>IFERROR(INDEX(逆引き作成用!$C$2:$C$169,MATCH($B58&amp;"/"&amp;$C58,逆引き作成用!AJ$2:AJ$169,FALSE),1),"")</f>
        <v/>
      </c>
      <c r="AK58" s="17" t="str">
        <f>IFERROR(INDEX(逆引き作成用!$C$2:$C$169,MATCH($B58&amp;"/"&amp;$C58,逆引き作成用!AK$2:AK$169,FALSE),1),"")</f>
        <v/>
      </c>
      <c r="AL58" s="17" t="str">
        <f>IFERROR(INDEX(逆引き作成用!$C$2:$C$169,MATCH($B58&amp;"/"&amp;$C58,逆引き作成用!AL$2:AL$169,FALSE),1),"")</f>
        <v/>
      </c>
      <c r="AM58" s="17" t="str">
        <f>IFERROR(INDEX(逆引き作成用!$C$2:$C$169,MATCH($B58&amp;"/"&amp;$C58,逆引き作成用!AM$2:AM$169,FALSE),1),"")</f>
        <v/>
      </c>
      <c r="AN58" s="17" t="str">
        <f>IFERROR(INDEX(逆引き作成用!$C$2:$C$169,MATCH($B58&amp;"/"&amp;$C58,逆引き作成用!AN$2:AN$169,FALSE),1),"")</f>
        <v/>
      </c>
      <c r="AO58" s="17" t="str">
        <f>IFERROR(INDEX(逆引き作成用!$C$2:$C$169,MATCH($B58&amp;"/"&amp;$C58,逆引き作成用!AO$2:AO$169,FALSE),1),"")</f>
        <v/>
      </c>
      <c r="AP58" s="17" t="str">
        <f>IFERROR(INDEX(逆引き作成用!$C$2:$C$169,MATCH($B58&amp;"/"&amp;$C58,逆引き作成用!AP$2:AP$169,FALSE),1),"")</f>
        <v/>
      </c>
      <c r="AQ58" s="17" t="str">
        <f>IFERROR(INDEX(逆引き作成用!$C$2:$C$169,MATCH($B58&amp;"/"&amp;$C58,逆引き作成用!AQ$2:AQ$169,FALSE),1),"")</f>
        <v/>
      </c>
      <c r="AR58" s="17" t="str">
        <f>IFERROR(INDEX(逆引き作成用!$C$2:$C$169,MATCH($B58&amp;"/"&amp;$C58,逆引き作成用!AR$2:AR$169,FALSE),1),"")</f>
        <v/>
      </c>
      <c r="AS58" s="17" t="str">
        <f>IFERROR(INDEX(逆引き作成用!$C$2:$C$169,MATCH($B58&amp;"/"&amp;$C58,逆引き作成用!AS$2:AS$169,FALSE),1),"")</f>
        <v/>
      </c>
      <c r="AT58" s="17" t="str">
        <f>IFERROR(INDEX(逆引き作成用!$C$2:$C$169,MATCH($B58&amp;"/"&amp;$C58,逆引き作成用!AT$2:AT$169,FALSE),1),"")</f>
        <v/>
      </c>
      <c r="AU58" s="17" t="str">
        <f>IFERROR(INDEX(逆引き作成用!$C$2:$C$169,MATCH($B58&amp;"/"&amp;$C58,逆引き作成用!AU$2:AU$169,FALSE),1),"")</f>
        <v/>
      </c>
      <c r="AV58" s="17" t="str">
        <f>IFERROR(INDEX(逆引き作成用!$C$2:$C$169,MATCH($B58&amp;"/"&amp;$C58,逆引き作成用!AV$2:AV$169,FALSE),1),"")</f>
        <v/>
      </c>
      <c r="AW58" s="17" t="str">
        <f>IFERROR(INDEX(逆引き作成用!$C$2:$C$169,MATCH($B58&amp;"/"&amp;$C58,逆引き作成用!AW$2:AW$169,FALSE),1),"")</f>
        <v/>
      </c>
      <c r="AX58" s="17" t="str">
        <f>IFERROR(INDEX(逆引き作成用!$C$2:$C$169,MATCH($B58&amp;"/"&amp;$C58,逆引き作成用!AX$2:AX$169,FALSE),1),"")</f>
        <v/>
      </c>
      <c r="AY58" s="17" t="str">
        <f>IFERROR(INDEX(逆引き作成用!$C$2:$C$169,MATCH($B58&amp;"/"&amp;$C58,逆引き作成用!AY$2:AY$169,FALSE),1),"")</f>
        <v/>
      </c>
      <c r="AZ58" s="17" t="str">
        <f>IFERROR(INDEX(逆引き作成用!$C$2:$C$169,MATCH($B58&amp;"/"&amp;$C58,逆引き作成用!AZ$2:AZ$169,FALSE),1),"")</f>
        <v/>
      </c>
      <c r="BA58" s="17" t="str">
        <f>IFERROR(INDEX(逆引き作成用!$C$2:$C$169,MATCH($B58&amp;"/"&amp;$C58,逆引き作成用!BA$2:BA$169,FALSE),1),"")</f>
        <v/>
      </c>
    </row>
    <row r="59" spans="1:53">
      <c r="A59" s="17" t="str">
        <f>IFERROR(INDEX(役職一覧!$B$2:$B$31,MATCH(B59,役職一覧!$C$2:$C$31,FALSE),1),"")</f>
        <v/>
      </c>
      <c r="B59" s="17" t="str">
        <f>IFERROR(IF(C59=1,INDEX(役職一覧!$C$2:$C$31,MATCH(逆引き!B58,役職一覧!$C$2:$C$31,FALSE)+1,1)&amp;"",B58),"")</f>
        <v/>
      </c>
      <c r="C59" s="17" t="str">
        <f>IFERROR(IF(VLOOKUP(B58,役職一覧!$C$2:$E$31,3,FALSE)=C58,1,C58+1),"")</f>
        <v/>
      </c>
      <c r="D59" s="17" t="str">
        <f>IFERROR(INDEX(逆引き作成用!$C$2:$C$169,MATCH($B59&amp;"/"&amp;$C59,逆引き作成用!D$2:D$169,FALSE),1),"")</f>
        <v/>
      </c>
      <c r="E59" s="17" t="str">
        <f>IFERROR(INDEX(逆引き作成用!$C$2:$C$169,MATCH($B59&amp;"/"&amp;$C59,逆引き作成用!E$2:E$169,FALSE),1),"")</f>
        <v/>
      </c>
      <c r="F59" s="17" t="str">
        <f>IFERROR(INDEX(逆引き作成用!$C$2:$C$169,MATCH($B59&amp;"/"&amp;$C59,逆引き作成用!F$2:F$169,FALSE),1),"")</f>
        <v/>
      </c>
      <c r="G59" s="17" t="str">
        <f>IFERROR(INDEX(逆引き作成用!$C$2:$C$169,MATCH($B59&amp;"/"&amp;$C59,逆引き作成用!G$2:G$169,FALSE),1),"")</f>
        <v/>
      </c>
      <c r="H59" s="17" t="str">
        <f>IFERROR(INDEX(逆引き作成用!$C$2:$C$169,MATCH($B59&amp;"/"&amp;$C59,逆引き作成用!H$2:H$169,FALSE),1),"")</f>
        <v/>
      </c>
      <c r="I59" s="17" t="str">
        <f>IFERROR(INDEX(逆引き作成用!$C$2:$C$169,MATCH($B59&amp;"/"&amp;$C59,逆引き作成用!I$2:I$169,FALSE),1),"")</f>
        <v/>
      </c>
      <c r="J59" s="17" t="str">
        <f>IFERROR(INDEX(逆引き作成用!$C$2:$C$169,MATCH($B59&amp;"/"&amp;$C59,逆引き作成用!J$2:J$169,FALSE),1),"")</f>
        <v/>
      </c>
      <c r="K59" s="17" t="str">
        <f>IFERROR(INDEX(逆引き作成用!$C$2:$C$169,MATCH($B59&amp;"/"&amp;$C59,逆引き作成用!K$2:K$169,FALSE),1),"")</f>
        <v/>
      </c>
      <c r="L59" s="17" t="str">
        <f>IFERROR(INDEX(逆引き作成用!$C$2:$C$169,MATCH($B59&amp;"/"&amp;$C59,逆引き作成用!L$2:L$169,FALSE),1),"")</f>
        <v/>
      </c>
      <c r="M59" s="17" t="str">
        <f>IFERROR(INDEX(逆引き作成用!$C$2:$C$169,MATCH($B59&amp;"/"&amp;$C59,逆引き作成用!M$2:M$169,FALSE),1),"")</f>
        <v/>
      </c>
      <c r="N59" s="17" t="str">
        <f>IFERROR(INDEX(逆引き作成用!$C$2:$C$169,MATCH($B59&amp;"/"&amp;$C59,逆引き作成用!N$2:N$169,FALSE),1),"")</f>
        <v/>
      </c>
      <c r="O59" s="17" t="str">
        <f>IFERROR(INDEX(逆引き作成用!$C$2:$C$169,MATCH($B59&amp;"/"&amp;$C59,逆引き作成用!O$2:O$169,FALSE),1),"")</f>
        <v/>
      </c>
      <c r="P59" s="17" t="str">
        <f>IFERROR(INDEX(逆引き作成用!$C$2:$C$169,MATCH($B59&amp;"/"&amp;$C59,逆引き作成用!P$2:P$169,FALSE),1),"")</f>
        <v/>
      </c>
      <c r="Q59" s="17" t="str">
        <f>IFERROR(INDEX(逆引き作成用!$C$2:$C$169,MATCH($B59&amp;"/"&amp;$C59,逆引き作成用!Q$2:Q$169,FALSE),1),"")</f>
        <v/>
      </c>
      <c r="R59" s="17" t="str">
        <f>IFERROR(INDEX(逆引き作成用!$C$2:$C$169,MATCH($B59&amp;"/"&amp;$C59,逆引き作成用!R$2:R$169,FALSE),1),"")</f>
        <v/>
      </c>
      <c r="S59" s="17" t="str">
        <f>IFERROR(INDEX(逆引き作成用!$C$2:$C$169,MATCH($B59&amp;"/"&amp;$C59,逆引き作成用!S$2:S$169,FALSE),1),"")</f>
        <v/>
      </c>
      <c r="T59" s="17" t="str">
        <f>IFERROR(INDEX(逆引き作成用!$C$2:$C$169,MATCH($B59&amp;"/"&amp;$C59,逆引き作成用!T$2:T$169,FALSE),1),"")</f>
        <v/>
      </c>
      <c r="U59" s="17" t="str">
        <f>IFERROR(INDEX(逆引き作成用!$C$2:$C$169,MATCH($B59&amp;"/"&amp;$C59,逆引き作成用!U$2:U$169,FALSE),1),"")</f>
        <v/>
      </c>
      <c r="V59" s="17" t="str">
        <f>IFERROR(INDEX(逆引き作成用!$C$2:$C$169,MATCH($B59&amp;"/"&amp;$C59,逆引き作成用!V$2:V$169,FALSE),1),"")</f>
        <v/>
      </c>
      <c r="W59" s="17" t="str">
        <f>IFERROR(INDEX(逆引き作成用!$C$2:$C$169,MATCH($B59&amp;"/"&amp;$C59,逆引き作成用!W$2:W$169,FALSE),1),"")</f>
        <v/>
      </c>
      <c r="X59" s="17" t="str">
        <f>IFERROR(INDEX(逆引き作成用!$C$2:$C$169,MATCH($B59&amp;"/"&amp;$C59,逆引き作成用!X$2:X$169,FALSE),1),"")</f>
        <v/>
      </c>
      <c r="Y59" s="17" t="str">
        <f>IFERROR(INDEX(逆引き作成用!$C$2:$C$169,MATCH($B59&amp;"/"&amp;$C59,逆引き作成用!Y$2:Y$169,FALSE),1),"")</f>
        <v/>
      </c>
      <c r="Z59" s="17" t="str">
        <f>IFERROR(INDEX(逆引き作成用!$C$2:$C$169,MATCH($B59&amp;"/"&amp;$C59,逆引き作成用!Z$2:Z$169,FALSE),1),"")</f>
        <v/>
      </c>
      <c r="AA59" s="17" t="str">
        <f>IFERROR(INDEX(逆引き作成用!$C$2:$C$169,MATCH($B59&amp;"/"&amp;$C59,逆引き作成用!AA$2:AA$169,FALSE),1),"")</f>
        <v/>
      </c>
      <c r="AB59" s="17" t="str">
        <f>IFERROR(INDEX(逆引き作成用!$C$2:$C$169,MATCH($B59&amp;"/"&amp;$C59,逆引き作成用!AB$2:AB$169,FALSE),1),"")</f>
        <v/>
      </c>
      <c r="AC59" s="17" t="str">
        <f>IFERROR(INDEX(逆引き作成用!$C$2:$C$169,MATCH($B59&amp;"/"&amp;$C59,逆引き作成用!AC$2:AC$169,FALSE),1),"")</f>
        <v/>
      </c>
      <c r="AD59" s="17" t="str">
        <f>IFERROR(INDEX(逆引き作成用!$C$2:$C$169,MATCH($B59&amp;"/"&amp;$C59,逆引き作成用!AD$2:AD$169,FALSE),1),"")</f>
        <v/>
      </c>
      <c r="AE59" s="17" t="str">
        <f>IFERROR(INDEX(逆引き作成用!$C$2:$C$169,MATCH($B59&amp;"/"&amp;$C59,逆引き作成用!AE$2:AE$169,FALSE),1),"")</f>
        <v/>
      </c>
      <c r="AF59" s="17" t="str">
        <f>IFERROR(INDEX(逆引き作成用!$C$2:$C$169,MATCH($B59&amp;"/"&amp;$C59,逆引き作成用!AF$2:AF$169,FALSE),1),"")</f>
        <v/>
      </c>
      <c r="AG59" s="17" t="str">
        <f>IFERROR(INDEX(逆引き作成用!$C$2:$C$169,MATCH($B59&amp;"/"&amp;$C59,逆引き作成用!AG$2:AG$169,FALSE),1),"")</f>
        <v/>
      </c>
      <c r="AH59" s="17" t="str">
        <f>IFERROR(INDEX(逆引き作成用!$C$2:$C$169,MATCH($B59&amp;"/"&amp;$C59,逆引き作成用!AH$2:AH$169,FALSE),1),"")</f>
        <v/>
      </c>
      <c r="AI59" s="17" t="str">
        <f>IFERROR(INDEX(逆引き作成用!$C$2:$C$169,MATCH($B59&amp;"/"&amp;$C59,逆引き作成用!AI$2:AI$169,FALSE),1),"")</f>
        <v/>
      </c>
      <c r="AJ59" s="17" t="str">
        <f>IFERROR(INDEX(逆引き作成用!$C$2:$C$169,MATCH($B59&amp;"/"&amp;$C59,逆引き作成用!AJ$2:AJ$169,FALSE),1),"")</f>
        <v/>
      </c>
      <c r="AK59" s="17" t="str">
        <f>IFERROR(INDEX(逆引き作成用!$C$2:$C$169,MATCH($B59&amp;"/"&amp;$C59,逆引き作成用!AK$2:AK$169,FALSE),1),"")</f>
        <v/>
      </c>
      <c r="AL59" s="17" t="str">
        <f>IFERROR(INDEX(逆引き作成用!$C$2:$C$169,MATCH($B59&amp;"/"&amp;$C59,逆引き作成用!AL$2:AL$169,FALSE),1),"")</f>
        <v/>
      </c>
      <c r="AM59" s="17" t="str">
        <f>IFERROR(INDEX(逆引き作成用!$C$2:$C$169,MATCH($B59&amp;"/"&amp;$C59,逆引き作成用!AM$2:AM$169,FALSE),1),"")</f>
        <v/>
      </c>
      <c r="AN59" s="17" t="str">
        <f>IFERROR(INDEX(逆引き作成用!$C$2:$C$169,MATCH($B59&amp;"/"&amp;$C59,逆引き作成用!AN$2:AN$169,FALSE),1),"")</f>
        <v/>
      </c>
      <c r="AO59" s="17" t="str">
        <f>IFERROR(INDEX(逆引き作成用!$C$2:$C$169,MATCH($B59&amp;"/"&amp;$C59,逆引き作成用!AO$2:AO$169,FALSE),1),"")</f>
        <v/>
      </c>
      <c r="AP59" s="17" t="str">
        <f>IFERROR(INDEX(逆引き作成用!$C$2:$C$169,MATCH($B59&amp;"/"&amp;$C59,逆引き作成用!AP$2:AP$169,FALSE),1),"")</f>
        <v/>
      </c>
      <c r="AQ59" s="17" t="str">
        <f>IFERROR(INDEX(逆引き作成用!$C$2:$C$169,MATCH($B59&amp;"/"&amp;$C59,逆引き作成用!AQ$2:AQ$169,FALSE),1),"")</f>
        <v/>
      </c>
      <c r="AR59" s="17" t="str">
        <f>IFERROR(INDEX(逆引き作成用!$C$2:$C$169,MATCH($B59&amp;"/"&amp;$C59,逆引き作成用!AR$2:AR$169,FALSE),1),"")</f>
        <v/>
      </c>
      <c r="AS59" s="17" t="str">
        <f>IFERROR(INDEX(逆引き作成用!$C$2:$C$169,MATCH($B59&amp;"/"&amp;$C59,逆引き作成用!AS$2:AS$169,FALSE),1),"")</f>
        <v/>
      </c>
      <c r="AT59" s="17" t="str">
        <f>IFERROR(INDEX(逆引き作成用!$C$2:$C$169,MATCH($B59&amp;"/"&amp;$C59,逆引き作成用!AT$2:AT$169,FALSE),1),"")</f>
        <v/>
      </c>
      <c r="AU59" s="17" t="str">
        <f>IFERROR(INDEX(逆引き作成用!$C$2:$C$169,MATCH($B59&amp;"/"&amp;$C59,逆引き作成用!AU$2:AU$169,FALSE),1),"")</f>
        <v/>
      </c>
      <c r="AV59" s="17" t="str">
        <f>IFERROR(INDEX(逆引き作成用!$C$2:$C$169,MATCH($B59&amp;"/"&amp;$C59,逆引き作成用!AV$2:AV$169,FALSE),1),"")</f>
        <v/>
      </c>
      <c r="AW59" s="17" t="str">
        <f>IFERROR(INDEX(逆引き作成用!$C$2:$C$169,MATCH($B59&amp;"/"&amp;$C59,逆引き作成用!AW$2:AW$169,FALSE),1),"")</f>
        <v/>
      </c>
      <c r="AX59" s="17" t="str">
        <f>IFERROR(INDEX(逆引き作成用!$C$2:$C$169,MATCH($B59&amp;"/"&amp;$C59,逆引き作成用!AX$2:AX$169,FALSE),1),"")</f>
        <v/>
      </c>
      <c r="AY59" s="17" t="str">
        <f>IFERROR(INDEX(逆引き作成用!$C$2:$C$169,MATCH($B59&amp;"/"&amp;$C59,逆引き作成用!AY$2:AY$169,FALSE),1),"")</f>
        <v/>
      </c>
      <c r="AZ59" s="17" t="str">
        <f>IFERROR(INDEX(逆引き作成用!$C$2:$C$169,MATCH($B59&amp;"/"&amp;$C59,逆引き作成用!AZ$2:AZ$169,FALSE),1),"")</f>
        <v/>
      </c>
      <c r="BA59" s="17" t="str">
        <f>IFERROR(INDEX(逆引き作成用!$C$2:$C$169,MATCH($B59&amp;"/"&amp;$C59,逆引き作成用!BA$2:BA$169,FALSE),1),"")</f>
        <v/>
      </c>
    </row>
    <row r="60" spans="1:53">
      <c r="A60" s="17" t="str">
        <f>IFERROR(INDEX(役職一覧!$B$2:$B$31,MATCH(B60,役職一覧!$C$2:$C$31,FALSE),1),"")</f>
        <v/>
      </c>
      <c r="B60" s="17" t="str">
        <f>IFERROR(IF(C60=1,INDEX(役職一覧!$C$2:$C$31,MATCH(逆引き!B59,役職一覧!$C$2:$C$31,FALSE)+1,1)&amp;"",B59),"")</f>
        <v/>
      </c>
      <c r="C60" s="17" t="str">
        <f>IFERROR(IF(VLOOKUP(B59,役職一覧!$C$2:$E$31,3,FALSE)=C59,1,C59+1),"")</f>
        <v/>
      </c>
      <c r="D60" s="17" t="str">
        <f>IFERROR(INDEX(逆引き作成用!$C$2:$C$169,MATCH($B60&amp;"/"&amp;$C60,逆引き作成用!D$2:D$169,FALSE),1),"")</f>
        <v/>
      </c>
      <c r="E60" s="17" t="str">
        <f>IFERROR(INDEX(逆引き作成用!$C$2:$C$169,MATCH($B60&amp;"/"&amp;$C60,逆引き作成用!E$2:E$169,FALSE),1),"")</f>
        <v/>
      </c>
      <c r="F60" s="17" t="str">
        <f>IFERROR(INDEX(逆引き作成用!$C$2:$C$169,MATCH($B60&amp;"/"&amp;$C60,逆引き作成用!F$2:F$169,FALSE),1),"")</f>
        <v/>
      </c>
      <c r="G60" s="17" t="str">
        <f>IFERROR(INDEX(逆引き作成用!$C$2:$C$169,MATCH($B60&amp;"/"&amp;$C60,逆引き作成用!G$2:G$169,FALSE),1),"")</f>
        <v/>
      </c>
      <c r="H60" s="17" t="str">
        <f>IFERROR(INDEX(逆引き作成用!$C$2:$C$169,MATCH($B60&amp;"/"&amp;$C60,逆引き作成用!H$2:H$169,FALSE),1),"")</f>
        <v/>
      </c>
      <c r="I60" s="17" t="str">
        <f>IFERROR(INDEX(逆引き作成用!$C$2:$C$169,MATCH($B60&amp;"/"&amp;$C60,逆引き作成用!I$2:I$169,FALSE),1),"")</f>
        <v/>
      </c>
      <c r="J60" s="17" t="str">
        <f>IFERROR(INDEX(逆引き作成用!$C$2:$C$169,MATCH($B60&amp;"/"&amp;$C60,逆引き作成用!J$2:J$169,FALSE),1),"")</f>
        <v/>
      </c>
      <c r="K60" s="17" t="str">
        <f>IFERROR(INDEX(逆引き作成用!$C$2:$C$169,MATCH($B60&amp;"/"&amp;$C60,逆引き作成用!K$2:K$169,FALSE),1),"")</f>
        <v/>
      </c>
      <c r="L60" s="17" t="str">
        <f>IFERROR(INDEX(逆引き作成用!$C$2:$C$169,MATCH($B60&amp;"/"&amp;$C60,逆引き作成用!L$2:L$169,FALSE),1),"")</f>
        <v/>
      </c>
      <c r="M60" s="17" t="str">
        <f>IFERROR(INDEX(逆引き作成用!$C$2:$C$169,MATCH($B60&amp;"/"&amp;$C60,逆引き作成用!M$2:M$169,FALSE),1),"")</f>
        <v/>
      </c>
      <c r="N60" s="17" t="str">
        <f>IFERROR(INDEX(逆引き作成用!$C$2:$C$169,MATCH($B60&amp;"/"&amp;$C60,逆引き作成用!N$2:N$169,FALSE),1),"")</f>
        <v/>
      </c>
      <c r="O60" s="17" t="str">
        <f>IFERROR(INDEX(逆引き作成用!$C$2:$C$169,MATCH($B60&amp;"/"&amp;$C60,逆引き作成用!O$2:O$169,FALSE),1),"")</f>
        <v/>
      </c>
      <c r="P60" s="17" t="str">
        <f>IFERROR(INDEX(逆引き作成用!$C$2:$C$169,MATCH($B60&amp;"/"&amp;$C60,逆引き作成用!P$2:P$169,FALSE),1),"")</f>
        <v/>
      </c>
      <c r="Q60" s="17" t="str">
        <f>IFERROR(INDEX(逆引き作成用!$C$2:$C$169,MATCH($B60&amp;"/"&amp;$C60,逆引き作成用!Q$2:Q$169,FALSE),1),"")</f>
        <v/>
      </c>
      <c r="R60" s="17" t="str">
        <f>IFERROR(INDEX(逆引き作成用!$C$2:$C$169,MATCH($B60&amp;"/"&amp;$C60,逆引き作成用!R$2:R$169,FALSE),1),"")</f>
        <v/>
      </c>
      <c r="S60" s="17" t="str">
        <f>IFERROR(INDEX(逆引き作成用!$C$2:$C$169,MATCH($B60&amp;"/"&amp;$C60,逆引き作成用!S$2:S$169,FALSE),1),"")</f>
        <v/>
      </c>
      <c r="T60" s="17" t="str">
        <f>IFERROR(INDEX(逆引き作成用!$C$2:$C$169,MATCH($B60&amp;"/"&amp;$C60,逆引き作成用!T$2:T$169,FALSE),1),"")</f>
        <v/>
      </c>
      <c r="U60" s="17" t="str">
        <f>IFERROR(INDEX(逆引き作成用!$C$2:$C$169,MATCH($B60&amp;"/"&amp;$C60,逆引き作成用!U$2:U$169,FALSE),1),"")</f>
        <v/>
      </c>
      <c r="V60" s="17" t="str">
        <f>IFERROR(INDEX(逆引き作成用!$C$2:$C$169,MATCH($B60&amp;"/"&amp;$C60,逆引き作成用!V$2:V$169,FALSE),1),"")</f>
        <v/>
      </c>
      <c r="W60" s="17" t="str">
        <f>IFERROR(INDEX(逆引き作成用!$C$2:$C$169,MATCH($B60&amp;"/"&amp;$C60,逆引き作成用!W$2:W$169,FALSE),1),"")</f>
        <v/>
      </c>
      <c r="X60" s="17" t="str">
        <f>IFERROR(INDEX(逆引き作成用!$C$2:$C$169,MATCH($B60&amp;"/"&amp;$C60,逆引き作成用!X$2:X$169,FALSE),1),"")</f>
        <v/>
      </c>
      <c r="Y60" s="17" t="str">
        <f>IFERROR(INDEX(逆引き作成用!$C$2:$C$169,MATCH($B60&amp;"/"&amp;$C60,逆引き作成用!Y$2:Y$169,FALSE),1),"")</f>
        <v/>
      </c>
      <c r="Z60" s="17" t="str">
        <f>IFERROR(INDEX(逆引き作成用!$C$2:$C$169,MATCH($B60&amp;"/"&amp;$C60,逆引き作成用!Z$2:Z$169,FALSE),1),"")</f>
        <v/>
      </c>
      <c r="AA60" s="17" t="str">
        <f>IFERROR(INDEX(逆引き作成用!$C$2:$C$169,MATCH($B60&amp;"/"&amp;$C60,逆引き作成用!AA$2:AA$169,FALSE),1),"")</f>
        <v/>
      </c>
      <c r="AB60" s="17" t="str">
        <f>IFERROR(INDEX(逆引き作成用!$C$2:$C$169,MATCH($B60&amp;"/"&amp;$C60,逆引き作成用!AB$2:AB$169,FALSE),1),"")</f>
        <v/>
      </c>
      <c r="AC60" s="17" t="str">
        <f>IFERROR(INDEX(逆引き作成用!$C$2:$C$169,MATCH($B60&amp;"/"&amp;$C60,逆引き作成用!AC$2:AC$169,FALSE),1),"")</f>
        <v/>
      </c>
      <c r="AD60" s="17" t="str">
        <f>IFERROR(INDEX(逆引き作成用!$C$2:$C$169,MATCH($B60&amp;"/"&amp;$C60,逆引き作成用!AD$2:AD$169,FALSE),1),"")</f>
        <v/>
      </c>
      <c r="AE60" s="17" t="str">
        <f>IFERROR(INDEX(逆引き作成用!$C$2:$C$169,MATCH($B60&amp;"/"&amp;$C60,逆引き作成用!AE$2:AE$169,FALSE),1),"")</f>
        <v/>
      </c>
      <c r="AF60" s="17" t="str">
        <f>IFERROR(INDEX(逆引き作成用!$C$2:$C$169,MATCH($B60&amp;"/"&amp;$C60,逆引き作成用!AF$2:AF$169,FALSE),1),"")</f>
        <v/>
      </c>
      <c r="AG60" s="17" t="str">
        <f>IFERROR(INDEX(逆引き作成用!$C$2:$C$169,MATCH($B60&amp;"/"&amp;$C60,逆引き作成用!AG$2:AG$169,FALSE),1),"")</f>
        <v/>
      </c>
      <c r="AH60" s="17" t="str">
        <f>IFERROR(INDEX(逆引き作成用!$C$2:$C$169,MATCH($B60&amp;"/"&amp;$C60,逆引き作成用!AH$2:AH$169,FALSE),1),"")</f>
        <v/>
      </c>
      <c r="AI60" s="17" t="str">
        <f>IFERROR(INDEX(逆引き作成用!$C$2:$C$169,MATCH($B60&amp;"/"&amp;$C60,逆引き作成用!AI$2:AI$169,FALSE),1),"")</f>
        <v/>
      </c>
      <c r="AJ60" s="17" t="str">
        <f>IFERROR(INDEX(逆引き作成用!$C$2:$C$169,MATCH($B60&amp;"/"&amp;$C60,逆引き作成用!AJ$2:AJ$169,FALSE),1),"")</f>
        <v/>
      </c>
      <c r="AK60" s="17" t="str">
        <f>IFERROR(INDEX(逆引き作成用!$C$2:$C$169,MATCH($B60&amp;"/"&amp;$C60,逆引き作成用!AK$2:AK$169,FALSE),1),"")</f>
        <v/>
      </c>
      <c r="AL60" s="17" t="str">
        <f>IFERROR(INDEX(逆引き作成用!$C$2:$C$169,MATCH($B60&amp;"/"&amp;$C60,逆引き作成用!AL$2:AL$169,FALSE),1),"")</f>
        <v/>
      </c>
      <c r="AM60" s="17" t="str">
        <f>IFERROR(INDEX(逆引き作成用!$C$2:$C$169,MATCH($B60&amp;"/"&amp;$C60,逆引き作成用!AM$2:AM$169,FALSE),1),"")</f>
        <v/>
      </c>
      <c r="AN60" s="17" t="str">
        <f>IFERROR(INDEX(逆引き作成用!$C$2:$C$169,MATCH($B60&amp;"/"&amp;$C60,逆引き作成用!AN$2:AN$169,FALSE),1),"")</f>
        <v/>
      </c>
      <c r="AO60" s="17" t="str">
        <f>IFERROR(INDEX(逆引き作成用!$C$2:$C$169,MATCH($B60&amp;"/"&amp;$C60,逆引き作成用!AO$2:AO$169,FALSE),1),"")</f>
        <v/>
      </c>
      <c r="AP60" s="17" t="str">
        <f>IFERROR(INDEX(逆引き作成用!$C$2:$C$169,MATCH($B60&amp;"/"&amp;$C60,逆引き作成用!AP$2:AP$169,FALSE),1),"")</f>
        <v/>
      </c>
      <c r="AQ60" s="17" t="str">
        <f>IFERROR(INDEX(逆引き作成用!$C$2:$C$169,MATCH($B60&amp;"/"&amp;$C60,逆引き作成用!AQ$2:AQ$169,FALSE),1),"")</f>
        <v/>
      </c>
      <c r="AR60" s="17" t="str">
        <f>IFERROR(INDEX(逆引き作成用!$C$2:$C$169,MATCH($B60&amp;"/"&amp;$C60,逆引き作成用!AR$2:AR$169,FALSE),1),"")</f>
        <v/>
      </c>
      <c r="AS60" s="17" t="str">
        <f>IFERROR(INDEX(逆引き作成用!$C$2:$C$169,MATCH($B60&amp;"/"&amp;$C60,逆引き作成用!AS$2:AS$169,FALSE),1),"")</f>
        <v/>
      </c>
      <c r="AT60" s="17" t="str">
        <f>IFERROR(INDEX(逆引き作成用!$C$2:$C$169,MATCH($B60&amp;"/"&amp;$C60,逆引き作成用!AT$2:AT$169,FALSE),1),"")</f>
        <v/>
      </c>
      <c r="AU60" s="17" t="str">
        <f>IFERROR(INDEX(逆引き作成用!$C$2:$C$169,MATCH($B60&amp;"/"&amp;$C60,逆引き作成用!AU$2:AU$169,FALSE),1),"")</f>
        <v/>
      </c>
      <c r="AV60" s="17" t="str">
        <f>IFERROR(INDEX(逆引き作成用!$C$2:$C$169,MATCH($B60&amp;"/"&amp;$C60,逆引き作成用!AV$2:AV$169,FALSE),1),"")</f>
        <v/>
      </c>
      <c r="AW60" s="17" t="str">
        <f>IFERROR(INDEX(逆引き作成用!$C$2:$C$169,MATCH($B60&amp;"/"&amp;$C60,逆引き作成用!AW$2:AW$169,FALSE),1),"")</f>
        <v/>
      </c>
      <c r="AX60" s="17" t="str">
        <f>IFERROR(INDEX(逆引き作成用!$C$2:$C$169,MATCH($B60&amp;"/"&amp;$C60,逆引き作成用!AX$2:AX$169,FALSE),1),"")</f>
        <v/>
      </c>
      <c r="AY60" s="17" t="str">
        <f>IFERROR(INDEX(逆引き作成用!$C$2:$C$169,MATCH($B60&amp;"/"&amp;$C60,逆引き作成用!AY$2:AY$169,FALSE),1),"")</f>
        <v/>
      </c>
      <c r="AZ60" s="17" t="str">
        <f>IFERROR(INDEX(逆引き作成用!$C$2:$C$169,MATCH($B60&amp;"/"&amp;$C60,逆引き作成用!AZ$2:AZ$169,FALSE),1),"")</f>
        <v/>
      </c>
      <c r="BA60" s="17" t="str">
        <f>IFERROR(INDEX(逆引き作成用!$C$2:$C$169,MATCH($B60&amp;"/"&amp;$C60,逆引き作成用!BA$2:BA$169,FALSE),1),"")</f>
        <v/>
      </c>
    </row>
    <row r="61" spans="1:53">
      <c r="A61" s="17" t="str">
        <f>IFERROR(INDEX(役職一覧!$B$2:$B$31,MATCH(B61,役職一覧!$C$2:$C$31,FALSE),1),"")</f>
        <v/>
      </c>
      <c r="B61" s="17" t="str">
        <f>IFERROR(IF(C61=1,INDEX(役職一覧!$C$2:$C$31,MATCH(逆引き!B60,役職一覧!$C$2:$C$31,FALSE)+1,1)&amp;"",B60),"")</f>
        <v/>
      </c>
      <c r="C61" s="17" t="str">
        <f>IFERROR(IF(VLOOKUP(B60,役職一覧!$C$2:$E$31,3,FALSE)=C60,1,C60+1),"")</f>
        <v/>
      </c>
      <c r="D61" s="17" t="str">
        <f>IFERROR(INDEX(逆引き作成用!$C$2:$C$169,MATCH($B61&amp;"/"&amp;$C61,逆引き作成用!D$2:D$169,FALSE),1),"")</f>
        <v/>
      </c>
      <c r="E61" s="17" t="str">
        <f>IFERROR(INDEX(逆引き作成用!$C$2:$C$169,MATCH($B61&amp;"/"&amp;$C61,逆引き作成用!E$2:E$169,FALSE),1),"")</f>
        <v/>
      </c>
      <c r="F61" s="17" t="str">
        <f>IFERROR(INDEX(逆引き作成用!$C$2:$C$169,MATCH($B61&amp;"/"&amp;$C61,逆引き作成用!F$2:F$169,FALSE),1),"")</f>
        <v/>
      </c>
      <c r="G61" s="17" t="str">
        <f>IFERROR(INDEX(逆引き作成用!$C$2:$C$169,MATCH($B61&amp;"/"&amp;$C61,逆引き作成用!G$2:G$169,FALSE),1),"")</f>
        <v/>
      </c>
      <c r="H61" s="17" t="str">
        <f>IFERROR(INDEX(逆引き作成用!$C$2:$C$169,MATCH($B61&amp;"/"&amp;$C61,逆引き作成用!H$2:H$169,FALSE),1),"")</f>
        <v/>
      </c>
      <c r="I61" s="17" t="str">
        <f>IFERROR(INDEX(逆引き作成用!$C$2:$C$169,MATCH($B61&amp;"/"&amp;$C61,逆引き作成用!I$2:I$169,FALSE),1),"")</f>
        <v/>
      </c>
      <c r="J61" s="17" t="str">
        <f>IFERROR(INDEX(逆引き作成用!$C$2:$C$169,MATCH($B61&amp;"/"&amp;$C61,逆引き作成用!J$2:J$169,FALSE),1),"")</f>
        <v/>
      </c>
      <c r="K61" s="17" t="str">
        <f>IFERROR(INDEX(逆引き作成用!$C$2:$C$169,MATCH($B61&amp;"/"&amp;$C61,逆引き作成用!K$2:K$169,FALSE),1),"")</f>
        <v/>
      </c>
      <c r="L61" s="17" t="str">
        <f>IFERROR(INDEX(逆引き作成用!$C$2:$C$169,MATCH($B61&amp;"/"&amp;$C61,逆引き作成用!L$2:L$169,FALSE),1),"")</f>
        <v/>
      </c>
      <c r="M61" s="17" t="str">
        <f>IFERROR(INDEX(逆引き作成用!$C$2:$C$169,MATCH($B61&amp;"/"&amp;$C61,逆引き作成用!M$2:M$169,FALSE),1),"")</f>
        <v/>
      </c>
      <c r="N61" s="17" t="str">
        <f>IFERROR(INDEX(逆引き作成用!$C$2:$C$169,MATCH($B61&amp;"/"&amp;$C61,逆引き作成用!N$2:N$169,FALSE),1),"")</f>
        <v/>
      </c>
      <c r="O61" s="17" t="str">
        <f>IFERROR(INDEX(逆引き作成用!$C$2:$C$169,MATCH($B61&amp;"/"&amp;$C61,逆引き作成用!O$2:O$169,FALSE),1),"")</f>
        <v/>
      </c>
      <c r="P61" s="17" t="str">
        <f>IFERROR(INDEX(逆引き作成用!$C$2:$C$169,MATCH($B61&amp;"/"&amp;$C61,逆引き作成用!P$2:P$169,FALSE),1),"")</f>
        <v/>
      </c>
      <c r="Q61" s="17" t="str">
        <f>IFERROR(INDEX(逆引き作成用!$C$2:$C$169,MATCH($B61&amp;"/"&amp;$C61,逆引き作成用!Q$2:Q$169,FALSE),1),"")</f>
        <v/>
      </c>
      <c r="R61" s="17" t="str">
        <f>IFERROR(INDEX(逆引き作成用!$C$2:$C$169,MATCH($B61&amp;"/"&amp;$C61,逆引き作成用!R$2:R$169,FALSE),1),"")</f>
        <v/>
      </c>
      <c r="S61" s="17" t="str">
        <f>IFERROR(INDEX(逆引き作成用!$C$2:$C$169,MATCH($B61&amp;"/"&amp;$C61,逆引き作成用!S$2:S$169,FALSE),1),"")</f>
        <v/>
      </c>
      <c r="T61" s="17" t="str">
        <f>IFERROR(INDEX(逆引き作成用!$C$2:$C$169,MATCH($B61&amp;"/"&amp;$C61,逆引き作成用!T$2:T$169,FALSE),1),"")</f>
        <v/>
      </c>
      <c r="U61" s="17" t="str">
        <f>IFERROR(INDEX(逆引き作成用!$C$2:$C$169,MATCH($B61&amp;"/"&amp;$C61,逆引き作成用!U$2:U$169,FALSE),1),"")</f>
        <v/>
      </c>
      <c r="V61" s="17" t="str">
        <f>IFERROR(INDEX(逆引き作成用!$C$2:$C$169,MATCH($B61&amp;"/"&amp;$C61,逆引き作成用!V$2:V$169,FALSE),1),"")</f>
        <v/>
      </c>
      <c r="W61" s="17" t="str">
        <f>IFERROR(INDEX(逆引き作成用!$C$2:$C$169,MATCH($B61&amp;"/"&amp;$C61,逆引き作成用!W$2:W$169,FALSE),1),"")</f>
        <v/>
      </c>
      <c r="X61" s="17" t="str">
        <f>IFERROR(INDEX(逆引き作成用!$C$2:$C$169,MATCH($B61&amp;"/"&amp;$C61,逆引き作成用!X$2:X$169,FALSE),1),"")</f>
        <v/>
      </c>
      <c r="Y61" s="17" t="str">
        <f>IFERROR(INDEX(逆引き作成用!$C$2:$C$169,MATCH($B61&amp;"/"&amp;$C61,逆引き作成用!Y$2:Y$169,FALSE),1),"")</f>
        <v/>
      </c>
      <c r="Z61" s="17" t="str">
        <f>IFERROR(INDEX(逆引き作成用!$C$2:$C$169,MATCH($B61&amp;"/"&amp;$C61,逆引き作成用!Z$2:Z$169,FALSE),1),"")</f>
        <v/>
      </c>
      <c r="AA61" s="17" t="str">
        <f>IFERROR(INDEX(逆引き作成用!$C$2:$C$169,MATCH($B61&amp;"/"&amp;$C61,逆引き作成用!AA$2:AA$169,FALSE),1),"")</f>
        <v/>
      </c>
      <c r="AB61" s="17" t="str">
        <f>IFERROR(INDEX(逆引き作成用!$C$2:$C$169,MATCH($B61&amp;"/"&amp;$C61,逆引き作成用!AB$2:AB$169,FALSE),1),"")</f>
        <v/>
      </c>
      <c r="AC61" s="17" t="str">
        <f>IFERROR(INDEX(逆引き作成用!$C$2:$C$169,MATCH($B61&amp;"/"&amp;$C61,逆引き作成用!AC$2:AC$169,FALSE),1),"")</f>
        <v/>
      </c>
      <c r="AD61" s="17" t="str">
        <f>IFERROR(INDEX(逆引き作成用!$C$2:$C$169,MATCH($B61&amp;"/"&amp;$C61,逆引き作成用!AD$2:AD$169,FALSE),1),"")</f>
        <v/>
      </c>
      <c r="AE61" s="17" t="str">
        <f>IFERROR(INDEX(逆引き作成用!$C$2:$C$169,MATCH($B61&amp;"/"&amp;$C61,逆引き作成用!AE$2:AE$169,FALSE),1),"")</f>
        <v/>
      </c>
      <c r="AF61" s="17" t="str">
        <f>IFERROR(INDEX(逆引き作成用!$C$2:$C$169,MATCH($B61&amp;"/"&amp;$C61,逆引き作成用!AF$2:AF$169,FALSE),1),"")</f>
        <v/>
      </c>
      <c r="AG61" s="17" t="str">
        <f>IFERROR(INDEX(逆引き作成用!$C$2:$C$169,MATCH($B61&amp;"/"&amp;$C61,逆引き作成用!AG$2:AG$169,FALSE),1),"")</f>
        <v/>
      </c>
      <c r="AH61" s="17" t="str">
        <f>IFERROR(INDEX(逆引き作成用!$C$2:$C$169,MATCH($B61&amp;"/"&amp;$C61,逆引き作成用!AH$2:AH$169,FALSE),1),"")</f>
        <v/>
      </c>
      <c r="AI61" s="17" t="str">
        <f>IFERROR(INDEX(逆引き作成用!$C$2:$C$169,MATCH($B61&amp;"/"&amp;$C61,逆引き作成用!AI$2:AI$169,FALSE),1),"")</f>
        <v/>
      </c>
      <c r="AJ61" s="17" t="str">
        <f>IFERROR(INDEX(逆引き作成用!$C$2:$C$169,MATCH($B61&amp;"/"&amp;$C61,逆引き作成用!AJ$2:AJ$169,FALSE),1),"")</f>
        <v/>
      </c>
      <c r="AK61" s="17" t="str">
        <f>IFERROR(INDEX(逆引き作成用!$C$2:$C$169,MATCH($B61&amp;"/"&amp;$C61,逆引き作成用!AK$2:AK$169,FALSE),1),"")</f>
        <v/>
      </c>
      <c r="AL61" s="17" t="str">
        <f>IFERROR(INDEX(逆引き作成用!$C$2:$C$169,MATCH($B61&amp;"/"&amp;$C61,逆引き作成用!AL$2:AL$169,FALSE),1),"")</f>
        <v/>
      </c>
      <c r="AM61" s="17" t="str">
        <f>IFERROR(INDEX(逆引き作成用!$C$2:$C$169,MATCH($B61&amp;"/"&amp;$C61,逆引き作成用!AM$2:AM$169,FALSE),1),"")</f>
        <v/>
      </c>
      <c r="AN61" s="17" t="str">
        <f>IFERROR(INDEX(逆引き作成用!$C$2:$C$169,MATCH($B61&amp;"/"&amp;$C61,逆引き作成用!AN$2:AN$169,FALSE),1),"")</f>
        <v/>
      </c>
      <c r="AO61" s="17" t="str">
        <f>IFERROR(INDEX(逆引き作成用!$C$2:$C$169,MATCH($B61&amp;"/"&amp;$C61,逆引き作成用!AO$2:AO$169,FALSE),1),"")</f>
        <v/>
      </c>
      <c r="AP61" s="17" t="str">
        <f>IFERROR(INDEX(逆引き作成用!$C$2:$C$169,MATCH($B61&amp;"/"&amp;$C61,逆引き作成用!AP$2:AP$169,FALSE),1),"")</f>
        <v/>
      </c>
      <c r="AQ61" s="17" t="str">
        <f>IFERROR(INDEX(逆引き作成用!$C$2:$C$169,MATCH($B61&amp;"/"&amp;$C61,逆引き作成用!AQ$2:AQ$169,FALSE),1),"")</f>
        <v/>
      </c>
      <c r="AR61" s="17" t="str">
        <f>IFERROR(INDEX(逆引き作成用!$C$2:$C$169,MATCH($B61&amp;"/"&amp;$C61,逆引き作成用!AR$2:AR$169,FALSE),1),"")</f>
        <v/>
      </c>
      <c r="AS61" s="17" t="str">
        <f>IFERROR(INDEX(逆引き作成用!$C$2:$C$169,MATCH($B61&amp;"/"&amp;$C61,逆引き作成用!AS$2:AS$169,FALSE),1),"")</f>
        <v/>
      </c>
      <c r="AT61" s="17" t="str">
        <f>IFERROR(INDEX(逆引き作成用!$C$2:$C$169,MATCH($B61&amp;"/"&amp;$C61,逆引き作成用!AT$2:AT$169,FALSE),1),"")</f>
        <v/>
      </c>
      <c r="AU61" s="17" t="str">
        <f>IFERROR(INDEX(逆引き作成用!$C$2:$C$169,MATCH($B61&amp;"/"&amp;$C61,逆引き作成用!AU$2:AU$169,FALSE),1),"")</f>
        <v/>
      </c>
      <c r="AV61" s="17" t="str">
        <f>IFERROR(INDEX(逆引き作成用!$C$2:$C$169,MATCH($B61&amp;"/"&amp;$C61,逆引き作成用!AV$2:AV$169,FALSE),1),"")</f>
        <v/>
      </c>
      <c r="AW61" s="17" t="str">
        <f>IFERROR(INDEX(逆引き作成用!$C$2:$C$169,MATCH($B61&amp;"/"&amp;$C61,逆引き作成用!AW$2:AW$169,FALSE),1),"")</f>
        <v/>
      </c>
      <c r="AX61" s="17" t="str">
        <f>IFERROR(INDEX(逆引き作成用!$C$2:$C$169,MATCH($B61&amp;"/"&amp;$C61,逆引き作成用!AX$2:AX$169,FALSE),1),"")</f>
        <v/>
      </c>
      <c r="AY61" s="17" t="str">
        <f>IFERROR(INDEX(逆引き作成用!$C$2:$C$169,MATCH($B61&amp;"/"&amp;$C61,逆引き作成用!AY$2:AY$169,FALSE),1),"")</f>
        <v/>
      </c>
      <c r="AZ61" s="17" t="str">
        <f>IFERROR(INDEX(逆引き作成用!$C$2:$C$169,MATCH($B61&amp;"/"&amp;$C61,逆引き作成用!AZ$2:AZ$169,FALSE),1),"")</f>
        <v/>
      </c>
      <c r="BA61" s="17" t="str">
        <f>IFERROR(INDEX(逆引き作成用!$C$2:$C$169,MATCH($B61&amp;"/"&amp;$C61,逆引き作成用!BA$2:BA$169,FALSE),1),"")</f>
        <v/>
      </c>
    </row>
    <row r="62" spans="1:53">
      <c r="A62" s="17" t="str">
        <f>IFERROR(INDEX(役職一覧!$B$2:$B$31,MATCH(B62,役職一覧!$C$2:$C$31,FALSE),1),"")</f>
        <v/>
      </c>
      <c r="B62" s="17" t="str">
        <f>IFERROR(IF(C62=1,INDEX(役職一覧!$C$2:$C$31,MATCH(逆引き!B61,役職一覧!$C$2:$C$31,FALSE)+1,1)&amp;"",B61),"")</f>
        <v/>
      </c>
      <c r="C62" s="17" t="str">
        <f>IFERROR(IF(VLOOKUP(B61,役職一覧!$C$2:$E$31,3,FALSE)=C61,1,C61+1),"")</f>
        <v/>
      </c>
      <c r="D62" s="17" t="str">
        <f>IFERROR(INDEX(逆引き作成用!$C$2:$C$169,MATCH($B62&amp;"/"&amp;$C62,逆引き作成用!D$2:D$169,FALSE),1),"")</f>
        <v/>
      </c>
      <c r="E62" s="17" t="str">
        <f>IFERROR(INDEX(逆引き作成用!$C$2:$C$169,MATCH($B62&amp;"/"&amp;$C62,逆引き作成用!E$2:E$169,FALSE),1),"")</f>
        <v/>
      </c>
      <c r="F62" s="17" t="str">
        <f>IFERROR(INDEX(逆引き作成用!$C$2:$C$169,MATCH($B62&amp;"/"&amp;$C62,逆引き作成用!F$2:F$169,FALSE),1),"")</f>
        <v/>
      </c>
      <c r="G62" s="17" t="str">
        <f>IFERROR(INDEX(逆引き作成用!$C$2:$C$169,MATCH($B62&amp;"/"&amp;$C62,逆引き作成用!G$2:G$169,FALSE),1),"")</f>
        <v/>
      </c>
      <c r="H62" s="17" t="str">
        <f>IFERROR(INDEX(逆引き作成用!$C$2:$C$169,MATCH($B62&amp;"/"&amp;$C62,逆引き作成用!H$2:H$169,FALSE),1),"")</f>
        <v/>
      </c>
      <c r="I62" s="17" t="str">
        <f>IFERROR(INDEX(逆引き作成用!$C$2:$C$169,MATCH($B62&amp;"/"&amp;$C62,逆引き作成用!I$2:I$169,FALSE),1),"")</f>
        <v/>
      </c>
      <c r="J62" s="17" t="str">
        <f>IFERROR(INDEX(逆引き作成用!$C$2:$C$169,MATCH($B62&amp;"/"&amp;$C62,逆引き作成用!J$2:J$169,FALSE),1),"")</f>
        <v/>
      </c>
      <c r="K62" s="17" t="str">
        <f>IFERROR(INDEX(逆引き作成用!$C$2:$C$169,MATCH($B62&amp;"/"&amp;$C62,逆引き作成用!K$2:K$169,FALSE),1),"")</f>
        <v/>
      </c>
      <c r="L62" s="17" t="str">
        <f>IFERROR(INDEX(逆引き作成用!$C$2:$C$169,MATCH($B62&amp;"/"&amp;$C62,逆引き作成用!L$2:L$169,FALSE),1),"")</f>
        <v/>
      </c>
      <c r="M62" s="17" t="str">
        <f>IFERROR(INDEX(逆引き作成用!$C$2:$C$169,MATCH($B62&amp;"/"&amp;$C62,逆引き作成用!M$2:M$169,FALSE),1),"")</f>
        <v/>
      </c>
      <c r="N62" s="17" t="str">
        <f>IFERROR(INDEX(逆引き作成用!$C$2:$C$169,MATCH($B62&amp;"/"&amp;$C62,逆引き作成用!N$2:N$169,FALSE),1),"")</f>
        <v/>
      </c>
      <c r="O62" s="17" t="str">
        <f>IFERROR(INDEX(逆引き作成用!$C$2:$C$169,MATCH($B62&amp;"/"&amp;$C62,逆引き作成用!O$2:O$169,FALSE),1),"")</f>
        <v/>
      </c>
      <c r="P62" s="17" t="str">
        <f>IFERROR(INDEX(逆引き作成用!$C$2:$C$169,MATCH($B62&amp;"/"&amp;$C62,逆引き作成用!P$2:P$169,FALSE),1),"")</f>
        <v/>
      </c>
      <c r="Q62" s="17" t="str">
        <f>IFERROR(INDEX(逆引き作成用!$C$2:$C$169,MATCH($B62&amp;"/"&amp;$C62,逆引き作成用!Q$2:Q$169,FALSE),1),"")</f>
        <v/>
      </c>
      <c r="R62" s="17" t="str">
        <f>IFERROR(INDEX(逆引き作成用!$C$2:$C$169,MATCH($B62&amp;"/"&amp;$C62,逆引き作成用!R$2:R$169,FALSE),1),"")</f>
        <v/>
      </c>
      <c r="S62" s="17" t="str">
        <f>IFERROR(INDEX(逆引き作成用!$C$2:$C$169,MATCH($B62&amp;"/"&amp;$C62,逆引き作成用!S$2:S$169,FALSE),1),"")</f>
        <v/>
      </c>
      <c r="T62" s="17" t="str">
        <f>IFERROR(INDEX(逆引き作成用!$C$2:$C$169,MATCH($B62&amp;"/"&amp;$C62,逆引き作成用!T$2:T$169,FALSE),1),"")</f>
        <v/>
      </c>
      <c r="U62" s="17" t="str">
        <f>IFERROR(INDEX(逆引き作成用!$C$2:$C$169,MATCH($B62&amp;"/"&amp;$C62,逆引き作成用!U$2:U$169,FALSE),1),"")</f>
        <v/>
      </c>
      <c r="V62" s="17" t="str">
        <f>IFERROR(INDEX(逆引き作成用!$C$2:$C$169,MATCH($B62&amp;"/"&amp;$C62,逆引き作成用!V$2:V$169,FALSE),1),"")</f>
        <v/>
      </c>
      <c r="W62" s="17" t="str">
        <f>IFERROR(INDEX(逆引き作成用!$C$2:$C$169,MATCH($B62&amp;"/"&amp;$C62,逆引き作成用!W$2:W$169,FALSE),1),"")</f>
        <v/>
      </c>
      <c r="X62" s="17" t="str">
        <f>IFERROR(INDEX(逆引き作成用!$C$2:$C$169,MATCH($B62&amp;"/"&amp;$C62,逆引き作成用!X$2:X$169,FALSE),1),"")</f>
        <v/>
      </c>
      <c r="Y62" s="17" t="str">
        <f>IFERROR(INDEX(逆引き作成用!$C$2:$C$169,MATCH($B62&amp;"/"&amp;$C62,逆引き作成用!Y$2:Y$169,FALSE),1),"")</f>
        <v/>
      </c>
      <c r="Z62" s="17" t="str">
        <f>IFERROR(INDEX(逆引き作成用!$C$2:$C$169,MATCH($B62&amp;"/"&amp;$C62,逆引き作成用!Z$2:Z$169,FALSE),1),"")</f>
        <v/>
      </c>
      <c r="AA62" s="17" t="str">
        <f>IFERROR(INDEX(逆引き作成用!$C$2:$C$169,MATCH($B62&amp;"/"&amp;$C62,逆引き作成用!AA$2:AA$169,FALSE),1),"")</f>
        <v/>
      </c>
      <c r="AB62" s="17" t="str">
        <f>IFERROR(INDEX(逆引き作成用!$C$2:$C$169,MATCH($B62&amp;"/"&amp;$C62,逆引き作成用!AB$2:AB$169,FALSE),1),"")</f>
        <v/>
      </c>
      <c r="AC62" s="17" t="str">
        <f>IFERROR(INDEX(逆引き作成用!$C$2:$C$169,MATCH($B62&amp;"/"&amp;$C62,逆引き作成用!AC$2:AC$169,FALSE),1),"")</f>
        <v/>
      </c>
      <c r="AD62" s="17" t="str">
        <f>IFERROR(INDEX(逆引き作成用!$C$2:$C$169,MATCH($B62&amp;"/"&amp;$C62,逆引き作成用!AD$2:AD$169,FALSE),1),"")</f>
        <v/>
      </c>
      <c r="AE62" s="17" t="str">
        <f>IFERROR(INDEX(逆引き作成用!$C$2:$C$169,MATCH($B62&amp;"/"&amp;$C62,逆引き作成用!AE$2:AE$169,FALSE),1),"")</f>
        <v/>
      </c>
      <c r="AF62" s="17" t="str">
        <f>IFERROR(INDEX(逆引き作成用!$C$2:$C$169,MATCH($B62&amp;"/"&amp;$C62,逆引き作成用!AF$2:AF$169,FALSE),1),"")</f>
        <v/>
      </c>
      <c r="AG62" s="17" t="str">
        <f>IFERROR(INDEX(逆引き作成用!$C$2:$C$169,MATCH($B62&amp;"/"&amp;$C62,逆引き作成用!AG$2:AG$169,FALSE),1),"")</f>
        <v/>
      </c>
      <c r="AH62" s="17" t="str">
        <f>IFERROR(INDEX(逆引き作成用!$C$2:$C$169,MATCH($B62&amp;"/"&amp;$C62,逆引き作成用!AH$2:AH$169,FALSE),1),"")</f>
        <v/>
      </c>
      <c r="AI62" s="17" t="str">
        <f>IFERROR(INDEX(逆引き作成用!$C$2:$C$169,MATCH($B62&amp;"/"&amp;$C62,逆引き作成用!AI$2:AI$169,FALSE),1),"")</f>
        <v/>
      </c>
      <c r="AJ62" s="17" t="str">
        <f>IFERROR(INDEX(逆引き作成用!$C$2:$C$169,MATCH($B62&amp;"/"&amp;$C62,逆引き作成用!AJ$2:AJ$169,FALSE),1),"")</f>
        <v/>
      </c>
      <c r="AK62" s="17" t="str">
        <f>IFERROR(INDEX(逆引き作成用!$C$2:$C$169,MATCH($B62&amp;"/"&amp;$C62,逆引き作成用!AK$2:AK$169,FALSE),1),"")</f>
        <v/>
      </c>
      <c r="AL62" s="17" t="str">
        <f>IFERROR(INDEX(逆引き作成用!$C$2:$C$169,MATCH($B62&amp;"/"&amp;$C62,逆引き作成用!AL$2:AL$169,FALSE),1),"")</f>
        <v/>
      </c>
      <c r="AM62" s="17" t="str">
        <f>IFERROR(INDEX(逆引き作成用!$C$2:$C$169,MATCH($B62&amp;"/"&amp;$C62,逆引き作成用!AM$2:AM$169,FALSE),1),"")</f>
        <v/>
      </c>
      <c r="AN62" s="17" t="str">
        <f>IFERROR(INDEX(逆引き作成用!$C$2:$C$169,MATCH($B62&amp;"/"&amp;$C62,逆引き作成用!AN$2:AN$169,FALSE),1),"")</f>
        <v/>
      </c>
      <c r="AO62" s="17" t="str">
        <f>IFERROR(INDEX(逆引き作成用!$C$2:$C$169,MATCH($B62&amp;"/"&amp;$C62,逆引き作成用!AO$2:AO$169,FALSE),1),"")</f>
        <v/>
      </c>
      <c r="AP62" s="17" t="str">
        <f>IFERROR(INDEX(逆引き作成用!$C$2:$C$169,MATCH($B62&amp;"/"&amp;$C62,逆引き作成用!AP$2:AP$169,FALSE),1),"")</f>
        <v/>
      </c>
      <c r="AQ62" s="17" t="str">
        <f>IFERROR(INDEX(逆引き作成用!$C$2:$C$169,MATCH($B62&amp;"/"&amp;$C62,逆引き作成用!AQ$2:AQ$169,FALSE),1),"")</f>
        <v/>
      </c>
      <c r="AR62" s="17" t="str">
        <f>IFERROR(INDEX(逆引き作成用!$C$2:$C$169,MATCH($B62&amp;"/"&amp;$C62,逆引き作成用!AR$2:AR$169,FALSE),1),"")</f>
        <v/>
      </c>
      <c r="AS62" s="17" t="str">
        <f>IFERROR(INDEX(逆引き作成用!$C$2:$C$169,MATCH($B62&amp;"/"&amp;$C62,逆引き作成用!AS$2:AS$169,FALSE),1),"")</f>
        <v/>
      </c>
      <c r="AT62" s="17" t="str">
        <f>IFERROR(INDEX(逆引き作成用!$C$2:$C$169,MATCH($B62&amp;"/"&amp;$C62,逆引き作成用!AT$2:AT$169,FALSE),1),"")</f>
        <v/>
      </c>
      <c r="AU62" s="17" t="str">
        <f>IFERROR(INDEX(逆引き作成用!$C$2:$C$169,MATCH($B62&amp;"/"&amp;$C62,逆引き作成用!AU$2:AU$169,FALSE),1),"")</f>
        <v/>
      </c>
      <c r="AV62" s="17" t="str">
        <f>IFERROR(INDEX(逆引き作成用!$C$2:$C$169,MATCH($B62&amp;"/"&amp;$C62,逆引き作成用!AV$2:AV$169,FALSE),1),"")</f>
        <v/>
      </c>
      <c r="AW62" s="17" t="str">
        <f>IFERROR(INDEX(逆引き作成用!$C$2:$C$169,MATCH($B62&amp;"/"&amp;$C62,逆引き作成用!AW$2:AW$169,FALSE),1),"")</f>
        <v/>
      </c>
      <c r="AX62" s="17" t="str">
        <f>IFERROR(INDEX(逆引き作成用!$C$2:$C$169,MATCH($B62&amp;"/"&amp;$C62,逆引き作成用!AX$2:AX$169,FALSE),1),"")</f>
        <v/>
      </c>
      <c r="AY62" s="17" t="str">
        <f>IFERROR(INDEX(逆引き作成用!$C$2:$C$169,MATCH($B62&amp;"/"&amp;$C62,逆引き作成用!AY$2:AY$169,FALSE),1),"")</f>
        <v/>
      </c>
      <c r="AZ62" s="17" t="str">
        <f>IFERROR(INDEX(逆引き作成用!$C$2:$C$169,MATCH($B62&amp;"/"&amp;$C62,逆引き作成用!AZ$2:AZ$169,FALSE),1),"")</f>
        <v/>
      </c>
      <c r="BA62" s="17" t="str">
        <f>IFERROR(INDEX(逆引き作成用!$C$2:$C$169,MATCH($B62&amp;"/"&amp;$C62,逆引き作成用!BA$2:BA$169,FALSE),1),"")</f>
        <v/>
      </c>
    </row>
    <row r="63" spans="1:53">
      <c r="A63" s="17" t="str">
        <f>IFERROR(INDEX(役職一覧!$B$2:$B$31,MATCH(B63,役職一覧!$C$2:$C$31,FALSE),1),"")</f>
        <v/>
      </c>
      <c r="B63" s="17" t="str">
        <f>IFERROR(IF(C63=1,INDEX(役職一覧!$C$2:$C$31,MATCH(逆引き!B62,役職一覧!$C$2:$C$31,FALSE)+1,1)&amp;"",B62),"")</f>
        <v/>
      </c>
      <c r="C63" s="17" t="str">
        <f>IFERROR(IF(VLOOKUP(B62,役職一覧!$C$2:$E$31,3,FALSE)=C62,1,C62+1),"")</f>
        <v/>
      </c>
      <c r="D63" s="17" t="str">
        <f>IFERROR(INDEX(逆引き作成用!$C$2:$C$169,MATCH($B63&amp;"/"&amp;$C63,逆引き作成用!D$2:D$169,FALSE),1),"")</f>
        <v/>
      </c>
      <c r="E63" s="17" t="str">
        <f>IFERROR(INDEX(逆引き作成用!$C$2:$C$169,MATCH($B63&amp;"/"&amp;$C63,逆引き作成用!E$2:E$169,FALSE),1),"")</f>
        <v/>
      </c>
      <c r="F63" s="17" t="str">
        <f>IFERROR(INDEX(逆引き作成用!$C$2:$C$169,MATCH($B63&amp;"/"&amp;$C63,逆引き作成用!F$2:F$169,FALSE),1),"")</f>
        <v/>
      </c>
      <c r="G63" s="17" t="str">
        <f>IFERROR(INDEX(逆引き作成用!$C$2:$C$169,MATCH($B63&amp;"/"&amp;$C63,逆引き作成用!G$2:G$169,FALSE),1),"")</f>
        <v/>
      </c>
      <c r="H63" s="17" t="str">
        <f>IFERROR(INDEX(逆引き作成用!$C$2:$C$169,MATCH($B63&amp;"/"&amp;$C63,逆引き作成用!H$2:H$169,FALSE),1),"")</f>
        <v/>
      </c>
      <c r="I63" s="17" t="str">
        <f>IFERROR(INDEX(逆引き作成用!$C$2:$C$169,MATCH($B63&amp;"/"&amp;$C63,逆引き作成用!I$2:I$169,FALSE),1),"")</f>
        <v/>
      </c>
      <c r="J63" s="17" t="str">
        <f>IFERROR(INDEX(逆引き作成用!$C$2:$C$169,MATCH($B63&amp;"/"&amp;$C63,逆引き作成用!J$2:J$169,FALSE),1),"")</f>
        <v/>
      </c>
      <c r="K63" s="17" t="str">
        <f>IFERROR(INDEX(逆引き作成用!$C$2:$C$169,MATCH($B63&amp;"/"&amp;$C63,逆引き作成用!K$2:K$169,FALSE),1),"")</f>
        <v/>
      </c>
      <c r="L63" s="17" t="str">
        <f>IFERROR(INDEX(逆引き作成用!$C$2:$C$169,MATCH($B63&amp;"/"&amp;$C63,逆引き作成用!L$2:L$169,FALSE),1),"")</f>
        <v/>
      </c>
      <c r="M63" s="17" t="str">
        <f>IFERROR(INDEX(逆引き作成用!$C$2:$C$169,MATCH($B63&amp;"/"&amp;$C63,逆引き作成用!M$2:M$169,FALSE),1),"")</f>
        <v/>
      </c>
      <c r="N63" s="17" t="str">
        <f>IFERROR(INDEX(逆引き作成用!$C$2:$C$169,MATCH($B63&amp;"/"&amp;$C63,逆引き作成用!N$2:N$169,FALSE),1),"")</f>
        <v/>
      </c>
      <c r="O63" s="17" t="str">
        <f>IFERROR(INDEX(逆引き作成用!$C$2:$C$169,MATCH($B63&amp;"/"&amp;$C63,逆引き作成用!O$2:O$169,FALSE),1),"")</f>
        <v/>
      </c>
      <c r="P63" s="17" t="str">
        <f>IFERROR(INDEX(逆引き作成用!$C$2:$C$169,MATCH($B63&amp;"/"&amp;$C63,逆引き作成用!P$2:P$169,FALSE),1),"")</f>
        <v/>
      </c>
      <c r="Q63" s="17" t="str">
        <f>IFERROR(INDEX(逆引き作成用!$C$2:$C$169,MATCH($B63&amp;"/"&amp;$C63,逆引き作成用!Q$2:Q$169,FALSE),1),"")</f>
        <v/>
      </c>
      <c r="R63" s="17" t="str">
        <f>IFERROR(INDEX(逆引き作成用!$C$2:$C$169,MATCH($B63&amp;"/"&amp;$C63,逆引き作成用!R$2:R$169,FALSE),1),"")</f>
        <v/>
      </c>
      <c r="S63" s="17" t="str">
        <f>IFERROR(INDEX(逆引き作成用!$C$2:$C$169,MATCH($B63&amp;"/"&amp;$C63,逆引き作成用!S$2:S$169,FALSE),1),"")</f>
        <v/>
      </c>
      <c r="T63" s="17" t="str">
        <f>IFERROR(INDEX(逆引き作成用!$C$2:$C$169,MATCH($B63&amp;"/"&amp;$C63,逆引き作成用!T$2:T$169,FALSE),1),"")</f>
        <v/>
      </c>
      <c r="U63" s="17" t="str">
        <f>IFERROR(INDEX(逆引き作成用!$C$2:$C$169,MATCH($B63&amp;"/"&amp;$C63,逆引き作成用!U$2:U$169,FALSE),1),"")</f>
        <v/>
      </c>
      <c r="V63" s="17" t="str">
        <f>IFERROR(INDEX(逆引き作成用!$C$2:$C$169,MATCH($B63&amp;"/"&amp;$C63,逆引き作成用!V$2:V$169,FALSE),1),"")</f>
        <v/>
      </c>
      <c r="W63" s="17" t="str">
        <f>IFERROR(INDEX(逆引き作成用!$C$2:$C$169,MATCH($B63&amp;"/"&amp;$C63,逆引き作成用!W$2:W$169,FALSE),1),"")</f>
        <v/>
      </c>
      <c r="X63" s="17" t="str">
        <f>IFERROR(INDEX(逆引き作成用!$C$2:$C$169,MATCH($B63&amp;"/"&amp;$C63,逆引き作成用!X$2:X$169,FALSE),1),"")</f>
        <v/>
      </c>
      <c r="Y63" s="17" t="str">
        <f>IFERROR(INDEX(逆引き作成用!$C$2:$C$169,MATCH($B63&amp;"/"&amp;$C63,逆引き作成用!Y$2:Y$169,FALSE),1),"")</f>
        <v/>
      </c>
      <c r="Z63" s="17" t="str">
        <f>IFERROR(INDEX(逆引き作成用!$C$2:$C$169,MATCH($B63&amp;"/"&amp;$C63,逆引き作成用!Z$2:Z$169,FALSE),1),"")</f>
        <v/>
      </c>
      <c r="AA63" s="17" t="str">
        <f>IFERROR(INDEX(逆引き作成用!$C$2:$C$169,MATCH($B63&amp;"/"&amp;$C63,逆引き作成用!AA$2:AA$169,FALSE),1),"")</f>
        <v/>
      </c>
      <c r="AB63" s="17" t="str">
        <f>IFERROR(INDEX(逆引き作成用!$C$2:$C$169,MATCH($B63&amp;"/"&amp;$C63,逆引き作成用!AB$2:AB$169,FALSE),1),"")</f>
        <v/>
      </c>
      <c r="AC63" s="17" t="str">
        <f>IFERROR(INDEX(逆引き作成用!$C$2:$C$169,MATCH($B63&amp;"/"&amp;$C63,逆引き作成用!AC$2:AC$169,FALSE),1),"")</f>
        <v/>
      </c>
      <c r="AD63" s="17" t="str">
        <f>IFERROR(INDEX(逆引き作成用!$C$2:$C$169,MATCH($B63&amp;"/"&amp;$C63,逆引き作成用!AD$2:AD$169,FALSE),1),"")</f>
        <v/>
      </c>
      <c r="AE63" s="17" t="str">
        <f>IFERROR(INDEX(逆引き作成用!$C$2:$C$169,MATCH($B63&amp;"/"&amp;$C63,逆引き作成用!AE$2:AE$169,FALSE),1),"")</f>
        <v/>
      </c>
      <c r="AF63" s="17" t="str">
        <f>IFERROR(INDEX(逆引き作成用!$C$2:$C$169,MATCH($B63&amp;"/"&amp;$C63,逆引き作成用!AF$2:AF$169,FALSE),1),"")</f>
        <v/>
      </c>
      <c r="AG63" s="17" t="str">
        <f>IFERROR(INDEX(逆引き作成用!$C$2:$C$169,MATCH($B63&amp;"/"&amp;$C63,逆引き作成用!AG$2:AG$169,FALSE),1),"")</f>
        <v/>
      </c>
      <c r="AH63" s="17" t="str">
        <f>IFERROR(INDEX(逆引き作成用!$C$2:$C$169,MATCH($B63&amp;"/"&amp;$C63,逆引き作成用!AH$2:AH$169,FALSE),1),"")</f>
        <v/>
      </c>
      <c r="AI63" s="17" t="str">
        <f>IFERROR(INDEX(逆引き作成用!$C$2:$C$169,MATCH($B63&amp;"/"&amp;$C63,逆引き作成用!AI$2:AI$169,FALSE),1),"")</f>
        <v/>
      </c>
      <c r="AJ63" s="17" t="str">
        <f>IFERROR(INDEX(逆引き作成用!$C$2:$C$169,MATCH($B63&amp;"/"&amp;$C63,逆引き作成用!AJ$2:AJ$169,FALSE),1),"")</f>
        <v/>
      </c>
      <c r="AK63" s="17" t="str">
        <f>IFERROR(INDEX(逆引き作成用!$C$2:$C$169,MATCH($B63&amp;"/"&amp;$C63,逆引き作成用!AK$2:AK$169,FALSE),1),"")</f>
        <v/>
      </c>
      <c r="AL63" s="17" t="str">
        <f>IFERROR(INDEX(逆引き作成用!$C$2:$C$169,MATCH($B63&amp;"/"&amp;$C63,逆引き作成用!AL$2:AL$169,FALSE),1),"")</f>
        <v/>
      </c>
      <c r="AM63" s="17" t="str">
        <f>IFERROR(INDEX(逆引き作成用!$C$2:$C$169,MATCH($B63&amp;"/"&amp;$C63,逆引き作成用!AM$2:AM$169,FALSE),1),"")</f>
        <v/>
      </c>
      <c r="AN63" s="17" t="str">
        <f>IFERROR(INDEX(逆引き作成用!$C$2:$C$169,MATCH($B63&amp;"/"&amp;$C63,逆引き作成用!AN$2:AN$169,FALSE),1),"")</f>
        <v/>
      </c>
      <c r="AO63" s="17" t="str">
        <f>IFERROR(INDEX(逆引き作成用!$C$2:$C$169,MATCH($B63&amp;"/"&amp;$C63,逆引き作成用!AO$2:AO$169,FALSE),1),"")</f>
        <v/>
      </c>
      <c r="AP63" s="17" t="str">
        <f>IFERROR(INDEX(逆引き作成用!$C$2:$C$169,MATCH($B63&amp;"/"&amp;$C63,逆引き作成用!AP$2:AP$169,FALSE),1),"")</f>
        <v/>
      </c>
      <c r="AQ63" s="17" t="str">
        <f>IFERROR(INDEX(逆引き作成用!$C$2:$C$169,MATCH($B63&amp;"/"&amp;$C63,逆引き作成用!AQ$2:AQ$169,FALSE),1),"")</f>
        <v/>
      </c>
      <c r="AR63" s="17" t="str">
        <f>IFERROR(INDEX(逆引き作成用!$C$2:$C$169,MATCH($B63&amp;"/"&amp;$C63,逆引き作成用!AR$2:AR$169,FALSE),1),"")</f>
        <v/>
      </c>
      <c r="AS63" s="17" t="str">
        <f>IFERROR(INDEX(逆引き作成用!$C$2:$C$169,MATCH($B63&amp;"/"&amp;$C63,逆引き作成用!AS$2:AS$169,FALSE),1),"")</f>
        <v/>
      </c>
      <c r="AT63" s="17" t="str">
        <f>IFERROR(INDEX(逆引き作成用!$C$2:$C$169,MATCH($B63&amp;"/"&amp;$C63,逆引き作成用!AT$2:AT$169,FALSE),1),"")</f>
        <v/>
      </c>
      <c r="AU63" s="17" t="str">
        <f>IFERROR(INDEX(逆引き作成用!$C$2:$C$169,MATCH($B63&amp;"/"&amp;$C63,逆引き作成用!AU$2:AU$169,FALSE),1),"")</f>
        <v/>
      </c>
      <c r="AV63" s="17" t="str">
        <f>IFERROR(INDEX(逆引き作成用!$C$2:$C$169,MATCH($B63&amp;"/"&amp;$C63,逆引き作成用!AV$2:AV$169,FALSE),1),"")</f>
        <v/>
      </c>
      <c r="AW63" s="17" t="str">
        <f>IFERROR(INDEX(逆引き作成用!$C$2:$C$169,MATCH($B63&amp;"/"&amp;$C63,逆引き作成用!AW$2:AW$169,FALSE),1),"")</f>
        <v/>
      </c>
      <c r="AX63" s="17" t="str">
        <f>IFERROR(INDEX(逆引き作成用!$C$2:$C$169,MATCH($B63&amp;"/"&amp;$C63,逆引き作成用!AX$2:AX$169,FALSE),1),"")</f>
        <v/>
      </c>
      <c r="AY63" s="17" t="str">
        <f>IFERROR(INDEX(逆引き作成用!$C$2:$C$169,MATCH($B63&amp;"/"&amp;$C63,逆引き作成用!AY$2:AY$169,FALSE),1),"")</f>
        <v/>
      </c>
      <c r="AZ63" s="17" t="str">
        <f>IFERROR(INDEX(逆引き作成用!$C$2:$C$169,MATCH($B63&amp;"/"&amp;$C63,逆引き作成用!AZ$2:AZ$169,FALSE),1),"")</f>
        <v/>
      </c>
      <c r="BA63" s="17" t="str">
        <f>IFERROR(INDEX(逆引き作成用!$C$2:$C$169,MATCH($B63&amp;"/"&amp;$C63,逆引き作成用!BA$2:BA$169,FALSE),1),"")</f>
        <v/>
      </c>
    </row>
    <row r="64" spans="1:53">
      <c r="A64" s="17" t="str">
        <f>IFERROR(INDEX(役職一覧!$B$2:$B$31,MATCH(B64,役職一覧!$C$2:$C$31,FALSE),1),"")</f>
        <v/>
      </c>
      <c r="B64" s="17" t="str">
        <f>IFERROR(IF(C64=1,INDEX(役職一覧!$C$2:$C$31,MATCH(逆引き!B63,役職一覧!$C$2:$C$31,FALSE)+1,1)&amp;"",B63),"")</f>
        <v/>
      </c>
      <c r="C64" s="17" t="str">
        <f>IFERROR(IF(VLOOKUP(B63,役職一覧!$C$2:$E$31,3,FALSE)=C63,1,C63+1),"")</f>
        <v/>
      </c>
      <c r="D64" s="17" t="str">
        <f>IFERROR(INDEX(逆引き作成用!$C$2:$C$169,MATCH($B64&amp;"/"&amp;$C64,逆引き作成用!D$2:D$169,FALSE),1),"")</f>
        <v/>
      </c>
      <c r="E64" s="17" t="str">
        <f>IFERROR(INDEX(逆引き作成用!$C$2:$C$169,MATCH($B64&amp;"/"&amp;$C64,逆引き作成用!E$2:E$169,FALSE),1),"")</f>
        <v/>
      </c>
      <c r="F64" s="17" t="str">
        <f>IFERROR(INDEX(逆引き作成用!$C$2:$C$169,MATCH($B64&amp;"/"&amp;$C64,逆引き作成用!F$2:F$169,FALSE),1),"")</f>
        <v/>
      </c>
      <c r="G64" s="17" t="str">
        <f>IFERROR(INDEX(逆引き作成用!$C$2:$C$169,MATCH($B64&amp;"/"&amp;$C64,逆引き作成用!G$2:G$169,FALSE),1),"")</f>
        <v/>
      </c>
      <c r="H64" s="17" t="str">
        <f>IFERROR(INDEX(逆引き作成用!$C$2:$C$169,MATCH($B64&amp;"/"&amp;$C64,逆引き作成用!H$2:H$169,FALSE),1),"")</f>
        <v/>
      </c>
      <c r="I64" s="17" t="str">
        <f>IFERROR(INDEX(逆引き作成用!$C$2:$C$169,MATCH($B64&amp;"/"&amp;$C64,逆引き作成用!I$2:I$169,FALSE),1),"")</f>
        <v/>
      </c>
      <c r="J64" s="17" t="str">
        <f>IFERROR(INDEX(逆引き作成用!$C$2:$C$169,MATCH($B64&amp;"/"&amp;$C64,逆引き作成用!J$2:J$169,FALSE),1),"")</f>
        <v/>
      </c>
      <c r="K64" s="17" t="str">
        <f>IFERROR(INDEX(逆引き作成用!$C$2:$C$169,MATCH($B64&amp;"/"&amp;$C64,逆引き作成用!K$2:K$169,FALSE),1),"")</f>
        <v/>
      </c>
      <c r="L64" s="17" t="str">
        <f>IFERROR(INDEX(逆引き作成用!$C$2:$C$169,MATCH($B64&amp;"/"&amp;$C64,逆引き作成用!L$2:L$169,FALSE),1),"")</f>
        <v/>
      </c>
      <c r="M64" s="17" t="str">
        <f>IFERROR(INDEX(逆引き作成用!$C$2:$C$169,MATCH($B64&amp;"/"&amp;$C64,逆引き作成用!M$2:M$169,FALSE),1),"")</f>
        <v/>
      </c>
      <c r="N64" s="17" t="str">
        <f>IFERROR(INDEX(逆引き作成用!$C$2:$C$169,MATCH($B64&amp;"/"&amp;$C64,逆引き作成用!N$2:N$169,FALSE),1),"")</f>
        <v/>
      </c>
      <c r="O64" s="17" t="str">
        <f>IFERROR(INDEX(逆引き作成用!$C$2:$C$169,MATCH($B64&amp;"/"&amp;$C64,逆引き作成用!O$2:O$169,FALSE),1),"")</f>
        <v/>
      </c>
      <c r="P64" s="17" t="str">
        <f>IFERROR(INDEX(逆引き作成用!$C$2:$C$169,MATCH($B64&amp;"/"&amp;$C64,逆引き作成用!P$2:P$169,FALSE),1),"")</f>
        <v/>
      </c>
      <c r="Q64" s="17" t="str">
        <f>IFERROR(INDEX(逆引き作成用!$C$2:$C$169,MATCH($B64&amp;"/"&amp;$C64,逆引き作成用!Q$2:Q$169,FALSE),1),"")</f>
        <v/>
      </c>
      <c r="R64" s="17" t="str">
        <f>IFERROR(INDEX(逆引き作成用!$C$2:$C$169,MATCH($B64&amp;"/"&amp;$C64,逆引き作成用!R$2:R$169,FALSE),1),"")</f>
        <v/>
      </c>
      <c r="S64" s="17" t="str">
        <f>IFERROR(INDEX(逆引き作成用!$C$2:$C$169,MATCH($B64&amp;"/"&amp;$C64,逆引き作成用!S$2:S$169,FALSE),1),"")</f>
        <v/>
      </c>
      <c r="T64" s="17" t="str">
        <f>IFERROR(INDEX(逆引き作成用!$C$2:$C$169,MATCH($B64&amp;"/"&amp;$C64,逆引き作成用!T$2:T$169,FALSE),1),"")</f>
        <v/>
      </c>
      <c r="U64" s="17" t="str">
        <f>IFERROR(INDEX(逆引き作成用!$C$2:$C$169,MATCH($B64&amp;"/"&amp;$C64,逆引き作成用!U$2:U$169,FALSE),1),"")</f>
        <v/>
      </c>
      <c r="V64" s="17" t="str">
        <f>IFERROR(INDEX(逆引き作成用!$C$2:$C$169,MATCH($B64&amp;"/"&amp;$C64,逆引き作成用!V$2:V$169,FALSE),1),"")</f>
        <v/>
      </c>
      <c r="W64" s="17" t="str">
        <f>IFERROR(INDEX(逆引き作成用!$C$2:$C$169,MATCH($B64&amp;"/"&amp;$C64,逆引き作成用!W$2:W$169,FALSE),1),"")</f>
        <v/>
      </c>
      <c r="X64" s="17" t="str">
        <f>IFERROR(INDEX(逆引き作成用!$C$2:$C$169,MATCH($B64&amp;"/"&amp;$C64,逆引き作成用!X$2:X$169,FALSE),1),"")</f>
        <v/>
      </c>
      <c r="Y64" s="17" t="str">
        <f>IFERROR(INDEX(逆引き作成用!$C$2:$C$169,MATCH($B64&amp;"/"&amp;$C64,逆引き作成用!Y$2:Y$169,FALSE),1),"")</f>
        <v/>
      </c>
      <c r="Z64" s="17" t="str">
        <f>IFERROR(INDEX(逆引き作成用!$C$2:$C$169,MATCH($B64&amp;"/"&amp;$C64,逆引き作成用!Z$2:Z$169,FALSE),1),"")</f>
        <v/>
      </c>
      <c r="AA64" s="17" t="str">
        <f>IFERROR(INDEX(逆引き作成用!$C$2:$C$169,MATCH($B64&amp;"/"&amp;$C64,逆引き作成用!AA$2:AA$169,FALSE),1),"")</f>
        <v/>
      </c>
      <c r="AB64" s="17" t="str">
        <f>IFERROR(INDEX(逆引き作成用!$C$2:$C$169,MATCH($B64&amp;"/"&amp;$C64,逆引き作成用!AB$2:AB$169,FALSE),1),"")</f>
        <v/>
      </c>
      <c r="AC64" s="17" t="str">
        <f>IFERROR(INDEX(逆引き作成用!$C$2:$C$169,MATCH($B64&amp;"/"&amp;$C64,逆引き作成用!AC$2:AC$169,FALSE),1),"")</f>
        <v/>
      </c>
      <c r="AD64" s="17" t="str">
        <f>IFERROR(INDEX(逆引き作成用!$C$2:$C$169,MATCH($B64&amp;"/"&amp;$C64,逆引き作成用!AD$2:AD$169,FALSE),1),"")</f>
        <v/>
      </c>
      <c r="AE64" s="17" t="str">
        <f>IFERROR(INDEX(逆引き作成用!$C$2:$C$169,MATCH($B64&amp;"/"&amp;$C64,逆引き作成用!AE$2:AE$169,FALSE),1),"")</f>
        <v/>
      </c>
      <c r="AF64" s="17" t="str">
        <f>IFERROR(INDEX(逆引き作成用!$C$2:$C$169,MATCH($B64&amp;"/"&amp;$C64,逆引き作成用!AF$2:AF$169,FALSE),1),"")</f>
        <v/>
      </c>
      <c r="AG64" s="17" t="str">
        <f>IFERROR(INDEX(逆引き作成用!$C$2:$C$169,MATCH($B64&amp;"/"&amp;$C64,逆引き作成用!AG$2:AG$169,FALSE),1),"")</f>
        <v/>
      </c>
      <c r="AH64" s="17" t="str">
        <f>IFERROR(INDEX(逆引き作成用!$C$2:$C$169,MATCH($B64&amp;"/"&amp;$C64,逆引き作成用!AH$2:AH$169,FALSE),1),"")</f>
        <v/>
      </c>
      <c r="AI64" s="17" t="str">
        <f>IFERROR(INDEX(逆引き作成用!$C$2:$C$169,MATCH($B64&amp;"/"&amp;$C64,逆引き作成用!AI$2:AI$169,FALSE),1),"")</f>
        <v/>
      </c>
      <c r="AJ64" s="17" t="str">
        <f>IFERROR(INDEX(逆引き作成用!$C$2:$C$169,MATCH($B64&amp;"/"&amp;$C64,逆引き作成用!AJ$2:AJ$169,FALSE),1),"")</f>
        <v/>
      </c>
      <c r="AK64" s="17" t="str">
        <f>IFERROR(INDEX(逆引き作成用!$C$2:$C$169,MATCH($B64&amp;"/"&amp;$C64,逆引き作成用!AK$2:AK$169,FALSE),1),"")</f>
        <v/>
      </c>
      <c r="AL64" s="17" t="str">
        <f>IFERROR(INDEX(逆引き作成用!$C$2:$C$169,MATCH($B64&amp;"/"&amp;$C64,逆引き作成用!AL$2:AL$169,FALSE),1),"")</f>
        <v/>
      </c>
      <c r="AM64" s="17" t="str">
        <f>IFERROR(INDEX(逆引き作成用!$C$2:$C$169,MATCH($B64&amp;"/"&amp;$C64,逆引き作成用!AM$2:AM$169,FALSE),1),"")</f>
        <v/>
      </c>
      <c r="AN64" s="17" t="str">
        <f>IFERROR(INDEX(逆引き作成用!$C$2:$C$169,MATCH($B64&amp;"/"&amp;$C64,逆引き作成用!AN$2:AN$169,FALSE),1),"")</f>
        <v/>
      </c>
      <c r="AO64" s="17" t="str">
        <f>IFERROR(INDEX(逆引き作成用!$C$2:$C$169,MATCH($B64&amp;"/"&amp;$C64,逆引き作成用!AO$2:AO$169,FALSE),1),"")</f>
        <v/>
      </c>
      <c r="AP64" s="17" t="str">
        <f>IFERROR(INDEX(逆引き作成用!$C$2:$C$169,MATCH($B64&amp;"/"&amp;$C64,逆引き作成用!AP$2:AP$169,FALSE),1),"")</f>
        <v/>
      </c>
      <c r="AQ64" s="17" t="str">
        <f>IFERROR(INDEX(逆引き作成用!$C$2:$C$169,MATCH($B64&amp;"/"&amp;$C64,逆引き作成用!AQ$2:AQ$169,FALSE),1),"")</f>
        <v/>
      </c>
      <c r="AR64" s="17" t="str">
        <f>IFERROR(INDEX(逆引き作成用!$C$2:$C$169,MATCH($B64&amp;"/"&amp;$C64,逆引き作成用!AR$2:AR$169,FALSE),1),"")</f>
        <v/>
      </c>
      <c r="AS64" s="17" t="str">
        <f>IFERROR(INDEX(逆引き作成用!$C$2:$C$169,MATCH($B64&amp;"/"&amp;$C64,逆引き作成用!AS$2:AS$169,FALSE),1),"")</f>
        <v/>
      </c>
      <c r="AT64" s="17" t="str">
        <f>IFERROR(INDEX(逆引き作成用!$C$2:$C$169,MATCH($B64&amp;"/"&amp;$C64,逆引き作成用!AT$2:AT$169,FALSE),1),"")</f>
        <v/>
      </c>
      <c r="AU64" s="17" t="str">
        <f>IFERROR(INDEX(逆引き作成用!$C$2:$C$169,MATCH($B64&amp;"/"&amp;$C64,逆引き作成用!AU$2:AU$169,FALSE),1),"")</f>
        <v/>
      </c>
      <c r="AV64" s="17" t="str">
        <f>IFERROR(INDEX(逆引き作成用!$C$2:$C$169,MATCH($B64&amp;"/"&amp;$C64,逆引き作成用!AV$2:AV$169,FALSE),1),"")</f>
        <v/>
      </c>
      <c r="AW64" s="17" t="str">
        <f>IFERROR(INDEX(逆引き作成用!$C$2:$C$169,MATCH($B64&amp;"/"&amp;$C64,逆引き作成用!AW$2:AW$169,FALSE),1),"")</f>
        <v/>
      </c>
      <c r="AX64" s="17" t="str">
        <f>IFERROR(INDEX(逆引き作成用!$C$2:$C$169,MATCH($B64&amp;"/"&amp;$C64,逆引き作成用!AX$2:AX$169,FALSE),1),"")</f>
        <v/>
      </c>
      <c r="AY64" s="17" t="str">
        <f>IFERROR(INDEX(逆引き作成用!$C$2:$C$169,MATCH($B64&amp;"/"&amp;$C64,逆引き作成用!AY$2:AY$169,FALSE),1),"")</f>
        <v/>
      </c>
      <c r="AZ64" s="17" t="str">
        <f>IFERROR(INDEX(逆引き作成用!$C$2:$C$169,MATCH($B64&amp;"/"&amp;$C64,逆引き作成用!AZ$2:AZ$169,FALSE),1),"")</f>
        <v/>
      </c>
      <c r="BA64" s="17" t="str">
        <f>IFERROR(INDEX(逆引き作成用!$C$2:$C$169,MATCH($B64&amp;"/"&amp;$C64,逆引き作成用!BA$2:BA$169,FALSE),1),"")</f>
        <v/>
      </c>
    </row>
    <row r="65" spans="1:53">
      <c r="A65" s="17" t="str">
        <f>IFERROR(INDEX(役職一覧!$B$2:$B$31,MATCH(B65,役職一覧!$C$2:$C$31,FALSE),1),"")</f>
        <v/>
      </c>
      <c r="B65" s="17" t="str">
        <f>IFERROR(IF(C65=1,INDEX(役職一覧!$C$2:$C$31,MATCH(逆引き!B64,役職一覧!$C$2:$C$31,FALSE)+1,1)&amp;"",B64),"")</f>
        <v/>
      </c>
      <c r="C65" s="17" t="str">
        <f>IFERROR(IF(VLOOKUP(B64,役職一覧!$C$2:$E$31,3,FALSE)=C64,1,C64+1),"")</f>
        <v/>
      </c>
      <c r="D65" s="17" t="str">
        <f>IFERROR(INDEX(逆引き作成用!$C$2:$C$169,MATCH($B65&amp;"/"&amp;$C65,逆引き作成用!D$2:D$169,FALSE),1),"")</f>
        <v/>
      </c>
      <c r="E65" s="17" t="str">
        <f>IFERROR(INDEX(逆引き作成用!$C$2:$C$169,MATCH($B65&amp;"/"&amp;$C65,逆引き作成用!E$2:E$169,FALSE),1),"")</f>
        <v/>
      </c>
      <c r="F65" s="17" t="str">
        <f>IFERROR(INDEX(逆引き作成用!$C$2:$C$169,MATCH($B65&amp;"/"&amp;$C65,逆引き作成用!F$2:F$169,FALSE),1),"")</f>
        <v/>
      </c>
      <c r="G65" s="17" t="str">
        <f>IFERROR(INDEX(逆引き作成用!$C$2:$C$169,MATCH($B65&amp;"/"&amp;$C65,逆引き作成用!G$2:G$169,FALSE),1),"")</f>
        <v/>
      </c>
      <c r="H65" s="17" t="str">
        <f>IFERROR(INDEX(逆引き作成用!$C$2:$C$169,MATCH($B65&amp;"/"&amp;$C65,逆引き作成用!H$2:H$169,FALSE),1),"")</f>
        <v/>
      </c>
      <c r="I65" s="17" t="str">
        <f>IFERROR(INDEX(逆引き作成用!$C$2:$C$169,MATCH($B65&amp;"/"&amp;$C65,逆引き作成用!I$2:I$169,FALSE),1),"")</f>
        <v/>
      </c>
      <c r="J65" s="17" t="str">
        <f>IFERROR(INDEX(逆引き作成用!$C$2:$C$169,MATCH($B65&amp;"/"&amp;$C65,逆引き作成用!J$2:J$169,FALSE),1),"")</f>
        <v/>
      </c>
      <c r="K65" s="17" t="str">
        <f>IFERROR(INDEX(逆引き作成用!$C$2:$C$169,MATCH($B65&amp;"/"&amp;$C65,逆引き作成用!K$2:K$169,FALSE),1),"")</f>
        <v/>
      </c>
      <c r="L65" s="17" t="str">
        <f>IFERROR(INDEX(逆引き作成用!$C$2:$C$169,MATCH($B65&amp;"/"&amp;$C65,逆引き作成用!L$2:L$169,FALSE),1),"")</f>
        <v/>
      </c>
      <c r="M65" s="17" t="str">
        <f>IFERROR(INDEX(逆引き作成用!$C$2:$C$169,MATCH($B65&amp;"/"&amp;$C65,逆引き作成用!M$2:M$169,FALSE),1),"")</f>
        <v/>
      </c>
      <c r="N65" s="17" t="str">
        <f>IFERROR(INDEX(逆引き作成用!$C$2:$C$169,MATCH($B65&amp;"/"&amp;$C65,逆引き作成用!N$2:N$169,FALSE),1),"")</f>
        <v/>
      </c>
      <c r="O65" s="17" t="str">
        <f>IFERROR(INDEX(逆引き作成用!$C$2:$C$169,MATCH($B65&amp;"/"&amp;$C65,逆引き作成用!O$2:O$169,FALSE),1),"")</f>
        <v/>
      </c>
      <c r="P65" s="17" t="str">
        <f>IFERROR(INDEX(逆引き作成用!$C$2:$C$169,MATCH($B65&amp;"/"&amp;$C65,逆引き作成用!P$2:P$169,FALSE),1),"")</f>
        <v/>
      </c>
      <c r="Q65" s="17" t="str">
        <f>IFERROR(INDEX(逆引き作成用!$C$2:$C$169,MATCH($B65&amp;"/"&amp;$C65,逆引き作成用!Q$2:Q$169,FALSE),1),"")</f>
        <v/>
      </c>
      <c r="R65" s="17" t="str">
        <f>IFERROR(INDEX(逆引き作成用!$C$2:$C$169,MATCH($B65&amp;"/"&amp;$C65,逆引き作成用!R$2:R$169,FALSE),1),"")</f>
        <v/>
      </c>
      <c r="S65" s="17" t="str">
        <f>IFERROR(INDEX(逆引き作成用!$C$2:$C$169,MATCH($B65&amp;"/"&amp;$C65,逆引き作成用!S$2:S$169,FALSE),1),"")</f>
        <v/>
      </c>
      <c r="T65" s="17" t="str">
        <f>IFERROR(INDEX(逆引き作成用!$C$2:$C$169,MATCH($B65&amp;"/"&amp;$C65,逆引き作成用!T$2:T$169,FALSE),1),"")</f>
        <v/>
      </c>
      <c r="U65" s="17" t="str">
        <f>IFERROR(INDEX(逆引き作成用!$C$2:$C$169,MATCH($B65&amp;"/"&amp;$C65,逆引き作成用!U$2:U$169,FALSE),1),"")</f>
        <v/>
      </c>
      <c r="V65" s="17" t="str">
        <f>IFERROR(INDEX(逆引き作成用!$C$2:$C$169,MATCH($B65&amp;"/"&amp;$C65,逆引き作成用!V$2:V$169,FALSE),1),"")</f>
        <v/>
      </c>
      <c r="W65" s="17" t="str">
        <f>IFERROR(INDEX(逆引き作成用!$C$2:$C$169,MATCH($B65&amp;"/"&amp;$C65,逆引き作成用!W$2:W$169,FALSE),1),"")</f>
        <v/>
      </c>
      <c r="X65" s="17" t="str">
        <f>IFERROR(INDEX(逆引き作成用!$C$2:$C$169,MATCH($B65&amp;"/"&amp;$C65,逆引き作成用!X$2:X$169,FALSE),1),"")</f>
        <v/>
      </c>
      <c r="Y65" s="17" t="str">
        <f>IFERROR(INDEX(逆引き作成用!$C$2:$C$169,MATCH($B65&amp;"/"&amp;$C65,逆引き作成用!Y$2:Y$169,FALSE),1),"")</f>
        <v/>
      </c>
      <c r="Z65" s="17" t="str">
        <f>IFERROR(INDEX(逆引き作成用!$C$2:$C$169,MATCH($B65&amp;"/"&amp;$C65,逆引き作成用!Z$2:Z$169,FALSE),1),"")</f>
        <v/>
      </c>
      <c r="AA65" s="17" t="str">
        <f>IFERROR(INDEX(逆引き作成用!$C$2:$C$169,MATCH($B65&amp;"/"&amp;$C65,逆引き作成用!AA$2:AA$169,FALSE),1),"")</f>
        <v/>
      </c>
      <c r="AB65" s="17" t="str">
        <f>IFERROR(INDEX(逆引き作成用!$C$2:$C$169,MATCH($B65&amp;"/"&amp;$C65,逆引き作成用!AB$2:AB$169,FALSE),1),"")</f>
        <v/>
      </c>
      <c r="AC65" s="17" t="str">
        <f>IFERROR(INDEX(逆引き作成用!$C$2:$C$169,MATCH($B65&amp;"/"&amp;$C65,逆引き作成用!AC$2:AC$169,FALSE),1),"")</f>
        <v/>
      </c>
      <c r="AD65" s="17" t="str">
        <f>IFERROR(INDEX(逆引き作成用!$C$2:$C$169,MATCH($B65&amp;"/"&amp;$C65,逆引き作成用!AD$2:AD$169,FALSE),1),"")</f>
        <v/>
      </c>
      <c r="AE65" s="17" t="str">
        <f>IFERROR(INDEX(逆引き作成用!$C$2:$C$169,MATCH($B65&amp;"/"&amp;$C65,逆引き作成用!AE$2:AE$169,FALSE),1),"")</f>
        <v/>
      </c>
      <c r="AF65" s="17" t="str">
        <f>IFERROR(INDEX(逆引き作成用!$C$2:$C$169,MATCH($B65&amp;"/"&amp;$C65,逆引き作成用!AF$2:AF$169,FALSE),1),"")</f>
        <v/>
      </c>
      <c r="AG65" s="17" t="str">
        <f>IFERROR(INDEX(逆引き作成用!$C$2:$C$169,MATCH($B65&amp;"/"&amp;$C65,逆引き作成用!AG$2:AG$169,FALSE),1),"")</f>
        <v/>
      </c>
      <c r="AH65" s="17" t="str">
        <f>IFERROR(INDEX(逆引き作成用!$C$2:$C$169,MATCH($B65&amp;"/"&amp;$C65,逆引き作成用!AH$2:AH$169,FALSE),1),"")</f>
        <v/>
      </c>
      <c r="AI65" s="17" t="str">
        <f>IFERROR(INDEX(逆引き作成用!$C$2:$C$169,MATCH($B65&amp;"/"&amp;$C65,逆引き作成用!AI$2:AI$169,FALSE),1),"")</f>
        <v/>
      </c>
      <c r="AJ65" s="17" t="str">
        <f>IFERROR(INDEX(逆引き作成用!$C$2:$C$169,MATCH($B65&amp;"/"&amp;$C65,逆引き作成用!AJ$2:AJ$169,FALSE),1),"")</f>
        <v/>
      </c>
      <c r="AK65" s="17" t="str">
        <f>IFERROR(INDEX(逆引き作成用!$C$2:$C$169,MATCH($B65&amp;"/"&amp;$C65,逆引き作成用!AK$2:AK$169,FALSE),1),"")</f>
        <v/>
      </c>
      <c r="AL65" s="17" t="str">
        <f>IFERROR(INDEX(逆引き作成用!$C$2:$C$169,MATCH($B65&amp;"/"&amp;$C65,逆引き作成用!AL$2:AL$169,FALSE),1),"")</f>
        <v/>
      </c>
      <c r="AM65" s="17" t="str">
        <f>IFERROR(INDEX(逆引き作成用!$C$2:$C$169,MATCH($B65&amp;"/"&amp;$C65,逆引き作成用!AM$2:AM$169,FALSE),1),"")</f>
        <v/>
      </c>
      <c r="AN65" s="17" t="str">
        <f>IFERROR(INDEX(逆引き作成用!$C$2:$C$169,MATCH($B65&amp;"/"&amp;$C65,逆引き作成用!AN$2:AN$169,FALSE),1),"")</f>
        <v/>
      </c>
      <c r="AO65" s="17" t="str">
        <f>IFERROR(INDEX(逆引き作成用!$C$2:$C$169,MATCH($B65&amp;"/"&amp;$C65,逆引き作成用!AO$2:AO$169,FALSE),1),"")</f>
        <v/>
      </c>
      <c r="AP65" s="17" t="str">
        <f>IFERROR(INDEX(逆引き作成用!$C$2:$C$169,MATCH($B65&amp;"/"&amp;$C65,逆引き作成用!AP$2:AP$169,FALSE),1),"")</f>
        <v/>
      </c>
      <c r="AQ65" s="17" t="str">
        <f>IFERROR(INDEX(逆引き作成用!$C$2:$C$169,MATCH($B65&amp;"/"&amp;$C65,逆引き作成用!AQ$2:AQ$169,FALSE),1),"")</f>
        <v/>
      </c>
      <c r="AR65" s="17" t="str">
        <f>IFERROR(INDEX(逆引き作成用!$C$2:$C$169,MATCH($B65&amp;"/"&amp;$C65,逆引き作成用!AR$2:AR$169,FALSE),1),"")</f>
        <v/>
      </c>
      <c r="AS65" s="17" t="str">
        <f>IFERROR(INDEX(逆引き作成用!$C$2:$C$169,MATCH($B65&amp;"/"&amp;$C65,逆引き作成用!AS$2:AS$169,FALSE),1),"")</f>
        <v/>
      </c>
      <c r="AT65" s="17" t="str">
        <f>IFERROR(INDEX(逆引き作成用!$C$2:$C$169,MATCH($B65&amp;"/"&amp;$C65,逆引き作成用!AT$2:AT$169,FALSE),1),"")</f>
        <v/>
      </c>
      <c r="AU65" s="17" t="str">
        <f>IFERROR(INDEX(逆引き作成用!$C$2:$C$169,MATCH($B65&amp;"/"&amp;$C65,逆引き作成用!AU$2:AU$169,FALSE),1),"")</f>
        <v/>
      </c>
      <c r="AV65" s="17" t="str">
        <f>IFERROR(INDEX(逆引き作成用!$C$2:$C$169,MATCH($B65&amp;"/"&amp;$C65,逆引き作成用!AV$2:AV$169,FALSE),1),"")</f>
        <v/>
      </c>
      <c r="AW65" s="17" t="str">
        <f>IFERROR(INDEX(逆引き作成用!$C$2:$C$169,MATCH($B65&amp;"/"&amp;$C65,逆引き作成用!AW$2:AW$169,FALSE),1),"")</f>
        <v/>
      </c>
      <c r="AX65" s="17" t="str">
        <f>IFERROR(INDEX(逆引き作成用!$C$2:$C$169,MATCH($B65&amp;"/"&amp;$C65,逆引き作成用!AX$2:AX$169,FALSE),1),"")</f>
        <v/>
      </c>
      <c r="AY65" s="17" t="str">
        <f>IFERROR(INDEX(逆引き作成用!$C$2:$C$169,MATCH($B65&amp;"/"&amp;$C65,逆引き作成用!AY$2:AY$169,FALSE),1),"")</f>
        <v/>
      </c>
      <c r="AZ65" s="17" t="str">
        <f>IFERROR(INDEX(逆引き作成用!$C$2:$C$169,MATCH($B65&amp;"/"&amp;$C65,逆引き作成用!AZ$2:AZ$169,FALSE),1),"")</f>
        <v/>
      </c>
      <c r="BA65" s="17" t="str">
        <f>IFERROR(INDEX(逆引き作成用!$C$2:$C$169,MATCH($B65&amp;"/"&amp;$C65,逆引き作成用!BA$2:BA$169,FALSE),1),"")</f>
        <v/>
      </c>
    </row>
    <row r="66" spans="1:53">
      <c r="A66" s="17" t="str">
        <f>IFERROR(INDEX(役職一覧!$B$2:$B$31,MATCH(B66,役職一覧!$C$2:$C$31,FALSE),1),"")</f>
        <v/>
      </c>
      <c r="B66" s="17" t="str">
        <f>IFERROR(IF(C66=1,INDEX(役職一覧!$C$2:$C$31,MATCH(逆引き!B65,役職一覧!$C$2:$C$31,FALSE)+1,1)&amp;"",B65),"")</f>
        <v/>
      </c>
      <c r="C66" s="17" t="str">
        <f>IFERROR(IF(VLOOKUP(B65,役職一覧!$C$2:$E$31,3,FALSE)=C65,1,C65+1),"")</f>
        <v/>
      </c>
      <c r="D66" s="17" t="str">
        <f>IFERROR(INDEX(逆引き作成用!$C$2:$C$169,MATCH($B66&amp;"/"&amp;$C66,逆引き作成用!D$2:D$169,FALSE),1),"")</f>
        <v/>
      </c>
      <c r="E66" s="17" t="str">
        <f>IFERROR(INDEX(逆引き作成用!$C$2:$C$169,MATCH($B66&amp;"/"&amp;$C66,逆引き作成用!E$2:E$169,FALSE),1),"")</f>
        <v/>
      </c>
      <c r="F66" s="17" t="str">
        <f>IFERROR(INDEX(逆引き作成用!$C$2:$C$169,MATCH($B66&amp;"/"&amp;$C66,逆引き作成用!F$2:F$169,FALSE),1),"")</f>
        <v/>
      </c>
      <c r="G66" s="17" t="str">
        <f>IFERROR(INDEX(逆引き作成用!$C$2:$C$169,MATCH($B66&amp;"/"&amp;$C66,逆引き作成用!G$2:G$169,FALSE),1),"")</f>
        <v/>
      </c>
      <c r="H66" s="17" t="str">
        <f>IFERROR(INDEX(逆引き作成用!$C$2:$C$169,MATCH($B66&amp;"/"&amp;$C66,逆引き作成用!H$2:H$169,FALSE),1),"")</f>
        <v/>
      </c>
      <c r="I66" s="17" t="str">
        <f>IFERROR(INDEX(逆引き作成用!$C$2:$C$169,MATCH($B66&amp;"/"&amp;$C66,逆引き作成用!I$2:I$169,FALSE),1),"")</f>
        <v/>
      </c>
      <c r="J66" s="17" t="str">
        <f>IFERROR(INDEX(逆引き作成用!$C$2:$C$169,MATCH($B66&amp;"/"&amp;$C66,逆引き作成用!J$2:J$169,FALSE),1),"")</f>
        <v/>
      </c>
      <c r="K66" s="17" t="str">
        <f>IFERROR(INDEX(逆引き作成用!$C$2:$C$169,MATCH($B66&amp;"/"&amp;$C66,逆引き作成用!K$2:K$169,FALSE),1),"")</f>
        <v/>
      </c>
      <c r="L66" s="17" t="str">
        <f>IFERROR(INDEX(逆引き作成用!$C$2:$C$169,MATCH($B66&amp;"/"&amp;$C66,逆引き作成用!L$2:L$169,FALSE),1),"")</f>
        <v/>
      </c>
      <c r="M66" s="17" t="str">
        <f>IFERROR(INDEX(逆引き作成用!$C$2:$C$169,MATCH($B66&amp;"/"&amp;$C66,逆引き作成用!M$2:M$169,FALSE),1),"")</f>
        <v/>
      </c>
      <c r="N66" s="17" t="str">
        <f>IFERROR(INDEX(逆引き作成用!$C$2:$C$169,MATCH($B66&amp;"/"&amp;$C66,逆引き作成用!N$2:N$169,FALSE),1),"")</f>
        <v/>
      </c>
      <c r="O66" s="17" t="str">
        <f>IFERROR(INDEX(逆引き作成用!$C$2:$C$169,MATCH($B66&amp;"/"&amp;$C66,逆引き作成用!O$2:O$169,FALSE),1),"")</f>
        <v/>
      </c>
      <c r="P66" s="17" t="str">
        <f>IFERROR(INDEX(逆引き作成用!$C$2:$C$169,MATCH($B66&amp;"/"&amp;$C66,逆引き作成用!P$2:P$169,FALSE),1),"")</f>
        <v/>
      </c>
      <c r="Q66" s="17" t="str">
        <f>IFERROR(INDEX(逆引き作成用!$C$2:$C$169,MATCH($B66&amp;"/"&amp;$C66,逆引き作成用!Q$2:Q$169,FALSE),1),"")</f>
        <v/>
      </c>
      <c r="R66" s="17" t="str">
        <f>IFERROR(INDEX(逆引き作成用!$C$2:$C$169,MATCH($B66&amp;"/"&amp;$C66,逆引き作成用!R$2:R$169,FALSE),1),"")</f>
        <v/>
      </c>
      <c r="S66" s="17" t="str">
        <f>IFERROR(INDEX(逆引き作成用!$C$2:$C$169,MATCH($B66&amp;"/"&amp;$C66,逆引き作成用!S$2:S$169,FALSE),1),"")</f>
        <v/>
      </c>
      <c r="T66" s="17" t="str">
        <f>IFERROR(INDEX(逆引き作成用!$C$2:$C$169,MATCH($B66&amp;"/"&amp;$C66,逆引き作成用!T$2:T$169,FALSE),1),"")</f>
        <v/>
      </c>
      <c r="U66" s="17" t="str">
        <f>IFERROR(INDEX(逆引き作成用!$C$2:$C$169,MATCH($B66&amp;"/"&amp;$C66,逆引き作成用!U$2:U$169,FALSE),1),"")</f>
        <v/>
      </c>
      <c r="V66" s="17" t="str">
        <f>IFERROR(INDEX(逆引き作成用!$C$2:$C$169,MATCH($B66&amp;"/"&amp;$C66,逆引き作成用!V$2:V$169,FALSE),1),"")</f>
        <v/>
      </c>
      <c r="W66" s="17" t="str">
        <f>IFERROR(INDEX(逆引き作成用!$C$2:$C$169,MATCH($B66&amp;"/"&amp;$C66,逆引き作成用!W$2:W$169,FALSE),1),"")</f>
        <v/>
      </c>
      <c r="X66" s="17" t="str">
        <f>IFERROR(INDEX(逆引き作成用!$C$2:$C$169,MATCH($B66&amp;"/"&amp;$C66,逆引き作成用!X$2:X$169,FALSE),1),"")</f>
        <v/>
      </c>
      <c r="Y66" s="17" t="str">
        <f>IFERROR(INDEX(逆引き作成用!$C$2:$C$169,MATCH($B66&amp;"/"&amp;$C66,逆引き作成用!Y$2:Y$169,FALSE),1),"")</f>
        <v/>
      </c>
      <c r="Z66" s="17" t="str">
        <f>IFERROR(INDEX(逆引き作成用!$C$2:$C$169,MATCH($B66&amp;"/"&amp;$C66,逆引き作成用!Z$2:Z$169,FALSE),1),"")</f>
        <v/>
      </c>
      <c r="AA66" s="17" t="str">
        <f>IFERROR(INDEX(逆引き作成用!$C$2:$C$169,MATCH($B66&amp;"/"&amp;$C66,逆引き作成用!AA$2:AA$169,FALSE),1),"")</f>
        <v/>
      </c>
      <c r="AB66" s="17" t="str">
        <f>IFERROR(INDEX(逆引き作成用!$C$2:$C$169,MATCH($B66&amp;"/"&amp;$C66,逆引き作成用!AB$2:AB$169,FALSE),1),"")</f>
        <v/>
      </c>
      <c r="AC66" s="17" t="str">
        <f>IFERROR(INDEX(逆引き作成用!$C$2:$C$169,MATCH($B66&amp;"/"&amp;$C66,逆引き作成用!AC$2:AC$169,FALSE),1),"")</f>
        <v/>
      </c>
      <c r="AD66" s="17" t="str">
        <f>IFERROR(INDEX(逆引き作成用!$C$2:$C$169,MATCH($B66&amp;"/"&amp;$C66,逆引き作成用!AD$2:AD$169,FALSE),1),"")</f>
        <v/>
      </c>
      <c r="AE66" s="17" t="str">
        <f>IFERROR(INDEX(逆引き作成用!$C$2:$C$169,MATCH($B66&amp;"/"&amp;$C66,逆引き作成用!AE$2:AE$169,FALSE),1),"")</f>
        <v/>
      </c>
      <c r="AF66" s="17" t="str">
        <f>IFERROR(INDEX(逆引き作成用!$C$2:$C$169,MATCH($B66&amp;"/"&amp;$C66,逆引き作成用!AF$2:AF$169,FALSE),1),"")</f>
        <v/>
      </c>
      <c r="AG66" s="17" t="str">
        <f>IFERROR(INDEX(逆引き作成用!$C$2:$C$169,MATCH($B66&amp;"/"&amp;$C66,逆引き作成用!AG$2:AG$169,FALSE),1),"")</f>
        <v/>
      </c>
      <c r="AH66" s="17" t="str">
        <f>IFERROR(INDEX(逆引き作成用!$C$2:$C$169,MATCH($B66&amp;"/"&amp;$C66,逆引き作成用!AH$2:AH$169,FALSE),1),"")</f>
        <v/>
      </c>
      <c r="AI66" s="17" t="str">
        <f>IFERROR(INDEX(逆引き作成用!$C$2:$C$169,MATCH($B66&amp;"/"&amp;$C66,逆引き作成用!AI$2:AI$169,FALSE),1),"")</f>
        <v/>
      </c>
      <c r="AJ66" s="17" t="str">
        <f>IFERROR(INDEX(逆引き作成用!$C$2:$C$169,MATCH($B66&amp;"/"&amp;$C66,逆引き作成用!AJ$2:AJ$169,FALSE),1),"")</f>
        <v/>
      </c>
      <c r="AK66" s="17" t="str">
        <f>IFERROR(INDEX(逆引き作成用!$C$2:$C$169,MATCH($B66&amp;"/"&amp;$C66,逆引き作成用!AK$2:AK$169,FALSE),1),"")</f>
        <v/>
      </c>
      <c r="AL66" s="17" t="str">
        <f>IFERROR(INDEX(逆引き作成用!$C$2:$C$169,MATCH($B66&amp;"/"&amp;$C66,逆引き作成用!AL$2:AL$169,FALSE),1),"")</f>
        <v/>
      </c>
      <c r="AM66" s="17" t="str">
        <f>IFERROR(INDEX(逆引き作成用!$C$2:$C$169,MATCH($B66&amp;"/"&amp;$C66,逆引き作成用!AM$2:AM$169,FALSE),1),"")</f>
        <v/>
      </c>
      <c r="AN66" s="17" t="str">
        <f>IFERROR(INDEX(逆引き作成用!$C$2:$C$169,MATCH($B66&amp;"/"&amp;$C66,逆引き作成用!AN$2:AN$169,FALSE),1),"")</f>
        <v/>
      </c>
      <c r="AO66" s="17" t="str">
        <f>IFERROR(INDEX(逆引き作成用!$C$2:$C$169,MATCH($B66&amp;"/"&amp;$C66,逆引き作成用!AO$2:AO$169,FALSE),1),"")</f>
        <v/>
      </c>
      <c r="AP66" s="17" t="str">
        <f>IFERROR(INDEX(逆引き作成用!$C$2:$C$169,MATCH($B66&amp;"/"&amp;$C66,逆引き作成用!AP$2:AP$169,FALSE),1),"")</f>
        <v/>
      </c>
      <c r="AQ66" s="17" t="str">
        <f>IFERROR(INDEX(逆引き作成用!$C$2:$C$169,MATCH($B66&amp;"/"&amp;$C66,逆引き作成用!AQ$2:AQ$169,FALSE),1),"")</f>
        <v/>
      </c>
      <c r="AR66" s="17" t="str">
        <f>IFERROR(INDEX(逆引き作成用!$C$2:$C$169,MATCH($B66&amp;"/"&amp;$C66,逆引き作成用!AR$2:AR$169,FALSE),1),"")</f>
        <v/>
      </c>
      <c r="AS66" s="17" t="str">
        <f>IFERROR(INDEX(逆引き作成用!$C$2:$C$169,MATCH($B66&amp;"/"&amp;$C66,逆引き作成用!AS$2:AS$169,FALSE),1),"")</f>
        <v/>
      </c>
      <c r="AT66" s="17" t="str">
        <f>IFERROR(INDEX(逆引き作成用!$C$2:$C$169,MATCH($B66&amp;"/"&amp;$C66,逆引き作成用!AT$2:AT$169,FALSE),1),"")</f>
        <v/>
      </c>
      <c r="AU66" s="17" t="str">
        <f>IFERROR(INDEX(逆引き作成用!$C$2:$C$169,MATCH($B66&amp;"/"&amp;$C66,逆引き作成用!AU$2:AU$169,FALSE),1),"")</f>
        <v/>
      </c>
      <c r="AV66" s="17" t="str">
        <f>IFERROR(INDEX(逆引き作成用!$C$2:$C$169,MATCH($B66&amp;"/"&amp;$C66,逆引き作成用!AV$2:AV$169,FALSE),1),"")</f>
        <v/>
      </c>
      <c r="AW66" s="17" t="str">
        <f>IFERROR(INDEX(逆引き作成用!$C$2:$C$169,MATCH($B66&amp;"/"&amp;$C66,逆引き作成用!AW$2:AW$169,FALSE),1),"")</f>
        <v/>
      </c>
      <c r="AX66" s="17" t="str">
        <f>IFERROR(INDEX(逆引き作成用!$C$2:$C$169,MATCH($B66&amp;"/"&amp;$C66,逆引き作成用!AX$2:AX$169,FALSE),1),"")</f>
        <v/>
      </c>
      <c r="AY66" s="17" t="str">
        <f>IFERROR(INDEX(逆引き作成用!$C$2:$C$169,MATCH($B66&amp;"/"&amp;$C66,逆引き作成用!AY$2:AY$169,FALSE),1),"")</f>
        <v/>
      </c>
      <c r="AZ66" s="17" t="str">
        <f>IFERROR(INDEX(逆引き作成用!$C$2:$C$169,MATCH($B66&amp;"/"&amp;$C66,逆引き作成用!AZ$2:AZ$169,FALSE),1),"")</f>
        <v/>
      </c>
      <c r="BA66" s="17" t="str">
        <f>IFERROR(INDEX(逆引き作成用!$C$2:$C$169,MATCH($B66&amp;"/"&amp;$C66,逆引き作成用!BA$2:BA$169,FALSE),1),"")</f>
        <v/>
      </c>
    </row>
    <row r="67" spans="1:53">
      <c r="A67" s="17" t="str">
        <f>IFERROR(INDEX(役職一覧!$B$2:$B$31,MATCH(B67,役職一覧!$C$2:$C$31,FALSE),1),"")</f>
        <v/>
      </c>
      <c r="B67" s="17" t="str">
        <f>IFERROR(IF(C67=1,INDEX(役職一覧!$C$2:$C$31,MATCH(逆引き!B66,役職一覧!$C$2:$C$31,FALSE)+1,1)&amp;"",B66),"")</f>
        <v/>
      </c>
      <c r="C67" s="17" t="str">
        <f>IFERROR(IF(VLOOKUP(B66,役職一覧!$C$2:$E$31,3,FALSE)=C66,1,C66+1),"")</f>
        <v/>
      </c>
      <c r="D67" s="17" t="str">
        <f>IFERROR(INDEX(逆引き作成用!$C$2:$C$169,MATCH($B67&amp;"/"&amp;$C67,逆引き作成用!D$2:D$169,FALSE),1),"")</f>
        <v/>
      </c>
      <c r="E67" s="17" t="str">
        <f>IFERROR(INDEX(逆引き作成用!$C$2:$C$169,MATCH($B67&amp;"/"&amp;$C67,逆引き作成用!E$2:E$169,FALSE),1),"")</f>
        <v/>
      </c>
      <c r="F67" s="17" t="str">
        <f>IFERROR(INDEX(逆引き作成用!$C$2:$C$169,MATCH($B67&amp;"/"&amp;$C67,逆引き作成用!F$2:F$169,FALSE),1),"")</f>
        <v/>
      </c>
      <c r="G67" s="17" t="str">
        <f>IFERROR(INDEX(逆引き作成用!$C$2:$C$169,MATCH($B67&amp;"/"&amp;$C67,逆引き作成用!G$2:G$169,FALSE),1),"")</f>
        <v/>
      </c>
      <c r="H67" s="17" t="str">
        <f>IFERROR(INDEX(逆引き作成用!$C$2:$C$169,MATCH($B67&amp;"/"&amp;$C67,逆引き作成用!H$2:H$169,FALSE),1),"")</f>
        <v/>
      </c>
      <c r="I67" s="17" t="str">
        <f>IFERROR(INDEX(逆引き作成用!$C$2:$C$169,MATCH($B67&amp;"/"&amp;$C67,逆引き作成用!I$2:I$169,FALSE),1),"")</f>
        <v/>
      </c>
      <c r="J67" s="17" t="str">
        <f>IFERROR(INDEX(逆引き作成用!$C$2:$C$169,MATCH($B67&amp;"/"&amp;$C67,逆引き作成用!J$2:J$169,FALSE),1),"")</f>
        <v/>
      </c>
      <c r="K67" s="17" t="str">
        <f>IFERROR(INDEX(逆引き作成用!$C$2:$C$169,MATCH($B67&amp;"/"&amp;$C67,逆引き作成用!K$2:K$169,FALSE),1),"")</f>
        <v/>
      </c>
      <c r="L67" s="17" t="str">
        <f>IFERROR(INDEX(逆引き作成用!$C$2:$C$169,MATCH($B67&amp;"/"&amp;$C67,逆引き作成用!L$2:L$169,FALSE),1),"")</f>
        <v/>
      </c>
      <c r="M67" s="17" t="str">
        <f>IFERROR(INDEX(逆引き作成用!$C$2:$C$169,MATCH($B67&amp;"/"&amp;$C67,逆引き作成用!M$2:M$169,FALSE),1),"")</f>
        <v/>
      </c>
      <c r="N67" s="17" t="str">
        <f>IFERROR(INDEX(逆引き作成用!$C$2:$C$169,MATCH($B67&amp;"/"&amp;$C67,逆引き作成用!N$2:N$169,FALSE),1),"")</f>
        <v/>
      </c>
      <c r="O67" s="17" t="str">
        <f>IFERROR(INDEX(逆引き作成用!$C$2:$C$169,MATCH($B67&amp;"/"&amp;$C67,逆引き作成用!O$2:O$169,FALSE),1),"")</f>
        <v/>
      </c>
      <c r="P67" s="17" t="str">
        <f>IFERROR(INDEX(逆引き作成用!$C$2:$C$169,MATCH($B67&amp;"/"&amp;$C67,逆引き作成用!P$2:P$169,FALSE),1),"")</f>
        <v/>
      </c>
      <c r="Q67" s="17" t="str">
        <f>IFERROR(INDEX(逆引き作成用!$C$2:$C$169,MATCH($B67&amp;"/"&amp;$C67,逆引き作成用!Q$2:Q$169,FALSE),1),"")</f>
        <v/>
      </c>
      <c r="R67" s="17" t="str">
        <f>IFERROR(INDEX(逆引き作成用!$C$2:$C$169,MATCH($B67&amp;"/"&amp;$C67,逆引き作成用!R$2:R$169,FALSE),1),"")</f>
        <v/>
      </c>
      <c r="S67" s="17" t="str">
        <f>IFERROR(INDEX(逆引き作成用!$C$2:$C$169,MATCH($B67&amp;"/"&amp;$C67,逆引き作成用!S$2:S$169,FALSE),1),"")</f>
        <v/>
      </c>
      <c r="T67" s="17" t="str">
        <f>IFERROR(INDEX(逆引き作成用!$C$2:$C$169,MATCH($B67&amp;"/"&amp;$C67,逆引き作成用!T$2:T$169,FALSE),1),"")</f>
        <v/>
      </c>
      <c r="U67" s="17" t="str">
        <f>IFERROR(INDEX(逆引き作成用!$C$2:$C$169,MATCH($B67&amp;"/"&amp;$C67,逆引き作成用!U$2:U$169,FALSE),1),"")</f>
        <v/>
      </c>
      <c r="V67" s="17" t="str">
        <f>IFERROR(INDEX(逆引き作成用!$C$2:$C$169,MATCH($B67&amp;"/"&amp;$C67,逆引き作成用!V$2:V$169,FALSE),1),"")</f>
        <v/>
      </c>
      <c r="W67" s="17" t="str">
        <f>IFERROR(INDEX(逆引き作成用!$C$2:$C$169,MATCH($B67&amp;"/"&amp;$C67,逆引き作成用!W$2:W$169,FALSE),1),"")</f>
        <v/>
      </c>
      <c r="X67" s="17" t="str">
        <f>IFERROR(INDEX(逆引き作成用!$C$2:$C$169,MATCH($B67&amp;"/"&amp;$C67,逆引き作成用!X$2:X$169,FALSE),1),"")</f>
        <v/>
      </c>
      <c r="Y67" s="17" t="str">
        <f>IFERROR(INDEX(逆引き作成用!$C$2:$C$169,MATCH($B67&amp;"/"&amp;$C67,逆引き作成用!Y$2:Y$169,FALSE),1),"")</f>
        <v/>
      </c>
      <c r="Z67" s="17" t="str">
        <f>IFERROR(INDEX(逆引き作成用!$C$2:$C$169,MATCH($B67&amp;"/"&amp;$C67,逆引き作成用!Z$2:Z$169,FALSE),1),"")</f>
        <v/>
      </c>
      <c r="AA67" s="17" t="str">
        <f>IFERROR(INDEX(逆引き作成用!$C$2:$C$169,MATCH($B67&amp;"/"&amp;$C67,逆引き作成用!AA$2:AA$169,FALSE),1),"")</f>
        <v/>
      </c>
      <c r="AB67" s="17" t="str">
        <f>IFERROR(INDEX(逆引き作成用!$C$2:$C$169,MATCH($B67&amp;"/"&amp;$C67,逆引き作成用!AB$2:AB$169,FALSE),1),"")</f>
        <v/>
      </c>
      <c r="AC67" s="17" t="str">
        <f>IFERROR(INDEX(逆引き作成用!$C$2:$C$169,MATCH($B67&amp;"/"&amp;$C67,逆引き作成用!AC$2:AC$169,FALSE),1),"")</f>
        <v/>
      </c>
      <c r="AD67" s="17" t="str">
        <f>IFERROR(INDEX(逆引き作成用!$C$2:$C$169,MATCH($B67&amp;"/"&amp;$C67,逆引き作成用!AD$2:AD$169,FALSE),1),"")</f>
        <v/>
      </c>
      <c r="AE67" s="17" t="str">
        <f>IFERROR(INDEX(逆引き作成用!$C$2:$C$169,MATCH($B67&amp;"/"&amp;$C67,逆引き作成用!AE$2:AE$169,FALSE),1),"")</f>
        <v/>
      </c>
      <c r="AF67" s="17" t="str">
        <f>IFERROR(INDEX(逆引き作成用!$C$2:$C$169,MATCH($B67&amp;"/"&amp;$C67,逆引き作成用!AF$2:AF$169,FALSE),1),"")</f>
        <v/>
      </c>
      <c r="AG67" s="17" t="str">
        <f>IFERROR(INDEX(逆引き作成用!$C$2:$C$169,MATCH($B67&amp;"/"&amp;$C67,逆引き作成用!AG$2:AG$169,FALSE),1),"")</f>
        <v/>
      </c>
      <c r="AH67" s="17" t="str">
        <f>IFERROR(INDEX(逆引き作成用!$C$2:$C$169,MATCH($B67&amp;"/"&amp;$C67,逆引き作成用!AH$2:AH$169,FALSE),1),"")</f>
        <v/>
      </c>
      <c r="AI67" s="17" t="str">
        <f>IFERROR(INDEX(逆引き作成用!$C$2:$C$169,MATCH($B67&amp;"/"&amp;$C67,逆引き作成用!AI$2:AI$169,FALSE),1),"")</f>
        <v/>
      </c>
      <c r="AJ67" s="17" t="str">
        <f>IFERROR(INDEX(逆引き作成用!$C$2:$C$169,MATCH($B67&amp;"/"&amp;$C67,逆引き作成用!AJ$2:AJ$169,FALSE),1),"")</f>
        <v/>
      </c>
      <c r="AK67" s="17" t="str">
        <f>IFERROR(INDEX(逆引き作成用!$C$2:$C$169,MATCH($B67&amp;"/"&amp;$C67,逆引き作成用!AK$2:AK$169,FALSE),1),"")</f>
        <v/>
      </c>
      <c r="AL67" s="17" t="str">
        <f>IFERROR(INDEX(逆引き作成用!$C$2:$C$169,MATCH($B67&amp;"/"&amp;$C67,逆引き作成用!AL$2:AL$169,FALSE),1),"")</f>
        <v/>
      </c>
      <c r="AM67" s="17" t="str">
        <f>IFERROR(INDEX(逆引き作成用!$C$2:$C$169,MATCH($B67&amp;"/"&amp;$C67,逆引き作成用!AM$2:AM$169,FALSE),1),"")</f>
        <v/>
      </c>
      <c r="AN67" s="17" t="str">
        <f>IFERROR(INDEX(逆引き作成用!$C$2:$C$169,MATCH($B67&amp;"/"&amp;$C67,逆引き作成用!AN$2:AN$169,FALSE),1),"")</f>
        <v/>
      </c>
      <c r="AO67" s="17" t="str">
        <f>IFERROR(INDEX(逆引き作成用!$C$2:$C$169,MATCH($B67&amp;"/"&amp;$C67,逆引き作成用!AO$2:AO$169,FALSE),1),"")</f>
        <v/>
      </c>
      <c r="AP67" s="17" t="str">
        <f>IFERROR(INDEX(逆引き作成用!$C$2:$C$169,MATCH($B67&amp;"/"&amp;$C67,逆引き作成用!AP$2:AP$169,FALSE),1),"")</f>
        <v/>
      </c>
      <c r="AQ67" s="17" t="str">
        <f>IFERROR(INDEX(逆引き作成用!$C$2:$C$169,MATCH($B67&amp;"/"&amp;$C67,逆引き作成用!AQ$2:AQ$169,FALSE),1),"")</f>
        <v/>
      </c>
      <c r="AR67" s="17" t="str">
        <f>IFERROR(INDEX(逆引き作成用!$C$2:$C$169,MATCH($B67&amp;"/"&amp;$C67,逆引き作成用!AR$2:AR$169,FALSE),1),"")</f>
        <v/>
      </c>
      <c r="AS67" s="17" t="str">
        <f>IFERROR(INDEX(逆引き作成用!$C$2:$C$169,MATCH($B67&amp;"/"&amp;$C67,逆引き作成用!AS$2:AS$169,FALSE),1),"")</f>
        <v/>
      </c>
      <c r="AT67" s="17" t="str">
        <f>IFERROR(INDEX(逆引き作成用!$C$2:$C$169,MATCH($B67&amp;"/"&amp;$C67,逆引き作成用!AT$2:AT$169,FALSE),1),"")</f>
        <v/>
      </c>
      <c r="AU67" s="17" t="str">
        <f>IFERROR(INDEX(逆引き作成用!$C$2:$C$169,MATCH($B67&amp;"/"&amp;$C67,逆引き作成用!AU$2:AU$169,FALSE),1),"")</f>
        <v/>
      </c>
      <c r="AV67" s="17" t="str">
        <f>IFERROR(INDEX(逆引き作成用!$C$2:$C$169,MATCH($B67&amp;"/"&amp;$C67,逆引き作成用!AV$2:AV$169,FALSE),1),"")</f>
        <v/>
      </c>
      <c r="AW67" s="17" t="str">
        <f>IFERROR(INDEX(逆引き作成用!$C$2:$C$169,MATCH($B67&amp;"/"&amp;$C67,逆引き作成用!AW$2:AW$169,FALSE),1),"")</f>
        <v/>
      </c>
      <c r="AX67" s="17" t="str">
        <f>IFERROR(INDEX(逆引き作成用!$C$2:$C$169,MATCH($B67&amp;"/"&amp;$C67,逆引き作成用!AX$2:AX$169,FALSE),1),"")</f>
        <v/>
      </c>
      <c r="AY67" s="17" t="str">
        <f>IFERROR(INDEX(逆引き作成用!$C$2:$C$169,MATCH($B67&amp;"/"&amp;$C67,逆引き作成用!AY$2:AY$169,FALSE),1),"")</f>
        <v/>
      </c>
      <c r="AZ67" s="17" t="str">
        <f>IFERROR(INDEX(逆引き作成用!$C$2:$C$169,MATCH($B67&amp;"/"&amp;$C67,逆引き作成用!AZ$2:AZ$169,FALSE),1),"")</f>
        <v/>
      </c>
      <c r="BA67" s="17" t="str">
        <f>IFERROR(INDEX(逆引き作成用!$C$2:$C$169,MATCH($B67&amp;"/"&amp;$C67,逆引き作成用!BA$2:BA$169,FALSE),1),"")</f>
        <v/>
      </c>
    </row>
    <row r="68" spans="1:53">
      <c r="A68" s="17" t="str">
        <f>IFERROR(INDEX(役職一覧!$B$2:$B$31,MATCH(B68,役職一覧!$C$2:$C$31,FALSE),1),"")</f>
        <v/>
      </c>
      <c r="B68" s="17" t="str">
        <f>IFERROR(IF(C68=1,INDEX(役職一覧!$C$2:$C$31,MATCH(逆引き!B67,役職一覧!$C$2:$C$31,FALSE)+1,1)&amp;"",B67),"")</f>
        <v/>
      </c>
      <c r="C68" s="17" t="str">
        <f>IFERROR(IF(VLOOKUP(B67,役職一覧!$C$2:$E$31,3,FALSE)=C67,1,C67+1),"")</f>
        <v/>
      </c>
      <c r="D68" s="17" t="str">
        <f>IFERROR(INDEX(逆引き作成用!$C$2:$C$169,MATCH($B68&amp;"/"&amp;$C68,逆引き作成用!D$2:D$169,FALSE),1),"")</f>
        <v/>
      </c>
      <c r="E68" s="17" t="str">
        <f>IFERROR(INDEX(逆引き作成用!$C$2:$C$169,MATCH($B68&amp;"/"&amp;$C68,逆引き作成用!E$2:E$169,FALSE),1),"")</f>
        <v/>
      </c>
      <c r="F68" s="17" t="str">
        <f>IFERROR(INDEX(逆引き作成用!$C$2:$C$169,MATCH($B68&amp;"/"&amp;$C68,逆引き作成用!F$2:F$169,FALSE),1),"")</f>
        <v/>
      </c>
      <c r="G68" s="17" t="str">
        <f>IFERROR(INDEX(逆引き作成用!$C$2:$C$169,MATCH($B68&amp;"/"&amp;$C68,逆引き作成用!G$2:G$169,FALSE),1),"")</f>
        <v/>
      </c>
      <c r="H68" s="17" t="str">
        <f>IFERROR(INDEX(逆引き作成用!$C$2:$C$169,MATCH($B68&amp;"/"&amp;$C68,逆引き作成用!H$2:H$169,FALSE),1),"")</f>
        <v/>
      </c>
      <c r="I68" s="17" t="str">
        <f>IFERROR(INDEX(逆引き作成用!$C$2:$C$169,MATCH($B68&amp;"/"&amp;$C68,逆引き作成用!I$2:I$169,FALSE),1),"")</f>
        <v/>
      </c>
      <c r="J68" s="17" t="str">
        <f>IFERROR(INDEX(逆引き作成用!$C$2:$C$169,MATCH($B68&amp;"/"&amp;$C68,逆引き作成用!J$2:J$169,FALSE),1),"")</f>
        <v/>
      </c>
      <c r="K68" s="17" t="str">
        <f>IFERROR(INDEX(逆引き作成用!$C$2:$C$169,MATCH($B68&amp;"/"&amp;$C68,逆引き作成用!K$2:K$169,FALSE),1),"")</f>
        <v/>
      </c>
      <c r="L68" s="17" t="str">
        <f>IFERROR(INDEX(逆引き作成用!$C$2:$C$169,MATCH($B68&amp;"/"&amp;$C68,逆引き作成用!L$2:L$169,FALSE),1),"")</f>
        <v/>
      </c>
      <c r="M68" s="17" t="str">
        <f>IFERROR(INDEX(逆引き作成用!$C$2:$C$169,MATCH($B68&amp;"/"&amp;$C68,逆引き作成用!M$2:M$169,FALSE),1),"")</f>
        <v/>
      </c>
      <c r="N68" s="17" t="str">
        <f>IFERROR(INDEX(逆引き作成用!$C$2:$C$169,MATCH($B68&amp;"/"&amp;$C68,逆引き作成用!N$2:N$169,FALSE),1),"")</f>
        <v/>
      </c>
      <c r="O68" s="17" t="str">
        <f>IFERROR(INDEX(逆引き作成用!$C$2:$C$169,MATCH($B68&amp;"/"&amp;$C68,逆引き作成用!O$2:O$169,FALSE),1),"")</f>
        <v/>
      </c>
      <c r="P68" s="17" t="str">
        <f>IFERROR(INDEX(逆引き作成用!$C$2:$C$169,MATCH($B68&amp;"/"&amp;$C68,逆引き作成用!P$2:P$169,FALSE),1),"")</f>
        <v/>
      </c>
      <c r="Q68" s="17" t="str">
        <f>IFERROR(INDEX(逆引き作成用!$C$2:$C$169,MATCH($B68&amp;"/"&amp;$C68,逆引き作成用!Q$2:Q$169,FALSE),1),"")</f>
        <v/>
      </c>
      <c r="R68" s="17" t="str">
        <f>IFERROR(INDEX(逆引き作成用!$C$2:$C$169,MATCH($B68&amp;"/"&amp;$C68,逆引き作成用!R$2:R$169,FALSE),1),"")</f>
        <v/>
      </c>
      <c r="S68" s="17" t="str">
        <f>IFERROR(INDEX(逆引き作成用!$C$2:$C$169,MATCH($B68&amp;"/"&amp;$C68,逆引き作成用!S$2:S$169,FALSE),1),"")</f>
        <v/>
      </c>
      <c r="T68" s="17" t="str">
        <f>IFERROR(INDEX(逆引き作成用!$C$2:$C$169,MATCH($B68&amp;"/"&amp;$C68,逆引き作成用!T$2:T$169,FALSE),1),"")</f>
        <v/>
      </c>
      <c r="U68" s="17" t="str">
        <f>IFERROR(INDEX(逆引き作成用!$C$2:$C$169,MATCH($B68&amp;"/"&amp;$C68,逆引き作成用!U$2:U$169,FALSE),1),"")</f>
        <v/>
      </c>
      <c r="V68" s="17" t="str">
        <f>IFERROR(INDEX(逆引き作成用!$C$2:$C$169,MATCH($B68&amp;"/"&amp;$C68,逆引き作成用!V$2:V$169,FALSE),1),"")</f>
        <v/>
      </c>
      <c r="W68" s="17" t="str">
        <f>IFERROR(INDEX(逆引き作成用!$C$2:$C$169,MATCH($B68&amp;"/"&amp;$C68,逆引き作成用!W$2:W$169,FALSE),1),"")</f>
        <v/>
      </c>
      <c r="X68" s="17" t="str">
        <f>IFERROR(INDEX(逆引き作成用!$C$2:$C$169,MATCH($B68&amp;"/"&amp;$C68,逆引き作成用!X$2:X$169,FALSE),1),"")</f>
        <v/>
      </c>
      <c r="Y68" s="17" t="str">
        <f>IFERROR(INDEX(逆引き作成用!$C$2:$C$169,MATCH($B68&amp;"/"&amp;$C68,逆引き作成用!Y$2:Y$169,FALSE),1),"")</f>
        <v/>
      </c>
      <c r="Z68" s="17" t="str">
        <f>IFERROR(INDEX(逆引き作成用!$C$2:$C$169,MATCH($B68&amp;"/"&amp;$C68,逆引き作成用!Z$2:Z$169,FALSE),1),"")</f>
        <v/>
      </c>
      <c r="AA68" s="17" t="str">
        <f>IFERROR(INDEX(逆引き作成用!$C$2:$C$169,MATCH($B68&amp;"/"&amp;$C68,逆引き作成用!AA$2:AA$169,FALSE),1),"")</f>
        <v/>
      </c>
      <c r="AB68" s="17" t="str">
        <f>IFERROR(INDEX(逆引き作成用!$C$2:$C$169,MATCH($B68&amp;"/"&amp;$C68,逆引き作成用!AB$2:AB$169,FALSE),1),"")</f>
        <v/>
      </c>
      <c r="AC68" s="17" t="str">
        <f>IFERROR(INDEX(逆引き作成用!$C$2:$C$169,MATCH($B68&amp;"/"&amp;$C68,逆引き作成用!AC$2:AC$169,FALSE),1),"")</f>
        <v/>
      </c>
      <c r="AD68" s="17" t="str">
        <f>IFERROR(INDEX(逆引き作成用!$C$2:$C$169,MATCH($B68&amp;"/"&amp;$C68,逆引き作成用!AD$2:AD$169,FALSE),1),"")</f>
        <v/>
      </c>
      <c r="AE68" s="17" t="str">
        <f>IFERROR(INDEX(逆引き作成用!$C$2:$C$169,MATCH($B68&amp;"/"&amp;$C68,逆引き作成用!AE$2:AE$169,FALSE),1),"")</f>
        <v/>
      </c>
      <c r="AF68" s="17" t="str">
        <f>IFERROR(INDEX(逆引き作成用!$C$2:$C$169,MATCH($B68&amp;"/"&amp;$C68,逆引き作成用!AF$2:AF$169,FALSE),1),"")</f>
        <v/>
      </c>
      <c r="AG68" s="17" t="str">
        <f>IFERROR(INDEX(逆引き作成用!$C$2:$C$169,MATCH($B68&amp;"/"&amp;$C68,逆引き作成用!AG$2:AG$169,FALSE),1),"")</f>
        <v/>
      </c>
      <c r="AH68" s="17" t="str">
        <f>IFERROR(INDEX(逆引き作成用!$C$2:$C$169,MATCH($B68&amp;"/"&amp;$C68,逆引き作成用!AH$2:AH$169,FALSE),1),"")</f>
        <v/>
      </c>
      <c r="AI68" s="17" t="str">
        <f>IFERROR(INDEX(逆引き作成用!$C$2:$C$169,MATCH($B68&amp;"/"&amp;$C68,逆引き作成用!AI$2:AI$169,FALSE),1),"")</f>
        <v/>
      </c>
      <c r="AJ68" s="17" t="str">
        <f>IFERROR(INDEX(逆引き作成用!$C$2:$C$169,MATCH($B68&amp;"/"&amp;$C68,逆引き作成用!AJ$2:AJ$169,FALSE),1),"")</f>
        <v/>
      </c>
      <c r="AK68" s="17" t="str">
        <f>IFERROR(INDEX(逆引き作成用!$C$2:$C$169,MATCH($B68&amp;"/"&amp;$C68,逆引き作成用!AK$2:AK$169,FALSE),1),"")</f>
        <v/>
      </c>
      <c r="AL68" s="17" t="str">
        <f>IFERROR(INDEX(逆引き作成用!$C$2:$C$169,MATCH($B68&amp;"/"&amp;$C68,逆引き作成用!AL$2:AL$169,FALSE),1),"")</f>
        <v/>
      </c>
      <c r="AM68" s="17" t="str">
        <f>IFERROR(INDEX(逆引き作成用!$C$2:$C$169,MATCH($B68&amp;"/"&amp;$C68,逆引き作成用!AM$2:AM$169,FALSE),1),"")</f>
        <v/>
      </c>
      <c r="AN68" s="17" t="str">
        <f>IFERROR(INDEX(逆引き作成用!$C$2:$C$169,MATCH($B68&amp;"/"&amp;$C68,逆引き作成用!AN$2:AN$169,FALSE),1),"")</f>
        <v/>
      </c>
      <c r="AO68" s="17" t="str">
        <f>IFERROR(INDEX(逆引き作成用!$C$2:$C$169,MATCH($B68&amp;"/"&amp;$C68,逆引き作成用!AO$2:AO$169,FALSE),1),"")</f>
        <v/>
      </c>
      <c r="AP68" s="17" t="str">
        <f>IFERROR(INDEX(逆引き作成用!$C$2:$C$169,MATCH($B68&amp;"/"&amp;$C68,逆引き作成用!AP$2:AP$169,FALSE),1),"")</f>
        <v/>
      </c>
      <c r="AQ68" s="17" t="str">
        <f>IFERROR(INDEX(逆引き作成用!$C$2:$C$169,MATCH($B68&amp;"/"&amp;$C68,逆引き作成用!AQ$2:AQ$169,FALSE),1),"")</f>
        <v/>
      </c>
      <c r="AR68" s="17" t="str">
        <f>IFERROR(INDEX(逆引き作成用!$C$2:$C$169,MATCH($B68&amp;"/"&amp;$C68,逆引き作成用!AR$2:AR$169,FALSE),1),"")</f>
        <v/>
      </c>
      <c r="AS68" s="17" t="str">
        <f>IFERROR(INDEX(逆引き作成用!$C$2:$C$169,MATCH($B68&amp;"/"&amp;$C68,逆引き作成用!AS$2:AS$169,FALSE),1),"")</f>
        <v/>
      </c>
      <c r="AT68" s="17" t="str">
        <f>IFERROR(INDEX(逆引き作成用!$C$2:$C$169,MATCH($B68&amp;"/"&amp;$C68,逆引き作成用!AT$2:AT$169,FALSE),1),"")</f>
        <v/>
      </c>
      <c r="AU68" s="17" t="str">
        <f>IFERROR(INDEX(逆引き作成用!$C$2:$C$169,MATCH($B68&amp;"/"&amp;$C68,逆引き作成用!AU$2:AU$169,FALSE),1),"")</f>
        <v/>
      </c>
      <c r="AV68" s="17" t="str">
        <f>IFERROR(INDEX(逆引き作成用!$C$2:$C$169,MATCH($B68&amp;"/"&amp;$C68,逆引き作成用!AV$2:AV$169,FALSE),1),"")</f>
        <v/>
      </c>
      <c r="AW68" s="17" t="str">
        <f>IFERROR(INDEX(逆引き作成用!$C$2:$C$169,MATCH($B68&amp;"/"&amp;$C68,逆引き作成用!AW$2:AW$169,FALSE),1),"")</f>
        <v/>
      </c>
      <c r="AX68" s="17" t="str">
        <f>IFERROR(INDEX(逆引き作成用!$C$2:$C$169,MATCH($B68&amp;"/"&amp;$C68,逆引き作成用!AX$2:AX$169,FALSE),1),"")</f>
        <v/>
      </c>
      <c r="AY68" s="17" t="str">
        <f>IFERROR(INDEX(逆引き作成用!$C$2:$C$169,MATCH($B68&amp;"/"&amp;$C68,逆引き作成用!AY$2:AY$169,FALSE),1),"")</f>
        <v/>
      </c>
      <c r="AZ68" s="17" t="str">
        <f>IFERROR(INDEX(逆引き作成用!$C$2:$C$169,MATCH($B68&amp;"/"&amp;$C68,逆引き作成用!AZ$2:AZ$169,FALSE),1),"")</f>
        <v/>
      </c>
      <c r="BA68" s="17" t="str">
        <f>IFERROR(INDEX(逆引き作成用!$C$2:$C$169,MATCH($B68&amp;"/"&amp;$C68,逆引き作成用!BA$2:BA$169,FALSE),1),"")</f>
        <v/>
      </c>
    </row>
    <row r="69" spans="1:53">
      <c r="A69" s="17" t="str">
        <f>IFERROR(INDEX(役職一覧!$B$2:$B$31,MATCH(B69,役職一覧!$C$2:$C$31,FALSE),1),"")</f>
        <v/>
      </c>
      <c r="B69" s="17" t="str">
        <f>IFERROR(IF(C69=1,INDEX(役職一覧!$C$2:$C$31,MATCH(逆引き!B68,役職一覧!$C$2:$C$31,FALSE)+1,1)&amp;"",B68),"")</f>
        <v/>
      </c>
      <c r="C69" s="17" t="str">
        <f>IFERROR(IF(VLOOKUP(B68,役職一覧!$C$2:$E$31,3,FALSE)=C68,1,C68+1),"")</f>
        <v/>
      </c>
      <c r="D69" s="17" t="str">
        <f>IFERROR(INDEX(逆引き作成用!$C$2:$C$169,MATCH($B69&amp;"/"&amp;$C69,逆引き作成用!D$2:D$169,FALSE),1),"")</f>
        <v/>
      </c>
      <c r="E69" s="17" t="str">
        <f>IFERROR(INDEX(逆引き作成用!$C$2:$C$169,MATCH($B69&amp;"/"&amp;$C69,逆引き作成用!E$2:E$169,FALSE),1),"")</f>
        <v/>
      </c>
      <c r="F69" s="17" t="str">
        <f>IFERROR(INDEX(逆引き作成用!$C$2:$C$169,MATCH($B69&amp;"/"&amp;$C69,逆引き作成用!F$2:F$169,FALSE),1),"")</f>
        <v/>
      </c>
      <c r="G69" s="17" t="str">
        <f>IFERROR(INDEX(逆引き作成用!$C$2:$C$169,MATCH($B69&amp;"/"&amp;$C69,逆引き作成用!G$2:G$169,FALSE),1),"")</f>
        <v/>
      </c>
      <c r="H69" s="17" t="str">
        <f>IFERROR(INDEX(逆引き作成用!$C$2:$C$169,MATCH($B69&amp;"/"&amp;$C69,逆引き作成用!H$2:H$169,FALSE),1),"")</f>
        <v/>
      </c>
      <c r="I69" s="17" t="str">
        <f>IFERROR(INDEX(逆引き作成用!$C$2:$C$169,MATCH($B69&amp;"/"&amp;$C69,逆引き作成用!I$2:I$169,FALSE),1),"")</f>
        <v/>
      </c>
      <c r="J69" s="17" t="str">
        <f>IFERROR(INDEX(逆引き作成用!$C$2:$C$169,MATCH($B69&amp;"/"&amp;$C69,逆引き作成用!J$2:J$169,FALSE),1),"")</f>
        <v/>
      </c>
      <c r="K69" s="17" t="str">
        <f>IFERROR(INDEX(逆引き作成用!$C$2:$C$169,MATCH($B69&amp;"/"&amp;$C69,逆引き作成用!K$2:K$169,FALSE),1),"")</f>
        <v/>
      </c>
      <c r="L69" s="17" t="str">
        <f>IFERROR(INDEX(逆引き作成用!$C$2:$C$169,MATCH($B69&amp;"/"&amp;$C69,逆引き作成用!L$2:L$169,FALSE),1),"")</f>
        <v/>
      </c>
      <c r="M69" s="17" t="str">
        <f>IFERROR(INDEX(逆引き作成用!$C$2:$C$169,MATCH($B69&amp;"/"&amp;$C69,逆引き作成用!M$2:M$169,FALSE),1),"")</f>
        <v/>
      </c>
      <c r="N69" s="17" t="str">
        <f>IFERROR(INDEX(逆引き作成用!$C$2:$C$169,MATCH($B69&amp;"/"&amp;$C69,逆引き作成用!N$2:N$169,FALSE),1),"")</f>
        <v/>
      </c>
      <c r="O69" s="17" t="str">
        <f>IFERROR(INDEX(逆引き作成用!$C$2:$C$169,MATCH($B69&amp;"/"&amp;$C69,逆引き作成用!O$2:O$169,FALSE),1),"")</f>
        <v/>
      </c>
      <c r="P69" s="17" t="str">
        <f>IFERROR(INDEX(逆引き作成用!$C$2:$C$169,MATCH($B69&amp;"/"&amp;$C69,逆引き作成用!P$2:P$169,FALSE),1),"")</f>
        <v/>
      </c>
      <c r="Q69" s="17" t="str">
        <f>IFERROR(INDEX(逆引き作成用!$C$2:$C$169,MATCH($B69&amp;"/"&amp;$C69,逆引き作成用!Q$2:Q$169,FALSE),1),"")</f>
        <v/>
      </c>
      <c r="R69" s="17" t="str">
        <f>IFERROR(INDEX(逆引き作成用!$C$2:$C$169,MATCH($B69&amp;"/"&amp;$C69,逆引き作成用!R$2:R$169,FALSE),1),"")</f>
        <v/>
      </c>
      <c r="S69" s="17" t="str">
        <f>IFERROR(INDEX(逆引き作成用!$C$2:$C$169,MATCH($B69&amp;"/"&amp;$C69,逆引き作成用!S$2:S$169,FALSE),1),"")</f>
        <v/>
      </c>
      <c r="T69" s="17" t="str">
        <f>IFERROR(INDEX(逆引き作成用!$C$2:$C$169,MATCH($B69&amp;"/"&amp;$C69,逆引き作成用!T$2:T$169,FALSE),1),"")</f>
        <v/>
      </c>
      <c r="U69" s="17" t="str">
        <f>IFERROR(INDEX(逆引き作成用!$C$2:$C$169,MATCH($B69&amp;"/"&amp;$C69,逆引き作成用!U$2:U$169,FALSE),1),"")</f>
        <v/>
      </c>
      <c r="V69" s="17" t="str">
        <f>IFERROR(INDEX(逆引き作成用!$C$2:$C$169,MATCH($B69&amp;"/"&amp;$C69,逆引き作成用!V$2:V$169,FALSE),1),"")</f>
        <v/>
      </c>
      <c r="W69" s="17" t="str">
        <f>IFERROR(INDEX(逆引き作成用!$C$2:$C$169,MATCH($B69&amp;"/"&amp;$C69,逆引き作成用!W$2:W$169,FALSE),1),"")</f>
        <v/>
      </c>
      <c r="X69" s="17" t="str">
        <f>IFERROR(INDEX(逆引き作成用!$C$2:$C$169,MATCH($B69&amp;"/"&amp;$C69,逆引き作成用!X$2:X$169,FALSE),1),"")</f>
        <v/>
      </c>
      <c r="Y69" s="17" t="str">
        <f>IFERROR(INDEX(逆引き作成用!$C$2:$C$169,MATCH($B69&amp;"/"&amp;$C69,逆引き作成用!Y$2:Y$169,FALSE),1),"")</f>
        <v/>
      </c>
      <c r="Z69" s="17" t="str">
        <f>IFERROR(INDEX(逆引き作成用!$C$2:$C$169,MATCH($B69&amp;"/"&amp;$C69,逆引き作成用!Z$2:Z$169,FALSE),1),"")</f>
        <v/>
      </c>
      <c r="AA69" s="17" t="str">
        <f>IFERROR(INDEX(逆引き作成用!$C$2:$C$169,MATCH($B69&amp;"/"&amp;$C69,逆引き作成用!AA$2:AA$169,FALSE),1),"")</f>
        <v/>
      </c>
      <c r="AB69" s="17" t="str">
        <f>IFERROR(INDEX(逆引き作成用!$C$2:$C$169,MATCH($B69&amp;"/"&amp;$C69,逆引き作成用!AB$2:AB$169,FALSE),1),"")</f>
        <v/>
      </c>
      <c r="AC69" s="17" t="str">
        <f>IFERROR(INDEX(逆引き作成用!$C$2:$C$169,MATCH($B69&amp;"/"&amp;$C69,逆引き作成用!AC$2:AC$169,FALSE),1),"")</f>
        <v/>
      </c>
      <c r="AD69" s="17" t="str">
        <f>IFERROR(INDEX(逆引き作成用!$C$2:$C$169,MATCH($B69&amp;"/"&amp;$C69,逆引き作成用!AD$2:AD$169,FALSE),1),"")</f>
        <v/>
      </c>
      <c r="AE69" s="17" t="str">
        <f>IFERROR(INDEX(逆引き作成用!$C$2:$C$169,MATCH($B69&amp;"/"&amp;$C69,逆引き作成用!AE$2:AE$169,FALSE),1),"")</f>
        <v/>
      </c>
      <c r="AF69" s="17" t="str">
        <f>IFERROR(INDEX(逆引き作成用!$C$2:$C$169,MATCH($B69&amp;"/"&amp;$C69,逆引き作成用!AF$2:AF$169,FALSE),1),"")</f>
        <v/>
      </c>
      <c r="AG69" s="17" t="str">
        <f>IFERROR(INDEX(逆引き作成用!$C$2:$C$169,MATCH($B69&amp;"/"&amp;$C69,逆引き作成用!AG$2:AG$169,FALSE),1),"")</f>
        <v/>
      </c>
      <c r="AH69" s="17" t="str">
        <f>IFERROR(INDEX(逆引き作成用!$C$2:$C$169,MATCH($B69&amp;"/"&amp;$C69,逆引き作成用!AH$2:AH$169,FALSE),1),"")</f>
        <v/>
      </c>
      <c r="AI69" s="17" t="str">
        <f>IFERROR(INDEX(逆引き作成用!$C$2:$C$169,MATCH($B69&amp;"/"&amp;$C69,逆引き作成用!AI$2:AI$169,FALSE),1),"")</f>
        <v/>
      </c>
      <c r="AJ69" s="17" t="str">
        <f>IFERROR(INDEX(逆引き作成用!$C$2:$C$169,MATCH($B69&amp;"/"&amp;$C69,逆引き作成用!AJ$2:AJ$169,FALSE),1),"")</f>
        <v/>
      </c>
      <c r="AK69" s="17" t="str">
        <f>IFERROR(INDEX(逆引き作成用!$C$2:$C$169,MATCH($B69&amp;"/"&amp;$C69,逆引き作成用!AK$2:AK$169,FALSE),1),"")</f>
        <v/>
      </c>
      <c r="AL69" s="17" t="str">
        <f>IFERROR(INDEX(逆引き作成用!$C$2:$C$169,MATCH($B69&amp;"/"&amp;$C69,逆引き作成用!AL$2:AL$169,FALSE),1),"")</f>
        <v/>
      </c>
      <c r="AM69" s="17" t="str">
        <f>IFERROR(INDEX(逆引き作成用!$C$2:$C$169,MATCH($B69&amp;"/"&amp;$C69,逆引き作成用!AM$2:AM$169,FALSE),1),"")</f>
        <v/>
      </c>
      <c r="AN69" s="17" t="str">
        <f>IFERROR(INDEX(逆引き作成用!$C$2:$C$169,MATCH($B69&amp;"/"&amp;$C69,逆引き作成用!AN$2:AN$169,FALSE),1),"")</f>
        <v/>
      </c>
      <c r="AO69" s="17" t="str">
        <f>IFERROR(INDEX(逆引き作成用!$C$2:$C$169,MATCH($B69&amp;"/"&amp;$C69,逆引き作成用!AO$2:AO$169,FALSE),1),"")</f>
        <v/>
      </c>
      <c r="AP69" s="17" t="str">
        <f>IFERROR(INDEX(逆引き作成用!$C$2:$C$169,MATCH($B69&amp;"/"&amp;$C69,逆引き作成用!AP$2:AP$169,FALSE),1),"")</f>
        <v/>
      </c>
      <c r="AQ69" s="17" t="str">
        <f>IFERROR(INDEX(逆引き作成用!$C$2:$C$169,MATCH($B69&amp;"/"&amp;$C69,逆引き作成用!AQ$2:AQ$169,FALSE),1),"")</f>
        <v/>
      </c>
      <c r="AR69" s="17" t="str">
        <f>IFERROR(INDEX(逆引き作成用!$C$2:$C$169,MATCH($B69&amp;"/"&amp;$C69,逆引き作成用!AR$2:AR$169,FALSE),1),"")</f>
        <v/>
      </c>
      <c r="AS69" s="17" t="str">
        <f>IFERROR(INDEX(逆引き作成用!$C$2:$C$169,MATCH($B69&amp;"/"&amp;$C69,逆引き作成用!AS$2:AS$169,FALSE),1),"")</f>
        <v/>
      </c>
      <c r="AT69" s="17" t="str">
        <f>IFERROR(INDEX(逆引き作成用!$C$2:$C$169,MATCH($B69&amp;"/"&amp;$C69,逆引き作成用!AT$2:AT$169,FALSE),1),"")</f>
        <v/>
      </c>
      <c r="AU69" s="17" t="str">
        <f>IFERROR(INDEX(逆引き作成用!$C$2:$C$169,MATCH($B69&amp;"/"&amp;$C69,逆引き作成用!AU$2:AU$169,FALSE),1),"")</f>
        <v/>
      </c>
      <c r="AV69" s="17" t="str">
        <f>IFERROR(INDEX(逆引き作成用!$C$2:$C$169,MATCH($B69&amp;"/"&amp;$C69,逆引き作成用!AV$2:AV$169,FALSE),1),"")</f>
        <v/>
      </c>
      <c r="AW69" s="17" t="str">
        <f>IFERROR(INDEX(逆引き作成用!$C$2:$C$169,MATCH($B69&amp;"/"&amp;$C69,逆引き作成用!AW$2:AW$169,FALSE),1),"")</f>
        <v/>
      </c>
      <c r="AX69" s="17" t="str">
        <f>IFERROR(INDEX(逆引き作成用!$C$2:$C$169,MATCH($B69&amp;"/"&amp;$C69,逆引き作成用!AX$2:AX$169,FALSE),1),"")</f>
        <v/>
      </c>
      <c r="AY69" s="17" t="str">
        <f>IFERROR(INDEX(逆引き作成用!$C$2:$C$169,MATCH($B69&amp;"/"&amp;$C69,逆引き作成用!AY$2:AY$169,FALSE),1),"")</f>
        <v/>
      </c>
      <c r="AZ69" s="17" t="str">
        <f>IFERROR(INDEX(逆引き作成用!$C$2:$C$169,MATCH($B69&amp;"/"&amp;$C69,逆引き作成用!AZ$2:AZ$169,FALSE),1),"")</f>
        <v/>
      </c>
      <c r="BA69" s="17" t="str">
        <f>IFERROR(INDEX(逆引き作成用!$C$2:$C$169,MATCH($B69&amp;"/"&amp;$C69,逆引き作成用!BA$2:BA$169,FALSE),1),"")</f>
        <v/>
      </c>
    </row>
    <row r="70" spans="1:53">
      <c r="A70" s="17" t="str">
        <f>IFERROR(INDEX(役職一覧!$B$2:$B$31,MATCH(B70,役職一覧!$C$2:$C$31,FALSE),1),"")</f>
        <v/>
      </c>
      <c r="B70" s="17" t="str">
        <f>IFERROR(IF(C70=1,INDEX(役職一覧!$C$2:$C$31,MATCH(逆引き!B69,役職一覧!$C$2:$C$31,FALSE)+1,1)&amp;"",B69),"")</f>
        <v/>
      </c>
      <c r="C70" s="17" t="str">
        <f>IFERROR(IF(VLOOKUP(B69,役職一覧!$C$2:$E$31,3,FALSE)=C69,1,C69+1),"")</f>
        <v/>
      </c>
      <c r="D70" s="17" t="str">
        <f>IFERROR(INDEX(逆引き作成用!$C$2:$C$169,MATCH($B70&amp;"/"&amp;$C70,逆引き作成用!D$2:D$169,FALSE),1),"")</f>
        <v/>
      </c>
      <c r="E70" s="17" t="str">
        <f>IFERROR(INDEX(逆引き作成用!$C$2:$C$169,MATCH($B70&amp;"/"&amp;$C70,逆引き作成用!E$2:E$169,FALSE),1),"")</f>
        <v/>
      </c>
      <c r="F70" s="17" t="str">
        <f>IFERROR(INDEX(逆引き作成用!$C$2:$C$169,MATCH($B70&amp;"/"&amp;$C70,逆引き作成用!F$2:F$169,FALSE),1),"")</f>
        <v/>
      </c>
      <c r="G70" s="17" t="str">
        <f>IFERROR(INDEX(逆引き作成用!$C$2:$C$169,MATCH($B70&amp;"/"&amp;$C70,逆引き作成用!G$2:G$169,FALSE),1),"")</f>
        <v/>
      </c>
      <c r="H70" s="17" t="str">
        <f>IFERROR(INDEX(逆引き作成用!$C$2:$C$169,MATCH($B70&amp;"/"&amp;$C70,逆引き作成用!H$2:H$169,FALSE),1),"")</f>
        <v/>
      </c>
      <c r="I70" s="17" t="str">
        <f>IFERROR(INDEX(逆引き作成用!$C$2:$C$169,MATCH($B70&amp;"/"&amp;$C70,逆引き作成用!I$2:I$169,FALSE),1),"")</f>
        <v/>
      </c>
      <c r="J70" s="17" t="str">
        <f>IFERROR(INDEX(逆引き作成用!$C$2:$C$169,MATCH($B70&amp;"/"&amp;$C70,逆引き作成用!J$2:J$169,FALSE),1),"")</f>
        <v/>
      </c>
      <c r="K70" s="17" t="str">
        <f>IFERROR(INDEX(逆引き作成用!$C$2:$C$169,MATCH($B70&amp;"/"&amp;$C70,逆引き作成用!K$2:K$169,FALSE),1),"")</f>
        <v/>
      </c>
      <c r="L70" s="17" t="str">
        <f>IFERROR(INDEX(逆引き作成用!$C$2:$C$169,MATCH($B70&amp;"/"&amp;$C70,逆引き作成用!L$2:L$169,FALSE),1),"")</f>
        <v/>
      </c>
      <c r="M70" s="17" t="str">
        <f>IFERROR(INDEX(逆引き作成用!$C$2:$C$169,MATCH($B70&amp;"/"&amp;$C70,逆引き作成用!M$2:M$169,FALSE),1),"")</f>
        <v/>
      </c>
      <c r="N70" s="17" t="str">
        <f>IFERROR(INDEX(逆引き作成用!$C$2:$C$169,MATCH($B70&amp;"/"&amp;$C70,逆引き作成用!N$2:N$169,FALSE),1),"")</f>
        <v/>
      </c>
      <c r="O70" s="17" t="str">
        <f>IFERROR(INDEX(逆引き作成用!$C$2:$C$169,MATCH($B70&amp;"/"&amp;$C70,逆引き作成用!O$2:O$169,FALSE),1),"")</f>
        <v/>
      </c>
      <c r="P70" s="17" t="str">
        <f>IFERROR(INDEX(逆引き作成用!$C$2:$C$169,MATCH($B70&amp;"/"&amp;$C70,逆引き作成用!P$2:P$169,FALSE),1),"")</f>
        <v/>
      </c>
      <c r="Q70" s="17" t="str">
        <f>IFERROR(INDEX(逆引き作成用!$C$2:$C$169,MATCH($B70&amp;"/"&amp;$C70,逆引き作成用!Q$2:Q$169,FALSE),1),"")</f>
        <v/>
      </c>
      <c r="R70" s="17" t="str">
        <f>IFERROR(INDEX(逆引き作成用!$C$2:$C$169,MATCH($B70&amp;"/"&amp;$C70,逆引き作成用!R$2:R$169,FALSE),1),"")</f>
        <v/>
      </c>
      <c r="S70" s="17" t="str">
        <f>IFERROR(INDEX(逆引き作成用!$C$2:$C$169,MATCH($B70&amp;"/"&amp;$C70,逆引き作成用!S$2:S$169,FALSE),1),"")</f>
        <v/>
      </c>
      <c r="T70" s="17" t="str">
        <f>IFERROR(INDEX(逆引き作成用!$C$2:$C$169,MATCH($B70&amp;"/"&amp;$C70,逆引き作成用!T$2:T$169,FALSE),1),"")</f>
        <v/>
      </c>
      <c r="U70" s="17" t="str">
        <f>IFERROR(INDEX(逆引き作成用!$C$2:$C$169,MATCH($B70&amp;"/"&amp;$C70,逆引き作成用!U$2:U$169,FALSE),1),"")</f>
        <v/>
      </c>
      <c r="V70" s="17" t="str">
        <f>IFERROR(INDEX(逆引き作成用!$C$2:$C$169,MATCH($B70&amp;"/"&amp;$C70,逆引き作成用!V$2:V$169,FALSE),1),"")</f>
        <v/>
      </c>
      <c r="W70" s="17" t="str">
        <f>IFERROR(INDEX(逆引き作成用!$C$2:$C$169,MATCH($B70&amp;"/"&amp;$C70,逆引き作成用!W$2:W$169,FALSE),1),"")</f>
        <v/>
      </c>
      <c r="X70" s="17" t="str">
        <f>IFERROR(INDEX(逆引き作成用!$C$2:$C$169,MATCH($B70&amp;"/"&amp;$C70,逆引き作成用!X$2:X$169,FALSE),1),"")</f>
        <v/>
      </c>
      <c r="Y70" s="17" t="str">
        <f>IFERROR(INDEX(逆引き作成用!$C$2:$C$169,MATCH($B70&amp;"/"&amp;$C70,逆引き作成用!Y$2:Y$169,FALSE),1),"")</f>
        <v/>
      </c>
      <c r="Z70" s="17" t="str">
        <f>IFERROR(INDEX(逆引き作成用!$C$2:$C$169,MATCH($B70&amp;"/"&amp;$C70,逆引き作成用!Z$2:Z$169,FALSE),1),"")</f>
        <v/>
      </c>
      <c r="AA70" s="17" t="str">
        <f>IFERROR(INDEX(逆引き作成用!$C$2:$C$169,MATCH($B70&amp;"/"&amp;$C70,逆引き作成用!AA$2:AA$169,FALSE),1),"")</f>
        <v/>
      </c>
      <c r="AB70" s="17" t="str">
        <f>IFERROR(INDEX(逆引き作成用!$C$2:$C$169,MATCH($B70&amp;"/"&amp;$C70,逆引き作成用!AB$2:AB$169,FALSE),1),"")</f>
        <v/>
      </c>
      <c r="AC70" s="17" t="str">
        <f>IFERROR(INDEX(逆引き作成用!$C$2:$C$169,MATCH($B70&amp;"/"&amp;$C70,逆引き作成用!AC$2:AC$169,FALSE),1),"")</f>
        <v/>
      </c>
      <c r="AD70" s="17" t="str">
        <f>IFERROR(INDEX(逆引き作成用!$C$2:$C$169,MATCH($B70&amp;"/"&amp;$C70,逆引き作成用!AD$2:AD$169,FALSE),1),"")</f>
        <v/>
      </c>
      <c r="AE70" s="17" t="str">
        <f>IFERROR(INDEX(逆引き作成用!$C$2:$C$169,MATCH($B70&amp;"/"&amp;$C70,逆引き作成用!AE$2:AE$169,FALSE),1),"")</f>
        <v/>
      </c>
      <c r="AF70" s="17" t="str">
        <f>IFERROR(INDEX(逆引き作成用!$C$2:$C$169,MATCH($B70&amp;"/"&amp;$C70,逆引き作成用!AF$2:AF$169,FALSE),1),"")</f>
        <v/>
      </c>
      <c r="AG70" s="17" t="str">
        <f>IFERROR(INDEX(逆引き作成用!$C$2:$C$169,MATCH($B70&amp;"/"&amp;$C70,逆引き作成用!AG$2:AG$169,FALSE),1),"")</f>
        <v/>
      </c>
      <c r="AH70" s="17" t="str">
        <f>IFERROR(INDEX(逆引き作成用!$C$2:$C$169,MATCH($B70&amp;"/"&amp;$C70,逆引き作成用!AH$2:AH$169,FALSE),1),"")</f>
        <v/>
      </c>
      <c r="AI70" s="17" t="str">
        <f>IFERROR(INDEX(逆引き作成用!$C$2:$C$169,MATCH($B70&amp;"/"&amp;$C70,逆引き作成用!AI$2:AI$169,FALSE),1),"")</f>
        <v/>
      </c>
      <c r="AJ70" s="17" t="str">
        <f>IFERROR(INDEX(逆引き作成用!$C$2:$C$169,MATCH($B70&amp;"/"&amp;$C70,逆引き作成用!AJ$2:AJ$169,FALSE),1),"")</f>
        <v/>
      </c>
      <c r="AK70" s="17" t="str">
        <f>IFERROR(INDEX(逆引き作成用!$C$2:$C$169,MATCH($B70&amp;"/"&amp;$C70,逆引き作成用!AK$2:AK$169,FALSE),1),"")</f>
        <v/>
      </c>
      <c r="AL70" s="17" t="str">
        <f>IFERROR(INDEX(逆引き作成用!$C$2:$C$169,MATCH($B70&amp;"/"&amp;$C70,逆引き作成用!AL$2:AL$169,FALSE),1),"")</f>
        <v/>
      </c>
      <c r="AM70" s="17" t="str">
        <f>IFERROR(INDEX(逆引き作成用!$C$2:$C$169,MATCH($B70&amp;"/"&amp;$C70,逆引き作成用!AM$2:AM$169,FALSE),1),"")</f>
        <v/>
      </c>
      <c r="AN70" s="17" t="str">
        <f>IFERROR(INDEX(逆引き作成用!$C$2:$C$169,MATCH($B70&amp;"/"&amp;$C70,逆引き作成用!AN$2:AN$169,FALSE),1),"")</f>
        <v/>
      </c>
      <c r="AO70" s="17" t="str">
        <f>IFERROR(INDEX(逆引き作成用!$C$2:$C$169,MATCH($B70&amp;"/"&amp;$C70,逆引き作成用!AO$2:AO$169,FALSE),1),"")</f>
        <v/>
      </c>
      <c r="AP70" s="17" t="str">
        <f>IFERROR(INDEX(逆引き作成用!$C$2:$C$169,MATCH($B70&amp;"/"&amp;$C70,逆引き作成用!AP$2:AP$169,FALSE),1),"")</f>
        <v/>
      </c>
      <c r="AQ70" s="17" t="str">
        <f>IFERROR(INDEX(逆引き作成用!$C$2:$C$169,MATCH($B70&amp;"/"&amp;$C70,逆引き作成用!AQ$2:AQ$169,FALSE),1),"")</f>
        <v/>
      </c>
      <c r="AR70" s="17" t="str">
        <f>IFERROR(INDEX(逆引き作成用!$C$2:$C$169,MATCH($B70&amp;"/"&amp;$C70,逆引き作成用!AR$2:AR$169,FALSE),1),"")</f>
        <v/>
      </c>
      <c r="AS70" s="17" t="str">
        <f>IFERROR(INDEX(逆引き作成用!$C$2:$C$169,MATCH($B70&amp;"/"&amp;$C70,逆引き作成用!AS$2:AS$169,FALSE),1),"")</f>
        <v/>
      </c>
      <c r="AT70" s="17" t="str">
        <f>IFERROR(INDEX(逆引き作成用!$C$2:$C$169,MATCH($B70&amp;"/"&amp;$C70,逆引き作成用!AT$2:AT$169,FALSE),1),"")</f>
        <v/>
      </c>
      <c r="AU70" s="17" t="str">
        <f>IFERROR(INDEX(逆引き作成用!$C$2:$C$169,MATCH($B70&amp;"/"&amp;$C70,逆引き作成用!AU$2:AU$169,FALSE),1),"")</f>
        <v/>
      </c>
      <c r="AV70" s="17" t="str">
        <f>IFERROR(INDEX(逆引き作成用!$C$2:$C$169,MATCH($B70&amp;"/"&amp;$C70,逆引き作成用!AV$2:AV$169,FALSE),1),"")</f>
        <v/>
      </c>
      <c r="AW70" s="17" t="str">
        <f>IFERROR(INDEX(逆引き作成用!$C$2:$C$169,MATCH($B70&amp;"/"&amp;$C70,逆引き作成用!AW$2:AW$169,FALSE),1),"")</f>
        <v/>
      </c>
      <c r="AX70" s="17" t="str">
        <f>IFERROR(INDEX(逆引き作成用!$C$2:$C$169,MATCH($B70&amp;"/"&amp;$C70,逆引き作成用!AX$2:AX$169,FALSE),1),"")</f>
        <v/>
      </c>
      <c r="AY70" s="17" t="str">
        <f>IFERROR(INDEX(逆引き作成用!$C$2:$C$169,MATCH($B70&amp;"/"&amp;$C70,逆引き作成用!AY$2:AY$169,FALSE),1),"")</f>
        <v/>
      </c>
      <c r="AZ70" s="17" t="str">
        <f>IFERROR(INDEX(逆引き作成用!$C$2:$C$169,MATCH($B70&amp;"/"&amp;$C70,逆引き作成用!AZ$2:AZ$169,FALSE),1),"")</f>
        <v/>
      </c>
      <c r="BA70" s="17" t="str">
        <f>IFERROR(INDEX(逆引き作成用!$C$2:$C$169,MATCH($B70&amp;"/"&amp;$C70,逆引き作成用!BA$2:BA$169,FALSE),1),"")</f>
        <v/>
      </c>
    </row>
    <row r="71" spans="1:53">
      <c r="A71" s="17" t="str">
        <f>IFERROR(INDEX(役職一覧!$B$2:$B$31,MATCH(B71,役職一覧!$C$2:$C$31,FALSE),1),"")</f>
        <v/>
      </c>
      <c r="B71" s="17" t="str">
        <f>IFERROR(IF(C71=1,INDEX(役職一覧!$C$2:$C$31,MATCH(逆引き!B70,役職一覧!$C$2:$C$31,FALSE)+1,1)&amp;"",B70),"")</f>
        <v/>
      </c>
      <c r="C71" s="17" t="str">
        <f>IFERROR(IF(VLOOKUP(B70,役職一覧!$C$2:$E$31,3,FALSE)=C70,1,C70+1),"")</f>
        <v/>
      </c>
      <c r="D71" s="17" t="str">
        <f>IFERROR(INDEX(逆引き作成用!$C$2:$C$169,MATCH($B71&amp;"/"&amp;$C71,逆引き作成用!D$2:D$169,FALSE),1),"")</f>
        <v/>
      </c>
      <c r="E71" s="17" t="str">
        <f>IFERROR(INDEX(逆引き作成用!$C$2:$C$169,MATCH($B71&amp;"/"&amp;$C71,逆引き作成用!E$2:E$169,FALSE),1),"")</f>
        <v/>
      </c>
      <c r="F71" s="17" t="str">
        <f>IFERROR(INDEX(逆引き作成用!$C$2:$C$169,MATCH($B71&amp;"/"&amp;$C71,逆引き作成用!F$2:F$169,FALSE),1),"")</f>
        <v/>
      </c>
      <c r="G71" s="17" t="str">
        <f>IFERROR(INDEX(逆引き作成用!$C$2:$C$169,MATCH($B71&amp;"/"&amp;$C71,逆引き作成用!G$2:G$169,FALSE),1),"")</f>
        <v/>
      </c>
      <c r="H71" s="17" t="str">
        <f>IFERROR(INDEX(逆引き作成用!$C$2:$C$169,MATCH($B71&amp;"/"&amp;$C71,逆引き作成用!H$2:H$169,FALSE),1),"")</f>
        <v/>
      </c>
      <c r="I71" s="17" t="str">
        <f>IFERROR(INDEX(逆引き作成用!$C$2:$C$169,MATCH($B71&amp;"/"&amp;$C71,逆引き作成用!I$2:I$169,FALSE),1),"")</f>
        <v/>
      </c>
      <c r="J71" s="17" t="str">
        <f>IFERROR(INDEX(逆引き作成用!$C$2:$C$169,MATCH($B71&amp;"/"&amp;$C71,逆引き作成用!J$2:J$169,FALSE),1),"")</f>
        <v/>
      </c>
      <c r="K71" s="17" t="str">
        <f>IFERROR(INDEX(逆引き作成用!$C$2:$C$169,MATCH($B71&amp;"/"&amp;$C71,逆引き作成用!K$2:K$169,FALSE),1),"")</f>
        <v/>
      </c>
      <c r="L71" s="17" t="str">
        <f>IFERROR(INDEX(逆引き作成用!$C$2:$C$169,MATCH($B71&amp;"/"&amp;$C71,逆引き作成用!L$2:L$169,FALSE),1),"")</f>
        <v/>
      </c>
      <c r="M71" s="17" t="str">
        <f>IFERROR(INDEX(逆引き作成用!$C$2:$C$169,MATCH($B71&amp;"/"&amp;$C71,逆引き作成用!M$2:M$169,FALSE),1),"")</f>
        <v/>
      </c>
      <c r="N71" s="17" t="str">
        <f>IFERROR(INDEX(逆引き作成用!$C$2:$C$169,MATCH($B71&amp;"/"&amp;$C71,逆引き作成用!N$2:N$169,FALSE),1),"")</f>
        <v/>
      </c>
      <c r="O71" s="17" t="str">
        <f>IFERROR(INDEX(逆引き作成用!$C$2:$C$169,MATCH($B71&amp;"/"&amp;$C71,逆引き作成用!O$2:O$169,FALSE),1),"")</f>
        <v/>
      </c>
      <c r="P71" s="17" t="str">
        <f>IFERROR(INDEX(逆引き作成用!$C$2:$C$169,MATCH($B71&amp;"/"&amp;$C71,逆引き作成用!P$2:P$169,FALSE),1),"")</f>
        <v/>
      </c>
      <c r="Q71" s="17" t="str">
        <f>IFERROR(INDEX(逆引き作成用!$C$2:$C$169,MATCH($B71&amp;"/"&amp;$C71,逆引き作成用!Q$2:Q$169,FALSE),1),"")</f>
        <v/>
      </c>
      <c r="R71" s="17" t="str">
        <f>IFERROR(INDEX(逆引き作成用!$C$2:$C$169,MATCH($B71&amp;"/"&amp;$C71,逆引き作成用!R$2:R$169,FALSE),1),"")</f>
        <v/>
      </c>
      <c r="S71" s="17" t="str">
        <f>IFERROR(INDEX(逆引き作成用!$C$2:$C$169,MATCH($B71&amp;"/"&amp;$C71,逆引き作成用!S$2:S$169,FALSE),1),"")</f>
        <v/>
      </c>
      <c r="T71" s="17" t="str">
        <f>IFERROR(INDEX(逆引き作成用!$C$2:$C$169,MATCH($B71&amp;"/"&amp;$C71,逆引き作成用!T$2:T$169,FALSE),1),"")</f>
        <v/>
      </c>
      <c r="U71" s="17" t="str">
        <f>IFERROR(INDEX(逆引き作成用!$C$2:$C$169,MATCH($B71&amp;"/"&amp;$C71,逆引き作成用!U$2:U$169,FALSE),1),"")</f>
        <v/>
      </c>
      <c r="V71" s="17" t="str">
        <f>IFERROR(INDEX(逆引き作成用!$C$2:$C$169,MATCH($B71&amp;"/"&amp;$C71,逆引き作成用!V$2:V$169,FALSE),1),"")</f>
        <v/>
      </c>
      <c r="W71" s="17" t="str">
        <f>IFERROR(INDEX(逆引き作成用!$C$2:$C$169,MATCH($B71&amp;"/"&amp;$C71,逆引き作成用!W$2:W$169,FALSE),1),"")</f>
        <v/>
      </c>
      <c r="X71" s="17" t="str">
        <f>IFERROR(INDEX(逆引き作成用!$C$2:$C$169,MATCH($B71&amp;"/"&amp;$C71,逆引き作成用!X$2:X$169,FALSE),1),"")</f>
        <v/>
      </c>
      <c r="Y71" s="17" t="str">
        <f>IFERROR(INDEX(逆引き作成用!$C$2:$C$169,MATCH($B71&amp;"/"&amp;$C71,逆引き作成用!Y$2:Y$169,FALSE),1),"")</f>
        <v/>
      </c>
      <c r="Z71" s="17" t="str">
        <f>IFERROR(INDEX(逆引き作成用!$C$2:$C$169,MATCH($B71&amp;"/"&amp;$C71,逆引き作成用!Z$2:Z$169,FALSE),1),"")</f>
        <v/>
      </c>
      <c r="AA71" s="17" t="str">
        <f>IFERROR(INDEX(逆引き作成用!$C$2:$C$169,MATCH($B71&amp;"/"&amp;$C71,逆引き作成用!AA$2:AA$169,FALSE),1),"")</f>
        <v/>
      </c>
      <c r="AB71" s="17" t="str">
        <f>IFERROR(INDEX(逆引き作成用!$C$2:$C$169,MATCH($B71&amp;"/"&amp;$C71,逆引き作成用!AB$2:AB$169,FALSE),1),"")</f>
        <v/>
      </c>
      <c r="AC71" s="17" t="str">
        <f>IFERROR(INDEX(逆引き作成用!$C$2:$C$169,MATCH($B71&amp;"/"&amp;$C71,逆引き作成用!AC$2:AC$169,FALSE),1),"")</f>
        <v/>
      </c>
      <c r="AD71" s="17" t="str">
        <f>IFERROR(INDEX(逆引き作成用!$C$2:$C$169,MATCH($B71&amp;"/"&amp;$C71,逆引き作成用!AD$2:AD$169,FALSE),1),"")</f>
        <v/>
      </c>
      <c r="AE71" s="17" t="str">
        <f>IFERROR(INDEX(逆引き作成用!$C$2:$C$169,MATCH($B71&amp;"/"&amp;$C71,逆引き作成用!AE$2:AE$169,FALSE),1),"")</f>
        <v/>
      </c>
      <c r="AF71" s="17" t="str">
        <f>IFERROR(INDEX(逆引き作成用!$C$2:$C$169,MATCH($B71&amp;"/"&amp;$C71,逆引き作成用!AF$2:AF$169,FALSE),1),"")</f>
        <v/>
      </c>
      <c r="AG71" s="17" t="str">
        <f>IFERROR(INDEX(逆引き作成用!$C$2:$C$169,MATCH($B71&amp;"/"&amp;$C71,逆引き作成用!AG$2:AG$169,FALSE),1),"")</f>
        <v/>
      </c>
      <c r="AH71" s="17" t="str">
        <f>IFERROR(INDEX(逆引き作成用!$C$2:$C$169,MATCH($B71&amp;"/"&amp;$C71,逆引き作成用!AH$2:AH$169,FALSE),1),"")</f>
        <v/>
      </c>
      <c r="AI71" s="17" t="str">
        <f>IFERROR(INDEX(逆引き作成用!$C$2:$C$169,MATCH($B71&amp;"/"&amp;$C71,逆引き作成用!AI$2:AI$169,FALSE),1),"")</f>
        <v/>
      </c>
      <c r="AJ71" s="17" t="str">
        <f>IFERROR(INDEX(逆引き作成用!$C$2:$C$169,MATCH($B71&amp;"/"&amp;$C71,逆引き作成用!AJ$2:AJ$169,FALSE),1),"")</f>
        <v/>
      </c>
      <c r="AK71" s="17" t="str">
        <f>IFERROR(INDEX(逆引き作成用!$C$2:$C$169,MATCH($B71&amp;"/"&amp;$C71,逆引き作成用!AK$2:AK$169,FALSE),1),"")</f>
        <v/>
      </c>
      <c r="AL71" s="17" t="str">
        <f>IFERROR(INDEX(逆引き作成用!$C$2:$C$169,MATCH($B71&amp;"/"&amp;$C71,逆引き作成用!AL$2:AL$169,FALSE),1),"")</f>
        <v/>
      </c>
      <c r="AM71" s="17" t="str">
        <f>IFERROR(INDEX(逆引き作成用!$C$2:$C$169,MATCH($B71&amp;"/"&amp;$C71,逆引き作成用!AM$2:AM$169,FALSE),1),"")</f>
        <v/>
      </c>
      <c r="AN71" s="17" t="str">
        <f>IFERROR(INDEX(逆引き作成用!$C$2:$C$169,MATCH($B71&amp;"/"&amp;$C71,逆引き作成用!AN$2:AN$169,FALSE),1),"")</f>
        <v/>
      </c>
      <c r="AO71" s="17" t="str">
        <f>IFERROR(INDEX(逆引き作成用!$C$2:$C$169,MATCH($B71&amp;"/"&amp;$C71,逆引き作成用!AO$2:AO$169,FALSE),1),"")</f>
        <v/>
      </c>
      <c r="AP71" s="17" t="str">
        <f>IFERROR(INDEX(逆引き作成用!$C$2:$C$169,MATCH($B71&amp;"/"&amp;$C71,逆引き作成用!AP$2:AP$169,FALSE),1),"")</f>
        <v/>
      </c>
      <c r="AQ71" s="17" t="str">
        <f>IFERROR(INDEX(逆引き作成用!$C$2:$C$169,MATCH($B71&amp;"/"&amp;$C71,逆引き作成用!AQ$2:AQ$169,FALSE),1),"")</f>
        <v/>
      </c>
      <c r="AR71" s="17" t="str">
        <f>IFERROR(INDEX(逆引き作成用!$C$2:$C$169,MATCH($B71&amp;"/"&amp;$C71,逆引き作成用!AR$2:AR$169,FALSE),1),"")</f>
        <v/>
      </c>
      <c r="AS71" s="17" t="str">
        <f>IFERROR(INDEX(逆引き作成用!$C$2:$C$169,MATCH($B71&amp;"/"&amp;$C71,逆引き作成用!AS$2:AS$169,FALSE),1),"")</f>
        <v/>
      </c>
      <c r="AT71" s="17" t="str">
        <f>IFERROR(INDEX(逆引き作成用!$C$2:$C$169,MATCH($B71&amp;"/"&amp;$C71,逆引き作成用!AT$2:AT$169,FALSE),1),"")</f>
        <v/>
      </c>
      <c r="AU71" s="17" t="str">
        <f>IFERROR(INDEX(逆引き作成用!$C$2:$C$169,MATCH($B71&amp;"/"&amp;$C71,逆引き作成用!AU$2:AU$169,FALSE),1),"")</f>
        <v/>
      </c>
      <c r="AV71" s="17" t="str">
        <f>IFERROR(INDEX(逆引き作成用!$C$2:$C$169,MATCH($B71&amp;"/"&amp;$C71,逆引き作成用!AV$2:AV$169,FALSE),1),"")</f>
        <v/>
      </c>
      <c r="AW71" s="17" t="str">
        <f>IFERROR(INDEX(逆引き作成用!$C$2:$C$169,MATCH($B71&amp;"/"&amp;$C71,逆引き作成用!AW$2:AW$169,FALSE),1),"")</f>
        <v/>
      </c>
      <c r="AX71" s="17" t="str">
        <f>IFERROR(INDEX(逆引き作成用!$C$2:$C$169,MATCH($B71&amp;"/"&amp;$C71,逆引き作成用!AX$2:AX$169,FALSE),1),"")</f>
        <v/>
      </c>
      <c r="AY71" s="17" t="str">
        <f>IFERROR(INDEX(逆引き作成用!$C$2:$C$169,MATCH($B71&amp;"/"&amp;$C71,逆引き作成用!AY$2:AY$169,FALSE),1),"")</f>
        <v/>
      </c>
      <c r="AZ71" s="17" t="str">
        <f>IFERROR(INDEX(逆引き作成用!$C$2:$C$169,MATCH($B71&amp;"/"&amp;$C71,逆引き作成用!AZ$2:AZ$169,FALSE),1),"")</f>
        <v/>
      </c>
      <c r="BA71" s="17" t="str">
        <f>IFERROR(INDEX(逆引き作成用!$C$2:$C$169,MATCH($B71&amp;"/"&amp;$C71,逆引き作成用!BA$2:BA$169,FALSE),1),"")</f>
        <v/>
      </c>
    </row>
    <row r="72" spans="1:53">
      <c r="A72" s="17" t="str">
        <f>IFERROR(INDEX(役職一覧!$B$2:$B$31,MATCH(B72,役職一覧!$C$2:$C$31,FALSE),1),"")</f>
        <v/>
      </c>
      <c r="B72" s="17" t="str">
        <f>IFERROR(IF(C72=1,INDEX(役職一覧!$C$2:$C$31,MATCH(逆引き!B71,役職一覧!$C$2:$C$31,FALSE)+1,1)&amp;"",B71),"")</f>
        <v/>
      </c>
      <c r="C72" s="17" t="str">
        <f>IFERROR(IF(VLOOKUP(B71,役職一覧!$C$2:$E$31,3,FALSE)=C71,1,C71+1),"")</f>
        <v/>
      </c>
      <c r="D72" s="17" t="str">
        <f>IFERROR(INDEX(逆引き作成用!$C$2:$C$169,MATCH($B72&amp;"/"&amp;$C72,逆引き作成用!D$2:D$169,FALSE),1),"")</f>
        <v/>
      </c>
      <c r="E72" s="17" t="str">
        <f>IFERROR(INDEX(逆引き作成用!$C$2:$C$169,MATCH($B72&amp;"/"&amp;$C72,逆引き作成用!E$2:E$169,FALSE),1),"")</f>
        <v/>
      </c>
      <c r="F72" s="17" t="str">
        <f>IFERROR(INDEX(逆引き作成用!$C$2:$C$169,MATCH($B72&amp;"/"&amp;$C72,逆引き作成用!F$2:F$169,FALSE),1),"")</f>
        <v/>
      </c>
      <c r="G72" s="17" t="str">
        <f>IFERROR(INDEX(逆引き作成用!$C$2:$C$169,MATCH($B72&amp;"/"&amp;$C72,逆引き作成用!G$2:G$169,FALSE),1),"")</f>
        <v/>
      </c>
      <c r="H72" s="17" t="str">
        <f>IFERROR(INDEX(逆引き作成用!$C$2:$C$169,MATCH($B72&amp;"/"&amp;$C72,逆引き作成用!H$2:H$169,FALSE),1),"")</f>
        <v/>
      </c>
      <c r="I72" s="17" t="str">
        <f>IFERROR(INDEX(逆引き作成用!$C$2:$C$169,MATCH($B72&amp;"/"&amp;$C72,逆引き作成用!I$2:I$169,FALSE),1),"")</f>
        <v/>
      </c>
      <c r="J72" s="17" t="str">
        <f>IFERROR(INDEX(逆引き作成用!$C$2:$C$169,MATCH($B72&amp;"/"&amp;$C72,逆引き作成用!J$2:J$169,FALSE),1),"")</f>
        <v/>
      </c>
      <c r="K72" s="17" t="str">
        <f>IFERROR(INDEX(逆引き作成用!$C$2:$C$169,MATCH($B72&amp;"/"&amp;$C72,逆引き作成用!K$2:K$169,FALSE),1),"")</f>
        <v/>
      </c>
      <c r="L72" s="17" t="str">
        <f>IFERROR(INDEX(逆引き作成用!$C$2:$C$169,MATCH($B72&amp;"/"&amp;$C72,逆引き作成用!L$2:L$169,FALSE),1),"")</f>
        <v/>
      </c>
      <c r="M72" s="17" t="str">
        <f>IFERROR(INDEX(逆引き作成用!$C$2:$C$169,MATCH($B72&amp;"/"&amp;$C72,逆引き作成用!M$2:M$169,FALSE),1),"")</f>
        <v/>
      </c>
      <c r="N72" s="17" t="str">
        <f>IFERROR(INDEX(逆引き作成用!$C$2:$C$169,MATCH($B72&amp;"/"&amp;$C72,逆引き作成用!N$2:N$169,FALSE),1),"")</f>
        <v/>
      </c>
      <c r="O72" s="17" t="str">
        <f>IFERROR(INDEX(逆引き作成用!$C$2:$C$169,MATCH($B72&amp;"/"&amp;$C72,逆引き作成用!O$2:O$169,FALSE),1),"")</f>
        <v/>
      </c>
      <c r="P72" s="17" t="str">
        <f>IFERROR(INDEX(逆引き作成用!$C$2:$C$169,MATCH($B72&amp;"/"&amp;$C72,逆引き作成用!P$2:P$169,FALSE),1),"")</f>
        <v/>
      </c>
      <c r="Q72" s="17" t="str">
        <f>IFERROR(INDEX(逆引き作成用!$C$2:$C$169,MATCH($B72&amp;"/"&amp;$C72,逆引き作成用!Q$2:Q$169,FALSE),1),"")</f>
        <v/>
      </c>
      <c r="R72" s="17" t="str">
        <f>IFERROR(INDEX(逆引き作成用!$C$2:$C$169,MATCH($B72&amp;"/"&amp;$C72,逆引き作成用!R$2:R$169,FALSE),1),"")</f>
        <v/>
      </c>
      <c r="S72" s="17" t="str">
        <f>IFERROR(INDEX(逆引き作成用!$C$2:$C$169,MATCH($B72&amp;"/"&amp;$C72,逆引き作成用!S$2:S$169,FALSE),1),"")</f>
        <v/>
      </c>
      <c r="T72" s="17" t="str">
        <f>IFERROR(INDEX(逆引き作成用!$C$2:$C$169,MATCH($B72&amp;"/"&amp;$C72,逆引き作成用!T$2:T$169,FALSE),1),"")</f>
        <v/>
      </c>
      <c r="U72" s="17" t="str">
        <f>IFERROR(INDEX(逆引き作成用!$C$2:$C$169,MATCH($B72&amp;"/"&amp;$C72,逆引き作成用!U$2:U$169,FALSE),1),"")</f>
        <v/>
      </c>
      <c r="V72" s="17" t="str">
        <f>IFERROR(INDEX(逆引き作成用!$C$2:$C$169,MATCH($B72&amp;"/"&amp;$C72,逆引き作成用!V$2:V$169,FALSE),1),"")</f>
        <v/>
      </c>
      <c r="W72" s="17" t="str">
        <f>IFERROR(INDEX(逆引き作成用!$C$2:$C$169,MATCH($B72&amp;"/"&amp;$C72,逆引き作成用!W$2:W$169,FALSE),1),"")</f>
        <v/>
      </c>
      <c r="X72" s="17" t="str">
        <f>IFERROR(INDEX(逆引き作成用!$C$2:$C$169,MATCH($B72&amp;"/"&amp;$C72,逆引き作成用!X$2:X$169,FALSE),1),"")</f>
        <v/>
      </c>
      <c r="Y72" s="17" t="str">
        <f>IFERROR(INDEX(逆引き作成用!$C$2:$C$169,MATCH($B72&amp;"/"&amp;$C72,逆引き作成用!Y$2:Y$169,FALSE),1),"")</f>
        <v/>
      </c>
      <c r="Z72" s="17" t="str">
        <f>IFERROR(INDEX(逆引き作成用!$C$2:$C$169,MATCH($B72&amp;"/"&amp;$C72,逆引き作成用!Z$2:Z$169,FALSE),1),"")</f>
        <v/>
      </c>
      <c r="AA72" s="17" t="str">
        <f>IFERROR(INDEX(逆引き作成用!$C$2:$C$169,MATCH($B72&amp;"/"&amp;$C72,逆引き作成用!AA$2:AA$169,FALSE),1),"")</f>
        <v/>
      </c>
      <c r="AB72" s="17" t="str">
        <f>IFERROR(INDEX(逆引き作成用!$C$2:$C$169,MATCH($B72&amp;"/"&amp;$C72,逆引き作成用!AB$2:AB$169,FALSE),1),"")</f>
        <v/>
      </c>
      <c r="AC72" s="17" t="str">
        <f>IFERROR(INDEX(逆引き作成用!$C$2:$C$169,MATCH($B72&amp;"/"&amp;$C72,逆引き作成用!AC$2:AC$169,FALSE),1),"")</f>
        <v/>
      </c>
      <c r="AD72" s="17" t="str">
        <f>IFERROR(INDEX(逆引き作成用!$C$2:$C$169,MATCH($B72&amp;"/"&amp;$C72,逆引き作成用!AD$2:AD$169,FALSE),1),"")</f>
        <v/>
      </c>
      <c r="AE72" s="17" t="str">
        <f>IFERROR(INDEX(逆引き作成用!$C$2:$C$169,MATCH($B72&amp;"/"&amp;$C72,逆引き作成用!AE$2:AE$169,FALSE),1),"")</f>
        <v/>
      </c>
      <c r="AF72" s="17" t="str">
        <f>IFERROR(INDEX(逆引き作成用!$C$2:$C$169,MATCH($B72&amp;"/"&amp;$C72,逆引き作成用!AF$2:AF$169,FALSE),1),"")</f>
        <v/>
      </c>
      <c r="AG72" s="17" t="str">
        <f>IFERROR(INDEX(逆引き作成用!$C$2:$C$169,MATCH($B72&amp;"/"&amp;$C72,逆引き作成用!AG$2:AG$169,FALSE),1),"")</f>
        <v/>
      </c>
      <c r="AH72" s="17" t="str">
        <f>IFERROR(INDEX(逆引き作成用!$C$2:$C$169,MATCH($B72&amp;"/"&amp;$C72,逆引き作成用!AH$2:AH$169,FALSE),1),"")</f>
        <v/>
      </c>
      <c r="AI72" s="17" t="str">
        <f>IFERROR(INDEX(逆引き作成用!$C$2:$C$169,MATCH($B72&amp;"/"&amp;$C72,逆引き作成用!AI$2:AI$169,FALSE),1),"")</f>
        <v/>
      </c>
      <c r="AJ72" s="17" t="str">
        <f>IFERROR(INDEX(逆引き作成用!$C$2:$C$169,MATCH($B72&amp;"/"&amp;$C72,逆引き作成用!AJ$2:AJ$169,FALSE),1),"")</f>
        <v/>
      </c>
      <c r="AK72" s="17" t="str">
        <f>IFERROR(INDEX(逆引き作成用!$C$2:$C$169,MATCH($B72&amp;"/"&amp;$C72,逆引き作成用!AK$2:AK$169,FALSE),1),"")</f>
        <v/>
      </c>
      <c r="AL72" s="17" t="str">
        <f>IFERROR(INDEX(逆引き作成用!$C$2:$C$169,MATCH($B72&amp;"/"&amp;$C72,逆引き作成用!AL$2:AL$169,FALSE),1),"")</f>
        <v/>
      </c>
      <c r="AM72" s="17" t="str">
        <f>IFERROR(INDEX(逆引き作成用!$C$2:$C$169,MATCH($B72&amp;"/"&amp;$C72,逆引き作成用!AM$2:AM$169,FALSE),1),"")</f>
        <v/>
      </c>
      <c r="AN72" s="17" t="str">
        <f>IFERROR(INDEX(逆引き作成用!$C$2:$C$169,MATCH($B72&amp;"/"&amp;$C72,逆引き作成用!AN$2:AN$169,FALSE),1),"")</f>
        <v/>
      </c>
      <c r="AO72" s="17" t="str">
        <f>IFERROR(INDEX(逆引き作成用!$C$2:$C$169,MATCH($B72&amp;"/"&amp;$C72,逆引き作成用!AO$2:AO$169,FALSE),1),"")</f>
        <v/>
      </c>
      <c r="AP72" s="17" t="str">
        <f>IFERROR(INDEX(逆引き作成用!$C$2:$C$169,MATCH($B72&amp;"/"&amp;$C72,逆引き作成用!AP$2:AP$169,FALSE),1),"")</f>
        <v/>
      </c>
      <c r="AQ72" s="17" t="str">
        <f>IFERROR(INDEX(逆引き作成用!$C$2:$C$169,MATCH($B72&amp;"/"&amp;$C72,逆引き作成用!AQ$2:AQ$169,FALSE),1),"")</f>
        <v/>
      </c>
      <c r="AR72" s="17" t="str">
        <f>IFERROR(INDEX(逆引き作成用!$C$2:$C$169,MATCH($B72&amp;"/"&amp;$C72,逆引き作成用!AR$2:AR$169,FALSE),1),"")</f>
        <v/>
      </c>
      <c r="AS72" s="17" t="str">
        <f>IFERROR(INDEX(逆引き作成用!$C$2:$C$169,MATCH($B72&amp;"/"&amp;$C72,逆引き作成用!AS$2:AS$169,FALSE),1),"")</f>
        <v/>
      </c>
      <c r="AT72" s="17" t="str">
        <f>IFERROR(INDEX(逆引き作成用!$C$2:$C$169,MATCH($B72&amp;"/"&amp;$C72,逆引き作成用!AT$2:AT$169,FALSE),1),"")</f>
        <v/>
      </c>
      <c r="AU72" s="17" t="str">
        <f>IFERROR(INDEX(逆引き作成用!$C$2:$C$169,MATCH($B72&amp;"/"&amp;$C72,逆引き作成用!AU$2:AU$169,FALSE),1),"")</f>
        <v/>
      </c>
      <c r="AV72" s="17" t="str">
        <f>IFERROR(INDEX(逆引き作成用!$C$2:$C$169,MATCH($B72&amp;"/"&amp;$C72,逆引き作成用!AV$2:AV$169,FALSE),1),"")</f>
        <v/>
      </c>
      <c r="AW72" s="17" t="str">
        <f>IFERROR(INDEX(逆引き作成用!$C$2:$C$169,MATCH($B72&amp;"/"&amp;$C72,逆引き作成用!AW$2:AW$169,FALSE),1),"")</f>
        <v/>
      </c>
      <c r="AX72" s="17" t="str">
        <f>IFERROR(INDEX(逆引き作成用!$C$2:$C$169,MATCH($B72&amp;"/"&amp;$C72,逆引き作成用!AX$2:AX$169,FALSE),1),"")</f>
        <v/>
      </c>
      <c r="AY72" s="17" t="str">
        <f>IFERROR(INDEX(逆引き作成用!$C$2:$C$169,MATCH($B72&amp;"/"&amp;$C72,逆引き作成用!AY$2:AY$169,FALSE),1),"")</f>
        <v/>
      </c>
      <c r="AZ72" s="17" t="str">
        <f>IFERROR(INDEX(逆引き作成用!$C$2:$C$169,MATCH($B72&amp;"/"&amp;$C72,逆引き作成用!AZ$2:AZ$169,FALSE),1),"")</f>
        <v/>
      </c>
      <c r="BA72" s="17" t="str">
        <f>IFERROR(INDEX(逆引き作成用!$C$2:$C$169,MATCH($B72&amp;"/"&amp;$C72,逆引き作成用!BA$2:BA$169,FALSE),1),"")</f>
        <v/>
      </c>
    </row>
    <row r="73" spans="1:53">
      <c r="A73" s="17" t="str">
        <f>IFERROR(INDEX(役職一覧!$B$2:$B$31,MATCH(B73,役職一覧!$C$2:$C$31,FALSE),1),"")</f>
        <v/>
      </c>
      <c r="B73" s="17" t="str">
        <f>IFERROR(IF(C73=1,INDEX(役職一覧!$C$2:$C$31,MATCH(逆引き!B72,役職一覧!$C$2:$C$31,FALSE)+1,1)&amp;"",B72),"")</f>
        <v/>
      </c>
      <c r="C73" s="17" t="str">
        <f>IFERROR(IF(VLOOKUP(B72,役職一覧!$C$2:$E$31,3,FALSE)=C72,1,C72+1),"")</f>
        <v/>
      </c>
      <c r="D73" s="17" t="str">
        <f>IFERROR(INDEX(逆引き作成用!$C$2:$C$169,MATCH($B73&amp;"/"&amp;$C73,逆引き作成用!D$2:D$169,FALSE),1),"")</f>
        <v/>
      </c>
      <c r="E73" s="17" t="str">
        <f>IFERROR(INDEX(逆引き作成用!$C$2:$C$169,MATCH($B73&amp;"/"&amp;$C73,逆引き作成用!E$2:E$169,FALSE),1),"")</f>
        <v/>
      </c>
      <c r="F73" s="17" t="str">
        <f>IFERROR(INDEX(逆引き作成用!$C$2:$C$169,MATCH($B73&amp;"/"&amp;$C73,逆引き作成用!F$2:F$169,FALSE),1),"")</f>
        <v/>
      </c>
      <c r="G73" s="17" t="str">
        <f>IFERROR(INDEX(逆引き作成用!$C$2:$C$169,MATCH($B73&amp;"/"&amp;$C73,逆引き作成用!G$2:G$169,FALSE),1),"")</f>
        <v/>
      </c>
      <c r="H73" s="17" t="str">
        <f>IFERROR(INDEX(逆引き作成用!$C$2:$C$169,MATCH($B73&amp;"/"&amp;$C73,逆引き作成用!H$2:H$169,FALSE),1),"")</f>
        <v/>
      </c>
      <c r="I73" s="17" t="str">
        <f>IFERROR(INDEX(逆引き作成用!$C$2:$C$169,MATCH($B73&amp;"/"&amp;$C73,逆引き作成用!I$2:I$169,FALSE),1),"")</f>
        <v/>
      </c>
      <c r="J73" s="17" t="str">
        <f>IFERROR(INDEX(逆引き作成用!$C$2:$C$169,MATCH($B73&amp;"/"&amp;$C73,逆引き作成用!J$2:J$169,FALSE),1),"")</f>
        <v/>
      </c>
      <c r="K73" s="17" t="str">
        <f>IFERROR(INDEX(逆引き作成用!$C$2:$C$169,MATCH($B73&amp;"/"&amp;$C73,逆引き作成用!K$2:K$169,FALSE),1),"")</f>
        <v/>
      </c>
      <c r="L73" s="17" t="str">
        <f>IFERROR(INDEX(逆引き作成用!$C$2:$C$169,MATCH($B73&amp;"/"&amp;$C73,逆引き作成用!L$2:L$169,FALSE),1),"")</f>
        <v/>
      </c>
      <c r="M73" s="17" t="str">
        <f>IFERROR(INDEX(逆引き作成用!$C$2:$C$169,MATCH($B73&amp;"/"&amp;$C73,逆引き作成用!M$2:M$169,FALSE),1),"")</f>
        <v/>
      </c>
      <c r="N73" s="17" t="str">
        <f>IFERROR(INDEX(逆引き作成用!$C$2:$C$169,MATCH($B73&amp;"/"&amp;$C73,逆引き作成用!N$2:N$169,FALSE),1),"")</f>
        <v/>
      </c>
      <c r="O73" s="17" t="str">
        <f>IFERROR(INDEX(逆引き作成用!$C$2:$C$169,MATCH($B73&amp;"/"&amp;$C73,逆引き作成用!O$2:O$169,FALSE),1),"")</f>
        <v/>
      </c>
      <c r="P73" s="17" t="str">
        <f>IFERROR(INDEX(逆引き作成用!$C$2:$C$169,MATCH($B73&amp;"/"&amp;$C73,逆引き作成用!P$2:P$169,FALSE),1),"")</f>
        <v/>
      </c>
      <c r="Q73" s="17" t="str">
        <f>IFERROR(INDEX(逆引き作成用!$C$2:$C$169,MATCH($B73&amp;"/"&amp;$C73,逆引き作成用!Q$2:Q$169,FALSE),1),"")</f>
        <v/>
      </c>
      <c r="R73" s="17" t="str">
        <f>IFERROR(INDEX(逆引き作成用!$C$2:$C$169,MATCH($B73&amp;"/"&amp;$C73,逆引き作成用!R$2:R$169,FALSE),1),"")</f>
        <v/>
      </c>
      <c r="S73" s="17" t="str">
        <f>IFERROR(INDEX(逆引き作成用!$C$2:$C$169,MATCH($B73&amp;"/"&amp;$C73,逆引き作成用!S$2:S$169,FALSE),1),"")</f>
        <v/>
      </c>
      <c r="T73" s="17" t="str">
        <f>IFERROR(INDEX(逆引き作成用!$C$2:$C$169,MATCH($B73&amp;"/"&amp;$C73,逆引き作成用!T$2:T$169,FALSE),1),"")</f>
        <v/>
      </c>
      <c r="U73" s="17" t="str">
        <f>IFERROR(INDEX(逆引き作成用!$C$2:$C$169,MATCH($B73&amp;"/"&amp;$C73,逆引き作成用!U$2:U$169,FALSE),1),"")</f>
        <v/>
      </c>
      <c r="V73" s="17" t="str">
        <f>IFERROR(INDEX(逆引き作成用!$C$2:$C$169,MATCH($B73&amp;"/"&amp;$C73,逆引き作成用!V$2:V$169,FALSE),1),"")</f>
        <v/>
      </c>
      <c r="W73" s="17" t="str">
        <f>IFERROR(INDEX(逆引き作成用!$C$2:$C$169,MATCH($B73&amp;"/"&amp;$C73,逆引き作成用!W$2:W$169,FALSE),1),"")</f>
        <v/>
      </c>
      <c r="X73" s="17" t="str">
        <f>IFERROR(INDEX(逆引き作成用!$C$2:$C$169,MATCH($B73&amp;"/"&amp;$C73,逆引き作成用!X$2:X$169,FALSE),1),"")</f>
        <v/>
      </c>
      <c r="Y73" s="17" t="str">
        <f>IFERROR(INDEX(逆引き作成用!$C$2:$C$169,MATCH($B73&amp;"/"&amp;$C73,逆引き作成用!Y$2:Y$169,FALSE),1),"")</f>
        <v/>
      </c>
      <c r="Z73" s="17" t="str">
        <f>IFERROR(INDEX(逆引き作成用!$C$2:$C$169,MATCH($B73&amp;"/"&amp;$C73,逆引き作成用!Z$2:Z$169,FALSE),1),"")</f>
        <v/>
      </c>
      <c r="AA73" s="17" t="str">
        <f>IFERROR(INDEX(逆引き作成用!$C$2:$C$169,MATCH($B73&amp;"/"&amp;$C73,逆引き作成用!AA$2:AA$169,FALSE),1),"")</f>
        <v/>
      </c>
      <c r="AB73" s="17" t="str">
        <f>IFERROR(INDEX(逆引き作成用!$C$2:$C$169,MATCH($B73&amp;"/"&amp;$C73,逆引き作成用!AB$2:AB$169,FALSE),1),"")</f>
        <v/>
      </c>
      <c r="AC73" s="17" t="str">
        <f>IFERROR(INDEX(逆引き作成用!$C$2:$C$169,MATCH($B73&amp;"/"&amp;$C73,逆引き作成用!AC$2:AC$169,FALSE),1),"")</f>
        <v/>
      </c>
      <c r="AD73" s="17" t="str">
        <f>IFERROR(INDEX(逆引き作成用!$C$2:$C$169,MATCH($B73&amp;"/"&amp;$C73,逆引き作成用!AD$2:AD$169,FALSE),1),"")</f>
        <v/>
      </c>
      <c r="AE73" s="17" t="str">
        <f>IFERROR(INDEX(逆引き作成用!$C$2:$C$169,MATCH($B73&amp;"/"&amp;$C73,逆引き作成用!AE$2:AE$169,FALSE),1),"")</f>
        <v/>
      </c>
      <c r="AF73" s="17" t="str">
        <f>IFERROR(INDEX(逆引き作成用!$C$2:$C$169,MATCH($B73&amp;"/"&amp;$C73,逆引き作成用!AF$2:AF$169,FALSE),1),"")</f>
        <v/>
      </c>
      <c r="AG73" s="17" t="str">
        <f>IFERROR(INDEX(逆引き作成用!$C$2:$C$169,MATCH($B73&amp;"/"&amp;$C73,逆引き作成用!AG$2:AG$169,FALSE),1),"")</f>
        <v/>
      </c>
      <c r="AH73" s="17" t="str">
        <f>IFERROR(INDEX(逆引き作成用!$C$2:$C$169,MATCH($B73&amp;"/"&amp;$C73,逆引き作成用!AH$2:AH$169,FALSE),1),"")</f>
        <v/>
      </c>
      <c r="AI73" s="17" t="str">
        <f>IFERROR(INDEX(逆引き作成用!$C$2:$C$169,MATCH($B73&amp;"/"&amp;$C73,逆引き作成用!AI$2:AI$169,FALSE),1),"")</f>
        <v/>
      </c>
      <c r="AJ73" s="17" t="str">
        <f>IFERROR(INDEX(逆引き作成用!$C$2:$C$169,MATCH($B73&amp;"/"&amp;$C73,逆引き作成用!AJ$2:AJ$169,FALSE),1),"")</f>
        <v/>
      </c>
      <c r="AK73" s="17" t="str">
        <f>IFERROR(INDEX(逆引き作成用!$C$2:$C$169,MATCH($B73&amp;"/"&amp;$C73,逆引き作成用!AK$2:AK$169,FALSE),1),"")</f>
        <v/>
      </c>
      <c r="AL73" s="17" t="str">
        <f>IFERROR(INDEX(逆引き作成用!$C$2:$C$169,MATCH($B73&amp;"/"&amp;$C73,逆引き作成用!AL$2:AL$169,FALSE),1),"")</f>
        <v/>
      </c>
      <c r="AM73" s="17" t="str">
        <f>IFERROR(INDEX(逆引き作成用!$C$2:$C$169,MATCH($B73&amp;"/"&amp;$C73,逆引き作成用!AM$2:AM$169,FALSE),1),"")</f>
        <v/>
      </c>
      <c r="AN73" s="17" t="str">
        <f>IFERROR(INDEX(逆引き作成用!$C$2:$C$169,MATCH($B73&amp;"/"&amp;$C73,逆引き作成用!AN$2:AN$169,FALSE),1),"")</f>
        <v/>
      </c>
      <c r="AO73" s="17" t="str">
        <f>IFERROR(INDEX(逆引き作成用!$C$2:$C$169,MATCH($B73&amp;"/"&amp;$C73,逆引き作成用!AO$2:AO$169,FALSE),1),"")</f>
        <v/>
      </c>
      <c r="AP73" s="17" t="str">
        <f>IFERROR(INDEX(逆引き作成用!$C$2:$C$169,MATCH($B73&amp;"/"&amp;$C73,逆引き作成用!AP$2:AP$169,FALSE),1),"")</f>
        <v/>
      </c>
      <c r="AQ73" s="17" t="str">
        <f>IFERROR(INDEX(逆引き作成用!$C$2:$C$169,MATCH($B73&amp;"/"&amp;$C73,逆引き作成用!AQ$2:AQ$169,FALSE),1),"")</f>
        <v/>
      </c>
      <c r="AR73" s="17" t="str">
        <f>IFERROR(INDEX(逆引き作成用!$C$2:$C$169,MATCH($B73&amp;"/"&amp;$C73,逆引き作成用!AR$2:AR$169,FALSE),1),"")</f>
        <v/>
      </c>
      <c r="AS73" s="17" t="str">
        <f>IFERROR(INDEX(逆引き作成用!$C$2:$C$169,MATCH($B73&amp;"/"&amp;$C73,逆引き作成用!AS$2:AS$169,FALSE),1),"")</f>
        <v/>
      </c>
      <c r="AT73" s="17" t="str">
        <f>IFERROR(INDEX(逆引き作成用!$C$2:$C$169,MATCH($B73&amp;"/"&amp;$C73,逆引き作成用!AT$2:AT$169,FALSE),1),"")</f>
        <v/>
      </c>
      <c r="AU73" s="17" t="str">
        <f>IFERROR(INDEX(逆引き作成用!$C$2:$C$169,MATCH($B73&amp;"/"&amp;$C73,逆引き作成用!AU$2:AU$169,FALSE),1),"")</f>
        <v/>
      </c>
      <c r="AV73" s="17" t="str">
        <f>IFERROR(INDEX(逆引き作成用!$C$2:$C$169,MATCH($B73&amp;"/"&amp;$C73,逆引き作成用!AV$2:AV$169,FALSE),1),"")</f>
        <v/>
      </c>
      <c r="AW73" s="17" t="str">
        <f>IFERROR(INDEX(逆引き作成用!$C$2:$C$169,MATCH($B73&amp;"/"&amp;$C73,逆引き作成用!AW$2:AW$169,FALSE),1),"")</f>
        <v/>
      </c>
      <c r="AX73" s="17" t="str">
        <f>IFERROR(INDEX(逆引き作成用!$C$2:$C$169,MATCH($B73&amp;"/"&amp;$C73,逆引き作成用!AX$2:AX$169,FALSE),1),"")</f>
        <v/>
      </c>
      <c r="AY73" s="17" t="str">
        <f>IFERROR(INDEX(逆引き作成用!$C$2:$C$169,MATCH($B73&amp;"/"&amp;$C73,逆引き作成用!AY$2:AY$169,FALSE),1),"")</f>
        <v/>
      </c>
      <c r="AZ73" s="17" t="str">
        <f>IFERROR(INDEX(逆引き作成用!$C$2:$C$169,MATCH($B73&amp;"/"&amp;$C73,逆引き作成用!AZ$2:AZ$169,FALSE),1),"")</f>
        <v/>
      </c>
      <c r="BA73" s="17" t="str">
        <f>IFERROR(INDEX(逆引き作成用!$C$2:$C$169,MATCH($B73&amp;"/"&amp;$C73,逆引き作成用!BA$2:BA$169,FALSE),1),"")</f>
        <v/>
      </c>
    </row>
    <row r="74" spans="1:53">
      <c r="A74" s="17" t="str">
        <f>IFERROR(INDEX(役職一覧!$B$2:$B$31,MATCH(B74,役職一覧!$C$2:$C$31,FALSE),1),"")</f>
        <v/>
      </c>
      <c r="B74" s="17" t="str">
        <f>IFERROR(IF(C74=1,INDEX(役職一覧!$C$2:$C$31,MATCH(逆引き!B73,役職一覧!$C$2:$C$31,FALSE)+1,1)&amp;"",B73),"")</f>
        <v/>
      </c>
      <c r="C74" s="17" t="str">
        <f>IFERROR(IF(VLOOKUP(B73,役職一覧!$C$2:$E$31,3,FALSE)=C73,1,C73+1),"")</f>
        <v/>
      </c>
      <c r="D74" s="17" t="str">
        <f>IFERROR(INDEX(逆引き作成用!$C$2:$C$169,MATCH($B74&amp;"/"&amp;$C74,逆引き作成用!D$2:D$169,FALSE),1),"")</f>
        <v/>
      </c>
      <c r="E74" s="17" t="str">
        <f>IFERROR(INDEX(逆引き作成用!$C$2:$C$169,MATCH($B74&amp;"/"&amp;$C74,逆引き作成用!E$2:E$169,FALSE),1),"")</f>
        <v/>
      </c>
      <c r="F74" s="17" t="str">
        <f>IFERROR(INDEX(逆引き作成用!$C$2:$C$169,MATCH($B74&amp;"/"&amp;$C74,逆引き作成用!F$2:F$169,FALSE),1),"")</f>
        <v/>
      </c>
      <c r="G74" s="17" t="str">
        <f>IFERROR(INDEX(逆引き作成用!$C$2:$C$169,MATCH($B74&amp;"/"&amp;$C74,逆引き作成用!G$2:G$169,FALSE),1),"")</f>
        <v/>
      </c>
      <c r="H74" s="17" t="str">
        <f>IFERROR(INDEX(逆引き作成用!$C$2:$C$169,MATCH($B74&amp;"/"&amp;$C74,逆引き作成用!H$2:H$169,FALSE),1),"")</f>
        <v/>
      </c>
      <c r="I74" s="17" t="str">
        <f>IFERROR(INDEX(逆引き作成用!$C$2:$C$169,MATCH($B74&amp;"/"&amp;$C74,逆引き作成用!I$2:I$169,FALSE),1),"")</f>
        <v/>
      </c>
      <c r="J74" s="17" t="str">
        <f>IFERROR(INDEX(逆引き作成用!$C$2:$C$169,MATCH($B74&amp;"/"&amp;$C74,逆引き作成用!J$2:J$169,FALSE),1),"")</f>
        <v/>
      </c>
      <c r="K74" s="17" t="str">
        <f>IFERROR(INDEX(逆引き作成用!$C$2:$C$169,MATCH($B74&amp;"/"&amp;$C74,逆引き作成用!K$2:K$169,FALSE),1),"")</f>
        <v/>
      </c>
      <c r="L74" s="17" t="str">
        <f>IFERROR(INDEX(逆引き作成用!$C$2:$C$169,MATCH($B74&amp;"/"&amp;$C74,逆引き作成用!L$2:L$169,FALSE),1),"")</f>
        <v/>
      </c>
      <c r="M74" s="17" t="str">
        <f>IFERROR(INDEX(逆引き作成用!$C$2:$C$169,MATCH($B74&amp;"/"&amp;$C74,逆引き作成用!M$2:M$169,FALSE),1),"")</f>
        <v/>
      </c>
      <c r="N74" s="17" t="str">
        <f>IFERROR(INDEX(逆引き作成用!$C$2:$C$169,MATCH($B74&amp;"/"&amp;$C74,逆引き作成用!N$2:N$169,FALSE),1),"")</f>
        <v/>
      </c>
      <c r="O74" s="17" t="str">
        <f>IFERROR(INDEX(逆引き作成用!$C$2:$C$169,MATCH($B74&amp;"/"&amp;$C74,逆引き作成用!O$2:O$169,FALSE),1),"")</f>
        <v/>
      </c>
      <c r="P74" s="17" t="str">
        <f>IFERROR(INDEX(逆引き作成用!$C$2:$C$169,MATCH($B74&amp;"/"&amp;$C74,逆引き作成用!P$2:P$169,FALSE),1),"")</f>
        <v/>
      </c>
      <c r="Q74" s="17" t="str">
        <f>IFERROR(INDEX(逆引き作成用!$C$2:$C$169,MATCH($B74&amp;"/"&amp;$C74,逆引き作成用!Q$2:Q$169,FALSE),1),"")</f>
        <v/>
      </c>
      <c r="R74" s="17" t="str">
        <f>IFERROR(INDEX(逆引き作成用!$C$2:$C$169,MATCH($B74&amp;"/"&amp;$C74,逆引き作成用!R$2:R$169,FALSE),1),"")</f>
        <v/>
      </c>
      <c r="S74" s="17" t="str">
        <f>IFERROR(INDEX(逆引き作成用!$C$2:$C$169,MATCH($B74&amp;"/"&amp;$C74,逆引き作成用!S$2:S$169,FALSE),1),"")</f>
        <v/>
      </c>
      <c r="T74" s="17" t="str">
        <f>IFERROR(INDEX(逆引き作成用!$C$2:$C$169,MATCH($B74&amp;"/"&amp;$C74,逆引き作成用!T$2:T$169,FALSE),1),"")</f>
        <v/>
      </c>
      <c r="U74" s="17" t="str">
        <f>IFERROR(INDEX(逆引き作成用!$C$2:$C$169,MATCH($B74&amp;"/"&amp;$C74,逆引き作成用!U$2:U$169,FALSE),1),"")</f>
        <v/>
      </c>
      <c r="V74" s="17" t="str">
        <f>IFERROR(INDEX(逆引き作成用!$C$2:$C$169,MATCH($B74&amp;"/"&amp;$C74,逆引き作成用!V$2:V$169,FALSE),1),"")</f>
        <v/>
      </c>
      <c r="W74" s="17" t="str">
        <f>IFERROR(INDEX(逆引き作成用!$C$2:$C$169,MATCH($B74&amp;"/"&amp;$C74,逆引き作成用!W$2:W$169,FALSE),1),"")</f>
        <v/>
      </c>
      <c r="X74" s="17" t="str">
        <f>IFERROR(INDEX(逆引き作成用!$C$2:$C$169,MATCH($B74&amp;"/"&amp;$C74,逆引き作成用!X$2:X$169,FALSE),1),"")</f>
        <v/>
      </c>
      <c r="Y74" s="17" t="str">
        <f>IFERROR(INDEX(逆引き作成用!$C$2:$C$169,MATCH($B74&amp;"/"&amp;$C74,逆引き作成用!Y$2:Y$169,FALSE),1),"")</f>
        <v/>
      </c>
      <c r="Z74" s="17" t="str">
        <f>IFERROR(INDEX(逆引き作成用!$C$2:$C$169,MATCH($B74&amp;"/"&amp;$C74,逆引き作成用!Z$2:Z$169,FALSE),1),"")</f>
        <v/>
      </c>
      <c r="AA74" s="17" t="str">
        <f>IFERROR(INDEX(逆引き作成用!$C$2:$C$169,MATCH($B74&amp;"/"&amp;$C74,逆引き作成用!AA$2:AA$169,FALSE),1),"")</f>
        <v/>
      </c>
      <c r="AB74" s="17" t="str">
        <f>IFERROR(INDEX(逆引き作成用!$C$2:$C$169,MATCH($B74&amp;"/"&amp;$C74,逆引き作成用!AB$2:AB$169,FALSE),1),"")</f>
        <v/>
      </c>
      <c r="AC74" s="17" t="str">
        <f>IFERROR(INDEX(逆引き作成用!$C$2:$C$169,MATCH($B74&amp;"/"&amp;$C74,逆引き作成用!AC$2:AC$169,FALSE),1),"")</f>
        <v/>
      </c>
      <c r="AD74" s="17" t="str">
        <f>IFERROR(INDEX(逆引き作成用!$C$2:$C$169,MATCH($B74&amp;"/"&amp;$C74,逆引き作成用!AD$2:AD$169,FALSE),1),"")</f>
        <v/>
      </c>
      <c r="AE74" s="17" t="str">
        <f>IFERROR(INDEX(逆引き作成用!$C$2:$C$169,MATCH($B74&amp;"/"&amp;$C74,逆引き作成用!AE$2:AE$169,FALSE),1),"")</f>
        <v/>
      </c>
      <c r="AF74" s="17" t="str">
        <f>IFERROR(INDEX(逆引き作成用!$C$2:$C$169,MATCH($B74&amp;"/"&amp;$C74,逆引き作成用!AF$2:AF$169,FALSE),1),"")</f>
        <v/>
      </c>
      <c r="AG74" s="17" t="str">
        <f>IFERROR(INDEX(逆引き作成用!$C$2:$C$169,MATCH($B74&amp;"/"&amp;$C74,逆引き作成用!AG$2:AG$169,FALSE),1),"")</f>
        <v/>
      </c>
      <c r="AH74" s="17" t="str">
        <f>IFERROR(INDEX(逆引き作成用!$C$2:$C$169,MATCH($B74&amp;"/"&amp;$C74,逆引き作成用!AH$2:AH$169,FALSE),1),"")</f>
        <v/>
      </c>
      <c r="AI74" s="17" t="str">
        <f>IFERROR(INDEX(逆引き作成用!$C$2:$C$169,MATCH($B74&amp;"/"&amp;$C74,逆引き作成用!AI$2:AI$169,FALSE),1),"")</f>
        <v/>
      </c>
      <c r="AJ74" s="17" t="str">
        <f>IFERROR(INDEX(逆引き作成用!$C$2:$C$169,MATCH($B74&amp;"/"&amp;$C74,逆引き作成用!AJ$2:AJ$169,FALSE),1),"")</f>
        <v/>
      </c>
      <c r="AK74" s="17" t="str">
        <f>IFERROR(INDEX(逆引き作成用!$C$2:$C$169,MATCH($B74&amp;"/"&amp;$C74,逆引き作成用!AK$2:AK$169,FALSE),1),"")</f>
        <v/>
      </c>
      <c r="AL74" s="17" t="str">
        <f>IFERROR(INDEX(逆引き作成用!$C$2:$C$169,MATCH($B74&amp;"/"&amp;$C74,逆引き作成用!AL$2:AL$169,FALSE),1),"")</f>
        <v/>
      </c>
      <c r="AM74" s="17" t="str">
        <f>IFERROR(INDEX(逆引き作成用!$C$2:$C$169,MATCH($B74&amp;"/"&amp;$C74,逆引き作成用!AM$2:AM$169,FALSE),1),"")</f>
        <v/>
      </c>
      <c r="AN74" s="17" t="str">
        <f>IFERROR(INDEX(逆引き作成用!$C$2:$C$169,MATCH($B74&amp;"/"&amp;$C74,逆引き作成用!AN$2:AN$169,FALSE),1),"")</f>
        <v/>
      </c>
      <c r="AO74" s="17" t="str">
        <f>IFERROR(INDEX(逆引き作成用!$C$2:$C$169,MATCH($B74&amp;"/"&amp;$C74,逆引き作成用!AO$2:AO$169,FALSE),1),"")</f>
        <v/>
      </c>
      <c r="AP74" s="17" t="str">
        <f>IFERROR(INDEX(逆引き作成用!$C$2:$C$169,MATCH($B74&amp;"/"&amp;$C74,逆引き作成用!AP$2:AP$169,FALSE),1),"")</f>
        <v/>
      </c>
      <c r="AQ74" s="17" t="str">
        <f>IFERROR(INDEX(逆引き作成用!$C$2:$C$169,MATCH($B74&amp;"/"&amp;$C74,逆引き作成用!AQ$2:AQ$169,FALSE),1),"")</f>
        <v/>
      </c>
      <c r="AR74" s="17" t="str">
        <f>IFERROR(INDEX(逆引き作成用!$C$2:$C$169,MATCH($B74&amp;"/"&amp;$C74,逆引き作成用!AR$2:AR$169,FALSE),1),"")</f>
        <v/>
      </c>
      <c r="AS74" s="17" t="str">
        <f>IFERROR(INDEX(逆引き作成用!$C$2:$C$169,MATCH($B74&amp;"/"&amp;$C74,逆引き作成用!AS$2:AS$169,FALSE),1),"")</f>
        <v/>
      </c>
      <c r="AT74" s="17" t="str">
        <f>IFERROR(INDEX(逆引き作成用!$C$2:$C$169,MATCH($B74&amp;"/"&amp;$C74,逆引き作成用!AT$2:AT$169,FALSE),1),"")</f>
        <v/>
      </c>
      <c r="AU74" s="17" t="str">
        <f>IFERROR(INDEX(逆引き作成用!$C$2:$C$169,MATCH($B74&amp;"/"&amp;$C74,逆引き作成用!AU$2:AU$169,FALSE),1),"")</f>
        <v/>
      </c>
      <c r="AV74" s="17" t="str">
        <f>IFERROR(INDEX(逆引き作成用!$C$2:$C$169,MATCH($B74&amp;"/"&amp;$C74,逆引き作成用!AV$2:AV$169,FALSE),1),"")</f>
        <v/>
      </c>
      <c r="AW74" s="17" t="str">
        <f>IFERROR(INDEX(逆引き作成用!$C$2:$C$169,MATCH($B74&amp;"/"&amp;$C74,逆引き作成用!AW$2:AW$169,FALSE),1),"")</f>
        <v/>
      </c>
      <c r="AX74" s="17" t="str">
        <f>IFERROR(INDEX(逆引き作成用!$C$2:$C$169,MATCH($B74&amp;"/"&amp;$C74,逆引き作成用!AX$2:AX$169,FALSE),1),"")</f>
        <v/>
      </c>
      <c r="AY74" s="17" t="str">
        <f>IFERROR(INDEX(逆引き作成用!$C$2:$C$169,MATCH($B74&amp;"/"&amp;$C74,逆引き作成用!AY$2:AY$169,FALSE),1),"")</f>
        <v/>
      </c>
      <c r="AZ74" s="17" t="str">
        <f>IFERROR(INDEX(逆引き作成用!$C$2:$C$169,MATCH($B74&amp;"/"&amp;$C74,逆引き作成用!AZ$2:AZ$169,FALSE),1),"")</f>
        <v/>
      </c>
      <c r="BA74" s="17" t="str">
        <f>IFERROR(INDEX(逆引き作成用!$C$2:$C$169,MATCH($B74&amp;"/"&amp;$C74,逆引き作成用!BA$2:BA$169,FALSE),1),"")</f>
        <v/>
      </c>
    </row>
    <row r="75" spans="1:53">
      <c r="A75" s="17" t="str">
        <f>IFERROR(INDEX(役職一覧!$B$2:$B$31,MATCH(B75,役職一覧!$C$2:$C$31,FALSE),1),"")</f>
        <v/>
      </c>
      <c r="B75" s="17" t="str">
        <f>IFERROR(IF(C75=1,INDEX(役職一覧!$C$2:$C$31,MATCH(逆引き!B74,役職一覧!$C$2:$C$31,FALSE)+1,1)&amp;"",B74),"")</f>
        <v/>
      </c>
      <c r="C75" s="17" t="str">
        <f>IFERROR(IF(VLOOKUP(B74,役職一覧!$C$2:$E$31,3,FALSE)=C74,1,C74+1),"")</f>
        <v/>
      </c>
      <c r="D75" s="17" t="str">
        <f>IFERROR(INDEX(逆引き作成用!$C$2:$C$169,MATCH($B75&amp;"/"&amp;$C75,逆引き作成用!D$2:D$169,FALSE),1),"")</f>
        <v/>
      </c>
      <c r="E75" s="17" t="str">
        <f>IFERROR(INDEX(逆引き作成用!$C$2:$C$169,MATCH($B75&amp;"/"&amp;$C75,逆引き作成用!E$2:E$169,FALSE),1),"")</f>
        <v/>
      </c>
      <c r="F75" s="17" t="str">
        <f>IFERROR(INDEX(逆引き作成用!$C$2:$C$169,MATCH($B75&amp;"/"&amp;$C75,逆引き作成用!F$2:F$169,FALSE),1),"")</f>
        <v/>
      </c>
      <c r="G75" s="17" t="str">
        <f>IFERROR(INDEX(逆引き作成用!$C$2:$C$169,MATCH($B75&amp;"/"&amp;$C75,逆引き作成用!G$2:G$169,FALSE),1),"")</f>
        <v/>
      </c>
      <c r="H75" s="17" t="str">
        <f>IFERROR(INDEX(逆引き作成用!$C$2:$C$169,MATCH($B75&amp;"/"&amp;$C75,逆引き作成用!H$2:H$169,FALSE),1),"")</f>
        <v/>
      </c>
      <c r="I75" s="17" t="str">
        <f>IFERROR(INDEX(逆引き作成用!$C$2:$C$169,MATCH($B75&amp;"/"&amp;$C75,逆引き作成用!I$2:I$169,FALSE),1),"")</f>
        <v/>
      </c>
      <c r="J75" s="17" t="str">
        <f>IFERROR(INDEX(逆引き作成用!$C$2:$C$169,MATCH($B75&amp;"/"&amp;$C75,逆引き作成用!J$2:J$169,FALSE),1),"")</f>
        <v/>
      </c>
      <c r="K75" s="17" t="str">
        <f>IFERROR(INDEX(逆引き作成用!$C$2:$C$169,MATCH($B75&amp;"/"&amp;$C75,逆引き作成用!K$2:K$169,FALSE),1),"")</f>
        <v/>
      </c>
      <c r="L75" s="17" t="str">
        <f>IFERROR(INDEX(逆引き作成用!$C$2:$C$169,MATCH($B75&amp;"/"&amp;$C75,逆引き作成用!L$2:L$169,FALSE),1),"")</f>
        <v/>
      </c>
      <c r="M75" s="17" t="str">
        <f>IFERROR(INDEX(逆引き作成用!$C$2:$C$169,MATCH($B75&amp;"/"&amp;$C75,逆引き作成用!M$2:M$169,FALSE),1),"")</f>
        <v/>
      </c>
      <c r="N75" s="17" t="str">
        <f>IFERROR(INDEX(逆引き作成用!$C$2:$C$169,MATCH($B75&amp;"/"&amp;$C75,逆引き作成用!N$2:N$169,FALSE),1),"")</f>
        <v/>
      </c>
      <c r="O75" s="17" t="str">
        <f>IFERROR(INDEX(逆引き作成用!$C$2:$C$169,MATCH($B75&amp;"/"&amp;$C75,逆引き作成用!O$2:O$169,FALSE),1),"")</f>
        <v/>
      </c>
      <c r="P75" s="17" t="str">
        <f>IFERROR(INDEX(逆引き作成用!$C$2:$C$169,MATCH($B75&amp;"/"&amp;$C75,逆引き作成用!P$2:P$169,FALSE),1),"")</f>
        <v/>
      </c>
      <c r="Q75" s="17" t="str">
        <f>IFERROR(INDEX(逆引き作成用!$C$2:$C$169,MATCH($B75&amp;"/"&amp;$C75,逆引き作成用!Q$2:Q$169,FALSE),1),"")</f>
        <v/>
      </c>
      <c r="R75" s="17" t="str">
        <f>IFERROR(INDEX(逆引き作成用!$C$2:$C$169,MATCH($B75&amp;"/"&amp;$C75,逆引き作成用!R$2:R$169,FALSE),1),"")</f>
        <v/>
      </c>
      <c r="S75" s="17" t="str">
        <f>IFERROR(INDEX(逆引き作成用!$C$2:$C$169,MATCH($B75&amp;"/"&amp;$C75,逆引き作成用!S$2:S$169,FALSE),1),"")</f>
        <v/>
      </c>
      <c r="T75" s="17" t="str">
        <f>IFERROR(INDEX(逆引き作成用!$C$2:$C$169,MATCH($B75&amp;"/"&amp;$C75,逆引き作成用!T$2:T$169,FALSE),1),"")</f>
        <v/>
      </c>
      <c r="U75" s="17" t="str">
        <f>IFERROR(INDEX(逆引き作成用!$C$2:$C$169,MATCH($B75&amp;"/"&amp;$C75,逆引き作成用!U$2:U$169,FALSE),1),"")</f>
        <v/>
      </c>
      <c r="V75" s="17" t="str">
        <f>IFERROR(INDEX(逆引き作成用!$C$2:$C$169,MATCH($B75&amp;"/"&amp;$C75,逆引き作成用!V$2:V$169,FALSE),1),"")</f>
        <v/>
      </c>
      <c r="W75" s="17" t="str">
        <f>IFERROR(INDEX(逆引き作成用!$C$2:$C$169,MATCH($B75&amp;"/"&amp;$C75,逆引き作成用!W$2:W$169,FALSE),1),"")</f>
        <v/>
      </c>
      <c r="X75" s="17" t="str">
        <f>IFERROR(INDEX(逆引き作成用!$C$2:$C$169,MATCH($B75&amp;"/"&amp;$C75,逆引き作成用!X$2:X$169,FALSE),1),"")</f>
        <v/>
      </c>
      <c r="Y75" s="17" t="str">
        <f>IFERROR(INDEX(逆引き作成用!$C$2:$C$169,MATCH($B75&amp;"/"&amp;$C75,逆引き作成用!Y$2:Y$169,FALSE),1),"")</f>
        <v/>
      </c>
      <c r="Z75" s="17" t="str">
        <f>IFERROR(INDEX(逆引き作成用!$C$2:$C$169,MATCH($B75&amp;"/"&amp;$C75,逆引き作成用!Z$2:Z$169,FALSE),1),"")</f>
        <v/>
      </c>
      <c r="AA75" s="17" t="str">
        <f>IFERROR(INDEX(逆引き作成用!$C$2:$C$169,MATCH($B75&amp;"/"&amp;$C75,逆引き作成用!AA$2:AA$169,FALSE),1),"")</f>
        <v/>
      </c>
      <c r="AB75" s="17" t="str">
        <f>IFERROR(INDEX(逆引き作成用!$C$2:$C$169,MATCH($B75&amp;"/"&amp;$C75,逆引き作成用!AB$2:AB$169,FALSE),1),"")</f>
        <v/>
      </c>
      <c r="AC75" s="17" t="str">
        <f>IFERROR(INDEX(逆引き作成用!$C$2:$C$169,MATCH($B75&amp;"/"&amp;$C75,逆引き作成用!AC$2:AC$169,FALSE),1),"")</f>
        <v/>
      </c>
      <c r="AD75" s="17" t="str">
        <f>IFERROR(INDEX(逆引き作成用!$C$2:$C$169,MATCH($B75&amp;"/"&amp;$C75,逆引き作成用!AD$2:AD$169,FALSE),1),"")</f>
        <v/>
      </c>
      <c r="AE75" s="17" t="str">
        <f>IFERROR(INDEX(逆引き作成用!$C$2:$C$169,MATCH($B75&amp;"/"&amp;$C75,逆引き作成用!AE$2:AE$169,FALSE),1),"")</f>
        <v/>
      </c>
      <c r="AF75" s="17" t="str">
        <f>IFERROR(INDEX(逆引き作成用!$C$2:$C$169,MATCH($B75&amp;"/"&amp;$C75,逆引き作成用!AF$2:AF$169,FALSE),1),"")</f>
        <v/>
      </c>
      <c r="AG75" s="17" t="str">
        <f>IFERROR(INDEX(逆引き作成用!$C$2:$C$169,MATCH($B75&amp;"/"&amp;$C75,逆引き作成用!AG$2:AG$169,FALSE),1),"")</f>
        <v/>
      </c>
      <c r="AH75" s="17" t="str">
        <f>IFERROR(INDEX(逆引き作成用!$C$2:$C$169,MATCH($B75&amp;"/"&amp;$C75,逆引き作成用!AH$2:AH$169,FALSE),1),"")</f>
        <v/>
      </c>
      <c r="AI75" s="17" t="str">
        <f>IFERROR(INDEX(逆引き作成用!$C$2:$C$169,MATCH($B75&amp;"/"&amp;$C75,逆引き作成用!AI$2:AI$169,FALSE),1),"")</f>
        <v/>
      </c>
      <c r="AJ75" s="17" t="str">
        <f>IFERROR(INDEX(逆引き作成用!$C$2:$C$169,MATCH($B75&amp;"/"&amp;$C75,逆引き作成用!AJ$2:AJ$169,FALSE),1),"")</f>
        <v/>
      </c>
      <c r="AK75" s="17" t="str">
        <f>IFERROR(INDEX(逆引き作成用!$C$2:$C$169,MATCH($B75&amp;"/"&amp;$C75,逆引き作成用!AK$2:AK$169,FALSE),1),"")</f>
        <v/>
      </c>
      <c r="AL75" s="17" t="str">
        <f>IFERROR(INDEX(逆引き作成用!$C$2:$C$169,MATCH($B75&amp;"/"&amp;$C75,逆引き作成用!AL$2:AL$169,FALSE),1),"")</f>
        <v/>
      </c>
      <c r="AM75" s="17" t="str">
        <f>IFERROR(INDEX(逆引き作成用!$C$2:$C$169,MATCH($B75&amp;"/"&amp;$C75,逆引き作成用!AM$2:AM$169,FALSE),1),"")</f>
        <v/>
      </c>
      <c r="AN75" s="17" t="str">
        <f>IFERROR(INDEX(逆引き作成用!$C$2:$C$169,MATCH($B75&amp;"/"&amp;$C75,逆引き作成用!AN$2:AN$169,FALSE),1),"")</f>
        <v/>
      </c>
      <c r="AO75" s="17" t="str">
        <f>IFERROR(INDEX(逆引き作成用!$C$2:$C$169,MATCH($B75&amp;"/"&amp;$C75,逆引き作成用!AO$2:AO$169,FALSE),1),"")</f>
        <v/>
      </c>
      <c r="AP75" s="17" t="str">
        <f>IFERROR(INDEX(逆引き作成用!$C$2:$C$169,MATCH($B75&amp;"/"&amp;$C75,逆引き作成用!AP$2:AP$169,FALSE),1),"")</f>
        <v/>
      </c>
      <c r="AQ75" s="17" t="str">
        <f>IFERROR(INDEX(逆引き作成用!$C$2:$C$169,MATCH($B75&amp;"/"&amp;$C75,逆引き作成用!AQ$2:AQ$169,FALSE),1),"")</f>
        <v/>
      </c>
      <c r="AR75" s="17" t="str">
        <f>IFERROR(INDEX(逆引き作成用!$C$2:$C$169,MATCH($B75&amp;"/"&amp;$C75,逆引き作成用!AR$2:AR$169,FALSE),1),"")</f>
        <v/>
      </c>
      <c r="AS75" s="17" t="str">
        <f>IFERROR(INDEX(逆引き作成用!$C$2:$C$169,MATCH($B75&amp;"/"&amp;$C75,逆引き作成用!AS$2:AS$169,FALSE),1),"")</f>
        <v/>
      </c>
      <c r="AT75" s="17" t="str">
        <f>IFERROR(INDEX(逆引き作成用!$C$2:$C$169,MATCH($B75&amp;"/"&amp;$C75,逆引き作成用!AT$2:AT$169,FALSE),1),"")</f>
        <v/>
      </c>
      <c r="AU75" s="17" t="str">
        <f>IFERROR(INDEX(逆引き作成用!$C$2:$C$169,MATCH($B75&amp;"/"&amp;$C75,逆引き作成用!AU$2:AU$169,FALSE),1),"")</f>
        <v/>
      </c>
      <c r="AV75" s="17" t="str">
        <f>IFERROR(INDEX(逆引き作成用!$C$2:$C$169,MATCH($B75&amp;"/"&amp;$C75,逆引き作成用!AV$2:AV$169,FALSE),1),"")</f>
        <v/>
      </c>
      <c r="AW75" s="17" t="str">
        <f>IFERROR(INDEX(逆引き作成用!$C$2:$C$169,MATCH($B75&amp;"/"&amp;$C75,逆引き作成用!AW$2:AW$169,FALSE),1),"")</f>
        <v/>
      </c>
      <c r="AX75" s="17" t="str">
        <f>IFERROR(INDEX(逆引き作成用!$C$2:$C$169,MATCH($B75&amp;"/"&amp;$C75,逆引き作成用!AX$2:AX$169,FALSE),1),"")</f>
        <v/>
      </c>
      <c r="AY75" s="17" t="str">
        <f>IFERROR(INDEX(逆引き作成用!$C$2:$C$169,MATCH($B75&amp;"/"&amp;$C75,逆引き作成用!AY$2:AY$169,FALSE),1),"")</f>
        <v/>
      </c>
      <c r="AZ75" s="17" t="str">
        <f>IFERROR(INDEX(逆引き作成用!$C$2:$C$169,MATCH($B75&amp;"/"&amp;$C75,逆引き作成用!AZ$2:AZ$169,FALSE),1),"")</f>
        <v/>
      </c>
      <c r="BA75" s="17" t="str">
        <f>IFERROR(INDEX(逆引き作成用!$C$2:$C$169,MATCH($B75&amp;"/"&amp;$C75,逆引き作成用!BA$2:BA$169,FALSE),1),"")</f>
        <v/>
      </c>
    </row>
    <row r="76" spans="1:53">
      <c r="A76" s="17" t="str">
        <f>IFERROR(INDEX(役職一覧!$B$2:$B$31,MATCH(B76,役職一覧!$C$2:$C$31,FALSE),1),"")</f>
        <v/>
      </c>
      <c r="B76" s="17" t="str">
        <f>IFERROR(IF(C76=1,INDEX(役職一覧!$C$2:$C$31,MATCH(逆引き!B75,役職一覧!$C$2:$C$31,FALSE)+1,1)&amp;"",B75),"")</f>
        <v/>
      </c>
      <c r="C76" s="17" t="str">
        <f>IFERROR(IF(VLOOKUP(B75,役職一覧!$C$2:$E$31,3,FALSE)=C75,1,C75+1),"")</f>
        <v/>
      </c>
      <c r="D76" s="17" t="str">
        <f>IFERROR(INDEX(逆引き作成用!$C$2:$C$169,MATCH($B76&amp;"/"&amp;$C76,逆引き作成用!D$2:D$169,FALSE),1),"")</f>
        <v/>
      </c>
      <c r="E76" s="17" t="str">
        <f>IFERROR(INDEX(逆引き作成用!$C$2:$C$169,MATCH($B76&amp;"/"&amp;$C76,逆引き作成用!E$2:E$169,FALSE),1),"")</f>
        <v/>
      </c>
      <c r="F76" s="17" t="str">
        <f>IFERROR(INDEX(逆引き作成用!$C$2:$C$169,MATCH($B76&amp;"/"&amp;$C76,逆引き作成用!F$2:F$169,FALSE),1),"")</f>
        <v/>
      </c>
      <c r="G76" s="17" t="str">
        <f>IFERROR(INDEX(逆引き作成用!$C$2:$C$169,MATCH($B76&amp;"/"&amp;$C76,逆引き作成用!G$2:G$169,FALSE),1),"")</f>
        <v/>
      </c>
      <c r="H76" s="17" t="str">
        <f>IFERROR(INDEX(逆引き作成用!$C$2:$C$169,MATCH($B76&amp;"/"&amp;$C76,逆引き作成用!H$2:H$169,FALSE),1),"")</f>
        <v/>
      </c>
      <c r="I76" s="17" t="str">
        <f>IFERROR(INDEX(逆引き作成用!$C$2:$C$169,MATCH($B76&amp;"/"&amp;$C76,逆引き作成用!I$2:I$169,FALSE),1),"")</f>
        <v/>
      </c>
      <c r="J76" s="17" t="str">
        <f>IFERROR(INDEX(逆引き作成用!$C$2:$C$169,MATCH($B76&amp;"/"&amp;$C76,逆引き作成用!J$2:J$169,FALSE),1),"")</f>
        <v/>
      </c>
      <c r="K76" s="17" t="str">
        <f>IFERROR(INDEX(逆引き作成用!$C$2:$C$169,MATCH($B76&amp;"/"&amp;$C76,逆引き作成用!K$2:K$169,FALSE),1),"")</f>
        <v/>
      </c>
      <c r="L76" s="17" t="str">
        <f>IFERROR(INDEX(逆引き作成用!$C$2:$C$169,MATCH($B76&amp;"/"&amp;$C76,逆引き作成用!L$2:L$169,FALSE),1),"")</f>
        <v/>
      </c>
      <c r="M76" s="17" t="str">
        <f>IFERROR(INDEX(逆引き作成用!$C$2:$C$169,MATCH($B76&amp;"/"&amp;$C76,逆引き作成用!M$2:M$169,FALSE),1),"")</f>
        <v/>
      </c>
      <c r="N76" s="17" t="str">
        <f>IFERROR(INDEX(逆引き作成用!$C$2:$C$169,MATCH($B76&amp;"/"&amp;$C76,逆引き作成用!N$2:N$169,FALSE),1),"")</f>
        <v/>
      </c>
      <c r="O76" s="17" t="str">
        <f>IFERROR(INDEX(逆引き作成用!$C$2:$C$169,MATCH($B76&amp;"/"&amp;$C76,逆引き作成用!O$2:O$169,FALSE),1),"")</f>
        <v/>
      </c>
      <c r="P76" s="17" t="str">
        <f>IFERROR(INDEX(逆引き作成用!$C$2:$C$169,MATCH($B76&amp;"/"&amp;$C76,逆引き作成用!P$2:P$169,FALSE),1),"")</f>
        <v/>
      </c>
      <c r="Q76" s="17" t="str">
        <f>IFERROR(INDEX(逆引き作成用!$C$2:$C$169,MATCH($B76&amp;"/"&amp;$C76,逆引き作成用!Q$2:Q$169,FALSE),1),"")</f>
        <v/>
      </c>
      <c r="R76" s="17" t="str">
        <f>IFERROR(INDEX(逆引き作成用!$C$2:$C$169,MATCH($B76&amp;"/"&amp;$C76,逆引き作成用!R$2:R$169,FALSE),1),"")</f>
        <v/>
      </c>
      <c r="S76" s="17" t="str">
        <f>IFERROR(INDEX(逆引き作成用!$C$2:$C$169,MATCH($B76&amp;"/"&amp;$C76,逆引き作成用!S$2:S$169,FALSE),1),"")</f>
        <v/>
      </c>
      <c r="T76" s="17" t="str">
        <f>IFERROR(INDEX(逆引き作成用!$C$2:$C$169,MATCH($B76&amp;"/"&amp;$C76,逆引き作成用!T$2:T$169,FALSE),1),"")</f>
        <v/>
      </c>
      <c r="U76" s="17" t="str">
        <f>IFERROR(INDEX(逆引き作成用!$C$2:$C$169,MATCH($B76&amp;"/"&amp;$C76,逆引き作成用!U$2:U$169,FALSE),1),"")</f>
        <v/>
      </c>
      <c r="V76" s="17" t="str">
        <f>IFERROR(INDEX(逆引き作成用!$C$2:$C$169,MATCH($B76&amp;"/"&amp;$C76,逆引き作成用!V$2:V$169,FALSE),1),"")</f>
        <v/>
      </c>
      <c r="W76" s="17" t="str">
        <f>IFERROR(INDEX(逆引き作成用!$C$2:$C$169,MATCH($B76&amp;"/"&amp;$C76,逆引き作成用!W$2:W$169,FALSE),1),"")</f>
        <v/>
      </c>
      <c r="X76" s="17" t="str">
        <f>IFERROR(INDEX(逆引き作成用!$C$2:$C$169,MATCH($B76&amp;"/"&amp;$C76,逆引き作成用!X$2:X$169,FALSE),1),"")</f>
        <v/>
      </c>
      <c r="Y76" s="17" t="str">
        <f>IFERROR(INDEX(逆引き作成用!$C$2:$C$169,MATCH($B76&amp;"/"&amp;$C76,逆引き作成用!Y$2:Y$169,FALSE),1),"")</f>
        <v/>
      </c>
      <c r="Z76" s="17" t="str">
        <f>IFERROR(INDEX(逆引き作成用!$C$2:$C$169,MATCH($B76&amp;"/"&amp;$C76,逆引き作成用!Z$2:Z$169,FALSE),1),"")</f>
        <v/>
      </c>
      <c r="AA76" s="17" t="str">
        <f>IFERROR(INDEX(逆引き作成用!$C$2:$C$169,MATCH($B76&amp;"/"&amp;$C76,逆引き作成用!AA$2:AA$169,FALSE),1),"")</f>
        <v/>
      </c>
      <c r="AB76" s="17" t="str">
        <f>IFERROR(INDEX(逆引き作成用!$C$2:$C$169,MATCH($B76&amp;"/"&amp;$C76,逆引き作成用!AB$2:AB$169,FALSE),1),"")</f>
        <v/>
      </c>
      <c r="AC76" s="17" t="str">
        <f>IFERROR(INDEX(逆引き作成用!$C$2:$C$169,MATCH($B76&amp;"/"&amp;$C76,逆引き作成用!AC$2:AC$169,FALSE),1),"")</f>
        <v/>
      </c>
      <c r="AD76" s="17" t="str">
        <f>IFERROR(INDEX(逆引き作成用!$C$2:$C$169,MATCH($B76&amp;"/"&amp;$C76,逆引き作成用!AD$2:AD$169,FALSE),1),"")</f>
        <v/>
      </c>
      <c r="AE76" s="17" t="str">
        <f>IFERROR(INDEX(逆引き作成用!$C$2:$C$169,MATCH($B76&amp;"/"&amp;$C76,逆引き作成用!AE$2:AE$169,FALSE),1),"")</f>
        <v/>
      </c>
      <c r="AF76" s="17" t="str">
        <f>IFERROR(INDEX(逆引き作成用!$C$2:$C$169,MATCH($B76&amp;"/"&amp;$C76,逆引き作成用!AF$2:AF$169,FALSE),1),"")</f>
        <v/>
      </c>
      <c r="AG76" s="17" t="str">
        <f>IFERROR(INDEX(逆引き作成用!$C$2:$C$169,MATCH($B76&amp;"/"&amp;$C76,逆引き作成用!AG$2:AG$169,FALSE),1),"")</f>
        <v/>
      </c>
      <c r="AH76" s="17" t="str">
        <f>IFERROR(INDEX(逆引き作成用!$C$2:$C$169,MATCH($B76&amp;"/"&amp;$C76,逆引き作成用!AH$2:AH$169,FALSE),1),"")</f>
        <v/>
      </c>
      <c r="AI76" s="17" t="str">
        <f>IFERROR(INDEX(逆引き作成用!$C$2:$C$169,MATCH($B76&amp;"/"&amp;$C76,逆引き作成用!AI$2:AI$169,FALSE),1),"")</f>
        <v/>
      </c>
      <c r="AJ76" s="17" t="str">
        <f>IFERROR(INDEX(逆引き作成用!$C$2:$C$169,MATCH($B76&amp;"/"&amp;$C76,逆引き作成用!AJ$2:AJ$169,FALSE),1),"")</f>
        <v/>
      </c>
      <c r="AK76" s="17" t="str">
        <f>IFERROR(INDEX(逆引き作成用!$C$2:$C$169,MATCH($B76&amp;"/"&amp;$C76,逆引き作成用!AK$2:AK$169,FALSE),1),"")</f>
        <v/>
      </c>
      <c r="AL76" s="17" t="str">
        <f>IFERROR(INDEX(逆引き作成用!$C$2:$C$169,MATCH($B76&amp;"/"&amp;$C76,逆引き作成用!AL$2:AL$169,FALSE),1),"")</f>
        <v/>
      </c>
      <c r="AM76" s="17" t="str">
        <f>IFERROR(INDEX(逆引き作成用!$C$2:$C$169,MATCH($B76&amp;"/"&amp;$C76,逆引き作成用!AM$2:AM$169,FALSE),1),"")</f>
        <v/>
      </c>
      <c r="AN76" s="17" t="str">
        <f>IFERROR(INDEX(逆引き作成用!$C$2:$C$169,MATCH($B76&amp;"/"&amp;$C76,逆引き作成用!AN$2:AN$169,FALSE),1),"")</f>
        <v/>
      </c>
      <c r="AO76" s="17" t="str">
        <f>IFERROR(INDEX(逆引き作成用!$C$2:$C$169,MATCH($B76&amp;"/"&amp;$C76,逆引き作成用!AO$2:AO$169,FALSE),1),"")</f>
        <v/>
      </c>
      <c r="AP76" s="17" t="str">
        <f>IFERROR(INDEX(逆引き作成用!$C$2:$C$169,MATCH($B76&amp;"/"&amp;$C76,逆引き作成用!AP$2:AP$169,FALSE),1),"")</f>
        <v/>
      </c>
      <c r="AQ76" s="17" t="str">
        <f>IFERROR(INDEX(逆引き作成用!$C$2:$C$169,MATCH($B76&amp;"/"&amp;$C76,逆引き作成用!AQ$2:AQ$169,FALSE),1),"")</f>
        <v/>
      </c>
      <c r="AR76" s="17" t="str">
        <f>IFERROR(INDEX(逆引き作成用!$C$2:$C$169,MATCH($B76&amp;"/"&amp;$C76,逆引き作成用!AR$2:AR$169,FALSE),1),"")</f>
        <v/>
      </c>
      <c r="AS76" s="17" t="str">
        <f>IFERROR(INDEX(逆引き作成用!$C$2:$C$169,MATCH($B76&amp;"/"&amp;$C76,逆引き作成用!AS$2:AS$169,FALSE),1),"")</f>
        <v/>
      </c>
      <c r="AT76" s="17" t="str">
        <f>IFERROR(INDEX(逆引き作成用!$C$2:$C$169,MATCH($B76&amp;"/"&amp;$C76,逆引き作成用!AT$2:AT$169,FALSE),1),"")</f>
        <v/>
      </c>
      <c r="AU76" s="17" t="str">
        <f>IFERROR(INDEX(逆引き作成用!$C$2:$C$169,MATCH($B76&amp;"/"&amp;$C76,逆引き作成用!AU$2:AU$169,FALSE),1),"")</f>
        <v/>
      </c>
      <c r="AV76" s="17" t="str">
        <f>IFERROR(INDEX(逆引き作成用!$C$2:$C$169,MATCH($B76&amp;"/"&amp;$C76,逆引き作成用!AV$2:AV$169,FALSE),1),"")</f>
        <v/>
      </c>
      <c r="AW76" s="17" t="str">
        <f>IFERROR(INDEX(逆引き作成用!$C$2:$C$169,MATCH($B76&amp;"/"&amp;$C76,逆引き作成用!AW$2:AW$169,FALSE),1),"")</f>
        <v/>
      </c>
      <c r="AX76" s="17" t="str">
        <f>IFERROR(INDEX(逆引き作成用!$C$2:$C$169,MATCH($B76&amp;"/"&amp;$C76,逆引き作成用!AX$2:AX$169,FALSE),1),"")</f>
        <v/>
      </c>
      <c r="AY76" s="17" t="str">
        <f>IFERROR(INDEX(逆引き作成用!$C$2:$C$169,MATCH($B76&amp;"/"&amp;$C76,逆引き作成用!AY$2:AY$169,FALSE),1),"")</f>
        <v/>
      </c>
      <c r="AZ76" s="17" t="str">
        <f>IFERROR(INDEX(逆引き作成用!$C$2:$C$169,MATCH($B76&amp;"/"&amp;$C76,逆引き作成用!AZ$2:AZ$169,FALSE),1),"")</f>
        <v/>
      </c>
      <c r="BA76" s="17" t="str">
        <f>IFERROR(INDEX(逆引き作成用!$C$2:$C$169,MATCH($B76&amp;"/"&amp;$C76,逆引き作成用!BA$2:BA$169,FALSE),1),"")</f>
        <v/>
      </c>
    </row>
    <row r="77" spans="1:53">
      <c r="A77" s="17" t="str">
        <f>IFERROR(INDEX(役職一覧!$B$2:$B$31,MATCH(B77,役職一覧!$C$2:$C$31,FALSE),1),"")</f>
        <v/>
      </c>
      <c r="B77" s="17" t="str">
        <f>IFERROR(IF(C77=1,INDEX(役職一覧!$C$2:$C$31,MATCH(逆引き!B76,役職一覧!$C$2:$C$31,FALSE)+1,1)&amp;"",B76),"")</f>
        <v/>
      </c>
      <c r="C77" s="17" t="str">
        <f>IFERROR(IF(VLOOKUP(B76,役職一覧!$C$2:$E$31,3,FALSE)=C76,1,C76+1),"")</f>
        <v/>
      </c>
      <c r="D77" s="17" t="str">
        <f>IFERROR(INDEX(逆引き作成用!$C$2:$C$169,MATCH($B77&amp;"/"&amp;$C77,逆引き作成用!D$2:D$169,FALSE),1),"")</f>
        <v/>
      </c>
      <c r="E77" s="17" t="str">
        <f>IFERROR(INDEX(逆引き作成用!$C$2:$C$169,MATCH($B77&amp;"/"&amp;$C77,逆引き作成用!E$2:E$169,FALSE),1),"")</f>
        <v/>
      </c>
      <c r="F77" s="17" t="str">
        <f>IFERROR(INDEX(逆引き作成用!$C$2:$C$169,MATCH($B77&amp;"/"&amp;$C77,逆引き作成用!F$2:F$169,FALSE),1),"")</f>
        <v/>
      </c>
      <c r="G77" s="17" t="str">
        <f>IFERROR(INDEX(逆引き作成用!$C$2:$C$169,MATCH($B77&amp;"/"&amp;$C77,逆引き作成用!G$2:G$169,FALSE),1),"")</f>
        <v/>
      </c>
      <c r="H77" s="17" t="str">
        <f>IFERROR(INDEX(逆引き作成用!$C$2:$C$169,MATCH($B77&amp;"/"&amp;$C77,逆引き作成用!H$2:H$169,FALSE),1),"")</f>
        <v/>
      </c>
      <c r="I77" s="17" t="str">
        <f>IFERROR(INDEX(逆引き作成用!$C$2:$C$169,MATCH($B77&amp;"/"&amp;$C77,逆引き作成用!I$2:I$169,FALSE),1),"")</f>
        <v/>
      </c>
      <c r="J77" s="17" t="str">
        <f>IFERROR(INDEX(逆引き作成用!$C$2:$C$169,MATCH($B77&amp;"/"&amp;$C77,逆引き作成用!J$2:J$169,FALSE),1),"")</f>
        <v/>
      </c>
      <c r="K77" s="17" t="str">
        <f>IFERROR(INDEX(逆引き作成用!$C$2:$C$169,MATCH($B77&amp;"/"&amp;$C77,逆引き作成用!K$2:K$169,FALSE),1),"")</f>
        <v/>
      </c>
      <c r="L77" s="17" t="str">
        <f>IFERROR(INDEX(逆引き作成用!$C$2:$C$169,MATCH($B77&amp;"/"&amp;$C77,逆引き作成用!L$2:L$169,FALSE),1),"")</f>
        <v/>
      </c>
      <c r="M77" s="17" t="str">
        <f>IFERROR(INDEX(逆引き作成用!$C$2:$C$169,MATCH($B77&amp;"/"&amp;$C77,逆引き作成用!M$2:M$169,FALSE),1),"")</f>
        <v/>
      </c>
      <c r="N77" s="17" t="str">
        <f>IFERROR(INDEX(逆引き作成用!$C$2:$C$169,MATCH($B77&amp;"/"&amp;$C77,逆引き作成用!N$2:N$169,FALSE),1),"")</f>
        <v/>
      </c>
      <c r="O77" s="17" t="str">
        <f>IFERROR(INDEX(逆引き作成用!$C$2:$C$169,MATCH($B77&amp;"/"&amp;$C77,逆引き作成用!O$2:O$169,FALSE),1),"")</f>
        <v/>
      </c>
      <c r="P77" s="17" t="str">
        <f>IFERROR(INDEX(逆引き作成用!$C$2:$C$169,MATCH($B77&amp;"/"&amp;$C77,逆引き作成用!P$2:P$169,FALSE),1),"")</f>
        <v/>
      </c>
      <c r="Q77" s="17" t="str">
        <f>IFERROR(INDEX(逆引き作成用!$C$2:$C$169,MATCH($B77&amp;"/"&amp;$C77,逆引き作成用!Q$2:Q$169,FALSE),1),"")</f>
        <v/>
      </c>
      <c r="R77" s="17" t="str">
        <f>IFERROR(INDEX(逆引き作成用!$C$2:$C$169,MATCH($B77&amp;"/"&amp;$C77,逆引き作成用!R$2:R$169,FALSE),1),"")</f>
        <v/>
      </c>
      <c r="S77" s="17" t="str">
        <f>IFERROR(INDEX(逆引き作成用!$C$2:$C$169,MATCH($B77&amp;"/"&amp;$C77,逆引き作成用!S$2:S$169,FALSE),1),"")</f>
        <v/>
      </c>
      <c r="T77" s="17" t="str">
        <f>IFERROR(INDEX(逆引き作成用!$C$2:$C$169,MATCH($B77&amp;"/"&amp;$C77,逆引き作成用!T$2:T$169,FALSE),1),"")</f>
        <v/>
      </c>
      <c r="U77" s="17" t="str">
        <f>IFERROR(INDEX(逆引き作成用!$C$2:$C$169,MATCH($B77&amp;"/"&amp;$C77,逆引き作成用!U$2:U$169,FALSE),1),"")</f>
        <v/>
      </c>
      <c r="V77" s="17" t="str">
        <f>IFERROR(INDEX(逆引き作成用!$C$2:$C$169,MATCH($B77&amp;"/"&amp;$C77,逆引き作成用!V$2:V$169,FALSE),1),"")</f>
        <v/>
      </c>
      <c r="W77" s="17" t="str">
        <f>IFERROR(INDEX(逆引き作成用!$C$2:$C$169,MATCH($B77&amp;"/"&amp;$C77,逆引き作成用!W$2:W$169,FALSE),1),"")</f>
        <v/>
      </c>
      <c r="X77" s="17" t="str">
        <f>IFERROR(INDEX(逆引き作成用!$C$2:$C$169,MATCH($B77&amp;"/"&amp;$C77,逆引き作成用!X$2:X$169,FALSE),1),"")</f>
        <v/>
      </c>
      <c r="Y77" s="17" t="str">
        <f>IFERROR(INDEX(逆引き作成用!$C$2:$C$169,MATCH($B77&amp;"/"&amp;$C77,逆引き作成用!Y$2:Y$169,FALSE),1),"")</f>
        <v/>
      </c>
      <c r="Z77" s="17" t="str">
        <f>IFERROR(INDEX(逆引き作成用!$C$2:$C$169,MATCH($B77&amp;"/"&amp;$C77,逆引き作成用!Z$2:Z$169,FALSE),1),"")</f>
        <v/>
      </c>
      <c r="AA77" s="17" t="str">
        <f>IFERROR(INDEX(逆引き作成用!$C$2:$C$169,MATCH($B77&amp;"/"&amp;$C77,逆引き作成用!AA$2:AA$169,FALSE),1),"")</f>
        <v/>
      </c>
      <c r="AB77" s="17" t="str">
        <f>IFERROR(INDEX(逆引き作成用!$C$2:$C$169,MATCH($B77&amp;"/"&amp;$C77,逆引き作成用!AB$2:AB$169,FALSE),1),"")</f>
        <v/>
      </c>
      <c r="AC77" s="17" t="str">
        <f>IFERROR(INDEX(逆引き作成用!$C$2:$C$169,MATCH($B77&amp;"/"&amp;$C77,逆引き作成用!AC$2:AC$169,FALSE),1),"")</f>
        <v/>
      </c>
      <c r="AD77" s="17" t="str">
        <f>IFERROR(INDEX(逆引き作成用!$C$2:$C$169,MATCH($B77&amp;"/"&amp;$C77,逆引き作成用!AD$2:AD$169,FALSE),1),"")</f>
        <v/>
      </c>
      <c r="AE77" s="17" t="str">
        <f>IFERROR(INDEX(逆引き作成用!$C$2:$C$169,MATCH($B77&amp;"/"&amp;$C77,逆引き作成用!AE$2:AE$169,FALSE),1),"")</f>
        <v/>
      </c>
      <c r="AF77" s="17" t="str">
        <f>IFERROR(INDEX(逆引き作成用!$C$2:$C$169,MATCH($B77&amp;"/"&amp;$C77,逆引き作成用!AF$2:AF$169,FALSE),1),"")</f>
        <v/>
      </c>
      <c r="AG77" s="17" t="str">
        <f>IFERROR(INDEX(逆引き作成用!$C$2:$C$169,MATCH($B77&amp;"/"&amp;$C77,逆引き作成用!AG$2:AG$169,FALSE),1),"")</f>
        <v/>
      </c>
      <c r="AH77" s="17" t="str">
        <f>IFERROR(INDEX(逆引き作成用!$C$2:$C$169,MATCH($B77&amp;"/"&amp;$C77,逆引き作成用!AH$2:AH$169,FALSE),1),"")</f>
        <v/>
      </c>
      <c r="AI77" s="17" t="str">
        <f>IFERROR(INDEX(逆引き作成用!$C$2:$C$169,MATCH($B77&amp;"/"&amp;$C77,逆引き作成用!AI$2:AI$169,FALSE),1),"")</f>
        <v/>
      </c>
      <c r="AJ77" s="17" t="str">
        <f>IFERROR(INDEX(逆引き作成用!$C$2:$C$169,MATCH($B77&amp;"/"&amp;$C77,逆引き作成用!AJ$2:AJ$169,FALSE),1),"")</f>
        <v/>
      </c>
      <c r="AK77" s="17" t="str">
        <f>IFERROR(INDEX(逆引き作成用!$C$2:$C$169,MATCH($B77&amp;"/"&amp;$C77,逆引き作成用!AK$2:AK$169,FALSE),1),"")</f>
        <v/>
      </c>
      <c r="AL77" s="17" t="str">
        <f>IFERROR(INDEX(逆引き作成用!$C$2:$C$169,MATCH($B77&amp;"/"&amp;$C77,逆引き作成用!AL$2:AL$169,FALSE),1),"")</f>
        <v/>
      </c>
      <c r="AM77" s="17" t="str">
        <f>IFERROR(INDEX(逆引き作成用!$C$2:$C$169,MATCH($B77&amp;"/"&amp;$C77,逆引き作成用!AM$2:AM$169,FALSE),1),"")</f>
        <v/>
      </c>
      <c r="AN77" s="17" t="str">
        <f>IFERROR(INDEX(逆引き作成用!$C$2:$C$169,MATCH($B77&amp;"/"&amp;$C77,逆引き作成用!AN$2:AN$169,FALSE),1),"")</f>
        <v/>
      </c>
      <c r="AO77" s="17" t="str">
        <f>IFERROR(INDEX(逆引き作成用!$C$2:$C$169,MATCH($B77&amp;"/"&amp;$C77,逆引き作成用!AO$2:AO$169,FALSE),1),"")</f>
        <v/>
      </c>
      <c r="AP77" s="17" t="str">
        <f>IFERROR(INDEX(逆引き作成用!$C$2:$C$169,MATCH($B77&amp;"/"&amp;$C77,逆引き作成用!AP$2:AP$169,FALSE),1),"")</f>
        <v/>
      </c>
      <c r="AQ77" s="17" t="str">
        <f>IFERROR(INDEX(逆引き作成用!$C$2:$C$169,MATCH($B77&amp;"/"&amp;$C77,逆引き作成用!AQ$2:AQ$169,FALSE),1),"")</f>
        <v/>
      </c>
      <c r="AR77" s="17" t="str">
        <f>IFERROR(INDEX(逆引き作成用!$C$2:$C$169,MATCH($B77&amp;"/"&amp;$C77,逆引き作成用!AR$2:AR$169,FALSE),1),"")</f>
        <v/>
      </c>
      <c r="AS77" s="17" t="str">
        <f>IFERROR(INDEX(逆引き作成用!$C$2:$C$169,MATCH($B77&amp;"/"&amp;$C77,逆引き作成用!AS$2:AS$169,FALSE),1),"")</f>
        <v/>
      </c>
      <c r="AT77" s="17" t="str">
        <f>IFERROR(INDEX(逆引き作成用!$C$2:$C$169,MATCH($B77&amp;"/"&amp;$C77,逆引き作成用!AT$2:AT$169,FALSE),1),"")</f>
        <v/>
      </c>
      <c r="AU77" s="17" t="str">
        <f>IFERROR(INDEX(逆引き作成用!$C$2:$C$169,MATCH($B77&amp;"/"&amp;$C77,逆引き作成用!AU$2:AU$169,FALSE),1),"")</f>
        <v/>
      </c>
      <c r="AV77" s="17" t="str">
        <f>IFERROR(INDEX(逆引き作成用!$C$2:$C$169,MATCH($B77&amp;"/"&amp;$C77,逆引き作成用!AV$2:AV$169,FALSE),1),"")</f>
        <v/>
      </c>
      <c r="AW77" s="17" t="str">
        <f>IFERROR(INDEX(逆引き作成用!$C$2:$C$169,MATCH($B77&amp;"/"&amp;$C77,逆引き作成用!AW$2:AW$169,FALSE),1),"")</f>
        <v/>
      </c>
      <c r="AX77" s="17" t="str">
        <f>IFERROR(INDEX(逆引き作成用!$C$2:$C$169,MATCH($B77&amp;"/"&amp;$C77,逆引き作成用!AX$2:AX$169,FALSE),1),"")</f>
        <v/>
      </c>
      <c r="AY77" s="17" t="str">
        <f>IFERROR(INDEX(逆引き作成用!$C$2:$C$169,MATCH($B77&amp;"/"&amp;$C77,逆引き作成用!AY$2:AY$169,FALSE),1),"")</f>
        <v/>
      </c>
      <c r="AZ77" s="17" t="str">
        <f>IFERROR(INDEX(逆引き作成用!$C$2:$C$169,MATCH($B77&amp;"/"&amp;$C77,逆引き作成用!AZ$2:AZ$169,FALSE),1),"")</f>
        <v/>
      </c>
      <c r="BA77" s="17" t="str">
        <f>IFERROR(INDEX(逆引き作成用!$C$2:$C$169,MATCH($B77&amp;"/"&amp;$C77,逆引き作成用!BA$2:BA$169,FALSE),1),"")</f>
        <v/>
      </c>
    </row>
    <row r="78" spans="1:53">
      <c r="A78" s="17" t="str">
        <f>IFERROR(INDEX(役職一覧!$B$2:$B$31,MATCH(B78,役職一覧!$C$2:$C$31,FALSE),1),"")</f>
        <v/>
      </c>
      <c r="B78" s="17" t="str">
        <f>IFERROR(IF(C78=1,INDEX(役職一覧!$C$2:$C$31,MATCH(逆引き!B77,役職一覧!$C$2:$C$31,FALSE)+1,1)&amp;"",B77),"")</f>
        <v/>
      </c>
      <c r="C78" s="17" t="str">
        <f>IFERROR(IF(VLOOKUP(B77,役職一覧!$C$2:$E$31,3,FALSE)=C77,1,C77+1),"")</f>
        <v/>
      </c>
      <c r="D78" s="17" t="str">
        <f>IFERROR(INDEX(逆引き作成用!$C$2:$C$169,MATCH($B78&amp;"/"&amp;$C78,逆引き作成用!D$2:D$169,FALSE),1),"")</f>
        <v/>
      </c>
      <c r="E78" s="17" t="str">
        <f>IFERROR(INDEX(逆引き作成用!$C$2:$C$169,MATCH($B78&amp;"/"&amp;$C78,逆引き作成用!E$2:E$169,FALSE),1),"")</f>
        <v/>
      </c>
      <c r="F78" s="17" t="str">
        <f>IFERROR(INDEX(逆引き作成用!$C$2:$C$169,MATCH($B78&amp;"/"&amp;$C78,逆引き作成用!F$2:F$169,FALSE),1),"")</f>
        <v/>
      </c>
      <c r="G78" s="17" t="str">
        <f>IFERROR(INDEX(逆引き作成用!$C$2:$C$169,MATCH($B78&amp;"/"&amp;$C78,逆引き作成用!G$2:G$169,FALSE),1),"")</f>
        <v/>
      </c>
      <c r="H78" s="17" t="str">
        <f>IFERROR(INDEX(逆引き作成用!$C$2:$C$169,MATCH($B78&amp;"/"&amp;$C78,逆引き作成用!H$2:H$169,FALSE),1),"")</f>
        <v/>
      </c>
      <c r="I78" s="17" t="str">
        <f>IFERROR(INDEX(逆引き作成用!$C$2:$C$169,MATCH($B78&amp;"/"&amp;$C78,逆引き作成用!I$2:I$169,FALSE),1),"")</f>
        <v/>
      </c>
      <c r="J78" s="17" t="str">
        <f>IFERROR(INDEX(逆引き作成用!$C$2:$C$169,MATCH($B78&amp;"/"&amp;$C78,逆引き作成用!J$2:J$169,FALSE),1),"")</f>
        <v/>
      </c>
      <c r="K78" s="17" t="str">
        <f>IFERROR(INDEX(逆引き作成用!$C$2:$C$169,MATCH($B78&amp;"/"&amp;$C78,逆引き作成用!K$2:K$169,FALSE),1),"")</f>
        <v/>
      </c>
      <c r="L78" s="17" t="str">
        <f>IFERROR(INDEX(逆引き作成用!$C$2:$C$169,MATCH($B78&amp;"/"&amp;$C78,逆引き作成用!L$2:L$169,FALSE),1),"")</f>
        <v/>
      </c>
      <c r="M78" s="17" t="str">
        <f>IFERROR(INDEX(逆引き作成用!$C$2:$C$169,MATCH($B78&amp;"/"&amp;$C78,逆引き作成用!M$2:M$169,FALSE),1),"")</f>
        <v/>
      </c>
      <c r="N78" s="17" t="str">
        <f>IFERROR(INDEX(逆引き作成用!$C$2:$C$169,MATCH($B78&amp;"/"&amp;$C78,逆引き作成用!N$2:N$169,FALSE),1),"")</f>
        <v/>
      </c>
      <c r="O78" s="17" t="str">
        <f>IFERROR(INDEX(逆引き作成用!$C$2:$C$169,MATCH($B78&amp;"/"&amp;$C78,逆引き作成用!O$2:O$169,FALSE),1),"")</f>
        <v/>
      </c>
      <c r="P78" s="17" t="str">
        <f>IFERROR(INDEX(逆引き作成用!$C$2:$C$169,MATCH($B78&amp;"/"&amp;$C78,逆引き作成用!P$2:P$169,FALSE),1),"")</f>
        <v/>
      </c>
      <c r="Q78" s="17" t="str">
        <f>IFERROR(INDEX(逆引き作成用!$C$2:$C$169,MATCH($B78&amp;"/"&amp;$C78,逆引き作成用!Q$2:Q$169,FALSE),1),"")</f>
        <v/>
      </c>
      <c r="R78" s="17" t="str">
        <f>IFERROR(INDEX(逆引き作成用!$C$2:$C$169,MATCH($B78&amp;"/"&amp;$C78,逆引き作成用!R$2:R$169,FALSE),1),"")</f>
        <v/>
      </c>
      <c r="S78" s="17" t="str">
        <f>IFERROR(INDEX(逆引き作成用!$C$2:$C$169,MATCH($B78&amp;"/"&amp;$C78,逆引き作成用!S$2:S$169,FALSE),1),"")</f>
        <v/>
      </c>
      <c r="T78" s="17" t="str">
        <f>IFERROR(INDEX(逆引き作成用!$C$2:$C$169,MATCH($B78&amp;"/"&amp;$C78,逆引き作成用!T$2:T$169,FALSE),1),"")</f>
        <v/>
      </c>
      <c r="U78" s="17" t="str">
        <f>IFERROR(INDEX(逆引き作成用!$C$2:$C$169,MATCH($B78&amp;"/"&amp;$C78,逆引き作成用!U$2:U$169,FALSE),1),"")</f>
        <v/>
      </c>
      <c r="V78" s="17" t="str">
        <f>IFERROR(INDEX(逆引き作成用!$C$2:$C$169,MATCH($B78&amp;"/"&amp;$C78,逆引き作成用!V$2:V$169,FALSE),1),"")</f>
        <v/>
      </c>
      <c r="W78" s="17" t="str">
        <f>IFERROR(INDEX(逆引き作成用!$C$2:$C$169,MATCH($B78&amp;"/"&amp;$C78,逆引き作成用!W$2:W$169,FALSE),1),"")</f>
        <v/>
      </c>
      <c r="X78" s="17" t="str">
        <f>IFERROR(INDEX(逆引き作成用!$C$2:$C$169,MATCH($B78&amp;"/"&amp;$C78,逆引き作成用!X$2:X$169,FALSE),1),"")</f>
        <v/>
      </c>
      <c r="Y78" s="17" t="str">
        <f>IFERROR(INDEX(逆引き作成用!$C$2:$C$169,MATCH($B78&amp;"/"&amp;$C78,逆引き作成用!Y$2:Y$169,FALSE),1),"")</f>
        <v/>
      </c>
      <c r="Z78" s="17" t="str">
        <f>IFERROR(INDEX(逆引き作成用!$C$2:$C$169,MATCH($B78&amp;"/"&amp;$C78,逆引き作成用!Z$2:Z$169,FALSE),1),"")</f>
        <v/>
      </c>
      <c r="AA78" s="17" t="str">
        <f>IFERROR(INDEX(逆引き作成用!$C$2:$C$169,MATCH($B78&amp;"/"&amp;$C78,逆引き作成用!AA$2:AA$169,FALSE),1),"")</f>
        <v/>
      </c>
      <c r="AB78" s="17" t="str">
        <f>IFERROR(INDEX(逆引き作成用!$C$2:$C$169,MATCH($B78&amp;"/"&amp;$C78,逆引き作成用!AB$2:AB$169,FALSE),1),"")</f>
        <v/>
      </c>
      <c r="AC78" s="17" t="str">
        <f>IFERROR(INDEX(逆引き作成用!$C$2:$C$169,MATCH($B78&amp;"/"&amp;$C78,逆引き作成用!AC$2:AC$169,FALSE),1),"")</f>
        <v/>
      </c>
      <c r="AD78" s="17" t="str">
        <f>IFERROR(INDEX(逆引き作成用!$C$2:$C$169,MATCH($B78&amp;"/"&amp;$C78,逆引き作成用!AD$2:AD$169,FALSE),1),"")</f>
        <v/>
      </c>
      <c r="AE78" s="17" t="str">
        <f>IFERROR(INDEX(逆引き作成用!$C$2:$C$169,MATCH($B78&amp;"/"&amp;$C78,逆引き作成用!AE$2:AE$169,FALSE),1),"")</f>
        <v/>
      </c>
      <c r="AF78" s="17" t="str">
        <f>IFERROR(INDEX(逆引き作成用!$C$2:$C$169,MATCH($B78&amp;"/"&amp;$C78,逆引き作成用!AF$2:AF$169,FALSE),1),"")</f>
        <v/>
      </c>
      <c r="AG78" s="17" t="str">
        <f>IFERROR(INDEX(逆引き作成用!$C$2:$C$169,MATCH($B78&amp;"/"&amp;$C78,逆引き作成用!AG$2:AG$169,FALSE),1),"")</f>
        <v/>
      </c>
      <c r="AH78" s="17" t="str">
        <f>IFERROR(INDEX(逆引き作成用!$C$2:$C$169,MATCH($B78&amp;"/"&amp;$C78,逆引き作成用!AH$2:AH$169,FALSE),1),"")</f>
        <v/>
      </c>
      <c r="AI78" s="17" t="str">
        <f>IFERROR(INDEX(逆引き作成用!$C$2:$C$169,MATCH($B78&amp;"/"&amp;$C78,逆引き作成用!AI$2:AI$169,FALSE),1),"")</f>
        <v/>
      </c>
      <c r="AJ78" s="17" t="str">
        <f>IFERROR(INDEX(逆引き作成用!$C$2:$C$169,MATCH($B78&amp;"/"&amp;$C78,逆引き作成用!AJ$2:AJ$169,FALSE),1),"")</f>
        <v/>
      </c>
      <c r="AK78" s="17" t="str">
        <f>IFERROR(INDEX(逆引き作成用!$C$2:$C$169,MATCH($B78&amp;"/"&amp;$C78,逆引き作成用!AK$2:AK$169,FALSE),1),"")</f>
        <v/>
      </c>
      <c r="AL78" s="17" t="str">
        <f>IFERROR(INDEX(逆引き作成用!$C$2:$C$169,MATCH($B78&amp;"/"&amp;$C78,逆引き作成用!AL$2:AL$169,FALSE),1),"")</f>
        <v/>
      </c>
      <c r="AM78" s="17" t="str">
        <f>IFERROR(INDEX(逆引き作成用!$C$2:$C$169,MATCH($B78&amp;"/"&amp;$C78,逆引き作成用!AM$2:AM$169,FALSE),1),"")</f>
        <v/>
      </c>
      <c r="AN78" s="17" t="str">
        <f>IFERROR(INDEX(逆引き作成用!$C$2:$C$169,MATCH($B78&amp;"/"&amp;$C78,逆引き作成用!AN$2:AN$169,FALSE),1),"")</f>
        <v/>
      </c>
      <c r="AO78" s="17" t="str">
        <f>IFERROR(INDEX(逆引き作成用!$C$2:$C$169,MATCH($B78&amp;"/"&amp;$C78,逆引き作成用!AO$2:AO$169,FALSE),1),"")</f>
        <v/>
      </c>
      <c r="AP78" s="17" t="str">
        <f>IFERROR(INDEX(逆引き作成用!$C$2:$C$169,MATCH($B78&amp;"/"&amp;$C78,逆引き作成用!AP$2:AP$169,FALSE),1),"")</f>
        <v/>
      </c>
      <c r="AQ78" s="17" t="str">
        <f>IFERROR(INDEX(逆引き作成用!$C$2:$C$169,MATCH($B78&amp;"/"&amp;$C78,逆引き作成用!AQ$2:AQ$169,FALSE),1),"")</f>
        <v/>
      </c>
      <c r="AR78" s="17" t="str">
        <f>IFERROR(INDEX(逆引き作成用!$C$2:$C$169,MATCH($B78&amp;"/"&amp;$C78,逆引き作成用!AR$2:AR$169,FALSE),1),"")</f>
        <v/>
      </c>
      <c r="AS78" s="17" t="str">
        <f>IFERROR(INDEX(逆引き作成用!$C$2:$C$169,MATCH($B78&amp;"/"&amp;$C78,逆引き作成用!AS$2:AS$169,FALSE),1),"")</f>
        <v/>
      </c>
      <c r="AT78" s="17" t="str">
        <f>IFERROR(INDEX(逆引き作成用!$C$2:$C$169,MATCH($B78&amp;"/"&amp;$C78,逆引き作成用!AT$2:AT$169,FALSE),1),"")</f>
        <v/>
      </c>
      <c r="AU78" s="17" t="str">
        <f>IFERROR(INDEX(逆引き作成用!$C$2:$C$169,MATCH($B78&amp;"/"&amp;$C78,逆引き作成用!AU$2:AU$169,FALSE),1),"")</f>
        <v/>
      </c>
      <c r="AV78" s="17" t="str">
        <f>IFERROR(INDEX(逆引き作成用!$C$2:$C$169,MATCH($B78&amp;"/"&amp;$C78,逆引き作成用!AV$2:AV$169,FALSE),1),"")</f>
        <v/>
      </c>
      <c r="AW78" s="17" t="str">
        <f>IFERROR(INDEX(逆引き作成用!$C$2:$C$169,MATCH($B78&amp;"/"&amp;$C78,逆引き作成用!AW$2:AW$169,FALSE),1),"")</f>
        <v/>
      </c>
      <c r="AX78" s="17" t="str">
        <f>IFERROR(INDEX(逆引き作成用!$C$2:$C$169,MATCH($B78&amp;"/"&amp;$C78,逆引き作成用!AX$2:AX$169,FALSE),1),"")</f>
        <v/>
      </c>
      <c r="AY78" s="17" t="str">
        <f>IFERROR(INDEX(逆引き作成用!$C$2:$C$169,MATCH($B78&amp;"/"&amp;$C78,逆引き作成用!AY$2:AY$169,FALSE),1),"")</f>
        <v/>
      </c>
      <c r="AZ78" s="17" t="str">
        <f>IFERROR(INDEX(逆引き作成用!$C$2:$C$169,MATCH($B78&amp;"/"&amp;$C78,逆引き作成用!AZ$2:AZ$169,FALSE),1),"")</f>
        <v/>
      </c>
      <c r="BA78" s="17" t="str">
        <f>IFERROR(INDEX(逆引き作成用!$C$2:$C$169,MATCH($B78&amp;"/"&amp;$C78,逆引き作成用!BA$2:BA$169,FALSE),1),"")</f>
        <v/>
      </c>
    </row>
    <row r="79" spans="1:53">
      <c r="A79" s="17" t="str">
        <f>IFERROR(INDEX(役職一覧!$B$2:$B$31,MATCH(B79,役職一覧!$C$2:$C$31,FALSE),1),"")</f>
        <v/>
      </c>
      <c r="B79" s="17" t="str">
        <f>IFERROR(IF(C79=1,INDEX(役職一覧!$C$2:$C$31,MATCH(逆引き!B78,役職一覧!$C$2:$C$31,FALSE)+1,1)&amp;"",B78),"")</f>
        <v/>
      </c>
      <c r="C79" s="17" t="str">
        <f>IFERROR(IF(VLOOKUP(B78,役職一覧!$C$2:$E$31,3,FALSE)=C78,1,C78+1),"")</f>
        <v/>
      </c>
      <c r="D79" s="17" t="str">
        <f>IFERROR(INDEX(逆引き作成用!$C$2:$C$169,MATCH($B79&amp;"/"&amp;$C79,逆引き作成用!D$2:D$169,FALSE),1),"")</f>
        <v/>
      </c>
      <c r="E79" s="17" t="str">
        <f>IFERROR(INDEX(逆引き作成用!$C$2:$C$169,MATCH($B79&amp;"/"&amp;$C79,逆引き作成用!E$2:E$169,FALSE),1),"")</f>
        <v/>
      </c>
      <c r="F79" s="17" t="str">
        <f>IFERROR(INDEX(逆引き作成用!$C$2:$C$169,MATCH($B79&amp;"/"&amp;$C79,逆引き作成用!F$2:F$169,FALSE),1),"")</f>
        <v/>
      </c>
      <c r="G79" s="17" t="str">
        <f>IFERROR(INDEX(逆引き作成用!$C$2:$C$169,MATCH($B79&amp;"/"&amp;$C79,逆引き作成用!G$2:G$169,FALSE),1),"")</f>
        <v/>
      </c>
      <c r="H79" s="17" t="str">
        <f>IFERROR(INDEX(逆引き作成用!$C$2:$C$169,MATCH($B79&amp;"/"&amp;$C79,逆引き作成用!H$2:H$169,FALSE),1),"")</f>
        <v/>
      </c>
      <c r="I79" s="17" t="str">
        <f>IFERROR(INDEX(逆引き作成用!$C$2:$C$169,MATCH($B79&amp;"/"&amp;$C79,逆引き作成用!I$2:I$169,FALSE),1),"")</f>
        <v/>
      </c>
      <c r="J79" s="17" t="str">
        <f>IFERROR(INDEX(逆引き作成用!$C$2:$C$169,MATCH($B79&amp;"/"&amp;$C79,逆引き作成用!J$2:J$169,FALSE),1),"")</f>
        <v/>
      </c>
      <c r="K79" s="17" t="str">
        <f>IFERROR(INDEX(逆引き作成用!$C$2:$C$169,MATCH($B79&amp;"/"&amp;$C79,逆引き作成用!K$2:K$169,FALSE),1),"")</f>
        <v/>
      </c>
      <c r="L79" s="17" t="str">
        <f>IFERROR(INDEX(逆引き作成用!$C$2:$C$169,MATCH($B79&amp;"/"&amp;$C79,逆引き作成用!L$2:L$169,FALSE),1),"")</f>
        <v/>
      </c>
      <c r="M79" s="17" t="str">
        <f>IFERROR(INDEX(逆引き作成用!$C$2:$C$169,MATCH($B79&amp;"/"&amp;$C79,逆引き作成用!M$2:M$169,FALSE),1),"")</f>
        <v/>
      </c>
      <c r="N79" s="17" t="str">
        <f>IFERROR(INDEX(逆引き作成用!$C$2:$C$169,MATCH($B79&amp;"/"&amp;$C79,逆引き作成用!N$2:N$169,FALSE),1),"")</f>
        <v/>
      </c>
      <c r="O79" s="17" t="str">
        <f>IFERROR(INDEX(逆引き作成用!$C$2:$C$169,MATCH($B79&amp;"/"&amp;$C79,逆引き作成用!O$2:O$169,FALSE),1),"")</f>
        <v/>
      </c>
      <c r="P79" s="17" t="str">
        <f>IFERROR(INDEX(逆引き作成用!$C$2:$C$169,MATCH($B79&amp;"/"&amp;$C79,逆引き作成用!P$2:P$169,FALSE),1),"")</f>
        <v/>
      </c>
      <c r="Q79" s="17" t="str">
        <f>IFERROR(INDEX(逆引き作成用!$C$2:$C$169,MATCH($B79&amp;"/"&amp;$C79,逆引き作成用!Q$2:Q$169,FALSE),1),"")</f>
        <v/>
      </c>
      <c r="R79" s="17" t="str">
        <f>IFERROR(INDEX(逆引き作成用!$C$2:$C$169,MATCH($B79&amp;"/"&amp;$C79,逆引き作成用!R$2:R$169,FALSE),1),"")</f>
        <v/>
      </c>
      <c r="S79" s="17" t="str">
        <f>IFERROR(INDEX(逆引き作成用!$C$2:$C$169,MATCH($B79&amp;"/"&amp;$C79,逆引き作成用!S$2:S$169,FALSE),1),"")</f>
        <v/>
      </c>
      <c r="T79" s="17" t="str">
        <f>IFERROR(INDEX(逆引き作成用!$C$2:$C$169,MATCH($B79&amp;"/"&amp;$C79,逆引き作成用!T$2:T$169,FALSE),1),"")</f>
        <v/>
      </c>
      <c r="U79" s="17" t="str">
        <f>IFERROR(INDEX(逆引き作成用!$C$2:$C$169,MATCH($B79&amp;"/"&amp;$C79,逆引き作成用!U$2:U$169,FALSE),1),"")</f>
        <v/>
      </c>
      <c r="V79" s="17" t="str">
        <f>IFERROR(INDEX(逆引き作成用!$C$2:$C$169,MATCH($B79&amp;"/"&amp;$C79,逆引き作成用!V$2:V$169,FALSE),1),"")</f>
        <v/>
      </c>
      <c r="W79" s="17" t="str">
        <f>IFERROR(INDEX(逆引き作成用!$C$2:$C$169,MATCH($B79&amp;"/"&amp;$C79,逆引き作成用!W$2:W$169,FALSE),1),"")</f>
        <v/>
      </c>
      <c r="X79" s="17" t="str">
        <f>IFERROR(INDEX(逆引き作成用!$C$2:$C$169,MATCH($B79&amp;"/"&amp;$C79,逆引き作成用!X$2:X$169,FALSE),1),"")</f>
        <v/>
      </c>
      <c r="Y79" s="17" t="str">
        <f>IFERROR(INDEX(逆引き作成用!$C$2:$C$169,MATCH($B79&amp;"/"&amp;$C79,逆引き作成用!Y$2:Y$169,FALSE),1),"")</f>
        <v/>
      </c>
      <c r="Z79" s="17" t="str">
        <f>IFERROR(INDEX(逆引き作成用!$C$2:$C$169,MATCH($B79&amp;"/"&amp;$C79,逆引き作成用!Z$2:Z$169,FALSE),1),"")</f>
        <v/>
      </c>
      <c r="AA79" s="17" t="str">
        <f>IFERROR(INDEX(逆引き作成用!$C$2:$C$169,MATCH($B79&amp;"/"&amp;$C79,逆引き作成用!AA$2:AA$169,FALSE),1),"")</f>
        <v/>
      </c>
      <c r="AB79" s="17" t="str">
        <f>IFERROR(INDEX(逆引き作成用!$C$2:$C$169,MATCH($B79&amp;"/"&amp;$C79,逆引き作成用!AB$2:AB$169,FALSE),1),"")</f>
        <v/>
      </c>
      <c r="AC79" s="17" t="str">
        <f>IFERROR(INDEX(逆引き作成用!$C$2:$C$169,MATCH($B79&amp;"/"&amp;$C79,逆引き作成用!AC$2:AC$169,FALSE),1),"")</f>
        <v/>
      </c>
      <c r="AD79" s="17" t="str">
        <f>IFERROR(INDEX(逆引き作成用!$C$2:$C$169,MATCH($B79&amp;"/"&amp;$C79,逆引き作成用!AD$2:AD$169,FALSE),1),"")</f>
        <v/>
      </c>
      <c r="AE79" s="17" t="str">
        <f>IFERROR(INDEX(逆引き作成用!$C$2:$C$169,MATCH($B79&amp;"/"&amp;$C79,逆引き作成用!AE$2:AE$169,FALSE),1),"")</f>
        <v/>
      </c>
      <c r="AF79" s="17" t="str">
        <f>IFERROR(INDEX(逆引き作成用!$C$2:$C$169,MATCH($B79&amp;"/"&amp;$C79,逆引き作成用!AF$2:AF$169,FALSE),1),"")</f>
        <v/>
      </c>
      <c r="AG79" s="17" t="str">
        <f>IFERROR(INDEX(逆引き作成用!$C$2:$C$169,MATCH($B79&amp;"/"&amp;$C79,逆引き作成用!AG$2:AG$169,FALSE),1),"")</f>
        <v/>
      </c>
      <c r="AH79" s="17" t="str">
        <f>IFERROR(INDEX(逆引き作成用!$C$2:$C$169,MATCH($B79&amp;"/"&amp;$C79,逆引き作成用!AH$2:AH$169,FALSE),1),"")</f>
        <v/>
      </c>
      <c r="AI79" s="17" t="str">
        <f>IFERROR(INDEX(逆引き作成用!$C$2:$C$169,MATCH($B79&amp;"/"&amp;$C79,逆引き作成用!AI$2:AI$169,FALSE),1),"")</f>
        <v/>
      </c>
      <c r="AJ79" s="17" t="str">
        <f>IFERROR(INDEX(逆引き作成用!$C$2:$C$169,MATCH($B79&amp;"/"&amp;$C79,逆引き作成用!AJ$2:AJ$169,FALSE),1),"")</f>
        <v/>
      </c>
      <c r="AK79" s="17" t="str">
        <f>IFERROR(INDEX(逆引き作成用!$C$2:$C$169,MATCH($B79&amp;"/"&amp;$C79,逆引き作成用!AK$2:AK$169,FALSE),1),"")</f>
        <v/>
      </c>
      <c r="AL79" s="17" t="str">
        <f>IFERROR(INDEX(逆引き作成用!$C$2:$C$169,MATCH($B79&amp;"/"&amp;$C79,逆引き作成用!AL$2:AL$169,FALSE),1),"")</f>
        <v/>
      </c>
      <c r="AM79" s="17" t="str">
        <f>IFERROR(INDEX(逆引き作成用!$C$2:$C$169,MATCH($B79&amp;"/"&amp;$C79,逆引き作成用!AM$2:AM$169,FALSE),1),"")</f>
        <v/>
      </c>
      <c r="AN79" s="17" t="str">
        <f>IFERROR(INDEX(逆引き作成用!$C$2:$C$169,MATCH($B79&amp;"/"&amp;$C79,逆引き作成用!AN$2:AN$169,FALSE),1),"")</f>
        <v/>
      </c>
      <c r="AO79" s="17" t="str">
        <f>IFERROR(INDEX(逆引き作成用!$C$2:$C$169,MATCH($B79&amp;"/"&amp;$C79,逆引き作成用!AO$2:AO$169,FALSE),1),"")</f>
        <v/>
      </c>
      <c r="AP79" s="17" t="str">
        <f>IFERROR(INDEX(逆引き作成用!$C$2:$C$169,MATCH($B79&amp;"/"&amp;$C79,逆引き作成用!AP$2:AP$169,FALSE),1),"")</f>
        <v/>
      </c>
      <c r="AQ79" s="17" t="str">
        <f>IFERROR(INDEX(逆引き作成用!$C$2:$C$169,MATCH($B79&amp;"/"&amp;$C79,逆引き作成用!AQ$2:AQ$169,FALSE),1),"")</f>
        <v/>
      </c>
      <c r="AR79" s="17" t="str">
        <f>IFERROR(INDEX(逆引き作成用!$C$2:$C$169,MATCH($B79&amp;"/"&amp;$C79,逆引き作成用!AR$2:AR$169,FALSE),1),"")</f>
        <v/>
      </c>
      <c r="AS79" s="17" t="str">
        <f>IFERROR(INDEX(逆引き作成用!$C$2:$C$169,MATCH($B79&amp;"/"&amp;$C79,逆引き作成用!AS$2:AS$169,FALSE),1),"")</f>
        <v/>
      </c>
      <c r="AT79" s="17" t="str">
        <f>IFERROR(INDEX(逆引き作成用!$C$2:$C$169,MATCH($B79&amp;"/"&amp;$C79,逆引き作成用!AT$2:AT$169,FALSE),1),"")</f>
        <v/>
      </c>
      <c r="AU79" s="17" t="str">
        <f>IFERROR(INDEX(逆引き作成用!$C$2:$C$169,MATCH($B79&amp;"/"&amp;$C79,逆引き作成用!AU$2:AU$169,FALSE),1),"")</f>
        <v/>
      </c>
      <c r="AV79" s="17" t="str">
        <f>IFERROR(INDEX(逆引き作成用!$C$2:$C$169,MATCH($B79&amp;"/"&amp;$C79,逆引き作成用!AV$2:AV$169,FALSE),1),"")</f>
        <v/>
      </c>
      <c r="AW79" s="17" t="str">
        <f>IFERROR(INDEX(逆引き作成用!$C$2:$C$169,MATCH($B79&amp;"/"&amp;$C79,逆引き作成用!AW$2:AW$169,FALSE),1),"")</f>
        <v/>
      </c>
      <c r="AX79" s="17" t="str">
        <f>IFERROR(INDEX(逆引き作成用!$C$2:$C$169,MATCH($B79&amp;"/"&amp;$C79,逆引き作成用!AX$2:AX$169,FALSE),1),"")</f>
        <v/>
      </c>
      <c r="AY79" s="17" t="str">
        <f>IFERROR(INDEX(逆引き作成用!$C$2:$C$169,MATCH($B79&amp;"/"&amp;$C79,逆引き作成用!AY$2:AY$169,FALSE),1),"")</f>
        <v/>
      </c>
      <c r="AZ79" s="17" t="str">
        <f>IFERROR(INDEX(逆引き作成用!$C$2:$C$169,MATCH($B79&amp;"/"&amp;$C79,逆引き作成用!AZ$2:AZ$169,FALSE),1),"")</f>
        <v/>
      </c>
      <c r="BA79" s="17" t="str">
        <f>IFERROR(INDEX(逆引き作成用!$C$2:$C$169,MATCH($B79&amp;"/"&amp;$C79,逆引き作成用!BA$2:BA$169,FALSE),1),"")</f>
        <v/>
      </c>
    </row>
    <row r="80" spans="1:53">
      <c r="A80" s="17" t="str">
        <f>IFERROR(INDEX(役職一覧!$B$2:$B$31,MATCH(B80,役職一覧!$C$2:$C$31,FALSE),1),"")</f>
        <v/>
      </c>
      <c r="B80" s="17" t="str">
        <f>IFERROR(IF(C80=1,INDEX(役職一覧!$C$2:$C$31,MATCH(逆引き!B79,役職一覧!$C$2:$C$31,FALSE)+1,1)&amp;"",B79),"")</f>
        <v/>
      </c>
      <c r="C80" s="17" t="str">
        <f>IFERROR(IF(VLOOKUP(B79,役職一覧!$C$2:$E$31,3,FALSE)=C79,1,C79+1),"")</f>
        <v/>
      </c>
      <c r="D80" s="17" t="str">
        <f>IFERROR(INDEX(逆引き作成用!$C$2:$C$169,MATCH($B80&amp;"/"&amp;$C80,逆引き作成用!D$2:D$169,FALSE),1),"")</f>
        <v/>
      </c>
      <c r="E80" s="17" t="str">
        <f>IFERROR(INDEX(逆引き作成用!$C$2:$C$169,MATCH($B80&amp;"/"&amp;$C80,逆引き作成用!E$2:E$169,FALSE),1),"")</f>
        <v/>
      </c>
      <c r="F80" s="17" t="str">
        <f>IFERROR(INDEX(逆引き作成用!$C$2:$C$169,MATCH($B80&amp;"/"&amp;$C80,逆引き作成用!F$2:F$169,FALSE),1),"")</f>
        <v/>
      </c>
      <c r="G80" s="17" t="str">
        <f>IFERROR(INDEX(逆引き作成用!$C$2:$C$169,MATCH($B80&amp;"/"&amp;$C80,逆引き作成用!G$2:G$169,FALSE),1),"")</f>
        <v/>
      </c>
      <c r="H80" s="17" t="str">
        <f>IFERROR(INDEX(逆引き作成用!$C$2:$C$169,MATCH($B80&amp;"/"&amp;$C80,逆引き作成用!H$2:H$169,FALSE),1),"")</f>
        <v/>
      </c>
      <c r="I80" s="17" t="str">
        <f>IFERROR(INDEX(逆引き作成用!$C$2:$C$169,MATCH($B80&amp;"/"&amp;$C80,逆引き作成用!I$2:I$169,FALSE),1),"")</f>
        <v/>
      </c>
      <c r="J80" s="17" t="str">
        <f>IFERROR(INDEX(逆引き作成用!$C$2:$C$169,MATCH($B80&amp;"/"&amp;$C80,逆引き作成用!J$2:J$169,FALSE),1),"")</f>
        <v/>
      </c>
      <c r="K80" s="17" t="str">
        <f>IFERROR(INDEX(逆引き作成用!$C$2:$C$169,MATCH($B80&amp;"/"&amp;$C80,逆引き作成用!K$2:K$169,FALSE),1),"")</f>
        <v/>
      </c>
      <c r="L80" s="17" t="str">
        <f>IFERROR(INDEX(逆引き作成用!$C$2:$C$169,MATCH($B80&amp;"/"&amp;$C80,逆引き作成用!L$2:L$169,FALSE),1),"")</f>
        <v/>
      </c>
      <c r="M80" s="17" t="str">
        <f>IFERROR(INDEX(逆引き作成用!$C$2:$C$169,MATCH($B80&amp;"/"&amp;$C80,逆引き作成用!M$2:M$169,FALSE),1),"")</f>
        <v/>
      </c>
      <c r="N80" s="17" t="str">
        <f>IFERROR(INDEX(逆引き作成用!$C$2:$C$169,MATCH($B80&amp;"/"&amp;$C80,逆引き作成用!N$2:N$169,FALSE),1),"")</f>
        <v/>
      </c>
      <c r="O80" s="17" t="str">
        <f>IFERROR(INDEX(逆引き作成用!$C$2:$C$169,MATCH($B80&amp;"/"&amp;$C80,逆引き作成用!O$2:O$169,FALSE),1),"")</f>
        <v/>
      </c>
      <c r="P80" s="17" t="str">
        <f>IFERROR(INDEX(逆引き作成用!$C$2:$C$169,MATCH($B80&amp;"/"&amp;$C80,逆引き作成用!P$2:P$169,FALSE),1),"")</f>
        <v/>
      </c>
      <c r="Q80" s="17" t="str">
        <f>IFERROR(INDEX(逆引き作成用!$C$2:$C$169,MATCH($B80&amp;"/"&amp;$C80,逆引き作成用!Q$2:Q$169,FALSE),1),"")</f>
        <v/>
      </c>
      <c r="R80" s="17" t="str">
        <f>IFERROR(INDEX(逆引き作成用!$C$2:$C$169,MATCH($B80&amp;"/"&amp;$C80,逆引き作成用!R$2:R$169,FALSE),1),"")</f>
        <v/>
      </c>
      <c r="S80" s="17" t="str">
        <f>IFERROR(INDEX(逆引き作成用!$C$2:$C$169,MATCH($B80&amp;"/"&amp;$C80,逆引き作成用!S$2:S$169,FALSE),1),"")</f>
        <v/>
      </c>
      <c r="T80" s="17" t="str">
        <f>IFERROR(INDEX(逆引き作成用!$C$2:$C$169,MATCH($B80&amp;"/"&amp;$C80,逆引き作成用!T$2:T$169,FALSE),1),"")</f>
        <v/>
      </c>
      <c r="U80" s="17" t="str">
        <f>IFERROR(INDEX(逆引き作成用!$C$2:$C$169,MATCH($B80&amp;"/"&amp;$C80,逆引き作成用!U$2:U$169,FALSE),1),"")</f>
        <v/>
      </c>
      <c r="V80" s="17" t="str">
        <f>IFERROR(INDEX(逆引き作成用!$C$2:$C$169,MATCH($B80&amp;"/"&amp;$C80,逆引き作成用!V$2:V$169,FALSE),1),"")</f>
        <v/>
      </c>
      <c r="W80" s="17" t="str">
        <f>IFERROR(INDEX(逆引き作成用!$C$2:$C$169,MATCH($B80&amp;"/"&amp;$C80,逆引き作成用!W$2:W$169,FALSE),1),"")</f>
        <v/>
      </c>
      <c r="X80" s="17" t="str">
        <f>IFERROR(INDEX(逆引き作成用!$C$2:$C$169,MATCH($B80&amp;"/"&amp;$C80,逆引き作成用!X$2:X$169,FALSE),1),"")</f>
        <v/>
      </c>
      <c r="Y80" s="17" t="str">
        <f>IFERROR(INDEX(逆引き作成用!$C$2:$C$169,MATCH($B80&amp;"/"&amp;$C80,逆引き作成用!Y$2:Y$169,FALSE),1),"")</f>
        <v/>
      </c>
      <c r="Z80" s="17" t="str">
        <f>IFERROR(INDEX(逆引き作成用!$C$2:$C$169,MATCH($B80&amp;"/"&amp;$C80,逆引き作成用!Z$2:Z$169,FALSE),1),"")</f>
        <v/>
      </c>
      <c r="AA80" s="17" t="str">
        <f>IFERROR(INDEX(逆引き作成用!$C$2:$C$169,MATCH($B80&amp;"/"&amp;$C80,逆引き作成用!AA$2:AA$169,FALSE),1),"")</f>
        <v/>
      </c>
      <c r="AB80" s="17" t="str">
        <f>IFERROR(INDEX(逆引き作成用!$C$2:$C$169,MATCH($B80&amp;"/"&amp;$C80,逆引き作成用!AB$2:AB$169,FALSE),1),"")</f>
        <v/>
      </c>
      <c r="AC80" s="17" t="str">
        <f>IFERROR(INDEX(逆引き作成用!$C$2:$C$169,MATCH($B80&amp;"/"&amp;$C80,逆引き作成用!AC$2:AC$169,FALSE),1),"")</f>
        <v/>
      </c>
      <c r="AD80" s="17" t="str">
        <f>IFERROR(INDEX(逆引き作成用!$C$2:$C$169,MATCH($B80&amp;"/"&amp;$C80,逆引き作成用!AD$2:AD$169,FALSE),1),"")</f>
        <v/>
      </c>
      <c r="AE80" s="17" t="str">
        <f>IFERROR(INDEX(逆引き作成用!$C$2:$C$169,MATCH($B80&amp;"/"&amp;$C80,逆引き作成用!AE$2:AE$169,FALSE),1),"")</f>
        <v/>
      </c>
      <c r="AF80" s="17" t="str">
        <f>IFERROR(INDEX(逆引き作成用!$C$2:$C$169,MATCH($B80&amp;"/"&amp;$C80,逆引き作成用!AF$2:AF$169,FALSE),1),"")</f>
        <v/>
      </c>
      <c r="AG80" s="17" t="str">
        <f>IFERROR(INDEX(逆引き作成用!$C$2:$C$169,MATCH($B80&amp;"/"&amp;$C80,逆引き作成用!AG$2:AG$169,FALSE),1),"")</f>
        <v/>
      </c>
      <c r="AH80" s="17" t="str">
        <f>IFERROR(INDEX(逆引き作成用!$C$2:$C$169,MATCH($B80&amp;"/"&amp;$C80,逆引き作成用!AH$2:AH$169,FALSE),1),"")</f>
        <v/>
      </c>
      <c r="AI80" s="17" t="str">
        <f>IFERROR(INDEX(逆引き作成用!$C$2:$C$169,MATCH($B80&amp;"/"&amp;$C80,逆引き作成用!AI$2:AI$169,FALSE),1),"")</f>
        <v/>
      </c>
      <c r="AJ80" s="17" t="str">
        <f>IFERROR(INDEX(逆引き作成用!$C$2:$C$169,MATCH($B80&amp;"/"&amp;$C80,逆引き作成用!AJ$2:AJ$169,FALSE),1),"")</f>
        <v/>
      </c>
      <c r="AK80" s="17" t="str">
        <f>IFERROR(INDEX(逆引き作成用!$C$2:$C$169,MATCH($B80&amp;"/"&amp;$C80,逆引き作成用!AK$2:AK$169,FALSE),1),"")</f>
        <v/>
      </c>
      <c r="AL80" s="17" t="str">
        <f>IFERROR(INDEX(逆引き作成用!$C$2:$C$169,MATCH($B80&amp;"/"&amp;$C80,逆引き作成用!AL$2:AL$169,FALSE),1),"")</f>
        <v/>
      </c>
      <c r="AM80" s="17" t="str">
        <f>IFERROR(INDEX(逆引き作成用!$C$2:$C$169,MATCH($B80&amp;"/"&amp;$C80,逆引き作成用!AM$2:AM$169,FALSE),1),"")</f>
        <v/>
      </c>
      <c r="AN80" s="17" t="str">
        <f>IFERROR(INDEX(逆引き作成用!$C$2:$C$169,MATCH($B80&amp;"/"&amp;$C80,逆引き作成用!AN$2:AN$169,FALSE),1),"")</f>
        <v/>
      </c>
      <c r="AO80" s="17" t="str">
        <f>IFERROR(INDEX(逆引き作成用!$C$2:$C$169,MATCH($B80&amp;"/"&amp;$C80,逆引き作成用!AO$2:AO$169,FALSE),1),"")</f>
        <v/>
      </c>
      <c r="AP80" s="17" t="str">
        <f>IFERROR(INDEX(逆引き作成用!$C$2:$C$169,MATCH($B80&amp;"/"&amp;$C80,逆引き作成用!AP$2:AP$169,FALSE),1),"")</f>
        <v/>
      </c>
      <c r="AQ80" s="17" t="str">
        <f>IFERROR(INDEX(逆引き作成用!$C$2:$C$169,MATCH($B80&amp;"/"&amp;$C80,逆引き作成用!AQ$2:AQ$169,FALSE),1),"")</f>
        <v/>
      </c>
      <c r="AR80" s="17" t="str">
        <f>IFERROR(INDEX(逆引き作成用!$C$2:$C$169,MATCH($B80&amp;"/"&amp;$C80,逆引き作成用!AR$2:AR$169,FALSE),1),"")</f>
        <v/>
      </c>
      <c r="AS80" s="17" t="str">
        <f>IFERROR(INDEX(逆引き作成用!$C$2:$C$169,MATCH($B80&amp;"/"&amp;$C80,逆引き作成用!AS$2:AS$169,FALSE),1),"")</f>
        <v/>
      </c>
      <c r="AT80" s="17" t="str">
        <f>IFERROR(INDEX(逆引き作成用!$C$2:$C$169,MATCH($B80&amp;"/"&amp;$C80,逆引き作成用!AT$2:AT$169,FALSE),1),"")</f>
        <v/>
      </c>
      <c r="AU80" s="17" t="str">
        <f>IFERROR(INDEX(逆引き作成用!$C$2:$C$169,MATCH($B80&amp;"/"&amp;$C80,逆引き作成用!AU$2:AU$169,FALSE),1),"")</f>
        <v/>
      </c>
      <c r="AV80" s="17" t="str">
        <f>IFERROR(INDEX(逆引き作成用!$C$2:$C$169,MATCH($B80&amp;"/"&amp;$C80,逆引き作成用!AV$2:AV$169,FALSE),1),"")</f>
        <v/>
      </c>
      <c r="AW80" s="17" t="str">
        <f>IFERROR(INDEX(逆引き作成用!$C$2:$C$169,MATCH($B80&amp;"/"&amp;$C80,逆引き作成用!AW$2:AW$169,FALSE),1),"")</f>
        <v/>
      </c>
      <c r="AX80" s="17" t="str">
        <f>IFERROR(INDEX(逆引き作成用!$C$2:$C$169,MATCH($B80&amp;"/"&amp;$C80,逆引き作成用!AX$2:AX$169,FALSE),1),"")</f>
        <v/>
      </c>
      <c r="AY80" s="17" t="str">
        <f>IFERROR(INDEX(逆引き作成用!$C$2:$C$169,MATCH($B80&amp;"/"&amp;$C80,逆引き作成用!AY$2:AY$169,FALSE),1),"")</f>
        <v/>
      </c>
      <c r="AZ80" s="17" t="str">
        <f>IFERROR(INDEX(逆引き作成用!$C$2:$C$169,MATCH($B80&amp;"/"&amp;$C80,逆引き作成用!AZ$2:AZ$169,FALSE),1),"")</f>
        <v/>
      </c>
      <c r="BA80" s="17" t="str">
        <f>IFERROR(INDEX(逆引き作成用!$C$2:$C$169,MATCH($B80&amp;"/"&amp;$C80,逆引き作成用!BA$2:BA$169,FALSE),1),"")</f>
        <v/>
      </c>
    </row>
    <row r="81" spans="1:53">
      <c r="A81" s="17" t="str">
        <f>IFERROR(INDEX(役職一覧!$B$2:$B$31,MATCH(B81,役職一覧!$C$2:$C$31,FALSE),1),"")</f>
        <v/>
      </c>
      <c r="B81" s="17" t="str">
        <f>IFERROR(IF(C81=1,INDEX(役職一覧!$C$2:$C$31,MATCH(逆引き!B80,役職一覧!$C$2:$C$31,FALSE)+1,1)&amp;"",B80),"")</f>
        <v/>
      </c>
      <c r="C81" s="17" t="str">
        <f>IFERROR(IF(VLOOKUP(B80,役職一覧!$C$2:$E$31,3,FALSE)=C80,1,C80+1),"")</f>
        <v/>
      </c>
      <c r="D81" s="17" t="str">
        <f>IFERROR(INDEX(逆引き作成用!$C$2:$C$169,MATCH($B81&amp;"/"&amp;$C81,逆引き作成用!D$2:D$169,FALSE),1),"")</f>
        <v/>
      </c>
      <c r="E81" s="17" t="str">
        <f>IFERROR(INDEX(逆引き作成用!$C$2:$C$169,MATCH($B81&amp;"/"&amp;$C81,逆引き作成用!E$2:E$169,FALSE),1),"")</f>
        <v/>
      </c>
      <c r="F81" s="17" t="str">
        <f>IFERROR(INDEX(逆引き作成用!$C$2:$C$169,MATCH($B81&amp;"/"&amp;$C81,逆引き作成用!F$2:F$169,FALSE),1),"")</f>
        <v/>
      </c>
      <c r="G81" s="17" t="str">
        <f>IFERROR(INDEX(逆引き作成用!$C$2:$C$169,MATCH($B81&amp;"/"&amp;$C81,逆引き作成用!G$2:G$169,FALSE),1),"")</f>
        <v/>
      </c>
      <c r="H81" s="17" t="str">
        <f>IFERROR(INDEX(逆引き作成用!$C$2:$C$169,MATCH($B81&amp;"/"&amp;$C81,逆引き作成用!H$2:H$169,FALSE),1),"")</f>
        <v/>
      </c>
      <c r="I81" s="17" t="str">
        <f>IFERROR(INDEX(逆引き作成用!$C$2:$C$169,MATCH($B81&amp;"/"&amp;$C81,逆引き作成用!I$2:I$169,FALSE),1),"")</f>
        <v/>
      </c>
      <c r="J81" s="17" t="str">
        <f>IFERROR(INDEX(逆引き作成用!$C$2:$C$169,MATCH($B81&amp;"/"&amp;$C81,逆引き作成用!J$2:J$169,FALSE),1),"")</f>
        <v/>
      </c>
      <c r="K81" s="17" t="str">
        <f>IFERROR(INDEX(逆引き作成用!$C$2:$C$169,MATCH($B81&amp;"/"&amp;$C81,逆引き作成用!K$2:K$169,FALSE),1),"")</f>
        <v/>
      </c>
      <c r="L81" s="17" t="str">
        <f>IFERROR(INDEX(逆引き作成用!$C$2:$C$169,MATCH($B81&amp;"/"&amp;$C81,逆引き作成用!L$2:L$169,FALSE),1),"")</f>
        <v/>
      </c>
      <c r="M81" s="17" t="str">
        <f>IFERROR(INDEX(逆引き作成用!$C$2:$C$169,MATCH($B81&amp;"/"&amp;$C81,逆引き作成用!M$2:M$169,FALSE),1),"")</f>
        <v/>
      </c>
      <c r="N81" s="17" t="str">
        <f>IFERROR(INDEX(逆引き作成用!$C$2:$C$169,MATCH($B81&amp;"/"&amp;$C81,逆引き作成用!N$2:N$169,FALSE),1),"")</f>
        <v/>
      </c>
      <c r="O81" s="17" t="str">
        <f>IFERROR(INDEX(逆引き作成用!$C$2:$C$169,MATCH($B81&amp;"/"&amp;$C81,逆引き作成用!O$2:O$169,FALSE),1),"")</f>
        <v/>
      </c>
      <c r="P81" s="17" t="str">
        <f>IFERROR(INDEX(逆引き作成用!$C$2:$C$169,MATCH($B81&amp;"/"&amp;$C81,逆引き作成用!P$2:P$169,FALSE),1),"")</f>
        <v/>
      </c>
      <c r="Q81" s="17" t="str">
        <f>IFERROR(INDEX(逆引き作成用!$C$2:$C$169,MATCH($B81&amp;"/"&amp;$C81,逆引き作成用!Q$2:Q$169,FALSE),1),"")</f>
        <v/>
      </c>
      <c r="R81" s="17" t="str">
        <f>IFERROR(INDEX(逆引き作成用!$C$2:$C$169,MATCH($B81&amp;"/"&amp;$C81,逆引き作成用!R$2:R$169,FALSE),1),"")</f>
        <v/>
      </c>
      <c r="S81" s="17" t="str">
        <f>IFERROR(INDEX(逆引き作成用!$C$2:$C$169,MATCH($B81&amp;"/"&amp;$C81,逆引き作成用!S$2:S$169,FALSE),1),"")</f>
        <v/>
      </c>
      <c r="T81" s="17" t="str">
        <f>IFERROR(INDEX(逆引き作成用!$C$2:$C$169,MATCH($B81&amp;"/"&amp;$C81,逆引き作成用!T$2:T$169,FALSE),1),"")</f>
        <v/>
      </c>
      <c r="U81" s="17" t="str">
        <f>IFERROR(INDEX(逆引き作成用!$C$2:$C$169,MATCH($B81&amp;"/"&amp;$C81,逆引き作成用!U$2:U$169,FALSE),1),"")</f>
        <v/>
      </c>
      <c r="V81" s="17" t="str">
        <f>IFERROR(INDEX(逆引き作成用!$C$2:$C$169,MATCH($B81&amp;"/"&amp;$C81,逆引き作成用!V$2:V$169,FALSE),1),"")</f>
        <v/>
      </c>
      <c r="W81" s="17" t="str">
        <f>IFERROR(INDEX(逆引き作成用!$C$2:$C$169,MATCH($B81&amp;"/"&amp;$C81,逆引き作成用!W$2:W$169,FALSE),1),"")</f>
        <v/>
      </c>
      <c r="X81" s="17" t="str">
        <f>IFERROR(INDEX(逆引き作成用!$C$2:$C$169,MATCH($B81&amp;"/"&amp;$C81,逆引き作成用!X$2:X$169,FALSE),1),"")</f>
        <v/>
      </c>
      <c r="Y81" s="17" t="str">
        <f>IFERROR(INDEX(逆引き作成用!$C$2:$C$169,MATCH($B81&amp;"/"&amp;$C81,逆引き作成用!Y$2:Y$169,FALSE),1),"")</f>
        <v/>
      </c>
      <c r="Z81" s="17" t="str">
        <f>IFERROR(INDEX(逆引き作成用!$C$2:$C$169,MATCH($B81&amp;"/"&amp;$C81,逆引き作成用!Z$2:Z$169,FALSE),1),"")</f>
        <v/>
      </c>
      <c r="AA81" s="17" t="str">
        <f>IFERROR(INDEX(逆引き作成用!$C$2:$C$169,MATCH($B81&amp;"/"&amp;$C81,逆引き作成用!AA$2:AA$169,FALSE),1),"")</f>
        <v/>
      </c>
      <c r="AB81" s="17" t="str">
        <f>IFERROR(INDEX(逆引き作成用!$C$2:$C$169,MATCH($B81&amp;"/"&amp;$C81,逆引き作成用!AB$2:AB$169,FALSE),1),"")</f>
        <v/>
      </c>
      <c r="AC81" s="17" t="str">
        <f>IFERROR(INDEX(逆引き作成用!$C$2:$C$169,MATCH($B81&amp;"/"&amp;$C81,逆引き作成用!AC$2:AC$169,FALSE),1),"")</f>
        <v/>
      </c>
      <c r="AD81" s="17" t="str">
        <f>IFERROR(INDEX(逆引き作成用!$C$2:$C$169,MATCH($B81&amp;"/"&amp;$C81,逆引き作成用!AD$2:AD$169,FALSE),1),"")</f>
        <v/>
      </c>
      <c r="AE81" s="17" t="str">
        <f>IFERROR(INDEX(逆引き作成用!$C$2:$C$169,MATCH($B81&amp;"/"&amp;$C81,逆引き作成用!AE$2:AE$169,FALSE),1),"")</f>
        <v/>
      </c>
      <c r="AF81" s="17" t="str">
        <f>IFERROR(INDEX(逆引き作成用!$C$2:$C$169,MATCH($B81&amp;"/"&amp;$C81,逆引き作成用!AF$2:AF$169,FALSE),1),"")</f>
        <v/>
      </c>
      <c r="AG81" s="17" t="str">
        <f>IFERROR(INDEX(逆引き作成用!$C$2:$C$169,MATCH($B81&amp;"/"&amp;$C81,逆引き作成用!AG$2:AG$169,FALSE),1),"")</f>
        <v/>
      </c>
      <c r="AH81" s="17" t="str">
        <f>IFERROR(INDEX(逆引き作成用!$C$2:$C$169,MATCH($B81&amp;"/"&amp;$C81,逆引き作成用!AH$2:AH$169,FALSE),1),"")</f>
        <v/>
      </c>
      <c r="AI81" s="17" t="str">
        <f>IFERROR(INDEX(逆引き作成用!$C$2:$C$169,MATCH($B81&amp;"/"&amp;$C81,逆引き作成用!AI$2:AI$169,FALSE),1),"")</f>
        <v/>
      </c>
      <c r="AJ81" s="17" t="str">
        <f>IFERROR(INDEX(逆引き作成用!$C$2:$C$169,MATCH($B81&amp;"/"&amp;$C81,逆引き作成用!AJ$2:AJ$169,FALSE),1),"")</f>
        <v/>
      </c>
      <c r="AK81" s="17" t="str">
        <f>IFERROR(INDEX(逆引き作成用!$C$2:$C$169,MATCH($B81&amp;"/"&amp;$C81,逆引き作成用!AK$2:AK$169,FALSE),1),"")</f>
        <v/>
      </c>
      <c r="AL81" s="17" t="str">
        <f>IFERROR(INDEX(逆引き作成用!$C$2:$C$169,MATCH($B81&amp;"/"&amp;$C81,逆引き作成用!AL$2:AL$169,FALSE),1),"")</f>
        <v/>
      </c>
      <c r="AM81" s="17" t="str">
        <f>IFERROR(INDEX(逆引き作成用!$C$2:$C$169,MATCH($B81&amp;"/"&amp;$C81,逆引き作成用!AM$2:AM$169,FALSE),1),"")</f>
        <v/>
      </c>
      <c r="AN81" s="17" t="str">
        <f>IFERROR(INDEX(逆引き作成用!$C$2:$C$169,MATCH($B81&amp;"/"&amp;$C81,逆引き作成用!AN$2:AN$169,FALSE),1),"")</f>
        <v/>
      </c>
      <c r="AO81" s="17" t="str">
        <f>IFERROR(INDEX(逆引き作成用!$C$2:$C$169,MATCH($B81&amp;"/"&amp;$C81,逆引き作成用!AO$2:AO$169,FALSE),1),"")</f>
        <v/>
      </c>
      <c r="AP81" s="17" t="str">
        <f>IFERROR(INDEX(逆引き作成用!$C$2:$C$169,MATCH($B81&amp;"/"&amp;$C81,逆引き作成用!AP$2:AP$169,FALSE),1),"")</f>
        <v/>
      </c>
      <c r="AQ81" s="17" t="str">
        <f>IFERROR(INDEX(逆引き作成用!$C$2:$C$169,MATCH($B81&amp;"/"&amp;$C81,逆引き作成用!AQ$2:AQ$169,FALSE),1),"")</f>
        <v/>
      </c>
      <c r="AR81" s="17" t="str">
        <f>IFERROR(INDEX(逆引き作成用!$C$2:$C$169,MATCH($B81&amp;"/"&amp;$C81,逆引き作成用!AR$2:AR$169,FALSE),1),"")</f>
        <v/>
      </c>
      <c r="AS81" s="17" t="str">
        <f>IFERROR(INDEX(逆引き作成用!$C$2:$C$169,MATCH($B81&amp;"/"&amp;$C81,逆引き作成用!AS$2:AS$169,FALSE),1),"")</f>
        <v/>
      </c>
      <c r="AT81" s="17" t="str">
        <f>IFERROR(INDEX(逆引き作成用!$C$2:$C$169,MATCH($B81&amp;"/"&amp;$C81,逆引き作成用!AT$2:AT$169,FALSE),1),"")</f>
        <v/>
      </c>
      <c r="AU81" s="17" t="str">
        <f>IFERROR(INDEX(逆引き作成用!$C$2:$C$169,MATCH($B81&amp;"/"&amp;$C81,逆引き作成用!AU$2:AU$169,FALSE),1),"")</f>
        <v/>
      </c>
      <c r="AV81" s="17" t="str">
        <f>IFERROR(INDEX(逆引き作成用!$C$2:$C$169,MATCH($B81&amp;"/"&amp;$C81,逆引き作成用!AV$2:AV$169,FALSE),1),"")</f>
        <v/>
      </c>
      <c r="AW81" s="17" t="str">
        <f>IFERROR(INDEX(逆引き作成用!$C$2:$C$169,MATCH($B81&amp;"/"&amp;$C81,逆引き作成用!AW$2:AW$169,FALSE),1),"")</f>
        <v/>
      </c>
      <c r="AX81" s="17" t="str">
        <f>IFERROR(INDEX(逆引き作成用!$C$2:$C$169,MATCH($B81&amp;"/"&amp;$C81,逆引き作成用!AX$2:AX$169,FALSE),1),"")</f>
        <v/>
      </c>
      <c r="AY81" s="17" t="str">
        <f>IFERROR(INDEX(逆引き作成用!$C$2:$C$169,MATCH($B81&amp;"/"&amp;$C81,逆引き作成用!AY$2:AY$169,FALSE),1),"")</f>
        <v/>
      </c>
      <c r="AZ81" s="17" t="str">
        <f>IFERROR(INDEX(逆引き作成用!$C$2:$C$169,MATCH($B81&amp;"/"&amp;$C81,逆引き作成用!AZ$2:AZ$169,FALSE),1),"")</f>
        <v/>
      </c>
      <c r="BA81" s="17" t="str">
        <f>IFERROR(INDEX(逆引き作成用!$C$2:$C$169,MATCH($B81&amp;"/"&amp;$C81,逆引き作成用!BA$2:BA$169,FALSE),1),"")</f>
        <v/>
      </c>
    </row>
    <row r="82" spans="1:53">
      <c r="A82" s="17" t="str">
        <f>IFERROR(INDEX(役職一覧!$B$2:$B$31,MATCH(B82,役職一覧!$C$2:$C$31,FALSE),1),"")</f>
        <v/>
      </c>
      <c r="B82" s="17" t="str">
        <f>IFERROR(IF(C82=1,INDEX(役職一覧!$C$2:$C$31,MATCH(逆引き!B81,役職一覧!$C$2:$C$31,FALSE)+1,1)&amp;"",B81),"")</f>
        <v/>
      </c>
      <c r="C82" s="17" t="str">
        <f>IFERROR(IF(VLOOKUP(B81,役職一覧!$C$2:$E$31,3,FALSE)=C81,1,C81+1),"")</f>
        <v/>
      </c>
      <c r="D82" s="17" t="str">
        <f>IFERROR(INDEX(逆引き作成用!$C$2:$C$169,MATCH($B82&amp;"/"&amp;$C82,逆引き作成用!D$2:D$169,FALSE),1),"")</f>
        <v/>
      </c>
      <c r="E82" s="17" t="str">
        <f>IFERROR(INDEX(逆引き作成用!$C$2:$C$169,MATCH($B82&amp;"/"&amp;$C82,逆引き作成用!E$2:E$169,FALSE),1),"")</f>
        <v/>
      </c>
      <c r="F82" s="17" t="str">
        <f>IFERROR(INDEX(逆引き作成用!$C$2:$C$169,MATCH($B82&amp;"/"&amp;$C82,逆引き作成用!F$2:F$169,FALSE),1),"")</f>
        <v/>
      </c>
      <c r="G82" s="17" t="str">
        <f>IFERROR(INDEX(逆引き作成用!$C$2:$C$169,MATCH($B82&amp;"/"&amp;$C82,逆引き作成用!G$2:G$169,FALSE),1),"")</f>
        <v/>
      </c>
      <c r="H82" s="17" t="str">
        <f>IFERROR(INDEX(逆引き作成用!$C$2:$C$169,MATCH($B82&amp;"/"&amp;$C82,逆引き作成用!H$2:H$169,FALSE),1),"")</f>
        <v/>
      </c>
      <c r="I82" s="17" t="str">
        <f>IFERROR(INDEX(逆引き作成用!$C$2:$C$169,MATCH($B82&amp;"/"&amp;$C82,逆引き作成用!I$2:I$169,FALSE),1),"")</f>
        <v/>
      </c>
      <c r="J82" s="17" t="str">
        <f>IFERROR(INDEX(逆引き作成用!$C$2:$C$169,MATCH($B82&amp;"/"&amp;$C82,逆引き作成用!J$2:J$169,FALSE),1),"")</f>
        <v/>
      </c>
      <c r="K82" s="17" t="str">
        <f>IFERROR(INDEX(逆引き作成用!$C$2:$C$169,MATCH($B82&amp;"/"&amp;$C82,逆引き作成用!K$2:K$169,FALSE),1),"")</f>
        <v/>
      </c>
      <c r="L82" s="17" t="str">
        <f>IFERROR(INDEX(逆引き作成用!$C$2:$C$169,MATCH($B82&amp;"/"&amp;$C82,逆引き作成用!L$2:L$169,FALSE),1),"")</f>
        <v/>
      </c>
      <c r="M82" s="17" t="str">
        <f>IFERROR(INDEX(逆引き作成用!$C$2:$C$169,MATCH($B82&amp;"/"&amp;$C82,逆引き作成用!M$2:M$169,FALSE),1),"")</f>
        <v/>
      </c>
      <c r="N82" s="17" t="str">
        <f>IFERROR(INDEX(逆引き作成用!$C$2:$C$169,MATCH($B82&amp;"/"&amp;$C82,逆引き作成用!N$2:N$169,FALSE),1),"")</f>
        <v/>
      </c>
      <c r="O82" s="17" t="str">
        <f>IFERROR(INDEX(逆引き作成用!$C$2:$C$169,MATCH($B82&amp;"/"&amp;$C82,逆引き作成用!O$2:O$169,FALSE),1),"")</f>
        <v/>
      </c>
      <c r="P82" s="17" t="str">
        <f>IFERROR(INDEX(逆引き作成用!$C$2:$C$169,MATCH($B82&amp;"/"&amp;$C82,逆引き作成用!P$2:P$169,FALSE),1),"")</f>
        <v/>
      </c>
      <c r="Q82" s="17" t="str">
        <f>IFERROR(INDEX(逆引き作成用!$C$2:$C$169,MATCH($B82&amp;"/"&amp;$C82,逆引き作成用!Q$2:Q$169,FALSE),1),"")</f>
        <v/>
      </c>
      <c r="R82" s="17" t="str">
        <f>IFERROR(INDEX(逆引き作成用!$C$2:$C$169,MATCH($B82&amp;"/"&amp;$C82,逆引き作成用!R$2:R$169,FALSE),1),"")</f>
        <v/>
      </c>
      <c r="S82" s="17" t="str">
        <f>IFERROR(INDEX(逆引き作成用!$C$2:$C$169,MATCH($B82&amp;"/"&amp;$C82,逆引き作成用!S$2:S$169,FALSE),1),"")</f>
        <v/>
      </c>
      <c r="T82" s="17" t="str">
        <f>IFERROR(INDEX(逆引き作成用!$C$2:$C$169,MATCH($B82&amp;"/"&amp;$C82,逆引き作成用!T$2:T$169,FALSE),1),"")</f>
        <v/>
      </c>
      <c r="U82" s="17" t="str">
        <f>IFERROR(INDEX(逆引き作成用!$C$2:$C$169,MATCH($B82&amp;"/"&amp;$C82,逆引き作成用!U$2:U$169,FALSE),1),"")</f>
        <v/>
      </c>
      <c r="V82" s="17" t="str">
        <f>IFERROR(INDEX(逆引き作成用!$C$2:$C$169,MATCH($B82&amp;"/"&amp;$C82,逆引き作成用!V$2:V$169,FALSE),1),"")</f>
        <v/>
      </c>
      <c r="W82" s="17" t="str">
        <f>IFERROR(INDEX(逆引き作成用!$C$2:$C$169,MATCH($B82&amp;"/"&amp;$C82,逆引き作成用!W$2:W$169,FALSE),1),"")</f>
        <v/>
      </c>
      <c r="X82" s="17" t="str">
        <f>IFERROR(INDEX(逆引き作成用!$C$2:$C$169,MATCH($B82&amp;"/"&amp;$C82,逆引き作成用!X$2:X$169,FALSE),1),"")</f>
        <v/>
      </c>
      <c r="Y82" s="17" t="str">
        <f>IFERROR(INDEX(逆引き作成用!$C$2:$C$169,MATCH($B82&amp;"/"&amp;$C82,逆引き作成用!Y$2:Y$169,FALSE),1),"")</f>
        <v/>
      </c>
      <c r="Z82" s="17" t="str">
        <f>IFERROR(INDEX(逆引き作成用!$C$2:$C$169,MATCH($B82&amp;"/"&amp;$C82,逆引き作成用!Z$2:Z$169,FALSE),1),"")</f>
        <v/>
      </c>
      <c r="AA82" s="17" t="str">
        <f>IFERROR(INDEX(逆引き作成用!$C$2:$C$169,MATCH($B82&amp;"/"&amp;$C82,逆引き作成用!AA$2:AA$169,FALSE),1),"")</f>
        <v/>
      </c>
      <c r="AB82" s="17" t="str">
        <f>IFERROR(INDEX(逆引き作成用!$C$2:$C$169,MATCH($B82&amp;"/"&amp;$C82,逆引き作成用!AB$2:AB$169,FALSE),1),"")</f>
        <v/>
      </c>
      <c r="AC82" s="17" t="str">
        <f>IFERROR(INDEX(逆引き作成用!$C$2:$C$169,MATCH($B82&amp;"/"&amp;$C82,逆引き作成用!AC$2:AC$169,FALSE),1),"")</f>
        <v/>
      </c>
      <c r="AD82" s="17" t="str">
        <f>IFERROR(INDEX(逆引き作成用!$C$2:$C$169,MATCH($B82&amp;"/"&amp;$C82,逆引き作成用!AD$2:AD$169,FALSE),1),"")</f>
        <v/>
      </c>
      <c r="AE82" s="17" t="str">
        <f>IFERROR(INDEX(逆引き作成用!$C$2:$C$169,MATCH($B82&amp;"/"&amp;$C82,逆引き作成用!AE$2:AE$169,FALSE),1),"")</f>
        <v/>
      </c>
      <c r="AF82" s="17" t="str">
        <f>IFERROR(INDEX(逆引き作成用!$C$2:$C$169,MATCH($B82&amp;"/"&amp;$C82,逆引き作成用!AF$2:AF$169,FALSE),1),"")</f>
        <v/>
      </c>
      <c r="AG82" s="17" t="str">
        <f>IFERROR(INDEX(逆引き作成用!$C$2:$C$169,MATCH($B82&amp;"/"&amp;$C82,逆引き作成用!AG$2:AG$169,FALSE),1),"")</f>
        <v/>
      </c>
      <c r="AH82" s="17" t="str">
        <f>IFERROR(INDEX(逆引き作成用!$C$2:$C$169,MATCH($B82&amp;"/"&amp;$C82,逆引き作成用!AH$2:AH$169,FALSE),1),"")</f>
        <v/>
      </c>
      <c r="AI82" s="17" t="str">
        <f>IFERROR(INDEX(逆引き作成用!$C$2:$C$169,MATCH($B82&amp;"/"&amp;$C82,逆引き作成用!AI$2:AI$169,FALSE),1),"")</f>
        <v/>
      </c>
      <c r="AJ82" s="17" t="str">
        <f>IFERROR(INDEX(逆引き作成用!$C$2:$C$169,MATCH($B82&amp;"/"&amp;$C82,逆引き作成用!AJ$2:AJ$169,FALSE),1),"")</f>
        <v/>
      </c>
      <c r="AK82" s="17" t="str">
        <f>IFERROR(INDEX(逆引き作成用!$C$2:$C$169,MATCH($B82&amp;"/"&amp;$C82,逆引き作成用!AK$2:AK$169,FALSE),1),"")</f>
        <v/>
      </c>
      <c r="AL82" s="17" t="str">
        <f>IFERROR(INDEX(逆引き作成用!$C$2:$C$169,MATCH($B82&amp;"/"&amp;$C82,逆引き作成用!AL$2:AL$169,FALSE),1),"")</f>
        <v/>
      </c>
      <c r="AM82" s="17" t="str">
        <f>IFERROR(INDEX(逆引き作成用!$C$2:$C$169,MATCH($B82&amp;"/"&amp;$C82,逆引き作成用!AM$2:AM$169,FALSE),1),"")</f>
        <v/>
      </c>
      <c r="AN82" s="17" t="str">
        <f>IFERROR(INDEX(逆引き作成用!$C$2:$C$169,MATCH($B82&amp;"/"&amp;$C82,逆引き作成用!AN$2:AN$169,FALSE),1),"")</f>
        <v/>
      </c>
      <c r="AO82" s="17" t="str">
        <f>IFERROR(INDEX(逆引き作成用!$C$2:$C$169,MATCH($B82&amp;"/"&amp;$C82,逆引き作成用!AO$2:AO$169,FALSE),1),"")</f>
        <v/>
      </c>
      <c r="AP82" s="17" t="str">
        <f>IFERROR(INDEX(逆引き作成用!$C$2:$C$169,MATCH($B82&amp;"/"&amp;$C82,逆引き作成用!AP$2:AP$169,FALSE),1),"")</f>
        <v/>
      </c>
      <c r="AQ82" s="17" t="str">
        <f>IFERROR(INDEX(逆引き作成用!$C$2:$C$169,MATCH($B82&amp;"/"&amp;$C82,逆引き作成用!AQ$2:AQ$169,FALSE),1),"")</f>
        <v/>
      </c>
      <c r="AR82" s="17" t="str">
        <f>IFERROR(INDEX(逆引き作成用!$C$2:$C$169,MATCH($B82&amp;"/"&amp;$C82,逆引き作成用!AR$2:AR$169,FALSE),1),"")</f>
        <v/>
      </c>
      <c r="AS82" s="17" t="str">
        <f>IFERROR(INDEX(逆引き作成用!$C$2:$C$169,MATCH($B82&amp;"/"&amp;$C82,逆引き作成用!AS$2:AS$169,FALSE),1),"")</f>
        <v/>
      </c>
      <c r="AT82" s="17" t="str">
        <f>IFERROR(INDEX(逆引き作成用!$C$2:$C$169,MATCH($B82&amp;"/"&amp;$C82,逆引き作成用!AT$2:AT$169,FALSE),1),"")</f>
        <v/>
      </c>
      <c r="AU82" s="17" t="str">
        <f>IFERROR(INDEX(逆引き作成用!$C$2:$C$169,MATCH($B82&amp;"/"&amp;$C82,逆引き作成用!AU$2:AU$169,FALSE),1),"")</f>
        <v/>
      </c>
      <c r="AV82" s="17" t="str">
        <f>IFERROR(INDEX(逆引き作成用!$C$2:$C$169,MATCH($B82&amp;"/"&amp;$C82,逆引き作成用!AV$2:AV$169,FALSE),1),"")</f>
        <v/>
      </c>
      <c r="AW82" s="17" t="str">
        <f>IFERROR(INDEX(逆引き作成用!$C$2:$C$169,MATCH($B82&amp;"/"&amp;$C82,逆引き作成用!AW$2:AW$169,FALSE),1),"")</f>
        <v/>
      </c>
      <c r="AX82" s="17" t="str">
        <f>IFERROR(INDEX(逆引き作成用!$C$2:$C$169,MATCH($B82&amp;"/"&amp;$C82,逆引き作成用!AX$2:AX$169,FALSE),1),"")</f>
        <v/>
      </c>
      <c r="AY82" s="17" t="str">
        <f>IFERROR(INDEX(逆引き作成用!$C$2:$C$169,MATCH($B82&amp;"/"&amp;$C82,逆引き作成用!AY$2:AY$169,FALSE),1),"")</f>
        <v/>
      </c>
      <c r="AZ82" s="17" t="str">
        <f>IFERROR(INDEX(逆引き作成用!$C$2:$C$169,MATCH($B82&amp;"/"&amp;$C82,逆引き作成用!AZ$2:AZ$169,FALSE),1),"")</f>
        <v/>
      </c>
      <c r="BA82" s="17" t="str">
        <f>IFERROR(INDEX(逆引き作成用!$C$2:$C$169,MATCH($B82&amp;"/"&amp;$C82,逆引き作成用!BA$2:BA$169,FALSE),1),"")</f>
        <v/>
      </c>
    </row>
    <row r="83" spans="1:53">
      <c r="A83" s="17" t="str">
        <f>IFERROR(INDEX(役職一覧!$B$2:$B$31,MATCH(B83,役職一覧!$C$2:$C$31,FALSE),1),"")</f>
        <v/>
      </c>
      <c r="B83" s="17" t="str">
        <f>IFERROR(IF(C83=1,INDEX(役職一覧!$C$2:$C$31,MATCH(逆引き!B82,役職一覧!$C$2:$C$31,FALSE)+1,1)&amp;"",B82),"")</f>
        <v/>
      </c>
      <c r="C83" s="17" t="str">
        <f>IFERROR(IF(VLOOKUP(B82,役職一覧!$C$2:$E$31,3,FALSE)=C82,1,C82+1),"")</f>
        <v/>
      </c>
      <c r="D83" s="17" t="str">
        <f>IFERROR(INDEX(逆引き作成用!$C$2:$C$169,MATCH($B83&amp;"/"&amp;$C83,逆引き作成用!D$2:D$169,FALSE),1),"")</f>
        <v/>
      </c>
      <c r="E83" s="17" t="str">
        <f>IFERROR(INDEX(逆引き作成用!$C$2:$C$169,MATCH($B83&amp;"/"&amp;$C83,逆引き作成用!E$2:E$169,FALSE),1),"")</f>
        <v/>
      </c>
      <c r="F83" s="17" t="str">
        <f>IFERROR(INDEX(逆引き作成用!$C$2:$C$169,MATCH($B83&amp;"/"&amp;$C83,逆引き作成用!F$2:F$169,FALSE),1),"")</f>
        <v/>
      </c>
      <c r="G83" s="17" t="str">
        <f>IFERROR(INDEX(逆引き作成用!$C$2:$C$169,MATCH($B83&amp;"/"&amp;$C83,逆引き作成用!G$2:G$169,FALSE),1),"")</f>
        <v/>
      </c>
      <c r="H83" s="17" t="str">
        <f>IFERROR(INDEX(逆引き作成用!$C$2:$C$169,MATCH($B83&amp;"/"&amp;$C83,逆引き作成用!H$2:H$169,FALSE),1),"")</f>
        <v/>
      </c>
      <c r="I83" s="17" t="str">
        <f>IFERROR(INDEX(逆引き作成用!$C$2:$C$169,MATCH($B83&amp;"/"&amp;$C83,逆引き作成用!I$2:I$169,FALSE),1),"")</f>
        <v/>
      </c>
      <c r="J83" s="17" t="str">
        <f>IFERROR(INDEX(逆引き作成用!$C$2:$C$169,MATCH($B83&amp;"/"&amp;$C83,逆引き作成用!J$2:J$169,FALSE),1),"")</f>
        <v/>
      </c>
      <c r="K83" s="17" t="str">
        <f>IFERROR(INDEX(逆引き作成用!$C$2:$C$169,MATCH($B83&amp;"/"&amp;$C83,逆引き作成用!K$2:K$169,FALSE),1),"")</f>
        <v/>
      </c>
      <c r="L83" s="17" t="str">
        <f>IFERROR(INDEX(逆引き作成用!$C$2:$C$169,MATCH($B83&amp;"/"&amp;$C83,逆引き作成用!L$2:L$169,FALSE),1),"")</f>
        <v/>
      </c>
      <c r="M83" s="17" t="str">
        <f>IFERROR(INDEX(逆引き作成用!$C$2:$C$169,MATCH($B83&amp;"/"&amp;$C83,逆引き作成用!M$2:M$169,FALSE),1),"")</f>
        <v/>
      </c>
      <c r="N83" s="17" t="str">
        <f>IFERROR(INDEX(逆引き作成用!$C$2:$C$169,MATCH($B83&amp;"/"&amp;$C83,逆引き作成用!N$2:N$169,FALSE),1),"")</f>
        <v/>
      </c>
      <c r="O83" s="17" t="str">
        <f>IFERROR(INDEX(逆引き作成用!$C$2:$C$169,MATCH($B83&amp;"/"&amp;$C83,逆引き作成用!O$2:O$169,FALSE),1),"")</f>
        <v/>
      </c>
      <c r="P83" s="17" t="str">
        <f>IFERROR(INDEX(逆引き作成用!$C$2:$C$169,MATCH($B83&amp;"/"&amp;$C83,逆引き作成用!P$2:P$169,FALSE),1),"")</f>
        <v/>
      </c>
      <c r="Q83" s="17" t="str">
        <f>IFERROR(INDEX(逆引き作成用!$C$2:$C$169,MATCH($B83&amp;"/"&amp;$C83,逆引き作成用!Q$2:Q$169,FALSE),1),"")</f>
        <v/>
      </c>
      <c r="R83" s="17" t="str">
        <f>IFERROR(INDEX(逆引き作成用!$C$2:$C$169,MATCH($B83&amp;"/"&amp;$C83,逆引き作成用!R$2:R$169,FALSE),1),"")</f>
        <v/>
      </c>
      <c r="S83" s="17" t="str">
        <f>IFERROR(INDEX(逆引き作成用!$C$2:$C$169,MATCH($B83&amp;"/"&amp;$C83,逆引き作成用!S$2:S$169,FALSE),1),"")</f>
        <v/>
      </c>
      <c r="T83" s="17" t="str">
        <f>IFERROR(INDEX(逆引き作成用!$C$2:$C$169,MATCH($B83&amp;"/"&amp;$C83,逆引き作成用!T$2:T$169,FALSE),1),"")</f>
        <v/>
      </c>
      <c r="U83" s="17" t="str">
        <f>IFERROR(INDEX(逆引き作成用!$C$2:$C$169,MATCH($B83&amp;"/"&amp;$C83,逆引き作成用!U$2:U$169,FALSE),1),"")</f>
        <v/>
      </c>
      <c r="V83" s="17" t="str">
        <f>IFERROR(INDEX(逆引き作成用!$C$2:$C$169,MATCH($B83&amp;"/"&amp;$C83,逆引き作成用!V$2:V$169,FALSE),1),"")</f>
        <v/>
      </c>
      <c r="W83" s="17" t="str">
        <f>IFERROR(INDEX(逆引き作成用!$C$2:$C$169,MATCH($B83&amp;"/"&amp;$C83,逆引き作成用!W$2:W$169,FALSE),1),"")</f>
        <v/>
      </c>
      <c r="X83" s="17" t="str">
        <f>IFERROR(INDEX(逆引き作成用!$C$2:$C$169,MATCH($B83&amp;"/"&amp;$C83,逆引き作成用!X$2:X$169,FALSE),1),"")</f>
        <v/>
      </c>
      <c r="Y83" s="17" t="str">
        <f>IFERROR(INDEX(逆引き作成用!$C$2:$C$169,MATCH($B83&amp;"/"&amp;$C83,逆引き作成用!Y$2:Y$169,FALSE),1),"")</f>
        <v/>
      </c>
      <c r="Z83" s="17" t="str">
        <f>IFERROR(INDEX(逆引き作成用!$C$2:$C$169,MATCH($B83&amp;"/"&amp;$C83,逆引き作成用!Z$2:Z$169,FALSE),1),"")</f>
        <v/>
      </c>
      <c r="AA83" s="17" t="str">
        <f>IFERROR(INDEX(逆引き作成用!$C$2:$C$169,MATCH($B83&amp;"/"&amp;$C83,逆引き作成用!AA$2:AA$169,FALSE),1),"")</f>
        <v/>
      </c>
      <c r="AB83" s="17" t="str">
        <f>IFERROR(INDEX(逆引き作成用!$C$2:$C$169,MATCH($B83&amp;"/"&amp;$C83,逆引き作成用!AB$2:AB$169,FALSE),1),"")</f>
        <v/>
      </c>
      <c r="AC83" s="17" t="str">
        <f>IFERROR(INDEX(逆引き作成用!$C$2:$C$169,MATCH($B83&amp;"/"&amp;$C83,逆引き作成用!AC$2:AC$169,FALSE),1),"")</f>
        <v/>
      </c>
      <c r="AD83" s="17" t="str">
        <f>IFERROR(INDEX(逆引き作成用!$C$2:$C$169,MATCH($B83&amp;"/"&amp;$C83,逆引き作成用!AD$2:AD$169,FALSE),1),"")</f>
        <v/>
      </c>
      <c r="AE83" s="17" t="str">
        <f>IFERROR(INDEX(逆引き作成用!$C$2:$C$169,MATCH($B83&amp;"/"&amp;$C83,逆引き作成用!AE$2:AE$169,FALSE),1),"")</f>
        <v/>
      </c>
      <c r="AF83" s="17" t="str">
        <f>IFERROR(INDEX(逆引き作成用!$C$2:$C$169,MATCH($B83&amp;"/"&amp;$C83,逆引き作成用!AF$2:AF$169,FALSE),1),"")</f>
        <v/>
      </c>
      <c r="AG83" s="17" t="str">
        <f>IFERROR(INDEX(逆引き作成用!$C$2:$C$169,MATCH($B83&amp;"/"&amp;$C83,逆引き作成用!AG$2:AG$169,FALSE),1),"")</f>
        <v/>
      </c>
      <c r="AH83" s="17" t="str">
        <f>IFERROR(INDEX(逆引き作成用!$C$2:$C$169,MATCH($B83&amp;"/"&amp;$C83,逆引き作成用!AH$2:AH$169,FALSE),1),"")</f>
        <v/>
      </c>
      <c r="AI83" s="17" t="str">
        <f>IFERROR(INDEX(逆引き作成用!$C$2:$C$169,MATCH($B83&amp;"/"&amp;$C83,逆引き作成用!AI$2:AI$169,FALSE),1),"")</f>
        <v/>
      </c>
      <c r="AJ83" s="17" t="str">
        <f>IFERROR(INDEX(逆引き作成用!$C$2:$C$169,MATCH($B83&amp;"/"&amp;$C83,逆引き作成用!AJ$2:AJ$169,FALSE),1),"")</f>
        <v/>
      </c>
      <c r="AK83" s="17" t="str">
        <f>IFERROR(INDEX(逆引き作成用!$C$2:$C$169,MATCH($B83&amp;"/"&amp;$C83,逆引き作成用!AK$2:AK$169,FALSE),1),"")</f>
        <v/>
      </c>
      <c r="AL83" s="17" t="str">
        <f>IFERROR(INDEX(逆引き作成用!$C$2:$C$169,MATCH($B83&amp;"/"&amp;$C83,逆引き作成用!AL$2:AL$169,FALSE),1),"")</f>
        <v/>
      </c>
      <c r="AM83" s="17" t="str">
        <f>IFERROR(INDEX(逆引き作成用!$C$2:$C$169,MATCH($B83&amp;"/"&amp;$C83,逆引き作成用!AM$2:AM$169,FALSE),1),"")</f>
        <v/>
      </c>
      <c r="AN83" s="17" t="str">
        <f>IFERROR(INDEX(逆引き作成用!$C$2:$C$169,MATCH($B83&amp;"/"&amp;$C83,逆引き作成用!AN$2:AN$169,FALSE),1),"")</f>
        <v/>
      </c>
      <c r="AO83" s="17" t="str">
        <f>IFERROR(INDEX(逆引き作成用!$C$2:$C$169,MATCH($B83&amp;"/"&amp;$C83,逆引き作成用!AO$2:AO$169,FALSE),1),"")</f>
        <v/>
      </c>
      <c r="AP83" s="17" t="str">
        <f>IFERROR(INDEX(逆引き作成用!$C$2:$C$169,MATCH($B83&amp;"/"&amp;$C83,逆引き作成用!AP$2:AP$169,FALSE),1),"")</f>
        <v/>
      </c>
      <c r="AQ83" s="17" t="str">
        <f>IFERROR(INDEX(逆引き作成用!$C$2:$C$169,MATCH($B83&amp;"/"&amp;$C83,逆引き作成用!AQ$2:AQ$169,FALSE),1),"")</f>
        <v/>
      </c>
      <c r="AR83" s="17" t="str">
        <f>IFERROR(INDEX(逆引き作成用!$C$2:$C$169,MATCH($B83&amp;"/"&amp;$C83,逆引き作成用!AR$2:AR$169,FALSE),1),"")</f>
        <v/>
      </c>
      <c r="AS83" s="17" t="str">
        <f>IFERROR(INDEX(逆引き作成用!$C$2:$C$169,MATCH($B83&amp;"/"&amp;$C83,逆引き作成用!AS$2:AS$169,FALSE),1),"")</f>
        <v/>
      </c>
      <c r="AT83" s="17" t="str">
        <f>IFERROR(INDEX(逆引き作成用!$C$2:$C$169,MATCH($B83&amp;"/"&amp;$C83,逆引き作成用!AT$2:AT$169,FALSE),1),"")</f>
        <v/>
      </c>
      <c r="AU83" s="17" t="str">
        <f>IFERROR(INDEX(逆引き作成用!$C$2:$C$169,MATCH($B83&amp;"/"&amp;$C83,逆引き作成用!AU$2:AU$169,FALSE),1),"")</f>
        <v/>
      </c>
      <c r="AV83" s="17" t="str">
        <f>IFERROR(INDEX(逆引き作成用!$C$2:$C$169,MATCH($B83&amp;"/"&amp;$C83,逆引き作成用!AV$2:AV$169,FALSE),1),"")</f>
        <v/>
      </c>
      <c r="AW83" s="17" t="str">
        <f>IFERROR(INDEX(逆引き作成用!$C$2:$C$169,MATCH($B83&amp;"/"&amp;$C83,逆引き作成用!AW$2:AW$169,FALSE),1),"")</f>
        <v/>
      </c>
      <c r="AX83" s="17" t="str">
        <f>IFERROR(INDEX(逆引き作成用!$C$2:$C$169,MATCH($B83&amp;"/"&amp;$C83,逆引き作成用!AX$2:AX$169,FALSE),1),"")</f>
        <v/>
      </c>
      <c r="AY83" s="17" t="str">
        <f>IFERROR(INDEX(逆引き作成用!$C$2:$C$169,MATCH($B83&amp;"/"&amp;$C83,逆引き作成用!AY$2:AY$169,FALSE),1),"")</f>
        <v/>
      </c>
      <c r="AZ83" s="17" t="str">
        <f>IFERROR(INDEX(逆引き作成用!$C$2:$C$169,MATCH($B83&amp;"/"&amp;$C83,逆引き作成用!AZ$2:AZ$169,FALSE),1),"")</f>
        <v/>
      </c>
      <c r="BA83" s="17" t="str">
        <f>IFERROR(INDEX(逆引き作成用!$C$2:$C$169,MATCH($B83&amp;"/"&amp;$C83,逆引き作成用!BA$2:BA$169,FALSE),1),"")</f>
        <v/>
      </c>
    </row>
    <row r="84" spans="1:53">
      <c r="A84" s="17" t="str">
        <f>IFERROR(INDEX(役職一覧!$B$2:$B$31,MATCH(B84,役職一覧!$C$2:$C$31,FALSE),1),"")</f>
        <v/>
      </c>
      <c r="B84" s="17" t="str">
        <f>IFERROR(IF(C84=1,INDEX(役職一覧!$C$2:$C$31,MATCH(逆引き!B83,役職一覧!$C$2:$C$31,FALSE)+1,1)&amp;"",B83),"")</f>
        <v/>
      </c>
      <c r="C84" s="17" t="str">
        <f>IFERROR(IF(VLOOKUP(B83,役職一覧!$C$2:$E$31,3,FALSE)=C83,1,C83+1),"")</f>
        <v/>
      </c>
      <c r="D84" s="17" t="str">
        <f>IFERROR(INDEX(逆引き作成用!$C$2:$C$169,MATCH($B84&amp;"/"&amp;$C84,逆引き作成用!D$2:D$169,FALSE),1),"")</f>
        <v/>
      </c>
      <c r="E84" s="17" t="str">
        <f>IFERROR(INDEX(逆引き作成用!$C$2:$C$169,MATCH($B84&amp;"/"&amp;$C84,逆引き作成用!E$2:E$169,FALSE),1),"")</f>
        <v/>
      </c>
      <c r="F84" s="17" t="str">
        <f>IFERROR(INDEX(逆引き作成用!$C$2:$C$169,MATCH($B84&amp;"/"&amp;$C84,逆引き作成用!F$2:F$169,FALSE),1),"")</f>
        <v/>
      </c>
      <c r="G84" s="17" t="str">
        <f>IFERROR(INDEX(逆引き作成用!$C$2:$C$169,MATCH($B84&amp;"/"&amp;$C84,逆引き作成用!G$2:G$169,FALSE),1),"")</f>
        <v/>
      </c>
      <c r="H84" s="17" t="str">
        <f>IFERROR(INDEX(逆引き作成用!$C$2:$C$169,MATCH($B84&amp;"/"&amp;$C84,逆引き作成用!H$2:H$169,FALSE),1),"")</f>
        <v/>
      </c>
      <c r="I84" s="17" t="str">
        <f>IFERROR(INDEX(逆引き作成用!$C$2:$C$169,MATCH($B84&amp;"/"&amp;$C84,逆引き作成用!I$2:I$169,FALSE),1),"")</f>
        <v/>
      </c>
      <c r="J84" s="17" t="str">
        <f>IFERROR(INDEX(逆引き作成用!$C$2:$C$169,MATCH($B84&amp;"/"&amp;$C84,逆引き作成用!J$2:J$169,FALSE),1),"")</f>
        <v/>
      </c>
      <c r="K84" s="17" t="str">
        <f>IFERROR(INDEX(逆引き作成用!$C$2:$C$169,MATCH($B84&amp;"/"&amp;$C84,逆引き作成用!K$2:K$169,FALSE),1),"")</f>
        <v/>
      </c>
      <c r="L84" s="17" t="str">
        <f>IFERROR(INDEX(逆引き作成用!$C$2:$C$169,MATCH($B84&amp;"/"&amp;$C84,逆引き作成用!L$2:L$169,FALSE),1),"")</f>
        <v/>
      </c>
      <c r="M84" s="17" t="str">
        <f>IFERROR(INDEX(逆引き作成用!$C$2:$C$169,MATCH($B84&amp;"/"&amp;$C84,逆引き作成用!M$2:M$169,FALSE),1),"")</f>
        <v/>
      </c>
      <c r="N84" s="17" t="str">
        <f>IFERROR(INDEX(逆引き作成用!$C$2:$C$169,MATCH($B84&amp;"/"&amp;$C84,逆引き作成用!N$2:N$169,FALSE),1),"")</f>
        <v/>
      </c>
      <c r="O84" s="17" t="str">
        <f>IFERROR(INDEX(逆引き作成用!$C$2:$C$169,MATCH($B84&amp;"/"&amp;$C84,逆引き作成用!O$2:O$169,FALSE),1),"")</f>
        <v/>
      </c>
      <c r="P84" s="17" t="str">
        <f>IFERROR(INDEX(逆引き作成用!$C$2:$C$169,MATCH($B84&amp;"/"&amp;$C84,逆引き作成用!P$2:P$169,FALSE),1),"")</f>
        <v/>
      </c>
      <c r="Q84" s="17" t="str">
        <f>IFERROR(INDEX(逆引き作成用!$C$2:$C$169,MATCH($B84&amp;"/"&amp;$C84,逆引き作成用!Q$2:Q$169,FALSE),1),"")</f>
        <v/>
      </c>
      <c r="R84" s="17" t="str">
        <f>IFERROR(INDEX(逆引き作成用!$C$2:$C$169,MATCH($B84&amp;"/"&amp;$C84,逆引き作成用!R$2:R$169,FALSE),1),"")</f>
        <v/>
      </c>
      <c r="S84" s="17" t="str">
        <f>IFERROR(INDEX(逆引き作成用!$C$2:$C$169,MATCH($B84&amp;"/"&amp;$C84,逆引き作成用!S$2:S$169,FALSE),1),"")</f>
        <v/>
      </c>
      <c r="T84" s="17" t="str">
        <f>IFERROR(INDEX(逆引き作成用!$C$2:$C$169,MATCH($B84&amp;"/"&amp;$C84,逆引き作成用!T$2:T$169,FALSE),1),"")</f>
        <v/>
      </c>
      <c r="U84" s="17" t="str">
        <f>IFERROR(INDEX(逆引き作成用!$C$2:$C$169,MATCH($B84&amp;"/"&amp;$C84,逆引き作成用!U$2:U$169,FALSE),1),"")</f>
        <v/>
      </c>
      <c r="V84" s="17" t="str">
        <f>IFERROR(INDEX(逆引き作成用!$C$2:$C$169,MATCH($B84&amp;"/"&amp;$C84,逆引き作成用!V$2:V$169,FALSE),1),"")</f>
        <v/>
      </c>
      <c r="W84" s="17" t="str">
        <f>IFERROR(INDEX(逆引き作成用!$C$2:$C$169,MATCH($B84&amp;"/"&amp;$C84,逆引き作成用!W$2:W$169,FALSE),1),"")</f>
        <v/>
      </c>
      <c r="X84" s="17" t="str">
        <f>IFERROR(INDEX(逆引き作成用!$C$2:$C$169,MATCH($B84&amp;"/"&amp;$C84,逆引き作成用!X$2:X$169,FALSE),1),"")</f>
        <v/>
      </c>
      <c r="Y84" s="17" t="str">
        <f>IFERROR(INDEX(逆引き作成用!$C$2:$C$169,MATCH($B84&amp;"/"&amp;$C84,逆引き作成用!Y$2:Y$169,FALSE),1),"")</f>
        <v/>
      </c>
      <c r="Z84" s="17" t="str">
        <f>IFERROR(INDEX(逆引き作成用!$C$2:$C$169,MATCH($B84&amp;"/"&amp;$C84,逆引き作成用!Z$2:Z$169,FALSE),1),"")</f>
        <v/>
      </c>
      <c r="AA84" s="17" t="str">
        <f>IFERROR(INDEX(逆引き作成用!$C$2:$C$169,MATCH($B84&amp;"/"&amp;$C84,逆引き作成用!AA$2:AA$169,FALSE),1),"")</f>
        <v/>
      </c>
      <c r="AB84" s="17" t="str">
        <f>IFERROR(INDEX(逆引き作成用!$C$2:$C$169,MATCH($B84&amp;"/"&amp;$C84,逆引き作成用!AB$2:AB$169,FALSE),1),"")</f>
        <v/>
      </c>
      <c r="AC84" s="17" t="str">
        <f>IFERROR(INDEX(逆引き作成用!$C$2:$C$169,MATCH($B84&amp;"/"&amp;$C84,逆引き作成用!AC$2:AC$169,FALSE),1),"")</f>
        <v/>
      </c>
      <c r="AD84" s="17" t="str">
        <f>IFERROR(INDEX(逆引き作成用!$C$2:$C$169,MATCH($B84&amp;"/"&amp;$C84,逆引き作成用!AD$2:AD$169,FALSE),1),"")</f>
        <v/>
      </c>
      <c r="AE84" s="17" t="str">
        <f>IFERROR(INDEX(逆引き作成用!$C$2:$C$169,MATCH($B84&amp;"/"&amp;$C84,逆引き作成用!AE$2:AE$169,FALSE),1),"")</f>
        <v/>
      </c>
      <c r="AF84" s="17" t="str">
        <f>IFERROR(INDEX(逆引き作成用!$C$2:$C$169,MATCH($B84&amp;"/"&amp;$C84,逆引き作成用!AF$2:AF$169,FALSE),1),"")</f>
        <v/>
      </c>
      <c r="AG84" s="17" t="str">
        <f>IFERROR(INDEX(逆引き作成用!$C$2:$C$169,MATCH($B84&amp;"/"&amp;$C84,逆引き作成用!AG$2:AG$169,FALSE),1),"")</f>
        <v/>
      </c>
      <c r="AH84" s="17" t="str">
        <f>IFERROR(INDEX(逆引き作成用!$C$2:$C$169,MATCH($B84&amp;"/"&amp;$C84,逆引き作成用!AH$2:AH$169,FALSE),1),"")</f>
        <v/>
      </c>
      <c r="AI84" s="17" t="str">
        <f>IFERROR(INDEX(逆引き作成用!$C$2:$C$169,MATCH($B84&amp;"/"&amp;$C84,逆引き作成用!AI$2:AI$169,FALSE),1),"")</f>
        <v/>
      </c>
      <c r="AJ84" s="17" t="str">
        <f>IFERROR(INDEX(逆引き作成用!$C$2:$C$169,MATCH($B84&amp;"/"&amp;$C84,逆引き作成用!AJ$2:AJ$169,FALSE),1),"")</f>
        <v/>
      </c>
      <c r="AK84" s="17" t="str">
        <f>IFERROR(INDEX(逆引き作成用!$C$2:$C$169,MATCH($B84&amp;"/"&amp;$C84,逆引き作成用!AK$2:AK$169,FALSE),1),"")</f>
        <v/>
      </c>
      <c r="AL84" s="17" t="str">
        <f>IFERROR(INDEX(逆引き作成用!$C$2:$C$169,MATCH($B84&amp;"/"&amp;$C84,逆引き作成用!AL$2:AL$169,FALSE),1),"")</f>
        <v/>
      </c>
      <c r="AM84" s="17" t="str">
        <f>IFERROR(INDEX(逆引き作成用!$C$2:$C$169,MATCH($B84&amp;"/"&amp;$C84,逆引き作成用!AM$2:AM$169,FALSE),1),"")</f>
        <v/>
      </c>
      <c r="AN84" s="17" t="str">
        <f>IFERROR(INDEX(逆引き作成用!$C$2:$C$169,MATCH($B84&amp;"/"&amp;$C84,逆引き作成用!AN$2:AN$169,FALSE),1),"")</f>
        <v/>
      </c>
      <c r="AO84" s="17" t="str">
        <f>IFERROR(INDEX(逆引き作成用!$C$2:$C$169,MATCH($B84&amp;"/"&amp;$C84,逆引き作成用!AO$2:AO$169,FALSE),1),"")</f>
        <v/>
      </c>
      <c r="AP84" s="17" t="str">
        <f>IFERROR(INDEX(逆引き作成用!$C$2:$C$169,MATCH($B84&amp;"/"&amp;$C84,逆引き作成用!AP$2:AP$169,FALSE),1),"")</f>
        <v/>
      </c>
      <c r="AQ84" s="17" t="str">
        <f>IFERROR(INDEX(逆引き作成用!$C$2:$C$169,MATCH($B84&amp;"/"&amp;$C84,逆引き作成用!AQ$2:AQ$169,FALSE),1),"")</f>
        <v/>
      </c>
      <c r="AR84" s="17" t="str">
        <f>IFERROR(INDEX(逆引き作成用!$C$2:$C$169,MATCH($B84&amp;"/"&amp;$C84,逆引き作成用!AR$2:AR$169,FALSE),1),"")</f>
        <v/>
      </c>
      <c r="AS84" s="17" t="str">
        <f>IFERROR(INDEX(逆引き作成用!$C$2:$C$169,MATCH($B84&amp;"/"&amp;$C84,逆引き作成用!AS$2:AS$169,FALSE),1),"")</f>
        <v/>
      </c>
      <c r="AT84" s="17" t="str">
        <f>IFERROR(INDEX(逆引き作成用!$C$2:$C$169,MATCH($B84&amp;"/"&amp;$C84,逆引き作成用!AT$2:AT$169,FALSE),1),"")</f>
        <v/>
      </c>
      <c r="AU84" s="17" t="str">
        <f>IFERROR(INDEX(逆引き作成用!$C$2:$C$169,MATCH($B84&amp;"/"&amp;$C84,逆引き作成用!AU$2:AU$169,FALSE),1),"")</f>
        <v/>
      </c>
      <c r="AV84" s="17" t="str">
        <f>IFERROR(INDEX(逆引き作成用!$C$2:$C$169,MATCH($B84&amp;"/"&amp;$C84,逆引き作成用!AV$2:AV$169,FALSE),1),"")</f>
        <v/>
      </c>
      <c r="AW84" s="17" t="str">
        <f>IFERROR(INDEX(逆引き作成用!$C$2:$C$169,MATCH($B84&amp;"/"&amp;$C84,逆引き作成用!AW$2:AW$169,FALSE),1),"")</f>
        <v/>
      </c>
      <c r="AX84" s="17" t="str">
        <f>IFERROR(INDEX(逆引き作成用!$C$2:$C$169,MATCH($B84&amp;"/"&amp;$C84,逆引き作成用!AX$2:AX$169,FALSE),1),"")</f>
        <v/>
      </c>
      <c r="AY84" s="17" t="str">
        <f>IFERROR(INDEX(逆引き作成用!$C$2:$C$169,MATCH($B84&amp;"/"&amp;$C84,逆引き作成用!AY$2:AY$169,FALSE),1),"")</f>
        <v/>
      </c>
      <c r="AZ84" s="17" t="str">
        <f>IFERROR(INDEX(逆引き作成用!$C$2:$C$169,MATCH($B84&amp;"/"&amp;$C84,逆引き作成用!AZ$2:AZ$169,FALSE),1),"")</f>
        <v/>
      </c>
      <c r="BA84" s="17" t="str">
        <f>IFERROR(INDEX(逆引き作成用!$C$2:$C$169,MATCH($B84&amp;"/"&amp;$C84,逆引き作成用!BA$2:BA$169,FALSE),1),"")</f>
        <v/>
      </c>
    </row>
    <row r="85" spans="1:53">
      <c r="A85" s="17" t="str">
        <f>IFERROR(INDEX(役職一覧!$B$2:$B$31,MATCH(B85,役職一覧!$C$2:$C$31,FALSE),1),"")</f>
        <v/>
      </c>
      <c r="B85" s="17" t="str">
        <f>IFERROR(IF(C85=1,INDEX(役職一覧!$C$2:$C$31,MATCH(逆引き!B84,役職一覧!$C$2:$C$31,FALSE)+1,1)&amp;"",B84),"")</f>
        <v/>
      </c>
      <c r="C85" s="17" t="str">
        <f>IFERROR(IF(VLOOKUP(B84,役職一覧!$C$2:$E$31,3,FALSE)=C84,1,C84+1),"")</f>
        <v/>
      </c>
      <c r="D85" s="17" t="str">
        <f>IFERROR(INDEX(逆引き作成用!$C$2:$C$169,MATCH($B85&amp;"/"&amp;$C85,逆引き作成用!D$2:D$169,FALSE),1),"")</f>
        <v/>
      </c>
      <c r="E85" s="17" t="str">
        <f>IFERROR(INDEX(逆引き作成用!$C$2:$C$169,MATCH($B85&amp;"/"&amp;$C85,逆引き作成用!E$2:E$169,FALSE),1),"")</f>
        <v/>
      </c>
      <c r="F85" s="17" t="str">
        <f>IFERROR(INDEX(逆引き作成用!$C$2:$C$169,MATCH($B85&amp;"/"&amp;$C85,逆引き作成用!F$2:F$169,FALSE),1),"")</f>
        <v/>
      </c>
      <c r="G85" s="17" t="str">
        <f>IFERROR(INDEX(逆引き作成用!$C$2:$C$169,MATCH($B85&amp;"/"&amp;$C85,逆引き作成用!G$2:G$169,FALSE),1),"")</f>
        <v/>
      </c>
      <c r="H85" s="17" t="str">
        <f>IFERROR(INDEX(逆引き作成用!$C$2:$C$169,MATCH($B85&amp;"/"&amp;$C85,逆引き作成用!H$2:H$169,FALSE),1),"")</f>
        <v/>
      </c>
      <c r="I85" s="17" t="str">
        <f>IFERROR(INDEX(逆引き作成用!$C$2:$C$169,MATCH($B85&amp;"/"&amp;$C85,逆引き作成用!I$2:I$169,FALSE),1),"")</f>
        <v/>
      </c>
      <c r="J85" s="17" t="str">
        <f>IFERROR(INDEX(逆引き作成用!$C$2:$C$169,MATCH($B85&amp;"/"&amp;$C85,逆引き作成用!J$2:J$169,FALSE),1),"")</f>
        <v/>
      </c>
      <c r="K85" s="17" t="str">
        <f>IFERROR(INDEX(逆引き作成用!$C$2:$C$169,MATCH($B85&amp;"/"&amp;$C85,逆引き作成用!K$2:K$169,FALSE),1),"")</f>
        <v/>
      </c>
      <c r="L85" s="17" t="str">
        <f>IFERROR(INDEX(逆引き作成用!$C$2:$C$169,MATCH($B85&amp;"/"&amp;$C85,逆引き作成用!L$2:L$169,FALSE),1),"")</f>
        <v/>
      </c>
      <c r="M85" s="17" t="str">
        <f>IFERROR(INDEX(逆引き作成用!$C$2:$C$169,MATCH($B85&amp;"/"&amp;$C85,逆引き作成用!M$2:M$169,FALSE),1),"")</f>
        <v/>
      </c>
      <c r="N85" s="17" t="str">
        <f>IFERROR(INDEX(逆引き作成用!$C$2:$C$169,MATCH($B85&amp;"/"&amp;$C85,逆引き作成用!N$2:N$169,FALSE),1),"")</f>
        <v/>
      </c>
      <c r="O85" s="17" t="str">
        <f>IFERROR(INDEX(逆引き作成用!$C$2:$C$169,MATCH($B85&amp;"/"&amp;$C85,逆引き作成用!O$2:O$169,FALSE),1),"")</f>
        <v/>
      </c>
      <c r="P85" s="17" t="str">
        <f>IFERROR(INDEX(逆引き作成用!$C$2:$C$169,MATCH($B85&amp;"/"&amp;$C85,逆引き作成用!P$2:P$169,FALSE),1),"")</f>
        <v/>
      </c>
      <c r="Q85" s="17" t="str">
        <f>IFERROR(INDEX(逆引き作成用!$C$2:$C$169,MATCH($B85&amp;"/"&amp;$C85,逆引き作成用!Q$2:Q$169,FALSE),1),"")</f>
        <v/>
      </c>
      <c r="R85" s="17" t="str">
        <f>IFERROR(INDEX(逆引き作成用!$C$2:$C$169,MATCH($B85&amp;"/"&amp;$C85,逆引き作成用!R$2:R$169,FALSE),1),"")</f>
        <v/>
      </c>
      <c r="S85" s="17" t="str">
        <f>IFERROR(INDEX(逆引き作成用!$C$2:$C$169,MATCH($B85&amp;"/"&amp;$C85,逆引き作成用!S$2:S$169,FALSE),1),"")</f>
        <v/>
      </c>
      <c r="T85" s="17" t="str">
        <f>IFERROR(INDEX(逆引き作成用!$C$2:$C$169,MATCH($B85&amp;"/"&amp;$C85,逆引き作成用!T$2:T$169,FALSE),1),"")</f>
        <v/>
      </c>
      <c r="U85" s="17" t="str">
        <f>IFERROR(INDEX(逆引き作成用!$C$2:$C$169,MATCH($B85&amp;"/"&amp;$C85,逆引き作成用!U$2:U$169,FALSE),1),"")</f>
        <v/>
      </c>
      <c r="V85" s="17" t="str">
        <f>IFERROR(INDEX(逆引き作成用!$C$2:$C$169,MATCH($B85&amp;"/"&amp;$C85,逆引き作成用!V$2:V$169,FALSE),1),"")</f>
        <v/>
      </c>
      <c r="W85" s="17" t="str">
        <f>IFERROR(INDEX(逆引き作成用!$C$2:$C$169,MATCH($B85&amp;"/"&amp;$C85,逆引き作成用!W$2:W$169,FALSE),1),"")</f>
        <v/>
      </c>
      <c r="X85" s="17" t="str">
        <f>IFERROR(INDEX(逆引き作成用!$C$2:$C$169,MATCH($B85&amp;"/"&amp;$C85,逆引き作成用!X$2:X$169,FALSE),1),"")</f>
        <v/>
      </c>
      <c r="Y85" s="17" t="str">
        <f>IFERROR(INDEX(逆引き作成用!$C$2:$C$169,MATCH($B85&amp;"/"&amp;$C85,逆引き作成用!Y$2:Y$169,FALSE),1),"")</f>
        <v/>
      </c>
      <c r="Z85" s="17" t="str">
        <f>IFERROR(INDEX(逆引き作成用!$C$2:$C$169,MATCH($B85&amp;"/"&amp;$C85,逆引き作成用!Z$2:Z$169,FALSE),1),"")</f>
        <v/>
      </c>
      <c r="AA85" s="17" t="str">
        <f>IFERROR(INDEX(逆引き作成用!$C$2:$C$169,MATCH($B85&amp;"/"&amp;$C85,逆引き作成用!AA$2:AA$169,FALSE),1),"")</f>
        <v/>
      </c>
      <c r="AB85" s="17" t="str">
        <f>IFERROR(INDEX(逆引き作成用!$C$2:$C$169,MATCH($B85&amp;"/"&amp;$C85,逆引き作成用!AB$2:AB$169,FALSE),1),"")</f>
        <v/>
      </c>
      <c r="AC85" s="17" t="str">
        <f>IFERROR(INDEX(逆引き作成用!$C$2:$C$169,MATCH($B85&amp;"/"&amp;$C85,逆引き作成用!AC$2:AC$169,FALSE),1),"")</f>
        <v/>
      </c>
      <c r="AD85" s="17" t="str">
        <f>IFERROR(INDEX(逆引き作成用!$C$2:$C$169,MATCH($B85&amp;"/"&amp;$C85,逆引き作成用!AD$2:AD$169,FALSE),1),"")</f>
        <v/>
      </c>
      <c r="AE85" s="17" t="str">
        <f>IFERROR(INDEX(逆引き作成用!$C$2:$C$169,MATCH($B85&amp;"/"&amp;$C85,逆引き作成用!AE$2:AE$169,FALSE),1),"")</f>
        <v/>
      </c>
      <c r="AF85" s="17" t="str">
        <f>IFERROR(INDEX(逆引き作成用!$C$2:$C$169,MATCH($B85&amp;"/"&amp;$C85,逆引き作成用!AF$2:AF$169,FALSE),1),"")</f>
        <v/>
      </c>
      <c r="AG85" s="17" t="str">
        <f>IFERROR(INDEX(逆引き作成用!$C$2:$C$169,MATCH($B85&amp;"/"&amp;$C85,逆引き作成用!AG$2:AG$169,FALSE),1),"")</f>
        <v/>
      </c>
      <c r="AH85" s="17" t="str">
        <f>IFERROR(INDEX(逆引き作成用!$C$2:$C$169,MATCH($B85&amp;"/"&amp;$C85,逆引き作成用!AH$2:AH$169,FALSE),1),"")</f>
        <v/>
      </c>
      <c r="AI85" s="17" t="str">
        <f>IFERROR(INDEX(逆引き作成用!$C$2:$C$169,MATCH($B85&amp;"/"&amp;$C85,逆引き作成用!AI$2:AI$169,FALSE),1),"")</f>
        <v/>
      </c>
      <c r="AJ85" s="17" t="str">
        <f>IFERROR(INDEX(逆引き作成用!$C$2:$C$169,MATCH($B85&amp;"/"&amp;$C85,逆引き作成用!AJ$2:AJ$169,FALSE),1),"")</f>
        <v/>
      </c>
      <c r="AK85" s="17" t="str">
        <f>IFERROR(INDEX(逆引き作成用!$C$2:$C$169,MATCH($B85&amp;"/"&amp;$C85,逆引き作成用!AK$2:AK$169,FALSE),1),"")</f>
        <v/>
      </c>
      <c r="AL85" s="17" t="str">
        <f>IFERROR(INDEX(逆引き作成用!$C$2:$C$169,MATCH($B85&amp;"/"&amp;$C85,逆引き作成用!AL$2:AL$169,FALSE),1),"")</f>
        <v/>
      </c>
      <c r="AM85" s="17" t="str">
        <f>IFERROR(INDEX(逆引き作成用!$C$2:$C$169,MATCH($B85&amp;"/"&amp;$C85,逆引き作成用!AM$2:AM$169,FALSE),1),"")</f>
        <v/>
      </c>
      <c r="AN85" s="17" t="str">
        <f>IFERROR(INDEX(逆引き作成用!$C$2:$C$169,MATCH($B85&amp;"/"&amp;$C85,逆引き作成用!AN$2:AN$169,FALSE),1),"")</f>
        <v/>
      </c>
      <c r="AO85" s="17" t="str">
        <f>IFERROR(INDEX(逆引き作成用!$C$2:$C$169,MATCH($B85&amp;"/"&amp;$C85,逆引き作成用!AO$2:AO$169,FALSE),1),"")</f>
        <v/>
      </c>
      <c r="AP85" s="17" t="str">
        <f>IFERROR(INDEX(逆引き作成用!$C$2:$C$169,MATCH($B85&amp;"/"&amp;$C85,逆引き作成用!AP$2:AP$169,FALSE),1),"")</f>
        <v/>
      </c>
      <c r="AQ85" s="17" t="str">
        <f>IFERROR(INDEX(逆引き作成用!$C$2:$C$169,MATCH($B85&amp;"/"&amp;$C85,逆引き作成用!AQ$2:AQ$169,FALSE),1),"")</f>
        <v/>
      </c>
      <c r="AR85" s="17" t="str">
        <f>IFERROR(INDEX(逆引き作成用!$C$2:$C$169,MATCH($B85&amp;"/"&amp;$C85,逆引き作成用!AR$2:AR$169,FALSE),1),"")</f>
        <v/>
      </c>
      <c r="AS85" s="17" t="str">
        <f>IFERROR(INDEX(逆引き作成用!$C$2:$C$169,MATCH($B85&amp;"/"&amp;$C85,逆引き作成用!AS$2:AS$169,FALSE),1),"")</f>
        <v/>
      </c>
      <c r="AT85" s="17" t="str">
        <f>IFERROR(INDEX(逆引き作成用!$C$2:$C$169,MATCH($B85&amp;"/"&amp;$C85,逆引き作成用!AT$2:AT$169,FALSE),1),"")</f>
        <v/>
      </c>
      <c r="AU85" s="17" t="str">
        <f>IFERROR(INDEX(逆引き作成用!$C$2:$C$169,MATCH($B85&amp;"/"&amp;$C85,逆引き作成用!AU$2:AU$169,FALSE),1),"")</f>
        <v/>
      </c>
      <c r="AV85" s="17" t="str">
        <f>IFERROR(INDEX(逆引き作成用!$C$2:$C$169,MATCH($B85&amp;"/"&amp;$C85,逆引き作成用!AV$2:AV$169,FALSE),1),"")</f>
        <v/>
      </c>
      <c r="AW85" s="17" t="str">
        <f>IFERROR(INDEX(逆引き作成用!$C$2:$C$169,MATCH($B85&amp;"/"&amp;$C85,逆引き作成用!AW$2:AW$169,FALSE),1),"")</f>
        <v/>
      </c>
      <c r="AX85" s="17" t="str">
        <f>IFERROR(INDEX(逆引き作成用!$C$2:$C$169,MATCH($B85&amp;"/"&amp;$C85,逆引き作成用!AX$2:AX$169,FALSE),1),"")</f>
        <v/>
      </c>
      <c r="AY85" s="17" t="str">
        <f>IFERROR(INDEX(逆引き作成用!$C$2:$C$169,MATCH($B85&amp;"/"&amp;$C85,逆引き作成用!AY$2:AY$169,FALSE),1),"")</f>
        <v/>
      </c>
      <c r="AZ85" s="17" t="str">
        <f>IFERROR(INDEX(逆引き作成用!$C$2:$C$169,MATCH($B85&amp;"/"&amp;$C85,逆引き作成用!AZ$2:AZ$169,FALSE),1),"")</f>
        <v/>
      </c>
      <c r="BA85" s="17" t="str">
        <f>IFERROR(INDEX(逆引き作成用!$C$2:$C$169,MATCH($B85&amp;"/"&amp;$C85,逆引き作成用!BA$2:BA$169,FALSE),1),"")</f>
        <v/>
      </c>
    </row>
    <row r="86" spans="1:53">
      <c r="A86" s="17" t="str">
        <f>IFERROR(INDEX(役職一覧!$B$2:$B$31,MATCH(B86,役職一覧!$C$2:$C$31,FALSE),1),"")</f>
        <v/>
      </c>
      <c r="B86" s="17" t="str">
        <f>IFERROR(IF(C86=1,INDEX(役職一覧!$C$2:$C$31,MATCH(逆引き!B85,役職一覧!$C$2:$C$31,FALSE)+1,1)&amp;"",B85),"")</f>
        <v/>
      </c>
      <c r="C86" s="17" t="str">
        <f>IFERROR(IF(VLOOKUP(B85,役職一覧!$C$2:$E$31,3,FALSE)=C85,1,C85+1),"")</f>
        <v/>
      </c>
      <c r="D86" s="17" t="str">
        <f>IFERROR(INDEX(逆引き作成用!$C$2:$C$169,MATCH($B86&amp;"/"&amp;$C86,逆引き作成用!D$2:D$169,FALSE),1),"")</f>
        <v/>
      </c>
      <c r="E86" s="17" t="str">
        <f>IFERROR(INDEX(逆引き作成用!$C$2:$C$169,MATCH($B86&amp;"/"&amp;$C86,逆引き作成用!E$2:E$169,FALSE),1),"")</f>
        <v/>
      </c>
      <c r="F86" s="17" t="str">
        <f>IFERROR(INDEX(逆引き作成用!$C$2:$C$169,MATCH($B86&amp;"/"&amp;$C86,逆引き作成用!F$2:F$169,FALSE),1),"")</f>
        <v/>
      </c>
      <c r="G86" s="17" t="str">
        <f>IFERROR(INDEX(逆引き作成用!$C$2:$C$169,MATCH($B86&amp;"/"&amp;$C86,逆引き作成用!G$2:G$169,FALSE),1),"")</f>
        <v/>
      </c>
      <c r="H86" s="17" t="str">
        <f>IFERROR(INDEX(逆引き作成用!$C$2:$C$169,MATCH($B86&amp;"/"&amp;$C86,逆引き作成用!H$2:H$169,FALSE),1),"")</f>
        <v/>
      </c>
      <c r="I86" s="17" t="str">
        <f>IFERROR(INDEX(逆引き作成用!$C$2:$C$169,MATCH($B86&amp;"/"&amp;$C86,逆引き作成用!I$2:I$169,FALSE),1),"")</f>
        <v/>
      </c>
      <c r="J86" s="17" t="str">
        <f>IFERROR(INDEX(逆引き作成用!$C$2:$C$169,MATCH($B86&amp;"/"&amp;$C86,逆引き作成用!J$2:J$169,FALSE),1),"")</f>
        <v/>
      </c>
      <c r="K86" s="17" t="str">
        <f>IFERROR(INDEX(逆引き作成用!$C$2:$C$169,MATCH($B86&amp;"/"&amp;$C86,逆引き作成用!K$2:K$169,FALSE),1),"")</f>
        <v/>
      </c>
      <c r="L86" s="17" t="str">
        <f>IFERROR(INDEX(逆引き作成用!$C$2:$C$169,MATCH($B86&amp;"/"&amp;$C86,逆引き作成用!L$2:L$169,FALSE),1),"")</f>
        <v/>
      </c>
      <c r="M86" s="17" t="str">
        <f>IFERROR(INDEX(逆引き作成用!$C$2:$C$169,MATCH($B86&amp;"/"&amp;$C86,逆引き作成用!M$2:M$169,FALSE),1),"")</f>
        <v/>
      </c>
      <c r="N86" s="17" t="str">
        <f>IFERROR(INDEX(逆引き作成用!$C$2:$C$169,MATCH($B86&amp;"/"&amp;$C86,逆引き作成用!N$2:N$169,FALSE),1),"")</f>
        <v/>
      </c>
      <c r="O86" s="17" t="str">
        <f>IFERROR(INDEX(逆引き作成用!$C$2:$C$169,MATCH($B86&amp;"/"&amp;$C86,逆引き作成用!O$2:O$169,FALSE),1),"")</f>
        <v/>
      </c>
      <c r="P86" s="17" t="str">
        <f>IFERROR(INDEX(逆引き作成用!$C$2:$C$169,MATCH($B86&amp;"/"&amp;$C86,逆引き作成用!P$2:P$169,FALSE),1),"")</f>
        <v/>
      </c>
      <c r="Q86" s="17" t="str">
        <f>IFERROR(INDEX(逆引き作成用!$C$2:$C$169,MATCH($B86&amp;"/"&amp;$C86,逆引き作成用!Q$2:Q$169,FALSE),1),"")</f>
        <v/>
      </c>
      <c r="R86" s="17" t="str">
        <f>IFERROR(INDEX(逆引き作成用!$C$2:$C$169,MATCH($B86&amp;"/"&amp;$C86,逆引き作成用!R$2:R$169,FALSE),1),"")</f>
        <v/>
      </c>
      <c r="S86" s="17" t="str">
        <f>IFERROR(INDEX(逆引き作成用!$C$2:$C$169,MATCH($B86&amp;"/"&amp;$C86,逆引き作成用!S$2:S$169,FALSE),1),"")</f>
        <v/>
      </c>
      <c r="T86" s="17" t="str">
        <f>IFERROR(INDEX(逆引き作成用!$C$2:$C$169,MATCH($B86&amp;"/"&amp;$C86,逆引き作成用!T$2:T$169,FALSE),1),"")</f>
        <v/>
      </c>
      <c r="U86" s="17" t="str">
        <f>IFERROR(INDEX(逆引き作成用!$C$2:$C$169,MATCH($B86&amp;"/"&amp;$C86,逆引き作成用!U$2:U$169,FALSE),1),"")</f>
        <v/>
      </c>
      <c r="V86" s="17" t="str">
        <f>IFERROR(INDEX(逆引き作成用!$C$2:$C$169,MATCH($B86&amp;"/"&amp;$C86,逆引き作成用!V$2:V$169,FALSE),1),"")</f>
        <v/>
      </c>
      <c r="W86" s="17" t="str">
        <f>IFERROR(INDEX(逆引き作成用!$C$2:$C$169,MATCH($B86&amp;"/"&amp;$C86,逆引き作成用!W$2:W$169,FALSE),1),"")</f>
        <v/>
      </c>
      <c r="X86" s="17" t="str">
        <f>IFERROR(INDEX(逆引き作成用!$C$2:$C$169,MATCH($B86&amp;"/"&amp;$C86,逆引き作成用!X$2:X$169,FALSE),1),"")</f>
        <v/>
      </c>
      <c r="Y86" s="17" t="str">
        <f>IFERROR(INDEX(逆引き作成用!$C$2:$C$169,MATCH($B86&amp;"/"&amp;$C86,逆引き作成用!Y$2:Y$169,FALSE),1),"")</f>
        <v/>
      </c>
      <c r="Z86" s="17" t="str">
        <f>IFERROR(INDEX(逆引き作成用!$C$2:$C$169,MATCH($B86&amp;"/"&amp;$C86,逆引き作成用!Z$2:Z$169,FALSE),1),"")</f>
        <v/>
      </c>
      <c r="AA86" s="17" t="str">
        <f>IFERROR(INDEX(逆引き作成用!$C$2:$C$169,MATCH($B86&amp;"/"&amp;$C86,逆引き作成用!AA$2:AA$169,FALSE),1),"")</f>
        <v/>
      </c>
      <c r="AB86" s="17" t="str">
        <f>IFERROR(INDEX(逆引き作成用!$C$2:$C$169,MATCH($B86&amp;"/"&amp;$C86,逆引き作成用!AB$2:AB$169,FALSE),1),"")</f>
        <v/>
      </c>
      <c r="AC86" s="17" t="str">
        <f>IFERROR(INDEX(逆引き作成用!$C$2:$C$169,MATCH($B86&amp;"/"&amp;$C86,逆引き作成用!AC$2:AC$169,FALSE),1),"")</f>
        <v/>
      </c>
      <c r="AD86" s="17" t="str">
        <f>IFERROR(INDEX(逆引き作成用!$C$2:$C$169,MATCH($B86&amp;"/"&amp;$C86,逆引き作成用!AD$2:AD$169,FALSE),1),"")</f>
        <v/>
      </c>
      <c r="AE86" s="17" t="str">
        <f>IFERROR(INDEX(逆引き作成用!$C$2:$C$169,MATCH($B86&amp;"/"&amp;$C86,逆引き作成用!AE$2:AE$169,FALSE),1),"")</f>
        <v/>
      </c>
      <c r="AF86" s="17" t="str">
        <f>IFERROR(INDEX(逆引き作成用!$C$2:$C$169,MATCH($B86&amp;"/"&amp;$C86,逆引き作成用!AF$2:AF$169,FALSE),1),"")</f>
        <v/>
      </c>
      <c r="AG86" s="17" t="str">
        <f>IFERROR(INDEX(逆引き作成用!$C$2:$C$169,MATCH($B86&amp;"/"&amp;$C86,逆引き作成用!AG$2:AG$169,FALSE),1),"")</f>
        <v/>
      </c>
      <c r="AH86" s="17" t="str">
        <f>IFERROR(INDEX(逆引き作成用!$C$2:$C$169,MATCH($B86&amp;"/"&amp;$C86,逆引き作成用!AH$2:AH$169,FALSE),1),"")</f>
        <v/>
      </c>
      <c r="AI86" s="17" t="str">
        <f>IFERROR(INDEX(逆引き作成用!$C$2:$C$169,MATCH($B86&amp;"/"&amp;$C86,逆引き作成用!AI$2:AI$169,FALSE),1),"")</f>
        <v/>
      </c>
      <c r="AJ86" s="17" t="str">
        <f>IFERROR(INDEX(逆引き作成用!$C$2:$C$169,MATCH($B86&amp;"/"&amp;$C86,逆引き作成用!AJ$2:AJ$169,FALSE),1),"")</f>
        <v/>
      </c>
      <c r="AK86" s="17" t="str">
        <f>IFERROR(INDEX(逆引き作成用!$C$2:$C$169,MATCH($B86&amp;"/"&amp;$C86,逆引き作成用!AK$2:AK$169,FALSE),1),"")</f>
        <v/>
      </c>
      <c r="AL86" s="17" t="str">
        <f>IFERROR(INDEX(逆引き作成用!$C$2:$C$169,MATCH($B86&amp;"/"&amp;$C86,逆引き作成用!AL$2:AL$169,FALSE),1),"")</f>
        <v/>
      </c>
      <c r="AM86" s="17" t="str">
        <f>IFERROR(INDEX(逆引き作成用!$C$2:$C$169,MATCH($B86&amp;"/"&amp;$C86,逆引き作成用!AM$2:AM$169,FALSE),1),"")</f>
        <v/>
      </c>
      <c r="AN86" s="17" t="str">
        <f>IFERROR(INDEX(逆引き作成用!$C$2:$C$169,MATCH($B86&amp;"/"&amp;$C86,逆引き作成用!AN$2:AN$169,FALSE),1),"")</f>
        <v/>
      </c>
      <c r="AO86" s="17" t="str">
        <f>IFERROR(INDEX(逆引き作成用!$C$2:$C$169,MATCH($B86&amp;"/"&amp;$C86,逆引き作成用!AO$2:AO$169,FALSE),1),"")</f>
        <v/>
      </c>
      <c r="AP86" s="17" t="str">
        <f>IFERROR(INDEX(逆引き作成用!$C$2:$C$169,MATCH($B86&amp;"/"&amp;$C86,逆引き作成用!AP$2:AP$169,FALSE),1),"")</f>
        <v/>
      </c>
      <c r="AQ86" s="17" t="str">
        <f>IFERROR(INDEX(逆引き作成用!$C$2:$C$169,MATCH($B86&amp;"/"&amp;$C86,逆引き作成用!AQ$2:AQ$169,FALSE),1),"")</f>
        <v/>
      </c>
      <c r="AR86" s="17" t="str">
        <f>IFERROR(INDEX(逆引き作成用!$C$2:$C$169,MATCH($B86&amp;"/"&amp;$C86,逆引き作成用!AR$2:AR$169,FALSE),1),"")</f>
        <v/>
      </c>
      <c r="AS86" s="17" t="str">
        <f>IFERROR(INDEX(逆引き作成用!$C$2:$C$169,MATCH($B86&amp;"/"&amp;$C86,逆引き作成用!AS$2:AS$169,FALSE),1),"")</f>
        <v/>
      </c>
      <c r="AT86" s="17" t="str">
        <f>IFERROR(INDEX(逆引き作成用!$C$2:$C$169,MATCH($B86&amp;"/"&amp;$C86,逆引き作成用!AT$2:AT$169,FALSE),1),"")</f>
        <v/>
      </c>
      <c r="AU86" s="17" t="str">
        <f>IFERROR(INDEX(逆引き作成用!$C$2:$C$169,MATCH($B86&amp;"/"&amp;$C86,逆引き作成用!AU$2:AU$169,FALSE),1),"")</f>
        <v/>
      </c>
      <c r="AV86" s="17" t="str">
        <f>IFERROR(INDEX(逆引き作成用!$C$2:$C$169,MATCH($B86&amp;"/"&amp;$C86,逆引き作成用!AV$2:AV$169,FALSE),1),"")</f>
        <v/>
      </c>
      <c r="AW86" s="17" t="str">
        <f>IFERROR(INDEX(逆引き作成用!$C$2:$C$169,MATCH($B86&amp;"/"&amp;$C86,逆引き作成用!AW$2:AW$169,FALSE),1),"")</f>
        <v/>
      </c>
      <c r="AX86" s="17" t="str">
        <f>IFERROR(INDEX(逆引き作成用!$C$2:$C$169,MATCH($B86&amp;"/"&amp;$C86,逆引き作成用!AX$2:AX$169,FALSE),1),"")</f>
        <v/>
      </c>
      <c r="AY86" s="17" t="str">
        <f>IFERROR(INDEX(逆引き作成用!$C$2:$C$169,MATCH($B86&amp;"/"&amp;$C86,逆引き作成用!AY$2:AY$169,FALSE),1),"")</f>
        <v/>
      </c>
      <c r="AZ86" s="17" t="str">
        <f>IFERROR(INDEX(逆引き作成用!$C$2:$C$169,MATCH($B86&amp;"/"&amp;$C86,逆引き作成用!AZ$2:AZ$169,FALSE),1),"")</f>
        <v/>
      </c>
      <c r="BA86" s="17" t="str">
        <f>IFERROR(INDEX(逆引き作成用!$C$2:$C$169,MATCH($B86&amp;"/"&amp;$C86,逆引き作成用!BA$2:BA$169,FALSE),1),"")</f>
        <v/>
      </c>
    </row>
    <row r="87" spans="1:53">
      <c r="A87" s="17" t="str">
        <f>IFERROR(INDEX(役職一覧!$B$2:$B$31,MATCH(B87,役職一覧!$C$2:$C$31,FALSE),1),"")</f>
        <v/>
      </c>
      <c r="B87" s="17" t="str">
        <f>IFERROR(IF(C87=1,INDEX(役職一覧!$C$2:$C$31,MATCH(逆引き!B86,役職一覧!$C$2:$C$31,FALSE)+1,1)&amp;"",B86),"")</f>
        <v/>
      </c>
      <c r="C87" s="17" t="str">
        <f>IFERROR(IF(VLOOKUP(B86,役職一覧!$C$2:$E$31,3,FALSE)=C86,1,C86+1),"")</f>
        <v/>
      </c>
      <c r="D87" s="17" t="str">
        <f>IFERROR(INDEX(逆引き作成用!$C$2:$C$169,MATCH($B87&amp;"/"&amp;$C87,逆引き作成用!D$2:D$169,FALSE),1),"")</f>
        <v/>
      </c>
      <c r="E87" s="17" t="str">
        <f>IFERROR(INDEX(逆引き作成用!$C$2:$C$169,MATCH($B87&amp;"/"&amp;$C87,逆引き作成用!E$2:E$169,FALSE),1),"")</f>
        <v/>
      </c>
      <c r="F87" s="17" t="str">
        <f>IFERROR(INDEX(逆引き作成用!$C$2:$C$169,MATCH($B87&amp;"/"&amp;$C87,逆引き作成用!F$2:F$169,FALSE),1),"")</f>
        <v/>
      </c>
      <c r="G87" s="17" t="str">
        <f>IFERROR(INDEX(逆引き作成用!$C$2:$C$169,MATCH($B87&amp;"/"&amp;$C87,逆引き作成用!G$2:G$169,FALSE),1),"")</f>
        <v/>
      </c>
      <c r="H87" s="17" t="str">
        <f>IFERROR(INDEX(逆引き作成用!$C$2:$C$169,MATCH($B87&amp;"/"&amp;$C87,逆引き作成用!H$2:H$169,FALSE),1),"")</f>
        <v/>
      </c>
      <c r="I87" s="17" t="str">
        <f>IFERROR(INDEX(逆引き作成用!$C$2:$C$169,MATCH($B87&amp;"/"&amp;$C87,逆引き作成用!I$2:I$169,FALSE),1),"")</f>
        <v/>
      </c>
      <c r="J87" s="17" t="str">
        <f>IFERROR(INDEX(逆引き作成用!$C$2:$C$169,MATCH($B87&amp;"/"&amp;$C87,逆引き作成用!J$2:J$169,FALSE),1),"")</f>
        <v/>
      </c>
      <c r="K87" s="17" t="str">
        <f>IFERROR(INDEX(逆引き作成用!$C$2:$C$169,MATCH($B87&amp;"/"&amp;$C87,逆引き作成用!K$2:K$169,FALSE),1),"")</f>
        <v/>
      </c>
      <c r="L87" s="17" t="str">
        <f>IFERROR(INDEX(逆引き作成用!$C$2:$C$169,MATCH($B87&amp;"/"&amp;$C87,逆引き作成用!L$2:L$169,FALSE),1),"")</f>
        <v/>
      </c>
      <c r="M87" s="17" t="str">
        <f>IFERROR(INDEX(逆引き作成用!$C$2:$C$169,MATCH($B87&amp;"/"&amp;$C87,逆引き作成用!M$2:M$169,FALSE),1),"")</f>
        <v/>
      </c>
      <c r="N87" s="17" t="str">
        <f>IFERROR(INDEX(逆引き作成用!$C$2:$C$169,MATCH($B87&amp;"/"&amp;$C87,逆引き作成用!N$2:N$169,FALSE),1),"")</f>
        <v/>
      </c>
      <c r="O87" s="17" t="str">
        <f>IFERROR(INDEX(逆引き作成用!$C$2:$C$169,MATCH($B87&amp;"/"&amp;$C87,逆引き作成用!O$2:O$169,FALSE),1),"")</f>
        <v/>
      </c>
      <c r="P87" s="17" t="str">
        <f>IFERROR(INDEX(逆引き作成用!$C$2:$C$169,MATCH($B87&amp;"/"&amp;$C87,逆引き作成用!P$2:P$169,FALSE),1),"")</f>
        <v/>
      </c>
      <c r="Q87" s="17" t="str">
        <f>IFERROR(INDEX(逆引き作成用!$C$2:$C$169,MATCH($B87&amp;"/"&amp;$C87,逆引き作成用!Q$2:Q$169,FALSE),1),"")</f>
        <v/>
      </c>
      <c r="R87" s="17" t="str">
        <f>IFERROR(INDEX(逆引き作成用!$C$2:$C$169,MATCH($B87&amp;"/"&amp;$C87,逆引き作成用!R$2:R$169,FALSE),1),"")</f>
        <v/>
      </c>
      <c r="S87" s="17" t="str">
        <f>IFERROR(INDEX(逆引き作成用!$C$2:$C$169,MATCH($B87&amp;"/"&amp;$C87,逆引き作成用!S$2:S$169,FALSE),1),"")</f>
        <v/>
      </c>
      <c r="T87" s="17" t="str">
        <f>IFERROR(INDEX(逆引き作成用!$C$2:$C$169,MATCH($B87&amp;"/"&amp;$C87,逆引き作成用!T$2:T$169,FALSE),1),"")</f>
        <v/>
      </c>
      <c r="U87" s="17" t="str">
        <f>IFERROR(INDEX(逆引き作成用!$C$2:$C$169,MATCH($B87&amp;"/"&amp;$C87,逆引き作成用!U$2:U$169,FALSE),1),"")</f>
        <v/>
      </c>
      <c r="V87" s="17" t="str">
        <f>IFERROR(INDEX(逆引き作成用!$C$2:$C$169,MATCH($B87&amp;"/"&amp;$C87,逆引き作成用!V$2:V$169,FALSE),1),"")</f>
        <v/>
      </c>
      <c r="W87" s="17" t="str">
        <f>IFERROR(INDEX(逆引き作成用!$C$2:$C$169,MATCH($B87&amp;"/"&amp;$C87,逆引き作成用!W$2:W$169,FALSE),1),"")</f>
        <v/>
      </c>
      <c r="X87" s="17" t="str">
        <f>IFERROR(INDEX(逆引き作成用!$C$2:$C$169,MATCH($B87&amp;"/"&amp;$C87,逆引き作成用!X$2:X$169,FALSE),1),"")</f>
        <v/>
      </c>
      <c r="Y87" s="17" t="str">
        <f>IFERROR(INDEX(逆引き作成用!$C$2:$C$169,MATCH($B87&amp;"/"&amp;$C87,逆引き作成用!Y$2:Y$169,FALSE),1),"")</f>
        <v/>
      </c>
      <c r="Z87" s="17" t="str">
        <f>IFERROR(INDEX(逆引き作成用!$C$2:$C$169,MATCH($B87&amp;"/"&amp;$C87,逆引き作成用!Z$2:Z$169,FALSE),1),"")</f>
        <v/>
      </c>
      <c r="AA87" s="17" t="str">
        <f>IFERROR(INDEX(逆引き作成用!$C$2:$C$169,MATCH($B87&amp;"/"&amp;$C87,逆引き作成用!AA$2:AA$169,FALSE),1),"")</f>
        <v/>
      </c>
      <c r="AB87" s="17" t="str">
        <f>IFERROR(INDEX(逆引き作成用!$C$2:$C$169,MATCH($B87&amp;"/"&amp;$C87,逆引き作成用!AB$2:AB$169,FALSE),1),"")</f>
        <v/>
      </c>
      <c r="AC87" s="17" t="str">
        <f>IFERROR(INDEX(逆引き作成用!$C$2:$C$169,MATCH($B87&amp;"/"&amp;$C87,逆引き作成用!AC$2:AC$169,FALSE),1),"")</f>
        <v/>
      </c>
      <c r="AD87" s="17" t="str">
        <f>IFERROR(INDEX(逆引き作成用!$C$2:$C$169,MATCH($B87&amp;"/"&amp;$C87,逆引き作成用!AD$2:AD$169,FALSE),1),"")</f>
        <v/>
      </c>
      <c r="AE87" s="17" t="str">
        <f>IFERROR(INDEX(逆引き作成用!$C$2:$C$169,MATCH($B87&amp;"/"&amp;$C87,逆引き作成用!AE$2:AE$169,FALSE),1),"")</f>
        <v/>
      </c>
      <c r="AF87" s="17" t="str">
        <f>IFERROR(INDEX(逆引き作成用!$C$2:$C$169,MATCH($B87&amp;"/"&amp;$C87,逆引き作成用!AF$2:AF$169,FALSE),1),"")</f>
        <v/>
      </c>
      <c r="AG87" s="17" t="str">
        <f>IFERROR(INDEX(逆引き作成用!$C$2:$C$169,MATCH($B87&amp;"/"&amp;$C87,逆引き作成用!AG$2:AG$169,FALSE),1),"")</f>
        <v/>
      </c>
      <c r="AH87" s="17" t="str">
        <f>IFERROR(INDEX(逆引き作成用!$C$2:$C$169,MATCH($B87&amp;"/"&amp;$C87,逆引き作成用!AH$2:AH$169,FALSE),1),"")</f>
        <v/>
      </c>
      <c r="AI87" s="17" t="str">
        <f>IFERROR(INDEX(逆引き作成用!$C$2:$C$169,MATCH($B87&amp;"/"&amp;$C87,逆引き作成用!AI$2:AI$169,FALSE),1),"")</f>
        <v/>
      </c>
      <c r="AJ87" s="17" t="str">
        <f>IFERROR(INDEX(逆引き作成用!$C$2:$C$169,MATCH($B87&amp;"/"&amp;$C87,逆引き作成用!AJ$2:AJ$169,FALSE),1),"")</f>
        <v/>
      </c>
      <c r="AK87" s="17" t="str">
        <f>IFERROR(INDEX(逆引き作成用!$C$2:$C$169,MATCH($B87&amp;"/"&amp;$C87,逆引き作成用!AK$2:AK$169,FALSE),1),"")</f>
        <v/>
      </c>
      <c r="AL87" s="17" t="str">
        <f>IFERROR(INDEX(逆引き作成用!$C$2:$C$169,MATCH($B87&amp;"/"&amp;$C87,逆引き作成用!AL$2:AL$169,FALSE),1),"")</f>
        <v/>
      </c>
      <c r="AM87" s="17" t="str">
        <f>IFERROR(INDEX(逆引き作成用!$C$2:$C$169,MATCH($B87&amp;"/"&amp;$C87,逆引き作成用!AM$2:AM$169,FALSE),1),"")</f>
        <v/>
      </c>
      <c r="AN87" s="17" t="str">
        <f>IFERROR(INDEX(逆引き作成用!$C$2:$C$169,MATCH($B87&amp;"/"&amp;$C87,逆引き作成用!AN$2:AN$169,FALSE),1),"")</f>
        <v/>
      </c>
      <c r="AO87" s="17" t="str">
        <f>IFERROR(INDEX(逆引き作成用!$C$2:$C$169,MATCH($B87&amp;"/"&amp;$C87,逆引き作成用!AO$2:AO$169,FALSE),1),"")</f>
        <v/>
      </c>
      <c r="AP87" s="17" t="str">
        <f>IFERROR(INDEX(逆引き作成用!$C$2:$C$169,MATCH($B87&amp;"/"&amp;$C87,逆引き作成用!AP$2:AP$169,FALSE),1),"")</f>
        <v/>
      </c>
      <c r="AQ87" s="17" t="str">
        <f>IFERROR(INDEX(逆引き作成用!$C$2:$C$169,MATCH($B87&amp;"/"&amp;$C87,逆引き作成用!AQ$2:AQ$169,FALSE),1),"")</f>
        <v/>
      </c>
      <c r="AR87" s="17" t="str">
        <f>IFERROR(INDEX(逆引き作成用!$C$2:$C$169,MATCH($B87&amp;"/"&amp;$C87,逆引き作成用!AR$2:AR$169,FALSE),1),"")</f>
        <v/>
      </c>
      <c r="AS87" s="17" t="str">
        <f>IFERROR(INDEX(逆引き作成用!$C$2:$C$169,MATCH($B87&amp;"/"&amp;$C87,逆引き作成用!AS$2:AS$169,FALSE),1),"")</f>
        <v/>
      </c>
      <c r="AT87" s="17" t="str">
        <f>IFERROR(INDEX(逆引き作成用!$C$2:$C$169,MATCH($B87&amp;"/"&amp;$C87,逆引き作成用!AT$2:AT$169,FALSE),1),"")</f>
        <v/>
      </c>
      <c r="AU87" s="17" t="str">
        <f>IFERROR(INDEX(逆引き作成用!$C$2:$C$169,MATCH($B87&amp;"/"&amp;$C87,逆引き作成用!AU$2:AU$169,FALSE),1),"")</f>
        <v/>
      </c>
      <c r="AV87" s="17" t="str">
        <f>IFERROR(INDEX(逆引き作成用!$C$2:$C$169,MATCH($B87&amp;"/"&amp;$C87,逆引き作成用!AV$2:AV$169,FALSE),1),"")</f>
        <v/>
      </c>
      <c r="AW87" s="17" t="str">
        <f>IFERROR(INDEX(逆引き作成用!$C$2:$C$169,MATCH($B87&amp;"/"&amp;$C87,逆引き作成用!AW$2:AW$169,FALSE),1),"")</f>
        <v/>
      </c>
      <c r="AX87" s="17" t="str">
        <f>IFERROR(INDEX(逆引き作成用!$C$2:$C$169,MATCH($B87&amp;"/"&amp;$C87,逆引き作成用!AX$2:AX$169,FALSE),1),"")</f>
        <v/>
      </c>
      <c r="AY87" s="17" t="str">
        <f>IFERROR(INDEX(逆引き作成用!$C$2:$C$169,MATCH($B87&amp;"/"&amp;$C87,逆引き作成用!AY$2:AY$169,FALSE),1),"")</f>
        <v/>
      </c>
      <c r="AZ87" s="17" t="str">
        <f>IFERROR(INDEX(逆引き作成用!$C$2:$C$169,MATCH($B87&amp;"/"&amp;$C87,逆引き作成用!AZ$2:AZ$169,FALSE),1),"")</f>
        <v/>
      </c>
      <c r="BA87" s="17" t="str">
        <f>IFERROR(INDEX(逆引き作成用!$C$2:$C$169,MATCH($B87&amp;"/"&amp;$C87,逆引き作成用!BA$2:BA$169,FALSE),1),"")</f>
        <v/>
      </c>
    </row>
    <row r="88" spans="1:53">
      <c r="A88" s="17" t="str">
        <f>IFERROR(INDEX(役職一覧!$B$2:$B$31,MATCH(B88,役職一覧!$C$2:$C$31,FALSE),1),"")</f>
        <v/>
      </c>
      <c r="B88" s="17" t="str">
        <f>IFERROR(IF(C88=1,INDEX(役職一覧!$C$2:$C$31,MATCH(逆引き!B87,役職一覧!$C$2:$C$31,FALSE)+1,1)&amp;"",B87),"")</f>
        <v/>
      </c>
      <c r="C88" s="17" t="str">
        <f>IFERROR(IF(VLOOKUP(B87,役職一覧!$C$2:$E$31,3,FALSE)=C87,1,C87+1),"")</f>
        <v/>
      </c>
      <c r="D88" s="17" t="str">
        <f>IFERROR(INDEX(逆引き作成用!$C$2:$C$169,MATCH($B88&amp;"/"&amp;$C88,逆引き作成用!D$2:D$169,FALSE),1),"")</f>
        <v/>
      </c>
      <c r="E88" s="17" t="str">
        <f>IFERROR(INDEX(逆引き作成用!$C$2:$C$169,MATCH($B88&amp;"/"&amp;$C88,逆引き作成用!E$2:E$169,FALSE),1),"")</f>
        <v/>
      </c>
      <c r="F88" s="17" t="str">
        <f>IFERROR(INDEX(逆引き作成用!$C$2:$C$169,MATCH($B88&amp;"/"&amp;$C88,逆引き作成用!F$2:F$169,FALSE),1),"")</f>
        <v/>
      </c>
      <c r="G88" s="17" t="str">
        <f>IFERROR(INDEX(逆引き作成用!$C$2:$C$169,MATCH($B88&amp;"/"&amp;$C88,逆引き作成用!G$2:G$169,FALSE),1),"")</f>
        <v/>
      </c>
      <c r="H88" s="17" t="str">
        <f>IFERROR(INDEX(逆引き作成用!$C$2:$C$169,MATCH($B88&amp;"/"&amp;$C88,逆引き作成用!H$2:H$169,FALSE),1),"")</f>
        <v/>
      </c>
      <c r="I88" s="17" t="str">
        <f>IFERROR(INDEX(逆引き作成用!$C$2:$C$169,MATCH($B88&amp;"/"&amp;$C88,逆引き作成用!I$2:I$169,FALSE),1),"")</f>
        <v/>
      </c>
      <c r="J88" s="17" t="str">
        <f>IFERROR(INDEX(逆引き作成用!$C$2:$C$169,MATCH($B88&amp;"/"&amp;$C88,逆引き作成用!J$2:J$169,FALSE),1),"")</f>
        <v/>
      </c>
      <c r="K88" s="17" t="str">
        <f>IFERROR(INDEX(逆引き作成用!$C$2:$C$169,MATCH($B88&amp;"/"&amp;$C88,逆引き作成用!K$2:K$169,FALSE),1),"")</f>
        <v/>
      </c>
      <c r="L88" s="17" t="str">
        <f>IFERROR(INDEX(逆引き作成用!$C$2:$C$169,MATCH($B88&amp;"/"&amp;$C88,逆引き作成用!L$2:L$169,FALSE),1),"")</f>
        <v/>
      </c>
      <c r="M88" s="17" t="str">
        <f>IFERROR(INDEX(逆引き作成用!$C$2:$C$169,MATCH($B88&amp;"/"&amp;$C88,逆引き作成用!M$2:M$169,FALSE),1),"")</f>
        <v/>
      </c>
      <c r="N88" s="17" t="str">
        <f>IFERROR(INDEX(逆引き作成用!$C$2:$C$169,MATCH($B88&amp;"/"&amp;$C88,逆引き作成用!N$2:N$169,FALSE),1),"")</f>
        <v/>
      </c>
      <c r="O88" s="17" t="str">
        <f>IFERROR(INDEX(逆引き作成用!$C$2:$C$169,MATCH($B88&amp;"/"&amp;$C88,逆引き作成用!O$2:O$169,FALSE),1),"")</f>
        <v/>
      </c>
      <c r="P88" s="17" t="str">
        <f>IFERROR(INDEX(逆引き作成用!$C$2:$C$169,MATCH($B88&amp;"/"&amp;$C88,逆引き作成用!P$2:P$169,FALSE),1),"")</f>
        <v/>
      </c>
      <c r="Q88" s="17" t="str">
        <f>IFERROR(INDEX(逆引き作成用!$C$2:$C$169,MATCH($B88&amp;"/"&amp;$C88,逆引き作成用!Q$2:Q$169,FALSE),1),"")</f>
        <v/>
      </c>
      <c r="R88" s="17" t="str">
        <f>IFERROR(INDEX(逆引き作成用!$C$2:$C$169,MATCH($B88&amp;"/"&amp;$C88,逆引き作成用!R$2:R$169,FALSE),1),"")</f>
        <v/>
      </c>
      <c r="S88" s="17" t="str">
        <f>IFERROR(INDEX(逆引き作成用!$C$2:$C$169,MATCH($B88&amp;"/"&amp;$C88,逆引き作成用!S$2:S$169,FALSE),1),"")</f>
        <v/>
      </c>
      <c r="T88" s="17" t="str">
        <f>IFERROR(INDEX(逆引き作成用!$C$2:$C$169,MATCH($B88&amp;"/"&amp;$C88,逆引き作成用!T$2:T$169,FALSE),1),"")</f>
        <v/>
      </c>
      <c r="U88" s="17" t="str">
        <f>IFERROR(INDEX(逆引き作成用!$C$2:$C$169,MATCH($B88&amp;"/"&amp;$C88,逆引き作成用!U$2:U$169,FALSE),1),"")</f>
        <v/>
      </c>
      <c r="V88" s="17" t="str">
        <f>IFERROR(INDEX(逆引き作成用!$C$2:$C$169,MATCH($B88&amp;"/"&amp;$C88,逆引き作成用!V$2:V$169,FALSE),1),"")</f>
        <v/>
      </c>
      <c r="W88" s="17" t="str">
        <f>IFERROR(INDEX(逆引き作成用!$C$2:$C$169,MATCH($B88&amp;"/"&amp;$C88,逆引き作成用!W$2:W$169,FALSE),1),"")</f>
        <v/>
      </c>
      <c r="X88" s="17" t="str">
        <f>IFERROR(INDEX(逆引き作成用!$C$2:$C$169,MATCH($B88&amp;"/"&amp;$C88,逆引き作成用!X$2:X$169,FALSE),1),"")</f>
        <v/>
      </c>
      <c r="Y88" s="17" t="str">
        <f>IFERROR(INDEX(逆引き作成用!$C$2:$C$169,MATCH($B88&amp;"/"&amp;$C88,逆引き作成用!Y$2:Y$169,FALSE),1),"")</f>
        <v/>
      </c>
      <c r="Z88" s="17" t="str">
        <f>IFERROR(INDEX(逆引き作成用!$C$2:$C$169,MATCH($B88&amp;"/"&amp;$C88,逆引き作成用!Z$2:Z$169,FALSE),1),"")</f>
        <v/>
      </c>
      <c r="AA88" s="17" t="str">
        <f>IFERROR(INDEX(逆引き作成用!$C$2:$C$169,MATCH($B88&amp;"/"&amp;$C88,逆引き作成用!AA$2:AA$169,FALSE),1),"")</f>
        <v/>
      </c>
      <c r="AB88" s="17" t="str">
        <f>IFERROR(INDEX(逆引き作成用!$C$2:$C$169,MATCH($B88&amp;"/"&amp;$C88,逆引き作成用!AB$2:AB$169,FALSE),1),"")</f>
        <v/>
      </c>
      <c r="AC88" s="17" t="str">
        <f>IFERROR(INDEX(逆引き作成用!$C$2:$C$169,MATCH($B88&amp;"/"&amp;$C88,逆引き作成用!AC$2:AC$169,FALSE),1),"")</f>
        <v/>
      </c>
      <c r="AD88" s="17" t="str">
        <f>IFERROR(INDEX(逆引き作成用!$C$2:$C$169,MATCH($B88&amp;"/"&amp;$C88,逆引き作成用!AD$2:AD$169,FALSE),1),"")</f>
        <v/>
      </c>
      <c r="AE88" s="17" t="str">
        <f>IFERROR(INDEX(逆引き作成用!$C$2:$C$169,MATCH($B88&amp;"/"&amp;$C88,逆引き作成用!AE$2:AE$169,FALSE),1),"")</f>
        <v/>
      </c>
      <c r="AF88" s="17" t="str">
        <f>IFERROR(INDEX(逆引き作成用!$C$2:$C$169,MATCH($B88&amp;"/"&amp;$C88,逆引き作成用!AF$2:AF$169,FALSE),1),"")</f>
        <v/>
      </c>
      <c r="AG88" s="17" t="str">
        <f>IFERROR(INDEX(逆引き作成用!$C$2:$C$169,MATCH($B88&amp;"/"&amp;$C88,逆引き作成用!AG$2:AG$169,FALSE),1),"")</f>
        <v/>
      </c>
      <c r="AH88" s="17" t="str">
        <f>IFERROR(INDEX(逆引き作成用!$C$2:$C$169,MATCH($B88&amp;"/"&amp;$C88,逆引き作成用!AH$2:AH$169,FALSE),1),"")</f>
        <v/>
      </c>
      <c r="AI88" s="17" t="str">
        <f>IFERROR(INDEX(逆引き作成用!$C$2:$C$169,MATCH($B88&amp;"/"&amp;$C88,逆引き作成用!AI$2:AI$169,FALSE),1),"")</f>
        <v/>
      </c>
      <c r="AJ88" s="17" t="str">
        <f>IFERROR(INDEX(逆引き作成用!$C$2:$C$169,MATCH($B88&amp;"/"&amp;$C88,逆引き作成用!AJ$2:AJ$169,FALSE),1),"")</f>
        <v/>
      </c>
      <c r="AK88" s="17" t="str">
        <f>IFERROR(INDEX(逆引き作成用!$C$2:$C$169,MATCH($B88&amp;"/"&amp;$C88,逆引き作成用!AK$2:AK$169,FALSE),1),"")</f>
        <v/>
      </c>
      <c r="AL88" s="17" t="str">
        <f>IFERROR(INDEX(逆引き作成用!$C$2:$C$169,MATCH($B88&amp;"/"&amp;$C88,逆引き作成用!AL$2:AL$169,FALSE),1),"")</f>
        <v/>
      </c>
      <c r="AM88" s="17" t="str">
        <f>IFERROR(INDEX(逆引き作成用!$C$2:$C$169,MATCH($B88&amp;"/"&amp;$C88,逆引き作成用!AM$2:AM$169,FALSE),1),"")</f>
        <v/>
      </c>
      <c r="AN88" s="17" t="str">
        <f>IFERROR(INDEX(逆引き作成用!$C$2:$C$169,MATCH($B88&amp;"/"&amp;$C88,逆引き作成用!AN$2:AN$169,FALSE),1),"")</f>
        <v/>
      </c>
      <c r="AO88" s="17" t="str">
        <f>IFERROR(INDEX(逆引き作成用!$C$2:$C$169,MATCH($B88&amp;"/"&amp;$C88,逆引き作成用!AO$2:AO$169,FALSE),1),"")</f>
        <v/>
      </c>
      <c r="AP88" s="17" t="str">
        <f>IFERROR(INDEX(逆引き作成用!$C$2:$C$169,MATCH($B88&amp;"/"&amp;$C88,逆引き作成用!AP$2:AP$169,FALSE),1),"")</f>
        <v/>
      </c>
      <c r="AQ88" s="17" t="str">
        <f>IFERROR(INDEX(逆引き作成用!$C$2:$C$169,MATCH($B88&amp;"/"&amp;$C88,逆引き作成用!AQ$2:AQ$169,FALSE),1),"")</f>
        <v/>
      </c>
      <c r="AR88" s="17" t="str">
        <f>IFERROR(INDEX(逆引き作成用!$C$2:$C$169,MATCH($B88&amp;"/"&amp;$C88,逆引き作成用!AR$2:AR$169,FALSE),1),"")</f>
        <v/>
      </c>
      <c r="AS88" s="17" t="str">
        <f>IFERROR(INDEX(逆引き作成用!$C$2:$C$169,MATCH($B88&amp;"/"&amp;$C88,逆引き作成用!AS$2:AS$169,FALSE),1),"")</f>
        <v/>
      </c>
      <c r="AT88" s="17" t="str">
        <f>IFERROR(INDEX(逆引き作成用!$C$2:$C$169,MATCH($B88&amp;"/"&amp;$C88,逆引き作成用!AT$2:AT$169,FALSE),1),"")</f>
        <v/>
      </c>
      <c r="AU88" s="17" t="str">
        <f>IFERROR(INDEX(逆引き作成用!$C$2:$C$169,MATCH($B88&amp;"/"&amp;$C88,逆引き作成用!AU$2:AU$169,FALSE),1),"")</f>
        <v/>
      </c>
      <c r="AV88" s="17" t="str">
        <f>IFERROR(INDEX(逆引き作成用!$C$2:$C$169,MATCH($B88&amp;"/"&amp;$C88,逆引き作成用!AV$2:AV$169,FALSE),1),"")</f>
        <v/>
      </c>
      <c r="AW88" s="17" t="str">
        <f>IFERROR(INDEX(逆引き作成用!$C$2:$C$169,MATCH($B88&amp;"/"&amp;$C88,逆引き作成用!AW$2:AW$169,FALSE),1),"")</f>
        <v/>
      </c>
      <c r="AX88" s="17" t="str">
        <f>IFERROR(INDEX(逆引き作成用!$C$2:$C$169,MATCH($B88&amp;"/"&amp;$C88,逆引き作成用!AX$2:AX$169,FALSE),1),"")</f>
        <v/>
      </c>
      <c r="AY88" s="17" t="str">
        <f>IFERROR(INDEX(逆引き作成用!$C$2:$C$169,MATCH($B88&amp;"/"&amp;$C88,逆引き作成用!AY$2:AY$169,FALSE),1),"")</f>
        <v/>
      </c>
      <c r="AZ88" s="17" t="str">
        <f>IFERROR(INDEX(逆引き作成用!$C$2:$C$169,MATCH($B88&amp;"/"&amp;$C88,逆引き作成用!AZ$2:AZ$169,FALSE),1),"")</f>
        <v/>
      </c>
      <c r="BA88" s="17" t="str">
        <f>IFERROR(INDEX(逆引き作成用!$C$2:$C$169,MATCH($B88&amp;"/"&amp;$C88,逆引き作成用!BA$2:BA$169,FALSE),1),"")</f>
        <v/>
      </c>
    </row>
    <row r="89" spans="1:53">
      <c r="A89" s="17" t="str">
        <f>IFERROR(INDEX(役職一覧!$B$2:$B$31,MATCH(B89,役職一覧!$C$2:$C$31,FALSE),1),"")</f>
        <v/>
      </c>
      <c r="B89" s="17" t="str">
        <f>IFERROR(IF(C89=1,INDEX(役職一覧!$C$2:$C$31,MATCH(逆引き!B88,役職一覧!$C$2:$C$31,FALSE)+1,1)&amp;"",B88),"")</f>
        <v/>
      </c>
      <c r="C89" s="17" t="str">
        <f>IFERROR(IF(VLOOKUP(B88,役職一覧!$C$2:$E$31,3,FALSE)=C88,1,C88+1),"")</f>
        <v/>
      </c>
      <c r="D89" s="17" t="str">
        <f>IFERROR(INDEX(逆引き作成用!$C$2:$C$169,MATCH($B89&amp;"/"&amp;$C89,逆引き作成用!D$2:D$169,FALSE),1),"")</f>
        <v/>
      </c>
      <c r="E89" s="17" t="str">
        <f>IFERROR(INDEX(逆引き作成用!$C$2:$C$169,MATCH($B89&amp;"/"&amp;$C89,逆引き作成用!E$2:E$169,FALSE),1),"")</f>
        <v/>
      </c>
      <c r="F89" s="17" t="str">
        <f>IFERROR(INDEX(逆引き作成用!$C$2:$C$169,MATCH($B89&amp;"/"&amp;$C89,逆引き作成用!F$2:F$169,FALSE),1),"")</f>
        <v/>
      </c>
      <c r="G89" s="17" t="str">
        <f>IFERROR(INDEX(逆引き作成用!$C$2:$C$169,MATCH($B89&amp;"/"&amp;$C89,逆引き作成用!G$2:G$169,FALSE),1),"")</f>
        <v/>
      </c>
      <c r="H89" s="17" t="str">
        <f>IFERROR(INDEX(逆引き作成用!$C$2:$C$169,MATCH($B89&amp;"/"&amp;$C89,逆引き作成用!H$2:H$169,FALSE),1),"")</f>
        <v/>
      </c>
      <c r="I89" s="17" t="str">
        <f>IFERROR(INDEX(逆引き作成用!$C$2:$C$169,MATCH($B89&amp;"/"&amp;$C89,逆引き作成用!I$2:I$169,FALSE),1),"")</f>
        <v/>
      </c>
      <c r="J89" s="17" t="str">
        <f>IFERROR(INDEX(逆引き作成用!$C$2:$C$169,MATCH($B89&amp;"/"&amp;$C89,逆引き作成用!J$2:J$169,FALSE),1),"")</f>
        <v/>
      </c>
      <c r="K89" s="17" t="str">
        <f>IFERROR(INDEX(逆引き作成用!$C$2:$C$169,MATCH($B89&amp;"/"&amp;$C89,逆引き作成用!K$2:K$169,FALSE),1),"")</f>
        <v/>
      </c>
      <c r="L89" s="17" t="str">
        <f>IFERROR(INDEX(逆引き作成用!$C$2:$C$169,MATCH($B89&amp;"/"&amp;$C89,逆引き作成用!L$2:L$169,FALSE),1),"")</f>
        <v/>
      </c>
      <c r="M89" s="17" t="str">
        <f>IFERROR(INDEX(逆引き作成用!$C$2:$C$169,MATCH($B89&amp;"/"&amp;$C89,逆引き作成用!M$2:M$169,FALSE),1),"")</f>
        <v/>
      </c>
      <c r="N89" s="17" t="str">
        <f>IFERROR(INDEX(逆引き作成用!$C$2:$C$169,MATCH($B89&amp;"/"&amp;$C89,逆引き作成用!N$2:N$169,FALSE),1),"")</f>
        <v/>
      </c>
      <c r="O89" s="17" t="str">
        <f>IFERROR(INDEX(逆引き作成用!$C$2:$C$169,MATCH($B89&amp;"/"&amp;$C89,逆引き作成用!O$2:O$169,FALSE),1),"")</f>
        <v/>
      </c>
      <c r="P89" s="17" t="str">
        <f>IFERROR(INDEX(逆引き作成用!$C$2:$C$169,MATCH($B89&amp;"/"&amp;$C89,逆引き作成用!P$2:P$169,FALSE),1),"")</f>
        <v/>
      </c>
      <c r="Q89" s="17" t="str">
        <f>IFERROR(INDEX(逆引き作成用!$C$2:$C$169,MATCH($B89&amp;"/"&amp;$C89,逆引き作成用!Q$2:Q$169,FALSE),1),"")</f>
        <v/>
      </c>
      <c r="R89" s="17" t="str">
        <f>IFERROR(INDEX(逆引き作成用!$C$2:$C$169,MATCH($B89&amp;"/"&amp;$C89,逆引き作成用!R$2:R$169,FALSE),1),"")</f>
        <v/>
      </c>
      <c r="S89" s="17" t="str">
        <f>IFERROR(INDEX(逆引き作成用!$C$2:$C$169,MATCH($B89&amp;"/"&amp;$C89,逆引き作成用!S$2:S$169,FALSE),1),"")</f>
        <v/>
      </c>
      <c r="T89" s="17" t="str">
        <f>IFERROR(INDEX(逆引き作成用!$C$2:$C$169,MATCH($B89&amp;"/"&amp;$C89,逆引き作成用!T$2:T$169,FALSE),1),"")</f>
        <v/>
      </c>
      <c r="U89" s="17" t="str">
        <f>IFERROR(INDEX(逆引き作成用!$C$2:$C$169,MATCH($B89&amp;"/"&amp;$C89,逆引き作成用!U$2:U$169,FALSE),1),"")</f>
        <v/>
      </c>
      <c r="V89" s="17" t="str">
        <f>IFERROR(INDEX(逆引き作成用!$C$2:$C$169,MATCH($B89&amp;"/"&amp;$C89,逆引き作成用!V$2:V$169,FALSE),1),"")</f>
        <v/>
      </c>
      <c r="W89" s="17" t="str">
        <f>IFERROR(INDEX(逆引き作成用!$C$2:$C$169,MATCH($B89&amp;"/"&amp;$C89,逆引き作成用!W$2:W$169,FALSE),1),"")</f>
        <v/>
      </c>
      <c r="X89" s="17" t="str">
        <f>IFERROR(INDEX(逆引き作成用!$C$2:$C$169,MATCH($B89&amp;"/"&amp;$C89,逆引き作成用!X$2:X$169,FALSE),1),"")</f>
        <v/>
      </c>
      <c r="Y89" s="17" t="str">
        <f>IFERROR(INDEX(逆引き作成用!$C$2:$C$169,MATCH($B89&amp;"/"&amp;$C89,逆引き作成用!Y$2:Y$169,FALSE),1),"")</f>
        <v/>
      </c>
      <c r="Z89" s="17" t="str">
        <f>IFERROR(INDEX(逆引き作成用!$C$2:$C$169,MATCH($B89&amp;"/"&amp;$C89,逆引き作成用!Z$2:Z$169,FALSE),1),"")</f>
        <v/>
      </c>
      <c r="AA89" s="17" t="str">
        <f>IFERROR(INDEX(逆引き作成用!$C$2:$C$169,MATCH($B89&amp;"/"&amp;$C89,逆引き作成用!AA$2:AA$169,FALSE),1),"")</f>
        <v/>
      </c>
      <c r="AB89" s="17" t="str">
        <f>IFERROR(INDEX(逆引き作成用!$C$2:$C$169,MATCH($B89&amp;"/"&amp;$C89,逆引き作成用!AB$2:AB$169,FALSE),1),"")</f>
        <v/>
      </c>
      <c r="AC89" s="17" t="str">
        <f>IFERROR(INDEX(逆引き作成用!$C$2:$C$169,MATCH($B89&amp;"/"&amp;$C89,逆引き作成用!AC$2:AC$169,FALSE),1),"")</f>
        <v/>
      </c>
      <c r="AD89" s="17" t="str">
        <f>IFERROR(INDEX(逆引き作成用!$C$2:$C$169,MATCH($B89&amp;"/"&amp;$C89,逆引き作成用!AD$2:AD$169,FALSE),1),"")</f>
        <v/>
      </c>
      <c r="AE89" s="17" t="str">
        <f>IFERROR(INDEX(逆引き作成用!$C$2:$C$169,MATCH($B89&amp;"/"&amp;$C89,逆引き作成用!AE$2:AE$169,FALSE),1),"")</f>
        <v/>
      </c>
      <c r="AF89" s="17" t="str">
        <f>IFERROR(INDEX(逆引き作成用!$C$2:$C$169,MATCH($B89&amp;"/"&amp;$C89,逆引き作成用!AF$2:AF$169,FALSE),1),"")</f>
        <v/>
      </c>
      <c r="AG89" s="17" t="str">
        <f>IFERROR(INDEX(逆引き作成用!$C$2:$C$169,MATCH($B89&amp;"/"&amp;$C89,逆引き作成用!AG$2:AG$169,FALSE),1),"")</f>
        <v/>
      </c>
      <c r="AH89" s="17" t="str">
        <f>IFERROR(INDEX(逆引き作成用!$C$2:$C$169,MATCH($B89&amp;"/"&amp;$C89,逆引き作成用!AH$2:AH$169,FALSE),1),"")</f>
        <v/>
      </c>
      <c r="AI89" s="17" t="str">
        <f>IFERROR(INDEX(逆引き作成用!$C$2:$C$169,MATCH($B89&amp;"/"&amp;$C89,逆引き作成用!AI$2:AI$169,FALSE),1),"")</f>
        <v/>
      </c>
      <c r="AJ89" s="17" t="str">
        <f>IFERROR(INDEX(逆引き作成用!$C$2:$C$169,MATCH($B89&amp;"/"&amp;$C89,逆引き作成用!AJ$2:AJ$169,FALSE),1),"")</f>
        <v/>
      </c>
      <c r="AK89" s="17" t="str">
        <f>IFERROR(INDEX(逆引き作成用!$C$2:$C$169,MATCH($B89&amp;"/"&amp;$C89,逆引き作成用!AK$2:AK$169,FALSE),1),"")</f>
        <v/>
      </c>
      <c r="AL89" s="17" t="str">
        <f>IFERROR(INDEX(逆引き作成用!$C$2:$C$169,MATCH($B89&amp;"/"&amp;$C89,逆引き作成用!AL$2:AL$169,FALSE),1),"")</f>
        <v/>
      </c>
      <c r="AM89" s="17" t="str">
        <f>IFERROR(INDEX(逆引き作成用!$C$2:$C$169,MATCH($B89&amp;"/"&amp;$C89,逆引き作成用!AM$2:AM$169,FALSE),1),"")</f>
        <v/>
      </c>
      <c r="AN89" s="17" t="str">
        <f>IFERROR(INDEX(逆引き作成用!$C$2:$C$169,MATCH($B89&amp;"/"&amp;$C89,逆引き作成用!AN$2:AN$169,FALSE),1),"")</f>
        <v/>
      </c>
      <c r="AO89" s="17" t="str">
        <f>IFERROR(INDEX(逆引き作成用!$C$2:$C$169,MATCH($B89&amp;"/"&amp;$C89,逆引き作成用!AO$2:AO$169,FALSE),1),"")</f>
        <v/>
      </c>
      <c r="AP89" s="17" t="str">
        <f>IFERROR(INDEX(逆引き作成用!$C$2:$C$169,MATCH($B89&amp;"/"&amp;$C89,逆引き作成用!AP$2:AP$169,FALSE),1),"")</f>
        <v/>
      </c>
      <c r="AQ89" s="17" t="str">
        <f>IFERROR(INDEX(逆引き作成用!$C$2:$C$169,MATCH($B89&amp;"/"&amp;$C89,逆引き作成用!AQ$2:AQ$169,FALSE),1),"")</f>
        <v/>
      </c>
      <c r="AR89" s="17" t="str">
        <f>IFERROR(INDEX(逆引き作成用!$C$2:$C$169,MATCH($B89&amp;"/"&amp;$C89,逆引き作成用!AR$2:AR$169,FALSE),1),"")</f>
        <v/>
      </c>
      <c r="AS89" s="17" t="str">
        <f>IFERROR(INDEX(逆引き作成用!$C$2:$C$169,MATCH($B89&amp;"/"&amp;$C89,逆引き作成用!AS$2:AS$169,FALSE),1),"")</f>
        <v/>
      </c>
      <c r="AT89" s="17" t="str">
        <f>IFERROR(INDEX(逆引き作成用!$C$2:$C$169,MATCH($B89&amp;"/"&amp;$C89,逆引き作成用!AT$2:AT$169,FALSE),1),"")</f>
        <v/>
      </c>
      <c r="AU89" s="17" t="str">
        <f>IFERROR(INDEX(逆引き作成用!$C$2:$C$169,MATCH($B89&amp;"/"&amp;$C89,逆引き作成用!AU$2:AU$169,FALSE),1),"")</f>
        <v/>
      </c>
      <c r="AV89" s="17" t="str">
        <f>IFERROR(INDEX(逆引き作成用!$C$2:$C$169,MATCH($B89&amp;"/"&amp;$C89,逆引き作成用!AV$2:AV$169,FALSE),1),"")</f>
        <v/>
      </c>
      <c r="AW89" s="17" t="str">
        <f>IFERROR(INDEX(逆引き作成用!$C$2:$C$169,MATCH($B89&amp;"/"&amp;$C89,逆引き作成用!AW$2:AW$169,FALSE),1),"")</f>
        <v/>
      </c>
      <c r="AX89" s="17" t="str">
        <f>IFERROR(INDEX(逆引き作成用!$C$2:$C$169,MATCH($B89&amp;"/"&amp;$C89,逆引き作成用!AX$2:AX$169,FALSE),1),"")</f>
        <v/>
      </c>
      <c r="AY89" s="17" t="str">
        <f>IFERROR(INDEX(逆引き作成用!$C$2:$C$169,MATCH($B89&amp;"/"&amp;$C89,逆引き作成用!AY$2:AY$169,FALSE),1),"")</f>
        <v/>
      </c>
      <c r="AZ89" s="17" t="str">
        <f>IFERROR(INDEX(逆引き作成用!$C$2:$C$169,MATCH($B89&amp;"/"&amp;$C89,逆引き作成用!AZ$2:AZ$169,FALSE),1),"")</f>
        <v/>
      </c>
      <c r="BA89" s="17" t="str">
        <f>IFERROR(INDEX(逆引き作成用!$C$2:$C$169,MATCH($B89&amp;"/"&amp;$C89,逆引き作成用!BA$2:BA$169,FALSE),1),"")</f>
        <v/>
      </c>
    </row>
    <row r="90" spans="1:53">
      <c r="A90" s="17" t="str">
        <f>IFERROR(INDEX(役職一覧!$B$2:$B$31,MATCH(B90,役職一覧!$C$2:$C$31,FALSE),1),"")</f>
        <v/>
      </c>
      <c r="B90" s="17" t="str">
        <f>IFERROR(IF(C90=1,INDEX(役職一覧!$C$2:$C$31,MATCH(逆引き!B89,役職一覧!$C$2:$C$31,FALSE)+1,1)&amp;"",B89),"")</f>
        <v/>
      </c>
      <c r="C90" s="17" t="str">
        <f>IFERROR(IF(VLOOKUP(B89,役職一覧!$C$2:$E$31,3,FALSE)=C89,1,C89+1),"")</f>
        <v/>
      </c>
      <c r="D90" s="17" t="str">
        <f>IFERROR(INDEX(逆引き作成用!$C$2:$C$169,MATCH($B90&amp;"/"&amp;$C90,逆引き作成用!D$2:D$169,FALSE),1),"")</f>
        <v/>
      </c>
      <c r="E90" s="17" t="str">
        <f>IFERROR(INDEX(逆引き作成用!$C$2:$C$169,MATCH($B90&amp;"/"&amp;$C90,逆引き作成用!E$2:E$169,FALSE),1),"")</f>
        <v/>
      </c>
      <c r="F90" s="17" t="str">
        <f>IFERROR(INDEX(逆引き作成用!$C$2:$C$169,MATCH($B90&amp;"/"&amp;$C90,逆引き作成用!F$2:F$169,FALSE),1),"")</f>
        <v/>
      </c>
      <c r="G90" s="17" t="str">
        <f>IFERROR(INDEX(逆引き作成用!$C$2:$C$169,MATCH($B90&amp;"/"&amp;$C90,逆引き作成用!G$2:G$169,FALSE),1),"")</f>
        <v/>
      </c>
      <c r="H90" s="17" t="str">
        <f>IFERROR(INDEX(逆引き作成用!$C$2:$C$169,MATCH($B90&amp;"/"&amp;$C90,逆引き作成用!H$2:H$169,FALSE),1),"")</f>
        <v/>
      </c>
      <c r="I90" s="17" t="str">
        <f>IFERROR(INDEX(逆引き作成用!$C$2:$C$169,MATCH($B90&amp;"/"&amp;$C90,逆引き作成用!I$2:I$169,FALSE),1),"")</f>
        <v/>
      </c>
      <c r="J90" s="17" t="str">
        <f>IFERROR(INDEX(逆引き作成用!$C$2:$C$169,MATCH($B90&amp;"/"&amp;$C90,逆引き作成用!J$2:J$169,FALSE),1),"")</f>
        <v/>
      </c>
      <c r="K90" s="17" t="str">
        <f>IFERROR(INDEX(逆引き作成用!$C$2:$C$169,MATCH($B90&amp;"/"&amp;$C90,逆引き作成用!K$2:K$169,FALSE),1),"")</f>
        <v/>
      </c>
      <c r="L90" s="17" t="str">
        <f>IFERROR(INDEX(逆引き作成用!$C$2:$C$169,MATCH($B90&amp;"/"&amp;$C90,逆引き作成用!L$2:L$169,FALSE),1),"")</f>
        <v/>
      </c>
      <c r="M90" s="17" t="str">
        <f>IFERROR(INDEX(逆引き作成用!$C$2:$C$169,MATCH($B90&amp;"/"&amp;$C90,逆引き作成用!M$2:M$169,FALSE),1),"")</f>
        <v/>
      </c>
      <c r="N90" s="17" t="str">
        <f>IFERROR(INDEX(逆引き作成用!$C$2:$C$169,MATCH($B90&amp;"/"&amp;$C90,逆引き作成用!N$2:N$169,FALSE),1),"")</f>
        <v/>
      </c>
      <c r="O90" s="17" t="str">
        <f>IFERROR(INDEX(逆引き作成用!$C$2:$C$169,MATCH($B90&amp;"/"&amp;$C90,逆引き作成用!O$2:O$169,FALSE),1),"")</f>
        <v/>
      </c>
      <c r="P90" s="17" t="str">
        <f>IFERROR(INDEX(逆引き作成用!$C$2:$C$169,MATCH($B90&amp;"/"&amp;$C90,逆引き作成用!P$2:P$169,FALSE),1),"")</f>
        <v/>
      </c>
      <c r="Q90" s="17" t="str">
        <f>IFERROR(INDEX(逆引き作成用!$C$2:$C$169,MATCH($B90&amp;"/"&amp;$C90,逆引き作成用!Q$2:Q$169,FALSE),1),"")</f>
        <v/>
      </c>
      <c r="R90" s="17" t="str">
        <f>IFERROR(INDEX(逆引き作成用!$C$2:$C$169,MATCH($B90&amp;"/"&amp;$C90,逆引き作成用!R$2:R$169,FALSE),1),"")</f>
        <v/>
      </c>
      <c r="S90" s="17" t="str">
        <f>IFERROR(INDEX(逆引き作成用!$C$2:$C$169,MATCH($B90&amp;"/"&amp;$C90,逆引き作成用!S$2:S$169,FALSE),1),"")</f>
        <v/>
      </c>
      <c r="T90" s="17" t="str">
        <f>IFERROR(INDEX(逆引き作成用!$C$2:$C$169,MATCH($B90&amp;"/"&amp;$C90,逆引き作成用!T$2:T$169,FALSE),1),"")</f>
        <v/>
      </c>
      <c r="U90" s="17" t="str">
        <f>IFERROR(INDEX(逆引き作成用!$C$2:$C$169,MATCH($B90&amp;"/"&amp;$C90,逆引き作成用!U$2:U$169,FALSE),1),"")</f>
        <v/>
      </c>
      <c r="V90" s="17" t="str">
        <f>IFERROR(INDEX(逆引き作成用!$C$2:$C$169,MATCH($B90&amp;"/"&amp;$C90,逆引き作成用!V$2:V$169,FALSE),1),"")</f>
        <v/>
      </c>
      <c r="W90" s="17" t="str">
        <f>IFERROR(INDEX(逆引き作成用!$C$2:$C$169,MATCH($B90&amp;"/"&amp;$C90,逆引き作成用!W$2:W$169,FALSE),1),"")</f>
        <v/>
      </c>
      <c r="X90" s="17" t="str">
        <f>IFERROR(INDEX(逆引き作成用!$C$2:$C$169,MATCH($B90&amp;"/"&amp;$C90,逆引き作成用!X$2:X$169,FALSE),1),"")</f>
        <v/>
      </c>
      <c r="Y90" s="17" t="str">
        <f>IFERROR(INDEX(逆引き作成用!$C$2:$C$169,MATCH($B90&amp;"/"&amp;$C90,逆引き作成用!Y$2:Y$169,FALSE),1),"")</f>
        <v/>
      </c>
      <c r="Z90" s="17" t="str">
        <f>IFERROR(INDEX(逆引き作成用!$C$2:$C$169,MATCH($B90&amp;"/"&amp;$C90,逆引き作成用!Z$2:Z$169,FALSE),1),"")</f>
        <v/>
      </c>
      <c r="AA90" s="17" t="str">
        <f>IFERROR(INDEX(逆引き作成用!$C$2:$C$169,MATCH($B90&amp;"/"&amp;$C90,逆引き作成用!AA$2:AA$169,FALSE),1),"")</f>
        <v/>
      </c>
      <c r="AB90" s="17" t="str">
        <f>IFERROR(INDEX(逆引き作成用!$C$2:$C$169,MATCH($B90&amp;"/"&amp;$C90,逆引き作成用!AB$2:AB$169,FALSE),1),"")</f>
        <v/>
      </c>
      <c r="AC90" s="17" t="str">
        <f>IFERROR(INDEX(逆引き作成用!$C$2:$C$169,MATCH($B90&amp;"/"&amp;$C90,逆引き作成用!AC$2:AC$169,FALSE),1),"")</f>
        <v/>
      </c>
      <c r="AD90" s="17" t="str">
        <f>IFERROR(INDEX(逆引き作成用!$C$2:$C$169,MATCH($B90&amp;"/"&amp;$C90,逆引き作成用!AD$2:AD$169,FALSE),1),"")</f>
        <v/>
      </c>
      <c r="AE90" s="17" t="str">
        <f>IFERROR(INDEX(逆引き作成用!$C$2:$C$169,MATCH($B90&amp;"/"&amp;$C90,逆引き作成用!AE$2:AE$169,FALSE),1),"")</f>
        <v/>
      </c>
      <c r="AF90" s="17" t="str">
        <f>IFERROR(INDEX(逆引き作成用!$C$2:$C$169,MATCH($B90&amp;"/"&amp;$C90,逆引き作成用!AF$2:AF$169,FALSE),1),"")</f>
        <v/>
      </c>
      <c r="AG90" s="17" t="str">
        <f>IFERROR(INDEX(逆引き作成用!$C$2:$C$169,MATCH($B90&amp;"/"&amp;$C90,逆引き作成用!AG$2:AG$169,FALSE),1),"")</f>
        <v/>
      </c>
      <c r="AH90" s="17" t="str">
        <f>IFERROR(INDEX(逆引き作成用!$C$2:$C$169,MATCH($B90&amp;"/"&amp;$C90,逆引き作成用!AH$2:AH$169,FALSE),1),"")</f>
        <v/>
      </c>
      <c r="AI90" s="17" t="str">
        <f>IFERROR(INDEX(逆引き作成用!$C$2:$C$169,MATCH($B90&amp;"/"&amp;$C90,逆引き作成用!AI$2:AI$169,FALSE),1),"")</f>
        <v/>
      </c>
      <c r="AJ90" s="17" t="str">
        <f>IFERROR(INDEX(逆引き作成用!$C$2:$C$169,MATCH($B90&amp;"/"&amp;$C90,逆引き作成用!AJ$2:AJ$169,FALSE),1),"")</f>
        <v/>
      </c>
      <c r="AK90" s="17" t="str">
        <f>IFERROR(INDEX(逆引き作成用!$C$2:$C$169,MATCH($B90&amp;"/"&amp;$C90,逆引き作成用!AK$2:AK$169,FALSE),1),"")</f>
        <v/>
      </c>
      <c r="AL90" s="17" t="str">
        <f>IFERROR(INDEX(逆引き作成用!$C$2:$C$169,MATCH($B90&amp;"/"&amp;$C90,逆引き作成用!AL$2:AL$169,FALSE),1),"")</f>
        <v/>
      </c>
      <c r="AM90" s="17" t="str">
        <f>IFERROR(INDEX(逆引き作成用!$C$2:$C$169,MATCH($B90&amp;"/"&amp;$C90,逆引き作成用!AM$2:AM$169,FALSE),1),"")</f>
        <v/>
      </c>
      <c r="AN90" s="17" t="str">
        <f>IFERROR(INDEX(逆引き作成用!$C$2:$C$169,MATCH($B90&amp;"/"&amp;$C90,逆引き作成用!AN$2:AN$169,FALSE),1),"")</f>
        <v/>
      </c>
      <c r="AO90" s="17" t="str">
        <f>IFERROR(INDEX(逆引き作成用!$C$2:$C$169,MATCH($B90&amp;"/"&amp;$C90,逆引き作成用!AO$2:AO$169,FALSE),1),"")</f>
        <v/>
      </c>
      <c r="AP90" s="17" t="str">
        <f>IFERROR(INDEX(逆引き作成用!$C$2:$C$169,MATCH($B90&amp;"/"&amp;$C90,逆引き作成用!AP$2:AP$169,FALSE),1),"")</f>
        <v/>
      </c>
      <c r="AQ90" s="17" t="str">
        <f>IFERROR(INDEX(逆引き作成用!$C$2:$C$169,MATCH($B90&amp;"/"&amp;$C90,逆引き作成用!AQ$2:AQ$169,FALSE),1),"")</f>
        <v/>
      </c>
      <c r="AR90" s="17" t="str">
        <f>IFERROR(INDEX(逆引き作成用!$C$2:$C$169,MATCH($B90&amp;"/"&amp;$C90,逆引き作成用!AR$2:AR$169,FALSE),1),"")</f>
        <v/>
      </c>
      <c r="AS90" s="17" t="str">
        <f>IFERROR(INDEX(逆引き作成用!$C$2:$C$169,MATCH($B90&amp;"/"&amp;$C90,逆引き作成用!AS$2:AS$169,FALSE),1),"")</f>
        <v/>
      </c>
      <c r="AT90" s="17" t="str">
        <f>IFERROR(INDEX(逆引き作成用!$C$2:$C$169,MATCH($B90&amp;"/"&amp;$C90,逆引き作成用!AT$2:AT$169,FALSE),1),"")</f>
        <v/>
      </c>
      <c r="AU90" s="17" t="str">
        <f>IFERROR(INDEX(逆引き作成用!$C$2:$C$169,MATCH($B90&amp;"/"&amp;$C90,逆引き作成用!AU$2:AU$169,FALSE),1),"")</f>
        <v/>
      </c>
      <c r="AV90" s="17" t="str">
        <f>IFERROR(INDEX(逆引き作成用!$C$2:$C$169,MATCH($B90&amp;"/"&amp;$C90,逆引き作成用!AV$2:AV$169,FALSE),1),"")</f>
        <v/>
      </c>
      <c r="AW90" s="17" t="str">
        <f>IFERROR(INDEX(逆引き作成用!$C$2:$C$169,MATCH($B90&amp;"/"&amp;$C90,逆引き作成用!AW$2:AW$169,FALSE),1),"")</f>
        <v/>
      </c>
      <c r="AX90" s="17" t="str">
        <f>IFERROR(INDEX(逆引き作成用!$C$2:$C$169,MATCH($B90&amp;"/"&amp;$C90,逆引き作成用!AX$2:AX$169,FALSE),1),"")</f>
        <v/>
      </c>
      <c r="AY90" s="17" t="str">
        <f>IFERROR(INDEX(逆引き作成用!$C$2:$C$169,MATCH($B90&amp;"/"&amp;$C90,逆引き作成用!AY$2:AY$169,FALSE),1),"")</f>
        <v/>
      </c>
      <c r="AZ90" s="17" t="str">
        <f>IFERROR(INDEX(逆引き作成用!$C$2:$C$169,MATCH($B90&amp;"/"&amp;$C90,逆引き作成用!AZ$2:AZ$169,FALSE),1),"")</f>
        <v/>
      </c>
      <c r="BA90" s="17" t="str">
        <f>IFERROR(INDEX(逆引き作成用!$C$2:$C$169,MATCH($B90&amp;"/"&amp;$C90,逆引き作成用!BA$2:BA$169,FALSE),1),"")</f>
        <v/>
      </c>
    </row>
    <row r="91" spans="1:53">
      <c r="A91" s="17" t="str">
        <f>IFERROR(INDEX(役職一覧!$B$2:$B$31,MATCH(B91,役職一覧!$C$2:$C$31,FALSE),1),"")</f>
        <v/>
      </c>
      <c r="B91" s="17" t="str">
        <f>IFERROR(IF(C91=1,INDEX(役職一覧!$C$2:$C$31,MATCH(逆引き!B90,役職一覧!$C$2:$C$31,FALSE)+1,1)&amp;"",B90),"")</f>
        <v/>
      </c>
      <c r="C91" s="17" t="str">
        <f>IFERROR(IF(VLOOKUP(B90,役職一覧!$C$2:$E$31,3,FALSE)=C90,1,C90+1),"")</f>
        <v/>
      </c>
      <c r="D91" s="17" t="str">
        <f>IFERROR(INDEX(逆引き作成用!$C$2:$C$169,MATCH($B91&amp;"/"&amp;$C91,逆引き作成用!D$2:D$169,FALSE),1),"")</f>
        <v/>
      </c>
      <c r="E91" s="17" t="str">
        <f>IFERROR(INDEX(逆引き作成用!$C$2:$C$169,MATCH($B91&amp;"/"&amp;$C91,逆引き作成用!E$2:E$169,FALSE),1),"")</f>
        <v/>
      </c>
      <c r="F91" s="17" t="str">
        <f>IFERROR(INDEX(逆引き作成用!$C$2:$C$169,MATCH($B91&amp;"/"&amp;$C91,逆引き作成用!F$2:F$169,FALSE),1),"")</f>
        <v/>
      </c>
      <c r="G91" s="17" t="str">
        <f>IFERROR(INDEX(逆引き作成用!$C$2:$C$169,MATCH($B91&amp;"/"&amp;$C91,逆引き作成用!G$2:G$169,FALSE),1),"")</f>
        <v/>
      </c>
      <c r="H91" s="17" t="str">
        <f>IFERROR(INDEX(逆引き作成用!$C$2:$C$169,MATCH($B91&amp;"/"&amp;$C91,逆引き作成用!H$2:H$169,FALSE),1),"")</f>
        <v/>
      </c>
      <c r="I91" s="17" t="str">
        <f>IFERROR(INDEX(逆引き作成用!$C$2:$C$169,MATCH($B91&amp;"/"&amp;$C91,逆引き作成用!I$2:I$169,FALSE),1),"")</f>
        <v/>
      </c>
      <c r="J91" s="17" t="str">
        <f>IFERROR(INDEX(逆引き作成用!$C$2:$C$169,MATCH($B91&amp;"/"&amp;$C91,逆引き作成用!J$2:J$169,FALSE),1),"")</f>
        <v/>
      </c>
      <c r="K91" s="17" t="str">
        <f>IFERROR(INDEX(逆引き作成用!$C$2:$C$169,MATCH($B91&amp;"/"&amp;$C91,逆引き作成用!K$2:K$169,FALSE),1),"")</f>
        <v/>
      </c>
      <c r="L91" s="17" t="str">
        <f>IFERROR(INDEX(逆引き作成用!$C$2:$C$169,MATCH($B91&amp;"/"&amp;$C91,逆引き作成用!L$2:L$169,FALSE),1),"")</f>
        <v/>
      </c>
      <c r="M91" s="17" t="str">
        <f>IFERROR(INDEX(逆引き作成用!$C$2:$C$169,MATCH($B91&amp;"/"&amp;$C91,逆引き作成用!M$2:M$169,FALSE),1),"")</f>
        <v/>
      </c>
      <c r="N91" s="17" t="str">
        <f>IFERROR(INDEX(逆引き作成用!$C$2:$C$169,MATCH($B91&amp;"/"&amp;$C91,逆引き作成用!N$2:N$169,FALSE),1),"")</f>
        <v/>
      </c>
      <c r="O91" s="17" t="str">
        <f>IFERROR(INDEX(逆引き作成用!$C$2:$C$169,MATCH($B91&amp;"/"&amp;$C91,逆引き作成用!O$2:O$169,FALSE),1),"")</f>
        <v/>
      </c>
      <c r="P91" s="17" t="str">
        <f>IFERROR(INDEX(逆引き作成用!$C$2:$C$169,MATCH($B91&amp;"/"&amp;$C91,逆引き作成用!P$2:P$169,FALSE),1),"")</f>
        <v/>
      </c>
      <c r="Q91" s="17" t="str">
        <f>IFERROR(INDEX(逆引き作成用!$C$2:$C$169,MATCH($B91&amp;"/"&amp;$C91,逆引き作成用!Q$2:Q$169,FALSE),1),"")</f>
        <v/>
      </c>
      <c r="R91" s="17" t="str">
        <f>IFERROR(INDEX(逆引き作成用!$C$2:$C$169,MATCH($B91&amp;"/"&amp;$C91,逆引き作成用!R$2:R$169,FALSE),1),"")</f>
        <v/>
      </c>
      <c r="S91" s="17" t="str">
        <f>IFERROR(INDEX(逆引き作成用!$C$2:$C$169,MATCH($B91&amp;"/"&amp;$C91,逆引き作成用!S$2:S$169,FALSE),1),"")</f>
        <v/>
      </c>
      <c r="T91" s="17" t="str">
        <f>IFERROR(INDEX(逆引き作成用!$C$2:$C$169,MATCH($B91&amp;"/"&amp;$C91,逆引き作成用!T$2:T$169,FALSE),1),"")</f>
        <v/>
      </c>
      <c r="U91" s="17" t="str">
        <f>IFERROR(INDEX(逆引き作成用!$C$2:$C$169,MATCH($B91&amp;"/"&amp;$C91,逆引き作成用!U$2:U$169,FALSE),1),"")</f>
        <v/>
      </c>
      <c r="V91" s="17" t="str">
        <f>IFERROR(INDEX(逆引き作成用!$C$2:$C$169,MATCH($B91&amp;"/"&amp;$C91,逆引き作成用!V$2:V$169,FALSE),1),"")</f>
        <v/>
      </c>
      <c r="W91" s="17" t="str">
        <f>IFERROR(INDEX(逆引き作成用!$C$2:$C$169,MATCH($B91&amp;"/"&amp;$C91,逆引き作成用!W$2:W$169,FALSE),1),"")</f>
        <v/>
      </c>
      <c r="X91" s="17" t="str">
        <f>IFERROR(INDEX(逆引き作成用!$C$2:$C$169,MATCH($B91&amp;"/"&amp;$C91,逆引き作成用!X$2:X$169,FALSE),1),"")</f>
        <v/>
      </c>
      <c r="Y91" s="17" t="str">
        <f>IFERROR(INDEX(逆引き作成用!$C$2:$C$169,MATCH($B91&amp;"/"&amp;$C91,逆引き作成用!Y$2:Y$169,FALSE),1),"")</f>
        <v/>
      </c>
      <c r="Z91" s="17" t="str">
        <f>IFERROR(INDEX(逆引き作成用!$C$2:$C$169,MATCH($B91&amp;"/"&amp;$C91,逆引き作成用!Z$2:Z$169,FALSE),1),"")</f>
        <v/>
      </c>
      <c r="AA91" s="17" t="str">
        <f>IFERROR(INDEX(逆引き作成用!$C$2:$C$169,MATCH($B91&amp;"/"&amp;$C91,逆引き作成用!AA$2:AA$169,FALSE),1),"")</f>
        <v/>
      </c>
      <c r="AB91" s="17" t="str">
        <f>IFERROR(INDEX(逆引き作成用!$C$2:$C$169,MATCH($B91&amp;"/"&amp;$C91,逆引き作成用!AB$2:AB$169,FALSE),1),"")</f>
        <v/>
      </c>
      <c r="AC91" s="17" t="str">
        <f>IFERROR(INDEX(逆引き作成用!$C$2:$C$169,MATCH($B91&amp;"/"&amp;$C91,逆引き作成用!AC$2:AC$169,FALSE),1),"")</f>
        <v/>
      </c>
      <c r="AD91" s="17" t="str">
        <f>IFERROR(INDEX(逆引き作成用!$C$2:$C$169,MATCH($B91&amp;"/"&amp;$C91,逆引き作成用!AD$2:AD$169,FALSE),1),"")</f>
        <v/>
      </c>
      <c r="AE91" s="17" t="str">
        <f>IFERROR(INDEX(逆引き作成用!$C$2:$C$169,MATCH($B91&amp;"/"&amp;$C91,逆引き作成用!AE$2:AE$169,FALSE),1),"")</f>
        <v/>
      </c>
      <c r="AF91" s="17" t="str">
        <f>IFERROR(INDEX(逆引き作成用!$C$2:$C$169,MATCH($B91&amp;"/"&amp;$C91,逆引き作成用!AF$2:AF$169,FALSE),1),"")</f>
        <v/>
      </c>
      <c r="AG91" s="17" t="str">
        <f>IFERROR(INDEX(逆引き作成用!$C$2:$C$169,MATCH($B91&amp;"/"&amp;$C91,逆引き作成用!AG$2:AG$169,FALSE),1),"")</f>
        <v/>
      </c>
      <c r="AH91" s="17" t="str">
        <f>IFERROR(INDEX(逆引き作成用!$C$2:$C$169,MATCH($B91&amp;"/"&amp;$C91,逆引き作成用!AH$2:AH$169,FALSE),1),"")</f>
        <v/>
      </c>
      <c r="AI91" s="17" t="str">
        <f>IFERROR(INDEX(逆引き作成用!$C$2:$C$169,MATCH($B91&amp;"/"&amp;$C91,逆引き作成用!AI$2:AI$169,FALSE),1),"")</f>
        <v/>
      </c>
      <c r="AJ91" s="17" t="str">
        <f>IFERROR(INDEX(逆引き作成用!$C$2:$C$169,MATCH($B91&amp;"/"&amp;$C91,逆引き作成用!AJ$2:AJ$169,FALSE),1),"")</f>
        <v/>
      </c>
      <c r="AK91" s="17" t="str">
        <f>IFERROR(INDEX(逆引き作成用!$C$2:$C$169,MATCH($B91&amp;"/"&amp;$C91,逆引き作成用!AK$2:AK$169,FALSE),1),"")</f>
        <v/>
      </c>
      <c r="AL91" s="17" t="str">
        <f>IFERROR(INDEX(逆引き作成用!$C$2:$C$169,MATCH($B91&amp;"/"&amp;$C91,逆引き作成用!AL$2:AL$169,FALSE),1),"")</f>
        <v/>
      </c>
      <c r="AM91" s="17" t="str">
        <f>IFERROR(INDEX(逆引き作成用!$C$2:$C$169,MATCH($B91&amp;"/"&amp;$C91,逆引き作成用!AM$2:AM$169,FALSE),1),"")</f>
        <v/>
      </c>
      <c r="AN91" s="17" t="str">
        <f>IFERROR(INDEX(逆引き作成用!$C$2:$C$169,MATCH($B91&amp;"/"&amp;$C91,逆引き作成用!AN$2:AN$169,FALSE),1),"")</f>
        <v/>
      </c>
      <c r="AO91" s="17" t="str">
        <f>IFERROR(INDEX(逆引き作成用!$C$2:$C$169,MATCH($B91&amp;"/"&amp;$C91,逆引き作成用!AO$2:AO$169,FALSE),1),"")</f>
        <v/>
      </c>
      <c r="AP91" s="17" t="str">
        <f>IFERROR(INDEX(逆引き作成用!$C$2:$C$169,MATCH($B91&amp;"/"&amp;$C91,逆引き作成用!AP$2:AP$169,FALSE),1),"")</f>
        <v/>
      </c>
      <c r="AQ91" s="17" t="str">
        <f>IFERROR(INDEX(逆引き作成用!$C$2:$C$169,MATCH($B91&amp;"/"&amp;$C91,逆引き作成用!AQ$2:AQ$169,FALSE),1),"")</f>
        <v/>
      </c>
      <c r="AR91" s="17" t="str">
        <f>IFERROR(INDEX(逆引き作成用!$C$2:$C$169,MATCH($B91&amp;"/"&amp;$C91,逆引き作成用!AR$2:AR$169,FALSE),1),"")</f>
        <v/>
      </c>
      <c r="AS91" s="17" t="str">
        <f>IFERROR(INDEX(逆引き作成用!$C$2:$C$169,MATCH($B91&amp;"/"&amp;$C91,逆引き作成用!AS$2:AS$169,FALSE),1),"")</f>
        <v/>
      </c>
      <c r="AT91" s="17" t="str">
        <f>IFERROR(INDEX(逆引き作成用!$C$2:$C$169,MATCH($B91&amp;"/"&amp;$C91,逆引き作成用!AT$2:AT$169,FALSE),1),"")</f>
        <v/>
      </c>
      <c r="AU91" s="17" t="str">
        <f>IFERROR(INDEX(逆引き作成用!$C$2:$C$169,MATCH($B91&amp;"/"&amp;$C91,逆引き作成用!AU$2:AU$169,FALSE),1),"")</f>
        <v/>
      </c>
      <c r="AV91" s="17" t="str">
        <f>IFERROR(INDEX(逆引き作成用!$C$2:$C$169,MATCH($B91&amp;"/"&amp;$C91,逆引き作成用!AV$2:AV$169,FALSE),1),"")</f>
        <v/>
      </c>
      <c r="AW91" s="17" t="str">
        <f>IFERROR(INDEX(逆引き作成用!$C$2:$C$169,MATCH($B91&amp;"/"&amp;$C91,逆引き作成用!AW$2:AW$169,FALSE),1),"")</f>
        <v/>
      </c>
      <c r="AX91" s="17" t="str">
        <f>IFERROR(INDEX(逆引き作成用!$C$2:$C$169,MATCH($B91&amp;"/"&amp;$C91,逆引き作成用!AX$2:AX$169,FALSE),1),"")</f>
        <v/>
      </c>
      <c r="AY91" s="17" t="str">
        <f>IFERROR(INDEX(逆引き作成用!$C$2:$C$169,MATCH($B91&amp;"/"&amp;$C91,逆引き作成用!AY$2:AY$169,FALSE),1),"")</f>
        <v/>
      </c>
      <c r="AZ91" s="17" t="str">
        <f>IFERROR(INDEX(逆引き作成用!$C$2:$C$169,MATCH($B91&amp;"/"&amp;$C91,逆引き作成用!AZ$2:AZ$169,FALSE),1),"")</f>
        <v/>
      </c>
      <c r="BA91" s="17" t="str">
        <f>IFERROR(INDEX(逆引き作成用!$C$2:$C$169,MATCH($B91&amp;"/"&amp;$C91,逆引き作成用!BA$2:BA$169,FALSE),1),"")</f>
        <v/>
      </c>
    </row>
    <row r="92" spans="1:53">
      <c r="A92" s="17" t="str">
        <f>IFERROR(INDEX(役職一覧!$B$2:$B$31,MATCH(B92,役職一覧!$C$2:$C$31,FALSE),1),"")</f>
        <v/>
      </c>
      <c r="B92" s="17" t="str">
        <f>IFERROR(IF(C92=1,INDEX(役職一覧!$C$2:$C$31,MATCH(逆引き!B91,役職一覧!$C$2:$C$31,FALSE)+1,1)&amp;"",B91),"")</f>
        <v/>
      </c>
      <c r="C92" s="17" t="str">
        <f>IFERROR(IF(VLOOKUP(B91,役職一覧!$C$2:$E$31,3,FALSE)=C91,1,C91+1),"")</f>
        <v/>
      </c>
      <c r="D92" s="17" t="str">
        <f>IFERROR(INDEX(逆引き作成用!$C$2:$C$169,MATCH($B92&amp;"/"&amp;$C92,逆引き作成用!D$2:D$169,FALSE),1),"")</f>
        <v/>
      </c>
      <c r="E92" s="17" t="str">
        <f>IFERROR(INDEX(逆引き作成用!$C$2:$C$169,MATCH($B92&amp;"/"&amp;$C92,逆引き作成用!E$2:E$169,FALSE),1),"")</f>
        <v/>
      </c>
      <c r="F92" s="17" t="str">
        <f>IFERROR(INDEX(逆引き作成用!$C$2:$C$169,MATCH($B92&amp;"/"&amp;$C92,逆引き作成用!F$2:F$169,FALSE),1),"")</f>
        <v/>
      </c>
      <c r="G92" s="17" t="str">
        <f>IFERROR(INDEX(逆引き作成用!$C$2:$C$169,MATCH($B92&amp;"/"&amp;$C92,逆引き作成用!G$2:G$169,FALSE),1),"")</f>
        <v/>
      </c>
      <c r="H92" s="17" t="str">
        <f>IFERROR(INDEX(逆引き作成用!$C$2:$C$169,MATCH($B92&amp;"/"&amp;$C92,逆引き作成用!H$2:H$169,FALSE),1),"")</f>
        <v/>
      </c>
      <c r="I92" s="17" t="str">
        <f>IFERROR(INDEX(逆引き作成用!$C$2:$C$169,MATCH($B92&amp;"/"&amp;$C92,逆引き作成用!I$2:I$169,FALSE),1),"")</f>
        <v/>
      </c>
      <c r="J92" s="17" t="str">
        <f>IFERROR(INDEX(逆引き作成用!$C$2:$C$169,MATCH($B92&amp;"/"&amp;$C92,逆引き作成用!J$2:J$169,FALSE),1),"")</f>
        <v/>
      </c>
      <c r="K92" s="17" t="str">
        <f>IFERROR(INDEX(逆引き作成用!$C$2:$C$169,MATCH($B92&amp;"/"&amp;$C92,逆引き作成用!K$2:K$169,FALSE),1),"")</f>
        <v/>
      </c>
      <c r="L92" s="17" t="str">
        <f>IFERROR(INDEX(逆引き作成用!$C$2:$C$169,MATCH($B92&amp;"/"&amp;$C92,逆引き作成用!L$2:L$169,FALSE),1),"")</f>
        <v/>
      </c>
      <c r="M92" s="17" t="str">
        <f>IFERROR(INDEX(逆引き作成用!$C$2:$C$169,MATCH($B92&amp;"/"&amp;$C92,逆引き作成用!M$2:M$169,FALSE),1),"")</f>
        <v/>
      </c>
      <c r="N92" s="17" t="str">
        <f>IFERROR(INDEX(逆引き作成用!$C$2:$C$169,MATCH($B92&amp;"/"&amp;$C92,逆引き作成用!N$2:N$169,FALSE),1),"")</f>
        <v/>
      </c>
      <c r="O92" s="17" t="str">
        <f>IFERROR(INDEX(逆引き作成用!$C$2:$C$169,MATCH($B92&amp;"/"&amp;$C92,逆引き作成用!O$2:O$169,FALSE),1),"")</f>
        <v/>
      </c>
      <c r="P92" s="17" t="str">
        <f>IFERROR(INDEX(逆引き作成用!$C$2:$C$169,MATCH($B92&amp;"/"&amp;$C92,逆引き作成用!P$2:P$169,FALSE),1),"")</f>
        <v/>
      </c>
      <c r="Q92" s="17" t="str">
        <f>IFERROR(INDEX(逆引き作成用!$C$2:$C$169,MATCH($B92&amp;"/"&amp;$C92,逆引き作成用!Q$2:Q$169,FALSE),1),"")</f>
        <v/>
      </c>
      <c r="R92" s="17" t="str">
        <f>IFERROR(INDEX(逆引き作成用!$C$2:$C$169,MATCH($B92&amp;"/"&amp;$C92,逆引き作成用!R$2:R$169,FALSE),1),"")</f>
        <v/>
      </c>
      <c r="S92" s="17" t="str">
        <f>IFERROR(INDEX(逆引き作成用!$C$2:$C$169,MATCH($B92&amp;"/"&amp;$C92,逆引き作成用!S$2:S$169,FALSE),1),"")</f>
        <v/>
      </c>
      <c r="T92" s="17" t="str">
        <f>IFERROR(INDEX(逆引き作成用!$C$2:$C$169,MATCH($B92&amp;"/"&amp;$C92,逆引き作成用!T$2:T$169,FALSE),1),"")</f>
        <v/>
      </c>
      <c r="U92" s="17" t="str">
        <f>IFERROR(INDEX(逆引き作成用!$C$2:$C$169,MATCH($B92&amp;"/"&amp;$C92,逆引き作成用!U$2:U$169,FALSE),1),"")</f>
        <v/>
      </c>
      <c r="V92" s="17" t="str">
        <f>IFERROR(INDEX(逆引き作成用!$C$2:$C$169,MATCH($B92&amp;"/"&amp;$C92,逆引き作成用!V$2:V$169,FALSE),1),"")</f>
        <v/>
      </c>
      <c r="W92" s="17" t="str">
        <f>IFERROR(INDEX(逆引き作成用!$C$2:$C$169,MATCH($B92&amp;"/"&amp;$C92,逆引き作成用!W$2:W$169,FALSE),1),"")</f>
        <v/>
      </c>
      <c r="X92" s="17" t="str">
        <f>IFERROR(INDEX(逆引き作成用!$C$2:$C$169,MATCH($B92&amp;"/"&amp;$C92,逆引き作成用!X$2:X$169,FALSE),1),"")</f>
        <v/>
      </c>
      <c r="Y92" s="17" t="str">
        <f>IFERROR(INDEX(逆引き作成用!$C$2:$C$169,MATCH($B92&amp;"/"&amp;$C92,逆引き作成用!Y$2:Y$169,FALSE),1),"")</f>
        <v/>
      </c>
      <c r="Z92" s="17" t="str">
        <f>IFERROR(INDEX(逆引き作成用!$C$2:$C$169,MATCH($B92&amp;"/"&amp;$C92,逆引き作成用!Z$2:Z$169,FALSE),1),"")</f>
        <v/>
      </c>
      <c r="AA92" s="17" t="str">
        <f>IFERROR(INDEX(逆引き作成用!$C$2:$C$169,MATCH($B92&amp;"/"&amp;$C92,逆引き作成用!AA$2:AA$169,FALSE),1),"")</f>
        <v/>
      </c>
      <c r="AB92" s="17" t="str">
        <f>IFERROR(INDEX(逆引き作成用!$C$2:$C$169,MATCH($B92&amp;"/"&amp;$C92,逆引き作成用!AB$2:AB$169,FALSE),1),"")</f>
        <v/>
      </c>
      <c r="AC92" s="17" t="str">
        <f>IFERROR(INDEX(逆引き作成用!$C$2:$C$169,MATCH($B92&amp;"/"&amp;$C92,逆引き作成用!AC$2:AC$169,FALSE),1),"")</f>
        <v/>
      </c>
      <c r="AD92" s="17" t="str">
        <f>IFERROR(INDEX(逆引き作成用!$C$2:$C$169,MATCH($B92&amp;"/"&amp;$C92,逆引き作成用!AD$2:AD$169,FALSE),1),"")</f>
        <v/>
      </c>
      <c r="AE92" s="17" t="str">
        <f>IFERROR(INDEX(逆引き作成用!$C$2:$C$169,MATCH($B92&amp;"/"&amp;$C92,逆引き作成用!AE$2:AE$169,FALSE),1),"")</f>
        <v/>
      </c>
      <c r="AF92" s="17" t="str">
        <f>IFERROR(INDEX(逆引き作成用!$C$2:$C$169,MATCH($B92&amp;"/"&amp;$C92,逆引き作成用!AF$2:AF$169,FALSE),1),"")</f>
        <v/>
      </c>
      <c r="AG92" s="17" t="str">
        <f>IFERROR(INDEX(逆引き作成用!$C$2:$C$169,MATCH($B92&amp;"/"&amp;$C92,逆引き作成用!AG$2:AG$169,FALSE),1),"")</f>
        <v/>
      </c>
      <c r="AH92" s="17" t="str">
        <f>IFERROR(INDEX(逆引き作成用!$C$2:$C$169,MATCH($B92&amp;"/"&amp;$C92,逆引き作成用!AH$2:AH$169,FALSE),1),"")</f>
        <v/>
      </c>
      <c r="AI92" s="17" t="str">
        <f>IFERROR(INDEX(逆引き作成用!$C$2:$C$169,MATCH($B92&amp;"/"&amp;$C92,逆引き作成用!AI$2:AI$169,FALSE),1),"")</f>
        <v/>
      </c>
      <c r="AJ92" s="17" t="str">
        <f>IFERROR(INDEX(逆引き作成用!$C$2:$C$169,MATCH($B92&amp;"/"&amp;$C92,逆引き作成用!AJ$2:AJ$169,FALSE),1),"")</f>
        <v/>
      </c>
      <c r="AK92" s="17" t="str">
        <f>IFERROR(INDEX(逆引き作成用!$C$2:$C$169,MATCH($B92&amp;"/"&amp;$C92,逆引き作成用!AK$2:AK$169,FALSE),1),"")</f>
        <v/>
      </c>
      <c r="AL92" s="17" t="str">
        <f>IFERROR(INDEX(逆引き作成用!$C$2:$C$169,MATCH($B92&amp;"/"&amp;$C92,逆引き作成用!AL$2:AL$169,FALSE),1),"")</f>
        <v/>
      </c>
      <c r="AM92" s="17" t="str">
        <f>IFERROR(INDEX(逆引き作成用!$C$2:$C$169,MATCH($B92&amp;"/"&amp;$C92,逆引き作成用!AM$2:AM$169,FALSE),1),"")</f>
        <v/>
      </c>
      <c r="AN92" s="17" t="str">
        <f>IFERROR(INDEX(逆引き作成用!$C$2:$C$169,MATCH($B92&amp;"/"&amp;$C92,逆引き作成用!AN$2:AN$169,FALSE),1),"")</f>
        <v/>
      </c>
      <c r="AO92" s="17" t="str">
        <f>IFERROR(INDEX(逆引き作成用!$C$2:$C$169,MATCH($B92&amp;"/"&amp;$C92,逆引き作成用!AO$2:AO$169,FALSE),1),"")</f>
        <v/>
      </c>
      <c r="AP92" s="17" t="str">
        <f>IFERROR(INDEX(逆引き作成用!$C$2:$C$169,MATCH($B92&amp;"/"&amp;$C92,逆引き作成用!AP$2:AP$169,FALSE),1),"")</f>
        <v/>
      </c>
      <c r="AQ92" s="17" t="str">
        <f>IFERROR(INDEX(逆引き作成用!$C$2:$C$169,MATCH($B92&amp;"/"&amp;$C92,逆引き作成用!AQ$2:AQ$169,FALSE),1),"")</f>
        <v/>
      </c>
      <c r="AR92" s="17" t="str">
        <f>IFERROR(INDEX(逆引き作成用!$C$2:$C$169,MATCH($B92&amp;"/"&amp;$C92,逆引き作成用!AR$2:AR$169,FALSE),1),"")</f>
        <v/>
      </c>
      <c r="AS92" s="17" t="str">
        <f>IFERROR(INDEX(逆引き作成用!$C$2:$C$169,MATCH($B92&amp;"/"&amp;$C92,逆引き作成用!AS$2:AS$169,FALSE),1),"")</f>
        <v/>
      </c>
      <c r="AT92" s="17" t="str">
        <f>IFERROR(INDEX(逆引き作成用!$C$2:$C$169,MATCH($B92&amp;"/"&amp;$C92,逆引き作成用!AT$2:AT$169,FALSE),1),"")</f>
        <v/>
      </c>
      <c r="AU92" s="17" t="str">
        <f>IFERROR(INDEX(逆引き作成用!$C$2:$C$169,MATCH($B92&amp;"/"&amp;$C92,逆引き作成用!AU$2:AU$169,FALSE),1),"")</f>
        <v/>
      </c>
      <c r="AV92" s="17" t="str">
        <f>IFERROR(INDEX(逆引き作成用!$C$2:$C$169,MATCH($B92&amp;"/"&amp;$C92,逆引き作成用!AV$2:AV$169,FALSE),1),"")</f>
        <v/>
      </c>
      <c r="AW92" s="17" t="str">
        <f>IFERROR(INDEX(逆引き作成用!$C$2:$C$169,MATCH($B92&amp;"/"&amp;$C92,逆引き作成用!AW$2:AW$169,FALSE),1),"")</f>
        <v/>
      </c>
      <c r="AX92" s="17" t="str">
        <f>IFERROR(INDEX(逆引き作成用!$C$2:$C$169,MATCH($B92&amp;"/"&amp;$C92,逆引き作成用!AX$2:AX$169,FALSE),1),"")</f>
        <v/>
      </c>
      <c r="AY92" s="17" t="str">
        <f>IFERROR(INDEX(逆引き作成用!$C$2:$C$169,MATCH($B92&amp;"/"&amp;$C92,逆引き作成用!AY$2:AY$169,FALSE),1),"")</f>
        <v/>
      </c>
      <c r="AZ92" s="17" t="str">
        <f>IFERROR(INDEX(逆引き作成用!$C$2:$C$169,MATCH($B92&amp;"/"&amp;$C92,逆引き作成用!AZ$2:AZ$169,FALSE),1),"")</f>
        <v/>
      </c>
      <c r="BA92" s="17" t="str">
        <f>IFERROR(INDEX(逆引き作成用!$C$2:$C$169,MATCH($B92&amp;"/"&amp;$C92,逆引き作成用!BA$2:BA$169,FALSE),1),"")</f>
        <v/>
      </c>
    </row>
    <row r="93" spans="1:53">
      <c r="A93" s="17" t="str">
        <f>IFERROR(INDEX(役職一覧!$B$2:$B$31,MATCH(B93,役職一覧!$C$2:$C$31,FALSE),1),"")</f>
        <v/>
      </c>
      <c r="B93" s="17" t="str">
        <f>IFERROR(IF(C93=1,INDEX(役職一覧!$C$2:$C$31,MATCH(逆引き!B92,役職一覧!$C$2:$C$31,FALSE)+1,1)&amp;"",B92),"")</f>
        <v/>
      </c>
      <c r="C93" s="17" t="str">
        <f>IFERROR(IF(VLOOKUP(B92,役職一覧!$C$2:$E$31,3,FALSE)=C92,1,C92+1),"")</f>
        <v/>
      </c>
      <c r="D93" s="17" t="str">
        <f>IFERROR(INDEX(逆引き作成用!$C$2:$C$169,MATCH($B93&amp;"/"&amp;$C93,逆引き作成用!D$2:D$169,FALSE),1),"")</f>
        <v/>
      </c>
      <c r="E93" s="17" t="str">
        <f>IFERROR(INDEX(逆引き作成用!$C$2:$C$169,MATCH($B93&amp;"/"&amp;$C93,逆引き作成用!E$2:E$169,FALSE),1),"")</f>
        <v/>
      </c>
      <c r="F93" s="17" t="str">
        <f>IFERROR(INDEX(逆引き作成用!$C$2:$C$169,MATCH($B93&amp;"/"&amp;$C93,逆引き作成用!F$2:F$169,FALSE),1),"")</f>
        <v/>
      </c>
      <c r="G93" s="17" t="str">
        <f>IFERROR(INDEX(逆引き作成用!$C$2:$C$169,MATCH($B93&amp;"/"&amp;$C93,逆引き作成用!G$2:G$169,FALSE),1),"")</f>
        <v/>
      </c>
      <c r="H93" s="17" t="str">
        <f>IFERROR(INDEX(逆引き作成用!$C$2:$C$169,MATCH($B93&amp;"/"&amp;$C93,逆引き作成用!H$2:H$169,FALSE),1),"")</f>
        <v/>
      </c>
      <c r="I93" s="17" t="str">
        <f>IFERROR(INDEX(逆引き作成用!$C$2:$C$169,MATCH($B93&amp;"/"&amp;$C93,逆引き作成用!I$2:I$169,FALSE),1),"")</f>
        <v/>
      </c>
      <c r="J93" s="17" t="str">
        <f>IFERROR(INDEX(逆引き作成用!$C$2:$C$169,MATCH($B93&amp;"/"&amp;$C93,逆引き作成用!J$2:J$169,FALSE),1),"")</f>
        <v/>
      </c>
      <c r="K93" s="17" t="str">
        <f>IFERROR(INDEX(逆引き作成用!$C$2:$C$169,MATCH($B93&amp;"/"&amp;$C93,逆引き作成用!K$2:K$169,FALSE),1),"")</f>
        <v/>
      </c>
      <c r="L93" s="17" t="str">
        <f>IFERROR(INDEX(逆引き作成用!$C$2:$C$169,MATCH($B93&amp;"/"&amp;$C93,逆引き作成用!L$2:L$169,FALSE),1),"")</f>
        <v/>
      </c>
      <c r="M93" s="17" t="str">
        <f>IFERROR(INDEX(逆引き作成用!$C$2:$C$169,MATCH($B93&amp;"/"&amp;$C93,逆引き作成用!M$2:M$169,FALSE),1),"")</f>
        <v/>
      </c>
      <c r="N93" s="17" t="str">
        <f>IFERROR(INDEX(逆引き作成用!$C$2:$C$169,MATCH($B93&amp;"/"&amp;$C93,逆引き作成用!N$2:N$169,FALSE),1),"")</f>
        <v/>
      </c>
      <c r="O93" s="17" t="str">
        <f>IFERROR(INDEX(逆引き作成用!$C$2:$C$169,MATCH($B93&amp;"/"&amp;$C93,逆引き作成用!O$2:O$169,FALSE),1),"")</f>
        <v/>
      </c>
      <c r="P93" s="17" t="str">
        <f>IFERROR(INDEX(逆引き作成用!$C$2:$C$169,MATCH($B93&amp;"/"&amp;$C93,逆引き作成用!P$2:P$169,FALSE),1),"")</f>
        <v/>
      </c>
      <c r="Q93" s="17" t="str">
        <f>IFERROR(INDEX(逆引き作成用!$C$2:$C$169,MATCH($B93&amp;"/"&amp;$C93,逆引き作成用!Q$2:Q$169,FALSE),1),"")</f>
        <v/>
      </c>
      <c r="R93" s="17" t="str">
        <f>IFERROR(INDEX(逆引き作成用!$C$2:$C$169,MATCH($B93&amp;"/"&amp;$C93,逆引き作成用!R$2:R$169,FALSE),1),"")</f>
        <v/>
      </c>
      <c r="S93" s="17" t="str">
        <f>IFERROR(INDEX(逆引き作成用!$C$2:$C$169,MATCH($B93&amp;"/"&amp;$C93,逆引き作成用!S$2:S$169,FALSE),1),"")</f>
        <v/>
      </c>
      <c r="T93" s="17" t="str">
        <f>IFERROR(INDEX(逆引き作成用!$C$2:$C$169,MATCH($B93&amp;"/"&amp;$C93,逆引き作成用!T$2:T$169,FALSE),1),"")</f>
        <v/>
      </c>
      <c r="U93" s="17" t="str">
        <f>IFERROR(INDEX(逆引き作成用!$C$2:$C$169,MATCH($B93&amp;"/"&amp;$C93,逆引き作成用!U$2:U$169,FALSE),1),"")</f>
        <v/>
      </c>
      <c r="V93" s="17" t="str">
        <f>IFERROR(INDEX(逆引き作成用!$C$2:$C$169,MATCH($B93&amp;"/"&amp;$C93,逆引き作成用!V$2:V$169,FALSE),1),"")</f>
        <v/>
      </c>
      <c r="W93" s="17" t="str">
        <f>IFERROR(INDEX(逆引き作成用!$C$2:$C$169,MATCH($B93&amp;"/"&amp;$C93,逆引き作成用!W$2:W$169,FALSE),1),"")</f>
        <v/>
      </c>
      <c r="X93" s="17" t="str">
        <f>IFERROR(INDEX(逆引き作成用!$C$2:$C$169,MATCH($B93&amp;"/"&amp;$C93,逆引き作成用!X$2:X$169,FALSE),1),"")</f>
        <v/>
      </c>
      <c r="Y93" s="17" t="str">
        <f>IFERROR(INDEX(逆引き作成用!$C$2:$C$169,MATCH($B93&amp;"/"&amp;$C93,逆引き作成用!Y$2:Y$169,FALSE),1),"")</f>
        <v/>
      </c>
      <c r="Z93" s="17" t="str">
        <f>IFERROR(INDEX(逆引き作成用!$C$2:$C$169,MATCH($B93&amp;"/"&amp;$C93,逆引き作成用!Z$2:Z$169,FALSE),1),"")</f>
        <v/>
      </c>
      <c r="AA93" s="17" t="str">
        <f>IFERROR(INDEX(逆引き作成用!$C$2:$C$169,MATCH($B93&amp;"/"&amp;$C93,逆引き作成用!AA$2:AA$169,FALSE),1),"")</f>
        <v/>
      </c>
      <c r="AB93" s="17" t="str">
        <f>IFERROR(INDEX(逆引き作成用!$C$2:$C$169,MATCH($B93&amp;"/"&amp;$C93,逆引き作成用!AB$2:AB$169,FALSE),1),"")</f>
        <v/>
      </c>
      <c r="AC93" s="17" t="str">
        <f>IFERROR(INDEX(逆引き作成用!$C$2:$C$169,MATCH($B93&amp;"/"&amp;$C93,逆引き作成用!AC$2:AC$169,FALSE),1),"")</f>
        <v/>
      </c>
      <c r="AD93" s="17" t="str">
        <f>IFERROR(INDEX(逆引き作成用!$C$2:$C$169,MATCH($B93&amp;"/"&amp;$C93,逆引き作成用!AD$2:AD$169,FALSE),1),"")</f>
        <v/>
      </c>
      <c r="AE93" s="17" t="str">
        <f>IFERROR(INDEX(逆引き作成用!$C$2:$C$169,MATCH($B93&amp;"/"&amp;$C93,逆引き作成用!AE$2:AE$169,FALSE),1),"")</f>
        <v/>
      </c>
      <c r="AF93" s="17" t="str">
        <f>IFERROR(INDEX(逆引き作成用!$C$2:$C$169,MATCH($B93&amp;"/"&amp;$C93,逆引き作成用!AF$2:AF$169,FALSE),1),"")</f>
        <v/>
      </c>
      <c r="AG93" s="17" t="str">
        <f>IFERROR(INDEX(逆引き作成用!$C$2:$C$169,MATCH($B93&amp;"/"&amp;$C93,逆引き作成用!AG$2:AG$169,FALSE),1),"")</f>
        <v/>
      </c>
      <c r="AH93" s="17" t="str">
        <f>IFERROR(INDEX(逆引き作成用!$C$2:$C$169,MATCH($B93&amp;"/"&amp;$C93,逆引き作成用!AH$2:AH$169,FALSE),1),"")</f>
        <v/>
      </c>
      <c r="AI93" s="17" t="str">
        <f>IFERROR(INDEX(逆引き作成用!$C$2:$C$169,MATCH($B93&amp;"/"&amp;$C93,逆引き作成用!AI$2:AI$169,FALSE),1),"")</f>
        <v/>
      </c>
      <c r="AJ93" s="17" t="str">
        <f>IFERROR(INDEX(逆引き作成用!$C$2:$C$169,MATCH($B93&amp;"/"&amp;$C93,逆引き作成用!AJ$2:AJ$169,FALSE),1),"")</f>
        <v/>
      </c>
      <c r="AK93" s="17" t="str">
        <f>IFERROR(INDEX(逆引き作成用!$C$2:$C$169,MATCH($B93&amp;"/"&amp;$C93,逆引き作成用!AK$2:AK$169,FALSE),1),"")</f>
        <v/>
      </c>
      <c r="AL93" s="17" t="str">
        <f>IFERROR(INDEX(逆引き作成用!$C$2:$C$169,MATCH($B93&amp;"/"&amp;$C93,逆引き作成用!AL$2:AL$169,FALSE),1),"")</f>
        <v/>
      </c>
      <c r="AM93" s="17" t="str">
        <f>IFERROR(INDEX(逆引き作成用!$C$2:$C$169,MATCH($B93&amp;"/"&amp;$C93,逆引き作成用!AM$2:AM$169,FALSE),1),"")</f>
        <v/>
      </c>
      <c r="AN93" s="17" t="str">
        <f>IFERROR(INDEX(逆引き作成用!$C$2:$C$169,MATCH($B93&amp;"/"&amp;$C93,逆引き作成用!AN$2:AN$169,FALSE),1),"")</f>
        <v/>
      </c>
      <c r="AO93" s="17" t="str">
        <f>IFERROR(INDEX(逆引き作成用!$C$2:$C$169,MATCH($B93&amp;"/"&amp;$C93,逆引き作成用!AO$2:AO$169,FALSE),1),"")</f>
        <v/>
      </c>
      <c r="AP93" s="17" t="str">
        <f>IFERROR(INDEX(逆引き作成用!$C$2:$C$169,MATCH($B93&amp;"/"&amp;$C93,逆引き作成用!AP$2:AP$169,FALSE),1),"")</f>
        <v/>
      </c>
      <c r="AQ93" s="17" t="str">
        <f>IFERROR(INDEX(逆引き作成用!$C$2:$C$169,MATCH($B93&amp;"/"&amp;$C93,逆引き作成用!AQ$2:AQ$169,FALSE),1),"")</f>
        <v/>
      </c>
      <c r="AR93" s="17" t="str">
        <f>IFERROR(INDEX(逆引き作成用!$C$2:$C$169,MATCH($B93&amp;"/"&amp;$C93,逆引き作成用!AR$2:AR$169,FALSE),1),"")</f>
        <v/>
      </c>
      <c r="AS93" s="17" t="str">
        <f>IFERROR(INDEX(逆引き作成用!$C$2:$C$169,MATCH($B93&amp;"/"&amp;$C93,逆引き作成用!AS$2:AS$169,FALSE),1),"")</f>
        <v/>
      </c>
      <c r="AT93" s="17" t="str">
        <f>IFERROR(INDEX(逆引き作成用!$C$2:$C$169,MATCH($B93&amp;"/"&amp;$C93,逆引き作成用!AT$2:AT$169,FALSE),1),"")</f>
        <v/>
      </c>
      <c r="AU93" s="17" t="str">
        <f>IFERROR(INDEX(逆引き作成用!$C$2:$C$169,MATCH($B93&amp;"/"&amp;$C93,逆引き作成用!AU$2:AU$169,FALSE),1),"")</f>
        <v/>
      </c>
      <c r="AV93" s="17" t="str">
        <f>IFERROR(INDEX(逆引き作成用!$C$2:$C$169,MATCH($B93&amp;"/"&amp;$C93,逆引き作成用!AV$2:AV$169,FALSE),1),"")</f>
        <v/>
      </c>
      <c r="AW93" s="17" t="str">
        <f>IFERROR(INDEX(逆引き作成用!$C$2:$C$169,MATCH($B93&amp;"/"&amp;$C93,逆引き作成用!AW$2:AW$169,FALSE),1),"")</f>
        <v/>
      </c>
      <c r="AX93" s="17" t="str">
        <f>IFERROR(INDEX(逆引き作成用!$C$2:$C$169,MATCH($B93&amp;"/"&amp;$C93,逆引き作成用!AX$2:AX$169,FALSE),1),"")</f>
        <v/>
      </c>
      <c r="AY93" s="17" t="str">
        <f>IFERROR(INDEX(逆引き作成用!$C$2:$C$169,MATCH($B93&amp;"/"&amp;$C93,逆引き作成用!AY$2:AY$169,FALSE),1),"")</f>
        <v/>
      </c>
      <c r="AZ93" s="17" t="str">
        <f>IFERROR(INDEX(逆引き作成用!$C$2:$C$169,MATCH($B93&amp;"/"&amp;$C93,逆引き作成用!AZ$2:AZ$169,FALSE),1),"")</f>
        <v/>
      </c>
      <c r="BA93" s="17" t="str">
        <f>IFERROR(INDEX(逆引き作成用!$C$2:$C$169,MATCH($B93&amp;"/"&amp;$C93,逆引き作成用!BA$2:BA$169,FALSE),1),"")</f>
        <v/>
      </c>
    </row>
    <row r="94" spans="1:53">
      <c r="A94" s="17" t="str">
        <f>IFERROR(INDEX(役職一覧!$B$2:$B$31,MATCH(B94,役職一覧!$C$2:$C$31,FALSE),1),"")</f>
        <v/>
      </c>
      <c r="B94" s="17" t="str">
        <f>IFERROR(IF(C94=1,INDEX(役職一覧!$C$2:$C$31,MATCH(逆引き!B93,役職一覧!$C$2:$C$31,FALSE)+1,1)&amp;"",B93),"")</f>
        <v/>
      </c>
      <c r="C94" s="17" t="str">
        <f>IFERROR(IF(VLOOKUP(B93,役職一覧!$C$2:$E$31,3,FALSE)=C93,1,C93+1),"")</f>
        <v/>
      </c>
      <c r="D94" s="17" t="str">
        <f>IFERROR(INDEX(逆引き作成用!$C$2:$C$169,MATCH($B94&amp;"/"&amp;$C94,逆引き作成用!D$2:D$169,FALSE),1),"")</f>
        <v/>
      </c>
      <c r="E94" s="17" t="str">
        <f>IFERROR(INDEX(逆引き作成用!$C$2:$C$169,MATCH($B94&amp;"/"&amp;$C94,逆引き作成用!E$2:E$169,FALSE),1),"")</f>
        <v/>
      </c>
      <c r="F94" s="17" t="str">
        <f>IFERROR(INDEX(逆引き作成用!$C$2:$C$169,MATCH($B94&amp;"/"&amp;$C94,逆引き作成用!F$2:F$169,FALSE),1),"")</f>
        <v/>
      </c>
      <c r="G94" s="17" t="str">
        <f>IFERROR(INDEX(逆引き作成用!$C$2:$C$169,MATCH($B94&amp;"/"&amp;$C94,逆引き作成用!G$2:G$169,FALSE),1),"")</f>
        <v/>
      </c>
      <c r="H94" s="17" t="str">
        <f>IFERROR(INDEX(逆引き作成用!$C$2:$C$169,MATCH($B94&amp;"/"&amp;$C94,逆引き作成用!H$2:H$169,FALSE),1),"")</f>
        <v/>
      </c>
      <c r="I94" s="17" t="str">
        <f>IFERROR(INDEX(逆引き作成用!$C$2:$C$169,MATCH($B94&amp;"/"&amp;$C94,逆引き作成用!I$2:I$169,FALSE),1),"")</f>
        <v/>
      </c>
      <c r="J94" s="17" t="str">
        <f>IFERROR(INDEX(逆引き作成用!$C$2:$C$169,MATCH($B94&amp;"/"&amp;$C94,逆引き作成用!J$2:J$169,FALSE),1),"")</f>
        <v/>
      </c>
      <c r="K94" s="17" t="str">
        <f>IFERROR(INDEX(逆引き作成用!$C$2:$C$169,MATCH($B94&amp;"/"&amp;$C94,逆引き作成用!K$2:K$169,FALSE),1),"")</f>
        <v/>
      </c>
      <c r="L94" s="17" t="str">
        <f>IFERROR(INDEX(逆引き作成用!$C$2:$C$169,MATCH($B94&amp;"/"&amp;$C94,逆引き作成用!L$2:L$169,FALSE),1),"")</f>
        <v/>
      </c>
      <c r="M94" s="17" t="str">
        <f>IFERROR(INDEX(逆引き作成用!$C$2:$C$169,MATCH($B94&amp;"/"&amp;$C94,逆引き作成用!M$2:M$169,FALSE),1),"")</f>
        <v/>
      </c>
      <c r="N94" s="17" t="str">
        <f>IFERROR(INDEX(逆引き作成用!$C$2:$C$169,MATCH($B94&amp;"/"&amp;$C94,逆引き作成用!N$2:N$169,FALSE),1),"")</f>
        <v/>
      </c>
      <c r="O94" s="17" t="str">
        <f>IFERROR(INDEX(逆引き作成用!$C$2:$C$169,MATCH($B94&amp;"/"&amp;$C94,逆引き作成用!O$2:O$169,FALSE),1),"")</f>
        <v/>
      </c>
      <c r="P94" s="17" t="str">
        <f>IFERROR(INDEX(逆引き作成用!$C$2:$C$169,MATCH($B94&amp;"/"&amp;$C94,逆引き作成用!P$2:P$169,FALSE),1),"")</f>
        <v/>
      </c>
      <c r="Q94" s="17" t="str">
        <f>IFERROR(INDEX(逆引き作成用!$C$2:$C$169,MATCH($B94&amp;"/"&amp;$C94,逆引き作成用!Q$2:Q$169,FALSE),1),"")</f>
        <v/>
      </c>
      <c r="R94" s="17" t="str">
        <f>IFERROR(INDEX(逆引き作成用!$C$2:$C$169,MATCH($B94&amp;"/"&amp;$C94,逆引き作成用!R$2:R$169,FALSE),1),"")</f>
        <v/>
      </c>
      <c r="S94" s="17" t="str">
        <f>IFERROR(INDEX(逆引き作成用!$C$2:$C$169,MATCH($B94&amp;"/"&amp;$C94,逆引き作成用!S$2:S$169,FALSE),1),"")</f>
        <v/>
      </c>
      <c r="T94" s="17" t="str">
        <f>IFERROR(INDEX(逆引き作成用!$C$2:$C$169,MATCH($B94&amp;"/"&amp;$C94,逆引き作成用!T$2:T$169,FALSE),1),"")</f>
        <v/>
      </c>
      <c r="U94" s="17" t="str">
        <f>IFERROR(INDEX(逆引き作成用!$C$2:$C$169,MATCH($B94&amp;"/"&amp;$C94,逆引き作成用!U$2:U$169,FALSE),1),"")</f>
        <v/>
      </c>
      <c r="V94" s="17" t="str">
        <f>IFERROR(INDEX(逆引き作成用!$C$2:$C$169,MATCH($B94&amp;"/"&amp;$C94,逆引き作成用!V$2:V$169,FALSE),1),"")</f>
        <v/>
      </c>
      <c r="W94" s="17" t="str">
        <f>IFERROR(INDEX(逆引き作成用!$C$2:$C$169,MATCH($B94&amp;"/"&amp;$C94,逆引き作成用!W$2:W$169,FALSE),1),"")</f>
        <v/>
      </c>
      <c r="X94" s="17" t="str">
        <f>IFERROR(INDEX(逆引き作成用!$C$2:$C$169,MATCH($B94&amp;"/"&amp;$C94,逆引き作成用!X$2:X$169,FALSE),1),"")</f>
        <v/>
      </c>
      <c r="Y94" s="17" t="str">
        <f>IFERROR(INDEX(逆引き作成用!$C$2:$C$169,MATCH($B94&amp;"/"&amp;$C94,逆引き作成用!Y$2:Y$169,FALSE),1),"")</f>
        <v/>
      </c>
      <c r="Z94" s="17" t="str">
        <f>IFERROR(INDEX(逆引き作成用!$C$2:$C$169,MATCH($B94&amp;"/"&amp;$C94,逆引き作成用!Z$2:Z$169,FALSE),1),"")</f>
        <v/>
      </c>
      <c r="AA94" s="17" t="str">
        <f>IFERROR(INDEX(逆引き作成用!$C$2:$C$169,MATCH($B94&amp;"/"&amp;$C94,逆引き作成用!AA$2:AA$169,FALSE),1),"")</f>
        <v/>
      </c>
      <c r="AB94" s="17" t="str">
        <f>IFERROR(INDEX(逆引き作成用!$C$2:$C$169,MATCH($B94&amp;"/"&amp;$C94,逆引き作成用!AB$2:AB$169,FALSE),1),"")</f>
        <v/>
      </c>
      <c r="AC94" s="17" t="str">
        <f>IFERROR(INDEX(逆引き作成用!$C$2:$C$169,MATCH($B94&amp;"/"&amp;$C94,逆引き作成用!AC$2:AC$169,FALSE),1),"")</f>
        <v/>
      </c>
      <c r="AD94" s="17" t="str">
        <f>IFERROR(INDEX(逆引き作成用!$C$2:$C$169,MATCH($B94&amp;"/"&amp;$C94,逆引き作成用!AD$2:AD$169,FALSE),1),"")</f>
        <v/>
      </c>
      <c r="AE94" s="17" t="str">
        <f>IFERROR(INDEX(逆引き作成用!$C$2:$C$169,MATCH($B94&amp;"/"&amp;$C94,逆引き作成用!AE$2:AE$169,FALSE),1),"")</f>
        <v/>
      </c>
      <c r="AF94" s="17" t="str">
        <f>IFERROR(INDEX(逆引き作成用!$C$2:$C$169,MATCH($B94&amp;"/"&amp;$C94,逆引き作成用!AF$2:AF$169,FALSE),1),"")</f>
        <v/>
      </c>
      <c r="AG94" s="17" t="str">
        <f>IFERROR(INDEX(逆引き作成用!$C$2:$C$169,MATCH($B94&amp;"/"&amp;$C94,逆引き作成用!AG$2:AG$169,FALSE),1),"")</f>
        <v/>
      </c>
      <c r="AH94" s="17" t="str">
        <f>IFERROR(INDEX(逆引き作成用!$C$2:$C$169,MATCH($B94&amp;"/"&amp;$C94,逆引き作成用!AH$2:AH$169,FALSE),1),"")</f>
        <v/>
      </c>
      <c r="AI94" s="17" t="str">
        <f>IFERROR(INDEX(逆引き作成用!$C$2:$C$169,MATCH($B94&amp;"/"&amp;$C94,逆引き作成用!AI$2:AI$169,FALSE),1),"")</f>
        <v/>
      </c>
      <c r="AJ94" s="17" t="str">
        <f>IFERROR(INDEX(逆引き作成用!$C$2:$C$169,MATCH($B94&amp;"/"&amp;$C94,逆引き作成用!AJ$2:AJ$169,FALSE),1),"")</f>
        <v/>
      </c>
      <c r="AK94" s="17" t="str">
        <f>IFERROR(INDEX(逆引き作成用!$C$2:$C$169,MATCH($B94&amp;"/"&amp;$C94,逆引き作成用!AK$2:AK$169,FALSE),1),"")</f>
        <v/>
      </c>
      <c r="AL94" s="17" t="str">
        <f>IFERROR(INDEX(逆引き作成用!$C$2:$C$169,MATCH($B94&amp;"/"&amp;$C94,逆引き作成用!AL$2:AL$169,FALSE),1),"")</f>
        <v/>
      </c>
      <c r="AM94" s="17" t="str">
        <f>IFERROR(INDEX(逆引き作成用!$C$2:$C$169,MATCH($B94&amp;"/"&amp;$C94,逆引き作成用!AM$2:AM$169,FALSE),1),"")</f>
        <v/>
      </c>
      <c r="AN94" s="17" t="str">
        <f>IFERROR(INDEX(逆引き作成用!$C$2:$C$169,MATCH($B94&amp;"/"&amp;$C94,逆引き作成用!AN$2:AN$169,FALSE),1),"")</f>
        <v/>
      </c>
      <c r="AO94" s="17" t="str">
        <f>IFERROR(INDEX(逆引き作成用!$C$2:$C$169,MATCH($B94&amp;"/"&amp;$C94,逆引き作成用!AO$2:AO$169,FALSE),1),"")</f>
        <v/>
      </c>
      <c r="AP94" s="17" t="str">
        <f>IFERROR(INDEX(逆引き作成用!$C$2:$C$169,MATCH($B94&amp;"/"&amp;$C94,逆引き作成用!AP$2:AP$169,FALSE),1),"")</f>
        <v/>
      </c>
      <c r="AQ94" s="17" t="str">
        <f>IFERROR(INDEX(逆引き作成用!$C$2:$C$169,MATCH($B94&amp;"/"&amp;$C94,逆引き作成用!AQ$2:AQ$169,FALSE),1),"")</f>
        <v/>
      </c>
      <c r="AR94" s="17" t="str">
        <f>IFERROR(INDEX(逆引き作成用!$C$2:$C$169,MATCH($B94&amp;"/"&amp;$C94,逆引き作成用!AR$2:AR$169,FALSE),1),"")</f>
        <v/>
      </c>
      <c r="AS94" s="17" t="str">
        <f>IFERROR(INDEX(逆引き作成用!$C$2:$C$169,MATCH($B94&amp;"/"&amp;$C94,逆引き作成用!AS$2:AS$169,FALSE),1),"")</f>
        <v/>
      </c>
      <c r="AT94" s="17" t="str">
        <f>IFERROR(INDEX(逆引き作成用!$C$2:$C$169,MATCH($B94&amp;"/"&amp;$C94,逆引き作成用!AT$2:AT$169,FALSE),1),"")</f>
        <v/>
      </c>
      <c r="AU94" s="17" t="str">
        <f>IFERROR(INDEX(逆引き作成用!$C$2:$C$169,MATCH($B94&amp;"/"&amp;$C94,逆引き作成用!AU$2:AU$169,FALSE),1),"")</f>
        <v/>
      </c>
      <c r="AV94" s="17" t="str">
        <f>IFERROR(INDEX(逆引き作成用!$C$2:$C$169,MATCH($B94&amp;"/"&amp;$C94,逆引き作成用!AV$2:AV$169,FALSE),1),"")</f>
        <v/>
      </c>
      <c r="AW94" s="17" t="str">
        <f>IFERROR(INDEX(逆引き作成用!$C$2:$C$169,MATCH($B94&amp;"/"&amp;$C94,逆引き作成用!AW$2:AW$169,FALSE),1),"")</f>
        <v/>
      </c>
      <c r="AX94" s="17" t="str">
        <f>IFERROR(INDEX(逆引き作成用!$C$2:$C$169,MATCH($B94&amp;"/"&amp;$C94,逆引き作成用!AX$2:AX$169,FALSE),1),"")</f>
        <v/>
      </c>
      <c r="AY94" s="17" t="str">
        <f>IFERROR(INDEX(逆引き作成用!$C$2:$C$169,MATCH($B94&amp;"/"&amp;$C94,逆引き作成用!AY$2:AY$169,FALSE),1),"")</f>
        <v/>
      </c>
      <c r="AZ94" s="17" t="str">
        <f>IFERROR(INDEX(逆引き作成用!$C$2:$C$169,MATCH($B94&amp;"/"&amp;$C94,逆引き作成用!AZ$2:AZ$169,FALSE),1),"")</f>
        <v/>
      </c>
      <c r="BA94" s="17" t="str">
        <f>IFERROR(INDEX(逆引き作成用!$C$2:$C$169,MATCH($B94&amp;"/"&amp;$C94,逆引き作成用!BA$2:BA$169,FALSE),1),"")</f>
        <v/>
      </c>
    </row>
    <row r="95" spans="1:53">
      <c r="A95" s="17" t="str">
        <f>IFERROR(INDEX(役職一覧!$B$2:$B$31,MATCH(B95,役職一覧!$C$2:$C$31,FALSE),1),"")</f>
        <v/>
      </c>
      <c r="B95" s="17" t="str">
        <f>IFERROR(IF(C95=1,INDEX(役職一覧!$C$2:$C$31,MATCH(逆引き!B94,役職一覧!$C$2:$C$31,FALSE)+1,1)&amp;"",B94),"")</f>
        <v/>
      </c>
      <c r="C95" s="17" t="str">
        <f>IFERROR(IF(VLOOKUP(B94,役職一覧!$C$2:$E$31,3,FALSE)=C94,1,C94+1),"")</f>
        <v/>
      </c>
      <c r="D95" s="17" t="str">
        <f>IFERROR(INDEX(逆引き作成用!$C$2:$C$169,MATCH($B95&amp;"/"&amp;$C95,逆引き作成用!D$2:D$169,FALSE),1),"")</f>
        <v/>
      </c>
      <c r="E95" s="17" t="str">
        <f>IFERROR(INDEX(逆引き作成用!$C$2:$C$169,MATCH($B95&amp;"/"&amp;$C95,逆引き作成用!E$2:E$169,FALSE),1),"")</f>
        <v/>
      </c>
      <c r="F95" s="17" t="str">
        <f>IFERROR(INDEX(逆引き作成用!$C$2:$C$169,MATCH($B95&amp;"/"&amp;$C95,逆引き作成用!F$2:F$169,FALSE),1),"")</f>
        <v/>
      </c>
      <c r="G95" s="17" t="str">
        <f>IFERROR(INDEX(逆引き作成用!$C$2:$C$169,MATCH($B95&amp;"/"&amp;$C95,逆引き作成用!G$2:G$169,FALSE),1),"")</f>
        <v/>
      </c>
      <c r="H95" s="17" t="str">
        <f>IFERROR(INDEX(逆引き作成用!$C$2:$C$169,MATCH($B95&amp;"/"&amp;$C95,逆引き作成用!H$2:H$169,FALSE),1),"")</f>
        <v/>
      </c>
      <c r="I95" s="17" t="str">
        <f>IFERROR(INDEX(逆引き作成用!$C$2:$C$169,MATCH($B95&amp;"/"&amp;$C95,逆引き作成用!I$2:I$169,FALSE),1),"")</f>
        <v/>
      </c>
      <c r="J95" s="17" t="str">
        <f>IFERROR(INDEX(逆引き作成用!$C$2:$C$169,MATCH($B95&amp;"/"&amp;$C95,逆引き作成用!J$2:J$169,FALSE),1),"")</f>
        <v/>
      </c>
      <c r="K95" s="17" t="str">
        <f>IFERROR(INDEX(逆引き作成用!$C$2:$C$169,MATCH($B95&amp;"/"&amp;$C95,逆引き作成用!K$2:K$169,FALSE),1),"")</f>
        <v/>
      </c>
      <c r="L95" s="17" t="str">
        <f>IFERROR(INDEX(逆引き作成用!$C$2:$C$169,MATCH($B95&amp;"/"&amp;$C95,逆引き作成用!L$2:L$169,FALSE),1),"")</f>
        <v/>
      </c>
      <c r="M95" s="17" t="str">
        <f>IFERROR(INDEX(逆引き作成用!$C$2:$C$169,MATCH($B95&amp;"/"&amp;$C95,逆引き作成用!M$2:M$169,FALSE),1),"")</f>
        <v/>
      </c>
      <c r="N95" s="17" t="str">
        <f>IFERROR(INDEX(逆引き作成用!$C$2:$C$169,MATCH($B95&amp;"/"&amp;$C95,逆引き作成用!N$2:N$169,FALSE),1),"")</f>
        <v/>
      </c>
      <c r="O95" s="17" t="str">
        <f>IFERROR(INDEX(逆引き作成用!$C$2:$C$169,MATCH($B95&amp;"/"&amp;$C95,逆引き作成用!O$2:O$169,FALSE),1),"")</f>
        <v/>
      </c>
      <c r="P95" s="17" t="str">
        <f>IFERROR(INDEX(逆引き作成用!$C$2:$C$169,MATCH($B95&amp;"/"&amp;$C95,逆引き作成用!P$2:P$169,FALSE),1),"")</f>
        <v/>
      </c>
      <c r="Q95" s="17" t="str">
        <f>IFERROR(INDEX(逆引き作成用!$C$2:$C$169,MATCH($B95&amp;"/"&amp;$C95,逆引き作成用!Q$2:Q$169,FALSE),1),"")</f>
        <v/>
      </c>
      <c r="R95" s="17" t="str">
        <f>IFERROR(INDEX(逆引き作成用!$C$2:$C$169,MATCH($B95&amp;"/"&amp;$C95,逆引き作成用!R$2:R$169,FALSE),1),"")</f>
        <v/>
      </c>
      <c r="S95" s="17" t="str">
        <f>IFERROR(INDEX(逆引き作成用!$C$2:$C$169,MATCH($B95&amp;"/"&amp;$C95,逆引き作成用!S$2:S$169,FALSE),1),"")</f>
        <v/>
      </c>
      <c r="T95" s="17" t="str">
        <f>IFERROR(INDEX(逆引き作成用!$C$2:$C$169,MATCH($B95&amp;"/"&amp;$C95,逆引き作成用!T$2:T$169,FALSE),1),"")</f>
        <v/>
      </c>
      <c r="U95" s="17" t="str">
        <f>IFERROR(INDEX(逆引き作成用!$C$2:$C$169,MATCH($B95&amp;"/"&amp;$C95,逆引き作成用!U$2:U$169,FALSE),1),"")</f>
        <v/>
      </c>
      <c r="V95" s="17" t="str">
        <f>IFERROR(INDEX(逆引き作成用!$C$2:$C$169,MATCH($B95&amp;"/"&amp;$C95,逆引き作成用!V$2:V$169,FALSE),1),"")</f>
        <v/>
      </c>
      <c r="W95" s="17" t="str">
        <f>IFERROR(INDEX(逆引き作成用!$C$2:$C$169,MATCH($B95&amp;"/"&amp;$C95,逆引き作成用!W$2:W$169,FALSE),1),"")</f>
        <v/>
      </c>
      <c r="X95" s="17" t="str">
        <f>IFERROR(INDEX(逆引き作成用!$C$2:$C$169,MATCH($B95&amp;"/"&amp;$C95,逆引き作成用!X$2:X$169,FALSE),1),"")</f>
        <v/>
      </c>
      <c r="Y95" s="17" t="str">
        <f>IFERROR(INDEX(逆引き作成用!$C$2:$C$169,MATCH($B95&amp;"/"&amp;$C95,逆引き作成用!Y$2:Y$169,FALSE),1),"")</f>
        <v/>
      </c>
      <c r="Z95" s="17" t="str">
        <f>IFERROR(INDEX(逆引き作成用!$C$2:$C$169,MATCH($B95&amp;"/"&amp;$C95,逆引き作成用!Z$2:Z$169,FALSE),1),"")</f>
        <v/>
      </c>
      <c r="AA95" s="17" t="str">
        <f>IFERROR(INDEX(逆引き作成用!$C$2:$C$169,MATCH($B95&amp;"/"&amp;$C95,逆引き作成用!AA$2:AA$169,FALSE),1),"")</f>
        <v/>
      </c>
      <c r="AB95" s="17" t="str">
        <f>IFERROR(INDEX(逆引き作成用!$C$2:$C$169,MATCH($B95&amp;"/"&amp;$C95,逆引き作成用!AB$2:AB$169,FALSE),1),"")</f>
        <v/>
      </c>
      <c r="AC95" s="17" t="str">
        <f>IFERROR(INDEX(逆引き作成用!$C$2:$C$169,MATCH($B95&amp;"/"&amp;$C95,逆引き作成用!AC$2:AC$169,FALSE),1),"")</f>
        <v/>
      </c>
      <c r="AD95" s="17" t="str">
        <f>IFERROR(INDEX(逆引き作成用!$C$2:$C$169,MATCH($B95&amp;"/"&amp;$C95,逆引き作成用!AD$2:AD$169,FALSE),1),"")</f>
        <v/>
      </c>
      <c r="AE95" s="17" t="str">
        <f>IFERROR(INDEX(逆引き作成用!$C$2:$C$169,MATCH($B95&amp;"/"&amp;$C95,逆引き作成用!AE$2:AE$169,FALSE),1),"")</f>
        <v/>
      </c>
      <c r="AF95" s="17" t="str">
        <f>IFERROR(INDEX(逆引き作成用!$C$2:$C$169,MATCH($B95&amp;"/"&amp;$C95,逆引き作成用!AF$2:AF$169,FALSE),1),"")</f>
        <v/>
      </c>
      <c r="AG95" s="17" t="str">
        <f>IFERROR(INDEX(逆引き作成用!$C$2:$C$169,MATCH($B95&amp;"/"&amp;$C95,逆引き作成用!AG$2:AG$169,FALSE),1),"")</f>
        <v/>
      </c>
      <c r="AH95" s="17" t="str">
        <f>IFERROR(INDEX(逆引き作成用!$C$2:$C$169,MATCH($B95&amp;"/"&amp;$C95,逆引き作成用!AH$2:AH$169,FALSE),1),"")</f>
        <v/>
      </c>
      <c r="AI95" s="17" t="str">
        <f>IFERROR(INDEX(逆引き作成用!$C$2:$C$169,MATCH($B95&amp;"/"&amp;$C95,逆引き作成用!AI$2:AI$169,FALSE),1),"")</f>
        <v/>
      </c>
      <c r="AJ95" s="17" t="str">
        <f>IFERROR(INDEX(逆引き作成用!$C$2:$C$169,MATCH($B95&amp;"/"&amp;$C95,逆引き作成用!AJ$2:AJ$169,FALSE),1),"")</f>
        <v/>
      </c>
      <c r="AK95" s="17" t="str">
        <f>IFERROR(INDEX(逆引き作成用!$C$2:$C$169,MATCH($B95&amp;"/"&amp;$C95,逆引き作成用!AK$2:AK$169,FALSE),1),"")</f>
        <v/>
      </c>
      <c r="AL95" s="17" t="str">
        <f>IFERROR(INDEX(逆引き作成用!$C$2:$C$169,MATCH($B95&amp;"/"&amp;$C95,逆引き作成用!AL$2:AL$169,FALSE),1),"")</f>
        <v/>
      </c>
      <c r="AM95" s="17" t="str">
        <f>IFERROR(INDEX(逆引き作成用!$C$2:$C$169,MATCH($B95&amp;"/"&amp;$C95,逆引き作成用!AM$2:AM$169,FALSE),1),"")</f>
        <v/>
      </c>
      <c r="AN95" s="17" t="str">
        <f>IFERROR(INDEX(逆引き作成用!$C$2:$C$169,MATCH($B95&amp;"/"&amp;$C95,逆引き作成用!AN$2:AN$169,FALSE),1),"")</f>
        <v/>
      </c>
      <c r="AO95" s="17" t="str">
        <f>IFERROR(INDEX(逆引き作成用!$C$2:$C$169,MATCH($B95&amp;"/"&amp;$C95,逆引き作成用!AO$2:AO$169,FALSE),1),"")</f>
        <v/>
      </c>
      <c r="AP95" s="17" t="str">
        <f>IFERROR(INDEX(逆引き作成用!$C$2:$C$169,MATCH($B95&amp;"/"&amp;$C95,逆引き作成用!AP$2:AP$169,FALSE),1),"")</f>
        <v/>
      </c>
      <c r="AQ95" s="17" t="str">
        <f>IFERROR(INDEX(逆引き作成用!$C$2:$C$169,MATCH($B95&amp;"/"&amp;$C95,逆引き作成用!AQ$2:AQ$169,FALSE),1),"")</f>
        <v/>
      </c>
      <c r="AR95" s="17" t="str">
        <f>IFERROR(INDEX(逆引き作成用!$C$2:$C$169,MATCH($B95&amp;"/"&amp;$C95,逆引き作成用!AR$2:AR$169,FALSE),1),"")</f>
        <v/>
      </c>
      <c r="AS95" s="17" t="str">
        <f>IFERROR(INDEX(逆引き作成用!$C$2:$C$169,MATCH($B95&amp;"/"&amp;$C95,逆引き作成用!AS$2:AS$169,FALSE),1),"")</f>
        <v/>
      </c>
      <c r="AT95" s="17" t="str">
        <f>IFERROR(INDEX(逆引き作成用!$C$2:$C$169,MATCH($B95&amp;"/"&amp;$C95,逆引き作成用!AT$2:AT$169,FALSE),1),"")</f>
        <v/>
      </c>
      <c r="AU95" s="17" t="str">
        <f>IFERROR(INDEX(逆引き作成用!$C$2:$C$169,MATCH($B95&amp;"/"&amp;$C95,逆引き作成用!AU$2:AU$169,FALSE),1),"")</f>
        <v/>
      </c>
      <c r="AV95" s="17" t="str">
        <f>IFERROR(INDEX(逆引き作成用!$C$2:$C$169,MATCH($B95&amp;"/"&amp;$C95,逆引き作成用!AV$2:AV$169,FALSE),1),"")</f>
        <v/>
      </c>
      <c r="AW95" s="17" t="str">
        <f>IFERROR(INDEX(逆引き作成用!$C$2:$C$169,MATCH($B95&amp;"/"&amp;$C95,逆引き作成用!AW$2:AW$169,FALSE),1),"")</f>
        <v/>
      </c>
      <c r="AX95" s="17" t="str">
        <f>IFERROR(INDEX(逆引き作成用!$C$2:$C$169,MATCH($B95&amp;"/"&amp;$C95,逆引き作成用!AX$2:AX$169,FALSE),1),"")</f>
        <v/>
      </c>
      <c r="AY95" s="17" t="str">
        <f>IFERROR(INDEX(逆引き作成用!$C$2:$C$169,MATCH($B95&amp;"/"&amp;$C95,逆引き作成用!AY$2:AY$169,FALSE),1),"")</f>
        <v/>
      </c>
      <c r="AZ95" s="17" t="str">
        <f>IFERROR(INDEX(逆引き作成用!$C$2:$C$169,MATCH($B95&amp;"/"&amp;$C95,逆引き作成用!AZ$2:AZ$169,FALSE),1),"")</f>
        <v/>
      </c>
      <c r="BA95" s="17" t="str">
        <f>IFERROR(INDEX(逆引き作成用!$C$2:$C$169,MATCH($B95&amp;"/"&amp;$C95,逆引き作成用!BA$2:BA$169,FALSE),1),"")</f>
        <v/>
      </c>
    </row>
    <row r="96" spans="1:53">
      <c r="A96" s="17" t="str">
        <f>IFERROR(INDEX(役職一覧!$B$2:$B$31,MATCH(B96,役職一覧!$C$2:$C$31,FALSE),1),"")</f>
        <v/>
      </c>
      <c r="B96" s="17" t="str">
        <f>IFERROR(IF(C96=1,INDEX(役職一覧!$C$2:$C$31,MATCH(逆引き!B95,役職一覧!$C$2:$C$31,FALSE)+1,1)&amp;"",B95),"")</f>
        <v/>
      </c>
      <c r="C96" s="17" t="str">
        <f>IFERROR(IF(VLOOKUP(B95,役職一覧!$C$2:$E$31,3,FALSE)=C95,1,C95+1),"")</f>
        <v/>
      </c>
      <c r="D96" s="17" t="str">
        <f>IFERROR(INDEX(逆引き作成用!$C$2:$C$169,MATCH($B96&amp;"/"&amp;$C96,逆引き作成用!D$2:D$169,FALSE),1),"")</f>
        <v/>
      </c>
      <c r="E96" s="17" t="str">
        <f>IFERROR(INDEX(逆引き作成用!$C$2:$C$169,MATCH($B96&amp;"/"&amp;$C96,逆引き作成用!E$2:E$169,FALSE),1),"")</f>
        <v/>
      </c>
      <c r="F96" s="17" t="str">
        <f>IFERROR(INDEX(逆引き作成用!$C$2:$C$169,MATCH($B96&amp;"/"&amp;$C96,逆引き作成用!F$2:F$169,FALSE),1),"")</f>
        <v/>
      </c>
      <c r="G96" s="17" t="str">
        <f>IFERROR(INDEX(逆引き作成用!$C$2:$C$169,MATCH($B96&amp;"/"&amp;$C96,逆引き作成用!G$2:G$169,FALSE),1),"")</f>
        <v/>
      </c>
      <c r="H96" s="17" t="str">
        <f>IFERROR(INDEX(逆引き作成用!$C$2:$C$169,MATCH($B96&amp;"/"&amp;$C96,逆引き作成用!H$2:H$169,FALSE),1),"")</f>
        <v/>
      </c>
      <c r="I96" s="17" t="str">
        <f>IFERROR(INDEX(逆引き作成用!$C$2:$C$169,MATCH($B96&amp;"/"&amp;$C96,逆引き作成用!I$2:I$169,FALSE),1),"")</f>
        <v/>
      </c>
      <c r="J96" s="17" t="str">
        <f>IFERROR(INDEX(逆引き作成用!$C$2:$C$169,MATCH($B96&amp;"/"&amp;$C96,逆引き作成用!J$2:J$169,FALSE),1),"")</f>
        <v/>
      </c>
      <c r="K96" s="17" t="str">
        <f>IFERROR(INDEX(逆引き作成用!$C$2:$C$169,MATCH($B96&amp;"/"&amp;$C96,逆引き作成用!K$2:K$169,FALSE),1),"")</f>
        <v/>
      </c>
      <c r="L96" s="17" t="str">
        <f>IFERROR(INDEX(逆引き作成用!$C$2:$C$169,MATCH($B96&amp;"/"&amp;$C96,逆引き作成用!L$2:L$169,FALSE),1),"")</f>
        <v/>
      </c>
      <c r="M96" s="17" t="str">
        <f>IFERROR(INDEX(逆引き作成用!$C$2:$C$169,MATCH($B96&amp;"/"&amp;$C96,逆引き作成用!M$2:M$169,FALSE),1),"")</f>
        <v/>
      </c>
      <c r="N96" s="17" t="str">
        <f>IFERROR(INDEX(逆引き作成用!$C$2:$C$169,MATCH($B96&amp;"/"&amp;$C96,逆引き作成用!N$2:N$169,FALSE),1),"")</f>
        <v/>
      </c>
      <c r="O96" s="17" t="str">
        <f>IFERROR(INDEX(逆引き作成用!$C$2:$C$169,MATCH($B96&amp;"/"&amp;$C96,逆引き作成用!O$2:O$169,FALSE),1),"")</f>
        <v/>
      </c>
      <c r="P96" s="17" t="str">
        <f>IFERROR(INDEX(逆引き作成用!$C$2:$C$169,MATCH($B96&amp;"/"&amp;$C96,逆引き作成用!P$2:P$169,FALSE),1),"")</f>
        <v/>
      </c>
      <c r="Q96" s="17" t="str">
        <f>IFERROR(INDEX(逆引き作成用!$C$2:$C$169,MATCH($B96&amp;"/"&amp;$C96,逆引き作成用!Q$2:Q$169,FALSE),1),"")</f>
        <v/>
      </c>
      <c r="R96" s="17" t="str">
        <f>IFERROR(INDEX(逆引き作成用!$C$2:$C$169,MATCH($B96&amp;"/"&amp;$C96,逆引き作成用!R$2:R$169,FALSE),1),"")</f>
        <v/>
      </c>
      <c r="S96" s="17" t="str">
        <f>IFERROR(INDEX(逆引き作成用!$C$2:$C$169,MATCH($B96&amp;"/"&amp;$C96,逆引き作成用!S$2:S$169,FALSE),1),"")</f>
        <v/>
      </c>
      <c r="T96" s="17" t="str">
        <f>IFERROR(INDEX(逆引き作成用!$C$2:$C$169,MATCH($B96&amp;"/"&amp;$C96,逆引き作成用!T$2:T$169,FALSE),1),"")</f>
        <v/>
      </c>
      <c r="U96" s="17" t="str">
        <f>IFERROR(INDEX(逆引き作成用!$C$2:$C$169,MATCH($B96&amp;"/"&amp;$C96,逆引き作成用!U$2:U$169,FALSE),1),"")</f>
        <v/>
      </c>
      <c r="V96" s="17" t="str">
        <f>IFERROR(INDEX(逆引き作成用!$C$2:$C$169,MATCH($B96&amp;"/"&amp;$C96,逆引き作成用!V$2:V$169,FALSE),1),"")</f>
        <v/>
      </c>
      <c r="W96" s="17" t="str">
        <f>IFERROR(INDEX(逆引き作成用!$C$2:$C$169,MATCH($B96&amp;"/"&amp;$C96,逆引き作成用!W$2:W$169,FALSE),1),"")</f>
        <v/>
      </c>
      <c r="X96" s="17" t="str">
        <f>IFERROR(INDEX(逆引き作成用!$C$2:$C$169,MATCH($B96&amp;"/"&amp;$C96,逆引き作成用!X$2:X$169,FALSE),1),"")</f>
        <v/>
      </c>
      <c r="Y96" s="17" t="str">
        <f>IFERROR(INDEX(逆引き作成用!$C$2:$C$169,MATCH($B96&amp;"/"&amp;$C96,逆引き作成用!Y$2:Y$169,FALSE),1),"")</f>
        <v/>
      </c>
      <c r="Z96" s="17" t="str">
        <f>IFERROR(INDEX(逆引き作成用!$C$2:$C$169,MATCH($B96&amp;"/"&amp;$C96,逆引き作成用!Z$2:Z$169,FALSE),1),"")</f>
        <v/>
      </c>
      <c r="AA96" s="17" t="str">
        <f>IFERROR(INDEX(逆引き作成用!$C$2:$C$169,MATCH($B96&amp;"/"&amp;$C96,逆引き作成用!AA$2:AA$169,FALSE),1),"")</f>
        <v/>
      </c>
      <c r="AB96" s="17" t="str">
        <f>IFERROR(INDEX(逆引き作成用!$C$2:$C$169,MATCH($B96&amp;"/"&amp;$C96,逆引き作成用!AB$2:AB$169,FALSE),1),"")</f>
        <v/>
      </c>
      <c r="AC96" s="17" t="str">
        <f>IFERROR(INDEX(逆引き作成用!$C$2:$C$169,MATCH($B96&amp;"/"&amp;$C96,逆引き作成用!AC$2:AC$169,FALSE),1),"")</f>
        <v/>
      </c>
      <c r="AD96" s="17" t="str">
        <f>IFERROR(INDEX(逆引き作成用!$C$2:$C$169,MATCH($B96&amp;"/"&amp;$C96,逆引き作成用!AD$2:AD$169,FALSE),1),"")</f>
        <v/>
      </c>
      <c r="AE96" s="17" t="str">
        <f>IFERROR(INDEX(逆引き作成用!$C$2:$C$169,MATCH($B96&amp;"/"&amp;$C96,逆引き作成用!AE$2:AE$169,FALSE),1),"")</f>
        <v/>
      </c>
      <c r="AF96" s="17" t="str">
        <f>IFERROR(INDEX(逆引き作成用!$C$2:$C$169,MATCH($B96&amp;"/"&amp;$C96,逆引き作成用!AF$2:AF$169,FALSE),1),"")</f>
        <v/>
      </c>
      <c r="AG96" s="17" t="str">
        <f>IFERROR(INDEX(逆引き作成用!$C$2:$C$169,MATCH($B96&amp;"/"&amp;$C96,逆引き作成用!AG$2:AG$169,FALSE),1),"")</f>
        <v/>
      </c>
      <c r="AH96" s="17" t="str">
        <f>IFERROR(INDEX(逆引き作成用!$C$2:$C$169,MATCH($B96&amp;"/"&amp;$C96,逆引き作成用!AH$2:AH$169,FALSE),1),"")</f>
        <v/>
      </c>
      <c r="AI96" s="17" t="str">
        <f>IFERROR(INDEX(逆引き作成用!$C$2:$C$169,MATCH($B96&amp;"/"&amp;$C96,逆引き作成用!AI$2:AI$169,FALSE),1),"")</f>
        <v/>
      </c>
      <c r="AJ96" s="17" t="str">
        <f>IFERROR(INDEX(逆引き作成用!$C$2:$C$169,MATCH($B96&amp;"/"&amp;$C96,逆引き作成用!AJ$2:AJ$169,FALSE),1),"")</f>
        <v/>
      </c>
      <c r="AK96" s="17" t="str">
        <f>IFERROR(INDEX(逆引き作成用!$C$2:$C$169,MATCH($B96&amp;"/"&amp;$C96,逆引き作成用!AK$2:AK$169,FALSE),1),"")</f>
        <v/>
      </c>
      <c r="AL96" s="17" t="str">
        <f>IFERROR(INDEX(逆引き作成用!$C$2:$C$169,MATCH($B96&amp;"/"&amp;$C96,逆引き作成用!AL$2:AL$169,FALSE),1),"")</f>
        <v/>
      </c>
      <c r="AM96" s="17" t="str">
        <f>IFERROR(INDEX(逆引き作成用!$C$2:$C$169,MATCH($B96&amp;"/"&amp;$C96,逆引き作成用!AM$2:AM$169,FALSE),1),"")</f>
        <v/>
      </c>
      <c r="AN96" s="17" t="str">
        <f>IFERROR(INDEX(逆引き作成用!$C$2:$C$169,MATCH($B96&amp;"/"&amp;$C96,逆引き作成用!AN$2:AN$169,FALSE),1),"")</f>
        <v/>
      </c>
      <c r="AO96" s="17" t="str">
        <f>IFERROR(INDEX(逆引き作成用!$C$2:$C$169,MATCH($B96&amp;"/"&amp;$C96,逆引き作成用!AO$2:AO$169,FALSE),1),"")</f>
        <v/>
      </c>
      <c r="AP96" s="17" t="str">
        <f>IFERROR(INDEX(逆引き作成用!$C$2:$C$169,MATCH($B96&amp;"/"&amp;$C96,逆引き作成用!AP$2:AP$169,FALSE),1),"")</f>
        <v/>
      </c>
      <c r="AQ96" s="17" t="str">
        <f>IFERROR(INDEX(逆引き作成用!$C$2:$C$169,MATCH($B96&amp;"/"&amp;$C96,逆引き作成用!AQ$2:AQ$169,FALSE),1),"")</f>
        <v/>
      </c>
      <c r="AR96" s="17" t="str">
        <f>IFERROR(INDEX(逆引き作成用!$C$2:$C$169,MATCH($B96&amp;"/"&amp;$C96,逆引き作成用!AR$2:AR$169,FALSE),1),"")</f>
        <v/>
      </c>
      <c r="AS96" s="17" t="str">
        <f>IFERROR(INDEX(逆引き作成用!$C$2:$C$169,MATCH($B96&amp;"/"&amp;$C96,逆引き作成用!AS$2:AS$169,FALSE),1),"")</f>
        <v/>
      </c>
      <c r="AT96" s="17" t="str">
        <f>IFERROR(INDEX(逆引き作成用!$C$2:$C$169,MATCH($B96&amp;"/"&amp;$C96,逆引き作成用!AT$2:AT$169,FALSE),1),"")</f>
        <v/>
      </c>
      <c r="AU96" s="17" t="str">
        <f>IFERROR(INDEX(逆引き作成用!$C$2:$C$169,MATCH($B96&amp;"/"&amp;$C96,逆引き作成用!AU$2:AU$169,FALSE),1),"")</f>
        <v/>
      </c>
      <c r="AV96" s="17" t="str">
        <f>IFERROR(INDEX(逆引き作成用!$C$2:$C$169,MATCH($B96&amp;"/"&amp;$C96,逆引き作成用!AV$2:AV$169,FALSE),1),"")</f>
        <v/>
      </c>
      <c r="AW96" s="17" t="str">
        <f>IFERROR(INDEX(逆引き作成用!$C$2:$C$169,MATCH($B96&amp;"/"&amp;$C96,逆引き作成用!AW$2:AW$169,FALSE),1),"")</f>
        <v/>
      </c>
      <c r="AX96" s="17" t="str">
        <f>IFERROR(INDEX(逆引き作成用!$C$2:$C$169,MATCH($B96&amp;"/"&amp;$C96,逆引き作成用!AX$2:AX$169,FALSE),1),"")</f>
        <v/>
      </c>
      <c r="AY96" s="17" t="str">
        <f>IFERROR(INDEX(逆引き作成用!$C$2:$C$169,MATCH($B96&amp;"/"&amp;$C96,逆引き作成用!AY$2:AY$169,FALSE),1),"")</f>
        <v/>
      </c>
      <c r="AZ96" s="17" t="str">
        <f>IFERROR(INDEX(逆引き作成用!$C$2:$C$169,MATCH($B96&amp;"/"&amp;$C96,逆引き作成用!AZ$2:AZ$169,FALSE),1),"")</f>
        <v/>
      </c>
      <c r="BA96" s="17" t="str">
        <f>IFERROR(INDEX(逆引き作成用!$C$2:$C$169,MATCH($B96&amp;"/"&amp;$C96,逆引き作成用!BA$2:BA$169,FALSE),1),"")</f>
        <v/>
      </c>
    </row>
    <row r="97" spans="1:53">
      <c r="A97" s="17" t="str">
        <f>IFERROR(INDEX(役職一覧!$B$2:$B$31,MATCH(B97,役職一覧!$C$2:$C$31,FALSE),1),"")</f>
        <v/>
      </c>
      <c r="B97" s="17" t="str">
        <f>IFERROR(IF(C97=1,INDEX(役職一覧!$C$2:$C$31,MATCH(逆引き!B96,役職一覧!$C$2:$C$31,FALSE)+1,1)&amp;"",B96),"")</f>
        <v/>
      </c>
      <c r="C97" s="17" t="str">
        <f>IFERROR(IF(VLOOKUP(B96,役職一覧!$C$2:$E$31,3,FALSE)=C96,1,C96+1),"")</f>
        <v/>
      </c>
      <c r="D97" s="17" t="str">
        <f>IFERROR(INDEX(逆引き作成用!$C$2:$C$169,MATCH($B97&amp;"/"&amp;$C97,逆引き作成用!D$2:D$169,FALSE),1),"")</f>
        <v/>
      </c>
      <c r="E97" s="17" t="str">
        <f>IFERROR(INDEX(逆引き作成用!$C$2:$C$169,MATCH($B97&amp;"/"&amp;$C97,逆引き作成用!E$2:E$169,FALSE),1),"")</f>
        <v/>
      </c>
      <c r="F97" s="17" t="str">
        <f>IFERROR(INDEX(逆引き作成用!$C$2:$C$169,MATCH($B97&amp;"/"&amp;$C97,逆引き作成用!F$2:F$169,FALSE),1),"")</f>
        <v/>
      </c>
      <c r="G97" s="17" t="str">
        <f>IFERROR(INDEX(逆引き作成用!$C$2:$C$169,MATCH($B97&amp;"/"&amp;$C97,逆引き作成用!G$2:G$169,FALSE),1),"")</f>
        <v/>
      </c>
      <c r="H97" s="17" t="str">
        <f>IFERROR(INDEX(逆引き作成用!$C$2:$C$169,MATCH($B97&amp;"/"&amp;$C97,逆引き作成用!H$2:H$169,FALSE),1),"")</f>
        <v/>
      </c>
      <c r="I97" s="17" t="str">
        <f>IFERROR(INDEX(逆引き作成用!$C$2:$C$169,MATCH($B97&amp;"/"&amp;$C97,逆引き作成用!I$2:I$169,FALSE),1),"")</f>
        <v/>
      </c>
      <c r="J97" s="17" t="str">
        <f>IFERROR(INDEX(逆引き作成用!$C$2:$C$169,MATCH($B97&amp;"/"&amp;$C97,逆引き作成用!J$2:J$169,FALSE),1),"")</f>
        <v/>
      </c>
      <c r="K97" s="17" t="str">
        <f>IFERROR(INDEX(逆引き作成用!$C$2:$C$169,MATCH($B97&amp;"/"&amp;$C97,逆引き作成用!K$2:K$169,FALSE),1),"")</f>
        <v/>
      </c>
      <c r="L97" s="17" t="str">
        <f>IFERROR(INDEX(逆引き作成用!$C$2:$C$169,MATCH($B97&amp;"/"&amp;$C97,逆引き作成用!L$2:L$169,FALSE),1),"")</f>
        <v/>
      </c>
      <c r="M97" s="17" t="str">
        <f>IFERROR(INDEX(逆引き作成用!$C$2:$C$169,MATCH($B97&amp;"/"&amp;$C97,逆引き作成用!M$2:M$169,FALSE),1),"")</f>
        <v/>
      </c>
      <c r="N97" s="17" t="str">
        <f>IFERROR(INDEX(逆引き作成用!$C$2:$C$169,MATCH($B97&amp;"/"&amp;$C97,逆引き作成用!N$2:N$169,FALSE),1),"")</f>
        <v/>
      </c>
      <c r="O97" s="17" t="str">
        <f>IFERROR(INDEX(逆引き作成用!$C$2:$C$169,MATCH($B97&amp;"/"&amp;$C97,逆引き作成用!O$2:O$169,FALSE),1),"")</f>
        <v/>
      </c>
      <c r="P97" s="17" t="str">
        <f>IFERROR(INDEX(逆引き作成用!$C$2:$C$169,MATCH($B97&amp;"/"&amp;$C97,逆引き作成用!P$2:P$169,FALSE),1),"")</f>
        <v/>
      </c>
      <c r="Q97" s="17" t="str">
        <f>IFERROR(INDEX(逆引き作成用!$C$2:$C$169,MATCH($B97&amp;"/"&amp;$C97,逆引き作成用!Q$2:Q$169,FALSE),1),"")</f>
        <v/>
      </c>
      <c r="R97" s="17" t="str">
        <f>IFERROR(INDEX(逆引き作成用!$C$2:$C$169,MATCH($B97&amp;"/"&amp;$C97,逆引き作成用!R$2:R$169,FALSE),1),"")</f>
        <v/>
      </c>
      <c r="S97" s="17" t="str">
        <f>IFERROR(INDEX(逆引き作成用!$C$2:$C$169,MATCH($B97&amp;"/"&amp;$C97,逆引き作成用!S$2:S$169,FALSE),1),"")</f>
        <v/>
      </c>
      <c r="T97" s="17" t="str">
        <f>IFERROR(INDEX(逆引き作成用!$C$2:$C$169,MATCH($B97&amp;"/"&amp;$C97,逆引き作成用!T$2:T$169,FALSE),1),"")</f>
        <v/>
      </c>
      <c r="U97" s="17" t="str">
        <f>IFERROR(INDEX(逆引き作成用!$C$2:$C$169,MATCH($B97&amp;"/"&amp;$C97,逆引き作成用!U$2:U$169,FALSE),1),"")</f>
        <v/>
      </c>
      <c r="V97" s="17" t="str">
        <f>IFERROR(INDEX(逆引き作成用!$C$2:$C$169,MATCH($B97&amp;"/"&amp;$C97,逆引き作成用!V$2:V$169,FALSE),1),"")</f>
        <v/>
      </c>
      <c r="W97" s="17" t="str">
        <f>IFERROR(INDEX(逆引き作成用!$C$2:$C$169,MATCH($B97&amp;"/"&amp;$C97,逆引き作成用!W$2:W$169,FALSE),1),"")</f>
        <v/>
      </c>
      <c r="X97" s="17" t="str">
        <f>IFERROR(INDEX(逆引き作成用!$C$2:$C$169,MATCH($B97&amp;"/"&amp;$C97,逆引き作成用!X$2:X$169,FALSE),1),"")</f>
        <v/>
      </c>
      <c r="Y97" s="17" t="str">
        <f>IFERROR(INDEX(逆引き作成用!$C$2:$C$169,MATCH($B97&amp;"/"&amp;$C97,逆引き作成用!Y$2:Y$169,FALSE),1),"")</f>
        <v/>
      </c>
      <c r="Z97" s="17" t="str">
        <f>IFERROR(INDEX(逆引き作成用!$C$2:$C$169,MATCH($B97&amp;"/"&amp;$C97,逆引き作成用!Z$2:Z$169,FALSE),1),"")</f>
        <v/>
      </c>
      <c r="AA97" s="17" t="str">
        <f>IFERROR(INDEX(逆引き作成用!$C$2:$C$169,MATCH($B97&amp;"/"&amp;$C97,逆引き作成用!AA$2:AA$169,FALSE),1),"")</f>
        <v/>
      </c>
      <c r="AB97" s="17" t="str">
        <f>IFERROR(INDEX(逆引き作成用!$C$2:$C$169,MATCH($B97&amp;"/"&amp;$C97,逆引き作成用!AB$2:AB$169,FALSE),1),"")</f>
        <v/>
      </c>
      <c r="AC97" s="17" t="str">
        <f>IFERROR(INDEX(逆引き作成用!$C$2:$C$169,MATCH($B97&amp;"/"&amp;$C97,逆引き作成用!AC$2:AC$169,FALSE),1),"")</f>
        <v/>
      </c>
      <c r="AD97" s="17" t="str">
        <f>IFERROR(INDEX(逆引き作成用!$C$2:$C$169,MATCH($B97&amp;"/"&amp;$C97,逆引き作成用!AD$2:AD$169,FALSE),1),"")</f>
        <v/>
      </c>
      <c r="AE97" s="17" t="str">
        <f>IFERROR(INDEX(逆引き作成用!$C$2:$C$169,MATCH($B97&amp;"/"&amp;$C97,逆引き作成用!AE$2:AE$169,FALSE),1),"")</f>
        <v/>
      </c>
      <c r="AF97" s="17" t="str">
        <f>IFERROR(INDEX(逆引き作成用!$C$2:$C$169,MATCH($B97&amp;"/"&amp;$C97,逆引き作成用!AF$2:AF$169,FALSE),1),"")</f>
        <v/>
      </c>
      <c r="AG97" s="17" t="str">
        <f>IFERROR(INDEX(逆引き作成用!$C$2:$C$169,MATCH($B97&amp;"/"&amp;$C97,逆引き作成用!AG$2:AG$169,FALSE),1),"")</f>
        <v/>
      </c>
      <c r="AH97" s="17" t="str">
        <f>IFERROR(INDEX(逆引き作成用!$C$2:$C$169,MATCH($B97&amp;"/"&amp;$C97,逆引き作成用!AH$2:AH$169,FALSE),1),"")</f>
        <v/>
      </c>
      <c r="AI97" s="17" t="str">
        <f>IFERROR(INDEX(逆引き作成用!$C$2:$C$169,MATCH($B97&amp;"/"&amp;$C97,逆引き作成用!AI$2:AI$169,FALSE),1),"")</f>
        <v/>
      </c>
      <c r="AJ97" s="17" t="str">
        <f>IFERROR(INDEX(逆引き作成用!$C$2:$C$169,MATCH($B97&amp;"/"&amp;$C97,逆引き作成用!AJ$2:AJ$169,FALSE),1),"")</f>
        <v/>
      </c>
      <c r="AK97" s="17" t="str">
        <f>IFERROR(INDEX(逆引き作成用!$C$2:$C$169,MATCH($B97&amp;"/"&amp;$C97,逆引き作成用!AK$2:AK$169,FALSE),1),"")</f>
        <v/>
      </c>
      <c r="AL97" s="17" t="str">
        <f>IFERROR(INDEX(逆引き作成用!$C$2:$C$169,MATCH($B97&amp;"/"&amp;$C97,逆引き作成用!AL$2:AL$169,FALSE),1),"")</f>
        <v/>
      </c>
      <c r="AM97" s="17" t="str">
        <f>IFERROR(INDEX(逆引き作成用!$C$2:$C$169,MATCH($B97&amp;"/"&amp;$C97,逆引き作成用!AM$2:AM$169,FALSE),1),"")</f>
        <v/>
      </c>
      <c r="AN97" s="17" t="str">
        <f>IFERROR(INDEX(逆引き作成用!$C$2:$C$169,MATCH($B97&amp;"/"&amp;$C97,逆引き作成用!AN$2:AN$169,FALSE),1),"")</f>
        <v/>
      </c>
      <c r="AO97" s="17" t="str">
        <f>IFERROR(INDEX(逆引き作成用!$C$2:$C$169,MATCH($B97&amp;"/"&amp;$C97,逆引き作成用!AO$2:AO$169,FALSE),1),"")</f>
        <v/>
      </c>
      <c r="AP97" s="17" t="str">
        <f>IFERROR(INDEX(逆引き作成用!$C$2:$C$169,MATCH($B97&amp;"/"&amp;$C97,逆引き作成用!AP$2:AP$169,FALSE),1),"")</f>
        <v/>
      </c>
      <c r="AQ97" s="17" t="str">
        <f>IFERROR(INDEX(逆引き作成用!$C$2:$C$169,MATCH($B97&amp;"/"&amp;$C97,逆引き作成用!AQ$2:AQ$169,FALSE),1),"")</f>
        <v/>
      </c>
      <c r="AR97" s="17" t="str">
        <f>IFERROR(INDEX(逆引き作成用!$C$2:$C$169,MATCH($B97&amp;"/"&amp;$C97,逆引き作成用!AR$2:AR$169,FALSE),1),"")</f>
        <v/>
      </c>
      <c r="AS97" s="17" t="str">
        <f>IFERROR(INDEX(逆引き作成用!$C$2:$C$169,MATCH($B97&amp;"/"&amp;$C97,逆引き作成用!AS$2:AS$169,FALSE),1),"")</f>
        <v/>
      </c>
      <c r="AT97" s="17" t="str">
        <f>IFERROR(INDEX(逆引き作成用!$C$2:$C$169,MATCH($B97&amp;"/"&amp;$C97,逆引き作成用!AT$2:AT$169,FALSE),1),"")</f>
        <v/>
      </c>
      <c r="AU97" s="17" t="str">
        <f>IFERROR(INDEX(逆引き作成用!$C$2:$C$169,MATCH($B97&amp;"/"&amp;$C97,逆引き作成用!AU$2:AU$169,FALSE),1),"")</f>
        <v/>
      </c>
      <c r="AV97" s="17" t="str">
        <f>IFERROR(INDEX(逆引き作成用!$C$2:$C$169,MATCH($B97&amp;"/"&amp;$C97,逆引き作成用!AV$2:AV$169,FALSE),1),"")</f>
        <v/>
      </c>
      <c r="AW97" s="17" t="str">
        <f>IFERROR(INDEX(逆引き作成用!$C$2:$C$169,MATCH($B97&amp;"/"&amp;$C97,逆引き作成用!AW$2:AW$169,FALSE),1),"")</f>
        <v/>
      </c>
      <c r="AX97" s="17" t="str">
        <f>IFERROR(INDEX(逆引き作成用!$C$2:$C$169,MATCH($B97&amp;"/"&amp;$C97,逆引き作成用!AX$2:AX$169,FALSE),1),"")</f>
        <v/>
      </c>
      <c r="AY97" s="17" t="str">
        <f>IFERROR(INDEX(逆引き作成用!$C$2:$C$169,MATCH($B97&amp;"/"&amp;$C97,逆引き作成用!AY$2:AY$169,FALSE),1),"")</f>
        <v/>
      </c>
      <c r="AZ97" s="17" t="str">
        <f>IFERROR(INDEX(逆引き作成用!$C$2:$C$169,MATCH($B97&amp;"/"&amp;$C97,逆引き作成用!AZ$2:AZ$169,FALSE),1),"")</f>
        <v/>
      </c>
      <c r="BA97" s="17" t="str">
        <f>IFERROR(INDEX(逆引き作成用!$C$2:$C$169,MATCH($B97&amp;"/"&amp;$C97,逆引き作成用!BA$2:BA$169,FALSE),1),"")</f>
        <v/>
      </c>
    </row>
    <row r="98" spans="1:53">
      <c r="A98" s="17" t="str">
        <f>IFERROR(INDEX(役職一覧!$B$2:$B$31,MATCH(B98,役職一覧!$C$2:$C$31,FALSE),1),"")</f>
        <v/>
      </c>
      <c r="B98" s="17" t="str">
        <f>IFERROR(IF(C98=1,INDEX(役職一覧!$C$2:$C$31,MATCH(逆引き!B97,役職一覧!$C$2:$C$31,FALSE)+1,1)&amp;"",B97),"")</f>
        <v/>
      </c>
      <c r="C98" s="17" t="str">
        <f>IFERROR(IF(VLOOKUP(B97,役職一覧!$C$2:$E$31,3,FALSE)=C97,1,C97+1),"")</f>
        <v/>
      </c>
      <c r="D98" s="17" t="str">
        <f>IFERROR(INDEX(逆引き作成用!$C$2:$C$169,MATCH($B98&amp;"/"&amp;$C98,逆引き作成用!D$2:D$169,FALSE),1),"")</f>
        <v/>
      </c>
      <c r="E98" s="17" t="str">
        <f>IFERROR(INDEX(逆引き作成用!$C$2:$C$169,MATCH($B98&amp;"/"&amp;$C98,逆引き作成用!E$2:E$169,FALSE),1),"")</f>
        <v/>
      </c>
      <c r="F98" s="17" t="str">
        <f>IFERROR(INDEX(逆引き作成用!$C$2:$C$169,MATCH($B98&amp;"/"&amp;$C98,逆引き作成用!F$2:F$169,FALSE),1),"")</f>
        <v/>
      </c>
      <c r="G98" s="17" t="str">
        <f>IFERROR(INDEX(逆引き作成用!$C$2:$C$169,MATCH($B98&amp;"/"&amp;$C98,逆引き作成用!G$2:G$169,FALSE),1),"")</f>
        <v/>
      </c>
      <c r="H98" s="17" t="str">
        <f>IFERROR(INDEX(逆引き作成用!$C$2:$C$169,MATCH($B98&amp;"/"&amp;$C98,逆引き作成用!H$2:H$169,FALSE),1),"")</f>
        <v/>
      </c>
      <c r="I98" s="17" t="str">
        <f>IFERROR(INDEX(逆引き作成用!$C$2:$C$169,MATCH($B98&amp;"/"&amp;$C98,逆引き作成用!I$2:I$169,FALSE),1),"")</f>
        <v/>
      </c>
      <c r="J98" s="17" t="str">
        <f>IFERROR(INDEX(逆引き作成用!$C$2:$C$169,MATCH($B98&amp;"/"&amp;$C98,逆引き作成用!J$2:J$169,FALSE),1),"")</f>
        <v/>
      </c>
      <c r="K98" s="17" t="str">
        <f>IFERROR(INDEX(逆引き作成用!$C$2:$C$169,MATCH($B98&amp;"/"&amp;$C98,逆引き作成用!K$2:K$169,FALSE),1),"")</f>
        <v/>
      </c>
      <c r="L98" s="17" t="str">
        <f>IFERROR(INDEX(逆引き作成用!$C$2:$C$169,MATCH($B98&amp;"/"&amp;$C98,逆引き作成用!L$2:L$169,FALSE),1),"")</f>
        <v/>
      </c>
      <c r="M98" s="17" t="str">
        <f>IFERROR(INDEX(逆引き作成用!$C$2:$C$169,MATCH($B98&amp;"/"&amp;$C98,逆引き作成用!M$2:M$169,FALSE),1),"")</f>
        <v/>
      </c>
      <c r="N98" s="17" t="str">
        <f>IFERROR(INDEX(逆引き作成用!$C$2:$C$169,MATCH($B98&amp;"/"&amp;$C98,逆引き作成用!N$2:N$169,FALSE),1),"")</f>
        <v/>
      </c>
      <c r="O98" s="17" t="str">
        <f>IFERROR(INDEX(逆引き作成用!$C$2:$C$169,MATCH($B98&amp;"/"&amp;$C98,逆引き作成用!O$2:O$169,FALSE),1),"")</f>
        <v/>
      </c>
      <c r="P98" s="17" t="str">
        <f>IFERROR(INDEX(逆引き作成用!$C$2:$C$169,MATCH($B98&amp;"/"&amp;$C98,逆引き作成用!P$2:P$169,FALSE),1),"")</f>
        <v/>
      </c>
      <c r="Q98" s="17" t="str">
        <f>IFERROR(INDEX(逆引き作成用!$C$2:$C$169,MATCH($B98&amp;"/"&amp;$C98,逆引き作成用!Q$2:Q$169,FALSE),1),"")</f>
        <v/>
      </c>
      <c r="R98" s="17" t="str">
        <f>IFERROR(INDEX(逆引き作成用!$C$2:$C$169,MATCH($B98&amp;"/"&amp;$C98,逆引き作成用!R$2:R$169,FALSE),1),"")</f>
        <v/>
      </c>
      <c r="S98" s="17" t="str">
        <f>IFERROR(INDEX(逆引き作成用!$C$2:$C$169,MATCH($B98&amp;"/"&amp;$C98,逆引き作成用!S$2:S$169,FALSE),1),"")</f>
        <v/>
      </c>
      <c r="T98" s="17" t="str">
        <f>IFERROR(INDEX(逆引き作成用!$C$2:$C$169,MATCH($B98&amp;"/"&amp;$C98,逆引き作成用!T$2:T$169,FALSE),1),"")</f>
        <v/>
      </c>
      <c r="U98" s="17" t="str">
        <f>IFERROR(INDEX(逆引き作成用!$C$2:$C$169,MATCH($B98&amp;"/"&amp;$C98,逆引き作成用!U$2:U$169,FALSE),1),"")</f>
        <v/>
      </c>
      <c r="V98" s="17" t="str">
        <f>IFERROR(INDEX(逆引き作成用!$C$2:$C$169,MATCH($B98&amp;"/"&amp;$C98,逆引き作成用!V$2:V$169,FALSE),1),"")</f>
        <v/>
      </c>
      <c r="W98" s="17" t="str">
        <f>IFERROR(INDEX(逆引き作成用!$C$2:$C$169,MATCH($B98&amp;"/"&amp;$C98,逆引き作成用!W$2:W$169,FALSE),1),"")</f>
        <v/>
      </c>
      <c r="X98" s="17" t="str">
        <f>IFERROR(INDEX(逆引き作成用!$C$2:$C$169,MATCH($B98&amp;"/"&amp;$C98,逆引き作成用!X$2:X$169,FALSE),1),"")</f>
        <v/>
      </c>
      <c r="Y98" s="17" t="str">
        <f>IFERROR(INDEX(逆引き作成用!$C$2:$C$169,MATCH($B98&amp;"/"&amp;$C98,逆引き作成用!Y$2:Y$169,FALSE),1),"")</f>
        <v/>
      </c>
      <c r="Z98" s="17" t="str">
        <f>IFERROR(INDEX(逆引き作成用!$C$2:$C$169,MATCH($B98&amp;"/"&amp;$C98,逆引き作成用!Z$2:Z$169,FALSE),1),"")</f>
        <v/>
      </c>
      <c r="AA98" s="17" t="str">
        <f>IFERROR(INDEX(逆引き作成用!$C$2:$C$169,MATCH($B98&amp;"/"&amp;$C98,逆引き作成用!AA$2:AA$169,FALSE),1),"")</f>
        <v/>
      </c>
      <c r="AB98" s="17" t="str">
        <f>IFERROR(INDEX(逆引き作成用!$C$2:$C$169,MATCH($B98&amp;"/"&amp;$C98,逆引き作成用!AB$2:AB$169,FALSE),1),"")</f>
        <v/>
      </c>
      <c r="AC98" s="17" t="str">
        <f>IFERROR(INDEX(逆引き作成用!$C$2:$C$169,MATCH($B98&amp;"/"&amp;$C98,逆引き作成用!AC$2:AC$169,FALSE),1),"")</f>
        <v/>
      </c>
      <c r="AD98" s="17" t="str">
        <f>IFERROR(INDEX(逆引き作成用!$C$2:$C$169,MATCH($B98&amp;"/"&amp;$C98,逆引き作成用!AD$2:AD$169,FALSE),1),"")</f>
        <v/>
      </c>
      <c r="AE98" s="17" t="str">
        <f>IFERROR(INDEX(逆引き作成用!$C$2:$C$169,MATCH($B98&amp;"/"&amp;$C98,逆引き作成用!AE$2:AE$169,FALSE),1),"")</f>
        <v/>
      </c>
      <c r="AF98" s="17" t="str">
        <f>IFERROR(INDEX(逆引き作成用!$C$2:$C$169,MATCH($B98&amp;"/"&amp;$C98,逆引き作成用!AF$2:AF$169,FALSE),1),"")</f>
        <v/>
      </c>
      <c r="AG98" s="17" t="str">
        <f>IFERROR(INDEX(逆引き作成用!$C$2:$C$169,MATCH($B98&amp;"/"&amp;$C98,逆引き作成用!AG$2:AG$169,FALSE),1),"")</f>
        <v/>
      </c>
      <c r="AH98" s="17" t="str">
        <f>IFERROR(INDEX(逆引き作成用!$C$2:$C$169,MATCH($B98&amp;"/"&amp;$C98,逆引き作成用!AH$2:AH$169,FALSE),1),"")</f>
        <v/>
      </c>
      <c r="AI98" s="17" t="str">
        <f>IFERROR(INDEX(逆引き作成用!$C$2:$C$169,MATCH($B98&amp;"/"&amp;$C98,逆引き作成用!AI$2:AI$169,FALSE),1),"")</f>
        <v/>
      </c>
      <c r="AJ98" s="17" t="str">
        <f>IFERROR(INDEX(逆引き作成用!$C$2:$C$169,MATCH($B98&amp;"/"&amp;$C98,逆引き作成用!AJ$2:AJ$169,FALSE),1),"")</f>
        <v/>
      </c>
      <c r="AK98" s="17" t="str">
        <f>IFERROR(INDEX(逆引き作成用!$C$2:$C$169,MATCH($B98&amp;"/"&amp;$C98,逆引き作成用!AK$2:AK$169,FALSE),1),"")</f>
        <v/>
      </c>
      <c r="AL98" s="17" t="str">
        <f>IFERROR(INDEX(逆引き作成用!$C$2:$C$169,MATCH($B98&amp;"/"&amp;$C98,逆引き作成用!AL$2:AL$169,FALSE),1),"")</f>
        <v/>
      </c>
      <c r="AM98" s="17" t="str">
        <f>IFERROR(INDEX(逆引き作成用!$C$2:$C$169,MATCH($B98&amp;"/"&amp;$C98,逆引き作成用!AM$2:AM$169,FALSE),1),"")</f>
        <v/>
      </c>
      <c r="AN98" s="17" t="str">
        <f>IFERROR(INDEX(逆引き作成用!$C$2:$C$169,MATCH($B98&amp;"/"&amp;$C98,逆引き作成用!AN$2:AN$169,FALSE),1),"")</f>
        <v/>
      </c>
      <c r="AO98" s="17" t="str">
        <f>IFERROR(INDEX(逆引き作成用!$C$2:$C$169,MATCH($B98&amp;"/"&amp;$C98,逆引き作成用!AO$2:AO$169,FALSE),1),"")</f>
        <v/>
      </c>
      <c r="AP98" s="17" t="str">
        <f>IFERROR(INDEX(逆引き作成用!$C$2:$C$169,MATCH($B98&amp;"/"&amp;$C98,逆引き作成用!AP$2:AP$169,FALSE),1),"")</f>
        <v/>
      </c>
      <c r="AQ98" s="17" t="str">
        <f>IFERROR(INDEX(逆引き作成用!$C$2:$C$169,MATCH($B98&amp;"/"&amp;$C98,逆引き作成用!AQ$2:AQ$169,FALSE),1),"")</f>
        <v/>
      </c>
      <c r="AR98" s="17" t="str">
        <f>IFERROR(INDEX(逆引き作成用!$C$2:$C$169,MATCH($B98&amp;"/"&amp;$C98,逆引き作成用!AR$2:AR$169,FALSE),1),"")</f>
        <v/>
      </c>
      <c r="AS98" s="17" t="str">
        <f>IFERROR(INDEX(逆引き作成用!$C$2:$C$169,MATCH($B98&amp;"/"&amp;$C98,逆引き作成用!AS$2:AS$169,FALSE),1),"")</f>
        <v/>
      </c>
      <c r="AT98" s="17" t="str">
        <f>IFERROR(INDEX(逆引き作成用!$C$2:$C$169,MATCH($B98&amp;"/"&amp;$C98,逆引き作成用!AT$2:AT$169,FALSE),1),"")</f>
        <v/>
      </c>
      <c r="AU98" s="17" t="str">
        <f>IFERROR(INDEX(逆引き作成用!$C$2:$C$169,MATCH($B98&amp;"/"&amp;$C98,逆引き作成用!AU$2:AU$169,FALSE),1),"")</f>
        <v/>
      </c>
      <c r="AV98" s="17" t="str">
        <f>IFERROR(INDEX(逆引き作成用!$C$2:$C$169,MATCH($B98&amp;"/"&amp;$C98,逆引き作成用!AV$2:AV$169,FALSE),1),"")</f>
        <v/>
      </c>
      <c r="AW98" s="17" t="str">
        <f>IFERROR(INDEX(逆引き作成用!$C$2:$C$169,MATCH($B98&amp;"/"&amp;$C98,逆引き作成用!AW$2:AW$169,FALSE),1),"")</f>
        <v/>
      </c>
      <c r="AX98" s="17" t="str">
        <f>IFERROR(INDEX(逆引き作成用!$C$2:$C$169,MATCH($B98&amp;"/"&amp;$C98,逆引き作成用!AX$2:AX$169,FALSE),1),"")</f>
        <v/>
      </c>
      <c r="AY98" s="17" t="str">
        <f>IFERROR(INDEX(逆引き作成用!$C$2:$C$169,MATCH($B98&amp;"/"&amp;$C98,逆引き作成用!AY$2:AY$169,FALSE),1),"")</f>
        <v/>
      </c>
      <c r="AZ98" s="17" t="str">
        <f>IFERROR(INDEX(逆引き作成用!$C$2:$C$169,MATCH($B98&amp;"/"&amp;$C98,逆引き作成用!AZ$2:AZ$169,FALSE),1),"")</f>
        <v/>
      </c>
      <c r="BA98" s="17" t="str">
        <f>IFERROR(INDEX(逆引き作成用!$C$2:$C$169,MATCH($B98&amp;"/"&amp;$C98,逆引き作成用!BA$2:BA$169,FALSE),1),"")</f>
        <v/>
      </c>
    </row>
    <row r="99" spans="1:53">
      <c r="A99" s="17" t="str">
        <f>IFERROR(INDEX(役職一覧!$B$2:$B$31,MATCH(B99,役職一覧!$C$2:$C$31,FALSE),1),"")</f>
        <v/>
      </c>
      <c r="B99" s="17" t="str">
        <f>IFERROR(IF(C99=1,INDEX(役職一覧!$C$2:$C$31,MATCH(逆引き!B98,役職一覧!$C$2:$C$31,FALSE)+1,1)&amp;"",B98),"")</f>
        <v/>
      </c>
      <c r="C99" s="17" t="str">
        <f>IFERROR(IF(VLOOKUP(B98,役職一覧!$C$2:$E$31,3,FALSE)=C98,1,C98+1),"")</f>
        <v/>
      </c>
      <c r="D99" s="17" t="str">
        <f>IFERROR(INDEX(逆引き作成用!$C$2:$C$169,MATCH($B99&amp;"/"&amp;$C99,逆引き作成用!D$2:D$169,FALSE),1),"")</f>
        <v/>
      </c>
      <c r="E99" s="17" t="str">
        <f>IFERROR(INDEX(逆引き作成用!$C$2:$C$169,MATCH($B99&amp;"/"&amp;$C99,逆引き作成用!E$2:E$169,FALSE),1),"")</f>
        <v/>
      </c>
      <c r="F99" s="17" t="str">
        <f>IFERROR(INDEX(逆引き作成用!$C$2:$C$169,MATCH($B99&amp;"/"&amp;$C99,逆引き作成用!F$2:F$169,FALSE),1),"")</f>
        <v/>
      </c>
      <c r="G99" s="17" t="str">
        <f>IFERROR(INDEX(逆引き作成用!$C$2:$C$169,MATCH($B99&amp;"/"&amp;$C99,逆引き作成用!G$2:G$169,FALSE),1),"")</f>
        <v/>
      </c>
      <c r="H99" s="17" t="str">
        <f>IFERROR(INDEX(逆引き作成用!$C$2:$C$169,MATCH($B99&amp;"/"&amp;$C99,逆引き作成用!H$2:H$169,FALSE),1),"")</f>
        <v/>
      </c>
      <c r="I99" s="17" t="str">
        <f>IFERROR(INDEX(逆引き作成用!$C$2:$C$169,MATCH($B99&amp;"/"&amp;$C99,逆引き作成用!I$2:I$169,FALSE),1),"")</f>
        <v/>
      </c>
      <c r="J99" s="17" t="str">
        <f>IFERROR(INDEX(逆引き作成用!$C$2:$C$169,MATCH($B99&amp;"/"&amp;$C99,逆引き作成用!J$2:J$169,FALSE),1),"")</f>
        <v/>
      </c>
      <c r="K99" s="17" t="str">
        <f>IFERROR(INDEX(逆引き作成用!$C$2:$C$169,MATCH($B99&amp;"/"&amp;$C99,逆引き作成用!K$2:K$169,FALSE),1),"")</f>
        <v/>
      </c>
      <c r="L99" s="17" t="str">
        <f>IFERROR(INDEX(逆引き作成用!$C$2:$C$169,MATCH($B99&amp;"/"&amp;$C99,逆引き作成用!L$2:L$169,FALSE),1),"")</f>
        <v/>
      </c>
      <c r="M99" s="17" t="str">
        <f>IFERROR(INDEX(逆引き作成用!$C$2:$C$169,MATCH($B99&amp;"/"&amp;$C99,逆引き作成用!M$2:M$169,FALSE),1),"")</f>
        <v/>
      </c>
      <c r="N99" s="17" t="str">
        <f>IFERROR(INDEX(逆引き作成用!$C$2:$C$169,MATCH($B99&amp;"/"&amp;$C99,逆引き作成用!N$2:N$169,FALSE),1),"")</f>
        <v/>
      </c>
      <c r="O99" s="17" t="str">
        <f>IFERROR(INDEX(逆引き作成用!$C$2:$C$169,MATCH($B99&amp;"/"&amp;$C99,逆引き作成用!O$2:O$169,FALSE),1),"")</f>
        <v/>
      </c>
      <c r="P99" s="17" t="str">
        <f>IFERROR(INDEX(逆引き作成用!$C$2:$C$169,MATCH($B99&amp;"/"&amp;$C99,逆引き作成用!P$2:P$169,FALSE),1),"")</f>
        <v/>
      </c>
      <c r="Q99" s="17" t="str">
        <f>IFERROR(INDEX(逆引き作成用!$C$2:$C$169,MATCH($B99&amp;"/"&amp;$C99,逆引き作成用!Q$2:Q$169,FALSE),1),"")</f>
        <v/>
      </c>
      <c r="R99" s="17" t="str">
        <f>IFERROR(INDEX(逆引き作成用!$C$2:$C$169,MATCH($B99&amp;"/"&amp;$C99,逆引き作成用!R$2:R$169,FALSE),1),"")</f>
        <v/>
      </c>
      <c r="S99" s="17" t="str">
        <f>IFERROR(INDEX(逆引き作成用!$C$2:$C$169,MATCH($B99&amp;"/"&amp;$C99,逆引き作成用!S$2:S$169,FALSE),1),"")</f>
        <v/>
      </c>
      <c r="T99" s="17" t="str">
        <f>IFERROR(INDEX(逆引き作成用!$C$2:$C$169,MATCH($B99&amp;"/"&amp;$C99,逆引き作成用!T$2:T$169,FALSE),1),"")</f>
        <v/>
      </c>
      <c r="U99" s="17" t="str">
        <f>IFERROR(INDEX(逆引き作成用!$C$2:$C$169,MATCH($B99&amp;"/"&amp;$C99,逆引き作成用!U$2:U$169,FALSE),1),"")</f>
        <v/>
      </c>
      <c r="V99" s="17" t="str">
        <f>IFERROR(INDEX(逆引き作成用!$C$2:$C$169,MATCH($B99&amp;"/"&amp;$C99,逆引き作成用!V$2:V$169,FALSE),1),"")</f>
        <v/>
      </c>
      <c r="W99" s="17" t="str">
        <f>IFERROR(INDEX(逆引き作成用!$C$2:$C$169,MATCH($B99&amp;"/"&amp;$C99,逆引き作成用!W$2:W$169,FALSE),1),"")</f>
        <v/>
      </c>
      <c r="X99" s="17" t="str">
        <f>IFERROR(INDEX(逆引き作成用!$C$2:$C$169,MATCH($B99&amp;"/"&amp;$C99,逆引き作成用!X$2:X$169,FALSE),1),"")</f>
        <v/>
      </c>
      <c r="Y99" s="17" t="str">
        <f>IFERROR(INDEX(逆引き作成用!$C$2:$C$169,MATCH($B99&amp;"/"&amp;$C99,逆引き作成用!Y$2:Y$169,FALSE),1),"")</f>
        <v/>
      </c>
      <c r="Z99" s="17" t="str">
        <f>IFERROR(INDEX(逆引き作成用!$C$2:$C$169,MATCH($B99&amp;"/"&amp;$C99,逆引き作成用!Z$2:Z$169,FALSE),1),"")</f>
        <v/>
      </c>
      <c r="AA99" s="17" t="str">
        <f>IFERROR(INDEX(逆引き作成用!$C$2:$C$169,MATCH($B99&amp;"/"&amp;$C99,逆引き作成用!AA$2:AA$169,FALSE),1),"")</f>
        <v/>
      </c>
      <c r="AB99" s="17" t="str">
        <f>IFERROR(INDEX(逆引き作成用!$C$2:$C$169,MATCH($B99&amp;"/"&amp;$C99,逆引き作成用!AB$2:AB$169,FALSE),1),"")</f>
        <v/>
      </c>
      <c r="AC99" s="17" t="str">
        <f>IFERROR(INDEX(逆引き作成用!$C$2:$C$169,MATCH($B99&amp;"/"&amp;$C99,逆引き作成用!AC$2:AC$169,FALSE),1),"")</f>
        <v/>
      </c>
      <c r="AD99" s="17" t="str">
        <f>IFERROR(INDEX(逆引き作成用!$C$2:$C$169,MATCH($B99&amp;"/"&amp;$C99,逆引き作成用!AD$2:AD$169,FALSE),1),"")</f>
        <v/>
      </c>
      <c r="AE99" s="17" t="str">
        <f>IFERROR(INDEX(逆引き作成用!$C$2:$C$169,MATCH($B99&amp;"/"&amp;$C99,逆引き作成用!AE$2:AE$169,FALSE),1),"")</f>
        <v/>
      </c>
      <c r="AF99" s="17" t="str">
        <f>IFERROR(INDEX(逆引き作成用!$C$2:$C$169,MATCH($B99&amp;"/"&amp;$C99,逆引き作成用!AF$2:AF$169,FALSE),1),"")</f>
        <v/>
      </c>
      <c r="AG99" s="17" t="str">
        <f>IFERROR(INDEX(逆引き作成用!$C$2:$C$169,MATCH($B99&amp;"/"&amp;$C99,逆引き作成用!AG$2:AG$169,FALSE),1),"")</f>
        <v/>
      </c>
      <c r="AH99" s="17" t="str">
        <f>IFERROR(INDEX(逆引き作成用!$C$2:$C$169,MATCH($B99&amp;"/"&amp;$C99,逆引き作成用!AH$2:AH$169,FALSE),1),"")</f>
        <v/>
      </c>
      <c r="AI99" s="17" t="str">
        <f>IFERROR(INDEX(逆引き作成用!$C$2:$C$169,MATCH($B99&amp;"/"&amp;$C99,逆引き作成用!AI$2:AI$169,FALSE),1),"")</f>
        <v/>
      </c>
      <c r="AJ99" s="17" t="str">
        <f>IFERROR(INDEX(逆引き作成用!$C$2:$C$169,MATCH($B99&amp;"/"&amp;$C99,逆引き作成用!AJ$2:AJ$169,FALSE),1),"")</f>
        <v/>
      </c>
      <c r="AK99" s="17" t="str">
        <f>IFERROR(INDEX(逆引き作成用!$C$2:$C$169,MATCH($B99&amp;"/"&amp;$C99,逆引き作成用!AK$2:AK$169,FALSE),1),"")</f>
        <v/>
      </c>
      <c r="AL99" s="17" t="str">
        <f>IFERROR(INDEX(逆引き作成用!$C$2:$C$169,MATCH($B99&amp;"/"&amp;$C99,逆引き作成用!AL$2:AL$169,FALSE),1),"")</f>
        <v/>
      </c>
      <c r="AM99" s="17" t="str">
        <f>IFERROR(INDEX(逆引き作成用!$C$2:$C$169,MATCH($B99&amp;"/"&amp;$C99,逆引き作成用!AM$2:AM$169,FALSE),1),"")</f>
        <v/>
      </c>
      <c r="AN99" s="17" t="str">
        <f>IFERROR(INDEX(逆引き作成用!$C$2:$C$169,MATCH($B99&amp;"/"&amp;$C99,逆引き作成用!AN$2:AN$169,FALSE),1),"")</f>
        <v/>
      </c>
      <c r="AO99" s="17" t="str">
        <f>IFERROR(INDEX(逆引き作成用!$C$2:$C$169,MATCH($B99&amp;"/"&amp;$C99,逆引き作成用!AO$2:AO$169,FALSE),1),"")</f>
        <v/>
      </c>
      <c r="AP99" s="17" t="str">
        <f>IFERROR(INDEX(逆引き作成用!$C$2:$C$169,MATCH($B99&amp;"/"&amp;$C99,逆引き作成用!AP$2:AP$169,FALSE),1),"")</f>
        <v/>
      </c>
      <c r="AQ99" s="17" t="str">
        <f>IFERROR(INDEX(逆引き作成用!$C$2:$C$169,MATCH($B99&amp;"/"&amp;$C99,逆引き作成用!AQ$2:AQ$169,FALSE),1),"")</f>
        <v/>
      </c>
      <c r="AR99" s="17" t="str">
        <f>IFERROR(INDEX(逆引き作成用!$C$2:$C$169,MATCH($B99&amp;"/"&amp;$C99,逆引き作成用!AR$2:AR$169,FALSE),1),"")</f>
        <v/>
      </c>
      <c r="AS99" s="17" t="str">
        <f>IFERROR(INDEX(逆引き作成用!$C$2:$C$169,MATCH($B99&amp;"/"&amp;$C99,逆引き作成用!AS$2:AS$169,FALSE),1),"")</f>
        <v/>
      </c>
      <c r="AT99" s="17" t="str">
        <f>IFERROR(INDEX(逆引き作成用!$C$2:$C$169,MATCH($B99&amp;"/"&amp;$C99,逆引き作成用!AT$2:AT$169,FALSE),1),"")</f>
        <v/>
      </c>
      <c r="AU99" s="17" t="str">
        <f>IFERROR(INDEX(逆引き作成用!$C$2:$C$169,MATCH($B99&amp;"/"&amp;$C99,逆引き作成用!AU$2:AU$169,FALSE),1),"")</f>
        <v/>
      </c>
      <c r="AV99" s="17" t="str">
        <f>IFERROR(INDEX(逆引き作成用!$C$2:$C$169,MATCH($B99&amp;"/"&amp;$C99,逆引き作成用!AV$2:AV$169,FALSE),1),"")</f>
        <v/>
      </c>
      <c r="AW99" s="17" t="str">
        <f>IFERROR(INDEX(逆引き作成用!$C$2:$C$169,MATCH($B99&amp;"/"&amp;$C99,逆引き作成用!AW$2:AW$169,FALSE),1),"")</f>
        <v/>
      </c>
      <c r="AX99" s="17" t="str">
        <f>IFERROR(INDEX(逆引き作成用!$C$2:$C$169,MATCH($B99&amp;"/"&amp;$C99,逆引き作成用!AX$2:AX$169,FALSE),1),"")</f>
        <v/>
      </c>
      <c r="AY99" s="17" t="str">
        <f>IFERROR(INDEX(逆引き作成用!$C$2:$C$169,MATCH($B99&amp;"/"&amp;$C99,逆引き作成用!AY$2:AY$169,FALSE),1),"")</f>
        <v/>
      </c>
      <c r="AZ99" s="17" t="str">
        <f>IFERROR(INDEX(逆引き作成用!$C$2:$C$169,MATCH($B99&amp;"/"&amp;$C99,逆引き作成用!AZ$2:AZ$169,FALSE),1),"")</f>
        <v/>
      </c>
      <c r="BA99" s="17" t="str">
        <f>IFERROR(INDEX(逆引き作成用!$C$2:$C$169,MATCH($B99&amp;"/"&amp;$C99,逆引き作成用!BA$2:BA$169,FALSE),1),"")</f>
        <v/>
      </c>
    </row>
    <row r="100" spans="1:53">
      <c r="A100" s="17" t="str">
        <f>IFERROR(INDEX(役職一覧!$B$2:$B$31,MATCH(B100,役職一覧!$C$2:$C$31,FALSE),1),"")</f>
        <v/>
      </c>
      <c r="B100" s="17" t="str">
        <f>IFERROR(IF(C100=1,INDEX(役職一覧!$C$2:$C$31,MATCH(逆引き!B99,役職一覧!$C$2:$C$31,FALSE)+1,1)&amp;"",B99),"")</f>
        <v/>
      </c>
      <c r="C100" s="17" t="str">
        <f>IFERROR(IF(VLOOKUP(B99,役職一覧!$C$2:$E$31,3,FALSE)=C99,1,C99+1),"")</f>
        <v/>
      </c>
      <c r="D100" s="17" t="str">
        <f>IFERROR(INDEX(逆引き作成用!$C$2:$C$169,MATCH($B100&amp;"/"&amp;$C100,逆引き作成用!D$2:D$169,FALSE),1),"")</f>
        <v/>
      </c>
      <c r="E100" s="17" t="str">
        <f>IFERROR(INDEX(逆引き作成用!$C$2:$C$169,MATCH($B100&amp;"/"&amp;$C100,逆引き作成用!E$2:E$169,FALSE),1),"")</f>
        <v/>
      </c>
      <c r="F100" s="17" t="str">
        <f>IFERROR(INDEX(逆引き作成用!$C$2:$C$169,MATCH($B100&amp;"/"&amp;$C100,逆引き作成用!F$2:F$169,FALSE),1),"")</f>
        <v/>
      </c>
      <c r="G100" s="17" t="str">
        <f>IFERROR(INDEX(逆引き作成用!$C$2:$C$169,MATCH($B100&amp;"/"&amp;$C100,逆引き作成用!G$2:G$169,FALSE),1),"")</f>
        <v/>
      </c>
      <c r="H100" s="17" t="str">
        <f>IFERROR(INDEX(逆引き作成用!$C$2:$C$169,MATCH($B100&amp;"/"&amp;$C100,逆引き作成用!H$2:H$169,FALSE),1),"")</f>
        <v/>
      </c>
      <c r="I100" s="17" t="str">
        <f>IFERROR(INDEX(逆引き作成用!$C$2:$C$169,MATCH($B100&amp;"/"&amp;$C100,逆引き作成用!I$2:I$169,FALSE),1),"")</f>
        <v/>
      </c>
      <c r="J100" s="17" t="str">
        <f>IFERROR(INDEX(逆引き作成用!$C$2:$C$169,MATCH($B100&amp;"/"&amp;$C100,逆引き作成用!J$2:J$169,FALSE),1),"")</f>
        <v/>
      </c>
      <c r="K100" s="17" t="str">
        <f>IFERROR(INDEX(逆引き作成用!$C$2:$C$169,MATCH($B100&amp;"/"&amp;$C100,逆引き作成用!K$2:K$169,FALSE),1),"")</f>
        <v/>
      </c>
      <c r="L100" s="17" t="str">
        <f>IFERROR(INDEX(逆引き作成用!$C$2:$C$169,MATCH($B100&amp;"/"&amp;$C100,逆引き作成用!L$2:L$169,FALSE),1),"")</f>
        <v/>
      </c>
      <c r="M100" s="17" t="str">
        <f>IFERROR(INDEX(逆引き作成用!$C$2:$C$169,MATCH($B100&amp;"/"&amp;$C100,逆引き作成用!M$2:M$169,FALSE),1),"")</f>
        <v/>
      </c>
      <c r="N100" s="17" t="str">
        <f>IFERROR(INDEX(逆引き作成用!$C$2:$C$169,MATCH($B100&amp;"/"&amp;$C100,逆引き作成用!N$2:N$169,FALSE),1),"")</f>
        <v/>
      </c>
      <c r="O100" s="17" t="str">
        <f>IFERROR(INDEX(逆引き作成用!$C$2:$C$169,MATCH($B100&amp;"/"&amp;$C100,逆引き作成用!O$2:O$169,FALSE),1),"")</f>
        <v/>
      </c>
      <c r="P100" s="17" t="str">
        <f>IFERROR(INDEX(逆引き作成用!$C$2:$C$169,MATCH($B100&amp;"/"&amp;$C100,逆引き作成用!P$2:P$169,FALSE),1),"")</f>
        <v/>
      </c>
      <c r="Q100" s="17" t="str">
        <f>IFERROR(INDEX(逆引き作成用!$C$2:$C$169,MATCH($B100&amp;"/"&amp;$C100,逆引き作成用!Q$2:Q$169,FALSE),1),"")</f>
        <v/>
      </c>
      <c r="R100" s="17" t="str">
        <f>IFERROR(INDEX(逆引き作成用!$C$2:$C$169,MATCH($B100&amp;"/"&amp;$C100,逆引き作成用!R$2:R$169,FALSE),1),"")</f>
        <v/>
      </c>
      <c r="S100" s="17" t="str">
        <f>IFERROR(INDEX(逆引き作成用!$C$2:$C$169,MATCH($B100&amp;"/"&amp;$C100,逆引き作成用!S$2:S$169,FALSE),1),"")</f>
        <v/>
      </c>
      <c r="T100" s="17" t="str">
        <f>IFERROR(INDEX(逆引き作成用!$C$2:$C$169,MATCH($B100&amp;"/"&amp;$C100,逆引き作成用!T$2:T$169,FALSE),1),"")</f>
        <v/>
      </c>
      <c r="U100" s="17" t="str">
        <f>IFERROR(INDEX(逆引き作成用!$C$2:$C$169,MATCH($B100&amp;"/"&amp;$C100,逆引き作成用!U$2:U$169,FALSE),1),"")</f>
        <v/>
      </c>
      <c r="V100" s="17" t="str">
        <f>IFERROR(INDEX(逆引き作成用!$C$2:$C$169,MATCH($B100&amp;"/"&amp;$C100,逆引き作成用!V$2:V$169,FALSE),1),"")</f>
        <v/>
      </c>
      <c r="W100" s="17" t="str">
        <f>IFERROR(INDEX(逆引き作成用!$C$2:$C$169,MATCH($B100&amp;"/"&amp;$C100,逆引き作成用!W$2:W$169,FALSE),1),"")</f>
        <v/>
      </c>
      <c r="X100" s="17" t="str">
        <f>IFERROR(INDEX(逆引き作成用!$C$2:$C$169,MATCH($B100&amp;"/"&amp;$C100,逆引き作成用!X$2:X$169,FALSE),1),"")</f>
        <v/>
      </c>
      <c r="Y100" s="17" t="str">
        <f>IFERROR(INDEX(逆引き作成用!$C$2:$C$169,MATCH($B100&amp;"/"&amp;$C100,逆引き作成用!Y$2:Y$169,FALSE),1),"")</f>
        <v/>
      </c>
      <c r="Z100" s="17" t="str">
        <f>IFERROR(INDEX(逆引き作成用!$C$2:$C$169,MATCH($B100&amp;"/"&amp;$C100,逆引き作成用!Z$2:Z$169,FALSE),1),"")</f>
        <v/>
      </c>
      <c r="AA100" s="17" t="str">
        <f>IFERROR(INDEX(逆引き作成用!$C$2:$C$169,MATCH($B100&amp;"/"&amp;$C100,逆引き作成用!AA$2:AA$169,FALSE),1),"")</f>
        <v/>
      </c>
      <c r="AB100" s="17" t="str">
        <f>IFERROR(INDEX(逆引き作成用!$C$2:$C$169,MATCH($B100&amp;"/"&amp;$C100,逆引き作成用!AB$2:AB$169,FALSE),1),"")</f>
        <v/>
      </c>
      <c r="AC100" s="17" t="str">
        <f>IFERROR(INDEX(逆引き作成用!$C$2:$C$169,MATCH($B100&amp;"/"&amp;$C100,逆引き作成用!AC$2:AC$169,FALSE),1),"")</f>
        <v/>
      </c>
      <c r="AD100" s="17" t="str">
        <f>IFERROR(INDEX(逆引き作成用!$C$2:$C$169,MATCH($B100&amp;"/"&amp;$C100,逆引き作成用!AD$2:AD$169,FALSE),1),"")</f>
        <v/>
      </c>
      <c r="AE100" s="17" t="str">
        <f>IFERROR(INDEX(逆引き作成用!$C$2:$C$169,MATCH($B100&amp;"/"&amp;$C100,逆引き作成用!AE$2:AE$169,FALSE),1),"")</f>
        <v/>
      </c>
      <c r="AF100" s="17" t="str">
        <f>IFERROR(INDEX(逆引き作成用!$C$2:$C$169,MATCH($B100&amp;"/"&amp;$C100,逆引き作成用!AF$2:AF$169,FALSE),1),"")</f>
        <v/>
      </c>
      <c r="AG100" s="17" t="str">
        <f>IFERROR(INDEX(逆引き作成用!$C$2:$C$169,MATCH($B100&amp;"/"&amp;$C100,逆引き作成用!AG$2:AG$169,FALSE),1),"")</f>
        <v/>
      </c>
      <c r="AH100" s="17" t="str">
        <f>IFERROR(INDEX(逆引き作成用!$C$2:$C$169,MATCH($B100&amp;"/"&amp;$C100,逆引き作成用!AH$2:AH$169,FALSE),1),"")</f>
        <v/>
      </c>
      <c r="AI100" s="17" t="str">
        <f>IFERROR(INDEX(逆引き作成用!$C$2:$C$169,MATCH($B100&amp;"/"&amp;$C100,逆引き作成用!AI$2:AI$169,FALSE),1),"")</f>
        <v/>
      </c>
      <c r="AJ100" s="17" t="str">
        <f>IFERROR(INDEX(逆引き作成用!$C$2:$C$169,MATCH($B100&amp;"/"&amp;$C100,逆引き作成用!AJ$2:AJ$169,FALSE),1),"")</f>
        <v/>
      </c>
      <c r="AK100" s="17" t="str">
        <f>IFERROR(INDEX(逆引き作成用!$C$2:$C$169,MATCH($B100&amp;"/"&amp;$C100,逆引き作成用!AK$2:AK$169,FALSE),1),"")</f>
        <v/>
      </c>
      <c r="AL100" s="17" t="str">
        <f>IFERROR(INDEX(逆引き作成用!$C$2:$C$169,MATCH($B100&amp;"/"&amp;$C100,逆引き作成用!AL$2:AL$169,FALSE),1),"")</f>
        <v/>
      </c>
      <c r="AM100" s="17" t="str">
        <f>IFERROR(INDEX(逆引き作成用!$C$2:$C$169,MATCH($B100&amp;"/"&amp;$C100,逆引き作成用!AM$2:AM$169,FALSE),1),"")</f>
        <v/>
      </c>
      <c r="AN100" s="17" t="str">
        <f>IFERROR(INDEX(逆引き作成用!$C$2:$C$169,MATCH($B100&amp;"/"&amp;$C100,逆引き作成用!AN$2:AN$169,FALSE),1),"")</f>
        <v/>
      </c>
      <c r="AO100" s="17" t="str">
        <f>IFERROR(INDEX(逆引き作成用!$C$2:$C$169,MATCH($B100&amp;"/"&amp;$C100,逆引き作成用!AO$2:AO$169,FALSE),1),"")</f>
        <v/>
      </c>
      <c r="AP100" s="17" t="str">
        <f>IFERROR(INDEX(逆引き作成用!$C$2:$C$169,MATCH($B100&amp;"/"&amp;$C100,逆引き作成用!AP$2:AP$169,FALSE),1),"")</f>
        <v/>
      </c>
      <c r="AQ100" s="17" t="str">
        <f>IFERROR(INDEX(逆引き作成用!$C$2:$C$169,MATCH($B100&amp;"/"&amp;$C100,逆引き作成用!AQ$2:AQ$169,FALSE),1),"")</f>
        <v/>
      </c>
      <c r="AR100" s="17" t="str">
        <f>IFERROR(INDEX(逆引き作成用!$C$2:$C$169,MATCH($B100&amp;"/"&amp;$C100,逆引き作成用!AR$2:AR$169,FALSE),1),"")</f>
        <v/>
      </c>
      <c r="AS100" s="17" t="str">
        <f>IFERROR(INDEX(逆引き作成用!$C$2:$C$169,MATCH($B100&amp;"/"&amp;$C100,逆引き作成用!AS$2:AS$169,FALSE),1),"")</f>
        <v/>
      </c>
      <c r="AT100" s="17" t="str">
        <f>IFERROR(INDEX(逆引き作成用!$C$2:$C$169,MATCH($B100&amp;"/"&amp;$C100,逆引き作成用!AT$2:AT$169,FALSE),1),"")</f>
        <v/>
      </c>
      <c r="AU100" s="17" t="str">
        <f>IFERROR(INDEX(逆引き作成用!$C$2:$C$169,MATCH($B100&amp;"/"&amp;$C100,逆引き作成用!AU$2:AU$169,FALSE),1),"")</f>
        <v/>
      </c>
      <c r="AV100" s="17" t="str">
        <f>IFERROR(INDEX(逆引き作成用!$C$2:$C$169,MATCH($B100&amp;"/"&amp;$C100,逆引き作成用!AV$2:AV$169,FALSE),1),"")</f>
        <v/>
      </c>
      <c r="AW100" s="17" t="str">
        <f>IFERROR(INDEX(逆引き作成用!$C$2:$C$169,MATCH($B100&amp;"/"&amp;$C100,逆引き作成用!AW$2:AW$169,FALSE),1),"")</f>
        <v/>
      </c>
      <c r="AX100" s="17" t="str">
        <f>IFERROR(INDEX(逆引き作成用!$C$2:$C$169,MATCH($B100&amp;"/"&amp;$C100,逆引き作成用!AX$2:AX$169,FALSE),1),"")</f>
        <v/>
      </c>
      <c r="AY100" s="17" t="str">
        <f>IFERROR(INDEX(逆引き作成用!$C$2:$C$169,MATCH($B100&amp;"/"&amp;$C100,逆引き作成用!AY$2:AY$169,FALSE),1),"")</f>
        <v/>
      </c>
      <c r="AZ100" s="17" t="str">
        <f>IFERROR(INDEX(逆引き作成用!$C$2:$C$169,MATCH($B100&amp;"/"&amp;$C100,逆引き作成用!AZ$2:AZ$169,FALSE),1),"")</f>
        <v/>
      </c>
      <c r="BA100" s="17" t="str">
        <f>IFERROR(INDEX(逆引き作成用!$C$2:$C$169,MATCH($B100&amp;"/"&amp;$C100,逆引き作成用!BA$2:BA$169,FALSE),1),"")</f>
        <v/>
      </c>
    </row>
    <row r="101" spans="1:53">
      <c r="A101" s="17" t="str">
        <f>IFERROR(INDEX(役職一覧!$B$2:$B$31,MATCH(B101,役職一覧!$C$2:$C$31,FALSE),1),"")</f>
        <v/>
      </c>
      <c r="B101" s="17" t="str">
        <f>IFERROR(IF(C101=1,INDEX(役職一覧!$C$2:$C$31,MATCH(逆引き!B100,役職一覧!$C$2:$C$31,FALSE)+1,1)&amp;"",B100),"")</f>
        <v/>
      </c>
      <c r="C101" s="17" t="str">
        <f>IFERROR(IF(VLOOKUP(B100,役職一覧!$C$2:$E$31,3,FALSE)=C100,1,C100+1),"")</f>
        <v/>
      </c>
      <c r="D101" s="17" t="str">
        <f>IFERROR(INDEX(逆引き作成用!$C$2:$C$169,MATCH($B101&amp;"/"&amp;$C101,逆引き作成用!D$2:D$169,FALSE),1),"")</f>
        <v/>
      </c>
      <c r="E101" s="17" t="str">
        <f>IFERROR(INDEX(逆引き作成用!$C$2:$C$169,MATCH($B101&amp;"/"&amp;$C101,逆引き作成用!E$2:E$169,FALSE),1),"")</f>
        <v/>
      </c>
      <c r="F101" s="17" t="str">
        <f>IFERROR(INDEX(逆引き作成用!$C$2:$C$169,MATCH($B101&amp;"/"&amp;$C101,逆引き作成用!F$2:F$169,FALSE),1),"")</f>
        <v/>
      </c>
      <c r="G101" s="17" t="str">
        <f>IFERROR(INDEX(逆引き作成用!$C$2:$C$169,MATCH($B101&amp;"/"&amp;$C101,逆引き作成用!G$2:G$169,FALSE),1),"")</f>
        <v/>
      </c>
      <c r="H101" s="17" t="str">
        <f>IFERROR(INDEX(逆引き作成用!$C$2:$C$169,MATCH($B101&amp;"/"&amp;$C101,逆引き作成用!H$2:H$169,FALSE),1),"")</f>
        <v/>
      </c>
      <c r="I101" s="17" t="str">
        <f>IFERROR(INDEX(逆引き作成用!$C$2:$C$169,MATCH($B101&amp;"/"&amp;$C101,逆引き作成用!I$2:I$169,FALSE),1),"")</f>
        <v/>
      </c>
      <c r="J101" s="17" t="str">
        <f>IFERROR(INDEX(逆引き作成用!$C$2:$C$169,MATCH($B101&amp;"/"&amp;$C101,逆引き作成用!J$2:J$169,FALSE),1),"")</f>
        <v/>
      </c>
      <c r="K101" s="17" t="str">
        <f>IFERROR(INDEX(逆引き作成用!$C$2:$C$169,MATCH($B101&amp;"/"&amp;$C101,逆引き作成用!K$2:K$169,FALSE),1),"")</f>
        <v/>
      </c>
      <c r="L101" s="17" t="str">
        <f>IFERROR(INDEX(逆引き作成用!$C$2:$C$169,MATCH($B101&amp;"/"&amp;$C101,逆引き作成用!L$2:L$169,FALSE),1),"")</f>
        <v/>
      </c>
      <c r="M101" s="17" t="str">
        <f>IFERROR(INDEX(逆引き作成用!$C$2:$C$169,MATCH($B101&amp;"/"&amp;$C101,逆引き作成用!M$2:M$169,FALSE),1),"")</f>
        <v/>
      </c>
      <c r="N101" s="17" t="str">
        <f>IFERROR(INDEX(逆引き作成用!$C$2:$C$169,MATCH($B101&amp;"/"&amp;$C101,逆引き作成用!N$2:N$169,FALSE),1),"")</f>
        <v/>
      </c>
      <c r="O101" s="17" t="str">
        <f>IFERROR(INDEX(逆引き作成用!$C$2:$C$169,MATCH($B101&amp;"/"&amp;$C101,逆引き作成用!O$2:O$169,FALSE),1),"")</f>
        <v/>
      </c>
      <c r="P101" s="17" t="str">
        <f>IFERROR(INDEX(逆引き作成用!$C$2:$C$169,MATCH($B101&amp;"/"&amp;$C101,逆引き作成用!P$2:P$169,FALSE),1),"")</f>
        <v/>
      </c>
      <c r="Q101" s="17" t="str">
        <f>IFERROR(INDEX(逆引き作成用!$C$2:$C$169,MATCH($B101&amp;"/"&amp;$C101,逆引き作成用!Q$2:Q$169,FALSE),1),"")</f>
        <v/>
      </c>
      <c r="R101" s="17" t="str">
        <f>IFERROR(INDEX(逆引き作成用!$C$2:$C$169,MATCH($B101&amp;"/"&amp;$C101,逆引き作成用!R$2:R$169,FALSE),1),"")</f>
        <v/>
      </c>
      <c r="S101" s="17" t="str">
        <f>IFERROR(INDEX(逆引き作成用!$C$2:$C$169,MATCH($B101&amp;"/"&amp;$C101,逆引き作成用!S$2:S$169,FALSE),1),"")</f>
        <v/>
      </c>
      <c r="T101" s="17" t="str">
        <f>IFERROR(INDEX(逆引き作成用!$C$2:$C$169,MATCH($B101&amp;"/"&amp;$C101,逆引き作成用!T$2:T$169,FALSE),1),"")</f>
        <v/>
      </c>
      <c r="U101" s="17" t="str">
        <f>IFERROR(INDEX(逆引き作成用!$C$2:$C$169,MATCH($B101&amp;"/"&amp;$C101,逆引き作成用!U$2:U$169,FALSE),1),"")</f>
        <v/>
      </c>
      <c r="V101" s="17" t="str">
        <f>IFERROR(INDEX(逆引き作成用!$C$2:$C$169,MATCH($B101&amp;"/"&amp;$C101,逆引き作成用!V$2:V$169,FALSE),1),"")</f>
        <v/>
      </c>
      <c r="W101" s="17" t="str">
        <f>IFERROR(INDEX(逆引き作成用!$C$2:$C$169,MATCH($B101&amp;"/"&amp;$C101,逆引き作成用!W$2:W$169,FALSE),1),"")</f>
        <v/>
      </c>
      <c r="X101" s="17" t="str">
        <f>IFERROR(INDEX(逆引き作成用!$C$2:$C$169,MATCH($B101&amp;"/"&amp;$C101,逆引き作成用!X$2:X$169,FALSE),1),"")</f>
        <v/>
      </c>
      <c r="Y101" s="17" t="str">
        <f>IFERROR(INDEX(逆引き作成用!$C$2:$C$169,MATCH($B101&amp;"/"&amp;$C101,逆引き作成用!Y$2:Y$169,FALSE),1),"")</f>
        <v/>
      </c>
      <c r="Z101" s="17" t="str">
        <f>IFERROR(INDEX(逆引き作成用!$C$2:$C$169,MATCH($B101&amp;"/"&amp;$C101,逆引き作成用!Z$2:Z$169,FALSE),1),"")</f>
        <v/>
      </c>
      <c r="AA101" s="17" t="str">
        <f>IFERROR(INDEX(逆引き作成用!$C$2:$C$169,MATCH($B101&amp;"/"&amp;$C101,逆引き作成用!AA$2:AA$169,FALSE),1),"")</f>
        <v/>
      </c>
      <c r="AB101" s="17" t="str">
        <f>IFERROR(INDEX(逆引き作成用!$C$2:$C$169,MATCH($B101&amp;"/"&amp;$C101,逆引き作成用!AB$2:AB$169,FALSE),1),"")</f>
        <v/>
      </c>
      <c r="AC101" s="17" t="str">
        <f>IFERROR(INDEX(逆引き作成用!$C$2:$C$169,MATCH($B101&amp;"/"&amp;$C101,逆引き作成用!AC$2:AC$169,FALSE),1),"")</f>
        <v/>
      </c>
      <c r="AD101" s="17" t="str">
        <f>IFERROR(INDEX(逆引き作成用!$C$2:$C$169,MATCH($B101&amp;"/"&amp;$C101,逆引き作成用!AD$2:AD$169,FALSE),1),"")</f>
        <v/>
      </c>
      <c r="AE101" s="17" t="str">
        <f>IFERROR(INDEX(逆引き作成用!$C$2:$C$169,MATCH($B101&amp;"/"&amp;$C101,逆引き作成用!AE$2:AE$169,FALSE),1),"")</f>
        <v/>
      </c>
      <c r="AF101" s="17" t="str">
        <f>IFERROR(INDEX(逆引き作成用!$C$2:$C$169,MATCH($B101&amp;"/"&amp;$C101,逆引き作成用!AF$2:AF$169,FALSE),1),"")</f>
        <v/>
      </c>
      <c r="AG101" s="17" t="str">
        <f>IFERROR(INDEX(逆引き作成用!$C$2:$C$169,MATCH($B101&amp;"/"&amp;$C101,逆引き作成用!AG$2:AG$169,FALSE),1),"")</f>
        <v/>
      </c>
      <c r="AH101" s="17" t="str">
        <f>IFERROR(INDEX(逆引き作成用!$C$2:$C$169,MATCH($B101&amp;"/"&amp;$C101,逆引き作成用!AH$2:AH$169,FALSE),1),"")</f>
        <v/>
      </c>
      <c r="AI101" s="17" t="str">
        <f>IFERROR(INDEX(逆引き作成用!$C$2:$C$169,MATCH($B101&amp;"/"&amp;$C101,逆引き作成用!AI$2:AI$169,FALSE),1),"")</f>
        <v/>
      </c>
      <c r="AJ101" s="17" t="str">
        <f>IFERROR(INDEX(逆引き作成用!$C$2:$C$169,MATCH($B101&amp;"/"&amp;$C101,逆引き作成用!AJ$2:AJ$169,FALSE),1),"")</f>
        <v/>
      </c>
      <c r="AK101" s="17" t="str">
        <f>IFERROR(INDEX(逆引き作成用!$C$2:$C$169,MATCH($B101&amp;"/"&amp;$C101,逆引き作成用!AK$2:AK$169,FALSE),1),"")</f>
        <v/>
      </c>
      <c r="AL101" s="17" t="str">
        <f>IFERROR(INDEX(逆引き作成用!$C$2:$C$169,MATCH($B101&amp;"/"&amp;$C101,逆引き作成用!AL$2:AL$169,FALSE),1),"")</f>
        <v/>
      </c>
      <c r="AM101" s="17" t="str">
        <f>IFERROR(INDEX(逆引き作成用!$C$2:$C$169,MATCH($B101&amp;"/"&amp;$C101,逆引き作成用!AM$2:AM$169,FALSE),1),"")</f>
        <v/>
      </c>
      <c r="AN101" s="17" t="str">
        <f>IFERROR(INDEX(逆引き作成用!$C$2:$C$169,MATCH($B101&amp;"/"&amp;$C101,逆引き作成用!AN$2:AN$169,FALSE),1),"")</f>
        <v/>
      </c>
      <c r="AO101" s="17" t="str">
        <f>IFERROR(INDEX(逆引き作成用!$C$2:$C$169,MATCH($B101&amp;"/"&amp;$C101,逆引き作成用!AO$2:AO$169,FALSE),1),"")</f>
        <v/>
      </c>
      <c r="AP101" s="17" t="str">
        <f>IFERROR(INDEX(逆引き作成用!$C$2:$C$169,MATCH($B101&amp;"/"&amp;$C101,逆引き作成用!AP$2:AP$169,FALSE),1),"")</f>
        <v/>
      </c>
      <c r="AQ101" s="17" t="str">
        <f>IFERROR(INDEX(逆引き作成用!$C$2:$C$169,MATCH($B101&amp;"/"&amp;$C101,逆引き作成用!AQ$2:AQ$169,FALSE),1),"")</f>
        <v/>
      </c>
      <c r="AR101" s="17" t="str">
        <f>IFERROR(INDEX(逆引き作成用!$C$2:$C$169,MATCH($B101&amp;"/"&amp;$C101,逆引き作成用!AR$2:AR$169,FALSE),1),"")</f>
        <v/>
      </c>
      <c r="AS101" s="17" t="str">
        <f>IFERROR(INDEX(逆引き作成用!$C$2:$C$169,MATCH($B101&amp;"/"&amp;$C101,逆引き作成用!AS$2:AS$169,FALSE),1),"")</f>
        <v/>
      </c>
      <c r="AT101" s="17" t="str">
        <f>IFERROR(INDEX(逆引き作成用!$C$2:$C$169,MATCH($B101&amp;"/"&amp;$C101,逆引き作成用!AT$2:AT$169,FALSE),1),"")</f>
        <v/>
      </c>
      <c r="AU101" s="17" t="str">
        <f>IFERROR(INDEX(逆引き作成用!$C$2:$C$169,MATCH($B101&amp;"/"&amp;$C101,逆引き作成用!AU$2:AU$169,FALSE),1),"")</f>
        <v/>
      </c>
      <c r="AV101" s="17" t="str">
        <f>IFERROR(INDEX(逆引き作成用!$C$2:$C$169,MATCH($B101&amp;"/"&amp;$C101,逆引き作成用!AV$2:AV$169,FALSE),1),"")</f>
        <v/>
      </c>
      <c r="AW101" s="17" t="str">
        <f>IFERROR(INDEX(逆引き作成用!$C$2:$C$169,MATCH($B101&amp;"/"&amp;$C101,逆引き作成用!AW$2:AW$169,FALSE),1),"")</f>
        <v/>
      </c>
      <c r="AX101" s="17" t="str">
        <f>IFERROR(INDEX(逆引き作成用!$C$2:$C$169,MATCH($B101&amp;"/"&amp;$C101,逆引き作成用!AX$2:AX$169,FALSE),1),"")</f>
        <v/>
      </c>
      <c r="AY101" s="17" t="str">
        <f>IFERROR(INDEX(逆引き作成用!$C$2:$C$169,MATCH($B101&amp;"/"&amp;$C101,逆引き作成用!AY$2:AY$169,FALSE),1),"")</f>
        <v/>
      </c>
      <c r="AZ101" s="17" t="str">
        <f>IFERROR(INDEX(逆引き作成用!$C$2:$C$169,MATCH($B101&amp;"/"&amp;$C101,逆引き作成用!AZ$2:AZ$169,FALSE),1),"")</f>
        <v/>
      </c>
      <c r="BA101" s="17" t="str">
        <f>IFERROR(INDEX(逆引き作成用!$C$2:$C$169,MATCH($B101&amp;"/"&amp;$C101,逆引き作成用!BA$2:BA$169,FALSE),1),"")</f>
        <v/>
      </c>
    </row>
    <row r="102" spans="1:53">
      <c r="A102" s="17" t="str">
        <f>IFERROR(INDEX(役職一覧!$B$2:$B$31,MATCH(B102,役職一覧!$C$2:$C$31,FALSE),1),"")</f>
        <v/>
      </c>
      <c r="B102" s="17" t="str">
        <f>IFERROR(IF(C102=1,INDEX(役職一覧!$C$2:$C$31,MATCH(逆引き!B101,役職一覧!$C$2:$C$31,FALSE)+1,1)&amp;"",B101),"")</f>
        <v/>
      </c>
      <c r="C102" s="17" t="str">
        <f>IFERROR(IF(VLOOKUP(B101,役職一覧!$C$2:$E$31,3,FALSE)=C101,1,C101+1),"")</f>
        <v/>
      </c>
      <c r="D102" s="17" t="str">
        <f>IFERROR(INDEX(逆引き作成用!$C$2:$C$169,MATCH($B102&amp;"/"&amp;$C102,逆引き作成用!D$2:D$169,FALSE),1),"")</f>
        <v/>
      </c>
      <c r="E102" s="17" t="str">
        <f>IFERROR(INDEX(逆引き作成用!$C$2:$C$169,MATCH($B102&amp;"/"&amp;$C102,逆引き作成用!E$2:E$169,FALSE),1),"")</f>
        <v/>
      </c>
      <c r="F102" s="17" t="str">
        <f>IFERROR(INDEX(逆引き作成用!$C$2:$C$169,MATCH($B102&amp;"/"&amp;$C102,逆引き作成用!F$2:F$169,FALSE),1),"")</f>
        <v/>
      </c>
      <c r="G102" s="17" t="str">
        <f>IFERROR(INDEX(逆引き作成用!$C$2:$C$169,MATCH($B102&amp;"/"&amp;$C102,逆引き作成用!G$2:G$169,FALSE),1),"")</f>
        <v/>
      </c>
      <c r="H102" s="17" t="str">
        <f>IFERROR(INDEX(逆引き作成用!$C$2:$C$169,MATCH($B102&amp;"/"&amp;$C102,逆引き作成用!H$2:H$169,FALSE),1),"")</f>
        <v/>
      </c>
      <c r="I102" s="17" t="str">
        <f>IFERROR(INDEX(逆引き作成用!$C$2:$C$169,MATCH($B102&amp;"/"&amp;$C102,逆引き作成用!I$2:I$169,FALSE),1),"")</f>
        <v/>
      </c>
      <c r="J102" s="17" t="str">
        <f>IFERROR(INDEX(逆引き作成用!$C$2:$C$169,MATCH($B102&amp;"/"&amp;$C102,逆引き作成用!J$2:J$169,FALSE),1),"")</f>
        <v/>
      </c>
      <c r="K102" s="17" t="str">
        <f>IFERROR(INDEX(逆引き作成用!$C$2:$C$169,MATCH($B102&amp;"/"&amp;$C102,逆引き作成用!K$2:K$169,FALSE),1),"")</f>
        <v/>
      </c>
      <c r="L102" s="17" t="str">
        <f>IFERROR(INDEX(逆引き作成用!$C$2:$C$169,MATCH($B102&amp;"/"&amp;$C102,逆引き作成用!L$2:L$169,FALSE),1),"")</f>
        <v/>
      </c>
      <c r="M102" s="17" t="str">
        <f>IFERROR(INDEX(逆引き作成用!$C$2:$C$169,MATCH($B102&amp;"/"&amp;$C102,逆引き作成用!M$2:M$169,FALSE),1),"")</f>
        <v/>
      </c>
      <c r="N102" s="17" t="str">
        <f>IFERROR(INDEX(逆引き作成用!$C$2:$C$169,MATCH($B102&amp;"/"&amp;$C102,逆引き作成用!N$2:N$169,FALSE),1),"")</f>
        <v/>
      </c>
      <c r="O102" s="17" t="str">
        <f>IFERROR(INDEX(逆引き作成用!$C$2:$C$169,MATCH($B102&amp;"/"&amp;$C102,逆引き作成用!O$2:O$169,FALSE),1),"")</f>
        <v/>
      </c>
      <c r="P102" s="17" t="str">
        <f>IFERROR(INDEX(逆引き作成用!$C$2:$C$169,MATCH($B102&amp;"/"&amp;$C102,逆引き作成用!P$2:P$169,FALSE),1),"")</f>
        <v/>
      </c>
      <c r="Q102" s="17" t="str">
        <f>IFERROR(INDEX(逆引き作成用!$C$2:$C$169,MATCH($B102&amp;"/"&amp;$C102,逆引き作成用!Q$2:Q$169,FALSE),1),"")</f>
        <v/>
      </c>
      <c r="R102" s="17" t="str">
        <f>IFERROR(INDEX(逆引き作成用!$C$2:$C$169,MATCH($B102&amp;"/"&amp;$C102,逆引き作成用!R$2:R$169,FALSE),1),"")</f>
        <v/>
      </c>
      <c r="S102" s="17" t="str">
        <f>IFERROR(INDEX(逆引き作成用!$C$2:$C$169,MATCH($B102&amp;"/"&amp;$C102,逆引き作成用!S$2:S$169,FALSE),1),"")</f>
        <v/>
      </c>
      <c r="T102" s="17" t="str">
        <f>IFERROR(INDEX(逆引き作成用!$C$2:$C$169,MATCH($B102&amp;"/"&amp;$C102,逆引き作成用!T$2:T$169,FALSE),1),"")</f>
        <v/>
      </c>
      <c r="U102" s="17" t="str">
        <f>IFERROR(INDEX(逆引き作成用!$C$2:$C$169,MATCH($B102&amp;"/"&amp;$C102,逆引き作成用!U$2:U$169,FALSE),1),"")</f>
        <v/>
      </c>
      <c r="V102" s="17" t="str">
        <f>IFERROR(INDEX(逆引き作成用!$C$2:$C$169,MATCH($B102&amp;"/"&amp;$C102,逆引き作成用!V$2:V$169,FALSE),1),"")</f>
        <v/>
      </c>
      <c r="W102" s="17" t="str">
        <f>IFERROR(INDEX(逆引き作成用!$C$2:$C$169,MATCH($B102&amp;"/"&amp;$C102,逆引き作成用!W$2:W$169,FALSE),1),"")</f>
        <v/>
      </c>
      <c r="X102" s="17" t="str">
        <f>IFERROR(INDEX(逆引き作成用!$C$2:$C$169,MATCH($B102&amp;"/"&amp;$C102,逆引き作成用!X$2:X$169,FALSE),1),"")</f>
        <v/>
      </c>
      <c r="Y102" s="17" t="str">
        <f>IFERROR(INDEX(逆引き作成用!$C$2:$C$169,MATCH($B102&amp;"/"&amp;$C102,逆引き作成用!Y$2:Y$169,FALSE),1),"")</f>
        <v/>
      </c>
      <c r="Z102" s="17" t="str">
        <f>IFERROR(INDEX(逆引き作成用!$C$2:$C$169,MATCH($B102&amp;"/"&amp;$C102,逆引き作成用!Z$2:Z$169,FALSE),1),"")</f>
        <v/>
      </c>
      <c r="AA102" s="17" t="str">
        <f>IFERROR(INDEX(逆引き作成用!$C$2:$C$169,MATCH($B102&amp;"/"&amp;$C102,逆引き作成用!AA$2:AA$169,FALSE),1),"")</f>
        <v/>
      </c>
      <c r="AB102" s="17" t="str">
        <f>IFERROR(INDEX(逆引き作成用!$C$2:$C$169,MATCH($B102&amp;"/"&amp;$C102,逆引き作成用!AB$2:AB$169,FALSE),1),"")</f>
        <v/>
      </c>
      <c r="AC102" s="17" t="str">
        <f>IFERROR(INDEX(逆引き作成用!$C$2:$C$169,MATCH($B102&amp;"/"&amp;$C102,逆引き作成用!AC$2:AC$169,FALSE),1),"")</f>
        <v/>
      </c>
      <c r="AD102" s="17" t="str">
        <f>IFERROR(INDEX(逆引き作成用!$C$2:$C$169,MATCH($B102&amp;"/"&amp;$C102,逆引き作成用!AD$2:AD$169,FALSE),1),"")</f>
        <v/>
      </c>
      <c r="AE102" s="17" t="str">
        <f>IFERROR(INDEX(逆引き作成用!$C$2:$C$169,MATCH($B102&amp;"/"&amp;$C102,逆引き作成用!AE$2:AE$169,FALSE),1),"")</f>
        <v/>
      </c>
      <c r="AF102" s="17" t="str">
        <f>IFERROR(INDEX(逆引き作成用!$C$2:$C$169,MATCH($B102&amp;"/"&amp;$C102,逆引き作成用!AF$2:AF$169,FALSE),1),"")</f>
        <v/>
      </c>
      <c r="AG102" s="17" t="str">
        <f>IFERROR(INDEX(逆引き作成用!$C$2:$C$169,MATCH($B102&amp;"/"&amp;$C102,逆引き作成用!AG$2:AG$169,FALSE),1),"")</f>
        <v/>
      </c>
      <c r="AH102" s="17" t="str">
        <f>IFERROR(INDEX(逆引き作成用!$C$2:$C$169,MATCH($B102&amp;"/"&amp;$C102,逆引き作成用!AH$2:AH$169,FALSE),1),"")</f>
        <v/>
      </c>
      <c r="AI102" s="17" t="str">
        <f>IFERROR(INDEX(逆引き作成用!$C$2:$C$169,MATCH($B102&amp;"/"&amp;$C102,逆引き作成用!AI$2:AI$169,FALSE),1),"")</f>
        <v/>
      </c>
      <c r="AJ102" s="17" t="str">
        <f>IFERROR(INDEX(逆引き作成用!$C$2:$C$169,MATCH($B102&amp;"/"&amp;$C102,逆引き作成用!AJ$2:AJ$169,FALSE),1),"")</f>
        <v/>
      </c>
      <c r="AK102" s="17" t="str">
        <f>IFERROR(INDEX(逆引き作成用!$C$2:$C$169,MATCH($B102&amp;"/"&amp;$C102,逆引き作成用!AK$2:AK$169,FALSE),1),"")</f>
        <v/>
      </c>
      <c r="AL102" s="17" t="str">
        <f>IFERROR(INDEX(逆引き作成用!$C$2:$C$169,MATCH($B102&amp;"/"&amp;$C102,逆引き作成用!AL$2:AL$169,FALSE),1),"")</f>
        <v/>
      </c>
      <c r="AM102" s="17" t="str">
        <f>IFERROR(INDEX(逆引き作成用!$C$2:$C$169,MATCH($B102&amp;"/"&amp;$C102,逆引き作成用!AM$2:AM$169,FALSE),1),"")</f>
        <v/>
      </c>
      <c r="AN102" s="17" t="str">
        <f>IFERROR(INDEX(逆引き作成用!$C$2:$C$169,MATCH($B102&amp;"/"&amp;$C102,逆引き作成用!AN$2:AN$169,FALSE),1),"")</f>
        <v/>
      </c>
      <c r="AO102" s="17" t="str">
        <f>IFERROR(INDEX(逆引き作成用!$C$2:$C$169,MATCH($B102&amp;"/"&amp;$C102,逆引き作成用!AO$2:AO$169,FALSE),1),"")</f>
        <v/>
      </c>
      <c r="AP102" s="17" t="str">
        <f>IFERROR(INDEX(逆引き作成用!$C$2:$C$169,MATCH($B102&amp;"/"&amp;$C102,逆引き作成用!AP$2:AP$169,FALSE),1),"")</f>
        <v/>
      </c>
      <c r="AQ102" s="17" t="str">
        <f>IFERROR(INDEX(逆引き作成用!$C$2:$C$169,MATCH($B102&amp;"/"&amp;$C102,逆引き作成用!AQ$2:AQ$169,FALSE),1),"")</f>
        <v/>
      </c>
      <c r="AR102" s="17" t="str">
        <f>IFERROR(INDEX(逆引き作成用!$C$2:$C$169,MATCH($B102&amp;"/"&amp;$C102,逆引き作成用!AR$2:AR$169,FALSE),1),"")</f>
        <v/>
      </c>
      <c r="AS102" s="17" t="str">
        <f>IFERROR(INDEX(逆引き作成用!$C$2:$C$169,MATCH($B102&amp;"/"&amp;$C102,逆引き作成用!AS$2:AS$169,FALSE),1),"")</f>
        <v/>
      </c>
      <c r="AT102" s="17" t="str">
        <f>IFERROR(INDEX(逆引き作成用!$C$2:$C$169,MATCH($B102&amp;"/"&amp;$C102,逆引き作成用!AT$2:AT$169,FALSE),1),"")</f>
        <v/>
      </c>
      <c r="AU102" s="17" t="str">
        <f>IFERROR(INDEX(逆引き作成用!$C$2:$C$169,MATCH($B102&amp;"/"&amp;$C102,逆引き作成用!AU$2:AU$169,FALSE),1),"")</f>
        <v/>
      </c>
      <c r="AV102" s="17" t="str">
        <f>IFERROR(INDEX(逆引き作成用!$C$2:$C$169,MATCH($B102&amp;"/"&amp;$C102,逆引き作成用!AV$2:AV$169,FALSE),1),"")</f>
        <v/>
      </c>
      <c r="AW102" s="17" t="str">
        <f>IFERROR(INDEX(逆引き作成用!$C$2:$C$169,MATCH($B102&amp;"/"&amp;$C102,逆引き作成用!AW$2:AW$169,FALSE),1),"")</f>
        <v/>
      </c>
      <c r="AX102" s="17" t="str">
        <f>IFERROR(INDEX(逆引き作成用!$C$2:$C$169,MATCH($B102&amp;"/"&amp;$C102,逆引き作成用!AX$2:AX$169,FALSE),1),"")</f>
        <v/>
      </c>
      <c r="AY102" s="17" t="str">
        <f>IFERROR(INDEX(逆引き作成用!$C$2:$C$169,MATCH($B102&amp;"/"&amp;$C102,逆引き作成用!AY$2:AY$169,FALSE),1),"")</f>
        <v/>
      </c>
      <c r="AZ102" s="17" t="str">
        <f>IFERROR(INDEX(逆引き作成用!$C$2:$C$169,MATCH($B102&amp;"/"&amp;$C102,逆引き作成用!AZ$2:AZ$169,FALSE),1),"")</f>
        <v/>
      </c>
      <c r="BA102" s="17" t="str">
        <f>IFERROR(INDEX(逆引き作成用!$C$2:$C$169,MATCH($B102&amp;"/"&amp;$C102,逆引き作成用!BA$2:BA$169,FALSE),1),"")</f>
        <v/>
      </c>
    </row>
    <row r="103" spans="1:53">
      <c r="A103" s="17" t="str">
        <f>IFERROR(INDEX(役職一覧!$B$2:$B$31,MATCH(B103,役職一覧!$C$2:$C$31,FALSE),1),"")</f>
        <v/>
      </c>
      <c r="B103" s="17" t="str">
        <f>IFERROR(IF(C103=1,INDEX(役職一覧!$C$2:$C$31,MATCH(逆引き!B102,役職一覧!$C$2:$C$31,FALSE)+1,1)&amp;"",B102),"")</f>
        <v/>
      </c>
      <c r="C103" s="17" t="str">
        <f>IFERROR(IF(VLOOKUP(B102,役職一覧!$C$2:$E$31,3,FALSE)=C102,1,C102+1),"")</f>
        <v/>
      </c>
      <c r="D103" s="17" t="str">
        <f>IFERROR(INDEX(逆引き作成用!$C$2:$C$169,MATCH($B103&amp;"/"&amp;$C103,逆引き作成用!D$2:D$169,FALSE),1),"")</f>
        <v/>
      </c>
      <c r="E103" s="17" t="str">
        <f>IFERROR(INDEX(逆引き作成用!$C$2:$C$169,MATCH($B103&amp;"/"&amp;$C103,逆引き作成用!E$2:E$169,FALSE),1),"")</f>
        <v/>
      </c>
      <c r="F103" s="17" t="str">
        <f>IFERROR(INDEX(逆引き作成用!$C$2:$C$169,MATCH($B103&amp;"/"&amp;$C103,逆引き作成用!F$2:F$169,FALSE),1),"")</f>
        <v/>
      </c>
      <c r="G103" s="17" t="str">
        <f>IFERROR(INDEX(逆引き作成用!$C$2:$C$169,MATCH($B103&amp;"/"&amp;$C103,逆引き作成用!G$2:G$169,FALSE),1),"")</f>
        <v/>
      </c>
      <c r="H103" s="17" t="str">
        <f>IFERROR(INDEX(逆引き作成用!$C$2:$C$169,MATCH($B103&amp;"/"&amp;$C103,逆引き作成用!H$2:H$169,FALSE),1),"")</f>
        <v/>
      </c>
      <c r="I103" s="17" t="str">
        <f>IFERROR(INDEX(逆引き作成用!$C$2:$C$169,MATCH($B103&amp;"/"&amp;$C103,逆引き作成用!I$2:I$169,FALSE),1),"")</f>
        <v/>
      </c>
      <c r="J103" s="17" t="str">
        <f>IFERROR(INDEX(逆引き作成用!$C$2:$C$169,MATCH($B103&amp;"/"&amp;$C103,逆引き作成用!J$2:J$169,FALSE),1),"")</f>
        <v/>
      </c>
      <c r="K103" s="17" t="str">
        <f>IFERROR(INDEX(逆引き作成用!$C$2:$C$169,MATCH($B103&amp;"/"&amp;$C103,逆引き作成用!K$2:K$169,FALSE),1),"")</f>
        <v/>
      </c>
      <c r="L103" s="17" t="str">
        <f>IFERROR(INDEX(逆引き作成用!$C$2:$C$169,MATCH($B103&amp;"/"&amp;$C103,逆引き作成用!L$2:L$169,FALSE),1),"")</f>
        <v/>
      </c>
      <c r="M103" s="17" t="str">
        <f>IFERROR(INDEX(逆引き作成用!$C$2:$C$169,MATCH($B103&amp;"/"&amp;$C103,逆引き作成用!M$2:M$169,FALSE),1),"")</f>
        <v/>
      </c>
      <c r="N103" s="17" t="str">
        <f>IFERROR(INDEX(逆引き作成用!$C$2:$C$169,MATCH($B103&amp;"/"&amp;$C103,逆引き作成用!N$2:N$169,FALSE),1),"")</f>
        <v/>
      </c>
      <c r="O103" s="17" t="str">
        <f>IFERROR(INDEX(逆引き作成用!$C$2:$C$169,MATCH($B103&amp;"/"&amp;$C103,逆引き作成用!O$2:O$169,FALSE),1),"")</f>
        <v/>
      </c>
      <c r="P103" s="17" t="str">
        <f>IFERROR(INDEX(逆引き作成用!$C$2:$C$169,MATCH($B103&amp;"/"&amp;$C103,逆引き作成用!P$2:P$169,FALSE),1),"")</f>
        <v/>
      </c>
      <c r="Q103" s="17" t="str">
        <f>IFERROR(INDEX(逆引き作成用!$C$2:$C$169,MATCH($B103&amp;"/"&amp;$C103,逆引き作成用!Q$2:Q$169,FALSE),1),"")</f>
        <v/>
      </c>
      <c r="R103" s="17" t="str">
        <f>IFERROR(INDEX(逆引き作成用!$C$2:$C$169,MATCH($B103&amp;"/"&amp;$C103,逆引き作成用!R$2:R$169,FALSE),1),"")</f>
        <v/>
      </c>
      <c r="S103" s="17" t="str">
        <f>IFERROR(INDEX(逆引き作成用!$C$2:$C$169,MATCH($B103&amp;"/"&amp;$C103,逆引き作成用!S$2:S$169,FALSE),1),"")</f>
        <v/>
      </c>
      <c r="T103" s="17" t="str">
        <f>IFERROR(INDEX(逆引き作成用!$C$2:$C$169,MATCH($B103&amp;"/"&amp;$C103,逆引き作成用!T$2:T$169,FALSE),1),"")</f>
        <v/>
      </c>
      <c r="U103" s="17" t="str">
        <f>IFERROR(INDEX(逆引き作成用!$C$2:$C$169,MATCH($B103&amp;"/"&amp;$C103,逆引き作成用!U$2:U$169,FALSE),1),"")</f>
        <v/>
      </c>
      <c r="V103" s="17" t="str">
        <f>IFERROR(INDEX(逆引き作成用!$C$2:$C$169,MATCH($B103&amp;"/"&amp;$C103,逆引き作成用!V$2:V$169,FALSE),1),"")</f>
        <v/>
      </c>
      <c r="W103" s="17" t="str">
        <f>IFERROR(INDEX(逆引き作成用!$C$2:$C$169,MATCH($B103&amp;"/"&amp;$C103,逆引き作成用!W$2:W$169,FALSE),1),"")</f>
        <v/>
      </c>
      <c r="X103" s="17" t="str">
        <f>IFERROR(INDEX(逆引き作成用!$C$2:$C$169,MATCH($B103&amp;"/"&amp;$C103,逆引き作成用!X$2:X$169,FALSE),1),"")</f>
        <v/>
      </c>
      <c r="Y103" s="17" t="str">
        <f>IFERROR(INDEX(逆引き作成用!$C$2:$C$169,MATCH($B103&amp;"/"&amp;$C103,逆引き作成用!Y$2:Y$169,FALSE),1),"")</f>
        <v/>
      </c>
      <c r="Z103" s="17" t="str">
        <f>IFERROR(INDEX(逆引き作成用!$C$2:$C$169,MATCH($B103&amp;"/"&amp;$C103,逆引き作成用!Z$2:Z$169,FALSE),1),"")</f>
        <v/>
      </c>
      <c r="AA103" s="17" t="str">
        <f>IFERROR(INDEX(逆引き作成用!$C$2:$C$169,MATCH($B103&amp;"/"&amp;$C103,逆引き作成用!AA$2:AA$169,FALSE),1),"")</f>
        <v/>
      </c>
      <c r="AB103" s="17" t="str">
        <f>IFERROR(INDEX(逆引き作成用!$C$2:$C$169,MATCH($B103&amp;"/"&amp;$C103,逆引き作成用!AB$2:AB$169,FALSE),1),"")</f>
        <v/>
      </c>
      <c r="AC103" s="17" t="str">
        <f>IFERROR(INDEX(逆引き作成用!$C$2:$C$169,MATCH($B103&amp;"/"&amp;$C103,逆引き作成用!AC$2:AC$169,FALSE),1),"")</f>
        <v/>
      </c>
      <c r="AD103" s="17" t="str">
        <f>IFERROR(INDEX(逆引き作成用!$C$2:$C$169,MATCH($B103&amp;"/"&amp;$C103,逆引き作成用!AD$2:AD$169,FALSE),1),"")</f>
        <v/>
      </c>
      <c r="AE103" s="17" t="str">
        <f>IFERROR(INDEX(逆引き作成用!$C$2:$C$169,MATCH($B103&amp;"/"&amp;$C103,逆引き作成用!AE$2:AE$169,FALSE),1),"")</f>
        <v/>
      </c>
      <c r="AF103" s="17" t="str">
        <f>IFERROR(INDEX(逆引き作成用!$C$2:$C$169,MATCH($B103&amp;"/"&amp;$C103,逆引き作成用!AF$2:AF$169,FALSE),1),"")</f>
        <v/>
      </c>
      <c r="AG103" s="17" t="str">
        <f>IFERROR(INDEX(逆引き作成用!$C$2:$C$169,MATCH($B103&amp;"/"&amp;$C103,逆引き作成用!AG$2:AG$169,FALSE),1),"")</f>
        <v/>
      </c>
      <c r="AH103" s="17" t="str">
        <f>IFERROR(INDEX(逆引き作成用!$C$2:$C$169,MATCH($B103&amp;"/"&amp;$C103,逆引き作成用!AH$2:AH$169,FALSE),1),"")</f>
        <v/>
      </c>
      <c r="AI103" s="17" t="str">
        <f>IFERROR(INDEX(逆引き作成用!$C$2:$C$169,MATCH($B103&amp;"/"&amp;$C103,逆引き作成用!AI$2:AI$169,FALSE),1),"")</f>
        <v/>
      </c>
      <c r="AJ103" s="17" t="str">
        <f>IFERROR(INDEX(逆引き作成用!$C$2:$C$169,MATCH($B103&amp;"/"&amp;$C103,逆引き作成用!AJ$2:AJ$169,FALSE),1),"")</f>
        <v/>
      </c>
      <c r="AK103" s="17" t="str">
        <f>IFERROR(INDEX(逆引き作成用!$C$2:$C$169,MATCH($B103&amp;"/"&amp;$C103,逆引き作成用!AK$2:AK$169,FALSE),1),"")</f>
        <v/>
      </c>
      <c r="AL103" s="17" t="str">
        <f>IFERROR(INDEX(逆引き作成用!$C$2:$C$169,MATCH($B103&amp;"/"&amp;$C103,逆引き作成用!AL$2:AL$169,FALSE),1),"")</f>
        <v/>
      </c>
      <c r="AM103" s="17" t="str">
        <f>IFERROR(INDEX(逆引き作成用!$C$2:$C$169,MATCH($B103&amp;"/"&amp;$C103,逆引き作成用!AM$2:AM$169,FALSE),1),"")</f>
        <v/>
      </c>
      <c r="AN103" s="17" t="str">
        <f>IFERROR(INDEX(逆引き作成用!$C$2:$C$169,MATCH($B103&amp;"/"&amp;$C103,逆引き作成用!AN$2:AN$169,FALSE),1),"")</f>
        <v/>
      </c>
      <c r="AO103" s="17" t="str">
        <f>IFERROR(INDEX(逆引き作成用!$C$2:$C$169,MATCH($B103&amp;"/"&amp;$C103,逆引き作成用!AO$2:AO$169,FALSE),1),"")</f>
        <v/>
      </c>
      <c r="AP103" s="17" t="str">
        <f>IFERROR(INDEX(逆引き作成用!$C$2:$C$169,MATCH($B103&amp;"/"&amp;$C103,逆引き作成用!AP$2:AP$169,FALSE),1),"")</f>
        <v/>
      </c>
      <c r="AQ103" s="17" t="str">
        <f>IFERROR(INDEX(逆引き作成用!$C$2:$C$169,MATCH($B103&amp;"/"&amp;$C103,逆引き作成用!AQ$2:AQ$169,FALSE),1),"")</f>
        <v/>
      </c>
      <c r="AR103" s="17" t="str">
        <f>IFERROR(INDEX(逆引き作成用!$C$2:$C$169,MATCH($B103&amp;"/"&amp;$C103,逆引き作成用!AR$2:AR$169,FALSE),1),"")</f>
        <v/>
      </c>
      <c r="AS103" s="17" t="str">
        <f>IFERROR(INDEX(逆引き作成用!$C$2:$C$169,MATCH($B103&amp;"/"&amp;$C103,逆引き作成用!AS$2:AS$169,FALSE),1),"")</f>
        <v/>
      </c>
      <c r="AT103" s="17" t="str">
        <f>IFERROR(INDEX(逆引き作成用!$C$2:$C$169,MATCH($B103&amp;"/"&amp;$C103,逆引き作成用!AT$2:AT$169,FALSE),1),"")</f>
        <v/>
      </c>
      <c r="AU103" s="17" t="str">
        <f>IFERROR(INDEX(逆引き作成用!$C$2:$C$169,MATCH($B103&amp;"/"&amp;$C103,逆引き作成用!AU$2:AU$169,FALSE),1),"")</f>
        <v/>
      </c>
      <c r="AV103" s="17" t="str">
        <f>IFERROR(INDEX(逆引き作成用!$C$2:$C$169,MATCH($B103&amp;"/"&amp;$C103,逆引き作成用!AV$2:AV$169,FALSE),1),"")</f>
        <v/>
      </c>
      <c r="AW103" s="17" t="str">
        <f>IFERROR(INDEX(逆引き作成用!$C$2:$C$169,MATCH($B103&amp;"/"&amp;$C103,逆引き作成用!AW$2:AW$169,FALSE),1),"")</f>
        <v/>
      </c>
      <c r="AX103" s="17" t="str">
        <f>IFERROR(INDEX(逆引き作成用!$C$2:$C$169,MATCH($B103&amp;"/"&amp;$C103,逆引き作成用!AX$2:AX$169,FALSE),1),"")</f>
        <v/>
      </c>
      <c r="AY103" s="17" t="str">
        <f>IFERROR(INDEX(逆引き作成用!$C$2:$C$169,MATCH($B103&amp;"/"&amp;$C103,逆引き作成用!AY$2:AY$169,FALSE),1),"")</f>
        <v/>
      </c>
      <c r="AZ103" s="17" t="str">
        <f>IFERROR(INDEX(逆引き作成用!$C$2:$C$169,MATCH($B103&amp;"/"&amp;$C103,逆引き作成用!AZ$2:AZ$169,FALSE),1),"")</f>
        <v/>
      </c>
      <c r="BA103" s="17" t="str">
        <f>IFERROR(INDEX(逆引き作成用!$C$2:$C$169,MATCH($B103&amp;"/"&amp;$C103,逆引き作成用!BA$2:BA$169,FALSE),1),"")</f>
        <v/>
      </c>
    </row>
    <row r="104" spans="1:53">
      <c r="A104" s="17" t="str">
        <f>IFERROR(INDEX(役職一覧!$B$2:$B$31,MATCH(B104,役職一覧!$C$2:$C$31,FALSE),1),"")</f>
        <v/>
      </c>
      <c r="B104" s="17" t="str">
        <f>IFERROR(IF(C104=1,INDEX(役職一覧!$C$2:$C$31,MATCH(逆引き!B103,役職一覧!$C$2:$C$31,FALSE)+1,1)&amp;"",B103),"")</f>
        <v/>
      </c>
      <c r="C104" s="17" t="str">
        <f>IFERROR(IF(VLOOKUP(B103,役職一覧!$C$2:$E$31,3,FALSE)=C103,1,C103+1),"")</f>
        <v/>
      </c>
      <c r="D104" s="17" t="str">
        <f>IFERROR(INDEX(逆引き作成用!$C$2:$C$169,MATCH($B104&amp;"/"&amp;$C104,逆引き作成用!D$2:D$169,FALSE),1),"")</f>
        <v/>
      </c>
      <c r="E104" s="17" t="str">
        <f>IFERROR(INDEX(逆引き作成用!$C$2:$C$169,MATCH($B104&amp;"/"&amp;$C104,逆引き作成用!E$2:E$169,FALSE),1),"")</f>
        <v/>
      </c>
      <c r="F104" s="17" t="str">
        <f>IFERROR(INDEX(逆引き作成用!$C$2:$C$169,MATCH($B104&amp;"/"&amp;$C104,逆引き作成用!F$2:F$169,FALSE),1),"")</f>
        <v/>
      </c>
      <c r="G104" s="17" t="str">
        <f>IFERROR(INDEX(逆引き作成用!$C$2:$C$169,MATCH($B104&amp;"/"&amp;$C104,逆引き作成用!G$2:G$169,FALSE),1),"")</f>
        <v/>
      </c>
      <c r="H104" s="17" t="str">
        <f>IFERROR(INDEX(逆引き作成用!$C$2:$C$169,MATCH($B104&amp;"/"&amp;$C104,逆引き作成用!H$2:H$169,FALSE),1),"")</f>
        <v/>
      </c>
      <c r="I104" s="17" t="str">
        <f>IFERROR(INDEX(逆引き作成用!$C$2:$C$169,MATCH($B104&amp;"/"&amp;$C104,逆引き作成用!I$2:I$169,FALSE),1),"")</f>
        <v/>
      </c>
      <c r="J104" s="17" t="str">
        <f>IFERROR(INDEX(逆引き作成用!$C$2:$C$169,MATCH($B104&amp;"/"&amp;$C104,逆引き作成用!J$2:J$169,FALSE),1),"")</f>
        <v/>
      </c>
      <c r="K104" s="17" t="str">
        <f>IFERROR(INDEX(逆引き作成用!$C$2:$C$169,MATCH($B104&amp;"/"&amp;$C104,逆引き作成用!K$2:K$169,FALSE),1),"")</f>
        <v/>
      </c>
      <c r="L104" s="17" t="str">
        <f>IFERROR(INDEX(逆引き作成用!$C$2:$C$169,MATCH($B104&amp;"/"&amp;$C104,逆引き作成用!L$2:L$169,FALSE),1),"")</f>
        <v/>
      </c>
      <c r="M104" s="17" t="str">
        <f>IFERROR(INDEX(逆引き作成用!$C$2:$C$169,MATCH($B104&amp;"/"&amp;$C104,逆引き作成用!M$2:M$169,FALSE),1),"")</f>
        <v/>
      </c>
      <c r="N104" s="17" t="str">
        <f>IFERROR(INDEX(逆引き作成用!$C$2:$C$169,MATCH($B104&amp;"/"&amp;$C104,逆引き作成用!N$2:N$169,FALSE),1),"")</f>
        <v/>
      </c>
      <c r="O104" s="17" t="str">
        <f>IFERROR(INDEX(逆引き作成用!$C$2:$C$169,MATCH($B104&amp;"/"&amp;$C104,逆引き作成用!O$2:O$169,FALSE),1),"")</f>
        <v/>
      </c>
      <c r="P104" s="17" t="str">
        <f>IFERROR(INDEX(逆引き作成用!$C$2:$C$169,MATCH($B104&amp;"/"&amp;$C104,逆引き作成用!P$2:P$169,FALSE),1),"")</f>
        <v/>
      </c>
      <c r="Q104" s="17" t="str">
        <f>IFERROR(INDEX(逆引き作成用!$C$2:$C$169,MATCH($B104&amp;"/"&amp;$C104,逆引き作成用!Q$2:Q$169,FALSE),1),"")</f>
        <v/>
      </c>
      <c r="R104" s="17" t="str">
        <f>IFERROR(INDEX(逆引き作成用!$C$2:$C$169,MATCH($B104&amp;"/"&amp;$C104,逆引き作成用!R$2:R$169,FALSE),1),"")</f>
        <v/>
      </c>
      <c r="S104" s="17" t="str">
        <f>IFERROR(INDEX(逆引き作成用!$C$2:$C$169,MATCH($B104&amp;"/"&amp;$C104,逆引き作成用!S$2:S$169,FALSE),1),"")</f>
        <v/>
      </c>
      <c r="T104" s="17" t="str">
        <f>IFERROR(INDEX(逆引き作成用!$C$2:$C$169,MATCH($B104&amp;"/"&amp;$C104,逆引き作成用!T$2:T$169,FALSE),1),"")</f>
        <v/>
      </c>
      <c r="U104" s="17" t="str">
        <f>IFERROR(INDEX(逆引き作成用!$C$2:$C$169,MATCH($B104&amp;"/"&amp;$C104,逆引き作成用!U$2:U$169,FALSE),1),"")</f>
        <v/>
      </c>
      <c r="V104" s="17" t="str">
        <f>IFERROR(INDEX(逆引き作成用!$C$2:$C$169,MATCH($B104&amp;"/"&amp;$C104,逆引き作成用!V$2:V$169,FALSE),1),"")</f>
        <v/>
      </c>
      <c r="W104" s="17" t="str">
        <f>IFERROR(INDEX(逆引き作成用!$C$2:$C$169,MATCH($B104&amp;"/"&amp;$C104,逆引き作成用!W$2:W$169,FALSE),1),"")</f>
        <v/>
      </c>
      <c r="X104" s="17" t="str">
        <f>IFERROR(INDEX(逆引き作成用!$C$2:$C$169,MATCH($B104&amp;"/"&amp;$C104,逆引き作成用!X$2:X$169,FALSE),1),"")</f>
        <v/>
      </c>
      <c r="Y104" s="17" t="str">
        <f>IFERROR(INDEX(逆引き作成用!$C$2:$C$169,MATCH($B104&amp;"/"&amp;$C104,逆引き作成用!Y$2:Y$169,FALSE),1),"")</f>
        <v/>
      </c>
      <c r="Z104" s="17" t="str">
        <f>IFERROR(INDEX(逆引き作成用!$C$2:$C$169,MATCH($B104&amp;"/"&amp;$C104,逆引き作成用!Z$2:Z$169,FALSE),1),"")</f>
        <v/>
      </c>
      <c r="AA104" s="17" t="str">
        <f>IFERROR(INDEX(逆引き作成用!$C$2:$C$169,MATCH($B104&amp;"/"&amp;$C104,逆引き作成用!AA$2:AA$169,FALSE),1),"")</f>
        <v/>
      </c>
      <c r="AB104" s="17" t="str">
        <f>IFERROR(INDEX(逆引き作成用!$C$2:$C$169,MATCH($B104&amp;"/"&amp;$C104,逆引き作成用!AB$2:AB$169,FALSE),1),"")</f>
        <v/>
      </c>
      <c r="AC104" s="17" t="str">
        <f>IFERROR(INDEX(逆引き作成用!$C$2:$C$169,MATCH($B104&amp;"/"&amp;$C104,逆引き作成用!AC$2:AC$169,FALSE),1),"")</f>
        <v/>
      </c>
      <c r="AD104" s="17" t="str">
        <f>IFERROR(INDEX(逆引き作成用!$C$2:$C$169,MATCH($B104&amp;"/"&amp;$C104,逆引き作成用!AD$2:AD$169,FALSE),1),"")</f>
        <v/>
      </c>
      <c r="AE104" s="17" t="str">
        <f>IFERROR(INDEX(逆引き作成用!$C$2:$C$169,MATCH($B104&amp;"/"&amp;$C104,逆引き作成用!AE$2:AE$169,FALSE),1),"")</f>
        <v/>
      </c>
      <c r="AF104" s="17" t="str">
        <f>IFERROR(INDEX(逆引き作成用!$C$2:$C$169,MATCH($B104&amp;"/"&amp;$C104,逆引き作成用!AF$2:AF$169,FALSE),1),"")</f>
        <v/>
      </c>
      <c r="AG104" s="17" t="str">
        <f>IFERROR(INDEX(逆引き作成用!$C$2:$C$169,MATCH($B104&amp;"/"&amp;$C104,逆引き作成用!AG$2:AG$169,FALSE),1),"")</f>
        <v/>
      </c>
      <c r="AH104" s="17" t="str">
        <f>IFERROR(INDEX(逆引き作成用!$C$2:$C$169,MATCH($B104&amp;"/"&amp;$C104,逆引き作成用!AH$2:AH$169,FALSE),1),"")</f>
        <v/>
      </c>
      <c r="AI104" s="17" t="str">
        <f>IFERROR(INDEX(逆引き作成用!$C$2:$C$169,MATCH($B104&amp;"/"&amp;$C104,逆引き作成用!AI$2:AI$169,FALSE),1),"")</f>
        <v/>
      </c>
      <c r="AJ104" s="17" t="str">
        <f>IFERROR(INDEX(逆引き作成用!$C$2:$C$169,MATCH($B104&amp;"/"&amp;$C104,逆引き作成用!AJ$2:AJ$169,FALSE),1),"")</f>
        <v/>
      </c>
      <c r="AK104" s="17" t="str">
        <f>IFERROR(INDEX(逆引き作成用!$C$2:$C$169,MATCH($B104&amp;"/"&amp;$C104,逆引き作成用!AK$2:AK$169,FALSE),1),"")</f>
        <v/>
      </c>
      <c r="AL104" s="17" t="str">
        <f>IFERROR(INDEX(逆引き作成用!$C$2:$C$169,MATCH($B104&amp;"/"&amp;$C104,逆引き作成用!AL$2:AL$169,FALSE),1),"")</f>
        <v/>
      </c>
      <c r="AM104" s="17" t="str">
        <f>IFERROR(INDEX(逆引き作成用!$C$2:$C$169,MATCH($B104&amp;"/"&amp;$C104,逆引き作成用!AM$2:AM$169,FALSE),1),"")</f>
        <v/>
      </c>
      <c r="AN104" s="17" t="str">
        <f>IFERROR(INDEX(逆引き作成用!$C$2:$C$169,MATCH($B104&amp;"/"&amp;$C104,逆引き作成用!AN$2:AN$169,FALSE),1),"")</f>
        <v/>
      </c>
      <c r="AO104" s="17" t="str">
        <f>IFERROR(INDEX(逆引き作成用!$C$2:$C$169,MATCH($B104&amp;"/"&amp;$C104,逆引き作成用!AO$2:AO$169,FALSE),1),"")</f>
        <v/>
      </c>
      <c r="AP104" s="17" t="str">
        <f>IFERROR(INDEX(逆引き作成用!$C$2:$C$169,MATCH($B104&amp;"/"&amp;$C104,逆引き作成用!AP$2:AP$169,FALSE),1),"")</f>
        <v/>
      </c>
      <c r="AQ104" s="17" t="str">
        <f>IFERROR(INDEX(逆引き作成用!$C$2:$C$169,MATCH($B104&amp;"/"&amp;$C104,逆引き作成用!AQ$2:AQ$169,FALSE),1),"")</f>
        <v/>
      </c>
      <c r="AR104" s="17" t="str">
        <f>IFERROR(INDEX(逆引き作成用!$C$2:$C$169,MATCH($B104&amp;"/"&amp;$C104,逆引き作成用!AR$2:AR$169,FALSE),1),"")</f>
        <v/>
      </c>
      <c r="AS104" s="17" t="str">
        <f>IFERROR(INDEX(逆引き作成用!$C$2:$C$169,MATCH($B104&amp;"/"&amp;$C104,逆引き作成用!AS$2:AS$169,FALSE),1),"")</f>
        <v/>
      </c>
      <c r="AT104" s="17" t="str">
        <f>IFERROR(INDEX(逆引き作成用!$C$2:$C$169,MATCH($B104&amp;"/"&amp;$C104,逆引き作成用!AT$2:AT$169,FALSE),1),"")</f>
        <v/>
      </c>
      <c r="AU104" s="17" t="str">
        <f>IFERROR(INDEX(逆引き作成用!$C$2:$C$169,MATCH($B104&amp;"/"&amp;$C104,逆引き作成用!AU$2:AU$169,FALSE),1),"")</f>
        <v/>
      </c>
      <c r="AV104" s="17" t="str">
        <f>IFERROR(INDEX(逆引き作成用!$C$2:$C$169,MATCH($B104&amp;"/"&amp;$C104,逆引き作成用!AV$2:AV$169,FALSE),1),"")</f>
        <v/>
      </c>
      <c r="AW104" s="17" t="str">
        <f>IFERROR(INDEX(逆引き作成用!$C$2:$C$169,MATCH($B104&amp;"/"&amp;$C104,逆引き作成用!AW$2:AW$169,FALSE),1),"")</f>
        <v/>
      </c>
      <c r="AX104" s="17" t="str">
        <f>IFERROR(INDEX(逆引き作成用!$C$2:$C$169,MATCH($B104&amp;"/"&amp;$C104,逆引き作成用!AX$2:AX$169,FALSE),1),"")</f>
        <v/>
      </c>
      <c r="AY104" s="17" t="str">
        <f>IFERROR(INDEX(逆引き作成用!$C$2:$C$169,MATCH($B104&amp;"/"&amp;$C104,逆引き作成用!AY$2:AY$169,FALSE),1),"")</f>
        <v/>
      </c>
      <c r="AZ104" s="17" t="str">
        <f>IFERROR(INDEX(逆引き作成用!$C$2:$C$169,MATCH($B104&amp;"/"&amp;$C104,逆引き作成用!AZ$2:AZ$169,FALSE),1),"")</f>
        <v/>
      </c>
      <c r="BA104" s="17" t="str">
        <f>IFERROR(INDEX(逆引き作成用!$C$2:$C$169,MATCH($B104&amp;"/"&amp;$C104,逆引き作成用!BA$2:BA$169,FALSE),1),"")</f>
        <v/>
      </c>
    </row>
    <row r="105" spans="1:53">
      <c r="A105" s="17" t="str">
        <f>IFERROR(INDEX(役職一覧!$B$2:$B$31,MATCH(B105,役職一覧!$C$2:$C$31,FALSE),1),"")</f>
        <v/>
      </c>
      <c r="B105" s="17" t="str">
        <f>IFERROR(IF(C105=1,INDEX(役職一覧!$C$2:$C$31,MATCH(逆引き!B104,役職一覧!$C$2:$C$31,FALSE)+1,1)&amp;"",B104),"")</f>
        <v/>
      </c>
      <c r="C105" s="17" t="str">
        <f>IFERROR(IF(VLOOKUP(B104,役職一覧!$C$2:$E$31,3,FALSE)=C104,1,C104+1),"")</f>
        <v/>
      </c>
      <c r="D105" s="17" t="str">
        <f>IFERROR(INDEX(逆引き作成用!$C$2:$C$169,MATCH($B105&amp;"/"&amp;$C105,逆引き作成用!D$2:D$169,FALSE),1),"")</f>
        <v/>
      </c>
      <c r="E105" s="17" t="str">
        <f>IFERROR(INDEX(逆引き作成用!$C$2:$C$169,MATCH($B105&amp;"/"&amp;$C105,逆引き作成用!E$2:E$169,FALSE),1),"")</f>
        <v/>
      </c>
      <c r="F105" s="17" t="str">
        <f>IFERROR(INDEX(逆引き作成用!$C$2:$C$169,MATCH($B105&amp;"/"&amp;$C105,逆引き作成用!F$2:F$169,FALSE),1),"")</f>
        <v/>
      </c>
      <c r="G105" s="17" t="str">
        <f>IFERROR(INDEX(逆引き作成用!$C$2:$C$169,MATCH($B105&amp;"/"&amp;$C105,逆引き作成用!G$2:G$169,FALSE),1),"")</f>
        <v/>
      </c>
      <c r="H105" s="17" t="str">
        <f>IFERROR(INDEX(逆引き作成用!$C$2:$C$169,MATCH($B105&amp;"/"&amp;$C105,逆引き作成用!H$2:H$169,FALSE),1),"")</f>
        <v/>
      </c>
      <c r="I105" s="17" t="str">
        <f>IFERROR(INDEX(逆引き作成用!$C$2:$C$169,MATCH($B105&amp;"/"&amp;$C105,逆引き作成用!I$2:I$169,FALSE),1),"")</f>
        <v/>
      </c>
      <c r="J105" s="17" t="str">
        <f>IFERROR(INDEX(逆引き作成用!$C$2:$C$169,MATCH($B105&amp;"/"&amp;$C105,逆引き作成用!J$2:J$169,FALSE),1),"")</f>
        <v/>
      </c>
      <c r="K105" s="17" t="str">
        <f>IFERROR(INDEX(逆引き作成用!$C$2:$C$169,MATCH($B105&amp;"/"&amp;$C105,逆引き作成用!K$2:K$169,FALSE),1),"")</f>
        <v/>
      </c>
      <c r="L105" s="17" t="str">
        <f>IFERROR(INDEX(逆引き作成用!$C$2:$C$169,MATCH($B105&amp;"/"&amp;$C105,逆引き作成用!L$2:L$169,FALSE),1),"")</f>
        <v/>
      </c>
      <c r="M105" s="17" t="str">
        <f>IFERROR(INDEX(逆引き作成用!$C$2:$C$169,MATCH($B105&amp;"/"&amp;$C105,逆引き作成用!M$2:M$169,FALSE),1),"")</f>
        <v/>
      </c>
      <c r="N105" s="17" t="str">
        <f>IFERROR(INDEX(逆引き作成用!$C$2:$C$169,MATCH($B105&amp;"/"&amp;$C105,逆引き作成用!N$2:N$169,FALSE),1),"")</f>
        <v/>
      </c>
      <c r="O105" s="17" t="str">
        <f>IFERROR(INDEX(逆引き作成用!$C$2:$C$169,MATCH($B105&amp;"/"&amp;$C105,逆引き作成用!O$2:O$169,FALSE),1),"")</f>
        <v/>
      </c>
      <c r="P105" s="17" t="str">
        <f>IFERROR(INDEX(逆引き作成用!$C$2:$C$169,MATCH($B105&amp;"/"&amp;$C105,逆引き作成用!P$2:P$169,FALSE),1),"")</f>
        <v/>
      </c>
      <c r="Q105" s="17" t="str">
        <f>IFERROR(INDEX(逆引き作成用!$C$2:$C$169,MATCH($B105&amp;"/"&amp;$C105,逆引き作成用!Q$2:Q$169,FALSE),1),"")</f>
        <v/>
      </c>
      <c r="R105" s="17" t="str">
        <f>IFERROR(INDEX(逆引き作成用!$C$2:$C$169,MATCH($B105&amp;"/"&amp;$C105,逆引き作成用!R$2:R$169,FALSE),1),"")</f>
        <v/>
      </c>
      <c r="S105" s="17" t="str">
        <f>IFERROR(INDEX(逆引き作成用!$C$2:$C$169,MATCH($B105&amp;"/"&amp;$C105,逆引き作成用!S$2:S$169,FALSE),1),"")</f>
        <v/>
      </c>
      <c r="T105" s="17" t="str">
        <f>IFERROR(INDEX(逆引き作成用!$C$2:$C$169,MATCH($B105&amp;"/"&amp;$C105,逆引き作成用!T$2:T$169,FALSE),1),"")</f>
        <v/>
      </c>
      <c r="U105" s="17" t="str">
        <f>IFERROR(INDEX(逆引き作成用!$C$2:$C$169,MATCH($B105&amp;"/"&amp;$C105,逆引き作成用!U$2:U$169,FALSE),1),"")</f>
        <v/>
      </c>
      <c r="V105" s="17" t="str">
        <f>IFERROR(INDEX(逆引き作成用!$C$2:$C$169,MATCH($B105&amp;"/"&amp;$C105,逆引き作成用!V$2:V$169,FALSE),1),"")</f>
        <v/>
      </c>
      <c r="W105" s="17" t="str">
        <f>IFERROR(INDEX(逆引き作成用!$C$2:$C$169,MATCH($B105&amp;"/"&amp;$C105,逆引き作成用!W$2:W$169,FALSE),1),"")</f>
        <v/>
      </c>
      <c r="X105" s="17" t="str">
        <f>IFERROR(INDEX(逆引き作成用!$C$2:$C$169,MATCH($B105&amp;"/"&amp;$C105,逆引き作成用!X$2:X$169,FALSE),1),"")</f>
        <v/>
      </c>
      <c r="Y105" s="17" t="str">
        <f>IFERROR(INDEX(逆引き作成用!$C$2:$C$169,MATCH($B105&amp;"/"&amp;$C105,逆引き作成用!Y$2:Y$169,FALSE),1),"")</f>
        <v/>
      </c>
      <c r="Z105" s="17" t="str">
        <f>IFERROR(INDEX(逆引き作成用!$C$2:$C$169,MATCH($B105&amp;"/"&amp;$C105,逆引き作成用!Z$2:Z$169,FALSE),1),"")</f>
        <v/>
      </c>
      <c r="AA105" s="17" t="str">
        <f>IFERROR(INDEX(逆引き作成用!$C$2:$C$169,MATCH($B105&amp;"/"&amp;$C105,逆引き作成用!AA$2:AA$169,FALSE),1),"")</f>
        <v/>
      </c>
      <c r="AB105" s="17" t="str">
        <f>IFERROR(INDEX(逆引き作成用!$C$2:$C$169,MATCH($B105&amp;"/"&amp;$C105,逆引き作成用!AB$2:AB$169,FALSE),1),"")</f>
        <v/>
      </c>
      <c r="AC105" s="17" t="str">
        <f>IFERROR(INDEX(逆引き作成用!$C$2:$C$169,MATCH($B105&amp;"/"&amp;$C105,逆引き作成用!AC$2:AC$169,FALSE),1),"")</f>
        <v/>
      </c>
      <c r="AD105" s="17" t="str">
        <f>IFERROR(INDEX(逆引き作成用!$C$2:$C$169,MATCH($B105&amp;"/"&amp;$C105,逆引き作成用!AD$2:AD$169,FALSE),1),"")</f>
        <v/>
      </c>
      <c r="AE105" s="17" t="str">
        <f>IFERROR(INDEX(逆引き作成用!$C$2:$C$169,MATCH($B105&amp;"/"&amp;$C105,逆引き作成用!AE$2:AE$169,FALSE),1),"")</f>
        <v/>
      </c>
      <c r="AF105" s="17" t="str">
        <f>IFERROR(INDEX(逆引き作成用!$C$2:$C$169,MATCH($B105&amp;"/"&amp;$C105,逆引き作成用!AF$2:AF$169,FALSE),1),"")</f>
        <v/>
      </c>
      <c r="AG105" s="17" t="str">
        <f>IFERROR(INDEX(逆引き作成用!$C$2:$C$169,MATCH($B105&amp;"/"&amp;$C105,逆引き作成用!AG$2:AG$169,FALSE),1),"")</f>
        <v/>
      </c>
      <c r="AH105" s="17" t="str">
        <f>IFERROR(INDEX(逆引き作成用!$C$2:$C$169,MATCH($B105&amp;"/"&amp;$C105,逆引き作成用!AH$2:AH$169,FALSE),1),"")</f>
        <v/>
      </c>
      <c r="AI105" s="17" t="str">
        <f>IFERROR(INDEX(逆引き作成用!$C$2:$C$169,MATCH($B105&amp;"/"&amp;$C105,逆引き作成用!AI$2:AI$169,FALSE),1),"")</f>
        <v/>
      </c>
      <c r="AJ105" s="17" t="str">
        <f>IFERROR(INDEX(逆引き作成用!$C$2:$C$169,MATCH($B105&amp;"/"&amp;$C105,逆引き作成用!AJ$2:AJ$169,FALSE),1),"")</f>
        <v/>
      </c>
      <c r="AK105" s="17" t="str">
        <f>IFERROR(INDEX(逆引き作成用!$C$2:$C$169,MATCH($B105&amp;"/"&amp;$C105,逆引き作成用!AK$2:AK$169,FALSE),1),"")</f>
        <v/>
      </c>
      <c r="AL105" s="17" t="str">
        <f>IFERROR(INDEX(逆引き作成用!$C$2:$C$169,MATCH($B105&amp;"/"&amp;$C105,逆引き作成用!AL$2:AL$169,FALSE),1),"")</f>
        <v/>
      </c>
      <c r="AM105" s="17" t="str">
        <f>IFERROR(INDEX(逆引き作成用!$C$2:$C$169,MATCH($B105&amp;"/"&amp;$C105,逆引き作成用!AM$2:AM$169,FALSE),1),"")</f>
        <v/>
      </c>
      <c r="AN105" s="17" t="str">
        <f>IFERROR(INDEX(逆引き作成用!$C$2:$C$169,MATCH($B105&amp;"/"&amp;$C105,逆引き作成用!AN$2:AN$169,FALSE),1),"")</f>
        <v/>
      </c>
      <c r="AO105" s="17" t="str">
        <f>IFERROR(INDEX(逆引き作成用!$C$2:$C$169,MATCH($B105&amp;"/"&amp;$C105,逆引き作成用!AO$2:AO$169,FALSE),1),"")</f>
        <v/>
      </c>
      <c r="AP105" s="17" t="str">
        <f>IFERROR(INDEX(逆引き作成用!$C$2:$C$169,MATCH($B105&amp;"/"&amp;$C105,逆引き作成用!AP$2:AP$169,FALSE),1),"")</f>
        <v/>
      </c>
      <c r="AQ105" s="17" t="str">
        <f>IFERROR(INDEX(逆引き作成用!$C$2:$C$169,MATCH($B105&amp;"/"&amp;$C105,逆引き作成用!AQ$2:AQ$169,FALSE),1),"")</f>
        <v/>
      </c>
      <c r="AR105" s="17" t="str">
        <f>IFERROR(INDEX(逆引き作成用!$C$2:$C$169,MATCH($B105&amp;"/"&amp;$C105,逆引き作成用!AR$2:AR$169,FALSE),1),"")</f>
        <v/>
      </c>
      <c r="AS105" s="17" t="str">
        <f>IFERROR(INDEX(逆引き作成用!$C$2:$C$169,MATCH($B105&amp;"/"&amp;$C105,逆引き作成用!AS$2:AS$169,FALSE),1),"")</f>
        <v/>
      </c>
      <c r="AT105" s="17" t="str">
        <f>IFERROR(INDEX(逆引き作成用!$C$2:$C$169,MATCH($B105&amp;"/"&amp;$C105,逆引き作成用!AT$2:AT$169,FALSE),1),"")</f>
        <v/>
      </c>
      <c r="AU105" s="17" t="str">
        <f>IFERROR(INDEX(逆引き作成用!$C$2:$C$169,MATCH($B105&amp;"/"&amp;$C105,逆引き作成用!AU$2:AU$169,FALSE),1),"")</f>
        <v/>
      </c>
      <c r="AV105" s="17" t="str">
        <f>IFERROR(INDEX(逆引き作成用!$C$2:$C$169,MATCH($B105&amp;"/"&amp;$C105,逆引き作成用!AV$2:AV$169,FALSE),1),"")</f>
        <v/>
      </c>
      <c r="AW105" s="17" t="str">
        <f>IFERROR(INDEX(逆引き作成用!$C$2:$C$169,MATCH($B105&amp;"/"&amp;$C105,逆引き作成用!AW$2:AW$169,FALSE),1),"")</f>
        <v/>
      </c>
      <c r="AX105" s="17" t="str">
        <f>IFERROR(INDEX(逆引き作成用!$C$2:$C$169,MATCH($B105&amp;"/"&amp;$C105,逆引き作成用!AX$2:AX$169,FALSE),1),"")</f>
        <v/>
      </c>
      <c r="AY105" s="17" t="str">
        <f>IFERROR(INDEX(逆引き作成用!$C$2:$C$169,MATCH($B105&amp;"/"&amp;$C105,逆引き作成用!AY$2:AY$169,FALSE),1),"")</f>
        <v/>
      </c>
      <c r="AZ105" s="17" t="str">
        <f>IFERROR(INDEX(逆引き作成用!$C$2:$C$169,MATCH($B105&amp;"/"&amp;$C105,逆引き作成用!AZ$2:AZ$169,FALSE),1),"")</f>
        <v/>
      </c>
      <c r="BA105" s="17" t="str">
        <f>IFERROR(INDEX(逆引き作成用!$C$2:$C$169,MATCH($B105&amp;"/"&amp;$C105,逆引き作成用!BA$2:BA$169,FALSE),1),"")</f>
        <v/>
      </c>
    </row>
    <row r="106" spans="1:53">
      <c r="A106" s="17" t="str">
        <f>IFERROR(INDEX(役職一覧!$B$2:$B$31,MATCH(B106,役職一覧!$C$2:$C$31,FALSE),1),"")</f>
        <v/>
      </c>
      <c r="B106" s="17" t="str">
        <f>IFERROR(IF(C106=1,INDEX(役職一覧!$C$2:$C$31,MATCH(逆引き!B105,役職一覧!$C$2:$C$31,FALSE)+1,1)&amp;"",B105),"")</f>
        <v/>
      </c>
      <c r="C106" s="17" t="str">
        <f>IFERROR(IF(VLOOKUP(B105,役職一覧!$C$2:$E$31,3,FALSE)=C105,1,C105+1),"")</f>
        <v/>
      </c>
      <c r="D106" s="17" t="str">
        <f>IFERROR(INDEX(逆引き作成用!$C$2:$C$169,MATCH($B106&amp;"/"&amp;$C106,逆引き作成用!D$2:D$169,FALSE),1),"")</f>
        <v/>
      </c>
      <c r="E106" s="17" t="str">
        <f>IFERROR(INDEX(逆引き作成用!$C$2:$C$169,MATCH($B106&amp;"/"&amp;$C106,逆引き作成用!E$2:E$169,FALSE),1),"")</f>
        <v/>
      </c>
      <c r="F106" s="17" t="str">
        <f>IFERROR(INDEX(逆引き作成用!$C$2:$C$169,MATCH($B106&amp;"/"&amp;$C106,逆引き作成用!F$2:F$169,FALSE),1),"")</f>
        <v/>
      </c>
      <c r="G106" s="17" t="str">
        <f>IFERROR(INDEX(逆引き作成用!$C$2:$C$169,MATCH($B106&amp;"/"&amp;$C106,逆引き作成用!G$2:G$169,FALSE),1),"")</f>
        <v/>
      </c>
      <c r="H106" s="17" t="str">
        <f>IFERROR(INDEX(逆引き作成用!$C$2:$C$169,MATCH($B106&amp;"/"&amp;$C106,逆引き作成用!H$2:H$169,FALSE),1),"")</f>
        <v/>
      </c>
      <c r="I106" s="17" t="str">
        <f>IFERROR(INDEX(逆引き作成用!$C$2:$C$169,MATCH($B106&amp;"/"&amp;$C106,逆引き作成用!I$2:I$169,FALSE),1),"")</f>
        <v/>
      </c>
      <c r="J106" s="17" t="str">
        <f>IFERROR(INDEX(逆引き作成用!$C$2:$C$169,MATCH($B106&amp;"/"&amp;$C106,逆引き作成用!J$2:J$169,FALSE),1),"")</f>
        <v/>
      </c>
      <c r="K106" s="17" t="str">
        <f>IFERROR(INDEX(逆引き作成用!$C$2:$C$169,MATCH($B106&amp;"/"&amp;$C106,逆引き作成用!K$2:K$169,FALSE),1),"")</f>
        <v/>
      </c>
      <c r="L106" s="17" t="str">
        <f>IFERROR(INDEX(逆引き作成用!$C$2:$C$169,MATCH($B106&amp;"/"&amp;$C106,逆引き作成用!L$2:L$169,FALSE),1),"")</f>
        <v/>
      </c>
      <c r="M106" s="17" t="str">
        <f>IFERROR(INDEX(逆引き作成用!$C$2:$C$169,MATCH($B106&amp;"/"&amp;$C106,逆引き作成用!M$2:M$169,FALSE),1),"")</f>
        <v/>
      </c>
      <c r="N106" s="17" t="str">
        <f>IFERROR(INDEX(逆引き作成用!$C$2:$C$169,MATCH($B106&amp;"/"&amp;$C106,逆引き作成用!N$2:N$169,FALSE),1),"")</f>
        <v/>
      </c>
      <c r="O106" s="17" t="str">
        <f>IFERROR(INDEX(逆引き作成用!$C$2:$C$169,MATCH($B106&amp;"/"&amp;$C106,逆引き作成用!O$2:O$169,FALSE),1),"")</f>
        <v/>
      </c>
      <c r="P106" s="17" t="str">
        <f>IFERROR(INDEX(逆引き作成用!$C$2:$C$169,MATCH($B106&amp;"/"&amp;$C106,逆引き作成用!P$2:P$169,FALSE),1),"")</f>
        <v/>
      </c>
      <c r="Q106" s="17" t="str">
        <f>IFERROR(INDEX(逆引き作成用!$C$2:$C$169,MATCH($B106&amp;"/"&amp;$C106,逆引き作成用!Q$2:Q$169,FALSE),1),"")</f>
        <v/>
      </c>
      <c r="R106" s="17" t="str">
        <f>IFERROR(INDEX(逆引き作成用!$C$2:$C$169,MATCH($B106&amp;"/"&amp;$C106,逆引き作成用!R$2:R$169,FALSE),1),"")</f>
        <v/>
      </c>
      <c r="S106" s="17" t="str">
        <f>IFERROR(INDEX(逆引き作成用!$C$2:$C$169,MATCH($B106&amp;"/"&amp;$C106,逆引き作成用!S$2:S$169,FALSE),1),"")</f>
        <v/>
      </c>
      <c r="T106" s="17" t="str">
        <f>IFERROR(INDEX(逆引き作成用!$C$2:$C$169,MATCH($B106&amp;"/"&amp;$C106,逆引き作成用!T$2:T$169,FALSE),1),"")</f>
        <v/>
      </c>
      <c r="U106" s="17" t="str">
        <f>IFERROR(INDEX(逆引き作成用!$C$2:$C$169,MATCH($B106&amp;"/"&amp;$C106,逆引き作成用!U$2:U$169,FALSE),1),"")</f>
        <v/>
      </c>
      <c r="V106" s="17" t="str">
        <f>IFERROR(INDEX(逆引き作成用!$C$2:$C$169,MATCH($B106&amp;"/"&amp;$C106,逆引き作成用!V$2:V$169,FALSE),1),"")</f>
        <v/>
      </c>
      <c r="W106" s="17" t="str">
        <f>IFERROR(INDEX(逆引き作成用!$C$2:$C$169,MATCH($B106&amp;"/"&amp;$C106,逆引き作成用!W$2:W$169,FALSE),1),"")</f>
        <v/>
      </c>
      <c r="X106" s="17" t="str">
        <f>IFERROR(INDEX(逆引き作成用!$C$2:$C$169,MATCH($B106&amp;"/"&amp;$C106,逆引き作成用!X$2:X$169,FALSE),1),"")</f>
        <v/>
      </c>
      <c r="Y106" s="17" t="str">
        <f>IFERROR(INDEX(逆引き作成用!$C$2:$C$169,MATCH($B106&amp;"/"&amp;$C106,逆引き作成用!Y$2:Y$169,FALSE),1),"")</f>
        <v/>
      </c>
      <c r="Z106" s="17" t="str">
        <f>IFERROR(INDEX(逆引き作成用!$C$2:$C$169,MATCH($B106&amp;"/"&amp;$C106,逆引き作成用!Z$2:Z$169,FALSE),1),"")</f>
        <v/>
      </c>
      <c r="AA106" s="17" t="str">
        <f>IFERROR(INDEX(逆引き作成用!$C$2:$C$169,MATCH($B106&amp;"/"&amp;$C106,逆引き作成用!AA$2:AA$169,FALSE),1),"")</f>
        <v/>
      </c>
      <c r="AB106" s="17" t="str">
        <f>IFERROR(INDEX(逆引き作成用!$C$2:$C$169,MATCH($B106&amp;"/"&amp;$C106,逆引き作成用!AB$2:AB$169,FALSE),1),"")</f>
        <v/>
      </c>
      <c r="AC106" s="17" t="str">
        <f>IFERROR(INDEX(逆引き作成用!$C$2:$C$169,MATCH($B106&amp;"/"&amp;$C106,逆引き作成用!AC$2:AC$169,FALSE),1),"")</f>
        <v/>
      </c>
      <c r="AD106" s="17" t="str">
        <f>IFERROR(INDEX(逆引き作成用!$C$2:$C$169,MATCH($B106&amp;"/"&amp;$C106,逆引き作成用!AD$2:AD$169,FALSE),1),"")</f>
        <v/>
      </c>
      <c r="AE106" s="17" t="str">
        <f>IFERROR(INDEX(逆引き作成用!$C$2:$C$169,MATCH($B106&amp;"/"&amp;$C106,逆引き作成用!AE$2:AE$169,FALSE),1),"")</f>
        <v/>
      </c>
      <c r="AF106" s="17" t="str">
        <f>IFERROR(INDEX(逆引き作成用!$C$2:$C$169,MATCH($B106&amp;"/"&amp;$C106,逆引き作成用!AF$2:AF$169,FALSE),1),"")</f>
        <v/>
      </c>
      <c r="AG106" s="17" t="str">
        <f>IFERROR(INDEX(逆引き作成用!$C$2:$C$169,MATCH($B106&amp;"/"&amp;$C106,逆引き作成用!AG$2:AG$169,FALSE),1),"")</f>
        <v/>
      </c>
      <c r="AH106" s="17" t="str">
        <f>IFERROR(INDEX(逆引き作成用!$C$2:$C$169,MATCH($B106&amp;"/"&amp;$C106,逆引き作成用!AH$2:AH$169,FALSE),1),"")</f>
        <v/>
      </c>
      <c r="AI106" s="17" t="str">
        <f>IFERROR(INDEX(逆引き作成用!$C$2:$C$169,MATCH($B106&amp;"/"&amp;$C106,逆引き作成用!AI$2:AI$169,FALSE),1),"")</f>
        <v/>
      </c>
      <c r="AJ106" s="17" t="str">
        <f>IFERROR(INDEX(逆引き作成用!$C$2:$C$169,MATCH($B106&amp;"/"&amp;$C106,逆引き作成用!AJ$2:AJ$169,FALSE),1),"")</f>
        <v/>
      </c>
      <c r="AK106" s="17" t="str">
        <f>IFERROR(INDEX(逆引き作成用!$C$2:$C$169,MATCH($B106&amp;"/"&amp;$C106,逆引き作成用!AK$2:AK$169,FALSE),1),"")</f>
        <v/>
      </c>
      <c r="AL106" s="17" t="str">
        <f>IFERROR(INDEX(逆引き作成用!$C$2:$C$169,MATCH($B106&amp;"/"&amp;$C106,逆引き作成用!AL$2:AL$169,FALSE),1),"")</f>
        <v/>
      </c>
      <c r="AM106" s="17" t="str">
        <f>IFERROR(INDEX(逆引き作成用!$C$2:$C$169,MATCH($B106&amp;"/"&amp;$C106,逆引き作成用!AM$2:AM$169,FALSE),1),"")</f>
        <v/>
      </c>
      <c r="AN106" s="17" t="str">
        <f>IFERROR(INDEX(逆引き作成用!$C$2:$C$169,MATCH($B106&amp;"/"&amp;$C106,逆引き作成用!AN$2:AN$169,FALSE),1),"")</f>
        <v/>
      </c>
      <c r="AO106" s="17" t="str">
        <f>IFERROR(INDEX(逆引き作成用!$C$2:$C$169,MATCH($B106&amp;"/"&amp;$C106,逆引き作成用!AO$2:AO$169,FALSE),1),"")</f>
        <v/>
      </c>
      <c r="AP106" s="17" t="str">
        <f>IFERROR(INDEX(逆引き作成用!$C$2:$C$169,MATCH($B106&amp;"/"&amp;$C106,逆引き作成用!AP$2:AP$169,FALSE),1),"")</f>
        <v/>
      </c>
      <c r="AQ106" s="17" t="str">
        <f>IFERROR(INDEX(逆引き作成用!$C$2:$C$169,MATCH($B106&amp;"/"&amp;$C106,逆引き作成用!AQ$2:AQ$169,FALSE),1),"")</f>
        <v/>
      </c>
      <c r="AR106" s="17" t="str">
        <f>IFERROR(INDEX(逆引き作成用!$C$2:$C$169,MATCH($B106&amp;"/"&amp;$C106,逆引き作成用!AR$2:AR$169,FALSE),1),"")</f>
        <v/>
      </c>
      <c r="AS106" s="17" t="str">
        <f>IFERROR(INDEX(逆引き作成用!$C$2:$C$169,MATCH($B106&amp;"/"&amp;$C106,逆引き作成用!AS$2:AS$169,FALSE),1),"")</f>
        <v/>
      </c>
      <c r="AT106" s="17" t="str">
        <f>IFERROR(INDEX(逆引き作成用!$C$2:$C$169,MATCH($B106&amp;"/"&amp;$C106,逆引き作成用!AT$2:AT$169,FALSE),1),"")</f>
        <v/>
      </c>
      <c r="AU106" s="17" t="str">
        <f>IFERROR(INDEX(逆引き作成用!$C$2:$C$169,MATCH($B106&amp;"/"&amp;$C106,逆引き作成用!AU$2:AU$169,FALSE),1),"")</f>
        <v/>
      </c>
      <c r="AV106" s="17" t="str">
        <f>IFERROR(INDEX(逆引き作成用!$C$2:$C$169,MATCH($B106&amp;"/"&amp;$C106,逆引き作成用!AV$2:AV$169,FALSE),1),"")</f>
        <v/>
      </c>
      <c r="AW106" s="17" t="str">
        <f>IFERROR(INDEX(逆引き作成用!$C$2:$C$169,MATCH($B106&amp;"/"&amp;$C106,逆引き作成用!AW$2:AW$169,FALSE),1),"")</f>
        <v/>
      </c>
      <c r="AX106" s="17" t="str">
        <f>IFERROR(INDEX(逆引き作成用!$C$2:$C$169,MATCH($B106&amp;"/"&amp;$C106,逆引き作成用!AX$2:AX$169,FALSE),1),"")</f>
        <v/>
      </c>
      <c r="AY106" s="17" t="str">
        <f>IFERROR(INDEX(逆引き作成用!$C$2:$C$169,MATCH($B106&amp;"/"&amp;$C106,逆引き作成用!AY$2:AY$169,FALSE),1),"")</f>
        <v/>
      </c>
      <c r="AZ106" s="17" t="str">
        <f>IFERROR(INDEX(逆引き作成用!$C$2:$C$169,MATCH($B106&amp;"/"&amp;$C106,逆引き作成用!AZ$2:AZ$169,FALSE),1),"")</f>
        <v/>
      </c>
      <c r="BA106" s="17" t="str">
        <f>IFERROR(INDEX(逆引き作成用!$C$2:$C$169,MATCH($B106&amp;"/"&amp;$C106,逆引き作成用!BA$2:BA$169,FALSE),1),"")</f>
        <v/>
      </c>
    </row>
    <row r="107" spans="1:53">
      <c r="A107" s="17" t="str">
        <f>IFERROR(INDEX(役職一覧!$B$2:$B$31,MATCH(B107,役職一覧!$C$2:$C$31,FALSE),1),"")</f>
        <v/>
      </c>
      <c r="B107" s="17" t="str">
        <f>IFERROR(IF(C107=1,INDEX(役職一覧!$C$2:$C$31,MATCH(逆引き!B106,役職一覧!$C$2:$C$31,FALSE)+1,1)&amp;"",B106),"")</f>
        <v/>
      </c>
      <c r="C107" s="17" t="str">
        <f>IFERROR(IF(VLOOKUP(B106,役職一覧!$C$2:$E$31,3,FALSE)=C106,1,C106+1),"")</f>
        <v/>
      </c>
      <c r="D107" s="17" t="str">
        <f>IFERROR(INDEX(逆引き作成用!$C$2:$C$169,MATCH($B107&amp;"/"&amp;$C107,逆引き作成用!D$2:D$169,FALSE),1),"")</f>
        <v/>
      </c>
      <c r="E107" s="17" t="str">
        <f>IFERROR(INDEX(逆引き作成用!$C$2:$C$169,MATCH($B107&amp;"/"&amp;$C107,逆引き作成用!E$2:E$169,FALSE),1),"")</f>
        <v/>
      </c>
      <c r="F107" s="17" t="str">
        <f>IFERROR(INDEX(逆引き作成用!$C$2:$C$169,MATCH($B107&amp;"/"&amp;$C107,逆引き作成用!F$2:F$169,FALSE),1),"")</f>
        <v/>
      </c>
      <c r="G107" s="17" t="str">
        <f>IFERROR(INDEX(逆引き作成用!$C$2:$C$169,MATCH($B107&amp;"/"&amp;$C107,逆引き作成用!G$2:G$169,FALSE),1),"")</f>
        <v/>
      </c>
      <c r="H107" s="17" t="str">
        <f>IFERROR(INDEX(逆引き作成用!$C$2:$C$169,MATCH($B107&amp;"/"&amp;$C107,逆引き作成用!H$2:H$169,FALSE),1),"")</f>
        <v/>
      </c>
      <c r="I107" s="17" t="str">
        <f>IFERROR(INDEX(逆引き作成用!$C$2:$C$169,MATCH($B107&amp;"/"&amp;$C107,逆引き作成用!I$2:I$169,FALSE),1),"")</f>
        <v/>
      </c>
      <c r="J107" s="17" t="str">
        <f>IFERROR(INDEX(逆引き作成用!$C$2:$C$169,MATCH($B107&amp;"/"&amp;$C107,逆引き作成用!J$2:J$169,FALSE),1),"")</f>
        <v/>
      </c>
      <c r="K107" s="17" t="str">
        <f>IFERROR(INDEX(逆引き作成用!$C$2:$C$169,MATCH($B107&amp;"/"&amp;$C107,逆引き作成用!K$2:K$169,FALSE),1),"")</f>
        <v/>
      </c>
      <c r="L107" s="17" t="str">
        <f>IFERROR(INDEX(逆引き作成用!$C$2:$C$169,MATCH($B107&amp;"/"&amp;$C107,逆引き作成用!L$2:L$169,FALSE),1),"")</f>
        <v/>
      </c>
      <c r="M107" s="17" t="str">
        <f>IFERROR(INDEX(逆引き作成用!$C$2:$C$169,MATCH($B107&amp;"/"&amp;$C107,逆引き作成用!M$2:M$169,FALSE),1),"")</f>
        <v/>
      </c>
      <c r="N107" s="17" t="str">
        <f>IFERROR(INDEX(逆引き作成用!$C$2:$C$169,MATCH($B107&amp;"/"&amp;$C107,逆引き作成用!N$2:N$169,FALSE),1),"")</f>
        <v/>
      </c>
      <c r="O107" s="17" t="str">
        <f>IFERROR(INDEX(逆引き作成用!$C$2:$C$169,MATCH($B107&amp;"/"&amp;$C107,逆引き作成用!O$2:O$169,FALSE),1),"")</f>
        <v/>
      </c>
      <c r="P107" s="17" t="str">
        <f>IFERROR(INDEX(逆引き作成用!$C$2:$C$169,MATCH($B107&amp;"/"&amp;$C107,逆引き作成用!P$2:P$169,FALSE),1),"")</f>
        <v/>
      </c>
      <c r="Q107" s="17" t="str">
        <f>IFERROR(INDEX(逆引き作成用!$C$2:$C$169,MATCH($B107&amp;"/"&amp;$C107,逆引き作成用!Q$2:Q$169,FALSE),1),"")</f>
        <v/>
      </c>
      <c r="R107" s="17" t="str">
        <f>IFERROR(INDEX(逆引き作成用!$C$2:$C$169,MATCH($B107&amp;"/"&amp;$C107,逆引き作成用!R$2:R$169,FALSE),1),"")</f>
        <v/>
      </c>
      <c r="S107" s="17" t="str">
        <f>IFERROR(INDEX(逆引き作成用!$C$2:$C$169,MATCH($B107&amp;"/"&amp;$C107,逆引き作成用!S$2:S$169,FALSE),1),"")</f>
        <v/>
      </c>
      <c r="T107" s="17" t="str">
        <f>IFERROR(INDEX(逆引き作成用!$C$2:$C$169,MATCH($B107&amp;"/"&amp;$C107,逆引き作成用!T$2:T$169,FALSE),1),"")</f>
        <v/>
      </c>
      <c r="U107" s="17" t="str">
        <f>IFERROR(INDEX(逆引き作成用!$C$2:$C$169,MATCH($B107&amp;"/"&amp;$C107,逆引き作成用!U$2:U$169,FALSE),1),"")</f>
        <v/>
      </c>
      <c r="V107" s="17" t="str">
        <f>IFERROR(INDEX(逆引き作成用!$C$2:$C$169,MATCH($B107&amp;"/"&amp;$C107,逆引き作成用!V$2:V$169,FALSE),1),"")</f>
        <v/>
      </c>
      <c r="W107" s="17" t="str">
        <f>IFERROR(INDEX(逆引き作成用!$C$2:$C$169,MATCH($B107&amp;"/"&amp;$C107,逆引き作成用!W$2:W$169,FALSE),1),"")</f>
        <v/>
      </c>
      <c r="X107" s="17" t="str">
        <f>IFERROR(INDEX(逆引き作成用!$C$2:$C$169,MATCH($B107&amp;"/"&amp;$C107,逆引き作成用!X$2:X$169,FALSE),1),"")</f>
        <v/>
      </c>
      <c r="Y107" s="17" t="str">
        <f>IFERROR(INDEX(逆引き作成用!$C$2:$C$169,MATCH($B107&amp;"/"&amp;$C107,逆引き作成用!Y$2:Y$169,FALSE),1),"")</f>
        <v/>
      </c>
      <c r="Z107" s="17" t="str">
        <f>IFERROR(INDEX(逆引き作成用!$C$2:$C$169,MATCH($B107&amp;"/"&amp;$C107,逆引き作成用!Z$2:Z$169,FALSE),1),"")</f>
        <v/>
      </c>
      <c r="AA107" s="17" t="str">
        <f>IFERROR(INDEX(逆引き作成用!$C$2:$C$169,MATCH($B107&amp;"/"&amp;$C107,逆引き作成用!AA$2:AA$169,FALSE),1),"")</f>
        <v/>
      </c>
      <c r="AB107" s="17" t="str">
        <f>IFERROR(INDEX(逆引き作成用!$C$2:$C$169,MATCH($B107&amp;"/"&amp;$C107,逆引き作成用!AB$2:AB$169,FALSE),1),"")</f>
        <v/>
      </c>
      <c r="AC107" s="17" t="str">
        <f>IFERROR(INDEX(逆引き作成用!$C$2:$C$169,MATCH($B107&amp;"/"&amp;$C107,逆引き作成用!AC$2:AC$169,FALSE),1),"")</f>
        <v/>
      </c>
      <c r="AD107" s="17" t="str">
        <f>IFERROR(INDEX(逆引き作成用!$C$2:$C$169,MATCH($B107&amp;"/"&amp;$C107,逆引き作成用!AD$2:AD$169,FALSE),1),"")</f>
        <v/>
      </c>
      <c r="AE107" s="17" t="str">
        <f>IFERROR(INDEX(逆引き作成用!$C$2:$C$169,MATCH($B107&amp;"/"&amp;$C107,逆引き作成用!AE$2:AE$169,FALSE),1),"")</f>
        <v/>
      </c>
      <c r="AF107" s="17" t="str">
        <f>IFERROR(INDEX(逆引き作成用!$C$2:$C$169,MATCH($B107&amp;"/"&amp;$C107,逆引き作成用!AF$2:AF$169,FALSE),1),"")</f>
        <v/>
      </c>
      <c r="AG107" s="17" t="str">
        <f>IFERROR(INDEX(逆引き作成用!$C$2:$C$169,MATCH($B107&amp;"/"&amp;$C107,逆引き作成用!AG$2:AG$169,FALSE),1),"")</f>
        <v/>
      </c>
      <c r="AH107" s="17" t="str">
        <f>IFERROR(INDEX(逆引き作成用!$C$2:$C$169,MATCH($B107&amp;"/"&amp;$C107,逆引き作成用!AH$2:AH$169,FALSE),1),"")</f>
        <v/>
      </c>
      <c r="AI107" s="17" t="str">
        <f>IFERROR(INDEX(逆引き作成用!$C$2:$C$169,MATCH($B107&amp;"/"&amp;$C107,逆引き作成用!AI$2:AI$169,FALSE),1),"")</f>
        <v/>
      </c>
      <c r="AJ107" s="17" t="str">
        <f>IFERROR(INDEX(逆引き作成用!$C$2:$C$169,MATCH($B107&amp;"/"&amp;$C107,逆引き作成用!AJ$2:AJ$169,FALSE),1),"")</f>
        <v/>
      </c>
      <c r="AK107" s="17" t="str">
        <f>IFERROR(INDEX(逆引き作成用!$C$2:$C$169,MATCH($B107&amp;"/"&amp;$C107,逆引き作成用!AK$2:AK$169,FALSE),1),"")</f>
        <v/>
      </c>
      <c r="AL107" s="17" t="str">
        <f>IFERROR(INDEX(逆引き作成用!$C$2:$C$169,MATCH($B107&amp;"/"&amp;$C107,逆引き作成用!AL$2:AL$169,FALSE),1),"")</f>
        <v/>
      </c>
      <c r="AM107" s="17" t="str">
        <f>IFERROR(INDEX(逆引き作成用!$C$2:$C$169,MATCH($B107&amp;"/"&amp;$C107,逆引き作成用!AM$2:AM$169,FALSE),1),"")</f>
        <v/>
      </c>
      <c r="AN107" s="17" t="str">
        <f>IFERROR(INDEX(逆引き作成用!$C$2:$C$169,MATCH($B107&amp;"/"&amp;$C107,逆引き作成用!AN$2:AN$169,FALSE),1),"")</f>
        <v/>
      </c>
      <c r="AO107" s="17" t="str">
        <f>IFERROR(INDEX(逆引き作成用!$C$2:$C$169,MATCH($B107&amp;"/"&amp;$C107,逆引き作成用!AO$2:AO$169,FALSE),1),"")</f>
        <v/>
      </c>
      <c r="AP107" s="17" t="str">
        <f>IFERROR(INDEX(逆引き作成用!$C$2:$C$169,MATCH($B107&amp;"/"&amp;$C107,逆引き作成用!AP$2:AP$169,FALSE),1),"")</f>
        <v/>
      </c>
      <c r="AQ107" s="17" t="str">
        <f>IFERROR(INDEX(逆引き作成用!$C$2:$C$169,MATCH($B107&amp;"/"&amp;$C107,逆引き作成用!AQ$2:AQ$169,FALSE),1),"")</f>
        <v/>
      </c>
      <c r="AR107" s="17" t="str">
        <f>IFERROR(INDEX(逆引き作成用!$C$2:$C$169,MATCH($B107&amp;"/"&amp;$C107,逆引き作成用!AR$2:AR$169,FALSE),1),"")</f>
        <v/>
      </c>
      <c r="AS107" s="17" t="str">
        <f>IFERROR(INDEX(逆引き作成用!$C$2:$C$169,MATCH($B107&amp;"/"&amp;$C107,逆引き作成用!AS$2:AS$169,FALSE),1),"")</f>
        <v/>
      </c>
      <c r="AT107" s="17" t="str">
        <f>IFERROR(INDEX(逆引き作成用!$C$2:$C$169,MATCH($B107&amp;"/"&amp;$C107,逆引き作成用!AT$2:AT$169,FALSE),1),"")</f>
        <v/>
      </c>
      <c r="AU107" s="17" t="str">
        <f>IFERROR(INDEX(逆引き作成用!$C$2:$C$169,MATCH($B107&amp;"/"&amp;$C107,逆引き作成用!AU$2:AU$169,FALSE),1),"")</f>
        <v/>
      </c>
      <c r="AV107" s="17" t="str">
        <f>IFERROR(INDEX(逆引き作成用!$C$2:$C$169,MATCH($B107&amp;"/"&amp;$C107,逆引き作成用!AV$2:AV$169,FALSE),1),"")</f>
        <v/>
      </c>
      <c r="AW107" s="17" t="str">
        <f>IFERROR(INDEX(逆引き作成用!$C$2:$C$169,MATCH($B107&amp;"/"&amp;$C107,逆引き作成用!AW$2:AW$169,FALSE),1),"")</f>
        <v/>
      </c>
      <c r="AX107" s="17" t="str">
        <f>IFERROR(INDEX(逆引き作成用!$C$2:$C$169,MATCH($B107&amp;"/"&amp;$C107,逆引き作成用!AX$2:AX$169,FALSE),1),"")</f>
        <v/>
      </c>
      <c r="AY107" s="17" t="str">
        <f>IFERROR(INDEX(逆引き作成用!$C$2:$C$169,MATCH($B107&amp;"/"&amp;$C107,逆引き作成用!AY$2:AY$169,FALSE),1),"")</f>
        <v/>
      </c>
      <c r="AZ107" s="17" t="str">
        <f>IFERROR(INDEX(逆引き作成用!$C$2:$C$169,MATCH($B107&amp;"/"&amp;$C107,逆引き作成用!AZ$2:AZ$169,FALSE),1),"")</f>
        <v/>
      </c>
      <c r="BA107" s="17" t="str">
        <f>IFERROR(INDEX(逆引き作成用!$C$2:$C$169,MATCH($B107&amp;"/"&amp;$C107,逆引き作成用!BA$2:BA$169,FALSE),1),"")</f>
        <v/>
      </c>
    </row>
    <row r="108" spans="1:53">
      <c r="A108" s="17" t="str">
        <f>IFERROR(INDEX(役職一覧!$B$2:$B$31,MATCH(B108,役職一覧!$C$2:$C$31,FALSE),1),"")</f>
        <v/>
      </c>
      <c r="B108" s="17" t="str">
        <f>IFERROR(IF(C108=1,INDEX(役職一覧!$C$2:$C$31,MATCH(逆引き!B107,役職一覧!$C$2:$C$31,FALSE)+1,1)&amp;"",B107),"")</f>
        <v/>
      </c>
      <c r="C108" s="17" t="str">
        <f>IFERROR(IF(VLOOKUP(B107,役職一覧!$C$2:$E$31,3,FALSE)=C107,1,C107+1),"")</f>
        <v/>
      </c>
      <c r="D108" s="17" t="str">
        <f>IFERROR(INDEX(逆引き作成用!$C$2:$C$169,MATCH($B108&amp;"/"&amp;$C108,逆引き作成用!D$2:D$169,FALSE),1),"")</f>
        <v/>
      </c>
      <c r="E108" s="17" t="str">
        <f>IFERROR(INDEX(逆引き作成用!$C$2:$C$169,MATCH($B108&amp;"/"&amp;$C108,逆引き作成用!E$2:E$169,FALSE),1),"")</f>
        <v/>
      </c>
      <c r="F108" s="17" t="str">
        <f>IFERROR(INDEX(逆引き作成用!$C$2:$C$169,MATCH($B108&amp;"/"&amp;$C108,逆引き作成用!F$2:F$169,FALSE),1),"")</f>
        <v/>
      </c>
      <c r="G108" s="17" t="str">
        <f>IFERROR(INDEX(逆引き作成用!$C$2:$C$169,MATCH($B108&amp;"/"&amp;$C108,逆引き作成用!G$2:G$169,FALSE),1),"")</f>
        <v/>
      </c>
      <c r="H108" s="17" t="str">
        <f>IFERROR(INDEX(逆引き作成用!$C$2:$C$169,MATCH($B108&amp;"/"&amp;$C108,逆引き作成用!H$2:H$169,FALSE),1),"")</f>
        <v/>
      </c>
      <c r="I108" s="17" t="str">
        <f>IFERROR(INDEX(逆引き作成用!$C$2:$C$169,MATCH($B108&amp;"/"&amp;$C108,逆引き作成用!I$2:I$169,FALSE),1),"")</f>
        <v/>
      </c>
      <c r="J108" s="17" t="str">
        <f>IFERROR(INDEX(逆引き作成用!$C$2:$C$169,MATCH($B108&amp;"/"&amp;$C108,逆引き作成用!J$2:J$169,FALSE),1),"")</f>
        <v/>
      </c>
      <c r="K108" s="17" t="str">
        <f>IFERROR(INDEX(逆引き作成用!$C$2:$C$169,MATCH($B108&amp;"/"&amp;$C108,逆引き作成用!K$2:K$169,FALSE),1),"")</f>
        <v/>
      </c>
      <c r="L108" s="17" t="str">
        <f>IFERROR(INDEX(逆引き作成用!$C$2:$C$169,MATCH($B108&amp;"/"&amp;$C108,逆引き作成用!L$2:L$169,FALSE),1),"")</f>
        <v/>
      </c>
      <c r="M108" s="17" t="str">
        <f>IFERROR(INDEX(逆引き作成用!$C$2:$C$169,MATCH($B108&amp;"/"&amp;$C108,逆引き作成用!M$2:M$169,FALSE),1),"")</f>
        <v/>
      </c>
      <c r="N108" s="17" t="str">
        <f>IFERROR(INDEX(逆引き作成用!$C$2:$C$169,MATCH($B108&amp;"/"&amp;$C108,逆引き作成用!N$2:N$169,FALSE),1),"")</f>
        <v/>
      </c>
      <c r="O108" s="17" t="str">
        <f>IFERROR(INDEX(逆引き作成用!$C$2:$C$169,MATCH($B108&amp;"/"&amp;$C108,逆引き作成用!O$2:O$169,FALSE),1),"")</f>
        <v/>
      </c>
      <c r="P108" s="17" t="str">
        <f>IFERROR(INDEX(逆引き作成用!$C$2:$C$169,MATCH($B108&amp;"/"&amp;$C108,逆引き作成用!P$2:P$169,FALSE),1),"")</f>
        <v/>
      </c>
      <c r="Q108" s="17" t="str">
        <f>IFERROR(INDEX(逆引き作成用!$C$2:$C$169,MATCH($B108&amp;"/"&amp;$C108,逆引き作成用!Q$2:Q$169,FALSE),1),"")</f>
        <v/>
      </c>
      <c r="R108" s="17" t="str">
        <f>IFERROR(INDEX(逆引き作成用!$C$2:$C$169,MATCH($B108&amp;"/"&amp;$C108,逆引き作成用!R$2:R$169,FALSE),1),"")</f>
        <v/>
      </c>
      <c r="S108" s="17" t="str">
        <f>IFERROR(INDEX(逆引き作成用!$C$2:$C$169,MATCH($B108&amp;"/"&amp;$C108,逆引き作成用!S$2:S$169,FALSE),1),"")</f>
        <v/>
      </c>
      <c r="T108" s="17" t="str">
        <f>IFERROR(INDEX(逆引き作成用!$C$2:$C$169,MATCH($B108&amp;"/"&amp;$C108,逆引き作成用!T$2:T$169,FALSE),1),"")</f>
        <v/>
      </c>
      <c r="U108" s="17" t="str">
        <f>IFERROR(INDEX(逆引き作成用!$C$2:$C$169,MATCH($B108&amp;"/"&amp;$C108,逆引き作成用!U$2:U$169,FALSE),1),"")</f>
        <v/>
      </c>
      <c r="V108" s="17" t="str">
        <f>IFERROR(INDEX(逆引き作成用!$C$2:$C$169,MATCH($B108&amp;"/"&amp;$C108,逆引き作成用!V$2:V$169,FALSE),1),"")</f>
        <v/>
      </c>
      <c r="W108" s="17" t="str">
        <f>IFERROR(INDEX(逆引き作成用!$C$2:$C$169,MATCH($B108&amp;"/"&amp;$C108,逆引き作成用!W$2:W$169,FALSE),1),"")</f>
        <v/>
      </c>
      <c r="X108" s="17" t="str">
        <f>IFERROR(INDEX(逆引き作成用!$C$2:$C$169,MATCH($B108&amp;"/"&amp;$C108,逆引き作成用!X$2:X$169,FALSE),1),"")</f>
        <v/>
      </c>
      <c r="Y108" s="17" t="str">
        <f>IFERROR(INDEX(逆引き作成用!$C$2:$C$169,MATCH($B108&amp;"/"&amp;$C108,逆引き作成用!Y$2:Y$169,FALSE),1),"")</f>
        <v/>
      </c>
      <c r="Z108" s="17" t="str">
        <f>IFERROR(INDEX(逆引き作成用!$C$2:$C$169,MATCH($B108&amp;"/"&amp;$C108,逆引き作成用!Z$2:Z$169,FALSE),1),"")</f>
        <v/>
      </c>
      <c r="AA108" s="17" t="str">
        <f>IFERROR(INDEX(逆引き作成用!$C$2:$C$169,MATCH($B108&amp;"/"&amp;$C108,逆引き作成用!AA$2:AA$169,FALSE),1),"")</f>
        <v/>
      </c>
      <c r="AB108" s="17" t="str">
        <f>IFERROR(INDEX(逆引き作成用!$C$2:$C$169,MATCH($B108&amp;"/"&amp;$C108,逆引き作成用!AB$2:AB$169,FALSE),1),"")</f>
        <v/>
      </c>
      <c r="AC108" s="17" t="str">
        <f>IFERROR(INDEX(逆引き作成用!$C$2:$C$169,MATCH($B108&amp;"/"&amp;$C108,逆引き作成用!AC$2:AC$169,FALSE),1),"")</f>
        <v/>
      </c>
      <c r="AD108" s="17" t="str">
        <f>IFERROR(INDEX(逆引き作成用!$C$2:$C$169,MATCH($B108&amp;"/"&amp;$C108,逆引き作成用!AD$2:AD$169,FALSE),1),"")</f>
        <v/>
      </c>
      <c r="AE108" s="17" t="str">
        <f>IFERROR(INDEX(逆引き作成用!$C$2:$C$169,MATCH($B108&amp;"/"&amp;$C108,逆引き作成用!AE$2:AE$169,FALSE),1),"")</f>
        <v/>
      </c>
      <c r="AF108" s="17" t="str">
        <f>IFERROR(INDEX(逆引き作成用!$C$2:$C$169,MATCH($B108&amp;"/"&amp;$C108,逆引き作成用!AF$2:AF$169,FALSE),1),"")</f>
        <v/>
      </c>
      <c r="AG108" s="17" t="str">
        <f>IFERROR(INDEX(逆引き作成用!$C$2:$C$169,MATCH($B108&amp;"/"&amp;$C108,逆引き作成用!AG$2:AG$169,FALSE),1),"")</f>
        <v/>
      </c>
      <c r="AH108" s="17" t="str">
        <f>IFERROR(INDEX(逆引き作成用!$C$2:$C$169,MATCH($B108&amp;"/"&amp;$C108,逆引き作成用!AH$2:AH$169,FALSE),1),"")</f>
        <v/>
      </c>
      <c r="AI108" s="17" t="str">
        <f>IFERROR(INDEX(逆引き作成用!$C$2:$C$169,MATCH($B108&amp;"/"&amp;$C108,逆引き作成用!AI$2:AI$169,FALSE),1),"")</f>
        <v/>
      </c>
      <c r="AJ108" s="17" t="str">
        <f>IFERROR(INDEX(逆引き作成用!$C$2:$C$169,MATCH($B108&amp;"/"&amp;$C108,逆引き作成用!AJ$2:AJ$169,FALSE),1),"")</f>
        <v/>
      </c>
      <c r="AK108" s="17" t="str">
        <f>IFERROR(INDEX(逆引き作成用!$C$2:$C$169,MATCH($B108&amp;"/"&amp;$C108,逆引き作成用!AK$2:AK$169,FALSE),1),"")</f>
        <v/>
      </c>
      <c r="AL108" s="17" t="str">
        <f>IFERROR(INDEX(逆引き作成用!$C$2:$C$169,MATCH($B108&amp;"/"&amp;$C108,逆引き作成用!AL$2:AL$169,FALSE),1),"")</f>
        <v/>
      </c>
      <c r="AM108" s="17" t="str">
        <f>IFERROR(INDEX(逆引き作成用!$C$2:$C$169,MATCH($B108&amp;"/"&amp;$C108,逆引き作成用!AM$2:AM$169,FALSE),1),"")</f>
        <v/>
      </c>
      <c r="AN108" s="17" t="str">
        <f>IFERROR(INDEX(逆引き作成用!$C$2:$C$169,MATCH($B108&amp;"/"&amp;$C108,逆引き作成用!AN$2:AN$169,FALSE),1),"")</f>
        <v/>
      </c>
      <c r="AO108" s="17" t="str">
        <f>IFERROR(INDEX(逆引き作成用!$C$2:$C$169,MATCH($B108&amp;"/"&amp;$C108,逆引き作成用!AO$2:AO$169,FALSE),1),"")</f>
        <v/>
      </c>
      <c r="AP108" s="17" t="str">
        <f>IFERROR(INDEX(逆引き作成用!$C$2:$C$169,MATCH($B108&amp;"/"&amp;$C108,逆引き作成用!AP$2:AP$169,FALSE),1),"")</f>
        <v/>
      </c>
      <c r="AQ108" s="17" t="str">
        <f>IFERROR(INDEX(逆引き作成用!$C$2:$C$169,MATCH($B108&amp;"/"&amp;$C108,逆引き作成用!AQ$2:AQ$169,FALSE),1),"")</f>
        <v/>
      </c>
      <c r="AR108" s="17" t="str">
        <f>IFERROR(INDEX(逆引き作成用!$C$2:$C$169,MATCH($B108&amp;"/"&amp;$C108,逆引き作成用!AR$2:AR$169,FALSE),1),"")</f>
        <v/>
      </c>
      <c r="AS108" s="17" t="str">
        <f>IFERROR(INDEX(逆引き作成用!$C$2:$C$169,MATCH($B108&amp;"/"&amp;$C108,逆引き作成用!AS$2:AS$169,FALSE),1),"")</f>
        <v/>
      </c>
      <c r="AT108" s="17" t="str">
        <f>IFERROR(INDEX(逆引き作成用!$C$2:$C$169,MATCH($B108&amp;"/"&amp;$C108,逆引き作成用!AT$2:AT$169,FALSE),1),"")</f>
        <v/>
      </c>
      <c r="AU108" s="17" t="str">
        <f>IFERROR(INDEX(逆引き作成用!$C$2:$C$169,MATCH($B108&amp;"/"&amp;$C108,逆引き作成用!AU$2:AU$169,FALSE),1),"")</f>
        <v/>
      </c>
      <c r="AV108" s="17" t="str">
        <f>IFERROR(INDEX(逆引き作成用!$C$2:$C$169,MATCH($B108&amp;"/"&amp;$C108,逆引き作成用!AV$2:AV$169,FALSE),1),"")</f>
        <v/>
      </c>
      <c r="AW108" s="17" t="str">
        <f>IFERROR(INDEX(逆引き作成用!$C$2:$C$169,MATCH($B108&amp;"/"&amp;$C108,逆引き作成用!AW$2:AW$169,FALSE),1),"")</f>
        <v/>
      </c>
      <c r="AX108" s="17" t="str">
        <f>IFERROR(INDEX(逆引き作成用!$C$2:$C$169,MATCH($B108&amp;"/"&amp;$C108,逆引き作成用!AX$2:AX$169,FALSE),1),"")</f>
        <v/>
      </c>
      <c r="AY108" s="17" t="str">
        <f>IFERROR(INDEX(逆引き作成用!$C$2:$C$169,MATCH($B108&amp;"/"&amp;$C108,逆引き作成用!AY$2:AY$169,FALSE),1),"")</f>
        <v/>
      </c>
      <c r="AZ108" s="17" t="str">
        <f>IFERROR(INDEX(逆引き作成用!$C$2:$C$169,MATCH($B108&amp;"/"&amp;$C108,逆引き作成用!AZ$2:AZ$169,FALSE),1),"")</f>
        <v/>
      </c>
      <c r="BA108" s="17" t="str">
        <f>IFERROR(INDEX(逆引き作成用!$C$2:$C$169,MATCH($B108&amp;"/"&amp;$C108,逆引き作成用!BA$2:BA$169,FALSE),1),"")</f>
        <v/>
      </c>
    </row>
    <row r="109" spans="1:53">
      <c r="A109" s="17" t="str">
        <f>IFERROR(INDEX(役職一覧!$B$2:$B$31,MATCH(B109,役職一覧!$C$2:$C$31,FALSE),1),"")</f>
        <v/>
      </c>
      <c r="B109" s="17" t="str">
        <f>IFERROR(IF(C109=1,INDEX(役職一覧!$C$2:$C$31,MATCH(逆引き!B108,役職一覧!$C$2:$C$31,FALSE)+1,1)&amp;"",B108),"")</f>
        <v/>
      </c>
      <c r="C109" s="17" t="str">
        <f>IFERROR(IF(VLOOKUP(B108,役職一覧!$C$2:$E$31,3,FALSE)=C108,1,C108+1),"")</f>
        <v/>
      </c>
      <c r="D109" s="17" t="str">
        <f>IFERROR(INDEX(逆引き作成用!$C$2:$C$169,MATCH($B109&amp;"/"&amp;$C109,逆引き作成用!D$2:D$169,FALSE),1),"")</f>
        <v/>
      </c>
      <c r="E109" s="17" t="str">
        <f>IFERROR(INDEX(逆引き作成用!$C$2:$C$169,MATCH($B109&amp;"/"&amp;$C109,逆引き作成用!E$2:E$169,FALSE),1),"")</f>
        <v/>
      </c>
      <c r="F109" s="17" t="str">
        <f>IFERROR(INDEX(逆引き作成用!$C$2:$C$169,MATCH($B109&amp;"/"&amp;$C109,逆引き作成用!F$2:F$169,FALSE),1),"")</f>
        <v/>
      </c>
      <c r="G109" s="17" t="str">
        <f>IFERROR(INDEX(逆引き作成用!$C$2:$C$169,MATCH($B109&amp;"/"&amp;$C109,逆引き作成用!G$2:G$169,FALSE),1),"")</f>
        <v/>
      </c>
      <c r="H109" s="17" t="str">
        <f>IFERROR(INDEX(逆引き作成用!$C$2:$C$169,MATCH($B109&amp;"/"&amp;$C109,逆引き作成用!H$2:H$169,FALSE),1),"")</f>
        <v/>
      </c>
      <c r="I109" s="17" t="str">
        <f>IFERROR(INDEX(逆引き作成用!$C$2:$C$169,MATCH($B109&amp;"/"&amp;$C109,逆引き作成用!I$2:I$169,FALSE),1),"")</f>
        <v/>
      </c>
      <c r="J109" s="17" t="str">
        <f>IFERROR(INDEX(逆引き作成用!$C$2:$C$169,MATCH($B109&amp;"/"&amp;$C109,逆引き作成用!J$2:J$169,FALSE),1),"")</f>
        <v/>
      </c>
      <c r="K109" s="17" t="str">
        <f>IFERROR(INDEX(逆引き作成用!$C$2:$C$169,MATCH($B109&amp;"/"&amp;$C109,逆引き作成用!K$2:K$169,FALSE),1),"")</f>
        <v/>
      </c>
      <c r="L109" s="17" t="str">
        <f>IFERROR(INDEX(逆引き作成用!$C$2:$C$169,MATCH($B109&amp;"/"&amp;$C109,逆引き作成用!L$2:L$169,FALSE),1),"")</f>
        <v/>
      </c>
      <c r="M109" s="17" t="str">
        <f>IFERROR(INDEX(逆引き作成用!$C$2:$C$169,MATCH($B109&amp;"/"&amp;$C109,逆引き作成用!M$2:M$169,FALSE),1),"")</f>
        <v/>
      </c>
      <c r="N109" s="17" t="str">
        <f>IFERROR(INDEX(逆引き作成用!$C$2:$C$169,MATCH($B109&amp;"/"&amp;$C109,逆引き作成用!N$2:N$169,FALSE),1),"")</f>
        <v/>
      </c>
      <c r="O109" s="17" t="str">
        <f>IFERROR(INDEX(逆引き作成用!$C$2:$C$169,MATCH($B109&amp;"/"&amp;$C109,逆引き作成用!O$2:O$169,FALSE),1),"")</f>
        <v/>
      </c>
      <c r="P109" s="17" t="str">
        <f>IFERROR(INDEX(逆引き作成用!$C$2:$C$169,MATCH($B109&amp;"/"&amp;$C109,逆引き作成用!P$2:P$169,FALSE),1),"")</f>
        <v/>
      </c>
      <c r="Q109" s="17" t="str">
        <f>IFERROR(INDEX(逆引き作成用!$C$2:$C$169,MATCH($B109&amp;"/"&amp;$C109,逆引き作成用!Q$2:Q$169,FALSE),1),"")</f>
        <v/>
      </c>
      <c r="R109" s="17" t="str">
        <f>IFERROR(INDEX(逆引き作成用!$C$2:$C$169,MATCH($B109&amp;"/"&amp;$C109,逆引き作成用!R$2:R$169,FALSE),1),"")</f>
        <v/>
      </c>
      <c r="S109" s="17" t="str">
        <f>IFERROR(INDEX(逆引き作成用!$C$2:$C$169,MATCH($B109&amp;"/"&amp;$C109,逆引き作成用!S$2:S$169,FALSE),1),"")</f>
        <v/>
      </c>
      <c r="T109" s="17" t="str">
        <f>IFERROR(INDEX(逆引き作成用!$C$2:$C$169,MATCH($B109&amp;"/"&amp;$C109,逆引き作成用!T$2:T$169,FALSE),1),"")</f>
        <v/>
      </c>
      <c r="U109" s="17" t="str">
        <f>IFERROR(INDEX(逆引き作成用!$C$2:$C$169,MATCH($B109&amp;"/"&amp;$C109,逆引き作成用!U$2:U$169,FALSE),1),"")</f>
        <v/>
      </c>
      <c r="V109" s="17" t="str">
        <f>IFERROR(INDEX(逆引き作成用!$C$2:$C$169,MATCH($B109&amp;"/"&amp;$C109,逆引き作成用!V$2:V$169,FALSE),1),"")</f>
        <v/>
      </c>
      <c r="W109" s="17" t="str">
        <f>IFERROR(INDEX(逆引き作成用!$C$2:$C$169,MATCH($B109&amp;"/"&amp;$C109,逆引き作成用!W$2:W$169,FALSE),1),"")</f>
        <v/>
      </c>
      <c r="X109" s="17" t="str">
        <f>IFERROR(INDEX(逆引き作成用!$C$2:$C$169,MATCH($B109&amp;"/"&amp;$C109,逆引き作成用!X$2:X$169,FALSE),1),"")</f>
        <v/>
      </c>
      <c r="Y109" s="17" t="str">
        <f>IFERROR(INDEX(逆引き作成用!$C$2:$C$169,MATCH($B109&amp;"/"&amp;$C109,逆引き作成用!Y$2:Y$169,FALSE),1),"")</f>
        <v/>
      </c>
      <c r="Z109" s="17" t="str">
        <f>IFERROR(INDEX(逆引き作成用!$C$2:$C$169,MATCH($B109&amp;"/"&amp;$C109,逆引き作成用!Z$2:Z$169,FALSE),1),"")</f>
        <v/>
      </c>
      <c r="AA109" s="17" t="str">
        <f>IFERROR(INDEX(逆引き作成用!$C$2:$C$169,MATCH($B109&amp;"/"&amp;$C109,逆引き作成用!AA$2:AA$169,FALSE),1),"")</f>
        <v/>
      </c>
      <c r="AB109" s="17" t="str">
        <f>IFERROR(INDEX(逆引き作成用!$C$2:$C$169,MATCH($B109&amp;"/"&amp;$C109,逆引き作成用!AB$2:AB$169,FALSE),1),"")</f>
        <v/>
      </c>
      <c r="AC109" s="17" t="str">
        <f>IFERROR(INDEX(逆引き作成用!$C$2:$C$169,MATCH($B109&amp;"/"&amp;$C109,逆引き作成用!AC$2:AC$169,FALSE),1),"")</f>
        <v/>
      </c>
      <c r="AD109" s="17" t="str">
        <f>IFERROR(INDEX(逆引き作成用!$C$2:$C$169,MATCH($B109&amp;"/"&amp;$C109,逆引き作成用!AD$2:AD$169,FALSE),1),"")</f>
        <v/>
      </c>
      <c r="AE109" s="17" t="str">
        <f>IFERROR(INDEX(逆引き作成用!$C$2:$C$169,MATCH($B109&amp;"/"&amp;$C109,逆引き作成用!AE$2:AE$169,FALSE),1),"")</f>
        <v/>
      </c>
      <c r="AF109" s="17" t="str">
        <f>IFERROR(INDEX(逆引き作成用!$C$2:$C$169,MATCH($B109&amp;"/"&amp;$C109,逆引き作成用!AF$2:AF$169,FALSE),1),"")</f>
        <v/>
      </c>
      <c r="AG109" s="17" t="str">
        <f>IFERROR(INDEX(逆引き作成用!$C$2:$C$169,MATCH($B109&amp;"/"&amp;$C109,逆引き作成用!AG$2:AG$169,FALSE),1),"")</f>
        <v/>
      </c>
      <c r="AH109" s="17" t="str">
        <f>IFERROR(INDEX(逆引き作成用!$C$2:$C$169,MATCH($B109&amp;"/"&amp;$C109,逆引き作成用!AH$2:AH$169,FALSE),1),"")</f>
        <v/>
      </c>
      <c r="AI109" s="17" t="str">
        <f>IFERROR(INDEX(逆引き作成用!$C$2:$C$169,MATCH($B109&amp;"/"&amp;$C109,逆引き作成用!AI$2:AI$169,FALSE),1),"")</f>
        <v/>
      </c>
      <c r="AJ109" s="17" t="str">
        <f>IFERROR(INDEX(逆引き作成用!$C$2:$C$169,MATCH($B109&amp;"/"&amp;$C109,逆引き作成用!AJ$2:AJ$169,FALSE),1),"")</f>
        <v/>
      </c>
      <c r="AK109" s="17" t="str">
        <f>IFERROR(INDEX(逆引き作成用!$C$2:$C$169,MATCH($B109&amp;"/"&amp;$C109,逆引き作成用!AK$2:AK$169,FALSE),1),"")</f>
        <v/>
      </c>
      <c r="AL109" s="17" t="str">
        <f>IFERROR(INDEX(逆引き作成用!$C$2:$C$169,MATCH($B109&amp;"/"&amp;$C109,逆引き作成用!AL$2:AL$169,FALSE),1),"")</f>
        <v/>
      </c>
      <c r="AM109" s="17" t="str">
        <f>IFERROR(INDEX(逆引き作成用!$C$2:$C$169,MATCH($B109&amp;"/"&amp;$C109,逆引き作成用!AM$2:AM$169,FALSE),1),"")</f>
        <v/>
      </c>
      <c r="AN109" s="17" t="str">
        <f>IFERROR(INDEX(逆引き作成用!$C$2:$C$169,MATCH($B109&amp;"/"&amp;$C109,逆引き作成用!AN$2:AN$169,FALSE),1),"")</f>
        <v/>
      </c>
      <c r="AO109" s="17" t="str">
        <f>IFERROR(INDEX(逆引き作成用!$C$2:$C$169,MATCH($B109&amp;"/"&amp;$C109,逆引き作成用!AO$2:AO$169,FALSE),1),"")</f>
        <v/>
      </c>
      <c r="AP109" s="17" t="str">
        <f>IFERROR(INDEX(逆引き作成用!$C$2:$C$169,MATCH($B109&amp;"/"&amp;$C109,逆引き作成用!AP$2:AP$169,FALSE),1),"")</f>
        <v/>
      </c>
      <c r="AQ109" s="17" t="str">
        <f>IFERROR(INDEX(逆引き作成用!$C$2:$C$169,MATCH($B109&amp;"/"&amp;$C109,逆引き作成用!AQ$2:AQ$169,FALSE),1),"")</f>
        <v/>
      </c>
      <c r="AR109" s="17" t="str">
        <f>IFERROR(INDEX(逆引き作成用!$C$2:$C$169,MATCH($B109&amp;"/"&amp;$C109,逆引き作成用!AR$2:AR$169,FALSE),1),"")</f>
        <v/>
      </c>
      <c r="AS109" s="17" t="str">
        <f>IFERROR(INDEX(逆引き作成用!$C$2:$C$169,MATCH($B109&amp;"/"&amp;$C109,逆引き作成用!AS$2:AS$169,FALSE),1),"")</f>
        <v/>
      </c>
      <c r="AT109" s="17" t="str">
        <f>IFERROR(INDEX(逆引き作成用!$C$2:$C$169,MATCH($B109&amp;"/"&amp;$C109,逆引き作成用!AT$2:AT$169,FALSE),1),"")</f>
        <v/>
      </c>
      <c r="AU109" s="17" t="str">
        <f>IFERROR(INDEX(逆引き作成用!$C$2:$C$169,MATCH($B109&amp;"/"&amp;$C109,逆引き作成用!AU$2:AU$169,FALSE),1),"")</f>
        <v/>
      </c>
      <c r="AV109" s="17" t="str">
        <f>IFERROR(INDEX(逆引き作成用!$C$2:$C$169,MATCH($B109&amp;"/"&amp;$C109,逆引き作成用!AV$2:AV$169,FALSE),1),"")</f>
        <v/>
      </c>
      <c r="AW109" s="17" t="str">
        <f>IFERROR(INDEX(逆引き作成用!$C$2:$C$169,MATCH($B109&amp;"/"&amp;$C109,逆引き作成用!AW$2:AW$169,FALSE),1),"")</f>
        <v/>
      </c>
      <c r="AX109" s="17" t="str">
        <f>IFERROR(INDEX(逆引き作成用!$C$2:$C$169,MATCH($B109&amp;"/"&amp;$C109,逆引き作成用!AX$2:AX$169,FALSE),1),"")</f>
        <v/>
      </c>
      <c r="AY109" s="17" t="str">
        <f>IFERROR(INDEX(逆引き作成用!$C$2:$C$169,MATCH($B109&amp;"/"&amp;$C109,逆引き作成用!AY$2:AY$169,FALSE),1),"")</f>
        <v/>
      </c>
      <c r="AZ109" s="17" t="str">
        <f>IFERROR(INDEX(逆引き作成用!$C$2:$C$169,MATCH($B109&amp;"/"&amp;$C109,逆引き作成用!AZ$2:AZ$169,FALSE),1),"")</f>
        <v/>
      </c>
      <c r="BA109" s="17" t="str">
        <f>IFERROR(INDEX(逆引き作成用!$C$2:$C$169,MATCH($B109&amp;"/"&amp;$C109,逆引き作成用!BA$2:BA$169,FALSE),1),"")</f>
        <v/>
      </c>
    </row>
    <row r="110" spans="1:53">
      <c r="A110" s="17" t="str">
        <f>IFERROR(INDEX(役職一覧!$B$2:$B$31,MATCH(B110,役職一覧!$C$2:$C$31,FALSE),1),"")</f>
        <v/>
      </c>
      <c r="B110" s="17" t="str">
        <f>IFERROR(IF(C110=1,INDEX(役職一覧!$C$2:$C$31,MATCH(逆引き!B109,役職一覧!$C$2:$C$31,FALSE)+1,1)&amp;"",B109),"")</f>
        <v/>
      </c>
      <c r="C110" s="17" t="str">
        <f>IFERROR(IF(VLOOKUP(B109,役職一覧!$C$2:$E$31,3,FALSE)=C109,1,C109+1),"")</f>
        <v/>
      </c>
      <c r="D110" s="17" t="str">
        <f>IFERROR(INDEX(逆引き作成用!$C$2:$C$169,MATCH($B110&amp;"/"&amp;$C110,逆引き作成用!D$2:D$169,FALSE),1),"")</f>
        <v/>
      </c>
      <c r="E110" s="17" t="str">
        <f>IFERROR(INDEX(逆引き作成用!$C$2:$C$169,MATCH($B110&amp;"/"&amp;$C110,逆引き作成用!E$2:E$169,FALSE),1),"")</f>
        <v/>
      </c>
      <c r="F110" s="17" t="str">
        <f>IFERROR(INDEX(逆引き作成用!$C$2:$C$169,MATCH($B110&amp;"/"&amp;$C110,逆引き作成用!F$2:F$169,FALSE),1),"")</f>
        <v/>
      </c>
      <c r="G110" s="17" t="str">
        <f>IFERROR(INDEX(逆引き作成用!$C$2:$C$169,MATCH($B110&amp;"/"&amp;$C110,逆引き作成用!G$2:G$169,FALSE),1),"")</f>
        <v/>
      </c>
      <c r="H110" s="17" t="str">
        <f>IFERROR(INDEX(逆引き作成用!$C$2:$C$169,MATCH($B110&amp;"/"&amp;$C110,逆引き作成用!H$2:H$169,FALSE),1),"")</f>
        <v/>
      </c>
      <c r="I110" s="17" t="str">
        <f>IFERROR(INDEX(逆引き作成用!$C$2:$C$169,MATCH($B110&amp;"/"&amp;$C110,逆引き作成用!I$2:I$169,FALSE),1),"")</f>
        <v/>
      </c>
      <c r="J110" s="17" t="str">
        <f>IFERROR(INDEX(逆引き作成用!$C$2:$C$169,MATCH($B110&amp;"/"&amp;$C110,逆引き作成用!J$2:J$169,FALSE),1),"")</f>
        <v/>
      </c>
      <c r="K110" s="17" t="str">
        <f>IFERROR(INDEX(逆引き作成用!$C$2:$C$169,MATCH($B110&amp;"/"&amp;$C110,逆引き作成用!K$2:K$169,FALSE),1),"")</f>
        <v/>
      </c>
      <c r="L110" s="17" t="str">
        <f>IFERROR(INDEX(逆引き作成用!$C$2:$C$169,MATCH($B110&amp;"/"&amp;$C110,逆引き作成用!L$2:L$169,FALSE),1),"")</f>
        <v/>
      </c>
      <c r="M110" s="17" t="str">
        <f>IFERROR(INDEX(逆引き作成用!$C$2:$C$169,MATCH($B110&amp;"/"&amp;$C110,逆引き作成用!M$2:M$169,FALSE),1),"")</f>
        <v/>
      </c>
      <c r="N110" s="17" t="str">
        <f>IFERROR(INDEX(逆引き作成用!$C$2:$C$169,MATCH($B110&amp;"/"&amp;$C110,逆引き作成用!N$2:N$169,FALSE),1),"")</f>
        <v/>
      </c>
      <c r="O110" s="17" t="str">
        <f>IFERROR(INDEX(逆引き作成用!$C$2:$C$169,MATCH($B110&amp;"/"&amp;$C110,逆引き作成用!O$2:O$169,FALSE),1),"")</f>
        <v/>
      </c>
      <c r="P110" s="17" t="str">
        <f>IFERROR(INDEX(逆引き作成用!$C$2:$C$169,MATCH($B110&amp;"/"&amp;$C110,逆引き作成用!P$2:P$169,FALSE),1),"")</f>
        <v/>
      </c>
      <c r="Q110" s="17" t="str">
        <f>IFERROR(INDEX(逆引き作成用!$C$2:$C$169,MATCH($B110&amp;"/"&amp;$C110,逆引き作成用!Q$2:Q$169,FALSE),1),"")</f>
        <v/>
      </c>
      <c r="R110" s="17" t="str">
        <f>IFERROR(INDEX(逆引き作成用!$C$2:$C$169,MATCH($B110&amp;"/"&amp;$C110,逆引き作成用!R$2:R$169,FALSE),1),"")</f>
        <v/>
      </c>
      <c r="S110" s="17" t="str">
        <f>IFERROR(INDEX(逆引き作成用!$C$2:$C$169,MATCH($B110&amp;"/"&amp;$C110,逆引き作成用!S$2:S$169,FALSE),1),"")</f>
        <v/>
      </c>
      <c r="T110" s="17" t="str">
        <f>IFERROR(INDEX(逆引き作成用!$C$2:$C$169,MATCH($B110&amp;"/"&amp;$C110,逆引き作成用!T$2:T$169,FALSE),1),"")</f>
        <v/>
      </c>
      <c r="U110" s="17" t="str">
        <f>IFERROR(INDEX(逆引き作成用!$C$2:$C$169,MATCH($B110&amp;"/"&amp;$C110,逆引き作成用!U$2:U$169,FALSE),1),"")</f>
        <v/>
      </c>
      <c r="V110" s="17" t="str">
        <f>IFERROR(INDEX(逆引き作成用!$C$2:$C$169,MATCH($B110&amp;"/"&amp;$C110,逆引き作成用!V$2:V$169,FALSE),1),"")</f>
        <v/>
      </c>
      <c r="W110" s="17" t="str">
        <f>IFERROR(INDEX(逆引き作成用!$C$2:$C$169,MATCH($B110&amp;"/"&amp;$C110,逆引き作成用!W$2:W$169,FALSE),1),"")</f>
        <v/>
      </c>
      <c r="X110" s="17" t="str">
        <f>IFERROR(INDEX(逆引き作成用!$C$2:$C$169,MATCH($B110&amp;"/"&amp;$C110,逆引き作成用!X$2:X$169,FALSE),1),"")</f>
        <v/>
      </c>
      <c r="Y110" s="17" t="str">
        <f>IFERROR(INDEX(逆引き作成用!$C$2:$C$169,MATCH($B110&amp;"/"&amp;$C110,逆引き作成用!Y$2:Y$169,FALSE),1),"")</f>
        <v/>
      </c>
      <c r="Z110" s="17" t="str">
        <f>IFERROR(INDEX(逆引き作成用!$C$2:$C$169,MATCH($B110&amp;"/"&amp;$C110,逆引き作成用!Z$2:Z$169,FALSE),1),"")</f>
        <v/>
      </c>
      <c r="AA110" s="17" t="str">
        <f>IFERROR(INDEX(逆引き作成用!$C$2:$C$169,MATCH($B110&amp;"/"&amp;$C110,逆引き作成用!AA$2:AA$169,FALSE),1),"")</f>
        <v/>
      </c>
      <c r="AB110" s="17" t="str">
        <f>IFERROR(INDEX(逆引き作成用!$C$2:$C$169,MATCH($B110&amp;"/"&amp;$C110,逆引き作成用!AB$2:AB$169,FALSE),1),"")</f>
        <v/>
      </c>
      <c r="AC110" s="17" t="str">
        <f>IFERROR(INDEX(逆引き作成用!$C$2:$C$169,MATCH($B110&amp;"/"&amp;$C110,逆引き作成用!AC$2:AC$169,FALSE),1),"")</f>
        <v/>
      </c>
      <c r="AD110" s="17" t="str">
        <f>IFERROR(INDEX(逆引き作成用!$C$2:$C$169,MATCH($B110&amp;"/"&amp;$C110,逆引き作成用!AD$2:AD$169,FALSE),1),"")</f>
        <v/>
      </c>
      <c r="AE110" s="17" t="str">
        <f>IFERROR(INDEX(逆引き作成用!$C$2:$C$169,MATCH($B110&amp;"/"&amp;$C110,逆引き作成用!AE$2:AE$169,FALSE),1),"")</f>
        <v/>
      </c>
      <c r="AF110" s="17" t="str">
        <f>IFERROR(INDEX(逆引き作成用!$C$2:$C$169,MATCH($B110&amp;"/"&amp;$C110,逆引き作成用!AF$2:AF$169,FALSE),1),"")</f>
        <v/>
      </c>
      <c r="AG110" s="17" t="str">
        <f>IFERROR(INDEX(逆引き作成用!$C$2:$C$169,MATCH($B110&amp;"/"&amp;$C110,逆引き作成用!AG$2:AG$169,FALSE),1),"")</f>
        <v/>
      </c>
      <c r="AH110" s="17" t="str">
        <f>IFERROR(INDEX(逆引き作成用!$C$2:$C$169,MATCH($B110&amp;"/"&amp;$C110,逆引き作成用!AH$2:AH$169,FALSE),1),"")</f>
        <v/>
      </c>
      <c r="AI110" s="17" t="str">
        <f>IFERROR(INDEX(逆引き作成用!$C$2:$C$169,MATCH($B110&amp;"/"&amp;$C110,逆引き作成用!AI$2:AI$169,FALSE),1),"")</f>
        <v/>
      </c>
      <c r="AJ110" s="17" t="str">
        <f>IFERROR(INDEX(逆引き作成用!$C$2:$C$169,MATCH($B110&amp;"/"&amp;$C110,逆引き作成用!AJ$2:AJ$169,FALSE),1),"")</f>
        <v/>
      </c>
      <c r="AK110" s="17" t="str">
        <f>IFERROR(INDEX(逆引き作成用!$C$2:$C$169,MATCH($B110&amp;"/"&amp;$C110,逆引き作成用!AK$2:AK$169,FALSE),1),"")</f>
        <v/>
      </c>
      <c r="AL110" s="17" t="str">
        <f>IFERROR(INDEX(逆引き作成用!$C$2:$C$169,MATCH($B110&amp;"/"&amp;$C110,逆引き作成用!AL$2:AL$169,FALSE),1),"")</f>
        <v/>
      </c>
      <c r="AM110" s="17" t="str">
        <f>IFERROR(INDEX(逆引き作成用!$C$2:$C$169,MATCH($B110&amp;"/"&amp;$C110,逆引き作成用!AM$2:AM$169,FALSE),1),"")</f>
        <v/>
      </c>
      <c r="AN110" s="17" t="str">
        <f>IFERROR(INDEX(逆引き作成用!$C$2:$C$169,MATCH($B110&amp;"/"&amp;$C110,逆引き作成用!AN$2:AN$169,FALSE),1),"")</f>
        <v/>
      </c>
      <c r="AO110" s="17" t="str">
        <f>IFERROR(INDEX(逆引き作成用!$C$2:$C$169,MATCH($B110&amp;"/"&amp;$C110,逆引き作成用!AO$2:AO$169,FALSE),1),"")</f>
        <v/>
      </c>
      <c r="AP110" s="17" t="str">
        <f>IFERROR(INDEX(逆引き作成用!$C$2:$C$169,MATCH($B110&amp;"/"&amp;$C110,逆引き作成用!AP$2:AP$169,FALSE),1),"")</f>
        <v/>
      </c>
      <c r="AQ110" s="17" t="str">
        <f>IFERROR(INDEX(逆引き作成用!$C$2:$C$169,MATCH($B110&amp;"/"&amp;$C110,逆引き作成用!AQ$2:AQ$169,FALSE),1),"")</f>
        <v/>
      </c>
      <c r="AR110" s="17" t="str">
        <f>IFERROR(INDEX(逆引き作成用!$C$2:$C$169,MATCH($B110&amp;"/"&amp;$C110,逆引き作成用!AR$2:AR$169,FALSE),1),"")</f>
        <v/>
      </c>
      <c r="AS110" s="17" t="str">
        <f>IFERROR(INDEX(逆引き作成用!$C$2:$C$169,MATCH($B110&amp;"/"&amp;$C110,逆引き作成用!AS$2:AS$169,FALSE),1),"")</f>
        <v/>
      </c>
      <c r="AT110" s="17" t="str">
        <f>IFERROR(INDEX(逆引き作成用!$C$2:$C$169,MATCH($B110&amp;"/"&amp;$C110,逆引き作成用!AT$2:AT$169,FALSE),1),"")</f>
        <v/>
      </c>
      <c r="AU110" s="17" t="str">
        <f>IFERROR(INDEX(逆引き作成用!$C$2:$C$169,MATCH($B110&amp;"/"&amp;$C110,逆引き作成用!AU$2:AU$169,FALSE),1),"")</f>
        <v/>
      </c>
      <c r="AV110" s="17" t="str">
        <f>IFERROR(INDEX(逆引き作成用!$C$2:$C$169,MATCH($B110&amp;"/"&amp;$C110,逆引き作成用!AV$2:AV$169,FALSE),1),"")</f>
        <v/>
      </c>
      <c r="AW110" s="17" t="str">
        <f>IFERROR(INDEX(逆引き作成用!$C$2:$C$169,MATCH($B110&amp;"/"&amp;$C110,逆引き作成用!AW$2:AW$169,FALSE),1),"")</f>
        <v/>
      </c>
      <c r="AX110" s="17" t="str">
        <f>IFERROR(INDEX(逆引き作成用!$C$2:$C$169,MATCH($B110&amp;"/"&amp;$C110,逆引き作成用!AX$2:AX$169,FALSE),1),"")</f>
        <v/>
      </c>
      <c r="AY110" s="17" t="str">
        <f>IFERROR(INDEX(逆引き作成用!$C$2:$C$169,MATCH($B110&amp;"/"&amp;$C110,逆引き作成用!AY$2:AY$169,FALSE),1),"")</f>
        <v/>
      </c>
      <c r="AZ110" s="17" t="str">
        <f>IFERROR(INDEX(逆引き作成用!$C$2:$C$169,MATCH($B110&amp;"/"&amp;$C110,逆引き作成用!AZ$2:AZ$169,FALSE),1),"")</f>
        <v/>
      </c>
      <c r="BA110" s="17" t="str">
        <f>IFERROR(INDEX(逆引き作成用!$C$2:$C$169,MATCH($B110&amp;"/"&amp;$C110,逆引き作成用!BA$2:BA$169,FALSE),1),"")</f>
        <v/>
      </c>
    </row>
    <row r="111" spans="1:53">
      <c r="A111" s="17" t="str">
        <f>IFERROR(INDEX(役職一覧!$B$2:$B$31,MATCH(B111,役職一覧!$C$2:$C$31,FALSE),1),"")</f>
        <v/>
      </c>
      <c r="B111" s="17" t="str">
        <f>IFERROR(IF(C111=1,INDEX(役職一覧!$C$2:$C$31,MATCH(逆引き!B110,役職一覧!$C$2:$C$31,FALSE)+1,1)&amp;"",B110),"")</f>
        <v/>
      </c>
      <c r="C111" s="17" t="str">
        <f>IFERROR(IF(VLOOKUP(B110,役職一覧!$C$2:$E$31,3,FALSE)=C110,1,C110+1),"")</f>
        <v/>
      </c>
      <c r="D111" s="17" t="str">
        <f>IFERROR(INDEX(逆引き作成用!$C$2:$C$169,MATCH($B111&amp;"/"&amp;$C111,逆引き作成用!D$2:D$169,FALSE),1),"")</f>
        <v/>
      </c>
      <c r="E111" s="17" t="str">
        <f>IFERROR(INDEX(逆引き作成用!$C$2:$C$169,MATCH($B111&amp;"/"&amp;$C111,逆引き作成用!E$2:E$169,FALSE),1),"")</f>
        <v/>
      </c>
      <c r="F111" s="17" t="str">
        <f>IFERROR(INDEX(逆引き作成用!$C$2:$C$169,MATCH($B111&amp;"/"&amp;$C111,逆引き作成用!F$2:F$169,FALSE),1),"")</f>
        <v/>
      </c>
      <c r="G111" s="17" t="str">
        <f>IFERROR(INDEX(逆引き作成用!$C$2:$C$169,MATCH($B111&amp;"/"&amp;$C111,逆引き作成用!G$2:G$169,FALSE),1),"")</f>
        <v/>
      </c>
      <c r="H111" s="17" t="str">
        <f>IFERROR(INDEX(逆引き作成用!$C$2:$C$169,MATCH($B111&amp;"/"&amp;$C111,逆引き作成用!H$2:H$169,FALSE),1),"")</f>
        <v/>
      </c>
      <c r="I111" s="17" t="str">
        <f>IFERROR(INDEX(逆引き作成用!$C$2:$C$169,MATCH($B111&amp;"/"&amp;$C111,逆引き作成用!I$2:I$169,FALSE),1),"")</f>
        <v/>
      </c>
      <c r="J111" s="17" t="str">
        <f>IFERROR(INDEX(逆引き作成用!$C$2:$C$169,MATCH($B111&amp;"/"&amp;$C111,逆引き作成用!J$2:J$169,FALSE),1),"")</f>
        <v/>
      </c>
      <c r="K111" s="17" t="str">
        <f>IFERROR(INDEX(逆引き作成用!$C$2:$C$169,MATCH($B111&amp;"/"&amp;$C111,逆引き作成用!K$2:K$169,FALSE),1),"")</f>
        <v/>
      </c>
      <c r="L111" s="17" t="str">
        <f>IFERROR(INDEX(逆引き作成用!$C$2:$C$169,MATCH($B111&amp;"/"&amp;$C111,逆引き作成用!L$2:L$169,FALSE),1),"")</f>
        <v/>
      </c>
      <c r="M111" s="17" t="str">
        <f>IFERROR(INDEX(逆引き作成用!$C$2:$C$169,MATCH($B111&amp;"/"&amp;$C111,逆引き作成用!M$2:M$169,FALSE),1),"")</f>
        <v/>
      </c>
      <c r="N111" s="17" t="str">
        <f>IFERROR(INDEX(逆引き作成用!$C$2:$C$169,MATCH($B111&amp;"/"&amp;$C111,逆引き作成用!N$2:N$169,FALSE),1),"")</f>
        <v/>
      </c>
      <c r="O111" s="17" t="str">
        <f>IFERROR(INDEX(逆引き作成用!$C$2:$C$169,MATCH($B111&amp;"/"&amp;$C111,逆引き作成用!O$2:O$169,FALSE),1),"")</f>
        <v/>
      </c>
      <c r="P111" s="17" t="str">
        <f>IFERROR(INDEX(逆引き作成用!$C$2:$C$169,MATCH($B111&amp;"/"&amp;$C111,逆引き作成用!P$2:P$169,FALSE),1),"")</f>
        <v/>
      </c>
      <c r="Q111" s="17" t="str">
        <f>IFERROR(INDEX(逆引き作成用!$C$2:$C$169,MATCH($B111&amp;"/"&amp;$C111,逆引き作成用!Q$2:Q$169,FALSE),1),"")</f>
        <v/>
      </c>
      <c r="R111" s="17" t="str">
        <f>IFERROR(INDEX(逆引き作成用!$C$2:$C$169,MATCH($B111&amp;"/"&amp;$C111,逆引き作成用!R$2:R$169,FALSE),1),"")</f>
        <v/>
      </c>
      <c r="S111" s="17" t="str">
        <f>IFERROR(INDEX(逆引き作成用!$C$2:$C$169,MATCH($B111&amp;"/"&amp;$C111,逆引き作成用!S$2:S$169,FALSE),1),"")</f>
        <v/>
      </c>
      <c r="T111" s="17" t="str">
        <f>IFERROR(INDEX(逆引き作成用!$C$2:$C$169,MATCH($B111&amp;"/"&amp;$C111,逆引き作成用!T$2:T$169,FALSE),1),"")</f>
        <v/>
      </c>
      <c r="U111" s="17" t="str">
        <f>IFERROR(INDEX(逆引き作成用!$C$2:$C$169,MATCH($B111&amp;"/"&amp;$C111,逆引き作成用!U$2:U$169,FALSE),1),"")</f>
        <v/>
      </c>
      <c r="V111" s="17" t="str">
        <f>IFERROR(INDEX(逆引き作成用!$C$2:$C$169,MATCH($B111&amp;"/"&amp;$C111,逆引き作成用!V$2:V$169,FALSE),1),"")</f>
        <v/>
      </c>
      <c r="W111" s="17" t="str">
        <f>IFERROR(INDEX(逆引き作成用!$C$2:$C$169,MATCH($B111&amp;"/"&amp;$C111,逆引き作成用!W$2:W$169,FALSE),1),"")</f>
        <v/>
      </c>
      <c r="X111" s="17" t="str">
        <f>IFERROR(INDEX(逆引き作成用!$C$2:$C$169,MATCH($B111&amp;"/"&amp;$C111,逆引き作成用!X$2:X$169,FALSE),1),"")</f>
        <v/>
      </c>
      <c r="Y111" s="17" t="str">
        <f>IFERROR(INDEX(逆引き作成用!$C$2:$C$169,MATCH($B111&amp;"/"&amp;$C111,逆引き作成用!Y$2:Y$169,FALSE),1),"")</f>
        <v/>
      </c>
      <c r="Z111" s="17" t="str">
        <f>IFERROR(INDEX(逆引き作成用!$C$2:$C$169,MATCH($B111&amp;"/"&amp;$C111,逆引き作成用!Z$2:Z$169,FALSE),1),"")</f>
        <v/>
      </c>
      <c r="AA111" s="17" t="str">
        <f>IFERROR(INDEX(逆引き作成用!$C$2:$C$169,MATCH($B111&amp;"/"&amp;$C111,逆引き作成用!AA$2:AA$169,FALSE),1),"")</f>
        <v/>
      </c>
      <c r="AB111" s="17" t="str">
        <f>IFERROR(INDEX(逆引き作成用!$C$2:$C$169,MATCH($B111&amp;"/"&amp;$C111,逆引き作成用!AB$2:AB$169,FALSE),1),"")</f>
        <v/>
      </c>
      <c r="AC111" s="17" t="str">
        <f>IFERROR(INDEX(逆引き作成用!$C$2:$C$169,MATCH($B111&amp;"/"&amp;$C111,逆引き作成用!AC$2:AC$169,FALSE),1),"")</f>
        <v/>
      </c>
      <c r="AD111" s="17" t="str">
        <f>IFERROR(INDEX(逆引き作成用!$C$2:$C$169,MATCH($B111&amp;"/"&amp;$C111,逆引き作成用!AD$2:AD$169,FALSE),1),"")</f>
        <v/>
      </c>
      <c r="AE111" s="17" t="str">
        <f>IFERROR(INDEX(逆引き作成用!$C$2:$C$169,MATCH($B111&amp;"/"&amp;$C111,逆引き作成用!AE$2:AE$169,FALSE),1),"")</f>
        <v/>
      </c>
      <c r="AF111" s="17" t="str">
        <f>IFERROR(INDEX(逆引き作成用!$C$2:$C$169,MATCH($B111&amp;"/"&amp;$C111,逆引き作成用!AF$2:AF$169,FALSE),1),"")</f>
        <v/>
      </c>
      <c r="AG111" s="17" t="str">
        <f>IFERROR(INDEX(逆引き作成用!$C$2:$C$169,MATCH($B111&amp;"/"&amp;$C111,逆引き作成用!AG$2:AG$169,FALSE),1),"")</f>
        <v/>
      </c>
      <c r="AH111" s="17" t="str">
        <f>IFERROR(INDEX(逆引き作成用!$C$2:$C$169,MATCH($B111&amp;"/"&amp;$C111,逆引き作成用!AH$2:AH$169,FALSE),1),"")</f>
        <v/>
      </c>
      <c r="AI111" s="17" t="str">
        <f>IFERROR(INDEX(逆引き作成用!$C$2:$C$169,MATCH($B111&amp;"/"&amp;$C111,逆引き作成用!AI$2:AI$169,FALSE),1),"")</f>
        <v/>
      </c>
      <c r="AJ111" s="17" t="str">
        <f>IFERROR(INDEX(逆引き作成用!$C$2:$C$169,MATCH($B111&amp;"/"&amp;$C111,逆引き作成用!AJ$2:AJ$169,FALSE),1),"")</f>
        <v/>
      </c>
      <c r="AK111" s="17" t="str">
        <f>IFERROR(INDEX(逆引き作成用!$C$2:$C$169,MATCH($B111&amp;"/"&amp;$C111,逆引き作成用!AK$2:AK$169,FALSE),1),"")</f>
        <v/>
      </c>
      <c r="AL111" s="17" t="str">
        <f>IFERROR(INDEX(逆引き作成用!$C$2:$C$169,MATCH($B111&amp;"/"&amp;$C111,逆引き作成用!AL$2:AL$169,FALSE),1),"")</f>
        <v/>
      </c>
      <c r="AM111" s="17" t="str">
        <f>IFERROR(INDEX(逆引き作成用!$C$2:$C$169,MATCH($B111&amp;"/"&amp;$C111,逆引き作成用!AM$2:AM$169,FALSE),1),"")</f>
        <v/>
      </c>
      <c r="AN111" s="17" t="str">
        <f>IFERROR(INDEX(逆引き作成用!$C$2:$C$169,MATCH($B111&amp;"/"&amp;$C111,逆引き作成用!AN$2:AN$169,FALSE),1),"")</f>
        <v/>
      </c>
      <c r="AO111" s="17" t="str">
        <f>IFERROR(INDEX(逆引き作成用!$C$2:$C$169,MATCH($B111&amp;"/"&amp;$C111,逆引き作成用!AO$2:AO$169,FALSE),1),"")</f>
        <v/>
      </c>
      <c r="AP111" s="17" t="str">
        <f>IFERROR(INDEX(逆引き作成用!$C$2:$C$169,MATCH($B111&amp;"/"&amp;$C111,逆引き作成用!AP$2:AP$169,FALSE),1),"")</f>
        <v/>
      </c>
      <c r="AQ111" s="17" t="str">
        <f>IFERROR(INDEX(逆引き作成用!$C$2:$C$169,MATCH($B111&amp;"/"&amp;$C111,逆引き作成用!AQ$2:AQ$169,FALSE),1),"")</f>
        <v/>
      </c>
      <c r="AR111" s="17" t="str">
        <f>IFERROR(INDEX(逆引き作成用!$C$2:$C$169,MATCH($B111&amp;"/"&amp;$C111,逆引き作成用!AR$2:AR$169,FALSE),1),"")</f>
        <v/>
      </c>
      <c r="AS111" s="17" t="str">
        <f>IFERROR(INDEX(逆引き作成用!$C$2:$C$169,MATCH($B111&amp;"/"&amp;$C111,逆引き作成用!AS$2:AS$169,FALSE),1),"")</f>
        <v/>
      </c>
      <c r="AT111" s="17" t="str">
        <f>IFERROR(INDEX(逆引き作成用!$C$2:$C$169,MATCH($B111&amp;"/"&amp;$C111,逆引き作成用!AT$2:AT$169,FALSE),1),"")</f>
        <v/>
      </c>
      <c r="AU111" s="17" t="str">
        <f>IFERROR(INDEX(逆引き作成用!$C$2:$C$169,MATCH($B111&amp;"/"&amp;$C111,逆引き作成用!AU$2:AU$169,FALSE),1),"")</f>
        <v/>
      </c>
      <c r="AV111" s="17" t="str">
        <f>IFERROR(INDEX(逆引き作成用!$C$2:$C$169,MATCH($B111&amp;"/"&amp;$C111,逆引き作成用!AV$2:AV$169,FALSE),1),"")</f>
        <v/>
      </c>
      <c r="AW111" s="17" t="str">
        <f>IFERROR(INDEX(逆引き作成用!$C$2:$C$169,MATCH($B111&amp;"/"&amp;$C111,逆引き作成用!AW$2:AW$169,FALSE),1),"")</f>
        <v/>
      </c>
      <c r="AX111" s="17" t="str">
        <f>IFERROR(INDEX(逆引き作成用!$C$2:$C$169,MATCH($B111&amp;"/"&amp;$C111,逆引き作成用!AX$2:AX$169,FALSE),1),"")</f>
        <v/>
      </c>
      <c r="AY111" s="17" t="str">
        <f>IFERROR(INDEX(逆引き作成用!$C$2:$C$169,MATCH($B111&amp;"/"&amp;$C111,逆引き作成用!AY$2:AY$169,FALSE),1),"")</f>
        <v/>
      </c>
      <c r="AZ111" s="17" t="str">
        <f>IFERROR(INDEX(逆引き作成用!$C$2:$C$169,MATCH($B111&amp;"/"&amp;$C111,逆引き作成用!AZ$2:AZ$169,FALSE),1),"")</f>
        <v/>
      </c>
      <c r="BA111" s="17" t="str">
        <f>IFERROR(INDEX(逆引き作成用!$C$2:$C$169,MATCH($B111&amp;"/"&amp;$C111,逆引き作成用!BA$2:BA$169,FALSE),1),"")</f>
        <v/>
      </c>
    </row>
    <row r="112" spans="1:53">
      <c r="A112" s="17" t="str">
        <f>IFERROR(INDEX(役職一覧!$B$2:$B$31,MATCH(B112,役職一覧!$C$2:$C$31,FALSE),1),"")</f>
        <v/>
      </c>
      <c r="B112" s="17" t="str">
        <f>IFERROR(IF(C112=1,INDEX(役職一覧!$C$2:$C$31,MATCH(逆引き!B111,役職一覧!$C$2:$C$31,FALSE)+1,1)&amp;"",B111),"")</f>
        <v/>
      </c>
      <c r="C112" s="17" t="str">
        <f>IFERROR(IF(VLOOKUP(B111,役職一覧!$C$2:$E$31,3,FALSE)=C111,1,C111+1),"")</f>
        <v/>
      </c>
      <c r="D112" s="17" t="str">
        <f>IFERROR(INDEX(逆引き作成用!$C$2:$C$169,MATCH($B112&amp;"/"&amp;$C112,逆引き作成用!D$2:D$169,FALSE),1),"")</f>
        <v/>
      </c>
      <c r="E112" s="17" t="str">
        <f>IFERROR(INDEX(逆引き作成用!$C$2:$C$169,MATCH($B112&amp;"/"&amp;$C112,逆引き作成用!E$2:E$169,FALSE),1),"")</f>
        <v/>
      </c>
      <c r="F112" s="17" t="str">
        <f>IFERROR(INDEX(逆引き作成用!$C$2:$C$169,MATCH($B112&amp;"/"&amp;$C112,逆引き作成用!F$2:F$169,FALSE),1),"")</f>
        <v/>
      </c>
      <c r="G112" s="17" t="str">
        <f>IFERROR(INDEX(逆引き作成用!$C$2:$C$169,MATCH($B112&amp;"/"&amp;$C112,逆引き作成用!G$2:G$169,FALSE),1),"")</f>
        <v/>
      </c>
      <c r="H112" s="17" t="str">
        <f>IFERROR(INDEX(逆引き作成用!$C$2:$C$169,MATCH($B112&amp;"/"&amp;$C112,逆引き作成用!H$2:H$169,FALSE),1),"")</f>
        <v/>
      </c>
      <c r="I112" s="17" t="str">
        <f>IFERROR(INDEX(逆引き作成用!$C$2:$C$169,MATCH($B112&amp;"/"&amp;$C112,逆引き作成用!I$2:I$169,FALSE),1),"")</f>
        <v/>
      </c>
      <c r="J112" s="17" t="str">
        <f>IFERROR(INDEX(逆引き作成用!$C$2:$C$169,MATCH($B112&amp;"/"&amp;$C112,逆引き作成用!J$2:J$169,FALSE),1),"")</f>
        <v/>
      </c>
      <c r="K112" s="17" t="str">
        <f>IFERROR(INDEX(逆引き作成用!$C$2:$C$169,MATCH($B112&amp;"/"&amp;$C112,逆引き作成用!K$2:K$169,FALSE),1),"")</f>
        <v/>
      </c>
      <c r="L112" s="17" t="str">
        <f>IFERROR(INDEX(逆引き作成用!$C$2:$C$169,MATCH($B112&amp;"/"&amp;$C112,逆引き作成用!L$2:L$169,FALSE),1),"")</f>
        <v/>
      </c>
      <c r="M112" s="17" t="str">
        <f>IFERROR(INDEX(逆引き作成用!$C$2:$C$169,MATCH($B112&amp;"/"&amp;$C112,逆引き作成用!M$2:M$169,FALSE),1),"")</f>
        <v/>
      </c>
      <c r="N112" s="17" t="str">
        <f>IFERROR(INDEX(逆引き作成用!$C$2:$C$169,MATCH($B112&amp;"/"&amp;$C112,逆引き作成用!N$2:N$169,FALSE),1),"")</f>
        <v/>
      </c>
      <c r="O112" s="17" t="str">
        <f>IFERROR(INDEX(逆引き作成用!$C$2:$C$169,MATCH($B112&amp;"/"&amp;$C112,逆引き作成用!O$2:O$169,FALSE),1),"")</f>
        <v/>
      </c>
      <c r="P112" s="17" t="str">
        <f>IFERROR(INDEX(逆引き作成用!$C$2:$C$169,MATCH($B112&amp;"/"&amp;$C112,逆引き作成用!P$2:P$169,FALSE),1),"")</f>
        <v/>
      </c>
      <c r="Q112" s="17" t="str">
        <f>IFERROR(INDEX(逆引き作成用!$C$2:$C$169,MATCH($B112&amp;"/"&amp;$C112,逆引き作成用!Q$2:Q$169,FALSE),1),"")</f>
        <v/>
      </c>
      <c r="R112" s="17" t="str">
        <f>IFERROR(INDEX(逆引き作成用!$C$2:$C$169,MATCH($B112&amp;"/"&amp;$C112,逆引き作成用!R$2:R$169,FALSE),1),"")</f>
        <v/>
      </c>
      <c r="S112" s="17" t="str">
        <f>IFERROR(INDEX(逆引き作成用!$C$2:$C$169,MATCH($B112&amp;"/"&amp;$C112,逆引き作成用!S$2:S$169,FALSE),1),"")</f>
        <v/>
      </c>
      <c r="T112" s="17" t="str">
        <f>IFERROR(INDEX(逆引き作成用!$C$2:$C$169,MATCH($B112&amp;"/"&amp;$C112,逆引き作成用!T$2:T$169,FALSE),1),"")</f>
        <v/>
      </c>
      <c r="U112" s="17" t="str">
        <f>IFERROR(INDEX(逆引き作成用!$C$2:$C$169,MATCH($B112&amp;"/"&amp;$C112,逆引き作成用!U$2:U$169,FALSE),1),"")</f>
        <v/>
      </c>
      <c r="V112" s="17" t="str">
        <f>IFERROR(INDEX(逆引き作成用!$C$2:$C$169,MATCH($B112&amp;"/"&amp;$C112,逆引き作成用!V$2:V$169,FALSE),1),"")</f>
        <v/>
      </c>
      <c r="W112" s="17" t="str">
        <f>IFERROR(INDEX(逆引き作成用!$C$2:$C$169,MATCH($B112&amp;"/"&amp;$C112,逆引き作成用!W$2:W$169,FALSE),1),"")</f>
        <v/>
      </c>
      <c r="X112" s="17" t="str">
        <f>IFERROR(INDEX(逆引き作成用!$C$2:$C$169,MATCH($B112&amp;"/"&amp;$C112,逆引き作成用!X$2:X$169,FALSE),1),"")</f>
        <v/>
      </c>
      <c r="Y112" s="17" t="str">
        <f>IFERROR(INDEX(逆引き作成用!$C$2:$C$169,MATCH($B112&amp;"/"&amp;$C112,逆引き作成用!Y$2:Y$169,FALSE),1),"")</f>
        <v/>
      </c>
      <c r="Z112" s="17" t="str">
        <f>IFERROR(INDEX(逆引き作成用!$C$2:$C$169,MATCH($B112&amp;"/"&amp;$C112,逆引き作成用!Z$2:Z$169,FALSE),1),"")</f>
        <v/>
      </c>
      <c r="AA112" s="17" t="str">
        <f>IFERROR(INDEX(逆引き作成用!$C$2:$C$169,MATCH($B112&amp;"/"&amp;$C112,逆引き作成用!AA$2:AA$169,FALSE),1),"")</f>
        <v/>
      </c>
      <c r="AB112" s="17" t="str">
        <f>IFERROR(INDEX(逆引き作成用!$C$2:$C$169,MATCH($B112&amp;"/"&amp;$C112,逆引き作成用!AB$2:AB$169,FALSE),1),"")</f>
        <v/>
      </c>
      <c r="AC112" s="17" t="str">
        <f>IFERROR(INDEX(逆引き作成用!$C$2:$C$169,MATCH($B112&amp;"/"&amp;$C112,逆引き作成用!AC$2:AC$169,FALSE),1),"")</f>
        <v/>
      </c>
      <c r="AD112" s="17" t="str">
        <f>IFERROR(INDEX(逆引き作成用!$C$2:$C$169,MATCH($B112&amp;"/"&amp;$C112,逆引き作成用!AD$2:AD$169,FALSE),1),"")</f>
        <v/>
      </c>
      <c r="AE112" s="17" t="str">
        <f>IFERROR(INDEX(逆引き作成用!$C$2:$C$169,MATCH($B112&amp;"/"&amp;$C112,逆引き作成用!AE$2:AE$169,FALSE),1),"")</f>
        <v/>
      </c>
      <c r="AF112" s="17" t="str">
        <f>IFERROR(INDEX(逆引き作成用!$C$2:$C$169,MATCH($B112&amp;"/"&amp;$C112,逆引き作成用!AF$2:AF$169,FALSE),1),"")</f>
        <v/>
      </c>
      <c r="AG112" s="17" t="str">
        <f>IFERROR(INDEX(逆引き作成用!$C$2:$C$169,MATCH($B112&amp;"/"&amp;$C112,逆引き作成用!AG$2:AG$169,FALSE),1),"")</f>
        <v/>
      </c>
      <c r="AH112" s="17" t="str">
        <f>IFERROR(INDEX(逆引き作成用!$C$2:$C$169,MATCH($B112&amp;"/"&amp;$C112,逆引き作成用!AH$2:AH$169,FALSE),1),"")</f>
        <v/>
      </c>
      <c r="AI112" s="17" t="str">
        <f>IFERROR(INDEX(逆引き作成用!$C$2:$C$169,MATCH($B112&amp;"/"&amp;$C112,逆引き作成用!AI$2:AI$169,FALSE),1),"")</f>
        <v/>
      </c>
      <c r="AJ112" s="17" t="str">
        <f>IFERROR(INDEX(逆引き作成用!$C$2:$C$169,MATCH($B112&amp;"/"&amp;$C112,逆引き作成用!AJ$2:AJ$169,FALSE),1),"")</f>
        <v/>
      </c>
      <c r="AK112" s="17" t="str">
        <f>IFERROR(INDEX(逆引き作成用!$C$2:$C$169,MATCH($B112&amp;"/"&amp;$C112,逆引き作成用!AK$2:AK$169,FALSE),1),"")</f>
        <v/>
      </c>
      <c r="AL112" s="17" t="str">
        <f>IFERROR(INDEX(逆引き作成用!$C$2:$C$169,MATCH($B112&amp;"/"&amp;$C112,逆引き作成用!AL$2:AL$169,FALSE),1),"")</f>
        <v/>
      </c>
      <c r="AM112" s="17" t="str">
        <f>IFERROR(INDEX(逆引き作成用!$C$2:$C$169,MATCH($B112&amp;"/"&amp;$C112,逆引き作成用!AM$2:AM$169,FALSE),1),"")</f>
        <v/>
      </c>
      <c r="AN112" s="17" t="str">
        <f>IFERROR(INDEX(逆引き作成用!$C$2:$C$169,MATCH($B112&amp;"/"&amp;$C112,逆引き作成用!AN$2:AN$169,FALSE),1),"")</f>
        <v/>
      </c>
      <c r="AO112" s="17" t="str">
        <f>IFERROR(INDEX(逆引き作成用!$C$2:$C$169,MATCH($B112&amp;"/"&amp;$C112,逆引き作成用!AO$2:AO$169,FALSE),1),"")</f>
        <v/>
      </c>
      <c r="AP112" s="17" t="str">
        <f>IFERROR(INDEX(逆引き作成用!$C$2:$C$169,MATCH($B112&amp;"/"&amp;$C112,逆引き作成用!AP$2:AP$169,FALSE),1),"")</f>
        <v/>
      </c>
      <c r="AQ112" s="17" t="str">
        <f>IFERROR(INDEX(逆引き作成用!$C$2:$C$169,MATCH($B112&amp;"/"&amp;$C112,逆引き作成用!AQ$2:AQ$169,FALSE),1),"")</f>
        <v/>
      </c>
      <c r="AR112" s="17" t="str">
        <f>IFERROR(INDEX(逆引き作成用!$C$2:$C$169,MATCH($B112&amp;"/"&amp;$C112,逆引き作成用!AR$2:AR$169,FALSE),1),"")</f>
        <v/>
      </c>
      <c r="AS112" s="17" t="str">
        <f>IFERROR(INDEX(逆引き作成用!$C$2:$C$169,MATCH($B112&amp;"/"&amp;$C112,逆引き作成用!AS$2:AS$169,FALSE),1),"")</f>
        <v/>
      </c>
      <c r="AT112" s="17" t="str">
        <f>IFERROR(INDEX(逆引き作成用!$C$2:$C$169,MATCH($B112&amp;"/"&amp;$C112,逆引き作成用!AT$2:AT$169,FALSE),1),"")</f>
        <v/>
      </c>
      <c r="AU112" s="17" t="str">
        <f>IFERROR(INDEX(逆引き作成用!$C$2:$C$169,MATCH($B112&amp;"/"&amp;$C112,逆引き作成用!AU$2:AU$169,FALSE),1),"")</f>
        <v/>
      </c>
      <c r="AV112" s="17" t="str">
        <f>IFERROR(INDEX(逆引き作成用!$C$2:$C$169,MATCH($B112&amp;"/"&amp;$C112,逆引き作成用!AV$2:AV$169,FALSE),1),"")</f>
        <v/>
      </c>
      <c r="AW112" s="17" t="str">
        <f>IFERROR(INDEX(逆引き作成用!$C$2:$C$169,MATCH($B112&amp;"/"&amp;$C112,逆引き作成用!AW$2:AW$169,FALSE),1),"")</f>
        <v/>
      </c>
      <c r="AX112" s="17" t="str">
        <f>IFERROR(INDEX(逆引き作成用!$C$2:$C$169,MATCH($B112&amp;"/"&amp;$C112,逆引き作成用!AX$2:AX$169,FALSE),1),"")</f>
        <v/>
      </c>
      <c r="AY112" s="17" t="str">
        <f>IFERROR(INDEX(逆引き作成用!$C$2:$C$169,MATCH($B112&amp;"/"&amp;$C112,逆引き作成用!AY$2:AY$169,FALSE),1),"")</f>
        <v/>
      </c>
      <c r="AZ112" s="17" t="str">
        <f>IFERROR(INDEX(逆引き作成用!$C$2:$C$169,MATCH($B112&amp;"/"&amp;$C112,逆引き作成用!AZ$2:AZ$169,FALSE),1),"")</f>
        <v/>
      </c>
      <c r="BA112" s="17" t="str">
        <f>IFERROR(INDEX(逆引き作成用!$C$2:$C$169,MATCH($B112&amp;"/"&amp;$C112,逆引き作成用!BA$2:BA$169,FALSE),1),"")</f>
        <v/>
      </c>
    </row>
    <row r="113" spans="1:53">
      <c r="A113" s="17" t="str">
        <f>IFERROR(INDEX(役職一覧!$B$2:$B$31,MATCH(B113,役職一覧!$C$2:$C$31,FALSE),1),"")</f>
        <v/>
      </c>
      <c r="B113" s="17" t="str">
        <f>IFERROR(IF(C113=1,INDEX(役職一覧!$C$2:$C$31,MATCH(逆引き!B112,役職一覧!$C$2:$C$31,FALSE)+1,1)&amp;"",B112),"")</f>
        <v/>
      </c>
      <c r="C113" s="17" t="str">
        <f>IFERROR(IF(VLOOKUP(B112,役職一覧!$C$2:$E$31,3,FALSE)=C112,1,C112+1),"")</f>
        <v/>
      </c>
      <c r="D113" s="17" t="str">
        <f>IFERROR(INDEX(逆引き作成用!$C$2:$C$169,MATCH($B113&amp;"/"&amp;$C113,逆引き作成用!D$2:D$169,FALSE),1),"")</f>
        <v/>
      </c>
      <c r="E113" s="17" t="str">
        <f>IFERROR(INDEX(逆引き作成用!$C$2:$C$169,MATCH($B113&amp;"/"&amp;$C113,逆引き作成用!E$2:E$169,FALSE),1),"")</f>
        <v/>
      </c>
      <c r="F113" s="17" t="str">
        <f>IFERROR(INDEX(逆引き作成用!$C$2:$C$169,MATCH($B113&amp;"/"&amp;$C113,逆引き作成用!F$2:F$169,FALSE),1),"")</f>
        <v/>
      </c>
      <c r="G113" s="17" t="str">
        <f>IFERROR(INDEX(逆引き作成用!$C$2:$C$169,MATCH($B113&amp;"/"&amp;$C113,逆引き作成用!G$2:G$169,FALSE),1),"")</f>
        <v/>
      </c>
      <c r="H113" s="17" t="str">
        <f>IFERROR(INDEX(逆引き作成用!$C$2:$C$169,MATCH($B113&amp;"/"&amp;$C113,逆引き作成用!H$2:H$169,FALSE),1),"")</f>
        <v/>
      </c>
      <c r="I113" s="17" t="str">
        <f>IFERROR(INDEX(逆引き作成用!$C$2:$C$169,MATCH($B113&amp;"/"&amp;$C113,逆引き作成用!I$2:I$169,FALSE),1),"")</f>
        <v/>
      </c>
      <c r="J113" s="17" t="str">
        <f>IFERROR(INDEX(逆引き作成用!$C$2:$C$169,MATCH($B113&amp;"/"&amp;$C113,逆引き作成用!J$2:J$169,FALSE),1),"")</f>
        <v/>
      </c>
      <c r="K113" s="17" t="str">
        <f>IFERROR(INDEX(逆引き作成用!$C$2:$C$169,MATCH($B113&amp;"/"&amp;$C113,逆引き作成用!K$2:K$169,FALSE),1),"")</f>
        <v/>
      </c>
      <c r="L113" s="17" t="str">
        <f>IFERROR(INDEX(逆引き作成用!$C$2:$C$169,MATCH($B113&amp;"/"&amp;$C113,逆引き作成用!L$2:L$169,FALSE),1),"")</f>
        <v/>
      </c>
      <c r="M113" s="17" t="str">
        <f>IFERROR(INDEX(逆引き作成用!$C$2:$C$169,MATCH($B113&amp;"/"&amp;$C113,逆引き作成用!M$2:M$169,FALSE),1),"")</f>
        <v/>
      </c>
      <c r="N113" s="17" t="str">
        <f>IFERROR(INDEX(逆引き作成用!$C$2:$C$169,MATCH($B113&amp;"/"&amp;$C113,逆引き作成用!N$2:N$169,FALSE),1),"")</f>
        <v/>
      </c>
      <c r="O113" s="17" t="str">
        <f>IFERROR(INDEX(逆引き作成用!$C$2:$C$169,MATCH($B113&amp;"/"&amp;$C113,逆引き作成用!O$2:O$169,FALSE),1),"")</f>
        <v/>
      </c>
      <c r="P113" s="17" t="str">
        <f>IFERROR(INDEX(逆引き作成用!$C$2:$C$169,MATCH($B113&amp;"/"&amp;$C113,逆引き作成用!P$2:P$169,FALSE),1),"")</f>
        <v/>
      </c>
      <c r="Q113" s="17" t="str">
        <f>IFERROR(INDEX(逆引き作成用!$C$2:$C$169,MATCH($B113&amp;"/"&amp;$C113,逆引き作成用!Q$2:Q$169,FALSE),1),"")</f>
        <v/>
      </c>
      <c r="R113" s="17" t="str">
        <f>IFERROR(INDEX(逆引き作成用!$C$2:$C$169,MATCH($B113&amp;"/"&amp;$C113,逆引き作成用!R$2:R$169,FALSE),1),"")</f>
        <v/>
      </c>
      <c r="S113" s="17" t="str">
        <f>IFERROR(INDEX(逆引き作成用!$C$2:$C$169,MATCH($B113&amp;"/"&amp;$C113,逆引き作成用!S$2:S$169,FALSE),1),"")</f>
        <v/>
      </c>
      <c r="T113" s="17" t="str">
        <f>IFERROR(INDEX(逆引き作成用!$C$2:$C$169,MATCH($B113&amp;"/"&amp;$C113,逆引き作成用!T$2:T$169,FALSE),1),"")</f>
        <v/>
      </c>
      <c r="U113" s="17" t="str">
        <f>IFERROR(INDEX(逆引き作成用!$C$2:$C$169,MATCH($B113&amp;"/"&amp;$C113,逆引き作成用!U$2:U$169,FALSE),1),"")</f>
        <v/>
      </c>
      <c r="V113" s="17" t="str">
        <f>IFERROR(INDEX(逆引き作成用!$C$2:$C$169,MATCH($B113&amp;"/"&amp;$C113,逆引き作成用!V$2:V$169,FALSE),1),"")</f>
        <v/>
      </c>
      <c r="W113" s="17" t="str">
        <f>IFERROR(INDEX(逆引き作成用!$C$2:$C$169,MATCH($B113&amp;"/"&amp;$C113,逆引き作成用!W$2:W$169,FALSE),1),"")</f>
        <v/>
      </c>
      <c r="X113" s="17" t="str">
        <f>IFERROR(INDEX(逆引き作成用!$C$2:$C$169,MATCH($B113&amp;"/"&amp;$C113,逆引き作成用!X$2:X$169,FALSE),1),"")</f>
        <v/>
      </c>
      <c r="Y113" s="17" t="str">
        <f>IFERROR(INDEX(逆引き作成用!$C$2:$C$169,MATCH($B113&amp;"/"&amp;$C113,逆引き作成用!Y$2:Y$169,FALSE),1),"")</f>
        <v/>
      </c>
      <c r="Z113" s="17" t="str">
        <f>IFERROR(INDEX(逆引き作成用!$C$2:$C$169,MATCH($B113&amp;"/"&amp;$C113,逆引き作成用!Z$2:Z$169,FALSE),1),"")</f>
        <v/>
      </c>
      <c r="AA113" s="17" t="str">
        <f>IFERROR(INDEX(逆引き作成用!$C$2:$C$169,MATCH($B113&amp;"/"&amp;$C113,逆引き作成用!AA$2:AA$169,FALSE),1),"")</f>
        <v/>
      </c>
      <c r="AB113" s="17" t="str">
        <f>IFERROR(INDEX(逆引き作成用!$C$2:$C$169,MATCH($B113&amp;"/"&amp;$C113,逆引き作成用!AB$2:AB$169,FALSE),1),"")</f>
        <v/>
      </c>
      <c r="AC113" s="17" t="str">
        <f>IFERROR(INDEX(逆引き作成用!$C$2:$C$169,MATCH($B113&amp;"/"&amp;$C113,逆引き作成用!AC$2:AC$169,FALSE),1),"")</f>
        <v/>
      </c>
      <c r="AD113" s="17" t="str">
        <f>IFERROR(INDEX(逆引き作成用!$C$2:$C$169,MATCH($B113&amp;"/"&amp;$C113,逆引き作成用!AD$2:AD$169,FALSE),1),"")</f>
        <v/>
      </c>
      <c r="AE113" s="17" t="str">
        <f>IFERROR(INDEX(逆引き作成用!$C$2:$C$169,MATCH($B113&amp;"/"&amp;$C113,逆引き作成用!AE$2:AE$169,FALSE),1),"")</f>
        <v/>
      </c>
      <c r="AF113" s="17" t="str">
        <f>IFERROR(INDEX(逆引き作成用!$C$2:$C$169,MATCH($B113&amp;"/"&amp;$C113,逆引き作成用!AF$2:AF$169,FALSE),1),"")</f>
        <v/>
      </c>
      <c r="AG113" s="17" t="str">
        <f>IFERROR(INDEX(逆引き作成用!$C$2:$C$169,MATCH($B113&amp;"/"&amp;$C113,逆引き作成用!AG$2:AG$169,FALSE),1),"")</f>
        <v/>
      </c>
      <c r="AH113" s="17" t="str">
        <f>IFERROR(INDEX(逆引き作成用!$C$2:$C$169,MATCH($B113&amp;"/"&amp;$C113,逆引き作成用!AH$2:AH$169,FALSE),1),"")</f>
        <v/>
      </c>
      <c r="AI113" s="17" t="str">
        <f>IFERROR(INDEX(逆引き作成用!$C$2:$C$169,MATCH($B113&amp;"/"&amp;$C113,逆引き作成用!AI$2:AI$169,FALSE),1),"")</f>
        <v/>
      </c>
      <c r="AJ113" s="17" t="str">
        <f>IFERROR(INDEX(逆引き作成用!$C$2:$C$169,MATCH($B113&amp;"/"&amp;$C113,逆引き作成用!AJ$2:AJ$169,FALSE),1),"")</f>
        <v/>
      </c>
      <c r="AK113" s="17" t="str">
        <f>IFERROR(INDEX(逆引き作成用!$C$2:$C$169,MATCH($B113&amp;"/"&amp;$C113,逆引き作成用!AK$2:AK$169,FALSE),1),"")</f>
        <v/>
      </c>
      <c r="AL113" s="17" t="str">
        <f>IFERROR(INDEX(逆引き作成用!$C$2:$C$169,MATCH($B113&amp;"/"&amp;$C113,逆引き作成用!AL$2:AL$169,FALSE),1),"")</f>
        <v/>
      </c>
      <c r="AM113" s="17" t="str">
        <f>IFERROR(INDEX(逆引き作成用!$C$2:$C$169,MATCH($B113&amp;"/"&amp;$C113,逆引き作成用!AM$2:AM$169,FALSE),1),"")</f>
        <v/>
      </c>
      <c r="AN113" s="17" t="str">
        <f>IFERROR(INDEX(逆引き作成用!$C$2:$C$169,MATCH($B113&amp;"/"&amp;$C113,逆引き作成用!AN$2:AN$169,FALSE),1),"")</f>
        <v/>
      </c>
      <c r="AO113" s="17" t="str">
        <f>IFERROR(INDEX(逆引き作成用!$C$2:$C$169,MATCH($B113&amp;"/"&amp;$C113,逆引き作成用!AO$2:AO$169,FALSE),1),"")</f>
        <v/>
      </c>
      <c r="AP113" s="17" t="str">
        <f>IFERROR(INDEX(逆引き作成用!$C$2:$C$169,MATCH($B113&amp;"/"&amp;$C113,逆引き作成用!AP$2:AP$169,FALSE),1),"")</f>
        <v/>
      </c>
      <c r="AQ113" s="17" t="str">
        <f>IFERROR(INDEX(逆引き作成用!$C$2:$C$169,MATCH($B113&amp;"/"&amp;$C113,逆引き作成用!AQ$2:AQ$169,FALSE),1),"")</f>
        <v/>
      </c>
      <c r="AR113" s="17" t="str">
        <f>IFERROR(INDEX(逆引き作成用!$C$2:$C$169,MATCH($B113&amp;"/"&amp;$C113,逆引き作成用!AR$2:AR$169,FALSE),1),"")</f>
        <v/>
      </c>
      <c r="AS113" s="17" t="str">
        <f>IFERROR(INDEX(逆引き作成用!$C$2:$C$169,MATCH($B113&amp;"/"&amp;$C113,逆引き作成用!AS$2:AS$169,FALSE),1),"")</f>
        <v/>
      </c>
      <c r="AT113" s="17" t="str">
        <f>IFERROR(INDEX(逆引き作成用!$C$2:$C$169,MATCH($B113&amp;"/"&amp;$C113,逆引き作成用!AT$2:AT$169,FALSE),1),"")</f>
        <v/>
      </c>
      <c r="AU113" s="17" t="str">
        <f>IFERROR(INDEX(逆引き作成用!$C$2:$C$169,MATCH($B113&amp;"/"&amp;$C113,逆引き作成用!AU$2:AU$169,FALSE),1),"")</f>
        <v/>
      </c>
      <c r="AV113" s="17" t="str">
        <f>IFERROR(INDEX(逆引き作成用!$C$2:$C$169,MATCH($B113&amp;"/"&amp;$C113,逆引き作成用!AV$2:AV$169,FALSE),1),"")</f>
        <v/>
      </c>
      <c r="AW113" s="17" t="str">
        <f>IFERROR(INDEX(逆引き作成用!$C$2:$C$169,MATCH($B113&amp;"/"&amp;$C113,逆引き作成用!AW$2:AW$169,FALSE),1),"")</f>
        <v/>
      </c>
      <c r="AX113" s="17" t="str">
        <f>IFERROR(INDEX(逆引き作成用!$C$2:$C$169,MATCH($B113&amp;"/"&amp;$C113,逆引き作成用!AX$2:AX$169,FALSE),1),"")</f>
        <v/>
      </c>
      <c r="AY113" s="17" t="str">
        <f>IFERROR(INDEX(逆引き作成用!$C$2:$C$169,MATCH($B113&amp;"/"&amp;$C113,逆引き作成用!AY$2:AY$169,FALSE),1),"")</f>
        <v/>
      </c>
      <c r="AZ113" s="17" t="str">
        <f>IFERROR(INDEX(逆引き作成用!$C$2:$C$169,MATCH($B113&amp;"/"&amp;$C113,逆引き作成用!AZ$2:AZ$169,FALSE),1),"")</f>
        <v/>
      </c>
      <c r="BA113" s="17" t="str">
        <f>IFERROR(INDEX(逆引き作成用!$C$2:$C$169,MATCH($B113&amp;"/"&amp;$C113,逆引き作成用!BA$2:BA$169,FALSE),1),"")</f>
        <v/>
      </c>
    </row>
    <row r="114" spans="1:53">
      <c r="A114" s="17" t="str">
        <f>IFERROR(INDEX(役職一覧!$B$2:$B$31,MATCH(B114,役職一覧!$C$2:$C$31,FALSE),1),"")</f>
        <v/>
      </c>
      <c r="B114" s="17" t="str">
        <f>IFERROR(IF(C114=1,INDEX(役職一覧!$C$2:$C$31,MATCH(逆引き!B113,役職一覧!$C$2:$C$31,FALSE)+1,1)&amp;"",B113),"")</f>
        <v/>
      </c>
      <c r="C114" s="17" t="str">
        <f>IFERROR(IF(VLOOKUP(B113,役職一覧!$C$2:$E$31,3,FALSE)=C113,1,C113+1),"")</f>
        <v/>
      </c>
      <c r="D114" s="17" t="str">
        <f>IFERROR(INDEX(逆引き作成用!$C$2:$C$169,MATCH($B114&amp;"/"&amp;$C114,逆引き作成用!D$2:D$169,FALSE),1),"")</f>
        <v/>
      </c>
      <c r="E114" s="17" t="str">
        <f>IFERROR(INDEX(逆引き作成用!$C$2:$C$169,MATCH($B114&amp;"/"&amp;$C114,逆引き作成用!E$2:E$169,FALSE),1),"")</f>
        <v/>
      </c>
      <c r="F114" s="17" t="str">
        <f>IFERROR(INDEX(逆引き作成用!$C$2:$C$169,MATCH($B114&amp;"/"&amp;$C114,逆引き作成用!F$2:F$169,FALSE),1),"")</f>
        <v/>
      </c>
      <c r="G114" s="17" t="str">
        <f>IFERROR(INDEX(逆引き作成用!$C$2:$C$169,MATCH($B114&amp;"/"&amp;$C114,逆引き作成用!G$2:G$169,FALSE),1),"")</f>
        <v/>
      </c>
      <c r="H114" s="17" t="str">
        <f>IFERROR(INDEX(逆引き作成用!$C$2:$C$169,MATCH($B114&amp;"/"&amp;$C114,逆引き作成用!H$2:H$169,FALSE),1),"")</f>
        <v/>
      </c>
      <c r="I114" s="17" t="str">
        <f>IFERROR(INDEX(逆引き作成用!$C$2:$C$169,MATCH($B114&amp;"/"&amp;$C114,逆引き作成用!I$2:I$169,FALSE),1),"")</f>
        <v/>
      </c>
      <c r="J114" s="17" t="str">
        <f>IFERROR(INDEX(逆引き作成用!$C$2:$C$169,MATCH($B114&amp;"/"&amp;$C114,逆引き作成用!J$2:J$169,FALSE),1),"")</f>
        <v/>
      </c>
      <c r="K114" s="17" t="str">
        <f>IFERROR(INDEX(逆引き作成用!$C$2:$C$169,MATCH($B114&amp;"/"&amp;$C114,逆引き作成用!K$2:K$169,FALSE),1),"")</f>
        <v/>
      </c>
      <c r="L114" s="17" t="str">
        <f>IFERROR(INDEX(逆引き作成用!$C$2:$C$169,MATCH($B114&amp;"/"&amp;$C114,逆引き作成用!L$2:L$169,FALSE),1),"")</f>
        <v/>
      </c>
      <c r="M114" s="17" t="str">
        <f>IFERROR(INDEX(逆引き作成用!$C$2:$C$169,MATCH($B114&amp;"/"&amp;$C114,逆引き作成用!M$2:M$169,FALSE),1),"")</f>
        <v/>
      </c>
      <c r="N114" s="17" t="str">
        <f>IFERROR(INDEX(逆引き作成用!$C$2:$C$169,MATCH($B114&amp;"/"&amp;$C114,逆引き作成用!N$2:N$169,FALSE),1),"")</f>
        <v/>
      </c>
      <c r="O114" s="17" t="str">
        <f>IFERROR(INDEX(逆引き作成用!$C$2:$C$169,MATCH($B114&amp;"/"&amp;$C114,逆引き作成用!O$2:O$169,FALSE),1),"")</f>
        <v/>
      </c>
      <c r="P114" s="17" t="str">
        <f>IFERROR(INDEX(逆引き作成用!$C$2:$C$169,MATCH($B114&amp;"/"&amp;$C114,逆引き作成用!P$2:P$169,FALSE),1),"")</f>
        <v/>
      </c>
      <c r="Q114" s="17" t="str">
        <f>IFERROR(INDEX(逆引き作成用!$C$2:$C$169,MATCH($B114&amp;"/"&amp;$C114,逆引き作成用!Q$2:Q$169,FALSE),1),"")</f>
        <v/>
      </c>
      <c r="R114" s="17" t="str">
        <f>IFERROR(INDEX(逆引き作成用!$C$2:$C$169,MATCH($B114&amp;"/"&amp;$C114,逆引き作成用!R$2:R$169,FALSE),1),"")</f>
        <v/>
      </c>
      <c r="S114" s="17" t="str">
        <f>IFERROR(INDEX(逆引き作成用!$C$2:$C$169,MATCH($B114&amp;"/"&amp;$C114,逆引き作成用!S$2:S$169,FALSE),1),"")</f>
        <v/>
      </c>
      <c r="T114" s="17" t="str">
        <f>IFERROR(INDEX(逆引き作成用!$C$2:$C$169,MATCH($B114&amp;"/"&amp;$C114,逆引き作成用!T$2:T$169,FALSE),1),"")</f>
        <v/>
      </c>
      <c r="U114" s="17" t="str">
        <f>IFERROR(INDEX(逆引き作成用!$C$2:$C$169,MATCH($B114&amp;"/"&amp;$C114,逆引き作成用!U$2:U$169,FALSE),1),"")</f>
        <v/>
      </c>
      <c r="V114" s="17" t="str">
        <f>IFERROR(INDEX(逆引き作成用!$C$2:$C$169,MATCH($B114&amp;"/"&amp;$C114,逆引き作成用!V$2:V$169,FALSE),1),"")</f>
        <v/>
      </c>
      <c r="W114" s="17" t="str">
        <f>IFERROR(INDEX(逆引き作成用!$C$2:$C$169,MATCH($B114&amp;"/"&amp;$C114,逆引き作成用!W$2:W$169,FALSE),1),"")</f>
        <v/>
      </c>
      <c r="X114" s="17" t="str">
        <f>IFERROR(INDEX(逆引き作成用!$C$2:$C$169,MATCH($B114&amp;"/"&amp;$C114,逆引き作成用!X$2:X$169,FALSE),1),"")</f>
        <v/>
      </c>
      <c r="Y114" s="17" t="str">
        <f>IFERROR(INDEX(逆引き作成用!$C$2:$C$169,MATCH($B114&amp;"/"&amp;$C114,逆引き作成用!Y$2:Y$169,FALSE),1),"")</f>
        <v/>
      </c>
      <c r="Z114" s="17" t="str">
        <f>IFERROR(INDEX(逆引き作成用!$C$2:$C$169,MATCH($B114&amp;"/"&amp;$C114,逆引き作成用!Z$2:Z$169,FALSE),1),"")</f>
        <v/>
      </c>
      <c r="AA114" s="17" t="str">
        <f>IFERROR(INDEX(逆引き作成用!$C$2:$C$169,MATCH($B114&amp;"/"&amp;$C114,逆引き作成用!AA$2:AA$169,FALSE),1),"")</f>
        <v/>
      </c>
      <c r="AB114" s="17" t="str">
        <f>IFERROR(INDEX(逆引き作成用!$C$2:$C$169,MATCH($B114&amp;"/"&amp;$C114,逆引き作成用!AB$2:AB$169,FALSE),1),"")</f>
        <v/>
      </c>
      <c r="AC114" s="17" t="str">
        <f>IFERROR(INDEX(逆引き作成用!$C$2:$C$169,MATCH($B114&amp;"/"&amp;$C114,逆引き作成用!AC$2:AC$169,FALSE),1),"")</f>
        <v/>
      </c>
      <c r="AD114" s="17" t="str">
        <f>IFERROR(INDEX(逆引き作成用!$C$2:$C$169,MATCH($B114&amp;"/"&amp;$C114,逆引き作成用!AD$2:AD$169,FALSE),1),"")</f>
        <v/>
      </c>
      <c r="AE114" s="17" t="str">
        <f>IFERROR(INDEX(逆引き作成用!$C$2:$C$169,MATCH($B114&amp;"/"&amp;$C114,逆引き作成用!AE$2:AE$169,FALSE),1),"")</f>
        <v/>
      </c>
      <c r="AF114" s="17" t="str">
        <f>IFERROR(INDEX(逆引き作成用!$C$2:$C$169,MATCH($B114&amp;"/"&amp;$C114,逆引き作成用!AF$2:AF$169,FALSE),1),"")</f>
        <v/>
      </c>
      <c r="AG114" s="17" t="str">
        <f>IFERROR(INDEX(逆引き作成用!$C$2:$C$169,MATCH($B114&amp;"/"&amp;$C114,逆引き作成用!AG$2:AG$169,FALSE),1),"")</f>
        <v/>
      </c>
      <c r="AH114" s="17" t="str">
        <f>IFERROR(INDEX(逆引き作成用!$C$2:$C$169,MATCH($B114&amp;"/"&amp;$C114,逆引き作成用!AH$2:AH$169,FALSE),1),"")</f>
        <v/>
      </c>
      <c r="AI114" s="17" t="str">
        <f>IFERROR(INDEX(逆引き作成用!$C$2:$C$169,MATCH($B114&amp;"/"&amp;$C114,逆引き作成用!AI$2:AI$169,FALSE),1),"")</f>
        <v/>
      </c>
      <c r="AJ114" s="17" t="str">
        <f>IFERROR(INDEX(逆引き作成用!$C$2:$C$169,MATCH($B114&amp;"/"&amp;$C114,逆引き作成用!AJ$2:AJ$169,FALSE),1),"")</f>
        <v/>
      </c>
      <c r="AK114" s="17" t="str">
        <f>IFERROR(INDEX(逆引き作成用!$C$2:$C$169,MATCH($B114&amp;"/"&amp;$C114,逆引き作成用!AK$2:AK$169,FALSE),1),"")</f>
        <v/>
      </c>
      <c r="AL114" s="17" t="str">
        <f>IFERROR(INDEX(逆引き作成用!$C$2:$C$169,MATCH($B114&amp;"/"&amp;$C114,逆引き作成用!AL$2:AL$169,FALSE),1),"")</f>
        <v/>
      </c>
      <c r="AM114" s="17" t="str">
        <f>IFERROR(INDEX(逆引き作成用!$C$2:$C$169,MATCH($B114&amp;"/"&amp;$C114,逆引き作成用!AM$2:AM$169,FALSE),1),"")</f>
        <v/>
      </c>
      <c r="AN114" s="17" t="str">
        <f>IFERROR(INDEX(逆引き作成用!$C$2:$C$169,MATCH($B114&amp;"/"&amp;$C114,逆引き作成用!AN$2:AN$169,FALSE),1),"")</f>
        <v/>
      </c>
      <c r="AO114" s="17" t="str">
        <f>IFERROR(INDEX(逆引き作成用!$C$2:$C$169,MATCH($B114&amp;"/"&amp;$C114,逆引き作成用!AO$2:AO$169,FALSE),1),"")</f>
        <v/>
      </c>
      <c r="AP114" s="17" t="str">
        <f>IFERROR(INDEX(逆引き作成用!$C$2:$C$169,MATCH($B114&amp;"/"&amp;$C114,逆引き作成用!AP$2:AP$169,FALSE),1),"")</f>
        <v/>
      </c>
      <c r="AQ114" s="17" t="str">
        <f>IFERROR(INDEX(逆引き作成用!$C$2:$C$169,MATCH($B114&amp;"/"&amp;$C114,逆引き作成用!AQ$2:AQ$169,FALSE),1),"")</f>
        <v/>
      </c>
      <c r="AR114" s="17" t="str">
        <f>IFERROR(INDEX(逆引き作成用!$C$2:$C$169,MATCH($B114&amp;"/"&amp;$C114,逆引き作成用!AR$2:AR$169,FALSE),1),"")</f>
        <v/>
      </c>
      <c r="AS114" s="17" t="str">
        <f>IFERROR(INDEX(逆引き作成用!$C$2:$C$169,MATCH($B114&amp;"/"&amp;$C114,逆引き作成用!AS$2:AS$169,FALSE),1),"")</f>
        <v/>
      </c>
      <c r="AT114" s="17" t="str">
        <f>IFERROR(INDEX(逆引き作成用!$C$2:$C$169,MATCH($B114&amp;"/"&amp;$C114,逆引き作成用!AT$2:AT$169,FALSE),1),"")</f>
        <v/>
      </c>
      <c r="AU114" s="17" t="str">
        <f>IFERROR(INDEX(逆引き作成用!$C$2:$C$169,MATCH($B114&amp;"/"&amp;$C114,逆引き作成用!AU$2:AU$169,FALSE),1),"")</f>
        <v/>
      </c>
      <c r="AV114" s="17" t="str">
        <f>IFERROR(INDEX(逆引き作成用!$C$2:$C$169,MATCH($B114&amp;"/"&amp;$C114,逆引き作成用!AV$2:AV$169,FALSE),1),"")</f>
        <v/>
      </c>
      <c r="AW114" s="17" t="str">
        <f>IFERROR(INDEX(逆引き作成用!$C$2:$C$169,MATCH($B114&amp;"/"&amp;$C114,逆引き作成用!AW$2:AW$169,FALSE),1),"")</f>
        <v/>
      </c>
      <c r="AX114" s="17" t="str">
        <f>IFERROR(INDEX(逆引き作成用!$C$2:$C$169,MATCH($B114&amp;"/"&amp;$C114,逆引き作成用!AX$2:AX$169,FALSE),1),"")</f>
        <v/>
      </c>
      <c r="AY114" s="17" t="str">
        <f>IFERROR(INDEX(逆引き作成用!$C$2:$C$169,MATCH($B114&amp;"/"&amp;$C114,逆引き作成用!AY$2:AY$169,FALSE),1),"")</f>
        <v/>
      </c>
      <c r="AZ114" s="17" t="str">
        <f>IFERROR(INDEX(逆引き作成用!$C$2:$C$169,MATCH($B114&amp;"/"&amp;$C114,逆引き作成用!AZ$2:AZ$169,FALSE),1),"")</f>
        <v/>
      </c>
      <c r="BA114" s="17" t="str">
        <f>IFERROR(INDEX(逆引き作成用!$C$2:$C$169,MATCH($B114&amp;"/"&amp;$C114,逆引き作成用!BA$2:BA$169,FALSE),1),"")</f>
        <v/>
      </c>
    </row>
    <row r="115" spans="1:53">
      <c r="A115" s="17" t="str">
        <f>IFERROR(INDEX(役職一覧!$B$2:$B$31,MATCH(B115,役職一覧!$C$2:$C$31,FALSE),1),"")</f>
        <v/>
      </c>
      <c r="B115" s="17" t="str">
        <f>IFERROR(IF(C115=1,INDEX(役職一覧!$C$2:$C$31,MATCH(逆引き!B114,役職一覧!$C$2:$C$31,FALSE)+1,1)&amp;"",B114),"")</f>
        <v/>
      </c>
      <c r="C115" s="17" t="str">
        <f>IFERROR(IF(VLOOKUP(B114,役職一覧!$C$2:$E$31,3,FALSE)=C114,1,C114+1),"")</f>
        <v/>
      </c>
      <c r="D115" s="17" t="str">
        <f>IFERROR(INDEX(逆引き作成用!$C$2:$C$169,MATCH($B115&amp;"/"&amp;$C115,逆引き作成用!D$2:D$169,FALSE),1),"")</f>
        <v/>
      </c>
      <c r="E115" s="17" t="str">
        <f>IFERROR(INDEX(逆引き作成用!$C$2:$C$169,MATCH($B115&amp;"/"&amp;$C115,逆引き作成用!E$2:E$169,FALSE),1),"")</f>
        <v/>
      </c>
      <c r="F115" s="17" t="str">
        <f>IFERROR(INDEX(逆引き作成用!$C$2:$C$169,MATCH($B115&amp;"/"&amp;$C115,逆引き作成用!F$2:F$169,FALSE),1),"")</f>
        <v/>
      </c>
      <c r="G115" s="17" t="str">
        <f>IFERROR(INDEX(逆引き作成用!$C$2:$C$169,MATCH($B115&amp;"/"&amp;$C115,逆引き作成用!G$2:G$169,FALSE),1),"")</f>
        <v/>
      </c>
      <c r="H115" s="17" t="str">
        <f>IFERROR(INDEX(逆引き作成用!$C$2:$C$169,MATCH($B115&amp;"/"&amp;$C115,逆引き作成用!H$2:H$169,FALSE),1),"")</f>
        <v/>
      </c>
      <c r="I115" s="17" t="str">
        <f>IFERROR(INDEX(逆引き作成用!$C$2:$C$169,MATCH($B115&amp;"/"&amp;$C115,逆引き作成用!I$2:I$169,FALSE),1),"")</f>
        <v/>
      </c>
      <c r="J115" s="17" t="str">
        <f>IFERROR(INDEX(逆引き作成用!$C$2:$C$169,MATCH($B115&amp;"/"&amp;$C115,逆引き作成用!J$2:J$169,FALSE),1),"")</f>
        <v/>
      </c>
      <c r="K115" s="17" t="str">
        <f>IFERROR(INDEX(逆引き作成用!$C$2:$C$169,MATCH($B115&amp;"/"&amp;$C115,逆引き作成用!K$2:K$169,FALSE),1),"")</f>
        <v/>
      </c>
      <c r="L115" s="17" t="str">
        <f>IFERROR(INDEX(逆引き作成用!$C$2:$C$169,MATCH($B115&amp;"/"&amp;$C115,逆引き作成用!L$2:L$169,FALSE),1),"")</f>
        <v/>
      </c>
      <c r="M115" s="17" t="str">
        <f>IFERROR(INDEX(逆引き作成用!$C$2:$C$169,MATCH($B115&amp;"/"&amp;$C115,逆引き作成用!M$2:M$169,FALSE),1),"")</f>
        <v/>
      </c>
      <c r="N115" s="17" t="str">
        <f>IFERROR(INDEX(逆引き作成用!$C$2:$C$169,MATCH($B115&amp;"/"&amp;$C115,逆引き作成用!N$2:N$169,FALSE),1),"")</f>
        <v/>
      </c>
      <c r="O115" s="17" t="str">
        <f>IFERROR(INDEX(逆引き作成用!$C$2:$C$169,MATCH($B115&amp;"/"&amp;$C115,逆引き作成用!O$2:O$169,FALSE),1),"")</f>
        <v/>
      </c>
      <c r="P115" s="17" t="str">
        <f>IFERROR(INDEX(逆引き作成用!$C$2:$C$169,MATCH($B115&amp;"/"&amp;$C115,逆引き作成用!P$2:P$169,FALSE),1),"")</f>
        <v/>
      </c>
      <c r="Q115" s="17" t="str">
        <f>IFERROR(INDEX(逆引き作成用!$C$2:$C$169,MATCH($B115&amp;"/"&amp;$C115,逆引き作成用!Q$2:Q$169,FALSE),1),"")</f>
        <v/>
      </c>
      <c r="R115" s="17" t="str">
        <f>IFERROR(INDEX(逆引き作成用!$C$2:$C$169,MATCH($B115&amp;"/"&amp;$C115,逆引き作成用!R$2:R$169,FALSE),1),"")</f>
        <v/>
      </c>
      <c r="S115" s="17" t="str">
        <f>IFERROR(INDEX(逆引き作成用!$C$2:$C$169,MATCH($B115&amp;"/"&amp;$C115,逆引き作成用!S$2:S$169,FALSE),1),"")</f>
        <v/>
      </c>
      <c r="T115" s="17" t="str">
        <f>IFERROR(INDEX(逆引き作成用!$C$2:$C$169,MATCH($B115&amp;"/"&amp;$C115,逆引き作成用!T$2:T$169,FALSE),1),"")</f>
        <v/>
      </c>
      <c r="U115" s="17" t="str">
        <f>IFERROR(INDEX(逆引き作成用!$C$2:$C$169,MATCH($B115&amp;"/"&amp;$C115,逆引き作成用!U$2:U$169,FALSE),1),"")</f>
        <v/>
      </c>
      <c r="V115" s="17" t="str">
        <f>IFERROR(INDEX(逆引き作成用!$C$2:$C$169,MATCH($B115&amp;"/"&amp;$C115,逆引き作成用!V$2:V$169,FALSE),1),"")</f>
        <v/>
      </c>
      <c r="W115" s="17" t="str">
        <f>IFERROR(INDEX(逆引き作成用!$C$2:$C$169,MATCH($B115&amp;"/"&amp;$C115,逆引き作成用!W$2:W$169,FALSE),1),"")</f>
        <v/>
      </c>
      <c r="X115" s="17" t="str">
        <f>IFERROR(INDEX(逆引き作成用!$C$2:$C$169,MATCH($B115&amp;"/"&amp;$C115,逆引き作成用!X$2:X$169,FALSE),1),"")</f>
        <v/>
      </c>
      <c r="Y115" s="17" t="str">
        <f>IFERROR(INDEX(逆引き作成用!$C$2:$C$169,MATCH($B115&amp;"/"&amp;$C115,逆引き作成用!Y$2:Y$169,FALSE),1),"")</f>
        <v/>
      </c>
      <c r="Z115" s="17" t="str">
        <f>IFERROR(INDEX(逆引き作成用!$C$2:$C$169,MATCH($B115&amp;"/"&amp;$C115,逆引き作成用!Z$2:Z$169,FALSE),1),"")</f>
        <v/>
      </c>
      <c r="AA115" s="17" t="str">
        <f>IFERROR(INDEX(逆引き作成用!$C$2:$C$169,MATCH($B115&amp;"/"&amp;$C115,逆引き作成用!AA$2:AA$169,FALSE),1),"")</f>
        <v/>
      </c>
      <c r="AB115" s="17" t="str">
        <f>IFERROR(INDEX(逆引き作成用!$C$2:$C$169,MATCH($B115&amp;"/"&amp;$C115,逆引き作成用!AB$2:AB$169,FALSE),1),"")</f>
        <v/>
      </c>
      <c r="AC115" s="17" t="str">
        <f>IFERROR(INDEX(逆引き作成用!$C$2:$C$169,MATCH($B115&amp;"/"&amp;$C115,逆引き作成用!AC$2:AC$169,FALSE),1),"")</f>
        <v/>
      </c>
      <c r="AD115" s="17" t="str">
        <f>IFERROR(INDEX(逆引き作成用!$C$2:$C$169,MATCH($B115&amp;"/"&amp;$C115,逆引き作成用!AD$2:AD$169,FALSE),1),"")</f>
        <v/>
      </c>
      <c r="AE115" s="17" t="str">
        <f>IFERROR(INDEX(逆引き作成用!$C$2:$C$169,MATCH($B115&amp;"/"&amp;$C115,逆引き作成用!AE$2:AE$169,FALSE),1),"")</f>
        <v/>
      </c>
      <c r="AF115" s="17" t="str">
        <f>IFERROR(INDEX(逆引き作成用!$C$2:$C$169,MATCH($B115&amp;"/"&amp;$C115,逆引き作成用!AF$2:AF$169,FALSE),1),"")</f>
        <v/>
      </c>
      <c r="AG115" s="17" t="str">
        <f>IFERROR(INDEX(逆引き作成用!$C$2:$C$169,MATCH($B115&amp;"/"&amp;$C115,逆引き作成用!AG$2:AG$169,FALSE),1),"")</f>
        <v/>
      </c>
      <c r="AH115" s="17" t="str">
        <f>IFERROR(INDEX(逆引き作成用!$C$2:$C$169,MATCH($B115&amp;"/"&amp;$C115,逆引き作成用!AH$2:AH$169,FALSE),1),"")</f>
        <v/>
      </c>
      <c r="AI115" s="17" t="str">
        <f>IFERROR(INDEX(逆引き作成用!$C$2:$C$169,MATCH($B115&amp;"/"&amp;$C115,逆引き作成用!AI$2:AI$169,FALSE),1),"")</f>
        <v/>
      </c>
      <c r="AJ115" s="17" t="str">
        <f>IFERROR(INDEX(逆引き作成用!$C$2:$C$169,MATCH($B115&amp;"/"&amp;$C115,逆引き作成用!AJ$2:AJ$169,FALSE),1),"")</f>
        <v/>
      </c>
      <c r="AK115" s="17" t="str">
        <f>IFERROR(INDEX(逆引き作成用!$C$2:$C$169,MATCH($B115&amp;"/"&amp;$C115,逆引き作成用!AK$2:AK$169,FALSE),1),"")</f>
        <v/>
      </c>
      <c r="AL115" s="17" t="str">
        <f>IFERROR(INDEX(逆引き作成用!$C$2:$C$169,MATCH($B115&amp;"/"&amp;$C115,逆引き作成用!AL$2:AL$169,FALSE),1),"")</f>
        <v/>
      </c>
      <c r="AM115" s="17" t="str">
        <f>IFERROR(INDEX(逆引き作成用!$C$2:$C$169,MATCH($B115&amp;"/"&amp;$C115,逆引き作成用!AM$2:AM$169,FALSE),1),"")</f>
        <v/>
      </c>
      <c r="AN115" s="17" t="str">
        <f>IFERROR(INDEX(逆引き作成用!$C$2:$C$169,MATCH($B115&amp;"/"&amp;$C115,逆引き作成用!AN$2:AN$169,FALSE),1),"")</f>
        <v/>
      </c>
      <c r="AO115" s="17" t="str">
        <f>IFERROR(INDEX(逆引き作成用!$C$2:$C$169,MATCH($B115&amp;"/"&amp;$C115,逆引き作成用!AO$2:AO$169,FALSE),1),"")</f>
        <v/>
      </c>
      <c r="AP115" s="17" t="str">
        <f>IFERROR(INDEX(逆引き作成用!$C$2:$C$169,MATCH($B115&amp;"/"&amp;$C115,逆引き作成用!AP$2:AP$169,FALSE),1),"")</f>
        <v/>
      </c>
      <c r="AQ115" s="17" t="str">
        <f>IFERROR(INDEX(逆引き作成用!$C$2:$C$169,MATCH($B115&amp;"/"&amp;$C115,逆引き作成用!AQ$2:AQ$169,FALSE),1),"")</f>
        <v/>
      </c>
      <c r="AR115" s="17" t="str">
        <f>IFERROR(INDEX(逆引き作成用!$C$2:$C$169,MATCH($B115&amp;"/"&amp;$C115,逆引き作成用!AR$2:AR$169,FALSE),1),"")</f>
        <v/>
      </c>
      <c r="AS115" s="17" t="str">
        <f>IFERROR(INDEX(逆引き作成用!$C$2:$C$169,MATCH($B115&amp;"/"&amp;$C115,逆引き作成用!AS$2:AS$169,FALSE),1),"")</f>
        <v/>
      </c>
      <c r="AT115" s="17" t="str">
        <f>IFERROR(INDEX(逆引き作成用!$C$2:$C$169,MATCH($B115&amp;"/"&amp;$C115,逆引き作成用!AT$2:AT$169,FALSE),1),"")</f>
        <v/>
      </c>
      <c r="AU115" s="17" t="str">
        <f>IFERROR(INDEX(逆引き作成用!$C$2:$C$169,MATCH($B115&amp;"/"&amp;$C115,逆引き作成用!AU$2:AU$169,FALSE),1),"")</f>
        <v/>
      </c>
      <c r="AV115" s="17" t="str">
        <f>IFERROR(INDEX(逆引き作成用!$C$2:$C$169,MATCH($B115&amp;"/"&amp;$C115,逆引き作成用!AV$2:AV$169,FALSE),1),"")</f>
        <v/>
      </c>
      <c r="AW115" s="17" t="str">
        <f>IFERROR(INDEX(逆引き作成用!$C$2:$C$169,MATCH($B115&amp;"/"&amp;$C115,逆引き作成用!AW$2:AW$169,FALSE),1),"")</f>
        <v/>
      </c>
      <c r="AX115" s="17" t="str">
        <f>IFERROR(INDEX(逆引き作成用!$C$2:$C$169,MATCH($B115&amp;"/"&amp;$C115,逆引き作成用!AX$2:AX$169,FALSE),1),"")</f>
        <v/>
      </c>
      <c r="AY115" s="17" t="str">
        <f>IFERROR(INDEX(逆引き作成用!$C$2:$C$169,MATCH($B115&amp;"/"&amp;$C115,逆引き作成用!AY$2:AY$169,FALSE),1),"")</f>
        <v/>
      </c>
      <c r="AZ115" s="17" t="str">
        <f>IFERROR(INDEX(逆引き作成用!$C$2:$C$169,MATCH($B115&amp;"/"&amp;$C115,逆引き作成用!AZ$2:AZ$169,FALSE),1),"")</f>
        <v/>
      </c>
      <c r="BA115" s="17" t="str">
        <f>IFERROR(INDEX(逆引き作成用!$C$2:$C$169,MATCH($B115&amp;"/"&amp;$C115,逆引き作成用!BA$2:BA$169,FALSE),1),"")</f>
        <v/>
      </c>
    </row>
    <row r="116" spans="1:53">
      <c r="A116" s="17" t="str">
        <f>IFERROR(INDEX(役職一覧!$B$2:$B$31,MATCH(B116,役職一覧!$C$2:$C$31,FALSE),1),"")</f>
        <v/>
      </c>
      <c r="B116" s="17" t="str">
        <f>IFERROR(IF(C116=1,INDEX(役職一覧!$C$2:$C$31,MATCH(逆引き!B115,役職一覧!$C$2:$C$31,FALSE)+1,1)&amp;"",B115),"")</f>
        <v/>
      </c>
      <c r="C116" s="17" t="str">
        <f>IFERROR(IF(VLOOKUP(B115,役職一覧!$C$2:$E$31,3,FALSE)=C115,1,C115+1),"")</f>
        <v/>
      </c>
      <c r="D116" s="17" t="str">
        <f>IFERROR(INDEX(逆引き作成用!$C$2:$C$169,MATCH($B116&amp;"/"&amp;$C116,逆引き作成用!D$2:D$169,FALSE),1),"")</f>
        <v/>
      </c>
      <c r="E116" s="17" t="str">
        <f>IFERROR(INDEX(逆引き作成用!$C$2:$C$169,MATCH($B116&amp;"/"&amp;$C116,逆引き作成用!E$2:E$169,FALSE),1),"")</f>
        <v/>
      </c>
      <c r="F116" s="17" t="str">
        <f>IFERROR(INDEX(逆引き作成用!$C$2:$C$169,MATCH($B116&amp;"/"&amp;$C116,逆引き作成用!F$2:F$169,FALSE),1),"")</f>
        <v/>
      </c>
      <c r="G116" s="17" t="str">
        <f>IFERROR(INDEX(逆引き作成用!$C$2:$C$169,MATCH($B116&amp;"/"&amp;$C116,逆引き作成用!G$2:G$169,FALSE),1),"")</f>
        <v/>
      </c>
      <c r="H116" s="17" t="str">
        <f>IFERROR(INDEX(逆引き作成用!$C$2:$C$169,MATCH($B116&amp;"/"&amp;$C116,逆引き作成用!H$2:H$169,FALSE),1),"")</f>
        <v/>
      </c>
      <c r="I116" s="17" t="str">
        <f>IFERROR(INDEX(逆引き作成用!$C$2:$C$169,MATCH($B116&amp;"/"&amp;$C116,逆引き作成用!I$2:I$169,FALSE),1),"")</f>
        <v/>
      </c>
      <c r="J116" s="17" t="str">
        <f>IFERROR(INDEX(逆引き作成用!$C$2:$C$169,MATCH($B116&amp;"/"&amp;$C116,逆引き作成用!J$2:J$169,FALSE),1),"")</f>
        <v/>
      </c>
      <c r="K116" s="17" t="str">
        <f>IFERROR(INDEX(逆引き作成用!$C$2:$C$169,MATCH($B116&amp;"/"&amp;$C116,逆引き作成用!K$2:K$169,FALSE),1),"")</f>
        <v/>
      </c>
      <c r="L116" s="17" t="str">
        <f>IFERROR(INDEX(逆引き作成用!$C$2:$C$169,MATCH($B116&amp;"/"&amp;$C116,逆引き作成用!L$2:L$169,FALSE),1),"")</f>
        <v/>
      </c>
      <c r="M116" s="17" t="str">
        <f>IFERROR(INDEX(逆引き作成用!$C$2:$C$169,MATCH($B116&amp;"/"&amp;$C116,逆引き作成用!M$2:M$169,FALSE),1),"")</f>
        <v/>
      </c>
      <c r="N116" s="17" t="str">
        <f>IFERROR(INDEX(逆引き作成用!$C$2:$C$169,MATCH($B116&amp;"/"&amp;$C116,逆引き作成用!N$2:N$169,FALSE),1),"")</f>
        <v/>
      </c>
      <c r="O116" s="17" t="str">
        <f>IFERROR(INDEX(逆引き作成用!$C$2:$C$169,MATCH($B116&amp;"/"&amp;$C116,逆引き作成用!O$2:O$169,FALSE),1),"")</f>
        <v/>
      </c>
      <c r="P116" s="17" t="str">
        <f>IFERROR(INDEX(逆引き作成用!$C$2:$C$169,MATCH($B116&amp;"/"&amp;$C116,逆引き作成用!P$2:P$169,FALSE),1),"")</f>
        <v/>
      </c>
      <c r="Q116" s="17" t="str">
        <f>IFERROR(INDEX(逆引き作成用!$C$2:$C$169,MATCH($B116&amp;"/"&amp;$C116,逆引き作成用!Q$2:Q$169,FALSE),1),"")</f>
        <v/>
      </c>
      <c r="R116" s="17" t="str">
        <f>IFERROR(INDEX(逆引き作成用!$C$2:$C$169,MATCH($B116&amp;"/"&amp;$C116,逆引き作成用!R$2:R$169,FALSE),1),"")</f>
        <v/>
      </c>
      <c r="S116" s="17" t="str">
        <f>IFERROR(INDEX(逆引き作成用!$C$2:$C$169,MATCH($B116&amp;"/"&amp;$C116,逆引き作成用!S$2:S$169,FALSE),1),"")</f>
        <v/>
      </c>
      <c r="T116" s="17" t="str">
        <f>IFERROR(INDEX(逆引き作成用!$C$2:$C$169,MATCH($B116&amp;"/"&amp;$C116,逆引き作成用!T$2:T$169,FALSE),1),"")</f>
        <v/>
      </c>
      <c r="U116" s="17" t="str">
        <f>IFERROR(INDEX(逆引き作成用!$C$2:$C$169,MATCH($B116&amp;"/"&amp;$C116,逆引き作成用!U$2:U$169,FALSE),1),"")</f>
        <v/>
      </c>
      <c r="V116" s="17" t="str">
        <f>IFERROR(INDEX(逆引き作成用!$C$2:$C$169,MATCH($B116&amp;"/"&amp;$C116,逆引き作成用!V$2:V$169,FALSE),1),"")</f>
        <v/>
      </c>
      <c r="W116" s="17" t="str">
        <f>IFERROR(INDEX(逆引き作成用!$C$2:$C$169,MATCH($B116&amp;"/"&amp;$C116,逆引き作成用!W$2:W$169,FALSE),1),"")</f>
        <v/>
      </c>
      <c r="X116" s="17" t="str">
        <f>IFERROR(INDEX(逆引き作成用!$C$2:$C$169,MATCH($B116&amp;"/"&amp;$C116,逆引き作成用!X$2:X$169,FALSE),1),"")</f>
        <v/>
      </c>
      <c r="Y116" s="17" t="str">
        <f>IFERROR(INDEX(逆引き作成用!$C$2:$C$169,MATCH($B116&amp;"/"&amp;$C116,逆引き作成用!Y$2:Y$169,FALSE),1),"")</f>
        <v/>
      </c>
      <c r="Z116" s="17" t="str">
        <f>IFERROR(INDEX(逆引き作成用!$C$2:$C$169,MATCH($B116&amp;"/"&amp;$C116,逆引き作成用!Z$2:Z$169,FALSE),1),"")</f>
        <v/>
      </c>
      <c r="AA116" s="17" t="str">
        <f>IFERROR(INDEX(逆引き作成用!$C$2:$C$169,MATCH($B116&amp;"/"&amp;$C116,逆引き作成用!AA$2:AA$169,FALSE),1),"")</f>
        <v/>
      </c>
      <c r="AB116" s="17" t="str">
        <f>IFERROR(INDEX(逆引き作成用!$C$2:$C$169,MATCH($B116&amp;"/"&amp;$C116,逆引き作成用!AB$2:AB$169,FALSE),1),"")</f>
        <v/>
      </c>
      <c r="AC116" s="17" t="str">
        <f>IFERROR(INDEX(逆引き作成用!$C$2:$C$169,MATCH($B116&amp;"/"&amp;$C116,逆引き作成用!AC$2:AC$169,FALSE),1),"")</f>
        <v/>
      </c>
      <c r="AD116" s="17" t="str">
        <f>IFERROR(INDEX(逆引き作成用!$C$2:$C$169,MATCH($B116&amp;"/"&amp;$C116,逆引き作成用!AD$2:AD$169,FALSE),1),"")</f>
        <v/>
      </c>
      <c r="AE116" s="17" t="str">
        <f>IFERROR(INDEX(逆引き作成用!$C$2:$C$169,MATCH($B116&amp;"/"&amp;$C116,逆引き作成用!AE$2:AE$169,FALSE),1),"")</f>
        <v/>
      </c>
      <c r="AF116" s="17" t="str">
        <f>IFERROR(INDEX(逆引き作成用!$C$2:$C$169,MATCH($B116&amp;"/"&amp;$C116,逆引き作成用!AF$2:AF$169,FALSE),1),"")</f>
        <v/>
      </c>
      <c r="AG116" s="17" t="str">
        <f>IFERROR(INDEX(逆引き作成用!$C$2:$C$169,MATCH($B116&amp;"/"&amp;$C116,逆引き作成用!AG$2:AG$169,FALSE),1),"")</f>
        <v/>
      </c>
      <c r="AH116" s="17" t="str">
        <f>IFERROR(INDEX(逆引き作成用!$C$2:$C$169,MATCH($B116&amp;"/"&amp;$C116,逆引き作成用!AH$2:AH$169,FALSE),1),"")</f>
        <v/>
      </c>
      <c r="AI116" s="17" t="str">
        <f>IFERROR(INDEX(逆引き作成用!$C$2:$C$169,MATCH($B116&amp;"/"&amp;$C116,逆引き作成用!AI$2:AI$169,FALSE),1),"")</f>
        <v/>
      </c>
      <c r="AJ116" s="17" t="str">
        <f>IFERROR(INDEX(逆引き作成用!$C$2:$C$169,MATCH($B116&amp;"/"&amp;$C116,逆引き作成用!AJ$2:AJ$169,FALSE),1),"")</f>
        <v/>
      </c>
      <c r="AK116" s="17" t="str">
        <f>IFERROR(INDEX(逆引き作成用!$C$2:$C$169,MATCH($B116&amp;"/"&amp;$C116,逆引き作成用!AK$2:AK$169,FALSE),1),"")</f>
        <v/>
      </c>
      <c r="AL116" s="17" t="str">
        <f>IFERROR(INDEX(逆引き作成用!$C$2:$C$169,MATCH($B116&amp;"/"&amp;$C116,逆引き作成用!AL$2:AL$169,FALSE),1),"")</f>
        <v/>
      </c>
      <c r="AM116" s="17" t="str">
        <f>IFERROR(INDEX(逆引き作成用!$C$2:$C$169,MATCH($B116&amp;"/"&amp;$C116,逆引き作成用!AM$2:AM$169,FALSE),1),"")</f>
        <v/>
      </c>
      <c r="AN116" s="17" t="str">
        <f>IFERROR(INDEX(逆引き作成用!$C$2:$C$169,MATCH($B116&amp;"/"&amp;$C116,逆引き作成用!AN$2:AN$169,FALSE),1),"")</f>
        <v/>
      </c>
      <c r="AO116" s="17" t="str">
        <f>IFERROR(INDEX(逆引き作成用!$C$2:$C$169,MATCH($B116&amp;"/"&amp;$C116,逆引き作成用!AO$2:AO$169,FALSE),1),"")</f>
        <v/>
      </c>
      <c r="AP116" s="17" t="str">
        <f>IFERROR(INDEX(逆引き作成用!$C$2:$C$169,MATCH($B116&amp;"/"&amp;$C116,逆引き作成用!AP$2:AP$169,FALSE),1),"")</f>
        <v/>
      </c>
      <c r="AQ116" s="17" t="str">
        <f>IFERROR(INDEX(逆引き作成用!$C$2:$C$169,MATCH($B116&amp;"/"&amp;$C116,逆引き作成用!AQ$2:AQ$169,FALSE),1),"")</f>
        <v/>
      </c>
      <c r="AR116" s="17" t="str">
        <f>IFERROR(INDEX(逆引き作成用!$C$2:$C$169,MATCH($B116&amp;"/"&amp;$C116,逆引き作成用!AR$2:AR$169,FALSE),1),"")</f>
        <v/>
      </c>
      <c r="AS116" s="17" t="str">
        <f>IFERROR(INDEX(逆引き作成用!$C$2:$C$169,MATCH($B116&amp;"/"&amp;$C116,逆引き作成用!AS$2:AS$169,FALSE),1),"")</f>
        <v/>
      </c>
      <c r="AT116" s="17" t="str">
        <f>IFERROR(INDEX(逆引き作成用!$C$2:$C$169,MATCH($B116&amp;"/"&amp;$C116,逆引き作成用!AT$2:AT$169,FALSE),1),"")</f>
        <v/>
      </c>
      <c r="AU116" s="17" t="str">
        <f>IFERROR(INDEX(逆引き作成用!$C$2:$C$169,MATCH($B116&amp;"/"&amp;$C116,逆引き作成用!AU$2:AU$169,FALSE),1),"")</f>
        <v/>
      </c>
      <c r="AV116" s="17" t="str">
        <f>IFERROR(INDEX(逆引き作成用!$C$2:$C$169,MATCH($B116&amp;"/"&amp;$C116,逆引き作成用!AV$2:AV$169,FALSE),1),"")</f>
        <v/>
      </c>
      <c r="AW116" s="17" t="str">
        <f>IFERROR(INDEX(逆引き作成用!$C$2:$C$169,MATCH($B116&amp;"/"&amp;$C116,逆引き作成用!AW$2:AW$169,FALSE),1),"")</f>
        <v/>
      </c>
      <c r="AX116" s="17" t="str">
        <f>IFERROR(INDEX(逆引き作成用!$C$2:$C$169,MATCH($B116&amp;"/"&amp;$C116,逆引き作成用!AX$2:AX$169,FALSE),1),"")</f>
        <v/>
      </c>
      <c r="AY116" s="17" t="str">
        <f>IFERROR(INDEX(逆引き作成用!$C$2:$C$169,MATCH($B116&amp;"/"&amp;$C116,逆引き作成用!AY$2:AY$169,FALSE),1),"")</f>
        <v/>
      </c>
      <c r="AZ116" s="17" t="str">
        <f>IFERROR(INDEX(逆引き作成用!$C$2:$C$169,MATCH($B116&amp;"/"&amp;$C116,逆引き作成用!AZ$2:AZ$169,FALSE),1),"")</f>
        <v/>
      </c>
      <c r="BA116" s="17" t="str">
        <f>IFERROR(INDEX(逆引き作成用!$C$2:$C$169,MATCH($B116&amp;"/"&amp;$C116,逆引き作成用!BA$2:BA$169,FALSE),1),"")</f>
        <v/>
      </c>
    </row>
    <row r="117" spans="1:53">
      <c r="A117" s="17" t="str">
        <f>IFERROR(INDEX(役職一覧!$B$2:$B$31,MATCH(B117,役職一覧!$C$2:$C$31,FALSE),1),"")</f>
        <v/>
      </c>
      <c r="B117" s="17" t="str">
        <f>IFERROR(IF(C117=1,INDEX(役職一覧!$C$2:$C$31,MATCH(逆引き!B116,役職一覧!$C$2:$C$31,FALSE)+1,1)&amp;"",B116),"")</f>
        <v/>
      </c>
      <c r="C117" s="17" t="str">
        <f>IFERROR(IF(VLOOKUP(B116,役職一覧!$C$2:$E$31,3,FALSE)=C116,1,C116+1),"")</f>
        <v/>
      </c>
      <c r="D117" s="17" t="str">
        <f>IFERROR(INDEX(逆引き作成用!$C$2:$C$169,MATCH($B117&amp;"/"&amp;$C117,逆引き作成用!D$2:D$169,FALSE),1),"")</f>
        <v/>
      </c>
      <c r="E117" s="17" t="str">
        <f>IFERROR(INDEX(逆引き作成用!$C$2:$C$169,MATCH($B117&amp;"/"&amp;$C117,逆引き作成用!E$2:E$169,FALSE),1),"")</f>
        <v/>
      </c>
      <c r="F117" s="17" t="str">
        <f>IFERROR(INDEX(逆引き作成用!$C$2:$C$169,MATCH($B117&amp;"/"&amp;$C117,逆引き作成用!F$2:F$169,FALSE),1),"")</f>
        <v/>
      </c>
      <c r="G117" s="17" t="str">
        <f>IFERROR(INDEX(逆引き作成用!$C$2:$C$169,MATCH($B117&amp;"/"&amp;$C117,逆引き作成用!G$2:G$169,FALSE),1),"")</f>
        <v/>
      </c>
      <c r="H117" s="17" t="str">
        <f>IFERROR(INDEX(逆引き作成用!$C$2:$C$169,MATCH($B117&amp;"/"&amp;$C117,逆引き作成用!H$2:H$169,FALSE),1),"")</f>
        <v/>
      </c>
      <c r="I117" s="17" t="str">
        <f>IFERROR(INDEX(逆引き作成用!$C$2:$C$169,MATCH($B117&amp;"/"&amp;$C117,逆引き作成用!I$2:I$169,FALSE),1),"")</f>
        <v/>
      </c>
      <c r="J117" s="17" t="str">
        <f>IFERROR(INDEX(逆引き作成用!$C$2:$C$169,MATCH($B117&amp;"/"&amp;$C117,逆引き作成用!J$2:J$169,FALSE),1),"")</f>
        <v/>
      </c>
      <c r="K117" s="17" t="str">
        <f>IFERROR(INDEX(逆引き作成用!$C$2:$C$169,MATCH($B117&amp;"/"&amp;$C117,逆引き作成用!K$2:K$169,FALSE),1),"")</f>
        <v/>
      </c>
      <c r="L117" s="17" t="str">
        <f>IFERROR(INDEX(逆引き作成用!$C$2:$C$169,MATCH($B117&amp;"/"&amp;$C117,逆引き作成用!L$2:L$169,FALSE),1),"")</f>
        <v/>
      </c>
      <c r="M117" s="17" t="str">
        <f>IFERROR(INDEX(逆引き作成用!$C$2:$C$169,MATCH($B117&amp;"/"&amp;$C117,逆引き作成用!M$2:M$169,FALSE),1),"")</f>
        <v/>
      </c>
      <c r="N117" s="17" t="str">
        <f>IFERROR(INDEX(逆引き作成用!$C$2:$C$169,MATCH($B117&amp;"/"&amp;$C117,逆引き作成用!N$2:N$169,FALSE),1),"")</f>
        <v/>
      </c>
      <c r="O117" s="17" t="str">
        <f>IFERROR(INDEX(逆引き作成用!$C$2:$C$169,MATCH($B117&amp;"/"&amp;$C117,逆引き作成用!O$2:O$169,FALSE),1),"")</f>
        <v/>
      </c>
      <c r="P117" s="17" t="str">
        <f>IFERROR(INDEX(逆引き作成用!$C$2:$C$169,MATCH($B117&amp;"/"&amp;$C117,逆引き作成用!P$2:P$169,FALSE),1),"")</f>
        <v/>
      </c>
      <c r="Q117" s="17" t="str">
        <f>IFERROR(INDEX(逆引き作成用!$C$2:$C$169,MATCH($B117&amp;"/"&amp;$C117,逆引き作成用!Q$2:Q$169,FALSE),1),"")</f>
        <v/>
      </c>
      <c r="R117" s="17" t="str">
        <f>IFERROR(INDEX(逆引き作成用!$C$2:$C$169,MATCH($B117&amp;"/"&amp;$C117,逆引き作成用!R$2:R$169,FALSE),1),"")</f>
        <v/>
      </c>
      <c r="S117" s="17" t="str">
        <f>IFERROR(INDEX(逆引き作成用!$C$2:$C$169,MATCH($B117&amp;"/"&amp;$C117,逆引き作成用!S$2:S$169,FALSE),1),"")</f>
        <v/>
      </c>
      <c r="T117" s="17" t="str">
        <f>IFERROR(INDEX(逆引き作成用!$C$2:$C$169,MATCH($B117&amp;"/"&amp;$C117,逆引き作成用!T$2:T$169,FALSE),1),"")</f>
        <v/>
      </c>
      <c r="U117" s="17" t="str">
        <f>IFERROR(INDEX(逆引き作成用!$C$2:$C$169,MATCH($B117&amp;"/"&amp;$C117,逆引き作成用!U$2:U$169,FALSE),1),"")</f>
        <v/>
      </c>
      <c r="V117" s="17" t="str">
        <f>IFERROR(INDEX(逆引き作成用!$C$2:$C$169,MATCH($B117&amp;"/"&amp;$C117,逆引き作成用!V$2:V$169,FALSE),1),"")</f>
        <v/>
      </c>
      <c r="W117" s="17" t="str">
        <f>IFERROR(INDEX(逆引き作成用!$C$2:$C$169,MATCH($B117&amp;"/"&amp;$C117,逆引き作成用!W$2:W$169,FALSE),1),"")</f>
        <v/>
      </c>
      <c r="X117" s="17" t="str">
        <f>IFERROR(INDEX(逆引き作成用!$C$2:$C$169,MATCH($B117&amp;"/"&amp;$C117,逆引き作成用!X$2:X$169,FALSE),1),"")</f>
        <v/>
      </c>
      <c r="Y117" s="17" t="str">
        <f>IFERROR(INDEX(逆引き作成用!$C$2:$C$169,MATCH($B117&amp;"/"&amp;$C117,逆引き作成用!Y$2:Y$169,FALSE),1),"")</f>
        <v/>
      </c>
      <c r="Z117" s="17" t="str">
        <f>IFERROR(INDEX(逆引き作成用!$C$2:$C$169,MATCH($B117&amp;"/"&amp;$C117,逆引き作成用!Z$2:Z$169,FALSE),1),"")</f>
        <v/>
      </c>
      <c r="AA117" s="17" t="str">
        <f>IFERROR(INDEX(逆引き作成用!$C$2:$C$169,MATCH($B117&amp;"/"&amp;$C117,逆引き作成用!AA$2:AA$169,FALSE),1),"")</f>
        <v/>
      </c>
      <c r="AB117" s="17" t="str">
        <f>IFERROR(INDEX(逆引き作成用!$C$2:$C$169,MATCH($B117&amp;"/"&amp;$C117,逆引き作成用!AB$2:AB$169,FALSE),1),"")</f>
        <v/>
      </c>
      <c r="AC117" s="17" t="str">
        <f>IFERROR(INDEX(逆引き作成用!$C$2:$C$169,MATCH($B117&amp;"/"&amp;$C117,逆引き作成用!AC$2:AC$169,FALSE),1),"")</f>
        <v/>
      </c>
      <c r="AD117" s="17" t="str">
        <f>IFERROR(INDEX(逆引き作成用!$C$2:$C$169,MATCH($B117&amp;"/"&amp;$C117,逆引き作成用!AD$2:AD$169,FALSE),1),"")</f>
        <v/>
      </c>
      <c r="AE117" s="17" t="str">
        <f>IFERROR(INDEX(逆引き作成用!$C$2:$C$169,MATCH($B117&amp;"/"&amp;$C117,逆引き作成用!AE$2:AE$169,FALSE),1),"")</f>
        <v/>
      </c>
      <c r="AF117" s="17" t="str">
        <f>IFERROR(INDEX(逆引き作成用!$C$2:$C$169,MATCH($B117&amp;"/"&amp;$C117,逆引き作成用!AF$2:AF$169,FALSE),1),"")</f>
        <v/>
      </c>
      <c r="AG117" s="17" t="str">
        <f>IFERROR(INDEX(逆引き作成用!$C$2:$C$169,MATCH($B117&amp;"/"&amp;$C117,逆引き作成用!AG$2:AG$169,FALSE),1),"")</f>
        <v/>
      </c>
      <c r="AH117" s="17" t="str">
        <f>IFERROR(INDEX(逆引き作成用!$C$2:$C$169,MATCH($B117&amp;"/"&amp;$C117,逆引き作成用!AH$2:AH$169,FALSE),1),"")</f>
        <v/>
      </c>
      <c r="AI117" s="17" t="str">
        <f>IFERROR(INDEX(逆引き作成用!$C$2:$C$169,MATCH($B117&amp;"/"&amp;$C117,逆引き作成用!AI$2:AI$169,FALSE),1),"")</f>
        <v/>
      </c>
      <c r="AJ117" s="17" t="str">
        <f>IFERROR(INDEX(逆引き作成用!$C$2:$C$169,MATCH($B117&amp;"/"&amp;$C117,逆引き作成用!AJ$2:AJ$169,FALSE),1),"")</f>
        <v/>
      </c>
      <c r="AK117" s="17" t="str">
        <f>IFERROR(INDEX(逆引き作成用!$C$2:$C$169,MATCH($B117&amp;"/"&amp;$C117,逆引き作成用!AK$2:AK$169,FALSE),1),"")</f>
        <v/>
      </c>
      <c r="AL117" s="17" t="str">
        <f>IFERROR(INDEX(逆引き作成用!$C$2:$C$169,MATCH($B117&amp;"/"&amp;$C117,逆引き作成用!AL$2:AL$169,FALSE),1),"")</f>
        <v/>
      </c>
      <c r="AM117" s="17" t="str">
        <f>IFERROR(INDEX(逆引き作成用!$C$2:$C$169,MATCH($B117&amp;"/"&amp;$C117,逆引き作成用!AM$2:AM$169,FALSE),1),"")</f>
        <v/>
      </c>
      <c r="AN117" s="17" t="str">
        <f>IFERROR(INDEX(逆引き作成用!$C$2:$C$169,MATCH($B117&amp;"/"&amp;$C117,逆引き作成用!AN$2:AN$169,FALSE),1),"")</f>
        <v/>
      </c>
      <c r="AO117" s="17" t="str">
        <f>IFERROR(INDEX(逆引き作成用!$C$2:$C$169,MATCH($B117&amp;"/"&amp;$C117,逆引き作成用!AO$2:AO$169,FALSE),1),"")</f>
        <v/>
      </c>
      <c r="AP117" s="17" t="str">
        <f>IFERROR(INDEX(逆引き作成用!$C$2:$C$169,MATCH($B117&amp;"/"&amp;$C117,逆引き作成用!AP$2:AP$169,FALSE),1),"")</f>
        <v/>
      </c>
      <c r="AQ117" s="17" t="str">
        <f>IFERROR(INDEX(逆引き作成用!$C$2:$C$169,MATCH($B117&amp;"/"&amp;$C117,逆引き作成用!AQ$2:AQ$169,FALSE),1),"")</f>
        <v/>
      </c>
      <c r="AR117" s="17" t="str">
        <f>IFERROR(INDEX(逆引き作成用!$C$2:$C$169,MATCH($B117&amp;"/"&amp;$C117,逆引き作成用!AR$2:AR$169,FALSE),1),"")</f>
        <v/>
      </c>
      <c r="AS117" s="17" t="str">
        <f>IFERROR(INDEX(逆引き作成用!$C$2:$C$169,MATCH($B117&amp;"/"&amp;$C117,逆引き作成用!AS$2:AS$169,FALSE),1),"")</f>
        <v/>
      </c>
      <c r="AT117" s="17" t="str">
        <f>IFERROR(INDEX(逆引き作成用!$C$2:$C$169,MATCH($B117&amp;"/"&amp;$C117,逆引き作成用!AT$2:AT$169,FALSE),1),"")</f>
        <v/>
      </c>
      <c r="AU117" s="17" t="str">
        <f>IFERROR(INDEX(逆引き作成用!$C$2:$C$169,MATCH($B117&amp;"/"&amp;$C117,逆引き作成用!AU$2:AU$169,FALSE),1),"")</f>
        <v/>
      </c>
      <c r="AV117" s="17" t="str">
        <f>IFERROR(INDEX(逆引き作成用!$C$2:$C$169,MATCH($B117&amp;"/"&amp;$C117,逆引き作成用!AV$2:AV$169,FALSE),1),"")</f>
        <v/>
      </c>
      <c r="AW117" s="17" t="str">
        <f>IFERROR(INDEX(逆引き作成用!$C$2:$C$169,MATCH($B117&amp;"/"&amp;$C117,逆引き作成用!AW$2:AW$169,FALSE),1),"")</f>
        <v/>
      </c>
      <c r="AX117" s="17" t="str">
        <f>IFERROR(INDEX(逆引き作成用!$C$2:$C$169,MATCH($B117&amp;"/"&amp;$C117,逆引き作成用!AX$2:AX$169,FALSE),1),"")</f>
        <v/>
      </c>
      <c r="AY117" s="17" t="str">
        <f>IFERROR(INDEX(逆引き作成用!$C$2:$C$169,MATCH($B117&amp;"/"&amp;$C117,逆引き作成用!AY$2:AY$169,FALSE),1),"")</f>
        <v/>
      </c>
      <c r="AZ117" s="17" t="str">
        <f>IFERROR(INDEX(逆引き作成用!$C$2:$C$169,MATCH($B117&amp;"/"&amp;$C117,逆引き作成用!AZ$2:AZ$169,FALSE),1),"")</f>
        <v/>
      </c>
      <c r="BA117" s="17" t="str">
        <f>IFERROR(INDEX(逆引き作成用!$C$2:$C$169,MATCH($B117&amp;"/"&amp;$C117,逆引き作成用!BA$2:BA$169,FALSE),1),"")</f>
        <v/>
      </c>
    </row>
    <row r="118" spans="1:53">
      <c r="A118" s="17" t="str">
        <f>IFERROR(INDEX(役職一覧!$B$2:$B$31,MATCH(B118,役職一覧!$C$2:$C$31,FALSE),1),"")</f>
        <v/>
      </c>
      <c r="B118" s="17" t="str">
        <f>IFERROR(IF(C118=1,INDEX(役職一覧!$C$2:$C$31,MATCH(逆引き!B117,役職一覧!$C$2:$C$31,FALSE)+1,1)&amp;"",B117),"")</f>
        <v/>
      </c>
      <c r="C118" s="17" t="str">
        <f>IFERROR(IF(VLOOKUP(B117,役職一覧!$C$2:$E$31,3,FALSE)=C117,1,C117+1),"")</f>
        <v/>
      </c>
      <c r="D118" s="17" t="str">
        <f>IFERROR(INDEX(逆引き作成用!$C$2:$C$169,MATCH($B118&amp;"/"&amp;$C118,逆引き作成用!D$2:D$169,FALSE),1),"")</f>
        <v/>
      </c>
      <c r="E118" s="17" t="str">
        <f>IFERROR(INDEX(逆引き作成用!$C$2:$C$169,MATCH($B118&amp;"/"&amp;$C118,逆引き作成用!E$2:E$169,FALSE),1),"")</f>
        <v/>
      </c>
      <c r="F118" s="17" t="str">
        <f>IFERROR(INDEX(逆引き作成用!$C$2:$C$169,MATCH($B118&amp;"/"&amp;$C118,逆引き作成用!F$2:F$169,FALSE),1),"")</f>
        <v/>
      </c>
      <c r="G118" s="17" t="str">
        <f>IFERROR(INDEX(逆引き作成用!$C$2:$C$169,MATCH($B118&amp;"/"&amp;$C118,逆引き作成用!G$2:G$169,FALSE),1),"")</f>
        <v/>
      </c>
      <c r="H118" s="17" t="str">
        <f>IFERROR(INDEX(逆引き作成用!$C$2:$C$169,MATCH($B118&amp;"/"&amp;$C118,逆引き作成用!H$2:H$169,FALSE),1),"")</f>
        <v/>
      </c>
      <c r="I118" s="17" t="str">
        <f>IFERROR(INDEX(逆引き作成用!$C$2:$C$169,MATCH($B118&amp;"/"&amp;$C118,逆引き作成用!I$2:I$169,FALSE),1),"")</f>
        <v/>
      </c>
      <c r="J118" s="17" t="str">
        <f>IFERROR(INDEX(逆引き作成用!$C$2:$C$169,MATCH($B118&amp;"/"&amp;$C118,逆引き作成用!J$2:J$169,FALSE),1),"")</f>
        <v/>
      </c>
      <c r="K118" s="17" t="str">
        <f>IFERROR(INDEX(逆引き作成用!$C$2:$C$169,MATCH($B118&amp;"/"&amp;$C118,逆引き作成用!K$2:K$169,FALSE),1),"")</f>
        <v/>
      </c>
      <c r="L118" s="17" t="str">
        <f>IFERROR(INDEX(逆引き作成用!$C$2:$C$169,MATCH($B118&amp;"/"&amp;$C118,逆引き作成用!L$2:L$169,FALSE),1),"")</f>
        <v/>
      </c>
      <c r="M118" s="17" t="str">
        <f>IFERROR(INDEX(逆引き作成用!$C$2:$C$169,MATCH($B118&amp;"/"&amp;$C118,逆引き作成用!M$2:M$169,FALSE),1),"")</f>
        <v/>
      </c>
      <c r="N118" s="17" t="str">
        <f>IFERROR(INDEX(逆引き作成用!$C$2:$C$169,MATCH($B118&amp;"/"&amp;$C118,逆引き作成用!N$2:N$169,FALSE),1),"")</f>
        <v/>
      </c>
      <c r="O118" s="17" t="str">
        <f>IFERROR(INDEX(逆引き作成用!$C$2:$C$169,MATCH($B118&amp;"/"&amp;$C118,逆引き作成用!O$2:O$169,FALSE),1),"")</f>
        <v/>
      </c>
      <c r="P118" s="17" t="str">
        <f>IFERROR(INDEX(逆引き作成用!$C$2:$C$169,MATCH($B118&amp;"/"&amp;$C118,逆引き作成用!P$2:P$169,FALSE),1),"")</f>
        <v/>
      </c>
      <c r="Q118" s="17" t="str">
        <f>IFERROR(INDEX(逆引き作成用!$C$2:$C$169,MATCH($B118&amp;"/"&amp;$C118,逆引き作成用!Q$2:Q$169,FALSE),1),"")</f>
        <v/>
      </c>
      <c r="R118" s="17" t="str">
        <f>IFERROR(INDEX(逆引き作成用!$C$2:$C$169,MATCH($B118&amp;"/"&amp;$C118,逆引き作成用!R$2:R$169,FALSE),1),"")</f>
        <v/>
      </c>
      <c r="S118" s="17" t="str">
        <f>IFERROR(INDEX(逆引き作成用!$C$2:$C$169,MATCH($B118&amp;"/"&amp;$C118,逆引き作成用!S$2:S$169,FALSE),1),"")</f>
        <v/>
      </c>
      <c r="T118" s="17" t="str">
        <f>IFERROR(INDEX(逆引き作成用!$C$2:$C$169,MATCH($B118&amp;"/"&amp;$C118,逆引き作成用!T$2:T$169,FALSE),1),"")</f>
        <v/>
      </c>
      <c r="U118" s="17" t="str">
        <f>IFERROR(INDEX(逆引き作成用!$C$2:$C$169,MATCH($B118&amp;"/"&amp;$C118,逆引き作成用!U$2:U$169,FALSE),1),"")</f>
        <v/>
      </c>
      <c r="V118" s="17" t="str">
        <f>IFERROR(INDEX(逆引き作成用!$C$2:$C$169,MATCH($B118&amp;"/"&amp;$C118,逆引き作成用!V$2:V$169,FALSE),1),"")</f>
        <v/>
      </c>
      <c r="W118" s="17" t="str">
        <f>IFERROR(INDEX(逆引き作成用!$C$2:$C$169,MATCH($B118&amp;"/"&amp;$C118,逆引き作成用!W$2:W$169,FALSE),1),"")</f>
        <v/>
      </c>
      <c r="X118" s="17" t="str">
        <f>IFERROR(INDEX(逆引き作成用!$C$2:$C$169,MATCH($B118&amp;"/"&amp;$C118,逆引き作成用!X$2:X$169,FALSE),1),"")</f>
        <v/>
      </c>
      <c r="Y118" s="17" t="str">
        <f>IFERROR(INDEX(逆引き作成用!$C$2:$C$169,MATCH($B118&amp;"/"&amp;$C118,逆引き作成用!Y$2:Y$169,FALSE),1),"")</f>
        <v/>
      </c>
      <c r="Z118" s="17" t="str">
        <f>IFERROR(INDEX(逆引き作成用!$C$2:$C$169,MATCH($B118&amp;"/"&amp;$C118,逆引き作成用!Z$2:Z$169,FALSE),1),"")</f>
        <v/>
      </c>
      <c r="AA118" s="17" t="str">
        <f>IFERROR(INDEX(逆引き作成用!$C$2:$C$169,MATCH($B118&amp;"/"&amp;$C118,逆引き作成用!AA$2:AA$169,FALSE),1),"")</f>
        <v/>
      </c>
      <c r="AB118" s="17" t="str">
        <f>IFERROR(INDEX(逆引き作成用!$C$2:$C$169,MATCH($B118&amp;"/"&amp;$C118,逆引き作成用!AB$2:AB$169,FALSE),1),"")</f>
        <v/>
      </c>
      <c r="AC118" s="17" t="str">
        <f>IFERROR(INDEX(逆引き作成用!$C$2:$C$169,MATCH($B118&amp;"/"&amp;$C118,逆引き作成用!AC$2:AC$169,FALSE),1),"")</f>
        <v/>
      </c>
      <c r="AD118" s="17" t="str">
        <f>IFERROR(INDEX(逆引き作成用!$C$2:$C$169,MATCH($B118&amp;"/"&amp;$C118,逆引き作成用!AD$2:AD$169,FALSE),1),"")</f>
        <v/>
      </c>
      <c r="AE118" s="17" t="str">
        <f>IFERROR(INDEX(逆引き作成用!$C$2:$C$169,MATCH($B118&amp;"/"&amp;$C118,逆引き作成用!AE$2:AE$169,FALSE),1),"")</f>
        <v/>
      </c>
      <c r="AF118" s="17" t="str">
        <f>IFERROR(INDEX(逆引き作成用!$C$2:$C$169,MATCH($B118&amp;"/"&amp;$C118,逆引き作成用!AF$2:AF$169,FALSE),1),"")</f>
        <v/>
      </c>
      <c r="AG118" s="17" t="str">
        <f>IFERROR(INDEX(逆引き作成用!$C$2:$C$169,MATCH($B118&amp;"/"&amp;$C118,逆引き作成用!AG$2:AG$169,FALSE),1),"")</f>
        <v/>
      </c>
      <c r="AH118" s="17" t="str">
        <f>IFERROR(INDEX(逆引き作成用!$C$2:$C$169,MATCH($B118&amp;"/"&amp;$C118,逆引き作成用!AH$2:AH$169,FALSE),1),"")</f>
        <v/>
      </c>
      <c r="AI118" s="17" t="str">
        <f>IFERROR(INDEX(逆引き作成用!$C$2:$C$169,MATCH($B118&amp;"/"&amp;$C118,逆引き作成用!AI$2:AI$169,FALSE),1),"")</f>
        <v/>
      </c>
      <c r="AJ118" s="17" t="str">
        <f>IFERROR(INDEX(逆引き作成用!$C$2:$C$169,MATCH($B118&amp;"/"&amp;$C118,逆引き作成用!AJ$2:AJ$169,FALSE),1),"")</f>
        <v/>
      </c>
      <c r="AK118" s="17" t="str">
        <f>IFERROR(INDEX(逆引き作成用!$C$2:$C$169,MATCH($B118&amp;"/"&amp;$C118,逆引き作成用!AK$2:AK$169,FALSE),1),"")</f>
        <v/>
      </c>
      <c r="AL118" s="17" t="str">
        <f>IFERROR(INDEX(逆引き作成用!$C$2:$C$169,MATCH($B118&amp;"/"&amp;$C118,逆引き作成用!AL$2:AL$169,FALSE),1),"")</f>
        <v/>
      </c>
      <c r="AM118" s="17" t="str">
        <f>IFERROR(INDEX(逆引き作成用!$C$2:$C$169,MATCH($B118&amp;"/"&amp;$C118,逆引き作成用!AM$2:AM$169,FALSE),1),"")</f>
        <v/>
      </c>
      <c r="AN118" s="17" t="str">
        <f>IFERROR(INDEX(逆引き作成用!$C$2:$C$169,MATCH($B118&amp;"/"&amp;$C118,逆引き作成用!AN$2:AN$169,FALSE),1),"")</f>
        <v/>
      </c>
      <c r="AO118" s="17" t="str">
        <f>IFERROR(INDEX(逆引き作成用!$C$2:$C$169,MATCH($B118&amp;"/"&amp;$C118,逆引き作成用!AO$2:AO$169,FALSE),1),"")</f>
        <v/>
      </c>
      <c r="AP118" s="17" t="str">
        <f>IFERROR(INDEX(逆引き作成用!$C$2:$C$169,MATCH($B118&amp;"/"&amp;$C118,逆引き作成用!AP$2:AP$169,FALSE),1),"")</f>
        <v/>
      </c>
      <c r="AQ118" s="17" t="str">
        <f>IFERROR(INDEX(逆引き作成用!$C$2:$C$169,MATCH($B118&amp;"/"&amp;$C118,逆引き作成用!AQ$2:AQ$169,FALSE),1),"")</f>
        <v/>
      </c>
      <c r="AR118" s="17" t="str">
        <f>IFERROR(INDEX(逆引き作成用!$C$2:$C$169,MATCH($B118&amp;"/"&amp;$C118,逆引き作成用!AR$2:AR$169,FALSE),1),"")</f>
        <v/>
      </c>
      <c r="AS118" s="17" t="str">
        <f>IFERROR(INDEX(逆引き作成用!$C$2:$C$169,MATCH($B118&amp;"/"&amp;$C118,逆引き作成用!AS$2:AS$169,FALSE),1),"")</f>
        <v/>
      </c>
      <c r="AT118" s="17" t="str">
        <f>IFERROR(INDEX(逆引き作成用!$C$2:$C$169,MATCH($B118&amp;"/"&amp;$C118,逆引き作成用!AT$2:AT$169,FALSE),1),"")</f>
        <v/>
      </c>
      <c r="AU118" s="17" t="str">
        <f>IFERROR(INDEX(逆引き作成用!$C$2:$C$169,MATCH($B118&amp;"/"&amp;$C118,逆引き作成用!AU$2:AU$169,FALSE),1),"")</f>
        <v/>
      </c>
      <c r="AV118" s="17" t="str">
        <f>IFERROR(INDEX(逆引き作成用!$C$2:$C$169,MATCH($B118&amp;"/"&amp;$C118,逆引き作成用!AV$2:AV$169,FALSE),1),"")</f>
        <v/>
      </c>
      <c r="AW118" s="17" t="str">
        <f>IFERROR(INDEX(逆引き作成用!$C$2:$C$169,MATCH($B118&amp;"/"&amp;$C118,逆引き作成用!AW$2:AW$169,FALSE),1),"")</f>
        <v/>
      </c>
      <c r="AX118" s="17" t="str">
        <f>IFERROR(INDEX(逆引き作成用!$C$2:$C$169,MATCH($B118&amp;"/"&amp;$C118,逆引き作成用!AX$2:AX$169,FALSE),1),"")</f>
        <v/>
      </c>
      <c r="AY118" s="17" t="str">
        <f>IFERROR(INDEX(逆引き作成用!$C$2:$C$169,MATCH($B118&amp;"/"&amp;$C118,逆引き作成用!AY$2:AY$169,FALSE),1),"")</f>
        <v/>
      </c>
      <c r="AZ118" s="17" t="str">
        <f>IFERROR(INDEX(逆引き作成用!$C$2:$C$169,MATCH($B118&amp;"/"&amp;$C118,逆引き作成用!AZ$2:AZ$169,FALSE),1),"")</f>
        <v/>
      </c>
      <c r="BA118" s="17" t="str">
        <f>IFERROR(INDEX(逆引き作成用!$C$2:$C$169,MATCH($B118&amp;"/"&amp;$C118,逆引き作成用!BA$2:BA$169,FALSE),1),"")</f>
        <v/>
      </c>
    </row>
    <row r="119" spans="1:53">
      <c r="A119" s="17" t="str">
        <f>IFERROR(INDEX(役職一覧!$B$2:$B$31,MATCH(B119,役職一覧!$C$2:$C$31,FALSE),1),"")</f>
        <v/>
      </c>
      <c r="B119" s="17" t="str">
        <f>IFERROR(IF(C119=1,INDEX(役職一覧!$C$2:$C$31,MATCH(逆引き!B118,役職一覧!$C$2:$C$31,FALSE)+1,1)&amp;"",B118),"")</f>
        <v/>
      </c>
      <c r="C119" s="17" t="str">
        <f>IFERROR(IF(VLOOKUP(B118,役職一覧!$C$2:$E$31,3,FALSE)=C118,1,C118+1),"")</f>
        <v/>
      </c>
      <c r="D119" s="17" t="str">
        <f>IFERROR(INDEX(逆引き作成用!$C$2:$C$169,MATCH($B119&amp;"/"&amp;$C119,逆引き作成用!D$2:D$169,FALSE),1),"")</f>
        <v/>
      </c>
      <c r="E119" s="17" t="str">
        <f>IFERROR(INDEX(逆引き作成用!$C$2:$C$169,MATCH($B119&amp;"/"&amp;$C119,逆引き作成用!E$2:E$169,FALSE),1),"")</f>
        <v/>
      </c>
      <c r="F119" s="17" t="str">
        <f>IFERROR(INDEX(逆引き作成用!$C$2:$C$169,MATCH($B119&amp;"/"&amp;$C119,逆引き作成用!F$2:F$169,FALSE),1),"")</f>
        <v/>
      </c>
      <c r="G119" s="17" t="str">
        <f>IFERROR(INDEX(逆引き作成用!$C$2:$C$169,MATCH($B119&amp;"/"&amp;$C119,逆引き作成用!G$2:G$169,FALSE),1),"")</f>
        <v/>
      </c>
      <c r="H119" s="17" t="str">
        <f>IFERROR(INDEX(逆引き作成用!$C$2:$C$169,MATCH($B119&amp;"/"&amp;$C119,逆引き作成用!H$2:H$169,FALSE),1),"")</f>
        <v/>
      </c>
      <c r="I119" s="17" t="str">
        <f>IFERROR(INDEX(逆引き作成用!$C$2:$C$169,MATCH($B119&amp;"/"&amp;$C119,逆引き作成用!I$2:I$169,FALSE),1),"")</f>
        <v/>
      </c>
      <c r="J119" s="17" t="str">
        <f>IFERROR(INDEX(逆引き作成用!$C$2:$C$169,MATCH($B119&amp;"/"&amp;$C119,逆引き作成用!J$2:J$169,FALSE),1),"")</f>
        <v/>
      </c>
      <c r="K119" s="17" t="str">
        <f>IFERROR(INDEX(逆引き作成用!$C$2:$C$169,MATCH($B119&amp;"/"&amp;$C119,逆引き作成用!K$2:K$169,FALSE),1),"")</f>
        <v/>
      </c>
      <c r="L119" s="17" t="str">
        <f>IFERROR(INDEX(逆引き作成用!$C$2:$C$169,MATCH($B119&amp;"/"&amp;$C119,逆引き作成用!L$2:L$169,FALSE),1),"")</f>
        <v/>
      </c>
      <c r="M119" s="17" t="str">
        <f>IFERROR(INDEX(逆引き作成用!$C$2:$C$169,MATCH($B119&amp;"/"&amp;$C119,逆引き作成用!M$2:M$169,FALSE),1),"")</f>
        <v/>
      </c>
      <c r="N119" s="17" t="str">
        <f>IFERROR(INDEX(逆引き作成用!$C$2:$C$169,MATCH($B119&amp;"/"&amp;$C119,逆引き作成用!N$2:N$169,FALSE),1),"")</f>
        <v/>
      </c>
      <c r="O119" s="17" t="str">
        <f>IFERROR(INDEX(逆引き作成用!$C$2:$C$169,MATCH($B119&amp;"/"&amp;$C119,逆引き作成用!O$2:O$169,FALSE),1),"")</f>
        <v/>
      </c>
      <c r="P119" s="17" t="str">
        <f>IFERROR(INDEX(逆引き作成用!$C$2:$C$169,MATCH($B119&amp;"/"&amp;$C119,逆引き作成用!P$2:P$169,FALSE),1),"")</f>
        <v/>
      </c>
      <c r="Q119" s="17" t="str">
        <f>IFERROR(INDEX(逆引き作成用!$C$2:$C$169,MATCH($B119&amp;"/"&amp;$C119,逆引き作成用!Q$2:Q$169,FALSE),1),"")</f>
        <v/>
      </c>
      <c r="R119" s="17" t="str">
        <f>IFERROR(INDEX(逆引き作成用!$C$2:$C$169,MATCH($B119&amp;"/"&amp;$C119,逆引き作成用!R$2:R$169,FALSE),1),"")</f>
        <v/>
      </c>
      <c r="S119" s="17" t="str">
        <f>IFERROR(INDEX(逆引き作成用!$C$2:$C$169,MATCH($B119&amp;"/"&amp;$C119,逆引き作成用!S$2:S$169,FALSE),1),"")</f>
        <v/>
      </c>
      <c r="T119" s="17" t="str">
        <f>IFERROR(INDEX(逆引き作成用!$C$2:$C$169,MATCH($B119&amp;"/"&amp;$C119,逆引き作成用!T$2:T$169,FALSE),1),"")</f>
        <v/>
      </c>
      <c r="U119" s="17" t="str">
        <f>IFERROR(INDEX(逆引き作成用!$C$2:$C$169,MATCH($B119&amp;"/"&amp;$C119,逆引き作成用!U$2:U$169,FALSE),1),"")</f>
        <v/>
      </c>
      <c r="V119" s="17" t="str">
        <f>IFERROR(INDEX(逆引き作成用!$C$2:$C$169,MATCH($B119&amp;"/"&amp;$C119,逆引き作成用!V$2:V$169,FALSE),1),"")</f>
        <v/>
      </c>
      <c r="W119" s="17" t="str">
        <f>IFERROR(INDEX(逆引き作成用!$C$2:$C$169,MATCH($B119&amp;"/"&amp;$C119,逆引き作成用!W$2:W$169,FALSE),1),"")</f>
        <v/>
      </c>
      <c r="X119" s="17" t="str">
        <f>IFERROR(INDEX(逆引き作成用!$C$2:$C$169,MATCH($B119&amp;"/"&amp;$C119,逆引き作成用!X$2:X$169,FALSE),1),"")</f>
        <v/>
      </c>
      <c r="Y119" s="17" t="str">
        <f>IFERROR(INDEX(逆引き作成用!$C$2:$C$169,MATCH($B119&amp;"/"&amp;$C119,逆引き作成用!Y$2:Y$169,FALSE),1),"")</f>
        <v/>
      </c>
      <c r="Z119" s="17" t="str">
        <f>IFERROR(INDEX(逆引き作成用!$C$2:$C$169,MATCH($B119&amp;"/"&amp;$C119,逆引き作成用!Z$2:Z$169,FALSE),1),"")</f>
        <v/>
      </c>
      <c r="AA119" s="17" t="str">
        <f>IFERROR(INDEX(逆引き作成用!$C$2:$C$169,MATCH($B119&amp;"/"&amp;$C119,逆引き作成用!AA$2:AA$169,FALSE),1),"")</f>
        <v/>
      </c>
      <c r="AB119" s="17" t="str">
        <f>IFERROR(INDEX(逆引き作成用!$C$2:$C$169,MATCH($B119&amp;"/"&amp;$C119,逆引き作成用!AB$2:AB$169,FALSE),1),"")</f>
        <v/>
      </c>
      <c r="AC119" s="17" t="str">
        <f>IFERROR(INDEX(逆引き作成用!$C$2:$C$169,MATCH($B119&amp;"/"&amp;$C119,逆引き作成用!AC$2:AC$169,FALSE),1),"")</f>
        <v/>
      </c>
      <c r="AD119" s="17" t="str">
        <f>IFERROR(INDEX(逆引き作成用!$C$2:$C$169,MATCH($B119&amp;"/"&amp;$C119,逆引き作成用!AD$2:AD$169,FALSE),1),"")</f>
        <v/>
      </c>
      <c r="AE119" s="17" t="str">
        <f>IFERROR(INDEX(逆引き作成用!$C$2:$C$169,MATCH($B119&amp;"/"&amp;$C119,逆引き作成用!AE$2:AE$169,FALSE),1),"")</f>
        <v/>
      </c>
      <c r="AF119" s="17" t="str">
        <f>IFERROR(INDEX(逆引き作成用!$C$2:$C$169,MATCH($B119&amp;"/"&amp;$C119,逆引き作成用!AF$2:AF$169,FALSE),1),"")</f>
        <v/>
      </c>
      <c r="AG119" s="17" t="str">
        <f>IFERROR(INDEX(逆引き作成用!$C$2:$C$169,MATCH($B119&amp;"/"&amp;$C119,逆引き作成用!AG$2:AG$169,FALSE),1),"")</f>
        <v/>
      </c>
      <c r="AH119" s="17" t="str">
        <f>IFERROR(INDEX(逆引き作成用!$C$2:$C$169,MATCH($B119&amp;"/"&amp;$C119,逆引き作成用!AH$2:AH$169,FALSE),1),"")</f>
        <v/>
      </c>
      <c r="AI119" s="17" t="str">
        <f>IFERROR(INDEX(逆引き作成用!$C$2:$C$169,MATCH($B119&amp;"/"&amp;$C119,逆引き作成用!AI$2:AI$169,FALSE),1),"")</f>
        <v/>
      </c>
      <c r="AJ119" s="17" t="str">
        <f>IFERROR(INDEX(逆引き作成用!$C$2:$C$169,MATCH($B119&amp;"/"&amp;$C119,逆引き作成用!AJ$2:AJ$169,FALSE),1),"")</f>
        <v/>
      </c>
      <c r="AK119" s="17" t="str">
        <f>IFERROR(INDEX(逆引き作成用!$C$2:$C$169,MATCH($B119&amp;"/"&amp;$C119,逆引き作成用!AK$2:AK$169,FALSE),1),"")</f>
        <v/>
      </c>
      <c r="AL119" s="17" t="str">
        <f>IFERROR(INDEX(逆引き作成用!$C$2:$C$169,MATCH($B119&amp;"/"&amp;$C119,逆引き作成用!AL$2:AL$169,FALSE),1),"")</f>
        <v/>
      </c>
      <c r="AM119" s="17" t="str">
        <f>IFERROR(INDEX(逆引き作成用!$C$2:$C$169,MATCH($B119&amp;"/"&amp;$C119,逆引き作成用!AM$2:AM$169,FALSE),1),"")</f>
        <v/>
      </c>
      <c r="AN119" s="17" t="str">
        <f>IFERROR(INDEX(逆引き作成用!$C$2:$C$169,MATCH($B119&amp;"/"&amp;$C119,逆引き作成用!AN$2:AN$169,FALSE),1),"")</f>
        <v/>
      </c>
      <c r="AO119" s="17" t="str">
        <f>IFERROR(INDEX(逆引き作成用!$C$2:$C$169,MATCH($B119&amp;"/"&amp;$C119,逆引き作成用!AO$2:AO$169,FALSE),1),"")</f>
        <v/>
      </c>
      <c r="AP119" s="17" t="str">
        <f>IFERROR(INDEX(逆引き作成用!$C$2:$C$169,MATCH($B119&amp;"/"&amp;$C119,逆引き作成用!AP$2:AP$169,FALSE),1),"")</f>
        <v/>
      </c>
      <c r="AQ119" s="17" t="str">
        <f>IFERROR(INDEX(逆引き作成用!$C$2:$C$169,MATCH($B119&amp;"/"&amp;$C119,逆引き作成用!AQ$2:AQ$169,FALSE),1),"")</f>
        <v/>
      </c>
      <c r="AR119" s="17" t="str">
        <f>IFERROR(INDEX(逆引き作成用!$C$2:$C$169,MATCH($B119&amp;"/"&amp;$C119,逆引き作成用!AR$2:AR$169,FALSE),1),"")</f>
        <v/>
      </c>
      <c r="AS119" s="17" t="str">
        <f>IFERROR(INDEX(逆引き作成用!$C$2:$C$169,MATCH($B119&amp;"/"&amp;$C119,逆引き作成用!AS$2:AS$169,FALSE),1),"")</f>
        <v/>
      </c>
      <c r="AT119" s="17" t="str">
        <f>IFERROR(INDEX(逆引き作成用!$C$2:$C$169,MATCH($B119&amp;"/"&amp;$C119,逆引き作成用!AT$2:AT$169,FALSE),1),"")</f>
        <v/>
      </c>
      <c r="AU119" s="17" t="str">
        <f>IFERROR(INDEX(逆引き作成用!$C$2:$C$169,MATCH($B119&amp;"/"&amp;$C119,逆引き作成用!AU$2:AU$169,FALSE),1),"")</f>
        <v/>
      </c>
      <c r="AV119" s="17" t="str">
        <f>IFERROR(INDEX(逆引き作成用!$C$2:$C$169,MATCH($B119&amp;"/"&amp;$C119,逆引き作成用!AV$2:AV$169,FALSE),1),"")</f>
        <v/>
      </c>
      <c r="AW119" s="17" t="str">
        <f>IFERROR(INDEX(逆引き作成用!$C$2:$C$169,MATCH($B119&amp;"/"&amp;$C119,逆引き作成用!AW$2:AW$169,FALSE),1),"")</f>
        <v/>
      </c>
      <c r="AX119" s="17" t="str">
        <f>IFERROR(INDEX(逆引き作成用!$C$2:$C$169,MATCH($B119&amp;"/"&amp;$C119,逆引き作成用!AX$2:AX$169,FALSE),1),"")</f>
        <v/>
      </c>
      <c r="AY119" s="17" t="str">
        <f>IFERROR(INDEX(逆引き作成用!$C$2:$C$169,MATCH($B119&amp;"/"&amp;$C119,逆引き作成用!AY$2:AY$169,FALSE),1),"")</f>
        <v/>
      </c>
      <c r="AZ119" s="17" t="str">
        <f>IFERROR(INDEX(逆引き作成用!$C$2:$C$169,MATCH($B119&amp;"/"&amp;$C119,逆引き作成用!AZ$2:AZ$169,FALSE),1),"")</f>
        <v/>
      </c>
      <c r="BA119" s="17" t="str">
        <f>IFERROR(INDEX(逆引き作成用!$C$2:$C$169,MATCH($B119&amp;"/"&amp;$C119,逆引き作成用!BA$2:BA$169,FALSE),1),"")</f>
        <v/>
      </c>
    </row>
    <row r="120" spans="1:53">
      <c r="A120" s="17" t="str">
        <f>IFERROR(INDEX(役職一覧!$B$2:$B$31,MATCH(B120,役職一覧!$C$2:$C$31,FALSE),1),"")</f>
        <v/>
      </c>
      <c r="B120" s="17" t="str">
        <f>IFERROR(IF(C120=1,INDEX(役職一覧!$C$2:$C$31,MATCH(逆引き!B119,役職一覧!$C$2:$C$31,FALSE)+1,1)&amp;"",B119),"")</f>
        <v/>
      </c>
      <c r="C120" s="17" t="str">
        <f>IFERROR(IF(VLOOKUP(B119,役職一覧!$C$2:$E$31,3,FALSE)=C119,1,C119+1),"")</f>
        <v/>
      </c>
      <c r="D120" s="17" t="str">
        <f>IFERROR(INDEX(逆引き作成用!$C$2:$C$169,MATCH($B120&amp;"/"&amp;$C120,逆引き作成用!D$2:D$169,FALSE),1),"")</f>
        <v/>
      </c>
      <c r="E120" s="17" t="str">
        <f>IFERROR(INDEX(逆引き作成用!$C$2:$C$169,MATCH($B120&amp;"/"&amp;$C120,逆引き作成用!E$2:E$169,FALSE),1),"")</f>
        <v/>
      </c>
      <c r="F120" s="17" t="str">
        <f>IFERROR(INDEX(逆引き作成用!$C$2:$C$169,MATCH($B120&amp;"/"&amp;$C120,逆引き作成用!F$2:F$169,FALSE),1),"")</f>
        <v/>
      </c>
      <c r="G120" s="17" t="str">
        <f>IFERROR(INDEX(逆引き作成用!$C$2:$C$169,MATCH($B120&amp;"/"&amp;$C120,逆引き作成用!G$2:G$169,FALSE),1),"")</f>
        <v/>
      </c>
      <c r="H120" s="17" t="str">
        <f>IFERROR(INDEX(逆引き作成用!$C$2:$C$169,MATCH($B120&amp;"/"&amp;$C120,逆引き作成用!H$2:H$169,FALSE),1),"")</f>
        <v/>
      </c>
      <c r="I120" s="17" t="str">
        <f>IFERROR(INDEX(逆引き作成用!$C$2:$C$169,MATCH($B120&amp;"/"&amp;$C120,逆引き作成用!I$2:I$169,FALSE),1),"")</f>
        <v/>
      </c>
      <c r="J120" s="17" t="str">
        <f>IFERROR(INDEX(逆引き作成用!$C$2:$C$169,MATCH($B120&amp;"/"&amp;$C120,逆引き作成用!J$2:J$169,FALSE),1),"")</f>
        <v/>
      </c>
      <c r="K120" s="17" t="str">
        <f>IFERROR(INDEX(逆引き作成用!$C$2:$C$169,MATCH($B120&amp;"/"&amp;$C120,逆引き作成用!K$2:K$169,FALSE),1),"")</f>
        <v/>
      </c>
      <c r="L120" s="17" t="str">
        <f>IFERROR(INDEX(逆引き作成用!$C$2:$C$169,MATCH($B120&amp;"/"&amp;$C120,逆引き作成用!L$2:L$169,FALSE),1),"")</f>
        <v/>
      </c>
      <c r="M120" s="17" t="str">
        <f>IFERROR(INDEX(逆引き作成用!$C$2:$C$169,MATCH($B120&amp;"/"&amp;$C120,逆引き作成用!M$2:M$169,FALSE),1),"")</f>
        <v/>
      </c>
      <c r="N120" s="17" t="str">
        <f>IFERROR(INDEX(逆引き作成用!$C$2:$C$169,MATCH($B120&amp;"/"&amp;$C120,逆引き作成用!N$2:N$169,FALSE),1),"")</f>
        <v/>
      </c>
      <c r="O120" s="17" t="str">
        <f>IFERROR(INDEX(逆引き作成用!$C$2:$C$169,MATCH($B120&amp;"/"&amp;$C120,逆引き作成用!O$2:O$169,FALSE),1),"")</f>
        <v/>
      </c>
      <c r="P120" s="17" t="str">
        <f>IFERROR(INDEX(逆引き作成用!$C$2:$C$169,MATCH($B120&amp;"/"&amp;$C120,逆引き作成用!P$2:P$169,FALSE),1),"")</f>
        <v/>
      </c>
      <c r="Q120" s="17" t="str">
        <f>IFERROR(INDEX(逆引き作成用!$C$2:$C$169,MATCH($B120&amp;"/"&amp;$C120,逆引き作成用!Q$2:Q$169,FALSE),1),"")</f>
        <v/>
      </c>
      <c r="R120" s="17" t="str">
        <f>IFERROR(INDEX(逆引き作成用!$C$2:$C$169,MATCH($B120&amp;"/"&amp;$C120,逆引き作成用!R$2:R$169,FALSE),1),"")</f>
        <v/>
      </c>
      <c r="S120" s="17" t="str">
        <f>IFERROR(INDEX(逆引き作成用!$C$2:$C$169,MATCH($B120&amp;"/"&amp;$C120,逆引き作成用!S$2:S$169,FALSE),1),"")</f>
        <v/>
      </c>
      <c r="T120" s="17" t="str">
        <f>IFERROR(INDEX(逆引き作成用!$C$2:$C$169,MATCH($B120&amp;"/"&amp;$C120,逆引き作成用!T$2:T$169,FALSE),1),"")</f>
        <v/>
      </c>
      <c r="U120" s="17" t="str">
        <f>IFERROR(INDEX(逆引き作成用!$C$2:$C$169,MATCH($B120&amp;"/"&amp;$C120,逆引き作成用!U$2:U$169,FALSE),1),"")</f>
        <v/>
      </c>
      <c r="V120" s="17" t="str">
        <f>IFERROR(INDEX(逆引き作成用!$C$2:$C$169,MATCH($B120&amp;"/"&amp;$C120,逆引き作成用!V$2:V$169,FALSE),1),"")</f>
        <v/>
      </c>
      <c r="W120" s="17" t="str">
        <f>IFERROR(INDEX(逆引き作成用!$C$2:$C$169,MATCH($B120&amp;"/"&amp;$C120,逆引き作成用!W$2:W$169,FALSE),1),"")</f>
        <v/>
      </c>
      <c r="X120" s="17" t="str">
        <f>IFERROR(INDEX(逆引き作成用!$C$2:$C$169,MATCH($B120&amp;"/"&amp;$C120,逆引き作成用!X$2:X$169,FALSE),1),"")</f>
        <v/>
      </c>
      <c r="Y120" s="17" t="str">
        <f>IFERROR(INDEX(逆引き作成用!$C$2:$C$169,MATCH($B120&amp;"/"&amp;$C120,逆引き作成用!Y$2:Y$169,FALSE),1),"")</f>
        <v/>
      </c>
      <c r="Z120" s="17" t="str">
        <f>IFERROR(INDEX(逆引き作成用!$C$2:$C$169,MATCH($B120&amp;"/"&amp;$C120,逆引き作成用!Z$2:Z$169,FALSE),1),"")</f>
        <v/>
      </c>
      <c r="AA120" s="17" t="str">
        <f>IFERROR(INDEX(逆引き作成用!$C$2:$C$169,MATCH($B120&amp;"/"&amp;$C120,逆引き作成用!AA$2:AA$169,FALSE),1),"")</f>
        <v/>
      </c>
      <c r="AB120" s="17" t="str">
        <f>IFERROR(INDEX(逆引き作成用!$C$2:$C$169,MATCH($B120&amp;"/"&amp;$C120,逆引き作成用!AB$2:AB$169,FALSE),1),"")</f>
        <v/>
      </c>
      <c r="AC120" s="17" t="str">
        <f>IFERROR(INDEX(逆引き作成用!$C$2:$C$169,MATCH($B120&amp;"/"&amp;$C120,逆引き作成用!AC$2:AC$169,FALSE),1),"")</f>
        <v/>
      </c>
      <c r="AD120" s="17" t="str">
        <f>IFERROR(INDEX(逆引き作成用!$C$2:$C$169,MATCH($B120&amp;"/"&amp;$C120,逆引き作成用!AD$2:AD$169,FALSE),1),"")</f>
        <v/>
      </c>
      <c r="AE120" s="17" t="str">
        <f>IFERROR(INDEX(逆引き作成用!$C$2:$C$169,MATCH($B120&amp;"/"&amp;$C120,逆引き作成用!AE$2:AE$169,FALSE),1),"")</f>
        <v/>
      </c>
      <c r="AF120" s="17" t="str">
        <f>IFERROR(INDEX(逆引き作成用!$C$2:$C$169,MATCH($B120&amp;"/"&amp;$C120,逆引き作成用!AF$2:AF$169,FALSE),1),"")</f>
        <v/>
      </c>
      <c r="AG120" s="17" t="str">
        <f>IFERROR(INDEX(逆引き作成用!$C$2:$C$169,MATCH($B120&amp;"/"&amp;$C120,逆引き作成用!AG$2:AG$169,FALSE),1),"")</f>
        <v/>
      </c>
      <c r="AH120" s="17" t="str">
        <f>IFERROR(INDEX(逆引き作成用!$C$2:$C$169,MATCH($B120&amp;"/"&amp;$C120,逆引き作成用!AH$2:AH$169,FALSE),1),"")</f>
        <v/>
      </c>
      <c r="AI120" s="17" t="str">
        <f>IFERROR(INDEX(逆引き作成用!$C$2:$C$169,MATCH($B120&amp;"/"&amp;$C120,逆引き作成用!AI$2:AI$169,FALSE),1),"")</f>
        <v/>
      </c>
      <c r="AJ120" s="17" t="str">
        <f>IFERROR(INDEX(逆引き作成用!$C$2:$C$169,MATCH($B120&amp;"/"&amp;$C120,逆引き作成用!AJ$2:AJ$169,FALSE),1),"")</f>
        <v/>
      </c>
      <c r="AK120" s="17" t="str">
        <f>IFERROR(INDEX(逆引き作成用!$C$2:$C$169,MATCH($B120&amp;"/"&amp;$C120,逆引き作成用!AK$2:AK$169,FALSE),1),"")</f>
        <v/>
      </c>
      <c r="AL120" s="17" t="str">
        <f>IFERROR(INDEX(逆引き作成用!$C$2:$C$169,MATCH($B120&amp;"/"&amp;$C120,逆引き作成用!AL$2:AL$169,FALSE),1),"")</f>
        <v/>
      </c>
      <c r="AM120" s="17" t="str">
        <f>IFERROR(INDEX(逆引き作成用!$C$2:$C$169,MATCH($B120&amp;"/"&amp;$C120,逆引き作成用!AM$2:AM$169,FALSE),1),"")</f>
        <v/>
      </c>
      <c r="AN120" s="17" t="str">
        <f>IFERROR(INDEX(逆引き作成用!$C$2:$C$169,MATCH($B120&amp;"/"&amp;$C120,逆引き作成用!AN$2:AN$169,FALSE),1),"")</f>
        <v/>
      </c>
      <c r="AO120" s="17" t="str">
        <f>IFERROR(INDEX(逆引き作成用!$C$2:$C$169,MATCH($B120&amp;"/"&amp;$C120,逆引き作成用!AO$2:AO$169,FALSE),1),"")</f>
        <v/>
      </c>
      <c r="AP120" s="17" t="str">
        <f>IFERROR(INDEX(逆引き作成用!$C$2:$C$169,MATCH($B120&amp;"/"&amp;$C120,逆引き作成用!AP$2:AP$169,FALSE),1),"")</f>
        <v/>
      </c>
      <c r="AQ120" s="17" t="str">
        <f>IFERROR(INDEX(逆引き作成用!$C$2:$C$169,MATCH($B120&amp;"/"&amp;$C120,逆引き作成用!AQ$2:AQ$169,FALSE),1),"")</f>
        <v/>
      </c>
      <c r="AR120" s="17" t="str">
        <f>IFERROR(INDEX(逆引き作成用!$C$2:$C$169,MATCH($B120&amp;"/"&amp;$C120,逆引き作成用!AR$2:AR$169,FALSE),1),"")</f>
        <v/>
      </c>
      <c r="AS120" s="17" t="str">
        <f>IFERROR(INDEX(逆引き作成用!$C$2:$C$169,MATCH($B120&amp;"/"&amp;$C120,逆引き作成用!AS$2:AS$169,FALSE),1),"")</f>
        <v/>
      </c>
      <c r="AT120" s="17" t="str">
        <f>IFERROR(INDEX(逆引き作成用!$C$2:$C$169,MATCH($B120&amp;"/"&amp;$C120,逆引き作成用!AT$2:AT$169,FALSE),1),"")</f>
        <v/>
      </c>
      <c r="AU120" s="17" t="str">
        <f>IFERROR(INDEX(逆引き作成用!$C$2:$C$169,MATCH($B120&amp;"/"&amp;$C120,逆引き作成用!AU$2:AU$169,FALSE),1),"")</f>
        <v/>
      </c>
      <c r="AV120" s="17" t="str">
        <f>IFERROR(INDEX(逆引き作成用!$C$2:$C$169,MATCH($B120&amp;"/"&amp;$C120,逆引き作成用!AV$2:AV$169,FALSE),1),"")</f>
        <v/>
      </c>
      <c r="AW120" s="17" t="str">
        <f>IFERROR(INDEX(逆引き作成用!$C$2:$C$169,MATCH($B120&amp;"/"&amp;$C120,逆引き作成用!AW$2:AW$169,FALSE),1),"")</f>
        <v/>
      </c>
      <c r="AX120" s="17" t="str">
        <f>IFERROR(INDEX(逆引き作成用!$C$2:$C$169,MATCH($B120&amp;"/"&amp;$C120,逆引き作成用!AX$2:AX$169,FALSE),1),"")</f>
        <v/>
      </c>
      <c r="AY120" s="17" t="str">
        <f>IFERROR(INDEX(逆引き作成用!$C$2:$C$169,MATCH($B120&amp;"/"&amp;$C120,逆引き作成用!AY$2:AY$169,FALSE),1),"")</f>
        <v/>
      </c>
      <c r="AZ120" s="17" t="str">
        <f>IFERROR(INDEX(逆引き作成用!$C$2:$C$169,MATCH($B120&amp;"/"&amp;$C120,逆引き作成用!AZ$2:AZ$169,FALSE),1),"")</f>
        <v/>
      </c>
      <c r="BA120" s="17" t="str">
        <f>IFERROR(INDEX(逆引き作成用!$C$2:$C$169,MATCH($B120&amp;"/"&amp;$C120,逆引き作成用!BA$2:BA$169,FALSE),1),"")</f>
        <v/>
      </c>
    </row>
    <row r="121" spans="1:53">
      <c r="A121" s="17" t="str">
        <f>IFERROR(INDEX(役職一覧!$B$2:$B$31,MATCH(B121,役職一覧!$C$2:$C$31,FALSE),1),"")</f>
        <v/>
      </c>
      <c r="B121" s="17" t="str">
        <f>IFERROR(IF(C121=1,INDEX(役職一覧!$C$2:$C$31,MATCH(逆引き!B120,役職一覧!$C$2:$C$31,FALSE)+1,1)&amp;"",B120),"")</f>
        <v/>
      </c>
      <c r="C121" s="17" t="str">
        <f>IFERROR(IF(VLOOKUP(B120,役職一覧!$C$2:$E$31,3,FALSE)=C120,1,C120+1),"")</f>
        <v/>
      </c>
      <c r="D121" s="17" t="str">
        <f>IFERROR(INDEX(逆引き作成用!$C$2:$C$169,MATCH($B121&amp;"/"&amp;$C121,逆引き作成用!D$2:D$169,FALSE),1),"")</f>
        <v/>
      </c>
      <c r="E121" s="17" t="str">
        <f>IFERROR(INDEX(逆引き作成用!$C$2:$C$169,MATCH($B121&amp;"/"&amp;$C121,逆引き作成用!E$2:E$169,FALSE),1),"")</f>
        <v/>
      </c>
      <c r="F121" s="17" t="str">
        <f>IFERROR(INDEX(逆引き作成用!$C$2:$C$169,MATCH($B121&amp;"/"&amp;$C121,逆引き作成用!F$2:F$169,FALSE),1),"")</f>
        <v/>
      </c>
      <c r="G121" s="17" t="str">
        <f>IFERROR(INDEX(逆引き作成用!$C$2:$C$169,MATCH($B121&amp;"/"&amp;$C121,逆引き作成用!G$2:G$169,FALSE),1),"")</f>
        <v/>
      </c>
      <c r="H121" s="17" t="str">
        <f>IFERROR(INDEX(逆引き作成用!$C$2:$C$169,MATCH($B121&amp;"/"&amp;$C121,逆引き作成用!H$2:H$169,FALSE),1),"")</f>
        <v/>
      </c>
      <c r="I121" s="17" t="str">
        <f>IFERROR(INDEX(逆引き作成用!$C$2:$C$169,MATCH($B121&amp;"/"&amp;$C121,逆引き作成用!I$2:I$169,FALSE),1),"")</f>
        <v/>
      </c>
      <c r="J121" s="17" t="str">
        <f>IFERROR(INDEX(逆引き作成用!$C$2:$C$169,MATCH($B121&amp;"/"&amp;$C121,逆引き作成用!J$2:J$169,FALSE),1),"")</f>
        <v/>
      </c>
      <c r="K121" s="17" t="str">
        <f>IFERROR(INDEX(逆引き作成用!$C$2:$C$169,MATCH($B121&amp;"/"&amp;$C121,逆引き作成用!K$2:K$169,FALSE),1),"")</f>
        <v/>
      </c>
      <c r="L121" s="17" t="str">
        <f>IFERROR(INDEX(逆引き作成用!$C$2:$C$169,MATCH($B121&amp;"/"&amp;$C121,逆引き作成用!L$2:L$169,FALSE),1),"")</f>
        <v/>
      </c>
      <c r="M121" s="17" t="str">
        <f>IFERROR(INDEX(逆引き作成用!$C$2:$C$169,MATCH($B121&amp;"/"&amp;$C121,逆引き作成用!M$2:M$169,FALSE),1),"")</f>
        <v/>
      </c>
      <c r="N121" s="17" t="str">
        <f>IFERROR(INDEX(逆引き作成用!$C$2:$C$169,MATCH($B121&amp;"/"&amp;$C121,逆引き作成用!N$2:N$169,FALSE),1),"")</f>
        <v/>
      </c>
      <c r="O121" s="17" t="str">
        <f>IFERROR(INDEX(逆引き作成用!$C$2:$C$169,MATCH($B121&amp;"/"&amp;$C121,逆引き作成用!O$2:O$169,FALSE),1),"")</f>
        <v/>
      </c>
      <c r="P121" s="17" t="str">
        <f>IFERROR(INDEX(逆引き作成用!$C$2:$C$169,MATCH($B121&amp;"/"&amp;$C121,逆引き作成用!P$2:P$169,FALSE),1),"")</f>
        <v/>
      </c>
      <c r="Q121" s="17" t="str">
        <f>IFERROR(INDEX(逆引き作成用!$C$2:$C$169,MATCH($B121&amp;"/"&amp;$C121,逆引き作成用!Q$2:Q$169,FALSE),1),"")</f>
        <v/>
      </c>
      <c r="R121" s="17" t="str">
        <f>IFERROR(INDEX(逆引き作成用!$C$2:$C$169,MATCH($B121&amp;"/"&amp;$C121,逆引き作成用!R$2:R$169,FALSE),1),"")</f>
        <v/>
      </c>
      <c r="S121" s="17" t="str">
        <f>IFERROR(INDEX(逆引き作成用!$C$2:$C$169,MATCH($B121&amp;"/"&amp;$C121,逆引き作成用!S$2:S$169,FALSE),1),"")</f>
        <v/>
      </c>
      <c r="T121" s="17" t="str">
        <f>IFERROR(INDEX(逆引き作成用!$C$2:$C$169,MATCH($B121&amp;"/"&amp;$C121,逆引き作成用!T$2:T$169,FALSE),1),"")</f>
        <v/>
      </c>
      <c r="U121" s="17" t="str">
        <f>IFERROR(INDEX(逆引き作成用!$C$2:$C$169,MATCH($B121&amp;"/"&amp;$C121,逆引き作成用!U$2:U$169,FALSE),1),"")</f>
        <v/>
      </c>
      <c r="V121" s="17" t="str">
        <f>IFERROR(INDEX(逆引き作成用!$C$2:$C$169,MATCH($B121&amp;"/"&amp;$C121,逆引き作成用!V$2:V$169,FALSE),1),"")</f>
        <v/>
      </c>
      <c r="W121" s="17" t="str">
        <f>IFERROR(INDEX(逆引き作成用!$C$2:$C$169,MATCH($B121&amp;"/"&amp;$C121,逆引き作成用!W$2:W$169,FALSE),1),"")</f>
        <v/>
      </c>
      <c r="X121" s="17" t="str">
        <f>IFERROR(INDEX(逆引き作成用!$C$2:$C$169,MATCH($B121&amp;"/"&amp;$C121,逆引き作成用!X$2:X$169,FALSE),1),"")</f>
        <v/>
      </c>
      <c r="Y121" s="17" t="str">
        <f>IFERROR(INDEX(逆引き作成用!$C$2:$C$169,MATCH($B121&amp;"/"&amp;$C121,逆引き作成用!Y$2:Y$169,FALSE),1),"")</f>
        <v/>
      </c>
      <c r="Z121" s="17" t="str">
        <f>IFERROR(INDEX(逆引き作成用!$C$2:$C$169,MATCH($B121&amp;"/"&amp;$C121,逆引き作成用!Z$2:Z$169,FALSE),1),"")</f>
        <v/>
      </c>
      <c r="AA121" s="17" t="str">
        <f>IFERROR(INDEX(逆引き作成用!$C$2:$C$169,MATCH($B121&amp;"/"&amp;$C121,逆引き作成用!AA$2:AA$169,FALSE),1),"")</f>
        <v/>
      </c>
      <c r="AB121" s="17" t="str">
        <f>IFERROR(INDEX(逆引き作成用!$C$2:$C$169,MATCH($B121&amp;"/"&amp;$C121,逆引き作成用!AB$2:AB$169,FALSE),1),"")</f>
        <v/>
      </c>
      <c r="AC121" s="17" t="str">
        <f>IFERROR(INDEX(逆引き作成用!$C$2:$C$169,MATCH($B121&amp;"/"&amp;$C121,逆引き作成用!AC$2:AC$169,FALSE),1),"")</f>
        <v/>
      </c>
      <c r="AD121" s="17" t="str">
        <f>IFERROR(INDEX(逆引き作成用!$C$2:$C$169,MATCH($B121&amp;"/"&amp;$C121,逆引き作成用!AD$2:AD$169,FALSE),1),"")</f>
        <v/>
      </c>
      <c r="AE121" s="17" t="str">
        <f>IFERROR(INDEX(逆引き作成用!$C$2:$C$169,MATCH($B121&amp;"/"&amp;$C121,逆引き作成用!AE$2:AE$169,FALSE),1),"")</f>
        <v/>
      </c>
      <c r="AF121" s="17" t="str">
        <f>IFERROR(INDEX(逆引き作成用!$C$2:$C$169,MATCH($B121&amp;"/"&amp;$C121,逆引き作成用!AF$2:AF$169,FALSE),1),"")</f>
        <v/>
      </c>
      <c r="AG121" s="17" t="str">
        <f>IFERROR(INDEX(逆引き作成用!$C$2:$C$169,MATCH($B121&amp;"/"&amp;$C121,逆引き作成用!AG$2:AG$169,FALSE),1),"")</f>
        <v/>
      </c>
      <c r="AH121" s="17" t="str">
        <f>IFERROR(INDEX(逆引き作成用!$C$2:$C$169,MATCH($B121&amp;"/"&amp;$C121,逆引き作成用!AH$2:AH$169,FALSE),1),"")</f>
        <v/>
      </c>
      <c r="AI121" s="17" t="str">
        <f>IFERROR(INDEX(逆引き作成用!$C$2:$C$169,MATCH($B121&amp;"/"&amp;$C121,逆引き作成用!AI$2:AI$169,FALSE),1),"")</f>
        <v/>
      </c>
      <c r="AJ121" s="17" t="str">
        <f>IFERROR(INDEX(逆引き作成用!$C$2:$C$169,MATCH($B121&amp;"/"&amp;$C121,逆引き作成用!AJ$2:AJ$169,FALSE),1),"")</f>
        <v/>
      </c>
      <c r="AK121" s="17" t="str">
        <f>IFERROR(INDEX(逆引き作成用!$C$2:$C$169,MATCH($B121&amp;"/"&amp;$C121,逆引き作成用!AK$2:AK$169,FALSE),1),"")</f>
        <v/>
      </c>
      <c r="AL121" s="17" t="str">
        <f>IFERROR(INDEX(逆引き作成用!$C$2:$C$169,MATCH($B121&amp;"/"&amp;$C121,逆引き作成用!AL$2:AL$169,FALSE),1),"")</f>
        <v/>
      </c>
      <c r="AM121" s="17" t="str">
        <f>IFERROR(INDEX(逆引き作成用!$C$2:$C$169,MATCH($B121&amp;"/"&amp;$C121,逆引き作成用!AM$2:AM$169,FALSE),1),"")</f>
        <v/>
      </c>
      <c r="AN121" s="17" t="str">
        <f>IFERROR(INDEX(逆引き作成用!$C$2:$C$169,MATCH($B121&amp;"/"&amp;$C121,逆引き作成用!AN$2:AN$169,FALSE),1),"")</f>
        <v/>
      </c>
      <c r="AO121" s="17" t="str">
        <f>IFERROR(INDEX(逆引き作成用!$C$2:$C$169,MATCH($B121&amp;"/"&amp;$C121,逆引き作成用!AO$2:AO$169,FALSE),1),"")</f>
        <v/>
      </c>
      <c r="AP121" s="17" t="str">
        <f>IFERROR(INDEX(逆引き作成用!$C$2:$C$169,MATCH($B121&amp;"/"&amp;$C121,逆引き作成用!AP$2:AP$169,FALSE),1),"")</f>
        <v/>
      </c>
      <c r="AQ121" s="17" t="str">
        <f>IFERROR(INDEX(逆引き作成用!$C$2:$C$169,MATCH($B121&amp;"/"&amp;$C121,逆引き作成用!AQ$2:AQ$169,FALSE),1),"")</f>
        <v/>
      </c>
      <c r="AR121" s="17" t="str">
        <f>IFERROR(INDEX(逆引き作成用!$C$2:$C$169,MATCH($B121&amp;"/"&amp;$C121,逆引き作成用!AR$2:AR$169,FALSE),1),"")</f>
        <v/>
      </c>
      <c r="AS121" s="17" t="str">
        <f>IFERROR(INDEX(逆引き作成用!$C$2:$C$169,MATCH($B121&amp;"/"&amp;$C121,逆引き作成用!AS$2:AS$169,FALSE),1),"")</f>
        <v/>
      </c>
      <c r="AT121" s="17" t="str">
        <f>IFERROR(INDEX(逆引き作成用!$C$2:$C$169,MATCH($B121&amp;"/"&amp;$C121,逆引き作成用!AT$2:AT$169,FALSE),1),"")</f>
        <v/>
      </c>
      <c r="AU121" s="17" t="str">
        <f>IFERROR(INDEX(逆引き作成用!$C$2:$C$169,MATCH($B121&amp;"/"&amp;$C121,逆引き作成用!AU$2:AU$169,FALSE),1),"")</f>
        <v/>
      </c>
      <c r="AV121" s="17" t="str">
        <f>IFERROR(INDEX(逆引き作成用!$C$2:$C$169,MATCH($B121&amp;"/"&amp;$C121,逆引き作成用!AV$2:AV$169,FALSE),1),"")</f>
        <v/>
      </c>
      <c r="AW121" s="17" t="str">
        <f>IFERROR(INDEX(逆引き作成用!$C$2:$C$169,MATCH($B121&amp;"/"&amp;$C121,逆引き作成用!AW$2:AW$169,FALSE),1),"")</f>
        <v/>
      </c>
      <c r="AX121" s="17" t="str">
        <f>IFERROR(INDEX(逆引き作成用!$C$2:$C$169,MATCH($B121&amp;"/"&amp;$C121,逆引き作成用!AX$2:AX$169,FALSE),1),"")</f>
        <v/>
      </c>
      <c r="AY121" s="17" t="str">
        <f>IFERROR(INDEX(逆引き作成用!$C$2:$C$169,MATCH($B121&amp;"/"&amp;$C121,逆引き作成用!AY$2:AY$169,FALSE),1),"")</f>
        <v/>
      </c>
      <c r="AZ121" s="17" t="str">
        <f>IFERROR(INDEX(逆引き作成用!$C$2:$C$169,MATCH($B121&amp;"/"&amp;$C121,逆引き作成用!AZ$2:AZ$169,FALSE),1),"")</f>
        <v/>
      </c>
      <c r="BA121" s="17" t="str">
        <f>IFERROR(INDEX(逆引き作成用!$C$2:$C$169,MATCH($B121&amp;"/"&amp;$C121,逆引き作成用!BA$2:BA$169,FALSE),1),"")</f>
        <v/>
      </c>
    </row>
    <row r="122" spans="1:53">
      <c r="A122" s="17" t="str">
        <f>IFERROR(INDEX(役職一覧!$B$2:$B$31,MATCH(B122,役職一覧!$C$2:$C$31,FALSE),1),"")</f>
        <v/>
      </c>
      <c r="B122" s="17" t="str">
        <f>IFERROR(IF(C122=1,INDEX(役職一覧!$C$2:$C$31,MATCH(逆引き!B121,役職一覧!$C$2:$C$31,FALSE)+1,1)&amp;"",B121),"")</f>
        <v/>
      </c>
      <c r="C122" s="17" t="str">
        <f>IFERROR(IF(VLOOKUP(B121,役職一覧!$C$2:$E$31,3,FALSE)=C121,1,C121+1),"")</f>
        <v/>
      </c>
      <c r="D122" s="17" t="str">
        <f>IFERROR(INDEX(逆引き作成用!$C$2:$C$169,MATCH($B122&amp;"/"&amp;$C122,逆引き作成用!D$2:D$169,FALSE),1),"")</f>
        <v/>
      </c>
      <c r="E122" s="17" t="str">
        <f>IFERROR(INDEX(逆引き作成用!$C$2:$C$169,MATCH($B122&amp;"/"&amp;$C122,逆引き作成用!E$2:E$169,FALSE),1),"")</f>
        <v/>
      </c>
      <c r="F122" s="17" t="str">
        <f>IFERROR(INDEX(逆引き作成用!$C$2:$C$169,MATCH($B122&amp;"/"&amp;$C122,逆引き作成用!F$2:F$169,FALSE),1),"")</f>
        <v/>
      </c>
      <c r="G122" s="17" t="str">
        <f>IFERROR(INDEX(逆引き作成用!$C$2:$C$169,MATCH($B122&amp;"/"&amp;$C122,逆引き作成用!G$2:G$169,FALSE),1),"")</f>
        <v/>
      </c>
      <c r="H122" s="17" t="str">
        <f>IFERROR(INDEX(逆引き作成用!$C$2:$C$169,MATCH($B122&amp;"/"&amp;$C122,逆引き作成用!H$2:H$169,FALSE),1),"")</f>
        <v/>
      </c>
      <c r="I122" s="17" t="str">
        <f>IFERROR(INDEX(逆引き作成用!$C$2:$C$169,MATCH($B122&amp;"/"&amp;$C122,逆引き作成用!I$2:I$169,FALSE),1),"")</f>
        <v/>
      </c>
      <c r="J122" s="17" t="str">
        <f>IFERROR(INDEX(逆引き作成用!$C$2:$C$169,MATCH($B122&amp;"/"&amp;$C122,逆引き作成用!J$2:J$169,FALSE),1),"")</f>
        <v/>
      </c>
      <c r="K122" s="17" t="str">
        <f>IFERROR(INDEX(逆引き作成用!$C$2:$C$169,MATCH($B122&amp;"/"&amp;$C122,逆引き作成用!K$2:K$169,FALSE),1),"")</f>
        <v/>
      </c>
      <c r="L122" s="17" t="str">
        <f>IFERROR(INDEX(逆引き作成用!$C$2:$C$169,MATCH($B122&amp;"/"&amp;$C122,逆引き作成用!L$2:L$169,FALSE),1),"")</f>
        <v/>
      </c>
      <c r="M122" s="17" t="str">
        <f>IFERROR(INDEX(逆引き作成用!$C$2:$C$169,MATCH($B122&amp;"/"&amp;$C122,逆引き作成用!M$2:M$169,FALSE),1),"")</f>
        <v/>
      </c>
      <c r="N122" s="17" t="str">
        <f>IFERROR(INDEX(逆引き作成用!$C$2:$C$169,MATCH($B122&amp;"/"&amp;$C122,逆引き作成用!N$2:N$169,FALSE),1),"")</f>
        <v/>
      </c>
      <c r="O122" s="17" t="str">
        <f>IFERROR(INDEX(逆引き作成用!$C$2:$C$169,MATCH($B122&amp;"/"&amp;$C122,逆引き作成用!O$2:O$169,FALSE),1),"")</f>
        <v/>
      </c>
      <c r="P122" s="17" t="str">
        <f>IFERROR(INDEX(逆引き作成用!$C$2:$C$169,MATCH($B122&amp;"/"&amp;$C122,逆引き作成用!P$2:P$169,FALSE),1),"")</f>
        <v/>
      </c>
      <c r="Q122" s="17" t="str">
        <f>IFERROR(INDEX(逆引き作成用!$C$2:$C$169,MATCH($B122&amp;"/"&amp;$C122,逆引き作成用!Q$2:Q$169,FALSE),1),"")</f>
        <v/>
      </c>
      <c r="R122" s="17" t="str">
        <f>IFERROR(INDEX(逆引き作成用!$C$2:$C$169,MATCH($B122&amp;"/"&amp;$C122,逆引き作成用!R$2:R$169,FALSE),1),"")</f>
        <v/>
      </c>
      <c r="S122" s="17" t="str">
        <f>IFERROR(INDEX(逆引き作成用!$C$2:$C$169,MATCH($B122&amp;"/"&amp;$C122,逆引き作成用!S$2:S$169,FALSE),1),"")</f>
        <v/>
      </c>
      <c r="T122" s="17" t="str">
        <f>IFERROR(INDEX(逆引き作成用!$C$2:$C$169,MATCH($B122&amp;"/"&amp;$C122,逆引き作成用!T$2:T$169,FALSE),1),"")</f>
        <v/>
      </c>
      <c r="U122" s="17" t="str">
        <f>IFERROR(INDEX(逆引き作成用!$C$2:$C$169,MATCH($B122&amp;"/"&amp;$C122,逆引き作成用!U$2:U$169,FALSE),1),"")</f>
        <v/>
      </c>
      <c r="V122" s="17" t="str">
        <f>IFERROR(INDEX(逆引き作成用!$C$2:$C$169,MATCH($B122&amp;"/"&amp;$C122,逆引き作成用!V$2:V$169,FALSE),1),"")</f>
        <v/>
      </c>
      <c r="W122" s="17" t="str">
        <f>IFERROR(INDEX(逆引き作成用!$C$2:$C$169,MATCH($B122&amp;"/"&amp;$C122,逆引き作成用!W$2:W$169,FALSE),1),"")</f>
        <v/>
      </c>
      <c r="X122" s="17" t="str">
        <f>IFERROR(INDEX(逆引き作成用!$C$2:$C$169,MATCH($B122&amp;"/"&amp;$C122,逆引き作成用!X$2:X$169,FALSE),1),"")</f>
        <v/>
      </c>
      <c r="Y122" s="17" t="str">
        <f>IFERROR(INDEX(逆引き作成用!$C$2:$C$169,MATCH($B122&amp;"/"&amp;$C122,逆引き作成用!Y$2:Y$169,FALSE),1),"")</f>
        <v/>
      </c>
      <c r="Z122" s="17" t="str">
        <f>IFERROR(INDEX(逆引き作成用!$C$2:$C$169,MATCH($B122&amp;"/"&amp;$C122,逆引き作成用!Z$2:Z$169,FALSE),1),"")</f>
        <v/>
      </c>
      <c r="AA122" s="17" t="str">
        <f>IFERROR(INDEX(逆引き作成用!$C$2:$C$169,MATCH($B122&amp;"/"&amp;$C122,逆引き作成用!AA$2:AA$169,FALSE),1),"")</f>
        <v/>
      </c>
      <c r="AB122" s="17" t="str">
        <f>IFERROR(INDEX(逆引き作成用!$C$2:$C$169,MATCH($B122&amp;"/"&amp;$C122,逆引き作成用!AB$2:AB$169,FALSE),1),"")</f>
        <v/>
      </c>
      <c r="AC122" s="17" t="str">
        <f>IFERROR(INDEX(逆引き作成用!$C$2:$C$169,MATCH($B122&amp;"/"&amp;$C122,逆引き作成用!AC$2:AC$169,FALSE),1),"")</f>
        <v/>
      </c>
      <c r="AD122" s="17" t="str">
        <f>IFERROR(INDEX(逆引き作成用!$C$2:$C$169,MATCH($B122&amp;"/"&amp;$C122,逆引き作成用!AD$2:AD$169,FALSE),1),"")</f>
        <v/>
      </c>
      <c r="AE122" s="17" t="str">
        <f>IFERROR(INDEX(逆引き作成用!$C$2:$C$169,MATCH($B122&amp;"/"&amp;$C122,逆引き作成用!AE$2:AE$169,FALSE),1),"")</f>
        <v/>
      </c>
      <c r="AF122" s="17" t="str">
        <f>IFERROR(INDEX(逆引き作成用!$C$2:$C$169,MATCH($B122&amp;"/"&amp;$C122,逆引き作成用!AF$2:AF$169,FALSE),1),"")</f>
        <v/>
      </c>
      <c r="AG122" s="17" t="str">
        <f>IFERROR(INDEX(逆引き作成用!$C$2:$C$169,MATCH($B122&amp;"/"&amp;$C122,逆引き作成用!AG$2:AG$169,FALSE),1),"")</f>
        <v/>
      </c>
      <c r="AH122" s="17" t="str">
        <f>IFERROR(INDEX(逆引き作成用!$C$2:$C$169,MATCH($B122&amp;"/"&amp;$C122,逆引き作成用!AH$2:AH$169,FALSE),1),"")</f>
        <v/>
      </c>
      <c r="AI122" s="17" t="str">
        <f>IFERROR(INDEX(逆引き作成用!$C$2:$C$169,MATCH($B122&amp;"/"&amp;$C122,逆引き作成用!AI$2:AI$169,FALSE),1),"")</f>
        <v/>
      </c>
      <c r="AJ122" s="17" t="str">
        <f>IFERROR(INDEX(逆引き作成用!$C$2:$C$169,MATCH($B122&amp;"/"&amp;$C122,逆引き作成用!AJ$2:AJ$169,FALSE),1),"")</f>
        <v/>
      </c>
      <c r="AK122" s="17" t="str">
        <f>IFERROR(INDEX(逆引き作成用!$C$2:$C$169,MATCH($B122&amp;"/"&amp;$C122,逆引き作成用!AK$2:AK$169,FALSE),1),"")</f>
        <v/>
      </c>
      <c r="AL122" s="17" t="str">
        <f>IFERROR(INDEX(逆引き作成用!$C$2:$C$169,MATCH($B122&amp;"/"&amp;$C122,逆引き作成用!AL$2:AL$169,FALSE),1),"")</f>
        <v/>
      </c>
      <c r="AM122" s="17" t="str">
        <f>IFERROR(INDEX(逆引き作成用!$C$2:$C$169,MATCH($B122&amp;"/"&amp;$C122,逆引き作成用!AM$2:AM$169,FALSE),1),"")</f>
        <v/>
      </c>
      <c r="AN122" s="17" t="str">
        <f>IFERROR(INDEX(逆引き作成用!$C$2:$C$169,MATCH($B122&amp;"/"&amp;$C122,逆引き作成用!AN$2:AN$169,FALSE),1),"")</f>
        <v/>
      </c>
      <c r="AO122" s="17" t="str">
        <f>IFERROR(INDEX(逆引き作成用!$C$2:$C$169,MATCH($B122&amp;"/"&amp;$C122,逆引き作成用!AO$2:AO$169,FALSE),1),"")</f>
        <v/>
      </c>
      <c r="AP122" s="17" t="str">
        <f>IFERROR(INDEX(逆引き作成用!$C$2:$C$169,MATCH($B122&amp;"/"&amp;$C122,逆引き作成用!AP$2:AP$169,FALSE),1),"")</f>
        <v/>
      </c>
      <c r="AQ122" s="17" t="str">
        <f>IFERROR(INDEX(逆引き作成用!$C$2:$C$169,MATCH($B122&amp;"/"&amp;$C122,逆引き作成用!AQ$2:AQ$169,FALSE),1),"")</f>
        <v/>
      </c>
      <c r="AR122" s="17" t="str">
        <f>IFERROR(INDEX(逆引き作成用!$C$2:$C$169,MATCH($B122&amp;"/"&amp;$C122,逆引き作成用!AR$2:AR$169,FALSE),1),"")</f>
        <v/>
      </c>
      <c r="AS122" s="17" t="str">
        <f>IFERROR(INDEX(逆引き作成用!$C$2:$C$169,MATCH($B122&amp;"/"&amp;$C122,逆引き作成用!AS$2:AS$169,FALSE),1),"")</f>
        <v/>
      </c>
      <c r="AT122" s="17" t="str">
        <f>IFERROR(INDEX(逆引き作成用!$C$2:$C$169,MATCH($B122&amp;"/"&amp;$C122,逆引き作成用!AT$2:AT$169,FALSE),1),"")</f>
        <v/>
      </c>
      <c r="AU122" s="17" t="str">
        <f>IFERROR(INDEX(逆引き作成用!$C$2:$C$169,MATCH($B122&amp;"/"&amp;$C122,逆引き作成用!AU$2:AU$169,FALSE),1),"")</f>
        <v/>
      </c>
      <c r="AV122" s="17" t="str">
        <f>IFERROR(INDEX(逆引き作成用!$C$2:$C$169,MATCH($B122&amp;"/"&amp;$C122,逆引き作成用!AV$2:AV$169,FALSE),1),"")</f>
        <v/>
      </c>
      <c r="AW122" s="17" t="str">
        <f>IFERROR(INDEX(逆引き作成用!$C$2:$C$169,MATCH($B122&amp;"/"&amp;$C122,逆引き作成用!AW$2:AW$169,FALSE),1),"")</f>
        <v/>
      </c>
      <c r="AX122" s="17" t="str">
        <f>IFERROR(INDEX(逆引き作成用!$C$2:$C$169,MATCH($B122&amp;"/"&amp;$C122,逆引き作成用!AX$2:AX$169,FALSE),1),"")</f>
        <v/>
      </c>
      <c r="AY122" s="17" t="str">
        <f>IFERROR(INDEX(逆引き作成用!$C$2:$C$169,MATCH($B122&amp;"/"&amp;$C122,逆引き作成用!AY$2:AY$169,FALSE),1),"")</f>
        <v/>
      </c>
      <c r="AZ122" s="17" t="str">
        <f>IFERROR(INDEX(逆引き作成用!$C$2:$C$169,MATCH($B122&amp;"/"&amp;$C122,逆引き作成用!AZ$2:AZ$169,FALSE),1),"")</f>
        <v/>
      </c>
      <c r="BA122" s="17" t="str">
        <f>IFERROR(INDEX(逆引き作成用!$C$2:$C$169,MATCH($B122&amp;"/"&amp;$C122,逆引き作成用!BA$2:BA$169,FALSE),1),"")</f>
        <v/>
      </c>
    </row>
    <row r="123" spans="1:53">
      <c r="A123" s="17" t="str">
        <f>IFERROR(INDEX(役職一覧!$B$2:$B$31,MATCH(B123,役職一覧!$C$2:$C$31,FALSE),1),"")</f>
        <v/>
      </c>
      <c r="B123" s="17" t="str">
        <f>IFERROR(IF(C123=1,INDEX(役職一覧!$C$2:$C$31,MATCH(逆引き!B122,役職一覧!$C$2:$C$31,FALSE)+1,1)&amp;"",B122),"")</f>
        <v/>
      </c>
      <c r="C123" s="17" t="str">
        <f>IFERROR(IF(VLOOKUP(B122,役職一覧!$C$2:$E$31,3,FALSE)=C122,1,C122+1),"")</f>
        <v/>
      </c>
      <c r="D123" s="17" t="str">
        <f>IFERROR(INDEX(逆引き作成用!$C$2:$C$169,MATCH($B123&amp;"/"&amp;$C123,逆引き作成用!D$2:D$169,FALSE),1),"")</f>
        <v/>
      </c>
      <c r="E123" s="17" t="str">
        <f>IFERROR(INDEX(逆引き作成用!$C$2:$C$169,MATCH($B123&amp;"/"&amp;$C123,逆引き作成用!E$2:E$169,FALSE),1),"")</f>
        <v/>
      </c>
      <c r="F123" s="17" t="str">
        <f>IFERROR(INDEX(逆引き作成用!$C$2:$C$169,MATCH($B123&amp;"/"&amp;$C123,逆引き作成用!F$2:F$169,FALSE),1),"")</f>
        <v/>
      </c>
      <c r="G123" s="17" t="str">
        <f>IFERROR(INDEX(逆引き作成用!$C$2:$C$169,MATCH($B123&amp;"/"&amp;$C123,逆引き作成用!G$2:G$169,FALSE),1),"")</f>
        <v/>
      </c>
      <c r="H123" s="17" t="str">
        <f>IFERROR(INDEX(逆引き作成用!$C$2:$C$169,MATCH($B123&amp;"/"&amp;$C123,逆引き作成用!H$2:H$169,FALSE),1),"")</f>
        <v/>
      </c>
      <c r="I123" s="17" t="str">
        <f>IFERROR(INDEX(逆引き作成用!$C$2:$C$169,MATCH($B123&amp;"/"&amp;$C123,逆引き作成用!I$2:I$169,FALSE),1),"")</f>
        <v/>
      </c>
      <c r="J123" s="17" t="str">
        <f>IFERROR(INDEX(逆引き作成用!$C$2:$C$169,MATCH($B123&amp;"/"&amp;$C123,逆引き作成用!J$2:J$169,FALSE),1),"")</f>
        <v/>
      </c>
      <c r="K123" s="17" t="str">
        <f>IFERROR(INDEX(逆引き作成用!$C$2:$C$169,MATCH($B123&amp;"/"&amp;$C123,逆引き作成用!K$2:K$169,FALSE),1),"")</f>
        <v/>
      </c>
      <c r="L123" s="17" t="str">
        <f>IFERROR(INDEX(逆引き作成用!$C$2:$C$169,MATCH($B123&amp;"/"&amp;$C123,逆引き作成用!L$2:L$169,FALSE),1),"")</f>
        <v/>
      </c>
      <c r="M123" s="17" t="str">
        <f>IFERROR(INDEX(逆引き作成用!$C$2:$C$169,MATCH($B123&amp;"/"&amp;$C123,逆引き作成用!M$2:M$169,FALSE),1),"")</f>
        <v/>
      </c>
      <c r="N123" s="17" t="str">
        <f>IFERROR(INDEX(逆引き作成用!$C$2:$C$169,MATCH($B123&amp;"/"&amp;$C123,逆引き作成用!N$2:N$169,FALSE),1),"")</f>
        <v/>
      </c>
      <c r="O123" s="17" t="str">
        <f>IFERROR(INDEX(逆引き作成用!$C$2:$C$169,MATCH($B123&amp;"/"&amp;$C123,逆引き作成用!O$2:O$169,FALSE),1),"")</f>
        <v/>
      </c>
      <c r="P123" s="17" t="str">
        <f>IFERROR(INDEX(逆引き作成用!$C$2:$C$169,MATCH($B123&amp;"/"&amp;$C123,逆引き作成用!P$2:P$169,FALSE),1),"")</f>
        <v/>
      </c>
      <c r="Q123" s="17" t="str">
        <f>IFERROR(INDEX(逆引き作成用!$C$2:$C$169,MATCH($B123&amp;"/"&amp;$C123,逆引き作成用!Q$2:Q$169,FALSE),1),"")</f>
        <v/>
      </c>
      <c r="R123" s="17" t="str">
        <f>IFERROR(INDEX(逆引き作成用!$C$2:$C$169,MATCH($B123&amp;"/"&amp;$C123,逆引き作成用!R$2:R$169,FALSE),1),"")</f>
        <v/>
      </c>
      <c r="S123" s="17" t="str">
        <f>IFERROR(INDEX(逆引き作成用!$C$2:$C$169,MATCH($B123&amp;"/"&amp;$C123,逆引き作成用!S$2:S$169,FALSE),1),"")</f>
        <v/>
      </c>
      <c r="T123" s="17" t="str">
        <f>IFERROR(INDEX(逆引き作成用!$C$2:$C$169,MATCH($B123&amp;"/"&amp;$C123,逆引き作成用!T$2:T$169,FALSE),1),"")</f>
        <v/>
      </c>
      <c r="U123" s="17" t="str">
        <f>IFERROR(INDEX(逆引き作成用!$C$2:$C$169,MATCH($B123&amp;"/"&amp;$C123,逆引き作成用!U$2:U$169,FALSE),1),"")</f>
        <v/>
      </c>
      <c r="V123" s="17" t="str">
        <f>IFERROR(INDEX(逆引き作成用!$C$2:$C$169,MATCH($B123&amp;"/"&amp;$C123,逆引き作成用!V$2:V$169,FALSE),1),"")</f>
        <v/>
      </c>
      <c r="W123" s="17" t="str">
        <f>IFERROR(INDEX(逆引き作成用!$C$2:$C$169,MATCH($B123&amp;"/"&amp;$C123,逆引き作成用!W$2:W$169,FALSE),1),"")</f>
        <v/>
      </c>
      <c r="X123" s="17" t="str">
        <f>IFERROR(INDEX(逆引き作成用!$C$2:$C$169,MATCH($B123&amp;"/"&amp;$C123,逆引き作成用!X$2:X$169,FALSE),1),"")</f>
        <v/>
      </c>
      <c r="Y123" s="17" t="str">
        <f>IFERROR(INDEX(逆引き作成用!$C$2:$C$169,MATCH($B123&amp;"/"&amp;$C123,逆引き作成用!Y$2:Y$169,FALSE),1),"")</f>
        <v/>
      </c>
      <c r="Z123" s="17" t="str">
        <f>IFERROR(INDEX(逆引き作成用!$C$2:$C$169,MATCH($B123&amp;"/"&amp;$C123,逆引き作成用!Z$2:Z$169,FALSE),1),"")</f>
        <v/>
      </c>
      <c r="AA123" s="17" t="str">
        <f>IFERROR(INDEX(逆引き作成用!$C$2:$C$169,MATCH($B123&amp;"/"&amp;$C123,逆引き作成用!AA$2:AA$169,FALSE),1),"")</f>
        <v/>
      </c>
      <c r="AB123" s="17" t="str">
        <f>IFERROR(INDEX(逆引き作成用!$C$2:$C$169,MATCH($B123&amp;"/"&amp;$C123,逆引き作成用!AB$2:AB$169,FALSE),1),"")</f>
        <v/>
      </c>
      <c r="AC123" s="17" t="str">
        <f>IFERROR(INDEX(逆引き作成用!$C$2:$C$169,MATCH($B123&amp;"/"&amp;$C123,逆引き作成用!AC$2:AC$169,FALSE),1),"")</f>
        <v/>
      </c>
      <c r="AD123" s="17" t="str">
        <f>IFERROR(INDEX(逆引き作成用!$C$2:$C$169,MATCH($B123&amp;"/"&amp;$C123,逆引き作成用!AD$2:AD$169,FALSE),1),"")</f>
        <v/>
      </c>
      <c r="AE123" s="17" t="str">
        <f>IFERROR(INDEX(逆引き作成用!$C$2:$C$169,MATCH($B123&amp;"/"&amp;$C123,逆引き作成用!AE$2:AE$169,FALSE),1),"")</f>
        <v/>
      </c>
      <c r="AF123" s="17" t="str">
        <f>IFERROR(INDEX(逆引き作成用!$C$2:$C$169,MATCH($B123&amp;"/"&amp;$C123,逆引き作成用!AF$2:AF$169,FALSE),1),"")</f>
        <v/>
      </c>
      <c r="AG123" s="17" t="str">
        <f>IFERROR(INDEX(逆引き作成用!$C$2:$C$169,MATCH($B123&amp;"/"&amp;$C123,逆引き作成用!AG$2:AG$169,FALSE),1),"")</f>
        <v/>
      </c>
      <c r="AH123" s="17" t="str">
        <f>IFERROR(INDEX(逆引き作成用!$C$2:$C$169,MATCH($B123&amp;"/"&amp;$C123,逆引き作成用!AH$2:AH$169,FALSE),1),"")</f>
        <v/>
      </c>
      <c r="AI123" s="17" t="str">
        <f>IFERROR(INDEX(逆引き作成用!$C$2:$C$169,MATCH($B123&amp;"/"&amp;$C123,逆引き作成用!AI$2:AI$169,FALSE),1),"")</f>
        <v/>
      </c>
      <c r="AJ123" s="17" t="str">
        <f>IFERROR(INDEX(逆引き作成用!$C$2:$C$169,MATCH($B123&amp;"/"&amp;$C123,逆引き作成用!AJ$2:AJ$169,FALSE),1),"")</f>
        <v/>
      </c>
      <c r="AK123" s="17" t="str">
        <f>IFERROR(INDEX(逆引き作成用!$C$2:$C$169,MATCH($B123&amp;"/"&amp;$C123,逆引き作成用!AK$2:AK$169,FALSE),1),"")</f>
        <v/>
      </c>
      <c r="AL123" s="17" t="str">
        <f>IFERROR(INDEX(逆引き作成用!$C$2:$C$169,MATCH($B123&amp;"/"&amp;$C123,逆引き作成用!AL$2:AL$169,FALSE),1),"")</f>
        <v/>
      </c>
      <c r="AM123" s="17" t="str">
        <f>IFERROR(INDEX(逆引き作成用!$C$2:$C$169,MATCH($B123&amp;"/"&amp;$C123,逆引き作成用!AM$2:AM$169,FALSE),1),"")</f>
        <v/>
      </c>
      <c r="AN123" s="17" t="str">
        <f>IFERROR(INDEX(逆引き作成用!$C$2:$C$169,MATCH($B123&amp;"/"&amp;$C123,逆引き作成用!AN$2:AN$169,FALSE),1),"")</f>
        <v/>
      </c>
      <c r="AO123" s="17" t="str">
        <f>IFERROR(INDEX(逆引き作成用!$C$2:$C$169,MATCH($B123&amp;"/"&amp;$C123,逆引き作成用!AO$2:AO$169,FALSE),1),"")</f>
        <v/>
      </c>
      <c r="AP123" s="17" t="str">
        <f>IFERROR(INDEX(逆引き作成用!$C$2:$C$169,MATCH($B123&amp;"/"&amp;$C123,逆引き作成用!AP$2:AP$169,FALSE),1),"")</f>
        <v/>
      </c>
      <c r="AQ123" s="17" t="str">
        <f>IFERROR(INDEX(逆引き作成用!$C$2:$C$169,MATCH($B123&amp;"/"&amp;$C123,逆引き作成用!AQ$2:AQ$169,FALSE),1),"")</f>
        <v/>
      </c>
      <c r="AR123" s="17" t="str">
        <f>IFERROR(INDEX(逆引き作成用!$C$2:$C$169,MATCH($B123&amp;"/"&amp;$C123,逆引き作成用!AR$2:AR$169,FALSE),1),"")</f>
        <v/>
      </c>
      <c r="AS123" s="17" t="str">
        <f>IFERROR(INDEX(逆引き作成用!$C$2:$C$169,MATCH($B123&amp;"/"&amp;$C123,逆引き作成用!AS$2:AS$169,FALSE),1),"")</f>
        <v/>
      </c>
      <c r="AT123" s="17" t="str">
        <f>IFERROR(INDEX(逆引き作成用!$C$2:$C$169,MATCH($B123&amp;"/"&amp;$C123,逆引き作成用!AT$2:AT$169,FALSE),1),"")</f>
        <v/>
      </c>
      <c r="AU123" s="17" t="str">
        <f>IFERROR(INDEX(逆引き作成用!$C$2:$C$169,MATCH($B123&amp;"/"&amp;$C123,逆引き作成用!AU$2:AU$169,FALSE),1),"")</f>
        <v/>
      </c>
      <c r="AV123" s="17" t="str">
        <f>IFERROR(INDEX(逆引き作成用!$C$2:$C$169,MATCH($B123&amp;"/"&amp;$C123,逆引き作成用!AV$2:AV$169,FALSE),1),"")</f>
        <v/>
      </c>
      <c r="AW123" s="17" t="str">
        <f>IFERROR(INDEX(逆引き作成用!$C$2:$C$169,MATCH($B123&amp;"/"&amp;$C123,逆引き作成用!AW$2:AW$169,FALSE),1),"")</f>
        <v/>
      </c>
      <c r="AX123" s="17" t="str">
        <f>IFERROR(INDEX(逆引き作成用!$C$2:$C$169,MATCH($B123&amp;"/"&amp;$C123,逆引き作成用!AX$2:AX$169,FALSE),1),"")</f>
        <v/>
      </c>
      <c r="AY123" s="17" t="str">
        <f>IFERROR(INDEX(逆引き作成用!$C$2:$C$169,MATCH($B123&amp;"/"&amp;$C123,逆引き作成用!AY$2:AY$169,FALSE),1),"")</f>
        <v/>
      </c>
      <c r="AZ123" s="17" t="str">
        <f>IFERROR(INDEX(逆引き作成用!$C$2:$C$169,MATCH($B123&amp;"/"&amp;$C123,逆引き作成用!AZ$2:AZ$169,FALSE),1),"")</f>
        <v/>
      </c>
      <c r="BA123" s="17" t="str">
        <f>IFERROR(INDEX(逆引き作成用!$C$2:$C$169,MATCH($B123&amp;"/"&amp;$C123,逆引き作成用!BA$2:BA$169,FALSE),1),"")</f>
        <v/>
      </c>
    </row>
    <row r="124" spans="1:53">
      <c r="A124" s="17" t="str">
        <f>IFERROR(INDEX(役職一覧!$B$2:$B$31,MATCH(B124,役職一覧!$C$2:$C$31,FALSE),1),"")</f>
        <v/>
      </c>
      <c r="B124" s="17" t="str">
        <f>IFERROR(IF(C124=1,INDEX(役職一覧!$C$2:$C$31,MATCH(逆引き!B123,役職一覧!$C$2:$C$31,FALSE)+1,1)&amp;"",B123),"")</f>
        <v/>
      </c>
      <c r="C124" s="17" t="str">
        <f>IFERROR(IF(VLOOKUP(B123,役職一覧!$C$2:$E$31,3,FALSE)=C123,1,C123+1),"")</f>
        <v/>
      </c>
      <c r="D124" s="17" t="str">
        <f>IFERROR(INDEX(逆引き作成用!$C$2:$C$169,MATCH($B124&amp;"/"&amp;$C124,逆引き作成用!D$2:D$169,FALSE),1),"")</f>
        <v/>
      </c>
      <c r="E124" s="17" t="str">
        <f>IFERROR(INDEX(逆引き作成用!$C$2:$C$169,MATCH($B124&amp;"/"&amp;$C124,逆引き作成用!E$2:E$169,FALSE),1),"")</f>
        <v/>
      </c>
      <c r="F124" s="17" t="str">
        <f>IFERROR(INDEX(逆引き作成用!$C$2:$C$169,MATCH($B124&amp;"/"&amp;$C124,逆引き作成用!F$2:F$169,FALSE),1),"")</f>
        <v/>
      </c>
      <c r="G124" s="17" t="str">
        <f>IFERROR(INDEX(逆引き作成用!$C$2:$C$169,MATCH($B124&amp;"/"&amp;$C124,逆引き作成用!G$2:G$169,FALSE),1),"")</f>
        <v/>
      </c>
      <c r="H124" s="17" t="str">
        <f>IFERROR(INDEX(逆引き作成用!$C$2:$C$169,MATCH($B124&amp;"/"&amp;$C124,逆引き作成用!H$2:H$169,FALSE),1),"")</f>
        <v/>
      </c>
      <c r="I124" s="17" t="str">
        <f>IFERROR(INDEX(逆引き作成用!$C$2:$C$169,MATCH($B124&amp;"/"&amp;$C124,逆引き作成用!I$2:I$169,FALSE),1),"")</f>
        <v/>
      </c>
      <c r="J124" s="17" t="str">
        <f>IFERROR(INDEX(逆引き作成用!$C$2:$C$169,MATCH($B124&amp;"/"&amp;$C124,逆引き作成用!J$2:J$169,FALSE),1),"")</f>
        <v/>
      </c>
      <c r="K124" s="17" t="str">
        <f>IFERROR(INDEX(逆引き作成用!$C$2:$C$169,MATCH($B124&amp;"/"&amp;$C124,逆引き作成用!K$2:K$169,FALSE),1),"")</f>
        <v/>
      </c>
      <c r="L124" s="17" t="str">
        <f>IFERROR(INDEX(逆引き作成用!$C$2:$C$169,MATCH($B124&amp;"/"&amp;$C124,逆引き作成用!L$2:L$169,FALSE),1),"")</f>
        <v/>
      </c>
      <c r="M124" s="17" t="str">
        <f>IFERROR(INDEX(逆引き作成用!$C$2:$C$169,MATCH($B124&amp;"/"&amp;$C124,逆引き作成用!M$2:M$169,FALSE),1),"")</f>
        <v/>
      </c>
      <c r="N124" s="17" t="str">
        <f>IFERROR(INDEX(逆引き作成用!$C$2:$C$169,MATCH($B124&amp;"/"&amp;$C124,逆引き作成用!N$2:N$169,FALSE),1),"")</f>
        <v/>
      </c>
      <c r="O124" s="17" t="str">
        <f>IFERROR(INDEX(逆引き作成用!$C$2:$C$169,MATCH($B124&amp;"/"&amp;$C124,逆引き作成用!O$2:O$169,FALSE),1),"")</f>
        <v/>
      </c>
      <c r="P124" s="17" t="str">
        <f>IFERROR(INDEX(逆引き作成用!$C$2:$C$169,MATCH($B124&amp;"/"&amp;$C124,逆引き作成用!P$2:P$169,FALSE),1),"")</f>
        <v/>
      </c>
      <c r="Q124" s="17" t="str">
        <f>IFERROR(INDEX(逆引き作成用!$C$2:$C$169,MATCH($B124&amp;"/"&amp;$C124,逆引き作成用!Q$2:Q$169,FALSE),1),"")</f>
        <v/>
      </c>
      <c r="R124" s="17" t="str">
        <f>IFERROR(INDEX(逆引き作成用!$C$2:$C$169,MATCH($B124&amp;"/"&amp;$C124,逆引き作成用!R$2:R$169,FALSE),1),"")</f>
        <v/>
      </c>
      <c r="S124" s="17" t="str">
        <f>IFERROR(INDEX(逆引き作成用!$C$2:$C$169,MATCH($B124&amp;"/"&amp;$C124,逆引き作成用!S$2:S$169,FALSE),1),"")</f>
        <v/>
      </c>
      <c r="T124" s="17" t="str">
        <f>IFERROR(INDEX(逆引き作成用!$C$2:$C$169,MATCH($B124&amp;"/"&amp;$C124,逆引き作成用!T$2:T$169,FALSE),1),"")</f>
        <v/>
      </c>
      <c r="U124" s="17" t="str">
        <f>IFERROR(INDEX(逆引き作成用!$C$2:$C$169,MATCH($B124&amp;"/"&amp;$C124,逆引き作成用!U$2:U$169,FALSE),1),"")</f>
        <v/>
      </c>
      <c r="V124" s="17" t="str">
        <f>IFERROR(INDEX(逆引き作成用!$C$2:$C$169,MATCH($B124&amp;"/"&amp;$C124,逆引き作成用!V$2:V$169,FALSE),1),"")</f>
        <v/>
      </c>
      <c r="W124" s="17" t="str">
        <f>IFERROR(INDEX(逆引き作成用!$C$2:$C$169,MATCH($B124&amp;"/"&amp;$C124,逆引き作成用!W$2:W$169,FALSE),1),"")</f>
        <v/>
      </c>
      <c r="X124" s="17" t="str">
        <f>IFERROR(INDEX(逆引き作成用!$C$2:$C$169,MATCH($B124&amp;"/"&amp;$C124,逆引き作成用!X$2:X$169,FALSE),1),"")</f>
        <v/>
      </c>
      <c r="Y124" s="17" t="str">
        <f>IFERROR(INDEX(逆引き作成用!$C$2:$C$169,MATCH($B124&amp;"/"&amp;$C124,逆引き作成用!Y$2:Y$169,FALSE),1),"")</f>
        <v/>
      </c>
      <c r="Z124" s="17" t="str">
        <f>IFERROR(INDEX(逆引き作成用!$C$2:$C$169,MATCH($B124&amp;"/"&amp;$C124,逆引き作成用!Z$2:Z$169,FALSE),1),"")</f>
        <v/>
      </c>
      <c r="AA124" s="17" t="str">
        <f>IFERROR(INDEX(逆引き作成用!$C$2:$C$169,MATCH($B124&amp;"/"&amp;$C124,逆引き作成用!AA$2:AA$169,FALSE),1),"")</f>
        <v/>
      </c>
      <c r="AB124" s="17" t="str">
        <f>IFERROR(INDEX(逆引き作成用!$C$2:$C$169,MATCH($B124&amp;"/"&amp;$C124,逆引き作成用!AB$2:AB$169,FALSE),1),"")</f>
        <v/>
      </c>
      <c r="AC124" s="17" t="str">
        <f>IFERROR(INDEX(逆引き作成用!$C$2:$C$169,MATCH($B124&amp;"/"&amp;$C124,逆引き作成用!AC$2:AC$169,FALSE),1),"")</f>
        <v/>
      </c>
      <c r="AD124" s="17" t="str">
        <f>IFERROR(INDEX(逆引き作成用!$C$2:$C$169,MATCH($B124&amp;"/"&amp;$C124,逆引き作成用!AD$2:AD$169,FALSE),1),"")</f>
        <v/>
      </c>
      <c r="AE124" s="17" t="str">
        <f>IFERROR(INDEX(逆引き作成用!$C$2:$C$169,MATCH($B124&amp;"/"&amp;$C124,逆引き作成用!AE$2:AE$169,FALSE),1),"")</f>
        <v/>
      </c>
      <c r="AF124" s="17" t="str">
        <f>IFERROR(INDEX(逆引き作成用!$C$2:$C$169,MATCH($B124&amp;"/"&amp;$C124,逆引き作成用!AF$2:AF$169,FALSE),1),"")</f>
        <v/>
      </c>
      <c r="AG124" s="17" t="str">
        <f>IFERROR(INDEX(逆引き作成用!$C$2:$C$169,MATCH($B124&amp;"/"&amp;$C124,逆引き作成用!AG$2:AG$169,FALSE),1),"")</f>
        <v/>
      </c>
      <c r="AH124" s="17" t="str">
        <f>IFERROR(INDEX(逆引き作成用!$C$2:$C$169,MATCH($B124&amp;"/"&amp;$C124,逆引き作成用!AH$2:AH$169,FALSE),1),"")</f>
        <v/>
      </c>
      <c r="AI124" s="17" t="str">
        <f>IFERROR(INDEX(逆引き作成用!$C$2:$C$169,MATCH($B124&amp;"/"&amp;$C124,逆引き作成用!AI$2:AI$169,FALSE),1),"")</f>
        <v/>
      </c>
      <c r="AJ124" s="17" t="str">
        <f>IFERROR(INDEX(逆引き作成用!$C$2:$C$169,MATCH($B124&amp;"/"&amp;$C124,逆引き作成用!AJ$2:AJ$169,FALSE),1),"")</f>
        <v/>
      </c>
      <c r="AK124" s="17" t="str">
        <f>IFERROR(INDEX(逆引き作成用!$C$2:$C$169,MATCH($B124&amp;"/"&amp;$C124,逆引き作成用!AK$2:AK$169,FALSE),1),"")</f>
        <v/>
      </c>
      <c r="AL124" s="17" t="str">
        <f>IFERROR(INDEX(逆引き作成用!$C$2:$C$169,MATCH($B124&amp;"/"&amp;$C124,逆引き作成用!AL$2:AL$169,FALSE),1),"")</f>
        <v/>
      </c>
      <c r="AM124" s="17" t="str">
        <f>IFERROR(INDEX(逆引き作成用!$C$2:$C$169,MATCH($B124&amp;"/"&amp;$C124,逆引き作成用!AM$2:AM$169,FALSE),1),"")</f>
        <v/>
      </c>
      <c r="AN124" s="17" t="str">
        <f>IFERROR(INDEX(逆引き作成用!$C$2:$C$169,MATCH($B124&amp;"/"&amp;$C124,逆引き作成用!AN$2:AN$169,FALSE),1),"")</f>
        <v/>
      </c>
      <c r="AO124" s="17" t="str">
        <f>IFERROR(INDEX(逆引き作成用!$C$2:$C$169,MATCH($B124&amp;"/"&amp;$C124,逆引き作成用!AO$2:AO$169,FALSE),1),"")</f>
        <v/>
      </c>
      <c r="AP124" s="17" t="str">
        <f>IFERROR(INDEX(逆引き作成用!$C$2:$C$169,MATCH($B124&amp;"/"&amp;$C124,逆引き作成用!AP$2:AP$169,FALSE),1),"")</f>
        <v/>
      </c>
      <c r="AQ124" s="17" t="str">
        <f>IFERROR(INDEX(逆引き作成用!$C$2:$C$169,MATCH($B124&amp;"/"&amp;$C124,逆引き作成用!AQ$2:AQ$169,FALSE),1),"")</f>
        <v/>
      </c>
      <c r="AR124" s="17" t="str">
        <f>IFERROR(INDEX(逆引き作成用!$C$2:$C$169,MATCH($B124&amp;"/"&amp;$C124,逆引き作成用!AR$2:AR$169,FALSE),1),"")</f>
        <v/>
      </c>
      <c r="AS124" s="17" t="str">
        <f>IFERROR(INDEX(逆引き作成用!$C$2:$C$169,MATCH($B124&amp;"/"&amp;$C124,逆引き作成用!AS$2:AS$169,FALSE),1),"")</f>
        <v/>
      </c>
      <c r="AT124" s="17" t="str">
        <f>IFERROR(INDEX(逆引き作成用!$C$2:$C$169,MATCH($B124&amp;"/"&amp;$C124,逆引き作成用!AT$2:AT$169,FALSE),1),"")</f>
        <v/>
      </c>
      <c r="AU124" s="17" t="str">
        <f>IFERROR(INDEX(逆引き作成用!$C$2:$C$169,MATCH($B124&amp;"/"&amp;$C124,逆引き作成用!AU$2:AU$169,FALSE),1),"")</f>
        <v/>
      </c>
      <c r="AV124" s="17" t="str">
        <f>IFERROR(INDEX(逆引き作成用!$C$2:$C$169,MATCH($B124&amp;"/"&amp;$C124,逆引き作成用!AV$2:AV$169,FALSE),1),"")</f>
        <v/>
      </c>
      <c r="AW124" s="17" t="str">
        <f>IFERROR(INDEX(逆引き作成用!$C$2:$C$169,MATCH($B124&amp;"/"&amp;$C124,逆引き作成用!AW$2:AW$169,FALSE),1),"")</f>
        <v/>
      </c>
      <c r="AX124" s="17" t="str">
        <f>IFERROR(INDEX(逆引き作成用!$C$2:$C$169,MATCH($B124&amp;"/"&amp;$C124,逆引き作成用!AX$2:AX$169,FALSE),1),"")</f>
        <v/>
      </c>
      <c r="AY124" s="17" t="str">
        <f>IFERROR(INDEX(逆引き作成用!$C$2:$C$169,MATCH($B124&amp;"/"&amp;$C124,逆引き作成用!AY$2:AY$169,FALSE),1),"")</f>
        <v/>
      </c>
      <c r="AZ124" s="17" t="str">
        <f>IFERROR(INDEX(逆引き作成用!$C$2:$C$169,MATCH($B124&amp;"/"&amp;$C124,逆引き作成用!AZ$2:AZ$169,FALSE),1),"")</f>
        <v/>
      </c>
      <c r="BA124" s="17" t="str">
        <f>IFERROR(INDEX(逆引き作成用!$C$2:$C$169,MATCH($B124&amp;"/"&amp;$C124,逆引き作成用!BA$2:BA$169,FALSE),1),"")</f>
        <v/>
      </c>
    </row>
    <row r="125" spans="1:53">
      <c r="A125" s="17" t="str">
        <f>IFERROR(INDEX(役職一覧!$B$2:$B$31,MATCH(B125,役職一覧!$C$2:$C$31,FALSE),1),"")</f>
        <v/>
      </c>
      <c r="B125" s="17" t="str">
        <f>IFERROR(IF(C125=1,INDEX(役職一覧!$C$2:$C$31,MATCH(逆引き!B124,役職一覧!$C$2:$C$31,FALSE)+1,1)&amp;"",B124),"")</f>
        <v/>
      </c>
      <c r="C125" s="17" t="str">
        <f>IFERROR(IF(VLOOKUP(B124,役職一覧!$C$2:$E$31,3,FALSE)=C124,1,C124+1),"")</f>
        <v/>
      </c>
      <c r="D125" s="17" t="str">
        <f>IFERROR(INDEX(逆引き作成用!$C$2:$C$169,MATCH($B125&amp;"/"&amp;$C125,逆引き作成用!D$2:D$169,FALSE),1),"")</f>
        <v/>
      </c>
      <c r="E125" s="17" t="str">
        <f>IFERROR(INDEX(逆引き作成用!$C$2:$C$169,MATCH($B125&amp;"/"&amp;$C125,逆引き作成用!E$2:E$169,FALSE),1),"")</f>
        <v/>
      </c>
      <c r="F125" s="17" t="str">
        <f>IFERROR(INDEX(逆引き作成用!$C$2:$C$169,MATCH($B125&amp;"/"&amp;$C125,逆引き作成用!F$2:F$169,FALSE),1),"")</f>
        <v/>
      </c>
      <c r="G125" s="17" t="str">
        <f>IFERROR(INDEX(逆引き作成用!$C$2:$C$169,MATCH($B125&amp;"/"&amp;$C125,逆引き作成用!G$2:G$169,FALSE),1),"")</f>
        <v/>
      </c>
      <c r="H125" s="17" t="str">
        <f>IFERROR(INDEX(逆引き作成用!$C$2:$C$169,MATCH($B125&amp;"/"&amp;$C125,逆引き作成用!H$2:H$169,FALSE),1),"")</f>
        <v/>
      </c>
      <c r="I125" s="17" t="str">
        <f>IFERROR(INDEX(逆引き作成用!$C$2:$C$169,MATCH($B125&amp;"/"&amp;$C125,逆引き作成用!I$2:I$169,FALSE),1),"")</f>
        <v/>
      </c>
      <c r="J125" s="17" t="str">
        <f>IFERROR(INDEX(逆引き作成用!$C$2:$C$169,MATCH($B125&amp;"/"&amp;$C125,逆引き作成用!J$2:J$169,FALSE),1),"")</f>
        <v/>
      </c>
      <c r="K125" s="17" t="str">
        <f>IFERROR(INDEX(逆引き作成用!$C$2:$C$169,MATCH($B125&amp;"/"&amp;$C125,逆引き作成用!K$2:K$169,FALSE),1),"")</f>
        <v/>
      </c>
      <c r="L125" s="17" t="str">
        <f>IFERROR(INDEX(逆引き作成用!$C$2:$C$169,MATCH($B125&amp;"/"&amp;$C125,逆引き作成用!L$2:L$169,FALSE),1),"")</f>
        <v/>
      </c>
      <c r="M125" s="17" t="str">
        <f>IFERROR(INDEX(逆引き作成用!$C$2:$C$169,MATCH($B125&amp;"/"&amp;$C125,逆引き作成用!M$2:M$169,FALSE),1),"")</f>
        <v/>
      </c>
      <c r="N125" s="17" t="str">
        <f>IFERROR(INDEX(逆引き作成用!$C$2:$C$169,MATCH($B125&amp;"/"&amp;$C125,逆引き作成用!N$2:N$169,FALSE),1),"")</f>
        <v/>
      </c>
      <c r="O125" s="17" t="str">
        <f>IFERROR(INDEX(逆引き作成用!$C$2:$C$169,MATCH($B125&amp;"/"&amp;$C125,逆引き作成用!O$2:O$169,FALSE),1),"")</f>
        <v/>
      </c>
      <c r="P125" s="17" t="str">
        <f>IFERROR(INDEX(逆引き作成用!$C$2:$C$169,MATCH($B125&amp;"/"&amp;$C125,逆引き作成用!P$2:P$169,FALSE),1),"")</f>
        <v/>
      </c>
      <c r="Q125" s="17" t="str">
        <f>IFERROR(INDEX(逆引き作成用!$C$2:$C$169,MATCH($B125&amp;"/"&amp;$C125,逆引き作成用!Q$2:Q$169,FALSE),1),"")</f>
        <v/>
      </c>
      <c r="R125" s="17" t="str">
        <f>IFERROR(INDEX(逆引き作成用!$C$2:$C$169,MATCH($B125&amp;"/"&amp;$C125,逆引き作成用!R$2:R$169,FALSE),1),"")</f>
        <v/>
      </c>
      <c r="S125" s="17" t="str">
        <f>IFERROR(INDEX(逆引き作成用!$C$2:$C$169,MATCH($B125&amp;"/"&amp;$C125,逆引き作成用!S$2:S$169,FALSE),1),"")</f>
        <v/>
      </c>
      <c r="T125" s="17" t="str">
        <f>IFERROR(INDEX(逆引き作成用!$C$2:$C$169,MATCH($B125&amp;"/"&amp;$C125,逆引き作成用!T$2:T$169,FALSE),1),"")</f>
        <v/>
      </c>
      <c r="U125" s="17" t="str">
        <f>IFERROR(INDEX(逆引き作成用!$C$2:$C$169,MATCH($B125&amp;"/"&amp;$C125,逆引き作成用!U$2:U$169,FALSE),1),"")</f>
        <v/>
      </c>
      <c r="V125" s="17" t="str">
        <f>IFERROR(INDEX(逆引き作成用!$C$2:$C$169,MATCH($B125&amp;"/"&amp;$C125,逆引き作成用!V$2:V$169,FALSE),1),"")</f>
        <v/>
      </c>
      <c r="W125" s="17" t="str">
        <f>IFERROR(INDEX(逆引き作成用!$C$2:$C$169,MATCH($B125&amp;"/"&amp;$C125,逆引き作成用!W$2:W$169,FALSE),1),"")</f>
        <v/>
      </c>
      <c r="X125" s="17" t="str">
        <f>IFERROR(INDEX(逆引き作成用!$C$2:$C$169,MATCH($B125&amp;"/"&amp;$C125,逆引き作成用!X$2:X$169,FALSE),1),"")</f>
        <v/>
      </c>
      <c r="Y125" s="17" t="str">
        <f>IFERROR(INDEX(逆引き作成用!$C$2:$C$169,MATCH($B125&amp;"/"&amp;$C125,逆引き作成用!Y$2:Y$169,FALSE),1),"")</f>
        <v/>
      </c>
      <c r="Z125" s="17" t="str">
        <f>IFERROR(INDEX(逆引き作成用!$C$2:$C$169,MATCH($B125&amp;"/"&amp;$C125,逆引き作成用!Z$2:Z$169,FALSE),1),"")</f>
        <v/>
      </c>
      <c r="AA125" s="17" t="str">
        <f>IFERROR(INDEX(逆引き作成用!$C$2:$C$169,MATCH($B125&amp;"/"&amp;$C125,逆引き作成用!AA$2:AA$169,FALSE),1),"")</f>
        <v/>
      </c>
      <c r="AB125" s="17" t="str">
        <f>IFERROR(INDEX(逆引き作成用!$C$2:$C$169,MATCH($B125&amp;"/"&amp;$C125,逆引き作成用!AB$2:AB$169,FALSE),1),"")</f>
        <v/>
      </c>
      <c r="AC125" s="17" t="str">
        <f>IFERROR(INDEX(逆引き作成用!$C$2:$C$169,MATCH($B125&amp;"/"&amp;$C125,逆引き作成用!AC$2:AC$169,FALSE),1),"")</f>
        <v/>
      </c>
      <c r="AD125" s="17" t="str">
        <f>IFERROR(INDEX(逆引き作成用!$C$2:$C$169,MATCH($B125&amp;"/"&amp;$C125,逆引き作成用!AD$2:AD$169,FALSE),1),"")</f>
        <v/>
      </c>
      <c r="AE125" s="17" t="str">
        <f>IFERROR(INDEX(逆引き作成用!$C$2:$C$169,MATCH($B125&amp;"/"&amp;$C125,逆引き作成用!AE$2:AE$169,FALSE),1),"")</f>
        <v/>
      </c>
      <c r="AF125" s="17" t="str">
        <f>IFERROR(INDEX(逆引き作成用!$C$2:$C$169,MATCH($B125&amp;"/"&amp;$C125,逆引き作成用!AF$2:AF$169,FALSE),1),"")</f>
        <v/>
      </c>
      <c r="AG125" s="17" t="str">
        <f>IFERROR(INDEX(逆引き作成用!$C$2:$C$169,MATCH($B125&amp;"/"&amp;$C125,逆引き作成用!AG$2:AG$169,FALSE),1),"")</f>
        <v/>
      </c>
      <c r="AH125" s="17" t="str">
        <f>IFERROR(INDEX(逆引き作成用!$C$2:$C$169,MATCH($B125&amp;"/"&amp;$C125,逆引き作成用!AH$2:AH$169,FALSE),1),"")</f>
        <v/>
      </c>
      <c r="AI125" s="17" t="str">
        <f>IFERROR(INDEX(逆引き作成用!$C$2:$C$169,MATCH($B125&amp;"/"&amp;$C125,逆引き作成用!AI$2:AI$169,FALSE),1),"")</f>
        <v/>
      </c>
      <c r="AJ125" s="17" t="str">
        <f>IFERROR(INDEX(逆引き作成用!$C$2:$C$169,MATCH($B125&amp;"/"&amp;$C125,逆引き作成用!AJ$2:AJ$169,FALSE),1),"")</f>
        <v/>
      </c>
      <c r="AK125" s="17" t="str">
        <f>IFERROR(INDEX(逆引き作成用!$C$2:$C$169,MATCH($B125&amp;"/"&amp;$C125,逆引き作成用!AK$2:AK$169,FALSE),1),"")</f>
        <v/>
      </c>
      <c r="AL125" s="17" t="str">
        <f>IFERROR(INDEX(逆引き作成用!$C$2:$C$169,MATCH($B125&amp;"/"&amp;$C125,逆引き作成用!AL$2:AL$169,FALSE),1),"")</f>
        <v/>
      </c>
      <c r="AM125" s="17" t="str">
        <f>IFERROR(INDEX(逆引き作成用!$C$2:$C$169,MATCH($B125&amp;"/"&amp;$C125,逆引き作成用!AM$2:AM$169,FALSE),1),"")</f>
        <v/>
      </c>
      <c r="AN125" s="17" t="str">
        <f>IFERROR(INDEX(逆引き作成用!$C$2:$C$169,MATCH($B125&amp;"/"&amp;$C125,逆引き作成用!AN$2:AN$169,FALSE),1),"")</f>
        <v/>
      </c>
      <c r="AO125" s="17" t="str">
        <f>IFERROR(INDEX(逆引き作成用!$C$2:$C$169,MATCH($B125&amp;"/"&amp;$C125,逆引き作成用!AO$2:AO$169,FALSE),1),"")</f>
        <v/>
      </c>
      <c r="AP125" s="17" t="str">
        <f>IFERROR(INDEX(逆引き作成用!$C$2:$C$169,MATCH($B125&amp;"/"&amp;$C125,逆引き作成用!AP$2:AP$169,FALSE),1),"")</f>
        <v/>
      </c>
      <c r="AQ125" s="17" t="str">
        <f>IFERROR(INDEX(逆引き作成用!$C$2:$C$169,MATCH($B125&amp;"/"&amp;$C125,逆引き作成用!AQ$2:AQ$169,FALSE),1),"")</f>
        <v/>
      </c>
      <c r="AR125" s="17" t="str">
        <f>IFERROR(INDEX(逆引き作成用!$C$2:$C$169,MATCH($B125&amp;"/"&amp;$C125,逆引き作成用!AR$2:AR$169,FALSE),1),"")</f>
        <v/>
      </c>
      <c r="AS125" s="17" t="str">
        <f>IFERROR(INDEX(逆引き作成用!$C$2:$C$169,MATCH($B125&amp;"/"&amp;$C125,逆引き作成用!AS$2:AS$169,FALSE),1),"")</f>
        <v/>
      </c>
      <c r="AT125" s="17" t="str">
        <f>IFERROR(INDEX(逆引き作成用!$C$2:$C$169,MATCH($B125&amp;"/"&amp;$C125,逆引き作成用!AT$2:AT$169,FALSE),1),"")</f>
        <v/>
      </c>
      <c r="AU125" s="17" t="str">
        <f>IFERROR(INDEX(逆引き作成用!$C$2:$C$169,MATCH($B125&amp;"/"&amp;$C125,逆引き作成用!AU$2:AU$169,FALSE),1),"")</f>
        <v/>
      </c>
      <c r="AV125" s="17" t="str">
        <f>IFERROR(INDEX(逆引き作成用!$C$2:$C$169,MATCH($B125&amp;"/"&amp;$C125,逆引き作成用!AV$2:AV$169,FALSE),1),"")</f>
        <v/>
      </c>
      <c r="AW125" s="17" t="str">
        <f>IFERROR(INDEX(逆引き作成用!$C$2:$C$169,MATCH($B125&amp;"/"&amp;$C125,逆引き作成用!AW$2:AW$169,FALSE),1),"")</f>
        <v/>
      </c>
      <c r="AX125" s="17" t="str">
        <f>IFERROR(INDEX(逆引き作成用!$C$2:$C$169,MATCH($B125&amp;"/"&amp;$C125,逆引き作成用!AX$2:AX$169,FALSE),1),"")</f>
        <v/>
      </c>
      <c r="AY125" s="17" t="str">
        <f>IFERROR(INDEX(逆引き作成用!$C$2:$C$169,MATCH($B125&amp;"/"&amp;$C125,逆引き作成用!AY$2:AY$169,FALSE),1),"")</f>
        <v/>
      </c>
      <c r="AZ125" s="17" t="str">
        <f>IFERROR(INDEX(逆引き作成用!$C$2:$C$169,MATCH($B125&amp;"/"&amp;$C125,逆引き作成用!AZ$2:AZ$169,FALSE),1),"")</f>
        <v/>
      </c>
      <c r="BA125" s="17" t="str">
        <f>IFERROR(INDEX(逆引き作成用!$C$2:$C$169,MATCH($B125&amp;"/"&amp;$C125,逆引き作成用!BA$2:BA$169,FALSE),1),"")</f>
        <v/>
      </c>
    </row>
    <row r="126" spans="1:53">
      <c r="A126" s="17" t="str">
        <f>IFERROR(INDEX(役職一覧!$B$2:$B$31,MATCH(B126,役職一覧!$C$2:$C$31,FALSE),1),"")</f>
        <v/>
      </c>
      <c r="B126" s="17" t="str">
        <f>IFERROR(IF(C126=1,INDEX(役職一覧!$C$2:$C$31,MATCH(逆引き!B125,役職一覧!$C$2:$C$31,FALSE)+1,1)&amp;"",B125),"")</f>
        <v/>
      </c>
      <c r="C126" s="17" t="str">
        <f>IFERROR(IF(VLOOKUP(B125,役職一覧!$C$2:$E$31,3,FALSE)=C125,1,C125+1),"")</f>
        <v/>
      </c>
      <c r="D126" s="17" t="str">
        <f>IFERROR(INDEX(逆引き作成用!$C$2:$C$169,MATCH($B126&amp;"/"&amp;$C126,逆引き作成用!D$2:D$169,FALSE),1),"")</f>
        <v/>
      </c>
      <c r="E126" s="17" t="str">
        <f>IFERROR(INDEX(逆引き作成用!$C$2:$C$169,MATCH($B126&amp;"/"&amp;$C126,逆引き作成用!E$2:E$169,FALSE),1),"")</f>
        <v/>
      </c>
      <c r="F126" s="17" t="str">
        <f>IFERROR(INDEX(逆引き作成用!$C$2:$C$169,MATCH($B126&amp;"/"&amp;$C126,逆引き作成用!F$2:F$169,FALSE),1),"")</f>
        <v/>
      </c>
      <c r="G126" s="17" t="str">
        <f>IFERROR(INDEX(逆引き作成用!$C$2:$C$169,MATCH($B126&amp;"/"&amp;$C126,逆引き作成用!G$2:G$169,FALSE),1),"")</f>
        <v/>
      </c>
      <c r="H126" s="17" t="str">
        <f>IFERROR(INDEX(逆引き作成用!$C$2:$C$169,MATCH($B126&amp;"/"&amp;$C126,逆引き作成用!H$2:H$169,FALSE),1),"")</f>
        <v/>
      </c>
      <c r="I126" s="17" t="str">
        <f>IFERROR(INDEX(逆引き作成用!$C$2:$C$169,MATCH($B126&amp;"/"&amp;$C126,逆引き作成用!I$2:I$169,FALSE),1),"")</f>
        <v/>
      </c>
      <c r="J126" s="17" t="str">
        <f>IFERROR(INDEX(逆引き作成用!$C$2:$C$169,MATCH($B126&amp;"/"&amp;$C126,逆引き作成用!J$2:J$169,FALSE),1),"")</f>
        <v/>
      </c>
      <c r="K126" s="17" t="str">
        <f>IFERROR(INDEX(逆引き作成用!$C$2:$C$169,MATCH($B126&amp;"/"&amp;$C126,逆引き作成用!K$2:K$169,FALSE),1),"")</f>
        <v/>
      </c>
      <c r="L126" s="17" t="str">
        <f>IFERROR(INDEX(逆引き作成用!$C$2:$C$169,MATCH($B126&amp;"/"&amp;$C126,逆引き作成用!L$2:L$169,FALSE),1),"")</f>
        <v/>
      </c>
      <c r="M126" s="17" t="str">
        <f>IFERROR(INDEX(逆引き作成用!$C$2:$C$169,MATCH($B126&amp;"/"&amp;$C126,逆引き作成用!M$2:M$169,FALSE),1),"")</f>
        <v/>
      </c>
      <c r="N126" s="17" t="str">
        <f>IFERROR(INDEX(逆引き作成用!$C$2:$C$169,MATCH($B126&amp;"/"&amp;$C126,逆引き作成用!N$2:N$169,FALSE),1),"")</f>
        <v/>
      </c>
      <c r="O126" s="17" t="str">
        <f>IFERROR(INDEX(逆引き作成用!$C$2:$C$169,MATCH($B126&amp;"/"&amp;$C126,逆引き作成用!O$2:O$169,FALSE),1),"")</f>
        <v/>
      </c>
      <c r="P126" s="17" t="str">
        <f>IFERROR(INDEX(逆引き作成用!$C$2:$C$169,MATCH($B126&amp;"/"&amp;$C126,逆引き作成用!P$2:P$169,FALSE),1),"")</f>
        <v/>
      </c>
      <c r="Q126" s="17" t="str">
        <f>IFERROR(INDEX(逆引き作成用!$C$2:$C$169,MATCH($B126&amp;"/"&amp;$C126,逆引き作成用!Q$2:Q$169,FALSE),1),"")</f>
        <v/>
      </c>
      <c r="R126" s="17" t="str">
        <f>IFERROR(INDEX(逆引き作成用!$C$2:$C$169,MATCH($B126&amp;"/"&amp;$C126,逆引き作成用!R$2:R$169,FALSE),1),"")</f>
        <v/>
      </c>
      <c r="S126" s="17" t="str">
        <f>IFERROR(INDEX(逆引き作成用!$C$2:$C$169,MATCH($B126&amp;"/"&amp;$C126,逆引き作成用!S$2:S$169,FALSE),1),"")</f>
        <v/>
      </c>
      <c r="T126" s="17" t="str">
        <f>IFERROR(INDEX(逆引き作成用!$C$2:$C$169,MATCH($B126&amp;"/"&amp;$C126,逆引き作成用!T$2:T$169,FALSE),1),"")</f>
        <v/>
      </c>
      <c r="U126" s="17" t="str">
        <f>IFERROR(INDEX(逆引き作成用!$C$2:$C$169,MATCH($B126&amp;"/"&amp;$C126,逆引き作成用!U$2:U$169,FALSE),1),"")</f>
        <v/>
      </c>
      <c r="V126" s="17" t="str">
        <f>IFERROR(INDEX(逆引き作成用!$C$2:$C$169,MATCH($B126&amp;"/"&amp;$C126,逆引き作成用!V$2:V$169,FALSE),1),"")</f>
        <v/>
      </c>
      <c r="W126" s="17" t="str">
        <f>IFERROR(INDEX(逆引き作成用!$C$2:$C$169,MATCH($B126&amp;"/"&amp;$C126,逆引き作成用!W$2:W$169,FALSE),1),"")</f>
        <v/>
      </c>
      <c r="X126" s="17" t="str">
        <f>IFERROR(INDEX(逆引き作成用!$C$2:$C$169,MATCH($B126&amp;"/"&amp;$C126,逆引き作成用!X$2:X$169,FALSE),1),"")</f>
        <v/>
      </c>
      <c r="Y126" s="17" t="str">
        <f>IFERROR(INDEX(逆引き作成用!$C$2:$C$169,MATCH($B126&amp;"/"&amp;$C126,逆引き作成用!Y$2:Y$169,FALSE),1),"")</f>
        <v/>
      </c>
      <c r="Z126" s="17" t="str">
        <f>IFERROR(INDEX(逆引き作成用!$C$2:$C$169,MATCH($B126&amp;"/"&amp;$C126,逆引き作成用!Z$2:Z$169,FALSE),1),"")</f>
        <v/>
      </c>
      <c r="AA126" s="17" t="str">
        <f>IFERROR(INDEX(逆引き作成用!$C$2:$C$169,MATCH($B126&amp;"/"&amp;$C126,逆引き作成用!AA$2:AA$169,FALSE),1),"")</f>
        <v/>
      </c>
      <c r="AB126" s="17" t="str">
        <f>IFERROR(INDEX(逆引き作成用!$C$2:$C$169,MATCH($B126&amp;"/"&amp;$C126,逆引き作成用!AB$2:AB$169,FALSE),1),"")</f>
        <v/>
      </c>
      <c r="AC126" s="17" t="str">
        <f>IFERROR(INDEX(逆引き作成用!$C$2:$C$169,MATCH($B126&amp;"/"&amp;$C126,逆引き作成用!AC$2:AC$169,FALSE),1),"")</f>
        <v/>
      </c>
      <c r="AD126" s="17" t="str">
        <f>IFERROR(INDEX(逆引き作成用!$C$2:$C$169,MATCH($B126&amp;"/"&amp;$C126,逆引き作成用!AD$2:AD$169,FALSE),1),"")</f>
        <v/>
      </c>
      <c r="AE126" s="17" t="str">
        <f>IFERROR(INDEX(逆引き作成用!$C$2:$C$169,MATCH($B126&amp;"/"&amp;$C126,逆引き作成用!AE$2:AE$169,FALSE),1),"")</f>
        <v/>
      </c>
      <c r="AF126" s="17" t="str">
        <f>IFERROR(INDEX(逆引き作成用!$C$2:$C$169,MATCH($B126&amp;"/"&amp;$C126,逆引き作成用!AF$2:AF$169,FALSE),1),"")</f>
        <v/>
      </c>
      <c r="AG126" s="17" t="str">
        <f>IFERROR(INDEX(逆引き作成用!$C$2:$C$169,MATCH($B126&amp;"/"&amp;$C126,逆引き作成用!AG$2:AG$169,FALSE),1),"")</f>
        <v/>
      </c>
      <c r="AH126" s="17" t="str">
        <f>IFERROR(INDEX(逆引き作成用!$C$2:$C$169,MATCH($B126&amp;"/"&amp;$C126,逆引き作成用!AH$2:AH$169,FALSE),1),"")</f>
        <v/>
      </c>
      <c r="AI126" s="17" t="str">
        <f>IFERROR(INDEX(逆引き作成用!$C$2:$C$169,MATCH($B126&amp;"/"&amp;$C126,逆引き作成用!AI$2:AI$169,FALSE),1),"")</f>
        <v/>
      </c>
      <c r="AJ126" s="17" t="str">
        <f>IFERROR(INDEX(逆引き作成用!$C$2:$C$169,MATCH($B126&amp;"/"&amp;$C126,逆引き作成用!AJ$2:AJ$169,FALSE),1),"")</f>
        <v/>
      </c>
      <c r="AK126" s="17" t="str">
        <f>IFERROR(INDEX(逆引き作成用!$C$2:$C$169,MATCH($B126&amp;"/"&amp;$C126,逆引き作成用!AK$2:AK$169,FALSE),1),"")</f>
        <v/>
      </c>
      <c r="AL126" s="17" t="str">
        <f>IFERROR(INDEX(逆引き作成用!$C$2:$C$169,MATCH($B126&amp;"/"&amp;$C126,逆引き作成用!AL$2:AL$169,FALSE),1),"")</f>
        <v/>
      </c>
      <c r="AM126" s="17" t="str">
        <f>IFERROR(INDEX(逆引き作成用!$C$2:$C$169,MATCH($B126&amp;"/"&amp;$C126,逆引き作成用!AM$2:AM$169,FALSE),1),"")</f>
        <v/>
      </c>
      <c r="AN126" s="17" t="str">
        <f>IFERROR(INDEX(逆引き作成用!$C$2:$C$169,MATCH($B126&amp;"/"&amp;$C126,逆引き作成用!AN$2:AN$169,FALSE),1),"")</f>
        <v/>
      </c>
      <c r="AO126" s="17" t="str">
        <f>IFERROR(INDEX(逆引き作成用!$C$2:$C$169,MATCH($B126&amp;"/"&amp;$C126,逆引き作成用!AO$2:AO$169,FALSE),1),"")</f>
        <v/>
      </c>
      <c r="AP126" s="17" t="str">
        <f>IFERROR(INDEX(逆引き作成用!$C$2:$C$169,MATCH($B126&amp;"/"&amp;$C126,逆引き作成用!AP$2:AP$169,FALSE),1),"")</f>
        <v/>
      </c>
      <c r="AQ126" s="17" t="str">
        <f>IFERROR(INDEX(逆引き作成用!$C$2:$C$169,MATCH($B126&amp;"/"&amp;$C126,逆引き作成用!AQ$2:AQ$169,FALSE),1),"")</f>
        <v/>
      </c>
      <c r="AR126" s="17" t="str">
        <f>IFERROR(INDEX(逆引き作成用!$C$2:$C$169,MATCH($B126&amp;"/"&amp;$C126,逆引き作成用!AR$2:AR$169,FALSE),1),"")</f>
        <v/>
      </c>
      <c r="AS126" s="17" t="str">
        <f>IFERROR(INDEX(逆引き作成用!$C$2:$C$169,MATCH($B126&amp;"/"&amp;$C126,逆引き作成用!AS$2:AS$169,FALSE),1),"")</f>
        <v/>
      </c>
      <c r="AT126" s="17" t="str">
        <f>IFERROR(INDEX(逆引き作成用!$C$2:$C$169,MATCH($B126&amp;"/"&amp;$C126,逆引き作成用!AT$2:AT$169,FALSE),1),"")</f>
        <v/>
      </c>
      <c r="AU126" s="17" t="str">
        <f>IFERROR(INDEX(逆引き作成用!$C$2:$C$169,MATCH($B126&amp;"/"&amp;$C126,逆引き作成用!AU$2:AU$169,FALSE),1),"")</f>
        <v/>
      </c>
      <c r="AV126" s="17" t="str">
        <f>IFERROR(INDEX(逆引き作成用!$C$2:$C$169,MATCH($B126&amp;"/"&amp;$C126,逆引き作成用!AV$2:AV$169,FALSE),1),"")</f>
        <v/>
      </c>
      <c r="AW126" s="17" t="str">
        <f>IFERROR(INDEX(逆引き作成用!$C$2:$C$169,MATCH($B126&amp;"/"&amp;$C126,逆引き作成用!AW$2:AW$169,FALSE),1),"")</f>
        <v/>
      </c>
      <c r="AX126" s="17" t="str">
        <f>IFERROR(INDEX(逆引き作成用!$C$2:$C$169,MATCH($B126&amp;"/"&amp;$C126,逆引き作成用!AX$2:AX$169,FALSE),1),"")</f>
        <v/>
      </c>
      <c r="AY126" s="17" t="str">
        <f>IFERROR(INDEX(逆引き作成用!$C$2:$C$169,MATCH($B126&amp;"/"&amp;$C126,逆引き作成用!AY$2:AY$169,FALSE),1),"")</f>
        <v/>
      </c>
      <c r="AZ126" s="17" t="str">
        <f>IFERROR(INDEX(逆引き作成用!$C$2:$C$169,MATCH($B126&amp;"/"&amp;$C126,逆引き作成用!AZ$2:AZ$169,FALSE),1),"")</f>
        <v/>
      </c>
      <c r="BA126" s="17" t="str">
        <f>IFERROR(INDEX(逆引き作成用!$C$2:$C$169,MATCH($B126&amp;"/"&amp;$C126,逆引き作成用!BA$2:BA$169,FALSE),1),"")</f>
        <v/>
      </c>
    </row>
    <row r="127" spans="1:53">
      <c r="A127" s="17" t="str">
        <f>IFERROR(INDEX(役職一覧!$B$2:$B$31,MATCH(B127,役職一覧!$C$2:$C$31,FALSE),1),"")</f>
        <v/>
      </c>
      <c r="B127" s="17" t="str">
        <f>IFERROR(IF(C127=1,INDEX(役職一覧!$C$2:$C$31,MATCH(逆引き!B126,役職一覧!$C$2:$C$31,FALSE)+1,1)&amp;"",B126),"")</f>
        <v/>
      </c>
      <c r="C127" s="17" t="str">
        <f>IFERROR(IF(VLOOKUP(B126,役職一覧!$C$2:$E$31,3,FALSE)=C126,1,C126+1),"")</f>
        <v/>
      </c>
      <c r="D127" s="17" t="str">
        <f>IFERROR(INDEX(逆引き作成用!$C$2:$C$169,MATCH($B127&amp;"/"&amp;$C127,逆引き作成用!D$2:D$169,FALSE),1),"")</f>
        <v/>
      </c>
      <c r="E127" s="17" t="str">
        <f>IFERROR(INDEX(逆引き作成用!$C$2:$C$169,MATCH($B127&amp;"/"&amp;$C127,逆引き作成用!E$2:E$169,FALSE),1),"")</f>
        <v/>
      </c>
      <c r="F127" s="17" t="str">
        <f>IFERROR(INDEX(逆引き作成用!$C$2:$C$169,MATCH($B127&amp;"/"&amp;$C127,逆引き作成用!F$2:F$169,FALSE),1),"")</f>
        <v/>
      </c>
      <c r="G127" s="17" t="str">
        <f>IFERROR(INDEX(逆引き作成用!$C$2:$C$169,MATCH($B127&amp;"/"&amp;$C127,逆引き作成用!G$2:G$169,FALSE),1),"")</f>
        <v/>
      </c>
      <c r="H127" s="17" t="str">
        <f>IFERROR(INDEX(逆引き作成用!$C$2:$C$169,MATCH($B127&amp;"/"&amp;$C127,逆引き作成用!H$2:H$169,FALSE),1),"")</f>
        <v/>
      </c>
      <c r="I127" s="17" t="str">
        <f>IFERROR(INDEX(逆引き作成用!$C$2:$C$169,MATCH($B127&amp;"/"&amp;$C127,逆引き作成用!I$2:I$169,FALSE),1),"")</f>
        <v/>
      </c>
      <c r="J127" s="17" t="str">
        <f>IFERROR(INDEX(逆引き作成用!$C$2:$C$169,MATCH($B127&amp;"/"&amp;$C127,逆引き作成用!J$2:J$169,FALSE),1),"")</f>
        <v/>
      </c>
      <c r="K127" s="17" t="str">
        <f>IFERROR(INDEX(逆引き作成用!$C$2:$C$169,MATCH($B127&amp;"/"&amp;$C127,逆引き作成用!K$2:K$169,FALSE),1),"")</f>
        <v/>
      </c>
      <c r="L127" s="17" t="str">
        <f>IFERROR(INDEX(逆引き作成用!$C$2:$C$169,MATCH($B127&amp;"/"&amp;$C127,逆引き作成用!L$2:L$169,FALSE),1),"")</f>
        <v/>
      </c>
      <c r="M127" s="17" t="str">
        <f>IFERROR(INDEX(逆引き作成用!$C$2:$C$169,MATCH($B127&amp;"/"&amp;$C127,逆引き作成用!M$2:M$169,FALSE),1),"")</f>
        <v/>
      </c>
      <c r="N127" s="17" t="str">
        <f>IFERROR(INDEX(逆引き作成用!$C$2:$C$169,MATCH($B127&amp;"/"&amp;$C127,逆引き作成用!N$2:N$169,FALSE),1),"")</f>
        <v/>
      </c>
      <c r="O127" s="17" t="str">
        <f>IFERROR(INDEX(逆引き作成用!$C$2:$C$169,MATCH($B127&amp;"/"&amp;$C127,逆引き作成用!O$2:O$169,FALSE),1),"")</f>
        <v/>
      </c>
      <c r="P127" s="17" t="str">
        <f>IFERROR(INDEX(逆引き作成用!$C$2:$C$169,MATCH($B127&amp;"/"&amp;$C127,逆引き作成用!P$2:P$169,FALSE),1),"")</f>
        <v/>
      </c>
      <c r="Q127" s="17" t="str">
        <f>IFERROR(INDEX(逆引き作成用!$C$2:$C$169,MATCH($B127&amp;"/"&amp;$C127,逆引き作成用!Q$2:Q$169,FALSE),1),"")</f>
        <v/>
      </c>
      <c r="R127" s="17" t="str">
        <f>IFERROR(INDEX(逆引き作成用!$C$2:$C$169,MATCH($B127&amp;"/"&amp;$C127,逆引き作成用!R$2:R$169,FALSE),1),"")</f>
        <v/>
      </c>
      <c r="S127" s="17" t="str">
        <f>IFERROR(INDEX(逆引き作成用!$C$2:$C$169,MATCH($B127&amp;"/"&amp;$C127,逆引き作成用!S$2:S$169,FALSE),1),"")</f>
        <v/>
      </c>
      <c r="T127" s="17" t="str">
        <f>IFERROR(INDEX(逆引き作成用!$C$2:$C$169,MATCH($B127&amp;"/"&amp;$C127,逆引き作成用!T$2:T$169,FALSE),1),"")</f>
        <v/>
      </c>
      <c r="U127" s="17" t="str">
        <f>IFERROR(INDEX(逆引き作成用!$C$2:$C$169,MATCH($B127&amp;"/"&amp;$C127,逆引き作成用!U$2:U$169,FALSE),1),"")</f>
        <v/>
      </c>
      <c r="V127" s="17" t="str">
        <f>IFERROR(INDEX(逆引き作成用!$C$2:$C$169,MATCH($B127&amp;"/"&amp;$C127,逆引き作成用!V$2:V$169,FALSE),1),"")</f>
        <v/>
      </c>
      <c r="W127" s="17" t="str">
        <f>IFERROR(INDEX(逆引き作成用!$C$2:$C$169,MATCH($B127&amp;"/"&amp;$C127,逆引き作成用!W$2:W$169,FALSE),1),"")</f>
        <v/>
      </c>
      <c r="X127" s="17" t="str">
        <f>IFERROR(INDEX(逆引き作成用!$C$2:$C$169,MATCH($B127&amp;"/"&amp;$C127,逆引き作成用!X$2:X$169,FALSE),1),"")</f>
        <v/>
      </c>
      <c r="Y127" s="17" t="str">
        <f>IFERROR(INDEX(逆引き作成用!$C$2:$C$169,MATCH($B127&amp;"/"&amp;$C127,逆引き作成用!Y$2:Y$169,FALSE),1),"")</f>
        <v/>
      </c>
      <c r="Z127" s="17" t="str">
        <f>IFERROR(INDEX(逆引き作成用!$C$2:$C$169,MATCH($B127&amp;"/"&amp;$C127,逆引き作成用!Z$2:Z$169,FALSE),1),"")</f>
        <v/>
      </c>
      <c r="AA127" s="17" t="str">
        <f>IFERROR(INDEX(逆引き作成用!$C$2:$C$169,MATCH($B127&amp;"/"&amp;$C127,逆引き作成用!AA$2:AA$169,FALSE),1),"")</f>
        <v/>
      </c>
      <c r="AB127" s="17" t="str">
        <f>IFERROR(INDEX(逆引き作成用!$C$2:$C$169,MATCH($B127&amp;"/"&amp;$C127,逆引き作成用!AB$2:AB$169,FALSE),1),"")</f>
        <v/>
      </c>
      <c r="AC127" s="17" t="str">
        <f>IFERROR(INDEX(逆引き作成用!$C$2:$C$169,MATCH($B127&amp;"/"&amp;$C127,逆引き作成用!AC$2:AC$169,FALSE),1),"")</f>
        <v/>
      </c>
      <c r="AD127" s="17" t="str">
        <f>IFERROR(INDEX(逆引き作成用!$C$2:$C$169,MATCH($B127&amp;"/"&amp;$C127,逆引き作成用!AD$2:AD$169,FALSE),1),"")</f>
        <v/>
      </c>
      <c r="AE127" s="17" t="str">
        <f>IFERROR(INDEX(逆引き作成用!$C$2:$C$169,MATCH($B127&amp;"/"&amp;$C127,逆引き作成用!AE$2:AE$169,FALSE),1),"")</f>
        <v/>
      </c>
      <c r="AF127" s="17" t="str">
        <f>IFERROR(INDEX(逆引き作成用!$C$2:$C$169,MATCH($B127&amp;"/"&amp;$C127,逆引き作成用!AF$2:AF$169,FALSE),1),"")</f>
        <v/>
      </c>
      <c r="AG127" s="17" t="str">
        <f>IFERROR(INDEX(逆引き作成用!$C$2:$C$169,MATCH($B127&amp;"/"&amp;$C127,逆引き作成用!AG$2:AG$169,FALSE),1),"")</f>
        <v/>
      </c>
      <c r="AH127" s="17" t="str">
        <f>IFERROR(INDEX(逆引き作成用!$C$2:$C$169,MATCH($B127&amp;"/"&amp;$C127,逆引き作成用!AH$2:AH$169,FALSE),1),"")</f>
        <v/>
      </c>
      <c r="AI127" s="17" t="str">
        <f>IFERROR(INDEX(逆引き作成用!$C$2:$C$169,MATCH($B127&amp;"/"&amp;$C127,逆引き作成用!AI$2:AI$169,FALSE),1),"")</f>
        <v/>
      </c>
      <c r="AJ127" s="17" t="str">
        <f>IFERROR(INDEX(逆引き作成用!$C$2:$C$169,MATCH($B127&amp;"/"&amp;$C127,逆引き作成用!AJ$2:AJ$169,FALSE),1),"")</f>
        <v/>
      </c>
      <c r="AK127" s="17" t="str">
        <f>IFERROR(INDEX(逆引き作成用!$C$2:$C$169,MATCH($B127&amp;"/"&amp;$C127,逆引き作成用!AK$2:AK$169,FALSE),1),"")</f>
        <v/>
      </c>
      <c r="AL127" s="17" t="str">
        <f>IFERROR(INDEX(逆引き作成用!$C$2:$C$169,MATCH($B127&amp;"/"&amp;$C127,逆引き作成用!AL$2:AL$169,FALSE),1),"")</f>
        <v/>
      </c>
      <c r="AM127" s="17" t="str">
        <f>IFERROR(INDEX(逆引き作成用!$C$2:$C$169,MATCH($B127&amp;"/"&amp;$C127,逆引き作成用!AM$2:AM$169,FALSE),1),"")</f>
        <v/>
      </c>
      <c r="AN127" s="17" t="str">
        <f>IFERROR(INDEX(逆引き作成用!$C$2:$C$169,MATCH($B127&amp;"/"&amp;$C127,逆引き作成用!AN$2:AN$169,FALSE),1),"")</f>
        <v/>
      </c>
      <c r="AO127" s="17" t="str">
        <f>IFERROR(INDEX(逆引き作成用!$C$2:$C$169,MATCH($B127&amp;"/"&amp;$C127,逆引き作成用!AO$2:AO$169,FALSE),1),"")</f>
        <v/>
      </c>
      <c r="AP127" s="17" t="str">
        <f>IFERROR(INDEX(逆引き作成用!$C$2:$C$169,MATCH($B127&amp;"/"&amp;$C127,逆引き作成用!AP$2:AP$169,FALSE),1),"")</f>
        <v/>
      </c>
      <c r="AQ127" s="17" t="str">
        <f>IFERROR(INDEX(逆引き作成用!$C$2:$C$169,MATCH($B127&amp;"/"&amp;$C127,逆引き作成用!AQ$2:AQ$169,FALSE),1),"")</f>
        <v/>
      </c>
      <c r="AR127" s="17" t="str">
        <f>IFERROR(INDEX(逆引き作成用!$C$2:$C$169,MATCH($B127&amp;"/"&amp;$C127,逆引き作成用!AR$2:AR$169,FALSE),1),"")</f>
        <v/>
      </c>
      <c r="AS127" s="17" t="str">
        <f>IFERROR(INDEX(逆引き作成用!$C$2:$C$169,MATCH($B127&amp;"/"&amp;$C127,逆引き作成用!AS$2:AS$169,FALSE),1),"")</f>
        <v/>
      </c>
      <c r="AT127" s="17" t="str">
        <f>IFERROR(INDEX(逆引き作成用!$C$2:$C$169,MATCH($B127&amp;"/"&amp;$C127,逆引き作成用!AT$2:AT$169,FALSE),1),"")</f>
        <v/>
      </c>
      <c r="AU127" s="17" t="str">
        <f>IFERROR(INDEX(逆引き作成用!$C$2:$C$169,MATCH($B127&amp;"/"&amp;$C127,逆引き作成用!AU$2:AU$169,FALSE),1),"")</f>
        <v/>
      </c>
      <c r="AV127" s="17" t="str">
        <f>IFERROR(INDEX(逆引き作成用!$C$2:$C$169,MATCH($B127&amp;"/"&amp;$C127,逆引き作成用!AV$2:AV$169,FALSE),1),"")</f>
        <v/>
      </c>
      <c r="AW127" s="17" t="str">
        <f>IFERROR(INDEX(逆引き作成用!$C$2:$C$169,MATCH($B127&amp;"/"&amp;$C127,逆引き作成用!AW$2:AW$169,FALSE),1),"")</f>
        <v/>
      </c>
      <c r="AX127" s="17" t="str">
        <f>IFERROR(INDEX(逆引き作成用!$C$2:$C$169,MATCH($B127&amp;"/"&amp;$C127,逆引き作成用!AX$2:AX$169,FALSE),1),"")</f>
        <v/>
      </c>
      <c r="AY127" s="17" t="str">
        <f>IFERROR(INDEX(逆引き作成用!$C$2:$C$169,MATCH($B127&amp;"/"&amp;$C127,逆引き作成用!AY$2:AY$169,FALSE),1),"")</f>
        <v/>
      </c>
      <c r="AZ127" s="17" t="str">
        <f>IFERROR(INDEX(逆引き作成用!$C$2:$C$169,MATCH($B127&amp;"/"&amp;$C127,逆引き作成用!AZ$2:AZ$169,FALSE),1),"")</f>
        <v/>
      </c>
      <c r="BA127" s="17" t="str">
        <f>IFERROR(INDEX(逆引き作成用!$C$2:$C$169,MATCH($B127&amp;"/"&amp;$C127,逆引き作成用!BA$2:BA$169,FALSE),1),"")</f>
        <v/>
      </c>
    </row>
    <row r="128" spans="1:53">
      <c r="A128" s="17" t="str">
        <f>IFERROR(INDEX(役職一覧!$B$2:$B$31,MATCH(B128,役職一覧!$C$2:$C$31,FALSE),1),"")</f>
        <v/>
      </c>
      <c r="B128" s="17" t="str">
        <f>IFERROR(IF(C128=1,INDEX(役職一覧!$C$2:$C$31,MATCH(逆引き!B127,役職一覧!$C$2:$C$31,FALSE)+1,1)&amp;"",B127),"")</f>
        <v/>
      </c>
      <c r="C128" s="17" t="str">
        <f>IFERROR(IF(VLOOKUP(B127,役職一覧!$C$2:$E$31,3,FALSE)=C127,1,C127+1),"")</f>
        <v/>
      </c>
      <c r="D128" s="17" t="str">
        <f>IFERROR(INDEX(逆引き作成用!$C$2:$C$169,MATCH($B128&amp;"/"&amp;$C128,逆引き作成用!D$2:D$169,FALSE),1),"")</f>
        <v/>
      </c>
      <c r="E128" s="17" t="str">
        <f>IFERROR(INDEX(逆引き作成用!$C$2:$C$169,MATCH($B128&amp;"/"&amp;$C128,逆引き作成用!E$2:E$169,FALSE),1),"")</f>
        <v/>
      </c>
      <c r="F128" s="17" t="str">
        <f>IFERROR(INDEX(逆引き作成用!$C$2:$C$169,MATCH($B128&amp;"/"&amp;$C128,逆引き作成用!F$2:F$169,FALSE),1),"")</f>
        <v/>
      </c>
      <c r="G128" s="17" t="str">
        <f>IFERROR(INDEX(逆引き作成用!$C$2:$C$169,MATCH($B128&amp;"/"&amp;$C128,逆引き作成用!G$2:G$169,FALSE),1),"")</f>
        <v/>
      </c>
      <c r="H128" s="17" t="str">
        <f>IFERROR(INDEX(逆引き作成用!$C$2:$C$169,MATCH($B128&amp;"/"&amp;$C128,逆引き作成用!H$2:H$169,FALSE),1),"")</f>
        <v/>
      </c>
      <c r="I128" s="17" t="str">
        <f>IFERROR(INDEX(逆引き作成用!$C$2:$C$169,MATCH($B128&amp;"/"&amp;$C128,逆引き作成用!I$2:I$169,FALSE),1),"")</f>
        <v/>
      </c>
      <c r="J128" s="17" t="str">
        <f>IFERROR(INDEX(逆引き作成用!$C$2:$C$169,MATCH($B128&amp;"/"&amp;$C128,逆引き作成用!J$2:J$169,FALSE),1),"")</f>
        <v/>
      </c>
      <c r="K128" s="17" t="str">
        <f>IFERROR(INDEX(逆引き作成用!$C$2:$C$169,MATCH($B128&amp;"/"&amp;$C128,逆引き作成用!K$2:K$169,FALSE),1),"")</f>
        <v/>
      </c>
      <c r="L128" s="17" t="str">
        <f>IFERROR(INDEX(逆引き作成用!$C$2:$C$169,MATCH($B128&amp;"/"&amp;$C128,逆引き作成用!L$2:L$169,FALSE),1),"")</f>
        <v/>
      </c>
      <c r="M128" s="17" t="str">
        <f>IFERROR(INDEX(逆引き作成用!$C$2:$C$169,MATCH($B128&amp;"/"&amp;$C128,逆引き作成用!M$2:M$169,FALSE),1),"")</f>
        <v/>
      </c>
      <c r="N128" s="17" t="str">
        <f>IFERROR(INDEX(逆引き作成用!$C$2:$C$169,MATCH($B128&amp;"/"&amp;$C128,逆引き作成用!N$2:N$169,FALSE),1),"")</f>
        <v/>
      </c>
      <c r="O128" s="17" t="str">
        <f>IFERROR(INDEX(逆引き作成用!$C$2:$C$169,MATCH($B128&amp;"/"&amp;$C128,逆引き作成用!O$2:O$169,FALSE),1),"")</f>
        <v/>
      </c>
      <c r="P128" s="17" t="str">
        <f>IFERROR(INDEX(逆引き作成用!$C$2:$C$169,MATCH($B128&amp;"/"&amp;$C128,逆引き作成用!P$2:P$169,FALSE),1),"")</f>
        <v/>
      </c>
      <c r="Q128" s="17" t="str">
        <f>IFERROR(INDEX(逆引き作成用!$C$2:$C$169,MATCH($B128&amp;"/"&amp;$C128,逆引き作成用!Q$2:Q$169,FALSE),1),"")</f>
        <v/>
      </c>
      <c r="R128" s="17" t="str">
        <f>IFERROR(INDEX(逆引き作成用!$C$2:$C$169,MATCH($B128&amp;"/"&amp;$C128,逆引き作成用!R$2:R$169,FALSE),1),"")</f>
        <v/>
      </c>
      <c r="S128" s="17" t="str">
        <f>IFERROR(INDEX(逆引き作成用!$C$2:$C$169,MATCH($B128&amp;"/"&amp;$C128,逆引き作成用!S$2:S$169,FALSE),1),"")</f>
        <v/>
      </c>
      <c r="T128" s="17" t="str">
        <f>IFERROR(INDEX(逆引き作成用!$C$2:$C$169,MATCH($B128&amp;"/"&amp;$C128,逆引き作成用!T$2:T$169,FALSE),1),"")</f>
        <v/>
      </c>
      <c r="U128" s="17" t="str">
        <f>IFERROR(INDEX(逆引き作成用!$C$2:$C$169,MATCH($B128&amp;"/"&amp;$C128,逆引き作成用!U$2:U$169,FALSE),1),"")</f>
        <v/>
      </c>
      <c r="V128" s="17" t="str">
        <f>IFERROR(INDEX(逆引き作成用!$C$2:$C$169,MATCH($B128&amp;"/"&amp;$C128,逆引き作成用!V$2:V$169,FALSE),1),"")</f>
        <v/>
      </c>
      <c r="W128" s="17" t="str">
        <f>IFERROR(INDEX(逆引き作成用!$C$2:$C$169,MATCH($B128&amp;"/"&amp;$C128,逆引き作成用!W$2:W$169,FALSE),1),"")</f>
        <v/>
      </c>
      <c r="X128" s="17" t="str">
        <f>IFERROR(INDEX(逆引き作成用!$C$2:$C$169,MATCH($B128&amp;"/"&amp;$C128,逆引き作成用!X$2:X$169,FALSE),1),"")</f>
        <v/>
      </c>
      <c r="Y128" s="17" t="str">
        <f>IFERROR(INDEX(逆引き作成用!$C$2:$C$169,MATCH($B128&amp;"/"&amp;$C128,逆引き作成用!Y$2:Y$169,FALSE),1),"")</f>
        <v/>
      </c>
      <c r="Z128" s="17" t="str">
        <f>IFERROR(INDEX(逆引き作成用!$C$2:$C$169,MATCH($B128&amp;"/"&amp;$C128,逆引き作成用!Z$2:Z$169,FALSE),1),"")</f>
        <v/>
      </c>
      <c r="AA128" s="17" t="str">
        <f>IFERROR(INDEX(逆引き作成用!$C$2:$C$169,MATCH($B128&amp;"/"&amp;$C128,逆引き作成用!AA$2:AA$169,FALSE),1),"")</f>
        <v/>
      </c>
      <c r="AB128" s="17" t="str">
        <f>IFERROR(INDEX(逆引き作成用!$C$2:$C$169,MATCH($B128&amp;"/"&amp;$C128,逆引き作成用!AB$2:AB$169,FALSE),1),"")</f>
        <v/>
      </c>
      <c r="AC128" s="17" t="str">
        <f>IFERROR(INDEX(逆引き作成用!$C$2:$C$169,MATCH($B128&amp;"/"&amp;$C128,逆引き作成用!AC$2:AC$169,FALSE),1),"")</f>
        <v/>
      </c>
      <c r="AD128" s="17" t="str">
        <f>IFERROR(INDEX(逆引き作成用!$C$2:$C$169,MATCH($B128&amp;"/"&amp;$C128,逆引き作成用!AD$2:AD$169,FALSE),1),"")</f>
        <v/>
      </c>
      <c r="AE128" s="17" t="str">
        <f>IFERROR(INDEX(逆引き作成用!$C$2:$C$169,MATCH($B128&amp;"/"&amp;$C128,逆引き作成用!AE$2:AE$169,FALSE),1),"")</f>
        <v/>
      </c>
      <c r="AF128" s="17" t="str">
        <f>IFERROR(INDEX(逆引き作成用!$C$2:$C$169,MATCH($B128&amp;"/"&amp;$C128,逆引き作成用!AF$2:AF$169,FALSE),1),"")</f>
        <v/>
      </c>
      <c r="AG128" s="17" t="str">
        <f>IFERROR(INDEX(逆引き作成用!$C$2:$C$169,MATCH($B128&amp;"/"&amp;$C128,逆引き作成用!AG$2:AG$169,FALSE),1),"")</f>
        <v/>
      </c>
      <c r="AH128" s="17" t="str">
        <f>IFERROR(INDEX(逆引き作成用!$C$2:$C$169,MATCH($B128&amp;"/"&amp;$C128,逆引き作成用!AH$2:AH$169,FALSE),1),"")</f>
        <v/>
      </c>
      <c r="AI128" s="17" t="str">
        <f>IFERROR(INDEX(逆引き作成用!$C$2:$C$169,MATCH($B128&amp;"/"&amp;$C128,逆引き作成用!AI$2:AI$169,FALSE),1),"")</f>
        <v/>
      </c>
      <c r="AJ128" s="17" t="str">
        <f>IFERROR(INDEX(逆引き作成用!$C$2:$C$169,MATCH($B128&amp;"/"&amp;$C128,逆引き作成用!AJ$2:AJ$169,FALSE),1),"")</f>
        <v/>
      </c>
      <c r="AK128" s="17" t="str">
        <f>IFERROR(INDEX(逆引き作成用!$C$2:$C$169,MATCH($B128&amp;"/"&amp;$C128,逆引き作成用!AK$2:AK$169,FALSE),1),"")</f>
        <v/>
      </c>
      <c r="AL128" s="17" t="str">
        <f>IFERROR(INDEX(逆引き作成用!$C$2:$C$169,MATCH($B128&amp;"/"&amp;$C128,逆引き作成用!AL$2:AL$169,FALSE),1),"")</f>
        <v/>
      </c>
      <c r="AM128" s="17" t="str">
        <f>IFERROR(INDEX(逆引き作成用!$C$2:$C$169,MATCH($B128&amp;"/"&amp;$C128,逆引き作成用!AM$2:AM$169,FALSE),1),"")</f>
        <v/>
      </c>
      <c r="AN128" s="17" t="str">
        <f>IFERROR(INDEX(逆引き作成用!$C$2:$C$169,MATCH($B128&amp;"/"&amp;$C128,逆引き作成用!AN$2:AN$169,FALSE),1),"")</f>
        <v/>
      </c>
      <c r="AO128" s="17" t="str">
        <f>IFERROR(INDEX(逆引き作成用!$C$2:$C$169,MATCH($B128&amp;"/"&amp;$C128,逆引き作成用!AO$2:AO$169,FALSE),1),"")</f>
        <v/>
      </c>
      <c r="AP128" s="17" t="str">
        <f>IFERROR(INDEX(逆引き作成用!$C$2:$C$169,MATCH($B128&amp;"/"&amp;$C128,逆引き作成用!AP$2:AP$169,FALSE),1),"")</f>
        <v/>
      </c>
      <c r="AQ128" s="17" t="str">
        <f>IFERROR(INDEX(逆引き作成用!$C$2:$C$169,MATCH($B128&amp;"/"&amp;$C128,逆引き作成用!AQ$2:AQ$169,FALSE),1),"")</f>
        <v/>
      </c>
      <c r="AR128" s="17" t="str">
        <f>IFERROR(INDEX(逆引き作成用!$C$2:$C$169,MATCH($B128&amp;"/"&amp;$C128,逆引き作成用!AR$2:AR$169,FALSE),1),"")</f>
        <v/>
      </c>
      <c r="AS128" s="17" t="str">
        <f>IFERROR(INDEX(逆引き作成用!$C$2:$C$169,MATCH($B128&amp;"/"&amp;$C128,逆引き作成用!AS$2:AS$169,FALSE),1),"")</f>
        <v/>
      </c>
      <c r="AT128" s="17" t="str">
        <f>IFERROR(INDEX(逆引き作成用!$C$2:$C$169,MATCH($B128&amp;"/"&amp;$C128,逆引き作成用!AT$2:AT$169,FALSE),1),"")</f>
        <v/>
      </c>
      <c r="AU128" s="17" t="str">
        <f>IFERROR(INDEX(逆引き作成用!$C$2:$C$169,MATCH($B128&amp;"/"&amp;$C128,逆引き作成用!AU$2:AU$169,FALSE),1),"")</f>
        <v/>
      </c>
      <c r="AV128" s="17" t="str">
        <f>IFERROR(INDEX(逆引き作成用!$C$2:$C$169,MATCH($B128&amp;"/"&amp;$C128,逆引き作成用!AV$2:AV$169,FALSE),1),"")</f>
        <v/>
      </c>
      <c r="AW128" s="17" t="str">
        <f>IFERROR(INDEX(逆引き作成用!$C$2:$C$169,MATCH($B128&amp;"/"&amp;$C128,逆引き作成用!AW$2:AW$169,FALSE),1),"")</f>
        <v/>
      </c>
      <c r="AX128" s="17" t="str">
        <f>IFERROR(INDEX(逆引き作成用!$C$2:$C$169,MATCH($B128&amp;"/"&amp;$C128,逆引き作成用!AX$2:AX$169,FALSE),1),"")</f>
        <v/>
      </c>
      <c r="AY128" s="17" t="str">
        <f>IFERROR(INDEX(逆引き作成用!$C$2:$C$169,MATCH($B128&amp;"/"&amp;$C128,逆引き作成用!AY$2:AY$169,FALSE),1),"")</f>
        <v/>
      </c>
      <c r="AZ128" s="17" t="str">
        <f>IFERROR(INDEX(逆引き作成用!$C$2:$C$169,MATCH($B128&amp;"/"&amp;$C128,逆引き作成用!AZ$2:AZ$169,FALSE),1),"")</f>
        <v/>
      </c>
      <c r="BA128" s="17" t="str">
        <f>IFERROR(INDEX(逆引き作成用!$C$2:$C$169,MATCH($B128&amp;"/"&amp;$C128,逆引き作成用!BA$2:BA$169,FALSE),1),"")</f>
        <v/>
      </c>
    </row>
    <row r="129" spans="1:53">
      <c r="A129" s="17" t="str">
        <f>IFERROR(INDEX(役職一覧!$B$2:$B$31,MATCH(B129,役職一覧!$C$2:$C$31,FALSE),1),"")</f>
        <v/>
      </c>
      <c r="B129" s="17" t="str">
        <f>IFERROR(IF(C129=1,INDEX(役職一覧!$C$2:$C$31,MATCH(逆引き!B128,役職一覧!$C$2:$C$31,FALSE)+1,1)&amp;"",B128),"")</f>
        <v/>
      </c>
      <c r="C129" s="17" t="str">
        <f>IFERROR(IF(VLOOKUP(B128,役職一覧!$C$2:$E$31,3,FALSE)=C128,1,C128+1),"")</f>
        <v/>
      </c>
      <c r="D129" s="17" t="str">
        <f>IFERROR(INDEX(逆引き作成用!$C$2:$C$169,MATCH($B129&amp;"/"&amp;$C129,逆引き作成用!D$2:D$169,FALSE),1),"")</f>
        <v/>
      </c>
      <c r="E129" s="17" t="str">
        <f>IFERROR(INDEX(逆引き作成用!$C$2:$C$169,MATCH($B129&amp;"/"&amp;$C129,逆引き作成用!E$2:E$169,FALSE),1),"")</f>
        <v/>
      </c>
      <c r="F129" s="17" t="str">
        <f>IFERROR(INDEX(逆引き作成用!$C$2:$C$169,MATCH($B129&amp;"/"&amp;$C129,逆引き作成用!F$2:F$169,FALSE),1),"")</f>
        <v/>
      </c>
      <c r="G129" s="17" t="str">
        <f>IFERROR(INDEX(逆引き作成用!$C$2:$C$169,MATCH($B129&amp;"/"&amp;$C129,逆引き作成用!G$2:G$169,FALSE),1),"")</f>
        <v/>
      </c>
      <c r="H129" s="17" t="str">
        <f>IFERROR(INDEX(逆引き作成用!$C$2:$C$169,MATCH($B129&amp;"/"&amp;$C129,逆引き作成用!H$2:H$169,FALSE),1),"")</f>
        <v/>
      </c>
      <c r="I129" s="17" t="str">
        <f>IFERROR(INDEX(逆引き作成用!$C$2:$C$169,MATCH($B129&amp;"/"&amp;$C129,逆引き作成用!I$2:I$169,FALSE),1),"")</f>
        <v/>
      </c>
      <c r="J129" s="17" t="str">
        <f>IFERROR(INDEX(逆引き作成用!$C$2:$C$169,MATCH($B129&amp;"/"&amp;$C129,逆引き作成用!J$2:J$169,FALSE),1),"")</f>
        <v/>
      </c>
      <c r="K129" s="17" t="str">
        <f>IFERROR(INDEX(逆引き作成用!$C$2:$C$169,MATCH($B129&amp;"/"&amp;$C129,逆引き作成用!K$2:K$169,FALSE),1),"")</f>
        <v/>
      </c>
      <c r="L129" s="17" t="str">
        <f>IFERROR(INDEX(逆引き作成用!$C$2:$C$169,MATCH($B129&amp;"/"&amp;$C129,逆引き作成用!L$2:L$169,FALSE),1),"")</f>
        <v/>
      </c>
      <c r="M129" s="17" t="str">
        <f>IFERROR(INDEX(逆引き作成用!$C$2:$C$169,MATCH($B129&amp;"/"&amp;$C129,逆引き作成用!M$2:M$169,FALSE),1),"")</f>
        <v/>
      </c>
      <c r="N129" s="17" t="str">
        <f>IFERROR(INDEX(逆引き作成用!$C$2:$C$169,MATCH($B129&amp;"/"&amp;$C129,逆引き作成用!N$2:N$169,FALSE),1),"")</f>
        <v/>
      </c>
      <c r="O129" s="17" t="str">
        <f>IFERROR(INDEX(逆引き作成用!$C$2:$C$169,MATCH($B129&amp;"/"&amp;$C129,逆引き作成用!O$2:O$169,FALSE),1),"")</f>
        <v/>
      </c>
      <c r="P129" s="17" t="str">
        <f>IFERROR(INDEX(逆引き作成用!$C$2:$C$169,MATCH($B129&amp;"/"&amp;$C129,逆引き作成用!P$2:P$169,FALSE),1),"")</f>
        <v/>
      </c>
      <c r="Q129" s="17" t="str">
        <f>IFERROR(INDEX(逆引き作成用!$C$2:$C$169,MATCH($B129&amp;"/"&amp;$C129,逆引き作成用!Q$2:Q$169,FALSE),1),"")</f>
        <v/>
      </c>
      <c r="R129" s="17" t="str">
        <f>IFERROR(INDEX(逆引き作成用!$C$2:$C$169,MATCH($B129&amp;"/"&amp;$C129,逆引き作成用!R$2:R$169,FALSE),1),"")</f>
        <v/>
      </c>
      <c r="S129" s="17" t="str">
        <f>IFERROR(INDEX(逆引き作成用!$C$2:$C$169,MATCH($B129&amp;"/"&amp;$C129,逆引き作成用!S$2:S$169,FALSE),1),"")</f>
        <v/>
      </c>
      <c r="T129" s="17" t="str">
        <f>IFERROR(INDEX(逆引き作成用!$C$2:$C$169,MATCH($B129&amp;"/"&amp;$C129,逆引き作成用!T$2:T$169,FALSE),1),"")</f>
        <v/>
      </c>
      <c r="U129" s="17" t="str">
        <f>IFERROR(INDEX(逆引き作成用!$C$2:$C$169,MATCH($B129&amp;"/"&amp;$C129,逆引き作成用!U$2:U$169,FALSE),1),"")</f>
        <v/>
      </c>
      <c r="V129" s="17" t="str">
        <f>IFERROR(INDEX(逆引き作成用!$C$2:$C$169,MATCH($B129&amp;"/"&amp;$C129,逆引き作成用!V$2:V$169,FALSE),1),"")</f>
        <v/>
      </c>
      <c r="W129" s="17" t="str">
        <f>IFERROR(INDEX(逆引き作成用!$C$2:$C$169,MATCH($B129&amp;"/"&amp;$C129,逆引き作成用!W$2:W$169,FALSE),1),"")</f>
        <v/>
      </c>
      <c r="X129" s="17" t="str">
        <f>IFERROR(INDEX(逆引き作成用!$C$2:$C$169,MATCH($B129&amp;"/"&amp;$C129,逆引き作成用!X$2:X$169,FALSE),1),"")</f>
        <v/>
      </c>
      <c r="Y129" s="17" t="str">
        <f>IFERROR(INDEX(逆引き作成用!$C$2:$C$169,MATCH($B129&amp;"/"&amp;$C129,逆引き作成用!Y$2:Y$169,FALSE),1),"")</f>
        <v/>
      </c>
      <c r="Z129" s="17" t="str">
        <f>IFERROR(INDEX(逆引き作成用!$C$2:$C$169,MATCH($B129&amp;"/"&amp;$C129,逆引き作成用!Z$2:Z$169,FALSE),1),"")</f>
        <v/>
      </c>
      <c r="AA129" s="17" t="str">
        <f>IFERROR(INDEX(逆引き作成用!$C$2:$C$169,MATCH($B129&amp;"/"&amp;$C129,逆引き作成用!AA$2:AA$169,FALSE),1),"")</f>
        <v/>
      </c>
      <c r="AB129" s="17" t="str">
        <f>IFERROR(INDEX(逆引き作成用!$C$2:$C$169,MATCH($B129&amp;"/"&amp;$C129,逆引き作成用!AB$2:AB$169,FALSE),1),"")</f>
        <v/>
      </c>
      <c r="AC129" s="17" t="str">
        <f>IFERROR(INDEX(逆引き作成用!$C$2:$C$169,MATCH($B129&amp;"/"&amp;$C129,逆引き作成用!AC$2:AC$169,FALSE),1),"")</f>
        <v/>
      </c>
      <c r="AD129" s="17" t="str">
        <f>IFERROR(INDEX(逆引き作成用!$C$2:$C$169,MATCH($B129&amp;"/"&amp;$C129,逆引き作成用!AD$2:AD$169,FALSE),1),"")</f>
        <v/>
      </c>
      <c r="AE129" s="17" t="str">
        <f>IFERROR(INDEX(逆引き作成用!$C$2:$C$169,MATCH($B129&amp;"/"&amp;$C129,逆引き作成用!AE$2:AE$169,FALSE),1),"")</f>
        <v/>
      </c>
      <c r="AF129" s="17" t="str">
        <f>IFERROR(INDEX(逆引き作成用!$C$2:$C$169,MATCH($B129&amp;"/"&amp;$C129,逆引き作成用!AF$2:AF$169,FALSE),1),"")</f>
        <v/>
      </c>
      <c r="AG129" s="17" t="str">
        <f>IFERROR(INDEX(逆引き作成用!$C$2:$C$169,MATCH($B129&amp;"/"&amp;$C129,逆引き作成用!AG$2:AG$169,FALSE),1),"")</f>
        <v/>
      </c>
      <c r="AH129" s="17" t="str">
        <f>IFERROR(INDEX(逆引き作成用!$C$2:$C$169,MATCH($B129&amp;"/"&amp;$C129,逆引き作成用!AH$2:AH$169,FALSE),1),"")</f>
        <v/>
      </c>
      <c r="AI129" s="17" t="str">
        <f>IFERROR(INDEX(逆引き作成用!$C$2:$C$169,MATCH($B129&amp;"/"&amp;$C129,逆引き作成用!AI$2:AI$169,FALSE),1),"")</f>
        <v/>
      </c>
      <c r="AJ129" s="17" t="str">
        <f>IFERROR(INDEX(逆引き作成用!$C$2:$C$169,MATCH($B129&amp;"/"&amp;$C129,逆引き作成用!AJ$2:AJ$169,FALSE),1),"")</f>
        <v/>
      </c>
      <c r="AK129" s="17" t="str">
        <f>IFERROR(INDEX(逆引き作成用!$C$2:$C$169,MATCH($B129&amp;"/"&amp;$C129,逆引き作成用!AK$2:AK$169,FALSE),1),"")</f>
        <v/>
      </c>
      <c r="AL129" s="17" t="str">
        <f>IFERROR(INDEX(逆引き作成用!$C$2:$C$169,MATCH($B129&amp;"/"&amp;$C129,逆引き作成用!AL$2:AL$169,FALSE),1),"")</f>
        <v/>
      </c>
      <c r="AM129" s="17" t="str">
        <f>IFERROR(INDEX(逆引き作成用!$C$2:$C$169,MATCH($B129&amp;"/"&amp;$C129,逆引き作成用!AM$2:AM$169,FALSE),1),"")</f>
        <v/>
      </c>
      <c r="AN129" s="17" t="str">
        <f>IFERROR(INDEX(逆引き作成用!$C$2:$C$169,MATCH($B129&amp;"/"&amp;$C129,逆引き作成用!AN$2:AN$169,FALSE),1),"")</f>
        <v/>
      </c>
      <c r="AO129" s="17" t="str">
        <f>IFERROR(INDEX(逆引き作成用!$C$2:$C$169,MATCH($B129&amp;"/"&amp;$C129,逆引き作成用!AO$2:AO$169,FALSE),1),"")</f>
        <v/>
      </c>
      <c r="AP129" s="17" t="str">
        <f>IFERROR(INDEX(逆引き作成用!$C$2:$C$169,MATCH($B129&amp;"/"&amp;$C129,逆引き作成用!AP$2:AP$169,FALSE),1),"")</f>
        <v/>
      </c>
      <c r="AQ129" s="17" t="str">
        <f>IFERROR(INDEX(逆引き作成用!$C$2:$C$169,MATCH($B129&amp;"/"&amp;$C129,逆引き作成用!AQ$2:AQ$169,FALSE),1),"")</f>
        <v/>
      </c>
      <c r="AR129" s="17" t="str">
        <f>IFERROR(INDEX(逆引き作成用!$C$2:$C$169,MATCH($B129&amp;"/"&amp;$C129,逆引き作成用!AR$2:AR$169,FALSE),1),"")</f>
        <v/>
      </c>
      <c r="AS129" s="17" t="str">
        <f>IFERROR(INDEX(逆引き作成用!$C$2:$C$169,MATCH($B129&amp;"/"&amp;$C129,逆引き作成用!AS$2:AS$169,FALSE),1),"")</f>
        <v/>
      </c>
      <c r="AT129" s="17" t="str">
        <f>IFERROR(INDEX(逆引き作成用!$C$2:$C$169,MATCH($B129&amp;"/"&amp;$C129,逆引き作成用!AT$2:AT$169,FALSE),1),"")</f>
        <v/>
      </c>
      <c r="AU129" s="17" t="str">
        <f>IFERROR(INDEX(逆引き作成用!$C$2:$C$169,MATCH($B129&amp;"/"&amp;$C129,逆引き作成用!AU$2:AU$169,FALSE),1),"")</f>
        <v/>
      </c>
      <c r="AV129" s="17" t="str">
        <f>IFERROR(INDEX(逆引き作成用!$C$2:$C$169,MATCH($B129&amp;"/"&amp;$C129,逆引き作成用!AV$2:AV$169,FALSE),1),"")</f>
        <v/>
      </c>
      <c r="AW129" s="17" t="str">
        <f>IFERROR(INDEX(逆引き作成用!$C$2:$C$169,MATCH($B129&amp;"/"&amp;$C129,逆引き作成用!AW$2:AW$169,FALSE),1),"")</f>
        <v/>
      </c>
      <c r="AX129" s="17" t="str">
        <f>IFERROR(INDEX(逆引き作成用!$C$2:$C$169,MATCH($B129&amp;"/"&amp;$C129,逆引き作成用!AX$2:AX$169,FALSE),1),"")</f>
        <v/>
      </c>
      <c r="AY129" s="17" t="str">
        <f>IFERROR(INDEX(逆引き作成用!$C$2:$C$169,MATCH($B129&amp;"/"&amp;$C129,逆引き作成用!AY$2:AY$169,FALSE),1),"")</f>
        <v/>
      </c>
      <c r="AZ129" s="17" t="str">
        <f>IFERROR(INDEX(逆引き作成用!$C$2:$C$169,MATCH($B129&amp;"/"&amp;$C129,逆引き作成用!AZ$2:AZ$169,FALSE),1),"")</f>
        <v/>
      </c>
      <c r="BA129" s="17" t="str">
        <f>IFERROR(INDEX(逆引き作成用!$C$2:$C$169,MATCH($B129&amp;"/"&amp;$C129,逆引き作成用!BA$2:BA$169,FALSE),1),"")</f>
        <v/>
      </c>
    </row>
    <row r="130" spans="1:53">
      <c r="A130" s="17" t="str">
        <f>IFERROR(INDEX(役職一覧!$B$2:$B$31,MATCH(B130,役職一覧!$C$2:$C$31,FALSE),1),"")</f>
        <v/>
      </c>
      <c r="B130" s="17" t="str">
        <f>IFERROR(IF(C130=1,INDEX(役職一覧!$C$2:$C$31,MATCH(逆引き!B129,役職一覧!$C$2:$C$31,FALSE)+1,1)&amp;"",B129),"")</f>
        <v/>
      </c>
      <c r="C130" s="17" t="str">
        <f>IFERROR(IF(VLOOKUP(B129,役職一覧!$C$2:$E$31,3,FALSE)=C129,1,C129+1),"")</f>
        <v/>
      </c>
      <c r="D130" s="17" t="str">
        <f>IFERROR(INDEX(逆引き作成用!$C$2:$C$169,MATCH($B130&amp;"/"&amp;$C130,逆引き作成用!D$2:D$169,FALSE),1),"")</f>
        <v/>
      </c>
      <c r="E130" s="17" t="str">
        <f>IFERROR(INDEX(逆引き作成用!$C$2:$C$169,MATCH($B130&amp;"/"&amp;$C130,逆引き作成用!E$2:E$169,FALSE),1),"")</f>
        <v/>
      </c>
      <c r="F130" s="17" t="str">
        <f>IFERROR(INDEX(逆引き作成用!$C$2:$C$169,MATCH($B130&amp;"/"&amp;$C130,逆引き作成用!F$2:F$169,FALSE),1),"")</f>
        <v/>
      </c>
      <c r="G130" s="17" t="str">
        <f>IFERROR(INDEX(逆引き作成用!$C$2:$C$169,MATCH($B130&amp;"/"&amp;$C130,逆引き作成用!G$2:G$169,FALSE),1),"")</f>
        <v/>
      </c>
      <c r="H130" s="17" t="str">
        <f>IFERROR(INDEX(逆引き作成用!$C$2:$C$169,MATCH($B130&amp;"/"&amp;$C130,逆引き作成用!H$2:H$169,FALSE),1),"")</f>
        <v/>
      </c>
      <c r="I130" s="17" t="str">
        <f>IFERROR(INDEX(逆引き作成用!$C$2:$C$169,MATCH($B130&amp;"/"&amp;$C130,逆引き作成用!I$2:I$169,FALSE),1),"")</f>
        <v/>
      </c>
      <c r="J130" s="17" t="str">
        <f>IFERROR(INDEX(逆引き作成用!$C$2:$C$169,MATCH($B130&amp;"/"&amp;$C130,逆引き作成用!J$2:J$169,FALSE),1),"")</f>
        <v/>
      </c>
      <c r="K130" s="17" t="str">
        <f>IFERROR(INDEX(逆引き作成用!$C$2:$C$169,MATCH($B130&amp;"/"&amp;$C130,逆引き作成用!K$2:K$169,FALSE),1),"")</f>
        <v/>
      </c>
      <c r="L130" s="17" t="str">
        <f>IFERROR(INDEX(逆引き作成用!$C$2:$C$169,MATCH($B130&amp;"/"&amp;$C130,逆引き作成用!L$2:L$169,FALSE),1),"")</f>
        <v/>
      </c>
      <c r="M130" s="17" t="str">
        <f>IFERROR(INDEX(逆引き作成用!$C$2:$C$169,MATCH($B130&amp;"/"&amp;$C130,逆引き作成用!M$2:M$169,FALSE),1),"")</f>
        <v/>
      </c>
      <c r="N130" s="17" t="str">
        <f>IFERROR(INDEX(逆引き作成用!$C$2:$C$169,MATCH($B130&amp;"/"&amp;$C130,逆引き作成用!N$2:N$169,FALSE),1),"")</f>
        <v/>
      </c>
      <c r="O130" s="17" t="str">
        <f>IFERROR(INDEX(逆引き作成用!$C$2:$C$169,MATCH($B130&amp;"/"&amp;$C130,逆引き作成用!O$2:O$169,FALSE),1),"")</f>
        <v/>
      </c>
      <c r="P130" s="17" t="str">
        <f>IFERROR(INDEX(逆引き作成用!$C$2:$C$169,MATCH($B130&amp;"/"&amp;$C130,逆引き作成用!P$2:P$169,FALSE),1),"")</f>
        <v/>
      </c>
      <c r="Q130" s="17" t="str">
        <f>IFERROR(INDEX(逆引き作成用!$C$2:$C$169,MATCH($B130&amp;"/"&amp;$C130,逆引き作成用!Q$2:Q$169,FALSE),1),"")</f>
        <v/>
      </c>
      <c r="R130" s="17" t="str">
        <f>IFERROR(INDEX(逆引き作成用!$C$2:$C$169,MATCH($B130&amp;"/"&amp;$C130,逆引き作成用!R$2:R$169,FALSE),1),"")</f>
        <v/>
      </c>
      <c r="S130" s="17" t="str">
        <f>IFERROR(INDEX(逆引き作成用!$C$2:$C$169,MATCH($B130&amp;"/"&amp;$C130,逆引き作成用!S$2:S$169,FALSE),1),"")</f>
        <v/>
      </c>
      <c r="T130" s="17" t="str">
        <f>IFERROR(INDEX(逆引き作成用!$C$2:$C$169,MATCH($B130&amp;"/"&amp;$C130,逆引き作成用!T$2:T$169,FALSE),1),"")</f>
        <v/>
      </c>
      <c r="U130" s="17" t="str">
        <f>IFERROR(INDEX(逆引き作成用!$C$2:$C$169,MATCH($B130&amp;"/"&amp;$C130,逆引き作成用!U$2:U$169,FALSE),1),"")</f>
        <v/>
      </c>
      <c r="V130" s="17" t="str">
        <f>IFERROR(INDEX(逆引き作成用!$C$2:$C$169,MATCH($B130&amp;"/"&amp;$C130,逆引き作成用!V$2:V$169,FALSE),1),"")</f>
        <v/>
      </c>
      <c r="W130" s="17" t="str">
        <f>IFERROR(INDEX(逆引き作成用!$C$2:$C$169,MATCH($B130&amp;"/"&amp;$C130,逆引き作成用!W$2:W$169,FALSE),1),"")</f>
        <v/>
      </c>
      <c r="X130" s="17" t="str">
        <f>IFERROR(INDEX(逆引き作成用!$C$2:$C$169,MATCH($B130&amp;"/"&amp;$C130,逆引き作成用!X$2:X$169,FALSE),1),"")</f>
        <v/>
      </c>
      <c r="Y130" s="17" t="str">
        <f>IFERROR(INDEX(逆引き作成用!$C$2:$C$169,MATCH($B130&amp;"/"&amp;$C130,逆引き作成用!Y$2:Y$169,FALSE),1),"")</f>
        <v/>
      </c>
      <c r="Z130" s="17" t="str">
        <f>IFERROR(INDEX(逆引き作成用!$C$2:$C$169,MATCH($B130&amp;"/"&amp;$C130,逆引き作成用!Z$2:Z$169,FALSE),1),"")</f>
        <v/>
      </c>
      <c r="AA130" s="17" t="str">
        <f>IFERROR(INDEX(逆引き作成用!$C$2:$C$169,MATCH($B130&amp;"/"&amp;$C130,逆引き作成用!AA$2:AA$169,FALSE),1),"")</f>
        <v/>
      </c>
      <c r="AB130" s="17" t="str">
        <f>IFERROR(INDEX(逆引き作成用!$C$2:$C$169,MATCH($B130&amp;"/"&amp;$C130,逆引き作成用!AB$2:AB$169,FALSE),1),"")</f>
        <v/>
      </c>
      <c r="AC130" s="17" t="str">
        <f>IFERROR(INDEX(逆引き作成用!$C$2:$C$169,MATCH($B130&amp;"/"&amp;$C130,逆引き作成用!AC$2:AC$169,FALSE),1),"")</f>
        <v/>
      </c>
      <c r="AD130" s="17" t="str">
        <f>IFERROR(INDEX(逆引き作成用!$C$2:$C$169,MATCH($B130&amp;"/"&amp;$C130,逆引き作成用!AD$2:AD$169,FALSE),1),"")</f>
        <v/>
      </c>
      <c r="AE130" s="17" t="str">
        <f>IFERROR(INDEX(逆引き作成用!$C$2:$C$169,MATCH($B130&amp;"/"&amp;$C130,逆引き作成用!AE$2:AE$169,FALSE),1),"")</f>
        <v/>
      </c>
      <c r="AF130" s="17" t="str">
        <f>IFERROR(INDEX(逆引き作成用!$C$2:$C$169,MATCH($B130&amp;"/"&amp;$C130,逆引き作成用!AF$2:AF$169,FALSE),1),"")</f>
        <v/>
      </c>
      <c r="AG130" s="17" t="str">
        <f>IFERROR(INDEX(逆引き作成用!$C$2:$C$169,MATCH($B130&amp;"/"&amp;$C130,逆引き作成用!AG$2:AG$169,FALSE),1),"")</f>
        <v/>
      </c>
      <c r="AH130" s="17" t="str">
        <f>IFERROR(INDEX(逆引き作成用!$C$2:$C$169,MATCH($B130&amp;"/"&amp;$C130,逆引き作成用!AH$2:AH$169,FALSE),1),"")</f>
        <v/>
      </c>
      <c r="AI130" s="17" t="str">
        <f>IFERROR(INDEX(逆引き作成用!$C$2:$C$169,MATCH($B130&amp;"/"&amp;$C130,逆引き作成用!AI$2:AI$169,FALSE),1),"")</f>
        <v/>
      </c>
      <c r="AJ130" s="17" t="str">
        <f>IFERROR(INDEX(逆引き作成用!$C$2:$C$169,MATCH($B130&amp;"/"&amp;$C130,逆引き作成用!AJ$2:AJ$169,FALSE),1),"")</f>
        <v/>
      </c>
      <c r="AK130" s="17" t="str">
        <f>IFERROR(INDEX(逆引き作成用!$C$2:$C$169,MATCH($B130&amp;"/"&amp;$C130,逆引き作成用!AK$2:AK$169,FALSE),1),"")</f>
        <v/>
      </c>
      <c r="AL130" s="17" t="str">
        <f>IFERROR(INDEX(逆引き作成用!$C$2:$C$169,MATCH($B130&amp;"/"&amp;$C130,逆引き作成用!AL$2:AL$169,FALSE),1),"")</f>
        <v/>
      </c>
      <c r="AM130" s="17" t="str">
        <f>IFERROR(INDEX(逆引き作成用!$C$2:$C$169,MATCH($B130&amp;"/"&amp;$C130,逆引き作成用!AM$2:AM$169,FALSE),1),"")</f>
        <v/>
      </c>
      <c r="AN130" s="17" t="str">
        <f>IFERROR(INDEX(逆引き作成用!$C$2:$C$169,MATCH($B130&amp;"/"&amp;$C130,逆引き作成用!AN$2:AN$169,FALSE),1),"")</f>
        <v/>
      </c>
      <c r="AO130" s="17" t="str">
        <f>IFERROR(INDEX(逆引き作成用!$C$2:$C$169,MATCH($B130&amp;"/"&amp;$C130,逆引き作成用!AO$2:AO$169,FALSE),1),"")</f>
        <v/>
      </c>
      <c r="AP130" s="17" t="str">
        <f>IFERROR(INDEX(逆引き作成用!$C$2:$C$169,MATCH($B130&amp;"/"&amp;$C130,逆引き作成用!AP$2:AP$169,FALSE),1),"")</f>
        <v/>
      </c>
      <c r="AQ130" s="17" t="str">
        <f>IFERROR(INDEX(逆引き作成用!$C$2:$C$169,MATCH($B130&amp;"/"&amp;$C130,逆引き作成用!AQ$2:AQ$169,FALSE),1),"")</f>
        <v/>
      </c>
      <c r="AR130" s="17" t="str">
        <f>IFERROR(INDEX(逆引き作成用!$C$2:$C$169,MATCH($B130&amp;"/"&amp;$C130,逆引き作成用!AR$2:AR$169,FALSE),1),"")</f>
        <v/>
      </c>
      <c r="AS130" s="17" t="str">
        <f>IFERROR(INDEX(逆引き作成用!$C$2:$C$169,MATCH($B130&amp;"/"&amp;$C130,逆引き作成用!AS$2:AS$169,FALSE),1),"")</f>
        <v/>
      </c>
      <c r="AT130" s="17" t="str">
        <f>IFERROR(INDEX(逆引き作成用!$C$2:$C$169,MATCH($B130&amp;"/"&amp;$C130,逆引き作成用!AT$2:AT$169,FALSE),1),"")</f>
        <v/>
      </c>
      <c r="AU130" s="17" t="str">
        <f>IFERROR(INDEX(逆引き作成用!$C$2:$C$169,MATCH($B130&amp;"/"&amp;$C130,逆引き作成用!AU$2:AU$169,FALSE),1),"")</f>
        <v/>
      </c>
      <c r="AV130" s="17" t="str">
        <f>IFERROR(INDEX(逆引き作成用!$C$2:$C$169,MATCH($B130&amp;"/"&amp;$C130,逆引き作成用!AV$2:AV$169,FALSE),1),"")</f>
        <v/>
      </c>
      <c r="AW130" s="17" t="str">
        <f>IFERROR(INDEX(逆引き作成用!$C$2:$C$169,MATCH($B130&amp;"/"&amp;$C130,逆引き作成用!AW$2:AW$169,FALSE),1),"")</f>
        <v/>
      </c>
      <c r="AX130" s="17" t="str">
        <f>IFERROR(INDEX(逆引き作成用!$C$2:$C$169,MATCH($B130&amp;"/"&amp;$C130,逆引き作成用!AX$2:AX$169,FALSE),1),"")</f>
        <v/>
      </c>
      <c r="AY130" s="17" t="str">
        <f>IFERROR(INDEX(逆引き作成用!$C$2:$C$169,MATCH($B130&amp;"/"&amp;$C130,逆引き作成用!AY$2:AY$169,FALSE),1),"")</f>
        <v/>
      </c>
      <c r="AZ130" s="17" t="str">
        <f>IFERROR(INDEX(逆引き作成用!$C$2:$C$169,MATCH($B130&amp;"/"&amp;$C130,逆引き作成用!AZ$2:AZ$169,FALSE),1),"")</f>
        <v/>
      </c>
      <c r="BA130" s="17" t="str">
        <f>IFERROR(INDEX(逆引き作成用!$C$2:$C$169,MATCH($B130&amp;"/"&amp;$C130,逆引き作成用!BA$2:BA$169,FALSE),1),"")</f>
        <v/>
      </c>
    </row>
    <row r="131" spans="1:53">
      <c r="A131" s="17" t="str">
        <f>IFERROR(INDEX(役職一覧!$B$2:$B$31,MATCH(B131,役職一覧!$C$2:$C$31,FALSE),1),"")</f>
        <v/>
      </c>
      <c r="B131" s="17" t="str">
        <f>IFERROR(IF(C131=1,INDEX(役職一覧!$C$2:$C$31,MATCH(逆引き!B130,役職一覧!$C$2:$C$31,FALSE)+1,1)&amp;"",B130),"")</f>
        <v/>
      </c>
      <c r="C131" s="17" t="str">
        <f>IFERROR(IF(VLOOKUP(B130,役職一覧!$C$2:$E$31,3,FALSE)=C130,1,C130+1),"")</f>
        <v/>
      </c>
      <c r="D131" s="17" t="str">
        <f>IFERROR(INDEX(逆引き作成用!$C$2:$C$169,MATCH($B131&amp;"/"&amp;$C131,逆引き作成用!D$2:D$169,FALSE),1),"")</f>
        <v/>
      </c>
      <c r="E131" s="17" t="str">
        <f>IFERROR(INDEX(逆引き作成用!$C$2:$C$169,MATCH($B131&amp;"/"&amp;$C131,逆引き作成用!E$2:E$169,FALSE),1),"")</f>
        <v/>
      </c>
      <c r="F131" s="17" t="str">
        <f>IFERROR(INDEX(逆引き作成用!$C$2:$C$169,MATCH($B131&amp;"/"&amp;$C131,逆引き作成用!F$2:F$169,FALSE),1),"")</f>
        <v/>
      </c>
      <c r="G131" s="17" t="str">
        <f>IFERROR(INDEX(逆引き作成用!$C$2:$C$169,MATCH($B131&amp;"/"&amp;$C131,逆引き作成用!G$2:G$169,FALSE),1),"")</f>
        <v/>
      </c>
      <c r="H131" s="17" t="str">
        <f>IFERROR(INDEX(逆引き作成用!$C$2:$C$169,MATCH($B131&amp;"/"&amp;$C131,逆引き作成用!H$2:H$169,FALSE),1),"")</f>
        <v/>
      </c>
      <c r="I131" s="17" t="str">
        <f>IFERROR(INDEX(逆引き作成用!$C$2:$C$169,MATCH($B131&amp;"/"&amp;$C131,逆引き作成用!I$2:I$169,FALSE),1),"")</f>
        <v/>
      </c>
      <c r="J131" s="17" t="str">
        <f>IFERROR(INDEX(逆引き作成用!$C$2:$C$169,MATCH($B131&amp;"/"&amp;$C131,逆引き作成用!J$2:J$169,FALSE),1),"")</f>
        <v/>
      </c>
      <c r="K131" s="17" t="str">
        <f>IFERROR(INDEX(逆引き作成用!$C$2:$C$169,MATCH($B131&amp;"/"&amp;$C131,逆引き作成用!K$2:K$169,FALSE),1),"")</f>
        <v/>
      </c>
      <c r="L131" s="17" t="str">
        <f>IFERROR(INDEX(逆引き作成用!$C$2:$C$169,MATCH($B131&amp;"/"&amp;$C131,逆引き作成用!L$2:L$169,FALSE),1),"")</f>
        <v/>
      </c>
      <c r="M131" s="17" t="str">
        <f>IFERROR(INDEX(逆引き作成用!$C$2:$C$169,MATCH($B131&amp;"/"&amp;$C131,逆引き作成用!M$2:M$169,FALSE),1),"")</f>
        <v/>
      </c>
      <c r="N131" s="17" t="str">
        <f>IFERROR(INDEX(逆引き作成用!$C$2:$C$169,MATCH($B131&amp;"/"&amp;$C131,逆引き作成用!N$2:N$169,FALSE),1),"")</f>
        <v/>
      </c>
      <c r="O131" s="17" t="str">
        <f>IFERROR(INDEX(逆引き作成用!$C$2:$C$169,MATCH($B131&amp;"/"&amp;$C131,逆引き作成用!O$2:O$169,FALSE),1),"")</f>
        <v/>
      </c>
      <c r="P131" s="17" t="str">
        <f>IFERROR(INDEX(逆引き作成用!$C$2:$C$169,MATCH($B131&amp;"/"&amp;$C131,逆引き作成用!P$2:P$169,FALSE),1),"")</f>
        <v/>
      </c>
      <c r="Q131" s="17" t="str">
        <f>IFERROR(INDEX(逆引き作成用!$C$2:$C$169,MATCH($B131&amp;"/"&amp;$C131,逆引き作成用!Q$2:Q$169,FALSE),1),"")</f>
        <v/>
      </c>
      <c r="R131" s="17" t="str">
        <f>IFERROR(INDEX(逆引き作成用!$C$2:$C$169,MATCH($B131&amp;"/"&amp;$C131,逆引き作成用!R$2:R$169,FALSE),1),"")</f>
        <v/>
      </c>
      <c r="S131" s="17" t="str">
        <f>IFERROR(INDEX(逆引き作成用!$C$2:$C$169,MATCH($B131&amp;"/"&amp;$C131,逆引き作成用!S$2:S$169,FALSE),1),"")</f>
        <v/>
      </c>
      <c r="T131" s="17" t="str">
        <f>IFERROR(INDEX(逆引き作成用!$C$2:$C$169,MATCH($B131&amp;"/"&amp;$C131,逆引き作成用!T$2:T$169,FALSE),1),"")</f>
        <v/>
      </c>
      <c r="U131" s="17" t="str">
        <f>IFERROR(INDEX(逆引き作成用!$C$2:$C$169,MATCH($B131&amp;"/"&amp;$C131,逆引き作成用!U$2:U$169,FALSE),1),"")</f>
        <v/>
      </c>
      <c r="V131" s="17" t="str">
        <f>IFERROR(INDEX(逆引き作成用!$C$2:$C$169,MATCH($B131&amp;"/"&amp;$C131,逆引き作成用!V$2:V$169,FALSE),1),"")</f>
        <v/>
      </c>
      <c r="W131" s="17" t="str">
        <f>IFERROR(INDEX(逆引き作成用!$C$2:$C$169,MATCH($B131&amp;"/"&amp;$C131,逆引き作成用!W$2:W$169,FALSE),1),"")</f>
        <v/>
      </c>
      <c r="X131" s="17" t="str">
        <f>IFERROR(INDEX(逆引き作成用!$C$2:$C$169,MATCH($B131&amp;"/"&amp;$C131,逆引き作成用!X$2:X$169,FALSE),1),"")</f>
        <v/>
      </c>
      <c r="Y131" s="17" t="str">
        <f>IFERROR(INDEX(逆引き作成用!$C$2:$C$169,MATCH($B131&amp;"/"&amp;$C131,逆引き作成用!Y$2:Y$169,FALSE),1),"")</f>
        <v/>
      </c>
      <c r="Z131" s="17" t="str">
        <f>IFERROR(INDEX(逆引き作成用!$C$2:$C$169,MATCH($B131&amp;"/"&amp;$C131,逆引き作成用!Z$2:Z$169,FALSE),1),"")</f>
        <v/>
      </c>
      <c r="AA131" s="17" t="str">
        <f>IFERROR(INDEX(逆引き作成用!$C$2:$C$169,MATCH($B131&amp;"/"&amp;$C131,逆引き作成用!AA$2:AA$169,FALSE),1),"")</f>
        <v/>
      </c>
      <c r="AB131" s="17" t="str">
        <f>IFERROR(INDEX(逆引き作成用!$C$2:$C$169,MATCH($B131&amp;"/"&amp;$C131,逆引き作成用!AB$2:AB$169,FALSE),1),"")</f>
        <v/>
      </c>
      <c r="AC131" s="17" t="str">
        <f>IFERROR(INDEX(逆引き作成用!$C$2:$C$169,MATCH($B131&amp;"/"&amp;$C131,逆引き作成用!AC$2:AC$169,FALSE),1),"")</f>
        <v/>
      </c>
      <c r="AD131" s="17" t="str">
        <f>IFERROR(INDEX(逆引き作成用!$C$2:$C$169,MATCH($B131&amp;"/"&amp;$C131,逆引き作成用!AD$2:AD$169,FALSE),1),"")</f>
        <v/>
      </c>
      <c r="AE131" s="17" t="str">
        <f>IFERROR(INDEX(逆引き作成用!$C$2:$C$169,MATCH($B131&amp;"/"&amp;$C131,逆引き作成用!AE$2:AE$169,FALSE),1),"")</f>
        <v/>
      </c>
      <c r="AF131" s="17" t="str">
        <f>IFERROR(INDEX(逆引き作成用!$C$2:$C$169,MATCH($B131&amp;"/"&amp;$C131,逆引き作成用!AF$2:AF$169,FALSE),1),"")</f>
        <v/>
      </c>
      <c r="AG131" s="17" t="str">
        <f>IFERROR(INDEX(逆引き作成用!$C$2:$C$169,MATCH($B131&amp;"/"&amp;$C131,逆引き作成用!AG$2:AG$169,FALSE),1),"")</f>
        <v/>
      </c>
      <c r="AH131" s="17" t="str">
        <f>IFERROR(INDEX(逆引き作成用!$C$2:$C$169,MATCH($B131&amp;"/"&amp;$C131,逆引き作成用!AH$2:AH$169,FALSE),1),"")</f>
        <v/>
      </c>
      <c r="AI131" s="17" t="str">
        <f>IFERROR(INDEX(逆引き作成用!$C$2:$C$169,MATCH($B131&amp;"/"&amp;$C131,逆引き作成用!AI$2:AI$169,FALSE),1),"")</f>
        <v/>
      </c>
      <c r="AJ131" s="17" t="str">
        <f>IFERROR(INDEX(逆引き作成用!$C$2:$C$169,MATCH($B131&amp;"/"&amp;$C131,逆引き作成用!AJ$2:AJ$169,FALSE),1),"")</f>
        <v/>
      </c>
      <c r="AK131" s="17" t="str">
        <f>IFERROR(INDEX(逆引き作成用!$C$2:$C$169,MATCH($B131&amp;"/"&amp;$C131,逆引き作成用!AK$2:AK$169,FALSE),1),"")</f>
        <v/>
      </c>
      <c r="AL131" s="17" t="str">
        <f>IFERROR(INDEX(逆引き作成用!$C$2:$C$169,MATCH($B131&amp;"/"&amp;$C131,逆引き作成用!AL$2:AL$169,FALSE),1),"")</f>
        <v/>
      </c>
      <c r="AM131" s="17" t="str">
        <f>IFERROR(INDEX(逆引き作成用!$C$2:$C$169,MATCH($B131&amp;"/"&amp;$C131,逆引き作成用!AM$2:AM$169,FALSE),1),"")</f>
        <v/>
      </c>
      <c r="AN131" s="17" t="str">
        <f>IFERROR(INDEX(逆引き作成用!$C$2:$C$169,MATCH($B131&amp;"/"&amp;$C131,逆引き作成用!AN$2:AN$169,FALSE),1),"")</f>
        <v/>
      </c>
      <c r="AO131" s="17" t="str">
        <f>IFERROR(INDEX(逆引き作成用!$C$2:$C$169,MATCH($B131&amp;"/"&amp;$C131,逆引き作成用!AO$2:AO$169,FALSE),1),"")</f>
        <v/>
      </c>
      <c r="AP131" s="17" t="str">
        <f>IFERROR(INDEX(逆引き作成用!$C$2:$C$169,MATCH($B131&amp;"/"&amp;$C131,逆引き作成用!AP$2:AP$169,FALSE),1),"")</f>
        <v/>
      </c>
      <c r="AQ131" s="17" t="str">
        <f>IFERROR(INDEX(逆引き作成用!$C$2:$C$169,MATCH($B131&amp;"/"&amp;$C131,逆引き作成用!AQ$2:AQ$169,FALSE),1),"")</f>
        <v/>
      </c>
      <c r="AR131" s="17" t="str">
        <f>IFERROR(INDEX(逆引き作成用!$C$2:$C$169,MATCH($B131&amp;"/"&amp;$C131,逆引き作成用!AR$2:AR$169,FALSE),1),"")</f>
        <v/>
      </c>
      <c r="AS131" s="17" t="str">
        <f>IFERROR(INDEX(逆引き作成用!$C$2:$C$169,MATCH($B131&amp;"/"&amp;$C131,逆引き作成用!AS$2:AS$169,FALSE),1),"")</f>
        <v/>
      </c>
      <c r="AT131" s="17" t="str">
        <f>IFERROR(INDEX(逆引き作成用!$C$2:$C$169,MATCH($B131&amp;"/"&amp;$C131,逆引き作成用!AT$2:AT$169,FALSE),1),"")</f>
        <v/>
      </c>
      <c r="AU131" s="17" t="str">
        <f>IFERROR(INDEX(逆引き作成用!$C$2:$C$169,MATCH($B131&amp;"/"&amp;$C131,逆引き作成用!AU$2:AU$169,FALSE),1),"")</f>
        <v/>
      </c>
      <c r="AV131" s="17" t="str">
        <f>IFERROR(INDEX(逆引き作成用!$C$2:$C$169,MATCH($B131&amp;"/"&amp;$C131,逆引き作成用!AV$2:AV$169,FALSE),1),"")</f>
        <v/>
      </c>
      <c r="AW131" s="17" t="str">
        <f>IFERROR(INDEX(逆引き作成用!$C$2:$C$169,MATCH($B131&amp;"/"&amp;$C131,逆引き作成用!AW$2:AW$169,FALSE),1),"")</f>
        <v/>
      </c>
      <c r="AX131" s="17" t="str">
        <f>IFERROR(INDEX(逆引き作成用!$C$2:$C$169,MATCH($B131&amp;"/"&amp;$C131,逆引き作成用!AX$2:AX$169,FALSE),1),"")</f>
        <v/>
      </c>
      <c r="AY131" s="17" t="str">
        <f>IFERROR(INDEX(逆引き作成用!$C$2:$C$169,MATCH($B131&amp;"/"&amp;$C131,逆引き作成用!AY$2:AY$169,FALSE),1),"")</f>
        <v/>
      </c>
      <c r="AZ131" s="17" t="str">
        <f>IFERROR(INDEX(逆引き作成用!$C$2:$C$169,MATCH($B131&amp;"/"&amp;$C131,逆引き作成用!AZ$2:AZ$169,FALSE),1),"")</f>
        <v/>
      </c>
      <c r="BA131" s="17" t="str">
        <f>IFERROR(INDEX(逆引き作成用!$C$2:$C$169,MATCH($B131&amp;"/"&amp;$C131,逆引き作成用!BA$2:BA$169,FALSE),1),"")</f>
        <v/>
      </c>
    </row>
    <row r="132" spans="1:53">
      <c r="A132" s="17" t="str">
        <f>IFERROR(INDEX(役職一覧!$B$2:$B$31,MATCH(B132,役職一覧!$C$2:$C$31,FALSE),1),"")</f>
        <v/>
      </c>
      <c r="B132" s="17" t="str">
        <f>IFERROR(IF(C132=1,INDEX(役職一覧!$C$2:$C$31,MATCH(逆引き!B131,役職一覧!$C$2:$C$31,FALSE)+1,1)&amp;"",B131),"")</f>
        <v/>
      </c>
      <c r="C132" s="17" t="str">
        <f>IFERROR(IF(VLOOKUP(B131,役職一覧!$C$2:$E$31,3,FALSE)=C131,1,C131+1),"")</f>
        <v/>
      </c>
      <c r="D132" s="17" t="str">
        <f>IFERROR(INDEX(逆引き作成用!$C$2:$C$169,MATCH($B132&amp;"/"&amp;$C132,逆引き作成用!D$2:D$169,FALSE),1),"")</f>
        <v/>
      </c>
      <c r="E132" s="17" t="str">
        <f>IFERROR(INDEX(逆引き作成用!$C$2:$C$169,MATCH($B132&amp;"/"&amp;$C132,逆引き作成用!E$2:E$169,FALSE),1),"")</f>
        <v/>
      </c>
      <c r="F132" s="17" t="str">
        <f>IFERROR(INDEX(逆引き作成用!$C$2:$C$169,MATCH($B132&amp;"/"&amp;$C132,逆引き作成用!F$2:F$169,FALSE),1),"")</f>
        <v/>
      </c>
      <c r="G132" s="17" t="str">
        <f>IFERROR(INDEX(逆引き作成用!$C$2:$C$169,MATCH($B132&amp;"/"&amp;$C132,逆引き作成用!G$2:G$169,FALSE),1),"")</f>
        <v/>
      </c>
      <c r="H132" s="17" t="str">
        <f>IFERROR(INDEX(逆引き作成用!$C$2:$C$169,MATCH($B132&amp;"/"&amp;$C132,逆引き作成用!H$2:H$169,FALSE),1),"")</f>
        <v/>
      </c>
      <c r="I132" s="17" t="str">
        <f>IFERROR(INDEX(逆引き作成用!$C$2:$C$169,MATCH($B132&amp;"/"&amp;$C132,逆引き作成用!I$2:I$169,FALSE),1),"")</f>
        <v/>
      </c>
      <c r="J132" s="17" t="str">
        <f>IFERROR(INDEX(逆引き作成用!$C$2:$C$169,MATCH($B132&amp;"/"&amp;$C132,逆引き作成用!J$2:J$169,FALSE),1),"")</f>
        <v/>
      </c>
      <c r="K132" s="17" t="str">
        <f>IFERROR(INDEX(逆引き作成用!$C$2:$C$169,MATCH($B132&amp;"/"&amp;$C132,逆引き作成用!K$2:K$169,FALSE),1),"")</f>
        <v/>
      </c>
      <c r="L132" s="17" t="str">
        <f>IFERROR(INDEX(逆引き作成用!$C$2:$C$169,MATCH($B132&amp;"/"&amp;$C132,逆引き作成用!L$2:L$169,FALSE),1),"")</f>
        <v/>
      </c>
      <c r="M132" s="17" t="str">
        <f>IFERROR(INDEX(逆引き作成用!$C$2:$C$169,MATCH($B132&amp;"/"&amp;$C132,逆引き作成用!M$2:M$169,FALSE),1),"")</f>
        <v/>
      </c>
      <c r="N132" s="17" t="str">
        <f>IFERROR(INDEX(逆引き作成用!$C$2:$C$169,MATCH($B132&amp;"/"&amp;$C132,逆引き作成用!N$2:N$169,FALSE),1),"")</f>
        <v/>
      </c>
      <c r="O132" s="17" t="str">
        <f>IFERROR(INDEX(逆引き作成用!$C$2:$C$169,MATCH($B132&amp;"/"&amp;$C132,逆引き作成用!O$2:O$169,FALSE),1),"")</f>
        <v/>
      </c>
      <c r="P132" s="17" t="str">
        <f>IFERROR(INDEX(逆引き作成用!$C$2:$C$169,MATCH($B132&amp;"/"&amp;$C132,逆引き作成用!P$2:P$169,FALSE),1),"")</f>
        <v/>
      </c>
      <c r="Q132" s="17" t="str">
        <f>IFERROR(INDEX(逆引き作成用!$C$2:$C$169,MATCH($B132&amp;"/"&amp;$C132,逆引き作成用!Q$2:Q$169,FALSE),1),"")</f>
        <v/>
      </c>
      <c r="R132" s="17" t="str">
        <f>IFERROR(INDEX(逆引き作成用!$C$2:$C$169,MATCH($B132&amp;"/"&amp;$C132,逆引き作成用!R$2:R$169,FALSE),1),"")</f>
        <v/>
      </c>
      <c r="S132" s="17" t="str">
        <f>IFERROR(INDEX(逆引き作成用!$C$2:$C$169,MATCH($B132&amp;"/"&amp;$C132,逆引き作成用!S$2:S$169,FALSE),1),"")</f>
        <v/>
      </c>
      <c r="T132" s="17" t="str">
        <f>IFERROR(INDEX(逆引き作成用!$C$2:$C$169,MATCH($B132&amp;"/"&amp;$C132,逆引き作成用!T$2:T$169,FALSE),1),"")</f>
        <v/>
      </c>
      <c r="U132" s="17" t="str">
        <f>IFERROR(INDEX(逆引き作成用!$C$2:$C$169,MATCH($B132&amp;"/"&amp;$C132,逆引き作成用!U$2:U$169,FALSE),1),"")</f>
        <v/>
      </c>
      <c r="V132" s="17" t="str">
        <f>IFERROR(INDEX(逆引き作成用!$C$2:$C$169,MATCH($B132&amp;"/"&amp;$C132,逆引き作成用!V$2:V$169,FALSE),1),"")</f>
        <v/>
      </c>
      <c r="W132" s="17" t="str">
        <f>IFERROR(INDEX(逆引き作成用!$C$2:$C$169,MATCH($B132&amp;"/"&amp;$C132,逆引き作成用!W$2:W$169,FALSE),1),"")</f>
        <v/>
      </c>
      <c r="X132" s="17" t="str">
        <f>IFERROR(INDEX(逆引き作成用!$C$2:$C$169,MATCH($B132&amp;"/"&amp;$C132,逆引き作成用!X$2:X$169,FALSE),1),"")</f>
        <v/>
      </c>
      <c r="Y132" s="17" t="str">
        <f>IFERROR(INDEX(逆引き作成用!$C$2:$C$169,MATCH($B132&amp;"/"&amp;$C132,逆引き作成用!Y$2:Y$169,FALSE),1),"")</f>
        <v/>
      </c>
      <c r="Z132" s="17" t="str">
        <f>IFERROR(INDEX(逆引き作成用!$C$2:$C$169,MATCH($B132&amp;"/"&amp;$C132,逆引き作成用!Z$2:Z$169,FALSE),1),"")</f>
        <v/>
      </c>
      <c r="AA132" s="17" t="str">
        <f>IFERROR(INDEX(逆引き作成用!$C$2:$C$169,MATCH($B132&amp;"/"&amp;$C132,逆引き作成用!AA$2:AA$169,FALSE),1),"")</f>
        <v/>
      </c>
      <c r="AB132" s="17" t="str">
        <f>IFERROR(INDEX(逆引き作成用!$C$2:$C$169,MATCH($B132&amp;"/"&amp;$C132,逆引き作成用!AB$2:AB$169,FALSE),1),"")</f>
        <v/>
      </c>
      <c r="AC132" s="17" t="str">
        <f>IFERROR(INDEX(逆引き作成用!$C$2:$C$169,MATCH($B132&amp;"/"&amp;$C132,逆引き作成用!AC$2:AC$169,FALSE),1),"")</f>
        <v/>
      </c>
      <c r="AD132" s="17" t="str">
        <f>IFERROR(INDEX(逆引き作成用!$C$2:$C$169,MATCH($B132&amp;"/"&amp;$C132,逆引き作成用!AD$2:AD$169,FALSE),1),"")</f>
        <v/>
      </c>
      <c r="AE132" s="17" t="str">
        <f>IFERROR(INDEX(逆引き作成用!$C$2:$C$169,MATCH($B132&amp;"/"&amp;$C132,逆引き作成用!AE$2:AE$169,FALSE),1),"")</f>
        <v/>
      </c>
      <c r="AF132" s="17" t="str">
        <f>IFERROR(INDEX(逆引き作成用!$C$2:$C$169,MATCH($B132&amp;"/"&amp;$C132,逆引き作成用!AF$2:AF$169,FALSE),1),"")</f>
        <v/>
      </c>
      <c r="AG132" s="17" t="str">
        <f>IFERROR(INDEX(逆引き作成用!$C$2:$C$169,MATCH($B132&amp;"/"&amp;$C132,逆引き作成用!AG$2:AG$169,FALSE),1),"")</f>
        <v/>
      </c>
      <c r="AH132" s="17" t="str">
        <f>IFERROR(INDEX(逆引き作成用!$C$2:$C$169,MATCH($B132&amp;"/"&amp;$C132,逆引き作成用!AH$2:AH$169,FALSE),1),"")</f>
        <v/>
      </c>
      <c r="AI132" s="17" t="str">
        <f>IFERROR(INDEX(逆引き作成用!$C$2:$C$169,MATCH($B132&amp;"/"&amp;$C132,逆引き作成用!AI$2:AI$169,FALSE),1),"")</f>
        <v/>
      </c>
      <c r="AJ132" s="17" t="str">
        <f>IFERROR(INDEX(逆引き作成用!$C$2:$C$169,MATCH($B132&amp;"/"&amp;$C132,逆引き作成用!AJ$2:AJ$169,FALSE),1),"")</f>
        <v/>
      </c>
      <c r="AK132" s="17" t="str">
        <f>IFERROR(INDEX(逆引き作成用!$C$2:$C$169,MATCH($B132&amp;"/"&amp;$C132,逆引き作成用!AK$2:AK$169,FALSE),1),"")</f>
        <v/>
      </c>
      <c r="AL132" s="17" t="str">
        <f>IFERROR(INDEX(逆引き作成用!$C$2:$C$169,MATCH($B132&amp;"/"&amp;$C132,逆引き作成用!AL$2:AL$169,FALSE),1),"")</f>
        <v/>
      </c>
      <c r="AM132" s="17" t="str">
        <f>IFERROR(INDEX(逆引き作成用!$C$2:$C$169,MATCH($B132&amp;"/"&amp;$C132,逆引き作成用!AM$2:AM$169,FALSE),1),"")</f>
        <v/>
      </c>
      <c r="AN132" s="17" t="str">
        <f>IFERROR(INDEX(逆引き作成用!$C$2:$C$169,MATCH($B132&amp;"/"&amp;$C132,逆引き作成用!AN$2:AN$169,FALSE),1),"")</f>
        <v/>
      </c>
      <c r="AO132" s="17" t="str">
        <f>IFERROR(INDEX(逆引き作成用!$C$2:$C$169,MATCH($B132&amp;"/"&amp;$C132,逆引き作成用!AO$2:AO$169,FALSE),1),"")</f>
        <v/>
      </c>
      <c r="AP132" s="17" t="str">
        <f>IFERROR(INDEX(逆引き作成用!$C$2:$C$169,MATCH($B132&amp;"/"&amp;$C132,逆引き作成用!AP$2:AP$169,FALSE),1),"")</f>
        <v/>
      </c>
      <c r="AQ132" s="17" t="str">
        <f>IFERROR(INDEX(逆引き作成用!$C$2:$C$169,MATCH($B132&amp;"/"&amp;$C132,逆引き作成用!AQ$2:AQ$169,FALSE),1),"")</f>
        <v/>
      </c>
      <c r="AR132" s="17" t="str">
        <f>IFERROR(INDEX(逆引き作成用!$C$2:$C$169,MATCH($B132&amp;"/"&amp;$C132,逆引き作成用!AR$2:AR$169,FALSE),1),"")</f>
        <v/>
      </c>
      <c r="AS132" s="17" t="str">
        <f>IFERROR(INDEX(逆引き作成用!$C$2:$C$169,MATCH($B132&amp;"/"&amp;$C132,逆引き作成用!AS$2:AS$169,FALSE),1),"")</f>
        <v/>
      </c>
      <c r="AT132" s="17" t="str">
        <f>IFERROR(INDEX(逆引き作成用!$C$2:$C$169,MATCH($B132&amp;"/"&amp;$C132,逆引き作成用!AT$2:AT$169,FALSE),1),"")</f>
        <v/>
      </c>
      <c r="AU132" s="17" t="str">
        <f>IFERROR(INDEX(逆引き作成用!$C$2:$C$169,MATCH($B132&amp;"/"&amp;$C132,逆引き作成用!AU$2:AU$169,FALSE),1),"")</f>
        <v/>
      </c>
      <c r="AV132" s="17" t="str">
        <f>IFERROR(INDEX(逆引き作成用!$C$2:$C$169,MATCH($B132&amp;"/"&amp;$C132,逆引き作成用!AV$2:AV$169,FALSE),1),"")</f>
        <v/>
      </c>
      <c r="AW132" s="17" t="str">
        <f>IFERROR(INDEX(逆引き作成用!$C$2:$C$169,MATCH($B132&amp;"/"&amp;$C132,逆引き作成用!AW$2:AW$169,FALSE),1),"")</f>
        <v/>
      </c>
      <c r="AX132" s="17" t="str">
        <f>IFERROR(INDEX(逆引き作成用!$C$2:$C$169,MATCH($B132&amp;"/"&amp;$C132,逆引き作成用!AX$2:AX$169,FALSE),1),"")</f>
        <v/>
      </c>
      <c r="AY132" s="17" t="str">
        <f>IFERROR(INDEX(逆引き作成用!$C$2:$C$169,MATCH($B132&amp;"/"&amp;$C132,逆引き作成用!AY$2:AY$169,FALSE),1),"")</f>
        <v/>
      </c>
      <c r="AZ132" s="17" t="str">
        <f>IFERROR(INDEX(逆引き作成用!$C$2:$C$169,MATCH($B132&amp;"/"&amp;$C132,逆引き作成用!AZ$2:AZ$169,FALSE),1),"")</f>
        <v/>
      </c>
      <c r="BA132" s="17" t="str">
        <f>IFERROR(INDEX(逆引き作成用!$C$2:$C$169,MATCH($B132&amp;"/"&amp;$C132,逆引き作成用!BA$2:BA$169,FALSE),1),"")</f>
        <v/>
      </c>
    </row>
    <row r="133" spans="1:53">
      <c r="A133" s="17" t="str">
        <f>IFERROR(INDEX(役職一覧!$B$2:$B$31,MATCH(B133,役職一覧!$C$2:$C$31,FALSE),1),"")</f>
        <v/>
      </c>
      <c r="B133" s="17" t="str">
        <f>IFERROR(IF(C133=1,INDEX(役職一覧!$C$2:$C$31,MATCH(逆引き!B132,役職一覧!$C$2:$C$31,FALSE)+1,1)&amp;"",B132),"")</f>
        <v/>
      </c>
      <c r="C133" s="17" t="str">
        <f>IFERROR(IF(VLOOKUP(B132,役職一覧!$C$2:$E$31,3,FALSE)=C132,1,C132+1),"")</f>
        <v/>
      </c>
      <c r="D133" s="17" t="str">
        <f>IFERROR(INDEX(逆引き作成用!$C$2:$C$169,MATCH($B133&amp;"/"&amp;$C133,逆引き作成用!D$2:D$169,FALSE),1),"")</f>
        <v/>
      </c>
      <c r="E133" s="17" t="str">
        <f>IFERROR(INDEX(逆引き作成用!$C$2:$C$169,MATCH($B133&amp;"/"&amp;$C133,逆引き作成用!E$2:E$169,FALSE),1),"")</f>
        <v/>
      </c>
      <c r="F133" s="17" t="str">
        <f>IFERROR(INDEX(逆引き作成用!$C$2:$C$169,MATCH($B133&amp;"/"&amp;$C133,逆引き作成用!F$2:F$169,FALSE),1),"")</f>
        <v/>
      </c>
      <c r="G133" s="17" t="str">
        <f>IFERROR(INDEX(逆引き作成用!$C$2:$C$169,MATCH($B133&amp;"/"&amp;$C133,逆引き作成用!G$2:G$169,FALSE),1),"")</f>
        <v/>
      </c>
      <c r="H133" s="17" t="str">
        <f>IFERROR(INDEX(逆引き作成用!$C$2:$C$169,MATCH($B133&amp;"/"&amp;$C133,逆引き作成用!H$2:H$169,FALSE),1),"")</f>
        <v/>
      </c>
      <c r="I133" s="17" t="str">
        <f>IFERROR(INDEX(逆引き作成用!$C$2:$C$169,MATCH($B133&amp;"/"&amp;$C133,逆引き作成用!I$2:I$169,FALSE),1),"")</f>
        <v/>
      </c>
      <c r="J133" s="17" t="str">
        <f>IFERROR(INDEX(逆引き作成用!$C$2:$C$169,MATCH($B133&amp;"/"&amp;$C133,逆引き作成用!J$2:J$169,FALSE),1),"")</f>
        <v/>
      </c>
      <c r="K133" s="17" t="str">
        <f>IFERROR(INDEX(逆引き作成用!$C$2:$C$169,MATCH($B133&amp;"/"&amp;$C133,逆引き作成用!K$2:K$169,FALSE),1),"")</f>
        <v/>
      </c>
      <c r="L133" s="17" t="str">
        <f>IFERROR(INDEX(逆引き作成用!$C$2:$C$169,MATCH($B133&amp;"/"&amp;$C133,逆引き作成用!L$2:L$169,FALSE),1),"")</f>
        <v/>
      </c>
      <c r="M133" s="17" t="str">
        <f>IFERROR(INDEX(逆引き作成用!$C$2:$C$169,MATCH($B133&amp;"/"&amp;$C133,逆引き作成用!M$2:M$169,FALSE),1),"")</f>
        <v/>
      </c>
      <c r="N133" s="17" t="str">
        <f>IFERROR(INDEX(逆引き作成用!$C$2:$C$169,MATCH($B133&amp;"/"&amp;$C133,逆引き作成用!N$2:N$169,FALSE),1),"")</f>
        <v/>
      </c>
      <c r="O133" s="17" t="str">
        <f>IFERROR(INDEX(逆引き作成用!$C$2:$C$169,MATCH($B133&amp;"/"&amp;$C133,逆引き作成用!O$2:O$169,FALSE),1),"")</f>
        <v/>
      </c>
      <c r="P133" s="17" t="str">
        <f>IFERROR(INDEX(逆引き作成用!$C$2:$C$169,MATCH($B133&amp;"/"&amp;$C133,逆引き作成用!P$2:P$169,FALSE),1),"")</f>
        <v/>
      </c>
      <c r="Q133" s="17" t="str">
        <f>IFERROR(INDEX(逆引き作成用!$C$2:$C$169,MATCH($B133&amp;"/"&amp;$C133,逆引き作成用!Q$2:Q$169,FALSE),1),"")</f>
        <v/>
      </c>
      <c r="R133" s="17" t="str">
        <f>IFERROR(INDEX(逆引き作成用!$C$2:$C$169,MATCH($B133&amp;"/"&amp;$C133,逆引き作成用!R$2:R$169,FALSE),1),"")</f>
        <v/>
      </c>
      <c r="S133" s="17" t="str">
        <f>IFERROR(INDEX(逆引き作成用!$C$2:$C$169,MATCH($B133&amp;"/"&amp;$C133,逆引き作成用!S$2:S$169,FALSE),1),"")</f>
        <v/>
      </c>
      <c r="T133" s="17" t="str">
        <f>IFERROR(INDEX(逆引き作成用!$C$2:$C$169,MATCH($B133&amp;"/"&amp;$C133,逆引き作成用!T$2:T$169,FALSE),1),"")</f>
        <v/>
      </c>
      <c r="U133" s="17" t="str">
        <f>IFERROR(INDEX(逆引き作成用!$C$2:$C$169,MATCH($B133&amp;"/"&amp;$C133,逆引き作成用!U$2:U$169,FALSE),1),"")</f>
        <v/>
      </c>
      <c r="V133" s="17" t="str">
        <f>IFERROR(INDEX(逆引き作成用!$C$2:$C$169,MATCH($B133&amp;"/"&amp;$C133,逆引き作成用!V$2:V$169,FALSE),1),"")</f>
        <v/>
      </c>
      <c r="W133" s="17" t="str">
        <f>IFERROR(INDEX(逆引き作成用!$C$2:$C$169,MATCH($B133&amp;"/"&amp;$C133,逆引き作成用!W$2:W$169,FALSE),1),"")</f>
        <v/>
      </c>
      <c r="X133" s="17" t="str">
        <f>IFERROR(INDEX(逆引き作成用!$C$2:$C$169,MATCH($B133&amp;"/"&amp;$C133,逆引き作成用!X$2:X$169,FALSE),1),"")</f>
        <v/>
      </c>
      <c r="Y133" s="17" t="str">
        <f>IFERROR(INDEX(逆引き作成用!$C$2:$C$169,MATCH($B133&amp;"/"&amp;$C133,逆引き作成用!Y$2:Y$169,FALSE),1),"")</f>
        <v/>
      </c>
      <c r="Z133" s="17" t="str">
        <f>IFERROR(INDEX(逆引き作成用!$C$2:$C$169,MATCH($B133&amp;"/"&amp;$C133,逆引き作成用!Z$2:Z$169,FALSE),1),"")</f>
        <v/>
      </c>
      <c r="AA133" s="17" t="str">
        <f>IFERROR(INDEX(逆引き作成用!$C$2:$C$169,MATCH($B133&amp;"/"&amp;$C133,逆引き作成用!AA$2:AA$169,FALSE),1),"")</f>
        <v/>
      </c>
      <c r="AB133" s="17" t="str">
        <f>IFERROR(INDEX(逆引き作成用!$C$2:$C$169,MATCH($B133&amp;"/"&amp;$C133,逆引き作成用!AB$2:AB$169,FALSE),1),"")</f>
        <v/>
      </c>
      <c r="AC133" s="17" t="str">
        <f>IFERROR(INDEX(逆引き作成用!$C$2:$C$169,MATCH($B133&amp;"/"&amp;$C133,逆引き作成用!AC$2:AC$169,FALSE),1),"")</f>
        <v/>
      </c>
      <c r="AD133" s="17" t="str">
        <f>IFERROR(INDEX(逆引き作成用!$C$2:$C$169,MATCH($B133&amp;"/"&amp;$C133,逆引き作成用!AD$2:AD$169,FALSE),1),"")</f>
        <v/>
      </c>
      <c r="AE133" s="17" t="str">
        <f>IFERROR(INDEX(逆引き作成用!$C$2:$C$169,MATCH($B133&amp;"/"&amp;$C133,逆引き作成用!AE$2:AE$169,FALSE),1),"")</f>
        <v/>
      </c>
      <c r="AF133" s="17" t="str">
        <f>IFERROR(INDEX(逆引き作成用!$C$2:$C$169,MATCH($B133&amp;"/"&amp;$C133,逆引き作成用!AF$2:AF$169,FALSE),1),"")</f>
        <v/>
      </c>
      <c r="AG133" s="17" t="str">
        <f>IFERROR(INDEX(逆引き作成用!$C$2:$C$169,MATCH($B133&amp;"/"&amp;$C133,逆引き作成用!AG$2:AG$169,FALSE),1),"")</f>
        <v/>
      </c>
      <c r="AH133" s="17" t="str">
        <f>IFERROR(INDEX(逆引き作成用!$C$2:$C$169,MATCH($B133&amp;"/"&amp;$C133,逆引き作成用!AH$2:AH$169,FALSE),1),"")</f>
        <v/>
      </c>
      <c r="AI133" s="17" t="str">
        <f>IFERROR(INDEX(逆引き作成用!$C$2:$C$169,MATCH($B133&amp;"/"&amp;$C133,逆引き作成用!AI$2:AI$169,FALSE),1),"")</f>
        <v/>
      </c>
      <c r="AJ133" s="17" t="str">
        <f>IFERROR(INDEX(逆引き作成用!$C$2:$C$169,MATCH($B133&amp;"/"&amp;$C133,逆引き作成用!AJ$2:AJ$169,FALSE),1),"")</f>
        <v/>
      </c>
      <c r="AK133" s="17" t="str">
        <f>IFERROR(INDEX(逆引き作成用!$C$2:$C$169,MATCH($B133&amp;"/"&amp;$C133,逆引き作成用!AK$2:AK$169,FALSE),1),"")</f>
        <v/>
      </c>
      <c r="AL133" s="17" t="str">
        <f>IFERROR(INDEX(逆引き作成用!$C$2:$C$169,MATCH($B133&amp;"/"&amp;$C133,逆引き作成用!AL$2:AL$169,FALSE),1),"")</f>
        <v/>
      </c>
      <c r="AM133" s="17" t="str">
        <f>IFERROR(INDEX(逆引き作成用!$C$2:$C$169,MATCH($B133&amp;"/"&amp;$C133,逆引き作成用!AM$2:AM$169,FALSE),1),"")</f>
        <v/>
      </c>
      <c r="AN133" s="17" t="str">
        <f>IFERROR(INDEX(逆引き作成用!$C$2:$C$169,MATCH($B133&amp;"/"&amp;$C133,逆引き作成用!AN$2:AN$169,FALSE),1),"")</f>
        <v/>
      </c>
      <c r="AO133" s="17" t="str">
        <f>IFERROR(INDEX(逆引き作成用!$C$2:$C$169,MATCH($B133&amp;"/"&amp;$C133,逆引き作成用!AO$2:AO$169,FALSE),1),"")</f>
        <v/>
      </c>
      <c r="AP133" s="17" t="str">
        <f>IFERROR(INDEX(逆引き作成用!$C$2:$C$169,MATCH($B133&amp;"/"&amp;$C133,逆引き作成用!AP$2:AP$169,FALSE),1),"")</f>
        <v/>
      </c>
      <c r="AQ133" s="17" t="str">
        <f>IFERROR(INDEX(逆引き作成用!$C$2:$C$169,MATCH($B133&amp;"/"&amp;$C133,逆引き作成用!AQ$2:AQ$169,FALSE),1),"")</f>
        <v/>
      </c>
      <c r="AR133" s="17" t="str">
        <f>IFERROR(INDEX(逆引き作成用!$C$2:$C$169,MATCH($B133&amp;"/"&amp;$C133,逆引き作成用!AR$2:AR$169,FALSE),1),"")</f>
        <v/>
      </c>
      <c r="AS133" s="17" t="str">
        <f>IFERROR(INDEX(逆引き作成用!$C$2:$C$169,MATCH($B133&amp;"/"&amp;$C133,逆引き作成用!AS$2:AS$169,FALSE),1),"")</f>
        <v/>
      </c>
      <c r="AT133" s="17" t="str">
        <f>IFERROR(INDEX(逆引き作成用!$C$2:$C$169,MATCH($B133&amp;"/"&amp;$C133,逆引き作成用!AT$2:AT$169,FALSE),1),"")</f>
        <v/>
      </c>
      <c r="AU133" s="17" t="str">
        <f>IFERROR(INDEX(逆引き作成用!$C$2:$C$169,MATCH($B133&amp;"/"&amp;$C133,逆引き作成用!AU$2:AU$169,FALSE),1),"")</f>
        <v/>
      </c>
      <c r="AV133" s="17" t="str">
        <f>IFERROR(INDEX(逆引き作成用!$C$2:$C$169,MATCH($B133&amp;"/"&amp;$C133,逆引き作成用!AV$2:AV$169,FALSE),1),"")</f>
        <v/>
      </c>
      <c r="AW133" s="17" t="str">
        <f>IFERROR(INDEX(逆引き作成用!$C$2:$C$169,MATCH($B133&amp;"/"&amp;$C133,逆引き作成用!AW$2:AW$169,FALSE),1),"")</f>
        <v/>
      </c>
      <c r="AX133" s="17" t="str">
        <f>IFERROR(INDEX(逆引き作成用!$C$2:$C$169,MATCH($B133&amp;"/"&amp;$C133,逆引き作成用!AX$2:AX$169,FALSE),1),"")</f>
        <v/>
      </c>
      <c r="AY133" s="17" t="str">
        <f>IFERROR(INDEX(逆引き作成用!$C$2:$C$169,MATCH($B133&amp;"/"&amp;$C133,逆引き作成用!AY$2:AY$169,FALSE),1),"")</f>
        <v/>
      </c>
      <c r="AZ133" s="17" t="str">
        <f>IFERROR(INDEX(逆引き作成用!$C$2:$C$169,MATCH($B133&amp;"/"&amp;$C133,逆引き作成用!AZ$2:AZ$169,FALSE),1),"")</f>
        <v/>
      </c>
      <c r="BA133" s="17" t="str">
        <f>IFERROR(INDEX(逆引き作成用!$C$2:$C$169,MATCH($B133&amp;"/"&amp;$C133,逆引き作成用!BA$2:BA$169,FALSE),1),"")</f>
        <v/>
      </c>
    </row>
    <row r="134" spans="1:53">
      <c r="A134" s="17" t="str">
        <f>IFERROR(INDEX(役職一覧!$B$2:$B$31,MATCH(B134,役職一覧!$C$2:$C$31,FALSE),1),"")</f>
        <v/>
      </c>
      <c r="B134" s="17" t="str">
        <f>IFERROR(IF(C134=1,INDEX(役職一覧!$C$2:$C$31,MATCH(逆引き!B133,役職一覧!$C$2:$C$31,FALSE)+1,1)&amp;"",B133),"")</f>
        <v/>
      </c>
      <c r="C134" s="17" t="str">
        <f>IFERROR(IF(VLOOKUP(B133,役職一覧!$C$2:$E$31,3,FALSE)=C133,1,C133+1),"")</f>
        <v/>
      </c>
      <c r="D134" s="17" t="str">
        <f>IFERROR(INDEX(逆引き作成用!$C$2:$C$169,MATCH($B134&amp;"/"&amp;$C134,逆引き作成用!D$2:D$169,FALSE),1),"")</f>
        <v/>
      </c>
      <c r="E134" s="17" t="str">
        <f>IFERROR(INDEX(逆引き作成用!$C$2:$C$169,MATCH($B134&amp;"/"&amp;$C134,逆引き作成用!E$2:E$169,FALSE),1),"")</f>
        <v/>
      </c>
      <c r="F134" s="17" t="str">
        <f>IFERROR(INDEX(逆引き作成用!$C$2:$C$169,MATCH($B134&amp;"/"&amp;$C134,逆引き作成用!F$2:F$169,FALSE),1),"")</f>
        <v/>
      </c>
      <c r="G134" s="17" t="str">
        <f>IFERROR(INDEX(逆引き作成用!$C$2:$C$169,MATCH($B134&amp;"/"&amp;$C134,逆引き作成用!G$2:G$169,FALSE),1),"")</f>
        <v/>
      </c>
      <c r="H134" s="17" t="str">
        <f>IFERROR(INDEX(逆引き作成用!$C$2:$C$169,MATCH($B134&amp;"/"&amp;$C134,逆引き作成用!H$2:H$169,FALSE),1),"")</f>
        <v/>
      </c>
      <c r="I134" s="17" t="str">
        <f>IFERROR(INDEX(逆引き作成用!$C$2:$C$169,MATCH($B134&amp;"/"&amp;$C134,逆引き作成用!I$2:I$169,FALSE),1),"")</f>
        <v/>
      </c>
      <c r="J134" s="17" t="str">
        <f>IFERROR(INDEX(逆引き作成用!$C$2:$C$169,MATCH($B134&amp;"/"&amp;$C134,逆引き作成用!J$2:J$169,FALSE),1),"")</f>
        <v/>
      </c>
      <c r="K134" s="17" t="str">
        <f>IFERROR(INDEX(逆引き作成用!$C$2:$C$169,MATCH($B134&amp;"/"&amp;$C134,逆引き作成用!K$2:K$169,FALSE),1),"")</f>
        <v/>
      </c>
      <c r="L134" s="17" t="str">
        <f>IFERROR(INDEX(逆引き作成用!$C$2:$C$169,MATCH($B134&amp;"/"&amp;$C134,逆引き作成用!L$2:L$169,FALSE),1),"")</f>
        <v/>
      </c>
      <c r="M134" s="17" t="str">
        <f>IFERROR(INDEX(逆引き作成用!$C$2:$C$169,MATCH($B134&amp;"/"&amp;$C134,逆引き作成用!M$2:M$169,FALSE),1),"")</f>
        <v/>
      </c>
      <c r="N134" s="17" t="str">
        <f>IFERROR(INDEX(逆引き作成用!$C$2:$C$169,MATCH($B134&amp;"/"&amp;$C134,逆引き作成用!N$2:N$169,FALSE),1),"")</f>
        <v/>
      </c>
      <c r="O134" s="17" t="str">
        <f>IFERROR(INDEX(逆引き作成用!$C$2:$C$169,MATCH($B134&amp;"/"&amp;$C134,逆引き作成用!O$2:O$169,FALSE),1),"")</f>
        <v/>
      </c>
      <c r="P134" s="17" t="str">
        <f>IFERROR(INDEX(逆引き作成用!$C$2:$C$169,MATCH($B134&amp;"/"&amp;$C134,逆引き作成用!P$2:P$169,FALSE),1),"")</f>
        <v/>
      </c>
      <c r="Q134" s="17" t="str">
        <f>IFERROR(INDEX(逆引き作成用!$C$2:$C$169,MATCH($B134&amp;"/"&amp;$C134,逆引き作成用!Q$2:Q$169,FALSE),1),"")</f>
        <v/>
      </c>
      <c r="R134" s="17" t="str">
        <f>IFERROR(INDEX(逆引き作成用!$C$2:$C$169,MATCH($B134&amp;"/"&amp;$C134,逆引き作成用!R$2:R$169,FALSE),1),"")</f>
        <v/>
      </c>
      <c r="S134" s="17" t="str">
        <f>IFERROR(INDEX(逆引き作成用!$C$2:$C$169,MATCH($B134&amp;"/"&amp;$C134,逆引き作成用!S$2:S$169,FALSE),1),"")</f>
        <v/>
      </c>
      <c r="T134" s="17" t="str">
        <f>IFERROR(INDEX(逆引き作成用!$C$2:$C$169,MATCH($B134&amp;"/"&amp;$C134,逆引き作成用!T$2:T$169,FALSE),1),"")</f>
        <v/>
      </c>
      <c r="U134" s="17" t="str">
        <f>IFERROR(INDEX(逆引き作成用!$C$2:$C$169,MATCH($B134&amp;"/"&amp;$C134,逆引き作成用!U$2:U$169,FALSE),1),"")</f>
        <v/>
      </c>
      <c r="V134" s="17" t="str">
        <f>IFERROR(INDEX(逆引き作成用!$C$2:$C$169,MATCH($B134&amp;"/"&amp;$C134,逆引き作成用!V$2:V$169,FALSE),1),"")</f>
        <v/>
      </c>
      <c r="W134" s="17" t="str">
        <f>IFERROR(INDEX(逆引き作成用!$C$2:$C$169,MATCH($B134&amp;"/"&amp;$C134,逆引き作成用!W$2:W$169,FALSE),1),"")</f>
        <v/>
      </c>
      <c r="X134" s="17" t="str">
        <f>IFERROR(INDEX(逆引き作成用!$C$2:$C$169,MATCH($B134&amp;"/"&amp;$C134,逆引き作成用!X$2:X$169,FALSE),1),"")</f>
        <v/>
      </c>
      <c r="Y134" s="17" t="str">
        <f>IFERROR(INDEX(逆引き作成用!$C$2:$C$169,MATCH($B134&amp;"/"&amp;$C134,逆引き作成用!Y$2:Y$169,FALSE),1),"")</f>
        <v/>
      </c>
      <c r="Z134" s="17" t="str">
        <f>IFERROR(INDEX(逆引き作成用!$C$2:$C$169,MATCH($B134&amp;"/"&amp;$C134,逆引き作成用!Z$2:Z$169,FALSE),1),"")</f>
        <v/>
      </c>
      <c r="AA134" s="17" t="str">
        <f>IFERROR(INDEX(逆引き作成用!$C$2:$C$169,MATCH($B134&amp;"/"&amp;$C134,逆引き作成用!AA$2:AA$169,FALSE),1),"")</f>
        <v/>
      </c>
      <c r="AB134" s="17" t="str">
        <f>IFERROR(INDEX(逆引き作成用!$C$2:$C$169,MATCH($B134&amp;"/"&amp;$C134,逆引き作成用!AB$2:AB$169,FALSE),1),"")</f>
        <v/>
      </c>
      <c r="AC134" s="17" t="str">
        <f>IFERROR(INDEX(逆引き作成用!$C$2:$C$169,MATCH($B134&amp;"/"&amp;$C134,逆引き作成用!AC$2:AC$169,FALSE),1),"")</f>
        <v/>
      </c>
      <c r="AD134" s="17" t="str">
        <f>IFERROR(INDEX(逆引き作成用!$C$2:$C$169,MATCH($B134&amp;"/"&amp;$C134,逆引き作成用!AD$2:AD$169,FALSE),1),"")</f>
        <v/>
      </c>
      <c r="AE134" s="17" t="str">
        <f>IFERROR(INDEX(逆引き作成用!$C$2:$C$169,MATCH($B134&amp;"/"&amp;$C134,逆引き作成用!AE$2:AE$169,FALSE),1),"")</f>
        <v/>
      </c>
      <c r="AF134" s="17" t="str">
        <f>IFERROR(INDEX(逆引き作成用!$C$2:$C$169,MATCH($B134&amp;"/"&amp;$C134,逆引き作成用!AF$2:AF$169,FALSE),1),"")</f>
        <v/>
      </c>
      <c r="AG134" s="17" t="str">
        <f>IFERROR(INDEX(逆引き作成用!$C$2:$C$169,MATCH($B134&amp;"/"&amp;$C134,逆引き作成用!AG$2:AG$169,FALSE),1),"")</f>
        <v/>
      </c>
      <c r="AH134" s="17" t="str">
        <f>IFERROR(INDEX(逆引き作成用!$C$2:$C$169,MATCH($B134&amp;"/"&amp;$C134,逆引き作成用!AH$2:AH$169,FALSE),1),"")</f>
        <v/>
      </c>
      <c r="AI134" s="17" t="str">
        <f>IFERROR(INDEX(逆引き作成用!$C$2:$C$169,MATCH($B134&amp;"/"&amp;$C134,逆引き作成用!AI$2:AI$169,FALSE),1),"")</f>
        <v/>
      </c>
      <c r="AJ134" s="17" t="str">
        <f>IFERROR(INDEX(逆引き作成用!$C$2:$C$169,MATCH($B134&amp;"/"&amp;$C134,逆引き作成用!AJ$2:AJ$169,FALSE),1),"")</f>
        <v/>
      </c>
      <c r="AK134" s="17" t="str">
        <f>IFERROR(INDEX(逆引き作成用!$C$2:$C$169,MATCH($B134&amp;"/"&amp;$C134,逆引き作成用!AK$2:AK$169,FALSE),1),"")</f>
        <v/>
      </c>
      <c r="AL134" s="17" t="str">
        <f>IFERROR(INDEX(逆引き作成用!$C$2:$C$169,MATCH($B134&amp;"/"&amp;$C134,逆引き作成用!AL$2:AL$169,FALSE),1),"")</f>
        <v/>
      </c>
      <c r="AM134" s="17" t="str">
        <f>IFERROR(INDEX(逆引き作成用!$C$2:$C$169,MATCH($B134&amp;"/"&amp;$C134,逆引き作成用!AM$2:AM$169,FALSE),1),"")</f>
        <v/>
      </c>
      <c r="AN134" s="17" t="str">
        <f>IFERROR(INDEX(逆引き作成用!$C$2:$C$169,MATCH($B134&amp;"/"&amp;$C134,逆引き作成用!AN$2:AN$169,FALSE),1),"")</f>
        <v/>
      </c>
      <c r="AO134" s="17" t="str">
        <f>IFERROR(INDEX(逆引き作成用!$C$2:$C$169,MATCH($B134&amp;"/"&amp;$C134,逆引き作成用!AO$2:AO$169,FALSE),1),"")</f>
        <v/>
      </c>
      <c r="AP134" s="17" t="str">
        <f>IFERROR(INDEX(逆引き作成用!$C$2:$C$169,MATCH($B134&amp;"/"&amp;$C134,逆引き作成用!AP$2:AP$169,FALSE),1),"")</f>
        <v/>
      </c>
      <c r="AQ134" s="17" t="str">
        <f>IFERROR(INDEX(逆引き作成用!$C$2:$C$169,MATCH($B134&amp;"/"&amp;$C134,逆引き作成用!AQ$2:AQ$169,FALSE),1),"")</f>
        <v/>
      </c>
      <c r="AR134" s="17" t="str">
        <f>IFERROR(INDEX(逆引き作成用!$C$2:$C$169,MATCH($B134&amp;"/"&amp;$C134,逆引き作成用!AR$2:AR$169,FALSE),1),"")</f>
        <v/>
      </c>
      <c r="AS134" s="17" t="str">
        <f>IFERROR(INDEX(逆引き作成用!$C$2:$C$169,MATCH($B134&amp;"/"&amp;$C134,逆引き作成用!AS$2:AS$169,FALSE),1),"")</f>
        <v/>
      </c>
      <c r="AT134" s="17" t="str">
        <f>IFERROR(INDEX(逆引き作成用!$C$2:$C$169,MATCH($B134&amp;"/"&amp;$C134,逆引き作成用!AT$2:AT$169,FALSE),1),"")</f>
        <v/>
      </c>
      <c r="AU134" s="17" t="str">
        <f>IFERROR(INDEX(逆引き作成用!$C$2:$C$169,MATCH($B134&amp;"/"&amp;$C134,逆引き作成用!AU$2:AU$169,FALSE),1),"")</f>
        <v/>
      </c>
      <c r="AV134" s="17" t="str">
        <f>IFERROR(INDEX(逆引き作成用!$C$2:$C$169,MATCH($B134&amp;"/"&amp;$C134,逆引き作成用!AV$2:AV$169,FALSE),1),"")</f>
        <v/>
      </c>
      <c r="AW134" s="17" t="str">
        <f>IFERROR(INDEX(逆引き作成用!$C$2:$C$169,MATCH($B134&amp;"/"&amp;$C134,逆引き作成用!AW$2:AW$169,FALSE),1),"")</f>
        <v/>
      </c>
      <c r="AX134" s="17" t="str">
        <f>IFERROR(INDEX(逆引き作成用!$C$2:$C$169,MATCH($B134&amp;"/"&amp;$C134,逆引き作成用!AX$2:AX$169,FALSE),1),"")</f>
        <v/>
      </c>
      <c r="AY134" s="17" t="str">
        <f>IFERROR(INDEX(逆引き作成用!$C$2:$C$169,MATCH($B134&amp;"/"&amp;$C134,逆引き作成用!AY$2:AY$169,FALSE),1),"")</f>
        <v/>
      </c>
      <c r="AZ134" s="17" t="str">
        <f>IFERROR(INDEX(逆引き作成用!$C$2:$C$169,MATCH($B134&amp;"/"&amp;$C134,逆引き作成用!AZ$2:AZ$169,FALSE),1),"")</f>
        <v/>
      </c>
      <c r="BA134" s="17" t="str">
        <f>IFERROR(INDEX(逆引き作成用!$C$2:$C$169,MATCH($B134&amp;"/"&amp;$C134,逆引き作成用!BA$2:BA$169,FALSE),1),"")</f>
        <v/>
      </c>
    </row>
    <row r="135" spans="1:53">
      <c r="A135" s="17" t="str">
        <f>IFERROR(INDEX(役職一覧!$B$2:$B$31,MATCH(B135,役職一覧!$C$2:$C$31,FALSE),1),"")</f>
        <v/>
      </c>
      <c r="B135" s="17" t="str">
        <f>IFERROR(IF(C135=1,INDEX(役職一覧!$C$2:$C$31,MATCH(逆引き!B134,役職一覧!$C$2:$C$31,FALSE)+1,1)&amp;"",B134),"")</f>
        <v/>
      </c>
      <c r="C135" s="17" t="str">
        <f>IFERROR(IF(VLOOKUP(B134,役職一覧!$C$2:$E$31,3,FALSE)=C134,1,C134+1),"")</f>
        <v/>
      </c>
      <c r="D135" s="17" t="str">
        <f>IFERROR(INDEX(逆引き作成用!$C$2:$C$169,MATCH($B135&amp;"/"&amp;$C135,逆引き作成用!D$2:D$169,FALSE),1),"")</f>
        <v/>
      </c>
      <c r="E135" s="17" t="str">
        <f>IFERROR(INDEX(逆引き作成用!$C$2:$C$169,MATCH($B135&amp;"/"&amp;$C135,逆引き作成用!E$2:E$169,FALSE),1),"")</f>
        <v/>
      </c>
      <c r="F135" s="17" t="str">
        <f>IFERROR(INDEX(逆引き作成用!$C$2:$C$169,MATCH($B135&amp;"/"&amp;$C135,逆引き作成用!F$2:F$169,FALSE),1),"")</f>
        <v/>
      </c>
      <c r="G135" s="17" t="str">
        <f>IFERROR(INDEX(逆引き作成用!$C$2:$C$169,MATCH($B135&amp;"/"&amp;$C135,逆引き作成用!G$2:G$169,FALSE),1),"")</f>
        <v/>
      </c>
      <c r="H135" s="17" t="str">
        <f>IFERROR(INDEX(逆引き作成用!$C$2:$C$169,MATCH($B135&amp;"/"&amp;$C135,逆引き作成用!H$2:H$169,FALSE),1),"")</f>
        <v/>
      </c>
      <c r="I135" s="17" t="str">
        <f>IFERROR(INDEX(逆引き作成用!$C$2:$C$169,MATCH($B135&amp;"/"&amp;$C135,逆引き作成用!I$2:I$169,FALSE),1),"")</f>
        <v/>
      </c>
      <c r="J135" s="17" t="str">
        <f>IFERROR(INDEX(逆引き作成用!$C$2:$C$169,MATCH($B135&amp;"/"&amp;$C135,逆引き作成用!J$2:J$169,FALSE),1),"")</f>
        <v/>
      </c>
      <c r="K135" s="17" t="str">
        <f>IFERROR(INDEX(逆引き作成用!$C$2:$C$169,MATCH($B135&amp;"/"&amp;$C135,逆引き作成用!K$2:K$169,FALSE),1),"")</f>
        <v/>
      </c>
      <c r="L135" s="17" t="str">
        <f>IFERROR(INDEX(逆引き作成用!$C$2:$C$169,MATCH($B135&amp;"/"&amp;$C135,逆引き作成用!L$2:L$169,FALSE),1),"")</f>
        <v/>
      </c>
      <c r="M135" s="17" t="str">
        <f>IFERROR(INDEX(逆引き作成用!$C$2:$C$169,MATCH($B135&amp;"/"&amp;$C135,逆引き作成用!M$2:M$169,FALSE),1),"")</f>
        <v/>
      </c>
      <c r="N135" s="17" t="str">
        <f>IFERROR(INDEX(逆引き作成用!$C$2:$C$169,MATCH($B135&amp;"/"&amp;$C135,逆引き作成用!N$2:N$169,FALSE),1),"")</f>
        <v/>
      </c>
      <c r="O135" s="17" t="str">
        <f>IFERROR(INDEX(逆引き作成用!$C$2:$C$169,MATCH($B135&amp;"/"&amp;$C135,逆引き作成用!O$2:O$169,FALSE),1),"")</f>
        <v/>
      </c>
      <c r="P135" s="17" t="str">
        <f>IFERROR(INDEX(逆引き作成用!$C$2:$C$169,MATCH($B135&amp;"/"&amp;$C135,逆引き作成用!P$2:P$169,FALSE),1),"")</f>
        <v/>
      </c>
      <c r="Q135" s="17" t="str">
        <f>IFERROR(INDEX(逆引き作成用!$C$2:$C$169,MATCH($B135&amp;"/"&amp;$C135,逆引き作成用!Q$2:Q$169,FALSE),1),"")</f>
        <v/>
      </c>
      <c r="R135" s="17" t="str">
        <f>IFERROR(INDEX(逆引き作成用!$C$2:$C$169,MATCH($B135&amp;"/"&amp;$C135,逆引き作成用!R$2:R$169,FALSE),1),"")</f>
        <v/>
      </c>
      <c r="S135" s="17" t="str">
        <f>IFERROR(INDEX(逆引き作成用!$C$2:$C$169,MATCH($B135&amp;"/"&amp;$C135,逆引き作成用!S$2:S$169,FALSE),1),"")</f>
        <v/>
      </c>
      <c r="T135" s="17" t="str">
        <f>IFERROR(INDEX(逆引き作成用!$C$2:$C$169,MATCH($B135&amp;"/"&amp;$C135,逆引き作成用!T$2:T$169,FALSE),1),"")</f>
        <v/>
      </c>
      <c r="U135" s="17" t="str">
        <f>IFERROR(INDEX(逆引き作成用!$C$2:$C$169,MATCH($B135&amp;"/"&amp;$C135,逆引き作成用!U$2:U$169,FALSE),1),"")</f>
        <v/>
      </c>
      <c r="V135" s="17" t="str">
        <f>IFERROR(INDEX(逆引き作成用!$C$2:$C$169,MATCH($B135&amp;"/"&amp;$C135,逆引き作成用!V$2:V$169,FALSE),1),"")</f>
        <v/>
      </c>
      <c r="W135" s="17" t="str">
        <f>IFERROR(INDEX(逆引き作成用!$C$2:$C$169,MATCH($B135&amp;"/"&amp;$C135,逆引き作成用!W$2:W$169,FALSE),1),"")</f>
        <v/>
      </c>
      <c r="X135" s="17" t="str">
        <f>IFERROR(INDEX(逆引き作成用!$C$2:$C$169,MATCH($B135&amp;"/"&amp;$C135,逆引き作成用!X$2:X$169,FALSE),1),"")</f>
        <v/>
      </c>
      <c r="Y135" s="17" t="str">
        <f>IFERROR(INDEX(逆引き作成用!$C$2:$C$169,MATCH($B135&amp;"/"&amp;$C135,逆引き作成用!Y$2:Y$169,FALSE),1),"")</f>
        <v/>
      </c>
      <c r="Z135" s="17" t="str">
        <f>IFERROR(INDEX(逆引き作成用!$C$2:$C$169,MATCH($B135&amp;"/"&amp;$C135,逆引き作成用!Z$2:Z$169,FALSE),1),"")</f>
        <v/>
      </c>
      <c r="AA135" s="17" t="str">
        <f>IFERROR(INDEX(逆引き作成用!$C$2:$C$169,MATCH($B135&amp;"/"&amp;$C135,逆引き作成用!AA$2:AA$169,FALSE),1),"")</f>
        <v/>
      </c>
      <c r="AB135" s="17" t="str">
        <f>IFERROR(INDEX(逆引き作成用!$C$2:$C$169,MATCH($B135&amp;"/"&amp;$C135,逆引き作成用!AB$2:AB$169,FALSE),1),"")</f>
        <v/>
      </c>
      <c r="AC135" s="17" t="str">
        <f>IFERROR(INDEX(逆引き作成用!$C$2:$C$169,MATCH($B135&amp;"/"&amp;$C135,逆引き作成用!AC$2:AC$169,FALSE),1),"")</f>
        <v/>
      </c>
      <c r="AD135" s="17" t="str">
        <f>IFERROR(INDEX(逆引き作成用!$C$2:$C$169,MATCH($B135&amp;"/"&amp;$C135,逆引き作成用!AD$2:AD$169,FALSE),1),"")</f>
        <v/>
      </c>
      <c r="AE135" s="17" t="str">
        <f>IFERROR(INDEX(逆引き作成用!$C$2:$C$169,MATCH($B135&amp;"/"&amp;$C135,逆引き作成用!AE$2:AE$169,FALSE),1),"")</f>
        <v/>
      </c>
      <c r="AF135" s="17" t="str">
        <f>IFERROR(INDEX(逆引き作成用!$C$2:$C$169,MATCH($B135&amp;"/"&amp;$C135,逆引き作成用!AF$2:AF$169,FALSE),1),"")</f>
        <v/>
      </c>
      <c r="AG135" s="17" t="str">
        <f>IFERROR(INDEX(逆引き作成用!$C$2:$C$169,MATCH($B135&amp;"/"&amp;$C135,逆引き作成用!AG$2:AG$169,FALSE),1),"")</f>
        <v/>
      </c>
      <c r="AH135" s="17" t="str">
        <f>IFERROR(INDEX(逆引き作成用!$C$2:$C$169,MATCH($B135&amp;"/"&amp;$C135,逆引き作成用!AH$2:AH$169,FALSE),1),"")</f>
        <v/>
      </c>
      <c r="AI135" s="17" t="str">
        <f>IFERROR(INDEX(逆引き作成用!$C$2:$C$169,MATCH($B135&amp;"/"&amp;$C135,逆引き作成用!AI$2:AI$169,FALSE),1),"")</f>
        <v/>
      </c>
      <c r="AJ135" s="17" t="str">
        <f>IFERROR(INDEX(逆引き作成用!$C$2:$C$169,MATCH($B135&amp;"/"&amp;$C135,逆引き作成用!AJ$2:AJ$169,FALSE),1),"")</f>
        <v/>
      </c>
      <c r="AK135" s="17" t="str">
        <f>IFERROR(INDEX(逆引き作成用!$C$2:$C$169,MATCH($B135&amp;"/"&amp;$C135,逆引き作成用!AK$2:AK$169,FALSE),1),"")</f>
        <v/>
      </c>
      <c r="AL135" s="17" t="str">
        <f>IFERROR(INDEX(逆引き作成用!$C$2:$C$169,MATCH($B135&amp;"/"&amp;$C135,逆引き作成用!AL$2:AL$169,FALSE),1),"")</f>
        <v/>
      </c>
      <c r="AM135" s="17" t="str">
        <f>IFERROR(INDEX(逆引き作成用!$C$2:$C$169,MATCH($B135&amp;"/"&amp;$C135,逆引き作成用!AM$2:AM$169,FALSE),1),"")</f>
        <v/>
      </c>
      <c r="AN135" s="17" t="str">
        <f>IFERROR(INDEX(逆引き作成用!$C$2:$C$169,MATCH($B135&amp;"/"&amp;$C135,逆引き作成用!AN$2:AN$169,FALSE),1),"")</f>
        <v/>
      </c>
      <c r="AO135" s="17" t="str">
        <f>IFERROR(INDEX(逆引き作成用!$C$2:$C$169,MATCH($B135&amp;"/"&amp;$C135,逆引き作成用!AO$2:AO$169,FALSE),1),"")</f>
        <v/>
      </c>
      <c r="AP135" s="17" t="str">
        <f>IFERROR(INDEX(逆引き作成用!$C$2:$C$169,MATCH($B135&amp;"/"&amp;$C135,逆引き作成用!AP$2:AP$169,FALSE),1),"")</f>
        <v/>
      </c>
      <c r="AQ135" s="17" t="str">
        <f>IFERROR(INDEX(逆引き作成用!$C$2:$C$169,MATCH($B135&amp;"/"&amp;$C135,逆引き作成用!AQ$2:AQ$169,FALSE),1),"")</f>
        <v/>
      </c>
      <c r="AR135" s="17" t="str">
        <f>IFERROR(INDEX(逆引き作成用!$C$2:$C$169,MATCH($B135&amp;"/"&amp;$C135,逆引き作成用!AR$2:AR$169,FALSE),1),"")</f>
        <v/>
      </c>
      <c r="AS135" s="17" t="str">
        <f>IFERROR(INDEX(逆引き作成用!$C$2:$C$169,MATCH($B135&amp;"/"&amp;$C135,逆引き作成用!AS$2:AS$169,FALSE),1),"")</f>
        <v/>
      </c>
      <c r="AT135" s="17" t="str">
        <f>IFERROR(INDEX(逆引き作成用!$C$2:$C$169,MATCH($B135&amp;"/"&amp;$C135,逆引き作成用!AT$2:AT$169,FALSE),1),"")</f>
        <v/>
      </c>
      <c r="AU135" s="17" t="str">
        <f>IFERROR(INDEX(逆引き作成用!$C$2:$C$169,MATCH($B135&amp;"/"&amp;$C135,逆引き作成用!AU$2:AU$169,FALSE),1),"")</f>
        <v/>
      </c>
      <c r="AV135" s="17" t="str">
        <f>IFERROR(INDEX(逆引き作成用!$C$2:$C$169,MATCH($B135&amp;"/"&amp;$C135,逆引き作成用!AV$2:AV$169,FALSE),1),"")</f>
        <v/>
      </c>
      <c r="AW135" s="17" t="str">
        <f>IFERROR(INDEX(逆引き作成用!$C$2:$C$169,MATCH($B135&amp;"/"&amp;$C135,逆引き作成用!AW$2:AW$169,FALSE),1),"")</f>
        <v/>
      </c>
      <c r="AX135" s="17" t="str">
        <f>IFERROR(INDEX(逆引き作成用!$C$2:$C$169,MATCH($B135&amp;"/"&amp;$C135,逆引き作成用!AX$2:AX$169,FALSE),1),"")</f>
        <v/>
      </c>
      <c r="AY135" s="17" t="str">
        <f>IFERROR(INDEX(逆引き作成用!$C$2:$C$169,MATCH($B135&amp;"/"&amp;$C135,逆引き作成用!AY$2:AY$169,FALSE),1),"")</f>
        <v/>
      </c>
      <c r="AZ135" s="17" t="str">
        <f>IFERROR(INDEX(逆引き作成用!$C$2:$C$169,MATCH($B135&amp;"/"&amp;$C135,逆引き作成用!AZ$2:AZ$169,FALSE),1),"")</f>
        <v/>
      </c>
      <c r="BA135" s="17" t="str">
        <f>IFERROR(INDEX(逆引き作成用!$C$2:$C$169,MATCH($B135&amp;"/"&amp;$C135,逆引き作成用!BA$2:BA$169,FALSE),1),"")</f>
        <v/>
      </c>
    </row>
    <row r="136" spans="1:53">
      <c r="A136" s="17" t="str">
        <f>IFERROR(INDEX(役職一覧!$B$2:$B$31,MATCH(B136,役職一覧!$C$2:$C$31,FALSE),1),"")</f>
        <v/>
      </c>
      <c r="B136" s="17" t="str">
        <f>IFERROR(IF(C136=1,INDEX(役職一覧!$C$2:$C$31,MATCH(逆引き!B135,役職一覧!$C$2:$C$31,FALSE)+1,1)&amp;"",B135),"")</f>
        <v/>
      </c>
      <c r="C136" s="17" t="str">
        <f>IFERROR(IF(VLOOKUP(B135,役職一覧!$C$2:$E$31,3,FALSE)=C135,1,C135+1),"")</f>
        <v/>
      </c>
      <c r="D136" s="17" t="str">
        <f>IFERROR(INDEX(逆引き作成用!$C$2:$C$169,MATCH($B136&amp;"/"&amp;$C136,逆引き作成用!D$2:D$169,FALSE),1),"")</f>
        <v/>
      </c>
      <c r="E136" s="17" t="str">
        <f>IFERROR(INDEX(逆引き作成用!$C$2:$C$169,MATCH($B136&amp;"/"&amp;$C136,逆引き作成用!E$2:E$169,FALSE),1),"")</f>
        <v/>
      </c>
      <c r="F136" s="17" t="str">
        <f>IFERROR(INDEX(逆引き作成用!$C$2:$C$169,MATCH($B136&amp;"/"&amp;$C136,逆引き作成用!F$2:F$169,FALSE),1),"")</f>
        <v/>
      </c>
      <c r="G136" s="17" t="str">
        <f>IFERROR(INDEX(逆引き作成用!$C$2:$C$169,MATCH($B136&amp;"/"&amp;$C136,逆引き作成用!G$2:G$169,FALSE),1),"")</f>
        <v/>
      </c>
      <c r="H136" s="17" t="str">
        <f>IFERROR(INDEX(逆引き作成用!$C$2:$C$169,MATCH($B136&amp;"/"&amp;$C136,逆引き作成用!H$2:H$169,FALSE),1),"")</f>
        <v/>
      </c>
      <c r="I136" s="17" t="str">
        <f>IFERROR(INDEX(逆引き作成用!$C$2:$C$169,MATCH($B136&amp;"/"&amp;$C136,逆引き作成用!I$2:I$169,FALSE),1),"")</f>
        <v/>
      </c>
      <c r="J136" s="17" t="str">
        <f>IFERROR(INDEX(逆引き作成用!$C$2:$C$169,MATCH($B136&amp;"/"&amp;$C136,逆引き作成用!J$2:J$169,FALSE),1),"")</f>
        <v/>
      </c>
      <c r="K136" s="17" t="str">
        <f>IFERROR(INDEX(逆引き作成用!$C$2:$C$169,MATCH($B136&amp;"/"&amp;$C136,逆引き作成用!K$2:K$169,FALSE),1),"")</f>
        <v/>
      </c>
      <c r="L136" s="17" t="str">
        <f>IFERROR(INDEX(逆引き作成用!$C$2:$C$169,MATCH($B136&amp;"/"&amp;$C136,逆引き作成用!L$2:L$169,FALSE),1),"")</f>
        <v/>
      </c>
      <c r="M136" s="17" t="str">
        <f>IFERROR(INDEX(逆引き作成用!$C$2:$C$169,MATCH($B136&amp;"/"&amp;$C136,逆引き作成用!M$2:M$169,FALSE),1),"")</f>
        <v/>
      </c>
      <c r="N136" s="17" t="str">
        <f>IFERROR(INDEX(逆引き作成用!$C$2:$C$169,MATCH($B136&amp;"/"&amp;$C136,逆引き作成用!N$2:N$169,FALSE),1),"")</f>
        <v/>
      </c>
      <c r="O136" s="17" t="str">
        <f>IFERROR(INDEX(逆引き作成用!$C$2:$C$169,MATCH($B136&amp;"/"&amp;$C136,逆引き作成用!O$2:O$169,FALSE),1),"")</f>
        <v/>
      </c>
      <c r="P136" s="17" t="str">
        <f>IFERROR(INDEX(逆引き作成用!$C$2:$C$169,MATCH($B136&amp;"/"&amp;$C136,逆引き作成用!P$2:P$169,FALSE),1),"")</f>
        <v/>
      </c>
      <c r="Q136" s="17" t="str">
        <f>IFERROR(INDEX(逆引き作成用!$C$2:$C$169,MATCH($B136&amp;"/"&amp;$C136,逆引き作成用!Q$2:Q$169,FALSE),1),"")</f>
        <v/>
      </c>
      <c r="R136" s="17" t="str">
        <f>IFERROR(INDEX(逆引き作成用!$C$2:$C$169,MATCH($B136&amp;"/"&amp;$C136,逆引き作成用!R$2:R$169,FALSE),1),"")</f>
        <v/>
      </c>
      <c r="S136" s="17" t="str">
        <f>IFERROR(INDEX(逆引き作成用!$C$2:$C$169,MATCH($B136&amp;"/"&amp;$C136,逆引き作成用!S$2:S$169,FALSE),1),"")</f>
        <v/>
      </c>
      <c r="T136" s="17" t="str">
        <f>IFERROR(INDEX(逆引き作成用!$C$2:$C$169,MATCH($B136&amp;"/"&amp;$C136,逆引き作成用!T$2:T$169,FALSE),1),"")</f>
        <v/>
      </c>
      <c r="U136" s="17" t="str">
        <f>IFERROR(INDEX(逆引き作成用!$C$2:$C$169,MATCH($B136&amp;"/"&amp;$C136,逆引き作成用!U$2:U$169,FALSE),1),"")</f>
        <v/>
      </c>
      <c r="V136" s="17" t="str">
        <f>IFERROR(INDEX(逆引き作成用!$C$2:$C$169,MATCH($B136&amp;"/"&amp;$C136,逆引き作成用!V$2:V$169,FALSE),1),"")</f>
        <v/>
      </c>
      <c r="W136" s="17" t="str">
        <f>IFERROR(INDEX(逆引き作成用!$C$2:$C$169,MATCH($B136&amp;"/"&amp;$C136,逆引き作成用!W$2:W$169,FALSE),1),"")</f>
        <v/>
      </c>
      <c r="X136" s="17" t="str">
        <f>IFERROR(INDEX(逆引き作成用!$C$2:$C$169,MATCH($B136&amp;"/"&amp;$C136,逆引き作成用!X$2:X$169,FALSE),1),"")</f>
        <v/>
      </c>
      <c r="Y136" s="17" t="str">
        <f>IFERROR(INDEX(逆引き作成用!$C$2:$C$169,MATCH($B136&amp;"/"&amp;$C136,逆引き作成用!Y$2:Y$169,FALSE),1),"")</f>
        <v/>
      </c>
      <c r="Z136" s="17" t="str">
        <f>IFERROR(INDEX(逆引き作成用!$C$2:$C$169,MATCH($B136&amp;"/"&amp;$C136,逆引き作成用!Z$2:Z$169,FALSE),1),"")</f>
        <v/>
      </c>
      <c r="AA136" s="17" t="str">
        <f>IFERROR(INDEX(逆引き作成用!$C$2:$C$169,MATCH($B136&amp;"/"&amp;$C136,逆引き作成用!AA$2:AA$169,FALSE),1),"")</f>
        <v/>
      </c>
      <c r="AB136" s="17" t="str">
        <f>IFERROR(INDEX(逆引き作成用!$C$2:$C$169,MATCH($B136&amp;"/"&amp;$C136,逆引き作成用!AB$2:AB$169,FALSE),1),"")</f>
        <v/>
      </c>
      <c r="AC136" s="17" t="str">
        <f>IFERROR(INDEX(逆引き作成用!$C$2:$C$169,MATCH($B136&amp;"/"&amp;$C136,逆引き作成用!AC$2:AC$169,FALSE),1),"")</f>
        <v/>
      </c>
      <c r="AD136" s="17" t="str">
        <f>IFERROR(INDEX(逆引き作成用!$C$2:$C$169,MATCH($B136&amp;"/"&amp;$C136,逆引き作成用!AD$2:AD$169,FALSE),1),"")</f>
        <v/>
      </c>
      <c r="AE136" s="17" t="str">
        <f>IFERROR(INDEX(逆引き作成用!$C$2:$C$169,MATCH($B136&amp;"/"&amp;$C136,逆引き作成用!AE$2:AE$169,FALSE),1),"")</f>
        <v/>
      </c>
      <c r="AF136" s="17" t="str">
        <f>IFERROR(INDEX(逆引き作成用!$C$2:$C$169,MATCH($B136&amp;"/"&amp;$C136,逆引き作成用!AF$2:AF$169,FALSE),1),"")</f>
        <v/>
      </c>
      <c r="AG136" s="17" t="str">
        <f>IFERROR(INDEX(逆引き作成用!$C$2:$C$169,MATCH($B136&amp;"/"&amp;$C136,逆引き作成用!AG$2:AG$169,FALSE),1),"")</f>
        <v/>
      </c>
      <c r="AH136" s="17" t="str">
        <f>IFERROR(INDEX(逆引き作成用!$C$2:$C$169,MATCH($B136&amp;"/"&amp;$C136,逆引き作成用!AH$2:AH$169,FALSE),1),"")</f>
        <v/>
      </c>
      <c r="AI136" s="17" t="str">
        <f>IFERROR(INDEX(逆引き作成用!$C$2:$C$169,MATCH($B136&amp;"/"&amp;$C136,逆引き作成用!AI$2:AI$169,FALSE),1),"")</f>
        <v/>
      </c>
      <c r="AJ136" s="17" t="str">
        <f>IFERROR(INDEX(逆引き作成用!$C$2:$C$169,MATCH($B136&amp;"/"&amp;$C136,逆引き作成用!AJ$2:AJ$169,FALSE),1),"")</f>
        <v/>
      </c>
      <c r="AK136" s="17" t="str">
        <f>IFERROR(INDEX(逆引き作成用!$C$2:$C$169,MATCH($B136&amp;"/"&amp;$C136,逆引き作成用!AK$2:AK$169,FALSE),1),"")</f>
        <v/>
      </c>
      <c r="AL136" s="17" t="str">
        <f>IFERROR(INDEX(逆引き作成用!$C$2:$C$169,MATCH($B136&amp;"/"&amp;$C136,逆引き作成用!AL$2:AL$169,FALSE),1),"")</f>
        <v/>
      </c>
      <c r="AM136" s="17" t="str">
        <f>IFERROR(INDEX(逆引き作成用!$C$2:$C$169,MATCH($B136&amp;"/"&amp;$C136,逆引き作成用!AM$2:AM$169,FALSE),1),"")</f>
        <v/>
      </c>
      <c r="AN136" s="17" t="str">
        <f>IFERROR(INDEX(逆引き作成用!$C$2:$C$169,MATCH($B136&amp;"/"&amp;$C136,逆引き作成用!AN$2:AN$169,FALSE),1),"")</f>
        <v/>
      </c>
      <c r="AO136" s="17" t="str">
        <f>IFERROR(INDEX(逆引き作成用!$C$2:$C$169,MATCH($B136&amp;"/"&amp;$C136,逆引き作成用!AO$2:AO$169,FALSE),1),"")</f>
        <v/>
      </c>
      <c r="AP136" s="17" t="str">
        <f>IFERROR(INDEX(逆引き作成用!$C$2:$C$169,MATCH($B136&amp;"/"&amp;$C136,逆引き作成用!AP$2:AP$169,FALSE),1),"")</f>
        <v/>
      </c>
      <c r="AQ136" s="17" t="str">
        <f>IFERROR(INDEX(逆引き作成用!$C$2:$C$169,MATCH($B136&amp;"/"&amp;$C136,逆引き作成用!AQ$2:AQ$169,FALSE),1),"")</f>
        <v/>
      </c>
      <c r="AR136" s="17" t="str">
        <f>IFERROR(INDEX(逆引き作成用!$C$2:$C$169,MATCH($B136&amp;"/"&amp;$C136,逆引き作成用!AR$2:AR$169,FALSE),1),"")</f>
        <v/>
      </c>
      <c r="AS136" s="17" t="str">
        <f>IFERROR(INDEX(逆引き作成用!$C$2:$C$169,MATCH($B136&amp;"/"&amp;$C136,逆引き作成用!AS$2:AS$169,FALSE),1),"")</f>
        <v/>
      </c>
      <c r="AT136" s="17" t="str">
        <f>IFERROR(INDEX(逆引き作成用!$C$2:$C$169,MATCH($B136&amp;"/"&amp;$C136,逆引き作成用!AT$2:AT$169,FALSE),1),"")</f>
        <v/>
      </c>
      <c r="AU136" s="17" t="str">
        <f>IFERROR(INDEX(逆引き作成用!$C$2:$C$169,MATCH($B136&amp;"/"&amp;$C136,逆引き作成用!AU$2:AU$169,FALSE),1),"")</f>
        <v/>
      </c>
      <c r="AV136" s="17" t="str">
        <f>IFERROR(INDEX(逆引き作成用!$C$2:$C$169,MATCH($B136&amp;"/"&amp;$C136,逆引き作成用!AV$2:AV$169,FALSE),1),"")</f>
        <v/>
      </c>
      <c r="AW136" s="17" t="str">
        <f>IFERROR(INDEX(逆引き作成用!$C$2:$C$169,MATCH($B136&amp;"/"&amp;$C136,逆引き作成用!AW$2:AW$169,FALSE),1),"")</f>
        <v/>
      </c>
      <c r="AX136" s="17" t="str">
        <f>IFERROR(INDEX(逆引き作成用!$C$2:$C$169,MATCH($B136&amp;"/"&amp;$C136,逆引き作成用!AX$2:AX$169,FALSE),1),"")</f>
        <v/>
      </c>
      <c r="AY136" s="17" t="str">
        <f>IFERROR(INDEX(逆引き作成用!$C$2:$C$169,MATCH($B136&amp;"/"&amp;$C136,逆引き作成用!AY$2:AY$169,FALSE),1),"")</f>
        <v/>
      </c>
      <c r="AZ136" s="17" t="str">
        <f>IFERROR(INDEX(逆引き作成用!$C$2:$C$169,MATCH($B136&amp;"/"&amp;$C136,逆引き作成用!AZ$2:AZ$169,FALSE),1),"")</f>
        <v/>
      </c>
      <c r="BA136" s="17" t="str">
        <f>IFERROR(INDEX(逆引き作成用!$C$2:$C$169,MATCH($B136&amp;"/"&amp;$C136,逆引き作成用!BA$2:BA$169,FALSE),1),"")</f>
        <v/>
      </c>
    </row>
    <row r="137" spans="1:53">
      <c r="A137" s="17" t="str">
        <f>IFERROR(INDEX(役職一覧!$B$2:$B$31,MATCH(B137,役職一覧!$C$2:$C$31,FALSE),1),"")</f>
        <v/>
      </c>
      <c r="B137" s="17" t="str">
        <f>IFERROR(IF(C137=1,INDEX(役職一覧!$C$2:$C$31,MATCH(逆引き!B136,役職一覧!$C$2:$C$31,FALSE)+1,1)&amp;"",B136),"")</f>
        <v/>
      </c>
      <c r="C137" s="17" t="str">
        <f>IFERROR(IF(VLOOKUP(B136,役職一覧!$C$2:$E$31,3,FALSE)=C136,1,C136+1),"")</f>
        <v/>
      </c>
      <c r="D137" s="17" t="str">
        <f>IFERROR(INDEX(逆引き作成用!$C$2:$C$169,MATCH($B137&amp;"/"&amp;$C137,逆引き作成用!D$2:D$169,FALSE),1),"")</f>
        <v/>
      </c>
      <c r="E137" s="17" t="str">
        <f>IFERROR(INDEX(逆引き作成用!$C$2:$C$169,MATCH($B137&amp;"/"&amp;$C137,逆引き作成用!E$2:E$169,FALSE),1),"")</f>
        <v/>
      </c>
      <c r="F137" s="17" t="str">
        <f>IFERROR(INDEX(逆引き作成用!$C$2:$C$169,MATCH($B137&amp;"/"&amp;$C137,逆引き作成用!F$2:F$169,FALSE),1),"")</f>
        <v/>
      </c>
      <c r="G137" s="17" t="str">
        <f>IFERROR(INDEX(逆引き作成用!$C$2:$C$169,MATCH($B137&amp;"/"&amp;$C137,逆引き作成用!G$2:G$169,FALSE),1),"")</f>
        <v/>
      </c>
      <c r="H137" s="17" t="str">
        <f>IFERROR(INDEX(逆引き作成用!$C$2:$C$169,MATCH($B137&amp;"/"&amp;$C137,逆引き作成用!H$2:H$169,FALSE),1),"")</f>
        <v/>
      </c>
      <c r="I137" s="17" t="str">
        <f>IFERROR(INDEX(逆引き作成用!$C$2:$C$169,MATCH($B137&amp;"/"&amp;$C137,逆引き作成用!I$2:I$169,FALSE),1),"")</f>
        <v/>
      </c>
      <c r="J137" s="17" t="str">
        <f>IFERROR(INDEX(逆引き作成用!$C$2:$C$169,MATCH($B137&amp;"/"&amp;$C137,逆引き作成用!J$2:J$169,FALSE),1),"")</f>
        <v/>
      </c>
      <c r="K137" s="17" t="str">
        <f>IFERROR(INDEX(逆引き作成用!$C$2:$C$169,MATCH($B137&amp;"/"&amp;$C137,逆引き作成用!K$2:K$169,FALSE),1),"")</f>
        <v/>
      </c>
      <c r="L137" s="17" t="str">
        <f>IFERROR(INDEX(逆引き作成用!$C$2:$C$169,MATCH($B137&amp;"/"&amp;$C137,逆引き作成用!L$2:L$169,FALSE),1),"")</f>
        <v/>
      </c>
      <c r="M137" s="17" t="str">
        <f>IFERROR(INDEX(逆引き作成用!$C$2:$C$169,MATCH($B137&amp;"/"&amp;$C137,逆引き作成用!M$2:M$169,FALSE),1),"")</f>
        <v/>
      </c>
      <c r="N137" s="17" t="str">
        <f>IFERROR(INDEX(逆引き作成用!$C$2:$C$169,MATCH($B137&amp;"/"&amp;$C137,逆引き作成用!N$2:N$169,FALSE),1),"")</f>
        <v/>
      </c>
      <c r="O137" s="17" t="str">
        <f>IFERROR(INDEX(逆引き作成用!$C$2:$C$169,MATCH($B137&amp;"/"&amp;$C137,逆引き作成用!O$2:O$169,FALSE),1),"")</f>
        <v/>
      </c>
      <c r="P137" s="17" t="str">
        <f>IFERROR(INDEX(逆引き作成用!$C$2:$C$169,MATCH($B137&amp;"/"&amp;$C137,逆引き作成用!P$2:P$169,FALSE),1),"")</f>
        <v/>
      </c>
      <c r="Q137" s="17" t="str">
        <f>IFERROR(INDEX(逆引き作成用!$C$2:$C$169,MATCH($B137&amp;"/"&amp;$C137,逆引き作成用!Q$2:Q$169,FALSE),1),"")</f>
        <v/>
      </c>
      <c r="R137" s="17" t="str">
        <f>IFERROR(INDEX(逆引き作成用!$C$2:$C$169,MATCH($B137&amp;"/"&amp;$C137,逆引き作成用!R$2:R$169,FALSE),1),"")</f>
        <v/>
      </c>
      <c r="S137" s="17" t="str">
        <f>IFERROR(INDEX(逆引き作成用!$C$2:$C$169,MATCH($B137&amp;"/"&amp;$C137,逆引き作成用!S$2:S$169,FALSE),1),"")</f>
        <v/>
      </c>
      <c r="T137" s="17" t="str">
        <f>IFERROR(INDEX(逆引き作成用!$C$2:$C$169,MATCH($B137&amp;"/"&amp;$C137,逆引き作成用!T$2:T$169,FALSE),1),"")</f>
        <v/>
      </c>
      <c r="U137" s="17" t="str">
        <f>IFERROR(INDEX(逆引き作成用!$C$2:$C$169,MATCH($B137&amp;"/"&amp;$C137,逆引き作成用!U$2:U$169,FALSE),1),"")</f>
        <v/>
      </c>
      <c r="V137" s="17" t="str">
        <f>IFERROR(INDEX(逆引き作成用!$C$2:$C$169,MATCH($B137&amp;"/"&amp;$C137,逆引き作成用!V$2:V$169,FALSE),1),"")</f>
        <v/>
      </c>
      <c r="W137" s="17" t="str">
        <f>IFERROR(INDEX(逆引き作成用!$C$2:$C$169,MATCH($B137&amp;"/"&amp;$C137,逆引き作成用!W$2:W$169,FALSE),1),"")</f>
        <v/>
      </c>
      <c r="X137" s="17" t="str">
        <f>IFERROR(INDEX(逆引き作成用!$C$2:$C$169,MATCH($B137&amp;"/"&amp;$C137,逆引き作成用!X$2:X$169,FALSE),1),"")</f>
        <v/>
      </c>
      <c r="Y137" s="17" t="str">
        <f>IFERROR(INDEX(逆引き作成用!$C$2:$C$169,MATCH($B137&amp;"/"&amp;$C137,逆引き作成用!Y$2:Y$169,FALSE),1),"")</f>
        <v/>
      </c>
      <c r="Z137" s="17" t="str">
        <f>IFERROR(INDEX(逆引き作成用!$C$2:$C$169,MATCH($B137&amp;"/"&amp;$C137,逆引き作成用!Z$2:Z$169,FALSE),1),"")</f>
        <v/>
      </c>
      <c r="AA137" s="17" t="str">
        <f>IFERROR(INDEX(逆引き作成用!$C$2:$C$169,MATCH($B137&amp;"/"&amp;$C137,逆引き作成用!AA$2:AA$169,FALSE),1),"")</f>
        <v/>
      </c>
      <c r="AB137" s="17" t="str">
        <f>IFERROR(INDEX(逆引き作成用!$C$2:$C$169,MATCH($B137&amp;"/"&amp;$C137,逆引き作成用!AB$2:AB$169,FALSE),1),"")</f>
        <v/>
      </c>
      <c r="AC137" s="17" t="str">
        <f>IFERROR(INDEX(逆引き作成用!$C$2:$C$169,MATCH($B137&amp;"/"&amp;$C137,逆引き作成用!AC$2:AC$169,FALSE),1),"")</f>
        <v/>
      </c>
      <c r="AD137" s="17" t="str">
        <f>IFERROR(INDEX(逆引き作成用!$C$2:$C$169,MATCH($B137&amp;"/"&amp;$C137,逆引き作成用!AD$2:AD$169,FALSE),1),"")</f>
        <v/>
      </c>
      <c r="AE137" s="17" t="str">
        <f>IFERROR(INDEX(逆引き作成用!$C$2:$C$169,MATCH($B137&amp;"/"&amp;$C137,逆引き作成用!AE$2:AE$169,FALSE),1),"")</f>
        <v/>
      </c>
      <c r="AF137" s="17" t="str">
        <f>IFERROR(INDEX(逆引き作成用!$C$2:$C$169,MATCH($B137&amp;"/"&amp;$C137,逆引き作成用!AF$2:AF$169,FALSE),1),"")</f>
        <v/>
      </c>
      <c r="AG137" s="17" t="str">
        <f>IFERROR(INDEX(逆引き作成用!$C$2:$C$169,MATCH($B137&amp;"/"&amp;$C137,逆引き作成用!AG$2:AG$169,FALSE),1),"")</f>
        <v/>
      </c>
      <c r="AH137" s="17" t="str">
        <f>IFERROR(INDEX(逆引き作成用!$C$2:$C$169,MATCH($B137&amp;"/"&amp;$C137,逆引き作成用!AH$2:AH$169,FALSE),1),"")</f>
        <v/>
      </c>
      <c r="AI137" s="17" t="str">
        <f>IFERROR(INDEX(逆引き作成用!$C$2:$C$169,MATCH($B137&amp;"/"&amp;$C137,逆引き作成用!AI$2:AI$169,FALSE),1),"")</f>
        <v/>
      </c>
      <c r="AJ137" s="17" t="str">
        <f>IFERROR(INDEX(逆引き作成用!$C$2:$C$169,MATCH($B137&amp;"/"&amp;$C137,逆引き作成用!AJ$2:AJ$169,FALSE),1),"")</f>
        <v/>
      </c>
      <c r="AK137" s="17" t="str">
        <f>IFERROR(INDEX(逆引き作成用!$C$2:$C$169,MATCH($B137&amp;"/"&amp;$C137,逆引き作成用!AK$2:AK$169,FALSE),1),"")</f>
        <v/>
      </c>
      <c r="AL137" s="17" t="str">
        <f>IFERROR(INDEX(逆引き作成用!$C$2:$C$169,MATCH($B137&amp;"/"&amp;$C137,逆引き作成用!AL$2:AL$169,FALSE),1),"")</f>
        <v/>
      </c>
      <c r="AM137" s="17" t="str">
        <f>IFERROR(INDEX(逆引き作成用!$C$2:$C$169,MATCH($B137&amp;"/"&amp;$C137,逆引き作成用!AM$2:AM$169,FALSE),1),"")</f>
        <v/>
      </c>
      <c r="AN137" s="17" t="str">
        <f>IFERROR(INDEX(逆引き作成用!$C$2:$C$169,MATCH($B137&amp;"/"&amp;$C137,逆引き作成用!AN$2:AN$169,FALSE),1),"")</f>
        <v/>
      </c>
      <c r="AO137" s="17" t="str">
        <f>IFERROR(INDEX(逆引き作成用!$C$2:$C$169,MATCH($B137&amp;"/"&amp;$C137,逆引き作成用!AO$2:AO$169,FALSE),1),"")</f>
        <v/>
      </c>
      <c r="AP137" s="17" t="str">
        <f>IFERROR(INDEX(逆引き作成用!$C$2:$C$169,MATCH($B137&amp;"/"&amp;$C137,逆引き作成用!AP$2:AP$169,FALSE),1),"")</f>
        <v/>
      </c>
      <c r="AQ137" s="17" t="str">
        <f>IFERROR(INDEX(逆引き作成用!$C$2:$C$169,MATCH($B137&amp;"/"&amp;$C137,逆引き作成用!AQ$2:AQ$169,FALSE),1),"")</f>
        <v/>
      </c>
      <c r="AR137" s="17" t="str">
        <f>IFERROR(INDEX(逆引き作成用!$C$2:$C$169,MATCH($B137&amp;"/"&amp;$C137,逆引き作成用!AR$2:AR$169,FALSE),1),"")</f>
        <v/>
      </c>
      <c r="AS137" s="17" t="str">
        <f>IFERROR(INDEX(逆引き作成用!$C$2:$C$169,MATCH($B137&amp;"/"&amp;$C137,逆引き作成用!AS$2:AS$169,FALSE),1),"")</f>
        <v/>
      </c>
      <c r="AT137" s="17" t="str">
        <f>IFERROR(INDEX(逆引き作成用!$C$2:$C$169,MATCH($B137&amp;"/"&amp;$C137,逆引き作成用!AT$2:AT$169,FALSE),1),"")</f>
        <v/>
      </c>
      <c r="AU137" s="17" t="str">
        <f>IFERROR(INDEX(逆引き作成用!$C$2:$C$169,MATCH($B137&amp;"/"&amp;$C137,逆引き作成用!AU$2:AU$169,FALSE),1),"")</f>
        <v/>
      </c>
      <c r="AV137" s="17" t="str">
        <f>IFERROR(INDEX(逆引き作成用!$C$2:$C$169,MATCH($B137&amp;"/"&amp;$C137,逆引き作成用!AV$2:AV$169,FALSE),1),"")</f>
        <v/>
      </c>
      <c r="AW137" s="17" t="str">
        <f>IFERROR(INDEX(逆引き作成用!$C$2:$C$169,MATCH($B137&amp;"/"&amp;$C137,逆引き作成用!AW$2:AW$169,FALSE),1),"")</f>
        <v/>
      </c>
      <c r="AX137" s="17" t="str">
        <f>IFERROR(INDEX(逆引き作成用!$C$2:$C$169,MATCH($B137&amp;"/"&amp;$C137,逆引き作成用!AX$2:AX$169,FALSE),1),"")</f>
        <v/>
      </c>
      <c r="AY137" s="17" t="str">
        <f>IFERROR(INDEX(逆引き作成用!$C$2:$C$169,MATCH($B137&amp;"/"&amp;$C137,逆引き作成用!AY$2:AY$169,FALSE),1),"")</f>
        <v/>
      </c>
      <c r="AZ137" s="17" t="str">
        <f>IFERROR(INDEX(逆引き作成用!$C$2:$C$169,MATCH($B137&amp;"/"&amp;$C137,逆引き作成用!AZ$2:AZ$169,FALSE),1),"")</f>
        <v/>
      </c>
      <c r="BA137" s="17" t="str">
        <f>IFERROR(INDEX(逆引き作成用!$C$2:$C$169,MATCH($B137&amp;"/"&amp;$C137,逆引き作成用!BA$2:BA$169,FALSE),1),"")</f>
        <v/>
      </c>
    </row>
    <row r="138" spans="1:53">
      <c r="A138" s="17" t="str">
        <f>IFERROR(INDEX(役職一覧!$B$2:$B$31,MATCH(B138,役職一覧!$C$2:$C$31,FALSE),1),"")</f>
        <v/>
      </c>
      <c r="B138" s="17" t="str">
        <f>IFERROR(IF(C138=1,INDEX(役職一覧!$C$2:$C$31,MATCH(逆引き!B137,役職一覧!$C$2:$C$31,FALSE)+1,1)&amp;"",B137),"")</f>
        <v/>
      </c>
      <c r="C138" s="17" t="str">
        <f>IFERROR(IF(VLOOKUP(B137,役職一覧!$C$2:$E$31,3,FALSE)=C137,1,C137+1),"")</f>
        <v/>
      </c>
      <c r="D138" s="17" t="str">
        <f>IFERROR(INDEX(逆引き作成用!$C$2:$C$169,MATCH($B138&amp;"/"&amp;$C138,逆引き作成用!D$2:D$169,FALSE),1),"")</f>
        <v/>
      </c>
      <c r="E138" s="17" t="str">
        <f>IFERROR(INDEX(逆引き作成用!$C$2:$C$169,MATCH($B138&amp;"/"&amp;$C138,逆引き作成用!E$2:E$169,FALSE),1),"")</f>
        <v/>
      </c>
      <c r="F138" s="17" t="str">
        <f>IFERROR(INDEX(逆引き作成用!$C$2:$C$169,MATCH($B138&amp;"/"&amp;$C138,逆引き作成用!F$2:F$169,FALSE),1),"")</f>
        <v/>
      </c>
      <c r="G138" s="17" t="str">
        <f>IFERROR(INDEX(逆引き作成用!$C$2:$C$169,MATCH($B138&amp;"/"&amp;$C138,逆引き作成用!G$2:G$169,FALSE),1),"")</f>
        <v/>
      </c>
      <c r="H138" s="17" t="str">
        <f>IFERROR(INDEX(逆引き作成用!$C$2:$C$169,MATCH($B138&amp;"/"&amp;$C138,逆引き作成用!H$2:H$169,FALSE),1),"")</f>
        <v/>
      </c>
      <c r="I138" s="17" t="str">
        <f>IFERROR(INDEX(逆引き作成用!$C$2:$C$169,MATCH($B138&amp;"/"&amp;$C138,逆引き作成用!I$2:I$169,FALSE),1),"")</f>
        <v/>
      </c>
      <c r="J138" s="17" t="str">
        <f>IFERROR(INDEX(逆引き作成用!$C$2:$C$169,MATCH($B138&amp;"/"&amp;$C138,逆引き作成用!J$2:J$169,FALSE),1),"")</f>
        <v/>
      </c>
      <c r="K138" s="17" t="str">
        <f>IFERROR(INDEX(逆引き作成用!$C$2:$C$169,MATCH($B138&amp;"/"&amp;$C138,逆引き作成用!K$2:K$169,FALSE),1),"")</f>
        <v/>
      </c>
      <c r="L138" s="17" t="str">
        <f>IFERROR(INDEX(逆引き作成用!$C$2:$C$169,MATCH($B138&amp;"/"&amp;$C138,逆引き作成用!L$2:L$169,FALSE),1),"")</f>
        <v/>
      </c>
      <c r="M138" s="17" t="str">
        <f>IFERROR(INDEX(逆引き作成用!$C$2:$C$169,MATCH($B138&amp;"/"&amp;$C138,逆引き作成用!M$2:M$169,FALSE),1),"")</f>
        <v/>
      </c>
      <c r="N138" s="17" t="str">
        <f>IFERROR(INDEX(逆引き作成用!$C$2:$C$169,MATCH($B138&amp;"/"&amp;$C138,逆引き作成用!N$2:N$169,FALSE),1),"")</f>
        <v/>
      </c>
      <c r="O138" s="17" t="str">
        <f>IFERROR(INDEX(逆引き作成用!$C$2:$C$169,MATCH($B138&amp;"/"&amp;$C138,逆引き作成用!O$2:O$169,FALSE),1),"")</f>
        <v/>
      </c>
      <c r="P138" s="17" t="str">
        <f>IFERROR(INDEX(逆引き作成用!$C$2:$C$169,MATCH($B138&amp;"/"&amp;$C138,逆引き作成用!P$2:P$169,FALSE),1),"")</f>
        <v/>
      </c>
      <c r="Q138" s="17" t="str">
        <f>IFERROR(INDEX(逆引き作成用!$C$2:$C$169,MATCH($B138&amp;"/"&amp;$C138,逆引き作成用!Q$2:Q$169,FALSE),1),"")</f>
        <v/>
      </c>
      <c r="R138" s="17" t="str">
        <f>IFERROR(INDEX(逆引き作成用!$C$2:$C$169,MATCH($B138&amp;"/"&amp;$C138,逆引き作成用!R$2:R$169,FALSE),1),"")</f>
        <v/>
      </c>
      <c r="S138" s="17" t="str">
        <f>IFERROR(INDEX(逆引き作成用!$C$2:$C$169,MATCH($B138&amp;"/"&amp;$C138,逆引き作成用!S$2:S$169,FALSE),1),"")</f>
        <v/>
      </c>
      <c r="T138" s="17" t="str">
        <f>IFERROR(INDEX(逆引き作成用!$C$2:$C$169,MATCH($B138&amp;"/"&amp;$C138,逆引き作成用!T$2:T$169,FALSE),1),"")</f>
        <v/>
      </c>
      <c r="U138" s="17" t="str">
        <f>IFERROR(INDEX(逆引き作成用!$C$2:$C$169,MATCH($B138&amp;"/"&amp;$C138,逆引き作成用!U$2:U$169,FALSE),1),"")</f>
        <v/>
      </c>
      <c r="V138" s="17" t="str">
        <f>IFERROR(INDEX(逆引き作成用!$C$2:$C$169,MATCH($B138&amp;"/"&amp;$C138,逆引き作成用!V$2:V$169,FALSE),1),"")</f>
        <v/>
      </c>
      <c r="W138" s="17" t="str">
        <f>IFERROR(INDEX(逆引き作成用!$C$2:$C$169,MATCH($B138&amp;"/"&amp;$C138,逆引き作成用!W$2:W$169,FALSE),1),"")</f>
        <v/>
      </c>
      <c r="X138" s="17" t="str">
        <f>IFERROR(INDEX(逆引き作成用!$C$2:$C$169,MATCH($B138&amp;"/"&amp;$C138,逆引き作成用!X$2:X$169,FALSE),1),"")</f>
        <v/>
      </c>
      <c r="Y138" s="17" t="str">
        <f>IFERROR(INDEX(逆引き作成用!$C$2:$C$169,MATCH($B138&amp;"/"&amp;$C138,逆引き作成用!Y$2:Y$169,FALSE),1),"")</f>
        <v/>
      </c>
      <c r="Z138" s="17" t="str">
        <f>IFERROR(INDEX(逆引き作成用!$C$2:$C$169,MATCH($B138&amp;"/"&amp;$C138,逆引き作成用!Z$2:Z$169,FALSE),1),"")</f>
        <v/>
      </c>
      <c r="AA138" s="17" t="str">
        <f>IFERROR(INDEX(逆引き作成用!$C$2:$C$169,MATCH($B138&amp;"/"&amp;$C138,逆引き作成用!AA$2:AA$169,FALSE),1),"")</f>
        <v/>
      </c>
      <c r="AB138" s="17" t="str">
        <f>IFERROR(INDEX(逆引き作成用!$C$2:$C$169,MATCH($B138&amp;"/"&amp;$C138,逆引き作成用!AB$2:AB$169,FALSE),1),"")</f>
        <v/>
      </c>
      <c r="AC138" s="17" t="str">
        <f>IFERROR(INDEX(逆引き作成用!$C$2:$C$169,MATCH($B138&amp;"/"&amp;$C138,逆引き作成用!AC$2:AC$169,FALSE),1),"")</f>
        <v/>
      </c>
      <c r="AD138" s="17" t="str">
        <f>IFERROR(INDEX(逆引き作成用!$C$2:$C$169,MATCH($B138&amp;"/"&amp;$C138,逆引き作成用!AD$2:AD$169,FALSE),1),"")</f>
        <v/>
      </c>
      <c r="AE138" s="17" t="str">
        <f>IFERROR(INDEX(逆引き作成用!$C$2:$C$169,MATCH($B138&amp;"/"&amp;$C138,逆引き作成用!AE$2:AE$169,FALSE),1),"")</f>
        <v/>
      </c>
      <c r="AF138" s="17" t="str">
        <f>IFERROR(INDEX(逆引き作成用!$C$2:$C$169,MATCH($B138&amp;"/"&amp;$C138,逆引き作成用!AF$2:AF$169,FALSE),1),"")</f>
        <v/>
      </c>
      <c r="AG138" s="17" t="str">
        <f>IFERROR(INDEX(逆引き作成用!$C$2:$C$169,MATCH($B138&amp;"/"&amp;$C138,逆引き作成用!AG$2:AG$169,FALSE),1),"")</f>
        <v/>
      </c>
      <c r="AH138" s="17" t="str">
        <f>IFERROR(INDEX(逆引き作成用!$C$2:$C$169,MATCH($B138&amp;"/"&amp;$C138,逆引き作成用!AH$2:AH$169,FALSE),1),"")</f>
        <v/>
      </c>
      <c r="AI138" s="17" t="str">
        <f>IFERROR(INDEX(逆引き作成用!$C$2:$C$169,MATCH($B138&amp;"/"&amp;$C138,逆引き作成用!AI$2:AI$169,FALSE),1),"")</f>
        <v/>
      </c>
      <c r="AJ138" s="17" t="str">
        <f>IFERROR(INDEX(逆引き作成用!$C$2:$C$169,MATCH($B138&amp;"/"&amp;$C138,逆引き作成用!AJ$2:AJ$169,FALSE),1),"")</f>
        <v/>
      </c>
      <c r="AK138" s="17" t="str">
        <f>IFERROR(INDEX(逆引き作成用!$C$2:$C$169,MATCH($B138&amp;"/"&amp;$C138,逆引き作成用!AK$2:AK$169,FALSE),1),"")</f>
        <v/>
      </c>
      <c r="AL138" s="17" t="str">
        <f>IFERROR(INDEX(逆引き作成用!$C$2:$C$169,MATCH($B138&amp;"/"&amp;$C138,逆引き作成用!AL$2:AL$169,FALSE),1),"")</f>
        <v/>
      </c>
      <c r="AM138" s="17" t="str">
        <f>IFERROR(INDEX(逆引き作成用!$C$2:$C$169,MATCH($B138&amp;"/"&amp;$C138,逆引き作成用!AM$2:AM$169,FALSE),1),"")</f>
        <v/>
      </c>
      <c r="AN138" s="17" t="str">
        <f>IFERROR(INDEX(逆引き作成用!$C$2:$C$169,MATCH($B138&amp;"/"&amp;$C138,逆引き作成用!AN$2:AN$169,FALSE),1),"")</f>
        <v/>
      </c>
      <c r="AO138" s="17" t="str">
        <f>IFERROR(INDEX(逆引き作成用!$C$2:$C$169,MATCH($B138&amp;"/"&amp;$C138,逆引き作成用!AO$2:AO$169,FALSE),1),"")</f>
        <v/>
      </c>
      <c r="AP138" s="17" t="str">
        <f>IFERROR(INDEX(逆引き作成用!$C$2:$C$169,MATCH($B138&amp;"/"&amp;$C138,逆引き作成用!AP$2:AP$169,FALSE),1),"")</f>
        <v/>
      </c>
      <c r="AQ138" s="17" t="str">
        <f>IFERROR(INDEX(逆引き作成用!$C$2:$C$169,MATCH($B138&amp;"/"&amp;$C138,逆引き作成用!AQ$2:AQ$169,FALSE),1),"")</f>
        <v/>
      </c>
      <c r="AR138" s="17" t="str">
        <f>IFERROR(INDEX(逆引き作成用!$C$2:$C$169,MATCH($B138&amp;"/"&amp;$C138,逆引き作成用!AR$2:AR$169,FALSE),1),"")</f>
        <v/>
      </c>
      <c r="AS138" s="17" t="str">
        <f>IFERROR(INDEX(逆引き作成用!$C$2:$C$169,MATCH($B138&amp;"/"&amp;$C138,逆引き作成用!AS$2:AS$169,FALSE),1),"")</f>
        <v/>
      </c>
      <c r="AT138" s="17" t="str">
        <f>IFERROR(INDEX(逆引き作成用!$C$2:$C$169,MATCH($B138&amp;"/"&amp;$C138,逆引き作成用!AT$2:AT$169,FALSE),1),"")</f>
        <v/>
      </c>
      <c r="AU138" s="17" t="str">
        <f>IFERROR(INDEX(逆引き作成用!$C$2:$C$169,MATCH($B138&amp;"/"&amp;$C138,逆引き作成用!AU$2:AU$169,FALSE),1),"")</f>
        <v/>
      </c>
      <c r="AV138" s="17" t="str">
        <f>IFERROR(INDEX(逆引き作成用!$C$2:$C$169,MATCH($B138&amp;"/"&amp;$C138,逆引き作成用!AV$2:AV$169,FALSE),1),"")</f>
        <v/>
      </c>
      <c r="AW138" s="17" t="str">
        <f>IFERROR(INDEX(逆引き作成用!$C$2:$C$169,MATCH($B138&amp;"/"&amp;$C138,逆引き作成用!AW$2:AW$169,FALSE),1),"")</f>
        <v/>
      </c>
      <c r="AX138" s="17" t="str">
        <f>IFERROR(INDEX(逆引き作成用!$C$2:$C$169,MATCH($B138&amp;"/"&amp;$C138,逆引き作成用!AX$2:AX$169,FALSE),1),"")</f>
        <v/>
      </c>
      <c r="AY138" s="17" t="str">
        <f>IFERROR(INDEX(逆引き作成用!$C$2:$C$169,MATCH($B138&amp;"/"&amp;$C138,逆引き作成用!AY$2:AY$169,FALSE),1),"")</f>
        <v/>
      </c>
      <c r="AZ138" s="17" t="str">
        <f>IFERROR(INDEX(逆引き作成用!$C$2:$C$169,MATCH($B138&amp;"/"&amp;$C138,逆引き作成用!AZ$2:AZ$169,FALSE),1),"")</f>
        <v/>
      </c>
      <c r="BA138" s="17" t="str">
        <f>IFERROR(INDEX(逆引き作成用!$C$2:$C$169,MATCH($B138&amp;"/"&amp;$C138,逆引き作成用!BA$2:BA$169,FALSE),1),"")</f>
        <v/>
      </c>
    </row>
    <row r="139" spans="1:53">
      <c r="A139" s="17" t="str">
        <f>IFERROR(INDEX(役職一覧!$B$2:$B$31,MATCH(B139,役職一覧!$C$2:$C$31,FALSE),1),"")</f>
        <v/>
      </c>
      <c r="B139" s="17" t="str">
        <f>IFERROR(IF(C139=1,INDEX(役職一覧!$C$2:$C$31,MATCH(逆引き!B138,役職一覧!$C$2:$C$31,FALSE)+1,1)&amp;"",B138),"")</f>
        <v/>
      </c>
      <c r="C139" s="17" t="str">
        <f>IFERROR(IF(VLOOKUP(B138,役職一覧!$C$2:$E$31,3,FALSE)=C138,1,C138+1),"")</f>
        <v/>
      </c>
      <c r="D139" s="17" t="str">
        <f>IFERROR(INDEX(逆引き作成用!$C$2:$C$169,MATCH($B139&amp;"/"&amp;$C139,逆引き作成用!D$2:D$169,FALSE),1),"")</f>
        <v/>
      </c>
      <c r="E139" s="17" t="str">
        <f>IFERROR(INDEX(逆引き作成用!$C$2:$C$169,MATCH($B139&amp;"/"&amp;$C139,逆引き作成用!E$2:E$169,FALSE),1),"")</f>
        <v/>
      </c>
      <c r="F139" s="17" t="str">
        <f>IFERROR(INDEX(逆引き作成用!$C$2:$C$169,MATCH($B139&amp;"/"&amp;$C139,逆引き作成用!F$2:F$169,FALSE),1),"")</f>
        <v/>
      </c>
      <c r="G139" s="17" t="str">
        <f>IFERROR(INDEX(逆引き作成用!$C$2:$C$169,MATCH($B139&amp;"/"&amp;$C139,逆引き作成用!G$2:G$169,FALSE),1),"")</f>
        <v/>
      </c>
      <c r="H139" s="17" t="str">
        <f>IFERROR(INDEX(逆引き作成用!$C$2:$C$169,MATCH($B139&amp;"/"&amp;$C139,逆引き作成用!H$2:H$169,FALSE),1),"")</f>
        <v/>
      </c>
      <c r="I139" s="17" t="str">
        <f>IFERROR(INDEX(逆引き作成用!$C$2:$C$169,MATCH($B139&amp;"/"&amp;$C139,逆引き作成用!I$2:I$169,FALSE),1),"")</f>
        <v/>
      </c>
      <c r="J139" s="17" t="str">
        <f>IFERROR(INDEX(逆引き作成用!$C$2:$C$169,MATCH($B139&amp;"/"&amp;$C139,逆引き作成用!J$2:J$169,FALSE),1),"")</f>
        <v/>
      </c>
      <c r="K139" s="17" t="str">
        <f>IFERROR(INDEX(逆引き作成用!$C$2:$C$169,MATCH($B139&amp;"/"&amp;$C139,逆引き作成用!K$2:K$169,FALSE),1),"")</f>
        <v/>
      </c>
      <c r="L139" s="17" t="str">
        <f>IFERROR(INDEX(逆引き作成用!$C$2:$C$169,MATCH($B139&amp;"/"&amp;$C139,逆引き作成用!L$2:L$169,FALSE),1),"")</f>
        <v/>
      </c>
      <c r="M139" s="17" t="str">
        <f>IFERROR(INDEX(逆引き作成用!$C$2:$C$169,MATCH($B139&amp;"/"&amp;$C139,逆引き作成用!M$2:M$169,FALSE),1),"")</f>
        <v/>
      </c>
      <c r="N139" s="17" t="str">
        <f>IFERROR(INDEX(逆引き作成用!$C$2:$C$169,MATCH($B139&amp;"/"&amp;$C139,逆引き作成用!N$2:N$169,FALSE),1),"")</f>
        <v/>
      </c>
      <c r="O139" s="17" t="str">
        <f>IFERROR(INDEX(逆引き作成用!$C$2:$C$169,MATCH($B139&amp;"/"&amp;$C139,逆引き作成用!O$2:O$169,FALSE),1),"")</f>
        <v/>
      </c>
      <c r="P139" s="17" t="str">
        <f>IFERROR(INDEX(逆引き作成用!$C$2:$C$169,MATCH($B139&amp;"/"&amp;$C139,逆引き作成用!P$2:P$169,FALSE),1),"")</f>
        <v/>
      </c>
      <c r="Q139" s="17" t="str">
        <f>IFERROR(INDEX(逆引き作成用!$C$2:$C$169,MATCH($B139&amp;"/"&amp;$C139,逆引き作成用!Q$2:Q$169,FALSE),1),"")</f>
        <v/>
      </c>
      <c r="R139" s="17" t="str">
        <f>IFERROR(INDEX(逆引き作成用!$C$2:$C$169,MATCH($B139&amp;"/"&amp;$C139,逆引き作成用!R$2:R$169,FALSE),1),"")</f>
        <v/>
      </c>
      <c r="S139" s="17" t="str">
        <f>IFERROR(INDEX(逆引き作成用!$C$2:$C$169,MATCH($B139&amp;"/"&amp;$C139,逆引き作成用!S$2:S$169,FALSE),1),"")</f>
        <v/>
      </c>
      <c r="T139" s="17" t="str">
        <f>IFERROR(INDEX(逆引き作成用!$C$2:$C$169,MATCH($B139&amp;"/"&amp;$C139,逆引き作成用!T$2:T$169,FALSE),1),"")</f>
        <v/>
      </c>
      <c r="U139" s="17" t="str">
        <f>IFERROR(INDEX(逆引き作成用!$C$2:$C$169,MATCH($B139&amp;"/"&amp;$C139,逆引き作成用!U$2:U$169,FALSE),1),"")</f>
        <v/>
      </c>
      <c r="V139" s="17" t="str">
        <f>IFERROR(INDEX(逆引き作成用!$C$2:$C$169,MATCH($B139&amp;"/"&amp;$C139,逆引き作成用!V$2:V$169,FALSE),1),"")</f>
        <v/>
      </c>
      <c r="W139" s="17" t="str">
        <f>IFERROR(INDEX(逆引き作成用!$C$2:$C$169,MATCH($B139&amp;"/"&amp;$C139,逆引き作成用!W$2:W$169,FALSE),1),"")</f>
        <v/>
      </c>
      <c r="X139" s="17" t="str">
        <f>IFERROR(INDEX(逆引き作成用!$C$2:$C$169,MATCH($B139&amp;"/"&amp;$C139,逆引き作成用!X$2:X$169,FALSE),1),"")</f>
        <v/>
      </c>
      <c r="Y139" s="17" t="str">
        <f>IFERROR(INDEX(逆引き作成用!$C$2:$C$169,MATCH($B139&amp;"/"&amp;$C139,逆引き作成用!Y$2:Y$169,FALSE),1),"")</f>
        <v/>
      </c>
      <c r="Z139" s="17" t="str">
        <f>IFERROR(INDEX(逆引き作成用!$C$2:$C$169,MATCH($B139&amp;"/"&amp;$C139,逆引き作成用!Z$2:Z$169,FALSE),1),"")</f>
        <v/>
      </c>
      <c r="AA139" s="17" t="str">
        <f>IFERROR(INDEX(逆引き作成用!$C$2:$C$169,MATCH($B139&amp;"/"&amp;$C139,逆引き作成用!AA$2:AA$169,FALSE),1),"")</f>
        <v/>
      </c>
      <c r="AB139" s="17" t="str">
        <f>IFERROR(INDEX(逆引き作成用!$C$2:$C$169,MATCH($B139&amp;"/"&amp;$C139,逆引き作成用!AB$2:AB$169,FALSE),1),"")</f>
        <v/>
      </c>
      <c r="AC139" s="17" t="str">
        <f>IFERROR(INDEX(逆引き作成用!$C$2:$C$169,MATCH($B139&amp;"/"&amp;$C139,逆引き作成用!AC$2:AC$169,FALSE),1),"")</f>
        <v/>
      </c>
      <c r="AD139" s="17" t="str">
        <f>IFERROR(INDEX(逆引き作成用!$C$2:$C$169,MATCH($B139&amp;"/"&amp;$C139,逆引き作成用!AD$2:AD$169,FALSE),1),"")</f>
        <v/>
      </c>
      <c r="AE139" s="17" t="str">
        <f>IFERROR(INDEX(逆引き作成用!$C$2:$C$169,MATCH($B139&amp;"/"&amp;$C139,逆引き作成用!AE$2:AE$169,FALSE),1),"")</f>
        <v/>
      </c>
      <c r="AF139" s="17" t="str">
        <f>IFERROR(INDEX(逆引き作成用!$C$2:$C$169,MATCH($B139&amp;"/"&amp;$C139,逆引き作成用!AF$2:AF$169,FALSE),1),"")</f>
        <v/>
      </c>
      <c r="AG139" s="17" t="str">
        <f>IFERROR(INDEX(逆引き作成用!$C$2:$C$169,MATCH($B139&amp;"/"&amp;$C139,逆引き作成用!AG$2:AG$169,FALSE),1),"")</f>
        <v/>
      </c>
      <c r="AH139" s="17" t="str">
        <f>IFERROR(INDEX(逆引き作成用!$C$2:$C$169,MATCH($B139&amp;"/"&amp;$C139,逆引き作成用!AH$2:AH$169,FALSE),1),"")</f>
        <v/>
      </c>
      <c r="AI139" s="17" t="str">
        <f>IFERROR(INDEX(逆引き作成用!$C$2:$C$169,MATCH($B139&amp;"/"&amp;$C139,逆引き作成用!AI$2:AI$169,FALSE),1),"")</f>
        <v/>
      </c>
      <c r="AJ139" s="17" t="str">
        <f>IFERROR(INDEX(逆引き作成用!$C$2:$C$169,MATCH($B139&amp;"/"&amp;$C139,逆引き作成用!AJ$2:AJ$169,FALSE),1),"")</f>
        <v/>
      </c>
      <c r="AK139" s="17" t="str">
        <f>IFERROR(INDEX(逆引き作成用!$C$2:$C$169,MATCH($B139&amp;"/"&amp;$C139,逆引き作成用!AK$2:AK$169,FALSE),1),"")</f>
        <v/>
      </c>
      <c r="AL139" s="17" t="str">
        <f>IFERROR(INDEX(逆引き作成用!$C$2:$C$169,MATCH($B139&amp;"/"&amp;$C139,逆引き作成用!AL$2:AL$169,FALSE),1),"")</f>
        <v/>
      </c>
      <c r="AM139" s="17" t="str">
        <f>IFERROR(INDEX(逆引き作成用!$C$2:$C$169,MATCH($B139&amp;"/"&amp;$C139,逆引き作成用!AM$2:AM$169,FALSE),1),"")</f>
        <v/>
      </c>
      <c r="AN139" s="17" t="str">
        <f>IFERROR(INDEX(逆引き作成用!$C$2:$C$169,MATCH($B139&amp;"/"&amp;$C139,逆引き作成用!AN$2:AN$169,FALSE),1),"")</f>
        <v/>
      </c>
      <c r="AO139" s="17" t="str">
        <f>IFERROR(INDEX(逆引き作成用!$C$2:$C$169,MATCH($B139&amp;"/"&amp;$C139,逆引き作成用!AO$2:AO$169,FALSE),1),"")</f>
        <v/>
      </c>
      <c r="AP139" s="17" t="str">
        <f>IFERROR(INDEX(逆引き作成用!$C$2:$C$169,MATCH($B139&amp;"/"&amp;$C139,逆引き作成用!AP$2:AP$169,FALSE),1),"")</f>
        <v/>
      </c>
      <c r="AQ139" s="17" t="str">
        <f>IFERROR(INDEX(逆引き作成用!$C$2:$C$169,MATCH($B139&amp;"/"&amp;$C139,逆引き作成用!AQ$2:AQ$169,FALSE),1),"")</f>
        <v/>
      </c>
      <c r="AR139" s="17" t="str">
        <f>IFERROR(INDEX(逆引き作成用!$C$2:$C$169,MATCH($B139&amp;"/"&amp;$C139,逆引き作成用!AR$2:AR$169,FALSE),1),"")</f>
        <v/>
      </c>
      <c r="AS139" s="17" t="str">
        <f>IFERROR(INDEX(逆引き作成用!$C$2:$C$169,MATCH($B139&amp;"/"&amp;$C139,逆引き作成用!AS$2:AS$169,FALSE),1),"")</f>
        <v/>
      </c>
      <c r="AT139" s="17" t="str">
        <f>IFERROR(INDEX(逆引き作成用!$C$2:$C$169,MATCH($B139&amp;"/"&amp;$C139,逆引き作成用!AT$2:AT$169,FALSE),1),"")</f>
        <v/>
      </c>
      <c r="AU139" s="17" t="str">
        <f>IFERROR(INDEX(逆引き作成用!$C$2:$C$169,MATCH($B139&amp;"/"&amp;$C139,逆引き作成用!AU$2:AU$169,FALSE),1),"")</f>
        <v/>
      </c>
      <c r="AV139" s="17" t="str">
        <f>IFERROR(INDEX(逆引き作成用!$C$2:$C$169,MATCH($B139&amp;"/"&amp;$C139,逆引き作成用!AV$2:AV$169,FALSE),1),"")</f>
        <v/>
      </c>
      <c r="AW139" s="17" t="str">
        <f>IFERROR(INDEX(逆引き作成用!$C$2:$C$169,MATCH($B139&amp;"/"&amp;$C139,逆引き作成用!AW$2:AW$169,FALSE),1),"")</f>
        <v/>
      </c>
      <c r="AX139" s="17" t="str">
        <f>IFERROR(INDEX(逆引き作成用!$C$2:$C$169,MATCH($B139&amp;"/"&amp;$C139,逆引き作成用!AX$2:AX$169,FALSE),1),"")</f>
        <v/>
      </c>
      <c r="AY139" s="17" t="str">
        <f>IFERROR(INDEX(逆引き作成用!$C$2:$C$169,MATCH($B139&amp;"/"&amp;$C139,逆引き作成用!AY$2:AY$169,FALSE),1),"")</f>
        <v/>
      </c>
      <c r="AZ139" s="17" t="str">
        <f>IFERROR(INDEX(逆引き作成用!$C$2:$C$169,MATCH($B139&amp;"/"&amp;$C139,逆引き作成用!AZ$2:AZ$169,FALSE),1),"")</f>
        <v/>
      </c>
      <c r="BA139" s="17" t="str">
        <f>IFERROR(INDEX(逆引き作成用!$C$2:$C$169,MATCH($B139&amp;"/"&amp;$C139,逆引き作成用!BA$2:BA$169,FALSE),1),"")</f>
        <v/>
      </c>
    </row>
    <row r="140" spans="1:53">
      <c r="A140" s="17" t="str">
        <f>IFERROR(INDEX(役職一覧!$B$2:$B$31,MATCH(B140,役職一覧!$C$2:$C$31,FALSE),1),"")</f>
        <v/>
      </c>
      <c r="B140" s="17" t="str">
        <f>IFERROR(IF(C140=1,INDEX(役職一覧!$C$2:$C$31,MATCH(逆引き!B139,役職一覧!$C$2:$C$31,FALSE)+1,1)&amp;"",B139),"")</f>
        <v/>
      </c>
      <c r="C140" s="17" t="str">
        <f>IFERROR(IF(VLOOKUP(B139,役職一覧!$C$2:$E$31,3,FALSE)=C139,1,C139+1),"")</f>
        <v/>
      </c>
      <c r="D140" s="17" t="str">
        <f>IFERROR(INDEX(逆引き作成用!$C$2:$C$169,MATCH($B140&amp;"/"&amp;$C140,逆引き作成用!D$2:D$169,FALSE),1),"")</f>
        <v/>
      </c>
      <c r="E140" s="17" t="str">
        <f>IFERROR(INDEX(逆引き作成用!$C$2:$C$169,MATCH($B140&amp;"/"&amp;$C140,逆引き作成用!E$2:E$169,FALSE),1),"")</f>
        <v/>
      </c>
      <c r="F140" s="17" t="str">
        <f>IFERROR(INDEX(逆引き作成用!$C$2:$C$169,MATCH($B140&amp;"/"&amp;$C140,逆引き作成用!F$2:F$169,FALSE),1),"")</f>
        <v/>
      </c>
      <c r="G140" s="17" t="str">
        <f>IFERROR(INDEX(逆引き作成用!$C$2:$C$169,MATCH($B140&amp;"/"&amp;$C140,逆引き作成用!G$2:G$169,FALSE),1),"")</f>
        <v/>
      </c>
      <c r="H140" s="17" t="str">
        <f>IFERROR(INDEX(逆引き作成用!$C$2:$C$169,MATCH($B140&amp;"/"&amp;$C140,逆引き作成用!H$2:H$169,FALSE),1),"")</f>
        <v/>
      </c>
      <c r="I140" s="17" t="str">
        <f>IFERROR(INDEX(逆引き作成用!$C$2:$C$169,MATCH($B140&amp;"/"&amp;$C140,逆引き作成用!I$2:I$169,FALSE),1),"")</f>
        <v/>
      </c>
      <c r="J140" s="17" t="str">
        <f>IFERROR(INDEX(逆引き作成用!$C$2:$C$169,MATCH($B140&amp;"/"&amp;$C140,逆引き作成用!J$2:J$169,FALSE),1),"")</f>
        <v/>
      </c>
      <c r="K140" s="17" t="str">
        <f>IFERROR(INDEX(逆引き作成用!$C$2:$C$169,MATCH($B140&amp;"/"&amp;$C140,逆引き作成用!K$2:K$169,FALSE),1),"")</f>
        <v/>
      </c>
      <c r="L140" s="17" t="str">
        <f>IFERROR(INDEX(逆引き作成用!$C$2:$C$169,MATCH($B140&amp;"/"&amp;$C140,逆引き作成用!L$2:L$169,FALSE),1),"")</f>
        <v/>
      </c>
      <c r="M140" s="17" t="str">
        <f>IFERROR(INDEX(逆引き作成用!$C$2:$C$169,MATCH($B140&amp;"/"&amp;$C140,逆引き作成用!M$2:M$169,FALSE),1),"")</f>
        <v/>
      </c>
      <c r="N140" s="17" t="str">
        <f>IFERROR(INDEX(逆引き作成用!$C$2:$C$169,MATCH($B140&amp;"/"&amp;$C140,逆引き作成用!N$2:N$169,FALSE),1),"")</f>
        <v/>
      </c>
      <c r="O140" s="17" t="str">
        <f>IFERROR(INDEX(逆引き作成用!$C$2:$C$169,MATCH($B140&amp;"/"&amp;$C140,逆引き作成用!O$2:O$169,FALSE),1),"")</f>
        <v/>
      </c>
      <c r="P140" s="17" t="str">
        <f>IFERROR(INDEX(逆引き作成用!$C$2:$C$169,MATCH($B140&amp;"/"&amp;$C140,逆引き作成用!P$2:P$169,FALSE),1),"")</f>
        <v/>
      </c>
      <c r="Q140" s="17" t="str">
        <f>IFERROR(INDEX(逆引き作成用!$C$2:$C$169,MATCH($B140&amp;"/"&amp;$C140,逆引き作成用!Q$2:Q$169,FALSE),1),"")</f>
        <v/>
      </c>
      <c r="R140" s="17" t="str">
        <f>IFERROR(INDEX(逆引き作成用!$C$2:$C$169,MATCH($B140&amp;"/"&amp;$C140,逆引き作成用!R$2:R$169,FALSE),1),"")</f>
        <v/>
      </c>
      <c r="S140" s="17" t="str">
        <f>IFERROR(INDEX(逆引き作成用!$C$2:$C$169,MATCH($B140&amp;"/"&amp;$C140,逆引き作成用!S$2:S$169,FALSE),1),"")</f>
        <v/>
      </c>
      <c r="T140" s="17" t="str">
        <f>IFERROR(INDEX(逆引き作成用!$C$2:$C$169,MATCH($B140&amp;"/"&amp;$C140,逆引き作成用!T$2:T$169,FALSE),1),"")</f>
        <v/>
      </c>
      <c r="U140" s="17" t="str">
        <f>IFERROR(INDEX(逆引き作成用!$C$2:$C$169,MATCH($B140&amp;"/"&amp;$C140,逆引き作成用!U$2:U$169,FALSE),1),"")</f>
        <v/>
      </c>
      <c r="V140" s="17" t="str">
        <f>IFERROR(INDEX(逆引き作成用!$C$2:$C$169,MATCH($B140&amp;"/"&amp;$C140,逆引き作成用!V$2:V$169,FALSE),1),"")</f>
        <v/>
      </c>
      <c r="W140" s="17" t="str">
        <f>IFERROR(INDEX(逆引き作成用!$C$2:$C$169,MATCH($B140&amp;"/"&amp;$C140,逆引き作成用!W$2:W$169,FALSE),1),"")</f>
        <v/>
      </c>
      <c r="X140" s="17" t="str">
        <f>IFERROR(INDEX(逆引き作成用!$C$2:$C$169,MATCH($B140&amp;"/"&amp;$C140,逆引き作成用!X$2:X$169,FALSE),1),"")</f>
        <v/>
      </c>
      <c r="Y140" s="17" t="str">
        <f>IFERROR(INDEX(逆引き作成用!$C$2:$C$169,MATCH($B140&amp;"/"&amp;$C140,逆引き作成用!Y$2:Y$169,FALSE),1),"")</f>
        <v/>
      </c>
      <c r="Z140" s="17" t="str">
        <f>IFERROR(INDEX(逆引き作成用!$C$2:$C$169,MATCH($B140&amp;"/"&amp;$C140,逆引き作成用!Z$2:Z$169,FALSE),1),"")</f>
        <v/>
      </c>
      <c r="AA140" s="17" t="str">
        <f>IFERROR(INDEX(逆引き作成用!$C$2:$C$169,MATCH($B140&amp;"/"&amp;$C140,逆引き作成用!AA$2:AA$169,FALSE),1),"")</f>
        <v/>
      </c>
      <c r="AB140" s="17" t="str">
        <f>IFERROR(INDEX(逆引き作成用!$C$2:$C$169,MATCH($B140&amp;"/"&amp;$C140,逆引き作成用!AB$2:AB$169,FALSE),1),"")</f>
        <v/>
      </c>
      <c r="AC140" s="17" t="str">
        <f>IFERROR(INDEX(逆引き作成用!$C$2:$C$169,MATCH($B140&amp;"/"&amp;$C140,逆引き作成用!AC$2:AC$169,FALSE),1),"")</f>
        <v/>
      </c>
      <c r="AD140" s="17" t="str">
        <f>IFERROR(INDEX(逆引き作成用!$C$2:$C$169,MATCH($B140&amp;"/"&amp;$C140,逆引き作成用!AD$2:AD$169,FALSE),1),"")</f>
        <v/>
      </c>
      <c r="AE140" s="17" t="str">
        <f>IFERROR(INDEX(逆引き作成用!$C$2:$C$169,MATCH($B140&amp;"/"&amp;$C140,逆引き作成用!AE$2:AE$169,FALSE),1),"")</f>
        <v/>
      </c>
      <c r="AF140" s="17" t="str">
        <f>IFERROR(INDEX(逆引き作成用!$C$2:$C$169,MATCH($B140&amp;"/"&amp;$C140,逆引き作成用!AF$2:AF$169,FALSE),1),"")</f>
        <v/>
      </c>
      <c r="AG140" s="17" t="str">
        <f>IFERROR(INDEX(逆引き作成用!$C$2:$C$169,MATCH($B140&amp;"/"&amp;$C140,逆引き作成用!AG$2:AG$169,FALSE),1),"")</f>
        <v/>
      </c>
      <c r="AH140" s="17" t="str">
        <f>IFERROR(INDEX(逆引き作成用!$C$2:$C$169,MATCH($B140&amp;"/"&amp;$C140,逆引き作成用!AH$2:AH$169,FALSE),1),"")</f>
        <v/>
      </c>
      <c r="AI140" s="17" t="str">
        <f>IFERROR(INDEX(逆引き作成用!$C$2:$C$169,MATCH($B140&amp;"/"&amp;$C140,逆引き作成用!AI$2:AI$169,FALSE),1),"")</f>
        <v/>
      </c>
      <c r="AJ140" s="17" t="str">
        <f>IFERROR(INDEX(逆引き作成用!$C$2:$C$169,MATCH($B140&amp;"/"&amp;$C140,逆引き作成用!AJ$2:AJ$169,FALSE),1),"")</f>
        <v/>
      </c>
      <c r="AK140" s="17" t="str">
        <f>IFERROR(INDEX(逆引き作成用!$C$2:$C$169,MATCH($B140&amp;"/"&amp;$C140,逆引き作成用!AK$2:AK$169,FALSE),1),"")</f>
        <v/>
      </c>
      <c r="AL140" s="17" t="str">
        <f>IFERROR(INDEX(逆引き作成用!$C$2:$C$169,MATCH($B140&amp;"/"&amp;$C140,逆引き作成用!AL$2:AL$169,FALSE),1),"")</f>
        <v/>
      </c>
      <c r="AM140" s="17" t="str">
        <f>IFERROR(INDEX(逆引き作成用!$C$2:$C$169,MATCH($B140&amp;"/"&amp;$C140,逆引き作成用!AM$2:AM$169,FALSE),1),"")</f>
        <v/>
      </c>
      <c r="AN140" s="17" t="str">
        <f>IFERROR(INDEX(逆引き作成用!$C$2:$C$169,MATCH($B140&amp;"/"&amp;$C140,逆引き作成用!AN$2:AN$169,FALSE),1),"")</f>
        <v/>
      </c>
      <c r="AO140" s="17" t="str">
        <f>IFERROR(INDEX(逆引き作成用!$C$2:$C$169,MATCH($B140&amp;"/"&amp;$C140,逆引き作成用!AO$2:AO$169,FALSE),1),"")</f>
        <v/>
      </c>
      <c r="AP140" s="17" t="str">
        <f>IFERROR(INDEX(逆引き作成用!$C$2:$C$169,MATCH($B140&amp;"/"&amp;$C140,逆引き作成用!AP$2:AP$169,FALSE),1),"")</f>
        <v/>
      </c>
      <c r="AQ140" s="17" t="str">
        <f>IFERROR(INDEX(逆引き作成用!$C$2:$C$169,MATCH($B140&amp;"/"&amp;$C140,逆引き作成用!AQ$2:AQ$169,FALSE),1),"")</f>
        <v/>
      </c>
      <c r="AR140" s="17" t="str">
        <f>IFERROR(INDEX(逆引き作成用!$C$2:$C$169,MATCH($B140&amp;"/"&amp;$C140,逆引き作成用!AR$2:AR$169,FALSE),1),"")</f>
        <v/>
      </c>
      <c r="AS140" s="17" t="str">
        <f>IFERROR(INDEX(逆引き作成用!$C$2:$C$169,MATCH($B140&amp;"/"&amp;$C140,逆引き作成用!AS$2:AS$169,FALSE),1),"")</f>
        <v/>
      </c>
      <c r="AT140" s="17" t="str">
        <f>IFERROR(INDEX(逆引き作成用!$C$2:$C$169,MATCH($B140&amp;"/"&amp;$C140,逆引き作成用!AT$2:AT$169,FALSE),1),"")</f>
        <v/>
      </c>
      <c r="AU140" s="17" t="str">
        <f>IFERROR(INDEX(逆引き作成用!$C$2:$C$169,MATCH($B140&amp;"/"&amp;$C140,逆引き作成用!AU$2:AU$169,FALSE),1),"")</f>
        <v/>
      </c>
      <c r="AV140" s="17" t="str">
        <f>IFERROR(INDEX(逆引き作成用!$C$2:$C$169,MATCH($B140&amp;"/"&amp;$C140,逆引き作成用!AV$2:AV$169,FALSE),1),"")</f>
        <v/>
      </c>
      <c r="AW140" s="17" t="str">
        <f>IFERROR(INDEX(逆引き作成用!$C$2:$C$169,MATCH($B140&amp;"/"&amp;$C140,逆引き作成用!AW$2:AW$169,FALSE),1),"")</f>
        <v/>
      </c>
      <c r="AX140" s="17" t="str">
        <f>IFERROR(INDEX(逆引き作成用!$C$2:$C$169,MATCH($B140&amp;"/"&amp;$C140,逆引き作成用!AX$2:AX$169,FALSE),1),"")</f>
        <v/>
      </c>
      <c r="AY140" s="17" t="str">
        <f>IFERROR(INDEX(逆引き作成用!$C$2:$C$169,MATCH($B140&amp;"/"&amp;$C140,逆引き作成用!AY$2:AY$169,FALSE),1),"")</f>
        <v/>
      </c>
      <c r="AZ140" s="17" t="str">
        <f>IFERROR(INDEX(逆引き作成用!$C$2:$C$169,MATCH($B140&amp;"/"&amp;$C140,逆引き作成用!AZ$2:AZ$169,FALSE),1),"")</f>
        <v/>
      </c>
      <c r="BA140" s="17" t="str">
        <f>IFERROR(INDEX(逆引き作成用!$C$2:$C$169,MATCH($B140&amp;"/"&amp;$C140,逆引き作成用!BA$2:BA$169,FALSE),1),"")</f>
        <v/>
      </c>
    </row>
    <row r="141" spans="1:53">
      <c r="A141" s="17" t="str">
        <f>IFERROR(INDEX(役職一覧!$B$2:$B$31,MATCH(B141,役職一覧!$C$2:$C$31,FALSE),1),"")</f>
        <v/>
      </c>
      <c r="B141" s="17" t="str">
        <f>IFERROR(IF(C141=1,INDEX(役職一覧!$C$2:$C$31,MATCH(逆引き!B140,役職一覧!$C$2:$C$31,FALSE)+1,1)&amp;"",B140),"")</f>
        <v/>
      </c>
      <c r="C141" s="17" t="str">
        <f>IFERROR(IF(VLOOKUP(B140,役職一覧!$C$2:$E$31,3,FALSE)=C140,1,C140+1),"")</f>
        <v/>
      </c>
      <c r="D141" s="17" t="str">
        <f>IFERROR(INDEX(逆引き作成用!$C$2:$C$169,MATCH($B141&amp;"/"&amp;$C141,逆引き作成用!D$2:D$169,FALSE),1),"")</f>
        <v/>
      </c>
      <c r="E141" s="17" t="str">
        <f>IFERROR(INDEX(逆引き作成用!$C$2:$C$169,MATCH($B141&amp;"/"&amp;$C141,逆引き作成用!E$2:E$169,FALSE),1),"")</f>
        <v/>
      </c>
      <c r="F141" s="17" t="str">
        <f>IFERROR(INDEX(逆引き作成用!$C$2:$C$169,MATCH($B141&amp;"/"&amp;$C141,逆引き作成用!F$2:F$169,FALSE),1),"")</f>
        <v/>
      </c>
      <c r="G141" s="17" t="str">
        <f>IFERROR(INDEX(逆引き作成用!$C$2:$C$169,MATCH($B141&amp;"/"&amp;$C141,逆引き作成用!G$2:G$169,FALSE),1),"")</f>
        <v/>
      </c>
      <c r="H141" s="17" t="str">
        <f>IFERROR(INDEX(逆引き作成用!$C$2:$C$169,MATCH($B141&amp;"/"&amp;$C141,逆引き作成用!H$2:H$169,FALSE),1),"")</f>
        <v/>
      </c>
      <c r="I141" s="17" t="str">
        <f>IFERROR(INDEX(逆引き作成用!$C$2:$C$169,MATCH($B141&amp;"/"&amp;$C141,逆引き作成用!I$2:I$169,FALSE),1),"")</f>
        <v/>
      </c>
      <c r="J141" s="17" t="str">
        <f>IFERROR(INDEX(逆引き作成用!$C$2:$C$169,MATCH($B141&amp;"/"&amp;$C141,逆引き作成用!J$2:J$169,FALSE),1),"")</f>
        <v/>
      </c>
      <c r="K141" s="17" t="str">
        <f>IFERROR(INDEX(逆引き作成用!$C$2:$C$169,MATCH($B141&amp;"/"&amp;$C141,逆引き作成用!K$2:K$169,FALSE),1),"")</f>
        <v/>
      </c>
      <c r="L141" s="17" t="str">
        <f>IFERROR(INDEX(逆引き作成用!$C$2:$C$169,MATCH($B141&amp;"/"&amp;$C141,逆引き作成用!L$2:L$169,FALSE),1),"")</f>
        <v/>
      </c>
      <c r="M141" s="17" t="str">
        <f>IFERROR(INDEX(逆引き作成用!$C$2:$C$169,MATCH($B141&amp;"/"&amp;$C141,逆引き作成用!M$2:M$169,FALSE),1),"")</f>
        <v/>
      </c>
      <c r="N141" s="17" t="str">
        <f>IFERROR(INDEX(逆引き作成用!$C$2:$C$169,MATCH($B141&amp;"/"&amp;$C141,逆引き作成用!N$2:N$169,FALSE),1),"")</f>
        <v/>
      </c>
      <c r="O141" s="17" t="str">
        <f>IFERROR(INDEX(逆引き作成用!$C$2:$C$169,MATCH($B141&amp;"/"&amp;$C141,逆引き作成用!O$2:O$169,FALSE),1),"")</f>
        <v/>
      </c>
      <c r="P141" s="17" t="str">
        <f>IFERROR(INDEX(逆引き作成用!$C$2:$C$169,MATCH($B141&amp;"/"&amp;$C141,逆引き作成用!P$2:P$169,FALSE),1),"")</f>
        <v/>
      </c>
      <c r="Q141" s="17" t="str">
        <f>IFERROR(INDEX(逆引き作成用!$C$2:$C$169,MATCH($B141&amp;"/"&amp;$C141,逆引き作成用!Q$2:Q$169,FALSE),1),"")</f>
        <v/>
      </c>
      <c r="R141" s="17" t="str">
        <f>IFERROR(INDEX(逆引き作成用!$C$2:$C$169,MATCH($B141&amp;"/"&amp;$C141,逆引き作成用!R$2:R$169,FALSE),1),"")</f>
        <v/>
      </c>
      <c r="S141" s="17" t="str">
        <f>IFERROR(INDEX(逆引き作成用!$C$2:$C$169,MATCH($B141&amp;"/"&amp;$C141,逆引き作成用!S$2:S$169,FALSE),1),"")</f>
        <v/>
      </c>
      <c r="T141" s="17" t="str">
        <f>IFERROR(INDEX(逆引き作成用!$C$2:$C$169,MATCH($B141&amp;"/"&amp;$C141,逆引き作成用!T$2:T$169,FALSE),1),"")</f>
        <v/>
      </c>
      <c r="U141" s="17" t="str">
        <f>IFERROR(INDEX(逆引き作成用!$C$2:$C$169,MATCH($B141&amp;"/"&amp;$C141,逆引き作成用!U$2:U$169,FALSE),1),"")</f>
        <v/>
      </c>
      <c r="V141" s="17" t="str">
        <f>IFERROR(INDEX(逆引き作成用!$C$2:$C$169,MATCH($B141&amp;"/"&amp;$C141,逆引き作成用!V$2:V$169,FALSE),1),"")</f>
        <v/>
      </c>
      <c r="W141" s="17" t="str">
        <f>IFERROR(INDEX(逆引き作成用!$C$2:$C$169,MATCH($B141&amp;"/"&amp;$C141,逆引き作成用!W$2:W$169,FALSE),1),"")</f>
        <v/>
      </c>
      <c r="X141" s="17" t="str">
        <f>IFERROR(INDEX(逆引き作成用!$C$2:$C$169,MATCH($B141&amp;"/"&amp;$C141,逆引き作成用!X$2:X$169,FALSE),1),"")</f>
        <v/>
      </c>
      <c r="Y141" s="17" t="str">
        <f>IFERROR(INDEX(逆引き作成用!$C$2:$C$169,MATCH($B141&amp;"/"&amp;$C141,逆引き作成用!Y$2:Y$169,FALSE),1),"")</f>
        <v/>
      </c>
      <c r="Z141" s="17" t="str">
        <f>IFERROR(INDEX(逆引き作成用!$C$2:$C$169,MATCH($B141&amp;"/"&amp;$C141,逆引き作成用!Z$2:Z$169,FALSE),1),"")</f>
        <v/>
      </c>
      <c r="AA141" s="17" t="str">
        <f>IFERROR(INDEX(逆引き作成用!$C$2:$C$169,MATCH($B141&amp;"/"&amp;$C141,逆引き作成用!AA$2:AA$169,FALSE),1),"")</f>
        <v/>
      </c>
      <c r="AB141" s="17" t="str">
        <f>IFERROR(INDEX(逆引き作成用!$C$2:$C$169,MATCH($B141&amp;"/"&amp;$C141,逆引き作成用!AB$2:AB$169,FALSE),1),"")</f>
        <v/>
      </c>
      <c r="AC141" s="17" t="str">
        <f>IFERROR(INDEX(逆引き作成用!$C$2:$C$169,MATCH($B141&amp;"/"&amp;$C141,逆引き作成用!AC$2:AC$169,FALSE),1),"")</f>
        <v/>
      </c>
      <c r="AD141" s="17" t="str">
        <f>IFERROR(INDEX(逆引き作成用!$C$2:$C$169,MATCH($B141&amp;"/"&amp;$C141,逆引き作成用!AD$2:AD$169,FALSE),1),"")</f>
        <v/>
      </c>
      <c r="AE141" s="17" t="str">
        <f>IFERROR(INDEX(逆引き作成用!$C$2:$C$169,MATCH($B141&amp;"/"&amp;$C141,逆引き作成用!AE$2:AE$169,FALSE),1),"")</f>
        <v/>
      </c>
      <c r="AF141" s="17" t="str">
        <f>IFERROR(INDEX(逆引き作成用!$C$2:$C$169,MATCH($B141&amp;"/"&amp;$C141,逆引き作成用!AF$2:AF$169,FALSE),1),"")</f>
        <v/>
      </c>
      <c r="AG141" s="17" t="str">
        <f>IFERROR(INDEX(逆引き作成用!$C$2:$C$169,MATCH($B141&amp;"/"&amp;$C141,逆引き作成用!AG$2:AG$169,FALSE),1),"")</f>
        <v/>
      </c>
      <c r="AH141" s="17" t="str">
        <f>IFERROR(INDEX(逆引き作成用!$C$2:$C$169,MATCH($B141&amp;"/"&amp;$C141,逆引き作成用!AH$2:AH$169,FALSE),1),"")</f>
        <v/>
      </c>
      <c r="AI141" s="17" t="str">
        <f>IFERROR(INDEX(逆引き作成用!$C$2:$C$169,MATCH($B141&amp;"/"&amp;$C141,逆引き作成用!AI$2:AI$169,FALSE),1),"")</f>
        <v/>
      </c>
      <c r="AJ141" s="17" t="str">
        <f>IFERROR(INDEX(逆引き作成用!$C$2:$C$169,MATCH($B141&amp;"/"&amp;$C141,逆引き作成用!AJ$2:AJ$169,FALSE),1),"")</f>
        <v/>
      </c>
      <c r="AK141" s="17" t="str">
        <f>IFERROR(INDEX(逆引き作成用!$C$2:$C$169,MATCH($B141&amp;"/"&amp;$C141,逆引き作成用!AK$2:AK$169,FALSE),1),"")</f>
        <v/>
      </c>
      <c r="AL141" s="17" t="str">
        <f>IFERROR(INDEX(逆引き作成用!$C$2:$C$169,MATCH($B141&amp;"/"&amp;$C141,逆引き作成用!AL$2:AL$169,FALSE),1),"")</f>
        <v/>
      </c>
      <c r="AM141" s="17" t="str">
        <f>IFERROR(INDEX(逆引き作成用!$C$2:$C$169,MATCH($B141&amp;"/"&amp;$C141,逆引き作成用!AM$2:AM$169,FALSE),1),"")</f>
        <v/>
      </c>
      <c r="AN141" s="17" t="str">
        <f>IFERROR(INDEX(逆引き作成用!$C$2:$C$169,MATCH($B141&amp;"/"&amp;$C141,逆引き作成用!AN$2:AN$169,FALSE),1),"")</f>
        <v/>
      </c>
      <c r="AO141" s="17" t="str">
        <f>IFERROR(INDEX(逆引き作成用!$C$2:$C$169,MATCH($B141&amp;"/"&amp;$C141,逆引き作成用!AO$2:AO$169,FALSE),1),"")</f>
        <v/>
      </c>
      <c r="AP141" s="17" t="str">
        <f>IFERROR(INDEX(逆引き作成用!$C$2:$C$169,MATCH($B141&amp;"/"&amp;$C141,逆引き作成用!AP$2:AP$169,FALSE),1),"")</f>
        <v/>
      </c>
      <c r="AQ141" s="17" t="str">
        <f>IFERROR(INDEX(逆引き作成用!$C$2:$C$169,MATCH($B141&amp;"/"&amp;$C141,逆引き作成用!AQ$2:AQ$169,FALSE),1),"")</f>
        <v/>
      </c>
      <c r="AR141" s="17" t="str">
        <f>IFERROR(INDEX(逆引き作成用!$C$2:$C$169,MATCH($B141&amp;"/"&amp;$C141,逆引き作成用!AR$2:AR$169,FALSE),1),"")</f>
        <v/>
      </c>
      <c r="AS141" s="17" t="str">
        <f>IFERROR(INDEX(逆引き作成用!$C$2:$C$169,MATCH($B141&amp;"/"&amp;$C141,逆引き作成用!AS$2:AS$169,FALSE),1),"")</f>
        <v/>
      </c>
      <c r="AT141" s="17" t="str">
        <f>IFERROR(INDEX(逆引き作成用!$C$2:$C$169,MATCH($B141&amp;"/"&amp;$C141,逆引き作成用!AT$2:AT$169,FALSE),1),"")</f>
        <v/>
      </c>
      <c r="AU141" s="17" t="str">
        <f>IFERROR(INDEX(逆引き作成用!$C$2:$C$169,MATCH($B141&amp;"/"&amp;$C141,逆引き作成用!AU$2:AU$169,FALSE),1),"")</f>
        <v/>
      </c>
      <c r="AV141" s="17" t="str">
        <f>IFERROR(INDEX(逆引き作成用!$C$2:$C$169,MATCH($B141&amp;"/"&amp;$C141,逆引き作成用!AV$2:AV$169,FALSE),1),"")</f>
        <v/>
      </c>
      <c r="AW141" s="17" t="str">
        <f>IFERROR(INDEX(逆引き作成用!$C$2:$C$169,MATCH($B141&amp;"/"&amp;$C141,逆引き作成用!AW$2:AW$169,FALSE),1),"")</f>
        <v/>
      </c>
      <c r="AX141" s="17" t="str">
        <f>IFERROR(INDEX(逆引き作成用!$C$2:$C$169,MATCH($B141&amp;"/"&amp;$C141,逆引き作成用!AX$2:AX$169,FALSE),1),"")</f>
        <v/>
      </c>
      <c r="AY141" s="17" t="str">
        <f>IFERROR(INDEX(逆引き作成用!$C$2:$C$169,MATCH($B141&amp;"/"&amp;$C141,逆引き作成用!AY$2:AY$169,FALSE),1),"")</f>
        <v/>
      </c>
      <c r="AZ141" s="17" t="str">
        <f>IFERROR(INDEX(逆引き作成用!$C$2:$C$169,MATCH($B141&amp;"/"&amp;$C141,逆引き作成用!AZ$2:AZ$169,FALSE),1),"")</f>
        <v/>
      </c>
      <c r="BA141" s="17" t="str">
        <f>IFERROR(INDEX(逆引き作成用!$C$2:$C$169,MATCH($B141&amp;"/"&amp;$C141,逆引き作成用!BA$2:BA$169,FALSE),1),"")</f>
        <v/>
      </c>
    </row>
    <row r="142" spans="1:53">
      <c r="A142" s="17" t="str">
        <f>IFERROR(INDEX(役職一覧!$B$2:$B$31,MATCH(B142,役職一覧!$C$2:$C$31,FALSE),1),"")</f>
        <v/>
      </c>
      <c r="B142" s="17" t="str">
        <f>IFERROR(IF(C142=1,INDEX(役職一覧!$C$2:$C$31,MATCH(逆引き!B141,役職一覧!$C$2:$C$31,FALSE)+1,1)&amp;"",B141),"")</f>
        <v/>
      </c>
      <c r="C142" s="17" t="str">
        <f>IFERROR(IF(VLOOKUP(B141,役職一覧!$C$2:$E$31,3,FALSE)=C141,1,C141+1),"")</f>
        <v/>
      </c>
      <c r="D142" s="17" t="str">
        <f>IFERROR(INDEX(逆引き作成用!$C$2:$C$169,MATCH($B142&amp;"/"&amp;$C142,逆引き作成用!D$2:D$169,FALSE),1),"")</f>
        <v/>
      </c>
      <c r="E142" s="17" t="str">
        <f>IFERROR(INDEX(逆引き作成用!$C$2:$C$169,MATCH($B142&amp;"/"&amp;$C142,逆引き作成用!E$2:E$169,FALSE),1),"")</f>
        <v/>
      </c>
      <c r="F142" s="17" t="str">
        <f>IFERROR(INDEX(逆引き作成用!$C$2:$C$169,MATCH($B142&amp;"/"&amp;$C142,逆引き作成用!F$2:F$169,FALSE),1),"")</f>
        <v/>
      </c>
      <c r="G142" s="17" t="str">
        <f>IFERROR(INDEX(逆引き作成用!$C$2:$C$169,MATCH($B142&amp;"/"&amp;$C142,逆引き作成用!G$2:G$169,FALSE),1),"")</f>
        <v/>
      </c>
      <c r="H142" s="17" t="str">
        <f>IFERROR(INDEX(逆引き作成用!$C$2:$C$169,MATCH($B142&amp;"/"&amp;$C142,逆引き作成用!H$2:H$169,FALSE),1),"")</f>
        <v/>
      </c>
      <c r="I142" s="17" t="str">
        <f>IFERROR(INDEX(逆引き作成用!$C$2:$C$169,MATCH($B142&amp;"/"&amp;$C142,逆引き作成用!I$2:I$169,FALSE),1),"")</f>
        <v/>
      </c>
      <c r="J142" s="17" t="str">
        <f>IFERROR(INDEX(逆引き作成用!$C$2:$C$169,MATCH($B142&amp;"/"&amp;$C142,逆引き作成用!J$2:J$169,FALSE),1),"")</f>
        <v/>
      </c>
      <c r="K142" s="17" t="str">
        <f>IFERROR(INDEX(逆引き作成用!$C$2:$C$169,MATCH($B142&amp;"/"&amp;$C142,逆引き作成用!K$2:K$169,FALSE),1),"")</f>
        <v/>
      </c>
      <c r="L142" s="17" t="str">
        <f>IFERROR(INDEX(逆引き作成用!$C$2:$C$169,MATCH($B142&amp;"/"&amp;$C142,逆引き作成用!L$2:L$169,FALSE),1),"")</f>
        <v/>
      </c>
      <c r="M142" s="17" t="str">
        <f>IFERROR(INDEX(逆引き作成用!$C$2:$C$169,MATCH($B142&amp;"/"&amp;$C142,逆引き作成用!M$2:M$169,FALSE),1),"")</f>
        <v/>
      </c>
      <c r="N142" s="17" t="str">
        <f>IFERROR(INDEX(逆引き作成用!$C$2:$C$169,MATCH($B142&amp;"/"&amp;$C142,逆引き作成用!N$2:N$169,FALSE),1),"")</f>
        <v/>
      </c>
      <c r="O142" s="17" t="str">
        <f>IFERROR(INDEX(逆引き作成用!$C$2:$C$169,MATCH($B142&amp;"/"&amp;$C142,逆引き作成用!O$2:O$169,FALSE),1),"")</f>
        <v/>
      </c>
      <c r="P142" s="17" t="str">
        <f>IFERROR(INDEX(逆引き作成用!$C$2:$C$169,MATCH($B142&amp;"/"&amp;$C142,逆引き作成用!P$2:P$169,FALSE),1),"")</f>
        <v/>
      </c>
      <c r="Q142" s="17" t="str">
        <f>IFERROR(INDEX(逆引き作成用!$C$2:$C$169,MATCH($B142&amp;"/"&amp;$C142,逆引き作成用!Q$2:Q$169,FALSE),1),"")</f>
        <v/>
      </c>
      <c r="R142" s="17" t="str">
        <f>IFERROR(INDEX(逆引き作成用!$C$2:$C$169,MATCH($B142&amp;"/"&amp;$C142,逆引き作成用!R$2:R$169,FALSE),1),"")</f>
        <v/>
      </c>
      <c r="S142" s="17" t="str">
        <f>IFERROR(INDEX(逆引き作成用!$C$2:$C$169,MATCH($B142&amp;"/"&amp;$C142,逆引き作成用!S$2:S$169,FALSE),1),"")</f>
        <v/>
      </c>
      <c r="T142" s="17" t="str">
        <f>IFERROR(INDEX(逆引き作成用!$C$2:$C$169,MATCH($B142&amp;"/"&amp;$C142,逆引き作成用!T$2:T$169,FALSE),1),"")</f>
        <v/>
      </c>
      <c r="U142" s="17" t="str">
        <f>IFERROR(INDEX(逆引き作成用!$C$2:$C$169,MATCH($B142&amp;"/"&amp;$C142,逆引き作成用!U$2:U$169,FALSE),1),"")</f>
        <v/>
      </c>
      <c r="V142" s="17" t="str">
        <f>IFERROR(INDEX(逆引き作成用!$C$2:$C$169,MATCH($B142&amp;"/"&amp;$C142,逆引き作成用!V$2:V$169,FALSE),1),"")</f>
        <v/>
      </c>
      <c r="W142" s="17" t="str">
        <f>IFERROR(INDEX(逆引き作成用!$C$2:$C$169,MATCH($B142&amp;"/"&amp;$C142,逆引き作成用!W$2:W$169,FALSE),1),"")</f>
        <v/>
      </c>
      <c r="X142" s="17" t="str">
        <f>IFERROR(INDEX(逆引き作成用!$C$2:$C$169,MATCH($B142&amp;"/"&amp;$C142,逆引き作成用!X$2:X$169,FALSE),1),"")</f>
        <v/>
      </c>
      <c r="Y142" s="17" t="str">
        <f>IFERROR(INDEX(逆引き作成用!$C$2:$C$169,MATCH($B142&amp;"/"&amp;$C142,逆引き作成用!Y$2:Y$169,FALSE),1),"")</f>
        <v/>
      </c>
      <c r="Z142" s="17" t="str">
        <f>IFERROR(INDEX(逆引き作成用!$C$2:$C$169,MATCH($B142&amp;"/"&amp;$C142,逆引き作成用!Z$2:Z$169,FALSE),1),"")</f>
        <v/>
      </c>
      <c r="AA142" s="17" t="str">
        <f>IFERROR(INDEX(逆引き作成用!$C$2:$C$169,MATCH($B142&amp;"/"&amp;$C142,逆引き作成用!AA$2:AA$169,FALSE),1),"")</f>
        <v/>
      </c>
      <c r="AB142" s="17" t="str">
        <f>IFERROR(INDEX(逆引き作成用!$C$2:$C$169,MATCH($B142&amp;"/"&amp;$C142,逆引き作成用!AB$2:AB$169,FALSE),1),"")</f>
        <v/>
      </c>
      <c r="AC142" s="17" t="str">
        <f>IFERROR(INDEX(逆引き作成用!$C$2:$C$169,MATCH($B142&amp;"/"&amp;$C142,逆引き作成用!AC$2:AC$169,FALSE),1),"")</f>
        <v/>
      </c>
      <c r="AD142" s="17" t="str">
        <f>IFERROR(INDEX(逆引き作成用!$C$2:$C$169,MATCH($B142&amp;"/"&amp;$C142,逆引き作成用!AD$2:AD$169,FALSE),1),"")</f>
        <v/>
      </c>
      <c r="AE142" s="17" t="str">
        <f>IFERROR(INDEX(逆引き作成用!$C$2:$C$169,MATCH($B142&amp;"/"&amp;$C142,逆引き作成用!AE$2:AE$169,FALSE),1),"")</f>
        <v/>
      </c>
      <c r="AF142" s="17" t="str">
        <f>IFERROR(INDEX(逆引き作成用!$C$2:$C$169,MATCH($B142&amp;"/"&amp;$C142,逆引き作成用!AF$2:AF$169,FALSE),1),"")</f>
        <v/>
      </c>
      <c r="AG142" s="17" t="str">
        <f>IFERROR(INDEX(逆引き作成用!$C$2:$C$169,MATCH($B142&amp;"/"&amp;$C142,逆引き作成用!AG$2:AG$169,FALSE),1),"")</f>
        <v/>
      </c>
      <c r="AH142" s="17" t="str">
        <f>IFERROR(INDEX(逆引き作成用!$C$2:$C$169,MATCH($B142&amp;"/"&amp;$C142,逆引き作成用!AH$2:AH$169,FALSE),1),"")</f>
        <v/>
      </c>
      <c r="AI142" s="17" t="str">
        <f>IFERROR(INDEX(逆引き作成用!$C$2:$C$169,MATCH($B142&amp;"/"&amp;$C142,逆引き作成用!AI$2:AI$169,FALSE),1),"")</f>
        <v/>
      </c>
      <c r="AJ142" s="17" t="str">
        <f>IFERROR(INDEX(逆引き作成用!$C$2:$C$169,MATCH($B142&amp;"/"&amp;$C142,逆引き作成用!AJ$2:AJ$169,FALSE),1),"")</f>
        <v/>
      </c>
      <c r="AK142" s="17" t="str">
        <f>IFERROR(INDEX(逆引き作成用!$C$2:$C$169,MATCH($B142&amp;"/"&amp;$C142,逆引き作成用!AK$2:AK$169,FALSE),1),"")</f>
        <v/>
      </c>
      <c r="AL142" s="17" t="str">
        <f>IFERROR(INDEX(逆引き作成用!$C$2:$C$169,MATCH($B142&amp;"/"&amp;$C142,逆引き作成用!AL$2:AL$169,FALSE),1),"")</f>
        <v/>
      </c>
      <c r="AM142" s="17" t="str">
        <f>IFERROR(INDEX(逆引き作成用!$C$2:$C$169,MATCH($B142&amp;"/"&amp;$C142,逆引き作成用!AM$2:AM$169,FALSE),1),"")</f>
        <v/>
      </c>
      <c r="AN142" s="17" t="str">
        <f>IFERROR(INDEX(逆引き作成用!$C$2:$C$169,MATCH($B142&amp;"/"&amp;$C142,逆引き作成用!AN$2:AN$169,FALSE),1),"")</f>
        <v/>
      </c>
      <c r="AO142" s="17" t="str">
        <f>IFERROR(INDEX(逆引き作成用!$C$2:$C$169,MATCH($B142&amp;"/"&amp;$C142,逆引き作成用!AO$2:AO$169,FALSE),1),"")</f>
        <v/>
      </c>
      <c r="AP142" s="17" t="str">
        <f>IFERROR(INDEX(逆引き作成用!$C$2:$C$169,MATCH($B142&amp;"/"&amp;$C142,逆引き作成用!AP$2:AP$169,FALSE),1),"")</f>
        <v/>
      </c>
      <c r="AQ142" s="17" t="str">
        <f>IFERROR(INDEX(逆引き作成用!$C$2:$C$169,MATCH($B142&amp;"/"&amp;$C142,逆引き作成用!AQ$2:AQ$169,FALSE),1),"")</f>
        <v/>
      </c>
      <c r="AR142" s="17" t="str">
        <f>IFERROR(INDEX(逆引き作成用!$C$2:$C$169,MATCH($B142&amp;"/"&amp;$C142,逆引き作成用!AR$2:AR$169,FALSE),1),"")</f>
        <v/>
      </c>
      <c r="AS142" s="17" t="str">
        <f>IFERROR(INDEX(逆引き作成用!$C$2:$C$169,MATCH($B142&amp;"/"&amp;$C142,逆引き作成用!AS$2:AS$169,FALSE),1),"")</f>
        <v/>
      </c>
      <c r="AT142" s="17" t="str">
        <f>IFERROR(INDEX(逆引き作成用!$C$2:$C$169,MATCH($B142&amp;"/"&amp;$C142,逆引き作成用!AT$2:AT$169,FALSE),1),"")</f>
        <v/>
      </c>
      <c r="AU142" s="17" t="str">
        <f>IFERROR(INDEX(逆引き作成用!$C$2:$C$169,MATCH($B142&amp;"/"&amp;$C142,逆引き作成用!AU$2:AU$169,FALSE),1),"")</f>
        <v/>
      </c>
      <c r="AV142" s="17" t="str">
        <f>IFERROR(INDEX(逆引き作成用!$C$2:$C$169,MATCH($B142&amp;"/"&amp;$C142,逆引き作成用!AV$2:AV$169,FALSE),1),"")</f>
        <v/>
      </c>
      <c r="AW142" s="17" t="str">
        <f>IFERROR(INDEX(逆引き作成用!$C$2:$C$169,MATCH($B142&amp;"/"&amp;$C142,逆引き作成用!AW$2:AW$169,FALSE),1),"")</f>
        <v/>
      </c>
      <c r="AX142" s="17" t="str">
        <f>IFERROR(INDEX(逆引き作成用!$C$2:$C$169,MATCH($B142&amp;"/"&amp;$C142,逆引き作成用!AX$2:AX$169,FALSE),1),"")</f>
        <v/>
      </c>
      <c r="AY142" s="17" t="str">
        <f>IFERROR(INDEX(逆引き作成用!$C$2:$C$169,MATCH($B142&amp;"/"&amp;$C142,逆引き作成用!AY$2:AY$169,FALSE),1),"")</f>
        <v/>
      </c>
      <c r="AZ142" s="17" t="str">
        <f>IFERROR(INDEX(逆引き作成用!$C$2:$C$169,MATCH($B142&amp;"/"&amp;$C142,逆引き作成用!AZ$2:AZ$169,FALSE),1),"")</f>
        <v/>
      </c>
      <c r="BA142" s="17" t="str">
        <f>IFERROR(INDEX(逆引き作成用!$C$2:$C$169,MATCH($B142&amp;"/"&amp;$C142,逆引き作成用!BA$2:BA$169,FALSE),1),"")</f>
        <v/>
      </c>
    </row>
    <row r="143" spans="1:53">
      <c r="A143" s="17" t="str">
        <f>IFERROR(INDEX(役職一覧!$B$2:$B$31,MATCH(B143,役職一覧!$C$2:$C$31,FALSE),1),"")</f>
        <v/>
      </c>
      <c r="B143" s="17" t="str">
        <f>IFERROR(IF(C143=1,INDEX(役職一覧!$C$2:$C$31,MATCH(逆引き!B142,役職一覧!$C$2:$C$31,FALSE)+1,1)&amp;"",B142),"")</f>
        <v/>
      </c>
      <c r="C143" s="17" t="str">
        <f>IFERROR(IF(VLOOKUP(B142,役職一覧!$C$2:$E$31,3,FALSE)=C142,1,C142+1),"")</f>
        <v/>
      </c>
      <c r="D143" s="17" t="str">
        <f>IFERROR(INDEX(逆引き作成用!$C$2:$C$169,MATCH($B143&amp;"/"&amp;$C143,逆引き作成用!D$2:D$169,FALSE),1),"")</f>
        <v/>
      </c>
      <c r="E143" s="17" t="str">
        <f>IFERROR(INDEX(逆引き作成用!$C$2:$C$169,MATCH($B143&amp;"/"&amp;$C143,逆引き作成用!E$2:E$169,FALSE),1),"")</f>
        <v/>
      </c>
      <c r="F143" s="17" t="str">
        <f>IFERROR(INDEX(逆引き作成用!$C$2:$C$169,MATCH($B143&amp;"/"&amp;$C143,逆引き作成用!F$2:F$169,FALSE),1),"")</f>
        <v/>
      </c>
      <c r="G143" s="17" t="str">
        <f>IFERROR(INDEX(逆引き作成用!$C$2:$C$169,MATCH($B143&amp;"/"&amp;$C143,逆引き作成用!G$2:G$169,FALSE),1),"")</f>
        <v/>
      </c>
      <c r="H143" s="17" t="str">
        <f>IFERROR(INDEX(逆引き作成用!$C$2:$C$169,MATCH($B143&amp;"/"&amp;$C143,逆引き作成用!H$2:H$169,FALSE),1),"")</f>
        <v/>
      </c>
      <c r="I143" s="17" t="str">
        <f>IFERROR(INDEX(逆引き作成用!$C$2:$C$169,MATCH($B143&amp;"/"&amp;$C143,逆引き作成用!I$2:I$169,FALSE),1),"")</f>
        <v/>
      </c>
      <c r="J143" s="17" t="str">
        <f>IFERROR(INDEX(逆引き作成用!$C$2:$C$169,MATCH($B143&amp;"/"&amp;$C143,逆引き作成用!J$2:J$169,FALSE),1),"")</f>
        <v/>
      </c>
      <c r="K143" s="17" t="str">
        <f>IFERROR(INDEX(逆引き作成用!$C$2:$C$169,MATCH($B143&amp;"/"&amp;$C143,逆引き作成用!K$2:K$169,FALSE),1),"")</f>
        <v/>
      </c>
      <c r="L143" s="17" t="str">
        <f>IFERROR(INDEX(逆引き作成用!$C$2:$C$169,MATCH($B143&amp;"/"&amp;$C143,逆引き作成用!L$2:L$169,FALSE),1),"")</f>
        <v/>
      </c>
      <c r="M143" s="17" t="str">
        <f>IFERROR(INDEX(逆引き作成用!$C$2:$C$169,MATCH($B143&amp;"/"&amp;$C143,逆引き作成用!M$2:M$169,FALSE),1),"")</f>
        <v/>
      </c>
      <c r="N143" s="17" t="str">
        <f>IFERROR(INDEX(逆引き作成用!$C$2:$C$169,MATCH($B143&amp;"/"&amp;$C143,逆引き作成用!N$2:N$169,FALSE),1),"")</f>
        <v/>
      </c>
      <c r="O143" s="17" t="str">
        <f>IFERROR(INDEX(逆引き作成用!$C$2:$C$169,MATCH($B143&amp;"/"&amp;$C143,逆引き作成用!O$2:O$169,FALSE),1),"")</f>
        <v/>
      </c>
      <c r="P143" s="17" t="str">
        <f>IFERROR(INDEX(逆引き作成用!$C$2:$C$169,MATCH($B143&amp;"/"&amp;$C143,逆引き作成用!P$2:P$169,FALSE),1),"")</f>
        <v/>
      </c>
      <c r="Q143" s="17" t="str">
        <f>IFERROR(INDEX(逆引き作成用!$C$2:$C$169,MATCH($B143&amp;"/"&amp;$C143,逆引き作成用!Q$2:Q$169,FALSE),1),"")</f>
        <v/>
      </c>
      <c r="R143" s="17" t="str">
        <f>IFERROR(INDEX(逆引き作成用!$C$2:$C$169,MATCH($B143&amp;"/"&amp;$C143,逆引き作成用!R$2:R$169,FALSE),1),"")</f>
        <v/>
      </c>
      <c r="S143" s="17" t="str">
        <f>IFERROR(INDEX(逆引き作成用!$C$2:$C$169,MATCH($B143&amp;"/"&amp;$C143,逆引き作成用!S$2:S$169,FALSE),1),"")</f>
        <v/>
      </c>
      <c r="T143" s="17" t="str">
        <f>IFERROR(INDEX(逆引き作成用!$C$2:$C$169,MATCH($B143&amp;"/"&amp;$C143,逆引き作成用!T$2:T$169,FALSE),1),"")</f>
        <v/>
      </c>
      <c r="U143" s="17" t="str">
        <f>IFERROR(INDEX(逆引き作成用!$C$2:$C$169,MATCH($B143&amp;"/"&amp;$C143,逆引き作成用!U$2:U$169,FALSE),1),"")</f>
        <v/>
      </c>
      <c r="V143" s="17" t="str">
        <f>IFERROR(INDEX(逆引き作成用!$C$2:$C$169,MATCH($B143&amp;"/"&amp;$C143,逆引き作成用!V$2:V$169,FALSE),1),"")</f>
        <v/>
      </c>
      <c r="W143" s="17" t="str">
        <f>IFERROR(INDEX(逆引き作成用!$C$2:$C$169,MATCH($B143&amp;"/"&amp;$C143,逆引き作成用!W$2:W$169,FALSE),1),"")</f>
        <v/>
      </c>
      <c r="X143" s="17" t="str">
        <f>IFERROR(INDEX(逆引き作成用!$C$2:$C$169,MATCH($B143&amp;"/"&amp;$C143,逆引き作成用!X$2:X$169,FALSE),1),"")</f>
        <v/>
      </c>
      <c r="Y143" s="17" t="str">
        <f>IFERROR(INDEX(逆引き作成用!$C$2:$C$169,MATCH($B143&amp;"/"&amp;$C143,逆引き作成用!Y$2:Y$169,FALSE),1),"")</f>
        <v/>
      </c>
      <c r="Z143" s="17" t="str">
        <f>IFERROR(INDEX(逆引き作成用!$C$2:$C$169,MATCH($B143&amp;"/"&amp;$C143,逆引き作成用!Z$2:Z$169,FALSE),1),"")</f>
        <v/>
      </c>
      <c r="AA143" s="17" t="str">
        <f>IFERROR(INDEX(逆引き作成用!$C$2:$C$169,MATCH($B143&amp;"/"&amp;$C143,逆引き作成用!AA$2:AA$169,FALSE),1),"")</f>
        <v/>
      </c>
      <c r="AB143" s="17" t="str">
        <f>IFERROR(INDEX(逆引き作成用!$C$2:$C$169,MATCH($B143&amp;"/"&amp;$C143,逆引き作成用!AB$2:AB$169,FALSE),1),"")</f>
        <v/>
      </c>
      <c r="AC143" s="17" t="str">
        <f>IFERROR(INDEX(逆引き作成用!$C$2:$C$169,MATCH($B143&amp;"/"&amp;$C143,逆引き作成用!AC$2:AC$169,FALSE),1),"")</f>
        <v/>
      </c>
      <c r="AD143" s="17" t="str">
        <f>IFERROR(INDEX(逆引き作成用!$C$2:$C$169,MATCH($B143&amp;"/"&amp;$C143,逆引き作成用!AD$2:AD$169,FALSE),1),"")</f>
        <v/>
      </c>
      <c r="AE143" s="17" t="str">
        <f>IFERROR(INDEX(逆引き作成用!$C$2:$C$169,MATCH($B143&amp;"/"&amp;$C143,逆引き作成用!AE$2:AE$169,FALSE),1),"")</f>
        <v/>
      </c>
      <c r="AF143" s="17" t="str">
        <f>IFERROR(INDEX(逆引き作成用!$C$2:$C$169,MATCH($B143&amp;"/"&amp;$C143,逆引き作成用!AF$2:AF$169,FALSE),1),"")</f>
        <v/>
      </c>
      <c r="AG143" s="17" t="str">
        <f>IFERROR(INDEX(逆引き作成用!$C$2:$C$169,MATCH($B143&amp;"/"&amp;$C143,逆引き作成用!AG$2:AG$169,FALSE),1),"")</f>
        <v/>
      </c>
      <c r="AH143" s="17" t="str">
        <f>IFERROR(INDEX(逆引き作成用!$C$2:$C$169,MATCH($B143&amp;"/"&amp;$C143,逆引き作成用!AH$2:AH$169,FALSE),1),"")</f>
        <v/>
      </c>
      <c r="AI143" s="17" t="str">
        <f>IFERROR(INDEX(逆引き作成用!$C$2:$C$169,MATCH($B143&amp;"/"&amp;$C143,逆引き作成用!AI$2:AI$169,FALSE),1),"")</f>
        <v/>
      </c>
      <c r="AJ143" s="17" t="str">
        <f>IFERROR(INDEX(逆引き作成用!$C$2:$C$169,MATCH($B143&amp;"/"&amp;$C143,逆引き作成用!AJ$2:AJ$169,FALSE),1),"")</f>
        <v/>
      </c>
      <c r="AK143" s="17" t="str">
        <f>IFERROR(INDEX(逆引き作成用!$C$2:$C$169,MATCH($B143&amp;"/"&amp;$C143,逆引き作成用!AK$2:AK$169,FALSE),1),"")</f>
        <v/>
      </c>
      <c r="AL143" s="17" t="str">
        <f>IFERROR(INDEX(逆引き作成用!$C$2:$C$169,MATCH($B143&amp;"/"&amp;$C143,逆引き作成用!AL$2:AL$169,FALSE),1),"")</f>
        <v/>
      </c>
      <c r="AM143" s="17" t="str">
        <f>IFERROR(INDEX(逆引き作成用!$C$2:$C$169,MATCH($B143&amp;"/"&amp;$C143,逆引き作成用!AM$2:AM$169,FALSE),1),"")</f>
        <v/>
      </c>
      <c r="AN143" s="17" t="str">
        <f>IFERROR(INDEX(逆引き作成用!$C$2:$C$169,MATCH($B143&amp;"/"&amp;$C143,逆引き作成用!AN$2:AN$169,FALSE),1),"")</f>
        <v/>
      </c>
      <c r="AO143" s="17" t="str">
        <f>IFERROR(INDEX(逆引き作成用!$C$2:$C$169,MATCH($B143&amp;"/"&amp;$C143,逆引き作成用!AO$2:AO$169,FALSE),1),"")</f>
        <v/>
      </c>
      <c r="AP143" s="17" t="str">
        <f>IFERROR(INDEX(逆引き作成用!$C$2:$C$169,MATCH($B143&amp;"/"&amp;$C143,逆引き作成用!AP$2:AP$169,FALSE),1),"")</f>
        <v/>
      </c>
      <c r="AQ143" s="17" t="str">
        <f>IFERROR(INDEX(逆引き作成用!$C$2:$C$169,MATCH($B143&amp;"/"&amp;$C143,逆引き作成用!AQ$2:AQ$169,FALSE),1),"")</f>
        <v/>
      </c>
      <c r="AR143" s="17" t="str">
        <f>IFERROR(INDEX(逆引き作成用!$C$2:$C$169,MATCH($B143&amp;"/"&amp;$C143,逆引き作成用!AR$2:AR$169,FALSE),1),"")</f>
        <v/>
      </c>
      <c r="AS143" s="17" t="str">
        <f>IFERROR(INDEX(逆引き作成用!$C$2:$C$169,MATCH($B143&amp;"/"&amp;$C143,逆引き作成用!AS$2:AS$169,FALSE),1),"")</f>
        <v/>
      </c>
      <c r="AT143" s="17" t="str">
        <f>IFERROR(INDEX(逆引き作成用!$C$2:$C$169,MATCH($B143&amp;"/"&amp;$C143,逆引き作成用!AT$2:AT$169,FALSE),1),"")</f>
        <v/>
      </c>
      <c r="AU143" s="17" t="str">
        <f>IFERROR(INDEX(逆引き作成用!$C$2:$C$169,MATCH($B143&amp;"/"&amp;$C143,逆引き作成用!AU$2:AU$169,FALSE),1),"")</f>
        <v/>
      </c>
      <c r="AV143" s="17" t="str">
        <f>IFERROR(INDEX(逆引き作成用!$C$2:$C$169,MATCH($B143&amp;"/"&amp;$C143,逆引き作成用!AV$2:AV$169,FALSE),1),"")</f>
        <v/>
      </c>
      <c r="AW143" s="17" t="str">
        <f>IFERROR(INDEX(逆引き作成用!$C$2:$C$169,MATCH($B143&amp;"/"&amp;$C143,逆引き作成用!AW$2:AW$169,FALSE),1),"")</f>
        <v/>
      </c>
      <c r="AX143" s="17" t="str">
        <f>IFERROR(INDEX(逆引き作成用!$C$2:$C$169,MATCH($B143&amp;"/"&amp;$C143,逆引き作成用!AX$2:AX$169,FALSE),1),"")</f>
        <v/>
      </c>
      <c r="AY143" s="17" t="str">
        <f>IFERROR(INDEX(逆引き作成用!$C$2:$C$169,MATCH($B143&amp;"/"&amp;$C143,逆引き作成用!AY$2:AY$169,FALSE),1),"")</f>
        <v/>
      </c>
      <c r="AZ143" s="17" t="str">
        <f>IFERROR(INDEX(逆引き作成用!$C$2:$C$169,MATCH($B143&amp;"/"&amp;$C143,逆引き作成用!AZ$2:AZ$169,FALSE),1),"")</f>
        <v/>
      </c>
      <c r="BA143" s="17" t="str">
        <f>IFERROR(INDEX(逆引き作成用!$C$2:$C$169,MATCH($B143&amp;"/"&amp;$C143,逆引き作成用!BA$2:BA$169,FALSE),1),"")</f>
        <v/>
      </c>
    </row>
    <row r="144" spans="1:53">
      <c r="A144" s="17" t="str">
        <f>IFERROR(INDEX(役職一覧!$B$2:$B$31,MATCH(B144,役職一覧!$C$2:$C$31,FALSE),1),"")</f>
        <v/>
      </c>
      <c r="B144" s="17" t="str">
        <f>IFERROR(IF(C144=1,INDEX(役職一覧!$C$2:$C$31,MATCH(逆引き!B143,役職一覧!$C$2:$C$31,FALSE)+1,1)&amp;"",B143),"")</f>
        <v/>
      </c>
      <c r="C144" s="17" t="str">
        <f>IFERROR(IF(VLOOKUP(B143,役職一覧!$C$2:$E$31,3,FALSE)=C143,1,C143+1),"")</f>
        <v/>
      </c>
      <c r="D144" s="17" t="str">
        <f>IFERROR(INDEX(逆引き作成用!$C$2:$C$169,MATCH($B144&amp;"/"&amp;$C144,逆引き作成用!D$2:D$169,FALSE),1),"")</f>
        <v/>
      </c>
      <c r="E144" s="17" t="str">
        <f>IFERROR(INDEX(逆引き作成用!$C$2:$C$169,MATCH($B144&amp;"/"&amp;$C144,逆引き作成用!E$2:E$169,FALSE),1),"")</f>
        <v/>
      </c>
      <c r="F144" s="17" t="str">
        <f>IFERROR(INDEX(逆引き作成用!$C$2:$C$169,MATCH($B144&amp;"/"&amp;$C144,逆引き作成用!F$2:F$169,FALSE),1),"")</f>
        <v/>
      </c>
      <c r="G144" s="17" t="str">
        <f>IFERROR(INDEX(逆引き作成用!$C$2:$C$169,MATCH($B144&amp;"/"&amp;$C144,逆引き作成用!G$2:G$169,FALSE),1),"")</f>
        <v/>
      </c>
      <c r="H144" s="17" t="str">
        <f>IFERROR(INDEX(逆引き作成用!$C$2:$C$169,MATCH($B144&amp;"/"&amp;$C144,逆引き作成用!H$2:H$169,FALSE),1),"")</f>
        <v/>
      </c>
      <c r="I144" s="17" t="str">
        <f>IFERROR(INDEX(逆引き作成用!$C$2:$C$169,MATCH($B144&amp;"/"&amp;$C144,逆引き作成用!I$2:I$169,FALSE),1),"")</f>
        <v/>
      </c>
      <c r="J144" s="17" t="str">
        <f>IFERROR(INDEX(逆引き作成用!$C$2:$C$169,MATCH($B144&amp;"/"&amp;$C144,逆引き作成用!J$2:J$169,FALSE),1),"")</f>
        <v/>
      </c>
      <c r="K144" s="17" t="str">
        <f>IFERROR(INDEX(逆引き作成用!$C$2:$C$169,MATCH($B144&amp;"/"&amp;$C144,逆引き作成用!K$2:K$169,FALSE),1),"")</f>
        <v/>
      </c>
      <c r="L144" s="17" t="str">
        <f>IFERROR(INDEX(逆引き作成用!$C$2:$C$169,MATCH($B144&amp;"/"&amp;$C144,逆引き作成用!L$2:L$169,FALSE),1),"")</f>
        <v/>
      </c>
      <c r="M144" s="17" t="str">
        <f>IFERROR(INDEX(逆引き作成用!$C$2:$C$169,MATCH($B144&amp;"/"&amp;$C144,逆引き作成用!M$2:M$169,FALSE),1),"")</f>
        <v/>
      </c>
      <c r="N144" s="17" t="str">
        <f>IFERROR(INDEX(逆引き作成用!$C$2:$C$169,MATCH($B144&amp;"/"&amp;$C144,逆引き作成用!N$2:N$169,FALSE),1),"")</f>
        <v/>
      </c>
      <c r="O144" s="17" t="str">
        <f>IFERROR(INDEX(逆引き作成用!$C$2:$C$169,MATCH($B144&amp;"/"&amp;$C144,逆引き作成用!O$2:O$169,FALSE),1),"")</f>
        <v/>
      </c>
      <c r="P144" s="17" t="str">
        <f>IFERROR(INDEX(逆引き作成用!$C$2:$C$169,MATCH($B144&amp;"/"&amp;$C144,逆引き作成用!P$2:P$169,FALSE),1),"")</f>
        <v/>
      </c>
      <c r="Q144" s="17" t="str">
        <f>IFERROR(INDEX(逆引き作成用!$C$2:$C$169,MATCH($B144&amp;"/"&amp;$C144,逆引き作成用!Q$2:Q$169,FALSE),1),"")</f>
        <v/>
      </c>
      <c r="R144" s="17" t="str">
        <f>IFERROR(INDEX(逆引き作成用!$C$2:$C$169,MATCH($B144&amp;"/"&amp;$C144,逆引き作成用!R$2:R$169,FALSE),1),"")</f>
        <v/>
      </c>
      <c r="S144" s="17" t="str">
        <f>IFERROR(INDEX(逆引き作成用!$C$2:$C$169,MATCH($B144&amp;"/"&amp;$C144,逆引き作成用!S$2:S$169,FALSE),1),"")</f>
        <v/>
      </c>
      <c r="T144" s="17" t="str">
        <f>IFERROR(INDEX(逆引き作成用!$C$2:$C$169,MATCH($B144&amp;"/"&amp;$C144,逆引き作成用!T$2:T$169,FALSE),1),"")</f>
        <v/>
      </c>
      <c r="U144" s="17" t="str">
        <f>IFERROR(INDEX(逆引き作成用!$C$2:$C$169,MATCH($B144&amp;"/"&amp;$C144,逆引き作成用!U$2:U$169,FALSE),1),"")</f>
        <v/>
      </c>
      <c r="V144" s="17" t="str">
        <f>IFERROR(INDEX(逆引き作成用!$C$2:$C$169,MATCH($B144&amp;"/"&amp;$C144,逆引き作成用!V$2:V$169,FALSE),1),"")</f>
        <v/>
      </c>
      <c r="W144" s="17" t="str">
        <f>IFERROR(INDEX(逆引き作成用!$C$2:$C$169,MATCH($B144&amp;"/"&amp;$C144,逆引き作成用!W$2:W$169,FALSE),1),"")</f>
        <v/>
      </c>
      <c r="X144" s="17" t="str">
        <f>IFERROR(INDEX(逆引き作成用!$C$2:$C$169,MATCH($B144&amp;"/"&amp;$C144,逆引き作成用!X$2:X$169,FALSE),1),"")</f>
        <v/>
      </c>
      <c r="Y144" s="17" t="str">
        <f>IFERROR(INDEX(逆引き作成用!$C$2:$C$169,MATCH($B144&amp;"/"&amp;$C144,逆引き作成用!Y$2:Y$169,FALSE),1),"")</f>
        <v/>
      </c>
      <c r="Z144" s="17" t="str">
        <f>IFERROR(INDEX(逆引き作成用!$C$2:$C$169,MATCH($B144&amp;"/"&amp;$C144,逆引き作成用!Z$2:Z$169,FALSE),1),"")</f>
        <v/>
      </c>
      <c r="AA144" s="17" t="str">
        <f>IFERROR(INDEX(逆引き作成用!$C$2:$C$169,MATCH($B144&amp;"/"&amp;$C144,逆引き作成用!AA$2:AA$169,FALSE),1),"")</f>
        <v/>
      </c>
      <c r="AB144" s="17" t="str">
        <f>IFERROR(INDEX(逆引き作成用!$C$2:$C$169,MATCH($B144&amp;"/"&amp;$C144,逆引き作成用!AB$2:AB$169,FALSE),1),"")</f>
        <v/>
      </c>
      <c r="AC144" s="17" t="str">
        <f>IFERROR(INDEX(逆引き作成用!$C$2:$C$169,MATCH($B144&amp;"/"&amp;$C144,逆引き作成用!AC$2:AC$169,FALSE),1),"")</f>
        <v/>
      </c>
      <c r="AD144" s="17" t="str">
        <f>IFERROR(INDEX(逆引き作成用!$C$2:$C$169,MATCH($B144&amp;"/"&amp;$C144,逆引き作成用!AD$2:AD$169,FALSE),1),"")</f>
        <v/>
      </c>
      <c r="AE144" s="17" t="str">
        <f>IFERROR(INDEX(逆引き作成用!$C$2:$C$169,MATCH($B144&amp;"/"&amp;$C144,逆引き作成用!AE$2:AE$169,FALSE),1),"")</f>
        <v/>
      </c>
      <c r="AF144" s="17" t="str">
        <f>IFERROR(INDEX(逆引き作成用!$C$2:$C$169,MATCH($B144&amp;"/"&amp;$C144,逆引き作成用!AF$2:AF$169,FALSE),1),"")</f>
        <v/>
      </c>
      <c r="AG144" s="17" t="str">
        <f>IFERROR(INDEX(逆引き作成用!$C$2:$C$169,MATCH($B144&amp;"/"&amp;$C144,逆引き作成用!AG$2:AG$169,FALSE),1),"")</f>
        <v/>
      </c>
      <c r="AH144" s="17" t="str">
        <f>IFERROR(INDEX(逆引き作成用!$C$2:$C$169,MATCH($B144&amp;"/"&amp;$C144,逆引き作成用!AH$2:AH$169,FALSE),1),"")</f>
        <v/>
      </c>
      <c r="AI144" s="17" t="str">
        <f>IFERROR(INDEX(逆引き作成用!$C$2:$C$169,MATCH($B144&amp;"/"&amp;$C144,逆引き作成用!AI$2:AI$169,FALSE),1),"")</f>
        <v/>
      </c>
      <c r="AJ144" s="17" t="str">
        <f>IFERROR(INDEX(逆引き作成用!$C$2:$C$169,MATCH($B144&amp;"/"&amp;$C144,逆引き作成用!AJ$2:AJ$169,FALSE),1),"")</f>
        <v/>
      </c>
      <c r="AK144" s="17" t="str">
        <f>IFERROR(INDEX(逆引き作成用!$C$2:$C$169,MATCH($B144&amp;"/"&amp;$C144,逆引き作成用!AK$2:AK$169,FALSE),1),"")</f>
        <v/>
      </c>
      <c r="AL144" s="17" t="str">
        <f>IFERROR(INDEX(逆引き作成用!$C$2:$C$169,MATCH($B144&amp;"/"&amp;$C144,逆引き作成用!AL$2:AL$169,FALSE),1),"")</f>
        <v/>
      </c>
      <c r="AM144" s="17" t="str">
        <f>IFERROR(INDEX(逆引き作成用!$C$2:$C$169,MATCH($B144&amp;"/"&amp;$C144,逆引き作成用!AM$2:AM$169,FALSE),1),"")</f>
        <v/>
      </c>
      <c r="AN144" s="17" t="str">
        <f>IFERROR(INDEX(逆引き作成用!$C$2:$C$169,MATCH($B144&amp;"/"&amp;$C144,逆引き作成用!AN$2:AN$169,FALSE),1),"")</f>
        <v/>
      </c>
      <c r="AO144" s="17" t="str">
        <f>IFERROR(INDEX(逆引き作成用!$C$2:$C$169,MATCH($B144&amp;"/"&amp;$C144,逆引き作成用!AO$2:AO$169,FALSE),1),"")</f>
        <v/>
      </c>
      <c r="AP144" s="17" t="str">
        <f>IFERROR(INDEX(逆引き作成用!$C$2:$C$169,MATCH($B144&amp;"/"&amp;$C144,逆引き作成用!AP$2:AP$169,FALSE),1),"")</f>
        <v/>
      </c>
      <c r="AQ144" s="17" t="str">
        <f>IFERROR(INDEX(逆引き作成用!$C$2:$C$169,MATCH($B144&amp;"/"&amp;$C144,逆引き作成用!AQ$2:AQ$169,FALSE),1),"")</f>
        <v/>
      </c>
      <c r="AR144" s="17" t="str">
        <f>IFERROR(INDEX(逆引き作成用!$C$2:$C$169,MATCH($B144&amp;"/"&amp;$C144,逆引き作成用!AR$2:AR$169,FALSE),1),"")</f>
        <v/>
      </c>
      <c r="AS144" s="17" t="str">
        <f>IFERROR(INDEX(逆引き作成用!$C$2:$C$169,MATCH($B144&amp;"/"&amp;$C144,逆引き作成用!AS$2:AS$169,FALSE),1),"")</f>
        <v/>
      </c>
      <c r="AT144" s="17" t="str">
        <f>IFERROR(INDEX(逆引き作成用!$C$2:$C$169,MATCH($B144&amp;"/"&amp;$C144,逆引き作成用!AT$2:AT$169,FALSE),1),"")</f>
        <v/>
      </c>
      <c r="AU144" s="17" t="str">
        <f>IFERROR(INDEX(逆引き作成用!$C$2:$C$169,MATCH($B144&amp;"/"&amp;$C144,逆引き作成用!AU$2:AU$169,FALSE),1),"")</f>
        <v/>
      </c>
      <c r="AV144" s="17" t="str">
        <f>IFERROR(INDEX(逆引き作成用!$C$2:$C$169,MATCH($B144&amp;"/"&amp;$C144,逆引き作成用!AV$2:AV$169,FALSE),1),"")</f>
        <v/>
      </c>
      <c r="AW144" s="17" t="str">
        <f>IFERROR(INDEX(逆引き作成用!$C$2:$C$169,MATCH($B144&amp;"/"&amp;$C144,逆引き作成用!AW$2:AW$169,FALSE),1),"")</f>
        <v/>
      </c>
      <c r="AX144" s="17" t="str">
        <f>IFERROR(INDEX(逆引き作成用!$C$2:$C$169,MATCH($B144&amp;"/"&amp;$C144,逆引き作成用!AX$2:AX$169,FALSE),1),"")</f>
        <v/>
      </c>
      <c r="AY144" s="17" t="str">
        <f>IFERROR(INDEX(逆引き作成用!$C$2:$C$169,MATCH($B144&amp;"/"&amp;$C144,逆引き作成用!AY$2:AY$169,FALSE),1),"")</f>
        <v/>
      </c>
      <c r="AZ144" s="17" t="str">
        <f>IFERROR(INDEX(逆引き作成用!$C$2:$C$169,MATCH($B144&amp;"/"&amp;$C144,逆引き作成用!AZ$2:AZ$169,FALSE),1),"")</f>
        <v/>
      </c>
      <c r="BA144" s="17" t="str">
        <f>IFERROR(INDEX(逆引き作成用!$C$2:$C$169,MATCH($B144&amp;"/"&amp;$C144,逆引き作成用!BA$2:BA$169,FALSE),1),"")</f>
        <v/>
      </c>
    </row>
    <row r="145" spans="1:53">
      <c r="A145" s="17" t="str">
        <f>IFERROR(INDEX(役職一覧!$B$2:$B$31,MATCH(B145,役職一覧!$C$2:$C$31,FALSE),1),"")</f>
        <v/>
      </c>
      <c r="B145" s="17" t="str">
        <f>IFERROR(IF(C145=1,INDEX(役職一覧!$C$2:$C$31,MATCH(逆引き!B144,役職一覧!$C$2:$C$31,FALSE)+1,1)&amp;"",B144),"")</f>
        <v/>
      </c>
      <c r="C145" s="17" t="str">
        <f>IFERROR(IF(VLOOKUP(B144,役職一覧!$C$2:$E$31,3,FALSE)=C144,1,C144+1),"")</f>
        <v/>
      </c>
      <c r="D145" s="17" t="str">
        <f>IFERROR(INDEX(逆引き作成用!$C$2:$C$169,MATCH($B145&amp;"/"&amp;$C145,逆引き作成用!D$2:D$169,FALSE),1),"")</f>
        <v/>
      </c>
      <c r="E145" s="17" t="str">
        <f>IFERROR(INDEX(逆引き作成用!$C$2:$C$169,MATCH($B145&amp;"/"&amp;$C145,逆引き作成用!E$2:E$169,FALSE),1),"")</f>
        <v/>
      </c>
      <c r="F145" s="17" t="str">
        <f>IFERROR(INDEX(逆引き作成用!$C$2:$C$169,MATCH($B145&amp;"/"&amp;$C145,逆引き作成用!F$2:F$169,FALSE),1),"")</f>
        <v/>
      </c>
      <c r="G145" s="17" t="str">
        <f>IFERROR(INDEX(逆引き作成用!$C$2:$C$169,MATCH($B145&amp;"/"&amp;$C145,逆引き作成用!G$2:G$169,FALSE),1),"")</f>
        <v/>
      </c>
      <c r="H145" s="17" t="str">
        <f>IFERROR(INDEX(逆引き作成用!$C$2:$C$169,MATCH($B145&amp;"/"&amp;$C145,逆引き作成用!H$2:H$169,FALSE),1),"")</f>
        <v/>
      </c>
      <c r="I145" s="17" t="str">
        <f>IFERROR(INDEX(逆引き作成用!$C$2:$C$169,MATCH($B145&amp;"/"&amp;$C145,逆引き作成用!I$2:I$169,FALSE),1),"")</f>
        <v/>
      </c>
      <c r="J145" s="17" t="str">
        <f>IFERROR(INDEX(逆引き作成用!$C$2:$C$169,MATCH($B145&amp;"/"&amp;$C145,逆引き作成用!J$2:J$169,FALSE),1),"")</f>
        <v/>
      </c>
      <c r="K145" s="17" t="str">
        <f>IFERROR(INDEX(逆引き作成用!$C$2:$C$169,MATCH($B145&amp;"/"&amp;$C145,逆引き作成用!K$2:K$169,FALSE),1),"")</f>
        <v/>
      </c>
      <c r="L145" s="17" t="str">
        <f>IFERROR(INDEX(逆引き作成用!$C$2:$C$169,MATCH($B145&amp;"/"&amp;$C145,逆引き作成用!L$2:L$169,FALSE),1),"")</f>
        <v/>
      </c>
      <c r="M145" s="17" t="str">
        <f>IFERROR(INDEX(逆引き作成用!$C$2:$C$169,MATCH($B145&amp;"/"&amp;$C145,逆引き作成用!M$2:M$169,FALSE),1),"")</f>
        <v/>
      </c>
      <c r="N145" s="17" t="str">
        <f>IFERROR(INDEX(逆引き作成用!$C$2:$C$169,MATCH($B145&amp;"/"&amp;$C145,逆引き作成用!N$2:N$169,FALSE),1),"")</f>
        <v/>
      </c>
      <c r="O145" s="17" t="str">
        <f>IFERROR(INDEX(逆引き作成用!$C$2:$C$169,MATCH($B145&amp;"/"&amp;$C145,逆引き作成用!O$2:O$169,FALSE),1),"")</f>
        <v/>
      </c>
      <c r="P145" s="17" t="str">
        <f>IFERROR(INDEX(逆引き作成用!$C$2:$C$169,MATCH($B145&amp;"/"&amp;$C145,逆引き作成用!P$2:P$169,FALSE),1),"")</f>
        <v/>
      </c>
      <c r="Q145" s="17" t="str">
        <f>IFERROR(INDEX(逆引き作成用!$C$2:$C$169,MATCH($B145&amp;"/"&amp;$C145,逆引き作成用!Q$2:Q$169,FALSE),1),"")</f>
        <v/>
      </c>
      <c r="R145" s="17" t="str">
        <f>IFERROR(INDEX(逆引き作成用!$C$2:$C$169,MATCH($B145&amp;"/"&amp;$C145,逆引き作成用!R$2:R$169,FALSE),1),"")</f>
        <v/>
      </c>
      <c r="S145" s="17" t="str">
        <f>IFERROR(INDEX(逆引き作成用!$C$2:$C$169,MATCH($B145&amp;"/"&amp;$C145,逆引き作成用!S$2:S$169,FALSE),1),"")</f>
        <v/>
      </c>
      <c r="T145" s="17" t="str">
        <f>IFERROR(INDEX(逆引き作成用!$C$2:$C$169,MATCH($B145&amp;"/"&amp;$C145,逆引き作成用!T$2:T$169,FALSE),1),"")</f>
        <v/>
      </c>
      <c r="U145" s="17" t="str">
        <f>IFERROR(INDEX(逆引き作成用!$C$2:$C$169,MATCH($B145&amp;"/"&amp;$C145,逆引き作成用!U$2:U$169,FALSE),1),"")</f>
        <v/>
      </c>
      <c r="V145" s="17" t="str">
        <f>IFERROR(INDEX(逆引き作成用!$C$2:$C$169,MATCH($B145&amp;"/"&amp;$C145,逆引き作成用!V$2:V$169,FALSE),1),"")</f>
        <v/>
      </c>
      <c r="W145" s="17" t="str">
        <f>IFERROR(INDEX(逆引き作成用!$C$2:$C$169,MATCH($B145&amp;"/"&amp;$C145,逆引き作成用!W$2:W$169,FALSE),1),"")</f>
        <v/>
      </c>
      <c r="X145" s="17" t="str">
        <f>IFERROR(INDEX(逆引き作成用!$C$2:$C$169,MATCH($B145&amp;"/"&amp;$C145,逆引き作成用!X$2:X$169,FALSE),1),"")</f>
        <v/>
      </c>
      <c r="Y145" s="17" t="str">
        <f>IFERROR(INDEX(逆引き作成用!$C$2:$C$169,MATCH($B145&amp;"/"&amp;$C145,逆引き作成用!Y$2:Y$169,FALSE),1),"")</f>
        <v/>
      </c>
      <c r="Z145" s="17" t="str">
        <f>IFERROR(INDEX(逆引き作成用!$C$2:$C$169,MATCH($B145&amp;"/"&amp;$C145,逆引き作成用!Z$2:Z$169,FALSE),1),"")</f>
        <v/>
      </c>
      <c r="AA145" s="17" t="str">
        <f>IFERROR(INDEX(逆引き作成用!$C$2:$C$169,MATCH($B145&amp;"/"&amp;$C145,逆引き作成用!AA$2:AA$169,FALSE),1),"")</f>
        <v/>
      </c>
      <c r="AB145" s="17" t="str">
        <f>IFERROR(INDEX(逆引き作成用!$C$2:$C$169,MATCH($B145&amp;"/"&amp;$C145,逆引き作成用!AB$2:AB$169,FALSE),1),"")</f>
        <v/>
      </c>
      <c r="AC145" s="17" t="str">
        <f>IFERROR(INDEX(逆引き作成用!$C$2:$C$169,MATCH($B145&amp;"/"&amp;$C145,逆引き作成用!AC$2:AC$169,FALSE),1),"")</f>
        <v/>
      </c>
      <c r="AD145" s="17" t="str">
        <f>IFERROR(INDEX(逆引き作成用!$C$2:$C$169,MATCH($B145&amp;"/"&amp;$C145,逆引き作成用!AD$2:AD$169,FALSE),1),"")</f>
        <v/>
      </c>
      <c r="AE145" s="17" t="str">
        <f>IFERROR(INDEX(逆引き作成用!$C$2:$C$169,MATCH($B145&amp;"/"&amp;$C145,逆引き作成用!AE$2:AE$169,FALSE),1),"")</f>
        <v/>
      </c>
      <c r="AF145" s="17" t="str">
        <f>IFERROR(INDEX(逆引き作成用!$C$2:$C$169,MATCH($B145&amp;"/"&amp;$C145,逆引き作成用!AF$2:AF$169,FALSE),1),"")</f>
        <v/>
      </c>
      <c r="AG145" s="17" t="str">
        <f>IFERROR(INDEX(逆引き作成用!$C$2:$C$169,MATCH($B145&amp;"/"&amp;$C145,逆引き作成用!AG$2:AG$169,FALSE),1),"")</f>
        <v/>
      </c>
      <c r="AH145" s="17" t="str">
        <f>IFERROR(INDEX(逆引き作成用!$C$2:$C$169,MATCH($B145&amp;"/"&amp;$C145,逆引き作成用!AH$2:AH$169,FALSE),1),"")</f>
        <v/>
      </c>
      <c r="AI145" s="17" t="str">
        <f>IFERROR(INDEX(逆引き作成用!$C$2:$C$169,MATCH($B145&amp;"/"&amp;$C145,逆引き作成用!AI$2:AI$169,FALSE),1),"")</f>
        <v/>
      </c>
      <c r="AJ145" s="17" t="str">
        <f>IFERROR(INDEX(逆引き作成用!$C$2:$C$169,MATCH($B145&amp;"/"&amp;$C145,逆引き作成用!AJ$2:AJ$169,FALSE),1),"")</f>
        <v/>
      </c>
      <c r="AK145" s="17" t="str">
        <f>IFERROR(INDEX(逆引き作成用!$C$2:$C$169,MATCH($B145&amp;"/"&amp;$C145,逆引き作成用!AK$2:AK$169,FALSE),1),"")</f>
        <v/>
      </c>
      <c r="AL145" s="17" t="str">
        <f>IFERROR(INDEX(逆引き作成用!$C$2:$C$169,MATCH($B145&amp;"/"&amp;$C145,逆引き作成用!AL$2:AL$169,FALSE),1),"")</f>
        <v/>
      </c>
      <c r="AM145" s="17" t="str">
        <f>IFERROR(INDEX(逆引き作成用!$C$2:$C$169,MATCH($B145&amp;"/"&amp;$C145,逆引き作成用!AM$2:AM$169,FALSE),1),"")</f>
        <v/>
      </c>
      <c r="AN145" s="17" t="str">
        <f>IFERROR(INDEX(逆引き作成用!$C$2:$C$169,MATCH($B145&amp;"/"&amp;$C145,逆引き作成用!AN$2:AN$169,FALSE),1),"")</f>
        <v/>
      </c>
      <c r="AO145" s="17" t="str">
        <f>IFERROR(INDEX(逆引き作成用!$C$2:$C$169,MATCH($B145&amp;"/"&amp;$C145,逆引き作成用!AO$2:AO$169,FALSE),1),"")</f>
        <v/>
      </c>
      <c r="AP145" s="17" t="str">
        <f>IFERROR(INDEX(逆引き作成用!$C$2:$C$169,MATCH($B145&amp;"/"&amp;$C145,逆引き作成用!AP$2:AP$169,FALSE),1),"")</f>
        <v/>
      </c>
      <c r="AQ145" s="17" t="str">
        <f>IFERROR(INDEX(逆引き作成用!$C$2:$C$169,MATCH($B145&amp;"/"&amp;$C145,逆引き作成用!AQ$2:AQ$169,FALSE),1),"")</f>
        <v/>
      </c>
      <c r="AR145" s="17" t="str">
        <f>IFERROR(INDEX(逆引き作成用!$C$2:$C$169,MATCH($B145&amp;"/"&amp;$C145,逆引き作成用!AR$2:AR$169,FALSE),1),"")</f>
        <v/>
      </c>
      <c r="AS145" s="17" t="str">
        <f>IFERROR(INDEX(逆引き作成用!$C$2:$C$169,MATCH($B145&amp;"/"&amp;$C145,逆引き作成用!AS$2:AS$169,FALSE),1),"")</f>
        <v/>
      </c>
      <c r="AT145" s="17" t="str">
        <f>IFERROR(INDEX(逆引き作成用!$C$2:$C$169,MATCH($B145&amp;"/"&amp;$C145,逆引き作成用!AT$2:AT$169,FALSE),1),"")</f>
        <v/>
      </c>
      <c r="AU145" s="17" t="str">
        <f>IFERROR(INDEX(逆引き作成用!$C$2:$C$169,MATCH($B145&amp;"/"&amp;$C145,逆引き作成用!AU$2:AU$169,FALSE),1),"")</f>
        <v/>
      </c>
      <c r="AV145" s="17" t="str">
        <f>IFERROR(INDEX(逆引き作成用!$C$2:$C$169,MATCH($B145&amp;"/"&amp;$C145,逆引き作成用!AV$2:AV$169,FALSE),1),"")</f>
        <v/>
      </c>
      <c r="AW145" s="17" t="str">
        <f>IFERROR(INDEX(逆引き作成用!$C$2:$C$169,MATCH($B145&amp;"/"&amp;$C145,逆引き作成用!AW$2:AW$169,FALSE),1),"")</f>
        <v/>
      </c>
      <c r="AX145" s="17" t="str">
        <f>IFERROR(INDEX(逆引き作成用!$C$2:$C$169,MATCH($B145&amp;"/"&amp;$C145,逆引き作成用!AX$2:AX$169,FALSE),1),"")</f>
        <v/>
      </c>
      <c r="AY145" s="17" t="str">
        <f>IFERROR(INDEX(逆引き作成用!$C$2:$C$169,MATCH($B145&amp;"/"&amp;$C145,逆引き作成用!AY$2:AY$169,FALSE),1),"")</f>
        <v/>
      </c>
      <c r="AZ145" s="17" t="str">
        <f>IFERROR(INDEX(逆引き作成用!$C$2:$C$169,MATCH($B145&amp;"/"&amp;$C145,逆引き作成用!AZ$2:AZ$169,FALSE),1),"")</f>
        <v/>
      </c>
      <c r="BA145" s="17" t="str">
        <f>IFERROR(INDEX(逆引き作成用!$C$2:$C$169,MATCH($B145&amp;"/"&amp;$C145,逆引き作成用!BA$2:BA$169,FALSE),1),"")</f>
        <v/>
      </c>
    </row>
    <row r="146" spans="1:53">
      <c r="A146" s="17" t="str">
        <f>IFERROR(INDEX(役職一覧!$B$2:$B$31,MATCH(B146,役職一覧!$C$2:$C$31,FALSE),1),"")</f>
        <v/>
      </c>
      <c r="B146" s="17" t="str">
        <f>IFERROR(IF(C146=1,INDEX(役職一覧!$C$2:$C$31,MATCH(逆引き!B145,役職一覧!$C$2:$C$31,FALSE)+1,1)&amp;"",B145),"")</f>
        <v/>
      </c>
      <c r="C146" s="17" t="str">
        <f>IFERROR(IF(VLOOKUP(B145,役職一覧!$C$2:$E$31,3,FALSE)=C145,1,C145+1),"")</f>
        <v/>
      </c>
      <c r="D146" s="17" t="str">
        <f>IFERROR(INDEX(逆引き作成用!$C$2:$C$169,MATCH($B146&amp;"/"&amp;$C146,逆引き作成用!D$2:D$169,FALSE),1),"")</f>
        <v/>
      </c>
      <c r="E146" s="17" t="str">
        <f>IFERROR(INDEX(逆引き作成用!$C$2:$C$169,MATCH($B146&amp;"/"&amp;$C146,逆引き作成用!E$2:E$169,FALSE),1),"")</f>
        <v/>
      </c>
      <c r="F146" s="17" t="str">
        <f>IFERROR(INDEX(逆引き作成用!$C$2:$C$169,MATCH($B146&amp;"/"&amp;$C146,逆引き作成用!F$2:F$169,FALSE),1),"")</f>
        <v/>
      </c>
      <c r="G146" s="17" t="str">
        <f>IFERROR(INDEX(逆引き作成用!$C$2:$C$169,MATCH($B146&amp;"/"&amp;$C146,逆引き作成用!G$2:G$169,FALSE),1),"")</f>
        <v/>
      </c>
      <c r="H146" s="17" t="str">
        <f>IFERROR(INDEX(逆引き作成用!$C$2:$C$169,MATCH($B146&amp;"/"&amp;$C146,逆引き作成用!H$2:H$169,FALSE),1),"")</f>
        <v/>
      </c>
      <c r="I146" s="17" t="str">
        <f>IFERROR(INDEX(逆引き作成用!$C$2:$C$169,MATCH($B146&amp;"/"&amp;$C146,逆引き作成用!I$2:I$169,FALSE),1),"")</f>
        <v/>
      </c>
      <c r="J146" s="17" t="str">
        <f>IFERROR(INDEX(逆引き作成用!$C$2:$C$169,MATCH($B146&amp;"/"&amp;$C146,逆引き作成用!J$2:J$169,FALSE),1),"")</f>
        <v/>
      </c>
      <c r="K146" s="17" t="str">
        <f>IFERROR(INDEX(逆引き作成用!$C$2:$C$169,MATCH($B146&amp;"/"&amp;$C146,逆引き作成用!K$2:K$169,FALSE),1),"")</f>
        <v/>
      </c>
      <c r="L146" s="17" t="str">
        <f>IFERROR(INDEX(逆引き作成用!$C$2:$C$169,MATCH($B146&amp;"/"&amp;$C146,逆引き作成用!L$2:L$169,FALSE),1),"")</f>
        <v/>
      </c>
      <c r="M146" s="17" t="str">
        <f>IFERROR(INDEX(逆引き作成用!$C$2:$C$169,MATCH($B146&amp;"/"&amp;$C146,逆引き作成用!M$2:M$169,FALSE),1),"")</f>
        <v/>
      </c>
      <c r="N146" s="17" t="str">
        <f>IFERROR(INDEX(逆引き作成用!$C$2:$C$169,MATCH($B146&amp;"/"&amp;$C146,逆引き作成用!N$2:N$169,FALSE),1),"")</f>
        <v/>
      </c>
      <c r="O146" s="17" t="str">
        <f>IFERROR(INDEX(逆引き作成用!$C$2:$C$169,MATCH($B146&amp;"/"&amp;$C146,逆引き作成用!O$2:O$169,FALSE),1),"")</f>
        <v/>
      </c>
      <c r="P146" s="17" t="str">
        <f>IFERROR(INDEX(逆引き作成用!$C$2:$C$169,MATCH($B146&amp;"/"&amp;$C146,逆引き作成用!P$2:P$169,FALSE),1),"")</f>
        <v/>
      </c>
      <c r="Q146" s="17" t="str">
        <f>IFERROR(INDEX(逆引き作成用!$C$2:$C$169,MATCH($B146&amp;"/"&amp;$C146,逆引き作成用!Q$2:Q$169,FALSE),1),"")</f>
        <v/>
      </c>
      <c r="R146" s="17" t="str">
        <f>IFERROR(INDEX(逆引き作成用!$C$2:$C$169,MATCH($B146&amp;"/"&amp;$C146,逆引き作成用!R$2:R$169,FALSE),1),"")</f>
        <v/>
      </c>
      <c r="S146" s="17" t="str">
        <f>IFERROR(INDEX(逆引き作成用!$C$2:$C$169,MATCH($B146&amp;"/"&amp;$C146,逆引き作成用!S$2:S$169,FALSE),1),"")</f>
        <v/>
      </c>
      <c r="T146" s="17" t="str">
        <f>IFERROR(INDEX(逆引き作成用!$C$2:$C$169,MATCH($B146&amp;"/"&amp;$C146,逆引き作成用!T$2:T$169,FALSE),1),"")</f>
        <v/>
      </c>
      <c r="U146" s="17" t="str">
        <f>IFERROR(INDEX(逆引き作成用!$C$2:$C$169,MATCH($B146&amp;"/"&amp;$C146,逆引き作成用!U$2:U$169,FALSE),1),"")</f>
        <v/>
      </c>
      <c r="V146" s="17" t="str">
        <f>IFERROR(INDEX(逆引き作成用!$C$2:$C$169,MATCH($B146&amp;"/"&amp;$C146,逆引き作成用!V$2:V$169,FALSE),1),"")</f>
        <v/>
      </c>
      <c r="W146" s="17" t="str">
        <f>IFERROR(INDEX(逆引き作成用!$C$2:$C$169,MATCH($B146&amp;"/"&amp;$C146,逆引き作成用!W$2:W$169,FALSE),1),"")</f>
        <v/>
      </c>
      <c r="X146" s="17" t="str">
        <f>IFERROR(INDEX(逆引き作成用!$C$2:$C$169,MATCH($B146&amp;"/"&amp;$C146,逆引き作成用!X$2:X$169,FALSE),1),"")</f>
        <v/>
      </c>
      <c r="Y146" s="17" t="str">
        <f>IFERROR(INDEX(逆引き作成用!$C$2:$C$169,MATCH($B146&amp;"/"&amp;$C146,逆引き作成用!Y$2:Y$169,FALSE),1),"")</f>
        <v/>
      </c>
      <c r="Z146" s="17" t="str">
        <f>IFERROR(INDEX(逆引き作成用!$C$2:$C$169,MATCH($B146&amp;"/"&amp;$C146,逆引き作成用!Z$2:Z$169,FALSE),1),"")</f>
        <v/>
      </c>
      <c r="AA146" s="17" t="str">
        <f>IFERROR(INDEX(逆引き作成用!$C$2:$C$169,MATCH($B146&amp;"/"&amp;$C146,逆引き作成用!AA$2:AA$169,FALSE),1),"")</f>
        <v/>
      </c>
      <c r="AB146" s="17" t="str">
        <f>IFERROR(INDEX(逆引き作成用!$C$2:$C$169,MATCH($B146&amp;"/"&amp;$C146,逆引き作成用!AB$2:AB$169,FALSE),1),"")</f>
        <v/>
      </c>
      <c r="AC146" s="17" t="str">
        <f>IFERROR(INDEX(逆引き作成用!$C$2:$C$169,MATCH($B146&amp;"/"&amp;$C146,逆引き作成用!AC$2:AC$169,FALSE),1),"")</f>
        <v/>
      </c>
      <c r="AD146" s="17" t="str">
        <f>IFERROR(INDEX(逆引き作成用!$C$2:$C$169,MATCH($B146&amp;"/"&amp;$C146,逆引き作成用!AD$2:AD$169,FALSE),1),"")</f>
        <v/>
      </c>
      <c r="AE146" s="17" t="str">
        <f>IFERROR(INDEX(逆引き作成用!$C$2:$C$169,MATCH($B146&amp;"/"&amp;$C146,逆引き作成用!AE$2:AE$169,FALSE),1),"")</f>
        <v/>
      </c>
      <c r="AF146" s="17" t="str">
        <f>IFERROR(INDEX(逆引き作成用!$C$2:$C$169,MATCH($B146&amp;"/"&amp;$C146,逆引き作成用!AF$2:AF$169,FALSE),1),"")</f>
        <v/>
      </c>
      <c r="AG146" s="17" t="str">
        <f>IFERROR(INDEX(逆引き作成用!$C$2:$C$169,MATCH($B146&amp;"/"&amp;$C146,逆引き作成用!AG$2:AG$169,FALSE),1),"")</f>
        <v/>
      </c>
      <c r="AH146" s="17" t="str">
        <f>IFERROR(INDEX(逆引き作成用!$C$2:$C$169,MATCH($B146&amp;"/"&amp;$C146,逆引き作成用!AH$2:AH$169,FALSE),1),"")</f>
        <v/>
      </c>
      <c r="AI146" s="17" t="str">
        <f>IFERROR(INDEX(逆引き作成用!$C$2:$C$169,MATCH($B146&amp;"/"&amp;$C146,逆引き作成用!AI$2:AI$169,FALSE),1),"")</f>
        <v/>
      </c>
      <c r="AJ146" s="17" t="str">
        <f>IFERROR(INDEX(逆引き作成用!$C$2:$C$169,MATCH($B146&amp;"/"&amp;$C146,逆引き作成用!AJ$2:AJ$169,FALSE),1),"")</f>
        <v/>
      </c>
      <c r="AK146" s="17" t="str">
        <f>IFERROR(INDEX(逆引き作成用!$C$2:$C$169,MATCH($B146&amp;"/"&amp;$C146,逆引き作成用!AK$2:AK$169,FALSE),1),"")</f>
        <v/>
      </c>
      <c r="AL146" s="17" t="str">
        <f>IFERROR(INDEX(逆引き作成用!$C$2:$C$169,MATCH($B146&amp;"/"&amp;$C146,逆引き作成用!AL$2:AL$169,FALSE),1),"")</f>
        <v/>
      </c>
      <c r="AM146" s="17" t="str">
        <f>IFERROR(INDEX(逆引き作成用!$C$2:$C$169,MATCH($B146&amp;"/"&amp;$C146,逆引き作成用!AM$2:AM$169,FALSE),1),"")</f>
        <v/>
      </c>
      <c r="AN146" s="17" t="str">
        <f>IFERROR(INDEX(逆引き作成用!$C$2:$C$169,MATCH($B146&amp;"/"&amp;$C146,逆引き作成用!AN$2:AN$169,FALSE),1),"")</f>
        <v/>
      </c>
      <c r="AO146" s="17" t="str">
        <f>IFERROR(INDEX(逆引き作成用!$C$2:$C$169,MATCH($B146&amp;"/"&amp;$C146,逆引き作成用!AO$2:AO$169,FALSE),1),"")</f>
        <v/>
      </c>
      <c r="AP146" s="17" t="str">
        <f>IFERROR(INDEX(逆引き作成用!$C$2:$C$169,MATCH($B146&amp;"/"&amp;$C146,逆引き作成用!AP$2:AP$169,FALSE),1),"")</f>
        <v/>
      </c>
      <c r="AQ146" s="17" t="str">
        <f>IFERROR(INDEX(逆引き作成用!$C$2:$C$169,MATCH($B146&amp;"/"&amp;$C146,逆引き作成用!AQ$2:AQ$169,FALSE),1),"")</f>
        <v/>
      </c>
      <c r="AR146" s="17" t="str">
        <f>IFERROR(INDEX(逆引き作成用!$C$2:$C$169,MATCH($B146&amp;"/"&amp;$C146,逆引き作成用!AR$2:AR$169,FALSE),1),"")</f>
        <v/>
      </c>
      <c r="AS146" s="17" t="str">
        <f>IFERROR(INDEX(逆引き作成用!$C$2:$C$169,MATCH($B146&amp;"/"&amp;$C146,逆引き作成用!AS$2:AS$169,FALSE),1),"")</f>
        <v/>
      </c>
      <c r="AT146" s="17" t="str">
        <f>IFERROR(INDEX(逆引き作成用!$C$2:$C$169,MATCH($B146&amp;"/"&amp;$C146,逆引き作成用!AT$2:AT$169,FALSE),1),"")</f>
        <v/>
      </c>
      <c r="AU146" s="17" t="str">
        <f>IFERROR(INDEX(逆引き作成用!$C$2:$C$169,MATCH($B146&amp;"/"&amp;$C146,逆引き作成用!AU$2:AU$169,FALSE),1),"")</f>
        <v/>
      </c>
      <c r="AV146" s="17" t="str">
        <f>IFERROR(INDEX(逆引き作成用!$C$2:$C$169,MATCH($B146&amp;"/"&amp;$C146,逆引き作成用!AV$2:AV$169,FALSE),1),"")</f>
        <v/>
      </c>
      <c r="AW146" s="17" t="str">
        <f>IFERROR(INDEX(逆引き作成用!$C$2:$C$169,MATCH($B146&amp;"/"&amp;$C146,逆引き作成用!AW$2:AW$169,FALSE),1),"")</f>
        <v/>
      </c>
      <c r="AX146" s="17" t="str">
        <f>IFERROR(INDEX(逆引き作成用!$C$2:$C$169,MATCH($B146&amp;"/"&amp;$C146,逆引き作成用!AX$2:AX$169,FALSE),1),"")</f>
        <v/>
      </c>
      <c r="AY146" s="17" t="str">
        <f>IFERROR(INDEX(逆引き作成用!$C$2:$C$169,MATCH($B146&amp;"/"&amp;$C146,逆引き作成用!AY$2:AY$169,FALSE),1),"")</f>
        <v/>
      </c>
      <c r="AZ146" s="17" t="str">
        <f>IFERROR(INDEX(逆引き作成用!$C$2:$C$169,MATCH($B146&amp;"/"&amp;$C146,逆引き作成用!AZ$2:AZ$169,FALSE),1),"")</f>
        <v/>
      </c>
      <c r="BA146" s="17" t="str">
        <f>IFERROR(INDEX(逆引き作成用!$C$2:$C$169,MATCH($B146&amp;"/"&amp;$C146,逆引き作成用!BA$2:BA$169,FALSE),1),"")</f>
        <v/>
      </c>
    </row>
    <row r="147" spans="1:53">
      <c r="A147" s="17" t="str">
        <f>IFERROR(INDEX(役職一覧!$B$2:$B$31,MATCH(B147,役職一覧!$C$2:$C$31,FALSE),1),"")</f>
        <v/>
      </c>
      <c r="B147" s="17" t="str">
        <f>IFERROR(IF(C147=1,INDEX(役職一覧!$C$2:$C$31,MATCH(逆引き!B146,役職一覧!$C$2:$C$31,FALSE)+1,1)&amp;"",B146),"")</f>
        <v/>
      </c>
      <c r="C147" s="17" t="str">
        <f>IFERROR(IF(VLOOKUP(B146,役職一覧!$C$2:$E$31,3,FALSE)=C146,1,C146+1),"")</f>
        <v/>
      </c>
      <c r="D147" s="17" t="str">
        <f>IFERROR(INDEX(逆引き作成用!$C$2:$C$169,MATCH($B147&amp;"/"&amp;$C147,逆引き作成用!D$2:D$169,FALSE),1),"")</f>
        <v/>
      </c>
      <c r="E147" s="17" t="str">
        <f>IFERROR(INDEX(逆引き作成用!$C$2:$C$169,MATCH($B147&amp;"/"&amp;$C147,逆引き作成用!E$2:E$169,FALSE),1),"")</f>
        <v/>
      </c>
      <c r="F147" s="17" t="str">
        <f>IFERROR(INDEX(逆引き作成用!$C$2:$C$169,MATCH($B147&amp;"/"&amp;$C147,逆引き作成用!F$2:F$169,FALSE),1),"")</f>
        <v/>
      </c>
      <c r="G147" s="17" t="str">
        <f>IFERROR(INDEX(逆引き作成用!$C$2:$C$169,MATCH($B147&amp;"/"&amp;$C147,逆引き作成用!G$2:G$169,FALSE),1),"")</f>
        <v/>
      </c>
      <c r="H147" s="17" t="str">
        <f>IFERROR(INDEX(逆引き作成用!$C$2:$C$169,MATCH($B147&amp;"/"&amp;$C147,逆引き作成用!H$2:H$169,FALSE),1),"")</f>
        <v/>
      </c>
      <c r="I147" s="17" t="str">
        <f>IFERROR(INDEX(逆引き作成用!$C$2:$C$169,MATCH($B147&amp;"/"&amp;$C147,逆引き作成用!I$2:I$169,FALSE),1),"")</f>
        <v/>
      </c>
      <c r="J147" s="17" t="str">
        <f>IFERROR(INDEX(逆引き作成用!$C$2:$C$169,MATCH($B147&amp;"/"&amp;$C147,逆引き作成用!J$2:J$169,FALSE),1),"")</f>
        <v/>
      </c>
      <c r="K147" s="17" t="str">
        <f>IFERROR(INDEX(逆引き作成用!$C$2:$C$169,MATCH($B147&amp;"/"&amp;$C147,逆引き作成用!K$2:K$169,FALSE),1),"")</f>
        <v/>
      </c>
      <c r="L147" s="17" t="str">
        <f>IFERROR(INDEX(逆引き作成用!$C$2:$C$169,MATCH($B147&amp;"/"&amp;$C147,逆引き作成用!L$2:L$169,FALSE),1),"")</f>
        <v/>
      </c>
      <c r="M147" s="17" t="str">
        <f>IFERROR(INDEX(逆引き作成用!$C$2:$C$169,MATCH($B147&amp;"/"&amp;$C147,逆引き作成用!M$2:M$169,FALSE),1),"")</f>
        <v/>
      </c>
      <c r="N147" s="17" t="str">
        <f>IFERROR(INDEX(逆引き作成用!$C$2:$C$169,MATCH($B147&amp;"/"&amp;$C147,逆引き作成用!N$2:N$169,FALSE),1),"")</f>
        <v/>
      </c>
      <c r="O147" s="17" t="str">
        <f>IFERROR(INDEX(逆引き作成用!$C$2:$C$169,MATCH($B147&amp;"/"&amp;$C147,逆引き作成用!O$2:O$169,FALSE),1),"")</f>
        <v/>
      </c>
      <c r="P147" s="17" t="str">
        <f>IFERROR(INDEX(逆引き作成用!$C$2:$C$169,MATCH($B147&amp;"/"&amp;$C147,逆引き作成用!P$2:P$169,FALSE),1),"")</f>
        <v/>
      </c>
      <c r="Q147" s="17" t="str">
        <f>IFERROR(INDEX(逆引き作成用!$C$2:$C$169,MATCH($B147&amp;"/"&amp;$C147,逆引き作成用!Q$2:Q$169,FALSE),1),"")</f>
        <v/>
      </c>
      <c r="R147" s="17" t="str">
        <f>IFERROR(INDEX(逆引き作成用!$C$2:$C$169,MATCH($B147&amp;"/"&amp;$C147,逆引き作成用!R$2:R$169,FALSE),1),"")</f>
        <v/>
      </c>
      <c r="S147" s="17" t="str">
        <f>IFERROR(INDEX(逆引き作成用!$C$2:$C$169,MATCH($B147&amp;"/"&amp;$C147,逆引き作成用!S$2:S$169,FALSE),1),"")</f>
        <v/>
      </c>
      <c r="T147" s="17" t="str">
        <f>IFERROR(INDEX(逆引き作成用!$C$2:$C$169,MATCH($B147&amp;"/"&amp;$C147,逆引き作成用!T$2:T$169,FALSE),1),"")</f>
        <v/>
      </c>
      <c r="U147" s="17" t="str">
        <f>IFERROR(INDEX(逆引き作成用!$C$2:$C$169,MATCH($B147&amp;"/"&amp;$C147,逆引き作成用!U$2:U$169,FALSE),1),"")</f>
        <v/>
      </c>
      <c r="V147" s="17" t="str">
        <f>IFERROR(INDEX(逆引き作成用!$C$2:$C$169,MATCH($B147&amp;"/"&amp;$C147,逆引き作成用!V$2:V$169,FALSE),1),"")</f>
        <v/>
      </c>
      <c r="W147" s="17" t="str">
        <f>IFERROR(INDEX(逆引き作成用!$C$2:$C$169,MATCH($B147&amp;"/"&amp;$C147,逆引き作成用!W$2:W$169,FALSE),1),"")</f>
        <v/>
      </c>
      <c r="X147" s="17" t="str">
        <f>IFERROR(INDEX(逆引き作成用!$C$2:$C$169,MATCH($B147&amp;"/"&amp;$C147,逆引き作成用!X$2:X$169,FALSE),1),"")</f>
        <v/>
      </c>
      <c r="Y147" s="17" t="str">
        <f>IFERROR(INDEX(逆引き作成用!$C$2:$C$169,MATCH($B147&amp;"/"&amp;$C147,逆引き作成用!Y$2:Y$169,FALSE),1),"")</f>
        <v/>
      </c>
      <c r="Z147" s="17" t="str">
        <f>IFERROR(INDEX(逆引き作成用!$C$2:$C$169,MATCH($B147&amp;"/"&amp;$C147,逆引き作成用!Z$2:Z$169,FALSE),1),"")</f>
        <v/>
      </c>
      <c r="AA147" s="17" t="str">
        <f>IFERROR(INDEX(逆引き作成用!$C$2:$C$169,MATCH($B147&amp;"/"&amp;$C147,逆引き作成用!AA$2:AA$169,FALSE),1),"")</f>
        <v/>
      </c>
      <c r="AB147" s="17" t="str">
        <f>IFERROR(INDEX(逆引き作成用!$C$2:$C$169,MATCH($B147&amp;"/"&amp;$C147,逆引き作成用!AB$2:AB$169,FALSE),1),"")</f>
        <v/>
      </c>
      <c r="AC147" s="17" t="str">
        <f>IFERROR(INDEX(逆引き作成用!$C$2:$C$169,MATCH($B147&amp;"/"&amp;$C147,逆引き作成用!AC$2:AC$169,FALSE),1),"")</f>
        <v/>
      </c>
      <c r="AD147" s="17" t="str">
        <f>IFERROR(INDEX(逆引き作成用!$C$2:$C$169,MATCH($B147&amp;"/"&amp;$C147,逆引き作成用!AD$2:AD$169,FALSE),1),"")</f>
        <v/>
      </c>
      <c r="AE147" s="17" t="str">
        <f>IFERROR(INDEX(逆引き作成用!$C$2:$C$169,MATCH($B147&amp;"/"&amp;$C147,逆引き作成用!AE$2:AE$169,FALSE),1),"")</f>
        <v/>
      </c>
      <c r="AF147" s="17" t="str">
        <f>IFERROR(INDEX(逆引き作成用!$C$2:$C$169,MATCH($B147&amp;"/"&amp;$C147,逆引き作成用!AF$2:AF$169,FALSE),1),"")</f>
        <v/>
      </c>
      <c r="AG147" s="17" t="str">
        <f>IFERROR(INDEX(逆引き作成用!$C$2:$C$169,MATCH($B147&amp;"/"&amp;$C147,逆引き作成用!AG$2:AG$169,FALSE),1),"")</f>
        <v/>
      </c>
      <c r="AH147" s="17" t="str">
        <f>IFERROR(INDEX(逆引き作成用!$C$2:$C$169,MATCH($B147&amp;"/"&amp;$C147,逆引き作成用!AH$2:AH$169,FALSE),1),"")</f>
        <v/>
      </c>
      <c r="AI147" s="17" t="str">
        <f>IFERROR(INDEX(逆引き作成用!$C$2:$C$169,MATCH($B147&amp;"/"&amp;$C147,逆引き作成用!AI$2:AI$169,FALSE),1),"")</f>
        <v/>
      </c>
      <c r="AJ147" s="17" t="str">
        <f>IFERROR(INDEX(逆引き作成用!$C$2:$C$169,MATCH($B147&amp;"/"&amp;$C147,逆引き作成用!AJ$2:AJ$169,FALSE),1),"")</f>
        <v/>
      </c>
      <c r="AK147" s="17" t="str">
        <f>IFERROR(INDEX(逆引き作成用!$C$2:$C$169,MATCH($B147&amp;"/"&amp;$C147,逆引き作成用!AK$2:AK$169,FALSE),1),"")</f>
        <v/>
      </c>
      <c r="AL147" s="17" t="str">
        <f>IFERROR(INDEX(逆引き作成用!$C$2:$C$169,MATCH($B147&amp;"/"&amp;$C147,逆引き作成用!AL$2:AL$169,FALSE),1),"")</f>
        <v/>
      </c>
      <c r="AM147" s="17" t="str">
        <f>IFERROR(INDEX(逆引き作成用!$C$2:$C$169,MATCH($B147&amp;"/"&amp;$C147,逆引き作成用!AM$2:AM$169,FALSE),1),"")</f>
        <v/>
      </c>
      <c r="AN147" s="17" t="str">
        <f>IFERROR(INDEX(逆引き作成用!$C$2:$C$169,MATCH($B147&amp;"/"&amp;$C147,逆引き作成用!AN$2:AN$169,FALSE),1),"")</f>
        <v/>
      </c>
      <c r="AO147" s="17" t="str">
        <f>IFERROR(INDEX(逆引き作成用!$C$2:$C$169,MATCH($B147&amp;"/"&amp;$C147,逆引き作成用!AO$2:AO$169,FALSE),1),"")</f>
        <v/>
      </c>
      <c r="AP147" s="17" t="str">
        <f>IFERROR(INDEX(逆引き作成用!$C$2:$C$169,MATCH($B147&amp;"/"&amp;$C147,逆引き作成用!AP$2:AP$169,FALSE),1),"")</f>
        <v/>
      </c>
      <c r="AQ147" s="17" t="str">
        <f>IFERROR(INDEX(逆引き作成用!$C$2:$C$169,MATCH($B147&amp;"/"&amp;$C147,逆引き作成用!AQ$2:AQ$169,FALSE),1),"")</f>
        <v/>
      </c>
      <c r="AR147" s="17" t="str">
        <f>IFERROR(INDEX(逆引き作成用!$C$2:$C$169,MATCH($B147&amp;"/"&amp;$C147,逆引き作成用!AR$2:AR$169,FALSE),1),"")</f>
        <v/>
      </c>
      <c r="AS147" s="17" t="str">
        <f>IFERROR(INDEX(逆引き作成用!$C$2:$C$169,MATCH($B147&amp;"/"&amp;$C147,逆引き作成用!AS$2:AS$169,FALSE),1),"")</f>
        <v/>
      </c>
      <c r="AT147" s="17" t="str">
        <f>IFERROR(INDEX(逆引き作成用!$C$2:$C$169,MATCH($B147&amp;"/"&amp;$C147,逆引き作成用!AT$2:AT$169,FALSE),1),"")</f>
        <v/>
      </c>
      <c r="AU147" s="17" t="str">
        <f>IFERROR(INDEX(逆引き作成用!$C$2:$C$169,MATCH($B147&amp;"/"&amp;$C147,逆引き作成用!AU$2:AU$169,FALSE),1),"")</f>
        <v/>
      </c>
      <c r="AV147" s="17" t="str">
        <f>IFERROR(INDEX(逆引き作成用!$C$2:$C$169,MATCH($B147&amp;"/"&amp;$C147,逆引き作成用!AV$2:AV$169,FALSE),1),"")</f>
        <v/>
      </c>
      <c r="AW147" s="17" t="str">
        <f>IFERROR(INDEX(逆引き作成用!$C$2:$C$169,MATCH($B147&amp;"/"&amp;$C147,逆引き作成用!AW$2:AW$169,FALSE),1),"")</f>
        <v/>
      </c>
      <c r="AX147" s="17" t="str">
        <f>IFERROR(INDEX(逆引き作成用!$C$2:$C$169,MATCH($B147&amp;"/"&amp;$C147,逆引き作成用!AX$2:AX$169,FALSE),1),"")</f>
        <v/>
      </c>
      <c r="AY147" s="17" t="str">
        <f>IFERROR(INDEX(逆引き作成用!$C$2:$C$169,MATCH($B147&amp;"/"&amp;$C147,逆引き作成用!AY$2:AY$169,FALSE),1),"")</f>
        <v/>
      </c>
      <c r="AZ147" s="17" t="str">
        <f>IFERROR(INDEX(逆引き作成用!$C$2:$C$169,MATCH($B147&amp;"/"&amp;$C147,逆引き作成用!AZ$2:AZ$169,FALSE),1),"")</f>
        <v/>
      </c>
      <c r="BA147" s="17" t="str">
        <f>IFERROR(INDEX(逆引き作成用!$C$2:$C$169,MATCH($B147&amp;"/"&amp;$C147,逆引き作成用!BA$2:BA$169,FALSE),1),"")</f>
        <v/>
      </c>
    </row>
    <row r="148" spans="1:53">
      <c r="A148" s="17" t="str">
        <f>IFERROR(INDEX(役職一覧!$B$2:$B$31,MATCH(B148,役職一覧!$C$2:$C$31,FALSE),1),"")</f>
        <v/>
      </c>
      <c r="B148" s="17" t="str">
        <f>IFERROR(IF(C148=1,INDEX(役職一覧!$C$2:$C$31,MATCH(逆引き!B147,役職一覧!$C$2:$C$31,FALSE)+1,1)&amp;"",B147),"")</f>
        <v/>
      </c>
      <c r="C148" s="17" t="str">
        <f>IFERROR(IF(VLOOKUP(B147,役職一覧!$C$2:$E$31,3,FALSE)=C147,1,C147+1),"")</f>
        <v/>
      </c>
      <c r="D148" s="17" t="str">
        <f>IFERROR(INDEX(逆引き作成用!$C$2:$C$169,MATCH($B148&amp;"/"&amp;$C148,逆引き作成用!D$2:D$169,FALSE),1),"")</f>
        <v/>
      </c>
      <c r="E148" s="17" t="str">
        <f>IFERROR(INDEX(逆引き作成用!$C$2:$C$169,MATCH($B148&amp;"/"&amp;$C148,逆引き作成用!E$2:E$169,FALSE),1),"")</f>
        <v/>
      </c>
      <c r="F148" s="17" t="str">
        <f>IFERROR(INDEX(逆引き作成用!$C$2:$C$169,MATCH($B148&amp;"/"&amp;$C148,逆引き作成用!F$2:F$169,FALSE),1),"")</f>
        <v/>
      </c>
      <c r="G148" s="17" t="str">
        <f>IFERROR(INDEX(逆引き作成用!$C$2:$C$169,MATCH($B148&amp;"/"&amp;$C148,逆引き作成用!G$2:G$169,FALSE),1),"")</f>
        <v/>
      </c>
      <c r="H148" s="17" t="str">
        <f>IFERROR(INDEX(逆引き作成用!$C$2:$C$169,MATCH($B148&amp;"/"&amp;$C148,逆引き作成用!H$2:H$169,FALSE),1),"")</f>
        <v/>
      </c>
      <c r="I148" s="17" t="str">
        <f>IFERROR(INDEX(逆引き作成用!$C$2:$C$169,MATCH($B148&amp;"/"&amp;$C148,逆引き作成用!I$2:I$169,FALSE),1),"")</f>
        <v/>
      </c>
      <c r="J148" s="17" t="str">
        <f>IFERROR(INDEX(逆引き作成用!$C$2:$C$169,MATCH($B148&amp;"/"&amp;$C148,逆引き作成用!J$2:J$169,FALSE),1),"")</f>
        <v/>
      </c>
      <c r="K148" s="17" t="str">
        <f>IFERROR(INDEX(逆引き作成用!$C$2:$C$169,MATCH($B148&amp;"/"&amp;$C148,逆引き作成用!K$2:K$169,FALSE),1),"")</f>
        <v/>
      </c>
      <c r="L148" s="17" t="str">
        <f>IFERROR(INDEX(逆引き作成用!$C$2:$C$169,MATCH($B148&amp;"/"&amp;$C148,逆引き作成用!L$2:L$169,FALSE),1),"")</f>
        <v/>
      </c>
      <c r="M148" s="17" t="str">
        <f>IFERROR(INDEX(逆引き作成用!$C$2:$C$169,MATCH($B148&amp;"/"&amp;$C148,逆引き作成用!M$2:M$169,FALSE),1),"")</f>
        <v/>
      </c>
      <c r="N148" s="17" t="str">
        <f>IFERROR(INDEX(逆引き作成用!$C$2:$C$169,MATCH($B148&amp;"/"&amp;$C148,逆引き作成用!N$2:N$169,FALSE),1),"")</f>
        <v/>
      </c>
      <c r="O148" s="17" t="str">
        <f>IFERROR(INDEX(逆引き作成用!$C$2:$C$169,MATCH($B148&amp;"/"&amp;$C148,逆引き作成用!O$2:O$169,FALSE),1),"")</f>
        <v/>
      </c>
      <c r="P148" s="17" t="str">
        <f>IFERROR(INDEX(逆引き作成用!$C$2:$C$169,MATCH($B148&amp;"/"&amp;$C148,逆引き作成用!P$2:P$169,FALSE),1),"")</f>
        <v/>
      </c>
      <c r="Q148" s="17" t="str">
        <f>IFERROR(INDEX(逆引き作成用!$C$2:$C$169,MATCH($B148&amp;"/"&amp;$C148,逆引き作成用!Q$2:Q$169,FALSE),1),"")</f>
        <v/>
      </c>
      <c r="R148" s="17" t="str">
        <f>IFERROR(INDEX(逆引き作成用!$C$2:$C$169,MATCH($B148&amp;"/"&amp;$C148,逆引き作成用!R$2:R$169,FALSE),1),"")</f>
        <v/>
      </c>
      <c r="S148" s="17" t="str">
        <f>IFERROR(INDEX(逆引き作成用!$C$2:$C$169,MATCH($B148&amp;"/"&amp;$C148,逆引き作成用!S$2:S$169,FALSE),1),"")</f>
        <v/>
      </c>
      <c r="T148" s="17" t="str">
        <f>IFERROR(INDEX(逆引き作成用!$C$2:$C$169,MATCH($B148&amp;"/"&amp;$C148,逆引き作成用!T$2:T$169,FALSE),1),"")</f>
        <v/>
      </c>
      <c r="U148" s="17" t="str">
        <f>IFERROR(INDEX(逆引き作成用!$C$2:$C$169,MATCH($B148&amp;"/"&amp;$C148,逆引き作成用!U$2:U$169,FALSE),1),"")</f>
        <v/>
      </c>
      <c r="V148" s="17" t="str">
        <f>IFERROR(INDEX(逆引き作成用!$C$2:$C$169,MATCH($B148&amp;"/"&amp;$C148,逆引き作成用!V$2:V$169,FALSE),1),"")</f>
        <v/>
      </c>
      <c r="W148" s="17" t="str">
        <f>IFERROR(INDEX(逆引き作成用!$C$2:$C$169,MATCH($B148&amp;"/"&amp;$C148,逆引き作成用!W$2:W$169,FALSE),1),"")</f>
        <v/>
      </c>
      <c r="X148" s="17" t="str">
        <f>IFERROR(INDEX(逆引き作成用!$C$2:$C$169,MATCH($B148&amp;"/"&amp;$C148,逆引き作成用!X$2:X$169,FALSE),1),"")</f>
        <v/>
      </c>
      <c r="Y148" s="17" t="str">
        <f>IFERROR(INDEX(逆引き作成用!$C$2:$C$169,MATCH($B148&amp;"/"&amp;$C148,逆引き作成用!Y$2:Y$169,FALSE),1),"")</f>
        <v/>
      </c>
      <c r="Z148" s="17" t="str">
        <f>IFERROR(INDEX(逆引き作成用!$C$2:$C$169,MATCH($B148&amp;"/"&amp;$C148,逆引き作成用!Z$2:Z$169,FALSE),1),"")</f>
        <v/>
      </c>
      <c r="AA148" s="17" t="str">
        <f>IFERROR(INDEX(逆引き作成用!$C$2:$C$169,MATCH($B148&amp;"/"&amp;$C148,逆引き作成用!AA$2:AA$169,FALSE),1),"")</f>
        <v/>
      </c>
      <c r="AB148" s="17" t="str">
        <f>IFERROR(INDEX(逆引き作成用!$C$2:$C$169,MATCH($B148&amp;"/"&amp;$C148,逆引き作成用!AB$2:AB$169,FALSE),1),"")</f>
        <v/>
      </c>
      <c r="AC148" s="17" t="str">
        <f>IFERROR(INDEX(逆引き作成用!$C$2:$C$169,MATCH($B148&amp;"/"&amp;$C148,逆引き作成用!AC$2:AC$169,FALSE),1),"")</f>
        <v/>
      </c>
      <c r="AD148" s="17" t="str">
        <f>IFERROR(INDEX(逆引き作成用!$C$2:$C$169,MATCH($B148&amp;"/"&amp;$C148,逆引き作成用!AD$2:AD$169,FALSE),1),"")</f>
        <v/>
      </c>
      <c r="AE148" s="17" t="str">
        <f>IFERROR(INDEX(逆引き作成用!$C$2:$C$169,MATCH($B148&amp;"/"&amp;$C148,逆引き作成用!AE$2:AE$169,FALSE),1),"")</f>
        <v/>
      </c>
      <c r="AF148" s="17" t="str">
        <f>IFERROR(INDEX(逆引き作成用!$C$2:$C$169,MATCH($B148&amp;"/"&amp;$C148,逆引き作成用!AF$2:AF$169,FALSE),1),"")</f>
        <v/>
      </c>
      <c r="AG148" s="17" t="str">
        <f>IFERROR(INDEX(逆引き作成用!$C$2:$C$169,MATCH($B148&amp;"/"&amp;$C148,逆引き作成用!AG$2:AG$169,FALSE),1),"")</f>
        <v/>
      </c>
      <c r="AH148" s="17" t="str">
        <f>IFERROR(INDEX(逆引き作成用!$C$2:$C$169,MATCH($B148&amp;"/"&amp;$C148,逆引き作成用!AH$2:AH$169,FALSE),1),"")</f>
        <v/>
      </c>
      <c r="AI148" s="17" t="str">
        <f>IFERROR(INDEX(逆引き作成用!$C$2:$C$169,MATCH($B148&amp;"/"&amp;$C148,逆引き作成用!AI$2:AI$169,FALSE),1),"")</f>
        <v/>
      </c>
      <c r="AJ148" s="17" t="str">
        <f>IFERROR(INDEX(逆引き作成用!$C$2:$C$169,MATCH($B148&amp;"/"&amp;$C148,逆引き作成用!AJ$2:AJ$169,FALSE),1),"")</f>
        <v/>
      </c>
      <c r="AK148" s="17" t="str">
        <f>IFERROR(INDEX(逆引き作成用!$C$2:$C$169,MATCH($B148&amp;"/"&amp;$C148,逆引き作成用!AK$2:AK$169,FALSE),1),"")</f>
        <v/>
      </c>
      <c r="AL148" s="17" t="str">
        <f>IFERROR(INDEX(逆引き作成用!$C$2:$C$169,MATCH($B148&amp;"/"&amp;$C148,逆引き作成用!AL$2:AL$169,FALSE),1),"")</f>
        <v/>
      </c>
      <c r="AM148" s="17" t="str">
        <f>IFERROR(INDEX(逆引き作成用!$C$2:$C$169,MATCH($B148&amp;"/"&amp;$C148,逆引き作成用!AM$2:AM$169,FALSE),1),"")</f>
        <v/>
      </c>
      <c r="AN148" s="17" t="str">
        <f>IFERROR(INDEX(逆引き作成用!$C$2:$C$169,MATCH($B148&amp;"/"&amp;$C148,逆引き作成用!AN$2:AN$169,FALSE),1),"")</f>
        <v/>
      </c>
      <c r="AO148" s="17" t="str">
        <f>IFERROR(INDEX(逆引き作成用!$C$2:$C$169,MATCH($B148&amp;"/"&amp;$C148,逆引き作成用!AO$2:AO$169,FALSE),1),"")</f>
        <v/>
      </c>
      <c r="AP148" s="17" t="str">
        <f>IFERROR(INDEX(逆引き作成用!$C$2:$C$169,MATCH($B148&amp;"/"&amp;$C148,逆引き作成用!AP$2:AP$169,FALSE),1),"")</f>
        <v/>
      </c>
      <c r="AQ148" s="17" t="str">
        <f>IFERROR(INDEX(逆引き作成用!$C$2:$C$169,MATCH($B148&amp;"/"&amp;$C148,逆引き作成用!AQ$2:AQ$169,FALSE),1),"")</f>
        <v/>
      </c>
      <c r="AR148" s="17" t="str">
        <f>IFERROR(INDEX(逆引き作成用!$C$2:$C$169,MATCH($B148&amp;"/"&amp;$C148,逆引き作成用!AR$2:AR$169,FALSE),1),"")</f>
        <v/>
      </c>
      <c r="AS148" s="17" t="str">
        <f>IFERROR(INDEX(逆引き作成用!$C$2:$C$169,MATCH($B148&amp;"/"&amp;$C148,逆引き作成用!AS$2:AS$169,FALSE),1),"")</f>
        <v/>
      </c>
      <c r="AT148" s="17" t="str">
        <f>IFERROR(INDEX(逆引き作成用!$C$2:$C$169,MATCH($B148&amp;"/"&amp;$C148,逆引き作成用!AT$2:AT$169,FALSE),1),"")</f>
        <v/>
      </c>
      <c r="AU148" s="17" t="str">
        <f>IFERROR(INDEX(逆引き作成用!$C$2:$C$169,MATCH($B148&amp;"/"&amp;$C148,逆引き作成用!AU$2:AU$169,FALSE),1),"")</f>
        <v/>
      </c>
      <c r="AV148" s="17" t="str">
        <f>IFERROR(INDEX(逆引き作成用!$C$2:$C$169,MATCH($B148&amp;"/"&amp;$C148,逆引き作成用!AV$2:AV$169,FALSE),1),"")</f>
        <v/>
      </c>
      <c r="AW148" s="17" t="str">
        <f>IFERROR(INDEX(逆引き作成用!$C$2:$C$169,MATCH($B148&amp;"/"&amp;$C148,逆引き作成用!AW$2:AW$169,FALSE),1),"")</f>
        <v/>
      </c>
      <c r="AX148" s="17" t="str">
        <f>IFERROR(INDEX(逆引き作成用!$C$2:$C$169,MATCH($B148&amp;"/"&amp;$C148,逆引き作成用!AX$2:AX$169,FALSE),1),"")</f>
        <v/>
      </c>
      <c r="AY148" s="17" t="str">
        <f>IFERROR(INDEX(逆引き作成用!$C$2:$C$169,MATCH($B148&amp;"/"&amp;$C148,逆引き作成用!AY$2:AY$169,FALSE),1),"")</f>
        <v/>
      </c>
      <c r="AZ148" s="17" t="str">
        <f>IFERROR(INDEX(逆引き作成用!$C$2:$C$169,MATCH($B148&amp;"/"&amp;$C148,逆引き作成用!AZ$2:AZ$169,FALSE),1),"")</f>
        <v/>
      </c>
      <c r="BA148" s="17" t="str">
        <f>IFERROR(INDEX(逆引き作成用!$C$2:$C$169,MATCH($B148&amp;"/"&amp;$C148,逆引き作成用!BA$2:BA$169,FALSE),1),"")</f>
        <v/>
      </c>
    </row>
    <row r="149" spans="1:53">
      <c r="A149" s="17" t="str">
        <f>IFERROR(INDEX(役職一覧!$B$2:$B$31,MATCH(B149,役職一覧!$C$2:$C$31,FALSE),1),"")</f>
        <v/>
      </c>
      <c r="B149" s="17" t="str">
        <f>IFERROR(IF(C149=1,INDEX(役職一覧!$C$2:$C$31,MATCH(逆引き!B148,役職一覧!$C$2:$C$31,FALSE)+1,1)&amp;"",B148),"")</f>
        <v/>
      </c>
      <c r="C149" s="17" t="str">
        <f>IFERROR(IF(VLOOKUP(B148,役職一覧!$C$2:$E$31,3,FALSE)=C148,1,C148+1),"")</f>
        <v/>
      </c>
      <c r="D149" s="17" t="str">
        <f>IFERROR(INDEX(逆引き作成用!$C$2:$C$169,MATCH($B149&amp;"/"&amp;$C149,逆引き作成用!D$2:D$169,FALSE),1),"")</f>
        <v/>
      </c>
      <c r="E149" s="17" t="str">
        <f>IFERROR(INDEX(逆引き作成用!$C$2:$C$169,MATCH($B149&amp;"/"&amp;$C149,逆引き作成用!E$2:E$169,FALSE),1),"")</f>
        <v/>
      </c>
      <c r="F149" s="17" t="str">
        <f>IFERROR(INDEX(逆引き作成用!$C$2:$C$169,MATCH($B149&amp;"/"&amp;$C149,逆引き作成用!F$2:F$169,FALSE),1),"")</f>
        <v/>
      </c>
      <c r="G149" s="17" t="str">
        <f>IFERROR(INDEX(逆引き作成用!$C$2:$C$169,MATCH($B149&amp;"/"&amp;$C149,逆引き作成用!G$2:G$169,FALSE),1),"")</f>
        <v/>
      </c>
      <c r="H149" s="17" t="str">
        <f>IFERROR(INDEX(逆引き作成用!$C$2:$C$169,MATCH($B149&amp;"/"&amp;$C149,逆引き作成用!H$2:H$169,FALSE),1),"")</f>
        <v/>
      </c>
      <c r="I149" s="17" t="str">
        <f>IFERROR(INDEX(逆引き作成用!$C$2:$C$169,MATCH($B149&amp;"/"&amp;$C149,逆引き作成用!I$2:I$169,FALSE),1),"")</f>
        <v/>
      </c>
      <c r="J149" s="17" t="str">
        <f>IFERROR(INDEX(逆引き作成用!$C$2:$C$169,MATCH($B149&amp;"/"&amp;$C149,逆引き作成用!J$2:J$169,FALSE),1),"")</f>
        <v/>
      </c>
      <c r="K149" s="17" t="str">
        <f>IFERROR(INDEX(逆引き作成用!$C$2:$C$169,MATCH($B149&amp;"/"&amp;$C149,逆引き作成用!K$2:K$169,FALSE),1),"")</f>
        <v/>
      </c>
      <c r="L149" s="17" t="str">
        <f>IFERROR(INDEX(逆引き作成用!$C$2:$C$169,MATCH($B149&amp;"/"&amp;$C149,逆引き作成用!L$2:L$169,FALSE),1),"")</f>
        <v/>
      </c>
      <c r="M149" s="17" t="str">
        <f>IFERROR(INDEX(逆引き作成用!$C$2:$C$169,MATCH($B149&amp;"/"&amp;$C149,逆引き作成用!M$2:M$169,FALSE),1),"")</f>
        <v/>
      </c>
      <c r="N149" s="17" t="str">
        <f>IFERROR(INDEX(逆引き作成用!$C$2:$C$169,MATCH($B149&amp;"/"&amp;$C149,逆引き作成用!N$2:N$169,FALSE),1),"")</f>
        <v/>
      </c>
      <c r="O149" s="17" t="str">
        <f>IFERROR(INDEX(逆引き作成用!$C$2:$C$169,MATCH($B149&amp;"/"&amp;$C149,逆引き作成用!O$2:O$169,FALSE),1),"")</f>
        <v/>
      </c>
      <c r="P149" s="17" t="str">
        <f>IFERROR(INDEX(逆引き作成用!$C$2:$C$169,MATCH($B149&amp;"/"&amp;$C149,逆引き作成用!P$2:P$169,FALSE),1),"")</f>
        <v/>
      </c>
      <c r="Q149" s="17" t="str">
        <f>IFERROR(INDEX(逆引き作成用!$C$2:$C$169,MATCH($B149&amp;"/"&amp;$C149,逆引き作成用!Q$2:Q$169,FALSE),1),"")</f>
        <v/>
      </c>
      <c r="R149" s="17" t="str">
        <f>IFERROR(INDEX(逆引き作成用!$C$2:$C$169,MATCH($B149&amp;"/"&amp;$C149,逆引き作成用!R$2:R$169,FALSE),1),"")</f>
        <v/>
      </c>
      <c r="S149" s="17" t="str">
        <f>IFERROR(INDEX(逆引き作成用!$C$2:$C$169,MATCH($B149&amp;"/"&amp;$C149,逆引き作成用!S$2:S$169,FALSE),1),"")</f>
        <v/>
      </c>
      <c r="T149" s="17" t="str">
        <f>IFERROR(INDEX(逆引き作成用!$C$2:$C$169,MATCH($B149&amp;"/"&amp;$C149,逆引き作成用!T$2:T$169,FALSE),1),"")</f>
        <v/>
      </c>
      <c r="U149" s="17" t="str">
        <f>IFERROR(INDEX(逆引き作成用!$C$2:$C$169,MATCH($B149&amp;"/"&amp;$C149,逆引き作成用!U$2:U$169,FALSE),1),"")</f>
        <v/>
      </c>
      <c r="V149" s="17" t="str">
        <f>IFERROR(INDEX(逆引き作成用!$C$2:$C$169,MATCH($B149&amp;"/"&amp;$C149,逆引き作成用!V$2:V$169,FALSE),1),"")</f>
        <v/>
      </c>
      <c r="W149" s="17" t="str">
        <f>IFERROR(INDEX(逆引き作成用!$C$2:$C$169,MATCH($B149&amp;"/"&amp;$C149,逆引き作成用!W$2:W$169,FALSE),1),"")</f>
        <v/>
      </c>
      <c r="X149" s="17" t="str">
        <f>IFERROR(INDEX(逆引き作成用!$C$2:$C$169,MATCH($B149&amp;"/"&amp;$C149,逆引き作成用!X$2:X$169,FALSE),1),"")</f>
        <v/>
      </c>
      <c r="Y149" s="17" t="str">
        <f>IFERROR(INDEX(逆引き作成用!$C$2:$C$169,MATCH($B149&amp;"/"&amp;$C149,逆引き作成用!Y$2:Y$169,FALSE),1),"")</f>
        <v/>
      </c>
      <c r="Z149" s="17" t="str">
        <f>IFERROR(INDEX(逆引き作成用!$C$2:$C$169,MATCH($B149&amp;"/"&amp;$C149,逆引き作成用!Z$2:Z$169,FALSE),1),"")</f>
        <v/>
      </c>
      <c r="AA149" s="17" t="str">
        <f>IFERROR(INDEX(逆引き作成用!$C$2:$C$169,MATCH($B149&amp;"/"&amp;$C149,逆引き作成用!AA$2:AA$169,FALSE),1),"")</f>
        <v/>
      </c>
      <c r="AB149" s="17" t="str">
        <f>IFERROR(INDEX(逆引き作成用!$C$2:$C$169,MATCH($B149&amp;"/"&amp;$C149,逆引き作成用!AB$2:AB$169,FALSE),1),"")</f>
        <v/>
      </c>
      <c r="AC149" s="17" t="str">
        <f>IFERROR(INDEX(逆引き作成用!$C$2:$C$169,MATCH($B149&amp;"/"&amp;$C149,逆引き作成用!AC$2:AC$169,FALSE),1),"")</f>
        <v/>
      </c>
      <c r="AD149" s="17" t="str">
        <f>IFERROR(INDEX(逆引き作成用!$C$2:$C$169,MATCH($B149&amp;"/"&amp;$C149,逆引き作成用!AD$2:AD$169,FALSE),1),"")</f>
        <v/>
      </c>
      <c r="AE149" s="17" t="str">
        <f>IFERROR(INDEX(逆引き作成用!$C$2:$C$169,MATCH($B149&amp;"/"&amp;$C149,逆引き作成用!AE$2:AE$169,FALSE),1),"")</f>
        <v/>
      </c>
      <c r="AF149" s="17" t="str">
        <f>IFERROR(INDEX(逆引き作成用!$C$2:$C$169,MATCH($B149&amp;"/"&amp;$C149,逆引き作成用!AF$2:AF$169,FALSE),1),"")</f>
        <v/>
      </c>
      <c r="AG149" s="17" t="str">
        <f>IFERROR(INDEX(逆引き作成用!$C$2:$C$169,MATCH($B149&amp;"/"&amp;$C149,逆引き作成用!AG$2:AG$169,FALSE),1),"")</f>
        <v/>
      </c>
      <c r="AH149" s="17" t="str">
        <f>IFERROR(INDEX(逆引き作成用!$C$2:$C$169,MATCH($B149&amp;"/"&amp;$C149,逆引き作成用!AH$2:AH$169,FALSE),1),"")</f>
        <v/>
      </c>
      <c r="AI149" s="17" t="str">
        <f>IFERROR(INDEX(逆引き作成用!$C$2:$C$169,MATCH($B149&amp;"/"&amp;$C149,逆引き作成用!AI$2:AI$169,FALSE),1),"")</f>
        <v/>
      </c>
      <c r="AJ149" s="17" t="str">
        <f>IFERROR(INDEX(逆引き作成用!$C$2:$C$169,MATCH($B149&amp;"/"&amp;$C149,逆引き作成用!AJ$2:AJ$169,FALSE),1),"")</f>
        <v/>
      </c>
      <c r="AK149" s="17" t="str">
        <f>IFERROR(INDEX(逆引き作成用!$C$2:$C$169,MATCH($B149&amp;"/"&amp;$C149,逆引き作成用!AK$2:AK$169,FALSE),1),"")</f>
        <v/>
      </c>
      <c r="AL149" s="17" t="str">
        <f>IFERROR(INDEX(逆引き作成用!$C$2:$C$169,MATCH($B149&amp;"/"&amp;$C149,逆引き作成用!AL$2:AL$169,FALSE),1),"")</f>
        <v/>
      </c>
      <c r="AM149" s="17" t="str">
        <f>IFERROR(INDEX(逆引き作成用!$C$2:$C$169,MATCH($B149&amp;"/"&amp;$C149,逆引き作成用!AM$2:AM$169,FALSE),1),"")</f>
        <v/>
      </c>
      <c r="AN149" s="17" t="str">
        <f>IFERROR(INDEX(逆引き作成用!$C$2:$C$169,MATCH($B149&amp;"/"&amp;$C149,逆引き作成用!AN$2:AN$169,FALSE),1),"")</f>
        <v/>
      </c>
      <c r="AO149" s="17" t="str">
        <f>IFERROR(INDEX(逆引き作成用!$C$2:$C$169,MATCH($B149&amp;"/"&amp;$C149,逆引き作成用!AO$2:AO$169,FALSE),1),"")</f>
        <v/>
      </c>
      <c r="AP149" s="17" t="str">
        <f>IFERROR(INDEX(逆引き作成用!$C$2:$C$169,MATCH($B149&amp;"/"&amp;$C149,逆引き作成用!AP$2:AP$169,FALSE),1),"")</f>
        <v/>
      </c>
      <c r="AQ149" s="17" t="str">
        <f>IFERROR(INDEX(逆引き作成用!$C$2:$C$169,MATCH($B149&amp;"/"&amp;$C149,逆引き作成用!AQ$2:AQ$169,FALSE),1),"")</f>
        <v/>
      </c>
      <c r="AR149" s="17" t="str">
        <f>IFERROR(INDEX(逆引き作成用!$C$2:$C$169,MATCH($B149&amp;"/"&amp;$C149,逆引き作成用!AR$2:AR$169,FALSE),1),"")</f>
        <v/>
      </c>
      <c r="AS149" s="17" t="str">
        <f>IFERROR(INDEX(逆引き作成用!$C$2:$C$169,MATCH($B149&amp;"/"&amp;$C149,逆引き作成用!AS$2:AS$169,FALSE),1),"")</f>
        <v/>
      </c>
      <c r="AT149" s="17" t="str">
        <f>IFERROR(INDEX(逆引き作成用!$C$2:$C$169,MATCH($B149&amp;"/"&amp;$C149,逆引き作成用!AT$2:AT$169,FALSE),1),"")</f>
        <v/>
      </c>
      <c r="AU149" s="17" t="str">
        <f>IFERROR(INDEX(逆引き作成用!$C$2:$C$169,MATCH($B149&amp;"/"&amp;$C149,逆引き作成用!AU$2:AU$169,FALSE),1),"")</f>
        <v/>
      </c>
      <c r="AV149" s="17" t="str">
        <f>IFERROR(INDEX(逆引き作成用!$C$2:$C$169,MATCH($B149&amp;"/"&amp;$C149,逆引き作成用!AV$2:AV$169,FALSE),1),"")</f>
        <v/>
      </c>
      <c r="AW149" s="17" t="str">
        <f>IFERROR(INDEX(逆引き作成用!$C$2:$C$169,MATCH($B149&amp;"/"&amp;$C149,逆引き作成用!AW$2:AW$169,FALSE),1),"")</f>
        <v/>
      </c>
      <c r="AX149" s="17" t="str">
        <f>IFERROR(INDEX(逆引き作成用!$C$2:$C$169,MATCH($B149&amp;"/"&amp;$C149,逆引き作成用!AX$2:AX$169,FALSE),1),"")</f>
        <v/>
      </c>
      <c r="AY149" s="17" t="str">
        <f>IFERROR(INDEX(逆引き作成用!$C$2:$C$169,MATCH($B149&amp;"/"&amp;$C149,逆引き作成用!AY$2:AY$169,FALSE),1),"")</f>
        <v/>
      </c>
      <c r="AZ149" s="17" t="str">
        <f>IFERROR(INDEX(逆引き作成用!$C$2:$C$169,MATCH($B149&amp;"/"&amp;$C149,逆引き作成用!AZ$2:AZ$169,FALSE),1),"")</f>
        <v/>
      </c>
      <c r="BA149" s="17" t="str">
        <f>IFERROR(INDEX(逆引き作成用!$C$2:$C$169,MATCH($B149&amp;"/"&amp;$C149,逆引き作成用!BA$2:BA$169,FALSE),1),"")</f>
        <v/>
      </c>
    </row>
    <row r="150" spans="1:53">
      <c r="A150" s="17" t="str">
        <f>IFERROR(INDEX(役職一覧!$B$2:$B$31,MATCH(B150,役職一覧!$C$2:$C$31,FALSE),1),"")</f>
        <v/>
      </c>
      <c r="B150" s="17" t="str">
        <f>IFERROR(IF(C150=1,INDEX(役職一覧!$C$2:$C$31,MATCH(逆引き!B149,役職一覧!$C$2:$C$31,FALSE)+1,1)&amp;"",B149),"")</f>
        <v/>
      </c>
      <c r="C150" s="17" t="str">
        <f>IFERROR(IF(VLOOKUP(B149,役職一覧!$C$2:$E$31,3,FALSE)=C149,1,C149+1),"")</f>
        <v/>
      </c>
      <c r="D150" s="17" t="str">
        <f>IFERROR(INDEX(逆引き作成用!$C$2:$C$169,MATCH($B150&amp;"/"&amp;$C150,逆引き作成用!D$2:D$169,FALSE),1),"")</f>
        <v/>
      </c>
      <c r="E150" s="17" t="str">
        <f>IFERROR(INDEX(逆引き作成用!$C$2:$C$169,MATCH($B150&amp;"/"&amp;$C150,逆引き作成用!E$2:E$169,FALSE),1),"")</f>
        <v/>
      </c>
      <c r="F150" s="17" t="str">
        <f>IFERROR(INDEX(逆引き作成用!$C$2:$C$169,MATCH($B150&amp;"/"&amp;$C150,逆引き作成用!F$2:F$169,FALSE),1),"")</f>
        <v/>
      </c>
      <c r="G150" s="17" t="str">
        <f>IFERROR(INDEX(逆引き作成用!$C$2:$C$169,MATCH($B150&amp;"/"&amp;$C150,逆引き作成用!G$2:G$169,FALSE),1),"")</f>
        <v/>
      </c>
      <c r="H150" s="17" t="str">
        <f>IFERROR(INDEX(逆引き作成用!$C$2:$C$169,MATCH($B150&amp;"/"&amp;$C150,逆引き作成用!H$2:H$169,FALSE),1),"")</f>
        <v/>
      </c>
      <c r="I150" s="17" t="str">
        <f>IFERROR(INDEX(逆引き作成用!$C$2:$C$169,MATCH($B150&amp;"/"&amp;$C150,逆引き作成用!I$2:I$169,FALSE),1),"")</f>
        <v/>
      </c>
      <c r="J150" s="17" t="str">
        <f>IFERROR(INDEX(逆引き作成用!$C$2:$C$169,MATCH($B150&amp;"/"&amp;$C150,逆引き作成用!J$2:J$169,FALSE),1),"")</f>
        <v/>
      </c>
      <c r="K150" s="17" t="str">
        <f>IFERROR(INDEX(逆引き作成用!$C$2:$C$169,MATCH($B150&amp;"/"&amp;$C150,逆引き作成用!K$2:K$169,FALSE),1),"")</f>
        <v/>
      </c>
      <c r="L150" s="17" t="str">
        <f>IFERROR(INDEX(逆引き作成用!$C$2:$C$169,MATCH($B150&amp;"/"&amp;$C150,逆引き作成用!L$2:L$169,FALSE),1),"")</f>
        <v/>
      </c>
      <c r="M150" s="17" t="str">
        <f>IFERROR(INDEX(逆引き作成用!$C$2:$C$169,MATCH($B150&amp;"/"&amp;$C150,逆引き作成用!M$2:M$169,FALSE),1),"")</f>
        <v/>
      </c>
      <c r="N150" s="17" t="str">
        <f>IFERROR(INDEX(逆引き作成用!$C$2:$C$169,MATCH($B150&amp;"/"&amp;$C150,逆引き作成用!N$2:N$169,FALSE),1),"")</f>
        <v/>
      </c>
      <c r="O150" s="17" t="str">
        <f>IFERROR(INDEX(逆引き作成用!$C$2:$C$169,MATCH($B150&amp;"/"&amp;$C150,逆引き作成用!O$2:O$169,FALSE),1),"")</f>
        <v/>
      </c>
      <c r="P150" s="17" t="str">
        <f>IFERROR(INDEX(逆引き作成用!$C$2:$C$169,MATCH($B150&amp;"/"&amp;$C150,逆引き作成用!P$2:P$169,FALSE),1),"")</f>
        <v/>
      </c>
      <c r="Q150" s="17" t="str">
        <f>IFERROR(INDEX(逆引き作成用!$C$2:$C$169,MATCH($B150&amp;"/"&amp;$C150,逆引き作成用!Q$2:Q$169,FALSE),1),"")</f>
        <v/>
      </c>
      <c r="R150" s="17" t="str">
        <f>IFERROR(INDEX(逆引き作成用!$C$2:$C$169,MATCH($B150&amp;"/"&amp;$C150,逆引き作成用!R$2:R$169,FALSE),1),"")</f>
        <v/>
      </c>
      <c r="S150" s="17" t="str">
        <f>IFERROR(INDEX(逆引き作成用!$C$2:$C$169,MATCH($B150&amp;"/"&amp;$C150,逆引き作成用!S$2:S$169,FALSE),1),"")</f>
        <v/>
      </c>
      <c r="T150" s="17" t="str">
        <f>IFERROR(INDEX(逆引き作成用!$C$2:$C$169,MATCH($B150&amp;"/"&amp;$C150,逆引き作成用!T$2:T$169,FALSE),1),"")</f>
        <v/>
      </c>
      <c r="U150" s="17" t="str">
        <f>IFERROR(INDEX(逆引き作成用!$C$2:$C$169,MATCH($B150&amp;"/"&amp;$C150,逆引き作成用!U$2:U$169,FALSE),1),"")</f>
        <v/>
      </c>
      <c r="V150" s="17" t="str">
        <f>IFERROR(INDEX(逆引き作成用!$C$2:$C$169,MATCH($B150&amp;"/"&amp;$C150,逆引き作成用!V$2:V$169,FALSE),1),"")</f>
        <v/>
      </c>
      <c r="W150" s="17" t="str">
        <f>IFERROR(INDEX(逆引き作成用!$C$2:$C$169,MATCH($B150&amp;"/"&amp;$C150,逆引き作成用!W$2:W$169,FALSE),1),"")</f>
        <v/>
      </c>
      <c r="X150" s="17" t="str">
        <f>IFERROR(INDEX(逆引き作成用!$C$2:$C$169,MATCH($B150&amp;"/"&amp;$C150,逆引き作成用!X$2:X$169,FALSE),1),"")</f>
        <v/>
      </c>
      <c r="Y150" s="17" t="str">
        <f>IFERROR(INDEX(逆引き作成用!$C$2:$C$169,MATCH($B150&amp;"/"&amp;$C150,逆引き作成用!Y$2:Y$169,FALSE),1),"")</f>
        <v/>
      </c>
      <c r="Z150" s="17" t="str">
        <f>IFERROR(INDEX(逆引き作成用!$C$2:$C$169,MATCH($B150&amp;"/"&amp;$C150,逆引き作成用!Z$2:Z$169,FALSE),1),"")</f>
        <v/>
      </c>
      <c r="AA150" s="17" t="str">
        <f>IFERROR(INDEX(逆引き作成用!$C$2:$C$169,MATCH($B150&amp;"/"&amp;$C150,逆引き作成用!AA$2:AA$169,FALSE),1),"")</f>
        <v/>
      </c>
      <c r="AB150" s="17" t="str">
        <f>IFERROR(INDEX(逆引き作成用!$C$2:$C$169,MATCH($B150&amp;"/"&amp;$C150,逆引き作成用!AB$2:AB$169,FALSE),1),"")</f>
        <v/>
      </c>
      <c r="AC150" s="17" t="str">
        <f>IFERROR(INDEX(逆引き作成用!$C$2:$C$169,MATCH($B150&amp;"/"&amp;$C150,逆引き作成用!AC$2:AC$169,FALSE),1),"")</f>
        <v/>
      </c>
      <c r="AD150" s="17" t="str">
        <f>IFERROR(INDEX(逆引き作成用!$C$2:$C$169,MATCH($B150&amp;"/"&amp;$C150,逆引き作成用!AD$2:AD$169,FALSE),1),"")</f>
        <v/>
      </c>
      <c r="AE150" s="17" t="str">
        <f>IFERROR(INDEX(逆引き作成用!$C$2:$C$169,MATCH($B150&amp;"/"&amp;$C150,逆引き作成用!AE$2:AE$169,FALSE),1),"")</f>
        <v/>
      </c>
      <c r="AF150" s="17" t="str">
        <f>IFERROR(INDEX(逆引き作成用!$C$2:$C$169,MATCH($B150&amp;"/"&amp;$C150,逆引き作成用!AF$2:AF$169,FALSE),1),"")</f>
        <v/>
      </c>
      <c r="AG150" s="17" t="str">
        <f>IFERROR(INDEX(逆引き作成用!$C$2:$C$169,MATCH($B150&amp;"/"&amp;$C150,逆引き作成用!AG$2:AG$169,FALSE),1),"")</f>
        <v/>
      </c>
      <c r="AH150" s="17" t="str">
        <f>IFERROR(INDEX(逆引き作成用!$C$2:$C$169,MATCH($B150&amp;"/"&amp;$C150,逆引き作成用!AH$2:AH$169,FALSE),1),"")</f>
        <v/>
      </c>
      <c r="AI150" s="17" t="str">
        <f>IFERROR(INDEX(逆引き作成用!$C$2:$C$169,MATCH($B150&amp;"/"&amp;$C150,逆引き作成用!AI$2:AI$169,FALSE),1),"")</f>
        <v/>
      </c>
      <c r="AJ150" s="17" t="str">
        <f>IFERROR(INDEX(逆引き作成用!$C$2:$C$169,MATCH($B150&amp;"/"&amp;$C150,逆引き作成用!AJ$2:AJ$169,FALSE),1),"")</f>
        <v/>
      </c>
      <c r="AK150" s="17" t="str">
        <f>IFERROR(INDEX(逆引き作成用!$C$2:$C$169,MATCH($B150&amp;"/"&amp;$C150,逆引き作成用!AK$2:AK$169,FALSE),1),"")</f>
        <v/>
      </c>
      <c r="AL150" s="17" t="str">
        <f>IFERROR(INDEX(逆引き作成用!$C$2:$C$169,MATCH($B150&amp;"/"&amp;$C150,逆引き作成用!AL$2:AL$169,FALSE),1),"")</f>
        <v/>
      </c>
      <c r="AM150" s="17" t="str">
        <f>IFERROR(INDEX(逆引き作成用!$C$2:$C$169,MATCH($B150&amp;"/"&amp;$C150,逆引き作成用!AM$2:AM$169,FALSE),1),"")</f>
        <v/>
      </c>
      <c r="AN150" s="17" t="str">
        <f>IFERROR(INDEX(逆引き作成用!$C$2:$C$169,MATCH($B150&amp;"/"&amp;$C150,逆引き作成用!AN$2:AN$169,FALSE),1),"")</f>
        <v/>
      </c>
      <c r="AO150" s="17" t="str">
        <f>IFERROR(INDEX(逆引き作成用!$C$2:$C$169,MATCH($B150&amp;"/"&amp;$C150,逆引き作成用!AO$2:AO$169,FALSE),1),"")</f>
        <v/>
      </c>
      <c r="AP150" s="17" t="str">
        <f>IFERROR(INDEX(逆引き作成用!$C$2:$C$169,MATCH($B150&amp;"/"&amp;$C150,逆引き作成用!AP$2:AP$169,FALSE),1),"")</f>
        <v/>
      </c>
      <c r="AQ150" s="17" t="str">
        <f>IFERROR(INDEX(逆引き作成用!$C$2:$C$169,MATCH($B150&amp;"/"&amp;$C150,逆引き作成用!AQ$2:AQ$169,FALSE),1),"")</f>
        <v/>
      </c>
      <c r="AR150" s="17" t="str">
        <f>IFERROR(INDEX(逆引き作成用!$C$2:$C$169,MATCH($B150&amp;"/"&amp;$C150,逆引き作成用!AR$2:AR$169,FALSE),1),"")</f>
        <v/>
      </c>
      <c r="AS150" s="17" t="str">
        <f>IFERROR(INDEX(逆引き作成用!$C$2:$C$169,MATCH($B150&amp;"/"&amp;$C150,逆引き作成用!AS$2:AS$169,FALSE),1),"")</f>
        <v/>
      </c>
      <c r="AT150" s="17" t="str">
        <f>IFERROR(INDEX(逆引き作成用!$C$2:$C$169,MATCH($B150&amp;"/"&amp;$C150,逆引き作成用!AT$2:AT$169,FALSE),1),"")</f>
        <v/>
      </c>
      <c r="AU150" s="17" t="str">
        <f>IFERROR(INDEX(逆引き作成用!$C$2:$C$169,MATCH($B150&amp;"/"&amp;$C150,逆引き作成用!AU$2:AU$169,FALSE),1),"")</f>
        <v/>
      </c>
      <c r="AV150" s="17" t="str">
        <f>IFERROR(INDEX(逆引き作成用!$C$2:$C$169,MATCH($B150&amp;"/"&amp;$C150,逆引き作成用!AV$2:AV$169,FALSE),1),"")</f>
        <v/>
      </c>
      <c r="AW150" s="17" t="str">
        <f>IFERROR(INDEX(逆引き作成用!$C$2:$C$169,MATCH($B150&amp;"/"&amp;$C150,逆引き作成用!AW$2:AW$169,FALSE),1),"")</f>
        <v/>
      </c>
      <c r="AX150" s="17" t="str">
        <f>IFERROR(INDEX(逆引き作成用!$C$2:$C$169,MATCH($B150&amp;"/"&amp;$C150,逆引き作成用!AX$2:AX$169,FALSE),1),"")</f>
        <v/>
      </c>
      <c r="AY150" s="17" t="str">
        <f>IFERROR(INDEX(逆引き作成用!$C$2:$C$169,MATCH($B150&amp;"/"&amp;$C150,逆引き作成用!AY$2:AY$169,FALSE),1),"")</f>
        <v/>
      </c>
      <c r="AZ150" s="17" t="str">
        <f>IFERROR(INDEX(逆引き作成用!$C$2:$C$169,MATCH($B150&amp;"/"&amp;$C150,逆引き作成用!AZ$2:AZ$169,FALSE),1),"")</f>
        <v/>
      </c>
      <c r="BA150" s="17" t="str">
        <f>IFERROR(INDEX(逆引き作成用!$C$2:$C$169,MATCH($B150&amp;"/"&amp;$C150,逆引き作成用!BA$2:BA$169,FALSE),1),"")</f>
        <v/>
      </c>
    </row>
    <row r="151" spans="1:53">
      <c r="A151" s="17" t="str">
        <f>IFERROR(INDEX(役職一覧!$B$2:$B$31,MATCH(B151,役職一覧!$C$2:$C$31,FALSE),1),"")</f>
        <v/>
      </c>
      <c r="B151" s="17" t="str">
        <f>IFERROR(IF(C151=1,INDEX(役職一覧!$C$2:$C$31,MATCH(逆引き!B150,役職一覧!$C$2:$C$31,FALSE)+1,1)&amp;"",B150),"")</f>
        <v/>
      </c>
      <c r="C151" s="17" t="str">
        <f>IFERROR(IF(VLOOKUP(B150,役職一覧!$C$2:$E$31,3,FALSE)=C150,1,C150+1),"")</f>
        <v/>
      </c>
      <c r="D151" s="17" t="str">
        <f>IFERROR(INDEX(逆引き作成用!$C$2:$C$169,MATCH($B151&amp;"/"&amp;$C151,逆引き作成用!D$2:D$169,FALSE),1),"")</f>
        <v/>
      </c>
      <c r="E151" s="17" t="str">
        <f>IFERROR(INDEX(逆引き作成用!$C$2:$C$169,MATCH($B151&amp;"/"&amp;$C151,逆引き作成用!E$2:E$169,FALSE),1),"")</f>
        <v/>
      </c>
      <c r="F151" s="17" t="str">
        <f>IFERROR(INDEX(逆引き作成用!$C$2:$C$169,MATCH($B151&amp;"/"&amp;$C151,逆引き作成用!F$2:F$169,FALSE),1),"")</f>
        <v/>
      </c>
      <c r="G151" s="17" t="str">
        <f>IFERROR(INDEX(逆引き作成用!$C$2:$C$169,MATCH($B151&amp;"/"&amp;$C151,逆引き作成用!G$2:G$169,FALSE),1),"")</f>
        <v/>
      </c>
      <c r="H151" s="17" t="str">
        <f>IFERROR(INDEX(逆引き作成用!$C$2:$C$169,MATCH($B151&amp;"/"&amp;$C151,逆引き作成用!H$2:H$169,FALSE),1),"")</f>
        <v/>
      </c>
      <c r="I151" s="17" t="str">
        <f>IFERROR(INDEX(逆引き作成用!$C$2:$C$169,MATCH($B151&amp;"/"&amp;$C151,逆引き作成用!I$2:I$169,FALSE),1),"")</f>
        <v/>
      </c>
      <c r="J151" s="17" t="str">
        <f>IFERROR(INDEX(逆引き作成用!$C$2:$C$169,MATCH($B151&amp;"/"&amp;$C151,逆引き作成用!J$2:J$169,FALSE),1),"")</f>
        <v/>
      </c>
      <c r="K151" s="17" t="str">
        <f>IFERROR(INDEX(逆引き作成用!$C$2:$C$169,MATCH($B151&amp;"/"&amp;$C151,逆引き作成用!K$2:K$169,FALSE),1),"")</f>
        <v/>
      </c>
      <c r="L151" s="17" t="str">
        <f>IFERROR(INDEX(逆引き作成用!$C$2:$C$169,MATCH($B151&amp;"/"&amp;$C151,逆引き作成用!L$2:L$169,FALSE),1),"")</f>
        <v/>
      </c>
      <c r="M151" s="17" t="str">
        <f>IFERROR(INDEX(逆引き作成用!$C$2:$C$169,MATCH($B151&amp;"/"&amp;$C151,逆引き作成用!M$2:M$169,FALSE),1),"")</f>
        <v/>
      </c>
      <c r="N151" s="17" t="str">
        <f>IFERROR(INDEX(逆引き作成用!$C$2:$C$169,MATCH($B151&amp;"/"&amp;$C151,逆引き作成用!N$2:N$169,FALSE),1),"")</f>
        <v/>
      </c>
      <c r="O151" s="17" t="str">
        <f>IFERROR(INDEX(逆引き作成用!$C$2:$C$169,MATCH($B151&amp;"/"&amp;$C151,逆引き作成用!O$2:O$169,FALSE),1),"")</f>
        <v/>
      </c>
      <c r="P151" s="17" t="str">
        <f>IFERROR(INDEX(逆引き作成用!$C$2:$C$169,MATCH($B151&amp;"/"&amp;$C151,逆引き作成用!P$2:P$169,FALSE),1),"")</f>
        <v/>
      </c>
      <c r="Q151" s="17" t="str">
        <f>IFERROR(INDEX(逆引き作成用!$C$2:$C$169,MATCH($B151&amp;"/"&amp;$C151,逆引き作成用!Q$2:Q$169,FALSE),1),"")</f>
        <v/>
      </c>
      <c r="R151" s="17" t="str">
        <f>IFERROR(INDEX(逆引き作成用!$C$2:$C$169,MATCH($B151&amp;"/"&amp;$C151,逆引き作成用!R$2:R$169,FALSE),1),"")</f>
        <v/>
      </c>
      <c r="S151" s="17" t="str">
        <f>IFERROR(INDEX(逆引き作成用!$C$2:$C$169,MATCH($B151&amp;"/"&amp;$C151,逆引き作成用!S$2:S$169,FALSE),1),"")</f>
        <v/>
      </c>
      <c r="T151" s="17" t="str">
        <f>IFERROR(INDEX(逆引き作成用!$C$2:$C$169,MATCH($B151&amp;"/"&amp;$C151,逆引き作成用!T$2:T$169,FALSE),1),"")</f>
        <v/>
      </c>
      <c r="U151" s="17" t="str">
        <f>IFERROR(INDEX(逆引き作成用!$C$2:$C$169,MATCH($B151&amp;"/"&amp;$C151,逆引き作成用!U$2:U$169,FALSE),1),"")</f>
        <v/>
      </c>
      <c r="V151" s="17" t="str">
        <f>IFERROR(INDEX(逆引き作成用!$C$2:$C$169,MATCH($B151&amp;"/"&amp;$C151,逆引き作成用!V$2:V$169,FALSE),1),"")</f>
        <v/>
      </c>
      <c r="W151" s="17" t="str">
        <f>IFERROR(INDEX(逆引き作成用!$C$2:$C$169,MATCH($B151&amp;"/"&amp;$C151,逆引き作成用!W$2:W$169,FALSE),1),"")</f>
        <v/>
      </c>
      <c r="X151" s="17" t="str">
        <f>IFERROR(INDEX(逆引き作成用!$C$2:$C$169,MATCH($B151&amp;"/"&amp;$C151,逆引き作成用!X$2:X$169,FALSE),1),"")</f>
        <v/>
      </c>
      <c r="Y151" s="17" t="str">
        <f>IFERROR(INDEX(逆引き作成用!$C$2:$C$169,MATCH($B151&amp;"/"&amp;$C151,逆引き作成用!Y$2:Y$169,FALSE),1),"")</f>
        <v/>
      </c>
      <c r="Z151" s="17" t="str">
        <f>IFERROR(INDEX(逆引き作成用!$C$2:$C$169,MATCH($B151&amp;"/"&amp;$C151,逆引き作成用!Z$2:Z$169,FALSE),1),"")</f>
        <v/>
      </c>
      <c r="AA151" s="17" t="str">
        <f>IFERROR(INDEX(逆引き作成用!$C$2:$C$169,MATCH($B151&amp;"/"&amp;$C151,逆引き作成用!AA$2:AA$169,FALSE),1),"")</f>
        <v/>
      </c>
      <c r="AB151" s="17" t="str">
        <f>IFERROR(INDEX(逆引き作成用!$C$2:$C$169,MATCH($B151&amp;"/"&amp;$C151,逆引き作成用!AB$2:AB$169,FALSE),1),"")</f>
        <v/>
      </c>
      <c r="AC151" s="17" t="str">
        <f>IFERROR(INDEX(逆引き作成用!$C$2:$C$169,MATCH($B151&amp;"/"&amp;$C151,逆引き作成用!AC$2:AC$169,FALSE),1),"")</f>
        <v/>
      </c>
      <c r="AD151" s="17" t="str">
        <f>IFERROR(INDEX(逆引き作成用!$C$2:$C$169,MATCH($B151&amp;"/"&amp;$C151,逆引き作成用!AD$2:AD$169,FALSE),1),"")</f>
        <v/>
      </c>
      <c r="AE151" s="17" t="str">
        <f>IFERROR(INDEX(逆引き作成用!$C$2:$C$169,MATCH($B151&amp;"/"&amp;$C151,逆引き作成用!AE$2:AE$169,FALSE),1),"")</f>
        <v/>
      </c>
      <c r="AF151" s="17" t="str">
        <f>IFERROR(INDEX(逆引き作成用!$C$2:$C$169,MATCH($B151&amp;"/"&amp;$C151,逆引き作成用!AF$2:AF$169,FALSE),1),"")</f>
        <v/>
      </c>
      <c r="AG151" s="17" t="str">
        <f>IFERROR(INDEX(逆引き作成用!$C$2:$C$169,MATCH($B151&amp;"/"&amp;$C151,逆引き作成用!AG$2:AG$169,FALSE),1),"")</f>
        <v/>
      </c>
      <c r="AH151" s="17" t="str">
        <f>IFERROR(INDEX(逆引き作成用!$C$2:$C$169,MATCH($B151&amp;"/"&amp;$C151,逆引き作成用!AH$2:AH$169,FALSE),1),"")</f>
        <v/>
      </c>
      <c r="AI151" s="17" t="str">
        <f>IFERROR(INDEX(逆引き作成用!$C$2:$C$169,MATCH($B151&amp;"/"&amp;$C151,逆引き作成用!AI$2:AI$169,FALSE),1),"")</f>
        <v/>
      </c>
      <c r="AJ151" s="17" t="str">
        <f>IFERROR(INDEX(逆引き作成用!$C$2:$C$169,MATCH($B151&amp;"/"&amp;$C151,逆引き作成用!AJ$2:AJ$169,FALSE),1),"")</f>
        <v/>
      </c>
      <c r="AK151" s="17" t="str">
        <f>IFERROR(INDEX(逆引き作成用!$C$2:$C$169,MATCH($B151&amp;"/"&amp;$C151,逆引き作成用!AK$2:AK$169,FALSE),1),"")</f>
        <v/>
      </c>
      <c r="AL151" s="17" t="str">
        <f>IFERROR(INDEX(逆引き作成用!$C$2:$C$169,MATCH($B151&amp;"/"&amp;$C151,逆引き作成用!AL$2:AL$169,FALSE),1),"")</f>
        <v/>
      </c>
      <c r="AM151" s="17" t="str">
        <f>IFERROR(INDEX(逆引き作成用!$C$2:$C$169,MATCH($B151&amp;"/"&amp;$C151,逆引き作成用!AM$2:AM$169,FALSE),1),"")</f>
        <v/>
      </c>
      <c r="AN151" s="17" t="str">
        <f>IFERROR(INDEX(逆引き作成用!$C$2:$C$169,MATCH($B151&amp;"/"&amp;$C151,逆引き作成用!AN$2:AN$169,FALSE),1),"")</f>
        <v/>
      </c>
      <c r="AO151" s="17" t="str">
        <f>IFERROR(INDEX(逆引き作成用!$C$2:$C$169,MATCH($B151&amp;"/"&amp;$C151,逆引き作成用!AO$2:AO$169,FALSE),1),"")</f>
        <v/>
      </c>
      <c r="AP151" s="17" t="str">
        <f>IFERROR(INDEX(逆引き作成用!$C$2:$C$169,MATCH($B151&amp;"/"&amp;$C151,逆引き作成用!AP$2:AP$169,FALSE),1),"")</f>
        <v/>
      </c>
      <c r="AQ151" s="17" t="str">
        <f>IFERROR(INDEX(逆引き作成用!$C$2:$C$169,MATCH($B151&amp;"/"&amp;$C151,逆引き作成用!AQ$2:AQ$169,FALSE),1),"")</f>
        <v/>
      </c>
      <c r="AR151" s="17" t="str">
        <f>IFERROR(INDEX(逆引き作成用!$C$2:$C$169,MATCH($B151&amp;"/"&amp;$C151,逆引き作成用!AR$2:AR$169,FALSE),1),"")</f>
        <v/>
      </c>
      <c r="AS151" s="17" t="str">
        <f>IFERROR(INDEX(逆引き作成用!$C$2:$C$169,MATCH($B151&amp;"/"&amp;$C151,逆引き作成用!AS$2:AS$169,FALSE),1),"")</f>
        <v/>
      </c>
      <c r="AT151" s="17" t="str">
        <f>IFERROR(INDEX(逆引き作成用!$C$2:$C$169,MATCH($B151&amp;"/"&amp;$C151,逆引き作成用!AT$2:AT$169,FALSE),1),"")</f>
        <v/>
      </c>
      <c r="AU151" s="17" t="str">
        <f>IFERROR(INDEX(逆引き作成用!$C$2:$C$169,MATCH($B151&amp;"/"&amp;$C151,逆引き作成用!AU$2:AU$169,FALSE),1),"")</f>
        <v/>
      </c>
      <c r="AV151" s="17" t="str">
        <f>IFERROR(INDEX(逆引き作成用!$C$2:$C$169,MATCH($B151&amp;"/"&amp;$C151,逆引き作成用!AV$2:AV$169,FALSE),1),"")</f>
        <v/>
      </c>
      <c r="AW151" s="17" t="str">
        <f>IFERROR(INDEX(逆引き作成用!$C$2:$C$169,MATCH($B151&amp;"/"&amp;$C151,逆引き作成用!AW$2:AW$169,FALSE),1),"")</f>
        <v/>
      </c>
      <c r="AX151" s="17" t="str">
        <f>IFERROR(INDEX(逆引き作成用!$C$2:$C$169,MATCH($B151&amp;"/"&amp;$C151,逆引き作成用!AX$2:AX$169,FALSE),1),"")</f>
        <v/>
      </c>
      <c r="AY151" s="17" t="str">
        <f>IFERROR(INDEX(逆引き作成用!$C$2:$C$169,MATCH($B151&amp;"/"&amp;$C151,逆引き作成用!AY$2:AY$169,FALSE),1),"")</f>
        <v/>
      </c>
      <c r="AZ151" s="17" t="str">
        <f>IFERROR(INDEX(逆引き作成用!$C$2:$C$169,MATCH($B151&amp;"/"&amp;$C151,逆引き作成用!AZ$2:AZ$169,FALSE),1),"")</f>
        <v/>
      </c>
      <c r="BA151" s="17" t="str">
        <f>IFERROR(INDEX(逆引き作成用!$C$2:$C$169,MATCH($B151&amp;"/"&amp;$C151,逆引き作成用!BA$2:BA$169,FALSE),1),"")</f>
        <v/>
      </c>
    </row>
    <row r="152" spans="1:53">
      <c r="A152" s="17" t="str">
        <f>IFERROR(INDEX(役職一覧!$B$2:$B$31,MATCH(B152,役職一覧!$C$2:$C$31,FALSE),1),"")</f>
        <v/>
      </c>
      <c r="B152" s="17" t="str">
        <f>IFERROR(IF(C152=1,INDEX(役職一覧!$C$2:$C$31,MATCH(逆引き!B151,役職一覧!$C$2:$C$31,FALSE)+1,1)&amp;"",B151),"")</f>
        <v/>
      </c>
      <c r="C152" s="17" t="str">
        <f>IFERROR(IF(VLOOKUP(B151,役職一覧!$C$2:$E$31,3,FALSE)=C151,1,C151+1),"")</f>
        <v/>
      </c>
      <c r="D152" s="17" t="str">
        <f>IFERROR(INDEX(逆引き作成用!$C$2:$C$169,MATCH($B152&amp;"/"&amp;$C152,逆引き作成用!D$2:D$169,FALSE),1),"")</f>
        <v/>
      </c>
      <c r="E152" s="17" t="str">
        <f>IFERROR(INDEX(逆引き作成用!$C$2:$C$169,MATCH($B152&amp;"/"&amp;$C152,逆引き作成用!E$2:E$169,FALSE),1),"")</f>
        <v/>
      </c>
      <c r="F152" s="17" t="str">
        <f>IFERROR(INDEX(逆引き作成用!$C$2:$C$169,MATCH($B152&amp;"/"&amp;$C152,逆引き作成用!F$2:F$169,FALSE),1),"")</f>
        <v/>
      </c>
      <c r="G152" s="17" t="str">
        <f>IFERROR(INDEX(逆引き作成用!$C$2:$C$169,MATCH($B152&amp;"/"&amp;$C152,逆引き作成用!G$2:G$169,FALSE),1),"")</f>
        <v/>
      </c>
      <c r="H152" s="17" t="str">
        <f>IFERROR(INDEX(逆引き作成用!$C$2:$C$169,MATCH($B152&amp;"/"&amp;$C152,逆引き作成用!H$2:H$169,FALSE),1),"")</f>
        <v/>
      </c>
      <c r="I152" s="17" t="str">
        <f>IFERROR(INDEX(逆引き作成用!$C$2:$C$169,MATCH($B152&amp;"/"&amp;$C152,逆引き作成用!I$2:I$169,FALSE),1),"")</f>
        <v/>
      </c>
      <c r="J152" s="17" t="str">
        <f>IFERROR(INDEX(逆引き作成用!$C$2:$C$169,MATCH($B152&amp;"/"&amp;$C152,逆引き作成用!J$2:J$169,FALSE),1),"")</f>
        <v/>
      </c>
      <c r="K152" s="17" t="str">
        <f>IFERROR(INDEX(逆引き作成用!$C$2:$C$169,MATCH($B152&amp;"/"&amp;$C152,逆引き作成用!K$2:K$169,FALSE),1),"")</f>
        <v/>
      </c>
      <c r="L152" s="17" t="str">
        <f>IFERROR(INDEX(逆引き作成用!$C$2:$C$169,MATCH($B152&amp;"/"&amp;$C152,逆引き作成用!L$2:L$169,FALSE),1),"")</f>
        <v/>
      </c>
      <c r="M152" s="17" t="str">
        <f>IFERROR(INDEX(逆引き作成用!$C$2:$C$169,MATCH($B152&amp;"/"&amp;$C152,逆引き作成用!M$2:M$169,FALSE),1),"")</f>
        <v/>
      </c>
      <c r="N152" s="17" t="str">
        <f>IFERROR(INDEX(逆引き作成用!$C$2:$C$169,MATCH($B152&amp;"/"&amp;$C152,逆引き作成用!N$2:N$169,FALSE),1),"")</f>
        <v/>
      </c>
      <c r="O152" s="17" t="str">
        <f>IFERROR(INDEX(逆引き作成用!$C$2:$C$169,MATCH($B152&amp;"/"&amp;$C152,逆引き作成用!O$2:O$169,FALSE),1),"")</f>
        <v/>
      </c>
      <c r="P152" s="17" t="str">
        <f>IFERROR(INDEX(逆引き作成用!$C$2:$C$169,MATCH($B152&amp;"/"&amp;$C152,逆引き作成用!P$2:P$169,FALSE),1),"")</f>
        <v/>
      </c>
      <c r="Q152" s="17" t="str">
        <f>IFERROR(INDEX(逆引き作成用!$C$2:$C$169,MATCH($B152&amp;"/"&amp;$C152,逆引き作成用!Q$2:Q$169,FALSE),1),"")</f>
        <v/>
      </c>
      <c r="R152" s="17" t="str">
        <f>IFERROR(INDEX(逆引き作成用!$C$2:$C$169,MATCH($B152&amp;"/"&amp;$C152,逆引き作成用!R$2:R$169,FALSE),1),"")</f>
        <v/>
      </c>
      <c r="S152" s="17" t="str">
        <f>IFERROR(INDEX(逆引き作成用!$C$2:$C$169,MATCH($B152&amp;"/"&amp;$C152,逆引き作成用!S$2:S$169,FALSE),1),"")</f>
        <v/>
      </c>
      <c r="T152" s="17" t="str">
        <f>IFERROR(INDEX(逆引き作成用!$C$2:$C$169,MATCH($B152&amp;"/"&amp;$C152,逆引き作成用!T$2:T$169,FALSE),1),"")</f>
        <v/>
      </c>
      <c r="U152" s="17" t="str">
        <f>IFERROR(INDEX(逆引き作成用!$C$2:$C$169,MATCH($B152&amp;"/"&amp;$C152,逆引き作成用!U$2:U$169,FALSE),1),"")</f>
        <v/>
      </c>
      <c r="V152" s="17" t="str">
        <f>IFERROR(INDEX(逆引き作成用!$C$2:$C$169,MATCH($B152&amp;"/"&amp;$C152,逆引き作成用!V$2:V$169,FALSE),1),"")</f>
        <v/>
      </c>
      <c r="W152" s="17" t="str">
        <f>IFERROR(INDEX(逆引き作成用!$C$2:$C$169,MATCH($B152&amp;"/"&amp;$C152,逆引き作成用!W$2:W$169,FALSE),1),"")</f>
        <v/>
      </c>
      <c r="X152" s="17" t="str">
        <f>IFERROR(INDEX(逆引き作成用!$C$2:$C$169,MATCH($B152&amp;"/"&amp;$C152,逆引き作成用!X$2:X$169,FALSE),1),"")</f>
        <v/>
      </c>
      <c r="Y152" s="17" t="str">
        <f>IFERROR(INDEX(逆引き作成用!$C$2:$C$169,MATCH($B152&amp;"/"&amp;$C152,逆引き作成用!Y$2:Y$169,FALSE),1),"")</f>
        <v/>
      </c>
      <c r="Z152" s="17" t="str">
        <f>IFERROR(INDEX(逆引き作成用!$C$2:$C$169,MATCH($B152&amp;"/"&amp;$C152,逆引き作成用!Z$2:Z$169,FALSE),1),"")</f>
        <v/>
      </c>
      <c r="AA152" s="17" t="str">
        <f>IFERROR(INDEX(逆引き作成用!$C$2:$C$169,MATCH($B152&amp;"/"&amp;$C152,逆引き作成用!AA$2:AA$169,FALSE),1),"")</f>
        <v/>
      </c>
      <c r="AB152" s="17" t="str">
        <f>IFERROR(INDEX(逆引き作成用!$C$2:$C$169,MATCH($B152&amp;"/"&amp;$C152,逆引き作成用!AB$2:AB$169,FALSE),1),"")</f>
        <v/>
      </c>
      <c r="AC152" s="17" t="str">
        <f>IFERROR(INDEX(逆引き作成用!$C$2:$C$169,MATCH($B152&amp;"/"&amp;$C152,逆引き作成用!AC$2:AC$169,FALSE),1),"")</f>
        <v/>
      </c>
      <c r="AD152" s="17" t="str">
        <f>IFERROR(INDEX(逆引き作成用!$C$2:$C$169,MATCH($B152&amp;"/"&amp;$C152,逆引き作成用!AD$2:AD$169,FALSE),1),"")</f>
        <v/>
      </c>
      <c r="AE152" s="17" t="str">
        <f>IFERROR(INDEX(逆引き作成用!$C$2:$C$169,MATCH($B152&amp;"/"&amp;$C152,逆引き作成用!AE$2:AE$169,FALSE),1),"")</f>
        <v/>
      </c>
      <c r="AF152" s="17" t="str">
        <f>IFERROR(INDEX(逆引き作成用!$C$2:$C$169,MATCH($B152&amp;"/"&amp;$C152,逆引き作成用!AF$2:AF$169,FALSE),1),"")</f>
        <v/>
      </c>
      <c r="AG152" s="17" t="str">
        <f>IFERROR(INDEX(逆引き作成用!$C$2:$C$169,MATCH($B152&amp;"/"&amp;$C152,逆引き作成用!AG$2:AG$169,FALSE),1),"")</f>
        <v/>
      </c>
      <c r="AH152" s="17" t="str">
        <f>IFERROR(INDEX(逆引き作成用!$C$2:$C$169,MATCH($B152&amp;"/"&amp;$C152,逆引き作成用!AH$2:AH$169,FALSE),1),"")</f>
        <v/>
      </c>
      <c r="AI152" s="17" t="str">
        <f>IFERROR(INDEX(逆引き作成用!$C$2:$C$169,MATCH($B152&amp;"/"&amp;$C152,逆引き作成用!AI$2:AI$169,FALSE),1),"")</f>
        <v/>
      </c>
      <c r="AJ152" s="17" t="str">
        <f>IFERROR(INDEX(逆引き作成用!$C$2:$C$169,MATCH($B152&amp;"/"&amp;$C152,逆引き作成用!AJ$2:AJ$169,FALSE),1),"")</f>
        <v/>
      </c>
      <c r="AK152" s="17" t="str">
        <f>IFERROR(INDEX(逆引き作成用!$C$2:$C$169,MATCH($B152&amp;"/"&amp;$C152,逆引き作成用!AK$2:AK$169,FALSE),1),"")</f>
        <v/>
      </c>
      <c r="AL152" s="17" t="str">
        <f>IFERROR(INDEX(逆引き作成用!$C$2:$C$169,MATCH($B152&amp;"/"&amp;$C152,逆引き作成用!AL$2:AL$169,FALSE),1),"")</f>
        <v/>
      </c>
      <c r="AM152" s="17" t="str">
        <f>IFERROR(INDEX(逆引き作成用!$C$2:$C$169,MATCH($B152&amp;"/"&amp;$C152,逆引き作成用!AM$2:AM$169,FALSE),1),"")</f>
        <v/>
      </c>
      <c r="AN152" s="17" t="str">
        <f>IFERROR(INDEX(逆引き作成用!$C$2:$C$169,MATCH($B152&amp;"/"&amp;$C152,逆引き作成用!AN$2:AN$169,FALSE),1),"")</f>
        <v/>
      </c>
      <c r="AO152" s="17" t="str">
        <f>IFERROR(INDEX(逆引き作成用!$C$2:$C$169,MATCH($B152&amp;"/"&amp;$C152,逆引き作成用!AO$2:AO$169,FALSE),1),"")</f>
        <v/>
      </c>
      <c r="AP152" s="17" t="str">
        <f>IFERROR(INDEX(逆引き作成用!$C$2:$C$169,MATCH($B152&amp;"/"&amp;$C152,逆引き作成用!AP$2:AP$169,FALSE),1),"")</f>
        <v/>
      </c>
      <c r="AQ152" s="17" t="str">
        <f>IFERROR(INDEX(逆引き作成用!$C$2:$C$169,MATCH($B152&amp;"/"&amp;$C152,逆引き作成用!AQ$2:AQ$169,FALSE),1),"")</f>
        <v/>
      </c>
      <c r="AR152" s="17" t="str">
        <f>IFERROR(INDEX(逆引き作成用!$C$2:$C$169,MATCH($B152&amp;"/"&amp;$C152,逆引き作成用!AR$2:AR$169,FALSE),1),"")</f>
        <v/>
      </c>
      <c r="AS152" s="17" t="str">
        <f>IFERROR(INDEX(逆引き作成用!$C$2:$C$169,MATCH($B152&amp;"/"&amp;$C152,逆引き作成用!AS$2:AS$169,FALSE),1),"")</f>
        <v/>
      </c>
      <c r="AT152" s="17" t="str">
        <f>IFERROR(INDEX(逆引き作成用!$C$2:$C$169,MATCH($B152&amp;"/"&amp;$C152,逆引き作成用!AT$2:AT$169,FALSE),1),"")</f>
        <v/>
      </c>
      <c r="AU152" s="17" t="str">
        <f>IFERROR(INDEX(逆引き作成用!$C$2:$C$169,MATCH($B152&amp;"/"&amp;$C152,逆引き作成用!AU$2:AU$169,FALSE),1),"")</f>
        <v/>
      </c>
      <c r="AV152" s="17" t="str">
        <f>IFERROR(INDEX(逆引き作成用!$C$2:$C$169,MATCH($B152&amp;"/"&amp;$C152,逆引き作成用!AV$2:AV$169,FALSE),1),"")</f>
        <v/>
      </c>
      <c r="AW152" s="17" t="str">
        <f>IFERROR(INDEX(逆引き作成用!$C$2:$C$169,MATCH($B152&amp;"/"&amp;$C152,逆引き作成用!AW$2:AW$169,FALSE),1),"")</f>
        <v/>
      </c>
      <c r="AX152" s="17" t="str">
        <f>IFERROR(INDEX(逆引き作成用!$C$2:$C$169,MATCH($B152&amp;"/"&amp;$C152,逆引き作成用!AX$2:AX$169,FALSE),1),"")</f>
        <v/>
      </c>
      <c r="AY152" s="17" t="str">
        <f>IFERROR(INDEX(逆引き作成用!$C$2:$C$169,MATCH($B152&amp;"/"&amp;$C152,逆引き作成用!AY$2:AY$169,FALSE),1),"")</f>
        <v/>
      </c>
      <c r="AZ152" s="17" t="str">
        <f>IFERROR(INDEX(逆引き作成用!$C$2:$C$169,MATCH($B152&amp;"/"&amp;$C152,逆引き作成用!AZ$2:AZ$169,FALSE),1),"")</f>
        <v/>
      </c>
      <c r="BA152" s="17" t="str">
        <f>IFERROR(INDEX(逆引き作成用!$C$2:$C$169,MATCH($B152&amp;"/"&amp;$C152,逆引き作成用!BA$2:BA$169,FALSE),1),"")</f>
        <v/>
      </c>
    </row>
    <row r="153" spans="1:53">
      <c r="A153" s="17" t="str">
        <f>IFERROR(INDEX(役職一覧!$B$2:$B$31,MATCH(B153,役職一覧!$C$2:$C$31,FALSE),1),"")</f>
        <v/>
      </c>
      <c r="B153" s="17" t="str">
        <f>IFERROR(IF(C153=1,INDEX(役職一覧!$C$2:$C$31,MATCH(逆引き!B152,役職一覧!$C$2:$C$31,FALSE)+1,1)&amp;"",B152),"")</f>
        <v/>
      </c>
      <c r="C153" s="17" t="str">
        <f>IFERROR(IF(VLOOKUP(B152,役職一覧!$C$2:$E$31,3,FALSE)=C152,1,C152+1),"")</f>
        <v/>
      </c>
      <c r="D153" s="17" t="str">
        <f>IFERROR(INDEX(逆引き作成用!$C$2:$C$169,MATCH($B153&amp;"/"&amp;$C153,逆引き作成用!D$2:D$169,FALSE),1),"")</f>
        <v/>
      </c>
      <c r="E153" s="17" t="str">
        <f>IFERROR(INDEX(逆引き作成用!$C$2:$C$169,MATCH($B153&amp;"/"&amp;$C153,逆引き作成用!E$2:E$169,FALSE),1),"")</f>
        <v/>
      </c>
      <c r="F153" s="17" t="str">
        <f>IFERROR(INDEX(逆引き作成用!$C$2:$C$169,MATCH($B153&amp;"/"&amp;$C153,逆引き作成用!F$2:F$169,FALSE),1),"")</f>
        <v/>
      </c>
      <c r="G153" s="17" t="str">
        <f>IFERROR(INDEX(逆引き作成用!$C$2:$C$169,MATCH($B153&amp;"/"&amp;$C153,逆引き作成用!G$2:G$169,FALSE),1),"")</f>
        <v/>
      </c>
      <c r="H153" s="17" t="str">
        <f>IFERROR(INDEX(逆引き作成用!$C$2:$C$169,MATCH($B153&amp;"/"&amp;$C153,逆引き作成用!H$2:H$169,FALSE),1),"")</f>
        <v/>
      </c>
      <c r="I153" s="17" t="str">
        <f>IFERROR(INDEX(逆引き作成用!$C$2:$C$169,MATCH($B153&amp;"/"&amp;$C153,逆引き作成用!I$2:I$169,FALSE),1),"")</f>
        <v/>
      </c>
      <c r="J153" s="17" t="str">
        <f>IFERROR(INDEX(逆引き作成用!$C$2:$C$169,MATCH($B153&amp;"/"&amp;$C153,逆引き作成用!J$2:J$169,FALSE),1),"")</f>
        <v/>
      </c>
      <c r="K153" s="17" t="str">
        <f>IFERROR(INDEX(逆引き作成用!$C$2:$C$169,MATCH($B153&amp;"/"&amp;$C153,逆引き作成用!K$2:K$169,FALSE),1),"")</f>
        <v/>
      </c>
      <c r="L153" s="17" t="str">
        <f>IFERROR(INDEX(逆引き作成用!$C$2:$C$169,MATCH($B153&amp;"/"&amp;$C153,逆引き作成用!L$2:L$169,FALSE),1),"")</f>
        <v/>
      </c>
      <c r="M153" s="17" t="str">
        <f>IFERROR(INDEX(逆引き作成用!$C$2:$C$169,MATCH($B153&amp;"/"&amp;$C153,逆引き作成用!M$2:M$169,FALSE),1),"")</f>
        <v/>
      </c>
      <c r="N153" s="17" t="str">
        <f>IFERROR(INDEX(逆引き作成用!$C$2:$C$169,MATCH($B153&amp;"/"&amp;$C153,逆引き作成用!N$2:N$169,FALSE),1),"")</f>
        <v/>
      </c>
      <c r="O153" s="17" t="str">
        <f>IFERROR(INDEX(逆引き作成用!$C$2:$C$169,MATCH($B153&amp;"/"&amp;$C153,逆引き作成用!O$2:O$169,FALSE),1),"")</f>
        <v/>
      </c>
      <c r="P153" s="17" t="str">
        <f>IFERROR(INDEX(逆引き作成用!$C$2:$C$169,MATCH($B153&amp;"/"&amp;$C153,逆引き作成用!P$2:P$169,FALSE),1),"")</f>
        <v/>
      </c>
      <c r="Q153" s="17" t="str">
        <f>IFERROR(INDEX(逆引き作成用!$C$2:$C$169,MATCH($B153&amp;"/"&amp;$C153,逆引き作成用!Q$2:Q$169,FALSE),1),"")</f>
        <v/>
      </c>
      <c r="R153" s="17" t="str">
        <f>IFERROR(INDEX(逆引き作成用!$C$2:$C$169,MATCH($B153&amp;"/"&amp;$C153,逆引き作成用!R$2:R$169,FALSE),1),"")</f>
        <v/>
      </c>
      <c r="S153" s="17" t="str">
        <f>IFERROR(INDEX(逆引き作成用!$C$2:$C$169,MATCH($B153&amp;"/"&amp;$C153,逆引き作成用!S$2:S$169,FALSE),1),"")</f>
        <v/>
      </c>
      <c r="T153" s="17" t="str">
        <f>IFERROR(INDEX(逆引き作成用!$C$2:$C$169,MATCH($B153&amp;"/"&amp;$C153,逆引き作成用!T$2:T$169,FALSE),1),"")</f>
        <v/>
      </c>
      <c r="U153" s="17" t="str">
        <f>IFERROR(INDEX(逆引き作成用!$C$2:$C$169,MATCH($B153&amp;"/"&amp;$C153,逆引き作成用!U$2:U$169,FALSE),1),"")</f>
        <v/>
      </c>
      <c r="V153" s="17" t="str">
        <f>IFERROR(INDEX(逆引き作成用!$C$2:$C$169,MATCH($B153&amp;"/"&amp;$C153,逆引き作成用!V$2:V$169,FALSE),1),"")</f>
        <v/>
      </c>
      <c r="W153" s="17" t="str">
        <f>IFERROR(INDEX(逆引き作成用!$C$2:$C$169,MATCH($B153&amp;"/"&amp;$C153,逆引き作成用!W$2:W$169,FALSE),1),"")</f>
        <v/>
      </c>
      <c r="X153" s="17" t="str">
        <f>IFERROR(INDEX(逆引き作成用!$C$2:$C$169,MATCH($B153&amp;"/"&amp;$C153,逆引き作成用!X$2:X$169,FALSE),1),"")</f>
        <v/>
      </c>
      <c r="Y153" s="17" t="str">
        <f>IFERROR(INDEX(逆引き作成用!$C$2:$C$169,MATCH($B153&amp;"/"&amp;$C153,逆引き作成用!Y$2:Y$169,FALSE),1),"")</f>
        <v/>
      </c>
      <c r="Z153" s="17" t="str">
        <f>IFERROR(INDEX(逆引き作成用!$C$2:$C$169,MATCH($B153&amp;"/"&amp;$C153,逆引き作成用!Z$2:Z$169,FALSE),1),"")</f>
        <v/>
      </c>
      <c r="AA153" s="17" t="str">
        <f>IFERROR(INDEX(逆引き作成用!$C$2:$C$169,MATCH($B153&amp;"/"&amp;$C153,逆引き作成用!AA$2:AA$169,FALSE),1),"")</f>
        <v/>
      </c>
      <c r="AB153" s="17" t="str">
        <f>IFERROR(INDEX(逆引き作成用!$C$2:$C$169,MATCH($B153&amp;"/"&amp;$C153,逆引き作成用!AB$2:AB$169,FALSE),1),"")</f>
        <v/>
      </c>
      <c r="AC153" s="17" t="str">
        <f>IFERROR(INDEX(逆引き作成用!$C$2:$C$169,MATCH($B153&amp;"/"&amp;$C153,逆引き作成用!AC$2:AC$169,FALSE),1),"")</f>
        <v/>
      </c>
      <c r="AD153" s="17" t="str">
        <f>IFERROR(INDEX(逆引き作成用!$C$2:$C$169,MATCH($B153&amp;"/"&amp;$C153,逆引き作成用!AD$2:AD$169,FALSE),1),"")</f>
        <v/>
      </c>
      <c r="AE153" s="17" t="str">
        <f>IFERROR(INDEX(逆引き作成用!$C$2:$C$169,MATCH($B153&amp;"/"&amp;$C153,逆引き作成用!AE$2:AE$169,FALSE),1),"")</f>
        <v/>
      </c>
      <c r="AF153" s="17" t="str">
        <f>IFERROR(INDEX(逆引き作成用!$C$2:$C$169,MATCH($B153&amp;"/"&amp;$C153,逆引き作成用!AF$2:AF$169,FALSE),1),"")</f>
        <v/>
      </c>
      <c r="AG153" s="17" t="str">
        <f>IFERROR(INDEX(逆引き作成用!$C$2:$C$169,MATCH($B153&amp;"/"&amp;$C153,逆引き作成用!AG$2:AG$169,FALSE),1),"")</f>
        <v/>
      </c>
      <c r="AH153" s="17" t="str">
        <f>IFERROR(INDEX(逆引き作成用!$C$2:$C$169,MATCH($B153&amp;"/"&amp;$C153,逆引き作成用!AH$2:AH$169,FALSE),1),"")</f>
        <v/>
      </c>
      <c r="AI153" s="17" t="str">
        <f>IFERROR(INDEX(逆引き作成用!$C$2:$C$169,MATCH($B153&amp;"/"&amp;$C153,逆引き作成用!AI$2:AI$169,FALSE),1),"")</f>
        <v/>
      </c>
      <c r="AJ153" s="17" t="str">
        <f>IFERROR(INDEX(逆引き作成用!$C$2:$C$169,MATCH($B153&amp;"/"&amp;$C153,逆引き作成用!AJ$2:AJ$169,FALSE),1),"")</f>
        <v/>
      </c>
      <c r="AK153" s="17" t="str">
        <f>IFERROR(INDEX(逆引き作成用!$C$2:$C$169,MATCH($B153&amp;"/"&amp;$C153,逆引き作成用!AK$2:AK$169,FALSE),1),"")</f>
        <v/>
      </c>
      <c r="AL153" s="17" t="str">
        <f>IFERROR(INDEX(逆引き作成用!$C$2:$C$169,MATCH($B153&amp;"/"&amp;$C153,逆引き作成用!AL$2:AL$169,FALSE),1),"")</f>
        <v/>
      </c>
      <c r="AM153" s="17" t="str">
        <f>IFERROR(INDEX(逆引き作成用!$C$2:$C$169,MATCH($B153&amp;"/"&amp;$C153,逆引き作成用!AM$2:AM$169,FALSE),1),"")</f>
        <v/>
      </c>
      <c r="AN153" s="17" t="str">
        <f>IFERROR(INDEX(逆引き作成用!$C$2:$C$169,MATCH($B153&amp;"/"&amp;$C153,逆引き作成用!AN$2:AN$169,FALSE),1),"")</f>
        <v/>
      </c>
      <c r="AO153" s="17" t="str">
        <f>IFERROR(INDEX(逆引き作成用!$C$2:$C$169,MATCH($B153&amp;"/"&amp;$C153,逆引き作成用!AO$2:AO$169,FALSE),1),"")</f>
        <v/>
      </c>
      <c r="AP153" s="17" t="str">
        <f>IFERROR(INDEX(逆引き作成用!$C$2:$C$169,MATCH($B153&amp;"/"&amp;$C153,逆引き作成用!AP$2:AP$169,FALSE),1),"")</f>
        <v/>
      </c>
      <c r="AQ153" s="17" t="str">
        <f>IFERROR(INDEX(逆引き作成用!$C$2:$C$169,MATCH($B153&amp;"/"&amp;$C153,逆引き作成用!AQ$2:AQ$169,FALSE),1),"")</f>
        <v/>
      </c>
      <c r="AR153" s="17" t="str">
        <f>IFERROR(INDEX(逆引き作成用!$C$2:$C$169,MATCH($B153&amp;"/"&amp;$C153,逆引き作成用!AR$2:AR$169,FALSE),1),"")</f>
        <v/>
      </c>
      <c r="AS153" s="17" t="str">
        <f>IFERROR(INDEX(逆引き作成用!$C$2:$C$169,MATCH($B153&amp;"/"&amp;$C153,逆引き作成用!AS$2:AS$169,FALSE),1),"")</f>
        <v/>
      </c>
      <c r="AT153" s="17" t="str">
        <f>IFERROR(INDEX(逆引き作成用!$C$2:$C$169,MATCH($B153&amp;"/"&amp;$C153,逆引き作成用!AT$2:AT$169,FALSE),1),"")</f>
        <v/>
      </c>
      <c r="AU153" s="17" t="str">
        <f>IFERROR(INDEX(逆引き作成用!$C$2:$C$169,MATCH($B153&amp;"/"&amp;$C153,逆引き作成用!AU$2:AU$169,FALSE),1),"")</f>
        <v/>
      </c>
      <c r="AV153" s="17" t="str">
        <f>IFERROR(INDEX(逆引き作成用!$C$2:$C$169,MATCH($B153&amp;"/"&amp;$C153,逆引き作成用!AV$2:AV$169,FALSE),1),"")</f>
        <v/>
      </c>
      <c r="AW153" s="17" t="str">
        <f>IFERROR(INDEX(逆引き作成用!$C$2:$C$169,MATCH($B153&amp;"/"&amp;$C153,逆引き作成用!AW$2:AW$169,FALSE),1),"")</f>
        <v/>
      </c>
      <c r="AX153" s="17" t="str">
        <f>IFERROR(INDEX(逆引き作成用!$C$2:$C$169,MATCH($B153&amp;"/"&amp;$C153,逆引き作成用!AX$2:AX$169,FALSE),1),"")</f>
        <v/>
      </c>
      <c r="AY153" s="17" t="str">
        <f>IFERROR(INDEX(逆引き作成用!$C$2:$C$169,MATCH($B153&amp;"/"&amp;$C153,逆引き作成用!AY$2:AY$169,FALSE),1),"")</f>
        <v/>
      </c>
      <c r="AZ153" s="17" t="str">
        <f>IFERROR(INDEX(逆引き作成用!$C$2:$C$169,MATCH($B153&amp;"/"&amp;$C153,逆引き作成用!AZ$2:AZ$169,FALSE),1),"")</f>
        <v/>
      </c>
      <c r="BA153" s="17" t="str">
        <f>IFERROR(INDEX(逆引き作成用!$C$2:$C$169,MATCH($B153&amp;"/"&amp;$C153,逆引き作成用!BA$2:BA$169,FALSE),1),"")</f>
        <v/>
      </c>
    </row>
    <row r="154" spans="1:53">
      <c r="A154" s="17" t="str">
        <f>IFERROR(INDEX(役職一覧!$B$2:$B$31,MATCH(B154,役職一覧!$C$2:$C$31,FALSE),1),"")</f>
        <v/>
      </c>
      <c r="B154" s="17" t="str">
        <f>IFERROR(IF(C154=1,INDEX(役職一覧!$C$2:$C$31,MATCH(逆引き!B153,役職一覧!$C$2:$C$31,FALSE)+1,1)&amp;"",B153),"")</f>
        <v/>
      </c>
      <c r="C154" s="17" t="str">
        <f>IFERROR(IF(VLOOKUP(B153,役職一覧!$C$2:$E$31,3,FALSE)=C153,1,C153+1),"")</f>
        <v/>
      </c>
      <c r="D154" s="17" t="str">
        <f>IFERROR(INDEX(逆引き作成用!$C$2:$C$169,MATCH($B154&amp;"/"&amp;$C154,逆引き作成用!D$2:D$169,FALSE),1),"")</f>
        <v/>
      </c>
      <c r="E154" s="17" t="str">
        <f>IFERROR(INDEX(逆引き作成用!$C$2:$C$169,MATCH($B154&amp;"/"&amp;$C154,逆引き作成用!E$2:E$169,FALSE),1),"")</f>
        <v/>
      </c>
      <c r="F154" s="17" t="str">
        <f>IFERROR(INDEX(逆引き作成用!$C$2:$C$169,MATCH($B154&amp;"/"&amp;$C154,逆引き作成用!F$2:F$169,FALSE),1),"")</f>
        <v/>
      </c>
      <c r="G154" s="17" t="str">
        <f>IFERROR(INDEX(逆引き作成用!$C$2:$C$169,MATCH($B154&amp;"/"&amp;$C154,逆引き作成用!G$2:G$169,FALSE),1),"")</f>
        <v/>
      </c>
      <c r="H154" s="17" t="str">
        <f>IFERROR(INDEX(逆引き作成用!$C$2:$C$169,MATCH($B154&amp;"/"&amp;$C154,逆引き作成用!H$2:H$169,FALSE),1),"")</f>
        <v/>
      </c>
      <c r="I154" s="17" t="str">
        <f>IFERROR(INDEX(逆引き作成用!$C$2:$C$169,MATCH($B154&amp;"/"&amp;$C154,逆引き作成用!I$2:I$169,FALSE),1),"")</f>
        <v/>
      </c>
      <c r="J154" s="17" t="str">
        <f>IFERROR(INDEX(逆引き作成用!$C$2:$C$169,MATCH($B154&amp;"/"&amp;$C154,逆引き作成用!J$2:J$169,FALSE),1),"")</f>
        <v/>
      </c>
      <c r="K154" s="17" t="str">
        <f>IFERROR(INDEX(逆引き作成用!$C$2:$C$169,MATCH($B154&amp;"/"&amp;$C154,逆引き作成用!K$2:K$169,FALSE),1),"")</f>
        <v/>
      </c>
      <c r="L154" s="17" t="str">
        <f>IFERROR(INDEX(逆引き作成用!$C$2:$C$169,MATCH($B154&amp;"/"&amp;$C154,逆引き作成用!L$2:L$169,FALSE),1),"")</f>
        <v/>
      </c>
      <c r="M154" s="17" t="str">
        <f>IFERROR(INDEX(逆引き作成用!$C$2:$C$169,MATCH($B154&amp;"/"&amp;$C154,逆引き作成用!M$2:M$169,FALSE),1),"")</f>
        <v/>
      </c>
      <c r="N154" s="17" t="str">
        <f>IFERROR(INDEX(逆引き作成用!$C$2:$C$169,MATCH($B154&amp;"/"&amp;$C154,逆引き作成用!N$2:N$169,FALSE),1),"")</f>
        <v/>
      </c>
      <c r="O154" s="17" t="str">
        <f>IFERROR(INDEX(逆引き作成用!$C$2:$C$169,MATCH($B154&amp;"/"&amp;$C154,逆引き作成用!O$2:O$169,FALSE),1),"")</f>
        <v/>
      </c>
      <c r="P154" s="17" t="str">
        <f>IFERROR(INDEX(逆引き作成用!$C$2:$C$169,MATCH($B154&amp;"/"&amp;$C154,逆引き作成用!P$2:P$169,FALSE),1),"")</f>
        <v/>
      </c>
      <c r="Q154" s="17" t="str">
        <f>IFERROR(INDEX(逆引き作成用!$C$2:$C$169,MATCH($B154&amp;"/"&amp;$C154,逆引き作成用!Q$2:Q$169,FALSE),1),"")</f>
        <v/>
      </c>
      <c r="R154" s="17" t="str">
        <f>IFERROR(INDEX(逆引き作成用!$C$2:$C$169,MATCH($B154&amp;"/"&amp;$C154,逆引き作成用!R$2:R$169,FALSE),1),"")</f>
        <v/>
      </c>
      <c r="S154" s="17" t="str">
        <f>IFERROR(INDEX(逆引き作成用!$C$2:$C$169,MATCH($B154&amp;"/"&amp;$C154,逆引き作成用!S$2:S$169,FALSE),1),"")</f>
        <v/>
      </c>
      <c r="T154" s="17" t="str">
        <f>IFERROR(INDEX(逆引き作成用!$C$2:$C$169,MATCH($B154&amp;"/"&amp;$C154,逆引き作成用!T$2:T$169,FALSE),1),"")</f>
        <v/>
      </c>
      <c r="U154" s="17" t="str">
        <f>IFERROR(INDEX(逆引き作成用!$C$2:$C$169,MATCH($B154&amp;"/"&amp;$C154,逆引き作成用!U$2:U$169,FALSE),1),"")</f>
        <v/>
      </c>
      <c r="V154" s="17" t="str">
        <f>IFERROR(INDEX(逆引き作成用!$C$2:$C$169,MATCH($B154&amp;"/"&amp;$C154,逆引き作成用!V$2:V$169,FALSE),1),"")</f>
        <v/>
      </c>
      <c r="W154" s="17" t="str">
        <f>IFERROR(INDEX(逆引き作成用!$C$2:$C$169,MATCH($B154&amp;"/"&amp;$C154,逆引き作成用!W$2:W$169,FALSE),1),"")</f>
        <v/>
      </c>
      <c r="X154" s="17" t="str">
        <f>IFERROR(INDEX(逆引き作成用!$C$2:$C$169,MATCH($B154&amp;"/"&amp;$C154,逆引き作成用!X$2:X$169,FALSE),1),"")</f>
        <v/>
      </c>
      <c r="Y154" s="17" t="str">
        <f>IFERROR(INDEX(逆引き作成用!$C$2:$C$169,MATCH($B154&amp;"/"&amp;$C154,逆引き作成用!Y$2:Y$169,FALSE),1),"")</f>
        <v/>
      </c>
      <c r="Z154" s="17" t="str">
        <f>IFERROR(INDEX(逆引き作成用!$C$2:$C$169,MATCH($B154&amp;"/"&amp;$C154,逆引き作成用!Z$2:Z$169,FALSE),1),"")</f>
        <v/>
      </c>
      <c r="AA154" s="17" t="str">
        <f>IFERROR(INDEX(逆引き作成用!$C$2:$C$169,MATCH($B154&amp;"/"&amp;$C154,逆引き作成用!AA$2:AA$169,FALSE),1),"")</f>
        <v/>
      </c>
      <c r="AB154" s="17" t="str">
        <f>IFERROR(INDEX(逆引き作成用!$C$2:$C$169,MATCH($B154&amp;"/"&amp;$C154,逆引き作成用!AB$2:AB$169,FALSE),1),"")</f>
        <v/>
      </c>
      <c r="AC154" s="17" t="str">
        <f>IFERROR(INDEX(逆引き作成用!$C$2:$C$169,MATCH($B154&amp;"/"&amp;$C154,逆引き作成用!AC$2:AC$169,FALSE),1),"")</f>
        <v/>
      </c>
      <c r="AD154" s="17" t="str">
        <f>IFERROR(INDEX(逆引き作成用!$C$2:$C$169,MATCH($B154&amp;"/"&amp;$C154,逆引き作成用!AD$2:AD$169,FALSE),1),"")</f>
        <v/>
      </c>
      <c r="AE154" s="17" t="str">
        <f>IFERROR(INDEX(逆引き作成用!$C$2:$C$169,MATCH($B154&amp;"/"&amp;$C154,逆引き作成用!AE$2:AE$169,FALSE),1),"")</f>
        <v/>
      </c>
      <c r="AF154" s="17" t="str">
        <f>IFERROR(INDEX(逆引き作成用!$C$2:$C$169,MATCH($B154&amp;"/"&amp;$C154,逆引き作成用!AF$2:AF$169,FALSE),1),"")</f>
        <v/>
      </c>
      <c r="AG154" s="17" t="str">
        <f>IFERROR(INDEX(逆引き作成用!$C$2:$C$169,MATCH($B154&amp;"/"&amp;$C154,逆引き作成用!AG$2:AG$169,FALSE),1),"")</f>
        <v/>
      </c>
      <c r="AH154" s="17" t="str">
        <f>IFERROR(INDEX(逆引き作成用!$C$2:$C$169,MATCH($B154&amp;"/"&amp;$C154,逆引き作成用!AH$2:AH$169,FALSE),1),"")</f>
        <v/>
      </c>
      <c r="AI154" s="17" t="str">
        <f>IFERROR(INDEX(逆引き作成用!$C$2:$C$169,MATCH($B154&amp;"/"&amp;$C154,逆引き作成用!AI$2:AI$169,FALSE),1),"")</f>
        <v/>
      </c>
      <c r="AJ154" s="17" t="str">
        <f>IFERROR(INDEX(逆引き作成用!$C$2:$C$169,MATCH($B154&amp;"/"&amp;$C154,逆引き作成用!AJ$2:AJ$169,FALSE),1),"")</f>
        <v/>
      </c>
      <c r="AK154" s="17" t="str">
        <f>IFERROR(INDEX(逆引き作成用!$C$2:$C$169,MATCH($B154&amp;"/"&amp;$C154,逆引き作成用!AK$2:AK$169,FALSE),1),"")</f>
        <v/>
      </c>
      <c r="AL154" s="17" t="str">
        <f>IFERROR(INDEX(逆引き作成用!$C$2:$C$169,MATCH($B154&amp;"/"&amp;$C154,逆引き作成用!AL$2:AL$169,FALSE),1),"")</f>
        <v/>
      </c>
      <c r="AM154" s="17" t="str">
        <f>IFERROR(INDEX(逆引き作成用!$C$2:$C$169,MATCH($B154&amp;"/"&amp;$C154,逆引き作成用!AM$2:AM$169,FALSE),1),"")</f>
        <v/>
      </c>
      <c r="AN154" s="17" t="str">
        <f>IFERROR(INDEX(逆引き作成用!$C$2:$C$169,MATCH($B154&amp;"/"&amp;$C154,逆引き作成用!AN$2:AN$169,FALSE),1),"")</f>
        <v/>
      </c>
      <c r="AO154" s="17" t="str">
        <f>IFERROR(INDEX(逆引き作成用!$C$2:$C$169,MATCH($B154&amp;"/"&amp;$C154,逆引き作成用!AO$2:AO$169,FALSE),1),"")</f>
        <v/>
      </c>
      <c r="AP154" s="17" t="str">
        <f>IFERROR(INDEX(逆引き作成用!$C$2:$C$169,MATCH($B154&amp;"/"&amp;$C154,逆引き作成用!AP$2:AP$169,FALSE),1),"")</f>
        <v/>
      </c>
      <c r="AQ154" s="17" t="str">
        <f>IFERROR(INDEX(逆引き作成用!$C$2:$C$169,MATCH($B154&amp;"/"&amp;$C154,逆引き作成用!AQ$2:AQ$169,FALSE),1),"")</f>
        <v/>
      </c>
      <c r="AR154" s="17" t="str">
        <f>IFERROR(INDEX(逆引き作成用!$C$2:$C$169,MATCH($B154&amp;"/"&amp;$C154,逆引き作成用!AR$2:AR$169,FALSE),1),"")</f>
        <v/>
      </c>
      <c r="AS154" s="17" t="str">
        <f>IFERROR(INDEX(逆引き作成用!$C$2:$C$169,MATCH($B154&amp;"/"&amp;$C154,逆引き作成用!AS$2:AS$169,FALSE),1),"")</f>
        <v/>
      </c>
      <c r="AT154" s="17" t="str">
        <f>IFERROR(INDEX(逆引き作成用!$C$2:$C$169,MATCH($B154&amp;"/"&amp;$C154,逆引き作成用!AT$2:AT$169,FALSE),1),"")</f>
        <v/>
      </c>
      <c r="AU154" s="17" t="str">
        <f>IFERROR(INDEX(逆引き作成用!$C$2:$C$169,MATCH($B154&amp;"/"&amp;$C154,逆引き作成用!AU$2:AU$169,FALSE),1),"")</f>
        <v/>
      </c>
      <c r="AV154" s="17" t="str">
        <f>IFERROR(INDEX(逆引き作成用!$C$2:$C$169,MATCH($B154&amp;"/"&amp;$C154,逆引き作成用!AV$2:AV$169,FALSE),1),"")</f>
        <v/>
      </c>
      <c r="AW154" s="17" t="str">
        <f>IFERROR(INDEX(逆引き作成用!$C$2:$C$169,MATCH($B154&amp;"/"&amp;$C154,逆引き作成用!AW$2:AW$169,FALSE),1),"")</f>
        <v/>
      </c>
      <c r="AX154" s="17" t="str">
        <f>IFERROR(INDEX(逆引き作成用!$C$2:$C$169,MATCH($B154&amp;"/"&amp;$C154,逆引き作成用!AX$2:AX$169,FALSE),1),"")</f>
        <v/>
      </c>
      <c r="AY154" s="17" t="str">
        <f>IFERROR(INDEX(逆引き作成用!$C$2:$C$169,MATCH($B154&amp;"/"&amp;$C154,逆引き作成用!AY$2:AY$169,FALSE),1),"")</f>
        <v/>
      </c>
      <c r="AZ154" s="17" t="str">
        <f>IFERROR(INDEX(逆引き作成用!$C$2:$C$169,MATCH($B154&amp;"/"&amp;$C154,逆引き作成用!AZ$2:AZ$169,FALSE),1),"")</f>
        <v/>
      </c>
      <c r="BA154" s="17" t="str">
        <f>IFERROR(INDEX(逆引き作成用!$C$2:$C$169,MATCH($B154&amp;"/"&amp;$C154,逆引き作成用!BA$2:BA$169,FALSE),1),"")</f>
        <v/>
      </c>
    </row>
    <row r="155" spans="1:53">
      <c r="A155" s="17" t="str">
        <f>IFERROR(INDEX(役職一覧!$B$2:$B$31,MATCH(B155,役職一覧!$C$2:$C$31,FALSE),1),"")</f>
        <v/>
      </c>
      <c r="B155" s="17" t="str">
        <f>IFERROR(IF(C155=1,INDEX(役職一覧!$C$2:$C$31,MATCH(逆引き!B154,役職一覧!$C$2:$C$31,FALSE)+1,1)&amp;"",B154),"")</f>
        <v/>
      </c>
      <c r="C155" s="17" t="str">
        <f>IFERROR(IF(VLOOKUP(B154,役職一覧!$C$2:$E$31,3,FALSE)=C154,1,C154+1),"")</f>
        <v/>
      </c>
      <c r="D155" s="17" t="str">
        <f>IFERROR(INDEX(逆引き作成用!$C$2:$C$169,MATCH($B155&amp;"/"&amp;$C155,逆引き作成用!D$2:D$169,FALSE),1),"")</f>
        <v/>
      </c>
      <c r="E155" s="17" t="str">
        <f>IFERROR(INDEX(逆引き作成用!$C$2:$C$169,MATCH($B155&amp;"/"&amp;$C155,逆引き作成用!E$2:E$169,FALSE),1),"")</f>
        <v/>
      </c>
      <c r="F155" s="17" t="str">
        <f>IFERROR(INDEX(逆引き作成用!$C$2:$C$169,MATCH($B155&amp;"/"&amp;$C155,逆引き作成用!F$2:F$169,FALSE),1),"")</f>
        <v/>
      </c>
      <c r="G155" s="17" t="str">
        <f>IFERROR(INDEX(逆引き作成用!$C$2:$C$169,MATCH($B155&amp;"/"&amp;$C155,逆引き作成用!G$2:G$169,FALSE),1),"")</f>
        <v/>
      </c>
      <c r="H155" s="17" t="str">
        <f>IFERROR(INDEX(逆引き作成用!$C$2:$C$169,MATCH($B155&amp;"/"&amp;$C155,逆引き作成用!H$2:H$169,FALSE),1),"")</f>
        <v/>
      </c>
      <c r="I155" s="17" t="str">
        <f>IFERROR(INDEX(逆引き作成用!$C$2:$C$169,MATCH($B155&amp;"/"&amp;$C155,逆引き作成用!I$2:I$169,FALSE),1),"")</f>
        <v/>
      </c>
      <c r="J155" s="17" t="str">
        <f>IFERROR(INDEX(逆引き作成用!$C$2:$C$169,MATCH($B155&amp;"/"&amp;$C155,逆引き作成用!J$2:J$169,FALSE),1),"")</f>
        <v/>
      </c>
      <c r="K155" s="17" t="str">
        <f>IFERROR(INDEX(逆引き作成用!$C$2:$C$169,MATCH($B155&amp;"/"&amp;$C155,逆引き作成用!K$2:K$169,FALSE),1),"")</f>
        <v/>
      </c>
      <c r="L155" s="17" t="str">
        <f>IFERROR(INDEX(逆引き作成用!$C$2:$C$169,MATCH($B155&amp;"/"&amp;$C155,逆引き作成用!L$2:L$169,FALSE),1),"")</f>
        <v/>
      </c>
      <c r="M155" s="17" t="str">
        <f>IFERROR(INDEX(逆引き作成用!$C$2:$C$169,MATCH($B155&amp;"/"&amp;$C155,逆引き作成用!M$2:M$169,FALSE),1),"")</f>
        <v/>
      </c>
      <c r="N155" s="17" t="str">
        <f>IFERROR(INDEX(逆引き作成用!$C$2:$C$169,MATCH($B155&amp;"/"&amp;$C155,逆引き作成用!N$2:N$169,FALSE),1),"")</f>
        <v/>
      </c>
      <c r="O155" s="17" t="str">
        <f>IFERROR(INDEX(逆引き作成用!$C$2:$C$169,MATCH($B155&amp;"/"&amp;$C155,逆引き作成用!O$2:O$169,FALSE),1),"")</f>
        <v/>
      </c>
      <c r="P155" s="17" t="str">
        <f>IFERROR(INDEX(逆引き作成用!$C$2:$C$169,MATCH($B155&amp;"/"&amp;$C155,逆引き作成用!P$2:P$169,FALSE),1),"")</f>
        <v/>
      </c>
      <c r="Q155" s="17" t="str">
        <f>IFERROR(INDEX(逆引き作成用!$C$2:$C$169,MATCH($B155&amp;"/"&amp;$C155,逆引き作成用!Q$2:Q$169,FALSE),1),"")</f>
        <v/>
      </c>
      <c r="R155" s="17" t="str">
        <f>IFERROR(INDEX(逆引き作成用!$C$2:$C$169,MATCH($B155&amp;"/"&amp;$C155,逆引き作成用!R$2:R$169,FALSE),1),"")</f>
        <v/>
      </c>
      <c r="S155" s="17" t="str">
        <f>IFERROR(INDEX(逆引き作成用!$C$2:$C$169,MATCH($B155&amp;"/"&amp;$C155,逆引き作成用!S$2:S$169,FALSE),1),"")</f>
        <v/>
      </c>
      <c r="T155" s="17" t="str">
        <f>IFERROR(INDEX(逆引き作成用!$C$2:$C$169,MATCH($B155&amp;"/"&amp;$C155,逆引き作成用!T$2:T$169,FALSE),1),"")</f>
        <v/>
      </c>
      <c r="U155" s="17" t="str">
        <f>IFERROR(INDEX(逆引き作成用!$C$2:$C$169,MATCH($B155&amp;"/"&amp;$C155,逆引き作成用!U$2:U$169,FALSE),1),"")</f>
        <v/>
      </c>
      <c r="V155" s="17" t="str">
        <f>IFERROR(INDEX(逆引き作成用!$C$2:$C$169,MATCH($B155&amp;"/"&amp;$C155,逆引き作成用!V$2:V$169,FALSE),1),"")</f>
        <v/>
      </c>
      <c r="W155" s="17" t="str">
        <f>IFERROR(INDEX(逆引き作成用!$C$2:$C$169,MATCH($B155&amp;"/"&amp;$C155,逆引き作成用!W$2:W$169,FALSE),1),"")</f>
        <v/>
      </c>
      <c r="X155" s="17" t="str">
        <f>IFERROR(INDEX(逆引き作成用!$C$2:$C$169,MATCH($B155&amp;"/"&amp;$C155,逆引き作成用!X$2:X$169,FALSE),1),"")</f>
        <v/>
      </c>
      <c r="Y155" s="17" t="str">
        <f>IFERROR(INDEX(逆引き作成用!$C$2:$C$169,MATCH($B155&amp;"/"&amp;$C155,逆引き作成用!Y$2:Y$169,FALSE),1),"")</f>
        <v/>
      </c>
      <c r="Z155" s="17" t="str">
        <f>IFERROR(INDEX(逆引き作成用!$C$2:$C$169,MATCH($B155&amp;"/"&amp;$C155,逆引き作成用!Z$2:Z$169,FALSE),1),"")</f>
        <v/>
      </c>
      <c r="AA155" s="17" t="str">
        <f>IFERROR(INDEX(逆引き作成用!$C$2:$C$169,MATCH($B155&amp;"/"&amp;$C155,逆引き作成用!AA$2:AA$169,FALSE),1),"")</f>
        <v/>
      </c>
      <c r="AB155" s="17" t="str">
        <f>IFERROR(INDEX(逆引き作成用!$C$2:$C$169,MATCH($B155&amp;"/"&amp;$C155,逆引き作成用!AB$2:AB$169,FALSE),1),"")</f>
        <v/>
      </c>
      <c r="AC155" s="17" t="str">
        <f>IFERROR(INDEX(逆引き作成用!$C$2:$C$169,MATCH($B155&amp;"/"&amp;$C155,逆引き作成用!AC$2:AC$169,FALSE),1),"")</f>
        <v/>
      </c>
      <c r="AD155" s="17" t="str">
        <f>IFERROR(INDEX(逆引き作成用!$C$2:$C$169,MATCH($B155&amp;"/"&amp;$C155,逆引き作成用!AD$2:AD$169,FALSE),1),"")</f>
        <v/>
      </c>
      <c r="AE155" s="17" t="str">
        <f>IFERROR(INDEX(逆引き作成用!$C$2:$C$169,MATCH($B155&amp;"/"&amp;$C155,逆引き作成用!AE$2:AE$169,FALSE),1),"")</f>
        <v/>
      </c>
      <c r="AF155" s="17" t="str">
        <f>IFERROR(INDEX(逆引き作成用!$C$2:$C$169,MATCH($B155&amp;"/"&amp;$C155,逆引き作成用!AF$2:AF$169,FALSE),1),"")</f>
        <v/>
      </c>
      <c r="AG155" s="17" t="str">
        <f>IFERROR(INDEX(逆引き作成用!$C$2:$C$169,MATCH($B155&amp;"/"&amp;$C155,逆引き作成用!AG$2:AG$169,FALSE),1),"")</f>
        <v/>
      </c>
      <c r="AH155" s="17" t="str">
        <f>IFERROR(INDEX(逆引き作成用!$C$2:$C$169,MATCH($B155&amp;"/"&amp;$C155,逆引き作成用!AH$2:AH$169,FALSE),1),"")</f>
        <v/>
      </c>
      <c r="AI155" s="17" t="str">
        <f>IFERROR(INDEX(逆引き作成用!$C$2:$C$169,MATCH($B155&amp;"/"&amp;$C155,逆引き作成用!AI$2:AI$169,FALSE),1),"")</f>
        <v/>
      </c>
      <c r="AJ155" s="17" t="str">
        <f>IFERROR(INDEX(逆引き作成用!$C$2:$C$169,MATCH($B155&amp;"/"&amp;$C155,逆引き作成用!AJ$2:AJ$169,FALSE),1),"")</f>
        <v/>
      </c>
      <c r="AK155" s="17" t="str">
        <f>IFERROR(INDEX(逆引き作成用!$C$2:$C$169,MATCH($B155&amp;"/"&amp;$C155,逆引き作成用!AK$2:AK$169,FALSE),1),"")</f>
        <v/>
      </c>
      <c r="AL155" s="17" t="str">
        <f>IFERROR(INDEX(逆引き作成用!$C$2:$C$169,MATCH($B155&amp;"/"&amp;$C155,逆引き作成用!AL$2:AL$169,FALSE),1),"")</f>
        <v/>
      </c>
      <c r="AM155" s="17" t="str">
        <f>IFERROR(INDEX(逆引き作成用!$C$2:$C$169,MATCH($B155&amp;"/"&amp;$C155,逆引き作成用!AM$2:AM$169,FALSE),1),"")</f>
        <v/>
      </c>
      <c r="AN155" s="17" t="str">
        <f>IFERROR(INDEX(逆引き作成用!$C$2:$C$169,MATCH($B155&amp;"/"&amp;$C155,逆引き作成用!AN$2:AN$169,FALSE),1),"")</f>
        <v/>
      </c>
      <c r="AO155" s="17" t="str">
        <f>IFERROR(INDEX(逆引き作成用!$C$2:$C$169,MATCH($B155&amp;"/"&amp;$C155,逆引き作成用!AO$2:AO$169,FALSE),1),"")</f>
        <v/>
      </c>
      <c r="AP155" s="17" t="str">
        <f>IFERROR(INDEX(逆引き作成用!$C$2:$C$169,MATCH($B155&amp;"/"&amp;$C155,逆引き作成用!AP$2:AP$169,FALSE),1),"")</f>
        <v/>
      </c>
      <c r="AQ155" s="17" t="str">
        <f>IFERROR(INDEX(逆引き作成用!$C$2:$C$169,MATCH($B155&amp;"/"&amp;$C155,逆引き作成用!AQ$2:AQ$169,FALSE),1),"")</f>
        <v/>
      </c>
      <c r="AR155" s="17" t="str">
        <f>IFERROR(INDEX(逆引き作成用!$C$2:$C$169,MATCH($B155&amp;"/"&amp;$C155,逆引き作成用!AR$2:AR$169,FALSE),1),"")</f>
        <v/>
      </c>
      <c r="AS155" s="17" t="str">
        <f>IFERROR(INDEX(逆引き作成用!$C$2:$C$169,MATCH($B155&amp;"/"&amp;$C155,逆引き作成用!AS$2:AS$169,FALSE),1),"")</f>
        <v/>
      </c>
      <c r="AT155" s="17" t="str">
        <f>IFERROR(INDEX(逆引き作成用!$C$2:$C$169,MATCH($B155&amp;"/"&amp;$C155,逆引き作成用!AT$2:AT$169,FALSE),1),"")</f>
        <v/>
      </c>
      <c r="AU155" s="17" t="str">
        <f>IFERROR(INDEX(逆引き作成用!$C$2:$C$169,MATCH($B155&amp;"/"&amp;$C155,逆引き作成用!AU$2:AU$169,FALSE),1),"")</f>
        <v/>
      </c>
      <c r="AV155" s="17" t="str">
        <f>IFERROR(INDEX(逆引き作成用!$C$2:$C$169,MATCH($B155&amp;"/"&amp;$C155,逆引き作成用!AV$2:AV$169,FALSE),1),"")</f>
        <v/>
      </c>
      <c r="AW155" s="17" t="str">
        <f>IFERROR(INDEX(逆引き作成用!$C$2:$C$169,MATCH($B155&amp;"/"&amp;$C155,逆引き作成用!AW$2:AW$169,FALSE),1),"")</f>
        <v/>
      </c>
      <c r="AX155" s="17" t="str">
        <f>IFERROR(INDEX(逆引き作成用!$C$2:$C$169,MATCH($B155&amp;"/"&amp;$C155,逆引き作成用!AX$2:AX$169,FALSE),1),"")</f>
        <v/>
      </c>
      <c r="AY155" s="17" t="str">
        <f>IFERROR(INDEX(逆引き作成用!$C$2:$C$169,MATCH($B155&amp;"/"&amp;$C155,逆引き作成用!AY$2:AY$169,FALSE),1),"")</f>
        <v/>
      </c>
      <c r="AZ155" s="17" t="str">
        <f>IFERROR(INDEX(逆引き作成用!$C$2:$C$169,MATCH($B155&amp;"/"&amp;$C155,逆引き作成用!AZ$2:AZ$169,FALSE),1),"")</f>
        <v/>
      </c>
      <c r="BA155" s="17" t="str">
        <f>IFERROR(INDEX(逆引き作成用!$C$2:$C$169,MATCH($B155&amp;"/"&amp;$C155,逆引き作成用!BA$2:BA$169,FALSE),1),"")</f>
        <v/>
      </c>
    </row>
    <row r="156" spans="1:53">
      <c r="A156" s="17" t="str">
        <f>IFERROR(INDEX(役職一覧!$B$2:$B$31,MATCH(B156,役職一覧!$C$2:$C$31,FALSE),1),"")</f>
        <v/>
      </c>
      <c r="B156" s="17" t="str">
        <f>IFERROR(IF(C156=1,INDEX(役職一覧!$C$2:$C$31,MATCH(逆引き!B155,役職一覧!$C$2:$C$31,FALSE)+1,1)&amp;"",B155),"")</f>
        <v/>
      </c>
      <c r="C156" s="17" t="str">
        <f>IFERROR(IF(VLOOKUP(B155,役職一覧!$C$2:$E$31,3,FALSE)=C155,1,C155+1),"")</f>
        <v/>
      </c>
      <c r="D156" s="17" t="str">
        <f>IFERROR(INDEX(逆引き作成用!$C$2:$C$169,MATCH($B156&amp;"/"&amp;$C156,逆引き作成用!D$2:D$169,FALSE),1),"")</f>
        <v/>
      </c>
      <c r="E156" s="17" t="str">
        <f>IFERROR(INDEX(逆引き作成用!$C$2:$C$169,MATCH($B156&amp;"/"&amp;$C156,逆引き作成用!E$2:E$169,FALSE),1),"")</f>
        <v/>
      </c>
      <c r="F156" s="17" t="str">
        <f>IFERROR(INDEX(逆引き作成用!$C$2:$C$169,MATCH($B156&amp;"/"&amp;$C156,逆引き作成用!F$2:F$169,FALSE),1),"")</f>
        <v/>
      </c>
      <c r="G156" s="17" t="str">
        <f>IFERROR(INDEX(逆引き作成用!$C$2:$C$169,MATCH($B156&amp;"/"&amp;$C156,逆引き作成用!G$2:G$169,FALSE),1),"")</f>
        <v/>
      </c>
      <c r="H156" s="17" t="str">
        <f>IFERROR(INDEX(逆引き作成用!$C$2:$C$169,MATCH($B156&amp;"/"&amp;$C156,逆引き作成用!H$2:H$169,FALSE),1),"")</f>
        <v/>
      </c>
      <c r="I156" s="17" t="str">
        <f>IFERROR(INDEX(逆引き作成用!$C$2:$C$169,MATCH($B156&amp;"/"&amp;$C156,逆引き作成用!I$2:I$169,FALSE),1),"")</f>
        <v/>
      </c>
      <c r="J156" s="17" t="str">
        <f>IFERROR(INDEX(逆引き作成用!$C$2:$C$169,MATCH($B156&amp;"/"&amp;$C156,逆引き作成用!J$2:J$169,FALSE),1),"")</f>
        <v/>
      </c>
      <c r="K156" s="17" t="str">
        <f>IFERROR(INDEX(逆引き作成用!$C$2:$C$169,MATCH($B156&amp;"/"&amp;$C156,逆引き作成用!K$2:K$169,FALSE),1),"")</f>
        <v/>
      </c>
      <c r="L156" s="17" t="str">
        <f>IFERROR(INDEX(逆引き作成用!$C$2:$C$169,MATCH($B156&amp;"/"&amp;$C156,逆引き作成用!L$2:L$169,FALSE),1),"")</f>
        <v/>
      </c>
      <c r="M156" s="17" t="str">
        <f>IFERROR(INDEX(逆引き作成用!$C$2:$C$169,MATCH($B156&amp;"/"&amp;$C156,逆引き作成用!M$2:M$169,FALSE),1),"")</f>
        <v/>
      </c>
      <c r="N156" s="17" t="str">
        <f>IFERROR(INDEX(逆引き作成用!$C$2:$C$169,MATCH($B156&amp;"/"&amp;$C156,逆引き作成用!N$2:N$169,FALSE),1),"")</f>
        <v/>
      </c>
      <c r="O156" s="17" t="str">
        <f>IFERROR(INDEX(逆引き作成用!$C$2:$C$169,MATCH($B156&amp;"/"&amp;$C156,逆引き作成用!O$2:O$169,FALSE),1),"")</f>
        <v/>
      </c>
      <c r="P156" s="17" t="str">
        <f>IFERROR(INDEX(逆引き作成用!$C$2:$C$169,MATCH($B156&amp;"/"&amp;$C156,逆引き作成用!P$2:P$169,FALSE),1),"")</f>
        <v/>
      </c>
      <c r="Q156" s="17" t="str">
        <f>IFERROR(INDEX(逆引き作成用!$C$2:$C$169,MATCH($B156&amp;"/"&amp;$C156,逆引き作成用!Q$2:Q$169,FALSE),1),"")</f>
        <v/>
      </c>
      <c r="R156" s="17" t="str">
        <f>IFERROR(INDEX(逆引き作成用!$C$2:$C$169,MATCH($B156&amp;"/"&amp;$C156,逆引き作成用!R$2:R$169,FALSE),1),"")</f>
        <v/>
      </c>
      <c r="S156" s="17" t="str">
        <f>IFERROR(INDEX(逆引き作成用!$C$2:$C$169,MATCH($B156&amp;"/"&amp;$C156,逆引き作成用!S$2:S$169,FALSE),1),"")</f>
        <v/>
      </c>
      <c r="T156" s="17" t="str">
        <f>IFERROR(INDEX(逆引き作成用!$C$2:$C$169,MATCH($B156&amp;"/"&amp;$C156,逆引き作成用!T$2:T$169,FALSE),1),"")</f>
        <v/>
      </c>
      <c r="U156" s="17" t="str">
        <f>IFERROR(INDEX(逆引き作成用!$C$2:$C$169,MATCH($B156&amp;"/"&amp;$C156,逆引き作成用!U$2:U$169,FALSE),1),"")</f>
        <v/>
      </c>
      <c r="V156" s="17" t="str">
        <f>IFERROR(INDEX(逆引き作成用!$C$2:$C$169,MATCH($B156&amp;"/"&amp;$C156,逆引き作成用!V$2:V$169,FALSE),1),"")</f>
        <v/>
      </c>
      <c r="W156" s="17" t="str">
        <f>IFERROR(INDEX(逆引き作成用!$C$2:$C$169,MATCH($B156&amp;"/"&amp;$C156,逆引き作成用!W$2:W$169,FALSE),1),"")</f>
        <v/>
      </c>
      <c r="X156" s="17" t="str">
        <f>IFERROR(INDEX(逆引き作成用!$C$2:$C$169,MATCH($B156&amp;"/"&amp;$C156,逆引き作成用!X$2:X$169,FALSE),1),"")</f>
        <v/>
      </c>
      <c r="Y156" s="17" t="str">
        <f>IFERROR(INDEX(逆引き作成用!$C$2:$C$169,MATCH($B156&amp;"/"&amp;$C156,逆引き作成用!Y$2:Y$169,FALSE),1),"")</f>
        <v/>
      </c>
      <c r="Z156" s="17" t="str">
        <f>IFERROR(INDEX(逆引き作成用!$C$2:$C$169,MATCH($B156&amp;"/"&amp;$C156,逆引き作成用!Z$2:Z$169,FALSE),1),"")</f>
        <v/>
      </c>
      <c r="AA156" s="17" t="str">
        <f>IFERROR(INDEX(逆引き作成用!$C$2:$C$169,MATCH($B156&amp;"/"&amp;$C156,逆引き作成用!AA$2:AA$169,FALSE),1),"")</f>
        <v/>
      </c>
      <c r="AB156" s="17" t="str">
        <f>IFERROR(INDEX(逆引き作成用!$C$2:$C$169,MATCH($B156&amp;"/"&amp;$C156,逆引き作成用!AB$2:AB$169,FALSE),1),"")</f>
        <v/>
      </c>
      <c r="AC156" s="17" t="str">
        <f>IFERROR(INDEX(逆引き作成用!$C$2:$C$169,MATCH($B156&amp;"/"&amp;$C156,逆引き作成用!AC$2:AC$169,FALSE),1),"")</f>
        <v/>
      </c>
      <c r="AD156" s="17" t="str">
        <f>IFERROR(INDEX(逆引き作成用!$C$2:$C$169,MATCH($B156&amp;"/"&amp;$C156,逆引き作成用!AD$2:AD$169,FALSE),1),"")</f>
        <v/>
      </c>
      <c r="AE156" s="17" t="str">
        <f>IFERROR(INDEX(逆引き作成用!$C$2:$C$169,MATCH($B156&amp;"/"&amp;$C156,逆引き作成用!AE$2:AE$169,FALSE),1),"")</f>
        <v/>
      </c>
      <c r="AF156" s="17" t="str">
        <f>IFERROR(INDEX(逆引き作成用!$C$2:$C$169,MATCH($B156&amp;"/"&amp;$C156,逆引き作成用!AF$2:AF$169,FALSE),1),"")</f>
        <v/>
      </c>
      <c r="AG156" s="17" t="str">
        <f>IFERROR(INDEX(逆引き作成用!$C$2:$C$169,MATCH($B156&amp;"/"&amp;$C156,逆引き作成用!AG$2:AG$169,FALSE),1),"")</f>
        <v/>
      </c>
      <c r="AH156" s="17" t="str">
        <f>IFERROR(INDEX(逆引き作成用!$C$2:$C$169,MATCH($B156&amp;"/"&amp;$C156,逆引き作成用!AH$2:AH$169,FALSE),1),"")</f>
        <v/>
      </c>
      <c r="AI156" s="17" t="str">
        <f>IFERROR(INDEX(逆引き作成用!$C$2:$C$169,MATCH($B156&amp;"/"&amp;$C156,逆引き作成用!AI$2:AI$169,FALSE),1),"")</f>
        <v/>
      </c>
      <c r="AJ156" s="17" t="str">
        <f>IFERROR(INDEX(逆引き作成用!$C$2:$C$169,MATCH($B156&amp;"/"&amp;$C156,逆引き作成用!AJ$2:AJ$169,FALSE),1),"")</f>
        <v/>
      </c>
      <c r="AK156" s="17" t="str">
        <f>IFERROR(INDEX(逆引き作成用!$C$2:$C$169,MATCH($B156&amp;"/"&amp;$C156,逆引き作成用!AK$2:AK$169,FALSE),1),"")</f>
        <v/>
      </c>
      <c r="AL156" s="17" t="str">
        <f>IFERROR(INDEX(逆引き作成用!$C$2:$C$169,MATCH($B156&amp;"/"&amp;$C156,逆引き作成用!AL$2:AL$169,FALSE),1),"")</f>
        <v/>
      </c>
      <c r="AM156" s="17" t="str">
        <f>IFERROR(INDEX(逆引き作成用!$C$2:$C$169,MATCH($B156&amp;"/"&amp;$C156,逆引き作成用!AM$2:AM$169,FALSE),1),"")</f>
        <v/>
      </c>
      <c r="AN156" s="17" t="str">
        <f>IFERROR(INDEX(逆引き作成用!$C$2:$C$169,MATCH($B156&amp;"/"&amp;$C156,逆引き作成用!AN$2:AN$169,FALSE),1),"")</f>
        <v/>
      </c>
      <c r="AO156" s="17" t="str">
        <f>IFERROR(INDEX(逆引き作成用!$C$2:$C$169,MATCH($B156&amp;"/"&amp;$C156,逆引き作成用!AO$2:AO$169,FALSE),1),"")</f>
        <v/>
      </c>
      <c r="AP156" s="17" t="str">
        <f>IFERROR(INDEX(逆引き作成用!$C$2:$C$169,MATCH($B156&amp;"/"&amp;$C156,逆引き作成用!AP$2:AP$169,FALSE),1),"")</f>
        <v/>
      </c>
      <c r="AQ156" s="17" t="str">
        <f>IFERROR(INDEX(逆引き作成用!$C$2:$C$169,MATCH($B156&amp;"/"&amp;$C156,逆引き作成用!AQ$2:AQ$169,FALSE),1),"")</f>
        <v/>
      </c>
      <c r="AR156" s="17" t="str">
        <f>IFERROR(INDEX(逆引き作成用!$C$2:$C$169,MATCH($B156&amp;"/"&amp;$C156,逆引き作成用!AR$2:AR$169,FALSE),1),"")</f>
        <v/>
      </c>
      <c r="AS156" s="17" t="str">
        <f>IFERROR(INDEX(逆引き作成用!$C$2:$C$169,MATCH($B156&amp;"/"&amp;$C156,逆引き作成用!AS$2:AS$169,FALSE),1),"")</f>
        <v/>
      </c>
      <c r="AT156" s="17" t="str">
        <f>IFERROR(INDEX(逆引き作成用!$C$2:$C$169,MATCH($B156&amp;"/"&amp;$C156,逆引き作成用!AT$2:AT$169,FALSE),1),"")</f>
        <v/>
      </c>
      <c r="AU156" s="17" t="str">
        <f>IFERROR(INDEX(逆引き作成用!$C$2:$C$169,MATCH($B156&amp;"/"&amp;$C156,逆引き作成用!AU$2:AU$169,FALSE),1),"")</f>
        <v/>
      </c>
      <c r="AV156" s="17" t="str">
        <f>IFERROR(INDEX(逆引き作成用!$C$2:$C$169,MATCH($B156&amp;"/"&amp;$C156,逆引き作成用!AV$2:AV$169,FALSE),1),"")</f>
        <v/>
      </c>
      <c r="AW156" s="17" t="str">
        <f>IFERROR(INDEX(逆引き作成用!$C$2:$C$169,MATCH($B156&amp;"/"&amp;$C156,逆引き作成用!AW$2:AW$169,FALSE),1),"")</f>
        <v/>
      </c>
      <c r="AX156" s="17" t="str">
        <f>IFERROR(INDEX(逆引き作成用!$C$2:$C$169,MATCH($B156&amp;"/"&amp;$C156,逆引き作成用!AX$2:AX$169,FALSE),1),"")</f>
        <v/>
      </c>
      <c r="AY156" s="17" t="str">
        <f>IFERROR(INDEX(逆引き作成用!$C$2:$C$169,MATCH($B156&amp;"/"&amp;$C156,逆引き作成用!AY$2:AY$169,FALSE),1),"")</f>
        <v/>
      </c>
      <c r="AZ156" s="17" t="str">
        <f>IFERROR(INDEX(逆引き作成用!$C$2:$C$169,MATCH($B156&amp;"/"&amp;$C156,逆引き作成用!AZ$2:AZ$169,FALSE),1),"")</f>
        <v/>
      </c>
      <c r="BA156" s="17" t="str">
        <f>IFERROR(INDEX(逆引き作成用!$C$2:$C$169,MATCH($B156&amp;"/"&amp;$C156,逆引き作成用!BA$2:BA$169,FALSE),1),"")</f>
        <v/>
      </c>
    </row>
    <row r="157" spans="1:53">
      <c r="A157" s="17" t="str">
        <f>IFERROR(INDEX(役職一覧!$B$2:$B$31,MATCH(B157,役職一覧!$C$2:$C$31,FALSE),1),"")</f>
        <v/>
      </c>
      <c r="B157" s="17" t="str">
        <f>IFERROR(IF(C157=1,INDEX(役職一覧!$C$2:$C$31,MATCH(逆引き!B156,役職一覧!$C$2:$C$31,FALSE)+1,1)&amp;"",B156),"")</f>
        <v/>
      </c>
      <c r="C157" s="17" t="str">
        <f>IFERROR(IF(VLOOKUP(B156,役職一覧!$C$2:$E$31,3,FALSE)=C156,1,C156+1),"")</f>
        <v/>
      </c>
      <c r="D157" s="17" t="str">
        <f>IFERROR(INDEX(逆引き作成用!$C$2:$C$169,MATCH($B157&amp;"/"&amp;$C157,逆引き作成用!D$2:D$169,FALSE),1),"")</f>
        <v/>
      </c>
      <c r="E157" s="17" t="str">
        <f>IFERROR(INDEX(逆引き作成用!$C$2:$C$169,MATCH($B157&amp;"/"&amp;$C157,逆引き作成用!E$2:E$169,FALSE),1),"")</f>
        <v/>
      </c>
      <c r="F157" s="17" t="str">
        <f>IFERROR(INDEX(逆引き作成用!$C$2:$C$169,MATCH($B157&amp;"/"&amp;$C157,逆引き作成用!F$2:F$169,FALSE),1),"")</f>
        <v/>
      </c>
      <c r="G157" s="17" t="str">
        <f>IFERROR(INDEX(逆引き作成用!$C$2:$C$169,MATCH($B157&amp;"/"&amp;$C157,逆引き作成用!G$2:G$169,FALSE),1),"")</f>
        <v/>
      </c>
      <c r="H157" s="17" t="str">
        <f>IFERROR(INDEX(逆引き作成用!$C$2:$C$169,MATCH($B157&amp;"/"&amp;$C157,逆引き作成用!H$2:H$169,FALSE),1),"")</f>
        <v/>
      </c>
      <c r="I157" s="17" t="str">
        <f>IFERROR(INDEX(逆引き作成用!$C$2:$C$169,MATCH($B157&amp;"/"&amp;$C157,逆引き作成用!I$2:I$169,FALSE),1),"")</f>
        <v/>
      </c>
      <c r="J157" s="17" t="str">
        <f>IFERROR(INDEX(逆引き作成用!$C$2:$C$169,MATCH($B157&amp;"/"&amp;$C157,逆引き作成用!J$2:J$169,FALSE),1),"")</f>
        <v/>
      </c>
      <c r="K157" s="17" t="str">
        <f>IFERROR(INDEX(逆引き作成用!$C$2:$C$169,MATCH($B157&amp;"/"&amp;$C157,逆引き作成用!K$2:K$169,FALSE),1),"")</f>
        <v/>
      </c>
      <c r="L157" s="17" t="str">
        <f>IFERROR(INDEX(逆引き作成用!$C$2:$C$169,MATCH($B157&amp;"/"&amp;$C157,逆引き作成用!L$2:L$169,FALSE),1),"")</f>
        <v/>
      </c>
      <c r="M157" s="17" t="str">
        <f>IFERROR(INDEX(逆引き作成用!$C$2:$C$169,MATCH($B157&amp;"/"&amp;$C157,逆引き作成用!M$2:M$169,FALSE),1),"")</f>
        <v/>
      </c>
      <c r="N157" s="17" t="str">
        <f>IFERROR(INDEX(逆引き作成用!$C$2:$C$169,MATCH($B157&amp;"/"&amp;$C157,逆引き作成用!N$2:N$169,FALSE),1),"")</f>
        <v/>
      </c>
      <c r="O157" s="17" t="str">
        <f>IFERROR(INDEX(逆引き作成用!$C$2:$C$169,MATCH($B157&amp;"/"&amp;$C157,逆引き作成用!O$2:O$169,FALSE),1),"")</f>
        <v/>
      </c>
      <c r="P157" s="17" t="str">
        <f>IFERROR(INDEX(逆引き作成用!$C$2:$C$169,MATCH($B157&amp;"/"&amp;$C157,逆引き作成用!P$2:P$169,FALSE),1),"")</f>
        <v/>
      </c>
      <c r="Q157" s="17" t="str">
        <f>IFERROR(INDEX(逆引き作成用!$C$2:$C$169,MATCH($B157&amp;"/"&amp;$C157,逆引き作成用!Q$2:Q$169,FALSE),1),"")</f>
        <v/>
      </c>
      <c r="R157" s="17" t="str">
        <f>IFERROR(INDEX(逆引き作成用!$C$2:$C$169,MATCH($B157&amp;"/"&amp;$C157,逆引き作成用!R$2:R$169,FALSE),1),"")</f>
        <v/>
      </c>
      <c r="S157" s="17" t="str">
        <f>IFERROR(INDEX(逆引き作成用!$C$2:$C$169,MATCH($B157&amp;"/"&amp;$C157,逆引き作成用!S$2:S$169,FALSE),1),"")</f>
        <v/>
      </c>
      <c r="T157" s="17" t="str">
        <f>IFERROR(INDEX(逆引き作成用!$C$2:$C$169,MATCH($B157&amp;"/"&amp;$C157,逆引き作成用!T$2:T$169,FALSE),1),"")</f>
        <v/>
      </c>
      <c r="U157" s="17" t="str">
        <f>IFERROR(INDEX(逆引き作成用!$C$2:$C$169,MATCH($B157&amp;"/"&amp;$C157,逆引き作成用!U$2:U$169,FALSE),1),"")</f>
        <v/>
      </c>
      <c r="V157" s="17" t="str">
        <f>IFERROR(INDEX(逆引き作成用!$C$2:$C$169,MATCH($B157&amp;"/"&amp;$C157,逆引き作成用!V$2:V$169,FALSE),1),"")</f>
        <v/>
      </c>
      <c r="W157" s="17" t="str">
        <f>IFERROR(INDEX(逆引き作成用!$C$2:$C$169,MATCH($B157&amp;"/"&amp;$C157,逆引き作成用!W$2:W$169,FALSE),1),"")</f>
        <v/>
      </c>
      <c r="X157" s="17" t="str">
        <f>IFERROR(INDEX(逆引き作成用!$C$2:$C$169,MATCH($B157&amp;"/"&amp;$C157,逆引き作成用!X$2:X$169,FALSE),1),"")</f>
        <v/>
      </c>
      <c r="Y157" s="17" t="str">
        <f>IFERROR(INDEX(逆引き作成用!$C$2:$C$169,MATCH($B157&amp;"/"&amp;$C157,逆引き作成用!Y$2:Y$169,FALSE),1),"")</f>
        <v/>
      </c>
      <c r="Z157" s="17" t="str">
        <f>IFERROR(INDEX(逆引き作成用!$C$2:$C$169,MATCH($B157&amp;"/"&amp;$C157,逆引き作成用!Z$2:Z$169,FALSE),1),"")</f>
        <v/>
      </c>
      <c r="AA157" s="17" t="str">
        <f>IFERROR(INDEX(逆引き作成用!$C$2:$C$169,MATCH($B157&amp;"/"&amp;$C157,逆引き作成用!AA$2:AA$169,FALSE),1),"")</f>
        <v/>
      </c>
      <c r="AB157" s="17" t="str">
        <f>IFERROR(INDEX(逆引き作成用!$C$2:$C$169,MATCH($B157&amp;"/"&amp;$C157,逆引き作成用!AB$2:AB$169,FALSE),1),"")</f>
        <v/>
      </c>
      <c r="AC157" s="17" t="str">
        <f>IFERROR(INDEX(逆引き作成用!$C$2:$C$169,MATCH($B157&amp;"/"&amp;$C157,逆引き作成用!AC$2:AC$169,FALSE),1),"")</f>
        <v/>
      </c>
      <c r="AD157" s="17" t="str">
        <f>IFERROR(INDEX(逆引き作成用!$C$2:$C$169,MATCH($B157&amp;"/"&amp;$C157,逆引き作成用!AD$2:AD$169,FALSE),1),"")</f>
        <v/>
      </c>
      <c r="AE157" s="17" t="str">
        <f>IFERROR(INDEX(逆引き作成用!$C$2:$C$169,MATCH($B157&amp;"/"&amp;$C157,逆引き作成用!AE$2:AE$169,FALSE),1),"")</f>
        <v/>
      </c>
      <c r="AF157" s="17" t="str">
        <f>IFERROR(INDEX(逆引き作成用!$C$2:$C$169,MATCH($B157&amp;"/"&amp;$C157,逆引き作成用!AF$2:AF$169,FALSE),1),"")</f>
        <v/>
      </c>
      <c r="AG157" s="17" t="str">
        <f>IFERROR(INDEX(逆引き作成用!$C$2:$C$169,MATCH($B157&amp;"/"&amp;$C157,逆引き作成用!AG$2:AG$169,FALSE),1),"")</f>
        <v/>
      </c>
      <c r="AH157" s="17" t="str">
        <f>IFERROR(INDEX(逆引き作成用!$C$2:$C$169,MATCH($B157&amp;"/"&amp;$C157,逆引き作成用!AH$2:AH$169,FALSE),1),"")</f>
        <v/>
      </c>
      <c r="AI157" s="17" t="str">
        <f>IFERROR(INDEX(逆引き作成用!$C$2:$C$169,MATCH($B157&amp;"/"&amp;$C157,逆引き作成用!AI$2:AI$169,FALSE),1),"")</f>
        <v/>
      </c>
      <c r="AJ157" s="17" t="str">
        <f>IFERROR(INDEX(逆引き作成用!$C$2:$C$169,MATCH($B157&amp;"/"&amp;$C157,逆引き作成用!AJ$2:AJ$169,FALSE),1),"")</f>
        <v/>
      </c>
      <c r="AK157" s="17" t="str">
        <f>IFERROR(INDEX(逆引き作成用!$C$2:$C$169,MATCH($B157&amp;"/"&amp;$C157,逆引き作成用!AK$2:AK$169,FALSE),1),"")</f>
        <v/>
      </c>
      <c r="AL157" s="17" t="str">
        <f>IFERROR(INDEX(逆引き作成用!$C$2:$C$169,MATCH($B157&amp;"/"&amp;$C157,逆引き作成用!AL$2:AL$169,FALSE),1),"")</f>
        <v/>
      </c>
      <c r="AM157" s="17" t="str">
        <f>IFERROR(INDEX(逆引き作成用!$C$2:$C$169,MATCH($B157&amp;"/"&amp;$C157,逆引き作成用!AM$2:AM$169,FALSE),1),"")</f>
        <v/>
      </c>
      <c r="AN157" s="17" t="str">
        <f>IFERROR(INDEX(逆引き作成用!$C$2:$C$169,MATCH($B157&amp;"/"&amp;$C157,逆引き作成用!AN$2:AN$169,FALSE),1),"")</f>
        <v/>
      </c>
      <c r="AO157" s="17" t="str">
        <f>IFERROR(INDEX(逆引き作成用!$C$2:$C$169,MATCH($B157&amp;"/"&amp;$C157,逆引き作成用!AO$2:AO$169,FALSE),1),"")</f>
        <v/>
      </c>
      <c r="AP157" s="17" t="str">
        <f>IFERROR(INDEX(逆引き作成用!$C$2:$C$169,MATCH($B157&amp;"/"&amp;$C157,逆引き作成用!AP$2:AP$169,FALSE),1),"")</f>
        <v/>
      </c>
      <c r="AQ157" s="17" t="str">
        <f>IFERROR(INDEX(逆引き作成用!$C$2:$C$169,MATCH($B157&amp;"/"&amp;$C157,逆引き作成用!AQ$2:AQ$169,FALSE),1),"")</f>
        <v/>
      </c>
      <c r="AR157" s="17" t="str">
        <f>IFERROR(INDEX(逆引き作成用!$C$2:$C$169,MATCH($B157&amp;"/"&amp;$C157,逆引き作成用!AR$2:AR$169,FALSE),1),"")</f>
        <v/>
      </c>
      <c r="AS157" s="17" t="str">
        <f>IFERROR(INDEX(逆引き作成用!$C$2:$C$169,MATCH($B157&amp;"/"&amp;$C157,逆引き作成用!AS$2:AS$169,FALSE),1),"")</f>
        <v/>
      </c>
      <c r="AT157" s="17" t="str">
        <f>IFERROR(INDEX(逆引き作成用!$C$2:$C$169,MATCH($B157&amp;"/"&amp;$C157,逆引き作成用!AT$2:AT$169,FALSE),1),"")</f>
        <v/>
      </c>
      <c r="AU157" s="17" t="str">
        <f>IFERROR(INDEX(逆引き作成用!$C$2:$C$169,MATCH($B157&amp;"/"&amp;$C157,逆引き作成用!AU$2:AU$169,FALSE),1),"")</f>
        <v/>
      </c>
      <c r="AV157" s="17" t="str">
        <f>IFERROR(INDEX(逆引き作成用!$C$2:$C$169,MATCH($B157&amp;"/"&amp;$C157,逆引き作成用!AV$2:AV$169,FALSE),1),"")</f>
        <v/>
      </c>
      <c r="AW157" s="17" t="str">
        <f>IFERROR(INDEX(逆引き作成用!$C$2:$C$169,MATCH($B157&amp;"/"&amp;$C157,逆引き作成用!AW$2:AW$169,FALSE),1),"")</f>
        <v/>
      </c>
      <c r="AX157" s="17" t="str">
        <f>IFERROR(INDEX(逆引き作成用!$C$2:$C$169,MATCH($B157&amp;"/"&amp;$C157,逆引き作成用!AX$2:AX$169,FALSE),1),"")</f>
        <v/>
      </c>
      <c r="AY157" s="17" t="str">
        <f>IFERROR(INDEX(逆引き作成用!$C$2:$C$169,MATCH($B157&amp;"/"&amp;$C157,逆引き作成用!AY$2:AY$169,FALSE),1),"")</f>
        <v/>
      </c>
      <c r="AZ157" s="17" t="str">
        <f>IFERROR(INDEX(逆引き作成用!$C$2:$C$169,MATCH($B157&amp;"/"&amp;$C157,逆引き作成用!AZ$2:AZ$169,FALSE),1),"")</f>
        <v/>
      </c>
      <c r="BA157" s="17" t="str">
        <f>IFERROR(INDEX(逆引き作成用!$C$2:$C$169,MATCH($B157&amp;"/"&amp;$C157,逆引き作成用!BA$2:BA$169,FALSE),1),"")</f>
        <v/>
      </c>
    </row>
    <row r="158" spans="1:53">
      <c r="A158" s="17" t="str">
        <f>IFERROR(INDEX(役職一覧!$B$2:$B$31,MATCH(B158,役職一覧!$C$2:$C$31,FALSE),1),"")</f>
        <v/>
      </c>
      <c r="B158" s="17" t="str">
        <f>IFERROR(IF(C158=1,INDEX(役職一覧!$C$2:$C$31,MATCH(逆引き!B157,役職一覧!$C$2:$C$31,FALSE)+1,1)&amp;"",B157),"")</f>
        <v/>
      </c>
      <c r="C158" s="17" t="str">
        <f>IFERROR(IF(VLOOKUP(B157,役職一覧!$C$2:$E$31,3,FALSE)=C157,1,C157+1),"")</f>
        <v/>
      </c>
      <c r="D158" s="17" t="str">
        <f>IFERROR(INDEX(逆引き作成用!$C$2:$C$169,MATCH($B158&amp;"/"&amp;$C158,逆引き作成用!D$2:D$169,FALSE),1),"")</f>
        <v/>
      </c>
      <c r="E158" s="17" t="str">
        <f>IFERROR(INDEX(逆引き作成用!$C$2:$C$169,MATCH($B158&amp;"/"&amp;$C158,逆引き作成用!E$2:E$169,FALSE),1),"")</f>
        <v/>
      </c>
      <c r="F158" s="17" t="str">
        <f>IFERROR(INDEX(逆引き作成用!$C$2:$C$169,MATCH($B158&amp;"/"&amp;$C158,逆引き作成用!F$2:F$169,FALSE),1),"")</f>
        <v/>
      </c>
      <c r="G158" s="17" t="str">
        <f>IFERROR(INDEX(逆引き作成用!$C$2:$C$169,MATCH($B158&amp;"/"&amp;$C158,逆引き作成用!G$2:G$169,FALSE),1),"")</f>
        <v/>
      </c>
      <c r="H158" s="17" t="str">
        <f>IFERROR(INDEX(逆引き作成用!$C$2:$C$169,MATCH($B158&amp;"/"&amp;$C158,逆引き作成用!H$2:H$169,FALSE),1),"")</f>
        <v/>
      </c>
      <c r="I158" s="17" t="str">
        <f>IFERROR(INDEX(逆引き作成用!$C$2:$C$169,MATCH($B158&amp;"/"&amp;$C158,逆引き作成用!I$2:I$169,FALSE),1),"")</f>
        <v/>
      </c>
      <c r="J158" s="17" t="str">
        <f>IFERROR(INDEX(逆引き作成用!$C$2:$C$169,MATCH($B158&amp;"/"&amp;$C158,逆引き作成用!J$2:J$169,FALSE),1),"")</f>
        <v/>
      </c>
      <c r="K158" s="17" t="str">
        <f>IFERROR(INDEX(逆引き作成用!$C$2:$C$169,MATCH($B158&amp;"/"&amp;$C158,逆引き作成用!K$2:K$169,FALSE),1),"")</f>
        <v/>
      </c>
      <c r="L158" s="17" t="str">
        <f>IFERROR(INDEX(逆引き作成用!$C$2:$C$169,MATCH($B158&amp;"/"&amp;$C158,逆引き作成用!L$2:L$169,FALSE),1),"")</f>
        <v/>
      </c>
      <c r="M158" s="17" t="str">
        <f>IFERROR(INDEX(逆引き作成用!$C$2:$C$169,MATCH($B158&amp;"/"&amp;$C158,逆引き作成用!M$2:M$169,FALSE),1),"")</f>
        <v/>
      </c>
      <c r="N158" s="17" t="str">
        <f>IFERROR(INDEX(逆引き作成用!$C$2:$C$169,MATCH($B158&amp;"/"&amp;$C158,逆引き作成用!N$2:N$169,FALSE),1),"")</f>
        <v/>
      </c>
      <c r="O158" s="17" t="str">
        <f>IFERROR(INDEX(逆引き作成用!$C$2:$C$169,MATCH($B158&amp;"/"&amp;$C158,逆引き作成用!O$2:O$169,FALSE),1),"")</f>
        <v/>
      </c>
      <c r="P158" s="17" t="str">
        <f>IFERROR(INDEX(逆引き作成用!$C$2:$C$169,MATCH($B158&amp;"/"&amp;$C158,逆引き作成用!P$2:P$169,FALSE),1),"")</f>
        <v/>
      </c>
      <c r="Q158" s="17" t="str">
        <f>IFERROR(INDEX(逆引き作成用!$C$2:$C$169,MATCH($B158&amp;"/"&amp;$C158,逆引き作成用!Q$2:Q$169,FALSE),1),"")</f>
        <v/>
      </c>
      <c r="R158" s="17" t="str">
        <f>IFERROR(INDEX(逆引き作成用!$C$2:$C$169,MATCH($B158&amp;"/"&amp;$C158,逆引き作成用!R$2:R$169,FALSE),1),"")</f>
        <v/>
      </c>
      <c r="S158" s="17" t="str">
        <f>IFERROR(INDEX(逆引き作成用!$C$2:$C$169,MATCH($B158&amp;"/"&amp;$C158,逆引き作成用!S$2:S$169,FALSE),1),"")</f>
        <v/>
      </c>
      <c r="T158" s="17" t="str">
        <f>IFERROR(INDEX(逆引き作成用!$C$2:$C$169,MATCH($B158&amp;"/"&amp;$C158,逆引き作成用!T$2:T$169,FALSE),1),"")</f>
        <v/>
      </c>
      <c r="U158" s="17" t="str">
        <f>IFERROR(INDEX(逆引き作成用!$C$2:$C$169,MATCH($B158&amp;"/"&amp;$C158,逆引き作成用!U$2:U$169,FALSE),1),"")</f>
        <v/>
      </c>
      <c r="V158" s="17" t="str">
        <f>IFERROR(INDEX(逆引き作成用!$C$2:$C$169,MATCH($B158&amp;"/"&amp;$C158,逆引き作成用!V$2:V$169,FALSE),1),"")</f>
        <v/>
      </c>
      <c r="W158" s="17" t="str">
        <f>IFERROR(INDEX(逆引き作成用!$C$2:$C$169,MATCH($B158&amp;"/"&amp;$C158,逆引き作成用!W$2:W$169,FALSE),1),"")</f>
        <v/>
      </c>
      <c r="X158" s="17" t="str">
        <f>IFERROR(INDEX(逆引き作成用!$C$2:$C$169,MATCH($B158&amp;"/"&amp;$C158,逆引き作成用!X$2:X$169,FALSE),1),"")</f>
        <v/>
      </c>
      <c r="Y158" s="17" t="str">
        <f>IFERROR(INDEX(逆引き作成用!$C$2:$C$169,MATCH($B158&amp;"/"&amp;$C158,逆引き作成用!Y$2:Y$169,FALSE),1),"")</f>
        <v/>
      </c>
      <c r="Z158" s="17" t="str">
        <f>IFERROR(INDEX(逆引き作成用!$C$2:$C$169,MATCH($B158&amp;"/"&amp;$C158,逆引き作成用!Z$2:Z$169,FALSE),1),"")</f>
        <v/>
      </c>
      <c r="AA158" s="17" t="str">
        <f>IFERROR(INDEX(逆引き作成用!$C$2:$C$169,MATCH($B158&amp;"/"&amp;$C158,逆引き作成用!AA$2:AA$169,FALSE),1),"")</f>
        <v/>
      </c>
      <c r="AB158" s="17" t="str">
        <f>IFERROR(INDEX(逆引き作成用!$C$2:$C$169,MATCH($B158&amp;"/"&amp;$C158,逆引き作成用!AB$2:AB$169,FALSE),1),"")</f>
        <v/>
      </c>
      <c r="AC158" s="17" t="str">
        <f>IFERROR(INDEX(逆引き作成用!$C$2:$C$169,MATCH($B158&amp;"/"&amp;$C158,逆引き作成用!AC$2:AC$169,FALSE),1),"")</f>
        <v/>
      </c>
      <c r="AD158" s="17" t="str">
        <f>IFERROR(INDEX(逆引き作成用!$C$2:$C$169,MATCH($B158&amp;"/"&amp;$C158,逆引き作成用!AD$2:AD$169,FALSE),1),"")</f>
        <v/>
      </c>
      <c r="AE158" s="17" t="str">
        <f>IFERROR(INDEX(逆引き作成用!$C$2:$C$169,MATCH($B158&amp;"/"&amp;$C158,逆引き作成用!AE$2:AE$169,FALSE),1),"")</f>
        <v/>
      </c>
      <c r="AF158" s="17" t="str">
        <f>IFERROR(INDEX(逆引き作成用!$C$2:$C$169,MATCH($B158&amp;"/"&amp;$C158,逆引き作成用!AF$2:AF$169,FALSE),1),"")</f>
        <v/>
      </c>
      <c r="AG158" s="17" t="str">
        <f>IFERROR(INDEX(逆引き作成用!$C$2:$C$169,MATCH($B158&amp;"/"&amp;$C158,逆引き作成用!AG$2:AG$169,FALSE),1),"")</f>
        <v/>
      </c>
      <c r="AH158" s="17" t="str">
        <f>IFERROR(INDEX(逆引き作成用!$C$2:$C$169,MATCH($B158&amp;"/"&amp;$C158,逆引き作成用!AH$2:AH$169,FALSE),1),"")</f>
        <v/>
      </c>
      <c r="AI158" s="17" t="str">
        <f>IFERROR(INDEX(逆引き作成用!$C$2:$C$169,MATCH($B158&amp;"/"&amp;$C158,逆引き作成用!AI$2:AI$169,FALSE),1),"")</f>
        <v/>
      </c>
      <c r="AJ158" s="17" t="str">
        <f>IFERROR(INDEX(逆引き作成用!$C$2:$C$169,MATCH($B158&amp;"/"&amp;$C158,逆引き作成用!AJ$2:AJ$169,FALSE),1),"")</f>
        <v/>
      </c>
      <c r="AK158" s="17" t="str">
        <f>IFERROR(INDEX(逆引き作成用!$C$2:$C$169,MATCH($B158&amp;"/"&amp;$C158,逆引き作成用!AK$2:AK$169,FALSE),1),"")</f>
        <v/>
      </c>
      <c r="AL158" s="17" t="str">
        <f>IFERROR(INDEX(逆引き作成用!$C$2:$C$169,MATCH($B158&amp;"/"&amp;$C158,逆引き作成用!AL$2:AL$169,FALSE),1),"")</f>
        <v/>
      </c>
      <c r="AM158" s="17" t="str">
        <f>IFERROR(INDEX(逆引き作成用!$C$2:$C$169,MATCH($B158&amp;"/"&amp;$C158,逆引き作成用!AM$2:AM$169,FALSE),1),"")</f>
        <v/>
      </c>
      <c r="AN158" s="17" t="str">
        <f>IFERROR(INDEX(逆引き作成用!$C$2:$C$169,MATCH($B158&amp;"/"&amp;$C158,逆引き作成用!AN$2:AN$169,FALSE),1),"")</f>
        <v/>
      </c>
      <c r="AO158" s="17" t="str">
        <f>IFERROR(INDEX(逆引き作成用!$C$2:$C$169,MATCH($B158&amp;"/"&amp;$C158,逆引き作成用!AO$2:AO$169,FALSE),1),"")</f>
        <v/>
      </c>
      <c r="AP158" s="17" t="str">
        <f>IFERROR(INDEX(逆引き作成用!$C$2:$C$169,MATCH($B158&amp;"/"&amp;$C158,逆引き作成用!AP$2:AP$169,FALSE),1),"")</f>
        <v/>
      </c>
      <c r="AQ158" s="17" t="str">
        <f>IFERROR(INDEX(逆引き作成用!$C$2:$C$169,MATCH($B158&amp;"/"&amp;$C158,逆引き作成用!AQ$2:AQ$169,FALSE),1),"")</f>
        <v/>
      </c>
      <c r="AR158" s="17" t="str">
        <f>IFERROR(INDEX(逆引き作成用!$C$2:$C$169,MATCH($B158&amp;"/"&amp;$C158,逆引き作成用!AR$2:AR$169,FALSE),1),"")</f>
        <v/>
      </c>
      <c r="AS158" s="17" t="str">
        <f>IFERROR(INDEX(逆引き作成用!$C$2:$C$169,MATCH($B158&amp;"/"&amp;$C158,逆引き作成用!AS$2:AS$169,FALSE),1),"")</f>
        <v/>
      </c>
      <c r="AT158" s="17" t="str">
        <f>IFERROR(INDEX(逆引き作成用!$C$2:$C$169,MATCH($B158&amp;"/"&amp;$C158,逆引き作成用!AT$2:AT$169,FALSE),1),"")</f>
        <v/>
      </c>
      <c r="AU158" s="17" t="str">
        <f>IFERROR(INDEX(逆引き作成用!$C$2:$C$169,MATCH($B158&amp;"/"&amp;$C158,逆引き作成用!AU$2:AU$169,FALSE),1),"")</f>
        <v/>
      </c>
      <c r="AV158" s="17" t="str">
        <f>IFERROR(INDEX(逆引き作成用!$C$2:$C$169,MATCH($B158&amp;"/"&amp;$C158,逆引き作成用!AV$2:AV$169,FALSE),1),"")</f>
        <v/>
      </c>
      <c r="AW158" s="17" t="str">
        <f>IFERROR(INDEX(逆引き作成用!$C$2:$C$169,MATCH($B158&amp;"/"&amp;$C158,逆引き作成用!AW$2:AW$169,FALSE),1),"")</f>
        <v/>
      </c>
      <c r="AX158" s="17" t="str">
        <f>IFERROR(INDEX(逆引き作成用!$C$2:$C$169,MATCH($B158&amp;"/"&amp;$C158,逆引き作成用!AX$2:AX$169,FALSE),1),"")</f>
        <v/>
      </c>
      <c r="AY158" s="17" t="str">
        <f>IFERROR(INDEX(逆引き作成用!$C$2:$C$169,MATCH($B158&amp;"/"&amp;$C158,逆引き作成用!AY$2:AY$169,FALSE),1),"")</f>
        <v/>
      </c>
      <c r="AZ158" s="17" t="str">
        <f>IFERROR(INDEX(逆引き作成用!$C$2:$C$169,MATCH($B158&amp;"/"&amp;$C158,逆引き作成用!AZ$2:AZ$169,FALSE),1),"")</f>
        <v/>
      </c>
      <c r="BA158" s="17" t="str">
        <f>IFERROR(INDEX(逆引き作成用!$C$2:$C$169,MATCH($B158&amp;"/"&amp;$C158,逆引き作成用!BA$2:BA$169,FALSE),1),"")</f>
        <v/>
      </c>
    </row>
    <row r="159" spans="1:53">
      <c r="A159" s="17" t="str">
        <f>IFERROR(INDEX(役職一覧!$B$2:$B$31,MATCH(B159,役職一覧!$C$2:$C$31,FALSE),1),"")</f>
        <v/>
      </c>
      <c r="B159" s="17" t="str">
        <f>IFERROR(IF(C159=1,INDEX(役職一覧!$C$2:$C$31,MATCH(逆引き!B158,役職一覧!$C$2:$C$31,FALSE)+1,1)&amp;"",B158),"")</f>
        <v/>
      </c>
      <c r="C159" s="17" t="str">
        <f>IFERROR(IF(VLOOKUP(B158,役職一覧!$C$2:$E$31,3,FALSE)=C158,1,C158+1),"")</f>
        <v/>
      </c>
      <c r="D159" s="17" t="str">
        <f>IFERROR(INDEX(逆引き作成用!$C$2:$C$169,MATCH($B159&amp;"/"&amp;$C159,逆引き作成用!D$2:D$169,FALSE),1),"")</f>
        <v/>
      </c>
      <c r="E159" s="17" t="str">
        <f>IFERROR(INDEX(逆引き作成用!$C$2:$C$169,MATCH($B159&amp;"/"&amp;$C159,逆引き作成用!E$2:E$169,FALSE),1),"")</f>
        <v/>
      </c>
      <c r="F159" s="17" t="str">
        <f>IFERROR(INDEX(逆引き作成用!$C$2:$C$169,MATCH($B159&amp;"/"&amp;$C159,逆引き作成用!F$2:F$169,FALSE),1),"")</f>
        <v/>
      </c>
      <c r="G159" s="17" t="str">
        <f>IFERROR(INDEX(逆引き作成用!$C$2:$C$169,MATCH($B159&amp;"/"&amp;$C159,逆引き作成用!G$2:G$169,FALSE),1),"")</f>
        <v/>
      </c>
      <c r="H159" s="17" t="str">
        <f>IFERROR(INDEX(逆引き作成用!$C$2:$C$169,MATCH($B159&amp;"/"&amp;$C159,逆引き作成用!H$2:H$169,FALSE),1),"")</f>
        <v/>
      </c>
      <c r="I159" s="17" t="str">
        <f>IFERROR(INDEX(逆引き作成用!$C$2:$C$169,MATCH($B159&amp;"/"&amp;$C159,逆引き作成用!I$2:I$169,FALSE),1),"")</f>
        <v/>
      </c>
      <c r="J159" s="17" t="str">
        <f>IFERROR(INDEX(逆引き作成用!$C$2:$C$169,MATCH($B159&amp;"/"&amp;$C159,逆引き作成用!J$2:J$169,FALSE),1),"")</f>
        <v/>
      </c>
      <c r="K159" s="17" t="str">
        <f>IFERROR(INDEX(逆引き作成用!$C$2:$C$169,MATCH($B159&amp;"/"&amp;$C159,逆引き作成用!K$2:K$169,FALSE),1),"")</f>
        <v/>
      </c>
      <c r="L159" s="17" t="str">
        <f>IFERROR(INDEX(逆引き作成用!$C$2:$C$169,MATCH($B159&amp;"/"&amp;$C159,逆引き作成用!L$2:L$169,FALSE),1),"")</f>
        <v/>
      </c>
      <c r="M159" s="17" t="str">
        <f>IFERROR(INDEX(逆引き作成用!$C$2:$C$169,MATCH($B159&amp;"/"&amp;$C159,逆引き作成用!M$2:M$169,FALSE),1),"")</f>
        <v/>
      </c>
      <c r="N159" s="17" t="str">
        <f>IFERROR(INDEX(逆引き作成用!$C$2:$C$169,MATCH($B159&amp;"/"&amp;$C159,逆引き作成用!N$2:N$169,FALSE),1),"")</f>
        <v/>
      </c>
      <c r="O159" s="17" t="str">
        <f>IFERROR(INDEX(逆引き作成用!$C$2:$C$169,MATCH($B159&amp;"/"&amp;$C159,逆引き作成用!O$2:O$169,FALSE),1),"")</f>
        <v/>
      </c>
      <c r="P159" s="17" t="str">
        <f>IFERROR(INDEX(逆引き作成用!$C$2:$C$169,MATCH($B159&amp;"/"&amp;$C159,逆引き作成用!P$2:P$169,FALSE),1),"")</f>
        <v/>
      </c>
      <c r="Q159" s="17" t="str">
        <f>IFERROR(INDEX(逆引き作成用!$C$2:$C$169,MATCH($B159&amp;"/"&amp;$C159,逆引き作成用!Q$2:Q$169,FALSE),1),"")</f>
        <v/>
      </c>
      <c r="R159" s="17" t="str">
        <f>IFERROR(INDEX(逆引き作成用!$C$2:$C$169,MATCH($B159&amp;"/"&amp;$C159,逆引き作成用!R$2:R$169,FALSE),1),"")</f>
        <v/>
      </c>
      <c r="S159" s="17" t="str">
        <f>IFERROR(INDEX(逆引き作成用!$C$2:$C$169,MATCH($B159&amp;"/"&amp;$C159,逆引き作成用!S$2:S$169,FALSE),1),"")</f>
        <v/>
      </c>
      <c r="T159" s="17" t="str">
        <f>IFERROR(INDEX(逆引き作成用!$C$2:$C$169,MATCH($B159&amp;"/"&amp;$C159,逆引き作成用!T$2:T$169,FALSE),1),"")</f>
        <v/>
      </c>
      <c r="U159" s="17" t="str">
        <f>IFERROR(INDEX(逆引き作成用!$C$2:$C$169,MATCH($B159&amp;"/"&amp;$C159,逆引き作成用!U$2:U$169,FALSE),1),"")</f>
        <v/>
      </c>
      <c r="V159" s="17" t="str">
        <f>IFERROR(INDEX(逆引き作成用!$C$2:$C$169,MATCH($B159&amp;"/"&amp;$C159,逆引き作成用!V$2:V$169,FALSE),1),"")</f>
        <v/>
      </c>
      <c r="W159" s="17" t="str">
        <f>IFERROR(INDEX(逆引き作成用!$C$2:$C$169,MATCH($B159&amp;"/"&amp;$C159,逆引き作成用!W$2:W$169,FALSE),1),"")</f>
        <v/>
      </c>
      <c r="X159" s="17" t="str">
        <f>IFERROR(INDEX(逆引き作成用!$C$2:$C$169,MATCH($B159&amp;"/"&amp;$C159,逆引き作成用!X$2:X$169,FALSE),1),"")</f>
        <v/>
      </c>
      <c r="Y159" s="17" t="str">
        <f>IFERROR(INDEX(逆引き作成用!$C$2:$C$169,MATCH($B159&amp;"/"&amp;$C159,逆引き作成用!Y$2:Y$169,FALSE),1),"")</f>
        <v/>
      </c>
      <c r="Z159" s="17" t="str">
        <f>IFERROR(INDEX(逆引き作成用!$C$2:$C$169,MATCH($B159&amp;"/"&amp;$C159,逆引き作成用!Z$2:Z$169,FALSE),1),"")</f>
        <v/>
      </c>
      <c r="AA159" s="17" t="str">
        <f>IFERROR(INDEX(逆引き作成用!$C$2:$C$169,MATCH($B159&amp;"/"&amp;$C159,逆引き作成用!AA$2:AA$169,FALSE),1),"")</f>
        <v/>
      </c>
      <c r="AB159" s="17" t="str">
        <f>IFERROR(INDEX(逆引き作成用!$C$2:$C$169,MATCH($B159&amp;"/"&amp;$C159,逆引き作成用!AB$2:AB$169,FALSE),1),"")</f>
        <v/>
      </c>
      <c r="AC159" s="17" t="str">
        <f>IFERROR(INDEX(逆引き作成用!$C$2:$C$169,MATCH($B159&amp;"/"&amp;$C159,逆引き作成用!AC$2:AC$169,FALSE),1),"")</f>
        <v/>
      </c>
      <c r="AD159" s="17" t="str">
        <f>IFERROR(INDEX(逆引き作成用!$C$2:$C$169,MATCH($B159&amp;"/"&amp;$C159,逆引き作成用!AD$2:AD$169,FALSE),1),"")</f>
        <v/>
      </c>
      <c r="AE159" s="17" t="str">
        <f>IFERROR(INDEX(逆引き作成用!$C$2:$C$169,MATCH($B159&amp;"/"&amp;$C159,逆引き作成用!AE$2:AE$169,FALSE),1),"")</f>
        <v/>
      </c>
      <c r="AF159" s="17" t="str">
        <f>IFERROR(INDEX(逆引き作成用!$C$2:$C$169,MATCH($B159&amp;"/"&amp;$C159,逆引き作成用!AF$2:AF$169,FALSE),1),"")</f>
        <v/>
      </c>
      <c r="AG159" s="17" t="str">
        <f>IFERROR(INDEX(逆引き作成用!$C$2:$C$169,MATCH($B159&amp;"/"&amp;$C159,逆引き作成用!AG$2:AG$169,FALSE),1),"")</f>
        <v/>
      </c>
      <c r="AH159" s="17" t="str">
        <f>IFERROR(INDEX(逆引き作成用!$C$2:$C$169,MATCH($B159&amp;"/"&amp;$C159,逆引き作成用!AH$2:AH$169,FALSE),1),"")</f>
        <v/>
      </c>
      <c r="AI159" s="17" t="str">
        <f>IFERROR(INDEX(逆引き作成用!$C$2:$C$169,MATCH($B159&amp;"/"&amp;$C159,逆引き作成用!AI$2:AI$169,FALSE),1),"")</f>
        <v/>
      </c>
      <c r="AJ159" s="17" t="str">
        <f>IFERROR(INDEX(逆引き作成用!$C$2:$C$169,MATCH($B159&amp;"/"&amp;$C159,逆引き作成用!AJ$2:AJ$169,FALSE),1),"")</f>
        <v/>
      </c>
      <c r="AK159" s="17" t="str">
        <f>IFERROR(INDEX(逆引き作成用!$C$2:$C$169,MATCH($B159&amp;"/"&amp;$C159,逆引き作成用!AK$2:AK$169,FALSE),1),"")</f>
        <v/>
      </c>
      <c r="AL159" s="17" t="str">
        <f>IFERROR(INDEX(逆引き作成用!$C$2:$C$169,MATCH($B159&amp;"/"&amp;$C159,逆引き作成用!AL$2:AL$169,FALSE),1),"")</f>
        <v/>
      </c>
      <c r="AM159" s="17" t="str">
        <f>IFERROR(INDEX(逆引き作成用!$C$2:$C$169,MATCH($B159&amp;"/"&amp;$C159,逆引き作成用!AM$2:AM$169,FALSE),1),"")</f>
        <v/>
      </c>
      <c r="AN159" s="17" t="str">
        <f>IFERROR(INDEX(逆引き作成用!$C$2:$C$169,MATCH($B159&amp;"/"&amp;$C159,逆引き作成用!AN$2:AN$169,FALSE),1),"")</f>
        <v/>
      </c>
      <c r="AO159" s="17" t="str">
        <f>IFERROR(INDEX(逆引き作成用!$C$2:$C$169,MATCH($B159&amp;"/"&amp;$C159,逆引き作成用!AO$2:AO$169,FALSE),1),"")</f>
        <v/>
      </c>
      <c r="AP159" s="17" t="str">
        <f>IFERROR(INDEX(逆引き作成用!$C$2:$C$169,MATCH($B159&amp;"/"&amp;$C159,逆引き作成用!AP$2:AP$169,FALSE),1),"")</f>
        <v/>
      </c>
      <c r="AQ159" s="17" t="str">
        <f>IFERROR(INDEX(逆引き作成用!$C$2:$C$169,MATCH($B159&amp;"/"&amp;$C159,逆引き作成用!AQ$2:AQ$169,FALSE),1),"")</f>
        <v/>
      </c>
      <c r="AR159" s="17" t="str">
        <f>IFERROR(INDEX(逆引き作成用!$C$2:$C$169,MATCH($B159&amp;"/"&amp;$C159,逆引き作成用!AR$2:AR$169,FALSE),1),"")</f>
        <v/>
      </c>
      <c r="AS159" s="17" t="str">
        <f>IFERROR(INDEX(逆引き作成用!$C$2:$C$169,MATCH($B159&amp;"/"&amp;$C159,逆引き作成用!AS$2:AS$169,FALSE),1),"")</f>
        <v/>
      </c>
      <c r="AT159" s="17" t="str">
        <f>IFERROR(INDEX(逆引き作成用!$C$2:$C$169,MATCH($B159&amp;"/"&amp;$C159,逆引き作成用!AT$2:AT$169,FALSE),1),"")</f>
        <v/>
      </c>
      <c r="AU159" s="17" t="str">
        <f>IFERROR(INDEX(逆引き作成用!$C$2:$C$169,MATCH($B159&amp;"/"&amp;$C159,逆引き作成用!AU$2:AU$169,FALSE),1),"")</f>
        <v/>
      </c>
      <c r="AV159" s="17" t="str">
        <f>IFERROR(INDEX(逆引き作成用!$C$2:$C$169,MATCH($B159&amp;"/"&amp;$C159,逆引き作成用!AV$2:AV$169,FALSE),1),"")</f>
        <v/>
      </c>
      <c r="AW159" s="17" t="str">
        <f>IFERROR(INDEX(逆引き作成用!$C$2:$C$169,MATCH($B159&amp;"/"&amp;$C159,逆引き作成用!AW$2:AW$169,FALSE),1),"")</f>
        <v/>
      </c>
      <c r="AX159" s="17" t="str">
        <f>IFERROR(INDEX(逆引き作成用!$C$2:$C$169,MATCH($B159&amp;"/"&amp;$C159,逆引き作成用!AX$2:AX$169,FALSE),1),"")</f>
        <v/>
      </c>
      <c r="AY159" s="17" t="str">
        <f>IFERROR(INDEX(逆引き作成用!$C$2:$C$169,MATCH($B159&amp;"/"&amp;$C159,逆引き作成用!AY$2:AY$169,FALSE),1),"")</f>
        <v/>
      </c>
      <c r="AZ159" s="17" t="str">
        <f>IFERROR(INDEX(逆引き作成用!$C$2:$C$169,MATCH($B159&amp;"/"&amp;$C159,逆引き作成用!AZ$2:AZ$169,FALSE),1),"")</f>
        <v/>
      </c>
      <c r="BA159" s="17" t="str">
        <f>IFERROR(INDEX(逆引き作成用!$C$2:$C$169,MATCH($B159&amp;"/"&amp;$C159,逆引き作成用!BA$2:BA$169,FALSE),1),"")</f>
        <v/>
      </c>
    </row>
    <row r="160" spans="1:53">
      <c r="A160" s="17" t="str">
        <f>IFERROR(INDEX(役職一覧!$B$2:$B$31,MATCH(B160,役職一覧!$C$2:$C$31,FALSE),1),"")</f>
        <v/>
      </c>
      <c r="B160" s="17" t="str">
        <f>IFERROR(IF(C160=1,INDEX(役職一覧!$C$2:$C$31,MATCH(逆引き!B159,役職一覧!$C$2:$C$31,FALSE)+1,1)&amp;"",B159),"")</f>
        <v/>
      </c>
      <c r="C160" s="17" t="str">
        <f>IFERROR(IF(VLOOKUP(B159,役職一覧!$C$2:$E$31,3,FALSE)=C159,1,C159+1),"")</f>
        <v/>
      </c>
      <c r="D160" s="17" t="str">
        <f>IFERROR(INDEX(逆引き作成用!$C$2:$C$169,MATCH($B160&amp;"/"&amp;$C160,逆引き作成用!D$2:D$169,FALSE),1),"")</f>
        <v/>
      </c>
      <c r="E160" s="17" t="str">
        <f>IFERROR(INDEX(逆引き作成用!$C$2:$C$169,MATCH($B160&amp;"/"&amp;$C160,逆引き作成用!E$2:E$169,FALSE),1),"")</f>
        <v/>
      </c>
      <c r="F160" s="17" t="str">
        <f>IFERROR(INDEX(逆引き作成用!$C$2:$C$169,MATCH($B160&amp;"/"&amp;$C160,逆引き作成用!F$2:F$169,FALSE),1),"")</f>
        <v/>
      </c>
      <c r="G160" s="17" t="str">
        <f>IFERROR(INDEX(逆引き作成用!$C$2:$C$169,MATCH($B160&amp;"/"&amp;$C160,逆引き作成用!G$2:G$169,FALSE),1),"")</f>
        <v/>
      </c>
      <c r="H160" s="17" t="str">
        <f>IFERROR(INDEX(逆引き作成用!$C$2:$C$169,MATCH($B160&amp;"/"&amp;$C160,逆引き作成用!H$2:H$169,FALSE),1),"")</f>
        <v/>
      </c>
      <c r="I160" s="17" t="str">
        <f>IFERROR(INDEX(逆引き作成用!$C$2:$C$169,MATCH($B160&amp;"/"&amp;$C160,逆引き作成用!I$2:I$169,FALSE),1),"")</f>
        <v/>
      </c>
      <c r="J160" s="17" t="str">
        <f>IFERROR(INDEX(逆引き作成用!$C$2:$C$169,MATCH($B160&amp;"/"&amp;$C160,逆引き作成用!J$2:J$169,FALSE),1),"")</f>
        <v/>
      </c>
      <c r="K160" s="17" t="str">
        <f>IFERROR(INDEX(逆引き作成用!$C$2:$C$169,MATCH($B160&amp;"/"&amp;$C160,逆引き作成用!K$2:K$169,FALSE),1),"")</f>
        <v/>
      </c>
      <c r="L160" s="17" t="str">
        <f>IFERROR(INDEX(逆引き作成用!$C$2:$C$169,MATCH($B160&amp;"/"&amp;$C160,逆引き作成用!L$2:L$169,FALSE),1),"")</f>
        <v/>
      </c>
      <c r="M160" s="17" t="str">
        <f>IFERROR(INDEX(逆引き作成用!$C$2:$C$169,MATCH($B160&amp;"/"&amp;$C160,逆引き作成用!M$2:M$169,FALSE),1),"")</f>
        <v/>
      </c>
      <c r="N160" s="17" t="str">
        <f>IFERROR(INDEX(逆引き作成用!$C$2:$C$169,MATCH($B160&amp;"/"&amp;$C160,逆引き作成用!N$2:N$169,FALSE),1),"")</f>
        <v/>
      </c>
      <c r="O160" s="17" t="str">
        <f>IFERROR(INDEX(逆引き作成用!$C$2:$C$169,MATCH($B160&amp;"/"&amp;$C160,逆引き作成用!O$2:O$169,FALSE),1),"")</f>
        <v/>
      </c>
      <c r="P160" s="17" t="str">
        <f>IFERROR(INDEX(逆引き作成用!$C$2:$C$169,MATCH($B160&amp;"/"&amp;$C160,逆引き作成用!P$2:P$169,FALSE),1),"")</f>
        <v/>
      </c>
      <c r="Q160" s="17" t="str">
        <f>IFERROR(INDEX(逆引き作成用!$C$2:$C$169,MATCH($B160&amp;"/"&amp;$C160,逆引き作成用!Q$2:Q$169,FALSE),1),"")</f>
        <v/>
      </c>
      <c r="R160" s="17" t="str">
        <f>IFERROR(INDEX(逆引き作成用!$C$2:$C$169,MATCH($B160&amp;"/"&amp;$C160,逆引き作成用!R$2:R$169,FALSE),1),"")</f>
        <v/>
      </c>
      <c r="S160" s="17" t="str">
        <f>IFERROR(INDEX(逆引き作成用!$C$2:$C$169,MATCH($B160&amp;"/"&amp;$C160,逆引き作成用!S$2:S$169,FALSE),1),"")</f>
        <v/>
      </c>
      <c r="T160" s="17" t="str">
        <f>IFERROR(INDEX(逆引き作成用!$C$2:$C$169,MATCH($B160&amp;"/"&amp;$C160,逆引き作成用!T$2:T$169,FALSE),1),"")</f>
        <v/>
      </c>
      <c r="U160" s="17" t="str">
        <f>IFERROR(INDEX(逆引き作成用!$C$2:$C$169,MATCH($B160&amp;"/"&amp;$C160,逆引き作成用!U$2:U$169,FALSE),1),"")</f>
        <v/>
      </c>
      <c r="V160" s="17" t="str">
        <f>IFERROR(INDEX(逆引き作成用!$C$2:$C$169,MATCH($B160&amp;"/"&amp;$C160,逆引き作成用!V$2:V$169,FALSE),1),"")</f>
        <v/>
      </c>
      <c r="W160" s="17" t="str">
        <f>IFERROR(INDEX(逆引き作成用!$C$2:$C$169,MATCH($B160&amp;"/"&amp;$C160,逆引き作成用!W$2:W$169,FALSE),1),"")</f>
        <v/>
      </c>
      <c r="X160" s="17" t="str">
        <f>IFERROR(INDEX(逆引き作成用!$C$2:$C$169,MATCH($B160&amp;"/"&amp;$C160,逆引き作成用!X$2:X$169,FALSE),1),"")</f>
        <v/>
      </c>
      <c r="Y160" s="17" t="str">
        <f>IFERROR(INDEX(逆引き作成用!$C$2:$C$169,MATCH($B160&amp;"/"&amp;$C160,逆引き作成用!Y$2:Y$169,FALSE),1),"")</f>
        <v/>
      </c>
      <c r="Z160" s="17" t="str">
        <f>IFERROR(INDEX(逆引き作成用!$C$2:$C$169,MATCH($B160&amp;"/"&amp;$C160,逆引き作成用!Z$2:Z$169,FALSE),1),"")</f>
        <v/>
      </c>
      <c r="AA160" s="17" t="str">
        <f>IFERROR(INDEX(逆引き作成用!$C$2:$C$169,MATCH($B160&amp;"/"&amp;$C160,逆引き作成用!AA$2:AA$169,FALSE),1),"")</f>
        <v/>
      </c>
      <c r="AB160" s="17" t="str">
        <f>IFERROR(INDEX(逆引き作成用!$C$2:$C$169,MATCH($B160&amp;"/"&amp;$C160,逆引き作成用!AB$2:AB$169,FALSE),1),"")</f>
        <v/>
      </c>
      <c r="AC160" s="17" t="str">
        <f>IFERROR(INDEX(逆引き作成用!$C$2:$C$169,MATCH($B160&amp;"/"&amp;$C160,逆引き作成用!AC$2:AC$169,FALSE),1),"")</f>
        <v/>
      </c>
      <c r="AD160" s="17" t="str">
        <f>IFERROR(INDEX(逆引き作成用!$C$2:$C$169,MATCH($B160&amp;"/"&amp;$C160,逆引き作成用!AD$2:AD$169,FALSE),1),"")</f>
        <v/>
      </c>
      <c r="AE160" s="17" t="str">
        <f>IFERROR(INDEX(逆引き作成用!$C$2:$C$169,MATCH($B160&amp;"/"&amp;$C160,逆引き作成用!AE$2:AE$169,FALSE),1),"")</f>
        <v/>
      </c>
      <c r="AF160" s="17" t="str">
        <f>IFERROR(INDEX(逆引き作成用!$C$2:$C$169,MATCH($B160&amp;"/"&amp;$C160,逆引き作成用!AF$2:AF$169,FALSE),1),"")</f>
        <v/>
      </c>
      <c r="AG160" s="17" t="str">
        <f>IFERROR(INDEX(逆引き作成用!$C$2:$C$169,MATCH($B160&amp;"/"&amp;$C160,逆引き作成用!AG$2:AG$169,FALSE),1),"")</f>
        <v/>
      </c>
      <c r="AH160" s="17" t="str">
        <f>IFERROR(INDEX(逆引き作成用!$C$2:$C$169,MATCH($B160&amp;"/"&amp;$C160,逆引き作成用!AH$2:AH$169,FALSE),1),"")</f>
        <v/>
      </c>
      <c r="AI160" s="17" t="str">
        <f>IFERROR(INDEX(逆引き作成用!$C$2:$C$169,MATCH($B160&amp;"/"&amp;$C160,逆引き作成用!AI$2:AI$169,FALSE),1),"")</f>
        <v/>
      </c>
      <c r="AJ160" s="17" t="str">
        <f>IFERROR(INDEX(逆引き作成用!$C$2:$C$169,MATCH($B160&amp;"/"&amp;$C160,逆引き作成用!AJ$2:AJ$169,FALSE),1),"")</f>
        <v/>
      </c>
      <c r="AK160" s="17" t="str">
        <f>IFERROR(INDEX(逆引き作成用!$C$2:$C$169,MATCH($B160&amp;"/"&amp;$C160,逆引き作成用!AK$2:AK$169,FALSE),1),"")</f>
        <v/>
      </c>
      <c r="AL160" s="17" t="str">
        <f>IFERROR(INDEX(逆引き作成用!$C$2:$C$169,MATCH($B160&amp;"/"&amp;$C160,逆引き作成用!AL$2:AL$169,FALSE),1),"")</f>
        <v/>
      </c>
      <c r="AM160" s="17" t="str">
        <f>IFERROR(INDEX(逆引き作成用!$C$2:$C$169,MATCH($B160&amp;"/"&amp;$C160,逆引き作成用!AM$2:AM$169,FALSE),1),"")</f>
        <v/>
      </c>
      <c r="AN160" s="17" t="str">
        <f>IFERROR(INDEX(逆引き作成用!$C$2:$C$169,MATCH($B160&amp;"/"&amp;$C160,逆引き作成用!AN$2:AN$169,FALSE),1),"")</f>
        <v/>
      </c>
      <c r="AO160" s="17" t="str">
        <f>IFERROR(INDEX(逆引き作成用!$C$2:$C$169,MATCH($B160&amp;"/"&amp;$C160,逆引き作成用!AO$2:AO$169,FALSE),1),"")</f>
        <v/>
      </c>
      <c r="AP160" s="17" t="str">
        <f>IFERROR(INDEX(逆引き作成用!$C$2:$C$169,MATCH($B160&amp;"/"&amp;$C160,逆引き作成用!AP$2:AP$169,FALSE),1),"")</f>
        <v/>
      </c>
      <c r="AQ160" s="17" t="str">
        <f>IFERROR(INDEX(逆引き作成用!$C$2:$C$169,MATCH($B160&amp;"/"&amp;$C160,逆引き作成用!AQ$2:AQ$169,FALSE),1),"")</f>
        <v/>
      </c>
      <c r="AR160" s="17" t="str">
        <f>IFERROR(INDEX(逆引き作成用!$C$2:$C$169,MATCH($B160&amp;"/"&amp;$C160,逆引き作成用!AR$2:AR$169,FALSE),1),"")</f>
        <v/>
      </c>
      <c r="AS160" s="17" t="str">
        <f>IFERROR(INDEX(逆引き作成用!$C$2:$C$169,MATCH($B160&amp;"/"&amp;$C160,逆引き作成用!AS$2:AS$169,FALSE),1),"")</f>
        <v/>
      </c>
      <c r="AT160" s="17" t="str">
        <f>IFERROR(INDEX(逆引き作成用!$C$2:$C$169,MATCH($B160&amp;"/"&amp;$C160,逆引き作成用!AT$2:AT$169,FALSE),1),"")</f>
        <v/>
      </c>
      <c r="AU160" s="17" t="str">
        <f>IFERROR(INDEX(逆引き作成用!$C$2:$C$169,MATCH($B160&amp;"/"&amp;$C160,逆引き作成用!AU$2:AU$169,FALSE),1),"")</f>
        <v/>
      </c>
      <c r="AV160" s="17" t="str">
        <f>IFERROR(INDEX(逆引き作成用!$C$2:$C$169,MATCH($B160&amp;"/"&amp;$C160,逆引き作成用!AV$2:AV$169,FALSE),1),"")</f>
        <v/>
      </c>
      <c r="AW160" s="17" t="str">
        <f>IFERROR(INDEX(逆引き作成用!$C$2:$C$169,MATCH($B160&amp;"/"&amp;$C160,逆引き作成用!AW$2:AW$169,FALSE),1),"")</f>
        <v/>
      </c>
      <c r="AX160" s="17" t="str">
        <f>IFERROR(INDEX(逆引き作成用!$C$2:$C$169,MATCH($B160&amp;"/"&amp;$C160,逆引き作成用!AX$2:AX$169,FALSE),1),"")</f>
        <v/>
      </c>
      <c r="AY160" s="17" t="str">
        <f>IFERROR(INDEX(逆引き作成用!$C$2:$C$169,MATCH($B160&amp;"/"&amp;$C160,逆引き作成用!AY$2:AY$169,FALSE),1),"")</f>
        <v/>
      </c>
      <c r="AZ160" s="17" t="str">
        <f>IFERROR(INDEX(逆引き作成用!$C$2:$C$169,MATCH($B160&amp;"/"&amp;$C160,逆引き作成用!AZ$2:AZ$169,FALSE),1),"")</f>
        <v/>
      </c>
      <c r="BA160" s="17" t="str">
        <f>IFERROR(INDEX(逆引き作成用!$C$2:$C$169,MATCH($B160&amp;"/"&amp;$C160,逆引き作成用!BA$2:BA$169,FALSE),1),"")</f>
        <v/>
      </c>
    </row>
    <row r="161" spans="1:53">
      <c r="A161" s="17" t="str">
        <f>IFERROR(INDEX(役職一覧!$B$2:$B$31,MATCH(B161,役職一覧!$C$2:$C$31,FALSE),1),"")</f>
        <v/>
      </c>
      <c r="B161" s="17" t="str">
        <f>IFERROR(IF(C161=1,INDEX(役職一覧!$C$2:$C$31,MATCH(逆引き!B160,役職一覧!$C$2:$C$31,FALSE)+1,1)&amp;"",B160),"")</f>
        <v/>
      </c>
      <c r="C161" s="17" t="str">
        <f>IFERROR(IF(VLOOKUP(B160,役職一覧!$C$2:$E$31,3,FALSE)=C160,1,C160+1),"")</f>
        <v/>
      </c>
      <c r="D161" s="17" t="str">
        <f>IFERROR(INDEX(逆引き作成用!$C$2:$C$169,MATCH($B161&amp;"/"&amp;$C161,逆引き作成用!D$2:D$169,FALSE),1),"")</f>
        <v/>
      </c>
      <c r="E161" s="17" t="str">
        <f>IFERROR(INDEX(逆引き作成用!$C$2:$C$169,MATCH($B161&amp;"/"&amp;$C161,逆引き作成用!E$2:E$169,FALSE),1),"")</f>
        <v/>
      </c>
      <c r="F161" s="17" t="str">
        <f>IFERROR(INDEX(逆引き作成用!$C$2:$C$169,MATCH($B161&amp;"/"&amp;$C161,逆引き作成用!F$2:F$169,FALSE),1),"")</f>
        <v/>
      </c>
      <c r="G161" s="17" t="str">
        <f>IFERROR(INDEX(逆引き作成用!$C$2:$C$169,MATCH($B161&amp;"/"&amp;$C161,逆引き作成用!G$2:G$169,FALSE),1),"")</f>
        <v/>
      </c>
      <c r="H161" s="17" t="str">
        <f>IFERROR(INDEX(逆引き作成用!$C$2:$C$169,MATCH($B161&amp;"/"&amp;$C161,逆引き作成用!H$2:H$169,FALSE),1),"")</f>
        <v/>
      </c>
      <c r="I161" s="17" t="str">
        <f>IFERROR(INDEX(逆引き作成用!$C$2:$C$169,MATCH($B161&amp;"/"&amp;$C161,逆引き作成用!I$2:I$169,FALSE),1),"")</f>
        <v/>
      </c>
      <c r="J161" s="17" t="str">
        <f>IFERROR(INDEX(逆引き作成用!$C$2:$C$169,MATCH($B161&amp;"/"&amp;$C161,逆引き作成用!J$2:J$169,FALSE),1),"")</f>
        <v/>
      </c>
      <c r="K161" s="17" t="str">
        <f>IFERROR(INDEX(逆引き作成用!$C$2:$C$169,MATCH($B161&amp;"/"&amp;$C161,逆引き作成用!K$2:K$169,FALSE),1),"")</f>
        <v/>
      </c>
      <c r="L161" s="17" t="str">
        <f>IFERROR(INDEX(逆引き作成用!$C$2:$C$169,MATCH($B161&amp;"/"&amp;$C161,逆引き作成用!L$2:L$169,FALSE),1),"")</f>
        <v/>
      </c>
      <c r="M161" s="17" t="str">
        <f>IFERROR(INDEX(逆引き作成用!$C$2:$C$169,MATCH($B161&amp;"/"&amp;$C161,逆引き作成用!M$2:M$169,FALSE),1),"")</f>
        <v/>
      </c>
      <c r="N161" s="17" t="str">
        <f>IFERROR(INDEX(逆引き作成用!$C$2:$C$169,MATCH($B161&amp;"/"&amp;$C161,逆引き作成用!N$2:N$169,FALSE),1),"")</f>
        <v/>
      </c>
      <c r="O161" s="17" t="str">
        <f>IFERROR(INDEX(逆引き作成用!$C$2:$C$169,MATCH($B161&amp;"/"&amp;$C161,逆引き作成用!O$2:O$169,FALSE),1),"")</f>
        <v/>
      </c>
      <c r="P161" s="17" t="str">
        <f>IFERROR(INDEX(逆引き作成用!$C$2:$C$169,MATCH($B161&amp;"/"&amp;$C161,逆引き作成用!P$2:P$169,FALSE),1),"")</f>
        <v/>
      </c>
      <c r="Q161" s="17" t="str">
        <f>IFERROR(INDEX(逆引き作成用!$C$2:$C$169,MATCH($B161&amp;"/"&amp;$C161,逆引き作成用!Q$2:Q$169,FALSE),1),"")</f>
        <v/>
      </c>
      <c r="R161" s="17" t="str">
        <f>IFERROR(INDEX(逆引き作成用!$C$2:$C$169,MATCH($B161&amp;"/"&amp;$C161,逆引き作成用!R$2:R$169,FALSE),1),"")</f>
        <v/>
      </c>
      <c r="S161" s="17" t="str">
        <f>IFERROR(INDEX(逆引き作成用!$C$2:$C$169,MATCH($B161&amp;"/"&amp;$C161,逆引き作成用!S$2:S$169,FALSE),1),"")</f>
        <v/>
      </c>
      <c r="T161" s="17" t="str">
        <f>IFERROR(INDEX(逆引き作成用!$C$2:$C$169,MATCH($B161&amp;"/"&amp;$C161,逆引き作成用!T$2:T$169,FALSE),1),"")</f>
        <v/>
      </c>
      <c r="U161" s="17" t="str">
        <f>IFERROR(INDEX(逆引き作成用!$C$2:$C$169,MATCH($B161&amp;"/"&amp;$C161,逆引き作成用!U$2:U$169,FALSE),1),"")</f>
        <v/>
      </c>
      <c r="V161" s="17" t="str">
        <f>IFERROR(INDEX(逆引き作成用!$C$2:$C$169,MATCH($B161&amp;"/"&amp;$C161,逆引き作成用!V$2:V$169,FALSE),1),"")</f>
        <v/>
      </c>
      <c r="W161" s="17" t="str">
        <f>IFERROR(INDEX(逆引き作成用!$C$2:$C$169,MATCH($B161&amp;"/"&amp;$C161,逆引き作成用!W$2:W$169,FALSE),1),"")</f>
        <v/>
      </c>
      <c r="X161" s="17" t="str">
        <f>IFERROR(INDEX(逆引き作成用!$C$2:$C$169,MATCH($B161&amp;"/"&amp;$C161,逆引き作成用!X$2:X$169,FALSE),1),"")</f>
        <v/>
      </c>
      <c r="Y161" s="17" t="str">
        <f>IFERROR(INDEX(逆引き作成用!$C$2:$C$169,MATCH($B161&amp;"/"&amp;$C161,逆引き作成用!Y$2:Y$169,FALSE),1),"")</f>
        <v/>
      </c>
      <c r="Z161" s="17" t="str">
        <f>IFERROR(INDEX(逆引き作成用!$C$2:$C$169,MATCH($B161&amp;"/"&amp;$C161,逆引き作成用!Z$2:Z$169,FALSE),1),"")</f>
        <v/>
      </c>
      <c r="AA161" s="17" t="str">
        <f>IFERROR(INDEX(逆引き作成用!$C$2:$C$169,MATCH($B161&amp;"/"&amp;$C161,逆引き作成用!AA$2:AA$169,FALSE),1),"")</f>
        <v/>
      </c>
      <c r="AB161" s="17" t="str">
        <f>IFERROR(INDEX(逆引き作成用!$C$2:$C$169,MATCH($B161&amp;"/"&amp;$C161,逆引き作成用!AB$2:AB$169,FALSE),1),"")</f>
        <v/>
      </c>
      <c r="AC161" s="17" t="str">
        <f>IFERROR(INDEX(逆引き作成用!$C$2:$C$169,MATCH($B161&amp;"/"&amp;$C161,逆引き作成用!AC$2:AC$169,FALSE),1),"")</f>
        <v/>
      </c>
      <c r="AD161" s="17" t="str">
        <f>IFERROR(INDEX(逆引き作成用!$C$2:$C$169,MATCH($B161&amp;"/"&amp;$C161,逆引き作成用!AD$2:AD$169,FALSE),1),"")</f>
        <v/>
      </c>
      <c r="AE161" s="17" t="str">
        <f>IFERROR(INDEX(逆引き作成用!$C$2:$C$169,MATCH($B161&amp;"/"&amp;$C161,逆引き作成用!AE$2:AE$169,FALSE),1),"")</f>
        <v/>
      </c>
      <c r="AF161" s="17" t="str">
        <f>IFERROR(INDEX(逆引き作成用!$C$2:$C$169,MATCH($B161&amp;"/"&amp;$C161,逆引き作成用!AF$2:AF$169,FALSE),1),"")</f>
        <v/>
      </c>
      <c r="AG161" s="17" t="str">
        <f>IFERROR(INDEX(逆引き作成用!$C$2:$C$169,MATCH($B161&amp;"/"&amp;$C161,逆引き作成用!AG$2:AG$169,FALSE),1),"")</f>
        <v/>
      </c>
      <c r="AH161" s="17" t="str">
        <f>IFERROR(INDEX(逆引き作成用!$C$2:$C$169,MATCH($B161&amp;"/"&amp;$C161,逆引き作成用!AH$2:AH$169,FALSE),1),"")</f>
        <v/>
      </c>
      <c r="AI161" s="17" t="str">
        <f>IFERROR(INDEX(逆引き作成用!$C$2:$C$169,MATCH($B161&amp;"/"&amp;$C161,逆引き作成用!AI$2:AI$169,FALSE),1),"")</f>
        <v/>
      </c>
      <c r="AJ161" s="17" t="str">
        <f>IFERROR(INDEX(逆引き作成用!$C$2:$C$169,MATCH($B161&amp;"/"&amp;$C161,逆引き作成用!AJ$2:AJ$169,FALSE),1),"")</f>
        <v/>
      </c>
      <c r="AK161" s="17" t="str">
        <f>IFERROR(INDEX(逆引き作成用!$C$2:$C$169,MATCH($B161&amp;"/"&amp;$C161,逆引き作成用!AK$2:AK$169,FALSE),1),"")</f>
        <v/>
      </c>
      <c r="AL161" s="17" t="str">
        <f>IFERROR(INDEX(逆引き作成用!$C$2:$C$169,MATCH($B161&amp;"/"&amp;$C161,逆引き作成用!AL$2:AL$169,FALSE),1),"")</f>
        <v/>
      </c>
      <c r="AM161" s="17" t="str">
        <f>IFERROR(INDEX(逆引き作成用!$C$2:$C$169,MATCH($B161&amp;"/"&amp;$C161,逆引き作成用!AM$2:AM$169,FALSE),1),"")</f>
        <v/>
      </c>
      <c r="AN161" s="17" t="str">
        <f>IFERROR(INDEX(逆引き作成用!$C$2:$C$169,MATCH($B161&amp;"/"&amp;$C161,逆引き作成用!AN$2:AN$169,FALSE),1),"")</f>
        <v/>
      </c>
      <c r="AO161" s="17" t="str">
        <f>IFERROR(INDEX(逆引き作成用!$C$2:$C$169,MATCH($B161&amp;"/"&amp;$C161,逆引き作成用!AO$2:AO$169,FALSE),1),"")</f>
        <v/>
      </c>
      <c r="AP161" s="17" t="str">
        <f>IFERROR(INDEX(逆引き作成用!$C$2:$C$169,MATCH($B161&amp;"/"&amp;$C161,逆引き作成用!AP$2:AP$169,FALSE),1),"")</f>
        <v/>
      </c>
      <c r="AQ161" s="17" t="str">
        <f>IFERROR(INDEX(逆引き作成用!$C$2:$C$169,MATCH($B161&amp;"/"&amp;$C161,逆引き作成用!AQ$2:AQ$169,FALSE),1),"")</f>
        <v/>
      </c>
      <c r="AR161" s="17" t="str">
        <f>IFERROR(INDEX(逆引き作成用!$C$2:$C$169,MATCH($B161&amp;"/"&amp;$C161,逆引き作成用!AR$2:AR$169,FALSE),1),"")</f>
        <v/>
      </c>
      <c r="AS161" s="17" t="str">
        <f>IFERROR(INDEX(逆引き作成用!$C$2:$C$169,MATCH($B161&amp;"/"&amp;$C161,逆引き作成用!AS$2:AS$169,FALSE),1),"")</f>
        <v/>
      </c>
      <c r="AT161" s="17" t="str">
        <f>IFERROR(INDEX(逆引き作成用!$C$2:$C$169,MATCH($B161&amp;"/"&amp;$C161,逆引き作成用!AT$2:AT$169,FALSE),1),"")</f>
        <v/>
      </c>
      <c r="AU161" s="17" t="str">
        <f>IFERROR(INDEX(逆引き作成用!$C$2:$C$169,MATCH($B161&amp;"/"&amp;$C161,逆引き作成用!AU$2:AU$169,FALSE),1),"")</f>
        <v/>
      </c>
      <c r="AV161" s="17" t="str">
        <f>IFERROR(INDEX(逆引き作成用!$C$2:$C$169,MATCH($B161&amp;"/"&amp;$C161,逆引き作成用!AV$2:AV$169,FALSE),1),"")</f>
        <v/>
      </c>
      <c r="AW161" s="17" t="str">
        <f>IFERROR(INDEX(逆引き作成用!$C$2:$C$169,MATCH($B161&amp;"/"&amp;$C161,逆引き作成用!AW$2:AW$169,FALSE),1),"")</f>
        <v/>
      </c>
      <c r="AX161" s="17" t="str">
        <f>IFERROR(INDEX(逆引き作成用!$C$2:$C$169,MATCH($B161&amp;"/"&amp;$C161,逆引き作成用!AX$2:AX$169,FALSE),1),"")</f>
        <v/>
      </c>
      <c r="AY161" s="17" t="str">
        <f>IFERROR(INDEX(逆引き作成用!$C$2:$C$169,MATCH($B161&amp;"/"&amp;$C161,逆引き作成用!AY$2:AY$169,FALSE),1),"")</f>
        <v/>
      </c>
      <c r="AZ161" s="17" t="str">
        <f>IFERROR(INDEX(逆引き作成用!$C$2:$C$169,MATCH($B161&amp;"/"&amp;$C161,逆引き作成用!AZ$2:AZ$169,FALSE),1),"")</f>
        <v/>
      </c>
      <c r="BA161" s="17" t="str">
        <f>IFERROR(INDEX(逆引き作成用!$C$2:$C$169,MATCH($B161&amp;"/"&amp;$C161,逆引き作成用!BA$2:BA$169,FALSE),1),"")</f>
        <v/>
      </c>
    </row>
    <row r="162" spans="1:53">
      <c r="A162" s="17" t="str">
        <f>IFERROR(INDEX(役職一覧!$B$2:$B$31,MATCH(B162,役職一覧!$C$2:$C$31,FALSE),1),"")</f>
        <v/>
      </c>
      <c r="B162" s="17" t="str">
        <f>IFERROR(IF(C162=1,INDEX(役職一覧!$C$2:$C$31,MATCH(逆引き!B161,役職一覧!$C$2:$C$31,FALSE)+1,1)&amp;"",B161),"")</f>
        <v/>
      </c>
      <c r="C162" s="17" t="str">
        <f>IFERROR(IF(VLOOKUP(B161,役職一覧!$C$2:$E$31,3,FALSE)=C161,1,C161+1),"")</f>
        <v/>
      </c>
      <c r="D162" s="17" t="str">
        <f>IFERROR(INDEX(逆引き作成用!$C$2:$C$169,MATCH($B162&amp;"/"&amp;$C162,逆引き作成用!D$2:D$169,FALSE),1),"")</f>
        <v/>
      </c>
      <c r="E162" s="17" t="str">
        <f>IFERROR(INDEX(逆引き作成用!$C$2:$C$169,MATCH($B162&amp;"/"&amp;$C162,逆引き作成用!E$2:E$169,FALSE),1),"")</f>
        <v/>
      </c>
      <c r="F162" s="17" t="str">
        <f>IFERROR(INDEX(逆引き作成用!$C$2:$C$169,MATCH($B162&amp;"/"&amp;$C162,逆引き作成用!F$2:F$169,FALSE),1),"")</f>
        <v/>
      </c>
      <c r="G162" s="17" t="str">
        <f>IFERROR(INDEX(逆引き作成用!$C$2:$C$169,MATCH($B162&amp;"/"&amp;$C162,逆引き作成用!G$2:G$169,FALSE),1),"")</f>
        <v/>
      </c>
      <c r="H162" s="17" t="str">
        <f>IFERROR(INDEX(逆引き作成用!$C$2:$C$169,MATCH($B162&amp;"/"&amp;$C162,逆引き作成用!H$2:H$169,FALSE),1),"")</f>
        <v/>
      </c>
      <c r="I162" s="17" t="str">
        <f>IFERROR(INDEX(逆引き作成用!$C$2:$C$169,MATCH($B162&amp;"/"&amp;$C162,逆引き作成用!I$2:I$169,FALSE),1),"")</f>
        <v/>
      </c>
      <c r="J162" s="17" t="str">
        <f>IFERROR(INDEX(逆引き作成用!$C$2:$C$169,MATCH($B162&amp;"/"&amp;$C162,逆引き作成用!J$2:J$169,FALSE),1),"")</f>
        <v/>
      </c>
      <c r="K162" s="17" t="str">
        <f>IFERROR(INDEX(逆引き作成用!$C$2:$C$169,MATCH($B162&amp;"/"&amp;$C162,逆引き作成用!K$2:K$169,FALSE),1),"")</f>
        <v/>
      </c>
      <c r="L162" s="17" t="str">
        <f>IFERROR(INDEX(逆引き作成用!$C$2:$C$169,MATCH($B162&amp;"/"&amp;$C162,逆引き作成用!L$2:L$169,FALSE),1),"")</f>
        <v/>
      </c>
      <c r="M162" s="17" t="str">
        <f>IFERROR(INDEX(逆引き作成用!$C$2:$C$169,MATCH($B162&amp;"/"&amp;$C162,逆引き作成用!M$2:M$169,FALSE),1),"")</f>
        <v/>
      </c>
      <c r="N162" s="17" t="str">
        <f>IFERROR(INDEX(逆引き作成用!$C$2:$C$169,MATCH($B162&amp;"/"&amp;$C162,逆引き作成用!N$2:N$169,FALSE),1),"")</f>
        <v/>
      </c>
      <c r="O162" s="17" t="str">
        <f>IFERROR(INDEX(逆引き作成用!$C$2:$C$169,MATCH($B162&amp;"/"&amp;$C162,逆引き作成用!O$2:O$169,FALSE),1),"")</f>
        <v/>
      </c>
      <c r="P162" s="17" t="str">
        <f>IFERROR(INDEX(逆引き作成用!$C$2:$C$169,MATCH($B162&amp;"/"&amp;$C162,逆引き作成用!P$2:P$169,FALSE),1),"")</f>
        <v/>
      </c>
      <c r="Q162" s="17" t="str">
        <f>IFERROR(INDEX(逆引き作成用!$C$2:$C$169,MATCH($B162&amp;"/"&amp;$C162,逆引き作成用!Q$2:Q$169,FALSE),1),"")</f>
        <v/>
      </c>
      <c r="R162" s="17" t="str">
        <f>IFERROR(INDEX(逆引き作成用!$C$2:$C$169,MATCH($B162&amp;"/"&amp;$C162,逆引き作成用!R$2:R$169,FALSE),1),"")</f>
        <v/>
      </c>
      <c r="S162" s="17" t="str">
        <f>IFERROR(INDEX(逆引き作成用!$C$2:$C$169,MATCH($B162&amp;"/"&amp;$C162,逆引き作成用!S$2:S$169,FALSE),1),"")</f>
        <v/>
      </c>
      <c r="T162" s="17" t="str">
        <f>IFERROR(INDEX(逆引き作成用!$C$2:$C$169,MATCH($B162&amp;"/"&amp;$C162,逆引き作成用!T$2:T$169,FALSE),1),"")</f>
        <v/>
      </c>
      <c r="U162" s="17" t="str">
        <f>IFERROR(INDEX(逆引き作成用!$C$2:$C$169,MATCH($B162&amp;"/"&amp;$C162,逆引き作成用!U$2:U$169,FALSE),1),"")</f>
        <v/>
      </c>
      <c r="V162" s="17" t="str">
        <f>IFERROR(INDEX(逆引き作成用!$C$2:$C$169,MATCH($B162&amp;"/"&amp;$C162,逆引き作成用!V$2:V$169,FALSE),1),"")</f>
        <v/>
      </c>
      <c r="W162" s="17" t="str">
        <f>IFERROR(INDEX(逆引き作成用!$C$2:$C$169,MATCH($B162&amp;"/"&amp;$C162,逆引き作成用!W$2:W$169,FALSE),1),"")</f>
        <v/>
      </c>
      <c r="X162" s="17" t="str">
        <f>IFERROR(INDEX(逆引き作成用!$C$2:$C$169,MATCH($B162&amp;"/"&amp;$C162,逆引き作成用!X$2:X$169,FALSE),1),"")</f>
        <v/>
      </c>
      <c r="Y162" s="17" t="str">
        <f>IFERROR(INDEX(逆引き作成用!$C$2:$C$169,MATCH($B162&amp;"/"&amp;$C162,逆引き作成用!Y$2:Y$169,FALSE),1),"")</f>
        <v/>
      </c>
      <c r="Z162" s="17" t="str">
        <f>IFERROR(INDEX(逆引き作成用!$C$2:$C$169,MATCH($B162&amp;"/"&amp;$C162,逆引き作成用!Z$2:Z$169,FALSE),1),"")</f>
        <v/>
      </c>
      <c r="AA162" s="17" t="str">
        <f>IFERROR(INDEX(逆引き作成用!$C$2:$C$169,MATCH($B162&amp;"/"&amp;$C162,逆引き作成用!AA$2:AA$169,FALSE),1),"")</f>
        <v/>
      </c>
      <c r="AB162" s="17" t="str">
        <f>IFERROR(INDEX(逆引き作成用!$C$2:$C$169,MATCH($B162&amp;"/"&amp;$C162,逆引き作成用!AB$2:AB$169,FALSE),1),"")</f>
        <v/>
      </c>
      <c r="AC162" s="17" t="str">
        <f>IFERROR(INDEX(逆引き作成用!$C$2:$C$169,MATCH($B162&amp;"/"&amp;$C162,逆引き作成用!AC$2:AC$169,FALSE),1),"")</f>
        <v/>
      </c>
      <c r="AD162" s="17" t="str">
        <f>IFERROR(INDEX(逆引き作成用!$C$2:$C$169,MATCH($B162&amp;"/"&amp;$C162,逆引き作成用!AD$2:AD$169,FALSE),1),"")</f>
        <v/>
      </c>
      <c r="AE162" s="17" t="str">
        <f>IFERROR(INDEX(逆引き作成用!$C$2:$C$169,MATCH($B162&amp;"/"&amp;$C162,逆引き作成用!AE$2:AE$169,FALSE),1),"")</f>
        <v/>
      </c>
      <c r="AF162" s="17" t="str">
        <f>IFERROR(INDEX(逆引き作成用!$C$2:$C$169,MATCH($B162&amp;"/"&amp;$C162,逆引き作成用!AF$2:AF$169,FALSE),1),"")</f>
        <v/>
      </c>
      <c r="AG162" s="17" t="str">
        <f>IFERROR(INDEX(逆引き作成用!$C$2:$C$169,MATCH($B162&amp;"/"&amp;$C162,逆引き作成用!AG$2:AG$169,FALSE),1),"")</f>
        <v/>
      </c>
      <c r="AH162" s="17" t="str">
        <f>IFERROR(INDEX(逆引き作成用!$C$2:$C$169,MATCH($B162&amp;"/"&amp;$C162,逆引き作成用!AH$2:AH$169,FALSE),1),"")</f>
        <v/>
      </c>
      <c r="AI162" s="17" t="str">
        <f>IFERROR(INDEX(逆引き作成用!$C$2:$C$169,MATCH($B162&amp;"/"&amp;$C162,逆引き作成用!AI$2:AI$169,FALSE),1),"")</f>
        <v/>
      </c>
      <c r="AJ162" s="17" t="str">
        <f>IFERROR(INDEX(逆引き作成用!$C$2:$C$169,MATCH($B162&amp;"/"&amp;$C162,逆引き作成用!AJ$2:AJ$169,FALSE),1),"")</f>
        <v/>
      </c>
      <c r="AK162" s="17" t="str">
        <f>IFERROR(INDEX(逆引き作成用!$C$2:$C$169,MATCH($B162&amp;"/"&amp;$C162,逆引き作成用!AK$2:AK$169,FALSE),1),"")</f>
        <v/>
      </c>
      <c r="AL162" s="17" t="str">
        <f>IFERROR(INDEX(逆引き作成用!$C$2:$C$169,MATCH($B162&amp;"/"&amp;$C162,逆引き作成用!AL$2:AL$169,FALSE),1),"")</f>
        <v/>
      </c>
      <c r="AM162" s="17" t="str">
        <f>IFERROR(INDEX(逆引き作成用!$C$2:$C$169,MATCH($B162&amp;"/"&amp;$C162,逆引き作成用!AM$2:AM$169,FALSE),1),"")</f>
        <v/>
      </c>
      <c r="AN162" s="17" t="str">
        <f>IFERROR(INDEX(逆引き作成用!$C$2:$C$169,MATCH($B162&amp;"/"&amp;$C162,逆引き作成用!AN$2:AN$169,FALSE),1),"")</f>
        <v/>
      </c>
      <c r="AO162" s="17" t="str">
        <f>IFERROR(INDEX(逆引き作成用!$C$2:$C$169,MATCH($B162&amp;"/"&amp;$C162,逆引き作成用!AO$2:AO$169,FALSE),1),"")</f>
        <v/>
      </c>
      <c r="AP162" s="17" t="str">
        <f>IFERROR(INDEX(逆引き作成用!$C$2:$C$169,MATCH($B162&amp;"/"&amp;$C162,逆引き作成用!AP$2:AP$169,FALSE),1),"")</f>
        <v/>
      </c>
      <c r="AQ162" s="17" t="str">
        <f>IFERROR(INDEX(逆引き作成用!$C$2:$C$169,MATCH($B162&amp;"/"&amp;$C162,逆引き作成用!AQ$2:AQ$169,FALSE),1),"")</f>
        <v/>
      </c>
      <c r="AR162" s="17" t="str">
        <f>IFERROR(INDEX(逆引き作成用!$C$2:$C$169,MATCH($B162&amp;"/"&amp;$C162,逆引き作成用!AR$2:AR$169,FALSE),1),"")</f>
        <v/>
      </c>
      <c r="AS162" s="17" t="str">
        <f>IFERROR(INDEX(逆引き作成用!$C$2:$C$169,MATCH($B162&amp;"/"&amp;$C162,逆引き作成用!AS$2:AS$169,FALSE),1),"")</f>
        <v/>
      </c>
      <c r="AT162" s="17" t="str">
        <f>IFERROR(INDEX(逆引き作成用!$C$2:$C$169,MATCH($B162&amp;"/"&amp;$C162,逆引き作成用!AT$2:AT$169,FALSE),1),"")</f>
        <v/>
      </c>
      <c r="AU162" s="17" t="str">
        <f>IFERROR(INDEX(逆引き作成用!$C$2:$C$169,MATCH($B162&amp;"/"&amp;$C162,逆引き作成用!AU$2:AU$169,FALSE),1),"")</f>
        <v/>
      </c>
      <c r="AV162" s="17" t="str">
        <f>IFERROR(INDEX(逆引き作成用!$C$2:$C$169,MATCH($B162&amp;"/"&amp;$C162,逆引き作成用!AV$2:AV$169,FALSE),1),"")</f>
        <v/>
      </c>
      <c r="AW162" s="17" t="str">
        <f>IFERROR(INDEX(逆引き作成用!$C$2:$C$169,MATCH($B162&amp;"/"&amp;$C162,逆引き作成用!AW$2:AW$169,FALSE),1),"")</f>
        <v/>
      </c>
      <c r="AX162" s="17" t="str">
        <f>IFERROR(INDEX(逆引き作成用!$C$2:$C$169,MATCH($B162&amp;"/"&amp;$C162,逆引き作成用!AX$2:AX$169,FALSE),1),"")</f>
        <v/>
      </c>
      <c r="AY162" s="17" t="str">
        <f>IFERROR(INDEX(逆引き作成用!$C$2:$C$169,MATCH($B162&amp;"/"&amp;$C162,逆引き作成用!AY$2:AY$169,FALSE),1),"")</f>
        <v/>
      </c>
      <c r="AZ162" s="17" t="str">
        <f>IFERROR(INDEX(逆引き作成用!$C$2:$C$169,MATCH($B162&amp;"/"&amp;$C162,逆引き作成用!AZ$2:AZ$169,FALSE),1),"")</f>
        <v/>
      </c>
      <c r="BA162" s="17" t="str">
        <f>IFERROR(INDEX(逆引き作成用!$C$2:$C$169,MATCH($B162&amp;"/"&amp;$C162,逆引き作成用!BA$2:BA$169,FALSE),1),"")</f>
        <v/>
      </c>
    </row>
    <row r="163" spans="1:53">
      <c r="A163" s="17" t="str">
        <f>IFERROR(INDEX(役職一覧!$B$2:$B$31,MATCH(B163,役職一覧!$C$2:$C$31,FALSE),1),"")</f>
        <v/>
      </c>
      <c r="B163" s="17" t="str">
        <f>IFERROR(IF(C163=1,INDEX(役職一覧!$C$2:$C$31,MATCH(逆引き!B162,役職一覧!$C$2:$C$31,FALSE)+1,1)&amp;"",B162),"")</f>
        <v/>
      </c>
      <c r="C163" s="17" t="str">
        <f>IFERROR(IF(VLOOKUP(B162,役職一覧!$C$2:$E$31,3,FALSE)=C162,1,C162+1),"")</f>
        <v/>
      </c>
      <c r="D163" s="17" t="str">
        <f>IFERROR(INDEX(逆引き作成用!$C$2:$C$169,MATCH($B163&amp;"/"&amp;$C163,逆引き作成用!D$2:D$169,FALSE),1),"")</f>
        <v/>
      </c>
      <c r="E163" s="17" t="str">
        <f>IFERROR(INDEX(逆引き作成用!$C$2:$C$169,MATCH($B163&amp;"/"&amp;$C163,逆引き作成用!E$2:E$169,FALSE),1),"")</f>
        <v/>
      </c>
      <c r="F163" s="17" t="str">
        <f>IFERROR(INDEX(逆引き作成用!$C$2:$C$169,MATCH($B163&amp;"/"&amp;$C163,逆引き作成用!F$2:F$169,FALSE),1),"")</f>
        <v/>
      </c>
      <c r="G163" s="17" t="str">
        <f>IFERROR(INDEX(逆引き作成用!$C$2:$C$169,MATCH($B163&amp;"/"&amp;$C163,逆引き作成用!G$2:G$169,FALSE),1),"")</f>
        <v/>
      </c>
      <c r="H163" s="17" t="str">
        <f>IFERROR(INDEX(逆引き作成用!$C$2:$C$169,MATCH($B163&amp;"/"&amp;$C163,逆引き作成用!H$2:H$169,FALSE),1),"")</f>
        <v/>
      </c>
      <c r="I163" s="17" t="str">
        <f>IFERROR(INDEX(逆引き作成用!$C$2:$C$169,MATCH($B163&amp;"/"&amp;$C163,逆引き作成用!I$2:I$169,FALSE),1),"")</f>
        <v/>
      </c>
      <c r="J163" s="17" t="str">
        <f>IFERROR(INDEX(逆引き作成用!$C$2:$C$169,MATCH($B163&amp;"/"&amp;$C163,逆引き作成用!J$2:J$169,FALSE),1),"")</f>
        <v/>
      </c>
      <c r="K163" s="17" t="str">
        <f>IFERROR(INDEX(逆引き作成用!$C$2:$C$169,MATCH($B163&amp;"/"&amp;$C163,逆引き作成用!K$2:K$169,FALSE),1),"")</f>
        <v/>
      </c>
      <c r="L163" s="17" t="str">
        <f>IFERROR(INDEX(逆引き作成用!$C$2:$C$169,MATCH($B163&amp;"/"&amp;$C163,逆引き作成用!L$2:L$169,FALSE),1),"")</f>
        <v/>
      </c>
      <c r="M163" s="17" t="str">
        <f>IFERROR(INDEX(逆引き作成用!$C$2:$C$169,MATCH($B163&amp;"/"&amp;$C163,逆引き作成用!M$2:M$169,FALSE),1),"")</f>
        <v/>
      </c>
      <c r="N163" s="17" t="str">
        <f>IFERROR(INDEX(逆引き作成用!$C$2:$C$169,MATCH($B163&amp;"/"&amp;$C163,逆引き作成用!N$2:N$169,FALSE),1),"")</f>
        <v/>
      </c>
      <c r="O163" s="17" t="str">
        <f>IFERROR(INDEX(逆引き作成用!$C$2:$C$169,MATCH($B163&amp;"/"&amp;$C163,逆引き作成用!O$2:O$169,FALSE),1),"")</f>
        <v/>
      </c>
      <c r="P163" s="17" t="str">
        <f>IFERROR(INDEX(逆引き作成用!$C$2:$C$169,MATCH($B163&amp;"/"&amp;$C163,逆引き作成用!P$2:P$169,FALSE),1),"")</f>
        <v/>
      </c>
      <c r="Q163" s="17" t="str">
        <f>IFERROR(INDEX(逆引き作成用!$C$2:$C$169,MATCH($B163&amp;"/"&amp;$C163,逆引き作成用!Q$2:Q$169,FALSE),1),"")</f>
        <v/>
      </c>
      <c r="R163" s="17" t="str">
        <f>IFERROR(INDEX(逆引き作成用!$C$2:$C$169,MATCH($B163&amp;"/"&amp;$C163,逆引き作成用!R$2:R$169,FALSE),1),"")</f>
        <v/>
      </c>
      <c r="S163" s="17" t="str">
        <f>IFERROR(INDEX(逆引き作成用!$C$2:$C$169,MATCH($B163&amp;"/"&amp;$C163,逆引き作成用!S$2:S$169,FALSE),1),"")</f>
        <v/>
      </c>
      <c r="T163" s="17" t="str">
        <f>IFERROR(INDEX(逆引き作成用!$C$2:$C$169,MATCH($B163&amp;"/"&amp;$C163,逆引き作成用!T$2:T$169,FALSE),1),"")</f>
        <v/>
      </c>
      <c r="U163" s="17" t="str">
        <f>IFERROR(INDEX(逆引き作成用!$C$2:$C$169,MATCH($B163&amp;"/"&amp;$C163,逆引き作成用!U$2:U$169,FALSE),1),"")</f>
        <v/>
      </c>
      <c r="V163" s="17" t="str">
        <f>IFERROR(INDEX(逆引き作成用!$C$2:$C$169,MATCH($B163&amp;"/"&amp;$C163,逆引き作成用!V$2:V$169,FALSE),1),"")</f>
        <v/>
      </c>
      <c r="W163" s="17" t="str">
        <f>IFERROR(INDEX(逆引き作成用!$C$2:$C$169,MATCH($B163&amp;"/"&amp;$C163,逆引き作成用!W$2:W$169,FALSE),1),"")</f>
        <v/>
      </c>
      <c r="X163" s="17" t="str">
        <f>IFERROR(INDEX(逆引き作成用!$C$2:$C$169,MATCH($B163&amp;"/"&amp;$C163,逆引き作成用!X$2:X$169,FALSE),1),"")</f>
        <v/>
      </c>
      <c r="Y163" s="17" t="str">
        <f>IFERROR(INDEX(逆引き作成用!$C$2:$C$169,MATCH($B163&amp;"/"&amp;$C163,逆引き作成用!Y$2:Y$169,FALSE),1),"")</f>
        <v/>
      </c>
      <c r="Z163" s="17" t="str">
        <f>IFERROR(INDEX(逆引き作成用!$C$2:$C$169,MATCH($B163&amp;"/"&amp;$C163,逆引き作成用!Z$2:Z$169,FALSE),1),"")</f>
        <v/>
      </c>
      <c r="AA163" s="17" t="str">
        <f>IFERROR(INDEX(逆引き作成用!$C$2:$C$169,MATCH($B163&amp;"/"&amp;$C163,逆引き作成用!AA$2:AA$169,FALSE),1),"")</f>
        <v/>
      </c>
      <c r="AB163" s="17" t="str">
        <f>IFERROR(INDEX(逆引き作成用!$C$2:$C$169,MATCH($B163&amp;"/"&amp;$C163,逆引き作成用!AB$2:AB$169,FALSE),1),"")</f>
        <v/>
      </c>
      <c r="AC163" s="17" t="str">
        <f>IFERROR(INDEX(逆引き作成用!$C$2:$C$169,MATCH($B163&amp;"/"&amp;$C163,逆引き作成用!AC$2:AC$169,FALSE),1),"")</f>
        <v/>
      </c>
      <c r="AD163" s="17" t="str">
        <f>IFERROR(INDEX(逆引き作成用!$C$2:$C$169,MATCH($B163&amp;"/"&amp;$C163,逆引き作成用!AD$2:AD$169,FALSE),1),"")</f>
        <v/>
      </c>
      <c r="AE163" s="17" t="str">
        <f>IFERROR(INDEX(逆引き作成用!$C$2:$C$169,MATCH($B163&amp;"/"&amp;$C163,逆引き作成用!AE$2:AE$169,FALSE),1),"")</f>
        <v/>
      </c>
      <c r="AF163" s="17" t="str">
        <f>IFERROR(INDEX(逆引き作成用!$C$2:$C$169,MATCH($B163&amp;"/"&amp;$C163,逆引き作成用!AF$2:AF$169,FALSE),1),"")</f>
        <v/>
      </c>
      <c r="AG163" s="17" t="str">
        <f>IFERROR(INDEX(逆引き作成用!$C$2:$C$169,MATCH($B163&amp;"/"&amp;$C163,逆引き作成用!AG$2:AG$169,FALSE),1),"")</f>
        <v/>
      </c>
      <c r="AH163" s="17" t="str">
        <f>IFERROR(INDEX(逆引き作成用!$C$2:$C$169,MATCH($B163&amp;"/"&amp;$C163,逆引き作成用!AH$2:AH$169,FALSE),1),"")</f>
        <v/>
      </c>
      <c r="AI163" s="17" t="str">
        <f>IFERROR(INDEX(逆引き作成用!$C$2:$C$169,MATCH($B163&amp;"/"&amp;$C163,逆引き作成用!AI$2:AI$169,FALSE),1),"")</f>
        <v/>
      </c>
      <c r="AJ163" s="17" t="str">
        <f>IFERROR(INDEX(逆引き作成用!$C$2:$C$169,MATCH($B163&amp;"/"&amp;$C163,逆引き作成用!AJ$2:AJ$169,FALSE),1),"")</f>
        <v/>
      </c>
      <c r="AK163" s="17" t="str">
        <f>IFERROR(INDEX(逆引き作成用!$C$2:$C$169,MATCH($B163&amp;"/"&amp;$C163,逆引き作成用!AK$2:AK$169,FALSE),1),"")</f>
        <v/>
      </c>
      <c r="AL163" s="17" t="str">
        <f>IFERROR(INDEX(逆引き作成用!$C$2:$C$169,MATCH($B163&amp;"/"&amp;$C163,逆引き作成用!AL$2:AL$169,FALSE),1),"")</f>
        <v/>
      </c>
      <c r="AM163" s="17" t="str">
        <f>IFERROR(INDEX(逆引き作成用!$C$2:$C$169,MATCH($B163&amp;"/"&amp;$C163,逆引き作成用!AM$2:AM$169,FALSE),1),"")</f>
        <v/>
      </c>
      <c r="AN163" s="17" t="str">
        <f>IFERROR(INDEX(逆引き作成用!$C$2:$C$169,MATCH($B163&amp;"/"&amp;$C163,逆引き作成用!AN$2:AN$169,FALSE),1),"")</f>
        <v/>
      </c>
      <c r="AO163" s="17" t="str">
        <f>IFERROR(INDEX(逆引き作成用!$C$2:$C$169,MATCH($B163&amp;"/"&amp;$C163,逆引き作成用!AO$2:AO$169,FALSE),1),"")</f>
        <v/>
      </c>
      <c r="AP163" s="17" t="str">
        <f>IFERROR(INDEX(逆引き作成用!$C$2:$C$169,MATCH($B163&amp;"/"&amp;$C163,逆引き作成用!AP$2:AP$169,FALSE),1),"")</f>
        <v/>
      </c>
      <c r="AQ163" s="17" t="str">
        <f>IFERROR(INDEX(逆引き作成用!$C$2:$C$169,MATCH($B163&amp;"/"&amp;$C163,逆引き作成用!AQ$2:AQ$169,FALSE),1),"")</f>
        <v/>
      </c>
      <c r="AR163" s="17" t="str">
        <f>IFERROR(INDEX(逆引き作成用!$C$2:$C$169,MATCH($B163&amp;"/"&amp;$C163,逆引き作成用!AR$2:AR$169,FALSE),1),"")</f>
        <v/>
      </c>
      <c r="AS163" s="17" t="str">
        <f>IFERROR(INDEX(逆引き作成用!$C$2:$C$169,MATCH($B163&amp;"/"&amp;$C163,逆引き作成用!AS$2:AS$169,FALSE),1),"")</f>
        <v/>
      </c>
      <c r="AT163" s="17" t="str">
        <f>IFERROR(INDEX(逆引き作成用!$C$2:$C$169,MATCH($B163&amp;"/"&amp;$C163,逆引き作成用!AT$2:AT$169,FALSE),1),"")</f>
        <v/>
      </c>
      <c r="AU163" s="17" t="str">
        <f>IFERROR(INDEX(逆引き作成用!$C$2:$C$169,MATCH($B163&amp;"/"&amp;$C163,逆引き作成用!AU$2:AU$169,FALSE),1),"")</f>
        <v/>
      </c>
      <c r="AV163" s="17" t="str">
        <f>IFERROR(INDEX(逆引き作成用!$C$2:$C$169,MATCH($B163&amp;"/"&amp;$C163,逆引き作成用!AV$2:AV$169,FALSE),1),"")</f>
        <v/>
      </c>
      <c r="AW163" s="17" t="str">
        <f>IFERROR(INDEX(逆引き作成用!$C$2:$C$169,MATCH($B163&amp;"/"&amp;$C163,逆引き作成用!AW$2:AW$169,FALSE),1),"")</f>
        <v/>
      </c>
      <c r="AX163" s="17" t="str">
        <f>IFERROR(INDEX(逆引き作成用!$C$2:$C$169,MATCH($B163&amp;"/"&amp;$C163,逆引き作成用!AX$2:AX$169,FALSE),1),"")</f>
        <v/>
      </c>
      <c r="AY163" s="17" t="str">
        <f>IFERROR(INDEX(逆引き作成用!$C$2:$C$169,MATCH($B163&amp;"/"&amp;$C163,逆引き作成用!AY$2:AY$169,FALSE),1),"")</f>
        <v/>
      </c>
      <c r="AZ163" s="17" t="str">
        <f>IFERROR(INDEX(逆引き作成用!$C$2:$C$169,MATCH($B163&amp;"/"&amp;$C163,逆引き作成用!AZ$2:AZ$169,FALSE),1),"")</f>
        <v/>
      </c>
      <c r="BA163" s="17" t="str">
        <f>IFERROR(INDEX(逆引き作成用!$C$2:$C$169,MATCH($B163&amp;"/"&amp;$C163,逆引き作成用!BA$2:BA$169,FALSE),1),"")</f>
        <v/>
      </c>
    </row>
    <row r="164" spans="1:53">
      <c r="A164" s="17" t="str">
        <f>IFERROR(INDEX(役職一覧!$B$2:$B$31,MATCH(B164,役職一覧!$C$2:$C$31,FALSE),1),"")</f>
        <v/>
      </c>
      <c r="B164" s="17" t="str">
        <f>IFERROR(IF(C164=1,INDEX(役職一覧!$C$2:$C$31,MATCH(逆引き!B163,役職一覧!$C$2:$C$31,FALSE)+1,1)&amp;"",B163),"")</f>
        <v/>
      </c>
      <c r="C164" s="17" t="str">
        <f>IFERROR(IF(VLOOKUP(B163,役職一覧!$C$2:$E$31,3,FALSE)=C163,1,C163+1),"")</f>
        <v/>
      </c>
      <c r="D164" s="17" t="str">
        <f>IFERROR(INDEX(逆引き作成用!$C$2:$C$169,MATCH($B164&amp;"/"&amp;$C164,逆引き作成用!D$2:D$169,FALSE),1),"")</f>
        <v/>
      </c>
      <c r="E164" s="17" t="str">
        <f>IFERROR(INDEX(逆引き作成用!$C$2:$C$169,MATCH($B164&amp;"/"&amp;$C164,逆引き作成用!E$2:E$169,FALSE),1),"")</f>
        <v/>
      </c>
      <c r="F164" s="17" t="str">
        <f>IFERROR(INDEX(逆引き作成用!$C$2:$C$169,MATCH($B164&amp;"/"&amp;$C164,逆引き作成用!F$2:F$169,FALSE),1),"")</f>
        <v/>
      </c>
      <c r="G164" s="17" t="str">
        <f>IFERROR(INDEX(逆引き作成用!$C$2:$C$169,MATCH($B164&amp;"/"&amp;$C164,逆引き作成用!G$2:G$169,FALSE),1),"")</f>
        <v/>
      </c>
      <c r="H164" s="17" t="str">
        <f>IFERROR(INDEX(逆引き作成用!$C$2:$C$169,MATCH($B164&amp;"/"&amp;$C164,逆引き作成用!H$2:H$169,FALSE),1),"")</f>
        <v/>
      </c>
      <c r="I164" s="17" t="str">
        <f>IFERROR(INDEX(逆引き作成用!$C$2:$C$169,MATCH($B164&amp;"/"&amp;$C164,逆引き作成用!I$2:I$169,FALSE),1),"")</f>
        <v/>
      </c>
      <c r="J164" s="17" t="str">
        <f>IFERROR(INDEX(逆引き作成用!$C$2:$C$169,MATCH($B164&amp;"/"&amp;$C164,逆引き作成用!J$2:J$169,FALSE),1),"")</f>
        <v/>
      </c>
      <c r="K164" s="17" t="str">
        <f>IFERROR(INDEX(逆引き作成用!$C$2:$C$169,MATCH($B164&amp;"/"&amp;$C164,逆引き作成用!K$2:K$169,FALSE),1),"")</f>
        <v/>
      </c>
      <c r="L164" s="17" t="str">
        <f>IFERROR(INDEX(逆引き作成用!$C$2:$C$169,MATCH($B164&amp;"/"&amp;$C164,逆引き作成用!L$2:L$169,FALSE),1),"")</f>
        <v/>
      </c>
      <c r="M164" s="17" t="str">
        <f>IFERROR(INDEX(逆引き作成用!$C$2:$C$169,MATCH($B164&amp;"/"&amp;$C164,逆引き作成用!M$2:M$169,FALSE),1),"")</f>
        <v/>
      </c>
      <c r="N164" s="17" t="str">
        <f>IFERROR(INDEX(逆引き作成用!$C$2:$C$169,MATCH($B164&amp;"/"&amp;$C164,逆引き作成用!N$2:N$169,FALSE),1),"")</f>
        <v/>
      </c>
      <c r="O164" s="17" t="str">
        <f>IFERROR(INDEX(逆引き作成用!$C$2:$C$169,MATCH($B164&amp;"/"&amp;$C164,逆引き作成用!O$2:O$169,FALSE),1),"")</f>
        <v/>
      </c>
      <c r="P164" s="17" t="str">
        <f>IFERROR(INDEX(逆引き作成用!$C$2:$C$169,MATCH($B164&amp;"/"&amp;$C164,逆引き作成用!P$2:P$169,FALSE),1),"")</f>
        <v/>
      </c>
      <c r="Q164" s="17" t="str">
        <f>IFERROR(INDEX(逆引き作成用!$C$2:$C$169,MATCH($B164&amp;"/"&amp;$C164,逆引き作成用!Q$2:Q$169,FALSE),1),"")</f>
        <v/>
      </c>
      <c r="R164" s="17" t="str">
        <f>IFERROR(INDEX(逆引き作成用!$C$2:$C$169,MATCH($B164&amp;"/"&amp;$C164,逆引き作成用!R$2:R$169,FALSE),1),"")</f>
        <v/>
      </c>
      <c r="S164" s="17" t="str">
        <f>IFERROR(INDEX(逆引き作成用!$C$2:$C$169,MATCH($B164&amp;"/"&amp;$C164,逆引き作成用!S$2:S$169,FALSE),1),"")</f>
        <v/>
      </c>
      <c r="T164" s="17" t="str">
        <f>IFERROR(INDEX(逆引き作成用!$C$2:$C$169,MATCH($B164&amp;"/"&amp;$C164,逆引き作成用!T$2:T$169,FALSE),1),"")</f>
        <v/>
      </c>
      <c r="U164" s="17" t="str">
        <f>IFERROR(INDEX(逆引き作成用!$C$2:$C$169,MATCH($B164&amp;"/"&amp;$C164,逆引き作成用!U$2:U$169,FALSE),1),"")</f>
        <v/>
      </c>
      <c r="V164" s="17" t="str">
        <f>IFERROR(INDEX(逆引き作成用!$C$2:$C$169,MATCH($B164&amp;"/"&amp;$C164,逆引き作成用!V$2:V$169,FALSE),1),"")</f>
        <v/>
      </c>
      <c r="W164" s="17" t="str">
        <f>IFERROR(INDEX(逆引き作成用!$C$2:$C$169,MATCH($B164&amp;"/"&amp;$C164,逆引き作成用!W$2:W$169,FALSE),1),"")</f>
        <v/>
      </c>
      <c r="X164" s="17" t="str">
        <f>IFERROR(INDEX(逆引き作成用!$C$2:$C$169,MATCH($B164&amp;"/"&amp;$C164,逆引き作成用!X$2:X$169,FALSE),1),"")</f>
        <v/>
      </c>
      <c r="Y164" s="17" t="str">
        <f>IFERROR(INDEX(逆引き作成用!$C$2:$C$169,MATCH($B164&amp;"/"&amp;$C164,逆引き作成用!Y$2:Y$169,FALSE),1),"")</f>
        <v/>
      </c>
      <c r="Z164" s="17" t="str">
        <f>IFERROR(INDEX(逆引き作成用!$C$2:$C$169,MATCH($B164&amp;"/"&amp;$C164,逆引き作成用!Z$2:Z$169,FALSE),1),"")</f>
        <v/>
      </c>
      <c r="AA164" s="17" t="str">
        <f>IFERROR(INDEX(逆引き作成用!$C$2:$C$169,MATCH($B164&amp;"/"&amp;$C164,逆引き作成用!AA$2:AA$169,FALSE),1),"")</f>
        <v/>
      </c>
      <c r="AB164" s="17" t="str">
        <f>IFERROR(INDEX(逆引き作成用!$C$2:$C$169,MATCH($B164&amp;"/"&amp;$C164,逆引き作成用!AB$2:AB$169,FALSE),1),"")</f>
        <v/>
      </c>
      <c r="AC164" s="17" t="str">
        <f>IFERROR(INDEX(逆引き作成用!$C$2:$C$169,MATCH($B164&amp;"/"&amp;$C164,逆引き作成用!AC$2:AC$169,FALSE),1),"")</f>
        <v/>
      </c>
      <c r="AD164" s="17" t="str">
        <f>IFERROR(INDEX(逆引き作成用!$C$2:$C$169,MATCH($B164&amp;"/"&amp;$C164,逆引き作成用!AD$2:AD$169,FALSE),1),"")</f>
        <v/>
      </c>
      <c r="AE164" s="17" t="str">
        <f>IFERROR(INDEX(逆引き作成用!$C$2:$C$169,MATCH($B164&amp;"/"&amp;$C164,逆引き作成用!AE$2:AE$169,FALSE),1),"")</f>
        <v/>
      </c>
      <c r="AF164" s="17" t="str">
        <f>IFERROR(INDEX(逆引き作成用!$C$2:$C$169,MATCH($B164&amp;"/"&amp;$C164,逆引き作成用!AF$2:AF$169,FALSE),1),"")</f>
        <v/>
      </c>
      <c r="AG164" s="17" t="str">
        <f>IFERROR(INDEX(逆引き作成用!$C$2:$C$169,MATCH($B164&amp;"/"&amp;$C164,逆引き作成用!AG$2:AG$169,FALSE),1),"")</f>
        <v/>
      </c>
      <c r="AH164" s="17" t="str">
        <f>IFERROR(INDEX(逆引き作成用!$C$2:$C$169,MATCH($B164&amp;"/"&amp;$C164,逆引き作成用!AH$2:AH$169,FALSE),1),"")</f>
        <v/>
      </c>
      <c r="AI164" s="17" t="str">
        <f>IFERROR(INDEX(逆引き作成用!$C$2:$C$169,MATCH($B164&amp;"/"&amp;$C164,逆引き作成用!AI$2:AI$169,FALSE),1),"")</f>
        <v/>
      </c>
      <c r="AJ164" s="17" t="str">
        <f>IFERROR(INDEX(逆引き作成用!$C$2:$C$169,MATCH($B164&amp;"/"&amp;$C164,逆引き作成用!AJ$2:AJ$169,FALSE),1),"")</f>
        <v/>
      </c>
      <c r="AK164" s="17" t="str">
        <f>IFERROR(INDEX(逆引き作成用!$C$2:$C$169,MATCH($B164&amp;"/"&amp;$C164,逆引き作成用!AK$2:AK$169,FALSE),1),"")</f>
        <v/>
      </c>
      <c r="AL164" s="17" t="str">
        <f>IFERROR(INDEX(逆引き作成用!$C$2:$C$169,MATCH($B164&amp;"/"&amp;$C164,逆引き作成用!AL$2:AL$169,FALSE),1),"")</f>
        <v/>
      </c>
      <c r="AM164" s="17" t="str">
        <f>IFERROR(INDEX(逆引き作成用!$C$2:$C$169,MATCH($B164&amp;"/"&amp;$C164,逆引き作成用!AM$2:AM$169,FALSE),1),"")</f>
        <v/>
      </c>
      <c r="AN164" s="17" t="str">
        <f>IFERROR(INDEX(逆引き作成用!$C$2:$C$169,MATCH($B164&amp;"/"&amp;$C164,逆引き作成用!AN$2:AN$169,FALSE),1),"")</f>
        <v/>
      </c>
      <c r="AO164" s="17" t="str">
        <f>IFERROR(INDEX(逆引き作成用!$C$2:$C$169,MATCH($B164&amp;"/"&amp;$C164,逆引き作成用!AO$2:AO$169,FALSE),1),"")</f>
        <v/>
      </c>
      <c r="AP164" s="17" t="str">
        <f>IFERROR(INDEX(逆引き作成用!$C$2:$C$169,MATCH($B164&amp;"/"&amp;$C164,逆引き作成用!AP$2:AP$169,FALSE),1),"")</f>
        <v/>
      </c>
      <c r="AQ164" s="17" t="str">
        <f>IFERROR(INDEX(逆引き作成用!$C$2:$C$169,MATCH($B164&amp;"/"&amp;$C164,逆引き作成用!AQ$2:AQ$169,FALSE),1),"")</f>
        <v/>
      </c>
      <c r="AR164" s="17" t="str">
        <f>IFERROR(INDEX(逆引き作成用!$C$2:$C$169,MATCH($B164&amp;"/"&amp;$C164,逆引き作成用!AR$2:AR$169,FALSE),1),"")</f>
        <v/>
      </c>
      <c r="AS164" s="17" t="str">
        <f>IFERROR(INDEX(逆引き作成用!$C$2:$C$169,MATCH($B164&amp;"/"&amp;$C164,逆引き作成用!AS$2:AS$169,FALSE),1),"")</f>
        <v/>
      </c>
      <c r="AT164" s="17" t="str">
        <f>IFERROR(INDEX(逆引き作成用!$C$2:$C$169,MATCH($B164&amp;"/"&amp;$C164,逆引き作成用!AT$2:AT$169,FALSE),1),"")</f>
        <v/>
      </c>
      <c r="AU164" s="17" t="str">
        <f>IFERROR(INDEX(逆引き作成用!$C$2:$C$169,MATCH($B164&amp;"/"&amp;$C164,逆引き作成用!AU$2:AU$169,FALSE),1),"")</f>
        <v/>
      </c>
      <c r="AV164" s="17" t="str">
        <f>IFERROR(INDEX(逆引き作成用!$C$2:$C$169,MATCH($B164&amp;"/"&amp;$C164,逆引き作成用!AV$2:AV$169,FALSE),1),"")</f>
        <v/>
      </c>
      <c r="AW164" s="17" t="str">
        <f>IFERROR(INDEX(逆引き作成用!$C$2:$C$169,MATCH($B164&amp;"/"&amp;$C164,逆引き作成用!AW$2:AW$169,FALSE),1),"")</f>
        <v/>
      </c>
      <c r="AX164" s="17" t="str">
        <f>IFERROR(INDEX(逆引き作成用!$C$2:$C$169,MATCH($B164&amp;"/"&amp;$C164,逆引き作成用!AX$2:AX$169,FALSE),1),"")</f>
        <v/>
      </c>
      <c r="AY164" s="17" t="str">
        <f>IFERROR(INDEX(逆引き作成用!$C$2:$C$169,MATCH($B164&amp;"/"&amp;$C164,逆引き作成用!AY$2:AY$169,FALSE),1),"")</f>
        <v/>
      </c>
      <c r="AZ164" s="17" t="str">
        <f>IFERROR(INDEX(逆引き作成用!$C$2:$C$169,MATCH($B164&amp;"/"&amp;$C164,逆引き作成用!AZ$2:AZ$169,FALSE),1),"")</f>
        <v/>
      </c>
      <c r="BA164" s="17" t="str">
        <f>IFERROR(INDEX(逆引き作成用!$C$2:$C$169,MATCH($B164&amp;"/"&amp;$C164,逆引き作成用!BA$2:BA$169,FALSE),1),"")</f>
        <v/>
      </c>
    </row>
    <row r="165" spans="1:53">
      <c r="A165" s="17" t="str">
        <f>IFERROR(INDEX(役職一覧!$B$2:$B$31,MATCH(B165,役職一覧!$C$2:$C$31,FALSE),1),"")</f>
        <v/>
      </c>
      <c r="B165" s="17" t="str">
        <f>IFERROR(IF(C165=1,INDEX(役職一覧!$C$2:$C$31,MATCH(逆引き!B164,役職一覧!$C$2:$C$31,FALSE)+1,1)&amp;"",B164),"")</f>
        <v/>
      </c>
      <c r="C165" s="17" t="str">
        <f>IFERROR(IF(VLOOKUP(B164,役職一覧!$C$2:$E$31,3,FALSE)=C164,1,C164+1),"")</f>
        <v/>
      </c>
      <c r="D165" s="17" t="str">
        <f>IFERROR(INDEX(逆引き作成用!$C$2:$C$169,MATCH($B165&amp;"/"&amp;$C165,逆引き作成用!D$2:D$169,FALSE),1),"")</f>
        <v/>
      </c>
      <c r="E165" s="17" t="str">
        <f>IFERROR(INDEX(逆引き作成用!$C$2:$C$169,MATCH($B165&amp;"/"&amp;$C165,逆引き作成用!E$2:E$169,FALSE),1),"")</f>
        <v/>
      </c>
      <c r="F165" s="17" t="str">
        <f>IFERROR(INDEX(逆引き作成用!$C$2:$C$169,MATCH($B165&amp;"/"&amp;$C165,逆引き作成用!F$2:F$169,FALSE),1),"")</f>
        <v/>
      </c>
      <c r="G165" s="17" t="str">
        <f>IFERROR(INDEX(逆引き作成用!$C$2:$C$169,MATCH($B165&amp;"/"&amp;$C165,逆引き作成用!G$2:G$169,FALSE),1),"")</f>
        <v/>
      </c>
      <c r="H165" s="17" t="str">
        <f>IFERROR(INDEX(逆引き作成用!$C$2:$C$169,MATCH($B165&amp;"/"&amp;$C165,逆引き作成用!H$2:H$169,FALSE),1),"")</f>
        <v/>
      </c>
      <c r="I165" s="17" t="str">
        <f>IFERROR(INDEX(逆引き作成用!$C$2:$C$169,MATCH($B165&amp;"/"&amp;$C165,逆引き作成用!I$2:I$169,FALSE),1),"")</f>
        <v/>
      </c>
      <c r="J165" s="17" t="str">
        <f>IFERROR(INDEX(逆引き作成用!$C$2:$C$169,MATCH($B165&amp;"/"&amp;$C165,逆引き作成用!J$2:J$169,FALSE),1),"")</f>
        <v/>
      </c>
      <c r="K165" s="17" t="str">
        <f>IFERROR(INDEX(逆引き作成用!$C$2:$C$169,MATCH($B165&amp;"/"&amp;$C165,逆引き作成用!K$2:K$169,FALSE),1),"")</f>
        <v/>
      </c>
      <c r="L165" s="17" t="str">
        <f>IFERROR(INDEX(逆引き作成用!$C$2:$C$169,MATCH($B165&amp;"/"&amp;$C165,逆引き作成用!L$2:L$169,FALSE),1),"")</f>
        <v/>
      </c>
      <c r="M165" s="17" t="str">
        <f>IFERROR(INDEX(逆引き作成用!$C$2:$C$169,MATCH($B165&amp;"/"&amp;$C165,逆引き作成用!M$2:M$169,FALSE),1),"")</f>
        <v/>
      </c>
      <c r="N165" s="17" t="str">
        <f>IFERROR(INDEX(逆引き作成用!$C$2:$C$169,MATCH($B165&amp;"/"&amp;$C165,逆引き作成用!N$2:N$169,FALSE),1),"")</f>
        <v/>
      </c>
      <c r="O165" s="17" t="str">
        <f>IFERROR(INDEX(逆引き作成用!$C$2:$C$169,MATCH($B165&amp;"/"&amp;$C165,逆引き作成用!O$2:O$169,FALSE),1),"")</f>
        <v/>
      </c>
      <c r="P165" s="17" t="str">
        <f>IFERROR(INDEX(逆引き作成用!$C$2:$C$169,MATCH($B165&amp;"/"&amp;$C165,逆引き作成用!P$2:P$169,FALSE),1),"")</f>
        <v/>
      </c>
      <c r="Q165" s="17" t="str">
        <f>IFERROR(INDEX(逆引き作成用!$C$2:$C$169,MATCH($B165&amp;"/"&amp;$C165,逆引き作成用!Q$2:Q$169,FALSE),1),"")</f>
        <v/>
      </c>
      <c r="R165" s="17" t="str">
        <f>IFERROR(INDEX(逆引き作成用!$C$2:$C$169,MATCH($B165&amp;"/"&amp;$C165,逆引き作成用!R$2:R$169,FALSE),1),"")</f>
        <v/>
      </c>
      <c r="S165" s="17" t="str">
        <f>IFERROR(INDEX(逆引き作成用!$C$2:$C$169,MATCH($B165&amp;"/"&amp;$C165,逆引き作成用!S$2:S$169,FALSE),1),"")</f>
        <v/>
      </c>
      <c r="T165" s="17" t="str">
        <f>IFERROR(INDEX(逆引き作成用!$C$2:$C$169,MATCH($B165&amp;"/"&amp;$C165,逆引き作成用!T$2:T$169,FALSE),1),"")</f>
        <v/>
      </c>
      <c r="U165" s="17" t="str">
        <f>IFERROR(INDEX(逆引き作成用!$C$2:$C$169,MATCH($B165&amp;"/"&amp;$C165,逆引き作成用!U$2:U$169,FALSE),1),"")</f>
        <v/>
      </c>
      <c r="V165" s="17" t="str">
        <f>IFERROR(INDEX(逆引き作成用!$C$2:$C$169,MATCH($B165&amp;"/"&amp;$C165,逆引き作成用!V$2:V$169,FALSE),1),"")</f>
        <v/>
      </c>
      <c r="W165" s="17" t="str">
        <f>IFERROR(INDEX(逆引き作成用!$C$2:$C$169,MATCH($B165&amp;"/"&amp;$C165,逆引き作成用!W$2:W$169,FALSE),1),"")</f>
        <v/>
      </c>
      <c r="X165" s="17" t="str">
        <f>IFERROR(INDEX(逆引き作成用!$C$2:$C$169,MATCH($B165&amp;"/"&amp;$C165,逆引き作成用!X$2:X$169,FALSE),1),"")</f>
        <v/>
      </c>
      <c r="Y165" s="17" t="str">
        <f>IFERROR(INDEX(逆引き作成用!$C$2:$C$169,MATCH($B165&amp;"/"&amp;$C165,逆引き作成用!Y$2:Y$169,FALSE),1),"")</f>
        <v/>
      </c>
      <c r="Z165" s="17" t="str">
        <f>IFERROR(INDEX(逆引き作成用!$C$2:$C$169,MATCH($B165&amp;"/"&amp;$C165,逆引き作成用!Z$2:Z$169,FALSE),1),"")</f>
        <v/>
      </c>
      <c r="AA165" s="17" t="str">
        <f>IFERROR(INDEX(逆引き作成用!$C$2:$C$169,MATCH($B165&amp;"/"&amp;$C165,逆引き作成用!AA$2:AA$169,FALSE),1),"")</f>
        <v/>
      </c>
      <c r="AB165" s="17" t="str">
        <f>IFERROR(INDEX(逆引き作成用!$C$2:$C$169,MATCH($B165&amp;"/"&amp;$C165,逆引き作成用!AB$2:AB$169,FALSE),1),"")</f>
        <v/>
      </c>
      <c r="AC165" s="17" t="str">
        <f>IFERROR(INDEX(逆引き作成用!$C$2:$C$169,MATCH($B165&amp;"/"&amp;$C165,逆引き作成用!AC$2:AC$169,FALSE),1),"")</f>
        <v/>
      </c>
      <c r="AD165" s="17" t="str">
        <f>IFERROR(INDEX(逆引き作成用!$C$2:$C$169,MATCH($B165&amp;"/"&amp;$C165,逆引き作成用!AD$2:AD$169,FALSE),1),"")</f>
        <v/>
      </c>
      <c r="AE165" s="17" t="str">
        <f>IFERROR(INDEX(逆引き作成用!$C$2:$C$169,MATCH($B165&amp;"/"&amp;$C165,逆引き作成用!AE$2:AE$169,FALSE),1),"")</f>
        <v/>
      </c>
      <c r="AF165" s="17" t="str">
        <f>IFERROR(INDEX(逆引き作成用!$C$2:$C$169,MATCH($B165&amp;"/"&amp;$C165,逆引き作成用!AF$2:AF$169,FALSE),1),"")</f>
        <v/>
      </c>
      <c r="AG165" s="17" t="str">
        <f>IFERROR(INDEX(逆引き作成用!$C$2:$C$169,MATCH($B165&amp;"/"&amp;$C165,逆引き作成用!AG$2:AG$169,FALSE),1),"")</f>
        <v/>
      </c>
      <c r="AH165" s="17" t="str">
        <f>IFERROR(INDEX(逆引き作成用!$C$2:$C$169,MATCH($B165&amp;"/"&amp;$C165,逆引き作成用!AH$2:AH$169,FALSE),1),"")</f>
        <v/>
      </c>
      <c r="AI165" s="17" t="str">
        <f>IFERROR(INDEX(逆引き作成用!$C$2:$C$169,MATCH($B165&amp;"/"&amp;$C165,逆引き作成用!AI$2:AI$169,FALSE),1),"")</f>
        <v/>
      </c>
      <c r="AJ165" s="17" t="str">
        <f>IFERROR(INDEX(逆引き作成用!$C$2:$C$169,MATCH($B165&amp;"/"&amp;$C165,逆引き作成用!AJ$2:AJ$169,FALSE),1),"")</f>
        <v/>
      </c>
      <c r="AK165" s="17" t="str">
        <f>IFERROR(INDEX(逆引き作成用!$C$2:$C$169,MATCH($B165&amp;"/"&amp;$C165,逆引き作成用!AK$2:AK$169,FALSE),1),"")</f>
        <v/>
      </c>
      <c r="AL165" s="17" t="str">
        <f>IFERROR(INDEX(逆引き作成用!$C$2:$C$169,MATCH($B165&amp;"/"&amp;$C165,逆引き作成用!AL$2:AL$169,FALSE),1),"")</f>
        <v/>
      </c>
      <c r="AM165" s="17" t="str">
        <f>IFERROR(INDEX(逆引き作成用!$C$2:$C$169,MATCH($B165&amp;"/"&amp;$C165,逆引き作成用!AM$2:AM$169,FALSE),1),"")</f>
        <v/>
      </c>
      <c r="AN165" s="17" t="str">
        <f>IFERROR(INDEX(逆引き作成用!$C$2:$C$169,MATCH($B165&amp;"/"&amp;$C165,逆引き作成用!AN$2:AN$169,FALSE),1),"")</f>
        <v/>
      </c>
      <c r="AO165" s="17" t="str">
        <f>IFERROR(INDEX(逆引き作成用!$C$2:$C$169,MATCH($B165&amp;"/"&amp;$C165,逆引き作成用!AO$2:AO$169,FALSE),1),"")</f>
        <v/>
      </c>
      <c r="AP165" s="17" t="str">
        <f>IFERROR(INDEX(逆引き作成用!$C$2:$C$169,MATCH($B165&amp;"/"&amp;$C165,逆引き作成用!AP$2:AP$169,FALSE),1),"")</f>
        <v/>
      </c>
      <c r="AQ165" s="17" t="str">
        <f>IFERROR(INDEX(逆引き作成用!$C$2:$C$169,MATCH($B165&amp;"/"&amp;$C165,逆引き作成用!AQ$2:AQ$169,FALSE),1),"")</f>
        <v/>
      </c>
      <c r="AR165" s="17" t="str">
        <f>IFERROR(INDEX(逆引き作成用!$C$2:$C$169,MATCH($B165&amp;"/"&amp;$C165,逆引き作成用!AR$2:AR$169,FALSE),1),"")</f>
        <v/>
      </c>
      <c r="AS165" s="17" t="str">
        <f>IFERROR(INDEX(逆引き作成用!$C$2:$C$169,MATCH($B165&amp;"/"&amp;$C165,逆引き作成用!AS$2:AS$169,FALSE),1),"")</f>
        <v/>
      </c>
      <c r="AT165" s="17" t="str">
        <f>IFERROR(INDEX(逆引き作成用!$C$2:$C$169,MATCH($B165&amp;"/"&amp;$C165,逆引き作成用!AT$2:AT$169,FALSE),1),"")</f>
        <v/>
      </c>
      <c r="AU165" s="17" t="str">
        <f>IFERROR(INDEX(逆引き作成用!$C$2:$C$169,MATCH($B165&amp;"/"&amp;$C165,逆引き作成用!AU$2:AU$169,FALSE),1),"")</f>
        <v/>
      </c>
      <c r="AV165" s="17" t="str">
        <f>IFERROR(INDEX(逆引き作成用!$C$2:$C$169,MATCH($B165&amp;"/"&amp;$C165,逆引き作成用!AV$2:AV$169,FALSE),1),"")</f>
        <v/>
      </c>
      <c r="AW165" s="17" t="str">
        <f>IFERROR(INDEX(逆引き作成用!$C$2:$C$169,MATCH($B165&amp;"/"&amp;$C165,逆引き作成用!AW$2:AW$169,FALSE),1),"")</f>
        <v/>
      </c>
      <c r="AX165" s="17" t="str">
        <f>IFERROR(INDEX(逆引き作成用!$C$2:$C$169,MATCH($B165&amp;"/"&amp;$C165,逆引き作成用!AX$2:AX$169,FALSE),1),"")</f>
        <v/>
      </c>
      <c r="AY165" s="17" t="str">
        <f>IFERROR(INDEX(逆引き作成用!$C$2:$C$169,MATCH($B165&amp;"/"&amp;$C165,逆引き作成用!AY$2:AY$169,FALSE),1),"")</f>
        <v/>
      </c>
      <c r="AZ165" s="17" t="str">
        <f>IFERROR(INDEX(逆引き作成用!$C$2:$C$169,MATCH($B165&amp;"/"&amp;$C165,逆引き作成用!AZ$2:AZ$169,FALSE),1),"")</f>
        <v/>
      </c>
      <c r="BA165" s="17" t="str">
        <f>IFERROR(INDEX(逆引き作成用!$C$2:$C$169,MATCH($B165&amp;"/"&amp;$C165,逆引き作成用!BA$2:BA$169,FALSE),1),"")</f>
        <v/>
      </c>
    </row>
    <row r="166" spans="1:53">
      <c r="A166" s="17" t="str">
        <f>IFERROR(INDEX(役職一覧!$B$2:$B$31,MATCH(B166,役職一覧!$C$2:$C$31,FALSE),1),"")</f>
        <v/>
      </c>
      <c r="B166" s="17" t="str">
        <f>IFERROR(IF(C166=1,INDEX(役職一覧!$C$2:$C$31,MATCH(逆引き!B165,役職一覧!$C$2:$C$31,FALSE)+1,1)&amp;"",B165),"")</f>
        <v/>
      </c>
      <c r="C166" s="17" t="str">
        <f>IFERROR(IF(VLOOKUP(B165,役職一覧!$C$2:$E$31,3,FALSE)=C165,1,C165+1),"")</f>
        <v/>
      </c>
      <c r="D166" s="17" t="str">
        <f>IFERROR(INDEX(逆引き作成用!$C$2:$C$169,MATCH($B166&amp;"/"&amp;$C166,逆引き作成用!D$2:D$169,FALSE),1),"")</f>
        <v/>
      </c>
      <c r="E166" s="17" t="str">
        <f>IFERROR(INDEX(逆引き作成用!$C$2:$C$169,MATCH($B166&amp;"/"&amp;$C166,逆引き作成用!E$2:E$169,FALSE),1),"")</f>
        <v/>
      </c>
      <c r="F166" s="17" t="str">
        <f>IFERROR(INDEX(逆引き作成用!$C$2:$C$169,MATCH($B166&amp;"/"&amp;$C166,逆引き作成用!F$2:F$169,FALSE),1),"")</f>
        <v/>
      </c>
      <c r="G166" s="17" t="str">
        <f>IFERROR(INDEX(逆引き作成用!$C$2:$C$169,MATCH($B166&amp;"/"&amp;$C166,逆引き作成用!G$2:G$169,FALSE),1),"")</f>
        <v/>
      </c>
      <c r="H166" s="17" t="str">
        <f>IFERROR(INDEX(逆引き作成用!$C$2:$C$169,MATCH($B166&amp;"/"&amp;$C166,逆引き作成用!H$2:H$169,FALSE),1),"")</f>
        <v/>
      </c>
      <c r="I166" s="17" t="str">
        <f>IFERROR(INDEX(逆引き作成用!$C$2:$C$169,MATCH($B166&amp;"/"&amp;$C166,逆引き作成用!I$2:I$169,FALSE),1),"")</f>
        <v/>
      </c>
      <c r="J166" s="17" t="str">
        <f>IFERROR(INDEX(逆引き作成用!$C$2:$C$169,MATCH($B166&amp;"/"&amp;$C166,逆引き作成用!J$2:J$169,FALSE),1),"")</f>
        <v/>
      </c>
      <c r="K166" s="17" t="str">
        <f>IFERROR(INDEX(逆引き作成用!$C$2:$C$169,MATCH($B166&amp;"/"&amp;$C166,逆引き作成用!K$2:K$169,FALSE),1),"")</f>
        <v/>
      </c>
      <c r="L166" s="17" t="str">
        <f>IFERROR(INDEX(逆引き作成用!$C$2:$C$169,MATCH($B166&amp;"/"&amp;$C166,逆引き作成用!L$2:L$169,FALSE),1),"")</f>
        <v/>
      </c>
      <c r="M166" s="17" t="str">
        <f>IFERROR(INDEX(逆引き作成用!$C$2:$C$169,MATCH($B166&amp;"/"&amp;$C166,逆引き作成用!M$2:M$169,FALSE),1),"")</f>
        <v/>
      </c>
      <c r="N166" s="17" t="str">
        <f>IFERROR(INDEX(逆引き作成用!$C$2:$C$169,MATCH($B166&amp;"/"&amp;$C166,逆引き作成用!N$2:N$169,FALSE),1),"")</f>
        <v/>
      </c>
      <c r="O166" s="17" t="str">
        <f>IFERROR(INDEX(逆引き作成用!$C$2:$C$169,MATCH($B166&amp;"/"&amp;$C166,逆引き作成用!O$2:O$169,FALSE),1),"")</f>
        <v/>
      </c>
      <c r="P166" s="17" t="str">
        <f>IFERROR(INDEX(逆引き作成用!$C$2:$C$169,MATCH($B166&amp;"/"&amp;$C166,逆引き作成用!P$2:P$169,FALSE),1),"")</f>
        <v/>
      </c>
      <c r="Q166" s="17" t="str">
        <f>IFERROR(INDEX(逆引き作成用!$C$2:$C$169,MATCH($B166&amp;"/"&amp;$C166,逆引き作成用!Q$2:Q$169,FALSE),1),"")</f>
        <v/>
      </c>
      <c r="R166" s="17" t="str">
        <f>IFERROR(INDEX(逆引き作成用!$C$2:$C$169,MATCH($B166&amp;"/"&amp;$C166,逆引き作成用!R$2:R$169,FALSE),1),"")</f>
        <v/>
      </c>
      <c r="S166" s="17" t="str">
        <f>IFERROR(INDEX(逆引き作成用!$C$2:$C$169,MATCH($B166&amp;"/"&amp;$C166,逆引き作成用!S$2:S$169,FALSE),1),"")</f>
        <v/>
      </c>
      <c r="T166" s="17" t="str">
        <f>IFERROR(INDEX(逆引き作成用!$C$2:$C$169,MATCH($B166&amp;"/"&amp;$C166,逆引き作成用!T$2:T$169,FALSE),1),"")</f>
        <v/>
      </c>
      <c r="U166" s="17" t="str">
        <f>IFERROR(INDEX(逆引き作成用!$C$2:$C$169,MATCH($B166&amp;"/"&amp;$C166,逆引き作成用!U$2:U$169,FALSE),1),"")</f>
        <v/>
      </c>
      <c r="V166" s="17" t="str">
        <f>IFERROR(INDEX(逆引き作成用!$C$2:$C$169,MATCH($B166&amp;"/"&amp;$C166,逆引き作成用!V$2:V$169,FALSE),1),"")</f>
        <v/>
      </c>
      <c r="W166" s="17" t="str">
        <f>IFERROR(INDEX(逆引き作成用!$C$2:$C$169,MATCH($B166&amp;"/"&amp;$C166,逆引き作成用!W$2:W$169,FALSE),1),"")</f>
        <v/>
      </c>
      <c r="X166" s="17" t="str">
        <f>IFERROR(INDEX(逆引き作成用!$C$2:$C$169,MATCH($B166&amp;"/"&amp;$C166,逆引き作成用!X$2:X$169,FALSE),1),"")</f>
        <v/>
      </c>
      <c r="Y166" s="17" t="str">
        <f>IFERROR(INDEX(逆引き作成用!$C$2:$C$169,MATCH($B166&amp;"/"&amp;$C166,逆引き作成用!Y$2:Y$169,FALSE),1),"")</f>
        <v/>
      </c>
      <c r="Z166" s="17" t="str">
        <f>IFERROR(INDEX(逆引き作成用!$C$2:$C$169,MATCH($B166&amp;"/"&amp;$C166,逆引き作成用!Z$2:Z$169,FALSE),1),"")</f>
        <v/>
      </c>
      <c r="AA166" s="17" t="str">
        <f>IFERROR(INDEX(逆引き作成用!$C$2:$C$169,MATCH($B166&amp;"/"&amp;$C166,逆引き作成用!AA$2:AA$169,FALSE),1),"")</f>
        <v/>
      </c>
      <c r="AB166" s="17" t="str">
        <f>IFERROR(INDEX(逆引き作成用!$C$2:$C$169,MATCH($B166&amp;"/"&amp;$C166,逆引き作成用!AB$2:AB$169,FALSE),1),"")</f>
        <v/>
      </c>
      <c r="AC166" s="17" t="str">
        <f>IFERROR(INDEX(逆引き作成用!$C$2:$C$169,MATCH($B166&amp;"/"&amp;$C166,逆引き作成用!AC$2:AC$169,FALSE),1),"")</f>
        <v/>
      </c>
      <c r="AD166" s="17" t="str">
        <f>IFERROR(INDEX(逆引き作成用!$C$2:$C$169,MATCH($B166&amp;"/"&amp;$C166,逆引き作成用!AD$2:AD$169,FALSE),1),"")</f>
        <v/>
      </c>
      <c r="AE166" s="17" t="str">
        <f>IFERROR(INDEX(逆引き作成用!$C$2:$C$169,MATCH($B166&amp;"/"&amp;$C166,逆引き作成用!AE$2:AE$169,FALSE),1),"")</f>
        <v/>
      </c>
      <c r="AF166" s="17" t="str">
        <f>IFERROR(INDEX(逆引き作成用!$C$2:$C$169,MATCH($B166&amp;"/"&amp;$C166,逆引き作成用!AF$2:AF$169,FALSE),1),"")</f>
        <v/>
      </c>
      <c r="AG166" s="17" t="str">
        <f>IFERROR(INDEX(逆引き作成用!$C$2:$C$169,MATCH($B166&amp;"/"&amp;$C166,逆引き作成用!AG$2:AG$169,FALSE),1),"")</f>
        <v/>
      </c>
      <c r="AH166" s="17" t="str">
        <f>IFERROR(INDEX(逆引き作成用!$C$2:$C$169,MATCH($B166&amp;"/"&amp;$C166,逆引き作成用!AH$2:AH$169,FALSE),1),"")</f>
        <v/>
      </c>
      <c r="AI166" s="17" t="str">
        <f>IFERROR(INDEX(逆引き作成用!$C$2:$C$169,MATCH($B166&amp;"/"&amp;$C166,逆引き作成用!AI$2:AI$169,FALSE),1),"")</f>
        <v/>
      </c>
      <c r="AJ166" s="17" t="str">
        <f>IFERROR(INDEX(逆引き作成用!$C$2:$C$169,MATCH($B166&amp;"/"&amp;$C166,逆引き作成用!AJ$2:AJ$169,FALSE),1),"")</f>
        <v/>
      </c>
      <c r="AK166" s="17" t="str">
        <f>IFERROR(INDEX(逆引き作成用!$C$2:$C$169,MATCH($B166&amp;"/"&amp;$C166,逆引き作成用!AK$2:AK$169,FALSE),1),"")</f>
        <v/>
      </c>
      <c r="AL166" s="17" t="str">
        <f>IFERROR(INDEX(逆引き作成用!$C$2:$C$169,MATCH($B166&amp;"/"&amp;$C166,逆引き作成用!AL$2:AL$169,FALSE),1),"")</f>
        <v/>
      </c>
      <c r="AM166" s="17" t="str">
        <f>IFERROR(INDEX(逆引き作成用!$C$2:$C$169,MATCH($B166&amp;"/"&amp;$C166,逆引き作成用!AM$2:AM$169,FALSE),1),"")</f>
        <v/>
      </c>
      <c r="AN166" s="17" t="str">
        <f>IFERROR(INDEX(逆引き作成用!$C$2:$C$169,MATCH($B166&amp;"/"&amp;$C166,逆引き作成用!AN$2:AN$169,FALSE),1),"")</f>
        <v/>
      </c>
      <c r="AO166" s="17" t="str">
        <f>IFERROR(INDEX(逆引き作成用!$C$2:$C$169,MATCH($B166&amp;"/"&amp;$C166,逆引き作成用!AO$2:AO$169,FALSE),1),"")</f>
        <v/>
      </c>
      <c r="AP166" s="17" t="str">
        <f>IFERROR(INDEX(逆引き作成用!$C$2:$C$169,MATCH($B166&amp;"/"&amp;$C166,逆引き作成用!AP$2:AP$169,FALSE),1),"")</f>
        <v/>
      </c>
      <c r="AQ166" s="17" t="str">
        <f>IFERROR(INDEX(逆引き作成用!$C$2:$C$169,MATCH($B166&amp;"/"&amp;$C166,逆引き作成用!AQ$2:AQ$169,FALSE),1),"")</f>
        <v/>
      </c>
      <c r="AR166" s="17" t="str">
        <f>IFERROR(INDEX(逆引き作成用!$C$2:$C$169,MATCH($B166&amp;"/"&amp;$C166,逆引き作成用!AR$2:AR$169,FALSE),1),"")</f>
        <v/>
      </c>
      <c r="AS166" s="17" t="str">
        <f>IFERROR(INDEX(逆引き作成用!$C$2:$C$169,MATCH($B166&amp;"/"&amp;$C166,逆引き作成用!AS$2:AS$169,FALSE),1),"")</f>
        <v/>
      </c>
      <c r="AT166" s="17" t="str">
        <f>IFERROR(INDEX(逆引き作成用!$C$2:$C$169,MATCH($B166&amp;"/"&amp;$C166,逆引き作成用!AT$2:AT$169,FALSE),1),"")</f>
        <v/>
      </c>
      <c r="AU166" s="17" t="str">
        <f>IFERROR(INDEX(逆引き作成用!$C$2:$C$169,MATCH($B166&amp;"/"&amp;$C166,逆引き作成用!AU$2:AU$169,FALSE),1),"")</f>
        <v/>
      </c>
      <c r="AV166" s="17" t="str">
        <f>IFERROR(INDEX(逆引き作成用!$C$2:$C$169,MATCH($B166&amp;"/"&amp;$C166,逆引き作成用!AV$2:AV$169,FALSE),1),"")</f>
        <v/>
      </c>
      <c r="AW166" s="17" t="str">
        <f>IFERROR(INDEX(逆引き作成用!$C$2:$C$169,MATCH($B166&amp;"/"&amp;$C166,逆引き作成用!AW$2:AW$169,FALSE),1),"")</f>
        <v/>
      </c>
      <c r="AX166" s="17" t="str">
        <f>IFERROR(INDEX(逆引き作成用!$C$2:$C$169,MATCH($B166&amp;"/"&amp;$C166,逆引き作成用!AX$2:AX$169,FALSE),1),"")</f>
        <v/>
      </c>
      <c r="AY166" s="17" t="str">
        <f>IFERROR(INDEX(逆引き作成用!$C$2:$C$169,MATCH($B166&amp;"/"&amp;$C166,逆引き作成用!AY$2:AY$169,FALSE),1),"")</f>
        <v/>
      </c>
      <c r="AZ166" s="17" t="str">
        <f>IFERROR(INDEX(逆引き作成用!$C$2:$C$169,MATCH($B166&amp;"/"&amp;$C166,逆引き作成用!AZ$2:AZ$169,FALSE),1),"")</f>
        <v/>
      </c>
      <c r="BA166" s="17" t="str">
        <f>IFERROR(INDEX(逆引き作成用!$C$2:$C$169,MATCH($B166&amp;"/"&amp;$C166,逆引き作成用!BA$2:BA$169,FALSE),1),"")</f>
        <v/>
      </c>
    </row>
    <row r="167" spans="1:53">
      <c r="A167" s="17" t="str">
        <f>IFERROR(INDEX(役職一覧!$B$2:$B$31,MATCH(B167,役職一覧!$C$2:$C$31,FALSE),1),"")</f>
        <v/>
      </c>
      <c r="B167" s="17" t="str">
        <f>IFERROR(IF(C167=1,INDEX(役職一覧!$C$2:$C$31,MATCH(逆引き!B166,役職一覧!$C$2:$C$31,FALSE)+1,1)&amp;"",B166),"")</f>
        <v/>
      </c>
      <c r="C167" s="17" t="str">
        <f>IFERROR(IF(VLOOKUP(B166,役職一覧!$C$2:$E$31,3,FALSE)=C166,1,C166+1),"")</f>
        <v/>
      </c>
      <c r="D167" s="17" t="str">
        <f>IFERROR(INDEX(逆引き作成用!$C$2:$C$169,MATCH($B167&amp;"/"&amp;$C167,逆引き作成用!D$2:D$169,FALSE),1),"")</f>
        <v/>
      </c>
      <c r="E167" s="17" t="str">
        <f>IFERROR(INDEX(逆引き作成用!$C$2:$C$169,MATCH($B167&amp;"/"&amp;$C167,逆引き作成用!E$2:E$169,FALSE),1),"")</f>
        <v/>
      </c>
      <c r="F167" s="17" t="str">
        <f>IFERROR(INDEX(逆引き作成用!$C$2:$C$169,MATCH($B167&amp;"/"&amp;$C167,逆引き作成用!F$2:F$169,FALSE),1),"")</f>
        <v/>
      </c>
      <c r="G167" s="17" t="str">
        <f>IFERROR(INDEX(逆引き作成用!$C$2:$C$169,MATCH($B167&amp;"/"&amp;$C167,逆引き作成用!G$2:G$169,FALSE),1),"")</f>
        <v/>
      </c>
      <c r="H167" s="17" t="str">
        <f>IFERROR(INDEX(逆引き作成用!$C$2:$C$169,MATCH($B167&amp;"/"&amp;$C167,逆引き作成用!H$2:H$169,FALSE),1),"")</f>
        <v/>
      </c>
      <c r="I167" s="17" t="str">
        <f>IFERROR(INDEX(逆引き作成用!$C$2:$C$169,MATCH($B167&amp;"/"&amp;$C167,逆引き作成用!I$2:I$169,FALSE),1),"")</f>
        <v/>
      </c>
      <c r="J167" s="17" t="str">
        <f>IFERROR(INDEX(逆引き作成用!$C$2:$C$169,MATCH($B167&amp;"/"&amp;$C167,逆引き作成用!J$2:J$169,FALSE),1),"")</f>
        <v/>
      </c>
      <c r="K167" s="17" t="str">
        <f>IFERROR(INDEX(逆引き作成用!$C$2:$C$169,MATCH($B167&amp;"/"&amp;$C167,逆引き作成用!K$2:K$169,FALSE),1),"")</f>
        <v/>
      </c>
      <c r="L167" s="17" t="str">
        <f>IFERROR(INDEX(逆引き作成用!$C$2:$C$169,MATCH($B167&amp;"/"&amp;$C167,逆引き作成用!L$2:L$169,FALSE),1),"")</f>
        <v/>
      </c>
      <c r="M167" s="17" t="str">
        <f>IFERROR(INDEX(逆引き作成用!$C$2:$C$169,MATCH($B167&amp;"/"&amp;$C167,逆引き作成用!M$2:M$169,FALSE),1),"")</f>
        <v/>
      </c>
      <c r="N167" s="17" t="str">
        <f>IFERROR(INDEX(逆引き作成用!$C$2:$C$169,MATCH($B167&amp;"/"&amp;$C167,逆引き作成用!N$2:N$169,FALSE),1),"")</f>
        <v/>
      </c>
      <c r="O167" s="17" t="str">
        <f>IFERROR(INDEX(逆引き作成用!$C$2:$C$169,MATCH($B167&amp;"/"&amp;$C167,逆引き作成用!O$2:O$169,FALSE),1),"")</f>
        <v/>
      </c>
      <c r="P167" s="17" t="str">
        <f>IFERROR(INDEX(逆引き作成用!$C$2:$C$169,MATCH($B167&amp;"/"&amp;$C167,逆引き作成用!P$2:P$169,FALSE),1),"")</f>
        <v/>
      </c>
      <c r="Q167" s="17" t="str">
        <f>IFERROR(INDEX(逆引き作成用!$C$2:$C$169,MATCH($B167&amp;"/"&amp;$C167,逆引き作成用!Q$2:Q$169,FALSE),1),"")</f>
        <v/>
      </c>
      <c r="R167" s="17" t="str">
        <f>IFERROR(INDEX(逆引き作成用!$C$2:$C$169,MATCH($B167&amp;"/"&amp;$C167,逆引き作成用!R$2:R$169,FALSE),1),"")</f>
        <v/>
      </c>
      <c r="S167" s="17" t="str">
        <f>IFERROR(INDEX(逆引き作成用!$C$2:$C$169,MATCH($B167&amp;"/"&amp;$C167,逆引き作成用!S$2:S$169,FALSE),1),"")</f>
        <v/>
      </c>
      <c r="T167" s="17" t="str">
        <f>IFERROR(INDEX(逆引き作成用!$C$2:$C$169,MATCH($B167&amp;"/"&amp;$C167,逆引き作成用!T$2:T$169,FALSE),1),"")</f>
        <v/>
      </c>
      <c r="U167" s="17" t="str">
        <f>IFERROR(INDEX(逆引き作成用!$C$2:$C$169,MATCH($B167&amp;"/"&amp;$C167,逆引き作成用!U$2:U$169,FALSE),1),"")</f>
        <v/>
      </c>
      <c r="V167" s="17" t="str">
        <f>IFERROR(INDEX(逆引き作成用!$C$2:$C$169,MATCH($B167&amp;"/"&amp;$C167,逆引き作成用!V$2:V$169,FALSE),1),"")</f>
        <v/>
      </c>
      <c r="W167" s="17" t="str">
        <f>IFERROR(INDEX(逆引き作成用!$C$2:$C$169,MATCH($B167&amp;"/"&amp;$C167,逆引き作成用!W$2:W$169,FALSE),1),"")</f>
        <v/>
      </c>
      <c r="X167" s="17" t="str">
        <f>IFERROR(INDEX(逆引き作成用!$C$2:$C$169,MATCH($B167&amp;"/"&amp;$C167,逆引き作成用!X$2:X$169,FALSE),1),"")</f>
        <v/>
      </c>
      <c r="Y167" s="17" t="str">
        <f>IFERROR(INDEX(逆引き作成用!$C$2:$C$169,MATCH($B167&amp;"/"&amp;$C167,逆引き作成用!Y$2:Y$169,FALSE),1),"")</f>
        <v/>
      </c>
      <c r="Z167" s="17" t="str">
        <f>IFERROR(INDEX(逆引き作成用!$C$2:$C$169,MATCH($B167&amp;"/"&amp;$C167,逆引き作成用!Z$2:Z$169,FALSE),1),"")</f>
        <v/>
      </c>
      <c r="AA167" s="17" t="str">
        <f>IFERROR(INDEX(逆引き作成用!$C$2:$C$169,MATCH($B167&amp;"/"&amp;$C167,逆引き作成用!AA$2:AA$169,FALSE),1),"")</f>
        <v/>
      </c>
      <c r="AB167" s="17" t="str">
        <f>IFERROR(INDEX(逆引き作成用!$C$2:$C$169,MATCH($B167&amp;"/"&amp;$C167,逆引き作成用!AB$2:AB$169,FALSE),1),"")</f>
        <v/>
      </c>
      <c r="AC167" s="17" t="str">
        <f>IFERROR(INDEX(逆引き作成用!$C$2:$C$169,MATCH($B167&amp;"/"&amp;$C167,逆引き作成用!AC$2:AC$169,FALSE),1),"")</f>
        <v/>
      </c>
      <c r="AD167" s="17" t="str">
        <f>IFERROR(INDEX(逆引き作成用!$C$2:$C$169,MATCH($B167&amp;"/"&amp;$C167,逆引き作成用!AD$2:AD$169,FALSE),1),"")</f>
        <v/>
      </c>
      <c r="AE167" s="17" t="str">
        <f>IFERROR(INDEX(逆引き作成用!$C$2:$C$169,MATCH($B167&amp;"/"&amp;$C167,逆引き作成用!AE$2:AE$169,FALSE),1),"")</f>
        <v/>
      </c>
      <c r="AF167" s="17" t="str">
        <f>IFERROR(INDEX(逆引き作成用!$C$2:$C$169,MATCH($B167&amp;"/"&amp;$C167,逆引き作成用!AF$2:AF$169,FALSE),1),"")</f>
        <v/>
      </c>
      <c r="AG167" s="17" t="str">
        <f>IFERROR(INDEX(逆引き作成用!$C$2:$C$169,MATCH($B167&amp;"/"&amp;$C167,逆引き作成用!AG$2:AG$169,FALSE),1),"")</f>
        <v/>
      </c>
      <c r="AH167" s="17" t="str">
        <f>IFERROR(INDEX(逆引き作成用!$C$2:$C$169,MATCH($B167&amp;"/"&amp;$C167,逆引き作成用!AH$2:AH$169,FALSE),1),"")</f>
        <v/>
      </c>
      <c r="AI167" s="17" t="str">
        <f>IFERROR(INDEX(逆引き作成用!$C$2:$C$169,MATCH($B167&amp;"/"&amp;$C167,逆引き作成用!AI$2:AI$169,FALSE),1),"")</f>
        <v/>
      </c>
      <c r="AJ167" s="17" t="str">
        <f>IFERROR(INDEX(逆引き作成用!$C$2:$C$169,MATCH($B167&amp;"/"&amp;$C167,逆引き作成用!AJ$2:AJ$169,FALSE),1),"")</f>
        <v/>
      </c>
      <c r="AK167" s="17" t="str">
        <f>IFERROR(INDEX(逆引き作成用!$C$2:$C$169,MATCH($B167&amp;"/"&amp;$C167,逆引き作成用!AK$2:AK$169,FALSE),1),"")</f>
        <v/>
      </c>
      <c r="AL167" s="17" t="str">
        <f>IFERROR(INDEX(逆引き作成用!$C$2:$C$169,MATCH($B167&amp;"/"&amp;$C167,逆引き作成用!AL$2:AL$169,FALSE),1),"")</f>
        <v/>
      </c>
      <c r="AM167" s="17" t="str">
        <f>IFERROR(INDEX(逆引き作成用!$C$2:$C$169,MATCH($B167&amp;"/"&amp;$C167,逆引き作成用!AM$2:AM$169,FALSE),1),"")</f>
        <v/>
      </c>
      <c r="AN167" s="17" t="str">
        <f>IFERROR(INDEX(逆引き作成用!$C$2:$C$169,MATCH($B167&amp;"/"&amp;$C167,逆引き作成用!AN$2:AN$169,FALSE),1),"")</f>
        <v/>
      </c>
      <c r="AO167" s="17" t="str">
        <f>IFERROR(INDEX(逆引き作成用!$C$2:$C$169,MATCH($B167&amp;"/"&amp;$C167,逆引き作成用!AO$2:AO$169,FALSE),1),"")</f>
        <v/>
      </c>
      <c r="AP167" s="17" t="str">
        <f>IFERROR(INDEX(逆引き作成用!$C$2:$C$169,MATCH($B167&amp;"/"&amp;$C167,逆引き作成用!AP$2:AP$169,FALSE),1),"")</f>
        <v/>
      </c>
      <c r="AQ167" s="17" t="str">
        <f>IFERROR(INDEX(逆引き作成用!$C$2:$C$169,MATCH($B167&amp;"/"&amp;$C167,逆引き作成用!AQ$2:AQ$169,FALSE),1),"")</f>
        <v/>
      </c>
      <c r="AR167" s="17" t="str">
        <f>IFERROR(INDEX(逆引き作成用!$C$2:$C$169,MATCH($B167&amp;"/"&amp;$C167,逆引き作成用!AR$2:AR$169,FALSE),1),"")</f>
        <v/>
      </c>
      <c r="AS167" s="17" t="str">
        <f>IFERROR(INDEX(逆引き作成用!$C$2:$C$169,MATCH($B167&amp;"/"&amp;$C167,逆引き作成用!AS$2:AS$169,FALSE),1),"")</f>
        <v/>
      </c>
      <c r="AT167" s="17" t="str">
        <f>IFERROR(INDEX(逆引き作成用!$C$2:$C$169,MATCH($B167&amp;"/"&amp;$C167,逆引き作成用!AT$2:AT$169,FALSE),1),"")</f>
        <v/>
      </c>
      <c r="AU167" s="17" t="str">
        <f>IFERROR(INDEX(逆引き作成用!$C$2:$C$169,MATCH($B167&amp;"/"&amp;$C167,逆引き作成用!AU$2:AU$169,FALSE),1),"")</f>
        <v/>
      </c>
      <c r="AV167" s="17" t="str">
        <f>IFERROR(INDEX(逆引き作成用!$C$2:$C$169,MATCH($B167&amp;"/"&amp;$C167,逆引き作成用!AV$2:AV$169,FALSE),1),"")</f>
        <v/>
      </c>
      <c r="AW167" s="17" t="str">
        <f>IFERROR(INDEX(逆引き作成用!$C$2:$C$169,MATCH($B167&amp;"/"&amp;$C167,逆引き作成用!AW$2:AW$169,FALSE),1),"")</f>
        <v/>
      </c>
      <c r="AX167" s="17" t="str">
        <f>IFERROR(INDEX(逆引き作成用!$C$2:$C$169,MATCH($B167&amp;"/"&amp;$C167,逆引き作成用!AX$2:AX$169,FALSE),1),"")</f>
        <v/>
      </c>
      <c r="AY167" s="17" t="str">
        <f>IFERROR(INDEX(逆引き作成用!$C$2:$C$169,MATCH($B167&amp;"/"&amp;$C167,逆引き作成用!AY$2:AY$169,FALSE),1),"")</f>
        <v/>
      </c>
      <c r="AZ167" s="17" t="str">
        <f>IFERROR(INDEX(逆引き作成用!$C$2:$C$169,MATCH($B167&amp;"/"&amp;$C167,逆引き作成用!AZ$2:AZ$169,FALSE),1),"")</f>
        <v/>
      </c>
      <c r="BA167" s="17" t="str">
        <f>IFERROR(INDEX(逆引き作成用!$C$2:$C$169,MATCH($B167&amp;"/"&amp;$C167,逆引き作成用!BA$2:BA$169,FALSE),1),"")</f>
        <v/>
      </c>
    </row>
    <row r="168" spans="1:53">
      <c r="A168" s="17" t="str">
        <f>IFERROR(INDEX(役職一覧!$B$2:$B$31,MATCH(B168,役職一覧!$C$2:$C$31,FALSE),1),"")</f>
        <v/>
      </c>
      <c r="B168" s="17" t="str">
        <f>IFERROR(IF(C168=1,INDEX(役職一覧!$C$2:$C$31,MATCH(逆引き!B167,役職一覧!$C$2:$C$31,FALSE)+1,1)&amp;"",B167),"")</f>
        <v/>
      </c>
      <c r="C168" s="17" t="str">
        <f>IFERROR(IF(VLOOKUP(B167,役職一覧!$C$2:$E$31,3,FALSE)=C167,1,C167+1),"")</f>
        <v/>
      </c>
      <c r="D168" s="17" t="str">
        <f>IFERROR(INDEX(逆引き作成用!$C$2:$C$169,MATCH($B168&amp;"/"&amp;$C168,逆引き作成用!D$2:D$169,FALSE),1),"")</f>
        <v/>
      </c>
      <c r="E168" s="17" t="str">
        <f>IFERROR(INDEX(逆引き作成用!$C$2:$C$169,MATCH($B168&amp;"/"&amp;$C168,逆引き作成用!E$2:E$169,FALSE),1),"")</f>
        <v/>
      </c>
      <c r="F168" s="17" t="str">
        <f>IFERROR(INDEX(逆引き作成用!$C$2:$C$169,MATCH($B168&amp;"/"&amp;$C168,逆引き作成用!F$2:F$169,FALSE),1),"")</f>
        <v/>
      </c>
      <c r="G168" s="17" t="str">
        <f>IFERROR(INDEX(逆引き作成用!$C$2:$C$169,MATCH($B168&amp;"/"&amp;$C168,逆引き作成用!G$2:G$169,FALSE),1),"")</f>
        <v/>
      </c>
      <c r="H168" s="17" t="str">
        <f>IFERROR(INDEX(逆引き作成用!$C$2:$C$169,MATCH($B168&amp;"/"&amp;$C168,逆引き作成用!H$2:H$169,FALSE),1),"")</f>
        <v/>
      </c>
      <c r="I168" s="17" t="str">
        <f>IFERROR(INDEX(逆引き作成用!$C$2:$C$169,MATCH($B168&amp;"/"&amp;$C168,逆引き作成用!I$2:I$169,FALSE),1),"")</f>
        <v/>
      </c>
      <c r="J168" s="17" t="str">
        <f>IFERROR(INDEX(逆引き作成用!$C$2:$C$169,MATCH($B168&amp;"/"&amp;$C168,逆引き作成用!J$2:J$169,FALSE),1),"")</f>
        <v/>
      </c>
      <c r="K168" s="17" t="str">
        <f>IFERROR(INDEX(逆引き作成用!$C$2:$C$169,MATCH($B168&amp;"/"&amp;$C168,逆引き作成用!K$2:K$169,FALSE),1),"")</f>
        <v/>
      </c>
      <c r="L168" s="17" t="str">
        <f>IFERROR(INDEX(逆引き作成用!$C$2:$C$169,MATCH($B168&amp;"/"&amp;$C168,逆引き作成用!L$2:L$169,FALSE),1),"")</f>
        <v/>
      </c>
      <c r="M168" s="17" t="str">
        <f>IFERROR(INDEX(逆引き作成用!$C$2:$C$169,MATCH($B168&amp;"/"&amp;$C168,逆引き作成用!M$2:M$169,FALSE),1),"")</f>
        <v/>
      </c>
      <c r="N168" s="17" t="str">
        <f>IFERROR(INDEX(逆引き作成用!$C$2:$C$169,MATCH($B168&amp;"/"&amp;$C168,逆引き作成用!N$2:N$169,FALSE),1),"")</f>
        <v/>
      </c>
      <c r="O168" s="17" t="str">
        <f>IFERROR(INDEX(逆引き作成用!$C$2:$C$169,MATCH($B168&amp;"/"&amp;$C168,逆引き作成用!O$2:O$169,FALSE),1),"")</f>
        <v/>
      </c>
      <c r="P168" s="17" t="str">
        <f>IFERROR(INDEX(逆引き作成用!$C$2:$C$169,MATCH($B168&amp;"/"&amp;$C168,逆引き作成用!P$2:P$169,FALSE),1),"")</f>
        <v/>
      </c>
      <c r="Q168" s="17" t="str">
        <f>IFERROR(INDEX(逆引き作成用!$C$2:$C$169,MATCH($B168&amp;"/"&amp;$C168,逆引き作成用!Q$2:Q$169,FALSE),1),"")</f>
        <v/>
      </c>
      <c r="R168" s="17" t="str">
        <f>IFERROR(INDEX(逆引き作成用!$C$2:$C$169,MATCH($B168&amp;"/"&amp;$C168,逆引き作成用!R$2:R$169,FALSE),1),"")</f>
        <v/>
      </c>
      <c r="S168" s="17" t="str">
        <f>IFERROR(INDEX(逆引き作成用!$C$2:$C$169,MATCH($B168&amp;"/"&amp;$C168,逆引き作成用!S$2:S$169,FALSE),1),"")</f>
        <v/>
      </c>
      <c r="T168" s="17" t="str">
        <f>IFERROR(INDEX(逆引き作成用!$C$2:$C$169,MATCH($B168&amp;"/"&amp;$C168,逆引き作成用!T$2:T$169,FALSE),1),"")</f>
        <v/>
      </c>
      <c r="U168" s="17" t="str">
        <f>IFERROR(INDEX(逆引き作成用!$C$2:$C$169,MATCH($B168&amp;"/"&amp;$C168,逆引き作成用!U$2:U$169,FALSE),1),"")</f>
        <v/>
      </c>
      <c r="V168" s="17" t="str">
        <f>IFERROR(INDEX(逆引き作成用!$C$2:$C$169,MATCH($B168&amp;"/"&amp;$C168,逆引き作成用!V$2:V$169,FALSE),1),"")</f>
        <v/>
      </c>
      <c r="W168" s="17" t="str">
        <f>IFERROR(INDEX(逆引き作成用!$C$2:$C$169,MATCH($B168&amp;"/"&amp;$C168,逆引き作成用!W$2:W$169,FALSE),1),"")</f>
        <v/>
      </c>
      <c r="X168" s="17" t="str">
        <f>IFERROR(INDEX(逆引き作成用!$C$2:$C$169,MATCH($B168&amp;"/"&amp;$C168,逆引き作成用!X$2:X$169,FALSE),1),"")</f>
        <v/>
      </c>
      <c r="Y168" s="17" t="str">
        <f>IFERROR(INDEX(逆引き作成用!$C$2:$C$169,MATCH($B168&amp;"/"&amp;$C168,逆引き作成用!Y$2:Y$169,FALSE),1),"")</f>
        <v/>
      </c>
      <c r="Z168" s="17" t="str">
        <f>IFERROR(INDEX(逆引き作成用!$C$2:$C$169,MATCH($B168&amp;"/"&amp;$C168,逆引き作成用!Z$2:Z$169,FALSE),1),"")</f>
        <v/>
      </c>
      <c r="AA168" s="17" t="str">
        <f>IFERROR(INDEX(逆引き作成用!$C$2:$C$169,MATCH($B168&amp;"/"&amp;$C168,逆引き作成用!AA$2:AA$169,FALSE),1),"")</f>
        <v/>
      </c>
      <c r="AB168" s="17" t="str">
        <f>IFERROR(INDEX(逆引き作成用!$C$2:$C$169,MATCH($B168&amp;"/"&amp;$C168,逆引き作成用!AB$2:AB$169,FALSE),1),"")</f>
        <v/>
      </c>
      <c r="AC168" s="17" t="str">
        <f>IFERROR(INDEX(逆引き作成用!$C$2:$C$169,MATCH($B168&amp;"/"&amp;$C168,逆引き作成用!AC$2:AC$169,FALSE),1),"")</f>
        <v/>
      </c>
      <c r="AD168" s="17" t="str">
        <f>IFERROR(INDEX(逆引き作成用!$C$2:$C$169,MATCH($B168&amp;"/"&amp;$C168,逆引き作成用!AD$2:AD$169,FALSE),1),"")</f>
        <v/>
      </c>
      <c r="AE168" s="17" t="str">
        <f>IFERROR(INDEX(逆引き作成用!$C$2:$C$169,MATCH($B168&amp;"/"&amp;$C168,逆引き作成用!AE$2:AE$169,FALSE),1),"")</f>
        <v/>
      </c>
      <c r="AF168" s="17" t="str">
        <f>IFERROR(INDEX(逆引き作成用!$C$2:$C$169,MATCH($B168&amp;"/"&amp;$C168,逆引き作成用!AF$2:AF$169,FALSE),1),"")</f>
        <v/>
      </c>
      <c r="AG168" s="17" t="str">
        <f>IFERROR(INDEX(逆引き作成用!$C$2:$C$169,MATCH($B168&amp;"/"&amp;$C168,逆引き作成用!AG$2:AG$169,FALSE),1),"")</f>
        <v/>
      </c>
      <c r="AH168" s="17" t="str">
        <f>IFERROR(INDEX(逆引き作成用!$C$2:$C$169,MATCH($B168&amp;"/"&amp;$C168,逆引き作成用!AH$2:AH$169,FALSE),1),"")</f>
        <v/>
      </c>
      <c r="AI168" s="17" t="str">
        <f>IFERROR(INDEX(逆引き作成用!$C$2:$C$169,MATCH($B168&amp;"/"&amp;$C168,逆引き作成用!AI$2:AI$169,FALSE),1),"")</f>
        <v/>
      </c>
      <c r="AJ168" s="17" t="str">
        <f>IFERROR(INDEX(逆引き作成用!$C$2:$C$169,MATCH($B168&amp;"/"&amp;$C168,逆引き作成用!AJ$2:AJ$169,FALSE),1),"")</f>
        <v/>
      </c>
      <c r="AK168" s="17" t="str">
        <f>IFERROR(INDEX(逆引き作成用!$C$2:$C$169,MATCH($B168&amp;"/"&amp;$C168,逆引き作成用!AK$2:AK$169,FALSE),1),"")</f>
        <v/>
      </c>
      <c r="AL168" s="17" t="str">
        <f>IFERROR(INDEX(逆引き作成用!$C$2:$C$169,MATCH($B168&amp;"/"&amp;$C168,逆引き作成用!AL$2:AL$169,FALSE),1),"")</f>
        <v/>
      </c>
      <c r="AM168" s="17" t="str">
        <f>IFERROR(INDEX(逆引き作成用!$C$2:$C$169,MATCH($B168&amp;"/"&amp;$C168,逆引き作成用!AM$2:AM$169,FALSE),1),"")</f>
        <v/>
      </c>
      <c r="AN168" s="17" t="str">
        <f>IFERROR(INDEX(逆引き作成用!$C$2:$C$169,MATCH($B168&amp;"/"&amp;$C168,逆引き作成用!AN$2:AN$169,FALSE),1),"")</f>
        <v/>
      </c>
      <c r="AO168" s="17" t="str">
        <f>IFERROR(INDEX(逆引き作成用!$C$2:$C$169,MATCH($B168&amp;"/"&amp;$C168,逆引き作成用!AO$2:AO$169,FALSE),1),"")</f>
        <v/>
      </c>
      <c r="AP168" s="17" t="str">
        <f>IFERROR(INDEX(逆引き作成用!$C$2:$C$169,MATCH($B168&amp;"/"&amp;$C168,逆引き作成用!AP$2:AP$169,FALSE),1),"")</f>
        <v/>
      </c>
      <c r="AQ168" s="17" t="str">
        <f>IFERROR(INDEX(逆引き作成用!$C$2:$C$169,MATCH($B168&amp;"/"&amp;$C168,逆引き作成用!AQ$2:AQ$169,FALSE),1),"")</f>
        <v/>
      </c>
      <c r="AR168" s="17" t="str">
        <f>IFERROR(INDEX(逆引き作成用!$C$2:$C$169,MATCH($B168&amp;"/"&amp;$C168,逆引き作成用!AR$2:AR$169,FALSE),1),"")</f>
        <v/>
      </c>
      <c r="AS168" s="17" t="str">
        <f>IFERROR(INDEX(逆引き作成用!$C$2:$C$169,MATCH($B168&amp;"/"&amp;$C168,逆引き作成用!AS$2:AS$169,FALSE),1),"")</f>
        <v/>
      </c>
      <c r="AT168" s="17" t="str">
        <f>IFERROR(INDEX(逆引き作成用!$C$2:$C$169,MATCH($B168&amp;"/"&amp;$C168,逆引き作成用!AT$2:AT$169,FALSE),1),"")</f>
        <v/>
      </c>
      <c r="AU168" s="17" t="str">
        <f>IFERROR(INDEX(逆引き作成用!$C$2:$C$169,MATCH($B168&amp;"/"&amp;$C168,逆引き作成用!AU$2:AU$169,FALSE),1),"")</f>
        <v/>
      </c>
      <c r="AV168" s="17" t="str">
        <f>IFERROR(INDEX(逆引き作成用!$C$2:$C$169,MATCH($B168&amp;"/"&amp;$C168,逆引き作成用!AV$2:AV$169,FALSE),1),"")</f>
        <v/>
      </c>
      <c r="AW168" s="17" t="str">
        <f>IFERROR(INDEX(逆引き作成用!$C$2:$C$169,MATCH($B168&amp;"/"&amp;$C168,逆引き作成用!AW$2:AW$169,FALSE),1),"")</f>
        <v/>
      </c>
      <c r="AX168" s="17" t="str">
        <f>IFERROR(INDEX(逆引き作成用!$C$2:$C$169,MATCH($B168&amp;"/"&amp;$C168,逆引き作成用!AX$2:AX$169,FALSE),1),"")</f>
        <v/>
      </c>
      <c r="AY168" s="17" t="str">
        <f>IFERROR(INDEX(逆引き作成用!$C$2:$C$169,MATCH($B168&amp;"/"&amp;$C168,逆引き作成用!AY$2:AY$169,FALSE),1),"")</f>
        <v/>
      </c>
      <c r="AZ168" s="17" t="str">
        <f>IFERROR(INDEX(逆引き作成用!$C$2:$C$169,MATCH($B168&amp;"/"&amp;$C168,逆引き作成用!AZ$2:AZ$169,FALSE),1),"")</f>
        <v/>
      </c>
      <c r="BA168" s="17" t="str">
        <f>IFERROR(INDEX(逆引き作成用!$C$2:$C$169,MATCH($B168&amp;"/"&amp;$C168,逆引き作成用!BA$2:BA$169,FALSE),1),"")</f>
        <v/>
      </c>
    </row>
    <row r="169" spans="1:53">
      <c r="A169" s="17" t="str">
        <f>IFERROR(INDEX(役職一覧!$B$2:$B$31,MATCH(B169,役職一覧!$C$2:$C$31,FALSE),1),"")</f>
        <v/>
      </c>
      <c r="B169" s="17" t="str">
        <f>IFERROR(IF(C169=1,INDEX(役職一覧!$C$2:$C$31,MATCH(逆引き!B168,役職一覧!$C$2:$C$31,FALSE)+1,1)&amp;"",B168),"")</f>
        <v/>
      </c>
      <c r="C169" s="17" t="str">
        <f>IFERROR(IF(VLOOKUP(B168,役職一覧!$C$2:$E$31,3,FALSE)=C168,1,C168+1),"")</f>
        <v/>
      </c>
      <c r="D169" s="17" t="str">
        <f>IFERROR(INDEX(逆引き作成用!$C$2:$C$169,MATCH($B169&amp;"/"&amp;$C169,逆引き作成用!D$2:D$169,FALSE),1),"")</f>
        <v/>
      </c>
      <c r="E169" s="17" t="str">
        <f>IFERROR(INDEX(逆引き作成用!$C$2:$C$169,MATCH($B169&amp;"/"&amp;$C169,逆引き作成用!E$2:E$169,FALSE),1),"")</f>
        <v/>
      </c>
      <c r="F169" s="17" t="str">
        <f>IFERROR(INDEX(逆引き作成用!$C$2:$C$169,MATCH($B169&amp;"/"&amp;$C169,逆引き作成用!F$2:F$169,FALSE),1),"")</f>
        <v/>
      </c>
      <c r="G169" s="17" t="str">
        <f>IFERROR(INDEX(逆引き作成用!$C$2:$C$169,MATCH($B169&amp;"/"&amp;$C169,逆引き作成用!G$2:G$169,FALSE),1),"")</f>
        <v/>
      </c>
      <c r="H169" s="17" t="str">
        <f>IFERROR(INDEX(逆引き作成用!$C$2:$C$169,MATCH($B169&amp;"/"&amp;$C169,逆引き作成用!H$2:H$169,FALSE),1),"")</f>
        <v/>
      </c>
      <c r="I169" s="17" t="str">
        <f>IFERROR(INDEX(逆引き作成用!$C$2:$C$169,MATCH($B169&amp;"/"&amp;$C169,逆引き作成用!I$2:I$169,FALSE),1),"")</f>
        <v/>
      </c>
      <c r="J169" s="17" t="str">
        <f>IFERROR(INDEX(逆引き作成用!$C$2:$C$169,MATCH($B169&amp;"/"&amp;$C169,逆引き作成用!J$2:J$169,FALSE),1),"")</f>
        <v/>
      </c>
      <c r="K169" s="17" t="str">
        <f>IFERROR(INDEX(逆引き作成用!$C$2:$C$169,MATCH($B169&amp;"/"&amp;$C169,逆引き作成用!K$2:K$169,FALSE),1),"")</f>
        <v/>
      </c>
      <c r="L169" s="17" t="str">
        <f>IFERROR(INDEX(逆引き作成用!$C$2:$C$169,MATCH($B169&amp;"/"&amp;$C169,逆引き作成用!L$2:L$169,FALSE),1),"")</f>
        <v/>
      </c>
      <c r="M169" s="17" t="str">
        <f>IFERROR(INDEX(逆引き作成用!$C$2:$C$169,MATCH($B169&amp;"/"&amp;$C169,逆引き作成用!M$2:M$169,FALSE),1),"")</f>
        <v/>
      </c>
      <c r="N169" s="17" t="str">
        <f>IFERROR(INDEX(逆引き作成用!$C$2:$C$169,MATCH($B169&amp;"/"&amp;$C169,逆引き作成用!N$2:N$169,FALSE),1),"")</f>
        <v/>
      </c>
      <c r="O169" s="17" t="str">
        <f>IFERROR(INDEX(逆引き作成用!$C$2:$C$169,MATCH($B169&amp;"/"&amp;$C169,逆引き作成用!O$2:O$169,FALSE),1),"")</f>
        <v/>
      </c>
      <c r="P169" s="17" t="str">
        <f>IFERROR(INDEX(逆引き作成用!$C$2:$C$169,MATCH($B169&amp;"/"&amp;$C169,逆引き作成用!P$2:P$169,FALSE),1),"")</f>
        <v/>
      </c>
      <c r="Q169" s="17" t="str">
        <f>IFERROR(INDEX(逆引き作成用!$C$2:$C$169,MATCH($B169&amp;"/"&amp;$C169,逆引き作成用!Q$2:Q$169,FALSE),1),"")</f>
        <v/>
      </c>
      <c r="R169" s="17" t="str">
        <f>IFERROR(INDEX(逆引き作成用!$C$2:$C$169,MATCH($B169&amp;"/"&amp;$C169,逆引き作成用!R$2:R$169,FALSE),1),"")</f>
        <v/>
      </c>
      <c r="S169" s="17" t="str">
        <f>IFERROR(INDEX(逆引き作成用!$C$2:$C$169,MATCH($B169&amp;"/"&amp;$C169,逆引き作成用!S$2:S$169,FALSE),1),"")</f>
        <v/>
      </c>
      <c r="T169" s="17" t="str">
        <f>IFERROR(INDEX(逆引き作成用!$C$2:$C$169,MATCH($B169&amp;"/"&amp;$C169,逆引き作成用!T$2:T$169,FALSE),1),"")</f>
        <v/>
      </c>
      <c r="U169" s="17" t="str">
        <f>IFERROR(INDEX(逆引き作成用!$C$2:$C$169,MATCH($B169&amp;"/"&amp;$C169,逆引き作成用!U$2:U$169,FALSE),1),"")</f>
        <v/>
      </c>
      <c r="V169" s="17" t="str">
        <f>IFERROR(INDEX(逆引き作成用!$C$2:$C$169,MATCH($B169&amp;"/"&amp;$C169,逆引き作成用!V$2:V$169,FALSE),1),"")</f>
        <v/>
      </c>
      <c r="W169" s="17" t="str">
        <f>IFERROR(INDEX(逆引き作成用!$C$2:$C$169,MATCH($B169&amp;"/"&amp;$C169,逆引き作成用!W$2:W$169,FALSE),1),"")</f>
        <v/>
      </c>
      <c r="X169" s="17" t="str">
        <f>IFERROR(INDEX(逆引き作成用!$C$2:$C$169,MATCH($B169&amp;"/"&amp;$C169,逆引き作成用!X$2:X$169,FALSE),1),"")</f>
        <v/>
      </c>
      <c r="Y169" s="17" t="str">
        <f>IFERROR(INDEX(逆引き作成用!$C$2:$C$169,MATCH($B169&amp;"/"&amp;$C169,逆引き作成用!Y$2:Y$169,FALSE),1),"")</f>
        <v/>
      </c>
      <c r="Z169" s="17" t="str">
        <f>IFERROR(INDEX(逆引き作成用!$C$2:$C$169,MATCH($B169&amp;"/"&amp;$C169,逆引き作成用!Z$2:Z$169,FALSE),1),"")</f>
        <v/>
      </c>
      <c r="AA169" s="17" t="str">
        <f>IFERROR(INDEX(逆引き作成用!$C$2:$C$169,MATCH($B169&amp;"/"&amp;$C169,逆引き作成用!AA$2:AA$169,FALSE),1),"")</f>
        <v/>
      </c>
      <c r="AB169" s="17" t="str">
        <f>IFERROR(INDEX(逆引き作成用!$C$2:$C$169,MATCH($B169&amp;"/"&amp;$C169,逆引き作成用!AB$2:AB$169,FALSE),1),"")</f>
        <v/>
      </c>
      <c r="AC169" s="17" t="str">
        <f>IFERROR(INDEX(逆引き作成用!$C$2:$C$169,MATCH($B169&amp;"/"&amp;$C169,逆引き作成用!AC$2:AC$169,FALSE),1),"")</f>
        <v/>
      </c>
      <c r="AD169" s="17" t="str">
        <f>IFERROR(INDEX(逆引き作成用!$C$2:$C$169,MATCH($B169&amp;"/"&amp;$C169,逆引き作成用!AD$2:AD$169,FALSE),1),"")</f>
        <v/>
      </c>
      <c r="AE169" s="17" t="str">
        <f>IFERROR(INDEX(逆引き作成用!$C$2:$C$169,MATCH($B169&amp;"/"&amp;$C169,逆引き作成用!AE$2:AE$169,FALSE),1),"")</f>
        <v/>
      </c>
      <c r="AF169" s="17" t="str">
        <f>IFERROR(INDEX(逆引き作成用!$C$2:$C$169,MATCH($B169&amp;"/"&amp;$C169,逆引き作成用!AF$2:AF$169,FALSE),1),"")</f>
        <v/>
      </c>
      <c r="AG169" s="17" t="str">
        <f>IFERROR(INDEX(逆引き作成用!$C$2:$C$169,MATCH($B169&amp;"/"&amp;$C169,逆引き作成用!AG$2:AG$169,FALSE),1),"")</f>
        <v/>
      </c>
      <c r="AH169" s="17" t="str">
        <f>IFERROR(INDEX(逆引き作成用!$C$2:$C$169,MATCH($B169&amp;"/"&amp;$C169,逆引き作成用!AH$2:AH$169,FALSE),1),"")</f>
        <v/>
      </c>
      <c r="AI169" s="17" t="str">
        <f>IFERROR(INDEX(逆引き作成用!$C$2:$C$169,MATCH($B169&amp;"/"&amp;$C169,逆引き作成用!AI$2:AI$169,FALSE),1),"")</f>
        <v/>
      </c>
      <c r="AJ169" s="17" t="str">
        <f>IFERROR(INDEX(逆引き作成用!$C$2:$C$169,MATCH($B169&amp;"/"&amp;$C169,逆引き作成用!AJ$2:AJ$169,FALSE),1),"")</f>
        <v/>
      </c>
      <c r="AK169" s="17" t="str">
        <f>IFERROR(INDEX(逆引き作成用!$C$2:$C$169,MATCH($B169&amp;"/"&amp;$C169,逆引き作成用!AK$2:AK$169,FALSE),1),"")</f>
        <v/>
      </c>
      <c r="AL169" s="17" t="str">
        <f>IFERROR(INDEX(逆引き作成用!$C$2:$C$169,MATCH($B169&amp;"/"&amp;$C169,逆引き作成用!AL$2:AL$169,FALSE),1),"")</f>
        <v/>
      </c>
      <c r="AM169" s="17" t="str">
        <f>IFERROR(INDEX(逆引き作成用!$C$2:$C$169,MATCH($B169&amp;"/"&amp;$C169,逆引き作成用!AM$2:AM$169,FALSE),1),"")</f>
        <v/>
      </c>
      <c r="AN169" s="17" t="str">
        <f>IFERROR(INDEX(逆引き作成用!$C$2:$C$169,MATCH($B169&amp;"/"&amp;$C169,逆引き作成用!AN$2:AN$169,FALSE),1),"")</f>
        <v/>
      </c>
      <c r="AO169" s="17" t="str">
        <f>IFERROR(INDEX(逆引き作成用!$C$2:$C$169,MATCH($B169&amp;"/"&amp;$C169,逆引き作成用!AO$2:AO$169,FALSE),1),"")</f>
        <v/>
      </c>
      <c r="AP169" s="17" t="str">
        <f>IFERROR(INDEX(逆引き作成用!$C$2:$C$169,MATCH($B169&amp;"/"&amp;$C169,逆引き作成用!AP$2:AP$169,FALSE),1),"")</f>
        <v/>
      </c>
      <c r="AQ169" s="17" t="str">
        <f>IFERROR(INDEX(逆引き作成用!$C$2:$C$169,MATCH($B169&amp;"/"&amp;$C169,逆引き作成用!AQ$2:AQ$169,FALSE),1),"")</f>
        <v/>
      </c>
      <c r="AR169" s="17" t="str">
        <f>IFERROR(INDEX(逆引き作成用!$C$2:$C$169,MATCH($B169&amp;"/"&amp;$C169,逆引き作成用!AR$2:AR$169,FALSE),1),"")</f>
        <v/>
      </c>
      <c r="AS169" s="17" t="str">
        <f>IFERROR(INDEX(逆引き作成用!$C$2:$C$169,MATCH($B169&amp;"/"&amp;$C169,逆引き作成用!AS$2:AS$169,FALSE),1),"")</f>
        <v/>
      </c>
      <c r="AT169" s="17" t="str">
        <f>IFERROR(INDEX(逆引き作成用!$C$2:$C$169,MATCH($B169&amp;"/"&amp;$C169,逆引き作成用!AT$2:AT$169,FALSE),1),"")</f>
        <v/>
      </c>
      <c r="AU169" s="17" t="str">
        <f>IFERROR(INDEX(逆引き作成用!$C$2:$C$169,MATCH($B169&amp;"/"&amp;$C169,逆引き作成用!AU$2:AU$169,FALSE),1),"")</f>
        <v/>
      </c>
      <c r="AV169" s="17" t="str">
        <f>IFERROR(INDEX(逆引き作成用!$C$2:$C$169,MATCH($B169&amp;"/"&amp;$C169,逆引き作成用!AV$2:AV$169,FALSE),1),"")</f>
        <v/>
      </c>
      <c r="AW169" s="17" t="str">
        <f>IFERROR(INDEX(逆引き作成用!$C$2:$C$169,MATCH($B169&amp;"/"&amp;$C169,逆引き作成用!AW$2:AW$169,FALSE),1),"")</f>
        <v/>
      </c>
      <c r="AX169" s="17" t="str">
        <f>IFERROR(INDEX(逆引き作成用!$C$2:$C$169,MATCH($B169&amp;"/"&amp;$C169,逆引き作成用!AX$2:AX$169,FALSE),1),"")</f>
        <v/>
      </c>
      <c r="AY169" s="17" t="str">
        <f>IFERROR(INDEX(逆引き作成用!$C$2:$C$169,MATCH($B169&amp;"/"&amp;$C169,逆引き作成用!AY$2:AY$169,FALSE),1),"")</f>
        <v/>
      </c>
      <c r="AZ169" s="17" t="str">
        <f>IFERROR(INDEX(逆引き作成用!$C$2:$C$169,MATCH($B169&amp;"/"&amp;$C169,逆引き作成用!AZ$2:AZ$169,FALSE),1),"")</f>
        <v/>
      </c>
      <c r="BA169" s="17" t="str">
        <f>IFERROR(INDEX(逆引き作成用!$C$2:$C$169,MATCH($B169&amp;"/"&amp;$C169,逆引き作成用!BA$2:BA$169,FALSE),1),"")</f>
        <v/>
      </c>
    </row>
    <row r="170" spans="1:53">
      <c r="A170" s="17" t="str">
        <f>IFERROR(INDEX(役職一覧!$B$2:$B$31,MATCH(B170,役職一覧!$C$2:$C$31,FALSE),1),"")</f>
        <v/>
      </c>
      <c r="B170" s="17" t="str">
        <f>IFERROR(IF(C170=1,INDEX(役職一覧!$C$2:$C$31,MATCH(逆引き!B169,役職一覧!$C$2:$C$31,FALSE)+1,1)&amp;"",B169),"")</f>
        <v/>
      </c>
      <c r="C170" s="17" t="str">
        <f>IFERROR(IF(VLOOKUP(B169,役職一覧!$C$2:$E$31,3,FALSE)=C169,1,C169+1),"")</f>
        <v/>
      </c>
      <c r="D170" s="17" t="str">
        <f>IFERROR(INDEX(逆引き作成用!$C$2:$C$169,MATCH($B170&amp;"/"&amp;$C170,逆引き作成用!D$2:D$169,FALSE),1),"")</f>
        <v/>
      </c>
      <c r="E170" s="17" t="str">
        <f>IFERROR(INDEX(逆引き作成用!$C$2:$C$169,MATCH($B170&amp;"/"&amp;$C170,逆引き作成用!E$2:E$169,FALSE),1),"")</f>
        <v/>
      </c>
      <c r="F170" s="17" t="str">
        <f>IFERROR(INDEX(逆引き作成用!$C$2:$C$169,MATCH($B170&amp;"/"&amp;$C170,逆引き作成用!F$2:F$169,FALSE),1),"")</f>
        <v/>
      </c>
      <c r="G170" s="17" t="str">
        <f>IFERROR(INDEX(逆引き作成用!$C$2:$C$169,MATCH($B170&amp;"/"&amp;$C170,逆引き作成用!G$2:G$169,FALSE),1),"")</f>
        <v/>
      </c>
      <c r="H170" s="17" t="str">
        <f>IFERROR(INDEX(逆引き作成用!$C$2:$C$169,MATCH($B170&amp;"/"&amp;$C170,逆引き作成用!H$2:H$169,FALSE),1),"")</f>
        <v/>
      </c>
      <c r="I170" s="17" t="str">
        <f>IFERROR(INDEX(逆引き作成用!$C$2:$C$169,MATCH($B170&amp;"/"&amp;$C170,逆引き作成用!I$2:I$169,FALSE),1),"")</f>
        <v/>
      </c>
      <c r="J170" s="17" t="str">
        <f>IFERROR(INDEX(逆引き作成用!$C$2:$C$169,MATCH($B170&amp;"/"&amp;$C170,逆引き作成用!J$2:J$169,FALSE),1),"")</f>
        <v/>
      </c>
      <c r="K170" s="17" t="str">
        <f>IFERROR(INDEX(逆引き作成用!$C$2:$C$169,MATCH($B170&amp;"/"&amp;$C170,逆引き作成用!K$2:K$169,FALSE),1),"")</f>
        <v/>
      </c>
      <c r="L170" s="17" t="str">
        <f>IFERROR(INDEX(逆引き作成用!$C$2:$C$169,MATCH($B170&amp;"/"&amp;$C170,逆引き作成用!L$2:L$169,FALSE),1),"")</f>
        <v/>
      </c>
      <c r="M170" s="17" t="str">
        <f>IFERROR(INDEX(逆引き作成用!$C$2:$C$169,MATCH($B170&amp;"/"&amp;$C170,逆引き作成用!M$2:M$169,FALSE),1),"")</f>
        <v/>
      </c>
      <c r="N170" s="17" t="str">
        <f>IFERROR(INDEX(逆引き作成用!$C$2:$C$169,MATCH($B170&amp;"/"&amp;$C170,逆引き作成用!N$2:N$169,FALSE),1),"")</f>
        <v/>
      </c>
      <c r="O170" s="17" t="str">
        <f>IFERROR(INDEX(逆引き作成用!$C$2:$C$169,MATCH($B170&amp;"/"&amp;$C170,逆引き作成用!O$2:O$169,FALSE),1),"")</f>
        <v/>
      </c>
      <c r="P170" s="17" t="str">
        <f>IFERROR(INDEX(逆引き作成用!$C$2:$C$169,MATCH($B170&amp;"/"&amp;$C170,逆引き作成用!P$2:P$169,FALSE),1),"")</f>
        <v/>
      </c>
      <c r="Q170" s="17" t="str">
        <f>IFERROR(INDEX(逆引き作成用!$C$2:$C$169,MATCH($B170&amp;"/"&amp;$C170,逆引き作成用!Q$2:Q$169,FALSE),1),"")</f>
        <v/>
      </c>
      <c r="R170" s="17" t="str">
        <f>IFERROR(INDEX(逆引き作成用!$C$2:$C$169,MATCH($B170&amp;"/"&amp;$C170,逆引き作成用!R$2:R$169,FALSE),1),"")</f>
        <v/>
      </c>
      <c r="S170" s="17" t="str">
        <f>IFERROR(INDEX(逆引き作成用!$C$2:$C$169,MATCH($B170&amp;"/"&amp;$C170,逆引き作成用!S$2:S$169,FALSE),1),"")</f>
        <v/>
      </c>
      <c r="T170" s="17" t="str">
        <f>IFERROR(INDEX(逆引き作成用!$C$2:$C$169,MATCH($B170&amp;"/"&amp;$C170,逆引き作成用!T$2:T$169,FALSE),1),"")</f>
        <v/>
      </c>
      <c r="U170" s="17" t="str">
        <f>IFERROR(INDEX(逆引き作成用!$C$2:$C$169,MATCH($B170&amp;"/"&amp;$C170,逆引き作成用!U$2:U$169,FALSE),1),"")</f>
        <v/>
      </c>
      <c r="V170" s="17" t="str">
        <f>IFERROR(INDEX(逆引き作成用!$C$2:$C$169,MATCH($B170&amp;"/"&amp;$C170,逆引き作成用!V$2:V$169,FALSE),1),"")</f>
        <v/>
      </c>
      <c r="W170" s="17" t="str">
        <f>IFERROR(INDEX(逆引き作成用!$C$2:$C$169,MATCH($B170&amp;"/"&amp;$C170,逆引き作成用!W$2:W$169,FALSE),1),"")</f>
        <v/>
      </c>
      <c r="X170" s="17" t="str">
        <f>IFERROR(INDEX(逆引き作成用!$C$2:$C$169,MATCH($B170&amp;"/"&amp;$C170,逆引き作成用!X$2:X$169,FALSE),1),"")</f>
        <v/>
      </c>
      <c r="Y170" s="17" t="str">
        <f>IFERROR(INDEX(逆引き作成用!$C$2:$C$169,MATCH($B170&amp;"/"&amp;$C170,逆引き作成用!Y$2:Y$169,FALSE),1),"")</f>
        <v/>
      </c>
      <c r="Z170" s="17" t="str">
        <f>IFERROR(INDEX(逆引き作成用!$C$2:$C$169,MATCH($B170&amp;"/"&amp;$C170,逆引き作成用!Z$2:Z$169,FALSE),1),"")</f>
        <v/>
      </c>
      <c r="AA170" s="17" t="str">
        <f>IFERROR(INDEX(逆引き作成用!$C$2:$C$169,MATCH($B170&amp;"/"&amp;$C170,逆引き作成用!AA$2:AA$169,FALSE),1),"")</f>
        <v/>
      </c>
      <c r="AB170" s="17" t="str">
        <f>IFERROR(INDEX(逆引き作成用!$C$2:$C$169,MATCH($B170&amp;"/"&amp;$C170,逆引き作成用!AB$2:AB$169,FALSE),1),"")</f>
        <v/>
      </c>
      <c r="AC170" s="17" t="str">
        <f>IFERROR(INDEX(逆引き作成用!$C$2:$C$169,MATCH($B170&amp;"/"&amp;$C170,逆引き作成用!AC$2:AC$169,FALSE),1),"")</f>
        <v/>
      </c>
      <c r="AD170" s="17" t="str">
        <f>IFERROR(INDEX(逆引き作成用!$C$2:$C$169,MATCH($B170&amp;"/"&amp;$C170,逆引き作成用!AD$2:AD$169,FALSE),1),"")</f>
        <v/>
      </c>
      <c r="AE170" s="17" t="str">
        <f>IFERROR(INDEX(逆引き作成用!$C$2:$C$169,MATCH($B170&amp;"/"&amp;$C170,逆引き作成用!AE$2:AE$169,FALSE),1),"")</f>
        <v/>
      </c>
      <c r="AF170" s="17" t="str">
        <f>IFERROR(INDEX(逆引き作成用!$C$2:$C$169,MATCH($B170&amp;"/"&amp;$C170,逆引き作成用!AF$2:AF$169,FALSE),1),"")</f>
        <v/>
      </c>
      <c r="AG170" s="17" t="str">
        <f>IFERROR(INDEX(逆引き作成用!$C$2:$C$169,MATCH($B170&amp;"/"&amp;$C170,逆引き作成用!AG$2:AG$169,FALSE),1),"")</f>
        <v/>
      </c>
      <c r="AH170" s="17" t="str">
        <f>IFERROR(INDEX(逆引き作成用!$C$2:$C$169,MATCH($B170&amp;"/"&amp;$C170,逆引き作成用!AH$2:AH$169,FALSE),1),"")</f>
        <v/>
      </c>
      <c r="AI170" s="17" t="str">
        <f>IFERROR(INDEX(逆引き作成用!$C$2:$C$169,MATCH($B170&amp;"/"&amp;$C170,逆引き作成用!AI$2:AI$169,FALSE),1),"")</f>
        <v/>
      </c>
      <c r="AJ170" s="17" t="str">
        <f>IFERROR(INDEX(逆引き作成用!$C$2:$C$169,MATCH($B170&amp;"/"&amp;$C170,逆引き作成用!AJ$2:AJ$169,FALSE),1),"")</f>
        <v/>
      </c>
      <c r="AK170" s="17" t="str">
        <f>IFERROR(INDEX(逆引き作成用!$C$2:$C$169,MATCH($B170&amp;"/"&amp;$C170,逆引き作成用!AK$2:AK$169,FALSE),1),"")</f>
        <v/>
      </c>
      <c r="AL170" s="17" t="str">
        <f>IFERROR(INDEX(逆引き作成用!$C$2:$C$169,MATCH($B170&amp;"/"&amp;$C170,逆引き作成用!AL$2:AL$169,FALSE),1),"")</f>
        <v/>
      </c>
      <c r="AM170" s="17" t="str">
        <f>IFERROR(INDEX(逆引き作成用!$C$2:$C$169,MATCH($B170&amp;"/"&amp;$C170,逆引き作成用!AM$2:AM$169,FALSE),1),"")</f>
        <v/>
      </c>
      <c r="AN170" s="17" t="str">
        <f>IFERROR(INDEX(逆引き作成用!$C$2:$C$169,MATCH($B170&amp;"/"&amp;$C170,逆引き作成用!AN$2:AN$169,FALSE),1),"")</f>
        <v/>
      </c>
      <c r="AO170" s="17" t="str">
        <f>IFERROR(INDEX(逆引き作成用!$C$2:$C$169,MATCH($B170&amp;"/"&amp;$C170,逆引き作成用!AO$2:AO$169,FALSE),1),"")</f>
        <v/>
      </c>
      <c r="AP170" s="17" t="str">
        <f>IFERROR(INDEX(逆引き作成用!$C$2:$C$169,MATCH($B170&amp;"/"&amp;$C170,逆引き作成用!AP$2:AP$169,FALSE),1),"")</f>
        <v/>
      </c>
      <c r="AQ170" s="17" t="str">
        <f>IFERROR(INDEX(逆引き作成用!$C$2:$C$169,MATCH($B170&amp;"/"&amp;$C170,逆引き作成用!AQ$2:AQ$169,FALSE),1),"")</f>
        <v/>
      </c>
      <c r="AR170" s="17" t="str">
        <f>IFERROR(INDEX(逆引き作成用!$C$2:$C$169,MATCH($B170&amp;"/"&amp;$C170,逆引き作成用!AR$2:AR$169,FALSE),1),"")</f>
        <v/>
      </c>
      <c r="AS170" s="17" t="str">
        <f>IFERROR(INDEX(逆引き作成用!$C$2:$C$169,MATCH($B170&amp;"/"&amp;$C170,逆引き作成用!AS$2:AS$169,FALSE),1),"")</f>
        <v/>
      </c>
      <c r="AT170" s="17" t="str">
        <f>IFERROR(INDEX(逆引き作成用!$C$2:$C$169,MATCH($B170&amp;"/"&amp;$C170,逆引き作成用!AT$2:AT$169,FALSE),1),"")</f>
        <v/>
      </c>
      <c r="AU170" s="17" t="str">
        <f>IFERROR(INDEX(逆引き作成用!$C$2:$C$169,MATCH($B170&amp;"/"&amp;$C170,逆引き作成用!AU$2:AU$169,FALSE),1),"")</f>
        <v/>
      </c>
      <c r="AV170" s="17" t="str">
        <f>IFERROR(INDEX(逆引き作成用!$C$2:$C$169,MATCH($B170&amp;"/"&amp;$C170,逆引き作成用!AV$2:AV$169,FALSE),1),"")</f>
        <v/>
      </c>
      <c r="AW170" s="17" t="str">
        <f>IFERROR(INDEX(逆引き作成用!$C$2:$C$169,MATCH($B170&amp;"/"&amp;$C170,逆引き作成用!AW$2:AW$169,FALSE),1),"")</f>
        <v/>
      </c>
      <c r="AX170" s="17" t="str">
        <f>IFERROR(INDEX(逆引き作成用!$C$2:$C$169,MATCH($B170&amp;"/"&amp;$C170,逆引き作成用!AX$2:AX$169,FALSE),1),"")</f>
        <v/>
      </c>
      <c r="AY170" s="17" t="str">
        <f>IFERROR(INDEX(逆引き作成用!$C$2:$C$169,MATCH($B170&amp;"/"&amp;$C170,逆引き作成用!AY$2:AY$169,FALSE),1),"")</f>
        <v/>
      </c>
      <c r="AZ170" s="17" t="str">
        <f>IFERROR(INDEX(逆引き作成用!$C$2:$C$169,MATCH($B170&amp;"/"&amp;$C170,逆引き作成用!AZ$2:AZ$169,FALSE),1),"")</f>
        <v/>
      </c>
      <c r="BA170" s="17" t="str">
        <f>IFERROR(INDEX(逆引き作成用!$C$2:$C$169,MATCH($B170&amp;"/"&amp;$C170,逆引き作成用!BA$2:BA$169,FALSE),1),"")</f>
        <v/>
      </c>
    </row>
    <row r="171" spans="1:53">
      <c r="A171" s="17" t="str">
        <f>IFERROR(INDEX(役職一覧!$B$2:$B$31,MATCH(B171,役職一覧!$C$2:$C$31,FALSE),1),"")</f>
        <v/>
      </c>
      <c r="B171" s="17" t="str">
        <f>IFERROR(IF(C171=1,INDEX(役職一覧!$C$2:$C$31,MATCH(逆引き!B170,役職一覧!$C$2:$C$31,FALSE)+1,1)&amp;"",B170),"")</f>
        <v/>
      </c>
      <c r="C171" s="17" t="str">
        <f>IFERROR(IF(VLOOKUP(B170,役職一覧!$C$2:$E$31,3,FALSE)=C170,1,C170+1),"")</f>
        <v/>
      </c>
      <c r="D171" s="17" t="str">
        <f>IFERROR(INDEX(逆引き作成用!$C$2:$C$169,MATCH($B171&amp;"/"&amp;$C171,逆引き作成用!D$2:D$169,FALSE),1),"")</f>
        <v/>
      </c>
      <c r="E171" s="17" t="str">
        <f>IFERROR(INDEX(逆引き作成用!$C$2:$C$169,MATCH($B171&amp;"/"&amp;$C171,逆引き作成用!E$2:E$169,FALSE),1),"")</f>
        <v/>
      </c>
      <c r="F171" s="17" t="str">
        <f>IFERROR(INDEX(逆引き作成用!$C$2:$C$169,MATCH($B171&amp;"/"&amp;$C171,逆引き作成用!F$2:F$169,FALSE),1),"")</f>
        <v/>
      </c>
      <c r="G171" s="17" t="str">
        <f>IFERROR(INDEX(逆引き作成用!$C$2:$C$169,MATCH($B171&amp;"/"&amp;$C171,逆引き作成用!G$2:G$169,FALSE),1),"")</f>
        <v/>
      </c>
      <c r="H171" s="17" t="str">
        <f>IFERROR(INDEX(逆引き作成用!$C$2:$C$169,MATCH($B171&amp;"/"&amp;$C171,逆引き作成用!H$2:H$169,FALSE),1),"")</f>
        <v/>
      </c>
      <c r="I171" s="17" t="str">
        <f>IFERROR(INDEX(逆引き作成用!$C$2:$C$169,MATCH($B171&amp;"/"&amp;$C171,逆引き作成用!I$2:I$169,FALSE),1),"")</f>
        <v/>
      </c>
      <c r="J171" s="17" t="str">
        <f>IFERROR(INDEX(逆引き作成用!$C$2:$C$169,MATCH($B171&amp;"/"&amp;$C171,逆引き作成用!J$2:J$169,FALSE),1),"")</f>
        <v/>
      </c>
      <c r="K171" s="17" t="str">
        <f>IFERROR(INDEX(逆引き作成用!$C$2:$C$169,MATCH($B171&amp;"/"&amp;$C171,逆引き作成用!K$2:K$169,FALSE),1),"")</f>
        <v/>
      </c>
      <c r="L171" s="17" t="str">
        <f>IFERROR(INDEX(逆引き作成用!$C$2:$C$169,MATCH($B171&amp;"/"&amp;$C171,逆引き作成用!L$2:L$169,FALSE),1),"")</f>
        <v/>
      </c>
      <c r="M171" s="17" t="str">
        <f>IFERROR(INDEX(逆引き作成用!$C$2:$C$169,MATCH($B171&amp;"/"&amp;$C171,逆引き作成用!M$2:M$169,FALSE),1),"")</f>
        <v/>
      </c>
      <c r="N171" s="17" t="str">
        <f>IFERROR(INDEX(逆引き作成用!$C$2:$C$169,MATCH($B171&amp;"/"&amp;$C171,逆引き作成用!N$2:N$169,FALSE),1),"")</f>
        <v/>
      </c>
      <c r="O171" s="17" t="str">
        <f>IFERROR(INDEX(逆引き作成用!$C$2:$C$169,MATCH($B171&amp;"/"&amp;$C171,逆引き作成用!O$2:O$169,FALSE),1),"")</f>
        <v/>
      </c>
      <c r="P171" s="17" t="str">
        <f>IFERROR(INDEX(逆引き作成用!$C$2:$C$169,MATCH($B171&amp;"/"&amp;$C171,逆引き作成用!P$2:P$169,FALSE),1),"")</f>
        <v/>
      </c>
      <c r="Q171" s="17" t="str">
        <f>IFERROR(INDEX(逆引き作成用!$C$2:$C$169,MATCH($B171&amp;"/"&amp;$C171,逆引き作成用!Q$2:Q$169,FALSE),1),"")</f>
        <v/>
      </c>
      <c r="R171" s="17" t="str">
        <f>IFERROR(INDEX(逆引き作成用!$C$2:$C$169,MATCH($B171&amp;"/"&amp;$C171,逆引き作成用!R$2:R$169,FALSE),1),"")</f>
        <v/>
      </c>
      <c r="S171" s="17" t="str">
        <f>IFERROR(INDEX(逆引き作成用!$C$2:$C$169,MATCH($B171&amp;"/"&amp;$C171,逆引き作成用!S$2:S$169,FALSE),1),"")</f>
        <v/>
      </c>
      <c r="T171" s="17" t="str">
        <f>IFERROR(INDEX(逆引き作成用!$C$2:$C$169,MATCH($B171&amp;"/"&amp;$C171,逆引き作成用!T$2:T$169,FALSE),1),"")</f>
        <v/>
      </c>
      <c r="U171" s="17" t="str">
        <f>IFERROR(INDEX(逆引き作成用!$C$2:$C$169,MATCH($B171&amp;"/"&amp;$C171,逆引き作成用!U$2:U$169,FALSE),1),"")</f>
        <v/>
      </c>
      <c r="V171" s="17" t="str">
        <f>IFERROR(INDEX(逆引き作成用!$C$2:$C$169,MATCH($B171&amp;"/"&amp;$C171,逆引き作成用!V$2:V$169,FALSE),1),"")</f>
        <v/>
      </c>
      <c r="W171" s="17" t="str">
        <f>IFERROR(INDEX(逆引き作成用!$C$2:$C$169,MATCH($B171&amp;"/"&amp;$C171,逆引き作成用!W$2:W$169,FALSE),1),"")</f>
        <v/>
      </c>
      <c r="X171" s="17" t="str">
        <f>IFERROR(INDEX(逆引き作成用!$C$2:$C$169,MATCH($B171&amp;"/"&amp;$C171,逆引き作成用!X$2:X$169,FALSE),1),"")</f>
        <v/>
      </c>
      <c r="Y171" s="17" t="str">
        <f>IFERROR(INDEX(逆引き作成用!$C$2:$C$169,MATCH($B171&amp;"/"&amp;$C171,逆引き作成用!Y$2:Y$169,FALSE),1),"")</f>
        <v/>
      </c>
      <c r="Z171" s="17" t="str">
        <f>IFERROR(INDEX(逆引き作成用!$C$2:$C$169,MATCH($B171&amp;"/"&amp;$C171,逆引き作成用!Z$2:Z$169,FALSE),1),"")</f>
        <v/>
      </c>
      <c r="AA171" s="17" t="str">
        <f>IFERROR(INDEX(逆引き作成用!$C$2:$C$169,MATCH($B171&amp;"/"&amp;$C171,逆引き作成用!AA$2:AA$169,FALSE),1),"")</f>
        <v/>
      </c>
      <c r="AB171" s="17" t="str">
        <f>IFERROR(INDEX(逆引き作成用!$C$2:$C$169,MATCH($B171&amp;"/"&amp;$C171,逆引き作成用!AB$2:AB$169,FALSE),1),"")</f>
        <v/>
      </c>
      <c r="AC171" s="17" t="str">
        <f>IFERROR(INDEX(逆引き作成用!$C$2:$C$169,MATCH($B171&amp;"/"&amp;$C171,逆引き作成用!AC$2:AC$169,FALSE),1),"")</f>
        <v/>
      </c>
      <c r="AD171" s="17" t="str">
        <f>IFERROR(INDEX(逆引き作成用!$C$2:$C$169,MATCH($B171&amp;"/"&amp;$C171,逆引き作成用!AD$2:AD$169,FALSE),1),"")</f>
        <v/>
      </c>
      <c r="AE171" s="17" t="str">
        <f>IFERROR(INDEX(逆引き作成用!$C$2:$C$169,MATCH($B171&amp;"/"&amp;$C171,逆引き作成用!AE$2:AE$169,FALSE),1),"")</f>
        <v/>
      </c>
      <c r="AF171" s="17" t="str">
        <f>IFERROR(INDEX(逆引き作成用!$C$2:$C$169,MATCH($B171&amp;"/"&amp;$C171,逆引き作成用!AF$2:AF$169,FALSE),1),"")</f>
        <v/>
      </c>
      <c r="AG171" s="17" t="str">
        <f>IFERROR(INDEX(逆引き作成用!$C$2:$C$169,MATCH($B171&amp;"/"&amp;$C171,逆引き作成用!AG$2:AG$169,FALSE),1),"")</f>
        <v/>
      </c>
      <c r="AH171" s="17" t="str">
        <f>IFERROR(INDEX(逆引き作成用!$C$2:$C$169,MATCH($B171&amp;"/"&amp;$C171,逆引き作成用!AH$2:AH$169,FALSE),1),"")</f>
        <v/>
      </c>
      <c r="AI171" s="17" t="str">
        <f>IFERROR(INDEX(逆引き作成用!$C$2:$C$169,MATCH($B171&amp;"/"&amp;$C171,逆引き作成用!AI$2:AI$169,FALSE),1),"")</f>
        <v/>
      </c>
      <c r="AJ171" s="17" t="str">
        <f>IFERROR(INDEX(逆引き作成用!$C$2:$C$169,MATCH($B171&amp;"/"&amp;$C171,逆引き作成用!AJ$2:AJ$169,FALSE),1),"")</f>
        <v/>
      </c>
      <c r="AK171" s="17" t="str">
        <f>IFERROR(INDEX(逆引き作成用!$C$2:$C$169,MATCH($B171&amp;"/"&amp;$C171,逆引き作成用!AK$2:AK$169,FALSE),1),"")</f>
        <v/>
      </c>
      <c r="AL171" s="17" t="str">
        <f>IFERROR(INDEX(逆引き作成用!$C$2:$C$169,MATCH($B171&amp;"/"&amp;$C171,逆引き作成用!AL$2:AL$169,FALSE),1),"")</f>
        <v/>
      </c>
      <c r="AM171" s="17" t="str">
        <f>IFERROR(INDEX(逆引き作成用!$C$2:$C$169,MATCH($B171&amp;"/"&amp;$C171,逆引き作成用!AM$2:AM$169,FALSE),1),"")</f>
        <v/>
      </c>
      <c r="AN171" s="17" t="str">
        <f>IFERROR(INDEX(逆引き作成用!$C$2:$C$169,MATCH($B171&amp;"/"&amp;$C171,逆引き作成用!AN$2:AN$169,FALSE),1),"")</f>
        <v/>
      </c>
      <c r="AO171" s="17" t="str">
        <f>IFERROR(INDEX(逆引き作成用!$C$2:$C$169,MATCH($B171&amp;"/"&amp;$C171,逆引き作成用!AO$2:AO$169,FALSE),1),"")</f>
        <v/>
      </c>
      <c r="AP171" s="17" t="str">
        <f>IFERROR(INDEX(逆引き作成用!$C$2:$C$169,MATCH($B171&amp;"/"&amp;$C171,逆引き作成用!AP$2:AP$169,FALSE),1),"")</f>
        <v/>
      </c>
      <c r="AQ171" s="17" t="str">
        <f>IFERROR(INDEX(逆引き作成用!$C$2:$C$169,MATCH($B171&amp;"/"&amp;$C171,逆引き作成用!AQ$2:AQ$169,FALSE),1),"")</f>
        <v/>
      </c>
      <c r="AR171" s="17" t="str">
        <f>IFERROR(INDEX(逆引き作成用!$C$2:$C$169,MATCH($B171&amp;"/"&amp;$C171,逆引き作成用!AR$2:AR$169,FALSE),1),"")</f>
        <v/>
      </c>
      <c r="AS171" s="17" t="str">
        <f>IFERROR(INDEX(逆引き作成用!$C$2:$C$169,MATCH($B171&amp;"/"&amp;$C171,逆引き作成用!AS$2:AS$169,FALSE),1),"")</f>
        <v/>
      </c>
      <c r="AT171" s="17" t="str">
        <f>IFERROR(INDEX(逆引き作成用!$C$2:$C$169,MATCH($B171&amp;"/"&amp;$C171,逆引き作成用!AT$2:AT$169,FALSE),1),"")</f>
        <v/>
      </c>
      <c r="AU171" s="17" t="str">
        <f>IFERROR(INDEX(逆引き作成用!$C$2:$C$169,MATCH($B171&amp;"/"&amp;$C171,逆引き作成用!AU$2:AU$169,FALSE),1),"")</f>
        <v/>
      </c>
      <c r="AV171" s="17" t="str">
        <f>IFERROR(INDEX(逆引き作成用!$C$2:$C$169,MATCH($B171&amp;"/"&amp;$C171,逆引き作成用!AV$2:AV$169,FALSE),1),"")</f>
        <v/>
      </c>
      <c r="AW171" s="17" t="str">
        <f>IFERROR(INDEX(逆引き作成用!$C$2:$C$169,MATCH($B171&amp;"/"&amp;$C171,逆引き作成用!AW$2:AW$169,FALSE),1),"")</f>
        <v/>
      </c>
      <c r="AX171" s="17" t="str">
        <f>IFERROR(INDEX(逆引き作成用!$C$2:$C$169,MATCH($B171&amp;"/"&amp;$C171,逆引き作成用!AX$2:AX$169,FALSE),1),"")</f>
        <v/>
      </c>
      <c r="AY171" s="17" t="str">
        <f>IFERROR(INDEX(逆引き作成用!$C$2:$C$169,MATCH($B171&amp;"/"&amp;$C171,逆引き作成用!AY$2:AY$169,FALSE),1),"")</f>
        <v/>
      </c>
      <c r="AZ171" s="17" t="str">
        <f>IFERROR(INDEX(逆引き作成用!$C$2:$C$169,MATCH($B171&amp;"/"&amp;$C171,逆引き作成用!AZ$2:AZ$169,FALSE),1),"")</f>
        <v/>
      </c>
      <c r="BA171" s="17" t="str">
        <f>IFERROR(INDEX(逆引き作成用!$C$2:$C$169,MATCH($B171&amp;"/"&amp;$C171,逆引き作成用!BA$2:BA$169,FALSE),1),"")</f>
        <v/>
      </c>
    </row>
    <row r="172" spans="1:53">
      <c r="A172" s="17" t="str">
        <f>IFERROR(INDEX(役職一覧!$B$2:$B$31,MATCH(B172,役職一覧!$C$2:$C$31,FALSE),1),"")</f>
        <v/>
      </c>
      <c r="B172" s="17" t="str">
        <f>IFERROR(IF(C172=1,INDEX(役職一覧!$C$2:$C$31,MATCH(逆引き!B171,役職一覧!$C$2:$C$31,FALSE)+1,1)&amp;"",B171),"")</f>
        <v/>
      </c>
      <c r="C172" s="17" t="str">
        <f>IFERROR(IF(VLOOKUP(B171,役職一覧!$C$2:$E$31,3,FALSE)=C171,1,C171+1),"")</f>
        <v/>
      </c>
      <c r="D172" s="17" t="str">
        <f>IFERROR(INDEX(逆引き作成用!$C$2:$C$169,MATCH($B172&amp;"/"&amp;$C172,逆引き作成用!D$2:D$169,FALSE),1),"")</f>
        <v/>
      </c>
      <c r="E172" s="17" t="str">
        <f>IFERROR(INDEX(逆引き作成用!$C$2:$C$169,MATCH($B172&amp;"/"&amp;$C172,逆引き作成用!E$2:E$169,FALSE),1),"")</f>
        <v/>
      </c>
      <c r="F172" s="17" t="str">
        <f>IFERROR(INDEX(逆引き作成用!$C$2:$C$169,MATCH($B172&amp;"/"&amp;$C172,逆引き作成用!F$2:F$169,FALSE),1),"")</f>
        <v/>
      </c>
      <c r="G172" s="17" t="str">
        <f>IFERROR(INDEX(逆引き作成用!$C$2:$C$169,MATCH($B172&amp;"/"&amp;$C172,逆引き作成用!G$2:G$169,FALSE),1),"")</f>
        <v/>
      </c>
      <c r="H172" s="17" t="str">
        <f>IFERROR(INDEX(逆引き作成用!$C$2:$C$169,MATCH($B172&amp;"/"&amp;$C172,逆引き作成用!H$2:H$169,FALSE),1),"")</f>
        <v/>
      </c>
      <c r="I172" s="17" t="str">
        <f>IFERROR(INDEX(逆引き作成用!$C$2:$C$169,MATCH($B172&amp;"/"&amp;$C172,逆引き作成用!I$2:I$169,FALSE),1),"")</f>
        <v/>
      </c>
      <c r="J172" s="17" t="str">
        <f>IFERROR(INDEX(逆引き作成用!$C$2:$C$169,MATCH($B172&amp;"/"&amp;$C172,逆引き作成用!J$2:J$169,FALSE),1),"")</f>
        <v/>
      </c>
      <c r="K172" s="17" t="str">
        <f>IFERROR(INDEX(逆引き作成用!$C$2:$C$169,MATCH($B172&amp;"/"&amp;$C172,逆引き作成用!K$2:K$169,FALSE),1),"")</f>
        <v/>
      </c>
      <c r="L172" s="17" t="str">
        <f>IFERROR(INDEX(逆引き作成用!$C$2:$C$169,MATCH($B172&amp;"/"&amp;$C172,逆引き作成用!L$2:L$169,FALSE),1),"")</f>
        <v/>
      </c>
      <c r="M172" s="17" t="str">
        <f>IFERROR(INDEX(逆引き作成用!$C$2:$C$169,MATCH($B172&amp;"/"&amp;$C172,逆引き作成用!M$2:M$169,FALSE),1),"")</f>
        <v/>
      </c>
      <c r="N172" s="17" t="str">
        <f>IFERROR(INDEX(逆引き作成用!$C$2:$C$169,MATCH($B172&amp;"/"&amp;$C172,逆引き作成用!N$2:N$169,FALSE),1),"")</f>
        <v/>
      </c>
      <c r="O172" s="17" t="str">
        <f>IFERROR(INDEX(逆引き作成用!$C$2:$C$169,MATCH($B172&amp;"/"&amp;$C172,逆引き作成用!O$2:O$169,FALSE),1),"")</f>
        <v/>
      </c>
      <c r="P172" s="17" t="str">
        <f>IFERROR(INDEX(逆引き作成用!$C$2:$C$169,MATCH($B172&amp;"/"&amp;$C172,逆引き作成用!P$2:P$169,FALSE),1),"")</f>
        <v/>
      </c>
      <c r="Q172" s="17" t="str">
        <f>IFERROR(INDEX(逆引き作成用!$C$2:$C$169,MATCH($B172&amp;"/"&amp;$C172,逆引き作成用!Q$2:Q$169,FALSE),1),"")</f>
        <v/>
      </c>
      <c r="R172" s="17" t="str">
        <f>IFERROR(INDEX(逆引き作成用!$C$2:$C$169,MATCH($B172&amp;"/"&amp;$C172,逆引き作成用!R$2:R$169,FALSE),1),"")</f>
        <v/>
      </c>
      <c r="S172" s="17" t="str">
        <f>IFERROR(INDEX(逆引き作成用!$C$2:$C$169,MATCH($B172&amp;"/"&amp;$C172,逆引き作成用!S$2:S$169,FALSE),1),"")</f>
        <v/>
      </c>
      <c r="T172" s="17" t="str">
        <f>IFERROR(INDEX(逆引き作成用!$C$2:$C$169,MATCH($B172&amp;"/"&amp;$C172,逆引き作成用!T$2:T$169,FALSE),1),"")</f>
        <v/>
      </c>
      <c r="U172" s="17" t="str">
        <f>IFERROR(INDEX(逆引き作成用!$C$2:$C$169,MATCH($B172&amp;"/"&amp;$C172,逆引き作成用!U$2:U$169,FALSE),1),"")</f>
        <v/>
      </c>
      <c r="V172" s="17" t="str">
        <f>IFERROR(INDEX(逆引き作成用!$C$2:$C$169,MATCH($B172&amp;"/"&amp;$C172,逆引き作成用!V$2:V$169,FALSE),1),"")</f>
        <v/>
      </c>
      <c r="W172" s="17" t="str">
        <f>IFERROR(INDEX(逆引き作成用!$C$2:$C$169,MATCH($B172&amp;"/"&amp;$C172,逆引き作成用!W$2:W$169,FALSE),1),"")</f>
        <v/>
      </c>
      <c r="X172" s="17" t="str">
        <f>IFERROR(INDEX(逆引き作成用!$C$2:$C$169,MATCH($B172&amp;"/"&amp;$C172,逆引き作成用!X$2:X$169,FALSE),1),"")</f>
        <v/>
      </c>
      <c r="Y172" s="17" t="str">
        <f>IFERROR(INDEX(逆引き作成用!$C$2:$C$169,MATCH($B172&amp;"/"&amp;$C172,逆引き作成用!Y$2:Y$169,FALSE),1),"")</f>
        <v/>
      </c>
      <c r="Z172" s="17" t="str">
        <f>IFERROR(INDEX(逆引き作成用!$C$2:$C$169,MATCH($B172&amp;"/"&amp;$C172,逆引き作成用!Z$2:Z$169,FALSE),1),"")</f>
        <v/>
      </c>
      <c r="AA172" s="17" t="str">
        <f>IFERROR(INDEX(逆引き作成用!$C$2:$C$169,MATCH($B172&amp;"/"&amp;$C172,逆引き作成用!AA$2:AA$169,FALSE),1),"")</f>
        <v/>
      </c>
      <c r="AB172" s="17" t="str">
        <f>IFERROR(INDEX(逆引き作成用!$C$2:$C$169,MATCH($B172&amp;"/"&amp;$C172,逆引き作成用!AB$2:AB$169,FALSE),1),"")</f>
        <v/>
      </c>
      <c r="AC172" s="17" t="str">
        <f>IFERROR(INDEX(逆引き作成用!$C$2:$C$169,MATCH($B172&amp;"/"&amp;$C172,逆引き作成用!AC$2:AC$169,FALSE),1),"")</f>
        <v/>
      </c>
      <c r="AD172" s="17" t="str">
        <f>IFERROR(INDEX(逆引き作成用!$C$2:$C$169,MATCH($B172&amp;"/"&amp;$C172,逆引き作成用!AD$2:AD$169,FALSE),1),"")</f>
        <v/>
      </c>
      <c r="AE172" s="17" t="str">
        <f>IFERROR(INDEX(逆引き作成用!$C$2:$C$169,MATCH($B172&amp;"/"&amp;$C172,逆引き作成用!AE$2:AE$169,FALSE),1),"")</f>
        <v/>
      </c>
      <c r="AF172" s="17" t="str">
        <f>IFERROR(INDEX(逆引き作成用!$C$2:$C$169,MATCH($B172&amp;"/"&amp;$C172,逆引き作成用!AF$2:AF$169,FALSE),1),"")</f>
        <v/>
      </c>
      <c r="AG172" s="17" t="str">
        <f>IFERROR(INDEX(逆引き作成用!$C$2:$C$169,MATCH($B172&amp;"/"&amp;$C172,逆引き作成用!AG$2:AG$169,FALSE),1),"")</f>
        <v/>
      </c>
      <c r="AH172" s="17" t="str">
        <f>IFERROR(INDEX(逆引き作成用!$C$2:$C$169,MATCH($B172&amp;"/"&amp;$C172,逆引き作成用!AH$2:AH$169,FALSE),1),"")</f>
        <v/>
      </c>
      <c r="AI172" s="17" t="str">
        <f>IFERROR(INDEX(逆引き作成用!$C$2:$C$169,MATCH($B172&amp;"/"&amp;$C172,逆引き作成用!AI$2:AI$169,FALSE),1),"")</f>
        <v/>
      </c>
      <c r="AJ172" s="17" t="str">
        <f>IFERROR(INDEX(逆引き作成用!$C$2:$C$169,MATCH($B172&amp;"/"&amp;$C172,逆引き作成用!AJ$2:AJ$169,FALSE),1),"")</f>
        <v/>
      </c>
      <c r="AK172" s="17" t="str">
        <f>IFERROR(INDEX(逆引き作成用!$C$2:$C$169,MATCH($B172&amp;"/"&amp;$C172,逆引き作成用!AK$2:AK$169,FALSE),1),"")</f>
        <v/>
      </c>
      <c r="AL172" s="17" t="str">
        <f>IFERROR(INDEX(逆引き作成用!$C$2:$C$169,MATCH($B172&amp;"/"&amp;$C172,逆引き作成用!AL$2:AL$169,FALSE),1),"")</f>
        <v/>
      </c>
      <c r="AM172" s="17" t="str">
        <f>IFERROR(INDEX(逆引き作成用!$C$2:$C$169,MATCH($B172&amp;"/"&amp;$C172,逆引き作成用!AM$2:AM$169,FALSE),1),"")</f>
        <v/>
      </c>
      <c r="AN172" s="17" t="str">
        <f>IFERROR(INDEX(逆引き作成用!$C$2:$C$169,MATCH($B172&amp;"/"&amp;$C172,逆引き作成用!AN$2:AN$169,FALSE),1),"")</f>
        <v/>
      </c>
      <c r="AO172" s="17" t="str">
        <f>IFERROR(INDEX(逆引き作成用!$C$2:$C$169,MATCH($B172&amp;"/"&amp;$C172,逆引き作成用!AO$2:AO$169,FALSE),1),"")</f>
        <v/>
      </c>
      <c r="AP172" s="17" t="str">
        <f>IFERROR(INDEX(逆引き作成用!$C$2:$C$169,MATCH($B172&amp;"/"&amp;$C172,逆引き作成用!AP$2:AP$169,FALSE),1),"")</f>
        <v/>
      </c>
      <c r="AQ172" s="17" t="str">
        <f>IFERROR(INDEX(逆引き作成用!$C$2:$C$169,MATCH($B172&amp;"/"&amp;$C172,逆引き作成用!AQ$2:AQ$169,FALSE),1),"")</f>
        <v/>
      </c>
      <c r="AR172" s="17" t="str">
        <f>IFERROR(INDEX(逆引き作成用!$C$2:$C$169,MATCH($B172&amp;"/"&amp;$C172,逆引き作成用!AR$2:AR$169,FALSE),1),"")</f>
        <v/>
      </c>
      <c r="AS172" s="17" t="str">
        <f>IFERROR(INDEX(逆引き作成用!$C$2:$C$169,MATCH($B172&amp;"/"&amp;$C172,逆引き作成用!AS$2:AS$169,FALSE),1),"")</f>
        <v/>
      </c>
      <c r="AT172" s="17" t="str">
        <f>IFERROR(INDEX(逆引き作成用!$C$2:$C$169,MATCH($B172&amp;"/"&amp;$C172,逆引き作成用!AT$2:AT$169,FALSE),1),"")</f>
        <v/>
      </c>
      <c r="AU172" s="17" t="str">
        <f>IFERROR(INDEX(逆引き作成用!$C$2:$C$169,MATCH($B172&amp;"/"&amp;$C172,逆引き作成用!AU$2:AU$169,FALSE),1),"")</f>
        <v/>
      </c>
      <c r="AV172" s="17" t="str">
        <f>IFERROR(INDEX(逆引き作成用!$C$2:$C$169,MATCH($B172&amp;"/"&amp;$C172,逆引き作成用!AV$2:AV$169,FALSE),1),"")</f>
        <v/>
      </c>
      <c r="AW172" s="17" t="str">
        <f>IFERROR(INDEX(逆引き作成用!$C$2:$C$169,MATCH($B172&amp;"/"&amp;$C172,逆引き作成用!AW$2:AW$169,FALSE),1),"")</f>
        <v/>
      </c>
      <c r="AX172" s="17" t="str">
        <f>IFERROR(INDEX(逆引き作成用!$C$2:$C$169,MATCH($B172&amp;"/"&amp;$C172,逆引き作成用!AX$2:AX$169,FALSE),1),"")</f>
        <v/>
      </c>
      <c r="AY172" s="17" t="str">
        <f>IFERROR(INDEX(逆引き作成用!$C$2:$C$169,MATCH($B172&amp;"/"&amp;$C172,逆引き作成用!AY$2:AY$169,FALSE),1),"")</f>
        <v/>
      </c>
      <c r="AZ172" s="17" t="str">
        <f>IFERROR(INDEX(逆引き作成用!$C$2:$C$169,MATCH($B172&amp;"/"&amp;$C172,逆引き作成用!AZ$2:AZ$169,FALSE),1),"")</f>
        <v/>
      </c>
      <c r="BA172" s="17" t="str">
        <f>IFERROR(INDEX(逆引き作成用!$C$2:$C$169,MATCH($B172&amp;"/"&amp;$C172,逆引き作成用!BA$2:BA$169,FALSE),1),"")</f>
        <v/>
      </c>
    </row>
    <row r="173" spans="1:53">
      <c r="A173" s="17" t="str">
        <f>IFERROR(INDEX(役職一覧!$B$2:$B$31,MATCH(B173,役職一覧!$C$2:$C$31,FALSE),1),"")</f>
        <v/>
      </c>
      <c r="B173" s="17" t="str">
        <f>IFERROR(IF(C173=1,INDEX(役職一覧!$C$2:$C$31,MATCH(逆引き!B172,役職一覧!$C$2:$C$31,FALSE)+1,1)&amp;"",B172),"")</f>
        <v/>
      </c>
      <c r="C173" s="17" t="str">
        <f>IFERROR(IF(VLOOKUP(B172,役職一覧!$C$2:$E$31,3,FALSE)=C172,1,C172+1),"")</f>
        <v/>
      </c>
      <c r="D173" s="17" t="str">
        <f>IFERROR(INDEX(逆引き作成用!$C$2:$C$169,MATCH($B173&amp;"/"&amp;$C173,逆引き作成用!D$2:D$169,FALSE),1),"")</f>
        <v/>
      </c>
      <c r="E173" s="17" t="str">
        <f>IFERROR(INDEX(逆引き作成用!$C$2:$C$169,MATCH($B173&amp;"/"&amp;$C173,逆引き作成用!E$2:E$169,FALSE),1),"")</f>
        <v/>
      </c>
      <c r="F173" s="17" t="str">
        <f>IFERROR(INDEX(逆引き作成用!$C$2:$C$169,MATCH($B173&amp;"/"&amp;$C173,逆引き作成用!F$2:F$169,FALSE),1),"")</f>
        <v/>
      </c>
      <c r="G173" s="17" t="str">
        <f>IFERROR(INDEX(逆引き作成用!$C$2:$C$169,MATCH($B173&amp;"/"&amp;$C173,逆引き作成用!G$2:G$169,FALSE),1),"")</f>
        <v/>
      </c>
      <c r="H173" s="17" t="str">
        <f>IFERROR(INDEX(逆引き作成用!$C$2:$C$169,MATCH($B173&amp;"/"&amp;$C173,逆引き作成用!H$2:H$169,FALSE),1),"")</f>
        <v/>
      </c>
      <c r="I173" s="17" t="str">
        <f>IFERROR(INDEX(逆引き作成用!$C$2:$C$169,MATCH($B173&amp;"/"&amp;$C173,逆引き作成用!I$2:I$169,FALSE),1),"")</f>
        <v/>
      </c>
      <c r="J173" s="17" t="str">
        <f>IFERROR(INDEX(逆引き作成用!$C$2:$C$169,MATCH($B173&amp;"/"&amp;$C173,逆引き作成用!J$2:J$169,FALSE),1),"")</f>
        <v/>
      </c>
      <c r="K173" s="17" t="str">
        <f>IFERROR(INDEX(逆引き作成用!$C$2:$C$169,MATCH($B173&amp;"/"&amp;$C173,逆引き作成用!K$2:K$169,FALSE),1),"")</f>
        <v/>
      </c>
      <c r="L173" s="17" t="str">
        <f>IFERROR(INDEX(逆引き作成用!$C$2:$C$169,MATCH($B173&amp;"/"&amp;$C173,逆引き作成用!L$2:L$169,FALSE),1),"")</f>
        <v/>
      </c>
      <c r="M173" s="17" t="str">
        <f>IFERROR(INDEX(逆引き作成用!$C$2:$C$169,MATCH($B173&amp;"/"&amp;$C173,逆引き作成用!M$2:M$169,FALSE),1),"")</f>
        <v/>
      </c>
      <c r="N173" s="17" t="str">
        <f>IFERROR(INDEX(逆引き作成用!$C$2:$C$169,MATCH($B173&amp;"/"&amp;$C173,逆引き作成用!N$2:N$169,FALSE),1),"")</f>
        <v/>
      </c>
      <c r="O173" s="17" t="str">
        <f>IFERROR(INDEX(逆引き作成用!$C$2:$C$169,MATCH($B173&amp;"/"&amp;$C173,逆引き作成用!O$2:O$169,FALSE),1),"")</f>
        <v/>
      </c>
      <c r="P173" s="17" t="str">
        <f>IFERROR(INDEX(逆引き作成用!$C$2:$C$169,MATCH($B173&amp;"/"&amp;$C173,逆引き作成用!P$2:P$169,FALSE),1),"")</f>
        <v/>
      </c>
      <c r="Q173" s="17" t="str">
        <f>IFERROR(INDEX(逆引き作成用!$C$2:$C$169,MATCH($B173&amp;"/"&amp;$C173,逆引き作成用!Q$2:Q$169,FALSE),1),"")</f>
        <v/>
      </c>
      <c r="R173" s="17" t="str">
        <f>IFERROR(INDEX(逆引き作成用!$C$2:$C$169,MATCH($B173&amp;"/"&amp;$C173,逆引き作成用!R$2:R$169,FALSE),1),"")</f>
        <v/>
      </c>
      <c r="S173" s="17" t="str">
        <f>IFERROR(INDEX(逆引き作成用!$C$2:$C$169,MATCH($B173&amp;"/"&amp;$C173,逆引き作成用!S$2:S$169,FALSE),1),"")</f>
        <v/>
      </c>
      <c r="T173" s="17" t="str">
        <f>IFERROR(INDEX(逆引き作成用!$C$2:$C$169,MATCH($B173&amp;"/"&amp;$C173,逆引き作成用!T$2:T$169,FALSE),1),"")</f>
        <v/>
      </c>
      <c r="U173" s="17" t="str">
        <f>IFERROR(INDEX(逆引き作成用!$C$2:$C$169,MATCH($B173&amp;"/"&amp;$C173,逆引き作成用!U$2:U$169,FALSE),1),"")</f>
        <v/>
      </c>
      <c r="V173" s="17" t="str">
        <f>IFERROR(INDEX(逆引き作成用!$C$2:$C$169,MATCH($B173&amp;"/"&amp;$C173,逆引き作成用!V$2:V$169,FALSE),1),"")</f>
        <v/>
      </c>
      <c r="W173" s="17" t="str">
        <f>IFERROR(INDEX(逆引き作成用!$C$2:$C$169,MATCH($B173&amp;"/"&amp;$C173,逆引き作成用!W$2:W$169,FALSE),1),"")</f>
        <v/>
      </c>
      <c r="X173" s="17" t="str">
        <f>IFERROR(INDEX(逆引き作成用!$C$2:$C$169,MATCH($B173&amp;"/"&amp;$C173,逆引き作成用!X$2:X$169,FALSE),1),"")</f>
        <v/>
      </c>
      <c r="Y173" s="17" t="str">
        <f>IFERROR(INDEX(逆引き作成用!$C$2:$C$169,MATCH($B173&amp;"/"&amp;$C173,逆引き作成用!Y$2:Y$169,FALSE),1),"")</f>
        <v/>
      </c>
      <c r="Z173" s="17" t="str">
        <f>IFERROR(INDEX(逆引き作成用!$C$2:$C$169,MATCH($B173&amp;"/"&amp;$C173,逆引き作成用!Z$2:Z$169,FALSE),1),"")</f>
        <v/>
      </c>
      <c r="AA173" s="17" t="str">
        <f>IFERROR(INDEX(逆引き作成用!$C$2:$C$169,MATCH($B173&amp;"/"&amp;$C173,逆引き作成用!AA$2:AA$169,FALSE),1),"")</f>
        <v/>
      </c>
      <c r="AB173" s="17" t="str">
        <f>IFERROR(INDEX(逆引き作成用!$C$2:$C$169,MATCH($B173&amp;"/"&amp;$C173,逆引き作成用!AB$2:AB$169,FALSE),1),"")</f>
        <v/>
      </c>
      <c r="AC173" s="17" t="str">
        <f>IFERROR(INDEX(逆引き作成用!$C$2:$C$169,MATCH($B173&amp;"/"&amp;$C173,逆引き作成用!AC$2:AC$169,FALSE),1),"")</f>
        <v/>
      </c>
      <c r="AD173" s="17" t="str">
        <f>IFERROR(INDEX(逆引き作成用!$C$2:$C$169,MATCH($B173&amp;"/"&amp;$C173,逆引き作成用!AD$2:AD$169,FALSE),1),"")</f>
        <v/>
      </c>
      <c r="AE173" s="17" t="str">
        <f>IFERROR(INDEX(逆引き作成用!$C$2:$C$169,MATCH($B173&amp;"/"&amp;$C173,逆引き作成用!AE$2:AE$169,FALSE),1),"")</f>
        <v/>
      </c>
      <c r="AF173" s="17" t="str">
        <f>IFERROR(INDEX(逆引き作成用!$C$2:$C$169,MATCH($B173&amp;"/"&amp;$C173,逆引き作成用!AF$2:AF$169,FALSE),1),"")</f>
        <v/>
      </c>
      <c r="AG173" s="17" t="str">
        <f>IFERROR(INDEX(逆引き作成用!$C$2:$C$169,MATCH($B173&amp;"/"&amp;$C173,逆引き作成用!AG$2:AG$169,FALSE),1),"")</f>
        <v/>
      </c>
      <c r="AH173" s="17" t="str">
        <f>IFERROR(INDEX(逆引き作成用!$C$2:$C$169,MATCH($B173&amp;"/"&amp;$C173,逆引き作成用!AH$2:AH$169,FALSE),1),"")</f>
        <v/>
      </c>
      <c r="AI173" s="17" t="str">
        <f>IFERROR(INDEX(逆引き作成用!$C$2:$C$169,MATCH($B173&amp;"/"&amp;$C173,逆引き作成用!AI$2:AI$169,FALSE),1),"")</f>
        <v/>
      </c>
      <c r="AJ173" s="17" t="str">
        <f>IFERROR(INDEX(逆引き作成用!$C$2:$C$169,MATCH($B173&amp;"/"&amp;$C173,逆引き作成用!AJ$2:AJ$169,FALSE),1),"")</f>
        <v/>
      </c>
      <c r="AK173" s="17" t="str">
        <f>IFERROR(INDEX(逆引き作成用!$C$2:$C$169,MATCH($B173&amp;"/"&amp;$C173,逆引き作成用!AK$2:AK$169,FALSE),1),"")</f>
        <v/>
      </c>
      <c r="AL173" s="17" t="str">
        <f>IFERROR(INDEX(逆引き作成用!$C$2:$C$169,MATCH($B173&amp;"/"&amp;$C173,逆引き作成用!AL$2:AL$169,FALSE),1),"")</f>
        <v/>
      </c>
      <c r="AM173" s="17" t="str">
        <f>IFERROR(INDEX(逆引き作成用!$C$2:$C$169,MATCH($B173&amp;"/"&amp;$C173,逆引き作成用!AM$2:AM$169,FALSE),1),"")</f>
        <v/>
      </c>
      <c r="AN173" s="17" t="str">
        <f>IFERROR(INDEX(逆引き作成用!$C$2:$C$169,MATCH($B173&amp;"/"&amp;$C173,逆引き作成用!AN$2:AN$169,FALSE),1),"")</f>
        <v/>
      </c>
      <c r="AO173" s="17" t="str">
        <f>IFERROR(INDEX(逆引き作成用!$C$2:$C$169,MATCH($B173&amp;"/"&amp;$C173,逆引き作成用!AO$2:AO$169,FALSE),1),"")</f>
        <v/>
      </c>
      <c r="AP173" s="17" t="str">
        <f>IFERROR(INDEX(逆引き作成用!$C$2:$C$169,MATCH($B173&amp;"/"&amp;$C173,逆引き作成用!AP$2:AP$169,FALSE),1),"")</f>
        <v/>
      </c>
      <c r="AQ173" s="17" t="str">
        <f>IFERROR(INDEX(逆引き作成用!$C$2:$C$169,MATCH($B173&amp;"/"&amp;$C173,逆引き作成用!AQ$2:AQ$169,FALSE),1),"")</f>
        <v/>
      </c>
      <c r="AR173" s="17" t="str">
        <f>IFERROR(INDEX(逆引き作成用!$C$2:$C$169,MATCH($B173&amp;"/"&amp;$C173,逆引き作成用!AR$2:AR$169,FALSE),1),"")</f>
        <v/>
      </c>
      <c r="AS173" s="17" t="str">
        <f>IFERROR(INDEX(逆引き作成用!$C$2:$C$169,MATCH($B173&amp;"/"&amp;$C173,逆引き作成用!AS$2:AS$169,FALSE),1),"")</f>
        <v/>
      </c>
      <c r="AT173" s="17" t="str">
        <f>IFERROR(INDEX(逆引き作成用!$C$2:$C$169,MATCH($B173&amp;"/"&amp;$C173,逆引き作成用!AT$2:AT$169,FALSE),1),"")</f>
        <v/>
      </c>
      <c r="AU173" s="17" t="str">
        <f>IFERROR(INDEX(逆引き作成用!$C$2:$C$169,MATCH($B173&amp;"/"&amp;$C173,逆引き作成用!AU$2:AU$169,FALSE),1),"")</f>
        <v/>
      </c>
      <c r="AV173" s="17" t="str">
        <f>IFERROR(INDEX(逆引き作成用!$C$2:$C$169,MATCH($B173&amp;"/"&amp;$C173,逆引き作成用!AV$2:AV$169,FALSE),1),"")</f>
        <v/>
      </c>
      <c r="AW173" s="17" t="str">
        <f>IFERROR(INDEX(逆引き作成用!$C$2:$C$169,MATCH($B173&amp;"/"&amp;$C173,逆引き作成用!AW$2:AW$169,FALSE),1),"")</f>
        <v/>
      </c>
      <c r="AX173" s="17" t="str">
        <f>IFERROR(INDEX(逆引き作成用!$C$2:$C$169,MATCH($B173&amp;"/"&amp;$C173,逆引き作成用!AX$2:AX$169,FALSE),1),"")</f>
        <v/>
      </c>
      <c r="AY173" s="17" t="str">
        <f>IFERROR(INDEX(逆引き作成用!$C$2:$C$169,MATCH($B173&amp;"/"&amp;$C173,逆引き作成用!AY$2:AY$169,FALSE),1),"")</f>
        <v/>
      </c>
      <c r="AZ173" s="17" t="str">
        <f>IFERROR(INDEX(逆引き作成用!$C$2:$C$169,MATCH($B173&amp;"/"&amp;$C173,逆引き作成用!AZ$2:AZ$169,FALSE),1),"")</f>
        <v/>
      </c>
      <c r="BA173" s="17" t="str">
        <f>IFERROR(INDEX(逆引き作成用!$C$2:$C$169,MATCH($B173&amp;"/"&amp;$C173,逆引き作成用!BA$2:BA$169,FALSE),1),"")</f>
        <v/>
      </c>
    </row>
    <row r="174" spans="1:53">
      <c r="A174" s="17" t="str">
        <f>IFERROR(INDEX(役職一覧!$B$2:$B$31,MATCH(B174,役職一覧!$C$2:$C$31,FALSE),1),"")</f>
        <v/>
      </c>
      <c r="B174" s="17" t="str">
        <f>IFERROR(IF(C174=1,INDEX(役職一覧!$C$2:$C$31,MATCH(逆引き!B173,役職一覧!$C$2:$C$31,FALSE)+1,1)&amp;"",B173),"")</f>
        <v/>
      </c>
      <c r="C174" s="17" t="str">
        <f>IFERROR(IF(VLOOKUP(B173,役職一覧!$C$2:$E$31,3,FALSE)=C173,1,C173+1),"")</f>
        <v/>
      </c>
      <c r="D174" s="17" t="str">
        <f>IFERROR(INDEX(逆引き作成用!$C$2:$C$169,MATCH($B174&amp;"/"&amp;$C174,逆引き作成用!D$2:D$169,FALSE),1),"")</f>
        <v/>
      </c>
      <c r="E174" s="17" t="str">
        <f>IFERROR(INDEX(逆引き作成用!$C$2:$C$169,MATCH($B174&amp;"/"&amp;$C174,逆引き作成用!E$2:E$169,FALSE),1),"")</f>
        <v/>
      </c>
      <c r="F174" s="17" t="str">
        <f>IFERROR(INDEX(逆引き作成用!$C$2:$C$169,MATCH($B174&amp;"/"&amp;$C174,逆引き作成用!F$2:F$169,FALSE),1),"")</f>
        <v/>
      </c>
      <c r="G174" s="17" t="str">
        <f>IFERROR(INDEX(逆引き作成用!$C$2:$C$169,MATCH($B174&amp;"/"&amp;$C174,逆引き作成用!G$2:G$169,FALSE),1),"")</f>
        <v/>
      </c>
      <c r="H174" s="17" t="str">
        <f>IFERROR(INDEX(逆引き作成用!$C$2:$C$169,MATCH($B174&amp;"/"&amp;$C174,逆引き作成用!H$2:H$169,FALSE),1),"")</f>
        <v/>
      </c>
      <c r="I174" s="17" t="str">
        <f>IFERROR(INDEX(逆引き作成用!$C$2:$C$169,MATCH($B174&amp;"/"&amp;$C174,逆引き作成用!I$2:I$169,FALSE),1),"")</f>
        <v/>
      </c>
      <c r="J174" s="17" t="str">
        <f>IFERROR(INDEX(逆引き作成用!$C$2:$C$169,MATCH($B174&amp;"/"&amp;$C174,逆引き作成用!J$2:J$169,FALSE),1),"")</f>
        <v/>
      </c>
      <c r="K174" s="17" t="str">
        <f>IFERROR(INDEX(逆引き作成用!$C$2:$C$169,MATCH($B174&amp;"/"&amp;$C174,逆引き作成用!K$2:K$169,FALSE),1),"")</f>
        <v/>
      </c>
      <c r="L174" s="17" t="str">
        <f>IFERROR(INDEX(逆引き作成用!$C$2:$C$169,MATCH($B174&amp;"/"&amp;$C174,逆引き作成用!L$2:L$169,FALSE),1),"")</f>
        <v/>
      </c>
      <c r="M174" s="17" t="str">
        <f>IFERROR(INDEX(逆引き作成用!$C$2:$C$169,MATCH($B174&amp;"/"&amp;$C174,逆引き作成用!M$2:M$169,FALSE),1),"")</f>
        <v/>
      </c>
      <c r="N174" s="17" t="str">
        <f>IFERROR(INDEX(逆引き作成用!$C$2:$C$169,MATCH($B174&amp;"/"&amp;$C174,逆引き作成用!N$2:N$169,FALSE),1),"")</f>
        <v/>
      </c>
      <c r="O174" s="17" t="str">
        <f>IFERROR(INDEX(逆引き作成用!$C$2:$C$169,MATCH($B174&amp;"/"&amp;$C174,逆引き作成用!O$2:O$169,FALSE),1),"")</f>
        <v/>
      </c>
      <c r="P174" s="17" t="str">
        <f>IFERROR(INDEX(逆引き作成用!$C$2:$C$169,MATCH($B174&amp;"/"&amp;$C174,逆引き作成用!P$2:P$169,FALSE),1),"")</f>
        <v/>
      </c>
      <c r="Q174" s="17" t="str">
        <f>IFERROR(INDEX(逆引き作成用!$C$2:$C$169,MATCH($B174&amp;"/"&amp;$C174,逆引き作成用!Q$2:Q$169,FALSE),1),"")</f>
        <v/>
      </c>
      <c r="R174" s="17" t="str">
        <f>IFERROR(INDEX(逆引き作成用!$C$2:$C$169,MATCH($B174&amp;"/"&amp;$C174,逆引き作成用!R$2:R$169,FALSE),1),"")</f>
        <v/>
      </c>
      <c r="S174" s="17" t="str">
        <f>IFERROR(INDEX(逆引き作成用!$C$2:$C$169,MATCH($B174&amp;"/"&amp;$C174,逆引き作成用!S$2:S$169,FALSE),1),"")</f>
        <v/>
      </c>
      <c r="T174" s="17" t="str">
        <f>IFERROR(INDEX(逆引き作成用!$C$2:$C$169,MATCH($B174&amp;"/"&amp;$C174,逆引き作成用!T$2:T$169,FALSE),1),"")</f>
        <v/>
      </c>
      <c r="U174" s="17" t="str">
        <f>IFERROR(INDEX(逆引き作成用!$C$2:$C$169,MATCH($B174&amp;"/"&amp;$C174,逆引き作成用!U$2:U$169,FALSE),1),"")</f>
        <v/>
      </c>
      <c r="V174" s="17" t="str">
        <f>IFERROR(INDEX(逆引き作成用!$C$2:$C$169,MATCH($B174&amp;"/"&amp;$C174,逆引き作成用!V$2:V$169,FALSE),1),"")</f>
        <v/>
      </c>
      <c r="W174" s="17" t="str">
        <f>IFERROR(INDEX(逆引き作成用!$C$2:$C$169,MATCH($B174&amp;"/"&amp;$C174,逆引き作成用!W$2:W$169,FALSE),1),"")</f>
        <v/>
      </c>
      <c r="X174" s="17" t="str">
        <f>IFERROR(INDEX(逆引き作成用!$C$2:$C$169,MATCH($B174&amp;"/"&amp;$C174,逆引き作成用!X$2:X$169,FALSE),1),"")</f>
        <v/>
      </c>
      <c r="Y174" s="17" t="str">
        <f>IFERROR(INDEX(逆引き作成用!$C$2:$C$169,MATCH($B174&amp;"/"&amp;$C174,逆引き作成用!Y$2:Y$169,FALSE),1),"")</f>
        <v/>
      </c>
      <c r="Z174" s="17" t="str">
        <f>IFERROR(INDEX(逆引き作成用!$C$2:$C$169,MATCH($B174&amp;"/"&amp;$C174,逆引き作成用!Z$2:Z$169,FALSE),1),"")</f>
        <v/>
      </c>
      <c r="AA174" s="17" t="str">
        <f>IFERROR(INDEX(逆引き作成用!$C$2:$C$169,MATCH($B174&amp;"/"&amp;$C174,逆引き作成用!AA$2:AA$169,FALSE),1),"")</f>
        <v/>
      </c>
      <c r="AB174" s="17" t="str">
        <f>IFERROR(INDEX(逆引き作成用!$C$2:$C$169,MATCH($B174&amp;"/"&amp;$C174,逆引き作成用!AB$2:AB$169,FALSE),1),"")</f>
        <v/>
      </c>
      <c r="AC174" s="17" t="str">
        <f>IFERROR(INDEX(逆引き作成用!$C$2:$C$169,MATCH($B174&amp;"/"&amp;$C174,逆引き作成用!AC$2:AC$169,FALSE),1),"")</f>
        <v/>
      </c>
      <c r="AD174" s="17" t="str">
        <f>IFERROR(INDEX(逆引き作成用!$C$2:$C$169,MATCH($B174&amp;"/"&amp;$C174,逆引き作成用!AD$2:AD$169,FALSE),1),"")</f>
        <v/>
      </c>
      <c r="AE174" s="17" t="str">
        <f>IFERROR(INDEX(逆引き作成用!$C$2:$C$169,MATCH($B174&amp;"/"&amp;$C174,逆引き作成用!AE$2:AE$169,FALSE),1),"")</f>
        <v/>
      </c>
      <c r="AF174" s="17" t="str">
        <f>IFERROR(INDEX(逆引き作成用!$C$2:$C$169,MATCH($B174&amp;"/"&amp;$C174,逆引き作成用!AF$2:AF$169,FALSE),1),"")</f>
        <v/>
      </c>
      <c r="AG174" s="17" t="str">
        <f>IFERROR(INDEX(逆引き作成用!$C$2:$C$169,MATCH($B174&amp;"/"&amp;$C174,逆引き作成用!AG$2:AG$169,FALSE),1),"")</f>
        <v/>
      </c>
      <c r="AH174" s="17" t="str">
        <f>IFERROR(INDEX(逆引き作成用!$C$2:$C$169,MATCH($B174&amp;"/"&amp;$C174,逆引き作成用!AH$2:AH$169,FALSE),1),"")</f>
        <v/>
      </c>
      <c r="AI174" s="17" t="str">
        <f>IFERROR(INDEX(逆引き作成用!$C$2:$C$169,MATCH($B174&amp;"/"&amp;$C174,逆引き作成用!AI$2:AI$169,FALSE),1),"")</f>
        <v/>
      </c>
      <c r="AJ174" s="17" t="str">
        <f>IFERROR(INDEX(逆引き作成用!$C$2:$C$169,MATCH($B174&amp;"/"&amp;$C174,逆引き作成用!AJ$2:AJ$169,FALSE),1),"")</f>
        <v/>
      </c>
      <c r="AK174" s="17" t="str">
        <f>IFERROR(INDEX(逆引き作成用!$C$2:$C$169,MATCH($B174&amp;"/"&amp;$C174,逆引き作成用!AK$2:AK$169,FALSE),1),"")</f>
        <v/>
      </c>
      <c r="AL174" s="17" t="str">
        <f>IFERROR(INDEX(逆引き作成用!$C$2:$C$169,MATCH($B174&amp;"/"&amp;$C174,逆引き作成用!AL$2:AL$169,FALSE),1),"")</f>
        <v/>
      </c>
      <c r="AM174" s="17" t="str">
        <f>IFERROR(INDEX(逆引き作成用!$C$2:$C$169,MATCH($B174&amp;"/"&amp;$C174,逆引き作成用!AM$2:AM$169,FALSE),1),"")</f>
        <v/>
      </c>
      <c r="AN174" s="17" t="str">
        <f>IFERROR(INDEX(逆引き作成用!$C$2:$C$169,MATCH($B174&amp;"/"&amp;$C174,逆引き作成用!AN$2:AN$169,FALSE),1),"")</f>
        <v/>
      </c>
      <c r="AO174" s="17" t="str">
        <f>IFERROR(INDEX(逆引き作成用!$C$2:$C$169,MATCH($B174&amp;"/"&amp;$C174,逆引き作成用!AO$2:AO$169,FALSE),1),"")</f>
        <v/>
      </c>
      <c r="AP174" s="17" t="str">
        <f>IFERROR(INDEX(逆引き作成用!$C$2:$C$169,MATCH($B174&amp;"/"&amp;$C174,逆引き作成用!AP$2:AP$169,FALSE),1),"")</f>
        <v/>
      </c>
      <c r="AQ174" s="17" t="str">
        <f>IFERROR(INDEX(逆引き作成用!$C$2:$C$169,MATCH($B174&amp;"/"&amp;$C174,逆引き作成用!AQ$2:AQ$169,FALSE),1),"")</f>
        <v/>
      </c>
      <c r="AR174" s="17" t="str">
        <f>IFERROR(INDEX(逆引き作成用!$C$2:$C$169,MATCH($B174&amp;"/"&amp;$C174,逆引き作成用!AR$2:AR$169,FALSE),1),"")</f>
        <v/>
      </c>
      <c r="AS174" s="17" t="str">
        <f>IFERROR(INDEX(逆引き作成用!$C$2:$C$169,MATCH($B174&amp;"/"&amp;$C174,逆引き作成用!AS$2:AS$169,FALSE),1),"")</f>
        <v/>
      </c>
      <c r="AT174" s="17" t="str">
        <f>IFERROR(INDEX(逆引き作成用!$C$2:$C$169,MATCH($B174&amp;"/"&amp;$C174,逆引き作成用!AT$2:AT$169,FALSE),1),"")</f>
        <v/>
      </c>
      <c r="AU174" s="17" t="str">
        <f>IFERROR(INDEX(逆引き作成用!$C$2:$C$169,MATCH($B174&amp;"/"&amp;$C174,逆引き作成用!AU$2:AU$169,FALSE),1),"")</f>
        <v/>
      </c>
      <c r="AV174" s="17" t="str">
        <f>IFERROR(INDEX(逆引き作成用!$C$2:$C$169,MATCH($B174&amp;"/"&amp;$C174,逆引き作成用!AV$2:AV$169,FALSE),1),"")</f>
        <v/>
      </c>
      <c r="AW174" s="17" t="str">
        <f>IFERROR(INDEX(逆引き作成用!$C$2:$C$169,MATCH($B174&amp;"/"&amp;$C174,逆引き作成用!AW$2:AW$169,FALSE),1),"")</f>
        <v/>
      </c>
      <c r="AX174" s="17" t="str">
        <f>IFERROR(INDEX(逆引き作成用!$C$2:$C$169,MATCH($B174&amp;"/"&amp;$C174,逆引き作成用!AX$2:AX$169,FALSE),1),"")</f>
        <v/>
      </c>
      <c r="AY174" s="17" t="str">
        <f>IFERROR(INDEX(逆引き作成用!$C$2:$C$169,MATCH($B174&amp;"/"&amp;$C174,逆引き作成用!AY$2:AY$169,FALSE),1),"")</f>
        <v/>
      </c>
      <c r="AZ174" s="17" t="str">
        <f>IFERROR(INDEX(逆引き作成用!$C$2:$C$169,MATCH($B174&amp;"/"&amp;$C174,逆引き作成用!AZ$2:AZ$169,FALSE),1),"")</f>
        <v/>
      </c>
      <c r="BA174" s="17" t="str">
        <f>IFERROR(INDEX(逆引き作成用!$C$2:$C$169,MATCH($B174&amp;"/"&amp;$C174,逆引き作成用!BA$2:BA$169,FALSE),1),"")</f>
        <v/>
      </c>
    </row>
    <row r="175" spans="1:53">
      <c r="A175" s="17" t="str">
        <f>IFERROR(INDEX(役職一覧!$B$2:$B$31,MATCH(B175,役職一覧!$C$2:$C$31,FALSE),1),"")</f>
        <v/>
      </c>
      <c r="B175" s="17" t="str">
        <f>IFERROR(IF(C175=1,INDEX(役職一覧!$C$2:$C$31,MATCH(逆引き!B174,役職一覧!$C$2:$C$31,FALSE)+1,1)&amp;"",B174),"")</f>
        <v/>
      </c>
      <c r="C175" s="17" t="str">
        <f>IFERROR(IF(VLOOKUP(B174,役職一覧!$C$2:$E$31,3,FALSE)=C174,1,C174+1),"")</f>
        <v/>
      </c>
      <c r="D175" s="17" t="str">
        <f>IFERROR(INDEX(逆引き作成用!$C$2:$C$169,MATCH($B175&amp;"/"&amp;$C175,逆引き作成用!D$2:D$169,FALSE),1),"")</f>
        <v/>
      </c>
      <c r="E175" s="17" t="str">
        <f>IFERROR(INDEX(逆引き作成用!$C$2:$C$169,MATCH($B175&amp;"/"&amp;$C175,逆引き作成用!E$2:E$169,FALSE),1),"")</f>
        <v/>
      </c>
      <c r="F175" s="17" t="str">
        <f>IFERROR(INDEX(逆引き作成用!$C$2:$C$169,MATCH($B175&amp;"/"&amp;$C175,逆引き作成用!F$2:F$169,FALSE),1),"")</f>
        <v/>
      </c>
      <c r="G175" s="17" t="str">
        <f>IFERROR(INDEX(逆引き作成用!$C$2:$C$169,MATCH($B175&amp;"/"&amp;$C175,逆引き作成用!G$2:G$169,FALSE),1),"")</f>
        <v/>
      </c>
      <c r="H175" s="17" t="str">
        <f>IFERROR(INDEX(逆引き作成用!$C$2:$C$169,MATCH($B175&amp;"/"&amp;$C175,逆引き作成用!H$2:H$169,FALSE),1),"")</f>
        <v/>
      </c>
      <c r="I175" s="17" t="str">
        <f>IFERROR(INDEX(逆引き作成用!$C$2:$C$169,MATCH($B175&amp;"/"&amp;$C175,逆引き作成用!I$2:I$169,FALSE),1),"")</f>
        <v/>
      </c>
      <c r="J175" s="17" t="str">
        <f>IFERROR(INDEX(逆引き作成用!$C$2:$C$169,MATCH($B175&amp;"/"&amp;$C175,逆引き作成用!J$2:J$169,FALSE),1),"")</f>
        <v/>
      </c>
      <c r="K175" s="17" t="str">
        <f>IFERROR(INDEX(逆引き作成用!$C$2:$C$169,MATCH($B175&amp;"/"&amp;$C175,逆引き作成用!K$2:K$169,FALSE),1),"")</f>
        <v/>
      </c>
      <c r="L175" s="17" t="str">
        <f>IFERROR(INDEX(逆引き作成用!$C$2:$C$169,MATCH($B175&amp;"/"&amp;$C175,逆引き作成用!L$2:L$169,FALSE),1),"")</f>
        <v/>
      </c>
      <c r="M175" s="17" t="str">
        <f>IFERROR(INDEX(逆引き作成用!$C$2:$C$169,MATCH($B175&amp;"/"&amp;$C175,逆引き作成用!M$2:M$169,FALSE),1),"")</f>
        <v/>
      </c>
      <c r="N175" s="17" t="str">
        <f>IFERROR(INDEX(逆引き作成用!$C$2:$C$169,MATCH($B175&amp;"/"&amp;$C175,逆引き作成用!N$2:N$169,FALSE),1),"")</f>
        <v/>
      </c>
      <c r="O175" s="17" t="str">
        <f>IFERROR(INDEX(逆引き作成用!$C$2:$C$169,MATCH($B175&amp;"/"&amp;$C175,逆引き作成用!O$2:O$169,FALSE),1),"")</f>
        <v/>
      </c>
      <c r="P175" s="17" t="str">
        <f>IFERROR(INDEX(逆引き作成用!$C$2:$C$169,MATCH($B175&amp;"/"&amp;$C175,逆引き作成用!P$2:P$169,FALSE),1),"")</f>
        <v/>
      </c>
      <c r="Q175" s="17" t="str">
        <f>IFERROR(INDEX(逆引き作成用!$C$2:$C$169,MATCH($B175&amp;"/"&amp;$C175,逆引き作成用!Q$2:Q$169,FALSE),1),"")</f>
        <v/>
      </c>
      <c r="R175" s="17" t="str">
        <f>IFERROR(INDEX(逆引き作成用!$C$2:$C$169,MATCH($B175&amp;"/"&amp;$C175,逆引き作成用!R$2:R$169,FALSE),1),"")</f>
        <v/>
      </c>
      <c r="S175" s="17" t="str">
        <f>IFERROR(INDEX(逆引き作成用!$C$2:$C$169,MATCH($B175&amp;"/"&amp;$C175,逆引き作成用!S$2:S$169,FALSE),1),"")</f>
        <v/>
      </c>
      <c r="T175" s="17" t="str">
        <f>IFERROR(INDEX(逆引き作成用!$C$2:$C$169,MATCH($B175&amp;"/"&amp;$C175,逆引き作成用!T$2:T$169,FALSE),1),"")</f>
        <v/>
      </c>
      <c r="U175" s="17" t="str">
        <f>IFERROR(INDEX(逆引き作成用!$C$2:$C$169,MATCH($B175&amp;"/"&amp;$C175,逆引き作成用!U$2:U$169,FALSE),1),"")</f>
        <v/>
      </c>
      <c r="V175" s="17" t="str">
        <f>IFERROR(INDEX(逆引き作成用!$C$2:$C$169,MATCH($B175&amp;"/"&amp;$C175,逆引き作成用!V$2:V$169,FALSE),1),"")</f>
        <v/>
      </c>
      <c r="W175" s="17" t="str">
        <f>IFERROR(INDEX(逆引き作成用!$C$2:$C$169,MATCH($B175&amp;"/"&amp;$C175,逆引き作成用!W$2:W$169,FALSE),1),"")</f>
        <v/>
      </c>
      <c r="X175" s="17" t="str">
        <f>IFERROR(INDEX(逆引き作成用!$C$2:$C$169,MATCH($B175&amp;"/"&amp;$C175,逆引き作成用!X$2:X$169,FALSE),1),"")</f>
        <v/>
      </c>
      <c r="Y175" s="17" t="str">
        <f>IFERROR(INDEX(逆引き作成用!$C$2:$C$169,MATCH($B175&amp;"/"&amp;$C175,逆引き作成用!Y$2:Y$169,FALSE),1),"")</f>
        <v/>
      </c>
      <c r="Z175" s="17" t="str">
        <f>IFERROR(INDEX(逆引き作成用!$C$2:$C$169,MATCH($B175&amp;"/"&amp;$C175,逆引き作成用!Z$2:Z$169,FALSE),1),"")</f>
        <v/>
      </c>
      <c r="AA175" s="17" t="str">
        <f>IFERROR(INDEX(逆引き作成用!$C$2:$C$169,MATCH($B175&amp;"/"&amp;$C175,逆引き作成用!AA$2:AA$169,FALSE),1),"")</f>
        <v/>
      </c>
      <c r="AB175" s="17" t="str">
        <f>IFERROR(INDEX(逆引き作成用!$C$2:$C$169,MATCH($B175&amp;"/"&amp;$C175,逆引き作成用!AB$2:AB$169,FALSE),1),"")</f>
        <v/>
      </c>
      <c r="AC175" s="17" t="str">
        <f>IFERROR(INDEX(逆引き作成用!$C$2:$C$169,MATCH($B175&amp;"/"&amp;$C175,逆引き作成用!AC$2:AC$169,FALSE),1),"")</f>
        <v/>
      </c>
      <c r="AD175" s="17" t="str">
        <f>IFERROR(INDEX(逆引き作成用!$C$2:$C$169,MATCH($B175&amp;"/"&amp;$C175,逆引き作成用!AD$2:AD$169,FALSE),1),"")</f>
        <v/>
      </c>
      <c r="AE175" s="17" t="str">
        <f>IFERROR(INDEX(逆引き作成用!$C$2:$C$169,MATCH($B175&amp;"/"&amp;$C175,逆引き作成用!AE$2:AE$169,FALSE),1),"")</f>
        <v/>
      </c>
      <c r="AF175" s="17" t="str">
        <f>IFERROR(INDEX(逆引き作成用!$C$2:$C$169,MATCH($B175&amp;"/"&amp;$C175,逆引き作成用!AF$2:AF$169,FALSE),1),"")</f>
        <v/>
      </c>
      <c r="AG175" s="17" t="str">
        <f>IFERROR(INDEX(逆引き作成用!$C$2:$C$169,MATCH($B175&amp;"/"&amp;$C175,逆引き作成用!AG$2:AG$169,FALSE),1),"")</f>
        <v/>
      </c>
      <c r="AH175" s="17" t="str">
        <f>IFERROR(INDEX(逆引き作成用!$C$2:$C$169,MATCH($B175&amp;"/"&amp;$C175,逆引き作成用!AH$2:AH$169,FALSE),1),"")</f>
        <v/>
      </c>
      <c r="AI175" s="17" t="str">
        <f>IFERROR(INDEX(逆引き作成用!$C$2:$C$169,MATCH($B175&amp;"/"&amp;$C175,逆引き作成用!AI$2:AI$169,FALSE),1),"")</f>
        <v/>
      </c>
      <c r="AJ175" s="17" t="str">
        <f>IFERROR(INDEX(逆引き作成用!$C$2:$C$169,MATCH($B175&amp;"/"&amp;$C175,逆引き作成用!AJ$2:AJ$169,FALSE),1),"")</f>
        <v/>
      </c>
      <c r="AK175" s="17" t="str">
        <f>IFERROR(INDEX(逆引き作成用!$C$2:$C$169,MATCH($B175&amp;"/"&amp;$C175,逆引き作成用!AK$2:AK$169,FALSE),1),"")</f>
        <v/>
      </c>
      <c r="AL175" s="17" t="str">
        <f>IFERROR(INDEX(逆引き作成用!$C$2:$C$169,MATCH($B175&amp;"/"&amp;$C175,逆引き作成用!AL$2:AL$169,FALSE),1),"")</f>
        <v/>
      </c>
      <c r="AM175" s="17" t="str">
        <f>IFERROR(INDEX(逆引き作成用!$C$2:$C$169,MATCH($B175&amp;"/"&amp;$C175,逆引き作成用!AM$2:AM$169,FALSE),1),"")</f>
        <v/>
      </c>
      <c r="AN175" s="17" t="str">
        <f>IFERROR(INDEX(逆引き作成用!$C$2:$C$169,MATCH($B175&amp;"/"&amp;$C175,逆引き作成用!AN$2:AN$169,FALSE),1),"")</f>
        <v/>
      </c>
      <c r="AO175" s="17" t="str">
        <f>IFERROR(INDEX(逆引き作成用!$C$2:$C$169,MATCH($B175&amp;"/"&amp;$C175,逆引き作成用!AO$2:AO$169,FALSE),1),"")</f>
        <v/>
      </c>
      <c r="AP175" s="17" t="str">
        <f>IFERROR(INDEX(逆引き作成用!$C$2:$C$169,MATCH($B175&amp;"/"&amp;$C175,逆引き作成用!AP$2:AP$169,FALSE),1),"")</f>
        <v/>
      </c>
      <c r="AQ175" s="17" t="str">
        <f>IFERROR(INDEX(逆引き作成用!$C$2:$C$169,MATCH($B175&amp;"/"&amp;$C175,逆引き作成用!AQ$2:AQ$169,FALSE),1),"")</f>
        <v/>
      </c>
      <c r="AR175" s="17" t="str">
        <f>IFERROR(INDEX(逆引き作成用!$C$2:$C$169,MATCH($B175&amp;"/"&amp;$C175,逆引き作成用!AR$2:AR$169,FALSE),1),"")</f>
        <v/>
      </c>
      <c r="AS175" s="17" t="str">
        <f>IFERROR(INDEX(逆引き作成用!$C$2:$C$169,MATCH($B175&amp;"/"&amp;$C175,逆引き作成用!AS$2:AS$169,FALSE),1),"")</f>
        <v/>
      </c>
      <c r="AT175" s="17" t="str">
        <f>IFERROR(INDEX(逆引き作成用!$C$2:$C$169,MATCH($B175&amp;"/"&amp;$C175,逆引き作成用!AT$2:AT$169,FALSE),1),"")</f>
        <v/>
      </c>
      <c r="AU175" s="17" t="str">
        <f>IFERROR(INDEX(逆引き作成用!$C$2:$C$169,MATCH($B175&amp;"/"&amp;$C175,逆引き作成用!AU$2:AU$169,FALSE),1),"")</f>
        <v/>
      </c>
      <c r="AV175" s="17" t="str">
        <f>IFERROR(INDEX(逆引き作成用!$C$2:$C$169,MATCH($B175&amp;"/"&amp;$C175,逆引き作成用!AV$2:AV$169,FALSE),1),"")</f>
        <v/>
      </c>
      <c r="AW175" s="17" t="str">
        <f>IFERROR(INDEX(逆引き作成用!$C$2:$C$169,MATCH($B175&amp;"/"&amp;$C175,逆引き作成用!AW$2:AW$169,FALSE),1),"")</f>
        <v/>
      </c>
      <c r="AX175" s="17" t="str">
        <f>IFERROR(INDEX(逆引き作成用!$C$2:$C$169,MATCH($B175&amp;"/"&amp;$C175,逆引き作成用!AX$2:AX$169,FALSE),1),"")</f>
        <v/>
      </c>
      <c r="AY175" s="17" t="str">
        <f>IFERROR(INDEX(逆引き作成用!$C$2:$C$169,MATCH($B175&amp;"/"&amp;$C175,逆引き作成用!AY$2:AY$169,FALSE),1),"")</f>
        <v/>
      </c>
      <c r="AZ175" s="17" t="str">
        <f>IFERROR(INDEX(逆引き作成用!$C$2:$C$169,MATCH($B175&amp;"/"&amp;$C175,逆引き作成用!AZ$2:AZ$169,FALSE),1),"")</f>
        <v/>
      </c>
      <c r="BA175" s="17" t="str">
        <f>IFERROR(INDEX(逆引き作成用!$C$2:$C$169,MATCH($B175&amp;"/"&amp;$C175,逆引き作成用!BA$2:BA$169,FALSE),1),"")</f>
        <v/>
      </c>
    </row>
    <row r="176" spans="1:53">
      <c r="A176" s="17" t="str">
        <f>IFERROR(INDEX(役職一覧!$B$2:$B$31,MATCH(B176,役職一覧!$C$2:$C$31,FALSE),1),"")</f>
        <v/>
      </c>
      <c r="B176" s="17" t="str">
        <f>IFERROR(IF(C176=1,INDEX(役職一覧!$C$2:$C$31,MATCH(逆引き!B175,役職一覧!$C$2:$C$31,FALSE)+1,1)&amp;"",B175),"")</f>
        <v/>
      </c>
      <c r="C176" s="17" t="str">
        <f>IFERROR(IF(VLOOKUP(B175,役職一覧!$C$2:$E$31,3,FALSE)=C175,1,C175+1),"")</f>
        <v/>
      </c>
      <c r="D176" s="17" t="str">
        <f>IFERROR(INDEX(逆引き作成用!$C$2:$C$169,MATCH($B176&amp;"/"&amp;$C176,逆引き作成用!D$2:D$169,FALSE),1),"")</f>
        <v/>
      </c>
      <c r="E176" s="17" t="str">
        <f>IFERROR(INDEX(逆引き作成用!$C$2:$C$169,MATCH($B176&amp;"/"&amp;$C176,逆引き作成用!E$2:E$169,FALSE),1),"")</f>
        <v/>
      </c>
      <c r="F176" s="17" t="str">
        <f>IFERROR(INDEX(逆引き作成用!$C$2:$C$169,MATCH($B176&amp;"/"&amp;$C176,逆引き作成用!F$2:F$169,FALSE),1),"")</f>
        <v/>
      </c>
      <c r="G176" s="17" t="str">
        <f>IFERROR(INDEX(逆引き作成用!$C$2:$C$169,MATCH($B176&amp;"/"&amp;$C176,逆引き作成用!G$2:G$169,FALSE),1),"")</f>
        <v/>
      </c>
      <c r="H176" s="17" t="str">
        <f>IFERROR(INDEX(逆引き作成用!$C$2:$C$169,MATCH($B176&amp;"/"&amp;$C176,逆引き作成用!H$2:H$169,FALSE),1),"")</f>
        <v/>
      </c>
      <c r="I176" s="17" t="str">
        <f>IFERROR(INDEX(逆引き作成用!$C$2:$C$169,MATCH($B176&amp;"/"&amp;$C176,逆引き作成用!I$2:I$169,FALSE),1),"")</f>
        <v/>
      </c>
      <c r="J176" s="17" t="str">
        <f>IFERROR(INDEX(逆引き作成用!$C$2:$C$169,MATCH($B176&amp;"/"&amp;$C176,逆引き作成用!J$2:J$169,FALSE),1),"")</f>
        <v/>
      </c>
      <c r="K176" s="17" t="str">
        <f>IFERROR(INDEX(逆引き作成用!$C$2:$C$169,MATCH($B176&amp;"/"&amp;$C176,逆引き作成用!K$2:K$169,FALSE),1),"")</f>
        <v/>
      </c>
      <c r="L176" s="17" t="str">
        <f>IFERROR(INDEX(逆引き作成用!$C$2:$C$169,MATCH($B176&amp;"/"&amp;$C176,逆引き作成用!L$2:L$169,FALSE),1),"")</f>
        <v/>
      </c>
      <c r="M176" s="17" t="str">
        <f>IFERROR(INDEX(逆引き作成用!$C$2:$C$169,MATCH($B176&amp;"/"&amp;$C176,逆引き作成用!M$2:M$169,FALSE),1),"")</f>
        <v/>
      </c>
      <c r="N176" s="17" t="str">
        <f>IFERROR(INDEX(逆引き作成用!$C$2:$C$169,MATCH($B176&amp;"/"&amp;$C176,逆引き作成用!N$2:N$169,FALSE),1),"")</f>
        <v/>
      </c>
      <c r="O176" s="17" t="str">
        <f>IFERROR(INDEX(逆引き作成用!$C$2:$C$169,MATCH($B176&amp;"/"&amp;$C176,逆引き作成用!O$2:O$169,FALSE),1),"")</f>
        <v/>
      </c>
      <c r="P176" s="17" t="str">
        <f>IFERROR(INDEX(逆引き作成用!$C$2:$C$169,MATCH($B176&amp;"/"&amp;$C176,逆引き作成用!P$2:P$169,FALSE),1),"")</f>
        <v/>
      </c>
      <c r="Q176" s="17" t="str">
        <f>IFERROR(INDEX(逆引き作成用!$C$2:$C$169,MATCH($B176&amp;"/"&amp;$C176,逆引き作成用!Q$2:Q$169,FALSE),1),"")</f>
        <v/>
      </c>
      <c r="R176" s="17" t="str">
        <f>IFERROR(INDEX(逆引き作成用!$C$2:$C$169,MATCH($B176&amp;"/"&amp;$C176,逆引き作成用!R$2:R$169,FALSE),1),"")</f>
        <v/>
      </c>
      <c r="S176" s="17" t="str">
        <f>IFERROR(INDEX(逆引き作成用!$C$2:$C$169,MATCH($B176&amp;"/"&amp;$C176,逆引き作成用!S$2:S$169,FALSE),1),"")</f>
        <v/>
      </c>
      <c r="T176" s="17" t="str">
        <f>IFERROR(INDEX(逆引き作成用!$C$2:$C$169,MATCH($B176&amp;"/"&amp;$C176,逆引き作成用!T$2:T$169,FALSE),1),"")</f>
        <v/>
      </c>
      <c r="U176" s="17" t="str">
        <f>IFERROR(INDEX(逆引き作成用!$C$2:$C$169,MATCH($B176&amp;"/"&amp;$C176,逆引き作成用!U$2:U$169,FALSE),1),"")</f>
        <v/>
      </c>
      <c r="V176" s="17" t="str">
        <f>IFERROR(INDEX(逆引き作成用!$C$2:$C$169,MATCH($B176&amp;"/"&amp;$C176,逆引き作成用!V$2:V$169,FALSE),1),"")</f>
        <v/>
      </c>
      <c r="W176" s="17" t="str">
        <f>IFERROR(INDEX(逆引き作成用!$C$2:$C$169,MATCH($B176&amp;"/"&amp;$C176,逆引き作成用!W$2:W$169,FALSE),1),"")</f>
        <v/>
      </c>
      <c r="X176" s="17" t="str">
        <f>IFERROR(INDEX(逆引き作成用!$C$2:$C$169,MATCH($B176&amp;"/"&amp;$C176,逆引き作成用!X$2:X$169,FALSE),1),"")</f>
        <v/>
      </c>
      <c r="Y176" s="17" t="str">
        <f>IFERROR(INDEX(逆引き作成用!$C$2:$C$169,MATCH($B176&amp;"/"&amp;$C176,逆引き作成用!Y$2:Y$169,FALSE),1),"")</f>
        <v/>
      </c>
      <c r="Z176" s="17" t="str">
        <f>IFERROR(INDEX(逆引き作成用!$C$2:$C$169,MATCH($B176&amp;"/"&amp;$C176,逆引き作成用!Z$2:Z$169,FALSE),1),"")</f>
        <v/>
      </c>
      <c r="AA176" s="17" t="str">
        <f>IFERROR(INDEX(逆引き作成用!$C$2:$C$169,MATCH($B176&amp;"/"&amp;$C176,逆引き作成用!AA$2:AA$169,FALSE),1),"")</f>
        <v/>
      </c>
      <c r="AB176" s="17" t="str">
        <f>IFERROR(INDEX(逆引き作成用!$C$2:$C$169,MATCH($B176&amp;"/"&amp;$C176,逆引き作成用!AB$2:AB$169,FALSE),1),"")</f>
        <v/>
      </c>
      <c r="AC176" s="17" t="str">
        <f>IFERROR(INDEX(逆引き作成用!$C$2:$C$169,MATCH($B176&amp;"/"&amp;$C176,逆引き作成用!AC$2:AC$169,FALSE),1),"")</f>
        <v/>
      </c>
      <c r="AD176" s="17" t="str">
        <f>IFERROR(INDEX(逆引き作成用!$C$2:$C$169,MATCH($B176&amp;"/"&amp;$C176,逆引き作成用!AD$2:AD$169,FALSE),1),"")</f>
        <v/>
      </c>
      <c r="AE176" s="17" t="str">
        <f>IFERROR(INDEX(逆引き作成用!$C$2:$C$169,MATCH($B176&amp;"/"&amp;$C176,逆引き作成用!AE$2:AE$169,FALSE),1),"")</f>
        <v/>
      </c>
      <c r="AF176" s="17" t="str">
        <f>IFERROR(INDEX(逆引き作成用!$C$2:$C$169,MATCH($B176&amp;"/"&amp;$C176,逆引き作成用!AF$2:AF$169,FALSE),1),"")</f>
        <v/>
      </c>
      <c r="AG176" s="17" t="str">
        <f>IFERROR(INDEX(逆引き作成用!$C$2:$C$169,MATCH($B176&amp;"/"&amp;$C176,逆引き作成用!AG$2:AG$169,FALSE),1),"")</f>
        <v/>
      </c>
      <c r="AH176" s="17" t="str">
        <f>IFERROR(INDEX(逆引き作成用!$C$2:$C$169,MATCH($B176&amp;"/"&amp;$C176,逆引き作成用!AH$2:AH$169,FALSE),1),"")</f>
        <v/>
      </c>
      <c r="AI176" s="17" t="str">
        <f>IFERROR(INDEX(逆引き作成用!$C$2:$C$169,MATCH($B176&amp;"/"&amp;$C176,逆引き作成用!AI$2:AI$169,FALSE),1),"")</f>
        <v/>
      </c>
      <c r="AJ176" s="17" t="str">
        <f>IFERROR(INDEX(逆引き作成用!$C$2:$C$169,MATCH($B176&amp;"/"&amp;$C176,逆引き作成用!AJ$2:AJ$169,FALSE),1),"")</f>
        <v/>
      </c>
      <c r="AK176" s="17" t="str">
        <f>IFERROR(INDEX(逆引き作成用!$C$2:$C$169,MATCH($B176&amp;"/"&amp;$C176,逆引き作成用!AK$2:AK$169,FALSE),1),"")</f>
        <v/>
      </c>
      <c r="AL176" s="17" t="str">
        <f>IFERROR(INDEX(逆引き作成用!$C$2:$C$169,MATCH($B176&amp;"/"&amp;$C176,逆引き作成用!AL$2:AL$169,FALSE),1),"")</f>
        <v/>
      </c>
      <c r="AM176" s="17" t="str">
        <f>IFERROR(INDEX(逆引き作成用!$C$2:$C$169,MATCH($B176&amp;"/"&amp;$C176,逆引き作成用!AM$2:AM$169,FALSE),1),"")</f>
        <v/>
      </c>
      <c r="AN176" s="17" t="str">
        <f>IFERROR(INDEX(逆引き作成用!$C$2:$C$169,MATCH($B176&amp;"/"&amp;$C176,逆引き作成用!AN$2:AN$169,FALSE),1),"")</f>
        <v/>
      </c>
      <c r="AO176" s="17" t="str">
        <f>IFERROR(INDEX(逆引き作成用!$C$2:$C$169,MATCH($B176&amp;"/"&amp;$C176,逆引き作成用!AO$2:AO$169,FALSE),1),"")</f>
        <v/>
      </c>
      <c r="AP176" s="17" t="str">
        <f>IFERROR(INDEX(逆引き作成用!$C$2:$C$169,MATCH($B176&amp;"/"&amp;$C176,逆引き作成用!AP$2:AP$169,FALSE),1),"")</f>
        <v/>
      </c>
      <c r="AQ176" s="17" t="str">
        <f>IFERROR(INDEX(逆引き作成用!$C$2:$C$169,MATCH($B176&amp;"/"&amp;$C176,逆引き作成用!AQ$2:AQ$169,FALSE),1),"")</f>
        <v/>
      </c>
      <c r="AR176" s="17" t="str">
        <f>IFERROR(INDEX(逆引き作成用!$C$2:$C$169,MATCH($B176&amp;"/"&amp;$C176,逆引き作成用!AR$2:AR$169,FALSE),1),"")</f>
        <v/>
      </c>
      <c r="AS176" s="17" t="str">
        <f>IFERROR(INDEX(逆引き作成用!$C$2:$C$169,MATCH($B176&amp;"/"&amp;$C176,逆引き作成用!AS$2:AS$169,FALSE),1),"")</f>
        <v/>
      </c>
      <c r="AT176" s="17" t="str">
        <f>IFERROR(INDEX(逆引き作成用!$C$2:$C$169,MATCH($B176&amp;"/"&amp;$C176,逆引き作成用!AT$2:AT$169,FALSE),1),"")</f>
        <v/>
      </c>
      <c r="AU176" s="17" t="str">
        <f>IFERROR(INDEX(逆引き作成用!$C$2:$C$169,MATCH($B176&amp;"/"&amp;$C176,逆引き作成用!AU$2:AU$169,FALSE),1),"")</f>
        <v/>
      </c>
      <c r="AV176" s="17" t="str">
        <f>IFERROR(INDEX(逆引き作成用!$C$2:$C$169,MATCH($B176&amp;"/"&amp;$C176,逆引き作成用!AV$2:AV$169,FALSE),1),"")</f>
        <v/>
      </c>
      <c r="AW176" s="17" t="str">
        <f>IFERROR(INDEX(逆引き作成用!$C$2:$C$169,MATCH($B176&amp;"/"&amp;$C176,逆引き作成用!AW$2:AW$169,FALSE),1),"")</f>
        <v/>
      </c>
      <c r="AX176" s="17" t="str">
        <f>IFERROR(INDEX(逆引き作成用!$C$2:$C$169,MATCH($B176&amp;"/"&amp;$C176,逆引き作成用!AX$2:AX$169,FALSE),1),"")</f>
        <v/>
      </c>
      <c r="AY176" s="17" t="str">
        <f>IFERROR(INDEX(逆引き作成用!$C$2:$C$169,MATCH($B176&amp;"/"&amp;$C176,逆引き作成用!AY$2:AY$169,FALSE),1),"")</f>
        <v/>
      </c>
      <c r="AZ176" s="17" t="str">
        <f>IFERROR(INDEX(逆引き作成用!$C$2:$C$169,MATCH($B176&amp;"/"&amp;$C176,逆引き作成用!AZ$2:AZ$169,FALSE),1),"")</f>
        <v/>
      </c>
      <c r="BA176" s="17" t="str">
        <f>IFERROR(INDEX(逆引き作成用!$C$2:$C$169,MATCH($B176&amp;"/"&amp;$C176,逆引き作成用!BA$2:BA$169,FALSE),1),"")</f>
        <v/>
      </c>
    </row>
    <row r="177" spans="1:53">
      <c r="A177" s="17" t="str">
        <f>IFERROR(INDEX(役職一覧!$B$2:$B$31,MATCH(B177,役職一覧!$C$2:$C$31,FALSE),1),"")</f>
        <v/>
      </c>
      <c r="B177" s="17" t="str">
        <f>IFERROR(IF(C177=1,INDEX(役職一覧!$C$2:$C$31,MATCH(逆引き!B176,役職一覧!$C$2:$C$31,FALSE)+1,1)&amp;"",B176),"")</f>
        <v/>
      </c>
      <c r="C177" s="17" t="str">
        <f>IFERROR(IF(VLOOKUP(B176,役職一覧!$C$2:$E$31,3,FALSE)=C176,1,C176+1),"")</f>
        <v/>
      </c>
      <c r="D177" s="17" t="str">
        <f>IFERROR(INDEX(逆引き作成用!$C$2:$C$169,MATCH($B177&amp;"/"&amp;$C177,逆引き作成用!D$2:D$169,FALSE),1),"")</f>
        <v/>
      </c>
      <c r="E177" s="17" t="str">
        <f>IFERROR(INDEX(逆引き作成用!$C$2:$C$169,MATCH($B177&amp;"/"&amp;$C177,逆引き作成用!E$2:E$169,FALSE),1),"")</f>
        <v/>
      </c>
      <c r="F177" s="17" t="str">
        <f>IFERROR(INDEX(逆引き作成用!$C$2:$C$169,MATCH($B177&amp;"/"&amp;$C177,逆引き作成用!F$2:F$169,FALSE),1),"")</f>
        <v/>
      </c>
      <c r="G177" s="17" t="str">
        <f>IFERROR(INDEX(逆引き作成用!$C$2:$C$169,MATCH($B177&amp;"/"&amp;$C177,逆引き作成用!G$2:G$169,FALSE),1),"")</f>
        <v/>
      </c>
      <c r="H177" s="17" t="str">
        <f>IFERROR(INDEX(逆引き作成用!$C$2:$C$169,MATCH($B177&amp;"/"&amp;$C177,逆引き作成用!H$2:H$169,FALSE),1),"")</f>
        <v/>
      </c>
      <c r="I177" s="17" t="str">
        <f>IFERROR(INDEX(逆引き作成用!$C$2:$C$169,MATCH($B177&amp;"/"&amp;$C177,逆引き作成用!I$2:I$169,FALSE),1),"")</f>
        <v/>
      </c>
      <c r="J177" s="17" t="str">
        <f>IFERROR(INDEX(逆引き作成用!$C$2:$C$169,MATCH($B177&amp;"/"&amp;$C177,逆引き作成用!J$2:J$169,FALSE),1),"")</f>
        <v/>
      </c>
      <c r="K177" s="17" t="str">
        <f>IFERROR(INDEX(逆引き作成用!$C$2:$C$169,MATCH($B177&amp;"/"&amp;$C177,逆引き作成用!K$2:K$169,FALSE),1),"")</f>
        <v/>
      </c>
      <c r="L177" s="17" t="str">
        <f>IFERROR(INDEX(逆引き作成用!$C$2:$C$169,MATCH($B177&amp;"/"&amp;$C177,逆引き作成用!L$2:L$169,FALSE),1),"")</f>
        <v/>
      </c>
      <c r="M177" s="17" t="str">
        <f>IFERROR(INDEX(逆引き作成用!$C$2:$C$169,MATCH($B177&amp;"/"&amp;$C177,逆引き作成用!M$2:M$169,FALSE),1),"")</f>
        <v/>
      </c>
      <c r="N177" s="17" t="str">
        <f>IFERROR(INDEX(逆引き作成用!$C$2:$C$169,MATCH($B177&amp;"/"&amp;$C177,逆引き作成用!N$2:N$169,FALSE),1),"")</f>
        <v/>
      </c>
      <c r="O177" s="17" t="str">
        <f>IFERROR(INDEX(逆引き作成用!$C$2:$C$169,MATCH($B177&amp;"/"&amp;$C177,逆引き作成用!O$2:O$169,FALSE),1),"")</f>
        <v/>
      </c>
      <c r="P177" s="17" t="str">
        <f>IFERROR(INDEX(逆引き作成用!$C$2:$C$169,MATCH($B177&amp;"/"&amp;$C177,逆引き作成用!P$2:P$169,FALSE),1),"")</f>
        <v/>
      </c>
      <c r="Q177" s="17" t="str">
        <f>IFERROR(INDEX(逆引き作成用!$C$2:$C$169,MATCH($B177&amp;"/"&amp;$C177,逆引き作成用!Q$2:Q$169,FALSE),1),"")</f>
        <v/>
      </c>
      <c r="R177" s="17" t="str">
        <f>IFERROR(INDEX(逆引き作成用!$C$2:$C$169,MATCH($B177&amp;"/"&amp;$C177,逆引き作成用!R$2:R$169,FALSE),1),"")</f>
        <v/>
      </c>
      <c r="S177" s="17" t="str">
        <f>IFERROR(INDEX(逆引き作成用!$C$2:$C$169,MATCH($B177&amp;"/"&amp;$C177,逆引き作成用!S$2:S$169,FALSE),1),"")</f>
        <v/>
      </c>
      <c r="T177" s="17" t="str">
        <f>IFERROR(INDEX(逆引き作成用!$C$2:$C$169,MATCH($B177&amp;"/"&amp;$C177,逆引き作成用!T$2:T$169,FALSE),1),"")</f>
        <v/>
      </c>
      <c r="U177" s="17" t="str">
        <f>IFERROR(INDEX(逆引き作成用!$C$2:$C$169,MATCH($B177&amp;"/"&amp;$C177,逆引き作成用!U$2:U$169,FALSE),1),"")</f>
        <v/>
      </c>
      <c r="V177" s="17" t="str">
        <f>IFERROR(INDEX(逆引き作成用!$C$2:$C$169,MATCH($B177&amp;"/"&amp;$C177,逆引き作成用!V$2:V$169,FALSE),1),"")</f>
        <v/>
      </c>
      <c r="W177" s="17" t="str">
        <f>IFERROR(INDEX(逆引き作成用!$C$2:$C$169,MATCH($B177&amp;"/"&amp;$C177,逆引き作成用!W$2:W$169,FALSE),1),"")</f>
        <v/>
      </c>
      <c r="X177" s="17" t="str">
        <f>IFERROR(INDEX(逆引き作成用!$C$2:$C$169,MATCH($B177&amp;"/"&amp;$C177,逆引き作成用!X$2:X$169,FALSE),1),"")</f>
        <v/>
      </c>
      <c r="Y177" s="17" t="str">
        <f>IFERROR(INDEX(逆引き作成用!$C$2:$C$169,MATCH($B177&amp;"/"&amp;$C177,逆引き作成用!Y$2:Y$169,FALSE),1),"")</f>
        <v/>
      </c>
      <c r="Z177" s="17" t="str">
        <f>IFERROR(INDEX(逆引き作成用!$C$2:$C$169,MATCH($B177&amp;"/"&amp;$C177,逆引き作成用!Z$2:Z$169,FALSE),1),"")</f>
        <v/>
      </c>
      <c r="AA177" s="17" t="str">
        <f>IFERROR(INDEX(逆引き作成用!$C$2:$C$169,MATCH($B177&amp;"/"&amp;$C177,逆引き作成用!AA$2:AA$169,FALSE),1),"")</f>
        <v/>
      </c>
      <c r="AB177" s="17" t="str">
        <f>IFERROR(INDEX(逆引き作成用!$C$2:$C$169,MATCH($B177&amp;"/"&amp;$C177,逆引き作成用!AB$2:AB$169,FALSE),1),"")</f>
        <v/>
      </c>
      <c r="AC177" s="17" t="str">
        <f>IFERROR(INDEX(逆引き作成用!$C$2:$C$169,MATCH($B177&amp;"/"&amp;$C177,逆引き作成用!AC$2:AC$169,FALSE),1),"")</f>
        <v/>
      </c>
      <c r="AD177" s="17" t="str">
        <f>IFERROR(INDEX(逆引き作成用!$C$2:$C$169,MATCH($B177&amp;"/"&amp;$C177,逆引き作成用!AD$2:AD$169,FALSE),1),"")</f>
        <v/>
      </c>
      <c r="AE177" s="17" t="str">
        <f>IFERROR(INDEX(逆引き作成用!$C$2:$C$169,MATCH($B177&amp;"/"&amp;$C177,逆引き作成用!AE$2:AE$169,FALSE),1),"")</f>
        <v/>
      </c>
      <c r="AF177" s="17" t="str">
        <f>IFERROR(INDEX(逆引き作成用!$C$2:$C$169,MATCH($B177&amp;"/"&amp;$C177,逆引き作成用!AF$2:AF$169,FALSE),1),"")</f>
        <v/>
      </c>
      <c r="AG177" s="17" t="str">
        <f>IFERROR(INDEX(逆引き作成用!$C$2:$C$169,MATCH($B177&amp;"/"&amp;$C177,逆引き作成用!AG$2:AG$169,FALSE),1),"")</f>
        <v/>
      </c>
      <c r="AH177" s="17" t="str">
        <f>IFERROR(INDEX(逆引き作成用!$C$2:$C$169,MATCH($B177&amp;"/"&amp;$C177,逆引き作成用!AH$2:AH$169,FALSE),1),"")</f>
        <v/>
      </c>
      <c r="AI177" s="17" t="str">
        <f>IFERROR(INDEX(逆引き作成用!$C$2:$C$169,MATCH($B177&amp;"/"&amp;$C177,逆引き作成用!AI$2:AI$169,FALSE),1),"")</f>
        <v/>
      </c>
      <c r="AJ177" s="17" t="str">
        <f>IFERROR(INDEX(逆引き作成用!$C$2:$C$169,MATCH($B177&amp;"/"&amp;$C177,逆引き作成用!AJ$2:AJ$169,FALSE),1),"")</f>
        <v/>
      </c>
      <c r="AK177" s="17" t="str">
        <f>IFERROR(INDEX(逆引き作成用!$C$2:$C$169,MATCH($B177&amp;"/"&amp;$C177,逆引き作成用!AK$2:AK$169,FALSE),1),"")</f>
        <v/>
      </c>
      <c r="AL177" s="17" t="str">
        <f>IFERROR(INDEX(逆引き作成用!$C$2:$C$169,MATCH($B177&amp;"/"&amp;$C177,逆引き作成用!AL$2:AL$169,FALSE),1),"")</f>
        <v/>
      </c>
      <c r="AM177" s="17" t="str">
        <f>IFERROR(INDEX(逆引き作成用!$C$2:$C$169,MATCH($B177&amp;"/"&amp;$C177,逆引き作成用!AM$2:AM$169,FALSE),1),"")</f>
        <v/>
      </c>
      <c r="AN177" s="17" t="str">
        <f>IFERROR(INDEX(逆引き作成用!$C$2:$C$169,MATCH($B177&amp;"/"&amp;$C177,逆引き作成用!AN$2:AN$169,FALSE),1),"")</f>
        <v/>
      </c>
      <c r="AO177" s="17" t="str">
        <f>IFERROR(INDEX(逆引き作成用!$C$2:$C$169,MATCH($B177&amp;"/"&amp;$C177,逆引き作成用!AO$2:AO$169,FALSE),1),"")</f>
        <v/>
      </c>
      <c r="AP177" s="17" t="str">
        <f>IFERROR(INDEX(逆引き作成用!$C$2:$C$169,MATCH($B177&amp;"/"&amp;$C177,逆引き作成用!AP$2:AP$169,FALSE),1),"")</f>
        <v/>
      </c>
      <c r="AQ177" s="17" t="str">
        <f>IFERROR(INDEX(逆引き作成用!$C$2:$C$169,MATCH($B177&amp;"/"&amp;$C177,逆引き作成用!AQ$2:AQ$169,FALSE),1),"")</f>
        <v/>
      </c>
      <c r="AR177" s="17" t="str">
        <f>IFERROR(INDEX(逆引き作成用!$C$2:$C$169,MATCH($B177&amp;"/"&amp;$C177,逆引き作成用!AR$2:AR$169,FALSE),1),"")</f>
        <v/>
      </c>
      <c r="AS177" s="17" t="str">
        <f>IFERROR(INDEX(逆引き作成用!$C$2:$C$169,MATCH($B177&amp;"/"&amp;$C177,逆引き作成用!AS$2:AS$169,FALSE),1),"")</f>
        <v/>
      </c>
      <c r="AT177" s="17" t="str">
        <f>IFERROR(INDEX(逆引き作成用!$C$2:$C$169,MATCH($B177&amp;"/"&amp;$C177,逆引き作成用!AT$2:AT$169,FALSE),1),"")</f>
        <v/>
      </c>
      <c r="AU177" s="17" t="str">
        <f>IFERROR(INDEX(逆引き作成用!$C$2:$C$169,MATCH($B177&amp;"/"&amp;$C177,逆引き作成用!AU$2:AU$169,FALSE),1),"")</f>
        <v/>
      </c>
      <c r="AV177" s="17" t="str">
        <f>IFERROR(INDEX(逆引き作成用!$C$2:$C$169,MATCH($B177&amp;"/"&amp;$C177,逆引き作成用!AV$2:AV$169,FALSE),1),"")</f>
        <v/>
      </c>
      <c r="AW177" s="17" t="str">
        <f>IFERROR(INDEX(逆引き作成用!$C$2:$C$169,MATCH($B177&amp;"/"&amp;$C177,逆引き作成用!AW$2:AW$169,FALSE),1),"")</f>
        <v/>
      </c>
      <c r="AX177" s="17" t="str">
        <f>IFERROR(INDEX(逆引き作成用!$C$2:$C$169,MATCH($B177&amp;"/"&amp;$C177,逆引き作成用!AX$2:AX$169,FALSE),1),"")</f>
        <v/>
      </c>
      <c r="AY177" s="17" t="str">
        <f>IFERROR(INDEX(逆引き作成用!$C$2:$C$169,MATCH($B177&amp;"/"&amp;$C177,逆引き作成用!AY$2:AY$169,FALSE),1),"")</f>
        <v/>
      </c>
      <c r="AZ177" s="17" t="str">
        <f>IFERROR(INDEX(逆引き作成用!$C$2:$C$169,MATCH($B177&amp;"/"&amp;$C177,逆引き作成用!AZ$2:AZ$169,FALSE),1),"")</f>
        <v/>
      </c>
      <c r="BA177" s="17" t="str">
        <f>IFERROR(INDEX(逆引き作成用!$C$2:$C$169,MATCH($B177&amp;"/"&amp;$C177,逆引き作成用!BA$2:BA$169,FALSE),1),"")</f>
        <v/>
      </c>
    </row>
    <row r="178" spans="1:53">
      <c r="A178" s="17" t="str">
        <f>IFERROR(INDEX(役職一覧!$B$2:$B$31,MATCH(B178,役職一覧!$C$2:$C$31,FALSE),1),"")</f>
        <v/>
      </c>
      <c r="B178" s="17" t="str">
        <f>IFERROR(IF(C178=1,INDEX(役職一覧!$C$2:$C$31,MATCH(逆引き!B177,役職一覧!$C$2:$C$31,FALSE)+1,1)&amp;"",B177),"")</f>
        <v/>
      </c>
      <c r="C178" s="17" t="str">
        <f>IFERROR(IF(VLOOKUP(B177,役職一覧!$C$2:$E$31,3,FALSE)=C177,1,C177+1),"")</f>
        <v/>
      </c>
      <c r="D178" s="17" t="str">
        <f>IFERROR(INDEX(逆引き作成用!$C$2:$C$169,MATCH($B178&amp;"/"&amp;$C178,逆引き作成用!D$2:D$169,FALSE),1),"")</f>
        <v/>
      </c>
      <c r="E178" s="17" t="str">
        <f>IFERROR(INDEX(逆引き作成用!$C$2:$C$169,MATCH($B178&amp;"/"&amp;$C178,逆引き作成用!E$2:E$169,FALSE),1),"")</f>
        <v/>
      </c>
      <c r="F178" s="17" t="str">
        <f>IFERROR(INDEX(逆引き作成用!$C$2:$C$169,MATCH($B178&amp;"/"&amp;$C178,逆引き作成用!F$2:F$169,FALSE),1),"")</f>
        <v/>
      </c>
      <c r="G178" s="17" t="str">
        <f>IFERROR(INDEX(逆引き作成用!$C$2:$C$169,MATCH($B178&amp;"/"&amp;$C178,逆引き作成用!G$2:G$169,FALSE),1),"")</f>
        <v/>
      </c>
      <c r="H178" s="17" t="str">
        <f>IFERROR(INDEX(逆引き作成用!$C$2:$C$169,MATCH($B178&amp;"/"&amp;$C178,逆引き作成用!H$2:H$169,FALSE),1),"")</f>
        <v/>
      </c>
      <c r="I178" s="17" t="str">
        <f>IFERROR(INDEX(逆引き作成用!$C$2:$C$169,MATCH($B178&amp;"/"&amp;$C178,逆引き作成用!I$2:I$169,FALSE),1),"")</f>
        <v/>
      </c>
      <c r="J178" s="17" t="str">
        <f>IFERROR(INDEX(逆引き作成用!$C$2:$C$169,MATCH($B178&amp;"/"&amp;$C178,逆引き作成用!J$2:J$169,FALSE),1),"")</f>
        <v/>
      </c>
      <c r="K178" s="17" t="str">
        <f>IFERROR(INDEX(逆引き作成用!$C$2:$C$169,MATCH($B178&amp;"/"&amp;$C178,逆引き作成用!K$2:K$169,FALSE),1),"")</f>
        <v/>
      </c>
      <c r="L178" s="17" t="str">
        <f>IFERROR(INDEX(逆引き作成用!$C$2:$C$169,MATCH($B178&amp;"/"&amp;$C178,逆引き作成用!L$2:L$169,FALSE),1),"")</f>
        <v/>
      </c>
      <c r="M178" s="17" t="str">
        <f>IFERROR(INDEX(逆引き作成用!$C$2:$C$169,MATCH($B178&amp;"/"&amp;$C178,逆引き作成用!M$2:M$169,FALSE),1),"")</f>
        <v/>
      </c>
      <c r="N178" s="17" t="str">
        <f>IFERROR(INDEX(逆引き作成用!$C$2:$C$169,MATCH($B178&amp;"/"&amp;$C178,逆引き作成用!N$2:N$169,FALSE),1),"")</f>
        <v/>
      </c>
      <c r="O178" s="17" t="str">
        <f>IFERROR(INDEX(逆引き作成用!$C$2:$C$169,MATCH($B178&amp;"/"&amp;$C178,逆引き作成用!O$2:O$169,FALSE),1),"")</f>
        <v/>
      </c>
      <c r="P178" s="17" t="str">
        <f>IFERROR(INDEX(逆引き作成用!$C$2:$C$169,MATCH($B178&amp;"/"&amp;$C178,逆引き作成用!P$2:P$169,FALSE),1),"")</f>
        <v/>
      </c>
      <c r="Q178" s="17" t="str">
        <f>IFERROR(INDEX(逆引き作成用!$C$2:$C$169,MATCH($B178&amp;"/"&amp;$C178,逆引き作成用!Q$2:Q$169,FALSE),1),"")</f>
        <v/>
      </c>
      <c r="R178" s="17" t="str">
        <f>IFERROR(INDEX(逆引き作成用!$C$2:$C$169,MATCH($B178&amp;"/"&amp;$C178,逆引き作成用!R$2:R$169,FALSE),1),"")</f>
        <v/>
      </c>
      <c r="S178" s="17" t="str">
        <f>IFERROR(INDEX(逆引き作成用!$C$2:$C$169,MATCH($B178&amp;"/"&amp;$C178,逆引き作成用!S$2:S$169,FALSE),1),"")</f>
        <v/>
      </c>
      <c r="T178" s="17" t="str">
        <f>IFERROR(INDEX(逆引き作成用!$C$2:$C$169,MATCH($B178&amp;"/"&amp;$C178,逆引き作成用!T$2:T$169,FALSE),1),"")</f>
        <v/>
      </c>
      <c r="U178" s="17" t="str">
        <f>IFERROR(INDEX(逆引き作成用!$C$2:$C$169,MATCH($B178&amp;"/"&amp;$C178,逆引き作成用!U$2:U$169,FALSE),1),"")</f>
        <v/>
      </c>
      <c r="V178" s="17" t="str">
        <f>IFERROR(INDEX(逆引き作成用!$C$2:$C$169,MATCH($B178&amp;"/"&amp;$C178,逆引き作成用!V$2:V$169,FALSE),1),"")</f>
        <v/>
      </c>
      <c r="W178" s="17" t="str">
        <f>IFERROR(INDEX(逆引き作成用!$C$2:$C$169,MATCH($B178&amp;"/"&amp;$C178,逆引き作成用!W$2:W$169,FALSE),1),"")</f>
        <v/>
      </c>
      <c r="X178" s="17" t="str">
        <f>IFERROR(INDEX(逆引き作成用!$C$2:$C$169,MATCH($B178&amp;"/"&amp;$C178,逆引き作成用!X$2:X$169,FALSE),1),"")</f>
        <v/>
      </c>
      <c r="Y178" s="17" t="str">
        <f>IFERROR(INDEX(逆引き作成用!$C$2:$C$169,MATCH($B178&amp;"/"&amp;$C178,逆引き作成用!Y$2:Y$169,FALSE),1),"")</f>
        <v/>
      </c>
      <c r="Z178" s="17" t="str">
        <f>IFERROR(INDEX(逆引き作成用!$C$2:$C$169,MATCH($B178&amp;"/"&amp;$C178,逆引き作成用!Z$2:Z$169,FALSE),1),"")</f>
        <v/>
      </c>
      <c r="AA178" s="17" t="str">
        <f>IFERROR(INDEX(逆引き作成用!$C$2:$C$169,MATCH($B178&amp;"/"&amp;$C178,逆引き作成用!AA$2:AA$169,FALSE),1),"")</f>
        <v/>
      </c>
      <c r="AB178" s="17" t="str">
        <f>IFERROR(INDEX(逆引き作成用!$C$2:$C$169,MATCH($B178&amp;"/"&amp;$C178,逆引き作成用!AB$2:AB$169,FALSE),1),"")</f>
        <v/>
      </c>
      <c r="AC178" s="17" t="str">
        <f>IFERROR(INDEX(逆引き作成用!$C$2:$C$169,MATCH($B178&amp;"/"&amp;$C178,逆引き作成用!AC$2:AC$169,FALSE),1),"")</f>
        <v/>
      </c>
      <c r="AD178" s="17" t="str">
        <f>IFERROR(INDEX(逆引き作成用!$C$2:$C$169,MATCH($B178&amp;"/"&amp;$C178,逆引き作成用!AD$2:AD$169,FALSE),1),"")</f>
        <v/>
      </c>
      <c r="AE178" s="17" t="str">
        <f>IFERROR(INDEX(逆引き作成用!$C$2:$C$169,MATCH($B178&amp;"/"&amp;$C178,逆引き作成用!AE$2:AE$169,FALSE),1),"")</f>
        <v/>
      </c>
      <c r="AF178" s="17" t="str">
        <f>IFERROR(INDEX(逆引き作成用!$C$2:$C$169,MATCH($B178&amp;"/"&amp;$C178,逆引き作成用!AF$2:AF$169,FALSE),1),"")</f>
        <v/>
      </c>
      <c r="AG178" s="17" t="str">
        <f>IFERROR(INDEX(逆引き作成用!$C$2:$C$169,MATCH($B178&amp;"/"&amp;$C178,逆引き作成用!AG$2:AG$169,FALSE),1),"")</f>
        <v/>
      </c>
      <c r="AH178" s="17" t="str">
        <f>IFERROR(INDEX(逆引き作成用!$C$2:$C$169,MATCH($B178&amp;"/"&amp;$C178,逆引き作成用!AH$2:AH$169,FALSE),1),"")</f>
        <v/>
      </c>
      <c r="AI178" s="17" t="str">
        <f>IFERROR(INDEX(逆引き作成用!$C$2:$C$169,MATCH($B178&amp;"/"&amp;$C178,逆引き作成用!AI$2:AI$169,FALSE),1),"")</f>
        <v/>
      </c>
      <c r="AJ178" s="17" t="str">
        <f>IFERROR(INDEX(逆引き作成用!$C$2:$C$169,MATCH($B178&amp;"/"&amp;$C178,逆引き作成用!AJ$2:AJ$169,FALSE),1),"")</f>
        <v/>
      </c>
      <c r="AK178" s="17" t="str">
        <f>IFERROR(INDEX(逆引き作成用!$C$2:$C$169,MATCH($B178&amp;"/"&amp;$C178,逆引き作成用!AK$2:AK$169,FALSE),1),"")</f>
        <v/>
      </c>
      <c r="AL178" s="17" t="str">
        <f>IFERROR(INDEX(逆引き作成用!$C$2:$C$169,MATCH($B178&amp;"/"&amp;$C178,逆引き作成用!AL$2:AL$169,FALSE),1),"")</f>
        <v/>
      </c>
      <c r="AM178" s="17" t="str">
        <f>IFERROR(INDEX(逆引き作成用!$C$2:$C$169,MATCH($B178&amp;"/"&amp;$C178,逆引き作成用!AM$2:AM$169,FALSE),1),"")</f>
        <v/>
      </c>
      <c r="AN178" s="17" t="str">
        <f>IFERROR(INDEX(逆引き作成用!$C$2:$C$169,MATCH($B178&amp;"/"&amp;$C178,逆引き作成用!AN$2:AN$169,FALSE),1),"")</f>
        <v/>
      </c>
      <c r="AO178" s="17" t="str">
        <f>IFERROR(INDEX(逆引き作成用!$C$2:$C$169,MATCH($B178&amp;"/"&amp;$C178,逆引き作成用!AO$2:AO$169,FALSE),1),"")</f>
        <v/>
      </c>
      <c r="AP178" s="17" t="str">
        <f>IFERROR(INDEX(逆引き作成用!$C$2:$C$169,MATCH($B178&amp;"/"&amp;$C178,逆引き作成用!AP$2:AP$169,FALSE),1),"")</f>
        <v/>
      </c>
      <c r="AQ178" s="17" t="str">
        <f>IFERROR(INDEX(逆引き作成用!$C$2:$C$169,MATCH($B178&amp;"/"&amp;$C178,逆引き作成用!AQ$2:AQ$169,FALSE),1),"")</f>
        <v/>
      </c>
      <c r="AR178" s="17" t="str">
        <f>IFERROR(INDEX(逆引き作成用!$C$2:$C$169,MATCH($B178&amp;"/"&amp;$C178,逆引き作成用!AR$2:AR$169,FALSE),1),"")</f>
        <v/>
      </c>
      <c r="AS178" s="17" t="str">
        <f>IFERROR(INDEX(逆引き作成用!$C$2:$C$169,MATCH($B178&amp;"/"&amp;$C178,逆引き作成用!AS$2:AS$169,FALSE),1),"")</f>
        <v/>
      </c>
      <c r="AT178" s="17" t="str">
        <f>IFERROR(INDEX(逆引き作成用!$C$2:$C$169,MATCH($B178&amp;"/"&amp;$C178,逆引き作成用!AT$2:AT$169,FALSE),1),"")</f>
        <v/>
      </c>
      <c r="AU178" s="17" t="str">
        <f>IFERROR(INDEX(逆引き作成用!$C$2:$C$169,MATCH($B178&amp;"/"&amp;$C178,逆引き作成用!AU$2:AU$169,FALSE),1),"")</f>
        <v/>
      </c>
      <c r="AV178" s="17" t="str">
        <f>IFERROR(INDEX(逆引き作成用!$C$2:$C$169,MATCH($B178&amp;"/"&amp;$C178,逆引き作成用!AV$2:AV$169,FALSE),1),"")</f>
        <v/>
      </c>
      <c r="AW178" s="17" t="str">
        <f>IFERROR(INDEX(逆引き作成用!$C$2:$C$169,MATCH($B178&amp;"/"&amp;$C178,逆引き作成用!AW$2:AW$169,FALSE),1),"")</f>
        <v/>
      </c>
      <c r="AX178" s="17" t="str">
        <f>IFERROR(INDEX(逆引き作成用!$C$2:$C$169,MATCH($B178&amp;"/"&amp;$C178,逆引き作成用!AX$2:AX$169,FALSE),1),"")</f>
        <v/>
      </c>
      <c r="AY178" s="17" t="str">
        <f>IFERROR(INDEX(逆引き作成用!$C$2:$C$169,MATCH($B178&amp;"/"&amp;$C178,逆引き作成用!AY$2:AY$169,FALSE),1),"")</f>
        <v/>
      </c>
      <c r="AZ178" s="17" t="str">
        <f>IFERROR(INDEX(逆引き作成用!$C$2:$C$169,MATCH($B178&amp;"/"&amp;$C178,逆引き作成用!AZ$2:AZ$169,FALSE),1),"")</f>
        <v/>
      </c>
      <c r="BA178" s="17" t="str">
        <f>IFERROR(INDEX(逆引き作成用!$C$2:$C$169,MATCH($B178&amp;"/"&amp;$C178,逆引き作成用!BA$2:BA$169,FALSE),1),"")</f>
        <v/>
      </c>
    </row>
    <row r="179" spans="1:53">
      <c r="A179" s="17" t="str">
        <f>IFERROR(INDEX(役職一覧!$B$2:$B$31,MATCH(B179,役職一覧!$C$2:$C$31,FALSE),1),"")</f>
        <v/>
      </c>
      <c r="B179" s="17" t="str">
        <f>IFERROR(IF(C179=1,INDEX(役職一覧!$C$2:$C$31,MATCH(逆引き!B178,役職一覧!$C$2:$C$31,FALSE)+1,1)&amp;"",B178),"")</f>
        <v/>
      </c>
      <c r="C179" s="17" t="str">
        <f>IFERROR(IF(VLOOKUP(B178,役職一覧!$C$2:$E$31,3,FALSE)=C178,1,C178+1),"")</f>
        <v/>
      </c>
      <c r="D179" s="17" t="str">
        <f>IFERROR(INDEX(逆引き作成用!$C$2:$C$169,MATCH($B179&amp;"/"&amp;$C179,逆引き作成用!D$2:D$169,FALSE),1),"")</f>
        <v/>
      </c>
      <c r="E179" s="17" t="str">
        <f>IFERROR(INDEX(逆引き作成用!$C$2:$C$169,MATCH($B179&amp;"/"&amp;$C179,逆引き作成用!E$2:E$169,FALSE),1),"")</f>
        <v/>
      </c>
      <c r="F179" s="17" t="str">
        <f>IFERROR(INDEX(逆引き作成用!$C$2:$C$169,MATCH($B179&amp;"/"&amp;$C179,逆引き作成用!F$2:F$169,FALSE),1),"")</f>
        <v/>
      </c>
      <c r="G179" s="17" t="str">
        <f>IFERROR(INDEX(逆引き作成用!$C$2:$C$169,MATCH($B179&amp;"/"&amp;$C179,逆引き作成用!G$2:G$169,FALSE),1),"")</f>
        <v/>
      </c>
      <c r="H179" s="17" t="str">
        <f>IFERROR(INDEX(逆引き作成用!$C$2:$C$169,MATCH($B179&amp;"/"&amp;$C179,逆引き作成用!H$2:H$169,FALSE),1),"")</f>
        <v/>
      </c>
      <c r="I179" s="17" t="str">
        <f>IFERROR(INDEX(逆引き作成用!$C$2:$C$169,MATCH($B179&amp;"/"&amp;$C179,逆引き作成用!I$2:I$169,FALSE),1),"")</f>
        <v/>
      </c>
      <c r="J179" s="17" t="str">
        <f>IFERROR(INDEX(逆引き作成用!$C$2:$C$169,MATCH($B179&amp;"/"&amp;$C179,逆引き作成用!J$2:J$169,FALSE),1),"")</f>
        <v/>
      </c>
      <c r="K179" s="17" t="str">
        <f>IFERROR(INDEX(逆引き作成用!$C$2:$C$169,MATCH($B179&amp;"/"&amp;$C179,逆引き作成用!K$2:K$169,FALSE),1),"")</f>
        <v/>
      </c>
      <c r="L179" s="17" t="str">
        <f>IFERROR(INDEX(逆引き作成用!$C$2:$C$169,MATCH($B179&amp;"/"&amp;$C179,逆引き作成用!L$2:L$169,FALSE),1),"")</f>
        <v/>
      </c>
      <c r="M179" s="17" t="str">
        <f>IFERROR(INDEX(逆引き作成用!$C$2:$C$169,MATCH($B179&amp;"/"&amp;$C179,逆引き作成用!M$2:M$169,FALSE),1),"")</f>
        <v/>
      </c>
      <c r="N179" s="17" t="str">
        <f>IFERROR(INDEX(逆引き作成用!$C$2:$C$169,MATCH($B179&amp;"/"&amp;$C179,逆引き作成用!N$2:N$169,FALSE),1),"")</f>
        <v/>
      </c>
      <c r="O179" s="17" t="str">
        <f>IFERROR(INDEX(逆引き作成用!$C$2:$C$169,MATCH($B179&amp;"/"&amp;$C179,逆引き作成用!O$2:O$169,FALSE),1),"")</f>
        <v/>
      </c>
      <c r="P179" s="17" t="str">
        <f>IFERROR(INDEX(逆引き作成用!$C$2:$C$169,MATCH($B179&amp;"/"&amp;$C179,逆引き作成用!P$2:P$169,FALSE),1),"")</f>
        <v/>
      </c>
      <c r="Q179" s="17" t="str">
        <f>IFERROR(INDEX(逆引き作成用!$C$2:$C$169,MATCH($B179&amp;"/"&amp;$C179,逆引き作成用!Q$2:Q$169,FALSE),1),"")</f>
        <v/>
      </c>
      <c r="R179" s="17" t="str">
        <f>IFERROR(INDEX(逆引き作成用!$C$2:$C$169,MATCH($B179&amp;"/"&amp;$C179,逆引き作成用!R$2:R$169,FALSE),1),"")</f>
        <v/>
      </c>
      <c r="S179" s="17" t="str">
        <f>IFERROR(INDEX(逆引き作成用!$C$2:$C$169,MATCH($B179&amp;"/"&amp;$C179,逆引き作成用!S$2:S$169,FALSE),1),"")</f>
        <v/>
      </c>
      <c r="T179" s="17" t="str">
        <f>IFERROR(INDEX(逆引き作成用!$C$2:$C$169,MATCH($B179&amp;"/"&amp;$C179,逆引き作成用!T$2:T$169,FALSE),1),"")</f>
        <v/>
      </c>
      <c r="U179" s="17" t="str">
        <f>IFERROR(INDEX(逆引き作成用!$C$2:$C$169,MATCH($B179&amp;"/"&amp;$C179,逆引き作成用!U$2:U$169,FALSE),1),"")</f>
        <v/>
      </c>
      <c r="V179" s="17" t="str">
        <f>IFERROR(INDEX(逆引き作成用!$C$2:$C$169,MATCH($B179&amp;"/"&amp;$C179,逆引き作成用!V$2:V$169,FALSE),1),"")</f>
        <v/>
      </c>
      <c r="W179" s="17" t="str">
        <f>IFERROR(INDEX(逆引き作成用!$C$2:$C$169,MATCH($B179&amp;"/"&amp;$C179,逆引き作成用!W$2:W$169,FALSE),1),"")</f>
        <v/>
      </c>
      <c r="X179" s="17" t="str">
        <f>IFERROR(INDEX(逆引き作成用!$C$2:$C$169,MATCH($B179&amp;"/"&amp;$C179,逆引き作成用!X$2:X$169,FALSE),1),"")</f>
        <v/>
      </c>
      <c r="Y179" s="17" t="str">
        <f>IFERROR(INDEX(逆引き作成用!$C$2:$C$169,MATCH($B179&amp;"/"&amp;$C179,逆引き作成用!Y$2:Y$169,FALSE),1),"")</f>
        <v/>
      </c>
      <c r="Z179" s="17" t="str">
        <f>IFERROR(INDEX(逆引き作成用!$C$2:$C$169,MATCH($B179&amp;"/"&amp;$C179,逆引き作成用!Z$2:Z$169,FALSE),1),"")</f>
        <v/>
      </c>
      <c r="AA179" s="17" t="str">
        <f>IFERROR(INDEX(逆引き作成用!$C$2:$C$169,MATCH($B179&amp;"/"&amp;$C179,逆引き作成用!AA$2:AA$169,FALSE),1),"")</f>
        <v/>
      </c>
      <c r="AB179" s="17" t="str">
        <f>IFERROR(INDEX(逆引き作成用!$C$2:$C$169,MATCH($B179&amp;"/"&amp;$C179,逆引き作成用!AB$2:AB$169,FALSE),1),"")</f>
        <v/>
      </c>
      <c r="AC179" s="17" t="str">
        <f>IFERROR(INDEX(逆引き作成用!$C$2:$C$169,MATCH($B179&amp;"/"&amp;$C179,逆引き作成用!AC$2:AC$169,FALSE),1),"")</f>
        <v/>
      </c>
      <c r="AD179" s="17" t="str">
        <f>IFERROR(INDEX(逆引き作成用!$C$2:$C$169,MATCH($B179&amp;"/"&amp;$C179,逆引き作成用!AD$2:AD$169,FALSE),1),"")</f>
        <v/>
      </c>
      <c r="AE179" s="17" t="str">
        <f>IFERROR(INDEX(逆引き作成用!$C$2:$C$169,MATCH($B179&amp;"/"&amp;$C179,逆引き作成用!AE$2:AE$169,FALSE),1),"")</f>
        <v/>
      </c>
      <c r="AF179" s="17" t="str">
        <f>IFERROR(INDEX(逆引き作成用!$C$2:$C$169,MATCH($B179&amp;"/"&amp;$C179,逆引き作成用!AF$2:AF$169,FALSE),1),"")</f>
        <v/>
      </c>
      <c r="AG179" s="17" t="str">
        <f>IFERROR(INDEX(逆引き作成用!$C$2:$C$169,MATCH($B179&amp;"/"&amp;$C179,逆引き作成用!AG$2:AG$169,FALSE),1),"")</f>
        <v/>
      </c>
      <c r="AH179" s="17" t="str">
        <f>IFERROR(INDEX(逆引き作成用!$C$2:$C$169,MATCH($B179&amp;"/"&amp;$C179,逆引き作成用!AH$2:AH$169,FALSE),1),"")</f>
        <v/>
      </c>
      <c r="AI179" s="17" t="str">
        <f>IFERROR(INDEX(逆引き作成用!$C$2:$C$169,MATCH($B179&amp;"/"&amp;$C179,逆引き作成用!AI$2:AI$169,FALSE),1),"")</f>
        <v/>
      </c>
      <c r="AJ179" s="17" t="str">
        <f>IFERROR(INDEX(逆引き作成用!$C$2:$C$169,MATCH($B179&amp;"/"&amp;$C179,逆引き作成用!AJ$2:AJ$169,FALSE),1),"")</f>
        <v/>
      </c>
      <c r="AK179" s="17" t="str">
        <f>IFERROR(INDEX(逆引き作成用!$C$2:$C$169,MATCH($B179&amp;"/"&amp;$C179,逆引き作成用!AK$2:AK$169,FALSE),1),"")</f>
        <v/>
      </c>
      <c r="AL179" s="17" t="str">
        <f>IFERROR(INDEX(逆引き作成用!$C$2:$C$169,MATCH($B179&amp;"/"&amp;$C179,逆引き作成用!AL$2:AL$169,FALSE),1),"")</f>
        <v/>
      </c>
      <c r="AM179" s="17" t="str">
        <f>IFERROR(INDEX(逆引き作成用!$C$2:$C$169,MATCH($B179&amp;"/"&amp;$C179,逆引き作成用!AM$2:AM$169,FALSE),1),"")</f>
        <v/>
      </c>
      <c r="AN179" s="17" t="str">
        <f>IFERROR(INDEX(逆引き作成用!$C$2:$C$169,MATCH($B179&amp;"/"&amp;$C179,逆引き作成用!AN$2:AN$169,FALSE),1),"")</f>
        <v/>
      </c>
      <c r="AO179" s="17" t="str">
        <f>IFERROR(INDEX(逆引き作成用!$C$2:$C$169,MATCH($B179&amp;"/"&amp;$C179,逆引き作成用!AO$2:AO$169,FALSE),1),"")</f>
        <v/>
      </c>
      <c r="AP179" s="17" t="str">
        <f>IFERROR(INDEX(逆引き作成用!$C$2:$C$169,MATCH($B179&amp;"/"&amp;$C179,逆引き作成用!AP$2:AP$169,FALSE),1),"")</f>
        <v/>
      </c>
      <c r="AQ179" s="17" t="str">
        <f>IFERROR(INDEX(逆引き作成用!$C$2:$C$169,MATCH($B179&amp;"/"&amp;$C179,逆引き作成用!AQ$2:AQ$169,FALSE),1),"")</f>
        <v/>
      </c>
      <c r="AR179" s="17" t="str">
        <f>IFERROR(INDEX(逆引き作成用!$C$2:$C$169,MATCH($B179&amp;"/"&amp;$C179,逆引き作成用!AR$2:AR$169,FALSE),1),"")</f>
        <v/>
      </c>
      <c r="AS179" s="17" t="str">
        <f>IFERROR(INDEX(逆引き作成用!$C$2:$C$169,MATCH($B179&amp;"/"&amp;$C179,逆引き作成用!AS$2:AS$169,FALSE),1),"")</f>
        <v/>
      </c>
      <c r="AT179" s="17" t="str">
        <f>IFERROR(INDEX(逆引き作成用!$C$2:$C$169,MATCH($B179&amp;"/"&amp;$C179,逆引き作成用!AT$2:AT$169,FALSE),1),"")</f>
        <v/>
      </c>
      <c r="AU179" s="17" t="str">
        <f>IFERROR(INDEX(逆引き作成用!$C$2:$C$169,MATCH($B179&amp;"/"&amp;$C179,逆引き作成用!AU$2:AU$169,FALSE),1),"")</f>
        <v/>
      </c>
      <c r="AV179" s="17" t="str">
        <f>IFERROR(INDEX(逆引き作成用!$C$2:$C$169,MATCH($B179&amp;"/"&amp;$C179,逆引き作成用!AV$2:AV$169,FALSE),1),"")</f>
        <v/>
      </c>
      <c r="AW179" s="17" t="str">
        <f>IFERROR(INDEX(逆引き作成用!$C$2:$C$169,MATCH($B179&amp;"/"&amp;$C179,逆引き作成用!AW$2:AW$169,FALSE),1),"")</f>
        <v/>
      </c>
      <c r="AX179" s="17" t="str">
        <f>IFERROR(INDEX(逆引き作成用!$C$2:$C$169,MATCH($B179&amp;"/"&amp;$C179,逆引き作成用!AX$2:AX$169,FALSE),1),"")</f>
        <v/>
      </c>
      <c r="AY179" s="17" t="str">
        <f>IFERROR(INDEX(逆引き作成用!$C$2:$C$169,MATCH($B179&amp;"/"&amp;$C179,逆引き作成用!AY$2:AY$169,FALSE),1),"")</f>
        <v/>
      </c>
      <c r="AZ179" s="17" t="str">
        <f>IFERROR(INDEX(逆引き作成用!$C$2:$C$169,MATCH($B179&amp;"/"&amp;$C179,逆引き作成用!AZ$2:AZ$169,FALSE),1),"")</f>
        <v/>
      </c>
      <c r="BA179" s="17" t="str">
        <f>IFERROR(INDEX(逆引き作成用!$C$2:$C$169,MATCH($B179&amp;"/"&amp;$C179,逆引き作成用!BA$2:BA$169,FALSE),1),"")</f>
        <v/>
      </c>
    </row>
    <row r="180" spans="1:53">
      <c r="A180" s="17" t="str">
        <f>IFERROR(INDEX(役職一覧!$B$2:$B$31,MATCH(B180,役職一覧!$C$2:$C$31,FALSE),1),"")</f>
        <v/>
      </c>
      <c r="B180" s="17" t="str">
        <f>IFERROR(IF(C180=1,INDEX(役職一覧!$C$2:$C$31,MATCH(逆引き!B179,役職一覧!$C$2:$C$31,FALSE)+1,1)&amp;"",B179),"")</f>
        <v/>
      </c>
      <c r="C180" s="17" t="str">
        <f>IFERROR(IF(VLOOKUP(B179,役職一覧!$C$2:$E$31,3,FALSE)=C179,1,C179+1),"")</f>
        <v/>
      </c>
      <c r="D180" s="17" t="str">
        <f>IFERROR(INDEX(逆引き作成用!$C$2:$C$169,MATCH($B180&amp;"/"&amp;$C180,逆引き作成用!D$2:D$169,FALSE),1),"")</f>
        <v/>
      </c>
      <c r="E180" s="17" t="str">
        <f>IFERROR(INDEX(逆引き作成用!$C$2:$C$169,MATCH($B180&amp;"/"&amp;$C180,逆引き作成用!E$2:E$169,FALSE),1),"")</f>
        <v/>
      </c>
      <c r="F180" s="17" t="str">
        <f>IFERROR(INDEX(逆引き作成用!$C$2:$C$169,MATCH($B180&amp;"/"&amp;$C180,逆引き作成用!F$2:F$169,FALSE),1),"")</f>
        <v/>
      </c>
      <c r="G180" s="17" t="str">
        <f>IFERROR(INDEX(逆引き作成用!$C$2:$C$169,MATCH($B180&amp;"/"&amp;$C180,逆引き作成用!G$2:G$169,FALSE),1),"")</f>
        <v/>
      </c>
      <c r="H180" s="17" t="str">
        <f>IFERROR(INDEX(逆引き作成用!$C$2:$C$169,MATCH($B180&amp;"/"&amp;$C180,逆引き作成用!H$2:H$169,FALSE),1),"")</f>
        <v/>
      </c>
      <c r="I180" s="17" t="str">
        <f>IFERROR(INDEX(逆引き作成用!$C$2:$C$169,MATCH($B180&amp;"/"&amp;$C180,逆引き作成用!I$2:I$169,FALSE),1),"")</f>
        <v/>
      </c>
      <c r="J180" s="17" t="str">
        <f>IFERROR(INDEX(逆引き作成用!$C$2:$C$169,MATCH($B180&amp;"/"&amp;$C180,逆引き作成用!J$2:J$169,FALSE),1),"")</f>
        <v/>
      </c>
      <c r="K180" s="17" t="str">
        <f>IFERROR(INDEX(逆引き作成用!$C$2:$C$169,MATCH($B180&amp;"/"&amp;$C180,逆引き作成用!K$2:K$169,FALSE),1),"")</f>
        <v/>
      </c>
      <c r="L180" s="17" t="str">
        <f>IFERROR(INDEX(逆引き作成用!$C$2:$C$169,MATCH($B180&amp;"/"&amp;$C180,逆引き作成用!L$2:L$169,FALSE),1),"")</f>
        <v/>
      </c>
      <c r="M180" s="17" t="str">
        <f>IFERROR(INDEX(逆引き作成用!$C$2:$C$169,MATCH($B180&amp;"/"&amp;$C180,逆引き作成用!M$2:M$169,FALSE),1),"")</f>
        <v/>
      </c>
      <c r="N180" s="17" t="str">
        <f>IFERROR(INDEX(逆引き作成用!$C$2:$C$169,MATCH($B180&amp;"/"&amp;$C180,逆引き作成用!N$2:N$169,FALSE),1),"")</f>
        <v/>
      </c>
      <c r="O180" s="17" t="str">
        <f>IFERROR(INDEX(逆引き作成用!$C$2:$C$169,MATCH($B180&amp;"/"&amp;$C180,逆引き作成用!O$2:O$169,FALSE),1),"")</f>
        <v/>
      </c>
      <c r="P180" s="17" t="str">
        <f>IFERROR(INDEX(逆引き作成用!$C$2:$C$169,MATCH($B180&amp;"/"&amp;$C180,逆引き作成用!P$2:P$169,FALSE),1),"")</f>
        <v/>
      </c>
      <c r="Q180" s="17" t="str">
        <f>IFERROR(INDEX(逆引き作成用!$C$2:$C$169,MATCH($B180&amp;"/"&amp;$C180,逆引き作成用!Q$2:Q$169,FALSE),1),"")</f>
        <v/>
      </c>
      <c r="R180" s="17" t="str">
        <f>IFERROR(INDEX(逆引き作成用!$C$2:$C$169,MATCH($B180&amp;"/"&amp;$C180,逆引き作成用!R$2:R$169,FALSE),1),"")</f>
        <v/>
      </c>
      <c r="S180" s="17" t="str">
        <f>IFERROR(INDEX(逆引き作成用!$C$2:$C$169,MATCH($B180&amp;"/"&amp;$C180,逆引き作成用!S$2:S$169,FALSE),1),"")</f>
        <v/>
      </c>
      <c r="T180" s="17" t="str">
        <f>IFERROR(INDEX(逆引き作成用!$C$2:$C$169,MATCH($B180&amp;"/"&amp;$C180,逆引き作成用!T$2:T$169,FALSE),1),"")</f>
        <v/>
      </c>
      <c r="U180" s="17" t="str">
        <f>IFERROR(INDEX(逆引き作成用!$C$2:$C$169,MATCH($B180&amp;"/"&amp;$C180,逆引き作成用!U$2:U$169,FALSE),1),"")</f>
        <v/>
      </c>
      <c r="V180" s="17" t="str">
        <f>IFERROR(INDEX(逆引き作成用!$C$2:$C$169,MATCH($B180&amp;"/"&amp;$C180,逆引き作成用!V$2:V$169,FALSE),1),"")</f>
        <v/>
      </c>
      <c r="W180" s="17" t="str">
        <f>IFERROR(INDEX(逆引き作成用!$C$2:$C$169,MATCH($B180&amp;"/"&amp;$C180,逆引き作成用!W$2:W$169,FALSE),1),"")</f>
        <v/>
      </c>
      <c r="X180" s="17" t="str">
        <f>IFERROR(INDEX(逆引き作成用!$C$2:$C$169,MATCH($B180&amp;"/"&amp;$C180,逆引き作成用!X$2:X$169,FALSE),1),"")</f>
        <v/>
      </c>
      <c r="Y180" s="17" t="str">
        <f>IFERROR(INDEX(逆引き作成用!$C$2:$C$169,MATCH($B180&amp;"/"&amp;$C180,逆引き作成用!Y$2:Y$169,FALSE),1),"")</f>
        <v/>
      </c>
      <c r="Z180" s="17" t="str">
        <f>IFERROR(INDEX(逆引き作成用!$C$2:$C$169,MATCH($B180&amp;"/"&amp;$C180,逆引き作成用!Z$2:Z$169,FALSE),1),"")</f>
        <v/>
      </c>
      <c r="AA180" s="17" t="str">
        <f>IFERROR(INDEX(逆引き作成用!$C$2:$C$169,MATCH($B180&amp;"/"&amp;$C180,逆引き作成用!AA$2:AA$169,FALSE),1),"")</f>
        <v/>
      </c>
      <c r="AB180" s="17" t="str">
        <f>IFERROR(INDEX(逆引き作成用!$C$2:$C$169,MATCH($B180&amp;"/"&amp;$C180,逆引き作成用!AB$2:AB$169,FALSE),1),"")</f>
        <v/>
      </c>
      <c r="AC180" s="17" t="str">
        <f>IFERROR(INDEX(逆引き作成用!$C$2:$C$169,MATCH($B180&amp;"/"&amp;$C180,逆引き作成用!AC$2:AC$169,FALSE),1),"")</f>
        <v/>
      </c>
      <c r="AD180" s="17" t="str">
        <f>IFERROR(INDEX(逆引き作成用!$C$2:$C$169,MATCH($B180&amp;"/"&amp;$C180,逆引き作成用!AD$2:AD$169,FALSE),1),"")</f>
        <v/>
      </c>
      <c r="AE180" s="17" t="str">
        <f>IFERROR(INDEX(逆引き作成用!$C$2:$C$169,MATCH($B180&amp;"/"&amp;$C180,逆引き作成用!AE$2:AE$169,FALSE),1),"")</f>
        <v/>
      </c>
      <c r="AF180" s="17" t="str">
        <f>IFERROR(INDEX(逆引き作成用!$C$2:$C$169,MATCH($B180&amp;"/"&amp;$C180,逆引き作成用!AF$2:AF$169,FALSE),1),"")</f>
        <v/>
      </c>
      <c r="AG180" s="17" t="str">
        <f>IFERROR(INDEX(逆引き作成用!$C$2:$C$169,MATCH($B180&amp;"/"&amp;$C180,逆引き作成用!AG$2:AG$169,FALSE),1),"")</f>
        <v/>
      </c>
      <c r="AH180" s="17" t="str">
        <f>IFERROR(INDEX(逆引き作成用!$C$2:$C$169,MATCH($B180&amp;"/"&amp;$C180,逆引き作成用!AH$2:AH$169,FALSE),1),"")</f>
        <v/>
      </c>
      <c r="AI180" s="17" t="str">
        <f>IFERROR(INDEX(逆引き作成用!$C$2:$C$169,MATCH($B180&amp;"/"&amp;$C180,逆引き作成用!AI$2:AI$169,FALSE),1),"")</f>
        <v/>
      </c>
      <c r="AJ180" s="17" t="str">
        <f>IFERROR(INDEX(逆引き作成用!$C$2:$C$169,MATCH($B180&amp;"/"&amp;$C180,逆引き作成用!AJ$2:AJ$169,FALSE),1),"")</f>
        <v/>
      </c>
      <c r="AK180" s="17" t="str">
        <f>IFERROR(INDEX(逆引き作成用!$C$2:$C$169,MATCH($B180&amp;"/"&amp;$C180,逆引き作成用!AK$2:AK$169,FALSE),1),"")</f>
        <v/>
      </c>
      <c r="AL180" s="17" t="str">
        <f>IFERROR(INDEX(逆引き作成用!$C$2:$C$169,MATCH($B180&amp;"/"&amp;$C180,逆引き作成用!AL$2:AL$169,FALSE),1),"")</f>
        <v/>
      </c>
      <c r="AM180" s="17" t="str">
        <f>IFERROR(INDEX(逆引き作成用!$C$2:$C$169,MATCH($B180&amp;"/"&amp;$C180,逆引き作成用!AM$2:AM$169,FALSE),1),"")</f>
        <v/>
      </c>
      <c r="AN180" s="17" t="str">
        <f>IFERROR(INDEX(逆引き作成用!$C$2:$C$169,MATCH($B180&amp;"/"&amp;$C180,逆引き作成用!AN$2:AN$169,FALSE),1),"")</f>
        <v/>
      </c>
      <c r="AO180" s="17" t="str">
        <f>IFERROR(INDEX(逆引き作成用!$C$2:$C$169,MATCH($B180&amp;"/"&amp;$C180,逆引き作成用!AO$2:AO$169,FALSE),1),"")</f>
        <v/>
      </c>
      <c r="AP180" s="17" t="str">
        <f>IFERROR(INDEX(逆引き作成用!$C$2:$C$169,MATCH($B180&amp;"/"&amp;$C180,逆引き作成用!AP$2:AP$169,FALSE),1),"")</f>
        <v/>
      </c>
      <c r="AQ180" s="17" t="str">
        <f>IFERROR(INDEX(逆引き作成用!$C$2:$C$169,MATCH($B180&amp;"/"&amp;$C180,逆引き作成用!AQ$2:AQ$169,FALSE),1),"")</f>
        <v/>
      </c>
      <c r="AR180" s="17" t="str">
        <f>IFERROR(INDEX(逆引き作成用!$C$2:$C$169,MATCH($B180&amp;"/"&amp;$C180,逆引き作成用!AR$2:AR$169,FALSE),1),"")</f>
        <v/>
      </c>
      <c r="AS180" s="17" t="str">
        <f>IFERROR(INDEX(逆引き作成用!$C$2:$C$169,MATCH($B180&amp;"/"&amp;$C180,逆引き作成用!AS$2:AS$169,FALSE),1),"")</f>
        <v/>
      </c>
      <c r="AT180" s="17" t="str">
        <f>IFERROR(INDEX(逆引き作成用!$C$2:$C$169,MATCH($B180&amp;"/"&amp;$C180,逆引き作成用!AT$2:AT$169,FALSE),1),"")</f>
        <v/>
      </c>
      <c r="AU180" s="17" t="str">
        <f>IFERROR(INDEX(逆引き作成用!$C$2:$C$169,MATCH($B180&amp;"/"&amp;$C180,逆引き作成用!AU$2:AU$169,FALSE),1),"")</f>
        <v/>
      </c>
      <c r="AV180" s="17" t="str">
        <f>IFERROR(INDEX(逆引き作成用!$C$2:$C$169,MATCH($B180&amp;"/"&amp;$C180,逆引き作成用!AV$2:AV$169,FALSE),1),"")</f>
        <v/>
      </c>
      <c r="AW180" s="17" t="str">
        <f>IFERROR(INDEX(逆引き作成用!$C$2:$C$169,MATCH($B180&amp;"/"&amp;$C180,逆引き作成用!AW$2:AW$169,FALSE),1),"")</f>
        <v/>
      </c>
      <c r="AX180" s="17" t="str">
        <f>IFERROR(INDEX(逆引き作成用!$C$2:$C$169,MATCH($B180&amp;"/"&amp;$C180,逆引き作成用!AX$2:AX$169,FALSE),1),"")</f>
        <v/>
      </c>
      <c r="AY180" s="17" t="str">
        <f>IFERROR(INDEX(逆引き作成用!$C$2:$C$169,MATCH($B180&amp;"/"&amp;$C180,逆引き作成用!AY$2:AY$169,FALSE),1),"")</f>
        <v/>
      </c>
      <c r="AZ180" s="17" t="str">
        <f>IFERROR(INDEX(逆引き作成用!$C$2:$C$169,MATCH($B180&amp;"/"&amp;$C180,逆引き作成用!AZ$2:AZ$169,FALSE),1),"")</f>
        <v/>
      </c>
      <c r="BA180" s="17" t="str">
        <f>IFERROR(INDEX(逆引き作成用!$C$2:$C$169,MATCH($B180&amp;"/"&amp;$C180,逆引き作成用!BA$2:BA$169,FALSE),1),"")</f>
        <v/>
      </c>
    </row>
    <row r="181" spans="1:53">
      <c r="A181" s="17" t="str">
        <f>IFERROR(INDEX(役職一覧!$B$2:$B$31,MATCH(B181,役職一覧!$C$2:$C$31,FALSE),1),"")</f>
        <v/>
      </c>
      <c r="B181" s="17" t="str">
        <f>IFERROR(IF(C181=1,INDEX(役職一覧!$C$2:$C$31,MATCH(逆引き!B180,役職一覧!$C$2:$C$31,FALSE)+1,1)&amp;"",B180),"")</f>
        <v/>
      </c>
      <c r="C181" s="17" t="str">
        <f>IFERROR(IF(VLOOKUP(B180,役職一覧!$C$2:$E$31,3,FALSE)=C180,1,C180+1),"")</f>
        <v/>
      </c>
      <c r="D181" s="17" t="str">
        <f>IFERROR(INDEX(逆引き作成用!$C$2:$C$169,MATCH($B181&amp;"/"&amp;$C181,逆引き作成用!D$2:D$169,FALSE),1),"")</f>
        <v/>
      </c>
      <c r="E181" s="17" t="str">
        <f>IFERROR(INDEX(逆引き作成用!$C$2:$C$169,MATCH($B181&amp;"/"&amp;$C181,逆引き作成用!E$2:E$169,FALSE),1),"")</f>
        <v/>
      </c>
      <c r="F181" s="17" t="str">
        <f>IFERROR(INDEX(逆引き作成用!$C$2:$C$169,MATCH($B181&amp;"/"&amp;$C181,逆引き作成用!F$2:F$169,FALSE),1),"")</f>
        <v/>
      </c>
      <c r="G181" s="17" t="str">
        <f>IFERROR(INDEX(逆引き作成用!$C$2:$C$169,MATCH($B181&amp;"/"&amp;$C181,逆引き作成用!G$2:G$169,FALSE),1),"")</f>
        <v/>
      </c>
      <c r="H181" s="17" t="str">
        <f>IFERROR(INDEX(逆引き作成用!$C$2:$C$169,MATCH($B181&amp;"/"&amp;$C181,逆引き作成用!H$2:H$169,FALSE),1),"")</f>
        <v/>
      </c>
      <c r="I181" s="17" t="str">
        <f>IFERROR(INDEX(逆引き作成用!$C$2:$C$169,MATCH($B181&amp;"/"&amp;$C181,逆引き作成用!I$2:I$169,FALSE),1),"")</f>
        <v/>
      </c>
      <c r="J181" s="17" t="str">
        <f>IFERROR(INDEX(逆引き作成用!$C$2:$C$169,MATCH($B181&amp;"/"&amp;$C181,逆引き作成用!J$2:J$169,FALSE),1),"")</f>
        <v/>
      </c>
      <c r="K181" s="17" t="str">
        <f>IFERROR(INDEX(逆引き作成用!$C$2:$C$169,MATCH($B181&amp;"/"&amp;$C181,逆引き作成用!K$2:K$169,FALSE),1),"")</f>
        <v/>
      </c>
      <c r="L181" s="17" t="str">
        <f>IFERROR(INDEX(逆引き作成用!$C$2:$C$169,MATCH($B181&amp;"/"&amp;$C181,逆引き作成用!L$2:L$169,FALSE),1),"")</f>
        <v/>
      </c>
      <c r="M181" s="17" t="str">
        <f>IFERROR(INDEX(逆引き作成用!$C$2:$C$169,MATCH($B181&amp;"/"&amp;$C181,逆引き作成用!M$2:M$169,FALSE),1),"")</f>
        <v/>
      </c>
      <c r="N181" s="17" t="str">
        <f>IFERROR(INDEX(逆引き作成用!$C$2:$C$169,MATCH($B181&amp;"/"&amp;$C181,逆引き作成用!N$2:N$169,FALSE),1),"")</f>
        <v/>
      </c>
      <c r="O181" s="17" t="str">
        <f>IFERROR(INDEX(逆引き作成用!$C$2:$C$169,MATCH($B181&amp;"/"&amp;$C181,逆引き作成用!O$2:O$169,FALSE),1),"")</f>
        <v/>
      </c>
      <c r="P181" s="17" t="str">
        <f>IFERROR(INDEX(逆引き作成用!$C$2:$C$169,MATCH($B181&amp;"/"&amp;$C181,逆引き作成用!P$2:P$169,FALSE),1),"")</f>
        <v/>
      </c>
      <c r="Q181" s="17" t="str">
        <f>IFERROR(INDEX(逆引き作成用!$C$2:$C$169,MATCH($B181&amp;"/"&amp;$C181,逆引き作成用!Q$2:Q$169,FALSE),1),"")</f>
        <v/>
      </c>
      <c r="R181" s="17" t="str">
        <f>IFERROR(INDEX(逆引き作成用!$C$2:$C$169,MATCH($B181&amp;"/"&amp;$C181,逆引き作成用!R$2:R$169,FALSE),1),"")</f>
        <v/>
      </c>
      <c r="S181" s="17" t="str">
        <f>IFERROR(INDEX(逆引き作成用!$C$2:$C$169,MATCH($B181&amp;"/"&amp;$C181,逆引き作成用!S$2:S$169,FALSE),1),"")</f>
        <v/>
      </c>
      <c r="T181" s="17" t="str">
        <f>IFERROR(INDEX(逆引き作成用!$C$2:$C$169,MATCH($B181&amp;"/"&amp;$C181,逆引き作成用!T$2:T$169,FALSE),1),"")</f>
        <v/>
      </c>
      <c r="U181" s="17" t="str">
        <f>IFERROR(INDEX(逆引き作成用!$C$2:$C$169,MATCH($B181&amp;"/"&amp;$C181,逆引き作成用!U$2:U$169,FALSE),1),"")</f>
        <v/>
      </c>
      <c r="V181" s="17" t="str">
        <f>IFERROR(INDEX(逆引き作成用!$C$2:$C$169,MATCH($B181&amp;"/"&amp;$C181,逆引き作成用!V$2:V$169,FALSE),1),"")</f>
        <v/>
      </c>
      <c r="W181" s="17" t="str">
        <f>IFERROR(INDEX(逆引き作成用!$C$2:$C$169,MATCH($B181&amp;"/"&amp;$C181,逆引き作成用!W$2:W$169,FALSE),1),"")</f>
        <v/>
      </c>
      <c r="X181" s="17" t="str">
        <f>IFERROR(INDEX(逆引き作成用!$C$2:$C$169,MATCH($B181&amp;"/"&amp;$C181,逆引き作成用!X$2:X$169,FALSE),1),"")</f>
        <v/>
      </c>
      <c r="Y181" s="17" t="str">
        <f>IFERROR(INDEX(逆引き作成用!$C$2:$C$169,MATCH($B181&amp;"/"&amp;$C181,逆引き作成用!Y$2:Y$169,FALSE),1),"")</f>
        <v/>
      </c>
      <c r="Z181" s="17" t="str">
        <f>IFERROR(INDEX(逆引き作成用!$C$2:$C$169,MATCH($B181&amp;"/"&amp;$C181,逆引き作成用!Z$2:Z$169,FALSE),1),"")</f>
        <v/>
      </c>
      <c r="AA181" s="17" t="str">
        <f>IFERROR(INDEX(逆引き作成用!$C$2:$C$169,MATCH($B181&amp;"/"&amp;$C181,逆引き作成用!AA$2:AA$169,FALSE),1),"")</f>
        <v/>
      </c>
      <c r="AB181" s="17" t="str">
        <f>IFERROR(INDEX(逆引き作成用!$C$2:$C$169,MATCH($B181&amp;"/"&amp;$C181,逆引き作成用!AB$2:AB$169,FALSE),1),"")</f>
        <v/>
      </c>
      <c r="AC181" s="17" t="str">
        <f>IFERROR(INDEX(逆引き作成用!$C$2:$C$169,MATCH($B181&amp;"/"&amp;$C181,逆引き作成用!AC$2:AC$169,FALSE),1),"")</f>
        <v/>
      </c>
      <c r="AD181" s="17" t="str">
        <f>IFERROR(INDEX(逆引き作成用!$C$2:$C$169,MATCH($B181&amp;"/"&amp;$C181,逆引き作成用!AD$2:AD$169,FALSE),1),"")</f>
        <v/>
      </c>
      <c r="AE181" s="17" t="str">
        <f>IFERROR(INDEX(逆引き作成用!$C$2:$C$169,MATCH($B181&amp;"/"&amp;$C181,逆引き作成用!AE$2:AE$169,FALSE),1),"")</f>
        <v/>
      </c>
      <c r="AF181" s="17" t="str">
        <f>IFERROR(INDEX(逆引き作成用!$C$2:$C$169,MATCH($B181&amp;"/"&amp;$C181,逆引き作成用!AF$2:AF$169,FALSE),1),"")</f>
        <v/>
      </c>
      <c r="AG181" s="17" t="str">
        <f>IFERROR(INDEX(逆引き作成用!$C$2:$C$169,MATCH($B181&amp;"/"&amp;$C181,逆引き作成用!AG$2:AG$169,FALSE),1),"")</f>
        <v/>
      </c>
      <c r="AH181" s="17" t="str">
        <f>IFERROR(INDEX(逆引き作成用!$C$2:$C$169,MATCH($B181&amp;"/"&amp;$C181,逆引き作成用!AH$2:AH$169,FALSE),1),"")</f>
        <v/>
      </c>
      <c r="AI181" s="17" t="str">
        <f>IFERROR(INDEX(逆引き作成用!$C$2:$C$169,MATCH($B181&amp;"/"&amp;$C181,逆引き作成用!AI$2:AI$169,FALSE),1),"")</f>
        <v/>
      </c>
      <c r="AJ181" s="17" t="str">
        <f>IFERROR(INDEX(逆引き作成用!$C$2:$C$169,MATCH($B181&amp;"/"&amp;$C181,逆引き作成用!AJ$2:AJ$169,FALSE),1),"")</f>
        <v/>
      </c>
      <c r="AK181" s="17" t="str">
        <f>IFERROR(INDEX(逆引き作成用!$C$2:$C$169,MATCH($B181&amp;"/"&amp;$C181,逆引き作成用!AK$2:AK$169,FALSE),1),"")</f>
        <v/>
      </c>
      <c r="AL181" s="17" t="str">
        <f>IFERROR(INDEX(逆引き作成用!$C$2:$C$169,MATCH($B181&amp;"/"&amp;$C181,逆引き作成用!AL$2:AL$169,FALSE),1),"")</f>
        <v/>
      </c>
      <c r="AM181" s="17" t="str">
        <f>IFERROR(INDEX(逆引き作成用!$C$2:$C$169,MATCH($B181&amp;"/"&amp;$C181,逆引き作成用!AM$2:AM$169,FALSE),1),"")</f>
        <v/>
      </c>
      <c r="AN181" s="17" t="str">
        <f>IFERROR(INDEX(逆引き作成用!$C$2:$C$169,MATCH($B181&amp;"/"&amp;$C181,逆引き作成用!AN$2:AN$169,FALSE),1),"")</f>
        <v/>
      </c>
      <c r="AO181" s="17" t="str">
        <f>IFERROR(INDEX(逆引き作成用!$C$2:$C$169,MATCH($B181&amp;"/"&amp;$C181,逆引き作成用!AO$2:AO$169,FALSE),1),"")</f>
        <v/>
      </c>
      <c r="AP181" s="17" t="str">
        <f>IFERROR(INDEX(逆引き作成用!$C$2:$C$169,MATCH($B181&amp;"/"&amp;$C181,逆引き作成用!AP$2:AP$169,FALSE),1),"")</f>
        <v/>
      </c>
      <c r="AQ181" s="17" t="str">
        <f>IFERROR(INDEX(逆引き作成用!$C$2:$C$169,MATCH($B181&amp;"/"&amp;$C181,逆引き作成用!AQ$2:AQ$169,FALSE),1),"")</f>
        <v/>
      </c>
      <c r="AR181" s="17" t="str">
        <f>IFERROR(INDEX(逆引き作成用!$C$2:$C$169,MATCH($B181&amp;"/"&amp;$C181,逆引き作成用!AR$2:AR$169,FALSE),1),"")</f>
        <v/>
      </c>
      <c r="AS181" s="17" t="str">
        <f>IFERROR(INDEX(逆引き作成用!$C$2:$C$169,MATCH($B181&amp;"/"&amp;$C181,逆引き作成用!AS$2:AS$169,FALSE),1),"")</f>
        <v/>
      </c>
      <c r="AT181" s="17" t="str">
        <f>IFERROR(INDEX(逆引き作成用!$C$2:$C$169,MATCH($B181&amp;"/"&amp;$C181,逆引き作成用!AT$2:AT$169,FALSE),1),"")</f>
        <v/>
      </c>
      <c r="AU181" s="17" t="str">
        <f>IFERROR(INDEX(逆引き作成用!$C$2:$C$169,MATCH($B181&amp;"/"&amp;$C181,逆引き作成用!AU$2:AU$169,FALSE),1),"")</f>
        <v/>
      </c>
      <c r="AV181" s="17" t="str">
        <f>IFERROR(INDEX(逆引き作成用!$C$2:$C$169,MATCH($B181&amp;"/"&amp;$C181,逆引き作成用!AV$2:AV$169,FALSE),1),"")</f>
        <v/>
      </c>
      <c r="AW181" s="17" t="str">
        <f>IFERROR(INDEX(逆引き作成用!$C$2:$C$169,MATCH($B181&amp;"/"&amp;$C181,逆引き作成用!AW$2:AW$169,FALSE),1),"")</f>
        <v/>
      </c>
      <c r="AX181" s="17" t="str">
        <f>IFERROR(INDEX(逆引き作成用!$C$2:$C$169,MATCH($B181&amp;"/"&amp;$C181,逆引き作成用!AX$2:AX$169,FALSE),1),"")</f>
        <v/>
      </c>
      <c r="AY181" s="17" t="str">
        <f>IFERROR(INDEX(逆引き作成用!$C$2:$C$169,MATCH($B181&amp;"/"&amp;$C181,逆引き作成用!AY$2:AY$169,FALSE),1),"")</f>
        <v/>
      </c>
      <c r="AZ181" s="17" t="str">
        <f>IFERROR(INDEX(逆引き作成用!$C$2:$C$169,MATCH($B181&amp;"/"&amp;$C181,逆引き作成用!AZ$2:AZ$169,FALSE),1),"")</f>
        <v/>
      </c>
      <c r="BA181" s="17" t="str">
        <f>IFERROR(INDEX(逆引き作成用!$C$2:$C$169,MATCH($B181&amp;"/"&amp;$C181,逆引き作成用!BA$2:BA$169,FALSE),1),"")</f>
        <v/>
      </c>
    </row>
    <row r="182" spans="1:53">
      <c r="A182" s="17" t="str">
        <f>IFERROR(INDEX(役職一覧!$B$2:$B$31,MATCH(B182,役職一覧!$C$2:$C$31,FALSE),1),"")</f>
        <v/>
      </c>
      <c r="B182" s="17" t="str">
        <f>IFERROR(IF(C182=1,INDEX(役職一覧!$C$2:$C$31,MATCH(逆引き!B181,役職一覧!$C$2:$C$31,FALSE)+1,1)&amp;"",B181),"")</f>
        <v/>
      </c>
      <c r="C182" s="17" t="str">
        <f>IFERROR(IF(VLOOKUP(B181,役職一覧!$C$2:$E$31,3,FALSE)=C181,1,C181+1),"")</f>
        <v/>
      </c>
      <c r="D182" s="17" t="str">
        <f>IFERROR(INDEX(逆引き作成用!$C$2:$C$169,MATCH($B182&amp;"/"&amp;$C182,逆引き作成用!D$2:D$169,FALSE),1),"")</f>
        <v/>
      </c>
      <c r="E182" s="17" t="str">
        <f>IFERROR(INDEX(逆引き作成用!$C$2:$C$169,MATCH($B182&amp;"/"&amp;$C182,逆引き作成用!E$2:E$169,FALSE),1),"")</f>
        <v/>
      </c>
      <c r="F182" s="17" t="str">
        <f>IFERROR(INDEX(逆引き作成用!$C$2:$C$169,MATCH($B182&amp;"/"&amp;$C182,逆引き作成用!F$2:F$169,FALSE),1),"")</f>
        <v/>
      </c>
      <c r="G182" s="17" t="str">
        <f>IFERROR(INDEX(逆引き作成用!$C$2:$C$169,MATCH($B182&amp;"/"&amp;$C182,逆引き作成用!G$2:G$169,FALSE),1),"")</f>
        <v/>
      </c>
      <c r="H182" s="17" t="str">
        <f>IFERROR(INDEX(逆引き作成用!$C$2:$C$169,MATCH($B182&amp;"/"&amp;$C182,逆引き作成用!H$2:H$169,FALSE),1),"")</f>
        <v/>
      </c>
      <c r="I182" s="17" t="str">
        <f>IFERROR(INDEX(逆引き作成用!$C$2:$C$169,MATCH($B182&amp;"/"&amp;$C182,逆引き作成用!I$2:I$169,FALSE),1),"")</f>
        <v/>
      </c>
      <c r="J182" s="17" t="str">
        <f>IFERROR(INDEX(逆引き作成用!$C$2:$C$169,MATCH($B182&amp;"/"&amp;$C182,逆引き作成用!J$2:J$169,FALSE),1),"")</f>
        <v/>
      </c>
      <c r="K182" s="17" t="str">
        <f>IFERROR(INDEX(逆引き作成用!$C$2:$C$169,MATCH($B182&amp;"/"&amp;$C182,逆引き作成用!K$2:K$169,FALSE),1),"")</f>
        <v/>
      </c>
      <c r="L182" s="17" t="str">
        <f>IFERROR(INDEX(逆引き作成用!$C$2:$C$169,MATCH($B182&amp;"/"&amp;$C182,逆引き作成用!L$2:L$169,FALSE),1),"")</f>
        <v/>
      </c>
      <c r="M182" s="17" t="str">
        <f>IFERROR(INDEX(逆引き作成用!$C$2:$C$169,MATCH($B182&amp;"/"&amp;$C182,逆引き作成用!M$2:M$169,FALSE),1),"")</f>
        <v/>
      </c>
      <c r="N182" s="17" t="str">
        <f>IFERROR(INDEX(逆引き作成用!$C$2:$C$169,MATCH($B182&amp;"/"&amp;$C182,逆引き作成用!N$2:N$169,FALSE),1),"")</f>
        <v/>
      </c>
      <c r="O182" s="17" t="str">
        <f>IFERROR(INDEX(逆引き作成用!$C$2:$C$169,MATCH($B182&amp;"/"&amp;$C182,逆引き作成用!O$2:O$169,FALSE),1),"")</f>
        <v/>
      </c>
      <c r="P182" s="17" t="str">
        <f>IFERROR(INDEX(逆引き作成用!$C$2:$C$169,MATCH($B182&amp;"/"&amp;$C182,逆引き作成用!P$2:P$169,FALSE),1),"")</f>
        <v/>
      </c>
      <c r="Q182" s="17" t="str">
        <f>IFERROR(INDEX(逆引き作成用!$C$2:$C$169,MATCH($B182&amp;"/"&amp;$C182,逆引き作成用!Q$2:Q$169,FALSE),1),"")</f>
        <v/>
      </c>
      <c r="R182" s="17" t="str">
        <f>IFERROR(INDEX(逆引き作成用!$C$2:$C$169,MATCH($B182&amp;"/"&amp;$C182,逆引き作成用!R$2:R$169,FALSE),1),"")</f>
        <v/>
      </c>
      <c r="S182" s="17" t="str">
        <f>IFERROR(INDEX(逆引き作成用!$C$2:$C$169,MATCH($B182&amp;"/"&amp;$C182,逆引き作成用!S$2:S$169,FALSE),1),"")</f>
        <v/>
      </c>
      <c r="T182" s="17" t="str">
        <f>IFERROR(INDEX(逆引き作成用!$C$2:$C$169,MATCH($B182&amp;"/"&amp;$C182,逆引き作成用!T$2:T$169,FALSE),1),"")</f>
        <v/>
      </c>
      <c r="U182" s="17" t="str">
        <f>IFERROR(INDEX(逆引き作成用!$C$2:$C$169,MATCH($B182&amp;"/"&amp;$C182,逆引き作成用!U$2:U$169,FALSE),1),"")</f>
        <v/>
      </c>
      <c r="V182" s="17" t="str">
        <f>IFERROR(INDEX(逆引き作成用!$C$2:$C$169,MATCH($B182&amp;"/"&amp;$C182,逆引き作成用!V$2:V$169,FALSE),1),"")</f>
        <v/>
      </c>
      <c r="W182" s="17" t="str">
        <f>IFERROR(INDEX(逆引き作成用!$C$2:$C$169,MATCH($B182&amp;"/"&amp;$C182,逆引き作成用!W$2:W$169,FALSE),1),"")</f>
        <v/>
      </c>
      <c r="X182" s="17" t="str">
        <f>IFERROR(INDEX(逆引き作成用!$C$2:$C$169,MATCH($B182&amp;"/"&amp;$C182,逆引き作成用!X$2:X$169,FALSE),1),"")</f>
        <v/>
      </c>
      <c r="Y182" s="17" t="str">
        <f>IFERROR(INDEX(逆引き作成用!$C$2:$C$169,MATCH($B182&amp;"/"&amp;$C182,逆引き作成用!Y$2:Y$169,FALSE),1),"")</f>
        <v/>
      </c>
      <c r="Z182" s="17" t="str">
        <f>IFERROR(INDEX(逆引き作成用!$C$2:$C$169,MATCH($B182&amp;"/"&amp;$C182,逆引き作成用!Z$2:Z$169,FALSE),1),"")</f>
        <v/>
      </c>
      <c r="AA182" s="17" t="str">
        <f>IFERROR(INDEX(逆引き作成用!$C$2:$C$169,MATCH($B182&amp;"/"&amp;$C182,逆引き作成用!AA$2:AA$169,FALSE),1),"")</f>
        <v/>
      </c>
      <c r="AB182" s="17" t="str">
        <f>IFERROR(INDEX(逆引き作成用!$C$2:$C$169,MATCH($B182&amp;"/"&amp;$C182,逆引き作成用!AB$2:AB$169,FALSE),1),"")</f>
        <v/>
      </c>
      <c r="AC182" s="17" t="str">
        <f>IFERROR(INDEX(逆引き作成用!$C$2:$C$169,MATCH($B182&amp;"/"&amp;$C182,逆引き作成用!AC$2:AC$169,FALSE),1),"")</f>
        <v/>
      </c>
      <c r="AD182" s="17" t="str">
        <f>IFERROR(INDEX(逆引き作成用!$C$2:$C$169,MATCH($B182&amp;"/"&amp;$C182,逆引き作成用!AD$2:AD$169,FALSE),1),"")</f>
        <v/>
      </c>
      <c r="AE182" s="17" t="str">
        <f>IFERROR(INDEX(逆引き作成用!$C$2:$C$169,MATCH($B182&amp;"/"&amp;$C182,逆引き作成用!AE$2:AE$169,FALSE),1),"")</f>
        <v/>
      </c>
      <c r="AF182" s="17" t="str">
        <f>IFERROR(INDEX(逆引き作成用!$C$2:$C$169,MATCH($B182&amp;"/"&amp;$C182,逆引き作成用!AF$2:AF$169,FALSE),1),"")</f>
        <v/>
      </c>
      <c r="AG182" s="17" t="str">
        <f>IFERROR(INDEX(逆引き作成用!$C$2:$C$169,MATCH($B182&amp;"/"&amp;$C182,逆引き作成用!AG$2:AG$169,FALSE),1),"")</f>
        <v/>
      </c>
      <c r="AH182" s="17" t="str">
        <f>IFERROR(INDEX(逆引き作成用!$C$2:$C$169,MATCH($B182&amp;"/"&amp;$C182,逆引き作成用!AH$2:AH$169,FALSE),1),"")</f>
        <v/>
      </c>
      <c r="AI182" s="17" t="str">
        <f>IFERROR(INDEX(逆引き作成用!$C$2:$C$169,MATCH($B182&amp;"/"&amp;$C182,逆引き作成用!AI$2:AI$169,FALSE),1),"")</f>
        <v/>
      </c>
      <c r="AJ182" s="17" t="str">
        <f>IFERROR(INDEX(逆引き作成用!$C$2:$C$169,MATCH($B182&amp;"/"&amp;$C182,逆引き作成用!AJ$2:AJ$169,FALSE),1),"")</f>
        <v/>
      </c>
      <c r="AK182" s="17" t="str">
        <f>IFERROR(INDEX(逆引き作成用!$C$2:$C$169,MATCH($B182&amp;"/"&amp;$C182,逆引き作成用!AK$2:AK$169,FALSE),1),"")</f>
        <v/>
      </c>
      <c r="AL182" s="17" t="str">
        <f>IFERROR(INDEX(逆引き作成用!$C$2:$C$169,MATCH($B182&amp;"/"&amp;$C182,逆引き作成用!AL$2:AL$169,FALSE),1),"")</f>
        <v/>
      </c>
      <c r="AM182" s="17" t="str">
        <f>IFERROR(INDEX(逆引き作成用!$C$2:$C$169,MATCH($B182&amp;"/"&amp;$C182,逆引き作成用!AM$2:AM$169,FALSE),1),"")</f>
        <v/>
      </c>
      <c r="AN182" s="17" t="str">
        <f>IFERROR(INDEX(逆引き作成用!$C$2:$C$169,MATCH($B182&amp;"/"&amp;$C182,逆引き作成用!AN$2:AN$169,FALSE),1),"")</f>
        <v/>
      </c>
      <c r="AO182" s="17" t="str">
        <f>IFERROR(INDEX(逆引き作成用!$C$2:$C$169,MATCH($B182&amp;"/"&amp;$C182,逆引き作成用!AO$2:AO$169,FALSE),1),"")</f>
        <v/>
      </c>
      <c r="AP182" s="17" t="str">
        <f>IFERROR(INDEX(逆引き作成用!$C$2:$C$169,MATCH($B182&amp;"/"&amp;$C182,逆引き作成用!AP$2:AP$169,FALSE),1),"")</f>
        <v/>
      </c>
      <c r="AQ182" s="17" t="str">
        <f>IFERROR(INDEX(逆引き作成用!$C$2:$C$169,MATCH($B182&amp;"/"&amp;$C182,逆引き作成用!AQ$2:AQ$169,FALSE),1),"")</f>
        <v/>
      </c>
      <c r="AR182" s="17" t="str">
        <f>IFERROR(INDEX(逆引き作成用!$C$2:$C$169,MATCH($B182&amp;"/"&amp;$C182,逆引き作成用!AR$2:AR$169,FALSE),1),"")</f>
        <v/>
      </c>
      <c r="AS182" s="17" t="str">
        <f>IFERROR(INDEX(逆引き作成用!$C$2:$C$169,MATCH($B182&amp;"/"&amp;$C182,逆引き作成用!AS$2:AS$169,FALSE),1),"")</f>
        <v/>
      </c>
      <c r="AT182" s="17" t="str">
        <f>IFERROR(INDEX(逆引き作成用!$C$2:$C$169,MATCH($B182&amp;"/"&amp;$C182,逆引き作成用!AT$2:AT$169,FALSE),1),"")</f>
        <v/>
      </c>
      <c r="AU182" s="17" t="str">
        <f>IFERROR(INDEX(逆引き作成用!$C$2:$C$169,MATCH($B182&amp;"/"&amp;$C182,逆引き作成用!AU$2:AU$169,FALSE),1),"")</f>
        <v/>
      </c>
      <c r="AV182" s="17" t="str">
        <f>IFERROR(INDEX(逆引き作成用!$C$2:$C$169,MATCH($B182&amp;"/"&amp;$C182,逆引き作成用!AV$2:AV$169,FALSE),1),"")</f>
        <v/>
      </c>
      <c r="AW182" s="17" t="str">
        <f>IFERROR(INDEX(逆引き作成用!$C$2:$C$169,MATCH($B182&amp;"/"&amp;$C182,逆引き作成用!AW$2:AW$169,FALSE),1),"")</f>
        <v/>
      </c>
      <c r="AX182" s="17" t="str">
        <f>IFERROR(INDEX(逆引き作成用!$C$2:$C$169,MATCH($B182&amp;"/"&amp;$C182,逆引き作成用!AX$2:AX$169,FALSE),1),"")</f>
        <v/>
      </c>
      <c r="AY182" s="17" t="str">
        <f>IFERROR(INDEX(逆引き作成用!$C$2:$C$169,MATCH($B182&amp;"/"&amp;$C182,逆引き作成用!AY$2:AY$169,FALSE),1),"")</f>
        <v/>
      </c>
      <c r="AZ182" s="17" t="str">
        <f>IFERROR(INDEX(逆引き作成用!$C$2:$C$169,MATCH($B182&amp;"/"&amp;$C182,逆引き作成用!AZ$2:AZ$169,FALSE),1),"")</f>
        <v/>
      </c>
      <c r="BA182" s="17" t="str">
        <f>IFERROR(INDEX(逆引き作成用!$C$2:$C$169,MATCH($B182&amp;"/"&amp;$C182,逆引き作成用!BA$2:BA$169,FALSE),1),"")</f>
        <v/>
      </c>
    </row>
    <row r="183" spans="1:53">
      <c r="A183" s="17" t="str">
        <f>IFERROR(INDEX(役職一覧!$B$2:$B$31,MATCH(B183,役職一覧!$C$2:$C$31,FALSE),1),"")</f>
        <v/>
      </c>
      <c r="B183" s="17" t="str">
        <f>IFERROR(IF(C183=1,INDEX(役職一覧!$C$2:$C$31,MATCH(逆引き!B182,役職一覧!$C$2:$C$31,FALSE)+1,1)&amp;"",B182),"")</f>
        <v/>
      </c>
      <c r="C183" s="17" t="str">
        <f>IFERROR(IF(VLOOKUP(B182,役職一覧!$C$2:$E$31,3,FALSE)=C182,1,C182+1),"")</f>
        <v/>
      </c>
      <c r="D183" s="17" t="str">
        <f>IFERROR(INDEX(逆引き作成用!$C$2:$C$169,MATCH($B183&amp;"/"&amp;$C183,逆引き作成用!D$2:D$169,FALSE),1),"")</f>
        <v/>
      </c>
      <c r="E183" s="17" t="str">
        <f>IFERROR(INDEX(逆引き作成用!$C$2:$C$169,MATCH($B183&amp;"/"&amp;$C183,逆引き作成用!E$2:E$169,FALSE),1),"")</f>
        <v/>
      </c>
      <c r="F183" s="17" t="str">
        <f>IFERROR(INDEX(逆引き作成用!$C$2:$C$169,MATCH($B183&amp;"/"&amp;$C183,逆引き作成用!F$2:F$169,FALSE),1),"")</f>
        <v/>
      </c>
      <c r="G183" s="17" t="str">
        <f>IFERROR(INDEX(逆引き作成用!$C$2:$C$169,MATCH($B183&amp;"/"&amp;$C183,逆引き作成用!G$2:G$169,FALSE),1),"")</f>
        <v/>
      </c>
      <c r="H183" s="17" t="str">
        <f>IFERROR(INDEX(逆引き作成用!$C$2:$C$169,MATCH($B183&amp;"/"&amp;$C183,逆引き作成用!H$2:H$169,FALSE),1),"")</f>
        <v/>
      </c>
      <c r="I183" s="17" t="str">
        <f>IFERROR(INDEX(逆引き作成用!$C$2:$C$169,MATCH($B183&amp;"/"&amp;$C183,逆引き作成用!I$2:I$169,FALSE),1),"")</f>
        <v/>
      </c>
      <c r="J183" s="17" t="str">
        <f>IFERROR(INDEX(逆引き作成用!$C$2:$C$169,MATCH($B183&amp;"/"&amp;$C183,逆引き作成用!J$2:J$169,FALSE),1),"")</f>
        <v/>
      </c>
      <c r="K183" s="17" t="str">
        <f>IFERROR(INDEX(逆引き作成用!$C$2:$C$169,MATCH($B183&amp;"/"&amp;$C183,逆引き作成用!K$2:K$169,FALSE),1),"")</f>
        <v/>
      </c>
      <c r="L183" s="17" t="str">
        <f>IFERROR(INDEX(逆引き作成用!$C$2:$C$169,MATCH($B183&amp;"/"&amp;$C183,逆引き作成用!L$2:L$169,FALSE),1),"")</f>
        <v/>
      </c>
      <c r="M183" s="17" t="str">
        <f>IFERROR(INDEX(逆引き作成用!$C$2:$C$169,MATCH($B183&amp;"/"&amp;$C183,逆引き作成用!M$2:M$169,FALSE),1),"")</f>
        <v/>
      </c>
      <c r="N183" s="17" t="str">
        <f>IFERROR(INDEX(逆引き作成用!$C$2:$C$169,MATCH($B183&amp;"/"&amp;$C183,逆引き作成用!N$2:N$169,FALSE),1),"")</f>
        <v/>
      </c>
      <c r="O183" s="17" t="str">
        <f>IFERROR(INDEX(逆引き作成用!$C$2:$C$169,MATCH($B183&amp;"/"&amp;$C183,逆引き作成用!O$2:O$169,FALSE),1),"")</f>
        <v/>
      </c>
      <c r="P183" s="17" t="str">
        <f>IFERROR(INDEX(逆引き作成用!$C$2:$C$169,MATCH($B183&amp;"/"&amp;$C183,逆引き作成用!P$2:P$169,FALSE),1),"")</f>
        <v/>
      </c>
      <c r="Q183" s="17" t="str">
        <f>IFERROR(INDEX(逆引き作成用!$C$2:$C$169,MATCH($B183&amp;"/"&amp;$C183,逆引き作成用!Q$2:Q$169,FALSE),1),"")</f>
        <v/>
      </c>
      <c r="R183" s="17" t="str">
        <f>IFERROR(INDEX(逆引き作成用!$C$2:$C$169,MATCH($B183&amp;"/"&amp;$C183,逆引き作成用!R$2:R$169,FALSE),1),"")</f>
        <v/>
      </c>
      <c r="S183" s="17" t="str">
        <f>IFERROR(INDEX(逆引き作成用!$C$2:$C$169,MATCH($B183&amp;"/"&amp;$C183,逆引き作成用!S$2:S$169,FALSE),1),"")</f>
        <v/>
      </c>
      <c r="T183" s="17" t="str">
        <f>IFERROR(INDEX(逆引き作成用!$C$2:$C$169,MATCH($B183&amp;"/"&amp;$C183,逆引き作成用!T$2:T$169,FALSE),1),"")</f>
        <v/>
      </c>
      <c r="U183" s="17" t="str">
        <f>IFERROR(INDEX(逆引き作成用!$C$2:$C$169,MATCH($B183&amp;"/"&amp;$C183,逆引き作成用!U$2:U$169,FALSE),1),"")</f>
        <v/>
      </c>
      <c r="V183" s="17" t="str">
        <f>IFERROR(INDEX(逆引き作成用!$C$2:$C$169,MATCH($B183&amp;"/"&amp;$C183,逆引き作成用!V$2:V$169,FALSE),1),"")</f>
        <v/>
      </c>
      <c r="W183" s="17" t="str">
        <f>IFERROR(INDEX(逆引き作成用!$C$2:$C$169,MATCH($B183&amp;"/"&amp;$C183,逆引き作成用!W$2:W$169,FALSE),1),"")</f>
        <v/>
      </c>
      <c r="X183" s="17" t="str">
        <f>IFERROR(INDEX(逆引き作成用!$C$2:$C$169,MATCH($B183&amp;"/"&amp;$C183,逆引き作成用!X$2:X$169,FALSE),1),"")</f>
        <v/>
      </c>
      <c r="Y183" s="17" t="str">
        <f>IFERROR(INDEX(逆引き作成用!$C$2:$C$169,MATCH($B183&amp;"/"&amp;$C183,逆引き作成用!Y$2:Y$169,FALSE),1),"")</f>
        <v/>
      </c>
      <c r="Z183" s="17" t="str">
        <f>IFERROR(INDEX(逆引き作成用!$C$2:$C$169,MATCH($B183&amp;"/"&amp;$C183,逆引き作成用!Z$2:Z$169,FALSE),1),"")</f>
        <v/>
      </c>
      <c r="AA183" s="17" t="str">
        <f>IFERROR(INDEX(逆引き作成用!$C$2:$C$169,MATCH($B183&amp;"/"&amp;$C183,逆引き作成用!AA$2:AA$169,FALSE),1),"")</f>
        <v/>
      </c>
      <c r="AB183" s="17" t="str">
        <f>IFERROR(INDEX(逆引き作成用!$C$2:$C$169,MATCH($B183&amp;"/"&amp;$C183,逆引き作成用!AB$2:AB$169,FALSE),1),"")</f>
        <v/>
      </c>
      <c r="AC183" s="17" t="str">
        <f>IFERROR(INDEX(逆引き作成用!$C$2:$C$169,MATCH($B183&amp;"/"&amp;$C183,逆引き作成用!AC$2:AC$169,FALSE),1),"")</f>
        <v/>
      </c>
      <c r="AD183" s="17" t="str">
        <f>IFERROR(INDEX(逆引き作成用!$C$2:$C$169,MATCH($B183&amp;"/"&amp;$C183,逆引き作成用!AD$2:AD$169,FALSE),1),"")</f>
        <v/>
      </c>
      <c r="AE183" s="17" t="str">
        <f>IFERROR(INDEX(逆引き作成用!$C$2:$C$169,MATCH($B183&amp;"/"&amp;$C183,逆引き作成用!AE$2:AE$169,FALSE),1),"")</f>
        <v/>
      </c>
      <c r="AF183" s="17" t="str">
        <f>IFERROR(INDEX(逆引き作成用!$C$2:$C$169,MATCH($B183&amp;"/"&amp;$C183,逆引き作成用!AF$2:AF$169,FALSE),1),"")</f>
        <v/>
      </c>
      <c r="AG183" s="17" t="str">
        <f>IFERROR(INDEX(逆引き作成用!$C$2:$C$169,MATCH($B183&amp;"/"&amp;$C183,逆引き作成用!AG$2:AG$169,FALSE),1),"")</f>
        <v/>
      </c>
      <c r="AH183" s="17" t="str">
        <f>IFERROR(INDEX(逆引き作成用!$C$2:$C$169,MATCH($B183&amp;"/"&amp;$C183,逆引き作成用!AH$2:AH$169,FALSE),1),"")</f>
        <v/>
      </c>
      <c r="AI183" s="17" t="str">
        <f>IFERROR(INDEX(逆引き作成用!$C$2:$C$169,MATCH($B183&amp;"/"&amp;$C183,逆引き作成用!AI$2:AI$169,FALSE),1),"")</f>
        <v/>
      </c>
      <c r="AJ183" s="17" t="str">
        <f>IFERROR(INDEX(逆引き作成用!$C$2:$C$169,MATCH($B183&amp;"/"&amp;$C183,逆引き作成用!AJ$2:AJ$169,FALSE),1),"")</f>
        <v/>
      </c>
      <c r="AK183" s="17" t="str">
        <f>IFERROR(INDEX(逆引き作成用!$C$2:$C$169,MATCH($B183&amp;"/"&amp;$C183,逆引き作成用!AK$2:AK$169,FALSE),1),"")</f>
        <v/>
      </c>
      <c r="AL183" s="17" t="str">
        <f>IFERROR(INDEX(逆引き作成用!$C$2:$C$169,MATCH($B183&amp;"/"&amp;$C183,逆引き作成用!AL$2:AL$169,FALSE),1),"")</f>
        <v/>
      </c>
      <c r="AM183" s="17" t="str">
        <f>IFERROR(INDEX(逆引き作成用!$C$2:$C$169,MATCH($B183&amp;"/"&amp;$C183,逆引き作成用!AM$2:AM$169,FALSE),1),"")</f>
        <v/>
      </c>
      <c r="AN183" s="17" t="str">
        <f>IFERROR(INDEX(逆引き作成用!$C$2:$C$169,MATCH($B183&amp;"/"&amp;$C183,逆引き作成用!AN$2:AN$169,FALSE),1),"")</f>
        <v/>
      </c>
      <c r="AO183" s="17" t="str">
        <f>IFERROR(INDEX(逆引き作成用!$C$2:$C$169,MATCH($B183&amp;"/"&amp;$C183,逆引き作成用!AO$2:AO$169,FALSE),1),"")</f>
        <v/>
      </c>
      <c r="AP183" s="17" t="str">
        <f>IFERROR(INDEX(逆引き作成用!$C$2:$C$169,MATCH($B183&amp;"/"&amp;$C183,逆引き作成用!AP$2:AP$169,FALSE),1),"")</f>
        <v/>
      </c>
      <c r="AQ183" s="17" t="str">
        <f>IFERROR(INDEX(逆引き作成用!$C$2:$C$169,MATCH($B183&amp;"/"&amp;$C183,逆引き作成用!AQ$2:AQ$169,FALSE),1),"")</f>
        <v/>
      </c>
      <c r="AR183" s="17" t="str">
        <f>IFERROR(INDEX(逆引き作成用!$C$2:$C$169,MATCH($B183&amp;"/"&amp;$C183,逆引き作成用!AR$2:AR$169,FALSE),1),"")</f>
        <v/>
      </c>
      <c r="AS183" s="17" t="str">
        <f>IFERROR(INDEX(逆引き作成用!$C$2:$C$169,MATCH($B183&amp;"/"&amp;$C183,逆引き作成用!AS$2:AS$169,FALSE),1),"")</f>
        <v/>
      </c>
      <c r="AT183" s="17" t="str">
        <f>IFERROR(INDEX(逆引き作成用!$C$2:$C$169,MATCH($B183&amp;"/"&amp;$C183,逆引き作成用!AT$2:AT$169,FALSE),1),"")</f>
        <v/>
      </c>
      <c r="AU183" s="17" t="str">
        <f>IFERROR(INDEX(逆引き作成用!$C$2:$C$169,MATCH($B183&amp;"/"&amp;$C183,逆引き作成用!AU$2:AU$169,FALSE),1),"")</f>
        <v/>
      </c>
      <c r="AV183" s="17" t="str">
        <f>IFERROR(INDEX(逆引き作成用!$C$2:$C$169,MATCH($B183&amp;"/"&amp;$C183,逆引き作成用!AV$2:AV$169,FALSE),1),"")</f>
        <v/>
      </c>
      <c r="AW183" s="17" t="str">
        <f>IFERROR(INDEX(逆引き作成用!$C$2:$C$169,MATCH($B183&amp;"/"&amp;$C183,逆引き作成用!AW$2:AW$169,FALSE),1),"")</f>
        <v/>
      </c>
      <c r="AX183" s="17" t="str">
        <f>IFERROR(INDEX(逆引き作成用!$C$2:$C$169,MATCH($B183&amp;"/"&amp;$C183,逆引き作成用!AX$2:AX$169,FALSE),1),"")</f>
        <v/>
      </c>
      <c r="AY183" s="17" t="str">
        <f>IFERROR(INDEX(逆引き作成用!$C$2:$C$169,MATCH($B183&amp;"/"&amp;$C183,逆引き作成用!AY$2:AY$169,FALSE),1),"")</f>
        <v/>
      </c>
      <c r="AZ183" s="17" t="str">
        <f>IFERROR(INDEX(逆引き作成用!$C$2:$C$169,MATCH($B183&amp;"/"&amp;$C183,逆引き作成用!AZ$2:AZ$169,FALSE),1),"")</f>
        <v/>
      </c>
      <c r="BA183" s="17" t="str">
        <f>IFERROR(INDEX(逆引き作成用!$C$2:$C$169,MATCH($B183&amp;"/"&amp;$C183,逆引き作成用!BA$2:BA$169,FALSE),1),"")</f>
        <v/>
      </c>
    </row>
    <row r="184" spans="1:53">
      <c r="A184" s="17" t="str">
        <f>IFERROR(INDEX(役職一覧!$B$2:$B$31,MATCH(B184,役職一覧!$C$2:$C$31,FALSE),1),"")</f>
        <v/>
      </c>
      <c r="B184" s="17" t="str">
        <f>IFERROR(IF(C184=1,INDEX(役職一覧!$C$2:$C$31,MATCH(逆引き!B183,役職一覧!$C$2:$C$31,FALSE)+1,1)&amp;"",B183),"")</f>
        <v/>
      </c>
      <c r="C184" s="17" t="str">
        <f>IFERROR(IF(VLOOKUP(B183,役職一覧!$C$2:$E$31,3,FALSE)=C183,1,C183+1),"")</f>
        <v/>
      </c>
      <c r="D184" s="17" t="str">
        <f>IFERROR(INDEX(逆引き作成用!$C$2:$C$169,MATCH($B184&amp;"/"&amp;$C184,逆引き作成用!D$2:D$169,FALSE),1),"")</f>
        <v/>
      </c>
      <c r="E184" s="17" t="str">
        <f>IFERROR(INDEX(逆引き作成用!$C$2:$C$169,MATCH($B184&amp;"/"&amp;$C184,逆引き作成用!E$2:E$169,FALSE),1),"")</f>
        <v/>
      </c>
      <c r="F184" s="17" t="str">
        <f>IFERROR(INDEX(逆引き作成用!$C$2:$C$169,MATCH($B184&amp;"/"&amp;$C184,逆引き作成用!F$2:F$169,FALSE),1),"")</f>
        <v/>
      </c>
      <c r="G184" s="17" t="str">
        <f>IFERROR(INDEX(逆引き作成用!$C$2:$C$169,MATCH($B184&amp;"/"&amp;$C184,逆引き作成用!G$2:G$169,FALSE),1),"")</f>
        <v/>
      </c>
      <c r="H184" s="17" t="str">
        <f>IFERROR(INDEX(逆引き作成用!$C$2:$C$169,MATCH($B184&amp;"/"&amp;$C184,逆引き作成用!H$2:H$169,FALSE),1),"")</f>
        <v/>
      </c>
      <c r="I184" s="17" t="str">
        <f>IFERROR(INDEX(逆引き作成用!$C$2:$C$169,MATCH($B184&amp;"/"&amp;$C184,逆引き作成用!I$2:I$169,FALSE),1),"")</f>
        <v/>
      </c>
      <c r="J184" s="17" t="str">
        <f>IFERROR(INDEX(逆引き作成用!$C$2:$C$169,MATCH($B184&amp;"/"&amp;$C184,逆引き作成用!J$2:J$169,FALSE),1),"")</f>
        <v/>
      </c>
      <c r="K184" s="17" t="str">
        <f>IFERROR(INDEX(逆引き作成用!$C$2:$C$169,MATCH($B184&amp;"/"&amp;$C184,逆引き作成用!K$2:K$169,FALSE),1),"")</f>
        <v/>
      </c>
      <c r="L184" s="17" t="str">
        <f>IFERROR(INDEX(逆引き作成用!$C$2:$C$169,MATCH($B184&amp;"/"&amp;$C184,逆引き作成用!L$2:L$169,FALSE),1),"")</f>
        <v/>
      </c>
      <c r="M184" s="17" t="str">
        <f>IFERROR(INDEX(逆引き作成用!$C$2:$C$169,MATCH($B184&amp;"/"&amp;$C184,逆引き作成用!M$2:M$169,FALSE),1),"")</f>
        <v/>
      </c>
      <c r="N184" s="17" t="str">
        <f>IFERROR(INDEX(逆引き作成用!$C$2:$C$169,MATCH($B184&amp;"/"&amp;$C184,逆引き作成用!N$2:N$169,FALSE),1),"")</f>
        <v/>
      </c>
      <c r="O184" s="17" t="str">
        <f>IFERROR(INDEX(逆引き作成用!$C$2:$C$169,MATCH($B184&amp;"/"&amp;$C184,逆引き作成用!O$2:O$169,FALSE),1),"")</f>
        <v/>
      </c>
      <c r="P184" s="17" t="str">
        <f>IFERROR(INDEX(逆引き作成用!$C$2:$C$169,MATCH($B184&amp;"/"&amp;$C184,逆引き作成用!P$2:P$169,FALSE),1),"")</f>
        <v/>
      </c>
      <c r="Q184" s="17" t="str">
        <f>IFERROR(INDEX(逆引き作成用!$C$2:$C$169,MATCH($B184&amp;"/"&amp;$C184,逆引き作成用!Q$2:Q$169,FALSE),1),"")</f>
        <v/>
      </c>
      <c r="R184" s="17" t="str">
        <f>IFERROR(INDEX(逆引き作成用!$C$2:$C$169,MATCH($B184&amp;"/"&amp;$C184,逆引き作成用!R$2:R$169,FALSE),1),"")</f>
        <v/>
      </c>
      <c r="S184" s="17" t="str">
        <f>IFERROR(INDEX(逆引き作成用!$C$2:$C$169,MATCH($B184&amp;"/"&amp;$C184,逆引き作成用!S$2:S$169,FALSE),1),"")</f>
        <v/>
      </c>
      <c r="T184" s="17" t="str">
        <f>IFERROR(INDEX(逆引き作成用!$C$2:$C$169,MATCH($B184&amp;"/"&amp;$C184,逆引き作成用!T$2:T$169,FALSE),1),"")</f>
        <v/>
      </c>
      <c r="U184" s="17" t="str">
        <f>IFERROR(INDEX(逆引き作成用!$C$2:$C$169,MATCH($B184&amp;"/"&amp;$C184,逆引き作成用!U$2:U$169,FALSE),1),"")</f>
        <v/>
      </c>
      <c r="V184" s="17" t="str">
        <f>IFERROR(INDEX(逆引き作成用!$C$2:$C$169,MATCH($B184&amp;"/"&amp;$C184,逆引き作成用!V$2:V$169,FALSE),1),"")</f>
        <v/>
      </c>
      <c r="W184" s="17" t="str">
        <f>IFERROR(INDEX(逆引き作成用!$C$2:$C$169,MATCH($B184&amp;"/"&amp;$C184,逆引き作成用!W$2:W$169,FALSE),1),"")</f>
        <v/>
      </c>
      <c r="X184" s="17" t="str">
        <f>IFERROR(INDEX(逆引き作成用!$C$2:$C$169,MATCH($B184&amp;"/"&amp;$C184,逆引き作成用!X$2:X$169,FALSE),1),"")</f>
        <v/>
      </c>
      <c r="Y184" s="17" t="str">
        <f>IFERROR(INDEX(逆引き作成用!$C$2:$C$169,MATCH($B184&amp;"/"&amp;$C184,逆引き作成用!Y$2:Y$169,FALSE),1),"")</f>
        <v/>
      </c>
      <c r="Z184" s="17" t="str">
        <f>IFERROR(INDEX(逆引き作成用!$C$2:$C$169,MATCH($B184&amp;"/"&amp;$C184,逆引き作成用!Z$2:Z$169,FALSE),1),"")</f>
        <v/>
      </c>
      <c r="AA184" s="17" t="str">
        <f>IFERROR(INDEX(逆引き作成用!$C$2:$C$169,MATCH($B184&amp;"/"&amp;$C184,逆引き作成用!AA$2:AA$169,FALSE),1),"")</f>
        <v/>
      </c>
      <c r="AB184" s="17" t="str">
        <f>IFERROR(INDEX(逆引き作成用!$C$2:$C$169,MATCH($B184&amp;"/"&amp;$C184,逆引き作成用!AB$2:AB$169,FALSE),1),"")</f>
        <v/>
      </c>
      <c r="AC184" s="17" t="str">
        <f>IFERROR(INDEX(逆引き作成用!$C$2:$C$169,MATCH($B184&amp;"/"&amp;$C184,逆引き作成用!AC$2:AC$169,FALSE),1),"")</f>
        <v/>
      </c>
      <c r="AD184" s="17" t="str">
        <f>IFERROR(INDEX(逆引き作成用!$C$2:$C$169,MATCH($B184&amp;"/"&amp;$C184,逆引き作成用!AD$2:AD$169,FALSE),1),"")</f>
        <v/>
      </c>
      <c r="AE184" s="17" t="str">
        <f>IFERROR(INDEX(逆引き作成用!$C$2:$C$169,MATCH($B184&amp;"/"&amp;$C184,逆引き作成用!AE$2:AE$169,FALSE),1),"")</f>
        <v/>
      </c>
      <c r="AF184" s="17" t="str">
        <f>IFERROR(INDEX(逆引き作成用!$C$2:$C$169,MATCH($B184&amp;"/"&amp;$C184,逆引き作成用!AF$2:AF$169,FALSE),1),"")</f>
        <v/>
      </c>
      <c r="AG184" s="17" t="str">
        <f>IFERROR(INDEX(逆引き作成用!$C$2:$C$169,MATCH($B184&amp;"/"&amp;$C184,逆引き作成用!AG$2:AG$169,FALSE),1),"")</f>
        <v/>
      </c>
      <c r="AH184" s="17" t="str">
        <f>IFERROR(INDEX(逆引き作成用!$C$2:$C$169,MATCH($B184&amp;"/"&amp;$C184,逆引き作成用!AH$2:AH$169,FALSE),1),"")</f>
        <v/>
      </c>
      <c r="AI184" s="17" t="str">
        <f>IFERROR(INDEX(逆引き作成用!$C$2:$C$169,MATCH($B184&amp;"/"&amp;$C184,逆引き作成用!AI$2:AI$169,FALSE),1),"")</f>
        <v/>
      </c>
      <c r="AJ184" s="17" t="str">
        <f>IFERROR(INDEX(逆引き作成用!$C$2:$C$169,MATCH($B184&amp;"/"&amp;$C184,逆引き作成用!AJ$2:AJ$169,FALSE),1),"")</f>
        <v/>
      </c>
      <c r="AK184" s="17" t="str">
        <f>IFERROR(INDEX(逆引き作成用!$C$2:$C$169,MATCH($B184&amp;"/"&amp;$C184,逆引き作成用!AK$2:AK$169,FALSE),1),"")</f>
        <v/>
      </c>
      <c r="AL184" s="17" t="str">
        <f>IFERROR(INDEX(逆引き作成用!$C$2:$C$169,MATCH($B184&amp;"/"&amp;$C184,逆引き作成用!AL$2:AL$169,FALSE),1),"")</f>
        <v/>
      </c>
      <c r="AM184" s="17" t="str">
        <f>IFERROR(INDEX(逆引き作成用!$C$2:$C$169,MATCH($B184&amp;"/"&amp;$C184,逆引き作成用!AM$2:AM$169,FALSE),1),"")</f>
        <v/>
      </c>
      <c r="AN184" s="17" t="str">
        <f>IFERROR(INDEX(逆引き作成用!$C$2:$C$169,MATCH($B184&amp;"/"&amp;$C184,逆引き作成用!AN$2:AN$169,FALSE),1),"")</f>
        <v/>
      </c>
      <c r="AO184" s="17" t="str">
        <f>IFERROR(INDEX(逆引き作成用!$C$2:$C$169,MATCH($B184&amp;"/"&amp;$C184,逆引き作成用!AO$2:AO$169,FALSE),1),"")</f>
        <v/>
      </c>
      <c r="AP184" s="17" t="str">
        <f>IFERROR(INDEX(逆引き作成用!$C$2:$C$169,MATCH($B184&amp;"/"&amp;$C184,逆引き作成用!AP$2:AP$169,FALSE),1),"")</f>
        <v/>
      </c>
      <c r="AQ184" s="17" t="str">
        <f>IFERROR(INDEX(逆引き作成用!$C$2:$C$169,MATCH($B184&amp;"/"&amp;$C184,逆引き作成用!AQ$2:AQ$169,FALSE),1),"")</f>
        <v/>
      </c>
      <c r="AR184" s="17" t="str">
        <f>IFERROR(INDEX(逆引き作成用!$C$2:$C$169,MATCH($B184&amp;"/"&amp;$C184,逆引き作成用!AR$2:AR$169,FALSE),1),"")</f>
        <v/>
      </c>
      <c r="AS184" s="17" t="str">
        <f>IFERROR(INDEX(逆引き作成用!$C$2:$C$169,MATCH($B184&amp;"/"&amp;$C184,逆引き作成用!AS$2:AS$169,FALSE),1),"")</f>
        <v/>
      </c>
      <c r="AT184" s="17" t="str">
        <f>IFERROR(INDEX(逆引き作成用!$C$2:$C$169,MATCH($B184&amp;"/"&amp;$C184,逆引き作成用!AT$2:AT$169,FALSE),1),"")</f>
        <v/>
      </c>
      <c r="AU184" s="17" t="str">
        <f>IFERROR(INDEX(逆引き作成用!$C$2:$C$169,MATCH($B184&amp;"/"&amp;$C184,逆引き作成用!AU$2:AU$169,FALSE),1),"")</f>
        <v/>
      </c>
      <c r="AV184" s="17" t="str">
        <f>IFERROR(INDEX(逆引き作成用!$C$2:$C$169,MATCH($B184&amp;"/"&amp;$C184,逆引き作成用!AV$2:AV$169,FALSE),1),"")</f>
        <v/>
      </c>
      <c r="AW184" s="17" t="str">
        <f>IFERROR(INDEX(逆引き作成用!$C$2:$C$169,MATCH($B184&amp;"/"&amp;$C184,逆引き作成用!AW$2:AW$169,FALSE),1),"")</f>
        <v/>
      </c>
      <c r="AX184" s="17" t="str">
        <f>IFERROR(INDEX(逆引き作成用!$C$2:$C$169,MATCH($B184&amp;"/"&amp;$C184,逆引き作成用!AX$2:AX$169,FALSE),1),"")</f>
        <v/>
      </c>
      <c r="AY184" s="17" t="str">
        <f>IFERROR(INDEX(逆引き作成用!$C$2:$C$169,MATCH($B184&amp;"/"&amp;$C184,逆引き作成用!AY$2:AY$169,FALSE),1),"")</f>
        <v/>
      </c>
      <c r="AZ184" s="17" t="str">
        <f>IFERROR(INDEX(逆引き作成用!$C$2:$C$169,MATCH($B184&amp;"/"&amp;$C184,逆引き作成用!AZ$2:AZ$169,FALSE),1),"")</f>
        <v/>
      </c>
      <c r="BA184" s="17" t="str">
        <f>IFERROR(INDEX(逆引き作成用!$C$2:$C$169,MATCH($B184&amp;"/"&amp;$C184,逆引き作成用!BA$2:BA$169,FALSE),1),"")</f>
        <v/>
      </c>
    </row>
    <row r="185" spans="1:53">
      <c r="A185" s="17" t="str">
        <f>IFERROR(INDEX(役職一覧!$B$2:$B$31,MATCH(B185,役職一覧!$C$2:$C$31,FALSE),1),"")</f>
        <v/>
      </c>
      <c r="B185" s="17" t="str">
        <f>IFERROR(IF(C185=1,INDEX(役職一覧!$C$2:$C$31,MATCH(逆引き!B184,役職一覧!$C$2:$C$31,FALSE)+1,1)&amp;"",B184),"")</f>
        <v/>
      </c>
      <c r="C185" s="17" t="str">
        <f>IFERROR(IF(VLOOKUP(B184,役職一覧!$C$2:$E$31,3,FALSE)=C184,1,C184+1),"")</f>
        <v/>
      </c>
      <c r="D185" s="17" t="str">
        <f>IFERROR(INDEX(逆引き作成用!$C$2:$C$169,MATCH($B185&amp;"/"&amp;$C185,逆引き作成用!D$2:D$169,FALSE),1),"")</f>
        <v/>
      </c>
      <c r="E185" s="17" t="str">
        <f>IFERROR(INDEX(逆引き作成用!$C$2:$C$169,MATCH($B185&amp;"/"&amp;$C185,逆引き作成用!E$2:E$169,FALSE),1),"")</f>
        <v/>
      </c>
      <c r="F185" s="17" t="str">
        <f>IFERROR(INDEX(逆引き作成用!$C$2:$C$169,MATCH($B185&amp;"/"&amp;$C185,逆引き作成用!F$2:F$169,FALSE),1),"")</f>
        <v/>
      </c>
      <c r="G185" s="17" t="str">
        <f>IFERROR(INDEX(逆引き作成用!$C$2:$C$169,MATCH($B185&amp;"/"&amp;$C185,逆引き作成用!G$2:G$169,FALSE),1),"")</f>
        <v/>
      </c>
      <c r="H185" s="17" t="str">
        <f>IFERROR(INDEX(逆引き作成用!$C$2:$C$169,MATCH($B185&amp;"/"&amp;$C185,逆引き作成用!H$2:H$169,FALSE),1),"")</f>
        <v/>
      </c>
      <c r="I185" s="17" t="str">
        <f>IFERROR(INDEX(逆引き作成用!$C$2:$C$169,MATCH($B185&amp;"/"&amp;$C185,逆引き作成用!I$2:I$169,FALSE),1),"")</f>
        <v/>
      </c>
      <c r="J185" s="17" t="str">
        <f>IFERROR(INDEX(逆引き作成用!$C$2:$C$169,MATCH($B185&amp;"/"&amp;$C185,逆引き作成用!J$2:J$169,FALSE),1),"")</f>
        <v/>
      </c>
      <c r="K185" s="17" t="str">
        <f>IFERROR(INDEX(逆引き作成用!$C$2:$C$169,MATCH($B185&amp;"/"&amp;$C185,逆引き作成用!K$2:K$169,FALSE),1),"")</f>
        <v/>
      </c>
      <c r="L185" s="17" t="str">
        <f>IFERROR(INDEX(逆引き作成用!$C$2:$C$169,MATCH($B185&amp;"/"&amp;$C185,逆引き作成用!L$2:L$169,FALSE),1),"")</f>
        <v/>
      </c>
      <c r="M185" s="17" t="str">
        <f>IFERROR(INDEX(逆引き作成用!$C$2:$C$169,MATCH($B185&amp;"/"&amp;$C185,逆引き作成用!M$2:M$169,FALSE),1),"")</f>
        <v/>
      </c>
      <c r="N185" s="17" t="str">
        <f>IFERROR(INDEX(逆引き作成用!$C$2:$C$169,MATCH($B185&amp;"/"&amp;$C185,逆引き作成用!N$2:N$169,FALSE),1),"")</f>
        <v/>
      </c>
      <c r="O185" s="17" t="str">
        <f>IFERROR(INDEX(逆引き作成用!$C$2:$C$169,MATCH($B185&amp;"/"&amp;$C185,逆引き作成用!O$2:O$169,FALSE),1),"")</f>
        <v/>
      </c>
      <c r="P185" s="17" t="str">
        <f>IFERROR(INDEX(逆引き作成用!$C$2:$C$169,MATCH($B185&amp;"/"&amp;$C185,逆引き作成用!P$2:P$169,FALSE),1),"")</f>
        <v/>
      </c>
      <c r="Q185" s="17" t="str">
        <f>IFERROR(INDEX(逆引き作成用!$C$2:$C$169,MATCH($B185&amp;"/"&amp;$C185,逆引き作成用!Q$2:Q$169,FALSE),1),"")</f>
        <v/>
      </c>
      <c r="R185" s="17" t="str">
        <f>IFERROR(INDEX(逆引き作成用!$C$2:$C$169,MATCH($B185&amp;"/"&amp;$C185,逆引き作成用!R$2:R$169,FALSE),1),"")</f>
        <v/>
      </c>
      <c r="S185" s="17" t="str">
        <f>IFERROR(INDEX(逆引き作成用!$C$2:$C$169,MATCH($B185&amp;"/"&amp;$C185,逆引き作成用!S$2:S$169,FALSE),1),"")</f>
        <v/>
      </c>
      <c r="T185" s="17" t="str">
        <f>IFERROR(INDEX(逆引き作成用!$C$2:$C$169,MATCH($B185&amp;"/"&amp;$C185,逆引き作成用!T$2:T$169,FALSE),1),"")</f>
        <v/>
      </c>
      <c r="U185" s="17" t="str">
        <f>IFERROR(INDEX(逆引き作成用!$C$2:$C$169,MATCH($B185&amp;"/"&amp;$C185,逆引き作成用!U$2:U$169,FALSE),1),"")</f>
        <v/>
      </c>
      <c r="V185" s="17" t="str">
        <f>IFERROR(INDEX(逆引き作成用!$C$2:$C$169,MATCH($B185&amp;"/"&amp;$C185,逆引き作成用!V$2:V$169,FALSE),1),"")</f>
        <v/>
      </c>
      <c r="W185" s="17" t="str">
        <f>IFERROR(INDEX(逆引き作成用!$C$2:$C$169,MATCH($B185&amp;"/"&amp;$C185,逆引き作成用!W$2:W$169,FALSE),1),"")</f>
        <v/>
      </c>
      <c r="X185" s="17" t="str">
        <f>IFERROR(INDEX(逆引き作成用!$C$2:$C$169,MATCH($B185&amp;"/"&amp;$C185,逆引き作成用!X$2:X$169,FALSE),1),"")</f>
        <v/>
      </c>
      <c r="Y185" s="17" t="str">
        <f>IFERROR(INDEX(逆引き作成用!$C$2:$C$169,MATCH($B185&amp;"/"&amp;$C185,逆引き作成用!Y$2:Y$169,FALSE),1),"")</f>
        <v/>
      </c>
      <c r="Z185" s="17" t="str">
        <f>IFERROR(INDEX(逆引き作成用!$C$2:$C$169,MATCH($B185&amp;"/"&amp;$C185,逆引き作成用!Z$2:Z$169,FALSE),1),"")</f>
        <v/>
      </c>
      <c r="AA185" s="17" t="str">
        <f>IFERROR(INDEX(逆引き作成用!$C$2:$C$169,MATCH($B185&amp;"/"&amp;$C185,逆引き作成用!AA$2:AA$169,FALSE),1),"")</f>
        <v/>
      </c>
      <c r="AB185" s="17" t="str">
        <f>IFERROR(INDEX(逆引き作成用!$C$2:$C$169,MATCH($B185&amp;"/"&amp;$C185,逆引き作成用!AB$2:AB$169,FALSE),1),"")</f>
        <v/>
      </c>
      <c r="AC185" s="17" t="str">
        <f>IFERROR(INDEX(逆引き作成用!$C$2:$C$169,MATCH($B185&amp;"/"&amp;$C185,逆引き作成用!AC$2:AC$169,FALSE),1),"")</f>
        <v/>
      </c>
      <c r="AD185" s="17" t="str">
        <f>IFERROR(INDEX(逆引き作成用!$C$2:$C$169,MATCH($B185&amp;"/"&amp;$C185,逆引き作成用!AD$2:AD$169,FALSE),1),"")</f>
        <v/>
      </c>
      <c r="AE185" s="17" t="str">
        <f>IFERROR(INDEX(逆引き作成用!$C$2:$C$169,MATCH($B185&amp;"/"&amp;$C185,逆引き作成用!AE$2:AE$169,FALSE),1),"")</f>
        <v/>
      </c>
      <c r="AF185" s="17" t="str">
        <f>IFERROR(INDEX(逆引き作成用!$C$2:$C$169,MATCH($B185&amp;"/"&amp;$C185,逆引き作成用!AF$2:AF$169,FALSE),1),"")</f>
        <v/>
      </c>
      <c r="AG185" s="17" t="str">
        <f>IFERROR(INDEX(逆引き作成用!$C$2:$C$169,MATCH($B185&amp;"/"&amp;$C185,逆引き作成用!AG$2:AG$169,FALSE),1),"")</f>
        <v/>
      </c>
      <c r="AH185" s="17" t="str">
        <f>IFERROR(INDEX(逆引き作成用!$C$2:$C$169,MATCH($B185&amp;"/"&amp;$C185,逆引き作成用!AH$2:AH$169,FALSE),1),"")</f>
        <v/>
      </c>
      <c r="AI185" s="17" t="str">
        <f>IFERROR(INDEX(逆引き作成用!$C$2:$C$169,MATCH($B185&amp;"/"&amp;$C185,逆引き作成用!AI$2:AI$169,FALSE),1),"")</f>
        <v/>
      </c>
      <c r="AJ185" s="17" t="str">
        <f>IFERROR(INDEX(逆引き作成用!$C$2:$C$169,MATCH($B185&amp;"/"&amp;$C185,逆引き作成用!AJ$2:AJ$169,FALSE),1),"")</f>
        <v/>
      </c>
      <c r="AK185" s="17" t="str">
        <f>IFERROR(INDEX(逆引き作成用!$C$2:$C$169,MATCH($B185&amp;"/"&amp;$C185,逆引き作成用!AK$2:AK$169,FALSE),1),"")</f>
        <v/>
      </c>
      <c r="AL185" s="17" t="str">
        <f>IFERROR(INDEX(逆引き作成用!$C$2:$C$169,MATCH($B185&amp;"/"&amp;$C185,逆引き作成用!AL$2:AL$169,FALSE),1),"")</f>
        <v/>
      </c>
      <c r="AM185" s="17" t="str">
        <f>IFERROR(INDEX(逆引き作成用!$C$2:$C$169,MATCH($B185&amp;"/"&amp;$C185,逆引き作成用!AM$2:AM$169,FALSE),1),"")</f>
        <v/>
      </c>
      <c r="AN185" s="17" t="str">
        <f>IFERROR(INDEX(逆引き作成用!$C$2:$C$169,MATCH($B185&amp;"/"&amp;$C185,逆引き作成用!AN$2:AN$169,FALSE),1),"")</f>
        <v/>
      </c>
      <c r="AO185" s="17" t="str">
        <f>IFERROR(INDEX(逆引き作成用!$C$2:$C$169,MATCH($B185&amp;"/"&amp;$C185,逆引き作成用!AO$2:AO$169,FALSE),1),"")</f>
        <v/>
      </c>
      <c r="AP185" s="17" t="str">
        <f>IFERROR(INDEX(逆引き作成用!$C$2:$C$169,MATCH($B185&amp;"/"&amp;$C185,逆引き作成用!AP$2:AP$169,FALSE),1),"")</f>
        <v/>
      </c>
      <c r="AQ185" s="17" t="str">
        <f>IFERROR(INDEX(逆引き作成用!$C$2:$C$169,MATCH($B185&amp;"/"&amp;$C185,逆引き作成用!AQ$2:AQ$169,FALSE),1),"")</f>
        <v/>
      </c>
      <c r="AR185" s="17" t="str">
        <f>IFERROR(INDEX(逆引き作成用!$C$2:$C$169,MATCH($B185&amp;"/"&amp;$C185,逆引き作成用!AR$2:AR$169,FALSE),1),"")</f>
        <v/>
      </c>
      <c r="AS185" s="17" t="str">
        <f>IFERROR(INDEX(逆引き作成用!$C$2:$C$169,MATCH($B185&amp;"/"&amp;$C185,逆引き作成用!AS$2:AS$169,FALSE),1),"")</f>
        <v/>
      </c>
      <c r="AT185" s="17" t="str">
        <f>IFERROR(INDEX(逆引き作成用!$C$2:$C$169,MATCH($B185&amp;"/"&amp;$C185,逆引き作成用!AT$2:AT$169,FALSE),1),"")</f>
        <v/>
      </c>
      <c r="AU185" s="17" t="str">
        <f>IFERROR(INDEX(逆引き作成用!$C$2:$C$169,MATCH($B185&amp;"/"&amp;$C185,逆引き作成用!AU$2:AU$169,FALSE),1),"")</f>
        <v/>
      </c>
      <c r="AV185" s="17" t="str">
        <f>IFERROR(INDEX(逆引き作成用!$C$2:$C$169,MATCH($B185&amp;"/"&amp;$C185,逆引き作成用!AV$2:AV$169,FALSE),1),"")</f>
        <v/>
      </c>
      <c r="AW185" s="17" t="str">
        <f>IFERROR(INDEX(逆引き作成用!$C$2:$C$169,MATCH($B185&amp;"/"&amp;$C185,逆引き作成用!AW$2:AW$169,FALSE),1),"")</f>
        <v/>
      </c>
      <c r="AX185" s="17" t="str">
        <f>IFERROR(INDEX(逆引き作成用!$C$2:$C$169,MATCH($B185&amp;"/"&amp;$C185,逆引き作成用!AX$2:AX$169,FALSE),1),"")</f>
        <v/>
      </c>
      <c r="AY185" s="17" t="str">
        <f>IFERROR(INDEX(逆引き作成用!$C$2:$C$169,MATCH($B185&amp;"/"&amp;$C185,逆引き作成用!AY$2:AY$169,FALSE),1),"")</f>
        <v/>
      </c>
      <c r="AZ185" s="17" t="str">
        <f>IFERROR(INDEX(逆引き作成用!$C$2:$C$169,MATCH($B185&amp;"/"&amp;$C185,逆引き作成用!AZ$2:AZ$169,FALSE),1),"")</f>
        <v/>
      </c>
      <c r="BA185" s="17" t="str">
        <f>IFERROR(INDEX(逆引き作成用!$C$2:$C$169,MATCH($B185&amp;"/"&amp;$C185,逆引き作成用!BA$2:BA$169,FALSE),1),"")</f>
        <v/>
      </c>
    </row>
    <row r="186" spans="1:53">
      <c r="A186" s="17" t="str">
        <f>IFERROR(INDEX(役職一覧!$B$2:$B$31,MATCH(B186,役職一覧!$C$2:$C$31,FALSE),1),"")</f>
        <v/>
      </c>
      <c r="B186" s="17" t="str">
        <f>IFERROR(IF(C186=1,INDEX(役職一覧!$C$2:$C$31,MATCH(逆引き!B185,役職一覧!$C$2:$C$31,FALSE)+1,1)&amp;"",B185),"")</f>
        <v/>
      </c>
      <c r="C186" s="17" t="str">
        <f>IFERROR(IF(VLOOKUP(B185,役職一覧!$C$2:$E$31,3,FALSE)=C185,1,C185+1),"")</f>
        <v/>
      </c>
      <c r="D186" s="17" t="str">
        <f>IFERROR(INDEX(逆引き作成用!$C$2:$C$169,MATCH($B186&amp;"/"&amp;$C186,逆引き作成用!D$2:D$169,FALSE),1),"")</f>
        <v/>
      </c>
      <c r="E186" s="17" t="str">
        <f>IFERROR(INDEX(逆引き作成用!$C$2:$C$169,MATCH($B186&amp;"/"&amp;$C186,逆引き作成用!E$2:E$169,FALSE),1),"")</f>
        <v/>
      </c>
      <c r="F186" s="17" t="str">
        <f>IFERROR(INDEX(逆引き作成用!$C$2:$C$169,MATCH($B186&amp;"/"&amp;$C186,逆引き作成用!F$2:F$169,FALSE),1),"")</f>
        <v/>
      </c>
      <c r="G186" s="17" t="str">
        <f>IFERROR(INDEX(逆引き作成用!$C$2:$C$169,MATCH($B186&amp;"/"&amp;$C186,逆引き作成用!G$2:G$169,FALSE),1),"")</f>
        <v/>
      </c>
      <c r="H186" s="17" t="str">
        <f>IFERROR(INDEX(逆引き作成用!$C$2:$C$169,MATCH($B186&amp;"/"&amp;$C186,逆引き作成用!H$2:H$169,FALSE),1),"")</f>
        <v/>
      </c>
      <c r="I186" s="17" t="str">
        <f>IFERROR(INDEX(逆引き作成用!$C$2:$C$169,MATCH($B186&amp;"/"&amp;$C186,逆引き作成用!I$2:I$169,FALSE),1),"")</f>
        <v/>
      </c>
      <c r="J186" s="17" t="str">
        <f>IFERROR(INDEX(逆引き作成用!$C$2:$C$169,MATCH($B186&amp;"/"&amp;$C186,逆引き作成用!J$2:J$169,FALSE),1),"")</f>
        <v/>
      </c>
      <c r="K186" s="17" t="str">
        <f>IFERROR(INDEX(逆引き作成用!$C$2:$C$169,MATCH($B186&amp;"/"&amp;$C186,逆引き作成用!K$2:K$169,FALSE),1),"")</f>
        <v/>
      </c>
      <c r="L186" s="17" t="str">
        <f>IFERROR(INDEX(逆引き作成用!$C$2:$C$169,MATCH($B186&amp;"/"&amp;$C186,逆引き作成用!L$2:L$169,FALSE),1),"")</f>
        <v/>
      </c>
      <c r="M186" s="17" t="str">
        <f>IFERROR(INDEX(逆引き作成用!$C$2:$C$169,MATCH($B186&amp;"/"&amp;$C186,逆引き作成用!M$2:M$169,FALSE),1),"")</f>
        <v/>
      </c>
      <c r="N186" s="17" t="str">
        <f>IFERROR(INDEX(逆引き作成用!$C$2:$C$169,MATCH($B186&amp;"/"&amp;$C186,逆引き作成用!N$2:N$169,FALSE),1),"")</f>
        <v/>
      </c>
      <c r="O186" s="17" t="str">
        <f>IFERROR(INDEX(逆引き作成用!$C$2:$C$169,MATCH($B186&amp;"/"&amp;$C186,逆引き作成用!O$2:O$169,FALSE),1),"")</f>
        <v/>
      </c>
      <c r="P186" s="17" t="str">
        <f>IFERROR(INDEX(逆引き作成用!$C$2:$C$169,MATCH($B186&amp;"/"&amp;$C186,逆引き作成用!P$2:P$169,FALSE),1),"")</f>
        <v/>
      </c>
      <c r="Q186" s="17" t="str">
        <f>IFERROR(INDEX(逆引き作成用!$C$2:$C$169,MATCH($B186&amp;"/"&amp;$C186,逆引き作成用!Q$2:Q$169,FALSE),1),"")</f>
        <v/>
      </c>
      <c r="R186" s="17" t="str">
        <f>IFERROR(INDEX(逆引き作成用!$C$2:$C$169,MATCH($B186&amp;"/"&amp;$C186,逆引き作成用!R$2:R$169,FALSE),1),"")</f>
        <v/>
      </c>
      <c r="S186" s="17" t="str">
        <f>IFERROR(INDEX(逆引き作成用!$C$2:$C$169,MATCH($B186&amp;"/"&amp;$C186,逆引き作成用!S$2:S$169,FALSE),1),"")</f>
        <v/>
      </c>
      <c r="T186" s="17" t="str">
        <f>IFERROR(INDEX(逆引き作成用!$C$2:$C$169,MATCH($B186&amp;"/"&amp;$C186,逆引き作成用!T$2:T$169,FALSE),1),"")</f>
        <v/>
      </c>
      <c r="U186" s="17" t="str">
        <f>IFERROR(INDEX(逆引き作成用!$C$2:$C$169,MATCH($B186&amp;"/"&amp;$C186,逆引き作成用!U$2:U$169,FALSE),1),"")</f>
        <v/>
      </c>
      <c r="V186" s="17" t="str">
        <f>IFERROR(INDEX(逆引き作成用!$C$2:$C$169,MATCH($B186&amp;"/"&amp;$C186,逆引き作成用!V$2:V$169,FALSE),1),"")</f>
        <v/>
      </c>
      <c r="W186" s="17" t="str">
        <f>IFERROR(INDEX(逆引き作成用!$C$2:$C$169,MATCH($B186&amp;"/"&amp;$C186,逆引き作成用!W$2:W$169,FALSE),1),"")</f>
        <v/>
      </c>
      <c r="X186" s="17" t="str">
        <f>IFERROR(INDEX(逆引き作成用!$C$2:$C$169,MATCH($B186&amp;"/"&amp;$C186,逆引き作成用!X$2:X$169,FALSE),1),"")</f>
        <v/>
      </c>
      <c r="Y186" s="17" t="str">
        <f>IFERROR(INDEX(逆引き作成用!$C$2:$C$169,MATCH($B186&amp;"/"&amp;$C186,逆引き作成用!Y$2:Y$169,FALSE),1),"")</f>
        <v/>
      </c>
      <c r="Z186" s="17" t="str">
        <f>IFERROR(INDEX(逆引き作成用!$C$2:$C$169,MATCH($B186&amp;"/"&amp;$C186,逆引き作成用!Z$2:Z$169,FALSE),1),"")</f>
        <v/>
      </c>
      <c r="AA186" s="17" t="str">
        <f>IFERROR(INDEX(逆引き作成用!$C$2:$C$169,MATCH($B186&amp;"/"&amp;$C186,逆引き作成用!AA$2:AA$169,FALSE),1),"")</f>
        <v/>
      </c>
      <c r="AB186" s="17" t="str">
        <f>IFERROR(INDEX(逆引き作成用!$C$2:$C$169,MATCH($B186&amp;"/"&amp;$C186,逆引き作成用!AB$2:AB$169,FALSE),1),"")</f>
        <v/>
      </c>
      <c r="AC186" s="17" t="str">
        <f>IFERROR(INDEX(逆引き作成用!$C$2:$C$169,MATCH($B186&amp;"/"&amp;$C186,逆引き作成用!AC$2:AC$169,FALSE),1),"")</f>
        <v/>
      </c>
      <c r="AD186" s="17" t="str">
        <f>IFERROR(INDEX(逆引き作成用!$C$2:$C$169,MATCH($B186&amp;"/"&amp;$C186,逆引き作成用!AD$2:AD$169,FALSE),1),"")</f>
        <v/>
      </c>
      <c r="AE186" s="17" t="str">
        <f>IFERROR(INDEX(逆引き作成用!$C$2:$C$169,MATCH($B186&amp;"/"&amp;$C186,逆引き作成用!AE$2:AE$169,FALSE),1),"")</f>
        <v/>
      </c>
      <c r="AF186" s="17" t="str">
        <f>IFERROR(INDEX(逆引き作成用!$C$2:$C$169,MATCH($B186&amp;"/"&amp;$C186,逆引き作成用!AF$2:AF$169,FALSE),1),"")</f>
        <v/>
      </c>
      <c r="AG186" s="17" t="str">
        <f>IFERROR(INDEX(逆引き作成用!$C$2:$C$169,MATCH($B186&amp;"/"&amp;$C186,逆引き作成用!AG$2:AG$169,FALSE),1),"")</f>
        <v/>
      </c>
      <c r="AH186" s="17" t="str">
        <f>IFERROR(INDEX(逆引き作成用!$C$2:$C$169,MATCH($B186&amp;"/"&amp;$C186,逆引き作成用!AH$2:AH$169,FALSE),1),"")</f>
        <v/>
      </c>
      <c r="AI186" s="17" t="str">
        <f>IFERROR(INDEX(逆引き作成用!$C$2:$C$169,MATCH($B186&amp;"/"&amp;$C186,逆引き作成用!AI$2:AI$169,FALSE),1),"")</f>
        <v/>
      </c>
      <c r="AJ186" s="17" t="str">
        <f>IFERROR(INDEX(逆引き作成用!$C$2:$C$169,MATCH($B186&amp;"/"&amp;$C186,逆引き作成用!AJ$2:AJ$169,FALSE),1),"")</f>
        <v/>
      </c>
      <c r="AK186" s="17" t="str">
        <f>IFERROR(INDEX(逆引き作成用!$C$2:$C$169,MATCH($B186&amp;"/"&amp;$C186,逆引き作成用!AK$2:AK$169,FALSE),1),"")</f>
        <v/>
      </c>
      <c r="AL186" s="17" t="str">
        <f>IFERROR(INDEX(逆引き作成用!$C$2:$C$169,MATCH($B186&amp;"/"&amp;$C186,逆引き作成用!AL$2:AL$169,FALSE),1),"")</f>
        <v/>
      </c>
      <c r="AM186" s="17" t="str">
        <f>IFERROR(INDEX(逆引き作成用!$C$2:$C$169,MATCH($B186&amp;"/"&amp;$C186,逆引き作成用!AM$2:AM$169,FALSE),1),"")</f>
        <v/>
      </c>
      <c r="AN186" s="17" t="str">
        <f>IFERROR(INDEX(逆引き作成用!$C$2:$C$169,MATCH($B186&amp;"/"&amp;$C186,逆引き作成用!AN$2:AN$169,FALSE),1),"")</f>
        <v/>
      </c>
      <c r="AO186" s="17" t="str">
        <f>IFERROR(INDEX(逆引き作成用!$C$2:$C$169,MATCH($B186&amp;"/"&amp;$C186,逆引き作成用!AO$2:AO$169,FALSE),1),"")</f>
        <v/>
      </c>
      <c r="AP186" s="17" t="str">
        <f>IFERROR(INDEX(逆引き作成用!$C$2:$C$169,MATCH($B186&amp;"/"&amp;$C186,逆引き作成用!AP$2:AP$169,FALSE),1),"")</f>
        <v/>
      </c>
      <c r="AQ186" s="17" t="str">
        <f>IFERROR(INDEX(逆引き作成用!$C$2:$C$169,MATCH($B186&amp;"/"&amp;$C186,逆引き作成用!AQ$2:AQ$169,FALSE),1),"")</f>
        <v/>
      </c>
      <c r="AR186" s="17" t="str">
        <f>IFERROR(INDEX(逆引き作成用!$C$2:$C$169,MATCH($B186&amp;"/"&amp;$C186,逆引き作成用!AR$2:AR$169,FALSE),1),"")</f>
        <v/>
      </c>
      <c r="AS186" s="17" t="str">
        <f>IFERROR(INDEX(逆引き作成用!$C$2:$C$169,MATCH($B186&amp;"/"&amp;$C186,逆引き作成用!AS$2:AS$169,FALSE),1),"")</f>
        <v/>
      </c>
      <c r="AT186" s="17" t="str">
        <f>IFERROR(INDEX(逆引き作成用!$C$2:$C$169,MATCH($B186&amp;"/"&amp;$C186,逆引き作成用!AT$2:AT$169,FALSE),1),"")</f>
        <v/>
      </c>
      <c r="AU186" s="17" t="str">
        <f>IFERROR(INDEX(逆引き作成用!$C$2:$C$169,MATCH($B186&amp;"/"&amp;$C186,逆引き作成用!AU$2:AU$169,FALSE),1),"")</f>
        <v/>
      </c>
      <c r="AV186" s="17" t="str">
        <f>IFERROR(INDEX(逆引き作成用!$C$2:$C$169,MATCH($B186&amp;"/"&amp;$C186,逆引き作成用!AV$2:AV$169,FALSE),1),"")</f>
        <v/>
      </c>
      <c r="AW186" s="17" t="str">
        <f>IFERROR(INDEX(逆引き作成用!$C$2:$C$169,MATCH($B186&amp;"/"&amp;$C186,逆引き作成用!AW$2:AW$169,FALSE),1),"")</f>
        <v/>
      </c>
      <c r="AX186" s="17" t="str">
        <f>IFERROR(INDEX(逆引き作成用!$C$2:$C$169,MATCH($B186&amp;"/"&amp;$C186,逆引き作成用!AX$2:AX$169,FALSE),1),"")</f>
        <v/>
      </c>
      <c r="AY186" s="17" t="str">
        <f>IFERROR(INDEX(逆引き作成用!$C$2:$C$169,MATCH($B186&amp;"/"&amp;$C186,逆引き作成用!AY$2:AY$169,FALSE),1),"")</f>
        <v/>
      </c>
      <c r="AZ186" s="17" t="str">
        <f>IFERROR(INDEX(逆引き作成用!$C$2:$C$169,MATCH($B186&amp;"/"&amp;$C186,逆引き作成用!AZ$2:AZ$169,FALSE),1),"")</f>
        <v/>
      </c>
      <c r="BA186" s="17" t="str">
        <f>IFERROR(INDEX(逆引き作成用!$C$2:$C$169,MATCH($B186&amp;"/"&amp;$C186,逆引き作成用!BA$2:BA$169,FALSE),1),"")</f>
        <v/>
      </c>
    </row>
    <row r="187" spans="1:53">
      <c r="A187" s="17" t="str">
        <f>IFERROR(INDEX(役職一覧!$B$2:$B$31,MATCH(B187,役職一覧!$C$2:$C$31,FALSE),1),"")</f>
        <v/>
      </c>
      <c r="B187" s="17" t="str">
        <f>IFERROR(IF(C187=1,INDEX(役職一覧!$C$2:$C$31,MATCH(逆引き!B186,役職一覧!$C$2:$C$31,FALSE)+1,1)&amp;"",B186),"")</f>
        <v/>
      </c>
      <c r="C187" s="17" t="str">
        <f>IFERROR(IF(VLOOKUP(B186,役職一覧!$C$2:$E$31,3,FALSE)=C186,1,C186+1),"")</f>
        <v/>
      </c>
      <c r="D187" s="17" t="str">
        <f>IFERROR(INDEX(逆引き作成用!$C$2:$C$169,MATCH($B187&amp;"/"&amp;$C187,逆引き作成用!D$2:D$169,FALSE),1),"")</f>
        <v/>
      </c>
      <c r="E187" s="17" t="str">
        <f>IFERROR(INDEX(逆引き作成用!$C$2:$C$169,MATCH($B187&amp;"/"&amp;$C187,逆引き作成用!E$2:E$169,FALSE),1),"")</f>
        <v/>
      </c>
      <c r="F187" s="17" t="str">
        <f>IFERROR(INDEX(逆引き作成用!$C$2:$C$169,MATCH($B187&amp;"/"&amp;$C187,逆引き作成用!F$2:F$169,FALSE),1),"")</f>
        <v/>
      </c>
      <c r="G187" s="17" t="str">
        <f>IFERROR(INDEX(逆引き作成用!$C$2:$C$169,MATCH($B187&amp;"/"&amp;$C187,逆引き作成用!G$2:G$169,FALSE),1),"")</f>
        <v/>
      </c>
      <c r="H187" s="17" t="str">
        <f>IFERROR(INDEX(逆引き作成用!$C$2:$C$169,MATCH($B187&amp;"/"&amp;$C187,逆引き作成用!H$2:H$169,FALSE),1),"")</f>
        <v/>
      </c>
      <c r="I187" s="17" t="str">
        <f>IFERROR(INDEX(逆引き作成用!$C$2:$C$169,MATCH($B187&amp;"/"&amp;$C187,逆引き作成用!I$2:I$169,FALSE),1),"")</f>
        <v/>
      </c>
      <c r="J187" s="17" t="str">
        <f>IFERROR(INDEX(逆引き作成用!$C$2:$C$169,MATCH($B187&amp;"/"&amp;$C187,逆引き作成用!J$2:J$169,FALSE),1),"")</f>
        <v/>
      </c>
      <c r="K187" s="17" t="str">
        <f>IFERROR(INDEX(逆引き作成用!$C$2:$C$169,MATCH($B187&amp;"/"&amp;$C187,逆引き作成用!K$2:K$169,FALSE),1),"")</f>
        <v/>
      </c>
      <c r="L187" s="17" t="str">
        <f>IFERROR(INDEX(逆引き作成用!$C$2:$C$169,MATCH($B187&amp;"/"&amp;$C187,逆引き作成用!L$2:L$169,FALSE),1),"")</f>
        <v/>
      </c>
      <c r="M187" s="17" t="str">
        <f>IFERROR(INDEX(逆引き作成用!$C$2:$C$169,MATCH($B187&amp;"/"&amp;$C187,逆引き作成用!M$2:M$169,FALSE),1),"")</f>
        <v/>
      </c>
      <c r="N187" s="17" t="str">
        <f>IFERROR(INDEX(逆引き作成用!$C$2:$C$169,MATCH($B187&amp;"/"&amp;$C187,逆引き作成用!N$2:N$169,FALSE),1),"")</f>
        <v/>
      </c>
      <c r="O187" s="17" t="str">
        <f>IFERROR(INDEX(逆引き作成用!$C$2:$C$169,MATCH($B187&amp;"/"&amp;$C187,逆引き作成用!O$2:O$169,FALSE),1),"")</f>
        <v/>
      </c>
      <c r="P187" s="17" t="str">
        <f>IFERROR(INDEX(逆引き作成用!$C$2:$C$169,MATCH($B187&amp;"/"&amp;$C187,逆引き作成用!P$2:P$169,FALSE),1),"")</f>
        <v/>
      </c>
      <c r="Q187" s="17" t="str">
        <f>IFERROR(INDEX(逆引き作成用!$C$2:$C$169,MATCH($B187&amp;"/"&amp;$C187,逆引き作成用!Q$2:Q$169,FALSE),1),"")</f>
        <v/>
      </c>
      <c r="R187" s="17" t="str">
        <f>IFERROR(INDEX(逆引き作成用!$C$2:$C$169,MATCH($B187&amp;"/"&amp;$C187,逆引き作成用!R$2:R$169,FALSE),1),"")</f>
        <v/>
      </c>
      <c r="S187" s="17" t="str">
        <f>IFERROR(INDEX(逆引き作成用!$C$2:$C$169,MATCH($B187&amp;"/"&amp;$C187,逆引き作成用!S$2:S$169,FALSE),1),"")</f>
        <v/>
      </c>
      <c r="T187" s="17" t="str">
        <f>IFERROR(INDEX(逆引き作成用!$C$2:$C$169,MATCH($B187&amp;"/"&amp;$C187,逆引き作成用!T$2:T$169,FALSE),1),"")</f>
        <v/>
      </c>
      <c r="U187" s="17" t="str">
        <f>IFERROR(INDEX(逆引き作成用!$C$2:$C$169,MATCH($B187&amp;"/"&amp;$C187,逆引き作成用!U$2:U$169,FALSE),1),"")</f>
        <v/>
      </c>
      <c r="V187" s="17" t="str">
        <f>IFERROR(INDEX(逆引き作成用!$C$2:$C$169,MATCH($B187&amp;"/"&amp;$C187,逆引き作成用!V$2:V$169,FALSE),1),"")</f>
        <v/>
      </c>
      <c r="W187" s="17" t="str">
        <f>IFERROR(INDEX(逆引き作成用!$C$2:$C$169,MATCH($B187&amp;"/"&amp;$C187,逆引き作成用!W$2:W$169,FALSE),1),"")</f>
        <v/>
      </c>
      <c r="X187" s="17" t="str">
        <f>IFERROR(INDEX(逆引き作成用!$C$2:$C$169,MATCH($B187&amp;"/"&amp;$C187,逆引き作成用!X$2:X$169,FALSE),1),"")</f>
        <v/>
      </c>
      <c r="Y187" s="17" t="str">
        <f>IFERROR(INDEX(逆引き作成用!$C$2:$C$169,MATCH($B187&amp;"/"&amp;$C187,逆引き作成用!Y$2:Y$169,FALSE),1),"")</f>
        <v/>
      </c>
      <c r="Z187" s="17" t="str">
        <f>IFERROR(INDEX(逆引き作成用!$C$2:$C$169,MATCH($B187&amp;"/"&amp;$C187,逆引き作成用!Z$2:Z$169,FALSE),1),"")</f>
        <v/>
      </c>
      <c r="AA187" s="17" t="str">
        <f>IFERROR(INDEX(逆引き作成用!$C$2:$C$169,MATCH($B187&amp;"/"&amp;$C187,逆引き作成用!AA$2:AA$169,FALSE),1),"")</f>
        <v/>
      </c>
      <c r="AB187" s="17" t="str">
        <f>IFERROR(INDEX(逆引き作成用!$C$2:$C$169,MATCH($B187&amp;"/"&amp;$C187,逆引き作成用!AB$2:AB$169,FALSE),1),"")</f>
        <v/>
      </c>
      <c r="AC187" s="17" t="str">
        <f>IFERROR(INDEX(逆引き作成用!$C$2:$C$169,MATCH($B187&amp;"/"&amp;$C187,逆引き作成用!AC$2:AC$169,FALSE),1),"")</f>
        <v/>
      </c>
      <c r="AD187" s="17" t="str">
        <f>IFERROR(INDEX(逆引き作成用!$C$2:$C$169,MATCH($B187&amp;"/"&amp;$C187,逆引き作成用!AD$2:AD$169,FALSE),1),"")</f>
        <v/>
      </c>
      <c r="AE187" s="17" t="str">
        <f>IFERROR(INDEX(逆引き作成用!$C$2:$C$169,MATCH($B187&amp;"/"&amp;$C187,逆引き作成用!AE$2:AE$169,FALSE),1),"")</f>
        <v/>
      </c>
      <c r="AF187" s="17" t="str">
        <f>IFERROR(INDEX(逆引き作成用!$C$2:$C$169,MATCH($B187&amp;"/"&amp;$C187,逆引き作成用!AF$2:AF$169,FALSE),1),"")</f>
        <v/>
      </c>
      <c r="AG187" s="17" t="str">
        <f>IFERROR(INDEX(逆引き作成用!$C$2:$C$169,MATCH($B187&amp;"/"&amp;$C187,逆引き作成用!AG$2:AG$169,FALSE),1),"")</f>
        <v/>
      </c>
      <c r="AH187" s="17" t="str">
        <f>IFERROR(INDEX(逆引き作成用!$C$2:$C$169,MATCH($B187&amp;"/"&amp;$C187,逆引き作成用!AH$2:AH$169,FALSE),1),"")</f>
        <v/>
      </c>
      <c r="AI187" s="17" t="str">
        <f>IFERROR(INDEX(逆引き作成用!$C$2:$C$169,MATCH($B187&amp;"/"&amp;$C187,逆引き作成用!AI$2:AI$169,FALSE),1),"")</f>
        <v/>
      </c>
      <c r="AJ187" s="17" t="str">
        <f>IFERROR(INDEX(逆引き作成用!$C$2:$C$169,MATCH($B187&amp;"/"&amp;$C187,逆引き作成用!AJ$2:AJ$169,FALSE),1),"")</f>
        <v/>
      </c>
      <c r="AK187" s="17" t="str">
        <f>IFERROR(INDEX(逆引き作成用!$C$2:$C$169,MATCH($B187&amp;"/"&amp;$C187,逆引き作成用!AK$2:AK$169,FALSE),1),"")</f>
        <v/>
      </c>
      <c r="AL187" s="17" t="str">
        <f>IFERROR(INDEX(逆引き作成用!$C$2:$C$169,MATCH($B187&amp;"/"&amp;$C187,逆引き作成用!AL$2:AL$169,FALSE),1),"")</f>
        <v/>
      </c>
      <c r="AM187" s="17" t="str">
        <f>IFERROR(INDEX(逆引き作成用!$C$2:$C$169,MATCH($B187&amp;"/"&amp;$C187,逆引き作成用!AM$2:AM$169,FALSE),1),"")</f>
        <v/>
      </c>
      <c r="AN187" s="17" t="str">
        <f>IFERROR(INDEX(逆引き作成用!$C$2:$C$169,MATCH($B187&amp;"/"&amp;$C187,逆引き作成用!AN$2:AN$169,FALSE),1),"")</f>
        <v/>
      </c>
      <c r="AO187" s="17" t="str">
        <f>IFERROR(INDEX(逆引き作成用!$C$2:$C$169,MATCH($B187&amp;"/"&amp;$C187,逆引き作成用!AO$2:AO$169,FALSE),1),"")</f>
        <v/>
      </c>
      <c r="AP187" s="17" t="str">
        <f>IFERROR(INDEX(逆引き作成用!$C$2:$C$169,MATCH($B187&amp;"/"&amp;$C187,逆引き作成用!AP$2:AP$169,FALSE),1),"")</f>
        <v/>
      </c>
      <c r="AQ187" s="17" t="str">
        <f>IFERROR(INDEX(逆引き作成用!$C$2:$C$169,MATCH($B187&amp;"/"&amp;$C187,逆引き作成用!AQ$2:AQ$169,FALSE),1),"")</f>
        <v/>
      </c>
      <c r="AR187" s="17" t="str">
        <f>IFERROR(INDEX(逆引き作成用!$C$2:$C$169,MATCH($B187&amp;"/"&amp;$C187,逆引き作成用!AR$2:AR$169,FALSE),1),"")</f>
        <v/>
      </c>
      <c r="AS187" s="17" t="str">
        <f>IFERROR(INDEX(逆引き作成用!$C$2:$C$169,MATCH($B187&amp;"/"&amp;$C187,逆引き作成用!AS$2:AS$169,FALSE),1),"")</f>
        <v/>
      </c>
      <c r="AT187" s="17" t="str">
        <f>IFERROR(INDEX(逆引き作成用!$C$2:$C$169,MATCH($B187&amp;"/"&amp;$C187,逆引き作成用!AT$2:AT$169,FALSE),1),"")</f>
        <v/>
      </c>
      <c r="AU187" s="17" t="str">
        <f>IFERROR(INDEX(逆引き作成用!$C$2:$C$169,MATCH($B187&amp;"/"&amp;$C187,逆引き作成用!AU$2:AU$169,FALSE),1),"")</f>
        <v/>
      </c>
      <c r="AV187" s="17" t="str">
        <f>IFERROR(INDEX(逆引き作成用!$C$2:$C$169,MATCH($B187&amp;"/"&amp;$C187,逆引き作成用!AV$2:AV$169,FALSE),1),"")</f>
        <v/>
      </c>
      <c r="AW187" s="17" t="str">
        <f>IFERROR(INDEX(逆引き作成用!$C$2:$C$169,MATCH($B187&amp;"/"&amp;$C187,逆引き作成用!AW$2:AW$169,FALSE),1),"")</f>
        <v/>
      </c>
      <c r="AX187" s="17" t="str">
        <f>IFERROR(INDEX(逆引き作成用!$C$2:$C$169,MATCH($B187&amp;"/"&amp;$C187,逆引き作成用!AX$2:AX$169,FALSE),1),"")</f>
        <v/>
      </c>
      <c r="AY187" s="17" t="str">
        <f>IFERROR(INDEX(逆引き作成用!$C$2:$C$169,MATCH($B187&amp;"/"&amp;$C187,逆引き作成用!AY$2:AY$169,FALSE),1),"")</f>
        <v/>
      </c>
      <c r="AZ187" s="17" t="str">
        <f>IFERROR(INDEX(逆引き作成用!$C$2:$C$169,MATCH($B187&amp;"/"&amp;$C187,逆引き作成用!AZ$2:AZ$169,FALSE),1),"")</f>
        <v/>
      </c>
      <c r="BA187" s="17" t="str">
        <f>IFERROR(INDEX(逆引き作成用!$C$2:$C$169,MATCH($B187&amp;"/"&amp;$C187,逆引き作成用!BA$2:BA$169,FALSE),1),"")</f>
        <v/>
      </c>
    </row>
    <row r="188" spans="1:53">
      <c r="A188" s="17" t="str">
        <f>IFERROR(INDEX(役職一覧!$B$2:$B$31,MATCH(B188,役職一覧!$C$2:$C$31,FALSE),1),"")</f>
        <v/>
      </c>
      <c r="B188" s="17" t="str">
        <f>IFERROR(IF(C188=1,INDEX(役職一覧!$C$2:$C$31,MATCH(逆引き!B187,役職一覧!$C$2:$C$31,FALSE)+1,1)&amp;"",B187),"")</f>
        <v/>
      </c>
      <c r="C188" s="17" t="str">
        <f>IFERROR(IF(VLOOKUP(B187,役職一覧!$C$2:$E$31,3,FALSE)=C187,1,C187+1),"")</f>
        <v/>
      </c>
      <c r="D188" s="17" t="str">
        <f>IFERROR(INDEX(逆引き作成用!$C$2:$C$169,MATCH($B188&amp;"/"&amp;$C188,逆引き作成用!D$2:D$169,FALSE),1),"")</f>
        <v/>
      </c>
      <c r="E188" s="17" t="str">
        <f>IFERROR(INDEX(逆引き作成用!$C$2:$C$169,MATCH($B188&amp;"/"&amp;$C188,逆引き作成用!E$2:E$169,FALSE),1),"")</f>
        <v/>
      </c>
      <c r="F188" s="17" t="str">
        <f>IFERROR(INDEX(逆引き作成用!$C$2:$C$169,MATCH($B188&amp;"/"&amp;$C188,逆引き作成用!F$2:F$169,FALSE),1),"")</f>
        <v/>
      </c>
      <c r="G188" s="17" t="str">
        <f>IFERROR(INDEX(逆引き作成用!$C$2:$C$169,MATCH($B188&amp;"/"&amp;$C188,逆引き作成用!G$2:G$169,FALSE),1),"")</f>
        <v/>
      </c>
      <c r="H188" s="17" t="str">
        <f>IFERROR(INDEX(逆引き作成用!$C$2:$C$169,MATCH($B188&amp;"/"&amp;$C188,逆引き作成用!H$2:H$169,FALSE),1),"")</f>
        <v/>
      </c>
      <c r="I188" s="17" t="str">
        <f>IFERROR(INDEX(逆引き作成用!$C$2:$C$169,MATCH($B188&amp;"/"&amp;$C188,逆引き作成用!I$2:I$169,FALSE),1),"")</f>
        <v/>
      </c>
      <c r="J188" s="17" t="str">
        <f>IFERROR(INDEX(逆引き作成用!$C$2:$C$169,MATCH($B188&amp;"/"&amp;$C188,逆引き作成用!J$2:J$169,FALSE),1),"")</f>
        <v/>
      </c>
      <c r="K188" s="17" t="str">
        <f>IFERROR(INDEX(逆引き作成用!$C$2:$C$169,MATCH($B188&amp;"/"&amp;$C188,逆引き作成用!K$2:K$169,FALSE),1),"")</f>
        <v/>
      </c>
      <c r="L188" s="17" t="str">
        <f>IFERROR(INDEX(逆引き作成用!$C$2:$C$169,MATCH($B188&amp;"/"&amp;$C188,逆引き作成用!L$2:L$169,FALSE),1),"")</f>
        <v/>
      </c>
      <c r="M188" s="17" t="str">
        <f>IFERROR(INDEX(逆引き作成用!$C$2:$C$169,MATCH($B188&amp;"/"&amp;$C188,逆引き作成用!M$2:M$169,FALSE),1),"")</f>
        <v/>
      </c>
      <c r="N188" s="17" t="str">
        <f>IFERROR(INDEX(逆引き作成用!$C$2:$C$169,MATCH($B188&amp;"/"&amp;$C188,逆引き作成用!N$2:N$169,FALSE),1),"")</f>
        <v/>
      </c>
      <c r="O188" s="17" t="str">
        <f>IFERROR(INDEX(逆引き作成用!$C$2:$C$169,MATCH($B188&amp;"/"&amp;$C188,逆引き作成用!O$2:O$169,FALSE),1),"")</f>
        <v/>
      </c>
      <c r="P188" s="17" t="str">
        <f>IFERROR(INDEX(逆引き作成用!$C$2:$C$169,MATCH($B188&amp;"/"&amp;$C188,逆引き作成用!P$2:P$169,FALSE),1),"")</f>
        <v/>
      </c>
      <c r="Q188" s="17" t="str">
        <f>IFERROR(INDEX(逆引き作成用!$C$2:$C$169,MATCH($B188&amp;"/"&amp;$C188,逆引き作成用!Q$2:Q$169,FALSE),1),"")</f>
        <v/>
      </c>
      <c r="R188" s="17" t="str">
        <f>IFERROR(INDEX(逆引き作成用!$C$2:$C$169,MATCH($B188&amp;"/"&amp;$C188,逆引き作成用!R$2:R$169,FALSE),1),"")</f>
        <v/>
      </c>
      <c r="S188" s="17" t="str">
        <f>IFERROR(INDEX(逆引き作成用!$C$2:$C$169,MATCH($B188&amp;"/"&amp;$C188,逆引き作成用!S$2:S$169,FALSE),1),"")</f>
        <v/>
      </c>
      <c r="T188" s="17" t="str">
        <f>IFERROR(INDEX(逆引き作成用!$C$2:$C$169,MATCH($B188&amp;"/"&amp;$C188,逆引き作成用!T$2:T$169,FALSE),1),"")</f>
        <v/>
      </c>
      <c r="U188" s="17" t="str">
        <f>IFERROR(INDEX(逆引き作成用!$C$2:$C$169,MATCH($B188&amp;"/"&amp;$C188,逆引き作成用!U$2:U$169,FALSE),1),"")</f>
        <v/>
      </c>
      <c r="V188" s="17" t="str">
        <f>IFERROR(INDEX(逆引き作成用!$C$2:$C$169,MATCH($B188&amp;"/"&amp;$C188,逆引き作成用!V$2:V$169,FALSE),1),"")</f>
        <v/>
      </c>
      <c r="W188" s="17" t="str">
        <f>IFERROR(INDEX(逆引き作成用!$C$2:$C$169,MATCH($B188&amp;"/"&amp;$C188,逆引き作成用!W$2:W$169,FALSE),1),"")</f>
        <v/>
      </c>
      <c r="X188" s="17" t="str">
        <f>IFERROR(INDEX(逆引き作成用!$C$2:$C$169,MATCH($B188&amp;"/"&amp;$C188,逆引き作成用!X$2:X$169,FALSE),1),"")</f>
        <v/>
      </c>
      <c r="Y188" s="17" t="str">
        <f>IFERROR(INDEX(逆引き作成用!$C$2:$C$169,MATCH($B188&amp;"/"&amp;$C188,逆引き作成用!Y$2:Y$169,FALSE),1),"")</f>
        <v/>
      </c>
      <c r="Z188" s="17" t="str">
        <f>IFERROR(INDEX(逆引き作成用!$C$2:$C$169,MATCH($B188&amp;"/"&amp;$C188,逆引き作成用!Z$2:Z$169,FALSE),1),"")</f>
        <v/>
      </c>
      <c r="AA188" s="17" t="str">
        <f>IFERROR(INDEX(逆引き作成用!$C$2:$C$169,MATCH($B188&amp;"/"&amp;$C188,逆引き作成用!AA$2:AA$169,FALSE),1),"")</f>
        <v/>
      </c>
      <c r="AB188" s="17" t="str">
        <f>IFERROR(INDEX(逆引き作成用!$C$2:$C$169,MATCH($B188&amp;"/"&amp;$C188,逆引き作成用!AB$2:AB$169,FALSE),1),"")</f>
        <v/>
      </c>
      <c r="AC188" s="17" t="str">
        <f>IFERROR(INDEX(逆引き作成用!$C$2:$C$169,MATCH($B188&amp;"/"&amp;$C188,逆引き作成用!AC$2:AC$169,FALSE),1),"")</f>
        <v/>
      </c>
      <c r="AD188" s="17" t="str">
        <f>IFERROR(INDEX(逆引き作成用!$C$2:$C$169,MATCH($B188&amp;"/"&amp;$C188,逆引き作成用!AD$2:AD$169,FALSE),1),"")</f>
        <v/>
      </c>
      <c r="AE188" s="17" t="str">
        <f>IFERROR(INDEX(逆引き作成用!$C$2:$C$169,MATCH($B188&amp;"/"&amp;$C188,逆引き作成用!AE$2:AE$169,FALSE),1),"")</f>
        <v/>
      </c>
      <c r="AF188" s="17" t="str">
        <f>IFERROR(INDEX(逆引き作成用!$C$2:$C$169,MATCH($B188&amp;"/"&amp;$C188,逆引き作成用!AF$2:AF$169,FALSE),1),"")</f>
        <v/>
      </c>
      <c r="AG188" s="17" t="str">
        <f>IFERROR(INDEX(逆引き作成用!$C$2:$C$169,MATCH($B188&amp;"/"&amp;$C188,逆引き作成用!AG$2:AG$169,FALSE),1),"")</f>
        <v/>
      </c>
      <c r="AH188" s="17" t="str">
        <f>IFERROR(INDEX(逆引き作成用!$C$2:$C$169,MATCH($B188&amp;"/"&amp;$C188,逆引き作成用!AH$2:AH$169,FALSE),1),"")</f>
        <v/>
      </c>
      <c r="AI188" s="17" t="str">
        <f>IFERROR(INDEX(逆引き作成用!$C$2:$C$169,MATCH($B188&amp;"/"&amp;$C188,逆引き作成用!AI$2:AI$169,FALSE),1),"")</f>
        <v/>
      </c>
      <c r="AJ188" s="17" t="str">
        <f>IFERROR(INDEX(逆引き作成用!$C$2:$C$169,MATCH($B188&amp;"/"&amp;$C188,逆引き作成用!AJ$2:AJ$169,FALSE),1),"")</f>
        <v/>
      </c>
      <c r="AK188" s="17" t="str">
        <f>IFERROR(INDEX(逆引き作成用!$C$2:$C$169,MATCH($B188&amp;"/"&amp;$C188,逆引き作成用!AK$2:AK$169,FALSE),1),"")</f>
        <v/>
      </c>
      <c r="AL188" s="17" t="str">
        <f>IFERROR(INDEX(逆引き作成用!$C$2:$C$169,MATCH($B188&amp;"/"&amp;$C188,逆引き作成用!AL$2:AL$169,FALSE),1),"")</f>
        <v/>
      </c>
      <c r="AM188" s="17" t="str">
        <f>IFERROR(INDEX(逆引き作成用!$C$2:$C$169,MATCH($B188&amp;"/"&amp;$C188,逆引き作成用!AM$2:AM$169,FALSE),1),"")</f>
        <v/>
      </c>
      <c r="AN188" s="17" t="str">
        <f>IFERROR(INDEX(逆引き作成用!$C$2:$C$169,MATCH($B188&amp;"/"&amp;$C188,逆引き作成用!AN$2:AN$169,FALSE),1),"")</f>
        <v/>
      </c>
      <c r="AO188" s="17" t="str">
        <f>IFERROR(INDEX(逆引き作成用!$C$2:$C$169,MATCH($B188&amp;"/"&amp;$C188,逆引き作成用!AO$2:AO$169,FALSE),1),"")</f>
        <v/>
      </c>
      <c r="AP188" s="17" t="str">
        <f>IFERROR(INDEX(逆引き作成用!$C$2:$C$169,MATCH($B188&amp;"/"&amp;$C188,逆引き作成用!AP$2:AP$169,FALSE),1),"")</f>
        <v/>
      </c>
      <c r="AQ188" s="17" t="str">
        <f>IFERROR(INDEX(逆引き作成用!$C$2:$C$169,MATCH($B188&amp;"/"&amp;$C188,逆引き作成用!AQ$2:AQ$169,FALSE),1),"")</f>
        <v/>
      </c>
      <c r="AR188" s="17" t="str">
        <f>IFERROR(INDEX(逆引き作成用!$C$2:$C$169,MATCH($B188&amp;"/"&amp;$C188,逆引き作成用!AR$2:AR$169,FALSE),1),"")</f>
        <v/>
      </c>
      <c r="AS188" s="17" t="str">
        <f>IFERROR(INDEX(逆引き作成用!$C$2:$C$169,MATCH($B188&amp;"/"&amp;$C188,逆引き作成用!AS$2:AS$169,FALSE),1),"")</f>
        <v/>
      </c>
      <c r="AT188" s="17" t="str">
        <f>IFERROR(INDEX(逆引き作成用!$C$2:$C$169,MATCH($B188&amp;"/"&amp;$C188,逆引き作成用!AT$2:AT$169,FALSE),1),"")</f>
        <v/>
      </c>
      <c r="AU188" s="17" t="str">
        <f>IFERROR(INDEX(逆引き作成用!$C$2:$C$169,MATCH($B188&amp;"/"&amp;$C188,逆引き作成用!AU$2:AU$169,FALSE),1),"")</f>
        <v/>
      </c>
      <c r="AV188" s="17" t="str">
        <f>IFERROR(INDEX(逆引き作成用!$C$2:$C$169,MATCH($B188&amp;"/"&amp;$C188,逆引き作成用!AV$2:AV$169,FALSE),1),"")</f>
        <v/>
      </c>
      <c r="AW188" s="17" t="str">
        <f>IFERROR(INDEX(逆引き作成用!$C$2:$C$169,MATCH($B188&amp;"/"&amp;$C188,逆引き作成用!AW$2:AW$169,FALSE),1),"")</f>
        <v/>
      </c>
      <c r="AX188" s="17" t="str">
        <f>IFERROR(INDEX(逆引き作成用!$C$2:$C$169,MATCH($B188&amp;"/"&amp;$C188,逆引き作成用!AX$2:AX$169,FALSE),1),"")</f>
        <v/>
      </c>
      <c r="AY188" s="17" t="str">
        <f>IFERROR(INDEX(逆引き作成用!$C$2:$C$169,MATCH($B188&amp;"/"&amp;$C188,逆引き作成用!AY$2:AY$169,FALSE),1),"")</f>
        <v/>
      </c>
      <c r="AZ188" s="17" t="str">
        <f>IFERROR(INDEX(逆引き作成用!$C$2:$C$169,MATCH($B188&amp;"/"&amp;$C188,逆引き作成用!AZ$2:AZ$169,FALSE),1),"")</f>
        <v/>
      </c>
      <c r="BA188" s="17" t="str">
        <f>IFERROR(INDEX(逆引き作成用!$C$2:$C$169,MATCH($B188&amp;"/"&amp;$C188,逆引き作成用!BA$2:BA$169,FALSE),1),"")</f>
        <v/>
      </c>
    </row>
    <row r="189" spans="1:53">
      <c r="A189" s="17" t="str">
        <f>IFERROR(INDEX(役職一覧!$B$2:$B$31,MATCH(B189,役職一覧!$C$2:$C$31,FALSE),1),"")</f>
        <v/>
      </c>
      <c r="B189" s="17" t="str">
        <f>IFERROR(IF(C189=1,INDEX(役職一覧!$C$2:$C$31,MATCH(逆引き!B188,役職一覧!$C$2:$C$31,FALSE)+1,1)&amp;"",B188),"")</f>
        <v/>
      </c>
      <c r="C189" s="17" t="str">
        <f>IFERROR(IF(VLOOKUP(B188,役職一覧!$C$2:$E$31,3,FALSE)=C188,1,C188+1),"")</f>
        <v/>
      </c>
      <c r="D189" s="17" t="str">
        <f>IFERROR(INDEX(逆引き作成用!$C$2:$C$169,MATCH($B189&amp;"/"&amp;$C189,逆引き作成用!D$2:D$169,FALSE),1),"")</f>
        <v/>
      </c>
      <c r="E189" s="17" t="str">
        <f>IFERROR(INDEX(逆引き作成用!$C$2:$C$169,MATCH($B189&amp;"/"&amp;$C189,逆引き作成用!E$2:E$169,FALSE),1),"")</f>
        <v/>
      </c>
      <c r="F189" s="17" t="str">
        <f>IFERROR(INDEX(逆引き作成用!$C$2:$C$169,MATCH($B189&amp;"/"&amp;$C189,逆引き作成用!F$2:F$169,FALSE),1),"")</f>
        <v/>
      </c>
      <c r="G189" s="17" t="str">
        <f>IFERROR(INDEX(逆引き作成用!$C$2:$C$169,MATCH($B189&amp;"/"&amp;$C189,逆引き作成用!G$2:G$169,FALSE),1),"")</f>
        <v/>
      </c>
      <c r="H189" s="17" t="str">
        <f>IFERROR(INDEX(逆引き作成用!$C$2:$C$169,MATCH($B189&amp;"/"&amp;$C189,逆引き作成用!H$2:H$169,FALSE),1),"")</f>
        <v/>
      </c>
      <c r="I189" s="17" t="str">
        <f>IFERROR(INDEX(逆引き作成用!$C$2:$C$169,MATCH($B189&amp;"/"&amp;$C189,逆引き作成用!I$2:I$169,FALSE),1),"")</f>
        <v/>
      </c>
      <c r="J189" s="17" t="str">
        <f>IFERROR(INDEX(逆引き作成用!$C$2:$C$169,MATCH($B189&amp;"/"&amp;$C189,逆引き作成用!J$2:J$169,FALSE),1),"")</f>
        <v/>
      </c>
      <c r="K189" s="17" t="str">
        <f>IFERROR(INDEX(逆引き作成用!$C$2:$C$169,MATCH($B189&amp;"/"&amp;$C189,逆引き作成用!K$2:K$169,FALSE),1),"")</f>
        <v/>
      </c>
      <c r="L189" s="17" t="str">
        <f>IFERROR(INDEX(逆引き作成用!$C$2:$C$169,MATCH($B189&amp;"/"&amp;$C189,逆引き作成用!L$2:L$169,FALSE),1),"")</f>
        <v/>
      </c>
      <c r="M189" s="17" t="str">
        <f>IFERROR(INDEX(逆引き作成用!$C$2:$C$169,MATCH($B189&amp;"/"&amp;$C189,逆引き作成用!M$2:M$169,FALSE),1),"")</f>
        <v/>
      </c>
      <c r="N189" s="17" t="str">
        <f>IFERROR(INDEX(逆引き作成用!$C$2:$C$169,MATCH($B189&amp;"/"&amp;$C189,逆引き作成用!N$2:N$169,FALSE),1),"")</f>
        <v/>
      </c>
      <c r="O189" s="17" t="str">
        <f>IFERROR(INDEX(逆引き作成用!$C$2:$C$169,MATCH($B189&amp;"/"&amp;$C189,逆引き作成用!O$2:O$169,FALSE),1),"")</f>
        <v/>
      </c>
      <c r="P189" s="17" t="str">
        <f>IFERROR(INDEX(逆引き作成用!$C$2:$C$169,MATCH($B189&amp;"/"&amp;$C189,逆引き作成用!P$2:P$169,FALSE),1),"")</f>
        <v/>
      </c>
      <c r="Q189" s="17" t="str">
        <f>IFERROR(INDEX(逆引き作成用!$C$2:$C$169,MATCH($B189&amp;"/"&amp;$C189,逆引き作成用!Q$2:Q$169,FALSE),1),"")</f>
        <v/>
      </c>
      <c r="R189" s="17" t="str">
        <f>IFERROR(INDEX(逆引き作成用!$C$2:$C$169,MATCH($B189&amp;"/"&amp;$C189,逆引き作成用!R$2:R$169,FALSE),1),"")</f>
        <v/>
      </c>
      <c r="S189" s="17" t="str">
        <f>IFERROR(INDEX(逆引き作成用!$C$2:$C$169,MATCH($B189&amp;"/"&amp;$C189,逆引き作成用!S$2:S$169,FALSE),1),"")</f>
        <v/>
      </c>
      <c r="T189" s="17" t="str">
        <f>IFERROR(INDEX(逆引き作成用!$C$2:$C$169,MATCH($B189&amp;"/"&amp;$C189,逆引き作成用!T$2:T$169,FALSE),1),"")</f>
        <v/>
      </c>
      <c r="U189" s="17" t="str">
        <f>IFERROR(INDEX(逆引き作成用!$C$2:$C$169,MATCH($B189&amp;"/"&amp;$C189,逆引き作成用!U$2:U$169,FALSE),1),"")</f>
        <v/>
      </c>
      <c r="V189" s="17" t="str">
        <f>IFERROR(INDEX(逆引き作成用!$C$2:$C$169,MATCH($B189&amp;"/"&amp;$C189,逆引き作成用!V$2:V$169,FALSE),1),"")</f>
        <v/>
      </c>
      <c r="W189" s="17" t="str">
        <f>IFERROR(INDEX(逆引き作成用!$C$2:$C$169,MATCH($B189&amp;"/"&amp;$C189,逆引き作成用!W$2:W$169,FALSE),1),"")</f>
        <v/>
      </c>
      <c r="X189" s="17" t="str">
        <f>IFERROR(INDEX(逆引き作成用!$C$2:$C$169,MATCH($B189&amp;"/"&amp;$C189,逆引き作成用!X$2:X$169,FALSE),1),"")</f>
        <v/>
      </c>
      <c r="Y189" s="17" t="str">
        <f>IFERROR(INDEX(逆引き作成用!$C$2:$C$169,MATCH($B189&amp;"/"&amp;$C189,逆引き作成用!Y$2:Y$169,FALSE),1),"")</f>
        <v/>
      </c>
      <c r="Z189" s="17" t="str">
        <f>IFERROR(INDEX(逆引き作成用!$C$2:$C$169,MATCH($B189&amp;"/"&amp;$C189,逆引き作成用!Z$2:Z$169,FALSE),1),"")</f>
        <v/>
      </c>
      <c r="AA189" s="17" t="str">
        <f>IFERROR(INDEX(逆引き作成用!$C$2:$C$169,MATCH($B189&amp;"/"&amp;$C189,逆引き作成用!AA$2:AA$169,FALSE),1),"")</f>
        <v/>
      </c>
      <c r="AB189" s="17" t="str">
        <f>IFERROR(INDEX(逆引き作成用!$C$2:$C$169,MATCH($B189&amp;"/"&amp;$C189,逆引き作成用!AB$2:AB$169,FALSE),1),"")</f>
        <v/>
      </c>
      <c r="AC189" s="17" t="str">
        <f>IFERROR(INDEX(逆引き作成用!$C$2:$C$169,MATCH($B189&amp;"/"&amp;$C189,逆引き作成用!AC$2:AC$169,FALSE),1),"")</f>
        <v/>
      </c>
      <c r="AD189" s="17" t="str">
        <f>IFERROR(INDEX(逆引き作成用!$C$2:$C$169,MATCH($B189&amp;"/"&amp;$C189,逆引き作成用!AD$2:AD$169,FALSE),1),"")</f>
        <v/>
      </c>
      <c r="AE189" s="17" t="str">
        <f>IFERROR(INDEX(逆引き作成用!$C$2:$C$169,MATCH($B189&amp;"/"&amp;$C189,逆引き作成用!AE$2:AE$169,FALSE),1),"")</f>
        <v/>
      </c>
      <c r="AF189" s="17" t="str">
        <f>IFERROR(INDEX(逆引き作成用!$C$2:$C$169,MATCH($B189&amp;"/"&amp;$C189,逆引き作成用!AF$2:AF$169,FALSE),1),"")</f>
        <v/>
      </c>
      <c r="AG189" s="17" t="str">
        <f>IFERROR(INDEX(逆引き作成用!$C$2:$C$169,MATCH($B189&amp;"/"&amp;$C189,逆引き作成用!AG$2:AG$169,FALSE),1),"")</f>
        <v/>
      </c>
      <c r="AH189" s="17" t="str">
        <f>IFERROR(INDEX(逆引き作成用!$C$2:$C$169,MATCH($B189&amp;"/"&amp;$C189,逆引き作成用!AH$2:AH$169,FALSE),1),"")</f>
        <v/>
      </c>
      <c r="AI189" s="17" t="str">
        <f>IFERROR(INDEX(逆引き作成用!$C$2:$C$169,MATCH($B189&amp;"/"&amp;$C189,逆引き作成用!AI$2:AI$169,FALSE),1),"")</f>
        <v/>
      </c>
      <c r="AJ189" s="17" t="str">
        <f>IFERROR(INDEX(逆引き作成用!$C$2:$C$169,MATCH($B189&amp;"/"&amp;$C189,逆引き作成用!AJ$2:AJ$169,FALSE),1),"")</f>
        <v/>
      </c>
      <c r="AK189" s="17" t="str">
        <f>IFERROR(INDEX(逆引き作成用!$C$2:$C$169,MATCH($B189&amp;"/"&amp;$C189,逆引き作成用!AK$2:AK$169,FALSE),1),"")</f>
        <v/>
      </c>
      <c r="AL189" s="17" t="str">
        <f>IFERROR(INDEX(逆引き作成用!$C$2:$C$169,MATCH($B189&amp;"/"&amp;$C189,逆引き作成用!AL$2:AL$169,FALSE),1),"")</f>
        <v/>
      </c>
      <c r="AM189" s="17" t="str">
        <f>IFERROR(INDEX(逆引き作成用!$C$2:$C$169,MATCH($B189&amp;"/"&amp;$C189,逆引き作成用!AM$2:AM$169,FALSE),1),"")</f>
        <v/>
      </c>
      <c r="AN189" s="17" t="str">
        <f>IFERROR(INDEX(逆引き作成用!$C$2:$C$169,MATCH($B189&amp;"/"&amp;$C189,逆引き作成用!AN$2:AN$169,FALSE),1),"")</f>
        <v/>
      </c>
      <c r="AO189" s="17" t="str">
        <f>IFERROR(INDEX(逆引き作成用!$C$2:$C$169,MATCH($B189&amp;"/"&amp;$C189,逆引き作成用!AO$2:AO$169,FALSE),1),"")</f>
        <v/>
      </c>
      <c r="AP189" s="17" t="str">
        <f>IFERROR(INDEX(逆引き作成用!$C$2:$C$169,MATCH($B189&amp;"/"&amp;$C189,逆引き作成用!AP$2:AP$169,FALSE),1),"")</f>
        <v/>
      </c>
      <c r="AQ189" s="17" t="str">
        <f>IFERROR(INDEX(逆引き作成用!$C$2:$C$169,MATCH($B189&amp;"/"&amp;$C189,逆引き作成用!AQ$2:AQ$169,FALSE),1),"")</f>
        <v/>
      </c>
      <c r="AR189" s="17" t="str">
        <f>IFERROR(INDEX(逆引き作成用!$C$2:$C$169,MATCH($B189&amp;"/"&amp;$C189,逆引き作成用!AR$2:AR$169,FALSE),1),"")</f>
        <v/>
      </c>
      <c r="AS189" s="17" t="str">
        <f>IFERROR(INDEX(逆引き作成用!$C$2:$C$169,MATCH($B189&amp;"/"&amp;$C189,逆引き作成用!AS$2:AS$169,FALSE),1),"")</f>
        <v/>
      </c>
      <c r="AT189" s="17" t="str">
        <f>IFERROR(INDEX(逆引き作成用!$C$2:$C$169,MATCH($B189&amp;"/"&amp;$C189,逆引き作成用!AT$2:AT$169,FALSE),1),"")</f>
        <v/>
      </c>
      <c r="AU189" s="17" t="str">
        <f>IFERROR(INDEX(逆引き作成用!$C$2:$C$169,MATCH($B189&amp;"/"&amp;$C189,逆引き作成用!AU$2:AU$169,FALSE),1),"")</f>
        <v/>
      </c>
      <c r="AV189" s="17" t="str">
        <f>IFERROR(INDEX(逆引き作成用!$C$2:$C$169,MATCH($B189&amp;"/"&amp;$C189,逆引き作成用!AV$2:AV$169,FALSE),1),"")</f>
        <v/>
      </c>
      <c r="AW189" s="17" t="str">
        <f>IFERROR(INDEX(逆引き作成用!$C$2:$C$169,MATCH($B189&amp;"/"&amp;$C189,逆引き作成用!AW$2:AW$169,FALSE),1),"")</f>
        <v/>
      </c>
      <c r="AX189" s="17" t="str">
        <f>IFERROR(INDEX(逆引き作成用!$C$2:$C$169,MATCH($B189&amp;"/"&amp;$C189,逆引き作成用!AX$2:AX$169,FALSE),1),"")</f>
        <v/>
      </c>
      <c r="AY189" s="17" t="str">
        <f>IFERROR(INDEX(逆引き作成用!$C$2:$C$169,MATCH($B189&amp;"/"&amp;$C189,逆引き作成用!AY$2:AY$169,FALSE),1),"")</f>
        <v/>
      </c>
      <c r="AZ189" s="17" t="str">
        <f>IFERROR(INDEX(逆引き作成用!$C$2:$C$169,MATCH($B189&amp;"/"&amp;$C189,逆引き作成用!AZ$2:AZ$169,FALSE),1),"")</f>
        <v/>
      </c>
      <c r="BA189" s="17" t="str">
        <f>IFERROR(INDEX(逆引き作成用!$C$2:$C$169,MATCH($B189&amp;"/"&amp;$C189,逆引き作成用!BA$2:BA$169,FALSE),1),"")</f>
        <v/>
      </c>
    </row>
    <row r="190" spans="1:53">
      <c r="A190" s="17" t="str">
        <f>IFERROR(INDEX(役職一覧!$B$2:$B$31,MATCH(B190,役職一覧!$C$2:$C$31,FALSE),1),"")</f>
        <v/>
      </c>
      <c r="B190" s="17" t="str">
        <f>IFERROR(IF(C190=1,INDEX(役職一覧!$C$2:$C$31,MATCH(逆引き!B189,役職一覧!$C$2:$C$31,FALSE)+1,1)&amp;"",B189),"")</f>
        <v/>
      </c>
      <c r="C190" s="17" t="str">
        <f>IFERROR(IF(VLOOKUP(B189,役職一覧!$C$2:$E$31,3,FALSE)=C189,1,C189+1),"")</f>
        <v/>
      </c>
      <c r="D190" s="17" t="str">
        <f>IFERROR(INDEX(逆引き作成用!$C$2:$C$169,MATCH($B190&amp;"/"&amp;$C190,逆引き作成用!D$2:D$169,FALSE),1),"")</f>
        <v/>
      </c>
      <c r="E190" s="17" t="str">
        <f>IFERROR(INDEX(逆引き作成用!$C$2:$C$169,MATCH($B190&amp;"/"&amp;$C190,逆引き作成用!E$2:E$169,FALSE),1),"")</f>
        <v/>
      </c>
      <c r="F190" s="17" t="str">
        <f>IFERROR(INDEX(逆引き作成用!$C$2:$C$169,MATCH($B190&amp;"/"&amp;$C190,逆引き作成用!F$2:F$169,FALSE),1),"")</f>
        <v/>
      </c>
      <c r="G190" s="17" t="str">
        <f>IFERROR(INDEX(逆引き作成用!$C$2:$C$169,MATCH($B190&amp;"/"&amp;$C190,逆引き作成用!G$2:G$169,FALSE),1),"")</f>
        <v/>
      </c>
      <c r="H190" s="17" t="str">
        <f>IFERROR(INDEX(逆引き作成用!$C$2:$C$169,MATCH($B190&amp;"/"&amp;$C190,逆引き作成用!H$2:H$169,FALSE),1),"")</f>
        <v/>
      </c>
      <c r="I190" s="17" t="str">
        <f>IFERROR(INDEX(逆引き作成用!$C$2:$C$169,MATCH($B190&amp;"/"&amp;$C190,逆引き作成用!I$2:I$169,FALSE),1),"")</f>
        <v/>
      </c>
      <c r="J190" s="17" t="str">
        <f>IFERROR(INDEX(逆引き作成用!$C$2:$C$169,MATCH($B190&amp;"/"&amp;$C190,逆引き作成用!J$2:J$169,FALSE),1),"")</f>
        <v/>
      </c>
      <c r="K190" s="17" t="str">
        <f>IFERROR(INDEX(逆引き作成用!$C$2:$C$169,MATCH($B190&amp;"/"&amp;$C190,逆引き作成用!K$2:K$169,FALSE),1),"")</f>
        <v/>
      </c>
      <c r="L190" s="17" t="str">
        <f>IFERROR(INDEX(逆引き作成用!$C$2:$C$169,MATCH($B190&amp;"/"&amp;$C190,逆引き作成用!L$2:L$169,FALSE),1),"")</f>
        <v/>
      </c>
      <c r="M190" s="17" t="str">
        <f>IFERROR(INDEX(逆引き作成用!$C$2:$C$169,MATCH($B190&amp;"/"&amp;$C190,逆引き作成用!M$2:M$169,FALSE),1),"")</f>
        <v/>
      </c>
      <c r="N190" s="17" t="str">
        <f>IFERROR(INDEX(逆引き作成用!$C$2:$C$169,MATCH($B190&amp;"/"&amp;$C190,逆引き作成用!N$2:N$169,FALSE),1),"")</f>
        <v/>
      </c>
      <c r="O190" s="17" t="str">
        <f>IFERROR(INDEX(逆引き作成用!$C$2:$C$169,MATCH($B190&amp;"/"&amp;$C190,逆引き作成用!O$2:O$169,FALSE),1),"")</f>
        <v/>
      </c>
      <c r="P190" s="17" t="str">
        <f>IFERROR(INDEX(逆引き作成用!$C$2:$C$169,MATCH($B190&amp;"/"&amp;$C190,逆引き作成用!P$2:P$169,FALSE),1),"")</f>
        <v/>
      </c>
      <c r="Q190" s="17" t="str">
        <f>IFERROR(INDEX(逆引き作成用!$C$2:$C$169,MATCH($B190&amp;"/"&amp;$C190,逆引き作成用!Q$2:Q$169,FALSE),1),"")</f>
        <v/>
      </c>
      <c r="R190" s="17" t="str">
        <f>IFERROR(INDEX(逆引き作成用!$C$2:$C$169,MATCH($B190&amp;"/"&amp;$C190,逆引き作成用!R$2:R$169,FALSE),1),"")</f>
        <v/>
      </c>
      <c r="S190" s="17" t="str">
        <f>IFERROR(INDEX(逆引き作成用!$C$2:$C$169,MATCH($B190&amp;"/"&amp;$C190,逆引き作成用!S$2:S$169,FALSE),1),"")</f>
        <v/>
      </c>
      <c r="T190" s="17" t="str">
        <f>IFERROR(INDEX(逆引き作成用!$C$2:$C$169,MATCH($B190&amp;"/"&amp;$C190,逆引き作成用!T$2:T$169,FALSE),1),"")</f>
        <v/>
      </c>
      <c r="U190" s="17" t="str">
        <f>IFERROR(INDEX(逆引き作成用!$C$2:$C$169,MATCH($B190&amp;"/"&amp;$C190,逆引き作成用!U$2:U$169,FALSE),1),"")</f>
        <v/>
      </c>
      <c r="V190" s="17" t="str">
        <f>IFERROR(INDEX(逆引き作成用!$C$2:$C$169,MATCH($B190&amp;"/"&amp;$C190,逆引き作成用!V$2:V$169,FALSE),1),"")</f>
        <v/>
      </c>
      <c r="W190" s="17" t="str">
        <f>IFERROR(INDEX(逆引き作成用!$C$2:$C$169,MATCH($B190&amp;"/"&amp;$C190,逆引き作成用!W$2:W$169,FALSE),1),"")</f>
        <v/>
      </c>
      <c r="X190" s="17" t="str">
        <f>IFERROR(INDEX(逆引き作成用!$C$2:$C$169,MATCH($B190&amp;"/"&amp;$C190,逆引き作成用!X$2:X$169,FALSE),1),"")</f>
        <v/>
      </c>
      <c r="Y190" s="17" t="str">
        <f>IFERROR(INDEX(逆引き作成用!$C$2:$C$169,MATCH($B190&amp;"/"&amp;$C190,逆引き作成用!Y$2:Y$169,FALSE),1),"")</f>
        <v/>
      </c>
      <c r="Z190" s="17" t="str">
        <f>IFERROR(INDEX(逆引き作成用!$C$2:$C$169,MATCH($B190&amp;"/"&amp;$C190,逆引き作成用!Z$2:Z$169,FALSE),1),"")</f>
        <v/>
      </c>
      <c r="AA190" s="17" t="str">
        <f>IFERROR(INDEX(逆引き作成用!$C$2:$C$169,MATCH($B190&amp;"/"&amp;$C190,逆引き作成用!AA$2:AA$169,FALSE),1),"")</f>
        <v/>
      </c>
      <c r="AB190" s="17" t="str">
        <f>IFERROR(INDEX(逆引き作成用!$C$2:$C$169,MATCH($B190&amp;"/"&amp;$C190,逆引き作成用!AB$2:AB$169,FALSE),1),"")</f>
        <v/>
      </c>
      <c r="AC190" s="17" t="str">
        <f>IFERROR(INDEX(逆引き作成用!$C$2:$C$169,MATCH($B190&amp;"/"&amp;$C190,逆引き作成用!AC$2:AC$169,FALSE),1),"")</f>
        <v/>
      </c>
      <c r="AD190" s="17" t="str">
        <f>IFERROR(INDEX(逆引き作成用!$C$2:$C$169,MATCH($B190&amp;"/"&amp;$C190,逆引き作成用!AD$2:AD$169,FALSE),1),"")</f>
        <v/>
      </c>
      <c r="AE190" s="17" t="str">
        <f>IFERROR(INDEX(逆引き作成用!$C$2:$C$169,MATCH($B190&amp;"/"&amp;$C190,逆引き作成用!AE$2:AE$169,FALSE),1),"")</f>
        <v/>
      </c>
      <c r="AF190" s="17" t="str">
        <f>IFERROR(INDEX(逆引き作成用!$C$2:$C$169,MATCH($B190&amp;"/"&amp;$C190,逆引き作成用!AF$2:AF$169,FALSE),1),"")</f>
        <v/>
      </c>
      <c r="AG190" s="17" t="str">
        <f>IFERROR(INDEX(逆引き作成用!$C$2:$C$169,MATCH($B190&amp;"/"&amp;$C190,逆引き作成用!AG$2:AG$169,FALSE),1),"")</f>
        <v/>
      </c>
      <c r="AH190" s="17" t="str">
        <f>IFERROR(INDEX(逆引き作成用!$C$2:$C$169,MATCH($B190&amp;"/"&amp;$C190,逆引き作成用!AH$2:AH$169,FALSE),1),"")</f>
        <v/>
      </c>
      <c r="AI190" s="17" t="str">
        <f>IFERROR(INDEX(逆引き作成用!$C$2:$C$169,MATCH($B190&amp;"/"&amp;$C190,逆引き作成用!AI$2:AI$169,FALSE),1),"")</f>
        <v/>
      </c>
      <c r="AJ190" s="17" t="str">
        <f>IFERROR(INDEX(逆引き作成用!$C$2:$C$169,MATCH($B190&amp;"/"&amp;$C190,逆引き作成用!AJ$2:AJ$169,FALSE),1),"")</f>
        <v/>
      </c>
      <c r="AK190" s="17" t="str">
        <f>IFERROR(INDEX(逆引き作成用!$C$2:$C$169,MATCH($B190&amp;"/"&amp;$C190,逆引き作成用!AK$2:AK$169,FALSE),1),"")</f>
        <v/>
      </c>
      <c r="AL190" s="17" t="str">
        <f>IFERROR(INDEX(逆引き作成用!$C$2:$C$169,MATCH($B190&amp;"/"&amp;$C190,逆引き作成用!AL$2:AL$169,FALSE),1),"")</f>
        <v/>
      </c>
      <c r="AM190" s="17" t="str">
        <f>IFERROR(INDEX(逆引き作成用!$C$2:$C$169,MATCH($B190&amp;"/"&amp;$C190,逆引き作成用!AM$2:AM$169,FALSE),1),"")</f>
        <v/>
      </c>
      <c r="AN190" s="17" t="str">
        <f>IFERROR(INDEX(逆引き作成用!$C$2:$C$169,MATCH($B190&amp;"/"&amp;$C190,逆引き作成用!AN$2:AN$169,FALSE),1),"")</f>
        <v/>
      </c>
      <c r="AO190" s="17" t="str">
        <f>IFERROR(INDEX(逆引き作成用!$C$2:$C$169,MATCH($B190&amp;"/"&amp;$C190,逆引き作成用!AO$2:AO$169,FALSE),1),"")</f>
        <v/>
      </c>
      <c r="AP190" s="17" t="str">
        <f>IFERROR(INDEX(逆引き作成用!$C$2:$C$169,MATCH($B190&amp;"/"&amp;$C190,逆引き作成用!AP$2:AP$169,FALSE),1),"")</f>
        <v/>
      </c>
      <c r="AQ190" s="17" t="str">
        <f>IFERROR(INDEX(逆引き作成用!$C$2:$C$169,MATCH($B190&amp;"/"&amp;$C190,逆引き作成用!AQ$2:AQ$169,FALSE),1),"")</f>
        <v/>
      </c>
      <c r="AR190" s="17" t="str">
        <f>IFERROR(INDEX(逆引き作成用!$C$2:$C$169,MATCH($B190&amp;"/"&amp;$C190,逆引き作成用!AR$2:AR$169,FALSE),1),"")</f>
        <v/>
      </c>
      <c r="AS190" s="17" t="str">
        <f>IFERROR(INDEX(逆引き作成用!$C$2:$C$169,MATCH($B190&amp;"/"&amp;$C190,逆引き作成用!AS$2:AS$169,FALSE),1),"")</f>
        <v/>
      </c>
      <c r="AT190" s="17" t="str">
        <f>IFERROR(INDEX(逆引き作成用!$C$2:$C$169,MATCH($B190&amp;"/"&amp;$C190,逆引き作成用!AT$2:AT$169,FALSE),1),"")</f>
        <v/>
      </c>
      <c r="AU190" s="17" t="str">
        <f>IFERROR(INDEX(逆引き作成用!$C$2:$C$169,MATCH($B190&amp;"/"&amp;$C190,逆引き作成用!AU$2:AU$169,FALSE),1),"")</f>
        <v/>
      </c>
      <c r="AV190" s="17" t="str">
        <f>IFERROR(INDEX(逆引き作成用!$C$2:$C$169,MATCH($B190&amp;"/"&amp;$C190,逆引き作成用!AV$2:AV$169,FALSE),1),"")</f>
        <v/>
      </c>
      <c r="AW190" s="17" t="str">
        <f>IFERROR(INDEX(逆引き作成用!$C$2:$C$169,MATCH($B190&amp;"/"&amp;$C190,逆引き作成用!AW$2:AW$169,FALSE),1),"")</f>
        <v/>
      </c>
      <c r="AX190" s="17" t="str">
        <f>IFERROR(INDEX(逆引き作成用!$C$2:$C$169,MATCH($B190&amp;"/"&amp;$C190,逆引き作成用!AX$2:AX$169,FALSE),1),"")</f>
        <v/>
      </c>
      <c r="AY190" s="17" t="str">
        <f>IFERROR(INDEX(逆引き作成用!$C$2:$C$169,MATCH($B190&amp;"/"&amp;$C190,逆引き作成用!AY$2:AY$169,FALSE),1),"")</f>
        <v/>
      </c>
      <c r="AZ190" s="17" t="str">
        <f>IFERROR(INDEX(逆引き作成用!$C$2:$C$169,MATCH($B190&amp;"/"&amp;$C190,逆引き作成用!AZ$2:AZ$169,FALSE),1),"")</f>
        <v/>
      </c>
      <c r="BA190" s="17" t="str">
        <f>IFERROR(INDEX(逆引き作成用!$C$2:$C$169,MATCH($B190&amp;"/"&amp;$C190,逆引き作成用!BA$2:BA$169,FALSE),1),"")</f>
        <v/>
      </c>
    </row>
    <row r="191" spans="1:53">
      <c r="A191" s="17" t="str">
        <f>IFERROR(INDEX(役職一覧!$B$2:$B$31,MATCH(B191,役職一覧!$C$2:$C$31,FALSE),1),"")</f>
        <v/>
      </c>
      <c r="B191" s="17" t="str">
        <f>IFERROR(IF(C191=1,INDEX(役職一覧!$C$2:$C$31,MATCH(逆引き!B190,役職一覧!$C$2:$C$31,FALSE)+1,1)&amp;"",B190),"")</f>
        <v/>
      </c>
      <c r="C191" s="17" t="str">
        <f>IFERROR(IF(VLOOKUP(B190,役職一覧!$C$2:$E$31,3,FALSE)=C190,1,C190+1),"")</f>
        <v/>
      </c>
      <c r="D191" s="17" t="str">
        <f>IFERROR(INDEX(逆引き作成用!$C$2:$C$169,MATCH($B191&amp;"/"&amp;$C191,逆引き作成用!D$2:D$169,FALSE),1),"")</f>
        <v/>
      </c>
      <c r="E191" s="17" t="str">
        <f>IFERROR(INDEX(逆引き作成用!$C$2:$C$169,MATCH($B191&amp;"/"&amp;$C191,逆引き作成用!E$2:E$169,FALSE),1),"")</f>
        <v/>
      </c>
      <c r="F191" s="17" t="str">
        <f>IFERROR(INDEX(逆引き作成用!$C$2:$C$169,MATCH($B191&amp;"/"&amp;$C191,逆引き作成用!F$2:F$169,FALSE),1),"")</f>
        <v/>
      </c>
      <c r="G191" s="17" t="str">
        <f>IFERROR(INDEX(逆引き作成用!$C$2:$C$169,MATCH($B191&amp;"/"&amp;$C191,逆引き作成用!G$2:G$169,FALSE),1),"")</f>
        <v/>
      </c>
      <c r="H191" s="17" t="str">
        <f>IFERROR(INDEX(逆引き作成用!$C$2:$C$169,MATCH($B191&amp;"/"&amp;$C191,逆引き作成用!H$2:H$169,FALSE),1),"")</f>
        <v/>
      </c>
      <c r="I191" s="17" t="str">
        <f>IFERROR(INDEX(逆引き作成用!$C$2:$C$169,MATCH($B191&amp;"/"&amp;$C191,逆引き作成用!I$2:I$169,FALSE),1),"")</f>
        <v/>
      </c>
      <c r="J191" s="17" t="str">
        <f>IFERROR(INDEX(逆引き作成用!$C$2:$C$169,MATCH($B191&amp;"/"&amp;$C191,逆引き作成用!J$2:J$169,FALSE),1),"")</f>
        <v/>
      </c>
      <c r="K191" s="17" t="str">
        <f>IFERROR(INDEX(逆引き作成用!$C$2:$C$169,MATCH($B191&amp;"/"&amp;$C191,逆引き作成用!K$2:K$169,FALSE),1),"")</f>
        <v/>
      </c>
      <c r="L191" s="17" t="str">
        <f>IFERROR(INDEX(逆引き作成用!$C$2:$C$169,MATCH($B191&amp;"/"&amp;$C191,逆引き作成用!L$2:L$169,FALSE),1),"")</f>
        <v/>
      </c>
      <c r="M191" s="17" t="str">
        <f>IFERROR(INDEX(逆引き作成用!$C$2:$C$169,MATCH($B191&amp;"/"&amp;$C191,逆引き作成用!M$2:M$169,FALSE),1),"")</f>
        <v/>
      </c>
      <c r="N191" s="17" t="str">
        <f>IFERROR(INDEX(逆引き作成用!$C$2:$C$169,MATCH($B191&amp;"/"&amp;$C191,逆引き作成用!N$2:N$169,FALSE),1),"")</f>
        <v/>
      </c>
      <c r="O191" s="17" t="str">
        <f>IFERROR(INDEX(逆引き作成用!$C$2:$C$169,MATCH($B191&amp;"/"&amp;$C191,逆引き作成用!O$2:O$169,FALSE),1),"")</f>
        <v/>
      </c>
      <c r="P191" s="17" t="str">
        <f>IFERROR(INDEX(逆引き作成用!$C$2:$C$169,MATCH($B191&amp;"/"&amp;$C191,逆引き作成用!P$2:P$169,FALSE),1),"")</f>
        <v/>
      </c>
      <c r="Q191" s="17" t="str">
        <f>IFERROR(INDEX(逆引き作成用!$C$2:$C$169,MATCH($B191&amp;"/"&amp;$C191,逆引き作成用!Q$2:Q$169,FALSE),1),"")</f>
        <v/>
      </c>
      <c r="R191" s="17" t="str">
        <f>IFERROR(INDEX(逆引き作成用!$C$2:$C$169,MATCH($B191&amp;"/"&amp;$C191,逆引き作成用!R$2:R$169,FALSE),1),"")</f>
        <v/>
      </c>
      <c r="S191" s="17" t="str">
        <f>IFERROR(INDEX(逆引き作成用!$C$2:$C$169,MATCH($B191&amp;"/"&amp;$C191,逆引き作成用!S$2:S$169,FALSE),1),"")</f>
        <v/>
      </c>
      <c r="T191" s="17" t="str">
        <f>IFERROR(INDEX(逆引き作成用!$C$2:$C$169,MATCH($B191&amp;"/"&amp;$C191,逆引き作成用!T$2:T$169,FALSE),1),"")</f>
        <v/>
      </c>
      <c r="U191" s="17" t="str">
        <f>IFERROR(INDEX(逆引き作成用!$C$2:$C$169,MATCH($B191&amp;"/"&amp;$C191,逆引き作成用!U$2:U$169,FALSE),1),"")</f>
        <v/>
      </c>
      <c r="V191" s="17" t="str">
        <f>IFERROR(INDEX(逆引き作成用!$C$2:$C$169,MATCH($B191&amp;"/"&amp;$C191,逆引き作成用!V$2:V$169,FALSE),1),"")</f>
        <v/>
      </c>
      <c r="W191" s="17" t="str">
        <f>IFERROR(INDEX(逆引き作成用!$C$2:$C$169,MATCH($B191&amp;"/"&amp;$C191,逆引き作成用!W$2:W$169,FALSE),1),"")</f>
        <v/>
      </c>
      <c r="X191" s="17" t="str">
        <f>IFERROR(INDEX(逆引き作成用!$C$2:$C$169,MATCH($B191&amp;"/"&amp;$C191,逆引き作成用!X$2:X$169,FALSE),1),"")</f>
        <v/>
      </c>
      <c r="Y191" s="17" t="str">
        <f>IFERROR(INDEX(逆引き作成用!$C$2:$C$169,MATCH($B191&amp;"/"&amp;$C191,逆引き作成用!Y$2:Y$169,FALSE),1),"")</f>
        <v/>
      </c>
      <c r="Z191" s="17" t="str">
        <f>IFERROR(INDEX(逆引き作成用!$C$2:$C$169,MATCH($B191&amp;"/"&amp;$C191,逆引き作成用!Z$2:Z$169,FALSE),1),"")</f>
        <v/>
      </c>
      <c r="AA191" s="17" t="str">
        <f>IFERROR(INDEX(逆引き作成用!$C$2:$C$169,MATCH($B191&amp;"/"&amp;$C191,逆引き作成用!AA$2:AA$169,FALSE),1),"")</f>
        <v/>
      </c>
      <c r="AB191" s="17" t="str">
        <f>IFERROR(INDEX(逆引き作成用!$C$2:$C$169,MATCH($B191&amp;"/"&amp;$C191,逆引き作成用!AB$2:AB$169,FALSE),1),"")</f>
        <v/>
      </c>
      <c r="AC191" s="17" t="str">
        <f>IFERROR(INDEX(逆引き作成用!$C$2:$C$169,MATCH($B191&amp;"/"&amp;$C191,逆引き作成用!AC$2:AC$169,FALSE),1),"")</f>
        <v/>
      </c>
      <c r="AD191" s="17" t="str">
        <f>IFERROR(INDEX(逆引き作成用!$C$2:$C$169,MATCH($B191&amp;"/"&amp;$C191,逆引き作成用!AD$2:AD$169,FALSE),1),"")</f>
        <v/>
      </c>
      <c r="AE191" s="17" t="str">
        <f>IFERROR(INDEX(逆引き作成用!$C$2:$C$169,MATCH($B191&amp;"/"&amp;$C191,逆引き作成用!AE$2:AE$169,FALSE),1),"")</f>
        <v/>
      </c>
      <c r="AF191" s="17" t="str">
        <f>IFERROR(INDEX(逆引き作成用!$C$2:$C$169,MATCH($B191&amp;"/"&amp;$C191,逆引き作成用!AF$2:AF$169,FALSE),1),"")</f>
        <v/>
      </c>
      <c r="AG191" s="17" t="str">
        <f>IFERROR(INDEX(逆引き作成用!$C$2:$C$169,MATCH($B191&amp;"/"&amp;$C191,逆引き作成用!AG$2:AG$169,FALSE),1),"")</f>
        <v/>
      </c>
      <c r="AH191" s="17" t="str">
        <f>IFERROR(INDEX(逆引き作成用!$C$2:$C$169,MATCH($B191&amp;"/"&amp;$C191,逆引き作成用!AH$2:AH$169,FALSE),1),"")</f>
        <v/>
      </c>
      <c r="AI191" s="17" t="str">
        <f>IFERROR(INDEX(逆引き作成用!$C$2:$C$169,MATCH($B191&amp;"/"&amp;$C191,逆引き作成用!AI$2:AI$169,FALSE),1),"")</f>
        <v/>
      </c>
      <c r="AJ191" s="17" t="str">
        <f>IFERROR(INDEX(逆引き作成用!$C$2:$C$169,MATCH($B191&amp;"/"&amp;$C191,逆引き作成用!AJ$2:AJ$169,FALSE),1),"")</f>
        <v/>
      </c>
      <c r="AK191" s="17" t="str">
        <f>IFERROR(INDEX(逆引き作成用!$C$2:$C$169,MATCH($B191&amp;"/"&amp;$C191,逆引き作成用!AK$2:AK$169,FALSE),1),"")</f>
        <v/>
      </c>
      <c r="AL191" s="17" t="str">
        <f>IFERROR(INDEX(逆引き作成用!$C$2:$C$169,MATCH($B191&amp;"/"&amp;$C191,逆引き作成用!AL$2:AL$169,FALSE),1),"")</f>
        <v/>
      </c>
      <c r="AM191" s="17" t="str">
        <f>IFERROR(INDEX(逆引き作成用!$C$2:$C$169,MATCH($B191&amp;"/"&amp;$C191,逆引き作成用!AM$2:AM$169,FALSE),1),"")</f>
        <v/>
      </c>
      <c r="AN191" s="17" t="str">
        <f>IFERROR(INDEX(逆引き作成用!$C$2:$C$169,MATCH($B191&amp;"/"&amp;$C191,逆引き作成用!AN$2:AN$169,FALSE),1),"")</f>
        <v/>
      </c>
      <c r="AO191" s="17" t="str">
        <f>IFERROR(INDEX(逆引き作成用!$C$2:$C$169,MATCH($B191&amp;"/"&amp;$C191,逆引き作成用!AO$2:AO$169,FALSE),1),"")</f>
        <v/>
      </c>
      <c r="AP191" s="17" t="str">
        <f>IFERROR(INDEX(逆引き作成用!$C$2:$C$169,MATCH($B191&amp;"/"&amp;$C191,逆引き作成用!AP$2:AP$169,FALSE),1),"")</f>
        <v/>
      </c>
      <c r="AQ191" s="17" t="str">
        <f>IFERROR(INDEX(逆引き作成用!$C$2:$C$169,MATCH($B191&amp;"/"&amp;$C191,逆引き作成用!AQ$2:AQ$169,FALSE),1),"")</f>
        <v/>
      </c>
      <c r="AR191" s="17" t="str">
        <f>IFERROR(INDEX(逆引き作成用!$C$2:$C$169,MATCH($B191&amp;"/"&amp;$C191,逆引き作成用!AR$2:AR$169,FALSE),1),"")</f>
        <v/>
      </c>
      <c r="AS191" s="17" t="str">
        <f>IFERROR(INDEX(逆引き作成用!$C$2:$C$169,MATCH($B191&amp;"/"&amp;$C191,逆引き作成用!AS$2:AS$169,FALSE),1),"")</f>
        <v/>
      </c>
      <c r="AT191" s="17" t="str">
        <f>IFERROR(INDEX(逆引き作成用!$C$2:$C$169,MATCH($B191&amp;"/"&amp;$C191,逆引き作成用!AT$2:AT$169,FALSE),1),"")</f>
        <v/>
      </c>
      <c r="AU191" s="17" t="str">
        <f>IFERROR(INDEX(逆引き作成用!$C$2:$C$169,MATCH($B191&amp;"/"&amp;$C191,逆引き作成用!AU$2:AU$169,FALSE),1),"")</f>
        <v/>
      </c>
      <c r="AV191" s="17" t="str">
        <f>IFERROR(INDEX(逆引き作成用!$C$2:$C$169,MATCH($B191&amp;"/"&amp;$C191,逆引き作成用!AV$2:AV$169,FALSE),1),"")</f>
        <v/>
      </c>
      <c r="AW191" s="17" t="str">
        <f>IFERROR(INDEX(逆引き作成用!$C$2:$C$169,MATCH($B191&amp;"/"&amp;$C191,逆引き作成用!AW$2:AW$169,FALSE),1),"")</f>
        <v/>
      </c>
      <c r="AX191" s="17" t="str">
        <f>IFERROR(INDEX(逆引き作成用!$C$2:$C$169,MATCH($B191&amp;"/"&amp;$C191,逆引き作成用!AX$2:AX$169,FALSE),1),"")</f>
        <v/>
      </c>
      <c r="AY191" s="17" t="str">
        <f>IFERROR(INDEX(逆引き作成用!$C$2:$C$169,MATCH($B191&amp;"/"&amp;$C191,逆引き作成用!AY$2:AY$169,FALSE),1),"")</f>
        <v/>
      </c>
      <c r="AZ191" s="17" t="str">
        <f>IFERROR(INDEX(逆引き作成用!$C$2:$C$169,MATCH($B191&amp;"/"&amp;$C191,逆引き作成用!AZ$2:AZ$169,FALSE),1),"")</f>
        <v/>
      </c>
      <c r="BA191" s="17" t="str">
        <f>IFERROR(INDEX(逆引き作成用!$C$2:$C$169,MATCH($B191&amp;"/"&amp;$C191,逆引き作成用!BA$2:BA$169,FALSE),1),"")</f>
        <v/>
      </c>
    </row>
    <row r="192" spans="1:53">
      <c r="A192" s="17" t="str">
        <f>IFERROR(INDEX(役職一覧!$B$2:$B$31,MATCH(B192,役職一覧!$C$2:$C$31,FALSE),1),"")</f>
        <v/>
      </c>
      <c r="B192" s="17" t="str">
        <f>IFERROR(IF(C192=1,INDEX(役職一覧!$C$2:$C$31,MATCH(逆引き!B191,役職一覧!$C$2:$C$31,FALSE)+1,1)&amp;"",B191),"")</f>
        <v/>
      </c>
      <c r="C192" s="17" t="str">
        <f>IFERROR(IF(VLOOKUP(B191,役職一覧!$C$2:$E$31,3,FALSE)=C191,1,C191+1),"")</f>
        <v/>
      </c>
      <c r="D192" s="17" t="str">
        <f>IFERROR(INDEX(逆引き作成用!$C$2:$C$169,MATCH($B192&amp;"/"&amp;$C192,逆引き作成用!D$2:D$169,FALSE),1),"")</f>
        <v/>
      </c>
      <c r="E192" s="17" t="str">
        <f>IFERROR(INDEX(逆引き作成用!$C$2:$C$169,MATCH($B192&amp;"/"&amp;$C192,逆引き作成用!E$2:E$169,FALSE),1),"")</f>
        <v/>
      </c>
      <c r="F192" s="17" t="str">
        <f>IFERROR(INDEX(逆引き作成用!$C$2:$C$169,MATCH($B192&amp;"/"&amp;$C192,逆引き作成用!F$2:F$169,FALSE),1),"")</f>
        <v/>
      </c>
      <c r="G192" s="17" t="str">
        <f>IFERROR(INDEX(逆引き作成用!$C$2:$C$169,MATCH($B192&amp;"/"&amp;$C192,逆引き作成用!G$2:G$169,FALSE),1),"")</f>
        <v/>
      </c>
      <c r="H192" s="17" t="str">
        <f>IFERROR(INDEX(逆引き作成用!$C$2:$C$169,MATCH($B192&amp;"/"&amp;$C192,逆引き作成用!H$2:H$169,FALSE),1),"")</f>
        <v/>
      </c>
      <c r="I192" s="17" t="str">
        <f>IFERROR(INDEX(逆引き作成用!$C$2:$C$169,MATCH($B192&amp;"/"&amp;$C192,逆引き作成用!I$2:I$169,FALSE),1),"")</f>
        <v/>
      </c>
      <c r="J192" s="17" t="str">
        <f>IFERROR(INDEX(逆引き作成用!$C$2:$C$169,MATCH($B192&amp;"/"&amp;$C192,逆引き作成用!J$2:J$169,FALSE),1),"")</f>
        <v/>
      </c>
      <c r="K192" s="17" t="str">
        <f>IFERROR(INDEX(逆引き作成用!$C$2:$C$169,MATCH($B192&amp;"/"&amp;$C192,逆引き作成用!K$2:K$169,FALSE),1),"")</f>
        <v/>
      </c>
      <c r="L192" s="17" t="str">
        <f>IFERROR(INDEX(逆引き作成用!$C$2:$C$169,MATCH($B192&amp;"/"&amp;$C192,逆引き作成用!L$2:L$169,FALSE),1),"")</f>
        <v/>
      </c>
      <c r="M192" s="17" t="str">
        <f>IFERROR(INDEX(逆引き作成用!$C$2:$C$169,MATCH($B192&amp;"/"&amp;$C192,逆引き作成用!M$2:M$169,FALSE),1),"")</f>
        <v/>
      </c>
      <c r="N192" s="17" t="str">
        <f>IFERROR(INDEX(逆引き作成用!$C$2:$C$169,MATCH($B192&amp;"/"&amp;$C192,逆引き作成用!N$2:N$169,FALSE),1),"")</f>
        <v/>
      </c>
      <c r="O192" s="17" t="str">
        <f>IFERROR(INDEX(逆引き作成用!$C$2:$C$169,MATCH($B192&amp;"/"&amp;$C192,逆引き作成用!O$2:O$169,FALSE),1),"")</f>
        <v/>
      </c>
      <c r="P192" s="17" t="str">
        <f>IFERROR(INDEX(逆引き作成用!$C$2:$C$169,MATCH($B192&amp;"/"&amp;$C192,逆引き作成用!P$2:P$169,FALSE),1),"")</f>
        <v/>
      </c>
      <c r="Q192" s="17" t="str">
        <f>IFERROR(INDEX(逆引き作成用!$C$2:$C$169,MATCH($B192&amp;"/"&amp;$C192,逆引き作成用!Q$2:Q$169,FALSE),1),"")</f>
        <v/>
      </c>
      <c r="R192" s="17" t="str">
        <f>IFERROR(INDEX(逆引き作成用!$C$2:$C$169,MATCH($B192&amp;"/"&amp;$C192,逆引き作成用!R$2:R$169,FALSE),1),"")</f>
        <v/>
      </c>
      <c r="S192" s="17" t="str">
        <f>IFERROR(INDEX(逆引き作成用!$C$2:$C$169,MATCH($B192&amp;"/"&amp;$C192,逆引き作成用!S$2:S$169,FALSE),1),"")</f>
        <v/>
      </c>
      <c r="T192" s="17" t="str">
        <f>IFERROR(INDEX(逆引き作成用!$C$2:$C$169,MATCH($B192&amp;"/"&amp;$C192,逆引き作成用!T$2:T$169,FALSE),1),"")</f>
        <v/>
      </c>
      <c r="U192" s="17" t="str">
        <f>IFERROR(INDEX(逆引き作成用!$C$2:$C$169,MATCH($B192&amp;"/"&amp;$C192,逆引き作成用!U$2:U$169,FALSE),1),"")</f>
        <v/>
      </c>
      <c r="V192" s="17" t="str">
        <f>IFERROR(INDEX(逆引き作成用!$C$2:$C$169,MATCH($B192&amp;"/"&amp;$C192,逆引き作成用!V$2:V$169,FALSE),1),"")</f>
        <v/>
      </c>
      <c r="W192" s="17" t="str">
        <f>IFERROR(INDEX(逆引き作成用!$C$2:$C$169,MATCH($B192&amp;"/"&amp;$C192,逆引き作成用!W$2:W$169,FALSE),1),"")</f>
        <v/>
      </c>
      <c r="X192" s="17" t="str">
        <f>IFERROR(INDEX(逆引き作成用!$C$2:$C$169,MATCH($B192&amp;"/"&amp;$C192,逆引き作成用!X$2:X$169,FALSE),1),"")</f>
        <v/>
      </c>
      <c r="Y192" s="17" t="str">
        <f>IFERROR(INDEX(逆引き作成用!$C$2:$C$169,MATCH($B192&amp;"/"&amp;$C192,逆引き作成用!Y$2:Y$169,FALSE),1),"")</f>
        <v/>
      </c>
      <c r="Z192" s="17" t="str">
        <f>IFERROR(INDEX(逆引き作成用!$C$2:$C$169,MATCH($B192&amp;"/"&amp;$C192,逆引き作成用!Z$2:Z$169,FALSE),1),"")</f>
        <v/>
      </c>
      <c r="AA192" s="17" t="str">
        <f>IFERROR(INDEX(逆引き作成用!$C$2:$C$169,MATCH($B192&amp;"/"&amp;$C192,逆引き作成用!AA$2:AA$169,FALSE),1),"")</f>
        <v/>
      </c>
      <c r="AB192" s="17" t="str">
        <f>IFERROR(INDEX(逆引き作成用!$C$2:$C$169,MATCH($B192&amp;"/"&amp;$C192,逆引き作成用!AB$2:AB$169,FALSE),1),"")</f>
        <v/>
      </c>
      <c r="AC192" s="17" t="str">
        <f>IFERROR(INDEX(逆引き作成用!$C$2:$C$169,MATCH($B192&amp;"/"&amp;$C192,逆引き作成用!AC$2:AC$169,FALSE),1),"")</f>
        <v/>
      </c>
      <c r="AD192" s="17" t="str">
        <f>IFERROR(INDEX(逆引き作成用!$C$2:$C$169,MATCH($B192&amp;"/"&amp;$C192,逆引き作成用!AD$2:AD$169,FALSE),1),"")</f>
        <v/>
      </c>
      <c r="AE192" s="17" t="str">
        <f>IFERROR(INDEX(逆引き作成用!$C$2:$C$169,MATCH($B192&amp;"/"&amp;$C192,逆引き作成用!AE$2:AE$169,FALSE),1),"")</f>
        <v/>
      </c>
      <c r="AF192" s="17" t="str">
        <f>IFERROR(INDEX(逆引き作成用!$C$2:$C$169,MATCH($B192&amp;"/"&amp;$C192,逆引き作成用!AF$2:AF$169,FALSE),1),"")</f>
        <v/>
      </c>
      <c r="AG192" s="17" t="str">
        <f>IFERROR(INDEX(逆引き作成用!$C$2:$C$169,MATCH($B192&amp;"/"&amp;$C192,逆引き作成用!AG$2:AG$169,FALSE),1),"")</f>
        <v/>
      </c>
      <c r="AH192" s="17" t="str">
        <f>IFERROR(INDEX(逆引き作成用!$C$2:$C$169,MATCH($B192&amp;"/"&amp;$C192,逆引き作成用!AH$2:AH$169,FALSE),1),"")</f>
        <v/>
      </c>
      <c r="AI192" s="17" t="str">
        <f>IFERROR(INDEX(逆引き作成用!$C$2:$C$169,MATCH($B192&amp;"/"&amp;$C192,逆引き作成用!AI$2:AI$169,FALSE),1),"")</f>
        <v/>
      </c>
      <c r="AJ192" s="17" t="str">
        <f>IFERROR(INDEX(逆引き作成用!$C$2:$C$169,MATCH($B192&amp;"/"&amp;$C192,逆引き作成用!AJ$2:AJ$169,FALSE),1),"")</f>
        <v/>
      </c>
      <c r="AK192" s="17" t="str">
        <f>IFERROR(INDEX(逆引き作成用!$C$2:$C$169,MATCH($B192&amp;"/"&amp;$C192,逆引き作成用!AK$2:AK$169,FALSE),1),"")</f>
        <v/>
      </c>
      <c r="AL192" s="17" t="str">
        <f>IFERROR(INDEX(逆引き作成用!$C$2:$C$169,MATCH($B192&amp;"/"&amp;$C192,逆引き作成用!AL$2:AL$169,FALSE),1),"")</f>
        <v/>
      </c>
      <c r="AM192" s="17" t="str">
        <f>IFERROR(INDEX(逆引き作成用!$C$2:$C$169,MATCH($B192&amp;"/"&amp;$C192,逆引き作成用!AM$2:AM$169,FALSE),1),"")</f>
        <v/>
      </c>
      <c r="AN192" s="17" t="str">
        <f>IFERROR(INDEX(逆引き作成用!$C$2:$C$169,MATCH($B192&amp;"/"&amp;$C192,逆引き作成用!AN$2:AN$169,FALSE),1),"")</f>
        <v/>
      </c>
      <c r="AO192" s="17" t="str">
        <f>IFERROR(INDEX(逆引き作成用!$C$2:$C$169,MATCH($B192&amp;"/"&amp;$C192,逆引き作成用!AO$2:AO$169,FALSE),1),"")</f>
        <v/>
      </c>
      <c r="AP192" s="17" t="str">
        <f>IFERROR(INDEX(逆引き作成用!$C$2:$C$169,MATCH($B192&amp;"/"&amp;$C192,逆引き作成用!AP$2:AP$169,FALSE),1),"")</f>
        <v/>
      </c>
      <c r="AQ192" s="17" t="str">
        <f>IFERROR(INDEX(逆引き作成用!$C$2:$C$169,MATCH($B192&amp;"/"&amp;$C192,逆引き作成用!AQ$2:AQ$169,FALSE),1),"")</f>
        <v/>
      </c>
      <c r="AR192" s="17" t="str">
        <f>IFERROR(INDEX(逆引き作成用!$C$2:$C$169,MATCH($B192&amp;"/"&amp;$C192,逆引き作成用!AR$2:AR$169,FALSE),1),"")</f>
        <v/>
      </c>
      <c r="AS192" s="17" t="str">
        <f>IFERROR(INDEX(逆引き作成用!$C$2:$C$169,MATCH($B192&amp;"/"&amp;$C192,逆引き作成用!AS$2:AS$169,FALSE),1),"")</f>
        <v/>
      </c>
      <c r="AT192" s="17" t="str">
        <f>IFERROR(INDEX(逆引き作成用!$C$2:$C$169,MATCH($B192&amp;"/"&amp;$C192,逆引き作成用!AT$2:AT$169,FALSE),1),"")</f>
        <v/>
      </c>
      <c r="AU192" s="17" t="str">
        <f>IFERROR(INDEX(逆引き作成用!$C$2:$C$169,MATCH($B192&amp;"/"&amp;$C192,逆引き作成用!AU$2:AU$169,FALSE),1),"")</f>
        <v/>
      </c>
      <c r="AV192" s="17" t="str">
        <f>IFERROR(INDEX(逆引き作成用!$C$2:$C$169,MATCH($B192&amp;"/"&amp;$C192,逆引き作成用!AV$2:AV$169,FALSE),1),"")</f>
        <v/>
      </c>
      <c r="AW192" s="17" t="str">
        <f>IFERROR(INDEX(逆引き作成用!$C$2:$C$169,MATCH($B192&amp;"/"&amp;$C192,逆引き作成用!AW$2:AW$169,FALSE),1),"")</f>
        <v/>
      </c>
      <c r="AX192" s="17" t="str">
        <f>IFERROR(INDEX(逆引き作成用!$C$2:$C$169,MATCH($B192&amp;"/"&amp;$C192,逆引き作成用!AX$2:AX$169,FALSE),1),"")</f>
        <v/>
      </c>
      <c r="AY192" s="17" t="str">
        <f>IFERROR(INDEX(逆引き作成用!$C$2:$C$169,MATCH($B192&amp;"/"&amp;$C192,逆引き作成用!AY$2:AY$169,FALSE),1),"")</f>
        <v/>
      </c>
      <c r="AZ192" s="17" t="str">
        <f>IFERROR(INDEX(逆引き作成用!$C$2:$C$169,MATCH($B192&amp;"/"&amp;$C192,逆引き作成用!AZ$2:AZ$169,FALSE),1),"")</f>
        <v/>
      </c>
      <c r="BA192" s="17" t="str">
        <f>IFERROR(INDEX(逆引き作成用!$C$2:$C$169,MATCH($B192&amp;"/"&amp;$C192,逆引き作成用!BA$2:BA$169,FALSE),1),"")</f>
        <v/>
      </c>
    </row>
    <row r="193" spans="1:53">
      <c r="A193" s="17" t="str">
        <f>IFERROR(INDEX(役職一覧!$B$2:$B$31,MATCH(B193,役職一覧!$C$2:$C$31,FALSE),1),"")</f>
        <v/>
      </c>
      <c r="B193" s="17" t="str">
        <f>IFERROR(IF(C193=1,INDEX(役職一覧!$C$2:$C$31,MATCH(逆引き!B192,役職一覧!$C$2:$C$31,FALSE)+1,1)&amp;"",B192),"")</f>
        <v/>
      </c>
      <c r="C193" s="17" t="str">
        <f>IFERROR(IF(VLOOKUP(B192,役職一覧!$C$2:$E$31,3,FALSE)=C192,1,C192+1),"")</f>
        <v/>
      </c>
      <c r="D193" s="17" t="str">
        <f>IFERROR(INDEX(逆引き作成用!$C$2:$C$169,MATCH($B193&amp;"/"&amp;$C193,逆引き作成用!D$2:D$169,FALSE),1),"")</f>
        <v/>
      </c>
      <c r="E193" s="17" t="str">
        <f>IFERROR(INDEX(逆引き作成用!$C$2:$C$169,MATCH($B193&amp;"/"&amp;$C193,逆引き作成用!E$2:E$169,FALSE),1),"")</f>
        <v/>
      </c>
      <c r="F193" s="17" t="str">
        <f>IFERROR(INDEX(逆引き作成用!$C$2:$C$169,MATCH($B193&amp;"/"&amp;$C193,逆引き作成用!F$2:F$169,FALSE),1),"")</f>
        <v/>
      </c>
      <c r="G193" s="17" t="str">
        <f>IFERROR(INDEX(逆引き作成用!$C$2:$C$169,MATCH($B193&amp;"/"&amp;$C193,逆引き作成用!G$2:G$169,FALSE),1),"")</f>
        <v/>
      </c>
      <c r="H193" s="17" t="str">
        <f>IFERROR(INDEX(逆引き作成用!$C$2:$C$169,MATCH($B193&amp;"/"&amp;$C193,逆引き作成用!H$2:H$169,FALSE),1),"")</f>
        <v/>
      </c>
      <c r="I193" s="17" t="str">
        <f>IFERROR(INDEX(逆引き作成用!$C$2:$C$169,MATCH($B193&amp;"/"&amp;$C193,逆引き作成用!I$2:I$169,FALSE),1),"")</f>
        <v/>
      </c>
      <c r="J193" s="17" t="str">
        <f>IFERROR(INDEX(逆引き作成用!$C$2:$C$169,MATCH($B193&amp;"/"&amp;$C193,逆引き作成用!J$2:J$169,FALSE),1),"")</f>
        <v/>
      </c>
      <c r="K193" s="17" t="str">
        <f>IFERROR(INDEX(逆引き作成用!$C$2:$C$169,MATCH($B193&amp;"/"&amp;$C193,逆引き作成用!K$2:K$169,FALSE),1),"")</f>
        <v/>
      </c>
      <c r="L193" s="17" t="str">
        <f>IFERROR(INDEX(逆引き作成用!$C$2:$C$169,MATCH($B193&amp;"/"&amp;$C193,逆引き作成用!L$2:L$169,FALSE),1),"")</f>
        <v/>
      </c>
      <c r="M193" s="17" t="str">
        <f>IFERROR(INDEX(逆引き作成用!$C$2:$C$169,MATCH($B193&amp;"/"&amp;$C193,逆引き作成用!M$2:M$169,FALSE),1),"")</f>
        <v/>
      </c>
      <c r="N193" s="17" t="str">
        <f>IFERROR(INDEX(逆引き作成用!$C$2:$C$169,MATCH($B193&amp;"/"&amp;$C193,逆引き作成用!N$2:N$169,FALSE),1),"")</f>
        <v/>
      </c>
      <c r="O193" s="17" t="str">
        <f>IFERROR(INDEX(逆引き作成用!$C$2:$C$169,MATCH($B193&amp;"/"&amp;$C193,逆引き作成用!O$2:O$169,FALSE),1),"")</f>
        <v/>
      </c>
      <c r="P193" s="17" t="str">
        <f>IFERROR(INDEX(逆引き作成用!$C$2:$C$169,MATCH($B193&amp;"/"&amp;$C193,逆引き作成用!P$2:P$169,FALSE),1),"")</f>
        <v/>
      </c>
      <c r="Q193" s="17" t="str">
        <f>IFERROR(INDEX(逆引き作成用!$C$2:$C$169,MATCH($B193&amp;"/"&amp;$C193,逆引き作成用!Q$2:Q$169,FALSE),1),"")</f>
        <v/>
      </c>
      <c r="R193" s="17" t="str">
        <f>IFERROR(INDEX(逆引き作成用!$C$2:$C$169,MATCH($B193&amp;"/"&amp;$C193,逆引き作成用!R$2:R$169,FALSE),1),"")</f>
        <v/>
      </c>
      <c r="S193" s="17" t="str">
        <f>IFERROR(INDEX(逆引き作成用!$C$2:$C$169,MATCH($B193&amp;"/"&amp;$C193,逆引き作成用!S$2:S$169,FALSE),1),"")</f>
        <v/>
      </c>
      <c r="T193" s="17" t="str">
        <f>IFERROR(INDEX(逆引き作成用!$C$2:$C$169,MATCH($B193&amp;"/"&amp;$C193,逆引き作成用!T$2:T$169,FALSE),1),"")</f>
        <v/>
      </c>
      <c r="U193" s="17" t="str">
        <f>IFERROR(INDEX(逆引き作成用!$C$2:$C$169,MATCH($B193&amp;"/"&amp;$C193,逆引き作成用!U$2:U$169,FALSE),1),"")</f>
        <v/>
      </c>
      <c r="V193" s="17" t="str">
        <f>IFERROR(INDEX(逆引き作成用!$C$2:$C$169,MATCH($B193&amp;"/"&amp;$C193,逆引き作成用!V$2:V$169,FALSE),1),"")</f>
        <v/>
      </c>
      <c r="W193" s="17" t="str">
        <f>IFERROR(INDEX(逆引き作成用!$C$2:$C$169,MATCH($B193&amp;"/"&amp;$C193,逆引き作成用!W$2:W$169,FALSE),1),"")</f>
        <v/>
      </c>
      <c r="X193" s="17" t="str">
        <f>IFERROR(INDEX(逆引き作成用!$C$2:$C$169,MATCH($B193&amp;"/"&amp;$C193,逆引き作成用!X$2:X$169,FALSE),1),"")</f>
        <v/>
      </c>
      <c r="Y193" s="17" t="str">
        <f>IFERROR(INDEX(逆引き作成用!$C$2:$C$169,MATCH($B193&amp;"/"&amp;$C193,逆引き作成用!Y$2:Y$169,FALSE),1),"")</f>
        <v/>
      </c>
      <c r="Z193" s="17" t="str">
        <f>IFERROR(INDEX(逆引き作成用!$C$2:$C$169,MATCH($B193&amp;"/"&amp;$C193,逆引き作成用!Z$2:Z$169,FALSE),1),"")</f>
        <v/>
      </c>
      <c r="AA193" s="17" t="str">
        <f>IFERROR(INDEX(逆引き作成用!$C$2:$C$169,MATCH($B193&amp;"/"&amp;$C193,逆引き作成用!AA$2:AA$169,FALSE),1),"")</f>
        <v/>
      </c>
      <c r="AB193" s="17" t="str">
        <f>IFERROR(INDEX(逆引き作成用!$C$2:$C$169,MATCH($B193&amp;"/"&amp;$C193,逆引き作成用!AB$2:AB$169,FALSE),1),"")</f>
        <v/>
      </c>
      <c r="AC193" s="17" t="str">
        <f>IFERROR(INDEX(逆引き作成用!$C$2:$C$169,MATCH($B193&amp;"/"&amp;$C193,逆引き作成用!AC$2:AC$169,FALSE),1),"")</f>
        <v/>
      </c>
      <c r="AD193" s="17" t="str">
        <f>IFERROR(INDEX(逆引き作成用!$C$2:$C$169,MATCH($B193&amp;"/"&amp;$C193,逆引き作成用!AD$2:AD$169,FALSE),1),"")</f>
        <v/>
      </c>
      <c r="AE193" s="17" t="str">
        <f>IFERROR(INDEX(逆引き作成用!$C$2:$C$169,MATCH($B193&amp;"/"&amp;$C193,逆引き作成用!AE$2:AE$169,FALSE),1),"")</f>
        <v/>
      </c>
      <c r="AF193" s="17" t="str">
        <f>IFERROR(INDEX(逆引き作成用!$C$2:$C$169,MATCH($B193&amp;"/"&amp;$C193,逆引き作成用!AF$2:AF$169,FALSE),1),"")</f>
        <v/>
      </c>
      <c r="AG193" s="17" t="str">
        <f>IFERROR(INDEX(逆引き作成用!$C$2:$C$169,MATCH($B193&amp;"/"&amp;$C193,逆引き作成用!AG$2:AG$169,FALSE),1),"")</f>
        <v/>
      </c>
      <c r="AH193" s="17" t="str">
        <f>IFERROR(INDEX(逆引き作成用!$C$2:$C$169,MATCH($B193&amp;"/"&amp;$C193,逆引き作成用!AH$2:AH$169,FALSE),1),"")</f>
        <v/>
      </c>
      <c r="AI193" s="17" t="str">
        <f>IFERROR(INDEX(逆引き作成用!$C$2:$C$169,MATCH($B193&amp;"/"&amp;$C193,逆引き作成用!AI$2:AI$169,FALSE),1),"")</f>
        <v/>
      </c>
      <c r="AJ193" s="17" t="str">
        <f>IFERROR(INDEX(逆引き作成用!$C$2:$C$169,MATCH($B193&amp;"/"&amp;$C193,逆引き作成用!AJ$2:AJ$169,FALSE),1),"")</f>
        <v/>
      </c>
      <c r="AK193" s="17" t="str">
        <f>IFERROR(INDEX(逆引き作成用!$C$2:$C$169,MATCH($B193&amp;"/"&amp;$C193,逆引き作成用!AK$2:AK$169,FALSE),1),"")</f>
        <v/>
      </c>
      <c r="AL193" s="17" t="str">
        <f>IFERROR(INDEX(逆引き作成用!$C$2:$C$169,MATCH($B193&amp;"/"&amp;$C193,逆引き作成用!AL$2:AL$169,FALSE),1),"")</f>
        <v/>
      </c>
      <c r="AM193" s="17" t="str">
        <f>IFERROR(INDEX(逆引き作成用!$C$2:$C$169,MATCH($B193&amp;"/"&amp;$C193,逆引き作成用!AM$2:AM$169,FALSE),1),"")</f>
        <v/>
      </c>
      <c r="AN193" s="17" t="str">
        <f>IFERROR(INDEX(逆引き作成用!$C$2:$C$169,MATCH($B193&amp;"/"&amp;$C193,逆引き作成用!AN$2:AN$169,FALSE),1),"")</f>
        <v/>
      </c>
      <c r="AO193" s="17" t="str">
        <f>IFERROR(INDEX(逆引き作成用!$C$2:$C$169,MATCH($B193&amp;"/"&amp;$C193,逆引き作成用!AO$2:AO$169,FALSE),1),"")</f>
        <v/>
      </c>
      <c r="AP193" s="17" t="str">
        <f>IFERROR(INDEX(逆引き作成用!$C$2:$C$169,MATCH($B193&amp;"/"&amp;$C193,逆引き作成用!AP$2:AP$169,FALSE),1),"")</f>
        <v/>
      </c>
      <c r="AQ193" s="17" t="str">
        <f>IFERROR(INDEX(逆引き作成用!$C$2:$C$169,MATCH($B193&amp;"/"&amp;$C193,逆引き作成用!AQ$2:AQ$169,FALSE),1),"")</f>
        <v/>
      </c>
      <c r="AR193" s="17" t="str">
        <f>IFERROR(INDEX(逆引き作成用!$C$2:$C$169,MATCH($B193&amp;"/"&amp;$C193,逆引き作成用!AR$2:AR$169,FALSE),1),"")</f>
        <v/>
      </c>
      <c r="AS193" s="17" t="str">
        <f>IFERROR(INDEX(逆引き作成用!$C$2:$C$169,MATCH($B193&amp;"/"&amp;$C193,逆引き作成用!AS$2:AS$169,FALSE),1),"")</f>
        <v/>
      </c>
      <c r="AT193" s="17" t="str">
        <f>IFERROR(INDEX(逆引き作成用!$C$2:$C$169,MATCH($B193&amp;"/"&amp;$C193,逆引き作成用!AT$2:AT$169,FALSE),1),"")</f>
        <v/>
      </c>
      <c r="AU193" s="17" t="str">
        <f>IFERROR(INDEX(逆引き作成用!$C$2:$C$169,MATCH($B193&amp;"/"&amp;$C193,逆引き作成用!AU$2:AU$169,FALSE),1),"")</f>
        <v/>
      </c>
      <c r="AV193" s="17" t="str">
        <f>IFERROR(INDEX(逆引き作成用!$C$2:$C$169,MATCH($B193&amp;"/"&amp;$C193,逆引き作成用!AV$2:AV$169,FALSE),1),"")</f>
        <v/>
      </c>
      <c r="AW193" s="17" t="str">
        <f>IFERROR(INDEX(逆引き作成用!$C$2:$C$169,MATCH($B193&amp;"/"&amp;$C193,逆引き作成用!AW$2:AW$169,FALSE),1),"")</f>
        <v/>
      </c>
      <c r="AX193" s="17" t="str">
        <f>IFERROR(INDEX(逆引き作成用!$C$2:$C$169,MATCH($B193&amp;"/"&amp;$C193,逆引き作成用!AX$2:AX$169,FALSE),1),"")</f>
        <v/>
      </c>
      <c r="AY193" s="17" t="str">
        <f>IFERROR(INDEX(逆引き作成用!$C$2:$C$169,MATCH($B193&amp;"/"&amp;$C193,逆引き作成用!AY$2:AY$169,FALSE),1),"")</f>
        <v/>
      </c>
      <c r="AZ193" s="17" t="str">
        <f>IFERROR(INDEX(逆引き作成用!$C$2:$C$169,MATCH($B193&amp;"/"&amp;$C193,逆引き作成用!AZ$2:AZ$169,FALSE),1),"")</f>
        <v/>
      </c>
      <c r="BA193" s="17" t="str">
        <f>IFERROR(INDEX(逆引き作成用!$C$2:$C$169,MATCH($B193&amp;"/"&amp;$C193,逆引き作成用!BA$2:BA$169,FALSE),1),"")</f>
        <v/>
      </c>
    </row>
    <row r="194" spans="1:53">
      <c r="A194" s="17" t="str">
        <f>IFERROR(INDEX(役職一覧!$B$2:$B$31,MATCH(B194,役職一覧!$C$2:$C$31,FALSE),1),"")</f>
        <v/>
      </c>
      <c r="B194" s="17" t="str">
        <f>IFERROR(IF(C194=1,INDEX(役職一覧!$C$2:$C$31,MATCH(逆引き!B193,役職一覧!$C$2:$C$31,FALSE)+1,1)&amp;"",B193),"")</f>
        <v/>
      </c>
      <c r="C194" s="17" t="str">
        <f>IFERROR(IF(VLOOKUP(B193,役職一覧!$C$2:$E$31,3,FALSE)=C193,1,C193+1),"")</f>
        <v/>
      </c>
      <c r="D194" s="17" t="str">
        <f>IFERROR(INDEX(逆引き作成用!$C$2:$C$169,MATCH($B194&amp;"/"&amp;$C194,逆引き作成用!D$2:D$169,FALSE),1),"")</f>
        <v/>
      </c>
      <c r="E194" s="17" t="str">
        <f>IFERROR(INDEX(逆引き作成用!$C$2:$C$169,MATCH($B194&amp;"/"&amp;$C194,逆引き作成用!E$2:E$169,FALSE),1),"")</f>
        <v/>
      </c>
      <c r="F194" s="17" t="str">
        <f>IFERROR(INDEX(逆引き作成用!$C$2:$C$169,MATCH($B194&amp;"/"&amp;$C194,逆引き作成用!F$2:F$169,FALSE),1),"")</f>
        <v/>
      </c>
      <c r="G194" s="17" t="str">
        <f>IFERROR(INDEX(逆引き作成用!$C$2:$C$169,MATCH($B194&amp;"/"&amp;$C194,逆引き作成用!G$2:G$169,FALSE),1),"")</f>
        <v/>
      </c>
      <c r="H194" s="17" t="str">
        <f>IFERROR(INDEX(逆引き作成用!$C$2:$C$169,MATCH($B194&amp;"/"&amp;$C194,逆引き作成用!H$2:H$169,FALSE),1),"")</f>
        <v/>
      </c>
      <c r="I194" s="17" t="str">
        <f>IFERROR(INDEX(逆引き作成用!$C$2:$C$169,MATCH($B194&amp;"/"&amp;$C194,逆引き作成用!I$2:I$169,FALSE),1),"")</f>
        <v/>
      </c>
      <c r="J194" s="17" t="str">
        <f>IFERROR(INDEX(逆引き作成用!$C$2:$C$169,MATCH($B194&amp;"/"&amp;$C194,逆引き作成用!J$2:J$169,FALSE),1),"")</f>
        <v/>
      </c>
      <c r="K194" s="17" t="str">
        <f>IFERROR(INDEX(逆引き作成用!$C$2:$C$169,MATCH($B194&amp;"/"&amp;$C194,逆引き作成用!K$2:K$169,FALSE),1),"")</f>
        <v/>
      </c>
      <c r="L194" s="17" t="str">
        <f>IFERROR(INDEX(逆引き作成用!$C$2:$C$169,MATCH($B194&amp;"/"&amp;$C194,逆引き作成用!L$2:L$169,FALSE),1),"")</f>
        <v/>
      </c>
      <c r="M194" s="17" t="str">
        <f>IFERROR(INDEX(逆引き作成用!$C$2:$C$169,MATCH($B194&amp;"/"&amp;$C194,逆引き作成用!M$2:M$169,FALSE),1),"")</f>
        <v/>
      </c>
      <c r="N194" s="17" t="str">
        <f>IFERROR(INDEX(逆引き作成用!$C$2:$C$169,MATCH($B194&amp;"/"&amp;$C194,逆引き作成用!N$2:N$169,FALSE),1),"")</f>
        <v/>
      </c>
      <c r="O194" s="17" t="str">
        <f>IFERROR(INDEX(逆引き作成用!$C$2:$C$169,MATCH($B194&amp;"/"&amp;$C194,逆引き作成用!O$2:O$169,FALSE),1),"")</f>
        <v/>
      </c>
      <c r="P194" s="17" t="str">
        <f>IFERROR(INDEX(逆引き作成用!$C$2:$C$169,MATCH($B194&amp;"/"&amp;$C194,逆引き作成用!P$2:P$169,FALSE),1),"")</f>
        <v/>
      </c>
      <c r="Q194" s="17" t="str">
        <f>IFERROR(INDEX(逆引き作成用!$C$2:$C$169,MATCH($B194&amp;"/"&amp;$C194,逆引き作成用!Q$2:Q$169,FALSE),1),"")</f>
        <v/>
      </c>
      <c r="R194" s="17" t="str">
        <f>IFERROR(INDEX(逆引き作成用!$C$2:$C$169,MATCH($B194&amp;"/"&amp;$C194,逆引き作成用!R$2:R$169,FALSE),1),"")</f>
        <v/>
      </c>
      <c r="S194" s="17" t="str">
        <f>IFERROR(INDEX(逆引き作成用!$C$2:$C$169,MATCH($B194&amp;"/"&amp;$C194,逆引き作成用!S$2:S$169,FALSE),1),"")</f>
        <v/>
      </c>
      <c r="T194" s="17" t="str">
        <f>IFERROR(INDEX(逆引き作成用!$C$2:$C$169,MATCH($B194&amp;"/"&amp;$C194,逆引き作成用!T$2:T$169,FALSE),1),"")</f>
        <v/>
      </c>
      <c r="U194" s="17" t="str">
        <f>IFERROR(INDEX(逆引き作成用!$C$2:$C$169,MATCH($B194&amp;"/"&amp;$C194,逆引き作成用!U$2:U$169,FALSE),1),"")</f>
        <v/>
      </c>
      <c r="V194" s="17" t="str">
        <f>IFERROR(INDEX(逆引き作成用!$C$2:$C$169,MATCH($B194&amp;"/"&amp;$C194,逆引き作成用!V$2:V$169,FALSE),1),"")</f>
        <v/>
      </c>
      <c r="W194" s="17" t="str">
        <f>IFERROR(INDEX(逆引き作成用!$C$2:$C$169,MATCH($B194&amp;"/"&amp;$C194,逆引き作成用!W$2:W$169,FALSE),1),"")</f>
        <v/>
      </c>
      <c r="X194" s="17" t="str">
        <f>IFERROR(INDEX(逆引き作成用!$C$2:$C$169,MATCH($B194&amp;"/"&amp;$C194,逆引き作成用!X$2:X$169,FALSE),1),"")</f>
        <v/>
      </c>
      <c r="Y194" s="17" t="str">
        <f>IFERROR(INDEX(逆引き作成用!$C$2:$C$169,MATCH($B194&amp;"/"&amp;$C194,逆引き作成用!Y$2:Y$169,FALSE),1),"")</f>
        <v/>
      </c>
      <c r="Z194" s="17" t="str">
        <f>IFERROR(INDEX(逆引き作成用!$C$2:$C$169,MATCH($B194&amp;"/"&amp;$C194,逆引き作成用!Z$2:Z$169,FALSE),1),"")</f>
        <v/>
      </c>
      <c r="AA194" s="17" t="str">
        <f>IFERROR(INDEX(逆引き作成用!$C$2:$C$169,MATCH($B194&amp;"/"&amp;$C194,逆引き作成用!AA$2:AA$169,FALSE),1),"")</f>
        <v/>
      </c>
      <c r="AB194" s="17" t="str">
        <f>IFERROR(INDEX(逆引き作成用!$C$2:$C$169,MATCH($B194&amp;"/"&amp;$C194,逆引き作成用!AB$2:AB$169,FALSE),1),"")</f>
        <v/>
      </c>
      <c r="AC194" s="17" t="str">
        <f>IFERROR(INDEX(逆引き作成用!$C$2:$C$169,MATCH($B194&amp;"/"&amp;$C194,逆引き作成用!AC$2:AC$169,FALSE),1),"")</f>
        <v/>
      </c>
      <c r="AD194" s="17" t="str">
        <f>IFERROR(INDEX(逆引き作成用!$C$2:$C$169,MATCH($B194&amp;"/"&amp;$C194,逆引き作成用!AD$2:AD$169,FALSE),1),"")</f>
        <v/>
      </c>
      <c r="AE194" s="17" t="str">
        <f>IFERROR(INDEX(逆引き作成用!$C$2:$C$169,MATCH($B194&amp;"/"&amp;$C194,逆引き作成用!AE$2:AE$169,FALSE),1),"")</f>
        <v/>
      </c>
      <c r="AF194" s="17" t="str">
        <f>IFERROR(INDEX(逆引き作成用!$C$2:$C$169,MATCH($B194&amp;"/"&amp;$C194,逆引き作成用!AF$2:AF$169,FALSE),1),"")</f>
        <v/>
      </c>
      <c r="AG194" s="17" t="str">
        <f>IFERROR(INDEX(逆引き作成用!$C$2:$C$169,MATCH($B194&amp;"/"&amp;$C194,逆引き作成用!AG$2:AG$169,FALSE),1),"")</f>
        <v/>
      </c>
      <c r="AH194" s="17" t="str">
        <f>IFERROR(INDEX(逆引き作成用!$C$2:$C$169,MATCH($B194&amp;"/"&amp;$C194,逆引き作成用!AH$2:AH$169,FALSE),1),"")</f>
        <v/>
      </c>
      <c r="AI194" s="17" t="str">
        <f>IFERROR(INDEX(逆引き作成用!$C$2:$C$169,MATCH($B194&amp;"/"&amp;$C194,逆引き作成用!AI$2:AI$169,FALSE),1),"")</f>
        <v/>
      </c>
      <c r="AJ194" s="17" t="str">
        <f>IFERROR(INDEX(逆引き作成用!$C$2:$C$169,MATCH($B194&amp;"/"&amp;$C194,逆引き作成用!AJ$2:AJ$169,FALSE),1),"")</f>
        <v/>
      </c>
      <c r="AK194" s="17" t="str">
        <f>IFERROR(INDEX(逆引き作成用!$C$2:$C$169,MATCH($B194&amp;"/"&amp;$C194,逆引き作成用!AK$2:AK$169,FALSE),1),"")</f>
        <v/>
      </c>
      <c r="AL194" s="17" t="str">
        <f>IFERROR(INDEX(逆引き作成用!$C$2:$C$169,MATCH($B194&amp;"/"&amp;$C194,逆引き作成用!AL$2:AL$169,FALSE),1),"")</f>
        <v/>
      </c>
      <c r="AM194" s="17" t="str">
        <f>IFERROR(INDEX(逆引き作成用!$C$2:$C$169,MATCH($B194&amp;"/"&amp;$C194,逆引き作成用!AM$2:AM$169,FALSE),1),"")</f>
        <v/>
      </c>
      <c r="AN194" s="17" t="str">
        <f>IFERROR(INDEX(逆引き作成用!$C$2:$C$169,MATCH($B194&amp;"/"&amp;$C194,逆引き作成用!AN$2:AN$169,FALSE),1),"")</f>
        <v/>
      </c>
      <c r="AO194" s="17" t="str">
        <f>IFERROR(INDEX(逆引き作成用!$C$2:$C$169,MATCH($B194&amp;"/"&amp;$C194,逆引き作成用!AO$2:AO$169,FALSE),1),"")</f>
        <v/>
      </c>
      <c r="AP194" s="17" t="str">
        <f>IFERROR(INDEX(逆引き作成用!$C$2:$C$169,MATCH($B194&amp;"/"&amp;$C194,逆引き作成用!AP$2:AP$169,FALSE),1),"")</f>
        <v/>
      </c>
      <c r="AQ194" s="17" t="str">
        <f>IFERROR(INDEX(逆引き作成用!$C$2:$C$169,MATCH($B194&amp;"/"&amp;$C194,逆引き作成用!AQ$2:AQ$169,FALSE),1),"")</f>
        <v/>
      </c>
      <c r="AR194" s="17" t="str">
        <f>IFERROR(INDEX(逆引き作成用!$C$2:$C$169,MATCH($B194&amp;"/"&amp;$C194,逆引き作成用!AR$2:AR$169,FALSE),1),"")</f>
        <v/>
      </c>
      <c r="AS194" s="17" t="str">
        <f>IFERROR(INDEX(逆引き作成用!$C$2:$C$169,MATCH($B194&amp;"/"&amp;$C194,逆引き作成用!AS$2:AS$169,FALSE),1),"")</f>
        <v/>
      </c>
      <c r="AT194" s="17" t="str">
        <f>IFERROR(INDEX(逆引き作成用!$C$2:$C$169,MATCH($B194&amp;"/"&amp;$C194,逆引き作成用!AT$2:AT$169,FALSE),1),"")</f>
        <v/>
      </c>
      <c r="AU194" s="17" t="str">
        <f>IFERROR(INDEX(逆引き作成用!$C$2:$C$169,MATCH($B194&amp;"/"&amp;$C194,逆引き作成用!AU$2:AU$169,FALSE),1),"")</f>
        <v/>
      </c>
      <c r="AV194" s="17" t="str">
        <f>IFERROR(INDEX(逆引き作成用!$C$2:$C$169,MATCH($B194&amp;"/"&amp;$C194,逆引き作成用!AV$2:AV$169,FALSE),1),"")</f>
        <v/>
      </c>
      <c r="AW194" s="17" t="str">
        <f>IFERROR(INDEX(逆引き作成用!$C$2:$C$169,MATCH($B194&amp;"/"&amp;$C194,逆引き作成用!AW$2:AW$169,FALSE),1),"")</f>
        <v/>
      </c>
      <c r="AX194" s="17" t="str">
        <f>IFERROR(INDEX(逆引き作成用!$C$2:$C$169,MATCH($B194&amp;"/"&amp;$C194,逆引き作成用!AX$2:AX$169,FALSE),1),"")</f>
        <v/>
      </c>
      <c r="AY194" s="17" t="str">
        <f>IFERROR(INDEX(逆引き作成用!$C$2:$C$169,MATCH($B194&amp;"/"&amp;$C194,逆引き作成用!AY$2:AY$169,FALSE),1),"")</f>
        <v/>
      </c>
      <c r="AZ194" s="17" t="str">
        <f>IFERROR(INDEX(逆引き作成用!$C$2:$C$169,MATCH($B194&amp;"/"&amp;$C194,逆引き作成用!AZ$2:AZ$169,FALSE),1),"")</f>
        <v/>
      </c>
      <c r="BA194" s="17" t="str">
        <f>IFERROR(INDEX(逆引き作成用!$C$2:$C$169,MATCH($B194&amp;"/"&amp;$C194,逆引き作成用!BA$2:BA$169,FALSE),1),"")</f>
        <v/>
      </c>
    </row>
    <row r="195" spans="1:53">
      <c r="A195" s="17" t="str">
        <f>IFERROR(INDEX(役職一覧!$B$2:$B$31,MATCH(B195,役職一覧!$C$2:$C$31,FALSE),1),"")</f>
        <v/>
      </c>
      <c r="B195" s="17" t="str">
        <f>IFERROR(IF(C195=1,INDEX(役職一覧!$C$2:$C$31,MATCH(逆引き!B194,役職一覧!$C$2:$C$31,FALSE)+1,1)&amp;"",B194),"")</f>
        <v/>
      </c>
      <c r="C195" s="17" t="str">
        <f>IFERROR(IF(VLOOKUP(B194,役職一覧!$C$2:$E$31,3,FALSE)=C194,1,C194+1),"")</f>
        <v/>
      </c>
      <c r="D195" s="17" t="str">
        <f>IFERROR(INDEX(逆引き作成用!$C$2:$C$169,MATCH($B195&amp;"/"&amp;$C195,逆引き作成用!D$2:D$169,FALSE),1),"")</f>
        <v/>
      </c>
      <c r="E195" s="17" t="str">
        <f>IFERROR(INDEX(逆引き作成用!$C$2:$C$169,MATCH($B195&amp;"/"&amp;$C195,逆引き作成用!E$2:E$169,FALSE),1),"")</f>
        <v/>
      </c>
      <c r="F195" s="17" t="str">
        <f>IFERROR(INDEX(逆引き作成用!$C$2:$C$169,MATCH($B195&amp;"/"&amp;$C195,逆引き作成用!F$2:F$169,FALSE),1),"")</f>
        <v/>
      </c>
      <c r="G195" s="17" t="str">
        <f>IFERROR(INDEX(逆引き作成用!$C$2:$C$169,MATCH($B195&amp;"/"&amp;$C195,逆引き作成用!G$2:G$169,FALSE),1),"")</f>
        <v/>
      </c>
      <c r="H195" s="17" t="str">
        <f>IFERROR(INDEX(逆引き作成用!$C$2:$C$169,MATCH($B195&amp;"/"&amp;$C195,逆引き作成用!H$2:H$169,FALSE),1),"")</f>
        <v/>
      </c>
      <c r="I195" s="17" t="str">
        <f>IFERROR(INDEX(逆引き作成用!$C$2:$C$169,MATCH($B195&amp;"/"&amp;$C195,逆引き作成用!I$2:I$169,FALSE),1),"")</f>
        <v/>
      </c>
      <c r="J195" s="17" t="str">
        <f>IFERROR(INDEX(逆引き作成用!$C$2:$C$169,MATCH($B195&amp;"/"&amp;$C195,逆引き作成用!J$2:J$169,FALSE),1),"")</f>
        <v/>
      </c>
      <c r="K195" s="17" t="str">
        <f>IFERROR(INDEX(逆引き作成用!$C$2:$C$169,MATCH($B195&amp;"/"&amp;$C195,逆引き作成用!K$2:K$169,FALSE),1),"")</f>
        <v/>
      </c>
      <c r="L195" s="17" t="str">
        <f>IFERROR(INDEX(逆引き作成用!$C$2:$C$169,MATCH($B195&amp;"/"&amp;$C195,逆引き作成用!L$2:L$169,FALSE),1),"")</f>
        <v/>
      </c>
      <c r="M195" s="17" t="str">
        <f>IFERROR(INDEX(逆引き作成用!$C$2:$C$169,MATCH($B195&amp;"/"&amp;$C195,逆引き作成用!M$2:M$169,FALSE),1),"")</f>
        <v/>
      </c>
      <c r="N195" s="17" t="str">
        <f>IFERROR(INDEX(逆引き作成用!$C$2:$C$169,MATCH($B195&amp;"/"&amp;$C195,逆引き作成用!N$2:N$169,FALSE),1),"")</f>
        <v/>
      </c>
      <c r="O195" s="17" t="str">
        <f>IFERROR(INDEX(逆引き作成用!$C$2:$C$169,MATCH($B195&amp;"/"&amp;$C195,逆引き作成用!O$2:O$169,FALSE),1),"")</f>
        <v/>
      </c>
      <c r="P195" s="17" t="str">
        <f>IFERROR(INDEX(逆引き作成用!$C$2:$C$169,MATCH($B195&amp;"/"&amp;$C195,逆引き作成用!P$2:P$169,FALSE),1),"")</f>
        <v/>
      </c>
      <c r="Q195" s="17" t="str">
        <f>IFERROR(INDEX(逆引き作成用!$C$2:$C$169,MATCH($B195&amp;"/"&amp;$C195,逆引き作成用!Q$2:Q$169,FALSE),1),"")</f>
        <v/>
      </c>
      <c r="R195" s="17" t="str">
        <f>IFERROR(INDEX(逆引き作成用!$C$2:$C$169,MATCH($B195&amp;"/"&amp;$C195,逆引き作成用!R$2:R$169,FALSE),1),"")</f>
        <v/>
      </c>
      <c r="S195" s="17" t="str">
        <f>IFERROR(INDEX(逆引き作成用!$C$2:$C$169,MATCH($B195&amp;"/"&amp;$C195,逆引き作成用!S$2:S$169,FALSE),1),"")</f>
        <v/>
      </c>
      <c r="T195" s="17" t="str">
        <f>IFERROR(INDEX(逆引き作成用!$C$2:$C$169,MATCH($B195&amp;"/"&amp;$C195,逆引き作成用!T$2:T$169,FALSE),1),"")</f>
        <v/>
      </c>
      <c r="U195" s="17" t="str">
        <f>IFERROR(INDEX(逆引き作成用!$C$2:$C$169,MATCH($B195&amp;"/"&amp;$C195,逆引き作成用!U$2:U$169,FALSE),1),"")</f>
        <v/>
      </c>
      <c r="V195" s="17" t="str">
        <f>IFERROR(INDEX(逆引き作成用!$C$2:$C$169,MATCH($B195&amp;"/"&amp;$C195,逆引き作成用!V$2:V$169,FALSE),1),"")</f>
        <v/>
      </c>
      <c r="W195" s="17" t="str">
        <f>IFERROR(INDEX(逆引き作成用!$C$2:$C$169,MATCH($B195&amp;"/"&amp;$C195,逆引き作成用!W$2:W$169,FALSE),1),"")</f>
        <v/>
      </c>
      <c r="X195" s="17" t="str">
        <f>IFERROR(INDEX(逆引き作成用!$C$2:$C$169,MATCH($B195&amp;"/"&amp;$C195,逆引き作成用!X$2:X$169,FALSE),1),"")</f>
        <v/>
      </c>
      <c r="Y195" s="17" t="str">
        <f>IFERROR(INDEX(逆引き作成用!$C$2:$C$169,MATCH($B195&amp;"/"&amp;$C195,逆引き作成用!Y$2:Y$169,FALSE),1),"")</f>
        <v/>
      </c>
      <c r="Z195" s="17" t="str">
        <f>IFERROR(INDEX(逆引き作成用!$C$2:$C$169,MATCH($B195&amp;"/"&amp;$C195,逆引き作成用!Z$2:Z$169,FALSE),1),"")</f>
        <v/>
      </c>
      <c r="AA195" s="17" t="str">
        <f>IFERROR(INDEX(逆引き作成用!$C$2:$C$169,MATCH($B195&amp;"/"&amp;$C195,逆引き作成用!AA$2:AA$169,FALSE),1),"")</f>
        <v/>
      </c>
      <c r="AB195" s="17" t="str">
        <f>IFERROR(INDEX(逆引き作成用!$C$2:$C$169,MATCH($B195&amp;"/"&amp;$C195,逆引き作成用!AB$2:AB$169,FALSE),1),"")</f>
        <v/>
      </c>
      <c r="AC195" s="17" t="str">
        <f>IFERROR(INDEX(逆引き作成用!$C$2:$C$169,MATCH($B195&amp;"/"&amp;$C195,逆引き作成用!AC$2:AC$169,FALSE),1),"")</f>
        <v/>
      </c>
      <c r="AD195" s="17" t="str">
        <f>IFERROR(INDEX(逆引き作成用!$C$2:$C$169,MATCH($B195&amp;"/"&amp;$C195,逆引き作成用!AD$2:AD$169,FALSE),1),"")</f>
        <v/>
      </c>
      <c r="AE195" s="17" t="str">
        <f>IFERROR(INDEX(逆引き作成用!$C$2:$C$169,MATCH($B195&amp;"/"&amp;$C195,逆引き作成用!AE$2:AE$169,FALSE),1),"")</f>
        <v/>
      </c>
      <c r="AF195" s="17" t="str">
        <f>IFERROR(INDEX(逆引き作成用!$C$2:$C$169,MATCH($B195&amp;"/"&amp;$C195,逆引き作成用!AF$2:AF$169,FALSE),1),"")</f>
        <v/>
      </c>
      <c r="AG195" s="17" t="str">
        <f>IFERROR(INDEX(逆引き作成用!$C$2:$C$169,MATCH($B195&amp;"/"&amp;$C195,逆引き作成用!AG$2:AG$169,FALSE),1),"")</f>
        <v/>
      </c>
      <c r="AH195" s="17" t="str">
        <f>IFERROR(INDEX(逆引き作成用!$C$2:$C$169,MATCH($B195&amp;"/"&amp;$C195,逆引き作成用!AH$2:AH$169,FALSE),1),"")</f>
        <v/>
      </c>
      <c r="AI195" s="17" t="str">
        <f>IFERROR(INDEX(逆引き作成用!$C$2:$C$169,MATCH($B195&amp;"/"&amp;$C195,逆引き作成用!AI$2:AI$169,FALSE),1),"")</f>
        <v/>
      </c>
      <c r="AJ195" s="17" t="str">
        <f>IFERROR(INDEX(逆引き作成用!$C$2:$C$169,MATCH($B195&amp;"/"&amp;$C195,逆引き作成用!AJ$2:AJ$169,FALSE),1),"")</f>
        <v/>
      </c>
      <c r="AK195" s="17" t="str">
        <f>IFERROR(INDEX(逆引き作成用!$C$2:$C$169,MATCH($B195&amp;"/"&amp;$C195,逆引き作成用!AK$2:AK$169,FALSE),1),"")</f>
        <v/>
      </c>
      <c r="AL195" s="17" t="str">
        <f>IFERROR(INDEX(逆引き作成用!$C$2:$C$169,MATCH($B195&amp;"/"&amp;$C195,逆引き作成用!AL$2:AL$169,FALSE),1),"")</f>
        <v/>
      </c>
      <c r="AM195" s="17" t="str">
        <f>IFERROR(INDEX(逆引き作成用!$C$2:$C$169,MATCH($B195&amp;"/"&amp;$C195,逆引き作成用!AM$2:AM$169,FALSE),1),"")</f>
        <v/>
      </c>
      <c r="AN195" s="17" t="str">
        <f>IFERROR(INDEX(逆引き作成用!$C$2:$C$169,MATCH($B195&amp;"/"&amp;$C195,逆引き作成用!AN$2:AN$169,FALSE),1),"")</f>
        <v/>
      </c>
      <c r="AO195" s="17" t="str">
        <f>IFERROR(INDEX(逆引き作成用!$C$2:$C$169,MATCH($B195&amp;"/"&amp;$C195,逆引き作成用!AO$2:AO$169,FALSE),1),"")</f>
        <v/>
      </c>
      <c r="AP195" s="17" t="str">
        <f>IFERROR(INDEX(逆引き作成用!$C$2:$C$169,MATCH($B195&amp;"/"&amp;$C195,逆引き作成用!AP$2:AP$169,FALSE),1),"")</f>
        <v/>
      </c>
      <c r="AQ195" s="17" t="str">
        <f>IFERROR(INDEX(逆引き作成用!$C$2:$C$169,MATCH($B195&amp;"/"&amp;$C195,逆引き作成用!AQ$2:AQ$169,FALSE),1),"")</f>
        <v/>
      </c>
      <c r="AR195" s="17" t="str">
        <f>IFERROR(INDEX(逆引き作成用!$C$2:$C$169,MATCH($B195&amp;"/"&amp;$C195,逆引き作成用!AR$2:AR$169,FALSE),1),"")</f>
        <v/>
      </c>
      <c r="AS195" s="17" t="str">
        <f>IFERROR(INDEX(逆引き作成用!$C$2:$C$169,MATCH($B195&amp;"/"&amp;$C195,逆引き作成用!AS$2:AS$169,FALSE),1),"")</f>
        <v/>
      </c>
      <c r="AT195" s="17" t="str">
        <f>IFERROR(INDEX(逆引き作成用!$C$2:$C$169,MATCH($B195&amp;"/"&amp;$C195,逆引き作成用!AT$2:AT$169,FALSE),1),"")</f>
        <v/>
      </c>
      <c r="AU195" s="17" t="str">
        <f>IFERROR(INDEX(逆引き作成用!$C$2:$C$169,MATCH($B195&amp;"/"&amp;$C195,逆引き作成用!AU$2:AU$169,FALSE),1),"")</f>
        <v/>
      </c>
      <c r="AV195" s="17" t="str">
        <f>IFERROR(INDEX(逆引き作成用!$C$2:$C$169,MATCH($B195&amp;"/"&amp;$C195,逆引き作成用!AV$2:AV$169,FALSE),1),"")</f>
        <v/>
      </c>
      <c r="AW195" s="17" t="str">
        <f>IFERROR(INDEX(逆引き作成用!$C$2:$C$169,MATCH($B195&amp;"/"&amp;$C195,逆引き作成用!AW$2:AW$169,FALSE),1),"")</f>
        <v/>
      </c>
      <c r="AX195" s="17" t="str">
        <f>IFERROR(INDEX(逆引き作成用!$C$2:$C$169,MATCH($B195&amp;"/"&amp;$C195,逆引き作成用!AX$2:AX$169,FALSE),1),"")</f>
        <v/>
      </c>
      <c r="AY195" s="17" t="str">
        <f>IFERROR(INDEX(逆引き作成用!$C$2:$C$169,MATCH($B195&amp;"/"&amp;$C195,逆引き作成用!AY$2:AY$169,FALSE),1),"")</f>
        <v/>
      </c>
      <c r="AZ195" s="17" t="str">
        <f>IFERROR(INDEX(逆引き作成用!$C$2:$C$169,MATCH($B195&amp;"/"&amp;$C195,逆引き作成用!AZ$2:AZ$169,FALSE),1),"")</f>
        <v/>
      </c>
      <c r="BA195" s="17" t="str">
        <f>IFERROR(INDEX(逆引き作成用!$C$2:$C$169,MATCH($B195&amp;"/"&amp;$C195,逆引き作成用!BA$2:BA$169,FALSE),1),"")</f>
        <v/>
      </c>
    </row>
    <row r="196" spans="1:53">
      <c r="A196" s="17" t="str">
        <f>IFERROR(INDEX(役職一覧!$B$2:$B$31,MATCH(B196,役職一覧!$C$2:$C$31,FALSE),1),"")</f>
        <v/>
      </c>
      <c r="B196" s="17" t="str">
        <f>IFERROR(IF(C196=1,INDEX(役職一覧!$C$2:$C$31,MATCH(逆引き!B195,役職一覧!$C$2:$C$31,FALSE)+1,1)&amp;"",B195),"")</f>
        <v/>
      </c>
      <c r="C196" s="17" t="str">
        <f>IFERROR(IF(VLOOKUP(B195,役職一覧!$C$2:$E$31,3,FALSE)=C195,1,C195+1),"")</f>
        <v/>
      </c>
      <c r="D196" s="17" t="str">
        <f>IFERROR(INDEX(逆引き作成用!$C$2:$C$169,MATCH($B196&amp;"/"&amp;$C196,逆引き作成用!D$2:D$169,FALSE),1),"")</f>
        <v/>
      </c>
      <c r="E196" s="17" t="str">
        <f>IFERROR(INDEX(逆引き作成用!$C$2:$C$169,MATCH($B196&amp;"/"&amp;$C196,逆引き作成用!E$2:E$169,FALSE),1),"")</f>
        <v/>
      </c>
      <c r="F196" s="17" t="str">
        <f>IFERROR(INDEX(逆引き作成用!$C$2:$C$169,MATCH($B196&amp;"/"&amp;$C196,逆引き作成用!F$2:F$169,FALSE),1),"")</f>
        <v/>
      </c>
      <c r="G196" s="17" t="str">
        <f>IFERROR(INDEX(逆引き作成用!$C$2:$C$169,MATCH($B196&amp;"/"&amp;$C196,逆引き作成用!G$2:G$169,FALSE),1),"")</f>
        <v/>
      </c>
      <c r="H196" s="17" t="str">
        <f>IFERROR(INDEX(逆引き作成用!$C$2:$C$169,MATCH($B196&amp;"/"&amp;$C196,逆引き作成用!H$2:H$169,FALSE),1),"")</f>
        <v/>
      </c>
      <c r="I196" s="17" t="str">
        <f>IFERROR(INDEX(逆引き作成用!$C$2:$C$169,MATCH($B196&amp;"/"&amp;$C196,逆引き作成用!I$2:I$169,FALSE),1),"")</f>
        <v/>
      </c>
      <c r="J196" s="17" t="str">
        <f>IFERROR(INDEX(逆引き作成用!$C$2:$C$169,MATCH($B196&amp;"/"&amp;$C196,逆引き作成用!J$2:J$169,FALSE),1),"")</f>
        <v/>
      </c>
      <c r="K196" s="17" t="str">
        <f>IFERROR(INDEX(逆引き作成用!$C$2:$C$169,MATCH($B196&amp;"/"&amp;$C196,逆引き作成用!K$2:K$169,FALSE),1),"")</f>
        <v/>
      </c>
      <c r="L196" s="17" t="str">
        <f>IFERROR(INDEX(逆引き作成用!$C$2:$C$169,MATCH($B196&amp;"/"&amp;$C196,逆引き作成用!L$2:L$169,FALSE),1),"")</f>
        <v/>
      </c>
      <c r="M196" s="17" t="str">
        <f>IFERROR(INDEX(逆引き作成用!$C$2:$C$169,MATCH($B196&amp;"/"&amp;$C196,逆引き作成用!M$2:M$169,FALSE),1),"")</f>
        <v/>
      </c>
      <c r="N196" s="17" t="str">
        <f>IFERROR(INDEX(逆引き作成用!$C$2:$C$169,MATCH($B196&amp;"/"&amp;$C196,逆引き作成用!N$2:N$169,FALSE),1),"")</f>
        <v/>
      </c>
      <c r="O196" s="17" t="str">
        <f>IFERROR(INDEX(逆引き作成用!$C$2:$C$169,MATCH($B196&amp;"/"&amp;$C196,逆引き作成用!O$2:O$169,FALSE),1),"")</f>
        <v/>
      </c>
      <c r="P196" s="17" t="str">
        <f>IFERROR(INDEX(逆引き作成用!$C$2:$C$169,MATCH($B196&amp;"/"&amp;$C196,逆引き作成用!P$2:P$169,FALSE),1),"")</f>
        <v/>
      </c>
      <c r="Q196" s="17" t="str">
        <f>IFERROR(INDEX(逆引き作成用!$C$2:$C$169,MATCH($B196&amp;"/"&amp;$C196,逆引き作成用!Q$2:Q$169,FALSE),1),"")</f>
        <v/>
      </c>
      <c r="R196" s="17" t="str">
        <f>IFERROR(INDEX(逆引き作成用!$C$2:$C$169,MATCH($B196&amp;"/"&amp;$C196,逆引き作成用!R$2:R$169,FALSE),1),"")</f>
        <v/>
      </c>
      <c r="S196" s="17" t="str">
        <f>IFERROR(INDEX(逆引き作成用!$C$2:$C$169,MATCH($B196&amp;"/"&amp;$C196,逆引き作成用!S$2:S$169,FALSE),1),"")</f>
        <v/>
      </c>
      <c r="T196" s="17" t="str">
        <f>IFERROR(INDEX(逆引き作成用!$C$2:$C$169,MATCH($B196&amp;"/"&amp;$C196,逆引き作成用!T$2:T$169,FALSE),1),"")</f>
        <v/>
      </c>
      <c r="U196" s="17" t="str">
        <f>IFERROR(INDEX(逆引き作成用!$C$2:$C$169,MATCH($B196&amp;"/"&amp;$C196,逆引き作成用!U$2:U$169,FALSE),1),"")</f>
        <v/>
      </c>
      <c r="V196" s="17" t="str">
        <f>IFERROR(INDEX(逆引き作成用!$C$2:$C$169,MATCH($B196&amp;"/"&amp;$C196,逆引き作成用!V$2:V$169,FALSE),1),"")</f>
        <v/>
      </c>
      <c r="W196" s="17" t="str">
        <f>IFERROR(INDEX(逆引き作成用!$C$2:$C$169,MATCH($B196&amp;"/"&amp;$C196,逆引き作成用!W$2:W$169,FALSE),1),"")</f>
        <v/>
      </c>
      <c r="X196" s="17" t="str">
        <f>IFERROR(INDEX(逆引き作成用!$C$2:$C$169,MATCH($B196&amp;"/"&amp;$C196,逆引き作成用!X$2:X$169,FALSE),1),"")</f>
        <v/>
      </c>
      <c r="Y196" s="17" t="str">
        <f>IFERROR(INDEX(逆引き作成用!$C$2:$C$169,MATCH($B196&amp;"/"&amp;$C196,逆引き作成用!Y$2:Y$169,FALSE),1),"")</f>
        <v/>
      </c>
      <c r="Z196" s="17" t="str">
        <f>IFERROR(INDEX(逆引き作成用!$C$2:$C$169,MATCH($B196&amp;"/"&amp;$C196,逆引き作成用!Z$2:Z$169,FALSE),1),"")</f>
        <v/>
      </c>
      <c r="AA196" s="17" t="str">
        <f>IFERROR(INDEX(逆引き作成用!$C$2:$C$169,MATCH($B196&amp;"/"&amp;$C196,逆引き作成用!AA$2:AA$169,FALSE),1),"")</f>
        <v/>
      </c>
      <c r="AB196" s="17" t="str">
        <f>IFERROR(INDEX(逆引き作成用!$C$2:$C$169,MATCH($B196&amp;"/"&amp;$C196,逆引き作成用!AB$2:AB$169,FALSE),1),"")</f>
        <v/>
      </c>
      <c r="AC196" s="17" t="str">
        <f>IFERROR(INDEX(逆引き作成用!$C$2:$C$169,MATCH($B196&amp;"/"&amp;$C196,逆引き作成用!AC$2:AC$169,FALSE),1),"")</f>
        <v/>
      </c>
      <c r="AD196" s="17" t="str">
        <f>IFERROR(INDEX(逆引き作成用!$C$2:$C$169,MATCH($B196&amp;"/"&amp;$C196,逆引き作成用!AD$2:AD$169,FALSE),1),"")</f>
        <v/>
      </c>
      <c r="AE196" s="17" t="str">
        <f>IFERROR(INDEX(逆引き作成用!$C$2:$C$169,MATCH($B196&amp;"/"&amp;$C196,逆引き作成用!AE$2:AE$169,FALSE),1),"")</f>
        <v/>
      </c>
      <c r="AF196" s="17" t="str">
        <f>IFERROR(INDEX(逆引き作成用!$C$2:$C$169,MATCH($B196&amp;"/"&amp;$C196,逆引き作成用!AF$2:AF$169,FALSE),1),"")</f>
        <v/>
      </c>
      <c r="AG196" s="17" t="str">
        <f>IFERROR(INDEX(逆引き作成用!$C$2:$C$169,MATCH($B196&amp;"/"&amp;$C196,逆引き作成用!AG$2:AG$169,FALSE),1),"")</f>
        <v/>
      </c>
      <c r="AH196" s="17" t="str">
        <f>IFERROR(INDEX(逆引き作成用!$C$2:$C$169,MATCH($B196&amp;"/"&amp;$C196,逆引き作成用!AH$2:AH$169,FALSE),1),"")</f>
        <v/>
      </c>
      <c r="AI196" s="17" t="str">
        <f>IFERROR(INDEX(逆引き作成用!$C$2:$C$169,MATCH($B196&amp;"/"&amp;$C196,逆引き作成用!AI$2:AI$169,FALSE),1),"")</f>
        <v/>
      </c>
      <c r="AJ196" s="17" t="str">
        <f>IFERROR(INDEX(逆引き作成用!$C$2:$C$169,MATCH($B196&amp;"/"&amp;$C196,逆引き作成用!AJ$2:AJ$169,FALSE),1),"")</f>
        <v/>
      </c>
      <c r="AK196" s="17" t="str">
        <f>IFERROR(INDEX(逆引き作成用!$C$2:$C$169,MATCH($B196&amp;"/"&amp;$C196,逆引き作成用!AK$2:AK$169,FALSE),1),"")</f>
        <v/>
      </c>
      <c r="AL196" s="17" t="str">
        <f>IFERROR(INDEX(逆引き作成用!$C$2:$C$169,MATCH($B196&amp;"/"&amp;$C196,逆引き作成用!AL$2:AL$169,FALSE),1),"")</f>
        <v/>
      </c>
      <c r="AM196" s="17" t="str">
        <f>IFERROR(INDEX(逆引き作成用!$C$2:$C$169,MATCH($B196&amp;"/"&amp;$C196,逆引き作成用!AM$2:AM$169,FALSE),1),"")</f>
        <v/>
      </c>
      <c r="AN196" s="17" t="str">
        <f>IFERROR(INDEX(逆引き作成用!$C$2:$C$169,MATCH($B196&amp;"/"&amp;$C196,逆引き作成用!AN$2:AN$169,FALSE),1),"")</f>
        <v/>
      </c>
      <c r="AO196" s="17" t="str">
        <f>IFERROR(INDEX(逆引き作成用!$C$2:$C$169,MATCH($B196&amp;"/"&amp;$C196,逆引き作成用!AO$2:AO$169,FALSE),1),"")</f>
        <v/>
      </c>
      <c r="AP196" s="17" t="str">
        <f>IFERROR(INDEX(逆引き作成用!$C$2:$C$169,MATCH($B196&amp;"/"&amp;$C196,逆引き作成用!AP$2:AP$169,FALSE),1),"")</f>
        <v/>
      </c>
      <c r="AQ196" s="17" t="str">
        <f>IFERROR(INDEX(逆引き作成用!$C$2:$C$169,MATCH($B196&amp;"/"&amp;$C196,逆引き作成用!AQ$2:AQ$169,FALSE),1),"")</f>
        <v/>
      </c>
      <c r="AR196" s="17" t="str">
        <f>IFERROR(INDEX(逆引き作成用!$C$2:$C$169,MATCH($B196&amp;"/"&amp;$C196,逆引き作成用!AR$2:AR$169,FALSE),1),"")</f>
        <v/>
      </c>
      <c r="AS196" s="17" t="str">
        <f>IFERROR(INDEX(逆引き作成用!$C$2:$C$169,MATCH($B196&amp;"/"&amp;$C196,逆引き作成用!AS$2:AS$169,FALSE),1),"")</f>
        <v/>
      </c>
      <c r="AT196" s="17" t="str">
        <f>IFERROR(INDEX(逆引き作成用!$C$2:$C$169,MATCH($B196&amp;"/"&amp;$C196,逆引き作成用!AT$2:AT$169,FALSE),1),"")</f>
        <v/>
      </c>
      <c r="AU196" s="17" t="str">
        <f>IFERROR(INDEX(逆引き作成用!$C$2:$C$169,MATCH($B196&amp;"/"&amp;$C196,逆引き作成用!AU$2:AU$169,FALSE),1),"")</f>
        <v/>
      </c>
      <c r="AV196" s="17" t="str">
        <f>IFERROR(INDEX(逆引き作成用!$C$2:$C$169,MATCH($B196&amp;"/"&amp;$C196,逆引き作成用!AV$2:AV$169,FALSE),1),"")</f>
        <v/>
      </c>
      <c r="AW196" s="17" t="str">
        <f>IFERROR(INDEX(逆引き作成用!$C$2:$C$169,MATCH($B196&amp;"/"&amp;$C196,逆引き作成用!AW$2:AW$169,FALSE),1),"")</f>
        <v/>
      </c>
      <c r="AX196" s="17" t="str">
        <f>IFERROR(INDEX(逆引き作成用!$C$2:$C$169,MATCH($B196&amp;"/"&amp;$C196,逆引き作成用!AX$2:AX$169,FALSE),1),"")</f>
        <v/>
      </c>
      <c r="AY196" s="17" t="str">
        <f>IFERROR(INDEX(逆引き作成用!$C$2:$C$169,MATCH($B196&amp;"/"&amp;$C196,逆引き作成用!AY$2:AY$169,FALSE),1),"")</f>
        <v/>
      </c>
      <c r="AZ196" s="17" t="str">
        <f>IFERROR(INDEX(逆引き作成用!$C$2:$C$169,MATCH($B196&amp;"/"&amp;$C196,逆引き作成用!AZ$2:AZ$169,FALSE),1),"")</f>
        <v/>
      </c>
      <c r="BA196" s="17" t="str">
        <f>IFERROR(INDEX(逆引き作成用!$C$2:$C$169,MATCH($B196&amp;"/"&amp;$C196,逆引き作成用!BA$2:BA$169,FALSE),1),"")</f>
        <v/>
      </c>
    </row>
    <row r="197" spans="1:53">
      <c r="A197" s="17" t="str">
        <f>IFERROR(INDEX(役職一覧!$B$2:$B$31,MATCH(B197,役職一覧!$C$2:$C$31,FALSE),1),"")</f>
        <v/>
      </c>
      <c r="B197" s="17" t="str">
        <f>IFERROR(IF(C197=1,INDEX(役職一覧!$C$2:$C$31,MATCH(逆引き!B196,役職一覧!$C$2:$C$31,FALSE)+1,1)&amp;"",B196),"")</f>
        <v/>
      </c>
      <c r="C197" s="17" t="str">
        <f>IFERROR(IF(VLOOKUP(B196,役職一覧!$C$2:$E$31,3,FALSE)=C196,1,C196+1),"")</f>
        <v/>
      </c>
      <c r="D197" s="17" t="str">
        <f>IFERROR(INDEX(逆引き作成用!$C$2:$C$169,MATCH($B197&amp;"/"&amp;$C197,逆引き作成用!D$2:D$169,FALSE),1),"")</f>
        <v/>
      </c>
      <c r="E197" s="17" t="str">
        <f>IFERROR(INDEX(逆引き作成用!$C$2:$C$169,MATCH($B197&amp;"/"&amp;$C197,逆引き作成用!E$2:E$169,FALSE),1),"")</f>
        <v/>
      </c>
      <c r="F197" s="17" t="str">
        <f>IFERROR(INDEX(逆引き作成用!$C$2:$C$169,MATCH($B197&amp;"/"&amp;$C197,逆引き作成用!F$2:F$169,FALSE),1),"")</f>
        <v/>
      </c>
      <c r="G197" s="17" t="str">
        <f>IFERROR(INDEX(逆引き作成用!$C$2:$C$169,MATCH($B197&amp;"/"&amp;$C197,逆引き作成用!G$2:G$169,FALSE),1),"")</f>
        <v/>
      </c>
      <c r="H197" s="17" t="str">
        <f>IFERROR(INDEX(逆引き作成用!$C$2:$C$169,MATCH($B197&amp;"/"&amp;$C197,逆引き作成用!H$2:H$169,FALSE),1),"")</f>
        <v/>
      </c>
      <c r="I197" s="17" t="str">
        <f>IFERROR(INDEX(逆引き作成用!$C$2:$C$169,MATCH($B197&amp;"/"&amp;$C197,逆引き作成用!I$2:I$169,FALSE),1),"")</f>
        <v/>
      </c>
      <c r="J197" s="17" t="str">
        <f>IFERROR(INDEX(逆引き作成用!$C$2:$C$169,MATCH($B197&amp;"/"&amp;$C197,逆引き作成用!J$2:J$169,FALSE),1),"")</f>
        <v/>
      </c>
      <c r="K197" s="17" t="str">
        <f>IFERROR(INDEX(逆引き作成用!$C$2:$C$169,MATCH($B197&amp;"/"&amp;$C197,逆引き作成用!K$2:K$169,FALSE),1),"")</f>
        <v/>
      </c>
      <c r="L197" s="17" t="str">
        <f>IFERROR(INDEX(逆引き作成用!$C$2:$C$169,MATCH($B197&amp;"/"&amp;$C197,逆引き作成用!L$2:L$169,FALSE),1),"")</f>
        <v/>
      </c>
      <c r="M197" s="17" t="str">
        <f>IFERROR(INDEX(逆引き作成用!$C$2:$C$169,MATCH($B197&amp;"/"&amp;$C197,逆引き作成用!M$2:M$169,FALSE),1),"")</f>
        <v/>
      </c>
      <c r="N197" s="17" t="str">
        <f>IFERROR(INDEX(逆引き作成用!$C$2:$C$169,MATCH($B197&amp;"/"&amp;$C197,逆引き作成用!N$2:N$169,FALSE),1),"")</f>
        <v/>
      </c>
      <c r="O197" s="17" t="str">
        <f>IFERROR(INDEX(逆引き作成用!$C$2:$C$169,MATCH($B197&amp;"/"&amp;$C197,逆引き作成用!O$2:O$169,FALSE),1),"")</f>
        <v/>
      </c>
      <c r="P197" s="17" t="str">
        <f>IFERROR(INDEX(逆引き作成用!$C$2:$C$169,MATCH($B197&amp;"/"&amp;$C197,逆引き作成用!P$2:P$169,FALSE),1),"")</f>
        <v/>
      </c>
      <c r="Q197" s="17" t="str">
        <f>IFERROR(INDEX(逆引き作成用!$C$2:$C$169,MATCH($B197&amp;"/"&amp;$C197,逆引き作成用!Q$2:Q$169,FALSE),1),"")</f>
        <v/>
      </c>
      <c r="R197" s="17" t="str">
        <f>IFERROR(INDEX(逆引き作成用!$C$2:$C$169,MATCH($B197&amp;"/"&amp;$C197,逆引き作成用!R$2:R$169,FALSE),1),"")</f>
        <v/>
      </c>
      <c r="S197" s="17" t="str">
        <f>IFERROR(INDEX(逆引き作成用!$C$2:$C$169,MATCH($B197&amp;"/"&amp;$C197,逆引き作成用!S$2:S$169,FALSE),1),"")</f>
        <v/>
      </c>
      <c r="T197" s="17" t="str">
        <f>IFERROR(INDEX(逆引き作成用!$C$2:$C$169,MATCH($B197&amp;"/"&amp;$C197,逆引き作成用!T$2:T$169,FALSE),1),"")</f>
        <v/>
      </c>
      <c r="U197" s="17" t="str">
        <f>IFERROR(INDEX(逆引き作成用!$C$2:$C$169,MATCH($B197&amp;"/"&amp;$C197,逆引き作成用!U$2:U$169,FALSE),1),"")</f>
        <v/>
      </c>
      <c r="V197" s="17" t="str">
        <f>IFERROR(INDEX(逆引き作成用!$C$2:$C$169,MATCH($B197&amp;"/"&amp;$C197,逆引き作成用!V$2:V$169,FALSE),1),"")</f>
        <v/>
      </c>
      <c r="W197" s="17" t="str">
        <f>IFERROR(INDEX(逆引き作成用!$C$2:$C$169,MATCH($B197&amp;"/"&amp;$C197,逆引き作成用!W$2:W$169,FALSE),1),"")</f>
        <v/>
      </c>
      <c r="X197" s="17" t="str">
        <f>IFERROR(INDEX(逆引き作成用!$C$2:$C$169,MATCH($B197&amp;"/"&amp;$C197,逆引き作成用!X$2:X$169,FALSE),1),"")</f>
        <v/>
      </c>
      <c r="Y197" s="17" t="str">
        <f>IFERROR(INDEX(逆引き作成用!$C$2:$C$169,MATCH($B197&amp;"/"&amp;$C197,逆引き作成用!Y$2:Y$169,FALSE),1),"")</f>
        <v/>
      </c>
      <c r="Z197" s="17" t="str">
        <f>IFERROR(INDEX(逆引き作成用!$C$2:$C$169,MATCH($B197&amp;"/"&amp;$C197,逆引き作成用!Z$2:Z$169,FALSE),1),"")</f>
        <v/>
      </c>
      <c r="AA197" s="17" t="str">
        <f>IFERROR(INDEX(逆引き作成用!$C$2:$C$169,MATCH($B197&amp;"/"&amp;$C197,逆引き作成用!AA$2:AA$169,FALSE),1),"")</f>
        <v/>
      </c>
      <c r="AB197" s="17" t="str">
        <f>IFERROR(INDEX(逆引き作成用!$C$2:$C$169,MATCH($B197&amp;"/"&amp;$C197,逆引き作成用!AB$2:AB$169,FALSE),1),"")</f>
        <v/>
      </c>
      <c r="AC197" s="17" t="str">
        <f>IFERROR(INDEX(逆引き作成用!$C$2:$C$169,MATCH($B197&amp;"/"&amp;$C197,逆引き作成用!AC$2:AC$169,FALSE),1),"")</f>
        <v/>
      </c>
      <c r="AD197" s="17" t="str">
        <f>IFERROR(INDEX(逆引き作成用!$C$2:$C$169,MATCH($B197&amp;"/"&amp;$C197,逆引き作成用!AD$2:AD$169,FALSE),1),"")</f>
        <v/>
      </c>
      <c r="AE197" s="17" t="str">
        <f>IFERROR(INDEX(逆引き作成用!$C$2:$C$169,MATCH($B197&amp;"/"&amp;$C197,逆引き作成用!AE$2:AE$169,FALSE),1),"")</f>
        <v/>
      </c>
      <c r="AF197" s="17" t="str">
        <f>IFERROR(INDEX(逆引き作成用!$C$2:$C$169,MATCH($B197&amp;"/"&amp;$C197,逆引き作成用!AF$2:AF$169,FALSE),1),"")</f>
        <v/>
      </c>
      <c r="AG197" s="17" t="str">
        <f>IFERROR(INDEX(逆引き作成用!$C$2:$C$169,MATCH($B197&amp;"/"&amp;$C197,逆引き作成用!AG$2:AG$169,FALSE),1),"")</f>
        <v/>
      </c>
      <c r="AH197" s="17" t="str">
        <f>IFERROR(INDEX(逆引き作成用!$C$2:$C$169,MATCH($B197&amp;"/"&amp;$C197,逆引き作成用!AH$2:AH$169,FALSE),1),"")</f>
        <v/>
      </c>
      <c r="AI197" s="17" t="str">
        <f>IFERROR(INDEX(逆引き作成用!$C$2:$C$169,MATCH($B197&amp;"/"&amp;$C197,逆引き作成用!AI$2:AI$169,FALSE),1),"")</f>
        <v/>
      </c>
      <c r="AJ197" s="17" t="str">
        <f>IFERROR(INDEX(逆引き作成用!$C$2:$C$169,MATCH($B197&amp;"/"&amp;$C197,逆引き作成用!AJ$2:AJ$169,FALSE),1),"")</f>
        <v/>
      </c>
      <c r="AK197" s="17" t="str">
        <f>IFERROR(INDEX(逆引き作成用!$C$2:$C$169,MATCH($B197&amp;"/"&amp;$C197,逆引き作成用!AK$2:AK$169,FALSE),1),"")</f>
        <v/>
      </c>
      <c r="AL197" s="17" t="str">
        <f>IFERROR(INDEX(逆引き作成用!$C$2:$C$169,MATCH($B197&amp;"/"&amp;$C197,逆引き作成用!AL$2:AL$169,FALSE),1),"")</f>
        <v/>
      </c>
      <c r="AM197" s="17" t="str">
        <f>IFERROR(INDEX(逆引き作成用!$C$2:$C$169,MATCH($B197&amp;"/"&amp;$C197,逆引き作成用!AM$2:AM$169,FALSE),1),"")</f>
        <v/>
      </c>
      <c r="AN197" s="17" t="str">
        <f>IFERROR(INDEX(逆引き作成用!$C$2:$C$169,MATCH($B197&amp;"/"&amp;$C197,逆引き作成用!AN$2:AN$169,FALSE),1),"")</f>
        <v/>
      </c>
      <c r="AO197" s="17" t="str">
        <f>IFERROR(INDEX(逆引き作成用!$C$2:$C$169,MATCH($B197&amp;"/"&amp;$C197,逆引き作成用!AO$2:AO$169,FALSE),1),"")</f>
        <v/>
      </c>
      <c r="AP197" s="17" t="str">
        <f>IFERROR(INDEX(逆引き作成用!$C$2:$C$169,MATCH($B197&amp;"/"&amp;$C197,逆引き作成用!AP$2:AP$169,FALSE),1),"")</f>
        <v/>
      </c>
      <c r="AQ197" s="17" t="str">
        <f>IFERROR(INDEX(逆引き作成用!$C$2:$C$169,MATCH($B197&amp;"/"&amp;$C197,逆引き作成用!AQ$2:AQ$169,FALSE),1),"")</f>
        <v/>
      </c>
      <c r="AR197" s="17" t="str">
        <f>IFERROR(INDEX(逆引き作成用!$C$2:$C$169,MATCH($B197&amp;"/"&amp;$C197,逆引き作成用!AR$2:AR$169,FALSE),1),"")</f>
        <v/>
      </c>
      <c r="AS197" s="17" t="str">
        <f>IFERROR(INDEX(逆引き作成用!$C$2:$C$169,MATCH($B197&amp;"/"&amp;$C197,逆引き作成用!AS$2:AS$169,FALSE),1),"")</f>
        <v/>
      </c>
      <c r="AT197" s="17" t="str">
        <f>IFERROR(INDEX(逆引き作成用!$C$2:$C$169,MATCH($B197&amp;"/"&amp;$C197,逆引き作成用!AT$2:AT$169,FALSE),1),"")</f>
        <v/>
      </c>
      <c r="AU197" s="17" t="str">
        <f>IFERROR(INDEX(逆引き作成用!$C$2:$C$169,MATCH($B197&amp;"/"&amp;$C197,逆引き作成用!AU$2:AU$169,FALSE),1),"")</f>
        <v/>
      </c>
      <c r="AV197" s="17" t="str">
        <f>IFERROR(INDEX(逆引き作成用!$C$2:$C$169,MATCH($B197&amp;"/"&amp;$C197,逆引き作成用!AV$2:AV$169,FALSE),1),"")</f>
        <v/>
      </c>
      <c r="AW197" s="17" t="str">
        <f>IFERROR(INDEX(逆引き作成用!$C$2:$C$169,MATCH($B197&amp;"/"&amp;$C197,逆引き作成用!AW$2:AW$169,FALSE),1),"")</f>
        <v/>
      </c>
      <c r="AX197" s="17" t="str">
        <f>IFERROR(INDEX(逆引き作成用!$C$2:$C$169,MATCH($B197&amp;"/"&amp;$C197,逆引き作成用!AX$2:AX$169,FALSE),1),"")</f>
        <v/>
      </c>
      <c r="AY197" s="17" t="str">
        <f>IFERROR(INDEX(逆引き作成用!$C$2:$C$169,MATCH($B197&amp;"/"&amp;$C197,逆引き作成用!AY$2:AY$169,FALSE),1),"")</f>
        <v/>
      </c>
      <c r="AZ197" s="17" t="str">
        <f>IFERROR(INDEX(逆引き作成用!$C$2:$C$169,MATCH($B197&amp;"/"&amp;$C197,逆引き作成用!AZ$2:AZ$169,FALSE),1),"")</f>
        <v/>
      </c>
      <c r="BA197" s="17" t="str">
        <f>IFERROR(INDEX(逆引き作成用!$C$2:$C$169,MATCH($B197&amp;"/"&amp;$C197,逆引き作成用!BA$2:BA$169,FALSE),1),"")</f>
        <v/>
      </c>
    </row>
    <row r="198" spans="1:53">
      <c r="A198" s="17" t="str">
        <f>IFERROR(INDEX(役職一覧!$B$2:$B$31,MATCH(B198,役職一覧!$C$2:$C$31,FALSE),1),"")</f>
        <v/>
      </c>
      <c r="B198" s="17" t="str">
        <f>IFERROR(IF(C198=1,INDEX(役職一覧!$C$2:$C$31,MATCH(逆引き!B197,役職一覧!$C$2:$C$31,FALSE)+1,1)&amp;"",B197),"")</f>
        <v/>
      </c>
      <c r="C198" s="17" t="str">
        <f>IFERROR(IF(VLOOKUP(B197,役職一覧!$C$2:$E$31,3,FALSE)=C197,1,C197+1),"")</f>
        <v/>
      </c>
      <c r="D198" s="17" t="str">
        <f>IFERROR(INDEX(逆引き作成用!$C$2:$C$169,MATCH($B198&amp;"/"&amp;$C198,逆引き作成用!D$2:D$169,FALSE),1),"")</f>
        <v/>
      </c>
      <c r="E198" s="17" t="str">
        <f>IFERROR(INDEX(逆引き作成用!$C$2:$C$169,MATCH($B198&amp;"/"&amp;$C198,逆引き作成用!E$2:E$169,FALSE),1),"")</f>
        <v/>
      </c>
      <c r="F198" s="17" t="str">
        <f>IFERROR(INDEX(逆引き作成用!$C$2:$C$169,MATCH($B198&amp;"/"&amp;$C198,逆引き作成用!F$2:F$169,FALSE),1),"")</f>
        <v/>
      </c>
      <c r="G198" s="17" t="str">
        <f>IFERROR(INDEX(逆引き作成用!$C$2:$C$169,MATCH($B198&amp;"/"&amp;$C198,逆引き作成用!G$2:G$169,FALSE),1),"")</f>
        <v/>
      </c>
      <c r="H198" s="17" t="str">
        <f>IFERROR(INDEX(逆引き作成用!$C$2:$C$169,MATCH($B198&amp;"/"&amp;$C198,逆引き作成用!H$2:H$169,FALSE),1),"")</f>
        <v/>
      </c>
      <c r="I198" s="17" t="str">
        <f>IFERROR(INDEX(逆引き作成用!$C$2:$C$169,MATCH($B198&amp;"/"&amp;$C198,逆引き作成用!I$2:I$169,FALSE),1),"")</f>
        <v/>
      </c>
      <c r="J198" s="17" t="str">
        <f>IFERROR(INDEX(逆引き作成用!$C$2:$C$169,MATCH($B198&amp;"/"&amp;$C198,逆引き作成用!J$2:J$169,FALSE),1),"")</f>
        <v/>
      </c>
      <c r="K198" s="17" t="str">
        <f>IFERROR(INDEX(逆引き作成用!$C$2:$C$169,MATCH($B198&amp;"/"&amp;$C198,逆引き作成用!K$2:K$169,FALSE),1),"")</f>
        <v/>
      </c>
      <c r="L198" s="17" t="str">
        <f>IFERROR(INDEX(逆引き作成用!$C$2:$C$169,MATCH($B198&amp;"/"&amp;$C198,逆引き作成用!L$2:L$169,FALSE),1),"")</f>
        <v/>
      </c>
      <c r="M198" s="17" t="str">
        <f>IFERROR(INDEX(逆引き作成用!$C$2:$C$169,MATCH($B198&amp;"/"&amp;$C198,逆引き作成用!M$2:M$169,FALSE),1),"")</f>
        <v/>
      </c>
      <c r="N198" s="17" t="str">
        <f>IFERROR(INDEX(逆引き作成用!$C$2:$C$169,MATCH($B198&amp;"/"&amp;$C198,逆引き作成用!N$2:N$169,FALSE),1),"")</f>
        <v/>
      </c>
      <c r="O198" s="17" t="str">
        <f>IFERROR(INDEX(逆引き作成用!$C$2:$C$169,MATCH($B198&amp;"/"&amp;$C198,逆引き作成用!O$2:O$169,FALSE),1),"")</f>
        <v/>
      </c>
      <c r="P198" s="17" t="str">
        <f>IFERROR(INDEX(逆引き作成用!$C$2:$C$169,MATCH($B198&amp;"/"&amp;$C198,逆引き作成用!P$2:P$169,FALSE),1),"")</f>
        <v/>
      </c>
      <c r="Q198" s="17" t="str">
        <f>IFERROR(INDEX(逆引き作成用!$C$2:$C$169,MATCH($B198&amp;"/"&amp;$C198,逆引き作成用!Q$2:Q$169,FALSE),1),"")</f>
        <v/>
      </c>
      <c r="R198" s="17" t="str">
        <f>IFERROR(INDEX(逆引き作成用!$C$2:$C$169,MATCH($B198&amp;"/"&amp;$C198,逆引き作成用!R$2:R$169,FALSE),1),"")</f>
        <v/>
      </c>
      <c r="S198" s="17" t="str">
        <f>IFERROR(INDEX(逆引き作成用!$C$2:$C$169,MATCH($B198&amp;"/"&amp;$C198,逆引き作成用!S$2:S$169,FALSE),1),"")</f>
        <v/>
      </c>
      <c r="T198" s="17" t="str">
        <f>IFERROR(INDEX(逆引き作成用!$C$2:$C$169,MATCH($B198&amp;"/"&amp;$C198,逆引き作成用!T$2:T$169,FALSE),1),"")</f>
        <v/>
      </c>
      <c r="U198" s="17" t="str">
        <f>IFERROR(INDEX(逆引き作成用!$C$2:$C$169,MATCH($B198&amp;"/"&amp;$C198,逆引き作成用!U$2:U$169,FALSE),1),"")</f>
        <v/>
      </c>
      <c r="V198" s="17" t="str">
        <f>IFERROR(INDEX(逆引き作成用!$C$2:$C$169,MATCH($B198&amp;"/"&amp;$C198,逆引き作成用!V$2:V$169,FALSE),1),"")</f>
        <v/>
      </c>
      <c r="W198" s="17" t="str">
        <f>IFERROR(INDEX(逆引き作成用!$C$2:$C$169,MATCH($B198&amp;"/"&amp;$C198,逆引き作成用!W$2:W$169,FALSE),1),"")</f>
        <v/>
      </c>
      <c r="X198" s="17" t="str">
        <f>IFERROR(INDEX(逆引き作成用!$C$2:$C$169,MATCH($B198&amp;"/"&amp;$C198,逆引き作成用!X$2:X$169,FALSE),1),"")</f>
        <v/>
      </c>
      <c r="Y198" s="17" t="str">
        <f>IFERROR(INDEX(逆引き作成用!$C$2:$C$169,MATCH($B198&amp;"/"&amp;$C198,逆引き作成用!Y$2:Y$169,FALSE),1),"")</f>
        <v/>
      </c>
      <c r="Z198" s="17" t="str">
        <f>IFERROR(INDEX(逆引き作成用!$C$2:$C$169,MATCH($B198&amp;"/"&amp;$C198,逆引き作成用!Z$2:Z$169,FALSE),1),"")</f>
        <v/>
      </c>
      <c r="AA198" s="17" t="str">
        <f>IFERROR(INDEX(逆引き作成用!$C$2:$C$169,MATCH($B198&amp;"/"&amp;$C198,逆引き作成用!AA$2:AA$169,FALSE),1),"")</f>
        <v/>
      </c>
      <c r="AB198" s="17" t="str">
        <f>IFERROR(INDEX(逆引き作成用!$C$2:$C$169,MATCH($B198&amp;"/"&amp;$C198,逆引き作成用!AB$2:AB$169,FALSE),1),"")</f>
        <v/>
      </c>
      <c r="AC198" s="17" t="str">
        <f>IFERROR(INDEX(逆引き作成用!$C$2:$C$169,MATCH($B198&amp;"/"&amp;$C198,逆引き作成用!AC$2:AC$169,FALSE),1),"")</f>
        <v/>
      </c>
      <c r="AD198" s="17" t="str">
        <f>IFERROR(INDEX(逆引き作成用!$C$2:$C$169,MATCH($B198&amp;"/"&amp;$C198,逆引き作成用!AD$2:AD$169,FALSE),1),"")</f>
        <v/>
      </c>
      <c r="AE198" s="17" t="str">
        <f>IFERROR(INDEX(逆引き作成用!$C$2:$C$169,MATCH($B198&amp;"/"&amp;$C198,逆引き作成用!AE$2:AE$169,FALSE),1),"")</f>
        <v/>
      </c>
      <c r="AF198" s="17" t="str">
        <f>IFERROR(INDEX(逆引き作成用!$C$2:$C$169,MATCH($B198&amp;"/"&amp;$C198,逆引き作成用!AF$2:AF$169,FALSE),1),"")</f>
        <v/>
      </c>
      <c r="AG198" s="17" t="str">
        <f>IFERROR(INDEX(逆引き作成用!$C$2:$C$169,MATCH($B198&amp;"/"&amp;$C198,逆引き作成用!AG$2:AG$169,FALSE),1),"")</f>
        <v/>
      </c>
      <c r="AH198" s="17" t="str">
        <f>IFERROR(INDEX(逆引き作成用!$C$2:$C$169,MATCH($B198&amp;"/"&amp;$C198,逆引き作成用!AH$2:AH$169,FALSE),1),"")</f>
        <v/>
      </c>
      <c r="AI198" s="17" t="str">
        <f>IFERROR(INDEX(逆引き作成用!$C$2:$C$169,MATCH($B198&amp;"/"&amp;$C198,逆引き作成用!AI$2:AI$169,FALSE),1),"")</f>
        <v/>
      </c>
      <c r="AJ198" s="17" t="str">
        <f>IFERROR(INDEX(逆引き作成用!$C$2:$C$169,MATCH($B198&amp;"/"&amp;$C198,逆引き作成用!AJ$2:AJ$169,FALSE),1),"")</f>
        <v/>
      </c>
      <c r="AK198" s="17" t="str">
        <f>IFERROR(INDEX(逆引き作成用!$C$2:$C$169,MATCH($B198&amp;"/"&amp;$C198,逆引き作成用!AK$2:AK$169,FALSE),1),"")</f>
        <v/>
      </c>
      <c r="AL198" s="17" t="str">
        <f>IFERROR(INDEX(逆引き作成用!$C$2:$C$169,MATCH($B198&amp;"/"&amp;$C198,逆引き作成用!AL$2:AL$169,FALSE),1),"")</f>
        <v/>
      </c>
      <c r="AM198" s="17" t="str">
        <f>IFERROR(INDEX(逆引き作成用!$C$2:$C$169,MATCH($B198&amp;"/"&amp;$C198,逆引き作成用!AM$2:AM$169,FALSE),1),"")</f>
        <v/>
      </c>
      <c r="AN198" s="17" t="str">
        <f>IFERROR(INDEX(逆引き作成用!$C$2:$C$169,MATCH($B198&amp;"/"&amp;$C198,逆引き作成用!AN$2:AN$169,FALSE),1),"")</f>
        <v/>
      </c>
      <c r="AO198" s="17" t="str">
        <f>IFERROR(INDEX(逆引き作成用!$C$2:$C$169,MATCH($B198&amp;"/"&amp;$C198,逆引き作成用!AO$2:AO$169,FALSE),1),"")</f>
        <v/>
      </c>
      <c r="AP198" s="17" t="str">
        <f>IFERROR(INDEX(逆引き作成用!$C$2:$C$169,MATCH($B198&amp;"/"&amp;$C198,逆引き作成用!AP$2:AP$169,FALSE),1),"")</f>
        <v/>
      </c>
      <c r="AQ198" s="17" t="str">
        <f>IFERROR(INDEX(逆引き作成用!$C$2:$C$169,MATCH($B198&amp;"/"&amp;$C198,逆引き作成用!AQ$2:AQ$169,FALSE),1),"")</f>
        <v/>
      </c>
      <c r="AR198" s="17" t="str">
        <f>IFERROR(INDEX(逆引き作成用!$C$2:$C$169,MATCH($B198&amp;"/"&amp;$C198,逆引き作成用!AR$2:AR$169,FALSE),1),"")</f>
        <v/>
      </c>
      <c r="AS198" s="17" t="str">
        <f>IFERROR(INDEX(逆引き作成用!$C$2:$C$169,MATCH($B198&amp;"/"&amp;$C198,逆引き作成用!AS$2:AS$169,FALSE),1),"")</f>
        <v/>
      </c>
      <c r="AT198" s="17" t="str">
        <f>IFERROR(INDEX(逆引き作成用!$C$2:$C$169,MATCH($B198&amp;"/"&amp;$C198,逆引き作成用!AT$2:AT$169,FALSE),1),"")</f>
        <v/>
      </c>
      <c r="AU198" s="17" t="str">
        <f>IFERROR(INDEX(逆引き作成用!$C$2:$C$169,MATCH($B198&amp;"/"&amp;$C198,逆引き作成用!AU$2:AU$169,FALSE),1),"")</f>
        <v/>
      </c>
      <c r="AV198" s="17" t="str">
        <f>IFERROR(INDEX(逆引き作成用!$C$2:$C$169,MATCH($B198&amp;"/"&amp;$C198,逆引き作成用!AV$2:AV$169,FALSE),1),"")</f>
        <v/>
      </c>
      <c r="AW198" s="17" t="str">
        <f>IFERROR(INDEX(逆引き作成用!$C$2:$C$169,MATCH($B198&amp;"/"&amp;$C198,逆引き作成用!AW$2:AW$169,FALSE),1),"")</f>
        <v/>
      </c>
      <c r="AX198" s="17" t="str">
        <f>IFERROR(INDEX(逆引き作成用!$C$2:$C$169,MATCH($B198&amp;"/"&amp;$C198,逆引き作成用!AX$2:AX$169,FALSE),1),"")</f>
        <v/>
      </c>
      <c r="AY198" s="17" t="str">
        <f>IFERROR(INDEX(逆引き作成用!$C$2:$C$169,MATCH($B198&amp;"/"&amp;$C198,逆引き作成用!AY$2:AY$169,FALSE),1),"")</f>
        <v/>
      </c>
      <c r="AZ198" s="17" t="str">
        <f>IFERROR(INDEX(逆引き作成用!$C$2:$C$169,MATCH($B198&amp;"/"&amp;$C198,逆引き作成用!AZ$2:AZ$169,FALSE),1),"")</f>
        <v/>
      </c>
      <c r="BA198" s="17" t="str">
        <f>IFERROR(INDEX(逆引き作成用!$C$2:$C$169,MATCH($B198&amp;"/"&amp;$C198,逆引き作成用!BA$2:BA$169,FALSE),1),"")</f>
        <v/>
      </c>
    </row>
    <row r="199" spans="1:53">
      <c r="A199" s="17" t="str">
        <f>IFERROR(INDEX(役職一覧!$B$2:$B$31,MATCH(B199,役職一覧!$C$2:$C$31,FALSE),1),"")</f>
        <v/>
      </c>
      <c r="B199" s="17" t="str">
        <f>IFERROR(IF(C199=1,INDEX(役職一覧!$C$2:$C$31,MATCH(逆引き!B198,役職一覧!$C$2:$C$31,FALSE)+1,1)&amp;"",B198),"")</f>
        <v/>
      </c>
      <c r="C199" s="17" t="str">
        <f>IFERROR(IF(VLOOKUP(B198,役職一覧!$C$2:$E$31,3,FALSE)=C198,1,C198+1),"")</f>
        <v/>
      </c>
      <c r="D199" s="17" t="str">
        <f>IFERROR(INDEX(逆引き作成用!$C$2:$C$169,MATCH($B199&amp;"/"&amp;$C199,逆引き作成用!D$2:D$169,FALSE),1),"")</f>
        <v/>
      </c>
      <c r="E199" s="17" t="str">
        <f>IFERROR(INDEX(逆引き作成用!$C$2:$C$169,MATCH($B199&amp;"/"&amp;$C199,逆引き作成用!E$2:E$169,FALSE),1),"")</f>
        <v/>
      </c>
      <c r="F199" s="17" t="str">
        <f>IFERROR(INDEX(逆引き作成用!$C$2:$C$169,MATCH($B199&amp;"/"&amp;$C199,逆引き作成用!F$2:F$169,FALSE),1),"")</f>
        <v/>
      </c>
      <c r="G199" s="17" t="str">
        <f>IFERROR(INDEX(逆引き作成用!$C$2:$C$169,MATCH($B199&amp;"/"&amp;$C199,逆引き作成用!G$2:G$169,FALSE),1),"")</f>
        <v/>
      </c>
      <c r="H199" s="17" t="str">
        <f>IFERROR(INDEX(逆引き作成用!$C$2:$C$169,MATCH($B199&amp;"/"&amp;$C199,逆引き作成用!H$2:H$169,FALSE),1),"")</f>
        <v/>
      </c>
      <c r="I199" s="17" t="str">
        <f>IFERROR(INDEX(逆引き作成用!$C$2:$C$169,MATCH($B199&amp;"/"&amp;$C199,逆引き作成用!I$2:I$169,FALSE),1),"")</f>
        <v/>
      </c>
      <c r="J199" s="17" t="str">
        <f>IFERROR(INDEX(逆引き作成用!$C$2:$C$169,MATCH($B199&amp;"/"&amp;$C199,逆引き作成用!J$2:J$169,FALSE),1),"")</f>
        <v/>
      </c>
      <c r="K199" s="17" t="str">
        <f>IFERROR(INDEX(逆引き作成用!$C$2:$C$169,MATCH($B199&amp;"/"&amp;$C199,逆引き作成用!K$2:K$169,FALSE),1),"")</f>
        <v/>
      </c>
      <c r="L199" s="17" t="str">
        <f>IFERROR(INDEX(逆引き作成用!$C$2:$C$169,MATCH($B199&amp;"/"&amp;$C199,逆引き作成用!L$2:L$169,FALSE),1),"")</f>
        <v/>
      </c>
      <c r="M199" s="17" t="str">
        <f>IFERROR(INDEX(逆引き作成用!$C$2:$C$169,MATCH($B199&amp;"/"&amp;$C199,逆引き作成用!M$2:M$169,FALSE),1),"")</f>
        <v/>
      </c>
      <c r="N199" s="17" t="str">
        <f>IFERROR(INDEX(逆引き作成用!$C$2:$C$169,MATCH($B199&amp;"/"&amp;$C199,逆引き作成用!N$2:N$169,FALSE),1),"")</f>
        <v/>
      </c>
      <c r="O199" s="17" t="str">
        <f>IFERROR(INDEX(逆引き作成用!$C$2:$C$169,MATCH($B199&amp;"/"&amp;$C199,逆引き作成用!O$2:O$169,FALSE),1),"")</f>
        <v/>
      </c>
      <c r="P199" s="17" t="str">
        <f>IFERROR(INDEX(逆引き作成用!$C$2:$C$169,MATCH($B199&amp;"/"&amp;$C199,逆引き作成用!P$2:P$169,FALSE),1),"")</f>
        <v/>
      </c>
      <c r="Q199" s="17" t="str">
        <f>IFERROR(INDEX(逆引き作成用!$C$2:$C$169,MATCH($B199&amp;"/"&amp;$C199,逆引き作成用!Q$2:Q$169,FALSE),1),"")</f>
        <v/>
      </c>
      <c r="R199" s="17" t="str">
        <f>IFERROR(INDEX(逆引き作成用!$C$2:$C$169,MATCH($B199&amp;"/"&amp;$C199,逆引き作成用!R$2:R$169,FALSE),1),"")</f>
        <v/>
      </c>
      <c r="S199" s="17" t="str">
        <f>IFERROR(INDEX(逆引き作成用!$C$2:$C$169,MATCH($B199&amp;"/"&amp;$C199,逆引き作成用!S$2:S$169,FALSE),1),"")</f>
        <v/>
      </c>
      <c r="T199" s="17" t="str">
        <f>IFERROR(INDEX(逆引き作成用!$C$2:$C$169,MATCH($B199&amp;"/"&amp;$C199,逆引き作成用!T$2:T$169,FALSE),1),"")</f>
        <v/>
      </c>
      <c r="U199" s="17" t="str">
        <f>IFERROR(INDEX(逆引き作成用!$C$2:$C$169,MATCH($B199&amp;"/"&amp;$C199,逆引き作成用!U$2:U$169,FALSE),1),"")</f>
        <v/>
      </c>
      <c r="V199" s="17" t="str">
        <f>IFERROR(INDEX(逆引き作成用!$C$2:$C$169,MATCH($B199&amp;"/"&amp;$C199,逆引き作成用!V$2:V$169,FALSE),1),"")</f>
        <v/>
      </c>
      <c r="W199" s="17" t="str">
        <f>IFERROR(INDEX(逆引き作成用!$C$2:$C$169,MATCH($B199&amp;"/"&amp;$C199,逆引き作成用!W$2:W$169,FALSE),1),"")</f>
        <v/>
      </c>
      <c r="X199" s="17" t="str">
        <f>IFERROR(INDEX(逆引き作成用!$C$2:$C$169,MATCH($B199&amp;"/"&amp;$C199,逆引き作成用!X$2:X$169,FALSE),1),"")</f>
        <v/>
      </c>
      <c r="Y199" s="17" t="str">
        <f>IFERROR(INDEX(逆引き作成用!$C$2:$C$169,MATCH($B199&amp;"/"&amp;$C199,逆引き作成用!Y$2:Y$169,FALSE),1),"")</f>
        <v/>
      </c>
      <c r="Z199" s="17" t="str">
        <f>IFERROR(INDEX(逆引き作成用!$C$2:$C$169,MATCH($B199&amp;"/"&amp;$C199,逆引き作成用!Z$2:Z$169,FALSE),1),"")</f>
        <v/>
      </c>
      <c r="AA199" s="17" t="str">
        <f>IFERROR(INDEX(逆引き作成用!$C$2:$C$169,MATCH($B199&amp;"/"&amp;$C199,逆引き作成用!AA$2:AA$169,FALSE),1),"")</f>
        <v/>
      </c>
      <c r="AB199" s="17" t="str">
        <f>IFERROR(INDEX(逆引き作成用!$C$2:$C$169,MATCH($B199&amp;"/"&amp;$C199,逆引き作成用!AB$2:AB$169,FALSE),1),"")</f>
        <v/>
      </c>
      <c r="AC199" s="17" t="str">
        <f>IFERROR(INDEX(逆引き作成用!$C$2:$C$169,MATCH($B199&amp;"/"&amp;$C199,逆引き作成用!AC$2:AC$169,FALSE),1),"")</f>
        <v/>
      </c>
      <c r="AD199" s="17" t="str">
        <f>IFERROR(INDEX(逆引き作成用!$C$2:$C$169,MATCH($B199&amp;"/"&amp;$C199,逆引き作成用!AD$2:AD$169,FALSE),1),"")</f>
        <v/>
      </c>
      <c r="AE199" s="17" t="str">
        <f>IFERROR(INDEX(逆引き作成用!$C$2:$C$169,MATCH($B199&amp;"/"&amp;$C199,逆引き作成用!AE$2:AE$169,FALSE),1),"")</f>
        <v/>
      </c>
      <c r="AF199" s="17" t="str">
        <f>IFERROR(INDEX(逆引き作成用!$C$2:$C$169,MATCH($B199&amp;"/"&amp;$C199,逆引き作成用!AF$2:AF$169,FALSE),1),"")</f>
        <v/>
      </c>
      <c r="AG199" s="17" t="str">
        <f>IFERROR(INDEX(逆引き作成用!$C$2:$C$169,MATCH($B199&amp;"/"&amp;$C199,逆引き作成用!AG$2:AG$169,FALSE),1),"")</f>
        <v/>
      </c>
      <c r="AH199" s="17" t="str">
        <f>IFERROR(INDEX(逆引き作成用!$C$2:$C$169,MATCH($B199&amp;"/"&amp;$C199,逆引き作成用!AH$2:AH$169,FALSE),1),"")</f>
        <v/>
      </c>
      <c r="AI199" s="17" t="str">
        <f>IFERROR(INDEX(逆引き作成用!$C$2:$C$169,MATCH($B199&amp;"/"&amp;$C199,逆引き作成用!AI$2:AI$169,FALSE),1),"")</f>
        <v/>
      </c>
      <c r="AJ199" s="17" t="str">
        <f>IFERROR(INDEX(逆引き作成用!$C$2:$C$169,MATCH($B199&amp;"/"&amp;$C199,逆引き作成用!AJ$2:AJ$169,FALSE),1),"")</f>
        <v/>
      </c>
      <c r="AK199" s="17" t="str">
        <f>IFERROR(INDEX(逆引き作成用!$C$2:$C$169,MATCH($B199&amp;"/"&amp;$C199,逆引き作成用!AK$2:AK$169,FALSE),1),"")</f>
        <v/>
      </c>
      <c r="AL199" s="17" t="str">
        <f>IFERROR(INDEX(逆引き作成用!$C$2:$C$169,MATCH($B199&amp;"/"&amp;$C199,逆引き作成用!AL$2:AL$169,FALSE),1),"")</f>
        <v/>
      </c>
      <c r="AM199" s="17" t="str">
        <f>IFERROR(INDEX(逆引き作成用!$C$2:$C$169,MATCH($B199&amp;"/"&amp;$C199,逆引き作成用!AM$2:AM$169,FALSE),1),"")</f>
        <v/>
      </c>
      <c r="AN199" s="17" t="str">
        <f>IFERROR(INDEX(逆引き作成用!$C$2:$C$169,MATCH($B199&amp;"/"&amp;$C199,逆引き作成用!AN$2:AN$169,FALSE),1),"")</f>
        <v/>
      </c>
      <c r="AO199" s="17" t="str">
        <f>IFERROR(INDEX(逆引き作成用!$C$2:$C$169,MATCH($B199&amp;"/"&amp;$C199,逆引き作成用!AO$2:AO$169,FALSE),1),"")</f>
        <v/>
      </c>
      <c r="AP199" s="17" t="str">
        <f>IFERROR(INDEX(逆引き作成用!$C$2:$C$169,MATCH($B199&amp;"/"&amp;$C199,逆引き作成用!AP$2:AP$169,FALSE),1),"")</f>
        <v/>
      </c>
      <c r="AQ199" s="17" t="str">
        <f>IFERROR(INDEX(逆引き作成用!$C$2:$C$169,MATCH($B199&amp;"/"&amp;$C199,逆引き作成用!AQ$2:AQ$169,FALSE),1),"")</f>
        <v/>
      </c>
      <c r="AR199" s="17" t="str">
        <f>IFERROR(INDEX(逆引き作成用!$C$2:$C$169,MATCH($B199&amp;"/"&amp;$C199,逆引き作成用!AR$2:AR$169,FALSE),1),"")</f>
        <v/>
      </c>
      <c r="AS199" s="17" t="str">
        <f>IFERROR(INDEX(逆引き作成用!$C$2:$C$169,MATCH($B199&amp;"/"&amp;$C199,逆引き作成用!AS$2:AS$169,FALSE),1),"")</f>
        <v/>
      </c>
      <c r="AT199" s="17" t="str">
        <f>IFERROR(INDEX(逆引き作成用!$C$2:$C$169,MATCH($B199&amp;"/"&amp;$C199,逆引き作成用!AT$2:AT$169,FALSE),1),"")</f>
        <v/>
      </c>
      <c r="AU199" s="17" t="str">
        <f>IFERROR(INDEX(逆引き作成用!$C$2:$C$169,MATCH($B199&amp;"/"&amp;$C199,逆引き作成用!AU$2:AU$169,FALSE),1),"")</f>
        <v/>
      </c>
      <c r="AV199" s="17" t="str">
        <f>IFERROR(INDEX(逆引き作成用!$C$2:$C$169,MATCH($B199&amp;"/"&amp;$C199,逆引き作成用!AV$2:AV$169,FALSE),1),"")</f>
        <v/>
      </c>
      <c r="AW199" s="17" t="str">
        <f>IFERROR(INDEX(逆引き作成用!$C$2:$C$169,MATCH($B199&amp;"/"&amp;$C199,逆引き作成用!AW$2:AW$169,FALSE),1),"")</f>
        <v/>
      </c>
      <c r="AX199" s="17" t="str">
        <f>IFERROR(INDEX(逆引き作成用!$C$2:$C$169,MATCH($B199&amp;"/"&amp;$C199,逆引き作成用!AX$2:AX$169,FALSE),1),"")</f>
        <v/>
      </c>
      <c r="AY199" s="17" t="str">
        <f>IFERROR(INDEX(逆引き作成用!$C$2:$C$169,MATCH($B199&amp;"/"&amp;$C199,逆引き作成用!AY$2:AY$169,FALSE),1),"")</f>
        <v/>
      </c>
      <c r="AZ199" s="17" t="str">
        <f>IFERROR(INDEX(逆引き作成用!$C$2:$C$169,MATCH($B199&amp;"/"&amp;$C199,逆引き作成用!AZ$2:AZ$169,FALSE),1),"")</f>
        <v/>
      </c>
      <c r="BA199" s="17" t="str">
        <f>IFERROR(INDEX(逆引き作成用!$C$2:$C$169,MATCH($B199&amp;"/"&amp;$C199,逆引き作成用!BA$2:BA$169,FALSE),1),"")</f>
        <v/>
      </c>
    </row>
  </sheetData>
  <phoneticPr fontId="1"/>
  <pageMargins left="0.7" right="0.7" top="0.75" bottom="0.75" header="0.3" footer="0.3"/>
  <pageSetup paperSize="9" orientation="portrait" horizontalDpi="0" verticalDpi="0"/>
  <extLst>
    <ext xmlns:x14="http://schemas.microsoft.com/office/spreadsheetml/2009/9/main" uri="{78C0D931-6437-407d-A8EE-F0AAD7539E65}">
      <x14:conditionalFormattings>
        <x14:conditionalFormatting xmlns:xm="http://schemas.microsoft.com/office/excel/2006/main">
          <x14:cfRule type="expression" priority="1" id="{707E5FB5-47C7-414B-900F-0E66658F42D1}">
            <xm:f>COUNTIF(役職一覧!$K:$K,$A2)=1</xm:f>
            <x14:dxf>
              <fill>
                <patternFill>
                  <bgColor rgb="FFE1B9FF"/>
                </patternFill>
              </fill>
            </x14:dxf>
          </x14:cfRule>
          <x14:cfRule type="expression" priority="2" id="{A82CBCAA-F6E0-D849-B8AB-ED7766A4ABC9}">
            <xm:f>COUNTIF(役職一覧!$J:$J,$A2)=1</xm:f>
            <x14:dxf>
              <fill>
                <patternFill>
                  <bgColor rgb="FF7FCAFF"/>
                </patternFill>
              </fill>
            </x14:dxf>
          </x14:cfRule>
          <x14:cfRule type="expression" priority="3" id="{8C980D86-1DE8-5F44-9531-FD0D0D0ACAFF}">
            <xm:f>COUNTIF(役職一覧!$I:$I,$A2)=1</xm:f>
            <x14:dxf>
              <fill>
                <patternFill>
                  <bgColor rgb="FF95FF6C"/>
                </patternFill>
              </fill>
            </x14:dxf>
          </x14:cfRule>
          <x14:cfRule type="expression" priority="4" id="{13E00FF8-D15E-A544-AD50-A6C28A667C8A}">
            <xm:f>COUNTIF(役職一覧!$H:$H,$A2)=1</xm:f>
            <x14:dxf>
              <fill>
                <patternFill>
                  <bgColor rgb="FFFFF690"/>
                </patternFill>
              </fill>
            </x14:dxf>
          </x14:cfRule>
          <x14:cfRule type="expression" priority="5" id="{A9970C1E-15A0-0D4C-8A1E-DA64824332B2}">
            <xm:f>COUNTIF(役職一覧!$G:$G,$A2)=1</xm:f>
            <x14:dxf>
              <fill>
                <patternFill>
                  <bgColor rgb="FFFFD965"/>
                </patternFill>
              </fill>
            </x14:dxf>
          </x14:cfRule>
          <x14:cfRule type="expression" priority="6" id="{7A539D9A-78C6-9149-BDEB-3698E7DA4756}">
            <xm:f>COUNTIF(役職一覧!$F:$F,$A2)=1</xm:f>
            <x14:dxf>
              <fill>
                <patternFill>
                  <bgColor rgb="FFFFC7CE"/>
                </patternFill>
              </fill>
            </x14:dxf>
          </x14:cfRule>
          <xm:sqref>A2:BA199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11</vt:i4>
      </vt:variant>
      <vt:variant>
        <vt:lpstr>名前付き一覧</vt:lpstr>
      </vt:variant>
      <vt:variant>
        <vt:i4>4</vt:i4>
      </vt:variant>
    </vt:vector>
  </HeadingPairs>
  <TitlesOfParts>
    <vt:vector size="15" baseType="lpstr">
      <vt:lpstr>使いかた</vt:lpstr>
      <vt:lpstr>時間帯一覧</vt:lpstr>
      <vt:lpstr>役職一覧</vt:lpstr>
      <vt:lpstr>時間希望調査</vt:lpstr>
      <vt:lpstr>役職希望調査 ・備考</vt:lpstr>
      <vt:lpstr>書式</vt:lpstr>
      <vt:lpstr>シフト組み</vt:lpstr>
      <vt:lpstr>コマンド</vt:lpstr>
      <vt:lpstr>共有用1</vt:lpstr>
      <vt:lpstr>逆引き作成用</vt:lpstr>
      <vt:lpstr>逆引き</vt:lpstr>
      <vt:lpstr>シフト組み時間帯</vt:lpstr>
      <vt:lpstr>シフト組み入力</vt:lpstr>
      <vt:lpstr>シフト組み役職横</vt:lpstr>
      <vt:lpstr>シフト組み役職縦</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海老原祐輔</dc:creator>
  <cp:lastModifiedBy>海老原祐輔</cp:lastModifiedBy>
  <dcterms:created xsi:type="dcterms:W3CDTF">2018-07-03T18:01:25Z</dcterms:created>
  <dcterms:modified xsi:type="dcterms:W3CDTF">2019-05-07T08:40:17Z</dcterms:modified>
</cp:coreProperties>
</file>