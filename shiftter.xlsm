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5" codeName="{51196F13-6AD0-C1B8-E2B4-A1F9AE17003E}"/>
  <workbookPr codeName="ThisWorkbook"/>
  <mc:AlternateContent xmlns:mc="http://schemas.openxmlformats.org/markup-compatibility/2006">
    <mc:Choice Requires="x15">
      <x15ac:absPath xmlns:x15ac="http://schemas.microsoft.com/office/spreadsheetml/2010/11/ac" url="/Users/ebiyuu1121/projects/shiftter/"/>
    </mc:Choice>
  </mc:AlternateContent>
  <xr:revisionPtr revIDLastSave="0" documentId="13_ncr:1_{E622E06D-261C-1D4E-B6DF-A85A89FCEDD8}" xr6:coauthVersionLast="36" xr6:coauthVersionMax="36" xr10:uidLastSave="{00000000-0000-0000-0000-000000000000}"/>
  <bookViews>
    <workbookView xWindow="0" yWindow="460" windowWidth="28800" windowHeight="16240" xr2:uid="{8E6D9EEE-75D6-D84C-88E8-ECB6523258A4}"/>
  </bookViews>
  <sheets>
    <sheet name="使いかた" sheetId="9" r:id="rId1"/>
    <sheet name="時間帯一覧" sheetId="3" r:id="rId2"/>
    <sheet name="役職一覧" sheetId="2" r:id="rId3"/>
    <sheet name="時間希望調査" sheetId="1" r:id="rId4"/>
    <sheet name="役職希望調査 ・備考" sheetId="5" r:id="rId5"/>
    <sheet name="シフト組み" sheetId="4" r:id="rId6"/>
    <sheet name="書式" sheetId="6" state="hidden" r:id="rId7"/>
    <sheet name="コマンド" sheetId="10" r:id="rId8"/>
  </sheets>
  <definedNames>
    <definedName name="シフト組み時間帯">シフト組み!$D$1:$BA$1</definedName>
    <definedName name="シフト組み入力">シフト組み!$D$32:$BA$314</definedName>
    <definedName name="シフト組み役職横">シフト組み!$BI$1:$CL$1</definedName>
    <definedName name="シフト組み役職縦">シフト組み!$B$2:$B$31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M33" i="4" l="1"/>
  <c r="CM34" i="4"/>
  <c r="CM35" i="4"/>
  <c r="CM36" i="4"/>
  <c r="CM37" i="4"/>
  <c r="CM38" i="4"/>
  <c r="CM39" i="4"/>
  <c r="CM40" i="4"/>
  <c r="CM41" i="4"/>
  <c r="CM42" i="4"/>
  <c r="CM43" i="4"/>
  <c r="CM44" i="4"/>
  <c r="CM45" i="4"/>
  <c r="CM46" i="4"/>
  <c r="CM47" i="4"/>
  <c r="CM48" i="4"/>
  <c r="CM49" i="4"/>
  <c r="CM50" i="4"/>
  <c r="CM51" i="4"/>
  <c r="CM52" i="4"/>
  <c r="CM53" i="4"/>
  <c r="CM54" i="4"/>
  <c r="CM55" i="4"/>
  <c r="CM56" i="4"/>
  <c r="CM57" i="4"/>
  <c r="CM58" i="4"/>
  <c r="CM59" i="4"/>
  <c r="CM60" i="4"/>
  <c r="CM61" i="4"/>
  <c r="CM62" i="4"/>
  <c r="CM63" i="4"/>
  <c r="CM64" i="4"/>
  <c r="CM65" i="4"/>
  <c r="CM66" i="4"/>
  <c r="CM67" i="4"/>
  <c r="CM68" i="4"/>
  <c r="CM69" i="4"/>
  <c r="CM70" i="4"/>
  <c r="CM71" i="4"/>
  <c r="CM72" i="4"/>
  <c r="CM73" i="4"/>
  <c r="CM74" i="4"/>
  <c r="CM75" i="4"/>
  <c r="CM76" i="4"/>
  <c r="CM77" i="4"/>
  <c r="CM78" i="4"/>
  <c r="CM79" i="4"/>
  <c r="CM80" i="4"/>
  <c r="CM81" i="4"/>
  <c r="CM82" i="4"/>
  <c r="CM83" i="4"/>
  <c r="CM84" i="4"/>
  <c r="CM85" i="4"/>
  <c r="CM86" i="4"/>
  <c r="CM87" i="4"/>
  <c r="CM88" i="4"/>
  <c r="CM89" i="4"/>
  <c r="CM90" i="4"/>
  <c r="CM91" i="4"/>
  <c r="CM92" i="4"/>
  <c r="CM93" i="4"/>
  <c r="CM94" i="4"/>
  <c r="CM95" i="4"/>
  <c r="CM96" i="4"/>
  <c r="CM97" i="4"/>
  <c r="CM98" i="4"/>
  <c r="CM99" i="4"/>
  <c r="CM100" i="4"/>
  <c r="CM101" i="4"/>
  <c r="CM102" i="4"/>
  <c r="CM103" i="4"/>
  <c r="CM104" i="4"/>
  <c r="CM105" i="4"/>
  <c r="CM106" i="4"/>
  <c r="CM107" i="4"/>
  <c r="CM108" i="4"/>
  <c r="CM109" i="4"/>
  <c r="CM110" i="4"/>
  <c r="CM111" i="4"/>
  <c r="CM112" i="4"/>
  <c r="CM113" i="4"/>
  <c r="CM114" i="4"/>
  <c r="CM115" i="4"/>
  <c r="CM116" i="4"/>
  <c r="CM117" i="4"/>
  <c r="CM118" i="4"/>
  <c r="CM119" i="4"/>
  <c r="CM120" i="4"/>
  <c r="CM121" i="4"/>
  <c r="CM122" i="4"/>
  <c r="CM123" i="4"/>
  <c r="CM124" i="4"/>
  <c r="CM125" i="4"/>
  <c r="CM126" i="4"/>
  <c r="CM127" i="4"/>
  <c r="CM128" i="4"/>
  <c r="CM129" i="4"/>
  <c r="CM130" i="4"/>
  <c r="CM131" i="4"/>
  <c r="CM132" i="4"/>
  <c r="CM133" i="4"/>
  <c r="CM134" i="4"/>
  <c r="CM135" i="4"/>
  <c r="CM136" i="4"/>
  <c r="CM137" i="4"/>
  <c r="CM138" i="4"/>
  <c r="CM139" i="4"/>
  <c r="CM140" i="4"/>
  <c r="CM141" i="4"/>
  <c r="CM142" i="4"/>
  <c r="CM143" i="4"/>
  <c r="CM144" i="4"/>
  <c r="CM145" i="4"/>
  <c r="CM146" i="4"/>
  <c r="CM147" i="4"/>
  <c r="CM148" i="4"/>
  <c r="CM149" i="4"/>
  <c r="CM150" i="4"/>
  <c r="CM151" i="4"/>
  <c r="CM152" i="4"/>
  <c r="CM153" i="4"/>
  <c r="CM154" i="4"/>
  <c r="CM155" i="4"/>
  <c r="CM156" i="4"/>
  <c r="CM157" i="4"/>
  <c r="CM158" i="4"/>
  <c r="CM159" i="4"/>
  <c r="CM160" i="4"/>
  <c r="CM161" i="4"/>
  <c r="CM162" i="4"/>
  <c r="CM163" i="4"/>
  <c r="CM164" i="4"/>
  <c r="CM165" i="4"/>
  <c r="CM166" i="4"/>
  <c r="CM167" i="4"/>
  <c r="CM168" i="4"/>
  <c r="CM169" i="4"/>
  <c r="CM170" i="4"/>
  <c r="CM171" i="4"/>
  <c r="CM172" i="4"/>
  <c r="CM173" i="4"/>
  <c r="CM174" i="4"/>
  <c r="CM175" i="4"/>
  <c r="CM176" i="4"/>
  <c r="CM177" i="4"/>
  <c r="CM178" i="4"/>
  <c r="CM179" i="4"/>
  <c r="CM180" i="4"/>
  <c r="CM181" i="4"/>
  <c r="CM182" i="4"/>
  <c r="CM183" i="4"/>
  <c r="CM184" i="4"/>
  <c r="CM185" i="4"/>
  <c r="CM186" i="4"/>
  <c r="CM187" i="4"/>
  <c r="CM188" i="4"/>
  <c r="CM189" i="4"/>
  <c r="CM190" i="4"/>
  <c r="CM191" i="4"/>
  <c r="CM192" i="4"/>
  <c r="CM193" i="4"/>
  <c r="CM194" i="4"/>
  <c r="CM195" i="4"/>
  <c r="CM196" i="4"/>
  <c r="CM197" i="4"/>
  <c r="CM198" i="4"/>
  <c r="CM199" i="4"/>
  <c r="CM32" i="4"/>
  <c r="BB32" i="4" l="1"/>
  <c r="B7" i="4"/>
  <c r="G7" i="4" s="1"/>
  <c r="C7" i="4"/>
  <c r="H7" i="4"/>
  <c r="Q7" i="4"/>
  <c r="X7" i="4"/>
  <c r="AB7" i="4"/>
  <c r="AN7" i="4"/>
  <c r="AR7" i="4"/>
  <c r="AW7" i="4"/>
  <c r="B8" i="4"/>
  <c r="Z8" i="4" s="1"/>
  <c r="C8" i="4"/>
  <c r="B9" i="4"/>
  <c r="AG9" i="4" s="1"/>
  <c r="C9" i="4"/>
  <c r="L9" i="4"/>
  <c r="V9" i="4"/>
  <c r="X9" i="4"/>
  <c r="AH9" i="4"/>
  <c r="AR9" i="4"/>
  <c r="AS9" i="4"/>
  <c r="B10" i="4"/>
  <c r="C10" i="4"/>
  <c r="B11" i="4"/>
  <c r="V11" i="4" s="1"/>
  <c r="C11" i="4"/>
  <c r="U11" i="4"/>
  <c r="AL11" i="4"/>
  <c r="BA11" i="4"/>
  <c r="B12" i="4"/>
  <c r="C12" i="4"/>
  <c r="T12" i="4"/>
  <c r="AC12" i="4"/>
  <c r="B13" i="4"/>
  <c r="K13" i="4" s="1"/>
  <c r="C13" i="4"/>
  <c r="F13" i="4"/>
  <c r="G13" i="4"/>
  <c r="J13" i="4"/>
  <c r="N13" i="4"/>
  <c r="O13" i="4"/>
  <c r="R13" i="4"/>
  <c r="V13" i="4"/>
  <c r="W13" i="4"/>
  <c r="Y13" i="4"/>
  <c r="AA13" i="4"/>
  <c r="AC13" i="4"/>
  <c r="AD13" i="4"/>
  <c r="AG13" i="4"/>
  <c r="AH13" i="4"/>
  <c r="AI13" i="4"/>
  <c r="AL13" i="4"/>
  <c r="AM13" i="4"/>
  <c r="AO13" i="4"/>
  <c r="AQ13" i="4"/>
  <c r="AS13" i="4"/>
  <c r="AT13" i="4"/>
  <c r="AW13" i="4"/>
  <c r="AX13" i="4"/>
  <c r="AY13" i="4"/>
  <c r="B14" i="4"/>
  <c r="R14" i="4" s="1"/>
  <c r="C14" i="4"/>
  <c r="B15" i="4"/>
  <c r="C15" i="4"/>
  <c r="G15" i="4"/>
  <c r="B16" i="4"/>
  <c r="Z16" i="4" s="1"/>
  <c r="C16" i="4"/>
  <c r="B17" i="4"/>
  <c r="Z17" i="4" s="1"/>
  <c r="C17" i="4"/>
  <c r="B18" i="4"/>
  <c r="L18" i="4" s="1"/>
  <c r="C18" i="4"/>
  <c r="U18" i="4"/>
  <c r="AB18" i="4"/>
  <c r="AV18" i="4"/>
  <c r="AZ18" i="4"/>
  <c r="B19" i="4"/>
  <c r="J19" i="4" s="1"/>
  <c r="C19" i="4"/>
  <c r="I19" i="4"/>
  <c r="Q19" i="4"/>
  <c r="Y19" i="4"/>
  <c r="AG19" i="4"/>
  <c r="AO19" i="4"/>
  <c r="AW19" i="4"/>
  <c r="B20" i="4"/>
  <c r="C20" i="4"/>
  <c r="G20" i="4"/>
  <c r="J20" i="4"/>
  <c r="R20" i="4"/>
  <c r="T20" i="4"/>
  <c r="AB20" i="4"/>
  <c r="AE20" i="4"/>
  <c r="AM20" i="4"/>
  <c r="AP20" i="4"/>
  <c r="AX20" i="4"/>
  <c r="AZ20" i="4"/>
  <c r="B21" i="4"/>
  <c r="C21" i="4"/>
  <c r="I21" i="4"/>
  <c r="K21" i="4"/>
  <c r="Q21" i="4"/>
  <c r="R21" i="4"/>
  <c r="W21" i="4"/>
  <c r="Y21" i="4"/>
  <c r="AD21" i="4"/>
  <c r="AG21" i="4"/>
  <c r="AL21" i="4"/>
  <c r="AM21" i="4"/>
  <c r="AS21" i="4"/>
  <c r="AT21" i="4"/>
  <c r="AY21" i="4"/>
  <c r="B22" i="4"/>
  <c r="E22" i="4" s="1"/>
  <c r="C22" i="4"/>
  <c r="B23" i="4"/>
  <c r="J23" i="4" s="1"/>
  <c r="C23" i="4"/>
  <c r="AO23" i="4"/>
  <c r="BA23" i="4"/>
  <c r="B24" i="4"/>
  <c r="R24" i="4" s="1"/>
  <c r="C24" i="4"/>
  <c r="AX24" i="4"/>
  <c r="B25" i="4"/>
  <c r="N25" i="4" s="1"/>
  <c r="C25" i="4"/>
  <c r="B26" i="4"/>
  <c r="L26" i="4" s="1"/>
  <c r="C26" i="4"/>
  <c r="I26" i="4"/>
  <c r="T26" i="4"/>
  <c r="AB26" i="4"/>
  <c r="AK26" i="4"/>
  <c r="AV26" i="4"/>
  <c r="B27" i="4"/>
  <c r="S27" i="4" s="1"/>
  <c r="C27" i="4"/>
  <c r="B28" i="4"/>
  <c r="S28" i="4" s="1"/>
  <c r="C28" i="4"/>
  <c r="B29" i="4"/>
  <c r="I29" i="4" s="1"/>
  <c r="C29" i="4"/>
  <c r="AL29" i="4"/>
  <c r="AR29" i="4"/>
  <c r="B30" i="4"/>
  <c r="G30" i="4" s="1"/>
  <c r="C30" i="4"/>
  <c r="D30" i="4"/>
  <c r="F30" i="4"/>
  <c r="I30" i="4"/>
  <c r="L30" i="4"/>
  <c r="N30" i="4"/>
  <c r="Q30" i="4"/>
  <c r="T30" i="4"/>
  <c r="V30" i="4"/>
  <c r="Y30" i="4"/>
  <c r="AB30" i="4"/>
  <c r="AD30" i="4"/>
  <c r="AG30" i="4"/>
  <c r="AJ30" i="4"/>
  <c r="AL30" i="4"/>
  <c r="AO30" i="4"/>
  <c r="AR30" i="4"/>
  <c r="AT30" i="4"/>
  <c r="AW30" i="4"/>
  <c r="AZ30" i="4"/>
  <c r="BC35" i="4"/>
  <c r="BI1" i="4" a="1"/>
  <c r="BI1" i="4" s="1"/>
  <c r="BI129" i="4" s="1"/>
  <c r="W25" i="4" l="1"/>
  <c r="Z23" i="4"/>
  <c r="AO18" i="4"/>
  <c r="N18" i="4"/>
  <c r="AH17" i="4"/>
  <c r="BA13" i="4"/>
  <c r="AU13" i="4"/>
  <c r="AP13" i="4"/>
  <c r="AK13" i="4"/>
  <c r="AE13" i="4"/>
  <c r="Z13" i="4"/>
  <c r="S13" i="4"/>
  <c r="AS11" i="4"/>
  <c r="AC11" i="4"/>
  <c r="J11" i="4"/>
  <c r="AR26" i="4"/>
  <c r="AJ26" i="4"/>
  <c r="Z26" i="4"/>
  <c r="P26" i="4"/>
  <c r="F26" i="4"/>
  <c r="AX25" i="4"/>
  <c r="AU11" i="4"/>
  <c r="AE11" i="4"/>
  <c r="M11" i="4"/>
  <c r="W29" i="4"/>
  <c r="AZ26" i="4"/>
  <c r="AP26" i="4"/>
  <c r="AG26" i="4"/>
  <c r="V26" i="4"/>
  <c r="N26" i="4"/>
  <c r="E26" i="4"/>
  <c r="AW26" i="4"/>
  <c r="AO26" i="4"/>
  <c r="AD26" i="4"/>
  <c r="U26" i="4"/>
  <c r="BA18" i="4"/>
  <c r="AJ18" i="4"/>
  <c r="AM14" i="4"/>
  <c r="AM11" i="4"/>
  <c r="AH27" i="4"/>
  <c r="O27" i="4"/>
  <c r="M23" i="4"/>
  <c r="Y23" i="4"/>
  <c r="AH23" i="4"/>
  <c r="AS23" i="4"/>
  <c r="AD27" i="4"/>
  <c r="AS25" i="4"/>
  <c r="R25" i="4"/>
  <c r="J17" i="4"/>
  <c r="N17" i="4"/>
  <c r="AP17" i="4"/>
  <c r="AB14" i="4"/>
  <c r="L10" i="4"/>
  <c r="AJ10" i="4"/>
  <c r="G9" i="4"/>
  <c r="D9" i="4"/>
  <c r="I9" i="4"/>
  <c r="N9" i="4"/>
  <c r="T9" i="4"/>
  <c r="Y9" i="4"/>
  <c r="AD9" i="4"/>
  <c r="AJ9" i="4"/>
  <c r="AO9" i="4"/>
  <c r="AT9" i="4"/>
  <c r="AZ9" i="4"/>
  <c r="E9" i="4"/>
  <c r="J9" i="4"/>
  <c r="P9" i="4"/>
  <c r="U9" i="4"/>
  <c r="Z9" i="4"/>
  <c r="AF9" i="4"/>
  <c r="AK9" i="4"/>
  <c r="AP9" i="4"/>
  <c r="AV9" i="4"/>
  <c r="BA9" i="4"/>
  <c r="K29" i="4"/>
  <c r="AD29" i="4"/>
  <c r="AS27" i="4"/>
  <c r="Z27" i="4"/>
  <c r="E27" i="4"/>
  <c r="AI25" i="4"/>
  <c r="AW23" i="4"/>
  <c r="AG23" i="4"/>
  <c r="R23" i="4"/>
  <c r="E23" i="4"/>
  <c r="AG22" i="4"/>
  <c r="E18" i="4"/>
  <c r="F18" i="4"/>
  <c r="Z18" i="4"/>
  <c r="AP18" i="4"/>
  <c r="V17" i="4"/>
  <c r="D13" i="4"/>
  <c r="H13" i="4"/>
  <c r="L13" i="4"/>
  <c r="P13" i="4"/>
  <c r="T13" i="4"/>
  <c r="X13" i="4"/>
  <c r="AB13" i="4"/>
  <c r="AF13" i="4"/>
  <c r="AJ13" i="4"/>
  <c r="AN13" i="4"/>
  <c r="AR13" i="4"/>
  <c r="AV13" i="4"/>
  <c r="AZ13" i="4"/>
  <c r="E13" i="4"/>
  <c r="I13" i="4"/>
  <c r="M13" i="4"/>
  <c r="Q13" i="4"/>
  <c r="U13" i="4"/>
  <c r="D12" i="4"/>
  <c r="AL12" i="4"/>
  <c r="I12" i="4"/>
  <c r="AW12" i="4"/>
  <c r="AX9" i="4"/>
  <c r="AN9" i="4"/>
  <c r="AC9" i="4"/>
  <c r="R9" i="4"/>
  <c r="H9" i="4"/>
  <c r="I25" i="4"/>
  <c r="AC25" i="4"/>
  <c r="AT25" i="4"/>
  <c r="AU27" i="4"/>
  <c r="M27" i="4"/>
  <c r="AX23" i="4"/>
  <c r="AK23" i="4"/>
  <c r="U23" i="4"/>
  <c r="I23" i="4"/>
  <c r="AW22" i="4"/>
  <c r="AW29" i="4"/>
  <c r="Q29" i="4"/>
  <c r="AO27" i="4"/>
  <c r="D26" i="4"/>
  <c r="J26" i="4"/>
  <c r="Q26" i="4"/>
  <c r="Y26" i="4"/>
  <c r="AF26" i="4"/>
  <c r="AL26" i="4"/>
  <c r="AT26" i="4"/>
  <c r="BA26" i="4"/>
  <c r="AH25" i="4"/>
  <c r="AP23" i="4"/>
  <c r="AC23" i="4"/>
  <c r="Q23" i="4"/>
  <c r="AW17" i="4"/>
  <c r="F17" i="4"/>
  <c r="AC15" i="4"/>
  <c r="AK15" i="4"/>
  <c r="E11" i="4"/>
  <c r="F11" i="4"/>
  <c r="O11" i="4"/>
  <c r="W11" i="4"/>
  <c r="AH11" i="4"/>
  <c r="AP11" i="4"/>
  <c r="AW11" i="4"/>
  <c r="G11" i="4"/>
  <c r="Q11" i="4"/>
  <c r="AA11" i="4"/>
  <c r="AK11" i="4"/>
  <c r="AQ11" i="4"/>
  <c r="AX11" i="4"/>
  <c r="AW9" i="4"/>
  <c r="AL9" i="4"/>
  <c r="AB9" i="4"/>
  <c r="Q9" i="4"/>
  <c r="F9" i="4"/>
  <c r="G27" i="4"/>
  <c r="I27" i="4"/>
  <c r="W27" i="4"/>
  <c r="AK27" i="4"/>
  <c r="AY27" i="4"/>
  <c r="AF16" i="4"/>
  <c r="AU16" i="4"/>
  <c r="W14" i="4"/>
  <c r="G14" i="4"/>
  <c r="AX14" i="4"/>
  <c r="M9" i="4"/>
  <c r="AG7" i="4"/>
  <c r="L7" i="4"/>
  <c r="AV7" i="4"/>
  <c r="AJ7" i="4"/>
  <c r="Y7" i="4"/>
  <c r="P7" i="4"/>
  <c r="AZ7" i="4"/>
  <c r="AO7" i="4"/>
  <c r="AF7" i="4"/>
  <c r="T7" i="4"/>
  <c r="I7" i="4"/>
  <c r="AX30" i="4"/>
  <c r="AS30" i="4"/>
  <c r="AN30" i="4"/>
  <c r="AH30" i="4"/>
  <c r="AC30" i="4"/>
  <c r="X30" i="4"/>
  <c r="R30" i="4"/>
  <c r="M30" i="4"/>
  <c r="H30" i="4"/>
  <c r="AS29" i="4"/>
  <c r="AG29" i="4"/>
  <c r="R29" i="4"/>
  <c r="BA27" i="4"/>
  <c r="AT27" i="4"/>
  <c r="AM27" i="4"/>
  <c r="AE27" i="4"/>
  <c r="Y27" i="4"/>
  <c r="R27" i="4"/>
  <c r="J27" i="4"/>
  <c r="AM25" i="4"/>
  <c r="Y25" i="4"/>
  <c r="AB24" i="4"/>
  <c r="AT18" i="4"/>
  <c r="AG18" i="4"/>
  <c r="T18" i="4"/>
  <c r="AT17" i="4"/>
  <c r="AG17" i="4"/>
  <c r="Q17" i="4"/>
  <c r="AN16" i="4"/>
  <c r="X16" i="4"/>
  <c r="AX15" i="4"/>
  <c r="AS12" i="4"/>
  <c r="AJ12" i="4"/>
  <c r="AB12" i="4"/>
  <c r="Q12" i="4"/>
  <c r="H12" i="4"/>
  <c r="BA7" i="4"/>
  <c r="AS7" i="4"/>
  <c r="AK7" i="4"/>
  <c r="AC7" i="4"/>
  <c r="U7" i="4"/>
  <c r="M7" i="4"/>
  <c r="AL16" i="4"/>
  <c r="P16" i="4"/>
  <c r="AZ12" i="4"/>
  <c r="AR12" i="4"/>
  <c r="AH12" i="4"/>
  <c r="X12" i="4"/>
  <c r="N12" i="4"/>
  <c r="F12" i="4"/>
  <c r="BA30" i="4"/>
  <c r="AV30" i="4"/>
  <c r="AP30" i="4"/>
  <c r="AK30" i="4"/>
  <c r="AF30" i="4"/>
  <c r="Z30" i="4"/>
  <c r="U30" i="4"/>
  <c r="P30" i="4"/>
  <c r="J30" i="4"/>
  <c r="E30" i="4"/>
  <c r="AY29" i="4"/>
  <c r="AM29" i="4"/>
  <c r="Y29" i="4"/>
  <c r="AX27" i="4"/>
  <c r="AP27" i="4"/>
  <c r="AI27" i="4"/>
  <c r="AC27" i="4"/>
  <c r="U27" i="4"/>
  <c r="N27" i="4"/>
  <c r="AR22" i="4"/>
  <c r="AL17" i="4"/>
  <c r="Y17" i="4"/>
  <c r="AZ16" i="4"/>
  <c r="V15" i="4"/>
  <c r="AX12" i="4"/>
  <c r="AO12" i="4"/>
  <c r="AD12" i="4"/>
  <c r="V12" i="4"/>
  <c r="M12" i="4"/>
  <c r="AX28" i="4"/>
  <c r="AI28" i="4"/>
  <c r="H28" i="4"/>
  <c r="W28" i="4"/>
  <c r="AH28" i="4"/>
  <c r="AR28" i="4"/>
  <c r="X28" i="4"/>
  <c r="AM28" i="4"/>
  <c r="AY28" i="4"/>
  <c r="N28" i="4"/>
  <c r="AB28" i="4"/>
  <c r="AN28" i="4"/>
  <c r="R28" i="4"/>
  <c r="AD28" i="4"/>
  <c r="AT28" i="4"/>
  <c r="W24" i="4"/>
  <c r="AR24" i="4"/>
  <c r="AT19" i="4"/>
  <c r="AL19" i="4"/>
  <c r="AD19" i="4"/>
  <c r="V19" i="4"/>
  <c r="N19" i="4"/>
  <c r="F19" i="4"/>
  <c r="H16" i="4"/>
  <c r="E16" i="4"/>
  <c r="L16" i="4"/>
  <c r="R16" i="4"/>
  <c r="W16" i="4"/>
  <c r="AB16" i="4"/>
  <c r="AH16" i="4"/>
  <c r="AM16" i="4"/>
  <c r="AR16" i="4"/>
  <c r="AX16" i="4"/>
  <c r="J16" i="4"/>
  <c r="S16" i="4"/>
  <c r="D16" i="4"/>
  <c r="N16" i="4"/>
  <c r="T16" i="4"/>
  <c r="AA16" i="4"/>
  <c r="AI16" i="4"/>
  <c r="AP16" i="4"/>
  <c r="AV16" i="4"/>
  <c r="F16" i="4"/>
  <c r="O16" i="4"/>
  <c r="V16" i="4"/>
  <c r="AD16" i="4"/>
  <c r="AJ16" i="4"/>
  <c r="AQ16" i="4"/>
  <c r="AY16" i="4"/>
  <c r="E29" i="4"/>
  <c r="J29" i="4"/>
  <c r="O29" i="4"/>
  <c r="U29" i="4"/>
  <c r="Z29" i="4"/>
  <c r="AE29" i="4"/>
  <c r="AK29" i="4"/>
  <c r="AP29" i="4"/>
  <c r="AT29" i="4"/>
  <c r="AX29" i="4"/>
  <c r="AV29" i="4"/>
  <c r="D27" i="4"/>
  <c r="H27" i="4"/>
  <c r="L27" i="4"/>
  <c r="P27" i="4"/>
  <c r="T27" i="4"/>
  <c r="X27" i="4"/>
  <c r="AB27" i="4"/>
  <c r="AF27" i="4"/>
  <c r="AJ27" i="4"/>
  <c r="AN27" i="4"/>
  <c r="AR27" i="4"/>
  <c r="AV27" i="4"/>
  <c r="AZ27" i="4"/>
  <c r="AM24" i="4"/>
  <c r="L24" i="4"/>
  <c r="G23" i="4"/>
  <c r="K23" i="4"/>
  <c r="O23" i="4"/>
  <c r="S23" i="4"/>
  <c r="W23" i="4"/>
  <c r="AA23" i="4"/>
  <c r="AE23" i="4"/>
  <c r="AI23" i="4"/>
  <c r="AM23" i="4"/>
  <c r="AQ23" i="4"/>
  <c r="AU23" i="4"/>
  <c r="AY23" i="4"/>
  <c r="D23" i="4"/>
  <c r="H23" i="4"/>
  <c r="L23" i="4"/>
  <c r="P23" i="4"/>
  <c r="T23" i="4"/>
  <c r="X23" i="4"/>
  <c r="AB23" i="4"/>
  <c r="AF23" i="4"/>
  <c r="AJ23" i="4"/>
  <c r="AN23" i="4"/>
  <c r="AR23" i="4"/>
  <c r="AV23" i="4"/>
  <c r="AZ23" i="4"/>
  <c r="BA19" i="4"/>
  <c r="AS19" i="4"/>
  <c r="AK19" i="4"/>
  <c r="AC19" i="4"/>
  <c r="U19" i="4"/>
  <c r="M19" i="4"/>
  <c r="E19" i="4"/>
  <c r="I15" i="4"/>
  <c r="N15" i="4"/>
  <c r="S15" i="4"/>
  <c r="Y15" i="4"/>
  <c r="AD15" i="4"/>
  <c r="AI15" i="4"/>
  <c r="AO15" i="4"/>
  <c r="AT15" i="4"/>
  <c r="AY15" i="4"/>
  <c r="J15" i="4"/>
  <c r="Q15" i="4"/>
  <c r="W15" i="4"/>
  <c r="AE15" i="4"/>
  <c r="AL15" i="4"/>
  <c r="AS15" i="4"/>
  <c r="BA15" i="4"/>
  <c r="E15" i="4"/>
  <c r="K15" i="4"/>
  <c r="R15" i="4"/>
  <c r="Z15" i="4"/>
  <c r="AG15" i="4"/>
  <c r="AM15" i="4"/>
  <c r="AU15" i="4"/>
  <c r="F15" i="4"/>
  <c r="M15" i="4"/>
  <c r="U15" i="4"/>
  <c r="AA15" i="4"/>
  <c r="AH15" i="4"/>
  <c r="AP15" i="4"/>
  <c r="AW15" i="4"/>
  <c r="BA29" i="4"/>
  <c r="AQ29" i="4"/>
  <c r="AI29" i="4"/>
  <c r="AC29" i="4"/>
  <c r="V29" i="4"/>
  <c r="N29" i="4"/>
  <c r="G29" i="4"/>
  <c r="AZ29" i="4"/>
  <c r="AU29" i="4"/>
  <c r="AO29" i="4"/>
  <c r="AH29" i="4"/>
  <c r="AA29" i="4"/>
  <c r="S29" i="4"/>
  <c r="M29" i="4"/>
  <c r="F29" i="4"/>
  <c r="AW27" i="4"/>
  <c r="AQ27" i="4"/>
  <c r="AL27" i="4"/>
  <c r="AG27" i="4"/>
  <c r="AA27" i="4"/>
  <c r="V27" i="4"/>
  <c r="Q27" i="4"/>
  <c r="K27" i="4"/>
  <c r="F27" i="4"/>
  <c r="H26" i="4"/>
  <c r="M26" i="4"/>
  <c r="R26" i="4"/>
  <c r="X26" i="4"/>
  <c r="AC26" i="4"/>
  <c r="AH26" i="4"/>
  <c r="AN26" i="4"/>
  <c r="AS26" i="4"/>
  <c r="AX26" i="4"/>
  <c r="S25" i="4"/>
  <c r="AD25" i="4"/>
  <c r="AO25" i="4"/>
  <c r="AY25" i="4"/>
  <c r="AH24" i="4"/>
  <c r="G24" i="4"/>
  <c r="AT23" i="4"/>
  <c r="AL23" i="4"/>
  <c r="AD23" i="4"/>
  <c r="V23" i="4"/>
  <c r="N23" i="4"/>
  <c r="F23" i="4"/>
  <c r="E21" i="4"/>
  <c r="F21" i="4"/>
  <c r="M21" i="4"/>
  <c r="S21" i="4"/>
  <c r="AA21" i="4"/>
  <c r="AH21" i="4"/>
  <c r="AO21" i="4"/>
  <c r="AW21" i="4"/>
  <c r="G21" i="4"/>
  <c r="N21" i="4"/>
  <c r="V21" i="4"/>
  <c r="AC21" i="4"/>
  <c r="AI21" i="4"/>
  <c r="AQ21" i="4"/>
  <c r="AX21" i="4"/>
  <c r="H20" i="4"/>
  <c r="L20" i="4"/>
  <c r="W20" i="4"/>
  <c r="AH20" i="4"/>
  <c r="AR20" i="4"/>
  <c r="D20" i="4"/>
  <c r="O20" i="4"/>
  <c r="Z20" i="4"/>
  <c r="AJ20" i="4"/>
  <c r="AU20" i="4"/>
  <c r="AX19" i="4"/>
  <c r="AP19" i="4"/>
  <c r="AH19" i="4"/>
  <c r="Z19" i="4"/>
  <c r="R19" i="4"/>
  <c r="G18" i="4"/>
  <c r="H18" i="4"/>
  <c r="M18" i="4"/>
  <c r="R18" i="4"/>
  <c r="X18" i="4"/>
  <c r="AC18" i="4"/>
  <c r="AH18" i="4"/>
  <c r="AN18" i="4"/>
  <c r="I18" i="4"/>
  <c r="P18" i="4"/>
  <c r="V18" i="4"/>
  <c r="AD18" i="4"/>
  <c r="AK18" i="4"/>
  <c r="AR18" i="4"/>
  <c r="AW18" i="4"/>
  <c r="D18" i="4"/>
  <c r="J18" i="4"/>
  <c r="Q18" i="4"/>
  <c r="Y18" i="4"/>
  <c r="AF18" i="4"/>
  <c r="AL18" i="4"/>
  <c r="AS18" i="4"/>
  <c r="AX18" i="4"/>
  <c r="AT16" i="4"/>
  <c r="AE16" i="4"/>
  <c r="I16" i="4"/>
  <c r="AQ15" i="4"/>
  <c r="O15" i="4"/>
  <c r="G19" i="4"/>
  <c r="K19" i="4"/>
  <c r="O19" i="4"/>
  <c r="S19" i="4"/>
  <c r="W19" i="4"/>
  <c r="AA19" i="4"/>
  <c r="AE19" i="4"/>
  <c r="AI19" i="4"/>
  <c r="AM19" i="4"/>
  <c r="AQ19" i="4"/>
  <c r="AU19" i="4"/>
  <c r="AY19" i="4"/>
  <c r="D19" i="4"/>
  <c r="H19" i="4"/>
  <c r="L19" i="4"/>
  <c r="P19" i="4"/>
  <c r="T19" i="4"/>
  <c r="X19" i="4"/>
  <c r="AB19" i="4"/>
  <c r="AF19" i="4"/>
  <c r="AJ19" i="4"/>
  <c r="AN19" i="4"/>
  <c r="AR19" i="4"/>
  <c r="AV19" i="4"/>
  <c r="AZ19" i="4"/>
  <c r="J10" i="4"/>
  <c r="P10" i="4"/>
  <c r="AF10" i="4"/>
  <c r="AV10" i="4"/>
  <c r="E17" i="4"/>
  <c r="M17" i="4"/>
  <c r="U17" i="4"/>
  <c r="AC17" i="4"/>
  <c r="AK17" i="4"/>
  <c r="AS17" i="4"/>
  <c r="BA17" i="4"/>
  <c r="AT12" i="4"/>
  <c r="AN12" i="4"/>
  <c r="AG12" i="4"/>
  <c r="Y12" i="4"/>
  <c r="R12" i="4"/>
  <c r="L12" i="4"/>
  <c r="AG11" i="4"/>
  <c r="Z11" i="4"/>
  <c r="R11" i="4"/>
  <c r="K11" i="4"/>
  <c r="AZ10" i="4"/>
  <c r="AB10" i="4"/>
  <c r="H10" i="4"/>
  <c r="AL22" i="4"/>
  <c r="AX17" i="4"/>
  <c r="AO17" i="4"/>
  <c r="AD17" i="4"/>
  <c r="R17" i="4"/>
  <c r="I17" i="4"/>
  <c r="AR10" i="4"/>
  <c r="X10" i="4"/>
  <c r="D10" i="4"/>
  <c r="E12" i="4"/>
  <c r="J12" i="4"/>
  <c r="P12" i="4"/>
  <c r="U12" i="4"/>
  <c r="Z12" i="4"/>
  <c r="AF12" i="4"/>
  <c r="AK12" i="4"/>
  <c r="AP12" i="4"/>
  <c r="AV12" i="4"/>
  <c r="BA12" i="4"/>
  <c r="D11" i="4"/>
  <c r="I11" i="4"/>
  <c r="N11" i="4"/>
  <c r="S11" i="4"/>
  <c r="Y11" i="4"/>
  <c r="AD11" i="4"/>
  <c r="AI11" i="4"/>
  <c r="AO11" i="4"/>
  <c r="AT11" i="4"/>
  <c r="AY11" i="4"/>
  <c r="AN10" i="4"/>
  <c r="T10" i="4"/>
  <c r="AY9" i="4"/>
  <c r="AU9" i="4"/>
  <c r="AQ9" i="4"/>
  <c r="AM9" i="4"/>
  <c r="AI9" i="4"/>
  <c r="AE9" i="4"/>
  <c r="AA9" i="4"/>
  <c r="W9" i="4"/>
  <c r="S9" i="4"/>
  <c r="O9" i="4"/>
  <c r="K9" i="4"/>
  <c r="AY7" i="4"/>
  <c r="AU7" i="4"/>
  <c r="AQ7" i="4"/>
  <c r="AM7" i="4"/>
  <c r="AI7" i="4"/>
  <c r="AE7" i="4"/>
  <c r="AA7" i="4"/>
  <c r="W7" i="4"/>
  <c r="S7" i="4"/>
  <c r="O7" i="4"/>
  <c r="K7" i="4"/>
  <c r="F7" i="4"/>
  <c r="AX7" i="4"/>
  <c r="AT7" i="4"/>
  <c r="AP7" i="4"/>
  <c r="AL7" i="4"/>
  <c r="AH7" i="4"/>
  <c r="AD7" i="4"/>
  <c r="Z7" i="4"/>
  <c r="V7" i="4"/>
  <c r="R7" i="4"/>
  <c r="N7" i="4"/>
  <c r="J7" i="4"/>
  <c r="E7" i="4"/>
  <c r="BI170" i="4"/>
  <c r="BI153" i="4"/>
  <c r="BI142" i="4"/>
  <c r="BI133" i="4"/>
  <c r="BI36" i="4"/>
  <c r="BI45" i="4"/>
  <c r="BI46" i="4"/>
  <c r="BI47" i="4"/>
  <c r="BI48" i="4"/>
  <c r="BI50" i="4"/>
  <c r="BI57" i="4"/>
  <c r="BI58" i="4"/>
  <c r="BI63" i="4"/>
  <c r="BI33" i="4"/>
  <c r="BI37" i="4"/>
  <c r="BI39" i="4"/>
  <c r="BI41" i="4"/>
  <c r="BI43" i="4"/>
  <c r="BI44" i="4"/>
  <c r="BI49" i="4"/>
  <c r="BI53" i="4"/>
  <c r="BI55" i="4"/>
  <c r="BI56" i="4"/>
  <c r="BI60" i="4"/>
  <c r="BI51" i="4"/>
  <c r="BI64" i="4"/>
  <c r="BI67" i="4"/>
  <c r="BI68" i="4"/>
  <c r="BI69" i="4"/>
  <c r="BI72" i="4"/>
  <c r="BI73" i="4"/>
  <c r="BI34" i="4"/>
  <c r="BI52" i="4"/>
  <c r="BI54" i="4"/>
  <c r="BI40" i="4"/>
  <c r="BI65" i="4"/>
  <c r="BI70" i="4"/>
  <c r="BI75" i="4"/>
  <c r="BI80" i="4"/>
  <c r="BI35" i="4"/>
  <c r="BI66" i="4"/>
  <c r="BI71" i="4"/>
  <c r="BI76" i="4"/>
  <c r="BI85" i="4"/>
  <c r="BI86" i="4"/>
  <c r="BI99" i="4"/>
  <c r="BI103" i="4"/>
  <c r="BI108" i="4"/>
  <c r="BI112" i="4"/>
  <c r="BI114" i="4"/>
  <c r="BI116" i="4"/>
  <c r="BI118" i="4"/>
  <c r="BI62" i="4"/>
  <c r="BI78" i="4"/>
  <c r="BI79" i="4"/>
  <c r="BI82" i="4"/>
  <c r="BI88" i="4"/>
  <c r="BI90" i="4"/>
  <c r="BI92" i="4"/>
  <c r="BI94" i="4"/>
  <c r="BI98" i="4"/>
  <c r="BI100" i="4"/>
  <c r="BI101" i="4"/>
  <c r="BI102" i="4"/>
  <c r="BI38" i="4"/>
  <c r="BI59" i="4"/>
  <c r="BI61" i="4"/>
  <c r="BI83" i="4"/>
  <c r="BI74" i="4"/>
  <c r="BI81" i="4"/>
  <c r="BI87" i="4"/>
  <c r="BI89" i="4"/>
  <c r="BI91" i="4"/>
  <c r="BI93" i="4"/>
  <c r="BI96" i="4"/>
  <c r="BI105" i="4"/>
  <c r="BI106" i="4"/>
  <c r="BI107" i="4"/>
  <c r="BI95" i="4"/>
  <c r="BI113" i="4"/>
  <c r="BI135" i="4"/>
  <c r="BI138" i="4"/>
  <c r="BI139" i="4"/>
  <c r="BI146" i="4"/>
  <c r="BI147" i="4"/>
  <c r="BI164" i="4"/>
  <c r="BI165" i="4"/>
  <c r="BI166" i="4"/>
  <c r="BI77" i="4"/>
  <c r="BI97" i="4"/>
  <c r="BI119" i="4"/>
  <c r="BI120" i="4"/>
  <c r="BI123" i="4"/>
  <c r="BI124" i="4"/>
  <c r="BI127" i="4"/>
  <c r="BI128" i="4"/>
  <c r="BI130" i="4"/>
  <c r="BI131" i="4"/>
  <c r="BI132" i="4"/>
  <c r="BI136" i="4"/>
  <c r="BI137" i="4"/>
  <c r="BI144" i="4"/>
  <c r="BI145" i="4"/>
  <c r="BI161" i="4"/>
  <c r="BI162" i="4"/>
  <c r="BI163" i="4"/>
  <c r="BI183" i="4"/>
  <c r="BI184" i="4"/>
  <c r="BI187" i="4"/>
  <c r="BI188" i="4"/>
  <c r="BI191" i="4"/>
  <c r="BI192" i="4"/>
  <c r="BI195" i="4"/>
  <c r="BI196" i="4"/>
  <c r="BI198" i="4"/>
  <c r="BI109" i="4"/>
  <c r="BI111" i="4"/>
  <c r="BI117" i="4"/>
  <c r="BI121" i="4"/>
  <c r="BI122" i="4"/>
  <c r="BI134" i="4"/>
  <c r="BI140" i="4"/>
  <c r="BI149" i="4"/>
  <c r="BI171" i="4"/>
  <c r="BI175" i="4"/>
  <c r="BI179" i="4"/>
  <c r="BI189" i="4"/>
  <c r="BI194" i="4"/>
  <c r="BI197" i="4"/>
  <c r="BI32" i="4"/>
  <c r="BI42" i="4"/>
  <c r="BI84" i="4"/>
  <c r="BI104" i="4"/>
  <c r="BI115" i="4"/>
  <c r="BI143" i="4"/>
  <c r="BI150" i="4"/>
  <c r="BI152" i="4"/>
  <c r="BI154" i="4"/>
  <c r="BI156" i="4"/>
  <c r="BI158" i="4"/>
  <c r="BI167" i="4"/>
  <c r="BI168" i="4"/>
  <c r="BI172" i="4"/>
  <c r="BI176" i="4"/>
  <c r="BI180" i="4"/>
  <c r="BI185" i="4"/>
  <c r="BI190" i="4"/>
  <c r="BI110" i="4"/>
  <c r="BI125" i="4"/>
  <c r="BI126" i="4"/>
  <c r="BI141" i="4"/>
  <c r="BI148" i="4"/>
  <c r="BI160" i="4"/>
  <c r="BI169" i="4"/>
  <c r="BI173" i="4"/>
  <c r="BI177" i="4"/>
  <c r="BI181" i="4"/>
  <c r="BI186" i="4"/>
  <c r="BI174" i="4"/>
  <c r="BI151" i="4"/>
  <c r="BI199" i="4"/>
  <c r="BI182" i="4"/>
  <c r="BI155" i="4"/>
  <c r="BI159" i="4"/>
  <c r="BI193" i="4"/>
  <c r="BI178" i="4"/>
  <c r="BI157" i="4"/>
  <c r="E24" i="4"/>
  <c r="I24" i="4"/>
  <c r="M24" i="4"/>
  <c r="Q24" i="4"/>
  <c r="U24" i="4"/>
  <c r="Y24" i="4"/>
  <c r="AC24" i="4"/>
  <c r="AG24" i="4"/>
  <c r="AK24" i="4"/>
  <c r="AO24" i="4"/>
  <c r="AS24" i="4"/>
  <c r="AW24" i="4"/>
  <c r="BA24" i="4"/>
  <c r="E28" i="4"/>
  <c r="I28" i="4"/>
  <c r="M28" i="4"/>
  <c r="Q28" i="4"/>
  <c r="U28" i="4"/>
  <c r="Y28" i="4"/>
  <c r="AC28" i="4"/>
  <c r="AG28" i="4"/>
  <c r="AK28" i="4"/>
  <c r="AO28" i="4"/>
  <c r="AS28" i="4"/>
  <c r="AW28" i="4"/>
  <c r="BA28" i="4"/>
  <c r="D25" i="4"/>
  <c r="H25" i="4"/>
  <c r="L25" i="4"/>
  <c r="P25" i="4"/>
  <c r="T25" i="4"/>
  <c r="X25" i="4"/>
  <c r="AB25" i="4"/>
  <c r="AF25" i="4"/>
  <c r="AJ25" i="4"/>
  <c r="AN25" i="4"/>
  <c r="AR25" i="4"/>
  <c r="AV25" i="4"/>
  <c r="AZ25" i="4"/>
  <c r="AF24" i="4"/>
  <c r="AB22" i="4"/>
  <c r="V22" i="4"/>
  <c r="Q22" i="4"/>
  <c r="L22" i="4"/>
  <c r="F22" i="4"/>
  <c r="E8" i="4"/>
  <c r="I8" i="4"/>
  <c r="M8" i="4"/>
  <c r="Q8" i="4"/>
  <c r="U8" i="4"/>
  <c r="Y8" i="4"/>
  <c r="AC8" i="4"/>
  <c r="AG8" i="4"/>
  <c r="AK8" i="4"/>
  <c r="AO8" i="4"/>
  <c r="AS8" i="4"/>
  <c r="AW8" i="4"/>
  <c r="BA8" i="4"/>
  <c r="G8" i="4"/>
  <c r="K8" i="4"/>
  <c r="O8" i="4"/>
  <c r="S8" i="4"/>
  <c r="W8" i="4"/>
  <c r="AA8" i="4"/>
  <c r="AE8" i="4"/>
  <c r="AI8" i="4"/>
  <c r="AM8" i="4"/>
  <c r="AQ8" i="4"/>
  <c r="AU8" i="4"/>
  <c r="AY8" i="4"/>
  <c r="D8" i="4"/>
  <c r="L8" i="4"/>
  <c r="T8" i="4"/>
  <c r="AB8" i="4"/>
  <c r="AJ8" i="4"/>
  <c r="AR8" i="4"/>
  <c r="AZ8" i="4"/>
  <c r="F8" i="4"/>
  <c r="N8" i="4"/>
  <c r="V8" i="4"/>
  <c r="AD8" i="4"/>
  <c r="AL8" i="4"/>
  <c r="AT8" i="4"/>
  <c r="H8" i="4"/>
  <c r="P8" i="4"/>
  <c r="X8" i="4"/>
  <c r="AF8" i="4"/>
  <c r="AN8" i="4"/>
  <c r="AV8" i="4"/>
  <c r="AY30" i="4"/>
  <c r="AU30" i="4"/>
  <c r="AQ30" i="4"/>
  <c r="AM30" i="4"/>
  <c r="AI30" i="4"/>
  <c r="AE30" i="4"/>
  <c r="AA30" i="4"/>
  <c r="W30" i="4"/>
  <c r="S30" i="4"/>
  <c r="O30" i="4"/>
  <c r="K30" i="4"/>
  <c r="D29" i="4"/>
  <c r="H29" i="4"/>
  <c r="L29" i="4"/>
  <c r="P29" i="4"/>
  <c r="T29" i="4"/>
  <c r="X29" i="4"/>
  <c r="AB29" i="4"/>
  <c r="AF29" i="4"/>
  <c r="AJ29" i="4"/>
  <c r="AN29" i="4"/>
  <c r="AV28" i="4"/>
  <c r="AQ28" i="4"/>
  <c r="AL28" i="4"/>
  <c r="AF28" i="4"/>
  <c r="AA28" i="4"/>
  <c r="V28" i="4"/>
  <c r="P28" i="4"/>
  <c r="K28" i="4"/>
  <c r="F28" i="4"/>
  <c r="G26" i="4"/>
  <c r="K26" i="4"/>
  <c r="O26" i="4"/>
  <c r="S26" i="4"/>
  <c r="W26" i="4"/>
  <c r="AA26" i="4"/>
  <c r="AE26" i="4"/>
  <c r="AI26" i="4"/>
  <c r="AM26" i="4"/>
  <c r="AQ26" i="4"/>
  <c r="AU26" i="4"/>
  <c r="AY26" i="4"/>
  <c r="AW25" i="4"/>
  <c r="AQ25" i="4"/>
  <c r="AL25" i="4"/>
  <c r="AG25" i="4"/>
  <c r="AA25" i="4"/>
  <c r="V25" i="4"/>
  <c r="Q25" i="4"/>
  <c r="K25" i="4"/>
  <c r="F25" i="4"/>
  <c r="AZ24" i="4"/>
  <c r="AU24" i="4"/>
  <c r="AP24" i="4"/>
  <c r="AJ24" i="4"/>
  <c r="AE24" i="4"/>
  <c r="Z24" i="4"/>
  <c r="T24" i="4"/>
  <c r="O24" i="4"/>
  <c r="J24" i="4"/>
  <c r="D24" i="4"/>
  <c r="BA22" i="4"/>
  <c r="AV22" i="4"/>
  <c r="AP22" i="4"/>
  <c r="AK22" i="4"/>
  <c r="AF22" i="4"/>
  <c r="Z22" i="4"/>
  <c r="U22" i="4"/>
  <c r="P22" i="4"/>
  <c r="J22" i="4"/>
  <c r="BA21" i="4"/>
  <c r="AU21" i="4"/>
  <c r="AP21" i="4"/>
  <c r="AK21" i="4"/>
  <c r="AE21" i="4"/>
  <c r="Z21" i="4"/>
  <c r="U21" i="4"/>
  <c r="O21" i="4"/>
  <c r="J21" i="4"/>
  <c r="AY20" i="4"/>
  <c r="AT20" i="4"/>
  <c r="AN20" i="4"/>
  <c r="AI20" i="4"/>
  <c r="AD20" i="4"/>
  <c r="X20" i="4"/>
  <c r="S20" i="4"/>
  <c r="N20" i="4"/>
  <c r="G17" i="4"/>
  <c r="K17" i="4"/>
  <c r="O17" i="4"/>
  <c r="S17" i="4"/>
  <c r="W17" i="4"/>
  <c r="AA17" i="4"/>
  <c r="AE17" i="4"/>
  <c r="AI17" i="4"/>
  <c r="AM17" i="4"/>
  <c r="AQ17" i="4"/>
  <c r="AU17" i="4"/>
  <c r="AY17" i="4"/>
  <c r="D17" i="4"/>
  <c r="H17" i="4"/>
  <c r="L17" i="4"/>
  <c r="P17" i="4"/>
  <c r="T17" i="4"/>
  <c r="X17" i="4"/>
  <c r="AB17" i="4"/>
  <c r="AF17" i="4"/>
  <c r="AJ17" i="4"/>
  <c r="AN17" i="4"/>
  <c r="AR17" i="4"/>
  <c r="AV17" i="4"/>
  <c r="AZ17" i="4"/>
  <c r="AR14" i="4"/>
  <c r="AX8" i="4"/>
  <c r="R8" i="4"/>
  <c r="L28" i="4"/>
  <c r="G28" i="4"/>
  <c r="M25" i="4"/>
  <c r="G25" i="4"/>
  <c r="AV24" i="4"/>
  <c r="AQ24" i="4"/>
  <c r="AL24" i="4"/>
  <c r="AA24" i="4"/>
  <c r="V24" i="4"/>
  <c r="P24" i="4"/>
  <c r="K24" i="4"/>
  <c r="F24" i="4"/>
  <c r="G22" i="4"/>
  <c r="K22" i="4"/>
  <c r="O22" i="4"/>
  <c r="S22" i="4"/>
  <c r="W22" i="4"/>
  <c r="AA22" i="4"/>
  <c r="AE22" i="4"/>
  <c r="AI22" i="4"/>
  <c r="AM22" i="4"/>
  <c r="AQ22" i="4"/>
  <c r="AU22" i="4"/>
  <c r="AY22" i="4"/>
  <c r="AZ28" i="4"/>
  <c r="AU28" i="4"/>
  <c r="AP28" i="4"/>
  <c r="AJ28" i="4"/>
  <c r="AE28" i="4"/>
  <c r="Z28" i="4"/>
  <c r="T28" i="4"/>
  <c r="O28" i="4"/>
  <c r="J28" i="4"/>
  <c r="D28" i="4"/>
  <c r="BA25" i="4"/>
  <c r="AU25" i="4"/>
  <c r="AP25" i="4"/>
  <c r="AK25" i="4"/>
  <c r="AE25" i="4"/>
  <c r="Z25" i="4"/>
  <c r="U25" i="4"/>
  <c r="O25" i="4"/>
  <c r="J25" i="4"/>
  <c r="E25" i="4"/>
  <c r="AY24" i="4"/>
  <c r="AT24" i="4"/>
  <c r="AN24" i="4"/>
  <c r="AI24" i="4"/>
  <c r="AD24" i="4"/>
  <c r="X24" i="4"/>
  <c r="S24" i="4"/>
  <c r="N24" i="4"/>
  <c r="H24" i="4"/>
  <c r="AZ22" i="4"/>
  <c r="AT22" i="4"/>
  <c r="AO22" i="4"/>
  <c r="AJ22" i="4"/>
  <c r="AD22" i="4"/>
  <c r="Y22" i="4"/>
  <c r="T22" i="4"/>
  <c r="N22" i="4"/>
  <c r="I22" i="4"/>
  <c r="D22" i="4"/>
  <c r="E20" i="4"/>
  <c r="I20" i="4"/>
  <c r="M20" i="4"/>
  <c r="Q20" i="4"/>
  <c r="U20" i="4"/>
  <c r="Y20" i="4"/>
  <c r="AC20" i="4"/>
  <c r="AG20" i="4"/>
  <c r="AK20" i="4"/>
  <c r="AO20" i="4"/>
  <c r="AS20" i="4"/>
  <c r="AW20" i="4"/>
  <c r="BA20" i="4"/>
  <c r="E14" i="4"/>
  <c r="I14" i="4"/>
  <c r="M14" i="4"/>
  <c r="Q14" i="4"/>
  <c r="U14" i="4"/>
  <c r="Y14" i="4"/>
  <c r="AC14" i="4"/>
  <c r="AG14" i="4"/>
  <c r="AK14" i="4"/>
  <c r="AO14" i="4"/>
  <c r="AS14" i="4"/>
  <c r="AW14" i="4"/>
  <c r="BA14" i="4"/>
  <c r="H14" i="4"/>
  <c r="N14" i="4"/>
  <c r="S14" i="4"/>
  <c r="X14" i="4"/>
  <c r="AD14" i="4"/>
  <c r="AI14" i="4"/>
  <c r="AN14" i="4"/>
  <c r="AT14" i="4"/>
  <c r="AY14" i="4"/>
  <c r="D14" i="4"/>
  <c r="J14" i="4"/>
  <c r="O14" i="4"/>
  <c r="T14" i="4"/>
  <c r="Z14" i="4"/>
  <c r="AE14" i="4"/>
  <c r="AJ14" i="4"/>
  <c r="AP14" i="4"/>
  <c r="AU14" i="4"/>
  <c r="AZ14" i="4"/>
  <c r="F14" i="4"/>
  <c r="K14" i="4"/>
  <c r="P14" i="4"/>
  <c r="V14" i="4"/>
  <c r="AA14" i="4"/>
  <c r="AF14" i="4"/>
  <c r="AL14" i="4"/>
  <c r="AQ14" i="4"/>
  <c r="AV14" i="4"/>
  <c r="AP8" i="4"/>
  <c r="J8" i="4"/>
  <c r="AX22" i="4"/>
  <c r="AS22" i="4"/>
  <c r="AN22" i="4"/>
  <c r="AH22" i="4"/>
  <c r="AC22" i="4"/>
  <c r="X22" i="4"/>
  <c r="R22" i="4"/>
  <c r="M22" i="4"/>
  <c r="H22" i="4"/>
  <c r="D21" i="4"/>
  <c r="H21" i="4"/>
  <c r="L21" i="4"/>
  <c r="P21" i="4"/>
  <c r="T21" i="4"/>
  <c r="X21" i="4"/>
  <c r="AB21" i="4"/>
  <c r="AF21" i="4"/>
  <c r="AJ21" i="4"/>
  <c r="AN21" i="4"/>
  <c r="AR21" i="4"/>
  <c r="AV21" i="4"/>
  <c r="AZ21" i="4"/>
  <c r="AV20" i="4"/>
  <c r="AQ20" i="4"/>
  <c r="AL20" i="4"/>
  <c r="AF20" i="4"/>
  <c r="AA20" i="4"/>
  <c r="V20" i="4"/>
  <c r="P20" i="4"/>
  <c r="K20" i="4"/>
  <c r="F20" i="4"/>
  <c r="AH14" i="4"/>
  <c r="L14" i="4"/>
  <c r="AH8" i="4"/>
  <c r="AY18" i="4"/>
  <c r="AU18" i="4"/>
  <c r="AQ18" i="4"/>
  <c r="AM18" i="4"/>
  <c r="AI18" i="4"/>
  <c r="AE18" i="4"/>
  <c r="AA18" i="4"/>
  <c r="W18" i="4"/>
  <c r="S18" i="4"/>
  <c r="O18" i="4"/>
  <c r="K18" i="4"/>
  <c r="BA16" i="4"/>
  <c r="AW16" i="4"/>
  <c r="AS16" i="4"/>
  <c r="AO16" i="4"/>
  <c r="AK16" i="4"/>
  <c r="AG16" i="4"/>
  <c r="AC16" i="4"/>
  <c r="Y16" i="4"/>
  <c r="U16" i="4"/>
  <c r="Q16" i="4"/>
  <c r="M16" i="4"/>
  <c r="D15" i="4"/>
  <c r="H15" i="4"/>
  <c r="L15" i="4"/>
  <c r="P15" i="4"/>
  <c r="T15" i="4"/>
  <c r="X15" i="4"/>
  <c r="AB15" i="4"/>
  <c r="AF15" i="4"/>
  <c r="AJ15" i="4"/>
  <c r="AN15" i="4"/>
  <c r="AR15" i="4"/>
  <c r="AV15" i="4"/>
  <c r="AZ15" i="4"/>
  <c r="G12" i="4"/>
  <c r="K12" i="4"/>
  <c r="O12" i="4"/>
  <c r="S12" i="4"/>
  <c r="W12" i="4"/>
  <c r="AA12" i="4"/>
  <c r="AE12" i="4"/>
  <c r="AI12" i="4"/>
  <c r="AM12" i="4"/>
  <c r="AQ12" i="4"/>
  <c r="AU12" i="4"/>
  <c r="AY12" i="4"/>
  <c r="AX10" i="4"/>
  <c r="AP10" i="4"/>
  <c r="AH10" i="4"/>
  <c r="Z10" i="4"/>
  <c r="R10" i="4"/>
  <c r="G16" i="4"/>
  <c r="K16" i="4"/>
  <c r="G10" i="4"/>
  <c r="K10" i="4"/>
  <c r="O10" i="4"/>
  <c r="S10" i="4"/>
  <c r="W10" i="4"/>
  <c r="AA10" i="4"/>
  <c r="AE10" i="4"/>
  <c r="AI10" i="4"/>
  <c r="AM10" i="4"/>
  <c r="AQ10" i="4"/>
  <c r="AU10" i="4"/>
  <c r="AY10" i="4"/>
  <c r="E10" i="4"/>
  <c r="I10" i="4"/>
  <c r="M10" i="4"/>
  <c r="Q10" i="4"/>
  <c r="U10" i="4"/>
  <c r="Y10" i="4"/>
  <c r="AC10" i="4"/>
  <c r="AG10" i="4"/>
  <c r="AK10" i="4"/>
  <c r="AO10" i="4"/>
  <c r="AS10" i="4"/>
  <c r="AW10" i="4"/>
  <c r="BA10" i="4"/>
  <c r="AT10" i="4"/>
  <c r="AL10" i="4"/>
  <c r="AD10" i="4"/>
  <c r="V10" i="4"/>
  <c r="N10" i="4"/>
  <c r="F10" i="4"/>
  <c r="AZ11" i="4"/>
  <c r="AV11" i="4"/>
  <c r="AR11" i="4"/>
  <c r="AN11" i="4"/>
  <c r="AJ11" i="4"/>
  <c r="AF11" i="4"/>
  <c r="AB11" i="4"/>
  <c r="X11" i="4"/>
  <c r="T11" i="4"/>
  <c r="P11" i="4"/>
  <c r="L11" i="4"/>
  <c r="H11" i="4"/>
  <c r="D7" i="4"/>
  <c r="CJ1" i="4"/>
  <c r="CF1" i="4"/>
  <c r="CB1" i="4"/>
  <c r="BX1" i="4"/>
  <c r="BT1" i="4"/>
  <c r="BP1" i="4"/>
  <c r="BL1" i="4"/>
  <c r="CI1" i="4"/>
  <c r="CE1" i="4"/>
  <c r="CA1" i="4"/>
  <c r="BW1" i="4"/>
  <c r="BS1" i="4"/>
  <c r="BO1" i="4"/>
  <c r="BK1" i="4"/>
  <c r="CL1" i="4"/>
  <c r="CH1" i="4"/>
  <c r="CD1" i="4"/>
  <c r="BZ1" i="4"/>
  <c r="BV1" i="4"/>
  <c r="BR1" i="4"/>
  <c r="BN1" i="4"/>
  <c r="BJ1" i="4"/>
  <c r="CK1" i="4"/>
  <c r="CG1" i="4"/>
  <c r="CC1" i="4"/>
  <c r="BY1" i="4"/>
  <c r="BU1" i="4"/>
  <c r="BQ1" i="4"/>
  <c r="BM1" i="4"/>
  <c r="BD33" i="4"/>
  <c r="BE33" i="4"/>
  <c r="BF33" i="4"/>
  <c r="BG33" i="4"/>
  <c r="BH33" i="4"/>
  <c r="BD34" i="4"/>
  <c r="BE34" i="4"/>
  <c r="BF34" i="4"/>
  <c r="BG34" i="4"/>
  <c r="BH34" i="4"/>
  <c r="BD35" i="4"/>
  <c r="BE35" i="4"/>
  <c r="BF35" i="4"/>
  <c r="BG35" i="4"/>
  <c r="BH35" i="4"/>
  <c r="BD36" i="4"/>
  <c r="BE36" i="4"/>
  <c r="BF36" i="4"/>
  <c r="BG36" i="4"/>
  <c r="BH36" i="4"/>
  <c r="BD37" i="4"/>
  <c r="BE37" i="4"/>
  <c r="BF37" i="4"/>
  <c r="BG37" i="4"/>
  <c r="BH37" i="4"/>
  <c r="BD38" i="4"/>
  <c r="BE38" i="4"/>
  <c r="BF38" i="4"/>
  <c r="BG38" i="4"/>
  <c r="BH38" i="4"/>
  <c r="BD39" i="4"/>
  <c r="BE39" i="4"/>
  <c r="BF39" i="4"/>
  <c r="BG39" i="4"/>
  <c r="BH39" i="4"/>
  <c r="BD40" i="4"/>
  <c r="BE40" i="4"/>
  <c r="BF40" i="4"/>
  <c r="BG40" i="4"/>
  <c r="BH40" i="4"/>
  <c r="BD41" i="4"/>
  <c r="BE41" i="4"/>
  <c r="BF41" i="4"/>
  <c r="BG41" i="4"/>
  <c r="BH41" i="4"/>
  <c r="BD42" i="4"/>
  <c r="BE42" i="4"/>
  <c r="BF42" i="4"/>
  <c r="BG42" i="4"/>
  <c r="BH42" i="4"/>
  <c r="BD43" i="4"/>
  <c r="BE43" i="4"/>
  <c r="BF43" i="4"/>
  <c r="BG43" i="4"/>
  <c r="BH43" i="4"/>
  <c r="BD44" i="4"/>
  <c r="BE44" i="4"/>
  <c r="BF44" i="4"/>
  <c r="BG44" i="4"/>
  <c r="BH44" i="4"/>
  <c r="BD45" i="4"/>
  <c r="BE45" i="4"/>
  <c r="BF45" i="4"/>
  <c r="BG45" i="4"/>
  <c r="BH45" i="4"/>
  <c r="BD46" i="4"/>
  <c r="BE46" i="4"/>
  <c r="BF46" i="4"/>
  <c r="BG46" i="4"/>
  <c r="BH46" i="4"/>
  <c r="BD47" i="4"/>
  <c r="BE47" i="4"/>
  <c r="BF47" i="4"/>
  <c r="BG47" i="4"/>
  <c r="BH47" i="4"/>
  <c r="BD48" i="4"/>
  <c r="BE48" i="4"/>
  <c r="BF48" i="4"/>
  <c r="BG48" i="4"/>
  <c r="BH48" i="4"/>
  <c r="BD49" i="4"/>
  <c r="BE49" i="4"/>
  <c r="BF49" i="4"/>
  <c r="BG49" i="4"/>
  <c r="BH49" i="4"/>
  <c r="BD50" i="4"/>
  <c r="BE50" i="4"/>
  <c r="BF50" i="4"/>
  <c r="BG50" i="4"/>
  <c r="BH50" i="4"/>
  <c r="BD51" i="4"/>
  <c r="BE51" i="4"/>
  <c r="BF51" i="4"/>
  <c r="BG51" i="4"/>
  <c r="BH51" i="4"/>
  <c r="BD52" i="4"/>
  <c r="BE52" i="4"/>
  <c r="BF52" i="4"/>
  <c r="BG52" i="4"/>
  <c r="BH52" i="4"/>
  <c r="BD53" i="4"/>
  <c r="BE53" i="4"/>
  <c r="BF53" i="4"/>
  <c r="BG53" i="4"/>
  <c r="BH53" i="4"/>
  <c r="BD54" i="4"/>
  <c r="BE54" i="4"/>
  <c r="BF54" i="4"/>
  <c r="BG54" i="4"/>
  <c r="BH54" i="4"/>
  <c r="BD55" i="4"/>
  <c r="BE55" i="4"/>
  <c r="BF55" i="4"/>
  <c r="BG55" i="4"/>
  <c r="BH55" i="4"/>
  <c r="BD56" i="4"/>
  <c r="BE56" i="4"/>
  <c r="BF56" i="4"/>
  <c r="BG56" i="4"/>
  <c r="BH56" i="4"/>
  <c r="BD57" i="4"/>
  <c r="BE57" i="4"/>
  <c r="BF57" i="4"/>
  <c r="BG57" i="4"/>
  <c r="BH57" i="4"/>
  <c r="BD58" i="4"/>
  <c r="BE58" i="4"/>
  <c r="BF58" i="4"/>
  <c r="BG58" i="4"/>
  <c r="BH58" i="4"/>
  <c r="BD59" i="4"/>
  <c r="BE59" i="4"/>
  <c r="BF59" i="4"/>
  <c r="BG59" i="4"/>
  <c r="BH59" i="4"/>
  <c r="BD60" i="4"/>
  <c r="BE60" i="4"/>
  <c r="BF60" i="4"/>
  <c r="BG60" i="4"/>
  <c r="BH60" i="4"/>
  <c r="BD61" i="4"/>
  <c r="BE61" i="4"/>
  <c r="BF61" i="4"/>
  <c r="BG61" i="4"/>
  <c r="BH61" i="4"/>
  <c r="BD62" i="4"/>
  <c r="BE62" i="4"/>
  <c r="BF62" i="4"/>
  <c r="BG62" i="4"/>
  <c r="BH62" i="4"/>
  <c r="BD63" i="4"/>
  <c r="BE63" i="4"/>
  <c r="BF63" i="4"/>
  <c r="BG63" i="4"/>
  <c r="BH63" i="4"/>
  <c r="BD64" i="4"/>
  <c r="BE64" i="4"/>
  <c r="BF64" i="4"/>
  <c r="BG64" i="4"/>
  <c r="BH64" i="4"/>
  <c r="BD65" i="4"/>
  <c r="BE65" i="4"/>
  <c r="BF65" i="4"/>
  <c r="BG65" i="4"/>
  <c r="BH65" i="4"/>
  <c r="BD66" i="4"/>
  <c r="BE66" i="4"/>
  <c r="BF66" i="4"/>
  <c r="BG66" i="4"/>
  <c r="BH66" i="4"/>
  <c r="BD67" i="4"/>
  <c r="BE67" i="4"/>
  <c r="BF67" i="4"/>
  <c r="BG67" i="4"/>
  <c r="BH67" i="4"/>
  <c r="BD68" i="4"/>
  <c r="BE68" i="4"/>
  <c r="BF68" i="4"/>
  <c r="BG68" i="4"/>
  <c r="BH68" i="4"/>
  <c r="BD69" i="4"/>
  <c r="BE69" i="4"/>
  <c r="BF69" i="4"/>
  <c r="BG69" i="4"/>
  <c r="BH69" i="4"/>
  <c r="BD70" i="4"/>
  <c r="BE70" i="4"/>
  <c r="BF70" i="4"/>
  <c r="BG70" i="4"/>
  <c r="BH70" i="4"/>
  <c r="BD71" i="4"/>
  <c r="BE71" i="4"/>
  <c r="BF71" i="4"/>
  <c r="BG71" i="4"/>
  <c r="BH71" i="4"/>
  <c r="BD72" i="4"/>
  <c r="BE72" i="4"/>
  <c r="BF72" i="4"/>
  <c r="BG72" i="4"/>
  <c r="BH72" i="4"/>
  <c r="BD73" i="4"/>
  <c r="BE73" i="4"/>
  <c r="BF73" i="4"/>
  <c r="BG73" i="4"/>
  <c r="BH73" i="4"/>
  <c r="BD74" i="4"/>
  <c r="BE74" i="4"/>
  <c r="BF74" i="4"/>
  <c r="BG74" i="4"/>
  <c r="BH74" i="4"/>
  <c r="BD75" i="4"/>
  <c r="BE75" i="4"/>
  <c r="BF75" i="4"/>
  <c r="BG75" i="4"/>
  <c r="BH75" i="4"/>
  <c r="BD76" i="4"/>
  <c r="BE76" i="4"/>
  <c r="BF76" i="4"/>
  <c r="BG76" i="4"/>
  <c r="BH76" i="4"/>
  <c r="BD77" i="4"/>
  <c r="BE77" i="4"/>
  <c r="BF77" i="4"/>
  <c r="BG77" i="4"/>
  <c r="BH77" i="4"/>
  <c r="BD78" i="4"/>
  <c r="BE78" i="4"/>
  <c r="BF78" i="4"/>
  <c r="BG78" i="4"/>
  <c r="BH78" i="4"/>
  <c r="BD79" i="4"/>
  <c r="BE79" i="4"/>
  <c r="BF79" i="4"/>
  <c r="BG79" i="4"/>
  <c r="BH79" i="4"/>
  <c r="BD80" i="4"/>
  <c r="BE80" i="4"/>
  <c r="BF80" i="4"/>
  <c r="BG80" i="4"/>
  <c r="BH80" i="4"/>
  <c r="BD81" i="4"/>
  <c r="BE81" i="4"/>
  <c r="BF81" i="4"/>
  <c r="BG81" i="4"/>
  <c r="BH81" i="4"/>
  <c r="BD82" i="4"/>
  <c r="BE82" i="4"/>
  <c r="BF82" i="4"/>
  <c r="BG82" i="4"/>
  <c r="BH82" i="4"/>
  <c r="BD83" i="4"/>
  <c r="BE83" i="4"/>
  <c r="BF83" i="4"/>
  <c r="BG83" i="4"/>
  <c r="BH83" i="4"/>
  <c r="BD84" i="4"/>
  <c r="BE84" i="4"/>
  <c r="BF84" i="4"/>
  <c r="BG84" i="4"/>
  <c r="BH84" i="4"/>
  <c r="BD85" i="4"/>
  <c r="BE85" i="4"/>
  <c r="BF85" i="4"/>
  <c r="BG85" i="4"/>
  <c r="BH85" i="4"/>
  <c r="BD86" i="4"/>
  <c r="BE86" i="4"/>
  <c r="BF86" i="4"/>
  <c r="BG86" i="4"/>
  <c r="BH86" i="4"/>
  <c r="BD87" i="4"/>
  <c r="BE87" i="4"/>
  <c r="BF87" i="4"/>
  <c r="BG87" i="4"/>
  <c r="BH87" i="4"/>
  <c r="BD88" i="4"/>
  <c r="BE88" i="4"/>
  <c r="BF88" i="4"/>
  <c r="BG88" i="4"/>
  <c r="BH88" i="4"/>
  <c r="BD89" i="4"/>
  <c r="BE89" i="4"/>
  <c r="BF89" i="4"/>
  <c r="BG89" i="4"/>
  <c r="BH89" i="4"/>
  <c r="BD90" i="4"/>
  <c r="BE90" i="4"/>
  <c r="BF90" i="4"/>
  <c r="BG90" i="4"/>
  <c r="BH90" i="4"/>
  <c r="BD91" i="4"/>
  <c r="BE91" i="4"/>
  <c r="BF91" i="4"/>
  <c r="BG91" i="4"/>
  <c r="BH91" i="4"/>
  <c r="BD92" i="4"/>
  <c r="BE92" i="4"/>
  <c r="BF92" i="4"/>
  <c r="BG92" i="4"/>
  <c r="BH92" i="4"/>
  <c r="BD93" i="4"/>
  <c r="BE93" i="4"/>
  <c r="BF93" i="4"/>
  <c r="BG93" i="4"/>
  <c r="BH93" i="4"/>
  <c r="BD94" i="4"/>
  <c r="BE94" i="4"/>
  <c r="BF94" i="4"/>
  <c r="BG94" i="4"/>
  <c r="BH94" i="4"/>
  <c r="BD95" i="4"/>
  <c r="BE95" i="4"/>
  <c r="BF95" i="4"/>
  <c r="BG95" i="4"/>
  <c r="BH95" i="4"/>
  <c r="BD96" i="4"/>
  <c r="BE96" i="4"/>
  <c r="BF96" i="4"/>
  <c r="BG96" i="4"/>
  <c r="BH96" i="4"/>
  <c r="BD97" i="4"/>
  <c r="BE97" i="4"/>
  <c r="BF97" i="4"/>
  <c r="BG97" i="4"/>
  <c r="BH97" i="4"/>
  <c r="BD98" i="4"/>
  <c r="BE98" i="4"/>
  <c r="BF98" i="4"/>
  <c r="BG98" i="4"/>
  <c r="BH98" i="4"/>
  <c r="BD99" i="4"/>
  <c r="BE99" i="4"/>
  <c r="BF99" i="4"/>
  <c r="BG99" i="4"/>
  <c r="BH99" i="4"/>
  <c r="BD100" i="4"/>
  <c r="BE100" i="4"/>
  <c r="BF100" i="4"/>
  <c r="BG100" i="4"/>
  <c r="BH100" i="4"/>
  <c r="BD101" i="4"/>
  <c r="BE101" i="4"/>
  <c r="BF101" i="4"/>
  <c r="BG101" i="4"/>
  <c r="BH101" i="4"/>
  <c r="BD102" i="4"/>
  <c r="BE102" i="4"/>
  <c r="BF102" i="4"/>
  <c r="BG102" i="4"/>
  <c r="BH102" i="4"/>
  <c r="BD103" i="4"/>
  <c r="BE103" i="4"/>
  <c r="BF103" i="4"/>
  <c r="BG103" i="4"/>
  <c r="BH103" i="4"/>
  <c r="BD104" i="4"/>
  <c r="BE104" i="4"/>
  <c r="BF104" i="4"/>
  <c r="BG104" i="4"/>
  <c r="BH104" i="4"/>
  <c r="BD105" i="4"/>
  <c r="BE105" i="4"/>
  <c r="BF105" i="4"/>
  <c r="BG105" i="4"/>
  <c r="BH105" i="4"/>
  <c r="BD106" i="4"/>
  <c r="BE106" i="4"/>
  <c r="BF106" i="4"/>
  <c r="BG106" i="4"/>
  <c r="BH106" i="4"/>
  <c r="BD107" i="4"/>
  <c r="BE107" i="4"/>
  <c r="BF107" i="4"/>
  <c r="BG107" i="4"/>
  <c r="BH107" i="4"/>
  <c r="BD108" i="4"/>
  <c r="BE108" i="4"/>
  <c r="BF108" i="4"/>
  <c r="BG108" i="4"/>
  <c r="BH108" i="4"/>
  <c r="BD109" i="4"/>
  <c r="BE109" i="4"/>
  <c r="BF109" i="4"/>
  <c r="BG109" i="4"/>
  <c r="BH109" i="4"/>
  <c r="BD110" i="4"/>
  <c r="BE110" i="4"/>
  <c r="BF110" i="4"/>
  <c r="BG110" i="4"/>
  <c r="BH110" i="4"/>
  <c r="BD111" i="4"/>
  <c r="BE111" i="4"/>
  <c r="BF111" i="4"/>
  <c r="BG111" i="4"/>
  <c r="BH111" i="4"/>
  <c r="BD112" i="4"/>
  <c r="BE112" i="4"/>
  <c r="BF112" i="4"/>
  <c r="BG112" i="4"/>
  <c r="BH112" i="4"/>
  <c r="BD113" i="4"/>
  <c r="BE113" i="4"/>
  <c r="BF113" i="4"/>
  <c r="BG113" i="4"/>
  <c r="BH113" i="4"/>
  <c r="BD114" i="4"/>
  <c r="BE114" i="4"/>
  <c r="BF114" i="4"/>
  <c r="BG114" i="4"/>
  <c r="BH114" i="4"/>
  <c r="BD115" i="4"/>
  <c r="BE115" i="4"/>
  <c r="BF115" i="4"/>
  <c r="BG115" i="4"/>
  <c r="BH115" i="4"/>
  <c r="BD116" i="4"/>
  <c r="BE116" i="4"/>
  <c r="BF116" i="4"/>
  <c r="BG116" i="4"/>
  <c r="BH116" i="4"/>
  <c r="BD117" i="4"/>
  <c r="BE117" i="4"/>
  <c r="BF117" i="4"/>
  <c r="BG117" i="4"/>
  <c r="BH117" i="4"/>
  <c r="BD118" i="4"/>
  <c r="BE118" i="4"/>
  <c r="BF118" i="4"/>
  <c r="BG118" i="4"/>
  <c r="BH118" i="4"/>
  <c r="BD119" i="4"/>
  <c r="BE119" i="4"/>
  <c r="BF119" i="4"/>
  <c r="BG119" i="4"/>
  <c r="BH119" i="4"/>
  <c r="BD120" i="4"/>
  <c r="BE120" i="4"/>
  <c r="BF120" i="4"/>
  <c r="BG120" i="4"/>
  <c r="BH120" i="4"/>
  <c r="BD121" i="4"/>
  <c r="BE121" i="4"/>
  <c r="BF121" i="4"/>
  <c r="BG121" i="4"/>
  <c r="BH121" i="4"/>
  <c r="BD122" i="4"/>
  <c r="BE122" i="4"/>
  <c r="BF122" i="4"/>
  <c r="BG122" i="4"/>
  <c r="BH122" i="4"/>
  <c r="BD123" i="4"/>
  <c r="BE123" i="4"/>
  <c r="BF123" i="4"/>
  <c r="BG123" i="4"/>
  <c r="BH123" i="4"/>
  <c r="BD124" i="4"/>
  <c r="BE124" i="4"/>
  <c r="BF124" i="4"/>
  <c r="BG124" i="4"/>
  <c r="BH124" i="4"/>
  <c r="BD125" i="4"/>
  <c r="BE125" i="4"/>
  <c r="BF125" i="4"/>
  <c r="BG125" i="4"/>
  <c r="BH125" i="4"/>
  <c r="BD126" i="4"/>
  <c r="BE126" i="4"/>
  <c r="BF126" i="4"/>
  <c r="BG126" i="4"/>
  <c r="BH126" i="4"/>
  <c r="BD127" i="4"/>
  <c r="BE127" i="4"/>
  <c r="BF127" i="4"/>
  <c r="BG127" i="4"/>
  <c r="BH127" i="4"/>
  <c r="BD128" i="4"/>
  <c r="BE128" i="4"/>
  <c r="BF128" i="4"/>
  <c r="BG128" i="4"/>
  <c r="BH128" i="4"/>
  <c r="BD129" i="4"/>
  <c r="BE129" i="4"/>
  <c r="BF129" i="4"/>
  <c r="BG129" i="4"/>
  <c r="BH129" i="4"/>
  <c r="BD130" i="4"/>
  <c r="BE130" i="4"/>
  <c r="BF130" i="4"/>
  <c r="BG130" i="4"/>
  <c r="BH130" i="4"/>
  <c r="BD131" i="4"/>
  <c r="BE131" i="4"/>
  <c r="BF131" i="4"/>
  <c r="BG131" i="4"/>
  <c r="BH131" i="4"/>
  <c r="BD132" i="4"/>
  <c r="BE132" i="4"/>
  <c r="BF132" i="4"/>
  <c r="BG132" i="4"/>
  <c r="BH132" i="4"/>
  <c r="BD133" i="4"/>
  <c r="BE133" i="4"/>
  <c r="BF133" i="4"/>
  <c r="BG133" i="4"/>
  <c r="BH133" i="4"/>
  <c r="BD134" i="4"/>
  <c r="BE134" i="4"/>
  <c r="BF134" i="4"/>
  <c r="BG134" i="4"/>
  <c r="BH134" i="4"/>
  <c r="BD135" i="4"/>
  <c r="BE135" i="4"/>
  <c r="BF135" i="4"/>
  <c r="BG135" i="4"/>
  <c r="BH135" i="4"/>
  <c r="BD136" i="4"/>
  <c r="BE136" i="4"/>
  <c r="BF136" i="4"/>
  <c r="BG136" i="4"/>
  <c r="BH136" i="4"/>
  <c r="BD137" i="4"/>
  <c r="BE137" i="4"/>
  <c r="BF137" i="4"/>
  <c r="BG137" i="4"/>
  <c r="BH137" i="4"/>
  <c r="BD138" i="4"/>
  <c r="BE138" i="4"/>
  <c r="BF138" i="4"/>
  <c r="BG138" i="4"/>
  <c r="BH138" i="4"/>
  <c r="BD139" i="4"/>
  <c r="BE139" i="4"/>
  <c r="BF139" i="4"/>
  <c r="BG139" i="4"/>
  <c r="BH139" i="4"/>
  <c r="BD140" i="4"/>
  <c r="BE140" i="4"/>
  <c r="BF140" i="4"/>
  <c r="BG140" i="4"/>
  <c r="BH140" i="4"/>
  <c r="BD141" i="4"/>
  <c r="BE141" i="4"/>
  <c r="BF141" i="4"/>
  <c r="BG141" i="4"/>
  <c r="BH141" i="4"/>
  <c r="BD142" i="4"/>
  <c r="BE142" i="4"/>
  <c r="BF142" i="4"/>
  <c r="BG142" i="4"/>
  <c r="BH142" i="4"/>
  <c r="BD143" i="4"/>
  <c r="BE143" i="4"/>
  <c r="BF143" i="4"/>
  <c r="BG143" i="4"/>
  <c r="BH143" i="4"/>
  <c r="BD144" i="4"/>
  <c r="BE144" i="4"/>
  <c r="BF144" i="4"/>
  <c r="BG144" i="4"/>
  <c r="BH144" i="4"/>
  <c r="BD145" i="4"/>
  <c r="BE145" i="4"/>
  <c r="BF145" i="4"/>
  <c r="BG145" i="4"/>
  <c r="BH145" i="4"/>
  <c r="BD146" i="4"/>
  <c r="BE146" i="4"/>
  <c r="BF146" i="4"/>
  <c r="BG146" i="4"/>
  <c r="BH146" i="4"/>
  <c r="BD147" i="4"/>
  <c r="BE147" i="4"/>
  <c r="BF147" i="4"/>
  <c r="BG147" i="4"/>
  <c r="BH147" i="4"/>
  <c r="BD148" i="4"/>
  <c r="BE148" i="4"/>
  <c r="BF148" i="4"/>
  <c r="BG148" i="4"/>
  <c r="BH148" i="4"/>
  <c r="BD149" i="4"/>
  <c r="BE149" i="4"/>
  <c r="BF149" i="4"/>
  <c r="BG149" i="4"/>
  <c r="BH149" i="4"/>
  <c r="BD150" i="4"/>
  <c r="BE150" i="4"/>
  <c r="BF150" i="4"/>
  <c r="BG150" i="4"/>
  <c r="BH150" i="4"/>
  <c r="BD151" i="4"/>
  <c r="BE151" i="4"/>
  <c r="BF151" i="4"/>
  <c r="BG151" i="4"/>
  <c r="BH151" i="4"/>
  <c r="BD152" i="4"/>
  <c r="BE152" i="4"/>
  <c r="BF152" i="4"/>
  <c r="BG152" i="4"/>
  <c r="BH152" i="4"/>
  <c r="BD153" i="4"/>
  <c r="BE153" i="4"/>
  <c r="BF153" i="4"/>
  <c r="BG153" i="4"/>
  <c r="BH153" i="4"/>
  <c r="BD154" i="4"/>
  <c r="BE154" i="4"/>
  <c r="BF154" i="4"/>
  <c r="BG154" i="4"/>
  <c r="BH154" i="4"/>
  <c r="BD155" i="4"/>
  <c r="BE155" i="4"/>
  <c r="BF155" i="4"/>
  <c r="BG155" i="4"/>
  <c r="BH155" i="4"/>
  <c r="BD156" i="4"/>
  <c r="BE156" i="4"/>
  <c r="BF156" i="4"/>
  <c r="BG156" i="4"/>
  <c r="BH156" i="4"/>
  <c r="BD157" i="4"/>
  <c r="BE157" i="4"/>
  <c r="BF157" i="4"/>
  <c r="BG157" i="4"/>
  <c r="BH157" i="4"/>
  <c r="BD158" i="4"/>
  <c r="BE158" i="4"/>
  <c r="BF158" i="4"/>
  <c r="BG158" i="4"/>
  <c r="BH158" i="4"/>
  <c r="BD159" i="4"/>
  <c r="BE159" i="4"/>
  <c r="BF159" i="4"/>
  <c r="BG159" i="4"/>
  <c r="BH159" i="4"/>
  <c r="BD160" i="4"/>
  <c r="BE160" i="4"/>
  <c r="BF160" i="4"/>
  <c r="BG160" i="4"/>
  <c r="BH160" i="4"/>
  <c r="BD161" i="4"/>
  <c r="BE161" i="4"/>
  <c r="BF161" i="4"/>
  <c r="BG161" i="4"/>
  <c r="BH161" i="4"/>
  <c r="BD162" i="4"/>
  <c r="BE162" i="4"/>
  <c r="BF162" i="4"/>
  <c r="BG162" i="4"/>
  <c r="BH162" i="4"/>
  <c r="BD163" i="4"/>
  <c r="BE163" i="4"/>
  <c r="BF163" i="4"/>
  <c r="BG163" i="4"/>
  <c r="BH163" i="4"/>
  <c r="BD164" i="4"/>
  <c r="BE164" i="4"/>
  <c r="BF164" i="4"/>
  <c r="BG164" i="4"/>
  <c r="BH164" i="4"/>
  <c r="BD165" i="4"/>
  <c r="BE165" i="4"/>
  <c r="BF165" i="4"/>
  <c r="BG165" i="4"/>
  <c r="BH165" i="4"/>
  <c r="BD166" i="4"/>
  <c r="BE166" i="4"/>
  <c r="BF166" i="4"/>
  <c r="BG166" i="4"/>
  <c r="BH166" i="4"/>
  <c r="BD167" i="4"/>
  <c r="BE167" i="4"/>
  <c r="BF167" i="4"/>
  <c r="BG167" i="4"/>
  <c r="BH167" i="4"/>
  <c r="BD168" i="4"/>
  <c r="BE168" i="4"/>
  <c r="BF168" i="4"/>
  <c r="BG168" i="4"/>
  <c r="BH168" i="4"/>
  <c r="BD169" i="4"/>
  <c r="BE169" i="4"/>
  <c r="BF169" i="4"/>
  <c r="BG169" i="4"/>
  <c r="BH169" i="4"/>
  <c r="BD170" i="4"/>
  <c r="BE170" i="4"/>
  <c r="BF170" i="4"/>
  <c r="BG170" i="4"/>
  <c r="BH170" i="4"/>
  <c r="BD171" i="4"/>
  <c r="BE171" i="4"/>
  <c r="BF171" i="4"/>
  <c r="BG171" i="4"/>
  <c r="BH171" i="4"/>
  <c r="BD172" i="4"/>
  <c r="BE172" i="4"/>
  <c r="BF172" i="4"/>
  <c r="BG172" i="4"/>
  <c r="BH172" i="4"/>
  <c r="BD173" i="4"/>
  <c r="BE173" i="4"/>
  <c r="BF173" i="4"/>
  <c r="BG173" i="4"/>
  <c r="BH173" i="4"/>
  <c r="BD174" i="4"/>
  <c r="BE174" i="4"/>
  <c r="BF174" i="4"/>
  <c r="BG174" i="4"/>
  <c r="BH174" i="4"/>
  <c r="BD175" i="4"/>
  <c r="BE175" i="4"/>
  <c r="BF175" i="4"/>
  <c r="BG175" i="4"/>
  <c r="BH175" i="4"/>
  <c r="BD176" i="4"/>
  <c r="BE176" i="4"/>
  <c r="BF176" i="4"/>
  <c r="BG176" i="4"/>
  <c r="BH176" i="4"/>
  <c r="BD177" i="4"/>
  <c r="BE177" i="4"/>
  <c r="BF177" i="4"/>
  <c r="BG177" i="4"/>
  <c r="BH177" i="4"/>
  <c r="BD178" i="4"/>
  <c r="BE178" i="4"/>
  <c r="BF178" i="4"/>
  <c r="BG178" i="4"/>
  <c r="BH178" i="4"/>
  <c r="BD179" i="4"/>
  <c r="BE179" i="4"/>
  <c r="BF179" i="4"/>
  <c r="BG179" i="4"/>
  <c r="BH179" i="4"/>
  <c r="BD180" i="4"/>
  <c r="BE180" i="4"/>
  <c r="BF180" i="4"/>
  <c r="BG180" i="4"/>
  <c r="BH180" i="4"/>
  <c r="BD181" i="4"/>
  <c r="BE181" i="4"/>
  <c r="BF181" i="4"/>
  <c r="BG181" i="4"/>
  <c r="BH181" i="4"/>
  <c r="BD182" i="4"/>
  <c r="BE182" i="4"/>
  <c r="BF182" i="4"/>
  <c r="BG182" i="4"/>
  <c r="BH182" i="4"/>
  <c r="BD183" i="4"/>
  <c r="BE183" i="4"/>
  <c r="BF183" i="4"/>
  <c r="BG183" i="4"/>
  <c r="BH183" i="4"/>
  <c r="BD184" i="4"/>
  <c r="BE184" i="4"/>
  <c r="BF184" i="4"/>
  <c r="BG184" i="4"/>
  <c r="BH184" i="4"/>
  <c r="BD185" i="4"/>
  <c r="BE185" i="4"/>
  <c r="BF185" i="4"/>
  <c r="BG185" i="4"/>
  <c r="BH185" i="4"/>
  <c r="BD186" i="4"/>
  <c r="BE186" i="4"/>
  <c r="BF186" i="4"/>
  <c r="BG186" i="4"/>
  <c r="BH186" i="4"/>
  <c r="BD187" i="4"/>
  <c r="BE187" i="4"/>
  <c r="BF187" i="4"/>
  <c r="BG187" i="4"/>
  <c r="BH187" i="4"/>
  <c r="BD188" i="4"/>
  <c r="BE188" i="4"/>
  <c r="BF188" i="4"/>
  <c r="BG188" i="4"/>
  <c r="BH188" i="4"/>
  <c r="BD189" i="4"/>
  <c r="BE189" i="4"/>
  <c r="BF189" i="4"/>
  <c r="BG189" i="4"/>
  <c r="BH189" i="4"/>
  <c r="BD190" i="4"/>
  <c r="BE190" i="4"/>
  <c r="BF190" i="4"/>
  <c r="BG190" i="4"/>
  <c r="BH190" i="4"/>
  <c r="BD191" i="4"/>
  <c r="BE191" i="4"/>
  <c r="BF191" i="4"/>
  <c r="BG191" i="4"/>
  <c r="BH191" i="4"/>
  <c r="BD192" i="4"/>
  <c r="BE192" i="4"/>
  <c r="BF192" i="4"/>
  <c r="BG192" i="4"/>
  <c r="BH192" i="4"/>
  <c r="BD193" i="4"/>
  <c r="BE193" i="4"/>
  <c r="BF193" i="4"/>
  <c r="BG193" i="4"/>
  <c r="BH193" i="4"/>
  <c r="BD194" i="4"/>
  <c r="BE194" i="4"/>
  <c r="BF194" i="4"/>
  <c r="BG194" i="4"/>
  <c r="BH194" i="4"/>
  <c r="BD195" i="4"/>
  <c r="BE195" i="4"/>
  <c r="BF195" i="4"/>
  <c r="BG195" i="4"/>
  <c r="BH195" i="4"/>
  <c r="BD196" i="4"/>
  <c r="BE196" i="4"/>
  <c r="BF196" i="4"/>
  <c r="BG196" i="4"/>
  <c r="BH196" i="4"/>
  <c r="BD197" i="4"/>
  <c r="BE197" i="4"/>
  <c r="BF197" i="4"/>
  <c r="BG197" i="4"/>
  <c r="BH197" i="4"/>
  <c r="BD198" i="4"/>
  <c r="BE198" i="4"/>
  <c r="BF198" i="4"/>
  <c r="BG198" i="4"/>
  <c r="BH198" i="4"/>
  <c r="BD199" i="4"/>
  <c r="BE199" i="4"/>
  <c r="BF199" i="4"/>
  <c r="BG199" i="4"/>
  <c r="BH199" i="4"/>
  <c r="BE32" i="4"/>
  <c r="BF32" i="4"/>
  <c r="BG32" i="4"/>
  <c r="BH32" i="4"/>
  <c r="BD32" i="4"/>
  <c r="BB33" i="4"/>
  <c r="BB34" i="4"/>
  <c r="BB35" i="4"/>
  <c r="BB36" i="4"/>
  <c r="BB37" i="4"/>
  <c r="BB38" i="4"/>
  <c r="BB39" i="4"/>
  <c r="BB40" i="4"/>
  <c r="BB41" i="4"/>
  <c r="BB42" i="4"/>
  <c r="BB43" i="4"/>
  <c r="BB44" i="4"/>
  <c r="BB45" i="4"/>
  <c r="BB46" i="4"/>
  <c r="BB47" i="4"/>
  <c r="BB48" i="4"/>
  <c r="BB49" i="4"/>
  <c r="BB50" i="4"/>
  <c r="BB51" i="4"/>
  <c r="BB52" i="4"/>
  <c r="BB53" i="4"/>
  <c r="BB54" i="4"/>
  <c r="BB55" i="4"/>
  <c r="BB56" i="4"/>
  <c r="BB57" i="4"/>
  <c r="BB58" i="4"/>
  <c r="BB59" i="4"/>
  <c r="BB60" i="4"/>
  <c r="BB61" i="4"/>
  <c r="BB62" i="4"/>
  <c r="BB63" i="4"/>
  <c r="BB64" i="4"/>
  <c r="BB65" i="4"/>
  <c r="BB66" i="4"/>
  <c r="BB67" i="4"/>
  <c r="BB68" i="4"/>
  <c r="BB69" i="4"/>
  <c r="BB70" i="4"/>
  <c r="BB71" i="4"/>
  <c r="BB72" i="4"/>
  <c r="BB73" i="4"/>
  <c r="BB74" i="4"/>
  <c r="BB75" i="4"/>
  <c r="BB76" i="4"/>
  <c r="BB77" i="4"/>
  <c r="BB78" i="4"/>
  <c r="BB79" i="4"/>
  <c r="BB80" i="4"/>
  <c r="BB81" i="4"/>
  <c r="BB82" i="4"/>
  <c r="BB83" i="4"/>
  <c r="BB84" i="4"/>
  <c r="BB85" i="4"/>
  <c r="BB86" i="4"/>
  <c r="BB87" i="4"/>
  <c r="BB88" i="4"/>
  <c r="BB89" i="4"/>
  <c r="BB90" i="4"/>
  <c r="BB91" i="4"/>
  <c r="BB92" i="4"/>
  <c r="BB93" i="4"/>
  <c r="BB94" i="4"/>
  <c r="BB95" i="4"/>
  <c r="BB96" i="4"/>
  <c r="BB97" i="4"/>
  <c r="BB98" i="4"/>
  <c r="BB99" i="4"/>
  <c r="BB100" i="4"/>
  <c r="BB101" i="4"/>
  <c r="BB102" i="4"/>
  <c r="BB103" i="4"/>
  <c r="BB104" i="4"/>
  <c r="BB105" i="4"/>
  <c r="BB106" i="4"/>
  <c r="BB107" i="4"/>
  <c r="BB108" i="4"/>
  <c r="BB109" i="4"/>
  <c r="BB110" i="4"/>
  <c r="BB111" i="4"/>
  <c r="BB112" i="4"/>
  <c r="BB113" i="4"/>
  <c r="BB114" i="4"/>
  <c r="BB115" i="4"/>
  <c r="BB116" i="4"/>
  <c r="BB117" i="4"/>
  <c r="BB118" i="4"/>
  <c r="BB119" i="4"/>
  <c r="BB120" i="4"/>
  <c r="BB121" i="4"/>
  <c r="BB122" i="4"/>
  <c r="BB123" i="4"/>
  <c r="BB124" i="4"/>
  <c r="BB125" i="4"/>
  <c r="BB126" i="4"/>
  <c r="BB127" i="4"/>
  <c r="BB128" i="4"/>
  <c r="BB129" i="4"/>
  <c r="BB130" i="4"/>
  <c r="BB131" i="4"/>
  <c r="BB132" i="4"/>
  <c r="BB133" i="4"/>
  <c r="BB134" i="4"/>
  <c r="BB135" i="4"/>
  <c r="BB136" i="4"/>
  <c r="BB137" i="4"/>
  <c r="BB138" i="4"/>
  <c r="BB139" i="4"/>
  <c r="BB140" i="4"/>
  <c r="BB141" i="4"/>
  <c r="BB142" i="4"/>
  <c r="BB143" i="4"/>
  <c r="BB144" i="4"/>
  <c r="BB145" i="4"/>
  <c r="BB146" i="4"/>
  <c r="BB147" i="4"/>
  <c r="BB148" i="4"/>
  <c r="BB149" i="4"/>
  <c r="BB150" i="4"/>
  <c r="BB151" i="4"/>
  <c r="BB152" i="4"/>
  <c r="BB153" i="4"/>
  <c r="BB154" i="4"/>
  <c r="BB155" i="4"/>
  <c r="BB156" i="4"/>
  <c r="BB157" i="4"/>
  <c r="BB158" i="4"/>
  <c r="BB159" i="4"/>
  <c r="BB160" i="4"/>
  <c r="BB161" i="4"/>
  <c r="BB162" i="4"/>
  <c r="BB163" i="4"/>
  <c r="BB164" i="4"/>
  <c r="BB165" i="4"/>
  <c r="BB166" i="4"/>
  <c r="BB167" i="4"/>
  <c r="BB168" i="4"/>
  <c r="BB169" i="4"/>
  <c r="BB170" i="4"/>
  <c r="BB171" i="4"/>
  <c r="BB172" i="4"/>
  <c r="BB173" i="4"/>
  <c r="BB174" i="4"/>
  <c r="BB175" i="4"/>
  <c r="BB176" i="4"/>
  <c r="BB177" i="4"/>
  <c r="BB178" i="4"/>
  <c r="BB179" i="4"/>
  <c r="BB180" i="4"/>
  <c r="BB181" i="4"/>
  <c r="BB182" i="4"/>
  <c r="BB183" i="4"/>
  <c r="BB184" i="4"/>
  <c r="BB185" i="4"/>
  <c r="BB186" i="4"/>
  <c r="BB187" i="4"/>
  <c r="BB188" i="4"/>
  <c r="BB189" i="4"/>
  <c r="BB190" i="4"/>
  <c r="BB191" i="4"/>
  <c r="BB192" i="4"/>
  <c r="BB193" i="4"/>
  <c r="BB194" i="4"/>
  <c r="BB195" i="4"/>
  <c r="BB196" i="4"/>
  <c r="BB197" i="4"/>
  <c r="BB198" i="4"/>
  <c r="BB199" i="4"/>
  <c r="BC33" i="4"/>
  <c r="BC34"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C76" i="4"/>
  <c r="BC77" i="4"/>
  <c r="BC78" i="4"/>
  <c r="BC79" i="4"/>
  <c r="BC80" i="4"/>
  <c r="BC81" i="4"/>
  <c r="BC82" i="4"/>
  <c r="BC83" i="4"/>
  <c r="BC84" i="4"/>
  <c r="BC85" i="4"/>
  <c r="BC86" i="4"/>
  <c r="BC87" i="4"/>
  <c r="BC88" i="4"/>
  <c r="BC89" i="4"/>
  <c r="BC90" i="4"/>
  <c r="BC91" i="4"/>
  <c r="BC92" i="4"/>
  <c r="BC93" i="4"/>
  <c r="BC94" i="4"/>
  <c r="BC95" i="4"/>
  <c r="BC96" i="4"/>
  <c r="BC97" i="4"/>
  <c r="BC98" i="4"/>
  <c r="BC99" i="4"/>
  <c r="BC100" i="4"/>
  <c r="BC101" i="4"/>
  <c r="BC102" i="4"/>
  <c r="BC103" i="4"/>
  <c r="BC104" i="4"/>
  <c r="BC105" i="4"/>
  <c r="BC106" i="4"/>
  <c r="BC107" i="4"/>
  <c r="BC108" i="4"/>
  <c r="BC109" i="4"/>
  <c r="BC110" i="4"/>
  <c r="BC111" i="4"/>
  <c r="BC112" i="4"/>
  <c r="BC113" i="4"/>
  <c r="BC114" i="4"/>
  <c r="BC115" i="4"/>
  <c r="BC116" i="4"/>
  <c r="BC117" i="4"/>
  <c r="BC118" i="4"/>
  <c r="BC119" i="4"/>
  <c r="BC120" i="4"/>
  <c r="BC121" i="4"/>
  <c r="BC122" i="4"/>
  <c r="BC123" i="4"/>
  <c r="BC124" i="4"/>
  <c r="BC125" i="4"/>
  <c r="BC126" i="4"/>
  <c r="BC127" i="4"/>
  <c r="BC128" i="4"/>
  <c r="BC129" i="4"/>
  <c r="BC130" i="4"/>
  <c r="BC131" i="4"/>
  <c r="BC132" i="4"/>
  <c r="BC133" i="4"/>
  <c r="BC134" i="4"/>
  <c r="BC135" i="4"/>
  <c r="BC136" i="4"/>
  <c r="BC137" i="4"/>
  <c r="BC138" i="4"/>
  <c r="BC139" i="4"/>
  <c r="BC140" i="4"/>
  <c r="BC141" i="4"/>
  <c r="BC142" i="4"/>
  <c r="BC143" i="4"/>
  <c r="BC144" i="4"/>
  <c r="BC145" i="4"/>
  <c r="BC146" i="4"/>
  <c r="BC147" i="4"/>
  <c r="BC148" i="4"/>
  <c r="BC149" i="4"/>
  <c r="BC150" i="4"/>
  <c r="BC151" i="4"/>
  <c r="BC152" i="4"/>
  <c r="BC153" i="4"/>
  <c r="BC154" i="4"/>
  <c r="BC155" i="4"/>
  <c r="BC156" i="4"/>
  <c r="BC157" i="4"/>
  <c r="BC158" i="4"/>
  <c r="BC159" i="4"/>
  <c r="BC160" i="4"/>
  <c r="BC161" i="4"/>
  <c r="BC162" i="4"/>
  <c r="BC163" i="4"/>
  <c r="BC164" i="4"/>
  <c r="BC165" i="4"/>
  <c r="BC166" i="4"/>
  <c r="BC167" i="4"/>
  <c r="BC168" i="4"/>
  <c r="BC169" i="4"/>
  <c r="BC170" i="4"/>
  <c r="BC171" i="4"/>
  <c r="BC172" i="4"/>
  <c r="BC173" i="4"/>
  <c r="BC174" i="4"/>
  <c r="BC175" i="4"/>
  <c r="BC176" i="4"/>
  <c r="BC177" i="4"/>
  <c r="BC178" i="4"/>
  <c r="BC179" i="4"/>
  <c r="BC180" i="4"/>
  <c r="BC181" i="4"/>
  <c r="BC182" i="4"/>
  <c r="BC183" i="4"/>
  <c r="BC184" i="4"/>
  <c r="BC185" i="4"/>
  <c r="BC186" i="4"/>
  <c r="BC187" i="4"/>
  <c r="BC188" i="4"/>
  <c r="BC189" i="4"/>
  <c r="BC190" i="4"/>
  <c r="BC191" i="4"/>
  <c r="BC192" i="4"/>
  <c r="BC193" i="4"/>
  <c r="BC194" i="4"/>
  <c r="BC195" i="4"/>
  <c r="BC196" i="4"/>
  <c r="BC197" i="4"/>
  <c r="BC198" i="4"/>
  <c r="BC199" i="4"/>
  <c r="BC32" i="4"/>
  <c r="F2" i="2"/>
  <c r="G2" i="2"/>
  <c r="H2" i="2"/>
  <c r="I2" i="2"/>
  <c r="M2" i="2"/>
  <c r="N2" i="2"/>
  <c r="O2" i="2"/>
  <c r="P2" i="2"/>
  <c r="Q2" i="2"/>
  <c r="E1" i="1"/>
  <c r="F1" i="1"/>
  <c r="G1" i="1"/>
  <c r="H1" i="1"/>
  <c r="I1" i="1"/>
  <c r="J1" i="1"/>
  <c r="K1" i="1"/>
  <c r="L1" i="1"/>
  <c r="M1" i="1"/>
  <c r="N1" i="1"/>
  <c r="O1" i="1"/>
  <c r="P1" i="1"/>
  <c r="Q1" i="1"/>
  <c r="R1" i="1"/>
  <c r="S1" i="1"/>
  <c r="T1" i="1"/>
  <c r="U1" i="1"/>
  <c r="V1" i="1"/>
  <c r="W1" i="1"/>
  <c r="X1" i="1"/>
  <c r="Y1" i="1"/>
  <c r="Z1" i="1"/>
  <c r="AA1" i="1"/>
  <c r="AB1" i="1"/>
  <c r="AC1" i="1"/>
  <c r="AD1" i="1"/>
  <c r="AE1" i="1"/>
  <c r="AF1" i="1"/>
  <c r="AG1" i="1"/>
  <c r="AH1" i="1"/>
  <c r="AI1" i="1"/>
  <c r="AJ1" i="1"/>
  <c r="AK1" i="1"/>
  <c r="AL1" i="1"/>
  <c r="AM1" i="1"/>
  <c r="AN1" i="1"/>
  <c r="AO1" i="1"/>
  <c r="AP1" i="1"/>
  <c r="AQ1" i="1"/>
  <c r="AR1" i="1"/>
  <c r="AS1" i="1"/>
  <c r="AT1" i="1"/>
  <c r="AU1" i="1"/>
  <c r="AV1" i="1"/>
  <c r="AW1" i="1"/>
  <c r="AX1" i="1"/>
  <c r="AY1" i="1"/>
  <c r="AZ1" i="1"/>
  <c r="BA1" i="1"/>
  <c r="BB1" i="1"/>
  <c r="B33" i="4"/>
  <c r="C33" i="4"/>
  <c r="B34" i="4"/>
  <c r="C34" i="4"/>
  <c r="B35" i="4"/>
  <c r="C35" i="4"/>
  <c r="B36" i="4"/>
  <c r="C36" i="4"/>
  <c r="B37" i="4"/>
  <c r="C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B53" i="4"/>
  <c r="C53" i="4"/>
  <c r="B54" i="4"/>
  <c r="C54" i="4"/>
  <c r="B55" i="4"/>
  <c r="C55" i="4"/>
  <c r="B56" i="4"/>
  <c r="C56" i="4"/>
  <c r="B57" i="4"/>
  <c r="C57" i="4"/>
  <c r="B58" i="4"/>
  <c r="C58" i="4"/>
  <c r="B59" i="4"/>
  <c r="C59" i="4"/>
  <c r="B60" i="4"/>
  <c r="C60" i="4"/>
  <c r="B61" i="4"/>
  <c r="C61" i="4"/>
  <c r="B62" i="4"/>
  <c r="C62" i="4"/>
  <c r="B63" i="4"/>
  <c r="C63" i="4"/>
  <c r="B64" i="4"/>
  <c r="C64" i="4"/>
  <c r="B65" i="4"/>
  <c r="C65" i="4"/>
  <c r="B66" i="4"/>
  <c r="C66" i="4"/>
  <c r="B67" i="4"/>
  <c r="C67" i="4"/>
  <c r="B68" i="4"/>
  <c r="C68" i="4"/>
  <c r="B69" i="4"/>
  <c r="C69" i="4"/>
  <c r="B70" i="4"/>
  <c r="C70" i="4"/>
  <c r="B71" i="4"/>
  <c r="C71" i="4"/>
  <c r="B72" i="4"/>
  <c r="C72" i="4"/>
  <c r="B73" i="4"/>
  <c r="C73" i="4"/>
  <c r="B74" i="4"/>
  <c r="C74" i="4"/>
  <c r="B75" i="4"/>
  <c r="C75" i="4"/>
  <c r="B76" i="4"/>
  <c r="C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19" i="4"/>
  <c r="C119" i="4"/>
  <c r="B120" i="4"/>
  <c r="C120" i="4"/>
  <c r="B121" i="4"/>
  <c r="C121" i="4"/>
  <c r="B122" i="4"/>
  <c r="C122" i="4"/>
  <c r="B123" i="4"/>
  <c r="C123" i="4"/>
  <c r="B124" i="4"/>
  <c r="C124" i="4"/>
  <c r="B125" i="4"/>
  <c r="C125" i="4"/>
  <c r="B126" i="4"/>
  <c r="C126" i="4"/>
  <c r="B127" i="4"/>
  <c r="C127" i="4"/>
  <c r="B128" i="4"/>
  <c r="C128" i="4"/>
  <c r="B129" i="4"/>
  <c r="C129" i="4"/>
  <c r="B130" i="4"/>
  <c r="C130" i="4"/>
  <c r="B131" i="4"/>
  <c r="C131" i="4"/>
  <c r="B132" i="4"/>
  <c r="C132" i="4"/>
  <c r="B133" i="4"/>
  <c r="C133" i="4"/>
  <c r="B134" i="4"/>
  <c r="C134" i="4"/>
  <c r="B135" i="4"/>
  <c r="C135" i="4"/>
  <c r="B136" i="4"/>
  <c r="C136" i="4"/>
  <c r="B137" i="4"/>
  <c r="C137" i="4"/>
  <c r="B138" i="4"/>
  <c r="C138" i="4"/>
  <c r="B139" i="4"/>
  <c r="C139" i="4"/>
  <c r="B140" i="4"/>
  <c r="C140" i="4"/>
  <c r="B141" i="4"/>
  <c r="C141" i="4"/>
  <c r="B142" i="4"/>
  <c r="C142" i="4"/>
  <c r="B143" i="4"/>
  <c r="C143" i="4"/>
  <c r="B144" i="4"/>
  <c r="C144" i="4"/>
  <c r="B145" i="4"/>
  <c r="C145" i="4"/>
  <c r="B146" i="4"/>
  <c r="C146" i="4"/>
  <c r="B147" i="4"/>
  <c r="C147" i="4"/>
  <c r="B148" i="4"/>
  <c r="C148" i="4"/>
  <c r="B149" i="4"/>
  <c r="C149" i="4"/>
  <c r="B150" i="4"/>
  <c r="C150" i="4"/>
  <c r="B151" i="4"/>
  <c r="C151" i="4"/>
  <c r="B152" i="4"/>
  <c r="C152" i="4"/>
  <c r="B153" i="4"/>
  <c r="C153" i="4"/>
  <c r="B154" i="4"/>
  <c r="C154" i="4"/>
  <c r="B155" i="4"/>
  <c r="C155" i="4"/>
  <c r="B156" i="4"/>
  <c r="C156" i="4"/>
  <c r="B157" i="4"/>
  <c r="C157" i="4"/>
  <c r="B158" i="4"/>
  <c r="C158" i="4"/>
  <c r="B159" i="4"/>
  <c r="C159" i="4"/>
  <c r="B160" i="4"/>
  <c r="C160" i="4"/>
  <c r="B161" i="4"/>
  <c r="C161" i="4"/>
  <c r="B162" i="4"/>
  <c r="C162" i="4"/>
  <c r="B163" i="4"/>
  <c r="C163" i="4"/>
  <c r="B164" i="4"/>
  <c r="C164" i="4"/>
  <c r="B165" i="4"/>
  <c r="C165" i="4"/>
  <c r="B166" i="4"/>
  <c r="C166" i="4"/>
  <c r="B167" i="4"/>
  <c r="C167" i="4"/>
  <c r="B168" i="4"/>
  <c r="C168" i="4"/>
  <c r="B169" i="4"/>
  <c r="C169" i="4"/>
  <c r="B170" i="4"/>
  <c r="C170" i="4"/>
  <c r="B171" i="4"/>
  <c r="C171" i="4"/>
  <c r="B172" i="4"/>
  <c r="C172" i="4"/>
  <c r="B173" i="4"/>
  <c r="C173" i="4"/>
  <c r="B174" i="4"/>
  <c r="C174" i="4"/>
  <c r="B175" i="4"/>
  <c r="C175" i="4"/>
  <c r="B176" i="4"/>
  <c r="C176" i="4"/>
  <c r="B177" i="4"/>
  <c r="C177" i="4"/>
  <c r="B178" i="4"/>
  <c r="C178" i="4"/>
  <c r="B179" i="4"/>
  <c r="C179" i="4"/>
  <c r="B180" i="4"/>
  <c r="C180" i="4"/>
  <c r="B181" i="4"/>
  <c r="C181" i="4"/>
  <c r="B182" i="4"/>
  <c r="C182" i="4"/>
  <c r="B183" i="4"/>
  <c r="C183" i="4"/>
  <c r="B184" i="4"/>
  <c r="C184" i="4"/>
  <c r="B185" i="4"/>
  <c r="C185" i="4"/>
  <c r="B186" i="4"/>
  <c r="C186" i="4"/>
  <c r="B187" i="4"/>
  <c r="C187" i="4"/>
  <c r="B188" i="4"/>
  <c r="C188" i="4"/>
  <c r="B189" i="4"/>
  <c r="C189" i="4"/>
  <c r="B190" i="4"/>
  <c r="C190" i="4"/>
  <c r="B191" i="4"/>
  <c r="C191" i="4"/>
  <c r="B192" i="4"/>
  <c r="C192" i="4"/>
  <c r="B193" i="4"/>
  <c r="C193" i="4"/>
  <c r="B194" i="4"/>
  <c r="C194" i="4"/>
  <c r="B195" i="4"/>
  <c r="C195" i="4"/>
  <c r="B196" i="4"/>
  <c r="C196" i="4"/>
  <c r="B197" i="4"/>
  <c r="C197" i="4"/>
  <c r="B198" i="4"/>
  <c r="C198" i="4"/>
  <c r="B199" i="4"/>
  <c r="C199" i="4"/>
  <c r="C32" i="4"/>
  <c r="C3" i="4"/>
  <c r="C4" i="4"/>
  <c r="C5" i="4"/>
  <c r="C6" i="4"/>
  <c r="C31" i="4"/>
  <c r="C2" i="4"/>
  <c r="B31" i="4"/>
  <c r="B2" i="4"/>
  <c r="BF2" i="4" l="1"/>
  <c r="BE28" i="4"/>
  <c r="BH31" i="4"/>
  <c r="BH15" i="4"/>
  <c r="BG21" i="4"/>
  <c r="BF15" i="4"/>
  <c r="BH21" i="4"/>
  <c r="BF25" i="4"/>
  <c r="BG10" i="4"/>
  <c r="BE12" i="4"/>
  <c r="BF21" i="4"/>
  <c r="BF24" i="4"/>
  <c r="BG2" i="4"/>
  <c r="BF13" i="4"/>
  <c r="BF10" i="4"/>
  <c r="BF27" i="4"/>
  <c r="BF30" i="4"/>
  <c r="BF29" i="4"/>
  <c r="BF26" i="4"/>
  <c r="BD28" i="4"/>
  <c r="BE10" i="4"/>
  <c r="BH10" i="4"/>
  <c r="BF22" i="4"/>
  <c r="BH14" i="4"/>
  <c r="BH25" i="4"/>
  <c r="BE22" i="4"/>
  <c r="BF17" i="4"/>
  <c r="BE26" i="4"/>
  <c r="BF8" i="4"/>
  <c r="BE8" i="4"/>
  <c r="BF12" i="4"/>
  <c r="BG19" i="4"/>
  <c r="BG18" i="4"/>
  <c r="BE20" i="4"/>
  <c r="BE23" i="4"/>
  <c r="BG27" i="4"/>
  <c r="BE19" i="4"/>
  <c r="BG24" i="4"/>
  <c r="BH11" i="4"/>
  <c r="BF18" i="4"/>
  <c r="BF23" i="4"/>
  <c r="BH16" i="4"/>
  <c r="E2" i="4"/>
  <c r="I2" i="4"/>
  <c r="M2" i="4"/>
  <c r="Q2" i="4"/>
  <c r="U2" i="4"/>
  <c r="Y2" i="4"/>
  <c r="AC2" i="4"/>
  <c r="AG2" i="4"/>
  <c r="AK2" i="4"/>
  <c r="AO2" i="4"/>
  <c r="AS2" i="4"/>
  <c r="AW2" i="4"/>
  <c r="BA2" i="4"/>
  <c r="F2" i="4"/>
  <c r="N2" i="4"/>
  <c r="V2" i="4"/>
  <c r="AD2" i="4"/>
  <c r="AL2" i="4"/>
  <c r="AT2" i="4"/>
  <c r="D2" i="4"/>
  <c r="J2" i="4"/>
  <c r="R2" i="4"/>
  <c r="Z2" i="4"/>
  <c r="AH2" i="4"/>
  <c r="AP2" i="4"/>
  <c r="AX2" i="4"/>
  <c r="K2" i="4"/>
  <c r="O2" i="4"/>
  <c r="P2" i="4"/>
  <c r="X2" i="4"/>
  <c r="AF2" i="4"/>
  <c r="AN2" i="4"/>
  <c r="AV2" i="4"/>
  <c r="G2" i="4"/>
  <c r="S2" i="4"/>
  <c r="AA2" i="4"/>
  <c r="AI2" i="4"/>
  <c r="AQ2" i="4"/>
  <c r="AY2" i="4"/>
  <c r="L2" i="4"/>
  <c r="W2" i="4"/>
  <c r="AE2" i="4"/>
  <c r="AU2" i="4"/>
  <c r="AM2" i="4"/>
  <c r="H2" i="4"/>
  <c r="T2" i="4"/>
  <c r="AB2" i="4"/>
  <c r="AJ2" i="4"/>
  <c r="AR2" i="4"/>
  <c r="AZ2" i="4"/>
  <c r="BE7" i="4"/>
  <c r="BE13" i="4"/>
  <c r="BE9" i="4"/>
  <c r="BE11" i="4"/>
  <c r="BE16" i="4"/>
  <c r="BE21" i="4"/>
  <c r="BE24" i="4"/>
  <c r="BE25" i="4"/>
  <c r="BG14" i="4"/>
  <c r="BG8" i="4"/>
  <c r="BD2" i="4"/>
  <c r="BE17" i="4"/>
  <c r="BH24" i="4"/>
  <c r="BF7" i="4"/>
  <c r="BF9" i="4"/>
  <c r="BF19" i="4"/>
  <c r="BH20" i="4"/>
  <c r="BE27" i="4"/>
  <c r="BF28" i="4"/>
  <c r="BH12" i="4"/>
  <c r="BH9" i="4"/>
  <c r="BH7" i="4"/>
  <c r="BH8" i="4"/>
  <c r="BH17" i="4"/>
  <c r="BH19" i="4"/>
  <c r="BH26" i="4"/>
  <c r="BH27" i="4"/>
  <c r="BH13" i="4"/>
  <c r="BH23" i="4"/>
  <c r="BH18" i="4"/>
  <c r="BH30" i="4"/>
  <c r="BE2" i="4"/>
  <c r="BH2" i="4"/>
  <c r="BG7" i="4"/>
  <c r="BG9" i="4"/>
  <c r="BG13" i="4"/>
  <c r="BG17" i="4"/>
  <c r="BG11" i="4"/>
  <c r="BG12" i="4"/>
  <c r="BG25" i="4"/>
  <c r="BG30" i="4"/>
  <c r="BG29" i="4"/>
  <c r="BF11" i="4"/>
  <c r="BG16" i="4"/>
  <c r="BE18" i="4"/>
  <c r="BE14" i="4"/>
  <c r="BF14" i="4"/>
  <c r="BG20" i="4"/>
  <c r="BG22" i="4"/>
  <c r="BH28" i="4"/>
  <c r="BF20" i="4"/>
  <c r="BH22" i="4"/>
  <c r="BE30" i="4"/>
  <c r="BG28" i="4"/>
  <c r="BG26" i="4"/>
  <c r="BH29" i="4"/>
  <c r="BG15" i="4"/>
  <c r="BE15" i="4"/>
  <c r="BG23" i="4"/>
  <c r="BE29" i="4"/>
  <c r="BF16" i="4"/>
  <c r="BD14" i="4"/>
  <c r="BD8" i="4"/>
  <c r="BD10" i="4"/>
  <c r="BD20" i="4"/>
  <c r="BD7" i="4"/>
  <c r="BD15" i="4"/>
  <c r="BD18" i="4"/>
  <c r="BD19" i="4"/>
  <c r="BD26" i="4"/>
  <c r="BD27" i="4"/>
  <c r="BD30" i="4"/>
  <c r="BD22" i="4"/>
  <c r="BD9" i="4"/>
  <c r="BD11" i="4"/>
  <c r="BD12" i="4"/>
  <c r="BD13" i="4"/>
  <c r="BD17" i="4"/>
  <c r="BD21" i="4"/>
  <c r="BD16" i="4"/>
  <c r="BD23" i="4"/>
  <c r="BD29" i="4"/>
  <c r="BD24" i="4"/>
  <c r="BD25" i="4"/>
  <c r="G31" i="4"/>
  <c r="K31" i="4"/>
  <c r="O31" i="4"/>
  <c r="S31" i="4"/>
  <c r="W31" i="4"/>
  <c r="AA31" i="4"/>
  <c r="AE31" i="4"/>
  <c r="AI31" i="4"/>
  <c r="E31" i="4"/>
  <c r="J31" i="4"/>
  <c r="P31" i="4"/>
  <c r="U31" i="4"/>
  <c r="Z31" i="4"/>
  <c r="AF31" i="4"/>
  <c r="AK31" i="4"/>
  <c r="AO31" i="4"/>
  <c r="AS31" i="4"/>
  <c r="AW31" i="4"/>
  <c r="BA31" i="4"/>
  <c r="F31" i="4"/>
  <c r="Q31" i="4"/>
  <c r="V31" i="4"/>
  <c r="AB31" i="4"/>
  <c r="AL31" i="4"/>
  <c r="AP31" i="4"/>
  <c r="AX31" i="4"/>
  <c r="M31" i="4"/>
  <c r="AC31" i="4"/>
  <c r="AH31" i="4"/>
  <c r="AQ31" i="4"/>
  <c r="AY31" i="4"/>
  <c r="D31" i="4"/>
  <c r="AJ31" i="4"/>
  <c r="AR31" i="4"/>
  <c r="AZ31" i="4"/>
  <c r="L31" i="4"/>
  <c r="AG31" i="4"/>
  <c r="AT31" i="4"/>
  <c r="H31" i="4"/>
  <c r="X31" i="4"/>
  <c r="AM31" i="4"/>
  <c r="AU31" i="4"/>
  <c r="I31" i="4"/>
  <c r="T31" i="4"/>
  <c r="AD31" i="4"/>
  <c r="AV31" i="4"/>
  <c r="R31" i="4"/>
  <c r="N31" i="4"/>
  <c r="Y31" i="4"/>
  <c r="AN31" i="4"/>
  <c r="BE31" i="4"/>
  <c r="BL39" i="4"/>
  <c r="BL41" i="4"/>
  <c r="BL43" i="4"/>
  <c r="BL44" i="4"/>
  <c r="BL49" i="4"/>
  <c r="BL53" i="4"/>
  <c r="BL55" i="4"/>
  <c r="BL56" i="4"/>
  <c r="BL60" i="4"/>
  <c r="BL38" i="4"/>
  <c r="BL40" i="4"/>
  <c r="BL42" i="4"/>
  <c r="BL52" i="4"/>
  <c r="BL54" i="4"/>
  <c r="BL61" i="4"/>
  <c r="BL62" i="4"/>
  <c r="BL65" i="4"/>
  <c r="BL66" i="4"/>
  <c r="BL46" i="4"/>
  <c r="BL48" i="4"/>
  <c r="BL50" i="4"/>
  <c r="BL57" i="4"/>
  <c r="BL63" i="4"/>
  <c r="BL79" i="4"/>
  <c r="BL80" i="4"/>
  <c r="BL51" i="4"/>
  <c r="BL69" i="4"/>
  <c r="BL77" i="4"/>
  <c r="BL85" i="4"/>
  <c r="BL86" i="4"/>
  <c r="BL47" i="4"/>
  <c r="BL64" i="4"/>
  <c r="BL74" i="4"/>
  <c r="BL78" i="4"/>
  <c r="BL83" i="4"/>
  <c r="BL84" i="4"/>
  <c r="BL102" i="4"/>
  <c r="BL107" i="4"/>
  <c r="BL111" i="4"/>
  <c r="BL113" i="4"/>
  <c r="BL115" i="4"/>
  <c r="BL117" i="4"/>
  <c r="BL45" i="4"/>
  <c r="BL58" i="4"/>
  <c r="BL71" i="4"/>
  <c r="BL76" i="4"/>
  <c r="BL96" i="4"/>
  <c r="BL105" i="4"/>
  <c r="BL106" i="4"/>
  <c r="BL114" i="4"/>
  <c r="BL118" i="4"/>
  <c r="BL132" i="4"/>
  <c r="BL133" i="4"/>
  <c r="BL134" i="4"/>
  <c r="BL135" i="4"/>
  <c r="BL67" i="4"/>
  <c r="BL72" i="4"/>
  <c r="BL82" i="4"/>
  <c r="BL88" i="4"/>
  <c r="BL59" i="4"/>
  <c r="BL68" i="4"/>
  <c r="BL73" i="4"/>
  <c r="BL94" i="4"/>
  <c r="BL98" i="4"/>
  <c r="BL99" i="4"/>
  <c r="BL100" i="4"/>
  <c r="BL101" i="4"/>
  <c r="BL90" i="4"/>
  <c r="BL108" i="4"/>
  <c r="BL109" i="4"/>
  <c r="BL110" i="4"/>
  <c r="BL129" i="4"/>
  <c r="BL136" i="4"/>
  <c r="BL137" i="4"/>
  <c r="BL144" i="4"/>
  <c r="BL145" i="4"/>
  <c r="BL161" i="4"/>
  <c r="BL162" i="4"/>
  <c r="BL163" i="4"/>
  <c r="BL70" i="4"/>
  <c r="BL93" i="4"/>
  <c r="BL95" i="4"/>
  <c r="BL121" i="4"/>
  <c r="BL122" i="4"/>
  <c r="BL125" i="4"/>
  <c r="BL126" i="4"/>
  <c r="BL142" i="4"/>
  <c r="BL143" i="4"/>
  <c r="BL150" i="4"/>
  <c r="BL151" i="4"/>
  <c r="BL152" i="4"/>
  <c r="BL153" i="4"/>
  <c r="BL154" i="4"/>
  <c r="BL155" i="4"/>
  <c r="BL156" i="4"/>
  <c r="BL157" i="4"/>
  <c r="BL158" i="4"/>
  <c r="BL159" i="4"/>
  <c r="BL199" i="4"/>
  <c r="BL75" i="4"/>
  <c r="BL87" i="4"/>
  <c r="BL91" i="4"/>
  <c r="BL103" i="4"/>
  <c r="BL112" i="4"/>
  <c r="BL119" i="4"/>
  <c r="BL120" i="4"/>
  <c r="BL127" i="4"/>
  <c r="BL128" i="4"/>
  <c r="BL130" i="4"/>
  <c r="BL131" i="4"/>
  <c r="BL139" i="4"/>
  <c r="BL146" i="4"/>
  <c r="BL165" i="4"/>
  <c r="BL169" i="4"/>
  <c r="BL173" i="4"/>
  <c r="BL177" i="4"/>
  <c r="BL181" i="4"/>
  <c r="BL183" i="4"/>
  <c r="BL186" i="4"/>
  <c r="BL188" i="4"/>
  <c r="BL89" i="4"/>
  <c r="BL92" i="4"/>
  <c r="BL116" i="4"/>
  <c r="BL140" i="4"/>
  <c r="BL149" i="4"/>
  <c r="BL170" i="4"/>
  <c r="BL174" i="4"/>
  <c r="BL178" i="4"/>
  <c r="BL182" i="4"/>
  <c r="BL184" i="4"/>
  <c r="BL193" i="4"/>
  <c r="BL195" i="4"/>
  <c r="BL104" i="4"/>
  <c r="BL123" i="4"/>
  <c r="BL124" i="4"/>
  <c r="BL138" i="4"/>
  <c r="BL147" i="4"/>
  <c r="BL164" i="4"/>
  <c r="BL166" i="4"/>
  <c r="BL171" i="4"/>
  <c r="BL175" i="4"/>
  <c r="BL179" i="4"/>
  <c r="BL189" i="4"/>
  <c r="BL191" i="4"/>
  <c r="BL194" i="4"/>
  <c r="BL196" i="4"/>
  <c r="BL197" i="4"/>
  <c r="BL81" i="4"/>
  <c r="BL167" i="4"/>
  <c r="BL176" i="4"/>
  <c r="BL148" i="4"/>
  <c r="BL172" i="4"/>
  <c r="BL198" i="4"/>
  <c r="BL97" i="4"/>
  <c r="BL141" i="4"/>
  <c r="BL160" i="4"/>
  <c r="BL180" i="4"/>
  <c r="BL185" i="4"/>
  <c r="BL190" i="4"/>
  <c r="BL168" i="4"/>
  <c r="BL187" i="4"/>
  <c r="BL192" i="4"/>
  <c r="BG31" i="4"/>
  <c r="BF31" i="4"/>
  <c r="BD31" i="4"/>
  <c r="BM45" i="4"/>
  <c r="BM46" i="4"/>
  <c r="BM47" i="4"/>
  <c r="BM48" i="4"/>
  <c r="BM50" i="4"/>
  <c r="BM57" i="4"/>
  <c r="BM58" i="4"/>
  <c r="BM63" i="4"/>
  <c r="BM39" i="4"/>
  <c r="BM41" i="4"/>
  <c r="BM43" i="4"/>
  <c r="BM44" i="4"/>
  <c r="BM49" i="4"/>
  <c r="BM53" i="4"/>
  <c r="BM55" i="4"/>
  <c r="BM56" i="4"/>
  <c r="BM60" i="4"/>
  <c r="BM59" i="4"/>
  <c r="BM67" i="4"/>
  <c r="BM68" i="4"/>
  <c r="BM69" i="4"/>
  <c r="BM72" i="4"/>
  <c r="BM73" i="4"/>
  <c r="BM38" i="4"/>
  <c r="BM40" i="4"/>
  <c r="BM42" i="4"/>
  <c r="BM52" i="4"/>
  <c r="BM61" i="4"/>
  <c r="BM62" i="4"/>
  <c r="BM71" i="4"/>
  <c r="BM76" i="4"/>
  <c r="BM51" i="4"/>
  <c r="BM77" i="4"/>
  <c r="BM85" i="4"/>
  <c r="BM86" i="4"/>
  <c r="BM99" i="4"/>
  <c r="BM103" i="4"/>
  <c r="BM108" i="4"/>
  <c r="BM112" i="4"/>
  <c r="BM114" i="4"/>
  <c r="BM116" i="4"/>
  <c r="BM118" i="4"/>
  <c r="BM70" i="4"/>
  <c r="BM75" i="4"/>
  <c r="BM81" i="4"/>
  <c r="BM87" i="4"/>
  <c r="BM89" i="4"/>
  <c r="BM91" i="4"/>
  <c r="BM93" i="4"/>
  <c r="BM95" i="4"/>
  <c r="BM104" i="4"/>
  <c r="BM113" i="4"/>
  <c r="BM117" i="4"/>
  <c r="BM54" i="4"/>
  <c r="BM64" i="4"/>
  <c r="BM66" i="4"/>
  <c r="BM78" i="4"/>
  <c r="BM79" i="4"/>
  <c r="BM84" i="4"/>
  <c r="BM80" i="4"/>
  <c r="BM82" i="4"/>
  <c r="BM88" i="4"/>
  <c r="BM90" i="4"/>
  <c r="BM92" i="4"/>
  <c r="BM97" i="4"/>
  <c r="BM109" i="4"/>
  <c r="BM110" i="4"/>
  <c r="BM65" i="4"/>
  <c r="BM105" i="4"/>
  <c r="BM106" i="4"/>
  <c r="BM107" i="4"/>
  <c r="BM115" i="4"/>
  <c r="BM119" i="4"/>
  <c r="BM120" i="4"/>
  <c r="BM123" i="4"/>
  <c r="BM124" i="4"/>
  <c r="BM127" i="4"/>
  <c r="BM128" i="4"/>
  <c r="BM130" i="4"/>
  <c r="BM131" i="4"/>
  <c r="BM132" i="4"/>
  <c r="BM138" i="4"/>
  <c r="BM139" i="4"/>
  <c r="BM146" i="4"/>
  <c r="BM147" i="4"/>
  <c r="BM164" i="4"/>
  <c r="BM165" i="4"/>
  <c r="BM83" i="4"/>
  <c r="BM94" i="4"/>
  <c r="BM111" i="4"/>
  <c r="BM129" i="4"/>
  <c r="BM133" i="4"/>
  <c r="BM136" i="4"/>
  <c r="BM137" i="4"/>
  <c r="BM144" i="4"/>
  <c r="BM145" i="4"/>
  <c r="BM161" i="4"/>
  <c r="BM162" i="4"/>
  <c r="BM163" i="4"/>
  <c r="BM183" i="4"/>
  <c r="BM184" i="4"/>
  <c r="BM187" i="4"/>
  <c r="BM188" i="4"/>
  <c r="BM191" i="4"/>
  <c r="BM192" i="4"/>
  <c r="BM195" i="4"/>
  <c r="BM196" i="4"/>
  <c r="BM198" i="4"/>
  <c r="BM101" i="4"/>
  <c r="BM141" i="4"/>
  <c r="BM148" i="4"/>
  <c r="BM160" i="4"/>
  <c r="BM167" i="4"/>
  <c r="BM168" i="4"/>
  <c r="BM172" i="4"/>
  <c r="BM176" i="4"/>
  <c r="BM180" i="4"/>
  <c r="BM185" i="4"/>
  <c r="BM190" i="4"/>
  <c r="BM199" i="4"/>
  <c r="BM96" i="4"/>
  <c r="BM121" i="4"/>
  <c r="BM122" i="4"/>
  <c r="BM134" i="4"/>
  <c r="BM142" i="4"/>
  <c r="BM151" i="4"/>
  <c r="BM153" i="4"/>
  <c r="BM155" i="4"/>
  <c r="BM157" i="4"/>
  <c r="BM159" i="4"/>
  <c r="BM169" i="4"/>
  <c r="BM173" i="4"/>
  <c r="BM177" i="4"/>
  <c r="BM181" i="4"/>
  <c r="BM186" i="4"/>
  <c r="BM98" i="4"/>
  <c r="BM100" i="4"/>
  <c r="BM102" i="4"/>
  <c r="BM135" i="4"/>
  <c r="BM140" i="4"/>
  <c r="BM149" i="4"/>
  <c r="BM170" i="4"/>
  <c r="BM174" i="4"/>
  <c r="BM178" i="4"/>
  <c r="BM182" i="4"/>
  <c r="BM193" i="4"/>
  <c r="BM143" i="4"/>
  <c r="BM154" i="4"/>
  <c r="BM197" i="4"/>
  <c r="BM179" i="4"/>
  <c r="BM189" i="4"/>
  <c r="BM152" i="4"/>
  <c r="BM171" i="4"/>
  <c r="BM74" i="4"/>
  <c r="BM126" i="4"/>
  <c r="BM156" i="4"/>
  <c r="BM194" i="4"/>
  <c r="BM125" i="4"/>
  <c r="BM150" i="4"/>
  <c r="BM158" i="4"/>
  <c r="BM166" i="4"/>
  <c r="BM175" i="4"/>
  <c r="BN51" i="4"/>
  <c r="BN59" i="4"/>
  <c r="BN64" i="4"/>
  <c r="BN45" i="4"/>
  <c r="BN46" i="4"/>
  <c r="BN47" i="4"/>
  <c r="BN48" i="4"/>
  <c r="BN50" i="4"/>
  <c r="BN57" i="4"/>
  <c r="BN58" i="4"/>
  <c r="BN63" i="4"/>
  <c r="BN52" i="4"/>
  <c r="BN54" i="4"/>
  <c r="BN61" i="4"/>
  <c r="BN65" i="4"/>
  <c r="BN44" i="4"/>
  <c r="BN53" i="4"/>
  <c r="BN55" i="4"/>
  <c r="BN41" i="4"/>
  <c r="BN49" i="4"/>
  <c r="BN56" i="4"/>
  <c r="BN68" i="4"/>
  <c r="BN70" i="4"/>
  <c r="BN73" i="4"/>
  <c r="BN75" i="4"/>
  <c r="BN80" i="4"/>
  <c r="BN81" i="4"/>
  <c r="BN82" i="4"/>
  <c r="BN87" i="4"/>
  <c r="BN88" i="4"/>
  <c r="BN89" i="4"/>
  <c r="BN90" i="4"/>
  <c r="BN91" i="4"/>
  <c r="BN92" i="4"/>
  <c r="BN93" i="4"/>
  <c r="BN40" i="4"/>
  <c r="BN62" i="4"/>
  <c r="BN69" i="4"/>
  <c r="BN71" i="4"/>
  <c r="BN76" i="4"/>
  <c r="BN100" i="4"/>
  <c r="BN104" i="4"/>
  <c r="BN105" i="4"/>
  <c r="BN109" i="4"/>
  <c r="BN42" i="4"/>
  <c r="BN60" i="4"/>
  <c r="BN74" i="4"/>
  <c r="BN83" i="4"/>
  <c r="BN94" i="4"/>
  <c r="BN98" i="4"/>
  <c r="BN101" i="4"/>
  <c r="BN102" i="4"/>
  <c r="BN103" i="4"/>
  <c r="BN119" i="4"/>
  <c r="BN121" i="4"/>
  <c r="BN123" i="4"/>
  <c r="BN125" i="4"/>
  <c r="BN127" i="4"/>
  <c r="BN130" i="4"/>
  <c r="BN43" i="4"/>
  <c r="BN77" i="4"/>
  <c r="BN86" i="4"/>
  <c r="BN38" i="4"/>
  <c r="BN66" i="4"/>
  <c r="BN67" i="4"/>
  <c r="BN72" i="4"/>
  <c r="BN78" i="4"/>
  <c r="BN79" i="4"/>
  <c r="BN84" i="4"/>
  <c r="BN96" i="4"/>
  <c r="BN106" i="4"/>
  <c r="BN107" i="4"/>
  <c r="BN108" i="4"/>
  <c r="BN85" i="4"/>
  <c r="BN112" i="4"/>
  <c r="BN118" i="4"/>
  <c r="BN135" i="4"/>
  <c r="BN140" i="4"/>
  <c r="BN141" i="4"/>
  <c r="BN148" i="4"/>
  <c r="BN149" i="4"/>
  <c r="BN160" i="4"/>
  <c r="BN39" i="4"/>
  <c r="BN110" i="4"/>
  <c r="BN114" i="4"/>
  <c r="BN115" i="4"/>
  <c r="BN120" i="4"/>
  <c r="BN124" i="4"/>
  <c r="BN128" i="4"/>
  <c r="BN131" i="4"/>
  <c r="BN132" i="4"/>
  <c r="BN138" i="4"/>
  <c r="BN139" i="4"/>
  <c r="BN146" i="4"/>
  <c r="BN147" i="4"/>
  <c r="BN164" i="4"/>
  <c r="BN165" i="4"/>
  <c r="BN166" i="4"/>
  <c r="BN167" i="4"/>
  <c r="BN197" i="4"/>
  <c r="BN97" i="4"/>
  <c r="BN99" i="4"/>
  <c r="BN113" i="4"/>
  <c r="BN126" i="4"/>
  <c r="BN143" i="4"/>
  <c r="BN150" i="4"/>
  <c r="BN152" i="4"/>
  <c r="BN154" i="4"/>
  <c r="BN156" i="4"/>
  <c r="BN158" i="4"/>
  <c r="BN171" i="4"/>
  <c r="BN175" i="4"/>
  <c r="BN179" i="4"/>
  <c r="BN187" i="4"/>
  <c r="BN189" i="4"/>
  <c r="BN192" i="4"/>
  <c r="BN194" i="4"/>
  <c r="BN111" i="4"/>
  <c r="BN117" i="4"/>
  <c r="BN129" i="4"/>
  <c r="BN133" i="4"/>
  <c r="BN137" i="4"/>
  <c r="BN144" i="4"/>
  <c r="BN161" i="4"/>
  <c r="BN163" i="4"/>
  <c r="BN168" i="4"/>
  <c r="BN172" i="4"/>
  <c r="BN176" i="4"/>
  <c r="BN180" i="4"/>
  <c r="BN183" i="4"/>
  <c r="BN185" i="4"/>
  <c r="BN188" i="4"/>
  <c r="BN190" i="4"/>
  <c r="BN116" i="4"/>
  <c r="BN122" i="4"/>
  <c r="BN134" i="4"/>
  <c r="BN142" i="4"/>
  <c r="BN151" i="4"/>
  <c r="BN153" i="4"/>
  <c r="BN155" i="4"/>
  <c r="BN157" i="4"/>
  <c r="BN159" i="4"/>
  <c r="BN169" i="4"/>
  <c r="BN173" i="4"/>
  <c r="BN177" i="4"/>
  <c r="BN181" i="4"/>
  <c r="BN184" i="4"/>
  <c r="BN186" i="4"/>
  <c r="BN195" i="4"/>
  <c r="BN198" i="4"/>
  <c r="BN95" i="4"/>
  <c r="BN162" i="4"/>
  <c r="BN174" i="4"/>
  <c r="BN191" i="4"/>
  <c r="BN196" i="4"/>
  <c r="BN178" i="4"/>
  <c r="BN193" i="4"/>
  <c r="BN145" i="4"/>
  <c r="BN170" i="4"/>
  <c r="BN199" i="4"/>
  <c r="BN136" i="4"/>
  <c r="BN182" i="4"/>
  <c r="BO38" i="4"/>
  <c r="BO40" i="4"/>
  <c r="BO42" i="4"/>
  <c r="BO52" i="4"/>
  <c r="BO54" i="4"/>
  <c r="BO61" i="4"/>
  <c r="BO62" i="4"/>
  <c r="BO65" i="4"/>
  <c r="BO66" i="4"/>
  <c r="BO51" i="4"/>
  <c r="BO59" i="4"/>
  <c r="BO64" i="4"/>
  <c r="BO39" i="4"/>
  <c r="BO41" i="4"/>
  <c r="BO43" i="4"/>
  <c r="BO49" i="4"/>
  <c r="BO56" i="4"/>
  <c r="BO70" i="4"/>
  <c r="BO71" i="4"/>
  <c r="BO74" i="4"/>
  <c r="BO75" i="4"/>
  <c r="BO76" i="4"/>
  <c r="BO77" i="4"/>
  <c r="BO78" i="4"/>
  <c r="BO46" i="4"/>
  <c r="BO48" i="4"/>
  <c r="BO50" i="4"/>
  <c r="BO45" i="4"/>
  <c r="BO58" i="4"/>
  <c r="BO60" i="4"/>
  <c r="BO67" i="4"/>
  <c r="BO72" i="4"/>
  <c r="BO79" i="4"/>
  <c r="BO83" i="4"/>
  <c r="BO84" i="4"/>
  <c r="BO44" i="4"/>
  <c r="BO55" i="4"/>
  <c r="BO68" i="4"/>
  <c r="BO73" i="4"/>
  <c r="BO80" i="4"/>
  <c r="BO81" i="4"/>
  <c r="BO82" i="4"/>
  <c r="BO87" i="4"/>
  <c r="BO88" i="4"/>
  <c r="BO89" i="4"/>
  <c r="BO90" i="4"/>
  <c r="BO91" i="4"/>
  <c r="BO92" i="4"/>
  <c r="BO93" i="4"/>
  <c r="BO94" i="4"/>
  <c r="BO95" i="4"/>
  <c r="BO96" i="4"/>
  <c r="BO97" i="4"/>
  <c r="BO98" i="4"/>
  <c r="BO101" i="4"/>
  <c r="BO106" i="4"/>
  <c r="BO110" i="4"/>
  <c r="BO53" i="4"/>
  <c r="BO85" i="4"/>
  <c r="BO99" i="4"/>
  <c r="BO100" i="4"/>
  <c r="BO111" i="4"/>
  <c r="BO112" i="4"/>
  <c r="BO115" i="4"/>
  <c r="BO116" i="4"/>
  <c r="BO120" i="4"/>
  <c r="BO122" i="4"/>
  <c r="BO124" i="4"/>
  <c r="BO126" i="4"/>
  <c r="BO128" i="4"/>
  <c r="BO129" i="4"/>
  <c r="BO131" i="4"/>
  <c r="BO57" i="4"/>
  <c r="BO86" i="4"/>
  <c r="BO105" i="4"/>
  <c r="BO47" i="4"/>
  <c r="BO69" i="4"/>
  <c r="BO102" i="4"/>
  <c r="BO103" i="4"/>
  <c r="BO104" i="4"/>
  <c r="BO113" i="4"/>
  <c r="BO134" i="4"/>
  <c r="BO142" i="4"/>
  <c r="BO143" i="4"/>
  <c r="BO150" i="4"/>
  <c r="BO151" i="4"/>
  <c r="BO152" i="4"/>
  <c r="BO153" i="4"/>
  <c r="BO154" i="4"/>
  <c r="BO155" i="4"/>
  <c r="BO156" i="4"/>
  <c r="BO157" i="4"/>
  <c r="BO158" i="4"/>
  <c r="BO159" i="4"/>
  <c r="BO107" i="4"/>
  <c r="BO108" i="4"/>
  <c r="BO109" i="4"/>
  <c r="BO118" i="4"/>
  <c r="BO119" i="4"/>
  <c r="BO123" i="4"/>
  <c r="BO127" i="4"/>
  <c r="BO130" i="4"/>
  <c r="BO135" i="4"/>
  <c r="BO140" i="4"/>
  <c r="BO141" i="4"/>
  <c r="BO148" i="4"/>
  <c r="BO149" i="4"/>
  <c r="BO160" i="4"/>
  <c r="BO168" i="4"/>
  <c r="BO169" i="4"/>
  <c r="BO170" i="4"/>
  <c r="BO171" i="4"/>
  <c r="BO172" i="4"/>
  <c r="BO173" i="4"/>
  <c r="BO174" i="4"/>
  <c r="BO175" i="4"/>
  <c r="BO176" i="4"/>
  <c r="BO177" i="4"/>
  <c r="BO178" i="4"/>
  <c r="BO179" i="4"/>
  <c r="BO180" i="4"/>
  <c r="BO181" i="4"/>
  <c r="BO182" i="4"/>
  <c r="BO185" i="4"/>
  <c r="BO186" i="4"/>
  <c r="BO189" i="4"/>
  <c r="BO190" i="4"/>
  <c r="BO193" i="4"/>
  <c r="BO194" i="4"/>
  <c r="BO125" i="4"/>
  <c r="BO136" i="4"/>
  <c r="BO145" i="4"/>
  <c r="BO162" i="4"/>
  <c r="BO166" i="4"/>
  <c r="BO191" i="4"/>
  <c r="BO196" i="4"/>
  <c r="BO197" i="4"/>
  <c r="BO132" i="4"/>
  <c r="BO139" i="4"/>
  <c r="BO146" i="4"/>
  <c r="BO165" i="4"/>
  <c r="BO167" i="4"/>
  <c r="BO187" i="4"/>
  <c r="BO192" i="4"/>
  <c r="BO63" i="4"/>
  <c r="BO117" i="4"/>
  <c r="BO121" i="4"/>
  <c r="BO133" i="4"/>
  <c r="BO137" i="4"/>
  <c r="BO144" i="4"/>
  <c r="BO161" i="4"/>
  <c r="BO163" i="4"/>
  <c r="BO183" i="4"/>
  <c r="BO188" i="4"/>
  <c r="BO199" i="4"/>
  <c r="BO198" i="4"/>
  <c r="BO164" i="4"/>
  <c r="BO138" i="4"/>
  <c r="BO114" i="4"/>
  <c r="BO184" i="4"/>
  <c r="BO147" i="4"/>
  <c r="BO195" i="4"/>
  <c r="BJ51" i="4"/>
  <c r="BJ59" i="4"/>
  <c r="BJ64" i="4"/>
  <c r="BJ45" i="4"/>
  <c r="BJ46" i="4"/>
  <c r="BJ47" i="4"/>
  <c r="BJ48" i="4"/>
  <c r="BJ50" i="4"/>
  <c r="BJ57" i="4"/>
  <c r="BJ58" i="4"/>
  <c r="BJ63" i="4"/>
  <c r="BJ38" i="4"/>
  <c r="BJ40" i="4"/>
  <c r="BJ42" i="4"/>
  <c r="BJ62" i="4"/>
  <c r="BJ66" i="4"/>
  <c r="BJ39" i="4"/>
  <c r="BJ41" i="4"/>
  <c r="BJ43" i="4"/>
  <c r="BJ49" i="4"/>
  <c r="BJ56" i="4"/>
  <c r="BJ44" i="4"/>
  <c r="BJ55" i="4"/>
  <c r="BJ67" i="4"/>
  <c r="BJ72" i="4"/>
  <c r="BJ74" i="4"/>
  <c r="BJ78" i="4"/>
  <c r="BJ79" i="4"/>
  <c r="BJ81" i="4"/>
  <c r="BJ82" i="4"/>
  <c r="BJ87" i="4"/>
  <c r="BJ88" i="4"/>
  <c r="BJ89" i="4"/>
  <c r="BJ90" i="4"/>
  <c r="BJ91" i="4"/>
  <c r="BJ92" i="4"/>
  <c r="BJ93" i="4"/>
  <c r="BJ54" i="4"/>
  <c r="BJ65" i="4"/>
  <c r="BR65" i="4" s="1"/>
  <c r="BJ68" i="4"/>
  <c r="BJ70" i="4"/>
  <c r="BJ73" i="4"/>
  <c r="BJ75" i="4"/>
  <c r="BJ80" i="4"/>
  <c r="BJ100" i="4"/>
  <c r="BJ104" i="4"/>
  <c r="BJ105" i="4"/>
  <c r="BJ109" i="4"/>
  <c r="BJ77" i="4"/>
  <c r="BJ84" i="4"/>
  <c r="BJ97" i="4"/>
  <c r="BJ99" i="4"/>
  <c r="BJ110" i="4"/>
  <c r="BJ111" i="4"/>
  <c r="BJ112" i="4"/>
  <c r="BJ115" i="4"/>
  <c r="BJ116" i="4"/>
  <c r="BJ119" i="4"/>
  <c r="BJ121" i="4"/>
  <c r="BJ123" i="4"/>
  <c r="BJ125" i="4"/>
  <c r="BJ127" i="4"/>
  <c r="BJ130" i="4"/>
  <c r="BJ69" i="4"/>
  <c r="BJ85" i="4"/>
  <c r="BJ52" i="4"/>
  <c r="BJ61" i="4"/>
  <c r="BJ83" i="4"/>
  <c r="BJ95" i="4"/>
  <c r="BJ76" i="4"/>
  <c r="BJ94" i="4"/>
  <c r="BJ117" i="4"/>
  <c r="BJ122" i="4"/>
  <c r="BJ126" i="4"/>
  <c r="BJ134" i="4"/>
  <c r="BJ140" i="4"/>
  <c r="BJ141" i="4"/>
  <c r="BJ148" i="4"/>
  <c r="BJ149" i="4"/>
  <c r="BJ160" i="4"/>
  <c r="BJ60" i="4"/>
  <c r="BJ86" i="4"/>
  <c r="BJ96" i="4"/>
  <c r="BJ113" i="4"/>
  <c r="BJ135" i="4"/>
  <c r="BJ138" i="4"/>
  <c r="BJ139" i="4"/>
  <c r="BJ146" i="4"/>
  <c r="BJ147" i="4"/>
  <c r="BJ164" i="4"/>
  <c r="BJ165" i="4"/>
  <c r="BJ166" i="4"/>
  <c r="BJ167" i="4"/>
  <c r="BJ197" i="4"/>
  <c r="BJ107" i="4"/>
  <c r="BJ129" i="4"/>
  <c r="BJ133" i="4"/>
  <c r="BJ142" i="4"/>
  <c r="BJ151" i="4"/>
  <c r="BJ153" i="4"/>
  <c r="BJ155" i="4"/>
  <c r="BJ157" i="4"/>
  <c r="BJ159" i="4"/>
  <c r="BJ170" i="4"/>
  <c r="BJ174" i="4"/>
  <c r="BJ178" i="4"/>
  <c r="BJ182" i="4"/>
  <c r="BJ191" i="4"/>
  <c r="BJ193" i="4"/>
  <c r="BJ196" i="4"/>
  <c r="BJ71" i="4"/>
  <c r="BJ98" i="4"/>
  <c r="BJ102" i="4"/>
  <c r="BJ124" i="4"/>
  <c r="BJ136" i="4"/>
  <c r="BJ145" i="4"/>
  <c r="BJ162" i="4"/>
  <c r="BJ171" i="4"/>
  <c r="BJ175" i="4"/>
  <c r="BJ179" i="4"/>
  <c r="BJ187" i="4"/>
  <c r="BJ189" i="4"/>
  <c r="BJ192" i="4"/>
  <c r="BJ194" i="4"/>
  <c r="BJ106" i="4"/>
  <c r="BJ108" i="4"/>
  <c r="BJ114" i="4"/>
  <c r="BJ143" i="4"/>
  <c r="BJ150" i="4"/>
  <c r="BJ152" i="4"/>
  <c r="BJ154" i="4"/>
  <c r="BJ156" i="4"/>
  <c r="BJ158" i="4"/>
  <c r="BJ168" i="4"/>
  <c r="BJ172" i="4"/>
  <c r="BJ176" i="4"/>
  <c r="BJ180" i="4"/>
  <c r="BJ183" i="4"/>
  <c r="BJ185" i="4"/>
  <c r="BJ188" i="4"/>
  <c r="BJ190" i="4"/>
  <c r="BJ199" i="4"/>
  <c r="BJ103" i="4"/>
  <c r="BJ120" i="4"/>
  <c r="BJ131" i="4"/>
  <c r="BJ169" i="4"/>
  <c r="BJ137" i="4"/>
  <c r="BJ186" i="4"/>
  <c r="BJ53" i="4"/>
  <c r="BJ128" i="4"/>
  <c r="BJ132" i="4"/>
  <c r="BJ144" i="4"/>
  <c r="BJ163" i="4"/>
  <c r="BJ173" i="4"/>
  <c r="BJ195" i="4"/>
  <c r="BJ181" i="4"/>
  <c r="BJ118" i="4"/>
  <c r="BJ161" i="4"/>
  <c r="BJ177" i="4"/>
  <c r="BJ184" i="4"/>
  <c r="BJ198" i="4"/>
  <c r="BJ101" i="4"/>
  <c r="BK38" i="4"/>
  <c r="BK40" i="4"/>
  <c r="BK42" i="4"/>
  <c r="BK52" i="4"/>
  <c r="BK54" i="4"/>
  <c r="BK61" i="4"/>
  <c r="BK62" i="4"/>
  <c r="BK65" i="4"/>
  <c r="BU65" i="4" s="1"/>
  <c r="BK66" i="4"/>
  <c r="BK51" i="4"/>
  <c r="BU51" i="4" s="1"/>
  <c r="BK59" i="4"/>
  <c r="BK64" i="4"/>
  <c r="BK44" i="4"/>
  <c r="BK53" i="4"/>
  <c r="BK55" i="4"/>
  <c r="BK60" i="4"/>
  <c r="BK70" i="4"/>
  <c r="BK71" i="4"/>
  <c r="BK74" i="4"/>
  <c r="BK75" i="4"/>
  <c r="BK76" i="4"/>
  <c r="BK77" i="4"/>
  <c r="BK78" i="4"/>
  <c r="BK45" i="4"/>
  <c r="BV45" i="4" s="1"/>
  <c r="BK47" i="4"/>
  <c r="BK48" i="4"/>
  <c r="BK83" i="4"/>
  <c r="BK84" i="4"/>
  <c r="BK39" i="4"/>
  <c r="BV39" i="4" s="1"/>
  <c r="BK43" i="4"/>
  <c r="BK63" i="4"/>
  <c r="BK67" i="4"/>
  <c r="BU67" i="4" s="1"/>
  <c r="BK72" i="4"/>
  <c r="BK79" i="4"/>
  <c r="BK81" i="4"/>
  <c r="BK82" i="4"/>
  <c r="BK87" i="4"/>
  <c r="BK88" i="4"/>
  <c r="BK89" i="4"/>
  <c r="BK90" i="4"/>
  <c r="BK91" i="4"/>
  <c r="BK92" i="4"/>
  <c r="BK93" i="4"/>
  <c r="BK94" i="4"/>
  <c r="BK95" i="4"/>
  <c r="BK96" i="4"/>
  <c r="BK97" i="4"/>
  <c r="BK98" i="4"/>
  <c r="BK101" i="4"/>
  <c r="BK106" i="4"/>
  <c r="BU106" i="4" s="1"/>
  <c r="BK110" i="4"/>
  <c r="BU110" i="4" s="1"/>
  <c r="BK56" i="4"/>
  <c r="BK86" i="4"/>
  <c r="BK107" i="4"/>
  <c r="BK108" i="4"/>
  <c r="BU108" i="4" s="1"/>
  <c r="BK109" i="4"/>
  <c r="BK120" i="4"/>
  <c r="BV120" i="4" s="1"/>
  <c r="BK122" i="4"/>
  <c r="BV122" i="4" s="1"/>
  <c r="BK124" i="4"/>
  <c r="BV124" i="4" s="1"/>
  <c r="BK126" i="4"/>
  <c r="BV126" i="4" s="1"/>
  <c r="BK128" i="4"/>
  <c r="BV128" i="4" s="1"/>
  <c r="BK129" i="4"/>
  <c r="BK131" i="4"/>
  <c r="BK46" i="4"/>
  <c r="BK57" i="4"/>
  <c r="BK68" i="4"/>
  <c r="BK73" i="4"/>
  <c r="BU73" i="4" s="1"/>
  <c r="BK80" i="4"/>
  <c r="BK41" i="4"/>
  <c r="BV41" i="4" s="1"/>
  <c r="BK49" i="4"/>
  <c r="BK69" i="4"/>
  <c r="BU69" i="4" s="1"/>
  <c r="BK85" i="4"/>
  <c r="BK102" i="4"/>
  <c r="BK103" i="4"/>
  <c r="BK104" i="4"/>
  <c r="BK58" i="4"/>
  <c r="BK111" i="4"/>
  <c r="BK114" i="4"/>
  <c r="BU114" i="4" s="1"/>
  <c r="BK121" i="4"/>
  <c r="BK125" i="4"/>
  <c r="BK133" i="4"/>
  <c r="BK142" i="4"/>
  <c r="BK143" i="4"/>
  <c r="BK150" i="4"/>
  <c r="BK151" i="4"/>
  <c r="BK152" i="4"/>
  <c r="BK153" i="4"/>
  <c r="BK154" i="4"/>
  <c r="BK155" i="4"/>
  <c r="BS155" i="4" s="1"/>
  <c r="BK156" i="4"/>
  <c r="BK157" i="4"/>
  <c r="BS157" i="4" s="1"/>
  <c r="BK158" i="4"/>
  <c r="BK159" i="4"/>
  <c r="BK50" i="4"/>
  <c r="BK116" i="4"/>
  <c r="BU116" i="4" s="1"/>
  <c r="BK117" i="4"/>
  <c r="BK134" i="4"/>
  <c r="BK140" i="4"/>
  <c r="BK141" i="4"/>
  <c r="BS141" i="4" s="1"/>
  <c r="BK148" i="4"/>
  <c r="BK149" i="4"/>
  <c r="BS149" i="4" s="1"/>
  <c r="BK160" i="4"/>
  <c r="BK168" i="4"/>
  <c r="BK169" i="4"/>
  <c r="BK170" i="4"/>
  <c r="BS170" i="4" s="1"/>
  <c r="BK171" i="4"/>
  <c r="BK172" i="4"/>
  <c r="BS172" i="4" s="1"/>
  <c r="BK173" i="4"/>
  <c r="BK174" i="4"/>
  <c r="BK175" i="4"/>
  <c r="BK176" i="4"/>
  <c r="BK177" i="4"/>
  <c r="BK178" i="4"/>
  <c r="BS178" i="4" s="1"/>
  <c r="BK179" i="4"/>
  <c r="BK180" i="4"/>
  <c r="BS180" i="4" s="1"/>
  <c r="BK181" i="4"/>
  <c r="BK182" i="4"/>
  <c r="BK185" i="4"/>
  <c r="BK186" i="4"/>
  <c r="BV186" i="4" s="1"/>
  <c r="BK189" i="4"/>
  <c r="BK190" i="4"/>
  <c r="BV190" i="4" s="1"/>
  <c r="BK193" i="4"/>
  <c r="BK194" i="4"/>
  <c r="BV194" i="4" s="1"/>
  <c r="BK105" i="4"/>
  <c r="BK118" i="4"/>
  <c r="BU118" i="4" s="1"/>
  <c r="BK132" i="4"/>
  <c r="BK137" i="4"/>
  <c r="BK144" i="4"/>
  <c r="BK161" i="4"/>
  <c r="BK163" i="4"/>
  <c r="BS163" i="4" s="1"/>
  <c r="BK184" i="4"/>
  <c r="BV184" i="4" s="1"/>
  <c r="BK195" i="4"/>
  <c r="BK198" i="4"/>
  <c r="BK100" i="4"/>
  <c r="BK123" i="4"/>
  <c r="BK135" i="4"/>
  <c r="BK138" i="4"/>
  <c r="BK147" i="4"/>
  <c r="BK164" i="4"/>
  <c r="BS164" i="4" s="1"/>
  <c r="BK166" i="4"/>
  <c r="BK191" i="4"/>
  <c r="BS191" i="4" s="1"/>
  <c r="BK196" i="4"/>
  <c r="BV196" i="4" s="1"/>
  <c r="BK115" i="4"/>
  <c r="BS115" i="4" s="1"/>
  <c r="BK136" i="4"/>
  <c r="BK145" i="4"/>
  <c r="BS145" i="4" s="1"/>
  <c r="BK162" i="4"/>
  <c r="BS162" i="4" s="1"/>
  <c r="BK167" i="4"/>
  <c r="BK187" i="4"/>
  <c r="BK192" i="4"/>
  <c r="BV192" i="4" s="1"/>
  <c r="BK127" i="4"/>
  <c r="BS127" i="4" s="1"/>
  <c r="BK146" i="4"/>
  <c r="BK165" i="4"/>
  <c r="BK183" i="4"/>
  <c r="BS183" i="4" s="1"/>
  <c r="BK188" i="4"/>
  <c r="BV188" i="4" s="1"/>
  <c r="BK130" i="4"/>
  <c r="BS130" i="4" s="1"/>
  <c r="BK112" i="4"/>
  <c r="BU112" i="4" s="1"/>
  <c r="BK119" i="4"/>
  <c r="BS119" i="4" s="1"/>
  <c r="BK197" i="4"/>
  <c r="BK99" i="4"/>
  <c r="BK113" i="4"/>
  <c r="BK139" i="4"/>
  <c r="BK199" i="4"/>
  <c r="BP39" i="4"/>
  <c r="BP41" i="4"/>
  <c r="BP43" i="4"/>
  <c r="BP44" i="4"/>
  <c r="BX44" i="4" s="1"/>
  <c r="BP49" i="4"/>
  <c r="BP53" i="4"/>
  <c r="BX53" i="4" s="1"/>
  <c r="BP55" i="4"/>
  <c r="BX55" i="4" s="1"/>
  <c r="BP56" i="4"/>
  <c r="BP60" i="4"/>
  <c r="BP38" i="4"/>
  <c r="BP40" i="4"/>
  <c r="BP42" i="4"/>
  <c r="BP52" i="4"/>
  <c r="BP54" i="4"/>
  <c r="BP61" i="4"/>
  <c r="BX61" i="4" s="1"/>
  <c r="BP62" i="4"/>
  <c r="BP65" i="4"/>
  <c r="BX65" i="4" s="1"/>
  <c r="BP45" i="4"/>
  <c r="BP47" i="4"/>
  <c r="BP58" i="4"/>
  <c r="BX58" i="4" s="1"/>
  <c r="BP79" i="4"/>
  <c r="BX79" i="4" s="1"/>
  <c r="BP57" i="4"/>
  <c r="BX57" i="4" s="1"/>
  <c r="BP59" i="4"/>
  <c r="BX59" i="4" s="1"/>
  <c r="BP66" i="4"/>
  <c r="BX66" i="4" s="1"/>
  <c r="BP74" i="4"/>
  <c r="BX74" i="4" s="1"/>
  <c r="BP78" i="4"/>
  <c r="BP85" i="4"/>
  <c r="BX85" i="4" s="1"/>
  <c r="BP86" i="4"/>
  <c r="BX86" i="4" s="1"/>
  <c r="BP48" i="4"/>
  <c r="BP67" i="4"/>
  <c r="BP70" i="4"/>
  <c r="BX70" i="4" s="1"/>
  <c r="BP72" i="4"/>
  <c r="BP75" i="4"/>
  <c r="BX75" i="4" s="1"/>
  <c r="BP83" i="4"/>
  <c r="BP84" i="4"/>
  <c r="BX84" i="4" s="1"/>
  <c r="BP102" i="4"/>
  <c r="BX102" i="4" s="1"/>
  <c r="BP107" i="4"/>
  <c r="BP111" i="4"/>
  <c r="BP113" i="4"/>
  <c r="BP115" i="4"/>
  <c r="BP117" i="4"/>
  <c r="BX117" i="4" s="1"/>
  <c r="BP50" i="4"/>
  <c r="BP63" i="4"/>
  <c r="BX63" i="4" s="1"/>
  <c r="BP69" i="4"/>
  <c r="BX69" i="4" s="1"/>
  <c r="BP97" i="4"/>
  <c r="BP108" i="4"/>
  <c r="BP109" i="4"/>
  <c r="BP110" i="4"/>
  <c r="BP132" i="4"/>
  <c r="BP133" i="4"/>
  <c r="BP134" i="4"/>
  <c r="BX134" i="4" s="1"/>
  <c r="BP135" i="4"/>
  <c r="BX135" i="4" s="1"/>
  <c r="BP51" i="4"/>
  <c r="BX51" i="4" s="1"/>
  <c r="BP71" i="4"/>
  <c r="BP76" i="4"/>
  <c r="BX76" i="4" s="1"/>
  <c r="BP81" i="4"/>
  <c r="BX81" i="4" s="1"/>
  <c r="BP87" i="4"/>
  <c r="BX87" i="4" s="1"/>
  <c r="BP89" i="4"/>
  <c r="BP46" i="4"/>
  <c r="BX46" i="4" s="1"/>
  <c r="BP64" i="4"/>
  <c r="BX64" i="4" s="1"/>
  <c r="BP77" i="4"/>
  <c r="BX77" i="4" s="1"/>
  <c r="BP95" i="4"/>
  <c r="BP103" i="4"/>
  <c r="BP104" i="4"/>
  <c r="BP82" i="4"/>
  <c r="BX82" i="4" s="1"/>
  <c r="BP91" i="4"/>
  <c r="BP98" i="4"/>
  <c r="BX98" i="4" s="1"/>
  <c r="BP99" i="4"/>
  <c r="BP100" i="4"/>
  <c r="BP101" i="4"/>
  <c r="BP116" i="4"/>
  <c r="BP121" i="4"/>
  <c r="BP122" i="4"/>
  <c r="BP125" i="4"/>
  <c r="BP126" i="4"/>
  <c r="BP136" i="4"/>
  <c r="BP137" i="4"/>
  <c r="BP144" i="4"/>
  <c r="BP145" i="4"/>
  <c r="BP161" i="4"/>
  <c r="BX161" i="4" s="1"/>
  <c r="BP162" i="4"/>
  <c r="BP163" i="4"/>
  <c r="BP73" i="4"/>
  <c r="BX73" i="4" s="1"/>
  <c r="BP80" i="4"/>
  <c r="BP88" i="4"/>
  <c r="BP90" i="4"/>
  <c r="BP105" i="4"/>
  <c r="BP106" i="4"/>
  <c r="BP112" i="4"/>
  <c r="BP142" i="4"/>
  <c r="BX142" i="4" s="1"/>
  <c r="BP143" i="4"/>
  <c r="BX143" i="4" s="1"/>
  <c r="BP150" i="4"/>
  <c r="BX150" i="4" s="1"/>
  <c r="BP151" i="4"/>
  <c r="BP152" i="4"/>
  <c r="BP153" i="4"/>
  <c r="BX153" i="4" s="1"/>
  <c r="BP154" i="4"/>
  <c r="BP155" i="4"/>
  <c r="BP156" i="4"/>
  <c r="BP157" i="4"/>
  <c r="BX157" i="4" s="1"/>
  <c r="BP158" i="4"/>
  <c r="BX158" i="4" s="1"/>
  <c r="BP159" i="4"/>
  <c r="BP199" i="4"/>
  <c r="BP68" i="4"/>
  <c r="BP114" i="4"/>
  <c r="BX114" i="4" s="1"/>
  <c r="BP138" i="4"/>
  <c r="BP147" i="4"/>
  <c r="BP164" i="4"/>
  <c r="BP170" i="4"/>
  <c r="BP174" i="4"/>
  <c r="BP178" i="4"/>
  <c r="BP182" i="4"/>
  <c r="BX182" i="4" s="1"/>
  <c r="BP184" i="4"/>
  <c r="BP193" i="4"/>
  <c r="BP195" i="4"/>
  <c r="BP198" i="4"/>
  <c r="BX198" i="4" s="1"/>
  <c r="BP94" i="4"/>
  <c r="BP118" i="4"/>
  <c r="BP119" i="4"/>
  <c r="BP120" i="4"/>
  <c r="BX120" i="4" s="1"/>
  <c r="BP127" i="4"/>
  <c r="BP128" i="4"/>
  <c r="BP130" i="4"/>
  <c r="BP131" i="4"/>
  <c r="BX131" i="4" s="1"/>
  <c r="BP141" i="4"/>
  <c r="BP148" i="4"/>
  <c r="BX148" i="4" s="1"/>
  <c r="BP160" i="4"/>
  <c r="BP166" i="4"/>
  <c r="BP171" i="4"/>
  <c r="BX171" i="4" s="1"/>
  <c r="BP175" i="4"/>
  <c r="BP179" i="4"/>
  <c r="BX179" i="4" s="1"/>
  <c r="BP189" i="4"/>
  <c r="BX189" i="4" s="1"/>
  <c r="BP191" i="4"/>
  <c r="BP194" i="4"/>
  <c r="BX194" i="4" s="1"/>
  <c r="BP92" i="4"/>
  <c r="BP96" i="4"/>
  <c r="BP129" i="4"/>
  <c r="BX129" i="4" s="1"/>
  <c r="BP139" i="4"/>
  <c r="BP146" i="4"/>
  <c r="BP165" i="4"/>
  <c r="BP167" i="4"/>
  <c r="BP168" i="4"/>
  <c r="BX168" i="4" s="1"/>
  <c r="BP172" i="4"/>
  <c r="BP176" i="4"/>
  <c r="BP180" i="4"/>
  <c r="BP185" i="4"/>
  <c r="BP187" i="4"/>
  <c r="BP190" i="4"/>
  <c r="BP192" i="4"/>
  <c r="BP123" i="4"/>
  <c r="BP140" i="4"/>
  <c r="BX140" i="4" s="1"/>
  <c r="BP181" i="4"/>
  <c r="BX181" i="4" s="1"/>
  <c r="BP186" i="4"/>
  <c r="BP93" i="4"/>
  <c r="BX93" i="4" s="1"/>
  <c r="BP124" i="4"/>
  <c r="BX124" i="4" s="1"/>
  <c r="BP149" i="4"/>
  <c r="BX149" i="4" s="1"/>
  <c r="BP169" i="4"/>
  <c r="BX169" i="4" s="1"/>
  <c r="BP183" i="4"/>
  <c r="BP188" i="4"/>
  <c r="BP196" i="4"/>
  <c r="BP197" i="4"/>
  <c r="BP177" i="4"/>
  <c r="BX177" i="4" s="1"/>
  <c r="BP173" i="4"/>
  <c r="BX40" i="4"/>
  <c r="BX42" i="4"/>
  <c r="BR38" i="4"/>
  <c r="BS49" i="4"/>
  <c r="BS50" i="4"/>
  <c r="BS52" i="4"/>
  <c r="BS54" i="4"/>
  <c r="BS55" i="4"/>
  <c r="BS75" i="4"/>
  <c r="BS80" i="4"/>
  <c r="BS88" i="4"/>
  <c r="BS90" i="4"/>
  <c r="BX90" i="4"/>
  <c r="BR109" i="4"/>
  <c r="BR121" i="4"/>
  <c r="BX156" i="4"/>
  <c r="BR129" i="4"/>
  <c r="BS129" i="4"/>
  <c r="BS173" i="4"/>
  <c r="BR141" i="4"/>
  <c r="BR143" i="4"/>
  <c r="BS42" i="4"/>
  <c r="BS189" i="4"/>
  <c r="BR149" i="4"/>
  <c r="BR145" i="4"/>
  <c r="BR139" i="4"/>
  <c r="BS96" i="4"/>
  <c r="BS76" i="4"/>
  <c r="BS40" i="4"/>
  <c r="BR67" i="4"/>
  <c r="BR56" i="4"/>
  <c r="BS44" i="4"/>
  <c r="BS169" i="4"/>
  <c r="BS185" i="4"/>
  <c r="BS179" i="4"/>
  <c r="BS117" i="4"/>
  <c r="BT131" i="4"/>
  <c r="BS107" i="4"/>
  <c r="BS78" i="4"/>
  <c r="BT114" i="4"/>
  <c r="BR54" i="4"/>
  <c r="BS72" i="4"/>
  <c r="BR50" i="4"/>
  <c r="CA50" i="4" s="1"/>
  <c r="BS153" i="4"/>
  <c r="BQ45" i="4"/>
  <c r="BQ46" i="4"/>
  <c r="BQ47" i="4"/>
  <c r="BQ48" i="4"/>
  <c r="BQ50" i="4"/>
  <c r="BQ57" i="4"/>
  <c r="BQ58" i="4"/>
  <c r="BQ63" i="4"/>
  <c r="BQ39" i="4"/>
  <c r="BQ41" i="4"/>
  <c r="BQ43" i="4"/>
  <c r="BQ44" i="4"/>
  <c r="BQ49" i="4"/>
  <c r="BQ53" i="4"/>
  <c r="BQ55" i="4"/>
  <c r="BQ56" i="4"/>
  <c r="BQ60" i="4"/>
  <c r="BQ51" i="4"/>
  <c r="BQ64" i="4"/>
  <c r="BQ66" i="4"/>
  <c r="BQ67" i="4"/>
  <c r="BY67" i="4" s="1"/>
  <c r="BQ68" i="4"/>
  <c r="BQ69" i="4"/>
  <c r="BQ72" i="4"/>
  <c r="BQ73" i="4"/>
  <c r="BQ52" i="4"/>
  <c r="BQ54" i="4"/>
  <c r="BQ38" i="4"/>
  <c r="BQ42" i="4"/>
  <c r="BQ77" i="4"/>
  <c r="BQ59" i="4"/>
  <c r="BQ61" i="4"/>
  <c r="BQ74" i="4"/>
  <c r="BQ78" i="4"/>
  <c r="BQ79" i="4"/>
  <c r="BQ85" i="4"/>
  <c r="BQ86" i="4"/>
  <c r="BQ99" i="4"/>
  <c r="BQ103" i="4"/>
  <c r="BQ108" i="4"/>
  <c r="BQ112" i="4"/>
  <c r="BQ114" i="4"/>
  <c r="BQ116" i="4"/>
  <c r="BQ118" i="4"/>
  <c r="BQ65" i="4"/>
  <c r="BQ80" i="4"/>
  <c r="BQ82" i="4"/>
  <c r="BQ88" i="4"/>
  <c r="BQ90" i="4"/>
  <c r="BQ92" i="4"/>
  <c r="BQ96" i="4"/>
  <c r="BQ105" i="4"/>
  <c r="BQ106" i="4"/>
  <c r="BQ107" i="4"/>
  <c r="BQ40" i="4"/>
  <c r="BQ62" i="4"/>
  <c r="BQ70" i="4"/>
  <c r="BQ75" i="4"/>
  <c r="BQ83" i="4"/>
  <c r="BQ71" i="4"/>
  <c r="BQ76" i="4"/>
  <c r="BQ81" i="4"/>
  <c r="BQ87" i="4"/>
  <c r="BQ89" i="4"/>
  <c r="BQ91" i="4"/>
  <c r="BQ93" i="4"/>
  <c r="BQ94" i="4"/>
  <c r="BQ98" i="4"/>
  <c r="BQ100" i="4"/>
  <c r="BQ101" i="4"/>
  <c r="BQ102" i="4"/>
  <c r="BQ97" i="4"/>
  <c r="BQ117" i="4"/>
  <c r="BQ129" i="4"/>
  <c r="BQ133" i="4"/>
  <c r="BQ138" i="4"/>
  <c r="BQ139" i="4"/>
  <c r="BQ146" i="4"/>
  <c r="BQ147" i="4"/>
  <c r="BQ164" i="4"/>
  <c r="BQ165" i="4"/>
  <c r="BQ104" i="4"/>
  <c r="BQ113" i="4"/>
  <c r="BQ121" i="4"/>
  <c r="BQ122" i="4"/>
  <c r="BQ125" i="4"/>
  <c r="BQ126" i="4"/>
  <c r="BQ134" i="4"/>
  <c r="BQ136" i="4"/>
  <c r="BQ137" i="4"/>
  <c r="BQ144" i="4"/>
  <c r="BQ145" i="4"/>
  <c r="BQ161" i="4"/>
  <c r="BQ162" i="4"/>
  <c r="BQ163" i="4"/>
  <c r="BQ183" i="4"/>
  <c r="BQ184" i="4"/>
  <c r="BQ187" i="4"/>
  <c r="BQ188" i="4"/>
  <c r="BQ191" i="4"/>
  <c r="BQ192" i="4"/>
  <c r="BQ195" i="4"/>
  <c r="BQ196" i="4"/>
  <c r="BQ198" i="4"/>
  <c r="BQ95" i="4"/>
  <c r="BY95" i="4" s="1"/>
  <c r="BQ123" i="4"/>
  <c r="BQ124" i="4"/>
  <c r="BQ140" i="4"/>
  <c r="BQ149" i="4"/>
  <c r="BQ169" i="4"/>
  <c r="BQ173" i="4"/>
  <c r="BQ177" i="4"/>
  <c r="BQ181" i="4"/>
  <c r="BQ186" i="4"/>
  <c r="BQ109" i="4"/>
  <c r="BQ143" i="4"/>
  <c r="BQ150" i="4"/>
  <c r="BQ152" i="4"/>
  <c r="BQ154" i="4"/>
  <c r="BQ156" i="4"/>
  <c r="BQ158" i="4"/>
  <c r="BQ170" i="4"/>
  <c r="BQ174" i="4"/>
  <c r="BQ178" i="4"/>
  <c r="BQ182" i="4"/>
  <c r="BQ193" i="4"/>
  <c r="BQ84" i="4"/>
  <c r="BQ111" i="4"/>
  <c r="BQ119" i="4"/>
  <c r="BQ120" i="4"/>
  <c r="BQ127" i="4"/>
  <c r="BQ128" i="4"/>
  <c r="BQ130" i="4"/>
  <c r="BQ131" i="4"/>
  <c r="BQ132" i="4"/>
  <c r="BQ141" i="4"/>
  <c r="BQ148" i="4"/>
  <c r="BQ160" i="4"/>
  <c r="BQ166" i="4"/>
  <c r="BQ171" i="4"/>
  <c r="BQ175" i="4"/>
  <c r="BQ179" i="4"/>
  <c r="BQ189" i="4"/>
  <c r="BQ194" i="4"/>
  <c r="BQ197" i="4"/>
  <c r="BQ110" i="4"/>
  <c r="BQ115" i="4"/>
  <c r="BQ151" i="4"/>
  <c r="BQ159" i="4"/>
  <c r="BQ172" i="4"/>
  <c r="BQ199" i="4"/>
  <c r="BQ142" i="4"/>
  <c r="BQ153" i="4"/>
  <c r="BQ168" i="4"/>
  <c r="BQ135" i="4"/>
  <c r="BQ157" i="4"/>
  <c r="BQ167" i="4"/>
  <c r="BQ176" i="4"/>
  <c r="BQ155" i="4"/>
  <c r="BQ180" i="4"/>
  <c r="BQ185" i="4"/>
  <c r="BQ190" i="4"/>
  <c r="BR59" i="4"/>
  <c r="BR64" i="4"/>
  <c r="BR45" i="4"/>
  <c r="BR47" i="4"/>
  <c r="BR48" i="4"/>
  <c r="BR57" i="4"/>
  <c r="BR63" i="4"/>
  <c r="BR62" i="4"/>
  <c r="BR39" i="4"/>
  <c r="BR43" i="4"/>
  <c r="BR49" i="4"/>
  <c r="BR53" i="4"/>
  <c r="BR69" i="4"/>
  <c r="BR71" i="4"/>
  <c r="BR76" i="4"/>
  <c r="BR80" i="4"/>
  <c r="BR81" i="4"/>
  <c r="BR87" i="4"/>
  <c r="BR88" i="4"/>
  <c r="BR89" i="4"/>
  <c r="BR90" i="4"/>
  <c r="BR91" i="4"/>
  <c r="BR92" i="4"/>
  <c r="BR93" i="4"/>
  <c r="BR60" i="4"/>
  <c r="BR66" i="4"/>
  <c r="BR77" i="4"/>
  <c r="BR100" i="4"/>
  <c r="BR104" i="4"/>
  <c r="BR68" i="4"/>
  <c r="BR73" i="4"/>
  <c r="BR95" i="4"/>
  <c r="BR114" i="4"/>
  <c r="BR118" i="4"/>
  <c r="BR130" i="4"/>
  <c r="BR74" i="4"/>
  <c r="BR85" i="4"/>
  <c r="BR70" i="4"/>
  <c r="BR75" i="4"/>
  <c r="BR83" i="4"/>
  <c r="BR97" i="4"/>
  <c r="BR99" i="4"/>
  <c r="BR72" i="4"/>
  <c r="BR79" i="4"/>
  <c r="BR96" i="4"/>
  <c r="BR120" i="4"/>
  <c r="BR124" i="4"/>
  <c r="BR128" i="4"/>
  <c r="BR132" i="4"/>
  <c r="BR140" i="4"/>
  <c r="BR148" i="4"/>
  <c r="BR160" i="4"/>
  <c r="BR98" i="4"/>
  <c r="BR101" i="4"/>
  <c r="BR102" i="4"/>
  <c r="BR103" i="4"/>
  <c r="BR116" i="4"/>
  <c r="BR138" i="4"/>
  <c r="BR146" i="4"/>
  <c r="BR164" i="4"/>
  <c r="BR165" i="4"/>
  <c r="BR166" i="4"/>
  <c r="BR55" i="4"/>
  <c r="BR142" i="4"/>
  <c r="BR151" i="4"/>
  <c r="BR153" i="4"/>
  <c r="BR155" i="4"/>
  <c r="BR157" i="4"/>
  <c r="BR159" i="4"/>
  <c r="BR168" i="4"/>
  <c r="BR172" i="4"/>
  <c r="BR176" i="4"/>
  <c r="BR180" i="4"/>
  <c r="BR183" i="4"/>
  <c r="BR185" i="4"/>
  <c r="BR188" i="4"/>
  <c r="BR190" i="4"/>
  <c r="BR61" i="4"/>
  <c r="BR112" i="4"/>
  <c r="BR126" i="4"/>
  <c r="BR136" i="4"/>
  <c r="BR162" i="4"/>
  <c r="BR169" i="4"/>
  <c r="BR173" i="4"/>
  <c r="BR177" i="4"/>
  <c r="BR181" i="4"/>
  <c r="BR184" i="4"/>
  <c r="BR186" i="4"/>
  <c r="BR195" i="4"/>
  <c r="BR78" i="4"/>
  <c r="BR94" i="4"/>
  <c r="BR150" i="4"/>
  <c r="BR152" i="4"/>
  <c r="BR154" i="4"/>
  <c r="BR156" i="4"/>
  <c r="BR158" i="4"/>
  <c r="BR170" i="4"/>
  <c r="BR174" i="4"/>
  <c r="BR178" i="4"/>
  <c r="BR182" i="4"/>
  <c r="BR191" i="4"/>
  <c r="BR193" i="4"/>
  <c r="BR196" i="4"/>
  <c r="BR134" i="4"/>
  <c r="BR179" i="4"/>
  <c r="BR189" i="4"/>
  <c r="BR194" i="4"/>
  <c r="BR122" i="4"/>
  <c r="BR175" i="4"/>
  <c r="BR192" i="4"/>
  <c r="BR86" i="4"/>
  <c r="BR161" i="4"/>
  <c r="BR187" i="4"/>
  <c r="BR144" i="4"/>
  <c r="BR163" i="4"/>
  <c r="BR171" i="4"/>
  <c r="BS51" i="4"/>
  <c r="BS53" i="4"/>
  <c r="BS71" i="4"/>
  <c r="BS45" i="4"/>
  <c r="BS47" i="4"/>
  <c r="BS65" i="4"/>
  <c r="BS73" i="4"/>
  <c r="BS69" i="4"/>
  <c r="BS39" i="4"/>
  <c r="BS120" i="4"/>
  <c r="BS122" i="4"/>
  <c r="BS124" i="4"/>
  <c r="BS126" i="4"/>
  <c r="BS128" i="4"/>
  <c r="BS110" i="4"/>
  <c r="BS114" i="4"/>
  <c r="BS182" i="4"/>
  <c r="BS190" i="4"/>
  <c r="BS194" i="4"/>
  <c r="BS192" i="4"/>
  <c r="BS188" i="4"/>
  <c r="BS112" i="4"/>
  <c r="BS118" i="4"/>
  <c r="BS108" i="4"/>
  <c r="BS116" i="4"/>
  <c r="BS67" i="4"/>
  <c r="BS106" i="4"/>
  <c r="BS196" i="4"/>
  <c r="BX54" i="4"/>
  <c r="BX67" i="4"/>
  <c r="BX56" i="4"/>
  <c r="BX95" i="4"/>
  <c r="BX91" i="4"/>
  <c r="BX97" i="4"/>
  <c r="BX163" i="4"/>
  <c r="BX147" i="4"/>
  <c r="BX172" i="4"/>
  <c r="BX71" i="4"/>
  <c r="BX89" i="4"/>
  <c r="BX190" i="4"/>
  <c r="BX178" i="4"/>
  <c r="BR42" i="4"/>
  <c r="BR44" i="4"/>
  <c r="BX45" i="4"/>
  <c r="BX50" i="4"/>
  <c r="BX52" i="4"/>
  <c r="BS59" i="4"/>
  <c r="BX62" i="4"/>
  <c r="BX78" i="4"/>
  <c r="BS64" i="4"/>
  <c r="BS84" i="4"/>
  <c r="BX94" i="4"/>
  <c r="BS99" i="4"/>
  <c r="BS100" i="4"/>
  <c r="BS103" i="4"/>
  <c r="BX104" i="4"/>
  <c r="BX109" i="4"/>
  <c r="BR105" i="4"/>
  <c r="BX106" i="4"/>
  <c r="BX108" i="4"/>
  <c r="BR113" i="4"/>
  <c r="BR115" i="4"/>
  <c r="BR125" i="4"/>
  <c r="BX132" i="4"/>
  <c r="BX173" i="4"/>
  <c r="BX185" i="4"/>
  <c r="BX197" i="4"/>
  <c r="BS160" i="4"/>
  <c r="BS198" i="4"/>
  <c r="BS193" i="4"/>
  <c r="BS199" i="4"/>
  <c r="BS181" i="4"/>
  <c r="BS125" i="4"/>
  <c r="BR167" i="4"/>
  <c r="BS197" i="4"/>
  <c r="BS175" i="4"/>
  <c r="BS111" i="4"/>
  <c r="BS195" i="4"/>
  <c r="BS187" i="4"/>
  <c r="BR137" i="4"/>
  <c r="BS123" i="4"/>
  <c r="BR147" i="4"/>
  <c r="BR135" i="4"/>
  <c r="BR106" i="4"/>
  <c r="BS74" i="4"/>
  <c r="BS38" i="4"/>
  <c r="BS98" i="4"/>
  <c r="BT112" i="4"/>
  <c r="BS86" i="4"/>
  <c r="BS66" i="4"/>
  <c r="BS70" i="4"/>
  <c r="BR52" i="4"/>
  <c r="BT51" i="4"/>
  <c r="BM37" i="4"/>
  <c r="BQ37" i="4"/>
  <c r="BJ37" i="4"/>
  <c r="BN37" i="4"/>
  <c r="BK37" i="4"/>
  <c r="BO37" i="4"/>
  <c r="BL37" i="4"/>
  <c r="BP37" i="4"/>
  <c r="BM33" i="4"/>
  <c r="BQ33" i="4"/>
  <c r="BJ33" i="4"/>
  <c r="BN33" i="4"/>
  <c r="BK33" i="4"/>
  <c r="BO33" i="4"/>
  <c r="BL33" i="4"/>
  <c r="BP33" i="4"/>
  <c r="BM34" i="4"/>
  <c r="BQ34" i="4"/>
  <c r="BJ34" i="4"/>
  <c r="BR34" i="4" s="1"/>
  <c r="BN34" i="4"/>
  <c r="BK34" i="4"/>
  <c r="BO34" i="4"/>
  <c r="BL34" i="4"/>
  <c r="BP34" i="4"/>
  <c r="BJ32" i="4"/>
  <c r="BN32" i="4"/>
  <c r="BK32" i="4"/>
  <c r="BO32" i="4"/>
  <c r="BL32" i="4"/>
  <c r="BP32" i="4"/>
  <c r="BM32" i="4"/>
  <c r="BQ32" i="4"/>
  <c r="BL36" i="4"/>
  <c r="BP36" i="4"/>
  <c r="BM36" i="4"/>
  <c r="BQ36" i="4"/>
  <c r="BJ36" i="4"/>
  <c r="BN36" i="4"/>
  <c r="BK36" i="4"/>
  <c r="BO36" i="4"/>
  <c r="BM35" i="4"/>
  <c r="BQ35" i="4"/>
  <c r="BJ35" i="4"/>
  <c r="BR35" i="4" s="1"/>
  <c r="BN35" i="4"/>
  <c r="BK35" i="4"/>
  <c r="BO35" i="4"/>
  <c r="BL35" i="4"/>
  <c r="BP35" i="4"/>
  <c r="CA129"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B32" i="4"/>
  <c r="A32" i="4"/>
  <c r="B3" i="4"/>
  <c r="B4" i="4"/>
  <c r="B5" i="4"/>
  <c r="B6"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H1" i="4"/>
  <c r="G1" i="4"/>
  <c r="F1" i="4"/>
  <c r="E1" i="4"/>
  <c r="D1" i="4"/>
  <c r="BY106" i="4" l="1"/>
  <c r="BY156" i="4"/>
  <c r="BY71" i="4"/>
  <c r="BY108" i="4"/>
  <c r="CA64" i="4"/>
  <c r="BY124" i="4"/>
  <c r="BX193" i="4"/>
  <c r="BX100" i="4"/>
  <c r="BY128" i="4"/>
  <c r="BZ121" i="4"/>
  <c r="BY66" i="4"/>
  <c r="BX188" i="4"/>
  <c r="BX199" i="4"/>
  <c r="BZ42" i="4"/>
  <c r="BX167" i="4"/>
  <c r="BX137" i="4"/>
  <c r="BS137" i="4"/>
  <c r="BX186" i="4"/>
  <c r="BS184" i="4"/>
  <c r="BY81" i="4"/>
  <c r="BY114" i="4"/>
  <c r="BX112" i="4"/>
  <c r="BX176" i="4"/>
  <c r="BX164" i="4"/>
  <c r="BX105" i="4"/>
  <c r="BX184" i="4"/>
  <c r="CA178" i="4"/>
  <c r="CA88" i="4"/>
  <c r="CA49" i="4"/>
  <c r="BY112" i="4"/>
  <c r="BZ109" i="4"/>
  <c r="J4" i="4"/>
  <c r="E4" i="4"/>
  <c r="I4" i="4"/>
  <c r="N4" i="4"/>
  <c r="R4" i="4"/>
  <c r="V4" i="4"/>
  <c r="Z4" i="4"/>
  <c r="AD4" i="4"/>
  <c r="AH4" i="4"/>
  <c r="AL4" i="4"/>
  <c r="AP4" i="4"/>
  <c r="AT4" i="4"/>
  <c r="AX4" i="4"/>
  <c r="F4" i="4"/>
  <c r="K4" i="4"/>
  <c r="O4" i="4"/>
  <c r="S4" i="4"/>
  <c r="W4" i="4"/>
  <c r="AA4" i="4"/>
  <c r="AE4" i="4"/>
  <c r="AI4" i="4"/>
  <c r="AM4" i="4"/>
  <c r="AU4" i="4"/>
  <c r="AY4" i="4"/>
  <c r="AQ4" i="4"/>
  <c r="G4" i="4"/>
  <c r="P4" i="4"/>
  <c r="X4" i="4"/>
  <c r="AF4" i="4"/>
  <c r="AN4" i="4"/>
  <c r="AV4" i="4"/>
  <c r="L4" i="4"/>
  <c r="T4" i="4"/>
  <c r="AB4" i="4"/>
  <c r="AJ4" i="4"/>
  <c r="AR4" i="4"/>
  <c r="AZ4" i="4"/>
  <c r="H4" i="4"/>
  <c r="Y4" i="4"/>
  <c r="AO4" i="4"/>
  <c r="M4" i="4"/>
  <c r="AC4" i="4"/>
  <c r="AS4" i="4"/>
  <c r="D4" i="4"/>
  <c r="U4" i="4"/>
  <c r="AK4" i="4"/>
  <c r="BA4" i="4"/>
  <c r="Q4" i="4"/>
  <c r="AG4" i="4"/>
  <c r="AW4" i="4"/>
  <c r="BF4" i="4"/>
  <c r="BG4" i="4"/>
  <c r="BD4" i="4"/>
  <c r="BE4" i="4"/>
  <c r="BH4" i="4"/>
  <c r="BX113" i="4"/>
  <c r="CA145" i="4"/>
  <c r="BX133" i="4"/>
  <c r="G3" i="4"/>
  <c r="K3" i="4"/>
  <c r="O3" i="4"/>
  <c r="S3" i="4"/>
  <c r="W3" i="4"/>
  <c r="AA3" i="4"/>
  <c r="AE3" i="4"/>
  <c r="AI3" i="4"/>
  <c r="AM3" i="4"/>
  <c r="AQ3" i="4"/>
  <c r="AU3" i="4"/>
  <c r="AY3" i="4"/>
  <c r="D3" i="4"/>
  <c r="H3" i="4"/>
  <c r="L3" i="4"/>
  <c r="P3" i="4"/>
  <c r="T3" i="4"/>
  <c r="X3" i="4"/>
  <c r="AB3" i="4"/>
  <c r="AF3" i="4"/>
  <c r="AJ3" i="4"/>
  <c r="AN3" i="4"/>
  <c r="AR3" i="4"/>
  <c r="AV3" i="4"/>
  <c r="AZ3" i="4"/>
  <c r="AG3" i="4"/>
  <c r="AO3" i="4"/>
  <c r="AW3" i="4"/>
  <c r="E3" i="4"/>
  <c r="I3" i="4"/>
  <c r="M3" i="4"/>
  <c r="Q3" i="4"/>
  <c r="U3" i="4"/>
  <c r="Y3" i="4"/>
  <c r="AC3" i="4"/>
  <c r="AK3" i="4"/>
  <c r="AS3" i="4"/>
  <c r="BA3" i="4"/>
  <c r="J3" i="4"/>
  <c r="Z3" i="4"/>
  <c r="AP3" i="4"/>
  <c r="N3" i="4"/>
  <c r="AD3" i="4"/>
  <c r="AT3" i="4"/>
  <c r="F3" i="4"/>
  <c r="V3" i="4"/>
  <c r="AL3" i="4"/>
  <c r="R3" i="4"/>
  <c r="AH3" i="4"/>
  <c r="AX3" i="4"/>
  <c r="BG3" i="4"/>
  <c r="BD3" i="4"/>
  <c r="BH3" i="4"/>
  <c r="BF3" i="4"/>
  <c r="BE3" i="4"/>
  <c r="F6" i="4"/>
  <c r="J6" i="4"/>
  <c r="N6" i="4"/>
  <c r="R6" i="4"/>
  <c r="V6" i="4"/>
  <c r="Z6" i="4"/>
  <c r="AD6" i="4"/>
  <c r="AH6" i="4"/>
  <c r="AL6" i="4"/>
  <c r="AP6" i="4"/>
  <c r="AT6" i="4"/>
  <c r="AX6" i="4"/>
  <c r="G6" i="4"/>
  <c r="O6" i="4"/>
  <c r="W6" i="4"/>
  <c r="AA6" i="4"/>
  <c r="AI6" i="4"/>
  <c r="AQ6" i="4"/>
  <c r="AU6" i="4"/>
  <c r="AB6" i="4"/>
  <c r="K6" i="4"/>
  <c r="S6" i="4"/>
  <c r="AE6" i="4"/>
  <c r="AM6" i="4"/>
  <c r="AY6" i="4"/>
  <c r="D6" i="4"/>
  <c r="L6" i="4"/>
  <c r="T6" i="4"/>
  <c r="X6" i="4"/>
  <c r="AJ6" i="4"/>
  <c r="AR6" i="4"/>
  <c r="AZ6" i="4"/>
  <c r="H6" i="4"/>
  <c r="P6" i="4"/>
  <c r="AF6" i="4"/>
  <c r="AN6" i="4"/>
  <c r="AV6" i="4"/>
  <c r="E6" i="4"/>
  <c r="U6" i="4"/>
  <c r="AK6" i="4"/>
  <c r="BA6" i="4"/>
  <c r="I6" i="4"/>
  <c r="Y6" i="4"/>
  <c r="AO6" i="4"/>
  <c r="AG6" i="4"/>
  <c r="AW6" i="4"/>
  <c r="Q6" i="4"/>
  <c r="M6" i="4"/>
  <c r="AC6" i="4"/>
  <c r="AS6" i="4"/>
  <c r="BD6" i="4"/>
  <c r="BH6" i="4"/>
  <c r="BE6" i="4"/>
  <c r="BG6" i="4"/>
  <c r="BF6" i="4"/>
  <c r="D5" i="4"/>
  <c r="H5" i="4"/>
  <c r="L5" i="4"/>
  <c r="P5" i="4"/>
  <c r="T5" i="4"/>
  <c r="X5" i="4"/>
  <c r="AB5" i="4"/>
  <c r="AF5" i="4"/>
  <c r="AJ5" i="4"/>
  <c r="AN5" i="4"/>
  <c r="AR5" i="4"/>
  <c r="AV5" i="4"/>
  <c r="AZ5" i="4"/>
  <c r="E5" i="4"/>
  <c r="I5" i="4"/>
  <c r="M5" i="4"/>
  <c r="Q5" i="4"/>
  <c r="U5" i="4"/>
  <c r="Y5" i="4"/>
  <c r="AG5" i="4"/>
  <c r="AK5" i="4"/>
  <c r="AO5" i="4"/>
  <c r="AW5" i="4"/>
  <c r="Z5" i="4"/>
  <c r="AC5" i="4"/>
  <c r="AS5" i="4"/>
  <c r="BA5" i="4"/>
  <c r="F5" i="4"/>
  <c r="R5" i="4"/>
  <c r="AD5" i="4"/>
  <c r="AL5" i="4"/>
  <c r="AT5" i="4"/>
  <c r="J5" i="4"/>
  <c r="N5" i="4"/>
  <c r="V5" i="4"/>
  <c r="AH5" i="4"/>
  <c r="AP5" i="4"/>
  <c r="AX5" i="4"/>
  <c r="G5" i="4"/>
  <c r="W5" i="4"/>
  <c r="AM5" i="4"/>
  <c r="K5" i="4"/>
  <c r="AA5" i="4"/>
  <c r="AQ5" i="4"/>
  <c r="S5" i="4"/>
  <c r="AI5" i="4"/>
  <c r="AY5" i="4"/>
  <c r="O5" i="4"/>
  <c r="AE5" i="4"/>
  <c r="AU5" i="4"/>
  <c r="BE5" i="4"/>
  <c r="BF5" i="4"/>
  <c r="BG5" i="4"/>
  <c r="BD5" i="4"/>
  <c r="BH5" i="4"/>
  <c r="BY120" i="4"/>
  <c r="BY152" i="4"/>
  <c r="BY187" i="4"/>
  <c r="CA137" i="4"/>
  <c r="BZ129" i="4"/>
  <c r="BY101" i="4"/>
  <c r="BY75" i="4"/>
  <c r="CA99" i="4"/>
  <c r="BY78" i="4"/>
  <c r="BY77" i="4"/>
  <c r="CA52" i="4"/>
  <c r="BY57" i="4"/>
  <c r="CA149" i="4"/>
  <c r="CA55" i="4"/>
  <c r="BY161" i="4"/>
  <c r="BS41" i="4"/>
  <c r="BX192" i="4"/>
  <c r="BY118" i="4"/>
  <c r="BY61" i="4"/>
  <c r="BX139" i="4"/>
  <c r="BX159" i="4"/>
  <c r="BX155" i="4"/>
  <c r="BX151" i="4"/>
  <c r="BS33" i="4"/>
  <c r="CA160" i="4"/>
  <c r="BZ113" i="4"/>
  <c r="BX183" i="4"/>
  <c r="BV71" i="4"/>
  <c r="BR41" i="4"/>
  <c r="CA190" i="4"/>
  <c r="BZ160" i="4"/>
  <c r="BZ186" i="4"/>
  <c r="BZ125" i="4"/>
  <c r="BZ93" i="4"/>
  <c r="BZ53" i="4"/>
  <c r="CA162" i="4"/>
  <c r="CA122" i="4"/>
  <c r="CA164" i="4"/>
  <c r="BX180" i="4"/>
  <c r="BX121" i="4"/>
  <c r="BS60" i="4"/>
  <c r="BX162" i="4"/>
  <c r="BX33" i="4"/>
  <c r="CA126" i="4"/>
  <c r="BY116" i="4"/>
  <c r="CA103" i="4"/>
  <c r="BY55" i="4"/>
  <c r="BX145" i="4"/>
  <c r="BX191" i="4"/>
  <c r="BX174" i="4"/>
  <c r="CA141" i="4"/>
  <c r="BZ180" i="4"/>
  <c r="CA72" i="4"/>
  <c r="BZ44" i="4"/>
  <c r="BZ149" i="4"/>
  <c r="BY176" i="4"/>
  <c r="CA120" i="4"/>
  <c r="CA47" i="4"/>
  <c r="BV36" i="4"/>
  <c r="BX141" i="4"/>
  <c r="BS186" i="4"/>
  <c r="BZ115" i="4"/>
  <c r="BY154" i="4"/>
  <c r="BZ163" i="4"/>
  <c r="BZ147" i="4"/>
  <c r="BY102" i="4"/>
  <c r="CA59" i="4"/>
  <c r="BZ54" i="4"/>
  <c r="BT116" i="4"/>
  <c r="BS121" i="4"/>
  <c r="BX47" i="4"/>
  <c r="BX41" i="4"/>
  <c r="CA53" i="4"/>
  <c r="BZ187" i="4"/>
  <c r="BZ136" i="4"/>
  <c r="BZ166" i="4"/>
  <c r="BZ195" i="4"/>
  <c r="BZ144" i="4"/>
  <c r="BZ189" i="4"/>
  <c r="BZ181" i="4"/>
  <c r="BZ177" i="4"/>
  <c r="BZ173" i="4"/>
  <c r="BZ148" i="4"/>
  <c r="BZ158" i="4"/>
  <c r="BZ154" i="4"/>
  <c r="BZ150" i="4"/>
  <c r="BZ85" i="4"/>
  <c r="BZ80" i="4"/>
  <c r="BZ94" i="4"/>
  <c r="BZ90" i="4"/>
  <c r="CA73" i="4"/>
  <c r="BZ169" i="4"/>
  <c r="CA41" i="4"/>
  <c r="CA112" i="4"/>
  <c r="BZ146" i="4"/>
  <c r="BZ168" i="4"/>
  <c r="BZ104" i="4"/>
  <c r="BZ81" i="4"/>
  <c r="BZ83" i="4"/>
  <c r="BZ74" i="4"/>
  <c r="BZ55" i="4"/>
  <c r="BZ62" i="4"/>
  <c r="BT118" i="4"/>
  <c r="CB118" i="4" s="1"/>
  <c r="BT158" i="4"/>
  <c r="BW162" i="4"/>
  <c r="BT155" i="4"/>
  <c r="CB155" i="4" s="1"/>
  <c r="BT167" i="4"/>
  <c r="BT122" i="4"/>
  <c r="BY125" i="4"/>
  <c r="BT72" i="4"/>
  <c r="CB72" i="4" s="1"/>
  <c r="BT46" i="4"/>
  <c r="BX37" i="4"/>
  <c r="CA186" i="4"/>
  <c r="BY122" i="4"/>
  <c r="BY100" i="4"/>
  <c r="CA39" i="4"/>
  <c r="CA45" i="4"/>
  <c r="CA114" i="4"/>
  <c r="BZ162" i="4"/>
  <c r="BZ132" i="4"/>
  <c r="BZ193" i="4"/>
  <c r="BZ185" i="4"/>
  <c r="BZ179" i="4"/>
  <c r="BZ175" i="4"/>
  <c r="BZ140" i="4"/>
  <c r="BZ156" i="4"/>
  <c r="BZ152" i="4"/>
  <c r="BZ142" i="4"/>
  <c r="BZ68" i="4"/>
  <c r="BZ96" i="4"/>
  <c r="BZ92" i="4"/>
  <c r="BZ88" i="4"/>
  <c r="BZ43" i="4"/>
  <c r="BT53" i="4"/>
  <c r="BT184" i="4"/>
  <c r="CB184" i="4" s="1"/>
  <c r="BT120" i="4"/>
  <c r="BT176" i="4"/>
  <c r="BT143" i="4"/>
  <c r="BT194" i="4"/>
  <c r="CB194" i="4" s="1"/>
  <c r="BT153" i="4"/>
  <c r="BY113" i="4"/>
  <c r="BT117" i="4"/>
  <c r="BT69" i="4"/>
  <c r="CB69" i="4" s="1"/>
  <c r="BT123" i="4"/>
  <c r="BY115" i="4"/>
  <c r="BW99" i="4"/>
  <c r="BT80" i="4"/>
  <c r="CB80" i="4" s="1"/>
  <c r="BS68" i="4"/>
  <c r="CA68" i="4" s="1"/>
  <c r="BT92" i="4"/>
  <c r="BT88" i="4"/>
  <c r="CB88" i="4" s="1"/>
  <c r="BT67" i="4"/>
  <c r="BT49" i="4"/>
  <c r="BT50" i="4"/>
  <c r="BZ98" i="4"/>
  <c r="BZ191" i="4"/>
  <c r="BZ138" i="4"/>
  <c r="BZ170" i="4"/>
  <c r="BZ134" i="4"/>
  <c r="BZ57" i="4"/>
  <c r="BZ86" i="4"/>
  <c r="BZ72" i="4"/>
  <c r="BZ70" i="4"/>
  <c r="BZ66" i="4"/>
  <c r="BT195" i="4"/>
  <c r="BU132" i="4"/>
  <c r="BT137" i="4"/>
  <c r="BW103" i="4"/>
  <c r="BT154" i="4"/>
  <c r="CB114" i="4"/>
  <c r="BT136" i="4"/>
  <c r="BT151" i="4"/>
  <c r="BT165" i="4"/>
  <c r="BT139" i="4"/>
  <c r="BT96" i="4"/>
  <c r="CB96" i="4" s="1"/>
  <c r="BT130" i="4"/>
  <c r="CB130" i="4" s="1"/>
  <c r="BY121" i="4"/>
  <c r="BT97" i="4"/>
  <c r="BS105" i="4"/>
  <c r="BT91" i="4"/>
  <c r="BT43" i="4"/>
  <c r="BY62" i="4"/>
  <c r="BT63" i="4"/>
  <c r="BY48" i="4"/>
  <c r="CB49" i="4"/>
  <c r="CB50" i="4"/>
  <c r="CB137" i="4"/>
  <c r="BY33" i="4"/>
  <c r="BY37" i="4"/>
  <c r="BY195" i="4"/>
  <c r="BY177" i="4"/>
  <c r="BY132" i="4"/>
  <c r="CA100" i="4"/>
  <c r="BZ77" i="4"/>
  <c r="BT101" i="4"/>
  <c r="BS101" i="4"/>
  <c r="BX101" i="4"/>
  <c r="BV101" i="4"/>
  <c r="BW101" i="4"/>
  <c r="BU101" i="4"/>
  <c r="BZ161" i="4"/>
  <c r="BV161" i="4"/>
  <c r="BW161" i="4"/>
  <c r="BU161" i="4"/>
  <c r="BT173" i="4"/>
  <c r="CA173" i="4"/>
  <c r="BY173" i="4"/>
  <c r="BW173" i="4"/>
  <c r="CB173" i="4"/>
  <c r="BU173" i="4"/>
  <c r="BV173" i="4"/>
  <c r="BU128" i="4"/>
  <c r="BX128" i="4"/>
  <c r="BZ128" i="4"/>
  <c r="BW128" i="4"/>
  <c r="BY169" i="4"/>
  <c r="CA169" i="4"/>
  <c r="BU169" i="4"/>
  <c r="BW169" i="4"/>
  <c r="BY199" i="4"/>
  <c r="BR199" i="4"/>
  <c r="BV199" i="4"/>
  <c r="BU199" i="4"/>
  <c r="BW199" i="4"/>
  <c r="CA183" i="4"/>
  <c r="BZ183" i="4"/>
  <c r="BU183" i="4"/>
  <c r="BW183" i="4"/>
  <c r="BT168" i="4"/>
  <c r="BY168" i="4"/>
  <c r="BS168" i="4"/>
  <c r="CA168" i="4" s="1"/>
  <c r="BU168" i="4"/>
  <c r="BV168" i="4"/>
  <c r="BW168" i="4"/>
  <c r="BS152" i="4"/>
  <c r="CA152" i="4" s="1"/>
  <c r="BX152" i="4"/>
  <c r="BV152" i="4"/>
  <c r="BW152" i="4"/>
  <c r="BU152" i="4"/>
  <c r="BV108" i="4"/>
  <c r="BW108" i="4"/>
  <c r="BU189" i="4"/>
  <c r="CA189" i="4"/>
  <c r="BY189" i="4"/>
  <c r="BV189" i="4"/>
  <c r="BW189" i="4"/>
  <c r="BU171" i="4"/>
  <c r="BY171" i="4"/>
  <c r="BZ171" i="4"/>
  <c r="BW171" i="4"/>
  <c r="BU124" i="4"/>
  <c r="CF124" i="4" s="1"/>
  <c r="BZ124" i="4"/>
  <c r="BT124" i="4"/>
  <c r="BW124" i="4"/>
  <c r="BU196" i="4"/>
  <c r="CA196" i="4"/>
  <c r="BY196" i="4"/>
  <c r="BZ196" i="4"/>
  <c r="BW196" i="4"/>
  <c r="BU178" i="4"/>
  <c r="BZ178" i="4"/>
  <c r="BY178" i="4"/>
  <c r="BW178" i="4"/>
  <c r="BU157" i="4"/>
  <c r="CA157" i="4"/>
  <c r="BZ157" i="4"/>
  <c r="BY157" i="4"/>
  <c r="BW157" i="4"/>
  <c r="BT157" i="4"/>
  <c r="BS142" i="4"/>
  <c r="CA142" i="4" s="1"/>
  <c r="BY142" i="4"/>
  <c r="BW142" i="4"/>
  <c r="BT142" i="4"/>
  <c r="BU142" i="4"/>
  <c r="BV142" i="4"/>
  <c r="BY197" i="4"/>
  <c r="BU197" i="4"/>
  <c r="BW197" i="4"/>
  <c r="BV197" i="4"/>
  <c r="BT164" i="4"/>
  <c r="CB164" i="4" s="1"/>
  <c r="BY164" i="4"/>
  <c r="BU164" i="4"/>
  <c r="BV164" i="4"/>
  <c r="BS138" i="4"/>
  <c r="CA138" i="4" s="1"/>
  <c r="BY138" i="4"/>
  <c r="BX138" i="4"/>
  <c r="BU138" i="4"/>
  <c r="BW138" i="4"/>
  <c r="BV138" i="4"/>
  <c r="CA86" i="4"/>
  <c r="BY86" i="4"/>
  <c r="BV86" i="4"/>
  <c r="BW86" i="4"/>
  <c r="BS148" i="4"/>
  <c r="CA148" i="4" s="1"/>
  <c r="BY148" i="4"/>
  <c r="BV148" i="4"/>
  <c r="BU148" i="4"/>
  <c r="BW148" i="4"/>
  <c r="BU126" i="4"/>
  <c r="BZ126" i="4"/>
  <c r="BX126" i="4"/>
  <c r="BW126" i="4"/>
  <c r="BU76" i="4"/>
  <c r="BZ76" i="4"/>
  <c r="CA76" i="4"/>
  <c r="BY76" i="4"/>
  <c r="BW76" i="4"/>
  <c r="BZ52" i="4"/>
  <c r="BT52" i="4"/>
  <c r="BV52" i="4"/>
  <c r="BU52" i="4"/>
  <c r="BX127" i="4"/>
  <c r="BR127" i="4"/>
  <c r="BZ127" i="4" s="1"/>
  <c r="BU127" i="4"/>
  <c r="BV127" i="4"/>
  <c r="BW127" i="4"/>
  <c r="BX119" i="4"/>
  <c r="BR119" i="4"/>
  <c r="CA119" i="4" s="1"/>
  <c r="BU119" i="4"/>
  <c r="BV119" i="4"/>
  <c r="BW119" i="4"/>
  <c r="BR111" i="4"/>
  <c r="BZ111" i="4" s="1"/>
  <c r="BX111" i="4"/>
  <c r="BU111" i="4"/>
  <c r="BV111" i="4"/>
  <c r="BW111" i="4"/>
  <c r="BY84" i="4"/>
  <c r="BW84" i="4"/>
  <c r="BS104" i="4"/>
  <c r="CA104" i="4" s="1"/>
  <c r="BY104" i="4"/>
  <c r="BV104" i="4"/>
  <c r="BU104" i="4"/>
  <c r="BY73" i="4"/>
  <c r="BZ73" i="4"/>
  <c r="BV73" i="4"/>
  <c r="BT73" i="4"/>
  <c r="CB73" i="4" s="1"/>
  <c r="CA54" i="4"/>
  <c r="BY54" i="4"/>
  <c r="BV54" i="4"/>
  <c r="BW54" i="4"/>
  <c r="BU90" i="4"/>
  <c r="CA90" i="4"/>
  <c r="BY90" i="4"/>
  <c r="BV90" i="4"/>
  <c r="BT90" i="4"/>
  <c r="CC90" i="4" s="1"/>
  <c r="BY82" i="4"/>
  <c r="BS82" i="4"/>
  <c r="BV82" i="4"/>
  <c r="BW82" i="4"/>
  <c r="BT74" i="4"/>
  <c r="CB74" i="4" s="1"/>
  <c r="BY74" i="4"/>
  <c r="CA74" i="4"/>
  <c r="BV74" i="4"/>
  <c r="BW74" i="4"/>
  <c r="BY44" i="4"/>
  <c r="CA44" i="4"/>
  <c r="BV44" i="4"/>
  <c r="BW44" i="4"/>
  <c r="BU41" i="4"/>
  <c r="BZ41" i="4"/>
  <c r="BT41" i="4"/>
  <c r="BY41" i="4"/>
  <c r="BW41" i="4"/>
  <c r="BT42" i="4"/>
  <c r="CA42" i="4"/>
  <c r="BW42" i="4"/>
  <c r="BV42" i="4"/>
  <c r="BU42" i="4"/>
  <c r="BY58" i="4"/>
  <c r="BS58" i="4"/>
  <c r="BV58" i="4"/>
  <c r="BW58" i="4"/>
  <c r="BT58" i="4"/>
  <c r="BY47" i="4"/>
  <c r="BT47" i="4"/>
  <c r="BU47" i="4"/>
  <c r="BW47" i="4"/>
  <c r="BT59" i="4"/>
  <c r="BY59" i="4"/>
  <c r="BW59" i="4"/>
  <c r="BZ59" i="4"/>
  <c r="BU59" i="4"/>
  <c r="BY117" i="4"/>
  <c r="BY119" i="4"/>
  <c r="BY46" i="4"/>
  <c r="BY40" i="4"/>
  <c r="BR84" i="4"/>
  <c r="BS159" i="4"/>
  <c r="CA159" i="4" s="1"/>
  <c r="CB124" i="4"/>
  <c r="BW90" i="4"/>
  <c r="BU74" i="4"/>
  <c r="BW80" i="4"/>
  <c r="BV47" i="4"/>
  <c r="BT191" i="4"/>
  <c r="BT115" i="4"/>
  <c r="BT126" i="4"/>
  <c r="CB126" i="4" s="1"/>
  <c r="BT183" i="4"/>
  <c r="BT148" i="4"/>
  <c r="BT197" i="4"/>
  <c r="BT152" i="4"/>
  <c r="BT54" i="4"/>
  <c r="BT84" i="4"/>
  <c r="BT82" i="4"/>
  <c r="CE101" i="4"/>
  <c r="BZ172" i="4"/>
  <c r="CA124" i="4"/>
  <c r="CA118" i="4"/>
  <c r="BU198" i="4"/>
  <c r="BR198" i="4"/>
  <c r="BY198" i="4"/>
  <c r="BV198" i="4"/>
  <c r="BW198" i="4"/>
  <c r="BX118" i="4"/>
  <c r="BZ118" i="4"/>
  <c r="BV118" i="4"/>
  <c r="BW118" i="4"/>
  <c r="BU163" i="4"/>
  <c r="CA163" i="4"/>
  <c r="BY163" i="4"/>
  <c r="BV163" i="4"/>
  <c r="BW163" i="4"/>
  <c r="BY53" i="4"/>
  <c r="BU53" i="4"/>
  <c r="BW53" i="4"/>
  <c r="CB53" i="4"/>
  <c r="BV53" i="4"/>
  <c r="BS131" i="4"/>
  <c r="BR131" i="4"/>
  <c r="BU131" i="4"/>
  <c r="BV131" i="4"/>
  <c r="BW131" i="4"/>
  <c r="BU190" i="4"/>
  <c r="BZ190" i="4"/>
  <c r="BY190" i="4"/>
  <c r="BU180" i="4"/>
  <c r="BY180" i="4"/>
  <c r="BW180" i="4"/>
  <c r="BT180" i="4"/>
  <c r="BS158" i="4"/>
  <c r="CA158" i="4" s="1"/>
  <c r="BY158" i="4"/>
  <c r="BW158" i="4"/>
  <c r="BU158" i="4"/>
  <c r="BV158" i="4"/>
  <c r="BS150" i="4"/>
  <c r="CA150" i="4" s="1"/>
  <c r="BY150" i="4"/>
  <c r="BU150" i="4"/>
  <c r="BW150" i="4"/>
  <c r="BV150" i="4"/>
  <c r="BZ106" i="4"/>
  <c r="CA106" i="4"/>
  <c r="BT106" i="4"/>
  <c r="BV106" i="4"/>
  <c r="BW106" i="4"/>
  <c r="BU187" i="4"/>
  <c r="CA187" i="4"/>
  <c r="BX187" i="4"/>
  <c r="BW187" i="4"/>
  <c r="BV187" i="4"/>
  <c r="BY162" i="4"/>
  <c r="BV162" i="4"/>
  <c r="BU162" i="4"/>
  <c r="BT102" i="4"/>
  <c r="BS102" i="4"/>
  <c r="BU102" i="4"/>
  <c r="BV102" i="4"/>
  <c r="BW102" i="4"/>
  <c r="BU193" i="4"/>
  <c r="CA193" i="4"/>
  <c r="BY193" i="4"/>
  <c r="BW193" i="4"/>
  <c r="BV193" i="4"/>
  <c r="BU174" i="4"/>
  <c r="BZ174" i="4"/>
  <c r="BY174" i="4"/>
  <c r="BW174" i="4"/>
  <c r="BU155" i="4"/>
  <c r="CA155" i="4"/>
  <c r="BZ155" i="4"/>
  <c r="BY155" i="4"/>
  <c r="BW155" i="4"/>
  <c r="BS133" i="4"/>
  <c r="BU133" i="4"/>
  <c r="BW133" i="4"/>
  <c r="BY167" i="4"/>
  <c r="BZ167" i="4"/>
  <c r="BU167" i="4"/>
  <c r="BS167" i="4"/>
  <c r="BW167" i="4"/>
  <c r="BV167" i="4"/>
  <c r="BY147" i="4"/>
  <c r="BS147" i="4"/>
  <c r="CA147" i="4" s="1"/>
  <c r="BV147" i="4"/>
  <c r="BW147" i="4"/>
  <c r="BT147" i="4"/>
  <c r="BS135" i="4"/>
  <c r="BZ135" i="4"/>
  <c r="BY135" i="4"/>
  <c r="BV135" i="4"/>
  <c r="BW135" i="4"/>
  <c r="CA60" i="4"/>
  <c r="BZ60" i="4"/>
  <c r="BY60" i="4"/>
  <c r="BU60" i="4"/>
  <c r="BW60" i="4"/>
  <c r="BT60" i="4"/>
  <c r="CB60" i="4" s="1"/>
  <c r="BV60" i="4"/>
  <c r="BZ141" i="4"/>
  <c r="BY141" i="4"/>
  <c r="BV141" i="4"/>
  <c r="BW141" i="4"/>
  <c r="BU122" i="4"/>
  <c r="CC122" i="4" s="1"/>
  <c r="BZ122" i="4"/>
  <c r="BX122" i="4"/>
  <c r="CB122" i="4"/>
  <c r="CD122" i="4"/>
  <c r="BW122" i="4"/>
  <c r="BS95" i="4"/>
  <c r="CA95" i="4" s="1"/>
  <c r="BZ95" i="4"/>
  <c r="BU95" i="4"/>
  <c r="BW95" i="4"/>
  <c r="BS85" i="4"/>
  <c r="BY85" i="4"/>
  <c r="BT85" i="4"/>
  <c r="BU85" i="4"/>
  <c r="BW85" i="4"/>
  <c r="BV85" i="4"/>
  <c r="CA125" i="4"/>
  <c r="BX125" i="4"/>
  <c r="BV125" i="4"/>
  <c r="BW125" i="4"/>
  <c r="BU125" i="4"/>
  <c r="BZ116" i="4"/>
  <c r="BX116" i="4"/>
  <c r="CC116" i="4"/>
  <c r="BW116" i="4"/>
  <c r="CB116" i="4"/>
  <c r="BV116" i="4"/>
  <c r="BX110" i="4"/>
  <c r="BV110" i="4"/>
  <c r="BW110" i="4"/>
  <c r="BU77" i="4"/>
  <c r="BS77" i="4"/>
  <c r="BW77" i="4"/>
  <c r="BT77" i="4"/>
  <c r="BT100" i="4"/>
  <c r="BV100" i="4"/>
  <c r="BW100" i="4"/>
  <c r="BU70" i="4"/>
  <c r="CA70" i="4"/>
  <c r="BT70" i="4"/>
  <c r="BV70" i="4"/>
  <c r="BS93" i="4"/>
  <c r="BY93" i="4"/>
  <c r="BW93" i="4"/>
  <c r="BT93" i="4"/>
  <c r="BS89" i="4"/>
  <c r="BZ89" i="4"/>
  <c r="BY89" i="4"/>
  <c r="BU89" i="4"/>
  <c r="BW89" i="4"/>
  <c r="BS81" i="4"/>
  <c r="CA81" i="4" s="1"/>
  <c r="BU81" i="4"/>
  <c r="BW81" i="4"/>
  <c r="BV81" i="4"/>
  <c r="BU72" i="4"/>
  <c r="BX72" i="4"/>
  <c r="BY72" i="4"/>
  <c r="BV72" i="4"/>
  <c r="BW72" i="4"/>
  <c r="BY56" i="4"/>
  <c r="BZ56" i="4"/>
  <c r="BS56" i="4"/>
  <c r="BV56" i="4"/>
  <c r="BW56" i="4"/>
  <c r="BU39" i="4"/>
  <c r="BX39" i="4"/>
  <c r="BZ39" i="4"/>
  <c r="BY39" i="4"/>
  <c r="BW39" i="4"/>
  <c r="BR40" i="4"/>
  <c r="BT40" i="4"/>
  <c r="BU40" i="4"/>
  <c r="BW40" i="4"/>
  <c r="BV40" i="4"/>
  <c r="BT57" i="4"/>
  <c r="BS57" i="4"/>
  <c r="BU57" i="4"/>
  <c r="BV57" i="4"/>
  <c r="BW57" i="4"/>
  <c r="BR46" i="4"/>
  <c r="BZ46" i="4" s="1"/>
  <c r="BS46" i="4"/>
  <c r="BU46" i="4"/>
  <c r="BV46" i="4"/>
  <c r="BW46" i="4"/>
  <c r="BY51" i="4"/>
  <c r="BR51" i="4"/>
  <c r="BV51" i="4"/>
  <c r="BW51" i="4"/>
  <c r="BY111" i="4"/>
  <c r="BY133" i="4"/>
  <c r="BY52" i="4"/>
  <c r="BY38" i="4"/>
  <c r="BR82" i="4"/>
  <c r="BS161" i="4"/>
  <c r="CB161" i="4" s="1"/>
  <c r="BR110" i="4"/>
  <c r="BR197" i="4"/>
  <c r="BW164" i="4"/>
  <c r="BV121" i="4"/>
  <c r="CC106" i="4"/>
  <c r="BU87" i="4"/>
  <c r="BW52" i="4"/>
  <c r="BT193" i="4"/>
  <c r="BT150" i="4"/>
  <c r="BT199" i="4"/>
  <c r="BT111" i="4"/>
  <c r="BT128" i="4"/>
  <c r="BT187" i="4"/>
  <c r="BT44" i="4"/>
  <c r="BT161" i="4"/>
  <c r="BT174" i="4"/>
  <c r="BT89" i="4"/>
  <c r="BT56" i="4"/>
  <c r="BT65" i="4"/>
  <c r="CB65" i="4" s="1"/>
  <c r="BZ35" i="4"/>
  <c r="BZ34" i="4"/>
  <c r="CA170" i="4"/>
  <c r="BY126" i="4"/>
  <c r="BY110" i="4"/>
  <c r="BY70" i="4"/>
  <c r="CA116" i="4"/>
  <c r="BZ47" i="4"/>
  <c r="BU184" i="4"/>
  <c r="BY184" i="4"/>
  <c r="CA184" i="4"/>
  <c r="BZ184" i="4"/>
  <c r="BT181" i="4"/>
  <c r="CA181" i="4"/>
  <c r="BY181" i="4"/>
  <c r="BU181" i="4"/>
  <c r="BV181" i="4"/>
  <c r="BW181" i="4"/>
  <c r="BS144" i="4"/>
  <c r="CA144" i="4" s="1"/>
  <c r="BY144" i="4"/>
  <c r="BX144" i="4"/>
  <c r="BV144" i="4"/>
  <c r="BW144" i="4"/>
  <c r="BU144" i="4"/>
  <c r="BU186" i="4"/>
  <c r="BY186" i="4"/>
  <c r="BU120" i="4"/>
  <c r="BZ120" i="4"/>
  <c r="BW120" i="4"/>
  <c r="CB120" i="4"/>
  <c r="BU188" i="4"/>
  <c r="CA188" i="4"/>
  <c r="BZ188" i="4"/>
  <c r="BY188" i="4"/>
  <c r="BU176" i="4"/>
  <c r="BZ176" i="4"/>
  <c r="BW176" i="4"/>
  <c r="BS156" i="4"/>
  <c r="BW156" i="4"/>
  <c r="BV156" i="4"/>
  <c r="BT156" i="4"/>
  <c r="BS143" i="4"/>
  <c r="CA143" i="4" s="1"/>
  <c r="BZ143" i="4"/>
  <c r="BY143" i="4"/>
  <c r="BW143" i="4"/>
  <c r="BV143" i="4"/>
  <c r="BU194" i="4"/>
  <c r="CA194" i="4"/>
  <c r="BZ194" i="4"/>
  <c r="BY194" i="4"/>
  <c r="BT179" i="4"/>
  <c r="CB179" i="4" s="1"/>
  <c r="BY179" i="4"/>
  <c r="CA179" i="4"/>
  <c r="BU179" i="4"/>
  <c r="BV179" i="4"/>
  <c r="BW179" i="4"/>
  <c r="BZ145" i="4"/>
  <c r="BY145" i="4"/>
  <c r="BV145" i="4"/>
  <c r="BW145" i="4"/>
  <c r="BT145" i="4"/>
  <c r="BU98" i="4"/>
  <c r="BY98" i="4"/>
  <c r="CA98" i="4"/>
  <c r="BT98" i="4"/>
  <c r="BW98" i="4"/>
  <c r="BU191" i="4"/>
  <c r="BY191" i="4"/>
  <c r="CA191" i="4"/>
  <c r="BV191" i="4"/>
  <c r="BW191" i="4"/>
  <c r="BT170" i="4"/>
  <c r="BY170" i="4"/>
  <c r="BX170" i="4"/>
  <c r="BW170" i="4"/>
  <c r="BV170" i="4"/>
  <c r="BU170" i="4"/>
  <c r="CA153" i="4"/>
  <c r="BZ153" i="4"/>
  <c r="BY153" i="4"/>
  <c r="BW153" i="4"/>
  <c r="BV153" i="4"/>
  <c r="CB153" i="4"/>
  <c r="BY129" i="4"/>
  <c r="BW129" i="4"/>
  <c r="BU129" i="4"/>
  <c r="BT166" i="4"/>
  <c r="BY166" i="4"/>
  <c r="BS166" i="4"/>
  <c r="BX166" i="4"/>
  <c r="BU166" i="4"/>
  <c r="BV166" i="4"/>
  <c r="BW166" i="4"/>
  <c r="BS146" i="4"/>
  <c r="CA146" i="4" s="1"/>
  <c r="BY146" i="4"/>
  <c r="BX146" i="4"/>
  <c r="BU146" i="4"/>
  <c r="BV146" i="4"/>
  <c r="BW146" i="4"/>
  <c r="BU113" i="4"/>
  <c r="BW113" i="4"/>
  <c r="BV113" i="4"/>
  <c r="BT113" i="4"/>
  <c r="BY160" i="4"/>
  <c r="BX160" i="4"/>
  <c r="BU160" i="4"/>
  <c r="BV160" i="4"/>
  <c r="BW160" i="4"/>
  <c r="BS140" i="4"/>
  <c r="CA140" i="4" s="1"/>
  <c r="BY140" i="4"/>
  <c r="BW140" i="4"/>
  <c r="BU140" i="4"/>
  <c r="BV140" i="4"/>
  <c r="BT140" i="4"/>
  <c r="BR117" i="4"/>
  <c r="CA117" i="4" s="1"/>
  <c r="BV117" i="4"/>
  <c r="BW117" i="4"/>
  <c r="BU117" i="4"/>
  <c r="BS83" i="4"/>
  <c r="CA83" i="4" s="1"/>
  <c r="BY83" i="4"/>
  <c r="BX83" i="4"/>
  <c r="BU83" i="4"/>
  <c r="BW83" i="4"/>
  <c r="BV83" i="4"/>
  <c r="BY69" i="4"/>
  <c r="BZ69" i="4"/>
  <c r="CA69" i="4"/>
  <c r="CC69" i="4"/>
  <c r="BV69" i="4"/>
  <c r="CD69" i="4" s="1"/>
  <c r="BX123" i="4"/>
  <c r="BR123" i="4"/>
  <c r="CA123" i="4" s="1"/>
  <c r="BV123" i="4"/>
  <c r="BW123" i="4"/>
  <c r="BU123" i="4"/>
  <c r="BX115" i="4"/>
  <c r="BV115" i="4"/>
  <c r="CA115" i="4"/>
  <c r="BW115" i="4"/>
  <c r="BU115" i="4"/>
  <c r="BY99" i="4"/>
  <c r="BX99" i="4"/>
  <c r="BU99" i="4"/>
  <c r="BV99" i="4"/>
  <c r="BW109" i="4"/>
  <c r="BU109" i="4"/>
  <c r="BT109" i="4"/>
  <c r="BV109" i="4"/>
  <c r="BV80" i="4"/>
  <c r="BY80" i="4"/>
  <c r="CA80" i="4"/>
  <c r="BU80" i="4"/>
  <c r="BU68" i="4"/>
  <c r="BY68" i="4"/>
  <c r="BX68" i="4"/>
  <c r="BW68" i="4"/>
  <c r="BV68" i="4"/>
  <c r="BU92" i="4"/>
  <c r="BS92" i="4"/>
  <c r="BY92" i="4"/>
  <c r="BX92" i="4"/>
  <c r="BV92" i="4"/>
  <c r="BW92" i="4"/>
  <c r="BU88" i="4"/>
  <c r="BX88" i="4"/>
  <c r="BY88" i="4"/>
  <c r="BV88" i="4"/>
  <c r="BW88" i="4"/>
  <c r="BY79" i="4"/>
  <c r="BS79" i="4"/>
  <c r="BW79" i="4"/>
  <c r="BV79" i="4"/>
  <c r="BU79" i="4"/>
  <c r="BT79" i="4"/>
  <c r="CA67" i="4"/>
  <c r="BZ67" i="4"/>
  <c r="CB67" i="4"/>
  <c r="BV67" i="4"/>
  <c r="BY49" i="4"/>
  <c r="BX49" i="4"/>
  <c r="BZ49" i="4"/>
  <c r="BU49" i="4"/>
  <c r="CC49" i="4" s="1"/>
  <c r="BV49" i="4"/>
  <c r="BW49" i="4"/>
  <c r="BU66" i="4"/>
  <c r="CA66" i="4"/>
  <c r="BV66" i="4"/>
  <c r="BW66" i="4"/>
  <c r="CA38" i="4"/>
  <c r="BX38" i="4"/>
  <c r="BW38" i="4"/>
  <c r="BV38" i="4"/>
  <c r="BU38" i="4"/>
  <c r="BZ50" i="4"/>
  <c r="BU50" i="4"/>
  <c r="BV50" i="4"/>
  <c r="BW50" i="4"/>
  <c r="BU45" i="4"/>
  <c r="BY45" i="4"/>
  <c r="BT45" i="4"/>
  <c r="BZ45" i="4"/>
  <c r="BW45" i="4"/>
  <c r="BY105" i="4"/>
  <c r="BY127" i="4"/>
  <c r="BY109" i="4"/>
  <c r="BY131" i="4"/>
  <c r="BR133" i="4"/>
  <c r="BS109" i="4"/>
  <c r="BS177" i="4"/>
  <c r="BS176" i="4"/>
  <c r="CA176" i="4" s="1"/>
  <c r="BV129" i="4"/>
  <c r="CC118" i="4"/>
  <c r="BV84" i="4"/>
  <c r="BT66" i="4"/>
  <c r="BW70" i="4"/>
  <c r="CB57" i="4"/>
  <c r="BT125" i="4"/>
  <c r="BT144" i="4"/>
  <c r="BT160" i="4"/>
  <c r="CC160" i="4" s="1"/>
  <c r="BT163" i="4"/>
  <c r="CE163" i="4" s="1"/>
  <c r="BT38" i="4"/>
  <c r="CB38" i="4" s="1"/>
  <c r="BT68" i="4"/>
  <c r="BT119" i="4"/>
  <c r="CB119" i="4" s="1"/>
  <c r="BT129" i="4"/>
  <c r="BT196" i="4"/>
  <c r="CC196" i="4" s="1"/>
  <c r="BT188" i="4"/>
  <c r="BT192" i="4"/>
  <c r="CB192" i="4" s="1"/>
  <c r="BT135" i="4"/>
  <c r="BT171" i="4"/>
  <c r="BT133" i="4"/>
  <c r="BT104" i="4"/>
  <c r="CB104" i="4" s="1"/>
  <c r="BT87" i="4"/>
  <c r="BT76" i="4"/>
  <c r="BU32" i="4"/>
  <c r="CA180" i="4"/>
  <c r="BZ105" i="4"/>
  <c r="BZ38" i="4"/>
  <c r="BT177" i="4"/>
  <c r="BW177" i="4"/>
  <c r="BV177" i="4"/>
  <c r="BU177" i="4"/>
  <c r="BU195" i="4"/>
  <c r="CC195" i="4" s="1"/>
  <c r="CA195" i="4"/>
  <c r="BW195" i="4"/>
  <c r="BX195" i="4"/>
  <c r="BV195" i="4"/>
  <c r="CB195" i="4"/>
  <c r="BS132" i="4"/>
  <c r="BW132" i="4"/>
  <c r="BV132" i="4"/>
  <c r="BT132" i="4"/>
  <c r="BZ137" i="4"/>
  <c r="BW137" i="4"/>
  <c r="BY137" i="4"/>
  <c r="BV137" i="4"/>
  <c r="BT103" i="4"/>
  <c r="BX103" i="4"/>
  <c r="BY103" i="4"/>
  <c r="BU103" i="4"/>
  <c r="BV103" i="4"/>
  <c r="BU185" i="4"/>
  <c r="CA185" i="4"/>
  <c r="BY185" i="4"/>
  <c r="BV185" i="4"/>
  <c r="BW185" i="4"/>
  <c r="BU172" i="4"/>
  <c r="CA172" i="4"/>
  <c r="BY172" i="4"/>
  <c r="BW172" i="4"/>
  <c r="BT172" i="4"/>
  <c r="BS154" i="4"/>
  <c r="CA154" i="4" s="1"/>
  <c r="BX154" i="4"/>
  <c r="BV154" i="4"/>
  <c r="BW154" i="4"/>
  <c r="BU154" i="4"/>
  <c r="BZ114" i="4"/>
  <c r="BW114" i="4"/>
  <c r="BV114" i="4"/>
  <c r="BU192" i="4"/>
  <c r="BZ192" i="4"/>
  <c r="BY192" i="4"/>
  <c r="CA192" i="4"/>
  <c r="BT175" i="4"/>
  <c r="BY175" i="4"/>
  <c r="CA175" i="4"/>
  <c r="BX175" i="4"/>
  <c r="BV175" i="4"/>
  <c r="BW175" i="4"/>
  <c r="BU175" i="4"/>
  <c r="BS136" i="4"/>
  <c r="CA136" i="4" s="1"/>
  <c r="BY136" i="4"/>
  <c r="BX136" i="4"/>
  <c r="BV136" i="4"/>
  <c r="BU136" i="4"/>
  <c r="BW136" i="4"/>
  <c r="BU71" i="4"/>
  <c r="BZ71" i="4"/>
  <c r="CA71" i="4"/>
  <c r="BU182" i="4"/>
  <c r="BZ182" i="4"/>
  <c r="BY182" i="4"/>
  <c r="CA182" i="4"/>
  <c r="BW182" i="4"/>
  <c r="BU159" i="4"/>
  <c r="BZ159" i="4"/>
  <c r="BY159" i="4"/>
  <c r="BW159" i="4"/>
  <c r="BZ151" i="4"/>
  <c r="BY151" i="4"/>
  <c r="BW151" i="4"/>
  <c r="BV151" i="4"/>
  <c r="BX107" i="4"/>
  <c r="BR107" i="4"/>
  <c r="CA107" i="4" s="1"/>
  <c r="BV107" i="4"/>
  <c r="BW107" i="4"/>
  <c r="BU107" i="4"/>
  <c r="BS165" i="4"/>
  <c r="BZ165" i="4"/>
  <c r="BX165" i="4"/>
  <c r="BU165" i="4"/>
  <c r="BW165" i="4"/>
  <c r="BZ139" i="4"/>
  <c r="BY139" i="4"/>
  <c r="BS139" i="4"/>
  <c r="BW139" i="4"/>
  <c r="BV139" i="4"/>
  <c r="BU96" i="4"/>
  <c r="BX96" i="4"/>
  <c r="CA96" i="4"/>
  <c r="BY96" i="4"/>
  <c r="BW96" i="4"/>
  <c r="BV96" i="4"/>
  <c r="BY149" i="4"/>
  <c r="BV149" i="4"/>
  <c r="BW149" i="4"/>
  <c r="BT149" i="4"/>
  <c r="BS134" i="4"/>
  <c r="CA134" i="4" s="1"/>
  <c r="BY134" i="4"/>
  <c r="BU134" i="4"/>
  <c r="BW134" i="4"/>
  <c r="BV134" i="4"/>
  <c r="BU94" i="4"/>
  <c r="BY94" i="4"/>
  <c r="BS94" i="4"/>
  <c r="BT94" i="4"/>
  <c r="BW94" i="4"/>
  <c r="BV94" i="4"/>
  <c r="BS61" i="4"/>
  <c r="BV61" i="4"/>
  <c r="BW61" i="4"/>
  <c r="BT61" i="4"/>
  <c r="BY130" i="4"/>
  <c r="BZ130" i="4"/>
  <c r="BX130" i="4"/>
  <c r="CA130" i="4"/>
  <c r="BV130" i="4"/>
  <c r="BU130" i="4"/>
  <c r="CC130" i="4" s="1"/>
  <c r="CA121" i="4"/>
  <c r="BT121" i="4"/>
  <c r="BU121" i="4"/>
  <c r="BW121" i="4"/>
  <c r="BZ112" i="4"/>
  <c r="BV112" i="4"/>
  <c r="CD112" i="4" s="1"/>
  <c r="BW112" i="4"/>
  <c r="CB112" i="4"/>
  <c r="CC112" i="4"/>
  <c r="BS97" i="4"/>
  <c r="CA97" i="4" s="1"/>
  <c r="BZ97" i="4"/>
  <c r="BY97" i="4"/>
  <c r="BW97" i="4"/>
  <c r="BU97" i="4"/>
  <c r="CA105" i="4"/>
  <c r="BV105" i="4"/>
  <c r="BT105" i="4"/>
  <c r="CB105" i="4" s="1"/>
  <c r="BU105" i="4"/>
  <c r="BW105" i="4"/>
  <c r="BU75" i="4"/>
  <c r="CA75" i="4"/>
  <c r="BZ75" i="4"/>
  <c r="BW75" i="4"/>
  <c r="BY65" i="4"/>
  <c r="CA65" i="4"/>
  <c r="BZ65" i="4"/>
  <c r="CC65" i="4"/>
  <c r="BV65" i="4"/>
  <c r="BS91" i="4"/>
  <c r="BZ91" i="4"/>
  <c r="BY91" i="4"/>
  <c r="BW91" i="4"/>
  <c r="BU91" i="4"/>
  <c r="CC91" i="4" s="1"/>
  <c r="BS87" i="4"/>
  <c r="CC87" i="4" s="1"/>
  <c r="BY87" i="4"/>
  <c r="BZ87" i="4"/>
  <c r="BW87" i="4"/>
  <c r="BT78" i="4"/>
  <c r="CB78" i="4" s="1"/>
  <c r="CA78" i="4"/>
  <c r="BZ78" i="4"/>
  <c r="BU78" i="4"/>
  <c r="BW78" i="4"/>
  <c r="BT55" i="4"/>
  <c r="BW55" i="4"/>
  <c r="BU55" i="4"/>
  <c r="CI55" i="4" s="1"/>
  <c r="BV55" i="4"/>
  <c r="BU43" i="4"/>
  <c r="BX43" i="4"/>
  <c r="BY43" i="4"/>
  <c r="BS43" i="4"/>
  <c r="BV43" i="4"/>
  <c r="BW43" i="4"/>
  <c r="BV62" i="4"/>
  <c r="BS62" i="4"/>
  <c r="CA62" i="4" s="1"/>
  <c r="BW62" i="4"/>
  <c r="BT62" i="4"/>
  <c r="BU62" i="4"/>
  <c r="BZ63" i="4"/>
  <c r="BS63" i="4"/>
  <c r="BV63" i="4"/>
  <c r="BY63" i="4"/>
  <c r="BW63" i="4"/>
  <c r="BU63" i="4"/>
  <c r="BS48" i="4"/>
  <c r="CA48" i="4" s="1"/>
  <c r="BZ48" i="4"/>
  <c r="BV48" i="4"/>
  <c r="BW48" i="4"/>
  <c r="BU48" i="4"/>
  <c r="BT48" i="4"/>
  <c r="BV64" i="4"/>
  <c r="BY64" i="4"/>
  <c r="BZ64" i="4"/>
  <c r="BU64" i="4"/>
  <c r="BW64" i="4"/>
  <c r="BY183" i="4"/>
  <c r="BY165" i="4"/>
  <c r="BY123" i="4"/>
  <c r="BY107" i="4"/>
  <c r="BY50" i="4"/>
  <c r="BY42" i="4"/>
  <c r="BR58" i="4"/>
  <c r="BZ58" i="4" s="1"/>
  <c r="BR108" i="4"/>
  <c r="BS113" i="4"/>
  <c r="BS171" i="4"/>
  <c r="BS151" i="4"/>
  <c r="CA151" i="4" s="1"/>
  <c r="BS174" i="4"/>
  <c r="BU156" i="4"/>
  <c r="BW130" i="4"/>
  <c r="BT108" i="4"/>
  <c r="BT99" i="4"/>
  <c r="CC114" i="4"/>
  <c r="BU100" i="4"/>
  <c r="CC100" i="4" s="1"/>
  <c r="BU93" i="4"/>
  <c r="BT81" i="4"/>
  <c r="CC81" i="4" s="1"/>
  <c r="BU61" i="4"/>
  <c r="CC67" i="4"/>
  <c r="CB51" i="4"/>
  <c r="BT189" i="4"/>
  <c r="BT64" i="4"/>
  <c r="BT107" i="4"/>
  <c r="BT127" i="4"/>
  <c r="CD127" i="4" s="1"/>
  <c r="BT146" i="4"/>
  <c r="CC146" i="4" s="1"/>
  <c r="BT134" i="4"/>
  <c r="BT185" i="4"/>
  <c r="BT39" i="4"/>
  <c r="BT83" i="4"/>
  <c r="CE83" i="4" s="1"/>
  <c r="BT110" i="4"/>
  <c r="BT138" i="4"/>
  <c r="CD138" i="4" s="1"/>
  <c r="BT162" i="4"/>
  <c r="CC162" i="4" s="1"/>
  <c r="BT182" i="4"/>
  <c r="CB182" i="4" s="1"/>
  <c r="BT186" i="4"/>
  <c r="CB186" i="4" s="1"/>
  <c r="BT190" i="4"/>
  <c r="BT178" i="4"/>
  <c r="BT169" i="4"/>
  <c r="BT159" i="4"/>
  <c r="BT141" i="4"/>
  <c r="BT86" i="4"/>
  <c r="CB86" i="4" s="1"/>
  <c r="BT95" i="4"/>
  <c r="BT71" i="4"/>
  <c r="BT75" i="4"/>
  <c r="CE150" i="4"/>
  <c r="CE152" i="4"/>
  <c r="BW190" i="4"/>
  <c r="BU141" i="4"/>
  <c r="BV174" i="4"/>
  <c r="BW186" i="4"/>
  <c r="BU139" i="4"/>
  <c r="BZ103" i="4"/>
  <c r="BZ101" i="4"/>
  <c r="BU135" i="4"/>
  <c r="BW69" i="4"/>
  <c r="BZ61" i="4"/>
  <c r="CA128" i="4"/>
  <c r="BV183" i="4"/>
  <c r="BX48" i="4"/>
  <c r="BW192" i="4"/>
  <c r="BV97" i="4"/>
  <c r="BV176" i="4"/>
  <c r="CE176" i="4" s="1"/>
  <c r="BX196" i="4"/>
  <c r="BZ164" i="4"/>
  <c r="BW184" i="4"/>
  <c r="BV169" i="4"/>
  <c r="BV91" i="4"/>
  <c r="BV159" i="4"/>
  <c r="BV155" i="4"/>
  <c r="CG155" i="4" s="1"/>
  <c r="BU151" i="4"/>
  <c r="BV95" i="4"/>
  <c r="BU137" i="4"/>
  <c r="BZ100" i="4"/>
  <c r="BW73" i="4"/>
  <c r="BU82" i="4"/>
  <c r="BV76" i="4"/>
  <c r="BU86" i="4"/>
  <c r="CC86" i="4" s="1"/>
  <c r="BU54" i="4"/>
  <c r="CG54" i="4" s="1"/>
  <c r="BV78" i="4"/>
  <c r="BV165" i="4"/>
  <c r="BV180" i="4"/>
  <c r="BT198" i="4"/>
  <c r="BW194" i="4"/>
  <c r="BU147" i="4"/>
  <c r="BW104" i="4"/>
  <c r="BV182" i="4"/>
  <c r="BU149" i="4"/>
  <c r="BV89" i="4"/>
  <c r="BV87" i="4"/>
  <c r="BV93" i="4"/>
  <c r="BZ99" i="4"/>
  <c r="BV133" i="4"/>
  <c r="BW71" i="4"/>
  <c r="BZ102" i="4"/>
  <c r="BX80" i="4"/>
  <c r="BW65" i="4"/>
  <c r="BX60" i="4"/>
  <c r="BV98" i="4"/>
  <c r="BV59" i="4"/>
  <c r="BV172" i="4"/>
  <c r="BV171" i="4"/>
  <c r="BV178" i="4"/>
  <c r="BW188" i="4"/>
  <c r="BV75" i="4"/>
  <c r="BV157" i="4"/>
  <c r="CE157" i="4" s="1"/>
  <c r="BU153" i="4"/>
  <c r="BU143" i="4"/>
  <c r="BU145" i="4"/>
  <c r="CG145" i="4" s="1"/>
  <c r="BW67" i="4"/>
  <c r="BU58" i="4"/>
  <c r="BU84" i="4"/>
  <c r="BV77" i="4"/>
  <c r="BZ79" i="4"/>
  <c r="BU56" i="4"/>
  <c r="BU44" i="4"/>
  <c r="BT35" i="4"/>
  <c r="BY34" i="4"/>
  <c r="BS37" i="4"/>
  <c r="BT37" i="4"/>
  <c r="BV37" i="4"/>
  <c r="BU36" i="4"/>
  <c r="BV35" i="4"/>
  <c r="BW36" i="4"/>
  <c r="BV34" i="4"/>
  <c r="BU34" i="4"/>
  <c r="BY35" i="4"/>
  <c r="BU33" i="4"/>
  <c r="BT33" i="4"/>
  <c r="BS34" i="4"/>
  <c r="BS36" i="4"/>
  <c r="BW33" i="4"/>
  <c r="BT32" i="4"/>
  <c r="BY32" i="4"/>
  <c r="BR37" i="4"/>
  <c r="BR33" i="4"/>
  <c r="BR36" i="4"/>
  <c r="BS35" i="4"/>
  <c r="BV32" i="4"/>
  <c r="BS32" i="4"/>
  <c r="BX35" i="4"/>
  <c r="BX36" i="4"/>
  <c r="BW35" i="4"/>
  <c r="BU35" i="4"/>
  <c r="BY36" i="4"/>
  <c r="BR32" i="4"/>
  <c r="BT36" i="4"/>
  <c r="BW34" i="4"/>
  <c r="BT34" i="4"/>
  <c r="BX34" i="4"/>
  <c r="BX32" i="4"/>
  <c r="BV33" i="4"/>
  <c r="BW37" i="4"/>
  <c r="BU37" i="4"/>
  <c r="BW32" i="4"/>
  <c r="CI42" i="4"/>
  <c r="CI88" i="4"/>
  <c r="CI129" i="4"/>
  <c r="A3" i="5"/>
  <c r="B3" i="5"/>
  <c r="C3" i="5"/>
  <c r="A4" i="5"/>
  <c r="B4" i="5"/>
  <c r="C4" i="5"/>
  <c r="A5" i="5"/>
  <c r="B5" i="5"/>
  <c r="C5" i="5"/>
  <c r="A6" i="5"/>
  <c r="B6" i="5"/>
  <c r="C6" i="5"/>
  <c r="A7" i="5"/>
  <c r="B7" i="5"/>
  <c r="C7" i="5"/>
  <c r="A8" i="5"/>
  <c r="B8" i="5"/>
  <c r="C8" i="5"/>
  <c r="A9" i="5"/>
  <c r="B9" i="5"/>
  <c r="C9" i="5"/>
  <c r="A10" i="5"/>
  <c r="B10" i="5"/>
  <c r="C10" i="5"/>
  <c r="A11" i="5"/>
  <c r="B11" i="5"/>
  <c r="C11" i="5"/>
  <c r="A12" i="5"/>
  <c r="B12" i="5"/>
  <c r="C12" i="5"/>
  <c r="A13" i="5"/>
  <c r="B13" i="5"/>
  <c r="C13" i="5"/>
  <c r="A14" i="5"/>
  <c r="B14" i="5"/>
  <c r="C14" i="5"/>
  <c r="A15" i="5"/>
  <c r="B15" i="5"/>
  <c r="C15" i="5"/>
  <c r="A16" i="5"/>
  <c r="B16" i="5"/>
  <c r="C16" i="5"/>
  <c r="A17" i="5"/>
  <c r="B17" i="5"/>
  <c r="C17" i="5"/>
  <c r="A18" i="5"/>
  <c r="B18" i="5"/>
  <c r="C18" i="5"/>
  <c r="A19" i="5"/>
  <c r="B19" i="5"/>
  <c r="C19" i="5"/>
  <c r="A20" i="5"/>
  <c r="B20" i="5"/>
  <c r="C20" i="5"/>
  <c r="A21" i="5"/>
  <c r="B21" i="5"/>
  <c r="C21" i="5"/>
  <c r="A22" i="5"/>
  <c r="B22" i="5"/>
  <c r="C22" i="5"/>
  <c r="A23" i="5"/>
  <c r="B23" i="5"/>
  <c r="C23" i="5"/>
  <c r="A24" i="5"/>
  <c r="B24" i="5"/>
  <c r="C24" i="5"/>
  <c r="A25" i="5"/>
  <c r="B25" i="5"/>
  <c r="C25" i="5"/>
  <c r="A26" i="5"/>
  <c r="B26" i="5"/>
  <c r="C26" i="5"/>
  <c r="A27" i="5"/>
  <c r="B27" i="5"/>
  <c r="C27" i="5"/>
  <c r="A28" i="5"/>
  <c r="B28" i="5"/>
  <c r="C28" i="5"/>
  <c r="A29" i="5"/>
  <c r="B29" i="5"/>
  <c r="C29" i="5"/>
  <c r="A30" i="5"/>
  <c r="B30" i="5"/>
  <c r="C30" i="5"/>
  <c r="A31" i="5"/>
  <c r="B31" i="5"/>
  <c r="C31" i="5"/>
  <c r="A32" i="5"/>
  <c r="B32" i="5"/>
  <c r="C32" i="5"/>
  <c r="A33" i="5"/>
  <c r="B33" i="5"/>
  <c r="C33" i="5"/>
  <c r="A34" i="5"/>
  <c r="B34" i="5"/>
  <c r="C34" i="5"/>
  <c r="A35" i="5"/>
  <c r="B35" i="5"/>
  <c r="C35" i="5"/>
  <c r="A36" i="5"/>
  <c r="B36" i="5"/>
  <c r="C36" i="5"/>
  <c r="A37" i="5"/>
  <c r="B37" i="5"/>
  <c r="C37" i="5"/>
  <c r="A38" i="5"/>
  <c r="B38" i="5"/>
  <c r="C38" i="5"/>
  <c r="A39" i="5"/>
  <c r="B39" i="5"/>
  <c r="C39" i="5"/>
  <c r="A40" i="5"/>
  <c r="B40" i="5"/>
  <c r="C40" i="5"/>
  <c r="A41" i="5"/>
  <c r="B41" i="5"/>
  <c r="C41" i="5"/>
  <c r="A42" i="5"/>
  <c r="B42" i="5"/>
  <c r="C42" i="5"/>
  <c r="A43" i="5"/>
  <c r="B43" i="5"/>
  <c r="C43" i="5"/>
  <c r="A44" i="5"/>
  <c r="B44" i="5"/>
  <c r="C44" i="5"/>
  <c r="A45" i="5"/>
  <c r="B45" i="5"/>
  <c r="C45" i="5"/>
  <c r="A46" i="5"/>
  <c r="B46" i="5"/>
  <c r="C46" i="5"/>
  <c r="A47" i="5"/>
  <c r="B47" i="5"/>
  <c r="C47" i="5"/>
  <c r="A48" i="5"/>
  <c r="B48" i="5"/>
  <c r="C48" i="5"/>
  <c r="A49" i="5"/>
  <c r="B49" i="5"/>
  <c r="C49" i="5"/>
  <c r="A50" i="5"/>
  <c r="B50" i="5"/>
  <c r="C50" i="5"/>
  <c r="B2" i="5"/>
  <c r="C2" i="5"/>
  <c r="A2" i="5"/>
  <c r="D1" i="5"/>
  <c r="E1" i="5"/>
  <c r="F1" i="5"/>
  <c r="G1" i="5"/>
  <c r="H1" i="5"/>
  <c r="A51" i="3"/>
  <c r="A42" i="3"/>
  <c r="A43" i="3"/>
  <c r="A44" i="3"/>
  <c r="A45" i="3"/>
  <c r="A46" i="3"/>
  <c r="A47" i="3"/>
  <c r="A48" i="3"/>
  <c r="A49" i="3"/>
  <c r="A50" i="3"/>
  <c r="A32" i="3"/>
  <c r="A33" i="3"/>
  <c r="A34" i="3"/>
  <c r="A35" i="3"/>
  <c r="A36" i="3"/>
  <c r="A37" i="3"/>
  <c r="A38" i="3"/>
  <c r="A39" i="3"/>
  <c r="A40" i="3"/>
  <c r="A41" i="3"/>
  <c r="CJ88" i="4" l="1"/>
  <c r="CE181" i="4"/>
  <c r="CI145" i="4"/>
  <c r="CC71" i="4"/>
  <c r="CH125" i="4"/>
  <c r="CG57" i="4"/>
  <c r="CE148" i="4"/>
  <c r="CE172" i="4"/>
  <c r="CK65" i="4"/>
  <c r="CD44" i="4"/>
  <c r="CF84" i="4"/>
  <c r="CG143" i="4"/>
  <c r="CE89" i="4"/>
  <c r="CI185" i="4"/>
  <c r="CD65" i="4"/>
  <c r="CC96" i="4"/>
  <c r="CF70" i="4"/>
  <c r="CI187" i="4"/>
  <c r="CB150" i="4"/>
  <c r="CE197" i="4"/>
  <c r="CD148" i="4"/>
  <c r="CG90" i="4"/>
  <c r="CG153" i="4"/>
  <c r="CI178" i="4"/>
  <c r="CC149" i="4"/>
  <c r="CG194" i="4"/>
  <c r="CJ69" i="4"/>
  <c r="CC139" i="4"/>
  <c r="CC134" i="4"/>
  <c r="CD144" i="4"/>
  <c r="CC128" i="4"/>
  <c r="CC180" i="4"/>
  <c r="CC124" i="4"/>
  <c r="CB109" i="4"/>
  <c r="CC181" i="4"/>
  <c r="CK67" i="4"/>
  <c r="CB166" i="4"/>
  <c r="CB35" i="4"/>
  <c r="CD192" i="4"/>
  <c r="CI66" i="4"/>
  <c r="CC45" i="4"/>
  <c r="CB181" i="4"/>
  <c r="CB89" i="4"/>
  <c r="CC60" i="4"/>
  <c r="CF90" i="4"/>
  <c r="CE42" i="4"/>
  <c r="CB93" i="4"/>
  <c r="CF168" i="4"/>
  <c r="CD74" i="4"/>
  <c r="CC94" i="4"/>
  <c r="CE80" i="4"/>
  <c r="CF33" i="4"/>
  <c r="CC101" i="4"/>
  <c r="CF123" i="4"/>
  <c r="CE55" i="4"/>
  <c r="CC57" i="4"/>
  <c r="CB177" i="4"/>
  <c r="CB142" i="4"/>
  <c r="CE173" i="4"/>
  <c r="CD159" i="4"/>
  <c r="CH136" i="4"/>
  <c r="CD85" i="4"/>
  <c r="CE118" i="4"/>
  <c r="CC157" i="4"/>
  <c r="CG192" i="4"/>
  <c r="CB133" i="4"/>
  <c r="CG120" i="4"/>
  <c r="CJ53" i="4"/>
  <c r="CA111" i="4"/>
  <c r="CC142" i="4"/>
  <c r="CB108" i="4"/>
  <c r="CC43" i="4"/>
  <c r="CB66" i="4"/>
  <c r="CH140" i="4"/>
  <c r="CI181" i="4"/>
  <c r="CE158" i="4"/>
  <c r="CJ72" i="4"/>
  <c r="CE93" i="4"/>
  <c r="CA43" i="4"/>
  <c r="CI149" i="4"/>
  <c r="CF88" i="4"/>
  <c r="CE140" i="4"/>
  <c r="CI81" i="4"/>
  <c r="CL122" i="4"/>
  <c r="CF197" i="4"/>
  <c r="CG84" i="4"/>
  <c r="CD126" i="4"/>
  <c r="CE183" i="4"/>
  <c r="CI118" i="4"/>
  <c r="CH75" i="4"/>
  <c r="CG141" i="4"/>
  <c r="CG96" i="4"/>
  <c r="CG182" i="4"/>
  <c r="CE71" i="4"/>
  <c r="CE129" i="4"/>
  <c r="CG45" i="4"/>
  <c r="CG50" i="4"/>
  <c r="CK49" i="4"/>
  <c r="CC92" i="4"/>
  <c r="CI80" i="4"/>
  <c r="CG166" i="4"/>
  <c r="CF65" i="4"/>
  <c r="CC110" i="4"/>
  <c r="BZ110" i="4"/>
  <c r="CD60" i="4"/>
  <c r="CL60" i="4" s="1"/>
  <c r="CD163" i="4"/>
  <c r="CE90" i="4"/>
  <c r="BZ119" i="4"/>
  <c r="CB127" i="4"/>
  <c r="CE142" i="4"/>
  <c r="CD124" i="4"/>
  <c r="CD173" i="4"/>
  <c r="CJ173" i="4"/>
  <c r="CF118" i="4"/>
  <c r="CG159" i="4"/>
  <c r="CE175" i="4"/>
  <c r="CE192" i="4"/>
  <c r="CH50" i="4"/>
  <c r="CL69" i="4"/>
  <c r="CG179" i="4"/>
  <c r="CE120" i="4"/>
  <c r="CJ181" i="4"/>
  <c r="CF184" i="4"/>
  <c r="CC80" i="4"/>
  <c r="CK80" i="4" s="1"/>
  <c r="CD56" i="4"/>
  <c r="CC44" i="4"/>
  <c r="CE72" i="4"/>
  <c r="CH72" i="4"/>
  <c r="CI125" i="4"/>
  <c r="CD147" i="4"/>
  <c r="CG180" i="4"/>
  <c r="CH183" i="4"/>
  <c r="CG164" i="4"/>
  <c r="CG157" i="4"/>
  <c r="CB168" i="4"/>
  <c r="CA110" i="4"/>
  <c r="CD34" i="4"/>
  <c r="CE33" i="4"/>
  <c r="CE95" i="4"/>
  <c r="CG65" i="4"/>
  <c r="CH112" i="4"/>
  <c r="CG94" i="4"/>
  <c r="CB149" i="4"/>
  <c r="CF96" i="4"/>
  <c r="CC133" i="4"/>
  <c r="CD117" i="4"/>
  <c r="CI160" i="4"/>
  <c r="CC143" i="4"/>
  <c r="CB95" i="4"/>
  <c r="CG147" i="4"/>
  <c r="CE187" i="4"/>
  <c r="CC150" i="4"/>
  <c r="CJ80" i="4"/>
  <c r="CA127" i="4"/>
  <c r="CI173" i="4"/>
  <c r="CH34" i="4"/>
  <c r="CH190" i="4"/>
  <c r="CI190" i="4"/>
  <c r="CC151" i="4"/>
  <c r="CI175" i="4"/>
  <c r="CG171" i="4"/>
  <c r="CI48" i="4"/>
  <c r="CD91" i="4"/>
  <c r="CH91" i="4"/>
  <c r="CG91" i="4"/>
  <c r="CG165" i="4"/>
  <c r="CF165" i="4"/>
  <c r="CC165" i="4"/>
  <c r="CH165" i="4"/>
  <c r="CB165" i="4"/>
  <c r="CD165" i="4"/>
  <c r="CE165" i="4"/>
  <c r="CJ96" i="4"/>
  <c r="CE91" i="4"/>
  <c r="CI182" i="4"/>
  <c r="CJ182" i="4"/>
  <c r="CF182" i="4"/>
  <c r="CG43" i="4"/>
  <c r="CC78" i="4"/>
  <c r="CD78" i="4"/>
  <c r="CF78" i="4"/>
  <c r="CJ78" i="4"/>
  <c r="CE78" i="4"/>
  <c r="CF91" i="4"/>
  <c r="CL65" i="4"/>
  <c r="CD75" i="4"/>
  <c r="CF105" i="4"/>
  <c r="CC61" i="4"/>
  <c r="CD61" i="4"/>
  <c r="CA61" i="4"/>
  <c r="CB61" i="4"/>
  <c r="CG61" i="4"/>
  <c r="CE61" i="4"/>
  <c r="CH61" i="4"/>
  <c r="CE96" i="4"/>
  <c r="CA165" i="4"/>
  <c r="CB107" i="4"/>
  <c r="CE107" i="4"/>
  <c r="CD107" i="4"/>
  <c r="CG107" i="4"/>
  <c r="BZ107" i="4"/>
  <c r="CC107" i="4"/>
  <c r="CC159" i="4"/>
  <c r="CE182" i="4"/>
  <c r="CF154" i="4"/>
  <c r="CH172" i="4"/>
  <c r="CG132" i="4"/>
  <c r="CH132" i="4"/>
  <c r="CF132" i="4"/>
  <c r="CD132" i="4"/>
  <c r="CE132" i="4"/>
  <c r="CC132" i="4"/>
  <c r="CB132" i="4"/>
  <c r="CI188" i="4"/>
  <c r="CH188" i="4"/>
  <c r="CH177" i="4"/>
  <c r="CG177" i="4"/>
  <c r="CD177" i="4"/>
  <c r="CB83" i="4"/>
  <c r="CC170" i="4"/>
  <c r="CE170" i="4"/>
  <c r="CH170" i="4"/>
  <c r="CD170" i="4"/>
  <c r="CI170" i="4"/>
  <c r="CG170" i="4"/>
  <c r="CD98" i="4"/>
  <c r="CH98" i="4"/>
  <c r="CE98" i="4"/>
  <c r="CF98" i="4"/>
  <c r="CB98" i="4"/>
  <c r="CC156" i="4"/>
  <c r="CF156" i="4"/>
  <c r="CB156" i="4"/>
  <c r="CH156" i="4"/>
  <c r="CD156" i="4"/>
  <c r="CC188" i="4"/>
  <c r="CE186" i="4"/>
  <c r="CE144" i="4"/>
  <c r="CI184" i="4"/>
  <c r="CE171" i="4"/>
  <c r="CH193" i="4"/>
  <c r="CD193" i="4"/>
  <c r="CC193" i="4"/>
  <c r="CG193" i="4"/>
  <c r="CG161" i="4"/>
  <c r="CF161" i="4"/>
  <c r="CF40" i="4"/>
  <c r="BZ40" i="4"/>
  <c r="CD40" i="4"/>
  <c r="CC40" i="4"/>
  <c r="CG40" i="4"/>
  <c r="CB40" i="4"/>
  <c r="CI70" i="4"/>
  <c r="CF100" i="4"/>
  <c r="CB100" i="4"/>
  <c r="CI100" i="4"/>
  <c r="CD100" i="4"/>
  <c r="CE77" i="4"/>
  <c r="CH77" i="4"/>
  <c r="CB77" i="4"/>
  <c r="CG77" i="4"/>
  <c r="CF77" i="4"/>
  <c r="CA77" i="4"/>
  <c r="CF110" i="4"/>
  <c r="CG116" i="4"/>
  <c r="CE116" i="4"/>
  <c r="CK116" i="4"/>
  <c r="CJ116" i="4"/>
  <c r="CI116" i="4"/>
  <c r="CF116" i="4"/>
  <c r="CK60" i="4"/>
  <c r="CB135" i="4"/>
  <c r="CE135" i="4"/>
  <c r="CH135" i="4"/>
  <c r="CF135" i="4"/>
  <c r="CF167" i="4"/>
  <c r="CH167" i="4"/>
  <c r="CB167" i="4"/>
  <c r="CG167" i="4"/>
  <c r="CE167" i="4"/>
  <c r="CC167" i="4"/>
  <c r="CF155" i="4"/>
  <c r="CJ155" i="4"/>
  <c r="CI155" i="4"/>
  <c r="CE155" i="4"/>
  <c r="CG174" i="4"/>
  <c r="CB193" i="4"/>
  <c r="CB190" i="4"/>
  <c r="CJ190" i="4" s="1"/>
  <c r="CE198" i="4"/>
  <c r="CD198" i="4"/>
  <c r="CA198" i="4"/>
  <c r="CF198" i="4"/>
  <c r="BZ198" i="4"/>
  <c r="CG198" i="4"/>
  <c r="CF115" i="4"/>
  <c r="CB115" i="4"/>
  <c r="CJ115" i="4" s="1"/>
  <c r="CH115" i="4"/>
  <c r="CE115" i="4"/>
  <c r="CG115" i="4"/>
  <c r="CC115" i="4"/>
  <c r="CD115" i="4"/>
  <c r="CC59" i="4"/>
  <c r="CH59" i="4"/>
  <c r="CI59" i="4"/>
  <c r="CG59" i="4"/>
  <c r="CF59" i="4"/>
  <c r="CD59" i="4"/>
  <c r="CF41" i="4"/>
  <c r="CH41" i="4"/>
  <c r="CE41" i="4"/>
  <c r="CI41" i="4"/>
  <c r="CJ74" i="4"/>
  <c r="CI74" i="4"/>
  <c r="CF82" i="4"/>
  <c r="CF104" i="4"/>
  <c r="CD52" i="4"/>
  <c r="CF52" i="4"/>
  <c r="CB52" i="4"/>
  <c r="CJ52" i="4" s="1"/>
  <c r="CH52" i="4"/>
  <c r="CE52" i="4"/>
  <c r="CG52" i="4"/>
  <c r="CI52" i="4"/>
  <c r="CH76" i="4"/>
  <c r="CE138" i="4"/>
  <c r="CF157" i="4"/>
  <c r="CH178" i="4"/>
  <c r="CF171" i="4"/>
  <c r="CD199" i="4"/>
  <c r="CG199" i="4"/>
  <c r="CC199" i="4"/>
  <c r="CF199" i="4"/>
  <c r="CH161" i="4"/>
  <c r="CC52" i="4"/>
  <c r="CE65" i="4"/>
  <c r="CC75" i="4"/>
  <c r="CD105" i="4"/>
  <c r="CG130" i="4"/>
  <c r="CK96" i="4"/>
  <c r="CI183" i="4"/>
  <c r="CH171" i="4"/>
  <c r="CJ50" i="4"/>
  <c r="CJ49" i="4"/>
  <c r="CI67" i="4"/>
  <c r="CE67" i="4"/>
  <c r="CE88" i="4"/>
  <c r="CE153" i="4"/>
  <c r="CH194" i="4"/>
  <c r="CH120" i="4"/>
  <c r="CK130" i="4"/>
  <c r="CG72" i="4"/>
  <c r="CF72" i="4"/>
  <c r="CE60" i="4"/>
  <c r="CG60" i="4"/>
  <c r="CI195" i="4"/>
  <c r="CD58" i="4"/>
  <c r="CB58" i="4"/>
  <c r="CH58" i="4"/>
  <c r="CE58" i="4"/>
  <c r="CC58" i="4"/>
  <c r="CG58" i="4"/>
  <c r="CG97" i="4"/>
  <c r="CF97" i="4"/>
  <c r="CC97" i="4"/>
  <c r="CD97" i="4"/>
  <c r="CH134" i="4"/>
  <c r="CI134" i="4"/>
  <c r="CF134" i="4"/>
  <c r="CD134" i="4"/>
  <c r="CH139" i="4"/>
  <c r="CF139" i="4"/>
  <c r="CE139" i="4"/>
  <c r="CB139" i="4"/>
  <c r="CG71" i="4"/>
  <c r="CH71" i="4"/>
  <c r="CG87" i="4"/>
  <c r="CH87" i="4"/>
  <c r="CF87" i="4"/>
  <c r="CD87" i="4"/>
  <c r="CB134" i="4"/>
  <c r="CK134" i="4" s="1"/>
  <c r="CF149" i="4"/>
  <c r="CE149" i="4"/>
  <c r="CD149" i="4"/>
  <c r="CL149" i="4" s="1"/>
  <c r="CG169" i="4"/>
  <c r="CI169" i="4"/>
  <c r="CF169" i="4"/>
  <c r="CE169" i="4"/>
  <c r="CC169" i="4"/>
  <c r="CF189" i="4"/>
  <c r="CG189" i="4"/>
  <c r="CD189" i="4"/>
  <c r="CC189" i="4"/>
  <c r="CB189" i="4"/>
  <c r="CH189" i="4"/>
  <c r="CE113" i="4"/>
  <c r="CF113" i="4"/>
  <c r="CG113" i="4"/>
  <c r="CC113" i="4"/>
  <c r="CH113" i="4"/>
  <c r="CB48" i="4"/>
  <c r="CJ48" i="4" s="1"/>
  <c r="CG48" i="4"/>
  <c r="CE48" i="4"/>
  <c r="CC48" i="4"/>
  <c r="CH48" i="4"/>
  <c r="CD48" i="4"/>
  <c r="CF48" i="4"/>
  <c r="CG78" i="4"/>
  <c r="CA91" i="4"/>
  <c r="CB97" i="4"/>
  <c r="CL97" i="4" s="1"/>
  <c r="CE121" i="4"/>
  <c r="CF121" i="4"/>
  <c r="CD121" i="4"/>
  <c r="CC121" i="4"/>
  <c r="CG121" i="4"/>
  <c r="CH121" i="4"/>
  <c r="CA94" i="4"/>
  <c r="CH149" i="4"/>
  <c r="CA139" i="4"/>
  <c r="CI139" i="4" s="1"/>
  <c r="CC182" i="4"/>
  <c r="CK182" i="4" s="1"/>
  <c r="CF71" i="4"/>
  <c r="CG175" i="4"/>
  <c r="CE154" i="4"/>
  <c r="CB172" i="4"/>
  <c r="CI172" i="4"/>
  <c r="CF172" i="4"/>
  <c r="CF185" i="4"/>
  <c r="CD68" i="4"/>
  <c r="CC68" i="4"/>
  <c r="CH79" i="4"/>
  <c r="CD79" i="4"/>
  <c r="CA79" i="4"/>
  <c r="CI79" i="4" s="1"/>
  <c r="CB79" i="4"/>
  <c r="CJ79" i="4" s="1"/>
  <c r="CG79" i="4"/>
  <c r="CE79" i="4"/>
  <c r="CG69" i="4"/>
  <c r="CG146" i="4"/>
  <c r="CE194" i="4"/>
  <c r="CF186" i="4"/>
  <c r="CE184" i="4"/>
  <c r="CJ149" i="4"/>
  <c r="CE128" i="4"/>
  <c r="CG128" i="4"/>
  <c r="CB128" i="4"/>
  <c r="CF128" i="4"/>
  <c r="CI128" i="4"/>
  <c r="CI198" i="4"/>
  <c r="CH40" i="4"/>
  <c r="CK149" i="4"/>
  <c r="CB33" i="4"/>
  <c r="CC37" i="4"/>
  <c r="CH137" i="4"/>
  <c r="CI137" i="4"/>
  <c r="CD137" i="4"/>
  <c r="CE137" i="4"/>
  <c r="CE177" i="4"/>
  <c r="CF86" i="4"/>
  <c r="CJ86" i="4"/>
  <c r="CH86" i="4"/>
  <c r="CB178" i="4"/>
  <c r="CJ178" i="4" s="1"/>
  <c r="CF178" i="4"/>
  <c r="CD162" i="4"/>
  <c r="CE162" i="4"/>
  <c r="CG162" i="4"/>
  <c r="CH162" i="4"/>
  <c r="CB162" i="4"/>
  <c r="CI39" i="4"/>
  <c r="CH39" i="4"/>
  <c r="CE39" i="4"/>
  <c r="CF39" i="4"/>
  <c r="CD99" i="4"/>
  <c r="CE99" i="4"/>
  <c r="CH99" i="4"/>
  <c r="CG99" i="4"/>
  <c r="CF99" i="4"/>
  <c r="CC99" i="4"/>
  <c r="CB99" i="4"/>
  <c r="CE174" i="4"/>
  <c r="CB174" i="4"/>
  <c r="CA174" i="4"/>
  <c r="CF174" i="4"/>
  <c r="CG108" i="4"/>
  <c r="CE108" i="4"/>
  <c r="CF108" i="4"/>
  <c r="CA63" i="4"/>
  <c r="CI63" i="4" s="1"/>
  <c r="CB63" i="4"/>
  <c r="CG63" i="4"/>
  <c r="CH63" i="4"/>
  <c r="CE63" i="4"/>
  <c r="CF63" i="4"/>
  <c r="CD63" i="4"/>
  <c r="CC63" i="4"/>
  <c r="CI62" i="4"/>
  <c r="CD43" i="4"/>
  <c r="CB43" i="4"/>
  <c r="CK43" i="4" s="1"/>
  <c r="CH43" i="4"/>
  <c r="CI43" i="4"/>
  <c r="CF43" i="4"/>
  <c r="CE43" i="4"/>
  <c r="CB55" i="4"/>
  <c r="CH78" i="4"/>
  <c r="CB87" i="4"/>
  <c r="CA87" i="4"/>
  <c r="CB91" i="4"/>
  <c r="CE75" i="4"/>
  <c r="CI105" i="4"/>
  <c r="CH97" i="4"/>
  <c r="CB121" i="4"/>
  <c r="CE94" i="4"/>
  <c r="CG134" i="4"/>
  <c r="CG149" i="4"/>
  <c r="CG139" i="4"/>
  <c r="CF107" i="4"/>
  <c r="CB151" i="4"/>
  <c r="CF159" i="4"/>
  <c r="CD182" i="4"/>
  <c r="CB71" i="4"/>
  <c r="CK71" i="4" s="1"/>
  <c r="CI136" i="4"/>
  <c r="CD136" i="4"/>
  <c r="CF136" i="4"/>
  <c r="CB136" i="4"/>
  <c r="CC136" i="4"/>
  <c r="CG136" i="4"/>
  <c r="CC192" i="4"/>
  <c r="CK192" i="4" s="1"/>
  <c r="CF192" i="4"/>
  <c r="CH114" i="4"/>
  <c r="CE114" i="4"/>
  <c r="CJ114" i="4"/>
  <c r="CG114" i="4"/>
  <c r="CI114" i="4"/>
  <c r="CD114" i="4"/>
  <c r="CL114" i="4" s="1"/>
  <c r="CF114" i="4"/>
  <c r="CB154" i="4"/>
  <c r="CD172" i="4"/>
  <c r="CE185" i="4"/>
  <c r="CE195" i="4"/>
  <c r="CC177" i="4"/>
  <c r="CF177" i="4"/>
  <c r="CE146" i="4"/>
  <c r="CE76" i="4"/>
  <c r="CG76" i="4"/>
  <c r="CI76" i="4"/>
  <c r="CF76" i="4"/>
  <c r="CB196" i="4"/>
  <c r="CK196" i="4" s="1"/>
  <c r="CI196" i="4"/>
  <c r="CD38" i="4"/>
  <c r="CG38" i="4"/>
  <c r="CF38" i="4"/>
  <c r="CH38" i="4"/>
  <c r="CJ38" i="4"/>
  <c r="CC38" i="4"/>
  <c r="CB125" i="4"/>
  <c r="CJ125" i="4" s="1"/>
  <c r="CD125" i="4"/>
  <c r="CE125" i="4"/>
  <c r="CC125" i="4"/>
  <c r="CG125" i="4"/>
  <c r="CE66" i="4"/>
  <c r="CJ66" i="4"/>
  <c r="CG66" i="4"/>
  <c r="CD66" i="4"/>
  <c r="CC66" i="4"/>
  <c r="CH66" i="4"/>
  <c r="CB113" i="4"/>
  <c r="CF109" i="4"/>
  <c r="CC109" i="4"/>
  <c r="CH109" i="4"/>
  <c r="CE109" i="4"/>
  <c r="CG109" i="4"/>
  <c r="CD109" i="4"/>
  <c r="CD45" i="4"/>
  <c r="CI38" i="4"/>
  <c r="CF66" i="4"/>
  <c r="CF67" i="4"/>
  <c r="CC79" i="4"/>
  <c r="CK79" i="4" s="1"/>
  <c r="CA109" i="4"/>
  <c r="CG83" i="4"/>
  <c r="CH83" i="4"/>
  <c r="CJ83" i="4"/>
  <c r="CD83" i="4"/>
  <c r="CF83" i="4"/>
  <c r="CC83" i="4"/>
  <c r="CK83" i="4" s="1"/>
  <c r="CB117" i="4"/>
  <c r="CC166" i="4"/>
  <c r="CC153" i="4"/>
  <c r="CK153" i="4" s="1"/>
  <c r="CH153" i="4"/>
  <c r="CB170" i="4"/>
  <c r="CK170" i="4" s="1"/>
  <c r="CG98" i="4"/>
  <c r="CF145" i="4"/>
  <c r="CB145" i="4"/>
  <c r="CD145" i="4"/>
  <c r="CE145" i="4"/>
  <c r="CH145" i="4"/>
  <c r="CC194" i="4"/>
  <c r="CK194" i="4" s="1"/>
  <c r="CG156" i="4"/>
  <c r="CD176" i="4"/>
  <c r="CE188" i="4"/>
  <c r="CD120" i="4"/>
  <c r="CD186" i="4"/>
  <c r="CG186" i="4"/>
  <c r="CF181" i="4"/>
  <c r="CD184" i="4"/>
  <c r="CG184" i="4"/>
  <c r="CG53" i="4"/>
  <c r="CI99" i="4"/>
  <c r="CE82" i="4"/>
  <c r="CB82" i="4"/>
  <c r="CD51" i="4"/>
  <c r="BZ51" i="4"/>
  <c r="CG51" i="4"/>
  <c r="CA51" i="4"/>
  <c r="CE51" i="4"/>
  <c r="CF51" i="4"/>
  <c r="CA46" i="4"/>
  <c r="CI46" i="4" s="1"/>
  <c r="CB46" i="4"/>
  <c r="CH46" i="4"/>
  <c r="CF46" i="4"/>
  <c r="CG46" i="4"/>
  <c r="CD46" i="4"/>
  <c r="CA57" i="4"/>
  <c r="CJ57" i="4" s="1"/>
  <c r="CD57" i="4"/>
  <c r="CL57" i="4" s="1"/>
  <c r="CH57" i="4"/>
  <c r="CK57" i="4"/>
  <c r="CE57" i="4"/>
  <c r="CF57" i="4"/>
  <c r="CB39" i="4"/>
  <c r="CJ39" i="4" s="1"/>
  <c r="CC56" i="4"/>
  <c r="CA56" i="4"/>
  <c r="CF56" i="4"/>
  <c r="CE56" i="4"/>
  <c r="CH56" i="4"/>
  <c r="CG56" i="4"/>
  <c r="CB56" i="4"/>
  <c r="CD93" i="4"/>
  <c r="CC93" i="4"/>
  <c r="CG93" i="4"/>
  <c r="CH93" i="4"/>
  <c r="CF93" i="4"/>
  <c r="CG70" i="4"/>
  <c r="CE70" i="4"/>
  <c r="CH70" i="4"/>
  <c r="CC70" i="4"/>
  <c r="CD70" i="4"/>
  <c r="CB85" i="4"/>
  <c r="CF85" i="4"/>
  <c r="CH85" i="4"/>
  <c r="CC85" i="4"/>
  <c r="CG85" i="4"/>
  <c r="CJ122" i="4"/>
  <c r="CE122" i="4"/>
  <c r="CH141" i="4"/>
  <c r="CH60" i="4"/>
  <c r="CC135" i="4"/>
  <c r="CG135" i="4"/>
  <c r="CD133" i="4"/>
  <c r="CC155" i="4"/>
  <c r="CK155" i="4" s="1"/>
  <c r="CH155" i="4"/>
  <c r="CC174" i="4"/>
  <c r="CH174" i="4"/>
  <c r="CB187" i="4"/>
  <c r="CB106" i="4"/>
  <c r="CK106" i="4" s="1"/>
  <c r="CI106" i="4"/>
  <c r="CG106" i="4"/>
  <c r="CD106" i="4"/>
  <c r="CH106" i="4"/>
  <c r="CE106" i="4"/>
  <c r="CF106" i="4"/>
  <c r="CI158" i="4"/>
  <c r="CH158" i="4"/>
  <c r="CD158" i="4"/>
  <c r="CG158" i="4"/>
  <c r="CC158" i="4"/>
  <c r="CB158" i="4"/>
  <c r="CJ158" i="4" s="1"/>
  <c r="CF158" i="4"/>
  <c r="CE190" i="4"/>
  <c r="CC190" i="4"/>
  <c r="CC198" i="4"/>
  <c r="CG55" i="4"/>
  <c r="CE86" i="4"/>
  <c r="CD191" i="4"/>
  <c r="CC191" i="4"/>
  <c r="CB191" i="4"/>
  <c r="CF191" i="4"/>
  <c r="CH191" i="4"/>
  <c r="CG191" i="4"/>
  <c r="CJ191" i="4"/>
  <c r="CI159" i="4"/>
  <c r="CH159" i="4"/>
  <c r="CF58" i="4"/>
  <c r="CD42" i="4"/>
  <c r="CF42" i="4"/>
  <c r="CC42" i="4"/>
  <c r="CB42" i="4"/>
  <c r="CJ42" i="4" s="1"/>
  <c r="CG42" i="4"/>
  <c r="CC41" i="4"/>
  <c r="CD82" i="4"/>
  <c r="CG82" i="4"/>
  <c r="CI90" i="4"/>
  <c r="CB90" i="4"/>
  <c r="CH90" i="4"/>
  <c r="CD90" i="4"/>
  <c r="CD54" i="4"/>
  <c r="CE73" i="4"/>
  <c r="CI73" i="4"/>
  <c r="CG73" i="4"/>
  <c r="CF73" i="4"/>
  <c r="CD73" i="4"/>
  <c r="CC73" i="4"/>
  <c r="CG104" i="4"/>
  <c r="CJ104" i="4"/>
  <c r="CE104" i="4"/>
  <c r="CI104" i="4"/>
  <c r="CC104" i="4"/>
  <c r="CD104" i="4"/>
  <c r="CH104" i="4"/>
  <c r="CF111" i="4"/>
  <c r="CD111" i="4"/>
  <c r="CH111" i="4"/>
  <c r="CB111" i="4"/>
  <c r="CJ111" i="4" s="1"/>
  <c r="CE111" i="4"/>
  <c r="CG111" i="4"/>
  <c r="CC111" i="4"/>
  <c r="CB76" i="4"/>
  <c r="CI148" i="4"/>
  <c r="CC148" i="4"/>
  <c r="CF148" i="4"/>
  <c r="CH148" i="4"/>
  <c r="CG148" i="4"/>
  <c r="CB148" i="4"/>
  <c r="CL148" i="4" s="1"/>
  <c r="CB138" i="4"/>
  <c r="CJ138" i="4" s="1"/>
  <c r="CC138" i="4"/>
  <c r="CD142" i="4"/>
  <c r="CH142" i="4"/>
  <c r="CI142" i="4"/>
  <c r="CJ142" i="4"/>
  <c r="CL142" i="4"/>
  <c r="CF142" i="4"/>
  <c r="CK142" i="4"/>
  <c r="CB157" i="4"/>
  <c r="CH196" i="4"/>
  <c r="CD171" i="4"/>
  <c r="CD108" i="4"/>
  <c r="CA108" i="4"/>
  <c r="CG168" i="4"/>
  <c r="CH168" i="4"/>
  <c r="CD168" i="4"/>
  <c r="CI168" i="4"/>
  <c r="CE168" i="4"/>
  <c r="CB183" i="4"/>
  <c r="BZ199" i="4"/>
  <c r="CH199" i="4" s="1"/>
  <c r="CB169" i="4"/>
  <c r="CJ169" i="4" s="1"/>
  <c r="CH169" i="4"/>
  <c r="CC173" i="4"/>
  <c r="CD161" i="4"/>
  <c r="CA161" i="4"/>
  <c r="CJ161" i="4" s="1"/>
  <c r="CB101" i="4"/>
  <c r="CF101" i="4"/>
  <c r="CG101" i="4"/>
  <c r="CD101" i="4"/>
  <c r="CH101" i="4"/>
  <c r="CI78" i="4"/>
  <c r="CI121" i="4"/>
  <c r="CI65" i="4"/>
  <c r="CH105" i="4"/>
  <c r="CE105" i="4"/>
  <c r="CE134" i="4"/>
  <c r="CH96" i="4"/>
  <c r="CJ137" i="4"/>
  <c r="CF61" i="4"/>
  <c r="CI191" i="4"/>
  <c r="CI50" i="4"/>
  <c r="CD50" i="4"/>
  <c r="CF49" i="4"/>
  <c r="CI49" i="4"/>
  <c r="CH67" i="4"/>
  <c r="CH88" i="4"/>
  <c r="CB68" i="4"/>
  <c r="CJ68" i="4" s="1"/>
  <c r="CG68" i="4"/>
  <c r="CD80" i="4"/>
  <c r="CE69" i="4"/>
  <c r="CI120" i="4"/>
  <c r="CH100" i="4"/>
  <c r="CC72" i="4"/>
  <c r="CK72" i="4" s="1"/>
  <c r="CG122" i="4"/>
  <c r="CJ60" i="4"/>
  <c r="CF60" i="4"/>
  <c r="CG118" i="4"/>
  <c r="CK114" i="4"/>
  <c r="CI193" i="4"/>
  <c r="CG172" i="4"/>
  <c r="CF55" i="4"/>
  <c r="CC175" i="4"/>
  <c r="CF175" i="4"/>
  <c r="CH175" i="4"/>
  <c r="CI192" i="4"/>
  <c r="CC172" i="4"/>
  <c r="CD103" i="4"/>
  <c r="CC103" i="4"/>
  <c r="CE103" i="4"/>
  <c r="CB103" i="4"/>
  <c r="CJ103" i="4" s="1"/>
  <c r="CG103" i="4"/>
  <c r="CF103" i="4"/>
  <c r="CH103" i="4"/>
  <c r="CF137" i="4"/>
  <c r="CE85" i="4"/>
  <c r="CG129" i="4"/>
  <c r="CF129" i="4"/>
  <c r="CC129" i="4"/>
  <c r="CD129" i="4"/>
  <c r="CB129" i="4"/>
  <c r="CB163" i="4"/>
  <c r="CI163" i="4"/>
  <c r="CF163" i="4"/>
  <c r="CH163" i="4"/>
  <c r="CE84" i="4"/>
  <c r="CG133" i="4"/>
  <c r="CE133" i="4"/>
  <c r="CF133" i="4"/>
  <c r="CC88" i="4"/>
  <c r="CK88" i="4" s="1"/>
  <c r="CG88" i="4"/>
  <c r="CE92" i="4"/>
  <c r="CD92" i="4"/>
  <c r="CH92" i="4"/>
  <c r="CF92" i="4"/>
  <c r="CB92" i="4"/>
  <c r="CA92" i="4"/>
  <c r="CI68" i="4"/>
  <c r="CF69" i="4"/>
  <c r="CD113" i="4"/>
  <c r="CA113" i="4"/>
  <c r="CK113" i="4" s="1"/>
  <c r="CB146" i="4"/>
  <c r="CA166" i="4"/>
  <c r="CJ166" i="4" s="1"/>
  <c r="CH166" i="4"/>
  <c r="CD166" i="4"/>
  <c r="CE166" i="4"/>
  <c r="CI166" i="4"/>
  <c r="CJ170" i="4"/>
  <c r="CF170" i="4"/>
  <c r="CC98" i="4"/>
  <c r="CH179" i="4"/>
  <c r="CF194" i="4"/>
  <c r="CI194" i="4"/>
  <c r="CB143" i="4"/>
  <c r="CK143" i="4" s="1"/>
  <c r="CE143" i="4"/>
  <c r="CH143" i="4"/>
  <c r="CI143" i="4"/>
  <c r="CJ143" i="4"/>
  <c r="CF143" i="4"/>
  <c r="CE156" i="4"/>
  <c r="CG176" i="4"/>
  <c r="CD188" i="4"/>
  <c r="CG188" i="4"/>
  <c r="CF188" i="4"/>
  <c r="CF120" i="4"/>
  <c r="CJ186" i="4"/>
  <c r="CH184" i="4"/>
  <c r="CE59" i="4"/>
  <c r="CE136" i="4"/>
  <c r="CH44" i="4"/>
  <c r="CG44" i="4"/>
  <c r="CB44" i="4"/>
  <c r="CJ44" i="4" s="1"/>
  <c r="CI44" i="4"/>
  <c r="CF44" i="4"/>
  <c r="CD197" i="4"/>
  <c r="CC197" i="4"/>
  <c r="BZ197" i="4"/>
  <c r="CB197" i="4"/>
  <c r="CG197" i="4"/>
  <c r="CE46" i="4"/>
  <c r="CD39" i="4"/>
  <c r="CE81" i="4"/>
  <c r="CH89" i="4"/>
  <c r="CG89" i="4"/>
  <c r="CC89" i="4"/>
  <c r="CD89" i="4"/>
  <c r="CF89" i="4"/>
  <c r="CE100" i="4"/>
  <c r="CI95" i="4"/>
  <c r="CA135" i="4"/>
  <c r="CI135" i="4" s="1"/>
  <c r="CB147" i="4"/>
  <c r="CH147" i="4"/>
  <c r="CE147" i="4"/>
  <c r="CI147" i="4"/>
  <c r="CF147" i="4"/>
  <c r="BZ133" i="4"/>
  <c r="CH133" i="4" s="1"/>
  <c r="CD155" i="4"/>
  <c r="CL155" i="4" s="1"/>
  <c r="CD174" i="4"/>
  <c r="CF193" i="4"/>
  <c r="CB102" i="4"/>
  <c r="CG102" i="4"/>
  <c r="CC102" i="4"/>
  <c r="CH102" i="4"/>
  <c r="CD102" i="4"/>
  <c r="CA102" i="4"/>
  <c r="CI102" i="4" s="1"/>
  <c r="CF102" i="4"/>
  <c r="CE102" i="4"/>
  <c r="CG150" i="4"/>
  <c r="CI150" i="4"/>
  <c r="CJ150" i="4"/>
  <c r="CH150" i="4"/>
  <c r="CK150" i="4"/>
  <c r="CD150" i="4"/>
  <c r="CL150" i="4" s="1"/>
  <c r="CF150" i="4"/>
  <c r="CF180" i="4"/>
  <c r="CB180" i="4"/>
  <c r="CJ180" i="4" s="1"/>
  <c r="CI180" i="4"/>
  <c r="CE180" i="4"/>
  <c r="CK190" i="4"/>
  <c r="CG190" i="4"/>
  <c r="CE131" i="4"/>
  <c r="CC131" i="4"/>
  <c r="CB131" i="4"/>
  <c r="CA131" i="4"/>
  <c r="CF131" i="4"/>
  <c r="CD131" i="4"/>
  <c r="BZ131" i="4"/>
  <c r="CG131" i="4"/>
  <c r="CJ163" i="4"/>
  <c r="CI103" i="4"/>
  <c r="CE196" i="4"/>
  <c r="CE54" i="4"/>
  <c r="CB54" i="4"/>
  <c r="CI54" i="4"/>
  <c r="CF54" i="4"/>
  <c r="CC54" i="4"/>
  <c r="CG183" i="4"/>
  <c r="CC183" i="4"/>
  <c r="CK183" i="4" s="1"/>
  <c r="CF183" i="4"/>
  <c r="CD84" i="4"/>
  <c r="CA84" i="4"/>
  <c r="CB84" i="4"/>
  <c r="CA58" i="4"/>
  <c r="CK58" i="4" s="1"/>
  <c r="CD41" i="4"/>
  <c r="CC82" i="4"/>
  <c r="CA82" i="4"/>
  <c r="CC84" i="4"/>
  <c r="BZ84" i="4"/>
  <c r="CH84" i="4" s="1"/>
  <c r="CF127" i="4"/>
  <c r="CD76" i="4"/>
  <c r="CI86" i="4"/>
  <c r="CK86" i="4"/>
  <c r="CI138" i="4"/>
  <c r="CL138" i="4"/>
  <c r="CH138" i="4"/>
  <c r="CF138" i="4"/>
  <c r="CF164" i="4"/>
  <c r="CJ164" i="4"/>
  <c r="CE164" i="4"/>
  <c r="CC164" i="4"/>
  <c r="CK164" i="4" s="1"/>
  <c r="CH164" i="4"/>
  <c r="CD164" i="4"/>
  <c r="CA197" i="4"/>
  <c r="CG142" i="4"/>
  <c r="CK157" i="4"/>
  <c r="CH157" i="4"/>
  <c r="CJ157" i="4"/>
  <c r="CD157" i="4"/>
  <c r="CL157" i="4" s="1"/>
  <c r="CC178" i="4"/>
  <c r="CK178" i="4" s="1"/>
  <c r="CG196" i="4"/>
  <c r="CG124" i="4"/>
  <c r="CK124" i="4"/>
  <c r="CI124" i="4"/>
  <c r="CJ124" i="4"/>
  <c r="CH124" i="4"/>
  <c r="CE124" i="4"/>
  <c r="CC171" i="4"/>
  <c r="CA171" i="4"/>
  <c r="CJ168" i="4"/>
  <c r="CD183" i="4"/>
  <c r="CJ183" i="4"/>
  <c r="CD128" i="4"/>
  <c r="CL173" i="4"/>
  <c r="CG173" i="4"/>
  <c r="CH173" i="4"/>
  <c r="CK173" i="4"/>
  <c r="CC161" i="4"/>
  <c r="CE87" i="4"/>
  <c r="CH65" i="4"/>
  <c r="CJ105" i="4"/>
  <c r="CC105" i="4"/>
  <c r="CL105" i="4" s="1"/>
  <c r="CI96" i="4"/>
  <c r="CD96" i="4"/>
  <c r="CL96" i="4" s="1"/>
  <c r="CI165" i="4"/>
  <c r="CH118" i="4"/>
  <c r="CA177" i="4"/>
  <c r="CI177" i="4" s="1"/>
  <c r="CL80" i="4"/>
  <c r="CC50" i="4"/>
  <c r="CK50" i="4" s="1"/>
  <c r="CE50" i="4"/>
  <c r="CH49" i="4"/>
  <c r="CD49" i="4"/>
  <c r="CL49" i="4" s="1"/>
  <c r="CG67" i="4"/>
  <c r="CD88" i="4"/>
  <c r="CL88" i="4" s="1"/>
  <c r="CE68" i="4"/>
  <c r="CF80" i="4"/>
  <c r="CG80" i="4"/>
  <c r="CH69" i="4"/>
  <c r="CE191" i="4"/>
  <c r="CJ120" i="4"/>
  <c r="CJ184" i="4"/>
  <c r="CH129" i="4"/>
  <c r="BZ82" i="4"/>
  <c r="CD72" i="4"/>
  <c r="CI122" i="4"/>
  <c r="CI60" i="4"/>
  <c r="CG178" i="4"/>
  <c r="CL124" i="4"/>
  <c r="CD153" i="4"/>
  <c r="CL153" i="4" s="1"/>
  <c r="CI153" i="4"/>
  <c r="CG75" i="4"/>
  <c r="CF75" i="4"/>
  <c r="CI75" i="4"/>
  <c r="CB75" i="4"/>
  <c r="CK75" i="4" s="1"/>
  <c r="CE141" i="4"/>
  <c r="CB141" i="4"/>
  <c r="CI141" i="4"/>
  <c r="CD141" i="4"/>
  <c r="CH185" i="4"/>
  <c r="CD185" i="4"/>
  <c r="CC185" i="4"/>
  <c r="CG185" i="4"/>
  <c r="CI151" i="4"/>
  <c r="CF151" i="4"/>
  <c r="CD151" i="4"/>
  <c r="CL151" i="4" s="1"/>
  <c r="CK151" i="4"/>
  <c r="CH151" i="4"/>
  <c r="CE151" i="4"/>
  <c r="CD55" i="4"/>
  <c r="CC55" i="4"/>
  <c r="CH55" i="4"/>
  <c r="CI97" i="4"/>
  <c r="CI130" i="4"/>
  <c r="CJ130" i="4"/>
  <c r="CE130" i="4"/>
  <c r="CD130" i="4"/>
  <c r="CL130" i="4" s="1"/>
  <c r="CF130" i="4"/>
  <c r="CB94" i="4"/>
  <c r="CJ94" i="4" s="1"/>
  <c r="CD94" i="4"/>
  <c r="CH94" i="4"/>
  <c r="CF94" i="4"/>
  <c r="CI94" i="4"/>
  <c r="CD175" i="4"/>
  <c r="CH186" i="4"/>
  <c r="CI186" i="4"/>
  <c r="CD64" i="4"/>
  <c r="CF64" i="4"/>
  <c r="CH64" i="4"/>
  <c r="CG64" i="4"/>
  <c r="CE64" i="4"/>
  <c r="CC64" i="4"/>
  <c r="CB64" i="4"/>
  <c r="CH62" i="4"/>
  <c r="CE62" i="4"/>
  <c r="CG62" i="4"/>
  <c r="CF62" i="4"/>
  <c r="CB62" i="4"/>
  <c r="CJ62" i="4" s="1"/>
  <c r="CC62" i="4"/>
  <c r="CD62" i="4"/>
  <c r="CI91" i="4"/>
  <c r="CE97" i="4"/>
  <c r="CG112" i="4"/>
  <c r="CF112" i="4"/>
  <c r="CL112" i="4"/>
  <c r="CJ112" i="4"/>
  <c r="CE112" i="4"/>
  <c r="CI112" i="4"/>
  <c r="CK112" i="4"/>
  <c r="CD139" i="4"/>
  <c r="CJ151" i="4"/>
  <c r="CG151" i="4"/>
  <c r="CB159" i="4"/>
  <c r="CL159" i="4" s="1"/>
  <c r="CH182" i="4"/>
  <c r="CD71" i="4"/>
  <c r="CB175" i="4"/>
  <c r="CK175" i="4" s="1"/>
  <c r="CI154" i="4"/>
  <c r="CJ154" i="4"/>
  <c r="CG154" i="4"/>
  <c r="CH154" i="4"/>
  <c r="CC154" i="4"/>
  <c r="CB185" i="4"/>
  <c r="CC137" i="4"/>
  <c r="CK137" i="4" s="1"/>
  <c r="CG137" i="4"/>
  <c r="CH195" i="4"/>
  <c r="CK195" i="4"/>
  <c r="CJ195" i="4"/>
  <c r="CG195" i="4"/>
  <c r="CD195" i="4"/>
  <c r="CL195" i="4" s="1"/>
  <c r="CE178" i="4"/>
  <c r="CI64" i="4"/>
  <c r="CE199" i="4"/>
  <c r="CH192" i="4"/>
  <c r="CL192" i="4"/>
  <c r="CJ192" i="4"/>
  <c r="CF119" i="4"/>
  <c r="CG160" i="4"/>
  <c r="CF160" i="4"/>
  <c r="CD160" i="4"/>
  <c r="CE160" i="4"/>
  <c r="CH160" i="4"/>
  <c r="CB160" i="4"/>
  <c r="CK160" i="4" s="1"/>
  <c r="CC95" i="4"/>
  <c r="CK95" i="4" s="1"/>
  <c r="CI176" i="4"/>
  <c r="CB176" i="4"/>
  <c r="CF176" i="4"/>
  <c r="CE45" i="4"/>
  <c r="CI45" i="4"/>
  <c r="CF45" i="4"/>
  <c r="CB45" i="4"/>
  <c r="CH45" i="4"/>
  <c r="CF79" i="4"/>
  <c r="CG92" i="4"/>
  <c r="CF68" i="4"/>
  <c r="CI115" i="4"/>
  <c r="CD123" i="4"/>
  <c r="CB123" i="4"/>
  <c r="CE123" i="4"/>
  <c r="BZ123" i="4"/>
  <c r="CH123" i="4" s="1"/>
  <c r="CG123" i="4"/>
  <c r="CC123" i="4"/>
  <c r="CK69" i="4"/>
  <c r="CI83" i="4"/>
  <c r="BZ117" i="4"/>
  <c r="CE117" i="4"/>
  <c r="CF117" i="4"/>
  <c r="CG117" i="4"/>
  <c r="CC117" i="4"/>
  <c r="CC140" i="4"/>
  <c r="CG140" i="4"/>
  <c r="CI140" i="4"/>
  <c r="CD140" i="4"/>
  <c r="CF140" i="4"/>
  <c r="CB140" i="4"/>
  <c r="CK146" i="4"/>
  <c r="CI146" i="4"/>
  <c r="CJ146" i="4"/>
  <c r="CD146" i="4"/>
  <c r="CL146" i="4" s="1"/>
  <c r="CF146" i="4"/>
  <c r="CH146" i="4"/>
  <c r="CF166" i="4"/>
  <c r="CF153" i="4"/>
  <c r="CI98" i="4"/>
  <c r="CC145" i="4"/>
  <c r="CL145" i="4" s="1"/>
  <c r="CE179" i="4"/>
  <c r="CC179" i="4"/>
  <c r="CK179" i="4" s="1"/>
  <c r="CD179" i="4"/>
  <c r="CF179" i="4"/>
  <c r="CD194" i="4"/>
  <c r="CL194" i="4" s="1"/>
  <c r="CJ194" i="4"/>
  <c r="CD143" i="4"/>
  <c r="CA156" i="4"/>
  <c r="CL156" i="4" s="1"/>
  <c r="CC176" i="4"/>
  <c r="CB188" i="4"/>
  <c r="CL188" i="4" s="1"/>
  <c r="CC120" i="4"/>
  <c r="CL120" i="4" s="1"/>
  <c r="CC186" i="4"/>
  <c r="CL186" i="4" s="1"/>
  <c r="CI144" i="4"/>
  <c r="CB144" i="4"/>
  <c r="CJ144" i="4" s="1"/>
  <c r="CG144" i="4"/>
  <c r="CF144" i="4"/>
  <c r="CH144" i="4"/>
  <c r="CC144" i="4"/>
  <c r="CL144" i="4" s="1"/>
  <c r="CD181" i="4"/>
  <c r="CK181" i="4"/>
  <c r="CG181" i="4"/>
  <c r="CH181" i="4"/>
  <c r="CL181" i="4"/>
  <c r="CC184" i="4"/>
  <c r="CL184" i="4" s="1"/>
  <c r="CI162" i="4"/>
  <c r="CE44" i="4"/>
  <c r="CH187" i="4"/>
  <c r="CJ187" i="4"/>
  <c r="CD187" i="4"/>
  <c r="CC187" i="4"/>
  <c r="CG187" i="4"/>
  <c r="CF187" i="4"/>
  <c r="CD77" i="4"/>
  <c r="CD110" i="4"/>
  <c r="CH110" i="4"/>
  <c r="CE110" i="4"/>
  <c r="CI110" i="4"/>
  <c r="CG110" i="4"/>
  <c r="CC51" i="4"/>
  <c r="CC46" i="4"/>
  <c r="CA40" i="4"/>
  <c r="CL40" i="4" s="1"/>
  <c r="CC39" i="4"/>
  <c r="CG39" i="4"/>
  <c r="CI72" i="4"/>
  <c r="CD81" i="4"/>
  <c r="CB81" i="4"/>
  <c r="CK81" i="4" s="1"/>
  <c r="CF81" i="4"/>
  <c r="CG81" i="4"/>
  <c r="CH81" i="4"/>
  <c r="CA89" i="4"/>
  <c r="CK89" i="4" s="1"/>
  <c r="CA93" i="4"/>
  <c r="CK93" i="4" s="1"/>
  <c r="CB70" i="4"/>
  <c r="CK70" i="4" s="1"/>
  <c r="CG100" i="4"/>
  <c r="CC77" i="4"/>
  <c r="CB110" i="4"/>
  <c r="CK110" i="4" s="1"/>
  <c r="CD116" i="4"/>
  <c r="CL116" i="4" s="1"/>
  <c r="CF125" i="4"/>
  <c r="CA85" i="4"/>
  <c r="CL85" i="4" s="1"/>
  <c r="CF95" i="4"/>
  <c r="CD95" i="4"/>
  <c r="CH95" i="4"/>
  <c r="CJ95" i="4"/>
  <c r="CG95" i="4"/>
  <c r="CC141" i="4"/>
  <c r="CD135" i="4"/>
  <c r="CC147" i="4"/>
  <c r="CD167" i="4"/>
  <c r="CA167" i="4"/>
  <c r="CK167" i="4" s="1"/>
  <c r="CA133" i="4"/>
  <c r="CE193" i="4"/>
  <c r="CD180" i="4"/>
  <c r="CH180" i="4"/>
  <c r="CD190" i="4"/>
  <c r="CF190" i="4"/>
  <c r="CE53" i="4"/>
  <c r="CF53" i="4"/>
  <c r="CC53" i="4"/>
  <c r="CD53" i="4"/>
  <c r="CI53" i="4"/>
  <c r="CH53" i="4"/>
  <c r="CC163" i="4"/>
  <c r="CK163" i="4" s="1"/>
  <c r="CG163" i="4"/>
  <c r="CD118" i="4"/>
  <c r="CJ118" i="4"/>
  <c r="CB198" i="4"/>
  <c r="CF141" i="4"/>
  <c r="CL52" i="4"/>
  <c r="CE189" i="4"/>
  <c r="CH152" i="4"/>
  <c r="CF126" i="4"/>
  <c r="CG126" i="4"/>
  <c r="CH126" i="4"/>
  <c r="CJ126" i="4"/>
  <c r="CE126" i="4"/>
  <c r="CI126" i="4"/>
  <c r="CC126" i="4"/>
  <c r="CK126" i="4" s="1"/>
  <c r="CB59" i="4"/>
  <c r="CL59" i="4" s="1"/>
  <c r="CC47" i="4"/>
  <c r="CI47" i="4"/>
  <c r="CE47" i="4"/>
  <c r="CF47" i="4"/>
  <c r="CB47" i="4"/>
  <c r="CD47" i="4"/>
  <c r="CG47" i="4"/>
  <c r="CH47" i="4"/>
  <c r="CB41" i="4"/>
  <c r="CG41" i="4"/>
  <c r="CC74" i="4"/>
  <c r="CK74" i="4" s="1"/>
  <c r="CF74" i="4"/>
  <c r="CG74" i="4"/>
  <c r="CE74" i="4"/>
  <c r="CH74" i="4"/>
  <c r="CH54" i="4"/>
  <c r="CJ73" i="4"/>
  <c r="CH73" i="4"/>
  <c r="CI111" i="4"/>
  <c r="CI119" i="4"/>
  <c r="CJ119" i="4"/>
  <c r="CH119" i="4"/>
  <c r="CE119" i="4"/>
  <c r="CG119" i="4"/>
  <c r="CD119" i="4"/>
  <c r="CC119" i="4"/>
  <c r="CK119" i="4" s="1"/>
  <c r="CH127" i="4"/>
  <c r="CI127" i="4"/>
  <c r="CE127" i="4"/>
  <c r="CJ127" i="4"/>
  <c r="CG127" i="4"/>
  <c r="CC127" i="4"/>
  <c r="CK127" i="4" s="1"/>
  <c r="CC76" i="4"/>
  <c r="CK76" i="4" s="1"/>
  <c r="CD86" i="4"/>
  <c r="CL86" i="4" s="1"/>
  <c r="CG86" i="4"/>
  <c r="CG138" i="4"/>
  <c r="CI157" i="4"/>
  <c r="CD178" i="4"/>
  <c r="CD196" i="4"/>
  <c r="CL196" i="4" s="1"/>
  <c r="CF196" i="4"/>
  <c r="CB171" i="4"/>
  <c r="CL171" i="4" s="1"/>
  <c r="CC108" i="4"/>
  <c r="BZ108" i="4"/>
  <c r="CJ108" i="4" s="1"/>
  <c r="CI152" i="4"/>
  <c r="CB152" i="4"/>
  <c r="CD152" i="4"/>
  <c r="CF152" i="4"/>
  <c r="CG152" i="4"/>
  <c r="CC152" i="4"/>
  <c r="CC168" i="4"/>
  <c r="CK168" i="4" s="1"/>
  <c r="CB199" i="4"/>
  <c r="CA199" i="4"/>
  <c r="CD169" i="4"/>
  <c r="CF173" i="4"/>
  <c r="CE161" i="4"/>
  <c r="CL161" i="4"/>
  <c r="CA101" i="4"/>
  <c r="CI101" i="4" s="1"/>
  <c r="CG49" i="4"/>
  <c r="CH42" i="4"/>
  <c r="CJ65" i="4"/>
  <c r="CG105" i="4"/>
  <c r="CH130" i="4"/>
  <c r="CE159" i="4"/>
  <c r="CD154" i="4"/>
  <c r="CF195" i="4"/>
  <c r="CH116" i="4"/>
  <c r="CH176" i="4"/>
  <c r="CI71" i="4"/>
  <c r="CH128" i="4"/>
  <c r="CL125" i="4"/>
  <c r="CF50" i="4"/>
  <c r="CE38" i="4"/>
  <c r="CE49" i="4"/>
  <c r="CD67" i="4"/>
  <c r="CL67" i="4" s="1"/>
  <c r="CJ67" i="4"/>
  <c r="CH68" i="4"/>
  <c r="CH80" i="4"/>
  <c r="CI69" i="4"/>
  <c r="CJ153" i="4"/>
  <c r="CJ179" i="4"/>
  <c r="CK120" i="4"/>
  <c r="CH122" i="4"/>
  <c r="CI164" i="4"/>
  <c r="CA132" i="4"/>
  <c r="CE40" i="4"/>
  <c r="CK122" i="4"/>
  <c r="CF122" i="4"/>
  <c r="CL118" i="4"/>
  <c r="CK118" i="4"/>
  <c r="CF162" i="4"/>
  <c r="CI179" i="4"/>
  <c r="CK129" i="4"/>
  <c r="CI189" i="4"/>
  <c r="CA36" i="4"/>
  <c r="CF36" i="4"/>
  <c r="BZ36" i="4"/>
  <c r="CH36" i="4" s="1"/>
  <c r="CC35" i="4"/>
  <c r="CC34" i="4"/>
  <c r="CG34" i="4"/>
  <c r="CB34" i="4"/>
  <c r="CE34" i="4"/>
  <c r="CA33" i="4"/>
  <c r="BZ33" i="4"/>
  <c r="CB36" i="4"/>
  <c r="BZ32" i="4"/>
  <c r="CH32" i="4" s="1"/>
  <c r="CC32" i="4"/>
  <c r="CD32" i="4"/>
  <c r="CE32" i="4"/>
  <c r="CB32" i="4"/>
  <c r="CA32" i="4"/>
  <c r="CG35" i="4"/>
  <c r="CF35" i="4"/>
  <c r="CF34" i="4"/>
  <c r="CG32" i="4"/>
  <c r="CE35" i="4"/>
  <c r="CH35" i="4"/>
  <c r="CG37" i="4"/>
  <c r="BZ37" i="4"/>
  <c r="CH37" i="4" s="1"/>
  <c r="CD37" i="4"/>
  <c r="CB37" i="4"/>
  <c r="CE37" i="4"/>
  <c r="CE36" i="4"/>
  <c r="CA37" i="4"/>
  <c r="CA35" i="4"/>
  <c r="CF32" i="4"/>
  <c r="CD35" i="4"/>
  <c r="CA34" i="4"/>
  <c r="CJ35" i="4"/>
  <c r="CD36" i="4"/>
  <c r="CC36" i="4"/>
  <c r="CG36" i="4"/>
  <c r="CG33" i="4"/>
  <c r="CC33" i="4"/>
  <c r="CF37" i="4"/>
  <c r="CD33" i="4"/>
  <c r="M31" i="2"/>
  <c r="M29" i="2"/>
  <c r="M27" i="2"/>
  <c r="M25" i="2"/>
  <c r="M30" i="2"/>
  <c r="M26" i="2"/>
  <c r="M21" i="2"/>
  <c r="M20" i="2"/>
  <c r="M17" i="2"/>
  <c r="M15" i="2"/>
  <c r="M13" i="2"/>
  <c r="M11" i="2"/>
  <c r="M9" i="2"/>
  <c r="M7" i="2"/>
  <c r="M5" i="2"/>
  <c r="M23" i="2"/>
  <c r="M22" i="2"/>
  <c r="M28" i="2"/>
  <c r="M24" i="2"/>
  <c r="M16" i="2"/>
  <c r="M14" i="2"/>
  <c r="M12" i="2"/>
  <c r="M10" i="2"/>
  <c r="M8" i="2"/>
  <c r="M6" i="2"/>
  <c r="M4" i="2"/>
  <c r="M19" i="2"/>
  <c r="M18" i="2"/>
  <c r="M3" i="2"/>
  <c r="P30" i="2"/>
  <c r="P28" i="2"/>
  <c r="P26" i="2"/>
  <c r="P24" i="2"/>
  <c r="P22" i="2"/>
  <c r="P20" i="2"/>
  <c r="P18" i="2"/>
  <c r="P31" i="2"/>
  <c r="P27" i="2"/>
  <c r="P19" i="2"/>
  <c r="P17" i="2"/>
  <c r="P15" i="2"/>
  <c r="P13" i="2"/>
  <c r="P11" i="2"/>
  <c r="P9" i="2"/>
  <c r="P7" i="2"/>
  <c r="P5" i="2"/>
  <c r="P3" i="2"/>
  <c r="P21" i="2"/>
  <c r="P29" i="2"/>
  <c r="P25" i="2"/>
  <c r="P23" i="2"/>
  <c r="P16" i="2"/>
  <c r="P14" i="2"/>
  <c r="P12" i="2"/>
  <c r="P10" i="2"/>
  <c r="P8" i="2"/>
  <c r="P6" i="2"/>
  <c r="P4" i="2"/>
  <c r="O30" i="2"/>
  <c r="O28" i="2"/>
  <c r="O26" i="2"/>
  <c r="O24" i="2"/>
  <c r="O29" i="2"/>
  <c r="O25" i="2"/>
  <c r="O23" i="2"/>
  <c r="O16" i="2"/>
  <c r="O14" i="2"/>
  <c r="O12" i="2"/>
  <c r="O10" i="2"/>
  <c r="O8" i="2"/>
  <c r="O6" i="2"/>
  <c r="O4" i="2"/>
  <c r="O18" i="2"/>
  <c r="O31" i="2"/>
  <c r="O27" i="2"/>
  <c r="O20" i="2"/>
  <c r="O19" i="2"/>
  <c r="O17" i="2"/>
  <c r="O15" i="2"/>
  <c r="O13" i="2"/>
  <c r="O11" i="2"/>
  <c r="O9" i="2"/>
  <c r="O7" i="2"/>
  <c r="O5" i="2"/>
  <c r="O3" i="2"/>
  <c r="O22" i="2"/>
  <c r="O21" i="2"/>
  <c r="Q31" i="2"/>
  <c r="Q29" i="2"/>
  <c r="Q27" i="2"/>
  <c r="Q25" i="2"/>
  <c r="Q28" i="2"/>
  <c r="Q24" i="2"/>
  <c r="Q19" i="2"/>
  <c r="Q18" i="2"/>
  <c r="Q17" i="2"/>
  <c r="Q15" i="2"/>
  <c r="Q13" i="2"/>
  <c r="Q11" i="2"/>
  <c r="Q9" i="2"/>
  <c r="Q7" i="2"/>
  <c r="Q5" i="2"/>
  <c r="Q3" i="2"/>
  <c r="Q21" i="2"/>
  <c r="Q20" i="2"/>
  <c r="Q30" i="2"/>
  <c r="Q26" i="2"/>
  <c r="Q23" i="2"/>
  <c r="Q22" i="2"/>
  <c r="Q16" i="2"/>
  <c r="Q14" i="2"/>
  <c r="Q12" i="2"/>
  <c r="Q10" i="2"/>
  <c r="Q8" i="2"/>
  <c r="Q6" i="2"/>
  <c r="Q4" i="2"/>
  <c r="N31" i="2"/>
  <c r="N29" i="2"/>
  <c r="N27" i="2"/>
  <c r="N25" i="2"/>
  <c r="N23" i="2"/>
  <c r="N21" i="2"/>
  <c r="N19" i="2"/>
  <c r="N22" i="2"/>
  <c r="N28" i="2"/>
  <c r="N24" i="2"/>
  <c r="N16" i="2"/>
  <c r="N14" i="2"/>
  <c r="N12" i="2"/>
  <c r="N10" i="2"/>
  <c r="N8" i="2"/>
  <c r="N6" i="2"/>
  <c r="N4" i="2"/>
  <c r="N18" i="2"/>
  <c r="N30" i="2"/>
  <c r="N26" i="2"/>
  <c r="N20" i="2"/>
  <c r="N17" i="2"/>
  <c r="N15" i="2"/>
  <c r="N13" i="2"/>
  <c r="N11" i="2"/>
  <c r="N9" i="2"/>
  <c r="N7" i="2"/>
  <c r="N5" i="2"/>
  <c r="N3" i="2"/>
  <c r="A12" i="2"/>
  <c r="A13" i="2"/>
  <c r="A14" i="2"/>
  <c r="A15" i="2"/>
  <c r="A16" i="2"/>
  <c r="A17" i="2"/>
  <c r="A18" i="2"/>
  <c r="A19" i="2"/>
  <c r="A20" i="2"/>
  <c r="A21" i="2"/>
  <c r="A22" i="2"/>
  <c r="A23" i="2"/>
  <c r="A24" i="2"/>
  <c r="A25" i="2"/>
  <c r="A26" i="2"/>
  <c r="A27" i="2"/>
  <c r="A28" i="2"/>
  <c r="A29" i="2"/>
  <c r="A30" i="2"/>
  <c r="A31" i="2"/>
  <c r="A3" i="2"/>
  <c r="A4" i="2"/>
  <c r="A5" i="2"/>
  <c r="A6" i="2"/>
  <c r="A7" i="2"/>
  <c r="A8" i="2"/>
  <c r="A9" i="2"/>
  <c r="A10" i="2"/>
  <c r="A11" i="2"/>
  <c r="A2" i="2"/>
  <c r="CL75" i="4" l="1"/>
  <c r="CK136" i="4"/>
  <c r="CJ136" i="4"/>
  <c r="CL136" i="4"/>
  <c r="CL74" i="4"/>
  <c r="CL185" i="4"/>
  <c r="CK138" i="4"/>
  <c r="CL90" i="4"/>
  <c r="CI57" i="4"/>
  <c r="CJ165" i="4"/>
  <c r="CL94" i="4"/>
  <c r="CL182" i="4"/>
  <c r="CL193" i="4"/>
  <c r="CL166" i="4"/>
  <c r="CI36" i="4"/>
  <c r="CJ34" i="4"/>
  <c r="CK111" i="4"/>
  <c r="CL38" i="4"/>
  <c r="CL121" i="4"/>
  <c r="CK144" i="4"/>
  <c r="CL179" i="4"/>
  <c r="CL100" i="4"/>
  <c r="CK140" i="4"/>
  <c r="CK62" i="4"/>
  <c r="CL73" i="4"/>
  <c r="CK41" i="4"/>
  <c r="CJ33" i="4"/>
  <c r="CK176" i="4"/>
  <c r="CK148" i="4"/>
  <c r="CL126" i="4"/>
  <c r="CK117" i="4"/>
  <c r="CL78" i="4"/>
  <c r="CL152" i="4"/>
  <c r="CL66" i="4"/>
  <c r="CJ110" i="4"/>
  <c r="CL110" i="4"/>
  <c r="CL187" i="4"/>
  <c r="CJ84" i="4"/>
  <c r="CJ36" i="4"/>
  <c r="CK152" i="4"/>
  <c r="CK186" i="4"/>
  <c r="CL140" i="4"/>
  <c r="CJ140" i="4"/>
  <c r="CK123" i="4"/>
  <c r="CJ75" i="4"/>
  <c r="CK82" i="4"/>
  <c r="CL183" i="4"/>
  <c r="CK147" i="4"/>
  <c r="CI199" i="4"/>
  <c r="CL104" i="4"/>
  <c r="CK191" i="4"/>
  <c r="CK125" i="4"/>
  <c r="CJ196" i="4"/>
  <c r="CK87" i="4"/>
  <c r="CK139" i="4"/>
  <c r="CJ139" i="4"/>
  <c r="CL190" i="4"/>
  <c r="CJ152" i="4"/>
  <c r="CL141" i="4"/>
  <c r="CL76" i="4"/>
  <c r="CK109" i="4"/>
  <c r="CJ97" i="4"/>
  <c r="CI87" i="4"/>
  <c r="CH117" i="4"/>
  <c r="CL154" i="4"/>
  <c r="CJ185" i="4"/>
  <c r="CK171" i="4"/>
  <c r="CI133" i="4"/>
  <c r="CJ148" i="4"/>
  <c r="CK99" i="4"/>
  <c r="CK94" i="4"/>
  <c r="CJ91" i="4"/>
  <c r="CJ198" i="4"/>
  <c r="CL61" i="4"/>
  <c r="CL64" i="4"/>
  <c r="CI84" i="4"/>
  <c r="CK55" i="4"/>
  <c r="CJ87" i="4"/>
  <c r="J2" i="2"/>
  <c r="CI32" i="4"/>
  <c r="K2" i="2"/>
  <c r="CJ32" i="4"/>
  <c r="CL32" i="4"/>
  <c r="CL119" i="4"/>
  <c r="CL81" i="4"/>
  <c r="CK187" i="4"/>
  <c r="CJ117" i="4"/>
  <c r="CI117" i="4"/>
  <c r="CJ160" i="4"/>
  <c r="CL160" i="4"/>
  <c r="CK154" i="4"/>
  <c r="CL137" i="4"/>
  <c r="CL50" i="4"/>
  <c r="CJ131" i="4"/>
  <c r="CK102" i="4"/>
  <c r="CL102" i="4"/>
  <c r="CJ147" i="4"/>
  <c r="CK133" i="4"/>
  <c r="CL163" i="4"/>
  <c r="CL129" i="4"/>
  <c r="CJ129" i="4"/>
  <c r="CL175" i="4"/>
  <c r="CL168" i="4"/>
  <c r="CK90" i="4"/>
  <c r="CJ90" i="4"/>
  <c r="CL191" i="4"/>
  <c r="CK85" i="4"/>
  <c r="CI51" i="4"/>
  <c r="CL51" i="4"/>
  <c r="CJ51" i="4"/>
  <c r="CI82" i="4"/>
  <c r="CI171" i="4"/>
  <c r="CK188" i="4"/>
  <c r="CK145" i="4"/>
  <c r="CL174" i="4"/>
  <c r="CI174" i="4"/>
  <c r="CK174" i="4"/>
  <c r="CL39" i="4"/>
  <c r="CK39" i="4"/>
  <c r="CJ176" i="4"/>
  <c r="CK100" i="4"/>
  <c r="CI40" i="4"/>
  <c r="CK128" i="4"/>
  <c r="CL128" i="4"/>
  <c r="CL79" i="4"/>
  <c r="CL68" i="4"/>
  <c r="CL48" i="4"/>
  <c r="CK169" i="4"/>
  <c r="CJ134" i="4"/>
  <c r="CI58" i="4"/>
  <c r="CJ199" i="4"/>
  <c r="CJ41" i="4"/>
  <c r="CK59" i="4"/>
  <c r="CJ167" i="4"/>
  <c r="CI167" i="4"/>
  <c r="CI85" i="4"/>
  <c r="CI161" i="4"/>
  <c r="CK193" i="4"/>
  <c r="CL83" i="4"/>
  <c r="CJ132" i="4"/>
  <c r="CL91" i="4"/>
  <c r="CJ64" i="4"/>
  <c r="CL43" i="4"/>
  <c r="CL176" i="4"/>
  <c r="CL35" i="4"/>
  <c r="CJ101" i="4"/>
  <c r="CK101" i="4"/>
  <c r="CK53" i="4"/>
  <c r="CL53" i="4"/>
  <c r="CJ81" i="4"/>
  <c r="CJ188" i="4"/>
  <c r="CL117" i="4"/>
  <c r="CI123" i="4"/>
  <c r="CJ123" i="4"/>
  <c r="CL62" i="4"/>
  <c r="CK185" i="4"/>
  <c r="CJ59" i="4"/>
  <c r="CJ175" i="4"/>
  <c r="CH131" i="4"/>
  <c r="CK131" i="4"/>
  <c r="CI131" i="4"/>
  <c r="CL131" i="4"/>
  <c r="CK180" i="4"/>
  <c r="CL180" i="4"/>
  <c r="CL147" i="4"/>
  <c r="CL143" i="4"/>
  <c r="CJ133" i="4"/>
  <c r="CL72" i="4"/>
  <c r="CL101" i="4"/>
  <c r="CJ159" i="4"/>
  <c r="CJ85" i="4"/>
  <c r="CL70" i="4"/>
  <c r="CL93" i="4"/>
  <c r="CI93" i="4"/>
  <c r="CK56" i="4"/>
  <c r="CH82" i="4"/>
  <c r="CK38" i="4"/>
  <c r="CJ76" i="4"/>
  <c r="CJ63" i="4"/>
  <c r="CK108" i="4"/>
  <c r="CK162" i="4"/>
  <c r="CJ162" i="4"/>
  <c r="CL162" i="4"/>
  <c r="CL169" i="4"/>
  <c r="CK68" i="4"/>
  <c r="CJ145" i="4"/>
  <c r="CJ128" i="4"/>
  <c r="CK121" i="4"/>
  <c r="CL113" i="4"/>
  <c r="CL139" i="4"/>
  <c r="CJ71" i="4"/>
  <c r="CL56" i="4"/>
  <c r="CJ58" i="4"/>
  <c r="CL199" i="4"/>
  <c r="CL41" i="4"/>
  <c r="CK115" i="4"/>
  <c r="CK77" i="4"/>
  <c r="CJ77" i="4"/>
  <c r="CL77" i="4"/>
  <c r="CI77" i="4"/>
  <c r="CJ100" i="4"/>
  <c r="CJ40" i="4"/>
  <c r="CK40" i="4"/>
  <c r="CK156" i="4"/>
  <c r="CK98" i="4"/>
  <c r="CJ98" i="4"/>
  <c r="CK177" i="4"/>
  <c r="CJ107" i="4"/>
  <c r="CK64" i="4"/>
  <c r="CK165" i="4"/>
  <c r="CJ171" i="4"/>
  <c r="CK73" i="4"/>
  <c r="CJ109" i="4"/>
  <c r="CL127" i="4"/>
  <c r="CL63" i="4"/>
  <c r="CK132" i="4"/>
  <c r="CL132" i="4"/>
  <c r="CK141" i="4"/>
  <c r="CL108" i="4"/>
  <c r="CL164" i="4"/>
  <c r="CK84" i="4"/>
  <c r="CL54" i="4"/>
  <c r="CK54" i="4"/>
  <c r="CJ54" i="4"/>
  <c r="CL89" i="4"/>
  <c r="CJ89" i="4"/>
  <c r="CK44" i="4"/>
  <c r="CL44" i="4"/>
  <c r="CK159" i="4"/>
  <c r="CL158" i="4"/>
  <c r="CK158" i="4"/>
  <c r="CJ93" i="4"/>
  <c r="CI89" i="4"/>
  <c r="CK46" i="4"/>
  <c r="CJ82" i="4"/>
  <c r="CL109" i="4"/>
  <c r="CL55" i="4"/>
  <c r="CJ55" i="4"/>
  <c r="CI108" i="4"/>
  <c r="CK172" i="4"/>
  <c r="CL172" i="4"/>
  <c r="CJ177" i="4"/>
  <c r="CL167" i="4"/>
  <c r="CJ135" i="4"/>
  <c r="CJ193" i="4"/>
  <c r="CL177" i="4"/>
  <c r="CL107" i="4"/>
  <c r="CH107" i="4"/>
  <c r="CK105" i="4"/>
  <c r="CL165" i="4"/>
  <c r="CK91" i="4"/>
  <c r="CH51" i="4"/>
  <c r="CI107" i="4"/>
  <c r="CJ174" i="4"/>
  <c r="CK184" i="4"/>
  <c r="CL36" i="4"/>
  <c r="CL47" i="4"/>
  <c r="CJ47" i="4"/>
  <c r="CK47" i="4"/>
  <c r="CL95" i="4"/>
  <c r="CK45" i="4"/>
  <c r="CL45" i="4"/>
  <c r="CJ45" i="4"/>
  <c r="CJ141" i="4"/>
  <c r="CL84" i="4"/>
  <c r="CJ102" i="4"/>
  <c r="CK135" i="4"/>
  <c r="CL135" i="4"/>
  <c r="CI197" i="4"/>
  <c r="CJ197" i="4"/>
  <c r="CL197" i="4"/>
  <c r="CK197" i="4"/>
  <c r="CH197" i="4"/>
  <c r="CK166" i="4"/>
  <c r="CJ92" i="4"/>
  <c r="CL92" i="4"/>
  <c r="CI92" i="4"/>
  <c r="CK92" i="4"/>
  <c r="CL133" i="4"/>
  <c r="CL103" i="4"/>
  <c r="CK103" i="4"/>
  <c r="CH108" i="4"/>
  <c r="CK199" i="4"/>
  <c r="CL111" i="4"/>
  <c r="CK104" i="4"/>
  <c r="CK42" i="4"/>
  <c r="CL42" i="4"/>
  <c r="CL106" i="4"/>
  <c r="CJ106" i="4"/>
  <c r="CJ70" i="4"/>
  <c r="CI56" i="4"/>
  <c r="CJ46" i="4"/>
  <c r="CL46" i="4"/>
  <c r="CL82" i="4"/>
  <c r="CK66" i="4"/>
  <c r="CJ43" i="4"/>
  <c r="CK63" i="4"/>
  <c r="CJ99" i="4"/>
  <c r="CL99" i="4"/>
  <c r="CL178" i="4"/>
  <c r="CJ156" i="4"/>
  <c r="CK51" i="4"/>
  <c r="CJ172" i="4"/>
  <c r="CK48" i="4"/>
  <c r="CJ113" i="4"/>
  <c r="CJ189" i="4"/>
  <c r="CL189" i="4"/>
  <c r="CK189" i="4"/>
  <c r="CL87" i="4"/>
  <c r="CL71" i="4"/>
  <c r="CL134" i="4"/>
  <c r="CK97" i="4"/>
  <c r="CL58" i="4"/>
  <c r="CK161" i="4"/>
  <c r="CK52" i="4"/>
  <c r="CL115" i="4"/>
  <c r="CK198" i="4"/>
  <c r="CL198" i="4"/>
  <c r="CI156" i="4"/>
  <c r="CL98" i="4"/>
  <c r="CL170" i="4"/>
  <c r="CI113" i="4"/>
  <c r="CI132" i="4"/>
  <c r="CK107" i="4"/>
  <c r="CI61" i="4"/>
  <c r="CJ61" i="4"/>
  <c r="CK61" i="4"/>
  <c r="CK78" i="4"/>
  <c r="CH198" i="4"/>
  <c r="CJ121" i="4"/>
  <c r="CL123" i="4"/>
  <c r="CI109" i="4"/>
  <c r="CJ56" i="4"/>
  <c r="CI34" i="4"/>
  <c r="CL37" i="4"/>
  <c r="CI37" i="4"/>
  <c r="CL34" i="4"/>
  <c r="CK34" i="4"/>
  <c r="CH33" i="4"/>
  <c r="CK36" i="4"/>
  <c r="CK33" i="4"/>
  <c r="CI33" i="4"/>
  <c r="CL33" i="4"/>
  <c r="CK37" i="4"/>
  <c r="CK35" i="4"/>
  <c r="CK32" i="4"/>
  <c r="CI35" i="4"/>
  <c r="CJ37" i="4"/>
  <c r="F3" i="2"/>
  <c r="I3" i="2"/>
  <c r="F4" i="2"/>
  <c r="I4" i="2"/>
  <c r="F5" i="2"/>
  <c r="I5" i="2"/>
  <c r="F6" i="2"/>
  <c r="I6" i="2"/>
  <c r="F7" i="2"/>
  <c r="I7" i="2"/>
  <c r="F8" i="2"/>
  <c r="I8" i="2"/>
  <c r="F9" i="2"/>
  <c r="I9" i="2"/>
  <c r="F10" i="2"/>
  <c r="I10" i="2"/>
  <c r="F11" i="2"/>
  <c r="I11" i="2"/>
  <c r="F12" i="2"/>
  <c r="I12" i="2"/>
  <c r="G3" i="2"/>
  <c r="J3" i="2"/>
  <c r="G4" i="2"/>
  <c r="J4" i="2"/>
  <c r="G5" i="2"/>
  <c r="J5" i="2"/>
  <c r="G6" i="2"/>
  <c r="J6" i="2"/>
  <c r="G7" i="2"/>
  <c r="J7" i="2"/>
  <c r="G8" i="2"/>
  <c r="J8" i="2"/>
  <c r="G9" i="2"/>
  <c r="J9" i="2"/>
  <c r="G10" i="2"/>
  <c r="J10" i="2"/>
  <c r="G11" i="2"/>
  <c r="J11" i="2"/>
  <c r="G12" i="2"/>
  <c r="J12" i="2"/>
  <c r="G13" i="2"/>
  <c r="J13" i="2"/>
  <c r="G14" i="2"/>
  <c r="J14" i="2"/>
  <c r="G15" i="2"/>
  <c r="J15" i="2"/>
  <c r="G16" i="2"/>
  <c r="J16" i="2"/>
  <c r="G17" i="2"/>
  <c r="J17" i="2"/>
  <c r="G18" i="2"/>
  <c r="J18" i="2"/>
  <c r="G19" i="2"/>
  <c r="J19" i="2"/>
  <c r="G20" i="2"/>
  <c r="J20" i="2"/>
  <c r="G21" i="2"/>
  <c r="J21" i="2"/>
  <c r="G22" i="2"/>
  <c r="J22" i="2"/>
  <c r="G23" i="2"/>
  <c r="J23" i="2"/>
  <c r="G24" i="2"/>
  <c r="J24" i="2"/>
  <c r="G25" i="2"/>
  <c r="J25" i="2"/>
  <c r="G26" i="2"/>
  <c r="J26" i="2"/>
  <c r="G27" i="2"/>
  <c r="J27" i="2"/>
  <c r="G28" i="2"/>
  <c r="J28" i="2"/>
  <c r="G29" i="2"/>
  <c r="J29" i="2"/>
  <c r="G30" i="2"/>
  <c r="J30" i="2"/>
  <c r="G31" i="2"/>
  <c r="J31" i="2"/>
  <c r="H3" i="2"/>
  <c r="H4" i="2"/>
  <c r="H5" i="2"/>
  <c r="H6" i="2"/>
  <c r="H7" i="2"/>
  <c r="H8" i="2"/>
  <c r="H9" i="2"/>
  <c r="H10" i="2"/>
  <c r="H11" i="2"/>
  <c r="H12" i="2"/>
  <c r="F13" i="2"/>
  <c r="F15" i="2"/>
  <c r="F17" i="2"/>
  <c r="F19" i="2"/>
  <c r="F21" i="2"/>
  <c r="F23" i="2"/>
  <c r="F25" i="2"/>
  <c r="F27" i="2"/>
  <c r="F29" i="2"/>
  <c r="F31" i="2"/>
  <c r="K4" i="2"/>
  <c r="K6" i="2"/>
  <c r="K9" i="2"/>
  <c r="K12" i="2"/>
  <c r="K14" i="2"/>
  <c r="K16" i="2"/>
  <c r="H13" i="2"/>
  <c r="K13" i="2"/>
  <c r="I14" i="2"/>
  <c r="H15" i="2"/>
  <c r="K15" i="2"/>
  <c r="I16" i="2"/>
  <c r="H17" i="2"/>
  <c r="K17" i="2"/>
  <c r="I18" i="2"/>
  <c r="H19" i="2"/>
  <c r="K19" i="2"/>
  <c r="I20" i="2"/>
  <c r="H21" i="2"/>
  <c r="K21" i="2"/>
  <c r="I22" i="2"/>
  <c r="H23" i="2"/>
  <c r="K23" i="2"/>
  <c r="I24" i="2"/>
  <c r="H25" i="2"/>
  <c r="K25" i="2"/>
  <c r="I26" i="2"/>
  <c r="H27" i="2"/>
  <c r="K27" i="2"/>
  <c r="I28" i="2"/>
  <c r="H29" i="2"/>
  <c r="K29" i="2"/>
  <c r="I30" i="2"/>
  <c r="H31" i="2"/>
  <c r="K31" i="2"/>
  <c r="K5" i="2"/>
  <c r="K8" i="2"/>
  <c r="K11" i="2"/>
  <c r="H14" i="2"/>
  <c r="H16" i="2"/>
  <c r="H18" i="2"/>
  <c r="F14" i="2"/>
  <c r="F16" i="2"/>
  <c r="F18" i="2"/>
  <c r="F20" i="2"/>
  <c r="F22" i="2"/>
  <c r="F24" i="2"/>
  <c r="F26" i="2"/>
  <c r="F28" i="2"/>
  <c r="F30" i="2"/>
  <c r="K3" i="2"/>
  <c r="K7" i="2"/>
  <c r="K10" i="2"/>
  <c r="I13" i="2"/>
  <c r="I15" i="2"/>
  <c r="I17" i="2"/>
  <c r="K18" i="2"/>
  <c r="I19" i="2"/>
  <c r="H22" i="2"/>
  <c r="K24" i="2"/>
  <c r="I27" i="2"/>
  <c r="H30" i="2"/>
  <c r="H26" i="2"/>
  <c r="K28" i="2"/>
  <c r="H20" i="2"/>
  <c r="K22" i="2"/>
  <c r="I25" i="2"/>
  <c r="H28" i="2"/>
  <c r="K30" i="2"/>
  <c r="K20" i="2"/>
  <c r="I23" i="2"/>
  <c r="I31" i="2"/>
  <c r="I21" i="2"/>
  <c r="H24" i="2"/>
  <c r="K26" i="2"/>
  <c r="I29" i="2"/>
  <c r="A31" i="3"/>
  <c r="A27" i="3"/>
  <c r="A28" i="3"/>
  <c r="A29" i="3"/>
  <c r="A30" i="3"/>
  <c r="A22" i="3"/>
  <c r="A23" i="3"/>
  <c r="A24" i="3"/>
  <c r="A25" i="3"/>
  <c r="A26" i="3"/>
  <c r="A21" i="3" l="1"/>
  <c r="A5" i="3"/>
  <c r="A6" i="3"/>
  <c r="A7" i="3"/>
  <c r="A8" i="3"/>
  <c r="A9" i="3"/>
  <c r="A10" i="3"/>
  <c r="A11" i="3"/>
  <c r="A12" i="3"/>
  <c r="A13" i="3"/>
  <c r="A14" i="3"/>
  <c r="A15" i="3"/>
  <c r="A16" i="3"/>
  <c r="A17" i="3"/>
  <c r="A18" i="3"/>
  <c r="A19" i="3"/>
  <c r="A20" i="3"/>
  <c r="A3" i="3"/>
  <c r="A4" i="3"/>
  <c r="A2" i="3"/>
</calcChain>
</file>

<file path=xl/sharedStrings.xml><?xml version="1.0" encoding="utf-8"?>
<sst xmlns="http://schemas.openxmlformats.org/spreadsheetml/2006/main" count="100" uniqueCount="86">
  <si>
    <t>記号</t>
    <rPh sb="0" eb="2">
      <t>キゴ</t>
    </rPh>
    <phoneticPr fontId="1"/>
  </si>
  <si>
    <t>役職名</t>
    <rPh sb="0" eb="2">
      <t>ヤクショク</t>
    </rPh>
    <phoneticPr fontId="1"/>
  </si>
  <si>
    <t>氏名</t>
    <rPh sb="0" eb="2">
      <t>シメ</t>
    </rPh>
    <phoneticPr fontId="1"/>
  </si>
  <si>
    <t>No.</t>
    <phoneticPr fontId="1"/>
  </si>
  <si>
    <t>時間帯名</t>
    <rPh sb="0" eb="2">
      <t>ジカンタ</t>
    </rPh>
    <phoneticPr fontId="1"/>
  </si>
  <si>
    <t>10:00</t>
    <phoneticPr fontId="1"/>
  </si>
  <si>
    <t>10:30</t>
    <phoneticPr fontId="1"/>
  </si>
  <si>
    <t>11:00</t>
    <phoneticPr fontId="1"/>
  </si>
  <si>
    <t>11:30</t>
    <phoneticPr fontId="1"/>
  </si>
  <si>
    <t>12:00</t>
    <phoneticPr fontId="1"/>
  </si>
  <si>
    <t>12:30</t>
    <phoneticPr fontId="1"/>
  </si>
  <si>
    <t>オレンジ</t>
    <phoneticPr fontId="1"/>
  </si>
  <si>
    <t>赤</t>
    <rPh sb="0" eb="1">
      <t>アk</t>
    </rPh>
    <phoneticPr fontId="1"/>
  </si>
  <si>
    <t>色</t>
    <rPh sb="0" eb="1">
      <t>イロ</t>
    </rPh>
    <phoneticPr fontId="1"/>
  </si>
  <si>
    <t>あ</t>
    <phoneticPr fontId="1"/>
  </si>
  <si>
    <t>い</t>
    <phoneticPr fontId="1"/>
  </si>
  <si>
    <t>所属</t>
    <rPh sb="0" eb="2">
      <t>ショゾk</t>
    </rPh>
    <phoneticPr fontId="1"/>
  </si>
  <si>
    <t>13:00</t>
    <phoneticPr fontId="1"/>
  </si>
  <si>
    <t>13:30</t>
    <phoneticPr fontId="1"/>
  </si>
  <si>
    <t>14:00</t>
    <phoneticPr fontId="1"/>
  </si>
  <si>
    <t>キズナアイ</t>
    <rPh sb="0" eb="2">
      <t>キズn</t>
    </rPh>
    <phoneticPr fontId="1"/>
  </si>
  <si>
    <t>輝夜月</t>
    <rPh sb="0" eb="2">
      <t>カグy</t>
    </rPh>
    <phoneticPr fontId="1"/>
  </si>
  <si>
    <t>ときのそら</t>
    <rPh sb="0" eb="1">
      <t>トキn</t>
    </rPh>
    <phoneticPr fontId="1"/>
  </si>
  <si>
    <t>第1希望</t>
    <rPh sb="0" eb="1">
      <t>ダイ</t>
    </rPh>
    <phoneticPr fontId="1"/>
  </si>
  <si>
    <t>第2希望</t>
    <rPh sb="0" eb="1">
      <t>ダイ</t>
    </rPh>
    <phoneticPr fontId="1"/>
  </si>
  <si>
    <t>第3希望</t>
    <rPh sb="0" eb="1">
      <t>ダイ</t>
    </rPh>
    <phoneticPr fontId="1"/>
  </si>
  <si>
    <t>第4希望</t>
    <rPh sb="0" eb="1">
      <t>ダイ</t>
    </rPh>
    <phoneticPr fontId="1"/>
  </si>
  <si>
    <t>第5希望</t>
    <rPh sb="0" eb="1">
      <t>ダイ</t>
    </rPh>
    <phoneticPr fontId="1"/>
  </si>
  <si>
    <t>役職</t>
    <rPh sb="0" eb="2">
      <t>ヤk</t>
    </rPh>
    <phoneticPr fontId="1"/>
  </si>
  <si>
    <t>オレンジ</t>
  </si>
  <si>
    <t>黄色</t>
  </si>
  <si>
    <t>黄色</t>
    <rPh sb="0" eb="2">
      <t>キイr</t>
    </rPh>
    <phoneticPr fontId="1"/>
  </si>
  <si>
    <t>緑</t>
  </si>
  <si>
    <t>緑</t>
    <rPh sb="0" eb="1">
      <t>ミドr</t>
    </rPh>
    <phoneticPr fontId="1"/>
  </si>
  <si>
    <t>青</t>
  </si>
  <si>
    <t>青</t>
    <rPh sb="0" eb="1">
      <t>ア</t>
    </rPh>
    <phoneticPr fontId="1"/>
  </si>
  <si>
    <t>紫</t>
    <rPh sb="0" eb="1">
      <t>ムラサk</t>
    </rPh>
    <phoneticPr fontId="1"/>
  </si>
  <si>
    <t>定員</t>
    <rPh sb="0" eb="2">
      <t>テイイn</t>
    </rPh>
    <phoneticPr fontId="1"/>
  </si>
  <si>
    <t>x</t>
    <phoneticPr fontId="1"/>
  </si>
  <si>
    <t>o</t>
    <phoneticPr fontId="1"/>
  </si>
  <si>
    <t>う</t>
    <phoneticPr fontId="1"/>
  </si>
  <si>
    <t>え</t>
    <phoneticPr fontId="1"/>
  </si>
  <si>
    <t>お</t>
    <phoneticPr fontId="1"/>
  </si>
  <si>
    <t>色分け書式</t>
    <rPh sb="0" eb="2">
      <t>イロワk</t>
    </rPh>
    <phoneticPr fontId="1"/>
  </si>
  <si>
    <t>A</t>
  </si>
  <si>
    <t>A</t>
    <phoneticPr fontId="1"/>
  </si>
  <si>
    <t>B</t>
    <phoneticPr fontId="1"/>
  </si>
  <si>
    <t>C</t>
  </si>
  <si>
    <t>C</t>
    <phoneticPr fontId="1"/>
  </si>
  <si>
    <t>D</t>
    <phoneticPr fontId="1"/>
  </si>
  <si>
    <t>E</t>
    <phoneticPr fontId="1"/>
  </si>
  <si>
    <t>はじめしゃちょー</t>
    <phoneticPr fontId="1"/>
  </si>
  <si>
    <t>コマ数</t>
    <phoneticPr fontId="1"/>
  </si>
  <si>
    <t>役職数</t>
    <rPh sb="0" eb="2">
      <t>ヤクショク</t>
    </rPh>
    <phoneticPr fontId="1"/>
  </si>
  <si>
    <t>希望役職数</t>
    <rPh sb="0" eb="2">
      <t>キボ</t>
    </rPh>
    <phoneticPr fontId="1"/>
  </si>
  <si>
    <t>時間帯数</t>
    <rPh sb="0" eb="2">
      <t>ジカンタ</t>
    </rPh>
    <phoneticPr fontId="1"/>
  </si>
  <si>
    <t>色数</t>
    <rPh sb="0" eb="2">
      <t>イロk</t>
    </rPh>
    <phoneticPr fontId="1"/>
  </si>
  <si>
    <t>第1</t>
    <rPh sb="0" eb="1">
      <t>ダイ</t>
    </rPh>
    <phoneticPr fontId="1"/>
  </si>
  <si>
    <t>第2</t>
    <rPh sb="0" eb="1">
      <t>ダイ</t>
    </rPh>
    <phoneticPr fontId="1"/>
  </si>
  <si>
    <t>第3</t>
    <rPh sb="0" eb="1">
      <t>ダイ</t>
    </rPh>
    <phoneticPr fontId="1"/>
  </si>
  <si>
    <t>第4</t>
    <rPh sb="0" eb="1">
      <t>ダイ</t>
    </rPh>
    <phoneticPr fontId="1"/>
  </si>
  <si>
    <t>第5</t>
    <rPh sb="0" eb="1">
      <t>ダイ</t>
    </rPh>
    <phoneticPr fontId="1"/>
  </si>
  <si>
    <t>Shiftterはシフト組みを効率化するためのツールです。</t>
    <phoneticPr fontId="1"/>
  </si>
  <si>
    <t>1.まず、シフトを組む時間帯(コマ)を「時間帯一覧」に入力します。</t>
    <rPh sb="0" eb="1">
      <t>j</t>
    </rPh>
    <phoneticPr fontId="1"/>
  </si>
  <si>
    <t>手順</t>
    <rPh sb="0" eb="2">
      <t>テジュn</t>
    </rPh>
    <phoneticPr fontId="1"/>
  </si>
  <si>
    <t>基本的に灰色のセルはロックがかかっていて文字が入力できません。白のマスに文字を入力して行くことになります。</t>
    <rPh sb="0" eb="2">
      <t>キホンテキ</t>
    </rPh>
    <phoneticPr fontId="1"/>
  </si>
  <si>
    <t>3.次に、「時間希望調査」の右3行に名簿を入力します。「No」「所属」は単にわかりやすくするものなので特にソフト上の決まりはありません。</t>
    <rPh sb="0" eb="1">
      <t>ツg</t>
    </rPh>
    <phoneticPr fontId="1"/>
  </si>
  <si>
    <t>6.これで情報は揃いました。シフト組みの作業に入ります。「シフト組み」のシートを使います。</t>
    <rPh sb="0" eb="2">
      <t>ジョウホ</t>
    </rPh>
    <phoneticPr fontId="1"/>
  </si>
  <si>
    <t>4.その後に「時間希望調査」にシフトに入ってもいい時間を調査したものを入力します。「o(オー)」「?」「x(エックス)」で入力してください。リストから選択もできます。「x」のマスは黒く塗りつぶされます。</t>
    <rPh sb="0" eb="1">
      <t>ツg</t>
    </rPh>
    <phoneticPr fontId="1"/>
  </si>
  <si>
    <t>?</t>
  </si>
  <si>
    <t>2.次に、シフトを組まなければいけない役職を「役職一覧」に入力します。「記号」はこれから作業して行く際に用いるもので、短ければ作業を効率化できます。「色」は表などに表示される色です(リストから洗濯してください)。「人数」にはコマごとに必要な人数を入れてください。</t>
    <rPh sb="0" eb="1">
      <t>ツg</t>
    </rPh>
    <phoneticPr fontId="1"/>
  </si>
  <si>
    <t>8.次に、表の白い部分に役職を記号で入力して行きます。時間帯希望調査が「x」のマスは黒塗りになっていて、「?」のマスは灰色になっています。上にはコマごとに役職についている人数が表示されます。また、右には人ごとに入っているコマの数が役職別/合計で表示されます。</t>
    <rPh sb="0" eb="1">
      <t>ツg</t>
    </rPh>
    <phoneticPr fontId="1"/>
  </si>
  <si>
    <t>このファイルについて(上級者向け)</t>
    <rPh sb="0" eb="1">
      <t>ジョ</t>
    </rPh>
    <phoneticPr fontId="1"/>
  </si>
  <si>
    <t>このファイルは基本的に関数と条件付き書式、入力規則で構成されています。ボタンを押した時の処理はマクロを用いていますが、マクロイベントは用いていません(undoができなくなるため)。</t>
    <rPh sb="0" eb="2">
      <t>キホンt</t>
    </rPh>
    <phoneticPr fontId="1"/>
  </si>
  <si>
    <t>注意事項</t>
    <rPh sb="0" eb="2">
      <t>チュ</t>
    </rPh>
    <phoneticPr fontId="1"/>
  </si>
  <si>
    <t>・ボタン操作をすると操作履歴が消え、「元に戻す」ができなくなります。気をつけてください。(Excelの仕様)</t>
    <rPh sb="0" eb="1">
      <t>ブt</t>
    </rPh>
    <phoneticPr fontId="1"/>
  </si>
  <si>
    <t>また、シートの保護をかけていますが、パスワードはかけていません。</t>
    <rPh sb="0" eb="2">
      <t>シートノホゴw</t>
    </rPh>
    <phoneticPr fontId="1"/>
  </si>
  <si>
    <t>5.あと、各人がやりたい役職の希望を「役職希望調査」に入力してください。これはなくても構いません。各役職に関して、希望した人数は「役職一覧」で見ることができます。</t>
    <rPh sb="0" eb="2">
      <t>ドウj</t>
    </rPh>
    <phoneticPr fontId="1"/>
  </si>
  <si>
    <t>仕様</t>
    <rPh sb="0" eb="2">
      <t>シヨ</t>
    </rPh>
    <phoneticPr fontId="1"/>
  </si>
  <si>
    <t>注意事項</t>
  </si>
  <si>
    <t>・ボタン操作をすると操作履歴が消え、「元に戻す」ができなくなります。気をつけてください。(Excelの仕様)</t>
  </si>
  <si>
    <t>7.まず、役職や時間帯の枠をmaxまでは使い切ってないと思うので、使ってない行/列を非表示にします。「コマンド」の「非表示行更新」を押してください。</t>
    <rPh sb="0" eb="2">
      <t>ヤクsh</t>
    </rPh>
    <phoneticPr fontId="1"/>
  </si>
  <si>
    <t>F</t>
    <phoneticPr fontId="1"/>
  </si>
  <si>
    <t>ka</t>
    <phoneticPr fontId="1"/>
  </si>
  <si>
    <t>Shiftter ver.1.0.0</t>
    <phoneticPr fontId="1"/>
  </si>
  <si>
    <t>備考</t>
    <rPh sb="0" eb="2">
      <t>ビコ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</si>
</sst>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2"/>
      <color theme="1"/>
      <name val="游ゴシック"/>
      <family val="2"/>
      <charset val="128"/>
      <scheme val="minor"/>
    </font>
    <font>
      <sz val="6"/>
      <name val="游ゴシック"/>
      <family val="2"/>
      <charset val="128"/>
      <scheme val="minor"/>
    </font>
    <font>
      <sz val="14"/>
      <color rgb="FFFF0000"/>
      <name val="游ゴシック"/>
      <family val="3"/>
      <charset val="128"/>
      <scheme val="minor"/>
    </font>
    <font>
      <sz val="12"/>
      <color rgb="FF000000"/>
      <name val="Yu Gothic"/>
      <family val="3"/>
      <charset val="128"/>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FF00"/>
        <bgColor rgb="FF000000"/>
      </patternFill>
    </fill>
    <fill>
      <patternFill patternType="solid">
        <fgColor theme="0"/>
        <bgColor indexed="64"/>
      </patternFill>
    </fill>
    <fill>
      <patternFill patternType="solid">
        <fgColor theme="0" tint="-0.14996795556505021"/>
        <bgColor indexed="64"/>
      </patternFill>
    </fill>
  </fills>
  <borders count="1">
    <border>
      <left/>
      <right/>
      <top/>
      <bottom/>
      <diagonal/>
    </border>
  </borders>
  <cellStyleXfs count="1">
    <xf numFmtId="0" fontId="0" fillId="0" borderId="0">
      <alignment vertical="center"/>
    </xf>
  </cellStyleXfs>
  <cellXfs count="18">
    <xf numFmtId="0" fontId="0" fillId="0" borderId="0" xfId="0">
      <alignment vertical="center"/>
    </xf>
    <xf numFmtId="0" fontId="0" fillId="2" borderId="0" xfId="0" applyFill="1">
      <alignment vertical="center"/>
    </xf>
    <xf numFmtId="0" fontId="0" fillId="0" borderId="0" xfId="0" applyFill="1">
      <alignment vertical="center"/>
    </xf>
    <xf numFmtId="49" fontId="0" fillId="2" borderId="0" xfId="0" applyNumberFormat="1" applyFill="1">
      <alignment vertical="center"/>
    </xf>
    <xf numFmtId="0" fontId="0" fillId="0" borderId="0" xfId="0" applyFill="1" applyProtection="1">
      <alignment vertical="center"/>
      <protection locked="0"/>
    </xf>
    <xf numFmtId="0" fontId="0" fillId="2" borderId="0" xfId="0" applyFill="1" applyProtection="1">
      <alignment vertical="center"/>
    </xf>
    <xf numFmtId="49" fontId="0" fillId="0" borderId="0" xfId="0" applyNumberFormat="1" applyFill="1" applyProtection="1">
      <alignment vertical="center"/>
      <protection locked="0"/>
    </xf>
    <xf numFmtId="49" fontId="0" fillId="0" borderId="0" xfId="0" quotePrefix="1" applyNumberFormat="1" applyFill="1" applyProtection="1">
      <alignment vertical="center"/>
      <protection locked="0"/>
    </xf>
    <xf numFmtId="0" fontId="0" fillId="2" borderId="0" xfId="0" applyFill="1" applyAlignment="1">
      <alignment vertical="center" wrapText="1"/>
    </xf>
    <xf numFmtId="0" fontId="2" fillId="3" borderId="0" xfId="0" applyFont="1" applyFill="1" applyAlignment="1">
      <alignment vertical="center" wrapText="1"/>
    </xf>
    <xf numFmtId="0" fontId="0" fillId="2" borderId="0" xfId="0" applyFill="1" applyProtection="1">
      <alignment vertical="center"/>
      <protection hidden="1"/>
    </xf>
    <xf numFmtId="0" fontId="0" fillId="0" borderId="0" xfId="0" applyFill="1" applyProtection="1">
      <alignment vertical="center"/>
      <protection locked="0" hidden="1"/>
    </xf>
    <xf numFmtId="0" fontId="0" fillId="2" borderId="0" xfId="0" applyFill="1" applyProtection="1">
      <alignment vertical="center"/>
      <protection locked="0" hidden="1"/>
    </xf>
    <xf numFmtId="0" fontId="2" fillId="4" borderId="0" xfId="0" applyFont="1" applyFill="1" applyAlignment="1">
      <alignment vertical="center" wrapText="1"/>
    </xf>
    <xf numFmtId="0" fontId="0" fillId="5" borderId="0" xfId="0" applyFill="1" applyProtection="1">
      <alignment vertical="center"/>
      <protection hidden="1"/>
    </xf>
    <xf numFmtId="0" fontId="0" fillId="0" borderId="0" xfId="0" applyNumberFormat="1" applyFont="1" applyFill="1" applyAlignment="1" applyProtection="1">
      <alignment vertical="center"/>
      <protection locked="0"/>
    </xf>
    <xf numFmtId="0" fontId="0" fillId="6" borderId="0" xfId="0" applyNumberFormat="1" applyFont="1" applyFill="1" applyAlignment="1" applyProtection="1">
      <alignment vertical="center"/>
    </xf>
    <xf numFmtId="0" fontId="0" fillId="2" borderId="0" xfId="0" applyFill="1" applyAlignment="1" applyProtection="1">
      <alignment horizontal="center" vertical="center"/>
      <protection hidden="1"/>
    </xf>
  </cellXfs>
  <cellStyles count="1">
    <cellStyle name="標準" xfId="0" builtinId="0"/>
  </cellStyles>
  <dxfs count="68">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B0F0"/>
        </patternFill>
      </fill>
    </dxf>
    <dxf>
      <fill>
        <patternFill>
          <bgColor rgb="FF0070C0"/>
        </patternFill>
      </fill>
    </dxf>
    <dxf>
      <fill>
        <patternFill>
          <bgColor rgb="FF7030A0"/>
        </patternFill>
      </fill>
    </dxf>
    <dxf>
      <font>
        <color auto="1"/>
      </font>
      <fill>
        <patternFill patternType="solid">
          <bgColor theme="0" tint="-0.14996795556505021"/>
        </patternFill>
      </fill>
    </dxf>
    <dxf>
      <font>
        <b/>
        <i val="0"/>
        <color theme="9"/>
      </font>
      <fill>
        <patternFill>
          <fgColor auto="1"/>
          <bgColor theme="1"/>
        </patternFill>
      </fill>
    </dxf>
    <dxf>
      <font>
        <color rgb="FF0070C0"/>
      </font>
    </dxf>
    <dxf>
      <font>
        <b/>
        <i val="0"/>
        <color theme="9"/>
      </font>
    </dxf>
    <dxf>
      <font>
        <color rgb="FF0070C0"/>
      </font>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strike/>
      </font>
      <fill>
        <patternFill>
          <bgColor theme="0" tint="-0.499984740745262"/>
        </patternFill>
      </fill>
    </dxf>
    <dxf>
      <font>
        <b val="0"/>
        <i/>
        <strike/>
      </font>
      <fill>
        <patternFill>
          <bgColor theme="0" tint="-0.499984740745262"/>
        </patternFill>
      </fill>
    </dxf>
    <dxf>
      <font>
        <b/>
        <i val="0"/>
        <color theme="9"/>
      </font>
      <fill>
        <patternFill>
          <bgColor theme="1"/>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s>
  <tableStyles count="0" defaultTableStyle="TableStyleMedium2" defaultPivotStyle="PivotStyleLight16"/>
  <colors>
    <mruColors>
      <color rgb="FFFFD965"/>
      <color rgb="FFFFF690"/>
      <color rgb="FF95FF6C"/>
      <color rgb="FF7FCAFF"/>
      <color rgb="FF3EA23D"/>
      <color rgb="FFFFFF98"/>
      <color rgb="FFE1B9FF"/>
      <color rgb="FFFF4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5</xdr:row>
          <xdr:rowOff>0</xdr:rowOff>
        </xdr:from>
        <xdr:to>
          <xdr:col>1</xdr:col>
          <xdr:colOff>1371600</xdr:colOff>
          <xdr:row>6</xdr:row>
          <xdr:rowOff>127000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Yu Gothic" charset="-128"/>
                  <a:ea typeface="Yu Gothic" charset="-128"/>
                </a:rPr>
                <a:t>非表示行更新</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スリップストリーム">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D22FC-67AD-7241-A4B0-53E1B8269BB9}">
  <sheetPr codeName="readme"/>
  <dimension ref="A1:D23"/>
  <sheetViews>
    <sheetView tabSelected="1" workbookViewId="0">
      <selection activeCell="A16" sqref="A16"/>
    </sheetView>
  </sheetViews>
  <sheetFormatPr baseColWidth="10" defaultRowHeight="20"/>
  <cols>
    <col min="1" max="1" width="166.140625" style="8" customWidth="1"/>
    <col min="2" max="16384" width="10.7109375" style="1"/>
  </cols>
  <sheetData>
    <row r="1" spans="1:4" ht="21">
      <c r="A1" s="8" t="s">
        <v>84</v>
      </c>
      <c r="C1" s="1" t="s">
        <v>78</v>
      </c>
    </row>
    <row r="2" spans="1:4">
      <c r="C2" s="1" t="s">
        <v>53</v>
      </c>
      <c r="D2" s="1">
        <v>30</v>
      </c>
    </row>
    <row r="3" spans="1:4" ht="21">
      <c r="A3" s="8" t="s">
        <v>62</v>
      </c>
      <c r="C3" s="1" t="s">
        <v>54</v>
      </c>
      <c r="D3" s="1">
        <v>5</v>
      </c>
    </row>
    <row r="4" spans="1:4">
      <c r="C4" s="1" t="s">
        <v>55</v>
      </c>
      <c r="D4" s="1">
        <v>50</v>
      </c>
    </row>
    <row r="5" spans="1:4" ht="21">
      <c r="A5" s="8" t="s">
        <v>65</v>
      </c>
      <c r="C5" s="1" t="s">
        <v>56</v>
      </c>
      <c r="D5" s="1">
        <v>6</v>
      </c>
    </row>
    <row r="7" spans="1:4" ht="21">
      <c r="A7" s="8" t="s">
        <v>64</v>
      </c>
    </row>
    <row r="8" spans="1:4" ht="21">
      <c r="A8" s="8" t="s">
        <v>63</v>
      </c>
    </row>
    <row r="9" spans="1:4" ht="42">
      <c r="A9" s="8" t="s">
        <v>70</v>
      </c>
    </row>
    <row r="10" spans="1:4" ht="21">
      <c r="A10" s="8" t="s">
        <v>66</v>
      </c>
    </row>
    <row r="11" spans="1:4" ht="21">
      <c r="A11" s="8" t="s">
        <v>68</v>
      </c>
    </row>
    <row r="12" spans="1:4" ht="21">
      <c r="A12" s="8" t="s">
        <v>77</v>
      </c>
    </row>
    <row r="13" spans="1:4" ht="21">
      <c r="A13" s="8" t="s">
        <v>67</v>
      </c>
    </row>
    <row r="14" spans="1:4" ht="21">
      <c r="A14" s="8" t="s">
        <v>81</v>
      </c>
    </row>
    <row r="15" spans="1:4" ht="42">
      <c r="A15" s="8" t="s">
        <v>71</v>
      </c>
    </row>
    <row r="18" spans="1:1" ht="25">
      <c r="A18" s="9" t="s">
        <v>74</v>
      </c>
    </row>
    <row r="19" spans="1:1" ht="25">
      <c r="A19" s="9" t="s">
        <v>75</v>
      </c>
    </row>
    <row r="21" spans="1:1" ht="21">
      <c r="A21" s="8" t="s">
        <v>72</v>
      </c>
    </row>
    <row r="22" spans="1:1" ht="21">
      <c r="A22" s="8" t="s">
        <v>73</v>
      </c>
    </row>
    <row r="23" spans="1:1" ht="21">
      <c r="A23" s="8" t="s">
        <v>76</v>
      </c>
    </row>
  </sheetData>
  <sheetProtection sheet="1" objects="1" scenarios="1" selectLockedCells="1"/>
  <phoneticPr fontId="1"/>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1B8BA-7717-8547-857C-7C036572439D}">
  <sheetPr codeName="TimeList"/>
  <dimension ref="A1:B51"/>
  <sheetViews>
    <sheetView workbookViewId="0">
      <selection activeCell="B51" sqref="B51"/>
    </sheetView>
  </sheetViews>
  <sheetFormatPr baseColWidth="10" defaultRowHeight="20"/>
  <cols>
    <col min="1" max="1" width="10.7109375" style="1"/>
    <col min="2" max="2" width="10.7109375" style="3"/>
    <col min="3" max="16384" width="10.7109375" style="1"/>
  </cols>
  <sheetData>
    <row r="1" spans="1:2">
      <c r="A1" s="1" t="s">
        <v>3</v>
      </c>
      <c r="B1" s="3" t="s">
        <v>4</v>
      </c>
    </row>
    <row r="2" spans="1:2">
      <c r="A2" s="1">
        <f>ROW()-1</f>
        <v>1</v>
      </c>
      <c r="B2" s="6" t="s">
        <v>5</v>
      </c>
    </row>
    <row r="3" spans="1:2">
      <c r="A3" s="1">
        <f t="shared" ref="A3:A51" si="0">ROW()-1</f>
        <v>2</v>
      </c>
      <c r="B3" s="6" t="s">
        <v>6</v>
      </c>
    </row>
    <row r="4" spans="1:2">
      <c r="A4" s="1">
        <f t="shared" si="0"/>
        <v>3</v>
      </c>
      <c r="B4" s="6" t="s">
        <v>7</v>
      </c>
    </row>
    <row r="5" spans="1:2">
      <c r="A5" s="1">
        <f t="shared" si="0"/>
        <v>4</v>
      </c>
      <c r="B5" s="6" t="s">
        <v>8</v>
      </c>
    </row>
    <row r="6" spans="1:2">
      <c r="A6" s="1">
        <f t="shared" si="0"/>
        <v>5</v>
      </c>
      <c r="B6" s="6" t="s">
        <v>9</v>
      </c>
    </row>
    <row r="7" spans="1:2">
      <c r="A7" s="1">
        <f t="shared" si="0"/>
        <v>6</v>
      </c>
      <c r="B7" s="7" t="s">
        <v>10</v>
      </c>
    </row>
    <row r="8" spans="1:2">
      <c r="A8" s="1">
        <f t="shared" si="0"/>
        <v>7</v>
      </c>
      <c r="B8" s="7" t="s">
        <v>17</v>
      </c>
    </row>
    <row r="9" spans="1:2">
      <c r="A9" s="1">
        <f t="shared" si="0"/>
        <v>8</v>
      </c>
      <c r="B9" s="7" t="s">
        <v>18</v>
      </c>
    </row>
    <row r="10" spans="1:2">
      <c r="A10" s="1">
        <f t="shared" si="0"/>
        <v>9</v>
      </c>
      <c r="B10" s="7" t="s">
        <v>19</v>
      </c>
    </row>
    <row r="11" spans="1:2">
      <c r="A11" s="1">
        <f t="shared" si="0"/>
        <v>10</v>
      </c>
      <c r="B11" s="7"/>
    </row>
    <row r="12" spans="1:2">
      <c r="A12" s="1">
        <f t="shared" si="0"/>
        <v>11</v>
      </c>
      <c r="B12" s="7"/>
    </row>
    <row r="13" spans="1:2">
      <c r="A13" s="1">
        <f t="shared" si="0"/>
        <v>12</v>
      </c>
      <c r="B13" s="7"/>
    </row>
    <row r="14" spans="1:2">
      <c r="A14" s="1">
        <f t="shared" si="0"/>
        <v>13</v>
      </c>
      <c r="B14" s="7"/>
    </row>
    <row r="15" spans="1:2">
      <c r="A15" s="1">
        <f t="shared" si="0"/>
        <v>14</v>
      </c>
      <c r="B15" s="7"/>
    </row>
    <row r="16" spans="1:2">
      <c r="A16" s="1">
        <f t="shared" si="0"/>
        <v>15</v>
      </c>
      <c r="B16" s="7"/>
    </row>
    <row r="17" spans="1:2">
      <c r="A17" s="1">
        <f t="shared" si="0"/>
        <v>16</v>
      </c>
      <c r="B17" s="7"/>
    </row>
    <row r="18" spans="1:2">
      <c r="A18" s="1">
        <f t="shared" si="0"/>
        <v>17</v>
      </c>
      <c r="B18" s="7"/>
    </row>
    <row r="19" spans="1:2">
      <c r="A19" s="1">
        <f t="shared" si="0"/>
        <v>18</v>
      </c>
      <c r="B19" s="7"/>
    </row>
    <row r="20" spans="1:2">
      <c r="A20" s="1">
        <f t="shared" si="0"/>
        <v>19</v>
      </c>
      <c r="B20" s="7"/>
    </row>
    <row r="21" spans="1:2">
      <c r="A21" s="1">
        <f t="shared" si="0"/>
        <v>20</v>
      </c>
      <c r="B21" s="7"/>
    </row>
    <row r="22" spans="1:2">
      <c r="A22" s="1">
        <f t="shared" si="0"/>
        <v>21</v>
      </c>
      <c r="B22" s="6"/>
    </row>
    <row r="23" spans="1:2">
      <c r="A23" s="1">
        <f t="shared" si="0"/>
        <v>22</v>
      </c>
      <c r="B23" s="6"/>
    </row>
    <row r="24" spans="1:2">
      <c r="A24" s="1">
        <f t="shared" si="0"/>
        <v>23</v>
      </c>
      <c r="B24" s="6"/>
    </row>
    <row r="25" spans="1:2">
      <c r="A25" s="1">
        <f t="shared" si="0"/>
        <v>24</v>
      </c>
      <c r="B25" s="6"/>
    </row>
    <row r="26" spans="1:2">
      <c r="A26" s="1">
        <f t="shared" si="0"/>
        <v>25</v>
      </c>
      <c r="B26" s="6"/>
    </row>
    <row r="27" spans="1:2">
      <c r="A27" s="1">
        <f t="shared" si="0"/>
        <v>26</v>
      </c>
      <c r="B27" s="6"/>
    </row>
    <row r="28" spans="1:2">
      <c r="A28" s="1">
        <f t="shared" si="0"/>
        <v>27</v>
      </c>
      <c r="B28" s="6"/>
    </row>
    <row r="29" spans="1:2">
      <c r="A29" s="1">
        <f t="shared" si="0"/>
        <v>28</v>
      </c>
      <c r="B29" s="6"/>
    </row>
    <row r="30" spans="1:2">
      <c r="A30" s="1">
        <f t="shared" si="0"/>
        <v>29</v>
      </c>
      <c r="B30" s="6"/>
    </row>
    <row r="31" spans="1:2">
      <c r="A31" s="1">
        <f t="shared" si="0"/>
        <v>30</v>
      </c>
      <c r="B31" s="6"/>
    </row>
    <row r="32" spans="1:2">
      <c r="A32" s="1">
        <f t="shared" si="0"/>
        <v>31</v>
      </c>
      <c r="B32" s="6"/>
    </row>
    <row r="33" spans="1:2">
      <c r="A33" s="1">
        <f t="shared" si="0"/>
        <v>32</v>
      </c>
      <c r="B33" s="6"/>
    </row>
    <row r="34" spans="1:2">
      <c r="A34" s="1">
        <f t="shared" si="0"/>
        <v>33</v>
      </c>
      <c r="B34" s="6"/>
    </row>
    <row r="35" spans="1:2">
      <c r="A35" s="1">
        <f t="shared" si="0"/>
        <v>34</v>
      </c>
      <c r="B35" s="6"/>
    </row>
    <row r="36" spans="1:2">
      <c r="A36" s="1">
        <f t="shared" si="0"/>
        <v>35</v>
      </c>
      <c r="B36" s="6"/>
    </row>
    <row r="37" spans="1:2">
      <c r="A37" s="1">
        <f t="shared" si="0"/>
        <v>36</v>
      </c>
      <c r="B37" s="6"/>
    </row>
    <row r="38" spans="1:2">
      <c r="A38" s="1">
        <f t="shared" si="0"/>
        <v>37</v>
      </c>
      <c r="B38" s="6"/>
    </row>
    <row r="39" spans="1:2">
      <c r="A39" s="1">
        <f t="shared" si="0"/>
        <v>38</v>
      </c>
      <c r="B39" s="6"/>
    </row>
    <row r="40" spans="1:2">
      <c r="A40" s="1">
        <f t="shared" si="0"/>
        <v>39</v>
      </c>
      <c r="B40" s="6"/>
    </row>
    <row r="41" spans="1:2">
      <c r="A41" s="1">
        <f t="shared" si="0"/>
        <v>40</v>
      </c>
      <c r="B41" s="6"/>
    </row>
    <row r="42" spans="1:2">
      <c r="A42" s="1">
        <f t="shared" si="0"/>
        <v>41</v>
      </c>
      <c r="B42" s="6"/>
    </row>
    <row r="43" spans="1:2">
      <c r="A43" s="1">
        <f t="shared" si="0"/>
        <v>42</v>
      </c>
      <c r="B43" s="6"/>
    </row>
    <row r="44" spans="1:2">
      <c r="A44" s="1">
        <f t="shared" si="0"/>
        <v>43</v>
      </c>
      <c r="B44" s="6"/>
    </row>
    <row r="45" spans="1:2">
      <c r="A45" s="1">
        <f t="shared" si="0"/>
        <v>44</v>
      </c>
      <c r="B45" s="6"/>
    </row>
    <row r="46" spans="1:2">
      <c r="A46" s="1">
        <f t="shared" si="0"/>
        <v>45</v>
      </c>
      <c r="B46" s="6"/>
    </row>
    <row r="47" spans="1:2">
      <c r="A47" s="1">
        <f t="shared" si="0"/>
        <v>46</v>
      </c>
      <c r="B47" s="6"/>
    </row>
    <row r="48" spans="1:2">
      <c r="A48" s="1">
        <f t="shared" si="0"/>
        <v>47</v>
      </c>
      <c r="B48" s="6"/>
    </row>
    <row r="49" spans="1:2">
      <c r="A49" s="1">
        <f t="shared" si="0"/>
        <v>48</v>
      </c>
      <c r="B49" s="6"/>
    </row>
    <row r="50" spans="1:2">
      <c r="A50" s="1">
        <f t="shared" si="0"/>
        <v>49</v>
      </c>
      <c r="B50" s="6"/>
    </row>
    <row r="51" spans="1:2">
      <c r="A51" s="1">
        <f t="shared" si="0"/>
        <v>50</v>
      </c>
      <c r="B51" s="6"/>
    </row>
  </sheetData>
  <sheetProtection sheet="1" objects="1" scenarios="1" selectLockedCells="1"/>
  <phoneticPr fontId="1"/>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4D041-65C5-954E-AE0A-7ED37018D2F0}">
  <sheetPr codeName="JobList"/>
  <dimension ref="A1:Q31"/>
  <sheetViews>
    <sheetView topLeftCell="B25" workbookViewId="0">
      <selection activeCell="C9" sqref="C9"/>
    </sheetView>
  </sheetViews>
  <sheetFormatPr baseColWidth="10" defaultRowHeight="20"/>
  <cols>
    <col min="1" max="1" width="0" style="1" hidden="1" customWidth="1"/>
    <col min="2" max="2" width="10" style="1" customWidth="1"/>
    <col min="3" max="3" width="15.42578125" style="1" customWidth="1"/>
    <col min="4" max="5" width="12.7109375" style="1" customWidth="1"/>
    <col min="6" max="12" width="12.7109375" style="1" hidden="1" customWidth="1"/>
    <col min="13" max="16384" width="10.7109375" style="1"/>
  </cols>
  <sheetData>
    <row r="1" spans="1:17">
      <c r="B1" s="1" t="s">
        <v>0</v>
      </c>
      <c r="C1" s="1" t="s">
        <v>1</v>
      </c>
      <c r="D1" s="1" t="s">
        <v>13</v>
      </c>
      <c r="E1" s="1" t="s">
        <v>37</v>
      </c>
      <c r="F1" s="1" t="s">
        <v>12</v>
      </c>
      <c r="G1" s="1" t="s">
        <v>11</v>
      </c>
      <c r="H1" s="1" t="s">
        <v>31</v>
      </c>
      <c r="I1" s="1" t="s">
        <v>33</v>
      </c>
      <c r="J1" s="1" t="s">
        <v>35</v>
      </c>
      <c r="K1" s="1" t="s">
        <v>36</v>
      </c>
      <c r="M1" s="1" t="s">
        <v>23</v>
      </c>
      <c r="N1" s="1" t="s">
        <v>24</v>
      </c>
      <c r="O1" s="1" t="s">
        <v>25</v>
      </c>
      <c r="P1" s="1" t="s">
        <v>26</v>
      </c>
      <c r="Q1" s="1" t="s">
        <v>27</v>
      </c>
    </row>
    <row r="2" spans="1:17">
      <c r="A2" s="1" t="str">
        <f>D2&amp;COUNTIF($D$2:D2,D2)&amp;""</f>
        <v>赤1</v>
      </c>
      <c r="B2" s="4" t="s">
        <v>45</v>
      </c>
      <c r="C2" s="4" t="s">
        <v>14</v>
      </c>
      <c r="D2" s="4" t="s">
        <v>12</v>
      </c>
      <c r="E2" s="4">
        <v>2</v>
      </c>
      <c r="F2" s="1" t="str">
        <f t="shared" ref="F2:K11" si="0">IFERROR(VLOOKUP(F$1&amp;ROW()-1,$A:$B,2,FALSE),"")</f>
        <v>A</v>
      </c>
      <c r="G2" s="1" t="str">
        <f t="shared" si="0"/>
        <v>D</v>
      </c>
      <c r="H2" s="1" t="str">
        <f t="shared" si="0"/>
        <v>B</v>
      </c>
      <c r="I2" s="1" t="str">
        <f t="shared" si="0"/>
        <v>C</v>
      </c>
      <c r="J2" s="1" t="str">
        <f t="shared" si="0"/>
        <v>E</v>
      </c>
      <c r="K2" s="1" t="str">
        <f t="shared" si="0"/>
        <v/>
      </c>
      <c r="M2" s="1">
        <f>COUNTIF('役職希望調査 ・備考'!D:D,$B2)</f>
        <v>1</v>
      </c>
      <c r="N2" s="1">
        <f>COUNTIF('役職希望調査 ・備考'!E:E,$B2)</f>
        <v>0</v>
      </c>
      <c r="O2" s="1">
        <f>COUNTIF('役職希望調査 ・備考'!F:F,$B2)</f>
        <v>0</v>
      </c>
      <c r="P2" s="1">
        <f>COUNTIF('役職希望調査 ・備考'!G:G,$B2)</f>
        <v>0</v>
      </c>
      <c r="Q2" s="1">
        <f>COUNTIF('役職希望調査 ・備考'!H:H,$B2)</f>
        <v>0</v>
      </c>
    </row>
    <row r="3" spans="1:17">
      <c r="A3" s="1" t="str">
        <f>D3&amp;COUNTIF($D$2:D3,D3)</f>
        <v>黄色1</v>
      </c>
      <c r="B3" s="4" t="s">
        <v>46</v>
      </c>
      <c r="C3" s="4" t="s">
        <v>15</v>
      </c>
      <c r="D3" s="4" t="s">
        <v>30</v>
      </c>
      <c r="E3" s="4">
        <v>3</v>
      </c>
      <c r="F3" s="1" t="str">
        <f t="shared" si="0"/>
        <v/>
      </c>
      <c r="G3" s="1" t="str">
        <f t="shared" si="0"/>
        <v/>
      </c>
      <c r="H3" s="1" t="str">
        <f t="shared" si="0"/>
        <v/>
      </c>
      <c r="I3" s="1" t="str">
        <f t="shared" si="0"/>
        <v/>
      </c>
      <c r="J3" s="1" t="str">
        <f t="shared" si="0"/>
        <v/>
      </c>
      <c r="K3" s="1" t="str">
        <f t="shared" si="0"/>
        <v/>
      </c>
      <c r="M3" s="1">
        <f>COUNTIF('役職希望調査 ・備考'!D:D,$B3)</f>
        <v>0</v>
      </c>
      <c r="N3" s="1">
        <f>COUNTIF('役職希望調査 ・備考'!E:E,$B3)</f>
        <v>0</v>
      </c>
      <c r="O3" s="1">
        <f>COUNTIF('役職希望調査 ・備考'!F:F,$B3)</f>
        <v>0</v>
      </c>
      <c r="P3" s="1">
        <f>COUNTIF('役職希望調査 ・備考'!G:G,$B3)</f>
        <v>0</v>
      </c>
      <c r="Q3" s="1">
        <f>COUNTIF('役職希望調査 ・備考'!H:H,$B3)</f>
        <v>0</v>
      </c>
    </row>
    <row r="4" spans="1:17">
      <c r="A4" s="1" t="str">
        <f>D4&amp;COUNTIF($D$2:D4,D4)</f>
        <v>緑1</v>
      </c>
      <c r="B4" s="4" t="s">
        <v>48</v>
      </c>
      <c r="C4" s="4" t="s">
        <v>40</v>
      </c>
      <c r="D4" s="4" t="s">
        <v>32</v>
      </c>
      <c r="E4" s="4">
        <v>4</v>
      </c>
      <c r="F4" s="1" t="str">
        <f t="shared" si="0"/>
        <v/>
      </c>
      <c r="G4" s="1" t="str">
        <f t="shared" si="0"/>
        <v/>
      </c>
      <c r="H4" s="1" t="str">
        <f t="shared" si="0"/>
        <v/>
      </c>
      <c r="I4" s="1" t="str">
        <f t="shared" si="0"/>
        <v/>
      </c>
      <c r="J4" s="1" t="str">
        <f t="shared" si="0"/>
        <v/>
      </c>
      <c r="K4" s="1" t="str">
        <f t="shared" si="0"/>
        <v/>
      </c>
      <c r="M4" s="1">
        <f>COUNTIF('役職希望調査 ・備考'!D:D,$B4)</f>
        <v>0</v>
      </c>
      <c r="N4" s="1">
        <f>COUNTIF('役職希望調査 ・備考'!E:E,$B4)</f>
        <v>1</v>
      </c>
      <c r="O4" s="1">
        <f>COUNTIF('役職希望調査 ・備考'!F:F,$B4)</f>
        <v>0</v>
      </c>
      <c r="P4" s="1">
        <f>COUNTIF('役職希望調査 ・備考'!G:G,$B4)</f>
        <v>0</v>
      </c>
      <c r="Q4" s="1">
        <f>COUNTIF('役職希望調査 ・備考'!H:H,$B4)</f>
        <v>0</v>
      </c>
    </row>
    <row r="5" spans="1:17">
      <c r="A5" s="1" t="str">
        <f>D5&amp;COUNTIF($D$2:D5,D5)</f>
        <v>オレンジ1</v>
      </c>
      <c r="B5" s="4" t="s">
        <v>49</v>
      </c>
      <c r="C5" s="4" t="s">
        <v>41</v>
      </c>
      <c r="D5" s="4" t="s">
        <v>29</v>
      </c>
      <c r="E5" s="4">
        <v>1</v>
      </c>
      <c r="F5" s="1" t="str">
        <f t="shared" si="0"/>
        <v/>
      </c>
      <c r="G5" s="1" t="str">
        <f t="shared" si="0"/>
        <v/>
      </c>
      <c r="H5" s="1" t="str">
        <f t="shared" si="0"/>
        <v/>
      </c>
      <c r="I5" s="1" t="str">
        <f t="shared" si="0"/>
        <v/>
      </c>
      <c r="J5" s="1" t="str">
        <f t="shared" si="0"/>
        <v/>
      </c>
      <c r="K5" s="1" t="str">
        <f t="shared" si="0"/>
        <v/>
      </c>
      <c r="M5" s="1">
        <f>COUNTIF('役職希望調査 ・備考'!D:D,$B5)</f>
        <v>0</v>
      </c>
      <c r="N5" s="1">
        <f>COUNTIF('役職希望調査 ・備考'!E:E,$B5)</f>
        <v>0</v>
      </c>
      <c r="O5" s="1">
        <f>COUNTIF('役職希望調査 ・備考'!F:F,$B5)</f>
        <v>0</v>
      </c>
      <c r="P5" s="1">
        <f>COUNTIF('役職希望調査 ・備考'!G:G,$B5)</f>
        <v>0</v>
      </c>
      <c r="Q5" s="1">
        <f>COUNTIF('役職希望調査 ・備考'!H:H,$B5)</f>
        <v>0</v>
      </c>
    </row>
    <row r="6" spans="1:17">
      <c r="A6" s="1" t="str">
        <f>D6&amp;COUNTIF($D$2:D6,D6)</f>
        <v>青1</v>
      </c>
      <c r="B6" s="4" t="s">
        <v>50</v>
      </c>
      <c r="C6" s="4" t="s">
        <v>42</v>
      </c>
      <c r="D6" s="4" t="s">
        <v>34</v>
      </c>
      <c r="E6" s="4">
        <v>6</v>
      </c>
      <c r="F6" s="1" t="str">
        <f t="shared" si="0"/>
        <v/>
      </c>
      <c r="G6" s="1" t="str">
        <f t="shared" si="0"/>
        <v/>
      </c>
      <c r="H6" s="1" t="str">
        <f t="shared" si="0"/>
        <v/>
      </c>
      <c r="I6" s="1" t="str">
        <f t="shared" si="0"/>
        <v/>
      </c>
      <c r="J6" s="1" t="str">
        <f t="shared" si="0"/>
        <v/>
      </c>
      <c r="K6" s="1" t="str">
        <f t="shared" si="0"/>
        <v/>
      </c>
      <c r="M6" s="1">
        <f>COUNTIF('役職希望調査 ・備考'!D:D,$B6)</f>
        <v>0</v>
      </c>
      <c r="N6" s="1">
        <f>COUNTIF('役職希望調査 ・備考'!E:E,$B6)</f>
        <v>0</v>
      </c>
      <c r="O6" s="1">
        <f>COUNTIF('役職希望調査 ・備考'!F:F,$B6)</f>
        <v>0</v>
      </c>
      <c r="P6" s="1">
        <f>COUNTIF('役職希望調査 ・備考'!G:G,$B6)</f>
        <v>0</v>
      </c>
      <c r="Q6" s="1">
        <f>COUNTIF('役職希望調査 ・備考'!H:H,$B6)</f>
        <v>0</v>
      </c>
    </row>
    <row r="7" spans="1:17">
      <c r="A7" s="1" t="str">
        <f>D7&amp;COUNTIF($D$2:D7,D7)</f>
        <v>0</v>
      </c>
      <c r="B7" s="4" t="s">
        <v>82</v>
      </c>
      <c r="C7" s="4" t="s">
        <v>83</v>
      </c>
      <c r="D7" s="4"/>
      <c r="E7" s="4"/>
      <c r="F7" s="1" t="str">
        <f t="shared" si="0"/>
        <v/>
      </c>
      <c r="G7" s="1" t="str">
        <f t="shared" si="0"/>
        <v/>
      </c>
      <c r="H7" s="1" t="str">
        <f t="shared" si="0"/>
        <v/>
      </c>
      <c r="I7" s="1" t="str">
        <f t="shared" si="0"/>
        <v/>
      </c>
      <c r="J7" s="1" t="str">
        <f t="shared" si="0"/>
        <v/>
      </c>
      <c r="K7" s="1" t="str">
        <f t="shared" si="0"/>
        <v/>
      </c>
      <c r="M7" s="1">
        <f>COUNTIF('役職希望調査 ・備考'!D:D,$B7)</f>
        <v>0</v>
      </c>
      <c r="N7" s="1">
        <f>COUNTIF('役職希望調査 ・備考'!E:E,$B7)</f>
        <v>0</v>
      </c>
      <c r="O7" s="1">
        <f>COUNTIF('役職希望調査 ・備考'!F:F,$B7)</f>
        <v>0</v>
      </c>
      <c r="P7" s="1">
        <f>COUNTIF('役職希望調査 ・備考'!G:G,$B7)</f>
        <v>0</v>
      </c>
      <c r="Q7" s="1">
        <f>COUNTIF('役職希望調査 ・備考'!H:H,$B7)</f>
        <v>0</v>
      </c>
    </row>
    <row r="8" spans="1:17">
      <c r="A8" s="1" t="str">
        <f>D8&amp;COUNTIF($D$2:D8,D8)</f>
        <v>0</v>
      </c>
      <c r="B8" s="4"/>
      <c r="C8" s="4"/>
      <c r="D8" s="4"/>
      <c r="E8" s="4"/>
      <c r="F8" s="1" t="str">
        <f t="shared" si="0"/>
        <v/>
      </c>
      <c r="G8" s="1" t="str">
        <f t="shared" si="0"/>
        <v/>
      </c>
      <c r="H8" s="1" t="str">
        <f t="shared" si="0"/>
        <v/>
      </c>
      <c r="I8" s="1" t="str">
        <f t="shared" si="0"/>
        <v/>
      </c>
      <c r="J8" s="1" t="str">
        <f t="shared" si="0"/>
        <v/>
      </c>
      <c r="K8" s="1" t="str">
        <f t="shared" si="0"/>
        <v/>
      </c>
      <c r="M8" s="1">
        <f>COUNTIF('役職希望調査 ・備考'!D:D,$B8)</f>
        <v>0</v>
      </c>
      <c r="N8" s="1">
        <f>COUNTIF('役職希望調査 ・備考'!E:E,$B8)</f>
        <v>0</v>
      </c>
      <c r="O8" s="1">
        <f>COUNTIF('役職希望調査 ・備考'!F:F,$B8)</f>
        <v>0</v>
      </c>
      <c r="P8" s="1">
        <f>COUNTIF('役職希望調査 ・備考'!G:G,$B8)</f>
        <v>0</v>
      </c>
      <c r="Q8" s="1">
        <f>COUNTIF('役職希望調査 ・備考'!H:H,$B8)</f>
        <v>0</v>
      </c>
    </row>
    <row r="9" spans="1:17">
      <c r="A9" s="1" t="str">
        <f>D9&amp;COUNTIF($D$2:D9,D9)</f>
        <v>0</v>
      </c>
      <c r="B9" s="4"/>
      <c r="C9" s="4"/>
      <c r="D9" s="4"/>
      <c r="E9" s="4"/>
      <c r="F9" s="1" t="str">
        <f t="shared" si="0"/>
        <v/>
      </c>
      <c r="G9" s="1" t="str">
        <f t="shared" si="0"/>
        <v/>
      </c>
      <c r="H9" s="1" t="str">
        <f t="shared" si="0"/>
        <v/>
      </c>
      <c r="I9" s="1" t="str">
        <f t="shared" si="0"/>
        <v/>
      </c>
      <c r="J9" s="1" t="str">
        <f t="shared" si="0"/>
        <v/>
      </c>
      <c r="K9" s="1" t="str">
        <f t="shared" si="0"/>
        <v/>
      </c>
      <c r="M9" s="1">
        <f>COUNTIF('役職希望調査 ・備考'!D:D,$B9)</f>
        <v>0</v>
      </c>
      <c r="N9" s="1">
        <f>COUNTIF('役職希望調査 ・備考'!E:E,$B9)</f>
        <v>0</v>
      </c>
      <c r="O9" s="1">
        <f>COUNTIF('役職希望調査 ・備考'!F:F,$B9)</f>
        <v>0</v>
      </c>
      <c r="P9" s="1">
        <f>COUNTIF('役職希望調査 ・備考'!G:G,$B9)</f>
        <v>0</v>
      </c>
      <c r="Q9" s="1">
        <f>COUNTIF('役職希望調査 ・備考'!H:H,$B9)</f>
        <v>0</v>
      </c>
    </row>
    <row r="10" spans="1:17">
      <c r="A10" s="1" t="str">
        <f>D10&amp;COUNTIF($D$2:D10,D10)</f>
        <v>0</v>
      </c>
      <c r="B10" s="4"/>
      <c r="C10" s="4"/>
      <c r="D10" s="4"/>
      <c r="E10" s="4"/>
      <c r="F10" s="1" t="str">
        <f t="shared" si="0"/>
        <v/>
      </c>
      <c r="G10" s="1" t="str">
        <f t="shared" si="0"/>
        <v/>
      </c>
      <c r="H10" s="1" t="str">
        <f t="shared" si="0"/>
        <v/>
      </c>
      <c r="I10" s="1" t="str">
        <f t="shared" si="0"/>
        <v/>
      </c>
      <c r="J10" s="1" t="str">
        <f t="shared" si="0"/>
        <v/>
      </c>
      <c r="K10" s="1" t="str">
        <f t="shared" si="0"/>
        <v/>
      </c>
      <c r="M10" s="1">
        <f>COUNTIF('役職希望調査 ・備考'!D:D,$B10)</f>
        <v>0</v>
      </c>
      <c r="N10" s="1">
        <f>COUNTIF('役職希望調査 ・備考'!E:E,$B10)</f>
        <v>0</v>
      </c>
      <c r="O10" s="1">
        <f>COUNTIF('役職希望調査 ・備考'!F:F,$B10)</f>
        <v>0</v>
      </c>
      <c r="P10" s="1">
        <f>COUNTIF('役職希望調査 ・備考'!G:G,$B10)</f>
        <v>0</v>
      </c>
      <c r="Q10" s="1">
        <f>COUNTIF('役職希望調査 ・備考'!H:H,$B10)</f>
        <v>0</v>
      </c>
    </row>
    <row r="11" spans="1:17">
      <c r="A11" s="1" t="str">
        <f>D11&amp;COUNTIF($D$2:D11,D11)</f>
        <v>0</v>
      </c>
      <c r="B11" s="4"/>
      <c r="C11" s="4"/>
      <c r="D11" s="4"/>
      <c r="E11" s="4"/>
      <c r="F11" s="1" t="str">
        <f t="shared" si="0"/>
        <v/>
      </c>
      <c r="G11" s="1" t="str">
        <f t="shared" si="0"/>
        <v/>
      </c>
      <c r="H11" s="1" t="str">
        <f t="shared" si="0"/>
        <v/>
      </c>
      <c r="I11" s="1" t="str">
        <f t="shared" si="0"/>
        <v/>
      </c>
      <c r="J11" s="1" t="str">
        <f t="shared" si="0"/>
        <v/>
      </c>
      <c r="K11" s="1" t="str">
        <f t="shared" si="0"/>
        <v/>
      </c>
      <c r="M11" s="1">
        <f>COUNTIF('役職希望調査 ・備考'!D:D,$B11)</f>
        <v>0</v>
      </c>
      <c r="N11" s="1">
        <f>COUNTIF('役職希望調査 ・備考'!E:E,$B11)</f>
        <v>0</v>
      </c>
      <c r="O11" s="1">
        <f>COUNTIF('役職希望調査 ・備考'!F:F,$B11)</f>
        <v>0</v>
      </c>
      <c r="P11" s="1">
        <f>COUNTIF('役職希望調査 ・備考'!G:G,$B11)</f>
        <v>0</v>
      </c>
      <c r="Q11" s="1">
        <f>COUNTIF('役職希望調査 ・備考'!H:H,$B11)</f>
        <v>0</v>
      </c>
    </row>
    <row r="12" spans="1:17">
      <c r="A12" s="1" t="str">
        <f>D12&amp;COUNTIF($D$2:D12,D12)</f>
        <v>0</v>
      </c>
      <c r="B12" s="4"/>
      <c r="C12" s="4"/>
      <c r="D12" s="4"/>
      <c r="E12" s="4"/>
      <c r="F12" s="1" t="str">
        <f t="shared" ref="F12:K21" si="1">IFERROR(VLOOKUP(F$1&amp;ROW()-1,$A:$B,2,FALSE),"")</f>
        <v/>
      </c>
      <c r="G12" s="1" t="str">
        <f t="shared" si="1"/>
        <v/>
      </c>
      <c r="H12" s="1" t="str">
        <f t="shared" si="1"/>
        <v/>
      </c>
      <c r="I12" s="1" t="str">
        <f t="shared" si="1"/>
        <v/>
      </c>
      <c r="J12" s="1" t="str">
        <f t="shared" si="1"/>
        <v/>
      </c>
      <c r="K12" s="1" t="str">
        <f t="shared" si="1"/>
        <v/>
      </c>
      <c r="M12" s="1">
        <f>COUNTIF('役職希望調査 ・備考'!D:D,$B12)</f>
        <v>0</v>
      </c>
      <c r="N12" s="1">
        <f>COUNTIF('役職希望調査 ・備考'!E:E,$B12)</f>
        <v>0</v>
      </c>
      <c r="O12" s="1">
        <f>COUNTIF('役職希望調査 ・備考'!F:F,$B12)</f>
        <v>0</v>
      </c>
      <c r="P12" s="1">
        <f>COUNTIF('役職希望調査 ・備考'!G:G,$B12)</f>
        <v>0</v>
      </c>
      <c r="Q12" s="1">
        <f>COUNTIF('役職希望調査 ・備考'!H:H,$B12)</f>
        <v>0</v>
      </c>
    </row>
    <row r="13" spans="1:17">
      <c r="A13" s="1" t="str">
        <f>D13&amp;COUNTIF($D$2:D13,D13)</f>
        <v>0</v>
      </c>
      <c r="B13" s="4"/>
      <c r="C13" s="4"/>
      <c r="D13" s="4"/>
      <c r="E13" s="4"/>
      <c r="F13" s="1" t="str">
        <f t="shared" si="1"/>
        <v/>
      </c>
      <c r="G13" s="1" t="str">
        <f t="shared" si="1"/>
        <v/>
      </c>
      <c r="H13" s="1" t="str">
        <f t="shared" si="1"/>
        <v/>
      </c>
      <c r="I13" s="1" t="str">
        <f t="shared" si="1"/>
        <v/>
      </c>
      <c r="J13" s="1" t="str">
        <f t="shared" si="1"/>
        <v/>
      </c>
      <c r="K13" s="1" t="str">
        <f t="shared" si="1"/>
        <v/>
      </c>
      <c r="M13" s="1">
        <f>COUNTIF('役職希望調査 ・備考'!D:D,$B13)</f>
        <v>0</v>
      </c>
      <c r="N13" s="1">
        <f>COUNTIF('役職希望調査 ・備考'!E:E,$B13)</f>
        <v>0</v>
      </c>
      <c r="O13" s="1">
        <f>COUNTIF('役職希望調査 ・備考'!F:F,$B13)</f>
        <v>0</v>
      </c>
      <c r="P13" s="1">
        <f>COUNTIF('役職希望調査 ・備考'!G:G,$B13)</f>
        <v>0</v>
      </c>
      <c r="Q13" s="1">
        <f>COUNTIF('役職希望調査 ・備考'!H:H,$B13)</f>
        <v>0</v>
      </c>
    </row>
    <row r="14" spans="1:17">
      <c r="A14" s="1" t="str">
        <f>D14&amp;COUNTIF($D$2:D14,D14)</f>
        <v>0</v>
      </c>
      <c r="B14" s="4"/>
      <c r="C14" s="4"/>
      <c r="D14" s="4"/>
      <c r="E14" s="4"/>
      <c r="F14" s="1" t="str">
        <f t="shared" si="1"/>
        <v/>
      </c>
      <c r="G14" s="1" t="str">
        <f t="shared" si="1"/>
        <v/>
      </c>
      <c r="H14" s="1" t="str">
        <f t="shared" si="1"/>
        <v/>
      </c>
      <c r="I14" s="1" t="str">
        <f t="shared" si="1"/>
        <v/>
      </c>
      <c r="J14" s="1" t="str">
        <f t="shared" si="1"/>
        <v/>
      </c>
      <c r="K14" s="1" t="str">
        <f t="shared" si="1"/>
        <v/>
      </c>
      <c r="M14" s="1">
        <f>COUNTIF('役職希望調査 ・備考'!D:D,$B14)</f>
        <v>0</v>
      </c>
      <c r="N14" s="1">
        <f>COUNTIF('役職希望調査 ・備考'!E:E,$B14)</f>
        <v>0</v>
      </c>
      <c r="O14" s="1">
        <f>COUNTIF('役職希望調査 ・備考'!F:F,$B14)</f>
        <v>0</v>
      </c>
      <c r="P14" s="1">
        <f>COUNTIF('役職希望調査 ・備考'!G:G,$B14)</f>
        <v>0</v>
      </c>
      <c r="Q14" s="1">
        <f>COUNTIF('役職希望調査 ・備考'!H:H,$B14)</f>
        <v>0</v>
      </c>
    </row>
    <row r="15" spans="1:17">
      <c r="A15" s="1" t="str">
        <f>D15&amp;COUNTIF($D$2:D15,D15)</f>
        <v>0</v>
      </c>
      <c r="B15" s="4"/>
      <c r="C15" s="4"/>
      <c r="D15" s="4"/>
      <c r="E15" s="4"/>
      <c r="F15" s="1" t="str">
        <f t="shared" si="1"/>
        <v/>
      </c>
      <c r="G15" s="1" t="str">
        <f t="shared" si="1"/>
        <v/>
      </c>
      <c r="H15" s="1" t="str">
        <f t="shared" si="1"/>
        <v/>
      </c>
      <c r="I15" s="1" t="str">
        <f t="shared" si="1"/>
        <v/>
      </c>
      <c r="J15" s="1" t="str">
        <f t="shared" si="1"/>
        <v/>
      </c>
      <c r="K15" s="1" t="str">
        <f t="shared" si="1"/>
        <v/>
      </c>
      <c r="M15" s="1">
        <f>COUNTIF('役職希望調査 ・備考'!D:D,$B15)</f>
        <v>0</v>
      </c>
      <c r="N15" s="1">
        <f>COUNTIF('役職希望調査 ・備考'!E:E,$B15)</f>
        <v>0</v>
      </c>
      <c r="O15" s="1">
        <f>COUNTIF('役職希望調査 ・備考'!F:F,$B15)</f>
        <v>0</v>
      </c>
      <c r="P15" s="1">
        <f>COUNTIF('役職希望調査 ・備考'!G:G,$B15)</f>
        <v>0</v>
      </c>
      <c r="Q15" s="1">
        <f>COUNTIF('役職希望調査 ・備考'!H:H,$B15)</f>
        <v>0</v>
      </c>
    </row>
    <row r="16" spans="1:17">
      <c r="A16" s="1" t="str">
        <f>D16&amp;COUNTIF($D$2:D16,D16)</f>
        <v>0</v>
      </c>
      <c r="B16" s="4"/>
      <c r="C16" s="4"/>
      <c r="D16" s="4"/>
      <c r="E16" s="4"/>
      <c r="F16" s="1" t="str">
        <f t="shared" si="1"/>
        <v/>
      </c>
      <c r="G16" s="1" t="str">
        <f t="shared" si="1"/>
        <v/>
      </c>
      <c r="H16" s="1" t="str">
        <f t="shared" si="1"/>
        <v/>
      </c>
      <c r="I16" s="1" t="str">
        <f t="shared" si="1"/>
        <v/>
      </c>
      <c r="J16" s="1" t="str">
        <f t="shared" si="1"/>
        <v/>
      </c>
      <c r="K16" s="1" t="str">
        <f t="shared" si="1"/>
        <v/>
      </c>
      <c r="M16" s="1">
        <f>COUNTIF('役職希望調査 ・備考'!D:D,$B16)</f>
        <v>0</v>
      </c>
      <c r="N16" s="1">
        <f>COUNTIF('役職希望調査 ・備考'!E:E,$B16)</f>
        <v>0</v>
      </c>
      <c r="O16" s="1">
        <f>COUNTIF('役職希望調査 ・備考'!F:F,$B16)</f>
        <v>0</v>
      </c>
      <c r="P16" s="1">
        <f>COUNTIF('役職希望調査 ・備考'!G:G,$B16)</f>
        <v>0</v>
      </c>
      <c r="Q16" s="1">
        <f>COUNTIF('役職希望調査 ・備考'!H:H,$B16)</f>
        <v>0</v>
      </c>
    </row>
    <row r="17" spans="1:17">
      <c r="A17" s="1" t="str">
        <f>D17&amp;COUNTIF($D$2:D17,D17)</f>
        <v>0</v>
      </c>
      <c r="B17" s="4"/>
      <c r="C17" s="4"/>
      <c r="D17" s="4"/>
      <c r="E17" s="4"/>
      <c r="F17" s="1" t="str">
        <f t="shared" si="1"/>
        <v/>
      </c>
      <c r="G17" s="1" t="str">
        <f t="shared" si="1"/>
        <v/>
      </c>
      <c r="H17" s="1" t="str">
        <f t="shared" si="1"/>
        <v/>
      </c>
      <c r="I17" s="1" t="str">
        <f t="shared" si="1"/>
        <v/>
      </c>
      <c r="J17" s="1" t="str">
        <f t="shared" si="1"/>
        <v/>
      </c>
      <c r="K17" s="1" t="str">
        <f t="shared" si="1"/>
        <v/>
      </c>
      <c r="M17" s="1">
        <f>COUNTIF('役職希望調査 ・備考'!D:D,$B17)</f>
        <v>0</v>
      </c>
      <c r="N17" s="1">
        <f>COUNTIF('役職希望調査 ・備考'!E:E,$B17)</f>
        <v>0</v>
      </c>
      <c r="O17" s="1">
        <f>COUNTIF('役職希望調査 ・備考'!F:F,$B17)</f>
        <v>0</v>
      </c>
      <c r="P17" s="1">
        <f>COUNTIF('役職希望調査 ・備考'!G:G,$B17)</f>
        <v>0</v>
      </c>
      <c r="Q17" s="1">
        <f>COUNTIF('役職希望調査 ・備考'!H:H,$B17)</f>
        <v>0</v>
      </c>
    </row>
    <row r="18" spans="1:17">
      <c r="A18" s="1" t="str">
        <f>D18&amp;COUNTIF($D$2:D18,D18)</f>
        <v>0</v>
      </c>
      <c r="B18" s="4"/>
      <c r="C18" s="4"/>
      <c r="D18" s="4"/>
      <c r="E18" s="4"/>
      <c r="F18" s="1" t="str">
        <f t="shared" si="1"/>
        <v/>
      </c>
      <c r="G18" s="1" t="str">
        <f t="shared" si="1"/>
        <v/>
      </c>
      <c r="H18" s="1" t="str">
        <f t="shared" si="1"/>
        <v/>
      </c>
      <c r="I18" s="1" t="str">
        <f t="shared" si="1"/>
        <v/>
      </c>
      <c r="J18" s="1" t="str">
        <f t="shared" si="1"/>
        <v/>
      </c>
      <c r="K18" s="1" t="str">
        <f t="shared" si="1"/>
        <v/>
      </c>
      <c r="M18" s="1">
        <f>COUNTIF('役職希望調査 ・備考'!D:D,$B18)</f>
        <v>0</v>
      </c>
      <c r="N18" s="1">
        <f>COUNTIF('役職希望調査 ・備考'!E:E,$B18)</f>
        <v>0</v>
      </c>
      <c r="O18" s="1">
        <f>COUNTIF('役職希望調査 ・備考'!F:F,$B18)</f>
        <v>0</v>
      </c>
      <c r="P18" s="1">
        <f>COUNTIF('役職希望調査 ・備考'!G:G,$B18)</f>
        <v>0</v>
      </c>
      <c r="Q18" s="1">
        <f>COUNTIF('役職希望調査 ・備考'!H:H,$B18)</f>
        <v>0</v>
      </c>
    </row>
    <row r="19" spans="1:17">
      <c r="A19" s="1" t="str">
        <f>D19&amp;COUNTIF($D$2:D19,D19)</f>
        <v>0</v>
      </c>
      <c r="B19" s="4"/>
      <c r="C19" s="4"/>
      <c r="D19" s="4"/>
      <c r="E19" s="4"/>
      <c r="F19" s="1" t="str">
        <f t="shared" si="1"/>
        <v/>
      </c>
      <c r="G19" s="1" t="str">
        <f t="shared" si="1"/>
        <v/>
      </c>
      <c r="H19" s="1" t="str">
        <f t="shared" si="1"/>
        <v/>
      </c>
      <c r="I19" s="1" t="str">
        <f t="shared" si="1"/>
        <v/>
      </c>
      <c r="J19" s="1" t="str">
        <f t="shared" si="1"/>
        <v/>
      </c>
      <c r="K19" s="1" t="str">
        <f t="shared" si="1"/>
        <v/>
      </c>
      <c r="M19" s="1">
        <f>COUNTIF('役職希望調査 ・備考'!D:D,$B19)</f>
        <v>0</v>
      </c>
      <c r="N19" s="1">
        <f>COUNTIF('役職希望調査 ・備考'!E:E,$B19)</f>
        <v>0</v>
      </c>
      <c r="O19" s="1">
        <f>COUNTIF('役職希望調査 ・備考'!F:F,$B19)</f>
        <v>0</v>
      </c>
      <c r="P19" s="1">
        <f>COUNTIF('役職希望調査 ・備考'!G:G,$B19)</f>
        <v>0</v>
      </c>
      <c r="Q19" s="1">
        <f>COUNTIF('役職希望調査 ・備考'!H:H,$B19)</f>
        <v>0</v>
      </c>
    </row>
    <row r="20" spans="1:17">
      <c r="A20" s="1" t="str">
        <f>D20&amp;COUNTIF($D$2:D20,D20)</f>
        <v>0</v>
      </c>
      <c r="B20" s="4"/>
      <c r="C20" s="4"/>
      <c r="D20" s="4"/>
      <c r="E20" s="4"/>
      <c r="F20" s="1" t="str">
        <f t="shared" si="1"/>
        <v/>
      </c>
      <c r="G20" s="1" t="str">
        <f t="shared" si="1"/>
        <v/>
      </c>
      <c r="H20" s="1" t="str">
        <f t="shared" si="1"/>
        <v/>
      </c>
      <c r="I20" s="1" t="str">
        <f t="shared" si="1"/>
        <v/>
      </c>
      <c r="J20" s="1" t="str">
        <f t="shared" si="1"/>
        <v/>
      </c>
      <c r="K20" s="1" t="str">
        <f t="shared" si="1"/>
        <v/>
      </c>
      <c r="M20" s="1">
        <f>COUNTIF('役職希望調査 ・備考'!D:D,$B20)</f>
        <v>0</v>
      </c>
      <c r="N20" s="1">
        <f>COUNTIF('役職希望調査 ・備考'!E:E,$B20)</f>
        <v>0</v>
      </c>
      <c r="O20" s="1">
        <f>COUNTIF('役職希望調査 ・備考'!F:F,$B20)</f>
        <v>0</v>
      </c>
      <c r="P20" s="1">
        <f>COUNTIF('役職希望調査 ・備考'!G:G,$B20)</f>
        <v>0</v>
      </c>
      <c r="Q20" s="1">
        <f>COUNTIF('役職希望調査 ・備考'!H:H,$B20)</f>
        <v>0</v>
      </c>
    </row>
    <row r="21" spans="1:17">
      <c r="A21" s="1" t="str">
        <f>D21&amp;COUNTIF($D$2:D21,D21)</f>
        <v>0</v>
      </c>
      <c r="B21" s="4"/>
      <c r="C21" s="4"/>
      <c r="D21" s="4"/>
      <c r="E21" s="4"/>
      <c r="F21" s="1" t="str">
        <f t="shared" si="1"/>
        <v/>
      </c>
      <c r="G21" s="1" t="str">
        <f t="shared" si="1"/>
        <v/>
      </c>
      <c r="H21" s="1" t="str">
        <f t="shared" si="1"/>
        <v/>
      </c>
      <c r="I21" s="1" t="str">
        <f t="shared" si="1"/>
        <v/>
      </c>
      <c r="J21" s="1" t="str">
        <f t="shared" si="1"/>
        <v/>
      </c>
      <c r="K21" s="1" t="str">
        <f t="shared" si="1"/>
        <v/>
      </c>
      <c r="M21" s="1">
        <f>COUNTIF('役職希望調査 ・備考'!D:D,$B21)</f>
        <v>0</v>
      </c>
      <c r="N21" s="1">
        <f>COUNTIF('役職希望調査 ・備考'!E:E,$B21)</f>
        <v>0</v>
      </c>
      <c r="O21" s="1">
        <f>COUNTIF('役職希望調査 ・備考'!F:F,$B21)</f>
        <v>0</v>
      </c>
      <c r="P21" s="1">
        <f>COUNTIF('役職希望調査 ・備考'!G:G,$B21)</f>
        <v>0</v>
      </c>
      <c r="Q21" s="1">
        <f>COUNTIF('役職希望調査 ・備考'!H:H,$B21)</f>
        <v>0</v>
      </c>
    </row>
    <row r="22" spans="1:17">
      <c r="A22" s="1" t="str">
        <f>D22&amp;COUNTIF($D$2:D22,D22)</f>
        <v>0</v>
      </c>
      <c r="B22" s="4"/>
      <c r="C22" s="4"/>
      <c r="D22" s="4"/>
      <c r="E22" s="4"/>
      <c r="F22" s="1" t="str">
        <f t="shared" ref="F22:K31" si="2">IFERROR(VLOOKUP(F$1&amp;ROW()-1,$A:$B,2,FALSE),"")</f>
        <v/>
      </c>
      <c r="G22" s="1" t="str">
        <f t="shared" si="2"/>
        <v/>
      </c>
      <c r="H22" s="1" t="str">
        <f t="shared" si="2"/>
        <v/>
      </c>
      <c r="I22" s="1" t="str">
        <f t="shared" si="2"/>
        <v/>
      </c>
      <c r="J22" s="1" t="str">
        <f t="shared" si="2"/>
        <v/>
      </c>
      <c r="K22" s="1" t="str">
        <f t="shared" si="2"/>
        <v/>
      </c>
      <c r="M22" s="1">
        <f>COUNTIF('役職希望調査 ・備考'!D:D,$B22)</f>
        <v>0</v>
      </c>
      <c r="N22" s="1">
        <f>COUNTIF('役職希望調査 ・備考'!E:E,$B22)</f>
        <v>0</v>
      </c>
      <c r="O22" s="1">
        <f>COUNTIF('役職希望調査 ・備考'!F:F,$B22)</f>
        <v>0</v>
      </c>
      <c r="P22" s="1">
        <f>COUNTIF('役職希望調査 ・備考'!G:G,$B22)</f>
        <v>0</v>
      </c>
      <c r="Q22" s="1">
        <f>COUNTIF('役職希望調査 ・備考'!H:H,$B22)</f>
        <v>0</v>
      </c>
    </row>
    <row r="23" spans="1:17">
      <c r="A23" s="1" t="str">
        <f>D23&amp;COUNTIF($D$2:D23,D23)</f>
        <v>0</v>
      </c>
      <c r="B23" s="4"/>
      <c r="C23" s="4"/>
      <c r="D23" s="4"/>
      <c r="E23" s="4"/>
      <c r="F23" s="1" t="str">
        <f t="shared" si="2"/>
        <v/>
      </c>
      <c r="G23" s="1" t="str">
        <f t="shared" si="2"/>
        <v/>
      </c>
      <c r="H23" s="1" t="str">
        <f t="shared" si="2"/>
        <v/>
      </c>
      <c r="I23" s="1" t="str">
        <f t="shared" si="2"/>
        <v/>
      </c>
      <c r="J23" s="1" t="str">
        <f t="shared" si="2"/>
        <v/>
      </c>
      <c r="K23" s="1" t="str">
        <f t="shared" si="2"/>
        <v/>
      </c>
      <c r="M23" s="1">
        <f>COUNTIF('役職希望調査 ・備考'!D:D,$B23)</f>
        <v>0</v>
      </c>
      <c r="N23" s="1">
        <f>COUNTIF('役職希望調査 ・備考'!E:E,$B23)</f>
        <v>0</v>
      </c>
      <c r="O23" s="1">
        <f>COUNTIF('役職希望調査 ・備考'!F:F,$B23)</f>
        <v>0</v>
      </c>
      <c r="P23" s="1">
        <f>COUNTIF('役職希望調査 ・備考'!G:G,$B23)</f>
        <v>0</v>
      </c>
      <c r="Q23" s="1">
        <f>COUNTIF('役職希望調査 ・備考'!H:H,$B23)</f>
        <v>0</v>
      </c>
    </row>
    <row r="24" spans="1:17">
      <c r="A24" s="1" t="str">
        <f>D24&amp;COUNTIF($D$2:D24,D24)</f>
        <v>0</v>
      </c>
      <c r="B24" s="4"/>
      <c r="C24" s="4"/>
      <c r="D24" s="4"/>
      <c r="E24" s="4"/>
      <c r="F24" s="1" t="str">
        <f t="shared" si="2"/>
        <v/>
      </c>
      <c r="G24" s="1" t="str">
        <f t="shared" si="2"/>
        <v/>
      </c>
      <c r="H24" s="1" t="str">
        <f t="shared" si="2"/>
        <v/>
      </c>
      <c r="I24" s="1" t="str">
        <f t="shared" si="2"/>
        <v/>
      </c>
      <c r="J24" s="1" t="str">
        <f t="shared" si="2"/>
        <v/>
      </c>
      <c r="K24" s="1" t="str">
        <f t="shared" si="2"/>
        <v/>
      </c>
      <c r="M24" s="1">
        <f>COUNTIF('役職希望調査 ・備考'!D:D,$B24)</f>
        <v>0</v>
      </c>
      <c r="N24" s="1">
        <f>COUNTIF('役職希望調査 ・備考'!E:E,$B24)</f>
        <v>0</v>
      </c>
      <c r="O24" s="1">
        <f>COUNTIF('役職希望調査 ・備考'!F:F,$B24)</f>
        <v>0</v>
      </c>
      <c r="P24" s="1">
        <f>COUNTIF('役職希望調査 ・備考'!G:G,$B24)</f>
        <v>0</v>
      </c>
      <c r="Q24" s="1">
        <f>COUNTIF('役職希望調査 ・備考'!H:H,$B24)</f>
        <v>0</v>
      </c>
    </row>
    <row r="25" spans="1:17">
      <c r="A25" s="1" t="str">
        <f>D25&amp;COUNTIF($D$2:D25,D25)</f>
        <v>0</v>
      </c>
      <c r="B25" s="4"/>
      <c r="C25" s="4"/>
      <c r="D25" s="4"/>
      <c r="E25" s="4"/>
      <c r="F25" s="1" t="str">
        <f t="shared" si="2"/>
        <v/>
      </c>
      <c r="G25" s="1" t="str">
        <f t="shared" si="2"/>
        <v/>
      </c>
      <c r="H25" s="1" t="str">
        <f t="shared" si="2"/>
        <v/>
      </c>
      <c r="I25" s="1" t="str">
        <f t="shared" si="2"/>
        <v/>
      </c>
      <c r="J25" s="1" t="str">
        <f t="shared" si="2"/>
        <v/>
      </c>
      <c r="K25" s="1" t="str">
        <f t="shared" si="2"/>
        <v/>
      </c>
      <c r="M25" s="1">
        <f>COUNTIF('役職希望調査 ・備考'!D:D,$B25)</f>
        <v>0</v>
      </c>
      <c r="N25" s="1">
        <f>COUNTIF('役職希望調査 ・備考'!E:E,$B25)</f>
        <v>0</v>
      </c>
      <c r="O25" s="1">
        <f>COUNTIF('役職希望調査 ・備考'!F:F,$B25)</f>
        <v>0</v>
      </c>
      <c r="P25" s="1">
        <f>COUNTIF('役職希望調査 ・備考'!G:G,$B25)</f>
        <v>0</v>
      </c>
      <c r="Q25" s="1">
        <f>COUNTIF('役職希望調査 ・備考'!H:H,$B25)</f>
        <v>0</v>
      </c>
    </row>
    <row r="26" spans="1:17">
      <c r="A26" s="1" t="str">
        <f>D26&amp;COUNTIF($D$2:D26,D26)</f>
        <v>0</v>
      </c>
      <c r="B26" s="4"/>
      <c r="C26" s="4"/>
      <c r="D26" s="4"/>
      <c r="E26" s="4"/>
      <c r="F26" s="1" t="str">
        <f t="shared" si="2"/>
        <v/>
      </c>
      <c r="G26" s="1" t="str">
        <f t="shared" si="2"/>
        <v/>
      </c>
      <c r="H26" s="1" t="str">
        <f t="shared" si="2"/>
        <v/>
      </c>
      <c r="I26" s="1" t="str">
        <f t="shared" si="2"/>
        <v/>
      </c>
      <c r="J26" s="1" t="str">
        <f t="shared" si="2"/>
        <v/>
      </c>
      <c r="K26" s="1" t="str">
        <f t="shared" si="2"/>
        <v/>
      </c>
      <c r="M26" s="1">
        <f>COUNTIF('役職希望調査 ・備考'!D:D,$B26)</f>
        <v>0</v>
      </c>
      <c r="N26" s="1">
        <f>COUNTIF('役職希望調査 ・備考'!E:E,$B26)</f>
        <v>0</v>
      </c>
      <c r="O26" s="1">
        <f>COUNTIF('役職希望調査 ・備考'!F:F,$B26)</f>
        <v>0</v>
      </c>
      <c r="P26" s="1">
        <f>COUNTIF('役職希望調査 ・備考'!G:G,$B26)</f>
        <v>0</v>
      </c>
      <c r="Q26" s="1">
        <f>COUNTIF('役職希望調査 ・備考'!H:H,$B26)</f>
        <v>0</v>
      </c>
    </row>
    <row r="27" spans="1:17">
      <c r="A27" s="1" t="str">
        <f>D27&amp;COUNTIF($D$2:D27,D27)</f>
        <v>0</v>
      </c>
      <c r="B27" s="4"/>
      <c r="C27" s="4"/>
      <c r="D27" s="4"/>
      <c r="E27" s="4"/>
      <c r="F27" s="1" t="str">
        <f t="shared" si="2"/>
        <v/>
      </c>
      <c r="G27" s="1" t="str">
        <f t="shared" si="2"/>
        <v/>
      </c>
      <c r="H27" s="1" t="str">
        <f t="shared" si="2"/>
        <v/>
      </c>
      <c r="I27" s="1" t="str">
        <f t="shared" si="2"/>
        <v/>
      </c>
      <c r="J27" s="1" t="str">
        <f t="shared" si="2"/>
        <v/>
      </c>
      <c r="K27" s="1" t="str">
        <f t="shared" si="2"/>
        <v/>
      </c>
      <c r="M27" s="1">
        <f>COUNTIF('役職希望調査 ・備考'!D:D,$B27)</f>
        <v>0</v>
      </c>
      <c r="N27" s="1">
        <f>COUNTIF('役職希望調査 ・備考'!E:E,$B27)</f>
        <v>0</v>
      </c>
      <c r="O27" s="1">
        <f>COUNTIF('役職希望調査 ・備考'!F:F,$B27)</f>
        <v>0</v>
      </c>
      <c r="P27" s="1">
        <f>COUNTIF('役職希望調査 ・備考'!G:G,$B27)</f>
        <v>0</v>
      </c>
      <c r="Q27" s="1">
        <f>COUNTIF('役職希望調査 ・備考'!H:H,$B27)</f>
        <v>0</v>
      </c>
    </row>
    <row r="28" spans="1:17">
      <c r="A28" s="1" t="str">
        <f>D28&amp;COUNTIF($D$2:D28,D28)</f>
        <v>0</v>
      </c>
      <c r="B28" s="4"/>
      <c r="C28" s="4"/>
      <c r="D28" s="4"/>
      <c r="E28" s="4"/>
      <c r="F28" s="1" t="str">
        <f t="shared" si="2"/>
        <v/>
      </c>
      <c r="G28" s="1" t="str">
        <f t="shared" si="2"/>
        <v/>
      </c>
      <c r="H28" s="1" t="str">
        <f t="shared" si="2"/>
        <v/>
      </c>
      <c r="I28" s="1" t="str">
        <f t="shared" si="2"/>
        <v/>
      </c>
      <c r="J28" s="1" t="str">
        <f t="shared" si="2"/>
        <v/>
      </c>
      <c r="K28" s="1" t="str">
        <f t="shared" si="2"/>
        <v/>
      </c>
      <c r="M28" s="1">
        <f>COUNTIF('役職希望調査 ・備考'!D:D,$B28)</f>
        <v>0</v>
      </c>
      <c r="N28" s="1">
        <f>COUNTIF('役職希望調査 ・備考'!E:E,$B28)</f>
        <v>0</v>
      </c>
      <c r="O28" s="1">
        <f>COUNTIF('役職希望調査 ・備考'!F:F,$B28)</f>
        <v>0</v>
      </c>
      <c r="P28" s="1">
        <f>COUNTIF('役職希望調査 ・備考'!G:G,$B28)</f>
        <v>0</v>
      </c>
      <c r="Q28" s="1">
        <f>COUNTIF('役職希望調査 ・備考'!H:H,$B28)</f>
        <v>0</v>
      </c>
    </row>
    <row r="29" spans="1:17">
      <c r="A29" s="1" t="str">
        <f>D29&amp;COUNTIF($D$2:D29,D29)</f>
        <v>0</v>
      </c>
      <c r="B29" s="4"/>
      <c r="C29" s="4"/>
      <c r="D29" s="4"/>
      <c r="E29" s="4"/>
      <c r="F29" s="1" t="str">
        <f t="shared" si="2"/>
        <v/>
      </c>
      <c r="G29" s="1" t="str">
        <f t="shared" si="2"/>
        <v/>
      </c>
      <c r="H29" s="1" t="str">
        <f t="shared" si="2"/>
        <v/>
      </c>
      <c r="I29" s="1" t="str">
        <f t="shared" si="2"/>
        <v/>
      </c>
      <c r="J29" s="1" t="str">
        <f t="shared" si="2"/>
        <v/>
      </c>
      <c r="K29" s="1" t="str">
        <f t="shared" si="2"/>
        <v/>
      </c>
      <c r="M29" s="1">
        <f>COUNTIF('役職希望調査 ・備考'!D:D,$B29)</f>
        <v>0</v>
      </c>
      <c r="N29" s="1">
        <f>COUNTIF('役職希望調査 ・備考'!E:E,$B29)</f>
        <v>0</v>
      </c>
      <c r="O29" s="1">
        <f>COUNTIF('役職希望調査 ・備考'!F:F,$B29)</f>
        <v>0</v>
      </c>
      <c r="P29" s="1">
        <f>COUNTIF('役職希望調査 ・備考'!G:G,$B29)</f>
        <v>0</v>
      </c>
      <c r="Q29" s="1">
        <f>COUNTIF('役職希望調査 ・備考'!H:H,$B29)</f>
        <v>0</v>
      </c>
    </row>
    <row r="30" spans="1:17">
      <c r="A30" s="1" t="str">
        <f>D30&amp;COUNTIF($D$2:D30,D30)</f>
        <v>0</v>
      </c>
      <c r="B30" s="4"/>
      <c r="C30" s="4"/>
      <c r="D30" s="4"/>
      <c r="E30" s="4"/>
      <c r="F30" s="1" t="str">
        <f t="shared" si="2"/>
        <v/>
      </c>
      <c r="G30" s="1" t="str">
        <f t="shared" si="2"/>
        <v/>
      </c>
      <c r="H30" s="1" t="str">
        <f t="shared" si="2"/>
        <v/>
      </c>
      <c r="I30" s="1" t="str">
        <f t="shared" si="2"/>
        <v/>
      </c>
      <c r="J30" s="1" t="str">
        <f t="shared" si="2"/>
        <v/>
      </c>
      <c r="K30" s="1" t="str">
        <f t="shared" si="2"/>
        <v/>
      </c>
      <c r="M30" s="1">
        <f>COUNTIF('役職希望調査 ・備考'!D:D,$B30)</f>
        <v>0</v>
      </c>
      <c r="N30" s="1">
        <f>COUNTIF('役職希望調査 ・備考'!E:E,$B30)</f>
        <v>0</v>
      </c>
      <c r="O30" s="1">
        <f>COUNTIF('役職希望調査 ・備考'!F:F,$B30)</f>
        <v>0</v>
      </c>
      <c r="P30" s="1">
        <f>COUNTIF('役職希望調査 ・備考'!G:G,$B30)</f>
        <v>0</v>
      </c>
      <c r="Q30" s="1">
        <f>COUNTIF('役職希望調査 ・備考'!H:H,$B30)</f>
        <v>0</v>
      </c>
    </row>
    <row r="31" spans="1:17">
      <c r="A31" s="1" t="str">
        <f>D31&amp;COUNTIF($D$2:D31,D31)</f>
        <v>0</v>
      </c>
      <c r="B31" s="4"/>
      <c r="C31" s="4"/>
      <c r="D31" s="4"/>
      <c r="E31" s="4"/>
      <c r="F31" s="1" t="str">
        <f t="shared" si="2"/>
        <v/>
      </c>
      <c r="G31" s="1" t="str">
        <f t="shared" si="2"/>
        <v/>
      </c>
      <c r="H31" s="1" t="str">
        <f t="shared" si="2"/>
        <v/>
      </c>
      <c r="I31" s="1" t="str">
        <f t="shared" si="2"/>
        <v/>
      </c>
      <c r="J31" s="1" t="str">
        <f t="shared" si="2"/>
        <v/>
      </c>
      <c r="K31" s="1" t="str">
        <f t="shared" si="2"/>
        <v/>
      </c>
      <c r="M31" s="1">
        <f>COUNTIF('役職希望調査 ・備考'!D:D,$B31)</f>
        <v>0</v>
      </c>
      <c r="N31" s="1">
        <f>COUNTIF('役職希望調査 ・備考'!E:E,$B31)</f>
        <v>0</v>
      </c>
      <c r="O31" s="1">
        <f>COUNTIF('役職希望調査 ・備考'!F:F,$B31)</f>
        <v>0</v>
      </c>
      <c r="P31" s="1">
        <f>COUNTIF('役職希望調査 ・備考'!G:G,$B31)</f>
        <v>0</v>
      </c>
      <c r="Q31" s="1">
        <f>COUNTIF('役職希望調査 ・備考'!H:H,$B31)</f>
        <v>0</v>
      </c>
    </row>
  </sheetData>
  <sheetProtection sheet="1" objects="1" scenarios="1" selectLockedCells="1"/>
  <phoneticPr fontId="1"/>
  <conditionalFormatting sqref="B1:L1048576">
    <cfRule type="expression" dxfId="67" priority="64">
      <formula>COUNTIF($K:$K,$B1)=1</formula>
    </cfRule>
    <cfRule type="expression" dxfId="66" priority="65">
      <formula>COUNTIF($J:$J,$B1)=1</formula>
    </cfRule>
    <cfRule type="expression" dxfId="65" priority="66">
      <formula>COUNTIF($I:$I,$B1)=1</formula>
    </cfRule>
    <cfRule type="expression" dxfId="64" priority="68">
      <formula>COUNTIF($H:$H,$B1)=1</formula>
    </cfRule>
    <cfRule type="expression" dxfId="63" priority="69">
      <formula>COUNTIF($G:$G,$B1)=1</formula>
    </cfRule>
    <cfRule type="expression" dxfId="62" priority="70">
      <formula>COUNTIF($F:$F,$B1)=1</formula>
    </cfRule>
  </conditionalFormatting>
  <dataValidations count="2">
    <dataValidation type="list" errorStyle="warning" allowBlank="1" showInputMessage="1" showErrorMessage="1" errorTitle="無効な色" error="リストにない色を指定すると白として扱われます。" sqref="D1:D1048576" xr:uid="{6B64E666-5143-0142-8649-55A14451218D}">
      <formula1>"赤,オレンジ,黄色,緑,青,紫,白"</formula1>
    </dataValidation>
    <dataValidation type="custom" allowBlank="1" showInputMessage="1" showErrorMessage="1" errorTitle="重複した記号" error="同じ記号は一回までしか使えません。" sqref="B1:C1048576" xr:uid="{3EBB6F62-4BF9-1E4A-9B1B-7D4C8BA2A6ED}">
      <formula1>COUNTIF(B:B,B1)&lt;2</formula1>
    </dataValidation>
  </dataValidations>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78FC7-F715-9E49-8F81-1359365E3327}">
  <sheetPr codeName="TimeQuestion"/>
  <dimension ref="A1:BB11"/>
  <sheetViews>
    <sheetView workbookViewId="0">
      <selection activeCell="J20" sqref="J20"/>
    </sheetView>
  </sheetViews>
  <sheetFormatPr baseColWidth="10" defaultRowHeight="20"/>
  <cols>
    <col min="1" max="1" width="4.42578125" style="4" bestFit="1" customWidth="1"/>
    <col min="2" max="2" width="5.140625" style="4" bestFit="1" customWidth="1"/>
    <col min="3" max="3" width="15.7109375" style="4" bestFit="1" customWidth="1"/>
    <col min="4" max="4" width="6.85546875" style="4" bestFit="1" customWidth="1"/>
    <col min="5" max="54" width="6.140625" style="4" customWidth="1"/>
    <col min="55" max="16384" width="10.7109375" style="1"/>
  </cols>
  <sheetData>
    <row r="1" spans="1:54" s="5" customFormat="1">
      <c r="A1" s="5" t="s">
        <v>3</v>
      </c>
      <c r="B1" s="5" t="s">
        <v>16</v>
      </c>
      <c r="C1" s="5" t="s">
        <v>2</v>
      </c>
      <c r="D1" s="5" t="s">
        <v>52</v>
      </c>
      <c r="E1" s="5" t="str">
        <f>IFERROR(VLOOKUP(COLUMN()-4,時間帯一覧!$A:$B,2,FALSE),"")&amp;""</f>
        <v>10:00</v>
      </c>
      <c r="F1" s="5" t="str">
        <f>IFERROR(VLOOKUP(COLUMN()-4,時間帯一覧!$A:$B,2,FALSE),"")&amp;""</f>
        <v>10:30</v>
      </c>
      <c r="G1" s="5" t="str">
        <f>IFERROR(VLOOKUP(COLUMN()-4,時間帯一覧!$A:$B,2,FALSE),"")&amp;""</f>
        <v>11:00</v>
      </c>
      <c r="H1" s="5" t="str">
        <f>IFERROR(VLOOKUP(COLUMN()-4,時間帯一覧!$A:$B,2,FALSE),"")&amp;""</f>
        <v>11:30</v>
      </c>
      <c r="I1" s="5" t="str">
        <f>IFERROR(VLOOKUP(COLUMN()-4,時間帯一覧!$A:$B,2,FALSE),"")&amp;""</f>
        <v>12:00</v>
      </c>
      <c r="J1" s="5" t="str">
        <f>IFERROR(VLOOKUP(COLUMN()-4,時間帯一覧!$A:$B,2,FALSE),"")&amp;""</f>
        <v>12:30</v>
      </c>
      <c r="K1" s="5" t="str">
        <f>IFERROR(VLOOKUP(COLUMN()-4,時間帯一覧!$A:$B,2,FALSE),"")&amp;""</f>
        <v>13:00</v>
      </c>
      <c r="L1" s="5" t="str">
        <f>IFERROR(VLOOKUP(COLUMN()-4,時間帯一覧!$A:$B,2,FALSE),"")&amp;""</f>
        <v>13:30</v>
      </c>
      <c r="M1" s="5" t="str">
        <f>IFERROR(VLOOKUP(COLUMN()-4,時間帯一覧!$A:$B,2,FALSE),"")&amp;""</f>
        <v>14:00</v>
      </c>
      <c r="N1" s="5" t="str">
        <f>IFERROR(VLOOKUP(COLUMN()-4,時間帯一覧!$A:$B,2,FALSE),"")&amp;""</f>
        <v/>
      </c>
      <c r="O1" s="5" t="str">
        <f>IFERROR(VLOOKUP(COLUMN()-4,時間帯一覧!$A:$B,2,FALSE),"")&amp;""</f>
        <v/>
      </c>
      <c r="P1" s="5" t="str">
        <f>IFERROR(VLOOKUP(COLUMN()-4,時間帯一覧!$A:$B,2,FALSE),"")&amp;""</f>
        <v/>
      </c>
      <c r="Q1" s="5" t="str">
        <f>IFERROR(VLOOKUP(COLUMN()-4,時間帯一覧!$A:$B,2,FALSE),"")&amp;""</f>
        <v/>
      </c>
      <c r="R1" s="5" t="str">
        <f>IFERROR(VLOOKUP(COLUMN()-4,時間帯一覧!$A:$B,2,FALSE),"")&amp;""</f>
        <v/>
      </c>
      <c r="S1" s="5" t="str">
        <f>IFERROR(VLOOKUP(COLUMN()-4,時間帯一覧!$A:$B,2,FALSE),"")&amp;""</f>
        <v/>
      </c>
      <c r="T1" s="5" t="str">
        <f>IFERROR(VLOOKUP(COLUMN()-4,時間帯一覧!$A:$B,2,FALSE),"")&amp;""</f>
        <v/>
      </c>
      <c r="U1" s="5" t="str">
        <f>IFERROR(VLOOKUP(COLUMN()-4,時間帯一覧!$A:$B,2,FALSE),"")&amp;""</f>
        <v/>
      </c>
      <c r="V1" s="5" t="str">
        <f>IFERROR(VLOOKUP(COLUMN()-4,時間帯一覧!$A:$B,2,FALSE),"")&amp;""</f>
        <v/>
      </c>
      <c r="W1" s="5" t="str">
        <f>IFERROR(VLOOKUP(COLUMN()-4,時間帯一覧!$A:$B,2,FALSE),"")&amp;""</f>
        <v/>
      </c>
      <c r="X1" s="5" t="str">
        <f>IFERROR(VLOOKUP(COLUMN()-4,時間帯一覧!$A:$B,2,FALSE),"")&amp;""</f>
        <v/>
      </c>
      <c r="Y1" s="5" t="str">
        <f>IFERROR(VLOOKUP(COLUMN()-4,時間帯一覧!$A:$B,2,FALSE),"")&amp;""</f>
        <v/>
      </c>
      <c r="Z1" s="5" t="str">
        <f>IFERROR(VLOOKUP(COLUMN()-4,時間帯一覧!$A:$B,2,FALSE),"")&amp;""</f>
        <v/>
      </c>
      <c r="AA1" s="5" t="str">
        <f>IFERROR(VLOOKUP(COLUMN()-4,時間帯一覧!$A:$B,2,FALSE),"")&amp;""</f>
        <v/>
      </c>
      <c r="AB1" s="5" t="str">
        <f>IFERROR(VLOOKUP(COLUMN()-4,時間帯一覧!$A:$B,2,FALSE),"")&amp;""</f>
        <v/>
      </c>
      <c r="AC1" s="5" t="str">
        <f>IFERROR(VLOOKUP(COLUMN()-4,時間帯一覧!$A:$B,2,FALSE),"")&amp;""</f>
        <v/>
      </c>
      <c r="AD1" s="5" t="str">
        <f>IFERROR(VLOOKUP(COLUMN()-4,時間帯一覧!$A:$B,2,FALSE),"")&amp;""</f>
        <v/>
      </c>
      <c r="AE1" s="5" t="str">
        <f>IFERROR(VLOOKUP(COLUMN()-4,時間帯一覧!$A:$B,2,FALSE),"")&amp;""</f>
        <v/>
      </c>
      <c r="AF1" s="5" t="str">
        <f>IFERROR(VLOOKUP(COLUMN()-4,時間帯一覧!$A:$B,2,FALSE),"")&amp;""</f>
        <v/>
      </c>
      <c r="AG1" s="5" t="str">
        <f>IFERROR(VLOOKUP(COLUMN()-4,時間帯一覧!$A:$B,2,FALSE),"")&amp;""</f>
        <v/>
      </c>
      <c r="AH1" s="5" t="str">
        <f>IFERROR(VLOOKUP(COLUMN()-4,時間帯一覧!$A:$B,2,FALSE),"")&amp;""</f>
        <v/>
      </c>
      <c r="AI1" s="5" t="str">
        <f>IFERROR(VLOOKUP(COLUMN()-4,時間帯一覧!$A:$B,2,FALSE),"")&amp;""</f>
        <v/>
      </c>
      <c r="AJ1" s="5" t="str">
        <f>IFERROR(VLOOKUP(COLUMN()-4,時間帯一覧!$A:$B,2,FALSE),"")&amp;""</f>
        <v/>
      </c>
      <c r="AK1" s="5" t="str">
        <f>IFERROR(VLOOKUP(COLUMN()-4,時間帯一覧!$A:$B,2,FALSE),"")&amp;""</f>
        <v/>
      </c>
      <c r="AL1" s="5" t="str">
        <f>IFERROR(VLOOKUP(COLUMN()-4,時間帯一覧!$A:$B,2,FALSE),"")&amp;""</f>
        <v/>
      </c>
      <c r="AM1" s="5" t="str">
        <f>IFERROR(VLOOKUP(COLUMN()-4,時間帯一覧!$A:$B,2,FALSE),"")&amp;""</f>
        <v/>
      </c>
      <c r="AN1" s="5" t="str">
        <f>IFERROR(VLOOKUP(COLUMN()-4,時間帯一覧!$A:$B,2,FALSE),"")&amp;""</f>
        <v/>
      </c>
      <c r="AO1" s="5" t="str">
        <f>IFERROR(VLOOKUP(COLUMN()-4,時間帯一覧!$A:$B,2,FALSE),"")&amp;""</f>
        <v/>
      </c>
      <c r="AP1" s="5" t="str">
        <f>IFERROR(VLOOKUP(COLUMN()-4,時間帯一覧!$A:$B,2,FALSE),"")&amp;""</f>
        <v/>
      </c>
      <c r="AQ1" s="5" t="str">
        <f>IFERROR(VLOOKUP(COLUMN()-4,時間帯一覧!$A:$B,2,FALSE),"")&amp;""</f>
        <v/>
      </c>
      <c r="AR1" s="5" t="str">
        <f>IFERROR(VLOOKUP(COLUMN()-4,時間帯一覧!$A:$B,2,FALSE),"")&amp;""</f>
        <v/>
      </c>
      <c r="AS1" s="5" t="str">
        <f>IFERROR(VLOOKUP(COLUMN()-4,時間帯一覧!$A:$B,2,FALSE),"")&amp;""</f>
        <v/>
      </c>
      <c r="AT1" s="5" t="str">
        <f>IFERROR(VLOOKUP(COLUMN()-4,時間帯一覧!$A:$B,2,FALSE),"")&amp;""</f>
        <v/>
      </c>
      <c r="AU1" s="5" t="str">
        <f>IFERROR(VLOOKUP(COLUMN()-4,時間帯一覧!$A:$B,2,FALSE),"")&amp;""</f>
        <v/>
      </c>
      <c r="AV1" s="5" t="str">
        <f>IFERROR(VLOOKUP(COLUMN()-4,時間帯一覧!$A:$B,2,FALSE),"")&amp;""</f>
        <v/>
      </c>
      <c r="AW1" s="5" t="str">
        <f>IFERROR(VLOOKUP(COLUMN()-4,時間帯一覧!$A:$B,2,FALSE),"")&amp;""</f>
        <v/>
      </c>
      <c r="AX1" s="5" t="str">
        <f>IFERROR(VLOOKUP(COLUMN()-4,時間帯一覧!$A:$B,2,FALSE),"")&amp;""</f>
        <v/>
      </c>
      <c r="AY1" s="5" t="str">
        <f>IFERROR(VLOOKUP(COLUMN()-4,時間帯一覧!$A:$B,2,FALSE),"")&amp;""</f>
        <v/>
      </c>
      <c r="AZ1" s="5" t="str">
        <f>IFERROR(VLOOKUP(COLUMN()-4,時間帯一覧!$A:$B,2,FALSE),"")&amp;""</f>
        <v/>
      </c>
      <c r="BA1" s="5" t="str">
        <f>IFERROR(VLOOKUP(COLUMN()-4,時間帯一覧!$A:$B,2,FALSE),"")&amp;""</f>
        <v/>
      </c>
      <c r="BB1" s="5" t="str">
        <f>IFERROR(VLOOKUP(COLUMN()-4,時間帯一覧!$A:$B,2,FALSE),"")&amp;""</f>
        <v/>
      </c>
    </row>
    <row r="2" spans="1:54">
      <c r="A2" s="4">
        <v>1</v>
      </c>
      <c r="C2" s="4" t="s">
        <v>20</v>
      </c>
      <c r="D2" s="4">
        <v>10</v>
      </c>
      <c r="F2" s="4" t="s">
        <v>39</v>
      </c>
      <c r="G2" s="4" t="s">
        <v>39</v>
      </c>
      <c r="H2" s="4" t="s">
        <v>69</v>
      </c>
      <c r="I2" s="4" t="s">
        <v>38</v>
      </c>
      <c r="J2" s="4" t="s">
        <v>38</v>
      </c>
      <c r="K2" s="4" t="s">
        <v>39</v>
      </c>
      <c r="L2" s="4" t="s">
        <v>38</v>
      </c>
      <c r="M2" s="4" t="s">
        <v>39</v>
      </c>
    </row>
    <row r="3" spans="1:54">
      <c r="A3" s="4">
        <v>2</v>
      </c>
      <c r="C3" s="4" t="s">
        <v>21</v>
      </c>
      <c r="D3" s="4">
        <v>1</v>
      </c>
      <c r="J3" s="4" t="s">
        <v>39</v>
      </c>
    </row>
    <row r="4" spans="1:54">
      <c r="A4" s="4">
        <v>3</v>
      </c>
      <c r="C4" s="4" t="s">
        <v>22</v>
      </c>
      <c r="D4" s="4">
        <v>1</v>
      </c>
    </row>
    <row r="5" spans="1:54">
      <c r="A5" s="4">
        <v>4</v>
      </c>
      <c r="C5" s="4" t="s">
        <v>51</v>
      </c>
      <c r="D5" s="4">
        <v>10</v>
      </c>
    </row>
    <row r="6" spans="1:54">
      <c r="A6" s="4">
        <v>5</v>
      </c>
    </row>
    <row r="7" spans="1:54">
      <c r="A7" s="4">
        <v>6</v>
      </c>
    </row>
    <row r="8" spans="1:54">
      <c r="A8" s="4">
        <v>7</v>
      </c>
    </row>
    <row r="9" spans="1:54">
      <c r="A9" s="4">
        <v>8</v>
      </c>
    </row>
    <row r="10" spans="1:54">
      <c r="A10" s="4">
        <v>9</v>
      </c>
    </row>
    <row r="11" spans="1:54">
      <c r="A11" s="4">
        <v>10</v>
      </c>
    </row>
  </sheetData>
  <sheetProtection sheet="1" objects="1" scenarios="1" selectLockedCells="1"/>
  <phoneticPr fontId="1"/>
  <conditionalFormatting sqref="E1:BB1048576">
    <cfRule type="expression" dxfId="61" priority="2">
      <formula>E1="x"</formula>
    </cfRule>
    <cfRule type="expression" dxfId="60" priority="3">
      <formula>E1="?"</formula>
    </cfRule>
  </conditionalFormatting>
  <conditionalFormatting sqref="E52:BB334">
    <cfRule type="expression" dxfId="59" priority="1">
      <formula>E2</formula>
    </cfRule>
  </conditionalFormatting>
  <dataValidations count="1">
    <dataValidation type="list" errorStyle="warning" allowBlank="1" showInputMessage="1" showErrorMessage="1" errorTitle="選択肢から選んでください。" sqref="E1:BB1048576" xr:uid="{71E8782E-8D47-F34E-BC41-8A15BE146096}">
      <formula1>"o,?,x"</formula1>
    </dataValidation>
  </dataValidation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51A93-7D61-D241-9FD0-0EF9E96E2122}">
  <sheetPr codeName="JobQuestion"/>
  <dimension ref="A1:I50"/>
  <sheetViews>
    <sheetView workbookViewId="0">
      <selection activeCell="H20" sqref="H20"/>
    </sheetView>
  </sheetViews>
  <sheetFormatPr baseColWidth="10" defaultRowHeight="20"/>
  <cols>
    <col min="1" max="2" width="10.7109375" style="1"/>
    <col min="3" max="3" width="15.7109375" style="1" bestFit="1" customWidth="1"/>
    <col min="4" max="8" width="10.7109375" style="4"/>
    <col min="9" max="9" width="50.140625" style="15" customWidth="1"/>
    <col min="10" max="16384" width="10.7109375" style="1"/>
  </cols>
  <sheetData>
    <row r="1" spans="1:9">
      <c r="A1" s="1" t="s">
        <v>3</v>
      </c>
      <c r="B1" s="1" t="s">
        <v>16</v>
      </c>
      <c r="C1" s="1" t="s">
        <v>2</v>
      </c>
      <c r="D1" s="5" t="str">
        <f t="shared" ref="D1:H1" si="0">"第"&amp;COLUMN()-3&amp;"希望"</f>
        <v>第1希望</v>
      </c>
      <c r="E1" s="5" t="str">
        <f t="shared" si="0"/>
        <v>第2希望</v>
      </c>
      <c r="F1" s="5" t="str">
        <f t="shared" si="0"/>
        <v>第3希望</v>
      </c>
      <c r="G1" s="5" t="str">
        <f t="shared" si="0"/>
        <v>第4希望</v>
      </c>
      <c r="H1" s="5" t="str">
        <f t="shared" si="0"/>
        <v>第5希望</v>
      </c>
      <c r="I1" s="16" t="s">
        <v>85</v>
      </c>
    </row>
    <row r="2" spans="1:9">
      <c r="A2" s="1" t="str">
        <f>時間希望調査!A2&amp;""</f>
        <v>1</v>
      </c>
      <c r="B2" s="1" t="str">
        <f>時間希望調査!B2&amp;""</f>
        <v/>
      </c>
      <c r="C2" s="1" t="str">
        <f>時間希望調査!C2&amp;""</f>
        <v>キズナアイ</v>
      </c>
      <c r="D2" s="4" t="s">
        <v>44</v>
      </c>
      <c r="E2" s="4" t="s">
        <v>47</v>
      </c>
    </row>
    <row r="3" spans="1:9">
      <c r="A3" s="1" t="str">
        <f>時間希望調査!A3&amp;""</f>
        <v>2</v>
      </c>
      <c r="B3" s="1" t="str">
        <f>時間希望調査!B3&amp;""</f>
        <v/>
      </c>
      <c r="C3" s="1" t="str">
        <f>時間希望調査!C3&amp;""</f>
        <v>輝夜月</v>
      </c>
    </row>
    <row r="4" spans="1:9">
      <c r="A4" s="1" t="str">
        <f>時間希望調査!A4&amp;""</f>
        <v>3</v>
      </c>
      <c r="B4" s="1" t="str">
        <f>時間希望調査!B4&amp;""</f>
        <v/>
      </c>
      <c r="C4" s="1" t="str">
        <f>時間希望調査!C4&amp;""</f>
        <v>ときのそら</v>
      </c>
    </row>
    <row r="5" spans="1:9">
      <c r="A5" s="1" t="str">
        <f>時間希望調査!A5&amp;""</f>
        <v>4</v>
      </c>
      <c r="B5" s="1" t="str">
        <f>時間希望調査!B5&amp;""</f>
        <v/>
      </c>
      <c r="C5" s="1" t="str">
        <f>時間希望調査!C5&amp;""</f>
        <v>はじめしゃちょー</v>
      </c>
    </row>
    <row r="6" spans="1:9">
      <c r="A6" s="1" t="str">
        <f>時間希望調査!A6&amp;""</f>
        <v>5</v>
      </c>
      <c r="B6" s="1" t="str">
        <f>時間希望調査!B6&amp;""</f>
        <v/>
      </c>
      <c r="C6" s="1" t="str">
        <f>時間希望調査!C6&amp;""</f>
        <v/>
      </c>
    </row>
    <row r="7" spans="1:9">
      <c r="A7" s="1" t="str">
        <f>時間希望調査!A7&amp;""</f>
        <v>6</v>
      </c>
      <c r="B7" s="1" t="str">
        <f>時間希望調査!B7&amp;""</f>
        <v/>
      </c>
      <c r="C7" s="1" t="str">
        <f>時間希望調査!C7&amp;""</f>
        <v/>
      </c>
    </row>
    <row r="8" spans="1:9">
      <c r="A8" s="1" t="str">
        <f>時間希望調査!A8&amp;""</f>
        <v>7</v>
      </c>
      <c r="B8" s="1" t="str">
        <f>時間希望調査!B8&amp;""</f>
        <v/>
      </c>
      <c r="C8" s="1" t="str">
        <f>時間希望調査!C8&amp;""</f>
        <v/>
      </c>
    </row>
    <row r="9" spans="1:9">
      <c r="A9" s="1" t="str">
        <f>時間希望調査!A9&amp;""</f>
        <v>8</v>
      </c>
      <c r="B9" s="1" t="str">
        <f>時間希望調査!B9&amp;""</f>
        <v/>
      </c>
      <c r="C9" s="1" t="str">
        <f>時間希望調査!C9&amp;""</f>
        <v/>
      </c>
    </row>
    <row r="10" spans="1:9">
      <c r="A10" s="1" t="str">
        <f>時間希望調査!A10&amp;""</f>
        <v>9</v>
      </c>
      <c r="B10" s="1" t="str">
        <f>時間希望調査!B10&amp;""</f>
        <v/>
      </c>
      <c r="C10" s="1" t="str">
        <f>時間希望調査!C10&amp;""</f>
        <v/>
      </c>
    </row>
    <row r="11" spans="1:9">
      <c r="A11" s="1" t="str">
        <f>時間希望調査!A11&amp;""</f>
        <v>10</v>
      </c>
      <c r="B11" s="1" t="str">
        <f>時間希望調査!B11&amp;""</f>
        <v/>
      </c>
      <c r="C11" s="1" t="str">
        <f>時間希望調査!C11&amp;""</f>
        <v/>
      </c>
    </row>
    <row r="12" spans="1:9">
      <c r="A12" s="1" t="str">
        <f>時間希望調査!A12&amp;""</f>
        <v/>
      </c>
      <c r="B12" s="1" t="str">
        <f>時間希望調査!B12&amp;""</f>
        <v/>
      </c>
      <c r="C12" s="1" t="str">
        <f>時間希望調査!C12&amp;""</f>
        <v/>
      </c>
    </row>
    <row r="13" spans="1:9">
      <c r="A13" s="1" t="str">
        <f>時間希望調査!A13&amp;""</f>
        <v/>
      </c>
      <c r="B13" s="1" t="str">
        <f>時間希望調査!B13&amp;""</f>
        <v/>
      </c>
      <c r="C13" s="1" t="str">
        <f>時間希望調査!C13&amp;""</f>
        <v/>
      </c>
    </row>
    <row r="14" spans="1:9">
      <c r="A14" s="1" t="str">
        <f>時間希望調査!A14&amp;""</f>
        <v/>
      </c>
      <c r="B14" s="1" t="str">
        <f>時間希望調査!B14&amp;""</f>
        <v/>
      </c>
      <c r="C14" s="1" t="str">
        <f>時間希望調査!C14&amp;""</f>
        <v/>
      </c>
    </row>
    <row r="15" spans="1:9">
      <c r="A15" s="1" t="str">
        <f>時間希望調査!A15&amp;""</f>
        <v/>
      </c>
      <c r="B15" s="1" t="str">
        <f>時間希望調査!B15&amp;""</f>
        <v/>
      </c>
      <c r="C15" s="1" t="str">
        <f>時間希望調査!C15&amp;""</f>
        <v/>
      </c>
    </row>
    <row r="16" spans="1:9">
      <c r="A16" s="1" t="str">
        <f>時間希望調査!A16&amp;""</f>
        <v/>
      </c>
      <c r="B16" s="1" t="str">
        <f>時間希望調査!B16&amp;""</f>
        <v/>
      </c>
      <c r="C16" s="1" t="str">
        <f>時間希望調査!C16&amp;""</f>
        <v/>
      </c>
    </row>
    <row r="17" spans="1:3">
      <c r="A17" s="1" t="str">
        <f>時間希望調査!A17&amp;""</f>
        <v/>
      </c>
      <c r="B17" s="1" t="str">
        <f>時間希望調査!B17&amp;""</f>
        <v/>
      </c>
      <c r="C17" s="1" t="str">
        <f>時間希望調査!C17&amp;""</f>
        <v/>
      </c>
    </row>
    <row r="18" spans="1:3">
      <c r="A18" s="1" t="str">
        <f>時間希望調査!A18&amp;""</f>
        <v/>
      </c>
      <c r="B18" s="1" t="str">
        <f>時間希望調査!B18&amp;""</f>
        <v/>
      </c>
      <c r="C18" s="1" t="str">
        <f>時間希望調査!C18&amp;""</f>
        <v/>
      </c>
    </row>
    <row r="19" spans="1:3">
      <c r="A19" s="1" t="str">
        <f>時間希望調査!A19&amp;""</f>
        <v/>
      </c>
      <c r="B19" s="1" t="str">
        <f>時間希望調査!B19&amp;""</f>
        <v/>
      </c>
      <c r="C19" s="1" t="str">
        <f>時間希望調査!C19&amp;""</f>
        <v/>
      </c>
    </row>
    <row r="20" spans="1:3">
      <c r="A20" s="1" t="str">
        <f>時間希望調査!A20&amp;""</f>
        <v/>
      </c>
      <c r="B20" s="1" t="str">
        <f>時間希望調査!B20&amp;""</f>
        <v/>
      </c>
      <c r="C20" s="1" t="str">
        <f>時間希望調査!C20&amp;""</f>
        <v/>
      </c>
    </row>
    <row r="21" spans="1:3">
      <c r="A21" s="1" t="str">
        <f>時間希望調査!A21&amp;""</f>
        <v/>
      </c>
      <c r="B21" s="1" t="str">
        <f>時間希望調査!B21&amp;""</f>
        <v/>
      </c>
      <c r="C21" s="1" t="str">
        <f>時間希望調査!C21&amp;""</f>
        <v/>
      </c>
    </row>
    <row r="22" spans="1:3">
      <c r="A22" s="1" t="str">
        <f>時間希望調査!A22&amp;""</f>
        <v/>
      </c>
      <c r="B22" s="1" t="str">
        <f>時間希望調査!B22&amp;""</f>
        <v/>
      </c>
      <c r="C22" s="1" t="str">
        <f>時間希望調査!C22&amp;""</f>
        <v/>
      </c>
    </row>
    <row r="23" spans="1:3">
      <c r="A23" s="1" t="str">
        <f>時間希望調査!A23&amp;""</f>
        <v/>
      </c>
      <c r="B23" s="1" t="str">
        <f>時間希望調査!B23&amp;""</f>
        <v/>
      </c>
      <c r="C23" s="1" t="str">
        <f>時間希望調査!C23&amp;""</f>
        <v/>
      </c>
    </row>
    <row r="24" spans="1:3">
      <c r="A24" s="1" t="str">
        <f>時間希望調査!A24&amp;""</f>
        <v/>
      </c>
      <c r="B24" s="1" t="str">
        <f>時間希望調査!B24&amp;""</f>
        <v/>
      </c>
      <c r="C24" s="1" t="str">
        <f>時間希望調査!C24&amp;""</f>
        <v/>
      </c>
    </row>
    <row r="25" spans="1:3">
      <c r="A25" s="1" t="str">
        <f>時間希望調査!A25&amp;""</f>
        <v/>
      </c>
      <c r="B25" s="1" t="str">
        <f>時間希望調査!B25&amp;""</f>
        <v/>
      </c>
      <c r="C25" s="1" t="str">
        <f>時間希望調査!C25&amp;""</f>
        <v/>
      </c>
    </row>
    <row r="26" spans="1:3">
      <c r="A26" s="1" t="str">
        <f>時間希望調査!A26&amp;""</f>
        <v/>
      </c>
      <c r="B26" s="1" t="str">
        <f>時間希望調査!B26&amp;""</f>
        <v/>
      </c>
      <c r="C26" s="1" t="str">
        <f>時間希望調査!C26&amp;""</f>
        <v/>
      </c>
    </row>
    <row r="27" spans="1:3">
      <c r="A27" s="1" t="str">
        <f>時間希望調査!A27&amp;""</f>
        <v/>
      </c>
      <c r="B27" s="1" t="str">
        <f>時間希望調査!B27&amp;""</f>
        <v/>
      </c>
      <c r="C27" s="1" t="str">
        <f>時間希望調査!C27&amp;""</f>
        <v/>
      </c>
    </row>
    <row r="28" spans="1:3">
      <c r="A28" s="1" t="str">
        <f>時間希望調査!A28&amp;""</f>
        <v/>
      </c>
      <c r="B28" s="1" t="str">
        <f>時間希望調査!B28&amp;""</f>
        <v/>
      </c>
      <c r="C28" s="1" t="str">
        <f>時間希望調査!C28&amp;""</f>
        <v/>
      </c>
    </row>
    <row r="29" spans="1:3">
      <c r="A29" s="1" t="str">
        <f>時間希望調査!A29&amp;""</f>
        <v/>
      </c>
      <c r="B29" s="1" t="str">
        <f>時間希望調査!B29&amp;""</f>
        <v/>
      </c>
      <c r="C29" s="1" t="str">
        <f>時間希望調査!C29&amp;""</f>
        <v/>
      </c>
    </row>
    <row r="30" spans="1:3">
      <c r="A30" s="1" t="str">
        <f>時間希望調査!A30&amp;""</f>
        <v/>
      </c>
      <c r="B30" s="1" t="str">
        <f>時間希望調査!B30&amp;""</f>
        <v/>
      </c>
      <c r="C30" s="1" t="str">
        <f>時間希望調査!C30&amp;""</f>
        <v/>
      </c>
    </row>
    <row r="31" spans="1:3">
      <c r="A31" s="1" t="str">
        <f>時間希望調査!A31&amp;""</f>
        <v/>
      </c>
      <c r="B31" s="1" t="str">
        <f>時間希望調査!B31&amp;""</f>
        <v/>
      </c>
      <c r="C31" s="1" t="str">
        <f>時間希望調査!C31&amp;""</f>
        <v/>
      </c>
    </row>
    <row r="32" spans="1:3">
      <c r="A32" s="1" t="str">
        <f>時間希望調査!A32&amp;""</f>
        <v/>
      </c>
      <c r="B32" s="1" t="str">
        <f>時間希望調査!B32&amp;""</f>
        <v/>
      </c>
      <c r="C32" s="1" t="str">
        <f>時間希望調査!C32&amp;""</f>
        <v/>
      </c>
    </row>
    <row r="33" spans="1:3">
      <c r="A33" s="1" t="str">
        <f>時間希望調査!A33&amp;""</f>
        <v/>
      </c>
      <c r="B33" s="1" t="str">
        <f>時間希望調査!B33&amp;""</f>
        <v/>
      </c>
      <c r="C33" s="1" t="str">
        <f>時間希望調査!C33&amp;""</f>
        <v/>
      </c>
    </row>
    <row r="34" spans="1:3">
      <c r="A34" s="1" t="str">
        <f>時間希望調査!A34&amp;""</f>
        <v/>
      </c>
      <c r="B34" s="1" t="str">
        <f>時間希望調査!B34&amp;""</f>
        <v/>
      </c>
      <c r="C34" s="1" t="str">
        <f>時間希望調査!C34&amp;""</f>
        <v/>
      </c>
    </row>
    <row r="35" spans="1:3">
      <c r="A35" s="1" t="str">
        <f>時間希望調査!A35&amp;""</f>
        <v/>
      </c>
      <c r="B35" s="1" t="str">
        <f>時間希望調査!B35&amp;""</f>
        <v/>
      </c>
      <c r="C35" s="1" t="str">
        <f>時間希望調査!C35&amp;""</f>
        <v/>
      </c>
    </row>
    <row r="36" spans="1:3">
      <c r="A36" s="1" t="str">
        <f>時間希望調査!A36&amp;""</f>
        <v/>
      </c>
      <c r="B36" s="1" t="str">
        <f>時間希望調査!B36&amp;""</f>
        <v/>
      </c>
      <c r="C36" s="1" t="str">
        <f>時間希望調査!C36&amp;""</f>
        <v/>
      </c>
    </row>
    <row r="37" spans="1:3">
      <c r="A37" s="1" t="str">
        <f>時間希望調査!A37&amp;""</f>
        <v/>
      </c>
      <c r="B37" s="1" t="str">
        <f>時間希望調査!B37&amp;""</f>
        <v/>
      </c>
      <c r="C37" s="1" t="str">
        <f>時間希望調査!C37&amp;""</f>
        <v/>
      </c>
    </row>
    <row r="38" spans="1:3">
      <c r="A38" s="1" t="str">
        <f>時間希望調査!A38&amp;""</f>
        <v/>
      </c>
      <c r="B38" s="1" t="str">
        <f>時間希望調査!B38&amp;""</f>
        <v/>
      </c>
      <c r="C38" s="1" t="str">
        <f>時間希望調査!C38&amp;""</f>
        <v/>
      </c>
    </row>
    <row r="39" spans="1:3">
      <c r="A39" s="1" t="str">
        <f>時間希望調査!A39&amp;""</f>
        <v/>
      </c>
      <c r="B39" s="1" t="str">
        <f>時間希望調査!B39&amp;""</f>
        <v/>
      </c>
      <c r="C39" s="1" t="str">
        <f>時間希望調査!C39&amp;""</f>
        <v/>
      </c>
    </row>
    <row r="40" spans="1:3">
      <c r="A40" s="1" t="str">
        <f>時間希望調査!A40&amp;""</f>
        <v/>
      </c>
      <c r="B40" s="1" t="str">
        <f>時間希望調査!B40&amp;""</f>
        <v/>
      </c>
      <c r="C40" s="1" t="str">
        <f>時間希望調査!C40&amp;""</f>
        <v/>
      </c>
    </row>
    <row r="41" spans="1:3">
      <c r="A41" s="1" t="str">
        <f>時間希望調査!A41&amp;""</f>
        <v/>
      </c>
      <c r="B41" s="1" t="str">
        <f>時間希望調査!B41&amp;""</f>
        <v/>
      </c>
      <c r="C41" s="1" t="str">
        <f>時間希望調査!C41&amp;""</f>
        <v/>
      </c>
    </row>
    <row r="42" spans="1:3">
      <c r="A42" s="1" t="str">
        <f>時間希望調査!A42&amp;""</f>
        <v/>
      </c>
      <c r="B42" s="1" t="str">
        <f>時間希望調査!B42&amp;""</f>
        <v/>
      </c>
      <c r="C42" s="1" t="str">
        <f>時間希望調査!C42&amp;""</f>
        <v/>
      </c>
    </row>
    <row r="43" spans="1:3">
      <c r="A43" s="1" t="str">
        <f>時間希望調査!A43&amp;""</f>
        <v/>
      </c>
      <c r="B43" s="1" t="str">
        <f>時間希望調査!B43&amp;""</f>
        <v/>
      </c>
      <c r="C43" s="1" t="str">
        <f>時間希望調査!C43&amp;""</f>
        <v/>
      </c>
    </row>
    <row r="44" spans="1:3">
      <c r="A44" s="1" t="str">
        <f>時間希望調査!A44&amp;""</f>
        <v/>
      </c>
      <c r="B44" s="1" t="str">
        <f>時間希望調査!B44&amp;""</f>
        <v/>
      </c>
      <c r="C44" s="1" t="str">
        <f>時間希望調査!C44&amp;""</f>
        <v/>
      </c>
    </row>
    <row r="45" spans="1:3">
      <c r="A45" s="1" t="str">
        <f>時間希望調査!A45&amp;""</f>
        <v/>
      </c>
      <c r="B45" s="1" t="str">
        <f>時間希望調査!B45&amp;""</f>
        <v/>
      </c>
      <c r="C45" s="1" t="str">
        <f>時間希望調査!C45&amp;""</f>
        <v/>
      </c>
    </row>
    <row r="46" spans="1:3">
      <c r="A46" s="1" t="str">
        <f>時間希望調査!A46&amp;""</f>
        <v/>
      </c>
      <c r="B46" s="1" t="str">
        <f>時間希望調査!B46&amp;""</f>
        <v/>
      </c>
      <c r="C46" s="1" t="str">
        <f>時間希望調査!C46&amp;""</f>
        <v/>
      </c>
    </row>
    <row r="47" spans="1:3">
      <c r="A47" s="1" t="str">
        <f>時間希望調査!A47&amp;""</f>
        <v/>
      </c>
      <c r="B47" s="1" t="str">
        <f>時間希望調査!B47&amp;""</f>
        <v/>
      </c>
      <c r="C47" s="1" t="str">
        <f>時間希望調査!C47&amp;""</f>
        <v/>
      </c>
    </row>
    <row r="48" spans="1:3">
      <c r="A48" s="1" t="str">
        <f>時間希望調査!A48&amp;""</f>
        <v/>
      </c>
      <c r="B48" s="1" t="str">
        <f>時間希望調査!B48&amp;""</f>
        <v/>
      </c>
      <c r="C48" s="1" t="str">
        <f>時間希望調査!C48&amp;""</f>
        <v/>
      </c>
    </row>
    <row r="49" spans="1:3">
      <c r="A49" s="1" t="str">
        <f>時間希望調査!A49&amp;""</f>
        <v/>
      </c>
      <c r="B49" s="1" t="str">
        <f>時間希望調査!B49&amp;""</f>
        <v/>
      </c>
      <c r="C49" s="1" t="str">
        <f>時間希望調査!C49&amp;""</f>
        <v/>
      </c>
    </row>
    <row r="50" spans="1:3">
      <c r="A50" s="1" t="str">
        <f>時間希望調査!A50&amp;""</f>
        <v/>
      </c>
      <c r="B50" s="1" t="str">
        <f>時間希望調査!B50&amp;""</f>
        <v/>
      </c>
      <c r="C50" s="1" t="str">
        <f>時間希望調査!C50&amp;""</f>
        <v/>
      </c>
    </row>
  </sheetData>
  <sheetProtection sheet="1" objects="1" scenarios="1" selectLockedCells="1"/>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FE74B99B-C417-514B-A767-87C70547B975}">
            <xm:f>COUNTIF(役職一覧!$K:$K,D1)=1</xm:f>
            <x14:dxf>
              <fill>
                <patternFill>
                  <bgColor rgb="FFE1B9FF"/>
                </patternFill>
              </fill>
            </x14:dxf>
          </x14:cfRule>
          <x14:cfRule type="expression" priority="2" id="{3004D1D6-FFBF-AB49-9DB4-A3522F6FC95C}">
            <xm:f>COUNTIF(役職一覧!$J:$J,D1)=1</xm:f>
            <x14:dxf>
              <fill>
                <patternFill>
                  <bgColor rgb="FF7FCAFF"/>
                </patternFill>
              </fill>
            </x14:dxf>
          </x14:cfRule>
          <x14:cfRule type="expression" priority="3" id="{CEB31849-42B3-3941-BFA3-9E074618BB41}">
            <xm:f>COUNTIF(役職一覧!$I:$I,D1)=1</xm:f>
            <x14:dxf>
              <fill>
                <patternFill>
                  <bgColor rgb="FF95FF6C"/>
                </patternFill>
              </fill>
            </x14:dxf>
          </x14:cfRule>
          <x14:cfRule type="expression" priority="4" id="{7F9DC2A8-F37F-264A-8788-1399EF33C394}">
            <xm:f>COUNTIF(役職一覧!$H:$H,D1)=1</xm:f>
            <x14:dxf>
              <fill>
                <patternFill>
                  <bgColor rgb="FFFFF690"/>
                </patternFill>
              </fill>
            </x14:dxf>
          </x14:cfRule>
          <x14:cfRule type="expression" priority="5" id="{9D577C16-B9C0-D84D-A66E-F8A1090C0BE9}">
            <xm:f>COUNTIF(役職一覧!$G:$G,D1)=1</xm:f>
            <x14:dxf>
              <fill>
                <patternFill>
                  <bgColor rgb="FFFFD965"/>
                </patternFill>
              </fill>
            </x14:dxf>
          </x14:cfRule>
          <x14:cfRule type="expression" priority="6" id="{8B62D444-7822-5F4D-AC54-FC49B5CF847B}">
            <xm:f>COUNTIF(役職一覧!$F:$F,D1)=1</xm:f>
            <x14:dxf>
              <fill>
                <patternFill>
                  <bgColor rgb="FFFFC7CE"/>
                </patternFill>
              </fill>
            </x14:dxf>
          </x14:cfRule>
          <xm:sqref>D1:H1048576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無効なデータが入力されています" xr:uid="{3EF86F7C-A61A-BD4B-AC07-FB4BB6BCB024}">
          <x14:formula1>
            <xm:f>役職一覧!$B:$B</xm:f>
          </x14:formula1>
          <xm:sqref>D1:E1048576 G1:H1048576 F1 F3:F1048576</xm:sqref>
        </x14:dataValidation>
        <x14:dataValidation type="list" errorStyle="warning" allowBlank="1" showInputMessage="1" showErrorMessage="1" errorTitle="無効なデータが入力されています" xr:uid="{B8ABA937-D821-5B43-9B61-41ED9DA900F8}">
          <x14:formula1>
            <xm:f>役職一覧!$B$2:$B$31</xm:f>
          </x14:formula1>
          <xm:sqref>F2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2424A-B870-284D-993C-F037C7A23009}">
  <sheetPr codeName="Shift"/>
  <dimension ref="A1:CM314"/>
  <sheetViews>
    <sheetView zoomScaleNormal="100" workbookViewId="0">
      <selection activeCell="D32" sqref="D32"/>
    </sheetView>
  </sheetViews>
  <sheetFormatPr baseColWidth="10" defaultRowHeight="20"/>
  <cols>
    <col min="1" max="1" width="3.7109375" style="10" bestFit="1" customWidth="1"/>
    <col min="2" max="2" width="5.140625" style="10" bestFit="1" customWidth="1"/>
    <col min="3" max="3" width="15.7109375" style="10" bestFit="1" customWidth="1"/>
    <col min="4" max="12" width="5.5703125" style="10" customWidth="1"/>
    <col min="13" max="53" width="5.5703125" style="10" hidden="1" customWidth="1"/>
    <col min="54" max="54" width="2.7109375" style="10" bestFit="1" customWidth="1"/>
    <col min="55" max="55" width="3.7109375" style="10" bestFit="1" customWidth="1"/>
    <col min="56" max="58" width="4.42578125" style="10" bestFit="1" customWidth="1"/>
    <col min="59" max="59" width="4.42578125" style="10" customWidth="1"/>
    <col min="60" max="60" width="4.42578125" style="10" bestFit="1" customWidth="1"/>
    <col min="61" max="63" width="2.85546875" style="10" bestFit="1" customWidth="1"/>
    <col min="64" max="64" width="3" style="10" bestFit="1" customWidth="1"/>
    <col min="65" max="65" width="2.7109375" style="10" bestFit="1" customWidth="1"/>
    <col min="66" max="66" width="5.85546875" style="10" customWidth="1"/>
    <col min="67" max="90" width="5.85546875" style="10" hidden="1" customWidth="1"/>
    <col min="91" max="16384" width="10.7109375" style="10"/>
  </cols>
  <sheetData>
    <row r="1" spans="2:91">
      <c r="B1" s="10" t="s">
        <v>28</v>
      </c>
      <c r="C1" s="10" t="s">
        <v>37</v>
      </c>
      <c r="D1" s="10" t="str">
        <f>IFERROR(VLOOKUP(COLUMN()-3,時間帯一覧!$A:$B,2,FALSE),"")&amp;""</f>
        <v>10:00</v>
      </c>
      <c r="E1" s="10" t="str">
        <f>IFERROR(VLOOKUP(COLUMN()-3,時間帯一覧!$A:$B,2,FALSE),"")&amp;""</f>
        <v>10:30</v>
      </c>
      <c r="F1" s="10" t="str">
        <f>IFERROR(VLOOKUP(COLUMN()-3,時間帯一覧!$A:$B,2,FALSE),"")&amp;""</f>
        <v>11:00</v>
      </c>
      <c r="G1" s="10" t="str">
        <f>IFERROR(VLOOKUP(COLUMN()-3,時間帯一覧!$A:$B,2,FALSE),"")&amp;""</f>
        <v>11:30</v>
      </c>
      <c r="H1" s="10" t="str">
        <f>IFERROR(VLOOKUP(COLUMN()-3,時間帯一覧!$A:$B,2,FALSE),"")&amp;""</f>
        <v>12:00</v>
      </c>
      <c r="I1" s="10" t="str">
        <f>IFERROR(VLOOKUP(COLUMN()-3,時間帯一覧!$A:$B,2,FALSE),"")&amp;""</f>
        <v>12:30</v>
      </c>
      <c r="J1" s="10" t="str">
        <f>IFERROR(VLOOKUP(COLUMN()-3,時間帯一覧!$A:$B,2,FALSE),"")&amp;""</f>
        <v>13:00</v>
      </c>
      <c r="K1" s="10" t="str">
        <f>IFERROR(VLOOKUP(COLUMN()-3,時間帯一覧!$A:$B,2,FALSE),"")&amp;""</f>
        <v>13:30</v>
      </c>
      <c r="L1" s="10" t="str">
        <f>IFERROR(VLOOKUP(COLUMN()-3,時間帯一覧!$A:$B,2,FALSE),"")&amp;""</f>
        <v>14:00</v>
      </c>
      <c r="M1" s="10" t="str">
        <f>IFERROR(VLOOKUP(COLUMN()-3,時間帯一覧!$A:$B,2,FALSE),"")&amp;""</f>
        <v/>
      </c>
      <c r="N1" s="10" t="str">
        <f>IFERROR(VLOOKUP(COLUMN()-3,時間帯一覧!$A:$B,2,FALSE),"")&amp;""</f>
        <v/>
      </c>
      <c r="O1" s="10" t="str">
        <f>IFERROR(VLOOKUP(COLUMN()-3,時間帯一覧!$A:$B,2,FALSE),"")&amp;""</f>
        <v/>
      </c>
      <c r="P1" s="10" t="str">
        <f>IFERROR(VLOOKUP(COLUMN()-3,時間帯一覧!$A:$B,2,FALSE),"")&amp;""</f>
        <v/>
      </c>
      <c r="Q1" s="10" t="str">
        <f>IFERROR(VLOOKUP(COLUMN()-3,時間帯一覧!$A:$B,2,FALSE),"")&amp;""</f>
        <v/>
      </c>
      <c r="R1" s="10" t="str">
        <f>IFERROR(VLOOKUP(COLUMN()-3,時間帯一覧!$A:$B,2,FALSE),"")&amp;""</f>
        <v/>
      </c>
      <c r="S1" s="10" t="str">
        <f>IFERROR(VLOOKUP(COLUMN()-3,時間帯一覧!$A:$B,2,FALSE),"")&amp;""</f>
        <v/>
      </c>
      <c r="T1" s="10" t="str">
        <f>IFERROR(VLOOKUP(COLUMN()-3,時間帯一覧!$A:$B,2,FALSE),"")&amp;""</f>
        <v/>
      </c>
      <c r="U1" s="10" t="str">
        <f>IFERROR(VLOOKUP(COLUMN()-3,時間帯一覧!$A:$B,2,FALSE),"")&amp;""</f>
        <v/>
      </c>
      <c r="V1" s="10" t="str">
        <f>IFERROR(VLOOKUP(COLUMN()-3,時間帯一覧!$A:$B,2,FALSE),"")&amp;""</f>
        <v/>
      </c>
      <c r="W1" s="10" t="str">
        <f>IFERROR(VLOOKUP(COLUMN()-3,時間帯一覧!$A:$B,2,FALSE),"")&amp;""</f>
        <v/>
      </c>
      <c r="X1" s="10" t="str">
        <f>IFERROR(VLOOKUP(COLUMN()-3,時間帯一覧!$A:$B,2,FALSE),"")&amp;""</f>
        <v/>
      </c>
      <c r="Y1" s="10" t="str">
        <f>IFERROR(VLOOKUP(COLUMN()-3,時間帯一覧!$A:$B,2,FALSE),"")&amp;""</f>
        <v/>
      </c>
      <c r="Z1" s="10" t="str">
        <f>IFERROR(VLOOKUP(COLUMN()-3,時間帯一覧!$A:$B,2,FALSE),"")&amp;""</f>
        <v/>
      </c>
      <c r="AA1" s="10" t="str">
        <f>IFERROR(VLOOKUP(COLUMN()-3,時間帯一覧!$A:$B,2,FALSE),"")&amp;""</f>
        <v/>
      </c>
      <c r="AB1" s="10" t="str">
        <f>IFERROR(VLOOKUP(COLUMN()-3,時間帯一覧!$A:$B,2,FALSE),"")&amp;""</f>
        <v/>
      </c>
      <c r="AC1" s="10" t="str">
        <f>IFERROR(VLOOKUP(COLUMN()-3,時間帯一覧!$A:$B,2,FALSE),"")&amp;""</f>
        <v/>
      </c>
      <c r="AD1" s="10" t="str">
        <f>IFERROR(VLOOKUP(COLUMN()-3,時間帯一覧!$A:$B,2,FALSE),"")&amp;""</f>
        <v/>
      </c>
      <c r="AE1" s="10" t="str">
        <f>IFERROR(VLOOKUP(COLUMN()-3,時間帯一覧!$A:$B,2,FALSE),"")&amp;""</f>
        <v/>
      </c>
      <c r="AF1" s="10" t="str">
        <f>IFERROR(VLOOKUP(COLUMN()-3,時間帯一覧!$A:$B,2,FALSE),"")&amp;""</f>
        <v/>
      </c>
      <c r="AG1" s="10" t="str">
        <f>IFERROR(VLOOKUP(COLUMN()-3,時間帯一覧!$A:$B,2,FALSE),"")&amp;""</f>
        <v/>
      </c>
      <c r="AH1" s="10" t="str">
        <f>IFERROR(VLOOKUP(COLUMN()-3,時間帯一覧!$A:$B,2,FALSE),"")&amp;""</f>
        <v/>
      </c>
      <c r="AI1" s="10" t="str">
        <f>IFERROR(VLOOKUP(COLUMN()-3,時間帯一覧!$A:$B,2,FALSE),"")&amp;""</f>
        <v/>
      </c>
      <c r="AJ1" s="10" t="str">
        <f>IFERROR(VLOOKUP(COLUMN()-3,時間帯一覧!$A:$B,2,FALSE),"")&amp;""</f>
        <v/>
      </c>
      <c r="AK1" s="10" t="str">
        <f>IFERROR(VLOOKUP(COLUMN()-3,時間帯一覧!$A:$B,2,FALSE),"")&amp;""</f>
        <v/>
      </c>
      <c r="AL1" s="10" t="str">
        <f>IFERROR(VLOOKUP(COLUMN()-3,時間帯一覧!$A:$B,2,FALSE),"")&amp;""</f>
        <v/>
      </c>
      <c r="AM1" s="10" t="str">
        <f>IFERROR(VLOOKUP(COLUMN()-3,時間帯一覧!$A:$B,2,FALSE),"")&amp;""</f>
        <v/>
      </c>
      <c r="AN1" s="10" t="str">
        <f>IFERROR(VLOOKUP(COLUMN()-3,時間帯一覧!$A:$B,2,FALSE),"")&amp;""</f>
        <v/>
      </c>
      <c r="AO1" s="10" t="str">
        <f>IFERROR(VLOOKUP(COLUMN()-3,時間帯一覧!$A:$B,2,FALSE),"")&amp;""</f>
        <v/>
      </c>
      <c r="AP1" s="10" t="str">
        <f>IFERROR(VLOOKUP(COLUMN()-3,時間帯一覧!$A:$B,2,FALSE),"")&amp;""</f>
        <v/>
      </c>
      <c r="AQ1" s="10" t="str">
        <f>IFERROR(VLOOKUP(COLUMN()-3,時間帯一覧!$A:$B,2,FALSE),"")&amp;""</f>
        <v/>
      </c>
      <c r="AR1" s="10" t="str">
        <f>IFERROR(VLOOKUP(COLUMN()-3,時間帯一覧!$A:$B,2,FALSE),"")&amp;""</f>
        <v/>
      </c>
      <c r="AS1" s="10" t="str">
        <f>IFERROR(VLOOKUP(COLUMN()-3,時間帯一覧!$A:$B,2,FALSE),"")&amp;""</f>
        <v/>
      </c>
      <c r="AT1" s="10" t="str">
        <f>IFERROR(VLOOKUP(COLUMN()-3,時間帯一覧!$A:$B,2,FALSE),"")&amp;""</f>
        <v/>
      </c>
      <c r="AU1" s="10" t="str">
        <f>IFERROR(VLOOKUP(COLUMN()-3,時間帯一覧!$A:$B,2,FALSE),"")&amp;""</f>
        <v/>
      </c>
      <c r="AV1" s="10" t="str">
        <f>IFERROR(VLOOKUP(COLUMN()-3,時間帯一覧!$A:$B,2,FALSE),"")&amp;""</f>
        <v/>
      </c>
      <c r="AW1" s="10" t="str">
        <f>IFERROR(VLOOKUP(COLUMN()-3,時間帯一覧!$A:$B,2,FALSE),"")&amp;""</f>
        <v/>
      </c>
      <c r="AX1" s="10" t="str">
        <f>IFERROR(VLOOKUP(COLUMN()-3,時間帯一覧!$A:$B,2,FALSE),"")&amp;""</f>
        <v/>
      </c>
      <c r="AY1" s="10" t="str">
        <f>IFERROR(VLOOKUP(COLUMN()-3,時間帯一覧!$A:$B,2,FALSE),"")&amp;""</f>
        <v/>
      </c>
      <c r="AZ1" s="10" t="str">
        <f>IFERROR(VLOOKUP(COLUMN()-3,時間帯一覧!$A:$B,2,FALSE),"")&amp;""</f>
        <v/>
      </c>
      <c r="BA1" s="10" t="str">
        <f>IFERROR(VLOOKUP(COLUMN()-3,時間帯一覧!$A:$B,2,FALSE),"")&amp;""</f>
        <v/>
      </c>
      <c r="BB1" s="17" t="s">
        <v>52</v>
      </c>
      <c r="BC1" s="17"/>
      <c r="BD1" s="10" t="s">
        <v>57</v>
      </c>
      <c r="BE1" s="10" t="s">
        <v>58</v>
      </c>
      <c r="BF1" s="10" t="s">
        <v>59</v>
      </c>
      <c r="BG1" s="10" t="s">
        <v>60</v>
      </c>
      <c r="BH1" s="10" t="s">
        <v>61</v>
      </c>
      <c r="BI1" s="14" t="str">
        <f t="array" ref="BI1:CL1">TRANSPOSE(役職一覧!B2:B31)&amp;""</f>
        <v>A</v>
      </c>
      <c r="BJ1" s="14" t="str">
        <v>B</v>
      </c>
      <c r="BK1" s="14" t="str">
        <v>C</v>
      </c>
      <c r="BL1" s="14" t="str">
        <v>D</v>
      </c>
      <c r="BM1" s="14" t="str">
        <v>E</v>
      </c>
      <c r="BN1" s="14" t="str">
        <v>F</v>
      </c>
      <c r="BO1" s="14" t="str">
        <v/>
      </c>
      <c r="BP1" s="14" t="str">
        <v/>
      </c>
      <c r="BQ1" s="14" t="str">
        <v/>
      </c>
      <c r="BR1" s="14" t="str">
        <v/>
      </c>
      <c r="BS1" s="14" t="str">
        <v/>
      </c>
      <c r="BT1" s="14" t="str">
        <v/>
      </c>
      <c r="BU1" s="14" t="str">
        <v/>
      </c>
      <c r="BV1" s="14" t="str">
        <v/>
      </c>
      <c r="BW1" s="14" t="str">
        <v/>
      </c>
      <c r="BX1" s="14" t="str">
        <v/>
      </c>
      <c r="BY1" s="14" t="str">
        <v/>
      </c>
      <c r="BZ1" s="14" t="str">
        <v/>
      </c>
      <c r="CA1" s="14" t="str">
        <v/>
      </c>
      <c r="CB1" s="14" t="str">
        <v/>
      </c>
      <c r="CC1" s="14" t="str">
        <v/>
      </c>
      <c r="CD1" s="14" t="str">
        <v/>
      </c>
      <c r="CE1" s="14" t="str">
        <v/>
      </c>
      <c r="CF1" s="14" t="str">
        <v/>
      </c>
      <c r="CG1" s="14" t="str">
        <v/>
      </c>
      <c r="CH1" s="14" t="str">
        <v/>
      </c>
      <c r="CI1" s="14" t="str">
        <v/>
      </c>
      <c r="CJ1" s="14" t="str">
        <v/>
      </c>
      <c r="CK1" s="14" t="str">
        <v/>
      </c>
      <c r="CL1" s="14" t="str">
        <v/>
      </c>
      <c r="CM1" s="10" t="s">
        <v>85</v>
      </c>
    </row>
    <row r="2" spans="2:91">
      <c r="B2" s="14" t="str">
        <f>役職一覧!B2&amp;""</f>
        <v>A</v>
      </c>
      <c r="C2" s="14">
        <f>役職一覧!E2</f>
        <v>2</v>
      </c>
      <c r="D2" s="14">
        <f t="shared" ref="D2:M6" si="0">COUNTIF(D$32:D$334,$B2)</f>
        <v>0</v>
      </c>
      <c r="E2" s="14">
        <f t="shared" si="0"/>
        <v>0</v>
      </c>
      <c r="F2" s="14">
        <f t="shared" si="0"/>
        <v>0</v>
      </c>
      <c r="G2" s="14">
        <f t="shared" si="0"/>
        <v>0</v>
      </c>
      <c r="H2" s="14">
        <f t="shared" si="0"/>
        <v>0</v>
      </c>
      <c r="I2" s="14">
        <f t="shared" si="0"/>
        <v>0</v>
      </c>
      <c r="J2" s="14">
        <f t="shared" si="0"/>
        <v>0</v>
      </c>
      <c r="K2" s="14">
        <f t="shared" si="0"/>
        <v>0</v>
      </c>
      <c r="L2" s="14">
        <f t="shared" si="0"/>
        <v>0</v>
      </c>
      <c r="M2" s="14">
        <f t="shared" si="0"/>
        <v>0</v>
      </c>
      <c r="N2" s="14">
        <f t="shared" ref="N2:W6" si="1">COUNTIF(N$32:N$334,$B2)</f>
        <v>0</v>
      </c>
      <c r="O2" s="14">
        <f t="shared" si="1"/>
        <v>0</v>
      </c>
      <c r="P2" s="14">
        <f t="shared" si="1"/>
        <v>0</v>
      </c>
      <c r="Q2" s="14">
        <f t="shared" si="1"/>
        <v>0</v>
      </c>
      <c r="R2" s="14">
        <f t="shared" si="1"/>
        <v>0</v>
      </c>
      <c r="S2" s="14">
        <f t="shared" si="1"/>
        <v>0</v>
      </c>
      <c r="T2" s="14">
        <f t="shared" si="1"/>
        <v>0</v>
      </c>
      <c r="U2" s="14">
        <f t="shared" si="1"/>
        <v>0</v>
      </c>
      <c r="V2" s="14">
        <f t="shared" si="1"/>
        <v>0</v>
      </c>
      <c r="W2" s="14">
        <f t="shared" si="1"/>
        <v>0</v>
      </c>
      <c r="X2" s="14">
        <f t="shared" ref="X2:AG6" si="2">COUNTIF(X$32:X$334,$B2)</f>
        <v>0</v>
      </c>
      <c r="Y2" s="14">
        <f t="shared" si="2"/>
        <v>0</v>
      </c>
      <c r="Z2" s="14">
        <f t="shared" si="2"/>
        <v>0</v>
      </c>
      <c r="AA2" s="14">
        <f t="shared" si="2"/>
        <v>0</v>
      </c>
      <c r="AB2" s="14">
        <f t="shared" si="2"/>
        <v>0</v>
      </c>
      <c r="AC2" s="14">
        <f t="shared" si="2"/>
        <v>0</v>
      </c>
      <c r="AD2" s="14">
        <f t="shared" si="2"/>
        <v>0</v>
      </c>
      <c r="AE2" s="14">
        <f t="shared" si="2"/>
        <v>0</v>
      </c>
      <c r="AF2" s="14">
        <f t="shared" si="2"/>
        <v>0</v>
      </c>
      <c r="AG2" s="14">
        <f t="shared" si="2"/>
        <v>0</v>
      </c>
      <c r="AH2" s="14">
        <f t="shared" ref="AH2:AQ6" si="3">COUNTIF(AH$32:AH$334,$B2)</f>
        <v>0</v>
      </c>
      <c r="AI2" s="14">
        <f t="shared" si="3"/>
        <v>0</v>
      </c>
      <c r="AJ2" s="14">
        <f t="shared" si="3"/>
        <v>0</v>
      </c>
      <c r="AK2" s="14">
        <f t="shared" si="3"/>
        <v>0</v>
      </c>
      <c r="AL2" s="14">
        <f t="shared" si="3"/>
        <v>0</v>
      </c>
      <c r="AM2" s="14">
        <f t="shared" si="3"/>
        <v>0</v>
      </c>
      <c r="AN2" s="14">
        <f t="shared" si="3"/>
        <v>0</v>
      </c>
      <c r="AO2" s="14">
        <f t="shared" si="3"/>
        <v>0</v>
      </c>
      <c r="AP2" s="14">
        <f t="shared" si="3"/>
        <v>0</v>
      </c>
      <c r="AQ2" s="14">
        <f t="shared" si="3"/>
        <v>0</v>
      </c>
      <c r="AR2" s="14">
        <f t="shared" ref="AR2:BA6" si="4">COUNTIF(AR$32:AR$334,$B2)</f>
        <v>0</v>
      </c>
      <c r="AS2" s="14">
        <f t="shared" si="4"/>
        <v>0</v>
      </c>
      <c r="AT2" s="14">
        <f t="shared" si="4"/>
        <v>0</v>
      </c>
      <c r="AU2" s="14">
        <f t="shared" si="4"/>
        <v>0</v>
      </c>
      <c r="AV2" s="14">
        <f t="shared" si="4"/>
        <v>0</v>
      </c>
      <c r="AW2" s="14">
        <f t="shared" si="4"/>
        <v>0</v>
      </c>
      <c r="AX2" s="14">
        <f t="shared" si="4"/>
        <v>0</v>
      </c>
      <c r="AY2" s="14">
        <f t="shared" si="4"/>
        <v>0</v>
      </c>
      <c r="AZ2" s="14">
        <f t="shared" si="4"/>
        <v>0</v>
      </c>
      <c r="BA2" s="14">
        <f t="shared" si="4"/>
        <v>0</v>
      </c>
      <c r="BB2" s="14"/>
      <c r="BC2" s="14"/>
      <c r="BD2" s="14">
        <f ca="1">COUNTIF(OFFSET(BD$32,0,0,COUNT(時間希望調査!$A:$A)),$B2)</f>
        <v>1</v>
      </c>
      <c r="BE2" s="14">
        <f ca="1">COUNTIF(OFFSET(BE$32,0,0,COUNT(時間希望調査!$A:$A)),$B2)</f>
        <v>0</v>
      </c>
      <c r="BF2" s="14">
        <f ca="1">COUNTIF(OFFSET(BF$32,0,0,COUNT(時間希望調査!$A:$A)),$B2)</f>
        <v>0</v>
      </c>
      <c r="BG2" s="14">
        <f ca="1">COUNTIF(OFFSET(BG$32,0,0,COUNT(時間希望調査!$A:$A)),$B2)</f>
        <v>0</v>
      </c>
      <c r="BH2" s="14">
        <f ca="1">COUNTIF(OFFSET(BH$32,0,0,COUNT(時間希望調査!$A:$A)),$B2)</f>
        <v>0</v>
      </c>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row>
    <row r="3" spans="2:91">
      <c r="B3" s="14" t="str">
        <f>役職一覧!B3&amp;""</f>
        <v>B</v>
      </c>
      <c r="C3" s="14">
        <f>役職一覧!E3</f>
        <v>3</v>
      </c>
      <c r="D3" s="14">
        <f t="shared" si="0"/>
        <v>0</v>
      </c>
      <c r="E3" s="14">
        <f t="shared" si="0"/>
        <v>0</v>
      </c>
      <c r="F3" s="14">
        <f t="shared" si="0"/>
        <v>0</v>
      </c>
      <c r="G3" s="14">
        <f t="shared" si="0"/>
        <v>0</v>
      </c>
      <c r="H3" s="14">
        <f t="shared" si="0"/>
        <v>0</v>
      </c>
      <c r="I3" s="14">
        <f t="shared" si="0"/>
        <v>0</v>
      </c>
      <c r="J3" s="14">
        <f t="shared" si="0"/>
        <v>0</v>
      </c>
      <c r="K3" s="14">
        <f t="shared" si="0"/>
        <v>0</v>
      </c>
      <c r="L3" s="14">
        <f t="shared" si="0"/>
        <v>0</v>
      </c>
      <c r="M3" s="14">
        <f t="shared" si="0"/>
        <v>0</v>
      </c>
      <c r="N3" s="14">
        <f t="shared" si="1"/>
        <v>0</v>
      </c>
      <c r="O3" s="14">
        <f t="shared" si="1"/>
        <v>0</v>
      </c>
      <c r="P3" s="14">
        <f t="shared" si="1"/>
        <v>0</v>
      </c>
      <c r="Q3" s="14">
        <f t="shared" si="1"/>
        <v>0</v>
      </c>
      <c r="R3" s="14">
        <f t="shared" si="1"/>
        <v>0</v>
      </c>
      <c r="S3" s="14">
        <f t="shared" si="1"/>
        <v>0</v>
      </c>
      <c r="T3" s="14">
        <f t="shared" si="1"/>
        <v>0</v>
      </c>
      <c r="U3" s="14">
        <f t="shared" si="1"/>
        <v>0</v>
      </c>
      <c r="V3" s="14">
        <f t="shared" si="1"/>
        <v>0</v>
      </c>
      <c r="W3" s="14">
        <f t="shared" si="1"/>
        <v>0</v>
      </c>
      <c r="X3" s="14">
        <f t="shared" si="2"/>
        <v>0</v>
      </c>
      <c r="Y3" s="14">
        <f t="shared" si="2"/>
        <v>0</v>
      </c>
      <c r="Z3" s="14">
        <f t="shared" si="2"/>
        <v>0</v>
      </c>
      <c r="AA3" s="14">
        <f t="shared" si="2"/>
        <v>0</v>
      </c>
      <c r="AB3" s="14">
        <f t="shared" si="2"/>
        <v>0</v>
      </c>
      <c r="AC3" s="14">
        <f t="shared" si="2"/>
        <v>0</v>
      </c>
      <c r="AD3" s="14">
        <f t="shared" si="2"/>
        <v>0</v>
      </c>
      <c r="AE3" s="14">
        <f t="shared" si="2"/>
        <v>0</v>
      </c>
      <c r="AF3" s="14">
        <f t="shared" si="2"/>
        <v>0</v>
      </c>
      <c r="AG3" s="14">
        <f t="shared" si="2"/>
        <v>0</v>
      </c>
      <c r="AH3" s="14">
        <f t="shared" si="3"/>
        <v>0</v>
      </c>
      <c r="AI3" s="14">
        <f t="shared" si="3"/>
        <v>0</v>
      </c>
      <c r="AJ3" s="14">
        <f t="shared" si="3"/>
        <v>0</v>
      </c>
      <c r="AK3" s="14">
        <f t="shared" si="3"/>
        <v>0</v>
      </c>
      <c r="AL3" s="14">
        <f t="shared" si="3"/>
        <v>0</v>
      </c>
      <c r="AM3" s="14">
        <f t="shared" si="3"/>
        <v>0</v>
      </c>
      <c r="AN3" s="14">
        <f t="shared" si="3"/>
        <v>0</v>
      </c>
      <c r="AO3" s="14">
        <f t="shared" si="3"/>
        <v>0</v>
      </c>
      <c r="AP3" s="14">
        <f t="shared" si="3"/>
        <v>0</v>
      </c>
      <c r="AQ3" s="14">
        <f t="shared" si="3"/>
        <v>0</v>
      </c>
      <c r="AR3" s="14">
        <f t="shared" si="4"/>
        <v>0</v>
      </c>
      <c r="AS3" s="14">
        <f t="shared" si="4"/>
        <v>0</v>
      </c>
      <c r="AT3" s="14">
        <f t="shared" si="4"/>
        <v>0</v>
      </c>
      <c r="AU3" s="14">
        <f t="shared" si="4"/>
        <v>0</v>
      </c>
      <c r="AV3" s="14">
        <f t="shared" si="4"/>
        <v>0</v>
      </c>
      <c r="AW3" s="14">
        <f t="shared" si="4"/>
        <v>0</v>
      </c>
      <c r="AX3" s="14">
        <f t="shared" si="4"/>
        <v>0</v>
      </c>
      <c r="AY3" s="14">
        <f t="shared" si="4"/>
        <v>0</v>
      </c>
      <c r="AZ3" s="14">
        <f t="shared" si="4"/>
        <v>0</v>
      </c>
      <c r="BA3" s="14">
        <f t="shared" si="4"/>
        <v>0</v>
      </c>
      <c r="BB3" s="14"/>
      <c r="BC3" s="14"/>
      <c r="BD3" s="14">
        <f ca="1">COUNTIF(OFFSET(BD$32,0,0,COUNT(時間希望調査!$A:$A)),$B3)</f>
        <v>0</v>
      </c>
      <c r="BE3" s="14">
        <f ca="1">COUNTIF(OFFSET(BE$32,0,0,COUNT(時間希望調査!$A:$A)),$B3)</f>
        <v>0</v>
      </c>
      <c r="BF3" s="14">
        <f ca="1">COUNTIF(OFFSET(BF$32,0,0,COUNT(時間希望調査!$A:$A)),$B3)</f>
        <v>0</v>
      </c>
      <c r="BG3" s="14">
        <f ca="1">COUNTIF(OFFSET(BG$32,0,0,COUNT(時間希望調査!$A:$A)),$B3)</f>
        <v>0</v>
      </c>
      <c r="BH3" s="14">
        <f ca="1">COUNTIF(OFFSET(BH$32,0,0,COUNT(時間希望調査!$A:$A)),$B3)</f>
        <v>0</v>
      </c>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row>
    <row r="4" spans="2:91">
      <c r="B4" s="14" t="str">
        <f>役職一覧!B4&amp;""</f>
        <v>C</v>
      </c>
      <c r="C4" s="14">
        <f>役職一覧!E4</f>
        <v>4</v>
      </c>
      <c r="D4" s="14">
        <f t="shared" si="0"/>
        <v>0</v>
      </c>
      <c r="E4" s="14">
        <f t="shared" si="0"/>
        <v>0</v>
      </c>
      <c r="F4" s="14">
        <f t="shared" si="0"/>
        <v>0</v>
      </c>
      <c r="G4" s="14">
        <f t="shared" si="0"/>
        <v>0</v>
      </c>
      <c r="H4" s="14">
        <f t="shared" si="0"/>
        <v>0</v>
      </c>
      <c r="I4" s="14">
        <f t="shared" si="0"/>
        <v>0</v>
      </c>
      <c r="J4" s="14">
        <f t="shared" si="0"/>
        <v>0</v>
      </c>
      <c r="K4" s="14">
        <f t="shared" si="0"/>
        <v>0</v>
      </c>
      <c r="L4" s="14">
        <f t="shared" si="0"/>
        <v>0</v>
      </c>
      <c r="M4" s="14">
        <f t="shared" si="0"/>
        <v>0</v>
      </c>
      <c r="N4" s="14">
        <f t="shared" si="1"/>
        <v>0</v>
      </c>
      <c r="O4" s="14">
        <f t="shared" si="1"/>
        <v>0</v>
      </c>
      <c r="P4" s="14">
        <f t="shared" si="1"/>
        <v>0</v>
      </c>
      <c r="Q4" s="14">
        <f t="shared" si="1"/>
        <v>0</v>
      </c>
      <c r="R4" s="14">
        <f t="shared" si="1"/>
        <v>0</v>
      </c>
      <c r="S4" s="14">
        <f t="shared" si="1"/>
        <v>0</v>
      </c>
      <c r="T4" s="14">
        <f t="shared" si="1"/>
        <v>0</v>
      </c>
      <c r="U4" s="14">
        <f t="shared" si="1"/>
        <v>0</v>
      </c>
      <c r="V4" s="14">
        <f t="shared" si="1"/>
        <v>0</v>
      </c>
      <c r="W4" s="14">
        <f t="shared" si="1"/>
        <v>0</v>
      </c>
      <c r="X4" s="14">
        <f t="shared" si="2"/>
        <v>0</v>
      </c>
      <c r="Y4" s="14">
        <f t="shared" si="2"/>
        <v>0</v>
      </c>
      <c r="Z4" s="14">
        <f t="shared" si="2"/>
        <v>0</v>
      </c>
      <c r="AA4" s="14">
        <f t="shared" si="2"/>
        <v>0</v>
      </c>
      <c r="AB4" s="14">
        <f t="shared" si="2"/>
        <v>0</v>
      </c>
      <c r="AC4" s="14">
        <f t="shared" si="2"/>
        <v>0</v>
      </c>
      <c r="AD4" s="14">
        <f t="shared" si="2"/>
        <v>0</v>
      </c>
      <c r="AE4" s="14">
        <f t="shared" si="2"/>
        <v>0</v>
      </c>
      <c r="AF4" s="14">
        <f t="shared" si="2"/>
        <v>0</v>
      </c>
      <c r="AG4" s="14">
        <f t="shared" si="2"/>
        <v>0</v>
      </c>
      <c r="AH4" s="14">
        <f t="shared" si="3"/>
        <v>0</v>
      </c>
      <c r="AI4" s="14">
        <f t="shared" si="3"/>
        <v>0</v>
      </c>
      <c r="AJ4" s="14">
        <f t="shared" si="3"/>
        <v>0</v>
      </c>
      <c r="AK4" s="14">
        <f t="shared" si="3"/>
        <v>0</v>
      </c>
      <c r="AL4" s="14">
        <f t="shared" si="3"/>
        <v>0</v>
      </c>
      <c r="AM4" s="14">
        <f t="shared" si="3"/>
        <v>0</v>
      </c>
      <c r="AN4" s="14">
        <f t="shared" si="3"/>
        <v>0</v>
      </c>
      <c r="AO4" s="14">
        <f t="shared" si="3"/>
        <v>0</v>
      </c>
      <c r="AP4" s="14">
        <f t="shared" si="3"/>
        <v>0</v>
      </c>
      <c r="AQ4" s="14">
        <f t="shared" si="3"/>
        <v>0</v>
      </c>
      <c r="AR4" s="14">
        <f t="shared" si="4"/>
        <v>0</v>
      </c>
      <c r="AS4" s="14">
        <f t="shared" si="4"/>
        <v>0</v>
      </c>
      <c r="AT4" s="14">
        <f t="shared" si="4"/>
        <v>0</v>
      </c>
      <c r="AU4" s="14">
        <f t="shared" si="4"/>
        <v>0</v>
      </c>
      <c r="AV4" s="14">
        <f t="shared" si="4"/>
        <v>0</v>
      </c>
      <c r="AW4" s="14">
        <f t="shared" si="4"/>
        <v>0</v>
      </c>
      <c r="AX4" s="14">
        <f t="shared" si="4"/>
        <v>0</v>
      </c>
      <c r="AY4" s="14">
        <f t="shared" si="4"/>
        <v>0</v>
      </c>
      <c r="AZ4" s="14">
        <f t="shared" si="4"/>
        <v>0</v>
      </c>
      <c r="BA4" s="14">
        <f t="shared" si="4"/>
        <v>0</v>
      </c>
      <c r="BB4" s="14"/>
      <c r="BC4" s="14"/>
      <c r="BD4" s="14">
        <f ca="1">COUNTIF(OFFSET(BD$32,0,0,COUNT(時間希望調査!$A:$A)),$B4)</f>
        <v>0</v>
      </c>
      <c r="BE4" s="14">
        <f ca="1">COUNTIF(OFFSET(BE$32,0,0,COUNT(時間希望調査!$A:$A)),$B4)</f>
        <v>1</v>
      </c>
      <c r="BF4" s="14">
        <f ca="1">COUNTIF(OFFSET(BF$32,0,0,COUNT(時間希望調査!$A:$A)),$B4)</f>
        <v>0</v>
      </c>
      <c r="BG4" s="14">
        <f ca="1">COUNTIF(OFFSET(BG$32,0,0,COUNT(時間希望調査!$A:$A)),$B4)</f>
        <v>0</v>
      </c>
      <c r="BH4" s="14">
        <f ca="1">COUNTIF(OFFSET(BH$32,0,0,COUNT(時間希望調査!$A:$A)),$B4)</f>
        <v>0</v>
      </c>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row>
    <row r="5" spans="2:91">
      <c r="B5" s="14" t="str">
        <f>役職一覧!B5&amp;""</f>
        <v>D</v>
      </c>
      <c r="C5" s="14">
        <f>役職一覧!E5</f>
        <v>1</v>
      </c>
      <c r="D5" s="14">
        <f t="shared" si="0"/>
        <v>0</v>
      </c>
      <c r="E5" s="14">
        <f t="shared" si="0"/>
        <v>0</v>
      </c>
      <c r="F5" s="14">
        <f t="shared" si="0"/>
        <v>0</v>
      </c>
      <c r="G5" s="14">
        <f t="shared" si="0"/>
        <v>0</v>
      </c>
      <c r="H5" s="14">
        <f t="shared" si="0"/>
        <v>0</v>
      </c>
      <c r="I5" s="14">
        <f t="shared" si="0"/>
        <v>0</v>
      </c>
      <c r="J5" s="14">
        <f t="shared" si="0"/>
        <v>0</v>
      </c>
      <c r="K5" s="14">
        <f t="shared" si="0"/>
        <v>0</v>
      </c>
      <c r="L5" s="14">
        <f t="shared" si="0"/>
        <v>0</v>
      </c>
      <c r="M5" s="14">
        <f t="shared" si="0"/>
        <v>0</v>
      </c>
      <c r="N5" s="14">
        <f t="shared" si="1"/>
        <v>0</v>
      </c>
      <c r="O5" s="14">
        <f t="shared" si="1"/>
        <v>0</v>
      </c>
      <c r="P5" s="14">
        <f t="shared" si="1"/>
        <v>0</v>
      </c>
      <c r="Q5" s="14">
        <f t="shared" si="1"/>
        <v>0</v>
      </c>
      <c r="R5" s="14">
        <f t="shared" si="1"/>
        <v>0</v>
      </c>
      <c r="S5" s="14">
        <f t="shared" si="1"/>
        <v>0</v>
      </c>
      <c r="T5" s="14">
        <f t="shared" si="1"/>
        <v>0</v>
      </c>
      <c r="U5" s="14">
        <f t="shared" si="1"/>
        <v>0</v>
      </c>
      <c r="V5" s="14">
        <f t="shared" si="1"/>
        <v>0</v>
      </c>
      <c r="W5" s="14">
        <f t="shared" si="1"/>
        <v>0</v>
      </c>
      <c r="X5" s="14">
        <f t="shared" si="2"/>
        <v>0</v>
      </c>
      <c r="Y5" s="14">
        <f t="shared" si="2"/>
        <v>0</v>
      </c>
      <c r="Z5" s="14">
        <f t="shared" si="2"/>
        <v>0</v>
      </c>
      <c r="AA5" s="14">
        <f t="shared" si="2"/>
        <v>0</v>
      </c>
      <c r="AB5" s="14">
        <f t="shared" si="2"/>
        <v>0</v>
      </c>
      <c r="AC5" s="14">
        <f t="shared" si="2"/>
        <v>0</v>
      </c>
      <c r="AD5" s="14">
        <f t="shared" si="2"/>
        <v>0</v>
      </c>
      <c r="AE5" s="14">
        <f t="shared" si="2"/>
        <v>0</v>
      </c>
      <c r="AF5" s="14">
        <f t="shared" si="2"/>
        <v>0</v>
      </c>
      <c r="AG5" s="14">
        <f t="shared" si="2"/>
        <v>0</v>
      </c>
      <c r="AH5" s="14">
        <f t="shared" si="3"/>
        <v>0</v>
      </c>
      <c r="AI5" s="14">
        <f t="shared" si="3"/>
        <v>0</v>
      </c>
      <c r="AJ5" s="14">
        <f t="shared" si="3"/>
        <v>0</v>
      </c>
      <c r="AK5" s="14">
        <f t="shared" si="3"/>
        <v>0</v>
      </c>
      <c r="AL5" s="14">
        <f t="shared" si="3"/>
        <v>0</v>
      </c>
      <c r="AM5" s="14">
        <f t="shared" si="3"/>
        <v>0</v>
      </c>
      <c r="AN5" s="14">
        <f t="shared" si="3"/>
        <v>0</v>
      </c>
      <c r="AO5" s="14">
        <f t="shared" si="3"/>
        <v>0</v>
      </c>
      <c r="AP5" s="14">
        <f t="shared" si="3"/>
        <v>0</v>
      </c>
      <c r="AQ5" s="14">
        <f t="shared" si="3"/>
        <v>0</v>
      </c>
      <c r="AR5" s="14">
        <f t="shared" si="4"/>
        <v>0</v>
      </c>
      <c r="AS5" s="14">
        <f t="shared" si="4"/>
        <v>0</v>
      </c>
      <c r="AT5" s="14">
        <f t="shared" si="4"/>
        <v>0</v>
      </c>
      <c r="AU5" s="14">
        <f t="shared" si="4"/>
        <v>0</v>
      </c>
      <c r="AV5" s="14">
        <f t="shared" si="4"/>
        <v>0</v>
      </c>
      <c r="AW5" s="14">
        <f t="shared" si="4"/>
        <v>0</v>
      </c>
      <c r="AX5" s="14">
        <f t="shared" si="4"/>
        <v>0</v>
      </c>
      <c r="AY5" s="14">
        <f t="shared" si="4"/>
        <v>0</v>
      </c>
      <c r="AZ5" s="14">
        <f t="shared" si="4"/>
        <v>0</v>
      </c>
      <c r="BA5" s="14">
        <f t="shared" si="4"/>
        <v>0</v>
      </c>
      <c r="BB5" s="14"/>
      <c r="BC5" s="14"/>
      <c r="BD5" s="14">
        <f ca="1">COUNTIF(OFFSET(BD$32,0,0,COUNT(時間希望調査!$A:$A)),$B5)</f>
        <v>0</v>
      </c>
      <c r="BE5" s="14">
        <f ca="1">COUNTIF(OFFSET(BE$32,0,0,COUNT(時間希望調査!$A:$A)),$B5)</f>
        <v>0</v>
      </c>
      <c r="BF5" s="14">
        <f ca="1">COUNTIF(OFFSET(BF$32,0,0,COUNT(時間希望調査!$A:$A)),$B5)</f>
        <v>0</v>
      </c>
      <c r="BG5" s="14">
        <f ca="1">COUNTIF(OFFSET(BG$32,0,0,COUNT(時間希望調査!$A:$A)),$B5)</f>
        <v>0</v>
      </c>
      <c r="BH5" s="14">
        <f ca="1">COUNTIF(OFFSET(BH$32,0,0,COUNT(時間希望調査!$A:$A)),$B5)</f>
        <v>0</v>
      </c>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row>
    <row r="6" spans="2:91">
      <c r="B6" s="14" t="str">
        <f>役職一覧!B6&amp;""</f>
        <v>E</v>
      </c>
      <c r="C6" s="14">
        <f>役職一覧!E6</f>
        <v>6</v>
      </c>
      <c r="D6" s="14">
        <f t="shared" si="0"/>
        <v>0</v>
      </c>
      <c r="E6" s="14">
        <f t="shared" si="0"/>
        <v>0</v>
      </c>
      <c r="F6" s="14">
        <f t="shared" si="0"/>
        <v>0</v>
      </c>
      <c r="G6" s="14">
        <f t="shared" si="0"/>
        <v>0</v>
      </c>
      <c r="H6" s="14">
        <f t="shared" si="0"/>
        <v>0</v>
      </c>
      <c r="I6" s="14">
        <f t="shared" si="0"/>
        <v>0</v>
      </c>
      <c r="J6" s="14">
        <f t="shared" si="0"/>
        <v>0</v>
      </c>
      <c r="K6" s="14">
        <f t="shared" si="0"/>
        <v>0</v>
      </c>
      <c r="L6" s="14">
        <f t="shared" si="0"/>
        <v>0</v>
      </c>
      <c r="M6" s="14">
        <f t="shared" si="0"/>
        <v>0</v>
      </c>
      <c r="N6" s="14">
        <f t="shared" si="1"/>
        <v>0</v>
      </c>
      <c r="O6" s="14">
        <f t="shared" si="1"/>
        <v>0</v>
      </c>
      <c r="P6" s="14">
        <f t="shared" si="1"/>
        <v>0</v>
      </c>
      <c r="Q6" s="14">
        <f t="shared" si="1"/>
        <v>0</v>
      </c>
      <c r="R6" s="14">
        <f t="shared" si="1"/>
        <v>0</v>
      </c>
      <c r="S6" s="14">
        <f t="shared" si="1"/>
        <v>0</v>
      </c>
      <c r="T6" s="14">
        <f t="shared" si="1"/>
        <v>0</v>
      </c>
      <c r="U6" s="14">
        <f t="shared" si="1"/>
        <v>0</v>
      </c>
      <c r="V6" s="14">
        <f t="shared" si="1"/>
        <v>0</v>
      </c>
      <c r="W6" s="14">
        <f t="shared" si="1"/>
        <v>0</v>
      </c>
      <c r="X6" s="14">
        <f t="shared" si="2"/>
        <v>0</v>
      </c>
      <c r="Y6" s="14">
        <f t="shared" si="2"/>
        <v>0</v>
      </c>
      <c r="Z6" s="14">
        <f t="shared" si="2"/>
        <v>0</v>
      </c>
      <c r="AA6" s="14">
        <f t="shared" si="2"/>
        <v>0</v>
      </c>
      <c r="AB6" s="14">
        <f t="shared" si="2"/>
        <v>0</v>
      </c>
      <c r="AC6" s="14">
        <f t="shared" si="2"/>
        <v>0</v>
      </c>
      <c r="AD6" s="14">
        <f t="shared" si="2"/>
        <v>0</v>
      </c>
      <c r="AE6" s="14">
        <f t="shared" si="2"/>
        <v>0</v>
      </c>
      <c r="AF6" s="14">
        <f t="shared" si="2"/>
        <v>0</v>
      </c>
      <c r="AG6" s="14">
        <f t="shared" si="2"/>
        <v>0</v>
      </c>
      <c r="AH6" s="14">
        <f t="shared" si="3"/>
        <v>0</v>
      </c>
      <c r="AI6" s="14">
        <f t="shared" si="3"/>
        <v>0</v>
      </c>
      <c r="AJ6" s="14">
        <f t="shared" si="3"/>
        <v>0</v>
      </c>
      <c r="AK6" s="14">
        <f t="shared" si="3"/>
        <v>0</v>
      </c>
      <c r="AL6" s="14">
        <f t="shared" si="3"/>
        <v>0</v>
      </c>
      <c r="AM6" s="14">
        <f t="shared" si="3"/>
        <v>0</v>
      </c>
      <c r="AN6" s="14">
        <f t="shared" si="3"/>
        <v>0</v>
      </c>
      <c r="AO6" s="14">
        <f t="shared" si="3"/>
        <v>0</v>
      </c>
      <c r="AP6" s="14">
        <f t="shared" si="3"/>
        <v>0</v>
      </c>
      <c r="AQ6" s="14">
        <f t="shared" si="3"/>
        <v>0</v>
      </c>
      <c r="AR6" s="14">
        <f t="shared" si="4"/>
        <v>0</v>
      </c>
      <c r="AS6" s="14">
        <f t="shared" si="4"/>
        <v>0</v>
      </c>
      <c r="AT6" s="14">
        <f t="shared" si="4"/>
        <v>0</v>
      </c>
      <c r="AU6" s="14">
        <f t="shared" si="4"/>
        <v>0</v>
      </c>
      <c r="AV6" s="14">
        <f t="shared" si="4"/>
        <v>0</v>
      </c>
      <c r="AW6" s="14">
        <f t="shared" si="4"/>
        <v>0</v>
      </c>
      <c r="AX6" s="14">
        <f t="shared" si="4"/>
        <v>0</v>
      </c>
      <c r="AY6" s="14">
        <f t="shared" si="4"/>
        <v>0</v>
      </c>
      <c r="AZ6" s="14">
        <f t="shared" si="4"/>
        <v>0</v>
      </c>
      <c r="BA6" s="14">
        <f t="shared" si="4"/>
        <v>0</v>
      </c>
      <c r="BB6" s="14"/>
      <c r="BC6" s="14"/>
      <c r="BD6" s="14">
        <f ca="1">COUNTIF(OFFSET(BD$32,0,0,COUNT(時間希望調査!$A:$A)),$B6)</f>
        <v>0</v>
      </c>
      <c r="BE6" s="14">
        <f ca="1">COUNTIF(OFFSET(BE$32,0,0,COUNT(時間希望調査!$A:$A)),$B6)</f>
        <v>0</v>
      </c>
      <c r="BF6" s="14">
        <f ca="1">COUNTIF(OFFSET(BF$32,0,0,COUNT(時間希望調査!$A:$A)),$B6)</f>
        <v>0</v>
      </c>
      <c r="BG6" s="14">
        <f ca="1">COUNTIF(OFFSET(BG$32,0,0,COUNT(時間希望調査!$A:$A)),$B6)</f>
        <v>0</v>
      </c>
      <c r="BH6" s="14">
        <f ca="1">COUNTIF(OFFSET(BH$32,0,0,COUNT(時間希望調査!$A:$A)),$B6)</f>
        <v>0</v>
      </c>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row>
    <row r="7" spans="2:91">
      <c r="B7" s="14" t="str">
        <f>役職一覧!B7&amp;""</f>
        <v>F</v>
      </c>
      <c r="C7" s="14">
        <f>役職一覧!E7</f>
        <v>0</v>
      </c>
      <c r="D7" s="14">
        <f t="shared" ref="D7:N16" si="5">COUNTIF(D$32:D$334,$B7)</f>
        <v>0</v>
      </c>
      <c r="E7" s="14">
        <f t="shared" si="5"/>
        <v>0</v>
      </c>
      <c r="F7" s="14">
        <f t="shared" si="5"/>
        <v>0</v>
      </c>
      <c r="G7" s="14">
        <f t="shared" si="5"/>
        <v>0</v>
      </c>
      <c r="H7" s="14">
        <f t="shared" si="5"/>
        <v>0</v>
      </c>
      <c r="I7" s="14">
        <f t="shared" si="5"/>
        <v>0</v>
      </c>
      <c r="J7" s="14">
        <f t="shared" si="5"/>
        <v>0</v>
      </c>
      <c r="K7" s="14">
        <f t="shared" si="5"/>
        <v>0</v>
      </c>
      <c r="L7" s="14">
        <f t="shared" si="5"/>
        <v>0</v>
      </c>
      <c r="M7" s="14">
        <f t="shared" si="5"/>
        <v>0</v>
      </c>
      <c r="N7" s="14">
        <f t="shared" si="5"/>
        <v>0</v>
      </c>
      <c r="O7" s="14">
        <f t="shared" ref="O7:AD31" si="6">COUNTIF(O$32:O$334,$B7)</f>
        <v>0</v>
      </c>
      <c r="P7" s="14">
        <f t="shared" si="6"/>
        <v>0</v>
      </c>
      <c r="Q7" s="14">
        <f t="shared" si="6"/>
        <v>0</v>
      </c>
      <c r="R7" s="14">
        <f t="shared" si="6"/>
        <v>0</v>
      </c>
      <c r="S7" s="14">
        <f t="shared" si="6"/>
        <v>0</v>
      </c>
      <c r="T7" s="14">
        <f t="shared" si="6"/>
        <v>0</v>
      </c>
      <c r="U7" s="14">
        <f t="shared" si="6"/>
        <v>0</v>
      </c>
      <c r="V7" s="14">
        <f t="shared" si="6"/>
        <v>0</v>
      </c>
      <c r="W7" s="14">
        <f t="shared" si="6"/>
        <v>0</v>
      </c>
      <c r="X7" s="14">
        <f t="shared" si="6"/>
        <v>0</v>
      </c>
      <c r="Y7" s="14">
        <f t="shared" si="6"/>
        <v>0</v>
      </c>
      <c r="Z7" s="14">
        <f t="shared" si="6"/>
        <v>0</v>
      </c>
      <c r="AA7" s="14">
        <f t="shared" si="6"/>
        <v>0</v>
      </c>
      <c r="AB7" s="14">
        <f t="shared" si="6"/>
        <v>0</v>
      </c>
      <c r="AC7" s="14">
        <f t="shared" si="6"/>
        <v>0</v>
      </c>
      <c r="AD7" s="14">
        <f t="shared" si="6"/>
        <v>0</v>
      </c>
      <c r="AE7" s="14">
        <f t="shared" ref="AE7:AT22" si="7">COUNTIF(AE$32:AE$334,$B7)</f>
        <v>0</v>
      </c>
      <c r="AF7" s="14">
        <f t="shared" si="7"/>
        <v>0</v>
      </c>
      <c r="AG7" s="14">
        <f t="shared" si="7"/>
        <v>0</v>
      </c>
      <c r="AH7" s="14">
        <f t="shared" si="7"/>
        <v>0</v>
      </c>
      <c r="AI7" s="14">
        <f t="shared" si="7"/>
        <v>0</v>
      </c>
      <c r="AJ7" s="14">
        <f t="shared" si="7"/>
        <v>0</v>
      </c>
      <c r="AK7" s="14">
        <f t="shared" si="7"/>
        <v>0</v>
      </c>
      <c r="AL7" s="14">
        <f t="shared" si="7"/>
        <v>0</v>
      </c>
      <c r="AM7" s="14">
        <f t="shared" si="7"/>
        <v>0</v>
      </c>
      <c r="AN7" s="14">
        <f t="shared" si="7"/>
        <v>0</v>
      </c>
      <c r="AO7" s="14">
        <f t="shared" si="7"/>
        <v>0</v>
      </c>
      <c r="AP7" s="14">
        <f t="shared" si="7"/>
        <v>0</v>
      </c>
      <c r="AQ7" s="14">
        <f t="shared" si="7"/>
        <v>0</v>
      </c>
      <c r="AR7" s="14">
        <f t="shared" si="7"/>
        <v>0</v>
      </c>
      <c r="AS7" s="14">
        <f t="shared" si="7"/>
        <v>0</v>
      </c>
      <c r="AT7" s="14">
        <f t="shared" si="7"/>
        <v>0</v>
      </c>
      <c r="AU7" s="14">
        <f t="shared" ref="AU7:BA21" si="8">COUNTIF(AU$32:AU$334,$B7)</f>
        <v>0</v>
      </c>
      <c r="AV7" s="14">
        <f t="shared" si="8"/>
        <v>0</v>
      </c>
      <c r="AW7" s="14">
        <f t="shared" si="8"/>
        <v>0</v>
      </c>
      <c r="AX7" s="14">
        <f t="shared" si="8"/>
        <v>0</v>
      </c>
      <c r="AY7" s="14">
        <f t="shared" si="8"/>
        <v>0</v>
      </c>
      <c r="AZ7" s="14">
        <f t="shared" si="8"/>
        <v>0</v>
      </c>
      <c r="BA7" s="14">
        <f t="shared" si="8"/>
        <v>0</v>
      </c>
      <c r="BB7" s="14"/>
      <c r="BC7" s="14"/>
      <c r="BD7" s="14">
        <f ca="1">COUNTIF(OFFSET(BD$32,0,0,COUNT(時間希望調査!$A:$A)),$B7)</f>
        <v>0</v>
      </c>
      <c r="BE7" s="14">
        <f ca="1">COUNTIF(OFFSET(BE$32,0,0,COUNT(時間希望調査!$A:$A)),$B7)</f>
        <v>0</v>
      </c>
      <c r="BF7" s="14">
        <f ca="1">COUNTIF(OFFSET(BF$32,0,0,COUNT(時間希望調査!$A:$A)),$B7)</f>
        <v>0</v>
      </c>
      <c r="BG7" s="14">
        <f ca="1">COUNTIF(OFFSET(BG$32,0,0,COUNT(時間希望調査!$A:$A)),$B7)</f>
        <v>0</v>
      </c>
      <c r="BH7" s="14">
        <f ca="1">COUNTIF(OFFSET(BH$32,0,0,COUNT(時間希望調査!$A:$A)),$B7)</f>
        <v>0</v>
      </c>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row>
    <row r="8" spans="2:91" hidden="1">
      <c r="B8" s="14" t="str">
        <f>役職一覧!B8&amp;""</f>
        <v/>
      </c>
      <c r="C8" s="14">
        <f>役職一覧!E8</f>
        <v>0</v>
      </c>
      <c r="D8" s="14">
        <f t="shared" si="5"/>
        <v>303</v>
      </c>
      <c r="E8" s="14">
        <f t="shared" si="5"/>
        <v>303</v>
      </c>
      <c r="F8" s="14">
        <f t="shared" si="5"/>
        <v>303</v>
      </c>
      <c r="G8" s="14">
        <f t="shared" si="5"/>
        <v>303</v>
      </c>
      <c r="H8" s="14">
        <f t="shared" si="5"/>
        <v>303</v>
      </c>
      <c r="I8" s="14">
        <f t="shared" si="5"/>
        <v>303</v>
      </c>
      <c r="J8" s="14">
        <f t="shared" si="5"/>
        <v>303</v>
      </c>
      <c r="K8" s="14">
        <f t="shared" si="5"/>
        <v>303</v>
      </c>
      <c r="L8" s="14">
        <f t="shared" si="5"/>
        <v>303</v>
      </c>
      <c r="M8" s="14">
        <f t="shared" si="5"/>
        <v>303</v>
      </c>
      <c r="N8" s="14">
        <f t="shared" si="5"/>
        <v>303</v>
      </c>
      <c r="O8" s="14">
        <f t="shared" ref="O8:S22" si="9">COUNTIF(O$32:O$334,$B8)</f>
        <v>303</v>
      </c>
      <c r="P8" s="14">
        <f t="shared" si="9"/>
        <v>303</v>
      </c>
      <c r="Q8" s="14">
        <f t="shared" si="9"/>
        <v>303</v>
      </c>
      <c r="R8" s="14">
        <f t="shared" si="9"/>
        <v>303</v>
      </c>
      <c r="S8" s="14">
        <f t="shared" si="9"/>
        <v>303</v>
      </c>
      <c r="T8" s="14">
        <f t="shared" si="6"/>
        <v>303</v>
      </c>
      <c r="U8" s="14">
        <f t="shared" si="6"/>
        <v>303</v>
      </c>
      <c r="V8" s="14">
        <f t="shared" si="6"/>
        <v>303</v>
      </c>
      <c r="W8" s="14">
        <f t="shared" si="6"/>
        <v>303</v>
      </c>
      <c r="X8" s="14">
        <f t="shared" si="6"/>
        <v>303</v>
      </c>
      <c r="Y8" s="14">
        <f t="shared" si="6"/>
        <v>303</v>
      </c>
      <c r="Z8" s="14">
        <f t="shared" si="6"/>
        <v>303</v>
      </c>
      <c r="AA8" s="14">
        <f t="shared" si="6"/>
        <v>303</v>
      </c>
      <c r="AB8" s="14">
        <f t="shared" si="6"/>
        <v>303</v>
      </c>
      <c r="AC8" s="14">
        <f t="shared" si="6"/>
        <v>303</v>
      </c>
      <c r="AD8" s="14">
        <f t="shared" si="6"/>
        <v>303</v>
      </c>
      <c r="AE8" s="14">
        <f t="shared" si="7"/>
        <v>303</v>
      </c>
      <c r="AF8" s="14">
        <f t="shared" si="7"/>
        <v>303</v>
      </c>
      <c r="AG8" s="14">
        <f t="shared" si="7"/>
        <v>303</v>
      </c>
      <c r="AH8" s="14">
        <f t="shared" si="7"/>
        <v>303</v>
      </c>
      <c r="AI8" s="14">
        <f t="shared" si="7"/>
        <v>303</v>
      </c>
      <c r="AJ8" s="14">
        <f t="shared" si="7"/>
        <v>303</v>
      </c>
      <c r="AK8" s="14">
        <f t="shared" si="7"/>
        <v>303</v>
      </c>
      <c r="AL8" s="14">
        <f t="shared" si="7"/>
        <v>303</v>
      </c>
      <c r="AM8" s="14">
        <f t="shared" si="7"/>
        <v>303</v>
      </c>
      <c r="AN8" s="14">
        <f t="shared" si="7"/>
        <v>303</v>
      </c>
      <c r="AO8" s="14">
        <f t="shared" si="7"/>
        <v>303</v>
      </c>
      <c r="AP8" s="14">
        <f t="shared" si="7"/>
        <v>303</v>
      </c>
      <c r="AQ8" s="14">
        <f t="shared" si="7"/>
        <v>303</v>
      </c>
      <c r="AR8" s="14">
        <f t="shared" si="7"/>
        <v>303</v>
      </c>
      <c r="AS8" s="14">
        <f t="shared" si="7"/>
        <v>303</v>
      </c>
      <c r="AT8" s="14">
        <f t="shared" si="7"/>
        <v>303</v>
      </c>
      <c r="AU8" s="14">
        <f t="shared" si="8"/>
        <v>303</v>
      </c>
      <c r="AV8" s="14">
        <f t="shared" si="8"/>
        <v>303</v>
      </c>
      <c r="AW8" s="14">
        <f t="shared" si="8"/>
        <v>303</v>
      </c>
      <c r="AX8" s="14">
        <f t="shared" si="8"/>
        <v>303</v>
      </c>
      <c r="AY8" s="14">
        <f t="shared" si="8"/>
        <v>303</v>
      </c>
      <c r="AZ8" s="14">
        <f t="shared" si="8"/>
        <v>303</v>
      </c>
      <c r="BA8" s="14">
        <f t="shared" si="8"/>
        <v>303</v>
      </c>
      <c r="BB8" s="14"/>
      <c r="BC8" s="14"/>
      <c r="BD8" s="14">
        <f ca="1">COUNTIF(OFFSET(BD$32,0,0,COUNT(時間希望調査!$A:$A)),$B8)</f>
        <v>9</v>
      </c>
      <c r="BE8" s="14">
        <f ca="1">COUNTIF(OFFSET(BE$32,0,0,COUNT(時間希望調査!$A:$A)),$B8)</f>
        <v>9</v>
      </c>
      <c r="BF8" s="14">
        <f ca="1">COUNTIF(OFFSET(BF$32,0,0,COUNT(時間希望調査!$A:$A)),$B8)</f>
        <v>10</v>
      </c>
      <c r="BG8" s="14">
        <f ca="1">COUNTIF(OFFSET(BG$32,0,0,COUNT(時間希望調査!$A:$A)),$B8)</f>
        <v>10</v>
      </c>
      <c r="BH8" s="14">
        <f ca="1">COUNTIF(OFFSET(BH$32,0,0,COUNT(時間希望調査!$A:$A)),$B8)</f>
        <v>10</v>
      </c>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row>
    <row r="9" spans="2:91" hidden="1">
      <c r="B9" s="14" t="str">
        <f>役職一覧!B9&amp;""</f>
        <v/>
      </c>
      <c r="C9" s="14">
        <f>役職一覧!E9</f>
        <v>0</v>
      </c>
      <c r="D9" s="14">
        <f t="shared" si="5"/>
        <v>303</v>
      </c>
      <c r="E9" s="14">
        <f t="shared" si="5"/>
        <v>303</v>
      </c>
      <c r="F9" s="14">
        <f t="shared" si="5"/>
        <v>303</v>
      </c>
      <c r="G9" s="14">
        <f t="shared" si="5"/>
        <v>303</v>
      </c>
      <c r="H9" s="14">
        <f t="shared" si="5"/>
        <v>303</v>
      </c>
      <c r="I9" s="14">
        <f t="shared" si="5"/>
        <v>303</v>
      </c>
      <c r="J9" s="14">
        <f t="shared" si="5"/>
        <v>303</v>
      </c>
      <c r="K9" s="14">
        <f t="shared" si="5"/>
        <v>303</v>
      </c>
      <c r="L9" s="14">
        <f t="shared" si="5"/>
        <v>303</v>
      </c>
      <c r="M9" s="14">
        <f t="shared" si="5"/>
        <v>303</v>
      </c>
      <c r="N9" s="14">
        <f t="shared" si="5"/>
        <v>303</v>
      </c>
      <c r="O9" s="14">
        <f t="shared" si="9"/>
        <v>303</v>
      </c>
      <c r="P9" s="14">
        <f t="shared" si="9"/>
        <v>303</v>
      </c>
      <c r="Q9" s="14">
        <f t="shared" si="9"/>
        <v>303</v>
      </c>
      <c r="R9" s="14">
        <f t="shared" si="9"/>
        <v>303</v>
      </c>
      <c r="S9" s="14">
        <f t="shared" si="9"/>
        <v>303</v>
      </c>
      <c r="T9" s="14">
        <f t="shared" si="6"/>
        <v>303</v>
      </c>
      <c r="U9" s="14">
        <f t="shared" si="6"/>
        <v>303</v>
      </c>
      <c r="V9" s="14">
        <f t="shared" si="6"/>
        <v>303</v>
      </c>
      <c r="W9" s="14">
        <f t="shared" si="6"/>
        <v>303</v>
      </c>
      <c r="X9" s="14">
        <f t="shared" si="6"/>
        <v>303</v>
      </c>
      <c r="Y9" s="14">
        <f t="shared" si="6"/>
        <v>303</v>
      </c>
      <c r="Z9" s="14">
        <f t="shared" si="6"/>
        <v>303</v>
      </c>
      <c r="AA9" s="14">
        <f t="shared" si="6"/>
        <v>303</v>
      </c>
      <c r="AB9" s="14">
        <f t="shared" si="6"/>
        <v>303</v>
      </c>
      <c r="AC9" s="14">
        <f t="shared" si="6"/>
        <v>303</v>
      </c>
      <c r="AD9" s="14">
        <f t="shared" si="6"/>
        <v>303</v>
      </c>
      <c r="AE9" s="14">
        <f t="shared" si="7"/>
        <v>303</v>
      </c>
      <c r="AF9" s="14">
        <f t="shared" si="7"/>
        <v>303</v>
      </c>
      <c r="AG9" s="14">
        <f t="shared" si="7"/>
        <v>303</v>
      </c>
      <c r="AH9" s="14">
        <f t="shared" si="7"/>
        <v>303</v>
      </c>
      <c r="AI9" s="14">
        <f t="shared" si="7"/>
        <v>303</v>
      </c>
      <c r="AJ9" s="14">
        <f t="shared" si="7"/>
        <v>303</v>
      </c>
      <c r="AK9" s="14">
        <f t="shared" si="7"/>
        <v>303</v>
      </c>
      <c r="AL9" s="14">
        <f t="shared" si="7"/>
        <v>303</v>
      </c>
      <c r="AM9" s="14">
        <f t="shared" si="7"/>
        <v>303</v>
      </c>
      <c r="AN9" s="14">
        <f t="shared" si="7"/>
        <v>303</v>
      </c>
      <c r="AO9" s="14">
        <f t="shared" si="7"/>
        <v>303</v>
      </c>
      <c r="AP9" s="14">
        <f t="shared" si="7"/>
        <v>303</v>
      </c>
      <c r="AQ9" s="14">
        <f t="shared" si="7"/>
        <v>303</v>
      </c>
      <c r="AR9" s="14">
        <f t="shared" si="7"/>
        <v>303</v>
      </c>
      <c r="AS9" s="14">
        <f t="shared" si="7"/>
        <v>303</v>
      </c>
      <c r="AT9" s="14">
        <f t="shared" si="7"/>
        <v>303</v>
      </c>
      <c r="AU9" s="14">
        <f t="shared" si="8"/>
        <v>303</v>
      </c>
      <c r="AV9" s="14">
        <f t="shared" si="8"/>
        <v>303</v>
      </c>
      <c r="AW9" s="14">
        <f t="shared" si="8"/>
        <v>303</v>
      </c>
      <c r="AX9" s="14">
        <f t="shared" si="8"/>
        <v>303</v>
      </c>
      <c r="AY9" s="14">
        <f t="shared" si="8"/>
        <v>303</v>
      </c>
      <c r="AZ9" s="14">
        <f t="shared" si="8"/>
        <v>303</v>
      </c>
      <c r="BA9" s="14">
        <f t="shared" si="8"/>
        <v>303</v>
      </c>
      <c r="BB9" s="14"/>
      <c r="BC9" s="14"/>
      <c r="BD9" s="14">
        <f ca="1">COUNTIF(OFFSET(BD$32,0,0,COUNT(時間希望調査!$A:$A)),$B9)</f>
        <v>9</v>
      </c>
      <c r="BE9" s="14">
        <f ca="1">COUNTIF(OFFSET(BE$32,0,0,COUNT(時間希望調査!$A:$A)),$B9)</f>
        <v>9</v>
      </c>
      <c r="BF9" s="14">
        <f ca="1">COUNTIF(OFFSET(BF$32,0,0,COUNT(時間希望調査!$A:$A)),$B9)</f>
        <v>10</v>
      </c>
      <c r="BG9" s="14">
        <f ca="1">COUNTIF(OFFSET(BG$32,0,0,COUNT(時間希望調査!$A:$A)),$B9)</f>
        <v>10</v>
      </c>
      <c r="BH9" s="14">
        <f ca="1">COUNTIF(OFFSET(BH$32,0,0,COUNT(時間希望調査!$A:$A)),$B9)</f>
        <v>10</v>
      </c>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row>
    <row r="10" spans="2:91" hidden="1">
      <c r="B10" s="14" t="str">
        <f>役職一覧!B10&amp;""</f>
        <v/>
      </c>
      <c r="C10" s="14">
        <f>役職一覧!E10</f>
        <v>0</v>
      </c>
      <c r="D10" s="14">
        <f t="shared" si="5"/>
        <v>303</v>
      </c>
      <c r="E10" s="14">
        <f t="shared" si="5"/>
        <v>303</v>
      </c>
      <c r="F10" s="14">
        <f t="shared" si="5"/>
        <v>303</v>
      </c>
      <c r="G10" s="14">
        <f t="shared" si="5"/>
        <v>303</v>
      </c>
      <c r="H10" s="14">
        <f t="shared" si="5"/>
        <v>303</v>
      </c>
      <c r="I10" s="14">
        <f t="shared" si="5"/>
        <v>303</v>
      </c>
      <c r="J10" s="14">
        <f t="shared" si="5"/>
        <v>303</v>
      </c>
      <c r="K10" s="14">
        <f t="shared" si="5"/>
        <v>303</v>
      </c>
      <c r="L10" s="14">
        <f t="shared" si="5"/>
        <v>303</v>
      </c>
      <c r="M10" s="14">
        <f t="shared" si="5"/>
        <v>303</v>
      </c>
      <c r="N10" s="14">
        <f t="shared" si="5"/>
        <v>303</v>
      </c>
      <c r="O10" s="14">
        <f t="shared" si="9"/>
        <v>303</v>
      </c>
      <c r="P10" s="14">
        <f t="shared" si="9"/>
        <v>303</v>
      </c>
      <c r="Q10" s="14">
        <f t="shared" si="9"/>
        <v>303</v>
      </c>
      <c r="R10" s="14">
        <f t="shared" si="9"/>
        <v>303</v>
      </c>
      <c r="S10" s="14">
        <f t="shared" si="9"/>
        <v>303</v>
      </c>
      <c r="T10" s="14">
        <f t="shared" si="6"/>
        <v>303</v>
      </c>
      <c r="U10" s="14">
        <f t="shared" si="6"/>
        <v>303</v>
      </c>
      <c r="V10" s="14">
        <f t="shared" si="6"/>
        <v>303</v>
      </c>
      <c r="W10" s="14">
        <f t="shared" si="6"/>
        <v>303</v>
      </c>
      <c r="X10" s="14">
        <f t="shared" si="6"/>
        <v>303</v>
      </c>
      <c r="Y10" s="14">
        <f t="shared" si="6"/>
        <v>303</v>
      </c>
      <c r="Z10" s="14">
        <f t="shared" si="6"/>
        <v>303</v>
      </c>
      <c r="AA10" s="14">
        <f t="shared" si="6"/>
        <v>303</v>
      </c>
      <c r="AB10" s="14">
        <f t="shared" si="6"/>
        <v>303</v>
      </c>
      <c r="AC10" s="14">
        <f t="shared" si="6"/>
        <v>303</v>
      </c>
      <c r="AD10" s="14">
        <f t="shared" si="6"/>
        <v>303</v>
      </c>
      <c r="AE10" s="14">
        <f t="shared" si="7"/>
        <v>303</v>
      </c>
      <c r="AF10" s="14">
        <f t="shared" si="7"/>
        <v>303</v>
      </c>
      <c r="AG10" s="14">
        <f t="shared" si="7"/>
        <v>303</v>
      </c>
      <c r="AH10" s="14">
        <f t="shared" si="7"/>
        <v>303</v>
      </c>
      <c r="AI10" s="14">
        <f t="shared" si="7"/>
        <v>303</v>
      </c>
      <c r="AJ10" s="14">
        <f t="shared" si="7"/>
        <v>303</v>
      </c>
      <c r="AK10" s="14">
        <f t="shared" si="7"/>
        <v>303</v>
      </c>
      <c r="AL10" s="14">
        <f t="shared" si="7"/>
        <v>303</v>
      </c>
      <c r="AM10" s="14">
        <f t="shared" si="7"/>
        <v>303</v>
      </c>
      <c r="AN10" s="14">
        <f t="shared" si="7"/>
        <v>303</v>
      </c>
      <c r="AO10" s="14">
        <f t="shared" si="7"/>
        <v>303</v>
      </c>
      <c r="AP10" s="14">
        <f t="shared" si="7"/>
        <v>303</v>
      </c>
      <c r="AQ10" s="14">
        <f t="shared" si="7"/>
        <v>303</v>
      </c>
      <c r="AR10" s="14">
        <f t="shared" si="7"/>
        <v>303</v>
      </c>
      <c r="AS10" s="14">
        <f t="shared" si="7"/>
        <v>303</v>
      </c>
      <c r="AT10" s="14">
        <f t="shared" si="7"/>
        <v>303</v>
      </c>
      <c r="AU10" s="14">
        <f t="shared" si="8"/>
        <v>303</v>
      </c>
      <c r="AV10" s="14">
        <f t="shared" si="8"/>
        <v>303</v>
      </c>
      <c r="AW10" s="14">
        <f t="shared" si="8"/>
        <v>303</v>
      </c>
      <c r="AX10" s="14">
        <f t="shared" si="8"/>
        <v>303</v>
      </c>
      <c r="AY10" s="14">
        <f t="shared" si="8"/>
        <v>303</v>
      </c>
      <c r="AZ10" s="14">
        <f t="shared" si="8"/>
        <v>303</v>
      </c>
      <c r="BA10" s="14">
        <f t="shared" si="8"/>
        <v>303</v>
      </c>
      <c r="BB10" s="14"/>
      <c r="BC10" s="14"/>
      <c r="BD10" s="14">
        <f ca="1">COUNTIF(OFFSET(BD$32,0,0,COUNT(時間希望調査!$A:$A)),$B10)</f>
        <v>9</v>
      </c>
      <c r="BE10" s="14">
        <f ca="1">COUNTIF(OFFSET(BE$32,0,0,COUNT(時間希望調査!$A:$A)),$B10)</f>
        <v>9</v>
      </c>
      <c r="BF10" s="14">
        <f ca="1">COUNTIF(OFFSET(BF$32,0,0,COUNT(時間希望調査!$A:$A)),$B10)</f>
        <v>10</v>
      </c>
      <c r="BG10" s="14">
        <f ca="1">COUNTIF(OFFSET(BG$32,0,0,COUNT(時間希望調査!$A:$A)),$B10)</f>
        <v>10</v>
      </c>
      <c r="BH10" s="14">
        <f ca="1">COUNTIF(OFFSET(BH$32,0,0,COUNT(時間希望調査!$A:$A)),$B10)</f>
        <v>10</v>
      </c>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row>
    <row r="11" spans="2:91" hidden="1">
      <c r="B11" s="14" t="str">
        <f>役職一覧!B11&amp;""</f>
        <v/>
      </c>
      <c r="C11" s="14">
        <f>役職一覧!E11</f>
        <v>0</v>
      </c>
      <c r="D11" s="14">
        <f t="shared" si="5"/>
        <v>303</v>
      </c>
      <c r="E11" s="14">
        <f t="shared" si="5"/>
        <v>303</v>
      </c>
      <c r="F11" s="14">
        <f t="shared" si="5"/>
        <v>303</v>
      </c>
      <c r="G11" s="14">
        <f t="shared" si="5"/>
        <v>303</v>
      </c>
      <c r="H11" s="14">
        <f t="shared" si="5"/>
        <v>303</v>
      </c>
      <c r="I11" s="14">
        <f t="shared" si="5"/>
        <v>303</v>
      </c>
      <c r="J11" s="14">
        <f t="shared" si="5"/>
        <v>303</v>
      </c>
      <c r="K11" s="14">
        <f t="shared" si="5"/>
        <v>303</v>
      </c>
      <c r="L11" s="14">
        <f t="shared" si="5"/>
        <v>303</v>
      </c>
      <c r="M11" s="14">
        <f t="shared" si="5"/>
        <v>303</v>
      </c>
      <c r="N11" s="14">
        <f t="shared" si="5"/>
        <v>303</v>
      </c>
      <c r="O11" s="14">
        <f t="shared" si="9"/>
        <v>303</v>
      </c>
      <c r="P11" s="14">
        <f t="shared" si="9"/>
        <v>303</v>
      </c>
      <c r="Q11" s="14">
        <f t="shared" si="9"/>
        <v>303</v>
      </c>
      <c r="R11" s="14">
        <f t="shared" si="9"/>
        <v>303</v>
      </c>
      <c r="S11" s="14">
        <f t="shared" si="9"/>
        <v>303</v>
      </c>
      <c r="T11" s="14">
        <f t="shared" si="6"/>
        <v>303</v>
      </c>
      <c r="U11" s="14">
        <f t="shared" si="6"/>
        <v>303</v>
      </c>
      <c r="V11" s="14">
        <f t="shared" si="6"/>
        <v>303</v>
      </c>
      <c r="W11" s="14">
        <f t="shared" si="6"/>
        <v>303</v>
      </c>
      <c r="X11" s="14">
        <f t="shared" si="6"/>
        <v>303</v>
      </c>
      <c r="Y11" s="14">
        <f t="shared" si="6"/>
        <v>303</v>
      </c>
      <c r="Z11" s="14">
        <f t="shared" si="6"/>
        <v>303</v>
      </c>
      <c r="AA11" s="14">
        <f t="shared" si="6"/>
        <v>303</v>
      </c>
      <c r="AB11" s="14">
        <f t="shared" si="6"/>
        <v>303</v>
      </c>
      <c r="AC11" s="14">
        <f t="shared" si="6"/>
        <v>303</v>
      </c>
      <c r="AD11" s="14">
        <f t="shared" si="6"/>
        <v>303</v>
      </c>
      <c r="AE11" s="14">
        <f t="shared" si="7"/>
        <v>303</v>
      </c>
      <c r="AF11" s="14">
        <f t="shared" si="7"/>
        <v>303</v>
      </c>
      <c r="AG11" s="14">
        <f t="shared" si="7"/>
        <v>303</v>
      </c>
      <c r="AH11" s="14">
        <f t="shared" si="7"/>
        <v>303</v>
      </c>
      <c r="AI11" s="14">
        <f t="shared" si="7"/>
        <v>303</v>
      </c>
      <c r="AJ11" s="14">
        <f t="shared" si="7"/>
        <v>303</v>
      </c>
      <c r="AK11" s="14">
        <f t="shared" si="7"/>
        <v>303</v>
      </c>
      <c r="AL11" s="14">
        <f t="shared" si="7"/>
        <v>303</v>
      </c>
      <c r="AM11" s="14">
        <f t="shared" si="7"/>
        <v>303</v>
      </c>
      <c r="AN11" s="14">
        <f t="shared" si="7"/>
        <v>303</v>
      </c>
      <c r="AO11" s="14">
        <f t="shared" si="7"/>
        <v>303</v>
      </c>
      <c r="AP11" s="14">
        <f t="shared" si="7"/>
        <v>303</v>
      </c>
      <c r="AQ11" s="14">
        <f t="shared" si="7"/>
        <v>303</v>
      </c>
      <c r="AR11" s="14">
        <f t="shared" si="7"/>
        <v>303</v>
      </c>
      <c r="AS11" s="14">
        <f t="shared" si="7"/>
        <v>303</v>
      </c>
      <c r="AT11" s="14">
        <f t="shared" si="7"/>
        <v>303</v>
      </c>
      <c r="AU11" s="14">
        <f t="shared" si="8"/>
        <v>303</v>
      </c>
      <c r="AV11" s="14">
        <f t="shared" si="8"/>
        <v>303</v>
      </c>
      <c r="AW11" s="14">
        <f t="shared" si="8"/>
        <v>303</v>
      </c>
      <c r="AX11" s="14">
        <f t="shared" si="8"/>
        <v>303</v>
      </c>
      <c r="AY11" s="14">
        <f t="shared" si="8"/>
        <v>303</v>
      </c>
      <c r="AZ11" s="14">
        <f t="shared" si="8"/>
        <v>303</v>
      </c>
      <c r="BA11" s="14">
        <f t="shared" si="8"/>
        <v>303</v>
      </c>
      <c r="BB11" s="14"/>
      <c r="BC11" s="14"/>
      <c r="BD11" s="14">
        <f ca="1">COUNTIF(OFFSET(BD$32,0,0,COUNT(時間希望調査!$A:$A)),$B11)</f>
        <v>9</v>
      </c>
      <c r="BE11" s="14">
        <f ca="1">COUNTIF(OFFSET(BE$32,0,0,COUNT(時間希望調査!$A:$A)),$B11)</f>
        <v>9</v>
      </c>
      <c r="BF11" s="14">
        <f ca="1">COUNTIF(OFFSET(BF$32,0,0,COUNT(時間希望調査!$A:$A)),$B11)</f>
        <v>10</v>
      </c>
      <c r="BG11" s="14">
        <f ca="1">COUNTIF(OFFSET(BG$32,0,0,COUNT(時間希望調査!$A:$A)),$B11)</f>
        <v>10</v>
      </c>
      <c r="BH11" s="14">
        <f ca="1">COUNTIF(OFFSET(BH$32,0,0,COUNT(時間希望調査!$A:$A)),$B11)</f>
        <v>10</v>
      </c>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row>
    <row r="12" spans="2:91" hidden="1">
      <c r="B12" s="14" t="str">
        <f>役職一覧!B12&amp;""</f>
        <v/>
      </c>
      <c r="C12" s="14">
        <f>役職一覧!E12</f>
        <v>0</v>
      </c>
      <c r="D12" s="14">
        <f t="shared" si="5"/>
        <v>303</v>
      </c>
      <c r="E12" s="14">
        <f t="shared" si="5"/>
        <v>303</v>
      </c>
      <c r="F12" s="14">
        <f t="shared" si="5"/>
        <v>303</v>
      </c>
      <c r="G12" s="14">
        <f t="shared" si="5"/>
        <v>303</v>
      </c>
      <c r="H12" s="14">
        <f t="shared" si="5"/>
        <v>303</v>
      </c>
      <c r="I12" s="14">
        <f t="shared" si="5"/>
        <v>303</v>
      </c>
      <c r="J12" s="14">
        <f t="shared" si="5"/>
        <v>303</v>
      </c>
      <c r="K12" s="14">
        <f t="shared" si="5"/>
        <v>303</v>
      </c>
      <c r="L12" s="14">
        <f t="shared" si="5"/>
        <v>303</v>
      </c>
      <c r="M12" s="14">
        <f t="shared" si="5"/>
        <v>303</v>
      </c>
      <c r="N12" s="14">
        <f t="shared" si="5"/>
        <v>303</v>
      </c>
      <c r="O12" s="14">
        <f t="shared" si="9"/>
        <v>303</v>
      </c>
      <c r="P12" s="14">
        <f t="shared" si="9"/>
        <v>303</v>
      </c>
      <c r="Q12" s="14">
        <f t="shared" si="9"/>
        <v>303</v>
      </c>
      <c r="R12" s="14">
        <f t="shared" si="9"/>
        <v>303</v>
      </c>
      <c r="S12" s="14">
        <f t="shared" si="9"/>
        <v>303</v>
      </c>
      <c r="T12" s="14">
        <f t="shared" si="6"/>
        <v>303</v>
      </c>
      <c r="U12" s="14">
        <f t="shared" si="6"/>
        <v>303</v>
      </c>
      <c r="V12" s="14">
        <f t="shared" si="6"/>
        <v>303</v>
      </c>
      <c r="W12" s="14">
        <f t="shared" si="6"/>
        <v>303</v>
      </c>
      <c r="X12" s="14">
        <f t="shared" si="6"/>
        <v>303</v>
      </c>
      <c r="Y12" s="14">
        <f t="shared" si="6"/>
        <v>303</v>
      </c>
      <c r="Z12" s="14">
        <f t="shared" si="6"/>
        <v>303</v>
      </c>
      <c r="AA12" s="14">
        <f t="shared" si="6"/>
        <v>303</v>
      </c>
      <c r="AB12" s="14">
        <f t="shared" si="6"/>
        <v>303</v>
      </c>
      <c r="AC12" s="14">
        <f t="shared" si="6"/>
        <v>303</v>
      </c>
      <c r="AD12" s="14">
        <f t="shared" si="6"/>
        <v>303</v>
      </c>
      <c r="AE12" s="14">
        <f t="shared" si="7"/>
        <v>303</v>
      </c>
      <c r="AF12" s="14">
        <f t="shared" si="7"/>
        <v>303</v>
      </c>
      <c r="AG12" s="14">
        <f t="shared" si="7"/>
        <v>303</v>
      </c>
      <c r="AH12" s="14">
        <f t="shared" si="7"/>
        <v>303</v>
      </c>
      <c r="AI12" s="14">
        <f t="shared" si="7"/>
        <v>303</v>
      </c>
      <c r="AJ12" s="14">
        <f t="shared" si="7"/>
        <v>303</v>
      </c>
      <c r="AK12" s="14">
        <f t="shared" si="7"/>
        <v>303</v>
      </c>
      <c r="AL12" s="14">
        <f t="shared" si="7"/>
        <v>303</v>
      </c>
      <c r="AM12" s="14">
        <f t="shared" si="7"/>
        <v>303</v>
      </c>
      <c r="AN12" s="14">
        <f t="shared" si="7"/>
        <v>303</v>
      </c>
      <c r="AO12" s="14">
        <f t="shared" si="7"/>
        <v>303</v>
      </c>
      <c r="AP12" s="14">
        <f t="shared" si="7"/>
        <v>303</v>
      </c>
      <c r="AQ12" s="14">
        <f t="shared" si="7"/>
        <v>303</v>
      </c>
      <c r="AR12" s="14">
        <f t="shared" si="7"/>
        <v>303</v>
      </c>
      <c r="AS12" s="14">
        <f t="shared" si="7"/>
        <v>303</v>
      </c>
      <c r="AT12" s="14">
        <f t="shared" si="7"/>
        <v>303</v>
      </c>
      <c r="AU12" s="14">
        <f t="shared" si="8"/>
        <v>303</v>
      </c>
      <c r="AV12" s="14">
        <f t="shared" si="8"/>
        <v>303</v>
      </c>
      <c r="AW12" s="14">
        <f t="shared" si="8"/>
        <v>303</v>
      </c>
      <c r="AX12" s="14">
        <f t="shared" si="8"/>
        <v>303</v>
      </c>
      <c r="AY12" s="14">
        <f t="shared" si="8"/>
        <v>303</v>
      </c>
      <c r="AZ12" s="14">
        <f t="shared" si="8"/>
        <v>303</v>
      </c>
      <c r="BA12" s="14">
        <f t="shared" si="8"/>
        <v>303</v>
      </c>
      <c r="BB12" s="14"/>
      <c r="BC12" s="14"/>
      <c r="BD12" s="14">
        <f ca="1">COUNTIF(OFFSET(BD$32,0,0,COUNT(時間希望調査!$A:$A)),$B12)</f>
        <v>9</v>
      </c>
      <c r="BE12" s="14">
        <f ca="1">COUNTIF(OFFSET(BE$32,0,0,COUNT(時間希望調査!$A:$A)),$B12)</f>
        <v>9</v>
      </c>
      <c r="BF12" s="14">
        <f ca="1">COUNTIF(OFFSET(BF$32,0,0,COUNT(時間希望調査!$A:$A)),$B12)</f>
        <v>10</v>
      </c>
      <c r="BG12" s="14">
        <f ca="1">COUNTIF(OFFSET(BG$32,0,0,COUNT(時間希望調査!$A:$A)),$B12)</f>
        <v>10</v>
      </c>
      <c r="BH12" s="14">
        <f ca="1">COUNTIF(OFFSET(BH$32,0,0,COUNT(時間希望調査!$A:$A)),$B12)</f>
        <v>10</v>
      </c>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row>
    <row r="13" spans="2:91" hidden="1">
      <c r="B13" s="14" t="str">
        <f>役職一覧!B13&amp;""</f>
        <v/>
      </c>
      <c r="C13" s="14">
        <f>役職一覧!E13</f>
        <v>0</v>
      </c>
      <c r="D13" s="14">
        <f t="shared" si="5"/>
        <v>303</v>
      </c>
      <c r="E13" s="14">
        <f t="shared" si="5"/>
        <v>303</v>
      </c>
      <c r="F13" s="14">
        <f t="shared" si="5"/>
        <v>303</v>
      </c>
      <c r="G13" s="14">
        <f t="shared" si="5"/>
        <v>303</v>
      </c>
      <c r="H13" s="14">
        <f t="shared" si="5"/>
        <v>303</v>
      </c>
      <c r="I13" s="14">
        <f t="shared" si="5"/>
        <v>303</v>
      </c>
      <c r="J13" s="14">
        <f t="shared" si="5"/>
        <v>303</v>
      </c>
      <c r="K13" s="14">
        <f t="shared" si="5"/>
        <v>303</v>
      </c>
      <c r="L13" s="14">
        <f t="shared" si="5"/>
        <v>303</v>
      </c>
      <c r="M13" s="14">
        <f t="shared" si="5"/>
        <v>303</v>
      </c>
      <c r="N13" s="14">
        <f t="shared" si="5"/>
        <v>303</v>
      </c>
      <c r="O13" s="14">
        <f t="shared" si="9"/>
        <v>303</v>
      </c>
      <c r="P13" s="14">
        <f t="shared" si="9"/>
        <v>303</v>
      </c>
      <c r="Q13" s="14">
        <f t="shared" si="9"/>
        <v>303</v>
      </c>
      <c r="R13" s="14">
        <f t="shared" si="9"/>
        <v>303</v>
      </c>
      <c r="S13" s="14">
        <f t="shared" si="9"/>
        <v>303</v>
      </c>
      <c r="T13" s="14">
        <f t="shared" si="6"/>
        <v>303</v>
      </c>
      <c r="U13" s="14">
        <f t="shared" si="6"/>
        <v>303</v>
      </c>
      <c r="V13" s="14">
        <f t="shared" si="6"/>
        <v>303</v>
      </c>
      <c r="W13" s="14">
        <f t="shared" si="6"/>
        <v>303</v>
      </c>
      <c r="X13" s="14">
        <f t="shared" si="6"/>
        <v>303</v>
      </c>
      <c r="Y13" s="14">
        <f t="shared" si="6"/>
        <v>303</v>
      </c>
      <c r="Z13" s="14">
        <f t="shared" si="6"/>
        <v>303</v>
      </c>
      <c r="AA13" s="14">
        <f t="shared" si="6"/>
        <v>303</v>
      </c>
      <c r="AB13" s="14">
        <f t="shared" si="6"/>
        <v>303</v>
      </c>
      <c r="AC13" s="14">
        <f t="shared" si="6"/>
        <v>303</v>
      </c>
      <c r="AD13" s="14">
        <f t="shared" si="6"/>
        <v>303</v>
      </c>
      <c r="AE13" s="14">
        <f t="shared" si="7"/>
        <v>303</v>
      </c>
      <c r="AF13" s="14">
        <f t="shared" si="7"/>
        <v>303</v>
      </c>
      <c r="AG13" s="14">
        <f t="shared" si="7"/>
        <v>303</v>
      </c>
      <c r="AH13" s="14">
        <f t="shared" si="7"/>
        <v>303</v>
      </c>
      <c r="AI13" s="14">
        <f t="shared" si="7"/>
        <v>303</v>
      </c>
      <c r="AJ13" s="14">
        <f t="shared" si="7"/>
        <v>303</v>
      </c>
      <c r="AK13" s="14">
        <f t="shared" si="7"/>
        <v>303</v>
      </c>
      <c r="AL13" s="14">
        <f t="shared" si="7"/>
        <v>303</v>
      </c>
      <c r="AM13" s="14">
        <f t="shared" si="7"/>
        <v>303</v>
      </c>
      <c r="AN13" s="14">
        <f t="shared" si="7"/>
        <v>303</v>
      </c>
      <c r="AO13" s="14">
        <f t="shared" si="7"/>
        <v>303</v>
      </c>
      <c r="AP13" s="14">
        <f t="shared" si="7"/>
        <v>303</v>
      </c>
      <c r="AQ13" s="14">
        <f t="shared" si="7"/>
        <v>303</v>
      </c>
      <c r="AR13" s="14">
        <f t="shared" si="7"/>
        <v>303</v>
      </c>
      <c r="AS13" s="14">
        <f t="shared" si="7"/>
        <v>303</v>
      </c>
      <c r="AT13" s="14">
        <f t="shared" si="7"/>
        <v>303</v>
      </c>
      <c r="AU13" s="14">
        <f t="shared" si="8"/>
        <v>303</v>
      </c>
      <c r="AV13" s="14">
        <f t="shared" si="8"/>
        <v>303</v>
      </c>
      <c r="AW13" s="14">
        <f t="shared" si="8"/>
        <v>303</v>
      </c>
      <c r="AX13" s="14">
        <f t="shared" si="8"/>
        <v>303</v>
      </c>
      <c r="AY13" s="14">
        <f t="shared" si="8"/>
        <v>303</v>
      </c>
      <c r="AZ13" s="14">
        <f t="shared" si="8"/>
        <v>303</v>
      </c>
      <c r="BA13" s="14">
        <f t="shared" si="8"/>
        <v>303</v>
      </c>
      <c r="BB13" s="14"/>
      <c r="BC13" s="14"/>
      <c r="BD13" s="14">
        <f ca="1">COUNTIF(OFFSET(BD$32,0,0,COUNT(時間希望調査!$A:$A)),$B13)</f>
        <v>9</v>
      </c>
      <c r="BE13" s="14">
        <f ca="1">COUNTIF(OFFSET(BE$32,0,0,COUNT(時間希望調査!$A:$A)),$B13)</f>
        <v>9</v>
      </c>
      <c r="BF13" s="14">
        <f ca="1">COUNTIF(OFFSET(BF$32,0,0,COUNT(時間希望調査!$A:$A)),$B13)</f>
        <v>10</v>
      </c>
      <c r="BG13" s="14">
        <f ca="1">COUNTIF(OFFSET(BG$32,0,0,COUNT(時間希望調査!$A:$A)),$B13)</f>
        <v>10</v>
      </c>
      <c r="BH13" s="14">
        <f ca="1">COUNTIF(OFFSET(BH$32,0,0,COUNT(時間希望調査!$A:$A)),$B13)</f>
        <v>10</v>
      </c>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row>
    <row r="14" spans="2:91" hidden="1">
      <c r="B14" s="14" t="str">
        <f>役職一覧!B14&amp;""</f>
        <v/>
      </c>
      <c r="C14" s="14">
        <f>役職一覧!E14</f>
        <v>0</v>
      </c>
      <c r="D14" s="14">
        <f t="shared" si="5"/>
        <v>303</v>
      </c>
      <c r="E14" s="14">
        <f t="shared" si="5"/>
        <v>303</v>
      </c>
      <c r="F14" s="14">
        <f t="shared" si="5"/>
        <v>303</v>
      </c>
      <c r="G14" s="14">
        <f t="shared" si="5"/>
        <v>303</v>
      </c>
      <c r="H14" s="14">
        <f t="shared" si="5"/>
        <v>303</v>
      </c>
      <c r="I14" s="14">
        <f t="shared" si="5"/>
        <v>303</v>
      </c>
      <c r="J14" s="14">
        <f t="shared" si="5"/>
        <v>303</v>
      </c>
      <c r="K14" s="14">
        <f t="shared" si="5"/>
        <v>303</v>
      </c>
      <c r="L14" s="14">
        <f t="shared" si="5"/>
        <v>303</v>
      </c>
      <c r="M14" s="14">
        <f t="shared" si="5"/>
        <v>303</v>
      </c>
      <c r="N14" s="14">
        <f t="shared" si="5"/>
        <v>303</v>
      </c>
      <c r="O14" s="14">
        <f t="shared" si="9"/>
        <v>303</v>
      </c>
      <c r="P14" s="14">
        <f t="shared" si="9"/>
        <v>303</v>
      </c>
      <c r="Q14" s="14">
        <f t="shared" si="9"/>
        <v>303</v>
      </c>
      <c r="R14" s="14">
        <f t="shared" si="9"/>
        <v>303</v>
      </c>
      <c r="S14" s="14">
        <f t="shared" si="9"/>
        <v>303</v>
      </c>
      <c r="T14" s="14">
        <f t="shared" si="6"/>
        <v>303</v>
      </c>
      <c r="U14" s="14">
        <f t="shared" si="6"/>
        <v>303</v>
      </c>
      <c r="V14" s="14">
        <f t="shared" si="6"/>
        <v>303</v>
      </c>
      <c r="W14" s="14">
        <f t="shared" si="6"/>
        <v>303</v>
      </c>
      <c r="X14" s="14">
        <f t="shared" si="6"/>
        <v>303</v>
      </c>
      <c r="Y14" s="14">
        <f t="shared" si="6"/>
        <v>303</v>
      </c>
      <c r="Z14" s="14">
        <f t="shared" si="6"/>
        <v>303</v>
      </c>
      <c r="AA14" s="14">
        <f t="shared" si="6"/>
        <v>303</v>
      </c>
      <c r="AB14" s="14">
        <f t="shared" si="6"/>
        <v>303</v>
      </c>
      <c r="AC14" s="14">
        <f t="shared" si="6"/>
        <v>303</v>
      </c>
      <c r="AD14" s="14">
        <f t="shared" si="6"/>
        <v>303</v>
      </c>
      <c r="AE14" s="14">
        <f t="shared" si="7"/>
        <v>303</v>
      </c>
      <c r="AF14" s="14">
        <f t="shared" si="7"/>
        <v>303</v>
      </c>
      <c r="AG14" s="14">
        <f t="shared" si="7"/>
        <v>303</v>
      </c>
      <c r="AH14" s="14">
        <f t="shared" si="7"/>
        <v>303</v>
      </c>
      <c r="AI14" s="14">
        <f t="shared" si="7"/>
        <v>303</v>
      </c>
      <c r="AJ14" s="14">
        <f t="shared" si="7"/>
        <v>303</v>
      </c>
      <c r="AK14" s="14">
        <f t="shared" si="7"/>
        <v>303</v>
      </c>
      <c r="AL14" s="14">
        <f t="shared" si="7"/>
        <v>303</v>
      </c>
      <c r="AM14" s="14">
        <f t="shared" si="7"/>
        <v>303</v>
      </c>
      <c r="AN14" s="14">
        <f t="shared" si="7"/>
        <v>303</v>
      </c>
      <c r="AO14" s="14">
        <f t="shared" si="7"/>
        <v>303</v>
      </c>
      <c r="AP14" s="14">
        <f t="shared" si="7"/>
        <v>303</v>
      </c>
      <c r="AQ14" s="14">
        <f t="shared" si="7"/>
        <v>303</v>
      </c>
      <c r="AR14" s="14">
        <f t="shared" si="7"/>
        <v>303</v>
      </c>
      <c r="AS14" s="14">
        <f t="shared" si="7"/>
        <v>303</v>
      </c>
      <c r="AT14" s="14">
        <f t="shared" si="7"/>
        <v>303</v>
      </c>
      <c r="AU14" s="14">
        <f t="shared" si="8"/>
        <v>303</v>
      </c>
      <c r="AV14" s="14">
        <f t="shared" si="8"/>
        <v>303</v>
      </c>
      <c r="AW14" s="14">
        <f t="shared" si="8"/>
        <v>303</v>
      </c>
      <c r="AX14" s="14">
        <f t="shared" si="8"/>
        <v>303</v>
      </c>
      <c r="AY14" s="14">
        <f t="shared" si="8"/>
        <v>303</v>
      </c>
      <c r="AZ14" s="14">
        <f t="shared" si="8"/>
        <v>303</v>
      </c>
      <c r="BA14" s="14">
        <f t="shared" si="8"/>
        <v>303</v>
      </c>
      <c r="BB14" s="14"/>
      <c r="BC14" s="14"/>
      <c r="BD14" s="14">
        <f ca="1">COUNTIF(OFFSET(BD$32,0,0,COUNT(時間希望調査!$A:$A)),$B14)</f>
        <v>9</v>
      </c>
      <c r="BE14" s="14">
        <f ca="1">COUNTIF(OFFSET(BE$32,0,0,COUNT(時間希望調査!$A:$A)),$B14)</f>
        <v>9</v>
      </c>
      <c r="BF14" s="14">
        <f ca="1">COUNTIF(OFFSET(BF$32,0,0,COUNT(時間希望調査!$A:$A)),$B14)</f>
        <v>10</v>
      </c>
      <c r="BG14" s="14">
        <f ca="1">COUNTIF(OFFSET(BG$32,0,0,COUNT(時間希望調査!$A:$A)),$B14)</f>
        <v>10</v>
      </c>
      <c r="BH14" s="14">
        <f ca="1">COUNTIF(OFFSET(BH$32,0,0,COUNT(時間希望調査!$A:$A)),$B14)</f>
        <v>10</v>
      </c>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row>
    <row r="15" spans="2:91" hidden="1">
      <c r="B15" s="14" t="str">
        <f>役職一覧!B15&amp;""</f>
        <v/>
      </c>
      <c r="C15" s="14">
        <f>役職一覧!E15</f>
        <v>0</v>
      </c>
      <c r="D15" s="14">
        <f t="shared" si="5"/>
        <v>303</v>
      </c>
      <c r="E15" s="14">
        <f t="shared" si="5"/>
        <v>303</v>
      </c>
      <c r="F15" s="14">
        <f t="shared" si="5"/>
        <v>303</v>
      </c>
      <c r="G15" s="14">
        <f t="shared" si="5"/>
        <v>303</v>
      </c>
      <c r="H15" s="14">
        <f t="shared" si="5"/>
        <v>303</v>
      </c>
      <c r="I15" s="14">
        <f t="shared" si="5"/>
        <v>303</v>
      </c>
      <c r="J15" s="14">
        <f t="shared" si="5"/>
        <v>303</v>
      </c>
      <c r="K15" s="14">
        <f t="shared" si="5"/>
        <v>303</v>
      </c>
      <c r="L15" s="14">
        <f t="shared" si="5"/>
        <v>303</v>
      </c>
      <c r="M15" s="14">
        <f t="shared" si="5"/>
        <v>303</v>
      </c>
      <c r="N15" s="14">
        <f t="shared" si="5"/>
        <v>303</v>
      </c>
      <c r="O15" s="14">
        <f t="shared" si="9"/>
        <v>303</v>
      </c>
      <c r="P15" s="14">
        <f t="shared" si="9"/>
        <v>303</v>
      </c>
      <c r="Q15" s="14">
        <f t="shared" si="9"/>
        <v>303</v>
      </c>
      <c r="R15" s="14">
        <f t="shared" si="9"/>
        <v>303</v>
      </c>
      <c r="S15" s="14">
        <f t="shared" si="9"/>
        <v>303</v>
      </c>
      <c r="T15" s="14">
        <f t="shared" si="6"/>
        <v>303</v>
      </c>
      <c r="U15" s="14">
        <f t="shared" si="6"/>
        <v>303</v>
      </c>
      <c r="V15" s="14">
        <f t="shared" si="6"/>
        <v>303</v>
      </c>
      <c r="W15" s="14">
        <f t="shared" si="6"/>
        <v>303</v>
      </c>
      <c r="X15" s="14">
        <f t="shared" si="6"/>
        <v>303</v>
      </c>
      <c r="Y15" s="14">
        <f t="shared" si="6"/>
        <v>303</v>
      </c>
      <c r="Z15" s="14">
        <f t="shared" si="6"/>
        <v>303</v>
      </c>
      <c r="AA15" s="14">
        <f t="shared" si="6"/>
        <v>303</v>
      </c>
      <c r="AB15" s="14">
        <f t="shared" si="6"/>
        <v>303</v>
      </c>
      <c r="AC15" s="14">
        <f t="shared" si="6"/>
        <v>303</v>
      </c>
      <c r="AD15" s="14">
        <f t="shared" si="6"/>
        <v>303</v>
      </c>
      <c r="AE15" s="14">
        <f t="shared" si="7"/>
        <v>303</v>
      </c>
      <c r="AF15" s="14">
        <f t="shared" si="7"/>
        <v>303</v>
      </c>
      <c r="AG15" s="14">
        <f t="shared" si="7"/>
        <v>303</v>
      </c>
      <c r="AH15" s="14">
        <f t="shared" si="7"/>
        <v>303</v>
      </c>
      <c r="AI15" s="14">
        <f t="shared" si="7"/>
        <v>303</v>
      </c>
      <c r="AJ15" s="14">
        <f t="shared" si="7"/>
        <v>303</v>
      </c>
      <c r="AK15" s="14">
        <f t="shared" si="7"/>
        <v>303</v>
      </c>
      <c r="AL15" s="14">
        <f t="shared" si="7"/>
        <v>303</v>
      </c>
      <c r="AM15" s="14">
        <f t="shared" si="7"/>
        <v>303</v>
      </c>
      <c r="AN15" s="14">
        <f t="shared" si="7"/>
        <v>303</v>
      </c>
      <c r="AO15" s="14">
        <f t="shared" si="7"/>
        <v>303</v>
      </c>
      <c r="AP15" s="14">
        <f t="shared" si="7"/>
        <v>303</v>
      </c>
      <c r="AQ15" s="14">
        <f t="shared" si="7"/>
        <v>303</v>
      </c>
      <c r="AR15" s="14">
        <f t="shared" si="7"/>
        <v>303</v>
      </c>
      <c r="AS15" s="14">
        <f t="shared" si="7"/>
        <v>303</v>
      </c>
      <c r="AT15" s="14">
        <f t="shared" si="7"/>
        <v>303</v>
      </c>
      <c r="AU15" s="14">
        <f t="shared" si="8"/>
        <v>303</v>
      </c>
      <c r="AV15" s="14">
        <f t="shared" si="8"/>
        <v>303</v>
      </c>
      <c r="AW15" s="14">
        <f t="shared" si="8"/>
        <v>303</v>
      </c>
      <c r="AX15" s="14">
        <f t="shared" si="8"/>
        <v>303</v>
      </c>
      <c r="AY15" s="14">
        <f t="shared" si="8"/>
        <v>303</v>
      </c>
      <c r="AZ15" s="14">
        <f t="shared" si="8"/>
        <v>303</v>
      </c>
      <c r="BA15" s="14">
        <f t="shared" si="8"/>
        <v>303</v>
      </c>
      <c r="BB15" s="14"/>
      <c r="BC15" s="14"/>
      <c r="BD15" s="14">
        <f ca="1">COUNTIF(OFFSET(BD$32,0,0,COUNT(時間希望調査!$A:$A)),$B15)</f>
        <v>9</v>
      </c>
      <c r="BE15" s="14">
        <f ca="1">COUNTIF(OFFSET(BE$32,0,0,COUNT(時間希望調査!$A:$A)),$B15)</f>
        <v>9</v>
      </c>
      <c r="BF15" s="14">
        <f ca="1">COUNTIF(OFFSET(BF$32,0,0,COUNT(時間希望調査!$A:$A)),$B15)</f>
        <v>10</v>
      </c>
      <c r="BG15" s="14">
        <f ca="1">COUNTIF(OFFSET(BG$32,0,0,COUNT(時間希望調査!$A:$A)),$B15)</f>
        <v>10</v>
      </c>
      <c r="BH15" s="14">
        <f ca="1">COUNTIF(OFFSET(BH$32,0,0,COUNT(時間希望調査!$A:$A)),$B15)</f>
        <v>10</v>
      </c>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row>
    <row r="16" spans="2:91" hidden="1">
      <c r="B16" s="14" t="str">
        <f>役職一覧!B16&amp;""</f>
        <v/>
      </c>
      <c r="C16" s="14">
        <f>役職一覧!E16</f>
        <v>0</v>
      </c>
      <c r="D16" s="14">
        <f t="shared" si="5"/>
        <v>303</v>
      </c>
      <c r="E16" s="14">
        <f t="shared" si="5"/>
        <v>303</v>
      </c>
      <c r="F16" s="14">
        <f t="shared" si="5"/>
        <v>303</v>
      </c>
      <c r="G16" s="14">
        <f t="shared" si="5"/>
        <v>303</v>
      </c>
      <c r="H16" s="14">
        <f t="shared" si="5"/>
        <v>303</v>
      </c>
      <c r="I16" s="14">
        <f t="shared" si="5"/>
        <v>303</v>
      </c>
      <c r="J16" s="14">
        <f t="shared" si="5"/>
        <v>303</v>
      </c>
      <c r="K16" s="14">
        <f t="shared" si="5"/>
        <v>303</v>
      </c>
      <c r="L16" s="14">
        <f t="shared" si="5"/>
        <v>303</v>
      </c>
      <c r="M16" s="14">
        <f t="shared" si="5"/>
        <v>303</v>
      </c>
      <c r="N16" s="14">
        <f t="shared" si="5"/>
        <v>303</v>
      </c>
      <c r="O16" s="14">
        <f t="shared" si="9"/>
        <v>303</v>
      </c>
      <c r="P16" s="14">
        <f t="shared" si="9"/>
        <v>303</v>
      </c>
      <c r="Q16" s="14">
        <f t="shared" si="9"/>
        <v>303</v>
      </c>
      <c r="R16" s="14">
        <f t="shared" si="9"/>
        <v>303</v>
      </c>
      <c r="S16" s="14">
        <f t="shared" si="9"/>
        <v>303</v>
      </c>
      <c r="T16" s="14">
        <f t="shared" si="6"/>
        <v>303</v>
      </c>
      <c r="U16" s="14">
        <f t="shared" si="6"/>
        <v>303</v>
      </c>
      <c r="V16" s="14">
        <f t="shared" si="6"/>
        <v>303</v>
      </c>
      <c r="W16" s="14">
        <f t="shared" si="6"/>
        <v>303</v>
      </c>
      <c r="X16" s="14">
        <f t="shared" si="6"/>
        <v>303</v>
      </c>
      <c r="Y16" s="14">
        <f t="shared" si="6"/>
        <v>303</v>
      </c>
      <c r="Z16" s="14">
        <f t="shared" si="6"/>
        <v>303</v>
      </c>
      <c r="AA16" s="14">
        <f t="shared" si="6"/>
        <v>303</v>
      </c>
      <c r="AB16" s="14">
        <f t="shared" si="6"/>
        <v>303</v>
      </c>
      <c r="AC16" s="14">
        <f t="shared" si="6"/>
        <v>303</v>
      </c>
      <c r="AD16" s="14">
        <f t="shared" si="6"/>
        <v>303</v>
      </c>
      <c r="AE16" s="14">
        <f t="shared" si="7"/>
        <v>303</v>
      </c>
      <c r="AF16" s="14">
        <f t="shared" si="7"/>
        <v>303</v>
      </c>
      <c r="AG16" s="14">
        <f t="shared" si="7"/>
        <v>303</v>
      </c>
      <c r="AH16" s="14">
        <f t="shared" si="7"/>
        <v>303</v>
      </c>
      <c r="AI16" s="14">
        <f t="shared" si="7"/>
        <v>303</v>
      </c>
      <c r="AJ16" s="14">
        <f t="shared" si="7"/>
        <v>303</v>
      </c>
      <c r="AK16" s="14">
        <f t="shared" si="7"/>
        <v>303</v>
      </c>
      <c r="AL16" s="14">
        <f t="shared" si="7"/>
        <v>303</v>
      </c>
      <c r="AM16" s="14">
        <f t="shared" si="7"/>
        <v>303</v>
      </c>
      <c r="AN16" s="14">
        <f t="shared" si="7"/>
        <v>303</v>
      </c>
      <c r="AO16" s="14">
        <f t="shared" si="7"/>
        <v>303</v>
      </c>
      <c r="AP16" s="14">
        <f t="shared" si="7"/>
        <v>303</v>
      </c>
      <c r="AQ16" s="14">
        <f t="shared" si="7"/>
        <v>303</v>
      </c>
      <c r="AR16" s="14">
        <f t="shared" si="7"/>
        <v>303</v>
      </c>
      <c r="AS16" s="14">
        <f t="shared" si="7"/>
        <v>303</v>
      </c>
      <c r="AT16" s="14">
        <f t="shared" si="7"/>
        <v>303</v>
      </c>
      <c r="AU16" s="14">
        <f t="shared" si="8"/>
        <v>303</v>
      </c>
      <c r="AV16" s="14">
        <f t="shared" si="8"/>
        <v>303</v>
      </c>
      <c r="AW16" s="14">
        <f t="shared" si="8"/>
        <v>303</v>
      </c>
      <c r="AX16" s="14">
        <f t="shared" si="8"/>
        <v>303</v>
      </c>
      <c r="AY16" s="14">
        <f t="shared" si="8"/>
        <v>303</v>
      </c>
      <c r="AZ16" s="14">
        <f t="shared" si="8"/>
        <v>303</v>
      </c>
      <c r="BA16" s="14">
        <f t="shared" si="8"/>
        <v>303</v>
      </c>
      <c r="BB16" s="14"/>
      <c r="BC16" s="14"/>
      <c r="BD16" s="14">
        <f ca="1">COUNTIF(OFFSET(BD$32,0,0,COUNT(時間希望調査!$A:$A)),$B16)</f>
        <v>9</v>
      </c>
      <c r="BE16" s="14">
        <f ca="1">COUNTIF(OFFSET(BE$32,0,0,COUNT(時間希望調査!$A:$A)),$B16)</f>
        <v>9</v>
      </c>
      <c r="BF16" s="14">
        <f ca="1">COUNTIF(OFFSET(BF$32,0,0,COUNT(時間希望調査!$A:$A)),$B16)</f>
        <v>10</v>
      </c>
      <c r="BG16" s="14">
        <f ca="1">COUNTIF(OFFSET(BG$32,0,0,COUNT(時間希望調査!$A:$A)),$B16)</f>
        <v>10</v>
      </c>
      <c r="BH16" s="14">
        <f ca="1">COUNTIF(OFFSET(BH$32,0,0,COUNT(時間希望調査!$A:$A)),$B16)</f>
        <v>10</v>
      </c>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row>
    <row r="17" spans="1:91" hidden="1">
      <c r="B17" s="14" t="str">
        <f>役職一覧!B17&amp;""</f>
        <v/>
      </c>
      <c r="C17" s="14">
        <f>役職一覧!E17</f>
        <v>0</v>
      </c>
      <c r="D17" s="14">
        <f t="shared" ref="D17:N22" si="10">COUNTIF(D$32:D$334,$B17)</f>
        <v>303</v>
      </c>
      <c r="E17" s="14">
        <f t="shared" si="10"/>
        <v>303</v>
      </c>
      <c r="F17" s="14">
        <f t="shared" si="10"/>
        <v>303</v>
      </c>
      <c r="G17" s="14">
        <f t="shared" si="10"/>
        <v>303</v>
      </c>
      <c r="H17" s="14">
        <f t="shared" si="10"/>
        <v>303</v>
      </c>
      <c r="I17" s="14">
        <f t="shared" si="10"/>
        <v>303</v>
      </c>
      <c r="J17" s="14">
        <f t="shared" si="10"/>
        <v>303</v>
      </c>
      <c r="K17" s="14">
        <f t="shared" si="10"/>
        <v>303</v>
      </c>
      <c r="L17" s="14">
        <f t="shared" si="10"/>
        <v>303</v>
      </c>
      <c r="M17" s="14">
        <f t="shared" si="10"/>
        <v>303</v>
      </c>
      <c r="N17" s="14">
        <f t="shared" si="10"/>
        <v>303</v>
      </c>
      <c r="O17" s="14">
        <f t="shared" si="9"/>
        <v>303</v>
      </c>
      <c r="P17" s="14">
        <f t="shared" si="9"/>
        <v>303</v>
      </c>
      <c r="Q17" s="14">
        <f t="shared" si="9"/>
        <v>303</v>
      </c>
      <c r="R17" s="14">
        <f t="shared" si="9"/>
        <v>303</v>
      </c>
      <c r="S17" s="14">
        <f t="shared" si="9"/>
        <v>303</v>
      </c>
      <c r="T17" s="14">
        <f t="shared" si="6"/>
        <v>303</v>
      </c>
      <c r="U17" s="14">
        <f t="shared" si="6"/>
        <v>303</v>
      </c>
      <c r="V17" s="14">
        <f t="shared" si="6"/>
        <v>303</v>
      </c>
      <c r="W17" s="14">
        <f t="shared" si="6"/>
        <v>303</v>
      </c>
      <c r="X17" s="14">
        <f t="shared" si="6"/>
        <v>303</v>
      </c>
      <c r="Y17" s="14">
        <f t="shared" si="6"/>
        <v>303</v>
      </c>
      <c r="Z17" s="14">
        <f t="shared" si="6"/>
        <v>303</v>
      </c>
      <c r="AA17" s="14">
        <f t="shared" si="6"/>
        <v>303</v>
      </c>
      <c r="AB17" s="14">
        <f t="shared" si="6"/>
        <v>303</v>
      </c>
      <c r="AC17" s="14">
        <f t="shared" si="6"/>
        <v>303</v>
      </c>
      <c r="AD17" s="14">
        <f t="shared" si="6"/>
        <v>303</v>
      </c>
      <c r="AE17" s="14">
        <f t="shared" si="7"/>
        <v>303</v>
      </c>
      <c r="AF17" s="14">
        <f t="shared" si="7"/>
        <v>303</v>
      </c>
      <c r="AG17" s="14">
        <f t="shared" si="7"/>
        <v>303</v>
      </c>
      <c r="AH17" s="14">
        <f t="shared" si="7"/>
        <v>303</v>
      </c>
      <c r="AI17" s="14">
        <f t="shared" si="7"/>
        <v>303</v>
      </c>
      <c r="AJ17" s="14">
        <f t="shared" si="7"/>
        <v>303</v>
      </c>
      <c r="AK17" s="14">
        <f t="shared" si="7"/>
        <v>303</v>
      </c>
      <c r="AL17" s="14">
        <f t="shared" si="7"/>
        <v>303</v>
      </c>
      <c r="AM17" s="14">
        <f t="shared" si="7"/>
        <v>303</v>
      </c>
      <c r="AN17" s="14">
        <f t="shared" si="7"/>
        <v>303</v>
      </c>
      <c r="AO17" s="14">
        <f t="shared" si="7"/>
        <v>303</v>
      </c>
      <c r="AP17" s="14">
        <f t="shared" si="7"/>
        <v>303</v>
      </c>
      <c r="AQ17" s="14">
        <f t="shared" si="7"/>
        <v>303</v>
      </c>
      <c r="AR17" s="14">
        <f t="shared" si="7"/>
        <v>303</v>
      </c>
      <c r="AS17" s="14">
        <f t="shared" si="7"/>
        <v>303</v>
      </c>
      <c r="AT17" s="14">
        <f t="shared" si="7"/>
        <v>303</v>
      </c>
      <c r="AU17" s="14">
        <f t="shared" si="8"/>
        <v>303</v>
      </c>
      <c r="AV17" s="14">
        <f t="shared" si="8"/>
        <v>303</v>
      </c>
      <c r="AW17" s="14">
        <f t="shared" si="8"/>
        <v>303</v>
      </c>
      <c r="AX17" s="14">
        <f t="shared" si="8"/>
        <v>303</v>
      </c>
      <c r="AY17" s="14">
        <f t="shared" si="8"/>
        <v>303</v>
      </c>
      <c r="AZ17" s="14">
        <f t="shared" si="8"/>
        <v>303</v>
      </c>
      <c r="BA17" s="14">
        <f t="shared" si="8"/>
        <v>303</v>
      </c>
      <c r="BB17" s="14"/>
      <c r="BC17" s="14"/>
      <c r="BD17" s="14">
        <f ca="1">COUNTIF(OFFSET(BD$32,0,0,COUNT(時間希望調査!$A:$A)),$B17)</f>
        <v>9</v>
      </c>
      <c r="BE17" s="14">
        <f ca="1">COUNTIF(OFFSET(BE$32,0,0,COUNT(時間希望調査!$A:$A)),$B17)</f>
        <v>9</v>
      </c>
      <c r="BF17" s="14">
        <f ca="1">COUNTIF(OFFSET(BF$32,0,0,COUNT(時間希望調査!$A:$A)),$B17)</f>
        <v>10</v>
      </c>
      <c r="BG17" s="14">
        <f ca="1">COUNTIF(OFFSET(BG$32,0,0,COUNT(時間希望調査!$A:$A)),$B17)</f>
        <v>10</v>
      </c>
      <c r="BH17" s="14">
        <f ca="1">COUNTIF(OFFSET(BH$32,0,0,COUNT(時間希望調査!$A:$A)),$B17)</f>
        <v>10</v>
      </c>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row>
    <row r="18" spans="1:91" hidden="1">
      <c r="B18" s="14" t="str">
        <f>役職一覧!B18&amp;""</f>
        <v/>
      </c>
      <c r="C18" s="14">
        <f>役職一覧!E18</f>
        <v>0</v>
      </c>
      <c r="D18" s="14">
        <f t="shared" si="10"/>
        <v>303</v>
      </c>
      <c r="E18" s="14">
        <f t="shared" si="10"/>
        <v>303</v>
      </c>
      <c r="F18" s="14">
        <f t="shared" si="10"/>
        <v>303</v>
      </c>
      <c r="G18" s="14">
        <f t="shared" si="10"/>
        <v>303</v>
      </c>
      <c r="H18" s="14">
        <f t="shared" si="10"/>
        <v>303</v>
      </c>
      <c r="I18" s="14">
        <f t="shared" si="10"/>
        <v>303</v>
      </c>
      <c r="J18" s="14">
        <f t="shared" si="10"/>
        <v>303</v>
      </c>
      <c r="K18" s="14">
        <f t="shared" si="10"/>
        <v>303</v>
      </c>
      <c r="L18" s="14">
        <f t="shared" si="10"/>
        <v>303</v>
      </c>
      <c r="M18" s="14">
        <f t="shared" si="10"/>
        <v>303</v>
      </c>
      <c r="N18" s="14">
        <f t="shared" si="10"/>
        <v>303</v>
      </c>
      <c r="O18" s="14">
        <f t="shared" si="9"/>
        <v>303</v>
      </c>
      <c r="P18" s="14">
        <f t="shared" si="9"/>
        <v>303</v>
      </c>
      <c r="Q18" s="14">
        <f t="shared" si="9"/>
        <v>303</v>
      </c>
      <c r="R18" s="14">
        <f t="shared" si="9"/>
        <v>303</v>
      </c>
      <c r="S18" s="14">
        <f t="shared" si="9"/>
        <v>303</v>
      </c>
      <c r="T18" s="14">
        <f t="shared" si="6"/>
        <v>303</v>
      </c>
      <c r="U18" s="14">
        <f t="shared" si="6"/>
        <v>303</v>
      </c>
      <c r="V18" s="14">
        <f t="shared" si="6"/>
        <v>303</v>
      </c>
      <c r="W18" s="14">
        <f t="shared" si="6"/>
        <v>303</v>
      </c>
      <c r="X18" s="14">
        <f t="shared" si="6"/>
        <v>303</v>
      </c>
      <c r="Y18" s="14">
        <f t="shared" si="6"/>
        <v>303</v>
      </c>
      <c r="Z18" s="14">
        <f t="shared" si="6"/>
        <v>303</v>
      </c>
      <c r="AA18" s="14">
        <f t="shared" si="6"/>
        <v>303</v>
      </c>
      <c r="AB18" s="14">
        <f t="shared" si="6"/>
        <v>303</v>
      </c>
      <c r="AC18" s="14">
        <f t="shared" si="6"/>
        <v>303</v>
      </c>
      <c r="AD18" s="14">
        <f t="shared" si="6"/>
        <v>303</v>
      </c>
      <c r="AE18" s="14">
        <f t="shared" si="7"/>
        <v>303</v>
      </c>
      <c r="AF18" s="14">
        <f t="shared" si="7"/>
        <v>303</v>
      </c>
      <c r="AG18" s="14">
        <f t="shared" si="7"/>
        <v>303</v>
      </c>
      <c r="AH18" s="14">
        <f t="shared" si="7"/>
        <v>303</v>
      </c>
      <c r="AI18" s="14">
        <f t="shared" si="7"/>
        <v>303</v>
      </c>
      <c r="AJ18" s="14">
        <f t="shared" si="7"/>
        <v>303</v>
      </c>
      <c r="AK18" s="14">
        <f t="shared" si="7"/>
        <v>303</v>
      </c>
      <c r="AL18" s="14">
        <f t="shared" si="7"/>
        <v>303</v>
      </c>
      <c r="AM18" s="14">
        <f t="shared" si="7"/>
        <v>303</v>
      </c>
      <c r="AN18" s="14">
        <f t="shared" si="7"/>
        <v>303</v>
      </c>
      <c r="AO18" s="14">
        <f t="shared" si="7"/>
        <v>303</v>
      </c>
      <c r="AP18" s="14">
        <f t="shared" si="7"/>
        <v>303</v>
      </c>
      <c r="AQ18" s="14">
        <f t="shared" si="7"/>
        <v>303</v>
      </c>
      <c r="AR18" s="14">
        <f t="shared" si="7"/>
        <v>303</v>
      </c>
      <c r="AS18" s="14">
        <f t="shared" si="7"/>
        <v>303</v>
      </c>
      <c r="AT18" s="14">
        <f t="shared" si="7"/>
        <v>303</v>
      </c>
      <c r="AU18" s="14">
        <f t="shared" si="8"/>
        <v>303</v>
      </c>
      <c r="AV18" s="14">
        <f t="shared" si="8"/>
        <v>303</v>
      </c>
      <c r="AW18" s="14">
        <f t="shared" si="8"/>
        <v>303</v>
      </c>
      <c r="AX18" s="14">
        <f t="shared" si="8"/>
        <v>303</v>
      </c>
      <c r="AY18" s="14">
        <f t="shared" si="8"/>
        <v>303</v>
      </c>
      <c r="AZ18" s="14">
        <f t="shared" si="8"/>
        <v>303</v>
      </c>
      <c r="BA18" s="14">
        <f t="shared" si="8"/>
        <v>303</v>
      </c>
      <c r="BB18" s="14"/>
      <c r="BC18" s="14"/>
      <c r="BD18" s="14">
        <f ca="1">COUNTIF(OFFSET(BD$32,0,0,COUNT(時間希望調査!$A:$A)),$B18)</f>
        <v>9</v>
      </c>
      <c r="BE18" s="14">
        <f ca="1">COUNTIF(OFFSET(BE$32,0,0,COUNT(時間希望調査!$A:$A)),$B18)</f>
        <v>9</v>
      </c>
      <c r="BF18" s="14">
        <f ca="1">COUNTIF(OFFSET(BF$32,0,0,COUNT(時間希望調査!$A:$A)),$B18)</f>
        <v>10</v>
      </c>
      <c r="BG18" s="14">
        <f ca="1">COUNTIF(OFFSET(BG$32,0,0,COUNT(時間希望調査!$A:$A)),$B18)</f>
        <v>10</v>
      </c>
      <c r="BH18" s="14">
        <f ca="1">COUNTIF(OFFSET(BH$32,0,0,COUNT(時間希望調査!$A:$A)),$B18)</f>
        <v>10</v>
      </c>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row>
    <row r="19" spans="1:91" hidden="1">
      <c r="B19" s="14" t="str">
        <f>役職一覧!B19&amp;""</f>
        <v/>
      </c>
      <c r="C19" s="14">
        <f>役職一覧!E19</f>
        <v>0</v>
      </c>
      <c r="D19" s="14">
        <f t="shared" si="10"/>
        <v>303</v>
      </c>
      <c r="E19" s="14">
        <f t="shared" si="10"/>
        <v>303</v>
      </c>
      <c r="F19" s="14">
        <f t="shared" si="10"/>
        <v>303</v>
      </c>
      <c r="G19" s="14">
        <f t="shared" si="10"/>
        <v>303</v>
      </c>
      <c r="H19" s="14">
        <f t="shared" si="10"/>
        <v>303</v>
      </c>
      <c r="I19" s="14">
        <f t="shared" si="10"/>
        <v>303</v>
      </c>
      <c r="J19" s="14">
        <f t="shared" si="10"/>
        <v>303</v>
      </c>
      <c r="K19" s="14">
        <f t="shared" si="10"/>
        <v>303</v>
      </c>
      <c r="L19" s="14">
        <f t="shared" si="10"/>
        <v>303</v>
      </c>
      <c r="M19" s="14">
        <f t="shared" si="10"/>
        <v>303</v>
      </c>
      <c r="N19" s="14">
        <f t="shared" si="10"/>
        <v>303</v>
      </c>
      <c r="O19" s="14">
        <f t="shared" si="9"/>
        <v>303</v>
      </c>
      <c r="P19" s="14">
        <f t="shared" si="9"/>
        <v>303</v>
      </c>
      <c r="Q19" s="14">
        <f t="shared" si="9"/>
        <v>303</v>
      </c>
      <c r="R19" s="14">
        <f t="shared" si="9"/>
        <v>303</v>
      </c>
      <c r="S19" s="14">
        <f t="shared" si="9"/>
        <v>303</v>
      </c>
      <c r="T19" s="14">
        <f t="shared" si="6"/>
        <v>303</v>
      </c>
      <c r="U19" s="14">
        <f t="shared" si="6"/>
        <v>303</v>
      </c>
      <c r="V19" s="14">
        <f t="shared" si="6"/>
        <v>303</v>
      </c>
      <c r="W19" s="14">
        <f t="shared" si="6"/>
        <v>303</v>
      </c>
      <c r="X19" s="14">
        <f t="shared" si="6"/>
        <v>303</v>
      </c>
      <c r="Y19" s="14">
        <f t="shared" si="6"/>
        <v>303</v>
      </c>
      <c r="Z19" s="14">
        <f t="shared" si="6"/>
        <v>303</v>
      </c>
      <c r="AA19" s="14">
        <f t="shared" si="6"/>
        <v>303</v>
      </c>
      <c r="AB19" s="14">
        <f t="shared" si="6"/>
        <v>303</v>
      </c>
      <c r="AC19" s="14">
        <f t="shared" si="6"/>
        <v>303</v>
      </c>
      <c r="AD19" s="14">
        <f t="shared" si="6"/>
        <v>303</v>
      </c>
      <c r="AE19" s="14">
        <f t="shared" si="7"/>
        <v>303</v>
      </c>
      <c r="AF19" s="14">
        <f t="shared" si="7"/>
        <v>303</v>
      </c>
      <c r="AG19" s="14">
        <f t="shared" si="7"/>
        <v>303</v>
      </c>
      <c r="AH19" s="14">
        <f t="shared" si="7"/>
        <v>303</v>
      </c>
      <c r="AI19" s="14">
        <f t="shared" si="7"/>
        <v>303</v>
      </c>
      <c r="AJ19" s="14">
        <f t="shared" si="7"/>
        <v>303</v>
      </c>
      <c r="AK19" s="14">
        <f t="shared" si="7"/>
        <v>303</v>
      </c>
      <c r="AL19" s="14">
        <f t="shared" si="7"/>
        <v>303</v>
      </c>
      <c r="AM19" s="14">
        <f t="shared" si="7"/>
        <v>303</v>
      </c>
      <c r="AN19" s="14">
        <f t="shared" si="7"/>
        <v>303</v>
      </c>
      <c r="AO19" s="14">
        <f t="shared" si="7"/>
        <v>303</v>
      </c>
      <c r="AP19" s="14">
        <f t="shared" si="7"/>
        <v>303</v>
      </c>
      <c r="AQ19" s="14">
        <f t="shared" si="7"/>
        <v>303</v>
      </c>
      <c r="AR19" s="14">
        <f t="shared" si="7"/>
        <v>303</v>
      </c>
      <c r="AS19" s="14">
        <f t="shared" si="7"/>
        <v>303</v>
      </c>
      <c r="AT19" s="14">
        <f t="shared" si="7"/>
        <v>303</v>
      </c>
      <c r="AU19" s="14">
        <f t="shared" si="8"/>
        <v>303</v>
      </c>
      <c r="AV19" s="14">
        <f t="shared" si="8"/>
        <v>303</v>
      </c>
      <c r="AW19" s="14">
        <f t="shared" si="8"/>
        <v>303</v>
      </c>
      <c r="AX19" s="14">
        <f t="shared" si="8"/>
        <v>303</v>
      </c>
      <c r="AY19" s="14">
        <f t="shared" si="8"/>
        <v>303</v>
      </c>
      <c r="AZ19" s="14">
        <f t="shared" si="8"/>
        <v>303</v>
      </c>
      <c r="BA19" s="14">
        <f t="shared" si="8"/>
        <v>303</v>
      </c>
      <c r="BB19" s="14"/>
      <c r="BC19" s="14"/>
      <c r="BD19" s="14">
        <f ca="1">COUNTIF(OFFSET(BD$32,0,0,COUNT(時間希望調査!$A:$A)),$B19)</f>
        <v>9</v>
      </c>
      <c r="BE19" s="14">
        <f ca="1">COUNTIF(OFFSET(BE$32,0,0,COUNT(時間希望調査!$A:$A)),$B19)</f>
        <v>9</v>
      </c>
      <c r="BF19" s="14">
        <f ca="1">COUNTIF(OFFSET(BF$32,0,0,COUNT(時間希望調査!$A:$A)),$B19)</f>
        <v>10</v>
      </c>
      <c r="BG19" s="14">
        <f ca="1">COUNTIF(OFFSET(BG$32,0,0,COUNT(時間希望調査!$A:$A)),$B19)</f>
        <v>10</v>
      </c>
      <c r="BH19" s="14">
        <f ca="1">COUNTIF(OFFSET(BH$32,0,0,COUNT(時間希望調査!$A:$A)),$B19)</f>
        <v>10</v>
      </c>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row>
    <row r="20" spans="1:91" hidden="1">
      <c r="B20" s="14" t="str">
        <f>役職一覧!B20&amp;""</f>
        <v/>
      </c>
      <c r="C20" s="14">
        <f>役職一覧!E20</f>
        <v>0</v>
      </c>
      <c r="D20" s="14">
        <f t="shared" si="10"/>
        <v>303</v>
      </c>
      <c r="E20" s="14">
        <f t="shared" si="10"/>
        <v>303</v>
      </c>
      <c r="F20" s="14">
        <f t="shared" si="10"/>
        <v>303</v>
      </c>
      <c r="G20" s="14">
        <f t="shared" si="10"/>
        <v>303</v>
      </c>
      <c r="H20" s="14">
        <f t="shared" si="10"/>
        <v>303</v>
      </c>
      <c r="I20" s="14">
        <f t="shared" si="10"/>
        <v>303</v>
      </c>
      <c r="J20" s="14">
        <f t="shared" si="10"/>
        <v>303</v>
      </c>
      <c r="K20" s="14">
        <f t="shared" si="10"/>
        <v>303</v>
      </c>
      <c r="L20" s="14">
        <f t="shared" si="10"/>
        <v>303</v>
      </c>
      <c r="M20" s="14">
        <f t="shared" si="10"/>
        <v>303</v>
      </c>
      <c r="N20" s="14">
        <f t="shared" si="10"/>
        <v>303</v>
      </c>
      <c r="O20" s="14">
        <f t="shared" si="9"/>
        <v>303</v>
      </c>
      <c r="P20" s="14">
        <f t="shared" si="9"/>
        <v>303</v>
      </c>
      <c r="Q20" s="14">
        <f t="shared" si="9"/>
        <v>303</v>
      </c>
      <c r="R20" s="14">
        <f t="shared" si="9"/>
        <v>303</v>
      </c>
      <c r="S20" s="14">
        <f t="shared" si="9"/>
        <v>303</v>
      </c>
      <c r="T20" s="14">
        <f t="shared" si="6"/>
        <v>303</v>
      </c>
      <c r="U20" s="14">
        <f t="shared" si="6"/>
        <v>303</v>
      </c>
      <c r="V20" s="14">
        <f t="shared" si="6"/>
        <v>303</v>
      </c>
      <c r="W20" s="14">
        <f t="shared" si="6"/>
        <v>303</v>
      </c>
      <c r="X20" s="14">
        <f t="shared" si="6"/>
        <v>303</v>
      </c>
      <c r="Y20" s="14">
        <f t="shared" si="6"/>
        <v>303</v>
      </c>
      <c r="Z20" s="14">
        <f t="shared" si="6"/>
        <v>303</v>
      </c>
      <c r="AA20" s="14">
        <f t="shared" si="6"/>
        <v>303</v>
      </c>
      <c r="AB20" s="14">
        <f t="shared" si="6"/>
        <v>303</v>
      </c>
      <c r="AC20" s="14">
        <f t="shared" si="6"/>
        <v>303</v>
      </c>
      <c r="AD20" s="14">
        <f t="shared" si="6"/>
        <v>303</v>
      </c>
      <c r="AE20" s="14">
        <f t="shared" si="7"/>
        <v>303</v>
      </c>
      <c r="AF20" s="14">
        <f t="shared" si="7"/>
        <v>303</v>
      </c>
      <c r="AG20" s="14">
        <f t="shared" si="7"/>
        <v>303</v>
      </c>
      <c r="AH20" s="14">
        <f t="shared" si="7"/>
        <v>303</v>
      </c>
      <c r="AI20" s="14">
        <f t="shared" si="7"/>
        <v>303</v>
      </c>
      <c r="AJ20" s="14">
        <f t="shared" si="7"/>
        <v>303</v>
      </c>
      <c r="AK20" s="14">
        <f t="shared" si="7"/>
        <v>303</v>
      </c>
      <c r="AL20" s="14">
        <f t="shared" si="7"/>
        <v>303</v>
      </c>
      <c r="AM20" s="14">
        <f t="shared" si="7"/>
        <v>303</v>
      </c>
      <c r="AN20" s="14">
        <f t="shared" si="7"/>
        <v>303</v>
      </c>
      <c r="AO20" s="14">
        <f t="shared" si="7"/>
        <v>303</v>
      </c>
      <c r="AP20" s="14">
        <f t="shared" si="7"/>
        <v>303</v>
      </c>
      <c r="AQ20" s="14">
        <f t="shared" si="7"/>
        <v>303</v>
      </c>
      <c r="AR20" s="14">
        <f t="shared" si="7"/>
        <v>303</v>
      </c>
      <c r="AS20" s="14">
        <f t="shared" si="7"/>
        <v>303</v>
      </c>
      <c r="AT20" s="14">
        <f t="shared" si="7"/>
        <v>303</v>
      </c>
      <c r="AU20" s="14">
        <f t="shared" si="8"/>
        <v>303</v>
      </c>
      <c r="AV20" s="14">
        <f t="shared" si="8"/>
        <v>303</v>
      </c>
      <c r="AW20" s="14">
        <f t="shared" si="8"/>
        <v>303</v>
      </c>
      <c r="AX20" s="14">
        <f t="shared" si="8"/>
        <v>303</v>
      </c>
      <c r="AY20" s="14">
        <f t="shared" si="8"/>
        <v>303</v>
      </c>
      <c r="AZ20" s="14">
        <f t="shared" si="8"/>
        <v>303</v>
      </c>
      <c r="BA20" s="14">
        <f t="shared" si="8"/>
        <v>303</v>
      </c>
      <c r="BB20" s="14"/>
      <c r="BC20" s="14"/>
      <c r="BD20" s="14">
        <f ca="1">COUNTIF(OFFSET(BD$32,0,0,COUNT(時間希望調査!$A:$A)),$B20)</f>
        <v>9</v>
      </c>
      <c r="BE20" s="14">
        <f ca="1">COUNTIF(OFFSET(BE$32,0,0,COUNT(時間希望調査!$A:$A)),$B20)</f>
        <v>9</v>
      </c>
      <c r="BF20" s="14">
        <f ca="1">COUNTIF(OFFSET(BF$32,0,0,COUNT(時間希望調査!$A:$A)),$B20)</f>
        <v>10</v>
      </c>
      <c r="BG20" s="14">
        <f ca="1">COUNTIF(OFFSET(BG$32,0,0,COUNT(時間希望調査!$A:$A)),$B20)</f>
        <v>10</v>
      </c>
      <c r="BH20" s="14">
        <f ca="1">COUNTIF(OFFSET(BH$32,0,0,COUNT(時間希望調査!$A:$A)),$B20)</f>
        <v>10</v>
      </c>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row>
    <row r="21" spans="1:91" hidden="1">
      <c r="B21" s="14" t="str">
        <f>役職一覧!B21&amp;""</f>
        <v/>
      </c>
      <c r="C21" s="14">
        <f>役職一覧!E21</f>
        <v>0</v>
      </c>
      <c r="D21" s="14">
        <f t="shared" si="10"/>
        <v>303</v>
      </c>
      <c r="E21" s="14">
        <f t="shared" si="10"/>
        <v>303</v>
      </c>
      <c r="F21" s="14">
        <f t="shared" si="10"/>
        <v>303</v>
      </c>
      <c r="G21" s="14">
        <f t="shared" si="10"/>
        <v>303</v>
      </c>
      <c r="H21" s="14">
        <f t="shared" si="10"/>
        <v>303</v>
      </c>
      <c r="I21" s="14">
        <f t="shared" si="10"/>
        <v>303</v>
      </c>
      <c r="J21" s="14">
        <f t="shared" si="10"/>
        <v>303</v>
      </c>
      <c r="K21" s="14">
        <f t="shared" si="10"/>
        <v>303</v>
      </c>
      <c r="L21" s="14">
        <f t="shared" si="10"/>
        <v>303</v>
      </c>
      <c r="M21" s="14">
        <f t="shared" si="10"/>
        <v>303</v>
      </c>
      <c r="N21" s="14">
        <f t="shared" si="10"/>
        <v>303</v>
      </c>
      <c r="O21" s="14">
        <f t="shared" si="9"/>
        <v>303</v>
      </c>
      <c r="P21" s="14">
        <f t="shared" si="9"/>
        <v>303</v>
      </c>
      <c r="Q21" s="14">
        <f t="shared" si="9"/>
        <v>303</v>
      </c>
      <c r="R21" s="14">
        <f t="shared" si="9"/>
        <v>303</v>
      </c>
      <c r="S21" s="14">
        <f t="shared" si="9"/>
        <v>303</v>
      </c>
      <c r="T21" s="14">
        <f t="shared" si="6"/>
        <v>303</v>
      </c>
      <c r="U21" s="14">
        <f t="shared" si="6"/>
        <v>303</v>
      </c>
      <c r="V21" s="14">
        <f t="shared" si="6"/>
        <v>303</v>
      </c>
      <c r="W21" s="14">
        <f t="shared" si="6"/>
        <v>303</v>
      </c>
      <c r="X21" s="14">
        <f t="shared" si="6"/>
        <v>303</v>
      </c>
      <c r="Y21" s="14">
        <f t="shared" si="6"/>
        <v>303</v>
      </c>
      <c r="Z21" s="14">
        <f t="shared" si="6"/>
        <v>303</v>
      </c>
      <c r="AA21" s="14">
        <f t="shared" si="6"/>
        <v>303</v>
      </c>
      <c r="AB21" s="14">
        <f t="shared" si="6"/>
        <v>303</v>
      </c>
      <c r="AC21" s="14">
        <f t="shared" si="6"/>
        <v>303</v>
      </c>
      <c r="AD21" s="14">
        <f t="shared" si="6"/>
        <v>303</v>
      </c>
      <c r="AE21" s="14">
        <f t="shared" si="7"/>
        <v>303</v>
      </c>
      <c r="AF21" s="14">
        <f t="shared" si="7"/>
        <v>303</v>
      </c>
      <c r="AG21" s="14">
        <f t="shared" si="7"/>
        <v>303</v>
      </c>
      <c r="AH21" s="14">
        <f t="shared" si="7"/>
        <v>303</v>
      </c>
      <c r="AI21" s="14">
        <f t="shared" si="7"/>
        <v>303</v>
      </c>
      <c r="AJ21" s="14">
        <f t="shared" si="7"/>
        <v>303</v>
      </c>
      <c r="AK21" s="14">
        <f t="shared" si="7"/>
        <v>303</v>
      </c>
      <c r="AL21" s="14">
        <f t="shared" si="7"/>
        <v>303</v>
      </c>
      <c r="AM21" s="14">
        <f t="shared" si="7"/>
        <v>303</v>
      </c>
      <c r="AN21" s="14">
        <f t="shared" si="7"/>
        <v>303</v>
      </c>
      <c r="AO21" s="14">
        <f t="shared" si="7"/>
        <v>303</v>
      </c>
      <c r="AP21" s="14">
        <f t="shared" si="7"/>
        <v>303</v>
      </c>
      <c r="AQ21" s="14">
        <f t="shared" si="7"/>
        <v>303</v>
      </c>
      <c r="AR21" s="14">
        <f t="shared" si="7"/>
        <v>303</v>
      </c>
      <c r="AS21" s="14">
        <f t="shared" si="7"/>
        <v>303</v>
      </c>
      <c r="AT21" s="14">
        <f t="shared" si="7"/>
        <v>303</v>
      </c>
      <c r="AU21" s="14">
        <f t="shared" si="8"/>
        <v>303</v>
      </c>
      <c r="AV21" s="14">
        <f t="shared" si="8"/>
        <v>303</v>
      </c>
      <c r="AW21" s="14">
        <f t="shared" si="8"/>
        <v>303</v>
      </c>
      <c r="AX21" s="14">
        <f t="shared" si="8"/>
        <v>303</v>
      </c>
      <c r="AY21" s="14">
        <f t="shared" si="8"/>
        <v>303</v>
      </c>
      <c r="AZ21" s="14">
        <f t="shared" si="8"/>
        <v>303</v>
      </c>
      <c r="BA21" s="14">
        <f t="shared" si="8"/>
        <v>303</v>
      </c>
      <c r="BB21" s="14"/>
      <c r="BC21" s="14"/>
      <c r="BD21" s="14">
        <f ca="1">COUNTIF(OFFSET(BD$32,0,0,COUNT(時間希望調査!$A:$A)),$B21)</f>
        <v>9</v>
      </c>
      <c r="BE21" s="14">
        <f ca="1">COUNTIF(OFFSET(BE$32,0,0,COUNT(時間希望調査!$A:$A)),$B21)</f>
        <v>9</v>
      </c>
      <c r="BF21" s="14">
        <f ca="1">COUNTIF(OFFSET(BF$32,0,0,COUNT(時間希望調査!$A:$A)),$B21)</f>
        <v>10</v>
      </c>
      <c r="BG21" s="14">
        <f ca="1">COUNTIF(OFFSET(BG$32,0,0,COUNT(時間希望調査!$A:$A)),$B21)</f>
        <v>10</v>
      </c>
      <c r="BH21" s="14">
        <f ca="1">COUNTIF(OFFSET(BH$32,0,0,COUNT(時間希望調査!$A:$A)),$B21)</f>
        <v>10</v>
      </c>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row>
    <row r="22" spans="1:91" hidden="1">
      <c r="B22" s="14" t="str">
        <f>役職一覧!B22&amp;""</f>
        <v/>
      </c>
      <c r="C22" s="14">
        <f>役職一覧!E22</f>
        <v>0</v>
      </c>
      <c r="D22" s="14">
        <f t="shared" si="10"/>
        <v>303</v>
      </c>
      <c r="E22" s="14">
        <f t="shared" si="10"/>
        <v>303</v>
      </c>
      <c r="F22" s="14">
        <f t="shared" si="10"/>
        <v>303</v>
      </c>
      <c r="G22" s="14">
        <f t="shared" si="10"/>
        <v>303</v>
      </c>
      <c r="H22" s="14">
        <f t="shared" si="10"/>
        <v>303</v>
      </c>
      <c r="I22" s="14">
        <f t="shared" si="10"/>
        <v>303</v>
      </c>
      <c r="J22" s="14">
        <f t="shared" si="10"/>
        <v>303</v>
      </c>
      <c r="K22" s="14">
        <f t="shared" si="10"/>
        <v>303</v>
      </c>
      <c r="L22" s="14">
        <f t="shared" si="10"/>
        <v>303</v>
      </c>
      <c r="M22" s="14">
        <f t="shared" si="10"/>
        <v>303</v>
      </c>
      <c r="N22" s="14">
        <f t="shared" si="10"/>
        <v>303</v>
      </c>
      <c r="O22" s="14">
        <f t="shared" si="9"/>
        <v>303</v>
      </c>
      <c r="P22" s="14">
        <f t="shared" si="9"/>
        <v>303</v>
      </c>
      <c r="Q22" s="14">
        <f t="shared" si="9"/>
        <v>303</v>
      </c>
      <c r="R22" s="14">
        <f t="shared" si="9"/>
        <v>303</v>
      </c>
      <c r="S22" s="14">
        <f t="shared" si="9"/>
        <v>303</v>
      </c>
      <c r="T22" s="14">
        <f t="shared" si="6"/>
        <v>303</v>
      </c>
      <c r="U22" s="14">
        <f t="shared" si="6"/>
        <v>303</v>
      </c>
      <c r="V22" s="14">
        <f t="shared" si="6"/>
        <v>303</v>
      </c>
      <c r="W22" s="14">
        <f t="shared" si="6"/>
        <v>303</v>
      </c>
      <c r="X22" s="14">
        <f t="shared" si="6"/>
        <v>303</v>
      </c>
      <c r="Y22" s="14">
        <f t="shared" si="6"/>
        <v>303</v>
      </c>
      <c r="Z22" s="14">
        <f t="shared" si="6"/>
        <v>303</v>
      </c>
      <c r="AA22" s="14">
        <f t="shared" si="6"/>
        <v>303</v>
      </c>
      <c r="AB22" s="14">
        <f t="shared" si="6"/>
        <v>303</v>
      </c>
      <c r="AC22" s="14">
        <f t="shared" si="6"/>
        <v>303</v>
      </c>
      <c r="AD22" s="14">
        <f t="shared" si="6"/>
        <v>303</v>
      </c>
      <c r="AE22" s="14">
        <f t="shared" si="7"/>
        <v>303</v>
      </c>
      <c r="AF22" s="14">
        <f t="shared" si="7"/>
        <v>303</v>
      </c>
      <c r="AG22" s="14">
        <f t="shared" si="7"/>
        <v>303</v>
      </c>
      <c r="AH22" s="14">
        <f t="shared" si="7"/>
        <v>303</v>
      </c>
      <c r="AI22" s="14">
        <f t="shared" si="7"/>
        <v>303</v>
      </c>
      <c r="AJ22" s="14">
        <f t="shared" si="7"/>
        <v>303</v>
      </c>
      <c r="AK22" s="14">
        <f t="shared" si="7"/>
        <v>303</v>
      </c>
      <c r="AL22" s="14">
        <f t="shared" si="7"/>
        <v>303</v>
      </c>
      <c r="AM22" s="14">
        <f t="shared" si="7"/>
        <v>303</v>
      </c>
      <c r="AN22" s="14">
        <f t="shared" si="7"/>
        <v>303</v>
      </c>
      <c r="AO22" s="14">
        <f t="shared" si="7"/>
        <v>303</v>
      </c>
      <c r="AP22" s="14">
        <f t="shared" si="7"/>
        <v>303</v>
      </c>
      <c r="AQ22" s="14">
        <f t="shared" si="7"/>
        <v>303</v>
      </c>
      <c r="AR22" s="14">
        <f t="shared" si="7"/>
        <v>303</v>
      </c>
      <c r="AS22" s="14">
        <f t="shared" si="7"/>
        <v>303</v>
      </c>
      <c r="AT22" s="14">
        <f t="shared" ref="AT22:BA31" si="11">COUNTIF(AT$32:AT$334,$B22)</f>
        <v>303</v>
      </c>
      <c r="AU22" s="14">
        <f t="shared" si="11"/>
        <v>303</v>
      </c>
      <c r="AV22" s="14">
        <f t="shared" si="11"/>
        <v>303</v>
      </c>
      <c r="AW22" s="14">
        <f t="shared" si="11"/>
        <v>303</v>
      </c>
      <c r="AX22" s="14">
        <f t="shared" si="11"/>
        <v>303</v>
      </c>
      <c r="AY22" s="14">
        <f t="shared" si="11"/>
        <v>303</v>
      </c>
      <c r="AZ22" s="14">
        <f t="shared" si="11"/>
        <v>303</v>
      </c>
      <c r="BA22" s="14">
        <f t="shared" si="11"/>
        <v>303</v>
      </c>
      <c r="BB22" s="14"/>
      <c r="BC22" s="14"/>
      <c r="BD22" s="14">
        <f ca="1">COUNTIF(OFFSET(BD$32,0,0,COUNT(時間希望調査!$A:$A)),$B22)</f>
        <v>9</v>
      </c>
      <c r="BE22" s="14">
        <f ca="1">COUNTIF(OFFSET(BE$32,0,0,COUNT(時間希望調査!$A:$A)),$B22)</f>
        <v>9</v>
      </c>
      <c r="BF22" s="14">
        <f ca="1">COUNTIF(OFFSET(BF$32,0,0,COUNT(時間希望調査!$A:$A)),$B22)</f>
        <v>10</v>
      </c>
      <c r="BG22" s="14">
        <f ca="1">COUNTIF(OFFSET(BG$32,0,0,COUNT(時間希望調査!$A:$A)),$B22)</f>
        <v>10</v>
      </c>
      <c r="BH22" s="14">
        <f ca="1">COUNTIF(OFFSET(BH$32,0,0,COUNT(時間希望調査!$A:$A)),$B22)</f>
        <v>10</v>
      </c>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row>
    <row r="23" spans="1:91" hidden="1">
      <c r="B23" s="14" t="str">
        <f>役職一覧!B23&amp;""</f>
        <v/>
      </c>
      <c r="C23" s="14">
        <f>役職一覧!E23</f>
        <v>0</v>
      </c>
      <c r="D23" s="14">
        <f t="shared" ref="D23:M23" si="12">COUNTIF(D$32:D$334,$B23)</f>
        <v>303</v>
      </c>
      <c r="E23" s="14">
        <f t="shared" si="12"/>
        <v>303</v>
      </c>
      <c r="F23" s="14">
        <f t="shared" si="12"/>
        <v>303</v>
      </c>
      <c r="G23" s="14">
        <f t="shared" si="12"/>
        <v>303</v>
      </c>
      <c r="H23" s="14">
        <f t="shared" si="12"/>
        <v>303</v>
      </c>
      <c r="I23" s="14">
        <f t="shared" si="12"/>
        <v>303</v>
      </c>
      <c r="J23" s="14">
        <f t="shared" si="12"/>
        <v>303</v>
      </c>
      <c r="K23" s="14">
        <f t="shared" si="12"/>
        <v>303</v>
      </c>
      <c r="L23" s="14">
        <f t="shared" si="12"/>
        <v>303</v>
      </c>
      <c r="M23" s="14">
        <f t="shared" si="12"/>
        <v>303</v>
      </c>
      <c r="N23" s="14">
        <f t="shared" ref="N23:AC31" si="13">COUNTIF(N$32:N$334,$B23)</f>
        <v>303</v>
      </c>
      <c r="O23" s="14">
        <f t="shared" si="13"/>
        <v>303</v>
      </c>
      <c r="P23" s="14">
        <f t="shared" si="13"/>
        <v>303</v>
      </c>
      <c r="Q23" s="14">
        <f t="shared" si="13"/>
        <v>303</v>
      </c>
      <c r="R23" s="14">
        <f t="shared" si="13"/>
        <v>303</v>
      </c>
      <c r="S23" s="14">
        <f t="shared" si="13"/>
        <v>303</v>
      </c>
      <c r="T23" s="14">
        <f t="shared" si="13"/>
        <v>303</v>
      </c>
      <c r="U23" s="14">
        <f t="shared" si="13"/>
        <v>303</v>
      </c>
      <c r="V23" s="14">
        <f t="shared" si="13"/>
        <v>303</v>
      </c>
      <c r="W23" s="14">
        <f t="shared" si="13"/>
        <v>303</v>
      </c>
      <c r="X23" s="14">
        <f t="shared" si="13"/>
        <v>303</v>
      </c>
      <c r="Y23" s="14">
        <f t="shared" si="13"/>
        <v>303</v>
      </c>
      <c r="Z23" s="14">
        <f t="shared" si="13"/>
        <v>303</v>
      </c>
      <c r="AA23" s="14">
        <f t="shared" si="13"/>
        <v>303</v>
      </c>
      <c r="AB23" s="14">
        <f t="shared" si="13"/>
        <v>303</v>
      </c>
      <c r="AC23" s="14">
        <f t="shared" si="13"/>
        <v>303</v>
      </c>
      <c r="AD23" s="14">
        <f t="shared" si="6"/>
        <v>303</v>
      </c>
      <c r="AE23" s="14">
        <f t="shared" ref="AE23:AT31" si="14">COUNTIF(AE$32:AE$334,$B23)</f>
        <v>303</v>
      </c>
      <c r="AF23" s="14">
        <f t="shared" si="14"/>
        <v>303</v>
      </c>
      <c r="AG23" s="14">
        <f t="shared" si="14"/>
        <v>303</v>
      </c>
      <c r="AH23" s="14">
        <f t="shared" si="14"/>
        <v>303</v>
      </c>
      <c r="AI23" s="14">
        <f t="shared" si="14"/>
        <v>303</v>
      </c>
      <c r="AJ23" s="14">
        <f t="shared" si="14"/>
        <v>303</v>
      </c>
      <c r="AK23" s="14">
        <f t="shared" si="14"/>
        <v>303</v>
      </c>
      <c r="AL23" s="14">
        <f t="shared" si="14"/>
        <v>303</v>
      </c>
      <c r="AM23" s="14">
        <f t="shared" si="14"/>
        <v>303</v>
      </c>
      <c r="AN23" s="14">
        <f t="shared" si="14"/>
        <v>303</v>
      </c>
      <c r="AO23" s="14">
        <f t="shared" si="14"/>
        <v>303</v>
      </c>
      <c r="AP23" s="14">
        <f t="shared" si="14"/>
        <v>303</v>
      </c>
      <c r="AQ23" s="14">
        <f t="shared" si="14"/>
        <v>303</v>
      </c>
      <c r="AR23" s="14">
        <f t="shared" si="14"/>
        <v>303</v>
      </c>
      <c r="AS23" s="14">
        <f t="shared" si="14"/>
        <v>303</v>
      </c>
      <c r="AT23" s="14">
        <f t="shared" si="14"/>
        <v>303</v>
      </c>
      <c r="AU23" s="14">
        <f t="shared" si="11"/>
        <v>303</v>
      </c>
      <c r="AV23" s="14">
        <f t="shared" si="11"/>
        <v>303</v>
      </c>
      <c r="AW23" s="14">
        <f t="shared" si="11"/>
        <v>303</v>
      </c>
      <c r="AX23" s="14">
        <f t="shared" si="11"/>
        <v>303</v>
      </c>
      <c r="AY23" s="14">
        <f t="shared" si="11"/>
        <v>303</v>
      </c>
      <c r="AZ23" s="14">
        <f t="shared" si="11"/>
        <v>303</v>
      </c>
      <c r="BA23" s="14">
        <f t="shared" si="11"/>
        <v>303</v>
      </c>
      <c r="BB23" s="14"/>
      <c r="BC23" s="14"/>
      <c r="BD23" s="14">
        <f ca="1">COUNTIF(OFFSET(BD$32,0,0,COUNT(時間希望調査!$A:$A)),$B23)</f>
        <v>9</v>
      </c>
      <c r="BE23" s="14">
        <f ca="1">COUNTIF(OFFSET(BE$32,0,0,COUNT(時間希望調査!$A:$A)),$B23)</f>
        <v>9</v>
      </c>
      <c r="BF23" s="14">
        <f ca="1">COUNTIF(OFFSET(BF$32,0,0,COUNT(時間希望調査!$A:$A)),$B23)</f>
        <v>10</v>
      </c>
      <c r="BG23" s="14">
        <f ca="1">COUNTIF(OFFSET(BG$32,0,0,COUNT(時間希望調査!$A:$A)),$B23)</f>
        <v>10</v>
      </c>
      <c r="BH23" s="14">
        <f ca="1">COUNTIF(OFFSET(BH$32,0,0,COUNT(時間希望調査!$A:$A)),$B23)</f>
        <v>10</v>
      </c>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row>
    <row r="24" spans="1:91" hidden="1">
      <c r="B24" s="14" t="str">
        <f>役職一覧!B24&amp;""</f>
        <v/>
      </c>
      <c r="C24" s="14">
        <f>役職一覧!E24</f>
        <v>0</v>
      </c>
      <c r="D24" s="14">
        <f t="shared" ref="D24:S31" si="15">COUNTIF(D$32:D$334,$B24)</f>
        <v>303</v>
      </c>
      <c r="E24" s="14">
        <f t="shared" si="15"/>
        <v>303</v>
      </c>
      <c r="F24" s="14">
        <f t="shared" si="15"/>
        <v>303</v>
      </c>
      <c r="G24" s="14">
        <f t="shared" si="15"/>
        <v>303</v>
      </c>
      <c r="H24" s="14">
        <f t="shared" si="15"/>
        <v>303</v>
      </c>
      <c r="I24" s="14">
        <f t="shared" si="15"/>
        <v>303</v>
      </c>
      <c r="J24" s="14">
        <f t="shared" si="15"/>
        <v>303</v>
      </c>
      <c r="K24" s="14">
        <f t="shared" si="15"/>
        <v>303</v>
      </c>
      <c r="L24" s="14">
        <f t="shared" si="15"/>
        <v>303</v>
      </c>
      <c r="M24" s="14">
        <f t="shared" si="15"/>
        <v>303</v>
      </c>
      <c r="N24" s="14">
        <f t="shared" si="15"/>
        <v>303</v>
      </c>
      <c r="O24" s="14">
        <f t="shared" si="15"/>
        <v>303</v>
      </c>
      <c r="P24" s="14">
        <f t="shared" si="15"/>
        <v>303</v>
      </c>
      <c r="Q24" s="14">
        <f t="shared" si="15"/>
        <v>303</v>
      </c>
      <c r="R24" s="14">
        <f t="shared" si="15"/>
        <v>303</v>
      </c>
      <c r="S24" s="14">
        <f t="shared" si="15"/>
        <v>303</v>
      </c>
      <c r="T24" s="14">
        <f t="shared" si="13"/>
        <v>303</v>
      </c>
      <c r="U24" s="14">
        <f t="shared" si="13"/>
        <v>303</v>
      </c>
      <c r="V24" s="14">
        <f t="shared" si="13"/>
        <v>303</v>
      </c>
      <c r="W24" s="14">
        <f t="shared" si="13"/>
        <v>303</v>
      </c>
      <c r="X24" s="14">
        <f t="shared" si="13"/>
        <v>303</v>
      </c>
      <c r="Y24" s="14">
        <f t="shared" si="13"/>
        <v>303</v>
      </c>
      <c r="Z24" s="14">
        <f t="shared" si="13"/>
        <v>303</v>
      </c>
      <c r="AA24" s="14">
        <f t="shared" si="13"/>
        <v>303</v>
      </c>
      <c r="AB24" s="14">
        <f t="shared" si="13"/>
        <v>303</v>
      </c>
      <c r="AC24" s="14">
        <f t="shared" si="13"/>
        <v>303</v>
      </c>
      <c r="AD24" s="14">
        <f t="shared" si="6"/>
        <v>303</v>
      </c>
      <c r="AE24" s="14">
        <f t="shared" si="14"/>
        <v>303</v>
      </c>
      <c r="AF24" s="14">
        <f t="shared" si="14"/>
        <v>303</v>
      </c>
      <c r="AG24" s="14">
        <f t="shared" si="14"/>
        <v>303</v>
      </c>
      <c r="AH24" s="14">
        <f t="shared" si="14"/>
        <v>303</v>
      </c>
      <c r="AI24" s="14">
        <f t="shared" si="14"/>
        <v>303</v>
      </c>
      <c r="AJ24" s="14">
        <f t="shared" si="14"/>
        <v>303</v>
      </c>
      <c r="AK24" s="14">
        <f t="shared" si="14"/>
        <v>303</v>
      </c>
      <c r="AL24" s="14">
        <f t="shared" si="14"/>
        <v>303</v>
      </c>
      <c r="AM24" s="14">
        <f t="shared" si="14"/>
        <v>303</v>
      </c>
      <c r="AN24" s="14">
        <f t="shared" si="14"/>
        <v>303</v>
      </c>
      <c r="AO24" s="14">
        <f t="shared" si="14"/>
        <v>303</v>
      </c>
      <c r="AP24" s="14">
        <f t="shared" si="14"/>
        <v>303</v>
      </c>
      <c r="AQ24" s="14">
        <f t="shared" si="14"/>
        <v>303</v>
      </c>
      <c r="AR24" s="14">
        <f t="shared" si="14"/>
        <v>303</v>
      </c>
      <c r="AS24" s="14">
        <f t="shared" si="14"/>
        <v>303</v>
      </c>
      <c r="AT24" s="14">
        <f t="shared" si="14"/>
        <v>303</v>
      </c>
      <c r="AU24" s="14">
        <f t="shared" si="11"/>
        <v>303</v>
      </c>
      <c r="AV24" s="14">
        <f t="shared" si="11"/>
        <v>303</v>
      </c>
      <c r="AW24" s="14">
        <f t="shared" si="11"/>
        <v>303</v>
      </c>
      <c r="AX24" s="14">
        <f t="shared" si="11"/>
        <v>303</v>
      </c>
      <c r="AY24" s="14">
        <f t="shared" si="11"/>
        <v>303</v>
      </c>
      <c r="AZ24" s="14">
        <f t="shared" si="11"/>
        <v>303</v>
      </c>
      <c r="BA24" s="14">
        <f t="shared" si="11"/>
        <v>303</v>
      </c>
      <c r="BB24" s="14"/>
      <c r="BC24" s="14"/>
      <c r="BD24" s="14">
        <f ca="1">COUNTIF(OFFSET(BD$32,0,0,COUNT(時間希望調査!$A:$A)),$B24)</f>
        <v>9</v>
      </c>
      <c r="BE24" s="14">
        <f ca="1">COUNTIF(OFFSET(BE$32,0,0,COUNT(時間希望調査!$A:$A)),$B24)</f>
        <v>9</v>
      </c>
      <c r="BF24" s="14">
        <f ca="1">COUNTIF(OFFSET(BF$32,0,0,COUNT(時間希望調査!$A:$A)),$B24)</f>
        <v>10</v>
      </c>
      <c r="BG24" s="14">
        <f ca="1">COUNTIF(OFFSET(BG$32,0,0,COUNT(時間希望調査!$A:$A)),$B24)</f>
        <v>10</v>
      </c>
      <c r="BH24" s="14">
        <f ca="1">COUNTIF(OFFSET(BH$32,0,0,COUNT(時間希望調査!$A:$A)),$B24)</f>
        <v>10</v>
      </c>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row>
    <row r="25" spans="1:91" hidden="1">
      <c r="B25" s="14" t="str">
        <f>役職一覧!B25&amp;""</f>
        <v/>
      </c>
      <c r="C25" s="14">
        <f>役職一覧!E25</f>
        <v>0</v>
      </c>
      <c r="D25" s="14">
        <f t="shared" si="15"/>
        <v>303</v>
      </c>
      <c r="E25" s="14">
        <f t="shared" si="15"/>
        <v>303</v>
      </c>
      <c r="F25" s="14">
        <f t="shared" si="15"/>
        <v>303</v>
      </c>
      <c r="G25" s="14">
        <f t="shared" si="15"/>
        <v>303</v>
      </c>
      <c r="H25" s="14">
        <f t="shared" si="15"/>
        <v>303</v>
      </c>
      <c r="I25" s="14">
        <f t="shared" si="15"/>
        <v>303</v>
      </c>
      <c r="J25" s="14">
        <f t="shared" si="15"/>
        <v>303</v>
      </c>
      <c r="K25" s="14">
        <f t="shared" si="15"/>
        <v>303</v>
      </c>
      <c r="L25" s="14">
        <f t="shared" si="15"/>
        <v>303</v>
      </c>
      <c r="M25" s="14">
        <f t="shared" si="15"/>
        <v>303</v>
      </c>
      <c r="N25" s="14">
        <f t="shared" si="15"/>
        <v>303</v>
      </c>
      <c r="O25" s="14">
        <f t="shared" si="15"/>
        <v>303</v>
      </c>
      <c r="P25" s="14">
        <f t="shared" si="15"/>
        <v>303</v>
      </c>
      <c r="Q25" s="14">
        <f t="shared" si="15"/>
        <v>303</v>
      </c>
      <c r="R25" s="14">
        <f t="shared" si="15"/>
        <v>303</v>
      </c>
      <c r="S25" s="14">
        <f t="shared" si="15"/>
        <v>303</v>
      </c>
      <c r="T25" s="14">
        <f t="shared" si="13"/>
        <v>303</v>
      </c>
      <c r="U25" s="14">
        <f t="shared" si="13"/>
        <v>303</v>
      </c>
      <c r="V25" s="14">
        <f t="shared" si="13"/>
        <v>303</v>
      </c>
      <c r="W25" s="14">
        <f t="shared" si="13"/>
        <v>303</v>
      </c>
      <c r="X25" s="14">
        <f t="shared" si="13"/>
        <v>303</v>
      </c>
      <c r="Y25" s="14">
        <f t="shared" si="13"/>
        <v>303</v>
      </c>
      <c r="Z25" s="14">
        <f t="shared" si="13"/>
        <v>303</v>
      </c>
      <c r="AA25" s="14">
        <f t="shared" si="13"/>
        <v>303</v>
      </c>
      <c r="AB25" s="14">
        <f t="shared" si="13"/>
        <v>303</v>
      </c>
      <c r="AC25" s="14">
        <f t="shared" si="13"/>
        <v>303</v>
      </c>
      <c r="AD25" s="14">
        <f t="shared" si="6"/>
        <v>303</v>
      </c>
      <c r="AE25" s="14">
        <f t="shared" si="14"/>
        <v>303</v>
      </c>
      <c r="AF25" s="14">
        <f t="shared" si="14"/>
        <v>303</v>
      </c>
      <c r="AG25" s="14">
        <f t="shared" si="14"/>
        <v>303</v>
      </c>
      <c r="AH25" s="14">
        <f t="shared" si="14"/>
        <v>303</v>
      </c>
      <c r="AI25" s="14">
        <f t="shared" si="14"/>
        <v>303</v>
      </c>
      <c r="AJ25" s="14">
        <f t="shared" si="14"/>
        <v>303</v>
      </c>
      <c r="AK25" s="14">
        <f t="shared" si="14"/>
        <v>303</v>
      </c>
      <c r="AL25" s="14">
        <f t="shared" si="14"/>
        <v>303</v>
      </c>
      <c r="AM25" s="14">
        <f t="shared" si="14"/>
        <v>303</v>
      </c>
      <c r="AN25" s="14">
        <f t="shared" si="14"/>
        <v>303</v>
      </c>
      <c r="AO25" s="14">
        <f t="shared" si="14"/>
        <v>303</v>
      </c>
      <c r="AP25" s="14">
        <f t="shared" si="14"/>
        <v>303</v>
      </c>
      <c r="AQ25" s="14">
        <f t="shared" si="14"/>
        <v>303</v>
      </c>
      <c r="AR25" s="14">
        <f t="shared" si="14"/>
        <v>303</v>
      </c>
      <c r="AS25" s="14">
        <f t="shared" si="14"/>
        <v>303</v>
      </c>
      <c r="AT25" s="14">
        <f t="shared" si="14"/>
        <v>303</v>
      </c>
      <c r="AU25" s="14">
        <f t="shared" si="11"/>
        <v>303</v>
      </c>
      <c r="AV25" s="14">
        <f t="shared" si="11"/>
        <v>303</v>
      </c>
      <c r="AW25" s="14">
        <f t="shared" si="11"/>
        <v>303</v>
      </c>
      <c r="AX25" s="14">
        <f t="shared" si="11"/>
        <v>303</v>
      </c>
      <c r="AY25" s="14">
        <f t="shared" si="11"/>
        <v>303</v>
      </c>
      <c r="AZ25" s="14">
        <f t="shared" si="11"/>
        <v>303</v>
      </c>
      <c r="BA25" s="14">
        <f t="shared" si="11"/>
        <v>303</v>
      </c>
      <c r="BB25" s="14"/>
      <c r="BC25" s="14"/>
      <c r="BD25" s="14">
        <f ca="1">COUNTIF(OFFSET(BD$32,0,0,COUNT(時間希望調査!$A:$A)),$B25)</f>
        <v>9</v>
      </c>
      <c r="BE25" s="14">
        <f ca="1">COUNTIF(OFFSET(BE$32,0,0,COUNT(時間希望調査!$A:$A)),$B25)</f>
        <v>9</v>
      </c>
      <c r="BF25" s="14">
        <f ca="1">COUNTIF(OFFSET(BF$32,0,0,COUNT(時間希望調査!$A:$A)),$B25)</f>
        <v>10</v>
      </c>
      <c r="BG25" s="14">
        <f ca="1">COUNTIF(OFFSET(BG$32,0,0,COUNT(時間希望調査!$A:$A)),$B25)</f>
        <v>10</v>
      </c>
      <c r="BH25" s="14">
        <f ca="1">COUNTIF(OFFSET(BH$32,0,0,COUNT(時間希望調査!$A:$A)),$B25)</f>
        <v>10</v>
      </c>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row>
    <row r="26" spans="1:91" hidden="1">
      <c r="B26" s="14" t="str">
        <f>役職一覧!B26&amp;""</f>
        <v/>
      </c>
      <c r="C26" s="14">
        <f>役職一覧!E26</f>
        <v>0</v>
      </c>
      <c r="D26" s="14">
        <f t="shared" si="15"/>
        <v>303</v>
      </c>
      <c r="E26" s="14">
        <f t="shared" si="15"/>
        <v>303</v>
      </c>
      <c r="F26" s="14">
        <f t="shared" si="15"/>
        <v>303</v>
      </c>
      <c r="G26" s="14">
        <f t="shared" si="15"/>
        <v>303</v>
      </c>
      <c r="H26" s="14">
        <f t="shared" si="15"/>
        <v>303</v>
      </c>
      <c r="I26" s="14">
        <f t="shared" si="15"/>
        <v>303</v>
      </c>
      <c r="J26" s="14">
        <f t="shared" si="15"/>
        <v>303</v>
      </c>
      <c r="K26" s="14">
        <f t="shared" si="15"/>
        <v>303</v>
      </c>
      <c r="L26" s="14">
        <f t="shared" si="15"/>
        <v>303</v>
      </c>
      <c r="M26" s="14">
        <f t="shared" si="15"/>
        <v>303</v>
      </c>
      <c r="N26" s="14">
        <f t="shared" si="15"/>
        <v>303</v>
      </c>
      <c r="O26" s="14">
        <f t="shared" si="15"/>
        <v>303</v>
      </c>
      <c r="P26" s="14">
        <f t="shared" si="15"/>
        <v>303</v>
      </c>
      <c r="Q26" s="14">
        <f t="shared" si="15"/>
        <v>303</v>
      </c>
      <c r="R26" s="14">
        <f t="shared" si="15"/>
        <v>303</v>
      </c>
      <c r="S26" s="14">
        <f t="shared" si="15"/>
        <v>303</v>
      </c>
      <c r="T26" s="14">
        <f t="shared" si="13"/>
        <v>303</v>
      </c>
      <c r="U26" s="14">
        <f t="shared" si="13"/>
        <v>303</v>
      </c>
      <c r="V26" s="14">
        <f t="shared" si="13"/>
        <v>303</v>
      </c>
      <c r="W26" s="14">
        <f t="shared" si="13"/>
        <v>303</v>
      </c>
      <c r="X26" s="14">
        <f t="shared" si="13"/>
        <v>303</v>
      </c>
      <c r="Y26" s="14">
        <f t="shared" si="13"/>
        <v>303</v>
      </c>
      <c r="Z26" s="14">
        <f t="shared" si="13"/>
        <v>303</v>
      </c>
      <c r="AA26" s="14">
        <f t="shared" si="13"/>
        <v>303</v>
      </c>
      <c r="AB26" s="14">
        <f t="shared" si="13"/>
        <v>303</v>
      </c>
      <c r="AC26" s="14">
        <f t="shared" si="13"/>
        <v>303</v>
      </c>
      <c r="AD26" s="14">
        <f t="shared" si="6"/>
        <v>303</v>
      </c>
      <c r="AE26" s="14">
        <f t="shared" si="14"/>
        <v>303</v>
      </c>
      <c r="AF26" s="14">
        <f t="shared" si="14"/>
        <v>303</v>
      </c>
      <c r="AG26" s="14">
        <f t="shared" si="14"/>
        <v>303</v>
      </c>
      <c r="AH26" s="14">
        <f t="shared" si="14"/>
        <v>303</v>
      </c>
      <c r="AI26" s="14">
        <f t="shared" si="14"/>
        <v>303</v>
      </c>
      <c r="AJ26" s="14">
        <f t="shared" si="14"/>
        <v>303</v>
      </c>
      <c r="AK26" s="14">
        <f t="shared" si="14"/>
        <v>303</v>
      </c>
      <c r="AL26" s="14">
        <f t="shared" si="14"/>
        <v>303</v>
      </c>
      <c r="AM26" s="14">
        <f t="shared" si="14"/>
        <v>303</v>
      </c>
      <c r="AN26" s="14">
        <f t="shared" si="14"/>
        <v>303</v>
      </c>
      <c r="AO26" s="14">
        <f t="shared" si="14"/>
        <v>303</v>
      </c>
      <c r="AP26" s="14">
        <f t="shared" si="14"/>
        <v>303</v>
      </c>
      <c r="AQ26" s="14">
        <f t="shared" si="14"/>
        <v>303</v>
      </c>
      <c r="AR26" s="14">
        <f t="shared" si="14"/>
        <v>303</v>
      </c>
      <c r="AS26" s="14">
        <f t="shared" si="14"/>
        <v>303</v>
      </c>
      <c r="AT26" s="14">
        <f t="shared" si="14"/>
        <v>303</v>
      </c>
      <c r="AU26" s="14">
        <f t="shared" si="11"/>
        <v>303</v>
      </c>
      <c r="AV26" s="14">
        <f t="shared" si="11"/>
        <v>303</v>
      </c>
      <c r="AW26" s="14">
        <f t="shared" si="11"/>
        <v>303</v>
      </c>
      <c r="AX26" s="14">
        <f t="shared" si="11"/>
        <v>303</v>
      </c>
      <c r="AY26" s="14">
        <f t="shared" si="11"/>
        <v>303</v>
      </c>
      <c r="AZ26" s="14">
        <f t="shared" si="11"/>
        <v>303</v>
      </c>
      <c r="BA26" s="14">
        <f t="shared" si="11"/>
        <v>303</v>
      </c>
      <c r="BB26" s="14"/>
      <c r="BC26" s="14"/>
      <c r="BD26" s="14">
        <f ca="1">COUNTIF(OFFSET(BD$32,0,0,COUNT(時間希望調査!$A:$A)),$B26)</f>
        <v>9</v>
      </c>
      <c r="BE26" s="14">
        <f ca="1">COUNTIF(OFFSET(BE$32,0,0,COUNT(時間希望調査!$A:$A)),$B26)</f>
        <v>9</v>
      </c>
      <c r="BF26" s="14">
        <f ca="1">COUNTIF(OFFSET(BF$32,0,0,COUNT(時間希望調査!$A:$A)),$B26)</f>
        <v>10</v>
      </c>
      <c r="BG26" s="14">
        <f ca="1">COUNTIF(OFFSET(BG$32,0,0,COUNT(時間希望調査!$A:$A)),$B26)</f>
        <v>10</v>
      </c>
      <c r="BH26" s="14">
        <f ca="1">COUNTIF(OFFSET(BH$32,0,0,COUNT(時間希望調査!$A:$A)),$B26)</f>
        <v>10</v>
      </c>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row>
    <row r="27" spans="1:91" hidden="1">
      <c r="B27" s="14" t="str">
        <f>役職一覧!B27&amp;""</f>
        <v/>
      </c>
      <c r="C27" s="14">
        <f>役職一覧!E27</f>
        <v>0</v>
      </c>
      <c r="D27" s="14">
        <f t="shared" si="15"/>
        <v>303</v>
      </c>
      <c r="E27" s="14">
        <f t="shared" si="15"/>
        <v>303</v>
      </c>
      <c r="F27" s="14">
        <f t="shared" si="15"/>
        <v>303</v>
      </c>
      <c r="G27" s="14">
        <f t="shared" si="15"/>
        <v>303</v>
      </c>
      <c r="H27" s="14">
        <f t="shared" si="15"/>
        <v>303</v>
      </c>
      <c r="I27" s="14">
        <f t="shared" si="15"/>
        <v>303</v>
      </c>
      <c r="J27" s="14">
        <f t="shared" si="15"/>
        <v>303</v>
      </c>
      <c r="K27" s="14">
        <f t="shared" si="15"/>
        <v>303</v>
      </c>
      <c r="L27" s="14">
        <f t="shared" si="15"/>
        <v>303</v>
      </c>
      <c r="M27" s="14">
        <f t="shared" si="15"/>
        <v>303</v>
      </c>
      <c r="N27" s="14">
        <f t="shared" si="15"/>
        <v>303</v>
      </c>
      <c r="O27" s="14">
        <f t="shared" si="15"/>
        <v>303</v>
      </c>
      <c r="P27" s="14">
        <f t="shared" si="15"/>
        <v>303</v>
      </c>
      <c r="Q27" s="14">
        <f t="shared" si="15"/>
        <v>303</v>
      </c>
      <c r="R27" s="14">
        <f t="shared" si="15"/>
        <v>303</v>
      </c>
      <c r="S27" s="14">
        <f t="shared" si="15"/>
        <v>303</v>
      </c>
      <c r="T27" s="14">
        <f t="shared" si="13"/>
        <v>303</v>
      </c>
      <c r="U27" s="14">
        <f t="shared" si="13"/>
        <v>303</v>
      </c>
      <c r="V27" s="14">
        <f t="shared" si="13"/>
        <v>303</v>
      </c>
      <c r="W27" s="14">
        <f t="shared" si="13"/>
        <v>303</v>
      </c>
      <c r="X27" s="14">
        <f t="shared" si="13"/>
        <v>303</v>
      </c>
      <c r="Y27" s="14">
        <f t="shared" si="13"/>
        <v>303</v>
      </c>
      <c r="Z27" s="14">
        <f t="shared" si="13"/>
        <v>303</v>
      </c>
      <c r="AA27" s="14">
        <f t="shared" si="13"/>
        <v>303</v>
      </c>
      <c r="AB27" s="14">
        <f t="shared" si="13"/>
        <v>303</v>
      </c>
      <c r="AC27" s="14">
        <f t="shared" si="13"/>
        <v>303</v>
      </c>
      <c r="AD27" s="14">
        <f t="shared" si="6"/>
        <v>303</v>
      </c>
      <c r="AE27" s="14">
        <f t="shared" si="14"/>
        <v>303</v>
      </c>
      <c r="AF27" s="14">
        <f t="shared" si="14"/>
        <v>303</v>
      </c>
      <c r="AG27" s="14">
        <f t="shared" si="14"/>
        <v>303</v>
      </c>
      <c r="AH27" s="14">
        <f t="shared" si="14"/>
        <v>303</v>
      </c>
      <c r="AI27" s="14">
        <f t="shared" si="14"/>
        <v>303</v>
      </c>
      <c r="AJ27" s="14">
        <f t="shared" si="14"/>
        <v>303</v>
      </c>
      <c r="AK27" s="14">
        <f t="shared" si="14"/>
        <v>303</v>
      </c>
      <c r="AL27" s="14">
        <f t="shared" si="14"/>
        <v>303</v>
      </c>
      <c r="AM27" s="14">
        <f t="shared" si="14"/>
        <v>303</v>
      </c>
      <c r="AN27" s="14">
        <f t="shared" si="14"/>
        <v>303</v>
      </c>
      <c r="AO27" s="14">
        <f t="shared" si="14"/>
        <v>303</v>
      </c>
      <c r="AP27" s="14">
        <f t="shared" si="14"/>
        <v>303</v>
      </c>
      <c r="AQ27" s="14">
        <f t="shared" si="14"/>
        <v>303</v>
      </c>
      <c r="AR27" s="14">
        <f t="shared" si="14"/>
        <v>303</v>
      </c>
      <c r="AS27" s="14">
        <f t="shared" si="14"/>
        <v>303</v>
      </c>
      <c r="AT27" s="14">
        <f t="shared" si="14"/>
        <v>303</v>
      </c>
      <c r="AU27" s="14">
        <f t="shared" si="11"/>
        <v>303</v>
      </c>
      <c r="AV27" s="14">
        <f t="shared" si="11"/>
        <v>303</v>
      </c>
      <c r="AW27" s="14">
        <f t="shared" si="11"/>
        <v>303</v>
      </c>
      <c r="AX27" s="14">
        <f t="shared" si="11"/>
        <v>303</v>
      </c>
      <c r="AY27" s="14">
        <f t="shared" si="11"/>
        <v>303</v>
      </c>
      <c r="AZ27" s="14">
        <f t="shared" si="11"/>
        <v>303</v>
      </c>
      <c r="BA27" s="14">
        <f t="shared" si="11"/>
        <v>303</v>
      </c>
      <c r="BB27" s="14"/>
      <c r="BC27" s="14"/>
      <c r="BD27" s="14">
        <f ca="1">COUNTIF(OFFSET(BD$32,0,0,COUNT(時間希望調査!$A:$A)),$B27)</f>
        <v>9</v>
      </c>
      <c r="BE27" s="14">
        <f ca="1">COUNTIF(OFFSET(BE$32,0,0,COUNT(時間希望調査!$A:$A)),$B27)</f>
        <v>9</v>
      </c>
      <c r="BF27" s="14">
        <f ca="1">COUNTIF(OFFSET(BF$32,0,0,COUNT(時間希望調査!$A:$A)),$B27)</f>
        <v>10</v>
      </c>
      <c r="BG27" s="14">
        <f ca="1">COUNTIF(OFFSET(BG$32,0,0,COUNT(時間希望調査!$A:$A)),$B27)</f>
        <v>10</v>
      </c>
      <c r="BH27" s="14">
        <f ca="1">COUNTIF(OFFSET(BH$32,0,0,COUNT(時間希望調査!$A:$A)),$B27)</f>
        <v>10</v>
      </c>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row>
    <row r="28" spans="1:91" hidden="1">
      <c r="B28" s="14" t="str">
        <f>役職一覧!B28&amp;""</f>
        <v/>
      </c>
      <c r="C28" s="14">
        <f>役職一覧!E28</f>
        <v>0</v>
      </c>
      <c r="D28" s="14">
        <f t="shared" si="15"/>
        <v>303</v>
      </c>
      <c r="E28" s="14">
        <f t="shared" si="15"/>
        <v>303</v>
      </c>
      <c r="F28" s="14">
        <f t="shared" si="15"/>
        <v>303</v>
      </c>
      <c r="G28" s="14">
        <f t="shared" si="15"/>
        <v>303</v>
      </c>
      <c r="H28" s="14">
        <f t="shared" si="15"/>
        <v>303</v>
      </c>
      <c r="I28" s="14">
        <f t="shared" si="15"/>
        <v>303</v>
      </c>
      <c r="J28" s="14">
        <f t="shared" si="15"/>
        <v>303</v>
      </c>
      <c r="K28" s="14">
        <f t="shared" si="15"/>
        <v>303</v>
      </c>
      <c r="L28" s="14">
        <f t="shared" si="15"/>
        <v>303</v>
      </c>
      <c r="M28" s="14">
        <f t="shared" si="15"/>
        <v>303</v>
      </c>
      <c r="N28" s="14">
        <f t="shared" si="15"/>
        <v>303</v>
      </c>
      <c r="O28" s="14">
        <f t="shared" si="15"/>
        <v>303</v>
      </c>
      <c r="P28" s="14">
        <f t="shared" si="15"/>
        <v>303</v>
      </c>
      <c r="Q28" s="14">
        <f t="shared" si="15"/>
        <v>303</v>
      </c>
      <c r="R28" s="14">
        <f t="shared" si="15"/>
        <v>303</v>
      </c>
      <c r="S28" s="14">
        <f t="shared" si="15"/>
        <v>303</v>
      </c>
      <c r="T28" s="14">
        <f t="shared" si="13"/>
        <v>303</v>
      </c>
      <c r="U28" s="14">
        <f t="shared" si="13"/>
        <v>303</v>
      </c>
      <c r="V28" s="14">
        <f t="shared" si="13"/>
        <v>303</v>
      </c>
      <c r="W28" s="14">
        <f t="shared" si="13"/>
        <v>303</v>
      </c>
      <c r="X28" s="14">
        <f t="shared" si="13"/>
        <v>303</v>
      </c>
      <c r="Y28" s="14">
        <f t="shared" si="13"/>
        <v>303</v>
      </c>
      <c r="Z28" s="14">
        <f t="shared" si="13"/>
        <v>303</v>
      </c>
      <c r="AA28" s="14">
        <f t="shared" si="13"/>
        <v>303</v>
      </c>
      <c r="AB28" s="14">
        <f t="shared" si="13"/>
        <v>303</v>
      </c>
      <c r="AC28" s="14">
        <f t="shared" si="13"/>
        <v>303</v>
      </c>
      <c r="AD28" s="14">
        <f t="shared" si="6"/>
        <v>303</v>
      </c>
      <c r="AE28" s="14">
        <f t="shared" si="14"/>
        <v>303</v>
      </c>
      <c r="AF28" s="14">
        <f t="shared" si="14"/>
        <v>303</v>
      </c>
      <c r="AG28" s="14">
        <f t="shared" si="14"/>
        <v>303</v>
      </c>
      <c r="AH28" s="14">
        <f t="shared" si="14"/>
        <v>303</v>
      </c>
      <c r="AI28" s="14">
        <f t="shared" si="14"/>
        <v>303</v>
      </c>
      <c r="AJ28" s="14">
        <f t="shared" si="14"/>
        <v>303</v>
      </c>
      <c r="AK28" s="14">
        <f t="shared" si="14"/>
        <v>303</v>
      </c>
      <c r="AL28" s="14">
        <f t="shared" si="14"/>
        <v>303</v>
      </c>
      <c r="AM28" s="14">
        <f t="shared" si="14"/>
        <v>303</v>
      </c>
      <c r="AN28" s="14">
        <f t="shared" si="14"/>
        <v>303</v>
      </c>
      <c r="AO28" s="14">
        <f t="shared" si="14"/>
        <v>303</v>
      </c>
      <c r="AP28" s="14">
        <f t="shared" si="14"/>
        <v>303</v>
      </c>
      <c r="AQ28" s="14">
        <f t="shared" si="14"/>
        <v>303</v>
      </c>
      <c r="AR28" s="14">
        <f t="shared" si="14"/>
        <v>303</v>
      </c>
      <c r="AS28" s="14">
        <f t="shared" si="14"/>
        <v>303</v>
      </c>
      <c r="AT28" s="14">
        <f t="shared" si="14"/>
        <v>303</v>
      </c>
      <c r="AU28" s="14">
        <f t="shared" si="11"/>
        <v>303</v>
      </c>
      <c r="AV28" s="14">
        <f t="shared" si="11"/>
        <v>303</v>
      </c>
      <c r="AW28" s="14">
        <f t="shared" si="11"/>
        <v>303</v>
      </c>
      <c r="AX28" s="14">
        <f t="shared" si="11"/>
        <v>303</v>
      </c>
      <c r="AY28" s="14">
        <f t="shared" si="11"/>
        <v>303</v>
      </c>
      <c r="AZ28" s="14">
        <f t="shared" si="11"/>
        <v>303</v>
      </c>
      <c r="BA28" s="14">
        <f t="shared" si="11"/>
        <v>303</v>
      </c>
      <c r="BB28" s="14"/>
      <c r="BC28" s="14"/>
      <c r="BD28" s="14">
        <f ca="1">COUNTIF(OFFSET(BD$32,0,0,COUNT(時間希望調査!$A:$A)),$B28)</f>
        <v>9</v>
      </c>
      <c r="BE28" s="14">
        <f ca="1">COUNTIF(OFFSET(BE$32,0,0,COUNT(時間希望調査!$A:$A)),$B28)</f>
        <v>9</v>
      </c>
      <c r="BF28" s="14">
        <f ca="1">COUNTIF(OFFSET(BF$32,0,0,COUNT(時間希望調査!$A:$A)),$B28)</f>
        <v>10</v>
      </c>
      <c r="BG28" s="14">
        <f ca="1">COUNTIF(OFFSET(BG$32,0,0,COUNT(時間希望調査!$A:$A)),$B28)</f>
        <v>10</v>
      </c>
      <c r="BH28" s="14">
        <f ca="1">COUNTIF(OFFSET(BH$32,0,0,COUNT(時間希望調査!$A:$A)),$B28)</f>
        <v>10</v>
      </c>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row>
    <row r="29" spans="1:91" hidden="1">
      <c r="B29" s="14" t="str">
        <f>役職一覧!B29&amp;""</f>
        <v/>
      </c>
      <c r="C29" s="14">
        <f>役職一覧!E29</f>
        <v>0</v>
      </c>
      <c r="D29" s="14">
        <f t="shared" si="15"/>
        <v>303</v>
      </c>
      <c r="E29" s="14">
        <f t="shared" si="15"/>
        <v>303</v>
      </c>
      <c r="F29" s="14">
        <f t="shared" si="15"/>
        <v>303</v>
      </c>
      <c r="G29" s="14">
        <f t="shared" si="15"/>
        <v>303</v>
      </c>
      <c r="H29" s="14">
        <f t="shared" si="15"/>
        <v>303</v>
      </c>
      <c r="I29" s="14">
        <f t="shared" si="15"/>
        <v>303</v>
      </c>
      <c r="J29" s="14">
        <f t="shared" si="15"/>
        <v>303</v>
      </c>
      <c r="K29" s="14">
        <f t="shared" si="15"/>
        <v>303</v>
      </c>
      <c r="L29" s="14">
        <f t="shared" si="15"/>
        <v>303</v>
      </c>
      <c r="M29" s="14">
        <f t="shared" si="15"/>
        <v>303</v>
      </c>
      <c r="N29" s="14">
        <f t="shared" si="15"/>
        <v>303</v>
      </c>
      <c r="O29" s="14">
        <f t="shared" si="15"/>
        <v>303</v>
      </c>
      <c r="P29" s="14">
        <f t="shared" si="15"/>
        <v>303</v>
      </c>
      <c r="Q29" s="14">
        <f t="shared" si="15"/>
        <v>303</v>
      </c>
      <c r="R29" s="14">
        <f t="shared" si="15"/>
        <v>303</v>
      </c>
      <c r="S29" s="14">
        <f t="shared" si="15"/>
        <v>303</v>
      </c>
      <c r="T29" s="14">
        <f t="shared" si="13"/>
        <v>303</v>
      </c>
      <c r="U29" s="14">
        <f t="shared" si="13"/>
        <v>303</v>
      </c>
      <c r="V29" s="14">
        <f t="shared" si="13"/>
        <v>303</v>
      </c>
      <c r="W29" s="14">
        <f t="shared" si="13"/>
        <v>303</v>
      </c>
      <c r="X29" s="14">
        <f t="shared" si="13"/>
        <v>303</v>
      </c>
      <c r="Y29" s="14">
        <f t="shared" si="13"/>
        <v>303</v>
      </c>
      <c r="Z29" s="14">
        <f t="shared" si="13"/>
        <v>303</v>
      </c>
      <c r="AA29" s="14">
        <f t="shared" si="13"/>
        <v>303</v>
      </c>
      <c r="AB29" s="14">
        <f t="shared" si="13"/>
        <v>303</v>
      </c>
      <c r="AC29" s="14">
        <f t="shared" si="13"/>
        <v>303</v>
      </c>
      <c r="AD29" s="14">
        <f t="shared" si="6"/>
        <v>303</v>
      </c>
      <c r="AE29" s="14">
        <f t="shared" si="14"/>
        <v>303</v>
      </c>
      <c r="AF29" s="14">
        <f t="shared" si="14"/>
        <v>303</v>
      </c>
      <c r="AG29" s="14">
        <f t="shared" si="14"/>
        <v>303</v>
      </c>
      <c r="AH29" s="14">
        <f t="shared" si="14"/>
        <v>303</v>
      </c>
      <c r="AI29" s="14">
        <f t="shared" si="14"/>
        <v>303</v>
      </c>
      <c r="AJ29" s="14">
        <f t="shared" si="14"/>
        <v>303</v>
      </c>
      <c r="AK29" s="14">
        <f t="shared" si="14"/>
        <v>303</v>
      </c>
      <c r="AL29" s="14">
        <f t="shared" si="14"/>
        <v>303</v>
      </c>
      <c r="AM29" s="14">
        <f t="shared" si="14"/>
        <v>303</v>
      </c>
      <c r="AN29" s="14">
        <f t="shared" si="14"/>
        <v>303</v>
      </c>
      <c r="AO29" s="14">
        <f t="shared" si="14"/>
        <v>303</v>
      </c>
      <c r="AP29" s="14">
        <f t="shared" si="14"/>
        <v>303</v>
      </c>
      <c r="AQ29" s="14">
        <f t="shared" si="14"/>
        <v>303</v>
      </c>
      <c r="AR29" s="14">
        <f t="shared" si="14"/>
        <v>303</v>
      </c>
      <c r="AS29" s="14">
        <f t="shared" si="14"/>
        <v>303</v>
      </c>
      <c r="AT29" s="14">
        <f t="shared" si="14"/>
        <v>303</v>
      </c>
      <c r="AU29" s="14">
        <f t="shared" si="11"/>
        <v>303</v>
      </c>
      <c r="AV29" s="14">
        <f t="shared" si="11"/>
        <v>303</v>
      </c>
      <c r="AW29" s="14">
        <f t="shared" si="11"/>
        <v>303</v>
      </c>
      <c r="AX29" s="14">
        <f t="shared" si="11"/>
        <v>303</v>
      </c>
      <c r="AY29" s="14">
        <f t="shared" si="11"/>
        <v>303</v>
      </c>
      <c r="AZ29" s="14">
        <f t="shared" si="11"/>
        <v>303</v>
      </c>
      <c r="BA29" s="14">
        <f t="shared" si="11"/>
        <v>303</v>
      </c>
      <c r="BB29" s="14"/>
      <c r="BC29" s="14"/>
      <c r="BD29" s="14">
        <f ca="1">COUNTIF(OFFSET(BD$32,0,0,COUNT(時間希望調査!$A:$A)),$B29)</f>
        <v>9</v>
      </c>
      <c r="BE29" s="14">
        <f ca="1">COUNTIF(OFFSET(BE$32,0,0,COUNT(時間希望調査!$A:$A)),$B29)</f>
        <v>9</v>
      </c>
      <c r="BF29" s="14">
        <f ca="1">COUNTIF(OFFSET(BF$32,0,0,COUNT(時間希望調査!$A:$A)),$B29)</f>
        <v>10</v>
      </c>
      <c r="BG29" s="14">
        <f ca="1">COUNTIF(OFFSET(BG$32,0,0,COUNT(時間希望調査!$A:$A)),$B29)</f>
        <v>10</v>
      </c>
      <c r="BH29" s="14">
        <f ca="1">COUNTIF(OFFSET(BH$32,0,0,COUNT(時間希望調査!$A:$A)),$B29)</f>
        <v>10</v>
      </c>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row>
    <row r="30" spans="1:91" hidden="1">
      <c r="B30" s="14" t="str">
        <f>役職一覧!B30&amp;""</f>
        <v/>
      </c>
      <c r="C30" s="14">
        <f>役職一覧!E30</f>
        <v>0</v>
      </c>
      <c r="D30" s="14">
        <f t="shared" si="15"/>
        <v>303</v>
      </c>
      <c r="E30" s="14">
        <f t="shared" si="15"/>
        <v>303</v>
      </c>
      <c r="F30" s="14">
        <f t="shared" si="15"/>
        <v>303</v>
      </c>
      <c r="G30" s="14">
        <f t="shared" si="15"/>
        <v>303</v>
      </c>
      <c r="H30" s="14">
        <f t="shared" si="15"/>
        <v>303</v>
      </c>
      <c r="I30" s="14">
        <f t="shared" si="15"/>
        <v>303</v>
      </c>
      <c r="J30" s="14">
        <f t="shared" si="15"/>
        <v>303</v>
      </c>
      <c r="K30" s="14">
        <f t="shared" si="15"/>
        <v>303</v>
      </c>
      <c r="L30" s="14">
        <f t="shared" si="15"/>
        <v>303</v>
      </c>
      <c r="M30" s="14">
        <f t="shared" si="15"/>
        <v>303</v>
      </c>
      <c r="N30" s="14">
        <f t="shared" si="15"/>
        <v>303</v>
      </c>
      <c r="O30" s="14">
        <f t="shared" si="15"/>
        <v>303</v>
      </c>
      <c r="P30" s="14">
        <f t="shared" si="15"/>
        <v>303</v>
      </c>
      <c r="Q30" s="14">
        <f t="shared" si="15"/>
        <v>303</v>
      </c>
      <c r="R30" s="14">
        <f t="shared" si="15"/>
        <v>303</v>
      </c>
      <c r="S30" s="14">
        <f t="shared" si="15"/>
        <v>303</v>
      </c>
      <c r="T30" s="14">
        <f t="shared" si="13"/>
        <v>303</v>
      </c>
      <c r="U30" s="14">
        <f t="shared" si="13"/>
        <v>303</v>
      </c>
      <c r="V30" s="14">
        <f t="shared" si="13"/>
        <v>303</v>
      </c>
      <c r="W30" s="14">
        <f t="shared" si="13"/>
        <v>303</v>
      </c>
      <c r="X30" s="14">
        <f t="shared" si="13"/>
        <v>303</v>
      </c>
      <c r="Y30" s="14">
        <f t="shared" si="13"/>
        <v>303</v>
      </c>
      <c r="Z30" s="14">
        <f t="shared" si="13"/>
        <v>303</v>
      </c>
      <c r="AA30" s="14">
        <f t="shared" si="13"/>
        <v>303</v>
      </c>
      <c r="AB30" s="14">
        <f t="shared" si="13"/>
        <v>303</v>
      </c>
      <c r="AC30" s="14">
        <f t="shared" si="13"/>
        <v>303</v>
      </c>
      <c r="AD30" s="14">
        <f t="shared" si="6"/>
        <v>303</v>
      </c>
      <c r="AE30" s="14">
        <f t="shared" si="14"/>
        <v>303</v>
      </c>
      <c r="AF30" s="14">
        <f t="shared" si="14"/>
        <v>303</v>
      </c>
      <c r="AG30" s="14">
        <f t="shared" si="14"/>
        <v>303</v>
      </c>
      <c r="AH30" s="14">
        <f t="shared" si="14"/>
        <v>303</v>
      </c>
      <c r="AI30" s="14">
        <f t="shared" si="14"/>
        <v>303</v>
      </c>
      <c r="AJ30" s="14">
        <f t="shared" si="14"/>
        <v>303</v>
      </c>
      <c r="AK30" s="14">
        <f t="shared" si="14"/>
        <v>303</v>
      </c>
      <c r="AL30" s="14">
        <f t="shared" si="14"/>
        <v>303</v>
      </c>
      <c r="AM30" s="14">
        <f t="shared" si="14"/>
        <v>303</v>
      </c>
      <c r="AN30" s="14">
        <f t="shared" si="14"/>
        <v>303</v>
      </c>
      <c r="AO30" s="14">
        <f t="shared" si="14"/>
        <v>303</v>
      </c>
      <c r="AP30" s="14">
        <f t="shared" si="14"/>
        <v>303</v>
      </c>
      <c r="AQ30" s="14">
        <f t="shared" si="14"/>
        <v>303</v>
      </c>
      <c r="AR30" s="14">
        <f t="shared" si="14"/>
        <v>303</v>
      </c>
      <c r="AS30" s="14">
        <f t="shared" si="14"/>
        <v>303</v>
      </c>
      <c r="AT30" s="14">
        <f t="shared" si="14"/>
        <v>303</v>
      </c>
      <c r="AU30" s="14">
        <f t="shared" si="11"/>
        <v>303</v>
      </c>
      <c r="AV30" s="14">
        <f t="shared" si="11"/>
        <v>303</v>
      </c>
      <c r="AW30" s="14">
        <f t="shared" si="11"/>
        <v>303</v>
      </c>
      <c r="AX30" s="14">
        <f t="shared" si="11"/>
        <v>303</v>
      </c>
      <c r="AY30" s="14">
        <f t="shared" si="11"/>
        <v>303</v>
      </c>
      <c r="AZ30" s="14">
        <f t="shared" si="11"/>
        <v>303</v>
      </c>
      <c r="BA30" s="14">
        <f t="shared" si="11"/>
        <v>303</v>
      </c>
      <c r="BB30" s="14"/>
      <c r="BC30" s="14"/>
      <c r="BD30" s="14">
        <f ca="1">COUNTIF(OFFSET(BD$32,0,0,COUNT(時間希望調査!$A:$A)),$B30)</f>
        <v>9</v>
      </c>
      <c r="BE30" s="14">
        <f ca="1">COUNTIF(OFFSET(BE$32,0,0,COUNT(時間希望調査!$A:$A)),$B30)</f>
        <v>9</v>
      </c>
      <c r="BF30" s="14">
        <f ca="1">COUNTIF(OFFSET(BF$32,0,0,COUNT(時間希望調査!$A:$A)),$B30)</f>
        <v>10</v>
      </c>
      <c r="BG30" s="14">
        <f ca="1">COUNTIF(OFFSET(BG$32,0,0,COUNT(時間希望調査!$A:$A)),$B30)</f>
        <v>10</v>
      </c>
      <c r="BH30" s="14">
        <f ca="1">COUNTIF(OFFSET(BH$32,0,0,COUNT(時間希望調査!$A:$A)),$B30)</f>
        <v>10</v>
      </c>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row>
    <row r="31" spans="1:91" hidden="1">
      <c r="B31" s="14" t="str">
        <f>役職一覧!B31&amp;""</f>
        <v/>
      </c>
      <c r="C31" s="14">
        <f>役職一覧!E31</f>
        <v>0</v>
      </c>
      <c r="D31" s="14">
        <f t="shared" si="15"/>
        <v>303</v>
      </c>
      <c r="E31" s="14">
        <f t="shared" si="15"/>
        <v>303</v>
      </c>
      <c r="F31" s="14">
        <f t="shared" si="15"/>
        <v>303</v>
      </c>
      <c r="G31" s="14">
        <f t="shared" si="15"/>
        <v>303</v>
      </c>
      <c r="H31" s="14">
        <f t="shared" si="15"/>
        <v>303</v>
      </c>
      <c r="I31" s="14">
        <f t="shared" si="15"/>
        <v>303</v>
      </c>
      <c r="J31" s="14">
        <f t="shared" si="15"/>
        <v>303</v>
      </c>
      <c r="K31" s="14">
        <f t="shared" si="15"/>
        <v>303</v>
      </c>
      <c r="L31" s="14">
        <f t="shared" si="15"/>
        <v>303</v>
      </c>
      <c r="M31" s="14">
        <f t="shared" si="15"/>
        <v>303</v>
      </c>
      <c r="N31" s="14">
        <f t="shared" si="15"/>
        <v>303</v>
      </c>
      <c r="O31" s="14">
        <f t="shared" si="15"/>
        <v>303</v>
      </c>
      <c r="P31" s="14">
        <f t="shared" si="15"/>
        <v>303</v>
      </c>
      <c r="Q31" s="14">
        <f t="shared" si="15"/>
        <v>303</v>
      </c>
      <c r="R31" s="14">
        <f t="shared" si="15"/>
        <v>303</v>
      </c>
      <c r="S31" s="14">
        <f t="shared" si="15"/>
        <v>303</v>
      </c>
      <c r="T31" s="14">
        <f t="shared" si="13"/>
        <v>303</v>
      </c>
      <c r="U31" s="14">
        <f t="shared" si="13"/>
        <v>303</v>
      </c>
      <c r="V31" s="14">
        <f t="shared" si="13"/>
        <v>303</v>
      </c>
      <c r="W31" s="14">
        <f t="shared" si="13"/>
        <v>303</v>
      </c>
      <c r="X31" s="14">
        <f t="shared" si="13"/>
        <v>303</v>
      </c>
      <c r="Y31" s="14">
        <f t="shared" si="13"/>
        <v>303</v>
      </c>
      <c r="Z31" s="14">
        <f t="shared" si="13"/>
        <v>303</v>
      </c>
      <c r="AA31" s="14">
        <f t="shared" si="13"/>
        <v>303</v>
      </c>
      <c r="AB31" s="14">
        <f t="shared" si="13"/>
        <v>303</v>
      </c>
      <c r="AC31" s="14">
        <f t="shared" si="13"/>
        <v>303</v>
      </c>
      <c r="AD31" s="14">
        <f t="shared" si="6"/>
        <v>303</v>
      </c>
      <c r="AE31" s="14">
        <f t="shared" si="14"/>
        <v>303</v>
      </c>
      <c r="AF31" s="14">
        <f t="shared" si="14"/>
        <v>303</v>
      </c>
      <c r="AG31" s="14">
        <f t="shared" si="14"/>
        <v>303</v>
      </c>
      <c r="AH31" s="14">
        <f t="shared" si="14"/>
        <v>303</v>
      </c>
      <c r="AI31" s="14">
        <f t="shared" si="14"/>
        <v>303</v>
      </c>
      <c r="AJ31" s="14">
        <f t="shared" si="14"/>
        <v>303</v>
      </c>
      <c r="AK31" s="14">
        <f t="shared" si="14"/>
        <v>303</v>
      </c>
      <c r="AL31" s="14">
        <f t="shared" si="14"/>
        <v>303</v>
      </c>
      <c r="AM31" s="14">
        <f t="shared" si="14"/>
        <v>303</v>
      </c>
      <c r="AN31" s="14">
        <f t="shared" si="14"/>
        <v>303</v>
      </c>
      <c r="AO31" s="14">
        <f t="shared" si="14"/>
        <v>303</v>
      </c>
      <c r="AP31" s="14">
        <f t="shared" si="14"/>
        <v>303</v>
      </c>
      <c r="AQ31" s="14">
        <f t="shared" si="14"/>
        <v>303</v>
      </c>
      <c r="AR31" s="14">
        <f t="shared" si="14"/>
        <v>303</v>
      </c>
      <c r="AS31" s="14">
        <f t="shared" si="14"/>
        <v>303</v>
      </c>
      <c r="AT31" s="14">
        <f t="shared" si="14"/>
        <v>303</v>
      </c>
      <c r="AU31" s="14">
        <f t="shared" si="11"/>
        <v>303</v>
      </c>
      <c r="AV31" s="14">
        <f t="shared" si="11"/>
        <v>303</v>
      </c>
      <c r="AW31" s="14">
        <f t="shared" si="11"/>
        <v>303</v>
      </c>
      <c r="AX31" s="14">
        <f t="shared" si="11"/>
        <v>303</v>
      </c>
      <c r="AY31" s="14">
        <f t="shared" si="11"/>
        <v>303</v>
      </c>
      <c r="AZ31" s="14">
        <f t="shared" si="11"/>
        <v>303</v>
      </c>
      <c r="BA31" s="14">
        <f t="shared" si="11"/>
        <v>303</v>
      </c>
      <c r="BB31" s="14"/>
      <c r="BC31" s="14"/>
      <c r="BD31" s="14">
        <f ca="1">COUNTIF(OFFSET(BD$32,0,0,COUNT(時間希望調査!$A:$A)),$B31)</f>
        <v>9</v>
      </c>
      <c r="BE31" s="14">
        <f ca="1">COUNTIF(OFFSET(BE$32,0,0,COUNT(時間希望調査!$A:$A)),$B31)</f>
        <v>9</v>
      </c>
      <c r="BF31" s="14">
        <f ca="1">COUNTIF(OFFSET(BF$32,0,0,COUNT(時間希望調査!$A:$A)),$B31)</f>
        <v>10</v>
      </c>
      <c r="BG31" s="14">
        <f ca="1">COUNTIF(OFFSET(BG$32,0,0,COUNT(時間希望調査!$A:$A)),$B31)</f>
        <v>10</v>
      </c>
      <c r="BH31" s="14">
        <f ca="1">COUNTIF(OFFSET(BH$32,0,0,COUNT(時間希望調査!$A:$A)),$B31)</f>
        <v>10</v>
      </c>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row>
    <row r="32" spans="1:91">
      <c r="A32" s="10" t="str">
        <f>時間希望調査!A2&amp;""</f>
        <v>1</v>
      </c>
      <c r="B32" s="10" t="str">
        <f>時間希望調査!B2&amp;""</f>
        <v/>
      </c>
      <c r="C32" s="10" t="str">
        <f>時間希望調査!C2&amp;""</f>
        <v>キズナアイ</v>
      </c>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0">
        <f>COUNTA(D32:BA32)</f>
        <v>0</v>
      </c>
      <c r="BC32" s="10">
        <f>時間希望調査!D2</f>
        <v>10</v>
      </c>
      <c r="BD32" s="10" t="str">
        <f>'役職希望調査 ・備考'!D2&amp;""</f>
        <v>A</v>
      </c>
      <c r="BE32" s="10" t="str">
        <f>'役職希望調査 ・備考'!E2&amp;""</f>
        <v>C</v>
      </c>
      <c r="BF32" s="10" t="str">
        <f>'役職希望調査 ・備考'!F2&amp;""</f>
        <v/>
      </c>
      <c r="BG32" s="10" t="str">
        <f>'役職希望調査 ・備考'!G2&amp;""</f>
        <v/>
      </c>
      <c r="BH32" s="10" t="str">
        <f>'役職希望調査 ・備考'!H2&amp;""</f>
        <v/>
      </c>
      <c r="BI32" s="10">
        <f t="shared" ref="BI32:BI63" si="16">COUNTIF(D32:BA32,BI$1)</f>
        <v>0</v>
      </c>
      <c r="BJ32" s="10">
        <f t="shared" ref="BJ32:BJ63" si="17">COUNTIF(E32:BB32,BJ$1)</f>
        <v>0</v>
      </c>
      <c r="BK32" s="10">
        <f t="shared" ref="BK32:BK63" si="18">COUNTIF(F32:BC32,BK$1)</f>
        <v>0</v>
      </c>
      <c r="BL32" s="10">
        <f t="shared" ref="BL32:BL63" si="19">COUNTIF(G32:BD32,BL$1)</f>
        <v>0</v>
      </c>
      <c r="BM32" s="10">
        <f t="shared" ref="BM32:BM63" si="20">COUNTIF(H32:BE32,BM$1)</f>
        <v>0</v>
      </c>
      <c r="BN32" s="10">
        <f t="shared" ref="BN32:BN63" si="21">COUNTIF(I32:BF32,BN$1)</f>
        <v>0</v>
      </c>
      <c r="BO32" s="10">
        <f t="shared" ref="BO32:BO63" si="22">COUNTIF(J32:BG32,BO$1)</f>
        <v>46</v>
      </c>
      <c r="BP32" s="10">
        <f t="shared" ref="BP32:BP63" si="23">COUNTIF(K32:BH32,BP$1)</f>
        <v>46</v>
      </c>
      <c r="BQ32" s="10">
        <f t="shared" ref="BQ32:BQ63" si="24">COUNTIF(L32:BI32,BQ$1)</f>
        <v>45</v>
      </c>
      <c r="BR32" s="10">
        <f t="shared" ref="BR32:BR63" si="25">COUNTIF(M32:BJ32,BR$1)</f>
        <v>44</v>
      </c>
      <c r="BS32" s="10">
        <f t="shared" ref="BS32:BS63" si="26">COUNTIF(N32:BK32,BS$1)</f>
        <v>43</v>
      </c>
      <c r="BT32" s="10">
        <f t="shared" ref="BT32:BT63" si="27">COUNTIF(O32:BL32,BT$1)</f>
        <v>42</v>
      </c>
      <c r="BU32" s="10">
        <f t="shared" ref="BU32:BU63" si="28">COUNTIF(P32:BM32,BU$1)</f>
        <v>41</v>
      </c>
      <c r="BV32" s="10">
        <f t="shared" ref="BV32:BV63" si="29">COUNTIF(Q32:BN32,BV$1)</f>
        <v>40</v>
      </c>
      <c r="BW32" s="10">
        <f t="shared" ref="BW32:BW63" si="30">COUNTIF(R32:BO32,BW$1)</f>
        <v>39</v>
      </c>
      <c r="BX32" s="10">
        <f t="shared" ref="BX32:BX63" si="31">COUNTIF(S32:BP32,BX$1)</f>
        <v>38</v>
      </c>
      <c r="BY32" s="10">
        <f t="shared" ref="BY32:BY63" si="32">COUNTIF(T32:BQ32,BY$1)</f>
        <v>37</v>
      </c>
      <c r="BZ32" s="10">
        <f t="shared" ref="BZ32:BZ63" si="33">COUNTIF(U32:BR32,BZ$1)</f>
        <v>36</v>
      </c>
      <c r="CA32" s="10">
        <f t="shared" ref="CA32:CA63" si="34">COUNTIF(V32:BS32,CA$1)</f>
        <v>35</v>
      </c>
      <c r="CB32" s="10">
        <f t="shared" ref="CB32:CB63" si="35">COUNTIF(W32:BT32,CB$1)</f>
        <v>34</v>
      </c>
      <c r="CC32" s="10">
        <f t="shared" ref="CC32:CC63" si="36">COUNTIF(X32:BU32,CC$1)</f>
        <v>33</v>
      </c>
      <c r="CD32" s="10">
        <f t="shared" ref="CD32:CD63" si="37">COUNTIF(Y32:BV32,CD$1)</f>
        <v>32</v>
      </c>
      <c r="CE32" s="10">
        <f t="shared" ref="CE32:CE63" si="38">COUNTIF(Z32:BW32,CE$1)</f>
        <v>31</v>
      </c>
      <c r="CF32" s="10">
        <f t="shared" ref="CF32:CF63" si="39">COUNTIF(AA32:BX32,CF$1)</f>
        <v>30</v>
      </c>
      <c r="CG32" s="10">
        <f t="shared" ref="CG32:CG63" si="40">COUNTIF(AB32:BY32,CG$1)</f>
        <v>29</v>
      </c>
      <c r="CH32" s="10">
        <f t="shared" ref="CH32:CH63" si="41">COUNTIF(AC32:BZ32,CH$1)</f>
        <v>28</v>
      </c>
      <c r="CI32" s="10">
        <f t="shared" ref="CI32:CI63" si="42">COUNTIF(AD32:CA32,CI$1)</f>
        <v>27</v>
      </c>
      <c r="CJ32" s="10">
        <f t="shared" ref="CJ32:CJ63" si="43">COUNTIF(AE32:CB32,CJ$1)</f>
        <v>26</v>
      </c>
      <c r="CK32" s="10">
        <f t="shared" ref="CK32:CK63" si="44">COUNTIF(AF32:CC32,CK$1)</f>
        <v>25</v>
      </c>
      <c r="CL32" s="10">
        <f t="shared" ref="CL32:CL63" si="45">COUNTIF(AG32:CD32,CL$1)</f>
        <v>24</v>
      </c>
      <c r="CM32" s="10" t="str">
        <f>'役職希望調査 ・備考'!I2&amp;""</f>
        <v/>
      </c>
    </row>
    <row r="33" spans="1:91">
      <c r="A33" s="10" t="str">
        <f>時間希望調査!A3&amp;""</f>
        <v>2</v>
      </c>
      <c r="B33" s="10" t="str">
        <f>時間希望調査!B3&amp;""</f>
        <v/>
      </c>
      <c r="C33" s="10" t="str">
        <f>時間希望調査!C3&amp;""</f>
        <v>輝夜月</v>
      </c>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0">
        <f t="shared" ref="BB33:BB96" si="46">COUNTA(D33:BA33)</f>
        <v>0</v>
      </c>
      <c r="BC33" s="10">
        <f>時間希望調査!D3</f>
        <v>1</v>
      </c>
      <c r="BD33" s="10" t="str">
        <f>'役職希望調査 ・備考'!D3&amp;""</f>
        <v/>
      </c>
      <c r="BE33" s="10" t="str">
        <f>'役職希望調査 ・備考'!E3&amp;""</f>
        <v/>
      </c>
      <c r="BF33" s="10" t="str">
        <f>'役職希望調査 ・備考'!F3&amp;""</f>
        <v/>
      </c>
      <c r="BG33" s="10" t="str">
        <f>'役職希望調査 ・備考'!G3&amp;""</f>
        <v/>
      </c>
      <c r="BH33" s="10" t="str">
        <f>'役職希望調査 ・備考'!H3&amp;""</f>
        <v/>
      </c>
      <c r="BI33" s="10">
        <f t="shared" si="16"/>
        <v>0</v>
      </c>
      <c r="BJ33" s="10">
        <f t="shared" si="17"/>
        <v>0</v>
      </c>
      <c r="BK33" s="10">
        <f t="shared" si="18"/>
        <v>0</v>
      </c>
      <c r="BL33" s="10">
        <f t="shared" si="19"/>
        <v>0</v>
      </c>
      <c r="BM33" s="10">
        <f t="shared" si="20"/>
        <v>0</v>
      </c>
      <c r="BN33" s="10">
        <f t="shared" si="21"/>
        <v>0</v>
      </c>
      <c r="BO33" s="10">
        <f t="shared" si="22"/>
        <v>48</v>
      </c>
      <c r="BP33" s="10">
        <f t="shared" si="23"/>
        <v>48</v>
      </c>
      <c r="BQ33" s="10">
        <f t="shared" si="24"/>
        <v>47</v>
      </c>
      <c r="BR33" s="10">
        <f t="shared" si="25"/>
        <v>46</v>
      </c>
      <c r="BS33" s="10">
        <f t="shared" si="26"/>
        <v>45</v>
      </c>
      <c r="BT33" s="10">
        <f t="shared" si="27"/>
        <v>44</v>
      </c>
      <c r="BU33" s="10">
        <f t="shared" si="28"/>
        <v>43</v>
      </c>
      <c r="BV33" s="10">
        <f t="shared" si="29"/>
        <v>42</v>
      </c>
      <c r="BW33" s="10">
        <f t="shared" si="30"/>
        <v>41</v>
      </c>
      <c r="BX33" s="10">
        <f t="shared" si="31"/>
        <v>40</v>
      </c>
      <c r="BY33" s="10">
        <f t="shared" si="32"/>
        <v>39</v>
      </c>
      <c r="BZ33" s="10">
        <f t="shared" si="33"/>
        <v>38</v>
      </c>
      <c r="CA33" s="10">
        <f t="shared" si="34"/>
        <v>37</v>
      </c>
      <c r="CB33" s="10">
        <f t="shared" si="35"/>
        <v>36</v>
      </c>
      <c r="CC33" s="10">
        <f t="shared" si="36"/>
        <v>35</v>
      </c>
      <c r="CD33" s="10">
        <f t="shared" si="37"/>
        <v>34</v>
      </c>
      <c r="CE33" s="10">
        <f t="shared" si="38"/>
        <v>33</v>
      </c>
      <c r="CF33" s="10">
        <f t="shared" si="39"/>
        <v>32</v>
      </c>
      <c r="CG33" s="10">
        <f t="shared" si="40"/>
        <v>31</v>
      </c>
      <c r="CH33" s="10">
        <f t="shared" si="41"/>
        <v>30</v>
      </c>
      <c r="CI33" s="10">
        <f t="shared" si="42"/>
        <v>29</v>
      </c>
      <c r="CJ33" s="10">
        <f t="shared" si="43"/>
        <v>28</v>
      </c>
      <c r="CK33" s="10">
        <f t="shared" si="44"/>
        <v>27</v>
      </c>
      <c r="CL33" s="10">
        <f t="shared" si="45"/>
        <v>26</v>
      </c>
      <c r="CM33" s="10" t="str">
        <f>'役職希望調査 ・備考'!I3&amp;""</f>
        <v/>
      </c>
    </row>
    <row r="34" spans="1:91">
      <c r="A34" s="10" t="str">
        <f>時間希望調査!A4&amp;""</f>
        <v>3</v>
      </c>
      <c r="B34" s="10" t="str">
        <f>時間希望調査!B4&amp;""</f>
        <v/>
      </c>
      <c r="C34" s="10" t="str">
        <f>時間希望調査!C4&amp;""</f>
        <v>ときのそら</v>
      </c>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0">
        <f t="shared" si="46"/>
        <v>0</v>
      </c>
      <c r="BC34" s="10">
        <f>時間希望調査!D4</f>
        <v>1</v>
      </c>
      <c r="BD34" s="10" t="str">
        <f>'役職希望調査 ・備考'!D4&amp;""</f>
        <v/>
      </c>
      <c r="BE34" s="10" t="str">
        <f>'役職希望調査 ・備考'!E4&amp;""</f>
        <v/>
      </c>
      <c r="BF34" s="10" t="str">
        <f>'役職希望調査 ・備考'!F4&amp;""</f>
        <v/>
      </c>
      <c r="BG34" s="10" t="str">
        <f>'役職希望調査 ・備考'!G4&amp;""</f>
        <v/>
      </c>
      <c r="BH34" s="10" t="str">
        <f>'役職希望調査 ・備考'!H4&amp;""</f>
        <v/>
      </c>
      <c r="BI34" s="10">
        <f t="shared" si="16"/>
        <v>0</v>
      </c>
      <c r="BJ34" s="10">
        <f t="shared" si="17"/>
        <v>0</v>
      </c>
      <c r="BK34" s="10">
        <f t="shared" si="18"/>
        <v>0</v>
      </c>
      <c r="BL34" s="10">
        <f t="shared" si="19"/>
        <v>0</v>
      </c>
      <c r="BM34" s="10">
        <f t="shared" si="20"/>
        <v>0</v>
      </c>
      <c r="BN34" s="10">
        <f t="shared" si="21"/>
        <v>0</v>
      </c>
      <c r="BO34" s="10">
        <f t="shared" si="22"/>
        <v>48</v>
      </c>
      <c r="BP34" s="10">
        <f t="shared" si="23"/>
        <v>48</v>
      </c>
      <c r="BQ34" s="10">
        <f t="shared" si="24"/>
        <v>47</v>
      </c>
      <c r="BR34" s="10">
        <f t="shared" si="25"/>
        <v>46</v>
      </c>
      <c r="BS34" s="10">
        <f t="shared" si="26"/>
        <v>45</v>
      </c>
      <c r="BT34" s="10">
        <f t="shared" si="27"/>
        <v>44</v>
      </c>
      <c r="BU34" s="10">
        <f t="shared" si="28"/>
        <v>43</v>
      </c>
      <c r="BV34" s="10">
        <f t="shared" si="29"/>
        <v>42</v>
      </c>
      <c r="BW34" s="10">
        <f t="shared" si="30"/>
        <v>41</v>
      </c>
      <c r="BX34" s="10">
        <f t="shared" si="31"/>
        <v>40</v>
      </c>
      <c r="BY34" s="10">
        <f t="shared" si="32"/>
        <v>39</v>
      </c>
      <c r="BZ34" s="10">
        <f t="shared" si="33"/>
        <v>38</v>
      </c>
      <c r="CA34" s="10">
        <f t="shared" si="34"/>
        <v>37</v>
      </c>
      <c r="CB34" s="10">
        <f t="shared" si="35"/>
        <v>36</v>
      </c>
      <c r="CC34" s="10">
        <f t="shared" si="36"/>
        <v>35</v>
      </c>
      <c r="CD34" s="10">
        <f t="shared" si="37"/>
        <v>34</v>
      </c>
      <c r="CE34" s="10">
        <f t="shared" si="38"/>
        <v>33</v>
      </c>
      <c r="CF34" s="10">
        <f t="shared" si="39"/>
        <v>32</v>
      </c>
      <c r="CG34" s="10">
        <f t="shared" si="40"/>
        <v>31</v>
      </c>
      <c r="CH34" s="10">
        <f t="shared" si="41"/>
        <v>30</v>
      </c>
      <c r="CI34" s="10">
        <f t="shared" si="42"/>
        <v>29</v>
      </c>
      <c r="CJ34" s="10">
        <f t="shared" si="43"/>
        <v>28</v>
      </c>
      <c r="CK34" s="10">
        <f t="shared" si="44"/>
        <v>27</v>
      </c>
      <c r="CL34" s="10">
        <f t="shared" si="45"/>
        <v>26</v>
      </c>
      <c r="CM34" s="10" t="str">
        <f>'役職希望調査 ・備考'!I4&amp;""</f>
        <v/>
      </c>
    </row>
    <row r="35" spans="1:91">
      <c r="A35" s="10" t="str">
        <f>時間希望調査!A5&amp;""</f>
        <v>4</v>
      </c>
      <c r="B35" s="10" t="str">
        <f>時間希望調査!B5&amp;""</f>
        <v/>
      </c>
      <c r="C35" s="10" t="str">
        <f>時間希望調査!C5&amp;""</f>
        <v>はじめしゃちょー</v>
      </c>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0">
        <f t="shared" si="46"/>
        <v>0</v>
      </c>
      <c r="BC35" s="10">
        <f>時間希望調査!D5</f>
        <v>10</v>
      </c>
      <c r="BD35" s="10" t="str">
        <f>'役職希望調査 ・備考'!D5&amp;""</f>
        <v/>
      </c>
      <c r="BE35" s="10" t="str">
        <f>'役職希望調査 ・備考'!E5&amp;""</f>
        <v/>
      </c>
      <c r="BF35" s="10" t="str">
        <f>'役職希望調査 ・備考'!F5&amp;""</f>
        <v/>
      </c>
      <c r="BG35" s="10" t="str">
        <f>'役職希望調査 ・備考'!G5&amp;""</f>
        <v/>
      </c>
      <c r="BH35" s="10" t="str">
        <f>'役職希望調査 ・備考'!H5&amp;""</f>
        <v/>
      </c>
      <c r="BI35" s="10">
        <f t="shared" si="16"/>
        <v>0</v>
      </c>
      <c r="BJ35" s="10">
        <f t="shared" si="17"/>
        <v>0</v>
      </c>
      <c r="BK35" s="10">
        <f t="shared" si="18"/>
        <v>0</v>
      </c>
      <c r="BL35" s="10">
        <f t="shared" si="19"/>
        <v>0</v>
      </c>
      <c r="BM35" s="10">
        <f t="shared" si="20"/>
        <v>0</v>
      </c>
      <c r="BN35" s="10">
        <f t="shared" si="21"/>
        <v>0</v>
      </c>
      <c r="BO35" s="10">
        <f t="shared" si="22"/>
        <v>48</v>
      </c>
      <c r="BP35" s="10">
        <f t="shared" si="23"/>
        <v>48</v>
      </c>
      <c r="BQ35" s="10">
        <f t="shared" si="24"/>
        <v>47</v>
      </c>
      <c r="BR35" s="10">
        <f t="shared" si="25"/>
        <v>46</v>
      </c>
      <c r="BS35" s="10">
        <f t="shared" si="26"/>
        <v>45</v>
      </c>
      <c r="BT35" s="10">
        <f t="shared" si="27"/>
        <v>44</v>
      </c>
      <c r="BU35" s="10">
        <f t="shared" si="28"/>
        <v>43</v>
      </c>
      <c r="BV35" s="10">
        <f t="shared" si="29"/>
        <v>42</v>
      </c>
      <c r="BW35" s="10">
        <f t="shared" si="30"/>
        <v>41</v>
      </c>
      <c r="BX35" s="10">
        <f t="shared" si="31"/>
        <v>40</v>
      </c>
      <c r="BY35" s="10">
        <f t="shared" si="32"/>
        <v>39</v>
      </c>
      <c r="BZ35" s="10">
        <f t="shared" si="33"/>
        <v>38</v>
      </c>
      <c r="CA35" s="10">
        <f t="shared" si="34"/>
        <v>37</v>
      </c>
      <c r="CB35" s="10">
        <f t="shared" si="35"/>
        <v>36</v>
      </c>
      <c r="CC35" s="10">
        <f t="shared" si="36"/>
        <v>35</v>
      </c>
      <c r="CD35" s="10">
        <f t="shared" si="37"/>
        <v>34</v>
      </c>
      <c r="CE35" s="10">
        <f t="shared" si="38"/>
        <v>33</v>
      </c>
      <c r="CF35" s="10">
        <f t="shared" si="39"/>
        <v>32</v>
      </c>
      <c r="CG35" s="10">
        <f t="shared" si="40"/>
        <v>31</v>
      </c>
      <c r="CH35" s="10">
        <f t="shared" si="41"/>
        <v>30</v>
      </c>
      <c r="CI35" s="10">
        <f t="shared" si="42"/>
        <v>29</v>
      </c>
      <c r="CJ35" s="10">
        <f t="shared" si="43"/>
        <v>28</v>
      </c>
      <c r="CK35" s="10">
        <f t="shared" si="44"/>
        <v>27</v>
      </c>
      <c r="CL35" s="10">
        <f t="shared" si="45"/>
        <v>26</v>
      </c>
      <c r="CM35" s="10" t="str">
        <f>'役職希望調査 ・備考'!I5&amp;""</f>
        <v/>
      </c>
    </row>
    <row r="36" spans="1:91">
      <c r="A36" s="10" t="str">
        <f>時間希望調査!A6&amp;""</f>
        <v>5</v>
      </c>
      <c r="B36" s="10" t="str">
        <f>時間希望調査!B6&amp;""</f>
        <v/>
      </c>
      <c r="C36" s="10" t="str">
        <f>時間希望調査!C6&amp;""</f>
        <v/>
      </c>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0">
        <f t="shared" si="46"/>
        <v>0</v>
      </c>
      <c r="BC36" s="10">
        <f>時間希望調査!D6</f>
        <v>0</v>
      </c>
      <c r="BD36" s="10" t="str">
        <f>'役職希望調査 ・備考'!D6&amp;""</f>
        <v/>
      </c>
      <c r="BE36" s="10" t="str">
        <f>'役職希望調査 ・備考'!E6&amp;""</f>
        <v/>
      </c>
      <c r="BF36" s="10" t="str">
        <f>'役職希望調査 ・備考'!F6&amp;""</f>
        <v/>
      </c>
      <c r="BG36" s="10" t="str">
        <f>'役職希望調査 ・備考'!G6&amp;""</f>
        <v/>
      </c>
      <c r="BH36" s="10" t="str">
        <f>'役職希望調査 ・備考'!H6&amp;""</f>
        <v/>
      </c>
      <c r="BI36" s="10">
        <f t="shared" si="16"/>
        <v>0</v>
      </c>
      <c r="BJ36" s="10">
        <f t="shared" si="17"/>
        <v>0</v>
      </c>
      <c r="BK36" s="10">
        <f t="shared" si="18"/>
        <v>0</v>
      </c>
      <c r="BL36" s="10">
        <f t="shared" si="19"/>
        <v>0</v>
      </c>
      <c r="BM36" s="10">
        <f t="shared" si="20"/>
        <v>0</v>
      </c>
      <c r="BN36" s="10">
        <f t="shared" si="21"/>
        <v>0</v>
      </c>
      <c r="BO36" s="10">
        <f t="shared" si="22"/>
        <v>48</v>
      </c>
      <c r="BP36" s="10">
        <f t="shared" si="23"/>
        <v>48</v>
      </c>
      <c r="BQ36" s="10">
        <f t="shared" si="24"/>
        <v>47</v>
      </c>
      <c r="BR36" s="10">
        <f t="shared" si="25"/>
        <v>46</v>
      </c>
      <c r="BS36" s="10">
        <f t="shared" si="26"/>
        <v>45</v>
      </c>
      <c r="BT36" s="10">
        <f t="shared" si="27"/>
        <v>44</v>
      </c>
      <c r="BU36" s="10">
        <f t="shared" si="28"/>
        <v>43</v>
      </c>
      <c r="BV36" s="10">
        <f t="shared" si="29"/>
        <v>42</v>
      </c>
      <c r="BW36" s="10">
        <f t="shared" si="30"/>
        <v>41</v>
      </c>
      <c r="BX36" s="10">
        <f t="shared" si="31"/>
        <v>40</v>
      </c>
      <c r="BY36" s="10">
        <f t="shared" si="32"/>
        <v>39</v>
      </c>
      <c r="BZ36" s="10">
        <f t="shared" si="33"/>
        <v>38</v>
      </c>
      <c r="CA36" s="10">
        <f t="shared" si="34"/>
        <v>37</v>
      </c>
      <c r="CB36" s="10">
        <f t="shared" si="35"/>
        <v>36</v>
      </c>
      <c r="CC36" s="10">
        <f t="shared" si="36"/>
        <v>35</v>
      </c>
      <c r="CD36" s="10">
        <f t="shared" si="37"/>
        <v>34</v>
      </c>
      <c r="CE36" s="10">
        <f t="shared" si="38"/>
        <v>33</v>
      </c>
      <c r="CF36" s="10">
        <f t="shared" si="39"/>
        <v>32</v>
      </c>
      <c r="CG36" s="10">
        <f t="shared" si="40"/>
        <v>31</v>
      </c>
      <c r="CH36" s="10">
        <f t="shared" si="41"/>
        <v>30</v>
      </c>
      <c r="CI36" s="10">
        <f t="shared" si="42"/>
        <v>29</v>
      </c>
      <c r="CJ36" s="10">
        <f t="shared" si="43"/>
        <v>28</v>
      </c>
      <c r="CK36" s="10">
        <f t="shared" si="44"/>
        <v>27</v>
      </c>
      <c r="CL36" s="10">
        <f t="shared" si="45"/>
        <v>26</v>
      </c>
      <c r="CM36" s="10" t="str">
        <f>'役職希望調査 ・備考'!I6&amp;""</f>
        <v/>
      </c>
    </row>
    <row r="37" spans="1:91">
      <c r="A37" s="10" t="str">
        <f>時間希望調査!A7&amp;""</f>
        <v>6</v>
      </c>
      <c r="B37" s="10" t="str">
        <f>時間希望調査!B7&amp;""</f>
        <v/>
      </c>
      <c r="C37" s="10" t="str">
        <f>時間希望調査!C7&amp;""</f>
        <v/>
      </c>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0">
        <f t="shared" si="46"/>
        <v>0</v>
      </c>
      <c r="BC37" s="10">
        <f>時間希望調査!D7</f>
        <v>0</v>
      </c>
      <c r="BD37" s="10" t="str">
        <f>'役職希望調査 ・備考'!D7&amp;""</f>
        <v/>
      </c>
      <c r="BE37" s="10" t="str">
        <f>'役職希望調査 ・備考'!E7&amp;""</f>
        <v/>
      </c>
      <c r="BF37" s="10" t="str">
        <f>'役職希望調査 ・備考'!F7&amp;""</f>
        <v/>
      </c>
      <c r="BG37" s="10" t="str">
        <f>'役職希望調査 ・備考'!G7&amp;""</f>
        <v/>
      </c>
      <c r="BH37" s="10" t="str">
        <f>'役職希望調査 ・備考'!H7&amp;""</f>
        <v/>
      </c>
      <c r="BI37" s="10">
        <f t="shared" si="16"/>
        <v>0</v>
      </c>
      <c r="BJ37" s="10">
        <f t="shared" si="17"/>
        <v>0</v>
      </c>
      <c r="BK37" s="10">
        <f t="shared" si="18"/>
        <v>0</v>
      </c>
      <c r="BL37" s="10">
        <f t="shared" si="19"/>
        <v>0</v>
      </c>
      <c r="BM37" s="10">
        <f t="shared" si="20"/>
        <v>0</v>
      </c>
      <c r="BN37" s="10">
        <f t="shared" si="21"/>
        <v>0</v>
      </c>
      <c r="BO37" s="10">
        <f t="shared" si="22"/>
        <v>48</v>
      </c>
      <c r="BP37" s="10">
        <f t="shared" si="23"/>
        <v>48</v>
      </c>
      <c r="BQ37" s="10">
        <f t="shared" si="24"/>
        <v>47</v>
      </c>
      <c r="BR37" s="10">
        <f t="shared" si="25"/>
        <v>46</v>
      </c>
      <c r="BS37" s="10">
        <f t="shared" si="26"/>
        <v>45</v>
      </c>
      <c r="BT37" s="10">
        <f t="shared" si="27"/>
        <v>44</v>
      </c>
      <c r="BU37" s="10">
        <f t="shared" si="28"/>
        <v>43</v>
      </c>
      <c r="BV37" s="10">
        <f t="shared" si="29"/>
        <v>42</v>
      </c>
      <c r="BW37" s="10">
        <f t="shared" si="30"/>
        <v>41</v>
      </c>
      <c r="BX37" s="10">
        <f t="shared" si="31"/>
        <v>40</v>
      </c>
      <c r="BY37" s="10">
        <f t="shared" si="32"/>
        <v>39</v>
      </c>
      <c r="BZ37" s="10">
        <f t="shared" si="33"/>
        <v>38</v>
      </c>
      <c r="CA37" s="10">
        <f t="shared" si="34"/>
        <v>37</v>
      </c>
      <c r="CB37" s="10">
        <f t="shared" si="35"/>
        <v>36</v>
      </c>
      <c r="CC37" s="10">
        <f t="shared" si="36"/>
        <v>35</v>
      </c>
      <c r="CD37" s="10">
        <f t="shared" si="37"/>
        <v>34</v>
      </c>
      <c r="CE37" s="10">
        <f t="shared" si="38"/>
        <v>33</v>
      </c>
      <c r="CF37" s="10">
        <f t="shared" si="39"/>
        <v>32</v>
      </c>
      <c r="CG37" s="10">
        <f t="shared" si="40"/>
        <v>31</v>
      </c>
      <c r="CH37" s="10">
        <f t="shared" si="41"/>
        <v>30</v>
      </c>
      <c r="CI37" s="10">
        <f t="shared" si="42"/>
        <v>29</v>
      </c>
      <c r="CJ37" s="10">
        <f t="shared" si="43"/>
        <v>28</v>
      </c>
      <c r="CK37" s="10">
        <f t="shared" si="44"/>
        <v>27</v>
      </c>
      <c r="CL37" s="10">
        <f t="shared" si="45"/>
        <v>26</v>
      </c>
      <c r="CM37" s="10" t="str">
        <f>'役職希望調査 ・備考'!I7&amp;""</f>
        <v/>
      </c>
    </row>
    <row r="38" spans="1:91">
      <c r="A38" s="10" t="str">
        <f>時間希望調査!A8&amp;""</f>
        <v>7</v>
      </c>
      <c r="B38" s="10" t="str">
        <f>時間希望調査!B8&amp;""</f>
        <v/>
      </c>
      <c r="C38" s="10" t="str">
        <f>時間希望調査!C8&amp;""</f>
        <v/>
      </c>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0">
        <f t="shared" si="46"/>
        <v>0</v>
      </c>
      <c r="BC38" s="10">
        <f>時間希望調査!D8</f>
        <v>0</v>
      </c>
      <c r="BD38" s="10" t="str">
        <f>'役職希望調査 ・備考'!D8&amp;""</f>
        <v/>
      </c>
      <c r="BE38" s="10" t="str">
        <f>'役職希望調査 ・備考'!E8&amp;""</f>
        <v/>
      </c>
      <c r="BF38" s="10" t="str">
        <f>'役職希望調査 ・備考'!F8&amp;""</f>
        <v/>
      </c>
      <c r="BG38" s="10" t="str">
        <f>'役職希望調査 ・備考'!G8&amp;""</f>
        <v/>
      </c>
      <c r="BH38" s="10" t="str">
        <f>'役職希望調査 ・備考'!H8&amp;""</f>
        <v/>
      </c>
      <c r="BI38" s="10">
        <f t="shared" si="16"/>
        <v>0</v>
      </c>
      <c r="BJ38" s="10">
        <f t="shared" si="17"/>
        <v>0</v>
      </c>
      <c r="BK38" s="10">
        <f t="shared" si="18"/>
        <v>0</v>
      </c>
      <c r="BL38" s="10">
        <f t="shared" si="19"/>
        <v>0</v>
      </c>
      <c r="BM38" s="10">
        <f t="shared" si="20"/>
        <v>0</v>
      </c>
      <c r="BN38" s="10">
        <f t="shared" si="21"/>
        <v>0</v>
      </c>
      <c r="BO38" s="10">
        <f t="shared" si="22"/>
        <v>48</v>
      </c>
      <c r="BP38" s="10">
        <f t="shared" si="23"/>
        <v>48</v>
      </c>
      <c r="BQ38" s="10">
        <f t="shared" si="24"/>
        <v>47</v>
      </c>
      <c r="BR38" s="10">
        <f t="shared" si="25"/>
        <v>46</v>
      </c>
      <c r="BS38" s="10">
        <f t="shared" si="26"/>
        <v>45</v>
      </c>
      <c r="BT38" s="10">
        <f t="shared" si="27"/>
        <v>44</v>
      </c>
      <c r="BU38" s="10">
        <f t="shared" si="28"/>
        <v>43</v>
      </c>
      <c r="BV38" s="10">
        <f t="shared" si="29"/>
        <v>42</v>
      </c>
      <c r="BW38" s="10">
        <f t="shared" si="30"/>
        <v>41</v>
      </c>
      <c r="BX38" s="10">
        <f t="shared" si="31"/>
        <v>40</v>
      </c>
      <c r="BY38" s="10">
        <f t="shared" si="32"/>
        <v>39</v>
      </c>
      <c r="BZ38" s="10">
        <f t="shared" si="33"/>
        <v>38</v>
      </c>
      <c r="CA38" s="10">
        <f t="shared" si="34"/>
        <v>37</v>
      </c>
      <c r="CB38" s="10">
        <f t="shared" si="35"/>
        <v>36</v>
      </c>
      <c r="CC38" s="10">
        <f t="shared" si="36"/>
        <v>35</v>
      </c>
      <c r="CD38" s="10">
        <f t="shared" si="37"/>
        <v>34</v>
      </c>
      <c r="CE38" s="10">
        <f t="shared" si="38"/>
        <v>33</v>
      </c>
      <c r="CF38" s="10">
        <f t="shared" si="39"/>
        <v>32</v>
      </c>
      <c r="CG38" s="10">
        <f t="shared" si="40"/>
        <v>31</v>
      </c>
      <c r="CH38" s="10">
        <f t="shared" si="41"/>
        <v>30</v>
      </c>
      <c r="CI38" s="10">
        <f t="shared" si="42"/>
        <v>29</v>
      </c>
      <c r="CJ38" s="10">
        <f t="shared" si="43"/>
        <v>28</v>
      </c>
      <c r="CK38" s="10">
        <f t="shared" si="44"/>
        <v>27</v>
      </c>
      <c r="CL38" s="10">
        <f t="shared" si="45"/>
        <v>26</v>
      </c>
      <c r="CM38" s="10" t="str">
        <f>'役職希望調査 ・備考'!I8&amp;""</f>
        <v/>
      </c>
    </row>
    <row r="39" spans="1:91">
      <c r="A39" s="10" t="str">
        <f>時間希望調査!A9&amp;""</f>
        <v>8</v>
      </c>
      <c r="B39" s="10" t="str">
        <f>時間希望調査!B9&amp;""</f>
        <v/>
      </c>
      <c r="C39" s="10" t="str">
        <f>時間希望調査!C9&amp;""</f>
        <v/>
      </c>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0">
        <f t="shared" si="46"/>
        <v>0</v>
      </c>
      <c r="BC39" s="10">
        <f>時間希望調査!D9</f>
        <v>0</v>
      </c>
      <c r="BD39" s="10" t="str">
        <f>'役職希望調査 ・備考'!D9&amp;""</f>
        <v/>
      </c>
      <c r="BE39" s="10" t="str">
        <f>'役職希望調査 ・備考'!E9&amp;""</f>
        <v/>
      </c>
      <c r="BF39" s="10" t="str">
        <f>'役職希望調査 ・備考'!F9&amp;""</f>
        <v/>
      </c>
      <c r="BG39" s="10" t="str">
        <f>'役職希望調査 ・備考'!G9&amp;""</f>
        <v/>
      </c>
      <c r="BH39" s="10" t="str">
        <f>'役職希望調査 ・備考'!H9&amp;""</f>
        <v/>
      </c>
      <c r="BI39" s="10">
        <f t="shared" si="16"/>
        <v>0</v>
      </c>
      <c r="BJ39" s="10">
        <f t="shared" si="17"/>
        <v>0</v>
      </c>
      <c r="BK39" s="10">
        <f t="shared" si="18"/>
        <v>0</v>
      </c>
      <c r="BL39" s="10">
        <f t="shared" si="19"/>
        <v>0</v>
      </c>
      <c r="BM39" s="10">
        <f t="shared" si="20"/>
        <v>0</v>
      </c>
      <c r="BN39" s="10">
        <f t="shared" si="21"/>
        <v>0</v>
      </c>
      <c r="BO39" s="10">
        <f t="shared" si="22"/>
        <v>48</v>
      </c>
      <c r="BP39" s="10">
        <f t="shared" si="23"/>
        <v>48</v>
      </c>
      <c r="BQ39" s="10">
        <f t="shared" si="24"/>
        <v>47</v>
      </c>
      <c r="BR39" s="10">
        <f t="shared" si="25"/>
        <v>46</v>
      </c>
      <c r="BS39" s="10">
        <f t="shared" si="26"/>
        <v>45</v>
      </c>
      <c r="BT39" s="10">
        <f t="shared" si="27"/>
        <v>44</v>
      </c>
      <c r="BU39" s="10">
        <f t="shared" si="28"/>
        <v>43</v>
      </c>
      <c r="BV39" s="10">
        <f t="shared" si="29"/>
        <v>42</v>
      </c>
      <c r="BW39" s="10">
        <f t="shared" si="30"/>
        <v>41</v>
      </c>
      <c r="BX39" s="10">
        <f t="shared" si="31"/>
        <v>40</v>
      </c>
      <c r="BY39" s="10">
        <f t="shared" si="32"/>
        <v>39</v>
      </c>
      <c r="BZ39" s="10">
        <f t="shared" si="33"/>
        <v>38</v>
      </c>
      <c r="CA39" s="10">
        <f t="shared" si="34"/>
        <v>37</v>
      </c>
      <c r="CB39" s="10">
        <f t="shared" si="35"/>
        <v>36</v>
      </c>
      <c r="CC39" s="10">
        <f t="shared" si="36"/>
        <v>35</v>
      </c>
      <c r="CD39" s="10">
        <f t="shared" si="37"/>
        <v>34</v>
      </c>
      <c r="CE39" s="10">
        <f t="shared" si="38"/>
        <v>33</v>
      </c>
      <c r="CF39" s="10">
        <f t="shared" si="39"/>
        <v>32</v>
      </c>
      <c r="CG39" s="10">
        <f t="shared" si="40"/>
        <v>31</v>
      </c>
      <c r="CH39" s="10">
        <f t="shared" si="41"/>
        <v>30</v>
      </c>
      <c r="CI39" s="10">
        <f t="shared" si="42"/>
        <v>29</v>
      </c>
      <c r="CJ39" s="10">
        <f t="shared" si="43"/>
        <v>28</v>
      </c>
      <c r="CK39" s="10">
        <f t="shared" si="44"/>
        <v>27</v>
      </c>
      <c r="CL39" s="10">
        <f t="shared" si="45"/>
        <v>26</v>
      </c>
      <c r="CM39" s="10" t="str">
        <f>'役職希望調査 ・備考'!I9&amp;""</f>
        <v/>
      </c>
    </row>
    <row r="40" spans="1:91">
      <c r="A40" s="10" t="str">
        <f>時間希望調査!A10&amp;""</f>
        <v>9</v>
      </c>
      <c r="B40" s="10" t="str">
        <f>時間希望調査!B10&amp;""</f>
        <v/>
      </c>
      <c r="C40" s="10" t="str">
        <f>時間希望調査!C10&amp;""</f>
        <v/>
      </c>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0">
        <f t="shared" si="46"/>
        <v>0</v>
      </c>
      <c r="BC40" s="10">
        <f>時間希望調査!D10</f>
        <v>0</v>
      </c>
      <c r="BD40" s="10" t="str">
        <f>'役職希望調査 ・備考'!D10&amp;""</f>
        <v/>
      </c>
      <c r="BE40" s="10" t="str">
        <f>'役職希望調査 ・備考'!E10&amp;""</f>
        <v/>
      </c>
      <c r="BF40" s="10" t="str">
        <f>'役職希望調査 ・備考'!F10&amp;""</f>
        <v/>
      </c>
      <c r="BG40" s="10" t="str">
        <f>'役職希望調査 ・備考'!G10&amp;""</f>
        <v/>
      </c>
      <c r="BH40" s="10" t="str">
        <f>'役職希望調査 ・備考'!H10&amp;""</f>
        <v/>
      </c>
      <c r="BI40" s="10">
        <f t="shared" si="16"/>
        <v>0</v>
      </c>
      <c r="BJ40" s="10">
        <f t="shared" si="17"/>
        <v>0</v>
      </c>
      <c r="BK40" s="10">
        <f t="shared" si="18"/>
        <v>0</v>
      </c>
      <c r="BL40" s="10">
        <f t="shared" si="19"/>
        <v>0</v>
      </c>
      <c r="BM40" s="10">
        <f t="shared" si="20"/>
        <v>0</v>
      </c>
      <c r="BN40" s="10">
        <f t="shared" si="21"/>
        <v>0</v>
      </c>
      <c r="BO40" s="10">
        <f t="shared" si="22"/>
        <v>48</v>
      </c>
      <c r="BP40" s="10">
        <f t="shared" si="23"/>
        <v>48</v>
      </c>
      <c r="BQ40" s="10">
        <f t="shared" si="24"/>
        <v>47</v>
      </c>
      <c r="BR40" s="10">
        <f t="shared" si="25"/>
        <v>46</v>
      </c>
      <c r="BS40" s="10">
        <f t="shared" si="26"/>
        <v>45</v>
      </c>
      <c r="BT40" s="10">
        <f t="shared" si="27"/>
        <v>44</v>
      </c>
      <c r="BU40" s="10">
        <f t="shared" si="28"/>
        <v>43</v>
      </c>
      <c r="BV40" s="10">
        <f t="shared" si="29"/>
        <v>42</v>
      </c>
      <c r="BW40" s="10">
        <f t="shared" si="30"/>
        <v>41</v>
      </c>
      <c r="BX40" s="10">
        <f t="shared" si="31"/>
        <v>40</v>
      </c>
      <c r="BY40" s="10">
        <f t="shared" si="32"/>
        <v>39</v>
      </c>
      <c r="BZ40" s="10">
        <f t="shared" si="33"/>
        <v>38</v>
      </c>
      <c r="CA40" s="10">
        <f t="shared" si="34"/>
        <v>37</v>
      </c>
      <c r="CB40" s="10">
        <f t="shared" si="35"/>
        <v>36</v>
      </c>
      <c r="CC40" s="10">
        <f t="shared" si="36"/>
        <v>35</v>
      </c>
      <c r="CD40" s="10">
        <f t="shared" si="37"/>
        <v>34</v>
      </c>
      <c r="CE40" s="10">
        <f t="shared" si="38"/>
        <v>33</v>
      </c>
      <c r="CF40" s="10">
        <f t="shared" si="39"/>
        <v>32</v>
      </c>
      <c r="CG40" s="10">
        <f t="shared" si="40"/>
        <v>31</v>
      </c>
      <c r="CH40" s="10">
        <f t="shared" si="41"/>
        <v>30</v>
      </c>
      <c r="CI40" s="10">
        <f t="shared" si="42"/>
        <v>29</v>
      </c>
      <c r="CJ40" s="10">
        <f t="shared" si="43"/>
        <v>28</v>
      </c>
      <c r="CK40" s="10">
        <f t="shared" si="44"/>
        <v>27</v>
      </c>
      <c r="CL40" s="10">
        <f t="shared" si="45"/>
        <v>26</v>
      </c>
      <c r="CM40" s="10" t="str">
        <f>'役職希望調査 ・備考'!I10&amp;""</f>
        <v/>
      </c>
    </row>
    <row r="41" spans="1:91">
      <c r="A41" s="10" t="str">
        <f>時間希望調査!A11&amp;""</f>
        <v>10</v>
      </c>
      <c r="B41" s="10" t="str">
        <f>時間希望調査!B11&amp;""</f>
        <v/>
      </c>
      <c r="C41" s="10" t="str">
        <f>時間希望調査!C11&amp;""</f>
        <v/>
      </c>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0">
        <f t="shared" si="46"/>
        <v>0</v>
      </c>
      <c r="BC41" s="10">
        <f>時間希望調査!D11</f>
        <v>0</v>
      </c>
      <c r="BD41" s="10" t="str">
        <f>'役職希望調査 ・備考'!D11&amp;""</f>
        <v/>
      </c>
      <c r="BE41" s="10" t="str">
        <f>'役職希望調査 ・備考'!E11&amp;""</f>
        <v/>
      </c>
      <c r="BF41" s="10" t="str">
        <f>'役職希望調査 ・備考'!F11&amp;""</f>
        <v/>
      </c>
      <c r="BG41" s="10" t="str">
        <f>'役職希望調査 ・備考'!G11&amp;""</f>
        <v/>
      </c>
      <c r="BH41" s="10" t="str">
        <f>'役職希望調査 ・備考'!H11&amp;""</f>
        <v/>
      </c>
      <c r="BI41" s="10">
        <f t="shared" si="16"/>
        <v>0</v>
      </c>
      <c r="BJ41" s="10">
        <f t="shared" si="17"/>
        <v>0</v>
      </c>
      <c r="BK41" s="10">
        <f t="shared" si="18"/>
        <v>0</v>
      </c>
      <c r="BL41" s="10">
        <f t="shared" si="19"/>
        <v>0</v>
      </c>
      <c r="BM41" s="10">
        <f t="shared" si="20"/>
        <v>0</v>
      </c>
      <c r="BN41" s="10">
        <f t="shared" si="21"/>
        <v>0</v>
      </c>
      <c r="BO41" s="10">
        <f t="shared" si="22"/>
        <v>48</v>
      </c>
      <c r="BP41" s="10">
        <f t="shared" si="23"/>
        <v>48</v>
      </c>
      <c r="BQ41" s="10">
        <f t="shared" si="24"/>
        <v>47</v>
      </c>
      <c r="BR41" s="10">
        <f t="shared" si="25"/>
        <v>46</v>
      </c>
      <c r="BS41" s="10">
        <f t="shared" si="26"/>
        <v>45</v>
      </c>
      <c r="BT41" s="10">
        <f t="shared" si="27"/>
        <v>44</v>
      </c>
      <c r="BU41" s="10">
        <f t="shared" si="28"/>
        <v>43</v>
      </c>
      <c r="BV41" s="10">
        <f t="shared" si="29"/>
        <v>42</v>
      </c>
      <c r="BW41" s="10">
        <f t="shared" si="30"/>
        <v>41</v>
      </c>
      <c r="BX41" s="10">
        <f t="shared" si="31"/>
        <v>40</v>
      </c>
      <c r="BY41" s="10">
        <f t="shared" si="32"/>
        <v>39</v>
      </c>
      <c r="BZ41" s="10">
        <f t="shared" si="33"/>
        <v>38</v>
      </c>
      <c r="CA41" s="10">
        <f t="shared" si="34"/>
        <v>37</v>
      </c>
      <c r="CB41" s="10">
        <f t="shared" si="35"/>
        <v>36</v>
      </c>
      <c r="CC41" s="10">
        <f t="shared" si="36"/>
        <v>35</v>
      </c>
      <c r="CD41" s="10">
        <f t="shared" si="37"/>
        <v>34</v>
      </c>
      <c r="CE41" s="10">
        <f t="shared" si="38"/>
        <v>33</v>
      </c>
      <c r="CF41" s="10">
        <f t="shared" si="39"/>
        <v>32</v>
      </c>
      <c r="CG41" s="10">
        <f t="shared" si="40"/>
        <v>31</v>
      </c>
      <c r="CH41" s="10">
        <f t="shared" si="41"/>
        <v>30</v>
      </c>
      <c r="CI41" s="10">
        <f t="shared" si="42"/>
        <v>29</v>
      </c>
      <c r="CJ41" s="10">
        <f t="shared" si="43"/>
        <v>28</v>
      </c>
      <c r="CK41" s="10">
        <f t="shared" si="44"/>
        <v>27</v>
      </c>
      <c r="CL41" s="10">
        <f t="shared" si="45"/>
        <v>26</v>
      </c>
      <c r="CM41" s="10" t="str">
        <f>'役職希望調査 ・備考'!I11&amp;""</f>
        <v/>
      </c>
    </row>
    <row r="42" spans="1:91">
      <c r="A42" s="10" t="str">
        <f>時間希望調査!A12&amp;""</f>
        <v/>
      </c>
      <c r="B42" s="10" t="str">
        <f>時間希望調査!B12&amp;""</f>
        <v/>
      </c>
      <c r="C42" s="10" t="str">
        <f>時間希望調査!C12&amp;""</f>
        <v/>
      </c>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0">
        <f t="shared" si="46"/>
        <v>0</v>
      </c>
      <c r="BC42" s="10">
        <f>時間希望調査!D12</f>
        <v>0</v>
      </c>
      <c r="BD42" s="10" t="str">
        <f>'役職希望調査 ・備考'!D12&amp;""</f>
        <v/>
      </c>
      <c r="BE42" s="10" t="str">
        <f>'役職希望調査 ・備考'!E12&amp;""</f>
        <v/>
      </c>
      <c r="BF42" s="10" t="str">
        <f>'役職希望調査 ・備考'!F12&amp;""</f>
        <v/>
      </c>
      <c r="BG42" s="10" t="str">
        <f>'役職希望調査 ・備考'!G12&amp;""</f>
        <v/>
      </c>
      <c r="BH42" s="10" t="str">
        <f>'役職希望調査 ・備考'!H12&amp;""</f>
        <v/>
      </c>
      <c r="BI42" s="10">
        <f t="shared" si="16"/>
        <v>0</v>
      </c>
      <c r="BJ42" s="10">
        <f t="shared" si="17"/>
        <v>0</v>
      </c>
      <c r="BK42" s="10">
        <f t="shared" si="18"/>
        <v>0</v>
      </c>
      <c r="BL42" s="10">
        <f t="shared" si="19"/>
        <v>0</v>
      </c>
      <c r="BM42" s="10">
        <f t="shared" si="20"/>
        <v>0</v>
      </c>
      <c r="BN42" s="10">
        <f t="shared" si="21"/>
        <v>0</v>
      </c>
      <c r="BO42" s="10">
        <f t="shared" si="22"/>
        <v>48</v>
      </c>
      <c r="BP42" s="10">
        <f t="shared" si="23"/>
        <v>48</v>
      </c>
      <c r="BQ42" s="10">
        <f t="shared" si="24"/>
        <v>47</v>
      </c>
      <c r="BR42" s="10">
        <f t="shared" si="25"/>
        <v>46</v>
      </c>
      <c r="BS42" s="10">
        <f t="shared" si="26"/>
        <v>45</v>
      </c>
      <c r="BT42" s="10">
        <f t="shared" si="27"/>
        <v>44</v>
      </c>
      <c r="BU42" s="10">
        <f t="shared" si="28"/>
        <v>43</v>
      </c>
      <c r="BV42" s="10">
        <f t="shared" si="29"/>
        <v>42</v>
      </c>
      <c r="BW42" s="10">
        <f t="shared" si="30"/>
        <v>41</v>
      </c>
      <c r="BX42" s="10">
        <f t="shared" si="31"/>
        <v>40</v>
      </c>
      <c r="BY42" s="10">
        <f t="shared" si="32"/>
        <v>39</v>
      </c>
      <c r="BZ42" s="10">
        <f t="shared" si="33"/>
        <v>38</v>
      </c>
      <c r="CA42" s="10">
        <f t="shared" si="34"/>
        <v>37</v>
      </c>
      <c r="CB42" s="10">
        <f t="shared" si="35"/>
        <v>36</v>
      </c>
      <c r="CC42" s="10">
        <f t="shared" si="36"/>
        <v>35</v>
      </c>
      <c r="CD42" s="10">
        <f t="shared" si="37"/>
        <v>34</v>
      </c>
      <c r="CE42" s="10">
        <f t="shared" si="38"/>
        <v>33</v>
      </c>
      <c r="CF42" s="10">
        <f t="shared" si="39"/>
        <v>32</v>
      </c>
      <c r="CG42" s="10">
        <f t="shared" si="40"/>
        <v>31</v>
      </c>
      <c r="CH42" s="10">
        <f t="shared" si="41"/>
        <v>30</v>
      </c>
      <c r="CI42" s="10">
        <f t="shared" si="42"/>
        <v>29</v>
      </c>
      <c r="CJ42" s="10">
        <f t="shared" si="43"/>
        <v>28</v>
      </c>
      <c r="CK42" s="10">
        <f t="shared" si="44"/>
        <v>27</v>
      </c>
      <c r="CL42" s="10">
        <f t="shared" si="45"/>
        <v>26</v>
      </c>
      <c r="CM42" s="10" t="str">
        <f>'役職希望調査 ・備考'!I12&amp;""</f>
        <v/>
      </c>
    </row>
    <row r="43" spans="1:91">
      <c r="A43" s="10" t="str">
        <f>時間希望調査!A13&amp;""</f>
        <v/>
      </c>
      <c r="B43" s="10" t="str">
        <f>時間希望調査!B13&amp;""</f>
        <v/>
      </c>
      <c r="C43" s="10" t="str">
        <f>時間希望調査!C13&amp;""</f>
        <v/>
      </c>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0">
        <f t="shared" si="46"/>
        <v>0</v>
      </c>
      <c r="BC43" s="10">
        <f>時間希望調査!D13</f>
        <v>0</v>
      </c>
      <c r="BD43" s="10" t="str">
        <f>'役職希望調査 ・備考'!D13&amp;""</f>
        <v/>
      </c>
      <c r="BE43" s="10" t="str">
        <f>'役職希望調査 ・備考'!E13&amp;""</f>
        <v/>
      </c>
      <c r="BF43" s="10" t="str">
        <f>'役職希望調査 ・備考'!F13&amp;""</f>
        <v/>
      </c>
      <c r="BG43" s="10" t="str">
        <f>'役職希望調査 ・備考'!G13&amp;""</f>
        <v/>
      </c>
      <c r="BH43" s="10" t="str">
        <f>'役職希望調査 ・備考'!H13&amp;""</f>
        <v/>
      </c>
      <c r="BI43" s="10">
        <f t="shared" si="16"/>
        <v>0</v>
      </c>
      <c r="BJ43" s="10">
        <f t="shared" si="17"/>
        <v>0</v>
      </c>
      <c r="BK43" s="10">
        <f t="shared" si="18"/>
        <v>0</v>
      </c>
      <c r="BL43" s="10">
        <f t="shared" si="19"/>
        <v>0</v>
      </c>
      <c r="BM43" s="10">
        <f t="shared" si="20"/>
        <v>0</v>
      </c>
      <c r="BN43" s="10">
        <f t="shared" si="21"/>
        <v>0</v>
      </c>
      <c r="BO43" s="10">
        <f t="shared" si="22"/>
        <v>48</v>
      </c>
      <c r="BP43" s="10">
        <f t="shared" si="23"/>
        <v>48</v>
      </c>
      <c r="BQ43" s="10">
        <f t="shared" si="24"/>
        <v>47</v>
      </c>
      <c r="BR43" s="10">
        <f t="shared" si="25"/>
        <v>46</v>
      </c>
      <c r="BS43" s="10">
        <f t="shared" si="26"/>
        <v>45</v>
      </c>
      <c r="BT43" s="10">
        <f t="shared" si="27"/>
        <v>44</v>
      </c>
      <c r="BU43" s="10">
        <f t="shared" si="28"/>
        <v>43</v>
      </c>
      <c r="BV43" s="10">
        <f t="shared" si="29"/>
        <v>42</v>
      </c>
      <c r="BW43" s="10">
        <f t="shared" si="30"/>
        <v>41</v>
      </c>
      <c r="BX43" s="10">
        <f t="shared" si="31"/>
        <v>40</v>
      </c>
      <c r="BY43" s="10">
        <f t="shared" si="32"/>
        <v>39</v>
      </c>
      <c r="BZ43" s="10">
        <f t="shared" si="33"/>
        <v>38</v>
      </c>
      <c r="CA43" s="10">
        <f t="shared" si="34"/>
        <v>37</v>
      </c>
      <c r="CB43" s="10">
        <f t="shared" si="35"/>
        <v>36</v>
      </c>
      <c r="CC43" s="10">
        <f t="shared" si="36"/>
        <v>35</v>
      </c>
      <c r="CD43" s="10">
        <f t="shared" si="37"/>
        <v>34</v>
      </c>
      <c r="CE43" s="10">
        <f t="shared" si="38"/>
        <v>33</v>
      </c>
      <c r="CF43" s="10">
        <f t="shared" si="39"/>
        <v>32</v>
      </c>
      <c r="CG43" s="10">
        <f t="shared" si="40"/>
        <v>31</v>
      </c>
      <c r="CH43" s="10">
        <f t="shared" si="41"/>
        <v>30</v>
      </c>
      <c r="CI43" s="10">
        <f t="shared" si="42"/>
        <v>29</v>
      </c>
      <c r="CJ43" s="10">
        <f t="shared" si="43"/>
        <v>28</v>
      </c>
      <c r="CK43" s="10">
        <f t="shared" si="44"/>
        <v>27</v>
      </c>
      <c r="CL43" s="10">
        <f t="shared" si="45"/>
        <v>26</v>
      </c>
      <c r="CM43" s="10" t="str">
        <f>'役職希望調査 ・備考'!I13&amp;""</f>
        <v/>
      </c>
    </row>
    <row r="44" spans="1:91">
      <c r="A44" s="10" t="str">
        <f>時間希望調査!A14&amp;""</f>
        <v/>
      </c>
      <c r="B44" s="10" t="str">
        <f>時間希望調査!B14&amp;""</f>
        <v/>
      </c>
      <c r="C44" s="10" t="str">
        <f>時間希望調査!C14&amp;""</f>
        <v/>
      </c>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0">
        <f t="shared" si="46"/>
        <v>0</v>
      </c>
      <c r="BC44" s="10">
        <f>時間希望調査!D14</f>
        <v>0</v>
      </c>
      <c r="BD44" s="10" t="str">
        <f>'役職希望調査 ・備考'!D14&amp;""</f>
        <v/>
      </c>
      <c r="BE44" s="10" t="str">
        <f>'役職希望調査 ・備考'!E14&amp;""</f>
        <v/>
      </c>
      <c r="BF44" s="10" t="str">
        <f>'役職希望調査 ・備考'!F14&amp;""</f>
        <v/>
      </c>
      <c r="BG44" s="10" t="str">
        <f>'役職希望調査 ・備考'!G14&amp;""</f>
        <v/>
      </c>
      <c r="BH44" s="10" t="str">
        <f>'役職希望調査 ・備考'!H14&amp;""</f>
        <v/>
      </c>
      <c r="BI44" s="10">
        <f t="shared" si="16"/>
        <v>0</v>
      </c>
      <c r="BJ44" s="10">
        <f t="shared" si="17"/>
        <v>0</v>
      </c>
      <c r="BK44" s="10">
        <f t="shared" si="18"/>
        <v>0</v>
      </c>
      <c r="BL44" s="10">
        <f t="shared" si="19"/>
        <v>0</v>
      </c>
      <c r="BM44" s="10">
        <f t="shared" si="20"/>
        <v>0</v>
      </c>
      <c r="BN44" s="10">
        <f t="shared" si="21"/>
        <v>0</v>
      </c>
      <c r="BO44" s="10">
        <f t="shared" si="22"/>
        <v>48</v>
      </c>
      <c r="BP44" s="10">
        <f t="shared" si="23"/>
        <v>48</v>
      </c>
      <c r="BQ44" s="10">
        <f t="shared" si="24"/>
        <v>47</v>
      </c>
      <c r="BR44" s="10">
        <f t="shared" si="25"/>
        <v>46</v>
      </c>
      <c r="BS44" s="10">
        <f t="shared" si="26"/>
        <v>45</v>
      </c>
      <c r="BT44" s="10">
        <f t="shared" si="27"/>
        <v>44</v>
      </c>
      <c r="BU44" s="10">
        <f t="shared" si="28"/>
        <v>43</v>
      </c>
      <c r="BV44" s="10">
        <f t="shared" si="29"/>
        <v>42</v>
      </c>
      <c r="BW44" s="10">
        <f t="shared" si="30"/>
        <v>41</v>
      </c>
      <c r="BX44" s="10">
        <f t="shared" si="31"/>
        <v>40</v>
      </c>
      <c r="BY44" s="10">
        <f t="shared" si="32"/>
        <v>39</v>
      </c>
      <c r="BZ44" s="10">
        <f t="shared" si="33"/>
        <v>38</v>
      </c>
      <c r="CA44" s="10">
        <f t="shared" si="34"/>
        <v>37</v>
      </c>
      <c r="CB44" s="10">
        <f t="shared" si="35"/>
        <v>36</v>
      </c>
      <c r="CC44" s="10">
        <f t="shared" si="36"/>
        <v>35</v>
      </c>
      <c r="CD44" s="10">
        <f t="shared" si="37"/>
        <v>34</v>
      </c>
      <c r="CE44" s="10">
        <f t="shared" si="38"/>
        <v>33</v>
      </c>
      <c r="CF44" s="10">
        <f t="shared" si="39"/>
        <v>32</v>
      </c>
      <c r="CG44" s="10">
        <f t="shared" si="40"/>
        <v>31</v>
      </c>
      <c r="CH44" s="10">
        <f t="shared" si="41"/>
        <v>30</v>
      </c>
      <c r="CI44" s="10">
        <f t="shared" si="42"/>
        <v>29</v>
      </c>
      <c r="CJ44" s="10">
        <f t="shared" si="43"/>
        <v>28</v>
      </c>
      <c r="CK44" s="10">
        <f t="shared" si="44"/>
        <v>27</v>
      </c>
      <c r="CL44" s="10">
        <f t="shared" si="45"/>
        <v>26</v>
      </c>
      <c r="CM44" s="10" t="str">
        <f>'役職希望調査 ・備考'!I14&amp;""</f>
        <v/>
      </c>
    </row>
    <row r="45" spans="1:91">
      <c r="A45" s="10" t="str">
        <f>時間希望調査!A15&amp;""</f>
        <v/>
      </c>
      <c r="B45" s="10" t="str">
        <f>時間希望調査!B15&amp;""</f>
        <v/>
      </c>
      <c r="C45" s="10" t="str">
        <f>時間希望調査!C15&amp;""</f>
        <v/>
      </c>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0">
        <f t="shared" si="46"/>
        <v>0</v>
      </c>
      <c r="BC45" s="10">
        <f>時間希望調査!D15</f>
        <v>0</v>
      </c>
      <c r="BD45" s="10" t="str">
        <f>'役職希望調査 ・備考'!D15&amp;""</f>
        <v/>
      </c>
      <c r="BE45" s="10" t="str">
        <f>'役職希望調査 ・備考'!E15&amp;""</f>
        <v/>
      </c>
      <c r="BF45" s="10" t="str">
        <f>'役職希望調査 ・備考'!F15&amp;""</f>
        <v/>
      </c>
      <c r="BG45" s="10" t="str">
        <f>'役職希望調査 ・備考'!G15&amp;""</f>
        <v/>
      </c>
      <c r="BH45" s="10" t="str">
        <f>'役職希望調査 ・備考'!H15&amp;""</f>
        <v/>
      </c>
      <c r="BI45" s="10">
        <f t="shared" si="16"/>
        <v>0</v>
      </c>
      <c r="BJ45" s="10">
        <f t="shared" si="17"/>
        <v>0</v>
      </c>
      <c r="BK45" s="10">
        <f t="shared" si="18"/>
        <v>0</v>
      </c>
      <c r="BL45" s="10">
        <f t="shared" si="19"/>
        <v>0</v>
      </c>
      <c r="BM45" s="10">
        <f t="shared" si="20"/>
        <v>0</v>
      </c>
      <c r="BN45" s="10">
        <f t="shared" si="21"/>
        <v>0</v>
      </c>
      <c r="BO45" s="10">
        <f t="shared" si="22"/>
        <v>48</v>
      </c>
      <c r="BP45" s="10">
        <f t="shared" si="23"/>
        <v>48</v>
      </c>
      <c r="BQ45" s="10">
        <f t="shared" si="24"/>
        <v>47</v>
      </c>
      <c r="BR45" s="10">
        <f t="shared" si="25"/>
        <v>46</v>
      </c>
      <c r="BS45" s="10">
        <f t="shared" si="26"/>
        <v>45</v>
      </c>
      <c r="BT45" s="10">
        <f t="shared" si="27"/>
        <v>44</v>
      </c>
      <c r="BU45" s="10">
        <f t="shared" si="28"/>
        <v>43</v>
      </c>
      <c r="BV45" s="10">
        <f t="shared" si="29"/>
        <v>42</v>
      </c>
      <c r="BW45" s="10">
        <f t="shared" si="30"/>
        <v>41</v>
      </c>
      <c r="BX45" s="10">
        <f t="shared" si="31"/>
        <v>40</v>
      </c>
      <c r="BY45" s="10">
        <f t="shared" si="32"/>
        <v>39</v>
      </c>
      <c r="BZ45" s="10">
        <f t="shared" si="33"/>
        <v>38</v>
      </c>
      <c r="CA45" s="10">
        <f t="shared" si="34"/>
        <v>37</v>
      </c>
      <c r="CB45" s="10">
        <f t="shared" si="35"/>
        <v>36</v>
      </c>
      <c r="CC45" s="10">
        <f t="shared" si="36"/>
        <v>35</v>
      </c>
      <c r="CD45" s="10">
        <f t="shared" si="37"/>
        <v>34</v>
      </c>
      <c r="CE45" s="10">
        <f t="shared" si="38"/>
        <v>33</v>
      </c>
      <c r="CF45" s="10">
        <f t="shared" si="39"/>
        <v>32</v>
      </c>
      <c r="CG45" s="10">
        <f t="shared" si="40"/>
        <v>31</v>
      </c>
      <c r="CH45" s="10">
        <f t="shared" si="41"/>
        <v>30</v>
      </c>
      <c r="CI45" s="10">
        <f t="shared" si="42"/>
        <v>29</v>
      </c>
      <c r="CJ45" s="10">
        <f t="shared" si="43"/>
        <v>28</v>
      </c>
      <c r="CK45" s="10">
        <f t="shared" si="44"/>
        <v>27</v>
      </c>
      <c r="CL45" s="10">
        <f t="shared" si="45"/>
        <v>26</v>
      </c>
      <c r="CM45" s="10" t="str">
        <f>'役職希望調査 ・備考'!I15&amp;""</f>
        <v/>
      </c>
    </row>
    <row r="46" spans="1:91">
      <c r="A46" s="10" t="str">
        <f>時間希望調査!A16&amp;""</f>
        <v/>
      </c>
      <c r="B46" s="10" t="str">
        <f>時間希望調査!B16&amp;""</f>
        <v/>
      </c>
      <c r="C46" s="10" t="str">
        <f>時間希望調査!C16&amp;""</f>
        <v/>
      </c>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0">
        <f t="shared" si="46"/>
        <v>0</v>
      </c>
      <c r="BC46" s="10">
        <f>時間希望調査!D16</f>
        <v>0</v>
      </c>
      <c r="BD46" s="10" t="str">
        <f>'役職希望調査 ・備考'!D16&amp;""</f>
        <v/>
      </c>
      <c r="BE46" s="10" t="str">
        <f>'役職希望調査 ・備考'!E16&amp;""</f>
        <v/>
      </c>
      <c r="BF46" s="10" t="str">
        <f>'役職希望調査 ・備考'!F16&amp;""</f>
        <v/>
      </c>
      <c r="BG46" s="10" t="str">
        <f>'役職希望調査 ・備考'!G16&amp;""</f>
        <v/>
      </c>
      <c r="BH46" s="10" t="str">
        <f>'役職希望調査 ・備考'!H16&amp;""</f>
        <v/>
      </c>
      <c r="BI46" s="10">
        <f t="shared" si="16"/>
        <v>0</v>
      </c>
      <c r="BJ46" s="10">
        <f t="shared" si="17"/>
        <v>0</v>
      </c>
      <c r="BK46" s="10">
        <f t="shared" si="18"/>
        <v>0</v>
      </c>
      <c r="BL46" s="10">
        <f t="shared" si="19"/>
        <v>0</v>
      </c>
      <c r="BM46" s="10">
        <f t="shared" si="20"/>
        <v>0</v>
      </c>
      <c r="BN46" s="10">
        <f t="shared" si="21"/>
        <v>0</v>
      </c>
      <c r="BO46" s="10">
        <f t="shared" si="22"/>
        <v>48</v>
      </c>
      <c r="BP46" s="10">
        <f t="shared" si="23"/>
        <v>48</v>
      </c>
      <c r="BQ46" s="10">
        <f t="shared" si="24"/>
        <v>47</v>
      </c>
      <c r="BR46" s="10">
        <f t="shared" si="25"/>
        <v>46</v>
      </c>
      <c r="BS46" s="10">
        <f t="shared" si="26"/>
        <v>45</v>
      </c>
      <c r="BT46" s="10">
        <f t="shared" si="27"/>
        <v>44</v>
      </c>
      <c r="BU46" s="10">
        <f t="shared" si="28"/>
        <v>43</v>
      </c>
      <c r="BV46" s="10">
        <f t="shared" si="29"/>
        <v>42</v>
      </c>
      <c r="BW46" s="10">
        <f t="shared" si="30"/>
        <v>41</v>
      </c>
      <c r="BX46" s="10">
        <f t="shared" si="31"/>
        <v>40</v>
      </c>
      <c r="BY46" s="10">
        <f t="shared" si="32"/>
        <v>39</v>
      </c>
      <c r="BZ46" s="10">
        <f t="shared" si="33"/>
        <v>38</v>
      </c>
      <c r="CA46" s="10">
        <f t="shared" si="34"/>
        <v>37</v>
      </c>
      <c r="CB46" s="10">
        <f t="shared" si="35"/>
        <v>36</v>
      </c>
      <c r="CC46" s="10">
        <f t="shared" si="36"/>
        <v>35</v>
      </c>
      <c r="CD46" s="10">
        <f t="shared" si="37"/>
        <v>34</v>
      </c>
      <c r="CE46" s="10">
        <f t="shared" si="38"/>
        <v>33</v>
      </c>
      <c r="CF46" s="10">
        <f t="shared" si="39"/>
        <v>32</v>
      </c>
      <c r="CG46" s="10">
        <f t="shared" si="40"/>
        <v>31</v>
      </c>
      <c r="CH46" s="10">
        <f t="shared" si="41"/>
        <v>30</v>
      </c>
      <c r="CI46" s="10">
        <f t="shared" si="42"/>
        <v>29</v>
      </c>
      <c r="CJ46" s="10">
        <f t="shared" si="43"/>
        <v>28</v>
      </c>
      <c r="CK46" s="10">
        <f t="shared" si="44"/>
        <v>27</v>
      </c>
      <c r="CL46" s="10">
        <f t="shared" si="45"/>
        <v>26</v>
      </c>
      <c r="CM46" s="10" t="str">
        <f>'役職希望調査 ・備考'!I16&amp;""</f>
        <v/>
      </c>
    </row>
    <row r="47" spans="1:91">
      <c r="A47" s="10" t="str">
        <f>時間希望調査!A17&amp;""</f>
        <v/>
      </c>
      <c r="B47" s="10" t="str">
        <f>時間希望調査!B17&amp;""</f>
        <v/>
      </c>
      <c r="C47" s="10" t="str">
        <f>時間希望調査!C17&amp;""</f>
        <v/>
      </c>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0">
        <f t="shared" si="46"/>
        <v>0</v>
      </c>
      <c r="BC47" s="10">
        <f>時間希望調査!D17</f>
        <v>0</v>
      </c>
      <c r="BD47" s="10" t="str">
        <f>'役職希望調査 ・備考'!D17&amp;""</f>
        <v/>
      </c>
      <c r="BE47" s="10" t="str">
        <f>'役職希望調査 ・備考'!E17&amp;""</f>
        <v/>
      </c>
      <c r="BF47" s="10" t="str">
        <f>'役職希望調査 ・備考'!F17&amp;""</f>
        <v/>
      </c>
      <c r="BG47" s="10" t="str">
        <f>'役職希望調査 ・備考'!G17&amp;""</f>
        <v/>
      </c>
      <c r="BH47" s="10" t="str">
        <f>'役職希望調査 ・備考'!H17&amp;""</f>
        <v/>
      </c>
      <c r="BI47" s="10">
        <f t="shared" si="16"/>
        <v>0</v>
      </c>
      <c r="BJ47" s="10">
        <f t="shared" si="17"/>
        <v>0</v>
      </c>
      <c r="BK47" s="10">
        <f t="shared" si="18"/>
        <v>0</v>
      </c>
      <c r="BL47" s="10">
        <f t="shared" si="19"/>
        <v>0</v>
      </c>
      <c r="BM47" s="10">
        <f t="shared" si="20"/>
        <v>0</v>
      </c>
      <c r="BN47" s="10">
        <f t="shared" si="21"/>
        <v>0</v>
      </c>
      <c r="BO47" s="10">
        <f t="shared" si="22"/>
        <v>48</v>
      </c>
      <c r="BP47" s="10">
        <f t="shared" si="23"/>
        <v>48</v>
      </c>
      <c r="BQ47" s="10">
        <f t="shared" si="24"/>
        <v>47</v>
      </c>
      <c r="BR47" s="10">
        <f t="shared" si="25"/>
        <v>46</v>
      </c>
      <c r="BS47" s="10">
        <f t="shared" si="26"/>
        <v>45</v>
      </c>
      <c r="BT47" s="10">
        <f t="shared" si="27"/>
        <v>44</v>
      </c>
      <c r="BU47" s="10">
        <f t="shared" si="28"/>
        <v>43</v>
      </c>
      <c r="BV47" s="10">
        <f t="shared" si="29"/>
        <v>42</v>
      </c>
      <c r="BW47" s="10">
        <f t="shared" si="30"/>
        <v>41</v>
      </c>
      <c r="BX47" s="10">
        <f t="shared" si="31"/>
        <v>40</v>
      </c>
      <c r="BY47" s="10">
        <f t="shared" si="32"/>
        <v>39</v>
      </c>
      <c r="BZ47" s="10">
        <f t="shared" si="33"/>
        <v>38</v>
      </c>
      <c r="CA47" s="10">
        <f t="shared" si="34"/>
        <v>37</v>
      </c>
      <c r="CB47" s="10">
        <f t="shared" si="35"/>
        <v>36</v>
      </c>
      <c r="CC47" s="10">
        <f t="shared" si="36"/>
        <v>35</v>
      </c>
      <c r="CD47" s="10">
        <f t="shared" si="37"/>
        <v>34</v>
      </c>
      <c r="CE47" s="10">
        <f t="shared" si="38"/>
        <v>33</v>
      </c>
      <c r="CF47" s="10">
        <f t="shared" si="39"/>
        <v>32</v>
      </c>
      <c r="CG47" s="10">
        <f t="shared" si="40"/>
        <v>31</v>
      </c>
      <c r="CH47" s="10">
        <f t="shared" si="41"/>
        <v>30</v>
      </c>
      <c r="CI47" s="10">
        <f t="shared" si="42"/>
        <v>29</v>
      </c>
      <c r="CJ47" s="10">
        <f t="shared" si="43"/>
        <v>28</v>
      </c>
      <c r="CK47" s="10">
        <f t="shared" si="44"/>
        <v>27</v>
      </c>
      <c r="CL47" s="10">
        <f t="shared" si="45"/>
        <v>26</v>
      </c>
      <c r="CM47" s="10" t="str">
        <f>'役職希望調査 ・備考'!I17&amp;""</f>
        <v/>
      </c>
    </row>
    <row r="48" spans="1:91">
      <c r="A48" s="10" t="str">
        <f>時間希望調査!A18&amp;""</f>
        <v/>
      </c>
      <c r="B48" s="10" t="str">
        <f>時間希望調査!B18&amp;""</f>
        <v/>
      </c>
      <c r="C48" s="10" t="str">
        <f>時間希望調査!C18&amp;""</f>
        <v/>
      </c>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0">
        <f t="shared" si="46"/>
        <v>0</v>
      </c>
      <c r="BC48" s="10">
        <f>時間希望調査!D18</f>
        <v>0</v>
      </c>
      <c r="BD48" s="10" t="str">
        <f>'役職希望調査 ・備考'!D18&amp;""</f>
        <v/>
      </c>
      <c r="BE48" s="10" t="str">
        <f>'役職希望調査 ・備考'!E18&amp;""</f>
        <v/>
      </c>
      <c r="BF48" s="10" t="str">
        <f>'役職希望調査 ・備考'!F18&amp;""</f>
        <v/>
      </c>
      <c r="BG48" s="10" t="str">
        <f>'役職希望調査 ・備考'!G18&amp;""</f>
        <v/>
      </c>
      <c r="BH48" s="10" t="str">
        <f>'役職希望調査 ・備考'!H18&amp;""</f>
        <v/>
      </c>
      <c r="BI48" s="10">
        <f t="shared" si="16"/>
        <v>0</v>
      </c>
      <c r="BJ48" s="10">
        <f t="shared" si="17"/>
        <v>0</v>
      </c>
      <c r="BK48" s="10">
        <f t="shared" si="18"/>
        <v>0</v>
      </c>
      <c r="BL48" s="10">
        <f t="shared" si="19"/>
        <v>0</v>
      </c>
      <c r="BM48" s="10">
        <f t="shared" si="20"/>
        <v>0</v>
      </c>
      <c r="BN48" s="10">
        <f t="shared" si="21"/>
        <v>0</v>
      </c>
      <c r="BO48" s="10">
        <f t="shared" si="22"/>
        <v>48</v>
      </c>
      <c r="BP48" s="10">
        <f t="shared" si="23"/>
        <v>48</v>
      </c>
      <c r="BQ48" s="10">
        <f t="shared" si="24"/>
        <v>47</v>
      </c>
      <c r="BR48" s="10">
        <f t="shared" si="25"/>
        <v>46</v>
      </c>
      <c r="BS48" s="10">
        <f t="shared" si="26"/>
        <v>45</v>
      </c>
      <c r="BT48" s="10">
        <f t="shared" si="27"/>
        <v>44</v>
      </c>
      <c r="BU48" s="10">
        <f t="shared" si="28"/>
        <v>43</v>
      </c>
      <c r="BV48" s="10">
        <f t="shared" si="29"/>
        <v>42</v>
      </c>
      <c r="BW48" s="10">
        <f t="shared" si="30"/>
        <v>41</v>
      </c>
      <c r="BX48" s="10">
        <f t="shared" si="31"/>
        <v>40</v>
      </c>
      <c r="BY48" s="10">
        <f t="shared" si="32"/>
        <v>39</v>
      </c>
      <c r="BZ48" s="10">
        <f t="shared" si="33"/>
        <v>38</v>
      </c>
      <c r="CA48" s="10">
        <f t="shared" si="34"/>
        <v>37</v>
      </c>
      <c r="CB48" s="10">
        <f t="shared" si="35"/>
        <v>36</v>
      </c>
      <c r="CC48" s="10">
        <f t="shared" si="36"/>
        <v>35</v>
      </c>
      <c r="CD48" s="10">
        <f t="shared" si="37"/>
        <v>34</v>
      </c>
      <c r="CE48" s="10">
        <f t="shared" si="38"/>
        <v>33</v>
      </c>
      <c r="CF48" s="10">
        <f t="shared" si="39"/>
        <v>32</v>
      </c>
      <c r="CG48" s="10">
        <f t="shared" si="40"/>
        <v>31</v>
      </c>
      <c r="CH48" s="10">
        <f t="shared" si="41"/>
        <v>30</v>
      </c>
      <c r="CI48" s="10">
        <f t="shared" si="42"/>
        <v>29</v>
      </c>
      <c r="CJ48" s="10">
        <f t="shared" si="43"/>
        <v>28</v>
      </c>
      <c r="CK48" s="10">
        <f t="shared" si="44"/>
        <v>27</v>
      </c>
      <c r="CL48" s="10">
        <f t="shared" si="45"/>
        <v>26</v>
      </c>
      <c r="CM48" s="10" t="str">
        <f>'役職希望調査 ・備考'!I18&amp;""</f>
        <v/>
      </c>
    </row>
    <row r="49" spans="1:91">
      <c r="A49" s="10" t="str">
        <f>時間希望調査!A19&amp;""</f>
        <v/>
      </c>
      <c r="B49" s="10" t="str">
        <f>時間希望調査!B19&amp;""</f>
        <v/>
      </c>
      <c r="C49" s="10" t="str">
        <f>時間希望調査!C19&amp;""</f>
        <v/>
      </c>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0">
        <f t="shared" si="46"/>
        <v>0</v>
      </c>
      <c r="BC49" s="10">
        <f>時間希望調査!D19</f>
        <v>0</v>
      </c>
      <c r="BD49" s="10" t="str">
        <f>'役職希望調査 ・備考'!D19&amp;""</f>
        <v/>
      </c>
      <c r="BE49" s="10" t="str">
        <f>'役職希望調査 ・備考'!E19&amp;""</f>
        <v/>
      </c>
      <c r="BF49" s="10" t="str">
        <f>'役職希望調査 ・備考'!F19&amp;""</f>
        <v/>
      </c>
      <c r="BG49" s="10" t="str">
        <f>'役職希望調査 ・備考'!G19&amp;""</f>
        <v/>
      </c>
      <c r="BH49" s="10" t="str">
        <f>'役職希望調査 ・備考'!H19&amp;""</f>
        <v/>
      </c>
      <c r="BI49" s="10">
        <f t="shared" si="16"/>
        <v>0</v>
      </c>
      <c r="BJ49" s="10">
        <f t="shared" si="17"/>
        <v>0</v>
      </c>
      <c r="BK49" s="10">
        <f t="shared" si="18"/>
        <v>0</v>
      </c>
      <c r="BL49" s="10">
        <f t="shared" si="19"/>
        <v>0</v>
      </c>
      <c r="BM49" s="10">
        <f t="shared" si="20"/>
        <v>0</v>
      </c>
      <c r="BN49" s="10">
        <f t="shared" si="21"/>
        <v>0</v>
      </c>
      <c r="BO49" s="10">
        <f t="shared" si="22"/>
        <v>48</v>
      </c>
      <c r="BP49" s="10">
        <f t="shared" si="23"/>
        <v>48</v>
      </c>
      <c r="BQ49" s="10">
        <f t="shared" si="24"/>
        <v>47</v>
      </c>
      <c r="BR49" s="10">
        <f t="shared" si="25"/>
        <v>46</v>
      </c>
      <c r="BS49" s="10">
        <f t="shared" si="26"/>
        <v>45</v>
      </c>
      <c r="BT49" s="10">
        <f t="shared" si="27"/>
        <v>44</v>
      </c>
      <c r="BU49" s="10">
        <f t="shared" si="28"/>
        <v>43</v>
      </c>
      <c r="BV49" s="10">
        <f t="shared" si="29"/>
        <v>42</v>
      </c>
      <c r="BW49" s="10">
        <f t="shared" si="30"/>
        <v>41</v>
      </c>
      <c r="BX49" s="10">
        <f t="shared" si="31"/>
        <v>40</v>
      </c>
      <c r="BY49" s="10">
        <f t="shared" si="32"/>
        <v>39</v>
      </c>
      <c r="BZ49" s="10">
        <f t="shared" si="33"/>
        <v>38</v>
      </c>
      <c r="CA49" s="10">
        <f t="shared" si="34"/>
        <v>37</v>
      </c>
      <c r="CB49" s="10">
        <f t="shared" si="35"/>
        <v>36</v>
      </c>
      <c r="CC49" s="10">
        <f t="shared" si="36"/>
        <v>35</v>
      </c>
      <c r="CD49" s="10">
        <f t="shared" si="37"/>
        <v>34</v>
      </c>
      <c r="CE49" s="10">
        <f t="shared" si="38"/>
        <v>33</v>
      </c>
      <c r="CF49" s="10">
        <f t="shared" si="39"/>
        <v>32</v>
      </c>
      <c r="CG49" s="10">
        <f t="shared" si="40"/>
        <v>31</v>
      </c>
      <c r="CH49" s="10">
        <f t="shared" si="41"/>
        <v>30</v>
      </c>
      <c r="CI49" s="10">
        <f t="shared" si="42"/>
        <v>29</v>
      </c>
      <c r="CJ49" s="10">
        <f t="shared" si="43"/>
        <v>28</v>
      </c>
      <c r="CK49" s="10">
        <f t="shared" si="44"/>
        <v>27</v>
      </c>
      <c r="CL49" s="10">
        <f t="shared" si="45"/>
        <v>26</v>
      </c>
      <c r="CM49" s="10" t="str">
        <f>'役職希望調査 ・備考'!I19&amp;""</f>
        <v/>
      </c>
    </row>
    <row r="50" spans="1:91">
      <c r="A50" s="10" t="str">
        <f>時間希望調査!A20&amp;""</f>
        <v/>
      </c>
      <c r="B50" s="10" t="str">
        <f>時間希望調査!B20&amp;""</f>
        <v/>
      </c>
      <c r="C50" s="10" t="str">
        <f>時間希望調査!C20&amp;""</f>
        <v/>
      </c>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0">
        <f t="shared" si="46"/>
        <v>0</v>
      </c>
      <c r="BC50" s="10">
        <f>時間希望調査!D20</f>
        <v>0</v>
      </c>
      <c r="BD50" s="10" t="str">
        <f>'役職希望調査 ・備考'!D20&amp;""</f>
        <v/>
      </c>
      <c r="BE50" s="10" t="str">
        <f>'役職希望調査 ・備考'!E20&amp;""</f>
        <v/>
      </c>
      <c r="BF50" s="10" t="str">
        <f>'役職希望調査 ・備考'!F20&amp;""</f>
        <v/>
      </c>
      <c r="BG50" s="10" t="str">
        <f>'役職希望調査 ・備考'!G20&amp;""</f>
        <v/>
      </c>
      <c r="BH50" s="10" t="str">
        <f>'役職希望調査 ・備考'!H20&amp;""</f>
        <v/>
      </c>
      <c r="BI50" s="10">
        <f t="shared" si="16"/>
        <v>0</v>
      </c>
      <c r="BJ50" s="10">
        <f t="shared" si="17"/>
        <v>0</v>
      </c>
      <c r="BK50" s="10">
        <f t="shared" si="18"/>
        <v>0</v>
      </c>
      <c r="BL50" s="10">
        <f t="shared" si="19"/>
        <v>0</v>
      </c>
      <c r="BM50" s="10">
        <f t="shared" si="20"/>
        <v>0</v>
      </c>
      <c r="BN50" s="10">
        <f t="shared" si="21"/>
        <v>0</v>
      </c>
      <c r="BO50" s="10">
        <f t="shared" si="22"/>
        <v>48</v>
      </c>
      <c r="BP50" s="10">
        <f t="shared" si="23"/>
        <v>48</v>
      </c>
      <c r="BQ50" s="10">
        <f t="shared" si="24"/>
        <v>47</v>
      </c>
      <c r="BR50" s="10">
        <f t="shared" si="25"/>
        <v>46</v>
      </c>
      <c r="BS50" s="10">
        <f t="shared" si="26"/>
        <v>45</v>
      </c>
      <c r="BT50" s="10">
        <f t="shared" si="27"/>
        <v>44</v>
      </c>
      <c r="BU50" s="10">
        <f t="shared" si="28"/>
        <v>43</v>
      </c>
      <c r="BV50" s="10">
        <f t="shared" si="29"/>
        <v>42</v>
      </c>
      <c r="BW50" s="10">
        <f t="shared" si="30"/>
        <v>41</v>
      </c>
      <c r="BX50" s="10">
        <f t="shared" si="31"/>
        <v>40</v>
      </c>
      <c r="BY50" s="10">
        <f t="shared" si="32"/>
        <v>39</v>
      </c>
      <c r="BZ50" s="10">
        <f t="shared" si="33"/>
        <v>38</v>
      </c>
      <c r="CA50" s="10">
        <f t="shared" si="34"/>
        <v>37</v>
      </c>
      <c r="CB50" s="10">
        <f t="shared" si="35"/>
        <v>36</v>
      </c>
      <c r="CC50" s="10">
        <f t="shared" si="36"/>
        <v>35</v>
      </c>
      <c r="CD50" s="10">
        <f t="shared" si="37"/>
        <v>34</v>
      </c>
      <c r="CE50" s="10">
        <f t="shared" si="38"/>
        <v>33</v>
      </c>
      <c r="CF50" s="10">
        <f t="shared" si="39"/>
        <v>32</v>
      </c>
      <c r="CG50" s="10">
        <f t="shared" si="40"/>
        <v>31</v>
      </c>
      <c r="CH50" s="10">
        <f t="shared" si="41"/>
        <v>30</v>
      </c>
      <c r="CI50" s="10">
        <f t="shared" si="42"/>
        <v>29</v>
      </c>
      <c r="CJ50" s="10">
        <f t="shared" si="43"/>
        <v>28</v>
      </c>
      <c r="CK50" s="10">
        <f t="shared" si="44"/>
        <v>27</v>
      </c>
      <c r="CL50" s="10">
        <f t="shared" si="45"/>
        <v>26</v>
      </c>
      <c r="CM50" s="10" t="str">
        <f>'役職希望調査 ・備考'!I20&amp;""</f>
        <v/>
      </c>
    </row>
    <row r="51" spans="1:91">
      <c r="A51" s="10" t="str">
        <f>時間希望調査!A21&amp;""</f>
        <v/>
      </c>
      <c r="B51" s="10" t="str">
        <f>時間希望調査!B21&amp;""</f>
        <v/>
      </c>
      <c r="C51" s="10" t="str">
        <f>時間希望調査!C21&amp;""</f>
        <v/>
      </c>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0">
        <f t="shared" si="46"/>
        <v>0</v>
      </c>
      <c r="BC51" s="10">
        <f>時間希望調査!D21</f>
        <v>0</v>
      </c>
      <c r="BD51" s="10" t="str">
        <f>'役職希望調査 ・備考'!D21&amp;""</f>
        <v/>
      </c>
      <c r="BE51" s="10" t="str">
        <f>'役職希望調査 ・備考'!E21&amp;""</f>
        <v/>
      </c>
      <c r="BF51" s="10" t="str">
        <f>'役職希望調査 ・備考'!F21&amp;""</f>
        <v/>
      </c>
      <c r="BG51" s="10" t="str">
        <f>'役職希望調査 ・備考'!G21&amp;""</f>
        <v/>
      </c>
      <c r="BH51" s="10" t="str">
        <f>'役職希望調査 ・備考'!H21&amp;""</f>
        <v/>
      </c>
      <c r="BI51" s="10">
        <f t="shared" si="16"/>
        <v>0</v>
      </c>
      <c r="BJ51" s="10">
        <f t="shared" si="17"/>
        <v>0</v>
      </c>
      <c r="BK51" s="10">
        <f t="shared" si="18"/>
        <v>0</v>
      </c>
      <c r="BL51" s="10">
        <f t="shared" si="19"/>
        <v>0</v>
      </c>
      <c r="BM51" s="10">
        <f t="shared" si="20"/>
        <v>0</v>
      </c>
      <c r="BN51" s="10">
        <f t="shared" si="21"/>
        <v>0</v>
      </c>
      <c r="BO51" s="10">
        <f t="shared" si="22"/>
        <v>48</v>
      </c>
      <c r="BP51" s="10">
        <f t="shared" si="23"/>
        <v>48</v>
      </c>
      <c r="BQ51" s="10">
        <f t="shared" si="24"/>
        <v>47</v>
      </c>
      <c r="BR51" s="10">
        <f t="shared" si="25"/>
        <v>46</v>
      </c>
      <c r="BS51" s="10">
        <f t="shared" si="26"/>
        <v>45</v>
      </c>
      <c r="BT51" s="10">
        <f t="shared" si="27"/>
        <v>44</v>
      </c>
      <c r="BU51" s="10">
        <f t="shared" si="28"/>
        <v>43</v>
      </c>
      <c r="BV51" s="10">
        <f t="shared" si="29"/>
        <v>42</v>
      </c>
      <c r="BW51" s="10">
        <f t="shared" si="30"/>
        <v>41</v>
      </c>
      <c r="BX51" s="10">
        <f t="shared" si="31"/>
        <v>40</v>
      </c>
      <c r="BY51" s="10">
        <f t="shared" si="32"/>
        <v>39</v>
      </c>
      <c r="BZ51" s="10">
        <f t="shared" si="33"/>
        <v>38</v>
      </c>
      <c r="CA51" s="10">
        <f t="shared" si="34"/>
        <v>37</v>
      </c>
      <c r="CB51" s="10">
        <f t="shared" si="35"/>
        <v>36</v>
      </c>
      <c r="CC51" s="10">
        <f t="shared" si="36"/>
        <v>35</v>
      </c>
      <c r="CD51" s="10">
        <f t="shared" si="37"/>
        <v>34</v>
      </c>
      <c r="CE51" s="10">
        <f t="shared" si="38"/>
        <v>33</v>
      </c>
      <c r="CF51" s="10">
        <f t="shared" si="39"/>
        <v>32</v>
      </c>
      <c r="CG51" s="10">
        <f t="shared" si="40"/>
        <v>31</v>
      </c>
      <c r="CH51" s="10">
        <f t="shared" si="41"/>
        <v>30</v>
      </c>
      <c r="CI51" s="10">
        <f t="shared" si="42"/>
        <v>29</v>
      </c>
      <c r="CJ51" s="10">
        <f t="shared" si="43"/>
        <v>28</v>
      </c>
      <c r="CK51" s="10">
        <f t="shared" si="44"/>
        <v>27</v>
      </c>
      <c r="CL51" s="10">
        <f t="shared" si="45"/>
        <v>26</v>
      </c>
      <c r="CM51" s="10" t="str">
        <f>'役職希望調査 ・備考'!I21&amp;""</f>
        <v/>
      </c>
    </row>
    <row r="52" spans="1:91">
      <c r="A52" s="10" t="str">
        <f>時間希望調査!A22&amp;""</f>
        <v/>
      </c>
      <c r="B52" s="10" t="str">
        <f>時間希望調査!B22&amp;""</f>
        <v/>
      </c>
      <c r="C52" s="10" t="str">
        <f>時間希望調査!C22&amp;""</f>
        <v/>
      </c>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0">
        <f t="shared" si="46"/>
        <v>0</v>
      </c>
      <c r="BC52" s="10">
        <f>時間希望調査!D22</f>
        <v>0</v>
      </c>
      <c r="BD52" s="10" t="str">
        <f>'役職希望調査 ・備考'!D22&amp;""</f>
        <v/>
      </c>
      <c r="BE52" s="10" t="str">
        <f>'役職希望調査 ・備考'!E22&amp;""</f>
        <v/>
      </c>
      <c r="BF52" s="10" t="str">
        <f>'役職希望調査 ・備考'!F22&amp;""</f>
        <v/>
      </c>
      <c r="BG52" s="10" t="str">
        <f>'役職希望調査 ・備考'!G22&amp;""</f>
        <v/>
      </c>
      <c r="BH52" s="10" t="str">
        <f>'役職希望調査 ・備考'!H22&amp;""</f>
        <v/>
      </c>
      <c r="BI52" s="10">
        <f t="shared" si="16"/>
        <v>0</v>
      </c>
      <c r="BJ52" s="10">
        <f t="shared" si="17"/>
        <v>0</v>
      </c>
      <c r="BK52" s="10">
        <f t="shared" si="18"/>
        <v>0</v>
      </c>
      <c r="BL52" s="10">
        <f t="shared" si="19"/>
        <v>0</v>
      </c>
      <c r="BM52" s="10">
        <f t="shared" si="20"/>
        <v>0</v>
      </c>
      <c r="BN52" s="10">
        <f t="shared" si="21"/>
        <v>0</v>
      </c>
      <c r="BO52" s="10">
        <f t="shared" si="22"/>
        <v>48</v>
      </c>
      <c r="BP52" s="10">
        <f t="shared" si="23"/>
        <v>48</v>
      </c>
      <c r="BQ52" s="10">
        <f t="shared" si="24"/>
        <v>47</v>
      </c>
      <c r="BR52" s="10">
        <f t="shared" si="25"/>
        <v>46</v>
      </c>
      <c r="BS52" s="10">
        <f t="shared" si="26"/>
        <v>45</v>
      </c>
      <c r="BT52" s="10">
        <f t="shared" si="27"/>
        <v>44</v>
      </c>
      <c r="BU52" s="10">
        <f t="shared" si="28"/>
        <v>43</v>
      </c>
      <c r="BV52" s="10">
        <f t="shared" si="29"/>
        <v>42</v>
      </c>
      <c r="BW52" s="10">
        <f t="shared" si="30"/>
        <v>41</v>
      </c>
      <c r="BX52" s="10">
        <f t="shared" si="31"/>
        <v>40</v>
      </c>
      <c r="BY52" s="10">
        <f t="shared" si="32"/>
        <v>39</v>
      </c>
      <c r="BZ52" s="10">
        <f t="shared" si="33"/>
        <v>38</v>
      </c>
      <c r="CA52" s="10">
        <f t="shared" si="34"/>
        <v>37</v>
      </c>
      <c r="CB52" s="10">
        <f t="shared" si="35"/>
        <v>36</v>
      </c>
      <c r="CC52" s="10">
        <f t="shared" si="36"/>
        <v>35</v>
      </c>
      <c r="CD52" s="10">
        <f t="shared" si="37"/>
        <v>34</v>
      </c>
      <c r="CE52" s="10">
        <f t="shared" si="38"/>
        <v>33</v>
      </c>
      <c r="CF52" s="10">
        <f t="shared" si="39"/>
        <v>32</v>
      </c>
      <c r="CG52" s="10">
        <f t="shared" si="40"/>
        <v>31</v>
      </c>
      <c r="CH52" s="10">
        <f t="shared" si="41"/>
        <v>30</v>
      </c>
      <c r="CI52" s="10">
        <f t="shared" si="42"/>
        <v>29</v>
      </c>
      <c r="CJ52" s="10">
        <f t="shared" si="43"/>
        <v>28</v>
      </c>
      <c r="CK52" s="10">
        <f t="shared" si="44"/>
        <v>27</v>
      </c>
      <c r="CL52" s="10">
        <f t="shared" si="45"/>
        <v>26</v>
      </c>
      <c r="CM52" s="10" t="str">
        <f>'役職希望調査 ・備考'!I22&amp;""</f>
        <v/>
      </c>
    </row>
    <row r="53" spans="1:91">
      <c r="A53" s="10" t="str">
        <f>時間希望調査!A23&amp;""</f>
        <v/>
      </c>
      <c r="B53" s="10" t="str">
        <f>時間希望調査!B23&amp;""</f>
        <v/>
      </c>
      <c r="C53" s="10" t="str">
        <f>時間希望調査!C23&amp;""</f>
        <v/>
      </c>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0">
        <f t="shared" si="46"/>
        <v>0</v>
      </c>
      <c r="BC53" s="10">
        <f>時間希望調査!D23</f>
        <v>0</v>
      </c>
      <c r="BD53" s="10" t="str">
        <f>'役職希望調査 ・備考'!D23&amp;""</f>
        <v/>
      </c>
      <c r="BE53" s="10" t="str">
        <f>'役職希望調査 ・備考'!E23&amp;""</f>
        <v/>
      </c>
      <c r="BF53" s="10" t="str">
        <f>'役職希望調査 ・備考'!F23&amp;""</f>
        <v/>
      </c>
      <c r="BG53" s="10" t="str">
        <f>'役職希望調査 ・備考'!G23&amp;""</f>
        <v/>
      </c>
      <c r="BH53" s="10" t="str">
        <f>'役職希望調査 ・備考'!H23&amp;""</f>
        <v/>
      </c>
      <c r="BI53" s="10">
        <f t="shared" si="16"/>
        <v>0</v>
      </c>
      <c r="BJ53" s="10">
        <f t="shared" si="17"/>
        <v>0</v>
      </c>
      <c r="BK53" s="10">
        <f t="shared" si="18"/>
        <v>0</v>
      </c>
      <c r="BL53" s="10">
        <f t="shared" si="19"/>
        <v>0</v>
      </c>
      <c r="BM53" s="10">
        <f t="shared" si="20"/>
        <v>0</v>
      </c>
      <c r="BN53" s="10">
        <f t="shared" si="21"/>
        <v>0</v>
      </c>
      <c r="BO53" s="10">
        <f t="shared" si="22"/>
        <v>48</v>
      </c>
      <c r="BP53" s="10">
        <f t="shared" si="23"/>
        <v>48</v>
      </c>
      <c r="BQ53" s="10">
        <f t="shared" si="24"/>
        <v>47</v>
      </c>
      <c r="BR53" s="10">
        <f t="shared" si="25"/>
        <v>46</v>
      </c>
      <c r="BS53" s="10">
        <f t="shared" si="26"/>
        <v>45</v>
      </c>
      <c r="BT53" s="10">
        <f t="shared" si="27"/>
        <v>44</v>
      </c>
      <c r="BU53" s="10">
        <f t="shared" si="28"/>
        <v>43</v>
      </c>
      <c r="BV53" s="10">
        <f t="shared" si="29"/>
        <v>42</v>
      </c>
      <c r="BW53" s="10">
        <f t="shared" si="30"/>
        <v>41</v>
      </c>
      <c r="BX53" s="10">
        <f t="shared" si="31"/>
        <v>40</v>
      </c>
      <c r="BY53" s="10">
        <f t="shared" si="32"/>
        <v>39</v>
      </c>
      <c r="BZ53" s="10">
        <f t="shared" si="33"/>
        <v>38</v>
      </c>
      <c r="CA53" s="10">
        <f t="shared" si="34"/>
        <v>37</v>
      </c>
      <c r="CB53" s="10">
        <f t="shared" si="35"/>
        <v>36</v>
      </c>
      <c r="CC53" s="10">
        <f t="shared" si="36"/>
        <v>35</v>
      </c>
      <c r="CD53" s="10">
        <f t="shared" si="37"/>
        <v>34</v>
      </c>
      <c r="CE53" s="10">
        <f t="shared" si="38"/>
        <v>33</v>
      </c>
      <c r="CF53" s="10">
        <f t="shared" si="39"/>
        <v>32</v>
      </c>
      <c r="CG53" s="10">
        <f t="shared" si="40"/>
        <v>31</v>
      </c>
      <c r="CH53" s="10">
        <f t="shared" si="41"/>
        <v>30</v>
      </c>
      <c r="CI53" s="10">
        <f t="shared" si="42"/>
        <v>29</v>
      </c>
      <c r="CJ53" s="10">
        <f t="shared" si="43"/>
        <v>28</v>
      </c>
      <c r="CK53" s="10">
        <f t="shared" si="44"/>
        <v>27</v>
      </c>
      <c r="CL53" s="10">
        <f t="shared" si="45"/>
        <v>26</v>
      </c>
      <c r="CM53" s="10" t="str">
        <f>'役職希望調査 ・備考'!I23&amp;""</f>
        <v/>
      </c>
    </row>
    <row r="54" spans="1:91">
      <c r="A54" s="10" t="str">
        <f>時間希望調査!A24&amp;""</f>
        <v/>
      </c>
      <c r="B54" s="10" t="str">
        <f>時間希望調査!B24&amp;""</f>
        <v/>
      </c>
      <c r="C54" s="10" t="str">
        <f>時間希望調査!C24&amp;""</f>
        <v/>
      </c>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0">
        <f t="shared" si="46"/>
        <v>0</v>
      </c>
      <c r="BC54" s="10">
        <f>時間希望調査!D24</f>
        <v>0</v>
      </c>
      <c r="BD54" s="10" t="str">
        <f>'役職希望調査 ・備考'!D24&amp;""</f>
        <v/>
      </c>
      <c r="BE54" s="10" t="str">
        <f>'役職希望調査 ・備考'!E24&amp;""</f>
        <v/>
      </c>
      <c r="BF54" s="10" t="str">
        <f>'役職希望調査 ・備考'!F24&amp;""</f>
        <v/>
      </c>
      <c r="BG54" s="10" t="str">
        <f>'役職希望調査 ・備考'!G24&amp;""</f>
        <v/>
      </c>
      <c r="BH54" s="10" t="str">
        <f>'役職希望調査 ・備考'!H24&amp;""</f>
        <v/>
      </c>
      <c r="BI54" s="10">
        <f t="shared" si="16"/>
        <v>0</v>
      </c>
      <c r="BJ54" s="10">
        <f t="shared" si="17"/>
        <v>0</v>
      </c>
      <c r="BK54" s="10">
        <f t="shared" si="18"/>
        <v>0</v>
      </c>
      <c r="BL54" s="10">
        <f t="shared" si="19"/>
        <v>0</v>
      </c>
      <c r="BM54" s="10">
        <f t="shared" si="20"/>
        <v>0</v>
      </c>
      <c r="BN54" s="10">
        <f t="shared" si="21"/>
        <v>0</v>
      </c>
      <c r="BO54" s="10">
        <f t="shared" si="22"/>
        <v>48</v>
      </c>
      <c r="BP54" s="10">
        <f t="shared" si="23"/>
        <v>48</v>
      </c>
      <c r="BQ54" s="10">
        <f t="shared" si="24"/>
        <v>47</v>
      </c>
      <c r="BR54" s="10">
        <f t="shared" si="25"/>
        <v>46</v>
      </c>
      <c r="BS54" s="10">
        <f t="shared" si="26"/>
        <v>45</v>
      </c>
      <c r="BT54" s="10">
        <f t="shared" si="27"/>
        <v>44</v>
      </c>
      <c r="BU54" s="10">
        <f t="shared" si="28"/>
        <v>43</v>
      </c>
      <c r="BV54" s="10">
        <f t="shared" si="29"/>
        <v>42</v>
      </c>
      <c r="BW54" s="10">
        <f t="shared" si="30"/>
        <v>41</v>
      </c>
      <c r="BX54" s="10">
        <f t="shared" si="31"/>
        <v>40</v>
      </c>
      <c r="BY54" s="10">
        <f t="shared" si="32"/>
        <v>39</v>
      </c>
      <c r="BZ54" s="10">
        <f t="shared" si="33"/>
        <v>38</v>
      </c>
      <c r="CA54" s="10">
        <f t="shared" si="34"/>
        <v>37</v>
      </c>
      <c r="CB54" s="10">
        <f t="shared" si="35"/>
        <v>36</v>
      </c>
      <c r="CC54" s="10">
        <f t="shared" si="36"/>
        <v>35</v>
      </c>
      <c r="CD54" s="10">
        <f t="shared" si="37"/>
        <v>34</v>
      </c>
      <c r="CE54" s="10">
        <f t="shared" si="38"/>
        <v>33</v>
      </c>
      <c r="CF54" s="10">
        <f t="shared" si="39"/>
        <v>32</v>
      </c>
      <c r="CG54" s="10">
        <f t="shared" si="40"/>
        <v>31</v>
      </c>
      <c r="CH54" s="10">
        <f t="shared" si="41"/>
        <v>30</v>
      </c>
      <c r="CI54" s="10">
        <f t="shared" si="42"/>
        <v>29</v>
      </c>
      <c r="CJ54" s="10">
        <f t="shared" si="43"/>
        <v>28</v>
      </c>
      <c r="CK54" s="10">
        <f t="shared" si="44"/>
        <v>27</v>
      </c>
      <c r="CL54" s="10">
        <f t="shared" si="45"/>
        <v>26</v>
      </c>
      <c r="CM54" s="10" t="str">
        <f>'役職希望調査 ・備考'!I24&amp;""</f>
        <v/>
      </c>
    </row>
    <row r="55" spans="1:91">
      <c r="A55" s="10" t="str">
        <f>時間希望調査!A25&amp;""</f>
        <v/>
      </c>
      <c r="B55" s="10" t="str">
        <f>時間希望調査!B25&amp;""</f>
        <v/>
      </c>
      <c r="C55" s="10" t="str">
        <f>時間希望調査!C25&amp;""</f>
        <v/>
      </c>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0">
        <f t="shared" si="46"/>
        <v>0</v>
      </c>
      <c r="BC55" s="10">
        <f>時間希望調査!D25</f>
        <v>0</v>
      </c>
      <c r="BD55" s="10" t="str">
        <f>'役職希望調査 ・備考'!D25&amp;""</f>
        <v/>
      </c>
      <c r="BE55" s="10" t="str">
        <f>'役職希望調査 ・備考'!E25&amp;""</f>
        <v/>
      </c>
      <c r="BF55" s="10" t="str">
        <f>'役職希望調査 ・備考'!F25&amp;""</f>
        <v/>
      </c>
      <c r="BG55" s="10" t="str">
        <f>'役職希望調査 ・備考'!G25&amp;""</f>
        <v/>
      </c>
      <c r="BH55" s="10" t="str">
        <f>'役職希望調査 ・備考'!H25&amp;""</f>
        <v/>
      </c>
      <c r="BI55" s="10">
        <f t="shared" si="16"/>
        <v>0</v>
      </c>
      <c r="BJ55" s="10">
        <f t="shared" si="17"/>
        <v>0</v>
      </c>
      <c r="BK55" s="10">
        <f t="shared" si="18"/>
        <v>0</v>
      </c>
      <c r="BL55" s="10">
        <f t="shared" si="19"/>
        <v>0</v>
      </c>
      <c r="BM55" s="10">
        <f t="shared" si="20"/>
        <v>0</v>
      </c>
      <c r="BN55" s="10">
        <f t="shared" si="21"/>
        <v>0</v>
      </c>
      <c r="BO55" s="10">
        <f t="shared" si="22"/>
        <v>48</v>
      </c>
      <c r="BP55" s="10">
        <f t="shared" si="23"/>
        <v>48</v>
      </c>
      <c r="BQ55" s="10">
        <f t="shared" si="24"/>
        <v>47</v>
      </c>
      <c r="BR55" s="10">
        <f t="shared" si="25"/>
        <v>46</v>
      </c>
      <c r="BS55" s="10">
        <f t="shared" si="26"/>
        <v>45</v>
      </c>
      <c r="BT55" s="10">
        <f t="shared" si="27"/>
        <v>44</v>
      </c>
      <c r="BU55" s="10">
        <f t="shared" si="28"/>
        <v>43</v>
      </c>
      <c r="BV55" s="10">
        <f t="shared" si="29"/>
        <v>42</v>
      </c>
      <c r="BW55" s="10">
        <f t="shared" si="30"/>
        <v>41</v>
      </c>
      <c r="BX55" s="10">
        <f t="shared" si="31"/>
        <v>40</v>
      </c>
      <c r="BY55" s="10">
        <f t="shared" si="32"/>
        <v>39</v>
      </c>
      <c r="BZ55" s="10">
        <f t="shared" si="33"/>
        <v>38</v>
      </c>
      <c r="CA55" s="10">
        <f t="shared" si="34"/>
        <v>37</v>
      </c>
      <c r="CB55" s="10">
        <f t="shared" si="35"/>
        <v>36</v>
      </c>
      <c r="CC55" s="10">
        <f t="shared" si="36"/>
        <v>35</v>
      </c>
      <c r="CD55" s="10">
        <f t="shared" si="37"/>
        <v>34</v>
      </c>
      <c r="CE55" s="10">
        <f t="shared" si="38"/>
        <v>33</v>
      </c>
      <c r="CF55" s="10">
        <f t="shared" si="39"/>
        <v>32</v>
      </c>
      <c r="CG55" s="10">
        <f t="shared" si="40"/>
        <v>31</v>
      </c>
      <c r="CH55" s="10">
        <f t="shared" si="41"/>
        <v>30</v>
      </c>
      <c r="CI55" s="10">
        <f t="shared" si="42"/>
        <v>29</v>
      </c>
      <c r="CJ55" s="10">
        <f t="shared" si="43"/>
        <v>28</v>
      </c>
      <c r="CK55" s="10">
        <f t="shared" si="44"/>
        <v>27</v>
      </c>
      <c r="CL55" s="10">
        <f t="shared" si="45"/>
        <v>26</v>
      </c>
      <c r="CM55" s="10" t="str">
        <f>'役職希望調査 ・備考'!I25&amp;""</f>
        <v/>
      </c>
    </row>
    <row r="56" spans="1:91">
      <c r="A56" s="10" t="str">
        <f>時間希望調査!A26&amp;""</f>
        <v/>
      </c>
      <c r="B56" s="10" t="str">
        <f>時間希望調査!B26&amp;""</f>
        <v/>
      </c>
      <c r="C56" s="10" t="str">
        <f>時間希望調査!C26&amp;""</f>
        <v/>
      </c>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0">
        <f t="shared" si="46"/>
        <v>0</v>
      </c>
      <c r="BC56" s="10">
        <f>時間希望調査!D26</f>
        <v>0</v>
      </c>
      <c r="BD56" s="10" t="str">
        <f>'役職希望調査 ・備考'!D26&amp;""</f>
        <v/>
      </c>
      <c r="BE56" s="10" t="str">
        <f>'役職希望調査 ・備考'!E26&amp;""</f>
        <v/>
      </c>
      <c r="BF56" s="10" t="str">
        <f>'役職希望調査 ・備考'!F26&amp;""</f>
        <v/>
      </c>
      <c r="BG56" s="10" t="str">
        <f>'役職希望調査 ・備考'!G26&amp;""</f>
        <v/>
      </c>
      <c r="BH56" s="10" t="str">
        <f>'役職希望調査 ・備考'!H26&amp;""</f>
        <v/>
      </c>
      <c r="BI56" s="10">
        <f t="shared" si="16"/>
        <v>0</v>
      </c>
      <c r="BJ56" s="10">
        <f t="shared" si="17"/>
        <v>0</v>
      </c>
      <c r="BK56" s="10">
        <f t="shared" si="18"/>
        <v>0</v>
      </c>
      <c r="BL56" s="10">
        <f t="shared" si="19"/>
        <v>0</v>
      </c>
      <c r="BM56" s="10">
        <f t="shared" si="20"/>
        <v>0</v>
      </c>
      <c r="BN56" s="10">
        <f t="shared" si="21"/>
        <v>0</v>
      </c>
      <c r="BO56" s="10">
        <f t="shared" si="22"/>
        <v>48</v>
      </c>
      <c r="BP56" s="10">
        <f t="shared" si="23"/>
        <v>48</v>
      </c>
      <c r="BQ56" s="10">
        <f t="shared" si="24"/>
        <v>47</v>
      </c>
      <c r="BR56" s="10">
        <f t="shared" si="25"/>
        <v>46</v>
      </c>
      <c r="BS56" s="10">
        <f t="shared" si="26"/>
        <v>45</v>
      </c>
      <c r="BT56" s="10">
        <f t="shared" si="27"/>
        <v>44</v>
      </c>
      <c r="BU56" s="10">
        <f t="shared" si="28"/>
        <v>43</v>
      </c>
      <c r="BV56" s="10">
        <f t="shared" si="29"/>
        <v>42</v>
      </c>
      <c r="BW56" s="10">
        <f t="shared" si="30"/>
        <v>41</v>
      </c>
      <c r="BX56" s="10">
        <f t="shared" si="31"/>
        <v>40</v>
      </c>
      <c r="BY56" s="10">
        <f t="shared" si="32"/>
        <v>39</v>
      </c>
      <c r="BZ56" s="10">
        <f t="shared" si="33"/>
        <v>38</v>
      </c>
      <c r="CA56" s="10">
        <f t="shared" si="34"/>
        <v>37</v>
      </c>
      <c r="CB56" s="10">
        <f t="shared" si="35"/>
        <v>36</v>
      </c>
      <c r="CC56" s="10">
        <f t="shared" si="36"/>
        <v>35</v>
      </c>
      <c r="CD56" s="10">
        <f t="shared" si="37"/>
        <v>34</v>
      </c>
      <c r="CE56" s="10">
        <f t="shared" si="38"/>
        <v>33</v>
      </c>
      <c r="CF56" s="10">
        <f t="shared" si="39"/>
        <v>32</v>
      </c>
      <c r="CG56" s="10">
        <f t="shared" si="40"/>
        <v>31</v>
      </c>
      <c r="CH56" s="10">
        <f t="shared" si="41"/>
        <v>30</v>
      </c>
      <c r="CI56" s="10">
        <f t="shared" si="42"/>
        <v>29</v>
      </c>
      <c r="CJ56" s="10">
        <f t="shared" si="43"/>
        <v>28</v>
      </c>
      <c r="CK56" s="10">
        <f t="shared" si="44"/>
        <v>27</v>
      </c>
      <c r="CL56" s="10">
        <f t="shared" si="45"/>
        <v>26</v>
      </c>
      <c r="CM56" s="10" t="str">
        <f>'役職希望調査 ・備考'!I26&amp;""</f>
        <v/>
      </c>
    </row>
    <row r="57" spans="1:91">
      <c r="A57" s="10" t="str">
        <f>時間希望調査!A27&amp;""</f>
        <v/>
      </c>
      <c r="B57" s="10" t="str">
        <f>時間希望調査!B27&amp;""</f>
        <v/>
      </c>
      <c r="C57" s="10" t="str">
        <f>時間希望調査!C27&amp;""</f>
        <v/>
      </c>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0">
        <f t="shared" si="46"/>
        <v>0</v>
      </c>
      <c r="BC57" s="10">
        <f>時間希望調査!D27</f>
        <v>0</v>
      </c>
      <c r="BD57" s="10" t="str">
        <f>'役職希望調査 ・備考'!D27&amp;""</f>
        <v/>
      </c>
      <c r="BE57" s="10" t="str">
        <f>'役職希望調査 ・備考'!E27&amp;""</f>
        <v/>
      </c>
      <c r="BF57" s="10" t="str">
        <f>'役職希望調査 ・備考'!F27&amp;""</f>
        <v/>
      </c>
      <c r="BG57" s="10" t="str">
        <f>'役職希望調査 ・備考'!G27&amp;""</f>
        <v/>
      </c>
      <c r="BH57" s="10" t="str">
        <f>'役職希望調査 ・備考'!H27&amp;""</f>
        <v/>
      </c>
      <c r="BI57" s="10">
        <f t="shared" si="16"/>
        <v>0</v>
      </c>
      <c r="BJ57" s="10">
        <f t="shared" si="17"/>
        <v>0</v>
      </c>
      <c r="BK57" s="10">
        <f t="shared" si="18"/>
        <v>0</v>
      </c>
      <c r="BL57" s="10">
        <f t="shared" si="19"/>
        <v>0</v>
      </c>
      <c r="BM57" s="10">
        <f t="shared" si="20"/>
        <v>0</v>
      </c>
      <c r="BN57" s="10">
        <f t="shared" si="21"/>
        <v>0</v>
      </c>
      <c r="BO57" s="10">
        <f t="shared" si="22"/>
        <v>48</v>
      </c>
      <c r="BP57" s="10">
        <f t="shared" si="23"/>
        <v>48</v>
      </c>
      <c r="BQ57" s="10">
        <f t="shared" si="24"/>
        <v>47</v>
      </c>
      <c r="BR57" s="10">
        <f t="shared" si="25"/>
        <v>46</v>
      </c>
      <c r="BS57" s="10">
        <f t="shared" si="26"/>
        <v>45</v>
      </c>
      <c r="BT57" s="10">
        <f t="shared" si="27"/>
        <v>44</v>
      </c>
      <c r="BU57" s="10">
        <f t="shared" si="28"/>
        <v>43</v>
      </c>
      <c r="BV57" s="10">
        <f t="shared" si="29"/>
        <v>42</v>
      </c>
      <c r="BW57" s="10">
        <f t="shared" si="30"/>
        <v>41</v>
      </c>
      <c r="BX57" s="10">
        <f t="shared" si="31"/>
        <v>40</v>
      </c>
      <c r="BY57" s="10">
        <f t="shared" si="32"/>
        <v>39</v>
      </c>
      <c r="BZ57" s="10">
        <f t="shared" si="33"/>
        <v>38</v>
      </c>
      <c r="CA57" s="10">
        <f t="shared" si="34"/>
        <v>37</v>
      </c>
      <c r="CB57" s="10">
        <f t="shared" si="35"/>
        <v>36</v>
      </c>
      <c r="CC57" s="10">
        <f t="shared" si="36"/>
        <v>35</v>
      </c>
      <c r="CD57" s="10">
        <f t="shared" si="37"/>
        <v>34</v>
      </c>
      <c r="CE57" s="10">
        <f t="shared" si="38"/>
        <v>33</v>
      </c>
      <c r="CF57" s="10">
        <f t="shared" si="39"/>
        <v>32</v>
      </c>
      <c r="CG57" s="10">
        <f t="shared" si="40"/>
        <v>31</v>
      </c>
      <c r="CH57" s="10">
        <f t="shared" si="41"/>
        <v>30</v>
      </c>
      <c r="CI57" s="10">
        <f t="shared" si="42"/>
        <v>29</v>
      </c>
      <c r="CJ57" s="10">
        <f t="shared" si="43"/>
        <v>28</v>
      </c>
      <c r="CK57" s="10">
        <f t="shared" si="44"/>
        <v>27</v>
      </c>
      <c r="CL57" s="10">
        <f t="shared" si="45"/>
        <v>26</v>
      </c>
      <c r="CM57" s="10" t="str">
        <f>'役職希望調査 ・備考'!I27&amp;""</f>
        <v/>
      </c>
    </row>
    <row r="58" spans="1:91">
      <c r="A58" s="10" t="str">
        <f>時間希望調査!A28&amp;""</f>
        <v/>
      </c>
      <c r="B58" s="10" t="str">
        <f>時間希望調査!B28&amp;""</f>
        <v/>
      </c>
      <c r="C58" s="10" t="str">
        <f>時間希望調査!C28&amp;""</f>
        <v/>
      </c>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0">
        <f t="shared" si="46"/>
        <v>0</v>
      </c>
      <c r="BC58" s="10">
        <f>時間希望調査!D28</f>
        <v>0</v>
      </c>
      <c r="BD58" s="10" t="str">
        <f>'役職希望調査 ・備考'!D28&amp;""</f>
        <v/>
      </c>
      <c r="BE58" s="10" t="str">
        <f>'役職希望調査 ・備考'!E28&amp;""</f>
        <v/>
      </c>
      <c r="BF58" s="10" t="str">
        <f>'役職希望調査 ・備考'!F28&amp;""</f>
        <v/>
      </c>
      <c r="BG58" s="10" t="str">
        <f>'役職希望調査 ・備考'!G28&amp;""</f>
        <v/>
      </c>
      <c r="BH58" s="10" t="str">
        <f>'役職希望調査 ・備考'!H28&amp;""</f>
        <v/>
      </c>
      <c r="BI58" s="10">
        <f t="shared" si="16"/>
        <v>0</v>
      </c>
      <c r="BJ58" s="10">
        <f t="shared" si="17"/>
        <v>0</v>
      </c>
      <c r="BK58" s="10">
        <f t="shared" si="18"/>
        <v>0</v>
      </c>
      <c r="BL58" s="10">
        <f t="shared" si="19"/>
        <v>0</v>
      </c>
      <c r="BM58" s="10">
        <f t="shared" si="20"/>
        <v>0</v>
      </c>
      <c r="BN58" s="10">
        <f t="shared" si="21"/>
        <v>0</v>
      </c>
      <c r="BO58" s="10">
        <f t="shared" si="22"/>
        <v>48</v>
      </c>
      <c r="BP58" s="10">
        <f t="shared" si="23"/>
        <v>48</v>
      </c>
      <c r="BQ58" s="10">
        <f t="shared" si="24"/>
        <v>47</v>
      </c>
      <c r="BR58" s="10">
        <f t="shared" si="25"/>
        <v>46</v>
      </c>
      <c r="BS58" s="10">
        <f t="shared" si="26"/>
        <v>45</v>
      </c>
      <c r="BT58" s="10">
        <f t="shared" si="27"/>
        <v>44</v>
      </c>
      <c r="BU58" s="10">
        <f t="shared" si="28"/>
        <v>43</v>
      </c>
      <c r="BV58" s="10">
        <f t="shared" si="29"/>
        <v>42</v>
      </c>
      <c r="BW58" s="10">
        <f t="shared" si="30"/>
        <v>41</v>
      </c>
      <c r="BX58" s="10">
        <f t="shared" si="31"/>
        <v>40</v>
      </c>
      <c r="BY58" s="10">
        <f t="shared" si="32"/>
        <v>39</v>
      </c>
      <c r="BZ58" s="10">
        <f t="shared" si="33"/>
        <v>38</v>
      </c>
      <c r="CA58" s="10">
        <f t="shared" si="34"/>
        <v>37</v>
      </c>
      <c r="CB58" s="10">
        <f t="shared" si="35"/>
        <v>36</v>
      </c>
      <c r="CC58" s="10">
        <f t="shared" si="36"/>
        <v>35</v>
      </c>
      <c r="CD58" s="10">
        <f t="shared" si="37"/>
        <v>34</v>
      </c>
      <c r="CE58" s="10">
        <f t="shared" si="38"/>
        <v>33</v>
      </c>
      <c r="CF58" s="10">
        <f t="shared" si="39"/>
        <v>32</v>
      </c>
      <c r="CG58" s="10">
        <f t="shared" si="40"/>
        <v>31</v>
      </c>
      <c r="CH58" s="10">
        <f t="shared" si="41"/>
        <v>30</v>
      </c>
      <c r="CI58" s="10">
        <f t="shared" si="42"/>
        <v>29</v>
      </c>
      <c r="CJ58" s="10">
        <f t="shared" si="43"/>
        <v>28</v>
      </c>
      <c r="CK58" s="10">
        <f t="shared" si="44"/>
        <v>27</v>
      </c>
      <c r="CL58" s="10">
        <f t="shared" si="45"/>
        <v>26</v>
      </c>
      <c r="CM58" s="10" t="str">
        <f>'役職希望調査 ・備考'!I28&amp;""</f>
        <v/>
      </c>
    </row>
    <row r="59" spans="1:91">
      <c r="A59" s="10" t="str">
        <f>時間希望調査!A29&amp;""</f>
        <v/>
      </c>
      <c r="B59" s="10" t="str">
        <f>時間希望調査!B29&amp;""</f>
        <v/>
      </c>
      <c r="C59" s="10" t="str">
        <f>時間希望調査!C29&amp;""</f>
        <v/>
      </c>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0">
        <f t="shared" si="46"/>
        <v>0</v>
      </c>
      <c r="BC59" s="10">
        <f>時間希望調査!D29</f>
        <v>0</v>
      </c>
      <c r="BD59" s="10" t="str">
        <f>'役職希望調査 ・備考'!D29&amp;""</f>
        <v/>
      </c>
      <c r="BE59" s="10" t="str">
        <f>'役職希望調査 ・備考'!E29&amp;""</f>
        <v/>
      </c>
      <c r="BF59" s="10" t="str">
        <f>'役職希望調査 ・備考'!F29&amp;""</f>
        <v/>
      </c>
      <c r="BG59" s="10" t="str">
        <f>'役職希望調査 ・備考'!G29&amp;""</f>
        <v/>
      </c>
      <c r="BH59" s="10" t="str">
        <f>'役職希望調査 ・備考'!H29&amp;""</f>
        <v/>
      </c>
      <c r="BI59" s="10">
        <f t="shared" si="16"/>
        <v>0</v>
      </c>
      <c r="BJ59" s="10">
        <f t="shared" si="17"/>
        <v>0</v>
      </c>
      <c r="BK59" s="10">
        <f t="shared" si="18"/>
        <v>0</v>
      </c>
      <c r="BL59" s="10">
        <f t="shared" si="19"/>
        <v>0</v>
      </c>
      <c r="BM59" s="10">
        <f t="shared" si="20"/>
        <v>0</v>
      </c>
      <c r="BN59" s="10">
        <f t="shared" si="21"/>
        <v>0</v>
      </c>
      <c r="BO59" s="10">
        <f t="shared" si="22"/>
        <v>48</v>
      </c>
      <c r="BP59" s="10">
        <f t="shared" si="23"/>
        <v>48</v>
      </c>
      <c r="BQ59" s="10">
        <f t="shared" si="24"/>
        <v>47</v>
      </c>
      <c r="BR59" s="10">
        <f t="shared" si="25"/>
        <v>46</v>
      </c>
      <c r="BS59" s="10">
        <f t="shared" si="26"/>
        <v>45</v>
      </c>
      <c r="BT59" s="10">
        <f t="shared" si="27"/>
        <v>44</v>
      </c>
      <c r="BU59" s="10">
        <f t="shared" si="28"/>
        <v>43</v>
      </c>
      <c r="BV59" s="10">
        <f t="shared" si="29"/>
        <v>42</v>
      </c>
      <c r="BW59" s="10">
        <f t="shared" si="30"/>
        <v>41</v>
      </c>
      <c r="BX59" s="10">
        <f t="shared" si="31"/>
        <v>40</v>
      </c>
      <c r="BY59" s="10">
        <f t="shared" si="32"/>
        <v>39</v>
      </c>
      <c r="BZ59" s="10">
        <f t="shared" si="33"/>
        <v>38</v>
      </c>
      <c r="CA59" s="10">
        <f t="shared" si="34"/>
        <v>37</v>
      </c>
      <c r="CB59" s="10">
        <f t="shared" si="35"/>
        <v>36</v>
      </c>
      <c r="CC59" s="10">
        <f t="shared" si="36"/>
        <v>35</v>
      </c>
      <c r="CD59" s="10">
        <f t="shared" si="37"/>
        <v>34</v>
      </c>
      <c r="CE59" s="10">
        <f t="shared" si="38"/>
        <v>33</v>
      </c>
      <c r="CF59" s="10">
        <f t="shared" si="39"/>
        <v>32</v>
      </c>
      <c r="CG59" s="10">
        <f t="shared" si="40"/>
        <v>31</v>
      </c>
      <c r="CH59" s="10">
        <f t="shared" si="41"/>
        <v>30</v>
      </c>
      <c r="CI59" s="10">
        <f t="shared" si="42"/>
        <v>29</v>
      </c>
      <c r="CJ59" s="10">
        <f t="shared" si="43"/>
        <v>28</v>
      </c>
      <c r="CK59" s="10">
        <f t="shared" si="44"/>
        <v>27</v>
      </c>
      <c r="CL59" s="10">
        <f t="shared" si="45"/>
        <v>26</v>
      </c>
      <c r="CM59" s="10" t="str">
        <f>'役職希望調査 ・備考'!I29&amp;""</f>
        <v/>
      </c>
    </row>
    <row r="60" spans="1:91">
      <c r="A60" s="10" t="str">
        <f>時間希望調査!A30&amp;""</f>
        <v/>
      </c>
      <c r="B60" s="10" t="str">
        <f>時間希望調査!B30&amp;""</f>
        <v/>
      </c>
      <c r="C60" s="10" t="str">
        <f>時間希望調査!C30&amp;""</f>
        <v/>
      </c>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0">
        <f t="shared" si="46"/>
        <v>0</v>
      </c>
      <c r="BC60" s="10">
        <f>時間希望調査!D30</f>
        <v>0</v>
      </c>
      <c r="BD60" s="10" t="str">
        <f>'役職希望調査 ・備考'!D30&amp;""</f>
        <v/>
      </c>
      <c r="BE60" s="10" t="str">
        <f>'役職希望調査 ・備考'!E30&amp;""</f>
        <v/>
      </c>
      <c r="BF60" s="10" t="str">
        <f>'役職希望調査 ・備考'!F30&amp;""</f>
        <v/>
      </c>
      <c r="BG60" s="10" t="str">
        <f>'役職希望調査 ・備考'!G30&amp;""</f>
        <v/>
      </c>
      <c r="BH60" s="10" t="str">
        <f>'役職希望調査 ・備考'!H30&amp;""</f>
        <v/>
      </c>
      <c r="BI60" s="10">
        <f t="shared" si="16"/>
        <v>0</v>
      </c>
      <c r="BJ60" s="10">
        <f t="shared" si="17"/>
        <v>0</v>
      </c>
      <c r="BK60" s="10">
        <f t="shared" si="18"/>
        <v>0</v>
      </c>
      <c r="BL60" s="10">
        <f t="shared" si="19"/>
        <v>0</v>
      </c>
      <c r="BM60" s="10">
        <f t="shared" si="20"/>
        <v>0</v>
      </c>
      <c r="BN60" s="10">
        <f t="shared" si="21"/>
        <v>0</v>
      </c>
      <c r="BO60" s="10">
        <f t="shared" si="22"/>
        <v>48</v>
      </c>
      <c r="BP60" s="10">
        <f t="shared" si="23"/>
        <v>48</v>
      </c>
      <c r="BQ60" s="10">
        <f t="shared" si="24"/>
        <v>47</v>
      </c>
      <c r="BR60" s="10">
        <f t="shared" si="25"/>
        <v>46</v>
      </c>
      <c r="BS60" s="10">
        <f t="shared" si="26"/>
        <v>45</v>
      </c>
      <c r="BT60" s="10">
        <f t="shared" si="27"/>
        <v>44</v>
      </c>
      <c r="BU60" s="10">
        <f t="shared" si="28"/>
        <v>43</v>
      </c>
      <c r="BV60" s="10">
        <f t="shared" si="29"/>
        <v>42</v>
      </c>
      <c r="BW60" s="10">
        <f t="shared" si="30"/>
        <v>41</v>
      </c>
      <c r="BX60" s="10">
        <f t="shared" si="31"/>
        <v>40</v>
      </c>
      <c r="BY60" s="10">
        <f t="shared" si="32"/>
        <v>39</v>
      </c>
      <c r="BZ60" s="10">
        <f t="shared" si="33"/>
        <v>38</v>
      </c>
      <c r="CA60" s="10">
        <f t="shared" si="34"/>
        <v>37</v>
      </c>
      <c r="CB60" s="10">
        <f t="shared" si="35"/>
        <v>36</v>
      </c>
      <c r="CC60" s="10">
        <f t="shared" si="36"/>
        <v>35</v>
      </c>
      <c r="CD60" s="10">
        <f t="shared" si="37"/>
        <v>34</v>
      </c>
      <c r="CE60" s="10">
        <f t="shared" si="38"/>
        <v>33</v>
      </c>
      <c r="CF60" s="10">
        <f t="shared" si="39"/>
        <v>32</v>
      </c>
      <c r="CG60" s="10">
        <f t="shared" si="40"/>
        <v>31</v>
      </c>
      <c r="CH60" s="10">
        <f t="shared" si="41"/>
        <v>30</v>
      </c>
      <c r="CI60" s="10">
        <f t="shared" si="42"/>
        <v>29</v>
      </c>
      <c r="CJ60" s="10">
        <f t="shared" si="43"/>
        <v>28</v>
      </c>
      <c r="CK60" s="10">
        <f t="shared" si="44"/>
        <v>27</v>
      </c>
      <c r="CL60" s="10">
        <f t="shared" si="45"/>
        <v>26</v>
      </c>
      <c r="CM60" s="10" t="str">
        <f>'役職希望調査 ・備考'!I30&amp;""</f>
        <v/>
      </c>
    </row>
    <row r="61" spans="1:91">
      <c r="A61" s="10" t="str">
        <f>時間希望調査!A31&amp;""</f>
        <v/>
      </c>
      <c r="B61" s="10" t="str">
        <f>時間希望調査!B31&amp;""</f>
        <v/>
      </c>
      <c r="C61" s="10" t="str">
        <f>時間希望調査!C31&amp;""</f>
        <v/>
      </c>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0">
        <f t="shared" si="46"/>
        <v>0</v>
      </c>
      <c r="BC61" s="10">
        <f>時間希望調査!D31</f>
        <v>0</v>
      </c>
      <c r="BD61" s="10" t="str">
        <f>'役職希望調査 ・備考'!D31&amp;""</f>
        <v/>
      </c>
      <c r="BE61" s="10" t="str">
        <f>'役職希望調査 ・備考'!E31&amp;""</f>
        <v/>
      </c>
      <c r="BF61" s="10" t="str">
        <f>'役職希望調査 ・備考'!F31&amp;""</f>
        <v/>
      </c>
      <c r="BG61" s="10" t="str">
        <f>'役職希望調査 ・備考'!G31&amp;""</f>
        <v/>
      </c>
      <c r="BH61" s="10" t="str">
        <f>'役職希望調査 ・備考'!H31&amp;""</f>
        <v/>
      </c>
      <c r="BI61" s="10">
        <f t="shared" si="16"/>
        <v>0</v>
      </c>
      <c r="BJ61" s="10">
        <f t="shared" si="17"/>
        <v>0</v>
      </c>
      <c r="BK61" s="10">
        <f t="shared" si="18"/>
        <v>0</v>
      </c>
      <c r="BL61" s="10">
        <f t="shared" si="19"/>
        <v>0</v>
      </c>
      <c r="BM61" s="10">
        <f t="shared" si="20"/>
        <v>0</v>
      </c>
      <c r="BN61" s="10">
        <f t="shared" si="21"/>
        <v>0</v>
      </c>
      <c r="BO61" s="10">
        <f t="shared" si="22"/>
        <v>48</v>
      </c>
      <c r="BP61" s="10">
        <f t="shared" si="23"/>
        <v>48</v>
      </c>
      <c r="BQ61" s="10">
        <f t="shared" si="24"/>
        <v>47</v>
      </c>
      <c r="BR61" s="10">
        <f t="shared" si="25"/>
        <v>46</v>
      </c>
      <c r="BS61" s="10">
        <f t="shared" si="26"/>
        <v>45</v>
      </c>
      <c r="BT61" s="10">
        <f t="shared" si="27"/>
        <v>44</v>
      </c>
      <c r="BU61" s="10">
        <f t="shared" si="28"/>
        <v>43</v>
      </c>
      <c r="BV61" s="10">
        <f t="shared" si="29"/>
        <v>42</v>
      </c>
      <c r="BW61" s="10">
        <f t="shared" si="30"/>
        <v>41</v>
      </c>
      <c r="BX61" s="10">
        <f t="shared" si="31"/>
        <v>40</v>
      </c>
      <c r="BY61" s="10">
        <f t="shared" si="32"/>
        <v>39</v>
      </c>
      <c r="BZ61" s="10">
        <f t="shared" si="33"/>
        <v>38</v>
      </c>
      <c r="CA61" s="10">
        <f t="shared" si="34"/>
        <v>37</v>
      </c>
      <c r="CB61" s="10">
        <f t="shared" si="35"/>
        <v>36</v>
      </c>
      <c r="CC61" s="10">
        <f t="shared" si="36"/>
        <v>35</v>
      </c>
      <c r="CD61" s="10">
        <f t="shared" si="37"/>
        <v>34</v>
      </c>
      <c r="CE61" s="10">
        <f t="shared" si="38"/>
        <v>33</v>
      </c>
      <c r="CF61" s="10">
        <f t="shared" si="39"/>
        <v>32</v>
      </c>
      <c r="CG61" s="10">
        <f t="shared" si="40"/>
        <v>31</v>
      </c>
      <c r="CH61" s="10">
        <f t="shared" si="41"/>
        <v>30</v>
      </c>
      <c r="CI61" s="10">
        <f t="shared" si="42"/>
        <v>29</v>
      </c>
      <c r="CJ61" s="10">
        <f t="shared" si="43"/>
        <v>28</v>
      </c>
      <c r="CK61" s="10">
        <f t="shared" si="44"/>
        <v>27</v>
      </c>
      <c r="CL61" s="10">
        <f t="shared" si="45"/>
        <v>26</v>
      </c>
      <c r="CM61" s="10" t="str">
        <f>'役職希望調査 ・備考'!I31&amp;""</f>
        <v/>
      </c>
    </row>
    <row r="62" spans="1:91">
      <c r="A62" s="10" t="str">
        <f>時間希望調査!A32&amp;""</f>
        <v/>
      </c>
      <c r="B62" s="10" t="str">
        <f>時間希望調査!B32&amp;""</f>
        <v/>
      </c>
      <c r="C62" s="10" t="str">
        <f>時間希望調査!C32&amp;""</f>
        <v/>
      </c>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0">
        <f t="shared" si="46"/>
        <v>0</v>
      </c>
      <c r="BC62" s="10">
        <f>時間希望調査!D32</f>
        <v>0</v>
      </c>
      <c r="BD62" s="10" t="str">
        <f>'役職希望調査 ・備考'!D32&amp;""</f>
        <v/>
      </c>
      <c r="BE62" s="10" t="str">
        <f>'役職希望調査 ・備考'!E32&amp;""</f>
        <v/>
      </c>
      <c r="BF62" s="10" t="str">
        <f>'役職希望調査 ・備考'!F32&amp;""</f>
        <v/>
      </c>
      <c r="BG62" s="10" t="str">
        <f>'役職希望調査 ・備考'!G32&amp;""</f>
        <v/>
      </c>
      <c r="BH62" s="10" t="str">
        <f>'役職希望調査 ・備考'!H32&amp;""</f>
        <v/>
      </c>
      <c r="BI62" s="10">
        <f t="shared" si="16"/>
        <v>0</v>
      </c>
      <c r="BJ62" s="10">
        <f t="shared" si="17"/>
        <v>0</v>
      </c>
      <c r="BK62" s="10">
        <f t="shared" si="18"/>
        <v>0</v>
      </c>
      <c r="BL62" s="10">
        <f t="shared" si="19"/>
        <v>0</v>
      </c>
      <c r="BM62" s="10">
        <f t="shared" si="20"/>
        <v>0</v>
      </c>
      <c r="BN62" s="10">
        <f t="shared" si="21"/>
        <v>0</v>
      </c>
      <c r="BO62" s="10">
        <f t="shared" si="22"/>
        <v>48</v>
      </c>
      <c r="BP62" s="10">
        <f t="shared" si="23"/>
        <v>48</v>
      </c>
      <c r="BQ62" s="10">
        <f t="shared" si="24"/>
        <v>47</v>
      </c>
      <c r="BR62" s="10">
        <f t="shared" si="25"/>
        <v>46</v>
      </c>
      <c r="BS62" s="10">
        <f t="shared" si="26"/>
        <v>45</v>
      </c>
      <c r="BT62" s="10">
        <f t="shared" si="27"/>
        <v>44</v>
      </c>
      <c r="BU62" s="10">
        <f t="shared" si="28"/>
        <v>43</v>
      </c>
      <c r="BV62" s="10">
        <f t="shared" si="29"/>
        <v>42</v>
      </c>
      <c r="BW62" s="10">
        <f t="shared" si="30"/>
        <v>41</v>
      </c>
      <c r="BX62" s="10">
        <f t="shared" si="31"/>
        <v>40</v>
      </c>
      <c r="BY62" s="10">
        <f t="shared" si="32"/>
        <v>39</v>
      </c>
      <c r="BZ62" s="10">
        <f t="shared" si="33"/>
        <v>38</v>
      </c>
      <c r="CA62" s="10">
        <f t="shared" si="34"/>
        <v>37</v>
      </c>
      <c r="CB62" s="10">
        <f t="shared" si="35"/>
        <v>36</v>
      </c>
      <c r="CC62" s="10">
        <f t="shared" si="36"/>
        <v>35</v>
      </c>
      <c r="CD62" s="10">
        <f t="shared" si="37"/>
        <v>34</v>
      </c>
      <c r="CE62" s="10">
        <f t="shared" si="38"/>
        <v>33</v>
      </c>
      <c r="CF62" s="10">
        <f t="shared" si="39"/>
        <v>32</v>
      </c>
      <c r="CG62" s="10">
        <f t="shared" si="40"/>
        <v>31</v>
      </c>
      <c r="CH62" s="10">
        <f t="shared" si="41"/>
        <v>30</v>
      </c>
      <c r="CI62" s="10">
        <f t="shared" si="42"/>
        <v>29</v>
      </c>
      <c r="CJ62" s="10">
        <f t="shared" si="43"/>
        <v>28</v>
      </c>
      <c r="CK62" s="10">
        <f t="shared" si="44"/>
        <v>27</v>
      </c>
      <c r="CL62" s="10">
        <f t="shared" si="45"/>
        <v>26</v>
      </c>
      <c r="CM62" s="10" t="str">
        <f>'役職希望調査 ・備考'!I32&amp;""</f>
        <v/>
      </c>
    </row>
    <row r="63" spans="1:91">
      <c r="A63" s="10" t="str">
        <f>時間希望調査!A33&amp;""</f>
        <v/>
      </c>
      <c r="B63" s="10" t="str">
        <f>時間希望調査!B33&amp;""</f>
        <v/>
      </c>
      <c r="C63" s="10" t="str">
        <f>時間希望調査!C33&amp;""</f>
        <v/>
      </c>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0">
        <f t="shared" si="46"/>
        <v>0</v>
      </c>
      <c r="BC63" s="10">
        <f>時間希望調査!D33</f>
        <v>0</v>
      </c>
      <c r="BD63" s="10" t="str">
        <f>'役職希望調査 ・備考'!D33&amp;""</f>
        <v/>
      </c>
      <c r="BE63" s="10" t="str">
        <f>'役職希望調査 ・備考'!E33&amp;""</f>
        <v/>
      </c>
      <c r="BF63" s="10" t="str">
        <f>'役職希望調査 ・備考'!F33&amp;""</f>
        <v/>
      </c>
      <c r="BG63" s="10" t="str">
        <f>'役職希望調査 ・備考'!G33&amp;""</f>
        <v/>
      </c>
      <c r="BH63" s="10" t="str">
        <f>'役職希望調査 ・備考'!H33&amp;""</f>
        <v/>
      </c>
      <c r="BI63" s="10">
        <f t="shared" si="16"/>
        <v>0</v>
      </c>
      <c r="BJ63" s="10">
        <f t="shared" si="17"/>
        <v>0</v>
      </c>
      <c r="BK63" s="10">
        <f t="shared" si="18"/>
        <v>0</v>
      </c>
      <c r="BL63" s="10">
        <f t="shared" si="19"/>
        <v>0</v>
      </c>
      <c r="BM63" s="10">
        <f t="shared" si="20"/>
        <v>0</v>
      </c>
      <c r="BN63" s="10">
        <f t="shared" si="21"/>
        <v>0</v>
      </c>
      <c r="BO63" s="10">
        <f t="shared" si="22"/>
        <v>48</v>
      </c>
      <c r="BP63" s="10">
        <f t="shared" si="23"/>
        <v>48</v>
      </c>
      <c r="BQ63" s="10">
        <f t="shared" si="24"/>
        <v>47</v>
      </c>
      <c r="BR63" s="10">
        <f t="shared" si="25"/>
        <v>46</v>
      </c>
      <c r="BS63" s="10">
        <f t="shared" si="26"/>
        <v>45</v>
      </c>
      <c r="BT63" s="10">
        <f t="shared" si="27"/>
        <v>44</v>
      </c>
      <c r="BU63" s="10">
        <f t="shared" si="28"/>
        <v>43</v>
      </c>
      <c r="BV63" s="10">
        <f t="shared" si="29"/>
        <v>42</v>
      </c>
      <c r="BW63" s="10">
        <f t="shared" si="30"/>
        <v>41</v>
      </c>
      <c r="BX63" s="10">
        <f t="shared" si="31"/>
        <v>40</v>
      </c>
      <c r="BY63" s="10">
        <f t="shared" si="32"/>
        <v>39</v>
      </c>
      <c r="BZ63" s="10">
        <f t="shared" si="33"/>
        <v>38</v>
      </c>
      <c r="CA63" s="10">
        <f t="shared" si="34"/>
        <v>37</v>
      </c>
      <c r="CB63" s="10">
        <f t="shared" si="35"/>
        <v>36</v>
      </c>
      <c r="CC63" s="10">
        <f t="shared" si="36"/>
        <v>35</v>
      </c>
      <c r="CD63" s="10">
        <f t="shared" si="37"/>
        <v>34</v>
      </c>
      <c r="CE63" s="10">
        <f t="shared" si="38"/>
        <v>33</v>
      </c>
      <c r="CF63" s="10">
        <f t="shared" si="39"/>
        <v>32</v>
      </c>
      <c r="CG63" s="10">
        <f t="shared" si="40"/>
        <v>31</v>
      </c>
      <c r="CH63" s="10">
        <f t="shared" si="41"/>
        <v>30</v>
      </c>
      <c r="CI63" s="10">
        <f t="shared" si="42"/>
        <v>29</v>
      </c>
      <c r="CJ63" s="10">
        <f t="shared" si="43"/>
        <v>28</v>
      </c>
      <c r="CK63" s="10">
        <f t="shared" si="44"/>
        <v>27</v>
      </c>
      <c r="CL63" s="10">
        <f t="shared" si="45"/>
        <v>26</v>
      </c>
      <c r="CM63" s="10" t="str">
        <f>'役職希望調査 ・備考'!I33&amp;""</f>
        <v/>
      </c>
    </row>
    <row r="64" spans="1:91">
      <c r="A64" s="10" t="str">
        <f>時間希望調査!A34&amp;""</f>
        <v/>
      </c>
      <c r="B64" s="10" t="str">
        <f>時間希望調査!B34&amp;""</f>
        <v/>
      </c>
      <c r="C64" s="10" t="str">
        <f>時間希望調査!C34&amp;""</f>
        <v/>
      </c>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0">
        <f t="shared" si="46"/>
        <v>0</v>
      </c>
      <c r="BC64" s="10">
        <f>時間希望調査!D34</f>
        <v>0</v>
      </c>
      <c r="BD64" s="10" t="str">
        <f>'役職希望調査 ・備考'!D34&amp;""</f>
        <v/>
      </c>
      <c r="BE64" s="10" t="str">
        <f>'役職希望調査 ・備考'!E34&amp;""</f>
        <v/>
      </c>
      <c r="BF64" s="10" t="str">
        <f>'役職希望調査 ・備考'!F34&amp;""</f>
        <v/>
      </c>
      <c r="BG64" s="10" t="str">
        <f>'役職希望調査 ・備考'!G34&amp;""</f>
        <v/>
      </c>
      <c r="BH64" s="10" t="str">
        <f>'役職希望調査 ・備考'!H34&amp;""</f>
        <v/>
      </c>
      <c r="BI64" s="10">
        <f t="shared" ref="BI64:BI95" si="47">COUNTIF(D64:BA64,BI$1)</f>
        <v>0</v>
      </c>
      <c r="BJ64" s="10">
        <f t="shared" ref="BJ64:BJ95" si="48">COUNTIF(E64:BB64,BJ$1)</f>
        <v>0</v>
      </c>
      <c r="BK64" s="10">
        <f t="shared" ref="BK64:BK95" si="49">COUNTIF(F64:BC64,BK$1)</f>
        <v>0</v>
      </c>
      <c r="BL64" s="10">
        <f t="shared" ref="BL64:BL95" si="50">COUNTIF(G64:BD64,BL$1)</f>
        <v>0</v>
      </c>
      <c r="BM64" s="10">
        <f t="shared" ref="BM64:BM95" si="51">COUNTIF(H64:BE64,BM$1)</f>
        <v>0</v>
      </c>
      <c r="BN64" s="10">
        <f t="shared" ref="BN64:BN95" si="52">COUNTIF(I64:BF64,BN$1)</f>
        <v>0</v>
      </c>
      <c r="BO64" s="10">
        <f t="shared" ref="BO64:BO95" si="53">COUNTIF(J64:BG64,BO$1)</f>
        <v>48</v>
      </c>
      <c r="BP64" s="10">
        <f t="shared" ref="BP64:BP95" si="54">COUNTIF(K64:BH64,BP$1)</f>
        <v>48</v>
      </c>
      <c r="BQ64" s="10">
        <f t="shared" ref="BQ64:BQ95" si="55">COUNTIF(L64:BI64,BQ$1)</f>
        <v>47</v>
      </c>
      <c r="BR64" s="10">
        <f t="shared" ref="BR64:BR95" si="56">COUNTIF(M64:BJ64,BR$1)</f>
        <v>46</v>
      </c>
      <c r="BS64" s="10">
        <f t="shared" ref="BS64:BS95" si="57">COUNTIF(N64:BK64,BS$1)</f>
        <v>45</v>
      </c>
      <c r="BT64" s="10">
        <f t="shared" ref="BT64:BT95" si="58">COUNTIF(O64:BL64,BT$1)</f>
        <v>44</v>
      </c>
      <c r="BU64" s="10">
        <f t="shared" ref="BU64:BU95" si="59">COUNTIF(P64:BM64,BU$1)</f>
        <v>43</v>
      </c>
      <c r="BV64" s="10">
        <f t="shared" ref="BV64:BV95" si="60">COUNTIF(Q64:BN64,BV$1)</f>
        <v>42</v>
      </c>
      <c r="BW64" s="10">
        <f t="shared" ref="BW64:BW95" si="61">COUNTIF(R64:BO64,BW$1)</f>
        <v>41</v>
      </c>
      <c r="BX64" s="10">
        <f t="shared" ref="BX64:BX95" si="62">COUNTIF(S64:BP64,BX$1)</f>
        <v>40</v>
      </c>
      <c r="BY64" s="10">
        <f t="shared" ref="BY64:BY95" si="63">COUNTIF(T64:BQ64,BY$1)</f>
        <v>39</v>
      </c>
      <c r="BZ64" s="10">
        <f t="shared" ref="BZ64:BZ95" si="64">COUNTIF(U64:BR64,BZ$1)</f>
        <v>38</v>
      </c>
      <c r="CA64" s="10">
        <f t="shared" ref="CA64:CA95" si="65">COUNTIF(V64:BS64,CA$1)</f>
        <v>37</v>
      </c>
      <c r="CB64" s="10">
        <f t="shared" ref="CB64:CB95" si="66">COUNTIF(W64:BT64,CB$1)</f>
        <v>36</v>
      </c>
      <c r="CC64" s="10">
        <f t="shared" ref="CC64:CC95" si="67">COUNTIF(X64:BU64,CC$1)</f>
        <v>35</v>
      </c>
      <c r="CD64" s="10">
        <f t="shared" ref="CD64:CD95" si="68">COUNTIF(Y64:BV64,CD$1)</f>
        <v>34</v>
      </c>
      <c r="CE64" s="10">
        <f t="shared" ref="CE64:CE95" si="69">COUNTIF(Z64:BW64,CE$1)</f>
        <v>33</v>
      </c>
      <c r="CF64" s="10">
        <f t="shared" ref="CF64:CF95" si="70">COUNTIF(AA64:BX64,CF$1)</f>
        <v>32</v>
      </c>
      <c r="CG64" s="10">
        <f t="shared" ref="CG64:CG95" si="71">COUNTIF(AB64:BY64,CG$1)</f>
        <v>31</v>
      </c>
      <c r="CH64" s="10">
        <f t="shared" ref="CH64:CH95" si="72">COUNTIF(AC64:BZ64,CH$1)</f>
        <v>30</v>
      </c>
      <c r="CI64" s="10">
        <f t="shared" ref="CI64:CI95" si="73">COUNTIF(AD64:CA64,CI$1)</f>
        <v>29</v>
      </c>
      <c r="CJ64" s="10">
        <f t="shared" ref="CJ64:CJ95" si="74">COUNTIF(AE64:CB64,CJ$1)</f>
        <v>28</v>
      </c>
      <c r="CK64" s="10">
        <f t="shared" ref="CK64:CK95" si="75">COUNTIF(AF64:CC64,CK$1)</f>
        <v>27</v>
      </c>
      <c r="CL64" s="10">
        <f t="shared" ref="CL64:CL95" si="76">COUNTIF(AG64:CD64,CL$1)</f>
        <v>26</v>
      </c>
      <c r="CM64" s="10" t="str">
        <f>'役職希望調査 ・備考'!I34&amp;""</f>
        <v/>
      </c>
    </row>
    <row r="65" spans="1:91">
      <c r="A65" s="10" t="str">
        <f>時間希望調査!A35&amp;""</f>
        <v/>
      </c>
      <c r="B65" s="10" t="str">
        <f>時間希望調査!B35&amp;""</f>
        <v/>
      </c>
      <c r="C65" s="10" t="str">
        <f>時間希望調査!C35&amp;""</f>
        <v/>
      </c>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0">
        <f t="shared" si="46"/>
        <v>0</v>
      </c>
      <c r="BC65" s="10">
        <f>時間希望調査!D35</f>
        <v>0</v>
      </c>
      <c r="BD65" s="10" t="str">
        <f>'役職希望調査 ・備考'!D35&amp;""</f>
        <v/>
      </c>
      <c r="BE65" s="10" t="str">
        <f>'役職希望調査 ・備考'!E35&amp;""</f>
        <v/>
      </c>
      <c r="BF65" s="10" t="str">
        <f>'役職希望調査 ・備考'!F35&amp;""</f>
        <v/>
      </c>
      <c r="BG65" s="10" t="str">
        <f>'役職希望調査 ・備考'!G35&amp;""</f>
        <v/>
      </c>
      <c r="BH65" s="10" t="str">
        <f>'役職希望調査 ・備考'!H35&amp;""</f>
        <v/>
      </c>
      <c r="BI65" s="10">
        <f t="shared" si="47"/>
        <v>0</v>
      </c>
      <c r="BJ65" s="10">
        <f t="shared" si="48"/>
        <v>0</v>
      </c>
      <c r="BK65" s="10">
        <f t="shared" si="49"/>
        <v>0</v>
      </c>
      <c r="BL65" s="10">
        <f t="shared" si="50"/>
        <v>0</v>
      </c>
      <c r="BM65" s="10">
        <f t="shared" si="51"/>
        <v>0</v>
      </c>
      <c r="BN65" s="10">
        <f t="shared" si="52"/>
        <v>0</v>
      </c>
      <c r="BO65" s="10">
        <f t="shared" si="53"/>
        <v>48</v>
      </c>
      <c r="BP65" s="10">
        <f t="shared" si="54"/>
        <v>48</v>
      </c>
      <c r="BQ65" s="10">
        <f t="shared" si="55"/>
        <v>47</v>
      </c>
      <c r="BR65" s="10">
        <f t="shared" si="56"/>
        <v>46</v>
      </c>
      <c r="BS65" s="10">
        <f t="shared" si="57"/>
        <v>45</v>
      </c>
      <c r="BT65" s="10">
        <f t="shared" si="58"/>
        <v>44</v>
      </c>
      <c r="BU65" s="10">
        <f t="shared" si="59"/>
        <v>43</v>
      </c>
      <c r="BV65" s="10">
        <f t="shared" si="60"/>
        <v>42</v>
      </c>
      <c r="BW65" s="10">
        <f t="shared" si="61"/>
        <v>41</v>
      </c>
      <c r="BX65" s="10">
        <f t="shared" si="62"/>
        <v>40</v>
      </c>
      <c r="BY65" s="10">
        <f t="shared" si="63"/>
        <v>39</v>
      </c>
      <c r="BZ65" s="10">
        <f t="shared" si="64"/>
        <v>38</v>
      </c>
      <c r="CA65" s="10">
        <f t="shared" si="65"/>
        <v>37</v>
      </c>
      <c r="CB65" s="10">
        <f t="shared" si="66"/>
        <v>36</v>
      </c>
      <c r="CC65" s="10">
        <f t="shared" si="67"/>
        <v>35</v>
      </c>
      <c r="CD65" s="10">
        <f t="shared" si="68"/>
        <v>34</v>
      </c>
      <c r="CE65" s="10">
        <f t="shared" si="69"/>
        <v>33</v>
      </c>
      <c r="CF65" s="10">
        <f t="shared" si="70"/>
        <v>32</v>
      </c>
      <c r="CG65" s="10">
        <f t="shared" si="71"/>
        <v>31</v>
      </c>
      <c r="CH65" s="10">
        <f t="shared" si="72"/>
        <v>30</v>
      </c>
      <c r="CI65" s="10">
        <f t="shared" si="73"/>
        <v>29</v>
      </c>
      <c r="CJ65" s="10">
        <f t="shared" si="74"/>
        <v>28</v>
      </c>
      <c r="CK65" s="10">
        <f t="shared" si="75"/>
        <v>27</v>
      </c>
      <c r="CL65" s="10">
        <f t="shared" si="76"/>
        <v>26</v>
      </c>
      <c r="CM65" s="10" t="str">
        <f>'役職希望調査 ・備考'!I35&amp;""</f>
        <v/>
      </c>
    </row>
    <row r="66" spans="1:91">
      <c r="A66" s="10" t="str">
        <f>時間希望調査!A36&amp;""</f>
        <v/>
      </c>
      <c r="B66" s="10" t="str">
        <f>時間希望調査!B36&amp;""</f>
        <v/>
      </c>
      <c r="C66" s="10" t="str">
        <f>時間希望調査!C36&amp;""</f>
        <v/>
      </c>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0">
        <f t="shared" si="46"/>
        <v>0</v>
      </c>
      <c r="BC66" s="10">
        <f>時間希望調査!D36</f>
        <v>0</v>
      </c>
      <c r="BD66" s="10" t="str">
        <f>'役職希望調査 ・備考'!D36&amp;""</f>
        <v/>
      </c>
      <c r="BE66" s="10" t="str">
        <f>'役職希望調査 ・備考'!E36&amp;""</f>
        <v/>
      </c>
      <c r="BF66" s="10" t="str">
        <f>'役職希望調査 ・備考'!F36&amp;""</f>
        <v/>
      </c>
      <c r="BG66" s="10" t="str">
        <f>'役職希望調査 ・備考'!G36&amp;""</f>
        <v/>
      </c>
      <c r="BH66" s="10" t="str">
        <f>'役職希望調査 ・備考'!H36&amp;""</f>
        <v/>
      </c>
      <c r="BI66" s="10">
        <f t="shared" si="47"/>
        <v>0</v>
      </c>
      <c r="BJ66" s="10">
        <f t="shared" si="48"/>
        <v>0</v>
      </c>
      <c r="BK66" s="10">
        <f t="shared" si="49"/>
        <v>0</v>
      </c>
      <c r="BL66" s="10">
        <f t="shared" si="50"/>
        <v>0</v>
      </c>
      <c r="BM66" s="10">
        <f t="shared" si="51"/>
        <v>0</v>
      </c>
      <c r="BN66" s="10">
        <f t="shared" si="52"/>
        <v>0</v>
      </c>
      <c r="BO66" s="10">
        <f t="shared" si="53"/>
        <v>48</v>
      </c>
      <c r="BP66" s="10">
        <f t="shared" si="54"/>
        <v>48</v>
      </c>
      <c r="BQ66" s="10">
        <f t="shared" si="55"/>
        <v>47</v>
      </c>
      <c r="BR66" s="10">
        <f t="shared" si="56"/>
        <v>46</v>
      </c>
      <c r="BS66" s="10">
        <f t="shared" si="57"/>
        <v>45</v>
      </c>
      <c r="BT66" s="10">
        <f t="shared" si="58"/>
        <v>44</v>
      </c>
      <c r="BU66" s="10">
        <f t="shared" si="59"/>
        <v>43</v>
      </c>
      <c r="BV66" s="10">
        <f t="shared" si="60"/>
        <v>42</v>
      </c>
      <c r="BW66" s="10">
        <f t="shared" si="61"/>
        <v>41</v>
      </c>
      <c r="BX66" s="10">
        <f t="shared" si="62"/>
        <v>40</v>
      </c>
      <c r="BY66" s="10">
        <f t="shared" si="63"/>
        <v>39</v>
      </c>
      <c r="BZ66" s="10">
        <f t="shared" si="64"/>
        <v>38</v>
      </c>
      <c r="CA66" s="10">
        <f t="shared" si="65"/>
        <v>37</v>
      </c>
      <c r="CB66" s="10">
        <f t="shared" si="66"/>
        <v>36</v>
      </c>
      <c r="CC66" s="10">
        <f t="shared" si="67"/>
        <v>35</v>
      </c>
      <c r="CD66" s="10">
        <f t="shared" si="68"/>
        <v>34</v>
      </c>
      <c r="CE66" s="10">
        <f t="shared" si="69"/>
        <v>33</v>
      </c>
      <c r="CF66" s="10">
        <f t="shared" si="70"/>
        <v>32</v>
      </c>
      <c r="CG66" s="10">
        <f t="shared" si="71"/>
        <v>31</v>
      </c>
      <c r="CH66" s="10">
        <f t="shared" si="72"/>
        <v>30</v>
      </c>
      <c r="CI66" s="10">
        <f t="shared" si="73"/>
        <v>29</v>
      </c>
      <c r="CJ66" s="10">
        <f t="shared" si="74"/>
        <v>28</v>
      </c>
      <c r="CK66" s="10">
        <f t="shared" si="75"/>
        <v>27</v>
      </c>
      <c r="CL66" s="10">
        <f t="shared" si="76"/>
        <v>26</v>
      </c>
      <c r="CM66" s="10" t="str">
        <f>'役職希望調査 ・備考'!I36&amp;""</f>
        <v/>
      </c>
    </row>
    <row r="67" spans="1:91">
      <c r="A67" s="10" t="str">
        <f>時間希望調査!A37&amp;""</f>
        <v/>
      </c>
      <c r="B67" s="10" t="str">
        <f>時間希望調査!B37&amp;""</f>
        <v/>
      </c>
      <c r="C67" s="10" t="str">
        <f>時間希望調査!C37&amp;""</f>
        <v/>
      </c>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0">
        <f t="shared" si="46"/>
        <v>0</v>
      </c>
      <c r="BC67" s="10">
        <f>時間希望調査!D37</f>
        <v>0</v>
      </c>
      <c r="BD67" s="10" t="str">
        <f>'役職希望調査 ・備考'!D37&amp;""</f>
        <v/>
      </c>
      <c r="BE67" s="10" t="str">
        <f>'役職希望調査 ・備考'!E37&amp;""</f>
        <v/>
      </c>
      <c r="BF67" s="10" t="str">
        <f>'役職希望調査 ・備考'!F37&amp;""</f>
        <v/>
      </c>
      <c r="BG67" s="10" t="str">
        <f>'役職希望調査 ・備考'!G37&amp;""</f>
        <v/>
      </c>
      <c r="BH67" s="10" t="str">
        <f>'役職希望調査 ・備考'!H37&amp;""</f>
        <v/>
      </c>
      <c r="BI67" s="10">
        <f t="shared" si="47"/>
        <v>0</v>
      </c>
      <c r="BJ67" s="10">
        <f t="shared" si="48"/>
        <v>0</v>
      </c>
      <c r="BK67" s="10">
        <f t="shared" si="49"/>
        <v>0</v>
      </c>
      <c r="BL67" s="10">
        <f t="shared" si="50"/>
        <v>0</v>
      </c>
      <c r="BM67" s="10">
        <f t="shared" si="51"/>
        <v>0</v>
      </c>
      <c r="BN67" s="10">
        <f t="shared" si="52"/>
        <v>0</v>
      </c>
      <c r="BO67" s="10">
        <f t="shared" si="53"/>
        <v>48</v>
      </c>
      <c r="BP67" s="10">
        <f t="shared" si="54"/>
        <v>48</v>
      </c>
      <c r="BQ67" s="10">
        <f t="shared" si="55"/>
        <v>47</v>
      </c>
      <c r="BR67" s="10">
        <f t="shared" si="56"/>
        <v>46</v>
      </c>
      <c r="BS67" s="10">
        <f t="shared" si="57"/>
        <v>45</v>
      </c>
      <c r="BT67" s="10">
        <f t="shared" si="58"/>
        <v>44</v>
      </c>
      <c r="BU67" s="10">
        <f t="shared" si="59"/>
        <v>43</v>
      </c>
      <c r="BV67" s="10">
        <f t="shared" si="60"/>
        <v>42</v>
      </c>
      <c r="BW67" s="10">
        <f t="shared" si="61"/>
        <v>41</v>
      </c>
      <c r="BX67" s="10">
        <f t="shared" si="62"/>
        <v>40</v>
      </c>
      <c r="BY67" s="10">
        <f t="shared" si="63"/>
        <v>39</v>
      </c>
      <c r="BZ67" s="10">
        <f t="shared" si="64"/>
        <v>38</v>
      </c>
      <c r="CA67" s="10">
        <f t="shared" si="65"/>
        <v>37</v>
      </c>
      <c r="CB67" s="10">
        <f t="shared" si="66"/>
        <v>36</v>
      </c>
      <c r="CC67" s="10">
        <f t="shared" si="67"/>
        <v>35</v>
      </c>
      <c r="CD67" s="10">
        <f t="shared" si="68"/>
        <v>34</v>
      </c>
      <c r="CE67" s="10">
        <f t="shared" si="69"/>
        <v>33</v>
      </c>
      <c r="CF67" s="10">
        <f t="shared" si="70"/>
        <v>32</v>
      </c>
      <c r="CG67" s="10">
        <f t="shared" si="71"/>
        <v>31</v>
      </c>
      <c r="CH67" s="10">
        <f t="shared" si="72"/>
        <v>30</v>
      </c>
      <c r="CI67" s="10">
        <f t="shared" si="73"/>
        <v>29</v>
      </c>
      <c r="CJ67" s="10">
        <f t="shared" si="74"/>
        <v>28</v>
      </c>
      <c r="CK67" s="10">
        <f t="shared" si="75"/>
        <v>27</v>
      </c>
      <c r="CL67" s="10">
        <f t="shared" si="76"/>
        <v>26</v>
      </c>
      <c r="CM67" s="10" t="str">
        <f>'役職希望調査 ・備考'!I37&amp;""</f>
        <v/>
      </c>
    </row>
    <row r="68" spans="1:91">
      <c r="A68" s="10" t="str">
        <f>時間希望調査!A38&amp;""</f>
        <v/>
      </c>
      <c r="B68" s="10" t="str">
        <f>時間希望調査!B38&amp;""</f>
        <v/>
      </c>
      <c r="C68" s="10" t="str">
        <f>時間希望調査!C38&amp;""</f>
        <v/>
      </c>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0">
        <f t="shared" si="46"/>
        <v>0</v>
      </c>
      <c r="BC68" s="10">
        <f>時間希望調査!D38</f>
        <v>0</v>
      </c>
      <c r="BD68" s="10" t="str">
        <f>'役職希望調査 ・備考'!D38&amp;""</f>
        <v/>
      </c>
      <c r="BE68" s="10" t="str">
        <f>'役職希望調査 ・備考'!E38&amp;""</f>
        <v/>
      </c>
      <c r="BF68" s="10" t="str">
        <f>'役職希望調査 ・備考'!F38&amp;""</f>
        <v/>
      </c>
      <c r="BG68" s="10" t="str">
        <f>'役職希望調査 ・備考'!G38&amp;""</f>
        <v/>
      </c>
      <c r="BH68" s="10" t="str">
        <f>'役職希望調査 ・備考'!H38&amp;""</f>
        <v/>
      </c>
      <c r="BI68" s="10">
        <f t="shared" si="47"/>
        <v>0</v>
      </c>
      <c r="BJ68" s="10">
        <f t="shared" si="48"/>
        <v>0</v>
      </c>
      <c r="BK68" s="10">
        <f t="shared" si="49"/>
        <v>0</v>
      </c>
      <c r="BL68" s="10">
        <f t="shared" si="50"/>
        <v>0</v>
      </c>
      <c r="BM68" s="10">
        <f t="shared" si="51"/>
        <v>0</v>
      </c>
      <c r="BN68" s="10">
        <f t="shared" si="52"/>
        <v>0</v>
      </c>
      <c r="BO68" s="10">
        <f t="shared" si="53"/>
        <v>48</v>
      </c>
      <c r="BP68" s="10">
        <f t="shared" si="54"/>
        <v>48</v>
      </c>
      <c r="BQ68" s="10">
        <f t="shared" si="55"/>
        <v>47</v>
      </c>
      <c r="BR68" s="10">
        <f t="shared" si="56"/>
        <v>46</v>
      </c>
      <c r="BS68" s="10">
        <f t="shared" si="57"/>
        <v>45</v>
      </c>
      <c r="BT68" s="10">
        <f t="shared" si="58"/>
        <v>44</v>
      </c>
      <c r="BU68" s="10">
        <f t="shared" si="59"/>
        <v>43</v>
      </c>
      <c r="BV68" s="10">
        <f t="shared" si="60"/>
        <v>42</v>
      </c>
      <c r="BW68" s="10">
        <f t="shared" si="61"/>
        <v>41</v>
      </c>
      <c r="BX68" s="10">
        <f t="shared" si="62"/>
        <v>40</v>
      </c>
      <c r="BY68" s="10">
        <f t="shared" si="63"/>
        <v>39</v>
      </c>
      <c r="BZ68" s="10">
        <f t="shared" si="64"/>
        <v>38</v>
      </c>
      <c r="CA68" s="10">
        <f t="shared" si="65"/>
        <v>37</v>
      </c>
      <c r="CB68" s="10">
        <f t="shared" si="66"/>
        <v>36</v>
      </c>
      <c r="CC68" s="10">
        <f t="shared" si="67"/>
        <v>35</v>
      </c>
      <c r="CD68" s="10">
        <f t="shared" si="68"/>
        <v>34</v>
      </c>
      <c r="CE68" s="10">
        <f t="shared" si="69"/>
        <v>33</v>
      </c>
      <c r="CF68" s="10">
        <f t="shared" si="70"/>
        <v>32</v>
      </c>
      <c r="CG68" s="10">
        <f t="shared" si="71"/>
        <v>31</v>
      </c>
      <c r="CH68" s="10">
        <f t="shared" si="72"/>
        <v>30</v>
      </c>
      <c r="CI68" s="10">
        <f t="shared" si="73"/>
        <v>29</v>
      </c>
      <c r="CJ68" s="10">
        <f t="shared" si="74"/>
        <v>28</v>
      </c>
      <c r="CK68" s="10">
        <f t="shared" si="75"/>
        <v>27</v>
      </c>
      <c r="CL68" s="10">
        <f t="shared" si="76"/>
        <v>26</v>
      </c>
      <c r="CM68" s="10" t="str">
        <f>'役職希望調査 ・備考'!I38&amp;""</f>
        <v/>
      </c>
    </row>
    <row r="69" spans="1:91">
      <c r="A69" s="10" t="str">
        <f>時間希望調査!A39&amp;""</f>
        <v/>
      </c>
      <c r="B69" s="10" t="str">
        <f>時間希望調査!B39&amp;""</f>
        <v/>
      </c>
      <c r="C69" s="10" t="str">
        <f>時間希望調査!C39&amp;""</f>
        <v/>
      </c>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0">
        <f t="shared" si="46"/>
        <v>0</v>
      </c>
      <c r="BC69" s="10">
        <f>時間希望調査!D39</f>
        <v>0</v>
      </c>
      <c r="BD69" s="10" t="str">
        <f>'役職希望調査 ・備考'!D39&amp;""</f>
        <v/>
      </c>
      <c r="BE69" s="10" t="str">
        <f>'役職希望調査 ・備考'!E39&amp;""</f>
        <v/>
      </c>
      <c r="BF69" s="10" t="str">
        <f>'役職希望調査 ・備考'!F39&amp;""</f>
        <v/>
      </c>
      <c r="BG69" s="10" t="str">
        <f>'役職希望調査 ・備考'!G39&amp;""</f>
        <v/>
      </c>
      <c r="BH69" s="10" t="str">
        <f>'役職希望調査 ・備考'!H39&amp;""</f>
        <v/>
      </c>
      <c r="BI69" s="10">
        <f t="shared" si="47"/>
        <v>0</v>
      </c>
      <c r="BJ69" s="10">
        <f t="shared" si="48"/>
        <v>0</v>
      </c>
      <c r="BK69" s="10">
        <f t="shared" si="49"/>
        <v>0</v>
      </c>
      <c r="BL69" s="10">
        <f t="shared" si="50"/>
        <v>0</v>
      </c>
      <c r="BM69" s="10">
        <f t="shared" si="51"/>
        <v>0</v>
      </c>
      <c r="BN69" s="10">
        <f t="shared" si="52"/>
        <v>0</v>
      </c>
      <c r="BO69" s="10">
        <f t="shared" si="53"/>
        <v>48</v>
      </c>
      <c r="BP69" s="10">
        <f t="shared" si="54"/>
        <v>48</v>
      </c>
      <c r="BQ69" s="10">
        <f t="shared" si="55"/>
        <v>47</v>
      </c>
      <c r="BR69" s="10">
        <f t="shared" si="56"/>
        <v>46</v>
      </c>
      <c r="BS69" s="10">
        <f t="shared" si="57"/>
        <v>45</v>
      </c>
      <c r="BT69" s="10">
        <f t="shared" si="58"/>
        <v>44</v>
      </c>
      <c r="BU69" s="10">
        <f t="shared" si="59"/>
        <v>43</v>
      </c>
      <c r="BV69" s="10">
        <f t="shared" si="60"/>
        <v>42</v>
      </c>
      <c r="BW69" s="10">
        <f t="shared" si="61"/>
        <v>41</v>
      </c>
      <c r="BX69" s="10">
        <f t="shared" si="62"/>
        <v>40</v>
      </c>
      <c r="BY69" s="10">
        <f t="shared" si="63"/>
        <v>39</v>
      </c>
      <c r="BZ69" s="10">
        <f t="shared" si="64"/>
        <v>38</v>
      </c>
      <c r="CA69" s="10">
        <f t="shared" si="65"/>
        <v>37</v>
      </c>
      <c r="CB69" s="10">
        <f t="shared" si="66"/>
        <v>36</v>
      </c>
      <c r="CC69" s="10">
        <f t="shared" si="67"/>
        <v>35</v>
      </c>
      <c r="CD69" s="10">
        <f t="shared" si="68"/>
        <v>34</v>
      </c>
      <c r="CE69" s="10">
        <f t="shared" si="69"/>
        <v>33</v>
      </c>
      <c r="CF69" s="10">
        <f t="shared" si="70"/>
        <v>32</v>
      </c>
      <c r="CG69" s="10">
        <f t="shared" si="71"/>
        <v>31</v>
      </c>
      <c r="CH69" s="10">
        <f t="shared" si="72"/>
        <v>30</v>
      </c>
      <c r="CI69" s="10">
        <f t="shared" si="73"/>
        <v>29</v>
      </c>
      <c r="CJ69" s="10">
        <f t="shared" si="74"/>
        <v>28</v>
      </c>
      <c r="CK69" s="10">
        <f t="shared" si="75"/>
        <v>27</v>
      </c>
      <c r="CL69" s="10">
        <f t="shared" si="76"/>
        <v>26</v>
      </c>
      <c r="CM69" s="10" t="str">
        <f>'役職希望調査 ・備考'!I39&amp;""</f>
        <v/>
      </c>
    </row>
    <row r="70" spans="1:91">
      <c r="A70" s="10" t="str">
        <f>時間希望調査!A40&amp;""</f>
        <v/>
      </c>
      <c r="B70" s="10" t="str">
        <f>時間希望調査!B40&amp;""</f>
        <v/>
      </c>
      <c r="C70" s="10" t="str">
        <f>時間希望調査!C40&amp;""</f>
        <v/>
      </c>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0">
        <f t="shared" si="46"/>
        <v>0</v>
      </c>
      <c r="BC70" s="10">
        <f>時間希望調査!D40</f>
        <v>0</v>
      </c>
      <c r="BD70" s="10" t="str">
        <f>'役職希望調査 ・備考'!D40&amp;""</f>
        <v/>
      </c>
      <c r="BE70" s="10" t="str">
        <f>'役職希望調査 ・備考'!E40&amp;""</f>
        <v/>
      </c>
      <c r="BF70" s="10" t="str">
        <f>'役職希望調査 ・備考'!F40&amp;""</f>
        <v/>
      </c>
      <c r="BG70" s="10" t="str">
        <f>'役職希望調査 ・備考'!G40&amp;""</f>
        <v/>
      </c>
      <c r="BH70" s="10" t="str">
        <f>'役職希望調査 ・備考'!H40&amp;""</f>
        <v/>
      </c>
      <c r="BI70" s="10">
        <f t="shared" si="47"/>
        <v>0</v>
      </c>
      <c r="BJ70" s="10">
        <f t="shared" si="48"/>
        <v>0</v>
      </c>
      <c r="BK70" s="10">
        <f t="shared" si="49"/>
        <v>0</v>
      </c>
      <c r="BL70" s="10">
        <f t="shared" si="50"/>
        <v>0</v>
      </c>
      <c r="BM70" s="10">
        <f t="shared" si="51"/>
        <v>0</v>
      </c>
      <c r="BN70" s="10">
        <f t="shared" si="52"/>
        <v>0</v>
      </c>
      <c r="BO70" s="10">
        <f t="shared" si="53"/>
        <v>48</v>
      </c>
      <c r="BP70" s="10">
        <f t="shared" si="54"/>
        <v>48</v>
      </c>
      <c r="BQ70" s="10">
        <f t="shared" si="55"/>
        <v>47</v>
      </c>
      <c r="BR70" s="10">
        <f t="shared" si="56"/>
        <v>46</v>
      </c>
      <c r="BS70" s="10">
        <f t="shared" si="57"/>
        <v>45</v>
      </c>
      <c r="BT70" s="10">
        <f t="shared" si="58"/>
        <v>44</v>
      </c>
      <c r="BU70" s="10">
        <f t="shared" si="59"/>
        <v>43</v>
      </c>
      <c r="BV70" s="10">
        <f t="shared" si="60"/>
        <v>42</v>
      </c>
      <c r="BW70" s="10">
        <f t="shared" si="61"/>
        <v>41</v>
      </c>
      <c r="BX70" s="10">
        <f t="shared" si="62"/>
        <v>40</v>
      </c>
      <c r="BY70" s="10">
        <f t="shared" si="63"/>
        <v>39</v>
      </c>
      <c r="BZ70" s="10">
        <f t="shared" si="64"/>
        <v>38</v>
      </c>
      <c r="CA70" s="10">
        <f t="shared" si="65"/>
        <v>37</v>
      </c>
      <c r="CB70" s="10">
        <f t="shared" si="66"/>
        <v>36</v>
      </c>
      <c r="CC70" s="10">
        <f t="shared" si="67"/>
        <v>35</v>
      </c>
      <c r="CD70" s="10">
        <f t="shared" si="68"/>
        <v>34</v>
      </c>
      <c r="CE70" s="10">
        <f t="shared" si="69"/>
        <v>33</v>
      </c>
      <c r="CF70" s="10">
        <f t="shared" si="70"/>
        <v>32</v>
      </c>
      <c r="CG70" s="10">
        <f t="shared" si="71"/>
        <v>31</v>
      </c>
      <c r="CH70" s="10">
        <f t="shared" si="72"/>
        <v>30</v>
      </c>
      <c r="CI70" s="10">
        <f t="shared" si="73"/>
        <v>29</v>
      </c>
      <c r="CJ70" s="10">
        <f t="shared" si="74"/>
        <v>28</v>
      </c>
      <c r="CK70" s="10">
        <f t="shared" si="75"/>
        <v>27</v>
      </c>
      <c r="CL70" s="10">
        <f t="shared" si="76"/>
        <v>26</v>
      </c>
      <c r="CM70" s="10" t="str">
        <f>'役職希望調査 ・備考'!I40&amp;""</f>
        <v/>
      </c>
    </row>
    <row r="71" spans="1:91">
      <c r="A71" s="10" t="str">
        <f>時間希望調査!A41&amp;""</f>
        <v/>
      </c>
      <c r="B71" s="10" t="str">
        <f>時間希望調査!B41&amp;""</f>
        <v/>
      </c>
      <c r="C71" s="10" t="str">
        <f>時間希望調査!C41&amp;""</f>
        <v/>
      </c>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0">
        <f t="shared" si="46"/>
        <v>0</v>
      </c>
      <c r="BC71" s="10">
        <f>時間希望調査!D41</f>
        <v>0</v>
      </c>
      <c r="BD71" s="10" t="str">
        <f>'役職希望調査 ・備考'!D41&amp;""</f>
        <v/>
      </c>
      <c r="BE71" s="10" t="str">
        <f>'役職希望調査 ・備考'!E41&amp;""</f>
        <v/>
      </c>
      <c r="BF71" s="10" t="str">
        <f>'役職希望調査 ・備考'!F41&amp;""</f>
        <v/>
      </c>
      <c r="BG71" s="10" t="str">
        <f>'役職希望調査 ・備考'!G41&amp;""</f>
        <v/>
      </c>
      <c r="BH71" s="10" t="str">
        <f>'役職希望調査 ・備考'!H41&amp;""</f>
        <v/>
      </c>
      <c r="BI71" s="10">
        <f t="shared" si="47"/>
        <v>0</v>
      </c>
      <c r="BJ71" s="10">
        <f t="shared" si="48"/>
        <v>0</v>
      </c>
      <c r="BK71" s="10">
        <f t="shared" si="49"/>
        <v>0</v>
      </c>
      <c r="BL71" s="10">
        <f t="shared" si="50"/>
        <v>0</v>
      </c>
      <c r="BM71" s="10">
        <f t="shared" si="51"/>
        <v>0</v>
      </c>
      <c r="BN71" s="10">
        <f t="shared" si="52"/>
        <v>0</v>
      </c>
      <c r="BO71" s="10">
        <f t="shared" si="53"/>
        <v>48</v>
      </c>
      <c r="BP71" s="10">
        <f t="shared" si="54"/>
        <v>48</v>
      </c>
      <c r="BQ71" s="10">
        <f t="shared" si="55"/>
        <v>47</v>
      </c>
      <c r="BR71" s="10">
        <f t="shared" si="56"/>
        <v>46</v>
      </c>
      <c r="BS71" s="10">
        <f t="shared" si="57"/>
        <v>45</v>
      </c>
      <c r="BT71" s="10">
        <f t="shared" si="58"/>
        <v>44</v>
      </c>
      <c r="BU71" s="10">
        <f t="shared" si="59"/>
        <v>43</v>
      </c>
      <c r="BV71" s="10">
        <f t="shared" si="60"/>
        <v>42</v>
      </c>
      <c r="BW71" s="10">
        <f t="shared" si="61"/>
        <v>41</v>
      </c>
      <c r="BX71" s="10">
        <f t="shared" si="62"/>
        <v>40</v>
      </c>
      <c r="BY71" s="10">
        <f t="shared" si="63"/>
        <v>39</v>
      </c>
      <c r="BZ71" s="10">
        <f t="shared" si="64"/>
        <v>38</v>
      </c>
      <c r="CA71" s="10">
        <f t="shared" si="65"/>
        <v>37</v>
      </c>
      <c r="CB71" s="10">
        <f t="shared" si="66"/>
        <v>36</v>
      </c>
      <c r="CC71" s="10">
        <f t="shared" si="67"/>
        <v>35</v>
      </c>
      <c r="CD71" s="10">
        <f t="shared" si="68"/>
        <v>34</v>
      </c>
      <c r="CE71" s="10">
        <f t="shared" si="69"/>
        <v>33</v>
      </c>
      <c r="CF71" s="10">
        <f t="shared" si="70"/>
        <v>32</v>
      </c>
      <c r="CG71" s="10">
        <f t="shared" si="71"/>
        <v>31</v>
      </c>
      <c r="CH71" s="10">
        <f t="shared" si="72"/>
        <v>30</v>
      </c>
      <c r="CI71" s="10">
        <f t="shared" si="73"/>
        <v>29</v>
      </c>
      <c r="CJ71" s="10">
        <f t="shared" si="74"/>
        <v>28</v>
      </c>
      <c r="CK71" s="10">
        <f t="shared" si="75"/>
        <v>27</v>
      </c>
      <c r="CL71" s="10">
        <f t="shared" si="76"/>
        <v>26</v>
      </c>
      <c r="CM71" s="10" t="str">
        <f>'役職希望調査 ・備考'!I41&amp;""</f>
        <v/>
      </c>
    </row>
    <row r="72" spans="1:91">
      <c r="A72" s="10" t="str">
        <f>時間希望調査!A42&amp;""</f>
        <v/>
      </c>
      <c r="B72" s="10" t="str">
        <f>時間希望調査!B42&amp;""</f>
        <v/>
      </c>
      <c r="C72" s="10" t="str">
        <f>時間希望調査!C42&amp;""</f>
        <v/>
      </c>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0">
        <f t="shared" si="46"/>
        <v>0</v>
      </c>
      <c r="BC72" s="10">
        <f>時間希望調査!D42</f>
        <v>0</v>
      </c>
      <c r="BD72" s="10" t="str">
        <f>'役職希望調査 ・備考'!D42&amp;""</f>
        <v/>
      </c>
      <c r="BE72" s="10" t="str">
        <f>'役職希望調査 ・備考'!E42&amp;""</f>
        <v/>
      </c>
      <c r="BF72" s="10" t="str">
        <f>'役職希望調査 ・備考'!F42&amp;""</f>
        <v/>
      </c>
      <c r="BG72" s="10" t="str">
        <f>'役職希望調査 ・備考'!G42&amp;""</f>
        <v/>
      </c>
      <c r="BH72" s="10" t="str">
        <f>'役職希望調査 ・備考'!H42&amp;""</f>
        <v/>
      </c>
      <c r="BI72" s="10">
        <f t="shared" si="47"/>
        <v>0</v>
      </c>
      <c r="BJ72" s="10">
        <f t="shared" si="48"/>
        <v>0</v>
      </c>
      <c r="BK72" s="10">
        <f t="shared" si="49"/>
        <v>0</v>
      </c>
      <c r="BL72" s="10">
        <f t="shared" si="50"/>
        <v>0</v>
      </c>
      <c r="BM72" s="10">
        <f t="shared" si="51"/>
        <v>0</v>
      </c>
      <c r="BN72" s="10">
        <f t="shared" si="52"/>
        <v>0</v>
      </c>
      <c r="BO72" s="10">
        <f t="shared" si="53"/>
        <v>48</v>
      </c>
      <c r="BP72" s="10">
        <f t="shared" si="54"/>
        <v>48</v>
      </c>
      <c r="BQ72" s="10">
        <f t="shared" si="55"/>
        <v>47</v>
      </c>
      <c r="BR72" s="10">
        <f t="shared" si="56"/>
        <v>46</v>
      </c>
      <c r="BS72" s="10">
        <f t="shared" si="57"/>
        <v>45</v>
      </c>
      <c r="BT72" s="10">
        <f t="shared" si="58"/>
        <v>44</v>
      </c>
      <c r="BU72" s="10">
        <f t="shared" si="59"/>
        <v>43</v>
      </c>
      <c r="BV72" s="10">
        <f t="shared" si="60"/>
        <v>42</v>
      </c>
      <c r="BW72" s="10">
        <f t="shared" si="61"/>
        <v>41</v>
      </c>
      <c r="BX72" s="10">
        <f t="shared" si="62"/>
        <v>40</v>
      </c>
      <c r="BY72" s="10">
        <f t="shared" si="63"/>
        <v>39</v>
      </c>
      <c r="BZ72" s="10">
        <f t="shared" si="64"/>
        <v>38</v>
      </c>
      <c r="CA72" s="10">
        <f t="shared" si="65"/>
        <v>37</v>
      </c>
      <c r="CB72" s="10">
        <f t="shared" si="66"/>
        <v>36</v>
      </c>
      <c r="CC72" s="10">
        <f t="shared" si="67"/>
        <v>35</v>
      </c>
      <c r="CD72" s="10">
        <f t="shared" si="68"/>
        <v>34</v>
      </c>
      <c r="CE72" s="10">
        <f t="shared" si="69"/>
        <v>33</v>
      </c>
      <c r="CF72" s="10">
        <f t="shared" si="70"/>
        <v>32</v>
      </c>
      <c r="CG72" s="10">
        <f t="shared" si="71"/>
        <v>31</v>
      </c>
      <c r="CH72" s="10">
        <f t="shared" si="72"/>
        <v>30</v>
      </c>
      <c r="CI72" s="10">
        <f t="shared" si="73"/>
        <v>29</v>
      </c>
      <c r="CJ72" s="10">
        <f t="shared" si="74"/>
        <v>28</v>
      </c>
      <c r="CK72" s="10">
        <f t="shared" si="75"/>
        <v>27</v>
      </c>
      <c r="CL72" s="10">
        <f t="shared" si="76"/>
        <v>26</v>
      </c>
      <c r="CM72" s="10" t="str">
        <f>'役職希望調査 ・備考'!I42&amp;""</f>
        <v/>
      </c>
    </row>
    <row r="73" spans="1:91">
      <c r="A73" s="10" t="str">
        <f>時間希望調査!A43&amp;""</f>
        <v/>
      </c>
      <c r="B73" s="10" t="str">
        <f>時間希望調査!B43&amp;""</f>
        <v/>
      </c>
      <c r="C73" s="10" t="str">
        <f>時間希望調査!C43&amp;""</f>
        <v/>
      </c>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0">
        <f t="shared" si="46"/>
        <v>0</v>
      </c>
      <c r="BC73" s="10">
        <f>時間希望調査!D43</f>
        <v>0</v>
      </c>
      <c r="BD73" s="10" t="str">
        <f>'役職希望調査 ・備考'!D43&amp;""</f>
        <v/>
      </c>
      <c r="BE73" s="10" t="str">
        <f>'役職希望調査 ・備考'!E43&amp;""</f>
        <v/>
      </c>
      <c r="BF73" s="10" t="str">
        <f>'役職希望調査 ・備考'!F43&amp;""</f>
        <v/>
      </c>
      <c r="BG73" s="10" t="str">
        <f>'役職希望調査 ・備考'!G43&amp;""</f>
        <v/>
      </c>
      <c r="BH73" s="10" t="str">
        <f>'役職希望調査 ・備考'!H43&amp;""</f>
        <v/>
      </c>
      <c r="BI73" s="10">
        <f t="shared" si="47"/>
        <v>0</v>
      </c>
      <c r="BJ73" s="10">
        <f t="shared" si="48"/>
        <v>0</v>
      </c>
      <c r="BK73" s="10">
        <f t="shared" si="49"/>
        <v>0</v>
      </c>
      <c r="BL73" s="10">
        <f t="shared" si="50"/>
        <v>0</v>
      </c>
      <c r="BM73" s="10">
        <f t="shared" si="51"/>
        <v>0</v>
      </c>
      <c r="BN73" s="10">
        <f t="shared" si="52"/>
        <v>0</v>
      </c>
      <c r="BO73" s="10">
        <f t="shared" si="53"/>
        <v>48</v>
      </c>
      <c r="BP73" s="10">
        <f t="shared" si="54"/>
        <v>48</v>
      </c>
      <c r="BQ73" s="10">
        <f t="shared" si="55"/>
        <v>47</v>
      </c>
      <c r="BR73" s="10">
        <f t="shared" si="56"/>
        <v>46</v>
      </c>
      <c r="BS73" s="10">
        <f t="shared" si="57"/>
        <v>45</v>
      </c>
      <c r="BT73" s="10">
        <f t="shared" si="58"/>
        <v>44</v>
      </c>
      <c r="BU73" s="10">
        <f t="shared" si="59"/>
        <v>43</v>
      </c>
      <c r="BV73" s="10">
        <f t="shared" si="60"/>
        <v>42</v>
      </c>
      <c r="BW73" s="10">
        <f t="shared" si="61"/>
        <v>41</v>
      </c>
      <c r="BX73" s="10">
        <f t="shared" si="62"/>
        <v>40</v>
      </c>
      <c r="BY73" s="10">
        <f t="shared" si="63"/>
        <v>39</v>
      </c>
      <c r="BZ73" s="10">
        <f t="shared" si="64"/>
        <v>38</v>
      </c>
      <c r="CA73" s="10">
        <f t="shared" si="65"/>
        <v>37</v>
      </c>
      <c r="CB73" s="10">
        <f t="shared" si="66"/>
        <v>36</v>
      </c>
      <c r="CC73" s="10">
        <f t="shared" si="67"/>
        <v>35</v>
      </c>
      <c r="CD73" s="10">
        <f t="shared" si="68"/>
        <v>34</v>
      </c>
      <c r="CE73" s="10">
        <f t="shared" si="69"/>
        <v>33</v>
      </c>
      <c r="CF73" s="10">
        <f t="shared" si="70"/>
        <v>32</v>
      </c>
      <c r="CG73" s="10">
        <f t="shared" si="71"/>
        <v>31</v>
      </c>
      <c r="CH73" s="10">
        <f t="shared" si="72"/>
        <v>30</v>
      </c>
      <c r="CI73" s="10">
        <f t="shared" si="73"/>
        <v>29</v>
      </c>
      <c r="CJ73" s="10">
        <f t="shared" si="74"/>
        <v>28</v>
      </c>
      <c r="CK73" s="10">
        <f t="shared" si="75"/>
        <v>27</v>
      </c>
      <c r="CL73" s="10">
        <f t="shared" si="76"/>
        <v>26</v>
      </c>
      <c r="CM73" s="10" t="str">
        <f>'役職希望調査 ・備考'!I43&amp;""</f>
        <v/>
      </c>
    </row>
    <row r="74" spans="1:91">
      <c r="A74" s="10" t="str">
        <f>時間希望調査!A44&amp;""</f>
        <v/>
      </c>
      <c r="B74" s="10" t="str">
        <f>時間希望調査!B44&amp;""</f>
        <v/>
      </c>
      <c r="C74" s="10" t="str">
        <f>時間希望調査!C44&amp;""</f>
        <v/>
      </c>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0">
        <f t="shared" si="46"/>
        <v>0</v>
      </c>
      <c r="BC74" s="10">
        <f>時間希望調査!D44</f>
        <v>0</v>
      </c>
      <c r="BD74" s="10" t="str">
        <f>'役職希望調査 ・備考'!D44&amp;""</f>
        <v/>
      </c>
      <c r="BE74" s="10" t="str">
        <f>'役職希望調査 ・備考'!E44&amp;""</f>
        <v/>
      </c>
      <c r="BF74" s="10" t="str">
        <f>'役職希望調査 ・備考'!F44&amp;""</f>
        <v/>
      </c>
      <c r="BG74" s="10" t="str">
        <f>'役職希望調査 ・備考'!G44&amp;""</f>
        <v/>
      </c>
      <c r="BH74" s="10" t="str">
        <f>'役職希望調査 ・備考'!H44&amp;""</f>
        <v/>
      </c>
      <c r="BI74" s="10">
        <f t="shared" si="47"/>
        <v>0</v>
      </c>
      <c r="BJ74" s="10">
        <f t="shared" si="48"/>
        <v>0</v>
      </c>
      <c r="BK74" s="10">
        <f t="shared" si="49"/>
        <v>0</v>
      </c>
      <c r="BL74" s="10">
        <f t="shared" si="50"/>
        <v>0</v>
      </c>
      <c r="BM74" s="10">
        <f t="shared" si="51"/>
        <v>0</v>
      </c>
      <c r="BN74" s="10">
        <f t="shared" si="52"/>
        <v>0</v>
      </c>
      <c r="BO74" s="10">
        <f t="shared" si="53"/>
        <v>48</v>
      </c>
      <c r="BP74" s="10">
        <f t="shared" si="54"/>
        <v>48</v>
      </c>
      <c r="BQ74" s="10">
        <f t="shared" si="55"/>
        <v>47</v>
      </c>
      <c r="BR74" s="10">
        <f t="shared" si="56"/>
        <v>46</v>
      </c>
      <c r="BS74" s="10">
        <f t="shared" si="57"/>
        <v>45</v>
      </c>
      <c r="BT74" s="10">
        <f t="shared" si="58"/>
        <v>44</v>
      </c>
      <c r="BU74" s="10">
        <f t="shared" si="59"/>
        <v>43</v>
      </c>
      <c r="BV74" s="10">
        <f t="shared" si="60"/>
        <v>42</v>
      </c>
      <c r="BW74" s="10">
        <f t="shared" si="61"/>
        <v>41</v>
      </c>
      <c r="BX74" s="10">
        <f t="shared" si="62"/>
        <v>40</v>
      </c>
      <c r="BY74" s="10">
        <f t="shared" si="63"/>
        <v>39</v>
      </c>
      <c r="BZ74" s="10">
        <f t="shared" si="64"/>
        <v>38</v>
      </c>
      <c r="CA74" s="10">
        <f t="shared" si="65"/>
        <v>37</v>
      </c>
      <c r="CB74" s="10">
        <f t="shared" si="66"/>
        <v>36</v>
      </c>
      <c r="CC74" s="10">
        <f t="shared" si="67"/>
        <v>35</v>
      </c>
      <c r="CD74" s="10">
        <f t="shared" si="68"/>
        <v>34</v>
      </c>
      <c r="CE74" s="10">
        <f t="shared" si="69"/>
        <v>33</v>
      </c>
      <c r="CF74" s="10">
        <f t="shared" si="70"/>
        <v>32</v>
      </c>
      <c r="CG74" s="10">
        <f t="shared" si="71"/>
        <v>31</v>
      </c>
      <c r="CH74" s="10">
        <f t="shared" si="72"/>
        <v>30</v>
      </c>
      <c r="CI74" s="10">
        <f t="shared" si="73"/>
        <v>29</v>
      </c>
      <c r="CJ74" s="10">
        <f t="shared" si="74"/>
        <v>28</v>
      </c>
      <c r="CK74" s="10">
        <f t="shared" si="75"/>
        <v>27</v>
      </c>
      <c r="CL74" s="10">
        <f t="shared" si="76"/>
        <v>26</v>
      </c>
      <c r="CM74" s="10" t="str">
        <f>'役職希望調査 ・備考'!I44&amp;""</f>
        <v/>
      </c>
    </row>
    <row r="75" spans="1:91">
      <c r="A75" s="10" t="str">
        <f>時間希望調査!A45&amp;""</f>
        <v/>
      </c>
      <c r="B75" s="10" t="str">
        <f>時間希望調査!B45&amp;""</f>
        <v/>
      </c>
      <c r="C75" s="10" t="str">
        <f>時間希望調査!C45&amp;""</f>
        <v/>
      </c>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0">
        <f t="shared" si="46"/>
        <v>0</v>
      </c>
      <c r="BC75" s="10">
        <f>時間希望調査!D45</f>
        <v>0</v>
      </c>
      <c r="BD75" s="10" t="str">
        <f>'役職希望調査 ・備考'!D45&amp;""</f>
        <v/>
      </c>
      <c r="BE75" s="10" t="str">
        <f>'役職希望調査 ・備考'!E45&amp;""</f>
        <v/>
      </c>
      <c r="BF75" s="10" t="str">
        <f>'役職希望調査 ・備考'!F45&amp;""</f>
        <v/>
      </c>
      <c r="BG75" s="10" t="str">
        <f>'役職希望調査 ・備考'!G45&amp;""</f>
        <v/>
      </c>
      <c r="BH75" s="10" t="str">
        <f>'役職希望調査 ・備考'!H45&amp;""</f>
        <v/>
      </c>
      <c r="BI75" s="10">
        <f t="shared" si="47"/>
        <v>0</v>
      </c>
      <c r="BJ75" s="10">
        <f t="shared" si="48"/>
        <v>0</v>
      </c>
      <c r="BK75" s="10">
        <f t="shared" si="49"/>
        <v>0</v>
      </c>
      <c r="BL75" s="10">
        <f t="shared" si="50"/>
        <v>0</v>
      </c>
      <c r="BM75" s="10">
        <f t="shared" si="51"/>
        <v>0</v>
      </c>
      <c r="BN75" s="10">
        <f t="shared" si="52"/>
        <v>0</v>
      </c>
      <c r="BO75" s="10">
        <f t="shared" si="53"/>
        <v>48</v>
      </c>
      <c r="BP75" s="10">
        <f t="shared" si="54"/>
        <v>48</v>
      </c>
      <c r="BQ75" s="10">
        <f t="shared" si="55"/>
        <v>47</v>
      </c>
      <c r="BR75" s="10">
        <f t="shared" si="56"/>
        <v>46</v>
      </c>
      <c r="BS75" s="10">
        <f t="shared" si="57"/>
        <v>45</v>
      </c>
      <c r="BT75" s="10">
        <f t="shared" si="58"/>
        <v>44</v>
      </c>
      <c r="BU75" s="10">
        <f t="shared" si="59"/>
        <v>43</v>
      </c>
      <c r="BV75" s="10">
        <f t="shared" si="60"/>
        <v>42</v>
      </c>
      <c r="BW75" s="10">
        <f t="shared" si="61"/>
        <v>41</v>
      </c>
      <c r="BX75" s="10">
        <f t="shared" si="62"/>
        <v>40</v>
      </c>
      <c r="BY75" s="10">
        <f t="shared" si="63"/>
        <v>39</v>
      </c>
      <c r="BZ75" s="10">
        <f t="shared" si="64"/>
        <v>38</v>
      </c>
      <c r="CA75" s="10">
        <f t="shared" si="65"/>
        <v>37</v>
      </c>
      <c r="CB75" s="10">
        <f t="shared" si="66"/>
        <v>36</v>
      </c>
      <c r="CC75" s="10">
        <f t="shared" si="67"/>
        <v>35</v>
      </c>
      <c r="CD75" s="10">
        <f t="shared" si="68"/>
        <v>34</v>
      </c>
      <c r="CE75" s="10">
        <f t="shared" si="69"/>
        <v>33</v>
      </c>
      <c r="CF75" s="10">
        <f t="shared" si="70"/>
        <v>32</v>
      </c>
      <c r="CG75" s="10">
        <f t="shared" si="71"/>
        <v>31</v>
      </c>
      <c r="CH75" s="10">
        <f t="shared" si="72"/>
        <v>30</v>
      </c>
      <c r="CI75" s="10">
        <f t="shared" si="73"/>
        <v>29</v>
      </c>
      <c r="CJ75" s="10">
        <f t="shared" si="74"/>
        <v>28</v>
      </c>
      <c r="CK75" s="10">
        <f t="shared" si="75"/>
        <v>27</v>
      </c>
      <c r="CL75" s="10">
        <f t="shared" si="76"/>
        <v>26</v>
      </c>
      <c r="CM75" s="10" t="str">
        <f>'役職希望調査 ・備考'!I45&amp;""</f>
        <v/>
      </c>
    </row>
    <row r="76" spans="1:91">
      <c r="A76" s="10" t="str">
        <f>時間希望調査!A46&amp;""</f>
        <v/>
      </c>
      <c r="B76" s="10" t="str">
        <f>時間希望調査!B46&amp;""</f>
        <v/>
      </c>
      <c r="C76" s="10" t="str">
        <f>時間希望調査!C46&amp;""</f>
        <v/>
      </c>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0">
        <f t="shared" si="46"/>
        <v>0</v>
      </c>
      <c r="BC76" s="10">
        <f>時間希望調査!D46</f>
        <v>0</v>
      </c>
      <c r="BD76" s="10" t="str">
        <f>'役職希望調査 ・備考'!D46&amp;""</f>
        <v/>
      </c>
      <c r="BE76" s="10" t="str">
        <f>'役職希望調査 ・備考'!E46&amp;""</f>
        <v/>
      </c>
      <c r="BF76" s="10" t="str">
        <f>'役職希望調査 ・備考'!F46&amp;""</f>
        <v/>
      </c>
      <c r="BG76" s="10" t="str">
        <f>'役職希望調査 ・備考'!G46&amp;""</f>
        <v/>
      </c>
      <c r="BH76" s="10" t="str">
        <f>'役職希望調査 ・備考'!H46&amp;""</f>
        <v/>
      </c>
      <c r="BI76" s="10">
        <f t="shared" si="47"/>
        <v>0</v>
      </c>
      <c r="BJ76" s="10">
        <f t="shared" si="48"/>
        <v>0</v>
      </c>
      <c r="BK76" s="10">
        <f t="shared" si="49"/>
        <v>0</v>
      </c>
      <c r="BL76" s="10">
        <f t="shared" si="50"/>
        <v>0</v>
      </c>
      <c r="BM76" s="10">
        <f t="shared" si="51"/>
        <v>0</v>
      </c>
      <c r="BN76" s="10">
        <f t="shared" si="52"/>
        <v>0</v>
      </c>
      <c r="BO76" s="10">
        <f t="shared" si="53"/>
        <v>48</v>
      </c>
      <c r="BP76" s="10">
        <f t="shared" si="54"/>
        <v>48</v>
      </c>
      <c r="BQ76" s="10">
        <f t="shared" si="55"/>
        <v>47</v>
      </c>
      <c r="BR76" s="10">
        <f t="shared" si="56"/>
        <v>46</v>
      </c>
      <c r="BS76" s="10">
        <f t="shared" si="57"/>
        <v>45</v>
      </c>
      <c r="BT76" s="10">
        <f t="shared" si="58"/>
        <v>44</v>
      </c>
      <c r="BU76" s="10">
        <f t="shared" si="59"/>
        <v>43</v>
      </c>
      <c r="BV76" s="10">
        <f t="shared" si="60"/>
        <v>42</v>
      </c>
      <c r="BW76" s="10">
        <f t="shared" si="61"/>
        <v>41</v>
      </c>
      <c r="BX76" s="10">
        <f t="shared" si="62"/>
        <v>40</v>
      </c>
      <c r="BY76" s="10">
        <f t="shared" si="63"/>
        <v>39</v>
      </c>
      <c r="BZ76" s="10">
        <f t="shared" si="64"/>
        <v>38</v>
      </c>
      <c r="CA76" s="10">
        <f t="shared" si="65"/>
        <v>37</v>
      </c>
      <c r="CB76" s="10">
        <f t="shared" si="66"/>
        <v>36</v>
      </c>
      <c r="CC76" s="10">
        <f t="shared" si="67"/>
        <v>35</v>
      </c>
      <c r="CD76" s="10">
        <f t="shared" si="68"/>
        <v>34</v>
      </c>
      <c r="CE76" s="10">
        <f t="shared" si="69"/>
        <v>33</v>
      </c>
      <c r="CF76" s="10">
        <f t="shared" si="70"/>
        <v>32</v>
      </c>
      <c r="CG76" s="10">
        <f t="shared" si="71"/>
        <v>31</v>
      </c>
      <c r="CH76" s="10">
        <f t="shared" si="72"/>
        <v>30</v>
      </c>
      <c r="CI76" s="10">
        <f t="shared" si="73"/>
        <v>29</v>
      </c>
      <c r="CJ76" s="10">
        <f t="shared" si="74"/>
        <v>28</v>
      </c>
      <c r="CK76" s="10">
        <f t="shared" si="75"/>
        <v>27</v>
      </c>
      <c r="CL76" s="10">
        <f t="shared" si="76"/>
        <v>26</v>
      </c>
      <c r="CM76" s="10" t="str">
        <f>'役職希望調査 ・備考'!I46&amp;""</f>
        <v/>
      </c>
    </row>
    <row r="77" spans="1:91">
      <c r="A77" s="10" t="str">
        <f>時間希望調査!A47&amp;""</f>
        <v/>
      </c>
      <c r="B77" s="10" t="str">
        <f>時間希望調査!B47&amp;""</f>
        <v/>
      </c>
      <c r="C77" s="10" t="str">
        <f>時間希望調査!C47&amp;""</f>
        <v/>
      </c>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0">
        <f t="shared" si="46"/>
        <v>0</v>
      </c>
      <c r="BC77" s="10">
        <f>時間希望調査!D47</f>
        <v>0</v>
      </c>
      <c r="BD77" s="10" t="str">
        <f>'役職希望調査 ・備考'!D47&amp;""</f>
        <v/>
      </c>
      <c r="BE77" s="10" t="str">
        <f>'役職希望調査 ・備考'!E47&amp;""</f>
        <v/>
      </c>
      <c r="BF77" s="10" t="str">
        <f>'役職希望調査 ・備考'!F47&amp;""</f>
        <v/>
      </c>
      <c r="BG77" s="10" t="str">
        <f>'役職希望調査 ・備考'!G47&amp;""</f>
        <v/>
      </c>
      <c r="BH77" s="10" t="str">
        <f>'役職希望調査 ・備考'!H47&amp;""</f>
        <v/>
      </c>
      <c r="BI77" s="10">
        <f t="shared" si="47"/>
        <v>0</v>
      </c>
      <c r="BJ77" s="10">
        <f t="shared" si="48"/>
        <v>0</v>
      </c>
      <c r="BK77" s="10">
        <f t="shared" si="49"/>
        <v>0</v>
      </c>
      <c r="BL77" s="10">
        <f t="shared" si="50"/>
        <v>0</v>
      </c>
      <c r="BM77" s="10">
        <f t="shared" si="51"/>
        <v>0</v>
      </c>
      <c r="BN77" s="10">
        <f t="shared" si="52"/>
        <v>0</v>
      </c>
      <c r="BO77" s="10">
        <f t="shared" si="53"/>
        <v>48</v>
      </c>
      <c r="BP77" s="10">
        <f t="shared" si="54"/>
        <v>48</v>
      </c>
      <c r="BQ77" s="10">
        <f t="shared" si="55"/>
        <v>47</v>
      </c>
      <c r="BR77" s="10">
        <f t="shared" si="56"/>
        <v>46</v>
      </c>
      <c r="BS77" s="10">
        <f t="shared" si="57"/>
        <v>45</v>
      </c>
      <c r="BT77" s="10">
        <f t="shared" si="58"/>
        <v>44</v>
      </c>
      <c r="BU77" s="10">
        <f t="shared" si="59"/>
        <v>43</v>
      </c>
      <c r="BV77" s="10">
        <f t="shared" si="60"/>
        <v>42</v>
      </c>
      <c r="BW77" s="10">
        <f t="shared" si="61"/>
        <v>41</v>
      </c>
      <c r="BX77" s="10">
        <f t="shared" si="62"/>
        <v>40</v>
      </c>
      <c r="BY77" s="10">
        <f t="shared" si="63"/>
        <v>39</v>
      </c>
      <c r="BZ77" s="10">
        <f t="shared" si="64"/>
        <v>38</v>
      </c>
      <c r="CA77" s="10">
        <f t="shared" si="65"/>
        <v>37</v>
      </c>
      <c r="CB77" s="10">
        <f t="shared" si="66"/>
        <v>36</v>
      </c>
      <c r="CC77" s="10">
        <f t="shared" si="67"/>
        <v>35</v>
      </c>
      <c r="CD77" s="10">
        <f t="shared" si="68"/>
        <v>34</v>
      </c>
      <c r="CE77" s="10">
        <f t="shared" si="69"/>
        <v>33</v>
      </c>
      <c r="CF77" s="10">
        <f t="shared" si="70"/>
        <v>32</v>
      </c>
      <c r="CG77" s="10">
        <f t="shared" si="71"/>
        <v>31</v>
      </c>
      <c r="CH77" s="10">
        <f t="shared" si="72"/>
        <v>30</v>
      </c>
      <c r="CI77" s="10">
        <f t="shared" si="73"/>
        <v>29</v>
      </c>
      <c r="CJ77" s="10">
        <f t="shared" si="74"/>
        <v>28</v>
      </c>
      <c r="CK77" s="10">
        <f t="shared" si="75"/>
        <v>27</v>
      </c>
      <c r="CL77" s="10">
        <f t="shared" si="76"/>
        <v>26</v>
      </c>
      <c r="CM77" s="10" t="str">
        <f>'役職希望調査 ・備考'!I47&amp;""</f>
        <v/>
      </c>
    </row>
    <row r="78" spans="1:91">
      <c r="A78" s="10" t="str">
        <f>時間希望調査!A48&amp;""</f>
        <v/>
      </c>
      <c r="B78" s="10" t="str">
        <f>時間希望調査!B48&amp;""</f>
        <v/>
      </c>
      <c r="C78" s="10" t="str">
        <f>時間希望調査!C48&amp;""</f>
        <v/>
      </c>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0">
        <f t="shared" si="46"/>
        <v>0</v>
      </c>
      <c r="BC78" s="10">
        <f>時間希望調査!D48</f>
        <v>0</v>
      </c>
      <c r="BD78" s="10" t="str">
        <f>'役職希望調査 ・備考'!D48&amp;""</f>
        <v/>
      </c>
      <c r="BE78" s="10" t="str">
        <f>'役職希望調査 ・備考'!E48&amp;""</f>
        <v/>
      </c>
      <c r="BF78" s="10" t="str">
        <f>'役職希望調査 ・備考'!F48&amp;""</f>
        <v/>
      </c>
      <c r="BG78" s="10" t="str">
        <f>'役職希望調査 ・備考'!G48&amp;""</f>
        <v/>
      </c>
      <c r="BH78" s="10" t="str">
        <f>'役職希望調査 ・備考'!H48&amp;""</f>
        <v/>
      </c>
      <c r="BI78" s="10">
        <f t="shared" si="47"/>
        <v>0</v>
      </c>
      <c r="BJ78" s="10">
        <f t="shared" si="48"/>
        <v>0</v>
      </c>
      <c r="BK78" s="10">
        <f t="shared" si="49"/>
        <v>0</v>
      </c>
      <c r="BL78" s="10">
        <f t="shared" si="50"/>
        <v>0</v>
      </c>
      <c r="BM78" s="10">
        <f t="shared" si="51"/>
        <v>0</v>
      </c>
      <c r="BN78" s="10">
        <f t="shared" si="52"/>
        <v>0</v>
      </c>
      <c r="BO78" s="10">
        <f t="shared" si="53"/>
        <v>48</v>
      </c>
      <c r="BP78" s="10">
        <f t="shared" si="54"/>
        <v>48</v>
      </c>
      <c r="BQ78" s="10">
        <f t="shared" si="55"/>
        <v>47</v>
      </c>
      <c r="BR78" s="10">
        <f t="shared" si="56"/>
        <v>46</v>
      </c>
      <c r="BS78" s="10">
        <f t="shared" si="57"/>
        <v>45</v>
      </c>
      <c r="BT78" s="10">
        <f t="shared" si="58"/>
        <v>44</v>
      </c>
      <c r="BU78" s="10">
        <f t="shared" si="59"/>
        <v>43</v>
      </c>
      <c r="BV78" s="10">
        <f t="shared" si="60"/>
        <v>42</v>
      </c>
      <c r="BW78" s="10">
        <f t="shared" si="61"/>
        <v>41</v>
      </c>
      <c r="BX78" s="10">
        <f t="shared" si="62"/>
        <v>40</v>
      </c>
      <c r="BY78" s="10">
        <f t="shared" si="63"/>
        <v>39</v>
      </c>
      <c r="BZ78" s="10">
        <f t="shared" si="64"/>
        <v>38</v>
      </c>
      <c r="CA78" s="10">
        <f t="shared" si="65"/>
        <v>37</v>
      </c>
      <c r="CB78" s="10">
        <f t="shared" si="66"/>
        <v>36</v>
      </c>
      <c r="CC78" s="10">
        <f t="shared" si="67"/>
        <v>35</v>
      </c>
      <c r="CD78" s="10">
        <f t="shared" si="68"/>
        <v>34</v>
      </c>
      <c r="CE78" s="10">
        <f t="shared" si="69"/>
        <v>33</v>
      </c>
      <c r="CF78" s="10">
        <f t="shared" si="70"/>
        <v>32</v>
      </c>
      <c r="CG78" s="10">
        <f t="shared" si="71"/>
        <v>31</v>
      </c>
      <c r="CH78" s="10">
        <f t="shared" si="72"/>
        <v>30</v>
      </c>
      <c r="CI78" s="10">
        <f t="shared" si="73"/>
        <v>29</v>
      </c>
      <c r="CJ78" s="10">
        <f t="shared" si="74"/>
        <v>28</v>
      </c>
      <c r="CK78" s="10">
        <f t="shared" si="75"/>
        <v>27</v>
      </c>
      <c r="CL78" s="10">
        <f t="shared" si="76"/>
        <v>26</v>
      </c>
      <c r="CM78" s="10" t="str">
        <f>'役職希望調査 ・備考'!I48&amp;""</f>
        <v/>
      </c>
    </row>
    <row r="79" spans="1:91">
      <c r="A79" s="10" t="str">
        <f>時間希望調査!A49&amp;""</f>
        <v/>
      </c>
      <c r="B79" s="10" t="str">
        <f>時間希望調査!B49&amp;""</f>
        <v/>
      </c>
      <c r="C79" s="10" t="str">
        <f>時間希望調査!C49&amp;""</f>
        <v/>
      </c>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0">
        <f t="shared" si="46"/>
        <v>0</v>
      </c>
      <c r="BC79" s="10">
        <f>時間希望調査!D49</f>
        <v>0</v>
      </c>
      <c r="BD79" s="10" t="str">
        <f>'役職希望調査 ・備考'!D49&amp;""</f>
        <v/>
      </c>
      <c r="BE79" s="10" t="str">
        <f>'役職希望調査 ・備考'!E49&amp;""</f>
        <v/>
      </c>
      <c r="BF79" s="10" t="str">
        <f>'役職希望調査 ・備考'!F49&amp;""</f>
        <v/>
      </c>
      <c r="BG79" s="10" t="str">
        <f>'役職希望調査 ・備考'!G49&amp;""</f>
        <v/>
      </c>
      <c r="BH79" s="10" t="str">
        <f>'役職希望調査 ・備考'!H49&amp;""</f>
        <v/>
      </c>
      <c r="BI79" s="10">
        <f t="shared" si="47"/>
        <v>0</v>
      </c>
      <c r="BJ79" s="10">
        <f t="shared" si="48"/>
        <v>0</v>
      </c>
      <c r="BK79" s="10">
        <f t="shared" si="49"/>
        <v>0</v>
      </c>
      <c r="BL79" s="10">
        <f t="shared" si="50"/>
        <v>0</v>
      </c>
      <c r="BM79" s="10">
        <f t="shared" si="51"/>
        <v>0</v>
      </c>
      <c r="BN79" s="10">
        <f t="shared" si="52"/>
        <v>0</v>
      </c>
      <c r="BO79" s="10">
        <f t="shared" si="53"/>
        <v>48</v>
      </c>
      <c r="BP79" s="10">
        <f t="shared" si="54"/>
        <v>48</v>
      </c>
      <c r="BQ79" s="10">
        <f t="shared" si="55"/>
        <v>47</v>
      </c>
      <c r="BR79" s="10">
        <f t="shared" si="56"/>
        <v>46</v>
      </c>
      <c r="BS79" s="10">
        <f t="shared" si="57"/>
        <v>45</v>
      </c>
      <c r="BT79" s="10">
        <f t="shared" si="58"/>
        <v>44</v>
      </c>
      <c r="BU79" s="10">
        <f t="shared" si="59"/>
        <v>43</v>
      </c>
      <c r="BV79" s="10">
        <f t="shared" si="60"/>
        <v>42</v>
      </c>
      <c r="BW79" s="10">
        <f t="shared" si="61"/>
        <v>41</v>
      </c>
      <c r="BX79" s="10">
        <f t="shared" si="62"/>
        <v>40</v>
      </c>
      <c r="BY79" s="10">
        <f t="shared" si="63"/>
        <v>39</v>
      </c>
      <c r="BZ79" s="10">
        <f t="shared" si="64"/>
        <v>38</v>
      </c>
      <c r="CA79" s="10">
        <f t="shared" si="65"/>
        <v>37</v>
      </c>
      <c r="CB79" s="10">
        <f t="shared" si="66"/>
        <v>36</v>
      </c>
      <c r="CC79" s="10">
        <f t="shared" si="67"/>
        <v>35</v>
      </c>
      <c r="CD79" s="10">
        <f t="shared" si="68"/>
        <v>34</v>
      </c>
      <c r="CE79" s="10">
        <f t="shared" si="69"/>
        <v>33</v>
      </c>
      <c r="CF79" s="10">
        <f t="shared" si="70"/>
        <v>32</v>
      </c>
      <c r="CG79" s="10">
        <f t="shared" si="71"/>
        <v>31</v>
      </c>
      <c r="CH79" s="10">
        <f t="shared" si="72"/>
        <v>30</v>
      </c>
      <c r="CI79" s="10">
        <f t="shared" si="73"/>
        <v>29</v>
      </c>
      <c r="CJ79" s="10">
        <f t="shared" si="74"/>
        <v>28</v>
      </c>
      <c r="CK79" s="10">
        <f t="shared" si="75"/>
        <v>27</v>
      </c>
      <c r="CL79" s="10">
        <f t="shared" si="76"/>
        <v>26</v>
      </c>
      <c r="CM79" s="10" t="str">
        <f>'役職希望調査 ・備考'!I49&amp;""</f>
        <v/>
      </c>
    </row>
    <row r="80" spans="1:91">
      <c r="A80" s="10" t="str">
        <f>時間希望調査!A50&amp;""</f>
        <v/>
      </c>
      <c r="B80" s="10" t="str">
        <f>時間希望調査!B50&amp;""</f>
        <v/>
      </c>
      <c r="C80" s="10" t="str">
        <f>時間希望調査!C50&amp;""</f>
        <v/>
      </c>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0">
        <f t="shared" si="46"/>
        <v>0</v>
      </c>
      <c r="BC80" s="10">
        <f>時間希望調査!D50</f>
        <v>0</v>
      </c>
      <c r="BD80" s="10" t="str">
        <f>'役職希望調査 ・備考'!D50&amp;""</f>
        <v/>
      </c>
      <c r="BE80" s="10" t="str">
        <f>'役職希望調査 ・備考'!E50&amp;""</f>
        <v/>
      </c>
      <c r="BF80" s="10" t="str">
        <f>'役職希望調査 ・備考'!F50&amp;""</f>
        <v/>
      </c>
      <c r="BG80" s="10" t="str">
        <f>'役職希望調査 ・備考'!G50&amp;""</f>
        <v/>
      </c>
      <c r="BH80" s="10" t="str">
        <f>'役職希望調査 ・備考'!H50&amp;""</f>
        <v/>
      </c>
      <c r="BI80" s="10">
        <f t="shared" si="47"/>
        <v>0</v>
      </c>
      <c r="BJ80" s="10">
        <f t="shared" si="48"/>
        <v>0</v>
      </c>
      <c r="BK80" s="10">
        <f t="shared" si="49"/>
        <v>0</v>
      </c>
      <c r="BL80" s="10">
        <f t="shared" si="50"/>
        <v>0</v>
      </c>
      <c r="BM80" s="10">
        <f t="shared" si="51"/>
        <v>0</v>
      </c>
      <c r="BN80" s="10">
        <f t="shared" si="52"/>
        <v>0</v>
      </c>
      <c r="BO80" s="10">
        <f t="shared" si="53"/>
        <v>48</v>
      </c>
      <c r="BP80" s="10">
        <f t="shared" si="54"/>
        <v>48</v>
      </c>
      <c r="BQ80" s="10">
        <f t="shared" si="55"/>
        <v>47</v>
      </c>
      <c r="BR80" s="10">
        <f t="shared" si="56"/>
        <v>46</v>
      </c>
      <c r="BS80" s="10">
        <f t="shared" si="57"/>
        <v>45</v>
      </c>
      <c r="BT80" s="10">
        <f t="shared" si="58"/>
        <v>44</v>
      </c>
      <c r="BU80" s="10">
        <f t="shared" si="59"/>
        <v>43</v>
      </c>
      <c r="BV80" s="10">
        <f t="shared" si="60"/>
        <v>42</v>
      </c>
      <c r="BW80" s="10">
        <f t="shared" si="61"/>
        <v>41</v>
      </c>
      <c r="BX80" s="10">
        <f t="shared" si="62"/>
        <v>40</v>
      </c>
      <c r="BY80" s="10">
        <f t="shared" si="63"/>
        <v>39</v>
      </c>
      <c r="BZ80" s="10">
        <f t="shared" si="64"/>
        <v>38</v>
      </c>
      <c r="CA80" s="10">
        <f t="shared" si="65"/>
        <v>37</v>
      </c>
      <c r="CB80" s="10">
        <f t="shared" si="66"/>
        <v>36</v>
      </c>
      <c r="CC80" s="10">
        <f t="shared" si="67"/>
        <v>35</v>
      </c>
      <c r="CD80" s="10">
        <f t="shared" si="68"/>
        <v>34</v>
      </c>
      <c r="CE80" s="10">
        <f t="shared" si="69"/>
        <v>33</v>
      </c>
      <c r="CF80" s="10">
        <f t="shared" si="70"/>
        <v>32</v>
      </c>
      <c r="CG80" s="10">
        <f t="shared" si="71"/>
        <v>31</v>
      </c>
      <c r="CH80" s="10">
        <f t="shared" si="72"/>
        <v>30</v>
      </c>
      <c r="CI80" s="10">
        <f t="shared" si="73"/>
        <v>29</v>
      </c>
      <c r="CJ80" s="10">
        <f t="shared" si="74"/>
        <v>28</v>
      </c>
      <c r="CK80" s="10">
        <f t="shared" si="75"/>
        <v>27</v>
      </c>
      <c r="CL80" s="10">
        <f t="shared" si="76"/>
        <v>26</v>
      </c>
      <c r="CM80" s="10" t="str">
        <f>'役職希望調査 ・備考'!I50&amp;""</f>
        <v/>
      </c>
    </row>
    <row r="81" spans="1:91">
      <c r="A81" s="10" t="str">
        <f>時間希望調査!A51&amp;""</f>
        <v/>
      </c>
      <c r="B81" s="10" t="str">
        <f>時間希望調査!B51&amp;""</f>
        <v/>
      </c>
      <c r="C81" s="10" t="str">
        <f>時間希望調査!C51&amp;""</f>
        <v/>
      </c>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0">
        <f t="shared" si="46"/>
        <v>0</v>
      </c>
      <c r="BC81" s="10">
        <f>時間希望調査!D51</f>
        <v>0</v>
      </c>
      <c r="BD81" s="10" t="str">
        <f>'役職希望調査 ・備考'!D51&amp;""</f>
        <v/>
      </c>
      <c r="BE81" s="10" t="str">
        <f>'役職希望調査 ・備考'!E51&amp;""</f>
        <v/>
      </c>
      <c r="BF81" s="10" t="str">
        <f>'役職希望調査 ・備考'!F51&amp;""</f>
        <v/>
      </c>
      <c r="BG81" s="10" t="str">
        <f>'役職希望調査 ・備考'!G51&amp;""</f>
        <v/>
      </c>
      <c r="BH81" s="10" t="str">
        <f>'役職希望調査 ・備考'!H51&amp;""</f>
        <v/>
      </c>
      <c r="BI81" s="10">
        <f t="shared" si="47"/>
        <v>0</v>
      </c>
      <c r="BJ81" s="10">
        <f t="shared" si="48"/>
        <v>0</v>
      </c>
      <c r="BK81" s="10">
        <f t="shared" si="49"/>
        <v>0</v>
      </c>
      <c r="BL81" s="10">
        <f t="shared" si="50"/>
        <v>0</v>
      </c>
      <c r="BM81" s="10">
        <f t="shared" si="51"/>
        <v>0</v>
      </c>
      <c r="BN81" s="10">
        <f t="shared" si="52"/>
        <v>0</v>
      </c>
      <c r="BO81" s="10">
        <f t="shared" si="53"/>
        <v>48</v>
      </c>
      <c r="BP81" s="10">
        <f t="shared" si="54"/>
        <v>48</v>
      </c>
      <c r="BQ81" s="10">
        <f t="shared" si="55"/>
        <v>47</v>
      </c>
      <c r="BR81" s="10">
        <f t="shared" si="56"/>
        <v>46</v>
      </c>
      <c r="BS81" s="10">
        <f t="shared" si="57"/>
        <v>45</v>
      </c>
      <c r="BT81" s="10">
        <f t="shared" si="58"/>
        <v>44</v>
      </c>
      <c r="BU81" s="10">
        <f t="shared" si="59"/>
        <v>43</v>
      </c>
      <c r="BV81" s="10">
        <f t="shared" si="60"/>
        <v>42</v>
      </c>
      <c r="BW81" s="10">
        <f t="shared" si="61"/>
        <v>41</v>
      </c>
      <c r="BX81" s="10">
        <f t="shared" si="62"/>
        <v>40</v>
      </c>
      <c r="BY81" s="10">
        <f t="shared" si="63"/>
        <v>39</v>
      </c>
      <c r="BZ81" s="10">
        <f t="shared" si="64"/>
        <v>38</v>
      </c>
      <c r="CA81" s="10">
        <f t="shared" si="65"/>
        <v>37</v>
      </c>
      <c r="CB81" s="10">
        <f t="shared" si="66"/>
        <v>36</v>
      </c>
      <c r="CC81" s="10">
        <f t="shared" si="67"/>
        <v>35</v>
      </c>
      <c r="CD81" s="10">
        <f t="shared" si="68"/>
        <v>34</v>
      </c>
      <c r="CE81" s="10">
        <f t="shared" si="69"/>
        <v>33</v>
      </c>
      <c r="CF81" s="10">
        <f t="shared" si="70"/>
        <v>32</v>
      </c>
      <c r="CG81" s="10">
        <f t="shared" si="71"/>
        <v>31</v>
      </c>
      <c r="CH81" s="10">
        <f t="shared" si="72"/>
        <v>30</v>
      </c>
      <c r="CI81" s="10">
        <f t="shared" si="73"/>
        <v>29</v>
      </c>
      <c r="CJ81" s="10">
        <f t="shared" si="74"/>
        <v>28</v>
      </c>
      <c r="CK81" s="10">
        <f t="shared" si="75"/>
        <v>27</v>
      </c>
      <c r="CL81" s="10">
        <f t="shared" si="76"/>
        <v>26</v>
      </c>
      <c r="CM81" s="10" t="str">
        <f>'役職希望調査 ・備考'!I51&amp;""</f>
        <v/>
      </c>
    </row>
    <row r="82" spans="1:91">
      <c r="A82" s="10" t="str">
        <f>時間希望調査!A52&amp;""</f>
        <v/>
      </c>
      <c r="B82" s="10" t="str">
        <f>時間希望調査!B52&amp;""</f>
        <v/>
      </c>
      <c r="C82" s="10" t="str">
        <f>時間希望調査!C52&amp;""</f>
        <v/>
      </c>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0">
        <f t="shared" si="46"/>
        <v>0</v>
      </c>
      <c r="BC82" s="10">
        <f>時間希望調査!D52</f>
        <v>0</v>
      </c>
      <c r="BD82" s="10" t="str">
        <f>'役職希望調査 ・備考'!D52&amp;""</f>
        <v/>
      </c>
      <c r="BE82" s="10" t="str">
        <f>'役職希望調査 ・備考'!E52&amp;""</f>
        <v/>
      </c>
      <c r="BF82" s="10" t="str">
        <f>'役職希望調査 ・備考'!F52&amp;""</f>
        <v/>
      </c>
      <c r="BG82" s="10" t="str">
        <f>'役職希望調査 ・備考'!G52&amp;""</f>
        <v/>
      </c>
      <c r="BH82" s="10" t="str">
        <f>'役職希望調査 ・備考'!H52&amp;""</f>
        <v/>
      </c>
      <c r="BI82" s="10">
        <f t="shared" si="47"/>
        <v>0</v>
      </c>
      <c r="BJ82" s="10">
        <f t="shared" si="48"/>
        <v>0</v>
      </c>
      <c r="BK82" s="10">
        <f t="shared" si="49"/>
        <v>0</v>
      </c>
      <c r="BL82" s="10">
        <f t="shared" si="50"/>
        <v>0</v>
      </c>
      <c r="BM82" s="10">
        <f t="shared" si="51"/>
        <v>0</v>
      </c>
      <c r="BN82" s="10">
        <f t="shared" si="52"/>
        <v>0</v>
      </c>
      <c r="BO82" s="10">
        <f t="shared" si="53"/>
        <v>48</v>
      </c>
      <c r="BP82" s="10">
        <f t="shared" si="54"/>
        <v>48</v>
      </c>
      <c r="BQ82" s="10">
        <f t="shared" si="55"/>
        <v>47</v>
      </c>
      <c r="BR82" s="10">
        <f t="shared" si="56"/>
        <v>46</v>
      </c>
      <c r="BS82" s="10">
        <f t="shared" si="57"/>
        <v>45</v>
      </c>
      <c r="BT82" s="10">
        <f t="shared" si="58"/>
        <v>44</v>
      </c>
      <c r="BU82" s="10">
        <f t="shared" si="59"/>
        <v>43</v>
      </c>
      <c r="BV82" s="10">
        <f t="shared" si="60"/>
        <v>42</v>
      </c>
      <c r="BW82" s="10">
        <f t="shared" si="61"/>
        <v>41</v>
      </c>
      <c r="BX82" s="10">
        <f t="shared" si="62"/>
        <v>40</v>
      </c>
      <c r="BY82" s="10">
        <f t="shared" si="63"/>
        <v>39</v>
      </c>
      <c r="BZ82" s="10">
        <f t="shared" si="64"/>
        <v>38</v>
      </c>
      <c r="CA82" s="10">
        <f t="shared" si="65"/>
        <v>37</v>
      </c>
      <c r="CB82" s="10">
        <f t="shared" si="66"/>
        <v>36</v>
      </c>
      <c r="CC82" s="10">
        <f t="shared" si="67"/>
        <v>35</v>
      </c>
      <c r="CD82" s="10">
        <f t="shared" si="68"/>
        <v>34</v>
      </c>
      <c r="CE82" s="10">
        <f t="shared" si="69"/>
        <v>33</v>
      </c>
      <c r="CF82" s="10">
        <f t="shared" si="70"/>
        <v>32</v>
      </c>
      <c r="CG82" s="10">
        <f t="shared" si="71"/>
        <v>31</v>
      </c>
      <c r="CH82" s="10">
        <f t="shared" si="72"/>
        <v>30</v>
      </c>
      <c r="CI82" s="10">
        <f t="shared" si="73"/>
        <v>29</v>
      </c>
      <c r="CJ82" s="10">
        <f t="shared" si="74"/>
        <v>28</v>
      </c>
      <c r="CK82" s="10">
        <f t="shared" si="75"/>
        <v>27</v>
      </c>
      <c r="CL82" s="10">
        <f t="shared" si="76"/>
        <v>26</v>
      </c>
      <c r="CM82" s="10" t="str">
        <f>'役職希望調査 ・備考'!I52&amp;""</f>
        <v/>
      </c>
    </row>
    <row r="83" spans="1:91">
      <c r="A83" s="10" t="str">
        <f>時間希望調査!A53&amp;""</f>
        <v/>
      </c>
      <c r="B83" s="10" t="str">
        <f>時間希望調査!B53&amp;""</f>
        <v/>
      </c>
      <c r="C83" s="10" t="str">
        <f>時間希望調査!C53&amp;""</f>
        <v/>
      </c>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0">
        <f t="shared" si="46"/>
        <v>0</v>
      </c>
      <c r="BC83" s="10">
        <f>時間希望調査!D53</f>
        <v>0</v>
      </c>
      <c r="BD83" s="10" t="str">
        <f>'役職希望調査 ・備考'!D53&amp;""</f>
        <v/>
      </c>
      <c r="BE83" s="10" t="str">
        <f>'役職希望調査 ・備考'!E53&amp;""</f>
        <v/>
      </c>
      <c r="BF83" s="10" t="str">
        <f>'役職希望調査 ・備考'!F53&amp;""</f>
        <v/>
      </c>
      <c r="BG83" s="10" t="str">
        <f>'役職希望調査 ・備考'!G53&amp;""</f>
        <v/>
      </c>
      <c r="BH83" s="10" t="str">
        <f>'役職希望調査 ・備考'!H53&amp;""</f>
        <v/>
      </c>
      <c r="BI83" s="10">
        <f t="shared" si="47"/>
        <v>0</v>
      </c>
      <c r="BJ83" s="10">
        <f t="shared" si="48"/>
        <v>0</v>
      </c>
      <c r="BK83" s="10">
        <f t="shared" si="49"/>
        <v>0</v>
      </c>
      <c r="BL83" s="10">
        <f t="shared" si="50"/>
        <v>0</v>
      </c>
      <c r="BM83" s="10">
        <f t="shared" si="51"/>
        <v>0</v>
      </c>
      <c r="BN83" s="10">
        <f t="shared" si="52"/>
        <v>0</v>
      </c>
      <c r="BO83" s="10">
        <f t="shared" si="53"/>
        <v>48</v>
      </c>
      <c r="BP83" s="10">
        <f t="shared" si="54"/>
        <v>48</v>
      </c>
      <c r="BQ83" s="10">
        <f t="shared" si="55"/>
        <v>47</v>
      </c>
      <c r="BR83" s="10">
        <f t="shared" si="56"/>
        <v>46</v>
      </c>
      <c r="BS83" s="10">
        <f t="shared" si="57"/>
        <v>45</v>
      </c>
      <c r="BT83" s="10">
        <f t="shared" si="58"/>
        <v>44</v>
      </c>
      <c r="BU83" s="10">
        <f t="shared" si="59"/>
        <v>43</v>
      </c>
      <c r="BV83" s="10">
        <f t="shared" si="60"/>
        <v>42</v>
      </c>
      <c r="BW83" s="10">
        <f t="shared" si="61"/>
        <v>41</v>
      </c>
      <c r="BX83" s="10">
        <f t="shared" si="62"/>
        <v>40</v>
      </c>
      <c r="BY83" s="10">
        <f t="shared" si="63"/>
        <v>39</v>
      </c>
      <c r="BZ83" s="10">
        <f t="shared" si="64"/>
        <v>38</v>
      </c>
      <c r="CA83" s="10">
        <f t="shared" si="65"/>
        <v>37</v>
      </c>
      <c r="CB83" s="10">
        <f t="shared" si="66"/>
        <v>36</v>
      </c>
      <c r="CC83" s="10">
        <f t="shared" si="67"/>
        <v>35</v>
      </c>
      <c r="CD83" s="10">
        <f t="shared" si="68"/>
        <v>34</v>
      </c>
      <c r="CE83" s="10">
        <f t="shared" si="69"/>
        <v>33</v>
      </c>
      <c r="CF83" s="10">
        <f t="shared" si="70"/>
        <v>32</v>
      </c>
      <c r="CG83" s="10">
        <f t="shared" si="71"/>
        <v>31</v>
      </c>
      <c r="CH83" s="10">
        <f t="shared" si="72"/>
        <v>30</v>
      </c>
      <c r="CI83" s="10">
        <f t="shared" si="73"/>
        <v>29</v>
      </c>
      <c r="CJ83" s="10">
        <f t="shared" si="74"/>
        <v>28</v>
      </c>
      <c r="CK83" s="10">
        <f t="shared" si="75"/>
        <v>27</v>
      </c>
      <c r="CL83" s="10">
        <f t="shared" si="76"/>
        <v>26</v>
      </c>
      <c r="CM83" s="10" t="str">
        <f>'役職希望調査 ・備考'!I53&amp;""</f>
        <v/>
      </c>
    </row>
    <row r="84" spans="1:91">
      <c r="A84" s="10" t="str">
        <f>時間希望調査!A54&amp;""</f>
        <v/>
      </c>
      <c r="B84" s="10" t="str">
        <f>時間希望調査!B54&amp;""</f>
        <v/>
      </c>
      <c r="C84" s="10" t="str">
        <f>時間希望調査!C54&amp;""</f>
        <v/>
      </c>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0">
        <f t="shared" si="46"/>
        <v>0</v>
      </c>
      <c r="BC84" s="10">
        <f>時間希望調査!D54</f>
        <v>0</v>
      </c>
      <c r="BD84" s="10" t="str">
        <f>'役職希望調査 ・備考'!D54&amp;""</f>
        <v/>
      </c>
      <c r="BE84" s="10" t="str">
        <f>'役職希望調査 ・備考'!E54&amp;""</f>
        <v/>
      </c>
      <c r="BF84" s="10" t="str">
        <f>'役職希望調査 ・備考'!F54&amp;""</f>
        <v/>
      </c>
      <c r="BG84" s="10" t="str">
        <f>'役職希望調査 ・備考'!G54&amp;""</f>
        <v/>
      </c>
      <c r="BH84" s="10" t="str">
        <f>'役職希望調査 ・備考'!H54&amp;""</f>
        <v/>
      </c>
      <c r="BI84" s="10">
        <f t="shared" si="47"/>
        <v>0</v>
      </c>
      <c r="BJ84" s="10">
        <f t="shared" si="48"/>
        <v>0</v>
      </c>
      <c r="BK84" s="10">
        <f t="shared" si="49"/>
        <v>0</v>
      </c>
      <c r="BL84" s="10">
        <f t="shared" si="50"/>
        <v>0</v>
      </c>
      <c r="BM84" s="10">
        <f t="shared" si="51"/>
        <v>0</v>
      </c>
      <c r="BN84" s="10">
        <f t="shared" si="52"/>
        <v>0</v>
      </c>
      <c r="BO84" s="10">
        <f t="shared" si="53"/>
        <v>48</v>
      </c>
      <c r="BP84" s="10">
        <f t="shared" si="54"/>
        <v>48</v>
      </c>
      <c r="BQ84" s="10">
        <f t="shared" si="55"/>
        <v>47</v>
      </c>
      <c r="BR84" s="10">
        <f t="shared" si="56"/>
        <v>46</v>
      </c>
      <c r="BS84" s="10">
        <f t="shared" si="57"/>
        <v>45</v>
      </c>
      <c r="BT84" s="10">
        <f t="shared" si="58"/>
        <v>44</v>
      </c>
      <c r="BU84" s="10">
        <f t="shared" si="59"/>
        <v>43</v>
      </c>
      <c r="BV84" s="10">
        <f t="shared" si="60"/>
        <v>42</v>
      </c>
      <c r="BW84" s="10">
        <f t="shared" si="61"/>
        <v>41</v>
      </c>
      <c r="BX84" s="10">
        <f t="shared" si="62"/>
        <v>40</v>
      </c>
      <c r="BY84" s="10">
        <f t="shared" si="63"/>
        <v>39</v>
      </c>
      <c r="BZ84" s="10">
        <f t="shared" si="64"/>
        <v>38</v>
      </c>
      <c r="CA84" s="10">
        <f t="shared" si="65"/>
        <v>37</v>
      </c>
      <c r="CB84" s="10">
        <f t="shared" si="66"/>
        <v>36</v>
      </c>
      <c r="CC84" s="10">
        <f t="shared" si="67"/>
        <v>35</v>
      </c>
      <c r="CD84" s="10">
        <f t="shared" si="68"/>
        <v>34</v>
      </c>
      <c r="CE84" s="10">
        <f t="shared" si="69"/>
        <v>33</v>
      </c>
      <c r="CF84" s="10">
        <f t="shared" si="70"/>
        <v>32</v>
      </c>
      <c r="CG84" s="10">
        <f t="shared" si="71"/>
        <v>31</v>
      </c>
      <c r="CH84" s="10">
        <f t="shared" si="72"/>
        <v>30</v>
      </c>
      <c r="CI84" s="10">
        <f t="shared" si="73"/>
        <v>29</v>
      </c>
      <c r="CJ84" s="10">
        <f t="shared" si="74"/>
        <v>28</v>
      </c>
      <c r="CK84" s="10">
        <f t="shared" si="75"/>
        <v>27</v>
      </c>
      <c r="CL84" s="10">
        <f t="shared" si="76"/>
        <v>26</v>
      </c>
      <c r="CM84" s="10" t="str">
        <f>'役職希望調査 ・備考'!I54&amp;""</f>
        <v/>
      </c>
    </row>
    <row r="85" spans="1:91">
      <c r="A85" s="10" t="str">
        <f>時間希望調査!A55&amp;""</f>
        <v/>
      </c>
      <c r="B85" s="10" t="str">
        <f>時間希望調査!B55&amp;""</f>
        <v/>
      </c>
      <c r="C85" s="10" t="str">
        <f>時間希望調査!C55&amp;""</f>
        <v/>
      </c>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0">
        <f t="shared" si="46"/>
        <v>0</v>
      </c>
      <c r="BC85" s="10">
        <f>時間希望調査!D55</f>
        <v>0</v>
      </c>
      <c r="BD85" s="10" t="str">
        <f>'役職希望調査 ・備考'!D55&amp;""</f>
        <v/>
      </c>
      <c r="BE85" s="10" t="str">
        <f>'役職希望調査 ・備考'!E55&amp;""</f>
        <v/>
      </c>
      <c r="BF85" s="10" t="str">
        <f>'役職希望調査 ・備考'!F55&amp;""</f>
        <v/>
      </c>
      <c r="BG85" s="10" t="str">
        <f>'役職希望調査 ・備考'!G55&amp;""</f>
        <v/>
      </c>
      <c r="BH85" s="10" t="str">
        <f>'役職希望調査 ・備考'!H55&amp;""</f>
        <v/>
      </c>
      <c r="BI85" s="10">
        <f t="shared" si="47"/>
        <v>0</v>
      </c>
      <c r="BJ85" s="10">
        <f t="shared" si="48"/>
        <v>0</v>
      </c>
      <c r="BK85" s="10">
        <f t="shared" si="49"/>
        <v>0</v>
      </c>
      <c r="BL85" s="10">
        <f t="shared" si="50"/>
        <v>0</v>
      </c>
      <c r="BM85" s="10">
        <f t="shared" si="51"/>
        <v>0</v>
      </c>
      <c r="BN85" s="10">
        <f t="shared" si="52"/>
        <v>0</v>
      </c>
      <c r="BO85" s="10">
        <f t="shared" si="53"/>
        <v>48</v>
      </c>
      <c r="BP85" s="10">
        <f t="shared" si="54"/>
        <v>48</v>
      </c>
      <c r="BQ85" s="10">
        <f t="shared" si="55"/>
        <v>47</v>
      </c>
      <c r="BR85" s="10">
        <f t="shared" si="56"/>
        <v>46</v>
      </c>
      <c r="BS85" s="10">
        <f t="shared" si="57"/>
        <v>45</v>
      </c>
      <c r="BT85" s="10">
        <f t="shared" si="58"/>
        <v>44</v>
      </c>
      <c r="BU85" s="10">
        <f t="shared" si="59"/>
        <v>43</v>
      </c>
      <c r="BV85" s="10">
        <f t="shared" si="60"/>
        <v>42</v>
      </c>
      <c r="BW85" s="10">
        <f t="shared" si="61"/>
        <v>41</v>
      </c>
      <c r="BX85" s="10">
        <f t="shared" si="62"/>
        <v>40</v>
      </c>
      <c r="BY85" s="10">
        <f t="shared" si="63"/>
        <v>39</v>
      </c>
      <c r="BZ85" s="10">
        <f t="shared" si="64"/>
        <v>38</v>
      </c>
      <c r="CA85" s="10">
        <f t="shared" si="65"/>
        <v>37</v>
      </c>
      <c r="CB85" s="10">
        <f t="shared" si="66"/>
        <v>36</v>
      </c>
      <c r="CC85" s="10">
        <f t="shared" si="67"/>
        <v>35</v>
      </c>
      <c r="CD85" s="10">
        <f t="shared" si="68"/>
        <v>34</v>
      </c>
      <c r="CE85" s="10">
        <f t="shared" si="69"/>
        <v>33</v>
      </c>
      <c r="CF85" s="10">
        <f t="shared" si="70"/>
        <v>32</v>
      </c>
      <c r="CG85" s="10">
        <f t="shared" si="71"/>
        <v>31</v>
      </c>
      <c r="CH85" s="10">
        <f t="shared" si="72"/>
        <v>30</v>
      </c>
      <c r="CI85" s="10">
        <f t="shared" si="73"/>
        <v>29</v>
      </c>
      <c r="CJ85" s="10">
        <f t="shared" si="74"/>
        <v>28</v>
      </c>
      <c r="CK85" s="10">
        <f t="shared" si="75"/>
        <v>27</v>
      </c>
      <c r="CL85" s="10">
        <f t="shared" si="76"/>
        <v>26</v>
      </c>
      <c r="CM85" s="10" t="str">
        <f>'役職希望調査 ・備考'!I55&amp;""</f>
        <v/>
      </c>
    </row>
    <row r="86" spans="1:91">
      <c r="A86" s="10" t="str">
        <f>時間希望調査!A56&amp;""</f>
        <v/>
      </c>
      <c r="B86" s="10" t="str">
        <f>時間希望調査!B56&amp;""</f>
        <v/>
      </c>
      <c r="C86" s="10" t="str">
        <f>時間希望調査!C56&amp;""</f>
        <v/>
      </c>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0">
        <f t="shared" si="46"/>
        <v>0</v>
      </c>
      <c r="BC86" s="10">
        <f>時間希望調査!D56</f>
        <v>0</v>
      </c>
      <c r="BD86" s="10" t="str">
        <f>'役職希望調査 ・備考'!D56&amp;""</f>
        <v/>
      </c>
      <c r="BE86" s="10" t="str">
        <f>'役職希望調査 ・備考'!E56&amp;""</f>
        <v/>
      </c>
      <c r="BF86" s="10" t="str">
        <f>'役職希望調査 ・備考'!F56&amp;""</f>
        <v/>
      </c>
      <c r="BG86" s="10" t="str">
        <f>'役職希望調査 ・備考'!G56&amp;""</f>
        <v/>
      </c>
      <c r="BH86" s="10" t="str">
        <f>'役職希望調査 ・備考'!H56&amp;""</f>
        <v/>
      </c>
      <c r="BI86" s="10">
        <f t="shared" si="47"/>
        <v>0</v>
      </c>
      <c r="BJ86" s="10">
        <f t="shared" si="48"/>
        <v>0</v>
      </c>
      <c r="BK86" s="10">
        <f t="shared" si="49"/>
        <v>0</v>
      </c>
      <c r="BL86" s="10">
        <f t="shared" si="50"/>
        <v>0</v>
      </c>
      <c r="BM86" s="10">
        <f t="shared" si="51"/>
        <v>0</v>
      </c>
      <c r="BN86" s="10">
        <f t="shared" si="52"/>
        <v>0</v>
      </c>
      <c r="BO86" s="10">
        <f t="shared" si="53"/>
        <v>48</v>
      </c>
      <c r="BP86" s="10">
        <f t="shared" si="54"/>
        <v>48</v>
      </c>
      <c r="BQ86" s="10">
        <f t="shared" si="55"/>
        <v>47</v>
      </c>
      <c r="BR86" s="10">
        <f t="shared" si="56"/>
        <v>46</v>
      </c>
      <c r="BS86" s="10">
        <f t="shared" si="57"/>
        <v>45</v>
      </c>
      <c r="BT86" s="10">
        <f t="shared" si="58"/>
        <v>44</v>
      </c>
      <c r="BU86" s="10">
        <f t="shared" si="59"/>
        <v>43</v>
      </c>
      <c r="BV86" s="10">
        <f t="shared" si="60"/>
        <v>42</v>
      </c>
      <c r="BW86" s="10">
        <f t="shared" si="61"/>
        <v>41</v>
      </c>
      <c r="BX86" s="10">
        <f t="shared" si="62"/>
        <v>40</v>
      </c>
      <c r="BY86" s="10">
        <f t="shared" si="63"/>
        <v>39</v>
      </c>
      <c r="BZ86" s="10">
        <f t="shared" si="64"/>
        <v>38</v>
      </c>
      <c r="CA86" s="10">
        <f t="shared" si="65"/>
        <v>37</v>
      </c>
      <c r="CB86" s="10">
        <f t="shared" si="66"/>
        <v>36</v>
      </c>
      <c r="CC86" s="10">
        <f t="shared" si="67"/>
        <v>35</v>
      </c>
      <c r="CD86" s="10">
        <f t="shared" si="68"/>
        <v>34</v>
      </c>
      <c r="CE86" s="10">
        <f t="shared" si="69"/>
        <v>33</v>
      </c>
      <c r="CF86" s="10">
        <f t="shared" si="70"/>
        <v>32</v>
      </c>
      <c r="CG86" s="10">
        <f t="shared" si="71"/>
        <v>31</v>
      </c>
      <c r="CH86" s="10">
        <f t="shared" si="72"/>
        <v>30</v>
      </c>
      <c r="CI86" s="10">
        <f t="shared" si="73"/>
        <v>29</v>
      </c>
      <c r="CJ86" s="10">
        <f t="shared" si="74"/>
        <v>28</v>
      </c>
      <c r="CK86" s="10">
        <f t="shared" si="75"/>
        <v>27</v>
      </c>
      <c r="CL86" s="10">
        <f t="shared" si="76"/>
        <v>26</v>
      </c>
      <c r="CM86" s="10" t="str">
        <f>'役職希望調査 ・備考'!I56&amp;""</f>
        <v/>
      </c>
    </row>
    <row r="87" spans="1:91">
      <c r="A87" s="10" t="str">
        <f>時間希望調査!A57&amp;""</f>
        <v/>
      </c>
      <c r="B87" s="10" t="str">
        <f>時間希望調査!B57&amp;""</f>
        <v/>
      </c>
      <c r="C87" s="10" t="str">
        <f>時間希望調査!C57&amp;""</f>
        <v/>
      </c>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0">
        <f t="shared" si="46"/>
        <v>0</v>
      </c>
      <c r="BC87" s="10">
        <f>時間希望調査!D57</f>
        <v>0</v>
      </c>
      <c r="BD87" s="10" t="str">
        <f>'役職希望調査 ・備考'!D57&amp;""</f>
        <v/>
      </c>
      <c r="BE87" s="10" t="str">
        <f>'役職希望調査 ・備考'!E57&amp;""</f>
        <v/>
      </c>
      <c r="BF87" s="10" t="str">
        <f>'役職希望調査 ・備考'!F57&amp;""</f>
        <v/>
      </c>
      <c r="BG87" s="10" t="str">
        <f>'役職希望調査 ・備考'!G57&amp;""</f>
        <v/>
      </c>
      <c r="BH87" s="10" t="str">
        <f>'役職希望調査 ・備考'!H57&amp;""</f>
        <v/>
      </c>
      <c r="BI87" s="10">
        <f t="shared" si="47"/>
        <v>0</v>
      </c>
      <c r="BJ87" s="10">
        <f t="shared" si="48"/>
        <v>0</v>
      </c>
      <c r="BK87" s="10">
        <f t="shared" si="49"/>
        <v>0</v>
      </c>
      <c r="BL87" s="10">
        <f t="shared" si="50"/>
        <v>0</v>
      </c>
      <c r="BM87" s="10">
        <f t="shared" si="51"/>
        <v>0</v>
      </c>
      <c r="BN87" s="10">
        <f t="shared" si="52"/>
        <v>0</v>
      </c>
      <c r="BO87" s="10">
        <f t="shared" si="53"/>
        <v>48</v>
      </c>
      <c r="BP87" s="10">
        <f t="shared" si="54"/>
        <v>48</v>
      </c>
      <c r="BQ87" s="10">
        <f t="shared" si="55"/>
        <v>47</v>
      </c>
      <c r="BR87" s="10">
        <f t="shared" si="56"/>
        <v>46</v>
      </c>
      <c r="BS87" s="10">
        <f t="shared" si="57"/>
        <v>45</v>
      </c>
      <c r="BT87" s="10">
        <f t="shared" si="58"/>
        <v>44</v>
      </c>
      <c r="BU87" s="10">
        <f t="shared" si="59"/>
        <v>43</v>
      </c>
      <c r="BV87" s="10">
        <f t="shared" si="60"/>
        <v>42</v>
      </c>
      <c r="BW87" s="10">
        <f t="shared" si="61"/>
        <v>41</v>
      </c>
      <c r="BX87" s="10">
        <f t="shared" si="62"/>
        <v>40</v>
      </c>
      <c r="BY87" s="10">
        <f t="shared" si="63"/>
        <v>39</v>
      </c>
      <c r="BZ87" s="10">
        <f t="shared" si="64"/>
        <v>38</v>
      </c>
      <c r="CA87" s="10">
        <f t="shared" si="65"/>
        <v>37</v>
      </c>
      <c r="CB87" s="10">
        <f t="shared" si="66"/>
        <v>36</v>
      </c>
      <c r="CC87" s="10">
        <f t="shared" si="67"/>
        <v>35</v>
      </c>
      <c r="CD87" s="10">
        <f t="shared" si="68"/>
        <v>34</v>
      </c>
      <c r="CE87" s="10">
        <f t="shared" si="69"/>
        <v>33</v>
      </c>
      <c r="CF87" s="10">
        <f t="shared" si="70"/>
        <v>32</v>
      </c>
      <c r="CG87" s="10">
        <f t="shared" si="71"/>
        <v>31</v>
      </c>
      <c r="CH87" s="10">
        <f t="shared" si="72"/>
        <v>30</v>
      </c>
      <c r="CI87" s="10">
        <f t="shared" si="73"/>
        <v>29</v>
      </c>
      <c r="CJ87" s="10">
        <f t="shared" si="74"/>
        <v>28</v>
      </c>
      <c r="CK87" s="10">
        <f t="shared" si="75"/>
        <v>27</v>
      </c>
      <c r="CL87" s="10">
        <f t="shared" si="76"/>
        <v>26</v>
      </c>
      <c r="CM87" s="10" t="str">
        <f>'役職希望調査 ・備考'!I57&amp;""</f>
        <v/>
      </c>
    </row>
    <row r="88" spans="1:91">
      <c r="A88" s="10" t="str">
        <f>時間希望調査!A58&amp;""</f>
        <v/>
      </c>
      <c r="B88" s="10" t="str">
        <f>時間希望調査!B58&amp;""</f>
        <v/>
      </c>
      <c r="C88" s="10" t="str">
        <f>時間希望調査!C58&amp;""</f>
        <v/>
      </c>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0">
        <f t="shared" si="46"/>
        <v>0</v>
      </c>
      <c r="BC88" s="10">
        <f>時間希望調査!D58</f>
        <v>0</v>
      </c>
      <c r="BD88" s="10" t="str">
        <f>'役職希望調査 ・備考'!D58&amp;""</f>
        <v/>
      </c>
      <c r="BE88" s="10" t="str">
        <f>'役職希望調査 ・備考'!E58&amp;""</f>
        <v/>
      </c>
      <c r="BF88" s="10" t="str">
        <f>'役職希望調査 ・備考'!F58&amp;""</f>
        <v/>
      </c>
      <c r="BG88" s="10" t="str">
        <f>'役職希望調査 ・備考'!G58&amp;""</f>
        <v/>
      </c>
      <c r="BH88" s="10" t="str">
        <f>'役職希望調査 ・備考'!H58&amp;""</f>
        <v/>
      </c>
      <c r="BI88" s="10">
        <f t="shared" si="47"/>
        <v>0</v>
      </c>
      <c r="BJ88" s="10">
        <f t="shared" si="48"/>
        <v>0</v>
      </c>
      <c r="BK88" s="10">
        <f t="shared" si="49"/>
        <v>0</v>
      </c>
      <c r="BL88" s="10">
        <f t="shared" si="50"/>
        <v>0</v>
      </c>
      <c r="BM88" s="10">
        <f t="shared" si="51"/>
        <v>0</v>
      </c>
      <c r="BN88" s="10">
        <f t="shared" si="52"/>
        <v>0</v>
      </c>
      <c r="BO88" s="10">
        <f t="shared" si="53"/>
        <v>48</v>
      </c>
      <c r="BP88" s="10">
        <f t="shared" si="54"/>
        <v>48</v>
      </c>
      <c r="BQ88" s="10">
        <f t="shared" si="55"/>
        <v>47</v>
      </c>
      <c r="BR88" s="10">
        <f t="shared" si="56"/>
        <v>46</v>
      </c>
      <c r="BS88" s="10">
        <f t="shared" si="57"/>
        <v>45</v>
      </c>
      <c r="BT88" s="10">
        <f t="shared" si="58"/>
        <v>44</v>
      </c>
      <c r="BU88" s="10">
        <f t="shared" si="59"/>
        <v>43</v>
      </c>
      <c r="BV88" s="10">
        <f t="shared" si="60"/>
        <v>42</v>
      </c>
      <c r="BW88" s="10">
        <f t="shared" si="61"/>
        <v>41</v>
      </c>
      <c r="BX88" s="10">
        <f t="shared" si="62"/>
        <v>40</v>
      </c>
      <c r="BY88" s="10">
        <f t="shared" si="63"/>
        <v>39</v>
      </c>
      <c r="BZ88" s="10">
        <f t="shared" si="64"/>
        <v>38</v>
      </c>
      <c r="CA88" s="10">
        <f t="shared" si="65"/>
        <v>37</v>
      </c>
      <c r="CB88" s="10">
        <f t="shared" si="66"/>
        <v>36</v>
      </c>
      <c r="CC88" s="10">
        <f t="shared" si="67"/>
        <v>35</v>
      </c>
      <c r="CD88" s="10">
        <f t="shared" si="68"/>
        <v>34</v>
      </c>
      <c r="CE88" s="10">
        <f t="shared" si="69"/>
        <v>33</v>
      </c>
      <c r="CF88" s="10">
        <f t="shared" si="70"/>
        <v>32</v>
      </c>
      <c r="CG88" s="10">
        <f t="shared" si="71"/>
        <v>31</v>
      </c>
      <c r="CH88" s="10">
        <f t="shared" si="72"/>
        <v>30</v>
      </c>
      <c r="CI88" s="10">
        <f t="shared" si="73"/>
        <v>29</v>
      </c>
      <c r="CJ88" s="10">
        <f t="shared" si="74"/>
        <v>28</v>
      </c>
      <c r="CK88" s="10">
        <f t="shared" si="75"/>
        <v>27</v>
      </c>
      <c r="CL88" s="10">
        <f t="shared" si="76"/>
        <v>26</v>
      </c>
      <c r="CM88" s="10" t="str">
        <f>'役職希望調査 ・備考'!I58&amp;""</f>
        <v/>
      </c>
    </row>
    <row r="89" spans="1:91">
      <c r="A89" s="10" t="str">
        <f>時間希望調査!A59&amp;""</f>
        <v/>
      </c>
      <c r="B89" s="10" t="str">
        <f>時間希望調査!B59&amp;""</f>
        <v/>
      </c>
      <c r="C89" s="10" t="str">
        <f>時間希望調査!C59&amp;""</f>
        <v/>
      </c>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0">
        <f t="shared" si="46"/>
        <v>0</v>
      </c>
      <c r="BC89" s="10">
        <f>時間希望調査!D59</f>
        <v>0</v>
      </c>
      <c r="BD89" s="10" t="str">
        <f>'役職希望調査 ・備考'!D59&amp;""</f>
        <v/>
      </c>
      <c r="BE89" s="10" t="str">
        <f>'役職希望調査 ・備考'!E59&amp;""</f>
        <v/>
      </c>
      <c r="BF89" s="10" t="str">
        <f>'役職希望調査 ・備考'!F59&amp;""</f>
        <v/>
      </c>
      <c r="BG89" s="10" t="str">
        <f>'役職希望調査 ・備考'!G59&amp;""</f>
        <v/>
      </c>
      <c r="BH89" s="10" t="str">
        <f>'役職希望調査 ・備考'!H59&amp;""</f>
        <v/>
      </c>
      <c r="BI89" s="10">
        <f t="shared" si="47"/>
        <v>0</v>
      </c>
      <c r="BJ89" s="10">
        <f t="shared" si="48"/>
        <v>0</v>
      </c>
      <c r="BK89" s="10">
        <f t="shared" si="49"/>
        <v>0</v>
      </c>
      <c r="BL89" s="10">
        <f t="shared" si="50"/>
        <v>0</v>
      </c>
      <c r="BM89" s="10">
        <f t="shared" si="51"/>
        <v>0</v>
      </c>
      <c r="BN89" s="10">
        <f t="shared" si="52"/>
        <v>0</v>
      </c>
      <c r="BO89" s="10">
        <f t="shared" si="53"/>
        <v>48</v>
      </c>
      <c r="BP89" s="10">
        <f t="shared" si="54"/>
        <v>48</v>
      </c>
      <c r="BQ89" s="10">
        <f t="shared" si="55"/>
        <v>47</v>
      </c>
      <c r="BR89" s="10">
        <f t="shared" si="56"/>
        <v>46</v>
      </c>
      <c r="BS89" s="10">
        <f t="shared" si="57"/>
        <v>45</v>
      </c>
      <c r="BT89" s="10">
        <f t="shared" si="58"/>
        <v>44</v>
      </c>
      <c r="BU89" s="10">
        <f t="shared" si="59"/>
        <v>43</v>
      </c>
      <c r="BV89" s="10">
        <f t="shared" si="60"/>
        <v>42</v>
      </c>
      <c r="BW89" s="10">
        <f t="shared" si="61"/>
        <v>41</v>
      </c>
      <c r="BX89" s="10">
        <f t="shared" si="62"/>
        <v>40</v>
      </c>
      <c r="BY89" s="10">
        <f t="shared" si="63"/>
        <v>39</v>
      </c>
      <c r="BZ89" s="10">
        <f t="shared" si="64"/>
        <v>38</v>
      </c>
      <c r="CA89" s="10">
        <f t="shared" si="65"/>
        <v>37</v>
      </c>
      <c r="CB89" s="10">
        <f t="shared" si="66"/>
        <v>36</v>
      </c>
      <c r="CC89" s="10">
        <f t="shared" si="67"/>
        <v>35</v>
      </c>
      <c r="CD89" s="10">
        <f t="shared" si="68"/>
        <v>34</v>
      </c>
      <c r="CE89" s="10">
        <f t="shared" si="69"/>
        <v>33</v>
      </c>
      <c r="CF89" s="10">
        <f t="shared" si="70"/>
        <v>32</v>
      </c>
      <c r="CG89" s="10">
        <f t="shared" si="71"/>
        <v>31</v>
      </c>
      <c r="CH89" s="10">
        <f t="shared" si="72"/>
        <v>30</v>
      </c>
      <c r="CI89" s="10">
        <f t="shared" si="73"/>
        <v>29</v>
      </c>
      <c r="CJ89" s="10">
        <f t="shared" si="74"/>
        <v>28</v>
      </c>
      <c r="CK89" s="10">
        <f t="shared" si="75"/>
        <v>27</v>
      </c>
      <c r="CL89" s="10">
        <f t="shared" si="76"/>
        <v>26</v>
      </c>
      <c r="CM89" s="10" t="str">
        <f>'役職希望調査 ・備考'!I59&amp;""</f>
        <v/>
      </c>
    </row>
    <row r="90" spans="1:91">
      <c r="A90" s="10" t="str">
        <f>時間希望調査!A60&amp;""</f>
        <v/>
      </c>
      <c r="B90" s="10" t="str">
        <f>時間希望調査!B60&amp;""</f>
        <v/>
      </c>
      <c r="C90" s="10" t="str">
        <f>時間希望調査!C60&amp;""</f>
        <v/>
      </c>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0">
        <f t="shared" si="46"/>
        <v>0</v>
      </c>
      <c r="BC90" s="10">
        <f>時間希望調査!D60</f>
        <v>0</v>
      </c>
      <c r="BD90" s="10" t="str">
        <f>'役職希望調査 ・備考'!D60&amp;""</f>
        <v/>
      </c>
      <c r="BE90" s="10" t="str">
        <f>'役職希望調査 ・備考'!E60&amp;""</f>
        <v/>
      </c>
      <c r="BF90" s="10" t="str">
        <f>'役職希望調査 ・備考'!F60&amp;""</f>
        <v/>
      </c>
      <c r="BG90" s="10" t="str">
        <f>'役職希望調査 ・備考'!G60&amp;""</f>
        <v/>
      </c>
      <c r="BH90" s="10" t="str">
        <f>'役職希望調査 ・備考'!H60&amp;""</f>
        <v/>
      </c>
      <c r="BI90" s="10">
        <f t="shared" si="47"/>
        <v>0</v>
      </c>
      <c r="BJ90" s="10">
        <f t="shared" si="48"/>
        <v>0</v>
      </c>
      <c r="BK90" s="10">
        <f t="shared" si="49"/>
        <v>0</v>
      </c>
      <c r="BL90" s="10">
        <f t="shared" si="50"/>
        <v>0</v>
      </c>
      <c r="BM90" s="10">
        <f t="shared" si="51"/>
        <v>0</v>
      </c>
      <c r="BN90" s="10">
        <f t="shared" si="52"/>
        <v>0</v>
      </c>
      <c r="BO90" s="10">
        <f t="shared" si="53"/>
        <v>48</v>
      </c>
      <c r="BP90" s="10">
        <f t="shared" si="54"/>
        <v>48</v>
      </c>
      <c r="BQ90" s="10">
        <f t="shared" si="55"/>
        <v>47</v>
      </c>
      <c r="BR90" s="10">
        <f t="shared" si="56"/>
        <v>46</v>
      </c>
      <c r="BS90" s="10">
        <f t="shared" si="57"/>
        <v>45</v>
      </c>
      <c r="BT90" s="10">
        <f t="shared" si="58"/>
        <v>44</v>
      </c>
      <c r="BU90" s="10">
        <f t="shared" si="59"/>
        <v>43</v>
      </c>
      <c r="BV90" s="10">
        <f t="shared" si="60"/>
        <v>42</v>
      </c>
      <c r="BW90" s="10">
        <f t="shared" si="61"/>
        <v>41</v>
      </c>
      <c r="BX90" s="10">
        <f t="shared" si="62"/>
        <v>40</v>
      </c>
      <c r="BY90" s="10">
        <f t="shared" si="63"/>
        <v>39</v>
      </c>
      <c r="BZ90" s="10">
        <f t="shared" si="64"/>
        <v>38</v>
      </c>
      <c r="CA90" s="10">
        <f t="shared" si="65"/>
        <v>37</v>
      </c>
      <c r="CB90" s="10">
        <f t="shared" si="66"/>
        <v>36</v>
      </c>
      <c r="CC90" s="10">
        <f t="shared" si="67"/>
        <v>35</v>
      </c>
      <c r="CD90" s="10">
        <f t="shared" si="68"/>
        <v>34</v>
      </c>
      <c r="CE90" s="10">
        <f t="shared" si="69"/>
        <v>33</v>
      </c>
      <c r="CF90" s="10">
        <f t="shared" si="70"/>
        <v>32</v>
      </c>
      <c r="CG90" s="10">
        <f t="shared" si="71"/>
        <v>31</v>
      </c>
      <c r="CH90" s="10">
        <f t="shared" si="72"/>
        <v>30</v>
      </c>
      <c r="CI90" s="10">
        <f t="shared" si="73"/>
        <v>29</v>
      </c>
      <c r="CJ90" s="10">
        <f t="shared" si="74"/>
        <v>28</v>
      </c>
      <c r="CK90" s="10">
        <f t="shared" si="75"/>
        <v>27</v>
      </c>
      <c r="CL90" s="10">
        <f t="shared" si="76"/>
        <v>26</v>
      </c>
      <c r="CM90" s="10" t="str">
        <f>'役職希望調査 ・備考'!I60&amp;""</f>
        <v/>
      </c>
    </row>
    <row r="91" spans="1:91">
      <c r="A91" s="10" t="str">
        <f>時間希望調査!A61&amp;""</f>
        <v/>
      </c>
      <c r="B91" s="10" t="str">
        <f>時間希望調査!B61&amp;""</f>
        <v/>
      </c>
      <c r="C91" s="10" t="str">
        <f>時間希望調査!C61&amp;""</f>
        <v/>
      </c>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0">
        <f t="shared" si="46"/>
        <v>0</v>
      </c>
      <c r="BC91" s="10">
        <f>時間希望調査!D61</f>
        <v>0</v>
      </c>
      <c r="BD91" s="10" t="str">
        <f>'役職希望調査 ・備考'!D61&amp;""</f>
        <v/>
      </c>
      <c r="BE91" s="10" t="str">
        <f>'役職希望調査 ・備考'!E61&amp;""</f>
        <v/>
      </c>
      <c r="BF91" s="10" t="str">
        <f>'役職希望調査 ・備考'!F61&amp;""</f>
        <v/>
      </c>
      <c r="BG91" s="10" t="str">
        <f>'役職希望調査 ・備考'!G61&amp;""</f>
        <v/>
      </c>
      <c r="BH91" s="10" t="str">
        <f>'役職希望調査 ・備考'!H61&amp;""</f>
        <v/>
      </c>
      <c r="BI91" s="10">
        <f t="shared" si="47"/>
        <v>0</v>
      </c>
      <c r="BJ91" s="10">
        <f t="shared" si="48"/>
        <v>0</v>
      </c>
      <c r="BK91" s="10">
        <f t="shared" si="49"/>
        <v>0</v>
      </c>
      <c r="BL91" s="10">
        <f t="shared" si="50"/>
        <v>0</v>
      </c>
      <c r="BM91" s="10">
        <f t="shared" si="51"/>
        <v>0</v>
      </c>
      <c r="BN91" s="10">
        <f t="shared" si="52"/>
        <v>0</v>
      </c>
      <c r="BO91" s="10">
        <f t="shared" si="53"/>
        <v>48</v>
      </c>
      <c r="BP91" s="10">
        <f t="shared" si="54"/>
        <v>48</v>
      </c>
      <c r="BQ91" s="10">
        <f t="shared" si="55"/>
        <v>47</v>
      </c>
      <c r="BR91" s="10">
        <f t="shared" si="56"/>
        <v>46</v>
      </c>
      <c r="BS91" s="10">
        <f t="shared" si="57"/>
        <v>45</v>
      </c>
      <c r="BT91" s="10">
        <f t="shared" si="58"/>
        <v>44</v>
      </c>
      <c r="BU91" s="10">
        <f t="shared" si="59"/>
        <v>43</v>
      </c>
      <c r="BV91" s="10">
        <f t="shared" si="60"/>
        <v>42</v>
      </c>
      <c r="BW91" s="10">
        <f t="shared" si="61"/>
        <v>41</v>
      </c>
      <c r="BX91" s="10">
        <f t="shared" si="62"/>
        <v>40</v>
      </c>
      <c r="BY91" s="10">
        <f t="shared" si="63"/>
        <v>39</v>
      </c>
      <c r="BZ91" s="10">
        <f t="shared" si="64"/>
        <v>38</v>
      </c>
      <c r="CA91" s="10">
        <f t="shared" si="65"/>
        <v>37</v>
      </c>
      <c r="CB91" s="10">
        <f t="shared" si="66"/>
        <v>36</v>
      </c>
      <c r="CC91" s="10">
        <f t="shared" si="67"/>
        <v>35</v>
      </c>
      <c r="CD91" s="10">
        <f t="shared" si="68"/>
        <v>34</v>
      </c>
      <c r="CE91" s="10">
        <f t="shared" si="69"/>
        <v>33</v>
      </c>
      <c r="CF91" s="10">
        <f t="shared" si="70"/>
        <v>32</v>
      </c>
      <c r="CG91" s="10">
        <f t="shared" si="71"/>
        <v>31</v>
      </c>
      <c r="CH91" s="10">
        <f t="shared" si="72"/>
        <v>30</v>
      </c>
      <c r="CI91" s="10">
        <f t="shared" si="73"/>
        <v>29</v>
      </c>
      <c r="CJ91" s="10">
        <f t="shared" si="74"/>
        <v>28</v>
      </c>
      <c r="CK91" s="10">
        <f t="shared" si="75"/>
        <v>27</v>
      </c>
      <c r="CL91" s="10">
        <f t="shared" si="76"/>
        <v>26</v>
      </c>
      <c r="CM91" s="10" t="str">
        <f>'役職希望調査 ・備考'!I61&amp;""</f>
        <v/>
      </c>
    </row>
    <row r="92" spans="1:91">
      <c r="A92" s="10" t="str">
        <f>時間希望調査!A62&amp;""</f>
        <v/>
      </c>
      <c r="B92" s="10" t="str">
        <f>時間希望調査!B62&amp;""</f>
        <v/>
      </c>
      <c r="C92" s="10" t="str">
        <f>時間希望調査!C62&amp;""</f>
        <v/>
      </c>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0">
        <f t="shared" si="46"/>
        <v>0</v>
      </c>
      <c r="BC92" s="10">
        <f>時間希望調査!D62</f>
        <v>0</v>
      </c>
      <c r="BD92" s="10" t="str">
        <f>'役職希望調査 ・備考'!D62&amp;""</f>
        <v/>
      </c>
      <c r="BE92" s="10" t="str">
        <f>'役職希望調査 ・備考'!E62&amp;""</f>
        <v/>
      </c>
      <c r="BF92" s="10" t="str">
        <f>'役職希望調査 ・備考'!F62&amp;""</f>
        <v/>
      </c>
      <c r="BG92" s="10" t="str">
        <f>'役職希望調査 ・備考'!G62&amp;""</f>
        <v/>
      </c>
      <c r="BH92" s="10" t="str">
        <f>'役職希望調査 ・備考'!H62&amp;""</f>
        <v/>
      </c>
      <c r="BI92" s="10">
        <f t="shared" si="47"/>
        <v>0</v>
      </c>
      <c r="BJ92" s="10">
        <f t="shared" si="48"/>
        <v>0</v>
      </c>
      <c r="BK92" s="10">
        <f t="shared" si="49"/>
        <v>0</v>
      </c>
      <c r="BL92" s="10">
        <f t="shared" si="50"/>
        <v>0</v>
      </c>
      <c r="BM92" s="10">
        <f t="shared" si="51"/>
        <v>0</v>
      </c>
      <c r="BN92" s="10">
        <f t="shared" si="52"/>
        <v>0</v>
      </c>
      <c r="BO92" s="10">
        <f t="shared" si="53"/>
        <v>48</v>
      </c>
      <c r="BP92" s="10">
        <f t="shared" si="54"/>
        <v>48</v>
      </c>
      <c r="BQ92" s="10">
        <f t="shared" si="55"/>
        <v>47</v>
      </c>
      <c r="BR92" s="10">
        <f t="shared" si="56"/>
        <v>46</v>
      </c>
      <c r="BS92" s="10">
        <f t="shared" si="57"/>
        <v>45</v>
      </c>
      <c r="BT92" s="10">
        <f t="shared" si="58"/>
        <v>44</v>
      </c>
      <c r="BU92" s="10">
        <f t="shared" si="59"/>
        <v>43</v>
      </c>
      <c r="BV92" s="10">
        <f t="shared" si="60"/>
        <v>42</v>
      </c>
      <c r="BW92" s="10">
        <f t="shared" si="61"/>
        <v>41</v>
      </c>
      <c r="BX92" s="10">
        <f t="shared" si="62"/>
        <v>40</v>
      </c>
      <c r="BY92" s="10">
        <f t="shared" si="63"/>
        <v>39</v>
      </c>
      <c r="BZ92" s="10">
        <f t="shared" si="64"/>
        <v>38</v>
      </c>
      <c r="CA92" s="10">
        <f t="shared" si="65"/>
        <v>37</v>
      </c>
      <c r="CB92" s="10">
        <f t="shared" si="66"/>
        <v>36</v>
      </c>
      <c r="CC92" s="10">
        <f t="shared" si="67"/>
        <v>35</v>
      </c>
      <c r="CD92" s="10">
        <f t="shared" si="68"/>
        <v>34</v>
      </c>
      <c r="CE92" s="10">
        <f t="shared" si="69"/>
        <v>33</v>
      </c>
      <c r="CF92" s="10">
        <f t="shared" si="70"/>
        <v>32</v>
      </c>
      <c r="CG92" s="10">
        <f t="shared" si="71"/>
        <v>31</v>
      </c>
      <c r="CH92" s="10">
        <f t="shared" si="72"/>
        <v>30</v>
      </c>
      <c r="CI92" s="10">
        <f t="shared" si="73"/>
        <v>29</v>
      </c>
      <c r="CJ92" s="10">
        <f t="shared" si="74"/>
        <v>28</v>
      </c>
      <c r="CK92" s="10">
        <f t="shared" si="75"/>
        <v>27</v>
      </c>
      <c r="CL92" s="10">
        <f t="shared" si="76"/>
        <v>26</v>
      </c>
      <c r="CM92" s="10" t="str">
        <f>'役職希望調査 ・備考'!I62&amp;""</f>
        <v/>
      </c>
    </row>
    <row r="93" spans="1:91">
      <c r="A93" s="10" t="str">
        <f>時間希望調査!A63&amp;""</f>
        <v/>
      </c>
      <c r="B93" s="10" t="str">
        <f>時間希望調査!B63&amp;""</f>
        <v/>
      </c>
      <c r="C93" s="10" t="str">
        <f>時間希望調査!C63&amp;""</f>
        <v/>
      </c>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0">
        <f t="shared" si="46"/>
        <v>0</v>
      </c>
      <c r="BC93" s="10">
        <f>時間希望調査!D63</f>
        <v>0</v>
      </c>
      <c r="BD93" s="10" t="str">
        <f>'役職希望調査 ・備考'!D63&amp;""</f>
        <v/>
      </c>
      <c r="BE93" s="10" t="str">
        <f>'役職希望調査 ・備考'!E63&amp;""</f>
        <v/>
      </c>
      <c r="BF93" s="10" t="str">
        <f>'役職希望調査 ・備考'!F63&amp;""</f>
        <v/>
      </c>
      <c r="BG93" s="10" t="str">
        <f>'役職希望調査 ・備考'!G63&amp;""</f>
        <v/>
      </c>
      <c r="BH93" s="10" t="str">
        <f>'役職希望調査 ・備考'!H63&amp;""</f>
        <v/>
      </c>
      <c r="BI93" s="10">
        <f t="shared" si="47"/>
        <v>0</v>
      </c>
      <c r="BJ93" s="10">
        <f t="shared" si="48"/>
        <v>0</v>
      </c>
      <c r="BK93" s="10">
        <f t="shared" si="49"/>
        <v>0</v>
      </c>
      <c r="BL93" s="10">
        <f t="shared" si="50"/>
        <v>0</v>
      </c>
      <c r="BM93" s="10">
        <f t="shared" si="51"/>
        <v>0</v>
      </c>
      <c r="BN93" s="10">
        <f t="shared" si="52"/>
        <v>0</v>
      </c>
      <c r="BO93" s="10">
        <f t="shared" si="53"/>
        <v>48</v>
      </c>
      <c r="BP93" s="10">
        <f t="shared" si="54"/>
        <v>48</v>
      </c>
      <c r="BQ93" s="10">
        <f t="shared" si="55"/>
        <v>47</v>
      </c>
      <c r="BR93" s="10">
        <f t="shared" si="56"/>
        <v>46</v>
      </c>
      <c r="BS93" s="10">
        <f t="shared" si="57"/>
        <v>45</v>
      </c>
      <c r="BT93" s="10">
        <f t="shared" si="58"/>
        <v>44</v>
      </c>
      <c r="BU93" s="10">
        <f t="shared" si="59"/>
        <v>43</v>
      </c>
      <c r="BV93" s="10">
        <f t="shared" si="60"/>
        <v>42</v>
      </c>
      <c r="BW93" s="10">
        <f t="shared" si="61"/>
        <v>41</v>
      </c>
      <c r="BX93" s="10">
        <f t="shared" si="62"/>
        <v>40</v>
      </c>
      <c r="BY93" s="10">
        <f t="shared" si="63"/>
        <v>39</v>
      </c>
      <c r="BZ93" s="10">
        <f t="shared" si="64"/>
        <v>38</v>
      </c>
      <c r="CA93" s="10">
        <f t="shared" si="65"/>
        <v>37</v>
      </c>
      <c r="CB93" s="10">
        <f t="shared" si="66"/>
        <v>36</v>
      </c>
      <c r="CC93" s="10">
        <f t="shared" si="67"/>
        <v>35</v>
      </c>
      <c r="CD93" s="10">
        <f t="shared" si="68"/>
        <v>34</v>
      </c>
      <c r="CE93" s="10">
        <f t="shared" si="69"/>
        <v>33</v>
      </c>
      <c r="CF93" s="10">
        <f t="shared" si="70"/>
        <v>32</v>
      </c>
      <c r="CG93" s="10">
        <f t="shared" si="71"/>
        <v>31</v>
      </c>
      <c r="CH93" s="10">
        <f t="shared" si="72"/>
        <v>30</v>
      </c>
      <c r="CI93" s="10">
        <f t="shared" si="73"/>
        <v>29</v>
      </c>
      <c r="CJ93" s="10">
        <f t="shared" si="74"/>
        <v>28</v>
      </c>
      <c r="CK93" s="10">
        <f t="shared" si="75"/>
        <v>27</v>
      </c>
      <c r="CL93" s="10">
        <f t="shared" si="76"/>
        <v>26</v>
      </c>
      <c r="CM93" s="10" t="str">
        <f>'役職希望調査 ・備考'!I63&amp;""</f>
        <v/>
      </c>
    </row>
    <row r="94" spans="1:91">
      <c r="A94" s="10" t="str">
        <f>時間希望調査!A64&amp;""</f>
        <v/>
      </c>
      <c r="B94" s="10" t="str">
        <f>時間希望調査!B64&amp;""</f>
        <v/>
      </c>
      <c r="C94" s="10" t="str">
        <f>時間希望調査!C64&amp;""</f>
        <v/>
      </c>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0">
        <f t="shared" si="46"/>
        <v>0</v>
      </c>
      <c r="BC94" s="10">
        <f>時間希望調査!D64</f>
        <v>0</v>
      </c>
      <c r="BD94" s="10" t="str">
        <f>'役職希望調査 ・備考'!D64&amp;""</f>
        <v/>
      </c>
      <c r="BE94" s="10" t="str">
        <f>'役職希望調査 ・備考'!E64&amp;""</f>
        <v/>
      </c>
      <c r="BF94" s="10" t="str">
        <f>'役職希望調査 ・備考'!F64&amp;""</f>
        <v/>
      </c>
      <c r="BG94" s="10" t="str">
        <f>'役職希望調査 ・備考'!G64&amp;""</f>
        <v/>
      </c>
      <c r="BH94" s="10" t="str">
        <f>'役職希望調査 ・備考'!H64&amp;""</f>
        <v/>
      </c>
      <c r="BI94" s="10">
        <f t="shared" si="47"/>
        <v>0</v>
      </c>
      <c r="BJ94" s="10">
        <f t="shared" si="48"/>
        <v>0</v>
      </c>
      <c r="BK94" s="10">
        <f t="shared" si="49"/>
        <v>0</v>
      </c>
      <c r="BL94" s="10">
        <f t="shared" si="50"/>
        <v>0</v>
      </c>
      <c r="BM94" s="10">
        <f t="shared" si="51"/>
        <v>0</v>
      </c>
      <c r="BN94" s="10">
        <f t="shared" si="52"/>
        <v>0</v>
      </c>
      <c r="BO94" s="10">
        <f t="shared" si="53"/>
        <v>48</v>
      </c>
      <c r="BP94" s="10">
        <f t="shared" si="54"/>
        <v>48</v>
      </c>
      <c r="BQ94" s="10">
        <f t="shared" si="55"/>
        <v>47</v>
      </c>
      <c r="BR94" s="10">
        <f t="shared" si="56"/>
        <v>46</v>
      </c>
      <c r="BS94" s="10">
        <f t="shared" si="57"/>
        <v>45</v>
      </c>
      <c r="BT94" s="10">
        <f t="shared" si="58"/>
        <v>44</v>
      </c>
      <c r="BU94" s="10">
        <f t="shared" si="59"/>
        <v>43</v>
      </c>
      <c r="BV94" s="10">
        <f t="shared" si="60"/>
        <v>42</v>
      </c>
      <c r="BW94" s="10">
        <f t="shared" si="61"/>
        <v>41</v>
      </c>
      <c r="BX94" s="10">
        <f t="shared" si="62"/>
        <v>40</v>
      </c>
      <c r="BY94" s="10">
        <f t="shared" si="63"/>
        <v>39</v>
      </c>
      <c r="BZ94" s="10">
        <f t="shared" si="64"/>
        <v>38</v>
      </c>
      <c r="CA94" s="10">
        <f t="shared" si="65"/>
        <v>37</v>
      </c>
      <c r="CB94" s="10">
        <f t="shared" si="66"/>
        <v>36</v>
      </c>
      <c r="CC94" s="10">
        <f t="shared" si="67"/>
        <v>35</v>
      </c>
      <c r="CD94" s="10">
        <f t="shared" si="68"/>
        <v>34</v>
      </c>
      <c r="CE94" s="10">
        <f t="shared" si="69"/>
        <v>33</v>
      </c>
      <c r="CF94" s="10">
        <f t="shared" si="70"/>
        <v>32</v>
      </c>
      <c r="CG94" s="10">
        <f t="shared" si="71"/>
        <v>31</v>
      </c>
      <c r="CH94" s="10">
        <f t="shared" si="72"/>
        <v>30</v>
      </c>
      <c r="CI94" s="10">
        <f t="shared" si="73"/>
        <v>29</v>
      </c>
      <c r="CJ94" s="10">
        <f t="shared" si="74"/>
        <v>28</v>
      </c>
      <c r="CK94" s="10">
        <f t="shared" si="75"/>
        <v>27</v>
      </c>
      <c r="CL94" s="10">
        <f t="shared" si="76"/>
        <v>26</v>
      </c>
      <c r="CM94" s="10" t="str">
        <f>'役職希望調査 ・備考'!I64&amp;""</f>
        <v/>
      </c>
    </row>
    <row r="95" spans="1:91">
      <c r="A95" s="10" t="str">
        <f>時間希望調査!A65&amp;""</f>
        <v/>
      </c>
      <c r="B95" s="10" t="str">
        <f>時間希望調査!B65&amp;""</f>
        <v/>
      </c>
      <c r="C95" s="10" t="str">
        <f>時間希望調査!C65&amp;""</f>
        <v/>
      </c>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0">
        <f t="shared" si="46"/>
        <v>0</v>
      </c>
      <c r="BC95" s="10">
        <f>時間希望調査!D65</f>
        <v>0</v>
      </c>
      <c r="BD95" s="10" t="str">
        <f>'役職希望調査 ・備考'!D65&amp;""</f>
        <v/>
      </c>
      <c r="BE95" s="10" t="str">
        <f>'役職希望調査 ・備考'!E65&amp;""</f>
        <v/>
      </c>
      <c r="BF95" s="10" t="str">
        <f>'役職希望調査 ・備考'!F65&amp;""</f>
        <v/>
      </c>
      <c r="BG95" s="10" t="str">
        <f>'役職希望調査 ・備考'!G65&amp;""</f>
        <v/>
      </c>
      <c r="BH95" s="10" t="str">
        <f>'役職希望調査 ・備考'!H65&amp;""</f>
        <v/>
      </c>
      <c r="BI95" s="10">
        <f t="shared" si="47"/>
        <v>0</v>
      </c>
      <c r="BJ95" s="10">
        <f t="shared" si="48"/>
        <v>0</v>
      </c>
      <c r="BK95" s="10">
        <f t="shared" si="49"/>
        <v>0</v>
      </c>
      <c r="BL95" s="10">
        <f t="shared" si="50"/>
        <v>0</v>
      </c>
      <c r="BM95" s="10">
        <f t="shared" si="51"/>
        <v>0</v>
      </c>
      <c r="BN95" s="10">
        <f t="shared" si="52"/>
        <v>0</v>
      </c>
      <c r="BO95" s="10">
        <f t="shared" si="53"/>
        <v>48</v>
      </c>
      <c r="BP95" s="10">
        <f t="shared" si="54"/>
        <v>48</v>
      </c>
      <c r="BQ95" s="10">
        <f t="shared" si="55"/>
        <v>47</v>
      </c>
      <c r="BR95" s="10">
        <f t="shared" si="56"/>
        <v>46</v>
      </c>
      <c r="BS95" s="10">
        <f t="shared" si="57"/>
        <v>45</v>
      </c>
      <c r="BT95" s="10">
        <f t="shared" si="58"/>
        <v>44</v>
      </c>
      <c r="BU95" s="10">
        <f t="shared" si="59"/>
        <v>43</v>
      </c>
      <c r="BV95" s="10">
        <f t="shared" si="60"/>
        <v>42</v>
      </c>
      <c r="BW95" s="10">
        <f t="shared" si="61"/>
        <v>41</v>
      </c>
      <c r="BX95" s="10">
        <f t="shared" si="62"/>
        <v>40</v>
      </c>
      <c r="BY95" s="10">
        <f t="shared" si="63"/>
        <v>39</v>
      </c>
      <c r="BZ95" s="10">
        <f t="shared" si="64"/>
        <v>38</v>
      </c>
      <c r="CA95" s="10">
        <f t="shared" si="65"/>
        <v>37</v>
      </c>
      <c r="CB95" s="10">
        <f t="shared" si="66"/>
        <v>36</v>
      </c>
      <c r="CC95" s="10">
        <f t="shared" si="67"/>
        <v>35</v>
      </c>
      <c r="CD95" s="10">
        <f t="shared" si="68"/>
        <v>34</v>
      </c>
      <c r="CE95" s="10">
        <f t="shared" si="69"/>
        <v>33</v>
      </c>
      <c r="CF95" s="10">
        <f t="shared" si="70"/>
        <v>32</v>
      </c>
      <c r="CG95" s="10">
        <f t="shared" si="71"/>
        <v>31</v>
      </c>
      <c r="CH95" s="10">
        <f t="shared" si="72"/>
        <v>30</v>
      </c>
      <c r="CI95" s="10">
        <f t="shared" si="73"/>
        <v>29</v>
      </c>
      <c r="CJ95" s="10">
        <f t="shared" si="74"/>
        <v>28</v>
      </c>
      <c r="CK95" s="10">
        <f t="shared" si="75"/>
        <v>27</v>
      </c>
      <c r="CL95" s="10">
        <f t="shared" si="76"/>
        <v>26</v>
      </c>
      <c r="CM95" s="10" t="str">
        <f>'役職希望調査 ・備考'!I65&amp;""</f>
        <v/>
      </c>
    </row>
    <row r="96" spans="1:91">
      <c r="A96" s="10" t="str">
        <f>時間希望調査!A66&amp;""</f>
        <v/>
      </c>
      <c r="B96" s="10" t="str">
        <f>時間希望調査!B66&amp;""</f>
        <v/>
      </c>
      <c r="C96" s="10" t="str">
        <f>時間希望調査!C66&amp;""</f>
        <v/>
      </c>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0">
        <f t="shared" si="46"/>
        <v>0</v>
      </c>
      <c r="BC96" s="10">
        <f>時間希望調査!D66</f>
        <v>0</v>
      </c>
      <c r="BD96" s="10" t="str">
        <f>'役職希望調査 ・備考'!D66&amp;""</f>
        <v/>
      </c>
      <c r="BE96" s="10" t="str">
        <f>'役職希望調査 ・備考'!E66&amp;""</f>
        <v/>
      </c>
      <c r="BF96" s="10" t="str">
        <f>'役職希望調査 ・備考'!F66&amp;""</f>
        <v/>
      </c>
      <c r="BG96" s="10" t="str">
        <f>'役職希望調査 ・備考'!G66&amp;""</f>
        <v/>
      </c>
      <c r="BH96" s="10" t="str">
        <f>'役職希望調査 ・備考'!H66&amp;""</f>
        <v/>
      </c>
      <c r="BI96" s="10">
        <f t="shared" ref="BI96:BI127" si="77">COUNTIF(D96:BA96,BI$1)</f>
        <v>0</v>
      </c>
      <c r="BJ96" s="10">
        <f t="shared" ref="BJ96:BJ127" si="78">COUNTIF(E96:BB96,BJ$1)</f>
        <v>0</v>
      </c>
      <c r="BK96" s="10">
        <f t="shared" ref="BK96:BK127" si="79">COUNTIF(F96:BC96,BK$1)</f>
        <v>0</v>
      </c>
      <c r="BL96" s="10">
        <f t="shared" ref="BL96:BL127" si="80">COUNTIF(G96:BD96,BL$1)</f>
        <v>0</v>
      </c>
      <c r="BM96" s="10">
        <f t="shared" ref="BM96:BM127" si="81">COUNTIF(H96:BE96,BM$1)</f>
        <v>0</v>
      </c>
      <c r="BN96" s="10">
        <f t="shared" ref="BN96:BN127" si="82">COUNTIF(I96:BF96,BN$1)</f>
        <v>0</v>
      </c>
      <c r="BO96" s="10">
        <f t="shared" ref="BO96:BO127" si="83">COUNTIF(J96:BG96,BO$1)</f>
        <v>48</v>
      </c>
      <c r="BP96" s="10">
        <f t="shared" ref="BP96:BP127" si="84">COUNTIF(K96:BH96,BP$1)</f>
        <v>48</v>
      </c>
      <c r="BQ96" s="10">
        <f t="shared" ref="BQ96:BQ127" si="85">COUNTIF(L96:BI96,BQ$1)</f>
        <v>47</v>
      </c>
      <c r="BR96" s="10">
        <f t="shared" ref="BR96:BR127" si="86">COUNTIF(M96:BJ96,BR$1)</f>
        <v>46</v>
      </c>
      <c r="BS96" s="10">
        <f t="shared" ref="BS96:BS127" si="87">COUNTIF(N96:BK96,BS$1)</f>
        <v>45</v>
      </c>
      <c r="BT96" s="10">
        <f t="shared" ref="BT96:BT127" si="88">COUNTIF(O96:BL96,BT$1)</f>
        <v>44</v>
      </c>
      <c r="BU96" s="10">
        <f t="shared" ref="BU96:BU127" si="89">COUNTIF(P96:BM96,BU$1)</f>
        <v>43</v>
      </c>
      <c r="BV96" s="10">
        <f t="shared" ref="BV96:BV127" si="90">COUNTIF(Q96:BN96,BV$1)</f>
        <v>42</v>
      </c>
      <c r="BW96" s="10">
        <f t="shared" ref="BW96:BW127" si="91">COUNTIF(R96:BO96,BW$1)</f>
        <v>41</v>
      </c>
      <c r="BX96" s="10">
        <f t="shared" ref="BX96:BX127" si="92">COUNTIF(S96:BP96,BX$1)</f>
        <v>40</v>
      </c>
      <c r="BY96" s="10">
        <f t="shared" ref="BY96:BY127" si="93">COUNTIF(T96:BQ96,BY$1)</f>
        <v>39</v>
      </c>
      <c r="BZ96" s="10">
        <f t="shared" ref="BZ96:BZ127" si="94">COUNTIF(U96:BR96,BZ$1)</f>
        <v>38</v>
      </c>
      <c r="CA96" s="10">
        <f t="shared" ref="CA96:CA127" si="95">COUNTIF(V96:BS96,CA$1)</f>
        <v>37</v>
      </c>
      <c r="CB96" s="10">
        <f t="shared" ref="CB96:CB127" si="96">COUNTIF(W96:BT96,CB$1)</f>
        <v>36</v>
      </c>
      <c r="CC96" s="10">
        <f t="shared" ref="CC96:CC127" si="97">COUNTIF(X96:BU96,CC$1)</f>
        <v>35</v>
      </c>
      <c r="CD96" s="10">
        <f t="shared" ref="CD96:CD127" si="98">COUNTIF(Y96:BV96,CD$1)</f>
        <v>34</v>
      </c>
      <c r="CE96" s="10">
        <f t="shared" ref="CE96:CE127" si="99">COUNTIF(Z96:BW96,CE$1)</f>
        <v>33</v>
      </c>
      <c r="CF96" s="10">
        <f t="shared" ref="CF96:CF127" si="100">COUNTIF(AA96:BX96,CF$1)</f>
        <v>32</v>
      </c>
      <c r="CG96" s="10">
        <f t="shared" ref="CG96:CG127" si="101">COUNTIF(AB96:BY96,CG$1)</f>
        <v>31</v>
      </c>
      <c r="CH96" s="10">
        <f t="shared" ref="CH96:CH127" si="102">COUNTIF(AC96:BZ96,CH$1)</f>
        <v>30</v>
      </c>
      <c r="CI96" s="10">
        <f t="shared" ref="CI96:CI127" si="103">COUNTIF(AD96:CA96,CI$1)</f>
        <v>29</v>
      </c>
      <c r="CJ96" s="10">
        <f t="shared" ref="CJ96:CJ127" si="104">COUNTIF(AE96:CB96,CJ$1)</f>
        <v>28</v>
      </c>
      <c r="CK96" s="10">
        <f t="shared" ref="CK96:CK127" si="105">COUNTIF(AF96:CC96,CK$1)</f>
        <v>27</v>
      </c>
      <c r="CL96" s="10">
        <f t="shared" ref="CL96:CL127" si="106">COUNTIF(AG96:CD96,CL$1)</f>
        <v>26</v>
      </c>
      <c r="CM96" s="10" t="str">
        <f>'役職希望調査 ・備考'!I66&amp;""</f>
        <v/>
      </c>
    </row>
    <row r="97" spans="1:91">
      <c r="A97" s="10" t="str">
        <f>時間希望調査!A67&amp;""</f>
        <v/>
      </c>
      <c r="B97" s="10" t="str">
        <f>時間希望調査!B67&amp;""</f>
        <v/>
      </c>
      <c r="C97" s="10" t="str">
        <f>時間希望調査!C67&amp;""</f>
        <v/>
      </c>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0">
        <f t="shared" ref="BB97:BB160" si="107">COUNTA(D97:BA97)</f>
        <v>0</v>
      </c>
      <c r="BC97" s="10">
        <f>時間希望調査!D67</f>
        <v>0</v>
      </c>
      <c r="BD97" s="10" t="str">
        <f>'役職希望調査 ・備考'!D67&amp;""</f>
        <v/>
      </c>
      <c r="BE97" s="10" t="str">
        <f>'役職希望調査 ・備考'!E67&amp;""</f>
        <v/>
      </c>
      <c r="BF97" s="10" t="str">
        <f>'役職希望調査 ・備考'!F67&amp;""</f>
        <v/>
      </c>
      <c r="BG97" s="10" t="str">
        <f>'役職希望調査 ・備考'!G67&amp;""</f>
        <v/>
      </c>
      <c r="BH97" s="10" t="str">
        <f>'役職希望調査 ・備考'!H67&amp;""</f>
        <v/>
      </c>
      <c r="BI97" s="10">
        <f t="shared" si="77"/>
        <v>0</v>
      </c>
      <c r="BJ97" s="10">
        <f t="shared" si="78"/>
        <v>0</v>
      </c>
      <c r="BK97" s="10">
        <f t="shared" si="79"/>
        <v>0</v>
      </c>
      <c r="BL97" s="10">
        <f t="shared" si="80"/>
        <v>0</v>
      </c>
      <c r="BM97" s="10">
        <f t="shared" si="81"/>
        <v>0</v>
      </c>
      <c r="BN97" s="10">
        <f t="shared" si="82"/>
        <v>0</v>
      </c>
      <c r="BO97" s="10">
        <f t="shared" si="83"/>
        <v>48</v>
      </c>
      <c r="BP97" s="10">
        <f t="shared" si="84"/>
        <v>48</v>
      </c>
      <c r="BQ97" s="10">
        <f t="shared" si="85"/>
        <v>47</v>
      </c>
      <c r="BR97" s="10">
        <f t="shared" si="86"/>
        <v>46</v>
      </c>
      <c r="BS97" s="10">
        <f t="shared" si="87"/>
        <v>45</v>
      </c>
      <c r="BT97" s="10">
        <f t="shared" si="88"/>
        <v>44</v>
      </c>
      <c r="BU97" s="10">
        <f t="shared" si="89"/>
        <v>43</v>
      </c>
      <c r="BV97" s="10">
        <f t="shared" si="90"/>
        <v>42</v>
      </c>
      <c r="BW97" s="10">
        <f t="shared" si="91"/>
        <v>41</v>
      </c>
      <c r="BX97" s="10">
        <f t="shared" si="92"/>
        <v>40</v>
      </c>
      <c r="BY97" s="10">
        <f t="shared" si="93"/>
        <v>39</v>
      </c>
      <c r="BZ97" s="10">
        <f t="shared" si="94"/>
        <v>38</v>
      </c>
      <c r="CA97" s="10">
        <f t="shared" si="95"/>
        <v>37</v>
      </c>
      <c r="CB97" s="10">
        <f t="shared" si="96"/>
        <v>36</v>
      </c>
      <c r="CC97" s="10">
        <f t="shared" si="97"/>
        <v>35</v>
      </c>
      <c r="CD97" s="10">
        <f t="shared" si="98"/>
        <v>34</v>
      </c>
      <c r="CE97" s="10">
        <f t="shared" si="99"/>
        <v>33</v>
      </c>
      <c r="CF97" s="10">
        <f t="shared" si="100"/>
        <v>32</v>
      </c>
      <c r="CG97" s="10">
        <f t="shared" si="101"/>
        <v>31</v>
      </c>
      <c r="CH97" s="10">
        <f t="shared" si="102"/>
        <v>30</v>
      </c>
      <c r="CI97" s="10">
        <f t="shared" si="103"/>
        <v>29</v>
      </c>
      <c r="CJ97" s="10">
        <f t="shared" si="104"/>
        <v>28</v>
      </c>
      <c r="CK97" s="10">
        <f t="shared" si="105"/>
        <v>27</v>
      </c>
      <c r="CL97" s="10">
        <f t="shared" si="106"/>
        <v>26</v>
      </c>
      <c r="CM97" s="10" t="str">
        <f>'役職希望調査 ・備考'!I67&amp;""</f>
        <v/>
      </c>
    </row>
    <row r="98" spans="1:91">
      <c r="A98" s="10" t="str">
        <f>時間希望調査!A68&amp;""</f>
        <v/>
      </c>
      <c r="B98" s="10" t="str">
        <f>時間希望調査!B68&amp;""</f>
        <v/>
      </c>
      <c r="C98" s="10" t="str">
        <f>時間希望調査!C68&amp;""</f>
        <v/>
      </c>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0">
        <f t="shared" si="107"/>
        <v>0</v>
      </c>
      <c r="BC98" s="10">
        <f>時間希望調査!D68</f>
        <v>0</v>
      </c>
      <c r="BD98" s="10" t="str">
        <f>'役職希望調査 ・備考'!D68&amp;""</f>
        <v/>
      </c>
      <c r="BE98" s="10" t="str">
        <f>'役職希望調査 ・備考'!E68&amp;""</f>
        <v/>
      </c>
      <c r="BF98" s="10" t="str">
        <f>'役職希望調査 ・備考'!F68&amp;""</f>
        <v/>
      </c>
      <c r="BG98" s="10" t="str">
        <f>'役職希望調査 ・備考'!G68&amp;""</f>
        <v/>
      </c>
      <c r="BH98" s="10" t="str">
        <f>'役職希望調査 ・備考'!H68&amp;""</f>
        <v/>
      </c>
      <c r="BI98" s="10">
        <f t="shared" si="77"/>
        <v>0</v>
      </c>
      <c r="BJ98" s="10">
        <f t="shared" si="78"/>
        <v>0</v>
      </c>
      <c r="BK98" s="10">
        <f t="shared" si="79"/>
        <v>0</v>
      </c>
      <c r="BL98" s="10">
        <f t="shared" si="80"/>
        <v>0</v>
      </c>
      <c r="BM98" s="10">
        <f t="shared" si="81"/>
        <v>0</v>
      </c>
      <c r="BN98" s="10">
        <f t="shared" si="82"/>
        <v>0</v>
      </c>
      <c r="BO98" s="10">
        <f t="shared" si="83"/>
        <v>48</v>
      </c>
      <c r="BP98" s="10">
        <f t="shared" si="84"/>
        <v>48</v>
      </c>
      <c r="BQ98" s="10">
        <f t="shared" si="85"/>
        <v>47</v>
      </c>
      <c r="BR98" s="10">
        <f t="shared" si="86"/>
        <v>46</v>
      </c>
      <c r="BS98" s="10">
        <f t="shared" si="87"/>
        <v>45</v>
      </c>
      <c r="BT98" s="10">
        <f t="shared" si="88"/>
        <v>44</v>
      </c>
      <c r="BU98" s="10">
        <f t="shared" si="89"/>
        <v>43</v>
      </c>
      <c r="BV98" s="10">
        <f t="shared" si="90"/>
        <v>42</v>
      </c>
      <c r="BW98" s="10">
        <f t="shared" si="91"/>
        <v>41</v>
      </c>
      <c r="BX98" s="10">
        <f t="shared" si="92"/>
        <v>40</v>
      </c>
      <c r="BY98" s="10">
        <f t="shared" si="93"/>
        <v>39</v>
      </c>
      <c r="BZ98" s="10">
        <f t="shared" si="94"/>
        <v>38</v>
      </c>
      <c r="CA98" s="10">
        <f t="shared" si="95"/>
        <v>37</v>
      </c>
      <c r="CB98" s="10">
        <f t="shared" si="96"/>
        <v>36</v>
      </c>
      <c r="CC98" s="10">
        <f t="shared" si="97"/>
        <v>35</v>
      </c>
      <c r="CD98" s="10">
        <f t="shared" si="98"/>
        <v>34</v>
      </c>
      <c r="CE98" s="10">
        <f t="shared" si="99"/>
        <v>33</v>
      </c>
      <c r="CF98" s="10">
        <f t="shared" si="100"/>
        <v>32</v>
      </c>
      <c r="CG98" s="10">
        <f t="shared" si="101"/>
        <v>31</v>
      </c>
      <c r="CH98" s="10">
        <f t="shared" si="102"/>
        <v>30</v>
      </c>
      <c r="CI98" s="10">
        <f t="shared" si="103"/>
        <v>29</v>
      </c>
      <c r="CJ98" s="10">
        <f t="shared" si="104"/>
        <v>28</v>
      </c>
      <c r="CK98" s="10">
        <f t="shared" si="105"/>
        <v>27</v>
      </c>
      <c r="CL98" s="10">
        <f t="shared" si="106"/>
        <v>26</v>
      </c>
      <c r="CM98" s="10" t="str">
        <f>'役職希望調査 ・備考'!I68&amp;""</f>
        <v/>
      </c>
    </row>
    <row r="99" spans="1:91">
      <c r="A99" s="10" t="str">
        <f>時間希望調査!A69&amp;""</f>
        <v/>
      </c>
      <c r="B99" s="10" t="str">
        <f>時間希望調査!B69&amp;""</f>
        <v/>
      </c>
      <c r="C99" s="10" t="str">
        <f>時間希望調査!C69&amp;""</f>
        <v/>
      </c>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0">
        <f t="shared" si="107"/>
        <v>0</v>
      </c>
      <c r="BC99" s="10">
        <f>時間希望調査!D69</f>
        <v>0</v>
      </c>
      <c r="BD99" s="10" t="str">
        <f>'役職希望調査 ・備考'!D69&amp;""</f>
        <v/>
      </c>
      <c r="BE99" s="10" t="str">
        <f>'役職希望調査 ・備考'!E69&amp;""</f>
        <v/>
      </c>
      <c r="BF99" s="10" t="str">
        <f>'役職希望調査 ・備考'!F69&amp;""</f>
        <v/>
      </c>
      <c r="BG99" s="10" t="str">
        <f>'役職希望調査 ・備考'!G69&amp;""</f>
        <v/>
      </c>
      <c r="BH99" s="10" t="str">
        <f>'役職希望調査 ・備考'!H69&amp;""</f>
        <v/>
      </c>
      <c r="BI99" s="10">
        <f t="shared" si="77"/>
        <v>0</v>
      </c>
      <c r="BJ99" s="10">
        <f t="shared" si="78"/>
        <v>0</v>
      </c>
      <c r="BK99" s="10">
        <f t="shared" si="79"/>
        <v>0</v>
      </c>
      <c r="BL99" s="10">
        <f t="shared" si="80"/>
        <v>0</v>
      </c>
      <c r="BM99" s="10">
        <f t="shared" si="81"/>
        <v>0</v>
      </c>
      <c r="BN99" s="10">
        <f t="shared" si="82"/>
        <v>0</v>
      </c>
      <c r="BO99" s="10">
        <f t="shared" si="83"/>
        <v>48</v>
      </c>
      <c r="BP99" s="10">
        <f t="shared" si="84"/>
        <v>48</v>
      </c>
      <c r="BQ99" s="10">
        <f t="shared" si="85"/>
        <v>47</v>
      </c>
      <c r="BR99" s="10">
        <f t="shared" si="86"/>
        <v>46</v>
      </c>
      <c r="BS99" s="10">
        <f t="shared" si="87"/>
        <v>45</v>
      </c>
      <c r="BT99" s="10">
        <f t="shared" si="88"/>
        <v>44</v>
      </c>
      <c r="BU99" s="10">
        <f t="shared" si="89"/>
        <v>43</v>
      </c>
      <c r="BV99" s="10">
        <f t="shared" si="90"/>
        <v>42</v>
      </c>
      <c r="BW99" s="10">
        <f t="shared" si="91"/>
        <v>41</v>
      </c>
      <c r="BX99" s="10">
        <f t="shared" si="92"/>
        <v>40</v>
      </c>
      <c r="BY99" s="10">
        <f t="shared" si="93"/>
        <v>39</v>
      </c>
      <c r="BZ99" s="10">
        <f t="shared" si="94"/>
        <v>38</v>
      </c>
      <c r="CA99" s="10">
        <f t="shared" si="95"/>
        <v>37</v>
      </c>
      <c r="CB99" s="10">
        <f t="shared" si="96"/>
        <v>36</v>
      </c>
      <c r="CC99" s="10">
        <f t="shared" si="97"/>
        <v>35</v>
      </c>
      <c r="CD99" s="10">
        <f t="shared" si="98"/>
        <v>34</v>
      </c>
      <c r="CE99" s="10">
        <f t="shared" si="99"/>
        <v>33</v>
      </c>
      <c r="CF99" s="10">
        <f t="shared" si="100"/>
        <v>32</v>
      </c>
      <c r="CG99" s="10">
        <f t="shared" si="101"/>
        <v>31</v>
      </c>
      <c r="CH99" s="10">
        <f t="shared" si="102"/>
        <v>30</v>
      </c>
      <c r="CI99" s="10">
        <f t="shared" si="103"/>
        <v>29</v>
      </c>
      <c r="CJ99" s="10">
        <f t="shared" si="104"/>
        <v>28</v>
      </c>
      <c r="CK99" s="10">
        <f t="shared" si="105"/>
        <v>27</v>
      </c>
      <c r="CL99" s="10">
        <f t="shared" si="106"/>
        <v>26</v>
      </c>
      <c r="CM99" s="10" t="str">
        <f>'役職希望調査 ・備考'!I69&amp;""</f>
        <v/>
      </c>
    </row>
    <row r="100" spans="1:91">
      <c r="A100" s="10" t="str">
        <f>時間希望調査!A70&amp;""</f>
        <v/>
      </c>
      <c r="B100" s="10" t="str">
        <f>時間希望調査!B70&amp;""</f>
        <v/>
      </c>
      <c r="C100" s="10" t="str">
        <f>時間希望調査!C70&amp;""</f>
        <v/>
      </c>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0">
        <f t="shared" si="107"/>
        <v>0</v>
      </c>
      <c r="BC100" s="10">
        <f>時間希望調査!D70</f>
        <v>0</v>
      </c>
      <c r="BD100" s="10" t="str">
        <f>'役職希望調査 ・備考'!D70&amp;""</f>
        <v/>
      </c>
      <c r="BE100" s="10" t="str">
        <f>'役職希望調査 ・備考'!E70&amp;""</f>
        <v/>
      </c>
      <c r="BF100" s="10" t="str">
        <f>'役職希望調査 ・備考'!F70&amp;""</f>
        <v/>
      </c>
      <c r="BG100" s="10" t="str">
        <f>'役職希望調査 ・備考'!G70&amp;""</f>
        <v/>
      </c>
      <c r="BH100" s="10" t="str">
        <f>'役職希望調査 ・備考'!H70&amp;""</f>
        <v/>
      </c>
      <c r="BI100" s="10">
        <f t="shared" si="77"/>
        <v>0</v>
      </c>
      <c r="BJ100" s="10">
        <f t="shared" si="78"/>
        <v>0</v>
      </c>
      <c r="BK100" s="10">
        <f t="shared" si="79"/>
        <v>0</v>
      </c>
      <c r="BL100" s="10">
        <f t="shared" si="80"/>
        <v>0</v>
      </c>
      <c r="BM100" s="10">
        <f t="shared" si="81"/>
        <v>0</v>
      </c>
      <c r="BN100" s="10">
        <f t="shared" si="82"/>
        <v>0</v>
      </c>
      <c r="BO100" s="10">
        <f t="shared" si="83"/>
        <v>48</v>
      </c>
      <c r="BP100" s="10">
        <f t="shared" si="84"/>
        <v>48</v>
      </c>
      <c r="BQ100" s="10">
        <f t="shared" si="85"/>
        <v>47</v>
      </c>
      <c r="BR100" s="10">
        <f t="shared" si="86"/>
        <v>46</v>
      </c>
      <c r="BS100" s="10">
        <f t="shared" si="87"/>
        <v>45</v>
      </c>
      <c r="BT100" s="10">
        <f t="shared" si="88"/>
        <v>44</v>
      </c>
      <c r="BU100" s="10">
        <f t="shared" si="89"/>
        <v>43</v>
      </c>
      <c r="BV100" s="10">
        <f t="shared" si="90"/>
        <v>42</v>
      </c>
      <c r="BW100" s="10">
        <f t="shared" si="91"/>
        <v>41</v>
      </c>
      <c r="BX100" s="10">
        <f t="shared" si="92"/>
        <v>40</v>
      </c>
      <c r="BY100" s="10">
        <f t="shared" si="93"/>
        <v>39</v>
      </c>
      <c r="BZ100" s="10">
        <f t="shared" si="94"/>
        <v>38</v>
      </c>
      <c r="CA100" s="10">
        <f t="shared" si="95"/>
        <v>37</v>
      </c>
      <c r="CB100" s="10">
        <f t="shared" si="96"/>
        <v>36</v>
      </c>
      <c r="CC100" s="10">
        <f t="shared" si="97"/>
        <v>35</v>
      </c>
      <c r="CD100" s="10">
        <f t="shared" si="98"/>
        <v>34</v>
      </c>
      <c r="CE100" s="10">
        <f t="shared" si="99"/>
        <v>33</v>
      </c>
      <c r="CF100" s="10">
        <f t="shared" si="100"/>
        <v>32</v>
      </c>
      <c r="CG100" s="10">
        <f t="shared" si="101"/>
        <v>31</v>
      </c>
      <c r="CH100" s="10">
        <f t="shared" si="102"/>
        <v>30</v>
      </c>
      <c r="CI100" s="10">
        <f t="shared" si="103"/>
        <v>29</v>
      </c>
      <c r="CJ100" s="10">
        <f t="shared" si="104"/>
        <v>28</v>
      </c>
      <c r="CK100" s="10">
        <f t="shared" si="105"/>
        <v>27</v>
      </c>
      <c r="CL100" s="10">
        <f t="shared" si="106"/>
        <v>26</v>
      </c>
      <c r="CM100" s="10" t="str">
        <f>'役職希望調査 ・備考'!I70&amp;""</f>
        <v/>
      </c>
    </row>
    <row r="101" spans="1:91">
      <c r="A101" s="10" t="str">
        <f>時間希望調査!A71&amp;""</f>
        <v/>
      </c>
      <c r="B101" s="10" t="str">
        <f>時間希望調査!B71&amp;""</f>
        <v/>
      </c>
      <c r="C101" s="10" t="str">
        <f>時間希望調査!C71&amp;""</f>
        <v/>
      </c>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0">
        <f t="shared" si="107"/>
        <v>0</v>
      </c>
      <c r="BC101" s="10">
        <f>時間希望調査!D71</f>
        <v>0</v>
      </c>
      <c r="BD101" s="10" t="str">
        <f>'役職希望調査 ・備考'!D71&amp;""</f>
        <v/>
      </c>
      <c r="BE101" s="10" t="str">
        <f>'役職希望調査 ・備考'!E71&amp;""</f>
        <v/>
      </c>
      <c r="BF101" s="10" t="str">
        <f>'役職希望調査 ・備考'!F71&amp;""</f>
        <v/>
      </c>
      <c r="BG101" s="10" t="str">
        <f>'役職希望調査 ・備考'!G71&amp;""</f>
        <v/>
      </c>
      <c r="BH101" s="10" t="str">
        <f>'役職希望調査 ・備考'!H71&amp;""</f>
        <v/>
      </c>
      <c r="BI101" s="10">
        <f t="shared" si="77"/>
        <v>0</v>
      </c>
      <c r="BJ101" s="10">
        <f t="shared" si="78"/>
        <v>0</v>
      </c>
      <c r="BK101" s="10">
        <f t="shared" si="79"/>
        <v>0</v>
      </c>
      <c r="BL101" s="10">
        <f t="shared" si="80"/>
        <v>0</v>
      </c>
      <c r="BM101" s="10">
        <f t="shared" si="81"/>
        <v>0</v>
      </c>
      <c r="BN101" s="10">
        <f t="shared" si="82"/>
        <v>0</v>
      </c>
      <c r="BO101" s="10">
        <f t="shared" si="83"/>
        <v>48</v>
      </c>
      <c r="BP101" s="10">
        <f t="shared" si="84"/>
        <v>48</v>
      </c>
      <c r="BQ101" s="10">
        <f t="shared" si="85"/>
        <v>47</v>
      </c>
      <c r="BR101" s="10">
        <f t="shared" si="86"/>
        <v>46</v>
      </c>
      <c r="BS101" s="10">
        <f t="shared" si="87"/>
        <v>45</v>
      </c>
      <c r="BT101" s="10">
        <f t="shared" si="88"/>
        <v>44</v>
      </c>
      <c r="BU101" s="10">
        <f t="shared" si="89"/>
        <v>43</v>
      </c>
      <c r="BV101" s="10">
        <f t="shared" si="90"/>
        <v>42</v>
      </c>
      <c r="BW101" s="10">
        <f t="shared" si="91"/>
        <v>41</v>
      </c>
      <c r="BX101" s="10">
        <f t="shared" si="92"/>
        <v>40</v>
      </c>
      <c r="BY101" s="10">
        <f t="shared" si="93"/>
        <v>39</v>
      </c>
      <c r="BZ101" s="10">
        <f t="shared" si="94"/>
        <v>38</v>
      </c>
      <c r="CA101" s="10">
        <f t="shared" si="95"/>
        <v>37</v>
      </c>
      <c r="CB101" s="10">
        <f t="shared" si="96"/>
        <v>36</v>
      </c>
      <c r="CC101" s="10">
        <f t="shared" si="97"/>
        <v>35</v>
      </c>
      <c r="CD101" s="10">
        <f t="shared" si="98"/>
        <v>34</v>
      </c>
      <c r="CE101" s="10">
        <f t="shared" si="99"/>
        <v>33</v>
      </c>
      <c r="CF101" s="10">
        <f t="shared" si="100"/>
        <v>32</v>
      </c>
      <c r="CG101" s="10">
        <f t="shared" si="101"/>
        <v>31</v>
      </c>
      <c r="CH101" s="10">
        <f t="shared" si="102"/>
        <v>30</v>
      </c>
      <c r="CI101" s="10">
        <f t="shared" si="103"/>
        <v>29</v>
      </c>
      <c r="CJ101" s="10">
        <f t="shared" si="104"/>
        <v>28</v>
      </c>
      <c r="CK101" s="10">
        <f t="shared" si="105"/>
        <v>27</v>
      </c>
      <c r="CL101" s="10">
        <f t="shared" si="106"/>
        <v>26</v>
      </c>
      <c r="CM101" s="10" t="str">
        <f>'役職希望調査 ・備考'!I71&amp;""</f>
        <v/>
      </c>
    </row>
    <row r="102" spans="1:91">
      <c r="A102" s="10" t="str">
        <f>時間希望調査!A72&amp;""</f>
        <v/>
      </c>
      <c r="B102" s="10" t="str">
        <f>時間希望調査!B72&amp;""</f>
        <v/>
      </c>
      <c r="C102" s="10" t="str">
        <f>時間希望調査!C72&amp;""</f>
        <v/>
      </c>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0">
        <f t="shared" si="107"/>
        <v>0</v>
      </c>
      <c r="BC102" s="10">
        <f>時間希望調査!D72</f>
        <v>0</v>
      </c>
      <c r="BD102" s="10" t="str">
        <f>'役職希望調査 ・備考'!D72&amp;""</f>
        <v/>
      </c>
      <c r="BE102" s="10" t="str">
        <f>'役職希望調査 ・備考'!E72&amp;""</f>
        <v/>
      </c>
      <c r="BF102" s="10" t="str">
        <f>'役職希望調査 ・備考'!F72&amp;""</f>
        <v/>
      </c>
      <c r="BG102" s="10" t="str">
        <f>'役職希望調査 ・備考'!G72&amp;""</f>
        <v/>
      </c>
      <c r="BH102" s="10" t="str">
        <f>'役職希望調査 ・備考'!H72&amp;""</f>
        <v/>
      </c>
      <c r="BI102" s="10">
        <f t="shared" si="77"/>
        <v>0</v>
      </c>
      <c r="BJ102" s="10">
        <f t="shared" si="78"/>
        <v>0</v>
      </c>
      <c r="BK102" s="10">
        <f t="shared" si="79"/>
        <v>0</v>
      </c>
      <c r="BL102" s="10">
        <f t="shared" si="80"/>
        <v>0</v>
      </c>
      <c r="BM102" s="10">
        <f t="shared" si="81"/>
        <v>0</v>
      </c>
      <c r="BN102" s="10">
        <f t="shared" si="82"/>
        <v>0</v>
      </c>
      <c r="BO102" s="10">
        <f t="shared" si="83"/>
        <v>48</v>
      </c>
      <c r="BP102" s="10">
        <f t="shared" si="84"/>
        <v>48</v>
      </c>
      <c r="BQ102" s="10">
        <f t="shared" si="85"/>
        <v>47</v>
      </c>
      <c r="BR102" s="10">
        <f t="shared" si="86"/>
        <v>46</v>
      </c>
      <c r="BS102" s="10">
        <f t="shared" si="87"/>
        <v>45</v>
      </c>
      <c r="BT102" s="10">
        <f t="shared" si="88"/>
        <v>44</v>
      </c>
      <c r="BU102" s="10">
        <f t="shared" si="89"/>
        <v>43</v>
      </c>
      <c r="BV102" s="10">
        <f t="shared" si="90"/>
        <v>42</v>
      </c>
      <c r="BW102" s="10">
        <f t="shared" si="91"/>
        <v>41</v>
      </c>
      <c r="BX102" s="10">
        <f t="shared" si="92"/>
        <v>40</v>
      </c>
      <c r="BY102" s="10">
        <f t="shared" si="93"/>
        <v>39</v>
      </c>
      <c r="BZ102" s="10">
        <f t="shared" si="94"/>
        <v>38</v>
      </c>
      <c r="CA102" s="10">
        <f t="shared" si="95"/>
        <v>37</v>
      </c>
      <c r="CB102" s="10">
        <f t="shared" si="96"/>
        <v>36</v>
      </c>
      <c r="CC102" s="10">
        <f t="shared" si="97"/>
        <v>35</v>
      </c>
      <c r="CD102" s="10">
        <f t="shared" si="98"/>
        <v>34</v>
      </c>
      <c r="CE102" s="10">
        <f t="shared" si="99"/>
        <v>33</v>
      </c>
      <c r="CF102" s="10">
        <f t="shared" si="100"/>
        <v>32</v>
      </c>
      <c r="CG102" s="10">
        <f t="shared" si="101"/>
        <v>31</v>
      </c>
      <c r="CH102" s="10">
        <f t="shared" si="102"/>
        <v>30</v>
      </c>
      <c r="CI102" s="10">
        <f t="shared" si="103"/>
        <v>29</v>
      </c>
      <c r="CJ102" s="10">
        <f t="shared" si="104"/>
        <v>28</v>
      </c>
      <c r="CK102" s="10">
        <f t="shared" si="105"/>
        <v>27</v>
      </c>
      <c r="CL102" s="10">
        <f t="shared" si="106"/>
        <v>26</v>
      </c>
      <c r="CM102" s="10" t="str">
        <f>'役職希望調査 ・備考'!I72&amp;""</f>
        <v/>
      </c>
    </row>
    <row r="103" spans="1:91">
      <c r="A103" s="10" t="str">
        <f>時間希望調査!A73&amp;""</f>
        <v/>
      </c>
      <c r="B103" s="10" t="str">
        <f>時間希望調査!B73&amp;""</f>
        <v/>
      </c>
      <c r="C103" s="10" t="str">
        <f>時間希望調査!C73&amp;""</f>
        <v/>
      </c>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0">
        <f t="shared" si="107"/>
        <v>0</v>
      </c>
      <c r="BC103" s="10">
        <f>時間希望調査!D73</f>
        <v>0</v>
      </c>
      <c r="BD103" s="10" t="str">
        <f>'役職希望調査 ・備考'!D73&amp;""</f>
        <v/>
      </c>
      <c r="BE103" s="10" t="str">
        <f>'役職希望調査 ・備考'!E73&amp;""</f>
        <v/>
      </c>
      <c r="BF103" s="10" t="str">
        <f>'役職希望調査 ・備考'!F73&amp;""</f>
        <v/>
      </c>
      <c r="BG103" s="10" t="str">
        <f>'役職希望調査 ・備考'!G73&amp;""</f>
        <v/>
      </c>
      <c r="BH103" s="10" t="str">
        <f>'役職希望調査 ・備考'!H73&amp;""</f>
        <v/>
      </c>
      <c r="BI103" s="10">
        <f t="shared" si="77"/>
        <v>0</v>
      </c>
      <c r="BJ103" s="10">
        <f t="shared" si="78"/>
        <v>0</v>
      </c>
      <c r="BK103" s="10">
        <f t="shared" si="79"/>
        <v>0</v>
      </c>
      <c r="BL103" s="10">
        <f t="shared" si="80"/>
        <v>0</v>
      </c>
      <c r="BM103" s="10">
        <f t="shared" si="81"/>
        <v>0</v>
      </c>
      <c r="BN103" s="10">
        <f t="shared" si="82"/>
        <v>0</v>
      </c>
      <c r="BO103" s="10">
        <f t="shared" si="83"/>
        <v>48</v>
      </c>
      <c r="BP103" s="10">
        <f t="shared" si="84"/>
        <v>48</v>
      </c>
      <c r="BQ103" s="10">
        <f t="shared" si="85"/>
        <v>47</v>
      </c>
      <c r="BR103" s="10">
        <f t="shared" si="86"/>
        <v>46</v>
      </c>
      <c r="BS103" s="10">
        <f t="shared" si="87"/>
        <v>45</v>
      </c>
      <c r="BT103" s="10">
        <f t="shared" si="88"/>
        <v>44</v>
      </c>
      <c r="BU103" s="10">
        <f t="shared" si="89"/>
        <v>43</v>
      </c>
      <c r="BV103" s="10">
        <f t="shared" si="90"/>
        <v>42</v>
      </c>
      <c r="BW103" s="10">
        <f t="shared" si="91"/>
        <v>41</v>
      </c>
      <c r="BX103" s="10">
        <f t="shared" si="92"/>
        <v>40</v>
      </c>
      <c r="BY103" s="10">
        <f t="shared" si="93"/>
        <v>39</v>
      </c>
      <c r="BZ103" s="10">
        <f t="shared" si="94"/>
        <v>38</v>
      </c>
      <c r="CA103" s="10">
        <f t="shared" si="95"/>
        <v>37</v>
      </c>
      <c r="CB103" s="10">
        <f t="shared" si="96"/>
        <v>36</v>
      </c>
      <c r="CC103" s="10">
        <f t="shared" si="97"/>
        <v>35</v>
      </c>
      <c r="CD103" s="10">
        <f t="shared" si="98"/>
        <v>34</v>
      </c>
      <c r="CE103" s="10">
        <f t="shared" si="99"/>
        <v>33</v>
      </c>
      <c r="CF103" s="10">
        <f t="shared" si="100"/>
        <v>32</v>
      </c>
      <c r="CG103" s="10">
        <f t="shared" si="101"/>
        <v>31</v>
      </c>
      <c r="CH103" s="10">
        <f t="shared" si="102"/>
        <v>30</v>
      </c>
      <c r="CI103" s="10">
        <f t="shared" si="103"/>
        <v>29</v>
      </c>
      <c r="CJ103" s="10">
        <f t="shared" si="104"/>
        <v>28</v>
      </c>
      <c r="CK103" s="10">
        <f t="shared" si="105"/>
        <v>27</v>
      </c>
      <c r="CL103" s="10">
        <f t="shared" si="106"/>
        <v>26</v>
      </c>
      <c r="CM103" s="10" t="str">
        <f>'役職希望調査 ・備考'!I73&amp;""</f>
        <v/>
      </c>
    </row>
    <row r="104" spans="1:91">
      <c r="A104" s="10" t="str">
        <f>時間希望調査!A74&amp;""</f>
        <v/>
      </c>
      <c r="B104" s="10" t="str">
        <f>時間希望調査!B74&amp;""</f>
        <v/>
      </c>
      <c r="C104" s="10" t="str">
        <f>時間希望調査!C74&amp;""</f>
        <v/>
      </c>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0">
        <f t="shared" si="107"/>
        <v>0</v>
      </c>
      <c r="BC104" s="10">
        <f>時間希望調査!D74</f>
        <v>0</v>
      </c>
      <c r="BD104" s="10" t="str">
        <f>'役職希望調査 ・備考'!D74&amp;""</f>
        <v/>
      </c>
      <c r="BE104" s="10" t="str">
        <f>'役職希望調査 ・備考'!E74&amp;""</f>
        <v/>
      </c>
      <c r="BF104" s="10" t="str">
        <f>'役職希望調査 ・備考'!F74&amp;""</f>
        <v/>
      </c>
      <c r="BG104" s="10" t="str">
        <f>'役職希望調査 ・備考'!G74&amp;""</f>
        <v/>
      </c>
      <c r="BH104" s="10" t="str">
        <f>'役職希望調査 ・備考'!H74&amp;""</f>
        <v/>
      </c>
      <c r="BI104" s="10">
        <f t="shared" si="77"/>
        <v>0</v>
      </c>
      <c r="BJ104" s="10">
        <f t="shared" si="78"/>
        <v>0</v>
      </c>
      <c r="BK104" s="10">
        <f t="shared" si="79"/>
        <v>0</v>
      </c>
      <c r="BL104" s="10">
        <f t="shared" si="80"/>
        <v>0</v>
      </c>
      <c r="BM104" s="10">
        <f t="shared" si="81"/>
        <v>0</v>
      </c>
      <c r="BN104" s="10">
        <f t="shared" si="82"/>
        <v>0</v>
      </c>
      <c r="BO104" s="10">
        <f t="shared" si="83"/>
        <v>48</v>
      </c>
      <c r="BP104" s="10">
        <f t="shared" si="84"/>
        <v>48</v>
      </c>
      <c r="BQ104" s="10">
        <f t="shared" si="85"/>
        <v>47</v>
      </c>
      <c r="BR104" s="10">
        <f t="shared" si="86"/>
        <v>46</v>
      </c>
      <c r="BS104" s="10">
        <f t="shared" si="87"/>
        <v>45</v>
      </c>
      <c r="BT104" s="10">
        <f t="shared" si="88"/>
        <v>44</v>
      </c>
      <c r="BU104" s="10">
        <f t="shared" si="89"/>
        <v>43</v>
      </c>
      <c r="BV104" s="10">
        <f t="shared" si="90"/>
        <v>42</v>
      </c>
      <c r="BW104" s="10">
        <f t="shared" si="91"/>
        <v>41</v>
      </c>
      <c r="BX104" s="10">
        <f t="shared" si="92"/>
        <v>40</v>
      </c>
      <c r="BY104" s="10">
        <f t="shared" si="93"/>
        <v>39</v>
      </c>
      <c r="BZ104" s="10">
        <f t="shared" si="94"/>
        <v>38</v>
      </c>
      <c r="CA104" s="10">
        <f t="shared" si="95"/>
        <v>37</v>
      </c>
      <c r="CB104" s="10">
        <f t="shared" si="96"/>
        <v>36</v>
      </c>
      <c r="CC104" s="10">
        <f t="shared" si="97"/>
        <v>35</v>
      </c>
      <c r="CD104" s="10">
        <f t="shared" si="98"/>
        <v>34</v>
      </c>
      <c r="CE104" s="10">
        <f t="shared" si="99"/>
        <v>33</v>
      </c>
      <c r="CF104" s="10">
        <f t="shared" si="100"/>
        <v>32</v>
      </c>
      <c r="CG104" s="10">
        <f t="shared" si="101"/>
        <v>31</v>
      </c>
      <c r="CH104" s="10">
        <f t="shared" si="102"/>
        <v>30</v>
      </c>
      <c r="CI104" s="10">
        <f t="shared" si="103"/>
        <v>29</v>
      </c>
      <c r="CJ104" s="10">
        <f t="shared" si="104"/>
        <v>28</v>
      </c>
      <c r="CK104" s="10">
        <f t="shared" si="105"/>
        <v>27</v>
      </c>
      <c r="CL104" s="10">
        <f t="shared" si="106"/>
        <v>26</v>
      </c>
      <c r="CM104" s="10" t="str">
        <f>'役職希望調査 ・備考'!I74&amp;""</f>
        <v/>
      </c>
    </row>
    <row r="105" spans="1:91">
      <c r="A105" s="10" t="str">
        <f>時間希望調査!A75&amp;""</f>
        <v/>
      </c>
      <c r="B105" s="10" t="str">
        <f>時間希望調査!B75&amp;""</f>
        <v/>
      </c>
      <c r="C105" s="10" t="str">
        <f>時間希望調査!C75&amp;""</f>
        <v/>
      </c>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0">
        <f t="shared" si="107"/>
        <v>0</v>
      </c>
      <c r="BC105" s="10">
        <f>時間希望調査!D75</f>
        <v>0</v>
      </c>
      <c r="BD105" s="10" t="str">
        <f>'役職希望調査 ・備考'!D75&amp;""</f>
        <v/>
      </c>
      <c r="BE105" s="10" t="str">
        <f>'役職希望調査 ・備考'!E75&amp;""</f>
        <v/>
      </c>
      <c r="BF105" s="10" t="str">
        <f>'役職希望調査 ・備考'!F75&amp;""</f>
        <v/>
      </c>
      <c r="BG105" s="10" t="str">
        <f>'役職希望調査 ・備考'!G75&amp;""</f>
        <v/>
      </c>
      <c r="BH105" s="10" t="str">
        <f>'役職希望調査 ・備考'!H75&amp;""</f>
        <v/>
      </c>
      <c r="BI105" s="10">
        <f t="shared" si="77"/>
        <v>0</v>
      </c>
      <c r="BJ105" s="10">
        <f t="shared" si="78"/>
        <v>0</v>
      </c>
      <c r="BK105" s="10">
        <f t="shared" si="79"/>
        <v>0</v>
      </c>
      <c r="BL105" s="10">
        <f t="shared" si="80"/>
        <v>0</v>
      </c>
      <c r="BM105" s="10">
        <f t="shared" si="81"/>
        <v>0</v>
      </c>
      <c r="BN105" s="10">
        <f t="shared" si="82"/>
        <v>0</v>
      </c>
      <c r="BO105" s="10">
        <f t="shared" si="83"/>
        <v>48</v>
      </c>
      <c r="BP105" s="10">
        <f t="shared" si="84"/>
        <v>48</v>
      </c>
      <c r="BQ105" s="10">
        <f t="shared" si="85"/>
        <v>47</v>
      </c>
      <c r="BR105" s="10">
        <f t="shared" si="86"/>
        <v>46</v>
      </c>
      <c r="BS105" s="10">
        <f t="shared" si="87"/>
        <v>45</v>
      </c>
      <c r="BT105" s="10">
        <f t="shared" si="88"/>
        <v>44</v>
      </c>
      <c r="BU105" s="10">
        <f t="shared" si="89"/>
        <v>43</v>
      </c>
      <c r="BV105" s="10">
        <f t="shared" si="90"/>
        <v>42</v>
      </c>
      <c r="BW105" s="10">
        <f t="shared" si="91"/>
        <v>41</v>
      </c>
      <c r="BX105" s="10">
        <f t="shared" si="92"/>
        <v>40</v>
      </c>
      <c r="BY105" s="10">
        <f t="shared" si="93"/>
        <v>39</v>
      </c>
      <c r="BZ105" s="10">
        <f t="shared" si="94"/>
        <v>38</v>
      </c>
      <c r="CA105" s="10">
        <f t="shared" si="95"/>
        <v>37</v>
      </c>
      <c r="CB105" s="10">
        <f t="shared" si="96"/>
        <v>36</v>
      </c>
      <c r="CC105" s="10">
        <f t="shared" si="97"/>
        <v>35</v>
      </c>
      <c r="CD105" s="10">
        <f t="shared" si="98"/>
        <v>34</v>
      </c>
      <c r="CE105" s="10">
        <f t="shared" si="99"/>
        <v>33</v>
      </c>
      <c r="CF105" s="10">
        <f t="shared" si="100"/>
        <v>32</v>
      </c>
      <c r="CG105" s="10">
        <f t="shared" si="101"/>
        <v>31</v>
      </c>
      <c r="CH105" s="10">
        <f t="shared" si="102"/>
        <v>30</v>
      </c>
      <c r="CI105" s="10">
        <f t="shared" si="103"/>
        <v>29</v>
      </c>
      <c r="CJ105" s="10">
        <f t="shared" si="104"/>
        <v>28</v>
      </c>
      <c r="CK105" s="10">
        <f t="shared" si="105"/>
        <v>27</v>
      </c>
      <c r="CL105" s="10">
        <f t="shared" si="106"/>
        <v>26</v>
      </c>
      <c r="CM105" s="10" t="str">
        <f>'役職希望調査 ・備考'!I75&amp;""</f>
        <v/>
      </c>
    </row>
    <row r="106" spans="1:91">
      <c r="A106" s="10" t="str">
        <f>時間希望調査!A76&amp;""</f>
        <v/>
      </c>
      <c r="B106" s="10" t="str">
        <f>時間希望調査!B76&amp;""</f>
        <v/>
      </c>
      <c r="C106" s="10" t="str">
        <f>時間希望調査!C76&amp;""</f>
        <v/>
      </c>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0">
        <f t="shared" si="107"/>
        <v>0</v>
      </c>
      <c r="BC106" s="10">
        <f>時間希望調査!D76</f>
        <v>0</v>
      </c>
      <c r="BD106" s="10" t="str">
        <f>'役職希望調査 ・備考'!D76&amp;""</f>
        <v/>
      </c>
      <c r="BE106" s="10" t="str">
        <f>'役職希望調査 ・備考'!E76&amp;""</f>
        <v/>
      </c>
      <c r="BF106" s="10" t="str">
        <f>'役職希望調査 ・備考'!F76&amp;""</f>
        <v/>
      </c>
      <c r="BG106" s="10" t="str">
        <f>'役職希望調査 ・備考'!G76&amp;""</f>
        <v/>
      </c>
      <c r="BH106" s="10" t="str">
        <f>'役職希望調査 ・備考'!H76&amp;""</f>
        <v/>
      </c>
      <c r="BI106" s="10">
        <f t="shared" si="77"/>
        <v>0</v>
      </c>
      <c r="BJ106" s="10">
        <f t="shared" si="78"/>
        <v>0</v>
      </c>
      <c r="BK106" s="10">
        <f t="shared" si="79"/>
        <v>0</v>
      </c>
      <c r="BL106" s="10">
        <f t="shared" si="80"/>
        <v>0</v>
      </c>
      <c r="BM106" s="10">
        <f t="shared" si="81"/>
        <v>0</v>
      </c>
      <c r="BN106" s="10">
        <f t="shared" si="82"/>
        <v>0</v>
      </c>
      <c r="BO106" s="10">
        <f t="shared" si="83"/>
        <v>48</v>
      </c>
      <c r="BP106" s="10">
        <f t="shared" si="84"/>
        <v>48</v>
      </c>
      <c r="BQ106" s="10">
        <f t="shared" si="85"/>
        <v>47</v>
      </c>
      <c r="BR106" s="10">
        <f t="shared" si="86"/>
        <v>46</v>
      </c>
      <c r="BS106" s="10">
        <f t="shared" si="87"/>
        <v>45</v>
      </c>
      <c r="BT106" s="10">
        <f t="shared" si="88"/>
        <v>44</v>
      </c>
      <c r="BU106" s="10">
        <f t="shared" si="89"/>
        <v>43</v>
      </c>
      <c r="BV106" s="10">
        <f t="shared" si="90"/>
        <v>42</v>
      </c>
      <c r="BW106" s="10">
        <f t="shared" si="91"/>
        <v>41</v>
      </c>
      <c r="BX106" s="10">
        <f t="shared" si="92"/>
        <v>40</v>
      </c>
      <c r="BY106" s="10">
        <f t="shared" si="93"/>
        <v>39</v>
      </c>
      <c r="BZ106" s="10">
        <f t="shared" si="94"/>
        <v>38</v>
      </c>
      <c r="CA106" s="10">
        <f t="shared" si="95"/>
        <v>37</v>
      </c>
      <c r="CB106" s="10">
        <f t="shared" si="96"/>
        <v>36</v>
      </c>
      <c r="CC106" s="10">
        <f t="shared" si="97"/>
        <v>35</v>
      </c>
      <c r="CD106" s="10">
        <f t="shared" si="98"/>
        <v>34</v>
      </c>
      <c r="CE106" s="10">
        <f t="shared" si="99"/>
        <v>33</v>
      </c>
      <c r="CF106" s="10">
        <f t="shared" si="100"/>
        <v>32</v>
      </c>
      <c r="CG106" s="10">
        <f t="shared" si="101"/>
        <v>31</v>
      </c>
      <c r="CH106" s="10">
        <f t="shared" si="102"/>
        <v>30</v>
      </c>
      <c r="CI106" s="10">
        <f t="shared" si="103"/>
        <v>29</v>
      </c>
      <c r="CJ106" s="10">
        <f t="shared" si="104"/>
        <v>28</v>
      </c>
      <c r="CK106" s="10">
        <f t="shared" si="105"/>
        <v>27</v>
      </c>
      <c r="CL106" s="10">
        <f t="shared" si="106"/>
        <v>26</v>
      </c>
      <c r="CM106" s="10" t="str">
        <f>'役職希望調査 ・備考'!I76&amp;""</f>
        <v/>
      </c>
    </row>
    <row r="107" spans="1:91">
      <c r="A107" s="10" t="str">
        <f>時間希望調査!A77&amp;""</f>
        <v/>
      </c>
      <c r="B107" s="10" t="str">
        <f>時間希望調査!B77&amp;""</f>
        <v/>
      </c>
      <c r="C107" s="10" t="str">
        <f>時間希望調査!C77&amp;""</f>
        <v/>
      </c>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0">
        <f t="shared" si="107"/>
        <v>0</v>
      </c>
      <c r="BC107" s="10">
        <f>時間希望調査!D77</f>
        <v>0</v>
      </c>
      <c r="BD107" s="10" t="str">
        <f>'役職希望調査 ・備考'!D77&amp;""</f>
        <v/>
      </c>
      <c r="BE107" s="10" t="str">
        <f>'役職希望調査 ・備考'!E77&amp;""</f>
        <v/>
      </c>
      <c r="BF107" s="10" t="str">
        <f>'役職希望調査 ・備考'!F77&amp;""</f>
        <v/>
      </c>
      <c r="BG107" s="10" t="str">
        <f>'役職希望調査 ・備考'!G77&amp;""</f>
        <v/>
      </c>
      <c r="BH107" s="10" t="str">
        <f>'役職希望調査 ・備考'!H77&amp;""</f>
        <v/>
      </c>
      <c r="BI107" s="10">
        <f t="shared" si="77"/>
        <v>0</v>
      </c>
      <c r="BJ107" s="10">
        <f t="shared" si="78"/>
        <v>0</v>
      </c>
      <c r="BK107" s="10">
        <f t="shared" si="79"/>
        <v>0</v>
      </c>
      <c r="BL107" s="10">
        <f t="shared" si="80"/>
        <v>0</v>
      </c>
      <c r="BM107" s="10">
        <f t="shared" si="81"/>
        <v>0</v>
      </c>
      <c r="BN107" s="10">
        <f t="shared" si="82"/>
        <v>0</v>
      </c>
      <c r="BO107" s="10">
        <f t="shared" si="83"/>
        <v>48</v>
      </c>
      <c r="BP107" s="10">
        <f t="shared" si="84"/>
        <v>48</v>
      </c>
      <c r="BQ107" s="10">
        <f t="shared" si="85"/>
        <v>47</v>
      </c>
      <c r="BR107" s="10">
        <f t="shared" si="86"/>
        <v>46</v>
      </c>
      <c r="BS107" s="10">
        <f t="shared" si="87"/>
        <v>45</v>
      </c>
      <c r="BT107" s="10">
        <f t="shared" si="88"/>
        <v>44</v>
      </c>
      <c r="BU107" s="10">
        <f t="shared" si="89"/>
        <v>43</v>
      </c>
      <c r="BV107" s="10">
        <f t="shared" si="90"/>
        <v>42</v>
      </c>
      <c r="BW107" s="10">
        <f t="shared" si="91"/>
        <v>41</v>
      </c>
      <c r="BX107" s="10">
        <f t="shared" si="92"/>
        <v>40</v>
      </c>
      <c r="BY107" s="10">
        <f t="shared" si="93"/>
        <v>39</v>
      </c>
      <c r="BZ107" s="10">
        <f t="shared" si="94"/>
        <v>38</v>
      </c>
      <c r="CA107" s="10">
        <f t="shared" si="95"/>
        <v>37</v>
      </c>
      <c r="CB107" s="10">
        <f t="shared" si="96"/>
        <v>36</v>
      </c>
      <c r="CC107" s="10">
        <f t="shared" si="97"/>
        <v>35</v>
      </c>
      <c r="CD107" s="10">
        <f t="shared" si="98"/>
        <v>34</v>
      </c>
      <c r="CE107" s="10">
        <f t="shared" si="99"/>
        <v>33</v>
      </c>
      <c r="CF107" s="10">
        <f t="shared" si="100"/>
        <v>32</v>
      </c>
      <c r="CG107" s="10">
        <f t="shared" si="101"/>
        <v>31</v>
      </c>
      <c r="CH107" s="10">
        <f t="shared" si="102"/>
        <v>30</v>
      </c>
      <c r="CI107" s="10">
        <f t="shared" si="103"/>
        <v>29</v>
      </c>
      <c r="CJ107" s="10">
        <f t="shared" si="104"/>
        <v>28</v>
      </c>
      <c r="CK107" s="10">
        <f t="shared" si="105"/>
        <v>27</v>
      </c>
      <c r="CL107" s="10">
        <f t="shared" si="106"/>
        <v>26</v>
      </c>
      <c r="CM107" s="10" t="str">
        <f>'役職希望調査 ・備考'!I77&amp;""</f>
        <v/>
      </c>
    </row>
    <row r="108" spans="1:91">
      <c r="A108" s="10" t="str">
        <f>時間希望調査!A78&amp;""</f>
        <v/>
      </c>
      <c r="B108" s="10" t="str">
        <f>時間希望調査!B78&amp;""</f>
        <v/>
      </c>
      <c r="C108" s="10" t="str">
        <f>時間希望調査!C78&amp;""</f>
        <v/>
      </c>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0">
        <f t="shared" si="107"/>
        <v>0</v>
      </c>
      <c r="BC108" s="10">
        <f>時間希望調査!D78</f>
        <v>0</v>
      </c>
      <c r="BD108" s="10" t="str">
        <f>'役職希望調査 ・備考'!D78&amp;""</f>
        <v/>
      </c>
      <c r="BE108" s="10" t="str">
        <f>'役職希望調査 ・備考'!E78&amp;""</f>
        <v/>
      </c>
      <c r="BF108" s="10" t="str">
        <f>'役職希望調査 ・備考'!F78&amp;""</f>
        <v/>
      </c>
      <c r="BG108" s="10" t="str">
        <f>'役職希望調査 ・備考'!G78&amp;""</f>
        <v/>
      </c>
      <c r="BH108" s="10" t="str">
        <f>'役職希望調査 ・備考'!H78&amp;""</f>
        <v/>
      </c>
      <c r="BI108" s="10">
        <f t="shared" si="77"/>
        <v>0</v>
      </c>
      <c r="BJ108" s="10">
        <f t="shared" si="78"/>
        <v>0</v>
      </c>
      <c r="BK108" s="10">
        <f t="shared" si="79"/>
        <v>0</v>
      </c>
      <c r="BL108" s="10">
        <f t="shared" si="80"/>
        <v>0</v>
      </c>
      <c r="BM108" s="10">
        <f t="shared" si="81"/>
        <v>0</v>
      </c>
      <c r="BN108" s="10">
        <f t="shared" si="82"/>
        <v>0</v>
      </c>
      <c r="BO108" s="10">
        <f t="shared" si="83"/>
        <v>48</v>
      </c>
      <c r="BP108" s="10">
        <f t="shared" si="84"/>
        <v>48</v>
      </c>
      <c r="BQ108" s="10">
        <f t="shared" si="85"/>
        <v>47</v>
      </c>
      <c r="BR108" s="10">
        <f t="shared" si="86"/>
        <v>46</v>
      </c>
      <c r="BS108" s="10">
        <f t="shared" si="87"/>
        <v>45</v>
      </c>
      <c r="BT108" s="10">
        <f t="shared" si="88"/>
        <v>44</v>
      </c>
      <c r="BU108" s="10">
        <f t="shared" si="89"/>
        <v>43</v>
      </c>
      <c r="BV108" s="10">
        <f t="shared" si="90"/>
        <v>42</v>
      </c>
      <c r="BW108" s="10">
        <f t="shared" si="91"/>
        <v>41</v>
      </c>
      <c r="BX108" s="10">
        <f t="shared" si="92"/>
        <v>40</v>
      </c>
      <c r="BY108" s="10">
        <f t="shared" si="93"/>
        <v>39</v>
      </c>
      <c r="BZ108" s="10">
        <f t="shared" si="94"/>
        <v>38</v>
      </c>
      <c r="CA108" s="10">
        <f t="shared" si="95"/>
        <v>37</v>
      </c>
      <c r="CB108" s="10">
        <f t="shared" si="96"/>
        <v>36</v>
      </c>
      <c r="CC108" s="10">
        <f t="shared" si="97"/>
        <v>35</v>
      </c>
      <c r="CD108" s="10">
        <f t="shared" si="98"/>
        <v>34</v>
      </c>
      <c r="CE108" s="10">
        <f t="shared" si="99"/>
        <v>33</v>
      </c>
      <c r="CF108" s="10">
        <f t="shared" si="100"/>
        <v>32</v>
      </c>
      <c r="CG108" s="10">
        <f t="shared" si="101"/>
        <v>31</v>
      </c>
      <c r="CH108" s="10">
        <f t="shared" si="102"/>
        <v>30</v>
      </c>
      <c r="CI108" s="10">
        <f t="shared" si="103"/>
        <v>29</v>
      </c>
      <c r="CJ108" s="10">
        <f t="shared" si="104"/>
        <v>28</v>
      </c>
      <c r="CK108" s="10">
        <f t="shared" si="105"/>
        <v>27</v>
      </c>
      <c r="CL108" s="10">
        <f t="shared" si="106"/>
        <v>26</v>
      </c>
      <c r="CM108" s="10" t="str">
        <f>'役職希望調査 ・備考'!I78&amp;""</f>
        <v/>
      </c>
    </row>
    <row r="109" spans="1:91">
      <c r="A109" s="10" t="str">
        <f>時間希望調査!A79&amp;""</f>
        <v/>
      </c>
      <c r="B109" s="10" t="str">
        <f>時間希望調査!B79&amp;""</f>
        <v/>
      </c>
      <c r="C109" s="10" t="str">
        <f>時間希望調査!C79&amp;""</f>
        <v/>
      </c>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0">
        <f t="shared" si="107"/>
        <v>0</v>
      </c>
      <c r="BC109" s="10">
        <f>時間希望調査!D79</f>
        <v>0</v>
      </c>
      <c r="BD109" s="10" t="str">
        <f>'役職希望調査 ・備考'!D79&amp;""</f>
        <v/>
      </c>
      <c r="BE109" s="10" t="str">
        <f>'役職希望調査 ・備考'!E79&amp;""</f>
        <v/>
      </c>
      <c r="BF109" s="10" t="str">
        <f>'役職希望調査 ・備考'!F79&amp;""</f>
        <v/>
      </c>
      <c r="BG109" s="10" t="str">
        <f>'役職希望調査 ・備考'!G79&amp;""</f>
        <v/>
      </c>
      <c r="BH109" s="10" t="str">
        <f>'役職希望調査 ・備考'!H79&amp;""</f>
        <v/>
      </c>
      <c r="BI109" s="10">
        <f t="shared" si="77"/>
        <v>0</v>
      </c>
      <c r="BJ109" s="10">
        <f t="shared" si="78"/>
        <v>0</v>
      </c>
      <c r="BK109" s="10">
        <f t="shared" si="79"/>
        <v>0</v>
      </c>
      <c r="BL109" s="10">
        <f t="shared" si="80"/>
        <v>0</v>
      </c>
      <c r="BM109" s="10">
        <f t="shared" si="81"/>
        <v>0</v>
      </c>
      <c r="BN109" s="10">
        <f t="shared" si="82"/>
        <v>0</v>
      </c>
      <c r="BO109" s="10">
        <f t="shared" si="83"/>
        <v>48</v>
      </c>
      <c r="BP109" s="10">
        <f t="shared" si="84"/>
        <v>48</v>
      </c>
      <c r="BQ109" s="10">
        <f t="shared" si="85"/>
        <v>47</v>
      </c>
      <c r="BR109" s="10">
        <f t="shared" si="86"/>
        <v>46</v>
      </c>
      <c r="BS109" s="10">
        <f t="shared" si="87"/>
        <v>45</v>
      </c>
      <c r="BT109" s="10">
        <f t="shared" si="88"/>
        <v>44</v>
      </c>
      <c r="BU109" s="10">
        <f t="shared" si="89"/>
        <v>43</v>
      </c>
      <c r="BV109" s="10">
        <f t="shared" si="90"/>
        <v>42</v>
      </c>
      <c r="BW109" s="10">
        <f t="shared" si="91"/>
        <v>41</v>
      </c>
      <c r="BX109" s="10">
        <f t="shared" si="92"/>
        <v>40</v>
      </c>
      <c r="BY109" s="10">
        <f t="shared" si="93"/>
        <v>39</v>
      </c>
      <c r="BZ109" s="10">
        <f t="shared" si="94"/>
        <v>38</v>
      </c>
      <c r="CA109" s="10">
        <f t="shared" si="95"/>
        <v>37</v>
      </c>
      <c r="CB109" s="10">
        <f t="shared" si="96"/>
        <v>36</v>
      </c>
      <c r="CC109" s="10">
        <f t="shared" si="97"/>
        <v>35</v>
      </c>
      <c r="CD109" s="10">
        <f t="shared" si="98"/>
        <v>34</v>
      </c>
      <c r="CE109" s="10">
        <f t="shared" si="99"/>
        <v>33</v>
      </c>
      <c r="CF109" s="10">
        <f t="shared" si="100"/>
        <v>32</v>
      </c>
      <c r="CG109" s="10">
        <f t="shared" si="101"/>
        <v>31</v>
      </c>
      <c r="CH109" s="10">
        <f t="shared" si="102"/>
        <v>30</v>
      </c>
      <c r="CI109" s="10">
        <f t="shared" si="103"/>
        <v>29</v>
      </c>
      <c r="CJ109" s="10">
        <f t="shared" si="104"/>
        <v>28</v>
      </c>
      <c r="CK109" s="10">
        <f t="shared" si="105"/>
        <v>27</v>
      </c>
      <c r="CL109" s="10">
        <f t="shared" si="106"/>
        <v>26</v>
      </c>
      <c r="CM109" s="10" t="str">
        <f>'役職希望調査 ・備考'!I79&amp;""</f>
        <v/>
      </c>
    </row>
    <row r="110" spans="1:91">
      <c r="A110" s="10" t="str">
        <f>時間希望調査!A80&amp;""</f>
        <v/>
      </c>
      <c r="B110" s="10" t="str">
        <f>時間希望調査!B80&amp;""</f>
        <v/>
      </c>
      <c r="C110" s="10" t="str">
        <f>時間希望調査!C80&amp;""</f>
        <v/>
      </c>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0">
        <f t="shared" si="107"/>
        <v>0</v>
      </c>
      <c r="BC110" s="10">
        <f>時間希望調査!D80</f>
        <v>0</v>
      </c>
      <c r="BD110" s="10" t="str">
        <f>'役職希望調査 ・備考'!D80&amp;""</f>
        <v/>
      </c>
      <c r="BE110" s="10" t="str">
        <f>'役職希望調査 ・備考'!E80&amp;""</f>
        <v/>
      </c>
      <c r="BF110" s="10" t="str">
        <f>'役職希望調査 ・備考'!F80&amp;""</f>
        <v/>
      </c>
      <c r="BG110" s="10" t="str">
        <f>'役職希望調査 ・備考'!G80&amp;""</f>
        <v/>
      </c>
      <c r="BH110" s="10" t="str">
        <f>'役職希望調査 ・備考'!H80&amp;""</f>
        <v/>
      </c>
      <c r="BI110" s="10">
        <f t="shared" si="77"/>
        <v>0</v>
      </c>
      <c r="BJ110" s="10">
        <f t="shared" si="78"/>
        <v>0</v>
      </c>
      <c r="BK110" s="10">
        <f t="shared" si="79"/>
        <v>0</v>
      </c>
      <c r="BL110" s="10">
        <f t="shared" si="80"/>
        <v>0</v>
      </c>
      <c r="BM110" s="10">
        <f t="shared" si="81"/>
        <v>0</v>
      </c>
      <c r="BN110" s="10">
        <f t="shared" si="82"/>
        <v>0</v>
      </c>
      <c r="BO110" s="10">
        <f t="shared" si="83"/>
        <v>48</v>
      </c>
      <c r="BP110" s="10">
        <f t="shared" si="84"/>
        <v>48</v>
      </c>
      <c r="BQ110" s="10">
        <f t="shared" si="85"/>
        <v>47</v>
      </c>
      <c r="BR110" s="10">
        <f t="shared" si="86"/>
        <v>46</v>
      </c>
      <c r="BS110" s="10">
        <f t="shared" si="87"/>
        <v>45</v>
      </c>
      <c r="BT110" s="10">
        <f t="shared" si="88"/>
        <v>44</v>
      </c>
      <c r="BU110" s="10">
        <f t="shared" si="89"/>
        <v>43</v>
      </c>
      <c r="BV110" s="10">
        <f t="shared" si="90"/>
        <v>42</v>
      </c>
      <c r="BW110" s="10">
        <f t="shared" si="91"/>
        <v>41</v>
      </c>
      <c r="BX110" s="10">
        <f t="shared" si="92"/>
        <v>40</v>
      </c>
      <c r="BY110" s="10">
        <f t="shared" si="93"/>
        <v>39</v>
      </c>
      <c r="BZ110" s="10">
        <f t="shared" si="94"/>
        <v>38</v>
      </c>
      <c r="CA110" s="10">
        <f t="shared" si="95"/>
        <v>37</v>
      </c>
      <c r="CB110" s="10">
        <f t="shared" si="96"/>
        <v>36</v>
      </c>
      <c r="CC110" s="10">
        <f t="shared" si="97"/>
        <v>35</v>
      </c>
      <c r="CD110" s="10">
        <f t="shared" si="98"/>
        <v>34</v>
      </c>
      <c r="CE110" s="10">
        <f t="shared" si="99"/>
        <v>33</v>
      </c>
      <c r="CF110" s="10">
        <f t="shared" si="100"/>
        <v>32</v>
      </c>
      <c r="CG110" s="10">
        <f t="shared" si="101"/>
        <v>31</v>
      </c>
      <c r="CH110" s="10">
        <f t="shared" si="102"/>
        <v>30</v>
      </c>
      <c r="CI110" s="10">
        <f t="shared" si="103"/>
        <v>29</v>
      </c>
      <c r="CJ110" s="10">
        <f t="shared" si="104"/>
        <v>28</v>
      </c>
      <c r="CK110" s="10">
        <f t="shared" si="105"/>
        <v>27</v>
      </c>
      <c r="CL110" s="10">
        <f t="shared" si="106"/>
        <v>26</v>
      </c>
      <c r="CM110" s="10" t="str">
        <f>'役職希望調査 ・備考'!I80&amp;""</f>
        <v/>
      </c>
    </row>
    <row r="111" spans="1:91">
      <c r="A111" s="10" t="str">
        <f>時間希望調査!A81&amp;""</f>
        <v/>
      </c>
      <c r="B111" s="10" t="str">
        <f>時間希望調査!B81&amp;""</f>
        <v/>
      </c>
      <c r="C111" s="10" t="str">
        <f>時間希望調査!C81&amp;""</f>
        <v/>
      </c>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0">
        <f t="shared" si="107"/>
        <v>0</v>
      </c>
      <c r="BC111" s="10">
        <f>時間希望調査!D81</f>
        <v>0</v>
      </c>
      <c r="BD111" s="10" t="str">
        <f>'役職希望調査 ・備考'!D81&amp;""</f>
        <v/>
      </c>
      <c r="BE111" s="10" t="str">
        <f>'役職希望調査 ・備考'!E81&amp;""</f>
        <v/>
      </c>
      <c r="BF111" s="10" t="str">
        <f>'役職希望調査 ・備考'!F81&amp;""</f>
        <v/>
      </c>
      <c r="BG111" s="10" t="str">
        <f>'役職希望調査 ・備考'!G81&amp;""</f>
        <v/>
      </c>
      <c r="BH111" s="10" t="str">
        <f>'役職希望調査 ・備考'!H81&amp;""</f>
        <v/>
      </c>
      <c r="BI111" s="10">
        <f t="shared" si="77"/>
        <v>0</v>
      </c>
      <c r="BJ111" s="10">
        <f t="shared" si="78"/>
        <v>0</v>
      </c>
      <c r="BK111" s="10">
        <f t="shared" si="79"/>
        <v>0</v>
      </c>
      <c r="BL111" s="10">
        <f t="shared" si="80"/>
        <v>0</v>
      </c>
      <c r="BM111" s="10">
        <f t="shared" si="81"/>
        <v>0</v>
      </c>
      <c r="BN111" s="10">
        <f t="shared" si="82"/>
        <v>0</v>
      </c>
      <c r="BO111" s="10">
        <f t="shared" si="83"/>
        <v>48</v>
      </c>
      <c r="BP111" s="10">
        <f t="shared" si="84"/>
        <v>48</v>
      </c>
      <c r="BQ111" s="10">
        <f t="shared" si="85"/>
        <v>47</v>
      </c>
      <c r="BR111" s="10">
        <f t="shared" si="86"/>
        <v>46</v>
      </c>
      <c r="BS111" s="10">
        <f t="shared" si="87"/>
        <v>45</v>
      </c>
      <c r="BT111" s="10">
        <f t="shared" si="88"/>
        <v>44</v>
      </c>
      <c r="BU111" s="10">
        <f t="shared" si="89"/>
        <v>43</v>
      </c>
      <c r="BV111" s="10">
        <f t="shared" si="90"/>
        <v>42</v>
      </c>
      <c r="BW111" s="10">
        <f t="shared" si="91"/>
        <v>41</v>
      </c>
      <c r="BX111" s="10">
        <f t="shared" si="92"/>
        <v>40</v>
      </c>
      <c r="BY111" s="10">
        <f t="shared" si="93"/>
        <v>39</v>
      </c>
      <c r="BZ111" s="10">
        <f t="shared" si="94"/>
        <v>38</v>
      </c>
      <c r="CA111" s="10">
        <f t="shared" si="95"/>
        <v>37</v>
      </c>
      <c r="CB111" s="10">
        <f t="shared" si="96"/>
        <v>36</v>
      </c>
      <c r="CC111" s="10">
        <f t="shared" si="97"/>
        <v>35</v>
      </c>
      <c r="CD111" s="10">
        <f t="shared" si="98"/>
        <v>34</v>
      </c>
      <c r="CE111" s="10">
        <f t="shared" si="99"/>
        <v>33</v>
      </c>
      <c r="CF111" s="10">
        <f t="shared" si="100"/>
        <v>32</v>
      </c>
      <c r="CG111" s="10">
        <f t="shared" si="101"/>
        <v>31</v>
      </c>
      <c r="CH111" s="10">
        <f t="shared" si="102"/>
        <v>30</v>
      </c>
      <c r="CI111" s="10">
        <f t="shared" si="103"/>
        <v>29</v>
      </c>
      <c r="CJ111" s="10">
        <f t="shared" si="104"/>
        <v>28</v>
      </c>
      <c r="CK111" s="10">
        <f t="shared" si="105"/>
        <v>27</v>
      </c>
      <c r="CL111" s="10">
        <f t="shared" si="106"/>
        <v>26</v>
      </c>
      <c r="CM111" s="10" t="str">
        <f>'役職希望調査 ・備考'!I81&amp;""</f>
        <v/>
      </c>
    </row>
    <row r="112" spans="1:91">
      <c r="A112" s="10" t="str">
        <f>時間希望調査!A82&amp;""</f>
        <v/>
      </c>
      <c r="B112" s="10" t="str">
        <f>時間希望調査!B82&amp;""</f>
        <v/>
      </c>
      <c r="C112" s="10" t="str">
        <f>時間希望調査!C82&amp;""</f>
        <v/>
      </c>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0">
        <f t="shared" si="107"/>
        <v>0</v>
      </c>
      <c r="BC112" s="10">
        <f>時間希望調査!D82</f>
        <v>0</v>
      </c>
      <c r="BD112" s="10" t="str">
        <f>'役職希望調査 ・備考'!D82&amp;""</f>
        <v/>
      </c>
      <c r="BE112" s="10" t="str">
        <f>'役職希望調査 ・備考'!E82&amp;""</f>
        <v/>
      </c>
      <c r="BF112" s="10" t="str">
        <f>'役職希望調査 ・備考'!F82&amp;""</f>
        <v/>
      </c>
      <c r="BG112" s="10" t="str">
        <f>'役職希望調査 ・備考'!G82&amp;""</f>
        <v/>
      </c>
      <c r="BH112" s="10" t="str">
        <f>'役職希望調査 ・備考'!H82&amp;""</f>
        <v/>
      </c>
      <c r="BI112" s="10">
        <f t="shared" si="77"/>
        <v>0</v>
      </c>
      <c r="BJ112" s="10">
        <f t="shared" si="78"/>
        <v>0</v>
      </c>
      <c r="BK112" s="10">
        <f t="shared" si="79"/>
        <v>0</v>
      </c>
      <c r="BL112" s="10">
        <f t="shared" si="80"/>
        <v>0</v>
      </c>
      <c r="BM112" s="10">
        <f t="shared" si="81"/>
        <v>0</v>
      </c>
      <c r="BN112" s="10">
        <f t="shared" si="82"/>
        <v>0</v>
      </c>
      <c r="BO112" s="10">
        <f t="shared" si="83"/>
        <v>48</v>
      </c>
      <c r="BP112" s="10">
        <f t="shared" si="84"/>
        <v>48</v>
      </c>
      <c r="BQ112" s="10">
        <f t="shared" si="85"/>
        <v>47</v>
      </c>
      <c r="BR112" s="10">
        <f t="shared" si="86"/>
        <v>46</v>
      </c>
      <c r="BS112" s="10">
        <f t="shared" si="87"/>
        <v>45</v>
      </c>
      <c r="BT112" s="10">
        <f t="shared" si="88"/>
        <v>44</v>
      </c>
      <c r="BU112" s="10">
        <f t="shared" si="89"/>
        <v>43</v>
      </c>
      <c r="BV112" s="10">
        <f t="shared" si="90"/>
        <v>42</v>
      </c>
      <c r="BW112" s="10">
        <f t="shared" si="91"/>
        <v>41</v>
      </c>
      <c r="BX112" s="10">
        <f t="shared" si="92"/>
        <v>40</v>
      </c>
      <c r="BY112" s="10">
        <f t="shared" si="93"/>
        <v>39</v>
      </c>
      <c r="BZ112" s="10">
        <f t="shared" si="94"/>
        <v>38</v>
      </c>
      <c r="CA112" s="10">
        <f t="shared" si="95"/>
        <v>37</v>
      </c>
      <c r="CB112" s="10">
        <f t="shared" si="96"/>
        <v>36</v>
      </c>
      <c r="CC112" s="10">
        <f t="shared" si="97"/>
        <v>35</v>
      </c>
      <c r="CD112" s="10">
        <f t="shared" si="98"/>
        <v>34</v>
      </c>
      <c r="CE112" s="10">
        <f t="shared" si="99"/>
        <v>33</v>
      </c>
      <c r="CF112" s="10">
        <f t="shared" si="100"/>
        <v>32</v>
      </c>
      <c r="CG112" s="10">
        <f t="shared" si="101"/>
        <v>31</v>
      </c>
      <c r="CH112" s="10">
        <f t="shared" si="102"/>
        <v>30</v>
      </c>
      <c r="CI112" s="10">
        <f t="shared" si="103"/>
        <v>29</v>
      </c>
      <c r="CJ112" s="10">
        <f t="shared" si="104"/>
        <v>28</v>
      </c>
      <c r="CK112" s="10">
        <f t="shared" si="105"/>
        <v>27</v>
      </c>
      <c r="CL112" s="10">
        <f t="shared" si="106"/>
        <v>26</v>
      </c>
      <c r="CM112" s="10" t="str">
        <f>'役職希望調査 ・備考'!I82&amp;""</f>
        <v/>
      </c>
    </row>
    <row r="113" spans="1:91">
      <c r="A113" s="10" t="str">
        <f>時間希望調査!A83&amp;""</f>
        <v/>
      </c>
      <c r="B113" s="10" t="str">
        <f>時間希望調査!B83&amp;""</f>
        <v/>
      </c>
      <c r="C113" s="10" t="str">
        <f>時間希望調査!C83&amp;""</f>
        <v/>
      </c>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0">
        <f t="shared" si="107"/>
        <v>0</v>
      </c>
      <c r="BC113" s="10">
        <f>時間希望調査!D83</f>
        <v>0</v>
      </c>
      <c r="BD113" s="10" t="str">
        <f>'役職希望調査 ・備考'!D83&amp;""</f>
        <v/>
      </c>
      <c r="BE113" s="10" t="str">
        <f>'役職希望調査 ・備考'!E83&amp;""</f>
        <v/>
      </c>
      <c r="BF113" s="10" t="str">
        <f>'役職希望調査 ・備考'!F83&amp;""</f>
        <v/>
      </c>
      <c r="BG113" s="10" t="str">
        <f>'役職希望調査 ・備考'!G83&amp;""</f>
        <v/>
      </c>
      <c r="BH113" s="10" t="str">
        <f>'役職希望調査 ・備考'!H83&amp;""</f>
        <v/>
      </c>
      <c r="BI113" s="10">
        <f t="shared" si="77"/>
        <v>0</v>
      </c>
      <c r="BJ113" s="10">
        <f t="shared" si="78"/>
        <v>0</v>
      </c>
      <c r="BK113" s="10">
        <f t="shared" si="79"/>
        <v>0</v>
      </c>
      <c r="BL113" s="10">
        <f t="shared" si="80"/>
        <v>0</v>
      </c>
      <c r="BM113" s="10">
        <f t="shared" si="81"/>
        <v>0</v>
      </c>
      <c r="BN113" s="10">
        <f t="shared" si="82"/>
        <v>0</v>
      </c>
      <c r="BO113" s="10">
        <f t="shared" si="83"/>
        <v>48</v>
      </c>
      <c r="BP113" s="10">
        <f t="shared" si="84"/>
        <v>48</v>
      </c>
      <c r="BQ113" s="10">
        <f t="shared" si="85"/>
        <v>47</v>
      </c>
      <c r="BR113" s="10">
        <f t="shared" si="86"/>
        <v>46</v>
      </c>
      <c r="BS113" s="10">
        <f t="shared" si="87"/>
        <v>45</v>
      </c>
      <c r="BT113" s="10">
        <f t="shared" si="88"/>
        <v>44</v>
      </c>
      <c r="BU113" s="10">
        <f t="shared" si="89"/>
        <v>43</v>
      </c>
      <c r="BV113" s="10">
        <f t="shared" si="90"/>
        <v>42</v>
      </c>
      <c r="BW113" s="10">
        <f t="shared" si="91"/>
        <v>41</v>
      </c>
      <c r="BX113" s="10">
        <f t="shared" si="92"/>
        <v>40</v>
      </c>
      <c r="BY113" s="10">
        <f t="shared" si="93"/>
        <v>39</v>
      </c>
      <c r="BZ113" s="10">
        <f t="shared" si="94"/>
        <v>38</v>
      </c>
      <c r="CA113" s="10">
        <f t="shared" si="95"/>
        <v>37</v>
      </c>
      <c r="CB113" s="10">
        <f t="shared" si="96"/>
        <v>36</v>
      </c>
      <c r="CC113" s="10">
        <f t="shared" si="97"/>
        <v>35</v>
      </c>
      <c r="CD113" s="10">
        <f t="shared" si="98"/>
        <v>34</v>
      </c>
      <c r="CE113" s="10">
        <f t="shared" si="99"/>
        <v>33</v>
      </c>
      <c r="CF113" s="10">
        <f t="shared" si="100"/>
        <v>32</v>
      </c>
      <c r="CG113" s="10">
        <f t="shared" si="101"/>
        <v>31</v>
      </c>
      <c r="CH113" s="10">
        <f t="shared" si="102"/>
        <v>30</v>
      </c>
      <c r="CI113" s="10">
        <f t="shared" si="103"/>
        <v>29</v>
      </c>
      <c r="CJ113" s="10">
        <f t="shared" si="104"/>
        <v>28</v>
      </c>
      <c r="CK113" s="10">
        <f t="shared" si="105"/>
        <v>27</v>
      </c>
      <c r="CL113" s="10">
        <f t="shared" si="106"/>
        <v>26</v>
      </c>
      <c r="CM113" s="10" t="str">
        <f>'役職希望調査 ・備考'!I83&amp;""</f>
        <v/>
      </c>
    </row>
    <row r="114" spans="1:91">
      <c r="A114" s="10" t="str">
        <f>時間希望調査!A84&amp;""</f>
        <v/>
      </c>
      <c r="B114" s="10" t="str">
        <f>時間希望調査!B84&amp;""</f>
        <v/>
      </c>
      <c r="C114" s="10" t="str">
        <f>時間希望調査!C84&amp;""</f>
        <v/>
      </c>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0">
        <f t="shared" si="107"/>
        <v>0</v>
      </c>
      <c r="BC114" s="10">
        <f>時間希望調査!D84</f>
        <v>0</v>
      </c>
      <c r="BD114" s="10" t="str">
        <f>'役職希望調査 ・備考'!D84&amp;""</f>
        <v/>
      </c>
      <c r="BE114" s="10" t="str">
        <f>'役職希望調査 ・備考'!E84&amp;""</f>
        <v/>
      </c>
      <c r="BF114" s="10" t="str">
        <f>'役職希望調査 ・備考'!F84&amp;""</f>
        <v/>
      </c>
      <c r="BG114" s="10" t="str">
        <f>'役職希望調査 ・備考'!G84&amp;""</f>
        <v/>
      </c>
      <c r="BH114" s="10" t="str">
        <f>'役職希望調査 ・備考'!H84&amp;""</f>
        <v/>
      </c>
      <c r="BI114" s="10">
        <f t="shared" si="77"/>
        <v>0</v>
      </c>
      <c r="BJ114" s="10">
        <f t="shared" si="78"/>
        <v>0</v>
      </c>
      <c r="BK114" s="10">
        <f t="shared" si="79"/>
        <v>0</v>
      </c>
      <c r="BL114" s="10">
        <f t="shared" si="80"/>
        <v>0</v>
      </c>
      <c r="BM114" s="10">
        <f t="shared" si="81"/>
        <v>0</v>
      </c>
      <c r="BN114" s="10">
        <f t="shared" si="82"/>
        <v>0</v>
      </c>
      <c r="BO114" s="10">
        <f t="shared" si="83"/>
        <v>48</v>
      </c>
      <c r="BP114" s="10">
        <f t="shared" si="84"/>
        <v>48</v>
      </c>
      <c r="BQ114" s="10">
        <f t="shared" si="85"/>
        <v>47</v>
      </c>
      <c r="BR114" s="10">
        <f t="shared" si="86"/>
        <v>46</v>
      </c>
      <c r="BS114" s="10">
        <f t="shared" si="87"/>
        <v>45</v>
      </c>
      <c r="BT114" s="10">
        <f t="shared" si="88"/>
        <v>44</v>
      </c>
      <c r="BU114" s="10">
        <f t="shared" si="89"/>
        <v>43</v>
      </c>
      <c r="BV114" s="10">
        <f t="shared" si="90"/>
        <v>42</v>
      </c>
      <c r="BW114" s="10">
        <f t="shared" si="91"/>
        <v>41</v>
      </c>
      <c r="BX114" s="10">
        <f t="shared" si="92"/>
        <v>40</v>
      </c>
      <c r="BY114" s="10">
        <f t="shared" si="93"/>
        <v>39</v>
      </c>
      <c r="BZ114" s="10">
        <f t="shared" si="94"/>
        <v>38</v>
      </c>
      <c r="CA114" s="10">
        <f t="shared" si="95"/>
        <v>37</v>
      </c>
      <c r="CB114" s="10">
        <f t="shared" si="96"/>
        <v>36</v>
      </c>
      <c r="CC114" s="10">
        <f t="shared" si="97"/>
        <v>35</v>
      </c>
      <c r="CD114" s="10">
        <f t="shared" si="98"/>
        <v>34</v>
      </c>
      <c r="CE114" s="10">
        <f t="shared" si="99"/>
        <v>33</v>
      </c>
      <c r="CF114" s="10">
        <f t="shared" si="100"/>
        <v>32</v>
      </c>
      <c r="CG114" s="10">
        <f t="shared" si="101"/>
        <v>31</v>
      </c>
      <c r="CH114" s="10">
        <f t="shared" si="102"/>
        <v>30</v>
      </c>
      <c r="CI114" s="10">
        <f t="shared" si="103"/>
        <v>29</v>
      </c>
      <c r="CJ114" s="10">
        <f t="shared" si="104"/>
        <v>28</v>
      </c>
      <c r="CK114" s="10">
        <f t="shared" si="105"/>
        <v>27</v>
      </c>
      <c r="CL114" s="10">
        <f t="shared" si="106"/>
        <v>26</v>
      </c>
      <c r="CM114" s="10" t="str">
        <f>'役職希望調査 ・備考'!I84&amp;""</f>
        <v/>
      </c>
    </row>
    <row r="115" spans="1:91">
      <c r="A115" s="10" t="str">
        <f>時間希望調査!A85&amp;""</f>
        <v/>
      </c>
      <c r="B115" s="10" t="str">
        <f>時間希望調査!B85&amp;""</f>
        <v/>
      </c>
      <c r="C115" s="10" t="str">
        <f>時間希望調査!C85&amp;""</f>
        <v/>
      </c>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0">
        <f t="shared" si="107"/>
        <v>0</v>
      </c>
      <c r="BC115" s="10">
        <f>時間希望調査!D85</f>
        <v>0</v>
      </c>
      <c r="BD115" s="10" t="str">
        <f>'役職希望調査 ・備考'!D85&amp;""</f>
        <v/>
      </c>
      <c r="BE115" s="10" t="str">
        <f>'役職希望調査 ・備考'!E85&amp;""</f>
        <v/>
      </c>
      <c r="BF115" s="10" t="str">
        <f>'役職希望調査 ・備考'!F85&amp;""</f>
        <v/>
      </c>
      <c r="BG115" s="10" t="str">
        <f>'役職希望調査 ・備考'!G85&amp;""</f>
        <v/>
      </c>
      <c r="BH115" s="10" t="str">
        <f>'役職希望調査 ・備考'!H85&amp;""</f>
        <v/>
      </c>
      <c r="BI115" s="10">
        <f t="shared" si="77"/>
        <v>0</v>
      </c>
      <c r="BJ115" s="10">
        <f t="shared" si="78"/>
        <v>0</v>
      </c>
      <c r="BK115" s="10">
        <f t="shared" si="79"/>
        <v>0</v>
      </c>
      <c r="BL115" s="10">
        <f t="shared" si="80"/>
        <v>0</v>
      </c>
      <c r="BM115" s="10">
        <f t="shared" si="81"/>
        <v>0</v>
      </c>
      <c r="BN115" s="10">
        <f t="shared" si="82"/>
        <v>0</v>
      </c>
      <c r="BO115" s="10">
        <f t="shared" si="83"/>
        <v>48</v>
      </c>
      <c r="BP115" s="10">
        <f t="shared" si="84"/>
        <v>48</v>
      </c>
      <c r="BQ115" s="10">
        <f t="shared" si="85"/>
        <v>47</v>
      </c>
      <c r="BR115" s="10">
        <f t="shared" si="86"/>
        <v>46</v>
      </c>
      <c r="BS115" s="10">
        <f t="shared" si="87"/>
        <v>45</v>
      </c>
      <c r="BT115" s="10">
        <f t="shared" si="88"/>
        <v>44</v>
      </c>
      <c r="BU115" s="10">
        <f t="shared" si="89"/>
        <v>43</v>
      </c>
      <c r="BV115" s="10">
        <f t="shared" si="90"/>
        <v>42</v>
      </c>
      <c r="BW115" s="10">
        <f t="shared" si="91"/>
        <v>41</v>
      </c>
      <c r="BX115" s="10">
        <f t="shared" si="92"/>
        <v>40</v>
      </c>
      <c r="BY115" s="10">
        <f t="shared" si="93"/>
        <v>39</v>
      </c>
      <c r="BZ115" s="10">
        <f t="shared" si="94"/>
        <v>38</v>
      </c>
      <c r="CA115" s="10">
        <f t="shared" si="95"/>
        <v>37</v>
      </c>
      <c r="CB115" s="10">
        <f t="shared" si="96"/>
        <v>36</v>
      </c>
      <c r="CC115" s="10">
        <f t="shared" si="97"/>
        <v>35</v>
      </c>
      <c r="CD115" s="10">
        <f t="shared" si="98"/>
        <v>34</v>
      </c>
      <c r="CE115" s="10">
        <f t="shared" si="99"/>
        <v>33</v>
      </c>
      <c r="CF115" s="10">
        <f t="shared" si="100"/>
        <v>32</v>
      </c>
      <c r="CG115" s="10">
        <f t="shared" si="101"/>
        <v>31</v>
      </c>
      <c r="CH115" s="10">
        <f t="shared" si="102"/>
        <v>30</v>
      </c>
      <c r="CI115" s="10">
        <f t="shared" si="103"/>
        <v>29</v>
      </c>
      <c r="CJ115" s="10">
        <f t="shared" si="104"/>
        <v>28</v>
      </c>
      <c r="CK115" s="10">
        <f t="shared" si="105"/>
        <v>27</v>
      </c>
      <c r="CL115" s="10">
        <f t="shared" si="106"/>
        <v>26</v>
      </c>
      <c r="CM115" s="10" t="str">
        <f>'役職希望調査 ・備考'!I85&amp;""</f>
        <v/>
      </c>
    </row>
    <row r="116" spans="1:91">
      <c r="A116" s="10" t="str">
        <f>時間希望調査!A86&amp;""</f>
        <v/>
      </c>
      <c r="B116" s="10" t="str">
        <f>時間希望調査!B86&amp;""</f>
        <v/>
      </c>
      <c r="C116" s="10" t="str">
        <f>時間希望調査!C86&amp;""</f>
        <v/>
      </c>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0">
        <f t="shared" si="107"/>
        <v>0</v>
      </c>
      <c r="BC116" s="10">
        <f>時間希望調査!D86</f>
        <v>0</v>
      </c>
      <c r="BD116" s="10" t="str">
        <f>'役職希望調査 ・備考'!D86&amp;""</f>
        <v/>
      </c>
      <c r="BE116" s="10" t="str">
        <f>'役職希望調査 ・備考'!E86&amp;""</f>
        <v/>
      </c>
      <c r="BF116" s="10" t="str">
        <f>'役職希望調査 ・備考'!F86&amp;""</f>
        <v/>
      </c>
      <c r="BG116" s="10" t="str">
        <f>'役職希望調査 ・備考'!G86&amp;""</f>
        <v/>
      </c>
      <c r="BH116" s="10" t="str">
        <f>'役職希望調査 ・備考'!H86&amp;""</f>
        <v/>
      </c>
      <c r="BI116" s="10">
        <f t="shared" si="77"/>
        <v>0</v>
      </c>
      <c r="BJ116" s="10">
        <f t="shared" si="78"/>
        <v>0</v>
      </c>
      <c r="BK116" s="10">
        <f t="shared" si="79"/>
        <v>0</v>
      </c>
      <c r="BL116" s="10">
        <f t="shared" si="80"/>
        <v>0</v>
      </c>
      <c r="BM116" s="10">
        <f t="shared" si="81"/>
        <v>0</v>
      </c>
      <c r="BN116" s="10">
        <f t="shared" si="82"/>
        <v>0</v>
      </c>
      <c r="BO116" s="10">
        <f t="shared" si="83"/>
        <v>48</v>
      </c>
      <c r="BP116" s="10">
        <f t="shared" si="84"/>
        <v>48</v>
      </c>
      <c r="BQ116" s="10">
        <f t="shared" si="85"/>
        <v>47</v>
      </c>
      <c r="BR116" s="10">
        <f t="shared" si="86"/>
        <v>46</v>
      </c>
      <c r="BS116" s="10">
        <f t="shared" si="87"/>
        <v>45</v>
      </c>
      <c r="BT116" s="10">
        <f t="shared" si="88"/>
        <v>44</v>
      </c>
      <c r="BU116" s="10">
        <f t="shared" si="89"/>
        <v>43</v>
      </c>
      <c r="BV116" s="10">
        <f t="shared" si="90"/>
        <v>42</v>
      </c>
      <c r="BW116" s="10">
        <f t="shared" si="91"/>
        <v>41</v>
      </c>
      <c r="BX116" s="10">
        <f t="shared" si="92"/>
        <v>40</v>
      </c>
      <c r="BY116" s="10">
        <f t="shared" si="93"/>
        <v>39</v>
      </c>
      <c r="BZ116" s="10">
        <f t="shared" si="94"/>
        <v>38</v>
      </c>
      <c r="CA116" s="10">
        <f t="shared" si="95"/>
        <v>37</v>
      </c>
      <c r="CB116" s="10">
        <f t="shared" si="96"/>
        <v>36</v>
      </c>
      <c r="CC116" s="10">
        <f t="shared" si="97"/>
        <v>35</v>
      </c>
      <c r="CD116" s="10">
        <f t="shared" si="98"/>
        <v>34</v>
      </c>
      <c r="CE116" s="10">
        <f t="shared" si="99"/>
        <v>33</v>
      </c>
      <c r="CF116" s="10">
        <f t="shared" si="100"/>
        <v>32</v>
      </c>
      <c r="CG116" s="10">
        <f t="shared" si="101"/>
        <v>31</v>
      </c>
      <c r="CH116" s="10">
        <f t="shared" si="102"/>
        <v>30</v>
      </c>
      <c r="CI116" s="10">
        <f t="shared" si="103"/>
        <v>29</v>
      </c>
      <c r="CJ116" s="10">
        <f t="shared" si="104"/>
        <v>28</v>
      </c>
      <c r="CK116" s="10">
        <f t="shared" si="105"/>
        <v>27</v>
      </c>
      <c r="CL116" s="10">
        <f t="shared" si="106"/>
        <v>26</v>
      </c>
      <c r="CM116" s="10" t="str">
        <f>'役職希望調査 ・備考'!I86&amp;""</f>
        <v/>
      </c>
    </row>
    <row r="117" spans="1:91">
      <c r="A117" s="10" t="str">
        <f>時間希望調査!A87&amp;""</f>
        <v/>
      </c>
      <c r="B117" s="10" t="str">
        <f>時間希望調査!B87&amp;""</f>
        <v/>
      </c>
      <c r="C117" s="10" t="str">
        <f>時間希望調査!C87&amp;""</f>
        <v/>
      </c>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0">
        <f t="shared" si="107"/>
        <v>0</v>
      </c>
      <c r="BC117" s="10">
        <f>時間希望調査!D87</f>
        <v>0</v>
      </c>
      <c r="BD117" s="10" t="str">
        <f>'役職希望調査 ・備考'!D87&amp;""</f>
        <v/>
      </c>
      <c r="BE117" s="10" t="str">
        <f>'役職希望調査 ・備考'!E87&amp;""</f>
        <v/>
      </c>
      <c r="BF117" s="10" t="str">
        <f>'役職希望調査 ・備考'!F87&amp;""</f>
        <v/>
      </c>
      <c r="BG117" s="10" t="str">
        <f>'役職希望調査 ・備考'!G87&amp;""</f>
        <v/>
      </c>
      <c r="BH117" s="10" t="str">
        <f>'役職希望調査 ・備考'!H87&amp;""</f>
        <v/>
      </c>
      <c r="BI117" s="10">
        <f t="shared" si="77"/>
        <v>0</v>
      </c>
      <c r="BJ117" s="10">
        <f t="shared" si="78"/>
        <v>0</v>
      </c>
      <c r="BK117" s="10">
        <f t="shared" si="79"/>
        <v>0</v>
      </c>
      <c r="BL117" s="10">
        <f t="shared" si="80"/>
        <v>0</v>
      </c>
      <c r="BM117" s="10">
        <f t="shared" si="81"/>
        <v>0</v>
      </c>
      <c r="BN117" s="10">
        <f t="shared" si="82"/>
        <v>0</v>
      </c>
      <c r="BO117" s="10">
        <f t="shared" si="83"/>
        <v>48</v>
      </c>
      <c r="BP117" s="10">
        <f t="shared" si="84"/>
        <v>48</v>
      </c>
      <c r="BQ117" s="10">
        <f t="shared" si="85"/>
        <v>47</v>
      </c>
      <c r="BR117" s="10">
        <f t="shared" si="86"/>
        <v>46</v>
      </c>
      <c r="BS117" s="10">
        <f t="shared" si="87"/>
        <v>45</v>
      </c>
      <c r="BT117" s="10">
        <f t="shared" si="88"/>
        <v>44</v>
      </c>
      <c r="BU117" s="10">
        <f t="shared" si="89"/>
        <v>43</v>
      </c>
      <c r="BV117" s="10">
        <f t="shared" si="90"/>
        <v>42</v>
      </c>
      <c r="BW117" s="10">
        <f t="shared" si="91"/>
        <v>41</v>
      </c>
      <c r="BX117" s="10">
        <f t="shared" si="92"/>
        <v>40</v>
      </c>
      <c r="BY117" s="10">
        <f t="shared" si="93"/>
        <v>39</v>
      </c>
      <c r="BZ117" s="10">
        <f t="shared" si="94"/>
        <v>38</v>
      </c>
      <c r="CA117" s="10">
        <f t="shared" si="95"/>
        <v>37</v>
      </c>
      <c r="CB117" s="10">
        <f t="shared" si="96"/>
        <v>36</v>
      </c>
      <c r="CC117" s="10">
        <f t="shared" si="97"/>
        <v>35</v>
      </c>
      <c r="CD117" s="10">
        <f t="shared" si="98"/>
        <v>34</v>
      </c>
      <c r="CE117" s="10">
        <f t="shared" si="99"/>
        <v>33</v>
      </c>
      <c r="CF117" s="10">
        <f t="shared" si="100"/>
        <v>32</v>
      </c>
      <c r="CG117" s="10">
        <f t="shared" si="101"/>
        <v>31</v>
      </c>
      <c r="CH117" s="10">
        <f t="shared" si="102"/>
        <v>30</v>
      </c>
      <c r="CI117" s="10">
        <f t="shared" si="103"/>
        <v>29</v>
      </c>
      <c r="CJ117" s="10">
        <f t="shared" si="104"/>
        <v>28</v>
      </c>
      <c r="CK117" s="10">
        <f t="shared" si="105"/>
        <v>27</v>
      </c>
      <c r="CL117" s="10">
        <f t="shared" si="106"/>
        <v>26</v>
      </c>
      <c r="CM117" s="10" t="str">
        <f>'役職希望調査 ・備考'!I87&amp;""</f>
        <v/>
      </c>
    </row>
    <row r="118" spans="1:91">
      <c r="A118" s="10" t="str">
        <f>時間希望調査!A88&amp;""</f>
        <v/>
      </c>
      <c r="B118" s="10" t="str">
        <f>時間希望調査!B88&amp;""</f>
        <v/>
      </c>
      <c r="C118" s="10" t="str">
        <f>時間希望調査!C88&amp;""</f>
        <v/>
      </c>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0">
        <f t="shared" si="107"/>
        <v>0</v>
      </c>
      <c r="BC118" s="10">
        <f>時間希望調査!D88</f>
        <v>0</v>
      </c>
      <c r="BD118" s="10" t="str">
        <f>'役職希望調査 ・備考'!D88&amp;""</f>
        <v/>
      </c>
      <c r="BE118" s="10" t="str">
        <f>'役職希望調査 ・備考'!E88&amp;""</f>
        <v/>
      </c>
      <c r="BF118" s="10" t="str">
        <f>'役職希望調査 ・備考'!F88&amp;""</f>
        <v/>
      </c>
      <c r="BG118" s="10" t="str">
        <f>'役職希望調査 ・備考'!G88&amp;""</f>
        <v/>
      </c>
      <c r="BH118" s="10" t="str">
        <f>'役職希望調査 ・備考'!H88&amp;""</f>
        <v/>
      </c>
      <c r="BI118" s="10">
        <f t="shared" si="77"/>
        <v>0</v>
      </c>
      <c r="BJ118" s="10">
        <f t="shared" si="78"/>
        <v>0</v>
      </c>
      <c r="BK118" s="10">
        <f t="shared" si="79"/>
        <v>0</v>
      </c>
      <c r="BL118" s="10">
        <f t="shared" si="80"/>
        <v>0</v>
      </c>
      <c r="BM118" s="10">
        <f t="shared" si="81"/>
        <v>0</v>
      </c>
      <c r="BN118" s="10">
        <f t="shared" si="82"/>
        <v>0</v>
      </c>
      <c r="BO118" s="10">
        <f t="shared" si="83"/>
        <v>48</v>
      </c>
      <c r="BP118" s="10">
        <f t="shared" si="84"/>
        <v>48</v>
      </c>
      <c r="BQ118" s="10">
        <f t="shared" si="85"/>
        <v>47</v>
      </c>
      <c r="BR118" s="10">
        <f t="shared" si="86"/>
        <v>46</v>
      </c>
      <c r="BS118" s="10">
        <f t="shared" si="87"/>
        <v>45</v>
      </c>
      <c r="BT118" s="10">
        <f t="shared" si="88"/>
        <v>44</v>
      </c>
      <c r="BU118" s="10">
        <f t="shared" si="89"/>
        <v>43</v>
      </c>
      <c r="BV118" s="10">
        <f t="shared" si="90"/>
        <v>42</v>
      </c>
      <c r="BW118" s="10">
        <f t="shared" si="91"/>
        <v>41</v>
      </c>
      <c r="BX118" s="10">
        <f t="shared" si="92"/>
        <v>40</v>
      </c>
      <c r="BY118" s="10">
        <f t="shared" si="93"/>
        <v>39</v>
      </c>
      <c r="BZ118" s="10">
        <f t="shared" si="94"/>
        <v>38</v>
      </c>
      <c r="CA118" s="10">
        <f t="shared" si="95"/>
        <v>37</v>
      </c>
      <c r="CB118" s="10">
        <f t="shared" si="96"/>
        <v>36</v>
      </c>
      <c r="CC118" s="10">
        <f t="shared" si="97"/>
        <v>35</v>
      </c>
      <c r="CD118" s="10">
        <f t="shared" si="98"/>
        <v>34</v>
      </c>
      <c r="CE118" s="10">
        <f t="shared" si="99"/>
        <v>33</v>
      </c>
      <c r="CF118" s="10">
        <f t="shared" si="100"/>
        <v>32</v>
      </c>
      <c r="CG118" s="10">
        <f t="shared" si="101"/>
        <v>31</v>
      </c>
      <c r="CH118" s="10">
        <f t="shared" si="102"/>
        <v>30</v>
      </c>
      <c r="CI118" s="10">
        <f t="shared" si="103"/>
        <v>29</v>
      </c>
      <c r="CJ118" s="10">
        <f t="shared" si="104"/>
        <v>28</v>
      </c>
      <c r="CK118" s="10">
        <f t="shared" si="105"/>
        <v>27</v>
      </c>
      <c r="CL118" s="10">
        <f t="shared" si="106"/>
        <v>26</v>
      </c>
      <c r="CM118" s="10" t="str">
        <f>'役職希望調査 ・備考'!I88&amp;""</f>
        <v/>
      </c>
    </row>
    <row r="119" spans="1:91">
      <c r="A119" s="10" t="str">
        <f>時間希望調査!A89&amp;""</f>
        <v/>
      </c>
      <c r="B119" s="10" t="str">
        <f>時間希望調査!B89&amp;""</f>
        <v/>
      </c>
      <c r="C119" s="10" t="str">
        <f>時間希望調査!C89&amp;""</f>
        <v/>
      </c>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0">
        <f t="shared" si="107"/>
        <v>0</v>
      </c>
      <c r="BC119" s="10">
        <f>時間希望調査!D89</f>
        <v>0</v>
      </c>
      <c r="BD119" s="10" t="str">
        <f>'役職希望調査 ・備考'!D89&amp;""</f>
        <v/>
      </c>
      <c r="BE119" s="10" t="str">
        <f>'役職希望調査 ・備考'!E89&amp;""</f>
        <v/>
      </c>
      <c r="BF119" s="10" t="str">
        <f>'役職希望調査 ・備考'!F89&amp;""</f>
        <v/>
      </c>
      <c r="BG119" s="10" t="str">
        <f>'役職希望調査 ・備考'!G89&amp;""</f>
        <v/>
      </c>
      <c r="BH119" s="10" t="str">
        <f>'役職希望調査 ・備考'!H89&amp;""</f>
        <v/>
      </c>
      <c r="BI119" s="10">
        <f t="shared" si="77"/>
        <v>0</v>
      </c>
      <c r="BJ119" s="10">
        <f t="shared" si="78"/>
        <v>0</v>
      </c>
      <c r="BK119" s="10">
        <f t="shared" si="79"/>
        <v>0</v>
      </c>
      <c r="BL119" s="10">
        <f t="shared" si="80"/>
        <v>0</v>
      </c>
      <c r="BM119" s="10">
        <f t="shared" si="81"/>
        <v>0</v>
      </c>
      <c r="BN119" s="10">
        <f t="shared" si="82"/>
        <v>0</v>
      </c>
      <c r="BO119" s="10">
        <f t="shared" si="83"/>
        <v>48</v>
      </c>
      <c r="BP119" s="10">
        <f t="shared" si="84"/>
        <v>48</v>
      </c>
      <c r="BQ119" s="10">
        <f t="shared" si="85"/>
        <v>47</v>
      </c>
      <c r="BR119" s="10">
        <f t="shared" si="86"/>
        <v>46</v>
      </c>
      <c r="BS119" s="10">
        <f t="shared" si="87"/>
        <v>45</v>
      </c>
      <c r="BT119" s="10">
        <f t="shared" si="88"/>
        <v>44</v>
      </c>
      <c r="BU119" s="10">
        <f t="shared" si="89"/>
        <v>43</v>
      </c>
      <c r="BV119" s="10">
        <f t="shared" si="90"/>
        <v>42</v>
      </c>
      <c r="BW119" s="10">
        <f t="shared" si="91"/>
        <v>41</v>
      </c>
      <c r="BX119" s="10">
        <f t="shared" si="92"/>
        <v>40</v>
      </c>
      <c r="BY119" s="10">
        <f t="shared" si="93"/>
        <v>39</v>
      </c>
      <c r="BZ119" s="10">
        <f t="shared" si="94"/>
        <v>38</v>
      </c>
      <c r="CA119" s="10">
        <f t="shared" si="95"/>
        <v>37</v>
      </c>
      <c r="CB119" s="10">
        <f t="shared" si="96"/>
        <v>36</v>
      </c>
      <c r="CC119" s="10">
        <f t="shared" si="97"/>
        <v>35</v>
      </c>
      <c r="CD119" s="10">
        <f t="shared" si="98"/>
        <v>34</v>
      </c>
      <c r="CE119" s="10">
        <f t="shared" si="99"/>
        <v>33</v>
      </c>
      <c r="CF119" s="10">
        <f t="shared" si="100"/>
        <v>32</v>
      </c>
      <c r="CG119" s="10">
        <f t="shared" si="101"/>
        <v>31</v>
      </c>
      <c r="CH119" s="10">
        <f t="shared" si="102"/>
        <v>30</v>
      </c>
      <c r="CI119" s="10">
        <f t="shared" si="103"/>
        <v>29</v>
      </c>
      <c r="CJ119" s="10">
        <f t="shared" si="104"/>
        <v>28</v>
      </c>
      <c r="CK119" s="10">
        <f t="shared" si="105"/>
        <v>27</v>
      </c>
      <c r="CL119" s="10">
        <f t="shared" si="106"/>
        <v>26</v>
      </c>
      <c r="CM119" s="10" t="str">
        <f>'役職希望調査 ・備考'!I89&amp;""</f>
        <v/>
      </c>
    </row>
    <row r="120" spans="1:91">
      <c r="A120" s="10" t="str">
        <f>時間希望調査!A90&amp;""</f>
        <v/>
      </c>
      <c r="B120" s="10" t="str">
        <f>時間希望調査!B90&amp;""</f>
        <v/>
      </c>
      <c r="C120" s="10" t="str">
        <f>時間希望調査!C90&amp;""</f>
        <v/>
      </c>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0">
        <f t="shared" si="107"/>
        <v>0</v>
      </c>
      <c r="BC120" s="10">
        <f>時間希望調査!D90</f>
        <v>0</v>
      </c>
      <c r="BD120" s="10" t="str">
        <f>'役職希望調査 ・備考'!D90&amp;""</f>
        <v/>
      </c>
      <c r="BE120" s="10" t="str">
        <f>'役職希望調査 ・備考'!E90&amp;""</f>
        <v/>
      </c>
      <c r="BF120" s="10" t="str">
        <f>'役職希望調査 ・備考'!F90&amp;""</f>
        <v/>
      </c>
      <c r="BG120" s="10" t="str">
        <f>'役職希望調査 ・備考'!G90&amp;""</f>
        <v/>
      </c>
      <c r="BH120" s="10" t="str">
        <f>'役職希望調査 ・備考'!H90&amp;""</f>
        <v/>
      </c>
      <c r="BI120" s="10">
        <f t="shared" si="77"/>
        <v>0</v>
      </c>
      <c r="BJ120" s="10">
        <f t="shared" si="78"/>
        <v>0</v>
      </c>
      <c r="BK120" s="10">
        <f t="shared" si="79"/>
        <v>0</v>
      </c>
      <c r="BL120" s="10">
        <f t="shared" si="80"/>
        <v>0</v>
      </c>
      <c r="BM120" s="10">
        <f t="shared" si="81"/>
        <v>0</v>
      </c>
      <c r="BN120" s="10">
        <f t="shared" si="82"/>
        <v>0</v>
      </c>
      <c r="BO120" s="10">
        <f t="shared" si="83"/>
        <v>48</v>
      </c>
      <c r="BP120" s="10">
        <f t="shared" si="84"/>
        <v>48</v>
      </c>
      <c r="BQ120" s="10">
        <f t="shared" si="85"/>
        <v>47</v>
      </c>
      <c r="BR120" s="10">
        <f t="shared" si="86"/>
        <v>46</v>
      </c>
      <c r="BS120" s="10">
        <f t="shared" si="87"/>
        <v>45</v>
      </c>
      <c r="BT120" s="10">
        <f t="shared" si="88"/>
        <v>44</v>
      </c>
      <c r="BU120" s="10">
        <f t="shared" si="89"/>
        <v>43</v>
      </c>
      <c r="BV120" s="10">
        <f t="shared" si="90"/>
        <v>42</v>
      </c>
      <c r="BW120" s="10">
        <f t="shared" si="91"/>
        <v>41</v>
      </c>
      <c r="BX120" s="10">
        <f t="shared" si="92"/>
        <v>40</v>
      </c>
      <c r="BY120" s="10">
        <f t="shared" si="93"/>
        <v>39</v>
      </c>
      <c r="BZ120" s="10">
        <f t="shared" si="94"/>
        <v>38</v>
      </c>
      <c r="CA120" s="10">
        <f t="shared" si="95"/>
        <v>37</v>
      </c>
      <c r="CB120" s="10">
        <f t="shared" si="96"/>
        <v>36</v>
      </c>
      <c r="CC120" s="10">
        <f t="shared" si="97"/>
        <v>35</v>
      </c>
      <c r="CD120" s="10">
        <f t="shared" si="98"/>
        <v>34</v>
      </c>
      <c r="CE120" s="10">
        <f t="shared" si="99"/>
        <v>33</v>
      </c>
      <c r="CF120" s="10">
        <f t="shared" si="100"/>
        <v>32</v>
      </c>
      <c r="CG120" s="10">
        <f t="shared" si="101"/>
        <v>31</v>
      </c>
      <c r="CH120" s="10">
        <f t="shared" si="102"/>
        <v>30</v>
      </c>
      <c r="CI120" s="10">
        <f t="shared" si="103"/>
        <v>29</v>
      </c>
      <c r="CJ120" s="10">
        <f t="shared" si="104"/>
        <v>28</v>
      </c>
      <c r="CK120" s="10">
        <f t="shared" si="105"/>
        <v>27</v>
      </c>
      <c r="CL120" s="10">
        <f t="shared" si="106"/>
        <v>26</v>
      </c>
      <c r="CM120" s="10" t="str">
        <f>'役職希望調査 ・備考'!I90&amp;""</f>
        <v/>
      </c>
    </row>
    <row r="121" spans="1:91">
      <c r="A121" s="10" t="str">
        <f>時間希望調査!A91&amp;""</f>
        <v/>
      </c>
      <c r="B121" s="10" t="str">
        <f>時間希望調査!B91&amp;""</f>
        <v/>
      </c>
      <c r="C121" s="10" t="str">
        <f>時間希望調査!C91&amp;""</f>
        <v/>
      </c>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0">
        <f t="shared" si="107"/>
        <v>0</v>
      </c>
      <c r="BC121" s="10">
        <f>時間希望調査!D91</f>
        <v>0</v>
      </c>
      <c r="BD121" s="10" t="str">
        <f>'役職希望調査 ・備考'!D91&amp;""</f>
        <v/>
      </c>
      <c r="BE121" s="10" t="str">
        <f>'役職希望調査 ・備考'!E91&amp;""</f>
        <v/>
      </c>
      <c r="BF121" s="10" t="str">
        <f>'役職希望調査 ・備考'!F91&amp;""</f>
        <v/>
      </c>
      <c r="BG121" s="10" t="str">
        <f>'役職希望調査 ・備考'!G91&amp;""</f>
        <v/>
      </c>
      <c r="BH121" s="10" t="str">
        <f>'役職希望調査 ・備考'!H91&amp;""</f>
        <v/>
      </c>
      <c r="BI121" s="10">
        <f t="shared" si="77"/>
        <v>0</v>
      </c>
      <c r="BJ121" s="10">
        <f t="shared" si="78"/>
        <v>0</v>
      </c>
      <c r="BK121" s="10">
        <f t="shared" si="79"/>
        <v>0</v>
      </c>
      <c r="BL121" s="10">
        <f t="shared" si="80"/>
        <v>0</v>
      </c>
      <c r="BM121" s="10">
        <f t="shared" si="81"/>
        <v>0</v>
      </c>
      <c r="BN121" s="10">
        <f t="shared" si="82"/>
        <v>0</v>
      </c>
      <c r="BO121" s="10">
        <f t="shared" si="83"/>
        <v>48</v>
      </c>
      <c r="BP121" s="10">
        <f t="shared" si="84"/>
        <v>48</v>
      </c>
      <c r="BQ121" s="10">
        <f t="shared" si="85"/>
        <v>47</v>
      </c>
      <c r="BR121" s="10">
        <f t="shared" si="86"/>
        <v>46</v>
      </c>
      <c r="BS121" s="10">
        <f t="shared" si="87"/>
        <v>45</v>
      </c>
      <c r="BT121" s="10">
        <f t="shared" si="88"/>
        <v>44</v>
      </c>
      <c r="BU121" s="10">
        <f t="shared" si="89"/>
        <v>43</v>
      </c>
      <c r="BV121" s="10">
        <f t="shared" si="90"/>
        <v>42</v>
      </c>
      <c r="BW121" s="10">
        <f t="shared" si="91"/>
        <v>41</v>
      </c>
      <c r="BX121" s="10">
        <f t="shared" si="92"/>
        <v>40</v>
      </c>
      <c r="BY121" s="10">
        <f t="shared" si="93"/>
        <v>39</v>
      </c>
      <c r="BZ121" s="10">
        <f t="shared" si="94"/>
        <v>38</v>
      </c>
      <c r="CA121" s="10">
        <f t="shared" si="95"/>
        <v>37</v>
      </c>
      <c r="CB121" s="10">
        <f t="shared" si="96"/>
        <v>36</v>
      </c>
      <c r="CC121" s="10">
        <f t="shared" si="97"/>
        <v>35</v>
      </c>
      <c r="CD121" s="10">
        <f t="shared" si="98"/>
        <v>34</v>
      </c>
      <c r="CE121" s="10">
        <f t="shared" si="99"/>
        <v>33</v>
      </c>
      <c r="CF121" s="10">
        <f t="shared" si="100"/>
        <v>32</v>
      </c>
      <c r="CG121" s="10">
        <f t="shared" si="101"/>
        <v>31</v>
      </c>
      <c r="CH121" s="10">
        <f t="shared" si="102"/>
        <v>30</v>
      </c>
      <c r="CI121" s="10">
        <f t="shared" si="103"/>
        <v>29</v>
      </c>
      <c r="CJ121" s="10">
        <f t="shared" si="104"/>
        <v>28</v>
      </c>
      <c r="CK121" s="10">
        <f t="shared" si="105"/>
        <v>27</v>
      </c>
      <c r="CL121" s="10">
        <f t="shared" si="106"/>
        <v>26</v>
      </c>
      <c r="CM121" s="10" t="str">
        <f>'役職希望調査 ・備考'!I91&amp;""</f>
        <v/>
      </c>
    </row>
    <row r="122" spans="1:91">
      <c r="A122" s="10" t="str">
        <f>時間希望調査!A92&amp;""</f>
        <v/>
      </c>
      <c r="B122" s="10" t="str">
        <f>時間希望調査!B92&amp;""</f>
        <v/>
      </c>
      <c r="C122" s="10" t="str">
        <f>時間希望調査!C92&amp;""</f>
        <v/>
      </c>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0">
        <f t="shared" si="107"/>
        <v>0</v>
      </c>
      <c r="BC122" s="10">
        <f>時間希望調査!D92</f>
        <v>0</v>
      </c>
      <c r="BD122" s="10" t="str">
        <f>'役職希望調査 ・備考'!D92&amp;""</f>
        <v/>
      </c>
      <c r="BE122" s="10" t="str">
        <f>'役職希望調査 ・備考'!E92&amp;""</f>
        <v/>
      </c>
      <c r="BF122" s="10" t="str">
        <f>'役職希望調査 ・備考'!F92&amp;""</f>
        <v/>
      </c>
      <c r="BG122" s="10" t="str">
        <f>'役職希望調査 ・備考'!G92&amp;""</f>
        <v/>
      </c>
      <c r="BH122" s="10" t="str">
        <f>'役職希望調査 ・備考'!H92&amp;""</f>
        <v/>
      </c>
      <c r="BI122" s="10">
        <f t="shared" si="77"/>
        <v>0</v>
      </c>
      <c r="BJ122" s="10">
        <f t="shared" si="78"/>
        <v>0</v>
      </c>
      <c r="BK122" s="10">
        <f t="shared" si="79"/>
        <v>0</v>
      </c>
      <c r="BL122" s="10">
        <f t="shared" si="80"/>
        <v>0</v>
      </c>
      <c r="BM122" s="10">
        <f t="shared" si="81"/>
        <v>0</v>
      </c>
      <c r="BN122" s="10">
        <f t="shared" si="82"/>
        <v>0</v>
      </c>
      <c r="BO122" s="10">
        <f t="shared" si="83"/>
        <v>48</v>
      </c>
      <c r="BP122" s="10">
        <f t="shared" si="84"/>
        <v>48</v>
      </c>
      <c r="BQ122" s="10">
        <f t="shared" si="85"/>
        <v>47</v>
      </c>
      <c r="BR122" s="10">
        <f t="shared" si="86"/>
        <v>46</v>
      </c>
      <c r="BS122" s="10">
        <f t="shared" si="87"/>
        <v>45</v>
      </c>
      <c r="BT122" s="10">
        <f t="shared" si="88"/>
        <v>44</v>
      </c>
      <c r="BU122" s="10">
        <f t="shared" si="89"/>
        <v>43</v>
      </c>
      <c r="BV122" s="10">
        <f t="shared" si="90"/>
        <v>42</v>
      </c>
      <c r="BW122" s="10">
        <f t="shared" si="91"/>
        <v>41</v>
      </c>
      <c r="BX122" s="10">
        <f t="shared" si="92"/>
        <v>40</v>
      </c>
      <c r="BY122" s="10">
        <f t="shared" si="93"/>
        <v>39</v>
      </c>
      <c r="BZ122" s="10">
        <f t="shared" si="94"/>
        <v>38</v>
      </c>
      <c r="CA122" s="10">
        <f t="shared" si="95"/>
        <v>37</v>
      </c>
      <c r="CB122" s="10">
        <f t="shared" si="96"/>
        <v>36</v>
      </c>
      <c r="CC122" s="10">
        <f t="shared" si="97"/>
        <v>35</v>
      </c>
      <c r="CD122" s="10">
        <f t="shared" si="98"/>
        <v>34</v>
      </c>
      <c r="CE122" s="10">
        <f t="shared" si="99"/>
        <v>33</v>
      </c>
      <c r="CF122" s="10">
        <f t="shared" si="100"/>
        <v>32</v>
      </c>
      <c r="CG122" s="10">
        <f t="shared" si="101"/>
        <v>31</v>
      </c>
      <c r="CH122" s="10">
        <f t="shared" si="102"/>
        <v>30</v>
      </c>
      <c r="CI122" s="10">
        <f t="shared" si="103"/>
        <v>29</v>
      </c>
      <c r="CJ122" s="10">
        <f t="shared" si="104"/>
        <v>28</v>
      </c>
      <c r="CK122" s="10">
        <f t="shared" si="105"/>
        <v>27</v>
      </c>
      <c r="CL122" s="10">
        <f t="shared" si="106"/>
        <v>26</v>
      </c>
      <c r="CM122" s="10" t="str">
        <f>'役職希望調査 ・備考'!I92&amp;""</f>
        <v/>
      </c>
    </row>
    <row r="123" spans="1:91">
      <c r="A123" s="10" t="str">
        <f>時間希望調査!A93&amp;""</f>
        <v/>
      </c>
      <c r="B123" s="10" t="str">
        <f>時間希望調査!B93&amp;""</f>
        <v/>
      </c>
      <c r="C123" s="10" t="str">
        <f>時間希望調査!C93&amp;""</f>
        <v/>
      </c>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0">
        <f t="shared" si="107"/>
        <v>0</v>
      </c>
      <c r="BC123" s="10">
        <f>時間希望調査!D93</f>
        <v>0</v>
      </c>
      <c r="BD123" s="10" t="str">
        <f>'役職希望調査 ・備考'!D93&amp;""</f>
        <v/>
      </c>
      <c r="BE123" s="10" t="str">
        <f>'役職希望調査 ・備考'!E93&amp;""</f>
        <v/>
      </c>
      <c r="BF123" s="10" t="str">
        <f>'役職希望調査 ・備考'!F93&amp;""</f>
        <v/>
      </c>
      <c r="BG123" s="10" t="str">
        <f>'役職希望調査 ・備考'!G93&amp;""</f>
        <v/>
      </c>
      <c r="BH123" s="10" t="str">
        <f>'役職希望調査 ・備考'!H93&amp;""</f>
        <v/>
      </c>
      <c r="BI123" s="10">
        <f t="shared" si="77"/>
        <v>0</v>
      </c>
      <c r="BJ123" s="10">
        <f t="shared" si="78"/>
        <v>0</v>
      </c>
      <c r="BK123" s="10">
        <f t="shared" si="79"/>
        <v>0</v>
      </c>
      <c r="BL123" s="10">
        <f t="shared" si="80"/>
        <v>0</v>
      </c>
      <c r="BM123" s="10">
        <f t="shared" si="81"/>
        <v>0</v>
      </c>
      <c r="BN123" s="10">
        <f t="shared" si="82"/>
        <v>0</v>
      </c>
      <c r="BO123" s="10">
        <f t="shared" si="83"/>
        <v>48</v>
      </c>
      <c r="BP123" s="10">
        <f t="shared" si="84"/>
        <v>48</v>
      </c>
      <c r="BQ123" s="10">
        <f t="shared" si="85"/>
        <v>47</v>
      </c>
      <c r="BR123" s="10">
        <f t="shared" si="86"/>
        <v>46</v>
      </c>
      <c r="BS123" s="10">
        <f t="shared" si="87"/>
        <v>45</v>
      </c>
      <c r="BT123" s="10">
        <f t="shared" si="88"/>
        <v>44</v>
      </c>
      <c r="BU123" s="10">
        <f t="shared" si="89"/>
        <v>43</v>
      </c>
      <c r="BV123" s="10">
        <f t="shared" si="90"/>
        <v>42</v>
      </c>
      <c r="BW123" s="10">
        <f t="shared" si="91"/>
        <v>41</v>
      </c>
      <c r="BX123" s="10">
        <f t="shared" si="92"/>
        <v>40</v>
      </c>
      <c r="BY123" s="10">
        <f t="shared" si="93"/>
        <v>39</v>
      </c>
      <c r="BZ123" s="10">
        <f t="shared" si="94"/>
        <v>38</v>
      </c>
      <c r="CA123" s="10">
        <f t="shared" si="95"/>
        <v>37</v>
      </c>
      <c r="CB123" s="10">
        <f t="shared" si="96"/>
        <v>36</v>
      </c>
      <c r="CC123" s="10">
        <f t="shared" si="97"/>
        <v>35</v>
      </c>
      <c r="CD123" s="10">
        <f t="shared" si="98"/>
        <v>34</v>
      </c>
      <c r="CE123" s="10">
        <f t="shared" si="99"/>
        <v>33</v>
      </c>
      <c r="CF123" s="10">
        <f t="shared" si="100"/>
        <v>32</v>
      </c>
      <c r="CG123" s="10">
        <f t="shared" si="101"/>
        <v>31</v>
      </c>
      <c r="CH123" s="10">
        <f t="shared" si="102"/>
        <v>30</v>
      </c>
      <c r="CI123" s="10">
        <f t="shared" si="103"/>
        <v>29</v>
      </c>
      <c r="CJ123" s="10">
        <f t="shared" si="104"/>
        <v>28</v>
      </c>
      <c r="CK123" s="10">
        <f t="shared" si="105"/>
        <v>27</v>
      </c>
      <c r="CL123" s="10">
        <f t="shared" si="106"/>
        <v>26</v>
      </c>
      <c r="CM123" s="10" t="str">
        <f>'役職希望調査 ・備考'!I93&amp;""</f>
        <v/>
      </c>
    </row>
    <row r="124" spans="1:91">
      <c r="A124" s="10" t="str">
        <f>時間希望調査!A94&amp;""</f>
        <v/>
      </c>
      <c r="B124" s="10" t="str">
        <f>時間希望調査!B94&amp;""</f>
        <v/>
      </c>
      <c r="C124" s="10" t="str">
        <f>時間希望調査!C94&amp;""</f>
        <v/>
      </c>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0">
        <f t="shared" si="107"/>
        <v>0</v>
      </c>
      <c r="BC124" s="10">
        <f>時間希望調査!D94</f>
        <v>0</v>
      </c>
      <c r="BD124" s="10" t="str">
        <f>'役職希望調査 ・備考'!D94&amp;""</f>
        <v/>
      </c>
      <c r="BE124" s="10" t="str">
        <f>'役職希望調査 ・備考'!E94&amp;""</f>
        <v/>
      </c>
      <c r="BF124" s="10" t="str">
        <f>'役職希望調査 ・備考'!F94&amp;""</f>
        <v/>
      </c>
      <c r="BG124" s="10" t="str">
        <f>'役職希望調査 ・備考'!G94&amp;""</f>
        <v/>
      </c>
      <c r="BH124" s="10" t="str">
        <f>'役職希望調査 ・備考'!H94&amp;""</f>
        <v/>
      </c>
      <c r="BI124" s="10">
        <f t="shared" si="77"/>
        <v>0</v>
      </c>
      <c r="BJ124" s="10">
        <f t="shared" si="78"/>
        <v>0</v>
      </c>
      <c r="BK124" s="10">
        <f t="shared" si="79"/>
        <v>0</v>
      </c>
      <c r="BL124" s="10">
        <f t="shared" si="80"/>
        <v>0</v>
      </c>
      <c r="BM124" s="10">
        <f t="shared" si="81"/>
        <v>0</v>
      </c>
      <c r="BN124" s="10">
        <f t="shared" si="82"/>
        <v>0</v>
      </c>
      <c r="BO124" s="10">
        <f t="shared" si="83"/>
        <v>48</v>
      </c>
      <c r="BP124" s="10">
        <f t="shared" si="84"/>
        <v>48</v>
      </c>
      <c r="BQ124" s="10">
        <f t="shared" si="85"/>
        <v>47</v>
      </c>
      <c r="BR124" s="10">
        <f t="shared" si="86"/>
        <v>46</v>
      </c>
      <c r="BS124" s="10">
        <f t="shared" si="87"/>
        <v>45</v>
      </c>
      <c r="BT124" s="10">
        <f t="shared" si="88"/>
        <v>44</v>
      </c>
      <c r="BU124" s="10">
        <f t="shared" si="89"/>
        <v>43</v>
      </c>
      <c r="BV124" s="10">
        <f t="shared" si="90"/>
        <v>42</v>
      </c>
      <c r="BW124" s="10">
        <f t="shared" si="91"/>
        <v>41</v>
      </c>
      <c r="BX124" s="10">
        <f t="shared" si="92"/>
        <v>40</v>
      </c>
      <c r="BY124" s="10">
        <f t="shared" si="93"/>
        <v>39</v>
      </c>
      <c r="BZ124" s="10">
        <f t="shared" si="94"/>
        <v>38</v>
      </c>
      <c r="CA124" s="10">
        <f t="shared" si="95"/>
        <v>37</v>
      </c>
      <c r="CB124" s="10">
        <f t="shared" si="96"/>
        <v>36</v>
      </c>
      <c r="CC124" s="10">
        <f t="shared" si="97"/>
        <v>35</v>
      </c>
      <c r="CD124" s="10">
        <f t="shared" si="98"/>
        <v>34</v>
      </c>
      <c r="CE124" s="10">
        <f t="shared" si="99"/>
        <v>33</v>
      </c>
      <c r="CF124" s="10">
        <f t="shared" si="100"/>
        <v>32</v>
      </c>
      <c r="CG124" s="10">
        <f t="shared" si="101"/>
        <v>31</v>
      </c>
      <c r="CH124" s="10">
        <f t="shared" si="102"/>
        <v>30</v>
      </c>
      <c r="CI124" s="10">
        <f t="shared" si="103"/>
        <v>29</v>
      </c>
      <c r="CJ124" s="10">
        <f t="shared" si="104"/>
        <v>28</v>
      </c>
      <c r="CK124" s="10">
        <f t="shared" si="105"/>
        <v>27</v>
      </c>
      <c r="CL124" s="10">
        <f t="shared" si="106"/>
        <v>26</v>
      </c>
      <c r="CM124" s="10" t="str">
        <f>'役職希望調査 ・備考'!I94&amp;""</f>
        <v/>
      </c>
    </row>
    <row r="125" spans="1:91">
      <c r="A125" s="10" t="str">
        <f>時間希望調査!A95&amp;""</f>
        <v/>
      </c>
      <c r="B125" s="10" t="str">
        <f>時間希望調査!B95&amp;""</f>
        <v/>
      </c>
      <c r="C125" s="10" t="str">
        <f>時間希望調査!C95&amp;""</f>
        <v/>
      </c>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0">
        <f t="shared" si="107"/>
        <v>0</v>
      </c>
      <c r="BC125" s="10">
        <f>時間希望調査!D95</f>
        <v>0</v>
      </c>
      <c r="BD125" s="10" t="str">
        <f>'役職希望調査 ・備考'!D95&amp;""</f>
        <v/>
      </c>
      <c r="BE125" s="10" t="str">
        <f>'役職希望調査 ・備考'!E95&amp;""</f>
        <v/>
      </c>
      <c r="BF125" s="10" t="str">
        <f>'役職希望調査 ・備考'!F95&amp;""</f>
        <v/>
      </c>
      <c r="BG125" s="10" t="str">
        <f>'役職希望調査 ・備考'!G95&amp;""</f>
        <v/>
      </c>
      <c r="BH125" s="10" t="str">
        <f>'役職希望調査 ・備考'!H95&amp;""</f>
        <v/>
      </c>
      <c r="BI125" s="10">
        <f t="shared" si="77"/>
        <v>0</v>
      </c>
      <c r="BJ125" s="10">
        <f t="shared" si="78"/>
        <v>0</v>
      </c>
      <c r="BK125" s="10">
        <f t="shared" si="79"/>
        <v>0</v>
      </c>
      <c r="BL125" s="10">
        <f t="shared" si="80"/>
        <v>0</v>
      </c>
      <c r="BM125" s="10">
        <f t="shared" si="81"/>
        <v>0</v>
      </c>
      <c r="BN125" s="10">
        <f t="shared" si="82"/>
        <v>0</v>
      </c>
      <c r="BO125" s="10">
        <f t="shared" si="83"/>
        <v>48</v>
      </c>
      <c r="BP125" s="10">
        <f t="shared" si="84"/>
        <v>48</v>
      </c>
      <c r="BQ125" s="10">
        <f t="shared" si="85"/>
        <v>47</v>
      </c>
      <c r="BR125" s="10">
        <f t="shared" si="86"/>
        <v>46</v>
      </c>
      <c r="BS125" s="10">
        <f t="shared" si="87"/>
        <v>45</v>
      </c>
      <c r="BT125" s="10">
        <f t="shared" si="88"/>
        <v>44</v>
      </c>
      <c r="BU125" s="10">
        <f t="shared" si="89"/>
        <v>43</v>
      </c>
      <c r="BV125" s="10">
        <f t="shared" si="90"/>
        <v>42</v>
      </c>
      <c r="BW125" s="10">
        <f t="shared" si="91"/>
        <v>41</v>
      </c>
      <c r="BX125" s="10">
        <f t="shared" si="92"/>
        <v>40</v>
      </c>
      <c r="BY125" s="10">
        <f t="shared" si="93"/>
        <v>39</v>
      </c>
      <c r="BZ125" s="10">
        <f t="shared" si="94"/>
        <v>38</v>
      </c>
      <c r="CA125" s="10">
        <f t="shared" si="95"/>
        <v>37</v>
      </c>
      <c r="CB125" s="10">
        <f t="shared" si="96"/>
        <v>36</v>
      </c>
      <c r="CC125" s="10">
        <f t="shared" si="97"/>
        <v>35</v>
      </c>
      <c r="CD125" s="10">
        <f t="shared" si="98"/>
        <v>34</v>
      </c>
      <c r="CE125" s="10">
        <f t="shared" si="99"/>
        <v>33</v>
      </c>
      <c r="CF125" s="10">
        <f t="shared" si="100"/>
        <v>32</v>
      </c>
      <c r="CG125" s="10">
        <f t="shared" si="101"/>
        <v>31</v>
      </c>
      <c r="CH125" s="10">
        <f t="shared" si="102"/>
        <v>30</v>
      </c>
      <c r="CI125" s="10">
        <f t="shared" si="103"/>
        <v>29</v>
      </c>
      <c r="CJ125" s="10">
        <f t="shared" si="104"/>
        <v>28</v>
      </c>
      <c r="CK125" s="10">
        <f t="shared" si="105"/>
        <v>27</v>
      </c>
      <c r="CL125" s="10">
        <f t="shared" si="106"/>
        <v>26</v>
      </c>
      <c r="CM125" s="10" t="str">
        <f>'役職希望調査 ・備考'!I95&amp;""</f>
        <v/>
      </c>
    </row>
    <row r="126" spans="1:91">
      <c r="A126" s="10" t="str">
        <f>時間希望調査!A96&amp;""</f>
        <v/>
      </c>
      <c r="B126" s="10" t="str">
        <f>時間希望調査!B96&amp;""</f>
        <v/>
      </c>
      <c r="C126" s="10" t="str">
        <f>時間希望調査!C96&amp;""</f>
        <v/>
      </c>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0">
        <f t="shared" si="107"/>
        <v>0</v>
      </c>
      <c r="BC126" s="10">
        <f>時間希望調査!D96</f>
        <v>0</v>
      </c>
      <c r="BD126" s="10" t="str">
        <f>'役職希望調査 ・備考'!D96&amp;""</f>
        <v/>
      </c>
      <c r="BE126" s="10" t="str">
        <f>'役職希望調査 ・備考'!E96&amp;""</f>
        <v/>
      </c>
      <c r="BF126" s="10" t="str">
        <f>'役職希望調査 ・備考'!F96&amp;""</f>
        <v/>
      </c>
      <c r="BG126" s="10" t="str">
        <f>'役職希望調査 ・備考'!G96&amp;""</f>
        <v/>
      </c>
      <c r="BH126" s="10" t="str">
        <f>'役職希望調査 ・備考'!H96&amp;""</f>
        <v/>
      </c>
      <c r="BI126" s="10">
        <f t="shared" si="77"/>
        <v>0</v>
      </c>
      <c r="BJ126" s="10">
        <f t="shared" si="78"/>
        <v>0</v>
      </c>
      <c r="BK126" s="10">
        <f t="shared" si="79"/>
        <v>0</v>
      </c>
      <c r="BL126" s="10">
        <f t="shared" si="80"/>
        <v>0</v>
      </c>
      <c r="BM126" s="10">
        <f t="shared" si="81"/>
        <v>0</v>
      </c>
      <c r="BN126" s="10">
        <f t="shared" si="82"/>
        <v>0</v>
      </c>
      <c r="BO126" s="10">
        <f t="shared" si="83"/>
        <v>48</v>
      </c>
      <c r="BP126" s="10">
        <f t="shared" si="84"/>
        <v>48</v>
      </c>
      <c r="BQ126" s="10">
        <f t="shared" si="85"/>
        <v>47</v>
      </c>
      <c r="BR126" s="10">
        <f t="shared" si="86"/>
        <v>46</v>
      </c>
      <c r="BS126" s="10">
        <f t="shared" si="87"/>
        <v>45</v>
      </c>
      <c r="BT126" s="10">
        <f t="shared" si="88"/>
        <v>44</v>
      </c>
      <c r="BU126" s="10">
        <f t="shared" si="89"/>
        <v>43</v>
      </c>
      <c r="BV126" s="10">
        <f t="shared" si="90"/>
        <v>42</v>
      </c>
      <c r="BW126" s="10">
        <f t="shared" si="91"/>
        <v>41</v>
      </c>
      <c r="BX126" s="10">
        <f t="shared" si="92"/>
        <v>40</v>
      </c>
      <c r="BY126" s="10">
        <f t="shared" si="93"/>
        <v>39</v>
      </c>
      <c r="BZ126" s="10">
        <f t="shared" si="94"/>
        <v>38</v>
      </c>
      <c r="CA126" s="10">
        <f t="shared" si="95"/>
        <v>37</v>
      </c>
      <c r="CB126" s="10">
        <f t="shared" si="96"/>
        <v>36</v>
      </c>
      <c r="CC126" s="10">
        <f t="shared" si="97"/>
        <v>35</v>
      </c>
      <c r="CD126" s="10">
        <f t="shared" si="98"/>
        <v>34</v>
      </c>
      <c r="CE126" s="10">
        <f t="shared" si="99"/>
        <v>33</v>
      </c>
      <c r="CF126" s="10">
        <f t="shared" si="100"/>
        <v>32</v>
      </c>
      <c r="CG126" s="10">
        <f t="shared" si="101"/>
        <v>31</v>
      </c>
      <c r="CH126" s="10">
        <f t="shared" si="102"/>
        <v>30</v>
      </c>
      <c r="CI126" s="10">
        <f t="shared" si="103"/>
        <v>29</v>
      </c>
      <c r="CJ126" s="10">
        <f t="shared" si="104"/>
        <v>28</v>
      </c>
      <c r="CK126" s="10">
        <f t="shared" si="105"/>
        <v>27</v>
      </c>
      <c r="CL126" s="10">
        <f t="shared" si="106"/>
        <v>26</v>
      </c>
      <c r="CM126" s="10" t="str">
        <f>'役職希望調査 ・備考'!I96&amp;""</f>
        <v/>
      </c>
    </row>
    <row r="127" spans="1:91">
      <c r="A127" s="10" t="str">
        <f>時間希望調査!A97&amp;""</f>
        <v/>
      </c>
      <c r="B127" s="10" t="str">
        <f>時間希望調査!B97&amp;""</f>
        <v/>
      </c>
      <c r="C127" s="10" t="str">
        <f>時間希望調査!C97&amp;""</f>
        <v/>
      </c>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0">
        <f t="shared" si="107"/>
        <v>0</v>
      </c>
      <c r="BC127" s="10">
        <f>時間希望調査!D97</f>
        <v>0</v>
      </c>
      <c r="BD127" s="10" t="str">
        <f>'役職希望調査 ・備考'!D97&amp;""</f>
        <v/>
      </c>
      <c r="BE127" s="10" t="str">
        <f>'役職希望調査 ・備考'!E97&amp;""</f>
        <v/>
      </c>
      <c r="BF127" s="10" t="str">
        <f>'役職希望調査 ・備考'!F97&amp;""</f>
        <v/>
      </c>
      <c r="BG127" s="10" t="str">
        <f>'役職希望調査 ・備考'!G97&amp;""</f>
        <v/>
      </c>
      <c r="BH127" s="10" t="str">
        <f>'役職希望調査 ・備考'!H97&amp;""</f>
        <v/>
      </c>
      <c r="BI127" s="10">
        <f t="shared" si="77"/>
        <v>0</v>
      </c>
      <c r="BJ127" s="10">
        <f t="shared" si="78"/>
        <v>0</v>
      </c>
      <c r="BK127" s="10">
        <f t="shared" si="79"/>
        <v>0</v>
      </c>
      <c r="BL127" s="10">
        <f t="shared" si="80"/>
        <v>0</v>
      </c>
      <c r="BM127" s="10">
        <f t="shared" si="81"/>
        <v>0</v>
      </c>
      <c r="BN127" s="10">
        <f t="shared" si="82"/>
        <v>0</v>
      </c>
      <c r="BO127" s="10">
        <f t="shared" si="83"/>
        <v>48</v>
      </c>
      <c r="BP127" s="10">
        <f t="shared" si="84"/>
        <v>48</v>
      </c>
      <c r="BQ127" s="10">
        <f t="shared" si="85"/>
        <v>47</v>
      </c>
      <c r="BR127" s="10">
        <f t="shared" si="86"/>
        <v>46</v>
      </c>
      <c r="BS127" s="10">
        <f t="shared" si="87"/>
        <v>45</v>
      </c>
      <c r="BT127" s="10">
        <f t="shared" si="88"/>
        <v>44</v>
      </c>
      <c r="BU127" s="10">
        <f t="shared" si="89"/>
        <v>43</v>
      </c>
      <c r="BV127" s="10">
        <f t="shared" si="90"/>
        <v>42</v>
      </c>
      <c r="BW127" s="10">
        <f t="shared" si="91"/>
        <v>41</v>
      </c>
      <c r="BX127" s="10">
        <f t="shared" si="92"/>
        <v>40</v>
      </c>
      <c r="BY127" s="10">
        <f t="shared" si="93"/>
        <v>39</v>
      </c>
      <c r="BZ127" s="10">
        <f t="shared" si="94"/>
        <v>38</v>
      </c>
      <c r="CA127" s="10">
        <f t="shared" si="95"/>
        <v>37</v>
      </c>
      <c r="CB127" s="10">
        <f t="shared" si="96"/>
        <v>36</v>
      </c>
      <c r="CC127" s="10">
        <f t="shared" si="97"/>
        <v>35</v>
      </c>
      <c r="CD127" s="10">
        <f t="shared" si="98"/>
        <v>34</v>
      </c>
      <c r="CE127" s="10">
        <f t="shared" si="99"/>
        <v>33</v>
      </c>
      <c r="CF127" s="10">
        <f t="shared" si="100"/>
        <v>32</v>
      </c>
      <c r="CG127" s="10">
        <f t="shared" si="101"/>
        <v>31</v>
      </c>
      <c r="CH127" s="10">
        <f t="shared" si="102"/>
        <v>30</v>
      </c>
      <c r="CI127" s="10">
        <f t="shared" si="103"/>
        <v>29</v>
      </c>
      <c r="CJ127" s="10">
        <f t="shared" si="104"/>
        <v>28</v>
      </c>
      <c r="CK127" s="10">
        <f t="shared" si="105"/>
        <v>27</v>
      </c>
      <c r="CL127" s="10">
        <f t="shared" si="106"/>
        <v>26</v>
      </c>
      <c r="CM127" s="10" t="str">
        <f>'役職希望調査 ・備考'!I97&amp;""</f>
        <v/>
      </c>
    </row>
    <row r="128" spans="1:91">
      <c r="A128" s="10" t="str">
        <f>時間希望調査!A98&amp;""</f>
        <v/>
      </c>
      <c r="B128" s="10" t="str">
        <f>時間希望調査!B98&amp;""</f>
        <v/>
      </c>
      <c r="C128" s="10" t="str">
        <f>時間希望調査!C98&amp;""</f>
        <v/>
      </c>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0">
        <f t="shared" si="107"/>
        <v>0</v>
      </c>
      <c r="BC128" s="10">
        <f>時間希望調査!D98</f>
        <v>0</v>
      </c>
      <c r="BD128" s="10" t="str">
        <f>'役職希望調査 ・備考'!D98&amp;""</f>
        <v/>
      </c>
      <c r="BE128" s="10" t="str">
        <f>'役職希望調査 ・備考'!E98&amp;""</f>
        <v/>
      </c>
      <c r="BF128" s="10" t="str">
        <f>'役職希望調査 ・備考'!F98&amp;""</f>
        <v/>
      </c>
      <c r="BG128" s="10" t="str">
        <f>'役職希望調査 ・備考'!G98&amp;""</f>
        <v/>
      </c>
      <c r="BH128" s="10" t="str">
        <f>'役職希望調査 ・備考'!H98&amp;""</f>
        <v/>
      </c>
      <c r="BI128" s="10">
        <f t="shared" ref="BI128:BI159" si="108">COUNTIF(D128:BA128,BI$1)</f>
        <v>0</v>
      </c>
      <c r="BJ128" s="10">
        <f t="shared" ref="BJ128:BJ159" si="109">COUNTIF(E128:BB128,BJ$1)</f>
        <v>0</v>
      </c>
      <c r="BK128" s="10">
        <f t="shared" ref="BK128:BK159" si="110">COUNTIF(F128:BC128,BK$1)</f>
        <v>0</v>
      </c>
      <c r="BL128" s="10">
        <f t="shared" ref="BL128:BL159" si="111">COUNTIF(G128:BD128,BL$1)</f>
        <v>0</v>
      </c>
      <c r="BM128" s="10">
        <f t="shared" ref="BM128:BM159" si="112">COUNTIF(H128:BE128,BM$1)</f>
        <v>0</v>
      </c>
      <c r="BN128" s="10">
        <f t="shared" ref="BN128:BN159" si="113">COUNTIF(I128:BF128,BN$1)</f>
        <v>0</v>
      </c>
      <c r="BO128" s="10">
        <f t="shared" ref="BO128:BO159" si="114">COUNTIF(J128:BG128,BO$1)</f>
        <v>48</v>
      </c>
      <c r="BP128" s="10">
        <f t="shared" ref="BP128:BP159" si="115">COUNTIF(K128:BH128,BP$1)</f>
        <v>48</v>
      </c>
      <c r="BQ128" s="10">
        <f t="shared" ref="BQ128:BQ159" si="116">COUNTIF(L128:BI128,BQ$1)</f>
        <v>47</v>
      </c>
      <c r="BR128" s="10">
        <f t="shared" ref="BR128:BR159" si="117">COUNTIF(M128:BJ128,BR$1)</f>
        <v>46</v>
      </c>
      <c r="BS128" s="10">
        <f t="shared" ref="BS128:BS159" si="118">COUNTIF(N128:BK128,BS$1)</f>
        <v>45</v>
      </c>
      <c r="BT128" s="10">
        <f t="shared" ref="BT128:BT159" si="119">COUNTIF(O128:BL128,BT$1)</f>
        <v>44</v>
      </c>
      <c r="BU128" s="10">
        <f t="shared" ref="BU128:BU159" si="120">COUNTIF(P128:BM128,BU$1)</f>
        <v>43</v>
      </c>
      <c r="BV128" s="10">
        <f t="shared" ref="BV128:BV159" si="121">COUNTIF(Q128:BN128,BV$1)</f>
        <v>42</v>
      </c>
      <c r="BW128" s="10">
        <f t="shared" ref="BW128:BW159" si="122">COUNTIF(R128:BO128,BW$1)</f>
        <v>41</v>
      </c>
      <c r="BX128" s="10">
        <f t="shared" ref="BX128:BX159" si="123">COUNTIF(S128:BP128,BX$1)</f>
        <v>40</v>
      </c>
      <c r="BY128" s="10">
        <f t="shared" ref="BY128:BY159" si="124">COUNTIF(T128:BQ128,BY$1)</f>
        <v>39</v>
      </c>
      <c r="BZ128" s="10">
        <f t="shared" ref="BZ128:BZ159" si="125">COUNTIF(U128:BR128,BZ$1)</f>
        <v>38</v>
      </c>
      <c r="CA128" s="10">
        <f t="shared" ref="CA128:CA159" si="126">COUNTIF(V128:BS128,CA$1)</f>
        <v>37</v>
      </c>
      <c r="CB128" s="10">
        <f t="shared" ref="CB128:CB159" si="127">COUNTIF(W128:BT128,CB$1)</f>
        <v>36</v>
      </c>
      <c r="CC128" s="10">
        <f t="shared" ref="CC128:CC159" si="128">COUNTIF(X128:BU128,CC$1)</f>
        <v>35</v>
      </c>
      <c r="CD128" s="10">
        <f t="shared" ref="CD128:CD159" si="129">COUNTIF(Y128:BV128,CD$1)</f>
        <v>34</v>
      </c>
      <c r="CE128" s="10">
        <f t="shared" ref="CE128:CE159" si="130">COUNTIF(Z128:BW128,CE$1)</f>
        <v>33</v>
      </c>
      <c r="CF128" s="10">
        <f t="shared" ref="CF128:CF159" si="131">COUNTIF(AA128:BX128,CF$1)</f>
        <v>32</v>
      </c>
      <c r="CG128" s="10">
        <f t="shared" ref="CG128:CG159" si="132">COUNTIF(AB128:BY128,CG$1)</f>
        <v>31</v>
      </c>
      <c r="CH128" s="10">
        <f t="shared" ref="CH128:CH159" si="133">COUNTIF(AC128:BZ128,CH$1)</f>
        <v>30</v>
      </c>
      <c r="CI128" s="10">
        <f t="shared" ref="CI128:CI159" si="134">COUNTIF(AD128:CA128,CI$1)</f>
        <v>29</v>
      </c>
      <c r="CJ128" s="10">
        <f t="shared" ref="CJ128:CJ159" si="135">COUNTIF(AE128:CB128,CJ$1)</f>
        <v>28</v>
      </c>
      <c r="CK128" s="10">
        <f t="shared" ref="CK128:CK159" si="136">COUNTIF(AF128:CC128,CK$1)</f>
        <v>27</v>
      </c>
      <c r="CL128" s="10">
        <f t="shared" ref="CL128:CL159" si="137">COUNTIF(AG128:CD128,CL$1)</f>
        <v>26</v>
      </c>
      <c r="CM128" s="10" t="str">
        <f>'役職希望調査 ・備考'!I98&amp;""</f>
        <v/>
      </c>
    </row>
    <row r="129" spans="1:91">
      <c r="A129" s="10" t="str">
        <f>時間希望調査!A99&amp;""</f>
        <v/>
      </c>
      <c r="B129" s="10" t="str">
        <f>時間希望調査!B99&amp;""</f>
        <v/>
      </c>
      <c r="C129" s="10" t="str">
        <f>時間希望調査!C99&amp;""</f>
        <v/>
      </c>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0">
        <f t="shared" si="107"/>
        <v>0</v>
      </c>
      <c r="BC129" s="10">
        <f>時間希望調査!D99</f>
        <v>0</v>
      </c>
      <c r="BD129" s="10" t="str">
        <f>'役職希望調査 ・備考'!D99&amp;""</f>
        <v/>
      </c>
      <c r="BE129" s="10" t="str">
        <f>'役職希望調査 ・備考'!E99&amp;""</f>
        <v/>
      </c>
      <c r="BF129" s="10" t="str">
        <f>'役職希望調査 ・備考'!F99&amp;""</f>
        <v/>
      </c>
      <c r="BG129" s="10" t="str">
        <f>'役職希望調査 ・備考'!G99&amp;""</f>
        <v/>
      </c>
      <c r="BH129" s="10" t="str">
        <f>'役職希望調査 ・備考'!H99&amp;""</f>
        <v/>
      </c>
      <c r="BI129" s="10">
        <f t="shared" si="108"/>
        <v>0</v>
      </c>
      <c r="BJ129" s="10">
        <f t="shared" si="109"/>
        <v>0</v>
      </c>
      <c r="BK129" s="10">
        <f t="shared" si="110"/>
        <v>0</v>
      </c>
      <c r="BL129" s="10">
        <f t="shared" si="111"/>
        <v>0</v>
      </c>
      <c r="BM129" s="10">
        <f t="shared" si="112"/>
        <v>0</v>
      </c>
      <c r="BN129" s="10">
        <f t="shared" si="113"/>
        <v>0</v>
      </c>
      <c r="BO129" s="10">
        <f t="shared" si="114"/>
        <v>48</v>
      </c>
      <c r="BP129" s="10">
        <f t="shared" si="115"/>
        <v>48</v>
      </c>
      <c r="BQ129" s="10">
        <f t="shared" si="116"/>
        <v>47</v>
      </c>
      <c r="BR129" s="10">
        <f t="shared" si="117"/>
        <v>46</v>
      </c>
      <c r="BS129" s="10">
        <f t="shared" si="118"/>
        <v>45</v>
      </c>
      <c r="BT129" s="10">
        <f t="shared" si="119"/>
        <v>44</v>
      </c>
      <c r="BU129" s="10">
        <f t="shared" si="120"/>
        <v>43</v>
      </c>
      <c r="BV129" s="10">
        <f t="shared" si="121"/>
        <v>42</v>
      </c>
      <c r="BW129" s="10">
        <f t="shared" si="122"/>
        <v>41</v>
      </c>
      <c r="BX129" s="10">
        <f t="shared" si="123"/>
        <v>40</v>
      </c>
      <c r="BY129" s="10">
        <f t="shared" si="124"/>
        <v>39</v>
      </c>
      <c r="BZ129" s="10">
        <f t="shared" si="125"/>
        <v>38</v>
      </c>
      <c r="CA129" s="10">
        <f t="shared" si="126"/>
        <v>37</v>
      </c>
      <c r="CB129" s="10">
        <f t="shared" si="127"/>
        <v>36</v>
      </c>
      <c r="CC129" s="10">
        <f t="shared" si="128"/>
        <v>35</v>
      </c>
      <c r="CD129" s="10">
        <f t="shared" si="129"/>
        <v>34</v>
      </c>
      <c r="CE129" s="10">
        <f t="shared" si="130"/>
        <v>33</v>
      </c>
      <c r="CF129" s="10">
        <f t="shared" si="131"/>
        <v>32</v>
      </c>
      <c r="CG129" s="10">
        <f t="shared" si="132"/>
        <v>31</v>
      </c>
      <c r="CH129" s="10">
        <f t="shared" si="133"/>
        <v>30</v>
      </c>
      <c r="CI129" s="10">
        <f t="shared" si="134"/>
        <v>29</v>
      </c>
      <c r="CJ129" s="10">
        <f t="shared" si="135"/>
        <v>28</v>
      </c>
      <c r="CK129" s="10">
        <f t="shared" si="136"/>
        <v>27</v>
      </c>
      <c r="CL129" s="10">
        <f t="shared" si="137"/>
        <v>26</v>
      </c>
      <c r="CM129" s="10" t="str">
        <f>'役職希望調査 ・備考'!I99&amp;""</f>
        <v/>
      </c>
    </row>
    <row r="130" spans="1:91">
      <c r="A130" s="10" t="str">
        <f>時間希望調査!A100&amp;""</f>
        <v/>
      </c>
      <c r="B130" s="10" t="str">
        <f>時間希望調査!B100&amp;""</f>
        <v/>
      </c>
      <c r="C130" s="10" t="str">
        <f>時間希望調査!C100&amp;""</f>
        <v/>
      </c>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0">
        <f t="shared" si="107"/>
        <v>0</v>
      </c>
      <c r="BC130" s="10">
        <f>時間希望調査!D100</f>
        <v>0</v>
      </c>
      <c r="BD130" s="10" t="str">
        <f>'役職希望調査 ・備考'!D100&amp;""</f>
        <v/>
      </c>
      <c r="BE130" s="10" t="str">
        <f>'役職希望調査 ・備考'!E100&amp;""</f>
        <v/>
      </c>
      <c r="BF130" s="10" t="str">
        <f>'役職希望調査 ・備考'!F100&amp;""</f>
        <v/>
      </c>
      <c r="BG130" s="10" t="str">
        <f>'役職希望調査 ・備考'!G100&amp;""</f>
        <v/>
      </c>
      <c r="BH130" s="10" t="str">
        <f>'役職希望調査 ・備考'!H100&amp;""</f>
        <v/>
      </c>
      <c r="BI130" s="10">
        <f t="shared" si="108"/>
        <v>0</v>
      </c>
      <c r="BJ130" s="10">
        <f t="shared" si="109"/>
        <v>0</v>
      </c>
      <c r="BK130" s="10">
        <f t="shared" si="110"/>
        <v>0</v>
      </c>
      <c r="BL130" s="10">
        <f t="shared" si="111"/>
        <v>0</v>
      </c>
      <c r="BM130" s="10">
        <f t="shared" si="112"/>
        <v>0</v>
      </c>
      <c r="BN130" s="10">
        <f t="shared" si="113"/>
        <v>0</v>
      </c>
      <c r="BO130" s="10">
        <f t="shared" si="114"/>
        <v>48</v>
      </c>
      <c r="BP130" s="10">
        <f t="shared" si="115"/>
        <v>48</v>
      </c>
      <c r="BQ130" s="10">
        <f t="shared" si="116"/>
        <v>47</v>
      </c>
      <c r="BR130" s="10">
        <f t="shared" si="117"/>
        <v>46</v>
      </c>
      <c r="BS130" s="10">
        <f t="shared" si="118"/>
        <v>45</v>
      </c>
      <c r="BT130" s="10">
        <f t="shared" si="119"/>
        <v>44</v>
      </c>
      <c r="BU130" s="10">
        <f t="shared" si="120"/>
        <v>43</v>
      </c>
      <c r="BV130" s="10">
        <f t="shared" si="121"/>
        <v>42</v>
      </c>
      <c r="BW130" s="10">
        <f t="shared" si="122"/>
        <v>41</v>
      </c>
      <c r="BX130" s="10">
        <f t="shared" si="123"/>
        <v>40</v>
      </c>
      <c r="BY130" s="10">
        <f t="shared" si="124"/>
        <v>39</v>
      </c>
      <c r="BZ130" s="10">
        <f t="shared" si="125"/>
        <v>38</v>
      </c>
      <c r="CA130" s="10">
        <f t="shared" si="126"/>
        <v>37</v>
      </c>
      <c r="CB130" s="10">
        <f t="shared" si="127"/>
        <v>36</v>
      </c>
      <c r="CC130" s="10">
        <f t="shared" si="128"/>
        <v>35</v>
      </c>
      <c r="CD130" s="10">
        <f t="shared" si="129"/>
        <v>34</v>
      </c>
      <c r="CE130" s="10">
        <f t="shared" si="130"/>
        <v>33</v>
      </c>
      <c r="CF130" s="10">
        <f t="shared" si="131"/>
        <v>32</v>
      </c>
      <c r="CG130" s="10">
        <f t="shared" si="132"/>
        <v>31</v>
      </c>
      <c r="CH130" s="10">
        <f t="shared" si="133"/>
        <v>30</v>
      </c>
      <c r="CI130" s="10">
        <f t="shared" si="134"/>
        <v>29</v>
      </c>
      <c r="CJ130" s="10">
        <f t="shared" si="135"/>
        <v>28</v>
      </c>
      <c r="CK130" s="10">
        <f t="shared" si="136"/>
        <v>27</v>
      </c>
      <c r="CL130" s="10">
        <f t="shared" si="137"/>
        <v>26</v>
      </c>
      <c r="CM130" s="10" t="str">
        <f>'役職希望調査 ・備考'!I100&amp;""</f>
        <v/>
      </c>
    </row>
    <row r="131" spans="1:91">
      <c r="A131" s="10" t="str">
        <f>時間希望調査!A101&amp;""</f>
        <v/>
      </c>
      <c r="B131" s="10" t="str">
        <f>時間希望調査!B101&amp;""</f>
        <v/>
      </c>
      <c r="C131" s="10" t="str">
        <f>時間希望調査!C101&amp;""</f>
        <v/>
      </c>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0">
        <f t="shared" si="107"/>
        <v>0</v>
      </c>
      <c r="BC131" s="10">
        <f>時間希望調査!D101</f>
        <v>0</v>
      </c>
      <c r="BD131" s="10" t="str">
        <f>'役職希望調査 ・備考'!D101&amp;""</f>
        <v/>
      </c>
      <c r="BE131" s="10" t="str">
        <f>'役職希望調査 ・備考'!E101&amp;""</f>
        <v/>
      </c>
      <c r="BF131" s="10" t="str">
        <f>'役職希望調査 ・備考'!F101&amp;""</f>
        <v/>
      </c>
      <c r="BG131" s="10" t="str">
        <f>'役職希望調査 ・備考'!G101&amp;""</f>
        <v/>
      </c>
      <c r="BH131" s="10" t="str">
        <f>'役職希望調査 ・備考'!H101&amp;""</f>
        <v/>
      </c>
      <c r="BI131" s="10">
        <f t="shared" si="108"/>
        <v>0</v>
      </c>
      <c r="BJ131" s="10">
        <f t="shared" si="109"/>
        <v>0</v>
      </c>
      <c r="BK131" s="10">
        <f t="shared" si="110"/>
        <v>0</v>
      </c>
      <c r="BL131" s="10">
        <f t="shared" si="111"/>
        <v>0</v>
      </c>
      <c r="BM131" s="10">
        <f t="shared" si="112"/>
        <v>0</v>
      </c>
      <c r="BN131" s="10">
        <f t="shared" si="113"/>
        <v>0</v>
      </c>
      <c r="BO131" s="10">
        <f t="shared" si="114"/>
        <v>48</v>
      </c>
      <c r="BP131" s="10">
        <f t="shared" si="115"/>
        <v>48</v>
      </c>
      <c r="BQ131" s="10">
        <f t="shared" si="116"/>
        <v>47</v>
      </c>
      <c r="BR131" s="10">
        <f t="shared" si="117"/>
        <v>46</v>
      </c>
      <c r="BS131" s="10">
        <f t="shared" si="118"/>
        <v>45</v>
      </c>
      <c r="BT131" s="10">
        <f t="shared" si="119"/>
        <v>44</v>
      </c>
      <c r="BU131" s="10">
        <f t="shared" si="120"/>
        <v>43</v>
      </c>
      <c r="BV131" s="10">
        <f t="shared" si="121"/>
        <v>42</v>
      </c>
      <c r="BW131" s="10">
        <f t="shared" si="122"/>
        <v>41</v>
      </c>
      <c r="BX131" s="10">
        <f t="shared" si="123"/>
        <v>40</v>
      </c>
      <c r="BY131" s="10">
        <f t="shared" si="124"/>
        <v>39</v>
      </c>
      <c r="BZ131" s="10">
        <f t="shared" si="125"/>
        <v>38</v>
      </c>
      <c r="CA131" s="10">
        <f t="shared" si="126"/>
        <v>37</v>
      </c>
      <c r="CB131" s="10">
        <f t="shared" si="127"/>
        <v>36</v>
      </c>
      <c r="CC131" s="10">
        <f t="shared" si="128"/>
        <v>35</v>
      </c>
      <c r="CD131" s="10">
        <f t="shared" si="129"/>
        <v>34</v>
      </c>
      <c r="CE131" s="10">
        <f t="shared" si="130"/>
        <v>33</v>
      </c>
      <c r="CF131" s="10">
        <f t="shared" si="131"/>
        <v>32</v>
      </c>
      <c r="CG131" s="10">
        <f t="shared" si="132"/>
        <v>31</v>
      </c>
      <c r="CH131" s="10">
        <f t="shared" si="133"/>
        <v>30</v>
      </c>
      <c r="CI131" s="10">
        <f t="shared" si="134"/>
        <v>29</v>
      </c>
      <c r="CJ131" s="10">
        <f t="shared" si="135"/>
        <v>28</v>
      </c>
      <c r="CK131" s="10">
        <f t="shared" si="136"/>
        <v>27</v>
      </c>
      <c r="CL131" s="10">
        <f t="shared" si="137"/>
        <v>26</v>
      </c>
      <c r="CM131" s="10" t="str">
        <f>'役職希望調査 ・備考'!I101&amp;""</f>
        <v/>
      </c>
    </row>
    <row r="132" spans="1:91">
      <c r="A132" s="10" t="str">
        <f>時間希望調査!A102&amp;""</f>
        <v/>
      </c>
      <c r="B132" s="10" t="str">
        <f>時間希望調査!B102&amp;""</f>
        <v/>
      </c>
      <c r="C132" s="10" t="str">
        <f>時間希望調査!C102&amp;""</f>
        <v/>
      </c>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0">
        <f t="shared" si="107"/>
        <v>0</v>
      </c>
      <c r="BC132" s="10">
        <f>時間希望調査!D102</f>
        <v>0</v>
      </c>
      <c r="BD132" s="10" t="str">
        <f>'役職希望調査 ・備考'!D102&amp;""</f>
        <v/>
      </c>
      <c r="BE132" s="10" t="str">
        <f>'役職希望調査 ・備考'!E102&amp;""</f>
        <v/>
      </c>
      <c r="BF132" s="10" t="str">
        <f>'役職希望調査 ・備考'!F102&amp;""</f>
        <v/>
      </c>
      <c r="BG132" s="10" t="str">
        <f>'役職希望調査 ・備考'!G102&amp;""</f>
        <v/>
      </c>
      <c r="BH132" s="10" t="str">
        <f>'役職希望調査 ・備考'!H102&amp;""</f>
        <v/>
      </c>
      <c r="BI132" s="10">
        <f t="shared" si="108"/>
        <v>0</v>
      </c>
      <c r="BJ132" s="10">
        <f t="shared" si="109"/>
        <v>0</v>
      </c>
      <c r="BK132" s="10">
        <f t="shared" si="110"/>
        <v>0</v>
      </c>
      <c r="BL132" s="10">
        <f t="shared" si="111"/>
        <v>0</v>
      </c>
      <c r="BM132" s="10">
        <f t="shared" si="112"/>
        <v>0</v>
      </c>
      <c r="BN132" s="10">
        <f t="shared" si="113"/>
        <v>0</v>
      </c>
      <c r="BO132" s="10">
        <f t="shared" si="114"/>
        <v>48</v>
      </c>
      <c r="BP132" s="10">
        <f t="shared" si="115"/>
        <v>48</v>
      </c>
      <c r="BQ132" s="10">
        <f t="shared" si="116"/>
        <v>47</v>
      </c>
      <c r="BR132" s="10">
        <f t="shared" si="117"/>
        <v>46</v>
      </c>
      <c r="BS132" s="10">
        <f t="shared" si="118"/>
        <v>45</v>
      </c>
      <c r="BT132" s="10">
        <f t="shared" si="119"/>
        <v>44</v>
      </c>
      <c r="BU132" s="10">
        <f t="shared" si="120"/>
        <v>43</v>
      </c>
      <c r="BV132" s="10">
        <f t="shared" si="121"/>
        <v>42</v>
      </c>
      <c r="BW132" s="10">
        <f t="shared" si="122"/>
        <v>41</v>
      </c>
      <c r="BX132" s="10">
        <f t="shared" si="123"/>
        <v>40</v>
      </c>
      <c r="BY132" s="10">
        <f t="shared" si="124"/>
        <v>39</v>
      </c>
      <c r="BZ132" s="10">
        <f t="shared" si="125"/>
        <v>38</v>
      </c>
      <c r="CA132" s="10">
        <f t="shared" si="126"/>
        <v>37</v>
      </c>
      <c r="CB132" s="10">
        <f t="shared" si="127"/>
        <v>36</v>
      </c>
      <c r="CC132" s="10">
        <f t="shared" si="128"/>
        <v>35</v>
      </c>
      <c r="CD132" s="10">
        <f t="shared" si="129"/>
        <v>34</v>
      </c>
      <c r="CE132" s="10">
        <f t="shared" si="130"/>
        <v>33</v>
      </c>
      <c r="CF132" s="10">
        <f t="shared" si="131"/>
        <v>32</v>
      </c>
      <c r="CG132" s="10">
        <f t="shared" si="132"/>
        <v>31</v>
      </c>
      <c r="CH132" s="10">
        <f t="shared" si="133"/>
        <v>30</v>
      </c>
      <c r="CI132" s="10">
        <f t="shared" si="134"/>
        <v>29</v>
      </c>
      <c r="CJ132" s="10">
        <f t="shared" si="135"/>
        <v>28</v>
      </c>
      <c r="CK132" s="10">
        <f t="shared" si="136"/>
        <v>27</v>
      </c>
      <c r="CL132" s="10">
        <f t="shared" si="137"/>
        <v>26</v>
      </c>
      <c r="CM132" s="10" t="str">
        <f>'役職希望調査 ・備考'!I102&amp;""</f>
        <v/>
      </c>
    </row>
    <row r="133" spans="1:91">
      <c r="A133" s="10" t="str">
        <f>時間希望調査!A103&amp;""</f>
        <v/>
      </c>
      <c r="B133" s="10" t="str">
        <f>時間希望調査!B103&amp;""</f>
        <v/>
      </c>
      <c r="C133" s="10" t="str">
        <f>時間希望調査!C103&amp;""</f>
        <v/>
      </c>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0">
        <f t="shared" si="107"/>
        <v>0</v>
      </c>
      <c r="BC133" s="10">
        <f>時間希望調査!D103</f>
        <v>0</v>
      </c>
      <c r="BD133" s="10" t="str">
        <f>'役職希望調査 ・備考'!D103&amp;""</f>
        <v/>
      </c>
      <c r="BE133" s="10" t="str">
        <f>'役職希望調査 ・備考'!E103&amp;""</f>
        <v/>
      </c>
      <c r="BF133" s="10" t="str">
        <f>'役職希望調査 ・備考'!F103&amp;""</f>
        <v/>
      </c>
      <c r="BG133" s="10" t="str">
        <f>'役職希望調査 ・備考'!G103&amp;""</f>
        <v/>
      </c>
      <c r="BH133" s="10" t="str">
        <f>'役職希望調査 ・備考'!H103&amp;""</f>
        <v/>
      </c>
      <c r="BI133" s="10">
        <f t="shared" si="108"/>
        <v>0</v>
      </c>
      <c r="BJ133" s="10">
        <f t="shared" si="109"/>
        <v>0</v>
      </c>
      <c r="BK133" s="10">
        <f t="shared" si="110"/>
        <v>0</v>
      </c>
      <c r="BL133" s="10">
        <f t="shared" si="111"/>
        <v>0</v>
      </c>
      <c r="BM133" s="10">
        <f t="shared" si="112"/>
        <v>0</v>
      </c>
      <c r="BN133" s="10">
        <f t="shared" si="113"/>
        <v>0</v>
      </c>
      <c r="BO133" s="10">
        <f t="shared" si="114"/>
        <v>48</v>
      </c>
      <c r="BP133" s="10">
        <f t="shared" si="115"/>
        <v>48</v>
      </c>
      <c r="BQ133" s="10">
        <f t="shared" si="116"/>
        <v>47</v>
      </c>
      <c r="BR133" s="10">
        <f t="shared" si="117"/>
        <v>46</v>
      </c>
      <c r="BS133" s="10">
        <f t="shared" si="118"/>
        <v>45</v>
      </c>
      <c r="BT133" s="10">
        <f t="shared" si="119"/>
        <v>44</v>
      </c>
      <c r="BU133" s="10">
        <f t="shared" si="120"/>
        <v>43</v>
      </c>
      <c r="BV133" s="10">
        <f t="shared" si="121"/>
        <v>42</v>
      </c>
      <c r="BW133" s="10">
        <f t="shared" si="122"/>
        <v>41</v>
      </c>
      <c r="BX133" s="10">
        <f t="shared" si="123"/>
        <v>40</v>
      </c>
      <c r="BY133" s="10">
        <f t="shared" si="124"/>
        <v>39</v>
      </c>
      <c r="BZ133" s="10">
        <f t="shared" si="125"/>
        <v>38</v>
      </c>
      <c r="CA133" s="10">
        <f t="shared" si="126"/>
        <v>37</v>
      </c>
      <c r="CB133" s="10">
        <f t="shared" si="127"/>
        <v>36</v>
      </c>
      <c r="CC133" s="10">
        <f t="shared" si="128"/>
        <v>35</v>
      </c>
      <c r="CD133" s="10">
        <f t="shared" si="129"/>
        <v>34</v>
      </c>
      <c r="CE133" s="10">
        <f t="shared" si="130"/>
        <v>33</v>
      </c>
      <c r="CF133" s="10">
        <f t="shared" si="131"/>
        <v>32</v>
      </c>
      <c r="CG133" s="10">
        <f t="shared" si="132"/>
        <v>31</v>
      </c>
      <c r="CH133" s="10">
        <f t="shared" si="133"/>
        <v>30</v>
      </c>
      <c r="CI133" s="10">
        <f t="shared" si="134"/>
        <v>29</v>
      </c>
      <c r="CJ133" s="10">
        <f t="shared" si="135"/>
        <v>28</v>
      </c>
      <c r="CK133" s="10">
        <f t="shared" si="136"/>
        <v>27</v>
      </c>
      <c r="CL133" s="10">
        <f t="shared" si="137"/>
        <v>26</v>
      </c>
      <c r="CM133" s="10" t="str">
        <f>'役職希望調査 ・備考'!I103&amp;""</f>
        <v/>
      </c>
    </row>
    <row r="134" spans="1:91">
      <c r="A134" s="10" t="str">
        <f>時間希望調査!A104&amp;""</f>
        <v/>
      </c>
      <c r="B134" s="10" t="str">
        <f>時間希望調査!B104&amp;""</f>
        <v/>
      </c>
      <c r="C134" s="10" t="str">
        <f>時間希望調査!C104&amp;""</f>
        <v/>
      </c>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0">
        <f t="shared" si="107"/>
        <v>0</v>
      </c>
      <c r="BC134" s="10">
        <f>時間希望調査!D104</f>
        <v>0</v>
      </c>
      <c r="BD134" s="10" t="str">
        <f>'役職希望調査 ・備考'!D104&amp;""</f>
        <v/>
      </c>
      <c r="BE134" s="10" t="str">
        <f>'役職希望調査 ・備考'!E104&amp;""</f>
        <v/>
      </c>
      <c r="BF134" s="10" t="str">
        <f>'役職希望調査 ・備考'!F104&amp;""</f>
        <v/>
      </c>
      <c r="BG134" s="10" t="str">
        <f>'役職希望調査 ・備考'!G104&amp;""</f>
        <v/>
      </c>
      <c r="BH134" s="10" t="str">
        <f>'役職希望調査 ・備考'!H104&amp;""</f>
        <v/>
      </c>
      <c r="BI134" s="10">
        <f t="shared" si="108"/>
        <v>0</v>
      </c>
      <c r="BJ134" s="10">
        <f t="shared" si="109"/>
        <v>0</v>
      </c>
      <c r="BK134" s="10">
        <f t="shared" si="110"/>
        <v>0</v>
      </c>
      <c r="BL134" s="10">
        <f t="shared" si="111"/>
        <v>0</v>
      </c>
      <c r="BM134" s="10">
        <f t="shared" si="112"/>
        <v>0</v>
      </c>
      <c r="BN134" s="10">
        <f t="shared" si="113"/>
        <v>0</v>
      </c>
      <c r="BO134" s="10">
        <f t="shared" si="114"/>
        <v>48</v>
      </c>
      <c r="BP134" s="10">
        <f t="shared" si="115"/>
        <v>48</v>
      </c>
      <c r="BQ134" s="10">
        <f t="shared" si="116"/>
        <v>47</v>
      </c>
      <c r="BR134" s="10">
        <f t="shared" si="117"/>
        <v>46</v>
      </c>
      <c r="BS134" s="10">
        <f t="shared" si="118"/>
        <v>45</v>
      </c>
      <c r="BT134" s="10">
        <f t="shared" si="119"/>
        <v>44</v>
      </c>
      <c r="BU134" s="10">
        <f t="shared" si="120"/>
        <v>43</v>
      </c>
      <c r="BV134" s="10">
        <f t="shared" si="121"/>
        <v>42</v>
      </c>
      <c r="BW134" s="10">
        <f t="shared" si="122"/>
        <v>41</v>
      </c>
      <c r="BX134" s="10">
        <f t="shared" si="123"/>
        <v>40</v>
      </c>
      <c r="BY134" s="10">
        <f t="shared" si="124"/>
        <v>39</v>
      </c>
      <c r="BZ134" s="10">
        <f t="shared" si="125"/>
        <v>38</v>
      </c>
      <c r="CA134" s="10">
        <f t="shared" si="126"/>
        <v>37</v>
      </c>
      <c r="CB134" s="10">
        <f t="shared" si="127"/>
        <v>36</v>
      </c>
      <c r="CC134" s="10">
        <f t="shared" si="128"/>
        <v>35</v>
      </c>
      <c r="CD134" s="10">
        <f t="shared" si="129"/>
        <v>34</v>
      </c>
      <c r="CE134" s="10">
        <f t="shared" si="130"/>
        <v>33</v>
      </c>
      <c r="CF134" s="10">
        <f t="shared" si="131"/>
        <v>32</v>
      </c>
      <c r="CG134" s="10">
        <f t="shared" si="132"/>
        <v>31</v>
      </c>
      <c r="CH134" s="10">
        <f t="shared" si="133"/>
        <v>30</v>
      </c>
      <c r="CI134" s="10">
        <f t="shared" si="134"/>
        <v>29</v>
      </c>
      <c r="CJ134" s="10">
        <f t="shared" si="135"/>
        <v>28</v>
      </c>
      <c r="CK134" s="10">
        <f t="shared" si="136"/>
        <v>27</v>
      </c>
      <c r="CL134" s="10">
        <f t="shared" si="137"/>
        <v>26</v>
      </c>
      <c r="CM134" s="10" t="str">
        <f>'役職希望調査 ・備考'!I104&amp;""</f>
        <v/>
      </c>
    </row>
    <row r="135" spans="1:91">
      <c r="A135" s="10" t="str">
        <f>時間希望調査!A105&amp;""</f>
        <v/>
      </c>
      <c r="B135" s="10" t="str">
        <f>時間希望調査!B105&amp;""</f>
        <v/>
      </c>
      <c r="C135" s="10" t="str">
        <f>時間希望調査!C105&amp;""</f>
        <v/>
      </c>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0">
        <f t="shared" si="107"/>
        <v>0</v>
      </c>
      <c r="BC135" s="10">
        <f>時間希望調査!D105</f>
        <v>0</v>
      </c>
      <c r="BD135" s="10" t="str">
        <f>'役職希望調査 ・備考'!D105&amp;""</f>
        <v/>
      </c>
      <c r="BE135" s="10" t="str">
        <f>'役職希望調査 ・備考'!E105&amp;""</f>
        <v/>
      </c>
      <c r="BF135" s="10" t="str">
        <f>'役職希望調査 ・備考'!F105&amp;""</f>
        <v/>
      </c>
      <c r="BG135" s="10" t="str">
        <f>'役職希望調査 ・備考'!G105&amp;""</f>
        <v/>
      </c>
      <c r="BH135" s="10" t="str">
        <f>'役職希望調査 ・備考'!H105&amp;""</f>
        <v/>
      </c>
      <c r="BI135" s="10">
        <f t="shared" si="108"/>
        <v>0</v>
      </c>
      <c r="BJ135" s="10">
        <f t="shared" si="109"/>
        <v>0</v>
      </c>
      <c r="BK135" s="10">
        <f t="shared" si="110"/>
        <v>0</v>
      </c>
      <c r="BL135" s="10">
        <f t="shared" si="111"/>
        <v>0</v>
      </c>
      <c r="BM135" s="10">
        <f t="shared" si="112"/>
        <v>0</v>
      </c>
      <c r="BN135" s="10">
        <f t="shared" si="113"/>
        <v>0</v>
      </c>
      <c r="BO135" s="10">
        <f t="shared" si="114"/>
        <v>48</v>
      </c>
      <c r="BP135" s="10">
        <f t="shared" si="115"/>
        <v>48</v>
      </c>
      <c r="BQ135" s="10">
        <f t="shared" si="116"/>
        <v>47</v>
      </c>
      <c r="BR135" s="10">
        <f t="shared" si="117"/>
        <v>46</v>
      </c>
      <c r="BS135" s="10">
        <f t="shared" si="118"/>
        <v>45</v>
      </c>
      <c r="BT135" s="10">
        <f t="shared" si="119"/>
        <v>44</v>
      </c>
      <c r="BU135" s="10">
        <f t="shared" si="120"/>
        <v>43</v>
      </c>
      <c r="BV135" s="10">
        <f t="shared" si="121"/>
        <v>42</v>
      </c>
      <c r="BW135" s="10">
        <f t="shared" si="122"/>
        <v>41</v>
      </c>
      <c r="BX135" s="10">
        <f t="shared" si="123"/>
        <v>40</v>
      </c>
      <c r="BY135" s="10">
        <f t="shared" si="124"/>
        <v>39</v>
      </c>
      <c r="BZ135" s="10">
        <f t="shared" si="125"/>
        <v>38</v>
      </c>
      <c r="CA135" s="10">
        <f t="shared" si="126"/>
        <v>37</v>
      </c>
      <c r="CB135" s="10">
        <f t="shared" si="127"/>
        <v>36</v>
      </c>
      <c r="CC135" s="10">
        <f t="shared" si="128"/>
        <v>35</v>
      </c>
      <c r="CD135" s="10">
        <f t="shared" si="129"/>
        <v>34</v>
      </c>
      <c r="CE135" s="10">
        <f t="shared" si="130"/>
        <v>33</v>
      </c>
      <c r="CF135" s="10">
        <f t="shared" si="131"/>
        <v>32</v>
      </c>
      <c r="CG135" s="10">
        <f t="shared" si="132"/>
        <v>31</v>
      </c>
      <c r="CH135" s="10">
        <f t="shared" si="133"/>
        <v>30</v>
      </c>
      <c r="CI135" s="10">
        <f t="shared" si="134"/>
        <v>29</v>
      </c>
      <c r="CJ135" s="10">
        <f t="shared" si="135"/>
        <v>28</v>
      </c>
      <c r="CK135" s="10">
        <f t="shared" si="136"/>
        <v>27</v>
      </c>
      <c r="CL135" s="10">
        <f t="shared" si="137"/>
        <v>26</v>
      </c>
      <c r="CM135" s="10" t="str">
        <f>'役職希望調査 ・備考'!I105&amp;""</f>
        <v/>
      </c>
    </row>
    <row r="136" spans="1:91">
      <c r="A136" s="10" t="str">
        <f>時間希望調査!A106&amp;""</f>
        <v/>
      </c>
      <c r="B136" s="10" t="str">
        <f>時間希望調査!B106&amp;""</f>
        <v/>
      </c>
      <c r="C136" s="10" t="str">
        <f>時間希望調査!C106&amp;""</f>
        <v/>
      </c>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0">
        <f t="shared" si="107"/>
        <v>0</v>
      </c>
      <c r="BC136" s="10">
        <f>時間希望調査!D106</f>
        <v>0</v>
      </c>
      <c r="BD136" s="10" t="str">
        <f>'役職希望調査 ・備考'!D106&amp;""</f>
        <v/>
      </c>
      <c r="BE136" s="10" t="str">
        <f>'役職希望調査 ・備考'!E106&amp;""</f>
        <v/>
      </c>
      <c r="BF136" s="10" t="str">
        <f>'役職希望調査 ・備考'!F106&amp;""</f>
        <v/>
      </c>
      <c r="BG136" s="10" t="str">
        <f>'役職希望調査 ・備考'!G106&amp;""</f>
        <v/>
      </c>
      <c r="BH136" s="10" t="str">
        <f>'役職希望調査 ・備考'!H106&amp;""</f>
        <v/>
      </c>
      <c r="BI136" s="10">
        <f t="shared" si="108"/>
        <v>0</v>
      </c>
      <c r="BJ136" s="10">
        <f t="shared" si="109"/>
        <v>0</v>
      </c>
      <c r="BK136" s="10">
        <f t="shared" si="110"/>
        <v>0</v>
      </c>
      <c r="BL136" s="10">
        <f t="shared" si="111"/>
        <v>0</v>
      </c>
      <c r="BM136" s="10">
        <f t="shared" si="112"/>
        <v>0</v>
      </c>
      <c r="BN136" s="10">
        <f t="shared" si="113"/>
        <v>0</v>
      </c>
      <c r="BO136" s="10">
        <f t="shared" si="114"/>
        <v>48</v>
      </c>
      <c r="BP136" s="10">
        <f t="shared" si="115"/>
        <v>48</v>
      </c>
      <c r="BQ136" s="10">
        <f t="shared" si="116"/>
        <v>47</v>
      </c>
      <c r="BR136" s="10">
        <f t="shared" si="117"/>
        <v>46</v>
      </c>
      <c r="BS136" s="10">
        <f t="shared" si="118"/>
        <v>45</v>
      </c>
      <c r="BT136" s="10">
        <f t="shared" si="119"/>
        <v>44</v>
      </c>
      <c r="BU136" s="10">
        <f t="shared" si="120"/>
        <v>43</v>
      </c>
      <c r="BV136" s="10">
        <f t="shared" si="121"/>
        <v>42</v>
      </c>
      <c r="BW136" s="10">
        <f t="shared" si="122"/>
        <v>41</v>
      </c>
      <c r="BX136" s="10">
        <f t="shared" si="123"/>
        <v>40</v>
      </c>
      <c r="BY136" s="10">
        <f t="shared" si="124"/>
        <v>39</v>
      </c>
      <c r="BZ136" s="10">
        <f t="shared" si="125"/>
        <v>38</v>
      </c>
      <c r="CA136" s="10">
        <f t="shared" si="126"/>
        <v>37</v>
      </c>
      <c r="CB136" s="10">
        <f t="shared" si="127"/>
        <v>36</v>
      </c>
      <c r="CC136" s="10">
        <f t="shared" si="128"/>
        <v>35</v>
      </c>
      <c r="CD136" s="10">
        <f t="shared" si="129"/>
        <v>34</v>
      </c>
      <c r="CE136" s="10">
        <f t="shared" si="130"/>
        <v>33</v>
      </c>
      <c r="CF136" s="10">
        <f t="shared" si="131"/>
        <v>32</v>
      </c>
      <c r="CG136" s="10">
        <f t="shared" si="132"/>
        <v>31</v>
      </c>
      <c r="CH136" s="10">
        <f t="shared" si="133"/>
        <v>30</v>
      </c>
      <c r="CI136" s="10">
        <f t="shared" si="134"/>
        <v>29</v>
      </c>
      <c r="CJ136" s="10">
        <f t="shared" si="135"/>
        <v>28</v>
      </c>
      <c r="CK136" s="10">
        <f t="shared" si="136"/>
        <v>27</v>
      </c>
      <c r="CL136" s="10">
        <f t="shared" si="137"/>
        <v>26</v>
      </c>
      <c r="CM136" s="10" t="str">
        <f>'役職希望調査 ・備考'!I106&amp;""</f>
        <v/>
      </c>
    </row>
    <row r="137" spans="1:91">
      <c r="A137" s="10" t="str">
        <f>時間希望調査!A107&amp;""</f>
        <v/>
      </c>
      <c r="B137" s="10" t="str">
        <f>時間希望調査!B107&amp;""</f>
        <v/>
      </c>
      <c r="C137" s="10" t="str">
        <f>時間希望調査!C107&amp;""</f>
        <v/>
      </c>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0">
        <f t="shared" si="107"/>
        <v>0</v>
      </c>
      <c r="BC137" s="10">
        <f>時間希望調査!D107</f>
        <v>0</v>
      </c>
      <c r="BD137" s="10" t="str">
        <f>'役職希望調査 ・備考'!D107&amp;""</f>
        <v/>
      </c>
      <c r="BE137" s="10" t="str">
        <f>'役職希望調査 ・備考'!E107&amp;""</f>
        <v/>
      </c>
      <c r="BF137" s="10" t="str">
        <f>'役職希望調査 ・備考'!F107&amp;""</f>
        <v/>
      </c>
      <c r="BG137" s="10" t="str">
        <f>'役職希望調査 ・備考'!G107&amp;""</f>
        <v/>
      </c>
      <c r="BH137" s="10" t="str">
        <f>'役職希望調査 ・備考'!H107&amp;""</f>
        <v/>
      </c>
      <c r="BI137" s="10">
        <f t="shared" si="108"/>
        <v>0</v>
      </c>
      <c r="BJ137" s="10">
        <f t="shared" si="109"/>
        <v>0</v>
      </c>
      <c r="BK137" s="10">
        <f t="shared" si="110"/>
        <v>0</v>
      </c>
      <c r="BL137" s="10">
        <f t="shared" si="111"/>
        <v>0</v>
      </c>
      <c r="BM137" s="10">
        <f t="shared" si="112"/>
        <v>0</v>
      </c>
      <c r="BN137" s="10">
        <f t="shared" si="113"/>
        <v>0</v>
      </c>
      <c r="BO137" s="10">
        <f t="shared" si="114"/>
        <v>48</v>
      </c>
      <c r="BP137" s="10">
        <f t="shared" si="115"/>
        <v>48</v>
      </c>
      <c r="BQ137" s="10">
        <f t="shared" si="116"/>
        <v>47</v>
      </c>
      <c r="BR137" s="10">
        <f t="shared" si="117"/>
        <v>46</v>
      </c>
      <c r="BS137" s="10">
        <f t="shared" si="118"/>
        <v>45</v>
      </c>
      <c r="BT137" s="10">
        <f t="shared" si="119"/>
        <v>44</v>
      </c>
      <c r="BU137" s="10">
        <f t="shared" si="120"/>
        <v>43</v>
      </c>
      <c r="BV137" s="10">
        <f t="shared" si="121"/>
        <v>42</v>
      </c>
      <c r="BW137" s="10">
        <f t="shared" si="122"/>
        <v>41</v>
      </c>
      <c r="BX137" s="10">
        <f t="shared" si="123"/>
        <v>40</v>
      </c>
      <c r="BY137" s="10">
        <f t="shared" si="124"/>
        <v>39</v>
      </c>
      <c r="BZ137" s="10">
        <f t="shared" si="125"/>
        <v>38</v>
      </c>
      <c r="CA137" s="10">
        <f t="shared" si="126"/>
        <v>37</v>
      </c>
      <c r="CB137" s="10">
        <f t="shared" si="127"/>
        <v>36</v>
      </c>
      <c r="CC137" s="10">
        <f t="shared" si="128"/>
        <v>35</v>
      </c>
      <c r="CD137" s="10">
        <f t="shared" si="129"/>
        <v>34</v>
      </c>
      <c r="CE137" s="10">
        <f t="shared" si="130"/>
        <v>33</v>
      </c>
      <c r="CF137" s="10">
        <f t="shared" si="131"/>
        <v>32</v>
      </c>
      <c r="CG137" s="10">
        <f t="shared" si="132"/>
        <v>31</v>
      </c>
      <c r="CH137" s="10">
        <f t="shared" si="133"/>
        <v>30</v>
      </c>
      <c r="CI137" s="10">
        <f t="shared" si="134"/>
        <v>29</v>
      </c>
      <c r="CJ137" s="10">
        <f t="shared" si="135"/>
        <v>28</v>
      </c>
      <c r="CK137" s="10">
        <f t="shared" si="136"/>
        <v>27</v>
      </c>
      <c r="CL137" s="10">
        <f t="shared" si="137"/>
        <v>26</v>
      </c>
      <c r="CM137" s="10" t="str">
        <f>'役職希望調査 ・備考'!I107&amp;""</f>
        <v/>
      </c>
    </row>
    <row r="138" spans="1:91">
      <c r="A138" s="10" t="str">
        <f>時間希望調査!A108&amp;""</f>
        <v/>
      </c>
      <c r="B138" s="10" t="str">
        <f>時間希望調査!B108&amp;""</f>
        <v/>
      </c>
      <c r="C138" s="10" t="str">
        <f>時間希望調査!C108&amp;""</f>
        <v/>
      </c>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0">
        <f t="shared" si="107"/>
        <v>0</v>
      </c>
      <c r="BC138" s="10">
        <f>時間希望調査!D108</f>
        <v>0</v>
      </c>
      <c r="BD138" s="10" t="str">
        <f>'役職希望調査 ・備考'!D108&amp;""</f>
        <v/>
      </c>
      <c r="BE138" s="10" t="str">
        <f>'役職希望調査 ・備考'!E108&amp;""</f>
        <v/>
      </c>
      <c r="BF138" s="10" t="str">
        <f>'役職希望調査 ・備考'!F108&amp;""</f>
        <v/>
      </c>
      <c r="BG138" s="10" t="str">
        <f>'役職希望調査 ・備考'!G108&amp;""</f>
        <v/>
      </c>
      <c r="BH138" s="10" t="str">
        <f>'役職希望調査 ・備考'!H108&amp;""</f>
        <v/>
      </c>
      <c r="BI138" s="10">
        <f t="shared" si="108"/>
        <v>0</v>
      </c>
      <c r="BJ138" s="10">
        <f t="shared" si="109"/>
        <v>0</v>
      </c>
      <c r="BK138" s="10">
        <f t="shared" si="110"/>
        <v>0</v>
      </c>
      <c r="BL138" s="10">
        <f t="shared" si="111"/>
        <v>0</v>
      </c>
      <c r="BM138" s="10">
        <f t="shared" si="112"/>
        <v>0</v>
      </c>
      <c r="BN138" s="10">
        <f t="shared" si="113"/>
        <v>0</v>
      </c>
      <c r="BO138" s="10">
        <f t="shared" si="114"/>
        <v>48</v>
      </c>
      <c r="BP138" s="10">
        <f t="shared" si="115"/>
        <v>48</v>
      </c>
      <c r="BQ138" s="10">
        <f t="shared" si="116"/>
        <v>47</v>
      </c>
      <c r="BR138" s="10">
        <f t="shared" si="117"/>
        <v>46</v>
      </c>
      <c r="BS138" s="10">
        <f t="shared" si="118"/>
        <v>45</v>
      </c>
      <c r="BT138" s="10">
        <f t="shared" si="119"/>
        <v>44</v>
      </c>
      <c r="BU138" s="10">
        <f t="shared" si="120"/>
        <v>43</v>
      </c>
      <c r="BV138" s="10">
        <f t="shared" si="121"/>
        <v>42</v>
      </c>
      <c r="BW138" s="10">
        <f t="shared" si="122"/>
        <v>41</v>
      </c>
      <c r="BX138" s="10">
        <f t="shared" si="123"/>
        <v>40</v>
      </c>
      <c r="BY138" s="10">
        <f t="shared" si="124"/>
        <v>39</v>
      </c>
      <c r="BZ138" s="10">
        <f t="shared" si="125"/>
        <v>38</v>
      </c>
      <c r="CA138" s="10">
        <f t="shared" si="126"/>
        <v>37</v>
      </c>
      <c r="CB138" s="10">
        <f t="shared" si="127"/>
        <v>36</v>
      </c>
      <c r="CC138" s="10">
        <f t="shared" si="128"/>
        <v>35</v>
      </c>
      <c r="CD138" s="10">
        <f t="shared" si="129"/>
        <v>34</v>
      </c>
      <c r="CE138" s="10">
        <f t="shared" si="130"/>
        <v>33</v>
      </c>
      <c r="CF138" s="10">
        <f t="shared" si="131"/>
        <v>32</v>
      </c>
      <c r="CG138" s="10">
        <f t="shared" si="132"/>
        <v>31</v>
      </c>
      <c r="CH138" s="10">
        <f t="shared" si="133"/>
        <v>30</v>
      </c>
      <c r="CI138" s="10">
        <f t="shared" si="134"/>
        <v>29</v>
      </c>
      <c r="CJ138" s="10">
        <f t="shared" si="135"/>
        <v>28</v>
      </c>
      <c r="CK138" s="10">
        <f t="shared" si="136"/>
        <v>27</v>
      </c>
      <c r="CL138" s="10">
        <f t="shared" si="137"/>
        <v>26</v>
      </c>
      <c r="CM138" s="10" t="str">
        <f>'役職希望調査 ・備考'!I108&amp;""</f>
        <v/>
      </c>
    </row>
    <row r="139" spans="1:91">
      <c r="A139" s="10" t="str">
        <f>時間希望調査!A109&amp;""</f>
        <v/>
      </c>
      <c r="B139" s="10" t="str">
        <f>時間希望調査!B109&amp;""</f>
        <v/>
      </c>
      <c r="C139" s="10" t="str">
        <f>時間希望調査!C109&amp;""</f>
        <v/>
      </c>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0">
        <f t="shared" si="107"/>
        <v>0</v>
      </c>
      <c r="BC139" s="10">
        <f>時間希望調査!D109</f>
        <v>0</v>
      </c>
      <c r="BD139" s="10" t="str">
        <f>'役職希望調査 ・備考'!D109&amp;""</f>
        <v/>
      </c>
      <c r="BE139" s="10" t="str">
        <f>'役職希望調査 ・備考'!E109&amp;""</f>
        <v/>
      </c>
      <c r="BF139" s="10" t="str">
        <f>'役職希望調査 ・備考'!F109&amp;""</f>
        <v/>
      </c>
      <c r="BG139" s="10" t="str">
        <f>'役職希望調査 ・備考'!G109&amp;""</f>
        <v/>
      </c>
      <c r="BH139" s="10" t="str">
        <f>'役職希望調査 ・備考'!H109&amp;""</f>
        <v/>
      </c>
      <c r="BI139" s="10">
        <f t="shared" si="108"/>
        <v>0</v>
      </c>
      <c r="BJ139" s="10">
        <f t="shared" si="109"/>
        <v>0</v>
      </c>
      <c r="BK139" s="10">
        <f t="shared" si="110"/>
        <v>0</v>
      </c>
      <c r="BL139" s="10">
        <f t="shared" si="111"/>
        <v>0</v>
      </c>
      <c r="BM139" s="10">
        <f t="shared" si="112"/>
        <v>0</v>
      </c>
      <c r="BN139" s="10">
        <f t="shared" si="113"/>
        <v>0</v>
      </c>
      <c r="BO139" s="10">
        <f t="shared" si="114"/>
        <v>48</v>
      </c>
      <c r="BP139" s="10">
        <f t="shared" si="115"/>
        <v>48</v>
      </c>
      <c r="BQ139" s="10">
        <f t="shared" si="116"/>
        <v>47</v>
      </c>
      <c r="BR139" s="10">
        <f t="shared" si="117"/>
        <v>46</v>
      </c>
      <c r="BS139" s="10">
        <f t="shared" si="118"/>
        <v>45</v>
      </c>
      <c r="BT139" s="10">
        <f t="shared" si="119"/>
        <v>44</v>
      </c>
      <c r="BU139" s="10">
        <f t="shared" si="120"/>
        <v>43</v>
      </c>
      <c r="BV139" s="10">
        <f t="shared" si="121"/>
        <v>42</v>
      </c>
      <c r="BW139" s="10">
        <f t="shared" si="122"/>
        <v>41</v>
      </c>
      <c r="BX139" s="10">
        <f t="shared" si="123"/>
        <v>40</v>
      </c>
      <c r="BY139" s="10">
        <f t="shared" si="124"/>
        <v>39</v>
      </c>
      <c r="BZ139" s="10">
        <f t="shared" si="125"/>
        <v>38</v>
      </c>
      <c r="CA139" s="10">
        <f t="shared" si="126"/>
        <v>37</v>
      </c>
      <c r="CB139" s="10">
        <f t="shared" si="127"/>
        <v>36</v>
      </c>
      <c r="CC139" s="10">
        <f t="shared" si="128"/>
        <v>35</v>
      </c>
      <c r="CD139" s="10">
        <f t="shared" si="129"/>
        <v>34</v>
      </c>
      <c r="CE139" s="10">
        <f t="shared" si="130"/>
        <v>33</v>
      </c>
      <c r="CF139" s="10">
        <f t="shared" si="131"/>
        <v>32</v>
      </c>
      <c r="CG139" s="10">
        <f t="shared" si="132"/>
        <v>31</v>
      </c>
      <c r="CH139" s="10">
        <f t="shared" si="133"/>
        <v>30</v>
      </c>
      <c r="CI139" s="10">
        <f t="shared" si="134"/>
        <v>29</v>
      </c>
      <c r="CJ139" s="10">
        <f t="shared" si="135"/>
        <v>28</v>
      </c>
      <c r="CK139" s="10">
        <f t="shared" si="136"/>
        <v>27</v>
      </c>
      <c r="CL139" s="10">
        <f t="shared" si="137"/>
        <v>26</v>
      </c>
      <c r="CM139" s="10" t="str">
        <f>'役職希望調査 ・備考'!I109&amp;""</f>
        <v/>
      </c>
    </row>
    <row r="140" spans="1:91">
      <c r="A140" s="10" t="str">
        <f>時間希望調査!A110&amp;""</f>
        <v/>
      </c>
      <c r="B140" s="10" t="str">
        <f>時間希望調査!B110&amp;""</f>
        <v/>
      </c>
      <c r="C140" s="10" t="str">
        <f>時間希望調査!C110&amp;""</f>
        <v/>
      </c>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0">
        <f t="shared" si="107"/>
        <v>0</v>
      </c>
      <c r="BC140" s="10">
        <f>時間希望調査!D110</f>
        <v>0</v>
      </c>
      <c r="BD140" s="10" t="str">
        <f>'役職希望調査 ・備考'!D110&amp;""</f>
        <v/>
      </c>
      <c r="BE140" s="10" t="str">
        <f>'役職希望調査 ・備考'!E110&amp;""</f>
        <v/>
      </c>
      <c r="BF140" s="10" t="str">
        <f>'役職希望調査 ・備考'!F110&amp;""</f>
        <v/>
      </c>
      <c r="BG140" s="10" t="str">
        <f>'役職希望調査 ・備考'!G110&amp;""</f>
        <v/>
      </c>
      <c r="BH140" s="10" t="str">
        <f>'役職希望調査 ・備考'!H110&amp;""</f>
        <v/>
      </c>
      <c r="BI140" s="10">
        <f t="shared" si="108"/>
        <v>0</v>
      </c>
      <c r="BJ140" s="10">
        <f t="shared" si="109"/>
        <v>0</v>
      </c>
      <c r="BK140" s="10">
        <f t="shared" si="110"/>
        <v>0</v>
      </c>
      <c r="BL140" s="10">
        <f t="shared" si="111"/>
        <v>0</v>
      </c>
      <c r="BM140" s="10">
        <f t="shared" si="112"/>
        <v>0</v>
      </c>
      <c r="BN140" s="10">
        <f t="shared" si="113"/>
        <v>0</v>
      </c>
      <c r="BO140" s="10">
        <f t="shared" si="114"/>
        <v>48</v>
      </c>
      <c r="BP140" s="10">
        <f t="shared" si="115"/>
        <v>48</v>
      </c>
      <c r="BQ140" s="10">
        <f t="shared" si="116"/>
        <v>47</v>
      </c>
      <c r="BR140" s="10">
        <f t="shared" si="117"/>
        <v>46</v>
      </c>
      <c r="BS140" s="10">
        <f t="shared" si="118"/>
        <v>45</v>
      </c>
      <c r="BT140" s="10">
        <f t="shared" si="119"/>
        <v>44</v>
      </c>
      <c r="BU140" s="10">
        <f t="shared" si="120"/>
        <v>43</v>
      </c>
      <c r="BV140" s="10">
        <f t="shared" si="121"/>
        <v>42</v>
      </c>
      <c r="BW140" s="10">
        <f t="shared" si="122"/>
        <v>41</v>
      </c>
      <c r="BX140" s="10">
        <f t="shared" si="123"/>
        <v>40</v>
      </c>
      <c r="BY140" s="10">
        <f t="shared" si="124"/>
        <v>39</v>
      </c>
      <c r="BZ140" s="10">
        <f t="shared" si="125"/>
        <v>38</v>
      </c>
      <c r="CA140" s="10">
        <f t="shared" si="126"/>
        <v>37</v>
      </c>
      <c r="CB140" s="10">
        <f t="shared" si="127"/>
        <v>36</v>
      </c>
      <c r="CC140" s="10">
        <f t="shared" si="128"/>
        <v>35</v>
      </c>
      <c r="CD140" s="10">
        <f t="shared" si="129"/>
        <v>34</v>
      </c>
      <c r="CE140" s="10">
        <f t="shared" si="130"/>
        <v>33</v>
      </c>
      <c r="CF140" s="10">
        <f t="shared" si="131"/>
        <v>32</v>
      </c>
      <c r="CG140" s="10">
        <f t="shared" si="132"/>
        <v>31</v>
      </c>
      <c r="CH140" s="10">
        <f t="shared" si="133"/>
        <v>30</v>
      </c>
      <c r="CI140" s="10">
        <f t="shared" si="134"/>
        <v>29</v>
      </c>
      <c r="CJ140" s="10">
        <f t="shared" si="135"/>
        <v>28</v>
      </c>
      <c r="CK140" s="10">
        <f t="shared" si="136"/>
        <v>27</v>
      </c>
      <c r="CL140" s="10">
        <f t="shared" si="137"/>
        <v>26</v>
      </c>
      <c r="CM140" s="10" t="str">
        <f>'役職希望調査 ・備考'!I110&amp;""</f>
        <v/>
      </c>
    </row>
    <row r="141" spans="1:91">
      <c r="A141" s="10" t="str">
        <f>時間希望調査!A111&amp;""</f>
        <v/>
      </c>
      <c r="B141" s="10" t="str">
        <f>時間希望調査!B111&amp;""</f>
        <v/>
      </c>
      <c r="C141" s="10" t="str">
        <f>時間希望調査!C111&amp;""</f>
        <v/>
      </c>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0">
        <f t="shared" si="107"/>
        <v>0</v>
      </c>
      <c r="BC141" s="10">
        <f>時間希望調査!D111</f>
        <v>0</v>
      </c>
      <c r="BD141" s="10" t="str">
        <f>'役職希望調査 ・備考'!D111&amp;""</f>
        <v/>
      </c>
      <c r="BE141" s="10" t="str">
        <f>'役職希望調査 ・備考'!E111&amp;""</f>
        <v/>
      </c>
      <c r="BF141" s="10" t="str">
        <f>'役職希望調査 ・備考'!F111&amp;""</f>
        <v/>
      </c>
      <c r="BG141" s="10" t="str">
        <f>'役職希望調査 ・備考'!G111&amp;""</f>
        <v/>
      </c>
      <c r="BH141" s="10" t="str">
        <f>'役職希望調査 ・備考'!H111&amp;""</f>
        <v/>
      </c>
      <c r="BI141" s="10">
        <f t="shared" si="108"/>
        <v>0</v>
      </c>
      <c r="BJ141" s="10">
        <f t="shared" si="109"/>
        <v>0</v>
      </c>
      <c r="BK141" s="10">
        <f t="shared" si="110"/>
        <v>0</v>
      </c>
      <c r="BL141" s="10">
        <f t="shared" si="111"/>
        <v>0</v>
      </c>
      <c r="BM141" s="10">
        <f t="shared" si="112"/>
        <v>0</v>
      </c>
      <c r="BN141" s="10">
        <f t="shared" si="113"/>
        <v>0</v>
      </c>
      <c r="BO141" s="10">
        <f t="shared" si="114"/>
        <v>48</v>
      </c>
      <c r="BP141" s="10">
        <f t="shared" si="115"/>
        <v>48</v>
      </c>
      <c r="BQ141" s="10">
        <f t="shared" si="116"/>
        <v>47</v>
      </c>
      <c r="BR141" s="10">
        <f t="shared" si="117"/>
        <v>46</v>
      </c>
      <c r="BS141" s="10">
        <f t="shared" si="118"/>
        <v>45</v>
      </c>
      <c r="BT141" s="10">
        <f t="shared" si="119"/>
        <v>44</v>
      </c>
      <c r="BU141" s="10">
        <f t="shared" si="120"/>
        <v>43</v>
      </c>
      <c r="BV141" s="10">
        <f t="shared" si="121"/>
        <v>42</v>
      </c>
      <c r="BW141" s="10">
        <f t="shared" si="122"/>
        <v>41</v>
      </c>
      <c r="BX141" s="10">
        <f t="shared" si="123"/>
        <v>40</v>
      </c>
      <c r="BY141" s="10">
        <f t="shared" si="124"/>
        <v>39</v>
      </c>
      <c r="BZ141" s="10">
        <f t="shared" si="125"/>
        <v>38</v>
      </c>
      <c r="CA141" s="10">
        <f t="shared" si="126"/>
        <v>37</v>
      </c>
      <c r="CB141" s="10">
        <f t="shared" si="127"/>
        <v>36</v>
      </c>
      <c r="CC141" s="10">
        <f t="shared" si="128"/>
        <v>35</v>
      </c>
      <c r="CD141" s="10">
        <f t="shared" si="129"/>
        <v>34</v>
      </c>
      <c r="CE141" s="10">
        <f t="shared" si="130"/>
        <v>33</v>
      </c>
      <c r="CF141" s="10">
        <f t="shared" si="131"/>
        <v>32</v>
      </c>
      <c r="CG141" s="10">
        <f t="shared" si="132"/>
        <v>31</v>
      </c>
      <c r="CH141" s="10">
        <f t="shared" si="133"/>
        <v>30</v>
      </c>
      <c r="CI141" s="10">
        <f t="shared" si="134"/>
        <v>29</v>
      </c>
      <c r="CJ141" s="10">
        <f t="shared" si="135"/>
        <v>28</v>
      </c>
      <c r="CK141" s="10">
        <f t="shared" si="136"/>
        <v>27</v>
      </c>
      <c r="CL141" s="10">
        <f t="shared" si="137"/>
        <v>26</v>
      </c>
      <c r="CM141" s="10" t="str">
        <f>'役職希望調査 ・備考'!I111&amp;""</f>
        <v/>
      </c>
    </row>
    <row r="142" spans="1:91">
      <c r="A142" s="10" t="str">
        <f>時間希望調査!A112&amp;""</f>
        <v/>
      </c>
      <c r="B142" s="10" t="str">
        <f>時間希望調査!B112&amp;""</f>
        <v/>
      </c>
      <c r="C142" s="10" t="str">
        <f>時間希望調査!C112&amp;""</f>
        <v/>
      </c>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0">
        <f t="shared" si="107"/>
        <v>0</v>
      </c>
      <c r="BC142" s="10">
        <f>時間希望調査!D112</f>
        <v>0</v>
      </c>
      <c r="BD142" s="10" t="str">
        <f>'役職希望調査 ・備考'!D112&amp;""</f>
        <v/>
      </c>
      <c r="BE142" s="10" t="str">
        <f>'役職希望調査 ・備考'!E112&amp;""</f>
        <v/>
      </c>
      <c r="BF142" s="10" t="str">
        <f>'役職希望調査 ・備考'!F112&amp;""</f>
        <v/>
      </c>
      <c r="BG142" s="10" t="str">
        <f>'役職希望調査 ・備考'!G112&amp;""</f>
        <v/>
      </c>
      <c r="BH142" s="10" t="str">
        <f>'役職希望調査 ・備考'!H112&amp;""</f>
        <v/>
      </c>
      <c r="BI142" s="10">
        <f t="shared" si="108"/>
        <v>0</v>
      </c>
      <c r="BJ142" s="10">
        <f t="shared" si="109"/>
        <v>0</v>
      </c>
      <c r="BK142" s="10">
        <f t="shared" si="110"/>
        <v>0</v>
      </c>
      <c r="BL142" s="10">
        <f t="shared" si="111"/>
        <v>0</v>
      </c>
      <c r="BM142" s="10">
        <f t="shared" si="112"/>
        <v>0</v>
      </c>
      <c r="BN142" s="10">
        <f t="shared" si="113"/>
        <v>0</v>
      </c>
      <c r="BO142" s="10">
        <f t="shared" si="114"/>
        <v>48</v>
      </c>
      <c r="BP142" s="10">
        <f t="shared" si="115"/>
        <v>48</v>
      </c>
      <c r="BQ142" s="10">
        <f t="shared" si="116"/>
        <v>47</v>
      </c>
      <c r="BR142" s="10">
        <f t="shared" si="117"/>
        <v>46</v>
      </c>
      <c r="BS142" s="10">
        <f t="shared" si="118"/>
        <v>45</v>
      </c>
      <c r="BT142" s="10">
        <f t="shared" si="119"/>
        <v>44</v>
      </c>
      <c r="BU142" s="10">
        <f t="shared" si="120"/>
        <v>43</v>
      </c>
      <c r="BV142" s="10">
        <f t="shared" si="121"/>
        <v>42</v>
      </c>
      <c r="BW142" s="10">
        <f t="shared" si="122"/>
        <v>41</v>
      </c>
      <c r="BX142" s="10">
        <f t="shared" si="123"/>
        <v>40</v>
      </c>
      <c r="BY142" s="10">
        <f t="shared" si="124"/>
        <v>39</v>
      </c>
      <c r="BZ142" s="10">
        <f t="shared" si="125"/>
        <v>38</v>
      </c>
      <c r="CA142" s="10">
        <f t="shared" si="126"/>
        <v>37</v>
      </c>
      <c r="CB142" s="10">
        <f t="shared" si="127"/>
        <v>36</v>
      </c>
      <c r="CC142" s="10">
        <f t="shared" si="128"/>
        <v>35</v>
      </c>
      <c r="CD142" s="10">
        <f t="shared" si="129"/>
        <v>34</v>
      </c>
      <c r="CE142" s="10">
        <f t="shared" si="130"/>
        <v>33</v>
      </c>
      <c r="CF142" s="10">
        <f t="shared" si="131"/>
        <v>32</v>
      </c>
      <c r="CG142" s="10">
        <f t="shared" si="132"/>
        <v>31</v>
      </c>
      <c r="CH142" s="10">
        <f t="shared" si="133"/>
        <v>30</v>
      </c>
      <c r="CI142" s="10">
        <f t="shared" si="134"/>
        <v>29</v>
      </c>
      <c r="CJ142" s="10">
        <f t="shared" si="135"/>
        <v>28</v>
      </c>
      <c r="CK142" s="10">
        <f t="shared" si="136"/>
        <v>27</v>
      </c>
      <c r="CL142" s="10">
        <f t="shared" si="137"/>
        <v>26</v>
      </c>
      <c r="CM142" s="10" t="str">
        <f>'役職希望調査 ・備考'!I112&amp;""</f>
        <v/>
      </c>
    </row>
    <row r="143" spans="1:91">
      <c r="A143" s="10" t="str">
        <f>時間希望調査!A113&amp;""</f>
        <v/>
      </c>
      <c r="B143" s="10" t="str">
        <f>時間希望調査!B113&amp;""</f>
        <v/>
      </c>
      <c r="C143" s="10" t="str">
        <f>時間希望調査!C113&amp;""</f>
        <v/>
      </c>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0">
        <f t="shared" si="107"/>
        <v>0</v>
      </c>
      <c r="BC143" s="10">
        <f>時間希望調査!D113</f>
        <v>0</v>
      </c>
      <c r="BD143" s="10" t="str">
        <f>'役職希望調査 ・備考'!D113&amp;""</f>
        <v/>
      </c>
      <c r="BE143" s="10" t="str">
        <f>'役職希望調査 ・備考'!E113&amp;""</f>
        <v/>
      </c>
      <c r="BF143" s="10" t="str">
        <f>'役職希望調査 ・備考'!F113&amp;""</f>
        <v/>
      </c>
      <c r="BG143" s="10" t="str">
        <f>'役職希望調査 ・備考'!G113&amp;""</f>
        <v/>
      </c>
      <c r="BH143" s="10" t="str">
        <f>'役職希望調査 ・備考'!H113&amp;""</f>
        <v/>
      </c>
      <c r="BI143" s="10">
        <f t="shared" si="108"/>
        <v>0</v>
      </c>
      <c r="BJ143" s="10">
        <f t="shared" si="109"/>
        <v>0</v>
      </c>
      <c r="BK143" s="10">
        <f t="shared" si="110"/>
        <v>0</v>
      </c>
      <c r="BL143" s="10">
        <f t="shared" si="111"/>
        <v>0</v>
      </c>
      <c r="BM143" s="10">
        <f t="shared" si="112"/>
        <v>0</v>
      </c>
      <c r="BN143" s="10">
        <f t="shared" si="113"/>
        <v>0</v>
      </c>
      <c r="BO143" s="10">
        <f t="shared" si="114"/>
        <v>48</v>
      </c>
      <c r="BP143" s="10">
        <f t="shared" si="115"/>
        <v>48</v>
      </c>
      <c r="BQ143" s="10">
        <f t="shared" si="116"/>
        <v>47</v>
      </c>
      <c r="BR143" s="10">
        <f t="shared" si="117"/>
        <v>46</v>
      </c>
      <c r="BS143" s="10">
        <f t="shared" si="118"/>
        <v>45</v>
      </c>
      <c r="BT143" s="10">
        <f t="shared" si="119"/>
        <v>44</v>
      </c>
      <c r="BU143" s="10">
        <f t="shared" si="120"/>
        <v>43</v>
      </c>
      <c r="BV143" s="10">
        <f t="shared" si="121"/>
        <v>42</v>
      </c>
      <c r="BW143" s="10">
        <f t="shared" si="122"/>
        <v>41</v>
      </c>
      <c r="BX143" s="10">
        <f t="shared" si="123"/>
        <v>40</v>
      </c>
      <c r="BY143" s="10">
        <f t="shared" si="124"/>
        <v>39</v>
      </c>
      <c r="BZ143" s="10">
        <f t="shared" si="125"/>
        <v>38</v>
      </c>
      <c r="CA143" s="10">
        <f t="shared" si="126"/>
        <v>37</v>
      </c>
      <c r="CB143" s="10">
        <f t="shared" si="127"/>
        <v>36</v>
      </c>
      <c r="CC143" s="10">
        <f t="shared" si="128"/>
        <v>35</v>
      </c>
      <c r="CD143" s="10">
        <f t="shared" si="129"/>
        <v>34</v>
      </c>
      <c r="CE143" s="10">
        <f t="shared" si="130"/>
        <v>33</v>
      </c>
      <c r="CF143" s="10">
        <f t="shared" si="131"/>
        <v>32</v>
      </c>
      <c r="CG143" s="10">
        <f t="shared" si="132"/>
        <v>31</v>
      </c>
      <c r="CH143" s="10">
        <f t="shared" si="133"/>
        <v>30</v>
      </c>
      <c r="CI143" s="10">
        <f t="shared" si="134"/>
        <v>29</v>
      </c>
      <c r="CJ143" s="10">
        <f t="shared" si="135"/>
        <v>28</v>
      </c>
      <c r="CK143" s="10">
        <f t="shared" si="136"/>
        <v>27</v>
      </c>
      <c r="CL143" s="10">
        <f t="shared" si="137"/>
        <v>26</v>
      </c>
      <c r="CM143" s="10" t="str">
        <f>'役職希望調査 ・備考'!I113&amp;""</f>
        <v/>
      </c>
    </row>
    <row r="144" spans="1:91">
      <c r="A144" s="10" t="str">
        <f>時間希望調査!A114&amp;""</f>
        <v/>
      </c>
      <c r="B144" s="10" t="str">
        <f>時間希望調査!B114&amp;""</f>
        <v/>
      </c>
      <c r="C144" s="10" t="str">
        <f>時間希望調査!C114&amp;""</f>
        <v/>
      </c>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0">
        <f t="shared" si="107"/>
        <v>0</v>
      </c>
      <c r="BC144" s="10">
        <f>時間希望調査!D114</f>
        <v>0</v>
      </c>
      <c r="BD144" s="10" t="str">
        <f>'役職希望調査 ・備考'!D114&amp;""</f>
        <v/>
      </c>
      <c r="BE144" s="10" t="str">
        <f>'役職希望調査 ・備考'!E114&amp;""</f>
        <v/>
      </c>
      <c r="BF144" s="10" t="str">
        <f>'役職希望調査 ・備考'!F114&amp;""</f>
        <v/>
      </c>
      <c r="BG144" s="10" t="str">
        <f>'役職希望調査 ・備考'!G114&amp;""</f>
        <v/>
      </c>
      <c r="BH144" s="10" t="str">
        <f>'役職希望調査 ・備考'!H114&amp;""</f>
        <v/>
      </c>
      <c r="BI144" s="10">
        <f t="shared" si="108"/>
        <v>0</v>
      </c>
      <c r="BJ144" s="10">
        <f t="shared" si="109"/>
        <v>0</v>
      </c>
      <c r="BK144" s="10">
        <f t="shared" si="110"/>
        <v>0</v>
      </c>
      <c r="BL144" s="10">
        <f t="shared" si="111"/>
        <v>0</v>
      </c>
      <c r="BM144" s="10">
        <f t="shared" si="112"/>
        <v>0</v>
      </c>
      <c r="BN144" s="10">
        <f t="shared" si="113"/>
        <v>0</v>
      </c>
      <c r="BO144" s="10">
        <f t="shared" si="114"/>
        <v>48</v>
      </c>
      <c r="BP144" s="10">
        <f t="shared" si="115"/>
        <v>48</v>
      </c>
      <c r="BQ144" s="10">
        <f t="shared" si="116"/>
        <v>47</v>
      </c>
      <c r="BR144" s="10">
        <f t="shared" si="117"/>
        <v>46</v>
      </c>
      <c r="BS144" s="10">
        <f t="shared" si="118"/>
        <v>45</v>
      </c>
      <c r="BT144" s="10">
        <f t="shared" si="119"/>
        <v>44</v>
      </c>
      <c r="BU144" s="10">
        <f t="shared" si="120"/>
        <v>43</v>
      </c>
      <c r="BV144" s="10">
        <f t="shared" si="121"/>
        <v>42</v>
      </c>
      <c r="BW144" s="10">
        <f t="shared" si="122"/>
        <v>41</v>
      </c>
      <c r="BX144" s="10">
        <f t="shared" si="123"/>
        <v>40</v>
      </c>
      <c r="BY144" s="10">
        <f t="shared" si="124"/>
        <v>39</v>
      </c>
      <c r="BZ144" s="10">
        <f t="shared" si="125"/>
        <v>38</v>
      </c>
      <c r="CA144" s="10">
        <f t="shared" si="126"/>
        <v>37</v>
      </c>
      <c r="CB144" s="10">
        <f t="shared" si="127"/>
        <v>36</v>
      </c>
      <c r="CC144" s="10">
        <f t="shared" si="128"/>
        <v>35</v>
      </c>
      <c r="CD144" s="10">
        <f t="shared" si="129"/>
        <v>34</v>
      </c>
      <c r="CE144" s="10">
        <f t="shared" si="130"/>
        <v>33</v>
      </c>
      <c r="CF144" s="10">
        <f t="shared" si="131"/>
        <v>32</v>
      </c>
      <c r="CG144" s="10">
        <f t="shared" si="132"/>
        <v>31</v>
      </c>
      <c r="CH144" s="10">
        <f t="shared" si="133"/>
        <v>30</v>
      </c>
      <c r="CI144" s="10">
        <f t="shared" si="134"/>
        <v>29</v>
      </c>
      <c r="CJ144" s="10">
        <f t="shared" si="135"/>
        <v>28</v>
      </c>
      <c r="CK144" s="10">
        <f t="shared" si="136"/>
        <v>27</v>
      </c>
      <c r="CL144" s="10">
        <f t="shared" si="137"/>
        <v>26</v>
      </c>
      <c r="CM144" s="10" t="str">
        <f>'役職希望調査 ・備考'!I114&amp;""</f>
        <v/>
      </c>
    </row>
    <row r="145" spans="1:91">
      <c r="A145" s="10" t="str">
        <f>時間希望調査!A115&amp;""</f>
        <v/>
      </c>
      <c r="B145" s="10" t="str">
        <f>時間希望調査!B115&amp;""</f>
        <v/>
      </c>
      <c r="C145" s="10" t="str">
        <f>時間希望調査!C115&amp;""</f>
        <v/>
      </c>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0">
        <f t="shared" si="107"/>
        <v>0</v>
      </c>
      <c r="BC145" s="10">
        <f>時間希望調査!D115</f>
        <v>0</v>
      </c>
      <c r="BD145" s="10" t="str">
        <f>'役職希望調査 ・備考'!D115&amp;""</f>
        <v/>
      </c>
      <c r="BE145" s="10" t="str">
        <f>'役職希望調査 ・備考'!E115&amp;""</f>
        <v/>
      </c>
      <c r="BF145" s="10" t="str">
        <f>'役職希望調査 ・備考'!F115&amp;""</f>
        <v/>
      </c>
      <c r="BG145" s="10" t="str">
        <f>'役職希望調査 ・備考'!G115&amp;""</f>
        <v/>
      </c>
      <c r="BH145" s="10" t="str">
        <f>'役職希望調査 ・備考'!H115&amp;""</f>
        <v/>
      </c>
      <c r="BI145" s="10">
        <f t="shared" si="108"/>
        <v>0</v>
      </c>
      <c r="BJ145" s="10">
        <f t="shared" si="109"/>
        <v>0</v>
      </c>
      <c r="BK145" s="10">
        <f t="shared" si="110"/>
        <v>0</v>
      </c>
      <c r="BL145" s="10">
        <f t="shared" si="111"/>
        <v>0</v>
      </c>
      <c r="BM145" s="10">
        <f t="shared" si="112"/>
        <v>0</v>
      </c>
      <c r="BN145" s="10">
        <f t="shared" si="113"/>
        <v>0</v>
      </c>
      <c r="BO145" s="10">
        <f t="shared" si="114"/>
        <v>48</v>
      </c>
      <c r="BP145" s="10">
        <f t="shared" si="115"/>
        <v>48</v>
      </c>
      <c r="BQ145" s="10">
        <f t="shared" si="116"/>
        <v>47</v>
      </c>
      <c r="BR145" s="10">
        <f t="shared" si="117"/>
        <v>46</v>
      </c>
      <c r="BS145" s="10">
        <f t="shared" si="118"/>
        <v>45</v>
      </c>
      <c r="BT145" s="10">
        <f t="shared" si="119"/>
        <v>44</v>
      </c>
      <c r="BU145" s="10">
        <f t="shared" si="120"/>
        <v>43</v>
      </c>
      <c r="BV145" s="10">
        <f t="shared" si="121"/>
        <v>42</v>
      </c>
      <c r="BW145" s="10">
        <f t="shared" si="122"/>
        <v>41</v>
      </c>
      <c r="BX145" s="10">
        <f t="shared" si="123"/>
        <v>40</v>
      </c>
      <c r="BY145" s="10">
        <f t="shared" si="124"/>
        <v>39</v>
      </c>
      <c r="BZ145" s="10">
        <f t="shared" si="125"/>
        <v>38</v>
      </c>
      <c r="CA145" s="10">
        <f t="shared" si="126"/>
        <v>37</v>
      </c>
      <c r="CB145" s="10">
        <f t="shared" si="127"/>
        <v>36</v>
      </c>
      <c r="CC145" s="10">
        <f t="shared" si="128"/>
        <v>35</v>
      </c>
      <c r="CD145" s="10">
        <f t="shared" si="129"/>
        <v>34</v>
      </c>
      <c r="CE145" s="10">
        <f t="shared" si="130"/>
        <v>33</v>
      </c>
      <c r="CF145" s="10">
        <f t="shared" si="131"/>
        <v>32</v>
      </c>
      <c r="CG145" s="10">
        <f t="shared" si="132"/>
        <v>31</v>
      </c>
      <c r="CH145" s="10">
        <f t="shared" si="133"/>
        <v>30</v>
      </c>
      <c r="CI145" s="10">
        <f t="shared" si="134"/>
        <v>29</v>
      </c>
      <c r="CJ145" s="10">
        <f t="shared" si="135"/>
        <v>28</v>
      </c>
      <c r="CK145" s="10">
        <f t="shared" si="136"/>
        <v>27</v>
      </c>
      <c r="CL145" s="10">
        <f t="shared" si="137"/>
        <v>26</v>
      </c>
      <c r="CM145" s="10" t="str">
        <f>'役職希望調査 ・備考'!I115&amp;""</f>
        <v/>
      </c>
    </row>
    <row r="146" spans="1:91">
      <c r="A146" s="10" t="str">
        <f>時間希望調査!A116&amp;""</f>
        <v/>
      </c>
      <c r="B146" s="10" t="str">
        <f>時間希望調査!B116&amp;""</f>
        <v/>
      </c>
      <c r="C146" s="10" t="str">
        <f>時間希望調査!C116&amp;""</f>
        <v/>
      </c>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0">
        <f t="shared" si="107"/>
        <v>0</v>
      </c>
      <c r="BC146" s="10">
        <f>時間希望調査!D116</f>
        <v>0</v>
      </c>
      <c r="BD146" s="10" t="str">
        <f>'役職希望調査 ・備考'!D116&amp;""</f>
        <v/>
      </c>
      <c r="BE146" s="10" t="str">
        <f>'役職希望調査 ・備考'!E116&amp;""</f>
        <v/>
      </c>
      <c r="BF146" s="10" t="str">
        <f>'役職希望調査 ・備考'!F116&amp;""</f>
        <v/>
      </c>
      <c r="BG146" s="10" t="str">
        <f>'役職希望調査 ・備考'!G116&amp;""</f>
        <v/>
      </c>
      <c r="BH146" s="10" t="str">
        <f>'役職希望調査 ・備考'!H116&amp;""</f>
        <v/>
      </c>
      <c r="BI146" s="10">
        <f t="shared" si="108"/>
        <v>0</v>
      </c>
      <c r="BJ146" s="10">
        <f t="shared" si="109"/>
        <v>0</v>
      </c>
      <c r="BK146" s="10">
        <f t="shared" si="110"/>
        <v>0</v>
      </c>
      <c r="BL146" s="10">
        <f t="shared" si="111"/>
        <v>0</v>
      </c>
      <c r="BM146" s="10">
        <f t="shared" si="112"/>
        <v>0</v>
      </c>
      <c r="BN146" s="10">
        <f t="shared" si="113"/>
        <v>0</v>
      </c>
      <c r="BO146" s="10">
        <f t="shared" si="114"/>
        <v>48</v>
      </c>
      <c r="BP146" s="10">
        <f t="shared" si="115"/>
        <v>48</v>
      </c>
      <c r="BQ146" s="10">
        <f t="shared" si="116"/>
        <v>47</v>
      </c>
      <c r="BR146" s="10">
        <f t="shared" si="117"/>
        <v>46</v>
      </c>
      <c r="BS146" s="10">
        <f t="shared" si="118"/>
        <v>45</v>
      </c>
      <c r="BT146" s="10">
        <f t="shared" si="119"/>
        <v>44</v>
      </c>
      <c r="BU146" s="10">
        <f t="shared" si="120"/>
        <v>43</v>
      </c>
      <c r="BV146" s="10">
        <f t="shared" si="121"/>
        <v>42</v>
      </c>
      <c r="BW146" s="10">
        <f t="shared" si="122"/>
        <v>41</v>
      </c>
      <c r="BX146" s="10">
        <f t="shared" si="123"/>
        <v>40</v>
      </c>
      <c r="BY146" s="10">
        <f t="shared" si="124"/>
        <v>39</v>
      </c>
      <c r="BZ146" s="10">
        <f t="shared" si="125"/>
        <v>38</v>
      </c>
      <c r="CA146" s="10">
        <f t="shared" si="126"/>
        <v>37</v>
      </c>
      <c r="CB146" s="10">
        <f t="shared" si="127"/>
        <v>36</v>
      </c>
      <c r="CC146" s="10">
        <f t="shared" si="128"/>
        <v>35</v>
      </c>
      <c r="CD146" s="10">
        <f t="shared" si="129"/>
        <v>34</v>
      </c>
      <c r="CE146" s="10">
        <f t="shared" si="130"/>
        <v>33</v>
      </c>
      <c r="CF146" s="10">
        <f t="shared" si="131"/>
        <v>32</v>
      </c>
      <c r="CG146" s="10">
        <f t="shared" si="132"/>
        <v>31</v>
      </c>
      <c r="CH146" s="10">
        <f t="shared" si="133"/>
        <v>30</v>
      </c>
      <c r="CI146" s="10">
        <f t="shared" si="134"/>
        <v>29</v>
      </c>
      <c r="CJ146" s="10">
        <f t="shared" si="135"/>
        <v>28</v>
      </c>
      <c r="CK146" s="10">
        <f t="shared" si="136"/>
        <v>27</v>
      </c>
      <c r="CL146" s="10">
        <f t="shared" si="137"/>
        <v>26</v>
      </c>
      <c r="CM146" s="10" t="str">
        <f>'役職希望調査 ・備考'!I116&amp;""</f>
        <v/>
      </c>
    </row>
    <row r="147" spans="1:91">
      <c r="A147" s="10" t="str">
        <f>時間希望調査!A117&amp;""</f>
        <v/>
      </c>
      <c r="B147" s="10" t="str">
        <f>時間希望調査!B117&amp;""</f>
        <v/>
      </c>
      <c r="C147" s="10" t="str">
        <f>時間希望調査!C117&amp;""</f>
        <v/>
      </c>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0">
        <f t="shared" si="107"/>
        <v>0</v>
      </c>
      <c r="BC147" s="10">
        <f>時間希望調査!D117</f>
        <v>0</v>
      </c>
      <c r="BD147" s="10" t="str">
        <f>'役職希望調査 ・備考'!D117&amp;""</f>
        <v/>
      </c>
      <c r="BE147" s="10" t="str">
        <f>'役職希望調査 ・備考'!E117&amp;""</f>
        <v/>
      </c>
      <c r="BF147" s="10" t="str">
        <f>'役職希望調査 ・備考'!F117&amp;""</f>
        <v/>
      </c>
      <c r="BG147" s="10" t="str">
        <f>'役職希望調査 ・備考'!G117&amp;""</f>
        <v/>
      </c>
      <c r="BH147" s="10" t="str">
        <f>'役職希望調査 ・備考'!H117&amp;""</f>
        <v/>
      </c>
      <c r="BI147" s="10">
        <f t="shared" si="108"/>
        <v>0</v>
      </c>
      <c r="BJ147" s="10">
        <f t="shared" si="109"/>
        <v>0</v>
      </c>
      <c r="BK147" s="10">
        <f t="shared" si="110"/>
        <v>0</v>
      </c>
      <c r="BL147" s="10">
        <f t="shared" si="111"/>
        <v>0</v>
      </c>
      <c r="BM147" s="10">
        <f t="shared" si="112"/>
        <v>0</v>
      </c>
      <c r="BN147" s="10">
        <f t="shared" si="113"/>
        <v>0</v>
      </c>
      <c r="BO147" s="10">
        <f t="shared" si="114"/>
        <v>48</v>
      </c>
      <c r="BP147" s="10">
        <f t="shared" si="115"/>
        <v>48</v>
      </c>
      <c r="BQ147" s="10">
        <f t="shared" si="116"/>
        <v>47</v>
      </c>
      <c r="BR147" s="10">
        <f t="shared" si="117"/>
        <v>46</v>
      </c>
      <c r="BS147" s="10">
        <f t="shared" si="118"/>
        <v>45</v>
      </c>
      <c r="BT147" s="10">
        <f t="shared" si="119"/>
        <v>44</v>
      </c>
      <c r="BU147" s="10">
        <f t="shared" si="120"/>
        <v>43</v>
      </c>
      <c r="BV147" s="10">
        <f t="shared" si="121"/>
        <v>42</v>
      </c>
      <c r="BW147" s="10">
        <f t="shared" si="122"/>
        <v>41</v>
      </c>
      <c r="BX147" s="10">
        <f t="shared" si="123"/>
        <v>40</v>
      </c>
      <c r="BY147" s="10">
        <f t="shared" si="124"/>
        <v>39</v>
      </c>
      <c r="BZ147" s="10">
        <f t="shared" si="125"/>
        <v>38</v>
      </c>
      <c r="CA147" s="10">
        <f t="shared" si="126"/>
        <v>37</v>
      </c>
      <c r="CB147" s="10">
        <f t="shared" si="127"/>
        <v>36</v>
      </c>
      <c r="CC147" s="10">
        <f t="shared" si="128"/>
        <v>35</v>
      </c>
      <c r="CD147" s="10">
        <f t="shared" si="129"/>
        <v>34</v>
      </c>
      <c r="CE147" s="10">
        <f t="shared" si="130"/>
        <v>33</v>
      </c>
      <c r="CF147" s="10">
        <f t="shared" si="131"/>
        <v>32</v>
      </c>
      <c r="CG147" s="10">
        <f t="shared" si="132"/>
        <v>31</v>
      </c>
      <c r="CH147" s="10">
        <f t="shared" si="133"/>
        <v>30</v>
      </c>
      <c r="CI147" s="10">
        <f t="shared" si="134"/>
        <v>29</v>
      </c>
      <c r="CJ147" s="10">
        <f t="shared" si="135"/>
        <v>28</v>
      </c>
      <c r="CK147" s="10">
        <f t="shared" si="136"/>
        <v>27</v>
      </c>
      <c r="CL147" s="10">
        <f t="shared" si="137"/>
        <v>26</v>
      </c>
      <c r="CM147" s="10" t="str">
        <f>'役職希望調査 ・備考'!I117&amp;""</f>
        <v/>
      </c>
    </row>
    <row r="148" spans="1:91">
      <c r="A148" s="10" t="str">
        <f>時間希望調査!A118&amp;""</f>
        <v/>
      </c>
      <c r="B148" s="10" t="str">
        <f>時間希望調査!B118&amp;""</f>
        <v/>
      </c>
      <c r="C148" s="10" t="str">
        <f>時間希望調査!C118&amp;""</f>
        <v/>
      </c>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0">
        <f t="shared" si="107"/>
        <v>0</v>
      </c>
      <c r="BC148" s="10">
        <f>時間希望調査!D118</f>
        <v>0</v>
      </c>
      <c r="BD148" s="10" t="str">
        <f>'役職希望調査 ・備考'!D118&amp;""</f>
        <v/>
      </c>
      <c r="BE148" s="10" t="str">
        <f>'役職希望調査 ・備考'!E118&amp;""</f>
        <v/>
      </c>
      <c r="BF148" s="10" t="str">
        <f>'役職希望調査 ・備考'!F118&amp;""</f>
        <v/>
      </c>
      <c r="BG148" s="10" t="str">
        <f>'役職希望調査 ・備考'!G118&amp;""</f>
        <v/>
      </c>
      <c r="BH148" s="10" t="str">
        <f>'役職希望調査 ・備考'!H118&amp;""</f>
        <v/>
      </c>
      <c r="BI148" s="10">
        <f t="shared" si="108"/>
        <v>0</v>
      </c>
      <c r="BJ148" s="10">
        <f t="shared" si="109"/>
        <v>0</v>
      </c>
      <c r="BK148" s="10">
        <f t="shared" si="110"/>
        <v>0</v>
      </c>
      <c r="BL148" s="10">
        <f t="shared" si="111"/>
        <v>0</v>
      </c>
      <c r="BM148" s="10">
        <f t="shared" si="112"/>
        <v>0</v>
      </c>
      <c r="BN148" s="10">
        <f t="shared" si="113"/>
        <v>0</v>
      </c>
      <c r="BO148" s="10">
        <f t="shared" si="114"/>
        <v>48</v>
      </c>
      <c r="BP148" s="10">
        <f t="shared" si="115"/>
        <v>48</v>
      </c>
      <c r="BQ148" s="10">
        <f t="shared" si="116"/>
        <v>47</v>
      </c>
      <c r="BR148" s="10">
        <f t="shared" si="117"/>
        <v>46</v>
      </c>
      <c r="BS148" s="10">
        <f t="shared" si="118"/>
        <v>45</v>
      </c>
      <c r="BT148" s="10">
        <f t="shared" si="119"/>
        <v>44</v>
      </c>
      <c r="BU148" s="10">
        <f t="shared" si="120"/>
        <v>43</v>
      </c>
      <c r="BV148" s="10">
        <f t="shared" si="121"/>
        <v>42</v>
      </c>
      <c r="BW148" s="10">
        <f t="shared" si="122"/>
        <v>41</v>
      </c>
      <c r="BX148" s="10">
        <f t="shared" si="123"/>
        <v>40</v>
      </c>
      <c r="BY148" s="10">
        <f t="shared" si="124"/>
        <v>39</v>
      </c>
      <c r="BZ148" s="10">
        <f t="shared" si="125"/>
        <v>38</v>
      </c>
      <c r="CA148" s="10">
        <f t="shared" si="126"/>
        <v>37</v>
      </c>
      <c r="CB148" s="10">
        <f t="shared" si="127"/>
        <v>36</v>
      </c>
      <c r="CC148" s="10">
        <f t="shared" si="128"/>
        <v>35</v>
      </c>
      <c r="CD148" s="10">
        <f t="shared" si="129"/>
        <v>34</v>
      </c>
      <c r="CE148" s="10">
        <f t="shared" si="130"/>
        <v>33</v>
      </c>
      <c r="CF148" s="10">
        <f t="shared" si="131"/>
        <v>32</v>
      </c>
      <c r="CG148" s="10">
        <f t="shared" si="132"/>
        <v>31</v>
      </c>
      <c r="CH148" s="10">
        <f t="shared" si="133"/>
        <v>30</v>
      </c>
      <c r="CI148" s="10">
        <f t="shared" si="134"/>
        <v>29</v>
      </c>
      <c r="CJ148" s="10">
        <f t="shared" si="135"/>
        <v>28</v>
      </c>
      <c r="CK148" s="10">
        <f t="shared" si="136"/>
        <v>27</v>
      </c>
      <c r="CL148" s="10">
        <f t="shared" si="137"/>
        <v>26</v>
      </c>
      <c r="CM148" s="10" t="str">
        <f>'役職希望調査 ・備考'!I118&amp;""</f>
        <v/>
      </c>
    </row>
    <row r="149" spans="1:91">
      <c r="A149" s="10" t="str">
        <f>時間希望調査!A119&amp;""</f>
        <v/>
      </c>
      <c r="B149" s="10" t="str">
        <f>時間希望調査!B119&amp;""</f>
        <v/>
      </c>
      <c r="C149" s="10" t="str">
        <f>時間希望調査!C119&amp;""</f>
        <v/>
      </c>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0">
        <f t="shared" si="107"/>
        <v>0</v>
      </c>
      <c r="BC149" s="10">
        <f>時間希望調査!D119</f>
        <v>0</v>
      </c>
      <c r="BD149" s="10" t="str">
        <f>'役職希望調査 ・備考'!D119&amp;""</f>
        <v/>
      </c>
      <c r="BE149" s="10" t="str">
        <f>'役職希望調査 ・備考'!E119&amp;""</f>
        <v/>
      </c>
      <c r="BF149" s="10" t="str">
        <f>'役職希望調査 ・備考'!F119&amp;""</f>
        <v/>
      </c>
      <c r="BG149" s="10" t="str">
        <f>'役職希望調査 ・備考'!G119&amp;""</f>
        <v/>
      </c>
      <c r="BH149" s="10" t="str">
        <f>'役職希望調査 ・備考'!H119&amp;""</f>
        <v/>
      </c>
      <c r="BI149" s="10">
        <f t="shared" si="108"/>
        <v>0</v>
      </c>
      <c r="BJ149" s="10">
        <f t="shared" si="109"/>
        <v>0</v>
      </c>
      <c r="BK149" s="10">
        <f t="shared" si="110"/>
        <v>0</v>
      </c>
      <c r="BL149" s="10">
        <f t="shared" si="111"/>
        <v>0</v>
      </c>
      <c r="BM149" s="10">
        <f t="shared" si="112"/>
        <v>0</v>
      </c>
      <c r="BN149" s="10">
        <f t="shared" si="113"/>
        <v>0</v>
      </c>
      <c r="BO149" s="10">
        <f t="shared" si="114"/>
        <v>48</v>
      </c>
      <c r="BP149" s="10">
        <f t="shared" si="115"/>
        <v>48</v>
      </c>
      <c r="BQ149" s="10">
        <f t="shared" si="116"/>
        <v>47</v>
      </c>
      <c r="BR149" s="10">
        <f t="shared" si="117"/>
        <v>46</v>
      </c>
      <c r="BS149" s="10">
        <f t="shared" si="118"/>
        <v>45</v>
      </c>
      <c r="BT149" s="10">
        <f t="shared" si="119"/>
        <v>44</v>
      </c>
      <c r="BU149" s="10">
        <f t="shared" si="120"/>
        <v>43</v>
      </c>
      <c r="BV149" s="10">
        <f t="shared" si="121"/>
        <v>42</v>
      </c>
      <c r="BW149" s="10">
        <f t="shared" si="122"/>
        <v>41</v>
      </c>
      <c r="BX149" s="10">
        <f t="shared" si="123"/>
        <v>40</v>
      </c>
      <c r="BY149" s="10">
        <f t="shared" si="124"/>
        <v>39</v>
      </c>
      <c r="BZ149" s="10">
        <f t="shared" si="125"/>
        <v>38</v>
      </c>
      <c r="CA149" s="10">
        <f t="shared" si="126"/>
        <v>37</v>
      </c>
      <c r="CB149" s="10">
        <f t="shared" si="127"/>
        <v>36</v>
      </c>
      <c r="CC149" s="10">
        <f t="shared" si="128"/>
        <v>35</v>
      </c>
      <c r="CD149" s="10">
        <f t="shared" si="129"/>
        <v>34</v>
      </c>
      <c r="CE149" s="10">
        <f t="shared" si="130"/>
        <v>33</v>
      </c>
      <c r="CF149" s="10">
        <f t="shared" si="131"/>
        <v>32</v>
      </c>
      <c r="CG149" s="10">
        <f t="shared" si="132"/>
        <v>31</v>
      </c>
      <c r="CH149" s="10">
        <f t="shared" si="133"/>
        <v>30</v>
      </c>
      <c r="CI149" s="10">
        <f t="shared" si="134"/>
        <v>29</v>
      </c>
      <c r="CJ149" s="10">
        <f t="shared" si="135"/>
        <v>28</v>
      </c>
      <c r="CK149" s="10">
        <f t="shared" si="136"/>
        <v>27</v>
      </c>
      <c r="CL149" s="10">
        <f t="shared" si="137"/>
        <v>26</v>
      </c>
      <c r="CM149" s="10" t="str">
        <f>'役職希望調査 ・備考'!I119&amp;""</f>
        <v/>
      </c>
    </row>
    <row r="150" spans="1:91">
      <c r="A150" s="10" t="str">
        <f>時間希望調査!A120&amp;""</f>
        <v/>
      </c>
      <c r="B150" s="10" t="str">
        <f>時間希望調査!B120&amp;""</f>
        <v/>
      </c>
      <c r="C150" s="10" t="str">
        <f>時間希望調査!C120&amp;""</f>
        <v/>
      </c>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0">
        <f t="shared" si="107"/>
        <v>0</v>
      </c>
      <c r="BC150" s="10">
        <f>時間希望調査!D120</f>
        <v>0</v>
      </c>
      <c r="BD150" s="10" t="str">
        <f>'役職希望調査 ・備考'!D120&amp;""</f>
        <v/>
      </c>
      <c r="BE150" s="10" t="str">
        <f>'役職希望調査 ・備考'!E120&amp;""</f>
        <v/>
      </c>
      <c r="BF150" s="10" t="str">
        <f>'役職希望調査 ・備考'!F120&amp;""</f>
        <v/>
      </c>
      <c r="BG150" s="10" t="str">
        <f>'役職希望調査 ・備考'!G120&amp;""</f>
        <v/>
      </c>
      <c r="BH150" s="10" t="str">
        <f>'役職希望調査 ・備考'!H120&amp;""</f>
        <v/>
      </c>
      <c r="BI150" s="10">
        <f t="shared" si="108"/>
        <v>0</v>
      </c>
      <c r="BJ150" s="10">
        <f t="shared" si="109"/>
        <v>0</v>
      </c>
      <c r="BK150" s="10">
        <f t="shared" si="110"/>
        <v>0</v>
      </c>
      <c r="BL150" s="10">
        <f t="shared" si="111"/>
        <v>0</v>
      </c>
      <c r="BM150" s="10">
        <f t="shared" si="112"/>
        <v>0</v>
      </c>
      <c r="BN150" s="10">
        <f t="shared" si="113"/>
        <v>0</v>
      </c>
      <c r="BO150" s="10">
        <f t="shared" si="114"/>
        <v>48</v>
      </c>
      <c r="BP150" s="10">
        <f t="shared" si="115"/>
        <v>48</v>
      </c>
      <c r="BQ150" s="10">
        <f t="shared" si="116"/>
        <v>47</v>
      </c>
      <c r="BR150" s="10">
        <f t="shared" si="117"/>
        <v>46</v>
      </c>
      <c r="BS150" s="10">
        <f t="shared" si="118"/>
        <v>45</v>
      </c>
      <c r="BT150" s="10">
        <f t="shared" si="119"/>
        <v>44</v>
      </c>
      <c r="BU150" s="10">
        <f t="shared" si="120"/>
        <v>43</v>
      </c>
      <c r="BV150" s="10">
        <f t="shared" si="121"/>
        <v>42</v>
      </c>
      <c r="BW150" s="10">
        <f t="shared" si="122"/>
        <v>41</v>
      </c>
      <c r="BX150" s="10">
        <f t="shared" si="123"/>
        <v>40</v>
      </c>
      <c r="BY150" s="10">
        <f t="shared" si="124"/>
        <v>39</v>
      </c>
      <c r="BZ150" s="10">
        <f t="shared" si="125"/>
        <v>38</v>
      </c>
      <c r="CA150" s="10">
        <f t="shared" si="126"/>
        <v>37</v>
      </c>
      <c r="CB150" s="10">
        <f t="shared" si="127"/>
        <v>36</v>
      </c>
      <c r="CC150" s="10">
        <f t="shared" si="128"/>
        <v>35</v>
      </c>
      <c r="CD150" s="10">
        <f t="shared" si="129"/>
        <v>34</v>
      </c>
      <c r="CE150" s="10">
        <f t="shared" si="130"/>
        <v>33</v>
      </c>
      <c r="CF150" s="10">
        <f t="shared" si="131"/>
        <v>32</v>
      </c>
      <c r="CG150" s="10">
        <f t="shared" si="132"/>
        <v>31</v>
      </c>
      <c r="CH150" s="10">
        <f t="shared" si="133"/>
        <v>30</v>
      </c>
      <c r="CI150" s="10">
        <f t="shared" si="134"/>
        <v>29</v>
      </c>
      <c r="CJ150" s="10">
        <f t="shared" si="135"/>
        <v>28</v>
      </c>
      <c r="CK150" s="10">
        <f t="shared" si="136"/>
        <v>27</v>
      </c>
      <c r="CL150" s="10">
        <f t="shared" si="137"/>
        <v>26</v>
      </c>
      <c r="CM150" s="10" t="str">
        <f>'役職希望調査 ・備考'!I120&amp;""</f>
        <v/>
      </c>
    </row>
    <row r="151" spans="1:91">
      <c r="A151" s="10" t="str">
        <f>時間希望調査!A121&amp;""</f>
        <v/>
      </c>
      <c r="B151" s="10" t="str">
        <f>時間希望調査!B121&amp;""</f>
        <v/>
      </c>
      <c r="C151" s="10" t="str">
        <f>時間希望調査!C121&amp;""</f>
        <v/>
      </c>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0">
        <f t="shared" si="107"/>
        <v>0</v>
      </c>
      <c r="BC151" s="10">
        <f>時間希望調査!D121</f>
        <v>0</v>
      </c>
      <c r="BD151" s="10" t="str">
        <f>'役職希望調査 ・備考'!D121&amp;""</f>
        <v/>
      </c>
      <c r="BE151" s="10" t="str">
        <f>'役職希望調査 ・備考'!E121&amp;""</f>
        <v/>
      </c>
      <c r="BF151" s="10" t="str">
        <f>'役職希望調査 ・備考'!F121&amp;""</f>
        <v/>
      </c>
      <c r="BG151" s="10" t="str">
        <f>'役職希望調査 ・備考'!G121&amp;""</f>
        <v/>
      </c>
      <c r="BH151" s="10" t="str">
        <f>'役職希望調査 ・備考'!H121&amp;""</f>
        <v/>
      </c>
      <c r="BI151" s="10">
        <f t="shared" si="108"/>
        <v>0</v>
      </c>
      <c r="BJ151" s="10">
        <f t="shared" si="109"/>
        <v>0</v>
      </c>
      <c r="BK151" s="10">
        <f t="shared" si="110"/>
        <v>0</v>
      </c>
      <c r="BL151" s="10">
        <f t="shared" si="111"/>
        <v>0</v>
      </c>
      <c r="BM151" s="10">
        <f t="shared" si="112"/>
        <v>0</v>
      </c>
      <c r="BN151" s="10">
        <f t="shared" si="113"/>
        <v>0</v>
      </c>
      <c r="BO151" s="10">
        <f t="shared" si="114"/>
        <v>48</v>
      </c>
      <c r="BP151" s="10">
        <f t="shared" si="115"/>
        <v>48</v>
      </c>
      <c r="BQ151" s="10">
        <f t="shared" si="116"/>
        <v>47</v>
      </c>
      <c r="BR151" s="10">
        <f t="shared" si="117"/>
        <v>46</v>
      </c>
      <c r="BS151" s="10">
        <f t="shared" si="118"/>
        <v>45</v>
      </c>
      <c r="BT151" s="10">
        <f t="shared" si="119"/>
        <v>44</v>
      </c>
      <c r="BU151" s="10">
        <f t="shared" si="120"/>
        <v>43</v>
      </c>
      <c r="BV151" s="10">
        <f t="shared" si="121"/>
        <v>42</v>
      </c>
      <c r="BW151" s="10">
        <f t="shared" si="122"/>
        <v>41</v>
      </c>
      <c r="BX151" s="10">
        <f t="shared" si="123"/>
        <v>40</v>
      </c>
      <c r="BY151" s="10">
        <f t="shared" si="124"/>
        <v>39</v>
      </c>
      <c r="BZ151" s="10">
        <f t="shared" si="125"/>
        <v>38</v>
      </c>
      <c r="CA151" s="10">
        <f t="shared" si="126"/>
        <v>37</v>
      </c>
      <c r="CB151" s="10">
        <f t="shared" si="127"/>
        <v>36</v>
      </c>
      <c r="CC151" s="10">
        <f t="shared" si="128"/>
        <v>35</v>
      </c>
      <c r="CD151" s="10">
        <f t="shared" si="129"/>
        <v>34</v>
      </c>
      <c r="CE151" s="10">
        <f t="shared" si="130"/>
        <v>33</v>
      </c>
      <c r="CF151" s="10">
        <f t="shared" si="131"/>
        <v>32</v>
      </c>
      <c r="CG151" s="10">
        <f t="shared" si="132"/>
        <v>31</v>
      </c>
      <c r="CH151" s="10">
        <f t="shared" si="133"/>
        <v>30</v>
      </c>
      <c r="CI151" s="10">
        <f t="shared" si="134"/>
        <v>29</v>
      </c>
      <c r="CJ151" s="10">
        <f t="shared" si="135"/>
        <v>28</v>
      </c>
      <c r="CK151" s="10">
        <f t="shared" si="136"/>
        <v>27</v>
      </c>
      <c r="CL151" s="10">
        <f t="shared" si="137"/>
        <v>26</v>
      </c>
      <c r="CM151" s="10" t="str">
        <f>'役職希望調査 ・備考'!I121&amp;""</f>
        <v/>
      </c>
    </row>
    <row r="152" spans="1:91">
      <c r="A152" s="10" t="str">
        <f>時間希望調査!A122&amp;""</f>
        <v/>
      </c>
      <c r="B152" s="10" t="str">
        <f>時間希望調査!B122&amp;""</f>
        <v/>
      </c>
      <c r="C152" s="10" t="str">
        <f>時間希望調査!C122&amp;""</f>
        <v/>
      </c>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0">
        <f t="shared" si="107"/>
        <v>0</v>
      </c>
      <c r="BC152" s="10">
        <f>時間希望調査!D122</f>
        <v>0</v>
      </c>
      <c r="BD152" s="10" t="str">
        <f>'役職希望調査 ・備考'!D122&amp;""</f>
        <v/>
      </c>
      <c r="BE152" s="10" t="str">
        <f>'役職希望調査 ・備考'!E122&amp;""</f>
        <v/>
      </c>
      <c r="BF152" s="10" t="str">
        <f>'役職希望調査 ・備考'!F122&amp;""</f>
        <v/>
      </c>
      <c r="BG152" s="10" t="str">
        <f>'役職希望調査 ・備考'!G122&amp;""</f>
        <v/>
      </c>
      <c r="BH152" s="10" t="str">
        <f>'役職希望調査 ・備考'!H122&amp;""</f>
        <v/>
      </c>
      <c r="BI152" s="10">
        <f t="shared" si="108"/>
        <v>0</v>
      </c>
      <c r="BJ152" s="10">
        <f t="shared" si="109"/>
        <v>0</v>
      </c>
      <c r="BK152" s="10">
        <f t="shared" si="110"/>
        <v>0</v>
      </c>
      <c r="BL152" s="10">
        <f t="shared" si="111"/>
        <v>0</v>
      </c>
      <c r="BM152" s="10">
        <f t="shared" si="112"/>
        <v>0</v>
      </c>
      <c r="BN152" s="10">
        <f t="shared" si="113"/>
        <v>0</v>
      </c>
      <c r="BO152" s="10">
        <f t="shared" si="114"/>
        <v>48</v>
      </c>
      <c r="BP152" s="10">
        <f t="shared" si="115"/>
        <v>48</v>
      </c>
      <c r="BQ152" s="10">
        <f t="shared" si="116"/>
        <v>47</v>
      </c>
      <c r="BR152" s="10">
        <f t="shared" si="117"/>
        <v>46</v>
      </c>
      <c r="BS152" s="10">
        <f t="shared" si="118"/>
        <v>45</v>
      </c>
      <c r="BT152" s="10">
        <f t="shared" si="119"/>
        <v>44</v>
      </c>
      <c r="BU152" s="10">
        <f t="shared" si="120"/>
        <v>43</v>
      </c>
      <c r="BV152" s="10">
        <f t="shared" si="121"/>
        <v>42</v>
      </c>
      <c r="BW152" s="10">
        <f t="shared" si="122"/>
        <v>41</v>
      </c>
      <c r="BX152" s="10">
        <f t="shared" si="123"/>
        <v>40</v>
      </c>
      <c r="BY152" s="10">
        <f t="shared" si="124"/>
        <v>39</v>
      </c>
      <c r="BZ152" s="10">
        <f t="shared" si="125"/>
        <v>38</v>
      </c>
      <c r="CA152" s="10">
        <f t="shared" si="126"/>
        <v>37</v>
      </c>
      <c r="CB152" s="10">
        <f t="shared" si="127"/>
        <v>36</v>
      </c>
      <c r="CC152" s="10">
        <f t="shared" si="128"/>
        <v>35</v>
      </c>
      <c r="CD152" s="10">
        <f t="shared" si="129"/>
        <v>34</v>
      </c>
      <c r="CE152" s="10">
        <f t="shared" si="130"/>
        <v>33</v>
      </c>
      <c r="CF152" s="10">
        <f t="shared" si="131"/>
        <v>32</v>
      </c>
      <c r="CG152" s="10">
        <f t="shared" si="132"/>
        <v>31</v>
      </c>
      <c r="CH152" s="10">
        <f t="shared" si="133"/>
        <v>30</v>
      </c>
      <c r="CI152" s="10">
        <f t="shared" si="134"/>
        <v>29</v>
      </c>
      <c r="CJ152" s="10">
        <f t="shared" si="135"/>
        <v>28</v>
      </c>
      <c r="CK152" s="10">
        <f t="shared" si="136"/>
        <v>27</v>
      </c>
      <c r="CL152" s="10">
        <f t="shared" si="137"/>
        <v>26</v>
      </c>
      <c r="CM152" s="10" t="str">
        <f>'役職希望調査 ・備考'!I122&amp;""</f>
        <v/>
      </c>
    </row>
    <row r="153" spans="1:91">
      <c r="A153" s="10" t="str">
        <f>時間希望調査!A123&amp;""</f>
        <v/>
      </c>
      <c r="B153" s="10" t="str">
        <f>時間希望調査!B123&amp;""</f>
        <v/>
      </c>
      <c r="C153" s="10" t="str">
        <f>時間希望調査!C123&amp;""</f>
        <v/>
      </c>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0">
        <f t="shared" si="107"/>
        <v>0</v>
      </c>
      <c r="BC153" s="10">
        <f>時間希望調査!D123</f>
        <v>0</v>
      </c>
      <c r="BD153" s="10" t="str">
        <f>'役職希望調査 ・備考'!D123&amp;""</f>
        <v/>
      </c>
      <c r="BE153" s="10" t="str">
        <f>'役職希望調査 ・備考'!E123&amp;""</f>
        <v/>
      </c>
      <c r="BF153" s="10" t="str">
        <f>'役職希望調査 ・備考'!F123&amp;""</f>
        <v/>
      </c>
      <c r="BG153" s="10" t="str">
        <f>'役職希望調査 ・備考'!G123&amp;""</f>
        <v/>
      </c>
      <c r="BH153" s="10" t="str">
        <f>'役職希望調査 ・備考'!H123&amp;""</f>
        <v/>
      </c>
      <c r="BI153" s="10">
        <f t="shared" si="108"/>
        <v>0</v>
      </c>
      <c r="BJ153" s="10">
        <f t="shared" si="109"/>
        <v>0</v>
      </c>
      <c r="BK153" s="10">
        <f t="shared" si="110"/>
        <v>0</v>
      </c>
      <c r="BL153" s="10">
        <f t="shared" si="111"/>
        <v>0</v>
      </c>
      <c r="BM153" s="10">
        <f t="shared" si="112"/>
        <v>0</v>
      </c>
      <c r="BN153" s="10">
        <f t="shared" si="113"/>
        <v>0</v>
      </c>
      <c r="BO153" s="10">
        <f t="shared" si="114"/>
        <v>48</v>
      </c>
      <c r="BP153" s="10">
        <f t="shared" si="115"/>
        <v>48</v>
      </c>
      <c r="BQ153" s="10">
        <f t="shared" si="116"/>
        <v>47</v>
      </c>
      <c r="BR153" s="10">
        <f t="shared" si="117"/>
        <v>46</v>
      </c>
      <c r="BS153" s="10">
        <f t="shared" si="118"/>
        <v>45</v>
      </c>
      <c r="BT153" s="10">
        <f t="shared" si="119"/>
        <v>44</v>
      </c>
      <c r="BU153" s="10">
        <f t="shared" si="120"/>
        <v>43</v>
      </c>
      <c r="BV153" s="10">
        <f t="shared" si="121"/>
        <v>42</v>
      </c>
      <c r="BW153" s="10">
        <f t="shared" si="122"/>
        <v>41</v>
      </c>
      <c r="BX153" s="10">
        <f t="shared" si="123"/>
        <v>40</v>
      </c>
      <c r="BY153" s="10">
        <f t="shared" si="124"/>
        <v>39</v>
      </c>
      <c r="BZ153" s="10">
        <f t="shared" si="125"/>
        <v>38</v>
      </c>
      <c r="CA153" s="10">
        <f t="shared" si="126"/>
        <v>37</v>
      </c>
      <c r="CB153" s="10">
        <f t="shared" si="127"/>
        <v>36</v>
      </c>
      <c r="CC153" s="10">
        <f t="shared" si="128"/>
        <v>35</v>
      </c>
      <c r="CD153" s="10">
        <f t="shared" si="129"/>
        <v>34</v>
      </c>
      <c r="CE153" s="10">
        <f t="shared" si="130"/>
        <v>33</v>
      </c>
      <c r="CF153" s="10">
        <f t="shared" si="131"/>
        <v>32</v>
      </c>
      <c r="CG153" s="10">
        <f t="shared" si="132"/>
        <v>31</v>
      </c>
      <c r="CH153" s="10">
        <f t="shared" si="133"/>
        <v>30</v>
      </c>
      <c r="CI153" s="10">
        <f t="shared" si="134"/>
        <v>29</v>
      </c>
      <c r="CJ153" s="10">
        <f t="shared" si="135"/>
        <v>28</v>
      </c>
      <c r="CK153" s="10">
        <f t="shared" si="136"/>
        <v>27</v>
      </c>
      <c r="CL153" s="10">
        <f t="shared" si="137"/>
        <v>26</v>
      </c>
      <c r="CM153" s="10" t="str">
        <f>'役職希望調査 ・備考'!I123&amp;""</f>
        <v/>
      </c>
    </row>
    <row r="154" spans="1:91">
      <c r="A154" s="10" t="str">
        <f>時間希望調査!A124&amp;""</f>
        <v/>
      </c>
      <c r="B154" s="10" t="str">
        <f>時間希望調査!B124&amp;""</f>
        <v/>
      </c>
      <c r="C154" s="10" t="str">
        <f>時間希望調査!C124&amp;""</f>
        <v/>
      </c>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0">
        <f t="shared" si="107"/>
        <v>0</v>
      </c>
      <c r="BC154" s="10">
        <f>時間希望調査!D124</f>
        <v>0</v>
      </c>
      <c r="BD154" s="10" t="str">
        <f>'役職希望調査 ・備考'!D124&amp;""</f>
        <v/>
      </c>
      <c r="BE154" s="10" t="str">
        <f>'役職希望調査 ・備考'!E124&amp;""</f>
        <v/>
      </c>
      <c r="BF154" s="10" t="str">
        <f>'役職希望調査 ・備考'!F124&amp;""</f>
        <v/>
      </c>
      <c r="BG154" s="10" t="str">
        <f>'役職希望調査 ・備考'!G124&amp;""</f>
        <v/>
      </c>
      <c r="BH154" s="10" t="str">
        <f>'役職希望調査 ・備考'!H124&amp;""</f>
        <v/>
      </c>
      <c r="BI154" s="10">
        <f t="shared" si="108"/>
        <v>0</v>
      </c>
      <c r="BJ154" s="10">
        <f t="shared" si="109"/>
        <v>0</v>
      </c>
      <c r="BK154" s="10">
        <f t="shared" si="110"/>
        <v>0</v>
      </c>
      <c r="BL154" s="10">
        <f t="shared" si="111"/>
        <v>0</v>
      </c>
      <c r="BM154" s="10">
        <f t="shared" si="112"/>
        <v>0</v>
      </c>
      <c r="BN154" s="10">
        <f t="shared" si="113"/>
        <v>0</v>
      </c>
      <c r="BO154" s="10">
        <f t="shared" si="114"/>
        <v>48</v>
      </c>
      <c r="BP154" s="10">
        <f t="shared" si="115"/>
        <v>48</v>
      </c>
      <c r="BQ154" s="10">
        <f t="shared" si="116"/>
        <v>47</v>
      </c>
      <c r="BR154" s="10">
        <f t="shared" si="117"/>
        <v>46</v>
      </c>
      <c r="BS154" s="10">
        <f t="shared" si="118"/>
        <v>45</v>
      </c>
      <c r="BT154" s="10">
        <f t="shared" si="119"/>
        <v>44</v>
      </c>
      <c r="BU154" s="10">
        <f t="shared" si="120"/>
        <v>43</v>
      </c>
      <c r="BV154" s="10">
        <f t="shared" si="121"/>
        <v>42</v>
      </c>
      <c r="BW154" s="10">
        <f t="shared" si="122"/>
        <v>41</v>
      </c>
      <c r="BX154" s="10">
        <f t="shared" si="123"/>
        <v>40</v>
      </c>
      <c r="BY154" s="10">
        <f t="shared" si="124"/>
        <v>39</v>
      </c>
      <c r="BZ154" s="10">
        <f t="shared" si="125"/>
        <v>38</v>
      </c>
      <c r="CA154" s="10">
        <f t="shared" si="126"/>
        <v>37</v>
      </c>
      <c r="CB154" s="10">
        <f t="shared" si="127"/>
        <v>36</v>
      </c>
      <c r="CC154" s="10">
        <f t="shared" si="128"/>
        <v>35</v>
      </c>
      <c r="CD154" s="10">
        <f t="shared" si="129"/>
        <v>34</v>
      </c>
      <c r="CE154" s="10">
        <f t="shared" si="130"/>
        <v>33</v>
      </c>
      <c r="CF154" s="10">
        <f t="shared" si="131"/>
        <v>32</v>
      </c>
      <c r="CG154" s="10">
        <f t="shared" si="132"/>
        <v>31</v>
      </c>
      <c r="CH154" s="10">
        <f t="shared" si="133"/>
        <v>30</v>
      </c>
      <c r="CI154" s="10">
        <f t="shared" si="134"/>
        <v>29</v>
      </c>
      <c r="CJ154" s="10">
        <f t="shared" si="135"/>
        <v>28</v>
      </c>
      <c r="CK154" s="10">
        <f t="shared" si="136"/>
        <v>27</v>
      </c>
      <c r="CL154" s="10">
        <f t="shared" si="137"/>
        <v>26</v>
      </c>
      <c r="CM154" s="10" t="str">
        <f>'役職希望調査 ・備考'!I124&amp;""</f>
        <v/>
      </c>
    </row>
    <row r="155" spans="1:91">
      <c r="A155" s="10" t="str">
        <f>時間希望調査!A125&amp;""</f>
        <v/>
      </c>
      <c r="B155" s="10" t="str">
        <f>時間希望調査!B125&amp;""</f>
        <v/>
      </c>
      <c r="C155" s="10" t="str">
        <f>時間希望調査!C125&amp;""</f>
        <v/>
      </c>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0">
        <f t="shared" si="107"/>
        <v>0</v>
      </c>
      <c r="BC155" s="10">
        <f>時間希望調査!D125</f>
        <v>0</v>
      </c>
      <c r="BD155" s="10" t="str">
        <f>'役職希望調査 ・備考'!D125&amp;""</f>
        <v/>
      </c>
      <c r="BE155" s="10" t="str">
        <f>'役職希望調査 ・備考'!E125&amp;""</f>
        <v/>
      </c>
      <c r="BF155" s="10" t="str">
        <f>'役職希望調査 ・備考'!F125&amp;""</f>
        <v/>
      </c>
      <c r="BG155" s="10" t="str">
        <f>'役職希望調査 ・備考'!G125&amp;""</f>
        <v/>
      </c>
      <c r="BH155" s="10" t="str">
        <f>'役職希望調査 ・備考'!H125&amp;""</f>
        <v/>
      </c>
      <c r="BI155" s="10">
        <f t="shared" si="108"/>
        <v>0</v>
      </c>
      <c r="BJ155" s="10">
        <f t="shared" si="109"/>
        <v>0</v>
      </c>
      <c r="BK155" s="10">
        <f t="shared" si="110"/>
        <v>0</v>
      </c>
      <c r="BL155" s="10">
        <f t="shared" si="111"/>
        <v>0</v>
      </c>
      <c r="BM155" s="10">
        <f t="shared" si="112"/>
        <v>0</v>
      </c>
      <c r="BN155" s="10">
        <f t="shared" si="113"/>
        <v>0</v>
      </c>
      <c r="BO155" s="10">
        <f t="shared" si="114"/>
        <v>48</v>
      </c>
      <c r="BP155" s="10">
        <f t="shared" si="115"/>
        <v>48</v>
      </c>
      <c r="BQ155" s="10">
        <f t="shared" si="116"/>
        <v>47</v>
      </c>
      <c r="BR155" s="10">
        <f t="shared" si="117"/>
        <v>46</v>
      </c>
      <c r="BS155" s="10">
        <f t="shared" si="118"/>
        <v>45</v>
      </c>
      <c r="BT155" s="10">
        <f t="shared" si="119"/>
        <v>44</v>
      </c>
      <c r="BU155" s="10">
        <f t="shared" si="120"/>
        <v>43</v>
      </c>
      <c r="BV155" s="10">
        <f t="shared" si="121"/>
        <v>42</v>
      </c>
      <c r="BW155" s="10">
        <f t="shared" si="122"/>
        <v>41</v>
      </c>
      <c r="BX155" s="10">
        <f t="shared" si="123"/>
        <v>40</v>
      </c>
      <c r="BY155" s="10">
        <f t="shared" si="124"/>
        <v>39</v>
      </c>
      <c r="BZ155" s="10">
        <f t="shared" si="125"/>
        <v>38</v>
      </c>
      <c r="CA155" s="10">
        <f t="shared" si="126"/>
        <v>37</v>
      </c>
      <c r="CB155" s="10">
        <f t="shared" si="127"/>
        <v>36</v>
      </c>
      <c r="CC155" s="10">
        <f t="shared" si="128"/>
        <v>35</v>
      </c>
      <c r="CD155" s="10">
        <f t="shared" si="129"/>
        <v>34</v>
      </c>
      <c r="CE155" s="10">
        <f t="shared" si="130"/>
        <v>33</v>
      </c>
      <c r="CF155" s="10">
        <f t="shared" si="131"/>
        <v>32</v>
      </c>
      <c r="CG155" s="10">
        <f t="shared" si="132"/>
        <v>31</v>
      </c>
      <c r="CH155" s="10">
        <f t="shared" si="133"/>
        <v>30</v>
      </c>
      <c r="CI155" s="10">
        <f t="shared" si="134"/>
        <v>29</v>
      </c>
      <c r="CJ155" s="10">
        <f t="shared" si="135"/>
        <v>28</v>
      </c>
      <c r="CK155" s="10">
        <f t="shared" si="136"/>
        <v>27</v>
      </c>
      <c r="CL155" s="10">
        <f t="shared" si="137"/>
        <v>26</v>
      </c>
      <c r="CM155" s="10" t="str">
        <f>'役職希望調査 ・備考'!I125&amp;""</f>
        <v/>
      </c>
    </row>
    <row r="156" spans="1:91">
      <c r="A156" s="10" t="str">
        <f>時間希望調査!A126&amp;""</f>
        <v/>
      </c>
      <c r="B156" s="10" t="str">
        <f>時間希望調査!B126&amp;""</f>
        <v/>
      </c>
      <c r="C156" s="10" t="str">
        <f>時間希望調査!C126&amp;""</f>
        <v/>
      </c>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0">
        <f t="shared" si="107"/>
        <v>0</v>
      </c>
      <c r="BC156" s="10">
        <f>時間希望調査!D126</f>
        <v>0</v>
      </c>
      <c r="BD156" s="10" t="str">
        <f>'役職希望調査 ・備考'!D126&amp;""</f>
        <v/>
      </c>
      <c r="BE156" s="10" t="str">
        <f>'役職希望調査 ・備考'!E126&amp;""</f>
        <v/>
      </c>
      <c r="BF156" s="10" t="str">
        <f>'役職希望調査 ・備考'!F126&amp;""</f>
        <v/>
      </c>
      <c r="BG156" s="10" t="str">
        <f>'役職希望調査 ・備考'!G126&amp;""</f>
        <v/>
      </c>
      <c r="BH156" s="10" t="str">
        <f>'役職希望調査 ・備考'!H126&amp;""</f>
        <v/>
      </c>
      <c r="BI156" s="10">
        <f t="shared" si="108"/>
        <v>0</v>
      </c>
      <c r="BJ156" s="10">
        <f t="shared" si="109"/>
        <v>0</v>
      </c>
      <c r="BK156" s="10">
        <f t="shared" si="110"/>
        <v>0</v>
      </c>
      <c r="BL156" s="10">
        <f t="shared" si="111"/>
        <v>0</v>
      </c>
      <c r="BM156" s="10">
        <f t="shared" si="112"/>
        <v>0</v>
      </c>
      <c r="BN156" s="10">
        <f t="shared" si="113"/>
        <v>0</v>
      </c>
      <c r="BO156" s="10">
        <f t="shared" si="114"/>
        <v>48</v>
      </c>
      <c r="BP156" s="10">
        <f t="shared" si="115"/>
        <v>48</v>
      </c>
      <c r="BQ156" s="10">
        <f t="shared" si="116"/>
        <v>47</v>
      </c>
      <c r="BR156" s="10">
        <f t="shared" si="117"/>
        <v>46</v>
      </c>
      <c r="BS156" s="10">
        <f t="shared" si="118"/>
        <v>45</v>
      </c>
      <c r="BT156" s="10">
        <f t="shared" si="119"/>
        <v>44</v>
      </c>
      <c r="BU156" s="10">
        <f t="shared" si="120"/>
        <v>43</v>
      </c>
      <c r="BV156" s="10">
        <f t="shared" si="121"/>
        <v>42</v>
      </c>
      <c r="BW156" s="10">
        <f t="shared" si="122"/>
        <v>41</v>
      </c>
      <c r="BX156" s="10">
        <f t="shared" si="123"/>
        <v>40</v>
      </c>
      <c r="BY156" s="10">
        <f t="shared" si="124"/>
        <v>39</v>
      </c>
      <c r="BZ156" s="10">
        <f t="shared" si="125"/>
        <v>38</v>
      </c>
      <c r="CA156" s="10">
        <f t="shared" si="126"/>
        <v>37</v>
      </c>
      <c r="CB156" s="10">
        <f t="shared" si="127"/>
        <v>36</v>
      </c>
      <c r="CC156" s="10">
        <f t="shared" si="128"/>
        <v>35</v>
      </c>
      <c r="CD156" s="10">
        <f t="shared" si="129"/>
        <v>34</v>
      </c>
      <c r="CE156" s="10">
        <f t="shared" si="130"/>
        <v>33</v>
      </c>
      <c r="CF156" s="10">
        <f t="shared" si="131"/>
        <v>32</v>
      </c>
      <c r="CG156" s="10">
        <f t="shared" si="132"/>
        <v>31</v>
      </c>
      <c r="CH156" s="10">
        <f t="shared" si="133"/>
        <v>30</v>
      </c>
      <c r="CI156" s="10">
        <f t="shared" si="134"/>
        <v>29</v>
      </c>
      <c r="CJ156" s="10">
        <f t="shared" si="135"/>
        <v>28</v>
      </c>
      <c r="CK156" s="10">
        <f t="shared" si="136"/>
        <v>27</v>
      </c>
      <c r="CL156" s="10">
        <f t="shared" si="137"/>
        <v>26</v>
      </c>
      <c r="CM156" s="10" t="str">
        <f>'役職希望調査 ・備考'!I126&amp;""</f>
        <v/>
      </c>
    </row>
    <row r="157" spans="1:91">
      <c r="A157" s="10" t="str">
        <f>時間希望調査!A127&amp;""</f>
        <v/>
      </c>
      <c r="B157" s="10" t="str">
        <f>時間希望調査!B127&amp;""</f>
        <v/>
      </c>
      <c r="C157" s="10" t="str">
        <f>時間希望調査!C127&amp;""</f>
        <v/>
      </c>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0">
        <f t="shared" si="107"/>
        <v>0</v>
      </c>
      <c r="BC157" s="10">
        <f>時間希望調査!D127</f>
        <v>0</v>
      </c>
      <c r="BD157" s="10" t="str">
        <f>'役職希望調査 ・備考'!D127&amp;""</f>
        <v/>
      </c>
      <c r="BE157" s="10" t="str">
        <f>'役職希望調査 ・備考'!E127&amp;""</f>
        <v/>
      </c>
      <c r="BF157" s="10" t="str">
        <f>'役職希望調査 ・備考'!F127&amp;""</f>
        <v/>
      </c>
      <c r="BG157" s="10" t="str">
        <f>'役職希望調査 ・備考'!G127&amp;""</f>
        <v/>
      </c>
      <c r="BH157" s="10" t="str">
        <f>'役職希望調査 ・備考'!H127&amp;""</f>
        <v/>
      </c>
      <c r="BI157" s="10">
        <f t="shared" si="108"/>
        <v>0</v>
      </c>
      <c r="BJ157" s="10">
        <f t="shared" si="109"/>
        <v>0</v>
      </c>
      <c r="BK157" s="10">
        <f t="shared" si="110"/>
        <v>0</v>
      </c>
      <c r="BL157" s="10">
        <f t="shared" si="111"/>
        <v>0</v>
      </c>
      <c r="BM157" s="10">
        <f t="shared" si="112"/>
        <v>0</v>
      </c>
      <c r="BN157" s="10">
        <f t="shared" si="113"/>
        <v>0</v>
      </c>
      <c r="BO157" s="10">
        <f t="shared" si="114"/>
        <v>48</v>
      </c>
      <c r="BP157" s="10">
        <f t="shared" si="115"/>
        <v>48</v>
      </c>
      <c r="BQ157" s="10">
        <f t="shared" si="116"/>
        <v>47</v>
      </c>
      <c r="BR157" s="10">
        <f t="shared" si="117"/>
        <v>46</v>
      </c>
      <c r="BS157" s="10">
        <f t="shared" si="118"/>
        <v>45</v>
      </c>
      <c r="BT157" s="10">
        <f t="shared" si="119"/>
        <v>44</v>
      </c>
      <c r="BU157" s="10">
        <f t="shared" si="120"/>
        <v>43</v>
      </c>
      <c r="BV157" s="10">
        <f t="shared" si="121"/>
        <v>42</v>
      </c>
      <c r="BW157" s="10">
        <f t="shared" si="122"/>
        <v>41</v>
      </c>
      <c r="BX157" s="10">
        <f t="shared" si="123"/>
        <v>40</v>
      </c>
      <c r="BY157" s="10">
        <f t="shared" si="124"/>
        <v>39</v>
      </c>
      <c r="BZ157" s="10">
        <f t="shared" si="125"/>
        <v>38</v>
      </c>
      <c r="CA157" s="10">
        <f t="shared" si="126"/>
        <v>37</v>
      </c>
      <c r="CB157" s="10">
        <f t="shared" si="127"/>
        <v>36</v>
      </c>
      <c r="CC157" s="10">
        <f t="shared" si="128"/>
        <v>35</v>
      </c>
      <c r="CD157" s="10">
        <f t="shared" si="129"/>
        <v>34</v>
      </c>
      <c r="CE157" s="10">
        <f t="shared" si="130"/>
        <v>33</v>
      </c>
      <c r="CF157" s="10">
        <f t="shared" si="131"/>
        <v>32</v>
      </c>
      <c r="CG157" s="10">
        <f t="shared" si="132"/>
        <v>31</v>
      </c>
      <c r="CH157" s="10">
        <f t="shared" si="133"/>
        <v>30</v>
      </c>
      <c r="CI157" s="10">
        <f t="shared" si="134"/>
        <v>29</v>
      </c>
      <c r="CJ157" s="10">
        <f t="shared" si="135"/>
        <v>28</v>
      </c>
      <c r="CK157" s="10">
        <f t="shared" si="136"/>
        <v>27</v>
      </c>
      <c r="CL157" s="10">
        <f t="shared" si="137"/>
        <v>26</v>
      </c>
      <c r="CM157" s="10" t="str">
        <f>'役職希望調査 ・備考'!I127&amp;""</f>
        <v/>
      </c>
    </row>
    <row r="158" spans="1:91">
      <c r="A158" s="10" t="str">
        <f>時間希望調査!A128&amp;""</f>
        <v/>
      </c>
      <c r="B158" s="10" t="str">
        <f>時間希望調査!B128&amp;""</f>
        <v/>
      </c>
      <c r="C158" s="10" t="str">
        <f>時間希望調査!C128&amp;""</f>
        <v/>
      </c>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0">
        <f t="shared" si="107"/>
        <v>0</v>
      </c>
      <c r="BC158" s="10">
        <f>時間希望調査!D128</f>
        <v>0</v>
      </c>
      <c r="BD158" s="10" t="str">
        <f>'役職希望調査 ・備考'!D128&amp;""</f>
        <v/>
      </c>
      <c r="BE158" s="10" t="str">
        <f>'役職希望調査 ・備考'!E128&amp;""</f>
        <v/>
      </c>
      <c r="BF158" s="10" t="str">
        <f>'役職希望調査 ・備考'!F128&amp;""</f>
        <v/>
      </c>
      <c r="BG158" s="10" t="str">
        <f>'役職希望調査 ・備考'!G128&amp;""</f>
        <v/>
      </c>
      <c r="BH158" s="10" t="str">
        <f>'役職希望調査 ・備考'!H128&amp;""</f>
        <v/>
      </c>
      <c r="BI158" s="10">
        <f t="shared" si="108"/>
        <v>0</v>
      </c>
      <c r="BJ158" s="10">
        <f t="shared" si="109"/>
        <v>0</v>
      </c>
      <c r="BK158" s="10">
        <f t="shared" si="110"/>
        <v>0</v>
      </c>
      <c r="BL158" s="10">
        <f t="shared" si="111"/>
        <v>0</v>
      </c>
      <c r="BM158" s="10">
        <f t="shared" si="112"/>
        <v>0</v>
      </c>
      <c r="BN158" s="10">
        <f t="shared" si="113"/>
        <v>0</v>
      </c>
      <c r="BO158" s="10">
        <f t="shared" si="114"/>
        <v>48</v>
      </c>
      <c r="BP158" s="10">
        <f t="shared" si="115"/>
        <v>48</v>
      </c>
      <c r="BQ158" s="10">
        <f t="shared" si="116"/>
        <v>47</v>
      </c>
      <c r="BR158" s="10">
        <f t="shared" si="117"/>
        <v>46</v>
      </c>
      <c r="BS158" s="10">
        <f t="shared" si="118"/>
        <v>45</v>
      </c>
      <c r="BT158" s="10">
        <f t="shared" si="119"/>
        <v>44</v>
      </c>
      <c r="BU158" s="10">
        <f t="shared" si="120"/>
        <v>43</v>
      </c>
      <c r="BV158" s="10">
        <f t="shared" si="121"/>
        <v>42</v>
      </c>
      <c r="BW158" s="10">
        <f t="shared" si="122"/>
        <v>41</v>
      </c>
      <c r="BX158" s="10">
        <f t="shared" si="123"/>
        <v>40</v>
      </c>
      <c r="BY158" s="10">
        <f t="shared" si="124"/>
        <v>39</v>
      </c>
      <c r="BZ158" s="10">
        <f t="shared" si="125"/>
        <v>38</v>
      </c>
      <c r="CA158" s="10">
        <f t="shared" si="126"/>
        <v>37</v>
      </c>
      <c r="CB158" s="10">
        <f t="shared" si="127"/>
        <v>36</v>
      </c>
      <c r="CC158" s="10">
        <f t="shared" si="128"/>
        <v>35</v>
      </c>
      <c r="CD158" s="10">
        <f t="shared" si="129"/>
        <v>34</v>
      </c>
      <c r="CE158" s="10">
        <f t="shared" si="130"/>
        <v>33</v>
      </c>
      <c r="CF158" s="10">
        <f t="shared" si="131"/>
        <v>32</v>
      </c>
      <c r="CG158" s="10">
        <f t="shared" si="132"/>
        <v>31</v>
      </c>
      <c r="CH158" s="10">
        <f t="shared" si="133"/>
        <v>30</v>
      </c>
      <c r="CI158" s="10">
        <f t="shared" si="134"/>
        <v>29</v>
      </c>
      <c r="CJ158" s="10">
        <f t="shared" si="135"/>
        <v>28</v>
      </c>
      <c r="CK158" s="10">
        <f t="shared" si="136"/>
        <v>27</v>
      </c>
      <c r="CL158" s="10">
        <f t="shared" si="137"/>
        <v>26</v>
      </c>
      <c r="CM158" s="10" t="str">
        <f>'役職希望調査 ・備考'!I128&amp;""</f>
        <v/>
      </c>
    </row>
    <row r="159" spans="1:91">
      <c r="A159" s="10" t="str">
        <f>時間希望調査!A129&amp;""</f>
        <v/>
      </c>
      <c r="B159" s="10" t="str">
        <f>時間希望調査!B129&amp;""</f>
        <v/>
      </c>
      <c r="C159" s="10" t="str">
        <f>時間希望調査!C129&amp;""</f>
        <v/>
      </c>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0">
        <f t="shared" si="107"/>
        <v>0</v>
      </c>
      <c r="BC159" s="10">
        <f>時間希望調査!D129</f>
        <v>0</v>
      </c>
      <c r="BD159" s="10" t="str">
        <f>'役職希望調査 ・備考'!D129&amp;""</f>
        <v/>
      </c>
      <c r="BE159" s="10" t="str">
        <f>'役職希望調査 ・備考'!E129&amp;""</f>
        <v/>
      </c>
      <c r="BF159" s="10" t="str">
        <f>'役職希望調査 ・備考'!F129&amp;""</f>
        <v/>
      </c>
      <c r="BG159" s="10" t="str">
        <f>'役職希望調査 ・備考'!G129&amp;""</f>
        <v/>
      </c>
      <c r="BH159" s="10" t="str">
        <f>'役職希望調査 ・備考'!H129&amp;""</f>
        <v/>
      </c>
      <c r="BI159" s="10">
        <f t="shared" si="108"/>
        <v>0</v>
      </c>
      <c r="BJ159" s="10">
        <f t="shared" si="109"/>
        <v>0</v>
      </c>
      <c r="BK159" s="10">
        <f t="shared" si="110"/>
        <v>0</v>
      </c>
      <c r="BL159" s="10">
        <f t="shared" si="111"/>
        <v>0</v>
      </c>
      <c r="BM159" s="10">
        <f t="shared" si="112"/>
        <v>0</v>
      </c>
      <c r="BN159" s="10">
        <f t="shared" si="113"/>
        <v>0</v>
      </c>
      <c r="BO159" s="10">
        <f t="shared" si="114"/>
        <v>48</v>
      </c>
      <c r="BP159" s="10">
        <f t="shared" si="115"/>
        <v>48</v>
      </c>
      <c r="BQ159" s="10">
        <f t="shared" si="116"/>
        <v>47</v>
      </c>
      <c r="BR159" s="10">
        <f t="shared" si="117"/>
        <v>46</v>
      </c>
      <c r="BS159" s="10">
        <f t="shared" si="118"/>
        <v>45</v>
      </c>
      <c r="BT159" s="10">
        <f t="shared" si="119"/>
        <v>44</v>
      </c>
      <c r="BU159" s="10">
        <f t="shared" si="120"/>
        <v>43</v>
      </c>
      <c r="BV159" s="10">
        <f t="shared" si="121"/>
        <v>42</v>
      </c>
      <c r="BW159" s="10">
        <f t="shared" si="122"/>
        <v>41</v>
      </c>
      <c r="BX159" s="10">
        <f t="shared" si="123"/>
        <v>40</v>
      </c>
      <c r="BY159" s="10">
        <f t="shared" si="124"/>
        <v>39</v>
      </c>
      <c r="BZ159" s="10">
        <f t="shared" si="125"/>
        <v>38</v>
      </c>
      <c r="CA159" s="10">
        <f t="shared" si="126"/>
        <v>37</v>
      </c>
      <c r="CB159" s="10">
        <f t="shared" si="127"/>
        <v>36</v>
      </c>
      <c r="CC159" s="10">
        <f t="shared" si="128"/>
        <v>35</v>
      </c>
      <c r="CD159" s="10">
        <f t="shared" si="129"/>
        <v>34</v>
      </c>
      <c r="CE159" s="10">
        <f t="shared" si="130"/>
        <v>33</v>
      </c>
      <c r="CF159" s="10">
        <f t="shared" si="131"/>
        <v>32</v>
      </c>
      <c r="CG159" s="10">
        <f t="shared" si="132"/>
        <v>31</v>
      </c>
      <c r="CH159" s="10">
        <f t="shared" si="133"/>
        <v>30</v>
      </c>
      <c r="CI159" s="10">
        <f t="shared" si="134"/>
        <v>29</v>
      </c>
      <c r="CJ159" s="10">
        <f t="shared" si="135"/>
        <v>28</v>
      </c>
      <c r="CK159" s="10">
        <f t="shared" si="136"/>
        <v>27</v>
      </c>
      <c r="CL159" s="10">
        <f t="shared" si="137"/>
        <v>26</v>
      </c>
      <c r="CM159" s="10" t="str">
        <f>'役職希望調査 ・備考'!I129&amp;""</f>
        <v/>
      </c>
    </row>
    <row r="160" spans="1:91">
      <c r="A160" s="10" t="str">
        <f>時間希望調査!A130&amp;""</f>
        <v/>
      </c>
      <c r="B160" s="10" t="str">
        <f>時間希望調査!B130&amp;""</f>
        <v/>
      </c>
      <c r="C160" s="10" t="str">
        <f>時間希望調査!C130&amp;""</f>
        <v/>
      </c>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0">
        <f t="shared" si="107"/>
        <v>0</v>
      </c>
      <c r="BC160" s="10">
        <f>時間希望調査!D130</f>
        <v>0</v>
      </c>
      <c r="BD160" s="10" t="str">
        <f>'役職希望調査 ・備考'!D130&amp;""</f>
        <v/>
      </c>
      <c r="BE160" s="10" t="str">
        <f>'役職希望調査 ・備考'!E130&amp;""</f>
        <v/>
      </c>
      <c r="BF160" s="10" t="str">
        <f>'役職希望調査 ・備考'!F130&amp;""</f>
        <v/>
      </c>
      <c r="BG160" s="10" t="str">
        <f>'役職希望調査 ・備考'!G130&amp;""</f>
        <v/>
      </c>
      <c r="BH160" s="10" t="str">
        <f>'役職希望調査 ・備考'!H130&amp;""</f>
        <v/>
      </c>
      <c r="BI160" s="10">
        <f t="shared" ref="BI160:BI191" si="138">COUNTIF(D160:BA160,BI$1)</f>
        <v>0</v>
      </c>
      <c r="BJ160" s="10">
        <f t="shared" ref="BJ160:BJ191" si="139">COUNTIF(E160:BB160,BJ$1)</f>
        <v>0</v>
      </c>
      <c r="BK160" s="10">
        <f t="shared" ref="BK160:BK191" si="140">COUNTIF(F160:BC160,BK$1)</f>
        <v>0</v>
      </c>
      <c r="BL160" s="10">
        <f t="shared" ref="BL160:BL191" si="141">COUNTIF(G160:BD160,BL$1)</f>
        <v>0</v>
      </c>
      <c r="BM160" s="10">
        <f t="shared" ref="BM160:BM191" si="142">COUNTIF(H160:BE160,BM$1)</f>
        <v>0</v>
      </c>
      <c r="BN160" s="10">
        <f t="shared" ref="BN160:BN191" si="143">COUNTIF(I160:BF160,BN$1)</f>
        <v>0</v>
      </c>
      <c r="BO160" s="10">
        <f t="shared" ref="BO160:BO191" si="144">COUNTIF(J160:BG160,BO$1)</f>
        <v>48</v>
      </c>
      <c r="BP160" s="10">
        <f t="shared" ref="BP160:BP191" si="145">COUNTIF(K160:BH160,BP$1)</f>
        <v>48</v>
      </c>
      <c r="BQ160" s="10">
        <f t="shared" ref="BQ160:BQ191" si="146">COUNTIF(L160:BI160,BQ$1)</f>
        <v>47</v>
      </c>
      <c r="BR160" s="10">
        <f t="shared" ref="BR160:BR191" si="147">COUNTIF(M160:BJ160,BR$1)</f>
        <v>46</v>
      </c>
      <c r="BS160" s="10">
        <f t="shared" ref="BS160:BS191" si="148">COUNTIF(N160:BK160,BS$1)</f>
        <v>45</v>
      </c>
      <c r="BT160" s="10">
        <f t="shared" ref="BT160:BT191" si="149">COUNTIF(O160:BL160,BT$1)</f>
        <v>44</v>
      </c>
      <c r="BU160" s="10">
        <f t="shared" ref="BU160:BU191" si="150">COUNTIF(P160:BM160,BU$1)</f>
        <v>43</v>
      </c>
      <c r="BV160" s="10">
        <f t="shared" ref="BV160:BV191" si="151">COUNTIF(Q160:BN160,BV$1)</f>
        <v>42</v>
      </c>
      <c r="BW160" s="10">
        <f t="shared" ref="BW160:BW191" si="152">COUNTIF(R160:BO160,BW$1)</f>
        <v>41</v>
      </c>
      <c r="BX160" s="10">
        <f t="shared" ref="BX160:BX191" si="153">COUNTIF(S160:BP160,BX$1)</f>
        <v>40</v>
      </c>
      <c r="BY160" s="10">
        <f t="shared" ref="BY160:BY191" si="154">COUNTIF(T160:BQ160,BY$1)</f>
        <v>39</v>
      </c>
      <c r="BZ160" s="10">
        <f t="shared" ref="BZ160:BZ191" si="155">COUNTIF(U160:BR160,BZ$1)</f>
        <v>38</v>
      </c>
      <c r="CA160" s="10">
        <f t="shared" ref="CA160:CA191" si="156">COUNTIF(V160:BS160,CA$1)</f>
        <v>37</v>
      </c>
      <c r="CB160" s="10">
        <f t="shared" ref="CB160:CB191" si="157">COUNTIF(W160:BT160,CB$1)</f>
        <v>36</v>
      </c>
      <c r="CC160" s="10">
        <f t="shared" ref="CC160:CC191" si="158">COUNTIF(X160:BU160,CC$1)</f>
        <v>35</v>
      </c>
      <c r="CD160" s="10">
        <f t="shared" ref="CD160:CD191" si="159">COUNTIF(Y160:BV160,CD$1)</f>
        <v>34</v>
      </c>
      <c r="CE160" s="10">
        <f t="shared" ref="CE160:CE191" si="160">COUNTIF(Z160:BW160,CE$1)</f>
        <v>33</v>
      </c>
      <c r="CF160" s="10">
        <f t="shared" ref="CF160:CF191" si="161">COUNTIF(AA160:BX160,CF$1)</f>
        <v>32</v>
      </c>
      <c r="CG160" s="10">
        <f t="shared" ref="CG160:CG191" si="162">COUNTIF(AB160:BY160,CG$1)</f>
        <v>31</v>
      </c>
      <c r="CH160" s="10">
        <f t="shared" ref="CH160:CH191" si="163">COUNTIF(AC160:BZ160,CH$1)</f>
        <v>30</v>
      </c>
      <c r="CI160" s="10">
        <f t="shared" ref="CI160:CI191" si="164">COUNTIF(AD160:CA160,CI$1)</f>
        <v>29</v>
      </c>
      <c r="CJ160" s="10">
        <f t="shared" ref="CJ160:CJ191" si="165">COUNTIF(AE160:CB160,CJ$1)</f>
        <v>28</v>
      </c>
      <c r="CK160" s="10">
        <f t="shared" ref="CK160:CK191" si="166">COUNTIF(AF160:CC160,CK$1)</f>
        <v>27</v>
      </c>
      <c r="CL160" s="10">
        <f t="shared" ref="CL160:CL191" si="167">COUNTIF(AG160:CD160,CL$1)</f>
        <v>26</v>
      </c>
      <c r="CM160" s="10" t="str">
        <f>'役職希望調査 ・備考'!I130&amp;""</f>
        <v/>
      </c>
    </row>
    <row r="161" spans="1:91">
      <c r="A161" s="10" t="str">
        <f>時間希望調査!A131&amp;""</f>
        <v/>
      </c>
      <c r="B161" s="10" t="str">
        <f>時間希望調査!B131&amp;""</f>
        <v/>
      </c>
      <c r="C161" s="10" t="str">
        <f>時間希望調査!C131&amp;""</f>
        <v/>
      </c>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0">
        <f t="shared" ref="BB161:BB199" si="168">COUNTA(D161:BA161)</f>
        <v>0</v>
      </c>
      <c r="BC161" s="10">
        <f>時間希望調査!D131</f>
        <v>0</v>
      </c>
      <c r="BD161" s="10" t="str">
        <f>'役職希望調査 ・備考'!D131&amp;""</f>
        <v/>
      </c>
      <c r="BE161" s="10" t="str">
        <f>'役職希望調査 ・備考'!E131&amp;""</f>
        <v/>
      </c>
      <c r="BF161" s="10" t="str">
        <f>'役職希望調査 ・備考'!F131&amp;""</f>
        <v/>
      </c>
      <c r="BG161" s="10" t="str">
        <f>'役職希望調査 ・備考'!G131&amp;""</f>
        <v/>
      </c>
      <c r="BH161" s="10" t="str">
        <f>'役職希望調査 ・備考'!H131&amp;""</f>
        <v/>
      </c>
      <c r="BI161" s="10">
        <f t="shared" si="138"/>
        <v>0</v>
      </c>
      <c r="BJ161" s="10">
        <f t="shared" si="139"/>
        <v>0</v>
      </c>
      <c r="BK161" s="10">
        <f t="shared" si="140"/>
        <v>0</v>
      </c>
      <c r="BL161" s="10">
        <f t="shared" si="141"/>
        <v>0</v>
      </c>
      <c r="BM161" s="10">
        <f t="shared" si="142"/>
        <v>0</v>
      </c>
      <c r="BN161" s="10">
        <f t="shared" si="143"/>
        <v>0</v>
      </c>
      <c r="BO161" s="10">
        <f t="shared" si="144"/>
        <v>48</v>
      </c>
      <c r="BP161" s="10">
        <f t="shared" si="145"/>
        <v>48</v>
      </c>
      <c r="BQ161" s="10">
        <f t="shared" si="146"/>
        <v>47</v>
      </c>
      <c r="BR161" s="10">
        <f t="shared" si="147"/>
        <v>46</v>
      </c>
      <c r="BS161" s="10">
        <f t="shared" si="148"/>
        <v>45</v>
      </c>
      <c r="BT161" s="10">
        <f t="shared" si="149"/>
        <v>44</v>
      </c>
      <c r="BU161" s="10">
        <f t="shared" si="150"/>
        <v>43</v>
      </c>
      <c r="BV161" s="10">
        <f t="shared" si="151"/>
        <v>42</v>
      </c>
      <c r="BW161" s="10">
        <f t="shared" si="152"/>
        <v>41</v>
      </c>
      <c r="BX161" s="10">
        <f t="shared" si="153"/>
        <v>40</v>
      </c>
      <c r="BY161" s="10">
        <f t="shared" si="154"/>
        <v>39</v>
      </c>
      <c r="BZ161" s="10">
        <f t="shared" si="155"/>
        <v>38</v>
      </c>
      <c r="CA161" s="10">
        <f t="shared" si="156"/>
        <v>37</v>
      </c>
      <c r="CB161" s="10">
        <f t="shared" si="157"/>
        <v>36</v>
      </c>
      <c r="CC161" s="10">
        <f t="shared" si="158"/>
        <v>35</v>
      </c>
      <c r="CD161" s="10">
        <f t="shared" si="159"/>
        <v>34</v>
      </c>
      <c r="CE161" s="10">
        <f t="shared" si="160"/>
        <v>33</v>
      </c>
      <c r="CF161" s="10">
        <f t="shared" si="161"/>
        <v>32</v>
      </c>
      <c r="CG161" s="10">
        <f t="shared" si="162"/>
        <v>31</v>
      </c>
      <c r="CH161" s="10">
        <f t="shared" si="163"/>
        <v>30</v>
      </c>
      <c r="CI161" s="10">
        <f t="shared" si="164"/>
        <v>29</v>
      </c>
      <c r="CJ161" s="10">
        <f t="shared" si="165"/>
        <v>28</v>
      </c>
      <c r="CK161" s="10">
        <f t="shared" si="166"/>
        <v>27</v>
      </c>
      <c r="CL161" s="10">
        <f t="shared" si="167"/>
        <v>26</v>
      </c>
      <c r="CM161" s="10" t="str">
        <f>'役職希望調査 ・備考'!I131&amp;""</f>
        <v/>
      </c>
    </row>
    <row r="162" spans="1:91">
      <c r="A162" s="10" t="str">
        <f>時間希望調査!A132&amp;""</f>
        <v/>
      </c>
      <c r="B162" s="10" t="str">
        <f>時間希望調査!B132&amp;""</f>
        <v/>
      </c>
      <c r="C162" s="10" t="str">
        <f>時間希望調査!C132&amp;""</f>
        <v/>
      </c>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0">
        <f t="shared" si="168"/>
        <v>0</v>
      </c>
      <c r="BC162" s="10">
        <f>時間希望調査!D132</f>
        <v>0</v>
      </c>
      <c r="BD162" s="10" t="str">
        <f>'役職希望調査 ・備考'!D132&amp;""</f>
        <v/>
      </c>
      <c r="BE162" s="10" t="str">
        <f>'役職希望調査 ・備考'!E132&amp;""</f>
        <v/>
      </c>
      <c r="BF162" s="10" t="str">
        <f>'役職希望調査 ・備考'!F132&amp;""</f>
        <v/>
      </c>
      <c r="BG162" s="10" t="str">
        <f>'役職希望調査 ・備考'!G132&amp;""</f>
        <v/>
      </c>
      <c r="BH162" s="10" t="str">
        <f>'役職希望調査 ・備考'!H132&amp;""</f>
        <v/>
      </c>
      <c r="BI162" s="10">
        <f t="shared" si="138"/>
        <v>0</v>
      </c>
      <c r="BJ162" s="10">
        <f t="shared" si="139"/>
        <v>0</v>
      </c>
      <c r="BK162" s="10">
        <f t="shared" si="140"/>
        <v>0</v>
      </c>
      <c r="BL162" s="10">
        <f t="shared" si="141"/>
        <v>0</v>
      </c>
      <c r="BM162" s="10">
        <f t="shared" si="142"/>
        <v>0</v>
      </c>
      <c r="BN162" s="10">
        <f t="shared" si="143"/>
        <v>0</v>
      </c>
      <c r="BO162" s="10">
        <f t="shared" si="144"/>
        <v>48</v>
      </c>
      <c r="BP162" s="10">
        <f t="shared" si="145"/>
        <v>48</v>
      </c>
      <c r="BQ162" s="10">
        <f t="shared" si="146"/>
        <v>47</v>
      </c>
      <c r="BR162" s="10">
        <f t="shared" si="147"/>
        <v>46</v>
      </c>
      <c r="BS162" s="10">
        <f t="shared" si="148"/>
        <v>45</v>
      </c>
      <c r="BT162" s="10">
        <f t="shared" si="149"/>
        <v>44</v>
      </c>
      <c r="BU162" s="10">
        <f t="shared" si="150"/>
        <v>43</v>
      </c>
      <c r="BV162" s="10">
        <f t="shared" si="151"/>
        <v>42</v>
      </c>
      <c r="BW162" s="10">
        <f t="shared" si="152"/>
        <v>41</v>
      </c>
      <c r="BX162" s="10">
        <f t="shared" si="153"/>
        <v>40</v>
      </c>
      <c r="BY162" s="10">
        <f t="shared" si="154"/>
        <v>39</v>
      </c>
      <c r="BZ162" s="10">
        <f t="shared" si="155"/>
        <v>38</v>
      </c>
      <c r="CA162" s="10">
        <f t="shared" si="156"/>
        <v>37</v>
      </c>
      <c r="CB162" s="10">
        <f t="shared" si="157"/>
        <v>36</v>
      </c>
      <c r="CC162" s="10">
        <f t="shared" si="158"/>
        <v>35</v>
      </c>
      <c r="CD162" s="10">
        <f t="shared" si="159"/>
        <v>34</v>
      </c>
      <c r="CE162" s="10">
        <f t="shared" si="160"/>
        <v>33</v>
      </c>
      <c r="CF162" s="10">
        <f t="shared" si="161"/>
        <v>32</v>
      </c>
      <c r="CG162" s="10">
        <f t="shared" si="162"/>
        <v>31</v>
      </c>
      <c r="CH162" s="10">
        <f t="shared" si="163"/>
        <v>30</v>
      </c>
      <c r="CI162" s="10">
        <f t="shared" si="164"/>
        <v>29</v>
      </c>
      <c r="CJ162" s="10">
        <f t="shared" si="165"/>
        <v>28</v>
      </c>
      <c r="CK162" s="10">
        <f t="shared" si="166"/>
        <v>27</v>
      </c>
      <c r="CL162" s="10">
        <f t="shared" si="167"/>
        <v>26</v>
      </c>
      <c r="CM162" s="10" t="str">
        <f>'役職希望調査 ・備考'!I132&amp;""</f>
        <v/>
      </c>
    </row>
    <row r="163" spans="1:91">
      <c r="A163" s="10" t="str">
        <f>時間希望調査!A133&amp;""</f>
        <v/>
      </c>
      <c r="B163" s="10" t="str">
        <f>時間希望調査!B133&amp;""</f>
        <v/>
      </c>
      <c r="C163" s="10" t="str">
        <f>時間希望調査!C133&amp;""</f>
        <v/>
      </c>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0">
        <f t="shared" si="168"/>
        <v>0</v>
      </c>
      <c r="BC163" s="10">
        <f>時間希望調査!D133</f>
        <v>0</v>
      </c>
      <c r="BD163" s="10" t="str">
        <f>'役職希望調査 ・備考'!D133&amp;""</f>
        <v/>
      </c>
      <c r="BE163" s="10" t="str">
        <f>'役職希望調査 ・備考'!E133&amp;""</f>
        <v/>
      </c>
      <c r="BF163" s="10" t="str">
        <f>'役職希望調査 ・備考'!F133&amp;""</f>
        <v/>
      </c>
      <c r="BG163" s="10" t="str">
        <f>'役職希望調査 ・備考'!G133&amp;""</f>
        <v/>
      </c>
      <c r="BH163" s="10" t="str">
        <f>'役職希望調査 ・備考'!H133&amp;""</f>
        <v/>
      </c>
      <c r="BI163" s="10">
        <f t="shared" si="138"/>
        <v>0</v>
      </c>
      <c r="BJ163" s="10">
        <f t="shared" si="139"/>
        <v>0</v>
      </c>
      <c r="BK163" s="10">
        <f t="shared" si="140"/>
        <v>0</v>
      </c>
      <c r="BL163" s="10">
        <f t="shared" si="141"/>
        <v>0</v>
      </c>
      <c r="BM163" s="10">
        <f t="shared" si="142"/>
        <v>0</v>
      </c>
      <c r="BN163" s="10">
        <f t="shared" si="143"/>
        <v>0</v>
      </c>
      <c r="BO163" s="10">
        <f t="shared" si="144"/>
        <v>48</v>
      </c>
      <c r="BP163" s="10">
        <f t="shared" si="145"/>
        <v>48</v>
      </c>
      <c r="BQ163" s="10">
        <f t="shared" si="146"/>
        <v>47</v>
      </c>
      <c r="BR163" s="10">
        <f t="shared" si="147"/>
        <v>46</v>
      </c>
      <c r="BS163" s="10">
        <f t="shared" si="148"/>
        <v>45</v>
      </c>
      <c r="BT163" s="10">
        <f t="shared" si="149"/>
        <v>44</v>
      </c>
      <c r="BU163" s="10">
        <f t="shared" si="150"/>
        <v>43</v>
      </c>
      <c r="BV163" s="10">
        <f t="shared" si="151"/>
        <v>42</v>
      </c>
      <c r="BW163" s="10">
        <f t="shared" si="152"/>
        <v>41</v>
      </c>
      <c r="BX163" s="10">
        <f t="shared" si="153"/>
        <v>40</v>
      </c>
      <c r="BY163" s="10">
        <f t="shared" si="154"/>
        <v>39</v>
      </c>
      <c r="BZ163" s="10">
        <f t="shared" si="155"/>
        <v>38</v>
      </c>
      <c r="CA163" s="10">
        <f t="shared" si="156"/>
        <v>37</v>
      </c>
      <c r="CB163" s="10">
        <f t="shared" si="157"/>
        <v>36</v>
      </c>
      <c r="CC163" s="10">
        <f t="shared" si="158"/>
        <v>35</v>
      </c>
      <c r="CD163" s="10">
        <f t="shared" si="159"/>
        <v>34</v>
      </c>
      <c r="CE163" s="10">
        <f t="shared" si="160"/>
        <v>33</v>
      </c>
      <c r="CF163" s="10">
        <f t="shared" si="161"/>
        <v>32</v>
      </c>
      <c r="CG163" s="10">
        <f t="shared" si="162"/>
        <v>31</v>
      </c>
      <c r="CH163" s="10">
        <f t="shared" si="163"/>
        <v>30</v>
      </c>
      <c r="CI163" s="10">
        <f t="shared" si="164"/>
        <v>29</v>
      </c>
      <c r="CJ163" s="10">
        <f t="shared" si="165"/>
        <v>28</v>
      </c>
      <c r="CK163" s="10">
        <f t="shared" si="166"/>
        <v>27</v>
      </c>
      <c r="CL163" s="10">
        <f t="shared" si="167"/>
        <v>26</v>
      </c>
      <c r="CM163" s="10" t="str">
        <f>'役職希望調査 ・備考'!I133&amp;""</f>
        <v/>
      </c>
    </row>
    <row r="164" spans="1:91">
      <c r="A164" s="10" t="str">
        <f>時間希望調査!A134&amp;""</f>
        <v/>
      </c>
      <c r="B164" s="10" t="str">
        <f>時間希望調査!B134&amp;""</f>
        <v/>
      </c>
      <c r="C164" s="10" t="str">
        <f>時間希望調査!C134&amp;""</f>
        <v/>
      </c>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0">
        <f t="shared" si="168"/>
        <v>0</v>
      </c>
      <c r="BC164" s="10">
        <f>時間希望調査!D134</f>
        <v>0</v>
      </c>
      <c r="BD164" s="10" t="str">
        <f>'役職希望調査 ・備考'!D134&amp;""</f>
        <v/>
      </c>
      <c r="BE164" s="10" t="str">
        <f>'役職希望調査 ・備考'!E134&amp;""</f>
        <v/>
      </c>
      <c r="BF164" s="10" t="str">
        <f>'役職希望調査 ・備考'!F134&amp;""</f>
        <v/>
      </c>
      <c r="BG164" s="10" t="str">
        <f>'役職希望調査 ・備考'!G134&amp;""</f>
        <v/>
      </c>
      <c r="BH164" s="10" t="str">
        <f>'役職希望調査 ・備考'!H134&amp;""</f>
        <v/>
      </c>
      <c r="BI164" s="10">
        <f t="shared" si="138"/>
        <v>0</v>
      </c>
      <c r="BJ164" s="10">
        <f t="shared" si="139"/>
        <v>0</v>
      </c>
      <c r="BK164" s="10">
        <f t="shared" si="140"/>
        <v>0</v>
      </c>
      <c r="BL164" s="10">
        <f t="shared" si="141"/>
        <v>0</v>
      </c>
      <c r="BM164" s="10">
        <f t="shared" si="142"/>
        <v>0</v>
      </c>
      <c r="BN164" s="10">
        <f t="shared" si="143"/>
        <v>0</v>
      </c>
      <c r="BO164" s="10">
        <f t="shared" si="144"/>
        <v>48</v>
      </c>
      <c r="BP164" s="10">
        <f t="shared" si="145"/>
        <v>48</v>
      </c>
      <c r="BQ164" s="10">
        <f t="shared" si="146"/>
        <v>47</v>
      </c>
      <c r="BR164" s="10">
        <f t="shared" si="147"/>
        <v>46</v>
      </c>
      <c r="BS164" s="10">
        <f t="shared" si="148"/>
        <v>45</v>
      </c>
      <c r="BT164" s="10">
        <f t="shared" si="149"/>
        <v>44</v>
      </c>
      <c r="BU164" s="10">
        <f t="shared" si="150"/>
        <v>43</v>
      </c>
      <c r="BV164" s="10">
        <f t="shared" si="151"/>
        <v>42</v>
      </c>
      <c r="BW164" s="10">
        <f t="shared" si="152"/>
        <v>41</v>
      </c>
      <c r="BX164" s="10">
        <f t="shared" si="153"/>
        <v>40</v>
      </c>
      <c r="BY164" s="10">
        <f t="shared" si="154"/>
        <v>39</v>
      </c>
      <c r="BZ164" s="10">
        <f t="shared" si="155"/>
        <v>38</v>
      </c>
      <c r="CA164" s="10">
        <f t="shared" si="156"/>
        <v>37</v>
      </c>
      <c r="CB164" s="10">
        <f t="shared" si="157"/>
        <v>36</v>
      </c>
      <c r="CC164" s="10">
        <f t="shared" si="158"/>
        <v>35</v>
      </c>
      <c r="CD164" s="10">
        <f t="shared" si="159"/>
        <v>34</v>
      </c>
      <c r="CE164" s="10">
        <f t="shared" si="160"/>
        <v>33</v>
      </c>
      <c r="CF164" s="10">
        <f t="shared" si="161"/>
        <v>32</v>
      </c>
      <c r="CG164" s="10">
        <f t="shared" si="162"/>
        <v>31</v>
      </c>
      <c r="CH164" s="10">
        <f t="shared" si="163"/>
        <v>30</v>
      </c>
      <c r="CI164" s="10">
        <f t="shared" si="164"/>
        <v>29</v>
      </c>
      <c r="CJ164" s="10">
        <f t="shared" si="165"/>
        <v>28</v>
      </c>
      <c r="CK164" s="10">
        <f t="shared" si="166"/>
        <v>27</v>
      </c>
      <c r="CL164" s="10">
        <f t="shared" si="167"/>
        <v>26</v>
      </c>
      <c r="CM164" s="10" t="str">
        <f>'役職希望調査 ・備考'!I134&amp;""</f>
        <v/>
      </c>
    </row>
    <row r="165" spans="1:91">
      <c r="A165" s="10" t="str">
        <f>時間希望調査!A135&amp;""</f>
        <v/>
      </c>
      <c r="B165" s="10" t="str">
        <f>時間希望調査!B135&amp;""</f>
        <v/>
      </c>
      <c r="C165" s="10" t="str">
        <f>時間希望調査!C135&amp;""</f>
        <v/>
      </c>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0">
        <f t="shared" si="168"/>
        <v>0</v>
      </c>
      <c r="BC165" s="10">
        <f>時間希望調査!D135</f>
        <v>0</v>
      </c>
      <c r="BD165" s="10" t="str">
        <f>'役職希望調査 ・備考'!D135&amp;""</f>
        <v/>
      </c>
      <c r="BE165" s="10" t="str">
        <f>'役職希望調査 ・備考'!E135&amp;""</f>
        <v/>
      </c>
      <c r="BF165" s="10" t="str">
        <f>'役職希望調査 ・備考'!F135&amp;""</f>
        <v/>
      </c>
      <c r="BG165" s="10" t="str">
        <f>'役職希望調査 ・備考'!G135&amp;""</f>
        <v/>
      </c>
      <c r="BH165" s="10" t="str">
        <f>'役職希望調査 ・備考'!H135&amp;""</f>
        <v/>
      </c>
      <c r="BI165" s="10">
        <f t="shared" si="138"/>
        <v>0</v>
      </c>
      <c r="BJ165" s="10">
        <f t="shared" si="139"/>
        <v>0</v>
      </c>
      <c r="BK165" s="10">
        <f t="shared" si="140"/>
        <v>0</v>
      </c>
      <c r="BL165" s="10">
        <f t="shared" si="141"/>
        <v>0</v>
      </c>
      <c r="BM165" s="10">
        <f t="shared" si="142"/>
        <v>0</v>
      </c>
      <c r="BN165" s="10">
        <f t="shared" si="143"/>
        <v>0</v>
      </c>
      <c r="BO165" s="10">
        <f t="shared" si="144"/>
        <v>48</v>
      </c>
      <c r="BP165" s="10">
        <f t="shared" si="145"/>
        <v>48</v>
      </c>
      <c r="BQ165" s="10">
        <f t="shared" si="146"/>
        <v>47</v>
      </c>
      <c r="BR165" s="10">
        <f t="shared" si="147"/>
        <v>46</v>
      </c>
      <c r="BS165" s="10">
        <f t="shared" si="148"/>
        <v>45</v>
      </c>
      <c r="BT165" s="10">
        <f t="shared" si="149"/>
        <v>44</v>
      </c>
      <c r="BU165" s="10">
        <f t="shared" si="150"/>
        <v>43</v>
      </c>
      <c r="BV165" s="10">
        <f t="shared" si="151"/>
        <v>42</v>
      </c>
      <c r="BW165" s="10">
        <f t="shared" si="152"/>
        <v>41</v>
      </c>
      <c r="BX165" s="10">
        <f t="shared" si="153"/>
        <v>40</v>
      </c>
      <c r="BY165" s="10">
        <f t="shared" si="154"/>
        <v>39</v>
      </c>
      <c r="BZ165" s="10">
        <f t="shared" si="155"/>
        <v>38</v>
      </c>
      <c r="CA165" s="10">
        <f t="shared" si="156"/>
        <v>37</v>
      </c>
      <c r="CB165" s="10">
        <f t="shared" si="157"/>
        <v>36</v>
      </c>
      <c r="CC165" s="10">
        <f t="shared" si="158"/>
        <v>35</v>
      </c>
      <c r="CD165" s="10">
        <f t="shared" si="159"/>
        <v>34</v>
      </c>
      <c r="CE165" s="10">
        <f t="shared" si="160"/>
        <v>33</v>
      </c>
      <c r="CF165" s="10">
        <f t="shared" si="161"/>
        <v>32</v>
      </c>
      <c r="CG165" s="10">
        <f t="shared" si="162"/>
        <v>31</v>
      </c>
      <c r="CH165" s="10">
        <f t="shared" si="163"/>
        <v>30</v>
      </c>
      <c r="CI165" s="10">
        <f t="shared" si="164"/>
        <v>29</v>
      </c>
      <c r="CJ165" s="10">
        <f t="shared" si="165"/>
        <v>28</v>
      </c>
      <c r="CK165" s="10">
        <f t="shared" si="166"/>
        <v>27</v>
      </c>
      <c r="CL165" s="10">
        <f t="shared" si="167"/>
        <v>26</v>
      </c>
      <c r="CM165" s="10" t="str">
        <f>'役職希望調査 ・備考'!I135&amp;""</f>
        <v/>
      </c>
    </row>
    <row r="166" spans="1:91">
      <c r="A166" s="10" t="str">
        <f>時間希望調査!A136&amp;""</f>
        <v/>
      </c>
      <c r="B166" s="10" t="str">
        <f>時間希望調査!B136&amp;""</f>
        <v/>
      </c>
      <c r="C166" s="10" t="str">
        <f>時間希望調査!C136&amp;""</f>
        <v/>
      </c>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0">
        <f t="shared" si="168"/>
        <v>0</v>
      </c>
      <c r="BC166" s="10">
        <f>時間希望調査!D136</f>
        <v>0</v>
      </c>
      <c r="BD166" s="10" t="str">
        <f>'役職希望調査 ・備考'!D136&amp;""</f>
        <v/>
      </c>
      <c r="BE166" s="10" t="str">
        <f>'役職希望調査 ・備考'!E136&amp;""</f>
        <v/>
      </c>
      <c r="BF166" s="10" t="str">
        <f>'役職希望調査 ・備考'!F136&amp;""</f>
        <v/>
      </c>
      <c r="BG166" s="10" t="str">
        <f>'役職希望調査 ・備考'!G136&amp;""</f>
        <v/>
      </c>
      <c r="BH166" s="10" t="str">
        <f>'役職希望調査 ・備考'!H136&amp;""</f>
        <v/>
      </c>
      <c r="BI166" s="10">
        <f t="shared" si="138"/>
        <v>0</v>
      </c>
      <c r="BJ166" s="10">
        <f t="shared" si="139"/>
        <v>0</v>
      </c>
      <c r="BK166" s="10">
        <f t="shared" si="140"/>
        <v>0</v>
      </c>
      <c r="BL166" s="10">
        <f t="shared" si="141"/>
        <v>0</v>
      </c>
      <c r="BM166" s="10">
        <f t="shared" si="142"/>
        <v>0</v>
      </c>
      <c r="BN166" s="10">
        <f t="shared" si="143"/>
        <v>0</v>
      </c>
      <c r="BO166" s="10">
        <f t="shared" si="144"/>
        <v>48</v>
      </c>
      <c r="BP166" s="10">
        <f t="shared" si="145"/>
        <v>48</v>
      </c>
      <c r="BQ166" s="10">
        <f t="shared" si="146"/>
        <v>47</v>
      </c>
      <c r="BR166" s="10">
        <f t="shared" si="147"/>
        <v>46</v>
      </c>
      <c r="BS166" s="10">
        <f t="shared" si="148"/>
        <v>45</v>
      </c>
      <c r="BT166" s="10">
        <f t="shared" si="149"/>
        <v>44</v>
      </c>
      <c r="BU166" s="10">
        <f t="shared" si="150"/>
        <v>43</v>
      </c>
      <c r="BV166" s="10">
        <f t="shared" si="151"/>
        <v>42</v>
      </c>
      <c r="BW166" s="10">
        <f t="shared" si="152"/>
        <v>41</v>
      </c>
      <c r="BX166" s="10">
        <f t="shared" si="153"/>
        <v>40</v>
      </c>
      <c r="BY166" s="10">
        <f t="shared" si="154"/>
        <v>39</v>
      </c>
      <c r="BZ166" s="10">
        <f t="shared" si="155"/>
        <v>38</v>
      </c>
      <c r="CA166" s="10">
        <f t="shared" si="156"/>
        <v>37</v>
      </c>
      <c r="CB166" s="10">
        <f t="shared" si="157"/>
        <v>36</v>
      </c>
      <c r="CC166" s="10">
        <f t="shared" si="158"/>
        <v>35</v>
      </c>
      <c r="CD166" s="10">
        <f t="shared" si="159"/>
        <v>34</v>
      </c>
      <c r="CE166" s="10">
        <f t="shared" si="160"/>
        <v>33</v>
      </c>
      <c r="CF166" s="10">
        <f t="shared" si="161"/>
        <v>32</v>
      </c>
      <c r="CG166" s="10">
        <f t="shared" si="162"/>
        <v>31</v>
      </c>
      <c r="CH166" s="10">
        <f t="shared" si="163"/>
        <v>30</v>
      </c>
      <c r="CI166" s="10">
        <f t="shared" si="164"/>
        <v>29</v>
      </c>
      <c r="CJ166" s="10">
        <f t="shared" si="165"/>
        <v>28</v>
      </c>
      <c r="CK166" s="10">
        <f t="shared" si="166"/>
        <v>27</v>
      </c>
      <c r="CL166" s="10">
        <f t="shared" si="167"/>
        <v>26</v>
      </c>
      <c r="CM166" s="10" t="str">
        <f>'役職希望調査 ・備考'!I136&amp;""</f>
        <v/>
      </c>
    </row>
    <row r="167" spans="1:91">
      <c r="A167" s="10" t="str">
        <f>時間希望調査!A137&amp;""</f>
        <v/>
      </c>
      <c r="B167" s="10" t="str">
        <f>時間希望調査!B137&amp;""</f>
        <v/>
      </c>
      <c r="C167" s="10" t="str">
        <f>時間希望調査!C137&amp;""</f>
        <v/>
      </c>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0">
        <f t="shared" si="168"/>
        <v>0</v>
      </c>
      <c r="BC167" s="10">
        <f>時間希望調査!D137</f>
        <v>0</v>
      </c>
      <c r="BD167" s="10" t="str">
        <f>'役職希望調査 ・備考'!D137&amp;""</f>
        <v/>
      </c>
      <c r="BE167" s="10" t="str">
        <f>'役職希望調査 ・備考'!E137&amp;""</f>
        <v/>
      </c>
      <c r="BF167" s="10" t="str">
        <f>'役職希望調査 ・備考'!F137&amp;""</f>
        <v/>
      </c>
      <c r="BG167" s="10" t="str">
        <f>'役職希望調査 ・備考'!G137&amp;""</f>
        <v/>
      </c>
      <c r="BH167" s="10" t="str">
        <f>'役職希望調査 ・備考'!H137&amp;""</f>
        <v/>
      </c>
      <c r="BI167" s="10">
        <f t="shared" si="138"/>
        <v>0</v>
      </c>
      <c r="BJ167" s="10">
        <f t="shared" si="139"/>
        <v>0</v>
      </c>
      <c r="BK167" s="10">
        <f t="shared" si="140"/>
        <v>0</v>
      </c>
      <c r="BL167" s="10">
        <f t="shared" si="141"/>
        <v>0</v>
      </c>
      <c r="BM167" s="10">
        <f t="shared" si="142"/>
        <v>0</v>
      </c>
      <c r="BN167" s="10">
        <f t="shared" si="143"/>
        <v>0</v>
      </c>
      <c r="BO167" s="10">
        <f t="shared" si="144"/>
        <v>48</v>
      </c>
      <c r="BP167" s="10">
        <f t="shared" si="145"/>
        <v>48</v>
      </c>
      <c r="BQ167" s="10">
        <f t="shared" si="146"/>
        <v>47</v>
      </c>
      <c r="BR167" s="10">
        <f t="shared" si="147"/>
        <v>46</v>
      </c>
      <c r="BS167" s="10">
        <f t="shared" si="148"/>
        <v>45</v>
      </c>
      <c r="BT167" s="10">
        <f t="shared" si="149"/>
        <v>44</v>
      </c>
      <c r="BU167" s="10">
        <f t="shared" si="150"/>
        <v>43</v>
      </c>
      <c r="BV167" s="10">
        <f t="shared" si="151"/>
        <v>42</v>
      </c>
      <c r="BW167" s="10">
        <f t="shared" si="152"/>
        <v>41</v>
      </c>
      <c r="BX167" s="10">
        <f t="shared" si="153"/>
        <v>40</v>
      </c>
      <c r="BY167" s="10">
        <f t="shared" si="154"/>
        <v>39</v>
      </c>
      <c r="BZ167" s="10">
        <f t="shared" si="155"/>
        <v>38</v>
      </c>
      <c r="CA167" s="10">
        <f t="shared" si="156"/>
        <v>37</v>
      </c>
      <c r="CB167" s="10">
        <f t="shared" si="157"/>
        <v>36</v>
      </c>
      <c r="CC167" s="10">
        <f t="shared" si="158"/>
        <v>35</v>
      </c>
      <c r="CD167" s="10">
        <f t="shared" si="159"/>
        <v>34</v>
      </c>
      <c r="CE167" s="10">
        <f t="shared" si="160"/>
        <v>33</v>
      </c>
      <c r="CF167" s="10">
        <f t="shared" si="161"/>
        <v>32</v>
      </c>
      <c r="CG167" s="10">
        <f t="shared" si="162"/>
        <v>31</v>
      </c>
      <c r="CH167" s="10">
        <f t="shared" si="163"/>
        <v>30</v>
      </c>
      <c r="CI167" s="10">
        <f t="shared" si="164"/>
        <v>29</v>
      </c>
      <c r="CJ167" s="10">
        <f t="shared" si="165"/>
        <v>28</v>
      </c>
      <c r="CK167" s="10">
        <f t="shared" si="166"/>
        <v>27</v>
      </c>
      <c r="CL167" s="10">
        <f t="shared" si="167"/>
        <v>26</v>
      </c>
      <c r="CM167" s="10" t="str">
        <f>'役職希望調査 ・備考'!I137&amp;""</f>
        <v/>
      </c>
    </row>
    <row r="168" spans="1:91">
      <c r="A168" s="10" t="str">
        <f>時間希望調査!A138&amp;""</f>
        <v/>
      </c>
      <c r="B168" s="10" t="str">
        <f>時間希望調査!B138&amp;""</f>
        <v/>
      </c>
      <c r="C168" s="10" t="str">
        <f>時間希望調査!C138&amp;""</f>
        <v/>
      </c>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0">
        <f t="shared" si="168"/>
        <v>0</v>
      </c>
      <c r="BC168" s="10">
        <f>時間希望調査!D138</f>
        <v>0</v>
      </c>
      <c r="BD168" s="10" t="str">
        <f>'役職希望調査 ・備考'!D138&amp;""</f>
        <v/>
      </c>
      <c r="BE168" s="10" t="str">
        <f>'役職希望調査 ・備考'!E138&amp;""</f>
        <v/>
      </c>
      <c r="BF168" s="10" t="str">
        <f>'役職希望調査 ・備考'!F138&amp;""</f>
        <v/>
      </c>
      <c r="BG168" s="10" t="str">
        <f>'役職希望調査 ・備考'!G138&amp;""</f>
        <v/>
      </c>
      <c r="BH168" s="10" t="str">
        <f>'役職希望調査 ・備考'!H138&amp;""</f>
        <v/>
      </c>
      <c r="BI168" s="10">
        <f t="shared" si="138"/>
        <v>0</v>
      </c>
      <c r="BJ168" s="10">
        <f t="shared" si="139"/>
        <v>0</v>
      </c>
      <c r="BK168" s="10">
        <f t="shared" si="140"/>
        <v>0</v>
      </c>
      <c r="BL168" s="10">
        <f t="shared" si="141"/>
        <v>0</v>
      </c>
      <c r="BM168" s="10">
        <f t="shared" si="142"/>
        <v>0</v>
      </c>
      <c r="BN168" s="10">
        <f t="shared" si="143"/>
        <v>0</v>
      </c>
      <c r="BO168" s="10">
        <f t="shared" si="144"/>
        <v>48</v>
      </c>
      <c r="BP168" s="10">
        <f t="shared" si="145"/>
        <v>48</v>
      </c>
      <c r="BQ168" s="10">
        <f t="shared" si="146"/>
        <v>47</v>
      </c>
      <c r="BR168" s="10">
        <f t="shared" si="147"/>
        <v>46</v>
      </c>
      <c r="BS168" s="10">
        <f t="shared" si="148"/>
        <v>45</v>
      </c>
      <c r="BT168" s="10">
        <f t="shared" si="149"/>
        <v>44</v>
      </c>
      <c r="BU168" s="10">
        <f t="shared" si="150"/>
        <v>43</v>
      </c>
      <c r="BV168" s="10">
        <f t="shared" si="151"/>
        <v>42</v>
      </c>
      <c r="BW168" s="10">
        <f t="shared" si="152"/>
        <v>41</v>
      </c>
      <c r="BX168" s="10">
        <f t="shared" si="153"/>
        <v>40</v>
      </c>
      <c r="BY168" s="10">
        <f t="shared" si="154"/>
        <v>39</v>
      </c>
      <c r="BZ168" s="10">
        <f t="shared" si="155"/>
        <v>38</v>
      </c>
      <c r="CA168" s="10">
        <f t="shared" si="156"/>
        <v>37</v>
      </c>
      <c r="CB168" s="10">
        <f t="shared" si="157"/>
        <v>36</v>
      </c>
      <c r="CC168" s="10">
        <f t="shared" si="158"/>
        <v>35</v>
      </c>
      <c r="CD168" s="10">
        <f t="shared" si="159"/>
        <v>34</v>
      </c>
      <c r="CE168" s="10">
        <f t="shared" si="160"/>
        <v>33</v>
      </c>
      <c r="CF168" s="10">
        <f t="shared" si="161"/>
        <v>32</v>
      </c>
      <c r="CG168" s="10">
        <f t="shared" si="162"/>
        <v>31</v>
      </c>
      <c r="CH168" s="10">
        <f t="shared" si="163"/>
        <v>30</v>
      </c>
      <c r="CI168" s="10">
        <f t="shared" si="164"/>
        <v>29</v>
      </c>
      <c r="CJ168" s="10">
        <f t="shared" si="165"/>
        <v>28</v>
      </c>
      <c r="CK168" s="10">
        <f t="shared" si="166"/>
        <v>27</v>
      </c>
      <c r="CL168" s="10">
        <f t="shared" si="167"/>
        <v>26</v>
      </c>
      <c r="CM168" s="10" t="str">
        <f>'役職希望調査 ・備考'!I138&amp;""</f>
        <v/>
      </c>
    </row>
    <row r="169" spans="1:91">
      <c r="A169" s="10" t="str">
        <f>時間希望調査!A139&amp;""</f>
        <v/>
      </c>
      <c r="B169" s="10" t="str">
        <f>時間希望調査!B139&amp;""</f>
        <v/>
      </c>
      <c r="C169" s="10" t="str">
        <f>時間希望調査!C139&amp;""</f>
        <v/>
      </c>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0">
        <f t="shared" si="168"/>
        <v>0</v>
      </c>
      <c r="BC169" s="10">
        <f>時間希望調査!D139</f>
        <v>0</v>
      </c>
      <c r="BD169" s="10" t="str">
        <f>'役職希望調査 ・備考'!D139&amp;""</f>
        <v/>
      </c>
      <c r="BE169" s="10" t="str">
        <f>'役職希望調査 ・備考'!E139&amp;""</f>
        <v/>
      </c>
      <c r="BF169" s="10" t="str">
        <f>'役職希望調査 ・備考'!F139&amp;""</f>
        <v/>
      </c>
      <c r="BG169" s="10" t="str">
        <f>'役職希望調査 ・備考'!G139&amp;""</f>
        <v/>
      </c>
      <c r="BH169" s="10" t="str">
        <f>'役職希望調査 ・備考'!H139&amp;""</f>
        <v/>
      </c>
      <c r="BI169" s="10">
        <f t="shared" si="138"/>
        <v>0</v>
      </c>
      <c r="BJ169" s="10">
        <f t="shared" si="139"/>
        <v>0</v>
      </c>
      <c r="BK169" s="10">
        <f t="shared" si="140"/>
        <v>0</v>
      </c>
      <c r="BL169" s="10">
        <f t="shared" si="141"/>
        <v>0</v>
      </c>
      <c r="BM169" s="10">
        <f t="shared" si="142"/>
        <v>0</v>
      </c>
      <c r="BN169" s="10">
        <f t="shared" si="143"/>
        <v>0</v>
      </c>
      <c r="BO169" s="10">
        <f t="shared" si="144"/>
        <v>48</v>
      </c>
      <c r="BP169" s="10">
        <f t="shared" si="145"/>
        <v>48</v>
      </c>
      <c r="BQ169" s="10">
        <f t="shared" si="146"/>
        <v>47</v>
      </c>
      <c r="BR169" s="10">
        <f t="shared" si="147"/>
        <v>46</v>
      </c>
      <c r="BS169" s="10">
        <f t="shared" si="148"/>
        <v>45</v>
      </c>
      <c r="BT169" s="10">
        <f t="shared" si="149"/>
        <v>44</v>
      </c>
      <c r="BU169" s="10">
        <f t="shared" si="150"/>
        <v>43</v>
      </c>
      <c r="BV169" s="10">
        <f t="shared" si="151"/>
        <v>42</v>
      </c>
      <c r="BW169" s="10">
        <f t="shared" si="152"/>
        <v>41</v>
      </c>
      <c r="BX169" s="10">
        <f t="shared" si="153"/>
        <v>40</v>
      </c>
      <c r="BY169" s="10">
        <f t="shared" si="154"/>
        <v>39</v>
      </c>
      <c r="BZ169" s="10">
        <f t="shared" si="155"/>
        <v>38</v>
      </c>
      <c r="CA169" s="10">
        <f t="shared" si="156"/>
        <v>37</v>
      </c>
      <c r="CB169" s="10">
        <f t="shared" si="157"/>
        <v>36</v>
      </c>
      <c r="CC169" s="10">
        <f t="shared" si="158"/>
        <v>35</v>
      </c>
      <c r="CD169" s="10">
        <f t="shared" si="159"/>
        <v>34</v>
      </c>
      <c r="CE169" s="10">
        <f t="shared" si="160"/>
        <v>33</v>
      </c>
      <c r="CF169" s="10">
        <f t="shared" si="161"/>
        <v>32</v>
      </c>
      <c r="CG169" s="10">
        <f t="shared" si="162"/>
        <v>31</v>
      </c>
      <c r="CH169" s="10">
        <f t="shared" si="163"/>
        <v>30</v>
      </c>
      <c r="CI169" s="10">
        <f t="shared" si="164"/>
        <v>29</v>
      </c>
      <c r="CJ169" s="10">
        <f t="shared" si="165"/>
        <v>28</v>
      </c>
      <c r="CK169" s="10">
        <f t="shared" si="166"/>
        <v>27</v>
      </c>
      <c r="CL169" s="10">
        <f t="shared" si="167"/>
        <v>26</v>
      </c>
      <c r="CM169" s="10" t="str">
        <f>'役職希望調査 ・備考'!I139&amp;""</f>
        <v/>
      </c>
    </row>
    <row r="170" spans="1:91">
      <c r="A170" s="10" t="str">
        <f>時間希望調査!A140&amp;""</f>
        <v/>
      </c>
      <c r="B170" s="10" t="str">
        <f>時間希望調査!B140&amp;""</f>
        <v/>
      </c>
      <c r="C170" s="10" t="str">
        <f>時間希望調査!C140&amp;""</f>
        <v/>
      </c>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0">
        <f t="shared" si="168"/>
        <v>0</v>
      </c>
      <c r="BC170" s="10">
        <f>時間希望調査!D140</f>
        <v>0</v>
      </c>
      <c r="BD170" s="10" t="str">
        <f>'役職希望調査 ・備考'!D140&amp;""</f>
        <v/>
      </c>
      <c r="BE170" s="10" t="str">
        <f>'役職希望調査 ・備考'!E140&amp;""</f>
        <v/>
      </c>
      <c r="BF170" s="10" t="str">
        <f>'役職希望調査 ・備考'!F140&amp;""</f>
        <v/>
      </c>
      <c r="BG170" s="10" t="str">
        <f>'役職希望調査 ・備考'!G140&amp;""</f>
        <v/>
      </c>
      <c r="BH170" s="10" t="str">
        <f>'役職希望調査 ・備考'!H140&amp;""</f>
        <v/>
      </c>
      <c r="BI170" s="10">
        <f t="shared" si="138"/>
        <v>0</v>
      </c>
      <c r="BJ170" s="10">
        <f t="shared" si="139"/>
        <v>0</v>
      </c>
      <c r="BK170" s="10">
        <f t="shared" si="140"/>
        <v>0</v>
      </c>
      <c r="BL170" s="10">
        <f t="shared" si="141"/>
        <v>0</v>
      </c>
      <c r="BM170" s="10">
        <f t="shared" si="142"/>
        <v>0</v>
      </c>
      <c r="BN170" s="10">
        <f t="shared" si="143"/>
        <v>0</v>
      </c>
      <c r="BO170" s="10">
        <f t="shared" si="144"/>
        <v>48</v>
      </c>
      <c r="BP170" s="10">
        <f t="shared" si="145"/>
        <v>48</v>
      </c>
      <c r="BQ170" s="10">
        <f t="shared" si="146"/>
        <v>47</v>
      </c>
      <c r="BR170" s="10">
        <f t="shared" si="147"/>
        <v>46</v>
      </c>
      <c r="BS170" s="10">
        <f t="shared" si="148"/>
        <v>45</v>
      </c>
      <c r="BT170" s="10">
        <f t="shared" si="149"/>
        <v>44</v>
      </c>
      <c r="BU170" s="10">
        <f t="shared" si="150"/>
        <v>43</v>
      </c>
      <c r="BV170" s="10">
        <f t="shared" si="151"/>
        <v>42</v>
      </c>
      <c r="BW170" s="10">
        <f t="shared" si="152"/>
        <v>41</v>
      </c>
      <c r="BX170" s="10">
        <f t="shared" si="153"/>
        <v>40</v>
      </c>
      <c r="BY170" s="10">
        <f t="shared" si="154"/>
        <v>39</v>
      </c>
      <c r="BZ170" s="10">
        <f t="shared" si="155"/>
        <v>38</v>
      </c>
      <c r="CA170" s="10">
        <f t="shared" si="156"/>
        <v>37</v>
      </c>
      <c r="CB170" s="10">
        <f t="shared" si="157"/>
        <v>36</v>
      </c>
      <c r="CC170" s="10">
        <f t="shared" si="158"/>
        <v>35</v>
      </c>
      <c r="CD170" s="10">
        <f t="shared" si="159"/>
        <v>34</v>
      </c>
      <c r="CE170" s="10">
        <f t="shared" si="160"/>
        <v>33</v>
      </c>
      <c r="CF170" s="10">
        <f t="shared" si="161"/>
        <v>32</v>
      </c>
      <c r="CG170" s="10">
        <f t="shared" si="162"/>
        <v>31</v>
      </c>
      <c r="CH170" s="10">
        <f t="shared" si="163"/>
        <v>30</v>
      </c>
      <c r="CI170" s="10">
        <f t="shared" si="164"/>
        <v>29</v>
      </c>
      <c r="CJ170" s="10">
        <f t="shared" si="165"/>
        <v>28</v>
      </c>
      <c r="CK170" s="10">
        <f t="shared" si="166"/>
        <v>27</v>
      </c>
      <c r="CL170" s="10">
        <f t="shared" si="167"/>
        <v>26</v>
      </c>
      <c r="CM170" s="10" t="str">
        <f>'役職希望調査 ・備考'!I140&amp;""</f>
        <v/>
      </c>
    </row>
    <row r="171" spans="1:91">
      <c r="A171" s="10" t="str">
        <f>時間希望調査!A141&amp;""</f>
        <v/>
      </c>
      <c r="B171" s="10" t="str">
        <f>時間希望調査!B141&amp;""</f>
        <v/>
      </c>
      <c r="C171" s="10" t="str">
        <f>時間希望調査!C141&amp;""</f>
        <v/>
      </c>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0">
        <f t="shared" si="168"/>
        <v>0</v>
      </c>
      <c r="BC171" s="10">
        <f>時間希望調査!D141</f>
        <v>0</v>
      </c>
      <c r="BD171" s="10" t="str">
        <f>'役職希望調査 ・備考'!D141&amp;""</f>
        <v/>
      </c>
      <c r="BE171" s="10" t="str">
        <f>'役職希望調査 ・備考'!E141&amp;""</f>
        <v/>
      </c>
      <c r="BF171" s="10" t="str">
        <f>'役職希望調査 ・備考'!F141&amp;""</f>
        <v/>
      </c>
      <c r="BG171" s="10" t="str">
        <f>'役職希望調査 ・備考'!G141&amp;""</f>
        <v/>
      </c>
      <c r="BH171" s="10" t="str">
        <f>'役職希望調査 ・備考'!H141&amp;""</f>
        <v/>
      </c>
      <c r="BI171" s="10">
        <f t="shared" si="138"/>
        <v>0</v>
      </c>
      <c r="BJ171" s="10">
        <f t="shared" si="139"/>
        <v>0</v>
      </c>
      <c r="BK171" s="10">
        <f t="shared" si="140"/>
        <v>0</v>
      </c>
      <c r="BL171" s="10">
        <f t="shared" si="141"/>
        <v>0</v>
      </c>
      <c r="BM171" s="10">
        <f t="shared" si="142"/>
        <v>0</v>
      </c>
      <c r="BN171" s="10">
        <f t="shared" si="143"/>
        <v>0</v>
      </c>
      <c r="BO171" s="10">
        <f t="shared" si="144"/>
        <v>48</v>
      </c>
      <c r="BP171" s="10">
        <f t="shared" si="145"/>
        <v>48</v>
      </c>
      <c r="BQ171" s="10">
        <f t="shared" si="146"/>
        <v>47</v>
      </c>
      <c r="BR171" s="10">
        <f t="shared" si="147"/>
        <v>46</v>
      </c>
      <c r="BS171" s="10">
        <f t="shared" si="148"/>
        <v>45</v>
      </c>
      <c r="BT171" s="10">
        <f t="shared" si="149"/>
        <v>44</v>
      </c>
      <c r="BU171" s="10">
        <f t="shared" si="150"/>
        <v>43</v>
      </c>
      <c r="BV171" s="10">
        <f t="shared" si="151"/>
        <v>42</v>
      </c>
      <c r="BW171" s="10">
        <f t="shared" si="152"/>
        <v>41</v>
      </c>
      <c r="BX171" s="10">
        <f t="shared" si="153"/>
        <v>40</v>
      </c>
      <c r="BY171" s="10">
        <f t="shared" si="154"/>
        <v>39</v>
      </c>
      <c r="BZ171" s="10">
        <f t="shared" si="155"/>
        <v>38</v>
      </c>
      <c r="CA171" s="10">
        <f t="shared" si="156"/>
        <v>37</v>
      </c>
      <c r="CB171" s="10">
        <f t="shared" si="157"/>
        <v>36</v>
      </c>
      <c r="CC171" s="10">
        <f t="shared" si="158"/>
        <v>35</v>
      </c>
      <c r="CD171" s="10">
        <f t="shared" si="159"/>
        <v>34</v>
      </c>
      <c r="CE171" s="10">
        <f t="shared" si="160"/>
        <v>33</v>
      </c>
      <c r="CF171" s="10">
        <f t="shared" si="161"/>
        <v>32</v>
      </c>
      <c r="CG171" s="10">
        <f t="shared" si="162"/>
        <v>31</v>
      </c>
      <c r="CH171" s="10">
        <f t="shared" si="163"/>
        <v>30</v>
      </c>
      <c r="CI171" s="10">
        <f t="shared" si="164"/>
        <v>29</v>
      </c>
      <c r="CJ171" s="10">
        <f t="shared" si="165"/>
        <v>28</v>
      </c>
      <c r="CK171" s="10">
        <f t="shared" si="166"/>
        <v>27</v>
      </c>
      <c r="CL171" s="10">
        <f t="shared" si="167"/>
        <v>26</v>
      </c>
      <c r="CM171" s="10" t="str">
        <f>'役職希望調査 ・備考'!I141&amp;""</f>
        <v/>
      </c>
    </row>
    <row r="172" spans="1:91">
      <c r="A172" s="10" t="str">
        <f>時間希望調査!A142&amp;""</f>
        <v/>
      </c>
      <c r="B172" s="10" t="str">
        <f>時間希望調査!B142&amp;""</f>
        <v/>
      </c>
      <c r="C172" s="10" t="str">
        <f>時間希望調査!C142&amp;""</f>
        <v/>
      </c>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0">
        <f t="shared" si="168"/>
        <v>0</v>
      </c>
      <c r="BC172" s="10">
        <f>時間希望調査!D142</f>
        <v>0</v>
      </c>
      <c r="BD172" s="10" t="str">
        <f>'役職希望調査 ・備考'!D142&amp;""</f>
        <v/>
      </c>
      <c r="BE172" s="10" t="str">
        <f>'役職希望調査 ・備考'!E142&amp;""</f>
        <v/>
      </c>
      <c r="BF172" s="10" t="str">
        <f>'役職希望調査 ・備考'!F142&amp;""</f>
        <v/>
      </c>
      <c r="BG172" s="10" t="str">
        <f>'役職希望調査 ・備考'!G142&amp;""</f>
        <v/>
      </c>
      <c r="BH172" s="10" t="str">
        <f>'役職希望調査 ・備考'!H142&amp;""</f>
        <v/>
      </c>
      <c r="BI172" s="10">
        <f t="shared" si="138"/>
        <v>0</v>
      </c>
      <c r="BJ172" s="10">
        <f t="shared" si="139"/>
        <v>0</v>
      </c>
      <c r="BK172" s="10">
        <f t="shared" si="140"/>
        <v>0</v>
      </c>
      <c r="BL172" s="10">
        <f t="shared" si="141"/>
        <v>0</v>
      </c>
      <c r="BM172" s="10">
        <f t="shared" si="142"/>
        <v>0</v>
      </c>
      <c r="BN172" s="10">
        <f t="shared" si="143"/>
        <v>0</v>
      </c>
      <c r="BO172" s="10">
        <f t="shared" si="144"/>
        <v>48</v>
      </c>
      <c r="BP172" s="10">
        <f t="shared" si="145"/>
        <v>48</v>
      </c>
      <c r="BQ172" s="10">
        <f t="shared" si="146"/>
        <v>47</v>
      </c>
      <c r="BR172" s="10">
        <f t="shared" si="147"/>
        <v>46</v>
      </c>
      <c r="BS172" s="10">
        <f t="shared" si="148"/>
        <v>45</v>
      </c>
      <c r="BT172" s="10">
        <f t="shared" si="149"/>
        <v>44</v>
      </c>
      <c r="BU172" s="10">
        <f t="shared" si="150"/>
        <v>43</v>
      </c>
      <c r="BV172" s="10">
        <f t="shared" si="151"/>
        <v>42</v>
      </c>
      <c r="BW172" s="10">
        <f t="shared" si="152"/>
        <v>41</v>
      </c>
      <c r="BX172" s="10">
        <f t="shared" si="153"/>
        <v>40</v>
      </c>
      <c r="BY172" s="10">
        <f t="shared" si="154"/>
        <v>39</v>
      </c>
      <c r="BZ172" s="10">
        <f t="shared" si="155"/>
        <v>38</v>
      </c>
      <c r="CA172" s="10">
        <f t="shared" si="156"/>
        <v>37</v>
      </c>
      <c r="CB172" s="10">
        <f t="shared" si="157"/>
        <v>36</v>
      </c>
      <c r="CC172" s="10">
        <f t="shared" si="158"/>
        <v>35</v>
      </c>
      <c r="CD172" s="10">
        <f t="shared" si="159"/>
        <v>34</v>
      </c>
      <c r="CE172" s="10">
        <f t="shared" si="160"/>
        <v>33</v>
      </c>
      <c r="CF172" s="10">
        <f t="shared" si="161"/>
        <v>32</v>
      </c>
      <c r="CG172" s="10">
        <f t="shared" si="162"/>
        <v>31</v>
      </c>
      <c r="CH172" s="10">
        <f t="shared" si="163"/>
        <v>30</v>
      </c>
      <c r="CI172" s="10">
        <f t="shared" si="164"/>
        <v>29</v>
      </c>
      <c r="CJ172" s="10">
        <f t="shared" si="165"/>
        <v>28</v>
      </c>
      <c r="CK172" s="10">
        <f t="shared" si="166"/>
        <v>27</v>
      </c>
      <c r="CL172" s="10">
        <f t="shared" si="167"/>
        <v>26</v>
      </c>
      <c r="CM172" s="10" t="str">
        <f>'役職希望調査 ・備考'!I142&amp;""</f>
        <v/>
      </c>
    </row>
    <row r="173" spans="1:91">
      <c r="A173" s="10" t="str">
        <f>時間希望調査!A143&amp;""</f>
        <v/>
      </c>
      <c r="B173" s="10" t="str">
        <f>時間希望調査!B143&amp;""</f>
        <v/>
      </c>
      <c r="C173" s="10" t="str">
        <f>時間希望調査!C143&amp;""</f>
        <v/>
      </c>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0">
        <f t="shared" si="168"/>
        <v>0</v>
      </c>
      <c r="BC173" s="10">
        <f>時間希望調査!D143</f>
        <v>0</v>
      </c>
      <c r="BD173" s="10" t="str">
        <f>'役職希望調査 ・備考'!D143&amp;""</f>
        <v/>
      </c>
      <c r="BE173" s="10" t="str">
        <f>'役職希望調査 ・備考'!E143&amp;""</f>
        <v/>
      </c>
      <c r="BF173" s="10" t="str">
        <f>'役職希望調査 ・備考'!F143&amp;""</f>
        <v/>
      </c>
      <c r="BG173" s="10" t="str">
        <f>'役職希望調査 ・備考'!G143&amp;""</f>
        <v/>
      </c>
      <c r="BH173" s="10" t="str">
        <f>'役職希望調査 ・備考'!H143&amp;""</f>
        <v/>
      </c>
      <c r="BI173" s="10">
        <f t="shared" si="138"/>
        <v>0</v>
      </c>
      <c r="BJ173" s="10">
        <f t="shared" si="139"/>
        <v>0</v>
      </c>
      <c r="BK173" s="10">
        <f t="shared" si="140"/>
        <v>0</v>
      </c>
      <c r="BL173" s="10">
        <f t="shared" si="141"/>
        <v>0</v>
      </c>
      <c r="BM173" s="10">
        <f t="shared" si="142"/>
        <v>0</v>
      </c>
      <c r="BN173" s="10">
        <f t="shared" si="143"/>
        <v>0</v>
      </c>
      <c r="BO173" s="10">
        <f t="shared" si="144"/>
        <v>48</v>
      </c>
      <c r="BP173" s="10">
        <f t="shared" si="145"/>
        <v>48</v>
      </c>
      <c r="BQ173" s="10">
        <f t="shared" si="146"/>
        <v>47</v>
      </c>
      <c r="BR173" s="10">
        <f t="shared" si="147"/>
        <v>46</v>
      </c>
      <c r="BS173" s="10">
        <f t="shared" si="148"/>
        <v>45</v>
      </c>
      <c r="BT173" s="10">
        <f t="shared" si="149"/>
        <v>44</v>
      </c>
      <c r="BU173" s="10">
        <f t="shared" si="150"/>
        <v>43</v>
      </c>
      <c r="BV173" s="10">
        <f t="shared" si="151"/>
        <v>42</v>
      </c>
      <c r="BW173" s="10">
        <f t="shared" si="152"/>
        <v>41</v>
      </c>
      <c r="BX173" s="10">
        <f t="shared" si="153"/>
        <v>40</v>
      </c>
      <c r="BY173" s="10">
        <f t="shared" si="154"/>
        <v>39</v>
      </c>
      <c r="BZ173" s="10">
        <f t="shared" si="155"/>
        <v>38</v>
      </c>
      <c r="CA173" s="10">
        <f t="shared" si="156"/>
        <v>37</v>
      </c>
      <c r="CB173" s="10">
        <f t="shared" si="157"/>
        <v>36</v>
      </c>
      <c r="CC173" s="10">
        <f t="shared" si="158"/>
        <v>35</v>
      </c>
      <c r="CD173" s="10">
        <f t="shared" si="159"/>
        <v>34</v>
      </c>
      <c r="CE173" s="10">
        <f t="shared" si="160"/>
        <v>33</v>
      </c>
      <c r="CF173" s="10">
        <f t="shared" si="161"/>
        <v>32</v>
      </c>
      <c r="CG173" s="10">
        <f t="shared" si="162"/>
        <v>31</v>
      </c>
      <c r="CH173" s="10">
        <f t="shared" si="163"/>
        <v>30</v>
      </c>
      <c r="CI173" s="10">
        <f t="shared" si="164"/>
        <v>29</v>
      </c>
      <c r="CJ173" s="10">
        <f t="shared" si="165"/>
        <v>28</v>
      </c>
      <c r="CK173" s="10">
        <f t="shared" si="166"/>
        <v>27</v>
      </c>
      <c r="CL173" s="10">
        <f t="shared" si="167"/>
        <v>26</v>
      </c>
      <c r="CM173" s="10" t="str">
        <f>'役職希望調査 ・備考'!I143&amp;""</f>
        <v/>
      </c>
    </row>
    <row r="174" spans="1:91">
      <c r="A174" s="10" t="str">
        <f>時間希望調査!A144&amp;""</f>
        <v/>
      </c>
      <c r="B174" s="10" t="str">
        <f>時間希望調査!B144&amp;""</f>
        <v/>
      </c>
      <c r="C174" s="10" t="str">
        <f>時間希望調査!C144&amp;""</f>
        <v/>
      </c>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0">
        <f t="shared" si="168"/>
        <v>0</v>
      </c>
      <c r="BC174" s="10">
        <f>時間希望調査!D144</f>
        <v>0</v>
      </c>
      <c r="BD174" s="10" t="str">
        <f>'役職希望調査 ・備考'!D144&amp;""</f>
        <v/>
      </c>
      <c r="BE174" s="10" t="str">
        <f>'役職希望調査 ・備考'!E144&amp;""</f>
        <v/>
      </c>
      <c r="BF174" s="10" t="str">
        <f>'役職希望調査 ・備考'!F144&amp;""</f>
        <v/>
      </c>
      <c r="BG174" s="10" t="str">
        <f>'役職希望調査 ・備考'!G144&amp;""</f>
        <v/>
      </c>
      <c r="BH174" s="10" t="str">
        <f>'役職希望調査 ・備考'!H144&amp;""</f>
        <v/>
      </c>
      <c r="BI174" s="10">
        <f t="shared" si="138"/>
        <v>0</v>
      </c>
      <c r="BJ174" s="10">
        <f t="shared" si="139"/>
        <v>0</v>
      </c>
      <c r="BK174" s="10">
        <f t="shared" si="140"/>
        <v>0</v>
      </c>
      <c r="BL174" s="10">
        <f t="shared" si="141"/>
        <v>0</v>
      </c>
      <c r="BM174" s="10">
        <f t="shared" si="142"/>
        <v>0</v>
      </c>
      <c r="BN174" s="10">
        <f t="shared" si="143"/>
        <v>0</v>
      </c>
      <c r="BO174" s="10">
        <f t="shared" si="144"/>
        <v>48</v>
      </c>
      <c r="BP174" s="10">
        <f t="shared" si="145"/>
        <v>48</v>
      </c>
      <c r="BQ174" s="10">
        <f t="shared" si="146"/>
        <v>47</v>
      </c>
      <c r="BR174" s="10">
        <f t="shared" si="147"/>
        <v>46</v>
      </c>
      <c r="BS174" s="10">
        <f t="shared" si="148"/>
        <v>45</v>
      </c>
      <c r="BT174" s="10">
        <f t="shared" si="149"/>
        <v>44</v>
      </c>
      <c r="BU174" s="10">
        <f t="shared" si="150"/>
        <v>43</v>
      </c>
      <c r="BV174" s="10">
        <f t="shared" si="151"/>
        <v>42</v>
      </c>
      <c r="BW174" s="10">
        <f t="shared" si="152"/>
        <v>41</v>
      </c>
      <c r="BX174" s="10">
        <f t="shared" si="153"/>
        <v>40</v>
      </c>
      <c r="BY174" s="10">
        <f t="shared" si="154"/>
        <v>39</v>
      </c>
      <c r="BZ174" s="10">
        <f t="shared" si="155"/>
        <v>38</v>
      </c>
      <c r="CA174" s="10">
        <f t="shared" si="156"/>
        <v>37</v>
      </c>
      <c r="CB174" s="10">
        <f t="shared" si="157"/>
        <v>36</v>
      </c>
      <c r="CC174" s="10">
        <f t="shared" si="158"/>
        <v>35</v>
      </c>
      <c r="CD174" s="10">
        <f t="shared" si="159"/>
        <v>34</v>
      </c>
      <c r="CE174" s="10">
        <f t="shared" si="160"/>
        <v>33</v>
      </c>
      <c r="CF174" s="10">
        <f t="shared" si="161"/>
        <v>32</v>
      </c>
      <c r="CG174" s="10">
        <f t="shared" si="162"/>
        <v>31</v>
      </c>
      <c r="CH174" s="10">
        <f t="shared" si="163"/>
        <v>30</v>
      </c>
      <c r="CI174" s="10">
        <f t="shared" si="164"/>
        <v>29</v>
      </c>
      <c r="CJ174" s="10">
        <f t="shared" si="165"/>
        <v>28</v>
      </c>
      <c r="CK174" s="10">
        <f t="shared" si="166"/>
        <v>27</v>
      </c>
      <c r="CL174" s="10">
        <f t="shared" si="167"/>
        <v>26</v>
      </c>
      <c r="CM174" s="10" t="str">
        <f>'役職希望調査 ・備考'!I144&amp;""</f>
        <v/>
      </c>
    </row>
    <row r="175" spans="1:91">
      <c r="A175" s="10" t="str">
        <f>時間希望調査!A145&amp;""</f>
        <v/>
      </c>
      <c r="B175" s="10" t="str">
        <f>時間希望調査!B145&amp;""</f>
        <v/>
      </c>
      <c r="C175" s="10" t="str">
        <f>時間希望調査!C145&amp;""</f>
        <v/>
      </c>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0">
        <f t="shared" si="168"/>
        <v>0</v>
      </c>
      <c r="BC175" s="10">
        <f>時間希望調査!D145</f>
        <v>0</v>
      </c>
      <c r="BD175" s="10" t="str">
        <f>'役職希望調査 ・備考'!D145&amp;""</f>
        <v/>
      </c>
      <c r="BE175" s="10" t="str">
        <f>'役職希望調査 ・備考'!E145&amp;""</f>
        <v/>
      </c>
      <c r="BF175" s="10" t="str">
        <f>'役職希望調査 ・備考'!F145&amp;""</f>
        <v/>
      </c>
      <c r="BG175" s="10" t="str">
        <f>'役職希望調査 ・備考'!G145&amp;""</f>
        <v/>
      </c>
      <c r="BH175" s="10" t="str">
        <f>'役職希望調査 ・備考'!H145&amp;""</f>
        <v/>
      </c>
      <c r="BI175" s="10">
        <f t="shared" si="138"/>
        <v>0</v>
      </c>
      <c r="BJ175" s="10">
        <f t="shared" si="139"/>
        <v>0</v>
      </c>
      <c r="BK175" s="10">
        <f t="shared" si="140"/>
        <v>0</v>
      </c>
      <c r="BL175" s="10">
        <f t="shared" si="141"/>
        <v>0</v>
      </c>
      <c r="BM175" s="10">
        <f t="shared" si="142"/>
        <v>0</v>
      </c>
      <c r="BN175" s="10">
        <f t="shared" si="143"/>
        <v>0</v>
      </c>
      <c r="BO175" s="10">
        <f t="shared" si="144"/>
        <v>48</v>
      </c>
      <c r="BP175" s="10">
        <f t="shared" si="145"/>
        <v>48</v>
      </c>
      <c r="BQ175" s="10">
        <f t="shared" si="146"/>
        <v>47</v>
      </c>
      <c r="BR175" s="10">
        <f t="shared" si="147"/>
        <v>46</v>
      </c>
      <c r="BS175" s="10">
        <f t="shared" si="148"/>
        <v>45</v>
      </c>
      <c r="BT175" s="10">
        <f t="shared" si="149"/>
        <v>44</v>
      </c>
      <c r="BU175" s="10">
        <f t="shared" si="150"/>
        <v>43</v>
      </c>
      <c r="BV175" s="10">
        <f t="shared" si="151"/>
        <v>42</v>
      </c>
      <c r="BW175" s="10">
        <f t="shared" si="152"/>
        <v>41</v>
      </c>
      <c r="BX175" s="10">
        <f t="shared" si="153"/>
        <v>40</v>
      </c>
      <c r="BY175" s="10">
        <f t="shared" si="154"/>
        <v>39</v>
      </c>
      <c r="BZ175" s="10">
        <f t="shared" si="155"/>
        <v>38</v>
      </c>
      <c r="CA175" s="10">
        <f t="shared" si="156"/>
        <v>37</v>
      </c>
      <c r="CB175" s="10">
        <f t="shared" si="157"/>
        <v>36</v>
      </c>
      <c r="CC175" s="10">
        <f t="shared" si="158"/>
        <v>35</v>
      </c>
      <c r="CD175" s="10">
        <f t="shared" si="159"/>
        <v>34</v>
      </c>
      <c r="CE175" s="10">
        <f t="shared" si="160"/>
        <v>33</v>
      </c>
      <c r="CF175" s="10">
        <f t="shared" si="161"/>
        <v>32</v>
      </c>
      <c r="CG175" s="10">
        <f t="shared" si="162"/>
        <v>31</v>
      </c>
      <c r="CH175" s="10">
        <f t="shared" si="163"/>
        <v>30</v>
      </c>
      <c r="CI175" s="10">
        <f t="shared" si="164"/>
        <v>29</v>
      </c>
      <c r="CJ175" s="10">
        <f t="shared" si="165"/>
        <v>28</v>
      </c>
      <c r="CK175" s="10">
        <f t="shared" si="166"/>
        <v>27</v>
      </c>
      <c r="CL175" s="10">
        <f t="shared" si="167"/>
        <v>26</v>
      </c>
      <c r="CM175" s="10" t="str">
        <f>'役職希望調査 ・備考'!I145&amp;""</f>
        <v/>
      </c>
    </row>
    <row r="176" spans="1:91">
      <c r="A176" s="10" t="str">
        <f>時間希望調査!A146&amp;""</f>
        <v/>
      </c>
      <c r="B176" s="10" t="str">
        <f>時間希望調査!B146&amp;""</f>
        <v/>
      </c>
      <c r="C176" s="10" t="str">
        <f>時間希望調査!C146&amp;""</f>
        <v/>
      </c>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0">
        <f t="shared" si="168"/>
        <v>0</v>
      </c>
      <c r="BC176" s="10">
        <f>時間希望調査!D146</f>
        <v>0</v>
      </c>
      <c r="BD176" s="10" t="str">
        <f>'役職希望調査 ・備考'!D146&amp;""</f>
        <v/>
      </c>
      <c r="BE176" s="10" t="str">
        <f>'役職希望調査 ・備考'!E146&amp;""</f>
        <v/>
      </c>
      <c r="BF176" s="10" t="str">
        <f>'役職希望調査 ・備考'!F146&amp;""</f>
        <v/>
      </c>
      <c r="BG176" s="10" t="str">
        <f>'役職希望調査 ・備考'!G146&amp;""</f>
        <v/>
      </c>
      <c r="BH176" s="10" t="str">
        <f>'役職希望調査 ・備考'!H146&amp;""</f>
        <v/>
      </c>
      <c r="BI176" s="10">
        <f t="shared" si="138"/>
        <v>0</v>
      </c>
      <c r="BJ176" s="10">
        <f t="shared" si="139"/>
        <v>0</v>
      </c>
      <c r="BK176" s="10">
        <f t="shared" si="140"/>
        <v>0</v>
      </c>
      <c r="BL176" s="10">
        <f t="shared" si="141"/>
        <v>0</v>
      </c>
      <c r="BM176" s="10">
        <f t="shared" si="142"/>
        <v>0</v>
      </c>
      <c r="BN176" s="10">
        <f t="shared" si="143"/>
        <v>0</v>
      </c>
      <c r="BO176" s="10">
        <f t="shared" si="144"/>
        <v>48</v>
      </c>
      <c r="BP176" s="10">
        <f t="shared" si="145"/>
        <v>48</v>
      </c>
      <c r="BQ176" s="10">
        <f t="shared" si="146"/>
        <v>47</v>
      </c>
      <c r="BR176" s="10">
        <f t="shared" si="147"/>
        <v>46</v>
      </c>
      <c r="BS176" s="10">
        <f t="shared" si="148"/>
        <v>45</v>
      </c>
      <c r="BT176" s="10">
        <f t="shared" si="149"/>
        <v>44</v>
      </c>
      <c r="BU176" s="10">
        <f t="shared" si="150"/>
        <v>43</v>
      </c>
      <c r="BV176" s="10">
        <f t="shared" si="151"/>
        <v>42</v>
      </c>
      <c r="BW176" s="10">
        <f t="shared" si="152"/>
        <v>41</v>
      </c>
      <c r="BX176" s="10">
        <f t="shared" si="153"/>
        <v>40</v>
      </c>
      <c r="BY176" s="10">
        <f t="shared" si="154"/>
        <v>39</v>
      </c>
      <c r="BZ176" s="10">
        <f t="shared" si="155"/>
        <v>38</v>
      </c>
      <c r="CA176" s="10">
        <f t="shared" si="156"/>
        <v>37</v>
      </c>
      <c r="CB176" s="10">
        <f t="shared" si="157"/>
        <v>36</v>
      </c>
      <c r="CC176" s="10">
        <f t="shared" si="158"/>
        <v>35</v>
      </c>
      <c r="CD176" s="10">
        <f t="shared" si="159"/>
        <v>34</v>
      </c>
      <c r="CE176" s="10">
        <f t="shared" si="160"/>
        <v>33</v>
      </c>
      <c r="CF176" s="10">
        <f t="shared" si="161"/>
        <v>32</v>
      </c>
      <c r="CG176" s="10">
        <f t="shared" si="162"/>
        <v>31</v>
      </c>
      <c r="CH176" s="10">
        <f t="shared" si="163"/>
        <v>30</v>
      </c>
      <c r="CI176" s="10">
        <f t="shared" si="164"/>
        <v>29</v>
      </c>
      <c r="CJ176" s="10">
        <f t="shared" si="165"/>
        <v>28</v>
      </c>
      <c r="CK176" s="10">
        <f t="shared" si="166"/>
        <v>27</v>
      </c>
      <c r="CL176" s="10">
        <f t="shared" si="167"/>
        <v>26</v>
      </c>
      <c r="CM176" s="10" t="str">
        <f>'役職希望調査 ・備考'!I146&amp;""</f>
        <v/>
      </c>
    </row>
    <row r="177" spans="1:91">
      <c r="A177" s="10" t="str">
        <f>時間希望調査!A147&amp;""</f>
        <v/>
      </c>
      <c r="B177" s="10" t="str">
        <f>時間希望調査!B147&amp;""</f>
        <v/>
      </c>
      <c r="C177" s="10" t="str">
        <f>時間希望調査!C147&amp;""</f>
        <v/>
      </c>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0">
        <f t="shared" si="168"/>
        <v>0</v>
      </c>
      <c r="BC177" s="10">
        <f>時間希望調査!D147</f>
        <v>0</v>
      </c>
      <c r="BD177" s="10" t="str">
        <f>'役職希望調査 ・備考'!D147&amp;""</f>
        <v/>
      </c>
      <c r="BE177" s="10" t="str">
        <f>'役職希望調査 ・備考'!E147&amp;""</f>
        <v/>
      </c>
      <c r="BF177" s="10" t="str">
        <f>'役職希望調査 ・備考'!F147&amp;""</f>
        <v/>
      </c>
      <c r="BG177" s="10" t="str">
        <f>'役職希望調査 ・備考'!G147&amp;""</f>
        <v/>
      </c>
      <c r="BH177" s="10" t="str">
        <f>'役職希望調査 ・備考'!H147&amp;""</f>
        <v/>
      </c>
      <c r="BI177" s="10">
        <f t="shared" si="138"/>
        <v>0</v>
      </c>
      <c r="BJ177" s="10">
        <f t="shared" si="139"/>
        <v>0</v>
      </c>
      <c r="BK177" s="10">
        <f t="shared" si="140"/>
        <v>0</v>
      </c>
      <c r="BL177" s="10">
        <f t="shared" si="141"/>
        <v>0</v>
      </c>
      <c r="BM177" s="10">
        <f t="shared" si="142"/>
        <v>0</v>
      </c>
      <c r="BN177" s="10">
        <f t="shared" si="143"/>
        <v>0</v>
      </c>
      <c r="BO177" s="10">
        <f t="shared" si="144"/>
        <v>48</v>
      </c>
      <c r="BP177" s="10">
        <f t="shared" si="145"/>
        <v>48</v>
      </c>
      <c r="BQ177" s="10">
        <f t="shared" si="146"/>
        <v>47</v>
      </c>
      <c r="BR177" s="10">
        <f t="shared" si="147"/>
        <v>46</v>
      </c>
      <c r="BS177" s="10">
        <f t="shared" si="148"/>
        <v>45</v>
      </c>
      <c r="BT177" s="10">
        <f t="shared" si="149"/>
        <v>44</v>
      </c>
      <c r="BU177" s="10">
        <f t="shared" si="150"/>
        <v>43</v>
      </c>
      <c r="BV177" s="10">
        <f t="shared" si="151"/>
        <v>42</v>
      </c>
      <c r="BW177" s="10">
        <f t="shared" si="152"/>
        <v>41</v>
      </c>
      <c r="BX177" s="10">
        <f t="shared" si="153"/>
        <v>40</v>
      </c>
      <c r="BY177" s="10">
        <f t="shared" si="154"/>
        <v>39</v>
      </c>
      <c r="BZ177" s="10">
        <f t="shared" si="155"/>
        <v>38</v>
      </c>
      <c r="CA177" s="10">
        <f t="shared" si="156"/>
        <v>37</v>
      </c>
      <c r="CB177" s="10">
        <f t="shared" si="157"/>
        <v>36</v>
      </c>
      <c r="CC177" s="10">
        <f t="shared" si="158"/>
        <v>35</v>
      </c>
      <c r="CD177" s="10">
        <f t="shared" si="159"/>
        <v>34</v>
      </c>
      <c r="CE177" s="10">
        <f t="shared" si="160"/>
        <v>33</v>
      </c>
      <c r="CF177" s="10">
        <f t="shared" si="161"/>
        <v>32</v>
      </c>
      <c r="CG177" s="10">
        <f t="shared" si="162"/>
        <v>31</v>
      </c>
      <c r="CH177" s="10">
        <f t="shared" si="163"/>
        <v>30</v>
      </c>
      <c r="CI177" s="10">
        <f t="shared" si="164"/>
        <v>29</v>
      </c>
      <c r="CJ177" s="10">
        <f t="shared" si="165"/>
        <v>28</v>
      </c>
      <c r="CK177" s="10">
        <f t="shared" si="166"/>
        <v>27</v>
      </c>
      <c r="CL177" s="10">
        <f t="shared" si="167"/>
        <v>26</v>
      </c>
      <c r="CM177" s="10" t="str">
        <f>'役職希望調査 ・備考'!I147&amp;""</f>
        <v/>
      </c>
    </row>
    <row r="178" spans="1:91">
      <c r="A178" s="10" t="str">
        <f>時間希望調査!A148&amp;""</f>
        <v/>
      </c>
      <c r="B178" s="10" t="str">
        <f>時間希望調査!B148&amp;""</f>
        <v/>
      </c>
      <c r="C178" s="10" t="str">
        <f>時間希望調査!C148&amp;""</f>
        <v/>
      </c>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0">
        <f t="shared" si="168"/>
        <v>0</v>
      </c>
      <c r="BC178" s="10">
        <f>時間希望調査!D148</f>
        <v>0</v>
      </c>
      <c r="BD178" s="10" t="str">
        <f>'役職希望調査 ・備考'!D148&amp;""</f>
        <v/>
      </c>
      <c r="BE178" s="10" t="str">
        <f>'役職希望調査 ・備考'!E148&amp;""</f>
        <v/>
      </c>
      <c r="BF178" s="10" t="str">
        <f>'役職希望調査 ・備考'!F148&amp;""</f>
        <v/>
      </c>
      <c r="BG178" s="10" t="str">
        <f>'役職希望調査 ・備考'!G148&amp;""</f>
        <v/>
      </c>
      <c r="BH178" s="10" t="str">
        <f>'役職希望調査 ・備考'!H148&amp;""</f>
        <v/>
      </c>
      <c r="BI178" s="10">
        <f t="shared" si="138"/>
        <v>0</v>
      </c>
      <c r="BJ178" s="10">
        <f t="shared" si="139"/>
        <v>0</v>
      </c>
      <c r="BK178" s="10">
        <f t="shared" si="140"/>
        <v>0</v>
      </c>
      <c r="BL178" s="10">
        <f t="shared" si="141"/>
        <v>0</v>
      </c>
      <c r="BM178" s="10">
        <f t="shared" si="142"/>
        <v>0</v>
      </c>
      <c r="BN178" s="10">
        <f t="shared" si="143"/>
        <v>0</v>
      </c>
      <c r="BO178" s="10">
        <f t="shared" si="144"/>
        <v>48</v>
      </c>
      <c r="BP178" s="10">
        <f t="shared" si="145"/>
        <v>48</v>
      </c>
      <c r="BQ178" s="10">
        <f t="shared" si="146"/>
        <v>47</v>
      </c>
      <c r="BR178" s="10">
        <f t="shared" si="147"/>
        <v>46</v>
      </c>
      <c r="BS178" s="10">
        <f t="shared" si="148"/>
        <v>45</v>
      </c>
      <c r="BT178" s="10">
        <f t="shared" si="149"/>
        <v>44</v>
      </c>
      <c r="BU178" s="10">
        <f t="shared" si="150"/>
        <v>43</v>
      </c>
      <c r="BV178" s="10">
        <f t="shared" si="151"/>
        <v>42</v>
      </c>
      <c r="BW178" s="10">
        <f t="shared" si="152"/>
        <v>41</v>
      </c>
      <c r="BX178" s="10">
        <f t="shared" si="153"/>
        <v>40</v>
      </c>
      <c r="BY178" s="10">
        <f t="shared" si="154"/>
        <v>39</v>
      </c>
      <c r="BZ178" s="10">
        <f t="shared" si="155"/>
        <v>38</v>
      </c>
      <c r="CA178" s="10">
        <f t="shared" si="156"/>
        <v>37</v>
      </c>
      <c r="CB178" s="10">
        <f t="shared" si="157"/>
        <v>36</v>
      </c>
      <c r="CC178" s="10">
        <f t="shared" si="158"/>
        <v>35</v>
      </c>
      <c r="CD178" s="10">
        <f t="shared" si="159"/>
        <v>34</v>
      </c>
      <c r="CE178" s="10">
        <f t="shared" si="160"/>
        <v>33</v>
      </c>
      <c r="CF178" s="10">
        <f t="shared" si="161"/>
        <v>32</v>
      </c>
      <c r="CG178" s="10">
        <f t="shared" si="162"/>
        <v>31</v>
      </c>
      <c r="CH178" s="10">
        <f t="shared" si="163"/>
        <v>30</v>
      </c>
      <c r="CI178" s="10">
        <f t="shared" si="164"/>
        <v>29</v>
      </c>
      <c r="CJ178" s="10">
        <f t="shared" si="165"/>
        <v>28</v>
      </c>
      <c r="CK178" s="10">
        <f t="shared" si="166"/>
        <v>27</v>
      </c>
      <c r="CL178" s="10">
        <f t="shared" si="167"/>
        <v>26</v>
      </c>
      <c r="CM178" s="10" t="str">
        <f>'役職希望調査 ・備考'!I148&amp;""</f>
        <v/>
      </c>
    </row>
    <row r="179" spans="1:91">
      <c r="A179" s="10" t="str">
        <f>時間希望調査!A149&amp;""</f>
        <v/>
      </c>
      <c r="B179" s="10" t="str">
        <f>時間希望調査!B149&amp;""</f>
        <v/>
      </c>
      <c r="C179" s="10" t="str">
        <f>時間希望調査!C149&amp;""</f>
        <v/>
      </c>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0">
        <f t="shared" si="168"/>
        <v>0</v>
      </c>
      <c r="BC179" s="10">
        <f>時間希望調査!D149</f>
        <v>0</v>
      </c>
      <c r="BD179" s="10" t="str">
        <f>'役職希望調査 ・備考'!D149&amp;""</f>
        <v/>
      </c>
      <c r="BE179" s="10" t="str">
        <f>'役職希望調査 ・備考'!E149&amp;""</f>
        <v/>
      </c>
      <c r="BF179" s="10" t="str">
        <f>'役職希望調査 ・備考'!F149&amp;""</f>
        <v/>
      </c>
      <c r="BG179" s="10" t="str">
        <f>'役職希望調査 ・備考'!G149&amp;""</f>
        <v/>
      </c>
      <c r="BH179" s="10" t="str">
        <f>'役職希望調査 ・備考'!H149&amp;""</f>
        <v/>
      </c>
      <c r="BI179" s="10">
        <f t="shared" si="138"/>
        <v>0</v>
      </c>
      <c r="BJ179" s="10">
        <f t="shared" si="139"/>
        <v>0</v>
      </c>
      <c r="BK179" s="10">
        <f t="shared" si="140"/>
        <v>0</v>
      </c>
      <c r="BL179" s="10">
        <f t="shared" si="141"/>
        <v>0</v>
      </c>
      <c r="BM179" s="10">
        <f t="shared" si="142"/>
        <v>0</v>
      </c>
      <c r="BN179" s="10">
        <f t="shared" si="143"/>
        <v>0</v>
      </c>
      <c r="BO179" s="10">
        <f t="shared" si="144"/>
        <v>48</v>
      </c>
      <c r="BP179" s="10">
        <f t="shared" si="145"/>
        <v>48</v>
      </c>
      <c r="BQ179" s="10">
        <f t="shared" si="146"/>
        <v>47</v>
      </c>
      <c r="BR179" s="10">
        <f t="shared" si="147"/>
        <v>46</v>
      </c>
      <c r="BS179" s="10">
        <f t="shared" si="148"/>
        <v>45</v>
      </c>
      <c r="BT179" s="10">
        <f t="shared" si="149"/>
        <v>44</v>
      </c>
      <c r="BU179" s="10">
        <f t="shared" si="150"/>
        <v>43</v>
      </c>
      <c r="BV179" s="10">
        <f t="shared" si="151"/>
        <v>42</v>
      </c>
      <c r="BW179" s="10">
        <f t="shared" si="152"/>
        <v>41</v>
      </c>
      <c r="BX179" s="10">
        <f t="shared" si="153"/>
        <v>40</v>
      </c>
      <c r="BY179" s="10">
        <f t="shared" si="154"/>
        <v>39</v>
      </c>
      <c r="BZ179" s="10">
        <f t="shared" si="155"/>
        <v>38</v>
      </c>
      <c r="CA179" s="10">
        <f t="shared" si="156"/>
        <v>37</v>
      </c>
      <c r="CB179" s="10">
        <f t="shared" si="157"/>
        <v>36</v>
      </c>
      <c r="CC179" s="10">
        <f t="shared" si="158"/>
        <v>35</v>
      </c>
      <c r="CD179" s="10">
        <f t="shared" si="159"/>
        <v>34</v>
      </c>
      <c r="CE179" s="10">
        <f t="shared" si="160"/>
        <v>33</v>
      </c>
      <c r="CF179" s="10">
        <f t="shared" si="161"/>
        <v>32</v>
      </c>
      <c r="CG179" s="10">
        <f t="shared" si="162"/>
        <v>31</v>
      </c>
      <c r="CH179" s="10">
        <f t="shared" si="163"/>
        <v>30</v>
      </c>
      <c r="CI179" s="10">
        <f t="shared" si="164"/>
        <v>29</v>
      </c>
      <c r="CJ179" s="10">
        <f t="shared" si="165"/>
        <v>28</v>
      </c>
      <c r="CK179" s="10">
        <f t="shared" si="166"/>
        <v>27</v>
      </c>
      <c r="CL179" s="10">
        <f t="shared" si="167"/>
        <v>26</v>
      </c>
      <c r="CM179" s="10" t="str">
        <f>'役職希望調査 ・備考'!I149&amp;""</f>
        <v/>
      </c>
    </row>
    <row r="180" spans="1:91">
      <c r="A180" s="10" t="str">
        <f>時間希望調査!A150&amp;""</f>
        <v/>
      </c>
      <c r="B180" s="10" t="str">
        <f>時間希望調査!B150&amp;""</f>
        <v/>
      </c>
      <c r="C180" s="10" t="str">
        <f>時間希望調査!C150&amp;""</f>
        <v/>
      </c>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0">
        <f t="shared" si="168"/>
        <v>0</v>
      </c>
      <c r="BC180" s="10">
        <f>時間希望調査!D150</f>
        <v>0</v>
      </c>
      <c r="BD180" s="10" t="str">
        <f>'役職希望調査 ・備考'!D150&amp;""</f>
        <v/>
      </c>
      <c r="BE180" s="10" t="str">
        <f>'役職希望調査 ・備考'!E150&amp;""</f>
        <v/>
      </c>
      <c r="BF180" s="10" t="str">
        <f>'役職希望調査 ・備考'!F150&amp;""</f>
        <v/>
      </c>
      <c r="BG180" s="10" t="str">
        <f>'役職希望調査 ・備考'!G150&amp;""</f>
        <v/>
      </c>
      <c r="BH180" s="10" t="str">
        <f>'役職希望調査 ・備考'!H150&amp;""</f>
        <v/>
      </c>
      <c r="BI180" s="10">
        <f t="shared" si="138"/>
        <v>0</v>
      </c>
      <c r="BJ180" s="10">
        <f t="shared" si="139"/>
        <v>0</v>
      </c>
      <c r="BK180" s="10">
        <f t="shared" si="140"/>
        <v>0</v>
      </c>
      <c r="BL180" s="10">
        <f t="shared" si="141"/>
        <v>0</v>
      </c>
      <c r="BM180" s="10">
        <f t="shared" si="142"/>
        <v>0</v>
      </c>
      <c r="BN180" s="10">
        <f t="shared" si="143"/>
        <v>0</v>
      </c>
      <c r="BO180" s="10">
        <f t="shared" si="144"/>
        <v>48</v>
      </c>
      <c r="BP180" s="10">
        <f t="shared" si="145"/>
        <v>48</v>
      </c>
      <c r="BQ180" s="10">
        <f t="shared" si="146"/>
        <v>47</v>
      </c>
      <c r="BR180" s="10">
        <f t="shared" si="147"/>
        <v>46</v>
      </c>
      <c r="BS180" s="10">
        <f t="shared" si="148"/>
        <v>45</v>
      </c>
      <c r="BT180" s="10">
        <f t="shared" si="149"/>
        <v>44</v>
      </c>
      <c r="BU180" s="10">
        <f t="shared" si="150"/>
        <v>43</v>
      </c>
      <c r="BV180" s="10">
        <f t="shared" si="151"/>
        <v>42</v>
      </c>
      <c r="BW180" s="10">
        <f t="shared" si="152"/>
        <v>41</v>
      </c>
      <c r="BX180" s="10">
        <f t="shared" si="153"/>
        <v>40</v>
      </c>
      <c r="BY180" s="10">
        <f t="shared" si="154"/>
        <v>39</v>
      </c>
      <c r="BZ180" s="10">
        <f t="shared" si="155"/>
        <v>38</v>
      </c>
      <c r="CA180" s="10">
        <f t="shared" si="156"/>
        <v>37</v>
      </c>
      <c r="CB180" s="10">
        <f t="shared" si="157"/>
        <v>36</v>
      </c>
      <c r="CC180" s="10">
        <f t="shared" si="158"/>
        <v>35</v>
      </c>
      <c r="CD180" s="10">
        <f t="shared" si="159"/>
        <v>34</v>
      </c>
      <c r="CE180" s="10">
        <f t="shared" si="160"/>
        <v>33</v>
      </c>
      <c r="CF180" s="10">
        <f t="shared" si="161"/>
        <v>32</v>
      </c>
      <c r="CG180" s="10">
        <f t="shared" si="162"/>
        <v>31</v>
      </c>
      <c r="CH180" s="10">
        <f t="shared" si="163"/>
        <v>30</v>
      </c>
      <c r="CI180" s="10">
        <f t="shared" si="164"/>
        <v>29</v>
      </c>
      <c r="CJ180" s="10">
        <f t="shared" si="165"/>
        <v>28</v>
      </c>
      <c r="CK180" s="10">
        <f t="shared" si="166"/>
        <v>27</v>
      </c>
      <c r="CL180" s="10">
        <f t="shared" si="167"/>
        <v>26</v>
      </c>
      <c r="CM180" s="10" t="str">
        <f>'役職希望調査 ・備考'!I150&amp;""</f>
        <v/>
      </c>
    </row>
    <row r="181" spans="1:91">
      <c r="A181" s="10" t="str">
        <f>時間希望調査!A151&amp;""</f>
        <v/>
      </c>
      <c r="B181" s="10" t="str">
        <f>時間希望調査!B151&amp;""</f>
        <v/>
      </c>
      <c r="C181" s="10" t="str">
        <f>時間希望調査!C151&amp;""</f>
        <v/>
      </c>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0">
        <f t="shared" si="168"/>
        <v>0</v>
      </c>
      <c r="BC181" s="10">
        <f>時間希望調査!D151</f>
        <v>0</v>
      </c>
      <c r="BD181" s="10" t="str">
        <f>'役職希望調査 ・備考'!D151&amp;""</f>
        <v/>
      </c>
      <c r="BE181" s="10" t="str">
        <f>'役職希望調査 ・備考'!E151&amp;""</f>
        <v/>
      </c>
      <c r="BF181" s="10" t="str">
        <f>'役職希望調査 ・備考'!F151&amp;""</f>
        <v/>
      </c>
      <c r="BG181" s="10" t="str">
        <f>'役職希望調査 ・備考'!G151&amp;""</f>
        <v/>
      </c>
      <c r="BH181" s="10" t="str">
        <f>'役職希望調査 ・備考'!H151&amp;""</f>
        <v/>
      </c>
      <c r="BI181" s="10">
        <f t="shared" si="138"/>
        <v>0</v>
      </c>
      <c r="BJ181" s="10">
        <f t="shared" si="139"/>
        <v>0</v>
      </c>
      <c r="BK181" s="10">
        <f t="shared" si="140"/>
        <v>0</v>
      </c>
      <c r="BL181" s="10">
        <f t="shared" si="141"/>
        <v>0</v>
      </c>
      <c r="BM181" s="10">
        <f t="shared" si="142"/>
        <v>0</v>
      </c>
      <c r="BN181" s="10">
        <f t="shared" si="143"/>
        <v>0</v>
      </c>
      <c r="BO181" s="10">
        <f t="shared" si="144"/>
        <v>48</v>
      </c>
      <c r="BP181" s="10">
        <f t="shared" si="145"/>
        <v>48</v>
      </c>
      <c r="BQ181" s="10">
        <f t="shared" si="146"/>
        <v>47</v>
      </c>
      <c r="BR181" s="10">
        <f t="shared" si="147"/>
        <v>46</v>
      </c>
      <c r="BS181" s="10">
        <f t="shared" si="148"/>
        <v>45</v>
      </c>
      <c r="BT181" s="10">
        <f t="shared" si="149"/>
        <v>44</v>
      </c>
      <c r="BU181" s="10">
        <f t="shared" si="150"/>
        <v>43</v>
      </c>
      <c r="BV181" s="10">
        <f t="shared" si="151"/>
        <v>42</v>
      </c>
      <c r="BW181" s="10">
        <f t="shared" si="152"/>
        <v>41</v>
      </c>
      <c r="BX181" s="10">
        <f t="shared" si="153"/>
        <v>40</v>
      </c>
      <c r="BY181" s="10">
        <f t="shared" si="154"/>
        <v>39</v>
      </c>
      <c r="BZ181" s="10">
        <f t="shared" si="155"/>
        <v>38</v>
      </c>
      <c r="CA181" s="10">
        <f t="shared" si="156"/>
        <v>37</v>
      </c>
      <c r="CB181" s="10">
        <f t="shared" si="157"/>
        <v>36</v>
      </c>
      <c r="CC181" s="10">
        <f t="shared" si="158"/>
        <v>35</v>
      </c>
      <c r="CD181" s="10">
        <f t="shared" si="159"/>
        <v>34</v>
      </c>
      <c r="CE181" s="10">
        <f t="shared" si="160"/>
        <v>33</v>
      </c>
      <c r="CF181" s="10">
        <f t="shared" si="161"/>
        <v>32</v>
      </c>
      <c r="CG181" s="10">
        <f t="shared" si="162"/>
        <v>31</v>
      </c>
      <c r="CH181" s="10">
        <f t="shared" si="163"/>
        <v>30</v>
      </c>
      <c r="CI181" s="10">
        <f t="shared" si="164"/>
        <v>29</v>
      </c>
      <c r="CJ181" s="10">
        <f t="shared" si="165"/>
        <v>28</v>
      </c>
      <c r="CK181" s="10">
        <f t="shared" si="166"/>
        <v>27</v>
      </c>
      <c r="CL181" s="10">
        <f t="shared" si="167"/>
        <v>26</v>
      </c>
      <c r="CM181" s="10" t="str">
        <f>'役職希望調査 ・備考'!I151&amp;""</f>
        <v/>
      </c>
    </row>
    <row r="182" spans="1:91">
      <c r="A182" s="10" t="str">
        <f>時間希望調査!A152&amp;""</f>
        <v/>
      </c>
      <c r="B182" s="10" t="str">
        <f>時間希望調査!B152&amp;""</f>
        <v/>
      </c>
      <c r="C182" s="10" t="str">
        <f>時間希望調査!C152&amp;""</f>
        <v/>
      </c>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0">
        <f t="shared" si="168"/>
        <v>0</v>
      </c>
      <c r="BC182" s="10">
        <f>時間希望調査!D152</f>
        <v>0</v>
      </c>
      <c r="BD182" s="10" t="str">
        <f>'役職希望調査 ・備考'!D152&amp;""</f>
        <v/>
      </c>
      <c r="BE182" s="10" t="str">
        <f>'役職希望調査 ・備考'!E152&amp;""</f>
        <v/>
      </c>
      <c r="BF182" s="10" t="str">
        <f>'役職希望調査 ・備考'!F152&amp;""</f>
        <v/>
      </c>
      <c r="BG182" s="10" t="str">
        <f>'役職希望調査 ・備考'!G152&amp;""</f>
        <v/>
      </c>
      <c r="BH182" s="10" t="str">
        <f>'役職希望調査 ・備考'!H152&amp;""</f>
        <v/>
      </c>
      <c r="BI182" s="10">
        <f t="shared" si="138"/>
        <v>0</v>
      </c>
      <c r="BJ182" s="10">
        <f t="shared" si="139"/>
        <v>0</v>
      </c>
      <c r="BK182" s="10">
        <f t="shared" si="140"/>
        <v>0</v>
      </c>
      <c r="BL182" s="10">
        <f t="shared" si="141"/>
        <v>0</v>
      </c>
      <c r="BM182" s="10">
        <f t="shared" si="142"/>
        <v>0</v>
      </c>
      <c r="BN182" s="10">
        <f t="shared" si="143"/>
        <v>0</v>
      </c>
      <c r="BO182" s="10">
        <f t="shared" si="144"/>
        <v>48</v>
      </c>
      <c r="BP182" s="10">
        <f t="shared" si="145"/>
        <v>48</v>
      </c>
      <c r="BQ182" s="10">
        <f t="shared" si="146"/>
        <v>47</v>
      </c>
      <c r="BR182" s="10">
        <f t="shared" si="147"/>
        <v>46</v>
      </c>
      <c r="BS182" s="10">
        <f t="shared" si="148"/>
        <v>45</v>
      </c>
      <c r="BT182" s="10">
        <f t="shared" si="149"/>
        <v>44</v>
      </c>
      <c r="BU182" s="10">
        <f t="shared" si="150"/>
        <v>43</v>
      </c>
      <c r="BV182" s="10">
        <f t="shared" si="151"/>
        <v>42</v>
      </c>
      <c r="BW182" s="10">
        <f t="shared" si="152"/>
        <v>41</v>
      </c>
      <c r="BX182" s="10">
        <f t="shared" si="153"/>
        <v>40</v>
      </c>
      <c r="BY182" s="10">
        <f t="shared" si="154"/>
        <v>39</v>
      </c>
      <c r="BZ182" s="10">
        <f t="shared" si="155"/>
        <v>38</v>
      </c>
      <c r="CA182" s="10">
        <f t="shared" si="156"/>
        <v>37</v>
      </c>
      <c r="CB182" s="10">
        <f t="shared" si="157"/>
        <v>36</v>
      </c>
      <c r="CC182" s="10">
        <f t="shared" si="158"/>
        <v>35</v>
      </c>
      <c r="CD182" s="10">
        <f t="shared" si="159"/>
        <v>34</v>
      </c>
      <c r="CE182" s="10">
        <f t="shared" si="160"/>
        <v>33</v>
      </c>
      <c r="CF182" s="10">
        <f t="shared" si="161"/>
        <v>32</v>
      </c>
      <c r="CG182" s="10">
        <f t="shared" si="162"/>
        <v>31</v>
      </c>
      <c r="CH182" s="10">
        <f t="shared" si="163"/>
        <v>30</v>
      </c>
      <c r="CI182" s="10">
        <f t="shared" si="164"/>
        <v>29</v>
      </c>
      <c r="CJ182" s="10">
        <f t="shared" si="165"/>
        <v>28</v>
      </c>
      <c r="CK182" s="10">
        <f t="shared" si="166"/>
        <v>27</v>
      </c>
      <c r="CL182" s="10">
        <f t="shared" si="167"/>
        <v>26</v>
      </c>
      <c r="CM182" s="10" t="str">
        <f>'役職希望調査 ・備考'!I152&amp;""</f>
        <v/>
      </c>
    </row>
    <row r="183" spans="1:91">
      <c r="A183" s="10" t="str">
        <f>時間希望調査!A153&amp;""</f>
        <v/>
      </c>
      <c r="B183" s="10" t="str">
        <f>時間希望調査!B153&amp;""</f>
        <v/>
      </c>
      <c r="C183" s="10" t="str">
        <f>時間希望調査!C153&amp;""</f>
        <v/>
      </c>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0">
        <f t="shared" si="168"/>
        <v>0</v>
      </c>
      <c r="BC183" s="10">
        <f>時間希望調査!D153</f>
        <v>0</v>
      </c>
      <c r="BD183" s="10" t="str">
        <f>'役職希望調査 ・備考'!D153&amp;""</f>
        <v/>
      </c>
      <c r="BE183" s="10" t="str">
        <f>'役職希望調査 ・備考'!E153&amp;""</f>
        <v/>
      </c>
      <c r="BF183" s="10" t="str">
        <f>'役職希望調査 ・備考'!F153&amp;""</f>
        <v/>
      </c>
      <c r="BG183" s="10" t="str">
        <f>'役職希望調査 ・備考'!G153&amp;""</f>
        <v/>
      </c>
      <c r="BH183" s="10" t="str">
        <f>'役職希望調査 ・備考'!H153&amp;""</f>
        <v/>
      </c>
      <c r="BI183" s="10">
        <f t="shared" si="138"/>
        <v>0</v>
      </c>
      <c r="BJ183" s="10">
        <f t="shared" si="139"/>
        <v>0</v>
      </c>
      <c r="BK183" s="10">
        <f t="shared" si="140"/>
        <v>0</v>
      </c>
      <c r="BL183" s="10">
        <f t="shared" si="141"/>
        <v>0</v>
      </c>
      <c r="BM183" s="10">
        <f t="shared" si="142"/>
        <v>0</v>
      </c>
      <c r="BN183" s="10">
        <f t="shared" si="143"/>
        <v>0</v>
      </c>
      <c r="BO183" s="10">
        <f t="shared" si="144"/>
        <v>48</v>
      </c>
      <c r="BP183" s="10">
        <f t="shared" si="145"/>
        <v>48</v>
      </c>
      <c r="BQ183" s="10">
        <f t="shared" si="146"/>
        <v>47</v>
      </c>
      <c r="BR183" s="10">
        <f t="shared" si="147"/>
        <v>46</v>
      </c>
      <c r="BS183" s="10">
        <f t="shared" si="148"/>
        <v>45</v>
      </c>
      <c r="BT183" s="10">
        <f t="shared" si="149"/>
        <v>44</v>
      </c>
      <c r="BU183" s="10">
        <f t="shared" si="150"/>
        <v>43</v>
      </c>
      <c r="BV183" s="10">
        <f t="shared" si="151"/>
        <v>42</v>
      </c>
      <c r="BW183" s="10">
        <f t="shared" si="152"/>
        <v>41</v>
      </c>
      <c r="BX183" s="10">
        <f t="shared" si="153"/>
        <v>40</v>
      </c>
      <c r="BY183" s="10">
        <f t="shared" si="154"/>
        <v>39</v>
      </c>
      <c r="BZ183" s="10">
        <f t="shared" si="155"/>
        <v>38</v>
      </c>
      <c r="CA183" s="10">
        <f t="shared" si="156"/>
        <v>37</v>
      </c>
      <c r="CB183" s="10">
        <f t="shared" si="157"/>
        <v>36</v>
      </c>
      <c r="CC183" s="10">
        <f t="shared" si="158"/>
        <v>35</v>
      </c>
      <c r="CD183" s="10">
        <f t="shared" si="159"/>
        <v>34</v>
      </c>
      <c r="CE183" s="10">
        <f t="shared" si="160"/>
        <v>33</v>
      </c>
      <c r="CF183" s="10">
        <f t="shared" si="161"/>
        <v>32</v>
      </c>
      <c r="CG183" s="10">
        <f t="shared" si="162"/>
        <v>31</v>
      </c>
      <c r="CH183" s="10">
        <f t="shared" si="163"/>
        <v>30</v>
      </c>
      <c r="CI183" s="10">
        <f t="shared" si="164"/>
        <v>29</v>
      </c>
      <c r="CJ183" s="10">
        <f t="shared" si="165"/>
        <v>28</v>
      </c>
      <c r="CK183" s="10">
        <f t="shared" si="166"/>
        <v>27</v>
      </c>
      <c r="CL183" s="10">
        <f t="shared" si="167"/>
        <v>26</v>
      </c>
      <c r="CM183" s="10" t="str">
        <f>'役職希望調査 ・備考'!I153&amp;""</f>
        <v/>
      </c>
    </row>
    <row r="184" spans="1:91">
      <c r="A184" s="10" t="str">
        <f>時間希望調査!A154&amp;""</f>
        <v/>
      </c>
      <c r="B184" s="10" t="str">
        <f>時間希望調査!B154&amp;""</f>
        <v/>
      </c>
      <c r="C184" s="10" t="str">
        <f>時間希望調査!C154&amp;""</f>
        <v/>
      </c>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0">
        <f t="shared" si="168"/>
        <v>0</v>
      </c>
      <c r="BC184" s="10">
        <f>時間希望調査!D154</f>
        <v>0</v>
      </c>
      <c r="BD184" s="10" t="str">
        <f>'役職希望調査 ・備考'!D154&amp;""</f>
        <v/>
      </c>
      <c r="BE184" s="10" t="str">
        <f>'役職希望調査 ・備考'!E154&amp;""</f>
        <v/>
      </c>
      <c r="BF184" s="10" t="str">
        <f>'役職希望調査 ・備考'!F154&amp;""</f>
        <v/>
      </c>
      <c r="BG184" s="10" t="str">
        <f>'役職希望調査 ・備考'!G154&amp;""</f>
        <v/>
      </c>
      <c r="BH184" s="10" t="str">
        <f>'役職希望調査 ・備考'!H154&amp;""</f>
        <v/>
      </c>
      <c r="BI184" s="10">
        <f t="shared" si="138"/>
        <v>0</v>
      </c>
      <c r="BJ184" s="10">
        <f t="shared" si="139"/>
        <v>0</v>
      </c>
      <c r="BK184" s="10">
        <f t="shared" si="140"/>
        <v>0</v>
      </c>
      <c r="BL184" s="10">
        <f t="shared" si="141"/>
        <v>0</v>
      </c>
      <c r="BM184" s="10">
        <f t="shared" si="142"/>
        <v>0</v>
      </c>
      <c r="BN184" s="10">
        <f t="shared" si="143"/>
        <v>0</v>
      </c>
      <c r="BO184" s="10">
        <f t="shared" si="144"/>
        <v>48</v>
      </c>
      <c r="BP184" s="10">
        <f t="shared" si="145"/>
        <v>48</v>
      </c>
      <c r="BQ184" s="10">
        <f t="shared" si="146"/>
        <v>47</v>
      </c>
      <c r="BR184" s="10">
        <f t="shared" si="147"/>
        <v>46</v>
      </c>
      <c r="BS184" s="10">
        <f t="shared" si="148"/>
        <v>45</v>
      </c>
      <c r="BT184" s="10">
        <f t="shared" si="149"/>
        <v>44</v>
      </c>
      <c r="BU184" s="10">
        <f t="shared" si="150"/>
        <v>43</v>
      </c>
      <c r="BV184" s="10">
        <f t="shared" si="151"/>
        <v>42</v>
      </c>
      <c r="BW184" s="10">
        <f t="shared" si="152"/>
        <v>41</v>
      </c>
      <c r="BX184" s="10">
        <f t="shared" si="153"/>
        <v>40</v>
      </c>
      <c r="BY184" s="10">
        <f t="shared" si="154"/>
        <v>39</v>
      </c>
      <c r="BZ184" s="10">
        <f t="shared" si="155"/>
        <v>38</v>
      </c>
      <c r="CA184" s="10">
        <f t="shared" si="156"/>
        <v>37</v>
      </c>
      <c r="CB184" s="10">
        <f t="shared" si="157"/>
        <v>36</v>
      </c>
      <c r="CC184" s="10">
        <f t="shared" si="158"/>
        <v>35</v>
      </c>
      <c r="CD184" s="10">
        <f t="shared" si="159"/>
        <v>34</v>
      </c>
      <c r="CE184" s="10">
        <f t="shared" si="160"/>
        <v>33</v>
      </c>
      <c r="CF184" s="10">
        <f t="shared" si="161"/>
        <v>32</v>
      </c>
      <c r="CG184" s="10">
        <f t="shared" si="162"/>
        <v>31</v>
      </c>
      <c r="CH184" s="10">
        <f t="shared" si="163"/>
        <v>30</v>
      </c>
      <c r="CI184" s="10">
        <f t="shared" si="164"/>
        <v>29</v>
      </c>
      <c r="CJ184" s="10">
        <f t="shared" si="165"/>
        <v>28</v>
      </c>
      <c r="CK184" s="10">
        <f t="shared" si="166"/>
        <v>27</v>
      </c>
      <c r="CL184" s="10">
        <f t="shared" si="167"/>
        <v>26</v>
      </c>
      <c r="CM184" s="10" t="str">
        <f>'役職希望調査 ・備考'!I154&amp;""</f>
        <v/>
      </c>
    </row>
    <row r="185" spans="1:91">
      <c r="A185" s="10" t="str">
        <f>時間希望調査!A155&amp;""</f>
        <v/>
      </c>
      <c r="B185" s="10" t="str">
        <f>時間希望調査!B155&amp;""</f>
        <v/>
      </c>
      <c r="C185" s="10" t="str">
        <f>時間希望調査!C155&amp;""</f>
        <v/>
      </c>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0">
        <f t="shared" si="168"/>
        <v>0</v>
      </c>
      <c r="BC185" s="10">
        <f>時間希望調査!D155</f>
        <v>0</v>
      </c>
      <c r="BD185" s="10" t="str">
        <f>'役職希望調査 ・備考'!D155&amp;""</f>
        <v/>
      </c>
      <c r="BE185" s="10" t="str">
        <f>'役職希望調査 ・備考'!E155&amp;""</f>
        <v/>
      </c>
      <c r="BF185" s="10" t="str">
        <f>'役職希望調査 ・備考'!F155&amp;""</f>
        <v/>
      </c>
      <c r="BG185" s="10" t="str">
        <f>'役職希望調査 ・備考'!G155&amp;""</f>
        <v/>
      </c>
      <c r="BH185" s="10" t="str">
        <f>'役職希望調査 ・備考'!H155&amp;""</f>
        <v/>
      </c>
      <c r="BI185" s="10">
        <f t="shared" si="138"/>
        <v>0</v>
      </c>
      <c r="BJ185" s="10">
        <f t="shared" si="139"/>
        <v>0</v>
      </c>
      <c r="BK185" s="10">
        <f t="shared" si="140"/>
        <v>0</v>
      </c>
      <c r="BL185" s="10">
        <f t="shared" si="141"/>
        <v>0</v>
      </c>
      <c r="BM185" s="10">
        <f t="shared" si="142"/>
        <v>0</v>
      </c>
      <c r="BN185" s="10">
        <f t="shared" si="143"/>
        <v>0</v>
      </c>
      <c r="BO185" s="10">
        <f t="shared" si="144"/>
        <v>48</v>
      </c>
      <c r="BP185" s="10">
        <f t="shared" si="145"/>
        <v>48</v>
      </c>
      <c r="BQ185" s="10">
        <f t="shared" si="146"/>
        <v>47</v>
      </c>
      <c r="BR185" s="10">
        <f t="shared" si="147"/>
        <v>46</v>
      </c>
      <c r="BS185" s="10">
        <f t="shared" si="148"/>
        <v>45</v>
      </c>
      <c r="BT185" s="10">
        <f t="shared" si="149"/>
        <v>44</v>
      </c>
      <c r="BU185" s="10">
        <f t="shared" si="150"/>
        <v>43</v>
      </c>
      <c r="BV185" s="10">
        <f t="shared" si="151"/>
        <v>42</v>
      </c>
      <c r="BW185" s="10">
        <f t="shared" si="152"/>
        <v>41</v>
      </c>
      <c r="BX185" s="10">
        <f t="shared" si="153"/>
        <v>40</v>
      </c>
      <c r="BY185" s="10">
        <f t="shared" si="154"/>
        <v>39</v>
      </c>
      <c r="BZ185" s="10">
        <f t="shared" si="155"/>
        <v>38</v>
      </c>
      <c r="CA185" s="10">
        <f t="shared" si="156"/>
        <v>37</v>
      </c>
      <c r="CB185" s="10">
        <f t="shared" si="157"/>
        <v>36</v>
      </c>
      <c r="CC185" s="10">
        <f t="shared" si="158"/>
        <v>35</v>
      </c>
      <c r="CD185" s="10">
        <f t="shared" si="159"/>
        <v>34</v>
      </c>
      <c r="CE185" s="10">
        <f t="shared" si="160"/>
        <v>33</v>
      </c>
      <c r="CF185" s="10">
        <f t="shared" si="161"/>
        <v>32</v>
      </c>
      <c r="CG185" s="10">
        <f t="shared" si="162"/>
        <v>31</v>
      </c>
      <c r="CH185" s="10">
        <f t="shared" si="163"/>
        <v>30</v>
      </c>
      <c r="CI185" s="10">
        <f t="shared" si="164"/>
        <v>29</v>
      </c>
      <c r="CJ185" s="10">
        <f t="shared" si="165"/>
        <v>28</v>
      </c>
      <c r="CK185" s="10">
        <f t="shared" si="166"/>
        <v>27</v>
      </c>
      <c r="CL185" s="10">
        <f t="shared" si="167"/>
        <v>26</v>
      </c>
      <c r="CM185" s="10" t="str">
        <f>'役職希望調査 ・備考'!I155&amp;""</f>
        <v/>
      </c>
    </row>
    <row r="186" spans="1:91">
      <c r="A186" s="10" t="str">
        <f>時間希望調査!A156&amp;""</f>
        <v/>
      </c>
      <c r="B186" s="10" t="str">
        <f>時間希望調査!B156&amp;""</f>
        <v/>
      </c>
      <c r="C186" s="10" t="str">
        <f>時間希望調査!C156&amp;""</f>
        <v/>
      </c>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0">
        <f t="shared" si="168"/>
        <v>0</v>
      </c>
      <c r="BC186" s="10">
        <f>時間希望調査!D156</f>
        <v>0</v>
      </c>
      <c r="BD186" s="10" t="str">
        <f>'役職希望調査 ・備考'!D156&amp;""</f>
        <v/>
      </c>
      <c r="BE186" s="10" t="str">
        <f>'役職希望調査 ・備考'!E156&amp;""</f>
        <v/>
      </c>
      <c r="BF186" s="10" t="str">
        <f>'役職希望調査 ・備考'!F156&amp;""</f>
        <v/>
      </c>
      <c r="BG186" s="10" t="str">
        <f>'役職希望調査 ・備考'!G156&amp;""</f>
        <v/>
      </c>
      <c r="BH186" s="10" t="str">
        <f>'役職希望調査 ・備考'!H156&amp;""</f>
        <v/>
      </c>
      <c r="BI186" s="10">
        <f t="shared" si="138"/>
        <v>0</v>
      </c>
      <c r="BJ186" s="10">
        <f t="shared" si="139"/>
        <v>0</v>
      </c>
      <c r="BK186" s="10">
        <f t="shared" si="140"/>
        <v>0</v>
      </c>
      <c r="BL186" s="10">
        <f t="shared" si="141"/>
        <v>0</v>
      </c>
      <c r="BM186" s="10">
        <f t="shared" si="142"/>
        <v>0</v>
      </c>
      <c r="BN186" s="10">
        <f t="shared" si="143"/>
        <v>0</v>
      </c>
      <c r="BO186" s="10">
        <f t="shared" si="144"/>
        <v>48</v>
      </c>
      <c r="BP186" s="10">
        <f t="shared" si="145"/>
        <v>48</v>
      </c>
      <c r="BQ186" s="10">
        <f t="shared" si="146"/>
        <v>47</v>
      </c>
      <c r="BR186" s="10">
        <f t="shared" si="147"/>
        <v>46</v>
      </c>
      <c r="BS186" s="10">
        <f t="shared" si="148"/>
        <v>45</v>
      </c>
      <c r="BT186" s="10">
        <f t="shared" si="149"/>
        <v>44</v>
      </c>
      <c r="BU186" s="10">
        <f t="shared" si="150"/>
        <v>43</v>
      </c>
      <c r="BV186" s="10">
        <f t="shared" si="151"/>
        <v>42</v>
      </c>
      <c r="BW186" s="10">
        <f t="shared" si="152"/>
        <v>41</v>
      </c>
      <c r="BX186" s="10">
        <f t="shared" si="153"/>
        <v>40</v>
      </c>
      <c r="BY186" s="10">
        <f t="shared" si="154"/>
        <v>39</v>
      </c>
      <c r="BZ186" s="10">
        <f t="shared" si="155"/>
        <v>38</v>
      </c>
      <c r="CA186" s="10">
        <f t="shared" si="156"/>
        <v>37</v>
      </c>
      <c r="CB186" s="10">
        <f t="shared" si="157"/>
        <v>36</v>
      </c>
      <c r="CC186" s="10">
        <f t="shared" si="158"/>
        <v>35</v>
      </c>
      <c r="CD186" s="10">
        <f t="shared" si="159"/>
        <v>34</v>
      </c>
      <c r="CE186" s="10">
        <f t="shared" si="160"/>
        <v>33</v>
      </c>
      <c r="CF186" s="10">
        <f t="shared" si="161"/>
        <v>32</v>
      </c>
      <c r="CG186" s="10">
        <f t="shared" si="162"/>
        <v>31</v>
      </c>
      <c r="CH186" s="10">
        <f t="shared" si="163"/>
        <v>30</v>
      </c>
      <c r="CI186" s="10">
        <f t="shared" si="164"/>
        <v>29</v>
      </c>
      <c r="CJ186" s="10">
        <f t="shared" si="165"/>
        <v>28</v>
      </c>
      <c r="CK186" s="10">
        <f t="shared" si="166"/>
        <v>27</v>
      </c>
      <c r="CL186" s="10">
        <f t="shared" si="167"/>
        <v>26</v>
      </c>
      <c r="CM186" s="10" t="str">
        <f>'役職希望調査 ・備考'!I156&amp;""</f>
        <v/>
      </c>
    </row>
    <row r="187" spans="1:91">
      <c r="A187" s="10" t="str">
        <f>時間希望調査!A157&amp;""</f>
        <v/>
      </c>
      <c r="B187" s="10" t="str">
        <f>時間希望調査!B157&amp;""</f>
        <v/>
      </c>
      <c r="C187" s="10" t="str">
        <f>時間希望調査!C157&amp;""</f>
        <v/>
      </c>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0">
        <f t="shared" si="168"/>
        <v>0</v>
      </c>
      <c r="BC187" s="10">
        <f>時間希望調査!D157</f>
        <v>0</v>
      </c>
      <c r="BD187" s="10" t="str">
        <f>'役職希望調査 ・備考'!D157&amp;""</f>
        <v/>
      </c>
      <c r="BE187" s="10" t="str">
        <f>'役職希望調査 ・備考'!E157&amp;""</f>
        <v/>
      </c>
      <c r="BF187" s="10" t="str">
        <f>'役職希望調査 ・備考'!F157&amp;""</f>
        <v/>
      </c>
      <c r="BG187" s="10" t="str">
        <f>'役職希望調査 ・備考'!G157&amp;""</f>
        <v/>
      </c>
      <c r="BH187" s="10" t="str">
        <f>'役職希望調査 ・備考'!H157&amp;""</f>
        <v/>
      </c>
      <c r="BI187" s="10">
        <f t="shared" si="138"/>
        <v>0</v>
      </c>
      <c r="BJ187" s="10">
        <f t="shared" si="139"/>
        <v>0</v>
      </c>
      <c r="BK187" s="10">
        <f t="shared" si="140"/>
        <v>0</v>
      </c>
      <c r="BL187" s="10">
        <f t="shared" si="141"/>
        <v>0</v>
      </c>
      <c r="BM187" s="10">
        <f t="shared" si="142"/>
        <v>0</v>
      </c>
      <c r="BN187" s="10">
        <f t="shared" si="143"/>
        <v>0</v>
      </c>
      <c r="BO187" s="10">
        <f t="shared" si="144"/>
        <v>48</v>
      </c>
      <c r="BP187" s="10">
        <f t="shared" si="145"/>
        <v>48</v>
      </c>
      <c r="BQ187" s="10">
        <f t="shared" si="146"/>
        <v>47</v>
      </c>
      <c r="BR187" s="10">
        <f t="shared" si="147"/>
        <v>46</v>
      </c>
      <c r="BS187" s="10">
        <f t="shared" si="148"/>
        <v>45</v>
      </c>
      <c r="BT187" s="10">
        <f t="shared" si="149"/>
        <v>44</v>
      </c>
      <c r="BU187" s="10">
        <f t="shared" si="150"/>
        <v>43</v>
      </c>
      <c r="BV187" s="10">
        <f t="shared" si="151"/>
        <v>42</v>
      </c>
      <c r="BW187" s="10">
        <f t="shared" si="152"/>
        <v>41</v>
      </c>
      <c r="BX187" s="10">
        <f t="shared" si="153"/>
        <v>40</v>
      </c>
      <c r="BY187" s="10">
        <f t="shared" si="154"/>
        <v>39</v>
      </c>
      <c r="BZ187" s="10">
        <f t="shared" si="155"/>
        <v>38</v>
      </c>
      <c r="CA187" s="10">
        <f t="shared" si="156"/>
        <v>37</v>
      </c>
      <c r="CB187" s="10">
        <f t="shared" si="157"/>
        <v>36</v>
      </c>
      <c r="CC187" s="10">
        <f t="shared" si="158"/>
        <v>35</v>
      </c>
      <c r="CD187" s="10">
        <f t="shared" si="159"/>
        <v>34</v>
      </c>
      <c r="CE187" s="10">
        <f t="shared" si="160"/>
        <v>33</v>
      </c>
      <c r="CF187" s="10">
        <f t="shared" si="161"/>
        <v>32</v>
      </c>
      <c r="CG187" s="10">
        <f t="shared" si="162"/>
        <v>31</v>
      </c>
      <c r="CH187" s="10">
        <f t="shared" si="163"/>
        <v>30</v>
      </c>
      <c r="CI187" s="10">
        <f t="shared" si="164"/>
        <v>29</v>
      </c>
      <c r="CJ187" s="10">
        <f t="shared" si="165"/>
        <v>28</v>
      </c>
      <c r="CK187" s="10">
        <f t="shared" si="166"/>
        <v>27</v>
      </c>
      <c r="CL187" s="10">
        <f t="shared" si="167"/>
        <v>26</v>
      </c>
      <c r="CM187" s="10" t="str">
        <f>'役職希望調査 ・備考'!I157&amp;""</f>
        <v/>
      </c>
    </row>
    <row r="188" spans="1:91">
      <c r="A188" s="10" t="str">
        <f>時間希望調査!A158&amp;""</f>
        <v/>
      </c>
      <c r="B188" s="10" t="str">
        <f>時間希望調査!B158&amp;""</f>
        <v/>
      </c>
      <c r="C188" s="10" t="str">
        <f>時間希望調査!C158&amp;""</f>
        <v/>
      </c>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0">
        <f t="shared" si="168"/>
        <v>0</v>
      </c>
      <c r="BC188" s="10">
        <f>時間希望調査!D158</f>
        <v>0</v>
      </c>
      <c r="BD188" s="10" t="str">
        <f>'役職希望調査 ・備考'!D158&amp;""</f>
        <v/>
      </c>
      <c r="BE188" s="10" t="str">
        <f>'役職希望調査 ・備考'!E158&amp;""</f>
        <v/>
      </c>
      <c r="BF188" s="10" t="str">
        <f>'役職希望調査 ・備考'!F158&amp;""</f>
        <v/>
      </c>
      <c r="BG188" s="10" t="str">
        <f>'役職希望調査 ・備考'!G158&amp;""</f>
        <v/>
      </c>
      <c r="BH188" s="10" t="str">
        <f>'役職希望調査 ・備考'!H158&amp;""</f>
        <v/>
      </c>
      <c r="BI188" s="10">
        <f t="shared" si="138"/>
        <v>0</v>
      </c>
      <c r="BJ188" s="10">
        <f t="shared" si="139"/>
        <v>0</v>
      </c>
      <c r="BK188" s="10">
        <f t="shared" si="140"/>
        <v>0</v>
      </c>
      <c r="BL188" s="10">
        <f t="shared" si="141"/>
        <v>0</v>
      </c>
      <c r="BM188" s="10">
        <f t="shared" si="142"/>
        <v>0</v>
      </c>
      <c r="BN188" s="10">
        <f t="shared" si="143"/>
        <v>0</v>
      </c>
      <c r="BO188" s="10">
        <f t="shared" si="144"/>
        <v>48</v>
      </c>
      <c r="BP188" s="10">
        <f t="shared" si="145"/>
        <v>48</v>
      </c>
      <c r="BQ188" s="10">
        <f t="shared" si="146"/>
        <v>47</v>
      </c>
      <c r="BR188" s="10">
        <f t="shared" si="147"/>
        <v>46</v>
      </c>
      <c r="BS188" s="10">
        <f t="shared" si="148"/>
        <v>45</v>
      </c>
      <c r="BT188" s="10">
        <f t="shared" si="149"/>
        <v>44</v>
      </c>
      <c r="BU188" s="10">
        <f t="shared" si="150"/>
        <v>43</v>
      </c>
      <c r="BV188" s="10">
        <f t="shared" si="151"/>
        <v>42</v>
      </c>
      <c r="BW188" s="10">
        <f t="shared" si="152"/>
        <v>41</v>
      </c>
      <c r="BX188" s="10">
        <f t="shared" si="153"/>
        <v>40</v>
      </c>
      <c r="BY188" s="10">
        <f t="shared" si="154"/>
        <v>39</v>
      </c>
      <c r="BZ188" s="10">
        <f t="shared" si="155"/>
        <v>38</v>
      </c>
      <c r="CA188" s="10">
        <f t="shared" si="156"/>
        <v>37</v>
      </c>
      <c r="CB188" s="10">
        <f t="shared" si="157"/>
        <v>36</v>
      </c>
      <c r="CC188" s="10">
        <f t="shared" si="158"/>
        <v>35</v>
      </c>
      <c r="CD188" s="10">
        <f t="shared" si="159"/>
        <v>34</v>
      </c>
      <c r="CE188" s="10">
        <f t="shared" si="160"/>
        <v>33</v>
      </c>
      <c r="CF188" s="10">
        <f t="shared" si="161"/>
        <v>32</v>
      </c>
      <c r="CG188" s="10">
        <f t="shared" si="162"/>
        <v>31</v>
      </c>
      <c r="CH188" s="10">
        <f t="shared" si="163"/>
        <v>30</v>
      </c>
      <c r="CI188" s="10">
        <f t="shared" si="164"/>
        <v>29</v>
      </c>
      <c r="CJ188" s="10">
        <f t="shared" si="165"/>
        <v>28</v>
      </c>
      <c r="CK188" s="10">
        <f t="shared" si="166"/>
        <v>27</v>
      </c>
      <c r="CL188" s="10">
        <f t="shared" si="167"/>
        <v>26</v>
      </c>
      <c r="CM188" s="10" t="str">
        <f>'役職希望調査 ・備考'!I158&amp;""</f>
        <v/>
      </c>
    </row>
    <row r="189" spans="1:91">
      <c r="A189" s="10" t="str">
        <f>時間希望調査!A159&amp;""</f>
        <v/>
      </c>
      <c r="B189" s="10" t="str">
        <f>時間希望調査!B159&amp;""</f>
        <v/>
      </c>
      <c r="C189" s="10" t="str">
        <f>時間希望調査!C159&amp;""</f>
        <v/>
      </c>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0">
        <f t="shared" si="168"/>
        <v>0</v>
      </c>
      <c r="BC189" s="10">
        <f>時間希望調査!D159</f>
        <v>0</v>
      </c>
      <c r="BD189" s="10" t="str">
        <f>'役職希望調査 ・備考'!D159&amp;""</f>
        <v/>
      </c>
      <c r="BE189" s="10" t="str">
        <f>'役職希望調査 ・備考'!E159&amp;""</f>
        <v/>
      </c>
      <c r="BF189" s="10" t="str">
        <f>'役職希望調査 ・備考'!F159&amp;""</f>
        <v/>
      </c>
      <c r="BG189" s="10" t="str">
        <f>'役職希望調査 ・備考'!G159&amp;""</f>
        <v/>
      </c>
      <c r="BH189" s="10" t="str">
        <f>'役職希望調査 ・備考'!H159&amp;""</f>
        <v/>
      </c>
      <c r="BI189" s="10">
        <f t="shared" si="138"/>
        <v>0</v>
      </c>
      <c r="BJ189" s="10">
        <f t="shared" si="139"/>
        <v>0</v>
      </c>
      <c r="BK189" s="10">
        <f t="shared" si="140"/>
        <v>0</v>
      </c>
      <c r="BL189" s="10">
        <f t="shared" si="141"/>
        <v>0</v>
      </c>
      <c r="BM189" s="10">
        <f t="shared" si="142"/>
        <v>0</v>
      </c>
      <c r="BN189" s="10">
        <f t="shared" si="143"/>
        <v>0</v>
      </c>
      <c r="BO189" s="10">
        <f t="shared" si="144"/>
        <v>48</v>
      </c>
      <c r="BP189" s="10">
        <f t="shared" si="145"/>
        <v>48</v>
      </c>
      <c r="BQ189" s="10">
        <f t="shared" si="146"/>
        <v>47</v>
      </c>
      <c r="BR189" s="10">
        <f t="shared" si="147"/>
        <v>46</v>
      </c>
      <c r="BS189" s="10">
        <f t="shared" si="148"/>
        <v>45</v>
      </c>
      <c r="BT189" s="10">
        <f t="shared" si="149"/>
        <v>44</v>
      </c>
      <c r="BU189" s="10">
        <f t="shared" si="150"/>
        <v>43</v>
      </c>
      <c r="BV189" s="10">
        <f t="shared" si="151"/>
        <v>42</v>
      </c>
      <c r="BW189" s="10">
        <f t="shared" si="152"/>
        <v>41</v>
      </c>
      <c r="BX189" s="10">
        <f t="shared" si="153"/>
        <v>40</v>
      </c>
      <c r="BY189" s="10">
        <f t="shared" si="154"/>
        <v>39</v>
      </c>
      <c r="BZ189" s="10">
        <f t="shared" si="155"/>
        <v>38</v>
      </c>
      <c r="CA189" s="10">
        <f t="shared" si="156"/>
        <v>37</v>
      </c>
      <c r="CB189" s="10">
        <f t="shared" si="157"/>
        <v>36</v>
      </c>
      <c r="CC189" s="10">
        <f t="shared" si="158"/>
        <v>35</v>
      </c>
      <c r="CD189" s="10">
        <f t="shared" si="159"/>
        <v>34</v>
      </c>
      <c r="CE189" s="10">
        <f t="shared" si="160"/>
        <v>33</v>
      </c>
      <c r="CF189" s="10">
        <f t="shared" si="161"/>
        <v>32</v>
      </c>
      <c r="CG189" s="10">
        <f t="shared" si="162"/>
        <v>31</v>
      </c>
      <c r="CH189" s="10">
        <f t="shared" si="163"/>
        <v>30</v>
      </c>
      <c r="CI189" s="10">
        <f t="shared" si="164"/>
        <v>29</v>
      </c>
      <c r="CJ189" s="10">
        <f t="shared" si="165"/>
        <v>28</v>
      </c>
      <c r="CK189" s="10">
        <f t="shared" si="166"/>
        <v>27</v>
      </c>
      <c r="CL189" s="10">
        <f t="shared" si="167"/>
        <v>26</v>
      </c>
      <c r="CM189" s="10" t="str">
        <f>'役職希望調査 ・備考'!I159&amp;""</f>
        <v/>
      </c>
    </row>
    <row r="190" spans="1:91">
      <c r="A190" s="10" t="str">
        <f>時間希望調査!A160&amp;""</f>
        <v/>
      </c>
      <c r="B190" s="10" t="str">
        <f>時間希望調査!B160&amp;""</f>
        <v/>
      </c>
      <c r="C190" s="10" t="str">
        <f>時間希望調査!C160&amp;""</f>
        <v/>
      </c>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0">
        <f t="shared" si="168"/>
        <v>0</v>
      </c>
      <c r="BC190" s="10">
        <f>時間希望調査!D160</f>
        <v>0</v>
      </c>
      <c r="BD190" s="10" t="str">
        <f>'役職希望調査 ・備考'!D160&amp;""</f>
        <v/>
      </c>
      <c r="BE190" s="10" t="str">
        <f>'役職希望調査 ・備考'!E160&amp;""</f>
        <v/>
      </c>
      <c r="BF190" s="10" t="str">
        <f>'役職希望調査 ・備考'!F160&amp;""</f>
        <v/>
      </c>
      <c r="BG190" s="10" t="str">
        <f>'役職希望調査 ・備考'!G160&amp;""</f>
        <v/>
      </c>
      <c r="BH190" s="10" t="str">
        <f>'役職希望調査 ・備考'!H160&amp;""</f>
        <v/>
      </c>
      <c r="BI190" s="10">
        <f t="shared" si="138"/>
        <v>0</v>
      </c>
      <c r="BJ190" s="10">
        <f t="shared" si="139"/>
        <v>0</v>
      </c>
      <c r="BK190" s="10">
        <f t="shared" si="140"/>
        <v>0</v>
      </c>
      <c r="BL190" s="10">
        <f t="shared" si="141"/>
        <v>0</v>
      </c>
      <c r="BM190" s="10">
        <f t="shared" si="142"/>
        <v>0</v>
      </c>
      <c r="BN190" s="10">
        <f t="shared" si="143"/>
        <v>0</v>
      </c>
      <c r="BO190" s="10">
        <f t="shared" si="144"/>
        <v>48</v>
      </c>
      <c r="BP190" s="10">
        <f t="shared" si="145"/>
        <v>48</v>
      </c>
      <c r="BQ190" s="10">
        <f t="shared" si="146"/>
        <v>47</v>
      </c>
      <c r="BR190" s="10">
        <f t="shared" si="147"/>
        <v>46</v>
      </c>
      <c r="BS190" s="10">
        <f t="shared" si="148"/>
        <v>45</v>
      </c>
      <c r="BT190" s="10">
        <f t="shared" si="149"/>
        <v>44</v>
      </c>
      <c r="BU190" s="10">
        <f t="shared" si="150"/>
        <v>43</v>
      </c>
      <c r="BV190" s="10">
        <f t="shared" si="151"/>
        <v>42</v>
      </c>
      <c r="BW190" s="10">
        <f t="shared" si="152"/>
        <v>41</v>
      </c>
      <c r="BX190" s="10">
        <f t="shared" si="153"/>
        <v>40</v>
      </c>
      <c r="BY190" s="10">
        <f t="shared" si="154"/>
        <v>39</v>
      </c>
      <c r="BZ190" s="10">
        <f t="shared" si="155"/>
        <v>38</v>
      </c>
      <c r="CA190" s="10">
        <f t="shared" si="156"/>
        <v>37</v>
      </c>
      <c r="CB190" s="10">
        <f t="shared" si="157"/>
        <v>36</v>
      </c>
      <c r="CC190" s="10">
        <f t="shared" si="158"/>
        <v>35</v>
      </c>
      <c r="CD190" s="10">
        <f t="shared" si="159"/>
        <v>34</v>
      </c>
      <c r="CE190" s="10">
        <f t="shared" si="160"/>
        <v>33</v>
      </c>
      <c r="CF190" s="10">
        <f t="shared" si="161"/>
        <v>32</v>
      </c>
      <c r="CG190" s="10">
        <f t="shared" si="162"/>
        <v>31</v>
      </c>
      <c r="CH190" s="10">
        <f t="shared" si="163"/>
        <v>30</v>
      </c>
      <c r="CI190" s="10">
        <f t="shared" si="164"/>
        <v>29</v>
      </c>
      <c r="CJ190" s="10">
        <f t="shared" si="165"/>
        <v>28</v>
      </c>
      <c r="CK190" s="10">
        <f t="shared" si="166"/>
        <v>27</v>
      </c>
      <c r="CL190" s="10">
        <f t="shared" si="167"/>
        <v>26</v>
      </c>
      <c r="CM190" s="10" t="str">
        <f>'役職希望調査 ・備考'!I160&amp;""</f>
        <v/>
      </c>
    </row>
    <row r="191" spans="1:91">
      <c r="A191" s="10" t="str">
        <f>時間希望調査!A161&amp;""</f>
        <v/>
      </c>
      <c r="B191" s="10" t="str">
        <f>時間希望調査!B161&amp;""</f>
        <v/>
      </c>
      <c r="C191" s="10" t="str">
        <f>時間希望調査!C161&amp;""</f>
        <v/>
      </c>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0">
        <f t="shared" si="168"/>
        <v>0</v>
      </c>
      <c r="BC191" s="10">
        <f>時間希望調査!D161</f>
        <v>0</v>
      </c>
      <c r="BD191" s="10" t="str">
        <f>'役職希望調査 ・備考'!D161&amp;""</f>
        <v/>
      </c>
      <c r="BE191" s="10" t="str">
        <f>'役職希望調査 ・備考'!E161&amp;""</f>
        <v/>
      </c>
      <c r="BF191" s="10" t="str">
        <f>'役職希望調査 ・備考'!F161&amp;""</f>
        <v/>
      </c>
      <c r="BG191" s="10" t="str">
        <f>'役職希望調査 ・備考'!G161&amp;""</f>
        <v/>
      </c>
      <c r="BH191" s="10" t="str">
        <f>'役職希望調査 ・備考'!H161&amp;""</f>
        <v/>
      </c>
      <c r="BI191" s="10">
        <f t="shared" si="138"/>
        <v>0</v>
      </c>
      <c r="BJ191" s="10">
        <f t="shared" si="139"/>
        <v>0</v>
      </c>
      <c r="BK191" s="10">
        <f t="shared" si="140"/>
        <v>0</v>
      </c>
      <c r="BL191" s="10">
        <f t="shared" si="141"/>
        <v>0</v>
      </c>
      <c r="BM191" s="10">
        <f t="shared" si="142"/>
        <v>0</v>
      </c>
      <c r="BN191" s="10">
        <f t="shared" si="143"/>
        <v>0</v>
      </c>
      <c r="BO191" s="10">
        <f t="shared" si="144"/>
        <v>48</v>
      </c>
      <c r="BP191" s="10">
        <f t="shared" si="145"/>
        <v>48</v>
      </c>
      <c r="BQ191" s="10">
        <f t="shared" si="146"/>
        <v>47</v>
      </c>
      <c r="BR191" s="10">
        <f t="shared" si="147"/>
        <v>46</v>
      </c>
      <c r="BS191" s="10">
        <f t="shared" si="148"/>
        <v>45</v>
      </c>
      <c r="BT191" s="10">
        <f t="shared" si="149"/>
        <v>44</v>
      </c>
      <c r="BU191" s="10">
        <f t="shared" si="150"/>
        <v>43</v>
      </c>
      <c r="BV191" s="10">
        <f t="shared" si="151"/>
        <v>42</v>
      </c>
      <c r="BW191" s="10">
        <f t="shared" si="152"/>
        <v>41</v>
      </c>
      <c r="BX191" s="10">
        <f t="shared" si="153"/>
        <v>40</v>
      </c>
      <c r="BY191" s="10">
        <f t="shared" si="154"/>
        <v>39</v>
      </c>
      <c r="BZ191" s="10">
        <f t="shared" si="155"/>
        <v>38</v>
      </c>
      <c r="CA191" s="10">
        <f t="shared" si="156"/>
        <v>37</v>
      </c>
      <c r="CB191" s="10">
        <f t="shared" si="157"/>
        <v>36</v>
      </c>
      <c r="CC191" s="10">
        <f t="shared" si="158"/>
        <v>35</v>
      </c>
      <c r="CD191" s="10">
        <f t="shared" si="159"/>
        <v>34</v>
      </c>
      <c r="CE191" s="10">
        <f t="shared" si="160"/>
        <v>33</v>
      </c>
      <c r="CF191" s="10">
        <f t="shared" si="161"/>
        <v>32</v>
      </c>
      <c r="CG191" s="10">
        <f t="shared" si="162"/>
        <v>31</v>
      </c>
      <c r="CH191" s="10">
        <f t="shared" si="163"/>
        <v>30</v>
      </c>
      <c r="CI191" s="10">
        <f t="shared" si="164"/>
        <v>29</v>
      </c>
      <c r="CJ191" s="10">
        <f t="shared" si="165"/>
        <v>28</v>
      </c>
      <c r="CK191" s="10">
        <f t="shared" si="166"/>
        <v>27</v>
      </c>
      <c r="CL191" s="10">
        <f t="shared" si="167"/>
        <v>26</v>
      </c>
      <c r="CM191" s="10" t="str">
        <f>'役職希望調査 ・備考'!I161&amp;""</f>
        <v/>
      </c>
    </row>
    <row r="192" spans="1:91">
      <c r="A192" s="10" t="str">
        <f>時間希望調査!A162&amp;""</f>
        <v/>
      </c>
      <c r="B192" s="10" t="str">
        <f>時間希望調査!B162&amp;""</f>
        <v/>
      </c>
      <c r="C192" s="10" t="str">
        <f>時間希望調査!C162&amp;""</f>
        <v/>
      </c>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0">
        <f t="shared" si="168"/>
        <v>0</v>
      </c>
      <c r="BC192" s="10">
        <f>時間希望調査!D162</f>
        <v>0</v>
      </c>
      <c r="BD192" s="10" t="str">
        <f>'役職希望調査 ・備考'!D162&amp;""</f>
        <v/>
      </c>
      <c r="BE192" s="10" t="str">
        <f>'役職希望調査 ・備考'!E162&amp;""</f>
        <v/>
      </c>
      <c r="BF192" s="10" t="str">
        <f>'役職希望調査 ・備考'!F162&amp;""</f>
        <v/>
      </c>
      <c r="BG192" s="10" t="str">
        <f>'役職希望調査 ・備考'!G162&amp;""</f>
        <v/>
      </c>
      <c r="BH192" s="10" t="str">
        <f>'役職希望調査 ・備考'!H162&amp;""</f>
        <v/>
      </c>
      <c r="BI192" s="10">
        <f t="shared" ref="BI192:BI199" si="169">COUNTIF(D192:BA192,BI$1)</f>
        <v>0</v>
      </c>
      <c r="BJ192" s="10">
        <f t="shared" ref="BJ192:BJ199" si="170">COUNTIF(E192:BB192,BJ$1)</f>
        <v>0</v>
      </c>
      <c r="BK192" s="10">
        <f t="shared" ref="BK192:BK199" si="171">COUNTIF(F192:BC192,BK$1)</f>
        <v>0</v>
      </c>
      <c r="BL192" s="10">
        <f t="shared" ref="BL192:BL199" si="172">COUNTIF(G192:BD192,BL$1)</f>
        <v>0</v>
      </c>
      <c r="BM192" s="10">
        <f t="shared" ref="BM192:BM199" si="173">COUNTIF(H192:BE192,BM$1)</f>
        <v>0</v>
      </c>
      <c r="BN192" s="10">
        <f t="shared" ref="BN192:BN199" si="174">COUNTIF(I192:BF192,BN$1)</f>
        <v>0</v>
      </c>
      <c r="BO192" s="10">
        <f t="shared" ref="BO192:BO199" si="175">COUNTIF(J192:BG192,BO$1)</f>
        <v>48</v>
      </c>
      <c r="BP192" s="10">
        <f t="shared" ref="BP192:BP199" si="176">COUNTIF(K192:BH192,BP$1)</f>
        <v>48</v>
      </c>
      <c r="BQ192" s="10">
        <f t="shared" ref="BQ192:BQ199" si="177">COUNTIF(L192:BI192,BQ$1)</f>
        <v>47</v>
      </c>
      <c r="BR192" s="10">
        <f t="shared" ref="BR192:BR199" si="178">COUNTIF(M192:BJ192,BR$1)</f>
        <v>46</v>
      </c>
      <c r="BS192" s="10">
        <f t="shared" ref="BS192:BS199" si="179">COUNTIF(N192:BK192,BS$1)</f>
        <v>45</v>
      </c>
      <c r="BT192" s="10">
        <f t="shared" ref="BT192:BT199" si="180">COUNTIF(O192:BL192,BT$1)</f>
        <v>44</v>
      </c>
      <c r="BU192" s="10">
        <f t="shared" ref="BU192:BU199" si="181">COUNTIF(P192:BM192,BU$1)</f>
        <v>43</v>
      </c>
      <c r="BV192" s="10">
        <f t="shared" ref="BV192:BV199" si="182">COUNTIF(Q192:BN192,BV$1)</f>
        <v>42</v>
      </c>
      <c r="BW192" s="10">
        <f t="shared" ref="BW192:BW199" si="183">COUNTIF(R192:BO192,BW$1)</f>
        <v>41</v>
      </c>
      <c r="BX192" s="10">
        <f t="shared" ref="BX192:BX199" si="184">COUNTIF(S192:BP192,BX$1)</f>
        <v>40</v>
      </c>
      <c r="BY192" s="10">
        <f t="shared" ref="BY192:BY199" si="185">COUNTIF(T192:BQ192,BY$1)</f>
        <v>39</v>
      </c>
      <c r="BZ192" s="10">
        <f t="shared" ref="BZ192:BZ199" si="186">COUNTIF(U192:BR192,BZ$1)</f>
        <v>38</v>
      </c>
      <c r="CA192" s="10">
        <f t="shared" ref="CA192:CA199" si="187">COUNTIF(V192:BS192,CA$1)</f>
        <v>37</v>
      </c>
      <c r="CB192" s="10">
        <f t="shared" ref="CB192:CB199" si="188">COUNTIF(W192:BT192,CB$1)</f>
        <v>36</v>
      </c>
      <c r="CC192" s="10">
        <f t="shared" ref="CC192:CC199" si="189">COUNTIF(X192:BU192,CC$1)</f>
        <v>35</v>
      </c>
      <c r="CD192" s="10">
        <f t="shared" ref="CD192:CD199" si="190">COUNTIF(Y192:BV192,CD$1)</f>
        <v>34</v>
      </c>
      <c r="CE192" s="10">
        <f t="shared" ref="CE192:CE199" si="191">COUNTIF(Z192:BW192,CE$1)</f>
        <v>33</v>
      </c>
      <c r="CF192" s="10">
        <f t="shared" ref="CF192:CF199" si="192">COUNTIF(AA192:BX192,CF$1)</f>
        <v>32</v>
      </c>
      <c r="CG192" s="10">
        <f t="shared" ref="CG192:CG199" si="193">COUNTIF(AB192:BY192,CG$1)</f>
        <v>31</v>
      </c>
      <c r="CH192" s="10">
        <f t="shared" ref="CH192:CH199" si="194">COUNTIF(AC192:BZ192,CH$1)</f>
        <v>30</v>
      </c>
      <c r="CI192" s="10">
        <f t="shared" ref="CI192:CI199" si="195">COUNTIF(AD192:CA192,CI$1)</f>
        <v>29</v>
      </c>
      <c r="CJ192" s="10">
        <f t="shared" ref="CJ192:CJ199" si="196">COUNTIF(AE192:CB192,CJ$1)</f>
        <v>28</v>
      </c>
      <c r="CK192" s="10">
        <f t="shared" ref="CK192:CK199" si="197">COUNTIF(AF192:CC192,CK$1)</f>
        <v>27</v>
      </c>
      <c r="CL192" s="10">
        <f t="shared" ref="CL192:CL199" si="198">COUNTIF(AG192:CD192,CL$1)</f>
        <v>26</v>
      </c>
      <c r="CM192" s="10" t="str">
        <f>'役職希望調査 ・備考'!I162&amp;""</f>
        <v/>
      </c>
    </row>
    <row r="193" spans="1:91">
      <c r="A193" s="10" t="str">
        <f>時間希望調査!A163&amp;""</f>
        <v/>
      </c>
      <c r="B193" s="10" t="str">
        <f>時間希望調査!B163&amp;""</f>
        <v/>
      </c>
      <c r="C193" s="10" t="str">
        <f>時間希望調査!C163&amp;""</f>
        <v/>
      </c>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0">
        <f t="shared" si="168"/>
        <v>0</v>
      </c>
      <c r="BC193" s="10">
        <f>時間希望調査!D163</f>
        <v>0</v>
      </c>
      <c r="BD193" s="10" t="str">
        <f>'役職希望調査 ・備考'!D163&amp;""</f>
        <v/>
      </c>
      <c r="BE193" s="10" t="str">
        <f>'役職希望調査 ・備考'!E163&amp;""</f>
        <v/>
      </c>
      <c r="BF193" s="10" t="str">
        <f>'役職希望調査 ・備考'!F163&amp;""</f>
        <v/>
      </c>
      <c r="BG193" s="10" t="str">
        <f>'役職希望調査 ・備考'!G163&amp;""</f>
        <v/>
      </c>
      <c r="BH193" s="10" t="str">
        <f>'役職希望調査 ・備考'!H163&amp;""</f>
        <v/>
      </c>
      <c r="BI193" s="10">
        <f t="shared" si="169"/>
        <v>0</v>
      </c>
      <c r="BJ193" s="10">
        <f t="shared" si="170"/>
        <v>0</v>
      </c>
      <c r="BK193" s="10">
        <f t="shared" si="171"/>
        <v>0</v>
      </c>
      <c r="BL193" s="10">
        <f t="shared" si="172"/>
        <v>0</v>
      </c>
      <c r="BM193" s="10">
        <f t="shared" si="173"/>
        <v>0</v>
      </c>
      <c r="BN193" s="10">
        <f t="shared" si="174"/>
        <v>0</v>
      </c>
      <c r="BO193" s="10">
        <f t="shared" si="175"/>
        <v>48</v>
      </c>
      <c r="BP193" s="10">
        <f t="shared" si="176"/>
        <v>48</v>
      </c>
      <c r="BQ193" s="10">
        <f t="shared" si="177"/>
        <v>47</v>
      </c>
      <c r="BR193" s="10">
        <f t="shared" si="178"/>
        <v>46</v>
      </c>
      <c r="BS193" s="10">
        <f t="shared" si="179"/>
        <v>45</v>
      </c>
      <c r="BT193" s="10">
        <f t="shared" si="180"/>
        <v>44</v>
      </c>
      <c r="BU193" s="10">
        <f t="shared" si="181"/>
        <v>43</v>
      </c>
      <c r="BV193" s="10">
        <f t="shared" si="182"/>
        <v>42</v>
      </c>
      <c r="BW193" s="10">
        <f t="shared" si="183"/>
        <v>41</v>
      </c>
      <c r="BX193" s="10">
        <f t="shared" si="184"/>
        <v>40</v>
      </c>
      <c r="BY193" s="10">
        <f t="shared" si="185"/>
        <v>39</v>
      </c>
      <c r="BZ193" s="10">
        <f t="shared" si="186"/>
        <v>38</v>
      </c>
      <c r="CA193" s="10">
        <f t="shared" si="187"/>
        <v>37</v>
      </c>
      <c r="CB193" s="10">
        <f t="shared" si="188"/>
        <v>36</v>
      </c>
      <c r="CC193" s="10">
        <f t="shared" si="189"/>
        <v>35</v>
      </c>
      <c r="CD193" s="10">
        <f t="shared" si="190"/>
        <v>34</v>
      </c>
      <c r="CE193" s="10">
        <f t="shared" si="191"/>
        <v>33</v>
      </c>
      <c r="CF193" s="10">
        <f t="shared" si="192"/>
        <v>32</v>
      </c>
      <c r="CG193" s="10">
        <f t="shared" si="193"/>
        <v>31</v>
      </c>
      <c r="CH193" s="10">
        <f t="shared" si="194"/>
        <v>30</v>
      </c>
      <c r="CI193" s="10">
        <f t="shared" si="195"/>
        <v>29</v>
      </c>
      <c r="CJ193" s="10">
        <f t="shared" si="196"/>
        <v>28</v>
      </c>
      <c r="CK193" s="10">
        <f t="shared" si="197"/>
        <v>27</v>
      </c>
      <c r="CL193" s="10">
        <f t="shared" si="198"/>
        <v>26</v>
      </c>
      <c r="CM193" s="10" t="str">
        <f>'役職希望調査 ・備考'!I163&amp;""</f>
        <v/>
      </c>
    </row>
    <row r="194" spans="1:91">
      <c r="A194" s="10" t="str">
        <f>時間希望調査!A164&amp;""</f>
        <v/>
      </c>
      <c r="B194" s="10" t="str">
        <f>時間希望調査!B164&amp;""</f>
        <v/>
      </c>
      <c r="C194" s="10" t="str">
        <f>時間希望調査!C164&amp;""</f>
        <v/>
      </c>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11"/>
      <c r="AU194" s="11"/>
      <c r="AV194" s="11"/>
      <c r="AW194" s="11"/>
      <c r="AX194" s="11"/>
      <c r="AY194" s="11"/>
      <c r="AZ194" s="11"/>
      <c r="BA194" s="11"/>
      <c r="BB194" s="10">
        <f t="shared" si="168"/>
        <v>0</v>
      </c>
      <c r="BC194" s="10">
        <f>時間希望調査!D164</f>
        <v>0</v>
      </c>
      <c r="BD194" s="10" t="str">
        <f>'役職希望調査 ・備考'!D164&amp;""</f>
        <v/>
      </c>
      <c r="BE194" s="10" t="str">
        <f>'役職希望調査 ・備考'!E164&amp;""</f>
        <v/>
      </c>
      <c r="BF194" s="10" t="str">
        <f>'役職希望調査 ・備考'!F164&amp;""</f>
        <v/>
      </c>
      <c r="BG194" s="10" t="str">
        <f>'役職希望調査 ・備考'!G164&amp;""</f>
        <v/>
      </c>
      <c r="BH194" s="10" t="str">
        <f>'役職希望調査 ・備考'!H164&amp;""</f>
        <v/>
      </c>
      <c r="BI194" s="10">
        <f t="shared" si="169"/>
        <v>0</v>
      </c>
      <c r="BJ194" s="10">
        <f t="shared" si="170"/>
        <v>0</v>
      </c>
      <c r="BK194" s="10">
        <f t="shared" si="171"/>
        <v>0</v>
      </c>
      <c r="BL194" s="10">
        <f t="shared" si="172"/>
        <v>0</v>
      </c>
      <c r="BM194" s="10">
        <f t="shared" si="173"/>
        <v>0</v>
      </c>
      <c r="BN194" s="10">
        <f t="shared" si="174"/>
        <v>0</v>
      </c>
      <c r="BO194" s="10">
        <f t="shared" si="175"/>
        <v>48</v>
      </c>
      <c r="BP194" s="10">
        <f t="shared" si="176"/>
        <v>48</v>
      </c>
      <c r="BQ194" s="10">
        <f t="shared" si="177"/>
        <v>47</v>
      </c>
      <c r="BR194" s="10">
        <f t="shared" si="178"/>
        <v>46</v>
      </c>
      <c r="BS194" s="10">
        <f t="shared" si="179"/>
        <v>45</v>
      </c>
      <c r="BT194" s="10">
        <f t="shared" si="180"/>
        <v>44</v>
      </c>
      <c r="BU194" s="10">
        <f t="shared" si="181"/>
        <v>43</v>
      </c>
      <c r="BV194" s="10">
        <f t="shared" si="182"/>
        <v>42</v>
      </c>
      <c r="BW194" s="10">
        <f t="shared" si="183"/>
        <v>41</v>
      </c>
      <c r="BX194" s="10">
        <f t="shared" si="184"/>
        <v>40</v>
      </c>
      <c r="BY194" s="10">
        <f t="shared" si="185"/>
        <v>39</v>
      </c>
      <c r="BZ194" s="10">
        <f t="shared" si="186"/>
        <v>38</v>
      </c>
      <c r="CA194" s="10">
        <f t="shared" si="187"/>
        <v>37</v>
      </c>
      <c r="CB194" s="10">
        <f t="shared" si="188"/>
        <v>36</v>
      </c>
      <c r="CC194" s="10">
        <f t="shared" si="189"/>
        <v>35</v>
      </c>
      <c r="CD194" s="10">
        <f t="shared" si="190"/>
        <v>34</v>
      </c>
      <c r="CE194" s="10">
        <f t="shared" si="191"/>
        <v>33</v>
      </c>
      <c r="CF194" s="10">
        <f t="shared" si="192"/>
        <v>32</v>
      </c>
      <c r="CG194" s="10">
        <f t="shared" si="193"/>
        <v>31</v>
      </c>
      <c r="CH194" s="10">
        <f t="shared" si="194"/>
        <v>30</v>
      </c>
      <c r="CI194" s="10">
        <f t="shared" si="195"/>
        <v>29</v>
      </c>
      <c r="CJ194" s="10">
        <f t="shared" si="196"/>
        <v>28</v>
      </c>
      <c r="CK194" s="10">
        <f t="shared" si="197"/>
        <v>27</v>
      </c>
      <c r="CL194" s="10">
        <f t="shared" si="198"/>
        <v>26</v>
      </c>
      <c r="CM194" s="10" t="str">
        <f>'役職希望調査 ・備考'!I164&amp;""</f>
        <v/>
      </c>
    </row>
    <row r="195" spans="1:91">
      <c r="A195" s="10" t="str">
        <f>時間希望調査!A165&amp;""</f>
        <v/>
      </c>
      <c r="B195" s="10" t="str">
        <f>時間希望調査!B165&amp;""</f>
        <v/>
      </c>
      <c r="C195" s="10" t="str">
        <f>時間希望調査!C165&amp;""</f>
        <v/>
      </c>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0">
        <f t="shared" si="168"/>
        <v>0</v>
      </c>
      <c r="BC195" s="10">
        <f>時間希望調査!D165</f>
        <v>0</v>
      </c>
      <c r="BD195" s="10" t="str">
        <f>'役職希望調査 ・備考'!D165&amp;""</f>
        <v/>
      </c>
      <c r="BE195" s="10" t="str">
        <f>'役職希望調査 ・備考'!E165&amp;""</f>
        <v/>
      </c>
      <c r="BF195" s="10" t="str">
        <f>'役職希望調査 ・備考'!F165&amp;""</f>
        <v/>
      </c>
      <c r="BG195" s="10" t="str">
        <f>'役職希望調査 ・備考'!G165&amp;""</f>
        <v/>
      </c>
      <c r="BH195" s="10" t="str">
        <f>'役職希望調査 ・備考'!H165&amp;""</f>
        <v/>
      </c>
      <c r="BI195" s="10">
        <f t="shared" si="169"/>
        <v>0</v>
      </c>
      <c r="BJ195" s="10">
        <f t="shared" si="170"/>
        <v>0</v>
      </c>
      <c r="BK195" s="10">
        <f t="shared" si="171"/>
        <v>0</v>
      </c>
      <c r="BL195" s="10">
        <f t="shared" si="172"/>
        <v>0</v>
      </c>
      <c r="BM195" s="10">
        <f t="shared" si="173"/>
        <v>0</v>
      </c>
      <c r="BN195" s="10">
        <f t="shared" si="174"/>
        <v>0</v>
      </c>
      <c r="BO195" s="10">
        <f t="shared" si="175"/>
        <v>48</v>
      </c>
      <c r="BP195" s="10">
        <f t="shared" si="176"/>
        <v>48</v>
      </c>
      <c r="BQ195" s="10">
        <f t="shared" si="177"/>
        <v>47</v>
      </c>
      <c r="BR195" s="10">
        <f t="shared" si="178"/>
        <v>46</v>
      </c>
      <c r="BS195" s="10">
        <f t="shared" si="179"/>
        <v>45</v>
      </c>
      <c r="BT195" s="10">
        <f t="shared" si="180"/>
        <v>44</v>
      </c>
      <c r="BU195" s="10">
        <f t="shared" si="181"/>
        <v>43</v>
      </c>
      <c r="BV195" s="10">
        <f t="shared" si="182"/>
        <v>42</v>
      </c>
      <c r="BW195" s="10">
        <f t="shared" si="183"/>
        <v>41</v>
      </c>
      <c r="BX195" s="10">
        <f t="shared" si="184"/>
        <v>40</v>
      </c>
      <c r="BY195" s="10">
        <f t="shared" si="185"/>
        <v>39</v>
      </c>
      <c r="BZ195" s="10">
        <f t="shared" si="186"/>
        <v>38</v>
      </c>
      <c r="CA195" s="10">
        <f t="shared" si="187"/>
        <v>37</v>
      </c>
      <c r="CB195" s="10">
        <f t="shared" si="188"/>
        <v>36</v>
      </c>
      <c r="CC195" s="10">
        <f t="shared" si="189"/>
        <v>35</v>
      </c>
      <c r="CD195" s="10">
        <f t="shared" si="190"/>
        <v>34</v>
      </c>
      <c r="CE195" s="10">
        <f t="shared" si="191"/>
        <v>33</v>
      </c>
      <c r="CF195" s="10">
        <f t="shared" si="192"/>
        <v>32</v>
      </c>
      <c r="CG195" s="10">
        <f t="shared" si="193"/>
        <v>31</v>
      </c>
      <c r="CH195" s="10">
        <f t="shared" si="194"/>
        <v>30</v>
      </c>
      <c r="CI195" s="10">
        <f t="shared" si="195"/>
        <v>29</v>
      </c>
      <c r="CJ195" s="10">
        <f t="shared" si="196"/>
        <v>28</v>
      </c>
      <c r="CK195" s="10">
        <f t="shared" si="197"/>
        <v>27</v>
      </c>
      <c r="CL195" s="10">
        <f t="shared" si="198"/>
        <v>26</v>
      </c>
      <c r="CM195" s="10" t="str">
        <f>'役職希望調査 ・備考'!I165&amp;""</f>
        <v/>
      </c>
    </row>
    <row r="196" spans="1:91">
      <c r="A196" s="10" t="str">
        <f>時間希望調査!A166&amp;""</f>
        <v/>
      </c>
      <c r="B196" s="10" t="str">
        <f>時間希望調査!B166&amp;""</f>
        <v/>
      </c>
      <c r="C196" s="10" t="str">
        <f>時間希望調査!C166&amp;""</f>
        <v/>
      </c>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11"/>
      <c r="AU196" s="11"/>
      <c r="AV196" s="11"/>
      <c r="AW196" s="11"/>
      <c r="AX196" s="11"/>
      <c r="AY196" s="11"/>
      <c r="AZ196" s="11"/>
      <c r="BA196" s="11"/>
      <c r="BB196" s="10">
        <f t="shared" si="168"/>
        <v>0</v>
      </c>
      <c r="BC196" s="10">
        <f>時間希望調査!D166</f>
        <v>0</v>
      </c>
      <c r="BD196" s="10" t="str">
        <f>'役職希望調査 ・備考'!D166&amp;""</f>
        <v/>
      </c>
      <c r="BE196" s="10" t="str">
        <f>'役職希望調査 ・備考'!E166&amp;""</f>
        <v/>
      </c>
      <c r="BF196" s="10" t="str">
        <f>'役職希望調査 ・備考'!F166&amp;""</f>
        <v/>
      </c>
      <c r="BG196" s="10" t="str">
        <f>'役職希望調査 ・備考'!G166&amp;""</f>
        <v/>
      </c>
      <c r="BH196" s="10" t="str">
        <f>'役職希望調査 ・備考'!H166&amp;""</f>
        <v/>
      </c>
      <c r="BI196" s="10">
        <f t="shared" si="169"/>
        <v>0</v>
      </c>
      <c r="BJ196" s="10">
        <f t="shared" si="170"/>
        <v>0</v>
      </c>
      <c r="BK196" s="10">
        <f t="shared" si="171"/>
        <v>0</v>
      </c>
      <c r="BL196" s="10">
        <f t="shared" si="172"/>
        <v>0</v>
      </c>
      <c r="BM196" s="10">
        <f t="shared" si="173"/>
        <v>0</v>
      </c>
      <c r="BN196" s="10">
        <f t="shared" si="174"/>
        <v>0</v>
      </c>
      <c r="BO196" s="10">
        <f t="shared" si="175"/>
        <v>48</v>
      </c>
      <c r="BP196" s="10">
        <f t="shared" si="176"/>
        <v>48</v>
      </c>
      <c r="BQ196" s="10">
        <f t="shared" si="177"/>
        <v>47</v>
      </c>
      <c r="BR196" s="10">
        <f t="shared" si="178"/>
        <v>46</v>
      </c>
      <c r="BS196" s="10">
        <f t="shared" si="179"/>
        <v>45</v>
      </c>
      <c r="BT196" s="10">
        <f t="shared" si="180"/>
        <v>44</v>
      </c>
      <c r="BU196" s="10">
        <f t="shared" si="181"/>
        <v>43</v>
      </c>
      <c r="BV196" s="10">
        <f t="shared" si="182"/>
        <v>42</v>
      </c>
      <c r="BW196" s="10">
        <f t="shared" si="183"/>
        <v>41</v>
      </c>
      <c r="BX196" s="10">
        <f t="shared" si="184"/>
        <v>40</v>
      </c>
      <c r="BY196" s="10">
        <f t="shared" si="185"/>
        <v>39</v>
      </c>
      <c r="BZ196" s="10">
        <f t="shared" si="186"/>
        <v>38</v>
      </c>
      <c r="CA196" s="10">
        <f t="shared" si="187"/>
        <v>37</v>
      </c>
      <c r="CB196" s="10">
        <f t="shared" si="188"/>
        <v>36</v>
      </c>
      <c r="CC196" s="10">
        <f t="shared" si="189"/>
        <v>35</v>
      </c>
      <c r="CD196" s="10">
        <f t="shared" si="190"/>
        <v>34</v>
      </c>
      <c r="CE196" s="10">
        <f t="shared" si="191"/>
        <v>33</v>
      </c>
      <c r="CF196" s="10">
        <f t="shared" si="192"/>
        <v>32</v>
      </c>
      <c r="CG196" s="10">
        <f t="shared" si="193"/>
        <v>31</v>
      </c>
      <c r="CH196" s="10">
        <f t="shared" si="194"/>
        <v>30</v>
      </c>
      <c r="CI196" s="10">
        <f t="shared" si="195"/>
        <v>29</v>
      </c>
      <c r="CJ196" s="10">
        <f t="shared" si="196"/>
        <v>28</v>
      </c>
      <c r="CK196" s="10">
        <f t="shared" si="197"/>
        <v>27</v>
      </c>
      <c r="CL196" s="10">
        <f t="shared" si="198"/>
        <v>26</v>
      </c>
      <c r="CM196" s="10" t="str">
        <f>'役職希望調査 ・備考'!I166&amp;""</f>
        <v/>
      </c>
    </row>
    <row r="197" spans="1:91">
      <c r="A197" s="10" t="str">
        <f>時間希望調査!A167&amp;""</f>
        <v/>
      </c>
      <c r="B197" s="10" t="str">
        <f>時間希望調査!B167&amp;""</f>
        <v/>
      </c>
      <c r="C197" s="10" t="str">
        <f>時間希望調査!C167&amp;""</f>
        <v/>
      </c>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0">
        <f t="shared" si="168"/>
        <v>0</v>
      </c>
      <c r="BC197" s="10">
        <f>時間希望調査!D167</f>
        <v>0</v>
      </c>
      <c r="BD197" s="10" t="str">
        <f>'役職希望調査 ・備考'!D167&amp;""</f>
        <v/>
      </c>
      <c r="BE197" s="10" t="str">
        <f>'役職希望調査 ・備考'!E167&amp;""</f>
        <v/>
      </c>
      <c r="BF197" s="10" t="str">
        <f>'役職希望調査 ・備考'!F167&amp;""</f>
        <v/>
      </c>
      <c r="BG197" s="10" t="str">
        <f>'役職希望調査 ・備考'!G167&amp;""</f>
        <v/>
      </c>
      <c r="BH197" s="10" t="str">
        <f>'役職希望調査 ・備考'!H167&amp;""</f>
        <v/>
      </c>
      <c r="BI197" s="10">
        <f t="shared" si="169"/>
        <v>0</v>
      </c>
      <c r="BJ197" s="10">
        <f t="shared" si="170"/>
        <v>0</v>
      </c>
      <c r="BK197" s="10">
        <f t="shared" si="171"/>
        <v>0</v>
      </c>
      <c r="BL197" s="10">
        <f t="shared" si="172"/>
        <v>0</v>
      </c>
      <c r="BM197" s="10">
        <f t="shared" si="173"/>
        <v>0</v>
      </c>
      <c r="BN197" s="10">
        <f t="shared" si="174"/>
        <v>0</v>
      </c>
      <c r="BO197" s="10">
        <f t="shared" si="175"/>
        <v>48</v>
      </c>
      <c r="BP197" s="10">
        <f t="shared" si="176"/>
        <v>48</v>
      </c>
      <c r="BQ197" s="10">
        <f t="shared" si="177"/>
        <v>47</v>
      </c>
      <c r="BR197" s="10">
        <f t="shared" si="178"/>
        <v>46</v>
      </c>
      <c r="BS197" s="10">
        <f t="shared" si="179"/>
        <v>45</v>
      </c>
      <c r="BT197" s="10">
        <f t="shared" si="180"/>
        <v>44</v>
      </c>
      <c r="BU197" s="10">
        <f t="shared" si="181"/>
        <v>43</v>
      </c>
      <c r="BV197" s="10">
        <f t="shared" si="182"/>
        <v>42</v>
      </c>
      <c r="BW197" s="10">
        <f t="shared" si="183"/>
        <v>41</v>
      </c>
      <c r="BX197" s="10">
        <f t="shared" si="184"/>
        <v>40</v>
      </c>
      <c r="BY197" s="10">
        <f t="shared" si="185"/>
        <v>39</v>
      </c>
      <c r="BZ197" s="10">
        <f t="shared" si="186"/>
        <v>38</v>
      </c>
      <c r="CA197" s="10">
        <f t="shared" si="187"/>
        <v>37</v>
      </c>
      <c r="CB197" s="10">
        <f t="shared" si="188"/>
        <v>36</v>
      </c>
      <c r="CC197" s="10">
        <f t="shared" si="189"/>
        <v>35</v>
      </c>
      <c r="CD197" s="10">
        <f t="shared" si="190"/>
        <v>34</v>
      </c>
      <c r="CE197" s="10">
        <f t="shared" si="191"/>
        <v>33</v>
      </c>
      <c r="CF197" s="10">
        <f t="shared" si="192"/>
        <v>32</v>
      </c>
      <c r="CG197" s="10">
        <f t="shared" si="193"/>
        <v>31</v>
      </c>
      <c r="CH197" s="10">
        <f t="shared" si="194"/>
        <v>30</v>
      </c>
      <c r="CI197" s="10">
        <f t="shared" si="195"/>
        <v>29</v>
      </c>
      <c r="CJ197" s="10">
        <f t="shared" si="196"/>
        <v>28</v>
      </c>
      <c r="CK197" s="10">
        <f t="shared" si="197"/>
        <v>27</v>
      </c>
      <c r="CL197" s="10">
        <f t="shared" si="198"/>
        <v>26</v>
      </c>
      <c r="CM197" s="10" t="str">
        <f>'役職希望調査 ・備考'!I167&amp;""</f>
        <v/>
      </c>
    </row>
    <row r="198" spans="1:91">
      <c r="A198" s="10" t="str">
        <f>時間希望調査!A168&amp;""</f>
        <v/>
      </c>
      <c r="B198" s="10" t="str">
        <f>時間希望調査!B168&amp;""</f>
        <v/>
      </c>
      <c r="C198" s="10" t="str">
        <f>時間希望調査!C168&amp;""</f>
        <v/>
      </c>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11"/>
      <c r="AW198" s="11"/>
      <c r="AX198" s="11"/>
      <c r="AY198" s="11"/>
      <c r="AZ198" s="11"/>
      <c r="BA198" s="11"/>
      <c r="BB198" s="10">
        <f t="shared" si="168"/>
        <v>0</v>
      </c>
      <c r="BC198" s="10">
        <f>時間希望調査!D168</f>
        <v>0</v>
      </c>
      <c r="BD198" s="10" t="str">
        <f>'役職希望調査 ・備考'!D168&amp;""</f>
        <v/>
      </c>
      <c r="BE198" s="10" t="str">
        <f>'役職希望調査 ・備考'!E168&amp;""</f>
        <v/>
      </c>
      <c r="BF198" s="10" t="str">
        <f>'役職希望調査 ・備考'!F168&amp;""</f>
        <v/>
      </c>
      <c r="BG198" s="10" t="str">
        <f>'役職希望調査 ・備考'!G168&amp;""</f>
        <v/>
      </c>
      <c r="BH198" s="10" t="str">
        <f>'役職希望調査 ・備考'!H168&amp;""</f>
        <v/>
      </c>
      <c r="BI198" s="10">
        <f t="shared" si="169"/>
        <v>0</v>
      </c>
      <c r="BJ198" s="10">
        <f t="shared" si="170"/>
        <v>0</v>
      </c>
      <c r="BK198" s="10">
        <f t="shared" si="171"/>
        <v>0</v>
      </c>
      <c r="BL198" s="10">
        <f t="shared" si="172"/>
        <v>0</v>
      </c>
      <c r="BM198" s="10">
        <f t="shared" si="173"/>
        <v>0</v>
      </c>
      <c r="BN198" s="10">
        <f t="shared" si="174"/>
        <v>0</v>
      </c>
      <c r="BO198" s="10">
        <f t="shared" si="175"/>
        <v>48</v>
      </c>
      <c r="BP198" s="10">
        <f t="shared" si="176"/>
        <v>48</v>
      </c>
      <c r="BQ198" s="10">
        <f t="shared" si="177"/>
        <v>47</v>
      </c>
      <c r="BR198" s="10">
        <f t="shared" si="178"/>
        <v>46</v>
      </c>
      <c r="BS198" s="10">
        <f t="shared" si="179"/>
        <v>45</v>
      </c>
      <c r="BT198" s="10">
        <f t="shared" si="180"/>
        <v>44</v>
      </c>
      <c r="BU198" s="10">
        <f t="shared" si="181"/>
        <v>43</v>
      </c>
      <c r="BV198" s="10">
        <f t="shared" si="182"/>
        <v>42</v>
      </c>
      <c r="BW198" s="10">
        <f t="shared" si="183"/>
        <v>41</v>
      </c>
      <c r="BX198" s="10">
        <f t="shared" si="184"/>
        <v>40</v>
      </c>
      <c r="BY198" s="10">
        <f t="shared" si="185"/>
        <v>39</v>
      </c>
      <c r="BZ198" s="10">
        <f t="shared" si="186"/>
        <v>38</v>
      </c>
      <c r="CA198" s="10">
        <f t="shared" si="187"/>
        <v>37</v>
      </c>
      <c r="CB198" s="10">
        <f t="shared" si="188"/>
        <v>36</v>
      </c>
      <c r="CC198" s="10">
        <f t="shared" si="189"/>
        <v>35</v>
      </c>
      <c r="CD198" s="10">
        <f t="shared" si="190"/>
        <v>34</v>
      </c>
      <c r="CE198" s="10">
        <f t="shared" si="191"/>
        <v>33</v>
      </c>
      <c r="CF198" s="10">
        <f t="shared" si="192"/>
        <v>32</v>
      </c>
      <c r="CG198" s="10">
        <f t="shared" si="193"/>
        <v>31</v>
      </c>
      <c r="CH198" s="10">
        <f t="shared" si="194"/>
        <v>30</v>
      </c>
      <c r="CI198" s="10">
        <f t="shared" si="195"/>
        <v>29</v>
      </c>
      <c r="CJ198" s="10">
        <f t="shared" si="196"/>
        <v>28</v>
      </c>
      <c r="CK198" s="10">
        <f t="shared" si="197"/>
        <v>27</v>
      </c>
      <c r="CL198" s="10">
        <f t="shared" si="198"/>
        <v>26</v>
      </c>
      <c r="CM198" s="10" t="str">
        <f>'役職希望調査 ・備考'!I168&amp;""</f>
        <v/>
      </c>
    </row>
    <row r="199" spans="1:91">
      <c r="A199" s="10" t="str">
        <f>時間希望調査!A169&amp;""</f>
        <v/>
      </c>
      <c r="B199" s="10" t="str">
        <f>時間希望調査!B169&amp;""</f>
        <v/>
      </c>
      <c r="C199" s="10" t="str">
        <f>時間希望調査!C169&amp;""</f>
        <v/>
      </c>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0">
        <f t="shared" si="168"/>
        <v>0</v>
      </c>
      <c r="BC199" s="10">
        <f>時間希望調査!D169</f>
        <v>0</v>
      </c>
      <c r="BD199" s="10" t="str">
        <f>'役職希望調査 ・備考'!D169&amp;""</f>
        <v/>
      </c>
      <c r="BE199" s="10" t="str">
        <f>'役職希望調査 ・備考'!E169&amp;""</f>
        <v/>
      </c>
      <c r="BF199" s="10" t="str">
        <f>'役職希望調査 ・備考'!F169&amp;""</f>
        <v/>
      </c>
      <c r="BG199" s="10" t="str">
        <f>'役職希望調査 ・備考'!G169&amp;""</f>
        <v/>
      </c>
      <c r="BH199" s="10" t="str">
        <f>'役職希望調査 ・備考'!H169&amp;""</f>
        <v/>
      </c>
      <c r="BI199" s="10">
        <f t="shared" si="169"/>
        <v>0</v>
      </c>
      <c r="BJ199" s="10">
        <f t="shared" si="170"/>
        <v>0</v>
      </c>
      <c r="BK199" s="10">
        <f t="shared" si="171"/>
        <v>0</v>
      </c>
      <c r="BL199" s="10">
        <f t="shared" si="172"/>
        <v>0</v>
      </c>
      <c r="BM199" s="10">
        <f t="shared" si="173"/>
        <v>0</v>
      </c>
      <c r="BN199" s="10">
        <f t="shared" si="174"/>
        <v>0</v>
      </c>
      <c r="BO199" s="10">
        <f t="shared" si="175"/>
        <v>48</v>
      </c>
      <c r="BP199" s="10">
        <f t="shared" si="176"/>
        <v>48</v>
      </c>
      <c r="BQ199" s="10">
        <f t="shared" si="177"/>
        <v>47</v>
      </c>
      <c r="BR199" s="10">
        <f t="shared" si="178"/>
        <v>46</v>
      </c>
      <c r="BS199" s="10">
        <f t="shared" si="179"/>
        <v>45</v>
      </c>
      <c r="BT199" s="10">
        <f t="shared" si="180"/>
        <v>44</v>
      </c>
      <c r="BU199" s="10">
        <f t="shared" si="181"/>
        <v>43</v>
      </c>
      <c r="BV199" s="10">
        <f t="shared" si="182"/>
        <v>42</v>
      </c>
      <c r="BW199" s="10">
        <f t="shared" si="183"/>
        <v>41</v>
      </c>
      <c r="BX199" s="10">
        <f t="shared" si="184"/>
        <v>40</v>
      </c>
      <c r="BY199" s="10">
        <f t="shared" si="185"/>
        <v>39</v>
      </c>
      <c r="BZ199" s="10">
        <f t="shared" si="186"/>
        <v>38</v>
      </c>
      <c r="CA199" s="10">
        <f t="shared" si="187"/>
        <v>37</v>
      </c>
      <c r="CB199" s="10">
        <f t="shared" si="188"/>
        <v>36</v>
      </c>
      <c r="CC199" s="10">
        <f t="shared" si="189"/>
        <v>35</v>
      </c>
      <c r="CD199" s="10">
        <f t="shared" si="190"/>
        <v>34</v>
      </c>
      <c r="CE199" s="10">
        <f t="shared" si="191"/>
        <v>33</v>
      </c>
      <c r="CF199" s="10">
        <f t="shared" si="192"/>
        <v>32</v>
      </c>
      <c r="CG199" s="10">
        <f t="shared" si="193"/>
        <v>31</v>
      </c>
      <c r="CH199" s="10">
        <f t="shared" si="194"/>
        <v>30</v>
      </c>
      <c r="CI199" s="10">
        <f t="shared" si="195"/>
        <v>29</v>
      </c>
      <c r="CJ199" s="10">
        <f t="shared" si="196"/>
        <v>28</v>
      </c>
      <c r="CK199" s="10">
        <f t="shared" si="197"/>
        <v>27</v>
      </c>
      <c r="CL199" s="10">
        <f t="shared" si="198"/>
        <v>26</v>
      </c>
      <c r="CM199" s="10" t="str">
        <f>'役職希望調査 ・備考'!I169&amp;""</f>
        <v/>
      </c>
    </row>
    <row r="200" spans="1:91">
      <c r="D200" s="12"/>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row>
    <row r="201" spans="1:91">
      <c r="D201" s="12"/>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row>
    <row r="202" spans="1:91">
      <c r="D202" s="12"/>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row>
    <row r="203" spans="1:91">
      <c r="D203" s="12"/>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row>
    <row r="204" spans="1:91">
      <c r="D204" s="12"/>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row>
    <row r="205" spans="1:91">
      <c r="D205" s="12"/>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row>
    <row r="206" spans="1:91">
      <c r="D206" s="12"/>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row>
    <row r="207" spans="1:91">
      <c r="D207" s="12"/>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row>
    <row r="208" spans="1:91">
      <c r="D208" s="12"/>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row>
    <row r="209" spans="4:53">
      <c r="D209" s="12"/>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row>
    <row r="210" spans="4:53">
      <c r="D210" s="12"/>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row>
    <row r="211" spans="4:53">
      <c r="D211" s="12"/>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row>
    <row r="212" spans="4:53">
      <c r="D212" s="12"/>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row>
    <row r="213" spans="4:53">
      <c r="D213" s="12"/>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row>
    <row r="214" spans="4:53">
      <c r="D214" s="12"/>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row>
    <row r="215" spans="4:53">
      <c r="D215" s="12"/>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row>
    <row r="216" spans="4:53">
      <c r="D216" s="12"/>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row>
    <row r="217" spans="4:53">
      <c r="D217" s="12"/>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row>
    <row r="218" spans="4:53">
      <c r="D218" s="12"/>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row>
    <row r="219" spans="4:53">
      <c r="D219" s="12"/>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row>
    <row r="220" spans="4:53">
      <c r="D220" s="12"/>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row>
    <row r="221" spans="4:53">
      <c r="D221" s="12"/>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row>
    <row r="222" spans="4:53">
      <c r="D222" s="12"/>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row>
    <row r="223" spans="4:53">
      <c r="D223" s="12"/>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row>
    <row r="224" spans="4:53">
      <c r="D224" s="12"/>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row>
    <row r="225" spans="4:53">
      <c r="D225" s="12"/>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row>
    <row r="226" spans="4:53">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row>
    <row r="227" spans="4:53">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row>
    <row r="228" spans="4:53">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row>
    <row r="229" spans="4:53">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row>
    <row r="230" spans="4:53">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row>
    <row r="231" spans="4:53">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row>
    <row r="232" spans="4:53">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row>
    <row r="233" spans="4:53">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row>
    <row r="234" spans="4:53">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row>
    <row r="235" spans="4:53">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row>
    <row r="236" spans="4:53">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row>
    <row r="237" spans="4:53">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row>
    <row r="238" spans="4:53">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row>
    <row r="239" spans="4:53">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row>
    <row r="240" spans="4:53">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row>
    <row r="241" spans="4:53">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row>
    <row r="242" spans="4:53">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row>
    <row r="243" spans="4:53">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row>
    <row r="244" spans="4:53">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row>
    <row r="245" spans="4:53">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row>
    <row r="246" spans="4:53">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row>
    <row r="247" spans="4:53">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row>
    <row r="248" spans="4:53">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row>
    <row r="249" spans="4:53">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row>
    <row r="250" spans="4:53">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row>
    <row r="251" spans="4:53">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row>
    <row r="252" spans="4:53">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row>
    <row r="253" spans="4:53">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row>
    <row r="254" spans="4:53">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row>
    <row r="255" spans="4:53">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row>
    <row r="256" spans="4:53">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row>
    <row r="257" spans="4:53">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row>
    <row r="258" spans="4:53">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row>
    <row r="259" spans="4:53">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row>
    <row r="260" spans="4:53">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row>
    <row r="261" spans="4:53">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row>
    <row r="262" spans="4:53">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row>
    <row r="263" spans="4:53">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row>
    <row r="264" spans="4:53">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row>
    <row r="265" spans="4:53">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row>
    <row r="266" spans="4:53">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row>
    <row r="267" spans="4:53">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row>
    <row r="268" spans="4:53">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row>
    <row r="269" spans="4:53">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row>
    <row r="270" spans="4:53">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row>
    <row r="271" spans="4:53">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row>
    <row r="272" spans="4:53">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row>
    <row r="273" spans="4:53">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row>
    <row r="274" spans="4:53">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row>
    <row r="275" spans="4:53">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row>
    <row r="276" spans="4:53">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row>
    <row r="277" spans="4:53">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row>
    <row r="278" spans="4:53">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row>
    <row r="279" spans="4:53">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row>
    <row r="280" spans="4:53">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row>
    <row r="281" spans="4:53">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row>
    <row r="282" spans="4:53">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row>
    <row r="283" spans="4:53">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row>
    <row r="284" spans="4:53">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row>
    <row r="285" spans="4:53">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row>
    <row r="286" spans="4:53">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row>
    <row r="287" spans="4:53">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row>
    <row r="288" spans="4:53">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row>
    <row r="289" spans="4:53">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row>
    <row r="290" spans="4:53">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row>
    <row r="291" spans="4:53">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row>
    <row r="292" spans="4:53">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row>
    <row r="293" spans="4:53">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row>
    <row r="294" spans="4:53">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row>
    <row r="295" spans="4:53">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row>
    <row r="296" spans="4:53">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row>
    <row r="297" spans="4:53">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row>
    <row r="298" spans="4:53">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row>
    <row r="299" spans="4:53">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row>
    <row r="300" spans="4:53">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row>
    <row r="301" spans="4:53">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row>
    <row r="302" spans="4:53">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row>
    <row r="303" spans="4:53">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row>
    <row r="304" spans="4:53">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row>
    <row r="305" spans="4:53">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row>
    <row r="306" spans="4:53">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row>
    <row r="307" spans="4:53">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row>
    <row r="308" spans="4:53">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row>
    <row r="309" spans="4:53">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row>
    <row r="310" spans="4:53">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row>
    <row r="311" spans="4:53">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row>
    <row r="312" spans="4:53">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row>
    <row r="313" spans="4:53">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row>
    <row r="314" spans="4:53">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row>
  </sheetData>
  <sheetProtection sheet="1" objects="1" scenarios="1" formatColumns="0" formatRows="0"/>
  <mergeCells count="1">
    <mergeCell ref="BB1:BC1"/>
  </mergeCells>
  <phoneticPr fontId="1"/>
  <conditionalFormatting sqref="D2:BA31">
    <cfRule type="expression" dxfId="52" priority="107">
      <formula>D2&gt;$C2</formula>
    </cfRule>
    <cfRule type="expression" dxfId="51" priority="108">
      <formula>D2&lt;$C2</formula>
    </cfRule>
  </conditionalFormatting>
  <conditionalFormatting sqref="BB2:BC1048576 BB1">
    <cfRule type="expression" dxfId="50" priority="14">
      <formula>$BB1&lt;$BC1</formula>
    </cfRule>
    <cfRule type="expression" dxfId="49" priority="15">
      <formula>$BB1&gt;$BC1</formula>
    </cfRule>
  </conditionalFormatting>
  <conditionalFormatting sqref="BB1:BC1">
    <cfRule type="expression" dxfId="48" priority="1">
      <formula>TRUE</formula>
    </cfRule>
  </conditionalFormatting>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09" id="{4DE85962-3131-E04D-91EB-23C0EAD19317}">
            <xm:f>COUNTIF(役職一覧!#REF!,$B2)=1</xm:f>
            <x14:dxf>
              <fill>
                <patternFill>
                  <bgColor rgb="FF7030A0"/>
                </patternFill>
              </fill>
            </x14:dxf>
          </x14:cfRule>
          <x14:cfRule type="expression" priority="110" id="{A3FE1E97-9D87-624A-8647-8864615C1EF4}">
            <xm:f>COUNTIF(役職一覧!#REF!,$B2)=1</xm:f>
            <x14:dxf>
              <fill>
                <patternFill>
                  <bgColor rgb="FF0070C0"/>
                </patternFill>
              </fill>
            </x14:dxf>
          </x14:cfRule>
          <x14:cfRule type="expression" priority="111" id="{04566CAB-F5BA-144E-A80B-26EB0074CD0D}">
            <xm:f>COUNTIF(役職一覧!#REF!,$B2)=1</xm:f>
            <x14:dxf>
              <fill>
                <patternFill>
                  <bgColor rgb="FF00B0F0"/>
                </patternFill>
              </fill>
            </x14:dxf>
          </x14:cfRule>
          <x14:cfRule type="expression" priority="112" id="{B3D6F974-6802-EB46-BBCA-93813E672958}">
            <xm:f>COUNTIF(役職一覧!#REF!,$B2)=1</xm:f>
            <x14:dxf>
              <fill>
                <patternFill>
                  <bgColor rgb="FF00B050"/>
                </patternFill>
              </fill>
            </x14:dxf>
          </x14:cfRule>
          <x14:cfRule type="expression" priority="113" id="{175EF85A-84C0-AB48-9B4A-28239AB30092}">
            <xm:f>COUNTIF(役職一覧!#REF!,$B2)=1</xm:f>
            <x14:dxf>
              <fill>
                <patternFill>
                  <bgColor rgb="FF92D050"/>
                </patternFill>
              </fill>
            </x14:dxf>
          </x14:cfRule>
          <x14:cfRule type="expression" priority="114" id="{72845407-C6EC-D84F-B3CC-9AE97EE846F8}">
            <xm:f>COUNTIF(役職一覧!#REF!,$B2)=1</xm:f>
            <x14:dxf>
              <fill>
                <patternFill>
                  <bgColor rgb="FFFFFF00"/>
                </patternFill>
              </fill>
            </x14:dxf>
          </x14:cfRule>
          <x14:cfRule type="expression" priority="115" id="{B5720D7B-913C-0C49-9D2B-C3C4D9FD3EBD}">
            <xm:f>COUNTIF(役職一覧!#REF!,$B2)=1</xm:f>
            <x14:dxf>
              <fill>
                <patternFill>
                  <bgColor rgb="FFFFC000"/>
                </patternFill>
              </fill>
            </x14:dxf>
          </x14:cfRule>
          <x14:cfRule type="expression" priority="116" id="{10C96DDB-EA6A-2E49-97B6-A1986719F46A}">
            <xm:f>COUNTIF(役職一覧!#REF!,$B2)=1</xm:f>
            <x14:dxf>
              <fill>
                <patternFill>
                  <bgColor rgb="FFFF0000"/>
                </patternFill>
              </fill>
            </x14:dxf>
          </x14:cfRule>
          <xm:sqref>D2:BH31</xm:sqref>
        </x14:conditionalFormatting>
        <x14:conditionalFormatting xmlns:xm="http://schemas.microsoft.com/office/excel/2006/main">
          <x14:cfRule type="expression" priority="123" id="{B635DACD-0CEF-CA45-866E-B72F69EDE3A7}">
            <xm:f>COUNTIF(役職一覧!$K:$K,$B2)=1</xm:f>
            <x14:dxf>
              <fill>
                <patternFill>
                  <bgColor rgb="FFE1B9FF"/>
                </patternFill>
              </fill>
            </x14:dxf>
          </x14:cfRule>
          <x14:cfRule type="expression" priority="124" id="{35EF950E-B3D6-5B4E-A983-C4D4B3B3D153}">
            <xm:f>COUNTIF(役職一覧!$J:$J,$B2)=1</xm:f>
            <x14:dxf>
              <fill>
                <patternFill>
                  <bgColor rgb="FF7FCAFF"/>
                </patternFill>
              </fill>
            </x14:dxf>
          </x14:cfRule>
          <x14:cfRule type="expression" priority="125" id="{2AFF768E-8BDE-344A-9CC6-E9358C6A11AA}">
            <xm:f>COUNTIF(役職一覧!$I:$I,$B2)=1</xm:f>
            <x14:dxf>
              <fill>
                <patternFill>
                  <bgColor rgb="FF95FF6C"/>
                </patternFill>
              </fill>
            </x14:dxf>
          </x14:cfRule>
          <x14:cfRule type="expression" priority="126" id="{9A9D20B4-3243-8449-A1A9-18AB6BEBFBB8}">
            <xm:f>COUNTIF(役職一覧!$H:$H,$B2)=1</xm:f>
            <x14:dxf>
              <fill>
                <patternFill>
                  <bgColor rgb="FFFFF690"/>
                </patternFill>
              </fill>
            </x14:dxf>
          </x14:cfRule>
          <x14:cfRule type="expression" priority="127" id="{7E63E16C-0CEA-0049-91D2-0D31459B2718}">
            <xm:f>COUNTIF(役職一覧!$G:$G,$B2)=1</xm:f>
            <x14:dxf>
              <fill>
                <patternFill>
                  <bgColor rgb="FFFFD965"/>
                </patternFill>
              </fill>
            </x14:dxf>
          </x14:cfRule>
          <x14:cfRule type="expression" priority="128" id="{30D81371-27C0-2F46-B041-F190D9D4BB71}">
            <xm:f>COUNTIF(役職一覧!$F:$F,$B2)=1</xm:f>
            <x14:dxf>
              <fill>
                <patternFill>
                  <bgColor rgb="FFFFC7CE"/>
                </patternFill>
              </fill>
            </x14:dxf>
          </x14:cfRule>
          <xm:sqref>B2:BH31</xm:sqref>
        </x14:conditionalFormatting>
        <x14:conditionalFormatting xmlns:xm="http://schemas.microsoft.com/office/excel/2006/main">
          <x14:cfRule type="expression" priority="16" id="{22460168-6EB1-EC4F-9B2D-FB6CEF478183}">
            <xm:f>時間希望調査!E2="x"</xm:f>
            <x14:dxf>
              <font>
                <b/>
                <i val="0"/>
                <color theme="9"/>
              </font>
              <fill>
                <patternFill>
                  <bgColor theme="1" tint="4.9989318521683403E-2"/>
                </patternFill>
              </fill>
            </x14:dxf>
          </x14:cfRule>
          <x14:cfRule type="expression" priority="18" id="{43F082D7-6080-004E-AC73-42C8EB35AE78}">
            <xm:f>COUNTIF(役職一覧!$K:$K,D32)=1</xm:f>
            <x14:dxf>
              <fill>
                <patternFill>
                  <bgColor rgb="FFE1B9FF"/>
                </patternFill>
              </fill>
            </x14:dxf>
          </x14:cfRule>
          <x14:cfRule type="expression" priority="19" id="{3F8B033E-0F08-D748-AE61-91DA0E84C0B1}">
            <xm:f>COUNTIF(役職一覧!$J:$J,D32)=1</xm:f>
            <x14:dxf>
              <fill>
                <patternFill>
                  <bgColor rgb="FF7FCAFF"/>
                </patternFill>
              </fill>
            </x14:dxf>
          </x14:cfRule>
          <x14:cfRule type="expression" priority="20" id="{63580684-1894-534A-AC1E-33457AAAE8C4}">
            <xm:f>COUNTIF(役職一覧!$I:$I,D32)=1</xm:f>
            <x14:dxf>
              <fill>
                <patternFill>
                  <bgColor rgb="FF95FF6C"/>
                </patternFill>
              </fill>
            </x14:dxf>
          </x14:cfRule>
          <x14:cfRule type="expression" priority="21" id="{AA53F354-8A1B-114E-8309-94AAB77F0C05}">
            <xm:f>COUNTIF(役職一覧!$H:$H,D32)=1</xm:f>
            <x14:dxf>
              <fill>
                <patternFill>
                  <bgColor rgb="FFFFF690"/>
                </patternFill>
              </fill>
            </x14:dxf>
          </x14:cfRule>
          <x14:cfRule type="expression" priority="22" id="{3C8B42D3-B9D4-2A4B-ABEF-D4D340A0EA73}">
            <xm:f>COUNTIF(役職一覧!$G:$G,D32)=1</xm:f>
            <x14:dxf>
              <fill>
                <patternFill>
                  <bgColor rgb="FFFFD965"/>
                </patternFill>
              </fill>
            </x14:dxf>
          </x14:cfRule>
          <x14:cfRule type="expression" priority="23" id="{57C4E4B5-A380-384B-923D-8FF17C21282F}">
            <xm:f>COUNTIF(役職一覧!$F:$F,D32)=1</xm:f>
            <x14:dxf>
              <fill>
                <patternFill>
                  <bgColor rgb="FFFFC7CE"/>
                </patternFill>
              </fill>
            </x14:dxf>
          </x14:cfRule>
          <x14:cfRule type="expression" priority="24" id="{6A792184-3F68-5B43-974A-7099F9541036}">
            <xm:f>時間希望調査!E2="?"</xm:f>
            <x14:dxf>
              <font>
                <b val="0"/>
                <i/>
                <strike/>
                <color auto="1"/>
              </font>
              <fill>
                <patternFill>
                  <bgColor theme="0" tint="-0.499984740745262"/>
                </patternFill>
              </fill>
            </x14:dxf>
          </x14:cfRule>
          <xm:sqref>D32:BB314</xm:sqref>
        </x14:conditionalFormatting>
        <x14:conditionalFormatting xmlns:xm="http://schemas.microsoft.com/office/excel/2006/main">
          <x14:cfRule type="expression" priority="137" id="{22460168-6EB1-EC4F-9B2D-FB6CEF478183}">
            <xm:f>時間希望調査!BC2="x"</xm:f>
            <x14:dxf>
              <font>
                <b/>
                <i val="0"/>
                <color theme="9"/>
              </font>
              <fill>
                <patternFill>
                  <bgColor theme="1" tint="4.9989318521683403E-2"/>
                </patternFill>
              </fill>
            </x14:dxf>
          </x14:cfRule>
          <x14:cfRule type="expression" priority="138" id="{43F082D7-6080-004E-AC73-42C8EB35AE78}">
            <xm:f>COUNTIF(役職一覧!$K:$K,BC32)=1</xm:f>
            <x14:dxf>
              <fill>
                <patternFill>
                  <bgColor rgb="FFE1B9FF"/>
                </patternFill>
              </fill>
            </x14:dxf>
          </x14:cfRule>
          <x14:cfRule type="expression" priority="139" id="{3F8B033E-0F08-D748-AE61-91DA0E84C0B1}">
            <xm:f>COUNTIF(役職一覧!$J:$J,BC32)=1</xm:f>
            <x14:dxf>
              <fill>
                <patternFill>
                  <bgColor rgb="FF7FCAFF"/>
                </patternFill>
              </fill>
            </x14:dxf>
          </x14:cfRule>
          <x14:cfRule type="expression" priority="140" id="{63580684-1894-534A-AC1E-33457AAAE8C4}">
            <xm:f>COUNTIF(役職一覧!$I:$I,BC32)=1</xm:f>
            <x14:dxf>
              <fill>
                <patternFill>
                  <bgColor rgb="FF95FF6C"/>
                </patternFill>
              </fill>
            </x14:dxf>
          </x14:cfRule>
          <x14:cfRule type="expression" priority="141" id="{AA53F354-8A1B-114E-8309-94AAB77F0C05}">
            <xm:f>COUNTIF(役職一覧!$H:$H,BC32)=1</xm:f>
            <x14:dxf>
              <fill>
                <patternFill>
                  <bgColor rgb="FFFFF690"/>
                </patternFill>
              </fill>
            </x14:dxf>
          </x14:cfRule>
          <x14:cfRule type="expression" priority="142" id="{3C8B42D3-B9D4-2A4B-ABEF-D4D340A0EA73}">
            <xm:f>COUNTIF(役職一覧!$G:$G,BC32)=1</xm:f>
            <x14:dxf>
              <fill>
                <patternFill>
                  <bgColor rgb="FFFFD965"/>
                </patternFill>
              </fill>
            </x14:dxf>
          </x14:cfRule>
          <x14:cfRule type="expression" priority="143" id="{57C4E4B5-A380-384B-923D-8FF17C21282F}">
            <xm:f>COUNTIF(役職一覧!$F:$F,BC32)=1</xm:f>
            <x14:dxf>
              <fill>
                <patternFill>
                  <bgColor rgb="FFFFC7CE"/>
                </patternFill>
              </fill>
            </x14:dxf>
          </x14:cfRule>
          <x14:cfRule type="expression" priority="144" id="{6A792184-3F68-5B43-974A-7099F9541036}">
            <xm:f>時間希望調査!BC2="?"</xm:f>
            <x14:dxf>
              <font>
                <b val="0"/>
                <i/>
                <strike/>
                <color auto="1"/>
              </font>
              <fill>
                <patternFill>
                  <bgColor theme="0" tint="-0.499984740745262"/>
                </patternFill>
              </fill>
            </x14:dxf>
          </x14:cfRule>
          <xm:sqref>BC32:BC314</xm:sqref>
        </x14:conditionalFormatting>
        <x14:conditionalFormatting xmlns:xm="http://schemas.microsoft.com/office/excel/2006/main">
          <x14:cfRule type="expression" priority="8" id="{7C70844F-4230-DB41-BE8B-3D25F0693CB9}">
            <xm:f>COUNTIF(役職一覧!$K:$K,BD32)=1</xm:f>
            <x14:dxf>
              <fill>
                <patternFill>
                  <bgColor rgb="FFE1B9FF"/>
                </patternFill>
              </fill>
            </x14:dxf>
          </x14:cfRule>
          <x14:cfRule type="expression" priority="9" id="{95EEE267-9A9B-D24B-93B2-476876E57142}">
            <xm:f>COUNTIF(役職一覧!$J:$J,BD32)=1</xm:f>
            <x14:dxf>
              <fill>
                <patternFill>
                  <bgColor rgb="FF7FCAFF"/>
                </patternFill>
              </fill>
            </x14:dxf>
          </x14:cfRule>
          <x14:cfRule type="expression" priority="10" id="{54B8F3C8-7D36-F441-82E0-FB44DE0DD3A5}">
            <xm:f>COUNTIF(役職一覧!$I:$I,BD32)=1</xm:f>
            <x14:dxf>
              <fill>
                <patternFill>
                  <bgColor rgb="FF95FF6C"/>
                </patternFill>
              </fill>
            </x14:dxf>
          </x14:cfRule>
          <x14:cfRule type="expression" priority="11" id="{2CE915BC-B23F-2E45-948C-CE1FC211F958}">
            <xm:f>COUNTIF(役職一覧!$H:$H,BD32)=1</xm:f>
            <x14:dxf>
              <fill>
                <patternFill>
                  <bgColor rgb="FFFFF690"/>
                </patternFill>
              </fill>
            </x14:dxf>
          </x14:cfRule>
          <x14:cfRule type="expression" priority="12" id="{A44EEB63-72F3-374C-B364-0611F9E7A3D3}">
            <xm:f>COUNTIF(役職一覧!$G:$G,BD32)=1</xm:f>
            <x14:dxf>
              <fill>
                <patternFill>
                  <bgColor rgb="FFFFD965"/>
                </patternFill>
              </fill>
            </x14:dxf>
          </x14:cfRule>
          <x14:cfRule type="expression" priority="13" id="{64A36A5F-0B98-1642-9DB0-1AF338395FC9}">
            <xm:f>COUNTIF(役職一覧!$F:$F,BD32)=1</xm:f>
            <x14:dxf>
              <fill>
                <patternFill>
                  <bgColor rgb="FFFFC7CE"/>
                </patternFill>
              </fill>
            </x14:dxf>
          </x14:cfRule>
          <xm:sqref>BD32:BH199</xm:sqref>
        </x14:conditionalFormatting>
        <x14:conditionalFormatting xmlns:xm="http://schemas.microsoft.com/office/excel/2006/main">
          <x14:cfRule type="expression" priority="2" id="{086A87CF-60D1-2E45-8CFE-B132C7FFEC01}">
            <xm:f>COUNTIF(役職一覧!$K:$K,BI$1)=1</xm:f>
            <x14:dxf>
              <fill>
                <patternFill>
                  <bgColor rgb="FFE1B9FF"/>
                </patternFill>
              </fill>
            </x14:dxf>
          </x14:cfRule>
          <x14:cfRule type="expression" priority="3" id="{0AF35C4A-21C5-2442-B2F0-D22837C90288}">
            <xm:f>COUNTIF(役職一覧!$J:$J,BI$1)=1</xm:f>
            <x14:dxf>
              <fill>
                <patternFill>
                  <bgColor rgb="FF7FCAFF"/>
                </patternFill>
              </fill>
            </x14:dxf>
          </x14:cfRule>
          <x14:cfRule type="expression" priority="4" id="{E739ACF2-8520-A041-AF95-F8F4DABE4084}">
            <xm:f>COUNTIF(役職一覧!$I:$I,BI$1)=1</xm:f>
            <x14:dxf>
              <fill>
                <patternFill>
                  <bgColor rgb="FF95FF6C"/>
                </patternFill>
              </fill>
            </x14:dxf>
          </x14:cfRule>
          <x14:cfRule type="expression" priority="5" id="{4BE72DAD-B5DB-F242-8F75-A9F9E7486E9E}">
            <xm:f>COUNTIF(役職一覧!$H:$H,BI$1)=1</xm:f>
            <x14:dxf>
              <fill>
                <patternFill>
                  <bgColor rgb="FFFFF690"/>
                </patternFill>
              </fill>
            </x14:dxf>
          </x14:cfRule>
          <x14:cfRule type="expression" priority="6" id="{517A2679-4841-304F-8466-CBA226943B91}">
            <xm:f>COUNTIF(役職一覧!$G:$G,BI$1)=1</xm:f>
            <x14:dxf>
              <fill>
                <patternFill>
                  <bgColor rgb="FFFFD965"/>
                </patternFill>
              </fill>
            </x14:dxf>
          </x14:cfRule>
          <x14:cfRule type="expression" priority="7" id="{71E97FF2-E259-124E-914A-7B10485B6A4F}">
            <xm:f>COUNTIF(役職一覧!$F:$F,BI$1)=1</xm:f>
            <x14:dxf>
              <fill>
                <patternFill>
                  <bgColor rgb="FFFFC7CE"/>
                </patternFill>
              </fill>
            </x14:dxf>
          </x14:cfRule>
          <xm:sqref>BI1:CL1048576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68A9FF0-D26E-1D43-962D-788A73C84E52}">
          <x14:formula1>
            <xm:f>役職一覧!$B$2:$B$31</xm:f>
          </x14:formula1>
          <xm:sqref>E200:BA314 D32:BA199</xm:sqref>
        </x14:dataValidation>
        <x14:dataValidation type="list" allowBlank="1" showInputMessage="1" showErrorMessage="1" errorTitle="無効な値です" xr:uid="{5B8CEC2C-3333-1D47-86BA-FC39E80DF650}">
          <x14:formula1>
            <xm:f>役職一覧!$B$2:$B$31</xm:f>
          </x14:formula1>
          <xm:sqref>D1:D31 D200:D1048576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7A7B7-A118-C24A-8766-C5F43CA65D2C}">
  <sheetPr codeName="Formula"/>
  <dimension ref="B2"/>
  <sheetViews>
    <sheetView workbookViewId="0"/>
  </sheetViews>
  <sheetFormatPr baseColWidth="10" defaultRowHeight="20"/>
  <sheetData>
    <row r="2" spans="2:2">
      <c r="B2" s="2" t="s">
        <v>43</v>
      </c>
    </row>
  </sheetData>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63393571-81DC-E548-BD90-8D41B402A0DB}">
            <xm:f>COUNTIF(役職一覧!$K:$K,B2)=1</xm:f>
            <x14:dxf>
              <fill>
                <patternFill>
                  <bgColor rgb="FFE1B9FF"/>
                </patternFill>
              </fill>
            </x14:dxf>
          </x14:cfRule>
          <x14:cfRule type="expression" priority="2" id="{6C94FD7D-4A2A-CB46-B8D9-3619AB9D74E6}">
            <xm:f>COUNTIF(役職一覧!$J:$J,B2)=1</xm:f>
            <x14:dxf>
              <fill>
                <patternFill>
                  <bgColor rgb="FF7FCAFF"/>
                </patternFill>
              </fill>
            </x14:dxf>
          </x14:cfRule>
          <x14:cfRule type="expression" priority="3" id="{E136F41D-D735-3D40-B181-33EB42E28A2D}">
            <xm:f>COUNTIF(役職一覧!$I:$I,B2)=1</xm:f>
            <x14:dxf>
              <fill>
                <patternFill>
                  <bgColor rgb="FF95FF6C"/>
                </patternFill>
              </fill>
            </x14:dxf>
          </x14:cfRule>
          <x14:cfRule type="expression" priority="4" id="{AC29ED6D-8A26-A948-8188-A609957A8D2D}">
            <xm:f>COUNTIF(役職一覧!$H:$H,B2)=1</xm:f>
            <x14:dxf>
              <fill>
                <patternFill>
                  <bgColor rgb="FFFFF690"/>
                </patternFill>
              </fill>
            </x14:dxf>
          </x14:cfRule>
          <x14:cfRule type="expression" priority="5" id="{8724D3D4-232D-274B-AF9A-14C89C270567}">
            <xm:f>COUNTIF(役職一覧!$G:$G,B2)=1</xm:f>
            <x14:dxf>
              <fill>
                <patternFill>
                  <bgColor rgb="FFFFD965"/>
                </patternFill>
              </fill>
            </x14:dxf>
          </x14:cfRule>
          <x14:cfRule type="expression" priority="6" id="{EC4B7690-53CF-994C-A7F9-152605D3F772}">
            <xm:f>COUNTIF(役職一覧!$F:$F,B2)=1</xm:f>
            <x14:dxf>
              <fill>
                <patternFill>
                  <bgColor rgb="FFFFC7CE"/>
                </patternFill>
              </fill>
            </x14:dxf>
          </x14:cfRule>
          <xm:sqref>B2</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65EC5-964B-2D45-BF99-B92CAB06A4A3}">
  <sheetPr codeName="Command"/>
  <dimension ref="B2:B3"/>
  <sheetViews>
    <sheetView workbookViewId="0">
      <selection activeCell="B7" sqref="B7"/>
    </sheetView>
  </sheetViews>
  <sheetFormatPr baseColWidth="10" defaultRowHeight="20"/>
  <cols>
    <col min="1" max="1" width="10.7109375" style="1"/>
    <col min="2" max="2" width="136.5703125" style="1" customWidth="1"/>
    <col min="3" max="16384" width="10.7109375" style="1"/>
  </cols>
  <sheetData>
    <row r="2" spans="2:2" ht="25">
      <c r="B2" s="13" t="s">
        <v>79</v>
      </c>
    </row>
    <row r="3" spans="2:2" ht="25">
      <c r="B3" s="13" t="s">
        <v>80</v>
      </c>
    </row>
  </sheetData>
  <sheetProtection sheet="1" objects="1" scenarios="1" selectLockedCells="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2" r:id="rId3" name="Button 2">
              <controlPr defaultSize="0" print="0" autoFill="0" autoPict="0" macro="[0]!シフト組み_非表示更新">
                <anchor moveWithCells="1" sizeWithCells="1">
                  <from>
                    <xdr:col>1</xdr:col>
                    <xdr:colOff>0</xdr:colOff>
                    <xdr:row>5</xdr:row>
                    <xdr:rowOff>0</xdr:rowOff>
                  </from>
                  <to>
                    <xdr:col>1</xdr:col>
                    <xdr:colOff>1371600</xdr:colOff>
                    <xdr:row>6</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使いかた</vt:lpstr>
      <vt:lpstr>時間帯一覧</vt:lpstr>
      <vt:lpstr>役職一覧</vt:lpstr>
      <vt:lpstr>時間希望調査</vt:lpstr>
      <vt:lpstr>役職希望調査 ・備考</vt:lpstr>
      <vt:lpstr>シフト組み</vt:lpstr>
      <vt:lpstr>書式</vt:lpstr>
      <vt:lpstr>コマンド</vt:lpstr>
      <vt:lpstr>シフト組み時間帯</vt:lpstr>
      <vt:lpstr>シフト組み入力</vt:lpstr>
      <vt:lpstr>シフト組み役職横</vt:lpstr>
      <vt:lpstr>シフト組み役職縦</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海老原祐輔</dc:creator>
  <cp:lastModifiedBy>海老原祐輔</cp:lastModifiedBy>
  <dcterms:created xsi:type="dcterms:W3CDTF">2018-07-03T18:01:25Z</dcterms:created>
  <dcterms:modified xsi:type="dcterms:W3CDTF">2018-11-16T17:40:38Z</dcterms:modified>
</cp:coreProperties>
</file>